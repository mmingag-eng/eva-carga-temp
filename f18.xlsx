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 P\Downloads\"/>
    </mc:Choice>
  </mc:AlternateContent>
  <xr:revisionPtr revIDLastSave="0" documentId="11_B574C5B39EC642F1A947AFBF52F6554E2C049EF7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Presion_cilindro" sheetId="1" r:id="rId1"/>
    <sheet name="Tres_avances" sheetId="2" r:id="rId2"/>
    <sheet name="Barrido_AE" sheetId="3" r:id="rId3"/>
    <sheet name="Avance_rpm_carga" sheetId="4" r:id="rId4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3" i="4" l="1"/>
  <c r="C33" i="4"/>
  <c r="B33" i="4"/>
  <c r="F33" i="4" s="1"/>
  <c r="E32" i="4"/>
  <c r="D32" i="4"/>
  <c r="C32" i="4"/>
  <c r="B32" i="4"/>
  <c r="F32" i="4" s="1"/>
  <c r="F31" i="4"/>
  <c r="E31" i="4"/>
  <c r="B31" i="4"/>
  <c r="F30" i="4"/>
  <c r="C30" i="4"/>
  <c r="B30" i="4"/>
  <c r="D29" i="4"/>
  <c r="C29" i="4"/>
  <c r="B29" i="4"/>
  <c r="F29" i="4" s="1"/>
  <c r="E28" i="4"/>
  <c r="D28" i="4"/>
  <c r="C28" i="4"/>
  <c r="B28" i="4"/>
  <c r="F28" i="4" s="1"/>
  <c r="B27" i="4"/>
  <c r="B26" i="4"/>
  <c r="B25" i="4"/>
  <c r="E24" i="4"/>
  <c r="D24" i="4"/>
  <c r="C24" i="4"/>
  <c r="B24" i="4"/>
  <c r="F24" i="4" s="1"/>
  <c r="B23" i="4"/>
  <c r="B22" i="4"/>
  <c r="B21" i="4"/>
  <c r="E20" i="4"/>
  <c r="D20" i="4"/>
  <c r="C20" i="4"/>
  <c r="B20" i="4"/>
  <c r="F20" i="4" s="1"/>
  <c r="B19" i="4"/>
  <c r="B18" i="4"/>
  <c r="B17" i="4"/>
  <c r="E16" i="4"/>
  <c r="D16" i="4"/>
  <c r="C16" i="4"/>
  <c r="B16" i="4"/>
  <c r="F16" i="4" s="1"/>
  <c r="B15" i="4"/>
  <c r="B14" i="4"/>
  <c r="B13" i="4"/>
  <c r="E12" i="4"/>
  <c r="D12" i="4"/>
  <c r="C12" i="4"/>
  <c r="B12" i="4"/>
  <c r="F12" i="4" s="1"/>
  <c r="B11" i="4"/>
  <c r="B10" i="4"/>
  <c r="B9" i="4"/>
  <c r="E8" i="4"/>
  <c r="D8" i="4"/>
  <c r="C8" i="4"/>
  <c r="B8" i="4"/>
  <c r="F8" i="4" s="1"/>
  <c r="B7" i="4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B31" i="2"/>
  <c r="N30" i="2"/>
  <c r="B30" i="2"/>
  <c r="N29" i="2"/>
  <c r="B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E56" i="1"/>
  <c r="E55" i="1"/>
  <c r="B39" i="1"/>
  <c r="B36" i="1"/>
  <c r="P144" i="1" s="1"/>
  <c r="B35" i="1"/>
  <c r="B34" i="1"/>
  <c r="B33" i="1"/>
  <c r="B32" i="1"/>
  <c r="P31" i="1"/>
  <c r="B31" i="1"/>
  <c r="P30" i="1"/>
  <c r="B29" i="1"/>
  <c r="B30" i="1" s="1"/>
  <c r="P26" i="1"/>
  <c r="P24" i="1"/>
  <c r="P21" i="1"/>
  <c r="P18" i="1"/>
  <c r="P16" i="1"/>
  <c r="P13" i="1"/>
  <c r="P10" i="1"/>
  <c r="P8" i="1"/>
  <c r="P5" i="1"/>
  <c r="T4" i="1"/>
  <c r="R4" i="1"/>
  <c r="O722" i="1" l="1"/>
  <c r="O718" i="1"/>
  <c r="O714" i="1"/>
  <c r="O710" i="1"/>
  <c r="O706" i="1"/>
  <c r="O702" i="1"/>
  <c r="O698" i="1"/>
  <c r="O694" i="1"/>
  <c r="O690" i="1"/>
  <c r="O686" i="1"/>
  <c r="O721" i="1"/>
  <c r="O717" i="1"/>
  <c r="O713" i="1"/>
  <c r="O709" i="1"/>
  <c r="O705" i="1"/>
  <c r="O701" i="1"/>
  <c r="O697" i="1"/>
  <c r="O693" i="1"/>
  <c r="O689" i="1"/>
  <c r="O685" i="1"/>
  <c r="O681" i="1"/>
  <c r="O677" i="1"/>
  <c r="O673" i="1"/>
  <c r="O669" i="1"/>
  <c r="O665" i="1"/>
  <c r="O661" i="1"/>
  <c r="O657" i="1"/>
  <c r="O653" i="1"/>
  <c r="O649" i="1"/>
  <c r="O645" i="1"/>
  <c r="O641" i="1"/>
  <c r="O637" i="1"/>
  <c r="O633" i="1"/>
  <c r="O629" i="1"/>
  <c r="O625" i="1"/>
  <c r="O621" i="1"/>
  <c r="O617" i="1"/>
  <c r="O613" i="1"/>
  <c r="O609" i="1"/>
  <c r="O605" i="1"/>
  <c r="O601" i="1"/>
  <c r="O597" i="1"/>
  <c r="O593" i="1"/>
  <c r="O589" i="1"/>
  <c r="O585" i="1"/>
  <c r="O581" i="1"/>
  <c r="O577" i="1"/>
  <c r="O573" i="1"/>
  <c r="O569" i="1"/>
  <c r="O565" i="1"/>
  <c r="O561" i="1"/>
  <c r="O557" i="1"/>
  <c r="O553" i="1"/>
  <c r="O549" i="1"/>
  <c r="O545" i="1"/>
  <c r="O541" i="1"/>
  <c r="O537" i="1"/>
  <c r="O533" i="1"/>
  <c r="O529" i="1"/>
  <c r="O525" i="1"/>
  <c r="O521" i="1"/>
  <c r="O517" i="1"/>
  <c r="O513" i="1"/>
  <c r="O509" i="1"/>
  <c r="O505" i="1"/>
  <c r="O501" i="1"/>
  <c r="O497" i="1"/>
  <c r="O493" i="1"/>
  <c r="O489" i="1"/>
  <c r="O485" i="1"/>
  <c r="O481" i="1"/>
  <c r="O477" i="1"/>
  <c r="O473" i="1"/>
  <c r="O469" i="1"/>
  <c r="O465" i="1"/>
  <c r="O461" i="1"/>
  <c r="O457" i="1"/>
  <c r="O453" i="1"/>
  <c r="O449" i="1"/>
  <c r="O445" i="1"/>
  <c r="O441" i="1"/>
  <c r="O437" i="1"/>
  <c r="O433" i="1"/>
  <c r="O429" i="1"/>
  <c r="O425" i="1"/>
  <c r="O421" i="1"/>
  <c r="O417" i="1"/>
  <c r="O413" i="1"/>
  <c r="O409" i="1"/>
  <c r="O405" i="1"/>
  <c r="O401" i="1"/>
  <c r="O397" i="1"/>
  <c r="O393" i="1"/>
  <c r="O389" i="1"/>
  <c r="O385" i="1"/>
  <c r="O381" i="1"/>
  <c r="O377" i="1"/>
  <c r="O373" i="1"/>
  <c r="O369" i="1"/>
  <c r="O365" i="1"/>
  <c r="O361" i="1"/>
  <c r="O357" i="1"/>
  <c r="O353" i="1"/>
  <c r="O349" i="1"/>
  <c r="O345" i="1"/>
  <c r="O341" i="1"/>
  <c r="O337" i="1"/>
  <c r="O333" i="1"/>
  <c r="O329" i="1"/>
  <c r="O723" i="1"/>
  <c r="O715" i="1"/>
  <c r="O707" i="1"/>
  <c r="O699" i="1"/>
  <c r="O691" i="1"/>
  <c r="O678" i="1"/>
  <c r="O675" i="1"/>
  <c r="O672" i="1"/>
  <c r="O662" i="1"/>
  <c r="O659" i="1"/>
  <c r="O656" i="1"/>
  <c r="O646" i="1"/>
  <c r="O643" i="1"/>
  <c r="O640" i="1"/>
  <c r="O630" i="1"/>
  <c r="O627" i="1"/>
  <c r="O624" i="1"/>
  <c r="O614" i="1"/>
  <c r="O611" i="1"/>
  <c r="O608" i="1"/>
  <c r="O598" i="1"/>
  <c r="O595" i="1"/>
  <c r="O592" i="1"/>
  <c r="O582" i="1"/>
  <c r="O579" i="1"/>
  <c r="O576" i="1"/>
  <c r="O566" i="1"/>
  <c r="O563" i="1"/>
  <c r="O560" i="1"/>
  <c r="O550" i="1"/>
  <c r="O547" i="1"/>
  <c r="O544" i="1"/>
  <c r="O534" i="1"/>
  <c r="O531" i="1"/>
  <c r="O720" i="1"/>
  <c r="O712" i="1"/>
  <c r="O704" i="1"/>
  <c r="O696" i="1"/>
  <c r="O688" i="1"/>
  <c r="O682" i="1"/>
  <c r="O679" i="1"/>
  <c r="O676" i="1"/>
  <c r="O666" i="1"/>
  <c r="O663" i="1"/>
  <c r="O660" i="1"/>
  <c r="O650" i="1"/>
  <c r="O647" i="1"/>
  <c r="O644" i="1"/>
  <c r="O634" i="1"/>
  <c r="O631" i="1"/>
  <c r="O628" i="1"/>
  <c r="O618" i="1"/>
  <c r="O615" i="1"/>
  <c r="O612" i="1"/>
  <c r="O602" i="1"/>
  <c r="O599" i="1"/>
  <c r="O596" i="1"/>
  <c r="O586" i="1"/>
  <c r="O583" i="1"/>
  <c r="O580" i="1"/>
  <c r="O570" i="1"/>
  <c r="O567" i="1"/>
  <c r="O564" i="1"/>
  <c r="O554" i="1"/>
  <c r="O551" i="1"/>
  <c r="O548" i="1"/>
  <c r="O538" i="1"/>
  <c r="O535" i="1"/>
  <c r="O532" i="1"/>
  <c r="O522" i="1"/>
  <c r="O519" i="1"/>
  <c r="O516" i="1"/>
  <c r="O506" i="1"/>
  <c r="O503" i="1"/>
  <c r="O500" i="1"/>
  <c r="O490" i="1"/>
  <c r="O487" i="1"/>
  <c r="O484" i="1"/>
  <c r="O474" i="1"/>
  <c r="O471" i="1"/>
  <c r="O468" i="1"/>
  <c r="O458" i="1"/>
  <c r="O455" i="1"/>
  <c r="O452" i="1"/>
  <c r="O442" i="1"/>
  <c r="O439" i="1"/>
  <c r="O436" i="1"/>
  <c r="O426" i="1"/>
  <c r="O423" i="1"/>
  <c r="O420" i="1"/>
  <c r="O410" i="1"/>
  <c r="O407" i="1"/>
  <c r="O404" i="1"/>
  <c r="O394" i="1"/>
  <c r="O391" i="1"/>
  <c r="O388" i="1"/>
  <c r="O378" i="1"/>
  <c r="O375" i="1"/>
  <c r="O372" i="1"/>
  <c r="O362" i="1"/>
  <c r="O359" i="1"/>
  <c r="O356" i="1"/>
  <c r="O346" i="1"/>
  <c r="O343" i="1"/>
  <c r="O340" i="1"/>
  <c r="O330" i="1"/>
  <c r="O719" i="1"/>
  <c r="O711" i="1"/>
  <c r="O703" i="1"/>
  <c r="O695" i="1"/>
  <c r="O687" i="1"/>
  <c r="O683" i="1"/>
  <c r="O680" i="1"/>
  <c r="O670" i="1"/>
  <c r="O667" i="1"/>
  <c r="O664" i="1"/>
  <c r="O654" i="1"/>
  <c r="O651" i="1"/>
  <c r="O648" i="1"/>
  <c r="O638" i="1"/>
  <c r="O635" i="1"/>
  <c r="O632" i="1"/>
  <c r="O622" i="1"/>
  <c r="O619" i="1"/>
  <c r="O616" i="1"/>
  <c r="O606" i="1"/>
  <c r="O603" i="1"/>
  <c r="O600" i="1"/>
  <c r="O590" i="1"/>
  <c r="O587" i="1"/>
  <c r="O584" i="1"/>
  <c r="O574" i="1"/>
  <c r="O571" i="1"/>
  <c r="O568" i="1"/>
  <c r="O558" i="1"/>
  <c r="O555" i="1"/>
  <c r="O552" i="1"/>
  <c r="O542" i="1"/>
  <c r="O539" i="1"/>
  <c r="O536" i="1"/>
  <c r="O526" i="1"/>
  <c r="O523" i="1"/>
  <c r="O520" i="1"/>
  <c r="O510" i="1"/>
  <c r="O507" i="1"/>
  <c r="O504" i="1"/>
  <c r="O494" i="1"/>
  <c r="O491" i="1"/>
  <c r="O488" i="1"/>
  <c r="O478" i="1"/>
  <c r="O475" i="1"/>
  <c r="O472" i="1"/>
  <c r="O462" i="1"/>
  <c r="O459" i="1"/>
  <c r="O456" i="1"/>
  <c r="O446" i="1"/>
  <c r="O443" i="1"/>
  <c r="O440" i="1"/>
  <c r="O430" i="1"/>
  <c r="O427" i="1"/>
  <c r="O424" i="1"/>
  <c r="O414" i="1"/>
  <c r="O411" i="1"/>
  <c r="O408" i="1"/>
  <c r="O398" i="1"/>
  <c r="O395" i="1"/>
  <c r="O392" i="1"/>
  <c r="O382" i="1"/>
  <c r="O379" i="1"/>
  <c r="O376" i="1"/>
  <c r="O716" i="1"/>
  <c r="O668" i="1"/>
  <c r="O642" i="1"/>
  <c r="O623" i="1"/>
  <c r="O604" i="1"/>
  <c r="O578" i="1"/>
  <c r="O559" i="1"/>
  <c r="O540" i="1"/>
  <c r="O527" i="1"/>
  <c r="O514" i="1"/>
  <c r="O508" i="1"/>
  <c r="O495" i="1"/>
  <c r="O482" i="1"/>
  <c r="O476" i="1"/>
  <c r="O463" i="1"/>
  <c r="O450" i="1"/>
  <c r="O444" i="1"/>
  <c r="O431" i="1"/>
  <c r="O418" i="1"/>
  <c r="O412" i="1"/>
  <c r="O399" i="1"/>
  <c r="O386" i="1"/>
  <c r="O380" i="1"/>
  <c r="O367" i="1"/>
  <c r="O363" i="1"/>
  <c r="O352" i="1"/>
  <c r="O348" i="1"/>
  <c r="O344" i="1"/>
  <c r="O325" i="1"/>
  <c r="O321" i="1"/>
  <c r="O317" i="1"/>
  <c r="O313" i="1"/>
  <c r="O309" i="1"/>
  <c r="O305" i="1"/>
  <c r="O301" i="1"/>
  <c r="O297" i="1"/>
  <c r="O293" i="1"/>
  <c r="O289" i="1"/>
  <c r="O285" i="1"/>
  <c r="O281" i="1"/>
  <c r="O277" i="1"/>
  <c r="O273" i="1"/>
  <c r="O269" i="1"/>
  <c r="O265" i="1"/>
  <c r="O261" i="1"/>
  <c r="O257" i="1"/>
  <c r="O253" i="1"/>
  <c r="O249" i="1"/>
  <c r="O245" i="1"/>
  <c r="O241" i="1"/>
  <c r="O237" i="1"/>
  <c r="O233" i="1"/>
  <c r="O229" i="1"/>
  <c r="O225" i="1"/>
  <c r="O221" i="1"/>
  <c r="O217" i="1"/>
  <c r="O213" i="1"/>
  <c r="O209" i="1"/>
  <c r="O205" i="1"/>
  <c r="O201" i="1"/>
  <c r="O197" i="1"/>
  <c r="O193" i="1"/>
  <c r="O189" i="1"/>
  <c r="O185" i="1"/>
  <c r="O181" i="1"/>
  <c r="O177" i="1"/>
  <c r="O173" i="1"/>
  <c r="O169" i="1"/>
  <c r="O165" i="1"/>
  <c r="O161" i="1"/>
  <c r="O157" i="1"/>
  <c r="O153" i="1"/>
  <c r="O149" i="1"/>
  <c r="O708" i="1"/>
  <c r="O684" i="1"/>
  <c r="O658" i="1"/>
  <c r="O639" i="1"/>
  <c r="O620" i="1"/>
  <c r="O594" i="1"/>
  <c r="O575" i="1"/>
  <c r="O556" i="1"/>
  <c r="O528" i="1"/>
  <c r="O515" i="1"/>
  <c r="O502" i="1"/>
  <c r="O496" i="1"/>
  <c r="O483" i="1"/>
  <c r="O470" i="1"/>
  <c r="O464" i="1"/>
  <c r="O451" i="1"/>
  <c r="O438" i="1"/>
  <c r="O432" i="1"/>
  <c r="O419" i="1"/>
  <c r="O406" i="1"/>
  <c r="O400" i="1"/>
  <c r="O387" i="1"/>
  <c r="O374" i="1"/>
  <c r="O368" i="1"/>
  <c r="O366" i="1"/>
  <c r="O355" i="1"/>
  <c r="O351" i="1"/>
  <c r="O347" i="1"/>
  <c r="O336" i="1"/>
  <c r="O332" i="1"/>
  <c r="O324" i="1"/>
  <c r="O320" i="1"/>
  <c r="O316" i="1"/>
  <c r="O312" i="1"/>
  <c r="O308" i="1"/>
  <c r="O304" i="1"/>
  <c r="O300" i="1"/>
  <c r="O296" i="1"/>
  <c r="O292" i="1"/>
  <c r="O288" i="1"/>
  <c r="O284" i="1"/>
  <c r="O280" i="1"/>
  <c r="O276" i="1"/>
  <c r="O272" i="1"/>
  <c r="O268" i="1"/>
  <c r="O264" i="1"/>
  <c r="O260" i="1"/>
  <c r="O256" i="1"/>
  <c r="O252" i="1"/>
  <c r="O248" i="1"/>
  <c r="O244" i="1"/>
  <c r="O240" i="1"/>
  <c r="O236" i="1"/>
  <c r="O232" i="1"/>
  <c r="O228" i="1"/>
  <c r="O224" i="1"/>
  <c r="O220" i="1"/>
  <c r="O216" i="1"/>
  <c r="O212" i="1"/>
  <c r="O208" i="1"/>
  <c r="O204" i="1"/>
  <c r="O200" i="1"/>
  <c r="O196" i="1"/>
  <c r="O192" i="1"/>
  <c r="O188" i="1"/>
  <c r="O184" i="1"/>
  <c r="O180" i="1"/>
  <c r="O176" i="1"/>
  <c r="O172" i="1"/>
  <c r="O168" i="1"/>
  <c r="O164" i="1"/>
  <c r="O160" i="1"/>
  <c r="O156" i="1"/>
  <c r="O152" i="1"/>
  <c r="O148" i="1"/>
  <c r="O144" i="1"/>
  <c r="O140" i="1"/>
  <c r="O136" i="1"/>
  <c r="O132" i="1"/>
  <c r="O128" i="1"/>
  <c r="O124" i="1"/>
  <c r="O120" i="1"/>
  <c r="O116" i="1"/>
  <c r="O112" i="1"/>
  <c r="O108" i="1"/>
  <c r="O104" i="1"/>
  <c r="O100" i="1"/>
  <c r="O96" i="1"/>
  <c r="O92" i="1"/>
  <c r="O88" i="1"/>
  <c r="O84" i="1"/>
  <c r="O80" i="1"/>
  <c r="O76" i="1"/>
  <c r="O72" i="1"/>
  <c r="O68" i="1"/>
  <c r="O64" i="1"/>
  <c r="O60" i="1"/>
  <c r="O57" i="1"/>
  <c r="O55" i="1"/>
  <c r="O52" i="1"/>
  <c r="O49" i="1"/>
  <c r="O47" i="1"/>
  <c r="O45" i="1"/>
  <c r="O43" i="1"/>
  <c r="O41" i="1"/>
  <c r="O38" i="1"/>
  <c r="O36" i="1"/>
  <c r="O34" i="1"/>
  <c r="O32" i="1"/>
  <c r="O30" i="1"/>
  <c r="O28" i="1"/>
  <c r="O24" i="1"/>
  <c r="O20" i="1"/>
  <c r="O16" i="1"/>
  <c r="O12" i="1"/>
  <c r="O8" i="1"/>
  <c r="O159" i="1"/>
  <c r="O151" i="1"/>
  <c r="O147" i="1"/>
  <c r="O135" i="1"/>
  <c r="O131" i="1"/>
  <c r="O127" i="1"/>
  <c r="O123" i="1"/>
  <c r="O115" i="1"/>
  <c r="O111" i="1"/>
  <c r="O103" i="1"/>
  <c r="O99" i="1"/>
  <c r="O87" i="1"/>
  <c r="O83" i="1"/>
  <c r="O79" i="1"/>
  <c r="O71" i="1"/>
  <c r="O67" i="1"/>
  <c r="O63" i="1"/>
  <c r="O59" i="1"/>
  <c r="O56" i="1"/>
  <c r="O700" i="1"/>
  <c r="O674" i="1"/>
  <c r="O655" i="1"/>
  <c r="O636" i="1"/>
  <c r="O610" i="1"/>
  <c r="O591" i="1"/>
  <c r="O572" i="1"/>
  <c r="O546" i="1"/>
  <c r="O530" i="1"/>
  <c r="O524" i="1"/>
  <c r="O511" i="1"/>
  <c r="O498" i="1"/>
  <c r="O492" i="1"/>
  <c r="O479" i="1"/>
  <c r="O466" i="1"/>
  <c r="O460" i="1"/>
  <c r="O447" i="1"/>
  <c r="O434" i="1"/>
  <c r="O428" i="1"/>
  <c r="O415" i="1"/>
  <c r="O402" i="1"/>
  <c r="O396" i="1"/>
  <c r="O383" i="1"/>
  <c r="O370" i="1"/>
  <c r="O358" i="1"/>
  <c r="O354" i="1"/>
  <c r="O350" i="1"/>
  <c r="O339" i="1"/>
  <c r="O335" i="1"/>
  <c r="O331" i="1"/>
  <c r="O327" i="1"/>
  <c r="O323" i="1"/>
  <c r="O319" i="1"/>
  <c r="O315" i="1"/>
  <c r="O311" i="1"/>
  <c r="O307" i="1"/>
  <c r="O303" i="1"/>
  <c r="O299" i="1"/>
  <c r="O295" i="1"/>
  <c r="O291" i="1"/>
  <c r="O287" i="1"/>
  <c r="O283" i="1"/>
  <c r="O279" i="1"/>
  <c r="O275" i="1"/>
  <c r="O271" i="1"/>
  <c r="O267" i="1"/>
  <c r="O263" i="1"/>
  <c r="O259" i="1"/>
  <c r="O255" i="1"/>
  <c r="O251" i="1"/>
  <c r="O247" i="1"/>
  <c r="O243" i="1"/>
  <c r="O239" i="1"/>
  <c r="O235" i="1"/>
  <c r="O231" i="1"/>
  <c r="O227" i="1"/>
  <c r="O223" i="1"/>
  <c r="O219" i="1"/>
  <c r="O215" i="1"/>
  <c r="O211" i="1"/>
  <c r="O207" i="1"/>
  <c r="O203" i="1"/>
  <c r="O199" i="1"/>
  <c r="O195" i="1"/>
  <c r="O191" i="1"/>
  <c r="O187" i="1"/>
  <c r="O183" i="1"/>
  <c r="O179" i="1"/>
  <c r="O175" i="1"/>
  <c r="O171" i="1"/>
  <c r="O167" i="1"/>
  <c r="O163" i="1"/>
  <c r="O155" i="1"/>
  <c r="O143" i="1"/>
  <c r="O139" i="1"/>
  <c r="O119" i="1"/>
  <c r="O107" i="1"/>
  <c r="O95" i="1"/>
  <c r="O91" i="1"/>
  <c r="O75" i="1"/>
  <c r="O724" i="1"/>
  <c r="O692" i="1"/>
  <c r="O671" i="1"/>
  <c r="O652" i="1"/>
  <c r="O626" i="1"/>
  <c r="O607" i="1"/>
  <c r="O588" i="1"/>
  <c r="O562" i="1"/>
  <c r="O543" i="1"/>
  <c r="O518" i="1"/>
  <c r="O512" i="1"/>
  <c r="O499" i="1"/>
  <c r="O486" i="1"/>
  <c r="O480" i="1"/>
  <c r="O467" i="1"/>
  <c r="O454" i="1"/>
  <c r="O448" i="1"/>
  <c r="O435" i="1"/>
  <c r="O422" i="1"/>
  <c r="O416" i="1"/>
  <c r="O403" i="1"/>
  <c r="O390" i="1"/>
  <c r="O384" i="1"/>
  <c r="O371" i="1"/>
  <c r="O364" i="1"/>
  <c r="O360" i="1"/>
  <c r="O342" i="1"/>
  <c r="O338" i="1"/>
  <c r="O334" i="1"/>
  <c r="O328" i="1"/>
  <c r="O326" i="1"/>
  <c r="O322" i="1"/>
  <c r="O318" i="1"/>
  <c r="O314" i="1"/>
  <c r="O310" i="1"/>
  <c r="O306" i="1"/>
  <c r="O302" i="1"/>
  <c r="O298" i="1"/>
  <c r="O294" i="1"/>
  <c r="O290" i="1"/>
  <c r="O286" i="1"/>
  <c r="O282" i="1"/>
  <c r="O278" i="1"/>
  <c r="O274" i="1"/>
  <c r="O270" i="1"/>
  <c r="O266" i="1"/>
  <c r="O262" i="1"/>
  <c r="O258" i="1"/>
  <c r="O254" i="1"/>
  <c r="O250" i="1"/>
  <c r="O246" i="1"/>
  <c r="O242" i="1"/>
  <c r="O238" i="1"/>
  <c r="O234" i="1"/>
  <c r="O230" i="1"/>
  <c r="O226" i="1"/>
  <c r="O222" i="1"/>
  <c r="O218" i="1"/>
  <c r="O214" i="1"/>
  <c r="O210" i="1"/>
  <c r="O206" i="1"/>
  <c r="O202" i="1"/>
  <c r="O198" i="1"/>
  <c r="O194" i="1"/>
  <c r="O190" i="1"/>
  <c r="O186" i="1"/>
  <c r="O182" i="1"/>
  <c r="O178" i="1"/>
  <c r="O174" i="1"/>
  <c r="O170" i="1"/>
  <c r="O166" i="1"/>
  <c r="O162" i="1"/>
  <c r="O158" i="1"/>
  <c r="O154" i="1"/>
  <c r="O150" i="1"/>
  <c r="O146" i="1"/>
  <c r="O142" i="1"/>
  <c r="O138" i="1"/>
  <c r="O134" i="1"/>
  <c r="O130" i="1"/>
  <c r="O126" i="1"/>
  <c r="O122" i="1"/>
  <c r="O118" i="1"/>
  <c r="O114" i="1"/>
  <c r="O110" i="1"/>
  <c r="O106" i="1"/>
  <c r="O102" i="1"/>
  <c r="O98" i="1"/>
  <c r="O94" i="1"/>
  <c r="O90" i="1"/>
  <c r="O86" i="1"/>
  <c r="O82" i="1"/>
  <c r="O78" i="1"/>
  <c r="O74" i="1"/>
  <c r="O70" i="1"/>
  <c r="O66" i="1"/>
  <c r="O62" i="1"/>
  <c r="O58" i="1"/>
  <c r="O54" i="1"/>
  <c r="O50" i="1"/>
  <c r="O48" i="1"/>
  <c r="O46" i="1"/>
  <c r="O141" i="1"/>
  <c r="O125" i="1"/>
  <c r="O109" i="1"/>
  <c r="O93" i="1"/>
  <c r="O77" i="1"/>
  <c r="O61" i="1"/>
  <c r="O22" i="1"/>
  <c r="O137" i="1"/>
  <c r="O121" i="1"/>
  <c r="O105" i="1"/>
  <c r="O89" i="1"/>
  <c r="O73" i="1"/>
  <c r="O51" i="1"/>
  <c r="O44" i="1"/>
  <c r="O39" i="1"/>
  <c r="O31" i="1"/>
  <c r="O26" i="1"/>
  <c r="O23" i="1"/>
  <c r="O13" i="1"/>
  <c r="O10" i="1"/>
  <c r="O7" i="1"/>
  <c r="O40" i="1"/>
  <c r="O33" i="1"/>
  <c r="O27" i="1"/>
  <c r="O17" i="1"/>
  <c r="O9" i="1"/>
  <c r="O6" i="1"/>
  <c r="O4" i="1"/>
  <c r="O133" i="1"/>
  <c r="O117" i="1"/>
  <c r="O101" i="1"/>
  <c r="O85" i="1"/>
  <c r="O69" i="1"/>
  <c r="O14" i="1"/>
  <c r="O11" i="1"/>
  <c r="O145" i="1"/>
  <c r="O129" i="1"/>
  <c r="O113" i="1"/>
  <c r="O97" i="1"/>
  <c r="O81" i="1"/>
  <c r="O65" i="1"/>
  <c r="O35" i="1"/>
  <c r="O21" i="1"/>
  <c r="O18" i="1"/>
  <c r="O15" i="1"/>
  <c r="O5" i="1"/>
  <c r="R5" i="1" s="1"/>
  <c r="O53" i="1"/>
  <c r="O42" i="1"/>
  <c r="O37" i="1"/>
  <c r="O29" i="1"/>
  <c r="O25" i="1"/>
  <c r="O19" i="1"/>
  <c r="P38" i="1"/>
  <c r="P39" i="1"/>
  <c r="P44" i="1"/>
  <c r="P47" i="1"/>
  <c r="P4" i="1"/>
  <c r="P6" i="1"/>
  <c r="P9" i="1"/>
  <c r="P12" i="1"/>
  <c r="P22" i="1"/>
  <c r="P25" i="1"/>
  <c r="P28" i="1"/>
  <c r="P29" i="1"/>
  <c r="B13" i="2"/>
  <c r="B15" i="2" s="1"/>
  <c r="B12" i="2"/>
  <c r="B14" i="2"/>
  <c r="P36" i="1"/>
  <c r="P37" i="1"/>
  <c r="P41" i="1"/>
  <c r="P42" i="1"/>
  <c r="P48" i="1"/>
  <c r="P72" i="1"/>
  <c r="P88" i="1"/>
  <c r="P104" i="1"/>
  <c r="P120" i="1"/>
  <c r="P136" i="1"/>
  <c r="P49" i="1"/>
  <c r="P55" i="1"/>
  <c r="P60" i="1"/>
  <c r="P76" i="1"/>
  <c r="P92" i="1"/>
  <c r="P108" i="1"/>
  <c r="P124" i="1"/>
  <c r="P140" i="1"/>
  <c r="N12" i="3"/>
  <c r="J12" i="3"/>
  <c r="F12" i="3"/>
  <c r="B12" i="3"/>
  <c r="M12" i="3"/>
  <c r="I12" i="3"/>
  <c r="E12" i="3"/>
  <c r="L12" i="3"/>
  <c r="H12" i="3"/>
  <c r="D12" i="3"/>
  <c r="K12" i="3"/>
  <c r="G12" i="3"/>
  <c r="C12" i="3"/>
  <c r="R5" i="2"/>
  <c r="P5" i="2"/>
  <c r="U5" i="2"/>
  <c r="Q4" i="1"/>
  <c r="P34" i="1"/>
  <c r="P35" i="1"/>
  <c r="P45" i="1"/>
  <c r="P14" i="1"/>
  <c r="P17" i="1"/>
  <c r="P20" i="1"/>
  <c r="P32" i="1"/>
  <c r="P33" i="1"/>
  <c r="B37" i="1"/>
  <c r="B38" i="1" s="1"/>
  <c r="U4" i="1" s="1"/>
  <c r="P46" i="1"/>
  <c r="P50" i="1"/>
  <c r="P57" i="1"/>
  <c r="P64" i="1"/>
  <c r="P80" i="1"/>
  <c r="P96" i="1"/>
  <c r="P112" i="1"/>
  <c r="P128" i="1"/>
  <c r="P721" i="1"/>
  <c r="P717" i="1"/>
  <c r="P713" i="1"/>
  <c r="P709" i="1"/>
  <c r="P705" i="1"/>
  <c r="P701" i="1"/>
  <c r="P697" i="1"/>
  <c r="P693" i="1"/>
  <c r="P689" i="1"/>
  <c r="P724" i="1"/>
  <c r="P720" i="1"/>
  <c r="P716" i="1"/>
  <c r="P712" i="1"/>
  <c r="P708" i="1"/>
  <c r="P704" i="1"/>
  <c r="P700" i="1"/>
  <c r="P696" i="1"/>
  <c r="P692" i="1"/>
  <c r="P688" i="1"/>
  <c r="P684" i="1"/>
  <c r="P680" i="1"/>
  <c r="P676" i="1"/>
  <c r="P672" i="1"/>
  <c r="P668" i="1"/>
  <c r="P664" i="1"/>
  <c r="P660" i="1"/>
  <c r="P656" i="1"/>
  <c r="P652" i="1"/>
  <c r="P648" i="1"/>
  <c r="P644" i="1"/>
  <c r="P640" i="1"/>
  <c r="P636" i="1"/>
  <c r="P632" i="1"/>
  <c r="P628" i="1"/>
  <c r="P624" i="1"/>
  <c r="P620" i="1"/>
  <c r="P616" i="1"/>
  <c r="P612" i="1"/>
  <c r="P608" i="1"/>
  <c r="P604" i="1"/>
  <c r="P600" i="1"/>
  <c r="P596" i="1"/>
  <c r="P592" i="1"/>
  <c r="P588" i="1"/>
  <c r="P584" i="1"/>
  <c r="P580" i="1"/>
  <c r="P576" i="1"/>
  <c r="P572" i="1"/>
  <c r="P568" i="1"/>
  <c r="P564" i="1"/>
  <c r="P560" i="1"/>
  <c r="P556" i="1"/>
  <c r="P552" i="1"/>
  <c r="P548" i="1"/>
  <c r="P544" i="1"/>
  <c r="P540" i="1"/>
  <c r="P536" i="1"/>
  <c r="P532" i="1"/>
  <c r="P528" i="1"/>
  <c r="P524" i="1"/>
  <c r="P520" i="1"/>
  <c r="P516" i="1"/>
  <c r="P512" i="1"/>
  <c r="P508" i="1"/>
  <c r="P504" i="1"/>
  <c r="P500" i="1"/>
  <c r="P496" i="1"/>
  <c r="P492" i="1"/>
  <c r="P488" i="1"/>
  <c r="P484" i="1"/>
  <c r="P480" i="1"/>
  <c r="P476" i="1"/>
  <c r="P472" i="1"/>
  <c r="P468" i="1"/>
  <c r="P464" i="1"/>
  <c r="P460" i="1"/>
  <c r="P456" i="1"/>
  <c r="P452" i="1"/>
  <c r="P448" i="1"/>
  <c r="P444" i="1"/>
  <c r="P440" i="1"/>
  <c r="P436" i="1"/>
  <c r="P432" i="1"/>
  <c r="P428" i="1"/>
  <c r="P424" i="1"/>
  <c r="P420" i="1"/>
  <c r="P416" i="1"/>
  <c r="P412" i="1"/>
  <c r="P408" i="1"/>
  <c r="P404" i="1"/>
  <c r="P400" i="1"/>
  <c r="P396" i="1"/>
  <c r="P392" i="1"/>
  <c r="P388" i="1"/>
  <c r="P384" i="1"/>
  <c r="P380" i="1"/>
  <c r="P376" i="1"/>
  <c r="P372" i="1"/>
  <c r="P368" i="1"/>
  <c r="P364" i="1"/>
  <c r="P360" i="1"/>
  <c r="P356" i="1"/>
  <c r="P352" i="1"/>
  <c r="P348" i="1"/>
  <c r="P344" i="1"/>
  <c r="P340" i="1"/>
  <c r="P336" i="1"/>
  <c r="P332" i="1"/>
  <c r="P328" i="1"/>
  <c r="P722" i="1"/>
  <c r="P714" i="1"/>
  <c r="P706" i="1"/>
  <c r="P698" i="1"/>
  <c r="P690" i="1"/>
  <c r="P685" i="1"/>
  <c r="P682" i="1"/>
  <c r="P679" i="1"/>
  <c r="P669" i="1"/>
  <c r="P666" i="1"/>
  <c r="P663" i="1"/>
  <c r="P653" i="1"/>
  <c r="P650" i="1"/>
  <c r="P647" i="1"/>
  <c r="P637" i="1"/>
  <c r="P634" i="1"/>
  <c r="P631" i="1"/>
  <c r="P621" i="1"/>
  <c r="P618" i="1"/>
  <c r="P615" i="1"/>
  <c r="P605" i="1"/>
  <c r="P602" i="1"/>
  <c r="P599" i="1"/>
  <c r="P589" i="1"/>
  <c r="P586" i="1"/>
  <c r="P583" i="1"/>
  <c r="P573" i="1"/>
  <c r="P570" i="1"/>
  <c r="P567" i="1"/>
  <c r="P557" i="1"/>
  <c r="P554" i="1"/>
  <c r="P551" i="1"/>
  <c r="P541" i="1"/>
  <c r="P538" i="1"/>
  <c r="P535" i="1"/>
  <c r="P719" i="1"/>
  <c r="P711" i="1"/>
  <c r="P703" i="1"/>
  <c r="P695" i="1"/>
  <c r="P687" i="1"/>
  <c r="P683" i="1"/>
  <c r="P673" i="1"/>
  <c r="P670" i="1"/>
  <c r="P667" i="1"/>
  <c r="P657" i="1"/>
  <c r="P654" i="1"/>
  <c r="P651" i="1"/>
  <c r="P641" i="1"/>
  <c r="P638" i="1"/>
  <c r="P635" i="1"/>
  <c r="P625" i="1"/>
  <c r="P622" i="1"/>
  <c r="P619" i="1"/>
  <c r="P609" i="1"/>
  <c r="P606" i="1"/>
  <c r="P603" i="1"/>
  <c r="P593" i="1"/>
  <c r="P590" i="1"/>
  <c r="P587" i="1"/>
  <c r="P577" i="1"/>
  <c r="P574" i="1"/>
  <c r="P571" i="1"/>
  <c r="P561" i="1"/>
  <c r="P558" i="1"/>
  <c r="P555" i="1"/>
  <c r="P545" i="1"/>
  <c r="P542" i="1"/>
  <c r="P539" i="1"/>
  <c r="P529" i="1"/>
  <c r="P526" i="1"/>
  <c r="P523" i="1"/>
  <c r="P513" i="1"/>
  <c r="P510" i="1"/>
  <c r="P507" i="1"/>
  <c r="P497" i="1"/>
  <c r="P494" i="1"/>
  <c r="P491" i="1"/>
  <c r="P481" i="1"/>
  <c r="P478" i="1"/>
  <c r="P475" i="1"/>
  <c r="P465" i="1"/>
  <c r="P462" i="1"/>
  <c r="P459" i="1"/>
  <c r="P449" i="1"/>
  <c r="P446" i="1"/>
  <c r="P443" i="1"/>
  <c r="P433" i="1"/>
  <c r="P430" i="1"/>
  <c r="P427" i="1"/>
  <c r="P417" i="1"/>
  <c r="P414" i="1"/>
  <c r="P411" i="1"/>
  <c r="P401" i="1"/>
  <c r="P398" i="1"/>
  <c r="P395" i="1"/>
  <c r="P385" i="1"/>
  <c r="P382" i="1"/>
  <c r="P379" i="1"/>
  <c r="P369" i="1"/>
  <c r="P366" i="1"/>
  <c r="P363" i="1"/>
  <c r="P353" i="1"/>
  <c r="P350" i="1"/>
  <c r="P347" i="1"/>
  <c r="P337" i="1"/>
  <c r="P334" i="1"/>
  <c r="P331" i="1"/>
  <c r="P718" i="1"/>
  <c r="P710" i="1"/>
  <c r="P702" i="1"/>
  <c r="P694" i="1"/>
  <c r="P686" i="1"/>
  <c r="P677" i="1"/>
  <c r="P674" i="1"/>
  <c r="P671" i="1"/>
  <c r="P661" i="1"/>
  <c r="P658" i="1"/>
  <c r="P655" i="1"/>
  <c r="P645" i="1"/>
  <c r="P642" i="1"/>
  <c r="P639" i="1"/>
  <c r="P629" i="1"/>
  <c r="P626" i="1"/>
  <c r="P623" i="1"/>
  <c r="P613" i="1"/>
  <c r="P610" i="1"/>
  <c r="P607" i="1"/>
  <c r="P597" i="1"/>
  <c r="P594" i="1"/>
  <c r="P591" i="1"/>
  <c r="P581" i="1"/>
  <c r="P578" i="1"/>
  <c r="P575" i="1"/>
  <c r="P565" i="1"/>
  <c r="P562" i="1"/>
  <c r="P559" i="1"/>
  <c r="P549" i="1"/>
  <c r="P546" i="1"/>
  <c r="P543" i="1"/>
  <c r="P533" i="1"/>
  <c r="P530" i="1"/>
  <c r="P527" i="1"/>
  <c r="P517" i="1"/>
  <c r="P514" i="1"/>
  <c r="P511" i="1"/>
  <c r="P501" i="1"/>
  <c r="P498" i="1"/>
  <c r="P495" i="1"/>
  <c r="P485" i="1"/>
  <c r="P482" i="1"/>
  <c r="P479" i="1"/>
  <c r="P469" i="1"/>
  <c r="P466" i="1"/>
  <c r="P463" i="1"/>
  <c r="P453" i="1"/>
  <c r="P450" i="1"/>
  <c r="P447" i="1"/>
  <c r="P437" i="1"/>
  <c r="P434" i="1"/>
  <c r="P431" i="1"/>
  <c r="P421" i="1"/>
  <c r="P418" i="1"/>
  <c r="P415" i="1"/>
  <c r="P405" i="1"/>
  <c r="P402" i="1"/>
  <c r="P399" i="1"/>
  <c r="P389" i="1"/>
  <c r="P386" i="1"/>
  <c r="P383" i="1"/>
  <c r="P373" i="1"/>
  <c r="P370" i="1"/>
  <c r="P367" i="1"/>
  <c r="P723" i="1"/>
  <c r="P691" i="1"/>
  <c r="P675" i="1"/>
  <c r="P649" i="1"/>
  <c r="P630" i="1"/>
  <c r="P611" i="1"/>
  <c r="P585" i="1"/>
  <c r="P566" i="1"/>
  <c r="P547" i="1"/>
  <c r="P521" i="1"/>
  <c r="P515" i="1"/>
  <c r="P502" i="1"/>
  <c r="P489" i="1"/>
  <c r="P483" i="1"/>
  <c r="P470" i="1"/>
  <c r="P457" i="1"/>
  <c r="P451" i="1"/>
  <c r="P438" i="1"/>
  <c r="P425" i="1"/>
  <c r="P419" i="1"/>
  <c r="P406" i="1"/>
  <c r="P393" i="1"/>
  <c r="P387" i="1"/>
  <c r="P374" i="1"/>
  <c r="P359" i="1"/>
  <c r="P355" i="1"/>
  <c r="P351" i="1"/>
  <c r="P333" i="1"/>
  <c r="P329" i="1"/>
  <c r="P324" i="1"/>
  <c r="P320" i="1"/>
  <c r="P316" i="1"/>
  <c r="P312" i="1"/>
  <c r="P308" i="1"/>
  <c r="P304" i="1"/>
  <c r="P300" i="1"/>
  <c r="P296" i="1"/>
  <c r="P292" i="1"/>
  <c r="P288" i="1"/>
  <c r="P284" i="1"/>
  <c r="P280" i="1"/>
  <c r="P276" i="1"/>
  <c r="P272" i="1"/>
  <c r="P268" i="1"/>
  <c r="P264" i="1"/>
  <c r="P260" i="1"/>
  <c r="P256" i="1"/>
  <c r="P252" i="1"/>
  <c r="P248" i="1"/>
  <c r="P244" i="1"/>
  <c r="P240" i="1"/>
  <c r="P236" i="1"/>
  <c r="P232" i="1"/>
  <c r="P228" i="1"/>
  <c r="P224" i="1"/>
  <c r="P220" i="1"/>
  <c r="P216" i="1"/>
  <c r="P212" i="1"/>
  <c r="P208" i="1"/>
  <c r="P204" i="1"/>
  <c r="P200" i="1"/>
  <c r="P196" i="1"/>
  <c r="P192" i="1"/>
  <c r="P188" i="1"/>
  <c r="P184" i="1"/>
  <c r="P180" i="1"/>
  <c r="P176" i="1"/>
  <c r="P172" i="1"/>
  <c r="P168" i="1"/>
  <c r="P164" i="1"/>
  <c r="P160" i="1"/>
  <c r="P156" i="1"/>
  <c r="P152" i="1"/>
  <c r="P148" i="1"/>
  <c r="P715" i="1"/>
  <c r="P665" i="1"/>
  <c r="P646" i="1"/>
  <c r="P627" i="1"/>
  <c r="P601" i="1"/>
  <c r="P582" i="1"/>
  <c r="P563" i="1"/>
  <c r="P537" i="1"/>
  <c r="P522" i="1"/>
  <c r="P509" i="1"/>
  <c r="P503" i="1"/>
  <c r="P490" i="1"/>
  <c r="P477" i="1"/>
  <c r="P471" i="1"/>
  <c r="P458" i="1"/>
  <c r="P445" i="1"/>
  <c r="P439" i="1"/>
  <c r="P426" i="1"/>
  <c r="P413" i="1"/>
  <c r="P407" i="1"/>
  <c r="P394" i="1"/>
  <c r="P381" i="1"/>
  <c r="P375" i="1"/>
  <c r="P362" i="1"/>
  <c r="P358" i="1"/>
  <c r="P354" i="1"/>
  <c r="P343" i="1"/>
  <c r="P339" i="1"/>
  <c r="P335" i="1"/>
  <c r="P327" i="1"/>
  <c r="P323" i="1"/>
  <c r="P319" i="1"/>
  <c r="P315" i="1"/>
  <c r="P311" i="1"/>
  <c r="P307" i="1"/>
  <c r="P303" i="1"/>
  <c r="P299" i="1"/>
  <c r="P295" i="1"/>
  <c r="P291" i="1"/>
  <c r="P287" i="1"/>
  <c r="P283" i="1"/>
  <c r="P279" i="1"/>
  <c r="P275" i="1"/>
  <c r="P271" i="1"/>
  <c r="P267" i="1"/>
  <c r="P263" i="1"/>
  <c r="P259" i="1"/>
  <c r="P255" i="1"/>
  <c r="P251" i="1"/>
  <c r="P247" i="1"/>
  <c r="P243" i="1"/>
  <c r="P239" i="1"/>
  <c r="P235" i="1"/>
  <c r="P231" i="1"/>
  <c r="P227" i="1"/>
  <c r="P223" i="1"/>
  <c r="P219" i="1"/>
  <c r="P215" i="1"/>
  <c r="P211" i="1"/>
  <c r="P207" i="1"/>
  <c r="P203" i="1"/>
  <c r="P199" i="1"/>
  <c r="P195" i="1"/>
  <c r="P191" i="1"/>
  <c r="P187" i="1"/>
  <c r="P183" i="1"/>
  <c r="P179" i="1"/>
  <c r="P175" i="1"/>
  <c r="P171" i="1"/>
  <c r="P167" i="1"/>
  <c r="P163" i="1"/>
  <c r="P159" i="1"/>
  <c r="P155" i="1"/>
  <c r="P151" i="1"/>
  <c r="P147" i="1"/>
  <c r="P143" i="1"/>
  <c r="P139" i="1"/>
  <c r="P135" i="1"/>
  <c r="P131" i="1"/>
  <c r="P127" i="1"/>
  <c r="P123" i="1"/>
  <c r="P119" i="1"/>
  <c r="P115" i="1"/>
  <c r="P111" i="1"/>
  <c r="P107" i="1"/>
  <c r="P103" i="1"/>
  <c r="P99" i="1"/>
  <c r="P95" i="1"/>
  <c r="P91" i="1"/>
  <c r="P87" i="1"/>
  <c r="P83" i="1"/>
  <c r="P79" i="1"/>
  <c r="P75" i="1"/>
  <c r="P71" i="1"/>
  <c r="P67" i="1"/>
  <c r="P63" i="1"/>
  <c r="P59" i="1"/>
  <c r="P56" i="1"/>
  <c r="P51" i="1"/>
  <c r="P40" i="1"/>
  <c r="P27" i="1"/>
  <c r="P23" i="1"/>
  <c r="P19" i="1"/>
  <c r="P15" i="1"/>
  <c r="P11" i="1"/>
  <c r="P7" i="1"/>
  <c r="P154" i="1"/>
  <c r="P150" i="1"/>
  <c r="P142" i="1"/>
  <c r="P134" i="1"/>
  <c r="P126" i="1"/>
  <c r="P114" i="1"/>
  <c r="P102" i="1"/>
  <c r="P94" i="1"/>
  <c r="P90" i="1"/>
  <c r="P82" i="1"/>
  <c r="P78" i="1"/>
  <c r="P66" i="1"/>
  <c r="P58" i="1"/>
  <c r="P707" i="1"/>
  <c r="P681" i="1"/>
  <c r="P662" i="1"/>
  <c r="P643" i="1"/>
  <c r="P617" i="1"/>
  <c r="P598" i="1"/>
  <c r="P579" i="1"/>
  <c r="P553" i="1"/>
  <c r="P534" i="1"/>
  <c r="P518" i="1"/>
  <c r="P505" i="1"/>
  <c r="P499" i="1"/>
  <c r="P486" i="1"/>
  <c r="P473" i="1"/>
  <c r="P467" i="1"/>
  <c r="P454" i="1"/>
  <c r="P441" i="1"/>
  <c r="P435" i="1"/>
  <c r="P422" i="1"/>
  <c r="P409" i="1"/>
  <c r="P403" i="1"/>
  <c r="P390" i="1"/>
  <c r="P377" i="1"/>
  <c r="P371" i="1"/>
  <c r="P365" i="1"/>
  <c r="P361" i="1"/>
  <c r="P357" i="1"/>
  <c r="P346" i="1"/>
  <c r="P342" i="1"/>
  <c r="P338" i="1"/>
  <c r="P326" i="1"/>
  <c r="P322" i="1"/>
  <c r="P318" i="1"/>
  <c r="P314" i="1"/>
  <c r="P310" i="1"/>
  <c r="P306" i="1"/>
  <c r="P302" i="1"/>
  <c r="P298" i="1"/>
  <c r="P294" i="1"/>
  <c r="P290" i="1"/>
  <c r="P286" i="1"/>
  <c r="P282" i="1"/>
  <c r="P278" i="1"/>
  <c r="P274" i="1"/>
  <c r="P270" i="1"/>
  <c r="P266" i="1"/>
  <c r="P262" i="1"/>
  <c r="P258" i="1"/>
  <c r="P254" i="1"/>
  <c r="P250" i="1"/>
  <c r="P246" i="1"/>
  <c r="P242" i="1"/>
  <c r="P238" i="1"/>
  <c r="P234" i="1"/>
  <c r="P230" i="1"/>
  <c r="P226" i="1"/>
  <c r="P222" i="1"/>
  <c r="P218" i="1"/>
  <c r="P214" i="1"/>
  <c r="P210" i="1"/>
  <c r="P206" i="1"/>
  <c r="P202" i="1"/>
  <c r="P198" i="1"/>
  <c r="P194" i="1"/>
  <c r="P190" i="1"/>
  <c r="P186" i="1"/>
  <c r="P182" i="1"/>
  <c r="P178" i="1"/>
  <c r="P174" i="1"/>
  <c r="P170" i="1"/>
  <c r="P166" i="1"/>
  <c r="P162" i="1"/>
  <c r="P158" i="1"/>
  <c r="P146" i="1"/>
  <c r="P138" i="1"/>
  <c r="P130" i="1"/>
  <c r="P122" i="1"/>
  <c r="P118" i="1"/>
  <c r="P110" i="1"/>
  <c r="P106" i="1"/>
  <c r="P98" i="1"/>
  <c r="P86" i="1"/>
  <c r="P74" i="1"/>
  <c r="P70" i="1"/>
  <c r="P62" i="1"/>
  <c r="P54" i="1"/>
  <c r="P699" i="1"/>
  <c r="P678" i="1"/>
  <c r="P659" i="1"/>
  <c r="P633" i="1"/>
  <c r="P614" i="1"/>
  <c r="P595" i="1"/>
  <c r="P569" i="1"/>
  <c r="P550" i="1"/>
  <c r="P531" i="1"/>
  <c r="P525" i="1"/>
  <c r="P519" i="1"/>
  <c r="P506" i="1"/>
  <c r="P493" i="1"/>
  <c r="P487" i="1"/>
  <c r="P474" i="1"/>
  <c r="P461" i="1"/>
  <c r="P455" i="1"/>
  <c r="P442" i="1"/>
  <c r="P429" i="1"/>
  <c r="P423" i="1"/>
  <c r="P410" i="1"/>
  <c r="P397" i="1"/>
  <c r="P391" i="1"/>
  <c r="P378" i="1"/>
  <c r="P349" i="1"/>
  <c r="P345" i="1"/>
  <c r="P341" i="1"/>
  <c r="P330" i="1"/>
  <c r="P325" i="1"/>
  <c r="P321" i="1"/>
  <c r="P317" i="1"/>
  <c r="P313" i="1"/>
  <c r="P309" i="1"/>
  <c r="P305" i="1"/>
  <c r="P301" i="1"/>
  <c r="P297" i="1"/>
  <c r="P293" i="1"/>
  <c r="P289" i="1"/>
  <c r="P285" i="1"/>
  <c r="P281" i="1"/>
  <c r="P277" i="1"/>
  <c r="P273" i="1"/>
  <c r="P269" i="1"/>
  <c r="P265" i="1"/>
  <c r="P261" i="1"/>
  <c r="P257" i="1"/>
  <c r="P253" i="1"/>
  <c r="P249" i="1"/>
  <c r="P245" i="1"/>
  <c r="P241" i="1"/>
  <c r="P237" i="1"/>
  <c r="P233" i="1"/>
  <c r="P229" i="1"/>
  <c r="P225" i="1"/>
  <c r="P221" i="1"/>
  <c r="P217" i="1"/>
  <c r="P213" i="1"/>
  <c r="P209" i="1"/>
  <c r="P205" i="1"/>
  <c r="P201" i="1"/>
  <c r="P197" i="1"/>
  <c r="P193" i="1"/>
  <c r="P189" i="1"/>
  <c r="P185" i="1"/>
  <c r="P181" i="1"/>
  <c r="P177" i="1"/>
  <c r="P173" i="1"/>
  <c r="P169" i="1"/>
  <c r="P165" i="1"/>
  <c r="P161" i="1"/>
  <c r="P157" i="1"/>
  <c r="P153" i="1"/>
  <c r="P149" i="1"/>
  <c r="P145" i="1"/>
  <c r="P141" i="1"/>
  <c r="P137" i="1"/>
  <c r="P133" i="1"/>
  <c r="P129" i="1"/>
  <c r="P125" i="1"/>
  <c r="P121" i="1"/>
  <c r="P117" i="1"/>
  <c r="P113" i="1"/>
  <c r="P109" i="1"/>
  <c r="P105" i="1"/>
  <c r="P101" i="1"/>
  <c r="P97" i="1"/>
  <c r="P93" i="1"/>
  <c r="P89" i="1"/>
  <c r="P85" i="1"/>
  <c r="P81" i="1"/>
  <c r="P77" i="1"/>
  <c r="P73" i="1"/>
  <c r="P69" i="1"/>
  <c r="P65" i="1"/>
  <c r="P61" i="1"/>
  <c r="P53" i="1"/>
  <c r="P43" i="1"/>
  <c r="P52" i="1"/>
  <c r="P68" i="1"/>
  <c r="P84" i="1"/>
  <c r="P100" i="1"/>
  <c r="P116" i="1"/>
  <c r="P132" i="1"/>
  <c r="C7" i="4"/>
  <c r="F7" i="4"/>
  <c r="E7" i="4"/>
  <c r="D7" i="4"/>
  <c r="E13" i="4"/>
  <c r="F13" i="4"/>
  <c r="D13" i="4"/>
  <c r="C13" i="4"/>
  <c r="D18" i="4"/>
  <c r="F18" i="4"/>
  <c r="E18" i="4"/>
  <c r="C18" i="4"/>
  <c r="C23" i="4"/>
  <c r="F23" i="4"/>
  <c r="E23" i="4"/>
  <c r="D23" i="4"/>
  <c r="E9" i="4"/>
  <c r="F9" i="4"/>
  <c r="D9" i="4"/>
  <c r="C9" i="4"/>
  <c r="D14" i="4"/>
  <c r="F14" i="4"/>
  <c r="E14" i="4"/>
  <c r="C14" i="4"/>
  <c r="C19" i="4"/>
  <c r="F19" i="4"/>
  <c r="E19" i="4"/>
  <c r="D19" i="4"/>
  <c r="E25" i="4"/>
  <c r="F25" i="4"/>
  <c r="D25" i="4"/>
  <c r="C25" i="4"/>
  <c r="D10" i="4"/>
  <c r="F10" i="4"/>
  <c r="E10" i="4"/>
  <c r="C10" i="4"/>
  <c r="C15" i="4"/>
  <c r="F15" i="4"/>
  <c r="E15" i="4"/>
  <c r="D15" i="4"/>
  <c r="E21" i="4"/>
  <c r="F21" i="4"/>
  <c r="D21" i="4"/>
  <c r="C21" i="4"/>
  <c r="D26" i="4"/>
  <c r="F26" i="4"/>
  <c r="E26" i="4"/>
  <c r="C26" i="4"/>
  <c r="C11" i="4"/>
  <c r="F11" i="4"/>
  <c r="E11" i="4"/>
  <c r="D11" i="4"/>
  <c r="E17" i="4"/>
  <c r="F17" i="4"/>
  <c r="D17" i="4"/>
  <c r="C17" i="4"/>
  <c r="D22" i="4"/>
  <c r="F22" i="4"/>
  <c r="E22" i="4"/>
  <c r="C22" i="4"/>
  <c r="C27" i="4"/>
  <c r="F27" i="4"/>
  <c r="E27" i="4"/>
  <c r="D27" i="4"/>
  <c r="D31" i="4"/>
  <c r="C31" i="4"/>
  <c r="E30" i="4"/>
  <c r="D30" i="4"/>
  <c r="E29" i="4"/>
  <c r="E33" i="4"/>
  <c r="R6" i="1" l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S722" i="1"/>
  <c r="S718" i="1"/>
  <c r="S714" i="1"/>
  <c r="S710" i="1"/>
  <c r="S706" i="1"/>
  <c r="S702" i="1"/>
  <c r="S698" i="1"/>
  <c r="S694" i="1"/>
  <c r="S690" i="1"/>
  <c r="S686" i="1"/>
  <c r="S721" i="1"/>
  <c r="S717" i="1"/>
  <c r="S713" i="1"/>
  <c r="S709" i="1"/>
  <c r="S705" i="1"/>
  <c r="S701" i="1"/>
  <c r="S697" i="1"/>
  <c r="S693" i="1"/>
  <c r="S689" i="1"/>
  <c r="S685" i="1"/>
  <c r="S681" i="1"/>
  <c r="S677" i="1"/>
  <c r="S673" i="1"/>
  <c r="S669" i="1"/>
  <c r="S665" i="1"/>
  <c r="S661" i="1"/>
  <c r="S657" i="1"/>
  <c r="S653" i="1"/>
  <c r="S649" i="1"/>
  <c r="S645" i="1"/>
  <c r="S641" i="1"/>
  <c r="S637" i="1"/>
  <c r="S633" i="1"/>
  <c r="S629" i="1"/>
  <c r="S625" i="1"/>
  <c r="S621" i="1"/>
  <c r="S617" i="1"/>
  <c r="S613" i="1"/>
  <c r="S609" i="1"/>
  <c r="S605" i="1"/>
  <c r="S601" i="1"/>
  <c r="S597" i="1"/>
  <c r="S593" i="1"/>
  <c r="S589" i="1"/>
  <c r="S585" i="1"/>
  <c r="S581" i="1"/>
  <c r="S577" i="1"/>
  <c r="S573" i="1"/>
  <c r="S569" i="1"/>
  <c r="S565" i="1"/>
  <c r="S561" i="1"/>
  <c r="S557" i="1"/>
  <c r="S553" i="1"/>
  <c r="S549" i="1"/>
  <c r="S545" i="1"/>
  <c r="S541" i="1"/>
  <c r="S537" i="1"/>
  <c r="S533" i="1"/>
  <c r="S529" i="1"/>
  <c r="S525" i="1"/>
  <c r="S521" i="1"/>
  <c r="S517" i="1"/>
  <c r="S513" i="1"/>
  <c r="S509" i="1"/>
  <c r="S505" i="1"/>
  <c r="S501" i="1"/>
  <c r="S497" i="1"/>
  <c r="S493" i="1"/>
  <c r="S489" i="1"/>
  <c r="S485" i="1"/>
  <c r="S481" i="1"/>
  <c r="S477" i="1"/>
  <c r="S473" i="1"/>
  <c r="S469" i="1"/>
  <c r="S465" i="1"/>
  <c r="S461" i="1"/>
  <c r="S457" i="1"/>
  <c r="S453" i="1"/>
  <c r="S449" i="1"/>
  <c r="S445" i="1"/>
  <c r="S441" i="1"/>
  <c r="S437" i="1"/>
  <c r="S433" i="1"/>
  <c r="S429" i="1"/>
  <c r="S425" i="1"/>
  <c r="S421" i="1"/>
  <c r="S417" i="1"/>
  <c r="S413" i="1"/>
  <c r="S409" i="1"/>
  <c r="S405" i="1"/>
  <c r="S401" i="1"/>
  <c r="S397" i="1"/>
  <c r="S393" i="1"/>
  <c r="S389" i="1"/>
  <c r="S385" i="1"/>
  <c r="S381" i="1"/>
  <c r="S377" i="1"/>
  <c r="S373" i="1"/>
  <c r="S369" i="1"/>
  <c r="S365" i="1"/>
  <c r="S361" i="1"/>
  <c r="S357" i="1"/>
  <c r="S353" i="1"/>
  <c r="S349" i="1"/>
  <c r="S345" i="1"/>
  <c r="S341" i="1"/>
  <c r="S337" i="1"/>
  <c r="S333" i="1"/>
  <c r="S329" i="1"/>
  <c r="S719" i="1"/>
  <c r="S711" i="1"/>
  <c r="S703" i="1"/>
  <c r="S695" i="1"/>
  <c r="S687" i="1"/>
  <c r="S684" i="1"/>
  <c r="S674" i="1"/>
  <c r="S671" i="1"/>
  <c r="S668" i="1"/>
  <c r="S658" i="1"/>
  <c r="S655" i="1"/>
  <c r="S652" i="1"/>
  <c r="S642" i="1"/>
  <c r="S639" i="1"/>
  <c r="S636" i="1"/>
  <c r="S626" i="1"/>
  <c r="S623" i="1"/>
  <c r="S620" i="1"/>
  <c r="S610" i="1"/>
  <c r="S607" i="1"/>
  <c r="S604" i="1"/>
  <c r="S594" i="1"/>
  <c r="S591" i="1"/>
  <c r="S588" i="1"/>
  <c r="S578" i="1"/>
  <c r="S575" i="1"/>
  <c r="S572" i="1"/>
  <c r="S562" i="1"/>
  <c r="S559" i="1"/>
  <c r="S556" i="1"/>
  <c r="S546" i="1"/>
  <c r="S543" i="1"/>
  <c r="S540" i="1"/>
  <c r="S724" i="1"/>
  <c r="S716" i="1"/>
  <c r="S708" i="1"/>
  <c r="S700" i="1"/>
  <c r="S692" i="1"/>
  <c r="S678" i="1"/>
  <c r="S675" i="1"/>
  <c r="S672" i="1"/>
  <c r="S662" i="1"/>
  <c r="S659" i="1"/>
  <c r="S656" i="1"/>
  <c r="S646" i="1"/>
  <c r="S643" i="1"/>
  <c r="S640" i="1"/>
  <c r="S630" i="1"/>
  <c r="S627" i="1"/>
  <c r="S624" i="1"/>
  <c r="S614" i="1"/>
  <c r="S611" i="1"/>
  <c r="S608" i="1"/>
  <c r="S598" i="1"/>
  <c r="S595" i="1"/>
  <c r="S592" i="1"/>
  <c r="S582" i="1"/>
  <c r="S579" i="1"/>
  <c r="S576" i="1"/>
  <c r="S566" i="1"/>
  <c r="S563" i="1"/>
  <c r="S560" i="1"/>
  <c r="S550" i="1"/>
  <c r="S547" i="1"/>
  <c r="S544" i="1"/>
  <c r="S534" i="1"/>
  <c r="S531" i="1"/>
  <c r="S528" i="1"/>
  <c r="S518" i="1"/>
  <c r="S515" i="1"/>
  <c r="S512" i="1"/>
  <c r="S502" i="1"/>
  <c r="S499" i="1"/>
  <c r="S496" i="1"/>
  <c r="S486" i="1"/>
  <c r="S483" i="1"/>
  <c r="S480" i="1"/>
  <c r="S470" i="1"/>
  <c r="S467" i="1"/>
  <c r="S464" i="1"/>
  <c r="S454" i="1"/>
  <c r="S451" i="1"/>
  <c r="S448" i="1"/>
  <c r="S438" i="1"/>
  <c r="S435" i="1"/>
  <c r="S432" i="1"/>
  <c r="S422" i="1"/>
  <c r="S419" i="1"/>
  <c r="S416" i="1"/>
  <c r="S406" i="1"/>
  <c r="S403" i="1"/>
  <c r="S400" i="1"/>
  <c r="S390" i="1"/>
  <c r="S387" i="1"/>
  <c r="S384" i="1"/>
  <c r="S374" i="1"/>
  <c r="S371" i="1"/>
  <c r="S368" i="1"/>
  <c r="S358" i="1"/>
  <c r="S355" i="1"/>
  <c r="S352" i="1"/>
  <c r="S342" i="1"/>
  <c r="S339" i="1"/>
  <c r="S336" i="1"/>
  <c r="S723" i="1"/>
  <c r="S715" i="1"/>
  <c r="S707" i="1"/>
  <c r="S699" i="1"/>
  <c r="S691" i="1"/>
  <c r="S682" i="1"/>
  <c r="S679" i="1"/>
  <c r="S676" i="1"/>
  <c r="S666" i="1"/>
  <c r="S663" i="1"/>
  <c r="S660" i="1"/>
  <c r="S650" i="1"/>
  <c r="S647" i="1"/>
  <c r="S644" i="1"/>
  <c r="S634" i="1"/>
  <c r="S631" i="1"/>
  <c r="S628" i="1"/>
  <c r="S618" i="1"/>
  <c r="S615" i="1"/>
  <c r="S612" i="1"/>
  <c r="S602" i="1"/>
  <c r="S599" i="1"/>
  <c r="S596" i="1"/>
  <c r="S586" i="1"/>
  <c r="S583" i="1"/>
  <c r="S580" i="1"/>
  <c r="S570" i="1"/>
  <c r="S567" i="1"/>
  <c r="S564" i="1"/>
  <c r="S554" i="1"/>
  <c r="S551" i="1"/>
  <c r="S548" i="1"/>
  <c r="S538" i="1"/>
  <c r="S535" i="1"/>
  <c r="S532" i="1"/>
  <c r="S522" i="1"/>
  <c r="S519" i="1"/>
  <c r="S516" i="1"/>
  <c r="S506" i="1"/>
  <c r="S503" i="1"/>
  <c r="S500" i="1"/>
  <c r="S490" i="1"/>
  <c r="S487" i="1"/>
  <c r="S484" i="1"/>
  <c r="S474" i="1"/>
  <c r="S471" i="1"/>
  <c r="S468" i="1"/>
  <c r="S458" i="1"/>
  <c r="S455" i="1"/>
  <c r="S452" i="1"/>
  <c r="S442" i="1"/>
  <c r="S439" i="1"/>
  <c r="S436" i="1"/>
  <c r="S426" i="1"/>
  <c r="S423" i="1"/>
  <c r="S420" i="1"/>
  <c r="S410" i="1"/>
  <c r="S407" i="1"/>
  <c r="S404" i="1"/>
  <c r="S394" i="1"/>
  <c r="S391" i="1"/>
  <c r="S388" i="1"/>
  <c r="S378" i="1"/>
  <c r="S375" i="1"/>
  <c r="S372" i="1"/>
  <c r="S712" i="1"/>
  <c r="S670" i="1"/>
  <c r="S651" i="1"/>
  <c r="S632" i="1"/>
  <c r="S606" i="1"/>
  <c r="S587" i="1"/>
  <c r="S568" i="1"/>
  <c r="S542" i="1"/>
  <c r="S523" i="1"/>
  <c r="S510" i="1"/>
  <c r="S504" i="1"/>
  <c r="S491" i="1"/>
  <c r="S478" i="1"/>
  <c r="S472" i="1"/>
  <c r="S459" i="1"/>
  <c r="S446" i="1"/>
  <c r="S440" i="1"/>
  <c r="S427" i="1"/>
  <c r="S414" i="1"/>
  <c r="S408" i="1"/>
  <c r="S395" i="1"/>
  <c r="S382" i="1"/>
  <c r="S376" i="1"/>
  <c r="S354" i="1"/>
  <c r="S350" i="1"/>
  <c r="S346" i="1"/>
  <c r="S335" i="1"/>
  <c r="S331" i="1"/>
  <c r="S328" i="1"/>
  <c r="S325" i="1"/>
  <c r="S321" i="1"/>
  <c r="S317" i="1"/>
  <c r="S313" i="1"/>
  <c r="S309" i="1"/>
  <c r="S305" i="1"/>
  <c r="S301" i="1"/>
  <c r="S297" i="1"/>
  <c r="S293" i="1"/>
  <c r="S289" i="1"/>
  <c r="S285" i="1"/>
  <c r="S281" i="1"/>
  <c r="S277" i="1"/>
  <c r="S273" i="1"/>
  <c r="S269" i="1"/>
  <c r="S265" i="1"/>
  <c r="S261" i="1"/>
  <c r="S257" i="1"/>
  <c r="S253" i="1"/>
  <c r="S249" i="1"/>
  <c r="S245" i="1"/>
  <c r="S241" i="1"/>
  <c r="S237" i="1"/>
  <c r="S233" i="1"/>
  <c r="S229" i="1"/>
  <c r="S225" i="1"/>
  <c r="S221" i="1"/>
  <c r="S217" i="1"/>
  <c r="S213" i="1"/>
  <c r="S209" i="1"/>
  <c r="S205" i="1"/>
  <c r="S201" i="1"/>
  <c r="S197" i="1"/>
  <c r="S193" i="1"/>
  <c r="S189" i="1"/>
  <c r="S185" i="1"/>
  <c r="S181" i="1"/>
  <c r="S177" i="1"/>
  <c r="S173" i="1"/>
  <c r="S169" i="1"/>
  <c r="S165" i="1"/>
  <c r="S161" i="1"/>
  <c r="S157" i="1"/>
  <c r="S153" i="1"/>
  <c r="S149" i="1"/>
  <c r="S704" i="1"/>
  <c r="S667" i="1"/>
  <c r="S648" i="1"/>
  <c r="S622" i="1"/>
  <c r="S603" i="1"/>
  <c r="S584" i="1"/>
  <c r="S558" i="1"/>
  <c r="S539" i="1"/>
  <c r="S530" i="1"/>
  <c r="S524" i="1"/>
  <c r="S511" i="1"/>
  <c r="S498" i="1"/>
  <c r="S492" i="1"/>
  <c r="S479" i="1"/>
  <c r="S466" i="1"/>
  <c r="S460" i="1"/>
  <c r="S447" i="1"/>
  <c r="S434" i="1"/>
  <c r="S428" i="1"/>
  <c r="S415" i="1"/>
  <c r="S402" i="1"/>
  <c r="S396" i="1"/>
  <c r="S383" i="1"/>
  <c r="S370" i="1"/>
  <c r="S364" i="1"/>
  <c r="S360" i="1"/>
  <c r="S356" i="1"/>
  <c r="S338" i="1"/>
  <c r="S334" i="1"/>
  <c r="S330" i="1"/>
  <c r="S324" i="1"/>
  <c r="S320" i="1"/>
  <c r="S316" i="1"/>
  <c r="S312" i="1"/>
  <c r="S308" i="1"/>
  <c r="S304" i="1"/>
  <c r="S300" i="1"/>
  <c r="S296" i="1"/>
  <c r="S292" i="1"/>
  <c r="S288" i="1"/>
  <c r="S284" i="1"/>
  <c r="S280" i="1"/>
  <c r="S276" i="1"/>
  <c r="S272" i="1"/>
  <c r="S268" i="1"/>
  <c r="S264" i="1"/>
  <c r="S260" i="1"/>
  <c r="S256" i="1"/>
  <c r="S252" i="1"/>
  <c r="S248" i="1"/>
  <c r="S244" i="1"/>
  <c r="S240" i="1"/>
  <c r="S236" i="1"/>
  <c r="S232" i="1"/>
  <c r="S228" i="1"/>
  <c r="S224" i="1"/>
  <c r="S220" i="1"/>
  <c r="S216" i="1"/>
  <c r="S212" i="1"/>
  <c r="S208" i="1"/>
  <c r="S204" i="1"/>
  <c r="S200" i="1"/>
  <c r="S196" i="1"/>
  <c r="S192" i="1"/>
  <c r="S188" i="1"/>
  <c r="S184" i="1"/>
  <c r="S180" i="1"/>
  <c r="S176" i="1"/>
  <c r="S172" i="1"/>
  <c r="S168" i="1"/>
  <c r="S164" i="1"/>
  <c r="S160" i="1"/>
  <c r="S156" i="1"/>
  <c r="S152" i="1"/>
  <c r="S148" i="1"/>
  <c r="S144" i="1"/>
  <c r="S140" i="1"/>
  <c r="S136" i="1"/>
  <c r="S132" i="1"/>
  <c r="S128" i="1"/>
  <c r="S124" i="1"/>
  <c r="S120" i="1"/>
  <c r="S116" i="1"/>
  <c r="S112" i="1"/>
  <c r="S108" i="1"/>
  <c r="S104" i="1"/>
  <c r="S100" i="1"/>
  <c r="S96" i="1"/>
  <c r="S92" i="1"/>
  <c r="S88" i="1"/>
  <c r="S84" i="1"/>
  <c r="S80" i="1"/>
  <c r="S76" i="1"/>
  <c r="S72" i="1"/>
  <c r="S68" i="1"/>
  <c r="S64" i="1"/>
  <c r="S60" i="1"/>
  <c r="S57" i="1"/>
  <c r="S55" i="1"/>
  <c r="S52" i="1"/>
  <c r="S49" i="1"/>
  <c r="S47" i="1"/>
  <c r="S45" i="1"/>
  <c r="S43" i="1"/>
  <c r="S41" i="1"/>
  <c r="S38" i="1"/>
  <c r="S36" i="1"/>
  <c r="S34" i="1"/>
  <c r="S32" i="1"/>
  <c r="S30" i="1"/>
  <c r="S28" i="1"/>
  <c r="S24" i="1"/>
  <c r="S20" i="1"/>
  <c r="S16" i="1"/>
  <c r="S12" i="1"/>
  <c r="S8" i="1"/>
  <c r="S151" i="1"/>
  <c r="S143" i="1"/>
  <c r="S135" i="1"/>
  <c r="S127" i="1"/>
  <c r="S119" i="1"/>
  <c r="S107" i="1"/>
  <c r="S95" i="1"/>
  <c r="S91" i="1"/>
  <c r="S83" i="1"/>
  <c r="S75" i="1"/>
  <c r="S67" i="1"/>
  <c r="S59" i="1"/>
  <c r="S696" i="1"/>
  <c r="S683" i="1"/>
  <c r="S664" i="1"/>
  <c r="S638" i="1"/>
  <c r="S619" i="1"/>
  <c r="S600" i="1"/>
  <c r="S574" i="1"/>
  <c r="S555" i="1"/>
  <c r="S536" i="1"/>
  <c r="S526" i="1"/>
  <c r="S520" i="1"/>
  <c r="S507" i="1"/>
  <c r="S494" i="1"/>
  <c r="S488" i="1"/>
  <c r="S475" i="1"/>
  <c r="S462" i="1"/>
  <c r="S456" i="1"/>
  <c r="S443" i="1"/>
  <c r="S430" i="1"/>
  <c r="S424" i="1"/>
  <c r="S411" i="1"/>
  <c r="S398" i="1"/>
  <c r="S392" i="1"/>
  <c r="S379" i="1"/>
  <c r="S363" i="1"/>
  <c r="S359" i="1"/>
  <c r="S348" i="1"/>
  <c r="S344" i="1"/>
  <c r="S340" i="1"/>
  <c r="S323" i="1"/>
  <c r="S319" i="1"/>
  <c r="S315" i="1"/>
  <c r="S311" i="1"/>
  <c r="S307" i="1"/>
  <c r="S303" i="1"/>
  <c r="S299" i="1"/>
  <c r="S295" i="1"/>
  <c r="S291" i="1"/>
  <c r="S287" i="1"/>
  <c r="S283" i="1"/>
  <c r="S279" i="1"/>
  <c r="S275" i="1"/>
  <c r="S271" i="1"/>
  <c r="S267" i="1"/>
  <c r="S263" i="1"/>
  <c r="S259" i="1"/>
  <c r="S255" i="1"/>
  <c r="S251" i="1"/>
  <c r="S247" i="1"/>
  <c r="S243" i="1"/>
  <c r="S239" i="1"/>
  <c r="S235" i="1"/>
  <c r="S231" i="1"/>
  <c r="S227" i="1"/>
  <c r="S223" i="1"/>
  <c r="S219" i="1"/>
  <c r="S215" i="1"/>
  <c r="S211" i="1"/>
  <c r="S207" i="1"/>
  <c r="S203" i="1"/>
  <c r="S199" i="1"/>
  <c r="S195" i="1"/>
  <c r="S191" i="1"/>
  <c r="S187" i="1"/>
  <c r="S183" i="1"/>
  <c r="S179" i="1"/>
  <c r="S175" i="1"/>
  <c r="S171" i="1"/>
  <c r="S167" i="1"/>
  <c r="S163" i="1"/>
  <c r="S159" i="1"/>
  <c r="S155" i="1"/>
  <c r="S147" i="1"/>
  <c r="S139" i="1"/>
  <c r="S131" i="1"/>
  <c r="S123" i="1"/>
  <c r="S115" i="1"/>
  <c r="S111" i="1"/>
  <c r="S103" i="1"/>
  <c r="S99" i="1"/>
  <c r="S87" i="1"/>
  <c r="S79" i="1"/>
  <c r="S71" i="1"/>
  <c r="S63" i="1"/>
  <c r="S56" i="1"/>
  <c r="S720" i="1"/>
  <c r="S688" i="1"/>
  <c r="S680" i="1"/>
  <c r="S654" i="1"/>
  <c r="S635" i="1"/>
  <c r="S616" i="1"/>
  <c r="S590" i="1"/>
  <c r="S571" i="1"/>
  <c r="S552" i="1"/>
  <c r="S527" i="1"/>
  <c r="S514" i="1"/>
  <c r="S508" i="1"/>
  <c r="S495" i="1"/>
  <c r="S482" i="1"/>
  <c r="S476" i="1"/>
  <c r="S463" i="1"/>
  <c r="S450" i="1"/>
  <c r="S444" i="1"/>
  <c r="S431" i="1"/>
  <c r="S418" i="1"/>
  <c r="S412" i="1"/>
  <c r="S399" i="1"/>
  <c r="S386" i="1"/>
  <c r="S380" i="1"/>
  <c r="S367" i="1"/>
  <c r="S366" i="1"/>
  <c r="S362" i="1"/>
  <c r="S351" i="1"/>
  <c r="S347" i="1"/>
  <c r="S343" i="1"/>
  <c r="S332" i="1"/>
  <c r="S327" i="1"/>
  <c r="S326" i="1"/>
  <c r="S322" i="1"/>
  <c r="S318" i="1"/>
  <c r="S314" i="1"/>
  <c r="S310" i="1"/>
  <c r="S306" i="1"/>
  <c r="S302" i="1"/>
  <c r="S298" i="1"/>
  <c r="S294" i="1"/>
  <c r="S290" i="1"/>
  <c r="S286" i="1"/>
  <c r="S282" i="1"/>
  <c r="S278" i="1"/>
  <c r="S274" i="1"/>
  <c r="S270" i="1"/>
  <c r="S266" i="1"/>
  <c r="S262" i="1"/>
  <c r="S258" i="1"/>
  <c r="S254" i="1"/>
  <c r="S250" i="1"/>
  <c r="S246" i="1"/>
  <c r="S242" i="1"/>
  <c r="S238" i="1"/>
  <c r="S234" i="1"/>
  <c r="S230" i="1"/>
  <c r="S226" i="1"/>
  <c r="S222" i="1"/>
  <c r="S218" i="1"/>
  <c r="S214" i="1"/>
  <c r="S210" i="1"/>
  <c r="S206" i="1"/>
  <c r="S202" i="1"/>
  <c r="S198" i="1"/>
  <c r="S194" i="1"/>
  <c r="S190" i="1"/>
  <c r="S186" i="1"/>
  <c r="S182" i="1"/>
  <c r="S178" i="1"/>
  <c r="S174" i="1"/>
  <c r="S170" i="1"/>
  <c r="S166" i="1"/>
  <c r="S162" i="1"/>
  <c r="S158" i="1"/>
  <c r="S154" i="1"/>
  <c r="S150" i="1"/>
  <c r="S146" i="1"/>
  <c r="S142" i="1"/>
  <c r="S138" i="1"/>
  <c r="S134" i="1"/>
  <c r="S130" i="1"/>
  <c r="S126" i="1"/>
  <c r="S122" i="1"/>
  <c r="S118" i="1"/>
  <c r="S114" i="1"/>
  <c r="S110" i="1"/>
  <c r="S106" i="1"/>
  <c r="S102" i="1"/>
  <c r="S98" i="1"/>
  <c r="S94" i="1"/>
  <c r="S90" i="1"/>
  <c r="S86" i="1"/>
  <c r="S82" i="1"/>
  <c r="S78" i="1"/>
  <c r="S74" i="1"/>
  <c r="S70" i="1"/>
  <c r="S66" i="1"/>
  <c r="S62" i="1"/>
  <c r="S58" i="1"/>
  <c r="S54" i="1"/>
  <c r="S50" i="1"/>
  <c r="S48" i="1"/>
  <c r="S46" i="1"/>
  <c r="S137" i="1"/>
  <c r="S121" i="1"/>
  <c r="S105" i="1"/>
  <c r="S89" i="1"/>
  <c r="S73" i="1"/>
  <c r="S18" i="1"/>
  <c r="S15" i="1"/>
  <c r="S133" i="1"/>
  <c r="S117" i="1"/>
  <c r="S101" i="1"/>
  <c r="S85" i="1"/>
  <c r="S69" i="1"/>
  <c r="S42" i="1"/>
  <c r="S37" i="1"/>
  <c r="S29" i="1"/>
  <c r="S25" i="1"/>
  <c r="S22" i="1"/>
  <c r="S19" i="1"/>
  <c r="S9" i="1"/>
  <c r="S6" i="1"/>
  <c r="S4" i="1"/>
  <c r="S65" i="1"/>
  <c r="S44" i="1"/>
  <c r="S39" i="1"/>
  <c r="S13" i="1"/>
  <c r="S10" i="1"/>
  <c r="S145" i="1"/>
  <c r="S129" i="1"/>
  <c r="S113" i="1"/>
  <c r="S97" i="1"/>
  <c r="S81" i="1"/>
  <c r="S31" i="1"/>
  <c r="S26" i="1"/>
  <c r="S23" i="1"/>
  <c r="S7" i="1"/>
  <c r="S141" i="1"/>
  <c r="S125" i="1"/>
  <c r="S109" i="1"/>
  <c r="S93" i="1"/>
  <c r="S77" i="1"/>
  <c r="S61" i="1"/>
  <c r="S53" i="1"/>
  <c r="S51" i="1"/>
  <c r="S40" i="1"/>
  <c r="S33" i="1"/>
  <c r="S27" i="1"/>
  <c r="S17" i="1"/>
  <c r="S14" i="1"/>
  <c r="S11" i="1"/>
  <c r="S35" i="1"/>
  <c r="S21" i="1"/>
  <c r="S5" i="1"/>
  <c r="T5" i="1" s="1"/>
  <c r="F13" i="3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502" i="3" s="1"/>
  <c r="F503" i="3" s="1"/>
  <c r="F504" i="3" s="1"/>
  <c r="F505" i="3" s="1"/>
  <c r="F506" i="3" s="1"/>
  <c r="F507" i="3" s="1"/>
  <c r="F508" i="3" s="1"/>
  <c r="F509" i="3" s="1"/>
  <c r="F510" i="3" s="1"/>
  <c r="F511" i="3" s="1"/>
  <c r="F512" i="3" s="1"/>
  <c r="F513" i="3" s="1"/>
  <c r="F514" i="3" s="1"/>
  <c r="F515" i="3" s="1"/>
  <c r="F516" i="3" s="1"/>
  <c r="F517" i="3" s="1"/>
  <c r="F518" i="3" s="1"/>
  <c r="F519" i="3" s="1"/>
  <c r="F520" i="3" s="1"/>
  <c r="F521" i="3" s="1"/>
  <c r="F522" i="3" s="1"/>
  <c r="F523" i="3" s="1"/>
  <c r="F524" i="3" s="1"/>
  <c r="F525" i="3" s="1"/>
  <c r="F526" i="3" s="1"/>
  <c r="F527" i="3" s="1"/>
  <c r="F528" i="3" s="1"/>
  <c r="F529" i="3" s="1"/>
  <c r="F530" i="3" s="1"/>
  <c r="F531" i="3" s="1"/>
  <c r="F532" i="3" s="1"/>
  <c r="F533" i="3" s="1"/>
  <c r="F534" i="3" s="1"/>
  <c r="F535" i="3" s="1"/>
  <c r="F536" i="3" s="1"/>
  <c r="F537" i="3" s="1"/>
  <c r="F538" i="3" s="1"/>
  <c r="F539" i="3" s="1"/>
  <c r="F540" i="3" s="1"/>
  <c r="F541" i="3" s="1"/>
  <c r="F542" i="3" s="1"/>
  <c r="F543" i="3" s="1"/>
  <c r="F544" i="3" s="1"/>
  <c r="F545" i="3" s="1"/>
  <c r="F546" i="3" s="1"/>
  <c r="F547" i="3" s="1"/>
  <c r="F548" i="3" s="1"/>
  <c r="F549" i="3" s="1"/>
  <c r="F550" i="3" s="1"/>
  <c r="F551" i="3" s="1"/>
  <c r="F552" i="3" s="1"/>
  <c r="F553" i="3" s="1"/>
  <c r="F554" i="3" s="1"/>
  <c r="F555" i="3" s="1"/>
  <c r="F556" i="3" s="1"/>
  <c r="F557" i="3" s="1"/>
  <c r="F558" i="3" s="1"/>
  <c r="F559" i="3" s="1"/>
  <c r="F560" i="3" s="1"/>
  <c r="F561" i="3" s="1"/>
  <c r="F562" i="3" s="1"/>
  <c r="F563" i="3" s="1"/>
  <c r="F564" i="3" s="1"/>
  <c r="F565" i="3" s="1"/>
  <c r="F566" i="3" s="1"/>
  <c r="F567" i="3" s="1"/>
  <c r="F568" i="3" s="1"/>
  <c r="F569" i="3" s="1"/>
  <c r="F570" i="3" s="1"/>
  <c r="F571" i="3" s="1"/>
  <c r="F572" i="3" s="1"/>
  <c r="F573" i="3" s="1"/>
  <c r="F574" i="3" s="1"/>
  <c r="F575" i="3" s="1"/>
  <c r="F576" i="3" s="1"/>
  <c r="F577" i="3" s="1"/>
  <c r="F578" i="3" s="1"/>
  <c r="F579" i="3" s="1"/>
  <c r="F580" i="3" s="1"/>
  <c r="F581" i="3" s="1"/>
  <c r="F582" i="3" s="1"/>
  <c r="F583" i="3" s="1"/>
  <c r="F584" i="3" s="1"/>
  <c r="F585" i="3" s="1"/>
  <c r="F586" i="3" s="1"/>
  <c r="F587" i="3" s="1"/>
  <c r="F588" i="3" s="1"/>
  <c r="F589" i="3" s="1"/>
  <c r="F590" i="3" s="1"/>
  <c r="F591" i="3" s="1"/>
  <c r="F592" i="3" s="1"/>
  <c r="F593" i="3" s="1"/>
  <c r="F594" i="3" s="1"/>
  <c r="F595" i="3" s="1"/>
  <c r="F596" i="3" s="1"/>
  <c r="F597" i="3" s="1"/>
  <c r="F598" i="3" s="1"/>
  <c r="F599" i="3" s="1"/>
  <c r="F600" i="3" s="1"/>
  <c r="F601" i="3" s="1"/>
  <c r="F602" i="3" s="1"/>
  <c r="F603" i="3" s="1"/>
  <c r="F604" i="3" s="1"/>
  <c r="F605" i="3" s="1"/>
  <c r="F606" i="3" s="1"/>
  <c r="F607" i="3" s="1"/>
  <c r="F608" i="3" s="1"/>
  <c r="F609" i="3" s="1"/>
  <c r="F610" i="3" s="1"/>
  <c r="F611" i="3" s="1"/>
  <c r="F612" i="3" s="1"/>
  <c r="F613" i="3" s="1"/>
  <c r="F614" i="3" s="1"/>
  <c r="F615" i="3" s="1"/>
  <c r="F616" i="3" s="1"/>
  <c r="F617" i="3" s="1"/>
  <c r="F618" i="3" s="1"/>
  <c r="F619" i="3" s="1"/>
  <c r="F620" i="3" s="1"/>
  <c r="F621" i="3" s="1"/>
  <c r="F622" i="3" s="1"/>
  <c r="F623" i="3" s="1"/>
  <c r="F624" i="3" s="1"/>
  <c r="F625" i="3" s="1"/>
  <c r="F626" i="3" s="1"/>
  <c r="F627" i="3" s="1"/>
  <c r="F628" i="3" s="1"/>
  <c r="F629" i="3" s="1"/>
  <c r="F630" i="3" s="1"/>
  <c r="F631" i="3" s="1"/>
  <c r="F632" i="3" s="1"/>
  <c r="F633" i="3" s="1"/>
  <c r="F634" i="3" s="1"/>
  <c r="F635" i="3" s="1"/>
  <c r="F636" i="3" s="1"/>
  <c r="F637" i="3" s="1"/>
  <c r="F638" i="3" s="1"/>
  <c r="F639" i="3" s="1"/>
  <c r="F640" i="3" s="1"/>
  <c r="F641" i="3" s="1"/>
  <c r="F642" i="3" s="1"/>
  <c r="F643" i="3" s="1"/>
  <c r="F644" i="3" s="1"/>
  <c r="F645" i="3" s="1"/>
  <c r="F646" i="3" s="1"/>
  <c r="F647" i="3" s="1"/>
  <c r="F648" i="3" s="1"/>
  <c r="F649" i="3" s="1"/>
  <c r="F650" i="3" s="1"/>
  <c r="F651" i="3" s="1"/>
  <c r="F652" i="3" s="1"/>
  <c r="F653" i="3" s="1"/>
  <c r="F654" i="3" s="1"/>
  <c r="F655" i="3" s="1"/>
  <c r="F656" i="3" s="1"/>
  <c r="F657" i="3" s="1"/>
  <c r="F658" i="3" s="1"/>
  <c r="F659" i="3" s="1"/>
  <c r="F660" i="3" s="1"/>
  <c r="F661" i="3" s="1"/>
  <c r="F662" i="3" s="1"/>
  <c r="F663" i="3" s="1"/>
  <c r="F664" i="3" s="1"/>
  <c r="F665" i="3" s="1"/>
  <c r="F666" i="3" s="1"/>
  <c r="F667" i="3" s="1"/>
  <c r="F668" i="3" s="1"/>
  <c r="F669" i="3" s="1"/>
  <c r="F670" i="3" s="1"/>
  <c r="F671" i="3" s="1"/>
  <c r="F672" i="3" s="1"/>
  <c r="F673" i="3" s="1"/>
  <c r="F674" i="3" s="1"/>
  <c r="F675" i="3" s="1"/>
  <c r="F676" i="3" s="1"/>
  <c r="F677" i="3" s="1"/>
  <c r="F678" i="3" s="1"/>
  <c r="F679" i="3" s="1"/>
  <c r="F680" i="3" s="1"/>
  <c r="F681" i="3" s="1"/>
  <c r="F682" i="3" s="1"/>
  <c r="F683" i="3" s="1"/>
  <c r="F684" i="3" s="1"/>
  <c r="F685" i="3" s="1"/>
  <c r="F686" i="3" s="1"/>
  <c r="F687" i="3" s="1"/>
  <c r="F688" i="3" s="1"/>
  <c r="F689" i="3" s="1"/>
  <c r="F690" i="3" s="1"/>
  <c r="F691" i="3" s="1"/>
  <c r="F692" i="3" s="1"/>
  <c r="F693" i="3" s="1"/>
  <c r="F694" i="3" s="1"/>
  <c r="F695" i="3" s="1"/>
  <c r="F696" i="3" s="1"/>
  <c r="F697" i="3" s="1"/>
  <c r="F698" i="3" s="1"/>
  <c r="F699" i="3" s="1"/>
  <c r="F700" i="3" s="1"/>
  <c r="F701" i="3" s="1"/>
  <c r="F702" i="3" s="1"/>
  <c r="F703" i="3" s="1"/>
  <c r="F704" i="3" s="1"/>
  <c r="F705" i="3" s="1"/>
  <c r="F706" i="3" s="1"/>
  <c r="F707" i="3" s="1"/>
  <c r="F708" i="3" s="1"/>
  <c r="F709" i="3" s="1"/>
  <c r="F710" i="3" s="1"/>
  <c r="F711" i="3" s="1"/>
  <c r="F712" i="3" s="1"/>
  <c r="F713" i="3" s="1"/>
  <c r="F714" i="3" s="1"/>
  <c r="F715" i="3" s="1"/>
  <c r="F716" i="3" s="1"/>
  <c r="F717" i="3" s="1"/>
  <c r="F718" i="3" s="1"/>
  <c r="F719" i="3" s="1"/>
  <c r="F720" i="3" s="1"/>
  <c r="F721" i="3" s="1"/>
  <c r="F722" i="3" s="1"/>
  <c r="F723" i="3" s="1"/>
  <c r="F724" i="3" s="1"/>
  <c r="F725" i="3" s="1"/>
  <c r="F726" i="3" s="1"/>
  <c r="F727" i="3" s="1"/>
  <c r="F728" i="3" s="1"/>
  <c r="F729" i="3" s="1"/>
  <c r="F730" i="3" s="1"/>
  <c r="F731" i="3" s="1"/>
  <c r="F732" i="3" s="1"/>
  <c r="D13" i="3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D621" i="3" s="1"/>
  <c r="D622" i="3" s="1"/>
  <c r="D623" i="3" s="1"/>
  <c r="D624" i="3" s="1"/>
  <c r="D625" i="3" s="1"/>
  <c r="D626" i="3" s="1"/>
  <c r="D627" i="3" s="1"/>
  <c r="D628" i="3" s="1"/>
  <c r="D629" i="3" s="1"/>
  <c r="D630" i="3" s="1"/>
  <c r="D631" i="3" s="1"/>
  <c r="D632" i="3" s="1"/>
  <c r="D633" i="3" s="1"/>
  <c r="D634" i="3" s="1"/>
  <c r="D635" i="3" s="1"/>
  <c r="D636" i="3" s="1"/>
  <c r="D637" i="3" s="1"/>
  <c r="D638" i="3" s="1"/>
  <c r="D639" i="3" s="1"/>
  <c r="D640" i="3" s="1"/>
  <c r="D641" i="3" s="1"/>
  <c r="D642" i="3" s="1"/>
  <c r="D643" i="3" s="1"/>
  <c r="D644" i="3" s="1"/>
  <c r="D645" i="3" s="1"/>
  <c r="D646" i="3" s="1"/>
  <c r="D647" i="3" s="1"/>
  <c r="D648" i="3" s="1"/>
  <c r="D649" i="3" s="1"/>
  <c r="D650" i="3" s="1"/>
  <c r="D651" i="3" s="1"/>
  <c r="D652" i="3" s="1"/>
  <c r="D653" i="3" s="1"/>
  <c r="D654" i="3" s="1"/>
  <c r="D655" i="3" s="1"/>
  <c r="D656" i="3" s="1"/>
  <c r="D657" i="3" s="1"/>
  <c r="D658" i="3" s="1"/>
  <c r="D659" i="3" s="1"/>
  <c r="D660" i="3" s="1"/>
  <c r="D661" i="3" s="1"/>
  <c r="D662" i="3" s="1"/>
  <c r="D663" i="3" s="1"/>
  <c r="D664" i="3" s="1"/>
  <c r="D665" i="3" s="1"/>
  <c r="D666" i="3" s="1"/>
  <c r="D667" i="3" s="1"/>
  <c r="D668" i="3" s="1"/>
  <c r="D669" i="3" s="1"/>
  <c r="D670" i="3" s="1"/>
  <c r="D671" i="3" s="1"/>
  <c r="D672" i="3" s="1"/>
  <c r="D673" i="3" s="1"/>
  <c r="D674" i="3" s="1"/>
  <c r="D675" i="3" s="1"/>
  <c r="D676" i="3" s="1"/>
  <c r="D677" i="3" s="1"/>
  <c r="D678" i="3" s="1"/>
  <c r="D679" i="3" s="1"/>
  <c r="D680" i="3" s="1"/>
  <c r="D681" i="3" s="1"/>
  <c r="D682" i="3" s="1"/>
  <c r="D683" i="3" s="1"/>
  <c r="D684" i="3" s="1"/>
  <c r="D685" i="3" s="1"/>
  <c r="D686" i="3" s="1"/>
  <c r="D687" i="3" s="1"/>
  <c r="D688" i="3" s="1"/>
  <c r="D689" i="3" s="1"/>
  <c r="D690" i="3" s="1"/>
  <c r="D691" i="3" s="1"/>
  <c r="D692" i="3" s="1"/>
  <c r="D693" i="3" s="1"/>
  <c r="D694" i="3" s="1"/>
  <c r="D695" i="3" s="1"/>
  <c r="D696" i="3" s="1"/>
  <c r="D697" i="3" s="1"/>
  <c r="D698" i="3" s="1"/>
  <c r="D699" i="3" s="1"/>
  <c r="D700" i="3" s="1"/>
  <c r="D701" i="3" s="1"/>
  <c r="D702" i="3" s="1"/>
  <c r="D703" i="3" s="1"/>
  <c r="D704" i="3" s="1"/>
  <c r="D705" i="3" s="1"/>
  <c r="D706" i="3" s="1"/>
  <c r="D707" i="3" s="1"/>
  <c r="D708" i="3" s="1"/>
  <c r="D709" i="3" s="1"/>
  <c r="D710" i="3" s="1"/>
  <c r="D711" i="3" s="1"/>
  <c r="D712" i="3" s="1"/>
  <c r="D713" i="3" s="1"/>
  <c r="D714" i="3" s="1"/>
  <c r="D715" i="3" s="1"/>
  <c r="D716" i="3" s="1"/>
  <c r="D717" i="3" s="1"/>
  <c r="D718" i="3" s="1"/>
  <c r="D719" i="3" s="1"/>
  <c r="D720" i="3" s="1"/>
  <c r="D721" i="3" s="1"/>
  <c r="D722" i="3" s="1"/>
  <c r="D723" i="3" s="1"/>
  <c r="D724" i="3" s="1"/>
  <c r="D725" i="3" s="1"/>
  <c r="D726" i="3" s="1"/>
  <c r="D727" i="3" s="1"/>
  <c r="D728" i="3" s="1"/>
  <c r="D729" i="3" s="1"/>
  <c r="D730" i="3" s="1"/>
  <c r="D731" i="3" s="1"/>
  <c r="D732" i="3" s="1"/>
  <c r="D7" i="3"/>
  <c r="D8" i="3" s="1"/>
  <c r="I13" i="3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I217" i="3" s="1"/>
  <c r="I218" i="3" s="1"/>
  <c r="I219" i="3" s="1"/>
  <c r="I220" i="3" s="1"/>
  <c r="I221" i="3" s="1"/>
  <c r="I222" i="3" s="1"/>
  <c r="I223" i="3" s="1"/>
  <c r="I224" i="3" s="1"/>
  <c r="I225" i="3" s="1"/>
  <c r="I226" i="3" s="1"/>
  <c r="I227" i="3" s="1"/>
  <c r="I228" i="3" s="1"/>
  <c r="I229" i="3" s="1"/>
  <c r="I230" i="3" s="1"/>
  <c r="I231" i="3" s="1"/>
  <c r="I232" i="3" s="1"/>
  <c r="I233" i="3" s="1"/>
  <c r="I234" i="3" s="1"/>
  <c r="I235" i="3" s="1"/>
  <c r="I236" i="3" s="1"/>
  <c r="I237" i="3" s="1"/>
  <c r="I238" i="3" s="1"/>
  <c r="I239" i="3" s="1"/>
  <c r="I240" i="3" s="1"/>
  <c r="I241" i="3" s="1"/>
  <c r="I242" i="3" s="1"/>
  <c r="I243" i="3" s="1"/>
  <c r="I244" i="3" s="1"/>
  <c r="I245" i="3" s="1"/>
  <c r="I246" i="3" s="1"/>
  <c r="I247" i="3" s="1"/>
  <c r="I248" i="3" s="1"/>
  <c r="I249" i="3" s="1"/>
  <c r="I250" i="3" s="1"/>
  <c r="I251" i="3" s="1"/>
  <c r="I252" i="3" s="1"/>
  <c r="I253" i="3" s="1"/>
  <c r="I254" i="3" s="1"/>
  <c r="I255" i="3" s="1"/>
  <c r="I256" i="3" s="1"/>
  <c r="I257" i="3" s="1"/>
  <c r="I258" i="3" s="1"/>
  <c r="I259" i="3" s="1"/>
  <c r="I260" i="3" s="1"/>
  <c r="I261" i="3" s="1"/>
  <c r="I262" i="3" s="1"/>
  <c r="I263" i="3" s="1"/>
  <c r="I264" i="3" s="1"/>
  <c r="I265" i="3" s="1"/>
  <c r="I266" i="3" s="1"/>
  <c r="I267" i="3" s="1"/>
  <c r="I268" i="3" s="1"/>
  <c r="I269" i="3" s="1"/>
  <c r="I270" i="3" s="1"/>
  <c r="I271" i="3" s="1"/>
  <c r="I272" i="3" s="1"/>
  <c r="I273" i="3" s="1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85" i="3" s="1"/>
  <c r="I286" i="3" s="1"/>
  <c r="I287" i="3" s="1"/>
  <c r="I288" i="3" s="1"/>
  <c r="I289" i="3" s="1"/>
  <c r="I290" i="3" s="1"/>
  <c r="I291" i="3" s="1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I361" i="3" s="1"/>
  <c r="I362" i="3" s="1"/>
  <c r="I363" i="3" s="1"/>
  <c r="I364" i="3" s="1"/>
  <c r="I365" i="3" s="1"/>
  <c r="I366" i="3" s="1"/>
  <c r="I367" i="3" s="1"/>
  <c r="I368" i="3" s="1"/>
  <c r="I369" i="3" s="1"/>
  <c r="I370" i="3" s="1"/>
  <c r="I371" i="3" s="1"/>
  <c r="I372" i="3" s="1"/>
  <c r="I373" i="3" s="1"/>
  <c r="I374" i="3" s="1"/>
  <c r="I375" i="3" s="1"/>
  <c r="I376" i="3" s="1"/>
  <c r="I377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I413" i="3" s="1"/>
  <c r="I414" i="3" s="1"/>
  <c r="I415" i="3" s="1"/>
  <c r="I416" i="3" s="1"/>
  <c r="I417" i="3" s="1"/>
  <c r="I418" i="3" s="1"/>
  <c r="I419" i="3" s="1"/>
  <c r="I420" i="3" s="1"/>
  <c r="I421" i="3" s="1"/>
  <c r="I422" i="3" s="1"/>
  <c r="I423" i="3" s="1"/>
  <c r="I424" i="3" s="1"/>
  <c r="I425" i="3" s="1"/>
  <c r="I426" i="3" s="1"/>
  <c r="I427" i="3" s="1"/>
  <c r="I428" i="3" s="1"/>
  <c r="I429" i="3" s="1"/>
  <c r="I430" i="3" s="1"/>
  <c r="I431" i="3" s="1"/>
  <c r="I432" i="3" s="1"/>
  <c r="I433" i="3" s="1"/>
  <c r="I434" i="3" s="1"/>
  <c r="I435" i="3" s="1"/>
  <c r="I436" i="3" s="1"/>
  <c r="I437" i="3" s="1"/>
  <c r="I438" i="3" s="1"/>
  <c r="I439" i="3" s="1"/>
  <c r="I440" i="3" s="1"/>
  <c r="I441" i="3" s="1"/>
  <c r="I442" i="3" s="1"/>
  <c r="I443" i="3" s="1"/>
  <c r="I444" i="3" s="1"/>
  <c r="I445" i="3" s="1"/>
  <c r="I446" i="3" s="1"/>
  <c r="I447" i="3" s="1"/>
  <c r="I448" i="3" s="1"/>
  <c r="I449" i="3" s="1"/>
  <c r="I450" i="3" s="1"/>
  <c r="I451" i="3" s="1"/>
  <c r="I452" i="3" s="1"/>
  <c r="I453" i="3" s="1"/>
  <c r="I454" i="3" s="1"/>
  <c r="I455" i="3" s="1"/>
  <c r="I456" i="3" s="1"/>
  <c r="I457" i="3" s="1"/>
  <c r="I458" i="3" s="1"/>
  <c r="I459" i="3" s="1"/>
  <c r="I460" i="3" s="1"/>
  <c r="I461" i="3" s="1"/>
  <c r="I462" i="3" s="1"/>
  <c r="I463" i="3" s="1"/>
  <c r="I464" i="3" s="1"/>
  <c r="I465" i="3" s="1"/>
  <c r="I466" i="3" s="1"/>
  <c r="I467" i="3" s="1"/>
  <c r="I468" i="3" s="1"/>
  <c r="I469" i="3" s="1"/>
  <c r="I470" i="3" s="1"/>
  <c r="I471" i="3" s="1"/>
  <c r="I472" i="3" s="1"/>
  <c r="I473" i="3" s="1"/>
  <c r="I474" i="3" s="1"/>
  <c r="I475" i="3" s="1"/>
  <c r="I476" i="3" s="1"/>
  <c r="I477" i="3" s="1"/>
  <c r="I478" i="3" s="1"/>
  <c r="I479" i="3" s="1"/>
  <c r="I480" i="3" s="1"/>
  <c r="I481" i="3" s="1"/>
  <c r="I482" i="3" s="1"/>
  <c r="I483" i="3" s="1"/>
  <c r="I484" i="3" s="1"/>
  <c r="I485" i="3" s="1"/>
  <c r="I486" i="3" s="1"/>
  <c r="I487" i="3" s="1"/>
  <c r="I488" i="3" s="1"/>
  <c r="I489" i="3" s="1"/>
  <c r="I490" i="3" s="1"/>
  <c r="I491" i="3" s="1"/>
  <c r="I492" i="3" s="1"/>
  <c r="I493" i="3" s="1"/>
  <c r="I494" i="3" s="1"/>
  <c r="I495" i="3" s="1"/>
  <c r="I496" i="3" s="1"/>
  <c r="I497" i="3" s="1"/>
  <c r="I498" i="3" s="1"/>
  <c r="I499" i="3" s="1"/>
  <c r="I500" i="3" s="1"/>
  <c r="I501" i="3" s="1"/>
  <c r="I502" i="3" s="1"/>
  <c r="I503" i="3" s="1"/>
  <c r="I504" i="3" s="1"/>
  <c r="I505" i="3" s="1"/>
  <c r="I506" i="3" s="1"/>
  <c r="I507" i="3" s="1"/>
  <c r="I508" i="3" s="1"/>
  <c r="I509" i="3" s="1"/>
  <c r="I510" i="3" s="1"/>
  <c r="I511" i="3" s="1"/>
  <c r="I512" i="3" s="1"/>
  <c r="I513" i="3" s="1"/>
  <c r="I514" i="3" s="1"/>
  <c r="I515" i="3" s="1"/>
  <c r="I516" i="3" s="1"/>
  <c r="I517" i="3" s="1"/>
  <c r="I518" i="3" s="1"/>
  <c r="I519" i="3" s="1"/>
  <c r="I520" i="3" s="1"/>
  <c r="I521" i="3" s="1"/>
  <c r="I522" i="3" s="1"/>
  <c r="I523" i="3" s="1"/>
  <c r="I524" i="3" s="1"/>
  <c r="I525" i="3" s="1"/>
  <c r="I526" i="3" s="1"/>
  <c r="I527" i="3" s="1"/>
  <c r="I528" i="3" s="1"/>
  <c r="I529" i="3" s="1"/>
  <c r="I530" i="3" s="1"/>
  <c r="I531" i="3" s="1"/>
  <c r="I532" i="3" s="1"/>
  <c r="I533" i="3" s="1"/>
  <c r="I534" i="3" s="1"/>
  <c r="I535" i="3" s="1"/>
  <c r="I536" i="3" s="1"/>
  <c r="I537" i="3" s="1"/>
  <c r="I538" i="3" s="1"/>
  <c r="I539" i="3" s="1"/>
  <c r="I540" i="3" s="1"/>
  <c r="I541" i="3" s="1"/>
  <c r="I542" i="3" s="1"/>
  <c r="I543" i="3" s="1"/>
  <c r="I544" i="3" s="1"/>
  <c r="I545" i="3" s="1"/>
  <c r="I546" i="3" s="1"/>
  <c r="I547" i="3" s="1"/>
  <c r="I548" i="3" s="1"/>
  <c r="I549" i="3" s="1"/>
  <c r="I550" i="3" s="1"/>
  <c r="I551" i="3" s="1"/>
  <c r="I552" i="3" s="1"/>
  <c r="I553" i="3" s="1"/>
  <c r="I554" i="3" s="1"/>
  <c r="I555" i="3" s="1"/>
  <c r="I556" i="3" s="1"/>
  <c r="I557" i="3" s="1"/>
  <c r="I558" i="3" s="1"/>
  <c r="I559" i="3" s="1"/>
  <c r="I560" i="3" s="1"/>
  <c r="I561" i="3" s="1"/>
  <c r="I562" i="3" s="1"/>
  <c r="I563" i="3" s="1"/>
  <c r="I564" i="3" s="1"/>
  <c r="I565" i="3" s="1"/>
  <c r="I566" i="3" s="1"/>
  <c r="I567" i="3" s="1"/>
  <c r="I568" i="3" s="1"/>
  <c r="I569" i="3" s="1"/>
  <c r="I570" i="3" s="1"/>
  <c r="I571" i="3" s="1"/>
  <c r="I572" i="3" s="1"/>
  <c r="I573" i="3" s="1"/>
  <c r="I574" i="3" s="1"/>
  <c r="I575" i="3" s="1"/>
  <c r="I576" i="3" s="1"/>
  <c r="I577" i="3" s="1"/>
  <c r="I578" i="3" s="1"/>
  <c r="I579" i="3" s="1"/>
  <c r="I580" i="3" s="1"/>
  <c r="I581" i="3" s="1"/>
  <c r="I582" i="3" s="1"/>
  <c r="I583" i="3" s="1"/>
  <c r="I584" i="3" s="1"/>
  <c r="I585" i="3" s="1"/>
  <c r="I586" i="3" s="1"/>
  <c r="I587" i="3" s="1"/>
  <c r="I588" i="3" s="1"/>
  <c r="I589" i="3" s="1"/>
  <c r="I590" i="3" s="1"/>
  <c r="I591" i="3" s="1"/>
  <c r="I592" i="3" s="1"/>
  <c r="I593" i="3" s="1"/>
  <c r="I594" i="3" s="1"/>
  <c r="I595" i="3" s="1"/>
  <c r="I596" i="3" s="1"/>
  <c r="I597" i="3" s="1"/>
  <c r="I598" i="3" s="1"/>
  <c r="I599" i="3" s="1"/>
  <c r="I600" i="3" s="1"/>
  <c r="I601" i="3" s="1"/>
  <c r="I602" i="3" s="1"/>
  <c r="I603" i="3" s="1"/>
  <c r="I604" i="3" s="1"/>
  <c r="I605" i="3" s="1"/>
  <c r="I606" i="3" s="1"/>
  <c r="I607" i="3" s="1"/>
  <c r="I608" i="3" s="1"/>
  <c r="I609" i="3" s="1"/>
  <c r="I610" i="3" s="1"/>
  <c r="I611" i="3" s="1"/>
  <c r="I612" i="3" s="1"/>
  <c r="I613" i="3" s="1"/>
  <c r="I614" i="3" s="1"/>
  <c r="I615" i="3" s="1"/>
  <c r="I616" i="3" s="1"/>
  <c r="I617" i="3" s="1"/>
  <c r="I618" i="3" s="1"/>
  <c r="I619" i="3" s="1"/>
  <c r="I620" i="3" s="1"/>
  <c r="I621" i="3" s="1"/>
  <c r="I622" i="3" s="1"/>
  <c r="I623" i="3" s="1"/>
  <c r="I624" i="3" s="1"/>
  <c r="I625" i="3" s="1"/>
  <c r="I626" i="3" s="1"/>
  <c r="I627" i="3" s="1"/>
  <c r="I628" i="3" s="1"/>
  <c r="I629" i="3" s="1"/>
  <c r="I630" i="3" s="1"/>
  <c r="I631" i="3" s="1"/>
  <c r="I632" i="3" s="1"/>
  <c r="I633" i="3" s="1"/>
  <c r="I634" i="3" s="1"/>
  <c r="I635" i="3" s="1"/>
  <c r="I636" i="3" s="1"/>
  <c r="I637" i="3" s="1"/>
  <c r="I638" i="3" s="1"/>
  <c r="I639" i="3" s="1"/>
  <c r="I640" i="3" s="1"/>
  <c r="I641" i="3" s="1"/>
  <c r="I642" i="3" s="1"/>
  <c r="I643" i="3" s="1"/>
  <c r="I644" i="3" s="1"/>
  <c r="I645" i="3" s="1"/>
  <c r="I646" i="3" s="1"/>
  <c r="I647" i="3" s="1"/>
  <c r="I648" i="3" s="1"/>
  <c r="I649" i="3" s="1"/>
  <c r="I650" i="3" s="1"/>
  <c r="I651" i="3" s="1"/>
  <c r="I652" i="3" s="1"/>
  <c r="I653" i="3" s="1"/>
  <c r="I654" i="3" s="1"/>
  <c r="I655" i="3" s="1"/>
  <c r="I656" i="3" s="1"/>
  <c r="I657" i="3" s="1"/>
  <c r="I658" i="3" s="1"/>
  <c r="I659" i="3" s="1"/>
  <c r="I660" i="3" s="1"/>
  <c r="I661" i="3" s="1"/>
  <c r="I662" i="3" s="1"/>
  <c r="I663" i="3" s="1"/>
  <c r="I664" i="3" s="1"/>
  <c r="I665" i="3" s="1"/>
  <c r="I666" i="3" s="1"/>
  <c r="I667" i="3" s="1"/>
  <c r="I668" i="3" s="1"/>
  <c r="I669" i="3" s="1"/>
  <c r="I670" i="3" s="1"/>
  <c r="I671" i="3" s="1"/>
  <c r="I672" i="3" s="1"/>
  <c r="I673" i="3" s="1"/>
  <c r="I674" i="3" s="1"/>
  <c r="I675" i="3" s="1"/>
  <c r="I676" i="3" s="1"/>
  <c r="I677" i="3" s="1"/>
  <c r="I678" i="3" s="1"/>
  <c r="I679" i="3" s="1"/>
  <c r="I680" i="3" s="1"/>
  <c r="I681" i="3" s="1"/>
  <c r="I682" i="3" s="1"/>
  <c r="I683" i="3" s="1"/>
  <c r="I684" i="3" s="1"/>
  <c r="I685" i="3" s="1"/>
  <c r="I686" i="3" s="1"/>
  <c r="I687" i="3" s="1"/>
  <c r="I688" i="3" s="1"/>
  <c r="I689" i="3" s="1"/>
  <c r="I690" i="3" s="1"/>
  <c r="I691" i="3" s="1"/>
  <c r="I692" i="3" s="1"/>
  <c r="I693" i="3" s="1"/>
  <c r="I694" i="3" s="1"/>
  <c r="I695" i="3" s="1"/>
  <c r="I696" i="3" s="1"/>
  <c r="I697" i="3" s="1"/>
  <c r="I698" i="3" s="1"/>
  <c r="I699" i="3" s="1"/>
  <c r="I700" i="3" s="1"/>
  <c r="I701" i="3" s="1"/>
  <c r="I702" i="3" s="1"/>
  <c r="I703" i="3" s="1"/>
  <c r="I704" i="3" s="1"/>
  <c r="I705" i="3" s="1"/>
  <c r="I706" i="3" s="1"/>
  <c r="I707" i="3" s="1"/>
  <c r="I708" i="3" s="1"/>
  <c r="I709" i="3" s="1"/>
  <c r="I710" i="3" s="1"/>
  <c r="I711" i="3" s="1"/>
  <c r="I712" i="3" s="1"/>
  <c r="I713" i="3" s="1"/>
  <c r="I714" i="3" s="1"/>
  <c r="I715" i="3" s="1"/>
  <c r="I716" i="3" s="1"/>
  <c r="I717" i="3" s="1"/>
  <c r="I718" i="3" s="1"/>
  <c r="I719" i="3" s="1"/>
  <c r="I720" i="3" s="1"/>
  <c r="I721" i="3" s="1"/>
  <c r="I722" i="3" s="1"/>
  <c r="I723" i="3" s="1"/>
  <c r="I724" i="3" s="1"/>
  <c r="I725" i="3" s="1"/>
  <c r="I726" i="3" s="1"/>
  <c r="I727" i="3" s="1"/>
  <c r="I728" i="3" s="1"/>
  <c r="I729" i="3" s="1"/>
  <c r="I730" i="3" s="1"/>
  <c r="I731" i="3" s="1"/>
  <c r="I732" i="3" s="1"/>
  <c r="J7" i="3"/>
  <c r="J8" i="3" s="1"/>
  <c r="J13" i="3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J246" i="3" s="1"/>
  <c r="J247" i="3" s="1"/>
  <c r="J248" i="3" s="1"/>
  <c r="J249" i="3" s="1"/>
  <c r="J250" i="3" s="1"/>
  <c r="J251" i="3" s="1"/>
  <c r="J252" i="3" s="1"/>
  <c r="J253" i="3" s="1"/>
  <c r="J254" i="3" s="1"/>
  <c r="J255" i="3" s="1"/>
  <c r="J256" i="3" s="1"/>
  <c r="J257" i="3" s="1"/>
  <c r="J258" i="3" s="1"/>
  <c r="J259" i="3" s="1"/>
  <c r="J260" i="3" s="1"/>
  <c r="J261" i="3" s="1"/>
  <c r="J262" i="3" s="1"/>
  <c r="J263" i="3" s="1"/>
  <c r="J264" i="3" s="1"/>
  <c r="J265" i="3" s="1"/>
  <c r="J266" i="3" s="1"/>
  <c r="J267" i="3" s="1"/>
  <c r="J268" i="3" s="1"/>
  <c r="J269" i="3" s="1"/>
  <c r="J270" i="3" s="1"/>
  <c r="J271" i="3" s="1"/>
  <c r="J272" i="3" s="1"/>
  <c r="J273" i="3" s="1"/>
  <c r="J274" i="3" s="1"/>
  <c r="J275" i="3" s="1"/>
  <c r="J276" i="3" s="1"/>
  <c r="J277" i="3" s="1"/>
  <c r="J278" i="3" s="1"/>
  <c r="J279" i="3" s="1"/>
  <c r="J280" i="3" s="1"/>
  <c r="J281" i="3" s="1"/>
  <c r="J282" i="3" s="1"/>
  <c r="J283" i="3" s="1"/>
  <c r="J284" i="3" s="1"/>
  <c r="J285" i="3" s="1"/>
  <c r="J286" i="3" s="1"/>
  <c r="J287" i="3" s="1"/>
  <c r="J288" i="3" s="1"/>
  <c r="J289" i="3" s="1"/>
  <c r="J290" i="3" s="1"/>
  <c r="J291" i="3" s="1"/>
  <c r="J292" i="3" s="1"/>
  <c r="J293" i="3" s="1"/>
  <c r="J294" i="3" s="1"/>
  <c r="J295" i="3" s="1"/>
  <c r="J296" i="3" s="1"/>
  <c r="J297" i="3" s="1"/>
  <c r="J298" i="3" s="1"/>
  <c r="J299" i="3" s="1"/>
  <c r="J300" i="3" s="1"/>
  <c r="J301" i="3" s="1"/>
  <c r="J302" i="3" s="1"/>
  <c r="J303" i="3" s="1"/>
  <c r="J304" i="3" s="1"/>
  <c r="J305" i="3" s="1"/>
  <c r="J306" i="3" s="1"/>
  <c r="J307" i="3" s="1"/>
  <c r="J308" i="3" s="1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J337" i="3" s="1"/>
  <c r="J338" i="3" s="1"/>
  <c r="J339" i="3" s="1"/>
  <c r="J340" i="3" s="1"/>
  <c r="J341" i="3" s="1"/>
  <c r="J342" i="3" s="1"/>
  <c r="J343" i="3" s="1"/>
  <c r="J344" i="3" s="1"/>
  <c r="J345" i="3" s="1"/>
  <c r="J346" i="3" s="1"/>
  <c r="J347" i="3" s="1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J361" i="3" s="1"/>
  <c r="J362" i="3" s="1"/>
  <c r="J363" i="3" s="1"/>
  <c r="J364" i="3" s="1"/>
  <c r="J365" i="3" s="1"/>
  <c r="J366" i="3" s="1"/>
  <c r="J367" i="3" s="1"/>
  <c r="J368" i="3" s="1"/>
  <c r="J369" i="3" s="1"/>
  <c r="J370" i="3" s="1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J382" i="3" s="1"/>
  <c r="J383" i="3" s="1"/>
  <c r="J384" i="3" s="1"/>
  <c r="J385" i="3" s="1"/>
  <c r="J386" i="3" s="1"/>
  <c r="J387" i="3" s="1"/>
  <c r="J388" i="3" s="1"/>
  <c r="J389" i="3" s="1"/>
  <c r="J390" i="3" s="1"/>
  <c r="J391" i="3" s="1"/>
  <c r="J392" i="3" s="1"/>
  <c r="J393" i="3" s="1"/>
  <c r="J394" i="3" s="1"/>
  <c r="J395" i="3" s="1"/>
  <c r="J396" i="3" s="1"/>
  <c r="J397" i="3" s="1"/>
  <c r="J398" i="3" s="1"/>
  <c r="J399" i="3" s="1"/>
  <c r="J400" i="3" s="1"/>
  <c r="J401" i="3" s="1"/>
  <c r="J402" i="3" s="1"/>
  <c r="J403" i="3" s="1"/>
  <c r="J404" i="3" s="1"/>
  <c r="J405" i="3" s="1"/>
  <c r="J406" i="3" s="1"/>
  <c r="J407" i="3" s="1"/>
  <c r="J408" i="3" s="1"/>
  <c r="J409" i="3" s="1"/>
  <c r="J410" i="3" s="1"/>
  <c r="J411" i="3" s="1"/>
  <c r="J412" i="3" s="1"/>
  <c r="J413" i="3" s="1"/>
  <c r="J414" i="3" s="1"/>
  <c r="J415" i="3" s="1"/>
  <c r="J416" i="3" s="1"/>
  <c r="J417" i="3" s="1"/>
  <c r="J418" i="3" s="1"/>
  <c r="J419" i="3" s="1"/>
  <c r="J420" i="3" s="1"/>
  <c r="J421" i="3" s="1"/>
  <c r="J422" i="3" s="1"/>
  <c r="J423" i="3" s="1"/>
  <c r="J424" i="3" s="1"/>
  <c r="J425" i="3" s="1"/>
  <c r="J426" i="3" s="1"/>
  <c r="J427" i="3" s="1"/>
  <c r="J428" i="3" s="1"/>
  <c r="J429" i="3" s="1"/>
  <c r="J430" i="3" s="1"/>
  <c r="J431" i="3" s="1"/>
  <c r="J432" i="3" s="1"/>
  <c r="J433" i="3" s="1"/>
  <c r="J434" i="3" s="1"/>
  <c r="J435" i="3" s="1"/>
  <c r="J436" i="3" s="1"/>
  <c r="J437" i="3" s="1"/>
  <c r="J438" i="3" s="1"/>
  <c r="J439" i="3" s="1"/>
  <c r="J440" i="3" s="1"/>
  <c r="J441" i="3" s="1"/>
  <c r="J442" i="3" s="1"/>
  <c r="J443" i="3" s="1"/>
  <c r="J444" i="3" s="1"/>
  <c r="J445" i="3" s="1"/>
  <c r="J446" i="3" s="1"/>
  <c r="J447" i="3" s="1"/>
  <c r="J448" i="3" s="1"/>
  <c r="J449" i="3" s="1"/>
  <c r="J450" i="3" s="1"/>
  <c r="J451" i="3" s="1"/>
  <c r="J452" i="3" s="1"/>
  <c r="J453" i="3" s="1"/>
  <c r="J454" i="3" s="1"/>
  <c r="J455" i="3" s="1"/>
  <c r="J456" i="3" s="1"/>
  <c r="J457" i="3" s="1"/>
  <c r="J458" i="3" s="1"/>
  <c r="J459" i="3" s="1"/>
  <c r="J460" i="3" s="1"/>
  <c r="J461" i="3" s="1"/>
  <c r="J462" i="3" s="1"/>
  <c r="J463" i="3" s="1"/>
  <c r="J464" i="3" s="1"/>
  <c r="J465" i="3" s="1"/>
  <c r="J466" i="3" s="1"/>
  <c r="J467" i="3" s="1"/>
  <c r="J468" i="3" s="1"/>
  <c r="J469" i="3" s="1"/>
  <c r="J470" i="3" s="1"/>
  <c r="J471" i="3" s="1"/>
  <c r="J472" i="3" s="1"/>
  <c r="J473" i="3" s="1"/>
  <c r="J474" i="3" s="1"/>
  <c r="J475" i="3" s="1"/>
  <c r="J476" i="3" s="1"/>
  <c r="J477" i="3" s="1"/>
  <c r="J478" i="3" s="1"/>
  <c r="J479" i="3" s="1"/>
  <c r="J480" i="3" s="1"/>
  <c r="J481" i="3" s="1"/>
  <c r="J482" i="3" s="1"/>
  <c r="J483" i="3" s="1"/>
  <c r="J484" i="3" s="1"/>
  <c r="J485" i="3" s="1"/>
  <c r="J486" i="3" s="1"/>
  <c r="J487" i="3" s="1"/>
  <c r="J488" i="3" s="1"/>
  <c r="J489" i="3" s="1"/>
  <c r="J490" i="3" s="1"/>
  <c r="J491" i="3" s="1"/>
  <c r="J492" i="3" s="1"/>
  <c r="J493" i="3" s="1"/>
  <c r="J494" i="3" s="1"/>
  <c r="J495" i="3" s="1"/>
  <c r="J496" i="3" s="1"/>
  <c r="J497" i="3" s="1"/>
  <c r="J498" i="3" s="1"/>
  <c r="J499" i="3" s="1"/>
  <c r="J500" i="3" s="1"/>
  <c r="J501" i="3" s="1"/>
  <c r="J502" i="3" s="1"/>
  <c r="J503" i="3" s="1"/>
  <c r="J504" i="3" s="1"/>
  <c r="J505" i="3" s="1"/>
  <c r="J506" i="3" s="1"/>
  <c r="J507" i="3" s="1"/>
  <c r="J508" i="3" s="1"/>
  <c r="J509" i="3" s="1"/>
  <c r="J510" i="3" s="1"/>
  <c r="J511" i="3" s="1"/>
  <c r="J512" i="3" s="1"/>
  <c r="J513" i="3" s="1"/>
  <c r="J514" i="3" s="1"/>
  <c r="J515" i="3" s="1"/>
  <c r="J516" i="3" s="1"/>
  <c r="J517" i="3" s="1"/>
  <c r="J518" i="3" s="1"/>
  <c r="J519" i="3" s="1"/>
  <c r="J520" i="3" s="1"/>
  <c r="J521" i="3" s="1"/>
  <c r="J522" i="3" s="1"/>
  <c r="J523" i="3" s="1"/>
  <c r="J524" i="3" s="1"/>
  <c r="J525" i="3" s="1"/>
  <c r="J526" i="3" s="1"/>
  <c r="J527" i="3" s="1"/>
  <c r="J528" i="3" s="1"/>
  <c r="J529" i="3" s="1"/>
  <c r="J530" i="3" s="1"/>
  <c r="J531" i="3" s="1"/>
  <c r="J532" i="3" s="1"/>
  <c r="J533" i="3" s="1"/>
  <c r="J534" i="3" s="1"/>
  <c r="J535" i="3" s="1"/>
  <c r="J536" i="3" s="1"/>
  <c r="J537" i="3" s="1"/>
  <c r="J538" i="3" s="1"/>
  <c r="J539" i="3" s="1"/>
  <c r="J540" i="3" s="1"/>
  <c r="J541" i="3" s="1"/>
  <c r="J542" i="3" s="1"/>
  <c r="J543" i="3" s="1"/>
  <c r="J544" i="3" s="1"/>
  <c r="J545" i="3" s="1"/>
  <c r="J546" i="3" s="1"/>
  <c r="J547" i="3" s="1"/>
  <c r="J548" i="3" s="1"/>
  <c r="J549" i="3" s="1"/>
  <c r="J550" i="3" s="1"/>
  <c r="J551" i="3" s="1"/>
  <c r="J552" i="3" s="1"/>
  <c r="J553" i="3" s="1"/>
  <c r="J554" i="3" s="1"/>
  <c r="J555" i="3" s="1"/>
  <c r="J556" i="3" s="1"/>
  <c r="J557" i="3" s="1"/>
  <c r="J558" i="3" s="1"/>
  <c r="J559" i="3" s="1"/>
  <c r="J560" i="3" s="1"/>
  <c r="J561" i="3" s="1"/>
  <c r="J562" i="3" s="1"/>
  <c r="J563" i="3" s="1"/>
  <c r="J564" i="3" s="1"/>
  <c r="J565" i="3" s="1"/>
  <c r="J566" i="3" s="1"/>
  <c r="J567" i="3" s="1"/>
  <c r="J568" i="3" s="1"/>
  <c r="J569" i="3" s="1"/>
  <c r="J570" i="3" s="1"/>
  <c r="J571" i="3" s="1"/>
  <c r="J572" i="3" s="1"/>
  <c r="J573" i="3" s="1"/>
  <c r="J574" i="3" s="1"/>
  <c r="J575" i="3" s="1"/>
  <c r="J576" i="3" s="1"/>
  <c r="J577" i="3" s="1"/>
  <c r="J578" i="3" s="1"/>
  <c r="J579" i="3" s="1"/>
  <c r="J580" i="3" s="1"/>
  <c r="J581" i="3" s="1"/>
  <c r="J582" i="3" s="1"/>
  <c r="J583" i="3" s="1"/>
  <c r="J584" i="3" s="1"/>
  <c r="J585" i="3" s="1"/>
  <c r="J586" i="3" s="1"/>
  <c r="J587" i="3" s="1"/>
  <c r="J588" i="3" s="1"/>
  <c r="J589" i="3" s="1"/>
  <c r="J590" i="3" s="1"/>
  <c r="J591" i="3" s="1"/>
  <c r="J592" i="3" s="1"/>
  <c r="J593" i="3" s="1"/>
  <c r="J594" i="3" s="1"/>
  <c r="J595" i="3" s="1"/>
  <c r="J596" i="3" s="1"/>
  <c r="J597" i="3" s="1"/>
  <c r="J598" i="3" s="1"/>
  <c r="J599" i="3" s="1"/>
  <c r="J600" i="3" s="1"/>
  <c r="J601" i="3" s="1"/>
  <c r="J602" i="3" s="1"/>
  <c r="J603" i="3" s="1"/>
  <c r="J604" i="3" s="1"/>
  <c r="J605" i="3" s="1"/>
  <c r="J606" i="3" s="1"/>
  <c r="J607" i="3" s="1"/>
  <c r="J608" i="3" s="1"/>
  <c r="J609" i="3" s="1"/>
  <c r="J610" i="3" s="1"/>
  <c r="J611" i="3" s="1"/>
  <c r="J612" i="3" s="1"/>
  <c r="J613" i="3" s="1"/>
  <c r="J614" i="3" s="1"/>
  <c r="J615" i="3" s="1"/>
  <c r="J616" i="3" s="1"/>
  <c r="J617" i="3" s="1"/>
  <c r="J618" i="3" s="1"/>
  <c r="J619" i="3" s="1"/>
  <c r="J620" i="3" s="1"/>
  <c r="J621" i="3" s="1"/>
  <c r="J622" i="3" s="1"/>
  <c r="J623" i="3" s="1"/>
  <c r="J624" i="3" s="1"/>
  <c r="J625" i="3" s="1"/>
  <c r="J626" i="3" s="1"/>
  <c r="J627" i="3" s="1"/>
  <c r="J628" i="3" s="1"/>
  <c r="J629" i="3" s="1"/>
  <c r="J630" i="3" s="1"/>
  <c r="J631" i="3" s="1"/>
  <c r="J632" i="3" s="1"/>
  <c r="J633" i="3" s="1"/>
  <c r="J634" i="3" s="1"/>
  <c r="J635" i="3" s="1"/>
  <c r="J636" i="3" s="1"/>
  <c r="J637" i="3" s="1"/>
  <c r="J638" i="3" s="1"/>
  <c r="J639" i="3" s="1"/>
  <c r="J640" i="3" s="1"/>
  <c r="J641" i="3" s="1"/>
  <c r="J642" i="3" s="1"/>
  <c r="J643" i="3" s="1"/>
  <c r="J644" i="3" s="1"/>
  <c r="J645" i="3" s="1"/>
  <c r="J646" i="3" s="1"/>
  <c r="J647" i="3" s="1"/>
  <c r="J648" i="3" s="1"/>
  <c r="J649" i="3" s="1"/>
  <c r="J650" i="3" s="1"/>
  <c r="J651" i="3" s="1"/>
  <c r="J652" i="3" s="1"/>
  <c r="J653" i="3" s="1"/>
  <c r="J654" i="3" s="1"/>
  <c r="J655" i="3" s="1"/>
  <c r="J656" i="3" s="1"/>
  <c r="J657" i="3" s="1"/>
  <c r="J658" i="3" s="1"/>
  <c r="J659" i="3" s="1"/>
  <c r="J660" i="3" s="1"/>
  <c r="J661" i="3" s="1"/>
  <c r="J662" i="3" s="1"/>
  <c r="J663" i="3" s="1"/>
  <c r="J664" i="3" s="1"/>
  <c r="J665" i="3" s="1"/>
  <c r="J666" i="3" s="1"/>
  <c r="J667" i="3" s="1"/>
  <c r="J668" i="3" s="1"/>
  <c r="J669" i="3" s="1"/>
  <c r="J670" i="3" s="1"/>
  <c r="J671" i="3" s="1"/>
  <c r="J672" i="3" s="1"/>
  <c r="J673" i="3" s="1"/>
  <c r="J674" i="3" s="1"/>
  <c r="J675" i="3" s="1"/>
  <c r="J676" i="3" s="1"/>
  <c r="J677" i="3" s="1"/>
  <c r="J678" i="3" s="1"/>
  <c r="J679" i="3" s="1"/>
  <c r="J680" i="3" s="1"/>
  <c r="J681" i="3" s="1"/>
  <c r="J682" i="3" s="1"/>
  <c r="J683" i="3" s="1"/>
  <c r="J684" i="3" s="1"/>
  <c r="J685" i="3" s="1"/>
  <c r="J686" i="3" s="1"/>
  <c r="J687" i="3" s="1"/>
  <c r="J688" i="3" s="1"/>
  <c r="J689" i="3" s="1"/>
  <c r="J690" i="3" s="1"/>
  <c r="J691" i="3" s="1"/>
  <c r="J692" i="3" s="1"/>
  <c r="J693" i="3" s="1"/>
  <c r="J694" i="3" s="1"/>
  <c r="J695" i="3" s="1"/>
  <c r="J696" i="3" s="1"/>
  <c r="J697" i="3" s="1"/>
  <c r="J698" i="3" s="1"/>
  <c r="J699" i="3" s="1"/>
  <c r="J700" i="3" s="1"/>
  <c r="J701" i="3" s="1"/>
  <c r="J702" i="3" s="1"/>
  <c r="J703" i="3" s="1"/>
  <c r="J704" i="3" s="1"/>
  <c r="J705" i="3" s="1"/>
  <c r="J706" i="3" s="1"/>
  <c r="J707" i="3" s="1"/>
  <c r="J708" i="3" s="1"/>
  <c r="J709" i="3" s="1"/>
  <c r="J710" i="3" s="1"/>
  <c r="J711" i="3" s="1"/>
  <c r="J712" i="3" s="1"/>
  <c r="J713" i="3" s="1"/>
  <c r="J714" i="3" s="1"/>
  <c r="J715" i="3" s="1"/>
  <c r="J716" i="3" s="1"/>
  <c r="J717" i="3" s="1"/>
  <c r="J718" i="3" s="1"/>
  <c r="J719" i="3" s="1"/>
  <c r="J720" i="3" s="1"/>
  <c r="J721" i="3" s="1"/>
  <c r="J722" i="3" s="1"/>
  <c r="J723" i="3" s="1"/>
  <c r="J724" i="3" s="1"/>
  <c r="J725" i="3" s="1"/>
  <c r="J726" i="3" s="1"/>
  <c r="J727" i="3" s="1"/>
  <c r="J728" i="3" s="1"/>
  <c r="J729" i="3" s="1"/>
  <c r="J730" i="3" s="1"/>
  <c r="J731" i="3" s="1"/>
  <c r="J732" i="3" s="1"/>
  <c r="J5" i="3"/>
  <c r="J6" i="3" s="1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C13" i="3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5" i="3"/>
  <c r="C6" i="3" s="1"/>
  <c r="C7" i="3"/>
  <c r="C8" i="3" s="1"/>
  <c r="H13" i="3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H361" i="3" s="1"/>
  <c r="H362" i="3" s="1"/>
  <c r="H363" i="3" s="1"/>
  <c r="H364" i="3" s="1"/>
  <c r="H365" i="3" s="1"/>
  <c r="H366" i="3" s="1"/>
  <c r="H367" i="3" s="1"/>
  <c r="H368" i="3" s="1"/>
  <c r="H369" i="3" s="1"/>
  <c r="H370" i="3" s="1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397" i="3" s="1"/>
  <c r="H398" i="3" s="1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H421" i="3" s="1"/>
  <c r="H422" i="3" s="1"/>
  <c r="H423" i="3" s="1"/>
  <c r="H424" i="3" s="1"/>
  <c r="H425" i="3" s="1"/>
  <c r="H426" i="3" s="1"/>
  <c r="H427" i="3" s="1"/>
  <c r="H428" i="3" s="1"/>
  <c r="H429" i="3" s="1"/>
  <c r="H430" i="3" s="1"/>
  <c r="H431" i="3" s="1"/>
  <c r="H432" i="3" s="1"/>
  <c r="H433" i="3" s="1"/>
  <c r="H434" i="3" s="1"/>
  <c r="H435" i="3" s="1"/>
  <c r="H436" i="3" s="1"/>
  <c r="H437" i="3" s="1"/>
  <c r="H438" i="3" s="1"/>
  <c r="H439" i="3" s="1"/>
  <c r="H440" i="3" s="1"/>
  <c r="H441" i="3" s="1"/>
  <c r="H442" i="3" s="1"/>
  <c r="H443" i="3" s="1"/>
  <c r="H444" i="3" s="1"/>
  <c r="H445" i="3" s="1"/>
  <c r="H446" i="3" s="1"/>
  <c r="H447" i="3" s="1"/>
  <c r="H448" i="3" s="1"/>
  <c r="H449" i="3" s="1"/>
  <c r="H450" i="3" s="1"/>
  <c r="H451" i="3" s="1"/>
  <c r="H452" i="3" s="1"/>
  <c r="H453" i="3" s="1"/>
  <c r="H454" i="3" s="1"/>
  <c r="H455" i="3" s="1"/>
  <c r="H456" i="3" s="1"/>
  <c r="H457" i="3" s="1"/>
  <c r="H458" i="3" s="1"/>
  <c r="H459" i="3" s="1"/>
  <c r="H460" i="3" s="1"/>
  <c r="H461" i="3" s="1"/>
  <c r="H462" i="3" s="1"/>
  <c r="H463" i="3" s="1"/>
  <c r="H464" i="3" s="1"/>
  <c r="H465" i="3" s="1"/>
  <c r="H466" i="3" s="1"/>
  <c r="H467" i="3" s="1"/>
  <c r="H468" i="3" s="1"/>
  <c r="H469" i="3" s="1"/>
  <c r="H470" i="3" s="1"/>
  <c r="H471" i="3" s="1"/>
  <c r="H472" i="3" s="1"/>
  <c r="H473" i="3" s="1"/>
  <c r="H474" i="3" s="1"/>
  <c r="H475" i="3" s="1"/>
  <c r="H476" i="3" s="1"/>
  <c r="H477" i="3" s="1"/>
  <c r="H478" i="3" s="1"/>
  <c r="H479" i="3" s="1"/>
  <c r="H480" i="3" s="1"/>
  <c r="H481" i="3" s="1"/>
  <c r="H482" i="3" s="1"/>
  <c r="H483" i="3" s="1"/>
  <c r="H484" i="3" s="1"/>
  <c r="H485" i="3" s="1"/>
  <c r="H486" i="3" s="1"/>
  <c r="H487" i="3" s="1"/>
  <c r="H488" i="3" s="1"/>
  <c r="H489" i="3" s="1"/>
  <c r="H490" i="3" s="1"/>
  <c r="H491" i="3" s="1"/>
  <c r="H492" i="3" s="1"/>
  <c r="H493" i="3" s="1"/>
  <c r="H494" i="3" s="1"/>
  <c r="H495" i="3" s="1"/>
  <c r="H496" i="3" s="1"/>
  <c r="H497" i="3" s="1"/>
  <c r="H498" i="3" s="1"/>
  <c r="H499" i="3" s="1"/>
  <c r="H500" i="3" s="1"/>
  <c r="H501" i="3" s="1"/>
  <c r="H502" i="3" s="1"/>
  <c r="H503" i="3" s="1"/>
  <c r="H504" i="3" s="1"/>
  <c r="H505" i="3" s="1"/>
  <c r="H506" i="3" s="1"/>
  <c r="H507" i="3" s="1"/>
  <c r="H508" i="3" s="1"/>
  <c r="H509" i="3" s="1"/>
  <c r="H510" i="3" s="1"/>
  <c r="H511" i="3" s="1"/>
  <c r="H512" i="3" s="1"/>
  <c r="H513" i="3" s="1"/>
  <c r="H514" i="3" s="1"/>
  <c r="H515" i="3" s="1"/>
  <c r="H516" i="3" s="1"/>
  <c r="H517" i="3" s="1"/>
  <c r="H518" i="3" s="1"/>
  <c r="H519" i="3" s="1"/>
  <c r="H520" i="3" s="1"/>
  <c r="H521" i="3" s="1"/>
  <c r="H522" i="3" s="1"/>
  <c r="H523" i="3" s="1"/>
  <c r="H524" i="3" s="1"/>
  <c r="H525" i="3" s="1"/>
  <c r="H526" i="3" s="1"/>
  <c r="H527" i="3" s="1"/>
  <c r="H528" i="3" s="1"/>
  <c r="H529" i="3" s="1"/>
  <c r="H530" i="3" s="1"/>
  <c r="H531" i="3" s="1"/>
  <c r="H532" i="3" s="1"/>
  <c r="H533" i="3" s="1"/>
  <c r="H534" i="3" s="1"/>
  <c r="H535" i="3" s="1"/>
  <c r="H536" i="3" s="1"/>
  <c r="H537" i="3" s="1"/>
  <c r="H538" i="3" s="1"/>
  <c r="H539" i="3" s="1"/>
  <c r="H540" i="3" s="1"/>
  <c r="H541" i="3" s="1"/>
  <c r="H542" i="3" s="1"/>
  <c r="H543" i="3" s="1"/>
  <c r="H544" i="3" s="1"/>
  <c r="H545" i="3" s="1"/>
  <c r="H546" i="3" s="1"/>
  <c r="H547" i="3" s="1"/>
  <c r="H548" i="3" s="1"/>
  <c r="H549" i="3" s="1"/>
  <c r="H550" i="3" s="1"/>
  <c r="H551" i="3" s="1"/>
  <c r="H552" i="3" s="1"/>
  <c r="H553" i="3" s="1"/>
  <c r="H554" i="3" s="1"/>
  <c r="H555" i="3" s="1"/>
  <c r="H556" i="3" s="1"/>
  <c r="H557" i="3" s="1"/>
  <c r="H558" i="3" s="1"/>
  <c r="H559" i="3" s="1"/>
  <c r="H560" i="3" s="1"/>
  <c r="H561" i="3" s="1"/>
  <c r="H562" i="3" s="1"/>
  <c r="H563" i="3" s="1"/>
  <c r="H564" i="3" s="1"/>
  <c r="H565" i="3" s="1"/>
  <c r="H566" i="3" s="1"/>
  <c r="H567" i="3" s="1"/>
  <c r="H568" i="3" s="1"/>
  <c r="H569" i="3" s="1"/>
  <c r="H570" i="3" s="1"/>
  <c r="H571" i="3" s="1"/>
  <c r="H572" i="3" s="1"/>
  <c r="H573" i="3" s="1"/>
  <c r="H574" i="3" s="1"/>
  <c r="H575" i="3" s="1"/>
  <c r="H576" i="3" s="1"/>
  <c r="H577" i="3" s="1"/>
  <c r="H578" i="3" s="1"/>
  <c r="H579" i="3" s="1"/>
  <c r="H580" i="3" s="1"/>
  <c r="H581" i="3" s="1"/>
  <c r="H582" i="3" s="1"/>
  <c r="H583" i="3" s="1"/>
  <c r="H584" i="3" s="1"/>
  <c r="H585" i="3" s="1"/>
  <c r="H586" i="3" s="1"/>
  <c r="H587" i="3" s="1"/>
  <c r="H588" i="3" s="1"/>
  <c r="H589" i="3" s="1"/>
  <c r="H590" i="3" s="1"/>
  <c r="H591" i="3" s="1"/>
  <c r="H592" i="3" s="1"/>
  <c r="H593" i="3" s="1"/>
  <c r="H594" i="3" s="1"/>
  <c r="H595" i="3" s="1"/>
  <c r="H596" i="3" s="1"/>
  <c r="H597" i="3" s="1"/>
  <c r="H598" i="3" s="1"/>
  <c r="H599" i="3" s="1"/>
  <c r="H600" i="3" s="1"/>
  <c r="H601" i="3" s="1"/>
  <c r="H602" i="3" s="1"/>
  <c r="H603" i="3" s="1"/>
  <c r="H604" i="3" s="1"/>
  <c r="H605" i="3" s="1"/>
  <c r="H606" i="3" s="1"/>
  <c r="H607" i="3" s="1"/>
  <c r="H608" i="3" s="1"/>
  <c r="H609" i="3" s="1"/>
  <c r="H610" i="3" s="1"/>
  <c r="H611" i="3" s="1"/>
  <c r="H612" i="3" s="1"/>
  <c r="H613" i="3" s="1"/>
  <c r="H614" i="3" s="1"/>
  <c r="H615" i="3" s="1"/>
  <c r="H616" i="3" s="1"/>
  <c r="H617" i="3" s="1"/>
  <c r="H618" i="3" s="1"/>
  <c r="H619" i="3" s="1"/>
  <c r="H620" i="3" s="1"/>
  <c r="H621" i="3" s="1"/>
  <c r="H622" i="3" s="1"/>
  <c r="H623" i="3" s="1"/>
  <c r="H624" i="3" s="1"/>
  <c r="H625" i="3" s="1"/>
  <c r="H626" i="3" s="1"/>
  <c r="H627" i="3" s="1"/>
  <c r="H628" i="3" s="1"/>
  <c r="H629" i="3" s="1"/>
  <c r="H630" i="3" s="1"/>
  <c r="H631" i="3" s="1"/>
  <c r="H632" i="3" s="1"/>
  <c r="H633" i="3" s="1"/>
  <c r="H634" i="3" s="1"/>
  <c r="H635" i="3" s="1"/>
  <c r="H636" i="3" s="1"/>
  <c r="H637" i="3" s="1"/>
  <c r="H638" i="3" s="1"/>
  <c r="H639" i="3" s="1"/>
  <c r="H640" i="3" s="1"/>
  <c r="H641" i="3" s="1"/>
  <c r="H642" i="3" s="1"/>
  <c r="H643" i="3" s="1"/>
  <c r="H644" i="3" s="1"/>
  <c r="H645" i="3" s="1"/>
  <c r="H646" i="3" s="1"/>
  <c r="H647" i="3" s="1"/>
  <c r="H648" i="3" s="1"/>
  <c r="H649" i="3" s="1"/>
  <c r="H650" i="3" s="1"/>
  <c r="H651" i="3" s="1"/>
  <c r="H652" i="3" s="1"/>
  <c r="H653" i="3" s="1"/>
  <c r="H654" i="3" s="1"/>
  <c r="H655" i="3" s="1"/>
  <c r="H656" i="3" s="1"/>
  <c r="H657" i="3" s="1"/>
  <c r="H658" i="3" s="1"/>
  <c r="H659" i="3" s="1"/>
  <c r="H660" i="3" s="1"/>
  <c r="H661" i="3" s="1"/>
  <c r="H662" i="3" s="1"/>
  <c r="H663" i="3" s="1"/>
  <c r="H664" i="3" s="1"/>
  <c r="H665" i="3" s="1"/>
  <c r="H666" i="3" s="1"/>
  <c r="H667" i="3" s="1"/>
  <c r="H668" i="3" s="1"/>
  <c r="H669" i="3" s="1"/>
  <c r="H670" i="3" s="1"/>
  <c r="H671" i="3" s="1"/>
  <c r="H672" i="3" s="1"/>
  <c r="H673" i="3" s="1"/>
  <c r="H674" i="3" s="1"/>
  <c r="H675" i="3" s="1"/>
  <c r="H676" i="3" s="1"/>
  <c r="H677" i="3" s="1"/>
  <c r="H678" i="3" s="1"/>
  <c r="H679" i="3" s="1"/>
  <c r="H680" i="3" s="1"/>
  <c r="H681" i="3" s="1"/>
  <c r="H682" i="3" s="1"/>
  <c r="H683" i="3" s="1"/>
  <c r="H684" i="3" s="1"/>
  <c r="H685" i="3" s="1"/>
  <c r="H686" i="3" s="1"/>
  <c r="H687" i="3" s="1"/>
  <c r="H688" i="3" s="1"/>
  <c r="H689" i="3" s="1"/>
  <c r="H690" i="3" s="1"/>
  <c r="H691" i="3" s="1"/>
  <c r="H692" i="3" s="1"/>
  <c r="H693" i="3" s="1"/>
  <c r="H694" i="3" s="1"/>
  <c r="H695" i="3" s="1"/>
  <c r="H696" i="3" s="1"/>
  <c r="H697" i="3" s="1"/>
  <c r="H698" i="3" s="1"/>
  <c r="H699" i="3" s="1"/>
  <c r="H700" i="3" s="1"/>
  <c r="H701" i="3" s="1"/>
  <c r="H702" i="3" s="1"/>
  <c r="H703" i="3" s="1"/>
  <c r="H704" i="3" s="1"/>
  <c r="H705" i="3" s="1"/>
  <c r="H706" i="3" s="1"/>
  <c r="H707" i="3" s="1"/>
  <c r="H708" i="3" s="1"/>
  <c r="H709" i="3" s="1"/>
  <c r="H710" i="3" s="1"/>
  <c r="H711" i="3" s="1"/>
  <c r="H712" i="3" s="1"/>
  <c r="H713" i="3" s="1"/>
  <c r="H714" i="3" s="1"/>
  <c r="H715" i="3" s="1"/>
  <c r="H716" i="3" s="1"/>
  <c r="H717" i="3" s="1"/>
  <c r="H718" i="3" s="1"/>
  <c r="H719" i="3" s="1"/>
  <c r="H720" i="3" s="1"/>
  <c r="H721" i="3" s="1"/>
  <c r="H722" i="3" s="1"/>
  <c r="H723" i="3" s="1"/>
  <c r="H724" i="3" s="1"/>
  <c r="H725" i="3" s="1"/>
  <c r="H726" i="3" s="1"/>
  <c r="H727" i="3" s="1"/>
  <c r="H728" i="3" s="1"/>
  <c r="H729" i="3" s="1"/>
  <c r="H730" i="3" s="1"/>
  <c r="H731" i="3" s="1"/>
  <c r="H732" i="3" s="1"/>
  <c r="M13" i="3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 s="1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N13" i="3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N548" i="3" s="1"/>
  <c r="N549" i="3" s="1"/>
  <c r="N550" i="3" s="1"/>
  <c r="N551" i="3" s="1"/>
  <c r="N552" i="3" s="1"/>
  <c r="N553" i="3" s="1"/>
  <c r="N554" i="3" s="1"/>
  <c r="N555" i="3" s="1"/>
  <c r="N556" i="3" s="1"/>
  <c r="N557" i="3" s="1"/>
  <c r="N558" i="3" s="1"/>
  <c r="N559" i="3" s="1"/>
  <c r="N560" i="3" s="1"/>
  <c r="N561" i="3" s="1"/>
  <c r="N562" i="3" s="1"/>
  <c r="N563" i="3" s="1"/>
  <c r="N564" i="3" s="1"/>
  <c r="N565" i="3" s="1"/>
  <c r="N566" i="3" s="1"/>
  <c r="N567" i="3" s="1"/>
  <c r="N568" i="3" s="1"/>
  <c r="N569" i="3" s="1"/>
  <c r="N570" i="3" s="1"/>
  <c r="N571" i="3" s="1"/>
  <c r="N572" i="3" s="1"/>
  <c r="N573" i="3" s="1"/>
  <c r="N574" i="3" s="1"/>
  <c r="N575" i="3" s="1"/>
  <c r="N576" i="3" s="1"/>
  <c r="N577" i="3" s="1"/>
  <c r="N578" i="3" s="1"/>
  <c r="N579" i="3" s="1"/>
  <c r="N580" i="3" s="1"/>
  <c r="N581" i="3" s="1"/>
  <c r="N582" i="3" s="1"/>
  <c r="N583" i="3" s="1"/>
  <c r="N584" i="3" s="1"/>
  <c r="N585" i="3" s="1"/>
  <c r="N586" i="3" s="1"/>
  <c r="N587" i="3" s="1"/>
  <c r="N588" i="3" s="1"/>
  <c r="N589" i="3" s="1"/>
  <c r="N590" i="3" s="1"/>
  <c r="N591" i="3" s="1"/>
  <c r="N592" i="3" s="1"/>
  <c r="N593" i="3" s="1"/>
  <c r="N594" i="3" s="1"/>
  <c r="N595" i="3" s="1"/>
  <c r="N596" i="3" s="1"/>
  <c r="N597" i="3" s="1"/>
  <c r="N598" i="3" s="1"/>
  <c r="N599" i="3" s="1"/>
  <c r="N600" i="3" s="1"/>
  <c r="N601" i="3" s="1"/>
  <c r="N602" i="3" s="1"/>
  <c r="N603" i="3" s="1"/>
  <c r="N604" i="3" s="1"/>
  <c r="N605" i="3" s="1"/>
  <c r="N606" i="3" s="1"/>
  <c r="N607" i="3" s="1"/>
  <c r="N608" i="3" s="1"/>
  <c r="N609" i="3" s="1"/>
  <c r="N610" i="3" s="1"/>
  <c r="N611" i="3" s="1"/>
  <c r="N612" i="3" s="1"/>
  <c r="N613" i="3" s="1"/>
  <c r="N614" i="3" s="1"/>
  <c r="N615" i="3" s="1"/>
  <c r="N616" i="3" s="1"/>
  <c r="N617" i="3" s="1"/>
  <c r="N618" i="3" s="1"/>
  <c r="N619" i="3" s="1"/>
  <c r="N620" i="3" s="1"/>
  <c r="N621" i="3" s="1"/>
  <c r="N622" i="3" s="1"/>
  <c r="N623" i="3" s="1"/>
  <c r="N624" i="3" s="1"/>
  <c r="N625" i="3" s="1"/>
  <c r="N626" i="3" s="1"/>
  <c r="N627" i="3" s="1"/>
  <c r="N628" i="3" s="1"/>
  <c r="N629" i="3" s="1"/>
  <c r="N630" i="3" s="1"/>
  <c r="N631" i="3" s="1"/>
  <c r="N632" i="3" s="1"/>
  <c r="N633" i="3" s="1"/>
  <c r="N634" i="3" s="1"/>
  <c r="N635" i="3" s="1"/>
  <c r="N636" i="3" s="1"/>
  <c r="N637" i="3" s="1"/>
  <c r="N638" i="3" s="1"/>
  <c r="N639" i="3" s="1"/>
  <c r="N640" i="3" s="1"/>
  <c r="N641" i="3" s="1"/>
  <c r="N642" i="3" s="1"/>
  <c r="N643" i="3" s="1"/>
  <c r="N644" i="3" s="1"/>
  <c r="N645" i="3" s="1"/>
  <c r="N646" i="3" s="1"/>
  <c r="N647" i="3" s="1"/>
  <c r="N648" i="3" s="1"/>
  <c r="N649" i="3" s="1"/>
  <c r="N650" i="3" s="1"/>
  <c r="N651" i="3" s="1"/>
  <c r="N652" i="3" s="1"/>
  <c r="N653" i="3" s="1"/>
  <c r="N654" i="3" s="1"/>
  <c r="N655" i="3" s="1"/>
  <c r="N656" i="3" s="1"/>
  <c r="N657" i="3" s="1"/>
  <c r="N658" i="3" s="1"/>
  <c r="N659" i="3" s="1"/>
  <c r="N660" i="3" s="1"/>
  <c r="N661" i="3" s="1"/>
  <c r="N662" i="3" s="1"/>
  <c r="N663" i="3" s="1"/>
  <c r="N664" i="3" s="1"/>
  <c r="N665" i="3" s="1"/>
  <c r="N666" i="3" s="1"/>
  <c r="N667" i="3" s="1"/>
  <c r="N668" i="3" s="1"/>
  <c r="N669" i="3" s="1"/>
  <c r="N670" i="3" s="1"/>
  <c r="N671" i="3" s="1"/>
  <c r="N672" i="3" s="1"/>
  <c r="N673" i="3" s="1"/>
  <c r="N674" i="3" s="1"/>
  <c r="N675" i="3" s="1"/>
  <c r="N676" i="3" s="1"/>
  <c r="N677" i="3" s="1"/>
  <c r="N678" i="3" s="1"/>
  <c r="N679" i="3" s="1"/>
  <c r="N680" i="3" s="1"/>
  <c r="N681" i="3" s="1"/>
  <c r="N682" i="3" s="1"/>
  <c r="N683" i="3" s="1"/>
  <c r="N684" i="3" s="1"/>
  <c r="N685" i="3" s="1"/>
  <c r="N686" i="3" s="1"/>
  <c r="N687" i="3" s="1"/>
  <c r="N688" i="3" s="1"/>
  <c r="N689" i="3" s="1"/>
  <c r="N690" i="3" s="1"/>
  <c r="N691" i="3" s="1"/>
  <c r="N692" i="3" s="1"/>
  <c r="N693" i="3" s="1"/>
  <c r="N694" i="3" s="1"/>
  <c r="N695" i="3" s="1"/>
  <c r="N696" i="3" s="1"/>
  <c r="N697" i="3" s="1"/>
  <c r="N698" i="3" s="1"/>
  <c r="N699" i="3" s="1"/>
  <c r="N700" i="3" s="1"/>
  <c r="N701" i="3" s="1"/>
  <c r="N702" i="3" s="1"/>
  <c r="N703" i="3" s="1"/>
  <c r="N704" i="3" s="1"/>
  <c r="N705" i="3" s="1"/>
  <c r="N706" i="3" s="1"/>
  <c r="N707" i="3" s="1"/>
  <c r="N708" i="3" s="1"/>
  <c r="N709" i="3" s="1"/>
  <c r="N710" i="3" s="1"/>
  <c r="N711" i="3" s="1"/>
  <c r="N712" i="3" s="1"/>
  <c r="N713" i="3" s="1"/>
  <c r="N714" i="3" s="1"/>
  <c r="N715" i="3" s="1"/>
  <c r="N716" i="3" s="1"/>
  <c r="N717" i="3" s="1"/>
  <c r="N718" i="3" s="1"/>
  <c r="N719" i="3" s="1"/>
  <c r="N720" i="3" s="1"/>
  <c r="N721" i="3" s="1"/>
  <c r="N722" i="3" s="1"/>
  <c r="N723" i="3" s="1"/>
  <c r="N724" i="3" s="1"/>
  <c r="N725" i="3" s="1"/>
  <c r="N726" i="3" s="1"/>
  <c r="N727" i="3" s="1"/>
  <c r="N728" i="3" s="1"/>
  <c r="N729" i="3" s="1"/>
  <c r="N730" i="3" s="1"/>
  <c r="N731" i="3" s="1"/>
  <c r="N732" i="3" s="1"/>
  <c r="N5" i="3"/>
  <c r="N6" i="3" s="1"/>
  <c r="E13" i="3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S5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6" i="2"/>
  <c r="Q554" i="2"/>
  <c r="Q552" i="2"/>
  <c r="Q550" i="2"/>
  <c r="Q548" i="2"/>
  <c r="Q546" i="2"/>
  <c r="Q544" i="2"/>
  <c r="Q542" i="2"/>
  <c r="Q540" i="2"/>
  <c r="Q538" i="2"/>
  <c r="Q536" i="2"/>
  <c r="Q534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557" i="2"/>
  <c r="Q555" i="2"/>
  <c r="Q553" i="2"/>
  <c r="Q551" i="2"/>
  <c r="Q549" i="2"/>
  <c r="Q547" i="2"/>
  <c r="Q545" i="2"/>
  <c r="Q543" i="2"/>
  <c r="Q541" i="2"/>
  <c r="Q539" i="2"/>
  <c r="Q537" i="2"/>
  <c r="Q535" i="2"/>
  <c r="Q533" i="2"/>
  <c r="Q30" i="2"/>
  <c r="Q28" i="2"/>
  <c r="Q27" i="2"/>
  <c r="Q26" i="2"/>
  <c r="Q25" i="2"/>
  <c r="Q24" i="2"/>
  <c r="Q23" i="2"/>
  <c r="Q19" i="2"/>
  <c r="Q13" i="2"/>
  <c r="Q22" i="2"/>
  <c r="Q18" i="2"/>
  <c r="Q12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29" i="2"/>
  <c r="Q21" i="2"/>
  <c r="Q17" i="2"/>
  <c r="Q14" i="2"/>
  <c r="Q9" i="2"/>
  <c r="Q5" i="2"/>
  <c r="Q16" i="2"/>
  <c r="Q8" i="2"/>
  <c r="Q20" i="2"/>
  <c r="Q15" i="2"/>
  <c r="Q11" i="2"/>
  <c r="Q7" i="2"/>
  <c r="Q10" i="2"/>
  <c r="Q6" i="2"/>
  <c r="R6" i="2" s="1"/>
  <c r="G13" i="3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G421" i="3" s="1"/>
  <c r="G422" i="3" s="1"/>
  <c r="G423" i="3" s="1"/>
  <c r="G424" i="3" s="1"/>
  <c r="G425" i="3" s="1"/>
  <c r="G426" i="3" s="1"/>
  <c r="G427" i="3" s="1"/>
  <c r="G428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  <c r="G440" i="3" s="1"/>
  <c r="G441" i="3" s="1"/>
  <c r="G442" i="3" s="1"/>
  <c r="G443" i="3" s="1"/>
  <c r="G444" i="3" s="1"/>
  <c r="G445" i="3" s="1"/>
  <c r="G446" i="3" s="1"/>
  <c r="G447" i="3" s="1"/>
  <c r="G448" i="3" s="1"/>
  <c r="G449" i="3" s="1"/>
  <c r="G450" i="3" s="1"/>
  <c r="G451" i="3" s="1"/>
  <c r="G452" i="3" s="1"/>
  <c r="G453" i="3" s="1"/>
  <c r="G454" i="3" s="1"/>
  <c r="G455" i="3" s="1"/>
  <c r="G456" i="3" s="1"/>
  <c r="G457" i="3" s="1"/>
  <c r="G458" i="3" s="1"/>
  <c r="G459" i="3" s="1"/>
  <c r="G460" i="3" s="1"/>
  <c r="G461" i="3" s="1"/>
  <c r="G462" i="3" s="1"/>
  <c r="G463" i="3" s="1"/>
  <c r="G464" i="3" s="1"/>
  <c r="G465" i="3" s="1"/>
  <c r="G466" i="3" s="1"/>
  <c r="G467" i="3" s="1"/>
  <c r="G468" i="3" s="1"/>
  <c r="G469" i="3" s="1"/>
  <c r="G470" i="3" s="1"/>
  <c r="G471" i="3" s="1"/>
  <c r="G472" i="3" s="1"/>
  <c r="G473" i="3" s="1"/>
  <c r="G474" i="3" s="1"/>
  <c r="G475" i="3" s="1"/>
  <c r="G476" i="3" s="1"/>
  <c r="G477" i="3" s="1"/>
  <c r="G478" i="3" s="1"/>
  <c r="G479" i="3" s="1"/>
  <c r="G480" i="3" s="1"/>
  <c r="G481" i="3" s="1"/>
  <c r="G482" i="3" s="1"/>
  <c r="G483" i="3" s="1"/>
  <c r="G484" i="3" s="1"/>
  <c r="G485" i="3" s="1"/>
  <c r="G486" i="3" s="1"/>
  <c r="G487" i="3" s="1"/>
  <c r="G488" i="3" s="1"/>
  <c r="G489" i="3" s="1"/>
  <c r="G490" i="3" s="1"/>
  <c r="G491" i="3" s="1"/>
  <c r="G492" i="3" s="1"/>
  <c r="G493" i="3" s="1"/>
  <c r="G494" i="3" s="1"/>
  <c r="G495" i="3" s="1"/>
  <c r="G496" i="3" s="1"/>
  <c r="G497" i="3" s="1"/>
  <c r="G498" i="3" s="1"/>
  <c r="G499" i="3" s="1"/>
  <c r="G500" i="3" s="1"/>
  <c r="G501" i="3" s="1"/>
  <c r="G502" i="3" s="1"/>
  <c r="G503" i="3" s="1"/>
  <c r="G504" i="3" s="1"/>
  <c r="G505" i="3" s="1"/>
  <c r="G506" i="3" s="1"/>
  <c r="G507" i="3" s="1"/>
  <c r="G508" i="3" s="1"/>
  <c r="G509" i="3" s="1"/>
  <c r="G510" i="3" s="1"/>
  <c r="G511" i="3" s="1"/>
  <c r="G512" i="3" s="1"/>
  <c r="G513" i="3" s="1"/>
  <c r="G514" i="3" s="1"/>
  <c r="G515" i="3" s="1"/>
  <c r="G516" i="3" s="1"/>
  <c r="G517" i="3" s="1"/>
  <c r="G518" i="3" s="1"/>
  <c r="G519" i="3" s="1"/>
  <c r="G520" i="3" s="1"/>
  <c r="G521" i="3" s="1"/>
  <c r="G522" i="3" s="1"/>
  <c r="G523" i="3" s="1"/>
  <c r="G524" i="3" s="1"/>
  <c r="G525" i="3" s="1"/>
  <c r="G526" i="3" s="1"/>
  <c r="G527" i="3" s="1"/>
  <c r="G528" i="3" s="1"/>
  <c r="G529" i="3" s="1"/>
  <c r="G530" i="3" s="1"/>
  <c r="G531" i="3" s="1"/>
  <c r="G532" i="3" s="1"/>
  <c r="G533" i="3" s="1"/>
  <c r="G534" i="3" s="1"/>
  <c r="G535" i="3" s="1"/>
  <c r="G536" i="3" s="1"/>
  <c r="G537" i="3" s="1"/>
  <c r="G538" i="3" s="1"/>
  <c r="G539" i="3" s="1"/>
  <c r="G540" i="3" s="1"/>
  <c r="G541" i="3" s="1"/>
  <c r="G542" i="3" s="1"/>
  <c r="G543" i="3" s="1"/>
  <c r="G544" i="3" s="1"/>
  <c r="G545" i="3" s="1"/>
  <c r="G546" i="3" s="1"/>
  <c r="G547" i="3" s="1"/>
  <c r="G548" i="3" s="1"/>
  <c r="G549" i="3" s="1"/>
  <c r="G550" i="3" s="1"/>
  <c r="G551" i="3" s="1"/>
  <c r="G552" i="3" s="1"/>
  <c r="G553" i="3" s="1"/>
  <c r="G554" i="3" s="1"/>
  <c r="G555" i="3" s="1"/>
  <c r="G556" i="3" s="1"/>
  <c r="G557" i="3" s="1"/>
  <c r="G558" i="3" s="1"/>
  <c r="G559" i="3" s="1"/>
  <c r="G560" i="3" s="1"/>
  <c r="G561" i="3" s="1"/>
  <c r="G562" i="3" s="1"/>
  <c r="G563" i="3" s="1"/>
  <c r="G564" i="3" s="1"/>
  <c r="G565" i="3" s="1"/>
  <c r="G566" i="3" s="1"/>
  <c r="G567" i="3" s="1"/>
  <c r="G568" i="3" s="1"/>
  <c r="G569" i="3" s="1"/>
  <c r="G570" i="3" s="1"/>
  <c r="G571" i="3" s="1"/>
  <c r="G572" i="3" s="1"/>
  <c r="G573" i="3" s="1"/>
  <c r="G574" i="3" s="1"/>
  <c r="G575" i="3" s="1"/>
  <c r="G576" i="3" s="1"/>
  <c r="G577" i="3" s="1"/>
  <c r="G578" i="3" s="1"/>
  <c r="G579" i="3" s="1"/>
  <c r="G580" i="3" s="1"/>
  <c r="G581" i="3" s="1"/>
  <c r="G582" i="3" s="1"/>
  <c r="G583" i="3" s="1"/>
  <c r="G584" i="3" s="1"/>
  <c r="G585" i="3" s="1"/>
  <c r="G586" i="3" s="1"/>
  <c r="G587" i="3" s="1"/>
  <c r="G588" i="3" s="1"/>
  <c r="G589" i="3" s="1"/>
  <c r="G590" i="3" s="1"/>
  <c r="G591" i="3" s="1"/>
  <c r="G592" i="3" s="1"/>
  <c r="G593" i="3" s="1"/>
  <c r="G594" i="3" s="1"/>
  <c r="G595" i="3" s="1"/>
  <c r="G596" i="3" s="1"/>
  <c r="G597" i="3" s="1"/>
  <c r="G598" i="3" s="1"/>
  <c r="G599" i="3" s="1"/>
  <c r="G600" i="3" s="1"/>
  <c r="G601" i="3" s="1"/>
  <c r="G602" i="3" s="1"/>
  <c r="G603" i="3" s="1"/>
  <c r="G604" i="3" s="1"/>
  <c r="G605" i="3" s="1"/>
  <c r="G606" i="3" s="1"/>
  <c r="G607" i="3" s="1"/>
  <c r="G608" i="3" s="1"/>
  <c r="G609" i="3" s="1"/>
  <c r="G610" i="3" s="1"/>
  <c r="G611" i="3" s="1"/>
  <c r="G612" i="3" s="1"/>
  <c r="G613" i="3" s="1"/>
  <c r="G614" i="3" s="1"/>
  <c r="G615" i="3" s="1"/>
  <c r="G616" i="3" s="1"/>
  <c r="G617" i="3" s="1"/>
  <c r="G618" i="3" s="1"/>
  <c r="G619" i="3" s="1"/>
  <c r="G620" i="3" s="1"/>
  <c r="G621" i="3" s="1"/>
  <c r="G622" i="3" s="1"/>
  <c r="G623" i="3" s="1"/>
  <c r="G624" i="3" s="1"/>
  <c r="G625" i="3" s="1"/>
  <c r="G626" i="3" s="1"/>
  <c r="G627" i="3" s="1"/>
  <c r="G628" i="3" s="1"/>
  <c r="G629" i="3" s="1"/>
  <c r="G630" i="3" s="1"/>
  <c r="G631" i="3" s="1"/>
  <c r="G632" i="3" s="1"/>
  <c r="G633" i="3" s="1"/>
  <c r="G634" i="3" s="1"/>
  <c r="G635" i="3" s="1"/>
  <c r="G636" i="3" s="1"/>
  <c r="G637" i="3" s="1"/>
  <c r="G638" i="3" s="1"/>
  <c r="G639" i="3" s="1"/>
  <c r="G640" i="3" s="1"/>
  <c r="G641" i="3" s="1"/>
  <c r="G642" i="3" s="1"/>
  <c r="G643" i="3" s="1"/>
  <c r="G644" i="3" s="1"/>
  <c r="G645" i="3" s="1"/>
  <c r="G646" i="3" s="1"/>
  <c r="G647" i="3" s="1"/>
  <c r="G648" i="3" s="1"/>
  <c r="G649" i="3" s="1"/>
  <c r="G650" i="3" s="1"/>
  <c r="G651" i="3" s="1"/>
  <c r="G652" i="3" s="1"/>
  <c r="G653" i="3" s="1"/>
  <c r="G654" i="3" s="1"/>
  <c r="G655" i="3" s="1"/>
  <c r="G656" i="3" s="1"/>
  <c r="G657" i="3" s="1"/>
  <c r="G658" i="3" s="1"/>
  <c r="G659" i="3" s="1"/>
  <c r="G660" i="3" s="1"/>
  <c r="G661" i="3" s="1"/>
  <c r="G662" i="3" s="1"/>
  <c r="G663" i="3" s="1"/>
  <c r="G664" i="3" s="1"/>
  <c r="G665" i="3" s="1"/>
  <c r="G666" i="3" s="1"/>
  <c r="G667" i="3" s="1"/>
  <c r="G668" i="3" s="1"/>
  <c r="G669" i="3" s="1"/>
  <c r="G670" i="3" s="1"/>
  <c r="G671" i="3" s="1"/>
  <c r="G672" i="3" s="1"/>
  <c r="G673" i="3" s="1"/>
  <c r="G674" i="3" s="1"/>
  <c r="G675" i="3" s="1"/>
  <c r="G676" i="3" s="1"/>
  <c r="G677" i="3" s="1"/>
  <c r="G678" i="3" s="1"/>
  <c r="G679" i="3" s="1"/>
  <c r="G680" i="3" s="1"/>
  <c r="G681" i="3" s="1"/>
  <c r="G682" i="3" s="1"/>
  <c r="G683" i="3" s="1"/>
  <c r="G684" i="3" s="1"/>
  <c r="G685" i="3" s="1"/>
  <c r="G686" i="3" s="1"/>
  <c r="G687" i="3" s="1"/>
  <c r="G688" i="3" s="1"/>
  <c r="G689" i="3" s="1"/>
  <c r="G690" i="3" s="1"/>
  <c r="G691" i="3" s="1"/>
  <c r="G692" i="3" s="1"/>
  <c r="G693" i="3" s="1"/>
  <c r="G694" i="3" s="1"/>
  <c r="G695" i="3" s="1"/>
  <c r="G696" i="3" s="1"/>
  <c r="G697" i="3" s="1"/>
  <c r="G698" i="3" s="1"/>
  <c r="G699" i="3" s="1"/>
  <c r="G700" i="3" s="1"/>
  <c r="G701" i="3" s="1"/>
  <c r="G702" i="3" s="1"/>
  <c r="G703" i="3" s="1"/>
  <c r="G704" i="3" s="1"/>
  <c r="G705" i="3" s="1"/>
  <c r="G706" i="3" s="1"/>
  <c r="G707" i="3" s="1"/>
  <c r="G708" i="3" s="1"/>
  <c r="G709" i="3" s="1"/>
  <c r="G710" i="3" s="1"/>
  <c r="G711" i="3" s="1"/>
  <c r="G712" i="3" s="1"/>
  <c r="G713" i="3" s="1"/>
  <c r="G714" i="3" s="1"/>
  <c r="G715" i="3" s="1"/>
  <c r="G716" i="3" s="1"/>
  <c r="G717" i="3" s="1"/>
  <c r="G718" i="3" s="1"/>
  <c r="G719" i="3" s="1"/>
  <c r="G720" i="3" s="1"/>
  <c r="G721" i="3" s="1"/>
  <c r="G722" i="3" s="1"/>
  <c r="G723" i="3" s="1"/>
  <c r="G724" i="3" s="1"/>
  <c r="G725" i="3" s="1"/>
  <c r="G726" i="3" s="1"/>
  <c r="G727" i="3" s="1"/>
  <c r="G728" i="3" s="1"/>
  <c r="G729" i="3" s="1"/>
  <c r="G730" i="3" s="1"/>
  <c r="G731" i="3" s="1"/>
  <c r="G732" i="3" s="1"/>
  <c r="L13" i="3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L535" i="3" s="1"/>
  <c r="L536" i="3" s="1"/>
  <c r="L537" i="3" s="1"/>
  <c r="L538" i="3" s="1"/>
  <c r="L539" i="3" s="1"/>
  <c r="L540" i="3" s="1"/>
  <c r="L541" i="3" s="1"/>
  <c r="L542" i="3" s="1"/>
  <c r="L543" i="3" s="1"/>
  <c r="L544" i="3" s="1"/>
  <c r="L545" i="3" s="1"/>
  <c r="L546" i="3" s="1"/>
  <c r="L547" i="3" s="1"/>
  <c r="L548" i="3" s="1"/>
  <c r="L549" i="3" s="1"/>
  <c r="L550" i="3" s="1"/>
  <c r="L551" i="3" s="1"/>
  <c r="L552" i="3" s="1"/>
  <c r="L553" i="3" s="1"/>
  <c r="L554" i="3" s="1"/>
  <c r="L555" i="3" s="1"/>
  <c r="L556" i="3" s="1"/>
  <c r="L557" i="3" s="1"/>
  <c r="L558" i="3" s="1"/>
  <c r="L559" i="3" s="1"/>
  <c r="L560" i="3" s="1"/>
  <c r="L561" i="3" s="1"/>
  <c r="L562" i="3" s="1"/>
  <c r="L563" i="3" s="1"/>
  <c r="L564" i="3" s="1"/>
  <c r="L565" i="3" s="1"/>
  <c r="L566" i="3" s="1"/>
  <c r="L567" i="3" s="1"/>
  <c r="L568" i="3" s="1"/>
  <c r="L569" i="3" s="1"/>
  <c r="L570" i="3" s="1"/>
  <c r="L571" i="3" s="1"/>
  <c r="L572" i="3" s="1"/>
  <c r="L573" i="3" s="1"/>
  <c r="L574" i="3" s="1"/>
  <c r="L575" i="3" s="1"/>
  <c r="L576" i="3" s="1"/>
  <c r="L577" i="3" s="1"/>
  <c r="L578" i="3" s="1"/>
  <c r="L579" i="3" s="1"/>
  <c r="L580" i="3" s="1"/>
  <c r="L581" i="3" s="1"/>
  <c r="L582" i="3" s="1"/>
  <c r="L583" i="3" s="1"/>
  <c r="L584" i="3" s="1"/>
  <c r="L585" i="3" s="1"/>
  <c r="L586" i="3" s="1"/>
  <c r="L587" i="3" s="1"/>
  <c r="L588" i="3" s="1"/>
  <c r="L589" i="3" s="1"/>
  <c r="L590" i="3" s="1"/>
  <c r="L591" i="3" s="1"/>
  <c r="L592" i="3" s="1"/>
  <c r="L593" i="3" s="1"/>
  <c r="L594" i="3" s="1"/>
  <c r="L595" i="3" s="1"/>
  <c r="L596" i="3" s="1"/>
  <c r="L597" i="3" s="1"/>
  <c r="L598" i="3" s="1"/>
  <c r="L599" i="3" s="1"/>
  <c r="L600" i="3" s="1"/>
  <c r="L601" i="3" s="1"/>
  <c r="L602" i="3" s="1"/>
  <c r="L603" i="3" s="1"/>
  <c r="L604" i="3" s="1"/>
  <c r="L605" i="3" s="1"/>
  <c r="L606" i="3" s="1"/>
  <c r="L607" i="3" s="1"/>
  <c r="L608" i="3" s="1"/>
  <c r="L609" i="3" s="1"/>
  <c r="L610" i="3" s="1"/>
  <c r="L611" i="3" s="1"/>
  <c r="L612" i="3" s="1"/>
  <c r="L613" i="3" s="1"/>
  <c r="L614" i="3" s="1"/>
  <c r="L615" i="3" s="1"/>
  <c r="L616" i="3" s="1"/>
  <c r="L617" i="3" s="1"/>
  <c r="L618" i="3" s="1"/>
  <c r="L619" i="3" s="1"/>
  <c r="L620" i="3" s="1"/>
  <c r="L621" i="3" s="1"/>
  <c r="L622" i="3" s="1"/>
  <c r="L623" i="3" s="1"/>
  <c r="L624" i="3" s="1"/>
  <c r="L625" i="3" s="1"/>
  <c r="L626" i="3" s="1"/>
  <c r="L627" i="3" s="1"/>
  <c r="L628" i="3" s="1"/>
  <c r="L629" i="3" s="1"/>
  <c r="L630" i="3" s="1"/>
  <c r="L631" i="3" s="1"/>
  <c r="L632" i="3" s="1"/>
  <c r="L633" i="3" s="1"/>
  <c r="L634" i="3" s="1"/>
  <c r="L635" i="3" s="1"/>
  <c r="L636" i="3" s="1"/>
  <c r="L637" i="3" s="1"/>
  <c r="L638" i="3" s="1"/>
  <c r="L639" i="3" s="1"/>
  <c r="L640" i="3" s="1"/>
  <c r="L641" i="3" s="1"/>
  <c r="L642" i="3" s="1"/>
  <c r="L643" i="3" s="1"/>
  <c r="L644" i="3" s="1"/>
  <c r="L645" i="3" s="1"/>
  <c r="L646" i="3" s="1"/>
  <c r="L647" i="3" s="1"/>
  <c r="L648" i="3" s="1"/>
  <c r="L649" i="3" s="1"/>
  <c r="L650" i="3" s="1"/>
  <c r="L651" i="3" s="1"/>
  <c r="L652" i="3" s="1"/>
  <c r="L653" i="3" s="1"/>
  <c r="L654" i="3" s="1"/>
  <c r="L655" i="3" s="1"/>
  <c r="L656" i="3" s="1"/>
  <c r="L657" i="3" s="1"/>
  <c r="L658" i="3" s="1"/>
  <c r="L659" i="3" s="1"/>
  <c r="L660" i="3" s="1"/>
  <c r="L661" i="3" s="1"/>
  <c r="L662" i="3" s="1"/>
  <c r="L663" i="3" s="1"/>
  <c r="L664" i="3" s="1"/>
  <c r="L665" i="3" s="1"/>
  <c r="L666" i="3" s="1"/>
  <c r="L667" i="3" s="1"/>
  <c r="L668" i="3" s="1"/>
  <c r="L669" i="3" s="1"/>
  <c r="L670" i="3" s="1"/>
  <c r="L671" i="3" s="1"/>
  <c r="L672" i="3" s="1"/>
  <c r="L673" i="3" s="1"/>
  <c r="L674" i="3" s="1"/>
  <c r="L675" i="3" s="1"/>
  <c r="L676" i="3" s="1"/>
  <c r="L677" i="3" s="1"/>
  <c r="L678" i="3" s="1"/>
  <c r="L679" i="3" s="1"/>
  <c r="L680" i="3" s="1"/>
  <c r="L681" i="3" s="1"/>
  <c r="L682" i="3" s="1"/>
  <c r="L683" i="3" s="1"/>
  <c r="L684" i="3" s="1"/>
  <c r="L685" i="3" s="1"/>
  <c r="L686" i="3" s="1"/>
  <c r="L687" i="3" s="1"/>
  <c r="L688" i="3" s="1"/>
  <c r="L689" i="3" s="1"/>
  <c r="L690" i="3" s="1"/>
  <c r="L691" i="3" s="1"/>
  <c r="L692" i="3" s="1"/>
  <c r="L693" i="3" s="1"/>
  <c r="L694" i="3" s="1"/>
  <c r="L695" i="3" s="1"/>
  <c r="L696" i="3" s="1"/>
  <c r="L697" i="3" s="1"/>
  <c r="L698" i="3" s="1"/>
  <c r="L699" i="3" s="1"/>
  <c r="L700" i="3" s="1"/>
  <c r="L701" i="3" s="1"/>
  <c r="L702" i="3" s="1"/>
  <c r="L703" i="3" s="1"/>
  <c r="L704" i="3" s="1"/>
  <c r="L705" i="3" s="1"/>
  <c r="L706" i="3" s="1"/>
  <c r="L707" i="3" s="1"/>
  <c r="L708" i="3" s="1"/>
  <c r="L709" i="3" s="1"/>
  <c r="L710" i="3" s="1"/>
  <c r="L711" i="3" s="1"/>
  <c r="L712" i="3" s="1"/>
  <c r="L713" i="3" s="1"/>
  <c r="L714" i="3" s="1"/>
  <c r="L715" i="3" s="1"/>
  <c r="L716" i="3" s="1"/>
  <c r="L717" i="3" s="1"/>
  <c r="L718" i="3" s="1"/>
  <c r="L719" i="3" s="1"/>
  <c r="L720" i="3" s="1"/>
  <c r="L721" i="3" s="1"/>
  <c r="L722" i="3" s="1"/>
  <c r="L723" i="3" s="1"/>
  <c r="L724" i="3" s="1"/>
  <c r="L725" i="3" s="1"/>
  <c r="L726" i="3" s="1"/>
  <c r="L727" i="3" s="1"/>
  <c r="L728" i="3" s="1"/>
  <c r="L729" i="3" s="1"/>
  <c r="L730" i="3" s="1"/>
  <c r="L731" i="3" s="1"/>
  <c r="L732" i="3" s="1"/>
  <c r="L5" i="3"/>
  <c r="L6" i="3" s="1"/>
  <c r="L7" i="3"/>
  <c r="L8" i="3" s="1"/>
  <c r="B7" i="3"/>
  <c r="B8" i="3" s="1"/>
  <c r="B13" i="3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5" i="3"/>
  <c r="T557" i="2"/>
  <c r="T555" i="2"/>
  <c r="T553" i="2"/>
  <c r="T551" i="2"/>
  <c r="T549" i="2"/>
  <c r="T547" i="2"/>
  <c r="T545" i="2"/>
  <c r="T543" i="2"/>
  <c r="T541" i="2"/>
  <c r="T539" i="2"/>
  <c r="T537" i="2"/>
  <c r="T535" i="2"/>
  <c r="T533" i="2"/>
  <c r="T556" i="2"/>
  <c r="T554" i="2"/>
  <c r="T552" i="2"/>
  <c r="T550" i="2"/>
  <c r="T548" i="2"/>
  <c r="T546" i="2"/>
  <c r="T544" i="2"/>
  <c r="T542" i="2"/>
  <c r="T540" i="2"/>
  <c r="T538" i="2"/>
  <c r="T536" i="2"/>
  <c r="T534" i="2"/>
  <c r="T532" i="2"/>
  <c r="T531" i="2"/>
  <c r="T530" i="2"/>
  <c r="T529" i="2"/>
  <c r="T528" i="2"/>
  <c r="T527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725" i="2"/>
  <c r="T724" i="2"/>
  <c r="T723" i="2"/>
  <c r="T722" i="2"/>
  <c r="T721" i="2"/>
  <c r="T720" i="2"/>
  <c r="T719" i="2"/>
  <c r="T718" i="2"/>
  <c r="T717" i="2"/>
  <c r="T716" i="2"/>
  <c r="T715" i="2"/>
  <c r="T714" i="2"/>
  <c r="T713" i="2"/>
  <c r="T712" i="2"/>
  <c r="T711" i="2"/>
  <c r="T710" i="2"/>
  <c r="T709" i="2"/>
  <c r="T708" i="2"/>
  <c r="T707" i="2"/>
  <c r="T706" i="2"/>
  <c r="T705" i="2"/>
  <c r="T704" i="2"/>
  <c r="T703" i="2"/>
  <c r="T702" i="2"/>
  <c r="T701" i="2"/>
  <c r="T700" i="2"/>
  <c r="T699" i="2"/>
  <c r="T698" i="2"/>
  <c r="T697" i="2"/>
  <c r="T696" i="2"/>
  <c r="T695" i="2"/>
  <c r="T694" i="2"/>
  <c r="T693" i="2"/>
  <c r="T692" i="2"/>
  <c r="T691" i="2"/>
  <c r="T690" i="2"/>
  <c r="T689" i="2"/>
  <c r="T688" i="2"/>
  <c r="T687" i="2"/>
  <c r="T686" i="2"/>
  <c r="T685" i="2"/>
  <c r="T684" i="2"/>
  <c r="T683" i="2"/>
  <c r="T682" i="2"/>
  <c r="T681" i="2"/>
  <c r="T680" i="2"/>
  <c r="T679" i="2"/>
  <c r="T678" i="2"/>
  <c r="T677" i="2"/>
  <c r="T676" i="2"/>
  <c r="T675" i="2"/>
  <c r="T674" i="2"/>
  <c r="T673" i="2"/>
  <c r="T672" i="2"/>
  <c r="T671" i="2"/>
  <c r="T670" i="2"/>
  <c r="T669" i="2"/>
  <c r="T668" i="2"/>
  <c r="T667" i="2"/>
  <c r="T666" i="2"/>
  <c r="T665" i="2"/>
  <c r="T664" i="2"/>
  <c r="T663" i="2"/>
  <c r="T662" i="2"/>
  <c r="T661" i="2"/>
  <c r="T660" i="2"/>
  <c r="T659" i="2"/>
  <c r="T658" i="2"/>
  <c r="T657" i="2"/>
  <c r="T656" i="2"/>
  <c r="T655" i="2"/>
  <c r="T654" i="2"/>
  <c r="T653" i="2"/>
  <c r="T652" i="2"/>
  <c r="T651" i="2"/>
  <c r="T650" i="2"/>
  <c r="T649" i="2"/>
  <c r="T648" i="2"/>
  <c r="T647" i="2"/>
  <c r="T646" i="2"/>
  <c r="T645" i="2"/>
  <c r="T644" i="2"/>
  <c r="T643" i="2"/>
  <c r="T642" i="2"/>
  <c r="T641" i="2"/>
  <c r="T640" i="2"/>
  <c r="T639" i="2"/>
  <c r="T638" i="2"/>
  <c r="T637" i="2"/>
  <c r="T636" i="2"/>
  <c r="T635" i="2"/>
  <c r="T634" i="2"/>
  <c r="T633" i="2"/>
  <c r="T632" i="2"/>
  <c r="T631" i="2"/>
  <c r="T630" i="2"/>
  <c r="T629" i="2"/>
  <c r="T628" i="2"/>
  <c r="T627" i="2"/>
  <c r="T626" i="2"/>
  <c r="T625" i="2"/>
  <c r="T624" i="2"/>
  <c r="T623" i="2"/>
  <c r="T622" i="2"/>
  <c r="T621" i="2"/>
  <c r="T620" i="2"/>
  <c r="T619" i="2"/>
  <c r="T618" i="2"/>
  <c r="T617" i="2"/>
  <c r="T616" i="2"/>
  <c r="T615" i="2"/>
  <c r="T614" i="2"/>
  <c r="T613" i="2"/>
  <c r="T612" i="2"/>
  <c r="T611" i="2"/>
  <c r="T610" i="2"/>
  <c r="T609" i="2"/>
  <c r="T608" i="2"/>
  <c r="T607" i="2"/>
  <c r="T606" i="2"/>
  <c r="T605" i="2"/>
  <c r="T604" i="2"/>
  <c r="T603" i="2"/>
  <c r="T602" i="2"/>
  <c r="T601" i="2"/>
  <c r="T600" i="2"/>
  <c r="T599" i="2"/>
  <c r="T598" i="2"/>
  <c r="T597" i="2"/>
  <c r="T596" i="2"/>
  <c r="T595" i="2"/>
  <c r="T594" i="2"/>
  <c r="T593" i="2"/>
  <c r="T592" i="2"/>
  <c r="T591" i="2"/>
  <c r="T590" i="2"/>
  <c r="T589" i="2"/>
  <c r="T588" i="2"/>
  <c r="T587" i="2"/>
  <c r="T586" i="2"/>
  <c r="T585" i="2"/>
  <c r="T584" i="2"/>
  <c r="T583" i="2"/>
  <c r="T582" i="2"/>
  <c r="T581" i="2"/>
  <c r="T580" i="2"/>
  <c r="T579" i="2"/>
  <c r="T578" i="2"/>
  <c r="T577" i="2"/>
  <c r="T576" i="2"/>
  <c r="T575" i="2"/>
  <c r="T574" i="2"/>
  <c r="T573" i="2"/>
  <c r="T572" i="2"/>
  <c r="T571" i="2"/>
  <c r="T570" i="2"/>
  <c r="T569" i="2"/>
  <c r="T568" i="2"/>
  <c r="T567" i="2"/>
  <c r="T566" i="2"/>
  <c r="T565" i="2"/>
  <c r="T564" i="2"/>
  <c r="T563" i="2"/>
  <c r="T562" i="2"/>
  <c r="T561" i="2"/>
  <c r="T560" i="2"/>
  <c r="T559" i="2"/>
  <c r="T558" i="2"/>
  <c r="T405" i="2"/>
  <c r="T401" i="2"/>
  <c r="T397" i="2"/>
  <c r="T20" i="2"/>
  <c r="T14" i="2"/>
  <c r="T406" i="2"/>
  <c r="T402" i="2"/>
  <c r="T398" i="2"/>
  <c r="T293" i="2"/>
  <c r="T291" i="2"/>
  <c r="T289" i="2"/>
  <c r="T287" i="2"/>
  <c r="T285" i="2"/>
  <c r="T283" i="2"/>
  <c r="T281" i="2"/>
  <c r="T279" i="2"/>
  <c r="T277" i="2"/>
  <c r="T275" i="2"/>
  <c r="T273" i="2"/>
  <c r="T271" i="2"/>
  <c r="T269" i="2"/>
  <c r="T267" i="2"/>
  <c r="T265" i="2"/>
  <c r="T263" i="2"/>
  <c r="T261" i="2"/>
  <c r="T259" i="2"/>
  <c r="T257" i="2"/>
  <c r="T255" i="2"/>
  <c r="T253" i="2"/>
  <c r="T251" i="2"/>
  <c r="T249" i="2"/>
  <c r="T247" i="2"/>
  <c r="T245" i="2"/>
  <c r="T243" i="2"/>
  <c r="T241" i="2"/>
  <c r="T239" i="2"/>
  <c r="T237" i="2"/>
  <c r="T235" i="2"/>
  <c r="T233" i="2"/>
  <c r="T231" i="2"/>
  <c r="T229" i="2"/>
  <c r="T227" i="2"/>
  <c r="T225" i="2"/>
  <c r="T223" i="2"/>
  <c r="T221" i="2"/>
  <c r="T219" i="2"/>
  <c r="T217" i="2"/>
  <c r="T215" i="2"/>
  <c r="T213" i="2"/>
  <c r="T211" i="2"/>
  <c r="T209" i="2"/>
  <c r="T207" i="2"/>
  <c r="T205" i="2"/>
  <c r="T203" i="2"/>
  <c r="T201" i="2"/>
  <c r="T199" i="2"/>
  <c r="T197" i="2"/>
  <c r="T195" i="2"/>
  <c r="T193" i="2"/>
  <c r="T191" i="2"/>
  <c r="T189" i="2"/>
  <c r="T187" i="2"/>
  <c r="T30" i="2"/>
  <c r="T28" i="2"/>
  <c r="T27" i="2"/>
  <c r="T26" i="2"/>
  <c r="T25" i="2"/>
  <c r="T24" i="2"/>
  <c r="T23" i="2"/>
  <c r="T19" i="2"/>
  <c r="T13" i="2"/>
  <c r="T407" i="2"/>
  <c r="T403" i="2"/>
  <c r="T399" i="2"/>
  <c r="T408" i="2"/>
  <c r="T404" i="2"/>
  <c r="T400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2" i="2"/>
  <c r="T290" i="2"/>
  <c r="T288" i="2"/>
  <c r="T286" i="2"/>
  <c r="T284" i="2"/>
  <c r="T282" i="2"/>
  <c r="T280" i="2"/>
  <c r="T278" i="2"/>
  <c r="T276" i="2"/>
  <c r="T274" i="2"/>
  <c r="T272" i="2"/>
  <c r="T270" i="2"/>
  <c r="T268" i="2"/>
  <c r="T266" i="2"/>
  <c r="T264" i="2"/>
  <c r="T262" i="2"/>
  <c r="T260" i="2"/>
  <c r="T258" i="2"/>
  <c r="T256" i="2"/>
  <c r="T254" i="2"/>
  <c r="T252" i="2"/>
  <c r="T250" i="2"/>
  <c r="T248" i="2"/>
  <c r="T246" i="2"/>
  <c r="T244" i="2"/>
  <c r="T242" i="2"/>
  <c r="T240" i="2"/>
  <c r="T238" i="2"/>
  <c r="T236" i="2"/>
  <c r="T234" i="2"/>
  <c r="T232" i="2"/>
  <c r="T230" i="2"/>
  <c r="T228" i="2"/>
  <c r="T226" i="2"/>
  <c r="T224" i="2"/>
  <c r="T222" i="2"/>
  <c r="T220" i="2"/>
  <c r="T218" i="2"/>
  <c r="T216" i="2"/>
  <c r="T214" i="2"/>
  <c r="T212" i="2"/>
  <c r="T210" i="2"/>
  <c r="T208" i="2"/>
  <c r="T206" i="2"/>
  <c r="T204" i="2"/>
  <c r="T202" i="2"/>
  <c r="T200" i="2"/>
  <c r="T198" i="2"/>
  <c r="T196" i="2"/>
  <c r="T194" i="2"/>
  <c r="T192" i="2"/>
  <c r="T190" i="2"/>
  <c r="T188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6" i="2"/>
  <c r="T42" i="2"/>
  <c r="T38" i="2"/>
  <c r="T34" i="2"/>
  <c r="T16" i="2"/>
  <c r="T8" i="2"/>
  <c r="T47" i="2"/>
  <c r="T43" i="2"/>
  <c r="T39" i="2"/>
  <c r="T35" i="2"/>
  <c r="T31" i="2"/>
  <c r="T22" i="2"/>
  <c r="T18" i="2"/>
  <c r="T15" i="2"/>
  <c r="T11" i="2"/>
  <c r="T7" i="2"/>
  <c r="T48" i="2"/>
  <c r="T44" i="2"/>
  <c r="T40" i="2"/>
  <c r="T36" i="2"/>
  <c r="T32" i="2"/>
  <c r="T10" i="2"/>
  <c r="T6" i="2"/>
  <c r="U6" i="2" s="1"/>
  <c r="T21" i="2"/>
  <c r="T17" i="2"/>
  <c r="T9" i="2"/>
  <c r="T5" i="2"/>
  <c r="T49" i="2"/>
  <c r="T41" i="2"/>
  <c r="T33" i="2"/>
  <c r="T29" i="2"/>
  <c r="T12" i="2"/>
  <c r="T45" i="2"/>
  <c r="T37" i="2"/>
  <c r="K13" i="3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K215" i="3" s="1"/>
  <c r="K216" i="3" s="1"/>
  <c r="K217" i="3" s="1"/>
  <c r="K218" i="3" s="1"/>
  <c r="K219" i="3" s="1"/>
  <c r="K220" i="3" s="1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K239" i="3" s="1"/>
  <c r="K240" i="3" s="1"/>
  <c r="K241" i="3" s="1"/>
  <c r="K242" i="3" s="1"/>
  <c r="K243" i="3" s="1"/>
  <c r="K244" i="3" s="1"/>
  <c r="K245" i="3" s="1"/>
  <c r="K246" i="3" s="1"/>
  <c r="K247" i="3" s="1"/>
  <c r="K248" i="3" s="1"/>
  <c r="K249" i="3" s="1"/>
  <c r="K250" i="3" s="1"/>
  <c r="K251" i="3" s="1"/>
  <c r="K252" i="3" s="1"/>
  <c r="K253" i="3" s="1"/>
  <c r="K254" i="3" s="1"/>
  <c r="K255" i="3" s="1"/>
  <c r="K256" i="3" s="1"/>
  <c r="K257" i="3" s="1"/>
  <c r="K258" i="3" s="1"/>
  <c r="K259" i="3" s="1"/>
  <c r="K260" i="3" s="1"/>
  <c r="K261" i="3" s="1"/>
  <c r="K262" i="3" s="1"/>
  <c r="K263" i="3" s="1"/>
  <c r="K264" i="3" s="1"/>
  <c r="K265" i="3" s="1"/>
  <c r="K266" i="3" s="1"/>
  <c r="K267" i="3" s="1"/>
  <c r="K268" i="3" s="1"/>
  <c r="K269" i="3" s="1"/>
  <c r="K270" i="3" s="1"/>
  <c r="K271" i="3" s="1"/>
  <c r="K272" i="3" s="1"/>
  <c r="K273" i="3" s="1"/>
  <c r="K274" i="3" s="1"/>
  <c r="K275" i="3" s="1"/>
  <c r="K276" i="3" s="1"/>
  <c r="K277" i="3" s="1"/>
  <c r="K278" i="3" s="1"/>
  <c r="K279" i="3" s="1"/>
  <c r="K280" i="3" s="1"/>
  <c r="K281" i="3" s="1"/>
  <c r="K282" i="3" s="1"/>
  <c r="K283" i="3" s="1"/>
  <c r="K284" i="3" s="1"/>
  <c r="K285" i="3" s="1"/>
  <c r="K286" i="3" s="1"/>
  <c r="K287" i="3" s="1"/>
  <c r="K288" i="3" s="1"/>
  <c r="K289" i="3" s="1"/>
  <c r="K290" i="3" s="1"/>
  <c r="K291" i="3" s="1"/>
  <c r="K292" i="3" s="1"/>
  <c r="K293" i="3" s="1"/>
  <c r="K294" i="3" s="1"/>
  <c r="K295" i="3" s="1"/>
  <c r="K296" i="3" s="1"/>
  <c r="K297" i="3" s="1"/>
  <c r="K298" i="3" s="1"/>
  <c r="K299" i="3" s="1"/>
  <c r="K300" i="3" s="1"/>
  <c r="K301" i="3" s="1"/>
  <c r="K302" i="3" s="1"/>
  <c r="K303" i="3" s="1"/>
  <c r="K304" i="3" s="1"/>
  <c r="K305" i="3" s="1"/>
  <c r="K306" i="3" s="1"/>
  <c r="K307" i="3" s="1"/>
  <c r="K308" i="3" s="1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K361" i="3" s="1"/>
  <c r="K362" i="3" s="1"/>
  <c r="K363" i="3" s="1"/>
  <c r="K364" i="3" s="1"/>
  <c r="K365" i="3" s="1"/>
  <c r="K366" i="3" s="1"/>
  <c r="K367" i="3" s="1"/>
  <c r="K368" i="3" s="1"/>
  <c r="K369" i="3" s="1"/>
  <c r="K370" i="3" s="1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K403" i="3" s="1"/>
  <c r="K404" i="3" s="1"/>
  <c r="K405" i="3" s="1"/>
  <c r="K406" i="3" s="1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K421" i="3" s="1"/>
  <c r="K422" i="3" s="1"/>
  <c r="K423" i="3" s="1"/>
  <c r="K424" i="3" s="1"/>
  <c r="K425" i="3" s="1"/>
  <c r="K426" i="3" s="1"/>
  <c r="K427" i="3" s="1"/>
  <c r="K428" i="3" s="1"/>
  <c r="K429" i="3" s="1"/>
  <c r="K430" i="3" s="1"/>
  <c r="K431" i="3" s="1"/>
  <c r="K432" i="3" s="1"/>
  <c r="K433" i="3" s="1"/>
  <c r="K434" i="3" s="1"/>
  <c r="K435" i="3" s="1"/>
  <c r="K436" i="3" s="1"/>
  <c r="K437" i="3" s="1"/>
  <c r="K438" i="3" s="1"/>
  <c r="K439" i="3" s="1"/>
  <c r="K440" i="3" s="1"/>
  <c r="K441" i="3" s="1"/>
  <c r="K442" i="3" s="1"/>
  <c r="K443" i="3" s="1"/>
  <c r="K444" i="3" s="1"/>
  <c r="K445" i="3" s="1"/>
  <c r="K446" i="3" s="1"/>
  <c r="K447" i="3" s="1"/>
  <c r="K448" i="3" s="1"/>
  <c r="K449" i="3" s="1"/>
  <c r="K450" i="3" s="1"/>
  <c r="K451" i="3" s="1"/>
  <c r="K452" i="3" s="1"/>
  <c r="K453" i="3" s="1"/>
  <c r="K454" i="3" s="1"/>
  <c r="K455" i="3" s="1"/>
  <c r="K456" i="3" s="1"/>
  <c r="K457" i="3" s="1"/>
  <c r="K458" i="3" s="1"/>
  <c r="K459" i="3" s="1"/>
  <c r="K460" i="3" s="1"/>
  <c r="K461" i="3" s="1"/>
  <c r="K462" i="3" s="1"/>
  <c r="K463" i="3" s="1"/>
  <c r="K464" i="3" s="1"/>
  <c r="K465" i="3" s="1"/>
  <c r="K466" i="3" s="1"/>
  <c r="K467" i="3" s="1"/>
  <c r="K468" i="3" s="1"/>
  <c r="K469" i="3" s="1"/>
  <c r="K470" i="3" s="1"/>
  <c r="K471" i="3" s="1"/>
  <c r="K472" i="3" s="1"/>
  <c r="K473" i="3" s="1"/>
  <c r="K474" i="3" s="1"/>
  <c r="K475" i="3" s="1"/>
  <c r="K476" i="3" s="1"/>
  <c r="K477" i="3" s="1"/>
  <c r="K478" i="3" s="1"/>
  <c r="K479" i="3" s="1"/>
  <c r="K480" i="3" s="1"/>
  <c r="K481" i="3" s="1"/>
  <c r="K482" i="3" s="1"/>
  <c r="K483" i="3" s="1"/>
  <c r="K484" i="3" s="1"/>
  <c r="K485" i="3" s="1"/>
  <c r="K486" i="3" s="1"/>
  <c r="K487" i="3" s="1"/>
  <c r="K488" i="3" s="1"/>
  <c r="K489" i="3" s="1"/>
  <c r="K490" i="3" s="1"/>
  <c r="K491" i="3" s="1"/>
  <c r="K492" i="3" s="1"/>
  <c r="K493" i="3" s="1"/>
  <c r="K494" i="3" s="1"/>
  <c r="K495" i="3" s="1"/>
  <c r="K496" i="3" s="1"/>
  <c r="K497" i="3" s="1"/>
  <c r="K498" i="3" s="1"/>
  <c r="K499" i="3" s="1"/>
  <c r="K500" i="3" s="1"/>
  <c r="K501" i="3" s="1"/>
  <c r="K502" i="3" s="1"/>
  <c r="K503" i="3" s="1"/>
  <c r="K504" i="3" s="1"/>
  <c r="K505" i="3" s="1"/>
  <c r="K506" i="3" s="1"/>
  <c r="K507" i="3" s="1"/>
  <c r="K508" i="3" s="1"/>
  <c r="K509" i="3" s="1"/>
  <c r="K510" i="3" s="1"/>
  <c r="K511" i="3" s="1"/>
  <c r="K512" i="3" s="1"/>
  <c r="K513" i="3" s="1"/>
  <c r="K514" i="3" s="1"/>
  <c r="K515" i="3" s="1"/>
  <c r="K516" i="3" s="1"/>
  <c r="K517" i="3" s="1"/>
  <c r="K518" i="3" s="1"/>
  <c r="K519" i="3" s="1"/>
  <c r="K520" i="3" s="1"/>
  <c r="K521" i="3" s="1"/>
  <c r="K522" i="3" s="1"/>
  <c r="K523" i="3" s="1"/>
  <c r="K524" i="3" s="1"/>
  <c r="K525" i="3" s="1"/>
  <c r="K526" i="3" s="1"/>
  <c r="K527" i="3" s="1"/>
  <c r="K528" i="3" s="1"/>
  <c r="K529" i="3" s="1"/>
  <c r="K530" i="3" s="1"/>
  <c r="K531" i="3" s="1"/>
  <c r="K532" i="3" s="1"/>
  <c r="K533" i="3" s="1"/>
  <c r="K534" i="3" s="1"/>
  <c r="K535" i="3" s="1"/>
  <c r="K536" i="3" s="1"/>
  <c r="K537" i="3" s="1"/>
  <c r="K538" i="3" s="1"/>
  <c r="K539" i="3" s="1"/>
  <c r="K540" i="3" s="1"/>
  <c r="K541" i="3" s="1"/>
  <c r="K542" i="3" s="1"/>
  <c r="K543" i="3" s="1"/>
  <c r="K544" i="3" s="1"/>
  <c r="K545" i="3" s="1"/>
  <c r="K546" i="3" s="1"/>
  <c r="K547" i="3" s="1"/>
  <c r="K548" i="3" s="1"/>
  <c r="K549" i="3" s="1"/>
  <c r="K550" i="3" s="1"/>
  <c r="K551" i="3" s="1"/>
  <c r="K552" i="3" s="1"/>
  <c r="K553" i="3" s="1"/>
  <c r="K554" i="3" s="1"/>
  <c r="K555" i="3" s="1"/>
  <c r="K556" i="3" s="1"/>
  <c r="K557" i="3" s="1"/>
  <c r="K558" i="3" s="1"/>
  <c r="K559" i="3" s="1"/>
  <c r="K560" i="3" s="1"/>
  <c r="K561" i="3" s="1"/>
  <c r="K562" i="3" s="1"/>
  <c r="K563" i="3" s="1"/>
  <c r="K564" i="3" s="1"/>
  <c r="K565" i="3" s="1"/>
  <c r="K566" i="3" s="1"/>
  <c r="K567" i="3" s="1"/>
  <c r="K568" i="3" s="1"/>
  <c r="K569" i="3" s="1"/>
  <c r="K570" i="3" s="1"/>
  <c r="K571" i="3" s="1"/>
  <c r="K572" i="3" s="1"/>
  <c r="K573" i="3" s="1"/>
  <c r="K574" i="3" s="1"/>
  <c r="K575" i="3" s="1"/>
  <c r="K576" i="3" s="1"/>
  <c r="K577" i="3" s="1"/>
  <c r="K578" i="3" s="1"/>
  <c r="K579" i="3" s="1"/>
  <c r="K580" i="3" s="1"/>
  <c r="K581" i="3" s="1"/>
  <c r="K582" i="3" s="1"/>
  <c r="K583" i="3" s="1"/>
  <c r="K584" i="3" s="1"/>
  <c r="K585" i="3" s="1"/>
  <c r="K586" i="3" s="1"/>
  <c r="K587" i="3" s="1"/>
  <c r="K588" i="3" s="1"/>
  <c r="K589" i="3" s="1"/>
  <c r="K590" i="3" s="1"/>
  <c r="K591" i="3" s="1"/>
  <c r="K592" i="3" s="1"/>
  <c r="K593" i="3" s="1"/>
  <c r="K594" i="3" s="1"/>
  <c r="K595" i="3" s="1"/>
  <c r="K596" i="3" s="1"/>
  <c r="K597" i="3" s="1"/>
  <c r="K598" i="3" s="1"/>
  <c r="K599" i="3" s="1"/>
  <c r="K600" i="3" s="1"/>
  <c r="K601" i="3" s="1"/>
  <c r="K602" i="3" s="1"/>
  <c r="K603" i="3" s="1"/>
  <c r="K604" i="3" s="1"/>
  <c r="K605" i="3" s="1"/>
  <c r="K606" i="3" s="1"/>
  <c r="K607" i="3" s="1"/>
  <c r="K608" i="3" s="1"/>
  <c r="K609" i="3" s="1"/>
  <c r="K610" i="3" s="1"/>
  <c r="K611" i="3" s="1"/>
  <c r="K612" i="3" s="1"/>
  <c r="K613" i="3" s="1"/>
  <c r="K614" i="3" s="1"/>
  <c r="K615" i="3" s="1"/>
  <c r="K616" i="3" s="1"/>
  <c r="K617" i="3" s="1"/>
  <c r="K618" i="3" s="1"/>
  <c r="K619" i="3" s="1"/>
  <c r="K620" i="3" s="1"/>
  <c r="K621" i="3" s="1"/>
  <c r="K622" i="3" s="1"/>
  <c r="K623" i="3" s="1"/>
  <c r="K624" i="3" s="1"/>
  <c r="K625" i="3" s="1"/>
  <c r="K626" i="3" s="1"/>
  <c r="K627" i="3" s="1"/>
  <c r="K628" i="3" s="1"/>
  <c r="K629" i="3" s="1"/>
  <c r="K630" i="3" s="1"/>
  <c r="K631" i="3" s="1"/>
  <c r="K632" i="3" s="1"/>
  <c r="K633" i="3" s="1"/>
  <c r="K634" i="3" s="1"/>
  <c r="K635" i="3" s="1"/>
  <c r="K636" i="3" s="1"/>
  <c r="K637" i="3" s="1"/>
  <c r="K638" i="3" s="1"/>
  <c r="K639" i="3" s="1"/>
  <c r="K640" i="3" s="1"/>
  <c r="K641" i="3" s="1"/>
  <c r="K642" i="3" s="1"/>
  <c r="K643" i="3" s="1"/>
  <c r="K644" i="3" s="1"/>
  <c r="K645" i="3" s="1"/>
  <c r="K646" i="3" s="1"/>
  <c r="K647" i="3" s="1"/>
  <c r="K648" i="3" s="1"/>
  <c r="K649" i="3" s="1"/>
  <c r="K650" i="3" s="1"/>
  <c r="K651" i="3" s="1"/>
  <c r="K652" i="3" s="1"/>
  <c r="K653" i="3" s="1"/>
  <c r="K654" i="3" s="1"/>
  <c r="K655" i="3" s="1"/>
  <c r="K656" i="3" s="1"/>
  <c r="K657" i="3" s="1"/>
  <c r="K658" i="3" s="1"/>
  <c r="K659" i="3" s="1"/>
  <c r="K660" i="3" s="1"/>
  <c r="K661" i="3" s="1"/>
  <c r="K662" i="3" s="1"/>
  <c r="K663" i="3" s="1"/>
  <c r="K664" i="3" s="1"/>
  <c r="K665" i="3" s="1"/>
  <c r="K666" i="3" s="1"/>
  <c r="K667" i="3" s="1"/>
  <c r="K668" i="3" s="1"/>
  <c r="K669" i="3" s="1"/>
  <c r="K670" i="3" s="1"/>
  <c r="K671" i="3" s="1"/>
  <c r="K672" i="3" s="1"/>
  <c r="K673" i="3" s="1"/>
  <c r="K674" i="3" s="1"/>
  <c r="K675" i="3" s="1"/>
  <c r="K676" i="3" s="1"/>
  <c r="K677" i="3" s="1"/>
  <c r="K678" i="3" s="1"/>
  <c r="K679" i="3" s="1"/>
  <c r="K680" i="3" s="1"/>
  <c r="K681" i="3" s="1"/>
  <c r="K682" i="3" s="1"/>
  <c r="K683" i="3" s="1"/>
  <c r="K684" i="3" s="1"/>
  <c r="K685" i="3" s="1"/>
  <c r="K686" i="3" s="1"/>
  <c r="K687" i="3" s="1"/>
  <c r="K688" i="3" s="1"/>
  <c r="K689" i="3" s="1"/>
  <c r="K690" i="3" s="1"/>
  <c r="K691" i="3" s="1"/>
  <c r="K692" i="3" s="1"/>
  <c r="K693" i="3" s="1"/>
  <c r="K694" i="3" s="1"/>
  <c r="K695" i="3" s="1"/>
  <c r="K696" i="3" s="1"/>
  <c r="K697" i="3" s="1"/>
  <c r="K698" i="3" s="1"/>
  <c r="K699" i="3" s="1"/>
  <c r="K700" i="3" s="1"/>
  <c r="K701" i="3" s="1"/>
  <c r="K702" i="3" s="1"/>
  <c r="K703" i="3" s="1"/>
  <c r="K704" i="3" s="1"/>
  <c r="K705" i="3" s="1"/>
  <c r="K706" i="3" s="1"/>
  <c r="K707" i="3" s="1"/>
  <c r="K708" i="3" s="1"/>
  <c r="K709" i="3" s="1"/>
  <c r="K710" i="3" s="1"/>
  <c r="K711" i="3" s="1"/>
  <c r="K712" i="3" s="1"/>
  <c r="K713" i="3" s="1"/>
  <c r="K714" i="3" s="1"/>
  <c r="K715" i="3" s="1"/>
  <c r="K716" i="3" s="1"/>
  <c r="K717" i="3" s="1"/>
  <c r="K718" i="3" s="1"/>
  <c r="K719" i="3" s="1"/>
  <c r="K720" i="3" s="1"/>
  <c r="K721" i="3" s="1"/>
  <c r="K722" i="3" s="1"/>
  <c r="K723" i="3" s="1"/>
  <c r="K724" i="3" s="1"/>
  <c r="K725" i="3" s="1"/>
  <c r="K726" i="3" s="1"/>
  <c r="K727" i="3" s="1"/>
  <c r="K728" i="3" s="1"/>
  <c r="K729" i="3" s="1"/>
  <c r="K730" i="3" s="1"/>
  <c r="K731" i="3" s="1"/>
  <c r="K732" i="3" s="1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29" i="2"/>
  <c r="O21" i="2"/>
  <c r="O17" i="2"/>
  <c r="O16" i="2"/>
  <c r="O15" i="2"/>
  <c r="O11" i="2"/>
  <c r="O10" i="2"/>
  <c r="O9" i="2"/>
  <c r="O8" i="2"/>
  <c r="O7" i="2"/>
  <c r="O6" i="2"/>
  <c r="P6" i="2" s="1"/>
  <c r="O5" i="2"/>
  <c r="O293" i="2"/>
  <c r="O291" i="2"/>
  <c r="O289" i="2"/>
  <c r="O287" i="2"/>
  <c r="O285" i="2"/>
  <c r="O283" i="2"/>
  <c r="O281" i="2"/>
  <c r="O279" i="2"/>
  <c r="O277" i="2"/>
  <c r="O275" i="2"/>
  <c r="O273" i="2"/>
  <c r="O271" i="2"/>
  <c r="O269" i="2"/>
  <c r="O267" i="2"/>
  <c r="O265" i="2"/>
  <c r="O263" i="2"/>
  <c r="O261" i="2"/>
  <c r="O259" i="2"/>
  <c r="O257" i="2"/>
  <c r="O255" i="2"/>
  <c r="O253" i="2"/>
  <c r="O251" i="2"/>
  <c r="O249" i="2"/>
  <c r="O247" i="2"/>
  <c r="O245" i="2"/>
  <c r="O243" i="2"/>
  <c r="O241" i="2"/>
  <c r="O239" i="2"/>
  <c r="O237" i="2"/>
  <c r="O235" i="2"/>
  <c r="O233" i="2"/>
  <c r="O231" i="2"/>
  <c r="O229" i="2"/>
  <c r="O227" i="2"/>
  <c r="O225" i="2"/>
  <c r="O223" i="2"/>
  <c r="O221" i="2"/>
  <c r="O219" i="2"/>
  <c r="O217" i="2"/>
  <c r="O215" i="2"/>
  <c r="O213" i="2"/>
  <c r="O211" i="2"/>
  <c r="O209" i="2"/>
  <c r="O207" i="2"/>
  <c r="O205" i="2"/>
  <c r="O203" i="2"/>
  <c r="O201" i="2"/>
  <c r="O199" i="2"/>
  <c r="O197" i="2"/>
  <c r="O195" i="2"/>
  <c r="O193" i="2"/>
  <c r="O191" i="2"/>
  <c r="O189" i="2"/>
  <c r="O187" i="2"/>
  <c r="O20" i="2"/>
  <c r="O14" i="2"/>
  <c r="O294" i="2"/>
  <c r="O292" i="2"/>
  <c r="O290" i="2"/>
  <c r="O288" i="2"/>
  <c r="O286" i="2"/>
  <c r="O284" i="2"/>
  <c r="O282" i="2"/>
  <c r="O280" i="2"/>
  <c r="O278" i="2"/>
  <c r="O276" i="2"/>
  <c r="O274" i="2"/>
  <c r="O272" i="2"/>
  <c r="O270" i="2"/>
  <c r="O268" i="2"/>
  <c r="O266" i="2"/>
  <c r="O264" i="2"/>
  <c r="O262" i="2"/>
  <c r="O260" i="2"/>
  <c r="O258" i="2"/>
  <c r="O256" i="2"/>
  <c r="O254" i="2"/>
  <c r="O252" i="2"/>
  <c r="O250" i="2"/>
  <c r="O248" i="2"/>
  <c r="O246" i="2"/>
  <c r="O244" i="2"/>
  <c r="O242" i="2"/>
  <c r="O240" i="2"/>
  <c r="O238" i="2"/>
  <c r="O236" i="2"/>
  <c r="O234" i="2"/>
  <c r="O232" i="2"/>
  <c r="O230" i="2"/>
  <c r="O228" i="2"/>
  <c r="O226" i="2"/>
  <c r="O224" i="2"/>
  <c r="O222" i="2"/>
  <c r="O220" i="2"/>
  <c r="O218" i="2"/>
  <c r="O216" i="2"/>
  <c r="O214" i="2"/>
  <c r="O212" i="2"/>
  <c r="O210" i="2"/>
  <c r="O208" i="2"/>
  <c r="O206" i="2"/>
  <c r="O204" i="2"/>
  <c r="O202" i="2"/>
  <c r="O200" i="2"/>
  <c r="O198" i="2"/>
  <c r="O196" i="2"/>
  <c r="O194" i="2"/>
  <c r="O192" i="2"/>
  <c r="O190" i="2"/>
  <c r="O188" i="2"/>
  <c r="O22" i="2"/>
  <c r="O18" i="2"/>
  <c r="O13" i="2"/>
  <c r="O12" i="2"/>
  <c r="O27" i="2"/>
  <c r="O25" i="2"/>
  <c r="O23" i="2"/>
  <c r="O19" i="2"/>
  <c r="O28" i="2"/>
  <c r="O26" i="2"/>
  <c r="O24" i="2"/>
  <c r="O30" i="2"/>
  <c r="S6" i="2" l="1"/>
  <c r="R7" i="2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U5" i="1"/>
  <c r="T6" i="1"/>
  <c r="W5" i="1"/>
  <c r="U7" i="2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K7" i="3"/>
  <c r="K8" i="3" s="1"/>
  <c r="B6" i="3"/>
  <c r="N7" i="3"/>
  <c r="N8" i="3" s="1"/>
  <c r="H7" i="3"/>
  <c r="H8" i="3" s="1"/>
  <c r="K5" i="3"/>
  <c r="K6" i="3" s="1"/>
  <c r="E7" i="3"/>
  <c r="E8" i="3" s="1"/>
  <c r="M5" i="3"/>
  <c r="M6" i="3" s="1"/>
  <c r="H5" i="3"/>
  <c r="H6" i="3" s="1"/>
  <c r="V5" i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V243" i="1" s="1"/>
  <c r="V244" i="1" s="1"/>
  <c r="V245" i="1" s="1"/>
  <c r="V246" i="1" s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59" i="1" s="1"/>
  <c r="V260" i="1" s="1"/>
  <c r="V261" i="1" s="1"/>
  <c r="V262" i="1" s="1"/>
  <c r="V263" i="1" s="1"/>
  <c r="V264" i="1" s="1"/>
  <c r="V265" i="1" s="1"/>
  <c r="V266" i="1" s="1"/>
  <c r="V267" i="1" s="1"/>
  <c r="V268" i="1" s="1"/>
  <c r="V269" i="1" s="1"/>
  <c r="V270" i="1" s="1"/>
  <c r="V271" i="1" s="1"/>
  <c r="V272" i="1" s="1"/>
  <c r="V273" i="1" s="1"/>
  <c r="V274" i="1" s="1"/>
  <c r="V275" i="1" s="1"/>
  <c r="V276" i="1" s="1"/>
  <c r="V277" i="1" s="1"/>
  <c r="V278" i="1" s="1"/>
  <c r="V279" i="1" s="1"/>
  <c r="V280" i="1" s="1"/>
  <c r="V281" i="1" s="1"/>
  <c r="V282" i="1" s="1"/>
  <c r="V283" i="1" s="1"/>
  <c r="V284" i="1" s="1"/>
  <c r="V285" i="1" s="1"/>
  <c r="V286" i="1" s="1"/>
  <c r="V287" i="1" s="1"/>
  <c r="V288" i="1" s="1"/>
  <c r="V289" i="1" s="1"/>
  <c r="V290" i="1" s="1"/>
  <c r="V291" i="1" s="1"/>
  <c r="V292" i="1" s="1"/>
  <c r="V293" i="1" s="1"/>
  <c r="V294" i="1" s="1"/>
  <c r="V295" i="1" s="1"/>
  <c r="V296" i="1" s="1"/>
  <c r="V297" i="1" s="1"/>
  <c r="V298" i="1" s="1"/>
  <c r="V299" i="1" s="1"/>
  <c r="V300" i="1" s="1"/>
  <c r="V301" i="1" s="1"/>
  <c r="V302" i="1" s="1"/>
  <c r="V303" i="1" s="1"/>
  <c r="V304" i="1" s="1"/>
  <c r="I5" i="3"/>
  <c r="I6" i="3" s="1"/>
  <c r="D5" i="3"/>
  <c r="D6" i="3" s="1"/>
  <c r="F7" i="3"/>
  <c r="F8" i="3" s="1"/>
  <c r="Q305" i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 s="1"/>
  <c r="Q530" i="1" s="1"/>
  <c r="Q531" i="1" s="1"/>
  <c r="Q532" i="1" s="1"/>
  <c r="Q533" i="1" s="1"/>
  <c r="Q534" i="1" s="1"/>
  <c r="Q535" i="1" s="1"/>
  <c r="Q536" i="1" s="1"/>
  <c r="Q537" i="1" s="1"/>
  <c r="Q538" i="1" s="1"/>
  <c r="Q539" i="1" s="1"/>
  <c r="Q540" i="1" s="1"/>
  <c r="Q541" i="1" s="1"/>
  <c r="Q542" i="1" s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556" i="1" s="1"/>
  <c r="Q557" i="1" s="1"/>
  <c r="Q558" i="1" s="1"/>
  <c r="Q559" i="1" s="1"/>
  <c r="Q560" i="1" s="1"/>
  <c r="Q561" i="1" s="1"/>
  <c r="Q562" i="1" s="1"/>
  <c r="Q563" i="1" s="1"/>
  <c r="Q564" i="1" s="1"/>
  <c r="Q565" i="1" s="1"/>
  <c r="Q566" i="1" s="1"/>
  <c r="Q567" i="1" s="1"/>
  <c r="Q568" i="1" s="1"/>
  <c r="Q569" i="1" s="1"/>
  <c r="Q570" i="1" s="1"/>
  <c r="Q571" i="1" s="1"/>
  <c r="Q572" i="1" s="1"/>
  <c r="Q573" i="1" s="1"/>
  <c r="Q574" i="1" s="1"/>
  <c r="Q575" i="1" s="1"/>
  <c r="Q576" i="1" s="1"/>
  <c r="Q577" i="1" s="1"/>
  <c r="Q578" i="1" s="1"/>
  <c r="Q579" i="1" s="1"/>
  <c r="Q580" i="1" s="1"/>
  <c r="Q581" i="1" s="1"/>
  <c r="Q582" i="1" s="1"/>
  <c r="Q583" i="1" s="1"/>
  <c r="Q584" i="1" s="1"/>
  <c r="Q585" i="1" s="1"/>
  <c r="Q586" i="1" s="1"/>
  <c r="Q587" i="1" s="1"/>
  <c r="Q588" i="1" s="1"/>
  <c r="Q589" i="1" s="1"/>
  <c r="Q590" i="1" s="1"/>
  <c r="Q591" i="1" s="1"/>
  <c r="Q592" i="1" s="1"/>
  <c r="Q593" i="1" s="1"/>
  <c r="Q594" i="1" s="1"/>
  <c r="Q595" i="1" s="1"/>
  <c r="Q596" i="1" s="1"/>
  <c r="Q597" i="1" s="1"/>
  <c r="Q598" i="1" s="1"/>
  <c r="Q599" i="1" s="1"/>
  <c r="Q600" i="1" s="1"/>
  <c r="Q601" i="1" s="1"/>
  <c r="Q602" i="1" s="1"/>
  <c r="Q603" i="1" s="1"/>
  <c r="Q604" i="1" s="1"/>
  <c r="Q605" i="1" s="1"/>
  <c r="Q606" i="1" s="1"/>
  <c r="Q607" i="1" s="1"/>
  <c r="Q608" i="1" s="1"/>
  <c r="Q609" i="1" s="1"/>
  <c r="Q610" i="1" s="1"/>
  <c r="Q611" i="1" s="1"/>
  <c r="Q612" i="1" s="1"/>
  <c r="Q613" i="1" s="1"/>
  <c r="Q614" i="1" s="1"/>
  <c r="Q615" i="1" s="1"/>
  <c r="Q616" i="1" s="1"/>
  <c r="Q617" i="1" s="1"/>
  <c r="Q618" i="1" s="1"/>
  <c r="Q619" i="1" s="1"/>
  <c r="Q620" i="1" s="1"/>
  <c r="Q621" i="1" s="1"/>
  <c r="Q622" i="1" s="1"/>
  <c r="Q623" i="1" s="1"/>
  <c r="Q624" i="1" s="1"/>
  <c r="Q625" i="1" s="1"/>
  <c r="Q626" i="1" s="1"/>
  <c r="Q627" i="1" s="1"/>
  <c r="Q628" i="1" s="1"/>
  <c r="Q629" i="1" s="1"/>
  <c r="Q630" i="1" s="1"/>
  <c r="Q631" i="1" s="1"/>
  <c r="Q632" i="1" s="1"/>
  <c r="Q633" i="1" s="1"/>
  <c r="Q634" i="1" s="1"/>
  <c r="Q635" i="1" s="1"/>
  <c r="Q636" i="1" s="1"/>
  <c r="Q637" i="1" s="1"/>
  <c r="Q638" i="1" s="1"/>
  <c r="Q639" i="1" s="1"/>
  <c r="Q640" i="1" s="1"/>
  <c r="Q641" i="1" s="1"/>
  <c r="Q642" i="1" s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657" i="1" s="1"/>
  <c r="Q658" i="1" s="1"/>
  <c r="Q659" i="1" s="1"/>
  <c r="Q660" i="1" s="1"/>
  <c r="Q661" i="1" s="1"/>
  <c r="Q662" i="1" s="1"/>
  <c r="Q663" i="1" s="1"/>
  <c r="Q664" i="1" s="1"/>
  <c r="Q665" i="1" s="1"/>
  <c r="Q666" i="1" s="1"/>
  <c r="Q667" i="1" s="1"/>
  <c r="Q668" i="1" s="1"/>
  <c r="Q669" i="1" s="1"/>
  <c r="Q670" i="1" s="1"/>
  <c r="Q671" i="1" s="1"/>
  <c r="Q672" i="1" s="1"/>
  <c r="Q673" i="1" s="1"/>
  <c r="Q674" i="1" s="1"/>
  <c r="Q675" i="1" s="1"/>
  <c r="Q676" i="1" s="1"/>
  <c r="Q677" i="1" s="1"/>
  <c r="Q678" i="1" s="1"/>
  <c r="Q679" i="1" s="1"/>
  <c r="Q680" i="1" s="1"/>
  <c r="Q681" i="1" s="1"/>
  <c r="Q682" i="1" s="1"/>
  <c r="Q683" i="1" s="1"/>
  <c r="Q684" i="1" s="1"/>
  <c r="Q685" i="1" s="1"/>
  <c r="Q686" i="1" s="1"/>
  <c r="Q687" i="1" s="1"/>
  <c r="Q688" i="1" s="1"/>
  <c r="Q689" i="1" s="1"/>
  <c r="Q690" i="1" s="1"/>
  <c r="Q691" i="1" s="1"/>
  <c r="Q692" i="1" s="1"/>
  <c r="Q693" i="1" s="1"/>
  <c r="Q694" i="1" s="1"/>
  <c r="Q695" i="1" s="1"/>
  <c r="Q696" i="1" s="1"/>
  <c r="Q697" i="1" s="1"/>
  <c r="Q698" i="1" s="1"/>
  <c r="Q699" i="1" s="1"/>
  <c r="Q700" i="1" s="1"/>
  <c r="Q701" i="1" s="1"/>
  <c r="Q702" i="1" s="1"/>
  <c r="Q703" i="1" s="1"/>
  <c r="Q704" i="1" s="1"/>
  <c r="Q705" i="1" s="1"/>
  <c r="Q706" i="1" s="1"/>
  <c r="Q707" i="1" s="1"/>
  <c r="Q708" i="1" s="1"/>
  <c r="Q709" i="1" s="1"/>
  <c r="Q710" i="1" s="1"/>
  <c r="Q711" i="1" s="1"/>
  <c r="Q712" i="1" s="1"/>
  <c r="Q713" i="1" s="1"/>
  <c r="Q714" i="1" s="1"/>
  <c r="Q715" i="1" s="1"/>
  <c r="Q716" i="1" s="1"/>
  <c r="Q717" i="1" s="1"/>
  <c r="Q718" i="1" s="1"/>
  <c r="Q719" i="1" s="1"/>
  <c r="Q720" i="1" s="1"/>
  <c r="Q721" i="1" s="1"/>
  <c r="Q722" i="1" s="1"/>
  <c r="Q723" i="1" s="1"/>
  <c r="Q724" i="1" s="1"/>
  <c r="F56" i="1"/>
  <c r="B49" i="1"/>
  <c r="G7" i="3"/>
  <c r="G8" i="3" s="1"/>
  <c r="G5" i="3"/>
  <c r="G6" i="3" s="1"/>
  <c r="E5" i="3"/>
  <c r="E6" i="3" s="1"/>
  <c r="M7" i="3"/>
  <c r="M8" i="3" s="1"/>
  <c r="I7" i="3"/>
  <c r="I8" i="3" s="1"/>
  <c r="F5" i="3"/>
  <c r="F6" i="3" s="1"/>
  <c r="B43" i="1" l="1"/>
  <c r="B50" i="1" s="1"/>
  <c r="W6" i="1"/>
  <c r="B42" i="1"/>
  <c r="T7" i="1"/>
  <c r="U6" i="1"/>
  <c r="P306" i="2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P524" i="2" s="1"/>
  <c r="P525" i="2" s="1"/>
  <c r="P526" i="2" s="1"/>
  <c r="P527" i="2" s="1"/>
  <c r="P528" i="2" s="1"/>
  <c r="P529" i="2" s="1"/>
  <c r="P530" i="2" s="1"/>
  <c r="P531" i="2" s="1"/>
  <c r="P532" i="2" s="1"/>
  <c r="P533" i="2" s="1"/>
  <c r="P534" i="2" s="1"/>
  <c r="P535" i="2" s="1"/>
  <c r="P536" i="2" s="1"/>
  <c r="P537" i="2" s="1"/>
  <c r="P538" i="2" s="1"/>
  <c r="P539" i="2" s="1"/>
  <c r="P540" i="2" s="1"/>
  <c r="P541" i="2" s="1"/>
  <c r="P542" i="2" s="1"/>
  <c r="P543" i="2" s="1"/>
  <c r="P544" i="2" s="1"/>
  <c r="P545" i="2" s="1"/>
  <c r="P546" i="2" s="1"/>
  <c r="P547" i="2" s="1"/>
  <c r="P548" i="2" s="1"/>
  <c r="P549" i="2" s="1"/>
  <c r="P550" i="2" s="1"/>
  <c r="P551" i="2" s="1"/>
  <c r="P552" i="2" s="1"/>
  <c r="P553" i="2" s="1"/>
  <c r="P554" i="2" s="1"/>
  <c r="P555" i="2" s="1"/>
  <c r="P556" i="2" s="1"/>
  <c r="P557" i="2" s="1"/>
  <c r="P558" i="2" s="1"/>
  <c r="P559" i="2" s="1"/>
  <c r="P560" i="2" s="1"/>
  <c r="P561" i="2" s="1"/>
  <c r="P562" i="2" s="1"/>
  <c r="P563" i="2" s="1"/>
  <c r="P564" i="2" s="1"/>
  <c r="P565" i="2" s="1"/>
  <c r="P566" i="2" s="1"/>
  <c r="P567" i="2" s="1"/>
  <c r="P568" i="2" s="1"/>
  <c r="P569" i="2" s="1"/>
  <c r="P570" i="2" s="1"/>
  <c r="P571" i="2" s="1"/>
  <c r="P572" i="2" s="1"/>
  <c r="P573" i="2" s="1"/>
  <c r="P574" i="2" s="1"/>
  <c r="P575" i="2" s="1"/>
  <c r="P576" i="2" s="1"/>
  <c r="P577" i="2" s="1"/>
  <c r="P578" i="2" s="1"/>
  <c r="P579" i="2" s="1"/>
  <c r="P580" i="2" s="1"/>
  <c r="P581" i="2" s="1"/>
  <c r="P582" i="2" s="1"/>
  <c r="P583" i="2" s="1"/>
  <c r="P584" i="2" s="1"/>
  <c r="P585" i="2" s="1"/>
  <c r="P586" i="2" s="1"/>
  <c r="P587" i="2" s="1"/>
  <c r="P588" i="2" s="1"/>
  <c r="P589" i="2" s="1"/>
  <c r="P590" i="2" s="1"/>
  <c r="P591" i="2" s="1"/>
  <c r="P592" i="2" s="1"/>
  <c r="P593" i="2" s="1"/>
  <c r="P594" i="2" s="1"/>
  <c r="P595" i="2" s="1"/>
  <c r="P596" i="2" s="1"/>
  <c r="P597" i="2" s="1"/>
  <c r="P598" i="2" s="1"/>
  <c r="P599" i="2" s="1"/>
  <c r="P600" i="2" s="1"/>
  <c r="P601" i="2" s="1"/>
  <c r="P602" i="2" s="1"/>
  <c r="P603" i="2" s="1"/>
  <c r="P604" i="2" s="1"/>
  <c r="P605" i="2" s="1"/>
  <c r="P606" i="2" s="1"/>
  <c r="P607" i="2" s="1"/>
  <c r="P608" i="2" s="1"/>
  <c r="P609" i="2" s="1"/>
  <c r="P610" i="2" s="1"/>
  <c r="P611" i="2" s="1"/>
  <c r="P612" i="2" s="1"/>
  <c r="P613" i="2" s="1"/>
  <c r="P614" i="2" s="1"/>
  <c r="P615" i="2" s="1"/>
  <c r="P616" i="2" s="1"/>
  <c r="P617" i="2" s="1"/>
  <c r="P618" i="2" s="1"/>
  <c r="P619" i="2" s="1"/>
  <c r="P620" i="2" s="1"/>
  <c r="P621" i="2" s="1"/>
  <c r="P622" i="2" s="1"/>
  <c r="P623" i="2" s="1"/>
  <c r="P624" i="2" s="1"/>
  <c r="P625" i="2" s="1"/>
  <c r="P626" i="2" s="1"/>
  <c r="P627" i="2" s="1"/>
  <c r="P628" i="2" s="1"/>
  <c r="P629" i="2" s="1"/>
  <c r="P630" i="2" s="1"/>
  <c r="P631" i="2" s="1"/>
  <c r="P632" i="2" s="1"/>
  <c r="P633" i="2" s="1"/>
  <c r="P634" i="2" s="1"/>
  <c r="P635" i="2" s="1"/>
  <c r="P636" i="2" s="1"/>
  <c r="P637" i="2" s="1"/>
  <c r="P638" i="2" s="1"/>
  <c r="P639" i="2" s="1"/>
  <c r="P640" i="2" s="1"/>
  <c r="P641" i="2" s="1"/>
  <c r="P642" i="2" s="1"/>
  <c r="P643" i="2" s="1"/>
  <c r="P644" i="2" s="1"/>
  <c r="P645" i="2" s="1"/>
  <c r="P646" i="2" s="1"/>
  <c r="P647" i="2" s="1"/>
  <c r="P648" i="2" s="1"/>
  <c r="P649" i="2" s="1"/>
  <c r="P650" i="2" s="1"/>
  <c r="P651" i="2" s="1"/>
  <c r="P652" i="2" s="1"/>
  <c r="P653" i="2" s="1"/>
  <c r="P654" i="2" s="1"/>
  <c r="P655" i="2" s="1"/>
  <c r="P656" i="2" s="1"/>
  <c r="P657" i="2" s="1"/>
  <c r="P658" i="2" s="1"/>
  <c r="P659" i="2" s="1"/>
  <c r="P660" i="2" s="1"/>
  <c r="P661" i="2" s="1"/>
  <c r="P662" i="2" s="1"/>
  <c r="P663" i="2" s="1"/>
  <c r="P664" i="2" s="1"/>
  <c r="P665" i="2" s="1"/>
  <c r="P666" i="2" s="1"/>
  <c r="P667" i="2" s="1"/>
  <c r="P668" i="2" s="1"/>
  <c r="P669" i="2" s="1"/>
  <c r="P670" i="2" s="1"/>
  <c r="P671" i="2" s="1"/>
  <c r="P672" i="2" s="1"/>
  <c r="P673" i="2" s="1"/>
  <c r="P674" i="2" s="1"/>
  <c r="P675" i="2" s="1"/>
  <c r="P676" i="2" s="1"/>
  <c r="P677" i="2" s="1"/>
  <c r="P678" i="2" s="1"/>
  <c r="P679" i="2" s="1"/>
  <c r="P680" i="2" s="1"/>
  <c r="P681" i="2" s="1"/>
  <c r="P682" i="2" s="1"/>
  <c r="P683" i="2" s="1"/>
  <c r="P684" i="2" s="1"/>
  <c r="P685" i="2" s="1"/>
  <c r="P686" i="2" s="1"/>
  <c r="P687" i="2" s="1"/>
  <c r="P688" i="2" s="1"/>
  <c r="P689" i="2" s="1"/>
  <c r="P690" i="2" s="1"/>
  <c r="P691" i="2" s="1"/>
  <c r="P692" i="2" s="1"/>
  <c r="P693" i="2" s="1"/>
  <c r="P694" i="2" s="1"/>
  <c r="P695" i="2" s="1"/>
  <c r="P696" i="2" s="1"/>
  <c r="P697" i="2" s="1"/>
  <c r="P698" i="2" s="1"/>
  <c r="P699" i="2" s="1"/>
  <c r="P700" i="2" s="1"/>
  <c r="P701" i="2" s="1"/>
  <c r="P702" i="2" s="1"/>
  <c r="P703" i="2" s="1"/>
  <c r="P704" i="2" s="1"/>
  <c r="P705" i="2" s="1"/>
  <c r="P706" i="2" s="1"/>
  <c r="P707" i="2" s="1"/>
  <c r="P708" i="2" s="1"/>
  <c r="P709" i="2" s="1"/>
  <c r="P710" i="2" s="1"/>
  <c r="P711" i="2" s="1"/>
  <c r="P712" i="2" s="1"/>
  <c r="P713" i="2" s="1"/>
  <c r="P714" i="2" s="1"/>
  <c r="P715" i="2" s="1"/>
  <c r="P716" i="2" s="1"/>
  <c r="P717" i="2" s="1"/>
  <c r="P718" i="2" s="1"/>
  <c r="P719" i="2" s="1"/>
  <c r="P720" i="2" s="1"/>
  <c r="P721" i="2" s="1"/>
  <c r="P722" i="2" s="1"/>
  <c r="P723" i="2" s="1"/>
  <c r="P724" i="2" s="1"/>
  <c r="P725" i="2" s="1"/>
  <c r="C29" i="2"/>
  <c r="V305" i="1"/>
  <c r="V306" i="1" s="1"/>
  <c r="V307" i="1" s="1"/>
  <c r="V308" i="1" s="1"/>
  <c r="V309" i="1" s="1"/>
  <c r="V310" i="1" s="1"/>
  <c r="V311" i="1" s="1"/>
  <c r="V312" i="1" s="1"/>
  <c r="V313" i="1" s="1"/>
  <c r="V314" i="1" s="1"/>
  <c r="V315" i="1" s="1"/>
  <c r="V316" i="1" s="1"/>
  <c r="V317" i="1" s="1"/>
  <c r="V318" i="1" s="1"/>
  <c r="V319" i="1" s="1"/>
  <c r="V320" i="1" s="1"/>
  <c r="V321" i="1" s="1"/>
  <c r="V322" i="1" s="1"/>
  <c r="V323" i="1" s="1"/>
  <c r="V324" i="1" s="1"/>
  <c r="V325" i="1" s="1"/>
  <c r="V326" i="1" s="1"/>
  <c r="V327" i="1" s="1"/>
  <c r="V328" i="1" s="1"/>
  <c r="V329" i="1" s="1"/>
  <c r="V330" i="1" s="1"/>
  <c r="V331" i="1" s="1"/>
  <c r="V332" i="1" s="1"/>
  <c r="V333" i="1" s="1"/>
  <c r="V334" i="1" s="1"/>
  <c r="V335" i="1" s="1"/>
  <c r="V336" i="1" s="1"/>
  <c r="V337" i="1" s="1"/>
  <c r="V338" i="1" s="1"/>
  <c r="V339" i="1" s="1"/>
  <c r="V340" i="1" s="1"/>
  <c r="V341" i="1" s="1"/>
  <c r="V342" i="1" s="1"/>
  <c r="V343" i="1" s="1"/>
  <c r="V344" i="1" s="1"/>
  <c r="V345" i="1" s="1"/>
  <c r="V346" i="1" s="1"/>
  <c r="V347" i="1" s="1"/>
  <c r="V348" i="1" s="1"/>
  <c r="V349" i="1" s="1"/>
  <c r="V350" i="1" s="1"/>
  <c r="V351" i="1" s="1"/>
  <c r="V352" i="1" s="1"/>
  <c r="V353" i="1" s="1"/>
  <c r="V354" i="1" s="1"/>
  <c r="V355" i="1" s="1"/>
  <c r="V356" i="1" s="1"/>
  <c r="V357" i="1" s="1"/>
  <c r="V358" i="1" s="1"/>
  <c r="V359" i="1" s="1"/>
  <c r="V360" i="1" s="1"/>
  <c r="V361" i="1" s="1"/>
  <c r="V362" i="1" s="1"/>
  <c r="V363" i="1" s="1"/>
  <c r="V364" i="1" s="1"/>
  <c r="V365" i="1" s="1"/>
  <c r="V366" i="1" s="1"/>
  <c r="V367" i="1" s="1"/>
  <c r="V368" i="1" s="1"/>
  <c r="V369" i="1" s="1"/>
  <c r="V370" i="1" s="1"/>
  <c r="V371" i="1" s="1"/>
  <c r="V372" i="1" s="1"/>
  <c r="V373" i="1" s="1"/>
  <c r="V374" i="1" s="1"/>
  <c r="V375" i="1" s="1"/>
  <c r="V376" i="1" s="1"/>
  <c r="V377" i="1" s="1"/>
  <c r="V378" i="1" s="1"/>
  <c r="V379" i="1" s="1"/>
  <c r="V380" i="1" s="1"/>
  <c r="V381" i="1" s="1"/>
  <c r="V382" i="1" s="1"/>
  <c r="V383" i="1" s="1"/>
  <c r="V384" i="1" s="1"/>
  <c r="V385" i="1" s="1"/>
  <c r="V386" i="1" s="1"/>
  <c r="V387" i="1" s="1"/>
  <c r="V388" i="1" s="1"/>
  <c r="V389" i="1" s="1"/>
  <c r="V390" i="1" s="1"/>
  <c r="V391" i="1" s="1"/>
  <c r="V392" i="1" s="1"/>
  <c r="V393" i="1" s="1"/>
  <c r="V394" i="1" s="1"/>
  <c r="V395" i="1" s="1"/>
  <c r="V396" i="1" s="1"/>
  <c r="V397" i="1" s="1"/>
  <c r="V398" i="1" s="1"/>
  <c r="V399" i="1" s="1"/>
  <c r="V400" i="1" s="1"/>
  <c r="V401" i="1" s="1"/>
  <c r="V402" i="1" s="1"/>
  <c r="V403" i="1" s="1"/>
  <c r="V404" i="1" s="1"/>
  <c r="V405" i="1" s="1"/>
  <c r="V406" i="1" s="1"/>
  <c r="V407" i="1" s="1"/>
  <c r="V408" i="1" s="1"/>
  <c r="V409" i="1" s="1"/>
  <c r="V410" i="1" s="1"/>
  <c r="V411" i="1" s="1"/>
  <c r="V412" i="1" s="1"/>
  <c r="V413" i="1" s="1"/>
  <c r="V414" i="1" s="1"/>
  <c r="V415" i="1" s="1"/>
  <c r="V416" i="1" s="1"/>
  <c r="V417" i="1" s="1"/>
  <c r="V418" i="1" s="1"/>
  <c r="V419" i="1" s="1"/>
  <c r="V420" i="1" s="1"/>
  <c r="V421" i="1" s="1"/>
  <c r="V422" i="1" s="1"/>
  <c r="V423" i="1" s="1"/>
  <c r="V424" i="1" s="1"/>
  <c r="V425" i="1" s="1"/>
  <c r="V426" i="1" s="1"/>
  <c r="V427" i="1" s="1"/>
  <c r="V428" i="1" s="1"/>
  <c r="V429" i="1" s="1"/>
  <c r="V430" i="1" s="1"/>
  <c r="V431" i="1" s="1"/>
  <c r="V432" i="1" s="1"/>
  <c r="V433" i="1" s="1"/>
  <c r="V434" i="1" s="1"/>
  <c r="V435" i="1" s="1"/>
  <c r="V436" i="1" s="1"/>
  <c r="V437" i="1" s="1"/>
  <c r="V438" i="1" s="1"/>
  <c r="V439" i="1" s="1"/>
  <c r="V440" i="1" s="1"/>
  <c r="V441" i="1" s="1"/>
  <c r="V442" i="1" s="1"/>
  <c r="V443" i="1" s="1"/>
  <c r="V444" i="1" s="1"/>
  <c r="V445" i="1" s="1"/>
  <c r="V446" i="1" s="1"/>
  <c r="V447" i="1" s="1"/>
  <c r="V448" i="1" s="1"/>
  <c r="V449" i="1" s="1"/>
  <c r="V450" i="1" s="1"/>
  <c r="V451" i="1" s="1"/>
  <c r="V452" i="1" s="1"/>
  <c r="V453" i="1" s="1"/>
  <c r="V454" i="1" s="1"/>
  <c r="V455" i="1" s="1"/>
  <c r="V456" i="1" s="1"/>
  <c r="V457" i="1" s="1"/>
  <c r="V458" i="1" s="1"/>
  <c r="V459" i="1" s="1"/>
  <c r="V460" i="1" s="1"/>
  <c r="V461" i="1" s="1"/>
  <c r="V462" i="1" s="1"/>
  <c r="V463" i="1" s="1"/>
  <c r="V464" i="1" s="1"/>
  <c r="V465" i="1" s="1"/>
  <c r="V466" i="1" s="1"/>
  <c r="V467" i="1" s="1"/>
  <c r="V468" i="1" s="1"/>
  <c r="V469" i="1" s="1"/>
  <c r="V470" i="1" s="1"/>
  <c r="V471" i="1" s="1"/>
  <c r="V472" i="1" s="1"/>
  <c r="V473" i="1" s="1"/>
  <c r="V474" i="1" s="1"/>
  <c r="V475" i="1" s="1"/>
  <c r="V476" i="1" s="1"/>
  <c r="V477" i="1" s="1"/>
  <c r="V478" i="1" s="1"/>
  <c r="V479" i="1" s="1"/>
  <c r="V480" i="1" s="1"/>
  <c r="V481" i="1" s="1"/>
  <c r="V482" i="1" s="1"/>
  <c r="V483" i="1" s="1"/>
  <c r="V484" i="1" s="1"/>
  <c r="V485" i="1" s="1"/>
  <c r="V486" i="1" s="1"/>
  <c r="V487" i="1" s="1"/>
  <c r="V488" i="1" s="1"/>
  <c r="V489" i="1" s="1"/>
  <c r="V490" i="1" s="1"/>
  <c r="V491" i="1" s="1"/>
  <c r="V492" i="1" s="1"/>
  <c r="V493" i="1" s="1"/>
  <c r="V494" i="1" s="1"/>
  <c r="V495" i="1" s="1"/>
  <c r="V496" i="1" s="1"/>
  <c r="V497" i="1" s="1"/>
  <c r="V498" i="1" s="1"/>
  <c r="V499" i="1" s="1"/>
  <c r="V500" i="1" s="1"/>
  <c r="V501" i="1" s="1"/>
  <c r="V502" i="1" s="1"/>
  <c r="V503" i="1" s="1"/>
  <c r="V504" i="1" s="1"/>
  <c r="V505" i="1" s="1"/>
  <c r="V506" i="1" s="1"/>
  <c r="V507" i="1" s="1"/>
  <c r="V508" i="1" s="1"/>
  <c r="V509" i="1" s="1"/>
  <c r="V510" i="1" s="1"/>
  <c r="V511" i="1" s="1"/>
  <c r="V512" i="1" s="1"/>
  <c r="V513" i="1" s="1"/>
  <c r="V514" i="1" s="1"/>
  <c r="V515" i="1" s="1"/>
  <c r="V516" i="1" s="1"/>
  <c r="V517" i="1" s="1"/>
  <c r="V518" i="1" s="1"/>
  <c r="V519" i="1" s="1"/>
  <c r="V520" i="1" s="1"/>
  <c r="V521" i="1" s="1"/>
  <c r="V522" i="1" s="1"/>
  <c r="V523" i="1" s="1"/>
  <c r="V524" i="1" s="1"/>
  <c r="V525" i="1" s="1"/>
  <c r="V526" i="1" s="1"/>
  <c r="V527" i="1" s="1"/>
  <c r="V528" i="1" s="1"/>
  <c r="V529" i="1" s="1"/>
  <c r="V530" i="1" s="1"/>
  <c r="V531" i="1" s="1"/>
  <c r="V532" i="1" s="1"/>
  <c r="V533" i="1" s="1"/>
  <c r="V534" i="1" s="1"/>
  <c r="V535" i="1" s="1"/>
  <c r="V536" i="1" s="1"/>
  <c r="V537" i="1" s="1"/>
  <c r="V538" i="1" s="1"/>
  <c r="V539" i="1" s="1"/>
  <c r="V540" i="1" s="1"/>
  <c r="V541" i="1" s="1"/>
  <c r="V542" i="1" s="1"/>
  <c r="V543" i="1" s="1"/>
  <c r="V544" i="1" s="1"/>
  <c r="V545" i="1" s="1"/>
  <c r="V546" i="1" s="1"/>
  <c r="V547" i="1" s="1"/>
  <c r="V548" i="1" s="1"/>
  <c r="V549" i="1" s="1"/>
  <c r="V550" i="1" s="1"/>
  <c r="V551" i="1" s="1"/>
  <c r="V552" i="1" s="1"/>
  <c r="V553" i="1" s="1"/>
  <c r="V554" i="1" s="1"/>
  <c r="V555" i="1" s="1"/>
  <c r="V556" i="1" s="1"/>
  <c r="V557" i="1" s="1"/>
  <c r="V558" i="1" s="1"/>
  <c r="V559" i="1" s="1"/>
  <c r="V560" i="1" s="1"/>
  <c r="V561" i="1" s="1"/>
  <c r="V562" i="1" s="1"/>
  <c r="V563" i="1" s="1"/>
  <c r="V564" i="1" s="1"/>
  <c r="V565" i="1" s="1"/>
  <c r="V566" i="1" s="1"/>
  <c r="V567" i="1" s="1"/>
  <c r="V568" i="1" s="1"/>
  <c r="V569" i="1" s="1"/>
  <c r="V570" i="1" s="1"/>
  <c r="V571" i="1" s="1"/>
  <c r="V572" i="1" s="1"/>
  <c r="V573" i="1" s="1"/>
  <c r="V574" i="1" s="1"/>
  <c r="V575" i="1" s="1"/>
  <c r="V576" i="1" s="1"/>
  <c r="V577" i="1" s="1"/>
  <c r="V578" i="1" s="1"/>
  <c r="V579" i="1" s="1"/>
  <c r="V580" i="1" s="1"/>
  <c r="V581" i="1" s="1"/>
  <c r="V582" i="1" s="1"/>
  <c r="V583" i="1" s="1"/>
  <c r="V584" i="1" s="1"/>
  <c r="V585" i="1" s="1"/>
  <c r="V586" i="1" s="1"/>
  <c r="V587" i="1" s="1"/>
  <c r="V588" i="1" s="1"/>
  <c r="V589" i="1" s="1"/>
  <c r="V590" i="1" s="1"/>
  <c r="V591" i="1" s="1"/>
  <c r="V592" i="1" s="1"/>
  <c r="V593" i="1" s="1"/>
  <c r="V594" i="1" s="1"/>
  <c r="V595" i="1" s="1"/>
  <c r="V596" i="1" s="1"/>
  <c r="V597" i="1" s="1"/>
  <c r="V598" i="1" s="1"/>
  <c r="V599" i="1" s="1"/>
  <c r="V600" i="1" s="1"/>
  <c r="V601" i="1" s="1"/>
  <c r="V602" i="1" s="1"/>
  <c r="V603" i="1" s="1"/>
  <c r="V604" i="1" s="1"/>
  <c r="V605" i="1" s="1"/>
  <c r="V606" i="1" s="1"/>
  <c r="V607" i="1" s="1"/>
  <c r="V608" i="1" s="1"/>
  <c r="V609" i="1" s="1"/>
  <c r="V610" i="1" s="1"/>
  <c r="V611" i="1" s="1"/>
  <c r="V612" i="1" s="1"/>
  <c r="V613" i="1" s="1"/>
  <c r="V614" i="1" s="1"/>
  <c r="V615" i="1" s="1"/>
  <c r="V616" i="1" s="1"/>
  <c r="V617" i="1" s="1"/>
  <c r="V618" i="1" s="1"/>
  <c r="V619" i="1" s="1"/>
  <c r="V620" i="1" s="1"/>
  <c r="V621" i="1" s="1"/>
  <c r="V622" i="1" s="1"/>
  <c r="V623" i="1" s="1"/>
  <c r="V624" i="1" s="1"/>
  <c r="V625" i="1" s="1"/>
  <c r="V626" i="1" s="1"/>
  <c r="V627" i="1" s="1"/>
  <c r="V628" i="1" s="1"/>
  <c r="V629" i="1" s="1"/>
  <c r="V630" i="1" s="1"/>
  <c r="V631" i="1" s="1"/>
  <c r="V632" i="1" s="1"/>
  <c r="V633" i="1" s="1"/>
  <c r="V634" i="1" s="1"/>
  <c r="V635" i="1" s="1"/>
  <c r="V636" i="1" s="1"/>
  <c r="V637" i="1" s="1"/>
  <c r="V638" i="1" s="1"/>
  <c r="V639" i="1" s="1"/>
  <c r="V640" i="1" s="1"/>
  <c r="V641" i="1" s="1"/>
  <c r="V642" i="1" s="1"/>
  <c r="V643" i="1" s="1"/>
  <c r="V644" i="1" s="1"/>
  <c r="V645" i="1" s="1"/>
  <c r="V646" i="1" s="1"/>
  <c r="V647" i="1" s="1"/>
  <c r="V648" i="1" s="1"/>
  <c r="V649" i="1" s="1"/>
  <c r="V650" i="1" s="1"/>
  <c r="V651" i="1" s="1"/>
  <c r="V652" i="1" s="1"/>
  <c r="V653" i="1" s="1"/>
  <c r="V654" i="1" s="1"/>
  <c r="V655" i="1" s="1"/>
  <c r="V656" i="1" s="1"/>
  <c r="V657" i="1" s="1"/>
  <c r="V658" i="1" s="1"/>
  <c r="V659" i="1" s="1"/>
  <c r="V660" i="1" s="1"/>
  <c r="V661" i="1" s="1"/>
  <c r="V662" i="1" s="1"/>
  <c r="V663" i="1" s="1"/>
  <c r="V664" i="1" s="1"/>
  <c r="V665" i="1" s="1"/>
  <c r="V666" i="1" s="1"/>
  <c r="V667" i="1" s="1"/>
  <c r="V668" i="1" s="1"/>
  <c r="V669" i="1" s="1"/>
  <c r="V670" i="1" s="1"/>
  <c r="V671" i="1" s="1"/>
  <c r="V672" i="1" s="1"/>
  <c r="V673" i="1" s="1"/>
  <c r="V674" i="1" s="1"/>
  <c r="V675" i="1" s="1"/>
  <c r="V676" i="1" s="1"/>
  <c r="V677" i="1" s="1"/>
  <c r="V678" i="1" s="1"/>
  <c r="V679" i="1" s="1"/>
  <c r="V680" i="1" s="1"/>
  <c r="V681" i="1" s="1"/>
  <c r="V682" i="1" s="1"/>
  <c r="V683" i="1" s="1"/>
  <c r="V684" i="1" s="1"/>
  <c r="V685" i="1" s="1"/>
  <c r="V686" i="1" s="1"/>
  <c r="V687" i="1" s="1"/>
  <c r="V688" i="1" s="1"/>
  <c r="V689" i="1" s="1"/>
  <c r="V690" i="1" s="1"/>
  <c r="V691" i="1" s="1"/>
  <c r="V692" i="1" s="1"/>
  <c r="V693" i="1" s="1"/>
  <c r="V694" i="1" s="1"/>
  <c r="V695" i="1" s="1"/>
  <c r="V696" i="1" s="1"/>
  <c r="V697" i="1" s="1"/>
  <c r="V698" i="1" s="1"/>
  <c r="V699" i="1" s="1"/>
  <c r="V700" i="1" s="1"/>
  <c r="V701" i="1" s="1"/>
  <c r="V702" i="1" s="1"/>
  <c r="V703" i="1" s="1"/>
  <c r="V704" i="1" s="1"/>
  <c r="V705" i="1" s="1"/>
  <c r="V706" i="1" s="1"/>
  <c r="V707" i="1" s="1"/>
  <c r="V708" i="1" s="1"/>
  <c r="V709" i="1" s="1"/>
  <c r="V710" i="1" s="1"/>
  <c r="V711" i="1" s="1"/>
  <c r="V712" i="1" s="1"/>
  <c r="V713" i="1" s="1"/>
  <c r="V714" i="1" s="1"/>
  <c r="V715" i="1" s="1"/>
  <c r="V716" i="1" s="1"/>
  <c r="V717" i="1" s="1"/>
  <c r="V718" i="1" s="1"/>
  <c r="V719" i="1" s="1"/>
  <c r="V720" i="1" s="1"/>
  <c r="V721" i="1" s="1"/>
  <c r="V722" i="1" s="1"/>
  <c r="V723" i="1" s="1"/>
  <c r="V724" i="1" s="1"/>
  <c r="B9" i="3"/>
  <c r="S7" i="2"/>
  <c r="R8" i="2"/>
  <c r="U386" i="2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U691" i="2" s="1"/>
  <c r="U692" i="2" s="1"/>
  <c r="U693" i="2" s="1"/>
  <c r="U694" i="2" s="1"/>
  <c r="U695" i="2" s="1"/>
  <c r="U696" i="2" s="1"/>
  <c r="U697" i="2" s="1"/>
  <c r="U698" i="2" s="1"/>
  <c r="U699" i="2" s="1"/>
  <c r="U700" i="2" s="1"/>
  <c r="U701" i="2" s="1"/>
  <c r="U702" i="2" s="1"/>
  <c r="U703" i="2" s="1"/>
  <c r="U704" i="2" s="1"/>
  <c r="U705" i="2" s="1"/>
  <c r="U706" i="2" s="1"/>
  <c r="U707" i="2" s="1"/>
  <c r="U708" i="2" s="1"/>
  <c r="U709" i="2" s="1"/>
  <c r="U710" i="2" s="1"/>
  <c r="U711" i="2" s="1"/>
  <c r="U712" i="2" s="1"/>
  <c r="U713" i="2" s="1"/>
  <c r="U714" i="2" s="1"/>
  <c r="U715" i="2" s="1"/>
  <c r="U716" i="2" s="1"/>
  <c r="U717" i="2" s="1"/>
  <c r="U718" i="2" s="1"/>
  <c r="U719" i="2" s="1"/>
  <c r="U720" i="2" s="1"/>
  <c r="U721" i="2" s="1"/>
  <c r="U722" i="2" s="1"/>
  <c r="U723" i="2" s="1"/>
  <c r="U724" i="2" s="1"/>
  <c r="U725" i="2" s="1"/>
  <c r="C31" i="2"/>
  <c r="B18" i="2" l="1"/>
  <c r="B23" i="2"/>
  <c r="B19" i="2"/>
  <c r="B44" i="1"/>
  <c r="B45" i="1"/>
  <c r="U7" i="1"/>
  <c r="T8" i="1"/>
  <c r="W7" i="1"/>
  <c r="W8" i="1" s="1"/>
  <c r="S8" i="2"/>
  <c r="R9" i="2"/>
  <c r="B22" i="2"/>
  <c r="T9" i="1" l="1"/>
  <c r="U8" i="1"/>
  <c r="W9" i="1"/>
  <c r="S9" i="2"/>
  <c r="R10" i="2"/>
  <c r="S10" i="2" l="1"/>
  <c r="R11" i="2"/>
  <c r="T10" i="1"/>
  <c r="U9" i="1"/>
  <c r="T11" i="1" l="1"/>
  <c r="U10" i="1"/>
  <c r="W10" i="1"/>
  <c r="R12" i="2"/>
  <c r="S11" i="2"/>
  <c r="U11" i="1" l="1"/>
  <c r="T12" i="1"/>
  <c r="W11" i="1"/>
  <c r="W12" i="1" s="1"/>
  <c r="R13" i="2"/>
  <c r="S12" i="2"/>
  <c r="S13" i="2" l="1"/>
  <c r="R14" i="2"/>
  <c r="T13" i="1"/>
  <c r="U12" i="1"/>
  <c r="T14" i="1" l="1"/>
  <c r="U13" i="1"/>
  <c r="W13" i="1"/>
  <c r="W14" i="1" s="1"/>
  <c r="R15" i="2"/>
  <c r="S14" i="2"/>
  <c r="S15" i="2" l="1"/>
  <c r="R16" i="2"/>
  <c r="T15" i="1"/>
  <c r="U14" i="1"/>
  <c r="T16" i="1" l="1"/>
  <c r="U15" i="1"/>
  <c r="W15" i="1"/>
  <c r="S16" i="2"/>
  <c r="R17" i="2"/>
  <c r="R18" i="2" l="1"/>
  <c r="S17" i="2"/>
  <c r="W16" i="1"/>
  <c r="U16" i="1"/>
  <c r="T17" i="1"/>
  <c r="W17" i="1" l="1"/>
  <c r="W18" i="1" s="1"/>
  <c r="U17" i="1"/>
  <c r="T18" i="1"/>
  <c r="R19" i="2"/>
  <c r="S18" i="2"/>
  <c r="R20" i="2" l="1"/>
  <c r="S19" i="2"/>
  <c r="T19" i="1"/>
  <c r="U18" i="1"/>
  <c r="U19" i="1" l="1"/>
  <c r="T20" i="1"/>
  <c r="W19" i="1"/>
  <c r="W20" i="1" s="1"/>
  <c r="R21" i="2"/>
  <c r="S20" i="2"/>
  <c r="R22" i="2" l="1"/>
  <c r="S21" i="2"/>
  <c r="U20" i="1"/>
  <c r="T21" i="1"/>
  <c r="U21" i="1" l="1"/>
  <c r="T22" i="1"/>
  <c r="W21" i="1"/>
  <c r="W22" i="1" s="1"/>
  <c r="R23" i="2"/>
  <c r="S22" i="2"/>
  <c r="S23" i="2" l="1"/>
  <c r="R24" i="2"/>
  <c r="T23" i="1"/>
  <c r="U22" i="1"/>
  <c r="S24" i="2" l="1"/>
  <c r="R25" i="2"/>
  <c r="U23" i="1"/>
  <c r="T24" i="1"/>
  <c r="W23" i="1"/>
  <c r="S25" i="2" l="1"/>
  <c r="R26" i="2"/>
  <c r="T25" i="1"/>
  <c r="U24" i="1"/>
  <c r="W24" i="1"/>
  <c r="T26" i="1" l="1"/>
  <c r="U25" i="1"/>
  <c r="S26" i="2"/>
  <c r="R27" i="2"/>
  <c r="W25" i="1"/>
  <c r="S27" i="2" l="1"/>
  <c r="R28" i="2"/>
  <c r="W26" i="1"/>
  <c r="T27" i="1"/>
  <c r="U26" i="1"/>
  <c r="U27" i="1" l="1"/>
  <c r="T28" i="1"/>
  <c r="W27" i="1"/>
  <c r="R29" i="2"/>
  <c r="S28" i="2"/>
  <c r="S29" i="2" l="1"/>
  <c r="R30" i="2"/>
  <c r="W28" i="1"/>
  <c r="U28" i="1"/>
  <c r="T29" i="1"/>
  <c r="W29" i="1" l="1"/>
  <c r="R31" i="2"/>
  <c r="S30" i="2"/>
  <c r="U29" i="1"/>
  <c r="T30" i="1"/>
  <c r="S31" i="2" l="1"/>
  <c r="R32" i="2"/>
  <c r="T31" i="1"/>
  <c r="U30" i="1"/>
  <c r="W30" i="1"/>
  <c r="W31" i="1" s="1"/>
  <c r="U31" i="1" l="1"/>
  <c r="T32" i="1"/>
  <c r="S32" i="2"/>
  <c r="R33" i="2"/>
  <c r="U32" i="1" l="1"/>
  <c r="T33" i="1"/>
  <c r="S33" i="2"/>
  <c r="R34" i="2"/>
  <c r="W32" i="1"/>
  <c r="U33" i="1" l="1"/>
  <c r="T34" i="1"/>
  <c r="S34" i="2"/>
  <c r="R35" i="2"/>
  <c r="W33" i="1"/>
  <c r="S35" i="2" l="1"/>
  <c r="R36" i="2"/>
  <c r="U34" i="1"/>
  <c r="T35" i="1"/>
  <c r="W34" i="1"/>
  <c r="U35" i="1" l="1"/>
  <c r="T36" i="1"/>
  <c r="S36" i="2"/>
  <c r="R37" i="2"/>
  <c r="W35" i="1"/>
  <c r="T37" i="1" l="1"/>
  <c r="U36" i="1"/>
  <c r="S37" i="2"/>
  <c r="R38" i="2"/>
  <c r="W36" i="1"/>
  <c r="W37" i="1" s="1"/>
  <c r="S38" i="2" l="1"/>
  <c r="R39" i="2"/>
  <c r="U37" i="1"/>
  <c r="T38" i="1"/>
  <c r="W38" i="1" s="1"/>
  <c r="S39" i="2" l="1"/>
  <c r="R40" i="2"/>
  <c r="U38" i="1"/>
  <c r="T39" i="1"/>
  <c r="S40" i="2" l="1"/>
  <c r="R41" i="2"/>
  <c r="T40" i="1"/>
  <c r="U39" i="1"/>
  <c r="W39" i="1"/>
  <c r="W40" i="1" s="1"/>
  <c r="T41" i="1" l="1"/>
  <c r="W41" i="1" s="1"/>
  <c r="U40" i="1"/>
  <c r="S41" i="2"/>
  <c r="R42" i="2"/>
  <c r="S42" i="2" l="1"/>
  <c r="R43" i="2"/>
  <c r="U41" i="1"/>
  <c r="T42" i="1"/>
  <c r="S43" i="2" l="1"/>
  <c r="R44" i="2"/>
  <c r="U42" i="1"/>
  <c r="T43" i="1"/>
  <c r="W42" i="1"/>
  <c r="T44" i="1" l="1"/>
  <c r="U43" i="1"/>
  <c r="W43" i="1"/>
  <c r="S44" i="2"/>
  <c r="R45" i="2"/>
  <c r="S45" i="2" l="1"/>
  <c r="R46" i="2"/>
  <c r="W44" i="1"/>
  <c r="U44" i="1"/>
  <c r="T45" i="1"/>
  <c r="W45" i="1" l="1"/>
  <c r="U45" i="1"/>
  <c r="T46" i="1"/>
  <c r="S46" i="2"/>
  <c r="R47" i="2"/>
  <c r="U46" i="1" l="1"/>
  <c r="T47" i="1"/>
  <c r="S47" i="2"/>
  <c r="R48" i="2"/>
  <c r="W46" i="1"/>
  <c r="S48" i="2" l="1"/>
  <c r="R49" i="2"/>
  <c r="U47" i="1"/>
  <c r="T48" i="1"/>
  <c r="W47" i="1"/>
  <c r="W48" i="1" s="1"/>
  <c r="U48" i="1" l="1"/>
  <c r="T49" i="1"/>
  <c r="W49" i="1" s="1"/>
  <c r="S49" i="2"/>
  <c r="R50" i="2"/>
  <c r="W50" i="1" l="1"/>
  <c r="U49" i="1"/>
  <c r="T50" i="1"/>
  <c r="S50" i="2"/>
  <c r="R51" i="2"/>
  <c r="S51" i="2" l="1"/>
  <c r="R52" i="2"/>
  <c r="T51" i="1"/>
  <c r="U50" i="1"/>
  <c r="T52" i="1" l="1"/>
  <c r="U51" i="1"/>
  <c r="W51" i="1"/>
  <c r="S52" i="2"/>
  <c r="R53" i="2"/>
  <c r="S53" i="2" l="1"/>
  <c r="R54" i="2"/>
  <c r="W52" i="1"/>
  <c r="T53" i="1"/>
  <c r="U52" i="1"/>
  <c r="U53" i="1" l="1"/>
  <c r="T54" i="1"/>
  <c r="S54" i="2"/>
  <c r="R55" i="2"/>
  <c r="W53" i="1"/>
  <c r="S55" i="2" l="1"/>
  <c r="R56" i="2"/>
  <c r="U54" i="1"/>
  <c r="T55" i="1"/>
  <c r="W54" i="1"/>
  <c r="T56" i="1" l="1"/>
  <c r="U55" i="1"/>
  <c r="S56" i="2"/>
  <c r="R57" i="2"/>
  <c r="W55" i="1"/>
  <c r="W56" i="1" s="1"/>
  <c r="S57" i="2" l="1"/>
  <c r="R58" i="2"/>
  <c r="T57" i="1"/>
  <c r="U56" i="1"/>
  <c r="T58" i="1" l="1"/>
  <c r="U57" i="1"/>
  <c r="W57" i="1"/>
  <c r="S58" i="2"/>
  <c r="R59" i="2"/>
  <c r="W58" i="1" l="1"/>
  <c r="S59" i="2"/>
  <c r="R60" i="2"/>
  <c r="T59" i="1"/>
  <c r="U58" i="1"/>
  <c r="T60" i="1" l="1"/>
  <c r="U59" i="1"/>
  <c r="S60" i="2"/>
  <c r="R61" i="2"/>
  <c r="W59" i="1"/>
  <c r="W60" i="1" s="1"/>
  <c r="S61" i="2" l="1"/>
  <c r="R62" i="2"/>
  <c r="T61" i="1"/>
  <c r="U60" i="1"/>
  <c r="T62" i="1" l="1"/>
  <c r="U61" i="1"/>
  <c r="S62" i="2"/>
  <c r="R63" i="2"/>
  <c r="W61" i="1"/>
  <c r="W62" i="1" l="1"/>
  <c r="S63" i="2"/>
  <c r="R64" i="2"/>
  <c r="T63" i="1"/>
  <c r="U62" i="1"/>
  <c r="T64" i="1" l="1"/>
  <c r="U63" i="1"/>
  <c r="S64" i="2"/>
  <c r="R65" i="2"/>
  <c r="W63" i="1"/>
  <c r="S65" i="2" l="1"/>
  <c r="R66" i="2"/>
  <c r="W64" i="1"/>
  <c r="T65" i="1"/>
  <c r="U64" i="1"/>
  <c r="W65" i="1" l="1"/>
  <c r="W66" i="1" s="1"/>
  <c r="T66" i="1"/>
  <c r="U65" i="1"/>
  <c r="S66" i="2"/>
  <c r="R67" i="2"/>
  <c r="S67" i="2" l="1"/>
  <c r="R68" i="2"/>
  <c r="T67" i="1"/>
  <c r="U66" i="1"/>
  <c r="W67" i="1"/>
  <c r="U67" i="1" l="1"/>
  <c r="T68" i="1"/>
  <c r="W68" i="1" s="1"/>
  <c r="S68" i="2"/>
  <c r="R69" i="2"/>
  <c r="S69" i="2" l="1"/>
  <c r="R70" i="2"/>
  <c r="T69" i="1"/>
  <c r="U68" i="1"/>
  <c r="T70" i="1" l="1"/>
  <c r="U69" i="1"/>
  <c r="S70" i="2"/>
  <c r="R71" i="2"/>
  <c r="W69" i="1"/>
  <c r="W70" i="1" s="1"/>
  <c r="S71" i="2" l="1"/>
  <c r="R72" i="2"/>
  <c r="T71" i="1"/>
  <c r="W71" i="1" s="1"/>
  <c r="U70" i="1"/>
  <c r="S72" i="2" l="1"/>
  <c r="R73" i="2"/>
  <c r="U71" i="1"/>
  <c r="T72" i="1"/>
  <c r="S73" i="2" l="1"/>
  <c r="R74" i="2"/>
  <c r="T73" i="1"/>
  <c r="U72" i="1"/>
  <c r="W72" i="1"/>
  <c r="W73" i="1" s="1"/>
  <c r="T74" i="1" l="1"/>
  <c r="W74" i="1" s="1"/>
  <c r="U73" i="1"/>
  <c r="S74" i="2"/>
  <c r="R75" i="2"/>
  <c r="W75" i="1" l="1"/>
  <c r="S75" i="2"/>
  <c r="R76" i="2"/>
  <c r="T75" i="1"/>
  <c r="U74" i="1"/>
  <c r="S76" i="2" l="1"/>
  <c r="R77" i="2"/>
  <c r="T76" i="1"/>
  <c r="U75" i="1"/>
  <c r="T77" i="1" l="1"/>
  <c r="U76" i="1"/>
  <c r="W76" i="1"/>
  <c r="W77" i="1" s="1"/>
  <c r="S77" i="2"/>
  <c r="R78" i="2"/>
  <c r="S78" i="2" l="1"/>
  <c r="R79" i="2"/>
  <c r="T78" i="1"/>
  <c r="U77" i="1"/>
  <c r="S79" i="2" l="1"/>
  <c r="R80" i="2"/>
  <c r="T79" i="1"/>
  <c r="U78" i="1"/>
  <c r="W78" i="1"/>
  <c r="S80" i="2" l="1"/>
  <c r="R81" i="2"/>
  <c r="T80" i="1"/>
  <c r="U79" i="1"/>
  <c r="W79" i="1"/>
  <c r="W80" i="1" s="1"/>
  <c r="T81" i="1" l="1"/>
  <c r="U80" i="1"/>
  <c r="S81" i="2"/>
  <c r="R82" i="2"/>
  <c r="W81" i="1"/>
  <c r="S82" i="2" l="1"/>
  <c r="R83" i="2"/>
  <c r="T82" i="1"/>
  <c r="U81" i="1"/>
  <c r="T83" i="1" l="1"/>
  <c r="U82" i="1"/>
  <c r="W82" i="1"/>
  <c r="W83" i="1" s="1"/>
  <c r="S83" i="2"/>
  <c r="R84" i="2"/>
  <c r="S84" i="2" l="1"/>
  <c r="R85" i="2"/>
  <c r="U83" i="1"/>
  <c r="T84" i="1"/>
  <c r="S85" i="2" l="1"/>
  <c r="R86" i="2"/>
  <c r="T85" i="1"/>
  <c r="U84" i="1"/>
  <c r="W84" i="1"/>
  <c r="S86" i="2" l="1"/>
  <c r="R87" i="2"/>
  <c r="T86" i="1"/>
  <c r="U85" i="1"/>
  <c r="W85" i="1"/>
  <c r="T87" i="1" l="1"/>
  <c r="U86" i="1"/>
  <c r="S87" i="2"/>
  <c r="R88" i="2"/>
  <c r="W86" i="1"/>
  <c r="W87" i="1" s="1"/>
  <c r="S88" i="2" l="1"/>
  <c r="R89" i="2"/>
  <c r="U87" i="1"/>
  <c r="T88" i="1"/>
  <c r="T89" i="1" l="1"/>
  <c r="U88" i="1"/>
  <c r="W88" i="1"/>
  <c r="S89" i="2"/>
  <c r="R90" i="2"/>
  <c r="S90" i="2" l="1"/>
  <c r="R91" i="2"/>
  <c r="W89" i="1"/>
  <c r="T90" i="1"/>
  <c r="U89" i="1"/>
  <c r="W90" i="1" l="1"/>
  <c r="W91" i="1" s="1"/>
  <c r="S91" i="2"/>
  <c r="R92" i="2"/>
  <c r="T91" i="1"/>
  <c r="U90" i="1"/>
  <c r="S92" i="2" l="1"/>
  <c r="R93" i="2"/>
  <c r="T92" i="1"/>
  <c r="U91" i="1"/>
  <c r="T93" i="1" l="1"/>
  <c r="U92" i="1"/>
  <c r="S93" i="2"/>
  <c r="R94" i="2"/>
  <c r="W92" i="1"/>
  <c r="S94" i="2" l="1"/>
  <c r="R95" i="2"/>
  <c r="W93" i="1"/>
  <c r="W94" i="1" s="1"/>
  <c r="T94" i="1"/>
  <c r="U93" i="1"/>
  <c r="T95" i="1" l="1"/>
  <c r="U94" i="1"/>
  <c r="S95" i="2"/>
  <c r="R96" i="2"/>
  <c r="T96" i="1" l="1"/>
  <c r="U95" i="1"/>
  <c r="S96" i="2"/>
  <c r="R97" i="2"/>
  <c r="W95" i="1"/>
  <c r="W96" i="1" s="1"/>
  <c r="S97" i="2" l="1"/>
  <c r="R98" i="2"/>
  <c r="T97" i="1"/>
  <c r="U96" i="1"/>
  <c r="T98" i="1" l="1"/>
  <c r="U97" i="1"/>
  <c r="S98" i="2"/>
  <c r="R99" i="2"/>
  <c r="W97" i="1"/>
  <c r="W98" i="1" s="1"/>
  <c r="S99" i="2" l="1"/>
  <c r="R100" i="2"/>
  <c r="T99" i="1"/>
  <c r="U98" i="1"/>
  <c r="S100" i="2" l="1"/>
  <c r="R101" i="2"/>
  <c r="U99" i="1"/>
  <c r="T100" i="1"/>
  <c r="W99" i="1"/>
  <c r="S101" i="2" l="1"/>
  <c r="R102" i="2"/>
  <c r="T101" i="1"/>
  <c r="U100" i="1"/>
  <c r="W100" i="1"/>
  <c r="W101" i="1" s="1"/>
  <c r="T102" i="1" l="1"/>
  <c r="W102" i="1" s="1"/>
  <c r="U101" i="1"/>
  <c r="S102" i="2"/>
  <c r="R103" i="2"/>
  <c r="S103" i="2" l="1"/>
  <c r="R104" i="2"/>
  <c r="T103" i="1"/>
  <c r="U102" i="1"/>
  <c r="S104" i="2" l="1"/>
  <c r="R105" i="2"/>
  <c r="U103" i="1"/>
  <c r="T104" i="1"/>
  <c r="W103" i="1"/>
  <c r="T105" i="1" l="1"/>
  <c r="U104" i="1"/>
  <c r="W104" i="1"/>
  <c r="S105" i="2"/>
  <c r="R106" i="2"/>
  <c r="S106" i="2" l="1"/>
  <c r="R107" i="2"/>
  <c r="W105" i="1"/>
  <c r="T106" i="1"/>
  <c r="U105" i="1"/>
  <c r="T107" i="1" l="1"/>
  <c r="U106" i="1"/>
  <c r="S107" i="2"/>
  <c r="R108" i="2"/>
  <c r="W106" i="1"/>
  <c r="S108" i="2" l="1"/>
  <c r="R109" i="2"/>
  <c r="W107" i="1"/>
  <c r="T108" i="1"/>
  <c r="U107" i="1"/>
  <c r="W108" i="1" l="1"/>
  <c r="T109" i="1"/>
  <c r="U108" i="1"/>
  <c r="S109" i="2"/>
  <c r="R110" i="2"/>
  <c r="T110" i="1" l="1"/>
  <c r="U109" i="1"/>
  <c r="S110" i="2"/>
  <c r="R111" i="2"/>
  <c r="W109" i="1"/>
  <c r="W110" i="1" s="1"/>
  <c r="S111" i="2" l="1"/>
  <c r="R112" i="2"/>
  <c r="T111" i="1"/>
  <c r="U110" i="1"/>
  <c r="S112" i="2" l="1"/>
  <c r="R113" i="2"/>
  <c r="T112" i="1"/>
  <c r="U111" i="1"/>
  <c r="W111" i="1"/>
  <c r="S113" i="2" l="1"/>
  <c r="R114" i="2"/>
  <c r="T113" i="1"/>
  <c r="U112" i="1"/>
  <c r="W112" i="1"/>
  <c r="S114" i="2" l="1"/>
  <c r="R115" i="2"/>
  <c r="T114" i="1"/>
  <c r="U113" i="1"/>
  <c r="W113" i="1"/>
  <c r="S115" i="2" l="1"/>
  <c r="R116" i="2"/>
  <c r="T115" i="1"/>
  <c r="U114" i="1"/>
  <c r="W114" i="1"/>
  <c r="S116" i="2" l="1"/>
  <c r="R117" i="2"/>
  <c r="U115" i="1"/>
  <c r="T116" i="1"/>
  <c r="W115" i="1"/>
  <c r="W116" i="1" s="1"/>
  <c r="T117" i="1" l="1"/>
  <c r="U116" i="1"/>
  <c r="S117" i="2"/>
  <c r="R118" i="2"/>
  <c r="T118" i="1" l="1"/>
  <c r="U117" i="1"/>
  <c r="S118" i="2"/>
  <c r="R119" i="2"/>
  <c r="W117" i="1"/>
  <c r="W118" i="1" s="1"/>
  <c r="S119" i="2" l="1"/>
  <c r="R120" i="2"/>
  <c r="T119" i="1"/>
  <c r="U118" i="1"/>
  <c r="U119" i="1" l="1"/>
  <c r="T120" i="1"/>
  <c r="W119" i="1"/>
  <c r="S120" i="2"/>
  <c r="R121" i="2"/>
  <c r="W120" i="1" l="1"/>
  <c r="W121" i="1" s="1"/>
  <c r="T121" i="1"/>
  <c r="U120" i="1"/>
  <c r="S121" i="2"/>
  <c r="R122" i="2"/>
  <c r="S122" i="2" l="1"/>
  <c r="R123" i="2"/>
  <c r="T122" i="1"/>
  <c r="U121" i="1"/>
  <c r="S123" i="2" l="1"/>
  <c r="R124" i="2"/>
  <c r="T123" i="1"/>
  <c r="U122" i="1"/>
  <c r="W122" i="1"/>
  <c r="T124" i="1" l="1"/>
  <c r="U123" i="1"/>
  <c r="S124" i="2"/>
  <c r="R125" i="2"/>
  <c r="W123" i="1"/>
  <c r="S125" i="2" l="1"/>
  <c r="R126" i="2"/>
  <c r="W124" i="1"/>
  <c r="T125" i="1"/>
  <c r="U124" i="1"/>
  <c r="T126" i="1" l="1"/>
  <c r="U125" i="1"/>
  <c r="W125" i="1"/>
  <c r="S126" i="2"/>
  <c r="R127" i="2"/>
  <c r="S127" i="2" l="1"/>
  <c r="R128" i="2"/>
  <c r="T127" i="1"/>
  <c r="U126" i="1"/>
  <c r="W126" i="1"/>
  <c r="W127" i="1" s="1"/>
  <c r="T128" i="1" l="1"/>
  <c r="U127" i="1"/>
  <c r="S128" i="2"/>
  <c r="R129" i="2"/>
  <c r="T129" i="1" l="1"/>
  <c r="U128" i="1"/>
  <c r="S129" i="2"/>
  <c r="R130" i="2"/>
  <c r="W128" i="1"/>
  <c r="W129" i="1" s="1"/>
  <c r="S130" i="2" l="1"/>
  <c r="R131" i="2"/>
  <c r="T130" i="1"/>
  <c r="U129" i="1"/>
  <c r="T131" i="1" l="1"/>
  <c r="U130" i="1"/>
  <c r="W130" i="1"/>
  <c r="S131" i="2"/>
  <c r="R132" i="2"/>
  <c r="W131" i="1" l="1"/>
  <c r="S132" i="2"/>
  <c r="R133" i="2"/>
  <c r="U131" i="1"/>
  <c r="T132" i="1"/>
  <c r="S133" i="2" l="1"/>
  <c r="R134" i="2"/>
  <c r="T133" i="1"/>
  <c r="U132" i="1"/>
  <c r="W132" i="1"/>
  <c r="W133" i="1" s="1"/>
  <c r="T134" i="1" l="1"/>
  <c r="W134" i="1" s="1"/>
  <c r="U133" i="1"/>
  <c r="S134" i="2"/>
  <c r="R135" i="2"/>
  <c r="S135" i="2" l="1"/>
  <c r="R136" i="2"/>
  <c r="T135" i="1"/>
  <c r="U134" i="1"/>
  <c r="S136" i="2" l="1"/>
  <c r="R137" i="2"/>
  <c r="U135" i="1"/>
  <c r="T136" i="1"/>
  <c r="W135" i="1"/>
  <c r="T137" i="1" l="1"/>
  <c r="U136" i="1"/>
  <c r="W136" i="1"/>
  <c r="W137" i="1" s="1"/>
  <c r="S137" i="2"/>
  <c r="R138" i="2"/>
  <c r="S138" i="2" l="1"/>
  <c r="R139" i="2"/>
  <c r="U137" i="1"/>
  <c r="T138" i="1"/>
  <c r="S139" i="2" l="1"/>
  <c r="R140" i="2"/>
  <c r="T139" i="1"/>
  <c r="U138" i="1"/>
  <c r="W138" i="1"/>
  <c r="W139" i="1" s="1"/>
  <c r="T140" i="1" l="1"/>
  <c r="U139" i="1"/>
  <c r="S140" i="2"/>
  <c r="R141" i="2"/>
  <c r="T141" i="1" l="1"/>
  <c r="U140" i="1"/>
  <c r="S141" i="2"/>
  <c r="R142" i="2"/>
  <c r="W140" i="1"/>
  <c r="W141" i="1" s="1"/>
  <c r="S142" i="2" l="1"/>
  <c r="R143" i="2"/>
  <c r="T142" i="1"/>
  <c r="U141" i="1"/>
  <c r="T143" i="1" l="1"/>
  <c r="U142" i="1"/>
  <c r="W142" i="1"/>
  <c r="S143" i="2"/>
  <c r="R144" i="2"/>
  <c r="S144" i="2" l="1"/>
  <c r="R145" i="2"/>
  <c r="W143" i="1"/>
  <c r="T144" i="1"/>
  <c r="U143" i="1"/>
  <c r="T145" i="1" l="1"/>
  <c r="U144" i="1"/>
  <c r="W144" i="1"/>
  <c r="W145" i="1" s="1"/>
  <c r="S145" i="2"/>
  <c r="R146" i="2"/>
  <c r="S146" i="2" l="1"/>
  <c r="R147" i="2"/>
  <c r="T146" i="1"/>
  <c r="U145" i="1"/>
  <c r="T147" i="1" l="1"/>
  <c r="U146" i="1"/>
  <c r="S147" i="2"/>
  <c r="R148" i="2"/>
  <c r="W146" i="1"/>
  <c r="W147" i="1" s="1"/>
  <c r="S148" i="2" l="1"/>
  <c r="R149" i="2"/>
  <c r="T148" i="1"/>
  <c r="U147" i="1"/>
  <c r="T149" i="1" l="1"/>
  <c r="U148" i="1"/>
  <c r="W148" i="1"/>
  <c r="S149" i="2"/>
  <c r="R150" i="2"/>
  <c r="S150" i="2" l="1"/>
  <c r="R151" i="2"/>
  <c r="W149" i="1"/>
  <c r="T150" i="1"/>
  <c r="U149" i="1"/>
  <c r="T151" i="1" l="1"/>
  <c r="U150" i="1"/>
  <c r="W150" i="1"/>
  <c r="W151" i="1" s="1"/>
  <c r="S151" i="2"/>
  <c r="R152" i="2"/>
  <c r="S152" i="2" l="1"/>
  <c r="R153" i="2"/>
  <c r="T152" i="1"/>
  <c r="U151" i="1"/>
  <c r="T153" i="1" l="1"/>
  <c r="U152" i="1"/>
  <c r="S153" i="2"/>
  <c r="R154" i="2"/>
  <c r="W152" i="1"/>
  <c r="S154" i="2" l="1"/>
  <c r="R155" i="2"/>
  <c r="W153" i="1"/>
  <c r="T154" i="1"/>
  <c r="U153" i="1"/>
  <c r="T155" i="1" l="1"/>
  <c r="U154" i="1"/>
  <c r="W154" i="1"/>
  <c r="S155" i="2"/>
  <c r="R156" i="2"/>
  <c r="S156" i="2" l="1"/>
  <c r="R157" i="2"/>
  <c r="W155" i="1"/>
  <c r="T156" i="1"/>
  <c r="U155" i="1"/>
  <c r="T157" i="1" l="1"/>
  <c r="U156" i="1"/>
  <c r="W156" i="1"/>
  <c r="S157" i="2"/>
  <c r="R158" i="2"/>
  <c r="S158" i="2" l="1"/>
  <c r="R159" i="2"/>
  <c r="W157" i="1"/>
  <c r="T158" i="1"/>
  <c r="U157" i="1"/>
  <c r="T159" i="1" l="1"/>
  <c r="U158" i="1"/>
  <c r="W158" i="1"/>
  <c r="W159" i="1" s="1"/>
  <c r="S159" i="2"/>
  <c r="R160" i="2"/>
  <c r="S160" i="2" l="1"/>
  <c r="R161" i="2"/>
  <c r="T160" i="1"/>
  <c r="U159" i="1"/>
  <c r="S161" i="2" l="1"/>
  <c r="R162" i="2"/>
  <c r="T161" i="1"/>
  <c r="U160" i="1"/>
  <c r="W160" i="1"/>
  <c r="T162" i="1" l="1"/>
  <c r="U161" i="1"/>
  <c r="S162" i="2"/>
  <c r="R163" i="2"/>
  <c r="W161" i="1"/>
  <c r="W162" i="1" s="1"/>
  <c r="S163" i="2" l="1"/>
  <c r="R164" i="2"/>
  <c r="T163" i="1"/>
  <c r="W163" i="1" s="1"/>
  <c r="U162" i="1"/>
  <c r="S164" i="2" l="1"/>
  <c r="R165" i="2"/>
  <c r="T164" i="1"/>
  <c r="U163" i="1"/>
  <c r="T165" i="1" l="1"/>
  <c r="U164" i="1"/>
  <c r="S165" i="2"/>
  <c r="R166" i="2"/>
  <c r="W164" i="1"/>
  <c r="S166" i="2" l="1"/>
  <c r="R167" i="2"/>
  <c r="W165" i="1"/>
  <c r="T166" i="1"/>
  <c r="U165" i="1"/>
  <c r="T167" i="1" l="1"/>
  <c r="U166" i="1"/>
  <c r="W166" i="1"/>
  <c r="S167" i="2"/>
  <c r="R168" i="2"/>
  <c r="W167" i="1" l="1"/>
  <c r="S168" i="2"/>
  <c r="R169" i="2"/>
  <c r="T168" i="1"/>
  <c r="U167" i="1"/>
  <c r="T169" i="1" l="1"/>
  <c r="U168" i="1"/>
  <c r="S169" i="2"/>
  <c r="R170" i="2"/>
  <c r="W168" i="1"/>
  <c r="W169" i="1" s="1"/>
  <c r="S170" i="2" l="1"/>
  <c r="R171" i="2"/>
  <c r="T170" i="1"/>
  <c r="U169" i="1"/>
  <c r="T171" i="1" l="1"/>
  <c r="U170" i="1"/>
  <c r="S171" i="2"/>
  <c r="R172" i="2"/>
  <c r="W170" i="1"/>
  <c r="W171" i="1" s="1"/>
  <c r="S172" i="2" l="1"/>
  <c r="R173" i="2"/>
  <c r="T172" i="1"/>
  <c r="U171" i="1"/>
  <c r="T173" i="1" l="1"/>
  <c r="U172" i="1"/>
  <c r="S173" i="2"/>
  <c r="R174" i="2"/>
  <c r="W172" i="1"/>
  <c r="W173" i="1" s="1"/>
  <c r="S174" i="2" l="1"/>
  <c r="R175" i="2"/>
  <c r="T174" i="1"/>
  <c r="U173" i="1"/>
  <c r="T175" i="1" l="1"/>
  <c r="U174" i="1"/>
  <c r="W174" i="1"/>
  <c r="W175" i="1" s="1"/>
  <c r="S175" i="2"/>
  <c r="R176" i="2"/>
  <c r="S176" i="2" l="1"/>
  <c r="R177" i="2"/>
  <c r="T176" i="1"/>
  <c r="U175" i="1"/>
  <c r="T177" i="1" l="1"/>
  <c r="U176" i="1"/>
  <c r="S177" i="2"/>
  <c r="R178" i="2"/>
  <c r="W176" i="1"/>
  <c r="W177" i="1" s="1"/>
  <c r="S178" i="2" l="1"/>
  <c r="R179" i="2"/>
  <c r="W178" i="1"/>
  <c r="T178" i="1"/>
  <c r="U177" i="1"/>
  <c r="T179" i="1" l="1"/>
  <c r="W179" i="1" s="1"/>
  <c r="U178" i="1"/>
  <c r="S179" i="2"/>
  <c r="R180" i="2"/>
  <c r="S180" i="2" l="1"/>
  <c r="R181" i="2"/>
  <c r="T180" i="1"/>
  <c r="U179" i="1"/>
  <c r="T181" i="1" l="1"/>
  <c r="U180" i="1"/>
  <c r="S181" i="2"/>
  <c r="R182" i="2"/>
  <c r="W180" i="1"/>
  <c r="W181" i="1" s="1"/>
  <c r="S182" i="2" l="1"/>
  <c r="R183" i="2"/>
  <c r="T182" i="1"/>
  <c r="U181" i="1"/>
  <c r="T183" i="1" l="1"/>
  <c r="U182" i="1"/>
  <c r="W182" i="1"/>
  <c r="W183" i="1" s="1"/>
  <c r="S183" i="2"/>
  <c r="R184" i="2"/>
  <c r="S184" i="2" l="1"/>
  <c r="R185" i="2"/>
  <c r="T184" i="1"/>
  <c r="U183" i="1"/>
  <c r="S185" i="2" l="1"/>
  <c r="R186" i="2"/>
  <c r="T185" i="1"/>
  <c r="U184" i="1"/>
  <c r="W184" i="1"/>
  <c r="W185" i="1" s="1"/>
  <c r="W186" i="1" l="1"/>
  <c r="T186" i="1"/>
  <c r="U185" i="1"/>
  <c r="S186" i="2"/>
  <c r="R187" i="2"/>
  <c r="R188" i="2" l="1"/>
  <c r="S187" i="2"/>
  <c r="T187" i="1"/>
  <c r="U186" i="1"/>
  <c r="T188" i="1" l="1"/>
  <c r="U187" i="1"/>
  <c r="W187" i="1"/>
  <c r="S188" i="2"/>
  <c r="R189" i="2"/>
  <c r="T189" i="1" l="1"/>
  <c r="U188" i="1"/>
  <c r="W188" i="1"/>
  <c r="R190" i="2"/>
  <c r="S189" i="2"/>
  <c r="T190" i="1" l="1"/>
  <c r="U189" i="1"/>
  <c r="W189" i="1"/>
  <c r="S190" i="2"/>
  <c r="R191" i="2"/>
  <c r="T191" i="1" l="1"/>
  <c r="U190" i="1"/>
  <c r="W190" i="1"/>
  <c r="R192" i="2"/>
  <c r="S191" i="2"/>
  <c r="W191" i="1" l="1"/>
  <c r="S192" i="2"/>
  <c r="R193" i="2"/>
  <c r="T192" i="1"/>
  <c r="U191" i="1"/>
  <c r="T193" i="1" l="1"/>
  <c r="U192" i="1"/>
  <c r="R194" i="2"/>
  <c r="S193" i="2"/>
  <c r="W192" i="1"/>
  <c r="W193" i="1" s="1"/>
  <c r="S194" i="2" l="1"/>
  <c r="R195" i="2"/>
  <c r="T194" i="1"/>
  <c r="U193" i="1"/>
  <c r="T195" i="1" l="1"/>
  <c r="U194" i="1"/>
  <c r="R196" i="2"/>
  <c r="S195" i="2"/>
  <c r="W194" i="1"/>
  <c r="S196" i="2" l="1"/>
  <c r="R197" i="2"/>
  <c r="W195" i="1"/>
  <c r="T196" i="1"/>
  <c r="U195" i="1"/>
  <c r="T197" i="1" l="1"/>
  <c r="U196" i="1"/>
  <c r="W196" i="1"/>
  <c r="R198" i="2"/>
  <c r="S197" i="2"/>
  <c r="S198" i="2" l="1"/>
  <c r="R199" i="2"/>
  <c r="W197" i="1"/>
  <c r="T198" i="1"/>
  <c r="U197" i="1"/>
  <c r="T199" i="1" l="1"/>
  <c r="U198" i="1"/>
  <c r="W198" i="1"/>
  <c r="R200" i="2"/>
  <c r="S199" i="2"/>
  <c r="S200" i="2" l="1"/>
  <c r="R201" i="2"/>
  <c r="W199" i="1"/>
  <c r="T200" i="1"/>
  <c r="U199" i="1"/>
  <c r="T201" i="1" l="1"/>
  <c r="U200" i="1"/>
  <c r="W200" i="1"/>
  <c r="W201" i="1" s="1"/>
  <c r="R202" i="2"/>
  <c r="S201" i="2"/>
  <c r="S202" i="2" l="1"/>
  <c r="R203" i="2"/>
  <c r="T202" i="1"/>
  <c r="U201" i="1"/>
  <c r="T203" i="1" l="1"/>
  <c r="U202" i="1"/>
  <c r="W202" i="1"/>
  <c r="R204" i="2"/>
  <c r="S203" i="2"/>
  <c r="S204" i="2" l="1"/>
  <c r="R205" i="2"/>
  <c r="T204" i="1"/>
  <c r="U203" i="1"/>
  <c r="W203" i="1"/>
  <c r="W204" i="1" s="1"/>
  <c r="R206" i="2" l="1"/>
  <c r="S205" i="2"/>
  <c r="T205" i="1"/>
  <c r="U204" i="1"/>
  <c r="T206" i="1" l="1"/>
  <c r="U205" i="1"/>
  <c r="S206" i="2"/>
  <c r="R207" i="2"/>
  <c r="W205" i="1"/>
  <c r="W206" i="1" s="1"/>
  <c r="R208" i="2" l="1"/>
  <c r="S207" i="2"/>
  <c r="T207" i="1"/>
  <c r="U206" i="1"/>
  <c r="T208" i="1" l="1"/>
  <c r="U207" i="1"/>
  <c r="W207" i="1"/>
  <c r="W208" i="1" s="1"/>
  <c r="S208" i="2"/>
  <c r="R209" i="2"/>
  <c r="R210" i="2" l="1"/>
  <c r="S209" i="2"/>
  <c r="T209" i="1"/>
  <c r="U208" i="1"/>
  <c r="T210" i="1" l="1"/>
  <c r="U209" i="1"/>
  <c r="S210" i="2"/>
  <c r="R211" i="2"/>
  <c r="W209" i="1"/>
  <c r="R212" i="2" l="1"/>
  <c r="S211" i="2"/>
  <c r="W210" i="1"/>
  <c r="T211" i="1"/>
  <c r="U210" i="1"/>
  <c r="T212" i="1" l="1"/>
  <c r="U211" i="1"/>
  <c r="S212" i="2"/>
  <c r="R213" i="2"/>
  <c r="W211" i="1"/>
  <c r="W212" i="1" s="1"/>
  <c r="R214" i="2" l="1"/>
  <c r="S213" i="2"/>
  <c r="T213" i="1"/>
  <c r="U212" i="1"/>
  <c r="T214" i="1" l="1"/>
  <c r="U213" i="1"/>
  <c r="W213" i="1"/>
  <c r="W214" i="1" s="1"/>
  <c r="S214" i="2"/>
  <c r="R215" i="2"/>
  <c r="R216" i="2" l="1"/>
  <c r="S215" i="2"/>
  <c r="T215" i="1"/>
  <c r="U214" i="1"/>
  <c r="T216" i="1" l="1"/>
  <c r="U215" i="1"/>
  <c r="S216" i="2"/>
  <c r="R217" i="2"/>
  <c r="W215" i="1"/>
  <c r="W216" i="1" s="1"/>
  <c r="R218" i="2" l="1"/>
  <c r="S217" i="2"/>
  <c r="T217" i="1"/>
  <c r="U216" i="1"/>
  <c r="T218" i="1" l="1"/>
  <c r="U217" i="1"/>
  <c r="W217" i="1"/>
  <c r="W218" i="1" s="1"/>
  <c r="S218" i="2"/>
  <c r="R219" i="2"/>
  <c r="R220" i="2" l="1"/>
  <c r="S219" i="2"/>
  <c r="T219" i="1"/>
  <c r="U218" i="1"/>
  <c r="T220" i="1" l="1"/>
  <c r="U219" i="1"/>
  <c r="S220" i="2"/>
  <c r="R221" i="2"/>
  <c r="W219" i="1"/>
  <c r="W220" i="1" s="1"/>
  <c r="R222" i="2" l="1"/>
  <c r="S221" i="2"/>
  <c r="T221" i="1"/>
  <c r="U220" i="1"/>
  <c r="T222" i="1" l="1"/>
  <c r="U221" i="1"/>
  <c r="W221" i="1"/>
  <c r="W222" i="1" s="1"/>
  <c r="S222" i="2"/>
  <c r="R223" i="2"/>
  <c r="R224" i="2" l="1"/>
  <c r="S223" i="2"/>
  <c r="T223" i="1"/>
  <c r="U222" i="1"/>
  <c r="T224" i="1" l="1"/>
  <c r="U223" i="1"/>
  <c r="S224" i="2"/>
  <c r="R225" i="2"/>
  <c r="W223" i="1"/>
  <c r="W224" i="1" s="1"/>
  <c r="R226" i="2" l="1"/>
  <c r="S225" i="2"/>
  <c r="T225" i="1"/>
  <c r="U224" i="1"/>
  <c r="T226" i="1" l="1"/>
  <c r="U225" i="1"/>
  <c r="S226" i="2"/>
  <c r="R227" i="2"/>
  <c r="W225" i="1"/>
  <c r="W226" i="1" s="1"/>
  <c r="R228" i="2" l="1"/>
  <c r="S227" i="2"/>
  <c r="T227" i="1"/>
  <c r="U226" i="1"/>
  <c r="T228" i="1" l="1"/>
  <c r="U227" i="1"/>
  <c r="W227" i="1"/>
  <c r="W228" i="1" s="1"/>
  <c r="S228" i="2"/>
  <c r="R229" i="2"/>
  <c r="R230" i="2" l="1"/>
  <c r="S229" i="2"/>
  <c r="T229" i="1"/>
  <c r="U228" i="1"/>
  <c r="S230" i="2" l="1"/>
  <c r="R231" i="2"/>
  <c r="T230" i="1"/>
  <c r="U229" i="1"/>
  <c r="W229" i="1"/>
  <c r="W230" i="1" s="1"/>
  <c r="T231" i="1" l="1"/>
  <c r="W231" i="1" s="1"/>
  <c r="U230" i="1"/>
  <c r="R232" i="2"/>
  <c r="S231" i="2"/>
  <c r="S232" i="2" l="1"/>
  <c r="R233" i="2"/>
  <c r="T232" i="1"/>
  <c r="U231" i="1"/>
  <c r="R234" i="2" l="1"/>
  <c r="S233" i="2"/>
  <c r="T233" i="1"/>
  <c r="U232" i="1"/>
  <c r="W232" i="1"/>
  <c r="T234" i="1" l="1"/>
  <c r="U233" i="1"/>
  <c r="W233" i="1"/>
  <c r="S234" i="2"/>
  <c r="R235" i="2"/>
  <c r="W234" i="1" l="1"/>
  <c r="R236" i="2"/>
  <c r="S235" i="2"/>
  <c r="T235" i="1"/>
  <c r="U234" i="1"/>
  <c r="T236" i="1" l="1"/>
  <c r="U235" i="1"/>
  <c r="S236" i="2"/>
  <c r="R237" i="2"/>
  <c r="W235" i="1"/>
  <c r="W236" i="1" s="1"/>
  <c r="R238" i="2" l="1"/>
  <c r="S237" i="2"/>
  <c r="T237" i="1"/>
  <c r="U236" i="1"/>
  <c r="T238" i="1" l="1"/>
  <c r="U237" i="1"/>
  <c r="W237" i="1"/>
  <c r="W238" i="1" s="1"/>
  <c r="S238" i="2"/>
  <c r="R239" i="2"/>
  <c r="W239" i="1" l="1"/>
  <c r="R240" i="2"/>
  <c r="S239" i="2"/>
  <c r="T239" i="1"/>
  <c r="U238" i="1"/>
  <c r="T240" i="1" l="1"/>
  <c r="U239" i="1"/>
  <c r="S240" i="2"/>
  <c r="R241" i="2"/>
  <c r="W240" i="1"/>
  <c r="R242" i="2" l="1"/>
  <c r="S241" i="2"/>
  <c r="T241" i="1"/>
  <c r="W241" i="1" s="1"/>
  <c r="U240" i="1"/>
  <c r="T242" i="1" l="1"/>
  <c r="U241" i="1"/>
  <c r="S242" i="2"/>
  <c r="R243" i="2"/>
  <c r="T243" i="1" l="1"/>
  <c r="U242" i="1"/>
  <c r="R244" i="2"/>
  <c r="S243" i="2"/>
  <c r="W242" i="1"/>
  <c r="W243" i="1" s="1"/>
  <c r="S244" i="2" l="1"/>
  <c r="R245" i="2"/>
  <c r="T244" i="1"/>
  <c r="U243" i="1"/>
  <c r="R246" i="2" l="1"/>
  <c r="S245" i="2"/>
  <c r="T245" i="1"/>
  <c r="U244" i="1"/>
  <c r="W244" i="1"/>
  <c r="W245" i="1" s="1"/>
  <c r="T246" i="1" l="1"/>
  <c r="W246" i="1" s="1"/>
  <c r="U245" i="1"/>
  <c r="S246" i="2"/>
  <c r="R247" i="2"/>
  <c r="W247" i="1" l="1"/>
  <c r="R248" i="2"/>
  <c r="S247" i="2"/>
  <c r="T247" i="1"/>
  <c r="U246" i="1"/>
  <c r="T248" i="1" l="1"/>
  <c r="U247" i="1"/>
  <c r="S248" i="2"/>
  <c r="R249" i="2"/>
  <c r="T249" i="1" l="1"/>
  <c r="U248" i="1"/>
  <c r="R250" i="2"/>
  <c r="S249" i="2"/>
  <c r="W248" i="1"/>
  <c r="W249" i="1" s="1"/>
  <c r="S250" i="2" l="1"/>
  <c r="R251" i="2"/>
  <c r="T250" i="1"/>
  <c r="W250" i="1" s="1"/>
  <c r="U249" i="1"/>
  <c r="R252" i="2" l="1"/>
  <c r="S251" i="2"/>
  <c r="T251" i="1"/>
  <c r="U250" i="1"/>
  <c r="T252" i="1" l="1"/>
  <c r="U251" i="1"/>
  <c r="S252" i="2"/>
  <c r="R253" i="2"/>
  <c r="W251" i="1"/>
  <c r="W252" i="1" s="1"/>
  <c r="R254" i="2" l="1"/>
  <c r="S253" i="2"/>
  <c r="T253" i="1"/>
  <c r="U252" i="1"/>
  <c r="T254" i="1" l="1"/>
  <c r="U253" i="1"/>
  <c r="W253" i="1"/>
  <c r="W254" i="1" s="1"/>
  <c r="S254" i="2"/>
  <c r="R255" i="2"/>
  <c r="R256" i="2" l="1"/>
  <c r="S255" i="2"/>
  <c r="T255" i="1"/>
  <c r="U254" i="1"/>
  <c r="T256" i="1" l="1"/>
  <c r="U255" i="1"/>
  <c r="S256" i="2"/>
  <c r="R257" i="2"/>
  <c r="W255" i="1"/>
  <c r="W256" i="1" s="1"/>
  <c r="R258" i="2" l="1"/>
  <c r="S257" i="2"/>
  <c r="T257" i="1"/>
  <c r="U256" i="1"/>
  <c r="T258" i="1" l="1"/>
  <c r="U257" i="1"/>
  <c r="W257" i="1"/>
  <c r="W258" i="1" s="1"/>
  <c r="S258" i="2"/>
  <c r="R259" i="2"/>
  <c r="R260" i="2" l="1"/>
  <c r="S259" i="2"/>
  <c r="T259" i="1"/>
  <c r="U258" i="1"/>
  <c r="T260" i="1" l="1"/>
  <c r="U259" i="1"/>
  <c r="S260" i="2"/>
  <c r="R261" i="2"/>
  <c r="W259" i="1"/>
  <c r="R262" i="2" l="1"/>
  <c r="S261" i="2"/>
  <c r="W260" i="1"/>
  <c r="T261" i="1"/>
  <c r="U260" i="1"/>
  <c r="W261" i="1" l="1"/>
  <c r="T262" i="1"/>
  <c r="U261" i="1"/>
  <c r="S262" i="2"/>
  <c r="R263" i="2"/>
  <c r="T263" i="1" l="1"/>
  <c r="U262" i="1"/>
  <c r="R264" i="2"/>
  <c r="S263" i="2"/>
  <c r="W262" i="1"/>
  <c r="W263" i="1" l="1"/>
  <c r="W264" i="1" s="1"/>
  <c r="S264" i="2"/>
  <c r="R265" i="2"/>
  <c r="T264" i="1"/>
  <c r="U263" i="1"/>
  <c r="T265" i="1" l="1"/>
  <c r="W265" i="1" s="1"/>
  <c r="U264" i="1"/>
  <c r="R266" i="2"/>
  <c r="S265" i="2"/>
  <c r="C30" i="2" s="1"/>
  <c r="S266" i="2" l="1"/>
  <c r="R267" i="2"/>
  <c r="T266" i="1"/>
  <c r="U265" i="1"/>
  <c r="R268" i="2" l="1"/>
  <c r="S267" i="2"/>
  <c r="T267" i="1"/>
  <c r="U266" i="1"/>
  <c r="W266" i="1"/>
  <c r="W267" i="1" s="1"/>
  <c r="T268" i="1" l="1"/>
  <c r="U267" i="1"/>
  <c r="S268" i="2"/>
  <c r="R269" i="2"/>
  <c r="T269" i="1" l="1"/>
  <c r="U268" i="1"/>
  <c r="R270" i="2"/>
  <c r="S269" i="2"/>
  <c r="W268" i="1"/>
  <c r="W269" i="1" s="1"/>
  <c r="S270" i="2" l="1"/>
  <c r="R271" i="2"/>
  <c r="T270" i="1"/>
  <c r="U269" i="1"/>
  <c r="T271" i="1" l="1"/>
  <c r="U270" i="1"/>
  <c r="W270" i="1"/>
  <c r="W271" i="1" s="1"/>
  <c r="R272" i="2"/>
  <c r="S271" i="2"/>
  <c r="S272" i="2" l="1"/>
  <c r="R273" i="2"/>
  <c r="T272" i="1"/>
  <c r="U271" i="1"/>
  <c r="T273" i="1" l="1"/>
  <c r="U272" i="1"/>
  <c r="W272" i="1"/>
  <c r="R274" i="2"/>
  <c r="S273" i="2"/>
  <c r="S274" i="2" l="1"/>
  <c r="R275" i="2"/>
  <c r="W273" i="1"/>
  <c r="T274" i="1"/>
  <c r="U273" i="1"/>
  <c r="T275" i="1" l="1"/>
  <c r="U274" i="1"/>
  <c r="W274" i="1"/>
  <c r="R276" i="2"/>
  <c r="S275" i="2"/>
  <c r="S276" i="2" l="1"/>
  <c r="R277" i="2"/>
  <c r="W275" i="1"/>
  <c r="T276" i="1"/>
  <c r="U275" i="1"/>
  <c r="T277" i="1" l="1"/>
  <c r="U276" i="1"/>
  <c r="W276" i="1"/>
  <c r="R278" i="2"/>
  <c r="S277" i="2"/>
  <c r="S278" i="2" l="1"/>
  <c r="R279" i="2"/>
  <c r="W277" i="1"/>
  <c r="W278" i="1" s="1"/>
  <c r="T278" i="1"/>
  <c r="U277" i="1"/>
  <c r="T279" i="1" l="1"/>
  <c r="W279" i="1" s="1"/>
  <c r="U278" i="1"/>
  <c r="R280" i="2"/>
  <c r="S279" i="2"/>
  <c r="W280" i="1" l="1"/>
  <c r="S280" i="2"/>
  <c r="R281" i="2"/>
  <c r="T280" i="1"/>
  <c r="U279" i="1"/>
  <c r="T281" i="1" l="1"/>
  <c r="U280" i="1"/>
  <c r="R282" i="2"/>
  <c r="S281" i="2"/>
  <c r="T282" i="1" l="1"/>
  <c r="U281" i="1"/>
  <c r="S282" i="2"/>
  <c r="R283" i="2"/>
  <c r="W281" i="1"/>
  <c r="W282" i="1" s="1"/>
  <c r="R284" i="2" l="1"/>
  <c r="S283" i="2"/>
  <c r="T283" i="1"/>
  <c r="U282" i="1"/>
  <c r="T284" i="1" l="1"/>
  <c r="U283" i="1"/>
  <c r="W283" i="1"/>
  <c r="S284" i="2"/>
  <c r="R285" i="2"/>
  <c r="R286" i="2" l="1"/>
  <c r="S285" i="2"/>
  <c r="W284" i="1"/>
  <c r="T285" i="1"/>
  <c r="U284" i="1"/>
  <c r="T286" i="1" l="1"/>
  <c r="U285" i="1"/>
  <c r="S286" i="2"/>
  <c r="R287" i="2"/>
  <c r="W285" i="1"/>
  <c r="R288" i="2" l="1"/>
  <c r="S287" i="2"/>
  <c r="W286" i="1"/>
  <c r="T287" i="1"/>
  <c r="U286" i="1"/>
  <c r="T288" i="1" l="1"/>
  <c r="U287" i="1"/>
  <c r="S288" i="2"/>
  <c r="R289" i="2"/>
  <c r="W287" i="1"/>
  <c r="R290" i="2" l="1"/>
  <c r="S289" i="2"/>
  <c r="W288" i="1"/>
  <c r="T289" i="1"/>
  <c r="U288" i="1"/>
  <c r="T290" i="1" l="1"/>
  <c r="U289" i="1"/>
  <c r="W289" i="1"/>
  <c r="S290" i="2"/>
  <c r="R291" i="2"/>
  <c r="R292" i="2" l="1"/>
  <c r="S291" i="2"/>
  <c r="W290" i="1"/>
  <c r="T291" i="1"/>
  <c r="U290" i="1"/>
  <c r="T292" i="1" l="1"/>
  <c r="U291" i="1"/>
  <c r="S292" i="2"/>
  <c r="R293" i="2"/>
  <c r="W291" i="1"/>
  <c r="R294" i="2" l="1"/>
  <c r="S293" i="2"/>
  <c r="W292" i="1"/>
  <c r="T293" i="1"/>
  <c r="U292" i="1"/>
  <c r="T294" i="1" l="1"/>
  <c r="U293" i="1"/>
  <c r="W293" i="1"/>
  <c r="R295" i="2"/>
  <c r="S294" i="2"/>
  <c r="S295" i="2" l="1"/>
  <c r="R296" i="2"/>
  <c r="W294" i="1"/>
  <c r="W295" i="1" s="1"/>
  <c r="T295" i="1"/>
  <c r="U294" i="1"/>
  <c r="T296" i="1" l="1"/>
  <c r="W296" i="1" s="1"/>
  <c r="U295" i="1"/>
  <c r="S296" i="2"/>
  <c r="R297" i="2"/>
  <c r="S297" i="2" l="1"/>
  <c r="R298" i="2"/>
  <c r="T297" i="1"/>
  <c r="U296" i="1"/>
  <c r="T298" i="1" l="1"/>
  <c r="U297" i="1"/>
  <c r="S298" i="2"/>
  <c r="R299" i="2"/>
  <c r="W297" i="1"/>
  <c r="W298" i="1" s="1"/>
  <c r="S299" i="2" l="1"/>
  <c r="R300" i="2"/>
  <c r="T299" i="1"/>
  <c r="W299" i="1" s="1"/>
  <c r="U298" i="1"/>
  <c r="T300" i="1" l="1"/>
  <c r="U299" i="1"/>
  <c r="S300" i="2"/>
  <c r="R301" i="2"/>
  <c r="T301" i="1" l="1"/>
  <c r="U300" i="1"/>
  <c r="S301" i="2"/>
  <c r="R302" i="2"/>
  <c r="W300" i="1"/>
  <c r="W301" i="1" s="1"/>
  <c r="S302" i="2" l="1"/>
  <c r="R303" i="2"/>
  <c r="T302" i="1"/>
  <c r="U301" i="1"/>
  <c r="T303" i="1" l="1"/>
  <c r="U302" i="1"/>
  <c r="W302" i="1"/>
  <c r="S303" i="2"/>
  <c r="R304" i="2"/>
  <c r="W303" i="1" l="1"/>
  <c r="W304" i="1" s="1"/>
  <c r="S304" i="2"/>
  <c r="R305" i="2"/>
  <c r="T304" i="1"/>
  <c r="U303" i="1"/>
  <c r="T305" i="1" l="1"/>
  <c r="W305" i="1" s="1"/>
  <c r="U304" i="1"/>
  <c r="S305" i="2"/>
  <c r="R306" i="2"/>
  <c r="S306" i="2" l="1"/>
  <c r="R307" i="2"/>
  <c r="T306" i="1"/>
  <c r="U305" i="1"/>
  <c r="S307" i="2" l="1"/>
  <c r="R308" i="2"/>
  <c r="T307" i="1"/>
  <c r="U306" i="1"/>
  <c r="W306" i="1"/>
  <c r="W307" i="1" l="1"/>
  <c r="T308" i="1"/>
  <c r="U307" i="1"/>
  <c r="S308" i="2"/>
  <c r="R309" i="2"/>
  <c r="T309" i="1" l="1"/>
  <c r="U308" i="1"/>
  <c r="S309" i="2"/>
  <c r="R310" i="2"/>
  <c r="W308" i="1"/>
  <c r="W309" i="1" s="1"/>
  <c r="S310" i="2" l="1"/>
  <c r="R311" i="2"/>
  <c r="T310" i="1"/>
  <c r="U309" i="1"/>
  <c r="S311" i="2" l="1"/>
  <c r="R312" i="2"/>
  <c r="T311" i="1"/>
  <c r="U310" i="1"/>
  <c r="W310" i="1"/>
  <c r="T312" i="1" l="1"/>
  <c r="U311" i="1"/>
  <c r="S312" i="2"/>
  <c r="R313" i="2"/>
  <c r="W311" i="1"/>
  <c r="W312" i="1" s="1"/>
  <c r="S313" i="2" l="1"/>
  <c r="R314" i="2"/>
  <c r="T313" i="1"/>
  <c r="U312" i="1"/>
  <c r="T314" i="1" l="1"/>
  <c r="U313" i="1"/>
  <c r="W313" i="1"/>
  <c r="S314" i="2"/>
  <c r="R315" i="2"/>
  <c r="S315" i="2" l="1"/>
  <c r="R316" i="2"/>
  <c r="W314" i="1"/>
  <c r="T315" i="1"/>
  <c r="U314" i="1"/>
  <c r="T316" i="1" l="1"/>
  <c r="U315" i="1"/>
  <c r="W315" i="1"/>
  <c r="S316" i="2"/>
  <c r="R317" i="2"/>
  <c r="W316" i="1" l="1"/>
  <c r="S317" i="2"/>
  <c r="R318" i="2"/>
  <c r="T317" i="1"/>
  <c r="U316" i="1"/>
  <c r="S318" i="2" l="1"/>
  <c r="R319" i="2"/>
  <c r="T318" i="1"/>
  <c r="U317" i="1"/>
  <c r="W317" i="1"/>
  <c r="T319" i="1" l="1"/>
  <c r="U318" i="1"/>
  <c r="S319" i="2"/>
  <c r="R320" i="2"/>
  <c r="W318" i="1"/>
  <c r="W319" i="1" s="1"/>
  <c r="S320" i="2" l="1"/>
  <c r="R321" i="2"/>
  <c r="T320" i="1"/>
  <c r="U319" i="1"/>
  <c r="T321" i="1" l="1"/>
  <c r="U320" i="1"/>
  <c r="W320" i="1"/>
  <c r="W321" i="1" s="1"/>
  <c r="S321" i="2"/>
  <c r="R322" i="2"/>
  <c r="S322" i="2" l="1"/>
  <c r="R323" i="2"/>
  <c r="T322" i="1"/>
  <c r="U321" i="1"/>
  <c r="S323" i="2" l="1"/>
  <c r="R324" i="2"/>
  <c r="T323" i="1"/>
  <c r="U322" i="1"/>
  <c r="W322" i="1"/>
  <c r="W323" i="1" s="1"/>
  <c r="T324" i="1" l="1"/>
  <c r="W324" i="1" s="1"/>
  <c r="U323" i="1"/>
  <c r="S324" i="2"/>
  <c r="R325" i="2"/>
  <c r="S325" i="2" l="1"/>
  <c r="R326" i="2"/>
  <c r="T325" i="1"/>
  <c r="U324" i="1"/>
  <c r="S326" i="2" l="1"/>
  <c r="R327" i="2"/>
  <c r="T326" i="1"/>
  <c r="U325" i="1"/>
  <c r="W325" i="1"/>
  <c r="U326" i="1" l="1"/>
  <c r="T327" i="1"/>
  <c r="S327" i="2"/>
  <c r="R328" i="2"/>
  <c r="W326" i="1"/>
  <c r="T328" i="1" l="1"/>
  <c r="U327" i="1"/>
  <c r="S328" i="2"/>
  <c r="R329" i="2"/>
  <c r="W327" i="1"/>
  <c r="W328" i="1" s="1"/>
  <c r="S329" i="2" l="1"/>
  <c r="R330" i="2"/>
  <c r="T329" i="1"/>
  <c r="U328" i="1"/>
  <c r="T330" i="1" l="1"/>
  <c r="U329" i="1"/>
  <c r="W329" i="1"/>
  <c r="S330" i="2"/>
  <c r="R331" i="2"/>
  <c r="S331" i="2" l="1"/>
  <c r="R332" i="2"/>
  <c r="W330" i="1"/>
  <c r="U330" i="1"/>
  <c r="T331" i="1"/>
  <c r="T332" i="1" l="1"/>
  <c r="U331" i="1"/>
  <c r="W331" i="1"/>
  <c r="W332" i="1" s="1"/>
  <c r="S332" i="2"/>
  <c r="R333" i="2"/>
  <c r="S333" i="2" l="1"/>
  <c r="R334" i="2"/>
  <c r="T333" i="1"/>
  <c r="U332" i="1"/>
  <c r="T334" i="1" l="1"/>
  <c r="U333" i="1"/>
  <c r="S334" i="2"/>
  <c r="R335" i="2"/>
  <c r="W333" i="1"/>
  <c r="W334" i="1" s="1"/>
  <c r="S335" i="2" l="1"/>
  <c r="R336" i="2"/>
  <c r="U334" i="1"/>
  <c r="T335" i="1"/>
  <c r="W335" i="1" s="1"/>
  <c r="S336" i="2" l="1"/>
  <c r="R337" i="2"/>
  <c r="T336" i="1"/>
  <c r="U335" i="1"/>
  <c r="T337" i="1" l="1"/>
  <c r="U336" i="1"/>
  <c r="S337" i="2"/>
  <c r="R338" i="2"/>
  <c r="W336" i="1"/>
  <c r="W337" i="1" s="1"/>
  <c r="S338" i="2" l="1"/>
  <c r="R339" i="2"/>
  <c r="U337" i="1"/>
  <c r="T338" i="1"/>
  <c r="W338" i="1" s="1"/>
  <c r="S339" i="2" l="1"/>
  <c r="R340" i="2"/>
  <c r="T339" i="1"/>
  <c r="U338" i="1"/>
  <c r="T340" i="1" l="1"/>
  <c r="U339" i="1"/>
  <c r="S340" i="2"/>
  <c r="R341" i="2"/>
  <c r="W339" i="1"/>
  <c r="W340" i="1" s="1"/>
  <c r="S341" i="2" l="1"/>
  <c r="R342" i="2"/>
  <c r="U340" i="1"/>
  <c r="T341" i="1"/>
  <c r="T342" i="1" l="1"/>
  <c r="U341" i="1"/>
  <c r="W341" i="1"/>
  <c r="S342" i="2"/>
  <c r="R343" i="2"/>
  <c r="S343" i="2" l="1"/>
  <c r="R344" i="2"/>
  <c r="W342" i="1"/>
  <c r="T343" i="1"/>
  <c r="U342" i="1"/>
  <c r="T344" i="1" l="1"/>
  <c r="U343" i="1"/>
  <c r="W343" i="1"/>
  <c r="W344" i="1" s="1"/>
  <c r="S344" i="2"/>
  <c r="R345" i="2"/>
  <c r="S345" i="2" l="1"/>
  <c r="R346" i="2"/>
  <c r="T345" i="1"/>
  <c r="U344" i="1"/>
  <c r="T346" i="1" l="1"/>
  <c r="U345" i="1"/>
  <c r="S346" i="2"/>
  <c r="R347" i="2"/>
  <c r="W345" i="1"/>
  <c r="W346" i="1" s="1"/>
  <c r="S347" i="2" l="1"/>
  <c r="R348" i="2"/>
  <c r="T347" i="1"/>
  <c r="W347" i="1" s="1"/>
  <c r="U346" i="1"/>
  <c r="S348" i="2" l="1"/>
  <c r="R349" i="2"/>
  <c r="T348" i="1"/>
  <c r="U347" i="1"/>
  <c r="S349" i="2" l="1"/>
  <c r="R350" i="2"/>
  <c r="T349" i="1"/>
  <c r="U348" i="1"/>
  <c r="W348" i="1"/>
  <c r="U349" i="1" l="1"/>
  <c r="T350" i="1"/>
  <c r="S350" i="2"/>
  <c r="R351" i="2"/>
  <c r="W349" i="1"/>
  <c r="S351" i="2" l="1"/>
  <c r="R352" i="2"/>
  <c r="U350" i="1"/>
  <c r="T351" i="1"/>
  <c r="W350" i="1"/>
  <c r="W351" i="1" s="1"/>
  <c r="T352" i="1" l="1"/>
  <c r="U351" i="1"/>
  <c r="S352" i="2"/>
  <c r="R353" i="2"/>
  <c r="T353" i="1" l="1"/>
  <c r="U352" i="1"/>
  <c r="S353" i="2"/>
  <c r="R354" i="2"/>
  <c r="W352" i="1"/>
  <c r="W353" i="1" s="1"/>
  <c r="S354" i="2" l="1"/>
  <c r="R355" i="2"/>
  <c r="U353" i="1"/>
  <c r="T354" i="1"/>
  <c r="W354" i="1" s="1"/>
  <c r="S355" i="2" l="1"/>
  <c r="R356" i="2"/>
  <c r="T355" i="1"/>
  <c r="U354" i="1"/>
  <c r="S356" i="2" l="1"/>
  <c r="R357" i="2"/>
  <c r="T356" i="1"/>
  <c r="U355" i="1"/>
  <c r="W355" i="1"/>
  <c r="W356" i="1" s="1"/>
  <c r="U356" i="1" l="1"/>
  <c r="T357" i="1"/>
  <c r="S357" i="2"/>
  <c r="R358" i="2"/>
  <c r="T358" i="1" l="1"/>
  <c r="U357" i="1"/>
  <c r="S358" i="2"/>
  <c r="R359" i="2"/>
  <c r="W357" i="1"/>
  <c r="W358" i="1" s="1"/>
  <c r="S359" i="2" l="1"/>
  <c r="R360" i="2"/>
  <c r="T359" i="1"/>
  <c r="U358" i="1"/>
  <c r="T360" i="1" l="1"/>
  <c r="U359" i="1"/>
  <c r="W359" i="1"/>
  <c r="S360" i="2"/>
  <c r="R361" i="2"/>
  <c r="W360" i="1" l="1"/>
  <c r="S361" i="2"/>
  <c r="R362" i="2"/>
  <c r="T361" i="1"/>
  <c r="U360" i="1"/>
  <c r="S362" i="2" l="1"/>
  <c r="R363" i="2"/>
  <c r="T362" i="1"/>
  <c r="U361" i="1"/>
  <c r="W361" i="1"/>
  <c r="W362" i="1" s="1"/>
  <c r="T363" i="1" l="1"/>
  <c r="W363" i="1" s="1"/>
  <c r="U362" i="1"/>
  <c r="S363" i="2"/>
  <c r="R364" i="2"/>
  <c r="S364" i="2" l="1"/>
  <c r="R365" i="2"/>
  <c r="T364" i="1"/>
  <c r="U363" i="1"/>
  <c r="T365" i="1" l="1"/>
  <c r="U364" i="1"/>
  <c r="S365" i="2"/>
  <c r="R366" i="2"/>
  <c r="W364" i="1"/>
  <c r="W365" i="1" s="1"/>
  <c r="S366" i="2" l="1"/>
  <c r="R367" i="2"/>
  <c r="T366" i="1"/>
  <c r="U365" i="1"/>
  <c r="U366" i="1" l="1"/>
  <c r="T367" i="1"/>
  <c r="W366" i="1"/>
  <c r="S367" i="2"/>
  <c r="R368" i="2"/>
  <c r="W367" i="1" l="1"/>
  <c r="T368" i="1"/>
  <c r="U367" i="1"/>
  <c r="S368" i="2"/>
  <c r="R369" i="2"/>
  <c r="T369" i="1" l="1"/>
  <c r="U368" i="1"/>
  <c r="S369" i="2"/>
  <c r="R370" i="2"/>
  <c r="W368" i="1"/>
  <c r="W369" i="1" s="1"/>
  <c r="S370" i="2" l="1"/>
  <c r="R371" i="2"/>
  <c r="U369" i="1"/>
  <c r="T370" i="1"/>
  <c r="W370" i="1" s="1"/>
  <c r="S371" i="2" l="1"/>
  <c r="R372" i="2"/>
  <c r="U370" i="1"/>
  <c r="T371" i="1"/>
  <c r="S372" i="2" l="1"/>
  <c r="R373" i="2"/>
  <c r="T372" i="1"/>
  <c r="U371" i="1"/>
  <c r="W371" i="1"/>
  <c r="W372" i="1" s="1"/>
  <c r="U372" i="1" l="1"/>
  <c r="T373" i="1"/>
  <c r="S373" i="2"/>
  <c r="R374" i="2"/>
  <c r="W373" i="1"/>
  <c r="S374" i="2" l="1"/>
  <c r="R375" i="2"/>
  <c r="U373" i="1"/>
  <c r="T374" i="1"/>
  <c r="W374" i="1" s="1"/>
  <c r="S375" i="2" l="1"/>
  <c r="R376" i="2"/>
  <c r="T375" i="1"/>
  <c r="U374" i="1"/>
  <c r="T376" i="1" l="1"/>
  <c r="U375" i="1"/>
  <c r="S376" i="2"/>
  <c r="R377" i="2"/>
  <c r="W375" i="1"/>
  <c r="S377" i="2" l="1"/>
  <c r="R378" i="2"/>
  <c r="W376" i="1"/>
  <c r="U376" i="1"/>
  <c r="T377" i="1"/>
  <c r="W377" i="1" l="1"/>
  <c r="S378" i="2"/>
  <c r="R379" i="2"/>
  <c r="T378" i="1"/>
  <c r="U377" i="1"/>
  <c r="T379" i="1" l="1"/>
  <c r="U378" i="1"/>
  <c r="S379" i="2"/>
  <c r="R380" i="2"/>
  <c r="W378" i="1"/>
  <c r="W379" i="1" s="1"/>
  <c r="S380" i="2" l="1"/>
  <c r="R381" i="2"/>
  <c r="T380" i="1"/>
  <c r="U379" i="1"/>
  <c r="T381" i="1" l="1"/>
  <c r="U380" i="1"/>
  <c r="S381" i="2"/>
  <c r="R382" i="2"/>
  <c r="W380" i="1"/>
  <c r="W381" i="1" s="1"/>
  <c r="S382" i="2" l="1"/>
  <c r="R383" i="2"/>
  <c r="T382" i="1"/>
  <c r="U381" i="1"/>
  <c r="U382" i="1" l="1"/>
  <c r="T383" i="1"/>
  <c r="W382" i="1"/>
  <c r="W383" i="1" s="1"/>
  <c r="S383" i="2"/>
  <c r="R384" i="2"/>
  <c r="T384" i="1" l="1"/>
  <c r="U383" i="1"/>
  <c r="S384" i="2"/>
  <c r="R385" i="2"/>
  <c r="T385" i="1" l="1"/>
  <c r="U384" i="1"/>
  <c r="S385" i="2"/>
  <c r="R386" i="2"/>
  <c r="W384" i="1"/>
  <c r="W385" i="1" s="1"/>
  <c r="S386" i="2" l="1"/>
  <c r="R387" i="2"/>
  <c r="U385" i="1"/>
  <c r="T386" i="1"/>
  <c r="W386" i="1" s="1"/>
  <c r="S387" i="2" l="1"/>
  <c r="R388" i="2"/>
  <c r="U386" i="1"/>
  <c r="T387" i="1"/>
  <c r="S388" i="2" l="1"/>
  <c r="R389" i="2"/>
  <c r="T388" i="1"/>
  <c r="U387" i="1"/>
  <c r="W387" i="1"/>
  <c r="U388" i="1" l="1"/>
  <c r="T389" i="1"/>
  <c r="S389" i="2"/>
  <c r="R390" i="2"/>
  <c r="W388" i="1"/>
  <c r="W389" i="1" s="1"/>
  <c r="S390" i="2" l="1"/>
  <c r="R391" i="2"/>
  <c r="U389" i="1"/>
  <c r="T390" i="1"/>
  <c r="T391" i="1" l="1"/>
  <c r="U390" i="1"/>
  <c r="W390" i="1"/>
  <c r="W391" i="1" s="1"/>
  <c r="S391" i="2"/>
  <c r="R392" i="2"/>
  <c r="S392" i="2" l="1"/>
  <c r="R393" i="2"/>
  <c r="T392" i="1"/>
  <c r="U391" i="1"/>
  <c r="S393" i="2" l="1"/>
  <c r="R394" i="2"/>
  <c r="U392" i="1"/>
  <c r="T393" i="1"/>
  <c r="W392" i="1"/>
  <c r="T394" i="1" l="1"/>
  <c r="U393" i="1"/>
  <c r="S394" i="2"/>
  <c r="R395" i="2"/>
  <c r="W393" i="1"/>
  <c r="W394" i="1" s="1"/>
  <c r="S395" i="2" l="1"/>
  <c r="R396" i="2"/>
  <c r="T395" i="1"/>
  <c r="U394" i="1"/>
  <c r="T396" i="1" l="1"/>
  <c r="U395" i="1"/>
  <c r="W395" i="1"/>
  <c r="W396" i="1" s="1"/>
  <c r="R397" i="2"/>
  <c r="S396" i="2"/>
  <c r="R398" i="2" l="1"/>
  <c r="S397" i="2"/>
  <c r="T397" i="1"/>
  <c r="U396" i="1"/>
  <c r="T398" i="1" l="1"/>
  <c r="U397" i="1"/>
  <c r="W397" i="1"/>
  <c r="W398" i="1" s="1"/>
  <c r="R399" i="2"/>
  <c r="S398" i="2"/>
  <c r="R400" i="2" l="1"/>
  <c r="S399" i="2"/>
  <c r="U398" i="1"/>
  <c r="T399" i="1"/>
  <c r="W399" i="1" s="1"/>
  <c r="T400" i="1" l="1"/>
  <c r="U399" i="1"/>
  <c r="R401" i="2"/>
  <c r="S400" i="2"/>
  <c r="R402" i="2" l="1"/>
  <c r="S401" i="2"/>
  <c r="T401" i="1"/>
  <c r="U400" i="1"/>
  <c r="W400" i="1"/>
  <c r="U401" i="1" l="1"/>
  <c r="T402" i="1"/>
  <c r="W401" i="1"/>
  <c r="W402" i="1" s="1"/>
  <c r="R403" i="2"/>
  <c r="S402" i="2"/>
  <c r="R404" i="2" l="1"/>
  <c r="S403" i="2"/>
  <c r="U402" i="1"/>
  <c r="T403" i="1"/>
  <c r="W403" i="1" s="1"/>
  <c r="T404" i="1" l="1"/>
  <c r="U403" i="1"/>
  <c r="R405" i="2"/>
  <c r="S404" i="2"/>
  <c r="R406" i="2" l="1"/>
  <c r="S405" i="2"/>
  <c r="U404" i="1"/>
  <c r="T405" i="1"/>
  <c r="W404" i="1"/>
  <c r="U405" i="1" l="1"/>
  <c r="T406" i="1"/>
  <c r="W405" i="1"/>
  <c r="W406" i="1" s="1"/>
  <c r="R407" i="2"/>
  <c r="S406" i="2"/>
  <c r="R408" i="2" l="1"/>
  <c r="S407" i="2"/>
  <c r="T407" i="1"/>
  <c r="U406" i="1"/>
  <c r="T408" i="1" l="1"/>
  <c r="U407" i="1"/>
  <c r="R409" i="2"/>
  <c r="S408" i="2"/>
  <c r="W407" i="1"/>
  <c r="W408" i="1" s="1"/>
  <c r="R410" i="2" l="1"/>
  <c r="S409" i="2"/>
  <c r="U408" i="1"/>
  <c r="T409" i="1"/>
  <c r="W409" i="1" s="1"/>
  <c r="T410" i="1" l="1"/>
  <c r="U409" i="1"/>
  <c r="R411" i="2"/>
  <c r="S410" i="2"/>
  <c r="R412" i="2" l="1"/>
  <c r="S411" i="2"/>
  <c r="T411" i="1"/>
  <c r="U410" i="1"/>
  <c r="W410" i="1"/>
  <c r="T412" i="1" l="1"/>
  <c r="U411" i="1"/>
  <c r="W411" i="1"/>
  <c r="W412" i="1" s="1"/>
  <c r="R413" i="2"/>
  <c r="S412" i="2"/>
  <c r="R414" i="2" l="1"/>
  <c r="S413" i="2"/>
  <c r="T413" i="1"/>
  <c r="U412" i="1"/>
  <c r="T414" i="1" l="1"/>
  <c r="U413" i="1"/>
  <c r="R415" i="2"/>
  <c r="S414" i="2"/>
  <c r="W413" i="1"/>
  <c r="W414" i="1" s="1"/>
  <c r="R416" i="2" l="1"/>
  <c r="S415" i="2"/>
  <c r="U414" i="1"/>
  <c r="T415" i="1"/>
  <c r="W415" i="1" s="1"/>
  <c r="T416" i="1" l="1"/>
  <c r="U415" i="1"/>
  <c r="R417" i="2"/>
  <c r="S416" i="2"/>
  <c r="R418" i="2" l="1"/>
  <c r="S417" i="2"/>
  <c r="T417" i="1"/>
  <c r="U416" i="1"/>
  <c r="W416" i="1"/>
  <c r="U417" i="1" l="1"/>
  <c r="T418" i="1"/>
  <c r="W417" i="1"/>
  <c r="W418" i="1" s="1"/>
  <c r="R419" i="2"/>
  <c r="S418" i="2"/>
  <c r="R420" i="2" l="1"/>
  <c r="S419" i="2"/>
  <c r="U418" i="1"/>
  <c r="T419" i="1"/>
  <c r="R421" i="2" l="1"/>
  <c r="S420" i="2"/>
  <c r="T420" i="1"/>
  <c r="U419" i="1"/>
  <c r="W419" i="1"/>
  <c r="U420" i="1" l="1"/>
  <c r="T421" i="1"/>
  <c r="W420" i="1"/>
  <c r="W421" i="1" s="1"/>
  <c r="R422" i="2"/>
  <c r="S421" i="2"/>
  <c r="R423" i="2" l="1"/>
  <c r="S422" i="2"/>
  <c r="W422" i="1"/>
  <c r="U421" i="1"/>
  <c r="T422" i="1"/>
  <c r="T423" i="1" l="1"/>
  <c r="U422" i="1"/>
  <c r="R424" i="2"/>
  <c r="S423" i="2"/>
  <c r="T424" i="1" l="1"/>
  <c r="U423" i="1"/>
  <c r="R425" i="2"/>
  <c r="S424" i="2"/>
  <c r="W423" i="1"/>
  <c r="W424" i="1" s="1"/>
  <c r="R426" i="2" l="1"/>
  <c r="S425" i="2"/>
  <c r="U424" i="1"/>
  <c r="T425" i="1"/>
  <c r="W425" i="1" s="1"/>
  <c r="T426" i="1" l="1"/>
  <c r="U425" i="1"/>
  <c r="R427" i="2"/>
  <c r="S426" i="2"/>
  <c r="R428" i="2" l="1"/>
  <c r="S427" i="2"/>
  <c r="T427" i="1"/>
  <c r="U426" i="1"/>
  <c r="W426" i="1"/>
  <c r="T428" i="1" l="1"/>
  <c r="U427" i="1"/>
  <c r="W427" i="1"/>
  <c r="W428" i="1" s="1"/>
  <c r="R429" i="2"/>
  <c r="S428" i="2"/>
  <c r="R430" i="2" l="1"/>
  <c r="S429" i="2"/>
  <c r="T429" i="1"/>
  <c r="U428" i="1"/>
  <c r="T430" i="1" l="1"/>
  <c r="U429" i="1"/>
  <c r="R431" i="2"/>
  <c r="S430" i="2"/>
  <c r="W429" i="1"/>
  <c r="W430" i="1" s="1"/>
  <c r="R432" i="2" l="1"/>
  <c r="S431" i="2"/>
  <c r="W431" i="1"/>
  <c r="U430" i="1"/>
  <c r="T431" i="1"/>
  <c r="T432" i="1" l="1"/>
  <c r="U431" i="1"/>
  <c r="R433" i="2"/>
  <c r="S432" i="2"/>
  <c r="R434" i="2" l="1"/>
  <c r="S433" i="2"/>
  <c r="T433" i="1"/>
  <c r="U432" i="1"/>
  <c r="W432" i="1"/>
  <c r="U433" i="1" l="1"/>
  <c r="T434" i="1"/>
  <c r="W433" i="1"/>
  <c r="W434" i="1" s="1"/>
  <c r="R435" i="2"/>
  <c r="S434" i="2"/>
  <c r="R436" i="2" l="1"/>
  <c r="S435" i="2"/>
  <c r="U434" i="1"/>
  <c r="T435" i="1"/>
  <c r="W435" i="1"/>
  <c r="R437" i="2" l="1"/>
  <c r="S436" i="2"/>
  <c r="T436" i="1"/>
  <c r="U435" i="1"/>
  <c r="U436" i="1" l="1"/>
  <c r="T437" i="1"/>
  <c r="R438" i="2"/>
  <c r="S437" i="2"/>
  <c r="W436" i="1"/>
  <c r="R439" i="2" l="1"/>
  <c r="S438" i="2"/>
  <c r="U437" i="1"/>
  <c r="T438" i="1"/>
  <c r="W437" i="1"/>
  <c r="T439" i="1" l="1"/>
  <c r="U438" i="1"/>
  <c r="W438" i="1"/>
  <c r="W439" i="1" s="1"/>
  <c r="R440" i="2"/>
  <c r="S439" i="2"/>
  <c r="R441" i="2" l="1"/>
  <c r="S440" i="2"/>
  <c r="T440" i="1"/>
  <c r="W440" i="1" s="1"/>
  <c r="U439" i="1"/>
  <c r="U440" i="1" l="1"/>
  <c r="T441" i="1"/>
  <c r="R442" i="2"/>
  <c r="S441" i="2"/>
  <c r="R443" i="2" l="1"/>
  <c r="S442" i="2"/>
  <c r="T442" i="1"/>
  <c r="U441" i="1"/>
  <c r="W441" i="1"/>
  <c r="T443" i="1" l="1"/>
  <c r="U442" i="1"/>
  <c r="W442" i="1"/>
  <c r="R444" i="2"/>
  <c r="S443" i="2"/>
  <c r="W443" i="1" l="1"/>
  <c r="R445" i="2"/>
  <c r="S444" i="2"/>
  <c r="T444" i="1"/>
  <c r="U443" i="1"/>
  <c r="T445" i="1" l="1"/>
  <c r="U444" i="1"/>
  <c r="R446" i="2"/>
  <c r="S445" i="2"/>
  <c r="W444" i="1"/>
  <c r="W445" i="1" s="1"/>
  <c r="R447" i="2" l="1"/>
  <c r="S446" i="2"/>
  <c r="T446" i="1"/>
  <c r="U445" i="1"/>
  <c r="U446" i="1" l="1"/>
  <c r="T447" i="1"/>
  <c r="W446" i="1"/>
  <c r="W447" i="1" s="1"/>
  <c r="R448" i="2"/>
  <c r="S447" i="2"/>
  <c r="R449" i="2" l="1"/>
  <c r="S448" i="2"/>
  <c r="T448" i="1"/>
  <c r="U447" i="1"/>
  <c r="T449" i="1" l="1"/>
  <c r="U448" i="1"/>
  <c r="W448" i="1"/>
  <c r="W449" i="1" s="1"/>
  <c r="R450" i="2"/>
  <c r="S449" i="2"/>
  <c r="R451" i="2" l="1"/>
  <c r="S450" i="2"/>
  <c r="U449" i="1"/>
  <c r="T450" i="1"/>
  <c r="R452" i="2" l="1"/>
  <c r="S451" i="2"/>
  <c r="U450" i="1"/>
  <c r="T451" i="1"/>
  <c r="W450" i="1"/>
  <c r="T452" i="1" l="1"/>
  <c r="U451" i="1"/>
  <c r="W451" i="1"/>
  <c r="W452" i="1" s="1"/>
  <c r="R453" i="2"/>
  <c r="S452" i="2"/>
  <c r="R454" i="2" l="1"/>
  <c r="S453" i="2"/>
  <c r="W453" i="1"/>
  <c r="U452" i="1"/>
  <c r="T453" i="1"/>
  <c r="U453" i="1" l="1"/>
  <c r="T454" i="1"/>
  <c r="R455" i="2"/>
  <c r="S454" i="2"/>
  <c r="R456" i="2" l="1"/>
  <c r="S455" i="2"/>
  <c r="T455" i="1"/>
  <c r="U454" i="1"/>
  <c r="W454" i="1"/>
  <c r="W455" i="1" s="1"/>
  <c r="R457" i="2" l="1"/>
  <c r="S456" i="2"/>
  <c r="T456" i="1"/>
  <c r="U455" i="1"/>
  <c r="U456" i="1" l="1"/>
  <c r="T457" i="1"/>
  <c r="R458" i="2"/>
  <c r="S457" i="2"/>
  <c r="W456" i="1"/>
  <c r="W457" i="1" s="1"/>
  <c r="R459" i="2" l="1"/>
  <c r="S458" i="2"/>
  <c r="T458" i="1"/>
  <c r="U457" i="1"/>
  <c r="T459" i="1" l="1"/>
  <c r="U458" i="1"/>
  <c r="W458" i="1"/>
  <c r="W459" i="1" s="1"/>
  <c r="R460" i="2"/>
  <c r="S459" i="2"/>
  <c r="R461" i="2" l="1"/>
  <c r="S460" i="2"/>
  <c r="T460" i="1"/>
  <c r="U459" i="1"/>
  <c r="T461" i="1" l="1"/>
  <c r="U460" i="1"/>
  <c r="R462" i="2"/>
  <c r="S461" i="2"/>
  <c r="W460" i="1"/>
  <c r="W461" i="1" s="1"/>
  <c r="R463" i="2" l="1"/>
  <c r="S462" i="2"/>
  <c r="T462" i="1"/>
  <c r="U461" i="1"/>
  <c r="U462" i="1" l="1"/>
  <c r="T463" i="1"/>
  <c r="W462" i="1"/>
  <c r="W463" i="1" s="1"/>
  <c r="R464" i="2"/>
  <c r="S463" i="2"/>
  <c r="R465" i="2" l="1"/>
  <c r="S464" i="2"/>
  <c r="T464" i="1"/>
  <c r="W464" i="1" s="1"/>
  <c r="U463" i="1"/>
  <c r="W465" i="1" l="1"/>
  <c r="T465" i="1"/>
  <c r="U464" i="1"/>
  <c r="R466" i="2"/>
  <c r="S465" i="2"/>
  <c r="R467" i="2" l="1"/>
  <c r="S466" i="2"/>
  <c r="U465" i="1"/>
  <c r="T466" i="1"/>
  <c r="W466" i="1" s="1"/>
  <c r="U466" i="1" l="1"/>
  <c r="T467" i="1"/>
  <c r="R468" i="2"/>
  <c r="S467" i="2"/>
  <c r="R469" i="2" l="1"/>
  <c r="S468" i="2"/>
  <c r="T468" i="1"/>
  <c r="U467" i="1"/>
  <c r="W467" i="1"/>
  <c r="W468" i="1" s="1"/>
  <c r="U468" i="1" l="1"/>
  <c r="T469" i="1"/>
  <c r="W469" i="1"/>
  <c r="R470" i="2"/>
  <c r="S469" i="2"/>
  <c r="R471" i="2" l="1"/>
  <c r="S470" i="2"/>
  <c r="U469" i="1"/>
  <c r="T470" i="1"/>
  <c r="T471" i="1" l="1"/>
  <c r="U470" i="1"/>
  <c r="W470" i="1"/>
  <c r="W471" i="1" s="1"/>
  <c r="R472" i="2"/>
  <c r="S471" i="2"/>
  <c r="R473" i="2" l="1"/>
  <c r="S472" i="2"/>
  <c r="T472" i="1"/>
  <c r="U471" i="1"/>
  <c r="U472" i="1" l="1"/>
  <c r="T473" i="1"/>
  <c r="W472" i="1"/>
  <c r="R474" i="2"/>
  <c r="S473" i="2"/>
  <c r="R475" i="2" l="1"/>
  <c r="S474" i="2"/>
  <c r="W473" i="1"/>
  <c r="T474" i="1"/>
  <c r="U473" i="1"/>
  <c r="T475" i="1" l="1"/>
  <c r="U474" i="1"/>
  <c r="W474" i="1"/>
  <c r="R476" i="2"/>
  <c r="S475" i="2"/>
  <c r="R477" i="2" l="1"/>
  <c r="S476" i="2"/>
  <c r="W475" i="1"/>
  <c r="W476" i="1" s="1"/>
  <c r="T476" i="1"/>
  <c r="U475" i="1"/>
  <c r="T477" i="1" l="1"/>
  <c r="U476" i="1"/>
  <c r="W477" i="1"/>
  <c r="R478" i="2"/>
  <c r="S477" i="2"/>
  <c r="R479" i="2" l="1"/>
  <c r="S478" i="2"/>
  <c r="T478" i="1"/>
  <c r="U477" i="1"/>
  <c r="U478" i="1" l="1"/>
  <c r="T479" i="1"/>
  <c r="W478" i="1"/>
  <c r="R480" i="2"/>
  <c r="S479" i="2"/>
  <c r="R481" i="2" l="1"/>
  <c r="S480" i="2"/>
  <c r="W479" i="1"/>
  <c r="T480" i="1"/>
  <c r="U479" i="1"/>
  <c r="T481" i="1" l="1"/>
  <c r="U480" i="1"/>
  <c r="W480" i="1"/>
  <c r="R482" i="2"/>
  <c r="S481" i="2"/>
  <c r="R483" i="2" l="1"/>
  <c r="S482" i="2"/>
  <c r="W481" i="1"/>
  <c r="U481" i="1"/>
  <c r="T482" i="1"/>
  <c r="U482" i="1" l="1"/>
  <c r="T483" i="1"/>
  <c r="W482" i="1"/>
  <c r="R484" i="2"/>
  <c r="S483" i="2"/>
  <c r="R485" i="2" l="1"/>
  <c r="S484" i="2"/>
  <c r="W483" i="1"/>
  <c r="T484" i="1"/>
  <c r="U483" i="1"/>
  <c r="U484" i="1" l="1"/>
  <c r="T485" i="1"/>
  <c r="W484" i="1"/>
  <c r="R486" i="2"/>
  <c r="S485" i="2"/>
  <c r="R487" i="2" l="1"/>
  <c r="S486" i="2"/>
  <c r="W485" i="1"/>
  <c r="U485" i="1"/>
  <c r="T486" i="1"/>
  <c r="T487" i="1" l="1"/>
  <c r="U486" i="1"/>
  <c r="W486" i="1"/>
  <c r="R488" i="2"/>
  <c r="S487" i="2"/>
  <c r="R489" i="2" l="1"/>
  <c r="S488" i="2"/>
  <c r="T488" i="1"/>
  <c r="U487" i="1"/>
  <c r="W487" i="1"/>
  <c r="U488" i="1" l="1"/>
  <c r="T489" i="1"/>
  <c r="W488" i="1"/>
  <c r="W489" i="1" s="1"/>
  <c r="R490" i="2"/>
  <c r="S489" i="2"/>
  <c r="R491" i="2" l="1"/>
  <c r="S490" i="2"/>
  <c r="T490" i="1"/>
  <c r="U489" i="1"/>
  <c r="R492" i="2" l="1"/>
  <c r="S491" i="2"/>
  <c r="T491" i="1"/>
  <c r="U490" i="1"/>
  <c r="W490" i="1"/>
  <c r="W491" i="1" l="1"/>
  <c r="T492" i="1"/>
  <c r="U491" i="1"/>
  <c r="R493" i="2"/>
  <c r="S492" i="2"/>
  <c r="R494" i="2" l="1"/>
  <c r="S493" i="2"/>
  <c r="T493" i="1"/>
  <c r="U492" i="1"/>
  <c r="W492" i="1"/>
  <c r="W493" i="1" s="1"/>
  <c r="T494" i="1" l="1"/>
  <c r="W494" i="1" s="1"/>
  <c r="U493" i="1"/>
  <c r="R495" i="2"/>
  <c r="S494" i="2"/>
  <c r="R496" i="2" l="1"/>
  <c r="S495" i="2"/>
  <c r="U494" i="1"/>
  <c r="T495" i="1"/>
  <c r="R497" i="2" l="1"/>
  <c r="S496" i="2"/>
  <c r="T496" i="1"/>
  <c r="U495" i="1"/>
  <c r="W495" i="1"/>
  <c r="W496" i="1" l="1"/>
  <c r="T497" i="1"/>
  <c r="U496" i="1"/>
  <c r="R498" i="2"/>
  <c r="S497" i="2"/>
  <c r="R499" i="2" l="1"/>
  <c r="S498" i="2"/>
  <c r="U497" i="1"/>
  <c r="T498" i="1"/>
  <c r="W497" i="1"/>
  <c r="W498" i="1" s="1"/>
  <c r="U498" i="1" l="1"/>
  <c r="T499" i="1"/>
  <c r="W499" i="1" s="1"/>
  <c r="R500" i="2"/>
  <c r="S499" i="2"/>
  <c r="R501" i="2" l="1"/>
  <c r="S500" i="2"/>
  <c r="T500" i="1"/>
  <c r="U499" i="1"/>
  <c r="R502" i="2" l="1"/>
  <c r="S501" i="2"/>
  <c r="U500" i="1"/>
  <c r="T501" i="1"/>
  <c r="W500" i="1"/>
  <c r="U501" i="1" l="1"/>
  <c r="T502" i="1"/>
  <c r="W501" i="1"/>
  <c r="R503" i="2"/>
  <c r="S502" i="2"/>
  <c r="R504" i="2" l="1"/>
  <c r="S503" i="2"/>
  <c r="W502" i="1"/>
  <c r="T503" i="1"/>
  <c r="U502" i="1"/>
  <c r="T504" i="1" l="1"/>
  <c r="U503" i="1"/>
  <c r="R505" i="2"/>
  <c r="S504" i="2"/>
  <c r="W503" i="1"/>
  <c r="U504" i="1" l="1"/>
  <c r="T505" i="1"/>
  <c r="R506" i="2"/>
  <c r="S505" i="2"/>
  <c r="W504" i="1"/>
  <c r="R507" i="2" l="1"/>
  <c r="S506" i="2"/>
  <c r="T506" i="1"/>
  <c r="U505" i="1"/>
  <c r="W505" i="1"/>
  <c r="W506" i="1" s="1"/>
  <c r="T507" i="1" l="1"/>
  <c r="W507" i="1" s="1"/>
  <c r="U506" i="1"/>
  <c r="R508" i="2"/>
  <c r="S507" i="2"/>
  <c r="R509" i="2" l="1"/>
  <c r="S508" i="2"/>
  <c r="T508" i="1"/>
  <c r="U507" i="1"/>
  <c r="T509" i="1" l="1"/>
  <c r="U508" i="1"/>
  <c r="R510" i="2"/>
  <c r="S509" i="2"/>
  <c r="W508" i="1"/>
  <c r="W509" i="1" s="1"/>
  <c r="R511" i="2" l="1"/>
  <c r="S510" i="2"/>
  <c r="T510" i="1"/>
  <c r="U509" i="1"/>
  <c r="U510" i="1" l="1"/>
  <c r="T511" i="1"/>
  <c r="W510" i="1"/>
  <c r="W511" i="1" s="1"/>
  <c r="R512" i="2"/>
  <c r="S511" i="2"/>
  <c r="R513" i="2" l="1"/>
  <c r="S512" i="2"/>
  <c r="T512" i="1"/>
  <c r="U511" i="1"/>
  <c r="T513" i="1" l="1"/>
  <c r="U512" i="1"/>
  <c r="W512" i="1"/>
  <c r="W513" i="1" s="1"/>
  <c r="R514" i="2"/>
  <c r="S513" i="2"/>
  <c r="R515" i="2" l="1"/>
  <c r="S514" i="2"/>
  <c r="U513" i="1"/>
  <c r="T514" i="1"/>
  <c r="U514" i="1" l="1"/>
  <c r="T515" i="1"/>
  <c r="W514" i="1"/>
  <c r="R516" i="2"/>
  <c r="S515" i="2"/>
  <c r="R517" i="2" l="1"/>
  <c r="S516" i="2"/>
  <c r="W515" i="1"/>
  <c r="T516" i="1"/>
  <c r="U515" i="1"/>
  <c r="U516" i="1" l="1"/>
  <c r="T517" i="1"/>
  <c r="W516" i="1"/>
  <c r="R518" i="2"/>
  <c r="S517" i="2"/>
  <c r="R519" i="2" l="1"/>
  <c r="S518" i="2"/>
  <c r="W517" i="1"/>
  <c r="U517" i="1"/>
  <c r="T518" i="1"/>
  <c r="T519" i="1" l="1"/>
  <c r="U518" i="1"/>
  <c r="W518" i="1"/>
  <c r="W519" i="1" s="1"/>
  <c r="R520" i="2"/>
  <c r="S519" i="2"/>
  <c r="R521" i="2" l="1"/>
  <c r="S520" i="2"/>
  <c r="T520" i="1"/>
  <c r="U519" i="1"/>
  <c r="U520" i="1" l="1"/>
  <c r="T521" i="1"/>
  <c r="W520" i="1"/>
  <c r="R522" i="2"/>
  <c r="S521" i="2"/>
  <c r="T522" i="1" l="1"/>
  <c r="U521" i="1"/>
  <c r="R523" i="2"/>
  <c r="S522" i="2"/>
  <c r="W521" i="1"/>
  <c r="W522" i="1" s="1"/>
  <c r="R524" i="2" l="1"/>
  <c r="S523" i="2"/>
  <c r="T523" i="1"/>
  <c r="U522" i="1"/>
  <c r="T524" i="1" l="1"/>
  <c r="U523" i="1"/>
  <c r="W523" i="1"/>
  <c r="W524" i="1" s="1"/>
  <c r="R525" i="2"/>
  <c r="S524" i="2"/>
  <c r="R526" i="2" l="1"/>
  <c r="S525" i="2"/>
  <c r="T525" i="1"/>
  <c r="U524" i="1"/>
  <c r="T526" i="1" l="1"/>
  <c r="U525" i="1"/>
  <c r="W525" i="1"/>
  <c r="W526" i="1" s="1"/>
  <c r="R527" i="2"/>
  <c r="S526" i="2"/>
  <c r="R528" i="2" l="1"/>
  <c r="S527" i="2"/>
  <c r="U526" i="1"/>
  <c r="T527" i="1"/>
  <c r="T528" i="1" l="1"/>
  <c r="U527" i="1"/>
  <c r="W527" i="1"/>
  <c r="R529" i="2"/>
  <c r="S528" i="2"/>
  <c r="R530" i="2" l="1"/>
  <c r="S529" i="2"/>
  <c r="W528" i="1"/>
  <c r="W529" i="1" s="1"/>
  <c r="T529" i="1"/>
  <c r="U528" i="1"/>
  <c r="U529" i="1" l="1"/>
  <c r="T530" i="1"/>
  <c r="W530" i="1" s="1"/>
  <c r="R531" i="2"/>
  <c r="S530" i="2"/>
  <c r="R532" i="2" l="1"/>
  <c r="S531" i="2"/>
  <c r="T531" i="1"/>
  <c r="U530" i="1"/>
  <c r="T532" i="1" l="1"/>
  <c r="U531" i="1"/>
  <c r="R533" i="2"/>
  <c r="S532" i="2"/>
  <c r="W531" i="1"/>
  <c r="W532" i="1" s="1"/>
  <c r="S533" i="2" l="1"/>
  <c r="R534" i="2"/>
  <c r="U532" i="1"/>
  <c r="T533" i="1"/>
  <c r="T534" i="1" l="1"/>
  <c r="U533" i="1"/>
  <c r="W533" i="1"/>
  <c r="W534" i="1" s="1"/>
  <c r="S534" i="2"/>
  <c r="R535" i="2"/>
  <c r="S535" i="2" l="1"/>
  <c r="R536" i="2"/>
  <c r="T535" i="1"/>
  <c r="U534" i="1"/>
  <c r="S536" i="2" l="1"/>
  <c r="R537" i="2"/>
  <c r="T536" i="1"/>
  <c r="U535" i="1"/>
  <c r="W535" i="1"/>
  <c r="W536" i="1" s="1"/>
  <c r="T537" i="1" l="1"/>
  <c r="U536" i="1"/>
  <c r="S537" i="2"/>
  <c r="R538" i="2"/>
  <c r="T538" i="1" l="1"/>
  <c r="U537" i="1"/>
  <c r="S538" i="2"/>
  <c r="R539" i="2"/>
  <c r="W537" i="1"/>
  <c r="W538" i="1" s="1"/>
  <c r="S539" i="2" l="1"/>
  <c r="R540" i="2"/>
  <c r="U538" i="1"/>
  <c r="T539" i="1"/>
  <c r="T540" i="1" l="1"/>
  <c r="U539" i="1"/>
  <c r="W539" i="1"/>
  <c r="S540" i="2"/>
  <c r="R541" i="2"/>
  <c r="W540" i="1" l="1"/>
  <c r="S541" i="2"/>
  <c r="R542" i="2"/>
  <c r="T541" i="1"/>
  <c r="U540" i="1"/>
  <c r="U541" i="1" l="1"/>
  <c r="T542" i="1"/>
  <c r="S542" i="2"/>
  <c r="R543" i="2"/>
  <c r="W541" i="1"/>
  <c r="W542" i="1" l="1"/>
  <c r="S543" i="2"/>
  <c r="R544" i="2"/>
  <c r="U542" i="1"/>
  <c r="T543" i="1"/>
  <c r="T544" i="1" l="1"/>
  <c r="U543" i="1"/>
  <c r="S544" i="2"/>
  <c r="R545" i="2"/>
  <c r="W543" i="1"/>
  <c r="W544" i="1" s="1"/>
  <c r="S545" i="2" l="1"/>
  <c r="R546" i="2"/>
  <c r="U544" i="1"/>
  <c r="T545" i="1"/>
  <c r="W545" i="1" s="1"/>
  <c r="S546" i="2" l="1"/>
  <c r="R547" i="2"/>
  <c r="U545" i="1"/>
  <c r="T546" i="1"/>
  <c r="S547" i="2" l="1"/>
  <c r="R548" i="2"/>
  <c r="T547" i="1"/>
  <c r="U546" i="1"/>
  <c r="W546" i="1"/>
  <c r="W547" i="1" s="1"/>
  <c r="T548" i="1" l="1"/>
  <c r="U547" i="1"/>
  <c r="S548" i="2"/>
  <c r="R549" i="2"/>
  <c r="U548" i="1" l="1"/>
  <c r="T549" i="1"/>
  <c r="S549" i="2"/>
  <c r="R550" i="2"/>
  <c r="W548" i="1"/>
  <c r="W549" i="1" s="1"/>
  <c r="S550" i="2" l="1"/>
  <c r="R551" i="2"/>
  <c r="T550" i="1"/>
  <c r="U549" i="1"/>
  <c r="T551" i="1" l="1"/>
  <c r="U550" i="1"/>
  <c r="S551" i="2"/>
  <c r="R552" i="2"/>
  <c r="W550" i="1"/>
  <c r="W551" i="1" s="1"/>
  <c r="S552" i="2" l="1"/>
  <c r="R553" i="2"/>
  <c r="T552" i="1"/>
  <c r="U551" i="1"/>
  <c r="T553" i="1" l="1"/>
  <c r="U552" i="1"/>
  <c r="S553" i="2"/>
  <c r="R554" i="2"/>
  <c r="W552" i="1"/>
  <c r="S554" i="2" l="1"/>
  <c r="R555" i="2"/>
  <c r="W553" i="1"/>
  <c r="T554" i="1"/>
  <c r="U553" i="1"/>
  <c r="U554" i="1" l="1"/>
  <c r="T555" i="1"/>
  <c r="W554" i="1"/>
  <c r="W555" i="1" s="1"/>
  <c r="S555" i="2"/>
  <c r="R556" i="2"/>
  <c r="T556" i="1" l="1"/>
  <c r="U555" i="1"/>
  <c r="S556" i="2"/>
  <c r="R557" i="2"/>
  <c r="T557" i="1" l="1"/>
  <c r="U556" i="1"/>
  <c r="S557" i="2"/>
  <c r="R558" i="2"/>
  <c r="W556" i="1"/>
  <c r="W557" i="1" s="1"/>
  <c r="S558" i="2" l="1"/>
  <c r="R559" i="2"/>
  <c r="U557" i="1"/>
  <c r="T558" i="1"/>
  <c r="S559" i="2" l="1"/>
  <c r="R560" i="2"/>
  <c r="U558" i="1"/>
  <c r="T559" i="1"/>
  <c r="W558" i="1"/>
  <c r="T560" i="1" l="1"/>
  <c r="U559" i="1"/>
  <c r="S560" i="2"/>
  <c r="R561" i="2"/>
  <c r="W559" i="1"/>
  <c r="W560" i="1" s="1"/>
  <c r="S561" i="2" l="1"/>
  <c r="R562" i="2"/>
  <c r="U560" i="1"/>
  <c r="T561" i="1"/>
  <c r="W561" i="1" s="1"/>
  <c r="S562" i="2" l="1"/>
  <c r="R563" i="2"/>
  <c r="U561" i="1"/>
  <c r="T562" i="1"/>
  <c r="T563" i="1" l="1"/>
  <c r="U562" i="1"/>
  <c r="S563" i="2"/>
  <c r="R564" i="2"/>
  <c r="W562" i="1"/>
  <c r="W563" i="1" s="1"/>
  <c r="S564" i="2" l="1"/>
  <c r="R565" i="2"/>
  <c r="T564" i="1"/>
  <c r="W564" i="1" s="1"/>
  <c r="U563" i="1"/>
  <c r="U564" i="1" l="1"/>
  <c r="T565" i="1"/>
  <c r="S565" i="2"/>
  <c r="R566" i="2"/>
  <c r="T566" i="1" l="1"/>
  <c r="U565" i="1"/>
  <c r="S566" i="2"/>
  <c r="R567" i="2"/>
  <c r="W565" i="1"/>
  <c r="W566" i="1" s="1"/>
  <c r="S567" i="2" l="1"/>
  <c r="R568" i="2"/>
  <c r="T567" i="1"/>
  <c r="U566" i="1"/>
  <c r="W567" i="1"/>
  <c r="T568" i="1" l="1"/>
  <c r="W568" i="1" s="1"/>
  <c r="U567" i="1"/>
  <c r="S568" i="2"/>
  <c r="R569" i="2"/>
  <c r="W569" i="1" l="1"/>
  <c r="S569" i="2"/>
  <c r="R570" i="2"/>
  <c r="T569" i="1"/>
  <c r="U568" i="1"/>
  <c r="T570" i="1" l="1"/>
  <c r="U569" i="1"/>
  <c r="S570" i="2"/>
  <c r="R571" i="2"/>
  <c r="W570" i="1"/>
  <c r="S571" i="2" l="1"/>
  <c r="R572" i="2"/>
  <c r="U570" i="1"/>
  <c r="T571" i="1"/>
  <c r="W571" i="1" s="1"/>
  <c r="T572" i="1" l="1"/>
  <c r="U571" i="1"/>
  <c r="S572" i="2"/>
  <c r="R573" i="2"/>
  <c r="T573" i="1" l="1"/>
  <c r="U572" i="1"/>
  <c r="S573" i="2"/>
  <c r="R574" i="2"/>
  <c r="W572" i="1"/>
  <c r="W573" i="1" l="1"/>
  <c r="S574" i="2"/>
  <c r="R575" i="2"/>
  <c r="U573" i="1"/>
  <c r="T574" i="1"/>
  <c r="U574" i="1" l="1"/>
  <c r="T575" i="1"/>
  <c r="S575" i="2"/>
  <c r="R576" i="2"/>
  <c r="W574" i="1"/>
  <c r="S576" i="2" l="1"/>
  <c r="R577" i="2"/>
  <c r="T576" i="1"/>
  <c r="U575" i="1"/>
  <c r="W575" i="1"/>
  <c r="W576" i="1" s="1"/>
  <c r="U576" i="1" l="1"/>
  <c r="T577" i="1"/>
  <c r="S577" i="2"/>
  <c r="R578" i="2"/>
  <c r="S578" i="2" l="1"/>
  <c r="R579" i="2"/>
  <c r="U577" i="1"/>
  <c r="T578" i="1"/>
  <c r="W577" i="1"/>
  <c r="T579" i="1" l="1"/>
  <c r="U578" i="1"/>
  <c r="S579" i="2"/>
  <c r="R580" i="2"/>
  <c r="W578" i="1"/>
  <c r="W579" i="1" l="1"/>
  <c r="W580" i="1" s="1"/>
  <c r="S580" i="2"/>
  <c r="R581" i="2"/>
  <c r="T580" i="1"/>
  <c r="U579" i="1"/>
  <c r="U580" i="1" l="1"/>
  <c r="T581" i="1"/>
  <c r="S581" i="2"/>
  <c r="R582" i="2"/>
  <c r="S582" i="2" l="1"/>
  <c r="R583" i="2"/>
  <c r="T582" i="1"/>
  <c r="U581" i="1"/>
  <c r="W581" i="1"/>
  <c r="T583" i="1" l="1"/>
  <c r="U582" i="1"/>
  <c r="S583" i="2"/>
  <c r="R584" i="2"/>
  <c r="W582" i="1"/>
  <c r="W583" i="1" s="1"/>
  <c r="S584" i="2" l="1"/>
  <c r="R585" i="2"/>
  <c r="T584" i="1"/>
  <c r="U583" i="1"/>
  <c r="T585" i="1" l="1"/>
  <c r="U584" i="1"/>
  <c r="W584" i="1"/>
  <c r="W585" i="1" s="1"/>
  <c r="S585" i="2"/>
  <c r="R586" i="2"/>
  <c r="S586" i="2" l="1"/>
  <c r="R587" i="2"/>
  <c r="T586" i="1"/>
  <c r="U585" i="1"/>
  <c r="U586" i="1" l="1"/>
  <c r="T587" i="1"/>
  <c r="S587" i="2"/>
  <c r="R588" i="2"/>
  <c r="W586" i="1"/>
  <c r="S588" i="2" l="1"/>
  <c r="R589" i="2"/>
  <c r="T588" i="1"/>
  <c r="U587" i="1"/>
  <c r="W587" i="1"/>
  <c r="T589" i="1" l="1"/>
  <c r="U588" i="1"/>
  <c r="S589" i="2"/>
  <c r="R590" i="2"/>
  <c r="W588" i="1"/>
  <c r="W589" i="1" s="1"/>
  <c r="S590" i="2" l="1"/>
  <c r="R591" i="2"/>
  <c r="U589" i="1"/>
  <c r="T590" i="1"/>
  <c r="W590" i="1" s="1"/>
  <c r="S591" i="2" l="1"/>
  <c r="R592" i="2"/>
  <c r="U590" i="1"/>
  <c r="T591" i="1"/>
  <c r="S592" i="2" l="1"/>
  <c r="R593" i="2"/>
  <c r="T592" i="1"/>
  <c r="U591" i="1"/>
  <c r="W591" i="1"/>
  <c r="U592" i="1" l="1"/>
  <c r="T593" i="1"/>
  <c r="S593" i="2"/>
  <c r="R594" i="2"/>
  <c r="W592" i="1"/>
  <c r="W593" i="1" s="1"/>
  <c r="S594" i="2" l="1"/>
  <c r="R595" i="2"/>
  <c r="U593" i="1"/>
  <c r="T594" i="1"/>
  <c r="T595" i="1" l="1"/>
  <c r="U594" i="1"/>
  <c r="W594" i="1"/>
  <c r="S595" i="2"/>
  <c r="R596" i="2"/>
  <c r="S596" i="2" l="1"/>
  <c r="R597" i="2"/>
  <c r="W595" i="1"/>
  <c r="T596" i="1"/>
  <c r="U595" i="1"/>
  <c r="U596" i="1" l="1"/>
  <c r="T597" i="1"/>
  <c r="W596" i="1"/>
  <c r="S597" i="2"/>
  <c r="R598" i="2"/>
  <c r="S598" i="2" l="1"/>
  <c r="R599" i="2"/>
  <c r="W597" i="1"/>
  <c r="T598" i="1"/>
  <c r="U597" i="1"/>
  <c r="T599" i="1" l="1"/>
  <c r="U598" i="1"/>
  <c r="W598" i="1"/>
  <c r="W599" i="1" s="1"/>
  <c r="S599" i="2"/>
  <c r="R600" i="2"/>
  <c r="S600" i="2" l="1"/>
  <c r="R601" i="2"/>
  <c r="T600" i="1"/>
  <c r="U599" i="1"/>
  <c r="T601" i="1" l="1"/>
  <c r="U600" i="1"/>
  <c r="S601" i="2"/>
  <c r="R602" i="2"/>
  <c r="W600" i="1"/>
  <c r="W601" i="1" s="1"/>
  <c r="S602" i="2" l="1"/>
  <c r="R603" i="2"/>
  <c r="T602" i="1"/>
  <c r="U601" i="1"/>
  <c r="U602" i="1" l="1"/>
  <c r="T603" i="1"/>
  <c r="W602" i="1"/>
  <c r="S603" i="2"/>
  <c r="R604" i="2"/>
  <c r="W603" i="1" l="1"/>
  <c r="T604" i="1"/>
  <c r="U603" i="1"/>
  <c r="S604" i="2"/>
  <c r="R605" i="2"/>
  <c r="S605" i="2" l="1"/>
  <c r="R606" i="2"/>
  <c r="T605" i="1"/>
  <c r="U604" i="1"/>
  <c r="W604" i="1"/>
  <c r="W605" i="1" s="1"/>
  <c r="U605" i="1" l="1"/>
  <c r="T606" i="1"/>
  <c r="W606" i="1" s="1"/>
  <c r="S606" i="2"/>
  <c r="R607" i="2"/>
  <c r="S607" i="2" l="1"/>
  <c r="R608" i="2"/>
  <c r="U606" i="1"/>
  <c r="T607" i="1"/>
  <c r="S608" i="2" l="1"/>
  <c r="R609" i="2"/>
  <c r="T608" i="1"/>
  <c r="U607" i="1"/>
  <c r="W607" i="1"/>
  <c r="W608" i="1" s="1"/>
  <c r="U608" i="1" l="1"/>
  <c r="T609" i="1"/>
  <c r="S609" i="2"/>
  <c r="R610" i="2"/>
  <c r="W609" i="1"/>
  <c r="S610" i="2" l="1"/>
  <c r="R611" i="2"/>
  <c r="U609" i="1"/>
  <c r="T610" i="1"/>
  <c r="S611" i="2" l="1"/>
  <c r="R612" i="2"/>
  <c r="T611" i="1"/>
  <c r="U610" i="1"/>
  <c r="W610" i="1"/>
  <c r="W611" i="1" s="1"/>
  <c r="T612" i="1" l="1"/>
  <c r="U611" i="1"/>
  <c r="S612" i="2"/>
  <c r="R613" i="2"/>
  <c r="W612" i="1"/>
  <c r="S613" i="2" l="1"/>
  <c r="R614" i="2"/>
  <c r="U612" i="1"/>
  <c r="T613" i="1"/>
  <c r="W613" i="1" s="1"/>
  <c r="S614" i="2" l="1"/>
  <c r="R615" i="2"/>
  <c r="T614" i="1"/>
  <c r="U613" i="1"/>
  <c r="S615" i="2" l="1"/>
  <c r="R616" i="2"/>
  <c r="T615" i="1"/>
  <c r="U614" i="1"/>
  <c r="W614" i="1"/>
  <c r="T616" i="1" l="1"/>
  <c r="U615" i="1"/>
  <c r="W615" i="1"/>
  <c r="W616" i="1" s="1"/>
  <c r="S616" i="2"/>
  <c r="R617" i="2"/>
  <c r="S617" i="2" l="1"/>
  <c r="R618" i="2"/>
  <c r="T617" i="1"/>
  <c r="U616" i="1"/>
  <c r="S618" i="2" l="1"/>
  <c r="R619" i="2"/>
  <c r="T618" i="1"/>
  <c r="U617" i="1"/>
  <c r="W617" i="1"/>
  <c r="U618" i="1" l="1"/>
  <c r="T619" i="1"/>
  <c r="S619" i="2"/>
  <c r="R620" i="2"/>
  <c r="W618" i="1"/>
  <c r="S620" i="2" l="1"/>
  <c r="R621" i="2"/>
  <c r="T620" i="1"/>
  <c r="U619" i="1"/>
  <c r="W619" i="1"/>
  <c r="W620" i="1" s="1"/>
  <c r="T621" i="1" l="1"/>
  <c r="W621" i="1" s="1"/>
  <c r="U620" i="1"/>
  <c r="S621" i="2"/>
  <c r="R622" i="2"/>
  <c r="S622" i="2" l="1"/>
  <c r="R623" i="2"/>
  <c r="U621" i="1"/>
  <c r="T622" i="1"/>
  <c r="U622" i="1" l="1"/>
  <c r="T623" i="1"/>
  <c r="W622" i="1"/>
  <c r="S623" i="2"/>
  <c r="R624" i="2"/>
  <c r="S624" i="2" l="1"/>
  <c r="R625" i="2"/>
  <c r="W623" i="1"/>
  <c r="T624" i="1"/>
  <c r="U623" i="1"/>
  <c r="U624" i="1" l="1"/>
  <c r="T625" i="1"/>
  <c r="W624" i="1"/>
  <c r="S625" i="2"/>
  <c r="R626" i="2"/>
  <c r="U625" i="1" l="1"/>
  <c r="T626" i="1"/>
  <c r="S626" i="2"/>
  <c r="R627" i="2"/>
  <c r="W625" i="1"/>
  <c r="S627" i="2" l="1"/>
  <c r="R628" i="2"/>
  <c r="T627" i="1"/>
  <c r="U626" i="1"/>
  <c r="W626" i="1"/>
  <c r="W627" i="1" s="1"/>
  <c r="T628" i="1" l="1"/>
  <c r="W628" i="1" s="1"/>
  <c r="U627" i="1"/>
  <c r="S628" i="2"/>
  <c r="R629" i="2"/>
  <c r="S629" i="2" l="1"/>
  <c r="R630" i="2"/>
  <c r="U628" i="1"/>
  <c r="T629" i="1"/>
  <c r="S630" i="2" l="1"/>
  <c r="R631" i="2"/>
  <c r="T630" i="1"/>
  <c r="U629" i="1"/>
  <c r="W629" i="1"/>
  <c r="T631" i="1" l="1"/>
  <c r="U630" i="1"/>
  <c r="S631" i="2"/>
  <c r="R632" i="2"/>
  <c r="W630" i="1"/>
  <c r="W631" i="1" l="1"/>
  <c r="S632" i="2"/>
  <c r="R633" i="2"/>
  <c r="T632" i="1"/>
  <c r="U631" i="1"/>
  <c r="T633" i="1" l="1"/>
  <c r="U632" i="1"/>
  <c r="S633" i="2"/>
  <c r="R634" i="2"/>
  <c r="W632" i="1"/>
  <c r="W633" i="1" s="1"/>
  <c r="S634" i="2" l="1"/>
  <c r="R635" i="2"/>
  <c r="T634" i="1"/>
  <c r="W634" i="1" s="1"/>
  <c r="U633" i="1"/>
  <c r="U634" i="1" l="1"/>
  <c r="T635" i="1"/>
  <c r="S635" i="2"/>
  <c r="R636" i="2"/>
  <c r="T636" i="1" l="1"/>
  <c r="U635" i="1"/>
  <c r="S636" i="2"/>
  <c r="R637" i="2"/>
  <c r="W635" i="1"/>
  <c r="W636" i="1" s="1"/>
  <c r="S637" i="2" l="1"/>
  <c r="R638" i="2"/>
  <c r="T637" i="1"/>
  <c r="U636" i="1"/>
  <c r="U637" i="1" l="1"/>
  <c r="T638" i="1"/>
  <c r="W637" i="1"/>
  <c r="W638" i="1" s="1"/>
  <c r="S638" i="2"/>
  <c r="R639" i="2"/>
  <c r="U638" i="1" l="1"/>
  <c r="T639" i="1"/>
  <c r="S639" i="2"/>
  <c r="R640" i="2"/>
  <c r="T640" i="1" l="1"/>
  <c r="U639" i="1"/>
  <c r="S640" i="2"/>
  <c r="R641" i="2"/>
  <c r="W639" i="1"/>
  <c r="W640" i="1" s="1"/>
  <c r="S641" i="2" l="1"/>
  <c r="R642" i="2"/>
  <c r="U640" i="1"/>
  <c r="T641" i="1"/>
  <c r="W641" i="1" s="1"/>
  <c r="U641" i="1" l="1"/>
  <c r="T642" i="1"/>
  <c r="S642" i="2"/>
  <c r="R643" i="2"/>
  <c r="T643" i="1" l="1"/>
  <c r="U642" i="1"/>
  <c r="S643" i="2"/>
  <c r="R644" i="2"/>
  <c r="W642" i="1"/>
  <c r="W643" i="1" s="1"/>
  <c r="S644" i="2" l="1"/>
  <c r="R645" i="2"/>
  <c r="T644" i="1"/>
  <c r="U643" i="1"/>
  <c r="U644" i="1" l="1"/>
  <c r="T645" i="1"/>
  <c r="W644" i="1"/>
  <c r="S645" i="2"/>
  <c r="R646" i="2"/>
  <c r="S646" i="2" l="1"/>
  <c r="R647" i="2"/>
  <c r="W645" i="1"/>
  <c r="T646" i="1"/>
  <c r="U645" i="1"/>
  <c r="T647" i="1" l="1"/>
  <c r="U646" i="1"/>
  <c r="W646" i="1"/>
  <c r="W647" i="1" s="1"/>
  <c r="S647" i="2"/>
  <c r="R648" i="2"/>
  <c r="S648" i="2" l="1"/>
  <c r="R649" i="2"/>
  <c r="T648" i="1"/>
  <c r="U647" i="1"/>
  <c r="T649" i="1" l="1"/>
  <c r="U648" i="1"/>
  <c r="S649" i="2"/>
  <c r="R650" i="2"/>
  <c r="W648" i="1"/>
  <c r="W649" i="1" s="1"/>
  <c r="S650" i="2" l="1"/>
  <c r="R651" i="2"/>
  <c r="T650" i="1"/>
  <c r="U649" i="1"/>
  <c r="U650" i="1" l="1"/>
  <c r="T651" i="1"/>
  <c r="W650" i="1"/>
  <c r="S651" i="2"/>
  <c r="R652" i="2"/>
  <c r="W651" i="1" l="1"/>
  <c r="W652" i="1" s="1"/>
  <c r="T652" i="1"/>
  <c r="U651" i="1"/>
  <c r="S652" i="2"/>
  <c r="R653" i="2"/>
  <c r="S653" i="2" l="1"/>
  <c r="R654" i="2"/>
  <c r="T653" i="1"/>
  <c r="U652" i="1"/>
  <c r="U653" i="1" l="1"/>
  <c r="T654" i="1"/>
  <c r="S654" i="2"/>
  <c r="R655" i="2"/>
  <c r="W653" i="1"/>
  <c r="S655" i="2" l="1"/>
  <c r="R656" i="2"/>
  <c r="U654" i="1"/>
  <c r="T655" i="1"/>
  <c r="W654" i="1"/>
  <c r="W655" i="1" s="1"/>
  <c r="T656" i="1" l="1"/>
  <c r="W656" i="1" s="1"/>
  <c r="U655" i="1"/>
  <c r="S656" i="2"/>
  <c r="R657" i="2"/>
  <c r="S657" i="2" l="1"/>
  <c r="R658" i="2"/>
  <c r="U656" i="1"/>
  <c r="T657" i="1"/>
  <c r="S658" i="2" l="1"/>
  <c r="R659" i="2"/>
  <c r="U657" i="1"/>
  <c r="T658" i="1"/>
  <c r="W657" i="1"/>
  <c r="W658" i="1" s="1"/>
  <c r="T659" i="1" l="1"/>
  <c r="U658" i="1"/>
  <c r="S659" i="2"/>
  <c r="R660" i="2"/>
  <c r="W659" i="1"/>
  <c r="S660" i="2" l="1"/>
  <c r="R661" i="2"/>
  <c r="T660" i="1"/>
  <c r="U659" i="1"/>
  <c r="U660" i="1" l="1"/>
  <c r="T661" i="1"/>
  <c r="W660" i="1"/>
  <c r="S661" i="2"/>
  <c r="R662" i="2"/>
  <c r="S662" i="2" l="1"/>
  <c r="R663" i="2"/>
  <c r="W661" i="1"/>
  <c r="T662" i="1"/>
  <c r="U661" i="1"/>
  <c r="T663" i="1" l="1"/>
  <c r="U662" i="1"/>
  <c r="W662" i="1"/>
  <c r="W663" i="1" s="1"/>
  <c r="S663" i="2"/>
  <c r="R664" i="2"/>
  <c r="S664" i="2" l="1"/>
  <c r="R665" i="2"/>
  <c r="T664" i="1"/>
  <c r="U663" i="1"/>
  <c r="S665" i="2" l="1"/>
  <c r="R666" i="2"/>
  <c r="T665" i="1"/>
  <c r="U664" i="1"/>
  <c r="W664" i="1"/>
  <c r="T666" i="1" l="1"/>
  <c r="U665" i="1"/>
  <c r="S666" i="2"/>
  <c r="R667" i="2"/>
  <c r="W665" i="1"/>
  <c r="W666" i="1" s="1"/>
  <c r="S667" i="2" l="1"/>
  <c r="R668" i="2"/>
  <c r="W667" i="1"/>
  <c r="U666" i="1"/>
  <c r="T667" i="1"/>
  <c r="S668" i="2" l="1"/>
  <c r="R669" i="2"/>
  <c r="T668" i="1"/>
  <c r="U667" i="1"/>
  <c r="T669" i="1" l="1"/>
  <c r="U668" i="1"/>
  <c r="W668" i="1"/>
  <c r="W669" i="1" s="1"/>
  <c r="S669" i="2"/>
  <c r="R670" i="2"/>
  <c r="S670" i="2" l="1"/>
  <c r="R671" i="2"/>
  <c r="U669" i="1"/>
  <c r="T670" i="1"/>
  <c r="S671" i="2" l="1"/>
  <c r="R672" i="2"/>
  <c r="U670" i="1"/>
  <c r="T671" i="1"/>
  <c r="W670" i="1"/>
  <c r="T672" i="1" l="1"/>
  <c r="U671" i="1"/>
  <c r="S672" i="2"/>
  <c r="R673" i="2"/>
  <c r="W671" i="1"/>
  <c r="W672" i="1" s="1"/>
  <c r="S673" i="2" l="1"/>
  <c r="R674" i="2"/>
  <c r="U672" i="1"/>
  <c r="T673" i="1"/>
  <c r="U673" i="1" l="1"/>
  <c r="T674" i="1"/>
  <c r="W673" i="1"/>
  <c r="S674" i="2"/>
  <c r="R675" i="2"/>
  <c r="S675" i="2" l="1"/>
  <c r="R676" i="2"/>
  <c r="W674" i="1"/>
  <c r="T675" i="1"/>
  <c r="U674" i="1"/>
  <c r="T676" i="1" l="1"/>
  <c r="U675" i="1"/>
  <c r="W675" i="1"/>
  <c r="W676" i="1" s="1"/>
  <c r="S676" i="2"/>
  <c r="R677" i="2"/>
  <c r="S677" i="2" l="1"/>
  <c r="R678" i="2"/>
  <c r="U676" i="1"/>
  <c r="T677" i="1"/>
  <c r="S678" i="2" l="1"/>
  <c r="R679" i="2"/>
  <c r="T678" i="1"/>
  <c r="U677" i="1"/>
  <c r="W677" i="1"/>
  <c r="W678" i="1" s="1"/>
  <c r="T679" i="1" l="1"/>
  <c r="W679" i="1" s="1"/>
  <c r="U678" i="1"/>
  <c r="S679" i="2"/>
  <c r="R680" i="2"/>
  <c r="S680" i="2" l="1"/>
  <c r="R681" i="2"/>
  <c r="T680" i="1"/>
  <c r="U679" i="1"/>
  <c r="T681" i="1" l="1"/>
  <c r="U680" i="1"/>
  <c r="S681" i="2"/>
  <c r="R682" i="2"/>
  <c r="W680" i="1"/>
  <c r="W681" i="1" s="1"/>
  <c r="S682" i="2" l="1"/>
  <c r="R683" i="2"/>
  <c r="T682" i="1"/>
  <c r="U681" i="1"/>
  <c r="U682" i="1" l="1"/>
  <c r="T683" i="1"/>
  <c r="W682" i="1"/>
  <c r="W683" i="1" s="1"/>
  <c r="S683" i="2"/>
  <c r="R684" i="2"/>
  <c r="T684" i="1" l="1"/>
  <c r="U683" i="1"/>
  <c r="S684" i="2"/>
  <c r="R685" i="2"/>
  <c r="T685" i="1" l="1"/>
  <c r="U684" i="1"/>
  <c r="S685" i="2"/>
  <c r="R686" i="2"/>
  <c r="W684" i="1"/>
  <c r="W685" i="1" s="1"/>
  <c r="S686" i="2" l="1"/>
  <c r="R687" i="2"/>
  <c r="T686" i="1"/>
  <c r="U685" i="1"/>
  <c r="T687" i="1" l="1"/>
  <c r="U686" i="1"/>
  <c r="W686" i="1"/>
  <c r="W687" i="1" s="1"/>
  <c r="S687" i="2"/>
  <c r="R688" i="2"/>
  <c r="S688" i="2" l="1"/>
  <c r="R689" i="2"/>
  <c r="T688" i="1"/>
  <c r="U687" i="1"/>
  <c r="T689" i="1" l="1"/>
  <c r="U688" i="1"/>
  <c r="S689" i="2"/>
  <c r="R690" i="2"/>
  <c r="W688" i="1"/>
  <c r="W689" i="1" s="1"/>
  <c r="S690" i="2" l="1"/>
  <c r="R691" i="2"/>
  <c r="T690" i="1"/>
  <c r="U689" i="1"/>
  <c r="T691" i="1" l="1"/>
  <c r="U690" i="1"/>
  <c r="W690" i="1"/>
  <c r="S691" i="2"/>
  <c r="R692" i="2"/>
  <c r="S692" i="2" l="1"/>
  <c r="R693" i="2"/>
  <c r="W691" i="1"/>
  <c r="T692" i="1"/>
  <c r="U691" i="1"/>
  <c r="W692" i="1" l="1"/>
  <c r="W693" i="1" s="1"/>
  <c r="T693" i="1"/>
  <c r="U692" i="1"/>
  <c r="S693" i="2"/>
  <c r="R694" i="2"/>
  <c r="S694" i="2" l="1"/>
  <c r="R695" i="2"/>
  <c r="T694" i="1"/>
  <c r="U693" i="1"/>
  <c r="W694" i="1"/>
  <c r="U694" i="1" l="1"/>
  <c r="T695" i="1"/>
  <c r="S695" i="2"/>
  <c r="R696" i="2"/>
  <c r="W695" i="1"/>
  <c r="S696" i="2" l="1"/>
  <c r="R697" i="2"/>
  <c r="T696" i="1"/>
  <c r="U695" i="1"/>
  <c r="T697" i="1" l="1"/>
  <c r="U696" i="1"/>
  <c r="S697" i="2"/>
  <c r="R698" i="2"/>
  <c r="W696" i="1"/>
  <c r="W697" i="1" s="1"/>
  <c r="S698" i="2" l="1"/>
  <c r="R699" i="2"/>
  <c r="T698" i="1"/>
  <c r="U697" i="1"/>
  <c r="T699" i="1" l="1"/>
  <c r="U698" i="1"/>
  <c r="W698" i="1"/>
  <c r="S699" i="2"/>
  <c r="R700" i="2"/>
  <c r="T700" i="1" l="1"/>
  <c r="U699" i="1"/>
  <c r="W699" i="1"/>
  <c r="S700" i="2"/>
  <c r="R701" i="2"/>
  <c r="S701" i="2" l="1"/>
  <c r="R702" i="2"/>
  <c r="W700" i="1"/>
  <c r="T701" i="1"/>
  <c r="U700" i="1"/>
  <c r="T702" i="1" l="1"/>
  <c r="U701" i="1"/>
  <c r="W701" i="1"/>
  <c r="S702" i="2"/>
  <c r="R703" i="2"/>
  <c r="W702" i="1" l="1"/>
  <c r="W703" i="1" s="1"/>
  <c r="S703" i="2"/>
  <c r="R704" i="2"/>
  <c r="T703" i="1"/>
  <c r="U702" i="1"/>
  <c r="T704" i="1" l="1"/>
  <c r="U703" i="1"/>
  <c r="S704" i="2"/>
  <c r="R705" i="2"/>
  <c r="W704" i="1"/>
  <c r="S705" i="2" l="1"/>
  <c r="R706" i="2"/>
  <c r="W705" i="1"/>
  <c r="T705" i="1"/>
  <c r="U704" i="1"/>
  <c r="T706" i="1" l="1"/>
  <c r="W706" i="1" s="1"/>
  <c r="U705" i="1"/>
  <c r="S706" i="2"/>
  <c r="R707" i="2"/>
  <c r="S707" i="2" l="1"/>
  <c r="R708" i="2"/>
  <c r="T707" i="1"/>
  <c r="U706" i="1"/>
  <c r="T708" i="1" l="1"/>
  <c r="U707" i="1"/>
  <c r="S708" i="2"/>
  <c r="R709" i="2"/>
  <c r="W707" i="1"/>
  <c r="W708" i="1" s="1"/>
  <c r="S709" i="2" l="1"/>
  <c r="R710" i="2"/>
  <c r="T709" i="1"/>
  <c r="U708" i="1"/>
  <c r="T710" i="1" l="1"/>
  <c r="U709" i="1"/>
  <c r="W709" i="1"/>
  <c r="S710" i="2"/>
  <c r="R711" i="2"/>
  <c r="S711" i="2" l="1"/>
  <c r="R712" i="2"/>
  <c r="W710" i="1"/>
  <c r="T711" i="1"/>
  <c r="U710" i="1"/>
  <c r="T712" i="1" l="1"/>
  <c r="U711" i="1"/>
  <c r="W711" i="1"/>
  <c r="S712" i="2"/>
  <c r="R713" i="2"/>
  <c r="W712" i="1" l="1"/>
  <c r="S713" i="2"/>
  <c r="R714" i="2"/>
  <c r="T713" i="1"/>
  <c r="U712" i="1"/>
  <c r="T714" i="1" l="1"/>
  <c r="U713" i="1"/>
  <c r="S714" i="2"/>
  <c r="R715" i="2"/>
  <c r="W713" i="1"/>
  <c r="W714" i="1" s="1"/>
  <c r="S715" i="2" l="1"/>
  <c r="R716" i="2"/>
  <c r="T715" i="1"/>
  <c r="U714" i="1"/>
  <c r="T716" i="1" l="1"/>
  <c r="U715" i="1"/>
  <c r="W715" i="1"/>
  <c r="S716" i="2"/>
  <c r="R717" i="2"/>
  <c r="S717" i="2" l="1"/>
  <c r="R718" i="2"/>
  <c r="W716" i="1"/>
  <c r="W717" i="1" s="1"/>
  <c r="T717" i="1"/>
  <c r="U716" i="1"/>
  <c r="T718" i="1" l="1"/>
  <c r="W718" i="1" s="1"/>
  <c r="U717" i="1"/>
  <c r="S718" i="2"/>
  <c r="R719" i="2"/>
  <c r="S719" i="2" l="1"/>
  <c r="R720" i="2"/>
  <c r="T719" i="1"/>
  <c r="U718" i="1"/>
  <c r="T720" i="1" l="1"/>
  <c r="U719" i="1"/>
  <c r="S720" i="2"/>
  <c r="R721" i="2"/>
  <c r="W719" i="1"/>
  <c r="W720" i="1" s="1"/>
  <c r="S721" i="2" l="1"/>
  <c r="R722" i="2"/>
  <c r="W721" i="1"/>
  <c r="T721" i="1"/>
  <c r="U720" i="1"/>
  <c r="T722" i="1" l="1"/>
  <c r="U721" i="1"/>
  <c r="W722" i="1"/>
  <c r="S722" i="2"/>
  <c r="R723" i="2"/>
  <c r="S723" i="2" l="1"/>
  <c r="R724" i="2"/>
  <c r="T723" i="1"/>
  <c r="U722" i="1"/>
  <c r="S724" i="2" l="1"/>
  <c r="R725" i="2"/>
  <c r="S725" i="2" s="1"/>
  <c r="T724" i="1"/>
  <c r="U724" i="1" s="1"/>
  <c r="U723" i="1"/>
  <c r="W723" i="1"/>
  <c r="W724" i="1" s="1"/>
  <c r="B48" i="1" s="1"/>
  <c r="B20" i="2" l="1"/>
  <c r="B21" i="2"/>
  <c r="F58" i="1"/>
  <c r="B47" i="1"/>
  <c r="B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9" authorId="0" shapeId="0" xr:uid="{00000000-0006-0000-0000-000001000000}">
      <text>
        <r>
          <rPr>
            <sz val="10"/>
            <rFont val="Arial"/>
            <family val="2"/>
          </rPr>
          <t>Compresión/expansión de la mezcla: 1,30–1,35</t>
        </r>
      </text>
    </comment>
    <comment ref="B11" authorId="0" shapeId="0" xr:uid="{00000000-0006-0000-0000-000002000000}">
      <text>
        <r>
          <rPr>
            <sz val="10"/>
            <rFont val="Arial"/>
            <family val="2"/>
          </rPr>
          <t>Al subir las rpm, el retardo de inflamación (tiempo casi fijo) ocupa más grados: hace falta más avance</t>
        </r>
      </text>
    </comment>
    <comment ref="B12" authorId="0" shapeId="0" xr:uid="{00000000-0006-0000-0000-000003000000}">
      <text>
        <r>
          <rPr>
            <sz val="10"/>
            <rFont val="Arial"/>
            <family val="2"/>
          </rPr>
          <t>A carga parcial la mezcla es menos densa y quema más despacio: hace falta más avance</t>
        </r>
      </text>
    </comment>
    <comment ref="B13" authorId="0" shapeId="0" xr:uid="{00000000-0006-0000-0000-000004000000}">
      <text>
        <r>
          <rPr>
            <sz val="10"/>
            <rFont val="Arial"/>
            <family val="2"/>
          </rPr>
          <t>Energía del combustible por ciclo y cilindro a plena carga (descontadas pérdidas)</t>
        </r>
      </text>
    </comment>
    <comment ref="B14" authorId="0" shapeId="0" xr:uid="{00000000-0006-0000-0000-000005000000}">
      <text>
        <r>
          <rPr>
            <sz val="10"/>
            <rFont val="Arial"/>
            <family val="2"/>
          </rPr>
          <t>Tiempo entre la chispa y el inicio de la combustión apreciable</t>
        </r>
      </text>
    </comment>
    <comment ref="B15" authorId="0" shapeId="0" xr:uid="{00000000-0006-0000-0000-000006000000}">
      <text>
        <r>
          <rPr>
            <sz val="10"/>
            <rFont val="Arial"/>
            <family val="2"/>
          </rPr>
          <t>Grados de cigüeñal del 0 al 99,9 % de mezcla quemada</t>
        </r>
      </text>
    </comment>
    <comment ref="B19" authorId="0" shapeId="0" xr:uid="{00000000-0006-0000-0000-000007000000}">
      <text>
        <r>
          <rPr>
            <sz val="10"/>
            <rFont val="Arial"/>
            <family val="2"/>
          </rPr>
          <t>Ángulo antes del PMS en que salta la chispa</t>
        </r>
      </text>
    </comment>
    <comment ref="B21" authorId="0" shapeId="0" xr:uid="{00000000-0006-0000-0000-000008000000}">
      <text>
        <r>
          <rPr>
            <sz val="10"/>
            <rFont val="Arial"/>
            <family val="2"/>
          </rPr>
          <t>Un avance excesivo favorece la detonación</t>
        </r>
      </text>
    </comment>
    <comment ref="B22" authorId="0" shapeId="0" xr:uid="{00000000-0006-0000-0000-000009000000}">
      <text>
        <r>
          <rPr>
            <sz val="10"/>
            <rFont val="Arial"/>
            <family val="2"/>
          </rPr>
          <t>La mezcla aún no quemada se autoinflama de golpe</t>
        </r>
      </text>
    </comment>
    <comment ref="B24" authorId="0" shapeId="0" xr:uid="{00000000-0006-0000-0000-00000A000000}">
      <text>
        <r>
          <rPr>
            <sz val="10"/>
            <rFont val="Arial"/>
            <family val="2"/>
          </rPr>
          <t>Ondas de presión que golpean las paredes (cascabeleo)</t>
        </r>
      </text>
    </comment>
    <comment ref="B25" authorId="0" shapeId="0" xr:uid="{00000000-0006-0000-0000-00000B000000}">
      <text>
        <r>
          <rPr>
            <sz val="10"/>
            <rFont val="Arial"/>
            <family val="2"/>
          </rPr>
          <t>Frecuencia típica del golpeteo: 5–8 kHz (la que capta el sensor de detonación)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0"/>
            <rFont val="Arial"/>
            <family val="2"/>
          </rPr>
          <t>La presión máxima llega 10–15° después del PMS</t>
        </r>
      </text>
    </comment>
    <comment ref="B6" authorId="0" shapeId="0" xr:uid="{00000000-0006-0000-0100-000002000000}">
      <text>
        <r>
          <rPr>
            <sz val="10"/>
            <rFont val="Arial"/>
            <family val="2"/>
          </rPr>
          <t>Presión muy alta antes de tiempo: detonación</t>
        </r>
      </text>
    </comment>
    <comment ref="B7" authorId="0" shapeId="0" xr:uid="{00000000-0006-0000-0100-000003000000}">
      <text>
        <r>
          <rPr>
            <sz val="10"/>
            <rFont val="Arial"/>
            <family val="2"/>
          </rPr>
          <t>Negativo = la chispa salta después del PMS</t>
        </r>
      </text>
    </comment>
  </commentList>
</comments>
</file>

<file path=xl/sharedStrings.xml><?xml version="1.0" encoding="utf-8"?>
<sst xmlns="http://schemas.openxmlformats.org/spreadsheetml/2006/main" count="186" uniqueCount="140">
  <si>
    <t>Avance del encendido · Desarrollo de la presión de combustión p(α)</t>
  </si>
  <si>
    <t>Reproduce la figura 2.20: presión en el cilindro frente al ángulo del cigüeñal α, con combustión normal (1), desarrollo irregular de la combustión / detonación (2) y la curva sin combustión (arrastre). Modelo de una zona: compresión y expansión politrópicas y liberación de calor con la ley de Wiebe. Cambie solo las celdas amarillas (azul = dato). Valores orientativos con fines didácticos.</t>
  </si>
  <si>
    <t>Tabla de cálculo (paso 0,5°)</t>
  </si>
  <si>
    <t>α (°)</t>
  </si>
  <si>
    <t>V (cm³)</t>
  </si>
  <si>
    <t>x_b curva 1</t>
  </si>
  <si>
    <t>p curva 1 (bar)</t>
  </si>
  <si>
    <t>p arrastre (bar)</t>
  </si>
  <si>
    <t>x_b curva 2</t>
  </si>
  <si>
    <t>p curva 2 sin ondas (bar)</t>
  </si>
  <si>
    <t>p curva 2 (bar)</t>
  </si>
  <si>
    <t>W₁ (J)</t>
  </si>
  <si>
    <t>W₂ (J)</t>
  </si>
  <si>
    <t>Geometría del motor</t>
  </si>
  <si>
    <t>Diámetro del cilindro D</t>
  </si>
  <si>
    <t>mm</t>
  </si>
  <si>
    <t>Carrera S</t>
  </si>
  <si>
    <t>Longitud de biela L</t>
  </si>
  <si>
    <t>Relación de compresión ε</t>
  </si>
  <si>
    <t>—</t>
  </si>
  <si>
    <t>Exponente politrópico γ</t>
  </si>
  <si>
    <t>Funcionamiento</t>
  </si>
  <si>
    <t>Régimen n</t>
  </si>
  <si>
    <t>rpm</t>
  </si>
  <si>
    <t>Carga (apertura de mariposa)</t>
  </si>
  <si>
    <t>%</t>
  </si>
  <si>
    <t>Calor aportado a plena carga Q</t>
  </si>
  <si>
    <t>J</t>
  </si>
  <si>
    <t>Retardo de inflamación</t>
  </si>
  <si>
    <t>ms</t>
  </si>
  <si>
    <t>Duración de la combustión a plena carga</t>
  </si>
  <si>
    <t>°</t>
  </si>
  <si>
    <t>Parámetro de Wiebe a</t>
  </si>
  <si>
    <t>Parámetro de forma m</t>
  </si>
  <si>
    <t>Curva 1 · Combustión normal</t>
  </si>
  <si>
    <t>Avance del encendido AE (curva 1)</t>
  </si>
  <si>
    <t>° APMS</t>
  </si>
  <si>
    <t>Curva 2 · Desarrollo irregular (detonación)</t>
  </si>
  <si>
    <t>Avance del encendido AE (curva 2)</t>
  </si>
  <si>
    <t>Fracción quemada al iniciar la detonación</t>
  </si>
  <si>
    <t>Rapidez de la combustión detonante τ</t>
  </si>
  <si>
    <t>Amplitud de las oscilaciones</t>
  </si>
  <si>
    <t>bar</t>
  </si>
  <si>
    <t>Frecuencia de las oscilaciones</t>
  </si>
  <si>
    <t>kHz</t>
  </si>
  <si>
    <t>Amortiguación de las oscilaciones</t>
  </si>
  <si>
    <t>Valores calculados</t>
  </si>
  <si>
    <t>Cilindrada unitaria Vd</t>
  </si>
  <si>
    <t>cm³</t>
  </si>
  <si>
    <t>Volumen de la cámara Vc</t>
  </si>
  <si>
    <t>Radio de la manivela r</t>
  </si>
  <si>
    <t>cm</t>
  </si>
  <si>
    <t>Presión al cerrar la admisión p₀</t>
  </si>
  <si>
    <t>Calor aportado Q</t>
  </si>
  <si>
    <t>Retardo de inflamación en grados</t>
  </si>
  <si>
    <t>Duración de la combustión</t>
  </si>
  <si>
    <t>Inicio de la combustión (curva 1)</t>
  </si>
  <si>
    <t>Inicio de la combustión (curva 2)</t>
  </si>
  <si>
    <t>Ángulo de inicio de la detonación</t>
  </si>
  <si>
    <t>Periodo de las oscilaciones</t>
  </si>
  <si>
    <t>Resultados</t>
  </si>
  <si>
    <t>Presión máxima, curva 1</t>
  </si>
  <si>
    <t>Ángulo de la presión máxima, curva 1</t>
  </si>
  <si>
    <t>° DPMS</t>
  </si>
  <si>
    <t>Trabajo indicado por ciclo, curva 1</t>
  </si>
  <si>
    <t>Presión media indicada, curva 1</t>
  </si>
  <si>
    <t>Presión máxima, curva 2 (con ondas)</t>
  </si>
  <si>
    <t>Ángulo de la presión máxima, curva 2</t>
  </si>
  <si>
    <t>Trabajo indicado por ciclo, curva 2</t>
  </si>
  <si>
    <t>Presión máxima sin combustión (arrastre)</t>
  </si>
  <si>
    <t>Diagnóstico de la curva 1</t>
  </si>
  <si>
    <t>Pruebe: AE = 5° (poco avance), 30° (correcto) y 50° (excesivo). Suba n a 5000 rpm o baje la carga al 30 % y vea cómo cambia el avance óptimo en la hoja Barrido_AE.</t>
  </si>
  <si>
    <t>Marcas de la figura</t>
  </si>
  <si>
    <t>p (bar)</t>
  </si>
  <si>
    <t>Presión en la cámara con avance correcto, demasiado avanzado y demasiado retardado</t>
  </si>
  <si>
    <t>Reproduce la figura «Desarrollo de la presión en la cámara de combustión a diferente avance de encendido»: Za correcto (azul), Zb demasiado avanzado con detonación (verde) y Zc demasiado retardado (rojo). El eje horizontal es el ángulo del cigüeñal respecto del PMS: positivo = antes del PMS, negativo = después (como en la figura, de 75° a −75°). Usa la geometría, rpm y carga de la hoja Presion_cilindro.</t>
  </si>
  <si>
    <t>Datos</t>
  </si>
  <si>
    <t>α_z (° APMS)</t>
  </si>
  <si>
    <t>x_b Za</t>
  </si>
  <si>
    <t>p Za (bar)</t>
  </si>
  <si>
    <t>x_b Zb</t>
  </si>
  <si>
    <t>p Zb base (bar)</t>
  </si>
  <si>
    <t>p Zb (bar)</t>
  </si>
  <si>
    <t>x_b Zc</t>
  </si>
  <si>
    <t>p Zc (bar)</t>
  </si>
  <si>
    <t>Za · encendido correcto</t>
  </si>
  <si>
    <t>Zb · encendido demasiado avanzado</t>
  </si>
  <si>
    <t>Zc · encendido demasiado retardado</t>
  </si>
  <si>
    <t>Fracción quemada al iniciar la detonación (Zb)</t>
  </si>
  <si>
    <t>¿Hay detonación con Zb? (1 = sí, 0 = no)</t>
  </si>
  <si>
    <t>Inicio de la combustión Za</t>
  </si>
  <si>
    <t>Inicio de la combustión Zb</t>
  </si>
  <si>
    <t>Inicio de la combustión Zc</t>
  </si>
  <si>
    <t>Ángulo de inicio de la detonación (Zb)</t>
  </si>
  <si>
    <t>Presión máxima Za</t>
  </si>
  <si>
    <t>Ángulo de la presión máxima Za</t>
  </si>
  <si>
    <t>° (− = DPMS)</t>
  </si>
  <si>
    <t>Presión máxima Zb</t>
  </si>
  <si>
    <t>Ángulo de la presión máxima Zb</t>
  </si>
  <si>
    <t>Presión máxima Zc</t>
  </si>
  <si>
    <t>Ángulo de la presión máxima Zc</t>
  </si>
  <si>
    <t>Lectura: con Zc la combustión ocurre con el pistón ya bajando: poca presión y poco trabajo (el motor se calienta y pierde potencia). Con Zb la presión sube mientras el pistón aún sube: golpeteo y riesgo de dañar pistón y juntas.</t>
  </si>
  <si>
    <t>Puntos de encendido (para el gráfico)</t>
  </si>
  <si>
    <t>Punto</t>
  </si>
  <si>
    <t>α_z (°)</t>
  </si>
  <si>
    <t>Za</t>
  </si>
  <si>
    <t>Zb</t>
  </si>
  <si>
    <t>Zc</t>
  </si>
  <si>
    <t>Barrido del avance: ¿qué avance da más trabajo?</t>
  </si>
  <si>
    <t>Con los mismos datos de la hoja Presion_cilindro se calcula la curva 1 para avances de 0° a 60°. El avance que da el máximo trabajo indicado se llama avance de máximo par (MBT). Pasado ese valor, el trabajo baja y la presión máxima sigue subiendo: aparece la detonación.</t>
  </si>
  <si>
    <t>Avance AE (° APMS)</t>
  </si>
  <si>
    <t>Trabajo indicado W (J)</t>
  </si>
  <si>
    <t>Presión media indicada (bar)</t>
  </si>
  <si>
    <t>Presión máxima (bar)</t>
  </si>
  <si>
    <t>Ángulo de p máx (° DPMS)</t>
  </si>
  <si>
    <t>Avance de máximo trabajo (MBT)</t>
  </si>
  <si>
    <t>p con AE=0°</t>
  </si>
  <si>
    <t>p con AE=5°</t>
  </si>
  <si>
    <t>p con AE=10°</t>
  </si>
  <si>
    <t>p con AE=15°</t>
  </si>
  <si>
    <t>p con AE=20°</t>
  </si>
  <si>
    <t>p con AE=25°</t>
  </si>
  <si>
    <t>p con AE=30°</t>
  </si>
  <si>
    <t>p con AE=35°</t>
  </si>
  <si>
    <t>p con AE=40°</t>
  </si>
  <si>
    <t>p con AE=45°</t>
  </si>
  <si>
    <t>p con AE=50°</t>
  </si>
  <si>
    <t>p con AE=55°</t>
  </si>
  <si>
    <t>p con AE=60°</t>
  </si>
  <si>
    <t>Avance necesario según el régimen y la carga</t>
  </si>
  <si>
    <t>Regla práctica: la presión máxima debe llegar unos grados después del PMS; para ello, la mitad de la mezcla debe estar quemada hacia 8° DPMS. AE ≈ retardo de inflamación (°) + ángulo para quemar el 50 % − 8°. El retardo dura un tiempo casi fijo, así que en grados crece con las rpm; a carga parcial la mezcla quema más despacio. Por eso el sistema varía el avance entre unos 5° y 40° APMS.</t>
  </si>
  <si>
    <t>Ángulo de máxima presión deseado (50 % quemado)</t>
  </si>
  <si>
    <t>Carga →</t>
  </si>
  <si>
    <t>n (rpm)</t>
  </si>
  <si>
    <t>Retardo (°)</t>
  </si>
  <si>
    <t>AE carga 25 %</t>
  </si>
  <si>
    <t>AE carga 50 %</t>
  </si>
  <si>
    <t>AE carga 75 %</t>
  </si>
  <si>
    <t>AE carga 100 %</t>
  </si>
  <si>
    <t>El encendido mecánico lo resolvía con el avance centrífugo (rpm) y el de vacío (carga); el electrónico usa un mapa de avance en la ECU, corregido por el sensor de detonación.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</si>
</sst>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sz val="11"/>
      <color rgb="FF007578"/>
      <name val="Arial"/>
      <charset val="1"/>
    </font>
    <font>
      <sz val="10"/>
      <name val="Arial"/>
      <charset val="1"/>
    </font>
    <font>
      <b/>
      <sz val="10"/>
      <color rgb="FF0000FF"/>
      <name val="Arial"/>
      <charset val="1"/>
    </font>
    <font>
      <i/>
      <sz val="9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578"/>
        <bgColor rgb="FF1F5FB0"/>
      </patternFill>
    </fill>
    <fill>
      <patternFill patternType="solid">
        <fgColor rgb="FFFFF2A8"/>
        <bgColor rgb="FFEEEEEE"/>
      </patternFill>
    </fill>
    <fill>
      <patternFill patternType="solid">
        <fgColor rgb="FFEEEEEE"/>
        <bgColor rgb="FFDFF1E3"/>
      </patternFill>
    </fill>
    <fill>
      <patternFill patternType="solid">
        <fgColor rgb="FFDFF1E3"/>
        <bgColor rgb="FFEEEEE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8" fillId="0" borderId="0" xfId="0" applyFont="1" applyAlignment="1">
      <alignment vertical="top" wrapText="1"/>
    </xf>
    <xf numFmtId="49" fontId="3" fillId="5" borderId="1" xfId="0" applyNumberFormat="1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164" fontId="6" fillId="0" borderId="0" xfId="0" applyNumberFormat="1" applyFont="1"/>
    <xf numFmtId="165" fontId="6" fillId="0" borderId="0" xfId="0" applyNumberFormat="1" applyFont="1"/>
    <xf numFmtId="2" fontId="6" fillId="0" borderId="0" xfId="0" applyNumberFormat="1" applyFont="1"/>
    <xf numFmtId="0" fontId="6" fillId="0" borderId="0" xfId="0" applyFont="1"/>
    <xf numFmtId="1" fontId="7" fillId="3" borderId="1" xfId="0" applyNumberFormat="1" applyFont="1" applyFill="1" applyBorder="1"/>
    <xf numFmtId="2" fontId="7" fillId="3" borderId="1" xfId="0" applyNumberFormat="1" applyFont="1" applyFill="1" applyBorder="1"/>
    <xf numFmtId="9" fontId="7" fillId="3" borderId="1" xfId="0" applyNumberFormat="1" applyFont="1" applyFill="1" applyBorder="1"/>
    <xf numFmtId="164" fontId="6" fillId="4" borderId="1" xfId="0" applyNumberFormat="1" applyFont="1" applyFill="1" applyBorder="1"/>
    <xf numFmtId="2" fontId="6" fillId="4" borderId="1" xfId="0" applyNumberFormat="1" applyFont="1" applyFill="1" applyBorder="1"/>
    <xf numFmtId="1" fontId="6" fillId="4" borderId="1" xfId="0" applyNumberFormat="1" applyFont="1" applyFill="1" applyBorder="1"/>
    <xf numFmtId="164" fontId="3" fillId="5" borderId="1" xfId="0" applyNumberFormat="1" applyFont="1" applyFill="1" applyBorder="1"/>
    <xf numFmtId="2" fontId="3" fillId="5" borderId="1" xfId="0" applyNumberFormat="1" applyFont="1" applyFill="1" applyBorder="1"/>
    <xf numFmtId="0" fontId="8" fillId="0" borderId="0" xfId="0" applyFont="1"/>
    <xf numFmtId="164" fontId="0" fillId="0" borderId="0" xfId="0" applyNumberFormat="1"/>
    <xf numFmtId="1" fontId="0" fillId="0" borderId="0" xfId="0" applyNumberFormat="1"/>
    <xf numFmtId="0" fontId="7" fillId="3" borderId="0" xfId="0" applyFont="1" applyFill="1"/>
    <xf numFmtId="164" fontId="0" fillId="5" borderId="1" xfId="0" applyNumberFormat="1" applyFill="1" applyBorder="1"/>
    <xf numFmtId="2" fontId="0" fillId="5" borderId="1" xfId="0" applyNumberFormat="1" applyFill="1" applyBorder="1"/>
    <xf numFmtId="0" fontId="3" fillId="5" borderId="0" xfId="0" applyFont="1" applyFill="1"/>
    <xf numFmtId="2" fontId="0" fillId="0" borderId="0" xfId="0" applyNumberFormat="1"/>
    <xf numFmtId="9" fontId="7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02020"/>
      <rgbColor rgb="FF00FF00"/>
      <rgbColor rgb="FF0000FF"/>
      <rgbColor rgb="FFFFFF00"/>
      <rgbColor rgb="FFFF00FF"/>
      <rgbColor rgb="FF00FFFF"/>
      <rgbColor rgb="FF800000"/>
      <rgbColor rgb="FF2E9B3A"/>
      <rgbColor rgb="FF000080"/>
      <rgbColor rgb="FF6E863C"/>
      <rgbColor rgb="FF800080"/>
      <rgbColor rgb="FF007578"/>
      <rgbColor rgb="FFB0B0B0"/>
      <rgbColor rgb="FF878787"/>
      <rgbColor rgb="FFA9C37E"/>
      <rgbColor rgb="FF993366"/>
      <rgbColor rgb="FFEEEEEE"/>
      <rgbColor rgb="FFC7D6B1"/>
      <rgbColor rgb="FF660066"/>
      <rgbColor rgb="FFFF8080"/>
      <rgbColor rgb="FF1F5FB0"/>
      <rgbColor rgb="FFD9D9D9"/>
      <rgbColor rgb="FF000080"/>
      <rgbColor rgb="FFFF00FF"/>
      <rgbColor rgb="FFFFFF00"/>
      <rgbColor rgb="FF00FFFF"/>
      <rgbColor rgb="FF800080"/>
      <rgbColor rgb="FF800000"/>
      <rgbColor rgb="FF7E9945"/>
      <rgbColor rgb="FF0000FF"/>
      <rgbColor rgb="FF00CCFF"/>
      <rgbColor rgb="FFCCFFFF"/>
      <rgbColor rgb="FFDFF1E3"/>
      <rgbColor rgb="FFFFF2A8"/>
      <rgbColor rgb="FFC0D2A7"/>
      <rgbColor rgb="FFFF99CC"/>
      <rgbColor rgb="FFAEC685"/>
      <rgbColor rgb="FFD2DEC1"/>
      <rgbColor rgb="FF3366FF"/>
      <rgbColor rgb="FF8BA94D"/>
      <rgbColor rgb="FF98B855"/>
      <rgbColor rgb="FFFFCC00"/>
      <rgbColor rgb="FF8EAD4F"/>
      <rgbColor rgb="FFFF6600"/>
      <rgbColor rgb="FF789142"/>
      <rgbColor rgb="FF888888"/>
      <rgbColor rgb="FF003366"/>
      <rgbColor rgb="FF2E8B57"/>
      <rgbColor rgb="FF003300"/>
      <rgbColor rgb="FF333300"/>
      <rgbColor rgb="FFE03030"/>
      <rgbColor rgb="FF993366"/>
      <rgbColor rgb="FF1F4FB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Desarrollo de la presión de combustión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Combustión normal</c:v>
          </c:tx>
          <c:spPr>
            <a:ln w="21960">
              <a:solidFill>
                <a:srgbClr val="E0303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Presion_cilindro!$N$4:$N$724</c:f>
              <c:numCache>
                <c:formatCode>0.0</c:formatCode>
                <c:ptCount val="721"/>
                <c:pt idx="0">
                  <c:v>-180</c:v>
                </c:pt>
                <c:pt idx="1">
                  <c:v>-179.5</c:v>
                </c:pt>
                <c:pt idx="2">
                  <c:v>-179</c:v>
                </c:pt>
                <c:pt idx="3">
                  <c:v>-178.5</c:v>
                </c:pt>
                <c:pt idx="4">
                  <c:v>-178</c:v>
                </c:pt>
                <c:pt idx="5">
                  <c:v>-177.5</c:v>
                </c:pt>
                <c:pt idx="6">
                  <c:v>-177</c:v>
                </c:pt>
                <c:pt idx="7">
                  <c:v>-176.5</c:v>
                </c:pt>
                <c:pt idx="8">
                  <c:v>-176</c:v>
                </c:pt>
                <c:pt idx="9">
                  <c:v>-175.5</c:v>
                </c:pt>
                <c:pt idx="10">
                  <c:v>-175</c:v>
                </c:pt>
                <c:pt idx="11">
                  <c:v>-174.5</c:v>
                </c:pt>
                <c:pt idx="12">
                  <c:v>-174</c:v>
                </c:pt>
                <c:pt idx="13">
                  <c:v>-173.5</c:v>
                </c:pt>
                <c:pt idx="14">
                  <c:v>-173</c:v>
                </c:pt>
                <c:pt idx="15">
                  <c:v>-172.5</c:v>
                </c:pt>
                <c:pt idx="16">
                  <c:v>-172</c:v>
                </c:pt>
                <c:pt idx="17">
                  <c:v>-171.5</c:v>
                </c:pt>
                <c:pt idx="18">
                  <c:v>-171</c:v>
                </c:pt>
                <c:pt idx="19">
                  <c:v>-170.5</c:v>
                </c:pt>
                <c:pt idx="20">
                  <c:v>-170</c:v>
                </c:pt>
                <c:pt idx="21">
                  <c:v>-169.5</c:v>
                </c:pt>
                <c:pt idx="22">
                  <c:v>-169</c:v>
                </c:pt>
                <c:pt idx="23">
                  <c:v>-168.5</c:v>
                </c:pt>
                <c:pt idx="24">
                  <c:v>-168</c:v>
                </c:pt>
                <c:pt idx="25">
                  <c:v>-167.5</c:v>
                </c:pt>
                <c:pt idx="26">
                  <c:v>-167</c:v>
                </c:pt>
                <c:pt idx="27">
                  <c:v>-166.5</c:v>
                </c:pt>
                <c:pt idx="28">
                  <c:v>-166</c:v>
                </c:pt>
                <c:pt idx="29">
                  <c:v>-165.5</c:v>
                </c:pt>
                <c:pt idx="30">
                  <c:v>-165</c:v>
                </c:pt>
                <c:pt idx="31">
                  <c:v>-164.5</c:v>
                </c:pt>
                <c:pt idx="32">
                  <c:v>-164</c:v>
                </c:pt>
                <c:pt idx="33">
                  <c:v>-163.5</c:v>
                </c:pt>
                <c:pt idx="34">
                  <c:v>-163</c:v>
                </c:pt>
                <c:pt idx="35">
                  <c:v>-162.5</c:v>
                </c:pt>
                <c:pt idx="36">
                  <c:v>-162</c:v>
                </c:pt>
                <c:pt idx="37">
                  <c:v>-161.5</c:v>
                </c:pt>
                <c:pt idx="38">
                  <c:v>-161</c:v>
                </c:pt>
                <c:pt idx="39">
                  <c:v>-160.5</c:v>
                </c:pt>
                <c:pt idx="40">
                  <c:v>-160</c:v>
                </c:pt>
                <c:pt idx="41">
                  <c:v>-159.5</c:v>
                </c:pt>
                <c:pt idx="42">
                  <c:v>-159</c:v>
                </c:pt>
                <c:pt idx="43">
                  <c:v>-158.5</c:v>
                </c:pt>
                <c:pt idx="44">
                  <c:v>-158</c:v>
                </c:pt>
                <c:pt idx="45">
                  <c:v>-157.5</c:v>
                </c:pt>
                <c:pt idx="46">
                  <c:v>-157</c:v>
                </c:pt>
                <c:pt idx="47">
                  <c:v>-156.5</c:v>
                </c:pt>
                <c:pt idx="48">
                  <c:v>-156</c:v>
                </c:pt>
                <c:pt idx="49">
                  <c:v>-155.5</c:v>
                </c:pt>
                <c:pt idx="50">
                  <c:v>-155</c:v>
                </c:pt>
                <c:pt idx="51">
                  <c:v>-154.5</c:v>
                </c:pt>
                <c:pt idx="52">
                  <c:v>-154</c:v>
                </c:pt>
                <c:pt idx="53">
                  <c:v>-153.5</c:v>
                </c:pt>
                <c:pt idx="54">
                  <c:v>-153</c:v>
                </c:pt>
                <c:pt idx="55">
                  <c:v>-152.5</c:v>
                </c:pt>
                <c:pt idx="56">
                  <c:v>-152</c:v>
                </c:pt>
                <c:pt idx="57">
                  <c:v>-151.5</c:v>
                </c:pt>
                <c:pt idx="58">
                  <c:v>-151</c:v>
                </c:pt>
                <c:pt idx="59">
                  <c:v>-150.5</c:v>
                </c:pt>
                <c:pt idx="60">
                  <c:v>-150</c:v>
                </c:pt>
                <c:pt idx="61">
                  <c:v>-149.5</c:v>
                </c:pt>
                <c:pt idx="62">
                  <c:v>-149</c:v>
                </c:pt>
                <c:pt idx="63">
                  <c:v>-148.5</c:v>
                </c:pt>
                <c:pt idx="64">
                  <c:v>-148</c:v>
                </c:pt>
                <c:pt idx="65">
                  <c:v>-147.5</c:v>
                </c:pt>
                <c:pt idx="66">
                  <c:v>-147</c:v>
                </c:pt>
                <c:pt idx="67">
                  <c:v>-146.5</c:v>
                </c:pt>
                <c:pt idx="68">
                  <c:v>-146</c:v>
                </c:pt>
                <c:pt idx="69">
                  <c:v>-145.5</c:v>
                </c:pt>
                <c:pt idx="70">
                  <c:v>-145</c:v>
                </c:pt>
                <c:pt idx="71">
                  <c:v>-144.5</c:v>
                </c:pt>
                <c:pt idx="72">
                  <c:v>-144</c:v>
                </c:pt>
                <c:pt idx="73">
                  <c:v>-143.5</c:v>
                </c:pt>
                <c:pt idx="74">
                  <c:v>-143</c:v>
                </c:pt>
                <c:pt idx="75">
                  <c:v>-142.5</c:v>
                </c:pt>
                <c:pt idx="76">
                  <c:v>-142</c:v>
                </c:pt>
                <c:pt idx="77">
                  <c:v>-141.5</c:v>
                </c:pt>
                <c:pt idx="78">
                  <c:v>-141</c:v>
                </c:pt>
                <c:pt idx="79">
                  <c:v>-140.5</c:v>
                </c:pt>
                <c:pt idx="80">
                  <c:v>-140</c:v>
                </c:pt>
                <c:pt idx="81">
                  <c:v>-139.5</c:v>
                </c:pt>
                <c:pt idx="82">
                  <c:v>-139</c:v>
                </c:pt>
                <c:pt idx="83">
                  <c:v>-138.5</c:v>
                </c:pt>
                <c:pt idx="84">
                  <c:v>-138</c:v>
                </c:pt>
                <c:pt idx="85">
                  <c:v>-137.5</c:v>
                </c:pt>
                <c:pt idx="86">
                  <c:v>-137</c:v>
                </c:pt>
                <c:pt idx="87">
                  <c:v>-136.5</c:v>
                </c:pt>
                <c:pt idx="88">
                  <c:v>-136</c:v>
                </c:pt>
                <c:pt idx="89">
                  <c:v>-135.5</c:v>
                </c:pt>
                <c:pt idx="90">
                  <c:v>-135</c:v>
                </c:pt>
                <c:pt idx="91">
                  <c:v>-134.5</c:v>
                </c:pt>
                <c:pt idx="92">
                  <c:v>-134</c:v>
                </c:pt>
                <c:pt idx="93">
                  <c:v>-133.5</c:v>
                </c:pt>
                <c:pt idx="94">
                  <c:v>-133</c:v>
                </c:pt>
                <c:pt idx="95">
                  <c:v>-132.5</c:v>
                </c:pt>
                <c:pt idx="96">
                  <c:v>-132</c:v>
                </c:pt>
                <c:pt idx="97">
                  <c:v>-131.5</c:v>
                </c:pt>
                <c:pt idx="98">
                  <c:v>-131</c:v>
                </c:pt>
                <c:pt idx="99">
                  <c:v>-130.5</c:v>
                </c:pt>
                <c:pt idx="100">
                  <c:v>-130</c:v>
                </c:pt>
                <c:pt idx="101">
                  <c:v>-129.5</c:v>
                </c:pt>
                <c:pt idx="102">
                  <c:v>-129</c:v>
                </c:pt>
                <c:pt idx="103">
                  <c:v>-128.5</c:v>
                </c:pt>
                <c:pt idx="104">
                  <c:v>-128</c:v>
                </c:pt>
                <c:pt idx="105">
                  <c:v>-127.5</c:v>
                </c:pt>
                <c:pt idx="106">
                  <c:v>-127</c:v>
                </c:pt>
                <c:pt idx="107">
                  <c:v>-126.5</c:v>
                </c:pt>
                <c:pt idx="108">
                  <c:v>-126</c:v>
                </c:pt>
                <c:pt idx="109">
                  <c:v>-125.5</c:v>
                </c:pt>
                <c:pt idx="110">
                  <c:v>-125</c:v>
                </c:pt>
                <c:pt idx="111">
                  <c:v>-124.5</c:v>
                </c:pt>
                <c:pt idx="112">
                  <c:v>-124</c:v>
                </c:pt>
                <c:pt idx="113">
                  <c:v>-123.5</c:v>
                </c:pt>
                <c:pt idx="114">
                  <c:v>-123</c:v>
                </c:pt>
                <c:pt idx="115">
                  <c:v>-122.5</c:v>
                </c:pt>
                <c:pt idx="116">
                  <c:v>-122</c:v>
                </c:pt>
                <c:pt idx="117">
                  <c:v>-121.5</c:v>
                </c:pt>
                <c:pt idx="118">
                  <c:v>-121</c:v>
                </c:pt>
                <c:pt idx="119">
                  <c:v>-120.5</c:v>
                </c:pt>
                <c:pt idx="120">
                  <c:v>-120</c:v>
                </c:pt>
                <c:pt idx="121">
                  <c:v>-119.5</c:v>
                </c:pt>
                <c:pt idx="122">
                  <c:v>-119</c:v>
                </c:pt>
                <c:pt idx="123">
                  <c:v>-118.5</c:v>
                </c:pt>
                <c:pt idx="124">
                  <c:v>-118</c:v>
                </c:pt>
                <c:pt idx="125">
                  <c:v>-117.5</c:v>
                </c:pt>
                <c:pt idx="126">
                  <c:v>-117</c:v>
                </c:pt>
                <c:pt idx="127">
                  <c:v>-116.5</c:v>
                </c:pt>
                <c:pt idx="128">
                  <c:v>-116</c:v>
                </c:pt>
                <c:pt idx="129">
                  <c:v>-115.5</c:v>
                </c:pt>
                <c:pt idx="130">
                  <c:v>-115</c:v>
                </c:pt>
                <c:pt idx="131">
                  <c:v>-114.5</c:v>
                </c:pt>
                <c:pt idx="132">
                  <c:v>-114</c:v>
                </c:pt>
                <c:pt idx="133">
                  <c:v>-113.5</c:v>
                </c:pt>
                <c:pt idx="134">
                  <c:v>-113</c:v>
                </c:pt>
                <c:pt idx="135">
                  <c:v>-112.5</c:v>
                </c:pt>
                <c:pt idx="136">
                  <c:v>-112</c:v>
                </c:pt>
                <c:pt idx="137">
                  <c:v>-111.5</c:v>
                </c:pt>
                <c:pt idx="138">
                  <c:v>-111</c:v>
                </c:pt>
                <c:pt idx="139">
                  <c:v>-110.5</c:v>
                </c:pt>
                <c:pt idx="140">
                  <c:v>-110</c:v>
                </c:pt>
                <c:pt idx="141">
                  <c:v>-109.5</c:v>
                </c:pt>
                <c:pt idx="142">
                  <c:v>-109</c:v>
                </c:pt>
                <c:pt idx="143">
                  <c:v>-108.5</c:v>
                </c:pt>
                <c:pt idx="144">
                  <c:v>-108</c:v>
                </c:pt>
                <c:pt idx="145">
                  <c:v>-107.5</c:v>
                </c:pt>
                <c:pt idx="146">
                  <c:v>-107</c:v>
                </c:pt>
                <c:pt idx="147">
                  <c:v>-106.5</c:v>
                </c:pt>
                <c:pt idx="148">
                  <c:v>-106</c:v>
                </c:pt>
                <c:pt idx="149">
                  <c:v>-105.5</c:v>
                </c:pt>
                <c:pt idx="150">
                  <c:v>-105</c:v>
                </c:pt>
                <c:pt idx="151">
                  <c:v>-104.5</c:v>
                </c:pt>
                <c:pt idx="152">
                  <c:v>-104</c:v>
                </c:pt>
                <c:pt idx="153">
                  <c:v>-103.5</c:v>
                </c:pt>
                <c:pt idx="154">
                  <c:v>-103</c:v>
                </c:pt>
                <c:pt idx="155">
                  <c:v>-102.5</c:v>
                </c:pt>
                <c:pt idx="156">
                  <c:v>-102</c:v>
                </c:pt>
                <c:pt idx="157">
                  <c:v>-101.5</c:v>
                </c:pt>
                <c:pt idx="158">
                  <c:v>-101</c:v>
                </c:pt>
                <c:pt idx="159">
                  <c:v>-100.5</c:v>
                </c:pt>
                <c:pt idx="160">
                  <c:v>-100</c:v>
                </c:pt>
                <c:pt idx="161">
                  <c:v>-99.5</c:v>
                </c:pt>
                <c:pt idx="162">
                  <c:v>-99</c:v>
                </c:pt>
                <c:pt idx="163">
                  <c:v>-98.5</c:v>
                </c:pt>
                <c:pt idx="164">
                  <c:v>-98</c:v>
                </c:pt>
                <c:pt idx="165">
                  <c:v>-97.5</c:v>
                </c:pt>
                <c:pt idx="166">
                  <c:v>-97</c:v>
                </c:pt>
                <c:pt idx="167">
                  <c:v>-96.5</c:v>
                </c:pt>
                <c:pt idx="168">
                  <c:v>-96</c:v>
                </c:pt>
                <c:pt idx="169">
                  <c:v>-95.5</c:v>
                </c:pt>
                <c:pt idx="170">
                  <c:v>-95</c:v>
                </c:pt>
                <c:pt idx="171">
                  <c:v>-94.5</c:v>
                </c:pt>
                <c:pt idx="172">
                  <c:v>-94</c:v>
                </c:pt>
                <c:pt idx="173">
                  <c:v>-93.5</c:v>
                </c:pt>
                <c:pt idx="174">
                  <c:v>-93</c:v>
                </c:pt>
                <c:pt idx="175">
                  <c:v>-92.5</c:v>
                </c:pt>
                <c:pt idx="176">
                  <c:v>-92</c:v>
                </c:pt>
                <c:pt idx="177">
                  <c:v>-91.5</c:v>
                </c:pt>
                <c:pt idx="178">
                  <c:v>-91</c:v>
                </c:pt>
                <c:pt idx="179">
                  <c:v>-90.5</c:v>
                </c:pt>
                <c:pt idx="180">
                  <c:v>-90</c:v>
                </c:pt>
                <c:pt idx="181">
                  <c:v>-89.5</c:v>
                </c:pt>
                <c:pt idx="182">
                  <c:v>-89</c:v>
                </c:pt>
                <c:pt idx="183">
                  <c:v>-88.5</c:v>
                </c:pt>
                <c:pt idx="184">
                  <c:v>-88</c:v>
                </c:pt>
                <c:pt idx="185">
                  <c:v>-87.5</c:v>
                </c:pt>
                <c:pt idx="186">
                  <c:v>-87</c:v>
                </c:pt>
                <c:pt idx="187">
                  <c:v>-86.5</c:v>
                </c:pt>
                <c:pt idx="188">
                  <c:v>-86</c:v>
                </c:pt>
                <c:pt idx="189">
                  <c:v>-85.5</c:v>
                </c:pt>
                <c:pt idx="190">
                  <c:v>-85</c:v>
                </c:pt>
                <c:pt idx="191">
                  <c:v>-84.5</c:v>
                </c:pt>
                <c:pt idx="192">
                  <c:v>-84</c:v>
                </c:pt>
                <c:pt idx="193">
                  <c:v>-83.5</c:v>
                </c:pt>
                <c:pt idx="194">
                  <c:v>-83</c:v>
                </c:pt>
                <c:pt idx="195">
                  <c:v>-82.5</c:v>
                </c:pt>
                <c:pt idx="196">
                  <c:v>-82</c:v>
                </c:pt>
                <c:pt idx="197">
                  <c:v>-81.5</c:v>
                </c:pt>
                <c:pt idx="198">
                  <c:v>-81</c:v>
                </c:pt>
                <c:pt idx="199">
                  <c:v>-80.5</c:v>
                </c:pt>
                <c:pt idx="200">
                  <c:v>-80</c:v>
                </c:pt>
                <c:pt idx="201">
                  <c:v>-79.5</c:v>
                </c:pt>
                <c:pt idx="202">
                  <c:v>-79</c:v>
                </c:pt>
                <c:pt idx="203">
                  <c:v>-78.5</c:v>
                </c:pt>
                <c:pt idx="204">
                  <c:v>-78</c:v>
                </c:pt>
                <c:pt idx="205">
                  <c:v>-77.5</c:v>
                </c:pt>
                <c:pt idx="206">
                  <c:v>-77</c:v>
                </c:pt>
                <c:pt idx="207">
                  <c:v>-76.5</c:v>
                </c:pt>
                <c:pt idx="208">
                  <c:v>-76</c:v>
                </c:pt>
                <c:pt idx="209">
                  <c:v>-75.5</c:v>
                </c:pt>
                <c:pt idx="210">
                  <c:v>-75</c:v>
                </c:pt>
                <c:pt idx="211">
                  <c:v>-74.5</c:v>
                </c:pt>
                <c:pt idx="212">
                  <c:v>-74</c:v>
                </c:pt>
                <c:pt idx="213">
                  <c:v>-73.5</c:v>
                </c:pt>
                <c:pt idx="214">
                  <c:v>-73</c:v>
                </c:pt>
                <c:pt idx="215">
                  <c:v>-72.5</c:v>
                </c:pt>
                <c:pt idx="216">
                  <c:v>-72</c:v>
                </c:pt>
                <c:pt idx="217">
                  <c:v>-71.5</c:v>
                </c:pt>
                <c:pt idx="218">
                  <c:v>-71</c:v>
                </c:pt>
                <c:pt idx="219">
                  <c:v>-70.5</c:v>
                </c:pt>
                <c:pt idx="220">
                  <c:v>-70</c:v>
                </c:pt>
                <c:pt idx="221">
                  <c:v>-69.5</c:v>
                </c:pt>
                <c:pt idx="222">
                  <c:v>-69</c:v>
                </c:pt>
                <c:pt idx="223">
                  <c:v>-68.5</c:v>
                </c:pt>
                <c:pt idx="224">
                  <c:v>-68</c:v>
                </c:pt>
                <c:pt idx="225">
                  <c:v>-67.5</c:v>
                </c:pt>
                <c:pt idx="226">
                  <c:v>-67</c:v>
                </c:pt>
                <c:pt idx="227">
                  <c:v>-66.5</c:v>
                </c:pt>
                <c:pt idx="228">
                  <c:v>-66</c:v>
                </c:pt>
                <c:pt idx="229">
                  <c:v>-65.5</c:v>
                </c:pt>
                <c:pt idx="230">
                  <c:v>-65</c:v>
                </c:pt>
                <c:pt idx="231">
                  <c:v>-64.5</c:v>
                </c:pt>
                <c:pt idx="232">
                  <c:v>-64</c:v>
                </c:pt>
                <c:pt idx="233">
                  <c:v>-63.5</c:v>
                </c:pt>
                <c:pt idx="234">
                  <c:v>-63</c:v>
                </c:pt>
                <c:pt idx="235">
                  <c:v>-62.5</c:v>
                </c:pt>
                <c:pt idx="236">
                  <c:v>-62</c:v>
                </c:pt>
                <c:pt idx="237">
                  <c:v>-61.5</c:v>
                </c:pt>
                <c:pt idx="238">
                  <c:v>-61</c:v>
                </c:pt>
                <c:pt idx="239">
                  <c:v>-60.5</c:v>
                </c:pt>
                <c:pt idx="240">
                  <c:v>-60</c:v>
                </c:pt>
                <c:pt idx="241">
                  <c:v>-59.5</c:v>
                </c:pt>
                <c:pt idx="242">
                  <c:v>-59</c:v>
                </c:pt>
                <c:pt idx="243">
                  <c:v>-58.5</c:v>
                </c:pt>
                <c:pt idx="244">
                  <c:v>-58</c:v>
                </c:pt>
                <c:pt idx="245">
                  <c:v>-57.5</c:v>
                </c:pt>
                <c:pt idx="246">
                  <c:v>-57</c:v>
                </c:pt>
                <c:pt idx="247">
                  <c:v>-56.5</c:v>
                </c:pt>
                <c:pt idx="248">
                  <c:v>-56</c:v>
                </c:pt>
                <c:pt idx="249">
                  <c:v>-55.5</c:v>
                </c:pt>
                <c:pt idx="250">
                  <c:v>-55</c:v>
                </c:pt>
                <c:pt idx="251">
                  <c:v>-54.5</c:v>
                </c:pt>
                <c:pt idx="252">
                  <c:v>-54</c:v>
                </c:pt>
                <c:pt idx="253">
                  <c:v>-53.5</c:v>
                </c:pt>
                <c:pt idx="254">
                  <c:v>-53</c:v>
                </c:pt>
                <c:pt idx="255">
                  <c:v>-52.5</c:v>
                </c:pt>
                <c:pt idx="256">
                  <c:v>-52</c:v>
                </c:pt>
                <c:pt idx="257">
                  <c:v>-51.5</c:v>
                </c:pt>
                <c:pt idx="258">
                  <c:v>-51</c:v>
                </c:pt>
                <c:pt idx="259">
                  <c:v>-50.5</c:v>
                </c:pt>
                <c:pt idx="260">
                  <c:v>-50</c:v>
                </c:pt>
                <c:pt idx="261">
                  <c:v>-49.5</c:v>
                </c:pt>
                <c:pt idx="262">
                  <c:v>-49</c:v>
                </c:pt>
                <c:pt idx="263">
                  <c:v>-48.5</c:v>
                </c:pt>
                <c:pt idx="264">
                  <c:v>-48</c:v>
                </c:pt>
                <c:pt idx="265">
                  <c:v>-47.5</c:v>
                </c:pt>
                <c:pt idx="266">
                  <c:v>-47</c:v>
                </c:pt>
                <c:pt idx="267">
                  <c:v>-46.5</c:v>
                </c:pt>
                <c:pt idx="268">
                  <c:v>-46</c:v>
                </c:pt>
                <c:pt idx="269">
                  <c:v>-45.5</c:v>
                </c:pt>
                <c:pt idx="270">
                  <c:v>-45</c:v>
                </c:pt>
                <c:pt idx="271">
                  <c:v>-44.5</c:v>
                </c:pt>
                <c:pt idx="272">
                  <c:v>-44</c:v>
                </c:pt>
                <c:pt idx="273">
                  <c:v>-43.5</c:v>
                </c:pt>
                <c:pt idx="274">
                  <c:v>-43</c:v>
                </c:pt>
                <c:pt idx="275">
                  <c:v>-42.5</c:v>
                </c:pt>
                <c:pt idx="276">
                  <c:v>-42</c:v>
                </c:pt>
                <c:pt idx="277">
                  <c:v>-41.5</c:v>
                </c:pt>
                <c:pt idx="278">
                  <c:v>-41</c:v>
                </c:pt>
                <c:pt idx="279">
                  <c:v>-40.5</c:v>
                </c:pt>
                <c:pt idx="280">
                  <c:v>-40</c:v>
                </c:pt>
                <c:pt idx="281">
                  <c:v>-39.5</c:v>
                </c:pt>
                <c:pt idx="282">
                  <c:v>-39</c:v>
                </c:pt>
                <c:pt idx="283">
                  <c:v>-38.5</c:v>
                </c:pt>
                <c:pt idx="284">
                  <c:v>-38</c:v>
                </c:pt>
                <c:pt idx="285">
                  <c:v>-37.5</c:v>
                </c:pt>
                <c:pt idx="286">
                  <c:v>-37</c:v>
                </c:pt>
                <c:pt idx="287">
                  <c:v>-36.5</c:v>
                </c:pt>
                <c:pt idx="288">
                  <c:v>-36</c:v>
                </c:pt>
                <c:pt idx="289">
                  <c:v>-35.5</c:v>
                </c:pt>
                <c:pt idx="290">
                  <c:v>-35</c:v>
                </c:pt>
                <c:pt idx="291">
                  <c:v>-34.5</c:v>
                </c:pt>
                <c:pt idx="292">
                  <c:v>-34</c:v>
                </c:pt>
                <c:pt idx="293">
                  <c:v>-33.5</c:v>
                </c:pt>
                <c:pt idx="294">
                  <c:v>-33</c:v>
                </c:pt>
                <c:pt idx="295">
                  <c:v>-32.5</c:v>
                </c:pt>
                <c:pt idx="296">
                  <c:v>-32</c:v>
                </c:pt>
                <c:pt idx="297">
                  <c:v>-31.5</c:v>
                </c:pt>
                <c:pt idx="298">
                  <c:v>-31</c:v>
                </c:pt>
                <c:pt idx="299">
                  <c:v>-30.5</c:v>
                </c:pt>
                <c:pt idx="300">
                  <c:v>-30</c:v>
                </c:pt>
                <c:pt idx="301">
                  <c:v>-29.5</c:v>
                </c:pt>
                <c:pt idx="302">
                  <c:v>-29</c:v>
                </c:pt>
                <c:pt idx="303">
                  <c:v>-28.5</c:v>
                </c:pt>
                <c:pt idx="304">
                  <c:v>-28</c:v>
                </c:pt>
                <c:pt idx="305">
                  <c:v>-27.5</c:v>
                </c:pt>
                <c:pt idx="306">
                  <c:v>-27</c:v>
                </c:pt>
                <c:pt idx="307">
                  <c:v>-26.5</c:v>
                </c:pt>
                <c:pt idx="308">
                  <c:v>-26</c:v>
                </c:pt>
                <c:pt idx="309">
                  <c:v>-25.5</c:v>
                </c:pt>
                <c:pt idx="310">
                  <c:v>-25</c:v>
                </c:pt>
                <c:pt idx="311">
                  <c:v>-24.5</c:v>
                </c:pt>
                <c:pt idx="312">
                  <c:v>-24</c:v>
                </c:pt>
                <c:pt idx="313">
                  <c:v>-23.5</c:v>
                </c:pt>
                <c:pt idx="314">
                  <c:v>-23</c:v>
                </c:pt>
                <c:pt idx="315">
                  <c:v>-22.5</c:v>
                </c:pt>
                <c:pt idx="316">
                  <c:v>-22</c:v>
                </c:pt>
                <c:pt idx="317">
                  <c:v>-21.5</c:v>
                </c:pt>
                <c:pt idx="318">
                  <c:v>-21</c:v>
                </c:pt>
                <c:pt idx="319">
                  <c:v>-20.5</c:v>
                </c:pt>
                <c:pt idx="320">
                  <c:v>-20</c:v>
                </c:pt>
                <c:pt idx="321">
                  <c:v>-19.5</c:v>
                </c:pt>
                <c:pt idx="322">
                  <c:v>-19</c:v>
                </c:pt>
                <c:pt idx="323">
                  <c:v>-18.5</c:v>
                </c:pt>
                <c:pt idx="324">
                  <c:v>-18</c:v>
                </c:pt>
                <c:pt idx="325">
                  <c:v>-17.5</c:v>
                </c:pt>
                <c:pt idx="326">
                  <c:v>-17</c:v>
                </c:pt>
                <c:pt idx="327">
                  <c:v>-16.5</c:v>
                </c:pt>
                <c:pt idx="328">
                  <c:v>-16</c:v>
                </c:pt>
                <c:pt idx="329">
                  <c:v>-15.5</c:v>
                </c:pt>
                <c:pt idx="330">
                  <c:v>-15</c:v>
                </c:pt>
                <c:pt idx="331">
                  <c:v>-14.5</c:v>
                </c:pt>
                <c:pt idx="332">
                  <c:v>-14</c:v>
                </c:pt>
                <c:pt idx="333">
                  <c:v>-13.5</c:v>
                </c:pt>
                <c:pt idx="334">
                  <c:v>-13</c:v>
                </c:pt>
                <c:pt idx="335">
                  <c:v>-12.5</c:v>
                </c:pt>
                <c:pt idx="336">
                  <c:v>-12</c:v>
                </c:pt>
                <c:pt idx="337">
                  <c:v>-11.5</c:v>
                </c:pt>
                <c:pt idx="338">
                  <c:v>-11</c:v>
                </c:pt>
                <c:pt idx="339">
                  <c:v>-10.5</c:v>
                </c:pt>
                <c:pt idx="340">
                  <c:v>-10</c:v>
                </c:pt>
                <c:pt idx="341">
                  <c:v>-9.5</c:v>
                </c:pt>
                <c:pt idx="342">
                  <c:v>-9</c:v>
                </c:pt>
                <c:pt idx="343">
                  <c:v>-8.5</c:v>
                </c:pt>
                <c:pt idx="344">
                  <c:v>-8</c:v>
                </c:pt>
                <c:pt idx="345">
                  <c:v>-7.5</c:v>
                </c:pt>
                <c:pt idx="346">
                  <c:v>-7</c:v>
                </c:pt>
                <c:pt idx="347">
                  <c:v>-6.5</c:v>
                </c:pt>
                <c:pt idx="348">
                  <c:v>-6</c:v>
                </c:pt>
                <c:pt idx="349">
                  <c:v>-5.5</c:v>
                </c:pt>
                <c:pt idx="350">
                  <c:v>-5</c:v>
                </c:pt>
                <c:pt idx="351">
                  <c:v>-4.5</c:v>
                </c:pt>
                <c:pt idx="352">
                  <c:v>-4</c:v>
                </c:pt>
                <c:pt idx="353">
                  <c:v>-3.5</c:v>
                </c:pt>
                <c:pt idx="354">
                  <c:v>-3</c:v>
                </c:pt>
                <c:pt idx="355">
                  <c:v>-2.5</c:v>
                </c:pt>
                <c:pt idx="356">
                  <c:v>-2</c:v>
                </c:pt>
                <c:pt idx="357">
                  <c:v>-1.5</c:v>
                </c:pt>
                <c:pt idx="358">
                  <c:v>-1</c:v>
                </c:pt>
                <c:pt idx="359">
                  <c:v>-0.5</c:v>
                </c:pt>
                <c:pt idx="360">
                  <c:v>0</c:v>
                </c:pt>
                <c:pt idx="361">
                  <c:v>0.5</c:v>
                </c:pt>
                <c:pt idx="362">
                  <c:v>1</c:v>
                </c:pt>
                <c:pt idx="363">
                  <c:v>1.5</c:v>
                </c:pt>
                <c:pt idx="364">
                  <c:v>2</c:v>
                </c:pt>
                <c:pt idx="365">
                  <c:v>2.5</c:v>
                </c:pt>
                <c:pt idx="366">
                  <c:v>3</c:v>
                </c:pt>
                <c:pt idx="367">
                  <c:v>3.5</c:v>
                </c:pt>
                <c:pt idx="368">
                  <c:v>4</c:v>
                </c:pt>
                <c:pt idx="369">
                  <c:v>4.5</c:v>
                </c:pt>
                <c:pt idx="370">
                  <c:v>5</c:v>
                </c:pt>
                <c:pt idx="371">
                  <c:v>5.5</c:v>
                </c:pt>
                <c:pt idx="372">
                  <c:v>6</c:v>
                </c:pt>
                <c:pt idx="373">
                  <c:v>6.5</c:v>
                </c:pt>
                <c:pt idx="374">
                  <c:v>7</c:v>
                </c:pt>
                <c:pt idx="375">
                  <c:v>7.5</c:v>
                </c:pt>
                <c:pt idx="376">
                  <c:v>8</c:v>
                </c:pt>
                <c:pt idx="377">
                  <c:v>8.5</c:v>
                </c:pt>
                <c:pt idx="378">
                  <c:v>9</c:v>
                </c:pt>
                <c:pt idx="379">
                  <c:v>9.5</c:v>
                </c:pt>
                <c:pt idx="380">
                  <c:v>10</c:v>
                </c:pt>
                <c:pt idx="381">
                  <c:v>10.5</c:v>
                </c:pt>
                <c:pt idx="382">
                  <c:v>11</c:v>
                </c:pt>
                <c:pt idx="383">
                  <c:v>11.5</c:v>
                </c:pt>
                <c:pt idx="384">
                  <c:v>12</c:v>
                </c:pt>
                <c:pt idx="385">
                  <c:v>12.5</c:v>
                </c:pt>
                <c:pt idx="386">
                  <c:v>13</c:v>
                </c:pt>
                <c:pt idx="387">
                  <c:v>13.5</c:v>
                </c:pt>
                <c:pt idx="388">
                  <c:v>14</c:v>
                </c:pt>
                <c:pt idx="389">
                  <c:v>14.5</c:v>
                </c:pt>
                <c:pt idx="390">
                  <c:v>15</c:v>
                </c:pt>
                <c:pt idx="391">
                  <c:v>15.5</c:v>
                </c:pt>
                <c:pt idx="392">
                  <c:v>16</c:v>
                </c:pt>
                <c:pt idx="393">
                  <c:v>16.5</c:v>
                </c:pt>
                <c:pt idx="394">
                  <c:v>17</c:v>
                </c:pt>
                <c:pt idx="395">
                  <c:v>17.5</c:v>
                </c:pt>
                <c:pt idx="396">
                  <c:v>18</c:v>
                </c:pt>
                <c:pt idx="397">
                  <c:v>18.5</c:v>
                </c:pt>
                <c:pt idx="398">
                  <c:v>19</c:v>
                </c:pt>
                <c:pt idx="399">
                  <c:v>19.5</c:v>
                </c:pt>
                <c:pt idx="400">
                  <c:v>20</c:v>
                </c:pt>
                <c:pt idx="401">
                  <c:v>20.5</c:v>
                </c:pt>
                <c:pt idx="402">
                  <c:v>21</c:v>
                </c:pt>
                <c:pt idx="403">
                  <c:v>21.5</c:v>
                </c:pt>
                <c:pt idx="404">
                  <c:v>22</c:v>
                </c:pt>
                <c:pt idx="405">
                  <c:v>22.5</c:v>
                </c:pt>
                <c:pt idx="406">
                  <c:v>23</c:v>
                </c:pt>
                <c:pt idx="407">
                  <c:v>23.5</c:v>
                </c:pt>
                <c:pt idx="408">
                  <c:v>24</c:v>
                </c:pt>
                <c:pt idx="409">
                  <c:v>24.5</c:v>
                </c:pt>
                <c:pt idx="410">
                  <c:v>25</c:v>
                </c:pt>
                <c:pt idx="411">
                  <c:v>25.5</c:v>
                </c:pt>
                <c:pt idx="412">
                  <c:v>26</c:v>
                </c:pt>
                <c:pt idx="413">
                  <c:v>26.5</c:v>
                </c:pt>
                <c:pt idx="414">
                  <c:v>27</c:v>
                </c:pt>
                <c:pt idx="415">
                  <c:v>27.5</c:v>
                </c:pt>
                <c:pt idx="416">
                  <c:v>28</c:v>
                </c:pt>
                <c:pt idx="417">
                  <c:v>28.5</c:v>
                </c:pt>
                <c:pt idx="418">
                  <c:v>29</c:v>
                </c:pt>
                <c:pt idx="419">
                  <c:v>29.5</c:v>
                </c:pt>
                <c:pt idx="420">
                  <c:v>30</c:v>
                </c:pt>
                <c:pt idx="421">
                  <c:v>30.5</c:v>
                </c:pt>
                <c:pt idx="422">
                  <c:v>31</c:v>
                </c:pt>
                <c:pt idx="423">
                  <c:v>31.5</c:v>
                </c:pt>
                <c:pt idx="424">
                  <c:v>32</c:v>
                </c:pt>
                <c:pt idx="425">
                  <c:v>32.5</c:v>
                </c:pt>
                <c:pt idx="426">
                  <c:v>33</c:v>
                </c:pt>
                <c:pt idx="427">
                  <c:v>33.5</c:v>
                </c:pt>
                <c:pt idx="428">
                  <c:v>34</c:v>
                </c:pt>
                <c:pt idx="429">
                  <c:v>34.5</c:v>
                </c:pt>
                <c:pt idx="430">
                  <c:v>35</c:v>
                </c:pt>
                <c:pt idx="431">
                  <c:v>35.5</c:v>
                </c:pt>
                <c:pt idx="432">
                  <c:v>36</c:v>
                </c:pt>
                <c:pt idx="433">
                  <c:v>36.5</c:v>
                </c:pt>
                <c:pt idx="434">
                  <c:v>37</c:v>
                </c:pt>
                <c:pt idx="435">
                  <c:v>37.5</c:v>
                </c:pt>
                <c:pt idx="436">
                  <c:v>38</c:v>
                </c:pt>
                <c:pt idx="437">
                  <c:v>38.5</c:v>
                </c:pt>
                <c:pt idx="438">
                  <c:v>39</c:v>
                </c:pt>
                <c:pt idx="439">
                  <c:v>39.5</c:v>
                </c:pt>
                <c:pt idx="440">
                  <c:v>40</c:v>
                </c:pt>
                <c:pt idx="441">
                  <c:v>40.5</c:v>
                </c:pt>
                <c:pt idx="442">
                  <c:v>41</c:v>
                </c:pt>
                <c:pt idx="443">
                  <c:v>41.5</c:v>
                </c:pt>
                <c:pt idx="444">
                  <c:v>42</c:v>
                </c:pt>
                <c:pt idx="445">
                  <c:v>42.5</c:v>
                </c:pt>
                <c:pt idx="446">
                  <c:v>43</c:v>
                </c:pt>
                <c:pt idx="447">
                  <c:v>43.5</c:v>
                </c:pt>
                <c:pt idx="448">
                  <c:v>44</c:v>
                </c:pt>
                <c:pt idx="449">
                  <c:v>44.5</c:v>
                </c:pt>
                <c:pt idx="450">
                  <c:v>45</c:v>
                </c:pt>
                <c:pt idx="451">
                  <c:v>45.5</c:v>
                </c:pt>
                <c:pt idx="452">
                  <c:v>46</c:v>
                </c:pt>
                <c:pt idx="453">
                  <c:v>46.5</c:v>
                </c:pt>
                <c:pt idx="454">
                  <c:v>47</c:v>
                </c:pt>
                <c:pt idx="455">
                  <c:v>47.5</c:v>
                </c:pt>
                <c:pt idx="456">
                  <c:v>48</c:v>
                </c:pt>
                <c:pt idx="457">
                  <c:v>48.5</c:v>
                </c:pt>
                <c:pt idx="458">
                  <c:v>49</c:v>
                </c:pt>
                <c:pt idx="459">
                  <c:v>49.5</c:v>
                </c:pt>
                <c:pt idx="460">
                  <c:v>50</c:v>
                </c:pt>
                <c:pt idx="461">
                  <c:v>50.5</c:v>
                </c:pt>
                <c:pt idx="462">
                  <c:v>51</c:v>
                </c:pt>
                <c:pt idx="463">
                  <c:v>51.5</c:v>
                </c:pt>
                <c:pt idx="464">
                  <c:v>52</c:v>
                </c:pt>
                <c:pt idx="465">
                  <c:v>52.5</c:v>
                </c:pt>
                <c:pt idx="466">
                  <c:v>53</c:v>
                </c:pt>
                <c:pt idx="467">
                  <c:v>53.5</c:v>
                </c:pt>
                <c:pt idx="468">
                  <c:v>54</c:v>
                </c:pt>
                <c:pt idx="469">
                  <c:v>54.5</c:v>
                </c:pt>
                <c:pt idx="470">
                  <c:v>55</c:v>
                </c:pt>
                <c:pt idx="471">
                  <c:v>55.5</c:v>
                </c:pt>
                <c:pt idx="472">
                  <c:v>56</c:v>
                </c:pt>
                <c:pt idx="473">
                  <c:v>56.5</c:v>
                </c:pt>
                <c:pt idx="474">
                  <c:v>57</c:v>
                </c:pt>
                <c:pt idx="475">
                  <c:v>57.5</c:v>
                </c:pt>
                <c:pt idx="476">
                  <c:v>58</c:v>
                </c:pt>
                <c:pt idx="477">
                  <c:v>58.5</c:v>
                </c:pt>
                <c:pt idx="478">
                  <c:v>59</c:v>
                </c:pt>
                <c:pt idx="479">
                  <c:v>59.5</c:v>
                </c:pt>
                <c:pt idx="480">
                  <c:v>60</c:v>
                </c:pt>
                <c:pt idx="481">
                  <c:v>60.5</c:v>
                </c:pt>
                <c:pt idx="482">
                  <c:v>61</c:v>
                </c:pt>
                <c:pt idx="483">
                  <c:v>61.5</c:v>
                </c:pt>
                <c:pt idx="484">
                  <c:v>62</c:v>
                </c:pt>
                <c:pt idx="485">
                  <c:v>62.5</c:v>
                </c:pt>
                <c:pt idx="486">
                  <c:v>63</c:v>
                </c:pt>
                <c:pt idx="487">
                  <c:v>63.5</c:v>
                </c:pt>
                <c:pt idx="488">
                  <c:v>64</c:v>
                </c:pt>
                <c:pt idx="489">
                  <c:v>64.5</c:v>
                </c:pt>
                <c:pt idx="490">
                  <c:v>65</c:v>
                </c:pt>
                <c:pt idx="491">
                  <c:v>65.5</c:v>
                </c:pt>
                <c:pt idx="492">
                  <c:v>66</c:v>
                </c:pt>
                <c:pt idx="493">
                  <c:v>66.5</c:v>
                </c:pt>
                <c:pt idx="494">
                  <c:v>67</c:v>
                </c:pt>
                <c:pt idx="495">
                  <c:v>67.5</c:v>
                </c:pt>
                <c:pt idx="496">
                  <c:v>68</c:v>
                </c:pt>
                <c:pt idx="497">
                  <c:v>68.5</c:v>
                </c:pt>
                <c:pt idx="498">
                  <c:v>69</c:v>
                </c:pt>
                <c:pt idx="499">
                  <c:v>69.5</c:v>
                </c:pt>
                <c:pt idx="500">
                  <c:v>70</c:v>
                </c:pt>
                <c:pt idx="501">
                  <c:v>70.5</c:v>
                </c:pt>
                <c:pt idx="502">
                  <c:v>71</c:v>
                </c:pt>
                <c:pt idx="503">
                  <c:v>71.5</c:v>
                </c:pt>
                <c:pt idx="504">
                  <c:v>72</c:v>
                </c:pt>
                <c:pt idx="505">
                  <c:v>72.5</c:v>
                </c:pt>
                <c:pt idx="506">
                  <c:v>73</c:v>
                </c:pt>
                <c:pt idx="507">
                  <c:v>73.5</c:v>
                </c:pt>
                <c:pt idx="508">
                  <c:v>74</c:v>
                </c:pt>
                <c:pt idx="509">
                  <c:v>74.5</c:v>
                </c:pt>
                <c:pt idx="510">
                  <c:v>75</c:v>
                </c:pt>
                <c:pt idx="511">
                  <c:v>75.5</c:v>
                </c:pt>
                <c:pt idx="512">
                  <c:v>76</c:v>
                </c:pt>
                <c:pt idx="513">
                  <c:v>76.5</c:v>
                </c:pt>
                <c:pt idx="514">
                  <c:v>77</c:v>
                </c:pt>
                <c:pt idx="515">
                  <c:v>77.5</c:v>
                </c:pt>
                <c:pt idx="516">
                  <c:v>78</c:v>
                </c:pt>
                <c:pt idx="517">
                  <c:v>78.5</c:v>
                </c:pt>
                <c:pt idx="518">
                  <c:v>79</c:v>
                </c:pt>
                <c:pt idx="519">
                  <c:v>79.5</c:v>
                </c:pt>
                <c:pt idx="520">
                  <c:v>80</c:v>
                </c:pt>
                <c:pt idx="521">
                  <c:v>80.5</c:v>
                </c:pt>
                <c:pt idx="522">
                  <c:v>81</c:v>
                </c:pt>
                <c:pt idx="523">
                  <c:v>81.5</c:v>
                </c:pt>
                <c:pt idx="524">
                  <c:v>82</c:v>
                </c:pt>
                <c:pt idx="525">
                  <c:v>82.5</c:v>
                </c:pt>
                <c:pt idx="526">
                  <c:v>83</c:v>
                </c:pt>
                <c:pt idx="527">
                  <c:v>83.5</c:v>
                </c:pt>
                <c:pt idx="528">
                  <c:v>84</c:v>
                </c:pt>
                <c:pt idx="529">
                  <c:v>84.5</c:v>
                </c:pt>
                <c:pt idx="530">
                  <c:v>85</c:v>
                </c:pt>
                <c:pt idx="531">
                  <c:v>85.5</c:v>
                </c:pt>
                <c:pt idx="532">
                  <c:v>86</c:v>
                </c:pt>
                <c:pt idx="533">
                  <c:v>86.5</c:v>
                </c:pt>
                <c:pt idx="534">
                  <c:v>87</c:v>
                </c:pt>
                <c:pt idx="535">
                  <c:v>87.5</c:v>
                </c:pt>
                <c:pt idx="536">
                  <c:v>88</c:v>
                </c:pt>
                <c:pt idx="537">
                  <c:v>88.5</c:v>
                </c:pt>
                <c:pt idx="538">
                  <c:v>89</c:v>
                </c:pt>
                <c:pt idx="539">
                  <c:v>89.5</c:v>
                </c:pt>
                <c:pt idx="540">
                  <c:v>90</c:v>
                </c:pt>
                <c:pt idx="541">
                  <c:v>90.5</c:v>
                </c:pt>
                <c:pt idx="542">
                  <c:v>91</c:v>
                </c:pt>
                <c:pt idx="543">
                  <c:v>91.5</c:v>
                </c:pt>
                <c:pt idx="544">
                  <c:v>92</c:v>
                </c:pt>
                <c:pt idx="545">
                  <c:v>92.5</c:v>
                </c:pt>
                <c:pt idx="546">
                  <c:v>93</c:v>
                </c:pt>
                <c:pt idx="547">
                  <c:v>93.5</c:v>
                </c:pt>
                <c:pt idx="548">
                  <c:v>94</c:v>
                </c:pt>
                <c:pt idx="549">
                  <c:v>94.5</c:v>
                </c:pt>
                <c:pt idx="550">
                  <c:v>95</c:v>
                </c:pt>
                <c:pt idx="551">
                  <c:v>95.5</c:v>
                </c:pt>
                <c:pt idx="552">
                  <c:v>96</c:v>
                </c:pt>
                <c:pt idx="553">
                  <c:v>96.5</c:v>
                </c:pt>
                <c:pt idx="554">
                  <c:v>97</c:v>
                </c:pt>
                <c:pt idx="555">
                  <c:v>97.5</c:v>
                </c:pt>
                <c:pt idx="556">
                  <c:v>98</c:v>
                </c:pt>
                <c:pt idx="557">
                  <c:v>98.5</c:v>
                </c:pt>
                <c:pt idx="558">
                  <c:v>99</c:v>
                </c:pt>
                <c:pt idx="559">
                  <c:v>99.5</c:v>
                </c:pt>
                <c:pt idx="560">
                  <c:v>100</c:v>
                </c:pt>
                <c:pt idx="561">
                  <c:v>100.5</c:v>
                </c:pt>
                <c:pt idx="562">
                  <c:v>101</c:v>
                </c:pt>
                <c:pt idx="563">
                  <c:v>101.5</c:v>
                </c:pt>
                <c:pt idx="564">
                  <c:v>102</c:v>
                </c:pt>
                <c:pt idx="565">
                  <c:v>102.5</c:v>
                </c:pt>
                <c:pt idx="566">
                  <c:v>103</c:v>
                </c:pt>
                <c:pt idx="567">
                  <c:v>103.5</c:v>
                </c:pt>
                <c:pt idx="568">
                  <c:v>104</c:v>
                </c:pt>
                <c:pt idx="569">
                  <c:v>104.5</c:v>
                </c:pt>
                <c:pt idx="570">
                  <c:v>105</c:v>
                </c:pt>
                <c:pt idx="571">
                  <c:v>105.5</c:v>
                </c:pt>
                <c:pt idx="572">
                  <c:v>106</c:v>
                </c:pt>
                <c:pt idx="573">
                  <c:v>106.5</c:v>
                </c:pt>
                <c:pt idx="574">
                  <c:v>107</c:v>
                </c:pt>
                <c:pt idx="575">
                  <c:v>107.5</c:v>
                </c:pt>
                <c:pt idx="576">
                  <c:v>108</c:v>
                </c:pt>
                <c:pt idx="577">
                  <c:v>108.5</c:v>
                </c:pt>
                <c:pt idx="578">
                  <c:v>109</c:v>
                </c:pt>
                <c:pt idx="579">
                  <c:v>109.5</c:v>
                </c:pt>
                <c:pt idx="580">
                  <c:v>110</c:v>
                </c:pt>
                <c:pt idx="581">
                  <c:v>110.5</c:v>
                </c:pt>
                <c:pt idx="582">
                  <c:v>111</c:v>
                </c:pt>
                <c:pt idx="583">
                  <c:v>111.5</c:v>
                </c:pt>
                <c:pt idx="584">
                  <c:v>112</c:v>
                </c:pt>
                <c:pt idx="585">
                  <c:v>112.5</c:v>
                </c:pt>
                <c:pt idx="586">
                  <c:v>113</c:v>
                </c:pt>
                <c:pt idx="587">
                  <c:v>113.5</c:v>
                </c:pt>
                <c:pt idx="588">
                  <c:v>114</c:v>
                </c:pt>
                <c:pt idx="589">
                  <c:v>114.5</c:v>
                </c:pt>
                <c:pt idx="590">
                  <c:v>115</c:v>
                </c:pt>
                <c:pt idx="591">
                  <c:v>115.5</c:v>
                </c:pt>
                <c:pt idx="592">
                  <c:v>116</c:v>
                </c:pt>
                <c:pt idx="593">
                  <c:v>116.5</c:v>
                </c:pt>
                <c:pt idx="594">
                  <c:v>117</c:v>
                </c:pt>
                <c:pt idx="595">
                  <c:v>117.5</c:v>
                </c:pt>
                <c:pt idx="596">
                  <c:v>118</c:v>
                </c:pt>
                <c:pt idx="597">
                  <c:v>118.5</c:v>
                </c:pt>
                <c:pt idx="598">
                  <c:v>119</c:v>
                </c:pt>
                <c:pt idx="599">
                  <c:v>119.5</c:v>
                </c:pt>
                <c:pt idx="600">
                  <c:v>120</c:v>
                </c:pt>
                <c:pt idx="601">
                  <c:v>120.5</c:v>
                </c:pt>
                <c:pt idx="602">
                  <c:v>121</c:v>
                </c:pt>
                <c:pt idx="603">
                  <c:v>121.5</c:v>
                </c:pt>
                <c:pt idx="604">
                  <c:v>122</c:v>
                </c:pt>
                <c:pt idx="605">
                  <c:v>122.5</c:v>
                </c:pt>
                <c:pt idx="606">
                  <c:v>123</c:v>
                </c:pt>
                <c:pt idx="607">
                  <c:v>123.5</c:v>
                </c:pt>
                <c:pt idx="608">
                  <c:v>124</c:v>
                </c:pt>
                <c:pt idx="609">
                  <c:v>124.5</c:v>
                </c:pt>
                <c:pt idx="610">
                  <c:v>125</c:v>
                </c:pt>
                <c:pt idx="611">
                  <c:v>125.5</c:v>
                </c:pt>
                <c:pt idx="612">
                  <c:v>126</c:v>
                </c:pt>
                <c:pt idx="613">
                  <c:v>126.5</c:v>
                </c:pt>
                <c:pt idx="614">
                  <c:v>127</c:v>
                </c:pt>
                <c:pt idx="615">
                  <c:v>127.5</c:v>
                </c:pt>
                <c:pt idx="616">
                  <c:v>128</c:v>
                </c:pt>
                <c:pt idx="617">
                  <c:v>128.5</c:v>
                </c:pt>
                <c:pt idx="618">
                  <c:v>129</c:v>
                </c:pt>
                <c:pt idx="619">
                  <c:v>129.5</c:v>
                </c:pt>
                <c:pt idx="620">
                  <c:v>130</c:v>
                </c:pt>
                <c:pt idx="621">
                  <c:v>130.5</c:v>
                </c:pt>
                <c:pt idx="622">
                  <c:v>131</c:v>
                </c:pt>
                <c:pt idx="623">
                  <c:v>131.5</c:v>
                </c:pt>
                <c:pt idx="624">
                  <c:v>132</c:v>
                </c:pt>
                <c:pt idx="625">
                  <c:v>132.5</c:v>
                </c:pt>
                <c:pt idx="626">
                  <c:v>133</c:v>
                </c:pt>
                <c:pt idx="627">
                  <c:v>133.5</c:v>
                </c:pt>
                <c:pt idx="628">
                  <c:v>134</c:v>
                </c:pt>
                <c:pt idx="629">
                  <c:v>134.5</c:v>
                </c:pt>
                <c:pt idx="630">
                  <c:v>135</c:v>
                </c:pt>
                <c:pt idx="631">
                  <c:v>135.5</c:v>
                </c:pt>
                <c:pt idx="632">
                  <c:v>136</c:v>
                </c:pt>
                <c:pt idx="633">
                  <c:v>136.5</c:v>
                </c:pt>
                <c:pt idx="634">
                  <c:v>137</c:v>
                </c:pt>
                <c:pt idx="635">
                  <c:v>137.5</c:v>
                </c:pt>
                <c:pt idx="636">
                  <c:v>138</c:v>
                </c:pt>
                <c:pt idx="637">
                  <c:v>138.5</c:v>
                </c:pt>
                <c:pt idx="638">
                  <c:v>139</c:v>
                </c:pt>
                <c:pt idx="639">
                  <c:v>139.5</c:v>
                </c:pt>
                <c:pt idx="640">
                  <c:v>140</c:v>
                </c:pt>
                <c:pt idx="641">
                  <c:v>140.5</c:v>
                </c:pt>
                <c:pt idx="642">
                  <c:v>141</c:v>
                </c:pt>
                <c:pt idx="643">
                  <c:v>141.5</c:v>
                </c:pt>
                <c:pt idx="644">
                  <c:v>142</c:v>
                </c:pt>
                <c:pt idx="645">
                  <c:v>142.5</c:v>
                </c:pt>
                <c:pt idx="646">
                  <c:v>143</c:v>
                </c:pt>
                <c:pt idx="647">
                  <c:v>143.5</c:v>
                </c:pt>
                <c:pt idx="648">
                  <c:v>144</c:v>
                </c:pt>
                <c:pt idx="649">
                  <c:v>144.5</c:v>
                </c:pt>
                <c:pt idx="650">
                  <c:v>145</c:v>
                </c:pt>
                <c:pt idx="651">
                  <c:v>145.5</c:v>
                </c:pt>
                <c:pt idx="652">
                  <c:v>146</c:v>
                </c:pt>
                <c:pt idx="653">
                  <c:v>146.5</c:v>
                </c:pt>
                <c:pt idx="654">
                  <c:v>147</c:v>
                </c:pt>
                <c:pt idx="655">
                  <c:v>147.5</c:v>
                </c:pt>
                <c:pt idx="656">
                  <c:v>148</c:v>
                </c:pt>
                <c:pt idx="657">
                  <c:v>148.5</c:v>
                </c:pt>
                <c:pt idx="658">
                  <c:v>149</c:v>
                </c:pt>
                <c:pt idx="659">
                  <c:v>149.5</c:v>
                </c:pt>
                <c:pt idx="660">
                  <c:v>150</c:v>
                </c:pt>
                <c:pt idx="661">
                  <c:v>150.5</c:v>
                </c:pt>
                <c:pt idx="662">
                  <c:v>151</c:v>
                </c:pt>
                <c:pt idx="663">
                  <c:v>151.5</c:v>
                </c:pt>
                <c:pt idx="664">
                  <c:v>152</c:v>
                </c:pt>
                <c:pt idx="665">
                  <c:v>152.5</c:v>
                </c:pt>
                <c:pt idx="666">
                  <c:v>153</c:v>
                </c:pt>
                <c:pt idx="667">
                  <c:v>153.5</c:v>
                </c:pt>
                <c:pt idx="668">
                  <c:v>154</c:v>
                </c:pt>
                <c:pt idx="669">
                  <c:v>154.5</c:v>
                </c:pt>
                <c:pt idx="670">
                  <c:v>155</c:v>
                </c:pt>
                <c:pt idx="671">
                  <c:v>155.5</c:v>
                </c:pt>
                <c:pt idx="672">
                  <c:v>156</c:v>
                </c:pt>
                <c:pt idx="673">
                  <c:v>156.5</c:v>
                </c:pt>
                <c:pt idx="674">
                  <c:v>157</c:v>
                </c:pt>
                <c:pt idx="675">
                  <c:v>157.5</c:v>
                </c:pt>
                <c:pt idx="676">
                  <c:v>158</c:v>
                </c:pt>
                <c:pt idx="677">
                  <c:v>158.5</c:v>
                </c:pt>
                <c:pt idx="678">
                  <c:v>159</c:v>
                </c:pt>
                <c:pt idx="679">
                  <c:v>159.5</c:v>
                </c:pt>
                <c:pt idx="680">
                  <c:v>160</c:v>
                </c:pt>
                <c:pt idx="681">
                  <c:v>160.5</c:v>
                </c:pt>
                <c:pt idx="682">
                  <c:v>161</c:v>
                </c:pt>
                <c:pt idx="683">
                  <c:v>161.5</c:v>
                </c:pt>
                <c:pt idx="684">
                  <c:v>162</c:v>
                </c:pt>
                <c:pt idx="685">
                  <c:v>162.5</c:v>
                </c:pt>
                <c:pt idx="686">
                  <c:v>163</c:v>
                </c:pt>
                <c:pt idx="687">
                  <c:v>163.5</c:v>
                </c:pt>
                <c:pt idx="688">
                  <c:v>164</c:v>
                </c:pt>
                <c:pt idx="689">
                  <c:v>164.5</c:v>
                </c:pt>
                <c:pt idx="690">
                  <c:v>165</c:v>
                </c:pt>
                <c:pt idx="691">
                  <c:v>165.5</c:v>
                </c:pt>
                <c:pt idx="692">
                  <c:v>166</c:v>
                </c:pt>
                <c:pt idx="693">
                  <c:v>166.5</c:v>
                </c:pt>
                <c:pt idx="694">
                  <c:v>167</c:v>
                </c:pt>
                <c:pt idx="695">
                  <c:v>167.5</c:v>
                </c:pt>
                <c:pt idx="696">
                  <c:v>168</c:v>
                </c:pt>
                <c:pt idx="697">
                  <c:v>168.5</c:v>
                </c:pt>
                <c:pt idx="698">
                  <c:v>169</c:v>
                </c:pt>
                <c:pt idx="699">
                  <c:v>169.5</c:v>
                </c:pt>
                <c:pt idx="700">
                  <c:v>170</c:v>
                </c:pt>
                <c:pt idx="701">
                  <c:v>170.5</c:v>
                </c:pt>
                <c:pt idx="702">
                  <c:v>171</c:v>
                </c:pt>
                <c:pt idx="703">
                  <c:v>171.5</c:v>
                </c:pt>
                <c:pt idx="704">
                  <c:v>172</c:v>
                </c:pt>
                <c:pt idx="705">
                  <c:v>172.5</c:v>
                </c:pt>
                <c:pt idx="706">
                  <c:v>173</c:v>
                </c:pt>
                <c:pt idx="707">
                  <c:v>173.5</c:v>
                </c:pt>
                <c:pt idx="708">
                  <c:v>174</c:v>
                </c:pt>
                <c:pt idx="709">
                  <c:v>174.5</c:v>
                </c:pt>
                <c:pt idx="710">
                  <c:v>175</c:v>
                </c:pt>
                <c:pt idx="711">
                  <c:v>175.5</c:v>
                </c:pt>
                <c:pt idx="712">
                  <c:v>176</c:v>
                </c:pt>
                <c:pt idx="713">
                  <c:v>176.5</c:v>
                </c:pt>
                <c:pt idx="714">
                  <c:v>177</c:v>
                </c:pt>
                <c:pt idx="715">
                  <c:v>177.5</c:v>
                </c:pt>
                <c:pt idx="716">
                  <c:v>178</c:v>
                </c:pt>
                <c:pt idx="717">
                  <c:v>178.5</c:v>
                </c:pt>
                <c:pt idx="718">
                  <c:v>179</c:v>
                </c:pt>
                <c:pt idx="719">
                  <c:v>179.5</c:v>
                </c:pt>
                <c:pt idx="720">
                  <c:v>180</c:v>
                </c:pt>
              </c:numCache>
            </c:numRef>
          </c:xVal>
          <c:yVal>
            <c:numRef>
              <c:f>Presion_cilindro!$Q$4:$Q$724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4.6033346729217515</c:v>
                </c:pt>
                <c:pt idx="276">
                  <c:v>4.6838282643979383</c:v>
                </c:pt>
                <c:pt idx="277">
                  <c:v>4.7661189310785605</c:v>
                </c:pt>
                <c:pt idx="278">
                  <c:v>4.8502428963503164</c:v>
                </c:pt>
                <c:pt idx="279">
                  <c:v>4.9362364384492903</c:v>
                </c:pt>
                <c:pt idx="280">
                  <c:v>5.024135818595048</c:v>
                </c:pt>
                <c:pt idx="281">
                  <c:v>5.1139772021108811</c:v>
                </c:pt>
                <c:pt idx="282">
                  <c:v>5.2057965720721358</c:v>
                </c:pt>
                <c:pt idx="283">
                  <c:v>5.2996296350088352</c:v>
                </c:pt>
                <c:pt idx="284">
                  <c:v>5.3955117181735694</c:v>
                </c:pt>
                <c:pt idx="285">
                  <c:v>5.4934776578723703</c:v>
                </c:pt>
                <c:pt idx="286">
                  <c:v>5.5935616783449866</c:v>
                </c:pt>
                <c:pt idx="287">
                  <c:v>5.6957972606717471</c:v>
                </c:pt>
                <c:pt idx="288">
                  <c:v>5.80021700117838</c:v>
                </c:pt>
                <c:pt idx="289">
                  <c:v>5.9068524588072222</c:v>
                </c:pt>
                <c:pt idx="290">
                  <c:v>6.0157339909247796</c:v>
                </c:pt>
                <c:pt idx="291">
                  <c:v>6.1268905770417605</c:v>
                </c:pt>
                <c:pt idx="292">
                  <c:v>6.2403496299330925</c:v>
                </c:pt>
                <c:pt idx="293">
                  <c:v>6.3561367936632998</c:v>
                </c:pt>
                <c:pt idx="294">
                  <c:v>6.474275728047596</c:v>
                </c:pt>
                <c:pt idx="295">
                  <c:v>6.5947878791117649</c:v>
                </c:pt>
                <c:pt idx="296">
                  <c:v>6.7176922351560417</c:v>
                </c:pt>
                <c:pt idx="297">
                  <c:v>6.8430050680798962</c:v>
                </c:pt>
                <c:pt idx="298">
                  <c:v>6.9707396596879816</c:v>
                </c:pt>
                <c:pt idx="299">
                  <c:v>7.1009060127726942</c:v>
                </c:pt>
                <c:pt idx="300">
                  <c:v>7.2335105468578709</c:v>
                </c:pt>
                <c:pt idx="301">
                  <c:v>7.3685557785910527</c:v>
                </c:pt>
                <c:pt idx="302">
                  <c:v>7.5060399868917722</c:v>
                </c:pt>
                <c:pt idx="303">
                  <c:v>7.6459568630988599</c:v>
                </c:pt>
                <c:pt idx="304">
                  <c:v>7.7882951465147201</c:v>
                </c:pt>
                <c:pt idx="305">
                  <c:v>7.9330382459174604</c:v>
                </c:pt>
                <c:pt idx="306">
                  <c:v>8.080163847805947</c:v>
                </c:pt>
                <c:pt idx="307">
                  <c:v>8.2296435123565956</c:v>
                </c:pt>
                <c:pt idx="308">
                  <c:v>8.381442258307171</c:v>
                </c:pt>
                <c:pt idx="309">
                  <c:v>8.5355181382400183</c:v>
                </c:pt>
                <c:pt idx="310">
                  <c:v>8.6918218060164509</c:v>
                </c:pt>
                <c:pt idx="311">
                  <c:v>8.8502960784148286</c:v>
                </c:pt>
                <c:pt idx="312">
                  <c:v>9.0108754933457398</c:v>
                </c:pt>
                <c:pt idx="313">
                  <c:v>9.173485867358151</c:v>
                </c:pt>
                <c:pt idx="314">
                  <c:v>9.3380438555080385</c:v>
                </c:pt>
                <c:pt idx="315">
                  <c:v>9.5044809266756776</c:v>
                </c:pt>
                <c:pt idx="316">
                  <c:v>9.6730900384594172</c:v>
                </c:pt>
                <c:pt idx="317">
                  <c:v>9.8444649296246087</c:v>
                </c:pt>
                <c:pt idx="318">
                  <c:v>10.019235023104711</c:v>
                </c:pt>
                <c:pt idx="319">
                  <c:v>10.198057880394828</c:v>
                </c:pt>
                <c:pt idx="320">
                  <c:v>10.381618344254658</c:v>
                </c:pt>
                <c:pt idx="321">
                  <c:v>10.570627228018875</c:v>
                </c:pt>
                <c:pt idx="322">
                  <c:v>10.765819516603242</c:v>
                </c:pt>
                <c:pt idx="323">
                  <c:v>10.96795204601537</c:v>
                </c:pt>
                <c:pt idx="324">
                  <c:v>11.177800630774877</c:v>
                </c:pt>
                <c:pt idx="325">
                  <c:v>11.396156612197132</c:v>
                </c:pt>
                <c:pt idx="326">
                  <c:v>11.623822805071502</c:v>
                </c:pt>
                <c:pt idx="327">
                  <c:v>11.861608825924817</c:v>
                </c:pt>
                <c:pt idx="328">
                  <c:v>12.110325792848352</c:v>
                </c:pt>
                <c:pt idx="329">
                  <c:v>12.370780394800377</c:v>
                </c:pt>
                <c:pt idx="330">
                  <c:v>12.643768337374041</c:v>
                </c:pt>
                <c:pt idx="331">
                  <c:v>12.930067182209228</c:v>
                </c:pt>
                <c:pt idx="332">
                  <c:v>13.23042860845711</c:v>
                </c:pt>
                <c:pt idx="333">
                  <c:v>13.545570136877433</c:v>
                </c:pt>
                <c:pt idx="334">
                  <c:v>13.876166370113967</c:v>
                </c:pt>
                <c:pt idx="335">
                  <c:v>14.222839816268865</c:v>
                </c:pt>
                <c:pt idx="336">
                  <c:v>14.586151376850291</c:v>
                </c:pt>
                <c:pt idx="337">
                  <c:v>14.9665905942321</c:v>
                </c:pt>
                <c:pt idx="338">
                  <c:v>15.364565767619599</c:v>
                </c:pt>
                <c:pt idx="339">
                  <c:v>15.780394059820624</c:v>
                </c:pt>
                <c:pt idx="340">
                  <c:v>16.214291729490363</c:v>
                </c:pt>
                <c:pt idx="341">
                  <c:v>16.666364634549268</c:v>
                </c:pt>
                <c:pt idx="342">
                  <c:v>17.136599161752223</c:v>
                </c:pt>
                <c:pt idx="343">
                  <c:v>17.624853744492839</c:v>
                </c:pt>
                <c:pt idx="344">
                  <c:v>18.130851135457235</c:v>
                </c:pt>
                <c:pt idx="345">
                  <c:v>18.654171602315209</c:v>
                </c:pt>
                <c:pt idx="346">
                  <c:v>19.194247212919656</c:v>
                </c:pt>
                <c:pt idx="347">
                  <c:v>19.750357371202465</c:v>
                </c:pt>
                <c:pt idx="348">
                  <c:v>20.321625755899269</c:v>
                </c:pt>
                <c:pt idx="349">
                  <c:v>20.907018801299827</c:v>
                </c:pt>
                <c:pt idx="350">
                  <c:v>21.505345842391968</c:v>
                </c:pt>
                <c:pt idx="351">
                  <c:v>22.115261026143489</c:v>
                </c:pt>
                <c:pt idx="352">
                  <c:v>22.735267066474023</c:v>
                </c:pt>
                <c:pt idx="353">
                  <c:v>23.363720893046967</c:v>
                </c:pt>
                <c:pt idx="354">
                  <c:v>23.99884121381865</c:v>
                </c:pt>
                <c:pt idx="355">
                  <c:v>24.638717978899074</c:v>
                </c:pt>
                <c:pt idx="356">
                  <c:v>25.28132369938076</c:v>
                </c:pt>
                <c:pt idx="357">
                  <c:v>25.924526540135933</c:v>
                </c:pt>
                <c:pt idx="358">
                  <c:v>26.566105071002362</c:v>
                </c:pt>
                <c:pt idx="359">
                  <c:v>27.203764527135231</c:v>
                </c:pt>
                <c:pt idx="360">
                  <c:v>27.83515439747719</c:v>
                </c:pt>
                <c:pt idx="361">
                  <c:v>28.457887131152521</c:v>
                </c:pt>
                <c:pt idx="362">
                  <c:v>29.069557725940886</c:v>
                </c:pt>
                <c:pt idx="363">
                  <c:v>29.667763941568293</c:v>
                </c:pt>
                <c:pt idx="364">
                  <c:v>30.250126864010547</c:v>
                </c:pt>
                <c:pt idx="365">
                  <c:v>30.814311535841902</c:v>
                </c:pt>
                <c:pt idx="366">
                  <c:v>31.358047362249479</c:v>
                </c:pt>
                <c:pt idx="367">
                  <c:v>31.87914800287562</c:v>
                </c:pt>
                <c:pt idx="368">
                  <c:v>32.37553046618455</c:v>
                </c:pt>
                <c:pt idx="369">
                  <c:v>32.845233135445184</c:v>
                </c:pt>
                <c:pt idx="370">
                  <c:v>33.286432473384529</c:v>
                </c:pt>
                <c:pt idx="371">
                  <c:v>33.697458175637948</c:v>
                </c:pt>
                <c:pt idx="372">
                  <c:v>34.076806570726625</c:v>
                </c:pt>
                <c:pt idx="373">
                  <c:v>34.423152095716375</c:v>
                </c:pt>
                <c:pt idx="374">
                  <c:v>34.735356711153884</c:v>
                </c:pt>
                <c:pt idx="375">
                  <c:v>35.012477155482351</c:v>
                </c:pt>
                <c:pt idx="376">
                  <c:v>35.25376997700446</c:v>
                </c:pt>
                <c:pt idx="377">
                  <c:v>35.458694319673178</c:v>
                </c:pt>
                <c:pt idx="378">
                  <c:v>35.626912476672672</c:v>
                </c:pt>
                <c:pt idx="379">
                  <c:v>35.75828826205646</c:v>
                </c:pt>
                <c:pt idx="380">
                  <c:v>35.852883284859594</c:v>
                </c:pt>
                <c:pt idx="381">
                  <c:v>35.910951241424492</c:v>
                </c:pt>
                <c:pt idx="382">
                  <c:v>35.932930369584973</c:v>
                </c:pt>
                <c:pt idx="383">
                  <c:v>35.919434232377235</c:v>
                </c:pt>
                <c:pt idx="384">
                  <c:v>35.871241018750744</c:v>
                </c:pt>
                <c:pt idx="385">
                  <c:v>35.789281564107725</c:v>
                </c:pt>
                <c:pt idx="386">
                  <c:v>35.674626304316718</c:v>
                </c:pt>
                <c:pt idx="387">
                  <c:v>35.528471383133081</c:v>
                </c:pt>
                <c:pt idx="388">
                  <c:v>35.352124134849788</c:v>
                </c:pt>
                <c:pt idx="389">
                  <c:v>35.146988161720564</c:v>
                </c:pt>
                <c:pt idx="390">
                  <c:v>34.914548219537352</c:v>
                </c:pt>
                <c:pt idx="391">
                  <c:v>34.656355115103146</c:v>
                </c:pt>
                <c:pt idx="392">
                  <c:v>34.374010806631702</c:v>
                </c:pt>
                <c:pt idx="393">
                  <c:v>34.069153882810411</c:v>
                </c:pt>
                <c:pt idx="394">
                  <c:v>33.743445578869391</c:v>
                </c:pt>
                <c:pt idx="395">
                  <c:v>33.398556469019624</c:v>
                </c:pt>
                <c:pt idx="396">
                  <c:v>33.036153954547643</c:v>
                </c:pt>
                <c:pt idx="397">
                  <c:v>32.657890646180348</c:v>
                </c:pt>
                <c:pt idx="398">
                  <c:v>32.265393718513032</c:v>
                </c:pt>
                <c:pt idx="399">
                  <c:v>31.860255293750406</c:v>
                </c:pt>
                <c:pt idx="400">
                  <c:v>31.444023892135338</c:v>
                </c:pt>
                <c:pt idx="401">
                  <c:v>31.018196967557742</c:v>
                </c:pt>
                <c:pt idx="402">
                  <c:v>30.584214529240707</c:v>
                </c:pt>
                <c:pt idx="403">
                  <c:v>30.143453834315533</c:v>
                </c:pt>
                <c:pt idx="404">
                  <c:v>29.697225121705912</c:v>
                </c:pt>
                <c:pt idx="405">
                  <c:v>29.246768345167009</c:v>
                </c:pt>
                <c:pt idx="406">
                  <c:v>28.793250852640508</c:v>
                </c:pt>
                <c:pt idx="407">
                  <c:v>28.337765950319962</c:v>
                </c:pt>
                <c:pt idx="408">
                  <c:v>27.881332282959097</c:v>
                </c:pt>
                <c:pt idx="409">
                  <c:v>27.424893956934543</c:v>
                </c:pt>
                <c:pt idx="410">
                  <c:v>26.969321329316838</c:v>
                </c:pt>
                <c:pt idx="411">
                  <c:v>26.515412384578411</c:v>
                </c:pt>
                <c:pt idx="412">
                  <c:v>26.063894620446771</c:v>
                </c:pt>
                <c:pt idx="413">
                  <c:v>25.615427365628221</c:v>
                </c:pt>
                <c:pt idx="414">
                  <c:v>25.170604454518109</c:v>
                </c:pt>
                <c:pt idx="415">
                  <c:v>24.72995718740059</c:v>
                </c:pt>
                <c:pt idx="416">
                  <c:v>24.293957508844937</c:v>
                </c:pt>
                <c:pt idx="417">
                  <c:v>23.863021341854235</c:v>
                </c:pt>
                <c:pt idx="418">
                  <c:v>23.437512020644785</c:v>
                </c:pt>
                <c:pt idx="419">
                  <c:v>23.01774377057065</c:v>
                </c:pt>
                <c:pt idx="420">
                  <c:v>22.603985189514507</c:v>
                </c:pt>
                <c:pt idx="421">
                  <c:v>22.196462690903896</c:v>
                </c:pt>
                <c:pt idx="422">
                  <c:v>21.795363874270361</c:v>
                </c:pt>
                <c:pt idx="423">
                  <c:v>21.400840794840811</c:v>
                </c:pt>
                <c:pt idx="424">
                  <c:v>21.013013108957981</c:v>
                </c:pt>
                <c:pt idx="425">
                  <c:v>20.631971077095468</c:v>
                </c:pt>
                <c:pt idx="426">
                  <c:v>20.257778410820436</c:v>
                </c:pt>
                <c:pt idx="427">
                  <c:v>19.89047495421876</c:v>
                </c:pt>
                <c:pt idx="428">
                  <c:v>19.53007919401869</c:v>
                </c:pt>
                <c:pt idx="429">
                  <c:v>19.176590595917148</c:v>
                </c:pt>
                <c:pt idx="430">
                  <c:v>18.829991767432585</c:v>
                </c:pt>
                <c:pt idx="431">
                  <c:v>18.490250449989208</c:v>
                </c:pt>
                <c:pt idx="432">
                  <c:v>18.157321344902225</c:v>
                </c:pt>
                <c:pt idx="433">
                  <c:v>17.831147779506029</c:v>
                </c:pt>
                <c:pt idx="434">
                  <c:v>17.511663220879896</c:v>
                </c:pt>
                <c:pt idx="435">
                  <c:v>17.198792645512182</c:v>
                </c:pt>
                <c:pt idx="436">
                  <c:v>16.892453773839375</c:v>
                </c:pt>
                <c:pt idx="437">
                  <c:v>16.592558178938724</c:v>
                </c:pt>
                <c:pt idx="438">
                  <c:v>16.29901227877864</c:v>
                </c:pt>
                <c:pt idx="439">
                  <c:v>16.011718221373112</c:v>
                </c:pt>
                <c:pt idx="440">
                  <c:v>15.73057467198123</c:v>
                </c:pt>
                <c:pt idx="441">
                  <c:v>15.455477511168239</c:v>
                </c:pt>
                <c:pt idx="442">
                  <c:v>15.186320452130909</c:v>
                </c:pt>
                <c:pt idx="443">
                  <c:v>14.922995585211469</c:v>
                </c:pt>
                <c:pt idx="444">
                  <c:v>14.665393857001613</c:v>
                </c:pt>
                <c:pt idx="445">
                  <c:v>14.413405490893423</c:v>
                </c:pt>
                <c:pt idx="446">
                  <c:v>14.166920355378206</c:v>
                </c:pt>
                <c:pt idx="447">
                  <c:v>13.925828285846409</c:v>
                </c:pt>
                <c:pt idx="448">
                  <c:v>13.690019365104755</c:v>
                </c:pt>
                <c:pt idx="449">
                  <c:v>13.459384167316585</c:v>
                </c:pt>
                <c:pt idx="450">
                  <c:v>13.233813969586238</c:v>
                </c:pt>
                <c:pt idx="451">
                  <c:v>13.013200934957858</c:v>
                </c:pt>
                <c:pt idx="452">
                  <c:v>12.797438270181381</c:v>
                </c:pt>
                <c:pt idx="453">
                  <c:v>12.586420361218142</c:v>
                </c:pt>
                <c:pt idx="454">
                  <c:v>12.380042889111989</c:v>
                </c:pt>
                <c:pt idx="455">
                  <c:v>12.178202928541296</c:v>
                </c:pt>
                <c:pt idx="456">
                  <c:v>11.980799031088489</c:v>
                </c:pt>
                <c:pt idx="457">
                  <c:v>11.787731295017448</c:v>
                </c:pt>
                <c:pt idx="458">
                  <c:v>11.598901423130007</c:v>
                </c:pt>
                <c:pt idx="459">
                  <c:v>11.414212770081532</c:v>
                </c:pt>
                <c:pt idx="460">
                  <c:v>11.233570380366951</c:v>
                </c:pt>
                <c:pt idx="461">
                  <c:v>11.056881018042384</c:v>
                </c:pt>
                <c:pt idx="462">
                  <c:v>10.884053189119314</c:v>
                </c:pt>
                <c:pt idx="463">
                  <c:v>10.714997157457699</c:v>
                </c:pt>
                <c:pt idx="464">
                  <c:v>10.549624954888108</c:v>
                </c:pt>
                <c:pt idx="465">
                  <c:v>10.387850386209212</c:v>
                </c:pt>
                <c:pt idx="466">
                  <c:v>10.22958902963471</c:v>
                </c:pt>
                <c:pt idx="467">
                  <c:v>10.074758233200905</c:v>
                </c:pt>
                <c:pt idx="468">
                  <c:v>9.923277107591236</c:v>
                </c:pt>
                <c:pt idx="469">
                  <c:v>9.7750665157861683</c:v>
                </c:pt>
                <c:pt idx="470">
                  <c:v>9.6300490599054367</c:v>
                </c:pt>
                <c:pt idx="471">
                  <c:v>9.4881490655724292</c:v>
                </c:pt>
                <c:pt idx="472">
                  <c:v>9.3492925640982829</c:v>
                </c:pt>
                <c:pt idx="473">
                  <c:v>9.2134072727548748</c:v>
                </c:pt>
                <c:pt idx="474">
                  <c:v>9.0804225733796713</c:v>
                </c:pt>
                <c:pt idx="475">
                  <c:v>8.9502694895333601</c:v>
                </c:pt>
                <c:pt idx="476">
                  <c:v>8.8228806624100731</c:v>
                </c:pt>
                <c:pt idx="477">
                  <c:v>8.6981903256821287</c:v>
                </c:pt>
                <c:pt idx="478">
                  <c:v>8.5761342794439468</c:v>
                </c:pt>
                <c:pt idx="479">
                  <c:v>8.4566498634052749</c:v>
                </c:pt>
                <c:pt idx="480">
                  <c:v>8.339675929469605</c:v>
                </c:pt>
                <c:pt idx="481">
                  <c:v>8.225152813821353</c:v>
                </c:pt>
                <c:pt idx="482">
                  <c:v>8.1130223086337914</c:v>
                </c:pt>
                <c:pt idx="483">
                  <c:v>8.0032276334991739</c:v>
                </c:pt>
                <c:pt idx="484">
                  <c:v>7.8957134066730896</c:v>
                </c:pt>
                <c:pt idx="485">
                  <c:v>7.7904256162156118</c:v>
                </c:pt>
                <c:pt idx="486">
                  <c:v>7.6873115911046321</c:v>
                </c:pt>
                <c:pt idx="487">
                  <c:v>7.5863199723881154</c:v>
                </c:pt>
                <c:pt idx="488">
                  <c:v>7.487400684436313</c:v>
                </c:pt>
                <c:pt idx="489">
                  <c:v>7.3905049063476342</c:v>
                </c:pt>
                <c:pt idx="490">
                  <c:v>7.2955850435568239</c:v>
                </c:pt>
                <c:pt idx="491">
                  <c:v>7.2025946996883272</c:v>
                </c:pt>
                <c:pt idx="492">
                  <c:v>7.1114886486928386</c:v>
                </c:pt>
                <c:pt idx="493">
                  <c:v>7.0222228073008708</c:v>
                </c:pt>
                <c:pt idx="494">
                  <c:v>6.9347542078226061</c:v>
                </c:pt>
                <c:pt idx="495">
                  <c:v>6.8490409713199307</c:v>
                </c:pt>
                <c:pt idx="496">
                  <c:v>6.7650422811726729</c:v>
                </c:pt>
                <c:pt idx="497">
                  <c:v>6.6827183570583335</c:v>
                </c:pt>
                <c:pt idx="498">
                  <c:v>6.6020304293613501</c:v>
                </c:pt>
                <c:pt idx="499">
                  <c:v>6.5229407140256113</c:v>
                </c:pt>
                <c:pt idx="500">
                  <c:v>6.4454123878612046</c:v>
                </c:pt>
                <c:pt idx="501">
                  <c:v>6.3694095643145312</c:v>
                </c:pt>
                <c:pt idx="502">
                  <c:v>6.2948972697086498</c:v>
                </c:pt>
                <c:pt idx="503">
                  <c:v>6.2218414199591949</c:v>
                </c:pt>
                <c:pt idx="504">
                  <c:v>6.1502087977693156</c:v>
                </c:pt>
                <c:pt idx="505">
                  <c:v>6.0799670303057249</c:v>
                </c:pt>
                <c:pt idx="506">
                  <c:v>6.0110845673567859</c:v>
                </c:pt>
                <c:pt idx="507">
                  <c:v>5.9435306599720183</c:v>
                </c:pt>
                <c:pt idx="508">
                  <c:v>5.8772753395816553</c:v>
                </c:pt>
                <c:pt idx="509">
                  <c:v>5.8122893975937604</c:v>
                </c:pt>
                <c:pt idx="510">
                  <c:v>5.7485443654656363</c:v>
                </c:pt>
                <c:pt idx="511">
                  <c:v>5.6860124952454179</c:v>
                </c:pt>
                <c:pt idx="512">
                  <c:v>5.6246667405791166</c:v>
                </c:pt>
                <c:pt idx="513">
                  <c:v>5.5644807381778785</c:v>
                </c:pt>
                <c:pt idx="514">
                  <c:v>5.5054287897395087</c:v>
                </c:pt>
                <c:pt idx="515">
                  <c:v>5.4474858443180079</c:v>
                </c:pt>
                <c:pt idx="516">
                  <c:v>5.3906274811344872</c:v>
                </c:pt>
                <c:pt idx="517">
                  <c:v>5.3348298928224045</c:v>
                </c:pt>
                <c:pt idx="518">
                  <c:v>5.2800698690997718</c:v>
                </c:pt>
                <c:pt idx="519">
                  <c:v>5.2263247808609341</c:v>
                </c:pt>
                <c:pt idx="520">
                  <c:v>5.1735725646800894</c:v>
                </c:pt>
                <c:pt idx="521">
                  <c:v>5.1217917077186597</c:v>
                </c:pt>
                <c:pt idx="522">
                  <c:v>5.0709612330285969</c:v>
                </c:pt>
                <c:pt idx="523">
                  <c:v>5.0210606852434463</c:v>
                </c:pt>
                <c:pt idx="524">
                  <c:v>4.9720701166490695</c:v>
                </c:pt>
                <c:pt idx="525">
                  <c:v>4.9239700736257888</c:v>
                </c:pt>
                <c:pt idx="526">
                  <c:v>4.8767415834537875</c:v>
                </c:pt>
                <c:pt idx="527">
                  <c:v>4.8303661414735926</c:v>
                </c:pt>
                <c:pt idx="528">
                  <c:v>4.7848256985933828</c:v>
                </c:pt>
                <c:pt idx="529">
                  <c:v>4.740102649135129</c:v>
                </c:pt>
                <c:pt idx="530">
                  <c:v>4.6961798190114132</c:v>
                </c:pt>
                <c:pt idx="531">
                  <c:v>4.6530404542249313</c:v>
                </c:pt>
                <c:pt idx="532">
                  <c:v>4.6106682096828617</c:v>
                </c:pt>
                <c:pt idx="533">
                  <c:v>4.5690471383181608</c:v>
                </c:pt>
                <c:pt idx="534">
                  <c:v>4.5281616805101867</c:v>
                </c:pt>
                <c:pt idx="535">
                  <c:v>4.4879966537969675</c:v>
                </c:pt>
                <c:pt idx="536">
                  <c:v>4.4485372428716685</c:v>
                </c:pt>
                <c:pt idx="537">
                  <c:v>4.4097689898558867</c:v>
                </c:pt>
                <c:pt idx="538">
                  <c:v>4.371677784842511</c:v>
                </c:pt>
                <c:pt idx="539">
                  <c:v>4.3342498567011223</c:v>
                </c:pt>
                <c:pt idx="540">
                  <c:v>4.297471764138824</c:v>
                </c:pt>
                <c:pt idx="541">
                  <c:v>4.261330387009818</c:v>
                </c:pt>
                <c:pt idx="542">
                  <c:v>4.2258129178669224</c:v>
                </c:pt>
                <c:pt idx="543">
                  <c:v>4.1909068537485332</c:v>
                </c:pt>
                <c:pt idx="544">
                  <c:v>4.1565999881945714</c:v>
                </c:pt>
                <c:pt idx="545">
                  <c:v>4.1228804034852091</c:v>
                </c:pt>
                <c:pt idx="546">
                  <c:v>4.0897364630961581</c:v>
                </c:pt>
                <c:pt idx="547">
                  <c:v>4.057156804364598</c:v>
                </c:pt>
                <c:pt idx="548">
                  <c:v>4.0251303313598852</c:v>
                </c:pt>
                <c:pt idx="549">
                  <c:v>3.9936462079532906</c:v>
                </c:pt>
                <c:pt idx="550">
                  <c:v>3.9626938510812475</c:v>
                </c:pt>
                <c:pt idx="551">
                  <c:v>3.9322629241966736</c:v>
                </c:pt>
                <c:pt idx="552">
                  <c:v>3.9023433309030282</c:v>
                </c:pt>
                <c:pt idx="553">
                  <c:v>3.8729252087660031</c:v>
                </c:pt>
                <c:pt idx="554">
                  <c:v>3.8439989232977649</c:v>
                </c:pt>
                <c:pt idx="555">
                  <c:v>3.8155550621088903</c:v>
                </c:pt>
                <c:pt idx="556">
                  <c:v>3.7875844292232328</c:v>
                </c:pt>
                <c:pt idx="557">
                  <c:v>3.7600780395510047</c:v>
                </c:pt>
                <c:pt idx="558">
                  <c:v>3.7330271135156754</c:v>
                </c:pt>
                <c:pt idx="559">
                  <c:v>3.7064230718301778</c:v>
                </c:pt>
                <c:pt idx="560">
                  <c:v>3.6802575304182192</c:v>
                </c:pt>
                <c:pt idx="561">
                  <c:v>3.6545222954765046</c:v>
                </c:pt>
                <c:pt idx="562">
                  <c:v>3.6292093586738523</c:v>
                </c:pt>
                <c:pt idx="563">
                  <c:v>3.6043108924832139</c:v>
                </c:pt>
                <c:pt idx="564">
                  <c:v>3.579819245642879</c:v>
                </c:pt>
                <c:pt idx="565">
                  <c:v>3.5557269387430379</c:v>
                </c:pt>
                <c:pt idx="566">
                  <c:v>3.5320266599341448</c:v>
                </c:pt>
                <c:pt idx="567">
                  <c:v>3.5087112607536217</c:v>
                </c:pt>
                <c:pt idx="568">
                  <c:v>3.4857737520673724</c:v>
                </c:pt>
                <c:pt idx="569">
                  <c:v>3.4632073001229324</c:v>
                </c:pt>
                <c:pt idx="570">
                  <c:v>3.4410052227109276</c:v>
                </c:pt>
                <c:pt idx="571">
                  <c:v>3.419160985431803</c:v>
                </c:pt>
                <c:pt idx="572">
                  <c:v>3.3976681980647361</c:v>
                </c:pt>
                <c:pt idx="573">
                  <c:v>3.3765206110357924</c:v>
                </c:pt>
                <c:pt idx="574">
                  <c:v>3.3557121119825228</c:v>
                </c:pt>
                <c:pt idx="575">
                  <c:v>3.335236722412136</c:v>
                </c:pt>
                <c:pt idx="576">
                  <c:v>3.3150885944506365</c:v>
                </c:pt>
                <c:pt idx="577">
                  <c:v>3.2952620076802428</c:v>
                </c:pt>
                <c:pt idx="578">
                  <c:v>3.2757513660626092</c:v>
                </c:pt>
                <c:pt idx="579">
                  <c:v>3.2565511949453358</c:v>
                </c:pt>
                <c:pt idx="580">
                  <c:v>3.2376561381494127</c:v>
                </c:pt>
                <c:pt idx="581">
                  <c:v>3.2190609551352387</c:v>
                </c:pt>
                <c:pt idx="582">
                  <c:v>3.2007605182450227</c:v>
                </c:pt>
                <c:pt idx="583">
                  <c:v>3.182749810019303</c:v>
                </c:pt>
                <c:pt idx="584">
                  <c:v>3.1650239205855297</c:v>
                </c:pt>
                <c:pt idx="585">
                  <c:v>3.1475780451166222</c:v>
                </c:pt>
                <c:pt idx="586">
                  <c:v>3.1304074813575076</c:v>
                </c:pt>
                <c:pt idx="587">
                  <c:v>3.1135076272177082</c:v>
                </c:pt>
                <c:pt idx="588">
                  <c:v>3.0968739784280852</c:v>
                </c:pt>
                <c:pt idx="589">
                  <c:v>3.0805021262599404</c:v>
                </c:pt>
                <c:pt idx="590">
                  <c:v>3.0643877553046703</c:v>
                </c:pt>
                <c:pt idx="591">
                  <c:v>3.0485266413122929</c:v>
                </c:pt>
                <c:pt idx="592">
                  <c:v>3.0329146490871417</c:v>
                </c:pt>
                <c:pt idx="593">
                  <c:v>3.017547730439166</c:v>
                </c:pt>
                <c:pt idx="594">
                  <c:v>3.002421922189189</c:v>
                </c:pt>
                <c:pt idx="595">
                  <c:v>2.9875333442266925</c:v>
                </c:pt>
                <c:pt idx="596">
                  <c:v>2.9728781976185794</c:v>
                </c:pt>
                <c:pt idx="597">
                  <c:v>2.9584527627675312</c:v>
                </c:pt>
                <c:pt idx="598">
                  <c:v>2.9442533976185303</c:v>
                </c:pt>
                <c:pt idx="599">
                  <c:v>2.9302765359122382</c:v>
                </c:pt>
                <c:pt idx="600">
                  <c:v>2.9165186854839007</c:v>
                </c:pt>
                <c:pt idx="601">
                  <c:v>2.9029764266064992</c:v>
                </c:pt>
                <c:pt idx="602">
                  <c:v>2.8896464103769612</c:v>
                </c:pt>
                <c:pt idx="603">
                  <c:v>2.8765253571441693</c:v>
                </c:pt>
                <c:pt idx="604">
                  <c:v>2.8636100549776962</c:v>
                </c:pt>
                <c:pt idx="605">
                  <c:v>2.8508973581760375</c:v>
                </c:pt>
                <c:pt idx="606">
                  <c:v>2.8383841858133625</c:v>
                </c:pt>
                <c:pt idx="607">
                  <c:v>2.8260675203236252</c:v>
                </c:pt>
                <c:pt idx="608">
                  <c:v>2.8139444061210783</c:v>
                </c:pt>
                <c:pt idx="609">
                  <c:v>2.8020119482561645</c:v>
                </c:pt>
                <c:pt idx="610">
                  <c:v>2.7902673111058136</c:v>
                </c:pt>
                <c:pt idx="611">
                  <c:v>2.778707717097233</c:v>
                </c:pt>
                <c:pt idx="612">
                  <c:v>2.767330445464244</c:v>
                </c:pt>
                <c:pt idx="613">
                  <c:v>2.7561328310353188</c:v>
                </c:pt>
                <c:pt idx="614">
                  <c:v>2.7451122630524343</c:v>
                </c:pt>
                <c:pt idx="615">
                  <c:v>2.7342661840199303</c:v>
                </c:pt>
                <c:pt idx="616">
                  <c:v>2.7235920885825369</c:v>
                </c:pt>
                <c:pt idx="617">
                  <c:v>2.7130875224318309</c:v>
                </c:pt>
                <c:pt idx="618">
                  <c:v>2.7027500812403153</c:v>
                </c:pt>
                <c:pt idx="619">
                  <c:v>2.6925774096224186</c:v>
                </c:pt>
                <c:pt idx="620">
                  <c:v>2.6825672001216785</c:v>
                </c:pt>
                <c:pt idx="621">
                  <c:v>2.6727171922234207</c:v>
                </c:pt>
                <c:pt idx="622">
                  <c:v>2.6630251713922695</c:v>
                </c:pt>
                <c:pt idx="623">
                  <c:v>2.6534889681338067</c:v>
                </c:pt>
                <c:pt idx="624">
                  <c:v>2.6441064570797912</c:v>
                </c:pt>
                <c:pt idx="625">
                  <c:v>2.6348755560962585</c:v>
                </c:pt>
                <c:pt idx="626">
                  <c:v>2.6257942254139714</c:v>
                </c:pt>
                <c:pt idx="627">
                  <c:v>2.6168604667805795</c:v>
                </c:pt>
                <c:pt idx="628">
                  <c:v>2.6080723226339702</c:v>
                </c:pt>
                <c:pt idx="629">
                  <c:v>2.5994278752962376</c:v>
                </c:pt>
                <c:pt idx="630">
                  <c:v>2.5909252461877403</c:v>
                </c:pt>
                <c:pt idx="631">
                  <c:v>2.5825625950607507</c:v>
                </c:pt>
                <c:pt idx="632">
                  <c:v>2.5743381192521637</c:v>
                </c:pt>
                <c:pt idx="633">
                  <c:v>2.5662500529548127</c:v>
                </c:pt>
                <c:pt idx="634">
                  <c:v>2.558296666506902</c:v>
                </c:pt>
                <c:pt idx="635">
                  <c:v>2.5504762656990905</c:v>
                </c:pt>
                <c:pt idx="636">
                  <c:v>2.5427871910988045</c:v>
                </c:pt>
                <c:pt idx="637">
                  <c:v>2.5352278173913376</c:v>
                </c:pt>
                <c:pt idx="638">
                  <c:v>2.5277965527373016</c:v>
                </c:pt>
                <c:pt idx="639">
                  <c:v>2.520491838146055</c:v>
                </c:pt>
                <c:pt idx="640">
                  <c:v>2.5133121468646773</c:v>
                </c:pt>
                <c:pt idx="641">
                  <c:v>2.5062559837821485</c:v>
                </c:pt>
                <c:pt idx="642">
                  <c:v>2.4993218848483165</c:v>
                </c:pt>
                <c:pt idx="643">
                  <c:v>2.4925084165073166</c:v>
                </c:pt>
                <c:pt idx="644">
                  <c:v>2.4858141751450957</c:v>
                </c:pt>
                <c:pt idx="645">
                  <c:v>2.4792377865506845</c:v>
                </c:pt>
                <c:pt idx="646">
                  <c:v>2.4727779053908971</c:v>
                </c:pt>
                <c:pt idx="647">
                  <c:v>2.4664332146981347</c:v>
                </c:pt>
                <c:pt idx="648">
                  <c:v>2.4602024253709773</c:v>
                </c:pt>
                <c:pt idx="649">
                  <c:v>2.4540842756872756</c:v>
                </c:pt>
                <c:pt idx="650">
                  <c:v>2.4480775308294218</c:v>
                </c:pt>
                <c:pt idx="651">
                  <c:v>2.4421809824215504</c:v>
                </c:pt>
                <c:pt idx="652">
                  <c:v>2.4363934480783525</c:v>
                </c:pt>
                <c:pt idx="653">
                  <c:v>2.4307137709652697</c:v>
                </c:pt>
                <c:pt idx="654">
                  <c:v>2.4251408193697874</c:v>
                </c:pt>
                <c:pt idx="655">
                  <c:v>2.4196734862835663</c:v>
                </c:pt>
                <c:pt idx="656">
                  <c:v>2.4143106889952031</c:v>
                </c:pt>
                <c:pt idx="657">
                  <c:v>2.4090513686933317</c:v>
                </c:pt>
                <c:pt idx="658">
                  <c:v>2.4038944900798715</c:v>
                </c:pt>
                <c:pt idx="659">
                  <c:v>2.3988390409931837</c:v>
                </c:pt>
                <c:pt idx="660">
                  <c:v>2.393884032040912</c:v>
                </c:pt>
                <c:pt idx="661">
                  <c:v>2.3890284962423154</c:v>
                </c:pt>
                <c:pt idx="662">
                  <c:v>2.3842714886798566</c:v>
                </c:pt>
                <c:pt idx="663">
                  <c:v>2.3796120861598853</c:v>
                </c:pt>
                <c:pt idx="664">
                  <c:v>2.3750493868821754</c:v>
                </c:pt>
                <c:pt idx="665">
                  <c:v>2.370582510118191</c:v>
                </c:pt>
                <c:pt idx="666">
                  <c:v>2.3662105958978281</c:v>
                </c:pt>
                <c:pt idx="667">
                  <c:v>2.3619328047045172</c:v>
                </c:pt>
                <c:pt idx="668">
                  <c:v>2.3577483171784692</c:v>
                </c:pt>
                <c:pt idx="669">
                  <c:v>2.3536563338279382</c:v>
                </c:pt>
                <c:pt idx="670">
                  <c:v>2.3496560747483053</c:v>
                </c:pt>
                <c:pt idx="671">
                  <c:v>2.3457467793488496</c:v>
                </c:pt>
                <c:pt idx="672">
                  <c:v>2.3419277060870516</c:v>
                </c:pt>
                <c:pt idx="673">
                  <c:v>2.338198132210263</c:v>
                </c:pt>
                <c:pt idx="674">
                  <c:v>2.334557353504648</c:v>
                </c:pt>
                <c:pt idx="675">
                  <c:v>2.3310046840511922</c:v>
                </c:pt>
                <c:pt idx="676">
                  <c:v>2.3275394559887088</c:v>
                </c:pt>
                <c:pt idx="677">
                  <c:v>2.3241610192836681</c:v>
                </c:pt>
                <c:pt idx="678">
                  <c:v>2.3208687415067555</c:v>
                </c:pt>
                <c:pt idx="679">
                  <c:v>2.3176620076160206</c:v>
                </c:pt>
                <c:pt idx="680">
                  <c:v>2.3145402197464988</c:v>
                </c:pt>
                <c:pt idx="681">
                  <c:v>2.3115027970062032</c:v>
                </c:pt>
                <c:pt idx="682">
                  <c:v>2.3085491752783827</c:v>
                </c:pt>
                <c:pt idx="683">
                  <c:v>2.3056788070299068</c:v>
                </c:pt>
                <c:pt idx="684">
                  <c:v>2.3028911611257192</c:v>
                </c:pt>
                <c:pt idx="685">
                  <c:v>2.3001857226492395</c:v>
                </c:pt>
                <c:pt idx="686">
                  <c:v>2.2975619927286051</c:v>
                </c:pt>
                <c:pt idx="687">
                  <c:v>2.2950194883686912</c:v>
                </c:pt>
                <c:pt idx="688">
                  <c:v>2.2925577422887966</c:v>
                </c:pt>
                <c:pt idx="689">
                  <c:v>2.290176302765929</c:v>
                </c:pt>
                <c:pt idx="690">
                  <c:v>2.2878747334835783</c:v>
                </c:pt>
                <c:pt idx="691">
                  <c:v>2.2856526133859378</c:v>
                </c:pt>
                <c:pt idx="692">
                  <c:v>2.2835095365374714</c:v>
                </c:pt>
                <c:pt idx="693">
                  <c:v>2.2814451119877477</c:v>
                </c:pt>
                <c:pt idx="694">
                  <c:v>2.2794589636415004</c:v>
                </c:pt>
                <c:pt idx="695">
                  <c:v>2.2775507301338189</c:v>
                </c:pt>
                <c:pt idx="696">
                  <c:v>2.2757200647104185</c:v>
                </c:pt>
                <c:pt idx="697">
                  <c:v>2.2739666351129268</c:v>
                </c:pt>
                <c:pt idx="698">
                  <c:v>2.2722901234691273</c:v>
                </c:pt>
                <c:pt idx="699">
                  <c:v>2.2706902261880932</c:v>
                </c:pt>
                <c:pt idx="700">
                  <c:v>2.269166653860184</c:v>
                </c:pt>
                <c:pt idx="701">
                  <c:v>2.2677191311618206</c:v>
                </c:pt>
                <c:pt idx="702">
                  <c:v>2.2663473967650121</c:v>
                </c:pt>
                <c:pt idx="703">
                  <c:v>2.2650512032515868</c:v>
                </c:pt>
                <c:pt idx="704">
                  <c:v>2.2638303170320748</c:v>
                </c:pt>
                <c:pt idx="705">
                  <c:v>2.2626845182692006</c:v>
                </c:pt>
                <c:pt idx="706">
                  <c:v>2.2616136008059624</c:v>
                </c:pt>
                <c:pt idx="707">
                  <c:v>2.2606173720982423</c:v>
                </c:pt>
                <c:pt idx="708">
                  <c:v>2.259695653151927</c:v>
                </c:pt>
                <c:pt idx="709">
                  <c:v>2.2588482784644963</c:v>
                </c:pt>
                <c:pt idx="710">
                  <c:v>2.2580750959710616</c:v>
                </c:pt>
                <c:pt idx="711">
                  <c:v>2.2573759669948137</c:v>
                </c:pt>
                <c:pt idx="712">
                  <c:v>2.256750766201872</c:v>
                </c:pt>
                <c:pt idx="713">
                  <c:v>2.2561993815604953</c:v>
                </c:pt>
                <c:pt idx="714">
                  <c:v>2.255721714304638</c:v>
                </c:pt>
                <c:pt idx="715">
                  <c:v>2.2553176789018488</c:v>
                </c:pt>
                <c:pt idx="716">
                  <c:v>2.2549872030254687</c:v>
                </c:pt>
                <c:pt idx="717">
                  <c:v>2.2547302275311387</c:v>
                </c:pt>
                <c:pt idx="718">
                  <c:v>2.2545467064375924</c:v>
                </c:pt>
                <c:pt idx="719">
                  <c:v>2.2544366069117223</c:v>
                </c:pt>
                <c:pt idx="720">
                  <c:v>2.2543999092579297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74-47A8-A857-B39B2D79DB3C}"/>
            </c:ext>
          </c:extLst>
        </c:ser>
        <c:ser>
          <c:idx val="1"/>
          <c:order val="1"/>
          <c:tx>
            <c:v>2 Desarrollo irregular</c:v>
          </c:tx>
          <c:spPr>
            <a:ln w="18000">
              <a:solidFill>
                <a:srgbClr val="1F5F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Presion_cilindro!$N$4:$N$724</c:f>
              <c:numCache>
                <c:formatCode>0.0</c:formatCode>
                <c:ptCount val="721"/>
                <c:pt idx="0">
                  <c:v>-180</c:v>
                </c:pt>
                <c:pt idx="1">
                  <c:v>-179.5</c:v>
                </c:pt>
                <c:pt idx="2">
                  <c:v>-179</c:v>
                </c:pt>
                <c:pt idx="3">
                  <c:v>-178.5</c:v>
                </c:pt>
                <c:pt idx="4">
                  <c:v>-178</c:v>
                </c:pt>
                <c:pt idx="5">
                  <c:v>-177.5</c:v>
                </c:pt>
                <c:pt idx="6">
                  <c:v>-177</c:v>
                </c:pt>
                <c:pt idx="7">
                  <c:v>-176.5</c:v>
                </c:pt>
                <c:pt idx="8">
                  <c:v>-176</c:v>
                </c:pt>
                <c:pt idx="9">
                  <c:v>-175.5</c:v>
                </c:pt>
                <c:pt idx="10">
                  <c:v>-175</c:v>
                </c:pt>
                <c:pt idx="11">
                  <c:v>-174.5</c:v>
                </c:pt>
                <c:pt idx="12">
                  <c:v>-174</c:v>
                </c:pt>
                <c:pt idx="13">
                  <c:v>-173.5</c:v>
                </c:pt>
                <c:pt idx="14">
                  <c:v>-173</c:v>
                </c:pt>
                <c:pt idx="15">
                  <c:v>-172.5</c:v>
                </c:pt>
                <c:pt idx="16">
                  <c:v>-172</c:v>
                </c:pt>
                <c:pt idx="17">
                  <c:v>-171.5</c:v>
                </c:pt>
                <c:pt idx="18">
                  <c:v>-171</c:v>
                </c:pt>
                <c:pt idx="19">
                  <c:v>-170.5</c:v>
                </c:pt>
                <c:pt idx="20">
                  <c:v>-170</c:v>
                </c:pt>
                <c:pt idx="21">
                  <c:v>-169.5</c:v>
                </c:pt>
                <c:pt idx="22">
                  <c:v>-169</c:v>
                </c:pt>
                <c:pt idx="23">
                  <c:v>-168.5</c:v>
                </c:pt>
                <c:pt idx="24">
                  <c:v>-168</c:v>
                </c:pt>
                <c:pt idx="25">
                  <c:v>-167.5</c:v>
                </c:pt>
                <c:pt idx="26">
                  <c:v>-167</c:v>
                </c:pt>
                <c:pt idx="27">
                  <c:v>-166.5</c:v>
                </c:pt>
                <c:pt idx="28">
                  <c:v>-166</c:v>
                </c:pt>
                <c:pt idx="29">
                  <c:v>-165.5</c:v>
                </c:pt>
                <c:pt idx="30">
                  <c:v>-165</c:v>
                </c:pt>
                <c:pt idx="31">
                  <c:v>-164.5</c:v>
                </c:pt>
                <c:pt idx="32">
                  <c:v>-164</c:v>
                </c:pt>
                <c:pt idx="33">
                  <c:v>-163.5</c:v>
                </c:pt>
                <c:pt idx="34">
                  <c:v>-163</c:v>
                </c:pt>
                <c:pt idx="35">
                  <c:v>-162.5</c:v>
                </c:pt>
                <c:pt idx="36">
                  <c:v>-162</c:v>
                </c:pt>
                <c:pt idx="37">
                  <c:v>-161.5</c:v>
                </c:pt>
                <c:pt idx="38">
                  <c:v>-161</c:v>
                </c:pt>
                <c:pt idx="39">
                  <c:v>-160.5</c:v>
                </c:pt>
                <c:pt idx="40">
                  <c:v>-160</c:v>
                </c:pt>
                <c:pt idx="41">
                  <c:v>-159.5</c:v>
                </c:pt>
                <c:pt idx="42">
                  <c:v>-159</c:v>
                </c:pt>
                <c:pt idx="43">
                  <c:v>-158.5</c:v>
                </c:pt>
                <c:pt idx="44">
                  <c:v>-158</c:v>
                </c:pt>
                <c:pt idx="45">
                  <c:v>-157.5</c:v>
                </c:pt>
                <c:pt idx="46">
                  <c:v>-157</c:v>
                </c:pt>
                <c:pt idx="47">
                  <c:v>-156.5</c:v>
                </c:pt>
                <c:pt idx="48">
                  <c:v>-156</c:v>
                </c:pt>
                <c:pt idx="49">
                  <c:v>-155.5</c:v>
                </c:pt>
                <c:pt idx="50">
                  <c:v>-155</c:v>
                </c:pt>
                <c:pt idx="51">
                  <c:v>-154.5</c:v>
                </c:pt>
                <c:pt idx="52">
                  <c:v>-154</c:v>
                </c:pt>
                <c:pt idx="53">
                  <c:v>-153.5</c:v>
                </c:pt>
                <c:pt idx="54">
                  <c:v>-153</c:v>
                </c:pt>
                <c:pt idx="55">
                  <c:v>-152.5</c:v>
                </c:pt>
                <c:pt idx="56">
                  <c:v>-152</c:v>
                </c:pt>
                <c:pt idx="57">
                  <c:v>-151.5</c:v>
                </c:pt>
                <c:pt idx="58">
                  <c:v>-151</c:v>
                </c:pt>
                <c:pt idx="59">
                  <c:v>-150.5</c:v>
                </c:pt>
                <c:pt idx="60">
                  <c:v>-150</c:v>
                </c:pt>
                <c:pt idx="61">
                  <c:v>-149.5</c:v>
                </c:pt>
                <c:pt idx="62">
                  <c:v>-149</c:v>
                </c:pt>
                <c:pt idx="63">
                  <c:v>-148.5</c:v>
                </c:pt>
                <c:pt idx="64">
                  <c:v>-148</c:v>
                </c:pt>
                <c:pt idx="65">
                  <c:v>-147.5</c:v>
                </c:pt>
                <c:pt idx="66">
                  <c:v>-147</c:v>
                </c:pt>
                <c:pt idx="67">
                  <c:v>-146.5</c:v>
                </c:pt>
                <c:pt idx="68">
                  <c:v>-146</c:v>
                </c:pt>
                <c:pt idx="69">
                  <c:v>-145.5</c:v>
                </c:pt>
                <c:pt idx="70">
                  <c:v>-145</c:v>
                </c:pt>
                <c:pt idx="71">
                  <c:v>-144.5</c:v>
                </c:pt>
                <c:pt idx="72">
                  <c:v>-144</c:v>
                </c:pt>
                <c:pt idx="73">
                  <c:v>-143.5</c:v>
                </c:pt>
                <c:pt idx="74">
                  <c:v>-143</c:v>
                </c:pt>
                <c:pt idx="75">
                  <c:v>-142.5</c:v>
                </c:pt>
                <c:pt idx="76">
                  <c:v>-142</c:v>
                </c:pt>
                <c:pt idx="77">
                  <c:v>-141.5</c:v>
                </c:pt>
                <c:pt idx="78">
                  <c:v>-141</c:v>
                </c:pt>
                <c:pt idx="79">
                  <c:v>-140.5</c:v>
                </c:pt>
                <c:pt idx="80">
                  <c:v>-140</c:v>
                </c:pt>
                <c:pt idx="81">
                  <c:v>-139.5</c:v>
                </c:pt>
                <c:pt idx="82">
                  <c:v>-139</c:v>
                </c:pt>
                <c:pt idx="83">
                  <c:v>-138.5</c:v>
                </c:pt>
                <c:pt idx="84">
                  <c:v>-138</c:v>
                </c:pt>
                <c:pt idx="85">
                  <c:v>-137.5</c:v>
                </c:pt>
                <c:pt idx="86">
                  <c:v>-137</c:v>
                </c:pt>
                <c:pt idx="87">
                  <c:v>-136.5</c:v>
                </c:pt>
                <c:pt idx="88">
                  <c:v>-136</c:v>
                </c:pt>
                <c:pt idx="89">
                  <c:v>-135.5</c:v>
                </c:pt>
                <c:pt idx="90">
                  <c:v>-135</c:v>
                </c:pt>
                <c:pt idx="91">
                  <c:v>-134.5</c:v>
                </c:pt>
                <c:pt idx="92">
                  <c:v>-134</c:v>
                </c:pt>
                <c:pt idx="93">
                  <c:v>-133.5</c:v>
                </c:pt>
                <c:pt idx="94">
                  <c:v>-133</c:v>
                </c:pt>
                <c:pt idx="95">
                  <c:v>-132.5</c:v>
                </c:pt>
                <c:pt idx="96">
                  <c:v>-132</c:v>
                </c:pt>
                <c:pt idx="97">
                  <c:v>-131.5</c:v>
                </c:pt>
                <c:pt idx="98">
                  <c:v>-131</c:v>
                </c:pt>
                <c:pt idx="99">
                  <c:v>-130.5</c:v>
                </c:pt>
                <c:pt idx="100">
                  <c:v>-130</c:v>
                </c:pt>
                <c:pt idx="101">
                  <c:v>-129.5</c:v>
                </c:pt>
                <c:pt idx="102">
                  <c:v>-129</c:v>
                </c:pt>
                <c:pt idx="103">
                  <c:v>-128.5</c:v>
                </c:pt>
                <c:pt idx="104">
                  <c:v>-128</c:v>
                </c:pt>
                <c:pt idx="105">
                  <c:v>-127.5</c:v>
                </c:pt>
                <c:pt idx="106">
                  <c:v>-127</c:v>
                </c:pt>
                <c:pt idx="107">
                  <c:v>-126.5</c:v>
                </c:pt>
                <c:pt idx="108">
                  <c:v>-126</c:v>
                </c:pt>
                <c:pt idx="109">
                  <c:v>-125.5</c:v>
                </c:pt>
                <c:pt idx="110">
                  <c:v>-125</c:v>
                </c:pt>
                <c:pt idx="111">
                  <c:v>-124.5</c:v>
                </c:pt>
                <c:pt idx="112">
                  <c:v>-124</c:v>
                </c:pt>
                <c:pt idx="113">
                  <c:v>-123.5</c:v>
                </c:pt>
                <c:pt idx="114">
                  <c:v>-123</c:v>
                </c:pt>
                <c:pt idx="115">
                  <c:v>-122.5</c:v>
                </c:pt>
                <c:pt idx="116">
                  <c:v>-122</c:v>
                </c:pt>
                <c:pt idx="117">
                  <c:v>-121.5</c:v>
                </c:pt>
                <c:pt idx="118">
                  <c:v>-121</c:v>
                </c:pt>
                <c:pt idx="119">
                  <c:v>-120.5</c:v>
                </c:pt>
                <c:pt idx="120">
                  <c:v>-120</c:v>
                </c:pt>
                <c:pt idx="121">
                  <c:v>-119.5</c:v>
                </c:pt>
                <c:pt idx="122">
                  <c:v>-119</c:v>
                </c:pt>
                <c:pt idx="123">
                  <c:v>-118.5</c:v>
                </c:pt>
                <c:pt idx="124">
                  <c:v>-118</c:v>
                </c:pt>
                <c:pt idx="125">
                  <c:v>-117.5</c:v>
                </c:pt>
                <c:pt idx="126">
                  <c:v>-117</c:v>
                </c:pt>
                <c:pt idx="127">
                  <c:v>-116.5</c:v>
                </c:pt>
                <c:pt idx="128">
                  <c:v>-116</c:v>
                </c:pt>
                <c:pt idx="129">
                  <c:v>-115.5</c:v>
                </c:pt>
                <c:pt idx="130">
                  <c:v>-115</c:v>
                </c:pt>
                <c:pt idx="131">
                  <c:v>-114.5</c:v>
                </c:pt>
                <c:pt idx="132">
                  <c:v>-114</c:v>
                </c:pt>
                <c:pt idx="133">
                  <c:v>-113.5</c:v>
                </c:pt>
                <c:pt idx="134">
                  <c:v>-113</c:v>
                </c:pt>
                <c:pt idx="135">
                  <c:v>-112.5</c:v>
                </c:pt>
                <c:pt idx="136">
                  <c:v>-112</c:v>
                </c:pt>
                <c:pt idx="137">
                  <c:v>-111.5</c:v>
                </c:pt>
                <c:pt idx="138">
                  <c:v>-111</c:v>
                </c:pt>
                <c:pt idx="139">
                  <c:v>-110.5</c:v>
                </c:pt>
                <c:pt idx="140">
                  <c:v>-110</c:v>
                </c:pt>
                <c:pt idx="141">
                  <c:v>-109.5</c:v>
                </c:pt>
                <c:pt idx="142">
                  <c:v>-109</c:v>
                </c:pt>
                <c:pt idx="143">
                  <c:v>-108.5</c:v>
                </c:pt>
                <c:pt idx="144">
                  <c:v>-108</c:v>
                </c:pt>
                <c:pt idx="145">
                  <c:v>-107.5</c:v>
                </c:pt>
                <c:pt idx="146">
                  <c:v>-107</c:v>
                </c:pt>
                <c:pt idx="147">
                  <c:v>-106.5</c:v>
                </c:pt>
                <c:pt idx="148">
                  <c:v>-106</c:v>
                </c:pt>
                <c:pt idx="149">
                  <c:v>-105.5</c:v>
                </c:pt>
                <c:pt idx="150">
                  <c:v>-105</c:v>
                </c:pt>
                <c:pt idx="151">
                  <c:v>-104.5</c:v>
                </c:pt>
                <c:pt idx="152">
                  <c:v>-104</c:v>
                </c:pt>
                <c:pt idx="153">
                  <c:v>-103.5</c:v>
                </c:pt>
                <c:pt idx="154">
                  <c:v>-103</c:v>
                </c:pt>
                <c:pt idx="155">
                  <c:v>-102.5</c:v>
                </c:pt>
                <c:pt idx="156">
                  <c:v>-102</c:v>
                </c:pt>
                <c:pt idx="157">
                  <c:v>-101.5</c:v>
                </c:pt>
                <c:pt idx="158">
                  <c:v>-101</c:v>
                </c:pt>
                <c:pt idx="159">
                  <c:v>-100.5</c:v>
                </c:pt>
                <c:pt idx="160">
                  <c:v>-100</c:v>
                </c:pt>
                <c:pt idx="161">
                  <c:v>-99.5</c:v>
                </c:pt>
                <c:pt idx="162">
                  <c:v>-99</c:v>
                </c:pt>
                <c:pt idx="163">
                  <c:v>-98.5</c:v>
                </c:pt>
                <c:pt idx="164">
                  <c:v>-98</c:v>
                </c:pt>
                <c:pt idx="165">
                  <c:v>-97.5</c:v>
                </c:pt>
                <c:pt idx="166">
                  <c:v>-97</c:v>
                </c:pt>
                <c:pt idx="167">
                  <c:v>-96.5</c:v>
                </c:pt>
                <c:pt idx="168">
                  <c:v>-96</c:v>
                </c:pt>
                <c:pt idx="169">
                  <c:v>-95.5</c:v>
                </c:pt>
                <c:pt idx="170">
                  <c:v>-95</c:v>
                </c:pt>
                <c:pt idx="171">
                  <c:v>-94.5</c:v>
                </c:pt>
                <c:pt idx="172">
                  <c:v>-94</c:v>
                </c:pt>
                <c:pt idx="173">
                  <c:v>-93.5</c:v>
                </c:pt>
                <c:pt idx="174">
                  <c:v>-93</c:v>
                </c:pt>
                <c:pt idx="175">
                  <c:v>-92.5</c:v>
                </c:pt>
                <c:pt idx="176">
                  <c:v>-92</c:v>
                </c:pt>
                <c:pt idx="177">
                  <c:v>-91.5</c:v>
                </c:pt>
                <c:pt idx="178">
                  <c:v>-91</c:v>
                </c:pt>
                <c:pt idx="179">
                  <c:v>-90.5</c:v>
                </c:pt>
                <c:pt idx="180">
                  <c:v>-90</c:v>
                </c:pt>
                <c:pt idx="181">
                  <c:v>-89.5</c:v>
                </c:pt>
                <c:pt idx="182">
                  <c:v>-89</c:v>
                </c:pt>
                <c:pt idx="183">
                  <c:v>-88.5</c:v>
                </c:pt>
                <c:pt idx="184">
                  <c:v>-88</c:v>
                </c:pt>
                <c:pt idx="185">
                  <c:v>-87.5</c:v>
                </c:pt>
                <c:pt idx="186">
                  <c:v>-87</c:v>
                </c:pt>
                <c:pt idx="187">
                  <c:v>-86.5</c:v>
                </c:pt>
                <c:pt idx="188">
                  <c:v>-86</c:v>
                </c:pt>
                <c:pt idx="189">
                  <c:v>-85.5</c:v>
                </c:pt>
                <c:pt idx="190">
                  <c:v>-85</c:v>
                </c:pt>
                <c:pt idx="191">
                  <c:v>-84.5</c:v>
                </c:pt>
                <c:pt idx="192">
                  <c:v>-84</c:v>
                </c:pt>
                <c:pt idx="193">
                  <c:v>-83.5</c:v>
                </c:pt>
                <c:pt idx="194">
                  <c:v>-83</c:v>
                </c:pt>
                <c:pt idx="195">
                  <c:v>-82.5</c:v>
                </c:pt>
                <c:pt idx="196">
                  <c:v>-82</c:v>
                </c:pt>
                <c:pt idx="197">
                  <c:v>-81.5</c:v>
                </c:pt>
                <c:pt idx="198">
                  <c:v>-81</c:v>
                </c:pt>
                <c:pt idx="199">
                  <c:v>-80.5</c:v>
                </c:pt>
                <c:pt idx="200">
                  <c:v>-80</c:v>
                </c:pt>
                <c:pt idx="201">
                  <c:v>-79.5</c:v>
                </c:pt>
                <c:pt idx="202">
                  <c:v>-79</c:v>
                </c:pt>
                <c:pt idx="203">
                  <c:v>-78.5</c:v>
                </c:pt>
                <c:pt idx="204">
                  <c:v>-78</c:v>
                </c:pt>
                <c:pt idx="205">
                  <c:v>-77.5</c:v>
                </c:pt>
                <c:pt idx="206">
                  <c:v>-77</c:v>
                </c:pt>
                <c:pt idx="207">
                  <c:v>-76.5</c:v>
                </c:pt>
                <c:pt idx="208">
                  <c:v>-76</c:v>
                </c:pt>
                <c:pt idx="209">
                  <c:v>-75.5</c:v>
                </c:pt>
                <c:pt idx="210">
                  <c:v>-75</c:v>
                </c:pt>
                <c:pt idx="211">
                  <c:v>-74.5</c:v>
                </c:pt>
                <c:pt idx="212">
                  <c:v>-74</c:v>
                </c:pt>
                <c:pt idx="213">
                  <c:v>-73.5</c:v>
                </c:pt>
                <c:pt idx="214">
                  <c:v>-73</c:v>
                </c:pt>
                <c:pt idx="215">
                  <c:v>-72.5</c:v>
                </c:pt>
                <c:pt idx="216">
                  <c:v>-72</c:v>
                </c:pt>
                <c:pt idx="217">
                  <c:v>-71.5</c:v>
                </c:pt>
                <c:pt idx="218">
                  <c:v>-71</c:v>
                </c:pt>
                <c:pt idx="219">
                  <c:v>-70.5</c:v>
                </c:pt>
                <c:pt idx="220">
                  <c:v>-70</c:v>
                </c:pt>
                <c:pt idx="221">
                  <c:v>-69.5</c:v>
                </c:pt>
                <c:pt idx="222">
                  <c:v>-69</c:v>
                </c:pt>
                <c:pt idx="223">
                  <c:v>-68.5</c:v>
                </c:pt>
                <c:pt idx="224">
                  <c:v>-68</c:v>
                </c:pt>
                <c:pt idx="225">
                  <c:v>-67.5</c:v>
                </c:pt>
                <c:pt idx="226">
                  <c:v>-67</c:v>
                </c:pt>
                <c:pt idx="227">
                  <c:v>-66.5</c:v>
                </c:pt>
                <c:pt idx="228">
                  <c:v>-66</c:v>
                </c:pt>
                <c:pt idx="229">
                  <c:v>-65.5</c:v>
                </c:pt>
                <c:pt idx="230">
                  <c:v>-65</c:v>
                </c:pt>
                <c:pt idx="231">
                  <c:v>-64.5</c:v>
                </c:pt>
                <c:pt idx="232">
                  <c:v>-64</c:v>
                </c:pt>
                <c:pt idx="233">
                  <c:v>-63.5</c:v>
                </c:pt>
                <c:pt idx="234">
                  <c:v>-63</c:v>
                </c:pt>
                <c:pt idx="235">
                  <c:v>-62.5</c:v>
                </c:pt>
                <c:pt idx="236">
                  <c:v>-62</c:v>
                </c:pt>
                <c:pt idx="237">
                  <c:v>-61.5</c:v>
                </c:pt>
                <c:pt idx="238">
                  <c:v>-61</c:v>
                </c:pt>
                <c:pt idx="239">
                  <c:v>-60.5</c:v>
                </c:pt>
                <c:pt idx="240">
                  <c:v>-60</c:v>
                </c:pt>
                <c:pt idx="241">
                  <c:v>-59.5</c:v>
                </c:pt>
                <c:pt idx="242">
                  <c:v>-59</c:v>
                </c:pt>
                <c:pt idx="243">
                  <c:v>-58.5</c:v>
                </c:pt>
                <c:pt idx="244">
                  <c:v>-58</c:v>
                </c:pt>
                <c:pt idx="245">
                  <c:v>-57.5</c:v>
                </c:pt>
                <c:pt idx="246">
                  <c:v>-57</c:v>
                </c:pt>
                <c:pt idx="247">
                  <c:v>-56.5</c:v>
                </c:pt>
                <c:pt idx="248">
                  <c:v>-56</c:v>
                </c:pt>
                <c:pt idx="249">
                  <c:v>-55.5</c:v>
                </c:pt>
                <c:pt idx="250">
                  <c:v>-55</c:v>
                </c:pt>
                <c:pt idx="251">
                  <c:v>-54.5</c:v>
                </c:pt>
                <c:pt idx="252">
                  <c:v>-54</c:v>
                </c:pt>
                <c:pt idx="253">
                  <c:v>-53.5</c:v>
                </c:pt>
                <c:pt idx="254">
                  <c:v>-53</c:v>
                </c:pt>
                <c:pt idx="255">
                  <c:v>-52.5</c:v>
                </c:pt>
                <c:pt idx="256">
                  <c:v>-52</c:v>
                </c:pt>
                <c:pt idx="257">
                  <c:v>-51.5</c:v>
                </c:pt>
                <c:pt idx="258">
                  <c:v>-51</c:v>
                </c:pt>
                <c:pt idx="259">
                  <c:v>-50.5</c:v>
                </c:pt>
                <c:pt idx="260">
                  <c:v>-50</c:v>
                </c:pt>
                <c:pt idx="261">
                  <c:v>-49.5</c:v>
                </c:pt>
                <c:pt idx="262">
                  <c:v>-49</c:v>
                </c:pt>
                <c:pt idx="263">
                  <c:v>-48.5</c:v>
                </c:pt>
                <c:pt idx="264">
                  <c:v>-48</c:v>
                </c:pt>
                <c:pt idx="265">
                  <c:v>-47.5</c:v>
                </c:pt>
                <c:pt idx="266">
                  <c:v>-47</c:v>
                </c:pt>
                <c:pt idx="267">
                  <c:v>-46.5</c:v>
                </c:pt>
                <c:pt idx="268">
                  <c:v>-46</c:v>
                </c:pt>
                <c:pt idx="269">
                  <c:v>-45.5</c:v>
                </c:pt>
                <c:pt idx="270">
                  <c:v>-45</c:v>
                </c:pt>
                <c:pt idx="271">
                  <c:v>-44.5</c:v>
                </c:pt>
                <c:pt idx="272">
                  <c:v>-44</c:v>
                </c:pt>
                <c:pt idx="273">
                  <c:v>-43.5</c:v>
                </c:pt>
                <c:pt idx="274">
                  <c:v>-43</c:v>
                </c:pt>
                <c:pt idx="275">
                  <c:v>-42.5</c:v>
                </c:pt>
                <c:pt idx="276">
                  <c:v>-42</c:v>
                </c:pt>
                <c:pt idx="277">
                  <c:v>-41.5</c:v>
                </c:pt>
                <c:pt idx="278">
                  <c:v>-41</c:v>
                </c:pt>
                <c:pt idx="279">
                  <c:v>-40.5</c:v>
                </c:pt>
                <c:pt idx="280">
                  <c:v>-40</c:v>
                </c:pt>
                <c:pt idx="281">
                  <c:v>-39.5</c:v>
                </c:pt>
                <c:pt idx="282">
                  <c:v>-39</c:v>
                </c:pt>
                <c:pt idx="283">
                  <c:v>-38.5</c:v>
                </c:pt>
                <c:pt idx="284">
                  <c:v>-38</c:v>
                </c:pt>
                <c:pt idx="285">
                  <c:v>-37.5</c:v>
                </c:pt>
                <c:pt idx="286">
                  <c:v>-37</c:v>
                </c:pt>
                <c:pt idx="287">
                  <c:v>-36.5</c:v>
                </c:pt>
                <c:pt idx="288">
                  <c:v>-36</c:v>
                </c:pt>
                <c:pt idx="289">
                  <c:v>-35.5</c:v>
                </c:pt>
                <c:pt idx="290">
                  <c:v>-35</c:v>
                </c:pt>
                <c:pt idx="291">
                  <c:v>-34.5</c:v>
                </c:pt>
                <c:pt idx="292">
                  <c:v>-34</c:v>
                </c:pt>
                <c:pt idx="293">
                  <c:v>-33.5</c:v>
                </c:pt>
                <c:pt idx="294">
                  <c:v>-33</c:v>
                </c:pt>
                <c:pt idx="295">
                  <c:v>-32.5</c:v>
                </c:pt>
                <c:pt idx="296">
                  <c:v>-32</c:v>
                </c:pt>
                <c:pt idx="297">
                  <c:v>-31.5</c:v>
                </c:pt>
                <c:pt idx="298">
                  <c:v>-31</c:v>
                </c:pt>
                <c:pt idx="299">
                  <c:v>-30.5</c:v>
                </c:pt>
                <c:pt idx="300">
                  <c:v>-30</c:v>
                </c:pt>
                <c:pt idx="301">
                  <c:v>-29.5</c:v>
                </c:pt>
                <c:pt idx="302">
                  <c:v>-29</c:v>
                </c:pt>
                <c:pt idx="303">
                  <c:v>-28.5</c:v>
                </c:pt>
                <c:pt idx="304">
                  <c:v>-28</c:v>
                </c:pt>
                <c:pt idx="305">
                  <c:v>-27.5</c:v>
                </c:pt>
                <c:pt idx="306">
                  <c:v>-27</c:v>
                </c:pt>
                <c:pt idx="307">
                  <c:v>-26.5</c:v>
                </c:pt>
                <c:pt idx="308">
                  <c:v>-26</c:v>
                </c:pt>
                <c:pt idx="309">
                  <c:v>-25.5</c:v>
                </c:pt>
                <c:pt idx="310">
                  <c:v>-25</c:v>
                </c:pt>
                <c:pt idx="311">
                  <c:v>-24.5</c:v>
                </c:pt>
                <c:pt idx="312">
                  <c:v>-24</c:v>
                </c:pt>
                <c:pt idx="313">
                  <c:v>-23.5</c:v>
                </c:pt>
                <c:pt idx="314">
                  <c:v>-23</c:v>
                </c:pt>
                <c:pt idx="315">
                  <c:v>-22.5</c:v>
                </c:pt>
                <c:pt idx="316">
                  <c:v>-22</c:v>
                </c:pt>
                <c:pt idx="317">
                  <c:v>-21.5</c:v>
                </c:pt>
                <c:pt idx="318">
                  <c:v>-21</c:v>
                </c:pt>
                <c:pt idx="319">
                  <c:v>-20.5</c:v>
                </c:pt>
                <c:pt idx="320">
                  <c:v>-20</c:v>
                </c:pt>
                <c:pt idx="321">
                  <c:v>-19.5</c:v>
                </c:pt>
                <c:pt idx="322">
                  <c:v>-19</c:v>
                </c:pt>
                <c:pt idx="323">
                  <c:v>-18.5</c:v>
                </c:pt>
                <c:pt idx="324">
                  <c:v>-18</c:v>
                </c:pt>
                <c:pt idx="325">
                  <c:v>-17.5</c:v>
                </c:pt>
                <c:pt idx="326">
                  <c:v>-17</c:v>
                </c:pt>
                <c:pt idx="327">
                  <c:v>-16.5</c:v>
                </c:pt>
                <c:pt idx="328">
                  <c:v>-16</c:v>
                </c:pt>
                <c:pt idx="329">
                  <c:v>-15.5</c:v>
                </c:pt>
                <c:pt idx="330">
                  <c:v>-15</c:v>
                </c:pt>
                <c:pt idx="331">
                  <c:v>-14.5</c:v>
                </c:pt>
                <c:pt idx="332">
                  <c:v>-14</c:v>
                </c:pt>
                <c:pt idx="333">
                  <c:v>-13.5</c:v>
                </c:pt>
                <c:pt idx="334">
                  <c:v>-13</c:v>
                </c:pt>
                <c:pt idx="335">
                  <c:v>-12.5</c:v>
                </c:pt>
                <c:pt idx="336">
                  <c:v>-12</c:v>
                </c:pt>
                <c:pt idx="337">
                  <c:v>-11.5</c:v>
                </c:pt>
                <c:pt idx="338">
                  <c:v>-11</c:v>
                </c:pt>
                <c:pt idx="339">
                  <c:v>-10.5</c:v>
                </c:pt>
                <c:pt idx="340">
                  <c:v>-10</c:v>
                </c:pt>
                <c:pt idx="341">
                  <c:v>-9.5</c:v>
                </c:pt>
                <c:pt idx="342">
                  <c:v>-9</c:v>
                </c:pt>
                <c:pt idx="343">
                  <c:v>-8.5</c:v>
                </c:pt>
                <c:pt idx="344">
                  <c:v>-8</c:v>
                </c:pt>
                <c:pt idx="345">
                  <c:v>-7.5</c:v>
                </c:pt>
                <c:pt idx="346">
                  <c:v>-7</c:v>
                </c:pt>
                <c:pt idx="347">
                  <c:v>-6.5</c:v>
                </c:pt>
                <c:pt idx="348">
                  <c:v>-6</c:v>
                </c:pt>
                <c:pt idx="349">
                  <c:v>-5.5</c:v>
                </c:pt>
                <c:pt idx="350">
                  <c:v>-5</c:v>
                </c:pt>
                <c:pt idx="351">
                  <c:v>-4.5</c:v>
                </c:pt>
                <c:pt idx="352">
                  <c:v>-4</c:v>
                </c:pt>
                <c:pt idx="353">
                  <c:v>-3.5</c:v>
                </c:pt>
                <c:pt idx="354">
                  <c:v>-3</c:v>
                </c:pt>
                <c:pt idx="355">
                  <c:v>-2.5</c:v>
                </c:pt>
                <c:pt idx="356">
                  <c:v>-2</c:v>
                </c:pt>
                <c:pt idx="357">
                  <c:v>-1.5</c:v>
                </c:pt>
                <c:pt idx="358">
                  <c:v>-1</c:v>
                </c:pt>
                <c:pt idx="359">
                  <c:v>-0.5</c:v>
                </c:pt>
                <c:pt idx="360">
                  <c:v>0</c:v>
                </c:pt>
                <c:pt idx="361">
                  <c:v>0.5</c:v>
                </c:pt>
                <c:pt idx="362">
                  <c:v>1</c:v>
                </c:pt>
                <c:pt idx="363">
                  <c:v>1.5</c:v>
                </c:pt>
                <c:pt idx="364">
                  <c:v>2</c:v>
                </c:pt>
                <c:pt idx="365">
                  <c:v>2.5</c:v>
                </c:pt>
                <c:pt idx="366">
                  <c:v>3</c:v>
                </c:pt>
                <c:pt idx="367">
                  <c:v>3.5</c:v>
                </c:pt>
                <c:pt idx="368">
                  <c:v>4</c:v>
                </c:pt>
                <c:pt idx="369">
                  <c:v>4.5</c:v>
                </c:pt>
                <c:pt idx="370">
                  <c:v>5</c:v>
                </c:pt>
                <c:pt idx="371">
                  <c:v>5.5</c:v>
                </c:pt>
                <c:pt idx="372">
                  <c:v>6</c:v>
                </c:pt>
                <c:pt idx="373">
                  <c:v>6.5</c:v>
                </c:pt>
                <c:pt idx="374">
                  <c:v>7</c:v>
                </c:pt>
                <c:pt idx="375">
                  <c:v>7.5</c:v>
                </c:pt>
                <c:pt idx="376">
                  <c:v>8</c:v>
                </c:pt>
                <c:pt idx="377">
                  <c:v>8.5</c:v>
                </c:pt>
                <c:pt idx="378">
                  <c:v>9</c:v>
                </c:pt>
                <c:pt idx="379">
                  <c:v>9.5</c:v>
                </c:pt>
                <c:pt idx="380">
                  <c:v>10</c:v>
                </c:pt>
                <c:pt idx="381">
                  <c:v>10.5</c:v>
                </c:pt>
                <c:pt idx="382">
                  <c:v>11</c:v>
                </c:pt>
                <c:pt idx="383">
                  <c:v>11.5</c:v>
                </c:pt>
                <c:pt idx="384">
                  <c:v>12</c:v>
                </c:pt>
                <c:pt idx="385">
                  <c:v>12.5</c:v>
                </c:pt>
                <c:pt idx="386">
                  <c:v>13</c:v>
                </c:pt>
                <c:pt idx="387">
                  <c:v>13.5</c:v>
                </c:pt>
                <c:pt idx="388">
                  <c:v>14</c:v>
                </c:pt>
                <c:pt idx="389">
                  <c:v>14.5</c:v>
                </c:pt>
                <c:pt idx="390">
                  <c:v>15</c:v>
                </c:pt>
                <c:pt idx="391">
                  <c:v>15.5</c:v>
                </c:pt>
                <c:pt idx="392">
                  <c:v>16</c:v>
                </c:pt>
                <c:pt idx="393">
                  <c:v>16.5</c:v>
                </c:pt>
                <c:pt idx="394">
                  <c:v>17</c:v>
                </c:pt>
                <c:pt idx="395">
                  <c:v>17.5</c:v>
                </c:pt>
                <c:pt idx="396">
                  <c:v>18</c:v>
                </c:pt>
                <c:pt idx="397">
                  <c:v>18.5</c:v>
                </c:pt>
                <c:pt idx="398">
                  <c:v>19</c:v>
                </c:pt>
                <c:pt idx="399">
                  <c:v>19.5</c:v>
                </c:pt>
                <c:pt idx="400">
                  <c:v>20</c:v>
                </c:pt>
                <c:pt idx="401">
                  <c:v>20.5</c:v>
                </c:pt>
                <c:pt idx="402">
                  <c:v>21</c:v>
                </c:pt>
                <c:pt idx="403">
                  <c:v>21.5</c:v>
                </c:pt>
                <c:pt idx="404">
                  <c:v>22</c:v>
                </c:pt>
                <c:pt idx="405">
                  <c:v>22.5</c:v>
                </c:pt>
                <c:pt idx="406">
                  <c:v>23</c:v>
                </c:pt>
                <c:pt idx="407">
                  <c:v>23.5</c:v>
                </c:pt>
                <c:pt idx="408">
                  <c:v>24</c:v>
                </c:pt>
                <c:pt idx="409">
                  <c:v>24.5</c:v>
                </c:pt>
                <c:pt idx="410">
                  <c:v>25</c:v>
                </c:pt>
                <c:pt idx="411">
                  <c:v>25.5</c:v>
                </c:pt>
                <c:pt idx="412">
                  <c:v>26</c:v>
                </c:pt>
                <c:pt idx="413">
                  <c:v>26.5</c:v>
                </c:pt>
                <c:pt idx="414">
                  <c:v>27</c:v>
                </c:pt>
                <c:pt idx="415">
                  <c:v>27.5</c:v>
                </c:pt>
                <c:pt idx="416">
                  <c:v>28</c:v>
                </c:pt>
                <c:pt idx="417">
                  <c:v>28.5</c:v>
                </c:pt>
                <c:pt idx="418">
                  <c:v>29</c:v>
                </c:pt>
                <c:pt idx="419">
                  <c:v>29.5</c:v>
                </c:pt>
                <c:pt idx="420">
                  <c:v>30</c:v>
                </c:pt>
                <c:pt idx="421">
                  <c:v>30.5</c:v>
                </c:pt>
                <c:pt idx="422">
                  <c:v>31</c:v>
                </c:pt>
                <c:pt idx="423">
                  <c:v>31.5</c:v>
                </c:pt>
                <c:pt idx="424">
                  <c:v>32</c:v>
                </c:pt>
                <c:pt idx="425">
                  <c:v>32.5</c:v>
                </c:pt>
                <c:pt idx="426">
                  <c:v>33</c:v>
                </c:pt>
                <c:pt idx="427">
                  <c:v>33.5</c:v>
                </c:pt>
                <c:pt idx="428">
                  <c:v>34</c:v>
                </c:pt>
                <c:pt idx="429">
                  <c:v>34.5</c:v>
                </c:pt>
                <c:pt idx="430">
                  <c:v>35</c:v>
                </c:pt>
                <c:pt idx="431">
                  <c:v>35.5</c:v>
                </c:pt>
                <c:pt idx="432">
                  <c:v>36</c:v>
                </c:pt>
                <c:pt idx="433">
                  <c:v>36.5</c:v>
                </c:pt>
                <c:pt idx="434">
                  <c:v>37</c:v>
                </c:pt>
                <c:pt idx="435">
                  <c:v>37.5</c:v>
                </c:pt>
                <c:pt idx="436">
                  <c:v>38</c:v>
                </c:pt>
                <c:pt idx="437">
                  <c:v>38.5</c:v>
                </c:pt>
                <c:pt idx="438">
                  <c:v>39</c:v>
                </c:pt>
                <c:pt idx="439">
                  <c:v>39.5</c:v>
                </c:pt>
                <c:pt idx="440">
                  <c:v>40</c:v>
                </c:pt>
                <c:pt idx="441">
                  <c:v>40.5</c:v>
                </c:pt>
                <c:pt idx="442">
                  <c:v>41</c:v>
                </c:pt>
                <c:pt idx="443">
                  <c:v>41.5</c:v>
                </c:pt>
                <c:pt idx="444">
                  <c:v>42</c:v>
                </c:pt>
                <c:pt idx="445">
                  <c:v>42.5</c:v>
                </c:pt>
                <c:pt idx="446">
                  <c:v>43</c:v>
                </c:pt>
                <c:pt idx="447">
                  <c:v>43.5</c:v>
                </c:pt>
                <c:pt idx="448">
                  <c:v>44</c:v>
                </c:pt>
                <c:pt idx="449">
                  <c:v>44.5</c:v>
                </c:pt>
                <c:pt idx="450">
                  <c:v>45</c:v>
                </c:pt>
                <c:pt idx="451">
                  <c:v>45.5</c:v>
                </c:pt>
                <c:pt idx="452">
                  <c:v>46</c:v>
                </c:pt>
                <c:pt idx="453">
                  <c:v>46.5</c:v>
                </c:pt>
                <c:pt idx="454">
                  <c:v>47</c:v>
                </c:pt>
                <c:pt idx="455">
                  <c:v>47.5</c:v>
                </c:pt>
                <c:pt idx="456">
                  <c:v>48</c:v>
                </c:pt>
                <c:pt idx="457">
                  <c:v>48.5</c:v>
                </c:pt>
                <c:pt idx="458">
                  <c:v>49</c:v>
                </c:pt>
                <c:pt idx="459">
                  <c:v>49.5</c:v>
                </c:pt>
                <c:pt idx="460">
                  <c:v>50</c:v>
                </c:pt>
                <c:pt idx="461">
                  <c:v>50.5</c:v>
                </c:pt>
                <c:pt idx="462">
                  <c:v>51</c:v>
                </c:pt>
                <c:pt idx="463">
                  <c:v>51.5</c:v>
                </c:pt>
                <c:pt idx="464">
                  <c:v>52</c:v>
                </c:pt>
                <c:pt idx="465">
                  <c:v>52.5</c:v>
                </c:pt>
                <c:pt idx="466">
                  <c:v>53</c:v>
                </c:pt>
                <c:pt idx="467">
                  <c:v>53.5</c:v>
                </c:pt>
                <c:pt idx="468">
                  <c:v>54</c:v>
                </c:pt>
                <c:pt idx="469">
                  <c:v>54.5</c:v>
                </c:pt>
                <c:pt idx="470">
                  <c:v>55</c:v>
                </c:pt>
                <c:pt idx="471">
                  <c:v>55.5</c:v>
                </c:pt>
                <c:pt idx="472">
                  <c:v>56</c:v>
                </c:pt>
                <c:pt idx="473">
                  <c:v>56.5</c:v>
                </c:pt>
                <c:pt idx="474">
                  <c:v>57</c:v>
                </c:pt>
                <c:pt idx="475">
                  <c:v>57.5</c:v>
                </c:pt>
                <c:pt idx="476">
                  <c:v>58</c:v>
                </c:pt>
                <c:pt idx="477">
                  <c:v>58.5</c:v>
                </c:pt>
                <c:pt idx="478">
                  <c:v>59</c:v>
                </c:pt>
                <c:pt idx="479">
                  <c:v>59.5</c:v>
                </c:pt>
                <c:pt idx="480">
                  <c:v>60</c:v>
                </c:pt>
                <c:pt idx="481">
                  <c:v>60.5</c:v>
                </c:pt>
                <c:pt idx="482">
                  <c:v>61</c:v>
                </c:pt>
                <c:pt idx="483">
                  <c:v>61.5</c:v>
                </c:pt>
                <c:pt idx="484">
                  <c:v>62</c:v>
                </c:pt>
                <c:pt idx="485">
                  <c:v>62.5</c:v>
                </c:pt>
                <c:pt idx="486">
                  <c:v>63</c:v>
                </c:pt>
                <c:pt idx="487">
                  <c:v>63.5</c:v>
                </c:pt>
                <c:pt idx="488">
                  <c:v>64</c:v>
                </c:pt>
                <c:pt idx="489">
                  <c:v>64.5</c:v>
                </c:pt>
                <c:pt idx="490">
                  <c:v>65</c:v>
                </c:pt>
                <c:pt idx="491">
                  <c:v>65.5</c:v>
                </c:pt>
                <c:pt idx="492">
                  <c:v>66</c:v>
                </c:pt>
                <c:pt idx="493">
                  <c:v>66.5</c:v>
                </c:pt>
                <c:pt idx="494">
                  <c:v>67</c:v>
                </c:pt>
                <c:pt idx="495">
                  <c:v>67.5</c:v>
                </c:pt>
                <c:pt idx="496">
                  <c:v>68</c:v>
                </c:pt>
                <c:pt idx="497">
                  <c:v>68.5</c:v>
                </c:pt>
                <c:pt idx="498">
                  <c:v>69</c:v>
                </c:pt>
                <c:pt idx="499">
                  <c:v>69.5</c:v>
                </c:pt>
                <c:pt idx="500">
                  <c:v>70</c:v>
                </c:pt>
                <c:pt idx="501">
                  <c:v>70.5</c:v>
                </c:pt>
                <c:pt idx="502">
                  <c:v>71</c:v>
                </c:pt>
                <c:pt idx="503">
                  <c:v>71.5</c:v>
                </c:pt>
                <c:pt idx="504">
                  <c:v>72</c:v>
                </c:pt>
                <c:pt idx="505">
                  <c:v>72.5</c:v>
                </c:pt>
                <c:pt idx="506">
                  <c:v>73</c:v>
                </c:pt>
                <c:pt idx="507">
                  <c:v>73.5</c:v>
                </c:pt>
                <c:pt idx="508">
                  <c:v>74</c:v>
                </c:pt>
                <c:pt idx="509">
                  <c:v>74.5</c:v>
                </c:pt>
                <c:pt idx="510">
                  <c:v>75</c:v>
                </c:pt>
                <c:pt idx="511">
                  <c:v>75.5</c:v>
                </c:pt>
                <c:pt idx="512">
                  <c:v>76</c:v>
                </c:pt>
                <c:pt idx="513">
                  <c:v>76.5</c:v>
                </c:pt>
                <c:pt idx="514">
                  <c:v>77</c:v>
                </c:pt>
                <c:pt idx="515">
                  <c:v>77.5</c:v>
                </c:pt>
                <c:pt idx="516">
                  <c:v>78</c:v>
                </c:pt>
                <c:pt idx="517">
                  <c:v>78.5</c:v>
                </c:pt>
                <c:pt idx="518">
                  <c:v>79</c:v>
                </c:pt>
                <c:pt idx="519">
                  <c:v>79.5</c:v>
                </c:pt>
                <c:pt idx="520">
                  <c:v>80</c:v>
                </c:pt>
                <c:pt idx="521">
                  <c:v>80.5</c:v>
                </c:pt>
                <c:pt idx="522">
                  <c:v>81</c:v>
                </c:pt>
                <c:pt idx="523">
                  <c:v>81.5</c:v>
                </c:pt>
                <c:pt idx="524">
                  <c:v>82</c:v>
                </c:pt>
                <c:pt idx="525">
                  <c:v>82.5</c:v>
                </c:pt>
                <c:pt idx="526">
                  <c:v>83</c:v>
                </c:pt>
                <c:pt idx="527">
                  <c:v>83.5</c:v>
                </c:pt>
                <c:pt idx="528">
                  <c:v>84</c:v>
                </c:pt>
                <c:pt idx="529">
                  <c:v>84.5</c:v>
                </c:pt>
                <c:pt idx="530">
                  <c:v>85</c:v>
                </c:pt>
                <c:pt idx="531">
                  <c:v>85.5</c:v>
                </c:pt>
                <c:pt idx="532">
                  <c:v>86</c:v>
                </c:pt>
                <c:pt idx="533">
                  <c:v>86.5</c:v>
                </c:pt>
                <c:pt idx="534">
                  <c:v>87</c:v>
                </c:pt>
                <c:pt idx="535">
                  <c:v>87.5</c:v>
                </c:pt>
                <c:pt idx="536">
                  <c:v>88</c:v>
                </c:pt>
                <c:pt idx="537">
                  <c:v>88.5</c:v>
                </c:pt>
                <c:pt idx="538">
                  <c:v>89</c:v>
                </c:pt>
                <c:pt idx="539">
                  <c:v>89.5</c:v>
                </c:pt>
                <c:pt idx="540">
                  <c:v>90</c:v>
                </c:pt>
                <c:pt idx="541">
                  <c:v>90.5</c:v>
                </c:pt>
                <c:pt idx="542">
                  <c:v>91</c:v>
                </c:pt>
                <c:pt idx="543">
                  <c:v>91.5</c:v>
                </c:pt>
                <c:pt idx="544">
                  <c:v>92</c:v>
                </c:pt>
                <c:pt idx="545">
                  <c:v>92.5</c:v>
                </c:pt>
                <c:pt idx="546">
                  <c:v>93</c:v>
                </c:pt>
                <c:pt idx="547">
                  <c:v>93.5</c:v>
                </c:pt>
                <c:pt idx="548">
                  <c:v>94</c:v>
                </c:pt>
                <c:pt idx="549">
                  <c:v>94.5</c:v>
                </c:pt>
                <c:pt idx="550">
                  <c:v>95</c:v>
                </c:pt>
                <c:pt idx="551">
                  <c:v>95.5</c:v>
                </c:pt>
                <c:pt idx="552">
                  <c:v>96</c:v>
                </c:pt>
                <c:pt idx="553">
                  <c:v>96.5</c:v>
                </c:pt>
                <c:pt idx="554">
                  <c:v>97</c:v>
                </c:pt>
                <c:pt idx="555">
                  <c:v>97.5</c:v>
                </c:pt>
                <c:pt idx="556">
                  <c:v>98</c:v>
                </c:pt>
                <c:pt idx="557">
                  <c:v>98.5</c:v>
                </c:pt>
                <c:pt idx="558">
                  <c:v>99</c:v>
                </c:pt>
                <c:pt idx="559">
                  <c:v>99.5</c:v>
                </c:pt>
                <c:pt idx="560">
                  <c:v>100</c:v>
                </c:pt>
                <c:pt idx="561">
                  <c:v>100.5</c:v>
                </c:pt>
                <c:pt idx="562">
                  <c:v>101</c:v>
                </c:pt>
                <c:pt idx="563">
                  <c:v>101.5</c:v>
                </c:pt>
                <c:pt idx="564">
                  <c:v>102</c:v>
                </c:pt>
                <c:pt idx="565">
                  <c:v>102.5</c:v>
                </c:pt>
                <c:pt idx="566">
                  <c:v>103</c:v>
                </c:pt>
                <c:pt idx="567">
                  <c:v>103.5</c:v>
                </c:pt>
                <c:pt idx="568">
                  <c:v>104</c:v>
                </c:pt>
                <c:pt idx="569">
                  <c:v>104.5</c:v>
                </c:pt>
                <c:pt idx="570">
                  <c:v>105</c:v>
                </c:pt>
                <c:pt idx="571">
                  <c:v>105.5</c:v>
                </c:pt>
                <c:pt idx="572">
                  <c:v>106</c:v>
                </c:pt>
                <c:pt idx="573">
                  <c:v>106.5</c:v>
                </c:pt>
                <c:pt idx="574">
                  <c:v>107</c:v>
                </c:pt>
                <c:pt idx="575">
                  <c:v>107.5</c:v>
                </c:pt>
                <c:pt idx="576">
                  <c:v>108</c:v>
                </c:pt>
                <c:pt idx="577">
                  <c:v>108.5</c:v>
                </c:pt>
                <c:pt idx="578">
                  <c:v>109</c:v>
                </c:pt>
                <c:pt idx="579">
                  <c:v>109.5</c:v>
                </c:pt>
                <c:pt idx="580">
                  <c:v>110</c:v>
                </c:pt>
                <c:pt idx="581">
                  <c:v>110.5</c:v>
                </c:pt>
                <c:pt idx="582">
                  <c:v>111</c:v>
                </c:pt>
                <c:pt idx="583">
                  <c:v>111.5</c:v>
                </c:pt>
                <c:pt idx="584">
                  <c:v>112</c:v>
                </c:pt>
                <c:pt idx="585">
                  <c:v>112.5</c:v>
                </c:pt>
                <c:pt idx="586">
                  <c:v>113</c:v>
                </c:pt>
                <c:pt idx="587">
                  <c:v>113.5</c:v>
                </c:pt>
                <c:pt idx="588">
                  <c:v>114</c:v>
                </c:pt>
                <c:pt idx="589">
                  <c:v>114.5</c:v>
                </c:pt>
                <c:pt idx="590">
                  <c:v>115</c:v>
                </c:pt>
                <c:pt idx="591">
                  <c:v>115.5</c:v>
                </c:pt>
                <c:pt idx="592">
                  <c:v>116</c:v>
                </c:pt>
                <c:pt idx="593">
                  <c:v>116.5</c:v>
                </c:pt>
                <c:pt idx="594">
                  <c:v>117</c:v>
                </c:pt>
                <c:pt idx="595">
                  <c:v>117.5</c:v>
                </c:pt>
                <c:pt idx="596">
                  <c:v>118</c:v>
                </c:pt>
                <c:pt idx="597">
                  <c:v>118.5</c:v>
                </c:pt>
                <c:pt idx="598">
                  <c:v>119</c:v>
                </c:pt>
                <c:pt idx="599">
                  <c:v>119.5</c:v>
                </c:pt>
                <c:pt idx="600">
                  <c:v>120</c:v>
                </c:pt>
                <c:pt idx="601">
                  <c:v>120.5</c:v>
                </c:pt>
                <c:pt idx="602">
                  <c:v>121</c:v>
                </c:pt>
                <c:pt idx="603">
                  <c:v>121.5</c:v>
                </c:pt>
                <c:pt idx="604">
                  <c:v>122</c:v>
                </c:pt>
                <c:pt idx="605">
                  <c:v>122.5</c:v>
                </c:pt>
                <c:pt idx="606">
                  <c:v>123</c:v>
                </c:pt>
                <c:pt idx="607">
                  <c:v>123.5</c:v>
                </c:pt>
                <c:pt idx="608">
                  <c:v>124</c:v>
                </c:pt>
                <c:pt idx="609">
                  <c:v>124.5</c:v>
                </c:pt>
                <c:pt idx="610">
                  <c:v>125</c:v>
                </c:pt>
                <c:pt idx="611">
                  <c:v>125.5</c:v>
                </c:pt>
                <c:pt idx="612">
                  <c:v>126</c:v>
                </c:pt>
                <c:pt idx="613">
                  <c:v>126.5</c:v>
                </c:pt>
                <c:pt idx="614">
                  <c:v>127</c:v>
                </c:pt>
                <c:pt idx="615">
                  <c:v>127.5</c:v>
                </c:pt>
                <c:pt idx="616">
                  <c:v>128</c:v>
                </c:pt>
                <c:pt idx="617">
                  <c:v>128.5</c:v>
                </c:pt>
                <c:pt idx="618">
                  <c:v>129</c:v>
                </c:pt>
                <c:pt idx="619">
                  <c:v>129.5</c:v>
                </c:pt>
                <c:pt idx="620">
                  <c:v>130</c:v>
                </c:pt>
                <c:pt idx="621">
                  <c:v>130.5</c:v>
                </c:pt>
                <c:pt idx="622">
                  <c:v>131</c:v>
                </c:pt>
                <c:pt idx="623">
                  <c:v>131.5</c:v>
                </c:pt>
                <c:pt idx="624">
                  <c:v>132</c:v>
                </c:pt>
                <c:pt idx="625">
                  <c:v>132.5</c:v>
                </c:pt>
                <c:pt idx="626">
                  <c:v>133</c:v>
                </c:pt>
                <c:pt idx="627">
                  <c:v>133.5</c:v>
                </c:pt>
                <c:pt idx="628">
                  <c:v>134</c:v>
                </c:pt>
                <c:pt idx="629">
                  <c:v>134.5</c:v>
                </c:pt>
                <c:pt idx="630">
                  <c:v>135</c:v>
                </c:pt>
                <c:pt idx="631">
                  <c:v>135.5</c:v>
                </c:pt>
                <c:pt idx="632">
                  <c:v>136</c:v>
                </c:pt>
                <c:pt idx="633">
                  <c:v>136.5</c:v>
                </c:pt>
                <c:pt idx="634">
                  <c:v>137</c:v>
                </c:pt>
                <c:pt idx="635">
                  <c:v>137.5</c:v>
                </c:pt>
                <c:pt idx="636">
                  <c:v>138</c:v>
                </c:pt>
                <c:pt idx="637">
                  <c:v>138.5</c:v>
                </c:pt>
                <c:pt idx="638">
                  <c:v>139</c:v>
                </c:pt>
                <c:pt idx="639">
                  <c:v>139.5</c:v>
                </c:pt>
                <c:pt idx="640">
                  <c:v>140</c:v>
                </c:pt>
                <c:pt idx="641">
                  <c:v>140.5</c:v>
                </c:pt>
                <c:pt idx="642">
                  <c:v>141</c:v>
                </c:pt>
                <c:pt idx="643">
                  <c:v>141.5</c:v>
                </c:pt>
                <c:pt idx="644">
                  <c:v>142</c:v>
                </c:pt>
                <c:pt idx="645">
                  <c:v>142.5</c:v>
                </c:pt>
                <c:pt idx="646">
                  <c:v>143</c:v>
                </c:pt>
                <c:pt idx="647">
                  <c:v>143.5</c:v>
                </c:pt>
                <c:pt idx="648">
                  <c:v>144</c:v>
                </c:pt>
                <c:pt idx="649">
                  <c:v>144.5</c:v>
                </c:pt>
                <c:pt idx="650">
                  <c:v>145</c:v>
                </c:pt>
                <c:pt idx="651">
                  <c:v>145.5</c:v>
                </c:pt>
                <c:pt idx="652">
                  <c:v>146</c:v>
                </c:pt>
                <c:pt idx="653">
                  <c:v>146.5</c:v>
                </c:pt>
                <c:pt idx="654">
                  <c:v>147</c:v>
                </c:pt>
                <c:pt idx="655">
                  <c:v>147.5</c:v>
                </c:pt>
                <c:pt idx="656">
                  <c:v>148</c:v>
                </c:pt>
                <c:pt idx="657">
                  <c:v>148.5</c:v>
                </c:pt>
                <c:pt idx="658">
                  <c:v>149</c:v>
                </c:pt>
                <c:pt idx="659">
                  <c:v>149.5</c:v>
                </c:pt>
                <c:pt idx="660">
                  <c:v>150</c:v>
                </c:pt>
                <c:pt idx="661">
                  <c:v>150.5</c:v>
                </c:pt>
                <c:pt idx="662">
                  <c:v>151</c:v>
                </c:pt>
                <c:pt idx="663">
                  <c:v>151.5</c:v>
                </c:pt>
                <c:pt idx="664">
                  <c:v>152</c:v>
                </c:pt>
                <c:pt idx="665">
                  <c:v>152.5</c:v>
                </c:pt>
                <c:pt idx="666">
                  <c:v>153</c:v>
                </c:pt>
                <c:pt idx="667">
                  <c:v>153.5</c:v>
                </c:pt>
                <c:pt idx="668">
                  <c:v>154</c:v>
                </c:pt>
                <c:pt idx="669">
                  <c:v>154.5</c:v>
                </c:pt>
                <c:pt idx="670">
                  <c:v>155</c:v>
                </c:pt>
                <c:pt idx="671">
                  <c:v>155.5</c:v>
                </c:pt>
                <c:pt idx="672">
                  <c:v>156</c:v>
                </c:pt>
                <c:pt idx="673">
                  <c:v>156.5</c:v>
                </c:pt>
                <c:pt idx="674">
                  <c:v>157</c:v>
                </c:pt>
                <c:pt idx="675">
                  <c:v>157.5</c:v>
                </c:pt>
                <c:pt idx="676">
                  <c:v>158</c:v>
                </c:pt>
                <c:pt idx="677">
                  <c:v>158.5</c:v>
                </c:pt>
                <c:pt idx="678">
                  <c:v>159</c:v>
                </c:pt>
                <c:pt idx="679">
                  <c:v>159.5</c:v>
                </c:pt>
                <c:pt idx="680">
                  <c:v>160</c:v>
                </c:pt>
                <c:pt idx="681">
                  <c:v>160.5</c:v>
                </c:pt>
                <c:pt idx="682">
                  <c:v>161</c:v>
                </c:pt>
                <c:pt idx="683">
                  <c:v>161.5</c:v>
                </c:pt>
                <c:pt idx="684">
                  <c:v>162</c:v>
                </c:pt>
                <c:pt idx="685">
                  <c:v>162.5</c:v>
                </c:pt>
                <c:pt idx="686">
                  <c:v>163</c:v>
                </c:pt>
                <c:pt idx="687">
                  <c:v>163.5</c:v>
                </c:pt>
                <c:pt idx="688">
                  <c:v>164</c:v>
                </c:pt>
                <c:pt idx="689">
                  <c:v>164.5</c:v>
                </c:pt>
                <c:pt idx="690">
                  <c:v>165</c:v>
                </c:pt>
                <c:pt idx="691">
                  <c:v>165.5</c:v>
                </c:pt>
                <c:pt idx="692">
                  <c:v>166</c:v>
                </c:pt>
                <c:pt idx="693">
                  <c:v>166.5</c:v>
                </c:pt>
                <c:pt idx="694">
                  <c:v>167</c:v>
                </c:pt>
                <c:pt idx="695">
                  <c:v>167.5</c:v>
                </c:pt>
                <c:pt idx="696">
                  <c:v>168</c:v>
                </c:pt>
                <c:pt idx="697">
                  <c:v>168.5</c:v>
                </c:pt>
                <c:pt idx="698">
                  <c:v>169</c:v>
                </c:pt>
                <c:pt idx="699">
                  <c:v>169.5</c:v>
                </c:pt>
                <c:pt idx="700">
                  <c:v>170</c:v>
                </c:pt>
                <c:pt idx="701">
                  <c:v>170.5</c:v>
                </c:pt>
                <c:pt idx="702">
                  <c:v>171</c:v>
                </c:pt>
                <c:pt idx="703">
                  <c:v>171.5</c:v>
                </c:pt>
                <c:pt idx="704">
                  <c:v>172</c:v>
                </c:pt>
                <c:pt idx="705">
                  <c:v>172.5</c:v>
                </c:pt>
                <c:pt idx="706">
                  <c:v>173</c:v>
                </c:pt>
                <c:pt idx="707">
                  <c:v>173.5</c:v>
                </c:pt>
                <c:pt idx="708">
                  <c:v>174</c:v>
                </c:pt>
                <c:pt idx="709">
                  <c:v>174.5</c:v>
                </c:pt>
                <c:pt idx="710">
                  <c:v>175</c:v>
                </c:pt>
                <c:pt idx="711">
                  <c:v>175.5</c:v>
                </c:pt>
                <c:pt idx="712">
                  <c:v>176</c:v>
                </c:pt>
                <c:pt idx="713">
                  <c:v>176.5</c:v>
                </c:pt>
                <c:pt idx="714">
                  <c:v>177</c:v>
                </c:pt>
                <c:pt idx="715">
                  <c:v>177.5</c:v>
                </c:pt>
                <c:pt idx="716">
                  <c:v>178</c:v>
                </c:pt>
                <c:pt idx="717">
                  <c:v>178.5</c:v>
                </c:pt>
                <c:pt idx="718">
                  <c:v>179</c:v>
                </c:pt>
                <c:pt idx="719">
                  <c:v>179.5</c:v>
                </c:pt>
                <c:pt idx="720">
                  <c:v>180</c:v>
                </c:pt>
              </c:numCache>
            </c:numRef>
          </c:xVal>
          <c:yVal>
            <c:numRef>
              <c:f>Presion_cilindro!$U$4:$U$724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4.6033346729217515</c:v>
                </c:pt>
                <c:pt idx="276">
                  <c:v>4.6838282643979383</c:v>
                </c:pt>
                <c:pt idx="277">
                  <c:v>4.7661189310785605</c:v>
                </c:pt>
                <c:pt idx="278">
                  <c:v>4.8502428963503164</c:v>
                </c:pt>
                <c:pt idx="279">
                  <c:v>4.9362364384492903</c:v>
                </c:pt>
                <c:pt idx="280">
                  <c:v>5.024135818595048</c:v>
                </c:pt>
                <c:pt idx="281">
                  <c:v>5.1139772021108811</c:v>
                </c:pt>
                <c:pt idx="282">
                  <c:v>5.2057965720721358</c:v>
                </c:pt>
                <c:pt idx="283">
                  <c:v>5.2996296350088352</c:v>
                </c:pt>
                <c:pt idx="284">
                  <c:v>5.3955117181735694</c:v>
                </c:pt>
                <c:pt idx="285">
                  <c:v>5.4934776578723703</c:v>
                </c:pt>
                <c:pt idx="286">
                  <c:v>5.5935616783449866</c:v>
                </c:pt>
                <c:pt idx="287">
                  <c:v>5.6957972606717471</c:v>
                </c:pt>
                <c:pt idx="288">
                  <c:v>5.80021700117838</c:v>
                </c:pt>
                <c:pt idx="289">
                  <c:v>5.9068524588072222</c:v>
                </c:pt>
                <c:pt idx="290">
                  <c:v>6.0157339909247796</c:v>
                </c:pt>
                <c:pt idx="291">
                  <c:v>6.1268905770417605</c:v>
                </c:pt>
                <c:pt idx="292">
                  <c:v>6.2403496299330925</c:v>
                </c:pt>
                <c:pt idx="293">
                  <c:v>6.3561367936632998</c:v>
                </c:pt>
                <c:pt idx="294">
                  <c:v>6.474275728047596</c:v>
                </c:pt>
                <c:pt idx="295">
                  <c:v>6.5947878791117649</c:v>
                </c:pt>
                <c:pt idx="296">
                  <c:v>6.7176922351560417</c:v>
                </c:pt>
                <c:pt idx="297">
                  <c:v>6.8430050680798962</c:v>
                </c:pt>
                <c:pt idx="298">
                  <c:v>6.9707396596879816</c:v>
                </c:pt>
                <c:pt idx="299">
                  <c:v>7.1009060127726942</c:v>
                </c:pt>
                <c:pt idx="300">
                  <c:v>7.2335105468578709</c:v>
                </c:pt>
                <c:pt idx="301">
                  <c:v>7.3685557785910527</c:v>
                </c:pt>
                <c:pt idx="302">
                  <c:v>7.5060399868917722</c:v>
                </c:pt>
                <c:pt idx="303">
                  <c:v>7.6459568630988599</c:v>
                </c:pt>
                <c:pt idx="304">
                  <c:v>7.7882951465147201</c:v>
                </c:pt>
                <c:pt idx="305">
                  <c:v>7.9330382459174604</c:v>
                </c:pt>
                <c:pt idx="306">
                  <c:v>8.080163847805947</c:v>
                </c:pt>
                <c:pt idx="307">
                  <c:v>8.22966541137232</c:v>
                </c:pt>
                <c:pt idx="308">
                  <c:v>8.381863379475174</c:v>
                </c:pt>
                <c:pt idx="309">
                  <c:v>8.5373516638451559</c:v>
                </c:pt>
                <c:pt idx="310">
                  <c:v>8.6967605186711854</c:v>
                </c:pt>
                <c:pt idx="311">
                  <c:v>8.8607502467155204</c:v>
                </c:pt>
                <c:pt idx="312">
                  <c:v>9.0300109359682281</c:v>
                </c:pt>
                <c:pt idx="313">
                  <c:v>9.2052618214531456</c:v>
                </c:pt>
                <c:pt idx="314">
                  <c:v>9.3872502370621564</c:v>
                </c:pt>
                <c:pt idx="315">
                  <c:v>9.5767501223397122</c:v>
                </c:pt>
                <c:pt idx="316">
                  <c:v>9.7745600497929157</c:v>
                </c:pt>
                <c:pt idx="317">
                  <c:v>9.9815007396426125</c:v>
                </c:pt>
                <c:pt idx="318">
                  <c:v>10.198412031043979</c:v>
                </c:pt>
                <c:pt idx="319">
                  <c:v>10.426149281765335</c:v>
                </c:pt>
                <c:pt idx="320">
                  <c:v>10.665579172200108</c:v>
                </c:pt>
                <c:pt idx="321">
                  <c:v>10.917574894462016</c:v>
                </c:pt>
                <c:pt idx="322">
                  <c:v>11.183010713234278</c:v>
                </c:pt>
                <c:pt idx="323">
                  <c:v>11.462755892050154</c:v>
                </c:pt>
                <c:pt idx="324">
                  <c:v>11.757667986796507</c:v>
                </c:pt>
                <c:pt idx="325">
                  <c:v>12.068585517451776</c:v>
                </c:pt>
                <c:pt idx="326">
                  <c:v>12.396320039370092</c:v>
                </c:pt>
                <c:pt idx="327">
                  <c:v>12.741647646743226</c:v>
                </c:pt>
                <c:pt idx="328">
                  <c:v>13.105299953122366</c:v>
                </c:pt>
                <c:pt idx="329">
                  <c:v>13.487954606929421</c:v>
                </c:pt>
                <c:pt idx="330">
                  <c:v>13.890225413564966</c:v>
                </c:pt>
                <c:pt idx="331">
                  <c:v>14.312652149815625</c:v>
                </c:pt>
                <c:pt idx="332">
                  <c:v>14.755690170520289</c:v>
                </c:pt>
                <c:pt idx="333">
                  <c:v>15.219699921580983</c:v>
                </c:pt>
                <c:pt idx="334">
                  <c:v>15.704936487061389</c:v>
                </c:pt>
                <c:pt idx="335">
                  <c:v>16.211539310937056</c:v>
                </c:pt>
                <c:pt idx="336">
                  <c:v>16.73952224564416</c:v>
                </c:pt>
                <c:pt idx="337">
                  <c:v>17.288764089503751</c:v>
                </c:pt>
                <c:pt idx="338">
                  <c:v>17.858999782937481</c:v>
                </c:pt>
                <c:pt idx="339">
                  <c:v>18.449812438719324</c:v>
                </c:pt>
                <c:pt idx="340">
                  <c:v>19.060626383906662</c:v>
                </c:pt>
                <c:pt idx="341">
                  <c:v>19.690701390181886</c:v>
                </c:pt>
                <c:pt idx="342">
                  <c:v>20.339128264781664</c:v>
                </c:pt>
                <c:pt idx="343">
                  <c:v>21.00482596572045</c:v>
                </c:pt>
                <c:pt idx="344">
                  <c:v>21.68654039244387</c:v>
                </c:pt>
                <c:pt idx="345">
                  <c:v>22.382844986280848</c:v>
                </c:pt>
                <c:pt idx="346">
                  <c:v>23.092143254122821</c:v>
                </c:pt>
                <c:pt idx="347">
                  <c:v>23.812673303789843</c:v>
                </c:pt>
                <c:pt idx="348">
                  <c:v>24.542514450812973</c:v>
                </c:pt>
                <c:pt idx="349">
                  <c:v>25.27959592428785</c:v>
                </c:pt>
                <c:pt idx="350">
                  <c:v>26.021707664572649</c:v>
                </c:pt>
                <c:pt idx="351">
                  <c:v>26.766513168582975</c:v>
                </c:pt>
                <c:pt idx="352">
                  <c:v>27.511564300065807</c:v>
                </c:pt>
                <c:pt idx="353">
                  <c:v>28.254317943394092</c:v>
                </c:pt>
                <c:pt idx="354">
                  <c:v>28.992154341064165</c:v>
                </c:pt>
                <c:pt idx="355">
                  <c:v>29.722396918209395</c:v>
                </c:pt>
                <c:pt idx="356">
                  <c:v>30.442333363079481</c:v>
                </c:pt>
                <c:pt idx="357">
                  <c:v>31.14923770156572</c:v>
                </c:pt>
                <c:pt idx="358">
                  <c:v>31.840393077429177</c:v>
                </c:pt>
                <c:pt idx="359">
                  <c:v>32.513114928753929</c:v>
                </c:pt>
                <c:pt idx="360">
                  <c:v>33.16477423602791</c:v>
                </c:pt>
                <c:pt idx="361">
                  <c:v>33.792820508719203</c:v>
                </c:pt>
                <c:pt idx="362">
                  <c:v>34.394804175656226</c:v>
                </c:pt>
                <c:pt idx="363">
                  <c:v>36.993423855770793</c:v>
                </c:pt>
                <c:pt idx="364">
                  <c:v>41.684641015674387</c:v>
                </c:pt>
                <c:pt idx="365">
                  <c:v>40.317546005287902</c:v>
                </c:pt>
                <c:pt idx="366">
                  <c:v>40.571232276008743</c:v>
                </c:pt>
                <c:pt idx="367">
                  <c:v>44.912499605294457</c:v>
                </c:pt>
                <c:pt idx="368">
                  <c:v>46.773614888880431</c:v>
                </c:pt>
                <c:pt idx="369">
                  <c:v>44.196249509737626</c:v>
                </c:pt>
                <c:pt idx="370">
                  <c:v>43.320053498273374</c:v>
                </c:pt>
                <c:pt idx="371">
                  <c:v>46.05875074683852</c:v>
                </c:pt>
                <c:pt idx="372">
                  <c:v>46.959112944882435</c:v>
                </c:pt>
                <c:pt idx="373">
                  <c:v>44.363281066402088</c:v>
                </c:pt>
                <c:pt idx="374">
                  <c:v>43.258924564670295</c:v>
                </c:pt>
                <c:pt idx="375">
                  <c:v>45.184929517868703</c:v>
                </c:pt>
                <c:pt idx="376">
                  <c:v>45.656611514712111</c:v>
                </c:pt>
                <c:pt idx="377">
                  <c:v>43.302397821756919</c:v>
                </c:pt>
                <c:pt idx="378">
                  <c:v>42.195719623800926</c:v>
                </c:pt>
                <c:pt idx="379">
                  <c:v>43.589323467872234</c:v>
                </c:pt>
                <c:pt idx="380">
                  <c:v>43.806376854916458</c:v>
                </c:pt>
                <c:pt idx="381">
                  <c:v>41.720349861842941</c:v>
                </c:pt>
                <c:pt idx="382">
                  <c:v>40.663775674043208</c:v>
                </c:pt>
                <c:pt idx="383">
                  <c:v>41.66056779672023</c:v>
                </c:pt>
                <c:pt idx="384">
                  <c:v>41.699181632980405</c:v>
                </c:pt>
                <c:pt idx="385">
                  <c:v>39.856464849614625</c:v>
                </c:pt>
                <c:pt idx="386">
                  <c:v>38.860304792915237</c:v>
                </c:pt>
                <c:pt idx="387">
                  <c:v>39.548637386297152</c:v>
                </c:pt>
                <c:pt idx="388">
                  <c:v>39.455573621463131</c:v>
                </c:pt>
                <c:pt idx="389">
                  <c:v>37.825143097266832</c:v>
                </c:pt>
                <c:pt idx="390">
                  <c:v>36.890652408338156</c:v>
                </c:pt>
                <c:pt idx="391">
                  <c:v>37.338084801197475</c:v>
                </c:pt>
                <c:pt idx="392">
                  <c:v>37.148504069813626</c:v>
                </c:pt>
                <c:pt idx="393">
                  <c:v>35.702950591807991</c:v>
                </c:pt>
                <c:pt idx="394">
                  <c:v>34.829884537304444</c:v>
                </c:pt>
                <c:pt idx="395">
                  <c:v>35.0909270424116</c:v>
                </c:pt>
                <c:pt idx="396">
                  <c:v>34.833097658745388</c:v>
                </c:pt>
                <c:pt idx="397">
                  <c:v>33.54961708210601</c:v>
                </c:pt>
                <c:pt idx="398">
                  <c:v>32.737480017448526</c:v>
                </c:pt>
                <c:pt idx="399">
                  <c:v>32.856476703072239</c:v>
                </c:pt>
                <c:pt idx="400">
                  <c:v>32.553230394891024</c:v>
                </c:pt>
                <c:pt idx="401">
                  <c:v>31.412790003654631</c:v>
                </c:pt>
                <c:pt idx="402">
                  <c:v>30.660751629640714</c:v>
                </c:pt>
                <c:pt idx="403">
                  <c:v>30.673516327972244</c:v>
                </c:pt>
                <c:pt idx="404">
                  <c:v>30.342986157506271</c:v>
                </c:pt>
                <c:pt idx="405">
                  <c:v>29.329378145683517</c:v>
                </c:pt>
                <c:pt idx="406">
                  <c:v>28.636073240993372</c:v>
                </c:pt>
                <c:pt idx="407">
                  <c:v>28.571188229259342</c:v>
                </c:pt>
                <c:pt idx="408">
                  <c:v>28.227433283463832</c:v>
                </c:pt>
                <c:pt idx="409">
                  <c:v>27.326560444263038</c:v>
                </c:pt>
                <c:pt idx="410">
                  <c:v>26.690010512574837</c:v>
                </c:pt>
                <c:pt idx="411">
                  <c:v>26.569989634464257</c:v>
                </c:pt>
                <c:pt idx="412">
                  <c:v>26.223612993498008</c:v>
                </c:pt>
                <c:pt idx="413">
                  <c:v>25.423011784023494</c:v>
                </c:pt>
                <c:pt idx="414">
                  <c:v>24.84066654417737</c:v>
                </c:pt>
                <c:pt idx="415">
                  <c:v>24.683008449349376</c:v>
                </c:pt>
                <c:pt idx="416">
                  <c:v>24.341757846077069</c:v>
                </c:pt>
                <c:pt idx="417">
                  <c:v>23.630295434128726</c:v>
                </c:pt>
                <c:pt idx="418">
                  <c:v>23.099146654275202</c:v>
                </c:pt>
                <c:pt idx="419">
                  <c:v>22.917269161366683</c:v>
                </c:pt>
                <c:pt idx="420">
                  <c:v>22.586593053929935</c:v>
                </c:pt>
                <c:pt idx="421">
                  <c:v>21.95427605864371</c:v>
                </c:pt>
                <c:pt idx="422">
                  <c:v>21.471000359259083</c:v>
                </c:pt>
                <c:pt idx="423">
                  <c:v>21.275048290327181</c:v>
                </c:pt>
                <c:pt idx="424">
                  <c:v>20.958587674300919</c:v>
                </c:pt>
                <c:pt idx="425">
                  <c:v>20.396436289025118</c:v>
                </c:pt>
                <c:pt idx="426">
                  <c:v>19.957537432559594</c:v>
                </c:pt>
                <c:pt idx="427">
                  <c:v>19.755064524623865</c:v>
                </c:pt>
                <c:pt idx="428">
                  <c:v>19.455071715276343</c:v>
                </c:pt>
                <c:pt idx="429">
                  <c:v>18.955028825435836</c:v>
                </c:pt>
                <c:pt idx="430">
                  <c:v>18.556962873571862</c:v>
                </c:pt>
                <c:pt idx="431">
                  <c:v>18.35349562480377</c:v>
                </c:pt>
                <c:pt idx="432">
                  <c:v>18.071179929207251</c:v>
                </c:pt>
                <c:pt idx="433">
                  <c:v>17.626037111040457</c:v>
                </c:pt>
                <c:pt idx="434">
                  <c:v>17.265313225144286</c:v>
                </c:pt>
                <c:pt idx="435">
                  <c:v>17.064809079085425</c:v>
                </c:pt>
                <c:pt idx="436">
                  <c:v>16.800614835950011</c:v>
                </c:pt>
                <c:pt idx="437">
                  <c:v>16.403945518931469</c:v>
                </c:pt>
                <c:pt idx="438">
                  <c:v>16.077201176854434</c:v>
                </c:pt>
                <c:pt idx="439">
                  <c:v>15.882415473384018</c:v>
                </c:pt>
                <c:pt idx="440">
                  <c:v>15.63624082055982</c:v>
                </c:pt>
                <c:pt idx="441">
                  <c:v>15.282336153075999</c:v>
                </c:pt>
                <c:pt idx="442">
                  <c:v>14.986388914592823</c:v>
                </c:pt>
                <c:pt idx="443">
                  <c:v>14.799165221521243</c:v>
                </c:pt>
                <c:pt idx="444">
                  <c:v>14.570530923411972</c:v>
                </c:pt>
                <c:pt idx="445">
                  <c:v>14.254336887864035</c:v>
                </c:pt>
                <c:pt idx="446">
                  <c:v>13.986216386002589</c:v>
                </c:pt>
                <c:pt idx="447">
                  <c:v>13.807713863492738</c:v>
                </c:pt>
                <c:pt idx="448">
                  <c:v>13.595891303884725</c:v>
                </c:pt>
                <c:pt idx="449">
                  <c:v>13.312947154041455</c:v>
                </c:pt>
                <c:pt idx="450">
                  <c:v>13.06991140386322</c:v>
                </c:pt>
                <c:pt idx="451">
                  <c:v>12.900781296175769</c:v>
                </c:pt>
                <c:pt idx="452">
                  <c:v>12.704887861753221</c:v>
                </c:pt>
                <c:pt idx="453">
                  <c:v>12.451266581506022</c:v>
                </c:pt>
                <c:pt idx="454">
                  <c:v>12.230806479663903</c:v>
                </c:pt>
                <c:pt idx="455">
                  <c:v>12.071328057213528</c:v>
                </c:pt>
                <c:pt idx="456">
                  <c:v>11.890396976646404</c:v>
                </c:pt>
                <c:pt idx="457">
                  <c:v>11.662648584177774</c:v>
                </c:pt>
                <c:pt idx="458">
                  <c:v>11.462483953234781</c:v>
                </c:pt>
                <c:pt idx="459">
                  <c:v>11.312668479854411</c:v>
                </c:pt>
                <c:pt idx="460">
                  <c:v>11.145698974502604</c:v>
                </c:pt>
                <c:pt idx="461">
                  <c:v>10.940797374387225</c:v>
                </c:pt>
                <c:pt idx="462">
                  <c:v>10.758867288474917</c:v>
                </c:pt>
                <c:pt idx="463">
                  <c:v>10.618536993574338</c:v>
                </c:pt>
                <c:pt idx="464">
                  <c:v>10.464529467291653</c:v>
                </c:pt>
                <c:pt idx="465">
                  <c:v>10.279823337079215</c:v>
                </c:pt>
                <c:pt idx="466">
                  <c:v>10.114272863260544</c:v>
                </c:pt>
                <c:pt idx="467">
                  <c:v>9.9831205132245895</c:v>
                </c:pt>
                <c:pt idx="468">
                  <c:v>9.8411005207739493</c:v>
                </c:pt>
                <c:pt idx="469">
                  <c:v>9.6742684911831898</c:v>
                </c:pt>
                <c:pt idx="470">
                  <c:v>9.5234334488895431</c:v>
                </c:pt>
                <c:pt idx="471">
                  <c:v>9.4010669489955436</c:v>
                </c:pt>
                <c:pt idx="472">
                  <c:v>9.2701008535662748</c:v>
                </c:pt>
                <c:pt idx="473">
                  <c:v>9.1191110425514772</c:v>
                </c:pt>
                <c:pt idx="474">
                  <c:v>8.9815019415895758</c:v>
                </c:pt>
                <c:pt idx="475">
                  <c:v>8.8674774465533766</c:v>
                </c:pt>
                <c:pt idx="476">
                  <c:v>8.7466820017102798</c:v>
                </c:pt>
                <c:pt idx="477">
                  <c:v>8.6097558071790186</c:v>
                </c:pt>
                <c:pt idx="478">
                  <c:v>8.4840417734512901</c:v>
                </c:pt>
                <c:pt idx="479">
                  <c:v>8.3778880172470522</c:v>
                </c:pt>
                <c:pt idx="480">
                  <c:v>8.266435570783436</c:v>
                </c:pt>
                <c:pt idx="481">
                  <c:v>8.1420155159165368</c:v>
                </c:pt>
                <c:pt idx="482">
                  <c:v>8.0270087439763174</c:v>
                </c:pt>
                <c:pt idx="483">
                  <c:v>7.9282446897116614</c:v>
                </c:pt>
                <c:pt idx="484">
                  <c:v>7.8253652855650255</c:v>
                </c:pt>
                <c:pt idx="485">
                  <c:v>7.7120866393219352</c:v>
                </c:pt>
                <c:pt idx="486">
                  <c:v>7.6067277093032164</c:v>
                </c:pt>
                <c:pt idx="487">
                  <c:v>7.5148751400667821</c:v>
                </c:pt>
                <c:pt idx="488">
                  <c:v>7.4198564687767377</c:v>
                </c:pt>
                <c:pt idx="489">
                  <c:v>7.3165223247022988</c:v>
                </c:pt>
                <c:pt idx="490">
                  <c:v>7.219866574692805</c:v>
                </c:pt>
                <c:pt idx="491">
                  <c:v>7.1344588715123711</c:v>
                </c:pt>
                <c:pt idx="492">
                  <c:v>7.0466447706319677</c:v>
                </c:pt>
                <c:pt idx="493">
                  <c:v>6.9522042517708762</c:v>
                </c:pt>
                <c:pt idx="494">
                  <c:v>6.8634092931769342</c:v>
                </c:pt>
                <c:pt idx="495">
                  <c:v>6.7839973551584043</c:v>
                </c:pt>
                <c:pt idx="496">
                  <c:v>6.7027853722454811</c:v>
                </c:pt>
                <c:pt idx="497">
                  <c:v>6.6163146319275778</c:v>
                </c:pt>
                <c:pt idx="498">
                  <c:v>6.5346290244699103</c:v>
                </c:pt>
                <c:pt idx="499">
                  <c:v>6.4607850610870114</c:v>
                </c:pt>
                <c:pt idx="500">
                  <c:v>6.3856234499145215</c:v>
                </c:pt>
                <c:pt idx="501">
                  <c:v>6.3063091517333216</c:v>
                </c:pt>
                <c:pt idx="502">
                  <c:v>6.2310622080129106</c:v>
                </c:pt>
                <c:pt idx="503">
                  <c:v>6.1623819599912055</c:v>
                </c:pt>
                <c:pt idx="504">
                  <c:v>6.092766374569754</c:v>
                </c:pt>
                <c:pt idx="505">
                  <c:v>6.0198913556368385</c:v>
                </c:pt>
                <c:pt idx="506">
                  <c:v>5.9504840161082022</c:v>
                </c:pt>
                <c:pt idx="507">
                  <c:v>5.8865878279060162</c:v>
                </c:pt>
                <c:pt idx="508">
                  <c:v>5.82205790023764</c:v>
                </c:pt>
                <c:pt idx="509">
                  <c:v>5.7549887464814784</c:v>
                </c:pt>
                <c:pt idx="510">
                  <c:v>5.690885449095715</c:v>
                </c:pt>
                <c:pt idx="511">
                  <c:v>5.6314185135664268</c:v>
                </c:pt>
                <c:pt idx="512">
                  <c:v>5.5715544430743753</c:v>
                </c:pt>
                <c:pt idx="513">
                  <c:v>5.5097307316260569</c:v>
                </c:pt>
                <c:pt idx="514">
                  <c:v>5.4504521925423708</c:v>
                </c:pt>
                <c:pt idx="515">
                  <c:v>5.3950842098803475</c:v>
                </c:pt>
                <c:pt idx="516">
                  <c:v>5.3395034500461636</c:v>
                </c:pt>
                <c:pt idx="517">
                  <c:v>5.2824284400178252</c:v>
                </c:pt>
                <c:pt idx="518">
                  <c:v>5.2275452598123939</c:v>
                </c:pt>
                <c:pt idx="519">
                  <c:v>5.175969692829808</c:v>
                </c:pt>
                <c:pt idx="520">
                  <c:v>5.1243237897932037</c:v>
                </c:pt>
                <c:pt idx="521">
                  <c:v>5.0715563679691318</c:v>
                </c:pt>
                <c:pt idx="522">
                  <c:v>5.0206833796463508</c:v>
                </c:pt>
                <c:pt idx="523">
                  <c:v>4.9726164415383449</c:v>
                </c:pt>
                <c:pt idx="524">
                  <c:v>4.924588057299923</c:v>
                </c:pt>
                <c:pt idx="525">
                  <c:v>4.8757357688007836</c:v>
                </c:pt>
                <c:pt idx="526">
                  <c:v>4.8285270481701286</c:v>
                </c:pt>
                <c:pt idx="527">
                  <c:v>4.7837065239133612</c:v>
                </c:pt>
                <c:pt idx="528">
                  <c:v>4.7390066610794044</c:v>
                </c:pt>
                <c:pt idx="529">
                  <c:v>4.6937196765948173</c:v>
                </c:pt>
                <c:pt idx="530">
                  <c:v>4.6498641411901067</c:v>
                </c:pt>
                <c:pt idx="531">
                  <c:v>4.6080481170543468</c:v>
                </c:pt>
                <c:pt idx="532">
                  <c:v>4.5664135510894273</c:v>
                </c:pt>
                <c:pt idx="533">
                  <c:v>4.5243794416756362</c:v>
                </c:pt>
                <c:pt idx="534">
                  <c:v>4.4835969706546956</c:v>
                </c:pt>
                <c:pt idx="535">
                  <c:v>4.4445625260429047</c:v>
                </c:pt>
                <c:pt idx="536">
                  <c:v>4.4057534434879528</c:v>
                </c:pt>
                <c:pt idx="537">
                  <c:v>4.3666926512017969</c:v>
                </c:pt>
                <c:pt idx="538">
                  <c:v>4.3287306651006761</c:v>
                </c:pt>
                <c:pt idx="539">
                  <c:v>4.2922725655761775</c:v>
                </c:pt>
                <c:pt idx="540">
                  <c:v>4.2560704017056308</c:v>
                </c:pt>
                <c:pt idx="541">
                  <c:v>4.2197323095861137</c:v>
                </c:pt>
                <c:pt idx="542">
                  <c:v>4.1843627551055738</c:v>
                </c:pt>
                <c:pt idx="543">
                  <c:v>4.1502921738678316</c:v>
                </c:pt>
                <c:pt idx="544">
                  <c:v>4.1164976401000608</c:v>
                </c:pt>
                <c:pt idx="545">
                  <c:v>4.0826571583560893</c:v>
                </c:pt>
                <c:pt idx="546">
                  <c:v>4.0496738493409694</c:v>
                </c:pt>
                <c:pt idx="547">
                  <c:v>4.0178171356931447</c:v>
                </c:pt>
                <c:pt idx="548">
                  <c:v>3.9862484252160555</c:v>
                </c:pt>
                <c:pt idx="549">
                  <c:v>3.9547030221011479</c:v>
                </c:pt>
                <c:pt idx="550">
                  <c:v>3.9239192934285638</c:v>
                </c:pt>
                <c:pt idx="551">
                  <c:v>3.8941168002639759</c:v>
                </c:pt>
                <c:pt idx="552">
                  <c:v>3.8646079594097809</c:v>
                </c:pt>
                <c:pt idx="553">
                  <c:v>3.8351750753380327</c:v>
                </c:pt>
                <c:pt idx="554">
                  <c:v>3.806421711507439</c:v>
                </c:pt>
                <c:pt idx="555">
                  <c:v>3.7785266890084626</c:v>
                </c:pt>
                <c:pt idx="556">
                  <c:v>3.7509261416278812</c:v>
                </c:pt>
                <c:pt idx="557">
                  <c:v>3.7234409337843735</c:v>
                </c:pt>
                <c:pt idx="558">
                  <c:v>3.69656433858803</c:v>
                </c:pt>
                <c:pt idx="559">
                  <c:v>3.6704418977811568</c:v>
                </c:pt>
                <c:pt idx="560">
                  <c:v>3.6446111100218737</c:v>
                </c:pt>
                <c:pt idx="561">
                  <c:v>3.618924482210844</c:v>
                </c:pt>
                <c:pt idx="562">
                  <c:v>3.5937850599677312</c:v>
                </c:pt>
                <c:pt idx="563">
                  <c:v>3.5693112072049882</c:v>
                </c:pt>
                <c:pt idx="564">
                  <c:v>3.5451234805432406</c:v>
                </c:pt>
                <c:pt idx="565">
                  <c:v>3.5211003594520291</c:v>
                </c:pt>
                <c:pt idx="566">
                  <c:v>3.4975710819366737</c:v>
                </c:pt>
                <c:pt idx="567">
                  <c:v>3.4746318235416793</c:v>
                </c:pt>
                <c:pt idx="568">
                  <c:v>3.4519712045412385</c:v>
                </c:pt>
                <c:pt idx="569">
                  <c:v>3.4294890291162918</c:v>
                </c:pt>
                <c:pt idx="570">
                  <c:v>3.4074541655399697</c:v>
                </c:pt>
                <c:pt idx="571">
                  <c:v>3.3859446805846916</c:v>
                </c:pt>
                <c:pt idx="572">
                  <c:v>3.3647049765875576</c:v>
                </c:pt>
                <c:pt idx="573">
                  <c:v>3.3436523719452276</c:v>
                </c:pt>
                <c:pt idx="574">
                  <c:v>3.3230063621872188</c:v>
                </c:pt>
                <c:pt idx="575">
                  <c:v>3.3028302405149006</c:v>
                </c:pt>
                <c:pt idx="576">
                  <c:v>3.2829141312481767</c:v>
                </c:pt>
                <c:pt idx="577">
                  <c:v>3.2631897425872358</c:v>
                </c:pt>
                <c:pt idx="578">
                  <c:v>3.2438361963668978</c:v>
                </c:pt>
                <c:pt idx="579">
                  <c:v>3.2249047384403764</c:v>
                </c:pt>
                <c:pt idx="580">
                  <c:v>3.2062229743164656</c:v>
                </c:pt>
                <c:pt idx="581">
                  <c:v>3.1877344397582092</c:v>
                </c:pt>
                <c:pt idx="582">
                  <c:v>3.1695852466211467</c:v>
                </c:pt>
                <c:pt idx="583">
                  <c:v>3.1518168214728366</c:v>
                </c:pt>
                <c:pt idx="584">
                  <c:v>3.1342875001393562</c:v>
                </c:pt>
                <c:pt idx="585">
                  <c:v>3.1169505443782506</c:v>
                </c:pt>
                <c:pt idx="586">
                  <c:v>3.0999250812772972</c:v>
                </c:pt>
                <c:pt idx="587">
                  <c:v>3.0832445387047591</c:v>
                </c:pt>
                <c:pt idx="588">
                  <c:v>3.0667924521501826</c:v>
                </c:pt>
                <c:pt idx="589">
                  <c:v>3.0505300853262116</c:v>
                </c:pt>
                <c:pt idx="590">
                  <c:v>3.0345545102426184</c:v>
                </c:pt>
                <c:pt idx="591">
                  <c:v>3.0188926433844361</c:v>
                </c:pt>
                <c:pt idx="592">
                  <c:v>3.0034486886143839</c:v>
                </c:pt>
                <c:pt idx="593">
                  <c:v>2.988190496980113</c:v>
                </c:pt>
                <c:pt idx="594">
                  <c:v>2.9731971184817949</c:v>
                </c:pt>
                <c:pt idx="595">
                  <c:v>2.9584901729862692</c:v>
                </c:pt>
                <c:pt idx="596">
                  <c:v>2.9439908199482243</c:v>
                </c:pt>
                <c:pt idx="597">
                  <c:v>2.9296723367528155</c:v>
                </c:pt>
                <c:pt idx="598">
                  <c:v>2.9155990506513931</c:v>
                </c:pt>
                <c:pt idx="599">
                  <c:v>2.9017882767881011</c:v>
                </c:pt>
                <c:pt idx="600">
                  <c:v>2.8881750878361001</c:v>
                </c:pt>
                <c:pt idx="601">
                  <c:v>2.8747372344313304</c:v>
                </c:pt>
                <c:pt idx="602">
                  <c:v>2.8615270198015716</c:v>
                </c:pt>
                <c:pt idx="603">
                  <c:v>2.8485582640423894</c:v>
                </c:pt>
                <c:pt idx="604">
                  <c:v>2.8357774597976908</c:v>
                </c:pt>
                <c:pt idx="605">
                  <c:v>2.8231660483265957</c:v>
                </c:pt>
                <c:pt idx="606">
                  <c:v>2.8107665161117819</c:v>
                </c:pt>
                <c:pt idx="607">
                  <c:v>2.7985898489084118</c:v>
                </c:pt>
                <c:pt idx="608">
                  <c:v>2.7865919158881773</c:v>
                </c:pt>
                <c:pt idx="609">
                  <c:v>2.7747572060789967</c:v>
                </c:pt>
                <c:pt idx="610">
                  <c:v>2.7631201943420978</c:v>
                </c:pt>
                <c:pt idx="611">
                  <c:v>2.7516895710399627</c:v>
                </c:pt>
                <c:pt idx="612">
                  <c:v>2.740428906895672</c:v>
                </c:pt>
                <c:pt idx="613">
                  <c:v>2.729325210480821</c:v>
                </c:pt>
                <c:pt idx="614">
                  <c:v>2.7184064210902354</c:v>
                </c:pt>
                <c:pt idx="615">
                  <c:v>2.7076793731357078</c:v>
                </c:pt>
                <c:pt idx="616">
                  <c:v>2.6971139657689944</c:v>
                </c:pt>
                <c:pt idx="617">
                  <c:v>2.6866992929052325</c:v>
                </c:pt>
                <c:pt idx="618">
                  <c:v>2.6764579650795164</c:v>
                </c:pt>
                <c:pt idx="619">
                  <c:v>2.6663953188926763</c:v>
                </c:pt>
                <c:pt idx="620">
                  <c:v>2.6564864561014816</c:v>
                </c:pt>
                <c:pt idx="621">
                  <c:v>2.6467221989038836</c:v>
                </c:pt>
                <c:pt idx="622">
                  <c:v>2.6371208155945132</c:v>
                </c:pt>
                <c:pt idx="623">
                  <c:v>2.6276864366891504</c:v>
                </c:pt>
                <c:pt idx="624">
                  <c:v>2.6183984433445633</c:v>
                </c:pt>
                <c:pt idx="625">
                  <c:v>2.6092490922810621</c:v>
                </c:pt>
                <c:pt idx="626">
                  <c:v>2.6002531158565207</c:v>
                </c:pt>
                <c:pt idx="627">
                  <c:v>2.5914136759898279</c:v>
                </c:pt>
                <c:pt idx="628">
                  <c:v>2.5827136760569385</c:v>
                </c:pt>
                <c:pt idx="629">
                  <c:v>2.5741465654969797</c:v>
                </c:pt>
                <c:pt idx="630">
                  <c:v>2.5657241996147913</c:v>
                </c:pt>
                <c:pt idx="631">
                  <c:v>2.5574489649395371</c:v>
                </c:pt>
                <c:pt idx="632">
                  <c:v>2.5493066659370145</c:v>
                </c:pt>
                <c:pt idx="633">
                  <c:v>2.5412917456199149</c:v>
                </c:pt>
                <c:pt idx="634">
                  <c:v>2.5334137205434399</c:v>
                </c:pt>
                <c:pt idx="635">
                  <c:v>2.5256743589143169</c:v>
                </c:pt>
                <c:pt idx="636">
                  <c:v>2.5180618566601773</c:v>
                </c:pt>
                <c:pt idx="637">
                  <c:v>2.5105714862570916</c:v>
                </c:pt>
                <c:pt idx="638">
                  <c:v>2.503210865198179</c:v>
                </c:pt>
                <c:pt idx="639">
                  <c:v>2.4959812709509346</c:v>
                </c:pt>
                <c:pt idx="640">
                  <c:v>2.4888728726688654</c:v>
                </c:pt>
                <c:pt idx="641">
                  <c:v>2.4818816369657997</c:v>
                </c:pt>
                <c:pt idx="642">
                  <c:v>2.4750136413187342</c:v>
                </c:pt>
                <c:pt idx="643">
                  <c:v>2.4682697759957111</c:v>
                </c:pt>
                <c:pt idx="644">
                  <c:v>2.4616418400597913</c:v>
                </c:pt>
                <c:pt idx="645">
                  <c:v>2.4551263825959686</c:v>
                </c:pt>
                <c:pt idx="646">
                  <c:v>2.4487282341776253</c:v>
                </c:pt>
                <c:pt idx="647">
                  <c:v>2.4424479818165707</c:v>
                </c:pt>
                <c:pt idx="648">
                  <c:v>2.4362787725948127</c:v>
                </c:pt>
                <c:pt idx="649">
                  <c:v>2.4302176458573057</c:v>
                </c:pt>
                <c:pt idx="650">
                  <c:v>2.4242684244879222</c:v>
                </c:pt>
                <c:pt idx="651">
                  <c:v>2.4184314602228412</c:v>
                </c:pt>
                <c:pt idx="652">
                  <c:v>2.4127010166436897</c:v>
                </c:pt>
                <c:pt idx="653">
                  <c:v>2.4070745471514834</c:v>
                </c:pt>
                <c:pt idx="654">
                  <c:v>2.4015550621035402</c:v>
                </c:pt>
                <c:pt idx="655">
                  <c:v>2.3961427329476068</c:v>
                </c:pt>
                <c:pt idx="656">
                  <c:v>2.390832749560388</c:v>
                </c:pt>
                <c:pt idx="657">
                  <c:v>2.3856229163736842</c:v>
                </c:pt>
                <c:pt idx="658">
                  <c:v>2.380515590386767</c:v>
                </c:pt>
                <c:pt idx="659">
                  <c:v>2.375510807178407</c:v>
                </c:pt>
                <c:pt idx="660">
                  <c:v>2.370604526610625</c:v>
                </c:pt>
                <c:pt idx="661">
                  <c:v>2.3657948519783645</c:v>
                </c:pt>
                <c:pt idx="662">
                  <c:v>2.3610836166883704</c:v>
                </c:pt>
                <c:pt idx="663">
                  <c:v>2.3564707562833536</c:v>
                </c:pt>
                <c:pt idx="664">
                  <c:v>2.3519528721161347</c:v>
                </c:pt>
                <c:pt idx="665">
                  <c:v>2.3475283231301209</c:v>
                </c:pt>
                <c:pt idx="666">
                  <c:v>2.3431985248943654</c:v>
                </c:pt>
                <c:pt idx="667">
                  <c:v>2.3389633417798521</c:v>
                </c:pt>
                <c:pt idx="668">
                  <c:v>2.3348199109694026</c:v>
                </c:pt>
                <c:pt idx="669">
                  <c:v>2.3307668112298656</c:v>
                </c:pt>
                <c:pt idx="670">
                  <c:v>2.3268051264478649</c:v>
                </c:pt>
                <c:pt idx="671">
                  <c:v>2.322934673039446</c:v>
                </c:pt>
                <c:pt idx="672">
                  <c:v>2.3191530371083124</c:v>
                </c:pt>
                <c:pt idx="673">
                  <c:v>2.3154589875260956</c:v>
                </c:pt>
                <c:pt idx="674">
                  <c:v>2.3118533466609232</c:v>
                </c:pt>
                <c:pt idx="675">
                  <c:v>2.308335901621585</c:v>
                </c:pt>
                <c:pt idx="676">
                  <c:v>2.3049046159300963</c:v>
                </c:pt>
                <c:pt idx="677">
                  <c:v>2.3015584238969971</c:v>
                </c:pt>
                <c:pt idx="678">
                  <c:v>2.2982979434958866</c:v>
                </c:pt>
                <c:pt idx="679">
                  <c:v>2.295122947487112</c:v>
                </c:pt>
                <c:pt idx="680">
                  <c:v>2.2920317179736682</c:v>
                </c:pt>
                <c:pt idx="681">
                  <c:v>2.2890233342267798</c:v>
                </c:pt>
                <c:pt idx="682">
                  <c:v>2.2860982563235481</c:v>
                </c:pt>
                <c:pt idx="683">
                  <c:v>2.2832562546642086</c:v>
                </c:pt>
                <c:pt idx="684">
                  <c:v>2.2804958815140219</c:v>
                </c:pt>
                <c:pt idx="685">
                  <c:v>2.2778163441039885</c:v>
                </c:pt>
                <c:pt idx="686">
                  <c:v>2.2752179824611911</c:v>
                </c:pt>
                <c:pt idx="687">
                  <c:v>2.272700574229912</c:v>
                </c:pt>
                <c:pt idx="688">
                  <c:v>2.2702629019964249</c:v>
                </c:pt>
                <c:pt idx="689">
                  <c:v>2.2679042868445758</c:v>
                </c:pt>
                <c:pt idx="690">
                  <c:v>2.2656249795613026</c:v>
                </c:pt>
                <c:pt idx="691">
                  <c:v>2.2634247727333805</c:v>
                </c:pt>
                <c:pt idx="692">
                  <c:v>2.2613026464954573</c:v>
                </c:pt>
                <c:pt idx="693">
                  <c:v>2.2592580240923765</c:v>
                </c:pt>
                <c:pt idx="694">
                  <c:v>2.2572910921651013</c:v>
                </c:pt>
                <c:pt idx="695">
                  <c:v>2.2554016644262331</c:v>
                </c:pt>
                <c:pt idx="696">
                  <c:v>2.2535888916183309</c:v>
                </c:pt>
                <c:pt idx="697">
                  <c:v>2.2518522894773825</c:v>
                </c:pt>
                <c:pt idx="698">
                  <c:v>2.2501920009574059</c:v>
                </c:pt>
                <c:pt idx="699">
                  <c:v>2.2486078658839972</c:v>
                </c:pt>
                <c:pt idx="700">
                  <c:v>2.2470991834863225</c:v>
                </c:pt>
                <c:pt idx="701">
                  <c:v>2.2456655540211412</c:v>
                </c:pt>
                <c:pt idx="702">
                  <c:v>2.2443070934635387</c:v>
                </c:pt>
                <c:pt idx="703">
                  <c:v>2.2430236718037628</c:v>
                </c:pt>
                <c:pt idx="704">
                  <c:v>2.2418147186256179</c:v>
                </c:pt>
                <c:pt idx="705">
                  <c:v>2.2406799121713727</c:v>
                </c:pt>
                <c:pt idx="706">
                  <c:v>2.2396193551178007</c:v>
                </c:pt>
                <c:pt idx="707">
                  <c:v>2.2386329509491767</c:v>
                </c:pt>
                <c:pt idx="708">
                  <c:v>2.2377202447818312</c:v>
                </c:pt>
                <c:pt idx="709">
                  <c:v>2.2368809875269657</c:v>
                </c:pt>
                <c:pt idx="710">
                  <c:v>2.2361152798087778</c:v>
                </c:pt>
                <c:pt idx="711">
                  <c:v>2.2354230613874226</c:v>
                </c:pt>
                <c:pt idx="712">
                  <c:v>2.2348039808434486</c:v>
                </c:pt>
                <c:pt idx="713">
                  <c:v>2.2342578574822101</c:v>
                </c:pt>
                <c:pt idx="714">
                  <c:v>2.2337847991717235</c:v>
                </c:pt>
                <c:pt idx="715">
                  <c:v>2.2333847843259291</c:v>
                </c:pt>
                <c:pt idx="716">
                  <c:v>2.2330575552204084</c:v>
                </c:pt>
                <c:pt idx="717">
                  <c:v>2.2328029961775355</c:v>
                </c:pt>
                <c:pt idx="718">
                  <c:v>2.2326212300544825</c:v>
                </c:pt>
                <c:pt idx="719">
                  <c:v>2.2325122760112999</c:v>
                </c:pt>
                <c:pt idx="720">
                  <c:v>2.2324759621772059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74-47A8-A857-B39B2D79DB3C}"/>
            </c:ext>
          </c:extLst>
        </c:ser>
        <c:ser>
          <c:idx val="2"/>
          <c:order val="2"/>
          <c:tx>
            <c:v>Sin combustión (arrastre)</c:v>
          </c:tx>
          <c:spPr>
            <a:ln w="15120">
              <a:solidFill>
                <a:srgbClr val="88888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Presion_cilindro!$N$4:$N$724</c:f>
              <c:numCache>
                <c:formatCode>0.0</c:formatCode>
                <c:ptCount val="721"/>
                <c:pt idx="0">
                  <c:v>-180</c:v>
                </c:pt>
                <c:pt idx="1">
                  <c:v>-179.5</c:v>
                </c:pt>
                <c:pt idx="2">
                  <c:v>-179</c:v>
                </c:pt>
                <c:pt idx="3">
                  <c:v>-178.5</c:v>
                </c:pt>
                <c:pt idx="4">
                  <c:v>-178</c:v>
                </c:pt>
                <c:pt idx="5">
                  <c:v>-177.5</c:v>
                </c:pt>
                <c:pt idx="6">
                  <c:v>-177</c:v>
                </c:pt>
                <c:pt idx="7">
                  <c:v>-176.5</c:v>
                </c:pt>
                <c:pt idx="8">
                  <c:v>-176</c:v>
                </c:pt>
                <c:pt idx="9">
                  <c:v>-175.5</c:v>
                </c:pt>
                <c:pt idx="10">
                  <c:v>-175</c:v>
                </c:pt>
                <c:pt idx="11">
                  <c:v>-174.5</c:v>
                </c:pt>
                <c:pt idx="12">
                  <c:v>-174</c:v>
                </c:pt>
                <c:pt idx="13">
                  <c:v>-173.5</c:v>
                </c:pt>
                <c:pt idx="14">
                  <c:v>-173</c:v>
                </c:pt>
                <c:pt idx="15">
                  <c:v>-172.5</c:v>
                </c:pt>
                <c:pt idx="16">
                  <c:v>-172</c:v>
                </c:pt>
                <c:pt idx="17">
                  <c:v>-171.5</c:v>
                </c:pt>
                <c:pt idx="18">
                  <c:v>-171</c:v>
                </c:pt>
                <c:pt idx="19">
                  <c:v>-170.5</c:v>
                </c:pt>
                <c:pt idx="20">
                  <c:v>-170</c:v>
                </c:pt>
                <c:pt idx="21">
                  <c:v>-169.5</c:v>
                </c:pt>
                <c:pt idx="22">
                  <c:v>-169</c:v>
                </c:pt>
                <c:pt idx="23">
                  <c:v>-168.5</c:v>
                </c:pt>
                <c:pt idx="24">
                  <c:v>-168</c:v>
                </c:pt>
                <c:pt idx="25">
                  <c:v>-167.5</c:v>
                </c:pt>
                <c:pt idx="26">
                  <c:v>-167</c:v>
                </c:pt>
                <c:pt idx="27">
                  <c:v>-166.5</c:v>
                </c:pt>
                <c:pt idx="28">
                  <c:v>-166</c:v>
                </c:pt>
                <c:pt idx="29">
                  <c:v>-165.5</c:v>
                </c:pt>
                <c:pt idx="30">
                  <c:v>-165</c:v>
                </c:pt>
                <c:pt idx="31">
                  <c:v>-164.5</c:v>
                </c:pt>
                <c:pt idx="32">
                  <c:v>-164</c:v>
                </c:pt>
                <c:pt idx="33">
                  <c:v>-163.5</c:v>
                </c:pt>
                <c:pt idx="34">
                  <c:v>-163</c:v>
                </c:pt>
                <c:pt idx="35">
                  <c:v>-162.5</c:v>
                </c:pt>
                <c:pt idx="36">
                  <c:v>-162</c:v>
                </c:pt>
                <c:pt idx="37">
                  <c:v>-161.5</c:v>
                </c:pt>
                <c:pt idx="38">
                  <c:v>-161</c:v>
                </c:pt>
                <c:pt idx="39">
                  <c:v>-160.5</c:v>
                </c:pt>
                <c:pt idx="40">
                  <c:v>-160</c:v>
                </c:pt>
                <c:pt idx="41">
                  <c:v>-159.5</c:v>
                </c:pt>
                <c:pt idx="42">
                  <c:v>-159</c:v>
                </c:pt>
                <c:pt idx="43">
                  <c:v>-158.5</c:v>
                </c:pt>
                <c:pt idx="44">
                  <c:v>-158</c:v>
                </c:pt>
                <c:pt idx="45">
                  <c:v>-157.5</c:v>
                </c:pt>
                <c:pt idx="46">
                  <c:v>-157</c:v>
                </c:pt>
                <c:pt idx="47">
                  <c:v>-156.5</c:v>
                </c:pt>
                <c:pt idx="48">
                  <c:v>-156</c:v>
                </c:pt>
                <c:pt idx="49">
                  <c:v>-155.5</c:v>
                </c:pt>
                <c:pt idx="50">
                  <c:v>-155</c:v>
                </c:pt>
                <c:pt idx="51">
                  <c:v>-154.5</c:v>
                </c:pt>
                <c:pt idx="52">
                  <c:v>-154</c:v>
                </c:pt>
                <c:pt idx="53">
                  <c:v>-153.5</c:v>
                </c:pt>
                <c:pt idx="54">
                  <c:v>-153</c:v>
                </c:pt>
                <c:pt idx="55">
                  <c:v>-152.5</c:v>
                </c:pt>
                <c:pt idx="56">
                  <c:v>-152</c:v>
                </c:pt>
                <c:pt idx="57">
                  <c:v>-151.5</c:v>
                </c:pt>
                <c:pt idx="58">
                  <c:v>-151</c:v>
                </c:pt>
                <c:pt idx="59">
                  <c:v>-150.5</c:v>
                </c:pt>
                <c:pt idx="60">
                  <c:v>-150</c:v>
                </c:pt>
                <c:pt idx="61">
                  <c:v>-149.5</c:v>
                </c:pt>
                <c:pt idx="62">
                  <c:v>-149</c:v>
                </c:pt>
                <c:pt idx="63">
                  <c:v>-148.5</c:v>
                </c:pt>
                <c:pt idx="64">
                  <c:v>-148</c:v>
                </c:pt>
                <c:pt idx="65">
                  <c:v>-147.5</c:v>
                </c:pt>
                <c:pt idx="66">
                  <c:v>-147</c:v>
                </c:pt>
                <c:pt idx="67">
                  <c:v>-146.5</c:v>
                </c:pt>
                <c:pt idx="68">
                  <c:v>-146</c:v>
                </c:pt>
                <c:pt idx="69">
                  <c:v>-145.5</c:v>
                </c:pt>
                <c:pt idx="70">
                  <c:v>-145</c:v>
                </c:pt>
                <c:pt idx="71">
                  <c:v>-144.5</c:v>
                </c:pt>
                <c:pt idx="72">
                  <c:v>-144</c:v>
                </c:pt>
                <c:pt idx="73">
                  <c:v>-143.5</c:v>
                </c:pt>
                <c:pt idx="74">
                  <c:v>-143</c:v>
                </c:pt>
                <c:pt idx="75">
                  <c:v>-142.5</c:v>
                </c:pt>
                <c:pt idx="76">
                  <c:v>-142</c:v>
                </c:pt>
                <c:pt idx="77">
                  <c:v>-141.5</c:v>
                </c:pt>
                <c:pt idx="78">
                  <c:v>-141</c:v>
                </c:pt>
                <c:pt idx="79">
                  <c:v>-140.5</c:v>
                </c:pt>
                <c:pt idx="80">
                  <c:v>-140</c:v>
                </c:pt>
                <c:pt idx="81">
                  <c:v>-139.5</c:v>
                </c:pt>
                <c:pt idx="82">
                  <c:v>-139</c:v>
                </c:pt>
                <c:pt idx="83">
                  <c:v>-138.5</c:v>
                </c:pt>
                <c:pt idx="84">
                  <c:v>-138</c:v>
                </c:pt>
                <c:pt idx="85">
                  <c:v>-137.5</c:v>
                </c:pt>
                <c:pt idx="86">
                  <c:v>-137</c:v>
                </c:pt>
                <c:pt idx="87">
                  <c:v>-136.5</c:v>
                </c:pt>
                <c:pt idx="88">
                  <c:v>-136</c:v>
                </c:pt>
                <c:pt idx="89">
                  <c:v>-135.5</c:v>
                </c:pt>
                <c:pt idx="90">
                  <c:v>-135</c:v>
                </c:pt>
                <c:pt idx="91">
                  <c:v>-134.5</c:v>
                </c:pt>
                <c:pt idx="92">
                  <c:v>-134</c:v>
                </c:pt>
                <c:pt idx="93">
                  <c:v>-133.5</c:v>
                </c:pt>
                <c:pt idx="94">
                  <c:v>-133</c:v>
                </c:pt>
                <c:pt idx="95">
                  <c:v>-132.5</c:v>
                </c:pt>
                <c:pt idx="96">
                  <c:v>-132</c:v>
                </c:pt>
                <c:pt idx="97">
                  <c:v>-131.5</c:v>
                </c:pt>
                <c:pt idx="98">
                  <c:v>-131</c:v>
                </c:pt>
                <c:pt idx="99">
                  <c:v>-130.5</c:v>
                </c:pt>
                <c:pt idx="100">
                  <c:v>-130</c:v>
                </c:pt>
                <c:pt idx="101">
                  <c:v>-129.5</c:v>
                </c:pt>
                <c:pt idx="102">
                  <c:v>-129</c:v>
                </c:pt>
                <c:pt idx="103">
                  <c:v>-128.5</c:v>
                </c:pt>
                <c:pt idx="104">
                  <c:v>-128</c:v>
                </c:pt>
                <c:pt idx="105">
                  <c:v>-127.5</c:v>
                </c:pt>
                <c:pt idx="106">
                  <c:v>-127</c:v>
                </c:pt>
                <c:pt idx="107">
                  <c:v>-126.5</c:v>
                </c:pt>
                <c:pt idx="108">
                  <c:v>-126</c:v>
                </c:pt>
                <c:pt idx="109">
                  <c:v>-125.5</c:v>
                </c:pt>
                <c:pt idx="110">
                  <c:v>-125</c:v>
                </c:pt>
                <c:pt idx="111">
                  <c:v>-124.5</c:v>
                </c:pt>
                <c:pt idx="112">
                  <c:v>-124</c:v>
                </c:pt>
                <c:pt idx="113">
                  <c:v>-123.5</c:v>
                </c:pt>
                <c:pt idx="114">
                  <c:v>-123</c:v>
                </c:pt>
                <c:pt idx="115">
                  <c:v>-122.5</c:v>
                </c:pt>
                <c:pt idx="116">
                  <c:v>-122</c:v>
                </c:pt>
                <c:pt idx="117">
                  <c:v>-121.5</c:v>
                </c:pt>
                <c:pt idx="118">
                  <c:v>-121</c:v>
                </c:pt>
                <c:pt idx="119">
                  <c:v>-120.5</c:v>
                </c:pt>
                <c:pt idx="120">
                  <c:v>-120</c:v>
                </c:pt>
                <c:pt idx="121">
                  <c:v>-119.5</c:v>
                </c:pt>
                <c:pt idx="122">
                  <c:v>-119</c:v>
                </c:pt>
                <c:pt idx="123">
                  <c:v>-118.5</c:v>
                </c:pt>
                <c:pt idx="124">
                  <c:v>-118</c:v>
                </c:pt>
                <c:pt idx="125">
                  <c:v>-117.5</c:v>
                </c:pt>
                <c:pt idx="126">
                  <c:v>-117</c:v>
                </c:pt>
                <c:pt idx="127">
                  <c:v>-116.5</c:v>
                </c:pt>
                <c:pt idx="128">
                  <c:v>-116</c:v>
                </c:pt>
                <c:pt idx="129">
                  <c:v>-115.5</c:v>
                </c:pt>
                <c:pt idx="130">
                  <c:v>-115</c:v>
                </c:pt>
                <c:pt idx="131">
                  <c:v>-114.5</c:v>
                </c:pt>
                <c:pt idx="132">
                  <c:v>-114</c:v>
                </c:pt>
                <c:pt idx="133">
                  <c:v>-113.5</c:v>
                </c:pt>
                <c:pt idx="134">
                  <c:v>-113</c:v>
                </c:pt>
                <c:pt idx="135">
                  <c:v>-112.5</c:v>
                </c:pt>
                <c:pt idx="136">
                  <c:v>-112</c:v>
                </c:pt>
                <c:pt idx="137">
                  <c:v>-111.5</c:v>
                </c:pt>
                <c:pt idx="138">
                  <c:v>-111</c:v>
                </c:pt>
                <c:pt idx="139">
                  <c:v>-110.5</c:v>
                </c:pt>
                <c:pt idx="140">
                  <c:v>-110</c:v>
                </c:pt>
                <c:pt idx="141">
                  <c:v>-109.5</c:v>
                </c:pt>
                <c:pt idx="142">
                  <c:v>-109</c:v>
                </c:pt>
                <c:pt idx="143">
                  <c:v>-108.5</c:v>
                </c:pt>
                <c:pt idx="144">
                  <c:v>-108</c:v>
                </c:pt>
                <c:pt idx="145">
                  <c:v>-107.5</c:v>
                </c:pt>
                <c:pt idx="146">
                  <c:v>-107</c:v>
                </c:pt>
                <c:pt idx="147">
                  <c:v>-106.5</c:v>
                </c:pt>
                <c:pt idx="148">
                  <c:v>-106</c:v>
                </c:pt>
                <c:pt idx="149">
                  <c:v>-105.5</c:v>
                </c:pt>
                <c:pt idx="150">
                  <c:v>-105</c:v>
                </c:pt>
                <c:pt idx="151">
                  <c:v>-104.5</c:v>
                </c:pt>
                <c:pt idx="152">
                  <c:v>-104</c:v>
                </c:pt>
                <c:pt idx="153">
                  <c:v>-103.5</c:v>
                </c:pt>
                <c:pt idx="154">
                  <c:v>-103</c:v>
                </c:pt>
                <c:pt idx="155">
                  <c:v>-102.5</c:v>
                </c:pt>
                <c:pt idx="156">
                  <c:v>-102</c:v>
                </c:pt>
                <c:pt idx="157">
                  <c:v>-101.5</c:v>
                </c:pt>
                <c:pt idx="158">
                  <c:v>-101</c:v>
                </c:pt>
                <c:pt idx="159">
                  <c:v>-100.5</c:v>
                </c:pt>
                <c:pt idx="160">
                  <c:v>-100</c:v>
                </c:pt>
                <c:pt idx="161">
                  <c:v>-99.5</c:v>
                </c:pt>
                <c:pt idx="162">
                  <c:v>-99</c:v>
                </c:pt>
                <c:pt idx="163">
                  <c:v>-98.5</c:v>
                </c:pt>
                <c:pt idx="164">
                  <c:v>-98</c:v>
                </c:pt>
                <c:pt idx="165">
                  <c:v>-97.5</c:v>
                </c:pt>
                <c:pt idx="166">
                  <c:v>-97</c:v>
                </c:pt>
                <c:pt idx="167">
                  <c:v>-96.5</c:v>
                </c:pt>
                <c:pt idx="168">
                  <c:v>-96</c:v>
                </c:pt>
                <c:pt idx="169">
                  <c:v>-95.5</c:v>
                </c:pt>
                <c:pt idx="170">
                  <c:v>-95</c:v>
                </c:pt>
                <c:pt idx="171">
                  <c:v>-94.5</c:v>
                </c:pt>
                <c:pt idx="172">
                  <c:v>-94</c:v>
                </c:pt>
                <c:pt idx="173">
                  <c:v>-93.5</c:v>
                </c:pt>
                <c:pt idx="174">
                  <c:v>-93</c:v>
                </c:pt>
                <c:pt idx="175">
                  <c:v>-92.5</c:v>
                </c:pt>
                <c:pt idx="176">
                  <c:v>-92</c:v>
                </c:pt>
                <c:pt idx="177">
                  <c:v>-91.5</c:v>
                </c:pt>
                <c:pt idx="178">
                  <c:v>-91</c:v>
                </c:pt>
                <c:pt idx="179">
                  <c:v>-90.5</c:v>
                </c:pt>
                <c:pt idx="180">
                  <c:v>-90</c:v>
                </c:pt>
                <c:pt idx="181">
                  <c:v>-89.5</c:v>
                </c:pt>
                <c:pt idx="182">
                  <c:v>-89</c:v>
                </c:pt>
                <c:pt idx="183">
                  <c:v>-88.5</c:v>
                </c:pt>
                <c:pt idx="184">
                  <c:v>-88</c:v>
                </c:pt>
                <c:pt idx="185">
                  <c:v>-87.5</c:v>
                </c:pt>
                <c:pt idx="186">
                  <c:v>-87</c:v>
                </c:pt>
                <c:pt idx="187">
                  <c:v>-86.5</c:v>
                </c:pt>
                <c:pt idx="188">
                  <c:v>-86</c:v>
                </c:pt>
                <c:pt idx="189">
                  <c:v>-85.5</c:v>
                </c:pt>
                <c:pt idx="190">
                  <c:v>-85</c:v>
                </c:pt>
                <c:pt idx="191">
                  <c:v>-84.5</c:v>
                </c:pt>
                <c:pt idx="192">
                  <c:v>-84</c:v>
                </c:pt>
                <c:pt idx="193">
                  <c:v>-83.5</c:v>
                </c:pt>
                <c:pt idx="194">
                  <c:v>-83</c:v>
                </c:pt>
                <c:pt idx="195">
                  <c:v>-82.5</c:v>
                </c:pt>
                <c:pt idx="196">
                  <c:v>-82</c:v>
                </c:pt>
                <c:pt idx="197">
                  <c:v>-81.5</c:v>
                </c:pt>
                <c:pt idx="198">
                  <c:v>-81</c:v>
                </c:pt>
                <c:pt idx="199">
                  <c:v>-80.5</c:v>
                </c:pt>
                <c:pt idx="200">
                  <c:v>-80</c:v>
                </c:pt>
                <c:pt idx="201">
                  <c:v>-79.5</c:v>
                </c:pt>
                <c:pt idx="202">
                  <c:v>-79</c:v>
                </c:pt>
                <c:pt idx="203">
                  <c:v>-78.5</c:v>
                </c:pt>
                <c:pt idx="204">
                  <c:v>-78</c:v>
                </c:pt>
                <c:pt idx="205">
                  <c:v>-77.5</c:v>
                </c:pt>
                <c:pt idx="206">
                  <c:v>-77</c:v>
                </c:pt>
                <c:pt idx="207">
                  <c:v>-76.5</c:v>
                </c:pt>
                <c:pt idx="208">
                  <c:v>-76</c:v>
                </c:pt>
                <c:pt idx="209">
                  <c:v>-75.5</c:v>
                </c:pt>
                <c:pt idx="210">
                  <c:v>-75</c:v>
                </c:pt>
                <c:pt idx="211">
                  <c:v>-74.5</c:v>
                </c:pt>
                <c:pt idx="212">
                  <c:v>-74</c:v>
                </c:pt>
                <c:pt idx="213">
                  <c:v>-73.5</c:v>
                </c:pt>
                <c:pt idx="214">
                  <c:v>-73</c:v>
                </c:pt>
                <c:pt idx="215">
                  <c:v>-72.5</c:v>
                </c:pt>
                <c:pt idx="216">
                  <c:v>-72</c:v>
                </c:pt>
                <c:pt idx="217">
                  <c:v>-71.5</c:v>
                </c:pt>
                <c:pt idx="218">
                  <c:v>-71</c:v>
                </c:pt>
                <c:pt idx="219">
                  <c:v>-70.5</c:v>
                </c:pt>
                <c:pt idx="220">
                  <c:v>-70</c:v>
                </c:pt>
                <c:pt idx="221">
                  <c:v>-69.5</c:v>
                </c:pt>
                <c:pt idx="222">
                  <c:v>-69</c:v>
                </c:pt>
                <c:pt idx="223">
                  <c:v>-68.5</c:v>
                </c:pt>
                <c:pt idx="224">
                  <c:v>-68</c:v>
                </c:pt>
                <c:pt idx="225">
                  <c:v>-67.5</c:v>
                </c:pt>
                <c:pt idx="226">
                  <c:v>-67</c:v>
                </c:pt>
                <c:pt idx="227">
                  <c:v>-66.5</c:v>
                </c:pt>
                <c:pt idx="228">
                  <c:v>-66</c:v>
                </c:pt>
                <c:pt idx="229">
                  <c:v>-65.5</c:v>
                </c:pt>
                <c:pt idx="230">
                  <c:v>-65</c:v>
                </c:pt>
                <c:pt idx="231">
                  <c:v>-64.5</c:v>
                </c:pt>
                <c:pt idx="232">
                  <c:v>-64</c:v>
                </c:pt>
                <c:pt idx="233">
                  <c:v>-63.5</c:v>
                </c:pt>
                <c:pt idx="234">
                  <c:v>-63</c:v>
                </c:pt>
                <c:pt idx="235">
                  <c:v>-62.5</c:v>
                </c:pt>
                <c:pt idx="236">
                  <c:v>-62</c:v>
                </c:pt>
                <c:pt idx="237">
                  <c:v>-61.5</c:v>
                </c:pt>
                <c:pt idx="238">
                  <c:v>-61</c:v>
                </c:pt>
                <c:pt idx="239">
                  <c:v>-60.5</c:v>
                </c:pt>
                <c:pt idx="240">
                  <c:v>-60</c:v>
                </c:pt>
                <c:pt idx="241">
                  <c:v>-59.5</c:v>
                </c:pt>
                <c:pt idx="242">
                  <c:v>-59</c:v>
                </c:pt>
                <c:pt idx="243">
                  <c:v>-58.5</c:v>
                </c:pt>
                <c:pt idx="244">
                  <c:v>-58</c:v>
                </c:pt>
                <c:pt idx="245">
                  <c:v>-57.5</c:v>
                </c:pt>
                <c:pt idx="246">
                  <c:v>-57</c:v>
                </c:pt>
                <c:pt idx="247">
                  <c:v>-56.5</c:v>
                </c:pt>
                <c:pt idx="248">
                  <c:v>-56</c:v>
                </c:pt>
                <c:pt idx="249">
                  <c:v>-55.5</c:v>
                </c:pt>
                <c:pt idx="250">
                  <c:v>-55</c:v>
                </c:pt>
                <c:pt idx="251">
                  <c:v>-54.5</c:v>
                </c:pt>
                <c:pt idx="252">
                  <c:v>-54</c:v>
                </c:pt>
                <c:pt idx="253">
                  <c:v>-53.5</c:v>
                </c:pt>
                <c:pt idx="254">
                  <c:v>-53</c:v>
                </c:pt>
                <c:pt idx="255">
                  <c:v>-52.5</c:v>
                </c:pt>
                <c:pt idx="256">
                  <c:v>-52</c:v>
                </c:pt>
                <c:pt idx="257">
                  <c:v>-51.5</c:v>
                </c:pt>
                <c:pt idx="258">
                  <c:v>-51</c:v>
                </c:pt>
                <c:pt idx="259">
                  <c:v>-50.5</c:v>
                </c:pt>
                <c:pt idx="260">
                  <c:v>-50</c:v>
                </c:pt>
                <c:pt idx="261">
                  <c:v>-49.5</c:v>
                </c:pt>
                <c:pt idx="262">
                  <c:v>-49</c:v>
                </c:pt>
                <c:pt idx="263">
                  <c:v>-48.5</c:v>
                </c:pt>
                <c:pt idx="264">
                  <c:v>-48</c:v>
                </c:pt>
                <c:pt idx="265">
                  <c:v>-47.5</c:v>
                </c:pt>
                <c:pt idx="266">
                  <c:v>-47</c:v>
                </c:pt>
                <c:pt idx="267">
                  <c:v>-46.5</c:v>
                </c:pt>
                <c:pt idx="268">
                  <c:v>-46</c:v>
                </c:pt>
                <c:pt idx="269">
                  <c:v>-45.5</c:v>
                </c:pt>
                <c:pt idx="270">
                  <c:v>-45</c:v>
                </c:pt>
                <c:pt idx="271">
                  <c:v>-44.5</c:v>
                </c:pt>
                <c:pt idx="272">
                  <c:v>-44</c:v>
                </c:pt>
                <c:pt idx="273">
                  <c:v>-43.5</c:v>
                </c:pt>
                <c:pt idx="274">
                  <c:v>-43</c:v>
                </c:pt>
                <c:pt idx="275">
                  <c:v>-42.5</c:v>
                </c:pt>
                <c:pt idx="276">
                  <c:v>-42</c:v>
                </c:pt>
                <c:pt idx="277">
                  <c:v>-41.5</c:v>
                </c:pt>
                <c:pt idx="278">
                  <c:v>-41</c:v>
                </c:pt>
                <c:pt idx="279">
                  <c:v>-40.5</c:v>
                </c:pt>
                <c:pt idx="280">
                  <c:v>-40</c:v>
                </c:pt>
                <c:pt idx="281">
                  <c:v>-39.5</c:v>
                </c:pt>
                <c:pt idx="282">
                  <c:v>-39</c:v>
                </c:pt>
                <c:pt idx="283">
                  <c:v>-38.5</c:v>
                </c:pt>
                <c:pt idx="284">
                  <c:v>-38</c:v>
                </c:pt>
                <c:pt idx="285">
                  <c:v>-37.5</c:v>
                </c:pt>
                <c:pt idx="286">
                  <c:v>-37</c:v>
                </c:pt>
                <c:pt idx="287">
                  <c:v>-36.5</c:v>
                </c:pt>
                <c:pt idx="288">
                  <c:v>-36</c:v>
                </c:pt>
                <c:pt idx="289">
                  <c:v>-35.5</c:v>
                </c:pt>
                <c:pt idx="290">
                  <c:v>-35</c:v>
                </c:pt>
                <c:pt idx="291">
                  <c:v>-34.5</c:v>
                </c:pt>
                <c:pt idx="292">
                  <c:v>-34</c:v>
                </c:pt>
                <c:pt idx="293">
                  <c:v>-33.5</c:v>
                </c:pt>
                <c:pt idx="294">
                  <c:v>-33</c:v>
                </c:pt>
                <c:pt idx="295">
                  <c:v>-32.5</c:v>
                </c:pt>
                <c:pt idx="296">
                  <c:v>-32</c:v>
                </c:pt>
                <c:pt idx="297">
                  <c:v>-31.5</c:v>
                </c:pt>
                <c:pt idx="298">
                  <c:v>-31</c:v>
                </c:pt>
                <c:pt idx="299">
                  <c:v>-30.5</c:v>
                </c:pt>
                <c:pt idx="300">
                  <c:v>-30</c:v>
                </c:pt>
                <c:pt idx="301">
                  <c:v>-29.5</c:v>
                </c:pt>
                <c:pt idx="302">
                  <c:v>-29</c:v>
                </c:pt>
                <c:pt idx="303">
                  <c:v>-28.5</c:v>
                </c:pt>
                <c:pt idx="304">
                  <c:v>-28</c:v>
                </c:pt>
                <c:pt idx="305">
                  <c:v>-27.5</c:v>
                </c:pt>
                <c:pt idx="306">
                  <c:v>-27</c:v>
                </c:pt>
                <c:pt idx="307">
                  <c:v>-26.5</c:v>
                </c:pt>
                <c:pt idx="308">
                  <c:v>-26</c:v>
                </c:pt>
                <c:pt idx="309">
                  <c:v>-25.5</c:v>
                </c:pt>
                <c:pt idx="310">
                  <c:v>-25</c:v>
                </c:pt>
                <c:pt idx="311">
                  <c:v>-24.5</c:v>
                </c:pt>
                <c:pt idx="312">
                  <c:v>-24</c:v>
                </c:pt>
                <c:pt idx="313">
                  <c:v>-23.5</c:v>
                </c:pt>
                <c:pt idx="314">
                  <c:v>-23</c:v>
                </c:pt>
                <c:pt idx="315">
                  <c:v>-22.5</c:v>
                </c:pt>
                <c:pt idx="316">
                  <c:v>-22</c:v>
                </c:pt>
                <c:pt idx="317">
                  <c:v>-21.5</c:v>
                </c:pt>
                <c:pt idx="318">
                  <c:v>-21</c:v>
                </c:pt>
                <c:pt idx="319">
                  <c:v>-20.5</c:v>
                </c:pt>
                <c:pt idx="320">
                  <c:v>-20</c:v>
                </c:pt>
                <c:pt idx="321">
                  <c:v>-19.5</c:v>
                </c:pt>
                <c:pt idx="322">
                  <c:v>-19</c:v>
                </c:pt>
                <c:pt idx="323">
                  <c:v>-18.5</c:v>
                </c:pt>
                <c:pt idx="324">
                  <c:v>-18</c:v>
                </c:pt>
                <c:pt idx="325">
                  <c:v>-17.5</c:v>
                </c:pt>
                <c:pt idx="326">
                  <c:v>-17</c:v>
                </c:pt>
                <c:pt idx="327">
                  <c:v>-16.5</c:v>
                </c:pt>
                <c:pt idx="328">
                  <c:v>-16</c:v>
                </c:pt>
                <c:pt idx="329">
                  <c:v>-15.5</c:v>
                </c:pt>
                <c:pt idx="330">
                  <c:v>-15</c:v>
                </c:pt>
                <c:pt idx="331">
                  <c:v>-14.5</c:v>
                </c:pt>
                <c:pt idx="332">
                  <c:v>-14</c:v>
                </c:pt>
                <c:pt idx="333">
                  <c:v>-13.5</c:v>
                </c:pt>
                <c:pt idx="334">
                  <c:v>-13</c:v>
                </c:pt>
                <c:pt idx="335">
                  <c:v>-12.5</c:v>
                </c:pt>
                <c:pt idx="336">
                  <c:v>-12</c:v>
                </c:pt>
                <c:pt idx="337">
                  <c:v>-11.5</c:v>
                </c:pt>
                <c:pt idx="338">
                  <c:v>-11</c:v>
                </c:pt>
                <c:pt idx="339">
                  <c:v>-10.5</c:v>
                </c:pt>
                <c:pt idx="340">
                  <c:v>-10</c:v>
                </c:pt>
                <c:pt idx="341">
                  <c:v>-9.5</c:v>
                </c:pt>
                <c:pt idx="342">
                  <c:v>-9</c:v>
                </c:pt>
                <c:pt idx="343">
                  <c:v>-8.5</c:v>
                </c:pt>
                <c:pt idx="344">
                  <c:v>-8</c:v>
                </c:pt>
                <c:pt idx="345">
                  <c:v>-7.5</c:v>
                </c:pt>
                <c:pt idx="346">
                  <c:v>-7</c:v>
                </c:pt>
                <c:pt idx="347">
                  <c:v>-6.5</c:v>
                </c:pt>
                <c:pt idx="348">
                  <c:v>-6</c:v>
                </c:pt>
                <c:pt idx="349">
                  <c:v>-5.5</c:v>
                </c:pt>
                <c:pt idx="350">
                  <c:v>-5</c:v>
                </c:pt>
                <c:pt idx="351">
                  <c:v>-4.5</c:v>
                </c:pt>
                <c:pt idx="352">
                  <c:v>-4</c:v>
                </c:pt>
                <c:pt idx="353">
                  <c:v>-3.5</c:v>
                </c:pt>
                <c:pt idx="354">
                  <c:v>-3</c:v>
                </c:pt>
                <c:pt idx="355">
                  <c:v>-2.5</c:v>
                </c:pt>
                <c:pt idx="356">
                  <c:v>-2</c:v>
                </c:pt>
                <c:pt idx="357">
                  <c:v>-1.5</c:v>
                </c:pt>
                <c:pt idx="358">
                  <c:v>-1</c:v>
                </c:pt>
                <c:pt idx="359">
                  <c:v>-0.5</c:v>
                </c:pt>
                <c:pt idx="360">
                  <c:v>0</c:v>
                </c:pt>
                <c:pt idx="361">
                  <c:v>0.5</c:v>
                </c:pt>
                <c:pt idx="362">
                  <c:v>1</c:v>
                </c:pt>
                <c:pt idx="363">
                  <c:v>1.5</c:v>
                </c:pt>
                <c:pt idx="364">
                  <c:v>2</c:v>
                </c:pt>
                <c:pt idx="365">
                  <c:v>2.5</c:v>
                </c:pt>
                <c:pt idx="366">
                  <c:v>3</c:v>
                </c:pt>
                <c:pt idx="367">
                  <c:v>3.5</c:v>
                </c:pt>
                <c:pt idx="368">
                  <c:v>4</c:v>
                </c:pt>
                <c:pt idx="369">
                  <c:v>4.5</c:v>
                </c:pt>
                <c:pt idx="370">
                  <c:v>5</c:v>
                </c:pt>
                <c:pt idx="371">
                  <c:v>5.5</c:v>
                </c:pt>
                <c:pt idx="372">
                  <c:v>6</c:v>
                </c:pt>
                <c:pt idx="373">
                  <c:v>6.5</c:v>
                </c:pt>
                <c:pt idx="374">
                  <c:v>7</c:v>
                </c:pt>
                <c:pt idx="375">
                  <c:v>7.5</c:v>
                </c:pt>
                <c:pt idx="376">
                  <c:v>8</c:v>
                </c:pt>
                <c:pt idx="377">
                  <c:v>8.5</c:v>
                </c:pt>
                <c:pt idx="378">
                  <c:v>9</c:v>
                </c:pt>
                <c:pt idx="379">
                  <c:v>9.5</c:v>
                </c:pt>
                <c:pt idx="380">
                  <c:v>10</c:v>
                </c:pt>
                <c:pt idx="381">
                  <c:v>10.5</c:v>
                </c:pt>
                <c:pt idx="382">
                  <c:v>11</c:v>
                </c:pt>
                <c:pt idx="383">
                  <c:v>11.5</c:v>
                </c:pt>
                <c:pt idx="384">
                  <c:v>12</c:v>
                </c:pt>
                <c:pt idx="385">
                  <c:v>12.5</c:v>
                </c:pt>
                <c:pt idx="386">
                  <c:v>13</c:v>
                </c:pt>
                <c:pt idx="387">
                  <c:v>13.5</c:v>
                </c:pt>
                <c:pt idx="388">
                  <c:v>14</c:v>
                </c:pt>
                <c:pt idx="389">
                  <c:v>14.5</c:v>
                </c:pt>
                <c:pt idx="390">
                  <c:v>15</c:v>
                </c:pt>
                <c:pt idx="391">
                  <c:v>15.5</c:v>
                </c:pt>
                <c:pt idx="392">
                  <c:v>16</c:v>
                </c:pt>
                <c:pt idx="393">
                  <c:v>16.5</c:v>
                </c:pt>
                <c:pt idx="394">
                  <c:v>17</c:v>
                </c:pt>
                <c:pt idx="395">
                  <c:v>17.5</c:v>
                </c:pt>
                <c:pt idx="396">
                  <c:v>18</c:v>
                </c:pt>
                <c:pt idx="397">
                  <c:v>18.5</c:v>
                </c:pt>
                <c:pt idx="398">
                  <c:v>19</c:v>
                </c:pt>
                <c:pt idx="399">
                  <c:v>19.5</c:v>
                </c:pt>
                <c:pt idx="400">
                  <c:v>20</c:v>
                </c:pt>
                <c:pt idx="401">
                  <c:v>20.5</c:v>
                </c:pt>
                <c:pt idx="402">
                  <c:v>21</c:v>
                </c:pt>
                <c:pt idx="403">
                  <c:v>21.5</c:v>
                </c:pt>
                <c:pt idx="404">
                  <c:v>22</c:v>
                </c:pt>
                <c:pt idx="405">
                  <c:v>22.5</c:v>
                </c:pt>
                <c:pt idx="406">
                  <c:v>23</c:v>
                </c:pt>
                <c:pt idx="407">
                  <c:v>23.5</c:v>
                </c:pt>
                <c:pt idx="408">
                  <c:v>24</c:v>
                </c:pt>
                <c:pt idx="409">
                  <c:v>24.5</c:v>
                </c:pt>
                <c:pt idx="410">
                  <c:v>25</c:v>
                </c:pt>
                <c:pt idx="411">
                  <c:v>25.5</c:v>
                </c:pt>
                <c:pt idx="412">
                  <c:v>26</c:v>
                </c:pt>
                <c:pt idx="413">
                  <c:v>26.5</c:v>
                </c:pt>
                <c:pt idx="414">
                  <c:v>27</c:v>
                </c:pt>
                <c:pt idx="415">
                  <c:v>27.5</c:v>
                </c:pt>
                <c:pt idx="416">
                  <c:v>28</c:v>
                </c:pt>
                <c:pt idx="417">
                  <c:v>28.5</c:v>
                </c:pt>
                <c:pt idx="418">
                  <c:v>29</c:v>
                </c:pt>
                <c:pt idx="419">
                  <c:v>29.5</c:v>
                </c:pt>
                <c:pt idx="420">
                  <c:v>30</c:v>
                </c:pt>
                <c:pt idx="421">
                  <c:v>30.5</c:v>
                </c:pt>
                <c:pt idx="422">
                  <c:v>31</c:v>
                </c:pt>
                <c:pt idx="423">
                  <c:v>31.5</c:v>
                </c:pt>
                <c:pt idx="424">
                  <c:v>32</c:v>
                </c:pt>
                <c:pt idx="425">
                  <c:v>32.5</c:v>
                </c:pt>
                <c:pt idx="426">
                  <c:v>33</c:v>
                </c:pt>
                <c:pt idx="427">
                  <c:v>33.5</c:v>
                </c:pt>
                <c:pt idx="428">
                  <c:v>34</c:v>
                </c:pt>
                <c:pt idx="429">
                  <c:v>34.5</c:v>
                </c:pt>
                <c:pt idx="430">
                  <c:v>35</c:v>
                </c:pt>
                <c:pt idx="431">
                  <c:v>35.5</c:v>
                </c:pt>
                <c:pt idx="432">
                  <c:v>36</c:v>
                </c:pt>
                <c:pt idx="433">
                  <c:v>36.5</c:v>
                </c:pt>
                <c:pt idx="434">
                  <c:v>37</c:v>
                </c:pt>
                <c:pt idx="435">
                  <c:v>37.5</c:v>
                </c:pt>
                <c:pt idx="436">
                  <c:v>38</c:v>
                </c:pt>
                <c:pt idx="437">
                  <c:v>38.5</c:v>
                </c:pt>
                <c:pt idx="438">
                  <c:v>39</c:v>
                </c:pt>
                <c:pt idx="439">
                  <c:v>39.5</c:v>
                </c:pt>
                <c:pt idx="440">
                  <c:v>40</c:v>
                </c:pt>
                <c:pt idx="441">
                  <c:v>40.5</c:v>
                </c:pt>
                <c:pt idx="442">
                  <c:v>41</c:v>
                </c:pt>
                <c:pt idx="443">
                  <c:v>41.5</c:v>
                </c:pt>
                <c:pt idx="444">
                  <c:v>42</c:v>
                </c:pt>
                <c:pt idx="445">
                  <c:v>42.5</c:v>
                </c:pt>
                <c:pt idx="446">
                  <c:v>43</c:v>
                </c:pt>
                <c:pt idx="447">
                  <c:v>43.5</c:v>
                </c:pt>
                <c:pt idx="448">
                  <c:v>44</c:v>
                </c:pt>
                <c:pt idx="449">
                  <c:v>44.5</c:v>
                </c:pt>
                <c:pt idx="450">
                  <c:v>45</c:v>
                </c:pt>
                <c:pt idx="451">
                  <c:v>45.5</c:v>
                </c:pt>
                <c:pt idx="452">
                  <c:v>46</c:v>
                </c:pt>
                <c:pt idx="453">
                  <c:v>46.5</c:v>
                </c:pt>
                <c:pt idx="454">
                  <c:v>47</c:v>
                </c:pt>
                <c:pt idx="455">
                  <c:v>47.5</c:v>
                </c:pt>
                <c:pt idx="456">
                  <c:v>48</c:v>
                </c:pt>
                <c:pt idx="457">
                  <c:v>48.5</c:v>
                </c:pt>
                <c:pt idx="458">
                  <c:v>49</c:v>
                </c:pt>
                <c:pt idx="459">
                  <c:v>49.5</c:v>
                </c:pt>
                <c:pt idx="460">
                  <c:v>50</c:v>
                </c:pt>
                <c:pt idx="461">
                  <c:v>50.5</c:v>
                </c:pt>
                <c:pt idx="462">
                  <c:v>51</c:v>
                </c:pt>
                <c:pt idx="463">
                  <c:v>51.5</c:v>
                </c:pt>
                <c:pt idx="464">
                  <c:v>52</c:v>
                </c:pt>
                <c:pt idx="465">
                  <c:v>52.5</c:v>
                </c:pt>
                <c:pt idx="466">
                  <c:v>53</c:v>
                </c:pt>
                <c:pt idx="467">
                  <c:v>53.5</c:v>
                </c:pt>
                <c:pt idx="468">
                  <c:v>54</c:v>
                </c:pt>
                <c:pt idx="469">
                  <c:v>54.5</c:v>
                </c:pt>
                <c:pt idx="470">
                  <c:v>55</c:v>
                </c:pt>
                <c:pt idx="471">
                  <c:v>55.5</c:v>
                </c:pt>
                <c:pt idx="472">
                  <c:v>56</c:v>
                </c:pt>
                <c:pt idx="473">
                  <c:v>56.5</c:v>
                </c:pt>
                <c:pt idx="474">
                  <c:v>57</c:v>
                </c:pt>
                <c:pt idx="475">
                  <c:v>57.5</c:v>
                </c:pt>
                <c:pt idx="476">
                  <c:v>58</c:v>
                </c:pt>
                <c:pt idx="477">
                  <c:v>58.5</c:v>
                </c:pt>
                <c:pt idx="478">
                  <c:v>59</c:v>
                </c:pt>
                <c:pt idx="479">
                  <c:v>59.5</c:v>
                </c:pt>
                <c:pt idx="480">
                  <c:v>60</c:v>
                </c:pt>
                <c:pt idx="481">
                  <c:v>60.5</c:v>
                </c:pt>
                <c:pt idx="482">
                  <c:v>61</c:v>
                </c:pt>
                <c:pt idx="483">
                  <c:v>61.5</c:v>
                </c:pt>
                <c:pt idx="484">
                  <c:v>62</c:v>
                </c:pt>
                <c:pt idx="485">
                  <c:v>62.5</c:v>
                </c:pt>
                <c:pt idx="486">
                  <c:v>63</c:v>
                </c:pt>
                <c:pt idx="487">
                  <c:v>63.5</c:v>
                </c:pt>
                <c:pt idx="488">
                  <c:v>64</c:v>
                </c:pt>
                <c:pt idx="489">
                  <c:v>64.5</c:v>
                </c:pt>
                <c:pt idx="490">
                  <c:v>65</c:v>
                </c:pt>
                <c:pt idx="491">
                  <c:v>65.5</c:v>
                </c:pt>
                <c:pt idx="492">
                  <c:v>66</c:v>
                </c:pt>
                <c:pt idx="493">
                  <c:v>66.5</c:v>
                </c:pt>
                <c:pt idx="494">
                  <c:v>67</c:v>
                </c:pt>
                <c:pt idx="495">
                  <c:v>67.5</c:v>
                </c:pt>
                <c:pt idx="496">
                  <c:v>68</c:v>
                </c:pt>
                <c:pt idx="497">
                  <c:v>68.5</c:v>
                </c:pt>
                <c:pt idx="498">
                  <c:v>69</c:v>
                </c:pt>
                <c:pt idx="499">
                  <c:v>69.5</c:v>
                </c:pt>
                <c:pt idx="500">
                  <c:v>70</c:v>
                </c:pt>
                <c:pt idx="501">
                  <c:v>70.5</c:v>
                </c:pt>
                <c:pt idx="502">
                  <c:v>71</c:v>
                </c:pt>
                <c:pt idx="503">
                  <c:v>71.5</c:v>
                </c:pt>
                <c:pt idx="504">
                  <c:v>72</c:v>
                </c:pt>
                <c:pt idx="505">
                  <c:v>72.5</c:v>
                </c:pt>
                <c:pt idx="506">
                  <c:v>73</c:v>
                </c:pt>
                <c:pt idx="507">
                  <c:v>73.5</c:v>
                </c:pt>
                <c:pt idx="508">
                  <c:v>74</c:v>
                </c:pt>
                <c:pt idx="509">
                  <c:v>74.5</c:v>
                </c:pt>
                <c:pt idx="510">
                  <c:v>75</c:v>
                </c:pt>
                <c:pt idx="511">
                  <c:v>75.5</c:v>
                </c:pt>
                <c:pt idx="512">
                  <c:v>76</c:v>
                </c:pt>
                <c:pt idx="513">
                  <c:v>76.5</c:v>
                </c:pt>
                <c:pt idx="514">
                  <c:v>77</c:v>
                </c:pt>
                <c:pt idx="515">
                  <c:v>77.5</c:v>
                </c:pt>
                <c:pt idx="516">
                  <c:v>78</c:v>
                </c:pt>
                <c:pt idx="517">
                  <c:v>78.5</c:v>
                </c:pt>
                <c:pt idx="518">
                  <c:v>79</c:v>
                </c:pt>
                <c:pt idx="519">
                  <c:v>79.5</c:v>
                </c:pt>
                <c:pt idx="520">
                  <c:v>80</c:v>
                </c:pt>
                <c:pt idx="521">
                  <c:v>80.5</c:v>
                </c:pt>
                <c:pt idx="522">
                  <c:v>81</c:v>
                </c:pt>
                <c:pt idx="523">
                  <c:v>81.5</c:v>
                </c:pt>
                <c:pt idx="524">
                  <c:v>82</c:v>
                </c:pt>
                <c:pt idx="525">
                  <c:v>82.5</c:v>
                </c:pt>
                <c:pt idx="526">
                  <c:v>83</c:v>
                </c:pt>
                <c:pt idx="527">
                  <c:v>83.5</c:v>
                </c:pt>
                <c:pt idx="528">
                  <c:v>84</c:v>
                </c:pt>
                <c:pt idx="529">
                  <c:v>84.5</c:v>
                </c:pt>
                <c:pt idx="530">
                  <c:v>85</c:v>
                </c:pt>
                <c:pt idx="531">
                  <c:v>85.5</c:v>
                </c:pt>
                <c:pt idx="532">
                  <c:v>86</c:v>
                </c:pt>
                <c:pt idx="533">
                  <c:v>86.5</c:v>
                </c:pt>
                <c:pt idx="534">
                  <c:v>87</c:v>
                </c:pt>
                <c:pt idx="535">
                  <c:v>87.5</c:v>
                </c:pt>
                <c:pt idx="536">
                  <c:v>88</c:v>
                </c:pt>
                <c:pt idx="537">
                  <c:v>88.5</c:v>
                </c:pt>
                <c:pt idx="538">
                  <c:v>89</c:v>
                </c:pt>
                <c:pt idx="539">
                  <c:v>89.5</c:v>
                </c:pt>
                <c:pt idx="540">
                  <c:v>90</c:v>
                </c:pt>
                <c:pt idx="541">
                  <c:v>90.5</c:v>
                </c:pt>
                <c:pt idx="542">
                  <c:v>91</c:v>
                </c:pt>
                <c:pt idx="543">
                  <c:v>91.5</c:v>
                </c:pt>
                <c:pt idx="544">
                  <c:v>92</c:v>
                </c:pt>
                <c:pt idx="545">
                  <c:v>92.5</c:v>
                </c:pt>
                <c:pt idx="546">
                  <c:v>93</c:v>
                </c:pt>
                <c:pt idx="547">
                  <c:v>93.5</c:v>
                </c:pt>
                <c:pt idx="548">
                  <c:v>94</c:v>
                </c:pt>
                <c:pt idx="549">
                  <c:v>94.5</c:v>
                </c:pt>
                <c:pt idx="550">
                  <c:v>95</c:v>
                </c:pt>
                <c:pt idx="551">
                  <c:v>95.5</c:v>
                </c:pt>
                <c:pt idx="552">
                  <c:v>96</c:v>
                </c:pt>
                <c:pt idx="553">
                  <c:v>96.5</c:v>
                </c:pt>
                <c:pt idx="554">
                  <c:v>97</c:v>
                </c:pt>
                <c:pt idx="555">
                  <c:v>97.5</c:v>
                </c:pt>
                <c:pt idx="556">
                  <c:v>98</c:v>
                </c:pt>
                <c:pt idx="557">
                  <c:v>98.5</c:v>
                </c:pt>
                <c:pt idx="558">
                  <c:v>99</c:v>
                </c:pt>
                <c:pt idx="559">
                  <c:v>99.5</c:v>
                </c:pt>
                <c:pt idx="560">
                  <c:v>100</c:v>
                </c:pt>
                <c:pt idx="561">
                  <c:v>100.5</c:v>
                </c:pt>
                <c:pt idx="562">
                  <c:v>101</c:v>
                </c:pt>
                <c:pt idx="563">
                  <c:v>101.5</c:v>
                </c:pt>
                <c:pt idx="564">
                  <c:v>102</c:v>
                </c:pt>
                <c:pt idx="565">
                  <c:v>102.5</c:v>
                </c:pt>
                <c:pt idx="566">
                  <c:v>103</c:v>
                </c:pt>
                <c:pt idx="567">
                  <c:v>103.5</c:v>
                </c:pt>
                <c:pt idx="568">
                  <c:v>104</c:v>
                </c:pt>
                <c:pt idx="569">
                  <c:v>104.5</c:v>
                </c:pt>
                <c:pt idx="570">
                  <c:v>105</c:v>
                </c:pt>
                <c:pt idx="571">
                  <c:v>105.5</c:v>
                </c:pt>
                <c:pt idx="572">
                  <c:v>106</c:v>
                </c:pt>
                <c:pt idx="573">
                  <c:v>106.5</c:v>
                </c:pt>
                <c:pt idx="574">
                  <c:v>107</c:v>
                </c:pt>
                <c:pt idx="575">
                  <c:v>107.5</c:v>
                </c:pt>
                <c:pt idx="576">
                  <c:v>108</c:v>
                </c:pt>
                <c:pt idx="577">
                  <c:v>108.5</c:v>
                </c:pt>
                <c:pt idx="578">
                  <c:v>109</c:v>
                </c:pt>
                <c:pt idx="579">
                  <c:v>109.5</c:v>
                </c:pt>
                <c:pt idx="580">
                  <c:v>110</c:v>
                </c:pt>
                <c:pt idx="581">
                  <c:v>110.5</c:v>
                </c:pt>
                <c:pt idx="582">
                  <c:v>111</c:v>
                </c:pt>
                <c:pt idx="583">
                  <c:v>111.5</c:v>
                </c:pt>
                <c:pt idx="584">
                  <c:v>112</c:v>
                </c:pt>
                <c:pt idx="585">
                  <c:v>112.5</c:v>
                </c:pt>
                <c:pt idx="586">
                  <c:v>113</c:v>
                </c:pt>
                <c:pt idx="587">
                  <c:v>113.5</c:v>
                </c:pt>
                <c:pt idx="588">
                  <c:v>114</c:v>
                </c:pt>
                <c:pt idx="589">
                  <c:v>114.5</c:v>
                </c:pt>
                <c:pt idx="590">
                  <c:v>115</c:v>
                </c:pt>
                <c:pt idx="591">
                  <c:v>115.5</c:v>
                </c:pt>
                <c:pt idx="592">
                  <c:v>116</c:v>
                </c:pt>
                <c:pt idx="593">
                  <c:v>116.5</c:v>
                </c:pt>
                <c:pt idx="594">
                  <c:v>117</c:v>
                </c:pt>
                <c:pt idx="595">
                  <c:v>117.5</c:v>
                </c:pt>
                <c:pt idx="596">
                  <c:v>118</c:v>
                </c:pt>
                <c:pt idx="597">
                  <c:v>118.5</c:v>
                </c:pt>
                <c:pt idx="598">
                  <c:v>119</c:v>
                </c:pt>
                <c:pt idx="599">
                  <c:v>119.5</c:v>
                </c:pt>
                <c:pt idx="600">
                  <c:v>120</c:v>
                </c:pt>
                <c:pt idx="601">
                  <c:v>120.5</c:v>
                </c:pt>
                <c:pt idx="602">
                  <c:v>121</c:v>
                </c:pt>
                <c:pt idx="603">
                  <c:v>121.5</c:v>
                </c:pt>
                <c:pt idx="604">
                  <c:v>122</c:v>
                </c:pt>
                <c:pt idx="605">
                  <c:v>122.5</c:v>
                </c:pt>
                <c:pt idx="606">
                  <c:v>123</c:v>
                </c:pt>
                <c:pt idx="607">
                  <c:v>123.5</c:v>
                </c:pt>
                <c:pt idx="608">
                  <c:v>124</c:v>
                </c:pt>
                <c:pt idx="609">
                  <c:v>124.5</c:v>
                </c:pt>
                <c:pt idx="610">
                  <c:v>125</c:v>
                </c:pt>
                <c:pt idx="611">
                  <c:v>125.5</c:v>
                </c:pt>
                <c:pt idx="612">
                  <c:v>126</c:v>
                </c:pt>
                <c:pt idx="613">
                  <c:v>126.5</c:v>
                </c:pt>
                <c:pt idx="614">
                  <c:v>127</c:v>
                </c:pt>
                <c:pt idx="615">
                  <c:v>127.5</c:v>
                </c:pt>
                <c:pt idx="616">
                  <c:v>128</c:v>
                </c:pt>
                <c:pt idx="617">
                  <c:v>128.5</c:v>
                </c:pt>
                <c:pt idx="618">
                  <c:v>129</c:v>
                </c:pt>
                <c:pt idx="619">
                  <c:v>129.5</c:v>
                </c:pt>
                <c:pt idx="620">
                  <c:v>130</c:v>
                </c:pt>
                <c:pt idx="621">
                  <c:v>130.5</c:v>
                </c:pt>
                <c:pt idx="622">
                  <c:v>131</c:v>
                </c:pt>
                <c:pt idx="623">
                  <c:v>131.5</c:v>
                </c:pt>
                <c:pt idx="624">
                  <c:v>132</c:v>
                </c:pt>
                <c:pt idx="625">
                  <c:v>132.5</c:v>
                </c:pt>
                <c:pt idx="626">
                  <c:v>133</c:v>
                </c:pt>
                <c:pt idx="627">
                  <c:v>133.5</c:v>
                </c:pt>
                <c:pt idx="628">
                  <c:v>134</c:v>
                </c:pt>
                <c:pt idx="629">
                  <c:v>134.5</c:v>
                </c:pt>
                <c:pt idx="630">
                  <c:v>135</c:v>
                </c:pt>
                <c:pt idx="631">
                  <c:v>135.5</c:v>
                </c:pt>
                <c:pt idx="632">
                  <c:v>136</c:v>
                </c:pt>
                <c:pt idx="633">
                  <c:v>136.5</c:v>
                </c:pt>
                <c:pt idx="634">
                  <c:v>137</c:v>
                </c:pt>
                <c:pt idx="635">
                  <c:v>137.5</c:v>
                </c:pt>
                <c:pt idx="636">
                  <c:v>138</c:v>
                </c:pt>
                <c:pt idx="637">
                  <c:v>138.5</c:v>
                </c:pt>
                <c:pt idx="638">
                  <c:v>139</c:v>
                </c:pt>
                <c:pt idx="639">
                  <c:v>139.5</c:v>
                </c:pt>
                <c:pt idx="640">
                  <c:v>140</c:v>
                </c:pt>
                <c:pt idx="641">
                  <c:v>140.5</c:v>
                </c:pt>
                <c:pt idx="642">
                  <c:v>141</c:v>
                </c:pt>
                <c:pt idx="643">
                  <c:v>141.5</c:v>
                </c:pt>
                <c:pt idx="644">
                  <c:v>142</c:v>
                </c:pt>
                <c:pt idx="645">
                  <c:v>142.5</c:v>
                </c:pt>
                <c:pt idx="646">
                  <c:v>143</c:v>
                </c:pt>
                <c:pt idx="647">
                  <c:v>143.5</c:v>
                </c:pt>
                <c:pt idx="648">
                  <c:v>144</c:v>
                </c:pt>
                <c:pt idx="649">
                  <c:v>144.5</c:v>
                </c:pt>
                <c:pt idx="650">
                  <c:v>145</c:v>
                </c:pt>
                <c:pt idx="651">
                  <c:v>145.5</c:v>
                </c:pt>
                <c:pt idx="652">
                  <c:v>146</c:v>
                </c:pt>
                <c:pt idx="653">
                  <c:v>146.5</c:v>
                </c:pt>
                <c:pt idx="654">
                  <c:v>147</c:v>
                </c:pt>
                <c:pt idx="655">
                  <c:v>147.5</c:v>
                </c:pt>
                <c:pt idx="656">
                  <c:v>148</c:v>
                </c:pt>
                <c:pt idx="657">
                  <c:v>148.5</c:v>
                </c:pt>
                <c:pt idx="658">
                  <c:v>149</c:v>
                </c:pt>
                <c:pt idx="659">
                  <c:v>149.5</c:v>
                </c:pt>
                <c:pt idx="660">
                  <c:v>150</c:v>
                </c:pt>
                <c:pt idx="661">
                  <c:v>150.5</c:v>
                </c:pt>
                <c:pt idx="662">
                  <c:v>151</c:v>
                </c:pt>
                <c:pt idx="663">
                  <c:v>151.5</c:v>
                </c:pt>
                <c:pt idx="664">
                  <c:v>152</c:v>
                </c:pt>
                <c:pt idx="665">
                  <c:v>152.5</c:v>
                </c:pt>
                <c:pt idx="666">
                  <c:v>153</c:v>
                </c:pt>
                <c:pt idx="667">
                  <c:v>153.5</c:v>
                </c:pt>
                <c:pt idx="668">
                  <c:v>154</c:v>
                </c:pt>
                <c:pt idx="669">
                  <c:v>154.5</c:v>
                </c:pt>
                <c:pt idx="670">
                  <c:v>155</c:v>
                </c:pt>
                <c:pt idx="671">
                  <c:v>155.5</c:v>
                </c:pt>
                <c:pt idx="672">
                  <c:v>156</c:v>
                </c:pt>
                <c:pt idx="673">
                  <c:v>156.5</c:v>
                </c:pt>
                <c:pt idx="674">
                  <c:v>157</c:v>
                </c:pt>
                <c:pt idx="675">
                  <c:v>157.5</c:v>
                </c:pt>
                <c:pt idx="676">
                  <c:v>158</c:v>
                </c:pt>
                <c:pt idx="677">
                  <c:v>158.5</c:v>
                </c:pt>
                <c:pt idx="678">
                  <c:v>159</c:v>
                </c:pt>
                <c:pt idx="679">
                  <c:v>159.5</c:v>
                </c:pt>
                <c:pt idx="680">
                  <c:v>160</c:v>
                </c:pt>
                <c:pt idx="681">
                  <c:v>160.5</c:v>
                </c:pt>
                <c:pt idx="682">
                  <c:v>161</c:v>
                </c:pt>
                <c:pt idx="683">
                  <c:v>161.5</c:v>
                </c:pt>
                <c:pt idx="684">
                  <c:v>162</c:v>
                </c:pt>
                <c:pt idx="685">
                  <c:v>162.5</c:v>
                </c:pt>
                <c:pt idx="686">
                  <c:v>163</c:v>
                </c:pt>
                <c:pt idx="687">
                  <c:v>163.5</c:v>
                </c:pt>
                <c:pt idx="688">
                  <c:v>164</c:v>
                </c:pt>
                <c:pt idx="689">
                  <c:v>164.5</c:v>
                </c:pt>
                <c:pt idx="690">
                  <c:v>165</c:v>
                </c:pt>
                <c:pt idx="691">
                  <c:v>165.5</c:v>
                </c:pt>
                <c:pt idx="692">
                  <c:v>166</c:v>
                </c:pt>
                <c:pt idx="693">
                  <c:v>166.5</c:v>
                </c:pt>
                <c:pt idx="694">
                  <c:v>167</c:v>
                </c:pt>
                <c:pt idx="695">
                  <c:v>167.5</c:v>
                </c:pt>
                <c:pt idx="696">
                  <c:v>168</c:v>
                </c:pt>
                <c:pt idx="697">
                  <c:v>168.5</c:v>
                </c:pt>
                <c:pt idx="698">
                  <c:v>169</c:v>
                </c:pt>
                <c:pt idx="699">
                  <c:v>169.5</c:v>
                </c:pt>
                <c:pt idx="700">
                  <c:v>170</c:v>
                </c:pt>
                <c:pt idx="701">
                  <c:v>170.5</c:v>
                </c:pt>
                <c:pt idx="702">
                  <c:v>171</c:v>
                </c:pt>
                <c:pt idx="703">
                  <c:v>171.5</c:v>
                </c:pt>
                <c:pt idx="704">
                  <c:v>172</c:v>
                </c:pt>
                <c:pt idx="705">
                  <c:v>172.5</c:v>
                </c:pt>
                <c:pt idx="706">
                  <c:v>173</c:v>
                </c:pt>
                <c:pt idx="707">
                  <c:v>173.5</c:v>
                </c:pt>
                <c:pt idx="708">
                  <c:v>174</c:v>
                </c:pt>
                <c:pt idx="709">
                  <c:v>174.5</c:v>
                </c:pt>
                <c:pt idx="710">
                  <c:v>175</c:v>
                </c:pt>
                <c:pt idx="711">
                  <c:v>175.5</c:v>
                </c:pt>
                <c:pt idx="712">
                  <c:v>176</c:v>
                </c:pt>
                <c:pt idx="713">
                  <c:v>176.5</c:v>
                </c:pt>
                <c:pt idx="714">
                  <c:v>177</c:v>
                </c:pt>
                <c:pt idx="715">
                  <c:v>177.5</c:v>
                </c:pt>
                <c:pt idx="716">
                  <c:v>178</c:v>
                </c:pt>
                <c:pt idx="717">
                  <c:v>178.5</c:v>
                </c:pt>
                <c:pt idx="718">
                  <c:v>179</c:v>
                </c:pt>
                <c:pt idx="719">
                  <c:v>179.5</c:v>
                </c:pt>
                <c:pt idx="720">
                  <c:v>180</c:v>
                </c:pt>
              </c:numCache>
            </c:numRef>
          </c:xVal>
          <c:yVal>
            <c:numRef>
              <c:f>Presion_cilindro!$R$4:$R$724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4.6033346729217515</c:v>
                </c:pt>
                <c:pt idx="276">
                  <c:v>4.6838282643979383</c:v>
                </c:pt>
                <c:pt idx="277">
                  <c:v>4.7661189310785605</c:v>
                </c:pt>
                <c:pt idx="278">
                  <c:v>4.8502428963503164</c:v>
                </c:pt>
                <c:pt idx="279">
                  <c:v>4.9362364384492903</c:v>
                </c:pt>
                <c:pt idx="280">
                  <c:v>5.024135818595048</c:v>
                </c:pt>
                <c:pt idx="281">
                  <c:v>5.1139772021108811</c:v>
                </c:pt>
                <c:pt idx="282">
                  <c:v>5.2057965720721358</c:v>
                </c:pt>
                <c:pt idx="283">
                  <c:v>5.2996296350088352</c:v>
                </c:pt>
                <c:pt idx="284">
                  <c:v>5.3955117181735694</c:v>
                </c:pt>
                <c:pt idx="285">
                  <c:v>5.4934776578723703</c:v>
                </c:pt>
                <c:pt idx="286">
                  <c:v>5.5935616783449866</c:v>
                </c:pt>
                <c:pt idx="287">
                  <c:v>5.6957972606717471</c:v>
                </c:pt>
                <c:pt idx="288">
                  <c:v>5.80021700117838</c:v>
                </c:pt>
                <c:pt idx="289">
                  <c:v>5.9068524588072222</c:v>
                </c:pt>
                <c:pt idx="290">
                  <c:v>6.0157339909247796</c:v>
                </c:pt>
                <c:pt idx="291">
                  <c:v>6.1268905770417605</c:v>
                </c:pt>
                <c:pt idx="292">
                  <c:v>6.2403496299330925</c:v>
                </c:pt>
                <c:pt idx="293">
                  <c:v>6.3561367936632998</c:v>
                </c:pt>
                <c:pt idx="294">
                  <c:v>6.474275728047596</c:v>
                </c:pt>
                <c:pt idx="295">
                  <c:v>6.5947878791117649</c:v>
                </c:pt>
                <c:pt idx="296">
                  <c:v>6.7176922351560417</c:v>
                </c:pt>
                <c:pt idx="297">
                  <c:v>6.8430050680798962</c:v>
                </c:pt>
                <c:pt idx="298">
                  <c:v>6.9707396596879816</c:v>
                </c:pt>
                <c:pt idx="299">
                  <c:v>7.1009060127726942</c:v>
                </c:pt>
                <c:pt idx="300">
                  <c:v>7.2335105468578709</c:v>
                </c:pt>
                <c:pt idx="301">
                  <c:v>7.3685557785910527</c:v>
                </c:pt>
                <c:pt idx="302">
                  <c:v>7.5060399868917722</c:v>
                </c:pt>
                <c:pt idx="303">
                  <c:v>7.6459568630988599</c:v>
                </c:pt>
                <c:pt idx="304">
                  <c:v>7.7882951465147201</c:v>
                </c:pt>
                <c:pt idx="305">
                  <c:v>7.9330382459174604</c:v>
                </c:pt>
                <c:pt idx="306">
                  <c:v>8.080163847805947</c:v>
                </c:pt>
                <c:pt idx="307">
                  <c:v>8.2296435123565956</c:v>
                </c:pt>
                <c:pt idx="308">
                  <c:v>8.381442258307171</c:v>
                </c:pt>
                <c:pt idx="309">
                  <c:v>8.5355181382400183</c:v>
                </c:pt>
                <c:pt idx="310">
                  <c:v>8.6918218060164509</c:v>
                </c:pt>
                <c:pt idx="311">
                  <c:v>8.8502960784148286</c:v>
                </c:pt>
                <c:pt idx="312">
                  <c:v>9.0108754933457398</c:v>
                </c:pt>
                <c:pt idx="313">
                  <c:v>9.173485867358151</c:v>
                </c:pt>
                <c:pt idx="314">
                  <c:v>9.3380438555080385</c:v>
                </c:pt>
                <c:pt idx="315">
                  <c:v>9.5044565170328568</c:v>
                </c:pt>
                <c:pt idx="316">
                  <c:v>9.6726208906595392</c:v>
                </c:pt>
                <c:pt idx="317">
                  <c:v>9.8424235837635088</c:v>
                </c:pt>
                <c:pt idx="318">
                  <c:v>10.013740379990242</c:v>
                </c:pt>
                <c:pt idx="319">
                  <c:v>10.186435870339222</c:v>
                </c:pt>
                <c:pt idx="320">
                  <c:v>10.360363113089631</c:v>
                </c:pt>
                <c:pt idx="321">
                  <c:v>10.535363328307028</c:v>
                </c:pt>
                <c:pt idx="322">
                  <c:v>10.711265633003194</c:v>
                </c:pt>
                <c:pt idx="323">
                  <c:v>10.887886823317414</c:v>
                </c:pt>
                <c:pt idx="324">
                  <c:v>11.065031210336159</c:v>
                </c:pt>
                <c:pt idx="325">
                  <c:v>11.242490516356877</c:v>
                </c:pt>
                <c:pt idx="326">
                  <c:v>11.420043838520682</c:v>
                </c:pt>
                <c:pt idx="327">
                  <c:v>11.597457686773055</c:v>
                </c:pt>
                <c:pt idx="328">
                  <c:v>11.774486103051757</c:v>
                </c:pt>
                <c:pt idx="329">
                  <c:v>11.950870868431339</c:v>
                </c:pt>
                <c:pt idx="330">
                  <c:v>12.126341804664458</c:v>
                </c:pt>
                <c:pt idx="331">
                  <c:v>12.300617176140848</c:v>
                </c:pt>
                <c:pt idx="332">
                  <c:v>12.473404197722738</c:v>
                </c:pt>
                <c:pt idx="333">
                  <c:v>12.644399653207032</c:v>
                </c:pt>
                <c:pt idx="334">
                  <c:v>12.813290628301043</c:v>
                </c:pt>
                <c:pt idx="335">
                  <c:v>12.97975536097953</c:v>
                </c:pt>
                <c:pt idx="336">
                  <c:v>13.143464210914832</c:v>
                </c:pt>
                <c:pt idx="337">
                  <c:v>13.304080748347879</c:v>
                </c:pt>
                <c:pt idx="338">
                  <c:v>13.461262961297823</c:v>
                </c:pt>
                <c:pt idx="339">
                  <c:v>13.614664578413283</c:v>
                </c:pt>
                <c:pt idx="340">
                  <c:v>13.763936503061698</c:v>
                </c:pt>
                <c:pt idx="341">
                  <c:v>13.908728352459104</c:v>
                </c:pt>
                <c:pt idx="342">
                  <c:v>14.04869009379118</c:v>
                </c:pt>
                <c:pt idx="343">
                  <c:v>14.183473767397132</c:v>
                </c:pt>
                <c:pt idx="344">
                  <c:v>14.312735285220532</c:v>
                </c:pt>
                <c:pt idx="345">
                  <c:v>14.436136290913105</c:v>
                </c:pt>
                <c:pt idx="346">
                  <c:v>14.553346066252981</c:v>
                </c:pt>
                <c:pt idx="347">
                  <c:v>14.664043466953874</c:v>
                </c:pt>
                <c:pt idx="348">
                  <c:v>14.767918869536354</c:v>
                </c:pt>
                <c:pt idx="349">
                  <c:v>14.864676109755639</c:v>
                </c:pt>
                <c:pt idx="350">
                  <c:v>14.954034392170891</c:v>
                </c:pt>
                <c:pt idx="351">
                  <c:v>15.035730149834537</c:v>
                </c:pt>
                <c:pt idx="352">
                  <c:v>15.109518832812107</c:v>
                </c:pt>
                <c:pt idx="353">
                  <c:v>15.175176604336544</c:v>
                </c:pt>
                <c:pt idx="354">
                  <c:v>15.232501923870371</c:v>
                </c:pt>
                <c:pt idx="355">
                  <c:v>15.281316997206222</c:v>
                </c:pt>
                <c:pt idx="356">
                  <c:v>15.321469074977401</c:v>
                </c:pt>
                <c:pt idx="357">
                  <c:v>15.352831582558789</c:v>
                </c:pt>
                <c:pt idx="358">
                  <c:v>15.375305066297368</c:v>
                </c:pt>
                <c:pt idx="359">
                  <c:v>15.388817943283314</c:v>
                </c:pt>
                <c:pt idx="360">
                  <c:v>15.393327044416075</c:v>
                </c:pt>
                <c:pt idx="361">
                  <c:v>15.388817943283316</c:v>
                </c:pt>
                <c:pt idx="362">
                  <c:v>15.375305066297368</c:v>
                </c:pt>
                <c:pt idx="363">
                  <c:v>15.352831582558787</c:v>
                </c:pt>
                <c:pt idx="364">
                  <c:v>15.321469074977397</c:v>
                </c:pt>
                <c:pt idx="365">
                  <c:v>15.281316997206215</c:v>
                </c:pt>
                <c:pt idx="366">
                  <c:v>15.232501923870363</c:v>
                </c:pt>
                <c:pt idx="367">
                  <c:v>15.175176604336531</c:v>
                </c:pt>
                <c:pt idx="368">
                  <c:v>15.109518832812094</c:v>
                </c:pt>
                <c:pt idx="369">
                  <c:v>15.035730149834523</c:v>
                </c:pt>
                <c:pt idx="370">
                  <c:v>14.954034392170879</c:v>
                </c:pt>
                <c:pt idx="371">
                  <c:v>14.864676109755628</c:v>
                </c:pt>
                <c:pt idx="372">
                  <c:v>14.767918869536345</c:v>
                </c:pt>
                <c:pt idx="373">
                  <c:v>14.664043466953865</c:v>
                </c:pt>
                <c:pt idx="374">
                  <c:v>14.553346066252972</c:v>
                </c:pt>
                <c:pt idx="375">
                  <c:v>14.436136290913094</c:v>
                </c:pt>
                <c:pt idx="376">
                  <c:v>14.312735285220519</c:v>
                </c:pt>
                <c:pt idx="377">
                  <c:v>14.183473767397123</c:v>
                </c:pt>
                <c:pt idx="378">
                  <c:v>14.048690093791173</c:v>
                </c:pt>
                <c:pt idx="379">
                  <c:v>13.908728352459098</c:v>
                </c:pt>
                <c:pt idx="380">
                  <c:v>13.763936503061696</c:v>
                </c:pt>
                <c:pt idx="381">
                  <c:v>13.614664578413281</c:v>
                </c:pt>
                <c:pt idx="382">
                  <c:v>13.461262961297821</c:v>
                </c:pt>
                <c:pt idx="383">
                  <c:v>13.304080748347879</c:v>
                </c:pt>
                <c:pt idx="384">
                  <c:v>13.143464210914832</c:v>
                </c:pt>
                <c:pt idx="385">
                  <c:v>12.97975536097953</c:v>
                </c:pt>
                <c:pt idx="386">
                  <c:v>12.813290628301045</c:v>
                </c:pt>
                <c:pt idx="387">
                  <c:v>12.64439965320703</c:v>
                </c:pt>
                <c:pt idx="388">
                  <c:v>12.473404197722736</c:v>
                </c:pt>
                <c:pt idx="389">
                  <c:v>12.300617176140848</c:v>
                </c:pt>
                <c:pt idx="390">
                  <c:v>12.126341804664458</c:v>
                </c:pt>
                <c:pt idx="391">
                  <c:v>11.950870868431338</c:v>
                </c:pt>
                <c:pt idx="392">
                  <c:v>11.774486103051757</c:v>
                </c:pt>
                <c:pt idx="393">
                  <c:v>11.597457686773055</c:v>
                </c:pt>
                <c:pt idx="394">
                  <c:v>11.42004383852068</c:v>
                </c:pt>
                <c:pt idx="395">
                  <c:v>11.242490516356876</c:v>
                </c:pt>
                <c:pt idx="396">
                  <c:v>11.065031210336159</c:v>
                </c:pt>
                <c:pt idx="397">
                  <c:v>10.887886823317416</c:v>
                </c:pt>
                <c:pt idx="398">
                  <c:v>10.711265633003194</c:v>
                </c:pt>
                <c:pt idx="399">
                  <c:v>10.535363328307026</c:v>
                </c:pt>
                <c:pt idx="400">
                  <c:v>10.36036311308963</c:v>
                </c:pt>
                <c:pt idx="401">
                  <c:v>10.186435870339222</c:v>
                </c:pt>
                <c:pt idx="402">
                  <c:v>10.01374037999024</c:v>
                </c:pt>
                <c:pt idx="403">
                  <c:v>9.8424235837635088</c:v>
                </c:pt>
                <c:pt idx="404">
                  <c:v>9.6726208906595392</c:v>
                </c:pt>
                <c:pt idx="405">
                  <c:v>9.5044565170328568</c:v>
                </c:pt>
                <c:pt idx="406">
                  <c:v>9.3380438555080385</c:v>
                </c:pt>
                <c:pt idx="407">
                  <c:v>9.1734858673581492</c:v>
                </c:pt>
                <c:pt idx="408">
                  <c:v>9.010875493345738</c:v>
                </c:pt>
                <c:pt idx="409">
                  <c:v>8.8502960784148268</c:v>
                </c:pt>
                <c:pt idx="410">
                  <c:v>8.6918218060164474</c:v>
                </c:pt>
                <c:pt idx="411">
                  <c:v>8.5355181382400129</c:v>
                </c:pt>
                <c:pt idx="412">
                  <c:v>8.3814422583071657</c:v>
                </c:pt>
                <c:pt idx="413">
                  <c:v>8.2296435123565921</c:v>
                </c:pt>
                <c:pt idx="414">
                  <c:v>8.0801638478059434</c:v>
                </c:pt>
                <c:pt idx="415">
                  <c:v>7.933038245917456</c:v>
                </c:pt>
                <c:pt idx="416">
                  <c:v>7.7882951465147148</c:v>
                </c:pt>
                <c:pt idx="417">
                  <c:v>7.6459568630988555</c:v>
                </c:pt>
                <c:pt idx="418">
                  <c:v>7.5060399868917669</c:v>
                </c:pt>
                <c:pt idx="419">
                  <c:v>7.3685557785910492</c:v>
                </c:pt>
                <c:pt idx="420">
                  <c:v>7.2335105468578673</c:v>
                </c:pt>
                <c:pt idx="421">
                  <c:v>7.1009060127726897</c:v>
                </c:pt>
                <c:pt idx="422">
                  <c:v>6.9707396596879763</c:v>
                </c:pt>
                <c:pt idx="423">
                  <c:v>6.8430050680798891</c:v>
                </c:pt>
                <c:pt idx="424">
                  <c:v>6.7176922351560346</c:v>
                </c:pt>
                <c:pt idx="425">
                  <c:v>6.5947878791117569</c:v>
                </c:pt>
                <c:pt idx="426">
                  <c:v>6.4742757280475871</c:v>
                </c:pt>
                <c:pt idx="427">
                  <c:v>6.3561367936632918</c:v>
                </c:pt>
                <c:pt idx="428">
                  <c:v>6.2403496299330854</c:v>
                </c:pt>
                <c:pt idx="429">
                  <c:v>6.1268905770417534</c:v>
                </c:pt>
                <c:pt idx="430">
                  <c:v>6.0157339909247716</c:v>
                </c:pt>
                <c:pt idx="431">
                  <c:v>5.9068524588072142</c:v>
                </c:pt>
                <c:pt idx="432">
                  <c:v>5.800217001178372</c:v>
                </c:pt>
                <c:pt idx="433">
                  <c:v>5.6957972606717382</c:v>
                </c:pt>
                <c:pt idx="434">
                  <c:v>5.5935616783449786</c:v>
                </c:pt>
                <c:pt idx="435">
                  <c:v>5.4934776578723623</c:v>
                </c:pt>
                <c:pt idx="436">
                  <c:v>5.3955117181735615</c:v>
                </c:pt>
                <c:pt idx="437">
                  <c:v>5.2996296350088281</c:v>
                </c:pt>
                <c:pt idx="438">
                  <c:v>5.2057965720721295</c:v>
                </c:pt>
                <c:pt idx="439">
                  <c:v>5.1139772021108758</c:v>
                </c:pt>
                <c:pt idx="440">
                  <c:v>5.0241358185950435</c:v>
                </c:pt>
                <c:pt idx="441">
                  <c:v>4.9362364384492867</c:v>
                </c:pt>
                <c:pt idx="442">
                  <c:v>4.8502428963503137</c:v>
                </c:pt>
                <c:pt idx="443">
                  <c:v>4.766118931078557</c:v>
                </c:pt>
                <c:pt idx="444">
                  <c:v>4.6838282643979356</c:v>
                </c:pt>
                <c:pt idx="445">
                  <c:v>4.6033346729217497</c:v>
                </c:pt>
                <c:pt idx="446">
                  <c:v>4.5246020534052267</c:v>
                </c:pt>
                <c:pt idx="447">
                  <c:v>4.4475944818880713</c:v>
                </c:pt>
                <c:pt idx="448">
                  <c:v>4.372276267091598</c:v>
                </c:pt>
                <c:pt idx="449">
                  <c:v>4.2986119984572753</c:v>
                </c:pt>
                <c:pt idx="450">
                  <c:v>4.2265665891946709</c:v>
                </c:pt>
                <c:pt idx="451">
                  <c:v>4.1561053146887952</c:v>
                </c:pt>
                <c:pt idx="452">
                  <c:v>4.0871938465984909</c:v>
                </c:pt>
                <c:pt idx="453">
                  <c:v>4.0197982829600498</c:v>
                </c:pt>
                <c:pt idx="454">
                  <c:v>3.9538851745926773</c:v>
                </c:pt>
                <c:pt idx="455">
                  <c:v>3.8894215480857035</c:v>
                </c:pt>
                <c:pt idx="456">
                  <c:v>3.8263749256309603</c:v>
                </c:pt>
                <c:pt idx="457">
                  <c:v>3.764713341948192</c:v>
                </c:pt>
                <c:pt idx="458">
                  <c:v>3.7044053585359564</c:v>
                </c:pt>
                <c:pt idx="459">
                  <c:v>3.6454200754661343</c:v>
                </c:pt>
                <c:pt idx="460">
                  <c:v>3.5877271409260953</c:v>
                </c:pt>
                <c:pt idx="461">
                  <c:v>3.5312967586994408</c:v>
                </c:pt>
                <c:pt idx="462">
                  <c:v>3.4760996937634459</c:v>
                </c:pt>
                <c:pt idx="463">
                  <c:v>3.4221072761694429</c:v>
                </c:pt>
                <c:pt idx="464">
                  <c:v>3.3692914033609846</c:v>
                </c:pt>
                <c:pt idx="465">
                  <c:v>3.3176245410737786</c:v>
                </c:pt>
                <c:pt idx="466">
                  <c:v>3.267079722951264</c:v>
                </c:pt>
                <c:pt idx="467">
                  <c:v>3.2176305490001273</c:v>
                </c:pt>
                <c:pt idx="468">
                  <c:v>3.1692511830009589</c:v>
                </c:pt>
                <c:pt idx="469">
                  <c:v>3.1219163489807213</c:v>
                </c:pt>
                <c:pt idx="470">
                  <c:v>3.0756013268458338</c:v>
                </c:pt>
                <c:pt idx="471">
                  <c:v>3.0302819472670341</c:v>
                </c:pt>
                <c:pt idx="472">
                  <c:v>2.9859345859002167</c:v>
                </c:pt>
                <c:pt idx="473">
                  <c:v>2.942536157020966</c:v>
                </c:pt>
                <c:pt idx="474">
                  <c:v>2.9000641066441499</c:v>
                </c:pt>
                <c:pt idx="475">
                  <c:v>2.8584964051944266</c:v>
                </c:pt>
                <c:pt idx="476">
                  <c:v>2.817811539787983</c:v>
                </c:pt>
                <c:pt idx="477">
                  <c:v>2.7779885061809817</c:v>
                </c:pt>
                <c:pt idx="478">
                  <c:v>2.7390068004353867</c:v>
                </c:pt>
                <c:pt idx="479">
                  <c:v>2.7008464103486944</c:v>
                </c:pt>
                <c:pt idx="480">
                  <c:v>2.6634878066899277</c:v>
                </c:pt>
                <c:pt idx="481">
                  <c:v>2.6269119342806158</c:v>
                </c:pt>
                <c:pt idx="482">
                  <c:v>2.5911002029559662</c:v>
                </c:pt>
                <c:pt idx="483">
                  <c:v>2.556034478438252</c:v>
                </c:pt>
                <c:pt idx="484">
                  <c:v>2.5216970731515165</c:v>
                </c:pt>
                <c:pt idx="485">
                  <c:v>2.488070737003778</c:v>
                </c:pt>
                <c:pt idx="486">
                  <c:v>2.4551386481606619</c:v>
                </c:pt>
                <c:pt idx="487">
                  <c:v>2.4228844038316839</c:v>
                </c:pt>
                <c:pt idx="488">
                  <c:v>2.3912920110886033</c:v>
                </c:pt>
                <c:pt idx="489">
                  <c:v>2.3603458777329567</c:v>
                </c:pt>
                <c:pt idx="490">
                  <c:v>2.3300308032282664</c:v>
                </c:pt>
                <c:pt idx="491">
                  <c:v>2.3003319697106086</c:v>
                </c:pt>
                <c:pt idx="492">
                  <c:v>2.2712349330896493</c:v>
                </c:pt>
                <c:pt idx="493">
                  <c:v>2.2427256142509515</c:v>
                </c:pt>
                <c:pt idx="494">
                  <c:v>2.2147902903688901</c:v>
                </c:pt>
                <c:pt idx="495">
                  <c:v>2.1874155863384415</c:v>
                </c:pt>
                <c:pt idx="496">
                  <c:v>2.1605884663328774</c:v>
                </c:pt>
                <c:pt idx="497">
                  <c:v>2.1342962254935238</c:v>
                </c:pt>
                <c:pt idx="498">
                  <c:v>2.1085264817567029</c:v>
                </c:pt>
                <c:pt idx="499">
                  <c:v>2.0832671678222412</c:v>
                </c:pt>
                <c:pt idx="500">
                  <c:v>2.0585065232670483</c:v>
                </c:pt>
                <c:pt idx="501">
                  <c:v>2.0342330868066867</c:v>
                </c:pt>
                <c:pt idx="502">
                  <c:v>2.0104356887071182</c:v>
                </c:pt>
                <c:pt idx="503">
                  <c:v>1.9871034433483405</c:v>
                </c:pt>
                <c:pt idx="504">
                  <c:v>1.9642257419410103</c:v>
                </c:pt>
                <c:pt idx="505">
                  <c:v>1.9417922453967198</c:v>
                </c:pt>
                <c:pt idx="506">
                  <c:v>1.9197928773522266</c:v>
                </c:pt>
                <c:pt idx="507">
                  <c:v>1.8982178173474367</c:v>
                </c:pt>
                <c:pt idx="508">
                  <c:v>1.8770574941567015</c:v>
                </c:pt>
                <c:pt idx="509">
                  <c:v>1.8563025792726398</c:v>
                </c:pt>
                <c:pt idx="510">
                  <c:v>1.8359439805414339</c:v>
                </c:pt>
                <c:pt idx="511">
                  <c:v>1.8159728359482914</c:v>
                </c:pt>
                <c:pt idx="512">
                  <c:v>1.7963805075515626</c:v>
                </c:pt>
                <c:pt idx="513">
                  <c:v>1.7771585755638368</c:v>
                </c:pt>
                <c:pt idx="514">
                  <c:v>1.7582988325781208</c:v>
                </c:pt>
                <c:pt idx="515">
                  <c:v>1.7397932779371019</c:v>
                </c:pt>
                <c:pt idx="516">
                  <c:v>1.7216341122433765</c:v>
                </c:pt>
                <c:pt idx="517">
                  <c:v>1.7038137320083881</c:v>
                </c:pt>
                <c:pt idx="518">
                  <c:v>1.6863247244377333</c:v>
                </c:pt>
                <c:pt idx="519">
                  <c:v>1.6691598623504647</c:v>
                </c:pt>
                <c:pt idx="520">
                  <c:v>1.6523120992298963</c:v>
                </c:pt>
                <c:pt idx="521">
                  <c:v>1.6357745644033883</c:v>
                </c:pt>
                <c:pt idx="522">
                  <c:v>1.6195405583485833</c:v>
                </c:pt>
                <c:pt idx="523">
                  <c:v>1.6036035481234834</c:v>
                </c:pt>
                <c:pt idx="524">
                  <c:v>1.5879571629177807</c:v>
                </c:pt>
                <c:pt idx="525">
                  <c:v>1.5725951897228112</c:v>
                </c:pt>
                <c:pt idx="526">
                  <c:v>1.5575115691175239</c:v>
                </c:pt>
                <c:pt idx="527">
                  <c:v>1.5427003911678534</c:v>
                </c:pt>
                <c:pt idx="528">
                  <c:v>1.5281558914368611</c:v>
                </c:pt>
                <c:pt idx="529">
                  <c:v>1.5138724471030909</c:v>
                </c:pt>
                <c:pt idx="530">
                  <c:v>1.4998445731845342</c:v>
                </c:pt>
                <c:pt idx="531">
                  <c:v>1.4860669188656557</c:v>
                </c:pt>
                <c:pt idx="532">
                  <c:v>1.4725342639249746</c:v>
                </c:pt>
                <c:pt idx="533">
                  <c:v>1.4592415152606755</c:v>
                </c:pt>
                <c:pt idx="534">
                  <c:v>1.4461837035118137</c:v>
                </c:pt>
                <c:pt idx="535">
                  <c:v>1.4333559797726672</c:v>
                </c:pt>
                <c:pt idx="536">
                  <c:v>1.4207536123978532</c:v>
                </c:pt>
                <c:pt idx="537">
                  <c:v>1.4083719838958582</c:v>
                </c:pt>
                <c:pt idx="538">
                  <c:v>1.396206587908658</c:v>
                </c:pt>
                <c:pt idx="539">
                  <c:v>1.38425302627519</c:v>
                </c:pt>
                <c:pt idx="540">
                  <c:v>1.3725070061763998</c:v>
                </c:pt>
                <c:pt idx="541">
                  <c:v>1.3609643373597347</c:v>
                </c:pt>
                <c:pt idx="542">
                  <c:v>1.3496209294409052</c:v>
                </c:pt>
                <c:pt idx="543">
                  <c:v>1.3384727892808426</c:v>
                </c:pt>
                <c:pt idx="544">
                  <c:v>1.3275160184357873</c:v>
                </c:pt>
                <c:pt idx="545">
                  <c:v>1.3167468106785301</c:v>
                </c:pt>
                <c:pt idx="546">
                  <c:v>1.3061614495888147</c:v>
                </c:pt>
                <c:pt idx="547">
                  <c:v>1.2957563062110169</c:v>
                </c:pt>
                <c:pt idx="548">
                  <c:v>1.2855278367772225</c:v>
                </c:pt>
                <c:pt idx="549">
                  <c:v>1.2754725804938731</c:v>
                </c:pt>
                <c:pt idx="550">
                  <c:v>1.2655871573902115</c:v>
                </c:pt>
                <c:pt idx="551">
                  <c:v>1.2558682662267953</c:v>
                </c:pt>
                <c:pt idx="552">
                  <c:v>1.2463126824623709</c:v>
                </c:pt>
                <c:pt idx="553">
                  <c:v>1.2369172562774797</c:v>
                </c:pt>
                <c:pt idx="554">
                  <c:v>1.2276789106531725</c:v>
                </c:pt>
                <c:pt idx="555">
                  <c:v>1.218594639503281</c:v>
                </c:pt>
                <c:pt idx="556">
                  <c:v>1.2096615058587261</c:v>
                </c:pt>
                <c:pt idx="557">
                  <c:v>1.2008766401023558</c:v>
                </c:pt>
                <c:pt idx="558">
                  <c:v>1.1922372382529083</c:v>
                </c:pt>
                <c:pt idx="559">
                  <c:v>1.1837405602966609</c:v>
                </c:pt>
                <c:pt idx="560">
                  <c:v>1.1753839285654204</c:v>
                </c:pt>
                <c:pt idx="561">
                  <c:v>1.1671647261595199</c:v>
                </c:pt>
                <c:pt idx="562">
                  <c:v>1.159080395414533</c:v>
                </c:pt>
                <c:pt idx="563">
                  <c:v>1.1511284364104357</c:v>
                </c:pt>
                <c:pt idx="564">
                  <c:v>1.143306405522027</c:v>
                </c:pt>
                <c:pt idx="565">
                  <c:v>1.1356119140093852</c:v>
                </c:pt>
                <c:pt idx="566">
                  <c:v>1.1280426266472241</c:v>
                </c:pt>
                <c:pt idx="567">
                  <c:v>1.1205962603920452</c:v>
                </c:pt>
                <c:pt idx="568">
                  <c:v>1.1132705830859564</c:v>
                </c:pt>
                <c:pt idx="569">
                  <c:v>1.1060634121961452</c:v>
                </c:pt>
                <c:pt idx="570">
                  <c:v>1.0989726135889428</c:v>
                </c:pt>
                <c:pt idx="571">
                  <c:v>1.0919961003375089</c:v>
                </c:pt>
                <c:pt idx="572">
                  <c:v>1.0851318315621514</c:v>
                </c:pt>
                <c:pt idx="573">
                  <c:v>1.0783778113023426</c:v>
                </c:pt>
                <c:pt idx="574">
                  <c:v>1.0717320874195353</c:v>
                </c:pt>
                <c:pt idx="575">
                  <c:v>1.0651927505298655</c:v>
                </c:pt>
                <c:pt idx="576">
                  <c:v>1.0587579329659069</c:v>
                </c:pt>
                <c:pt idx="577">
                  <c:v>1.0524258077666195</c:v>
                </c:pt>
                <c:pt idx="578">
                  <c:v>1.0461945876947023</c:v>
                </c:pt>
                <c:pt idx="579">
                  <c:v>1.0400625242805464</c:v>
                </c:pt>
                <c:pt idx="580">
                  <c:v>1.0340279068920357</c:v>
                </c:pt>
                <c:pt idx="581">
                  <c:v>1.0280890618294434</c:v>
                </c:pt>
                <c:pt idx="582">
                  <c:v>1.0222443514447217</c:v>
                </c:pt>
                <c:pt idx="583">
                  <c:v>1.016492173284465</c:v>
                </c:pt>
                <c:pt idx="584">
                  <c:v>1.0108309592558866</c:v>
                </c:pt>
                <c:pt idx="585">
                  <c:v>1.0052591748151447</c:v>
                </c:pt>
                <c:pt idx="586">
                  <c:v>0.99977531817737897</c:v>
                </c:pt>
                <c:pt idx="587">
                  <c:v>0.9943779195478426</c:v>
                </c:pt>
                <c:pt idx="588">
                  <c:v>0.98906554037352346</c:v>
                </c:pt>
                <c:pt idx="589">
                  <c:v>0.98383677261468139</c:v>
                </c:pt>
                <c:pt idx="590">
                  <c:v>0.97869023803572397</c:v>
                </c:pt>
                <c:pt idx="591">
                  <c:v>0.97362458751488501</c:v>
                </c:pt>
                <c:pt idx="592">
                  <c:v>0.96863850037216115</c:v>
                </c:pt>
                <c:pt idx="593">
                  <c:v>0.96373068371500725</c:v>
                </c:pt>
                <c:pt idx="594">
                  <c:v>0.95889987180126468</c:v>
                </c:pt>
                <c:pt idx="595">
                  <c:v>0.95414482541886569</c:v>
                </c:pt>
                <c:pt idx="596">
                  <c:v>0.94946433128181862</c:v>
                </c:pt>
                <c:pt idx="597">
                  <c:v>0.94485720144203189</c:v>
                </c:pt>
                <c:pt idx="598">
                  <c:v>0.94032227271652202</c:v>
                </c:pt>
                <c:pt idx="599">
                  <c:v>0.93585840612958504</c:v>
                </c:pt>
                <c:pt idx="600">
                  <c:v>0.93146448636950852</c:v>
                </c:pt>
                <c:pt idx="601">
                  <c:v>0.92713942125941518</c:v>
                </c:pt>
                <c:pt idx="602">
                  <c:v>0.92288214124185763</c:v>
                </c:pt>
                <c:pt idx="603">
                  <c:v>0.91869159887676333</c:v>
                </c:pt>
                <c:pt idx="604">
                  <c:v>0.91456676835238604</c:v>
                </c:pt>
                <c:pt idx="605">
                  <c:v>0.91050664500887191</c:v>
                </c:pt>
                <c:pt idx="606">
                  <c:v>0.90651024487412757</c:v>
                </c:pt>
                <c:pt idx="607">
                  <c:v>0.90257660421161978</c:v>
                </c:pt>
                <c:pt idx="608">
                  <c:v>0.89870477907980151</c:v>
                </c:pt>
                <c:pt idx="609">
                  <c:v>0.89489384490283652</c:v>
                </c:pt>
                <c:pt idx="610">
                  <c:v>0.89114289605231245</c:v>
                </c:pt>
                <c:pt idx="611">
                  <c:v>0.88745104543965092</c:v>
                </c:pt>
                <c:pt idx="612">
                  <c:v>0.88381742411891173</c:v>
                </c:pt>
                <c:pt idx="613">
                  <c:v>0.88024118089972181</c:v>
                </c:pt>
                <c:pt idx="614">
                  <c:v>0.87672148197004585</c:v>
                </c:pt>
                <c:pt idx="615">
                  <c:v>0.87325751052853995</c:v>
                </c:pt>
                <c:pt idx="616">
                  <c:v>0.86984846642622138</c:v>
                </c:pt>
                <c:pt idx="617">
                  <c:v>0.86649356581721726</c:v>
                </c:pt>
                <c:pt idx="618">
                  <c:v>0.86319204081833578</c:v>
                </c:pt>
                <c:pt idx="619">
                  <c:v>0.85994313917723508</c:v>
                </c:pt>
                <c:pt idx="620">
                  <c:v>0.856746123948954</c:v>
                </c:pt>
                <c:pt idx="621">
                  <c:v>0.85360027318058707</c:v>
                </c:pt>
                <c:pt idx="622">
                  <c:v>0.85050487960388765</c:v>
                </c:pt>
                <c:pt idx="623">
                  <c:v>0.84745925033558578</c:v>
                </c:pt>
                <c:pt idx="624">
                  <c:v>0.84446270658522915</c:v>
                </c:pt>
                <c:pt idx="625">
                  <c:v>0.8415145833703328</c:v>
                </c:pt>
                <c:pt idx="626">
                  <c:v>0.83861422923866547</c:v>
                </c:pt>
                <c:pt idx="627">
                  <c:v>0.83576100599747061</c:v>
                </c:pt>
                <c:pt idx="628">
                  <c:v>0.83295428844945518</c:v>
                </c:pt>
                <c:pt idx="629">
                  <c:v>0.83019346413536255</c:v>
                </c:pt>
                <c:pt idx="630">
                  <c:v>0.82747793308296236</c:v>
                </c:pt>
                <c:pt idx="631">
                  <c:v>0.82480710756229658</c:v>
                </c:pt>
                <c:pt idx="632">
                  <c:v>0.8221804118470134</c:v>
                </c:pt>
                <c:pt idx="633">
                  <c:v>0.81959728198164283</c:v>
                </c:pt>
                <c:pt idx="634">
                  <c:v>0.81705716555465957</c:v>
                </c:pt>
                <c:pt idx="635">
                  <c:v>0.81455952147718191</c:v>
                </c:pt>
                <c:pt idx="636">
                  <c:v>0.81210381976717427</c:v>
                </c:pt>
                <c:pt idx="637">
                  <c:v>0.80968954133901028</c:v>
                </c:pt>
                <c:pt idx="638">
                  <c:v>0.80731617779825893</c:v>
                </c:pt>
                <c:pt idx="639">
                  <c:v>0.80498323124157256</c:v>
                </c:pt>
                <c:pt idx="640">
                  <c:v>0.80269021406154017</c:v>
                </c:pt>
                <c:pt idx="641">
                  <c:v>0.80043664875639731</c:v>
                </c:pt>
                <c:pt idx="642">
                  <c:v>0.79822206774445859</c:v>
                </c:pt>
                <c:pt idx="643">
                  <c:v>0.79604601318316526</c:v>
                </c:pt>
                <c:pt idx="644">
                  <c:v>0.79390803679263855</c:v>
                </c:pt>
                <c:pt idx="645">
                  <c:v>0.79180769968362286</c:v>
                </c:pt>
                <c:pt idx="646">
                  <c:v>0.78974457218971794</c:v>
                </c:pt>
                <c:pt idx="647">
                  <c:v>0.78771823370379579</c:v>
                </c:pt>
                <c:pt idx="648">
                  <c:v>0.78572827251850186</c:v>
                </c:pt>
                <c:pt idx="649">
                  <c:v>0.78377428567074903</c:v>
                </c:pt>
                <c:pt idx="650">
                  <c:v>0.7818558787901001</c:v>
                </c:pt>
                <c:pt idx="651">
                  <c:v>0.77997266595096149</c:v>
                </c:pt>
                <c:pt idx="652">
                  <c:v>0.77812426952848557</c:v>
                </c:pt>
                <c:pt idx="653">
                  <c:v>0.77631032005810707</c:v>
                </c:pt>
                <c:pt idx="654">
                  <c:v>0.77453045609862525</c:v>
                </c:pt>
                <c:pt idx="655">
                  <c:v>0.77278432409874642</c:v>
                </c:pt>
                <c:pt idx="656">
                  <c:v>0.771071578267022</c:v>
                </c:pt>
                <c:pt idx="657">
                  <c:v>0.76939188044508866</c:v>
                </c:pt>
                <c:pt idx="658">
                  <c:v>0.7677448999841493</c:v>
                </c:pt>
                <c:pt idx="659">
                  <c:v>0.76613031362461848</c:v>
                </c:pt>
                <c:pt idx="660">
                  <c:v>0.76454780537886102</c:v>
                </c:pt>
                <c:pt idx="661">
                  <c:v>0.7629970664169613</c:v>
                </c:pt>
                <c:pt idx="662">
                  <c:v>0.76147779495544954</c:v>
                </c:pt>
                <c:pt idx="663">
                  <c:v>0.7599896961489323</c:v>
                </c:pt>
                <c:pt idx="664">
                  <c:v>0.75853248198455081</c:v>
                </c:pt>
                <c:pt idx="665">
                  <c:v>0.75710587117922679</c:v>
                </c:pt>
                <c:pt idx="666">
                  <c:v>0.75570958907961583</c:v>
                </c:pt>
                <c:pt idx="667">
                  <c:v>0.75434336756473042</c:v>
                </c:pt>
                <c:pt idx="668">
                  <c:v>0.75300694495116394</c:v>
                </c:pt>
                <c:pt idx="669">
                  <c:v>0.75170006590087513</c:v>
                </c:pt>
                <c:pt idx="670">
                  <c:v>0.75042248133147027</c:v>
                </c:pt>
                <c:pt idx="671">
                  <c:v>0.74917394832894069</c:v>
                </c:pt>
                <c:pt idx="672">
                  <c:v>0.74795423006280581</c:v>
                </c:pt>
                <c:pt idx="673">
                  <c:v>0.74676309570360877</c:v>
                </c:pt>
                <c:pt idx="674">
                  <c:v>0.74560032034273427</c:v>
                </c:pt>
                <c:pt idx="675">
                  <c:v>0.74446568491448406</c:v>
                </c:pt>
                <c:pt idx="676">
                  <c:v>0.74335897612038671</c:v>
                </c:pt>
                <c:pt idx="677">
                  <c:v>0.74227998635568693</c:v>
                </c:pt>
                <c:pt idx="678">
                  <c:v>0.74122851363798381</c:v>
                </c:pt>
                <c:pt idx="679">
                  <c:v>0.74020436153797375</c:v>
                </c:pt>
                <c:pt idx="680">
                  <c:v>0.73920733911226066</c:v>
                </c:pt>
                <c:pt idx="681">
                  <c:v>0.73823726083820107</c:v>
                </c:pt>
                <c:pt idx="682">
                  <c:v>0.73729394655075031</c:v>
                </c:pt>
                <c:pt idx="683">
                  <c:v>0.73637722138126471</c:v>
                </c:pt>
                <c:pt idx="684">
                  <c:v>0.73548691569824343</c:v>
                </c:pt>
                <c:pt idx="685">
                  <c:v>0.73462286504996854</c:v>
                </c:pt>
                <c:pt idx="686">
                  <c:v>0.73378491010901103</c:v>
                </c:pt>
                <c:pt idx="687">
                  <c:v>0.73297289661858256</c:v>
                </c:pt>
                <c:pt idx="688">
                  <c:v>0.73218667534069604</c:v>
                </c:pt>
                <c:pt idx="689">
                  <c:v>0.73142610200611446</c:v>
                </c:pt>
                <c:pt idx="690">
                  <c:v>0.73069103726605333</c:v>
                </c:pt>
                <c:pt idx="691">
                  <c:v>0.7299813466456222</c:v>
                </c:pt>
                <c:pt idx="692">
                  <c:v>0.729296900498974</c:v>
                </c:pt>
                <c:pt idx="693">
                  <c:v>0.72863757396613615</c:v>
                </c:pt>
                <c:pt idx="694">
                  <c:v>0.72800324693151142</c:v>
                </c:pt>
                <c:pt idx="695">
                  <c:v>0.72739380398401643</c:v>
                </c:pt>
                <c:pt idx="696">
                  <c:v>0.72680913437884331</c:v>
                </c:pt>
                <c:pt idx="697">
                  <c:v>0.72624913200082264</c:v>
                </c:pt>
                <c:pt idx="698">
                  <c:v>0.72571369532937013</c:v>
                </c:pt>
                <c:pt idx="699">
                  <c:v>0.72520272740499525</c:v>
                </c:pt>
                <c:pt idx="700">
                  <c:v>0.72471613579736172</c:v>
                </c:pt>
                <c:pt idx="701">
                  <c:v>0.72425383257487586</c:v>
                </c:pt>
                <c:pt idx="702">
                  <c:v>0.72381573427579138</c:v>
                </c:pt>
                <c:pt idx="703">
                  <c:v>0.72340176188081673</c:v>
                </c:pt>
                <c:pt idx="704">
                  <c:v>0.72301184078720826</c:v>
                </c:pt>
                <c:pt idx="705">
                  <c:v>0.72264590078433588</c:v>
                </c:pt>
                <c:pt idx="706">
                  <c:v>0.722303876030713</c:v>
                </c:pt>
                <c:pt idx="707">
                  <c:v>0.72198570503247395</c:v>
                </c:pt>
                <c:pt idx="708">
                  <c:v>0.72169133062329227</c:v>
                </c:pt>
                <c:pt idx="709">
                  <c:v>0.721420699945725</c:v>
                </c:pt>
                <c:pt idx="710">
                  <c:v>0.72117376443397896</c:v>
                </c:pt>
                <c:pt idx="711">
                  <c:v>0.72095047979808491</c:v>
                </c:pt>
                <c:pt idx="712">
                  <c:v>0.72075080600947738</c:v>
                </c:pt>
                <c:pt idx="713">
                  <c:v>0.72057470728796802</c:v>
                </c:pt>
                <c:pt idx="714">
                  <c:v>0.72042215209010596</c:v>
                </c:pt>
                <c:pt idx="715">
                  <c:v>0.72029311309892541</c:v>
                </c:pt>
                <c:pt idx="716">
                  <c:v>0.72018756721506672</c:v>
                </c:pt>
                <c:pt idx="717">
                  <c:v>0.72010549554927328</c:v>
                </c:pt>
                <c:pt idx="718">
                  <c:v>0.72004688341625689</c:v>
                </c:pt>
                <c:pt idx="719">
                  <c:v>0.72001172032992922</c:v>
                </c:pt>
                <c:pt idx="720">
                  <c:v>0.7199999999999992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74-47A8-A857-B39B2D79DB3C}"/>
            </c:ext>
          </c:extLst>
        </c:ser>
        <c:ser>
          <c:idx val="3"/>
          <c:order val="3"/>
          <c:tx>
            <c:v>AE: salto de la chispa</c:v>
          </c:tx>
          <c:spPr>
            <a:ln w="11880">
              <a:solidFill>
                <a:srgbClr val="2E8B57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Presion_cilindro!$E$55:$E$56</c:f>
              <c:numCache>
                <c:formatCode>0.0</c:formatCode>
                <c:ptCount val="2"/>
                <c:pt idx="0">
                  <c:v>-30</c:v>
                </c:pt>
                <c:pt idx="1">
                  <c:v>-30</c:v>
                </c:pt>
              </c:numCache>
            </c:numRef>
          </c:xVal>
          <c:yVal>
            <c:numRef>
              <c:f>Presion_cilindro!$F$55:$F$56</c:f>
              <c:numCache>
                <c:formatCode>0.0</c:formatCode>
                <c:ptCount val="2"/>
                <c:pt idx="0">
                  <c:v>0</c:v>
                </c:pt>
                <c:pt idx="1">
                  <c:v>15.233510546857872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74-47A8-A857-B39B2D79DB3C}"/>
            </c:ext>
          </c:extLst>
        </c:ser>
        <c:ser>
          <c:idx val="4"/>
          <c:order val="4"/>
          <c:tx>
            <c:v>PMS</c:v>
          </c:tx>
          <c:spPr>
            <a:ln w="11880">
              <a:solidFill>
                <a:srgbClr val="00000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Presion_cilindro!$E$57:$E$58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Presion_cilindro!$F$57:$F$58</c:f>
              <c:numCache>
                <c:formatCode>0.0</c:formatCode>
                <c:ptCount val="2"/>
                <c:pt idx="0">
                  <c:v>0</c:v>
                </c:pt>
                <c:pt idx="1">
                  <c:v>49.959112944882435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74-47A8-A857-B39B2D79D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01344"/>
        <c:axId val="59214370"/>
      </c:scatterChart>
      <c:valAx>
        <c:axId val="51101344"/>
        <c:scaling>
          <c:orientation val="minMax"/>
          <c:max val="180"/>
          <c:min val="-18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Ángulo del cigüeñal 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α (°)  ·  </a:t>
                </a: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negativo = antes del PMS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59214370"/>
        <c:crosses val="autoZero"/>
        <c:crossBetween val="midCat"/>
        <c:majorUnit val="60"/>
      </c:valAx>
      <c:valAx>
        <c:axId val="5921437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p (bar)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5110134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Detalle alrededor del PMS (−60° a +90°)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Combustión normal</c:v>
          </c:tx>
          <c:spPr>
            <a:ln w="21960">
              <a:solidFill>
                <a:srgbClr val="E0303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Presion_cilindro!$N$4:$N$724</c:f>
              <c:numCache>
                <c:formatCode>0.0</c:formatCode>
                <c:ptCount val="721"/>
                <c:pt idx="0">
                  <c:v>-180</c:v>
                </c:pt>
                <c:pt idx="1">
                  <c:v>-179.5</c:v>
                </c:pt>
                <c:pt idx="2">
                  <c:v>-179</c:v>
                </c:pt>
                <c:pt idx="3">
                  <c:v>-178.5</c:v>
                </c:pt>
                <c:pt idx="4">
                  <c:v>-178</c:v>
                </c:pt>
                <c:pt idx="5">
                  <c:v>-177.5</c:v>
                </c:pt>
                <c:pt idx="6">
                  <c:v>-177</c:v>
                </c:pt>
                <c:pt idx="7">
                  <c:v>-176.5</c:v>
                </c:pt>
                <c:pt idx="8">
                  <c:v>-176</c:v>
                </c:pt>
                <c:pt idx="9">
                  <c:v>-175.5</c:v>
                </c:pt>
                <c:pt idx="10">
                  <c:v>-175</c:v>
                </c:pt>
                <c:pt idx="11">
                  <c:v>-174.5</c:v>
                </c:pt>
                <c:pt idx="12">
                  <c:v>-174</c:v>
                </c:pt>
                <c:pt idx="13">
                  <c:v>-173.5</c:v>
                </c:pt>
                <c:pt idx="14">
                  <c:v>-173</c:v>
                </c:pt>
                <c:pt idx="15">
                  <c:v>-172.5</c:v>
                </c:pt>
                <c:pt idx="16">
                  <c:v>-172</c:v>
                </c:pt>
                <c:pt idx="17">
                  <c:v>-171.5</c:v>
                </c:pt>
                <c:pt idx="18">
                  <c:v>-171</c:v>
                </c:pt>
                <c:pt idx="19">
                  <c:v>-170.5</c:v>
                </c:pt>
                <c:pt idx="20">
                  <c:v>-170</c:v>
                </c:pt>
                <c:pt idx="21">
                  <c:v>-169.5</c:v>
                </c:pt>
                <c:pt idx="22">
                  <c:v>-169</c:v>
                </c:pt>
                <c:pt idx="23">
                  <c:v>-168.5</c:v>
                </c:pt>
                <c:pt idx="24">
                  <c:v>-168</c:v>
                </c:pt>
                <c:pt idx="25">
                  <c:v>-167.5</c:v>
                </c:pt>
                <c:pt idx="26">
                  <c:v>-167</c:v>
                </c:pt>
                <c:pt idx="27">
                  <c:v>-166.5</c:v>
                </c:pt>
                <c:pt idx="28">
                  <c:v>-166</c:v>
                </c:pt>
                <c:pt idx="29">
                  <c:v>-165.5</c:v>
                </c:pt>
                <c:pt idx="30">
                  <c:v>-165</c:v>
                </c:pt>
                <c:pt idx="31">
                  <c:v>-164.5</c:v>
                </c:pt>
                <c:pt idx="32">
                  <c:v>-164</c:v>
                </c:pt>
                <c:pt idx="33">
                  <c:v>-163.5</c:v>
                </c:pt>
                <c:pt idx="34">
                  <c:v>-163</c:v>
                </c:pt>
                <c:pt idx="35">
                  <c:v>-162.5</c:v>
                </c:pt>
                <c:pt idx="36">
                  <c:v>-162</c:v>
                </c:pt>
                <c:pt idx="37">
                  <c:v>-161.5</c:v>
                </c:pt>
                <c:pt idx="38">
                  <c:v>-161</c:v>
                </c:pt>
                <c:pt idx="39">
                  <c:v>-160.5</c:v>
                </c:pt>
                <c:pt idx="40">
                  <c:v>-160</c:v>
                </c:pt>
                <c:pt idx="41">
                  <c:v>-159.5</c:v>
                </c:pt>
                <c:pt idx="42">
                  <c:v>-159</c:v>
                </c:pt>
                <c:pt idx="43">
                  <c:v>-158.5</c:v>
                </c:pt>
                <c:pt idx="44">
                  <c:v>-158</c:v>
                </c:pt>
                <c:pt idx="45">
                  <c:v>-157.5</c:v>
                </c:pt>
                <c:pt idx="46">
                  <c:v>-157</c:v>
                </c:pt>
                <c:pt idx="47">
                  <c:v>-156.5</c:v>
                </c:pt>
                <c:pt idx="48">
                  <c:v>-156</c:v>
                </c:pt>
                <c:pt idx="49">
                  <c:v>-155.5</c:v>
                </c:pt>
                <c:pt idx="50">
                  <c:v>-155</c:v>
                </c:pt>
                <c:pt idx="51">
                  <c:v>-154.5</c:v>
                </c:pt>
                <c:pt idx="52">
                  <c:v>-154</c:v>
                </c:pt>
                <c:pt idx="53">
                  <c:v>-153.5</c:v>
                </c:pt>
                <c:pt idx="54">
                  <c:v>-153</c:v>
                </c:pt>
                <c:pt idx="55">
                  <c:v>-152.5</c:v>
                </c:pt>
                <c:pt idx="56">
                  <c:v>-152</c:v>
                </c:pt>
                <c:pt idx="57">
                  <c:v>-151.5</c:v>
                </c:pt>
                <c:pt idx="58">
                  <c:v>-151</c:v>
                </c:pt>
                <c:pt idx="59">
                  <c:v>-150.5</c:v>
                </c:pt>
                <c:pt idx="60">
                  <c:v>-150</c:v>
                </c:pt>
                <c:pt idx="61">
                  <c:v>-149.5</c:v>
                </c:pt>
                <c:pt idx="62">
                  <c:v>-149</c:v>
                </c:pt>
                <c:pt idx="63">
                  <c:v>-148.5</c:v>
                </c:pt>
                <c:pt idx="64">
                  <c:v>-148</c:v>
                </c:pt>
                <c:pt idx="65">
                  <c:v>-147.5</c:v>
                </c:pt>
                <c:pt idx="66">
                  <c:v>-147</c:v>
                </c:pt>
                <c:pt idx="67">
                  <c:v>-146.5</c:v>
                </c:pt>
                <c:pt idx="68">
                  <c:v>-146</c:v>
                </c:pt>
                <c:pt idx="69">
                  <c:v>-145.5</c:v>
                </c:pt>
                <c:pt idx="70">
                  <c:v>-145</c:v>
                </c:pt>
                <c:pt idx="71">
                  <c:v>-144.5</c:v>
                </c:pt>
                <c:pt idx="72">
                  <c:v>-144</c:v>
                </c:pt>
                <c:pt idx="73">
                  <c:v>-143.5</c:v>
                </c:pt>
                <c:pt idx="74">
                  <c:v>-143</c:v>
                </c:pt>
                <c:pt idx="75">
                  <c:v>-142.5</c:v>
                </c:pt>
                <c:pt idx="76">
                  <c:v>-142</c:v>
                </c:pt>
                <c:pt idx="77">
                  <c:v>-141.5</c:v>
                </c:pt>
                <c:pt idx="78">
                  <c:v>-141</c:v>
                </c:pt>
                <c:pt idx="79">
                  <c:v>-140.5</c:v>
                </c:pt>
                <c:pt idx="80">
                  <c:v>-140</c:v>
                </c:pt>
                <c:pt idx="81">
                  <c:v>-139.5</c:v>
                </c:pt>
                <c:pt idx="82">
                  <c:v>-139</c:v>
                </c:pt>
                <c:pt idx="83">
                  <c:v>-138.5</c:v>
                </c:pt>
                <c:pt idx="84">
                  <c:v>-138</c:v>
                </c:pt>
                <c:pt idx="85">
                  <c:v>-137.5</c:v>
                </c:pt>
                <c:pt idx="86">
                  <c:v>-137</c:v>
                </c:pt>
                <c:pt idx="87">
                  <c:v>-136.5</c:v>
                </c:pt>
                <c:pt idx="88">
                  <c:v>-136</c:v>
                </c:pt>
                <c:pt idx="89">
                  <c:v>-135.5</c:v>
                </c:pt>
                <c:pt idx="90">
                  <c:v>-135</c:v>
                </c:pt>
                <c:pt idx="91">
                  <c:v>-134.5</c:v>
                </c:pt>
                <c:pt idx="92">
                  <c:v>-134</c:v>
                </c:pt>
                <c:pt idx="93">
                  <c:v>-133.5</c:v>
                </c:pt>
                <c:pt idx="94">
                  <c:v>-133</c:v>
                </c:pt>
                <c:pt idx="95">
                  <c:v>-132.5</c:v>
                </c:pt>
                <c:pt idx="96">
                  <c:v>-132</c:v>
                </c:pt>
                <c:pt idx="97">
                  <c:v>-131.5</c:v>
                </c:pt>
                <c:pt idx="98">
                  <c:v>-131</c:v>
                </c:pt>
                <c:pt idx="99">
                  <c:v>-130.5</c:v>
                </c:pt>
                <c:pt idx="100">
                  <c:v>-130</c:v>
                </c:pt>
                <c:pt idx="101">
                  <c:v>-129.5</c:v>
                </c:pt>
                <c:pt idx="102">
                  <c:v>-129</c:v>
                </c:pt>
                <c:pt idx="103">
                  <c:v>-128.5</c:v>
                </c:pt>
                <c:pt idx="104">
                  <c:v>-128</c:v>
                </c:pt>
                <c:pt idx="105">
                  <c:v>-127.5</c:v>
                </c:pt>
                <c:pt idx="106">
                  <c:v>-127</c:v>
                </c:pt>
                <c:pt idx="107">
                  <c:v>-126.5</c:v>
                </c:pt>
                <c:pt idx="108">
                  <c:v>-126</c:v>
                </c:pt>
                <c:pt idx="109">
                  <c:v>-125.5</c:v>
                </c:pt>
                <c:pt idx="110">
                  <c:v>-125</c:v>
                </c:pt>
                <c:pt idx="111">
                  <c:v>-124.5</c:v>
                </c:pt>
                <c:pt idx="112">
                  <c:v>-124</c:v>
                </c:pt>
                <c:pt idx="113">
                  <c:v>-123.5</c:v>
                </c:pt>
                <c:pt idx="114">
                  <c:v>-123</c:v>
                </c:pt>
                <c:pt idx="115">
                  <c:v>-122.5</c:v>
                </c:pt>
                <c:pt idx="116">
                  <c:v>-122</c:v>
                </c:pt>
                <c:pt idx="117">
                  <c:v>-121.5</c:v>
                </c:pt>
                <c:pt idx="118">
                  <c:v>-121</c:v>
                </c:pt>
                <c:pt idx="119">
                  <c:v>-120.5</c:v>
                </c:pt>
                <c:pt idx="120">
                  <c:v>-120</c:v>
                </c:pt>
                <c:pt idx="121">
                  <c:v>-119.5</c:v>
                </c:pt>
                <c:pt idx="122">
                  <c:v>-119</c:v>
                </c:pt>
                <c:pt idx="123">
                  <c:v>-118.5</c:v>
                </c:pt>
                <c:pt idx="124">
                  <c:v>-118</c:v>
                </c:pt>
                <c:pt idx="125">
                  <c:v>-117.5</c:v>
                </c:pt>
                <c:pt idx="126">
                  <c:v>-117</c:v>
                </c:pt>
                <c:pt idx="127">
                  <c:v>-116.5</c:v>
                </c:pt>
                <c:pt idx="128">
                  <c:v>-116</c:v>
                </c:pt>
                <c:pt idx="129">
                  <c:v>-115.5</c:v>
                </c:pt>
                <c:pt idx="130">
                  <c:v>-115</c:v>
                </c:pt>
                <c:pt idx="131">
                  <c:v>-114.5</c:v>
                </c:pt>
                <c:pt idx="132">
                  <c:v>-114</c:v>
                </c:pt>
                <c:pt idx="133">
                  <c:v>-113.5</c:v>
                </c:pt>
                <c:pt idx="134">
                  <c:v>-113</c:v>
                </c:pt>
                <c:pt idx="135">
                  <c:v>-112.5</c:v>
                </c:pt>
                <c:pt idx="136">
                  <c:v>-112</c:v>
                </c:pt>
                <c:pt idx="137">
                  <c:v>-111.5</c:v>
                </c:pt>
                <c:pt idx="138">
                  <c:v>-111</c:v>
                </c:pt>
                <c:pt idx="139">
                  <c:v>-110.5</c:v>
                </c:pt>
                <c:pt idx="140">
                  <c:v>-110</c:v>
                </c:pt>
                <c:pt idx="141">
                  <c:v>-109.5</c:v>
                </c:pt>
                <c:pt idx="142">
                  <c:v>-109</c:v>
                </c:pt>
                <c:pt idx="143">
                  <c:v>-108.5</c:v>
                </c:pt>
                <c:pt idx="144">
                  <c:v>-108</c:v>
                </c:pt>
                <c:pt idx="145">
                  <c:v>-107.5</c:v>
                </c:pt>
                <c:pt idx="146">
                  <c:v>-107</c:v>
                </c:pt>
                <c:pt idx="147">
                  <c:v>-106.5</c:v>
                </c:pt>
                <c:pt idx="148">
                  <c:v>-106</c:v>
                </c:pt>
                <c:pt idx="149">
                  <c:v>-105.5</c:v>
                </c:pt>
                <c:pt idx="150">
                  <c:v>-105</c:v>
                </c:pt>
                <c:pt idx="151">
                  <c:v>-104.5</c:v>
                </c:pt>
                <c:pt idx="152">
                  <c:v>-104</c:v>
                </c:pt>
                <c:pt idx="153">
                  <c:v>-103.5</c:v>
                </c:pt>
                <c:pt idx="154">
                  <c:v>-103</c:v>
                </c:pt>
                <c:pt idx="155">
                  <c:v>-102.5</c:v>
                </c:pt>
                <c:pt idx="156">
                  <c:v>-102</c:v>
                </c:pt>
                <c:pt idx="157">
                  <c:v>-101.5</c:v>
                </c:pt>
                <c:pt idx="158">
                  <c:v>-101</c:v>
                </c:pt>
                <c:pt idx="159">
                  <c:v>-100.5</c:v>
                </c:pt>
                <c:pt idx="160">
                  <c:v>-100</c:v>
                </c:pt>
                <c:pt idx="161">
                  <c:v>-99.5</c:v>
                </c:pt>
                <c:pt idx="162">
                  <c:v>-99</c:v>
                </c:pt>
                <c:pt idx="163">
                  <c:v>-98.5</c:v>
                </c:pt>
                <c:pt idx="164">
                  <c:v>-98</c:v>
                </c:pt>
                <c:pt idx="165">
                  <c:v>-97.5</c:v>
                </c:pt>
                <c:pt idx="166">
                  <c:v>-97</c:v>
                </c:pt>
                <c:pt idx="167">
                  <c:v>-96.5</c:v>
                </c:pt>
                <c:pt idx="168">
                  <c:v>-96</c:v>
                </c:pt>
                <c:pt idx="169">
                  <c:v>-95.5</c:v>
                </c:pt>
                <c:pt idx="170">
                  <c:v>-95</c:v>
                </c:pt>
                <c:pt idx="171">
                  <c:v>-94.5</c:v>
                </c:pt>
                <c:pt idx="172">
                  <c:v>-94</c:v>
                </c:pt>
                <c:pt idx="173">
                  <c:v>-93.5</c:v>
                </c:pt>
                <c:pt idx="174">
                  <c:v>-93</c:v>
                </c:pt>
                <c:pt idx="175">
                  <c:v>-92.5</c:v>
                </c:pt>
                <c:pt idx="176">
                  <c:v>-92</c:v>
                </c:pt>
                <c:pt idx="177">
                  <c:v>-91.5</c:v>
                </c:pt>
                <c:pt idx="178">
                  <c:v>-91</c:v>
                </c:pt>
                <c:pt idx="179">
                  <c:v>-90.5</c:v>
                </c:pt>
                <c:pt idx="180">
                  <c:v>-90</c:v>
                </c:pt>
                <c:pt idx="181">
                  <c:v>-89.5</c:v>
                </c:pt>
                <c:pt idx="182">
                  <c:v>-89</c:v>
                </c:pt>
                <c:pt idx="183">
                  <c:v>-88.5</c:v>
                </c:pt>
                <c:pt idx="184">
                  <c:v>-88</c:v>
                </c:pt>
                <c:pt idx="185">
                  <c:v>-87.5</c:v>
                </c:pt>
                <c:pt idx="186">
                  <c:v>-87</c:v>
                </c:pt>
                <c:pt idx="187">
                  <c:v>-86.5</c:v>
                </c:pt>
                <c:pt idx="188">
                  <c:v>-86</c:v>
                </c:pt>
                <c:pt idx="189">
                  <c:v>-85.5</c:v>
                </c:pt>
                <c:pt idx="190">
                  <c:v>-85</c:v>
                </c:pt>
                <c:pt idx="191">
                  <c:v>-84.5</c:v>
                </c:pt>
                <c:pt idx="192">
                  <c:v>-84</c:v>
                </c:pt>
                <c:pt idx="193">
                  <c:v>-83.5</c:v>
                </c:pt>
                <c:pt idx="194">
                  <c:v>-83</c:v>
                </c:pt>
                <c:pt idx="195">
                  <c:v>-82.5</c:v>
                </c:pt>
                <c:pt idx="196">
                  <c:v>-82</c:v>
                </c:pt>
                <c:pt idx="197">
                  <c:v>-81.5</c:v>
                </c:pt>
                <c:pt idx="198">
                  <c:v>-81</c:v>
                </c:pt>
                <c:pt idx="199">
                  <c:v>-80.5</c:v>
                </c:pt>
                <c:pt idx="200">
                  <c:v>-80</c:v>
                </c:pt>
                <c:pt idx="201">
                  <c:v>-79.5</c:v>
                </c:pt>
                <c:pt idx="202">
                  <c:v>-79</c:v>
                </c:pt>
                <c:pt idx="203">
                  <c:v>-78.5</c:v>
                </c:pt>
                <c:pt idx="204">
                  <c:v>-78</c:v>
                </c:pt>
                <c:pt idx="205">
                  <c:v>-77.5</c:v>
                </c:pt>
                <c:pt idx="206">
                  <c:v>-77</c:v>
                </c:pt>
                <c:pt idx="207">
                  <c:v>-76.5</c:v>
                </c:pt>
                <c:pt idx="208">
                  <c:v>-76</c:v>
                </c:pt>
                <c:pt idx="209">
                  <c:v>-75.5</c:v>
                </c:pt>
                <c:pt idx="210">
                  <c:v>-75</c:v>
                </c:pt>
                <c:pt idx="211">
                  <c:v>-74.5</c:v>
                </c:pt>
                <c:pt idx="212">
                  <c:v>-74</c:v>
                </c:pt>
                <c:pt idx="213">
                  <c:v>-73.5</c:v>
                </c:pt>
                <c:pt idx="214">
                  <c:v>-73</c:v>
                </c:pt>
                <c:pt idx="215">
                  <c:v>-72.5</c:v>
                </c:pt>
                <c:pt idx="216">
                  <c:v>-72</c:v>
                </c:pt>
                <c:pt idx="217">
                  <c:v>-71.5</c:v>
                </c:pt>
                <c:pt idx="218">
                  <c:v>-71</c:v>
                </c:pt>
                <c:pt idx="219">
                  <c:v>-70.5</c:v>
                </c:pt>
                <c:pt idx="220">
                  <c:v>-70</c:v>
                </c:pt>
                <c:pt idx="221">
                  <c:v>-69.5</c:v>
                </c:pt>
                <c:pt idx="222">
                  <c:v>-69</c:v>
                </c:pt>
                <c:pt idx="223">
                  <c:v>-68.5</c:v>
                </c:pt>
                <c:pt idx="224">
                  <c:v>-68</c:v>
                </c:pt>
                <c:pt idx="225">
                  <c:v>-67.5</c:v>
                </c:pt>
                <c:pt idx="226">
                  <c:v>-67</c:v>
                </c:pt>
                <c:pt idx="227">
                  <c:v>-66.5</c:v>
                </c:pt>
                <c:pt idx="228">
                  <c:v>-66</c:v>
                </c:pt>
                <c:pt idx="229">
                  <c:v>-65.5</c:v>
                </c:pt>
                <c:pt idx="230">
                  <c:v>-65</c:v>
                </c:pt>
                <c:pt idx="231">
                  <c:v>-64.5</c:v>
                </c:pt>
                <c:pt idx="232">
                  <c:v>-64</c:v>
                </c:pt>
                <c:pt idx="233">
                  <c:v>-63.5</c:v>
                </c:pt>
                <c:pt idx="234">
                  <c:v>-63</c:v>
                </c:pt>
                <c:pt idx="235">
                  <c:v>-62.5</c:v>
                </c:pt>
                <c:pt idx="236">
                  <c:v>-62</c:v>
                </c:pt>
                <c:pt idx="237">
                  <c:v>-61.5</c:v>
                </c:pt>
                <c:pt idx="238">
                  <c:v>-61</c:v>
                </c:pt>
                <c:pt idx="239">
                  <c:v>-60.5</c:v>
                </c:pt>
                <c:pt idx="240">
                  <c:v>-60</c:v>
                </c:pt>
                <c:pt idx="241">
                  <c:v>-59.5</c:v>
                </c:pt>
                <c:pt idx="242">
                  <c:v>-59</c:v>
                </c:pt>
                <c:pt idx="243">
                  <c:v>-58.5</c:v>
                </c:pt>
                <c:pt idx="244">
                  <c:v>-58</c:v>
                </c:pt>
                <c:pt idx="245">
                  <c:v>-57.5</c:v>
                </c:pt>
                <c:pt idx="246">
                  <c:v>-57</c:v>
                </c:pt>
                <c:pt idx="247">
                  <c:v>-56.5</c:v>
                </c:pt>
                <c:pt idx="248">
                  <c:v>-56</c:v>
                </c:pt>
                <c:pt idx="249">
                  <c:v>-55.5</c:v>
                </c:pt>
                <c:pt idx="250">
                  <c:v>-55</c:v>
                </c:pt>
                <c:pt idx="251">
                  <c:v>-54.5</c:v>
                </c:pt>
                <c:pt idx="252">
                  <c:v>-54</c:v>
                </c:pt>
                <c:pt idx="253">
                  <c:v>-53.5</c:v>
                </c:pt>
                <c:pt idx="254">
                  <c:v>-53</c:v>
                </c:pt>
                <c:pt idx="255">
                  <c:v>-52.5</c:v>
                </c:pt>
                <c:pt idx="256">
                  <c:v>-52</c:v>
                </c:pt>
                <c:pt idx="257">
                  <c:v>-51.5</c:v>
                </c:pt>
                <c:pt idx="258">
                  <c:v>-51</c:v>
                </c:pt>
                <c:pt idx="259">
                  <c:v>-50.5</c:v>
                </c:pt>
                <c:pt idx="260">
                  <c:v>-50</c:v>
                </c:pt>
                <c:pt idx="261">
                  <c:v>-49.5</c:v>
                </c:pt>
                <c:pt idx="262">
                  <c:v>-49</c:v>
                </c:pt>
                <c:pt idx="263">
                  <c:v>-48.5</c:v>
                </c:pt>
                <c:pt idx="264">
                  <c:v>-48</c:v>
                </c:pt>
                <c:pt idx="265">
                  <c:v>-47.5</c:v>
                </c:pt>
                <c:pt idx="266">
                  <c:v>-47</c:v>
                </c:pt>
                <c:pt idx="267">
                  <c:v>-46.5</c:v>
                </c:pt>
                <c:pt idx="268">
                  <c:v>-46</c:v>
                </c:pt>
                <c:pt idx="269">
                  <c:v>-45.5</c:v>
                </c:pt>
                <c:pt idx="270">
                  <c:v>-45</c:v>
                </c:pt>
                <c:pt idx="271">
                  <c:v>-44.5</c:v>
                </c:pt>
                <c:pt idx="272">
                  <c:v>-44</c:v>
                </c:pt>
                <c:pt idx="273">
                  <c:v>-43.5</c:v>
                </c:pt>
                <c:pt idx="274">
                  <c:v>-43</c:v>
                </c:pt>
                <c:pt idx="275">
                  <c:v>-42.5</c:v>
                </c:pt>
                <c:pt idx="276">
                  <c:v>-42</c:v>
                </c:pt>
                <c:pt idx="277">
                  <c:v>-41.5</c:v>
                </c:pt>
                <c:pt idx="278">
                  <c:v>-41</c:v>
                </c:pt>
                <c:pt idx="279">
                  <c:v>-40.5</c:v>
                </c:pt>
                <c:pt idx="280">
                  <c:v>-40</c:v>
                </c:pt>
                <c:pt idx="281">
                  <c:v>-39.5</c:v>
                </c:pt>
                <c:pt idx="282">
                  <c:v>-39</c:v>
                </c:pt>
                <c:pt idx="283">
                  <c:v>-38.5</c:v>
                </c:pt>
                <c:pt idx="284">
                  <c:v>-38</c:v>
                </c:pt>
                <c:pt idx="285">
                  <c:v>-37.5</c:v>
                </c:pt>
                <c:pt idx="286">
                  <c:v>-37</c:v>
                </c:pt>
                <c:pt idx="287">
                  <c:v>-36.5</c:v>
                </c:pt>
                <c:pt idx="288">
                  <c:v>-36</c:v>
                </c:pt>
                <c:pt idx="289">
                  <c:v>-35.5</c:v>
                </c:pt>
                <c:pt idx="290">
                  <c:v>-35</c:v>
                </c:pt>
                <c:pt idx="291">
                  <c:v>-34.5</c:v>
                </c:pt>
                <c:pt idx="292">
                  <c:v>-34</c:v>
                </c:pt>
                <c:pt idx="293">
                  <c:v>-33.5</c:v>
                </c:pt>
                <c:pt idx="294">
                  <c:v>-33</c:v>
                </c:pt>
                <c:pt idx="295">
                  <c:v>-32.5</c:v>
                </c:pt>
                <c:pt idx="296">
                  <c:v>-32</c:v>
                </c:pt>
                <c:pt idx="297">
                  <c:v>-31.5</c:v>
                </c:pt>
                <c:pt idx="298">
                  <c:v>-31</c:v>
                </c:pt>
                <c:pt idx="299">
                  <c:v>-30.5</c:v>
                </c:pt>
                <c:pt idx="300">
                  <c:v>-30</c:v>
                </c:pt>
                <c:pt idx="301">
                  <c:v>-29.5</c:v>
                </c:pt>
                <c:pt idx="302">
                  <c:v>-29</c:v>
                </c:pt>
                <c:pt idx="303">
                  <c:v>-28.5</c:v>
                </c:pt>
                <c:pt idx="304">
                  <c:v>-28</c:v>
                </c:pt>
                <c:pt idx="305">
                  <c:v>-27.5</c:v>
                </c:pt>
                <c:pt idx="306">
                  <c:v>-27</c:v>
                </c:pt>
                <c:pt idx="307">
                  <c:v>-26.5</c:v>
                </c:pt>
                <c:pt idx="308">
                  <c:v>-26</c:v>
                </c:pt>
                <c:pt idx="309">
                  <c:v>-25.5</c:v>
                </c:pt>
                <c:pt idx="310">
                  <c:v>-25</c:v>
                </c:pt>
                <c:pt idx="311">
                  <c:v>-24.5</c:v>
                </c:pt>
                <c:pt idx="312">
                  <c:v>-24</c:v>
                </c:pt>
                <c:pt idx="313">
                  <c:v>-23.5</c:v>
                </c:pt>
                <c:pt idx="314">
                  <c:v>-23</c:v>
                </c:pt>
                <c:pt idx="315">
                  <c:v>-22.5</c:v>
                </c:pt>
                <c:pt idx="316">
                  <c:v>-22</c:v>
                </c:pt>
                <c:pt idx="317">
                  <c:v>-21.5</c:v>
                </c:pt>
                <c:pt idx="318">
                  <c:v>-21</c:v>
                </c:pt>
                <c:pt idx="319">
                  <c:v>-20.5</c:v>
                </c:pt>
                <c:pt idx="320">
                  <c:v>-20</c:v>
                </c:pt>
                <c:pt idx="321">
                  <c:v>-19.5</c:v>
                </c:pt>
                <c:pt idx="322">
                  <c:v>-19</c:v>
                </c:pt>
                <c:pt idx="323">
                  <c:v>-18.5</c:v>
                </c:pt>
                <c:pt idx="324">
                  <c:v>-18</c:v>
                </c:pt>
                <c:pt idx="325">
                  <c:v>-17.5</c:v>
                </c:pt>
                <c:pt idx="326">
                  <c:v>-17</c:v>
                </c:pt>
                <c:pt idx="327">
                  <c:v>-16.5</c:v>
                </c:pt>
                <c:pt idx="328">
                  <c:v>-16</c:v>
                </c:pt>
                <c:pt idx="329">
                  <c:v>-15.5</c:v>
                </c:pt>
                <c:pt idx="330">
                  <c:v>-15</c:v>
                </c:pt>
                <c:pt idx="331">
                  <c:v>-14.5</c:v>
                </c:pt>
                <c:pt idx="332">
                  <c:v>-14</c:v>
                </c:pt>
                <c:pt idx="333">
                  <c:v>-13.5</c:v>
                </c:pt>
                <c:pt idx="334">
                  <c:v>-13</c:v>
                </c:pt>
                <c:pt idx="335">
                  <c:v>-12.5</c:v>
                </c:pt>
                <c:pt idx="336">
                  <c:v>-12</c:v>
                </c:pt>
                <c:pt idx="337">
                  <c:v>-11.5</c:v>
                </c:pt>
                <c:pt idx="338">
                  <c:v>-11</c:v>
                </c:pt>
                <c:pt idx="339">
                  <c:v>-10.5</c:v>
                </c:pt>
                <c:pt idx="340">
                  <c:v>-10</c:v>
                </c:pt>
                <c:pt idx="341">
                  <c:v>-9.5</c:v>
                </c:pt>
                <c:pt idx="342">
                  <c:v>-9</c:v>
                </c:pt>
                <c:pt idx="343">
                  <c:v>-8.5</c:v>
                </c:pt>
                <c:pt idx="344">
                  <c:v>-8</c:v>
                </c:pt>
                <c:pt idx="345">
                  <c:v>-7.5</c:v>
                </c:pt>
                <c:pt idx="346">
                  <c:v>-7</c:v>
                </c:pt>
                <c:pt idx="347">
                  <c:v>-6.5</c:v>
                </c:pt>
                <c:pt idx="348">
                  <c:v>-6</c:v>
                </c:pt>
                <c:pt idx="349">
                  <c:v>-5.5</c:v>
                </c:pt>
                <c:pt idx="350">
                  <c:v>-5</c:v>
                </c:pt>
                <c:pt idx="351">
                  <c:v>-4.5</c:v>
                </c:pt>
                <c:pt idx="352">
                  <c:v>-4</c:v>
                </c:pt>
                <c:pt idx="353">
                  <c:v>-3.5</c:v>
                </c:pt>
                <c:pt idx="354">
                  <c:v>-3</c:v>
                </c:pt>
                <c:pt idx="355">
                  <c:v>-2.5</c:v>
                </c:pt>
                <c:pt idx="356">
                  <c:v>-2</c:v>
                </c:pt>
                <c:pt idx="357">
                  <c:v>-1.5</c:v>
                </c:pt>
                <c:pt idx="358">
                  <c:v>-1</c:v>
                </c:pt>
                <c:pt idx="359">
                  <c:v>-0.5</c:v>
                </c:pt>
                <c:pt idx="360">
                  <c:v>0</c:v>
                </c:pt>
                <c:pt idx="361">
                  <c:v>0.5</c:v>
                </c:pt>
                <c:pt idx="362">
                  <c:v>1</c:v>
                </c:pt>
                <c:pt idx="363">
                  <c:v>1.5</c:v>
                </c:pt>
                <c:pt idx="364">
                  <c:v>2</c:v>
                </c:pt>
                <c:pt idx="365">
                  <c:v>2.5</c:v>
                </c:pt>
                <c:pt idx="366">
                  <c:v>3</c:v>
                </c:pt>
                <c:pt idx="367">
                  <c:v>3.5</c:v>
                </c:pt>
                <c:pt idx="368">
                  <c:v>4</c:v>
                </c:pt>
                <c:pt idx="369">
                  <c:v>4.5</c:v>
                </c:pt>
                <c:pt idx="370">
                  <c:v>5</c:v>
                </c:pt>
                <c:pt idx="371">
                  <c:v>5.5</c:v>
                </c:pt>
                <c:pt idx="372">
                  <c:v>6</c:v>
                </c:pt>
                <c:pt idx="373">
                  <c:v>6.5</c:v>
                </c:pt>
                <c:pt idx="374">
                  <c:v>7</c:v>
                </c:pt>
                <c:pt idx="375">
                  <c:v>7.5</c:v>
                </c:pt>
                <c:pt idx="376">
                  <c:v>8</c:v>
                </c:pt>
                <c:pt idx="377">
                  <c:v>8.5</c:v>
                </c:pt>
                <c:pt idx="378">
                  <c:v>9</c:v>
                </c:pt>
                <c:pt idx="379">
                  <c:v>9.5</c:v>
                </c:pt>
                <c:pt idx="380">
                  <c:v>10</c:v>
                </c:pt>
                <c:pt idx="381">
                  <c:v>10.5</c:v>
                </c:pt>
                <c:pt idx="382">
                  <c:v>11</c:v>
                </c:pt>
                <c:pt idx="383">
                  <c:v>11.5</c:v>
                </c:pt>
                <c:pt idx="384">
                  <c:v>12</c:v>
                </c:pt>
                <c:pt idx="385">
                  <c:v>12.5</c:v>
                </c:pt>
                <c:pt idx="386">
                  <c:v>13</c:v>
                </c:pt>
                <c:pt idx="387">
                  <c:v>13.5</c:v>
                </c:pt>
                <c:pt idx="388">
                  <c:v>14</c:v>
                </c:pt>
                <c:pt idx="389">
                  <c:v>14.5</c:v>
                </c:pt>
                <c:pt idx="390">
                  <c:v>15</c:v>
                </c:pt>
                <c:pt idx="391">
                  <c:v>15.5</c:v>
                </c:pt>
                <c:pt idx="392">
                  <c:v>16</c:v>
                </c:pt>
                <c:pt idx="393">
                  <c:v>16.5</c:v>
                </c:pt>
                <c:pt idx="394">
                  <c:v>17</c:v>
                </c:pt>
                <c:pt idx="395">
                  <c:v>17.5</c:v>
                </c:pt>
                <c:pt idx="396">
                  <c:v>18</c:v>
                </c:pt>
                <c:pt idx="397">
                  <c:v>18.5</c:v>
                </c:pt>
                <c:pt idx="398">
                  <c:v>19</c:v>
                </c:pt>
                <c:pt idx="399">
                  <c:v>19.5</c:v>
                </c:pt>
                <c:pt idx="400">
                  <c:v>20</c:v>
                </c:pt>
                <c:pt idx="401">
                  <c:v>20.5</c:v>
                </c:pt>
                <c:pt idx="402">
                  <c:v>21</c:v>
                </c:pt>
                <c:pt idx="403">
                  <c:v>21.5</c:v>
                </c:pt>
                <c:pt idx="404">
                  <c:v>22</c:v>
                </c:pt>
                <c:pt idx="405">
                  <c:v>22.5</c:v>
                </c:pt>
                <c:pt idx="406">
                  <c:v>23</c:v>
                </c:pt>
                <c:pt idx="407">
                  <c:v>23.5</c:v>
                </c:pt>
                <c:pt idx="408">
                  <c:v>24</c:v>
                </c:pt>
                <c:pt idx="409">
                  <c:v>24.5</c:v>
                </c:pt>
                <c:pt idx="410">
                  <c:v>25</c:v>
                </c:pt>
                <c:pt idx="411">
                  <c:v>25.5</c:v>
                </c:pt>
                <c:pt idx="412">
                  <c:v>26</c:v>
                </c:pt>
                <c:pt idx="413">
                  <c:v>26.5</c:v>
                </c:pt>
                <c:pt idx="414">
                  <c:v>27</c:v>
                </c:pt>
                <c:pt idx="415">
                  <c:v>27.5</c:v>
                </c:pt>
                <c:pt idx="416">
                  <c:v>28</c:v>
                </c:pt>
                <c:pt idx="417">
                  <c:v>28.5</c:v>
                </c:pt>
                <c:pt idx="418">
                  <c:v>29</c:v>
                </c:pt>
                <c:pt idx="419">
                  <c:v>29.5</c:v>
                </c:pt>
                <c:pt idx="420">
                  <c:v>30</c:v>
                </c:pt>
                <c:pt idx="421">
                  <c:v>30.5</c:v>
                </c:pt>
                <c:pt idx="422">
                  <c:v>31</c:v>
                </c:pt>
                <c:pt idx="423">
                  <c:v>31.5</c:v>
                </c:pt>
                <c:pt idx="424">
                  <c:v>32</c:v>
                </c:pt>
                <c:pt idx="425">
                  <c:v>32.5</c:v>
                </c:pt>
                <c:pt idx="426">
                  <c:v>33</c:v>
                </c:pt>
                <c:pt idx="427">
                  <c:v>33.5</c:v>
                </c:pt>
                <c:pt idx="428">
                  <c:v>34</c:v>
                </c:pt>
                <c:pt idx="429">
                  <c:v>34.5</c:v>
                </c:pt>
                <c:pt idx="430">
                  <c:v>35</c:v>
                </c:pt>
                <c:pt idx="431">
                  <c:v>35.5</c:v>
                </c:pt>
                <c:pt idx="432">
                  <c:v>36</c:v>
                </c:pt>
                <c:pt idx="433">
                  <c:v>36.5</c:v>
                </c:pt>
                <c:pt idx="434">
                  <c:v>37</c:v>
                </c:pt>
                <c:pt idx="435">
                  <c:v>37.5</c:v>
                </c:pt>
                <c:pt idx="436">
                  <c:v>38</c:v>
                </c:pt>
                <c:pt idx="437">
                  <c:v>38.5</c:v>
                </c:pt>
                <c:pt idx="438">
                  <c:v>39</c:v>
                </c:pt>
                <c:pt idx="439">
                  <c:v>39.5</c:v>
                </c:pt>
                <c:pt idx="440">
                  <c:v>40</c:v>
                </c:pt>
                <c:pt idx="441">
                  <c:v>40.5</c:v>
                </c:pt>
                <c:pt idx="442">
                  <c:v>41</c:v>
                </c:pt>
                <c:pt idx="443">
                  <c:v>41.5</c:v>
                </c:pt>
                <c:pt idx="444">
                  <c:v>42</c:v>
                </c:pt>
                <c:pt idx="445">
                  <c:v>42.5</c:v>
                </c:pt>
                <c:pt idx="446">
                  <c:v>43</c:v>
                </c:pt>
                <c:pt idx="447">
                  <c:v>43.5</c:v>
                </c:pt>
                <c:pt idx="448">
                  <c:v>44</c:v>
                </c:pt>
                <c:pt idx="449">
                  <c:v>44.5</c:v>
                </c:pt>
                <c:pt idx="450">
                  <c:v>45</c:v>
                </c:pt>
                <c:pt idx="451">
                  <c:v>45.5</c:v>
                </c:pt>
                <c:pt idx="452">
                  <c:v>46</c:v>
                </c:pt>
                <c:pt idx="453">
                  <c:v>46.5</c:v>
                </c:pt>
                <c:pt idx="454">
                  <c:v>47</c:v>
                </c:pt>
                <c:pt idx="455">
                  <c:v>47.5</c:v>
                </c:pt>
                <c:pt idx="456">
                  <c:v>48</c:v>
                </c:pt>
                <c:pt idx="457">
                  <c:v>48.5</c:v>
                </c:pt>
                <c:pt idx="458">
                  <c:v>49</c:v>
                </c:pt>
                <c:pt idx="459">
                  <c:v>49.5</c:v>
                </c:pt>
                <c:pt idx="460">
                  <c:v>50</c:v>
                </c:pt>
                <c:pt idx="461">
                  <c:v>50.5</c:v>
                </c:pt>
                <c:pt idx="462">
                  <c:v>51</c:v>
                </c:pt>
                <c:pt idx="463">
                  <c:v>51.5</c:v>
                </c:pt>
                <c:pt idx="464">
                  <c:v>52</c:v>
                </c:pt>
                <c:pt idx="465">
                  <c:v>52.5</c:v>
                </c:pt>
                <c:pt idx="466">
                  <c:v>53</c:v>
                </c:pt>
                <c:pt idx="467">
                  <c:v>53.5</c:v>
                </c:pt>
                <c:pt idx="468">
                  <c:v>54</c:v>
                </c:pt>
                <c:pt idx="469">
                  <c:v>54.5</c:v>
                </c:pt>
                <c:pt idx="470">
                  <c:v>55</c:v>
                </c:pt>
                <c:pt idx="471">
                  <c:v>55.5</c:v>
                </c:pt>
                <c:pt idx="472">
                  <c:v>56</c:v>
                </c:pt>
                <c:pt idx="473">
                  <c:v>56.5</c:v>
                </c:pt>
                <c:pt idx="474">
                  <c:v>57</c:v>
                </c:pt>
                <c:pt idx="475">
                  <c:v>57.5</c:v>
                </c:pt>
                <c:pt idx="476">
                  <c:v>58</c:v>
                </c:pt>
                <c:pt idx="477">
                  <c:v>58.5</c:v>
                </c:pt>
                <c:pt idx="478">
                  <c:v>59</c:v>
                </c:pt>
                <c:pt idx="479">
                  <c:v>59.5</c:v>
                </c:pt>
                <c:pt idx="480">
                  <c:v>60</c:v>
                </c:pt>
                <c:pt idx="481">
                  <c:v>60.5</c:v>
                </c:pt>
                <c:pt idx="482">
                  <c:v>61</c:v>
                </c:pt>
                <c:pt idx="483">
                  <c:v>61.5</c:v>
                </c:pt>
                <c:pt idx="484">
                  <c:v>62</c:v>
                </c:pt>
                <c:pt idx="485">
                  <c:v>62.5</c:v>
                </c:pt>
                <c:pt idx="486">
                  <c:v>63</c:v>
                </c:pt>
                <c:pt idx="487">
                  <c:v>63.5</c:v>
                </c:pt>
                <c:pt idx="488">
                  <c:v>64</c:v>
                </c:pt>
                <c:pt idx="489">
                  <c:v>64.5</c:v>
                </c:pt>
                <c:pt idx="490">
                  <c:v>65</c:v>
                </c:pt>
                <c:pt idx="491">
                  <c:v>65.5</c:v>
                </c:pt>
                <c:pt idx="492">
                  <c:v>66</c:v>
                </c:pt>
                <c:pt idx="493">
                  <c:v>66.5</c:v>
                </c:pt>
                <c:pt idx="494">
                  <c:v>67</c:v>
                </c:pt>
                <c:pt idx="495">
                  <c:v>67.5</c:v>
                </c:pt>
                <c:pt idx="496">
                  <c:v>68</c:v>
                </c:pt>
                <c:pt idx="497">
                  <c:v>68.5</c:v>
                </c:pt>
                <c:pt idx="498">
                  <c:v>69</c:v>
                </c:pt>
                <c:pt idx="499">
                  <c:v>69.5</c:v>
                </c:pt>
                <c:pt idx="500">
                  <c:v>70</c:v>
                </c:pt>
                <c:pt idx="501">
                  <c:v>70.5</c:v>
                </c:pt>
                <c:pt idx="502">
                  <c:v>71</c:v>
                </c:pt>
                <c:pt idx="503">
                  <c:v>71.5</c:v>
                </c:pt>
                <c:pt idx="504">
                  <c:v>72</c:v>
                </c:pt>
                <c:pt idx="505">
                  <c:v>72.5</c:v>
                </c:pt>
                <c:pt idx="506">
                  <c:v>73</c:v>
                </c:pt>
                <c:pt idx="507">
                  <c:v>73.5</c:v>
                </c:pt>
                <c:pt idx="508">
                  <c:v>74</c:v>
                </c:pt>
                <c:pt idx="509">
                  <c:v>74.5</c:v>
                </c:pt>
                <c:pt idx="510">
                  <c:v>75</c:v>
                </c:pt>
                <c:pt idx="511">
                  <c:v>75.5</c:v>
                </c:pt>
                <c:pt idx="512">
                  <c:v>76</c:v>
                </c:pt>
                <c:pt idx="513">
                  <c:v>76.5</c:v>
                </c:pt>
                <c:pt idx="514">
                  <c:v>77</c:v>
                </c:pt>
                <c:pt idx="515">
                  <c:v>77.5</c:v>
                </c:pt>
                <c:pt idx="516">
                  <c:v>78</c:v>
                </c:pt>
                <c:pt idx="517">
                  <c:v>78.5</c:v>
                </c:pt>
                <c:pt idx="518">
                  <c:v>79</c:v>
                </c:pt>
                <c:pt idx="519">
                  <c:v>79.5</c:v>
                </c:pt>
                <c:pt idx="520">
                  <c:v>80</c:v>
                </c:pt>
                <c:pt idx="521">
                  <c:v>80.5</c:v>
                </c:pt>
                <c:pt idx="522">
                  <c:v>81</c:v>
                </c:pt>
                <c:pt idx="523">
                  <c:v>81.5</c:v>
                </c:pt>
                <c:pt idx="524">
                  <c:v>82</c:v>
                </c:pt>
                <c:pt idx="525">
                  <c:v>82.5</c:v>
                </c:pt>
                <c:pt idx="526">
                  <c:v>83</c:v>
                </c:pt>
                <c:pt idx="527">
                  <c:v>83.5</c:v>
                </c:pt>
                <c:pt idx="528">
                  <c:v>84</c:v>
                </c:pt>
                <c:pt idx="529">
                  <c:v>84.5</c:v>
                </c:pt>
                <c:pt idx="530">
                  <c:v>85</c:v>
                </c:pt>
                <c:pt idx="531">
                  <c:v>85.5</c:v>
                </c:pt>
                <c:pt idx="532">
                  <c:v>86</c:v>
                </c:pt>
                <c:pt idx="533">
                  <c:v>86.5</c:v>
                </c:pt>
                <c:pt idx="534">
                  <c:v>87</c:v>
                </c:pt>
                <c:pt idx="535">
                  <c:v>87.5</c:v>
                </c:pt>
                <c:pt idx="536">
                  <c:v>88</c:v>
                </c:pt>
                <c:pt idx="537">
                  <c:v>88.5</c:v>
                </c:pt>
                <c:pt idx="538">
                  <c:v>89</c:v>
                </c:pt>
                <c:pt idx="539">
                  <c:v>89.5</c:v>
                </c:pt>
                <c:pt idx="540">
                  <c:v>90</c:v>
                </c:pt>
                <c:pt idx="541">
                  <c:v>90.5</c:v>
                </c:pt>
                <c:pt idx="542">
                  <c:v>91</c:v>
                </c:pt>
                <c:pt idx="543">
                  <c:v>91.5</c:v>
                </c:pt>
                <c:pt idx="544">
                  <c:v>92</c:v>
                </c:pt>
                <c:pt idx="545">
                  <c:v>92.5</c:v>
                </c:pt>
                <c:pt idx="546">
                  <c:v>93</c:v>
                </c:pt>
                <c:pt idx="547">
                  <c:v>93.5</c:v>
                </c:pt>
                <c:pt idx="548">
                  <c:v>94</c:v>
                </c:pt>
                <c:pt idx="549">
                  <c:v>94.5</c:v>
                </c:pt>
                <c:pt idx="550">
                  <c:v>95</c:v>
                </c:pt>
                <c:pt idx="551">
                  <c:v>95.5</c:v>
                </c:pt>
                <c:pt idx="552">
                  <c:v>96</c:v>
                </c:pt>
                <c:pt idx="553">
                  <c:v>96.5</c:v>
                </c:pt>
                <c:pt idx="554">
                  <c:v>97</c:v>
                </c:pt>
                <c:pt idx="555">
                  <c:v>97.5</c:v>
                </c:pt>
                <c:pt idx="556">
                  <c:v>98</c:v>
                </c:pt>
                <c:pt idx="557">
                  <c:v>98.5</c:v>
                </c:pt>
                <c:pt idx="558">
                  <c:v>99</c:v>
                </c:pt>
                <c:pt idx="559">
                  <c:v>99.5</c:v>
                </c:pt>
                <c:pt idx="560">
                  <c:v>100</c:v>
                </c:pt>
                <c:pt idx="561">
                  <c:v>100.5</c:v>
                </c:pt>
                <c:pt idx="562">
                  <c:v>101</c:v>
                </c:pt>
                <c:pt idx="563">
                  <c:v>101.5</c:v>
                </c:pt>
                <c:pt idx="564">
                  <c:v>102</c:v>
                </c:pt>
                <c:pt idx="565">
                  <c:v>102.5</c:v>
                </c:pt>
                <c:pt idx="566">
                  <c:v>103</c:v>
                </c:pt>
                <c:pt idx="567">
                  <c:v>103.5</c:v>
                </c:pt>
                <c:pt idx="568">
                  <c:v>104</c:v>
                </c:pt>
                <c:pt idx="569">
                  <c:v>104.5</c:v>
                </c:pt>
                <c:pt idx="570">
                  <c:v>105</c:v>
                </c:pt>
                <c:pt idx="571">
                  <c:v>105.5</c:v>
                </c:pt>
                <c:pt idx="572">
                  <c:v>106</c:v>
                </c:pt>
                <c:pt idx="573">
                  <c:v>106.5</c:v>
                </c:pt>
                <c:pt idx="574">
                  <c:v>107</c:v>
                </c:pt>
                <c:pt idx="575">
                  <c:v>107.5</c:v>
                </c:pt>
                <c:pt idx="576">
                  <c:v>108</c:v>
                </c:pt>
                <c:pt idx="577">
                  <c:v>108.5</c:v>
                </c:pt>
                <c:pt idx="578">
                  <c:v>109</c:v>
                </c:pt>
                <c:pt idx="579">
                  <c:v>109.5</c:v>
                </c:pt>
                <c:pt idx="580">
                  <c:v>110</c:v>
                </c:pt>
                <c:pt idx="581">
                  <c:v>110.5</c:v>
                </c:pt>
                <c:pt idx="582">
                  <c:v>111</c:v>
                </c:pt>
                <c:pt idx="583">
                  <c:v>111.5</c:v>
                </c:pt>
                <c:pt idx="584">
                  <c:v>112</c:v>
                </c:pt>
                <c:pt idx="585">
                  <c:v>112.5</c:v>
                </c:pt>
                <c:pt idx="586">
                  <c:v>113</c:v>
                </c:pt>
                <c:pt idx="587">
                  <c:v>113.5</c:v>
                </c:pt>
                <c:pt idx="588">
                  <c:v>114</c:v>
                </c:pt>
                <c:pt idx="589">
                  <c:v>114.5</c:v>
                </c:pt>
                <c:pt idx="590">
                  <c:v>115</c:v>
                </c:pt>
                <c:pt idx="591">
                  <c:v>115.5</c:v>
                </c:pt>
                <c:pt idx="592">
                  <c:v>116</c:v>
                </c:pt>
                <c:pt idx="593">
                  <c:v>116.5</c:v>
                </c:pt>
                <c:pt idx="594">
                  <c:v>117</c:v>
                </c:pt>
                <c:pt idx="595">
                  <c:v>117.5</c:v>
                </c:pt>
                <c:pt idx="596">
                  <c:v>118</c:v>
                </c:pt>
                <c:pt idx="597">
                  <c:v>118.5</c:v>
                </c:pt>
                <c:pt idx="598">
                  <c:v>119</c:v>
                </c:pt>
                <c:pt idx="599">
                  <c:v>119.5</c:v>
                </c:pt>
                <c:pt idx="600">
                  <c:v>120</c:v>
                </c:pt>
                <c:pt idx="601">
                  <c:v>120.5</c:v>
                </c:pt>
                <c:pt idx="602">
                  <c:v>121</c:v>
                </c:pt>
                <c:pt idx="603">
                  <c:v>121.5</c:v>
                </c:pt>
                <c:pt idx="604">
                  <c:v>122</c:v>
                </c:pt>
                <c:pt idx="605">
                  <c:v>122.5</c:v>
                </c:pt>
                <c:pt idx="606">
                  <c:v>123</c:v>
                </c:pt>
                <c:pt idx="607">
                  <c:v>123.5</c:v>
                </c:pt>
                <c:pt idx="608">
                  <c:v>124</c:v>
                </c:pt>
                <c:pt idx="609">
                  <c:v>124.5</c:v>
                </c:pt>
                <c:pt idx="610">
                  <c:v>125</c:v>
                </c:pt>
                <c:pt idx="611">
                  <c:v>125.5</c:v>
                </c:pt>
                <c:pt idx="612">
                  <c:v>126</c:v>
                </c:pt>
                <c:pt idx="613">
                  <c:v>126.5</c:v>
                </c:pt>
                <c:pt idx="614">
                  <c:v>127</c:v>
                </c:pt>
                <c:pt idx="615">
                  <c:v>127.5</c:v>
                </c:pt>
                <c:pt idx="616">
                  <c:v>128</c:v>
                </c:pt>
                <c:pt idx="617">
                  <c:v>128.5</c:v>
                </c:pt>
                <c:pt idx="618">
                  <c:v>129</c:v>
                </c:pt>
                <c:pt idx="619">
                  <c:v>129.5</c:v>
                </c:pt>
                <c:pt idx="620">
                  <c:v>130</c:v>
                </c:pt>
                <c:pt idx="621">
                  <c:v>130.5</c:v>
                </c:pt>
                <c:pt idx="622">
                  <c:v>131</c:v>
                </c:pt>
                <c:pt idx="623">
                  <c:v>131.5</c:v>
                </c:pt>
                <c:pt idx="624">
                  <c:v>132</c:v>
                </c:pt>
                <c:pt idx="625">
                  <c:v>132.5</c:v>
                </c:pt>
                <c:pt idx="626">
                  <c:v>133</c:v>
                </c:pt>
                <c:pt idx="627">
                  <c:v>133.5</c:v>
                </c:pt>
                <c:pt idx="628">
                  <c:v>134</c:v>
                </c:pt>
                <c:pt idx="629">
                  <c:v>134.5</c:v>
                </c:pt>
                <c:pt idx="630">
                  <c:v>135</c:v>
                </c:pt>
                <c:pt idx="631">
                  <c:v>135.5</c:v>
                </c:pt>
                <c:pt idx="632">
                  <c:v>136</c:v>
                </c:pt>
                <c:pt idx="633">
                  <c:v>136.5</c:v>
                </c:pt>
                <c:pt idx="634">
                  <c:v>137</c:v>
                </c:pt>
                <c:pt idx="635">
                  <c:v>137.5</c:v>
                </c:pt>
                <c:pt idx="636">
                  <c:v>138</c:v>
                </c:pt>
                <c:pt idx="637">
                  <c:v>138.5</c:v>
                </c:pt>
                <c:pt idx="638">
                  <c:v>139</c:v>
                </c:pt>
                <c:pt idx="639">
                  <c:v>139.5</c:v>
                </c:pt>
                <c:pt idx="640">
                  <c:v>140</c:v>
                </c:pt>
                <c:pt idx="641">
                  <c:v>140.5</c:v>
                </c:pt>
                <c:pt idx="642">
                  <c:v>141</c:v>
                </c:pt>
                <c:pt idx="643">
                  <c:v>141.5</c:v>
                </c:pt>
                <c:pt idx="644">
                  <c:v>142</c:v>
                </c:pt>
                <c:pt idx="645">
                  <c:v>142.5</c:v>
                </c:pt>
                <c:pt idx="646">
                  <c:v>143</c:v>
                </c:pt>
                <c:pt idx="647">
                  <c:v>143.5</c:v>
                </c:pt>
                <c:pt idx="648">
                  <c:v>144</c:v>
                </c:pt>
                <c:pt idx="649">
                  <c:v>144.5</c:v>
                </c:pt>
                <c:pt idx="650">
                  <c:v>145</c:v>
                </c:pt>
                <c:pt idx="651">
                  <c:v>145.5</c:v>
                </c:pt>
                <c:pt idx="652">
                  <c:v>146</c:v>
                </c:pt>
                <c:pt idx="653">
                  <c:v>146.5</c:v>
                </c:pt>
                <c:pt idx="654">
                  <c:v>147</c:v>
                </c:pt>
                <c:pt idx="655">
                  <c:v>147.5</c:v>
                </c:pt>
                <c:pt idx="656">
                  <c:v>148</c:v>
                </c:pt>
                <c:pt idx="657">
                  <c:v>148.5</c:v>
                </c:pt>
                <c:pt idx="658">
                  <c:v>149</c:v>
                </c:pt>
                <c:pt idx="659">
                  <c:v>149.5</c:v>
                </c:pt>
                <c:pt idx="660">
                  <c:v>150</c:v>
                </c:pt>
                <c:pt idx="661">
                  <c:v>150.5</c:v>
                </c:pt>
                <c:pt idx="662">
                  <c:v>151</c:v>
                </c:pt>
                <c:pt idx="663">
                  <c:v>151.5</c:v>
                </c:pt>
                <c:pt idx="664">
                  <c:v>152</c:v>
                </c:pt>
                <c:pt idx="665">
                  <c:v>152.5</c:v>
                </c:pt>
                <c:pt idx="666">
                  <c:v>153</c:v>
                </c:pt>
                <c:pt idx="667">
                  <c:v>153.5</c:v>
                </c:pt>
                <c:pt idx="668">
                  <c:v>154</c:v>
                </c:pt>
                <c:pt idx="669">
                  <c:v>154.5</c:v>
                </c:pt>
                <c:pt idx="670">
                  <c:v>155</c:v>
                </c:pt>
                <c:pt idx="671">
                  <c:v>155.5</c:v>
                </c:pt>
                <c:pt idx="672">
                  <c:v>156</c:v>
                </c:pt>
                <c:pt idx="673">
                  <c:v>156.5</c:v>
                </c:pt>
                <c:pt idx="674">
                  <c:v>157</c:v>
                </c:pt>
                <c:pt idx="675">
                  <c:v>157.5</c:v>
                </c:pt>
                <c:pt idx="676">
                  <c:v>158</c:v>
                </c:pt>
                <c:pt idx="677">
                  <c:v>158.5</c:v>
                </c:pt>
                <c:pt idx="678">
                  <c:v>159</c:v>
                </c:pt>
                <c:pt idx="679">
                  <c:v>159.5</c:v>
                </c:pt>
                <c:pt idx="680">
                  <c:v>160</c:v>
                </c:pt>
                <c:pt idx="681">
                  <c:v>160.5</c:v>
                </c:pt>
                <c:pt idx="682">
                  <c:v>161</c:v>
                </c:pt>
                <c:pt idx="683">
                  <c:v>161.5</c:v>
                </c:pt>
                <c:pt idx="684">
                  <c:v>162</c:v>
                </c:pt>
                <c:pt idx="685">
                  <c:v>162.5</c:v>
                </c:pt>
                <c:pt idx="686">
                  <c:v>163</c:v>
                </c:pt>
                <c:pt idx="687">
                  <c:v>163.5</c:v>
                </c:pt>
                <c:pt idx="688">
                  <c:v>164</c:v>
                </c:pt>
                <c:pt idx="689">
                  <c:v>164.5</c:v>
                </c:pt>
                <c:pt idx="690">
                  <c:v>165</c:v>
                </c:pt>
                <c:pt idx="691">
                  <c:v>165.5</c:v>
                </c:pt>
                <c:pt idx="692">
                  <c:v>166</c:v>
                </c:pt>
                <c:pt idx="693">
                  <c:v>166.5</c:v>
                </c:pt>
                <c:pt idx="694">
                  <c:v>167</c:v>
                </c:pt>
                <c:pt idx="695">
                  <c:v>167.5</c:v>
                </c:pt>
                <c:pt idx="696">
                  <c:v>168</c:v>
                </c:pt>
                <c:pt idx="697">
                  <c:v>168.5</c:v>
                </c:pt>
                <c:pt idx="698">
                  <c:v>169</c:v>
                </c:pt>
                <c:pt idx="699">
                  <c:v>169.5</c:v>
                </c:pt>
                <c:pt idx="700">
                  <c:v>170</c:v>
                </c:pt>
                <c:pt idx="701">
                  <c:v>170.5</c:v>
                </c:pt>
                <c:pt idx="702">
                  <c:v>171</c:v>
                </c:pt>
                <c:pt idx="703">
                  <c:v>171.5</c:v>
                </c:pt>
                <c:pt idx="704">
                  <c:v>172</c:v>
                </c:pt>
                <c:pt idx="705">
                  <c:v>172.5</c:v>
                </c:pt>
                <c:pt idx="706">
                  <c:v>173</c:v>
                </c:pt>
                <c:pt idx="707">
                  <c:v>173.5</c:v>
                </c:pt>
                <c:pt idx="708">
                  <c:v>174</c:v>
                </c:pt>
                <c:pt idx="709">
                  <c:v>174.5</c:v>
                </c:pt>
                <c:pt idx="710">
                  <c:v>175</c:v>
                </c:pt>
                <c:pt idx="711">
                  <c:v>175.5</c:v>
                </c:pt>
                <c:pt idx="712">
                  <c:v>176</c:v>
                </c:pt>
                <c:pt idx="713">
                  <c:v>176.5</c:v>
                </c:pt>
                <c:pt idx="714">
                  <c:v>177</c:v>
                </c:pt>
                <c:pt idx="715">
                  <c:v>177.5</c:v>
                </c:pt>
                <c:pt idx="716">
                  <c:v>178</c:v>
                </c:pt>
                <c:pt idx="717">
                  <c:v>178.5</c:v>
                </c:pt>
                <c:pt idx="718">
                  <c:v>179</c:v>
                </c:pt>
                <c:pt idx="719">
                  <c:v>179.5</c:v>
                </c:pt>
                <c:pt idx="720">
                  <c:v>180</c:v>
                </c:pt>
              </c:numCache>
            </c:numRef>
          </c:xVal>
          <c:yVal>
            <c:numRef>
              <c:f>Presion_cilindro!$Q$4:$Q$724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4.6033346729217515</c:v>
                </c:pt>
                <c:pt idx="276">
                  <c:v>4.6838282643979383</c:v>
                </c:pt>
                <c:pt idx="277">
                  <c:v>4.7661189310785605</c:v>
                </c:pt>
                <c:pt idx="278">
                  <c:v>4.8502428963503164</c:v>
                </c:pt>
                <c:pt idx="279">
                  <c:v>4.9362364384492903</c:v>
                </c:pt>
                <c:pt idx="280">
                  <c:v>5.024135818595048</c:v>
                </c:pt>
                <c:pt idx="281">
                  <c:v>5.1139772021108811</c:v>
                </c:pt>
                <c:pt idx="282">
                  <c:v>5.2057965720721358</c:v>
                </c:pt>
                <c:pt idx="283">
                  <c:v>5.2996296350088352</c:v>
                </c:pt>
                <c:pt idx="284">
                  <c:v>5.3955117181735694</c:v>
                </c:pt>
                <c:pt idx="285">
                  <c:v>5.4934776578723703</c:v>
                </c:pt>
                <c:pt idx="286">
                  <c:v>5.5935616783449866</c:v>
                </c:pt>
                <c:pt idx="287">
                  <c:v>5.6957972606717471</c:v>
                </c:pt>
                <c:pt idx="288">
                  <c:v>5.80021700117838</c:v>
                </c:pt>
                <c:pt idx="289">
                  <c:v>5.9068524588072222</c:v>
                </c:pt>
                <c:pt idx="290">
                  <c:v>6.0157339909247796</c:v>
                </c:pt>
                <c:pt idx="291">
                  <c:v>6.1268905770417605</c:v>
                </c:pt>
                <c:pt idx="292">
                  <c:v>6.2403496299330925</c:v>
                </c:pt>
                <c:pt idx="293">
                  <c:v>6.3561367936632998</c:v>
                </c:pt>
                <c:pt idx="294">
                  <c:v>6.474275728047596</c:v>
                </c:pt>
                <c:pt idx="295">
                  <c:v>6.5947878791117649</c:v>
                </c:pt>
                <c:pt idx="296">
                  <c:v>6.7176922351560417</c:v>
                </c:pt>
                <c:pt idx="297">
                  <c:v>6.8430050680798962</c:v>
                </c:pt>
                <c:pt idx="298">
                  <c:v>6.9707396596879816</c:v>
                </c:pt>
                <c:pt idx="299">
                  <c:v>7.1009060127726942</c:v>
                </c:pt>
                <c:pt idx="300">
                  <c:v>7.2335105468578709</c:v>
                </c:pt>
                <c:pt idx="301">
                  <c:v>7.3685557785910527</c:v>
                </c:pt>
                <c:pt idx="302">
                  <c:v>7.5060399868917722</c:v>
                </c:pt>
                <c:pt idx="303">
                  <c:v>7.6459568630988599</c:v>
                </c:pt>
                <c:pt idx="304">
                  <c:v>7.7882951465147201</c:v>
                </c:pt>
                <c:pt idx="305">
                  <c:v>7.9330382459174604</c:v>
                </c:pt>
                <c:pt idx="306">
                  <c:v>8.080163847805947</c:v>
                </c:pt>
                <c:pt idx="307">
                  <c:v>8.2296435123565956</c:v>
                </c:pt>
                <c:pt idx="308">
                  <c:v>8.381442258307171</c:v>
                </c:pt>
                <c:pt idx="309">
                  <c:v>8.5355181382400183</c:v>
                </c:pt>
                <c:pt idx="310">
                  <c:v>8.6918218060164509</c:v>
                </c:pt>
                <c:pt idx="311">
                  <c:v>8.8502960784148286</c:v>
                </c:pt>
                <c:pt idx="312">
                  <c:v>9.0108754933457398</c:v>
                </c:pt>
                <c:pt idx="313">
                  <c:v>9.173485867358151</c:v>
                </c:pt>
                <c:pt idx="314">
                  <c:v>9.3380438555080385</c:v>
                </c:pt>
                <c:pt idx="315">
                  <c:v>9.5044809266756776</c:v>
                </c:pt>
                <c:pt idx="316">
                  <c:v>9.6730900384594172</c:v>
                </c:pt>
                <c:pt idx="317">
                  <c:v>9.8444649296246087</c:v>
                </c:pt>
                <c:pt idx="318">
                  <c:v>10.019235023104711</c:v>
                </c:pt>
                <c:pt idx="319">
                  <c:v>10.198057880394828</c:v>
                </c:pt>
                <c:pt idx="320">
                  <c:v>10.381618344254658</c:v>
                </c:pt>
                <c:pt idx="321">
                  <c:v>10.570627228018875</c:v>
                </c:pt>
                <c:pt idx="322">
                  <c:v>10.765819516603242</c:v>
                </c:pt>
                <c:pt idx="323">
                  <c:v>10.96795204601537</c:v>
                </c:pt>
                <c:pt idx="324">
                  <c:v>11.177800630774877</c:v>
                </c:pt>
                <c:pt idx="325">
                  <c:v>11.396156612197132</c:v>
                </c:pt>
                <c:pt idx="326">
                  <c:v>11.623822805071502</c:v>
                </c:pt>
                <c:pt idx="327">
                  <c:v>11.861608825924817</c:v>
                </c:pt>
                <c:pt idx="328">
                  <c:v>12.110325792848352</c:v>
                </c:pt>
                <c:pt idx="329">
                  <c:v>12.370780394800377</c:v>
                </c:pt>
                <c:pt idx="330">
                  <c:v>12.643768337374041</c:v>
                </c:pt>
                <c:pt idx="331">
                  <c:v>12.930067182209228</c:v>
                </c:pt>
                <c:pt idx="332">
                  <c:v>13.23042860845711</c:v>
                </c:pt>
                <c:pt idx="333">
                  <c:v>13.545570136877433</c:v>
                </c:pt>
                <c:pt idx="334">
                  <c:v>13.876166370113967</c:v>
                </c:pt>
                <c:pt idx="335">
                  <c:v>14.222839816268865</c:v>
                </c:pt>
                <c:pt idx="336">
                  <c:v>14.586151376850291</c:v>
                </c:pt>
                <c:pt idx="337">
                  <c:v>14.9665905942321</c:v>
                </c:pt>
                <c:pt idx="338">
                  <c:v>15.364565767619599</c:v>
                </c:pt>
                <c:pt idx="339">
                  <c:v>15.780394059820624</c:v>
                </c:pt>
                <c:pt idx="340">
                  <c:v>16.214291729490363</c:v>
                </c:pt>
                <c:pt idx="341">
                  <c:v>16.666364634549268</c:v>
                </c:pt>
                <c:pt idx="342">
                  <c:v>17.136599161752223</c:v>
                </c:pt>
                <c:pt idx="343">
                  <c:v>17.624853744492839</c:v>
                </c:pt>
                <c:pt idx="344">
                  <c:v>18.130851135457235</c:v>
                </c:pt>
                <c:pt idx="345">
                  <c:v>18.654171602315209</c:v>
                </c:pt>
                <c:pt idx="346">
                  <c:v>19.194247212919656</c:v>
                </c:pt>
                <c:pt idx="347">
                  <c:v>19.750357371202465</c:v>
                </c:pt>
                <c:pt idx="348">
                  <c:v>20.321625755899269</c:v>
                </c:pt>
                <c:pt idx="349">
                  <c:v>20.907018801299827</c:v>
                </c:pt>
                <c:pt idx="350">
                  <c:v>21.505345842391968</c:v>
                </c:pt>
                <c:pt idx="351">
                  <c:v>22.115261026143489</c:v>
                </c:pt>
                <c:pt idx="352">
                  <c:v>22.735267066474023</c:v>
                </c:pt>
                <c:pt idx="353">
                  <c:v>23.363720893046967</c:v>
                </c:pt>
                <c:pt idx="354">
                  <c:v>23.99884121381865</c:v>
                </c:pt>
                <c:pt idx="355">
                  <c:v>24.638717978899074</c:v>
                </c:pt>
                <c:pt idx="356">
                  <c:v>25.28132369938076</c:v>
                </c:pt>
                <c:pt idx="357">
                  <c:v>25.924526540135933</c:v>
                </c:pt>
                <c:pt idx="358">
                  <c:v>26.566105071002362</c:v>
                </c:pt>
                <c:pt idx="359">
                  <c:v>27.203764527135231</c:v>
                </c:pt>
                <c:pt idx="360">
                  <c:v>27.83515439747719</c:v>
                </c:pt>
                <c:pt idx="361">
                  <c:v>28.457887131152521</c:v>
                </c:pt>
                <c:pt idx="362">
                  <c:v>29.069557725940886</c:v>
                </c:pt>
                <c:pt idx="363">
                  <c:v>29.667763941568293</c:v>
                </c:pt>
                <c:pt idx="364">
                  <c:v>30.250126864010547</c:v>
                </c:pt>
                <c:pt idx="365">
                  <c:v>30.814311535841902</c:v>
                </c:pt>
                <c:pt idx="366">
                  <c:v>31.358047362249479</c:v>
                </c:pt>
                <c:pt idx="367">
                  <c:v>31.87914800287562</c:v>
                </c:pt>
                <c:pt idx="368">
                  <c:v>32.37553046618455</c:v>
                </c:pt>
                <c:pt idx="369">
                  <c:v>32.845233135445184</c:v>
                </c:pt>
                <c:pt idx="370">
                  <c:v>33.286432473384529</c:v>
                </c:pt>
                <c:pt idx="371">
                  <c:v>33.697458175637948</c:v>
                </c:pt>
                <c:pt idx="372">
                  <c:v>34.076806570726625</c:v>
                </c:pt>
                <c:pt idx="373">
                  <c:v>34.423152095716375</c:v>
                </c:pt>
                <c:pt idx="374">
                  <c:v>34.735356711153884</c:v>
                </c:pt>
                <c:pt idx="375">
                  <c:v>35.012477155482351</c:v>
                </c:pt>
                <c:pt idx="376">
                  <c:v>35.25376997700446</c:v>
                </c:pt>
                <c:pt idx="377">
                  <c:v>35.458694319673178</c:v>
                </c:pt>
                <c:pt idx="378">
                  <c:v>35.626912476672672</c:v>
                </c:pt>
                <c:pt idx="379">
                  <c:v>35.75828826205646</c:v>
                </c:pt>
                <c:pt idx="380">
                  <c:v>35.852883284859594</c:v>
                </c:pt>
                <c:pt idx="381">
                  <c:v>35.910951241424492</c:v>
                </c:pt>
                <c:pt idx="382">
                  <c:v>35.932930369584973</c:v>
                </c:pt>
                <c:pt idx="383">
                  <c:v>35.919434232377235</c:v>
                </c:pt>
                <c:pt idx="384">
                  <c:v>35.871241018750744</c:v>
                </c:pt>
                <c:pt idx="385">
                  <c:v>35.789281564107725</c:v>
                </c:pt>
                <c:pt idx="386">
                  <c:v>35.674626304316718</c:v>
                </c:pt>
                <c:pt idx="387">
                  <c:v>35.528471383133081</c:v>
                </c:pt>
                <c:pt idx="388">
                  <c:v>35.352124134849788</c:v>
                </c:pt>
                <c:pt idx="389">
                  <c:v>35.146988161720564</c:v>
                </c:pt>
                <c:pt idx="390">
                  <c:v>34.914548219537352</c:v>
                </c:pt>
                <c:pt idx="391">
                  <c:v>34.656355115103146</c:v>
                </c:pt>
                <c:pt idx="392">
                  <c:v>34.374010806631702</c:v>
                </c:pt>
                <c:pt idx="393">
                  <c:v>34.069153882810411</c:v>
                </c:pt>
                <c:pt idx="394">
                  <c:v>33.743445578869391</c:v>
                </c:pt>
                <c:pt idx="395">
                  <c:v>33.398556469019624</c:v>
                </c:pt>
                <c:pt idx="396">
                  <c:v>33.036153954547643</c:v>
                </c:pt>
                <c:pt idx="397">
                  <c:v>32.657890646180348</c:v>
                </c:pt>
                <c:pt idx="398">
                  <c:v>32.265393718513032</c:v>
                </c:pt>
                <c:pt idx="399">
                  <c:v>31.860255293750406</c:v>
                </c:pt>
                <c:pt idx="400">
                  <c:v>31.444023892135338</c:v>
                </c:pt>
                <c:pt idx="401">
                  <c:v>31.018196967557742</c:v>
                </c:pt>
                <c:pt idx="402">
                  <c:v>30.584214529240707</c:v>
                </c:pt>
                <c:pt idx="403">
                  <c:v>30.143453834315533</c:v>
                </c:pt>
                <c:pt idx="404">
                  <c:v>29.697225121705912</c:v>
                </c:pt>
                <c:pt idx="405">
                  <c:v>29.246768345167009</c:v>
                </c:pt>
                <c:pt idx="406">
                  <c:v>28.793250852640508</c:v>
                </c:pt>
                <c:pt idx="407">
                  <c:v>28.337765950319962</c:v>
                </c:pt>
                <c:pt idx="408">
                  <c:v>27.881332282959097</c:v>
                </c:pt>
                <c:pt idx="409">
                  <c:v>27.424893956934543</c:v>
                </c:pt>
                <c:pt idx="410">
                  <c:v>26.969321329316838</c:v>
                </c:pt>
                <c:pt idx="411">
                  <c:v>26.515412384578411</c:v>
                </c:pt>
                <c:pt idx="412">
                  <c:v>26.063894620446771</c:v>
                </c:pt>
                <c:pt idx="413">
                  <c:v>25.615427365628221</c:v>
                </c:pt>
                <c:pt idx="414">
                  <c:v>25.170604454518109</c:v>
                </c:pt>
                <c:pt idx="415">
                  <c:v>24.72995718740059</c:v>
                </c:pt>
                <c:pt idx="416">
                  <c:v>24.293957508844937</c:v>
                </c:pt>
                <c:pt idx="417">
                  <c:v>23.863021341854235</c:v>
                </c:pt>
                <c:pt idx="418">
                  <c:v>23.437512020644785</c:v>
                </c:pt>
                <c:pt idx="419">
                  <c:v>23.01774377057065</c:v>
                </c:pt>
                <c:pt idx="420">
                  <c:v>22.603985189514507</c:v>
                </c:pt>
                <c:pt idx="421">
                  <c:v>22.196462690903896</c:v>
                </c:pt>
                <c:pt idx="422">
                  <c:v>21.795363874270361</c:v>
                </c:pt>
                <c:pt idx="423">
                  <c:v>21.400840794840811</c:v>
                </c:pt>
                <c:pt idx="424">
                  <c:v>21.013013108957981</c:v>
                </c:pt>
                <c:pt idx="425">
                  <c:v>20.631971077095468</c:v>
                </c:pt>
                <c:pt idx="426">
                  <c:v>20.257778410820436</c:v>
                </c:pt>
                <c:pt idx="427">
                  <c:v>19.89047495421876</c:v>
                </c:pt>
                <c:pt idx="428">
                  <c:v>19.53007919401869</c:v>
                </c:pt>
                <c:pt idx="429">
                  <c:v>19.176590595917148</c:v>
                </c:pt>
                <c:pt idx="430">
                  <c:v>18.829991767432585</c:v>
                </c:pt>
                <c:pt idx="431">
                  <c:v>18.490250449989208</c:v>
                </c:pt>
                <c:pt idx="432">
                  <c:v>18.157321344902225</c:v>
                </c:pt>
                <c:pt idx="433">
                  <c:v>17.831147779506029</c:v>
                </c:pt>
                <c:pt idx="434">
                  <c:v>17.511663220879896</c:v>
                </c:pt>
                <c:pt idx="435">
                  <c:v>17.198792645512182</c:v>
                </c:pt>
                <c:pt idx="436">
                  <c:v>16.892453773839375</c:v>
                </c:pt>
                <c:pt idx="437">
                  <c:v>16.592558178938724</c:v>
                </c:pt>
                <c:pt idx="438">
                  <c:v>16.29901227877864</c:v>
                </c:pt>
                <c:pt idx="439">
                  <c:v>16.011718221373112</c:v>
                </c:pt>
                <c:pt idx="440">
                  <c:v>15.73057467198123</c:v>
                </c:pt>
                <c:pt idx="441">
                  <c:v>15.455477511168239</c:v>
                </c:pt>
                <c:pt idx="442">
                  <c:v>15.186320452130909</c:v>
                </c:pt>
                <c:pt idx="443">
                  <c:v>14.922995585211469</c:v>
                </c:pt>
                <c:pt idx="444">
                  <c:v>14.665393857001613</c:v>
                </c:pt>
                <c:pt idx="445">
                  <c:v>14.413405490893423</c:v>
                </c:pt>
                <c:pt idx="446">
                  <c:v>14.166920355378206</c:v>
                </c:pt>
                <c:pt idx="447">
                  <c:v>13.925828285846409</c:v>
                </c:pt>
                <c:pt idx="448">
                  <c:v>13.690019365104755</c:v>
                </c:pt>
                <c:pt idx="449">
                  <c:v>13.459384167316585</c:v>
                </c:pt>
                <c:pt idx="450">
                  <c:v>13.233813969586238</c:v>
                </c:pt>
                <c:pt idx="451">
                  <c:v>13.013200934957858</c:v>
                </c:pt>
                <c:pt idx="452">
                  <c:v>12.797438270181381</c:v>
                </c:pt>
                <c:pt idx="453">
                  <c:v>12.586420361218142</c:v>
                </c:pt>
                <c:pt idx="454">
                  <c:v>12.380042889111989</c:v>
                </c:pt>
                <c:pt idx="455">
                  <c:v>12.178202928541296</c:v>
                </c:pt>
                <c:pt idx="456">
                  <c:v>11.980799031088489</c:v>
                </c:pt>
                <c:pt idx="457">
                  <c:v>11.787731295017448</c:v>
                </c:pt>
                <c:pt idx="458">
                  <c:v>11.598901423130007</c:v>
                </c:pt>
                <c:pt idx="459">
                  <c:v>11.414212770081532</c:v>
                </c:pt>
                <c:pt idx="460">
                  <c:v>11.233570380366951</c:v>
                </c:pt>
                <c:pt idx="461">
                  <c:v>11.056881018042384</c:v>
                </c:pt>
                <c:pt idx="462">
                  <c:v>10.884053189119314</c:v>
                </c:pt>
                <c:pt idx="463">
                  <c:v>10.714997157457699</c:v>
                </c:pt>
                <c:pt idx="464">
                  <c:v>10.549624954888108</c:v>
                </c:pt>
                <c:pt idx="465">
                  <c:v>10.387850386209212</c:v>
                </c:pt>
                <c:pt idx="466">
                  <c:v>10.22958902963471</c:v>
                </c:pt>
                <c:pt idx="467">
                  <c:v>10.074758233200905</c:v>
                </c:pt>
                <c:pt idx="468">
                  <c:v>9.923277107591236</c:v>
                </c:pt>
                <c:pt idx="469">
                  <c:v>9.7750665157861683</c:v>
                </c:pt>
                <c:pt idx="470">
                  <c:v>9.6300490599054367</c:v>
                </c:pt>
                <c:pt idx="471">
                  <c:v>9.4881490655724292</c:v>
                </c:pt>
                <c:pt idx="472">
                  <c:v>9.3492925640982829</c:v>
                </c:pt>
                <c:pt idx="473">
                  <c:v>9.2134072727548748</c:v>
                </c:pt>
                <c:pt idx="474">
                  <c:v>9.0804225733796713</c:v>
                </c:pt>
                <c:pt idx="475">
                  <c:v>8.9502694895333601</c:v>
                </c:pt>
                <c:pt idx="476">
                  <c:v>8.8228806624100731</c:v>
                </c:pt>
                <c:pt idx="477">
                  <c:v>8.6981903256821287</c:v>
                </c:pt>
                <c:pt idx="478">
                  <c:v>8.5761342794439468</c:v>
                </c:pt>
                <c:pt idx="479">
                  <c:v>8.4566498634052749</c:v>
                </c:pt>
                <c:pt idx="480">
                  <c:v>8.339675929469605</c:v>
                </c:pt>
                <c:pt idx="481">
                  <c:v>8.225152813821353</c:v>
                </c:pt>
                <c:pt idx="482">
                  <c:v>8.1130223086337914</c:v>
                </c:pt>
                <c:pt idx="483">
                  <c:v>8.0032276334991739</c:v>
                </c:pt>
                <c:pt idx="484">
                  <c:v>7.8957134066730896</c:v>
                </c:pt>
                <c:pt idx="485">
                  <c:v>7.7904256162156118</c:v>
                </c:pt>
                <c:pt idx="486">
                  <c:v>7.6873115911046321</c:v>
                </c:pt>
                <c:pt idx="487">
                  <c:v>7.5863199723881154</c:v>
                </c:pt>
                <c:pt idx="488">
                  <c:v>7.487400684436313</c:v>
                </c:pt>
                <c:pt idx="489">
                  <c:v>7.3905049063476342</c:v>
                </c:pt>
                <c:pt idx="490">
                  <c:v>7.2955850435568239</c:v>
                </c:pt>
                <c:pt idx="491">
                  <c:v>7.2025946996883272</c:v>
                </c:pt>
                <c:pt idx="492">
                  <c:v>7.1114886486928386</c:v>
                </c:pt>
                <c:pt idx="493">
                  <c:v>7.0222228073008708</c:v>
                </c:pt>
                <c:pt idx="494">
                  <c:v>6.9347542078226061</c:v>
                </c:pt>
                <c:pt idx="495">
                  <c:v>6.8490409713199307</c:v>
                </c:pt>
                <c:pt idx="496">
                  <c:v>6.7650422811726729</c:v>
                </c:pt>
                <c:pt idx="497">
                  <c:v>6.6827183570583335</c:v>
                </c:pt>
                <c:pt idx="498">
                  <c:v>6.6020304293613501</c:v>
                </c:pt>
                <c:pt idx="499">
                  <c:v>6.5229407140256113</c:v>
                </c:pt>
                <c:pt idx="500">
                  <c:v>6.4454123878612046</c:v>
                </c:pt>
                <c:pt idx="501">
                  <c:v>6.3694095643145312</c:v>
                </c:pt>
                <c:pt idx="502">
                  <c:v>6.2948972697086498</c:v>
                </c:pt>
                <c:pt idx="503">
                  <c:v>6.2218414199591949</c:v>
                </c:pt>
                <c:pt idx="504">
                  <c:v>6.1502087977693156</c:v>
                </c:pt>
                <c:pt idx="505">
                  <c:v>6.0799670303057249</c:v>
                </c:pt>
                <c:pt idx="506">
                  <c:v>6.0110845673567859</c:v>
                </c:pt>
                <c:pt idx="507">
                  <c:v>5.9435306599720183</c:v>
                </c:pt>
                <c:pt idx="508">
                  <c:v>5.8772753395816553</c:v>
                </c:pt>
                <c:pt idx="509">
                  <c:v>5.8122893975937604</c:v>
                </c:pt>
                <c:pt idx="510">
                  <c:v>5.7485443654656363</c:v>
                </c:pt>
                <c:pt idx="511">
                  <c:v>5.6860124952454179</c:v>
                </c:pt>
                <c:pt idx="512">
                  <c:v>5.6246667405791166</c:v>
                </c:pt>
                <c:pt idx="513">
                  <c:v>5.5644807381778785</c:v>
                </c:pt>
                <c:pt idx="514">
                  <c:v>5.5054287897395087</c:v>
                </c:pt>
                <c:pt idx="515">
                  <c:v>5.4474858443180079</c:v>
                </c:pt>
                <c:pt idx="516">
                  <c:v>5.3906274811344872</c:v>
                </c:pt>
                <c:pt idx="517">
                  <c:v>5.3348298928224045</c:v>
                </c:pt>
                <c:pt idx="518">
                  <c:v>5.2800698690997718</c:v>
                </c:pt>
                <c:pt idx="519">
                  <c:v>5.2263247808609341</c:v>
                </c:pt>
                <c:pt idx="520">
                  <c:v>5.1735725646800894</c:v>
                </c:pt>
                <c:pt idx="521">
                  <c:v>5.1217917077186597</c:v>
                </c:pt>
                <c:pt idx="522">
                  <c:v>5.0709612330285969</c:v>
                </c:pt>
                <c:pt idx="523">
                  <c:v>5.0210606852434463</c:v>
                </c:pt>
                <c:pt idx="524">
                  <c:v>4.9720701166490695</c:v>
                </c:pt>
                <c:pt idx="525">
                  <c:v>4.9239700736257888</c:v>
                </c:pt>
                <c:pt idx="526">
                  <c:v>4.8767415834537875</c:v>
                </c:pt>
                <c:pt idx="527">
                  <c:v>4.8303661414735926</c:v>
                </c:pt>
                <c:pt idx="528">
                  <c:v>4.7848256985933828</c:v>
                </c:pt>
                <c:pt idx="529">
                  <c:v>4.740102649135129</c:v>
                </c:pt>
                <c:pt idx="530">
                  <c:v>4.6961798190114132</c:v>
                </c:pt>
                <c:pt idx="531">
                  <c:v>4.6530404542249313</c:v>
                </c:pt>
                <c:pt idx="532">
                  <c:v>4.6106682096828617</c:v>
                </c:pt>
                <c:pt idx="533">
                  <c:v>4.5690471383181608</c:v>
                </c:pt>
                <c:pt idx="534">
                  <c:v>4.5281616805101867</c:v>
                </c:pt>
                <c:pt idx="535">
                  <c:v>4.4879966537969675</c:v>
                </c:pt>
                <c:pt idx="536">
                  <c:v>4.4485372428716685</c:v>
                </c:pt>
                <c:pt idx="537">
                  <c:v>4.4097689898558867</c:v>
                </c:pt>
                <c:pt idx="538">
                  <c:v>4.371677784842511</c:v>
                </c:pt>
                <c:pt idx="539">
                  <c:v>4.3342498567011223</c:v>
                </c:pt>
                <c:pt idx="540">
                  <c:v>4.297471764138824</c:v>
                </c:pt>
                <c:pt idx="541">
                  <c:v>4.261330387009818</c:v>
                </c:pt>
                <c:pt idx="542">
                  <c:v>4.2258129178669224</c:v>
                </c:pt>
                <c:pt idx="543">
                  <c:v>4.1909068537485332</c:v>
                </c:pt>
                <c:pt idx="544">
                  <c:v>4.1565999881945714</c:v>
                </c:pt>
                <c:pt idx="545">
                  <c:v>4.1228804034852091</c:v>
                </c:pt>
                <c:pt idx="546">
                  <c:v>4.0897364630961581</c:v>
                </c:pt>
                <c:pt idx="547">
                  <c:v>4.057156804364598</c:v>
                </c:pt>
                <c:pt idx="548">
                  <c:v>4.0251303313598852</c:v>
                </c:pt>
                <c:pt idx="549">
                  <c:v>3.9936462079532906</c:v>
                </c:pt>
                <c:pt idx="550">
                  <c:v>3.9626938510812475</c:v>
                </c:pt>
                <c:pt idx="551">
                  <c:v>3.9322629241966736</c:v>
                </c:pt>
                <c:pt idx="552">
                  <c:v>3.9023433309030282</c:v>
                </c:pt>
                <c:pt idx="553">
                  <c:v>3.8729252087660031</c:v>
                </c:pt>
                <c:pt idx="554">
                  <c:v>3.8439989232977649</c:v>
                </c:pt>
                <c:pt idx="555">
                  <c:v>3.8155550621088903</c:v>
                </c:pt>
                <c:pt idx="556">
                  <c:v>3.7875844292232328</c:v>
                </c:pt>
                <c:pt idx="557">
                  <c:v>3.7600780395510047</c:v>
                </c:pt>
                <c:pt idx="558">
                  <c:v>3.7330271135156754</c:v>
                </c:pt>
                <c:pt idx="559">
                  <c:v>3.7064230718301778</c:v>
                </c:pt>
                <c:pt idx="560">
                  <c:v>3.6802575304182192</c:v>
                </c:pt>
                <c:pt idx="561">
                  <c:v>3.6545222954765046</c:v>
                </c:pt>
                <c:pt idx="562">
                  <c:v>3.6292093586738523</c:v>
                </c:pt>
                <c:pt idx="563">
                  <c:v>3.6043108924832139</c:v>
                </c:pt>
                <c:pt idx="564">
                  <c:v>3.579819245642879</c:v>
                </c:pt>
                <c:pt idx="565">
                  <c:v>3.5557269387430379</c:v>
                </c:pt>
                <c:pt idx="566">
                  <c:v>3.5320266599341448</c:v>
                </c:pt>
                <c:pt idx="567">
                  <c:v>3.5087112607536217</c:v>
                </c:pt>
                <c:pt idx="568">
                  <c:v>3.4857737520673724</c:v>
                </c:pt>
                <c:pt idx="569">
                  <c:v>3.4632073001229324</c:v>
                </c:pt>
                <c:pt idx="570">
                  <c:v>3.4410052227109276</c:v>
                </c:pt>
                <c:pt idx="571">
                  <c:v>3.419160985431803</c:v>
                </c:pt>
                <c:pt idx="572">
                  <c:v>3.3976681980647361</c:v>
                </c:pt>
                <c:pt idx="573">
                  <c:v>3.3765206110357924</c:v>
                </c:pt>
                <c:pt idx="574">
                  <c:v>3.3557121119825228</c:v>
                </c:pt>
                <c:pt idx="575">
                  <c:v>3.335236722412136</c:v>
                </c:pt>
                <c:pt idx="576">
                  <c:v>3.3150885944506365</c:v>
                </c:pt>
                <c:pt idx="577">
                  <c:v>3.2952620076802428</c:v>
                </c:pt>
                <c:pt idx="578">
                  <c:v>3.2757513660626092</c:v>
                </c:pt>
                <c:pt idx="579">
                  <c:v>3.2565511949453358</c:v>
                </c:pt>
                <c:pt idx="580">
                  <c:v>3.2376561381494127</c:v>
                </c:pt>
                <c:pt idx="581">
                  <c:v>3.2190609551352387</c:v>
                </c:pt>
                <c:pt idx="582">
                  <c:v>3.2007605182450227</c:v>
                </c:pt>
                <c:pt idx="583">
                  <c:v>3.182749810019303</c:v>
                </c:pt>
                <c:pt idx="584">
                  <c:v>3.1650239205855297</c:v>
                </c:pt>
                <c:pt idx="585">
                  <c:v>3.1475780451166222</c:v>
                </c:pt>
                <c:pt idx="586">
                  <c:v>3.1304074813575076</c:v>
                </c:pt>
                <c:pt idx="587">
                  <c:v>3.1135076272177082</c:v>
                </c:pt>
                <c:pt idx="588">
                  <c:v>3.0968739784280852</c:v>
                </c:pt>
                <c:pt idx="589">
                  <c:v>3.0805021262599404</c:v>
                </c:pt>
                <c:pt idx="590">
                  <c:v>3.0643877553046703</c:v>
                </c:pt>
                <c:pt idx="591">
                  <c:v>3.0485266413122929</c:v>
                </c:pt>
                <c:pt idx="592">
                  <c:v>3.0329146490871417</c:v>
                </c:pt>
                <c:pt idx="593">
                  <c:v>3.017547730439166</c:v>
                </c:pt>
                <c:pt idx="594">
                  <c:v>3.002421922189189</c:v>
                </c:pt>
                <c:pt idx="595">
                  <c:v>2.9875333442266925</c:v>
                </c:pt>
                <c:pt idx="596">
                  <c:v>2.9728781976185794</c:v>
                </c:pt>
                <c:pt idx="597">
                  <c:v>2.9584527627675312</c:v>
                </c:pt>
                <c:pt idx="598">
                  <c:v>2.9442533976185303</c:v>
                </c:pt>
                <c:pt idx="599">
                  <c:v>2.9302765359122382</c:v>
                </c:pt>
                <c:pt idx="600">
                  <c:v>2.9165186854839007</c:v>
                </c:pt>
                <c:pt idx="601">
                  <c:v>2.9029764266064992</c:v>
                </c:pt>
                <c:pt idx="602">
                  <c:v>2.8896464103769612</c:v>
                </c:pt>
                <c:pt idx="603">
                  <c:v>2.8765253571441693</c:v>
                </c:pt>
                <c:pt idx="604">
                  <c:v>2.8636100549776962</c:v>
                </c:pt>
                <c:pt idx="605">
                  <c:v>2.8508973581760375</c:v>
                </c:pt>
                <c:pt idx="606">
                  <c:v>2.8383841858133625</c:v>
                </c:pt>
                <c:pt idx="607">
                  <c:v>2.8260675203236252</c:v>
                </c:pt>
                <c:pt idx="608">
                  <c:v>2.8139444061210783</c:v>
                </c:pt>
                <c:pt idx="609">
                  <c:v>2.8020119482561645</c:v>
                </c:pt>
                <c:pt idx="610">
                  <c:v>2.7902673111058136</c:v>
                </c:pt>
                <c:pt idx="611">
                  <c:v>2.778707717097233</c:v>
                </c:pt>
                <c:pt idx="612">
                  <c:v>2.767330445464244</c:v>
                </c:pt>
                <c:pt idx="613">
                  <c:v>2.7561328310353188</c:v>
                </c:pt>
                <c:pt idx="614">
                  <c:v>2.7451122630524343</c:v>
                </c:pt>
                <c:pt idx="615">
                  <c:v>2.7342661840199303</c:v>
                </c:pt>
                <c:pt idx="616">
                  <c:v>2.7235920885825369</c:v>
                </c:pt>
                <c:pt idx="617">
                  <c:v>2.7130875224318309</c:v>
                </c:pt>
                <c:pt idx="618">
                  <c:v>2.7027500812403153</c:v>
                </c:pt>
                <c:pt idx="619">
                  <c:v>2.6925774096224186</c:v>
                </c:pt>
                <c:pt idx="620">
                  <c:v>2.6825672001216785</c:v>
                </c:pt>
                <c:pt idx="621">
                  <c:v>2.6727171922234207</c:v>
                </c:pt>
                <c:pt idx="622">
                  <c:v>2.6630251713922695</c:v>
                </c:pt>
                <c:pt idx="623">
                  <c:v>2.6534889681338067</c:v>
                </c:pt>
                <c:pt idx="624">
                  <c:v>2.6441064570797912</c:v>
                </c:pt>
                <c:pt idx="625">
                  <c:v>2.6348755560962585</c:v>
                </c:pt>
                <c:pt idx="626">
                  <c:v>2.6257942254139714</c:v>
                </c:pt>
                <c:pt idx="627">
                  <c:v>2.6168604667805795</c:v>
                </c:pt>
                <c:pt idx="628">
                  <c:v>2.6080723226339702</c:v>
                </c:pt>
                <c:pt idx="629">
                  <c:v>2.5994278752962376</c:v>
                </c:pt>
                <c:pt idx="630">
                  <c:v>2.5909252461877403</c:v>
                </c:pt>
                <c:pt idx="631">
                  <c:v>2.5825625950607507</c:v>
                </c:pt>
                <c:pt idx="632">
                  <c:v>2.5743381192521637</c:v>
                </c:pt>
                <c:pt idx="633">
                  <c:v>2.5662500529548127</c:v>
                </c:pt>
                <c:pt idx="634">
                  <c:v>2.558296666506902</c:v>
                </c:pt>
                <c:pt idx="635">
                  <c:v>2.5504762656990905</c:v>
                </c:pt>
                <c:pt idx="636">
                  <c:v>2.5427871910988045</c:v>
                </c:pt>
                <c:pt idx="637">
                  <c:v>2.5352278173913376</c:v>
                </c:pt>
                <c:pt idx="638">
                  <c:v>2.5277965527373016</c:v>
                </c:pt>
                <c:pt idx="639">
                  <c:v>2.520491838146055</c:v>
                </c:pt>
                <c:pt idx="640">
                  <c:v>2.5133121468646773</c:v>
                </c:pt>
                <c:pt idx="641">
                  <c:v>2.5062559837821485</c:v>
                </c:pt>
                <c:pt idx="642">
                  <c:v>2.4993218848483165</c:v>
                </c:pt>
                <c:pt idx="643">
                  <c:v>2.4925084165073166</c:v>
                </c:pt>
                <c:pt idx="644">
                  <c:v>2.4858141751450957</c:v>
                </c:pt>
                <c:pt idx="645">
                  <c:v>2.4792377865506845</c:v>
                </c:pt>
                <c:pt idx="646">
                  <c:v>2.4727779053908971</c:v>
                </c:pt>
                <c:pt idx="647">
                  <c:v>2.4664332146981347</c:v>
                </c:pt>
                <c:pt idx="648">
                  <c:v>2.4602024253709773</c:v>
                </c:pt>
                <c:pt idx="649">
                  <c:v>2.4540842756872756</c:v>
                </c:pt>
                <c:pt idx="650">
                  <c:v>2.4480775308294218</c:v>
                </c:pt>
                <c:pt idx="651">
                  <c:v>2.4421809824215504</c:v>
                </c:pt>
                <c:pt idx="652">
                  <c:v>2.4363934480783525</c:v>
                </c:pt>
                <c:pt idx="653">
                  <c:v>2.4307137709652697</c:v>
                </c:pt>
                <c:pt idx="654">
                  <c:v>2.4251408193697874</c:v>
                </c:pt>
                <c:pt idx="655">
                  <c:v>2.4196734862835663</c:v>
                </c:pt>
                <c:pt idx="656">
                  <c:v>2.4143106889952031</c:v>
                </c:pt>
                <c:pt idx="657">
                  <c:v>2.4090513686933317</c:v>
                </c:pt>
                <c:pt idx="658">
                  <c:v>2.4038944900798715</c:v>
                </c:pt>
                <c:pt idx="659">
                  <c:v>2.3988390409931837</c:v>
                </c:pt>
                <c:pt idx="660">
                  <c:v>2.393884032040912</c:v>
                </c:pt>
                <c:pt idx="661">
                  <c:v>2.3890284962423154</c:v>
                </c:pt>
                <c:pt idx="662">
                  <c:v>2.3842714886798566</c:v>
                </c:pt>
                <c:pt idx="663">
                  <c:v>2.3796120861598853</c:v>
                </c:pt>
                <c:pt idx="664">
                  <c:v>2.3750493868821754</c:v>
                </c:pt>
                <c:pt idx="665">
                  <c:v>2.370582510118191</c:v>
                </c:pt>
                <c:pt idx="666">
                  <c:v>2.3662105958978281</c:v>
                </c:pt>
                <c:pt idx="667">
                  <c:v>2.3619328047045172</c:v>
                </c:pt>
                <c:pt idx="668">
                  <c:v>2.3577483171784692</c:v>
                </c:pt>
                <c:pt idx="669">
                  <c:v>2.3536563338279382</c:v>
                </c:pt>
                <c:pt idx="670">
                  <c:v>2.3496560747483053</c:v>
                </c:pt>
                <c:pt idx="671">
                  <c:v>2.3457467793488496</c:v>
                </c:pt>
                <c:pt idx="672">
                  <c:v>2.3419277060870516</c:v>
                </c:pt>
                <c:pt idx="673">
                  <c:v>2.338198132210263</c:v>
                </c:pt>
                <c:pt idx="674">
                  <c:v>2.334557353504648</c:v>
                </c:pt>
                <c:pt idx="675">
                  <c:v>2.3310046840511922</c:v>
                </c:pt>
                <c:pt idx="676">
                  <c:v>2.3275394559887088</c:v>
                </c:pt>
                <c:pt idx="677">
                  <c:v>2.3241610192836681</c:v>
                </c:pt>
                <c:pt idx="678">
                  <c:v>2.3208687415067555</c:v>
                </c:pt>
                <c:pt idx="679">
                  <c:v>2.3176620076160206</c:v>
                </c:pt>
                <c:pt idx="680">
                  <c:v>2.3145402197464988</c:v>
                </c:pt>
                <c:pt idx="681">
                  <c:v>2.3115027970062032</c:v>
                </c:pt>
                <c:pt idx="682">
                  <c:v>2.3085491752783827</c:v>
                </c:pt>
                <c:pt idx="683">
                  <c:v>2.3056788070299068</c:v>
                </c:pt>
                <c:pt idx="684">
                  <c:v>2.3028911611257192</c:v>
                </c:pt>
                <c:pt idx="685">
                  <c:v>2.3001857226492395</c:v>
                </c:pt>
                <c:pt idx="686">
                  <c:v>2.2975619927286051</c:v>
                </c:pt>
                <c:pt idx="687">
                  <c:v>2.2950194883686912</c:v>
                </c:pt>
                <c:pt idx="688">
                  <c:v>2.2925577422887966</c:v>
                </c:pt>
                <c:pt idx="689">
                  <c:v>2.290176302765929</c:v>
                </c:pt>
                <c:pt idx="690">
                  <c:v>2.2878747334835783</c:v>
                </c:pt>
                <c:pt idx="691">
                  <c:v>2.2856526133859378</c:v>
                </c:pt>
                <c:pt idx="692">
                  <c:v>2.2835095365374714</c:v>
                </c:pt>
                <c:pt idx="693">
                  <c:v>2.2814451119877477</c:v>
                </c:pt>
                <c:pt idx="694">
                  <c:v>2.2794589636415004</c:v>
                </c:pt>
                <c:pt idx="695">
                  <c:v>2.2775507301338189</c:v>
                </c:pt>
                <c:pt idx="696">
                  <c:v>2.2757200647104185</c:v>
                </c:pt>
                <c:pt idx="697">
                  <c:v>2.2739666351129268</c:v>
                </c:pt>
                <c:pt idx="698">
                  <c:v>2.2722901234691273</c:v>
                </c:pt>
                <c:pt idx="699">
                  <c:v>2.2706902261880932</c:v>
                </c:pt>
                <c:pt idx="700">
                  <c:v>2.269166653860184</c:v>
                </c:pt>
                <c:pt idx="701">
                  <c:v>2.2677191311618206</c:v>
                </c:pt>
                <c:pt idx="702">
                  <c:v>2.2663473967650121</c:v>
                </c:pt>
                <c:pt idx="703">
                  <c:v>2.2650512032515868</c:v>
                </c:pt>
                <c:pt idx="704">
                  <c:v>2.2638303170320748</c:v>
                </c:pt>
                <c:pt idx="705">
                  <c:v>2.2626845182692006</c:v>
                </c:pt>
                <c:pt idx="706">
                  <c:v>2.2616136008059624</c:v>
                </c:pt>
                <c:pt idx="707">
                  <c:v>2.2606173720982423</c:v>
                </c:pt>
                <c:pt idx="708">
                  <c:v>2.259695653151927</c:v>
                </c:pt>
                <c:pt idx="709">
                  <c:v>2.2588482784644963</c:v>
                </c:pt>
                <c:pt idx="710">
                  <c:v>2.2580750959710616</c:v>
                </c:pt>
                <c:pt idx="711">
                  <c:v>2.2573759669948137</c:v>
                </c:pt>
                <c:pt idx="712">
                  <c:v>2.256750766201872</c:v>
                </c:pt>
                <c:pt idx="713">
                  <c:v>2.2561993815604953</c:v>
                </c:pt>
                <c:pt idx="714">
                  <c:v>2.255721714304638</c:v>
                </c:pt>
                <c:pt idx="715">
                  <c:v>2.2553176789018488</c:v>
                </c:pt>
                <c:pt idx="716">
                  <c:v>2.2549872030254687</c:v>
                </c:pt>
                <c:pt idx="717">
                  <c:v>2.2547302275311387</c:v>
                </c:pt>
                <c:pt idx="718">
                  <c:v>2.2545467064375924</c:v>
                </c:pt>
                <c:pt idx="719">
                  <c:v>2.2544366069117223</c:v>
                </c:pt>
                <c:pt idx="720">
                  <c:v>2.2543999092579297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F9-4F43-88F9-DF9CE0C1BFD8}"/>
            </c:ext>
          </c:extLst>
        </c:ser>
        <c:ser>
          <c:idx val="1"/>
          <c:order val="1"/>
          <c:tx>
            <c:v>2 Desarrollo irregular</c:v>
          </c:tx>
          <c:spPr>
            <a:ln w="18000">
              <a:solidFill>
                <a:srgbClr val="1F5F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Presion_cilindro!$N$4:$N$724</c:f>
              <c:numCache>
                <c:formatCode>0.0</c:formatCode>
                <c:ptCount val="721"/>
                <c:pt idx="0">
                  <c:v>-180</c:v>
                </c:pt>
                <c:pt idx="1">
                  <c:v>-179.5</c:v>
                </c:pt>
                <c:pt idx="2">
                  <c:v>-179</c:v>
                </c:pt>
                <c:pt idx="3">
                  <c:v>-178.5</c:v>
                </c:pt>
                <c:pt idx="4">
                  <c:v>-178</c:v>
                </c:pt>
                <c:pt idx="5">
                  <c:v>-177.5</c:v>
                </c:pt>
                <c:pt idx="6">
                  <c:v>-177</c:v>
                </c:pt>
                <c:pt idx="7">
                  <c:v>-176.5</c:v>
                </c:pt>
                <c:pt idx="8">
                  <c:v>-176</c:v>
                </c:pt>
                <c:pt idx="9">
                  <c:v>-175.5</c:v>
                </c:pt>
                <c:pt idx="10">
                  <c:v>-175</c:v>
                </c:pt>
                <c:pt idx="11">
                  <c:v>-174.5</c:v>
                </c:pt>
                <c:pt idx="12">
                  <c:v>-174</c:v>
                </c:pt>
                <c:pt idx="13">
                  <c:v>-173.5</c:v>
                </c:pt>
                <c:pt idx="14">
                  <c:v>-173</c:v>
                </c:pt>
                <c:pt idx="15">
                  <c:v>-172.5</c:v>
                </c:pt>
                <c:pt idx="16">
                  <c:v>-172</c:v>
                </c:pt>
                <c:pt idx="17">
                  <c:v>-171.5</c:v>
                </c:pt>
                <c:pt idx="18">
                  <c:v>-171</c:v>
                </c:pt>
                <c:pt idx="19">
                  <c:v>-170.5</c:v>
                </c:pt>
                <c:pt idx="20">
                  <c:v>-170</c:v>
                </c:pt>
                <c:pt idx="21">
                  <c:v>-169.5</c:v>
                </c:pt>
                <c:pt idx="22">
                  <c:v>-169</c:v>
                </c:pt>
                <c:pt idx="23">
                  <c:v>-168.5</c:v>
                </c:pt>
                <c:pt idx="24">
                  <c:v>-168</c:v>
                </c:pt>
                <c:pt idx="25">
                  <c:v>-167.5</c:v>
                </c:pt>
                <c:pt idx="26">
                  <c:v>-167</c:v>
                </c:pt>
                <c:pt idx="27">
                  <c:v>-166.5</c:v>
                </c:pt>
                <c:pt idx="28">
                  <c:v>-166</c:v>
                </c:pt>
                <c:pt idx="29">
                  <c:v>-165.5</c:v>
                </c:pt>
                <c:pt idx="30">
                  <c:v>-165</c:v>
                </c:pt>
                <c:pt idx="31">
                  <c:v>-164.5</c:v>
                </c:pt>
                <c:pt idx="32">
                  <c:v>-164</c:v>
                </c:pt>
                <c:pt idx="33">
                  <c:v>-163.5</c:v>
                </c:pt>
                <c:pt idx="34">
                  <c:v>-163</c:v>
                </c:pt>
                <c:pt idx="35">
                  <c:v>-162.5</c:v>
                </c:pt>
                <c:pt idx="36">
                  <c:v>-162</c:v>
                </c:pt>
                <c:pt idx="37">
                  <c:v>-161.5</c:v>
                </c:pt>
                <c:pt idx="38">
                  <c:v>-161</c:v>
                </c:pt>
                <c:pt idx="39">
                  <c:v>-160.5</c:v>
                </c:pt>
                <c:pt idx="40">
                  <c:v>-160</c:v>
                </c:pt>
                <c:pt idx="41">
                  <c:v>-159.5</c:v>
                </c:pt>
                <c:pt idx="42">
                  <c:v>-159</c:v>
                </c:pt>
                <c:pt idx="43">
                  <c:v>-158.5</c:v>
                </c:pt>
                <c:pt idx="44">
                  <c:v>-158</c:v>
                </c:pt>
                <c:pt idx="45">
                  <c:v>-157.5</c:v>
                </c:pt>
                <c:pt idx="46">
                  <c:v>-157</c:v>
                </c:pt>
                <c:pt idx="47">
                  <c:v>-156.5</c:v>
                </c:pt>
                <c:pt idx="48">
                  <c:v>-156</c:v>
                </c:pt>
                <c:pt idx="49">
                  <c:v>-155.5</c:v>
                </c:pt>
                <c:pt idx="50">
                  <c:v>-155</c:v>
                </c:pt>
                <c:pt idx="51">
                  <c:v>-154.5</c:v>
                </c:pt>
                <c:pt idx="52">
                  <c:v>-154</c:v>
                </c:pt>
                <c:pt idx="53">
                  <c:v>-153.5</c:v>
                </c:pt>
                <c:pt idx="54">
                  <c:v>-153</c:v>
                </c:pt>
                <c:pt idx="55">
                  <c:v>-152.5</c:v>
                </c:pt>
                <c:pt idx="56">
                  <c:v>-152</c:v>
                </c:pt>
                <c:pt idx="57">
                  <c:v>-151.5</c:v>
                </c:pt>
                <c:pt idx="58">
                  <c:v>-151</c:v>
                </c:pt>
                <c:pt idx="59">
                  <c:v>-150.5</c:v>
                </c:pt>
                <c:pt idx="60">
                  <c:v>-150</c:v>
                </c:pt>
                <c:pt idx="61">
                  <c:v>-149.5</c:v>
                </c:pt>
                <c:pt idx="62">
                  <c:v>-149</c:v>
                </c:pt>
                <c:pt idx="63">
                  <c:v>-148.5</c:v>
                </c:pt>
                <c:pt idx="64">
                  <c:v>-148</c:v>
                </c:pt>
                <c:pt idx="65">
                  <c:v>-147.5</c:v>
                </c:pt>
                <c:pt idx="66">
                  <c:v>-147</c:v>
                </c:pt>
                <c:pt idx="67">
                  <c:v>-146.5</c:v>
                </c:pt>
                <c:pt idx="68">
                  <c:v>-146</c:v>
                </c:pt>
                <c:pt idx="69">
                  <c:v>-145.5</c:v>
                </c:pt>
                <c:pt idx="70">
                  <c:v>-145</c:v>
                </c:pt>
                <c:pt idx="71">
                  <c:v>-144.5</c:v>
                </c:pt>
                <c:pt idx="72">
                  <c:v>-144</c:v>
                </c:pt>
                <c:pt idx="73">
                  <c:v>-143.5</c:v>
                </c:pt>
                <c:pt idx="74">
                  <c:v>-143</c:v>
                </c:pt>
                <c:pt idx="75">
                  <c:v>-142.5</c:v>
                </c:pt>
                <c:pt idx="76">
                  <c:v>-142</c:v>
                </c:pt>
                <c:pt idx="77">
                  <c:v>-141.5</c:v>
                </c:pt>
                <c:pt idx="78">
                  <c:v>-141</c:v>
                </c:pt>
                <c:pt idx="79">
                  <c:v>-140.5</c:v>
                </c:pt>
                <c:pt idx="80">
                  <c:v>-140</c:v>
                </c:pt>
                <c:pt idx="81">
                  <c:v>-139.5</c:v>
                </c:pt>
                <c:pt idx="82">
                  <c:v>-139</c:v>
                </c:pt>
                <c:pt idx="83">
                  <c:v>-138.5</c:v>
                </c:pt>
                <c:pt idx="84">
                  <c:v>-138</c:v>
                </c:pt>
                <c:pt idx="85">
                  <c:v>-137.5</c:v>
                </c:pt>
                <c:pt idx="86">
                  <c:v>-137</c:v>
                </c:pt>
                <c:pt idx="87">
                  <c:v>-136.5</c:v>
                </c:pt>
                <c:pt idx="88">
                  <c:v>-136</c:v>
                </c:pt>
                <c:pt idx="89">
                  <c:v>-135.5</c:v>
                </c:pt>
                <c:pt idx="90">
                  <c:v>-135</c:v>
                </c:pt>
                <c:pt idx="91">
                  <c:v>-134.5</c:v>
                </c:pt>
                <c:pt idx="92">
                  <c:v>-134</c:v>
                </c:pt>
                <c:pt idx="93">
                  <c:v>-133.5</c:v>
                </c:pt>
                <c:pt idx="94">
                  <c:v>-133</c:v>
                </c:pt>
                <c:pt idx="95">
                  <c:v>-132.5</c:v>
                </c:pt>
                <c:pt idx="96">
                  <c:v>-132</c:v>
                </c:pt>
                <c:pt idx="97">
                  <c:v>-131.5</c:v>
                </c:pt>
                <c:pt idx="98">
                  <c:v>-131</c:v>
                </c:pt>
                <c:pt idx="99">
                  <c:v>-130.5</c:v>
                </c:pt>
                <c:pt idx="100">
                  <c:v>-130</c:v>
                </c:pt>
                <c:pt idx="101">
                  <c:v>-129.5</c:v>
                </c:pt>
                <c:pt idx="102">
                  <c:v>-129</c:v>
                </c:pt>
                <c:pt idx="103">
                  <c:v>-128.5</c:v>
                </c:pt>
                <c:pt idx="104">
                  <c:v>-128</c:v>
                </c:pt>
                <c:pt idx="105">
                  <c:v>-127.5</c:v>
                </c:pt>
                <c:pt idx="106">
                  <c:v>-127</c:v>
                </c:pt>
                <c:pt idx="107">
                  <c:v>-126.5</c:v>
                </c:pt>
                <c:pt idx="108">
                  <c:v>-126</c:v>
                </c:pt>
                <c:pt idx="109">
                  <c:v>-125.5</c:v>
                </c:pt>
                <c:pt idx="110">
                  <c:v>-125</c:v>
                </c:pt>
                <c:pt idx="111">
                  <c:v>-124.5</c:v>
                </c:pt>
                <c:pt idx="112">
                  <c:v>-124</c:v>
                </c:pt>
                <c:pt idx="113">
                  <c:v>-123.5</c:v>
                </c:pt>
                <c:pt idx="114">
                  <c:v>-123</c:v>
                </c:pt>
                <c:pt idx="115">
                  <c:v>-122.5</c:v>
                </c:pt>
                <c:pt idx="116">
                  <c:v>-122</c:v>
                </c:pt>
                <c:pt idx="117">
                  <c:v>-121.5</c:v>
                </c:pt>
                <c:pt idx="118">
                  <c:v>-121</c:v>
                </c:pt>
                <c:pt idx="119">
                  <c:v>-120.5</c:v>
                </c:pt>
                <c:pt idx="120">
                  <c:v>-120</c:v>
                </c:pt>
                <c:pt idx="121">
                  <c:v>-119.5</c:v>
                </c:pt>
                <c:pt idx="122">
                  <c:v>-119</c:v>
                </c:pt>
                <c:pt idx="123">
                  <c:v>-118.5</c:v>
                </c:pt>
                <c:pt idx="124">
                  <c:v>-118</c:v>
                </c:pt>
                <c:pt idx="125">
                  <c:v>-117.5</c:v>
                </c:pt>
                <c:pt idx="126">
                  <c:v>-117</c:v>
                </c:pt>
                <c:pt idx="127">
                  <c:v>-116.5</c:v>
                </c:pt>
                <c:pt idx="128">
                  <c:v>-116</c:v>
                </c:pt>
                <c:pt idx="129">
                  <c:v>-115.5</c:v>
                </c:pt>
                <c:pt idx="130">
                  <c:v>-115</c:v>
                </c:pt>
                <c:pt idx="131">
                  <c:v>-114.5</c:v>
                </c:pt>
                <c:pt idx="132">
                  <c:v>-114</c:v>
                </c:pt>
                <c:pt idx="133">
                  <c:v>-113.5</c:v>
                </c:pt>
                <c:pt idx="134">
                  <c:v>-113</c:v>
                </c:pt>
                <c:pt idx="135">
                  <c:v>-112.5</c:v>
                </c:pt>
                <c:pt idx="136">
                  <c:v>-112</c:v>
                </c:pt>
                <c:pt idx="137">
                  <c:v>-111.5</c:v>
                </c:pt>
                <c:pt idx="138">
                  <c:v>-111</c:v>
                </c:pt>
                <c:pt idx="139">
                  <c:v>-110.5</c:v>
                </c:pt>
                <c:pt idx="140">
                  <c:v>-110</c:v>
                </c:pt>
                <c:pt idx="141">
                  <c:v>-109.5</c:v>
                </c:pt>
                <c:pt idx="142">
                  <c:v>-109</c:v>
                </c:pt>
                <c:pt idx="143">
                  <c:v>-108.5</c:v>
                </c:pt>
                <c:pt idx="144">
                  <c:v>-108</c:v>
                </c:pt>
                <c:pt idx="145">
                  <c:v>-107.5</c:v>
                </c:pt>
                <c:pt idx="146">
                  <c:v>-107</c:v>
                </c:pt>
                <c:pt idx="147">
                  <c:v>-106.5</c:v>
                </c:pt>
                <c:pt idx="148">
                  <c:v>-106</c:v>
                </c:pt>
                <c:pt idx="149">
                  <c:v>-105.5</c:v>
                </c:pt>
                <c:pt idx="150">
                  <c:v>-105</c:v>
                </c:pt>
                <c:pt idx="151">
                  <c:v>-104.5</c:v>
                </c:pt>
                <c:pt idx="152">
                  <c:v>-104</c:v>
                </c:pt>
                <c:pt idx="153">
                  <c:v>-103.5</c:v>
                </c:pt>
                <c:pt idx="154">
                  <c:v>-103</c:v>
                </c:pt>
                <c:pt idx="155">
                  <c:v>-102.5</c:v>
                </c:pt>
                <c:pt idx="156">
                  <c:v>-102</c:v>
                </c:pt>
                <c:pt idx="157">
                  <c:v>-101.5</c:v>
                </c:pt>
                <c:pt idx="158">
                  <c:v>-101</c:v>
                </c:pt>
                <c:pt idx="159">
                  <c:v>-100.5</c:v>
                </c:pt>
                <c:pt idx="160">
                  <c:v>-100</c:v>
                </c:pt>
                <c:pt idx="161">
                  <c:v>-99.5</c:v>
                </c:pt>
                <c:pt idx="162">
                  <c:v>-99</c:v>
                </c:pt>
                <c:pt idx="163">
                  <c:v>-98.5</c:v>
                </c:pt>
                <c:pt idx="164">
                  <c:v>-98</c:v>
                </c:pt>
                <c:pt idx="165">
                  <c:v>-97.5</c:v>
                </c:pt>
                <c:pt idx="166">
                  <c:v>-97</c:v>
                </c:pt>
                <c:pt idx="167">
                  <c:v>-96.5</c:v>
                </c:pt>
                <c:pt idx="168">
                  <c:v>-96</c:v>
                </c:pt>
                <c:pt idx="169">
                  <c:v>-95.5</c:v>
                </c:pt>
                <c:pt idx="170">
                  <c:v>-95</c:v>
                </c:pt>
                <c:pt idx="171">
                  <c:v>-94.5</c:v>
                </c:pt>
                <c:pt idx="172">
                  <c:v>-94</c:v>
                </c:pt>
                <c:pt idx="173">
                  <c:v>-93.5</c:v>
                </c:pt>
                <c:pt idx="174">
                  <c:v>-93</c:v>
                </c:pt>
                <c:pt idx="175">
                  <c:v>-92.5</c:v>
                </c:pt>
                <c:pt idx="176">
                  <c:v>-92</c:v>
                </c:pt>
                <c:pt idx="177">
                  <c:v>-91.5</c:v>
                </c:pt>
                <c:pt idx="178">
                  <c:v>-91</c:v>
                </c:pt>
                <c:pt idx="179">
                  <c:v>-90.5</c:v>
                </c:pt>
                <c:pt idx="180">
                  <c:v>-90</c:v>
                </c:pt>
                <c:pt idx="181">
                  <c:v>-89.5</c:v>
                </c:pt>
                <c:pt idx="182">
                  <c:v>-89</c:v>
                </c:pt>
                <c:pt idx="183">
                  <c:v>-88.5</c:v>
                </c:pt>
                <c:pt idx="184">
                  <c:v>-88</c:v>
                </c:pt>
                <c:pt idx="185">
                  <c:v>-87.5</c:v>
                </c:pt>
                <c:pt idx="186">
                  <c:v>-87</c:v>
                </c:pt>
                <c:pt idx="187">
                  <c:v>-86.5</c:v>
                </c:pt>
                <c:pt idx="188">
                  <c:v>-86</c:v>
                </c:pt>
                <c:pt idx="189">
                  <c:v>-85.5</c:v>
                </c:pt>
                <c:pt idx="190">
                  <c:v>-85</c:v>
                </c:pt>
                <c:pt idx="191">
                  <c:v>-84.5</c:v>
                </c:pt>
                <c:pt idx="192">
                  <c:v>-84</c:v>
                </c:pt>
                <c:pt idx="193">
                  <c:v>-83.5</c:v>
                </c:pt>
                <c:pt idx="194">
                  <c:v>-83</c:v>
                </c:pt>
                <c:pt idx="195">
                  <c:v>-82.5</c:v>
                </c:pt>
                <c:pt idx="196">
                  <c:v>-82</c:v>
                </c:pt>
                <c:pt idx="197">
                  <c:v>-81.5</c:v>
                </c:pt>
                <c:pt idx="198">
                  <c:v>-81</c:v>
                </c:pt>
                <c:pt idx="199">
                  <c:v>-80.5</c:v>
                </c:pt>
                <c:pt idx="200">
                  <c:v>-80</c:v>
                </c:pt>
                <c:pt idx="201">
                  <c:v>-79.5</c:v>
                </c:pt>
                <c:pt idx="202">
                  <c:v>-79</c:v>
                </c:pt>
                <c:pt idx="203">
                  <c:v>-78.5</c:v>
                </c:pt>
                <c:pt idx="204">
                  <c:v>-78</c:v>
                </c:pt>
                <c:pt idx="205">
                  <c:v>-77.5</c:v>
                </c:pt>
                <c:pt idx="206">
                  <c:v>-77</c:v>
                </c:pt>
                <c:pt idx="207">
                  <c:v>-76.5</c:v>
                </c:pt>
                <c:pt idx="208">
                  <c:v>-76</c:v>
                </c:pt>
                <c:pt idx="209">
                  <c:v>-75.5</c:v>
                </c:pt>
                <c:pt idx="210">
                  <c:v>-75</c:v>
                </c:pt>
                <c:pt idx="211">
                  <c:v>-74.5</c:v>
                </c:pt>
                <c:pt idx="212">
                  <c:v>-74</c:v>
                </c:pt>
                <c:pt idx="213">
                  <c:v>-73.5</c:v>
                </c:pt>
                <c:pt idx="214">
                  <c:v>-73</c:v>
                </c:pt>
                <c:pt idx="215">
                  <c:v>-72.5</c:v>
                </c:pt>
                <c:pt idx="216">
                  <c:v>-72</c:v>
                </c:pt>
                <c:pt idx="217">
                  <c:v>-71.5</c:v>
                </c:pt>
                <c:pt idx="218">
                  <c:v>-71</c:v>
                </c:pt>
                <c:pt idx="219">
                  <c:v>-70.5</c:v>
                </c:pt>
                <c:pt idx="220">
                  <c:v>-70</c:v>
                </c:pt>
                <c:pt idx="221">
                  <c:v>-69.5</c:v>
                </c:pt>
                <c:pt idx="222">
                  <c:v>-69</c:v>
                </c:pt>
                <c:pt idx="223">
                  <c:v>-68.5</c:v>
                </c:pt>
                <c:pt idx="224">
                  <c:v>-68</c:v>
                </c:pt>
                <c:pt idx="225">
                  <c:v>-67.5</c:v>
                </c:pt>
                <c:pt idx="226">
                  <c:v>-67</c:v>
                </c:pt>
                <c:pt idx="227">
                  <c:v>-66.5</c:v>
                </c:pt>
                <c:pt idx="228">
                  <c:v>-66</c:v>
                </c:pt>
                <c:pt idx="229">
                  <c:v>-65.5</c:v>
                </c:pt>
                <c:pt idx="230">
                  <c:v>-65</c:v>
                </c:pt>
                <c:pt idx="231">
                  <c:v>-64.5</c:v>
                </c:pt>
                <c:pt idx="232">
                  <c:v>-64</c:v>
                </c:pt>
                <c:pt idx="233">
                  <c:v>-63.5</c:v>
                </c:pt>
                <c:pt idx="234">
                  <c:v>-63</c:v>
                </c:pt>
                <c:pt idx="235">
                  <c:v>-62.5</c:v>
                </c:pt>
                <c:pt idx="236">
                  <c:v>-62</c:v>
                </c:pt>
                <c:pt idx="237">
                  <c:v>-61.5</c:v>
                </c:pt>
                <c:pt idx="238">
                  <c:v>-61</c:v>
                </c:pt>
                <c:pt idx="239">
                  <c:v>-60.5</c:v>
                </c:pt>
                <c:pt idx="240">
                  <c:v>-60</c:v>
                </c:pt>
                <c:pt idx="241">
                  <c:v>-59.5</c:v>
                </c:pt>
                <c:pt idx="242">
                  <c:v>-59</c:v>
                </c:pt>
                <c:pt idx="243">
                  <c:v>-58.5</c:v>
                </c:pt>
                <c:pt idx="244">
                  <c:v>-58</c:v>
                </c:pt>
                <c:pt idx="245">
                  <c:v>-57.5</c:v>
                </c:pt>
                <c:pt idx="246">
                  <c:v>-57</c:v>
                </c:pt>
                <c:pt idx="247">
                  <c:v>-56.5</c:v>
                </c:pt>
                <c:pt idx="248">
                  <c:v>-56</c:v>
                </c:pt>
                <c:pt idx="249">
                  <c:v>-55.5</c:v>
                </c:pt>
                <c:pt idx="250">
                  <c:v>-55</c:v>
                </c:pt>
                <c:pt idx="251">
                  <c:v>-54.5</c:v>
                </c:pt>
                <c:pt idx="252">
                  <c:v>-54</c:v>
                </c:pt>
                <c:pt idx="253">
                  <c:v>-53.5</c:v>
                </c:pt>
                <c:pt idx="254">
                  <c:v>-53</c:v>
                </c:pt>
                <c:pt idx="255">
                  <c:v>-52.5</c:v>
                </c:pt>
                <c:pt idx="256">
                  <c:v>-52</c:v>
                </c:pt>
                <c:pt idx="257">
                  <c:v>-51.5</c:v>
                </c:pt>
                <c:pt idx="258">
                  <c:v>-51</c:v>
                </c:pt>
                <c:pt idx="259">
                  <c:v>-50.5</c:v>
                </c:pt>
                <c:pt idx="260">
                  <c:v>-50</c:v>
                </c:pt>
                <c:pt idx="261">
                  <c:v>-49.5</c:v>
                </c:pt>
                <c:pt idx="262">
                  <c:v>-49</c:v>
                </c:pt>
                <c:pt idx="263">
                  <c:v>-48.5</c:v>
                </c:pt>
                <c:pt idx="264">
                  <c:v>-48</c:v>
                </c:pt>
                <c:pt idx="265">
                  <c:v>-47.5</c:v>
                </c:pt>
                <c:pt idx="266">
                  <c:v>-47</c:v>
                </c:pt>
                <c:pt idx="267">
                  <c:v>-46.5</c:v>
                </c:pt>
                <c:pt idx="268">
                  <c:v>-46</c:v>
                </c:pt>
                <c:pt idx="269">
                  <c:v>-45.5</c:v>
                </c:pt>
                <c:pt idx="270">
                  <c:v>-45</c:v>
                </c:pt>
                <c:pt idx="271">
                  <c:v>-44.5</c:v>
                </c:pt>
                <c:pt idx="272">
                  <c:v>-44</c:v>
                </c:pt>
                <c:pt idx="273">
                  <c:v>-43.5</c:v>
                </c:pt>
                <c:pt idx="274">
                  <c:v>-43</c:v>
                </c:pt>
                <c:pt idx="275">
                  <c:v>-42.5</c:v>
                </c:pt>
                <c:pt idx="276">
                  <c:v>-42</c:v>
                </c:pt>
                <c:pt idx="277">
                  <c:v>-41.5</c:v>
                </c:pt>
                <c:pt idx="278">
                  <c:v>-41</c:v>
                </c:pt>
                <c:pt idx="279">
                  <c:v>-40.5</c:v>
                </c:pt>
                <c:pt idx="280">
                  <c:v>-40</c:v>
                </c:pt>
                <c:pt idx="281">
                  <c:v>-39.5</c:v>
                </c:pt>
                <c:pt idx="282">
                  <c:v>-39</c:v>
                </c:pt>
                <c:pt idx="283">
                  <c:v>-38.5</c:v>
                </c:pt>
                <c:pt idx="284">
                  <c:v>-38</c:v>
                </c:pt>
                <c:pt idx="285">
                  <c:v>-37.5</c:v>
                </c:pt>
                <c:pt idx="286">
                  <c:v>-37</c:v>
                </c:pt>
                <c:pt idx="287">
                  <c:v>-36.5</c:v>
                </c:pt>
                <c:pt idx="288">
                  <c:v>-36</c:v>
                </c:pt>
                <c:pt idx="289">
                  <c:v>-35.5</c:v>
                </c:pt>
                <c:pt idx="290">
                  <c:v>-35</c:v>
                </c:pt>
                <c:pt idx="291">
                  <c:v>-34.5</c:v>
                </c:pt>
                <c:pt idx="292">
                  <c:v>-34</c:v>
                </c:pt>
                <c:pt idx="293">
                  <c:v>-33.5</c:v>
                </c:pt>
                <c:pt idx="294">
                  <c:v>-33</c:v>
                </c:pt>
                <c:pt idx="295">
                  <c:v>-32.5</c:v>
                </c:pt>
                <c:pt idx="296">
                  <c:v>-32</c:v>
                </c:pt>
                <c:pt idx="297">
                  <c:v>-31.5</c:v>
                </c:pt>
                <c:pt idx="298">
                  <c:v>-31</c:v>
                </c:pt>
                <c:pt idx="299">
                  <c:v>-30.5</c:v>
                </c:pt>
                <c:pt idx="300">
                  <c:v>-30</c:v>
                </c:pt>
                <c:pt idx="301">
                  <c:v>-29.5</c:v>
                </c:pt>
                <c:pt idx="302">
                  <c:v>-29</c:v>
                </c:pt>
                <c:pt idx="303">
                  <c:v>-28.5</c:v>
                </c:pt>
                <c:pt idx="304">
                  <c:v>-28</c:v>
                </c:pt>
                <c:pt idx="305">
                  <c:v>-27.5</c:v>
                </c:pt>
                <c:pt idx="306">
                  <c:v>-27</c:v>
                </c:pt>
                <c:pt idx="307">
                  <c:v>-26.5</c:v>
                </c:pt>
                <c:pt idx="308">
                  <c:v>-26</c:v>
                </c:pt>
                <c:pt idx="309">
                  <c:v>-25.5</c:v>
                </c:pt>
                <c:pt idx="310">
                  <c:v>-25</c:v>
                </c:pt>
                <c:pt idx="311">
                  <c:v>-24.5</c:v>
                </c:pt>
                <c:pt idx="312">
                  <c:v>-24</c:v>
                </c:pt>
                <c:pt idx="313">
                  <c:v>-23.5</c:v>
                </c:pt>
                <c:pt idx="314">
                  <c:v>-23</c:v>
                </c:pt>
                <c:pt idx="315">
                  <c:v>-22.5</c:v>
                </c:pt>
                <c:pt idx="316">
                  <c:v>-22</c:v>
                </c:pt>
                <c:pt idx="317">
                  <c:v>-21.5</c:v>
                </c:pt>
                <c:pt idx="318">
                  <c:v>-21</c:v>
                </c:pt>
                <c:pt idx="319">
                  <c:v>-20.5</c:v>
                </c:pt>
                <c:pt idx="320">
                  <c:v>-20</c:v>
                </c:pt>
                <c:pt idx="321">
                  <c:v>-19.5</c:v>
                </c:pt>
                <c:pt idx="322">
                  <c:v>-19</c:v>
                </c:pt>
                <c:pt idx="323">
                  <c:v>-18.5</c:v>
                </c:pt>
                <c:pt idx="324">
                  <c:v>-18</c:v>
                </c:pt>
                <c:pt idx="325">
                  <c:v>-17.5</c:v>
                </c:pt>
                <c:pt idx="326">
                  <c:v>-17</c:v>
                </c:pt>
                <c:pt idx="327">
                  <c:v>-16.5</c:v>
                </c:pt>
                <c:pt idx="328">
                  <c:v>-16</c:v>
                </c:pt>
                <c:pt idx="329">
                  <c:v>-15.5</c:v>
                </c:pt>
                <c:pt idx="330">
                  <c:v>-15</c:v>
                </c:pt>
                <c:pt idx="331">
                  <c:v>-14.5</c:v>
                </c:pt>
                <c:pt idx="332">
                  <c:v>-14</c:v>
                </c:pt>
                <c:pt idx="333">
                  <c:v>-13.5</c:v>
                </c:pt>
                <c:pt idx="334">
                  <c:v>-13</c:v>
                </c:pt>
                <c:pt idx="335">
                  <c:v>-12.5</c:v>
                </c:pt>
                <c:pt idx="336">
                  <c:v>-12</c:v>
                </c:pt>
                <c:pt idx="337">
                  <c:v>-11.5</c:v>
                </c:pt>
                <c:pt idx="338">
                  <c:v>-11</c:v>
                </c:pt>
                <c:pt idx="339">
                  <c:v>-10.5</c:v>
                </c:pt>
                <c:pt idx="340">
                  <c:v>-10</c:v>
                </c:pt>
                <c:pt idx="341">
                  <c:v>-9.5</c:v>
                </c:pt>
                <c:pt idx="342">
                  <c:v>-9</c:v>
                </c:pt>
                <c:pt idx="343">
                  <c:v>-8.5</c:v>
                </c:pt>
                <c:pt idx="344">
                  <c:v>-8</c:v>
                </c:pt>
                <c:pt idx="345">
                  <c:v>-7.5</c:v>
                </c:pt>
                <c:pt idx="346">
                  <c:v>-7</c:v>
                </c:pt>
                <c:pt idx="347">
                  <c:v>-6.5</c:v>
                </c:pt>
                <c:pt idx="348">
                  <c:v>-6</c:v>
                </c:pt>
                <c:pt idx="349">
                  <c:v>-5.5</c:v>
                </c:pt>
                <c:pt idx="350">
                  <c:v>-5</c:v>
                </c:pt>
                <c:pt idx="351">
                  <c:v>-4.5</c:v>
                </c:pt>
                <c:pt idx="352">
                  <c:v>-4</c:v>
                </c:pt>
                <c:pt idx="353">
                  <c:v>-3.5</c:v>
                </c:pt>
                <c:pt idx="354">
                  <c:v>-3</c:v>
                </c:pt>
                <c:pt idx="355">
                  <c:v>-2.5</c:v>
                </c:pt>
                <c:pt idx="356">
                  <c:v>-2</c:v>
                </c:pt>
                <c:pt idx="357">
                  <c:v>-1.5</c:v>
                </c:pt>
                <c:pt idx="358">
                  <c:v>-1</c:v>
                </c:pt>
                <c:pt idx="359">
                  <c:v>-0.5</c:v>
                </c:pt>
                <c:pt idx="360">
                  <c:v>0</c:v>
                </c:pt>
                <c:pt idx="361">
                  <c:v>0.5</c:v>
                </c:pt>
                <c:pt idx="362">
                  <c:v>1</c:v>
                </c:pt>
                <c:pt idx="363">
                  <c:v>1.5</c:v>
                </c:pt>
                <c:pt idx="364">
                  <c:v>2</c:v>
                </c:pt>
                <c:pt idx="365">
                  <c:v>2.5</c:v>
                </c:pt>
                <c:pt idx="366">
                  <c:v>3</c:v>
                </c:pt>
                <c:pt idx="367">
                  <c:v>3.5</c:v>
                </c:pt>
                <c:pt idx="368">
                  <c:v>4</c:v>
                </c:pt>
                <c:pt idx="369">
                  <c:v>4.5</c:v>
                </c:pt>
                <c:pt idx="370">
                  <c:v>5</c:v>
                </c:pt>
                <c:pt idx="371">
                  <c:v>5.5</c:v>
                </c:pt>
                <c:pt idx="372">
                  <c:v>6</c:v>
                </c:pt>
                <c:pt idx="373">
                  <c:v>6.5</c:v>
                </c:pt>
                <c:pt idx="374">
                  <c:v>7</c:v>
                </c:pt>
                <c:pt idx="375">
                  <c:v>7.5</c:v>
                </c:pt>
                <c:pt idx="376">
                  <c:v>8</c:v>
                </c:pt>
                <c:pt idx="377">
                  <c:v>8.5</c:v>
                </c:pt>
                <c:pt idx="378">
                  <c:v>9</c:v>
                </c:pt>
                <c:pt idx="379">
                  <c:v>9.5</c:v>
                </c:pt>
                <c:pt idx="380">
                  <c:v>10</c:v>
                </c:pt>
                <c:pt idx="381">
                  <c:v>10.5</c:v>
                </c:pt>
                <c:pt idx="382">
                  <c:v>11</c:v>
                </c:pt>
                <c:pt idx="383">
                  <c:v>11.5</c:v>
                </c:pt>
                <c:pt idx="384">
                  <c:v>12</c:v>
                </c:pt>
                <c:pt idx="385">
                  <c:v>12.5</c:v>
                </c:pt>
                <c:pt idx="386">
                  <c:v>13</c:v>
                </c:pt>
                <c:pt idx="387">
                  <c:v>13.5</c:v>
                </c:pt>
                <c:pt idx="388">
                  <c:v>14</c:v>
                </c:pt>
                <c:pt idx="389">
                  <c:v>14.5</c:v>
                </c:pt>
                <c:pt idx="390">
                  <c:v>15</c:v>
                </c:pt>
                <c:pt idx="391">
                  <c:v>15.5</c:v>
                </c:pt>
                <c:pt idx="392">
                  <c:v>16</c:v>
                </c:pt>
                <c:pt idx="393">
                  <c:v>16.5</c:v>
                </c:pt>
                <c:pt idx="394">
                  <c:v>17</c:v>
                </c:pt>
                <c:pt idx="395">
                  <c:v>17.5</c:v>
                </c:pt>
                <c:pt idx="396">
                  <c:v>18</c:v>
                </c:pt>
                <c:pt idx="397">
                  <c:v>18.5</c:v>
                </c:pt>
                <c:pt idx="398">
                  <c:v>19</c:v>
                </c:pt>
                <c:pt idx="399">
                  <c:v>19.5</c:v>
                </c:pt>
                <c:pt idx="400">
                  <c:v>20</c:v>
                </c:pt>
                <c:pt idx="401">
                  <c:v>20.5</c:v>
                </c:pt>
                <c:pt idx="402">
                  <c:v>21</c:v>
                </c:pt>
                <c:pt idx="403">
                  <c:v>21.5</c:v>
                </c:pt>
                <c:pt idx="404">
                  <c:v>22</c:v>
                </c:pt>
                <c:pt idx="405">
                  <c:v>22.5</c:v>
                </c:pt>
                <c:pt idx="406">
                  <c:v>23</c:v>
                </c:pt>
                <c:pt idx="407">
                  <c:v>23.5</c:v>
                </c:pt>
                <c:pt idx="408">
                  <c:v>24</c:v>
                </c:pt>
                <c:pt idx="409">
                  <c:v>24.5</c:v>
                </c:pt>
                <c:pt idx="410">
                  <c:v>25</c:v>
                </c:pt>
                <c:pt idx="411">
                  <c:v>25.5</c:v>
                </c:pt>
                <c:pt idx="412">
                  <c:v>26</c:v>
                </c:pt>
                <c:pt idx="413">
                  <c:v>26.5</c:v>
                </c:pt>
                <c:pt idx="414">
                  <c:v>27</c:v>
                </c:pt>
                <c:pt idx="415">
                  <c:v>27.5</c:v>
                </c:pt>
                <c:pt idx="416">
                  <c:v>28</c:v>
                </c:pt>
                <c:pt idx="417">
                  <c:v>28.5</c:v>
                </c:pt>
                <c:pt idx="418">
                  <c:v>29</c:v>
                </c:pt>
                <c:pt idx="419">
                  <c:v>29.5</c:v>
                </c:pt>
                <c:pt idx="420">
                  <c:v>30</c:v>
                </c:pt>
                <c:pt idx="421">
                  <c:v>30.5</c:v>
                </c:pt>
                <c:pt idx="422">
                  <c:v>31</c:v>
                </c:pt>
                <c:pt idx="423">
                  <c:v>31.5</c:v>
                </c:pt>
                <c:pt idx="424">
                  <c:v>32</c:v>
                </c:pt>
                <c:pt idx="425">
                  <c:v>32.5</c:v>
                </c:pt>
                <c:pt idx="426">
                  <c:v>33</c:v>
                </c:pt>
                <c:pt idx="427">
                  <c:v>33.5</c:v>
                </c:pt>
                <c:pt idx="428">
                  <c:v>34</c:v>
                </c:pt>
                <c:pt idx="429">
                  <c:v>34.5</c:v>
                </c:pt>
                <c:pt idx="430">
                  <c:v>35</c:v>
                </c:pt>
                <c:pt idx="431">
                  <c:v>35.5</c:v>
                </c:pt>
                <c:pt idx="432">
                  <c:v>36</c:v>
                </c:pt>
                <c:pt idx="433">
                  <c:v>36.5</c:v>
                </c:pt>
                <c:pt idx="434">
                  <c:v>37</c:v>
                </c:pt>
                <c:pt idx="435">
                  <c:v>37.5</c:v>
                </c:pt>
                <c:pt idx="436">
                  <c:v>38</c:v>
                </c:pt>
                <c:pt idx="437">
                  <c:v>38.5</c:v>
                </c:pt>
                <c:pt idx="438">
                  <c:v>39</c:v>
                </c:pt>
                <c:pt idx="439">
                  <c:v>39.5</c:v>
                </c:pt>
                <c:pt idx="440">
                  <c:v>40</c:v>
                </c:pt>
                <c:pt idx="441">
                  <c:v>40.5</c:v>
                </c:pt>
                <c:pt idx="442">
                  <c:v>41</c:v>
                </c:pt>
                <c:pt idx="443">
                  <c:v>41.5</c:v>
                </c:pt>
                <c:pt idx="444">
                  <c:v>42</c:v>
                </c:pt>
                <c:pt idx="445">
                  <c:v>42.5</c:v>
                </c:pt>
                <c:pt idx="446">
                  <c:v>43</c:v>
                </c:pt>
                <c:pt idx="447">
                  <c:v>43.5</c:v>
                </c:pt>
                <c:pt idx="448">
                  <c:v>44</c:v>
                </c:pt>
                <c:pt idx="449">
                  <c:v>44.5</c:v>
                </c:pt>
                <c:pt idx="450">
                  <c:v>45</c:v>
                </c:pt>
                <c:pt idx="451">
                  <c:v>45.5</c:v>
                </c:pt>
                <c:pt idx="452">
                  <c:v>46</c:v>
                </c:pt>
                <c:pt idx="453">
                  <c:v>46.5</c:v>
                </c:pt>
                <c:pt idx="454">
                  <c:v>47</c:v>
                </c:pt>
                <c:pt idx="455">
                  <c:v>47.5</c:v>
                </c:pt>
                <c:pt idx="456">
                  <c:v>48</c:v>
                </c:pt>
                <c:pt idx="457">
                  <c:v>48.5</c:v>
                </c:pt>
                <c:pt idx="458">
                  <c:v>49</c:v>
                </c:pt>
                <c:pt idx="459">
                  <c:v>49.5</c:v>
                </c:pt>
                <c:pt idx="460">
                  <c:v>50</c:v>
                </c:pt>
                <c:pt idx="461">
                  <c:v>50.5</c:v>
                </c:pt>
                <c:pt idx="462">
                  <c:v>51</c:v>
                </c:pt>
                <c:pt idx="463">
                  <c:v>51.5</c:v>
                </c:pt>
                <c:pt idx="464">
                  <c:v>52</c:v>
                </c:pt>
                <c:pt idx="465">
                  <c:v>52.5</c:v>
                </c:pt>
                <c:pt idx="466">
                  <c:v>53</c:v>
                </c:pt>
                <c:pt idx="467">
                  <c:v>53.5</c:v>
                </c:pt>
                <c:pt idx="468">
                  <c:v>54</c:v>
                </c:pt>
                <c:pt idx="469">
                  <c:v>54.5</c:v>
                </c:pt>
                <c:pt idx="470">
                  <c:v>55</c:v>
                </c:pt>
                <c:pt idx="471">
                  <c:v>55.5</c:v>
                </c:pt>
                <c:pt idx="472">
                  <c:v>56</c:v>
                </c:pt>
                <c:pt idx="473">
                  <c:v>56.5</c:v>
                </c:pt>
                <c:pt idx="474">
                  <c:v>57</c:v>
                </c:pt>
                <c:pt idx="475">
                  <c:v>57.5</c:v>
                </c:pt>
                <c:pt idx="476">
                  <c:v>58</c:v>
                </c:pt>
                <c:pt idx="477">
                  <c:v>58.5</c:v>
                </c:pt>
                <c:pt idx="478">
                  <c:v>59</c:v>
                </c:pt>
                <c:pt idx="479">
                  <c:v>59.5</c:v>
                </c:pt>
                <c:pt idx="480">
                  <c:v>60</c:v>
                </c:pt>
                <c:pt idx="481">
                  <c:v>60.5</c:v>
                </c:pt>
                <c:pt idx="482">
                  <c:v>61</c:v>
                </c:pt>
                <c:pt idx="483">
                  <c:v>61.5</c:v>
                </c:pt>
                <c:pt idx="484">
                  <c:v>62</c:v>
                </c:pt>
                <c:pt idx="485">
                  <c:v>62.5</c:v>
                </c:pt>
                <c:pt idx="486">
                  <c:v>63</c:v>
                </c:pt>
                <c:pt idx="487">
                  <c:v>63.5</c:v>
                </c:pt>
                <c:pt idx="488">
                  <c:v>64</c:v>
                </c:pt>
                <c:pt idx="489">
                  <c:v>64.5</c:v>
                </c:pt>
                <c:pt idx="490">
                  <c:v>65</c:v>
                </c:pt>
                <c:pt idx="491">
                  <c:v>65.5</c:v>
                </c:pt>
                <c:pt idx="492">
                  <c:v>66</c:v>
                </c:pt>
                <c:pt idx="493">
                  <c:v>66.5</c:v>
                </c:pt>
                <c:pt idx="494">
                  <c:v>67</c:v>
                </c:pt>
                <c:pt idx="495">
                  <c:v>67.5</c:v>
                </c:pt>
                <c:pt idx="496">
                  <c:v>68</c:v>
                </c:pt>
                <c:pt idx="497">
                  <c:v>68.5</c:v>
                </c:pt>
                <c:pt idx="498">
                  <c:v>69</c:v>
                </c:pt>
                <c:pt idx="499">
                  <c:v>69.5</c:v>
                </c:pt>
                <c:pt idx="500">
                  <c:v>70</c:v>
                </c:pt>
                <c:pt idx="501">
                  <c:v>70.5</c:v>
                </c:pt>
                <c:pt idx="502">
                  <c:v>71</c:v>
                </c:pt>
                <c:pt idx="503">
                  <c:v>71.5</c:v>
                </c:pt>
                <c:pt idx="504">
                  <c:v>72</c:v>
                </c:pt>
                <c:pt idx="505">
                  <c:v>72.5</c:v>
                </c:pt>
                <c:pt idx="506">
                  <c:v>73</c:v>
                </c:pt>
                <c:pt idx="507">
                  <c:v>73.5</c:v>
                </c:pt>
                <c:pt idx="508">
                  <c:v>74</c:v>
                </c:pt>
                <c:pt idx="509">
                  <c:v>74.5</c:v>
                </c:pt>
                <c:pt idx="510">
                  <c:v>75</c:v>
                </c:pt>
                <c:pt idx="511">
                  <c:v>75.5</c:v>
                </c:pt>
                <c:pt idx="512">
                  <c:v>76</c:v>
                </c:pt>
                <c:pt idx="513">
                  <c:v>76.5</c:v>
                </c:pt>
                <c:pt idx="514">
                  <c:v>77</c:v>
                </c:pt>
                <c:pt idx="515">
                  <c:v>77.5</c:v>
                </c:pt>
                <c:pt idx="516">
                  <c:v>78</c:v>
                </c:pt>
                <c:pt idx="517">
                  <c:v>78.5</c:v>
                </c:pt>
                <c:pt idx="518">
                  <c:v>79</c:v>
                </c:pt>
                <c:pt idx="519">
                  <c:v>79.5</c:v>
                </c:pt>
                <c:pt idx="520">
                  <c:v>80</c:v>
                </c:pt>
                <c:pt idx="521">
                  <c:v>80.5</c:v>
                </c:pt>
                <c:pt idx="522">
                  <c:v>81</c:v>
                </c:pt>
                <c:pt idx="523">
                  <c:v>81.5</c:v>
                </c:pt>
                <c:pt idx="524">
                  <c:v>82</c:v>
                </c:pt>
                <c:pt idx="525">
                  <c:v>82.5</c:v>
                </c:pt>
                <c:pt idx="526">
                  <c:v>83</c:v>
                </c:pt>
                <c:pt idx="527">
                  <c:v>83.5</c:v>
                </c:pt>
                <c:pt idx="528">
                  <c:v>84</c:v>
                </c:pt>
                <c:pt idx="529">
                  <c:v>84.5</c:v>
                </c:pt>
                <c:pt idx="530">
                  <c:v>85</c:v>
                </c:pt>
                <c:pt idx="531">
                  <c:v>85.5</c:v>
                </c:pt>
                <c:pt idx="532">
                  <c:v>86</c:v>
                </c:pt>
                <c:pt idx="533">
                  <c:v>86.5</c:v>
                </c:pt>
                <c:pt idx="534">
                  <c:v>87</c:v>
                </c:pt>
                <c:pt idx="535">
                  <c:v>87.5</c:v>
                </c:pt>
                <c:pt idx="536">
                  <c:v>88</c:v>
                </c:pt>
                <c:pt idx="537">
                  <c:v>88.5</c:v>
                </c:pt>
                <c:pt idx="538">
                  <c:v>89</c:v>
                </c:pt>
                <c:pt idx="539">
                  <c:v>89.5</c:v>
                </c:pt>
                <c:pt idx="540">
                  <c:v>90</c:v>
                </c:pt>
                <c:pt idx="541">
                  <c:v>90.5</c:v>
                </c:pt>
                <c:pt idx="542">
                  <c:v>91</c:v>
                </c:pt>
                <c:pt idx="543">
                  <c:v>91.5</c:v>
                </c:pt>
                <c:pt idx="544">
                  <c:v>92</c:v>
                </c:pt>
                <c:pt idx="545">
                  <c:v>92.5</c:v>
                </c:pt>
                <c:pt idx="546">
                  <c:v>93</c:v>
                </c:pt>
                <c:pt idx="547">
                  <c:v>93.5</c:v>
                </c:pt>
                <c:pt idx="548">
                  <c:v>94</c:v>
                </c:pt>
                <c:pt idx="549">
                  <c:v>94.5</c:v>
                </c:pt>
                <c:pt idx="550">
                  <c:v>95</c:v>
                </c:pt>
                <c:pt idx="551">
                  <c:v>95.5</c:v>
                </c:pt>
                <c:pt idx="552">
                  <c:v>96</c:v>
                </c:pt>
                <c:pt idx="553">
                  <c:v>96.5</c:v>
                </c:pt>
                <c:pt idx="554">
                  <c:v>97</c:v>
                </c:pt>
                <c:pt idx="555">
                  <c:v>97.5</c:v>
                </c:pt>
                <c:pt idx="556">
                  <c:v>98</c:v>
                </c:pt>
                <c:pt idx="557">
                  <c:v>98.5</c:v>
                </c:pt>
                <c:pt idx="558">
                  <c:v>99</c:v>
                </c:pt>
                <c:pt idx="559">
                  <c:v>99.5</c:v>
                </c:pt>
                <c:pt idx="560">
                  <c:v>100</c:v>
                </c:pt>
                <c:pt idx="561">
                  <c:v>100.5</c:v>
                </c:pt>
                <c:pt idx="562">
                  <c:v>101</c:v>
                </c:pt>
                <c:pt idx="563">
                  <c:v>101.5</c:v>
                </c:pt>
                <c:pt idx="564">
                  <c:v>102</c:v>
                </c:pt>
                <c:pt idx="565">
                  <c:v>102.5</c:v>
                </c:pt>
                <c:pt idx="566">
                  <c:v>103</c:v>
                </c:pt>
                <c:pt idx="567">
                  <c:v>103.5</c:v>
                </c:pt>
                <c:pt idx="568">
                  <c:v>104</c:v>
                </c:pt>
                <c:pt idx="569">
                  <c:v>104.5</c:v>
                </c:pt>
                <c:pt idx="570">
                  <c:v>105</c:v>
                </c:pt>
                <c:pt idx="571">
                  <c:v>105.5</c:v>
                </c:pt>
                <c:pt idx="572">
                  <c:v>106</c:v>
                </c:pt>
                <c:pt idx="573">
                  <c:v>106.5</c:v>
                </c:pt>
                <c:pt idx="574">
                  <c:v>107</c:v>
                </c:pt>
                <c:pt idx="575">
                  <c:v>107.5</c:v>
                </c:pt>
                <c:pt idx="576">
                  <c:v>108</c:v>
                </c:pt>
                <c:pt idx="577">
                  <c:v>108.5</c:v>
                </c:pt>
                <c:pt idx="578">
                  <c:v>109</c:v>
                </c:pt>
                <c:pt idx="579">
                  <c:v>109.5</c:v>
                </c:pt>
                <c:pt idx="580">
                  <c:v>110</c:v>
                </c:pt>
                <c:pt idx="581">
                  <c:v>110.5</c:v>
                </c:pt>
                <c:pt idx="582">
                  <c:v>111</c:v>
                </c:pt>
                <c:pt idx="583">
                  <c:v>111.5</c:v>
                </c:pt>
                <c:pt idx="584">
                  <c:v>112</c:v>
                </c:pt>
                <c:pt idx="585">
                  <c:v>112.5</c:v>
                </c:pt>
                <c:pt idx="586">
                  <c:v>113</c:v>
                </c:pt>
                <c:pt idx="587">
                  <c:v>113.5</c:v>
                </c:pt>
                <c:pt idx="588">
                  <c:v>114</c:v>
                </c:pt>
                <c:pt idx="589">
                  <c:v>114.5</c:v>
                </c:pt>
                <c:pt idx="590">
                  <c:v>115</c:v>
                </c:pt>
                <c:pt idx="591">
                  <c:v>115.5</c:v>
                </c:pt>
                <c:pt idx="592">
                  <c:v>116</c:v>
                </c:pt>
                <c:pt idx="593">
                  <c:v>116.5</c:v>
                </c:pt>
                <c:pt idx="594">
                  <c:v>117</c:v>
                </c:pt>
                <c:pt idx="595">
                  <c:v>117.5</c:v>
                </c:pt>
                <c:pt idx="596">
                  <c:v>118</c:v>
                </c:pt>
                <c:pt idx="597">
                  <c:v>118.5</c:v>
                </c:pt>
                <c:pt idx="598">
                  <c:v>119</c:v>
                </c:pt>
                <c:pt idx="599">
                  <c:v>119.5</c:v>
                </c:pt>
                <c:pt idx="600">
                  <c:v>120</c:v>
                </c:pt>
                <c:pt idx="601">
                  <c:v>120.5</c:v>
                </c:pt>
                <c:pt idx="602">
                  <c:v>121</c:v>
                </c:pt>
                <c:pt idx="603">
                  <c:v>121.5</c:v>
                </c:pt>
                <c:pt idx="604">
                  <c:v>122</c:v>
                </c:pt>
                <c:pt idx="605">
                  <c:v>122.5</c:v>
                </c:pt>
                <c:pt idx="606">
                  <c:v>123</c:v>
                </c:pt>
                <c:pt idx="607">
                  <c:v>123.5</c:v>
                </c:pt>
                <c:pt idx="608">
                  <c:v>124</c:v>
                </c:pt>
                <c:pt idx="609">
                  <c:v>124.5</c:v>
                </c:pt>
                <c:pt idx="610">
                  <c:v>125</c:v>
                </c:pt>
                <c:pt idx="611">
                  <c:v>125.5</c:v>
                </c:pt>
                <c:pt idx="612">
                  <c:v>126</c:v>
                </c:pt>
                <c:pt idx="613">
                  <c:v>126.5</c:v>
                </c:pt>
                <c:pt idx="614">
                  <c:v>127</c:v>
                </c:pt>
                <c:pt idx="615">
                  <c:v>127.5</c:v>
                </c:pt>
                <c:pt idx="616">
                  <c:v>128</c:v>
                </c:pt>
                <c:pt idx="617">
                  <c:v>128.5</c:v>
                </c:pt>
                <c:pt idx="618">
                  <c:v>129</c:v>
                </c:pt>
                <c:pt idx="619">
                  <c:v>129.5</c:v>
                </c:pt>
                <c:pt idx="620">
                  <c:v>130</c:v>
                </c:pt>
                <c:pt idx="621">
                  <c:v>130.5</c:v>
                </c:pt>
                <c:pt idx="622">
                  <c:v>131</c:v>
                </c:pt>
                <c:pt idx="623">
                  <c:v>131.5</c:v>
                </c:pt>
                <c:pt idx="624">
                  <c:v>132</c:v>
                </c:pt>
                <c:pt idx="625">
                  <c:v>132.5</c:v>
                </c:pt>
                <c:pt idx="626">
                  <c:v>133</c:v>
                </c:pt>
                <c:pt idx="627">
                  <c:v>133.5</c:v>
                </c:pt>
                <c:pt idx="628">
                  <c:v>134</c:v>
                </c:pt>
                <c:pt idx="629">
                  <c:v>134.5</c:v>
                </c:pt>
                <c:pt idx="630">
                  <c:v>135</c:v>
                </c:pt>
                <c:pt idx="631">
                  <c:v>135.5</c:v>
                </c:pt>
                <c:pt idx="632">
                  <c:v>136</c:v>
                </c:pt>
                <c:pt idx="633">
                  <c:v>136.5</c:v>
                </c:pt>
                <c:pt idx="634">
                  <c:v>137</c:v>
                </c:pt>
                <c:pt idx="635">
                  <c:v>137.5</c:v>
                </c:pt>
                <c:pt idx="636">
                  <c:v>138</c:v>
                </c:pt>
                <c:pt idx="637">
                  <c:v>138.5</c:v>
                </c:pt>
                <c:pt idx="638">
                  <c:v>139</c:v>
                </c:pt>
                <c:pt idx="639">
                  <c:v>139.5</c:v>
                </c:pt>
                <c:pt idx="640">
                  <c:v>140</c:v>
                </c:pt>
                <c:pt idx="641">
                  <c:v>140.5</c:v>
                </c:pt>
                <c:pt idx="642">
                  <c:v>141</c:v>
                </c:pt>
                <c:pt idx="643">
                  <c:v>141.5</c:v>
                </c:pt>
                <c:pt idx="644">
                  <c:v>142</c:v>
                </c:pt>
                <c:pt idx="645">
                  <c:v>142.5</c:v>
                </c:pt>
                <c:pt idx="646">
                  <c:v>143</c:v>
                </c:pt>
                <c:pt idx="647">
                  <c:v>143.5</c:v>
                </c:pt>
                <c:pt idx="648">
                  <c:v>144</c:v>
                </c:pt>
                <c:pt idx="649">
                  <c:v>144.5</c:v>
                </c:pt>
                <c:pt idx="650">
                  <c:v>145</c:v>
                </c:pt>
                <c:pt idx="651">
                  <c:v>145.5</c:v>
                </c:pt>
                <c:pt idx="652">
                  <c:v>146</c:v>
                </c:pt>
                <c:pt idx="653">
                  <c:v>146.5</c:v>
                </c:pt>
                <c:pt idx="654">
                  <c:v>147</c:v>
                </c:pt>
                <c:pt idx="655">
                  <c:v>147.5</c:v>
                </c:pt>
                <c:pt idx="656">
                  <c:v>148</c:v>
                </c:pt>
                <c:pt idx="657">
                  <c:v>148.5</c:v>
                </c:pt>
                <c:pt idx="658">
                  <c:v>149</c:v>
                </c:pt>
                <c:pt idx="659">
                  <c:v>149.5</c:v>
                </c:pt>
                <c:pt idx="660">
                  <c:v>150</c:v>
                </c:pt>
                <c:pt idx="661">
                  <c:v>150.5</c:v>
                </c:pt>
                <c:pt idx="662">
                  <c:v>151</c:v>
                </c:pt>
                <c:pt idx="663">
                  <c:v>151.5</c:v>
                </c:pt>
                <c:pt idx="664">
                  <c:v>152</c:v>
                </c:pt>
                <c:pt idx="665">
                  <c:v>152.5</c:v>
                </c:pt>
                <c:pt idx="666">
                  <c:v>153</c:v>
                </c:pt>
                <c:pt idx="667">
                  <c:v>153.5</c:v>
                </c:pt>
                <c:pt idx="668">
                  <c:v>154</c:v>
                </c:pt>
                <c:pt idx="669">
                  <c:v>154.5</c:v>
                </c:pt>
                <c:pt idx="670">
                  <c:v>155</c:v>
                </c:pt>
                <c:pt idx="671">
                  <c:v>155.5</c:v>
                </c:pt>
                <c:pt idx="672">
                  <c:v>156</c:v>
                </c:pt>
                <c:pt idx="673">
                  <c:v>156.5</c:v>
                </c:pt>
                <c:pt idx="674">
                  <c:v>157</c:v>
                </c:pt>
                <c:pt idx="675">
                  <c:v>157.5</c:v>
                </c:pt>
                <c:pt idx="676">
                  <c:v>158</c:v>
                </c:pt>
                <c:pt idx="677">
                  <c:v>158.5</c:v>
                </c:pt>
                <c:pt idx="678">
                  <c:v>159</c:v>
                </c:pt>
                <c:pt idx="679">
                  <c:v>159.5</c:v>
                </c:pt>
                <c:pt idx="680">
                  <c:v>160</c:v>
                </c:pt>
                <c:pt idx="681">
                  <c:v>160.5</c:v>
                </c:pt>
                <c:pt idx="682">
                  <c:v>161</c:v>
                </c:pt>
                <c:pt idx="683">
                  <c:v>161.5</c:v>
                </c:pt>
                <c:pt idx="684">
                  <c:v>162</c:v>
                </c:pt>
                <c:pt idx="685">
                  <c:v>162.5</c:v>
                </c:pt>
                <c:pt idx="686">
                  <c:v>163</c:v>
                </c:pt>
                <c:pt idx="687">
                  <c:v>163.5</c:v>
                </c:pt>
                <c:pt idx="688">
                  <c:v>164</c:v>
                </c:pt>
                <c:pt idx="689">
                  <c:v>164.5</c:v>
                </c:pt>
                <c:pt idx="690">
                  <c:v>165</c:v>
                </c:pt>
                <c:pt idx="691">
                  <c:v>165.5</c:v>
                </c:pt>
                <c:pt idx="692">
                  <c:v>166</c:v>
                </c:pt>
                <c:pt idx="693">
                  <c:v>166.5</c:v>
                </c:pt>
                <c:pt idx="694">
                  <c:v>167</c:v>
                </c:pt>
                <c:pt idx="695">
                  <c:v>167.5</c:v>
                </c:pt>
                <c:pt idx="696">
                  <c:v>168</c:v>
                </c:pt>
                <c:pt idx="697">
                  <c:v>168.5</c:v>
                </c:pt>
                <c:pt idx="698">
                  <c:v>169</c:v>
                </c:pt>
                <c:pt idx="699">
                  <c:v>169.5</c:v>
                </c:pt>
                <c:pt idx="700">
                  <c:v>170</c:v>
                </c:pt>
                <c:pt idx="701">
                  <c:v>170.5</c:v>
                </c:pt>
                <c:pt idx="702">
                  <c:v>171</c:v>
                </c:pt>
                <c:pt idx="703">
                  <c:v>171.5</c:v>
                </c:pt>
                <c:pt idx="704">
                  <c:v>172</c:v>
                </c:pt>
                <c:pt idx="705">
                  <c:v>172.5</c:v>
                </c:pt>
                <c:pt idx="706">
                  <c:v>173</c:v>
                </c:pt>
                <c:pt idx="707">
                  <c:v>173.5</c:v>
                </c:pt>
                <c:pt idx="708">
                  <c:v>174</c:v>
                </c:pt>
                <c:pt idx="709">
                  <c:v>174.5</c:v>
                </c:pt>
                <c:pt idx="710">
                  <c:v>175</c:v>
                </c:pt>
                <c:pt idx="711">
                  <c:v>175.5</c:v>
                </c:pt>
                <c:pt idx="712">
                  <c:v>176</c:v>
                </c:pt>
                <c:pt idx="713">
                  <c:v>176.5</c:v>
                </c:pt>
                <c:pt idx="714">
                  <c:v>177</c:v>
                </c:pt>
                <c:pt idx="715">
                  <c:v>177.5</c:v>
                </c:pt>
                <c:pt idx="716">
                  <c:v>178</c:v>
                </c:pt>
                <c:pt idx="717">
                  <c:v>178.5</c:v>
                </c:pt>
                <c:pt idx="718">
                  <c:v>179</c:v>
                </c:pt>
                <c:pt idx="719">
                  <c:v>179.5</c:v>
                </c:pt>
                <c:pt idx="720">
                  <c:v>180</c:v>
                </c:pt>
              </c:numCache>
            </c:numRef>
          </c:xVal>
          <c:yVal>
            <c:numRef>
              <c:f>Presion_cilindro!$U$4:$U$724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4.6033346729217515</c:v>
                </c:pt>
                <c:pt idx="276">
                  <c:v>4.6838282643979383</c:v>
                </c:pt>
                <c:pt idx="277">
                  <c:v>4.7661189310785605</c:v>
                </c:pt>
                <c:pt idx="278">
                  <c:v>4.8502428963503164</c:v>
                </c:pt>
                <c:pt idx="279">
                  <c:v>4.9362364384492903</c:v>
                </c:pt>
                <c:pt idx="280">
                  <c:v>5.024135818595048</c:v>
                </c:pt>
                <c:pt idx="281">
                  <c:v>5.1139772021108811</c:v>
                </c:pt>
                <c:pt idx="282">
                  <c:v>5.2057965720721358</c:v>
                </c:pt>
                <c:pt idx="283">
                  <c:v>5.2996296350088352</c:v>
                </c:pt>
                <c:pt idx="284">
                  <c:v>5.3955117181735694</c:v>
                </c:pt>
                <c:pt idx="285">
                  <c:v>5.4934776578723703</c:v>
                </c:pt>
                <c:pt idx="286">
                  <c:v>5.5935616783449866</c:v>
                </c:pt>
                <c:pt idx="287">
                  <c:v>5.6957972606717471</c:v>
                </c:pt>
                <c:pt idx="288">
                  <c:v>5.80021700117838</c:v>
                </c:pt>
                <c:pt idx="289">
                  <c:v>5.9068524588072222</c:v>
                </c:pt>
                <c:pt idx="290">
                  <c:v>6.0157339909247796</c:v>
                </c:pt>
                <c:pt idx="291">
                  <c:v>6.1268905770417605</c:v>
                </c:pt>
                <c:pt idx="292">
                  <c:v>6.2403496299330925</c:v>
                </c:pt>
                <c:pt idx="293">
                  <c:v>6.3561367936632998</c:v>
                </c:pt>
                <c:pt idx="294">
                  <c:v>6.474275728047596</c:v>
                </c:pt>
                <c:pt idx="295">
                  <c:v>6.5947878791117649</c:v>
                </c:pt>
                <c:pt idx="296">
                  <c:v>6.7176922351560417</c:v>
                </c:pt>
                <c:pt idx="297">
                  <c:v>6.8430050680798962</c:v>
                </c:pt>
                <c:pt idx="298">
                  <c:v>6.9707396596879816</c:v>
                </c:pt>
                <c:pt idx="299">
                  <c:v>7.1009060127726942</c:v>
                </c:pt>
                <c:pt idx="300">
                  <c:v>7.2335105468578709</c:v>
                </c:pt>
                <c:pt idx="301">
                  <c:v>7.3685557785910527</c:v>
                </c:pt>
                <c:pt idx="302">
                  <c:v>7.5060399868917722</c:v>
                </c:pt>
                <c:pt idx="303">
                  <c:v>7.6459568630988599</c:v>
                </c:pt>
                <c:pt idx="304">
                  <c:v>7.7882951465147201</c:v>
                </c:pt>
                <c:pt idx="305">
                  <c:v>7.9330382459174604</c:v>
                </c:pt>
                <c:pt idx="306">
                  <c:v>8.080163847805947</c:v>
                </c:pt>
                <c:pt idx="307">
                  <c:v>8.22966541137232</c:v>
                </c:pt>
                <c:pt idx="308">
                  <c:v>8.381863379475174</c:v>
                </c:pt>
                <c:pt idx="309">
                  <c:v>8.5373516638451559</c:v>
                </c:pt>
                <c:pt idx="310">
                  <c:v>8.6967605186711854</c:v>
                </c:pt>
                <c:pt idx="311">
                  <c:v>8.8607502467155204</c:v>
                </c:pt>
                <c:pt idx="312">
                  <c:v>9.0300109359682281</c:v>
                </c:pt>
                <c:pt idx="313">
                  <c:v>9.2052618214531456</c:v>
                </c:pt>
                <c:pt idx="314">
                  <c:v>9.3872502370621564</c:v>
                </c:pt>
                <c:pt idx="315">
                  <c:v>9.5767501223397122</c:v>
                </c:pt>
                <c:pt idx="316">
                  <c:v>9.7745600497929157</c:v>
                </c:pt>
                <c:pt idx="317">
                  <c:v>9.9815007396426125</c:v>
                </c:pt>
                <c:pt idx="318">
                  <c:v>10.198412031043979</c:v>
                </c:pt>
                <c:pt idx="319">
                  <c:v>10.426149281765335</c:v>
                </c:pt>
                <c:pt idx="320">
                  <c:v>10.665579172200108</c:v>
                </c:pt>
                <c:pt idx="321">
                  <c:v>10.917574894462016</c:v>
                </c:pt>
                <c:pt idx="322">
                  <c:v>11.183010713234278</c:v>
                </c:pt>
                <c:pt idx="323">
                  <c:v>11.462755892050154</c:v>
                </c:pt>
                <c:pt idx="324">
                  <c:v>11.757667986796507</c:v>
                </c:pt>
                <c:pt idx="325">
                  <c:v>12.068585517451776</c:v>
                </c:pt>
                <c:pt idx="326">
                  <c:v>12.396320039370092</c:v>
                </c:pt>
                <c:pt idx="327">
                  <c:v>12.741647646743226</c:v>
                </c:pt>
                <c:pt idx="328">
                  <c:v>13.105299953122366</c:v>
                </c:pt>
                <c:pt idx="329">
                  <c:v>13.487954606929421</c:v>
                </c:pt>
                <c:pt idx="330">
                  <c:v>13.890225413564966</c:v>
                </c:pt>
                <c:pt idx="331">
                  <c:v>14.312652149815625</c:v>
                </c:pt>
                <c:pt idx="332">
                  <c:v>14.755690170520289</c:v>
                </c:pt>
                <c:pt idx="333">
                  <c:v>15.219699921580983</c:v>
                </c:pt>
                <c:pt idx="334">
                  <c:v>15.704936487061389</c:v>
                </c:pt>
                <c:pt idx="335">
                  <c:v>16.211539310937056</c:v>
                </c:pt>
                <c:pt idx="336">
                  <c:v>16.73952224564416</c:v>
                </c:pt>
                <c:pt idx="337">
                  <c:v>17.288764089503751</c:v>
                </c:pt>
                <c:pt idx="338">
                  <c:v>17.858999782937481</c:v>
                </c:pt>
                <c:pt idx="339">
                  <c:v>18.449812438719324</c:v>
                </c:pt>
                <c:pt idx="340">
                  <c:v>19.060626383906662</c:v>
                </c:pt>
                <c:pt idx="341">
                  <c:v>19.690701390181886</c:v>
                </c:pt>
                <c:pt idx="342">
                  <c:v>20.339128264781664</c:v>
                </c:pt>
                <c:pt idx="343">
                  <c:v>21.00482596572045</c:v>
                </c:pt>
                <c:pt idx="344">
                  <c:v>21.68654039244387</c:v>
                </c:pt>
                <c:pt idx="345">
                  <c:v>22.382844986280848</c:v>
                </c:pt>
                <c:pt idx="346">
                  <c:v>23.092143254122821</c:v>
                </c:pt>
                <c:pt idx="347">
                  <c:v>23.812673303789843</c:v>
                </c:pt>
                <c:pt idx="348">
                  <c:v>24.542514450812973</c:v>
                </c:pt>
                <c:pt idx="349">
                  <c:v>25.27959592428785</c:v>
                </c:pt>
                <c:pt idx="350">
                  <c:v>26.021707664572649</c:v>
                </c:pt>
                <c:pt idx="351">
                  <c:v>26.766513168582975</c:v>
                </c:pt>
                <c:pt idx="352">
                  <c:v>27.511564300065807</c:v>
                </c:pt>
                <c:pt idx="353">
                  <c:v>28.254317943394092</c:v>
                </c:pt>
                <c:pt idx="354">
                  <c:v>28.992154341064165</c:v>
                </c:pt>
                <c:pt idx="355">
                  <c:v>29.722396918209395</c:v>
                </c:pt>
                <c:pt idx="356">
                  <c:v>30.442333363079481</c:v>
                </c:pt>
                <c:pt idx="357">
                  <c:v>31.14923770156572</c:v>
                </c:pt>
                <c:pt idx="358">
                  <c:v>31.840393077429177</c:v>
                </c:pt>
                <c:pt idx="359">
                  <c:v>32.513114928753929</c:v>
                </c:pt>
                <c:pt idx="360">
                  <c:v>33.16477423602791</c:v>
                </c:pt>
                <c:pt idx="361">
                  <c:v>33.792820508719203</c:v>
                </c:pt>
                <c:pt idx="362">
                  <c:v>34.394804175656226</c:v>
                </c:pt>
                <c:pt idx="363">
                  <c:v>36.993423855770793</c:v>
                </c:pt>
                <c:pt idx="364">
                  <c:v>41.684641015674387</c:v>
                </c:pt>
                <c:pt idx="365">
                  <c:v>40.317546005287902</c:v>
                </c:pt>
                <c:pt idx="366">
                  <c:v>40.571232276008743</c:v>
                </c:pt>
                <c:pt idx="367">
                  <c:v>44.912499605294457</c:v>
                </c:pt>
                <c:pt idx="368">
                  <c:v>46.773614888880431</c:v>
                </c:pt>
                <c:pt idx="369">
                  <c:v>44.196249509737626</c:v>
                </c:pt>
                <c:pt idx="370">
                  <c:v>43.320053498273374</c:v>
                </c:pt>
                <c:pt idx="371">
                  <c:v>46.05875074683852</c:v>
                </c:pt>
                <c:pt idx="372">
                  <c:v>46.959112944882435</c:v>
                </c:pt>
                <c:pt idx="373">
                  <c:v>44.363281066402088</c:v>
                </c:pt>
                <c:pt idx="374">
                  <c:v>43.258924564670295</c:v>
                </c:pt>
                <c:pt idx="375">
                  <c:v>45.184929517868703</c:v>
                </c:pt>
                <c:pt idx="376">
                  <c:v>45.656611514712111</c:v>
                </c:pt>
                <c:pt idx="377">
                  <c:v>43.302397821756919</c:v>
                </c:pt>
                <c:pt idx="378">
                  <c:v>42.195719623800926</c:v>
                </c:pt>
                <c:pt idx="379">
                  <c:v>43.589323467872234</c:v>
                </c:pt>
                <c:pt idx="380">
                  <c:v>43.806376854916458</c:v>
                </c:pt>
                <c:pt idx="381">
                  <c:v>41.720349861842941</c:v>
                </c:pt>
                <c:pt idx="382">
                  <c:v>40.663775674043208</c:v>
                </c:pt>
                <c:pt idx="383">
                  <c:v>41.66056779672023</c:v>
                </c:pt>
                <c:pt idx="384">
                  <c:v>41.699181632980405</c:v>
                </c:pt>
                <c:pt idx="385">
                  <c:v>39.856464849614625</c:v>
                </c:pt>
                <c:pt idx="386">
                  <c:v>38.860304792915237</c:v>
                </c:pt>
                <c:pt idx="387">
                  <c:v>39.548637386297152</c:v>
                </c:pt>
                <c:pt idx="388">
                  <c:v>39.455573621463131</c:v>
                </c:pt>
                <c:pt idx="389">
                  <c:v>37.825143097266832</c:v>
                </c:pt>
                <c:pt idx="390">
                  <c:v>36.890652408338156</c:v>
                </c:pt>
                <c:pt idx="391">
                  <c:v>37.338084801197475</c:v>
                </c:pt>
                <c:pt idx="392">
                  <c:v>37.148504069813626</c:v>
                </c:pt>
                <c:pt idx="393">
                  <c:v>35.702950591807991</c:v>
                </c:pt>
                <c:pt idx="394">
                  <c:v>34.829884537304444</c:v>
                </c:pt>
                <c:pt idx="395">
                  <c:v>35.0909270424116</c:v>
                </c:pt>
                <c:pt idx="396">
                  <c:v>34.833097658745388</c:v>
                </c:pt>
                <c:pt idx="397">
                  <c:v>33.54961708210601</c:v>
                </c:pt>
                <c:pt idx="398">
                  <c:v>32.737480017448526</c:v>
                </c:pt>
                <c:pt idx="399">
                  <c:v>32.856476703072239</c:v>
                </c:pt>
                <c:pt idx="400">
                  <c:v>32.553230394891024</c:v>
                </c:pt>
                <c:pt idx="401">
                  <c:v>31.412790003654631</c:v>
                </c:pt>
                <c:pt idx="402">
                  <c:v>30.660751629640714</c:v>
                </c:pt>
                <c:pt idx="403">
                  <c:v>30.673516327972244</c:v>
                </c:pt>
                <c:pt idx="404">
                  <c:v>30.342986157506271</c:v>
                </c:pt>
                <c:pt idx="405">
                  <c:v>29.329378145683517</c:v>
                </c:pt>
                <c:pt idx="406">
                  <c:v>28.636073240993372</c:v>
                </c:pt>
                <c:pt idx="407">
                  <c:v>28.571188229259342</c:v>
                </c:pt>
                <c:pt idx="408">
                  <c:v>28.227433283463832</c:v>
                </c:pt>
                <c:pt idx="409">
                  <c:v>27.326560444263038</c:v>
                </c:pt>
                <c:pt idx="410">
                  <c:v>26.690010512574837</c:v>
                </c:pt>
                <c:pt idx="411">
                  <c:v>26.569989634464257</c:v>
                </c:pt>
                <c:pt idx="412">
                  <c:v>26.223612993498008</c:v>
                </c:pt>
                <c:pt idx="413">
                  <c:v>25.423011784023494</c:v>
                </c:pt>
                <c:pt idx="414">
                  <c:v>24.84066654417737</c:v>
                </c:pt>
                <c:pt idx="415">
                  <c:v>24.683008449349376</c:v>
                </c:pt>
                <c:pt idx="416">
                  <c:v>24.341757846077069</c:v>
                </c:pt>
                <c:pt idx="417">
                  <c:v>23.630295434128726</c:v>
                </c:pt>
                <c:pt idx="418">
                  <c:v>23.099146654275202</c:v>
                </c:pt>
                <c:pt idx="419">
                  <c:v>22.917269161366683</c:v>
                </c:pt>
                <c:pt idx="420">
                  <c:v>22.586593053929935</c:v>
                </c:pt>
                <c:pt idx="421">
                  <c:v>21.95427605864371</c:v>
                </c:pt>
                <c:pt idx="422">
                  <c:v>21.471000359259083</c:v>
                </c:pt>
                <c:pt idx="423">
                  <c:v>21.275048290327181</c:v>
                </c:pt>
                <c:pt idx="424">
                  <c:v>20.958587674300919</c:v>
                </c:pt>
                <c:pt idx="425">
                  <c:v>20.396436289025118</c:v>
                </c:pt>
                <c:pt idx="426">
                  <c:v>19.957537432559594</c:v>
                </c:pt>
                <c:pt idx="427">
                  <c:v>19.755064524623865</c:v>
                </c:pt>
                <c:pt idx="428">
                  <c:v>19.455071715276343</c:v>
                </c:pt>
                <c:pt idx="429">
                  <c:v>18.955028825435836</c:v>
                </c:pt>
                <c:pt idx="430">
                  <c:v>18.556962873571862</c:v>
                </c:pt>
                <c:pt idx="431">
                  <c:v>18.35349562480377</c:v>
                </c:pt>
                <c:pt idx="432">
                  <c:v>18.071179929207251</c:v>
                </c:pt>
                <c:pt idx="433">
                  <c:v>17.626037111040457</c:v>
                </c:pt>
                <c:pt idx="434">
                  <c:v>17.265313225144286</c:v>
                </c:pt>
                <c:pt idx="435">
                  <c:v>17.064809079085425</c:v>
                </c:pt>
                <c:pt idx="436">
                  <c:v>16.800614835950011</c:v>
                </c:pt>
                <c:pt idx="437">
                  <c:v>16.403945518931469</c:v>
                </c:pt>
                <c:pt idx="438">
                  <c:v>16.077201176854434</c:v>
                </c:pt>
                <c:pt idx="439">
                  <c:v>15.882415473384018</c:v>
                </c:pt>
                <c:pt idx="440">
                  <c:v>15.63624082055982</c:v>
                </c:pt>
                <c:pt idx="441">
                  <c:v>15.282336153075999</c:v>
                </c:pt>
                <c:pt idx="442">
                  <c:v>14.986388914592823</c:v>
                </c:pt>
                <c:pt idx="443">
                  <c:v>14.799165221521243</c:v>
                </c:pt>
                <c:pt idx="444">
                  <c:v>14.570530923411972</c:v>
                </c:pt>
                <c:pt idx="445">
                  <c:v>14.254336887864035</c:v>
                </c:pt>
                <c:pt idx="446">
                  <c:v>13.986216386002589</c:v>
                </c:pt>
                <c:pt idx="447">
                  <c:v>13.807713863492738</c:v>
                </c:pt>
                <c:pt idx="448">
                  <c:v>13.595891303884725</c:v>
                </c:pt>
                <c:pt idx="449">
                  <c:v>13.312947154041455</c:v>
                </c:pt>
                <c:pt idx="450">
                  <c:v>13.06991140386322</c:v>
                </c:pt>
                <c:pt idx="451">
                  <c:v>12.900781296175769</c:v>
                </c:pt>
                <c:pt idx="452">
                  <c:v>12.704887861753221</c:v>
                </c:pt>
                <c:pt idx="453">
                  <c:v>12.451266581506022</c:v>
                </c:pt>
                <c:pt idx="454">
                  <c:v>12.230806479663903</c:v>
                </c:pt>
                <c:pt idx="455">
                  <c:v>12.071328057213528</c:v>
                </c:pt>
                <c:pt idx="456">
                  <c:v>11.890396976646404</c:v>
                </c:pt>
                <c:pt idx="457">
                  <c:v>11.662648584177774</c:v>
                </c:pt>
                <c:pt idx="458">
                  <c:v>11.462483953234781</c:v>
                </c:pt>
                <c:pt idx="459">
                  <c:v>11.312668479854411</c:v>
                </c:pt>
                <c:pt idx="460">
                  <c:v>11.145698974502604</c:v>
                </c:pt>
                <c:pt idx="461">
                  <c:v>10.940797374387225</c:v>
                </c:pt>
                <c:pt idx="462">
                  <c:v>10.758867288474917</c:v>
                </c:pt>
                <c:pt idx="463">
                  <c:v>10.618536993574338</c:v>
                </c:pt>
                <c:pt idx="464">
                  <c:v>10.464529467291653</c:v>
                </c:pt>
                <c:pt idx="465">
                  <c:v>10.279823337079215</c:v>
                </c:pt>
                <c:pt idx="466">
                  <c:v>10.114272863260544</c:v>
                </c:pt>
                <c:pt idx="467">
                  <c:v>9.9831205132245895</c:v>
                </c:pt>
                <c:pt idx="468">
                  <c:v>9.8411005207739493</c:v>
                </c:pt>
                <c:pt idx="469">
                  <c:v>9.6742684911831898</c:v>
                </c:pt>
                <c:pt idx="470">
                  <c:v>9.5234334488895431</c:v>
                </c:pt>
                <c:pt idx="471">
                  <c:v>9.4010669489955436</c:v>
                </c:pt>
                <c:pt idx="472">
                  <c:v>9.2701008535662748</c:v>
                </c:pt>
                <c:pt idx="473">
                  <c:v>9.1191110425514772</c:v>
                </c:pt>
                <c:pt idx="474">
                  <c:v>8.9815019415895758</c:v>
                </c:pt>
                <c:pt idx="475">
                  <c:v>8.8674774465533766</c:v>
                </c:pt>
                <c:pt idx="476">
                  <c:v>8.7466820017102798</c:v>
                </c:pt>
                <c:pt idx="477">
                  <c:v>8.6097558071790186</c:v>
                </c:pt>
                <c:pt idx="478">
                  <c:v>8.4840417734512901</c:v>
                </c:pt>
                <c:pt idx="479">
                  <c:v>8.3778880172470522</c:v>
                </c:pt>
                <c:pt idx="480">
                  <c:v>8.266435570783436</c:v>
                </c:pt>
                <c:pt idx="481">
                  <c:v>8.1420155159165368</c:v>
                </c:pt>
                <c:pt idx="482">
                  <c:v>8.0270087439763174</c:v>
                </c:pt>
                <c:pt idx="483">
                  <c:v>7.9282446897116614</c:v>
                </c:pt>
                <c:pt idx="484">
                  <c:v>7.8253652855650255</c:v>
                </c:pt>
                <c:pt idx="485">
                  <c:v>7.7120866393219352</c:v>
                </c:pt>
                <c:pt idx="486">
                  <c:v>7.6067277093032164</c:v>
                </c:pt>
                <c:pt idx="487">
                  <c:v>7.5148751400667821</c:v>
                </c:pt>
                <c:pt idx="488">
                  <c:v>7.4198564687767377</c:v>
                </c:pt>
                <c:pt idx="489">
                  <c:v>7.3165223247022988</c:v>
                </c:pt>
                <c:pt idx="490">
                  <c:v>7.219866574692805</c:v>
                </c:pt>
                <c:pt idx="491">
                  <c:v>7.1344588715123711</c:v>
                </c:pt>
                <c:pt idx="492">
                  <c:v>7.0466447706319677</c:v>
                </c:pt>
                <c:pt idx="493">
                  <c:v>6.9522042517708762</c:v>
                </c:pt>
                <c:pt idx="494">
                  <c:v>6.8634092931769342</c:v>
                </c:pt>
                <c:pt idx="495">
                  <c:v>6.7839973551584043</c:v>
                </c:pt>
                <c:pt idx="496">
                  <c:v>6.7027853722454811</c:v>
                </c:pt>
                <c:pt idx="497">
                  <c:v>6.6163146319275778</c:v>
                </c:pt>
                <c:pt idx="498">
                  <c:v>6.5346290244699103</c:v>
                </c:pt>
                <c:pt idx="499">
                  <c:v>6.4607850610870114</c:v>
                </c:pt>
                <c:pt idx="500">
                  <c:v>6.3856234499145215</c:v>
                </c:pt>
                <c:pt idx="501">
                  <c:v>6.3063091517333216</c:v>
                </c:pt>
                <c:pt idx="502">
                  <c:v>6.2310622080129106</c:v>
                </c:pt>
                <c:pt idx="503">
                  <c:v>6.1623819599912055</c:v>
                </c:pt>
                <c:pt idx="504">
                  <c:v>6.092766374569754</c:v>
                </c:pt>
                <c:pt idx="505">
                  <c:v>6.0198913556368385</c:v>
                </c:pt>
                <c:pt idx="506">
                  <c:v>5.9504840161082022</c:v>
                </c:pt>
                <c:pt idx="507">
                  <c:v>5.8865878279060162</c:v>
                </c:pt>
                <c:pt idx="508">
                  <c:v>5.82205790023764</c:v>
                </c:pt>
                <c:pt idx="509">
                  <c:v>5.7549887464814784</c:v>
                </c:pt>
                <c:pt idx="510">
                  <c:v>5.690885449095715</c:v>
                </c:pt>
                <c:pt idx="511">
                  <c:v>5.6314185135664268</c:v>
                </c:pt>
                <c:pt idx="512">
                  <c:v>5.5715544430743753</c:v>
                </c:pt>
                <c:pt idx="513">
                  <c:v>5.5097307316260569</c:v>
                </c:pt>
                <c:pt idx="514">
                  <c:v>5.4504521925423708</c:v>
                </c:pt>
                <c:pt idx="515">
                  <c:v>5.3950842098803475</c:v>
                </c:pt>
                <c:pt idx="516">
                  <c:v>5.3395034500461636</c:v>
                </c:pt>
                <c:pt idx="517">
                  <c:v>5.2824284400178252</c:v>
                </c:pt>
                <c:pt idx="518">
                  <c:v>5.2275452598123939</c:v>
                </c:pt>
                <c:pt idx="519">
                  <c:v>5.175969692829808</c:v>
                </c:pt>
                <c:pt idx="520">
                  <c:v>5.1243237897932037</c:v>
                </c:pt>
                <c:pt idx="521">
                  <c:v>5.0715563679691318</c:v>
                </c:pt>
                <c:pt idx="522">
                  <c:v>5.0206833796463508</c:v>
                </c:pt>
                <c:pt idx="523">
                  <c:v>4.9726164415383449</c:v>
                </c:pt>
                <c:pt idx="524">
                  <c:v>4.924588057299923</c:v>
                </c:pt>
                <c:pt idx="525">
                  <c:v>4.8757357688007836</c:v>
                </c:pt>
                <c:pt idx="526">
                  <c:v>4.8285270481701286</c:v>
                </c:pt>
                <c:pt idx="527">
                  <c:v>4.7837065239133612</c:v>
                </c:pt>
                <c:pt idx="528">
                  <c:v>4.7390066610794044</c:v>
                </c:pt>
                <c:pt idx="529">
                  <c:v>4.6937196765948173</c:v>
                </c:pt>
                <c:pt idx="530">
                  <c:v>4.6498641411901067</c:v>
                </c:pt>
                <c:pt idx="531">
                  <c:v>4.6080481170543468</c:v>
                </c:pt>
                <c:pt idx="532">
                  <c:v>4.5664135510894273</c:v>
                </c:pt>
                <c:pt idx="533">
                  <c:v>4.5243794416756362</c:v>
                </c:pt>
                <c:pt idx="534">
                  <c:v>4.4835969706546956</c:v>
                </c:pt>
                <c:pt idx="535">
                  <c:v>4.4445625260429047</c:v>
                </c:pt>
                <c:pt idx="536">
                  <c:v>4.4057534434879528</c:v>
                </c:pt>
                <c:pt idx="537">
                  <c:v>4.3666926512017969</c:v>
                </c:pt>
                <c:pt idx="538">
                  <c:v>4.3287306651006761</c:v>
                </c:pt>
                <c:pt idx="539">
                  <c:v>4.2922725655761775</c:v>
                </c:pt>
                <c:pt idx="540">
                  <c:v>4.2560704017056308</c:v>
                </c:pt>
                <c:pt idx="541">
                  <c:v>4.2197323095861137</c:v>
                </c:pt>
                <c:pt idx="542">
                  <c:v>4.1843627551055738</c:v>
                </c:pt>
                <c:pt idx="543">
                  <c:v>4.1502921738678316</c:v>
                </c:pt>
                <c:pt idx="544">
                  <c:v>4.1164976401000608</c:v>
                </c:pt>
                <c:pt idx="545">
                  <c:v>4.0826571583560893</c:v>
                </c:pt>
                <c:pt idx="546">
                  <c:v>4.0496738493409694</c:v>
                </c:pt>
                <c:pt idx="547">
                  <c:v>4.0178171356931447</c:v>
                </c:pt>
                <c:pt idx="548">
                  <c:v>3.9862484252160555</c:v>
                </c:pt>
                <c:pt idx="549">
                  <c:v>3.9547030221011479</c:v>
                </c:pt>
                <c:pt idx="550">
                  <c:v>3.9239192934285638</c:v>
                </c:pt>
                <c:pt idx="551">
                  <c:v>3.8941168002639759</c:v>
                </c:pt>
                <c:pt idx="552">
                  <c:v>3.8646079594097809</c:v>
                </c:pt>
                <c:pt idx="553">
                  <c:v>3.8351750753380327</c:v>
                </c:pt>
                <c:pt idx="554">
                  <c:v>3.806421711507439</c:v>
                </c:pt>
                <c:pt idx="555">
                  <c:v>3.7785266890084626</c:v>
                </c:pt>
                <c:pt idx="556">
                  <c:v>3.7509261416278812</c:v>
                </c:pt>
                <c:pt idx="557">
                  <c:v>3.7234409337843735</c:v>
                </c:pt>
                <c:pt idx="558">
                  <c:v>3.69656433858803</c:v>
                </c:pt>
                <c:pt idx="559">
                  <c:v>3.6704418977811568</c:v>
                </c:pt>
                <c:pt idx="560">
                  <c:v>3.6446111100218737</c:v>
                </c:pt>
                <c:pt idx="561">
                  <c:v>3.618924482210844</c:v>
                </c:pt>
                <c:pt idx="562">
                  <c:v>3.5937850599677312</c:v>
                </c:pt>
                <c:pt idx="563">
                  <c:v>3.5693112072049882</c:v>
                </c:pt>
                <c:pt idx="564">
                  <c:v>3.5451234805432406</c:v>
                </c:pt>
                <c:pt idx="565">
                  <c:v>3.5211003594520291</c:v>
                </c:pt>
                <c:pt idx="566">
                  <c:v>3.4975710819366737</c:v>
                </c:pt>
                <c:pt idx="567">
                  <c:v>3.4746318235416793</c:v>
                </c:pt>
                <c:pt idx="568">
                  <c:v>3.4519712045412385</c:v>
                </c:pt>
                <c:pt idx="569">
                  <c:v>3.4294890291162918</c:v>
                </c:pt>
                <c:pt idx="570">
                  <c:v>3.4074541655399697</c:v>
                </c:pt>
                <c:pt idx="571">
                  <c:v>3.3859446805846916</c:v>
                </c:pt>
                <c:pt idx="572">
                  <c:v>3.3647049765875576</c:v>
                </c:pt>
                <c:pt idx="573">
                  <c:v>3.3436523719452276</c:v>
                </c:pt>
                <c:pt idx="574">
                  <c:v>3.3230063621872188</c:v>
                </c:pt>
                <c:pt idx="575">
                  <c:v>3.3028302405149006</c:v>
                </c:pt>
                <c:pt idx="576">
                  <c:v>3.2829141312481767</c:v>
                </c:pt>
                <c:pt idx="577">
                  <c:v>3.2631897425872358</c:v>
                </c:pt>
                <c:pt idx="578">
                  <c:v>3.2438361963668978</c:v>
                </c:pt>
                <c:pt idx="579">
                  <c:v>3.2249047384403764</c:v>
                </c:pt>
                <c:pt idx="580">
                  <c:v>3.2062229743164656</c:v>
                </c:pt>
                <c:pt idx="581">
                  <c:v>3.1877344397582092</c:v>
                </c:pt>
                <c:pt idx="582">
                  <c:v>3.1695852466211467</c:v>
                </c:pt>
                <c:pt idx="583">
                  <c:v>3.1518168214728366</c:v>
                </c:pt>
                <c:pt idx="584">
                  <c:v>3.1342875001393562</c:v>
                </c:pt>
                <c:pt idx="585">
                  <c:v>3.1169505443782506</c:v>
                </c:pt>
                <c:pt idx="586">
                  <c:v>3.0999250812772972</c:v>
                </c:pt>
                <c:pt idx="587">
                  <c:v>3.0832445387047591</c:v>
                </c:pt>
                <c:pt idx="588">
                  <c:v>3.0667924521501826</c:v>
                </c:pt>
                <c:pt idx="589">
                  <c:v>3.0505300853262116</c:v>
                </c:pt>
                <c:pt idx="590">
                  <c:v>3.0345545102426184</c:v>
                </c:pt>
                <c:pt idx="591">
                  <c:v>3.0188926433844361</c:v>
                </c:pt>
                <c:pt idx="592">
                  <c:v>3.0034486886143839</c:v>
                </c:pt>
                <c:pt idx="593">
                  <c:v>2.988190496980113</c:v>
                </c:pt>
                <c:pt idx="594">
                  <c:v>2.9731971184817949</c:v>
                </c:pt>
                <c:pt idx="595">
                  <c:v>2.9584901729862692</c:v>
                </c:pt>
                <c:pt idx="596">
                  <c:v>2.9439908199482243</c:v>
                </c:pt>
                <c:pt idx="597">
                  <c:v>2.9296723367528155</c:v>
                </c:pt>
                <c:pt idx="598">
                  <c:v>2.9155990506513931</c:v>
                </c:pt>
                <c:pt idx="599">
                  <c:v>2.9017882767881011</c:v>
                </c:pt>
                <c:pt idx="600">
                  <c:v>2.8881750878361001</c:v>
                </c:pt>
                <c:pt idx="601">
                  <c:v>2.8747372344313304</c:v>
                </c:pt>
                <c:pt idx="602">
                  <c:v>2.8615270198015716</c:v>
                </c:pt>
                <c:pt idx="603">
                  <c:v>2.8485582640423894</c:v>
                </c:pt>
                <c:pt idx="604">
                  <c:v>2.8357774597976908</c:v>
                </c:pt>
                <c:pt idx="605">
                  <c:v>2.8231660483265957</c:v>
                </c:pt>
                <c:pt idx="606">
                  <c:v>2.8107665161117819</c:v>
                </c:pt>
                <c:pt idx="607">
                  <c:v>2.7985898489084118</c:v>
                </c:pt>
                <c:pt idx="608">
                  <c:v>2.7865919158881773</c:v>
                </c:pt>
                <c:pt idx="609">
                  <c:v>2.7747572060789967</c:v>
                </c:pt>
                <c:pt idx="610">
                  <c:v>2.7631201943420978</c:v>
                </c:pt>
                <c:pt idx="611">
                  <c:v>2.7516895710399627</c:v>
                </c:pt>
                <c:pt idx="612">
                  <c:v>2.740428906895672</c:v>
                </c:pt>
                <c:pt idx="613">
                  <c:v>2.729325210480821</c:v>
                </c:pt>
                <c:pt idx="614">
                  <c:v>2.7184064210902354</c:v>
                </c:pt>
                <c:pt idx="615">
                  <c:v>2.7076793731357078</c:v>
                </c:pt>
                <c:pt idx="616">
                  <c:v>2.6971139657689944</c:v>
                </c:pt>
                <c:pt idx="617">
                  <c:v>2.6866992929052325</c:v>
                </c:pt>
                <c:pt idx="618">
                  <c:v>2.6764579650795164</c:v>
                </c:pt>
                <c:pt idx="619">
                  <c:v>2.6663953188926763</c:v>
                </c:pt>
                <c:pt idx="620">
                  <c:v>2.6564864561014816</c:v>
                </c:pt>
                <c:pt idx="621">
                  <c:v>2.6467221989038836</c:v>
                </c:pt>
                <c:pt idx="622">
                  <c:v>2.6371208155945132</c:v>
                </c:pt>
                <c:pt idx="623">
                  <c:v>2.6276864366891504</c:v>
                </c:pt>
                <c:pt idx="624">
                  <c:v>2.6183984433445633</c:v>
                </c:pt>
                <c:pt idx="625">
                  <c:v>2.6092490922810621</c:v>
                </c:pt>
                <c:pt idx="626">
                  <c:v>2.6002531158565207</c:v>
                </c:pt>
                <c:pt idx="627">
                  <c:v>2.5914136759898279</c:v>
                </c:pt>
                <c:pt idx="628">
                  <c:v>2.5827136760569385</c:v>
                </c:pt>
                <c:pt idx="629">
                  <c:v>2.5741465654969797</c:v>
                </c:pt>
                <c:pt idx="630">
                  <c:v>2.5657241996147913</c:v>
                </c:pt>
                <c:pt idx="631">
                  <c:v>2.5574489649395371</c:v>
                </c:pt>
                <c:pt idx="632">
                  <c:v>2.5493066659370145</c:v>
                </c:pt>
                <c:pt idx="633">
                  <c:v>2.5412917456199149</c:v>
                </c:pt>
                <c:pt idx="634">
                  <c:v>2.5334137205434399</c:v>
                </c:pt>
                <c:pt idx="635">
                  <c:v>2.5256743589143169</c:v>
                </c:pt>
                <c:pt idx="636">
                  <c:v>2.5180618566601773</c:v>
                </c:pt>
                <c:pt idx="637">
                  <c:v>2.5105714862570916</c:v>
                </c:pt>
                <c:pt idx="638">
                  <c:v>2.503210865198179</c:v>
                </c:pt>
                <c:pt idx="639">
                  <c:v>2.4959812709509346</c:v>
                </c:pt>
                <c:pt idx="640">
                  <c:v>2.4888728726688654</c:v>
                </c:pt>
                <c:pt idx="641">
                  <c:v>2.4818816369657997</c:v>
                </c:pt>
                <c:pt idx="642">
                  <c:v>2.4750136413187342</c:v>
                </c:pt>
                <c:pt idx="643">
                  <c:v>2.4682697759957111</c:v>
                </c:pt>
                <c:pt idx="644">
                  <c:v>2.4616418400597913</c:v>
                </c:pt>
                <c:pt idx="645">
                  <c:v>2.4551263825959686</c:v>
                </c:pt>
                <c:pt idx="646">
                  <c:v>2.4487282341776253</c:v>
                </c:pt>
                <c:pt idx="647">
                  <c:v>2.4424479818165707</c:v>
                </c:pt>
                <c:pt idx="648">
                  <c:v>2.4362787725948127</c:v>
                </c:pt>
                <c:pt idx="649">
                  <c:v>2.4302176458573057</c:v>
                </c:pt>
                <c:pt idx="650">
                  <c:v>2.4242684244879222</c:v>
                </c:pt>
                <c:pt idx="651">
                  <c:v>2.4184314602228412</c:v>
                </c:pt>
                <c:pt idx="652">
                  <c:v>2.4127010166436897</c:v>
                </c:pt>
                <c:pt idx="653">
                  <c:v>2.4070745471514834</c:v>
                </c:pt>
                <c:pt idx="654">
                  <c:v>2.4015550621035402</c:v>
                </c:pt>
                <c:pt idx="655">
                  <c:v>2.3961427329476068</c:v>
                </c:pt>
                <c:pt idx="656">
                  <c:v>2.390832749560388</c:v>
                </c:pt>
                <c:pt idx="657">
                  <c:v>2.3856229163736842</c:v>
                </c:pt>
                <c:pt idx="658">
                  <c:v>2.380515590386767</c:v>
                </c:pt>
                <c:pt idx="659">
                  <c:v>2.375510807178407</c:v>
                </c:pt>
                <c:pt idx="660">
                  <c:v>2.370604526610625</c:v>
                </c:pt>
                <c:pt idx="661">
                  <c:v>2.3657948519783645</c:v>
                </c:pt>
                <c:pt idx="662">
                  <c:v>2.3610836166883704</c:v>
                </c:pt>
                <c:pt idx="663">
                  <c:v>2.3564707562833536</c:v>
                </c:pt>
                <c:pt idx="664">
                  <c:v>2.3519528721161347</c:v>
                </c:pt>
                <c:pt idx="665">
                  <c:v>2.3475283231301209</c:v>
                </c:pt>
                <c:pt idx="666">
                  <c:v>2.3431985248943654</c:v>
                </c:pt>
                <c:pt idx="667">
                  <c:v>2.3389633417798521</c:v>
                </c:pt>
                <c:pt idx="668">
                  <c:v>2.3348199109694026</c:v>
                </c:pt>
                <c:pt idx="669">
                  <c:v>2.3307668112298656</c:v>
                </c:pt>
                <c:pt idx="670">
                  <c:v>2.3268051264478649</c:v>
                </c:pt>
                <c:pt idx="671">
                  <c:v>2.322934673039446</c:v>
                </c:pt>
                <c:pt idx="672">
                  <c:v>2.3191530371083124</c:v>
                </c:pt>
                <c:pt idx="673">
                  <c:v>2.3154589875260956</c:v>
                </c:pt>
                <c:pt idx="674">
                  <c:v>2.3118533466609232</c:v>
                </c:pt>
                <c:pt idx="675">
                  <c:v>2.308335901621585</c:v>
                </c:pt>
                <c:pt idx="676">
                  <c:v>2.3049046159300963</c:v>
                </c:pt>
                <c:pt idx="677">
                  <c:v>2.3015584238969971</c:v>
                </c:pt>
                <c:pt idx="678">
                  <c:v>2.2982979434958866</c:v>
                </c:pt>
                <c:pt idx="679">
                  <c:v>2.295122947487112</c:v>
                </c:pt>
                <c:pt idx="680">
                  <c:v>2.2920317179736682</c:v>
                </c:pt>
                <c:pt idx="681">
                  <c:v>2.2890233342267798</c:v>
                </c:pt>
                <c:pt idx="682">
                  <c:v>2.2860982563235481</c:v>
                </c:pt>
                <c:pt idx="683">
                  <c:v>2.2832562546642086</c:v>
                </c:pt>
                <c:pt idx="684">
                  <c:v>2.2804958815140219</c:v>
                </c:pt>
                <c:pt idx="685">
                  <c:v>2.2778163441039885</c:v>
                </c:pt>
                <c:pt idx="686">
                  <c:v>2.2752179824611911</c:v>
                </c:pt>
                <c:pt idx="687">
                  <c:v>2.272700574229912</c:v>
                </c:pt>
                <c:pt idx="688">
                  <c:v>2.2702629019964249</c:v>
                </c:pt>
                <c:pt idx="689">
                  <c:v>2.2679042868445758</c:v>
                </c:pt>
                <c:pt idx="690">
                  <c:v>2.2656249795613026</c:v>
                </c:pt>
                <c:pt idx="691">
                  <c:v>2.2634247727333805</c:v>
                </c:pt>
                <c:pt idx="692">
                  <c:v>2.2613026464954573</c:v>
                </c:pt>
                <c:pt idx="693">
                  <c:v>2.2592580240923765</c:v>
                </c:pt>
                <c:pt idx="694">
                  <c:v>2.2572910921651013</c:v>
                </c:pt>
                <c:pt idx="695">
                  <c:v>2.2554016644262331</c:v>
                </c:pt>
                <c:pt idx="696">
                  <c:v>2.2535888916183309</c:v>
                </c:pt>
                <c:pt idx="697">
                  <c:v>2.2518522894773825</c:v>
                </c:pt>
                <c:pt idx="698">
                  <c:v>2.2501920009574059</c:v>
                </c:pt>
                <c:pt idx="699">
                  <c:v>2.2486078658839972</c:v>
                </c:pt>
                <c:pt idx="700">
                  <c:v>2.2470991834863225</c:v>
                </c:pt>
                <c:pt idx="701">
                  <c:v>2.2456655540211412</c:v>
                </c:pt>
                <c:pt idx="702">
                  <c:v>2.2443070934635387</c:v>
                </c:pt>
                <c:pt idx="703">
                  <c:v>2.2430236718037628</c:v>
                </c:pt>
                <c:pt idx="704">
                  <c:v>2.2418147186256179</c:v>
                </c:pt>
                <c:pt idx="705">
                  <c:v>2.2406799121713727</c:v>
                </c:pt>
                <c:pt idx="706">
                  <c:v>2.2396193551178007</c:v>
                </c:pt>
                <c:pt idx="707">
                  <c:v>2.2386329509491767</c:v>
                </c:pt>
                <c:pt idx="708">
                  <c:v>2.2377202447818312</c:v>
                </c:pt>
                <c:pt idx="709">
                  <c:v>2.2368809875269657</c:v>
                </c:pt>
                <c:pt idx="710">
                  <c:v>2.2361152798087778</c:v>
                </c:pt>
                <c:pt idx="711">
                  <c:v>2.2354230613874226</c:v>
                </c:pt>
                <c:pt idx="712">
                  <c:v>2.2348039808434486</c:v>
                </c:pt>
                <c:pt idx="713">
                  <c:v>2.2342578574822101</c:v>
                </c:pt>
                <c:pt idx="714">
                  <c:v>2.2337847991717235</c:v>
                </c:pt>
                <c:pt idx="715">
                  <c:v>2.2333847843259291</c:v>
                </c:pt>
                <c:pt idx="716">
                  <c:v>2.2330575552204084</c:v>
                </c:pt>
                <c:pt idx="717">
                  <c:v>2.2328029961775355</c:v>
                </c:pt>
                <c:pt idx="718">
                  <c:v>2.2326212300544825</c:v>
                </c:pt>
                <c:pt idx="719">
                  <c:v>2.2325122760112999</c:v>
                </c:pt>
                <c:pt idx="720">
                  <c:v>2.2324759621772059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F9-4F43-88F9-DF9CE0C1BFD8}"/>
            </c:ext>
          </c:extLst>
        </c:ser>
        <c:ser>
          <c:idx val="2"/>
          <c:order val="2"/>
          <c:tx>
            <c:v>Sin combustión (arrastre)</c:v>
          </c:tx>
          <c:spPr>
            <a:ln w="15120">
              <a:solidFill>
                <a:srgbClr val="88888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Presion_cilindro!$N$4:$N$724</c:f>
              <c:numCache>
                <c:formatCode>0.0</c:formatCode>
                <c:ptCount val="721"/>
                <c:pt idx="0">
                  <c:v>-180</c:v>
                </c:pt>
                <c:pt idx="1">
                  <c:v>-179.5</c:v>
                </c:pt>
                <c:pt idx="2">
                  <c:v>-179</c:v>
                </c:pt>
                <c:pt idx="3">
                  <c:v>-178.5</c:v>
                </c:pt>
                <c:pt idx="4">
                  <c:v>-178</c:v>
                </c:pt>
                <c:pt idx="5">
                  <c:v>-177.5</c:v>
                </c:pt>
                <c:pt idx="6">
                  <c:v>-177</c:v>
                </c:pt>
                <c:pt idx="7">
                  <c:v>-176.5</c:v>
                </c:pt>
                <c:pt idx="8">
                  <c:v>-176</c:v>
                </c:pt>
                <c:pt idx="9">
                  <c:v>-175.5</c:v>
                </c:pt>
                <c:pt idx="10">
                  <c:v>-175</c:v>
                </c:pt>
                <c:pt idx="11">
                  <c:v>-174.5</c:v>
                </c:pt>
                <c:pt idx="12">
                  <c:v>-174</c:v>
                </c:pt>
                <c:pt idx="13">
                  <c:v>-173.5</c:v>
                </c:pt>
                <c:pt idx="14">
                  <c:v>-173</c:v>
                </c:pt>
                <c:pt idx="15">
                  <c:v>-172.5</c:v>
                </c:pt>
                <c:pt idx="16">
                  <c:v>-172</c:v>
                </c:pt>
                <c:pt idx="17">
                  <c:v>-171.5</c:v>
                </c:pt>
                <c:pt idx="18">
                  <c:v>-171</c:v>
                </c:pt>
                <c:pt idx="19">
                  <c:v>-170.5</c:v>
                </c:pt>
                <c:pt idx="20">
                  <c:v>-170</c:v>
                </c:pt>
                <c:pt idx="21">
                  <c:v>-169.5</c:v>
                </c:pt>
                <c:pt idx="22">
                  <c:v>-169</c:v>
                </c:pt>
                <c:pt idx="23">
                  <c:v>-168.5</c:v>
                </c:pt>
                <c:pt idx="24">
                  <c:v>-168</c:v>
                </c:pt>
                <c:pt idx="25">
                  <c:v>-167.5</c:v>
                </c:pt>
                <c:pt idx="26">
                  <c:v>-167</c:v>
                </c:pt>
                <c:pt idx="27">
                  <c:v>-166.5</c:v>
                </c:pt>
                <c:pt idx="28">
                  <c:v>-166</c:v>
                </c:pt>
                <c:pt idx="29">
                  <c:v>-165.5</c:v>
                </c:pt>
                <c:pt idx="30">
                  <c:v>-165</c:v>
                </c:pt>
                <c:pt idx="31">
                  <c:v>-164.5</c:v>
                </c:pt>
                <c:pt idx="32">
                  <c:v>-164</c:v>
                </c:pt>
                <c:pt idx="33">
                  <c:v>-163.5</c:v>
                </c:pt>
                <c:pt idx="34">
                  <c:v>-163</c:v>
                </c:pt>
                <c:pt idx="35">
                  <c:v>-162.5</c:v>
                </c:pt>
                <c:pt idx="36">
                  <c:v>-162</c:v>
                </c:pt>
                <c:pt idx="37">
                  <c:v>-161.5</c:v>
                </c:pt>
                <c:pt idx="38">
                  <c:v>-161</c:v>
                </c:pt>
                <c:pt idx="39">
                  <c:v>-160.5</c:v>
                </c:pt>
                <c:pt idx="40">
                  <c:v>-160</c:v>
                </c:pt>
                <c:pt idx="41">
                  <c:v>-159.5</c:v>
                </c:pt>
                <c:pt idx="42">
                  <c:v>-159</c:v>
                </c:pt>
                <c:pt idx="43">
                  <c:v>-158.5</c:v>
                </c:pt>
                <c:pt idx="44">
                  <c:v>-158</c:v>
                </c:pt>
                <c:pt idx="45">
                  <c:v>-157.5</c:v>
                </c:pt>
                <c:pt idx="46">
                  <c:v>-157</c:v>
                </c:pt>
                <c:pt idx="47">
                  <c:v>-156.5</c:v>
                </c:pt>
                <c:pt idx="48">
                  <c:v>-156</c:v>
                </c:pt>
                <c:pt idx="49">
                  <c:v>-155.5</c:v>
                </c:pt>
                <c:pt idx="50">
                  <c:v>-155</c:v>
                </c:pt>
                <c:pt idx="51">
                  <c:v>-154.5</c:v>
                </c:pt>
                <c:pt idx="52">
                  <c:v>-154</c:v>
                </c:pt>
                <c:pt idx="53">
                  <c:v>-153.5</c:v>
                </c:pt>
                <c:pt idx="54">
                  <c:v>-153</c:v>
                </c:pt>
                <c:pt idx="55">
                  <c:v>-152.5</c:v>
                </c:pt>
                <c:pt idx="56">
                  <c:v>-152</c:v>
                </c:pt>
                <c:pt idx="57">
                  <c:v>-151.5</c:v>
                </c:pt>
                <c:pt idx="58">
                  <c:v>-151</c:v>
                </c:pt>
                <c:pt idx="59">
                  <c:v>-150.5</c:v>
                </c:pt>
                <c:pt idx="60">
                  <c:v>-150</c:v>
                </c:pt>
                <c:pt idx="61">
                  <c:v>-149.5</c:v>
                </c:pt>
                <c:pt idx="62">
                  <c:v>-149</c:v>
                </c:pt>
                <c:pt idx="63">
                  <c:v>-148.5</c:v>
                </c:pt>
                <c:pt idx="64">
                  <c:v>-148</c:v>
                </c:pt>
                <c:pt idx="65">
                  <c:v>-147.5</c:v>
                </c:pt>
                <c:pt idx="66">
                  <c:v>-147</c:v>
                </c:pt>
                <c:pt idx="67">
                  <c:v>-146.5</c:v>
                </c:pt>
                <c:pt idx="68">
                  <c:v>-146</c:v>
                </c:pt>
                <c:pt idx="69">
                  <c:v>-145.5</c:v>
                </c:pt>
                <c:pt idx="70">
                  <c:v>-145</c:v>
                </c:pt>
                <c:pt idx="71">
                  <c:v>-144.5</c:v>
                </c:pt>
                <c:pt idx="72">
                  <c:v>-144</c:v>
                </c:pt>
                <c:pt idx="73">
                  <c:v>-143.5</c:v>
                </c:pt>
                <c:pt idx="74">
                  <c:v>-143</c:v>
                </c:pt>
                <c:pt idx="75">
                  <c:v>-142.5</c:v>
                </c:pt>
                <c:pt idx="76">
                  <c:v>-142</c:v>
                </c:pt>
                <c:pt idx="77">
                  <c:v>-141.5</c:v>
                </c:pt>
                <c:pt idx="78">
                  <c:v>-141</c:v>
                </c:pt>
                <c:pt idx="79">
                  <c:v>-140.5</c:v>
                </c:pt>
                <c:pt idx="80">
                  <c:v>-140</c:v>
                </c:pt>
                <c:pt idx="81">
                  <c:v>-139.5</c:v>
                </c:pt>
                <c:pt idx="82">
                  <c:v>-139</c:v>
                </c:pt>
                <c:pt idx="83">
                  <c:v>-138.5</c:v>
                </c:pt>
                <c:pt idx="84">
                  <c:v>-138</c:v>
                </c:pt>
                <c:pt idx="85">
                  <c:v>-137.5</c:v>
                </c:pt>
                <c:pt idx="86">
                  <c:v>-137</c:v>
                </c:pt>
                <c:pt idx="87">
                  <c:v>-136.5</c:v>
                </c:pt>
                <c:pt idx="88">
                  <c:v>-136</c:v>
                </c:pt>
                <c:pt idx="89">
                  <c:v>-135.5</c:v>
                </c:pt>
                <c:pt idx="90">
                  <c:v>-135</c:v>
                </c:pt>
                <c:pt idx="91">
                  <c:v>-134.5</c:v>
                </c:pt>
                <c:pt idx="92">
                  <c:v>-134</c:v>
                </c:pt>
                <c:pt idx="93">
                  <c:v>-133.5</c:v>
                </c:pt>
                <c:pt idx="94">
                  <c:v>-133</c:v>
                </c:pt>
                <c:pt idx="95">
                  <c:v>-132.5</c:v>
                </c:pt>
                <c:pt idx="96">
                  <c:v>-132</c:v>
                </c:pt>
                <c:pt idx="97">
                  <c:v>-131.5</c:v>
                </c:pt>
                <c:pt idx="98">
                  <c:v>-131</c:v>
                </c:pt>
                <c:pt idx="99">
                  <c:v>-130.5</c:v>
                </c:pt>
                <c:pt idx="100">
                  <c:v>-130</c:v>
                </c:pt>
                <c:pt idx="101">
                  <c:v>-129.5</c:v>
                </c:pt>
                <c:pt idx="102">
                  <c:v>-129</c:v>
                </c:pt>
                <c:pt idx="103">
                  <c:v>-128.5</c:v>
                </c:pt>
                <c:pt idx="104">
                  <c:v>-128</c:v>
                </c:pt>
                <c:pt idx="105">
                  <c:v>-127.5</c:v>
                </c:pt>
                <c:pt idx="106">
                  <c:v>-127</c:v>
                </c:pt>
                <c:pt idx="107">
                  <c:v>-126.5</c:v>
                </c:pt>
                <c:pt idx="108">
                  <c:v>-126</c:v>
                </c:pt>
                <c:pt idx="109">
                  <c:v>-125.5</c:v>
                </c:pt>
                <c:pt idx="110">
                  <c:v>-125</c:v>
                </c:pt>
                <c:pt idx="111">
                  <c:v>-124.5</c:v>
                </c:pt>
                <c:pt idx="112">
                  <c:v>-124</c:v>
                </c:pt>
                <c:pt idx="113">
                  <c:v>-123.5</c:v>
                </c:pt>
                <c:pt idx="114">
                  <c:v>-123</c:v>
                </c:pt>
                <c:pt idx="115">
                  <c:v>-122.5</c:v>
                </c:pt>
                <c:pt idx="116">
                  <c:v>-122</c:v>
                </c:pt>
                <c:pt idx="117">
                  <c:v>-121.5</c:v>
                </c:pt>
                <c:pt idx="118">
                  <c:v>-121</c:v>
                </c:pt>
                <c:pt idx="119">
                  <c:v>-120.5</c:v>
                </c:pt>
                <c:pt idx="120">
                  <c:v>-120</c:v>
                </c:pt>
                <c:pt idx="121">
                  <c:v>-119.5</c:v>
                </c:pt>
                <c:pt idx="122">
                  <c:v>-119</c:v>
                </c:pt>
                <c:pt idx="123">
                  <c:v>-118.5</c:v>
                </c:pt>
                <c:pt idx="124">
                  <c:v>-118</c:v>
                </c:pt>
                <c:pt idx="125">
                  <c:v>-117.5</c:v>
                </c:pt>
                <c:pt idx="126">
                  <c:v>-117</c:v>
                </c:pt>
                <c:pt idx="127">
                  <c:v>-116.5</c:v>
                </c:pt>
                <c:pt idx="128">
                  <c:v>-116</c:v>
                </c:pt>
                <c:pt idx="129">
                  <c:v>-115.5</c:v>
                </c:pt>
                <c:pt idx="130">
                  <c:v>-115</c:v>
                </c:pt>
                <c:pt idx="131">
                  <c:v>-114.5</c:v>
                </c:pt>
                <c:pt idx="132">
                  <c:v>-114</c:v>
                </c:pt>
                <c:pt idx="133">
                  <c:v>-113.5</c:v>
                </c:pt>
                <c:pt idx="134">
                  <c:v>-113</c:v>
                </c:pt>
                <c:pt idx="135">
                  <c:v>-112.5</c:v>
                </c:pt>
                <c:pt idx="136">
                  <c:v>-112</c:v>
                </c:pt>
                <c:pt idx="137">
                  <c:v>-111.5</c:v>
                </c:pt>
                <c:pt idx="138">
                  <c:v>-111</c:v>
                </c:pt>
                <c:pt idx="139">
                  <c:v>-110.5</c:v>
                </c:pt>
                <c:pt idx="140">
                  <c:v>-110</c:v>
                </c:pt>
                <c:pt idx="141">
                  <c:v>-109.5</c:v>
                </c:pt>
                <c:pt idx="142">
                  <c:v>-109</c:v>
                </c:pt>
                <c:pt idx="143">
                  <c:v>-108.5</c:v>
                </c:pt>
                <c:pt idx="144">
                  <c:v>-108</c:v>
                </c:pt>
                <c:pt idx="145">
                  <c:v>-107.5</c:v>
                </c:pt>
                <c:pt idx="146">
                  <c:v>-107</c:v>
                </c:pt>
                <c:pt idx="147">
                  <c:v>-106.5</c:v>
                </c:pt>
                <c:pt idx="148">
                  <c:v>-106</c:v>
                </c:pt>
                <c:pt idx="149">
                  <c:v>-105.5</c:v>
                </c:pt>
                <c:pt idx="150">
                  <c:v>-105</c:v>
                </c:pt>
                <c:pt idx="151">
                  <c:v>-104.5</c:v>
                </c:pt>
                <c:pt idx="152">
                  <c:v>-104</c:v>
                </c:pt>
                <c:pt idx="153">
                  <c:v>-103.5</c:v>
                </c:pt>
                <c:pt idx="154">
                  <c:v>-103</c:v>
                </c:pt>
                <c:pt idx="155">
                  <c:v>-102.5</c:v>
                </c:pt>
                <c:pt idx="156">
                  <c:v>-102</c:v>
                </c:pt>
                <c:pt idx="157">
                  <c:v>-101.5</c:v>
                </c:pt>
                <c:pt idx="158">
                  <c:v>-101</c:v>
                </c:pt>
                <c:pt idx="159">
                  <c:v>-100.5</c:v>
                </c:pt>
                <c:pt idx="160">
                  <c:v>-100</c:v>
                </c:pt>
                <c:pt idx="161">
                  <c:v>-99.5</c:v>
                </c:pt>
                <c:pt idx="162">
                  <c:v>-99</c:v>
                </c:pt>
                <c:pt idx="163">
                  <c:v>-98.5</c:v>
                </c:pt>
                <c:pt idx="164">
                  <c:v>-98</c:v>
                </c:pt>
                <c:pt idx="165">
                  <c:v>-97.5</c:v>
                </c:pt>
                <c:pt idx="166">
                  <c:v>-97</c:v>
                </c:pt>
                <c:pt idx="167">
                  <c:v>-96.5</c:v>
                </c:pt>
                <c:pt idx="168">
                  <c:v>-96</c:v>
                </c:pt>
                <c:pt idx="169">
                  <c:v>-95.5</c:v>
                </c:pt>
                <c:pt idx="170">
                  <c:v>-95</c:v>
                </c:pt>
                <c:pt idx="171">
                  <c:v>-94.5</c:v>
                </c:pt>
                <c:pt idx="172">
                  <c:v>-94</c:v>
                </c:pt>
                <c:pt idx="173">
                  <c:v>-93.5</c:v>
                </c:pt>
                <c:pt idx="174">
                  <c:v>-93</c:v>
                </c:pt>
                <c:pt idx="175">
                  <c:v>-92.5</c:v>
                </c:pt>
                <c:pt idx="176">
                  <c:v>-92</c:v>
                </c:pt>
                <c:pt idx="177">
                  <c:v>-91.5</c:v>
                </c:pt>
                <c:pt idx="178">
                  <c:v>-91</c:v>
                </c:pt>
                <c:pt idx="179">
                  <c:v>-90.5</c:v>
                </c:pt>
                <c:pt idx="180">
                  <c:v>-90</c:v>
                </c:pt>
                <c:pt idx="181">
                  <c:v>-89.5</c:v>
                </c:pt>
                <c:pt idx="182">
                  <c:v>-89</c:v>
                </c:pt>
                <c:pt idx="183">
                  <c:v>-88.5</c:v>
                </c:pt>
                <c:pt idx="184">
                  <c:v>-88</c:v>
                </c:pt>
                <c:pt idx="185">
                  <c:v>-87.5</c:v>
                </c:pt>
                <c:pt idx="186">
                  <c:v>-87</c:v>
                </c:pt>
                <c:pt idx="187">
                  <c:v>-86.5</c:v>
                </c:pt>
                <c:pt idx="188">
                  <c:v>-86</c:v>
                </c:pt>
                <c:pt idx="189">
                  <c:v>-85.5</c:v>
                </c:pt>
                <c:pt idx="190">
                  <c:v>-85</c:v>
                </c:pt>
                <c:pt idx="191">
                  <c:v>-84.5</c:v>
                </c:pt>
                <c:pt idx="192">
                  <c:v>-84</c:v>
                </c:pt>
                <c:pt idx="193">
                  <c:v>-83.5</c:v>
                </c:pt>
                <c:pt idx="194">
                  <c:v>-83</c:v>
                </c:pt>
                <c:pt idx="195">
                  <c:v>-82.5</c:v>
                </c:pt>
                <c:pt idx="196">
                  <c:v>-82</c:v>
                </c:pt>
                <c:pt idx="197">
                  <c:v>-81.5</c:v>
                </c:pt>
                <c:pt idx="198">
                  <c:v>-81</c:v>
                </c:pt>
                <c:pt idx="199">
                  <c:v>-80.5</c:v>
                </c:pt>
                <c:pt idx="200">
                  <c:v>-80</c:v>
                </c:pt>
                <c:pt idx="201">
                  <c:v>-79.5</c:v>
                </c:pt>
                <c:pt idx="202">
                  <c:v>-79</c:v>
                </c:pt>
                <c:pt idx="203">
                  <c:v>-78.5</c:v>
                </c:pt>
                <c:pt idx="204">
                  <c:v>-78</c:v>
                </c:pt>
                <c:pt idx="205">
                  <c:v>-77.5</c:v>
                </c:pt>
                <c:pt idx="206">
                  <c:v>-77</c:v>
                </c:pt>
                <c:pt idx="207">
                  <c:v>-76.5</c:v>
                </c:pt>
                <c:pt idx="208">
                  <c:v>-76</c:v>
                </c:pt>
                <c:pt idx="209">
                  <c:v>-75.5</c:v>
                </c:pt>
                <c:pt idx="210">
                  <c:v>-75</c:v>
                </c:pt>
                <c:pt idx="211">
                  <c:v>-74.5</c:v>
                </c:pt>
                <c:pt idx="212">
                  <c:v>-74</c:v>
                </c:pt>
                <c:pt idx="213">
                  <c:v>-73.5</c:v>
                </c:pt>
                <c:pt idx="214">
                  <c:v>-73</c:v>
                </c:pt>
                <c:pt idx="215">
                  <c:v>-72.5</c:v>
                </c:pt>
                <c:pt idx="216">
                  <c:v>-72</c:v>
                </c:pt>
                <c:pt idx="217">
                  <c:v>-71.5</c:v>
                </c:pt>
                <c:pt idx="218">
                  <c:v>-71</c:v>
                </c:pt>
                <c:pt idx="219">
                  <c:v>-70.5</c:v>
                </c:pt>
                <c:pt idx="220">
                  <c:v>-70</c:v>
                </c:pt>
                <c:pt idx="221">
                  <c:v>-69.5</c:v>
                </c:pt>
                <c:pt idx="222">
                  <c:v>-69</c:v>
                </c:pt>
                <c:pt idx="223">
                  <c:v>-68.5</c:v>
                </c:pt>
                <c:pt idx="224">
                  <c:v>-68</c:v>
                </c:pt>
                <c:pt idx="225">
                  <c:v>-67.5</c:v>
                </c:pt>
                <c:pt idx="226">
                  <c:v>-67</c:v>
                </c:pt>
                <c:pt idx="227">
                  <c:v>-66.5</c:v>
                </c:pt>
                <c:pt idx="228">
                  <c:v>-66</c:v>
                </c:pt>
                <c:pt idx="229">
                  <c:v>-65.5</c:v>
                </c:pt>
                <c:pt idx="230">
                  <c:v>-65</c:v>
                </c:pt>
                <c:pt idx="231">
                  <c:v>-64.5</c:v>
                </c:pt>
                <c:pt idx="232">
                  <c:v>-64</c:v>
                </c:pt>
                <c:pt idx="233">
                  <c:v>-63.5</c:v>
                </c:pt>
                <c:pt idx="234">
                  <c:v>-63</c:v>
                </c:pt>
                <c:pt idx="235">
                  <c:v>-62.5</c:v>
                </c:pt>
                <c:pt idx="236">
                  <c:v>-62</c:v>
                </c:pt>
                <c:pt idx="237">
                  <c:v>-61.5</c:v>
                </c:pt>
                <c:pt idx="238">
                  <c:v>-61</c:v>
                </c:pt>
                <c:pt idx="239">
                  <c:v>-60.5</c:v>
                </c:pt>
                <c:pt idx="240">
                  <c:v>-60</c:v>
                </c:pt>
                <c:pt idx="241">
                  <c:v>-59.5</c:v>
                </c:pt>
                <c:pt idx="242">
                  <c:v>-59</c:v>
                </c:pt>
                <c:pt idx="243">
                  <c:v>-58.5</c:v>
                </c:pt>
                <c:pt idx="244">
                  <c:v>-58</c:v>
                </c:pt>
                <c:pt idx="245">
                  <c:v>-57.5</c:v>
                </c:pt>
                <c:pt idx="246">
                  <c:v>-57</c:v>
                </c:pt>
                <c:pt idx="247">
                  <c:v>-56.5</c:v>
                </c:pt>
                <c:pt idx="248">
                  <c:v>-56</c:v>
                </c:pt>
                <c:pt idx="249">
                  <c:v>-55.5</c:v>
                </c:pt>
                <c:pt idx="250">
                  <c:v>-55</c:v>
                </c:pt>
                <c:pt idx="251">
                  <c:v>-54.5</c:v>
                </c:pt>
                <c:pt idx="252">
                  <c:v>-54</c:v>
                </c:pt>
                <c:pt idx="253">
                  <c:v>-53.5</c:v>
                </c:pt>
                <c:pt idx="254">
                  <c:v>-53</c:v>
                </c:pt>
                <c:pt idx="255">
                  <c:v>-52.5</c:v>
                </c:pt>
                <c:pt idx="256">
                  <c:v>-52</c:v>
                </c:pt>
                <c:pt idx="257">
                  <c:v>-51.5</c:v>
                </c:pt>
                <c:pt idx="258">
                  <c:v>-51</c:v>
                </c:pt>
                <c:pt idx="259">
                  <c:v>-50.5</c:v>
                </c:pt>
                <c:pt idx="260">
                  <c:v>-50</c:v>
                </c:pt>
                <c:pt idx="261">
                  <c:v>-49.5</c:v>
                </c:pt>
                <c:pt idx="262">
                  <c:v>-49</c:v>
                </c:pt>
                <c:pt idx="263">
                  <c:v>-48.5</c:v>
                </c:pt>
                <c:pt idx="264">
                  <c:v>-48</c:v>
                </c:pt>
                <c:pt idx="265">
                  <c:v>-47.5</c:v>
                </c:pt>
                <c:pt idx="266">
                  <c:v>-47</c:v>
                </c:pt>
                <c:pt idx="267">
                  <c:v>-46.5</c:v>
                </c:pt>
                <c:pt idx="268">
                  <c:v>-46</c:v>
                </c:pt>
                <c:pt idx="269">
                  <c:v>-45.5</c:v>
                </c:pt>
                <c:pt idx="270">
                  <c:v>-45</c:v>
                </c:pt>
                <c:pt idx="271">
                  <c:v>-44.5</c:v>
                </c:pt>
                <c:pt idx="272">
                  <c:v>-44</c:v>
                </c:pt>
                <c:pt idx="273">
                  <c:v>-43.5</c:v>
                </c:pt>
                <c:pt idx="274">
                  <c:v>-43</c:v>
                </c:pt>
                <c:pt idx="275">
                  <c:v>-42.5</c:v>
                </c:pt>
                <c:pt idx="276">
                  <c:v>-42</c:v>
                </c:pt>
                <c:pt idx="277">
                  <c:v>-41.5</c:v>
                </c:pt>
                <c:pt idx="278">
                  <c:v>-41</c:v>
                </c:pt>
                <c:pt idx="279">
                  <c:v>-40.5</c:v>
                </c:pt>
                <c:pt idx="280">
                  <c:v>-40</c:v>
                </c:pt>
                <c:pt idx="281">
                  <c:v>-39.5</c:v>
                </c:pt>
                <c:pt idx="282">
                  <c:v>-39</c:v>
                </c:pt>
                <c:pt idx="283">
                  <c:v>-38.5</c:v>
                </c:pt>
                <c:pt idx="284">
                  <c:v>-38</c:v>
                </c:pt>
                <c:pt idx="285">
                  <c:v>-37.5</c:v>
                </c:pt>
                <c:pt idx="286">
                  <c:v>-37</c:v>
                </c:pt>
                <c:pt idx="287">
                  <c:v>-36.5</c:v>
                </c:pt>
                <c:pt idx="288">
                  <c:v>-36</c:v>
                </c:pt>
                <c:pt idx="289">
                  <c:v>-35.5</c:v>
                </c:pt>
                <c:pt idx="290">
                  <c:v>-35</c:v>
                </c:pt>
                <c:pt idx="291">
                  <c:v>-34.5</c:v>
                </c:pt>
                <c:pt idx="292">
                  <c:v>-34</c:v>
                </c:pt>
                <c:pt idx="293">
                  <c:v>-33.5</c:v>
                </c:pt>
                <c:pt idx="294">
                  <c:v>-33</c:v>
                </c:pt>
                <c:pt idx="295">
                  <c:v>-32.5</c:v>
                </c:pt>
                <c:pt idx="296">
                  <c:v>-32</c:v>
                </c:pt>
                <c:pt idx="297">
                  <c:v>-31.5</c:v>
                </c:pt>
                <c:pt idx="298">
                  <c:v>-31</c:v>
                </c:pt>
                <c:pt idx="299">
                  <c:v>-30.5</c:v>
                </c:pt>
                <c:pt idx="300">
                  <c:v>-30</c:v>
                </c:pt>
                <c:pt idx="301">
                  <c:v>-29.5</c:v>
                </c:pt>
                <c:pt idx="302">
                  <c:v>-29</c:v>
                </c:pt>
                <c:pt idx="303">
                  <c:v>-28.5</c:v>
                </c:pt>
                <c:pt idx="304">
                  <c:v>-28</c:v>
                </c:pt>
                <c:pt idx="305">
                  <c:v>-27.5</c:v>
                </c:pt>
                <c:pt idx="306">
                  <c:v>-27</c:v>
                </c:pt>
                <c:pt idx="307">
                  <c:v>-26.5</c:v>
                </c:pt>
                <c:pt idx="308">
                  <c:v>-26</c:v>
                </c:pt>
                <c:pt idx="309">
                  <c:v>-25.5</c:v>
                </c:pt>
                <c:pt idx="310">
                  <c:v>-25</c:v>
                </c:pt>
                <c:pt idx="311">
                  <c:v>-24.5</c:v>
                </c:pt>
                <c:pt idx="312">
                  <c:v>-24</c:v>
                </c:pt>
                <c:pt idx="313">
                  <c:v>-23.5</c:v>
                </c:pt>
                <c:pt idx="314">
                  <c:v>-23</c:v>
                </c:pt>
                <c:pt idx="315">
                  <c:v>-22.5</c:v>
                </c:pt>
                <c:pt idx="316">
                  <c:v>-22</c:v>
                </c:pt>
                <c:pt idx="317">
                  <c:v>-21.5</c:v>
                </c:pt>
                <c:pt idx="318">
                  <c:v>-21</c:v>
                </c:pt>
                <c:pt idx="319">
                  <c:v>-20.5</c:v>
                </c:pt>
                <c:pt idx="320">
                  <c:v>-20</c:v>
                </c:pt>
                <c:pt idx="321">
                  <c:v>-19.5</c:v>
                </c:pt>
                <c:pt idx="322">
                  <c:v>-19</c:v>
                </c:pt>
                <c:pt idx="323">
                  <c:v>-18.5</c:v>
                </c:pt>
                <c:pt idx="324">
                  <c:v>-18</c:v>
                </c:pt>
                <c:pt idx="325">
                  <c:v>-17.5</c:v>
                </c:pt>
                <c:pt idx="326">
                  <c:v>-17</c:v>
                </c:pt>
                <c:pt idx="327">
                  <c:v>-16.5</c:v>
                </c:pt>
                <c:pt idx="328">
                  <c:v>-16</c:v>
                </c:pt>
                <c:pt idx="329">
                  <c:v>-15.5</c:v>
                </c:pt>
                <c:pt idx="330">
                  <c:v>-15</c:v>
                </c:pt>
                <c:pt idx="331">
                  <c:v>-14.5</c:v>
                </c:pt>
                <c:pt idx="332">
                  <c:v>-14</c:v>
                </c:pt>
                <c:pt idx="333">
                  <c:v>-13.5</c:v>
                </c:pt>
                <c:pt idx="334">
                  <c:v>-13</c:v>
                </c:pt>
                <c:pt idx="335">
                  <c:v>-12.5</c:v>
                </c:pt>
                <c:pt idx="336">
                  <c:v>-12</c:v>
                </c:pt>
                <c:pt idx="337">
                  <c:v>-11.5</c:v>
                </c:pt>
                <c:pt idx="338">
                  <c:v>-11</c:v>
                </c:pt>
                <c:pt idx="339">
                  <c:v>-10.5</c:v>
                </c:pt>
                <c:pt idx="340">
                  <c:v>-10</c:v>
                </c:pt>
                <c:pt idx="341">
                  <c:v>-9.5</c:v>
                </c:pt>
                <c:pt idx="342">
                  <c:v>-9</c:v>
                </c:pt>
                <c:pt idx="343">
                  <c:v>-8.5</c:v>
                </c:pt>
                <c:pt idx="344">
                  <c:v>-8</c:v>
                </c:pt>
                <c:pt idx="345">
                  <c:v>-7.5</c:v>
                </c:pt>
                <c:pt idx="346">
                  <c:v>-7</c:v>
                </c:pt>
                <c:pt idx="347">
                  <c:v>-6.5</c:v>
                </c:pt>
                <c:pt idx="348">
                  <c:v>-6</c:v>
                </c:pt>
                <c:pt idx="349">
                  <c:v>-5.5</c:v>
                </c:pt>
                <c:pt idx="350">
                  <c:v>-5</c:v>
                </c:pt>
                <c:pt idx="351">
                  <c:v>-4.5</c:v>
                </c:pt>
                <c:pt idx="352">
                  <c:v>-4</c:v>
                </c:pt>
                <c:pt idx="353">
                  <c:v>-3.5</c:v>
                </c:pt>
                <c:pt idx="354">
                  <c:v>-3</c:v>
                </c:pt>
                <c:pt idx="355">
                  <c:v>-2.5</c:v>
                </c:pt>
                <c:pt idx="356">
                  <c:v>-2</c:v>
                </c:pt>
                <c:pt idx="357">
                  <c:v>-1.5</c:v>
                </c:pt>
                <c:pt idx="358">
                  <c:v>-1</c:v>
                </c:pt>
                <c:pt idx="359">
                  <c:v>-0.5</c:v>
                </c:pt>
                <c:pt idx="360">
                  <c:v>0</c:v>
                </c:pt>
                <c:pt idx="361">
                  <c:v>0.5</c:v>
                </c:pt>
                <c:pt idx="362">
                  <c:v>1</c:v>
                </c:pt>
                <c:pt idx="363">
                  <c:v>1.5</c:v>
                </c:pt>
                <c:pt idx="364">
                  <c:v>2</c:v>
                </c:pt>
                <c:pt idx="365">
                  <c:v>2.5</c:v>
                </c:pt>
                <c:pt idx="366">
                  <c:v>3</c:v>
                </c:pt>
                <c:pt idx="367">
                  <c:v>3.5</c:v>
                </c:pt>
                <c:pt idx="368">
                  <c:v>4</c:v>
                </c:pt>
                <c:pt idx="369">
                  <c:v>4.5</c:v>
                </c:pt>
                <c:pt idx="370">
                  <c:v>5</c:v>
                </c:pt>
                <c:pt idx="371">
                  <c:v>5.5</c:v>
                </c:pt>
                <c:pt idx="372">
                  <c:v>6</c:v>
                </c:pt>
                <c:pt idx="373">
                  <c:v>6.5</c:v>
                </c:pt>
                <c:pt idx="374">
                  <c:v>7</c:v>
                </c:pt>
                <c:pt idx="375">
                  <c:v>7.5</c:v>
                </c:pt>
                <c:pt idx="376">
                  <c:v>8</c:v>
                </c:pt>
                <c:pt idx="377">
                  <c:v>8.5</c:v>
                </c:pt>
                <c:pt idx="378">
                  <c:v>9</c:v>
                </c:pt>
                <c:pt idx="379">
                  <c:v>9.5</c:v>
                </c:pt>
                <c:pt idx="380">
                  <c:v>10</c:v>
                </c:pt>
                <c:pt idx="381">
                  <c:v>10.5</c:v>
                </c:pt>
                <c:pt idx="382">
                  <c:v>11</c:v>
                </c:pt>
                <c:pt idx="383">
                  <c:v>11.5</c:v>
                </c:pt>
                <c:pt idx="384">
                  <c:v>12</c:v>
                </c:pt>
                <c:pt idx="385">
                  <c:v>12.5</c:v>
                </c:pt>
                <c:pt idx="386">
                  <c:v>13</c:v>
                </c:pt>
                <c:pt idx="387">
                  <c:v>13.5</c:v>
                </c:pt>
                <c:pt idx="388">
                  <c:v>14</c:v>
                </c:pt>
                <c:pt idx="389">
                  <c:v>14.5</c:v>
                </c:pt>
                <c:pt idx="390">
                  <c:v>15</c:v>
                </c:pt>
                <c:pt idx="391">
                  <c:v>15.5</c:v>
                </c:pt>
                <c:pt idx="392">
                  <c:v>16</c:v>
                </c:pt>
                <c:pt idx="393">
                  <c:v>16.5</c:v>
                </c:pt>
                <c:pt idx="394">
                  <c:v>17</c:v>
                </c:pt>
                <c:pt idx="395">
                  <c:v>17.5</c:v>
                </c:pt>
                <c:pt idx="396">
                  <c:v>18</c:v>
                </c:pt>
                <c:pt idx="397">
                  <c:v>18.5</c:v>
                </c:pt>
                <c:pt idx="398">
                  <c:v>19</c:v>
                </c:pt>
                <c:pt idx="399">
                  <c:v>19.5</c:v>
                </c:pt>
                <c:pt idx="400">
                  <c:v>20</c:v>
                </c:pt>
                <c:pt idx="401">
                  <c:v>20.5</c:v>
                </c:pt>
                <c:pt idx="402">
                  <c:v>21</c:v>
                </c:pt>
                <c:pt idx="403">
                  <c:v>21.5</c:v>
                </c:pt>
                <c:pt idx="404">
                  <c:v>22</c:v>
                </c:pt>
                <c:pt idx="405">
                  <c:v>22.5</c:v>
                </c:pt>
                <c:pt idx="406">
                  <c:v>23</c:v>
                </c:pt>
                <c:pt idx="407">
                  <c:v>23.5</c:v>
                </c:pt>
                <c:pt idx="408">
                  <c:v>24</c:v>
                </c:pt>
                <c:pt idx="409">
                  <c:v>24.5</c:v>
                </c:pt>
                <c:pt idx="410">
                  <c:v>25</c:v>
                </c:pt>
                <c:pt idx="411">
                  <c:v>25.5</c:v>
                </c:pt>
                <c:pt idx="412">
                  <c:v>26</c:v>
                </c:pt>
                <c:pt idx="413">
                  <c:v>26.5</c:v>
                </c:pt>
                <c:pt idx="414">
                  <c:v>27</c:v>
                </c:pt>
                <c:pt idx="415">
                  <c:v>27.5</c:v>
                </c:pt>
                <c:pt idx="416">
                  <c:v>28</c:v>
                </c:pt>
                <c:pt idx="417">
                  <c:v>28.5</c:v>
                </c:pt>
                <c:pt idx="418">
                  <c:v>29</c:v>
                </c:pt>
                <c:pt idx="419">
                  <c:v>29.5</c:v>
                </c:pt>
                <c:pt idx="420">
                  <c:v>30</c:v>
                </c:pt>
                <c:pt idx="421">
                  <c:v>30.5</c:v>
                </c:pt>
                <c:pt idx="422">
                  <c:v>31</c:v>
                </c:pt>
                <c:pt idx="423">
                  <c:v>31.5</c:v>
                </c:pt>
                <c:pt idx="424">
                  <c:v>32</c:v>
                </c:pt>
                <c:pt idx="425">
                  <c:v>32.5</c:v>
                </c:pt>
                <c:pt idx="426">
                  <c:v>33</c:v>
                </c:pt>
                <c:pt idx="427">
                  <c:v>33.5</c:v>
                </c:pt>
                <c:pt idx="428">
                  <c:v>34</c:v>
                </c:pt>
                <c:pt idx="429">
                  <c:v>34.5</c:v>
                </c:pt>
                <c:pt idx="430">
                  <c:v>35</c:v>
                </c:pt>
                <c:pt idx="431">
                  <c:v>35.5</c:v>
                </c:pt>
                <c:pt idx="432">
                  <c:v>36</c:v>
                </c:pt>
                <c:pt idx="433">
                  <c:v>36.5</c:v>
                </c:pt>
                <c:pt idx="434">
                  <c:v>37</c:v>
                </c:pt>
                <c:pt idx="435">
                  <c:v>37.5</c:v>
                </c:pt>
                <c:pt idx="436">
                  <c:v>38</c:v>
                </c:pt>
                <c:pt idx="437">
                  <c:v>38.5</c:v>
                </c:pt>
                <c:pt idx="438">
                  <c:v>39</c:v>
                </c:pt>
                <c:pt idx="439">
                  <c:v>39.5</c:v>
                </c:pt>
                <c:pt idx="440">
                  <c:v>40</c:v>
                </c:pt>
                <c:pt idx="441">
                  <c:v>40.5</c:v>
                </c:pt>
                <c:pt idx="442">
                  <c:v>41</c:v>
                </c:pt>
                <c:pt idx="443">
                  <c:v>41.5</c:v>
                </c:pt>
                <c:pt idx="444">
                  <c:v>42</c:v>
                </c:pt>
                <c:pt idx="445">
                  <c:v>42.5</c:v>
                </c:pt>
                <c:pt idx="446">
                  <c:v>43</c:v>
                </c:pt>
                <c:pt idx="447">
                  <c:v>43.5</c:v>
                </c:pt>
                <c:pt idx="448">
                  <c:v>44</c:v>
                </c:pt>
                <c:pt idx="449">
                  <c:v>44.5</c:v>
                </c:pt>
                <c:pt idx="450">
                  <c:v>45</c:v>
                </c:pt>
                <c:pt idx="451">
                  <c:v>45.5</c:v>
                </c:pt>
                <c:pt idx="452">
                  <c:v>46</c:v>
                </c:pt>
                <c:pt idx="453">
                  <c:v>46.5</c:v>
                </c:pt>
                <c:pt idx="454">
                  <c:v>47</c:v>
                </c:pt>
                <c:pt idx="455">
                  <c:v>47.5</c:v>
                </c:pt>
                <c:pt idx="456">
                  <c:v>48</c:v>
                </c:pt>
                <c:pt idx="457">
                  <c:v>48.5</c:v>
                </c:pt>
                <c:pt idx="458">
                  <c:v>49</c:v>
                </c:pt>
                <c:pt idx="459">
                  <c:v>49.5</c:v>
                </c:pt>
                <c:pt idx="460">
                  <c:v>50</c:v>
                </c:pt>
                <c:pt idx="461">
                  <c:v>50.5</c:v>
                </c:pt>
                <c:pt idx="462">
                  <c:v>51</c:v>
                </c:pt>
                <c:pt idx="463">
                  <c:v>51.5</c:v>
                </c:pt>
                <c:pt idx="464">
                  <c:v>52</c:v>
                </c:pt>
                <c:pt idx="465">
                  <c:v>52.5</c:v>
                </c:pt>
                <c:pt idx="466">
                  <c:v>53</c:v>
                </c:pt>
                <c:pt idx="467">
                  <c:v>53.5</c:v>
                </c:pt>
                <c:pt idx="468">
                  <c:v>54</c:v>
                </c:pt>
                <c:pt idx="469">
                  <c:v>54.5</c:v>
                </c:pt>
                <c:pt idx="470">
                  <c:v>55</c:v>
                </c:pt>
                <c:pt idx="471">
                  <c:v>55.5</c:v>
                </c:pt>
                <c:pt idx="472">
                  <c:v>56</c:v>
                </c:pt>
                <c:pt idx="473">
                  <c:v>56.5</c:v>
                </c:pt>
                <c:pt idx="474">
                  <c:v>57</c:v>
                </c:pt>
                <c:pt idx="475">
                  <c:v>57.5</c:v>
                </c:pt>
                <c:pt idx="476">
                  <c:v>58</c:v>
                </c:pt>
                <c:pt idx="477">
                  <c:v>58.5</c:v>
                </c:pt>
                <c:pt idx="478">
                  <c:v>59</c:v>
                </c:pt>
                <c:pt idx="479">
                  <c:v>59.5</c:v>
                </c:pt>
                <c:pt idx="480">
                  <c:v>60</c:v>
                </c:pt>
                <c:pt idx="481">
                  <c:v>60.5</c:v>
                </c:pt>
                <c:pt idx="482">
                  <c:v>61</c:v>
                </c:pt>
                <c:pt idx="483">
                  <c:v>61.5</c:v>
                </c:pt>
                <c:pt idx="484">
                  <c:v>62</c:v>
                </c:pt>
                <c:pt idx="485">
                  <c:v>62.5</c:v>
                </c:pt>
                <c:pt idx="486">
                  <c:v>63</c:v>
                </c:pt>
                <c:pt idx="487">
                  <c:v>63.5</c:v>
                </c:pt>
                <c:pt idx="488">
                  <c:v>64</c:v>
                </c:pt>
                <c:pt idx="489">
                  <c:v>64.5</c:v>
                </c:pt>
                <c:pt idx="490">
                  <c:v>65</c:v>
                </c:pt>
                <c:pt idx="491">
                  <c:v>65.5</c:v>
                </c:pt>
                <c:pt idx="492">
                  <c:v>66</c:v>
                </c:pt>
                <c:pt idx="493">
                  <c:v>66.5</c:v>
                </c:pt>
                <c:pt idx="494">
                  <c:v>67</c:v>
                </c:pt>
                <c:pt idx="495">
                  <c:v>67.5</c:v>
                </c:pt>
                <c:pt idx="496">
                  <c:v>68</c:v>
                </c:pt>
                <c:pt idx="497">
                  <c:v>68.5</c:v>
                </c:pt>
                <c:pt idx="498">
                  <c:v>69</c:v>
                </c:pt>
                <c:pt idx="499">
                  <c:v>69.5</c:v>
                </c:pt>
                <c:pt idx="500">
                  <c:v>70</c:v>
                </c:pt>
                <c:pt idx="501">
                  <c:v>70.5</c:v>
                </c:pt>
                <c:pt idx="502">
                  <c:v>71</c:v>
                </c:pt>
                <c:pt idx="503">
                  <c:v>71.5</c:v>
                </c:pt>
                <c:pt idx="504">
                  <c:v>72</c:v>
                </c:pt>
                <c:pt idx="505">
                  <c:v>72.5</c:v>
                </c:pt>
                <c:pt idx="506">
                  <c:v>73</c:v>
                </c:pt>
                <c:pt idx="507">
                  <c:v>73.5</c:v>
                </c:pt>
                <c:pt idx="508">
                  <c:v>74</c:v>
                </c:pt>
                <c:pt idx="509">
                  <c:v>74.5</c:v>
                </c:pt>
                <c:pt idx="510">
                  <c:v>75</c:v>
                </c:pt>
                <c:pt idx="511">
                  <c:v>75.5</c:v>
                </c:pt>
                <c:pt idx="512">
                  <c:v>76</c:v>
                </c:pt>
                <c:pt idx="513">
                  <c:v>76.5</c:v>
                </c:pt>
                <c:pt idx="514">
                  <c:v>77</c:v>
                </c:pt>
                <c:pt idx="515">
                  <c:v>77.5</c:v>
                </c:pt>
                <c:pt idx="516">
                  <c:v>78</c:v>
                </c:pt>
                <c:pt idx="517">
                  <c:v>78.5</c:v>
                </c:pt>
                <c:pt idx="518">
                  <c:v>79</c:v>
                </c:pt>
                <c:pt idx="519">
                  <c:v>79.5</c:v>
                </c:pt>
                <c:pt idx="520">
                  <c:v>80</c:v>
                </c:pt>
                <c:pt idx="521">
                  <c:v>80.5</c:v>
                </c:pt>
                <c:pt idx="522">
                  <c:v>81</c:v>
                </c:pt>
                <c:pt idx="523">
                  <c:v>81.5</c:v>
                </c:pt>
                <c:pt idx="524">
                  <c:v>82</c:v>
                </c:pt>
                <c:pt idx="525">
                  <c:v>82.5</c:v>
                </c:pt>
                <c:pt idx="526">
                  <c:v>83</c:v>
                </c:pt>
                <c:pt idx="527">
                  <c:v>83.5</c:v>
                </c:pt>
                <c:pt idx="528">
                  <c:v>84</c:v>
                </c:pt>
                <c:pt idx="529">
                  <c:v>84.5</c:v>
                </c:pt>
                <c:pt idx="530">
                  <c:v>85</c:v>
                </c:pt>
                <c:pt idx="531">
                  <c:v>85.5</c:v>
                </c:pt>
                <c:pt idx="532">
                  <c:v>86</c:v>
                </c:pt>
                <c:pt idx="533">
                  <c:v>86.5</c:v>
                </c:pt>
                <c:pt idx="534">
                  <c:v>87</c:v>
                </c:pt>
                <c:pt idx="535">
                  <c:v>87.5</c:v>
                </c:pt>
                <c:pt idx="536">
                  <c:v>88</c:v>
                </c:pt>
                <c:pt idx="537">
                  <c:v>88.5</c:v>
                </c:pt>
                <c:pt idx="538">
                  <c:v>89</c:v>
                </c:pt>
                <c:pt idx="539">
                  <c:v>89.5</c:v>
                </c:pt>
                <c:pt idx="540">
                  <c:v>90</c:v>
                </c:pt>
                <c:pt idx="541">
                  <c:v>90.5</c:v>
                </c:pt>
                <c:pt idx="542">
                  <c:v>91</c:v>
                </c:pt>
                <c:pt idx="543">
                  <c:v>91.5</c:v>
                </c:pt>
                <c:pt idx="544">
                  <c:v>92</c:v>
                </c:pt>
                <c:pt idx="545">
                  <c:v>92.5</c:v>
                </c:pt>
                <c:pt idx="546">
                  <c:v>93</c:v>
                </c:pt>
                <c:pt idx="547">
                  <c:v>93.5</c:v>
                </c:pt>
                <c:pt idx="548">
                  <c:v>94</c:v>
                </c:pt>
                <c:pt idx="549">
                  <c:v>94.5</c:v>
                </c:pt>
                <c:pt idx="550">
                  <c:v>95</c:v>
                </c:pt>
                <c:pt idx="551">
                  <c:v>95.5</c:v>
                </c:pt>
                <c:pt idx="552">
                  <c:v>96</c:v>
                </c:pt>
                <c:pt idx="553">
                  <c:v>96.5</c:v>
                </c:pt>
                <c:pt idx="554">
                  <c:v>97</c:v>
                </c:pt>
                <c:pt idx="555">
                  <c:v>97.5</c:v>
                </c:pt>
                <c:pt idx="556">
                  <c:v>98</c:v>
                </c:pt>
                <c:pt idx="557">
                  <c:v>98.5</c:v>
                </c:pt>
                <c:pt idx="558">
                  <c:v>99</c:v>
                </c:pt>
                <c:pt idx="559">
                  <c:v>99.5</c:v>
                </c:pt>
                <c:pt idx="560">
                  <c:v>100</c:v>
                </c:pt>
                <c:pt idx="561">
                  <c:v>100.5</c:v>
                </c:pt>
                <c:pt idx="562">
                  <c:v>101</c:v>
                </c:pt>
                <c:pt idx="563">
                  <c:v>101.5</c:v>
                </c:pt>
                <c:pt idx="564">
                  <c:v>102</c:v>
                </c:pt>
                <c:pt idx="565">
                  <c:v>102.5</c:v>
                </c:pt>
                <c:pt idx="566">
                  <c:v>103</c:v>
                </c:pt>
                <c:pt idx="567">
                  <c:v>103.5</c:v>
                </c:pt>
                <c:pt idx="568">
                  <c:v>104</c:v>
                </c:pt>
                <c:pt idx="569">
                  <c:v>104.5</c:v>
                </c:pt>
                <c:pt idx="570">
                  <c:v>105</c:v>
                </c:pt>
                <c:pt idx="571">
                  <c:v>105.5</c:v>
                </c:pt>
                <c:pt idx="572">
                  <c:v>106</c:v>
                </c:pt>
                <c:pt idx="573">
                  <c:v>106.5</c:v>
                </c:pt>
                <c:pt idx="574">
                  <c:v>107</c:v>
                </c:pt>
                <c:pt idx="575">
                  <c:v>107.5</c:v>
                </c:pt>
                <c:pt idx="576">
                  <c:v>108</c:v>
                </c:pt>
                <c:pt idx="577">
                  <c:v>108.5</c:v>
                </c:pt>
                <c:pt idx="578">
                  <c:v>109</c:v>
                </c:pt>
                <c:pt idx="579">
                  <c:v>109.5</c:v>
                </c:pt>
                <c:pt idx="580">
                  <c:v>110</c:v>
                </c:pt>
                <c:pt idx="581">
                  <c:v>110.5</c:v>
                </c:pt>
                <c:pt idx="582">
                  <c:v>111</c:v>
                </c:pt>
                <c:pt idx="583">
                  <c:v>111.5</c:v>
                </c:pt>
                <c:pt idx="584">
                  <c:v>112</c:v>
                </c:pt>
                <c:pt idx="585">
                  <c:v>112.5</c:v>
                </c:pt>
                <c:pt idx="586">
                  <c:v>113</c:v>
                </c:pt>
                <c:pt idx="587">
                  <c:v>113.5</c:v>
                </c:pt>
                <c:pt idx="588">
                  <c:v>114</c:v>
                </c:pt>
                <c:pt idx="589">
                  <c:v>114.5</c:v>
                </c:pt>
                <c:pt idx="590">
                  <c:v>115</c:v>
                </c:pt>
                <c:pt idx="591">
                  <c:v>115.5</c:v>
                </c:pt>
                <c:pt idx="592">
                  <c:v>116</c:v>
                </c:pt>
                <c:pt idx="593">
                  <c:v>116.5</c:v>
                </c:pt>
                <c:pt idx="594">
                  <c:v>117</c:v>
                </c:pt>
                <c:pt idx="595">
                  <c:v>117.5</c:v>
                </c:pt>
                <c:pt idx="596">
                  <c:v>118</c:v>
                </c:pt>
                <c:pt idx="597">
                  <c:v>118.5</c:v>
                </c:pt>
                <c:pt idx="598">
                  <c:v>119</c:v>
                </c:pt>
                <c:pt idx="599">
                  <c:v>119.5</c:v>
                </c:pt>
                <c:pt idx="600">
                  <c:v>120</c:v>
                </c:pt>
                <c:pt idx="601">
                  <c:v>120.5</c:v>
                </c:pt>
                <c:pt idx="602">
                  <c:v>121</c:v>
                </c:pt>
                <c:pt idx="603">
                  <c:v>121.5</c:v>
                </c:pt>
                <c:pt idx="604">
                  <c:v>122</c:v>
                </c:pt>
                <c:pt idx="605">
                  <c:v>122.5</c:v>
                </c:pt>
                <c:pt idx="606">
                  <c:v>123</c:v>
                </c:pt>
                <c:pt idx="607">
                  <c:v>123.5</c:v>
                </c:pt>
                <c:pt idx="608">
                  <c:v>124</c:v>
                </c:pt>
                <c:pt idx="609">
                  <c:v>124.5</c:v>
                </c:pt>
                <c:pt idx="610">
                  <c:v>125</c:v>
                </c:pt>
                <c:pt idx="611">
                  <c:v>125.5</c:v>
                </c:pt>
                <c:pt idx="612">
                  <c:v>126</c:v>
                </c:pt>
                <c:pt idx="613">
                  <c:v>126.5</c:v>
                </c:pt>
                <c:pt idx="614">
                  <c:v>127</c:v>
                </c:pt>
                <c:pt idx="615">
                  <c:v>127.5</c:v>
                </c:pt>
                <c:pt idx="616">
                  <c:v>128</c:v>
                </c:pt>
                <c:pt idx="617">
                  <c:v>128.5</c:v>
                </c:pt>
                <c:pt idx="618">
                  <c:v>129</c:v>
                </c:pt>
                <c:pt idx="619">
                  <c:v>129.5</c:v>
                </c:pt>
                <c:pt idx="620">
                  <c:v>130</c:v>
                </c:pt>
                <c:pt idx="621">
                  <c:v>130.5</c:v>
                </c:pt>
                <c:pt idx="622">
                  <c:v>131</c:v>
                </c:pt>
                <c:pt idx="623">
                  <c:v>131.5</c:v>
                </c:pt>
                <c:pt idx="624">
                  <c:v>132</c:v>
                </c:pt>
                <c:pt idx="625">
                  <c:v>132.5</c:v>
                </c:pt>
                <c:pt idx="626">
                  <c:v>133</c:v>
                </c:pt>
                <c:pt idx="627">
                  <c:v>133.5</c:v>
                </c:pt>
                <c:pt idx="628">
                  <c:v>134</c:v>
                </c:pt>
                <c:pt idx="629">
                  <c:v>134.5</c:v>
                </c:pt>
                <c:pt idx="630">
                  <c:v>135</c:v>
                </c:pt>
                <c:pt idx="631">
                  <c:v>135.5</c:v>
                </c:pt>
                <c:pt idx="632">
                  <c:v>136</c:v>
                </c:pt>
                <c:pt idx="633">
                  <c:v>136.5</c:v>
                </c:pt>
                <c:pt idx="634">
                  <c:v>137</c:v>
                </c:pt>
                <c:pt idx="635">
                  <c:v>137.5</c:v>
                </c:pt>
                <c:pt idx="636">
                  <c:v>138</c:v>
                </c:pt>
                <c:pt idx="637">
                  <c:v>138.5</c:v>
                </c:pt>
                <c:pt idx="638">
                  <c:v>139</c:v>
                </c:pt>
                <c:pt idx="639">
                  <c:v>139.5</c:v>
                </c:pt>
                <c:pt idx="640">
                  <c:v>140</c:v>
                </c:pt>
                <c:pt idx="641">
                  <c:v>140.5</c:v>
                </c:pt>
                <c:pt idx="642">
                  <c:v>141</c:v>
                </c:pt>
                <c:pt idx="643">
                  <c:v>141.5</c:v>
                </c:pt>
                <c:pt idx="644">
                  <c:v>142</c:v>
                </c:pt>
                <c:pt idx="645">
                  <c:v>142.5</c:v>
                </c:pt>
                <c:pt idx="646">
                  <c:v>143</c:v>
                </c:pt>
                <c:pt idx="647">
                  <c:v>143.5</c:v>
                </c:pt>
                <c:pt idx="648">
                  <c:v>144</c:v>
                </c:pt>
                <c:pt idx="649">
                  <c:v>144.5</c:v>
                </c:pt>
                <c:pt idx="650">
                  <c:v>145</c:v>
                </c:pt>
                <c:pt idx="651">
                  <c:v>145.5</c:v>
                </c:pt>
                <c:pt idx="652">
                  <c:v>146</c:v>
                </c:pt>
                <c:pt idx="653">
                  <c:v>146.5</c:v>
                </c:pt>
                <c:pt idx="654">
                  <c:v>147</c:v>
                </c:pt>
                <c:pt idx="655">
                  <c:v>147.5</c:v>
                </c:pt>
                <c:pt idx="656">
                  <c:v>148</c:v>
                </c:pt>
                <c:pt idx="657">
                  <c:v>148.5</c:v>
                </c:pt>
                <c:pt idx="658">
                  <c:v>149</c:v>
                </c:pt>
                <c:pt idx="659">
                  <c:v>149.5</c:v>
                </c:pt>
                <c:pt idx="660">
                  <c:v>150</c:v>
                </c:pt>
                <c:pt idx="661">
                  <c:v>150.5</c:v>
                </c:pt>
                <c:pt idx="662">
                  <c:v>151</c:v>
                </c:pt>
                <c:pt idx="663">
                  <c:v>151.5</c:v>
                </c:pt>
                <c:pt idx="664">
                  <c:v>152</c:v>
                </c:pt>
                <c:pt idx="665">
                  <c:v>152.5</c:v>
                </c:pt>
                <c:pt idx="666">
                  <c:v>153</c:v>
                </c:pt>
                <c:pt idx="667">
                  <c:v>153.5</c:v>
                </c:pt>
                <c:pt idx="668">
                  <c:v>154</c:v>
                </c:pt>
                <c:pt idx="669">
                  <c:v>154.5</c:v>
                </c:pt>
                <c:pt idx="670">
                  <c:v>155</c:v>
                </c:pt>
                <c:pt idx="671">
                  <c:v>155.5</c:v>
                </c:pt>
                <c:pt idx="672">
                  <c:v>156</c:v>
                </c:pt>
                <c:pt idx="673">
                  <c:v>156.5</c:v>
                </c:pt>
                <c:pt idx="674">
                  <c:v>157</c:v>
                </c:pt>
                <c:pt idx="675">
                  <c:v>157.5</c:v>
                </c:pt>
                <c:pt idx="676">
                  <c:v>158</c:v>
                </c:pt>
                <c:pt idx="677">
                  <c:v>158.5</c:v>
                </c:pt>
                <c:pt idx="678">
                  <c:v>159</c:v>
                </c:pt>
                <c:pt idx="679">
                  <c:v>159.5</c:v>
                </c:pt>
                <c:pt idx="680">
                  <c:v>160</c:v>
                </c:pt>
                <c:pt idx="681">
                  <c:v>160.5</c:v>
                </c:pt>
                <c:pt idx="682">
                  <c:v>161</c:v>
                </c:pt>
                <c:pt idx="683">
                  <c:v>161.5</c:v>
                </c:pt>
                <c:pt idx="684">
                  <c:v>162</c:v>
                </c:pt>
                <c:pt idx="685">
                  <c:v>162.5</c:v>
                </c:pt>
                <c:pt idx="686">
                  <c:v>163</c:v>
                </c:pt>
                <c:pt idx="687">
                  <c:v>163.5</c:v>
                </c:pt>
                <c:pt idx="688">
                  <c:v>164</c:v>
                </c:pt>
                <c:pt idx="689">
                  <c:v>164.5</c:v>
                </c:pt>
                <c:pt idx="690">
                  <c:v>165</c:v>
                </c:pt>
                <c:pt idx="691">
                  <c:v>165.5</c:v>
                </c:pt>
                <c:pt idx="692">
                  <c:v>166</c:v>
                </c:pt>
                <c:pt idx="693">
                  <c:v>166.5</c:v>
                </c:pt>
                <c:pt idx="694">
                  <c:v>167</c:v>
                </c:pt>
                <c:pt idx="695">
                  <c:v>167.5</c:v>
                </c:pt>
                <c:pt idx="696">
                  <c:v>168</c:v>
                </c:pt>
                <c:pt idx="697">
                  <c:v>168.5</c:v>
                </c:pt>
                <c:pt idx="698">
                  <c:v>169</c:v>
                </c:pt>
                <c:pt idx="699">
                  <c:v>169.5</c:v>
                </c:pt>
                <c:pt idx="700">
                  <c:v>170</c:v>
                </c:pt>
                <c:pt idx="701">
                  <c:v>170.5</c:v>
                </c:pt>
                <c:pt idx="702">
                  <c:v>171</c:v>
                </c:pt>
                <c:pt idx="703">
                  <c:v>171.5</c:v>
                </c:pt>
                <c:pt idx="704">
                  <c:v>172</c:v>
                </c:pt>
                <c:pt idx="705">
                  <c:v>172.5</c:v>
                </c:pt>
                <c:pt idx="706">
                  <c:v>173</c:v>
                </c:pt>
                <c:pt idx="707">
                  <c:v>173.5</c:v>
                </c:pt>
                <c:pt idx="708">
                  <c:v>174</c:v>
                </c:pt>
                <c:pt idx="709">
                  <c:v>174.5</c:v>
                </c:pt>
                <c:pt idx="710">
                  <c:v>175</c:v>
                </c:pt>
                <c:pt idx="711">
                  <c:v>175.5</c:v>
                </c:pt>
                <c:pt idx="712">
                  <c:v>176</c:v>
                </c:pt>
                <c:pt idx="713">
                  <c:v>176.5</c:v>
                </c:pt>
                <c:pt idx="714">
                  <c:v>177</c:v>
                </c:pt>
                <c:pt idx="715">
                  <c:v>177.5</c:v>
                </c:pt>
                <c:pt idx="716">
                  <c:v>178</c:v>
                </c:pt>
                <c:pt idx="717">
                  <c:v>178.5</c:v>
                </c:pt>
                <c:pt idx="718">
                  <c:v>179</c:v>
                </c:pt>
                <c:pt idx="719">
                  <c:v>179.5</c:v>
                </c:pt>
                <c:pt idx="720">
                  <c:v>180</c:v>
                </c:pt>
              </c:numCache>
            </c:numRef>
          </c:xVal>
          <c:yVal>
            <c:numRef>
              <c:f>Presion_cilindro!$R$4:$R$724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4.6033346729217515</c:v>
                </c:pt>
                <c:pt idx="276">
                  <c:v>4.6838282643979383</c:v>
                </c:pt>
                <c:pt idx="277">
                  <c:v>4.7661189310785605</c:v>
                </c:pt>
                <c:pt idx="278">
                  <c:v>4.8502428963503164</c:v>
                </c:pt>
                <c:pt idx="279">
                  <c:v>4.9362364384492903</c:v>
                </c:pt>
                <c:pt idx="280">
                  <c:v>5.024135818595048</c:v>
                </c:pt>
                <c:pt idx="281">
                  <c:v>5.1139772021108811</c:v>
                </c:pt>
                <c:pt idx="282">
                  <c:v>5.2057965720721358</c:v>
                </c:pt>
                <c:pt idx="283">
                  <c:v>5.2996296350088352</c:v>
                </c:pt>
                <c:pt idx="284">
                  <c:v>5.3955117181735694</c:v>
                </c:pt>
                <c:pt idx="285">
                  <c:v>5.4934776578723703</c:v>
                </c:pt>
                <c:pt idx="286">
                  <c:v>5.5935616783449866</c:v>
                </c:pt>
                <c:pt idx="287">
                  <c:v>5.6957972606717471</c:v>
                </c:pt>
                <c:pt idx="288">
                  <c:v>5.80021700117838</c:v>
                </c:pt>
                <c:pt idx="289">
                  <c:v>5.9068524588072222</c:v>
                </c:pt>
                <c:pt idx="290">
                  <c:v>6.0157339909247796</c:v>
                </c:pt>
                <c:pt idx="291">
                  <c:v>6.1268905770417605</c:v>
                </c:pt>
                <c:pt idx="292">
                  <c:v>6.2403496299330925</c:v>
                </c:pt>
                <c:pt idx="293">
                  <c:v>6.3561367936632998</c:v>
                </c:pt>
                <c:pt idx="294">
                  <c:v>6.474275728047596</c:v>
                </c:pt>
                <c:pt idx="295">
                  <c:v>6.5947878791117649</c:v>
                </c:pt>
                <c:pt idx="296">
                  <c:v>6.7176922351560417</c:v>
                </c:pt>
                <c:pt idx="297">
                  <c:v>6.8430050680798962</c:v>
                </c:pt>
                <c:pt idx="298">
                  <c:v>6.9707396596879816</c:v>
                </c:pt>
                <c:pt idx="299">
                  <c:v>7.1009060127726942</c:v>
                </c:pt>
                <c:pt idx="300">
                  <c:v>7.2335105468578709</c:v>
                </c:pt>
                <c:pt idx="301">
                  <c:v>7.3685557785910527</c:v>
                </c:pt>
                <c:pt idx="302">
                  <c:v>7.5060399868917722</c:v>
                </c:pt>
                <c:pt idx="303">
                  <c:v>7.6459568630988599</c:v>
                </c:pt>
                <c:pt idx="304">
                  <c:v>7.7882951465147201</c:v>
                </c:pt>
                <c:pt idx="305">
                  <c:v>7.9330382459174604</c:v>
                </c:pt>
                <c:pt idx="306">
                  <c:v>8.080163847805947</c:v>
                </c:pt>
                <c:pt idx="307">
                  <c:v>8.2296435123565956</c:v>
                </c:pt>
                <c:pt idx="308">
                  <c:v>8.381442258307171</c:v>
                </c:pt>
                <c:pt idx="309">
                  <c:v>8.5355181382400183</c:v>
                </c:pt>
                <c:pt idx="310">
                  <c:v>8.6918218060164509</c:v>
                </c:pt>
                <c:pt idx="311">
                  <c:v>8.8502960784148286</c:v>
                </c:pt>
                <c:pt idx="312">
                  <c:v>9.0108754933457398</c:v>
                </c:pt>
                <c:pt idx="313">
                  <c:v>9.173485867358151</c:v>
                </c:pt>
                <c:pt idx="314">
                  <c:v>9.3380438555080385</c:v>
                </c:pt>
                <c:pt idx="315">
                  <c:v>9.5044565170328568</c:v>
                </c:pt>
                <c:pt idx="316">
                  <c:v>9.6726208906595392</c:v>
                </c:pt>
                <c:pt idx="317">
                  <c:v>9.8424235837635088</c:v>
                </c:pt>
                <c:pt idx="318">
                  <c:v>10.013740379990242</c:v>
                </c:pt>
                <c:pt idx="319">
                  <c:v>10.186435870339222</c:v>
                </c:pt>
                <c:pt idx="320">
                  <c:v>10.360363113089631</c:v>
                </c:pt>
                <c:pt idx="321">
                  <c:v>10.535363328307028</c:v>
                </c:pt>
                <c:pt idx="322">
                  <c:v>10.711265633003194</c:v>
                </c:pt>
                <c:pt idx="323">
                  <c:v>10.887886823317414</c:v>
                </c:pt>
                <c:pt idx="324">
                  <c:v>11.065031210336159</c:v>
                </c:pt>
                <c:pt idx="325">
                  <c:v>11.242490516356877</c:v>
                </c:pt>
                <c:pt idx="326">
                  <c:v>11.420043838520682</c:v>
                </c:pt>
                <c:pt idx="327">
                  <c:v>11.597457686773055</c:v>
                </c:pt>
                <c:pt idx="328">
                  <c:v>11.774486103051757</c:v>
                </c:pt>
                <c:pt idx="329">
                  <c:v>11.950870868431339</c:v>
                </c:pt>
                <c:pt idx="330">
                  <c:v>12.126341804664458</c:v>
                </c:pt>
                <c:pt idx="331">
                  <c:v>12.300617176140848</c:v>
                </c:pt>
                <c:pt idx="332">
                  <c:v>12.473404197722738</c:v>
                </c:pt>
                <c:pt idx="333">
                  <c:v>12.644399653207032</c:v>
                </c:pt>
                <c:pt idx="334">
                  <c:v>12.813290628301043</c:v>
                </c:pt>
                <c:pt idx="335">
                  <c:v>12.97975536097953</c:v>
                </c:pt>
                <c:pt idx="336">
                  <c:v>13.143464210914832</c:v>
                </c:pt>
                <c:pt idx="337">
                  <c:v>13.304080748347879</c:v>
                </c:pt>
                <c:pt idx="338">
                  <c:v>13.461262961297823</c:v>
                </c:pt>
                <c:pt idx="339">
                  <c:v>13.614664578413283</c:v>
                </c:pt>
                <c:pt idx="340">
                  <c:v>13.763936503061698</c:v>
                </c:pt>
                <c:pt idx="341">
                  <c:v>13.908728352459104</c:v>
                </c:pt>
                <c:pt idx="342">
                  <c:v>14.04869009379118</c:v>
                </c:pt>
                <c:pt idx="343">
                  <c:v>14.183473767397132</c:v>
                </c:pt>
                <c:pt idx="344">
                  <c:v>14.312735285220532</c:v>
                </c:pt>
                <c:pt idx="345">
                  <c:v>14.436136290913105</c:v>
                </c:pt>
                <c:pt idx="346">
                  <c:v>14.553346066252981</c:v>
                </c:pt>
                <c:pt idx="347">
                  <c:v>14.664043466953874</c:v>
                </c:pt>
                <c:pt idx="348">
                  <c:v>14.767918869536354</c:v>
                </c:pt>
                <c:pt idx="349">
                  <c:v>14.864676109755639</c:v>
                </c:pt>
                <c:pt idx="350">
                  <c:v>14.954034392170891</c:v>
                </c:pt>
                <c:pt idx="351">
                  <c:v>15.035730149834537</c:v>
                </c:pt>
                <c:pt idx="352">
                  <c:v>15.109518832812107</c:v>
                </c:pt>
                <c:pt idx="353">
                  <c:v>15.175176604336544</c:v>
                </c:pt>
                <c:pt idx="354">
                  <c:v>15.232501923870371</c:v>
                </c:pt>
                <c:pt idx="355">
                  <c:v>15.281316997206222</c:v>
                </c:pt>
                <c:pt idx="356">
                  <c:v>15.321469074977401</c:v>
                </c:pt>
                <c:pt idx="357">
                  <c:v>15.352831582558789</c:v>
                </c:pt>
                <c:pt idx="358">
                  <c:v>15.375305066297368</c:v>
                </c:pt>
                <c:pt idx="359">
                  <c:v>15.388817943283314</c:v>
                </c:pt>
                <c:pt idx="360">
                  <c:v>15.393327044416075</c:v>
                </c:pt>
                <c:pt idx="361">
                  <c:v>15.388817943283316</c:v>
                </c:pt>
                <c:pt idx="362">
                  <c:v>15.375305066297368</c:v>
                </c:pt>
                <c:pt idx="363">
                  <c:v>15.352831582558787</c:v>
                </c:pt>
                <c:pt idx="364">
                  <c:v>15.321469074977397</c:v>
                </c:pt>
                <c:pt idx="365">
                  <c:v>15.281316997206215</c:v>
                </c:pt>
                <c:pt idx="366">
                  <c:v>15.232501923870363</c:v>
                </c:pt>
                <c:pt idx="367">
                  <c:v>15.175176604336531</c:v>
                </c:pt>
                <c:pt idx="368">
                  <c:v>15.109518832812094</c:v>
                </c:pt>
                <c:pt idx="369">
                  <c:v>15.035730149834523</c:v>
                </c:pt>
                <c:pt idx="370">
                  <c:v>14.954034392170879</c:v>
                </c:pt>
                <c:pt idx="371">
                  <c:v>14.864676109755628</c:v>
                </c:pt>
                <c:pt idx="372">
                  <c:v>14.767918869536345</c:v>
                </c:pt>
                <c:pt idx="373">
                  <c:v>14.664043466953865</c:v>
                </c:pt>
                <c:pt idx="374">
                  <c:v>14.553346066252972</c:v>
                </c:pt>
                <c:pt idx="375">
                  <c:v>14.436136290913094</c:v>
                </c:pt>
                <c:pt idx="376">
                  <c:v>14.312735285220519</c:v>
                </c:pt>
                <c:pt idx="377">
                  <c:v>14.183473767397123</c:v>
                </c:pt>
                <c:pt idx="378">
                  <c:v>14.048690093791173</c:v>
                </c:pt>
                <c:pt idx="379">
                  <c:v>13.908728352459098</c:v>
                </c:pt>
                <c:pt idx="380">
                  <c:v>13.763936503061696</c:v>
                </c:pt>
                <c:pt idx="381">
                  <c:v>13.614664578413281</c:v>
                </c:pt>
                <c:pt idx="382">
                  <c:v>13.461262961297821</c:v>
                </c:pt>
                <c:pt idx="383">
                  <c:v>13.304080748347879</c:v>
                </c:pt>
                <c:pt idx="384">
                  <c:v>13.143464210914832</c:v>
                </c:pt>
                <c:pt idx="385">
                  <c:v>12.97975536097953</c:v>
                </c:pt>
                <c:pt idx="386">
                  <c:v>12.813290628301045</c:v>
                </c:pt>
                <c:pt idx="387">
                  <c:v>12.64439965320703</c:v>
                </c:pt>
                <c:pt idx="388">
                  <c:v>12.473404197722736</c:v>
                </c:pt>
                <c:pt idx="389">
                  <c:v>12.300617176140848</c:v>
                </c:pt>
                <c:pt idx="390">
                  <c:v>12.126341804664458</c:v>
                </c:pt>
                <c:pt idx="391">
                  <c:v>11.950870868431338</c:v>
                </c:pt>
                <c:pt idx="392">
                  <c:v>11.774486103051757</c:v>
                </c:pt>
                <c:pt idx="393">
                  <c:v>11.597457686773055</c:v>
                </c:pt>
                <c:pt idx="394">
                  <c:v>11.42004383852068</c:v>
                </c:pt>
                <c:pt idx="395">
                  <c:v>11.242490516356876</c:v>
                </c:pt>
                <c:pt idx="396">
                  <c:v>11.065031210336159</c:v>
                </c:pt>
                <c:pt idx="397">
                  <c:v>10.887886823317416</c:v>
                </c:pt>
                <c:pt idx="398">
                  <c:v>10.711265633003194</c:v>
                </c:pt>
                <c:pt idx="399">
                  <c:v>10.535363328307026</c:v>
                </c:pt>
                <c:pt idx="400">
                  <c:v>10.36036311308963</c:v>
                </c:pt>
                <c:pt idx="401">
                  <c:v>10.186435870339222</c:v>
                </c:pt>
                <c:pt idx="402">
                  <c:v>10.01374037999024</c:v>
                </c:pt>
                <c:pt idx="403">
                  <c:v>9.8424235837635088</c:v>
                </c:pt>
                <c:pt idx="404">
                  <c:v>9.6726208906595392</c:v>
                </c:pt>
                <c:pt idx="405">
                  <c:v>9.5044565170328568</c:v>
                </c:pt>
                <c:pt idx="406">
                  <c:v>9.3380438555080385</c:v>
                </c:pt>
                <c:pt idx="407">
                  <c:v>9.1734858673581492</c:v>
                </c:pt>
                <c:pt idx="408">
                  <c:v>9.010875493345738</c:v>
                </c:pt>
                <c:pt idx="409">
                  <c:v>8.8502960784148268</c:v>
                </c:pt>
                <c:pt idx="410">
                  <c:v>8.6918218060164474</c:v>
                </c:pt>
                <c:pt idx="411">
                  <c:v>8.5355181382400129</c:v>
                </c:pt>
                <c:pt idx="412">
                  <c:v>8.3814422583071657</c:v>
                </c:pt>
                <c:pt idx="413">
                  <c:v>8.2296435123565921</c:v>
                </c:pt>
                <c:pt idx="414">
                  <c:v>8.0801638478059434</c:v>
                </c:pt>
                <c:pt idx="415">
                  <c:v>7.933038245917456</c:v>
                </c:pt>
                <c:pt idx="416">
                  <c:v>7.7882951465147148</c:v>
                </c:pt>
                <c:pt idx="417">
                  <c:v>7.6459568630988555</c:v>
                </c:pt>
                <c:pt idx="418">
                  <c:v>7.5060399868917669</c:v>
                </c:pt>
                <c:pt idx="419">
                  <c:v>7.3685557785910492</c:v>
                </c:pt>
                <c:pt idx="420">
                  <c:v>7.2335105468578673</c:v>
                </c:pt>
                <c:pt idx="421">
                  <c:v>7.1009060127726897</c:v>
                </c:pt>
                <c:pt idx="422">
                  <c:v>6.9707396596879763</c:v>
                </c:pt>
                <c:pt idx="423">
                  <c:v>6.8430050680798891</c:v>
                </c:pt>
                <c:pt idx="424">
                  <c:v>6.7176922351560346</c:v>
                </c:pt>
                <c:pt idx="425">
                  <c:v>6.5947878791117569</c:v>
                </c:pt>
                <c:pt idx="426">
                  <c:v>6.4742757280475871</c:v>
                </c:pt>
                <c:pt idx="427">
                  <c:v>6.3561367936632918</c:v>
                </c:pt>
                <c:pt idx="428">
                  <c:v>6.2403496299330854</c:v>
                </c:pt>
                <c:pt idx="429">
                  <c:v>6.1268905770417534</c:v>
                </c:pt>
                <c:pt idx="430">
                  <c:v>6.0157339909247716</c:v>
                </c:pt>
                <c:pt idx="431">
                  <c:v>5.9068524588072142</c:v>
                </c:pt>
                <c:pt idx="432">
                  <c:v>5.800217001178372</c:v>
                </c:pt>
                <c:pt idx="433">
                  <c:v>5.6957972606717382</c:v>
                </c:pt>
                <c:pt idx="434">
                  <c:v>5.5935616783449786</c:v>
                </c:pt>
                <c:pt idx="435">
                  <c:v>5.4934776578723623</c:v>
                </c:pt>
                <c:pt idx="436">
                  <c:v>5.3955117181735615</c:v>
                </c:pt>
                <c:pt idx="437">
                  <c:v>5.2996296350088281</c:v>
                </c:pt>
                <c:pt idx="438">
                  <c:v>5.2057965720721295</c:v>
                </c:pt>
                <c:pt idx="439">
                  <c:v>5.1139772021108758</c:v>
                </c:pt>
                <c:pt idx="440">
                  <c:v>5.0241358185950435</c:v>
                </c:pt>
                <c:pt idx="441">
                  <c:v>4.9362364384492867</c:v>
                </c:pt>
                <c:pt idx="442">
                  <c:v>4.8502428963503137</c:v>
                </c:pt>
                <c:pt idx="443">
                  <c:v>4.766118931078557</c:v>
                </c:pt>
                <c:pt idx="444">
                  <c:v>4.6838282643979356</c:v>
                </c:pt>
                <c:pt idx="445">
                  <c:v>4.6033346729217497</c:v>
                </c:pt>
                <c:pt idx="446">
                  <c:v>4.5246020534052267</c:v>
                </c:pt>
                <c:pt idx="447">
                  <c:v>4.4475944818880713</c:v>
                </c:pt>
                <c:pt idx="448">
                  <c:v>4.372276267091598</c:v>
                </c:pt>
                <c:pt idx="449">
                  <c:v>4.2986119984572753</c:v>
                </c:pt>
                <c:pt idx="450">
                  <c:v>4.2265665891946709</c:v>
                </c:pt>
                <c:pt idx="451">
                  <c:v>4.1561053146887952</c:v>
                </c:pt>
                <c:pt idx="452">
                  <c:v>4.0871938465984909</c:v>
                </c:pt>
                <c:pt idx="453">
                  <c:v>4.0197982829600498</c:v>
                </c:pt>
                <c:pt idx="454">
                  <c:v>3.9538851745926773</c:v>
                </c:pt>
                <c:pt idx="455">
                  <c:v>3.8894215480857035</c:v>
                </c:pt>
                <c:pt idx="456">
                  <c:v>3.8263749256309603</c:v>
                </c:pt>
                <c:pt idx="457">
                  <c:v>3.764713341948192</c:v>
                </c:pt>
                <c:pt idx="458">
                  <c:v>3.7044053585359564</c:v>
                </c:pt>
                <c:pt idx="459">
                  <c:v>3.6454200754661343</c:v>
                </c:pt>
                <c:pt idx="460">
                  <c:v>3.5877271409260953</c:v>
                </c:pt>
                <c:pt idx="461">
                  <c:v>3.5312967586994408</c:v>
                </c:pt>
                <c:pt idx="462">
                  <c:v>3.4760996937634459</c:v>
                </c:pt>
                <c:pt idx="463">
                  <c:v>3.4221072761694429</c:v>
                </c:pt>
                <c:pt idx="464">
                  <c:v>3.3692914033609846</c:v>
                </c:pt>
                <c:pt idx="465">
                  <c:v>3.3176245410737786</c:v>
                </c:pt>
                <c:pt idx="466">
                  <c:v>3.267079722951264</c:v>
                </c:pt>
                <c:pt idx="467">
                  <c:v>3.2176305490001273</c:v>
                </c:pt>
                <c:pt idx="468">
                  <c:v>3.1692511830009589</c:v>
                </c:pt>
                <c:pt idx="469">
                  <c:v>3.1219163489807213</c:v>
                </c:pt>
                <c:pt idx="470">
                  <c:v>3.0756013268458338</c:v>
                </c:pt>
                <c:pt idx="471">
                  <c:v>3.0302819472670341</c:v>
                </c:pt>
                <c:pt idx="472">
                  <c:v>2.9859345859002167</c:v>
                </c:pt>
                <c:pt idx="473">
                  <c:v>2.942536157020966</c:v>
                </c:pt>
                <c:pt idx="474">
                  <c:v>2.9000641066441499</c:v>
                </c:pt>
                <c:pt idx="475">
                  <c:v>2.8584964051944266</c:v>
                </c:pt>
                <c:pt idx="476">
                  <c:v>2.817811539787983</c:v>
                </c:pt>
                <c:pt idx="477">
                  <c:v>2.7779885061809817</c:v>
                </c:pt>
                <c:pt idx="478">
                  <c:v>2.7390068004353867</c:v>
                </c:pt>
                <c:pt idx="479">
                  <c:v>2.7008464103486944</c:v>
                </c:pt>
                <c:pt idx="480">
                  <c:v>2.6634878066899277</c:v>
                </c:pt>
                <c:pt idx="481">
                  <c:v>2.6269119342806158</c:v>
                </c:pt>
                <c:pt idx="482">
                  <c:v>2.5911002029559662</c:v>
                </c:pt>
                <c:pt idx="483">
                  <c:v>2.556034478438252</c:v>
                </c:pt>
                <c:pt idx="484">
                  <c:v>2.5216970731515165</c:v>
                </c:pt>
                <c:pt idx="485">
                  <c:v>2.488070737003778</c:v>
                </c:pt>
                <c:pt idx="486">
                  <c:v>2.4551386481606619</c:v>
                </c:pt>
                <c:pt idx="487">
                  <c:v>2.4228844038316839</c:v>
                </c:pt>
                <c:pt idx="488">
                  <c:v>2.3912920110886033</c:v>
                </c:pt>
                <c:pt idx="489">
                  <c:v>2.3603458777329567</c:v>
                </c:pt>
                <c:pt idx="490">
                  <c:v>2.3300308032282664</c:v>
                </c:pt>
                <c:pt idx="491">
                  <c:v>2.3003319697106086</c:v>
                </c:pt>
                <c:pt idx="492">
                  <c:v>2.2712349330896493</c:v>
                </c:pt>
                <c:pt idx="493">
                  <c:v>2.2427256142509515</c:v>
                </c:pt>
                <c:pt idx="494">
                  <c:v>2.2147902903688901</c:v>
                </c:pt>
                <c:pt idx="495">
                  <c:v>2.1874155863384415</c:v>
                </c:pt>
                <c:pt idx="496">
                  <c:v>2.1605884663328774</c:v>
                </c:pt>
                <c:pt idx="497">
                  <c:v>2.1342962254935238</c:v>
                </c:pt>
                <c:pt idx="498">
                  <c:v>2.1085264817567029</c:v>
                </c:pt>
                <c:pt idx="499">
                  <c:v>2.0832671678222412</c:v>
                </c:pt>
                <c:pt idx="500">
                  <c:v>2.0585065232670483</c:v>
                </c:pt>
                <c:pt idx="501">
                  <c:v>2.0342330868066867</c:v>
                </c:pt>
                <c:pt idx="502">
                  <c:v>2.0104356887071182</c:v>
                </c:pt>
                <c:pt idx="503">
                  <c:v>1.9871034433483405</c:v>
                </c:pt>
                <c:pt idx="504">
                  <c:v>1.9642257419410103</c:v>
                </c:pt>
                <c:pt idx="505">
                  <c:v>1.9417922453967198</c:v>
                </c:pt>
                <c:pt idx="506">
                  <c:v>1.9197928773522266</c:v>
                </c:pt>
                <c:pt idx="507">
                  <c:v>1.8982178173474367</c:v>
                </c:pt>
                <c:pt idx="508">
                  <c:v>1.8770574941567015</c:v>
                </c:pt>
                <c:pt idx="509">
                  <c:v>1.8563025792726398</c:v>
                </c:pt>
                <c:pt idx="510">
                  <c:v>1.8359439805414339</c:v>
                </c:pt>
                <c:pt idx="511">
                  <c:v>1.8159728359482914</c:v>
                </c:pt>
                <c:pt idx="512">
                  <c:v>1.7963805075515626</c:v>
                </c:pt>
                <c:pt idx="513">
                  <c:v>1.7771585755638368</c:v>
                </c:pt>
                <c:pt idx="514">
                  <c:v>1.7582988325781208</c:v>
                </c:pt>
                <c:pt idx="515">
                  <c:v>1.7397932779371019</c:v>
                </c:pt>
                <c:pt idx="516">
                  <c:v>1.7216341122433765</c:v>
                </c:pt>
                <c:pt idx="517">
                  <c:v>1.7038137320083881</c:v>
                </c:pt>
                <c:pt idx="518">
                  <c:v>1.6863247244377333</c:v>
                </c:pt>
                <c:pt idx="519">
                  <c:v>1.6691598623504647</c:v>
                </c:pt>
                <c:pt idx="520">
                  <c:v>1.6523120992298963</c:v>
                </c:pt>
                <c:pt idx="521">
                  <c:v>1.6357745644033883</c:v>
                </c:pt>
                <c:pt idx="522">
                  <c:v>1.6195405583485833</c:v>
                </c:pt>
                <c:pt idx="523">
                  <c:v>1.6036035481234834</c:v>
                </c:pt>
                <c:pt idx="524">
                  <c:v>1.5879571629177807</c:v>
                </c:pt>
                <c:pt idx="525">
                  <c:v>1.5725951897228112</c:v>
                </c:pt>
                <c:pt idx="526">
                  <c:v>1.5575115691175239</c:v>
                </c:pt>
                <c:pt idx="527">
                  <c:v>1.5427003911678534</c:v>
                </c:pt>
                <c:pt idx="528">
                  <c:v>1.5281558914368611</c:v>
                </c:pt>
                <c:pt idx="529">
                  <c:v>1.5138724471030909</c:v>
                </c:pt>
                <c:pt idx="530">
                  <c:v>1.4998445731845342</c:v>
                </c:pt>
                <c:pt idx="531">
                  <c:v>1.4860669188656557</c:v>
                </c:pt>
                <c:pt idx="532">
                  <c:v>1.4725342639249746</c:v>
                </c:pt>
                <c:pt idx="533">
                  <c:v>1.4592415152606755</c:v>
                </c:pt>
                <c:pt idx="534">
                  <c:v>1.4461837035118137</c:v>
                </c:pt>
                <c:pt idx="535">
                  <c:v>1.4333559797726672</c:v>
                </c:pt>
                <c:pt idx="536">
                  <c:v>1.4207536123978532</c:v>
                </c:pt>
                <c:pt idx="537">
                  <c:v>1.4083719838958582</c:v>
                </c:pt>
                <c:pt idx="538">
                  <c:v>1.396206587908658</c:v>
                </c:pt>
                <c:pt idx="539">
                  <c:v>1.38425302627519</c:v>
                </c:pt>
                <c:pt idx="540">
                  <c:v>1.3725070061763998</c:v>
                </c:pt>
                <c:pt idx="541">
                  <c:v>1.3609643373597347</c:v>
                </c:pt>
                <c:pt idx="542">
                  <c:v>1.3496209294409052</c:v>
                </c:pt>
                <c:pt idx="543">
                  <c:v>1.3384727892808426</c:v>
                </c:pt>
                <c:pt idx="544">
                  <c:v>1.3275160184357873</c:v>
                </c:pt>
                <c:pt idx="545">
                  <c:v>1.3167468106785301</c:v>
                </c:pt>
                <c:pt idx="546">
                  <c:v>1.3061614495888147</c:v>
                </c:pt>
                <c:pt idx="547">
                  <c:v>1.2957563062110169</c:v>
                </c:pt>
                <c:pt idx="548">
                  <c:v>1.2855278367772225</c:v>
                </c:pt>
                <c:pt idx="549">
                  <c:v>1.2754725804938731</c:v>
                </c:pt>
                <c:pt idx="550">
                  <c:v>1.2655871573902115</c:v>
                </c:pt>
                <c:pt idx="551">
                  <c:v>1.2558682662267953</c:v>
                </c:pt>
                <c:pt idx="552">
                  <c:v>1.2463126824623709</c:v>
                </c:pt>
                <c:pt idx="553">
                  <c:v>1.2369172562774797</c:v>
                </c:pt>
                <c:pt idx="554">
                  <c:v>1.2276789106531725</c:v>
                </c:pt>
                <c:pt idx="555">
                  <c:v>1.218594639503281</c:v>
                </c:pt>
                <c:pt idx="556">
                  <c:v>1.2096615058587261</c:v>
                </c:pt>
                <c:pt idx="557">
                  <c:v>1.2008766401023558</c:v>
                </c:pt>
                <c:pt idx="558">
                  <c:v>1.1922372382529083</c:v>
                </c:pt>
                <c:pt idx="559">
                  <c:v>1.1837405602966609</c:v>
                </c:pt>
                <c:pt idx="560">
                  <c:v>1.1753839285654204</c:v>
                </c:pt>
                <c:pt idx="561">
                  <c:v>1.1671647261595199</c:v>
                </c:pt>
                <c:pt idx="562">
                  <c:v>1.159080395414533</c:v>
                </c:pt>
                <c:pt idx="563">
                  <c:v>1.1511284364104357</c:v>
                </c:pt>
                <c:pt idx="564">
                  <c:v>1.143306405522027</c:v>
                </c:pt>
                <c:pt idx="565">
                  <c:v>1.1356119140093852</c:v>
                </c:pt>
                <c:pt idx="566">
                  <c:v>1.1280426266472241</c:v>
                </c:pt>
                <c:pt idx="567">
                  <c:v>1.1205962603920452</c:v>
                </c:pt>
                <c:pt idx="568">
                  <c:v>1.1132705830859564</c:v>
                </c:pt>
                <c:pt idx="569">
                  <c:v>1.1060634121961452</c:v>
                </c:pt>
                <c:pt idx="570">
                  <c:v>1.0989726135889428</c:v>
                </c:pt>
                <c:pt idx="571">
                  <c:v>1.0919961003375089</c:v>
                </c:pt>
                <c:pt idx="572">
                  <c:v>1.0851318315621514</c:v>
                </c:pt>
                <c:pt idx="573">
                  <c:v>1.0783778113023426</c:v>
                </c:pt>
                <c:pt idx="574">
                  <c:v>1.0717320874195353</c:v>
                </c:pt>
                <c:pt idx="575">
                  <c:v>1.0651927505298655</c:v>
                </c:pt>
                <c:pt idx="576">
                  <c:v>1.0587579329659069</c:v>
                </c:pt>
                <c:pt idx="577">
                  <c:v>1.0524258077666195</c:v>
                </c:pt>
                <c:pt idx="578">
                  <c:v>1.0461945876947023</c:v>
                </c:pt>
                <c:pt idx="579">
                  <c:v>1.0400625242805464</c:v>
                </c:pt>
                <c:pt idx="580">
                  <c:v>1.0340279068920357</c:v>
                </c:pt>
                <c:pt idx="581">
                  <c:v>1.0280890618294434</c:v>
                </c:pt>
                <c:pt idx="582">
                  <c:v>1.0222443514447217</c:v>
                </c:pt>
                <c:pt idx="583">
                  <c:v>1.016492173284465</c:v>
                </c:pt>
                <c:pt idx="584">
                  <c:v>1.0108309592558866</c:v>
                </c:pt>
                <c:pt idx="585">
                  <c:v>1.0052591748151447</c:v>
                </c:pt>
                <c:pt idx="586">
                  <c:v>0.99977531817737897</c:v>
                </c:pt>
                <c:pt idx="587">
                  <c:v>0.9943779195478426</c:v>
                </c:pt>
                <c:pt idx="588">
                  <c:v>0.98906554037352346</c:v>
                </c:pt>
                <c:pt idx="589">
                  <c:v>0.98383677261468139</c:v>
                </c:pt>
                <c:pt idx="590">
                  <c:v>0.97869023803572397</c:v>
                </c:pt>
                <c:pt idx="591">
                  <c:v>0.97362458751488501</c:v>
                </c:pt>
                <c:pt idx="592">
                  <c:v>0.96863850037216115</c:v>
                </c:pt>
                <c:pt idx="593">
                  <c:v>0.96373068371500725</c:v>
                </c:pt>
                <c:pt idx="594">
                  <c:v>0.95889987180126468</c:v>
                </c:pt>
                <c:pt idx="595">
                  <c:v>0.95414482541886569</c:v>
                </c:pt>
                <c:pt idx="596">
                  <c:v>0.94946433128181862</c:v>
                </c:pt>
                <c:pt idx="597">
                  <c:v>0.94485720144203189</c:v>
                </c:pt>
                <c:pt idx="598">
                  <c:v>0.94032227271652202</c:v>
                </c:pt>
                <c:pt idx="599">
                  <c:v>0.93585840612958504</c:v>
                </c:pt>
                <c:pt idx="600">
                  <c:v>0.93146448636950852</c:v>
                </c:pt>
                <c:pt idx="601">
                  <c:v>0.92713942125941518</c:v>
                </c:pt>
                <c:pt idx="602">
                  <c:v>0.92288214124185763</c:v>
                </c:pt>
                <c:pt idx="603">
                  <c:v>0.91869159887676333</c:v>
                </c:pt>
                <c:pt idx="604">
                  <c:v>0.91456676835238604</c:v>
                </c:pt>
                <c:pt idx="605">
                  <c:v>0.91050664500887191</c:v>
                </c:pt>
                <c:pt idx="606">
                  <c:v>0.90651024487412757</c:v>
                </c:pt>
                <c:pt idx="607">
                  <c:v>0.90257660421161978</c:v>
                </c:pt>
                <c:pt idx="608">
                  <c:v>0.89870477907980151</c:v>
                </c:pt>
                <c:pt idx="609">
                  <c:v>0.89489384490283652</c:v>
                </c:pt>
                <c:pt idx="610">
                  <c:v>0.89114289605231245</c:v>
                </c:pt>
                <c:pt idx="611">
                  <c:v>0.88745104543965092</c:v>
                </c:pt>
                <c:pt idx="612">
                  <c:v>0.88381742411891173</c:v>
                </c:pt>
                <c:pt idx="613">
                  <c:v>0.88024118089972181</c:v>
                </c:pt>
                <c:pt idx="614">
                  <c:v>0.87672148197004585</c:v>
                </c:pt>
                <c:pt idx="615">
                  <c:v>0.87325751052853995</c:v>
                </c:pt>
                <c:pt idx="616">
                  <c:v>0.86984846642622138</c:v>
                </c:pt>
                <c:pt idx="617">
                  <c:v>0.86649356581721726</c:v>
                </c:pt>
                <c:pt idx="618">
                  <c:v>0.86319204081833578</c:v>
                </c:pt>
                <c:pt idx="619">
                  <c:v>0.85994313917723508</c:v>
                </c:pt>
                <c:pt idx="620">
                  <c:v>0.856746123948954</c:v>
                </c:pt>
                <c:pt idx="621">
                  <c:v>0.85360027318058707</c:v>
                </c:pt>
                <c:pt idx="622">
                  <c:v>0.85050487960388765</c:v>
                </c:pt>
                <c:pt idx="623">
                  <c:v>0.84745925033558578</c:v>
                </c:pt>
                <c:pt idx="624">
                  <c:v>0.84446270658522915</c:v>
                </c:pt>
                <c:pt idx="625">
                  <c:v>0.8415145833703328</c:v>
                </c:pt>
                <c:pt idx="626">
                  <c:v>0.83861422923866547</c:v>
                </c:pt>
                <c:pt idx="627">
                  <c:v>0.83576100599747061</c:v>
                </c:pt>
                <c:pt idx="628">
                  <c:v>0.83295428844945518</c:v>
                </c:pt>
                <c:pt idx="629">
                  <c:v>0.83019346413536255</c:v>
                </c:pt>
                <c:pt idx="630">
                  <c:v>0.82747793308296236</c:v>
                </c:pt>
                <c:pt idx="631">
                  <c:v>0.82480710756229658</c:v>
                </c:pt>
                <c:pt idx="632">
                  <c:v>0.8221804118470134</c:v>
                </c:pt>
                <c:pt idx="633">
                  <c:v>0.81959728198164283</c:v>
                </c:pt>
                <c:pt idx="634">
                  <c:v>0.81705716555465957</c:v>
                </c:pt>
                <c:pt idx="635">
                  <c:v>0.81455952147718191</c:v>
                </c:pt>
                <c:pt idx="636">
                  <c:v>0.81210381976717427</c:v>
                </c:pt>
                <c:pt idx="637">
                  <c:v>0.80968954133901028</c:v>
                </c:pt>
                <c:pt idx="638">
                  <c:v>0.80731617779825893</c:v>
                </c:pt>
                <c:pt idx="639">
                  <c:v>0.80498323124157256</c:v>
                </c:pt>
                <c:pt idx="640">
                  <c:v>0.80269021406154017</c:v>
                </c:pt>
                <c:pt idx="641">
                  <c:v>0.80043664875639731</c:v>
                </c:pt>
                <c:pt idx="642">
                  <c:v>0.79822206774445859</c:v>
                </c:pt>
                <c:pt idx="643">
                  <c:v>0.79604601318316526</c:v>
                </c:pt>
                <c:pt idx="644">
                  <c:v>0.79390803679263855</c:v>
                </c:pt>
                <c:pt idx="645">
                  <c:v>0.79180769968362286</c:v>
                </c:pt>
                <c:pt idx="646">
                  <c:v>0.78974457218971794</c:v>
                </c:pt>
                <c:pt idx="647">
                  <c:v>0.78771823370379579</c:v>
                </c:pt>
                <c:pt idx="648">
                  <c:v>0.78572827251850186</c:v>
                </c:pt>
                <c:pt idx="649">
                  <c:v>0.78377428567074903</c:v>
                </c:pt>
                <c:pt idx="650">
                  <c:v>0.7818558787901001</c:v>
                </c:pt>
                <c:pt idx="651">
                  <c:v>0.77997266595096149</c:v>
                </c:pt>
                <c:pt idx="652">
                  <c:v>0.77812426952848557</c:v>
                </c:pt>
                <c:pt idx="653">
                  <c:v>0.77631032005810707</c:v>
                </c:pt>
                <c:pt idx="654">
                  <c:v>0.77453045609862525</c:v>
                </c:pt>
                <c:pt idx="655">
                  <c:v>0.77278432409874642</c:v>
                </c:pt>
                <c:pt idx="656">
                  <c:v>0.771071578267022</c:v>
                </c:pt>
                <c:pt idx="657">
                  <c:v>0.76939188044508866</c:v>
                </c:pt>
                <c:pt idx="658">
                  <c:v>0.7677448999841493</c:v>
                </c:pt>
                <c:pt idx="659">
                  <c:v>0.76613031362461848</c:v>
                </c:pt>
                <c:pt idx="660">
                  <c:v>0.76454780537886102</c:v>
                </c:pt>
                <c:pt idx="661">
                  <c:v>0.7629970664169613</c:v>
                </c:pt>
                <c:pt idx="662">
                  <c:v>0.76147779495544954</c:v>
                </c:pt>
                <c:pt idx="663">
                  <c:v>0.7599896961489323</c:v>
                </c:pt>
                <c:pt idx="664">
                  <c:v>0.75853248198455081</c:v>
                </c:pt>
                <c:pt idx="665">
                  <c:v>0.75710587117922679</c:v>
                </c:pt>
                <c:pt idx="666">
                  <c:v>0.75570958907961583</c:v>
                </c:pt>
                <c:pt idx="667">
                  <c:v>0.75434336756473042</c:v>
                </c:pt>
                <c:pt idx="668">
                  <c:v>0.75300694495116394</c:v>
                </c:pt>
                <c:pt idx="669">
                  <c:v>0.75170006590087513</c:v>
                </c:pt>
                <c:pt idx="670">
                  <c:v>0.75042248133147027</c:v>
                </c:pt>
                <c:pt idx="671">
                  <c:v>0.74917394832894069</c:v>
                </c:pt>
                <c:pt idx="672">
                  <c:v>0.74795423006280581</c:v>
                </c:pt>
                <c:pt idx="673">
                  <c:v>0.74676309570360877</c:v>
                </c:pt>
                <c:pt idx="674">
                  <c:v>0.74560032034273427</c:v>
                </c:pt>
                <c:pt idx="675">
                  <c:v>0.74446568491448406</c:v>
                </c:pt>
                <c:pt idx="676">
                  <c:v>0.74335897612038671</c:v>
                </c:pt>
                <c:pt idx="677">
                  <c:v>0.74227998635568693</c:v>
                </c:pt>
                <c:pt idx="678">
                  <c:v>0.74122851363798381</c:v>
                </c:pt>
                <c:pt idx="679">
                  <c:v>0.74020436153797375</c:v>
                </c:pt>
                <c:pt idx="680">
                  <c:v>0.73920733911226066</c:v>
                </c:pt>
                <c:pt idx="681">
                  <c:v>0.73823726083820107</c:v>
                </c:pt>
                <c:pt idx="682">
                  <c:v>0.73729394655075031</c:v>
                </c:pt>
                <c:pt idx="683">
                  <c:v>0.73637722138126471</c:v>
                </c:pt>
                <c:pt idx="684">
                  <c:v>0.73548691569824343</c:v>
                </c:pt>
                <c:pt idx="685">
                  <c:v>0.73462286504996854</c:v>
                </c:pt>
                <c:pt idx="686">
                  <c:v>0.73378491010901103</c:v>
                </c:pt>
                <c:pt idx="687">
                  <c:v>0.73297289661858256</c:v>
                </c:pt>
                <c:pt idx="688">
                  <c:v>0.73218667534069604</c:v>
                </c:pt>
                <c:pt idx="689">
                  <c:v>0.73142610200611446</c:v>
                </c:pt>
                <c:pt idx="690">
                  <c:v>0.73069103726605333</c:v>
                </c:pt>
                <c:pt idx="691">
                  <c:v>0.7299813466456222</c:v>
                </c:pt>
                <c:pt idx="692">
                  <c:v>0.729296900498974</c:v>
                </c:pt>
                <c:pt idx="693">
                  <c:v>0.72863757396613615</c:v>
                </c:pt>
                <c:pt idx="694">
                  <c:v>0.72800324693151142</c:v>
                </c:pt>
                <c:pt idx="695">
                  <c:v>0.72739380398401643</c:v>
                </c:pt>
                <c:pt idx="696">
                  <c:v>0.72680913437884331</c:v>
                </c:pt>
                <c:pt idx="697">
                  <c:v>0.72624913200082264</c:v>
                </c:pt>
                <c:pt idx="698">
                  <c:v>0.72571369532937013</c:v>
                </c:pt>
                <c:pt idx="699">
                  <c:v>0.72520272740499525</c:v>
                </c:pt>
                <c:pt idx="700">
                  <c:v>0.72471613579736172</c:v>
                </c:pt>
                <c:pt idx="701">
                  <c:v>0.72425383257487586</c:v>
                </c:pt>
                <c:pt idx="702">
                  <c:v>0.72381573427579138</c:v>
                </c:pt>
                <c:pt idx="703">
                  <c:v>0.72340176188081673</c:v>
                </c:pt>
                <c:pt idx="704">
                  <c:v>0.72301184078720826</c:v>
                </c:pt>
                <c:pt idx="705">
                  <c:v>0.72264590078433588</c:v>
                </c:pt>
                <c:pt idx="706">
                  <c:v>0.722303876030713</c:v>
                </c:pt>
                <c:pt idx="707">
                  <c:v>0.72198570503247395</c:v>
                </c:pt>
                <c:pt idx="708">
                  <c:v>0.72169133062329227</c:v>
                </c:pt>
                <c:pt idx="709">
                  <c:v>0.721420699945725</c:v>
                </c:pt>
                <c:pt idx="710">
                  <c:v>0.72117376443397896</c:v>
                </c:pt>
                <c:pt idx="711">
                  <c:v>0.72095047979808491</c:v>
                </c:pt>
                <c:pt idx="712">
                  <c:v>0.72075080600947738</c:v>
                </c:pt>
                <c:pt idx="713">
                  <c:v>0.72057470728796802</c:v>
                </c:pt>
                <c:pt idx="714">
                  <c:v>0.72042215209010596</c:v>
                </c:pt>
                <c:pt idx="715">
                  <c:v>0.72029311309892541</c:v>
                </c:pt>
                <c:pt idx="716">
                  <c:v>0.72018756721506672</c:v>
                </c:pt>
                <c:pt idx="717">
                  <c:v>0.72010549554927328</c:v>
                </c:pt>
                <c:pt idx="718">
                  <c:v>0.72004688341625689</c:v>
                </c:pt>
                <c:pt idx="719">
                  <c:v>0.72001172032992922</c:v>
                </c:pt>
                <c:pt idx="720">
                  <c:v>0.7199999999999992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F9-4F43-88F9-DF9CE0C1BFD8}"/>
            </c:ext>
          </c:extLst>
        </c:ser>
        <c:ser>
          <c:idx val="3"/>
          <c:order val="3"/>
          <c:tx>
            <c:v>AE: salto de la chispa</c:v>
          </c:tx>
          <c:spPr>
            <a:ln w="11880">
              <a:solidFill>
                <a:srgbClr val="2E8B57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Presion_cilindro!$E$55:$E$56</c:f>
              <c:numCache>
                <c:formatCode>0.0</c:formatCode>
                <c:ptCount val="2"/>
                <c:pt idx="0">
                  <c:v>-30</c:v>
                </c:pt>
                <c:pt idx="1">
                  <c:v>-30</c:v>
                </c:pt>
              </c:numCache>
            </c:numRef>
          </c:xVal>
          <c:yVal>
            <c:numRef>
              <c:f>Presion_cilindro!$F$55:$F$56</c:f>
              <c:numCache>
                <c:formatCode>0.0</c:formatCode>
                <c:ptCount val="2"/>
                <c:pt idx="0">
                  <c:v>0</c:v>
                </c:pt>
                <c:pt idx="1">
                  <c:v>15.233510546857872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F9-4F43-88F9-DF9CE0C1BFD8}"/>
            </c:ext>
          </c:extLst>
        </c:ser>
        <c:ser>
          <c:idx val="4"/>
          <c:order val="4"/>
          <c:tx>
            <c:v>PMS</c:v>
          </c:tx>
          <c:spPr>
            <a:ln w="11880">
              <a:solidFill>
                <a:srgbClr val="00000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Presion_cilindro!$E$57:$E$58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Presion_cilindro!$F$57:$F$58</c:f>
              <c:numCache>
                <c:formatCode>0.0</c:formatCode>
                <c:ptCount val="2"/>
                <c:pt idx="0">
                  <c:v>0</c:v>
                </c:pt>
                <c:pt idx="1">
                  <c:v>49.959112944882435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F9-4F43-88F9-DF9CE0C1B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04762"/>
        <c:axId val="85640285"/>
      </c:scatterChart>
      <c:valAx>
        <c:axId val="82404762"/>
        <c:scaling>
          <c:orientation val="minMax"/>
          <c:max val="90"/>
          <c:min val="-6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α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85640285"/>
        <c:crosses val="autoZero"/>
        <c:crossBetween val="midCat"/>
        <c:majorUnit val="15"/>
      </c:valAx>
      <c:valAx>
        <c:axId val="8564028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p (bar)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8240476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Desarrollo de la presión a diferente avance de encendido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 · encendido correcto</c:v>
          </c:tx>
          <c:spPr>
            <a:ln w="24120">
              <a:solidFill>
                <a:srgbClr val="1F4F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Tres_avances!$N$5:$N$725</c:f>
              <c:numCache>
                <c:formatCode>0.0</c:formatCode>
                <c:ptCount val="721"/>
                <c:pt idx="0">
                  <c:v>180</c:v>
                </c:pt>
                <c:pt idx="1">
                  <c:v>179.5</c:v>
                </c:pt>
                <c:pt idx="2">
                  <c:v>179</c:v>
                </c:pt>
                <c:pt idx="3">
                  <c:v>178.5</c:v>
                </c:pt>
                <c:pt idx="4">
                  <c:v>178</c:v>
                </c:pt>
                <c:pt idx="5">
                  <c:v>177.5</c:v>
                </c:pt>
                <c:pt idx="6">
                  <c:v>177</c:v>
                </c:pt>
                <c:pt idx="7">
                  <c:v>176.5</c:v>
                </c:pt>
                <c:pt idx="8">
                  <c:v>176</c:v>
                </c:pt>
                <c:pt idx="9">
                  <c:v>175.5</c:v>
                </c:pt>
                <c:pt idx="10">
                  <c:v>175</c:v>
                </c:pt>
                <c:pt idx="11">
                  <c:v>174.5</c:v>
                </c:pt>
                <c:pt idx="12">
                  <c:v>174</c:v>
                </c:pt>
                <c:pt idx="13">
                  <c:v>173.5</c:v>
                </c:pt>
                <c:pt idx="14">
                  <c:v>173</c:v>
                </c:pt>
                <c:pt idx="15">
                  <c:v>172.5</c:v>
                </c:pt>
                <c:pt idx="16">
                  <c:v>172</c:v>
                </c:pt>
                <c:pt idx="17">
                  <c:v>171.5</c:v>
                </c:pt>
                <c:pt idx="18">
                  <c:v>171</c:v>
                </c:pt>
                <c:pt idx="19">
                  <c:v>170.5</c:v>
                </c:pt>
                <c:pt idx="20">
                  <c:v>170</c:v>
                </c:pt>
                <c:pt idx="21">
                  <c:v>169.5</c:v>
                </c:pt>
                <c:pt idx="22">
                  <c:v>169</c:v>
                </c:pt>
                <c:pt idx="23">
                  <c:v>168.5</c:v>
                </c:pt>
                <c:pt idx="24">
                  <c:v>168</c:v>
                </c:pt>
                <c:pt idx="25">
                  <c:v>167.5</c:v>
                </c:pt>
                <c:pt idx="26">
                  <c:v>167</c:v>
                </c:pt>
                <c:pt idx="27">
                  <c:v>166.5</c:v>
                </c:pt>
                <c:pt idx="28">
                  <c:v>166</c:v>
                </c:pt>
                <c:pt idx="29">
                  <c:v>165.5</c:v>
                </c:pt>
                <c:pt idx="30">
                  <c:v>165</c:v>
                </c:pt>
                <c:pt idx="31">
                  <c:v>164.5</c:v>
                </c:pt>
                <c:pt idx="32">
                  <c:v>164</c:v>
                </c:pt>
                <c:pt idx="33">
                  <c:v>163.5</c:v>
                </c:pt>
                <c:pt idx="34">
                  <c:v>163</c:v>
                </c:pt>
                <c:pt idx="35">
                  <c:v>162.5</c:v>
                </c:pt>
                <c:pt idx="36">
                  <c:v>162</c:v>
                </c:pt>
                <c:pt idx="37">
                  <c:v>161.5</c:v>
                </c:pt>
                <c:pt idx="38">
                  <c:v>161</c:v>
                </c:pt>
                <c:pt idx="39">
                  <c:v>160.5</c:v>
                </c:pt>
                <c:pt idx="40">
                  <c:v>160</c:v>
                </c:pt>
                <c:pt idx="41">
                  <c:v>159.5</c:v>
                </c:pt>
                <c:pt idx="42">
                  <c:v>159</c:v>
                </c:pt>
                <c:pt idx="43">
                  <c:v>158.5</c:v>
                </c:pt>
                <c:pt idx="44">
                  <c:v>158</c:v>
                </c:pt>
                <c:pt idx="45">
                  <c:v>157.5</c:v>
                </c:pt>
                <c:pt idx="46">
                  <c:v>157</c:v>
                </c:pt>
                <c:pt idx="47">
                  <c:v>156.5</c:v>
                </c:pt>
                <c:pt idx="48">
                  <c:v>156</c:v>
                </c:pt>
                <c:pt idx="49">
                  <c:v>155.5</c:v>
                </c:pt>
                <c:pt idx="50">
                  <c:v>155</c:v>
                </c:pt>
                <c:pt idx="51">
                  <c:v>154.5</c:v>
                </c:pt>
                <c:pt idx="52">
                  <c:v>154</c:v>
                </c:pt>
                <c:pt idx="53">
                  <c:v>153.5</c:v>
                </c:pt>
                <c:pt idx="54">
                  <c:v>153</c:v>
                </c:pt>
                <c:pt idx="55">
                  <c:v>152.5</c:v>
                </c:pt>
                <c:pt idx="56">
                  <c:v>152</c:v>
                </c:pt>
                <c:pt idx="57">
                  <c:v>151.5</c:v>
                </c:pt>
                <c:pt idx="58">
                  <c:v>151</c:v>
                </c:pt>
                <c:pt idx="59">
                  <c:v>150.5</c:v>
                </c:pt>
                <c:pt idx="60">
                  <c:v>150</c:v>
                </c:pt>
                <c:pt idx="61">
                  <c:v>149.5</c:v>
                </c:pt>
                <c:pt idx="62">
                  <c:v>149</c:v>
                </c:pt>
                <c:pt idx="63">
                  <c:v>148.5</c:v>
                </c:pt>
                <c:pt idx="64">
                  <c:v>148</c:v>
                </c:pt>
                <c:pt idx="65">
                  <c:v>147.5</c:v>
                </c:pt>
                <c:pt idx="66">
                  <c:v>147</c:v>
                </c:pt>
                <c:pt idx="67">
                  <c:v>146.5</c:v>
                </c:pt>
                <c:pt idx="68">
                  <c:v>146</c:v>
                </c:pt>
                <c:pt idx="69">
                  <c:v>145.5</c:v>
                </c:pt>
                <c:pt idx="70">
                  <c:v>145</c:v>
                </c:pt>
                <c:pt idx="71">
                  <c:v>144.5</c:v>
                </c:pt>
                <c:pt idx="72">
                  <c:v>144</c:v>
                </c:pt>
                <c:pt idx="73">
                  <c:v>143.5</c:v>
                </c:pt>
                <c:pt idx="74">
                  <c:v>143</c:v>
                </c:pt>
                <c:pt idx="75">
                  <c:v>142.5</c:v>
                </c:pt>
                <c:pt idx="76">
                  <c:v>142</c:v>
                </c:pt>
                <c:pt idx="77">
                  <c:v>141.5</c:v>
                </c:pt>
                <c:pt idx="78">
                  <c:v>141</c:v>
                </c:pt>
                <c:pt idx="79">
                  <c:v>140.5</c:v>
                </c:pt>
                <c:pt idx="80">
                  <c:v>140</c:v>
                </c:pt>
                <c:pt idx="81">
                  <c:v>139.5</c:v>
                </c:pt>
                <c:pt idx="82">
                  <c:v>139</c:v>
                </c:pt>
                <c:pt idx="83">
                  <c:v>138.5</c:v>
                </c:pt>
                <c:pt idx="84">
                  <c:v>138</c:v>
                </c:pt>
                <c:pt idx="85">
                  <c:v>137.5</c:v>
                </c:pt>
                <c:pt idx="86">
                  <c:v>137</c:v>
                </c:pt>
                <c:pt idx="87">
                  <c:v>136.5</c:v>
                </c:pt>
                <c:pt idx="88">
                  <c:v>136</c:v>
                </c:pt>
                <c:pt idx="89">
                  <c:v>135.5</c:v>
                </c:pt>
                <c:pt idx="90">
                  <c:v>135</c:v>
                </c:pt>
                <c:pt idx="91">
                  <c:v>134.5</c:v>
                </c:pt>
                <c:pt idx="92">
                  <c:v>134</c:v>
                </c:pt>
                <c:pt idx="93">
                  <c:v>133.5</c:v>
                </c:pt>
                <c:pt idx="94">
                  <c:v>133</c:v>
                </c:pt>
                <c:pt idx="95">
                  <c:v>132.5</c:v>
                </c:pt>
                <c:pt idx="96">
                  <c:v>132</c:v>
                </c:pt>
                <c:pt idx="97">
                  <c:v>131.5</c:v>
                </c:pt>
                <c:pt idx="98">
                  <c:v>131</c:v>
                </c:pt>
                <c:pt idx="99">
                  <c:v>130.5</c:v>
                </c:pt>
                <c:pt idx="100">
                  <c:v>130</c:v>
                </c:pt>
                <c:pt idx="101">
                  <c:v>129.5</c:v>
                </c:pt>
                <c:pt idx="102">
                  <c:v>129</c:v>
                </c:pt>
                <c:pt idx="103">
                  <c:v>128.5</c:v>
                </c:pt>
                <c:pt idx="104">
                  <c:v>128</c:v>
                </c:pt>
                <c:pt idx="105">
                  <c:v>127.5</c:v>
                </c:pt>
                <c:pt idx="106">
                  <c:v>127</c:v>
                </c:pt>
                <c:pt idx="107">
                  <c:v>126.5</c:v>
                </c:pt>
                <c:pt idx="108">
                  <c:v>126</c:v>
                </c:pt>
                <c:pt idx="109">
                  <c:v>125.5</c:v>
                </c:pt>
                <c:pt idx="110">
                  <c:v>125</c:v>
                </c:pt>
                <c:pt idx="111">
                  <c:v>124.5</c:v>
                </c:pt>
                <c:pt idx="112">
                  <c:v>124</c:v>
                </c:pt>
                <c:pt idx="113">
                  <c:v>123.5</c:v>
                </c:pt>
                <c:pt idx="114">
                  <c:v>123</c:v>
                </c:pt>
                <c:pt idx="115">
                  <c:v>122.5</c:v>
                </c:pt>
                <c:pt idx="116">
                  <c:v>122</c:v>
                </c:pt>
                <c:pt idx="117">
                  <c:v>121.5</c:v>
                </c:pt>
                <c:pt idx="118">
                  <c:v>121</c:v>
                </c:pt>
                <c:pt idx="119">
                  <c:v>120.5</c:v>
                </c:pt>
                <c:pt idx="120">
                  <c:v>120</c:v>
                </c:pt>
                <c:pt idx="121">
                  <c:v>119.5</c:v>
                </c:pt>
                <c:pt idx="122">
                  <c:v>119</c:v>
                </c:pt>
                <c:pt idx="123">
                  <c:v>118.5</c:v>
                </c:pt>
                <c:pt idx="124">
                  <c:v>118</c:v>
                </c:pt>
                <c:pt idx="125">
                  <c:v>117.5</c:v>
                </c:pt>
                <c:pt idx="126">
                  <c:v>117</c:v>
                </c:pt>
                <c:pt idx="127">
                  <c:v>116.5</c:v>
                </c:pt>
                <c:pt idx="128">
                  <c:v>116</c:v>
                </c:pt>
                <c:pt idx="129">
                  <c:v>115.5</c:v>
                </c:pt>
                <c:pt idx="130">
                  <c:v>115</c:v>
                </c:pt>
                <c:pt idx="131">
                  <c:v>114.5</c:v>
                </c:pt>
                <c:pt idx="132">
                  <c:v>114</c:v>
                </c:pt>
                <c:pt idx="133">
                  <c:v>113.5</c:v>
                </c:pt>
                <c:pt idx="134">
                  <c:v>113</c:v>
                </c:pt>
                <c:pt idx="135">
                  <c:v>112.5</c:v>
                </c:pt>
                <c:pt idx="136">
                  <c:v>112</c:v>
                </c:pt>
                <c:pt idx="137">
                  <c:v>111.5</c:v>
                </c:pt>
                <c:pt idx="138">
                  <c:v>111</c:v>
                </c:pt>
                <c:pt idx="139">
                  <c:v>110.5</c:v>
                </c:pt>
                <c:pt idx="140">
                  <c:v>110</c:v>
                </c:pt>
                <c:pt idx="141">
                  <c:v>109.5</c:v>
                </c:pt>
                <c:pt idx="142">
                  <c:v>109</c:v>
                </c:pt>
                <c:pt idx="143">
                  <c:v>108.5</c:v>
                </c:pt>
                <c:pt idx="144">
                  <c:v>108</c:v>
                </c:pt>
                <c:pt idx="145">
                  <c:v>107.5</c:v>
                </c:pt>
                <c:pt idx="146">
                  <c:v>107</c:v>
                </c:pt>
                <c:pt idx="147">
                  <c:v>106.5</c:v>
                </c:pt>
                <c:pt idx="148">
                  <c:v>106</c:v>
                </c:pt>
                <c:pt idx="149">
                  <c:v>105.5</c:v>
                </c:pt>
                <c:pt idx="150">
                  <c:v>105</c:v>
                </c:pt>
                <c:pt idx="151">
                  <c:v>104.5</c:v>
                </c:pt>
                <c:pt idx="152">
                  <c:v>104</c:v>
                </c:pt>
                <c:pt idx="153">
                  <c:v>103.5</c:v>
                </c:pt>
                <c:pt idx="154">
                  <c:v>103</c:v>
                </c:pt>
                <c:pt idx="155">
                  <c:v>102.5</c:v>
                </c:pt>
                <c:pt idx="156">
                  <c:v>102</c:v>
                </c:pt>
                <c:pt idx="157">
                  <c:v>101.5</c:v>
                </c:pt>
                <c:pt idx="158">
                  <c:v>101</c:v>
                </c:pt>
                <c:pt idx="159">
                  <c:v>100.5</c:v>
                </c:pt>
                <c:pt idx="160">
                  <c:v>100</c:v>
                </c:pt>
                <c:pt idx="161">
                  <c:v>99.5</c:v>
                </c:pt>
                <c:pt idx="162">
                  <c:v>99</c:v>
                </c:pt>
                <c:pt idx="163">
                  <c:v>98.5</c:v>
                </c:pt>
                <c:pt idx="164">
                  <c:v>98</c:v>
                </c:pt>
                <c:pt idx="165">
                  <c:v>97.5</c:v>
                </c:pt>
                <c:pt idx="166">
                  <c:v>97</c:v>
                </c:pt>
                <c:pt idx="167">
                  <c:v>96.5</c:v>
                </c:pt>
                <c:pt idx="168">
                  <c:v>96</c:v>
                </c:pt>
                <c:pt idx="169">
                  <c:v>95.5</c:v>
                </c:pt>
                <c:pt idx="170">
                  <c:v>95</c:v>
                </c:pt>
                <c:pt idx="171">
                  <c:v>94.5</c:v>
                </c:pt>
                <c:pt idx="172">
                  <c:v>94</c:v>
                </c:pt>
                <c:pt idx="173">
                  <c:v>93.5</c:v>
                </c:pt>
                <c:pt idx="174">
                  <c:v>93</c:v>
                </c:pt>
                <c:pt idx="175">
                  <c:v>92.5</c:v>
                </c:pt>
                <c:pt idx="176">
                  <c:v>92</c:v>
                </c:pt>
                <c:pt idx="177">
                  <c:v>91.5</c:v>
                </c:pt>
                <c:pt idx="178">
                  <c:v>91</c:v>
                </c:pt>
                <c:pt idx="179">
                  <c:v>90.5</c:v>
                </c:pt>
                <c:pt idx="180">
                  <c:v>90</c:v>
                </c:pt>
                <c:pt idx="181">
                  <c:v>89.5</c:v>
                </c:pt>
                <c:pt idx="182">
                  <c:v>89</c:v>
                </c:pt>
                <c:pt idx="183">
                  <c:v>88.5</c:v>
                </c:pt>
                <c:pt idx="184">
                  <c:v>88</c:v>
                </c:pt>
                <c:pt idx="185">
                  <c:v>87.5</c:v>
                </c:pt>
                <c:pt idx="186">
                  <c:v>87</c:v>
                </c:pt>
                <c:pt idx="187">
                  <c:v>86.5</c:v>
                </c:pt>
                <c:pt idx="188">
                  <c:v>86</c:v>
                </c:pt>
                <c:pt idx="189">
                  <c:v>85.5</c:v>
                </c:pt>
                <c:pt idx="190">
                  <c:v>85</c:v>
                </c:pt>
                <c:pt idx="191">
                  <c:v>84.5</c:v>
                </c:pt>
                <c:pt idx="192">
                  <c:v>84</c:v>
                </c:pt>
                <c:pt idx="193">
                  <c:v>83.5</c:v>
                </c:pt>
                <c:pt idx="194">
                  <c:v>83</c:v>
                </c:pt>
                <c:pt idx="195">
                  <c:v>82.5</c:v>
                </c:pt>
                <c:pt idx="196">
                  <c:v>82</c:v>
                </c:pt>
                <c:pt idx="197">
                  <c:v>81.5</c:v>
                </c:pt>
                <c:pt idx="198">
                  <c:v>81</c:v>
                </c:pt>
                <c:pt idx="199">
                  <c:v>80.5</c:v>
                </c:pt>
                <c:pt idx="200">
                  <c:v>80</c:v>
                </c:pt>
                <c:pt idx="201">
                  <c:v>79.5</c:v>
                </c:pt>
                <c:pt idx="202">
                  <c:v>79</c:v>
                </c:pt>
                <c:pt idx="203">
                  <c:v>78.5</c:v>
                </c:pt>
                <c:pt idx="204">
                  <c:v>78</c:v>
                </c:pt>
                <c:pt idx="205">
                  <c:v>77.5</c:v>
                </c:pt>
                <c:pt idx="206">
                  <c:v>77</c:v>
                </c:pt>
                <c:pt idx="207">
                  <c:v>76.5</c:v>
                </c:pt>
                <c:pt idx="208">
                  <c:v>76</c:v>
                </c:pt>
                <c:pt idx="209">
                  <c:v>75.5</c:v>
                </c:pt>
                <c:pt idx="210">
                  <c:v>75</c:v>
                </c:pt>
                <c:pt idx="211">
                  <c:v>74.5</c:v>
                </c:pt>
                <c:pt idx="212">
                  <c:v>74</c:v>
                </c:pt>
                <c:pt idx="213">
                  <c:v>73.5</c:v>
                </c:pt>
                <c:pt idx="214">
                  <c:v>73</c:v>
                </c:pt>
                <c:pt idx="215">
                  <c:v>72.5</c:v>
                </c:pt>
                <c:pt idx="216">
                  <c:v>72</c:v>
                </c:pt>
                <c:pt idx="217">
                  <c:v>71.5</c:v>
                </c:pt>
                <c:pt idx="218">
                  <c:v>71</c:v>
                </c:pt>
                <c:pt idx="219">
                  <c:v>70.5</c:v>
                </c:pt>
                <c:pt idx="220">
                  <c:v>70</c:v>
                </c:pt>
                <c:pt idx="221">
                  <c:v>69.5</c:v>
                </c:pt>
                <c:pt idx="222">
                  <c:v>69</c:v>
                </c:pt>
                <c:pt idx="223">
                  <c:v>68.5</c:v>
                </c:pt>
                <c:pt idx="224">
                  <c:v>68</c:v>
                </c:pt>
                <c:pt idx="225">
                  <c:v>67.5</c:v>
                </c:pt>
                <c:pt idx="226">
                  <c:v>67</c:v>
                </c:pt>
                <c:pt idx="227">
                  <c:v>66.5</c:v>
                </c:pt>
                <c:pt idx="228">
                  <c:v>66</c:v>
                </c:pt>
                <c:pt idx="229">
                  <c:v>65.5</c:v>
                </c:pt>
                <c:pt idx="230">
                  <c:v>65</c:v>
                </c:pt>
                <c:pt idx="231">
                  <c:v>64.5</c:v>
                </c:pt>
                <c:pt idx="232">
                  <c:v>64</c:v>
                </c:pt>
                <c:pt idx="233">
                  <c:v>63.5</c:v>
                </c:pt>
                <c:pt idx="234">
                  <c:v>63</c:v>
                </c:pt>
                <c:pt idx="235">
                  <c:v>62.5</c:v>
                </c:pt>
                <c:pt idx="236">
                  <c:v>62</c:v>
                </c:pt>
                <c:pt idx="237">
                  <c:v>61.5</c:v>
                </c:pt>
                <c:pt idx="238">
                  <c:v>61</c:v>
                </c:pt>
                <c:pt idx="239">
                  <c:v>60.5</c:v>
                </c:pt>
                <c:pt idx="240">
                  <c:v>60</c:v>
                </c:pt>
                <c:pt idx="241">
                  <c:v>59.5</c:v>
                </c:pt>
                <c:pt idx="242">
                  <c:v>59</c:v>
                </c:pt>
                <c:pt idx="243">
                  <c:v>58.5</c:v>
                </c:pt>
                <c:pt idx="244">
                  <c:v>58</c:v>
                </c:pt>
                <c:pt idx="245">
                  <c:v>57.5</c:v>
                </c:pt>
                <c:pt idx="246">
                  <c:v>57</c:v>
                </c:pt>
                <c:pt idx="247">
                  <c:v>56.5</c:v>
                </c:pt>
                <c:pt idx="248">
                  <c:v>56</c:v>
                </c:pt>
                <c:pt idx="249">
                  <c:v>55.5</c:v>
                </c:pt>
                <c:pt idx="250">
                  <c:v>55</c:v>
                </c:pt>
                <c:pt idx="251">
                  <c:v>54.5</c:v>
                </c:pt>
                <c:pt idx="252">
                  <c:v>54</c:v>
                </c:pt>
                <c:pt idx="253">
                  <c:v>53.5</c:v>
                </c:pt>
                <c:pt idx="254">
                  <c:v>53</c:v>
                </c:pt>
                <c:pt idx="255">
                  <c:v>52.5</c:v>
                </c:pt>
                <c:pt idx="256">
                  <c:v>52</c:v>
                </c:pt>
                <c:pt idx="257">
                  <c:v>51.5</c:v>
                </c:pt>
                <c:pt idx="258">
                  <c:v>51</c:v>
                </c:pt>
                <c:pt idx="259">
                  <c:v>50.5</c:v>
                </c:pt>
                <c:pt idx="260">
                  <c:v>50</c:v>
                </c:pt>
                <c:pt idx="261">
                  <c:v>49.5</c:v>
                </c:pt>
                <c:pt idx="262">
                  <c:v>49</c:v>
                </c:pt>
                <c:pt idx="263">
                  <c:v>48.5</c:v>
                </c:pt>
                <c:pt idx="264">
                  <c:v>48</c:v>
                </c:pt>
                <c:pt idx="265">
                  <c:v>47.5</c:v>
                </c:pt>
                <c:pt idx="266">
                  <c:v>47</c:v>
                </c:pt>
                <c:pt idx="267">
                  <c:v>46.5</c:v>
                </c:pt>
                <c:pt idx="268">
                  <c:v>46</c:v>
                </c:pt>
                <c:pt idx="269">
                  <c:v>45.5</c:v>
                </c:pt>
                <c:pt idx="270">
                  <c:v>45</c:v>
                </c:pt>
                <c:pt idx="271">
                  <c:v>44.5</c:v>
                </c:pt>
                <c:pt idx="272">
                  <c:v>44</c:v>
                </c:pt>
                <c:pt idx="273">
                  <c:v>43.5</c:v>
                </c:pt>
                <c:pt idx="274">
                  <c:v>43</c:v>
                </c:pt>
                <c:pt idx="275">
                  <c:v>42.5</c:v>
                </c:pt>
                <c:pt idx="276">
                  <c:v>42</c:v>
                </c:pt>
                <c:pt idx="277">
                  <c:v>41.5</c:v>
                </c:pt>
                <c:pt idx="278">
                  <c:v>41</c:v>
                </c:pt>
                <c:pt idx="279">
                  <c:v>40.5</c:v>
                </c:pt>
                <c:pt idx="280">
                  <c:v>40</c:v>
                </c:pt>
                <c:pt idx="281">
                  <c:v>39.5</c:v>
                </c:pt>
                <c:pt idx="282">
                  <c:v>39</c:v>
                </c:pt>
                <c:pt idx="283">
                  <c:v>38.5</c:v>
                </c:pt>
                <c:pt idx="284">
                  <c:v>38</c:v>
                </c:pt>
                <c:pt idx="285">
                  <c:v>37.5</c:v>
                </c:pt>
                <c:pt idx="286">
                  <c:v>37</c:v>
                </c:pt>
                <c:pt idx="287">
                  <c:v>36.5</c:v>
                </c:pt>
                <c:pt idx="288">
                  <c:v>36</c:v>
                </c:pt>
                <c:pt idx="289">
                  <c:v>35.5</c:v>
                </c:pt>
                <c:pt idx="290">
                  <c:v>35</c:v>
                </c:pt>
                <c:pt idx="291">
                  <c:v>34.5</c:v>
                </c:pt>
                <c:pt idx="292">
                  <c:v>34</c:v>
                </c:pt>
                <c:pt idx="293">
                  <c:v>33.5</c:v>
                </c:pt>
                <c:pt idx="294">
                  <c:v>33</c:v>
                </c:pt>
                <c:pt idx="295">
                  <c:v>32.5</c:v>
                </c:pt>
                <c:pt idx="296">
                  <c:v>32</c:v>
                </c:pt>
                <c:pt idx="297">
                  <c:v>31.5</c:v>
                </c:pt>
                <c:pt idx="298">
                  <c:v>31</c:v>
                </c:pt>
                <c:pt idx="299">
                  <c:v>30.5</c:v>
                </c:pt>
                <c:pt idx="300">
                  <c:v>30</c:v>
                </c:pt>
                <c:pt idx="301">
                  <c:v>29.5</c:v>
                </c:pt>
                <c:pt idx="302">
                  <c:v>29</c:v>
                </c:pt>
                <c:pt idx="303">
                  <c:v>28.5</c:v>
                </c:pt>
                <c:pt idx="304">
                  <c:v>28</c:v>
                </c:pt>
                <c:pt idx="305">
                  <c:v>27.5</c:v>
                </c:pt>
                <c:pt idx="306">
                  <c:v>27</c:v>
                </c:pt>
                <c:pt idx="307">
                  <c:v>26.5</c:v>
                </c:pt>
                <c:pt idx="308">
                  <c:v>26</c:v>
                </c:pt>
                <c:pt idx="309">
                  <c:v>25.5</c:v>
                </c:pt>
                <c:pt idx="310">
                  <c:v>25</c:v>
                </c:pt>
                <c:pt idx="311">
                  <c:v>24.5</c:v>
                </c:pt>
                <c:pt idx="312">
                  <c:v>24</c:v>
                </c:pt>
                <c:pt idx="313">
                  <c:v>23.5</c:v>
                </c:pt>
                <c:pt idx="314">
                  <c:v>23</c:v>
                </c:pt>
                <c:pt idx="315">
                  <c:v>22.5</c:v>
                </c:pt>
                <c:pt idx="316">
                  <c:v>22</c:v>
                </c:pt>
                <c:pt idx="317">
                  <c:v>21.5</c:v>
                </c:pt>
                <c:pt idx="318">
                  <c:v>21</c:v>
                </c:pt>
                <c:pt idx="319">
                  <c:v>20.5</c:v>
                </c:pt>
                <c:pt idx="320">
                  <c:v>20</c:v>
                </c:pt>
                <c:pt idx="321">
                  <c:v>19.5</c:v>
                </c:pt>
                <c:pt idx="322">
                  <c:v>19</c:v>
                </c:pt>
                <c:pt idx="323">
                  <c:v>18.5</c:v>
                </c:pt>
                <c:pt idx="324">
                  <c:v>18</c:v>
                </c:pt>
                <c:pt idx="325">
                  <c:v>17.5</c:v>
                </c:pt>
                <c:pt idx="326">
                  <c:v>17</c:v>
                </c:pt>
                <c:pt idx="327">
                  <c:v>16.5</c:v>
                </c:pt>
                <c:pt idx="328">
                  <c:v>16</c:v>
                </c:pt>
                <c:pt idx="329">
                  <c:v>15.5</c:v>
                </c:pt>
                <c:pt idx="330">
                  <c:v>15</c:v>
                </c:pt>
                <c:pt idx="331">
                  <c:v>14.5</c:v>
                </c:pt>
                <c:pt idx="332">
                  <c:v>14</c:v>
                </c:pt>
                <c:pt idx="333">
                  <c:v>13.5</c:v>
                </c:pt>
                <c:pt idx="334">
                  <c:v>13</c:v>
                </c:pt>
                <c:pt idx="335">
                  <c:v>12.5</c:v>
                </c:pt>
                <c:pt idx="336">
                  <c:v>12</c:v>
                </c:pt>
                <c:pt idx="337">
                  <c:v>11.5</c:v>
                </c:pt>
                <c:pt idx="338">
                  <c:v>11</c:v>
                </c:pt>
                <c:pt idx="339">
                  <c:v>10.5</c:v>
                </c:pt>
                <c:pt idx="340">
                  <c:v>10</c:v>
                </c:pt>
                <c:pt idx="341">
                  <c:v>9.5</c:v>
                </c:pt>
                <c:pt idx="342">
                  <c:v>9</c:v>
                </c:pt>
                <c:pt idx="343">
                  <c:v>8.5</c:v>
                </c:pt>
                <c:pt idx="344">
                  <c:v>8</c:v>
                </c:pt>
                <c:pt idx="345">
                  <c:v>7.5</c:v>
                </c:pt>
                <c:pt idx="346">
                  <c:v>7</c:v>
                </c:pt>
                <c:pt idx="347">
                  <c:v>6.5</c:v>
                </c:pt>
                <c:pt idx="348">
                  <c:v>6</c:v>
                </c:pt>
                <c:pt idx="349">
                  <c:v>5.5</c:v>
                </c:pt>
                <c:pt idx="350">
                  <c:v>5</c:v>
                </c:pt>
                <c:pt idx="351">
                  <c:v>4.5</c:v>
                </c:pt>
                <c:pt idx="352">
                  <c:v>4</c:v>
                </c:pt>
                <c:pt idx="353">
                  <c:v>3.5</c:v>
                </c:pt>
                <c:pt idx="354">
                  <c:v>3</c:v>
                </c:pt>
                <c:pt idx="355">
                  <c:v>2.5</c:v>
                </c:pt>
                <c:pt idx="356">
                  <c:v>2</c:v>
                </c:pt>
                <c:pt idx="357">
                  <c:v>1.5</c:v>
                </c:pt>
                <c:pt idx="358">
                  <c:v>1</c:v>
                </c:pt>
                <c:pt idx="359">
                  <c:v>0.5</c:v>
                </c:pt>
                <c:pt idx="360">
                  <c:v>0</c:v>
                </c:pt>
                <c:pt idx="361">
                  <c:v>-0.5</c:v>
                </c:pt>
                <c:pt idx="362">
                  <c:v>-1</c:v>
                </c:pt>
                <c:pt idx="363">
                  <c:v>-1.5</c:v>
                </c:pt>
                <c:pt idx="364">
                  <c:v>-2</c:v>
                </c:pt>
                <c:pt idx="365">
                  <c:v>-2.5</c:v>
                </c:pt>
                <c:pt idx="366">
                  <c:v>-3</c:v>
                </c:pt>
                <c:pt idx="367">
                  <c:v>-3.5</c:v>
                </c:pt>
                <c:pt idx="368">
                  <c:v>-4</c:v>
                </c:pt>
                <c:pt idx="369">
                  <c:v>-4.5</c:v>
                </c:pt>
                <c:pt idx="370">
                  <c:v>-5</c:v>
                </c:pt>
                <c:pt idx="371">
                  <c:v>-5.5</c:v>
                </c:pt>
                <c:pt idx="372">
                  <c:v>-6</c:v>
                </c:pt>
                <c:pt idx="373">
                  <c:v>-6.5</c:v>
                </c:pt>
                <c:pt idx="374">
                  <c:v>-7</c:v>
                </c:pt>
                <c:pt idx="375">
                  <c:v>-7.5</c:v>
                </c:pt>
                <c:pt idx="376">
                  <c:v>-8</c:v>
                </c:pt>
                <c:pt idx="377">
                  <c:v>-8.5</c:v>
                </c:pt>
                <c:pt idx="378">
                  <c:v>-9</c:v>
                </c:pt>
                <c:pt idx="379">
                  <c:v>-9.5</c:v>
                </c:pt>
                <c:pt idx="380">
                  <c:v>-10</c:v>
                </c:pt>
                <c:pt idx="381">
                  <c:v>-10.5</c:v>
                </c:pt>
                <c:pt idx="382">
                  <c:v>-11</c:v>
                </c:pt>
                <c:pt idx="383">
                  <c:v>-11.5</c:v>
                </c:pt>
                <c:pt idx="384">
                  <c:v>-12</c:v>
                </c:pt>
                <c:pt idx="385">
                  <c:v>-12.5</c:v>
                </c:pt>
                <c:pt idx="386">
                  <c:v>-13</c:v>
                </c:pt>
                <c:pt idx="387">
                  <c:v>-13.5</c:v>
                </c:pt>
                <c:pt idx="388">
                  <c:v>-14</c:v>
                </c:pt>
                <c:pt idx="389">
                  <c:v>-14.5</c:v>
                </c:pt>
                <c:pt idx="390">
                  <c:v>-15</c:v>
                </c:pt>
                <c:pt idx="391">
                  <c:v>-15.5</c:v>
                </c:pt>
                <c:pt idx="392">
                  <c:v>-16</c:v>
                </c:pt>
                <c:pt idx="393">
                  <c:v>-16.5</c:v>
                </c:pt>
                <c:pt idx="394">
                  <c:v>-17</c:v>
                </c:pt>
                <c:pt idx="395">
                  <c:v>-17.5</c:v>
                </c:pt>
                <c:pt idx="396">
                  <c:v>-18</c:v>
                </c:pt>
                <c:pt idx="397">
                  <c:v>-18.5</c:v>
                </c:pt>
                <c:pt idx="398">
                  <c:v>-19</c:v>
                </c:pt>
                <c:pt idx="399">
                  <c:v>-19.5</c:v>
                </c:pt>
                <c:pt idx="400">
                  <c:v>-20</c:v>
                </c:pt>
                <c:pt idx="401">
                  <c:v>-20.5</c:v>
                </c:pt>
                <c:pt idx="402">
                  <c:v>-21</c:v>
                </c:pt>
                <c:pt idx="403">
                  <c:v>-21.5</c:v>
                </c:pt>
                <c:pt idx="404">
                  <c:v>-22</c:v>
                </c:pt>
                <c:pt idx="405">
                  <c:v>-22.5</c:v>
                </c:pt>
                <c:pt idx="406">
                  <c:v>-23</c:v>
                </c:pt>
                <c:pt idx="407">
                  <c:v>-23.5</c:v>
                </c:pt>
                <c:pt idx="408">
                  <c:v>-24</c:v>
                </c:pt>
                <c:pt idx="409">
                  <c:v>-24.5</c:v>
                </c:pt>
                <c:pt idx="410">
                  <c:v>-25</c:v>
                </c:pt>
                <c:pt idx="411">
                  <c:v>-25.5</c:v>
                </c:pt>
                <c:pt idx="412">
                  <c:v>-26</c:v>
                </c:pt>
                <c:pt idx="413">
                  <c:v>-26.5</c:v>
                </c:pt>
                <c:pt idx="414">
                  <c:v>-27</c:v>
                </c:pt>
                <c:pt idx="415">
                  <c:v>-27.5</c:v>
                </c:pt>
                <c:pt idx="416">
                  <c:v>-28</c:v>
                </c:pt>
                <c:pt idx="417">
                  <c:v>-28.5</c:v>
                </c:pt>
                <c:pt idx="418">
                  <c:v>-29</c:v>
                </c:pt>
                <c:pt idx="419">
                  <c:v>-29.5</c:v>
                </c:pt>
                <c:pt idx="420">
                  <c:v>-30</c:v>
                </c:pt>
                <c:pt idx="421">
                  <c:v>-30.5</c:v>
                </c:pt>
                <c:pt idx="422">
                  <c:v>-31</c:v>
                </c:pt>
                <c:pt idx="423">
                  <c:v>-31.5</c:v>
                </c:pt>
                <c:pt idx="424">
                  <c:v>-32</c:v>
                </c:pt>
                <c:pt idx="425">
                  <c:v>-32.5</c:v>
                </c:pt>
                <c:pt idx="426">
                  <c:v>-33</c:v>
                </c:pt>
                <c:pt idx="427">
                  <c:v>-33.5</c:v>
                </c:pt>
                <c:pt idx="428">
                  <c:v>-34</c:v>
                </c:pt>
                <c:pt idx="429">
                  <c:v>-34.5</c:v>
                </c:pt>
                <c:pt idx="430">
                  <c:v>-35</c:v>
                </c:pt>
                <c:pt idx="431">
                  <c:v>-35.5</c:v>
                </c:pt>
                <c:pt idx="432">
                  <c:v>-36</c:v>
                </c:pt>
                <c:pt idx="433">
                  <c:v>-36.5</c:v>
                </c:pt>
                <c:pt idx="434">
                  <c:v>-37</c:v>
                </c:pt>
                <c:pt idx="435">
                  <c:v>-37.5</c:v>
                </c:pt>
                <c:pt idx="436">
                  <c:v>-38</c:v>
                </c:pt>
                <c:pt idx="437">
                  <c:v>-38.5</c:v>
                </c:pt>
                <c:pt idx="438">
                  <c:v>-39</c:v>
                </c:pt>
                <c:pt idx="439">
                  <c:v>-39.5</c:v>
                </c:pt>
                <c:pt idx="440">
                  <c:v>-40</c:v>
                </c:pt>
                <c:pt idx="441">
                  <c:v>-40.5</c:v>
                </c:pt>
                <c:pt idx="442">
                  <c:v>-41</c:v>
                </c:pt>
                <c:pt idx="443">
                  <c:v>-41.5</c:v>
                </c:pt>
                <c:pt idx="444">
                  <c:v>-42</c:v>
                </c:pt>
                <c:pt idx="445">
                  <c:v>-42.5</c:v>
                </c:pt>
                <c:pt idx="446">
                  <c:v>-43</c:v>
                </c:pt>
                <c:pt idx="447">
                  <c:v>-43.5</c:v>
                </c:pt>
                <c:pt idx="448">
                  <c:v>-44</c:v>
                </c:pt>
                <c:pt idx="449">
                  <c:v>-44.5</c:v>
                </c:pt>
                <c:pt idx="450">
                  <c:v>-45</c:v>
                </c:pt>
                <c:pt idx="451">
                  <c:v>-45.5</c:v>
                </c:pt>
                <c:pt idx="452">
                  <c:v>-46</c:v>
                </c:pt>
                <c:pt idx="453">
                  <c:v>-46.5</c:v>
                </c:pt>
                <c:pt idx="454">
                  <c:v>-47</c:v>
                </c:pt>
                <c:pt idx="455">
                  <c:v>-47.5</c:v>
                </c:pt>
                <c:pt idx="456">
                  <c:v>-48</c:v>
                </c:pt>
                <c:pt idx="457">
                  <c:v>-48.5</c:v>
                </c:pt>
                <c:pt idx="458">
                  <c:v>-49</c:v>
                </c:pt>
                <c:pt idx="459">
                  <c:v>-49.5</c:v>
                </c:pt>
                <c:pt idx="460">
                  <c:v>-50</c:v>
                </c:pt>
                <c:pt idx="461">
                  <c:v>-50.5</c:v>
                </c:pt>
                <c:pt idx="462">
                  <c:v>-51</c:v>
                </c:pt>
                <c:pt idx="463">
                  <c:v>-51.5</c:v>
                </c:pt>
                <c:pt idx="464">
                  <c:v>-52</c:v>
                </c:pt>
                <c:pt idx="465">
                  <c:v>-52.5</c:v>
                </c:pt>
                <c:pt idx="466">
                  <c:v>-53</c:v>
                </c:pt>
                <c:pt idx="467">
                  <c:v>-53.5</c:v>
                </c:pt>
                <c:pt idx="468">
                  <c:v>-54</c:v>
                </c:pt>
                <c:pt idx="469">
                  <c:v>-54.5</c:v>
                </c:pt>
                <c:pt idx="470">
                  <c:v>-55</c:v>
                </c:pt>
                <c:pt idx="471">
                  <c:v>-55.5</c:v>
                </c:pt>
                <c:pt idx="472">
                  <c:v>-56</c:v>
                </c:pt>
                <c:pt idx="473">
                  <c:v>-56.5</c:v>
                </c:pt>
                <c:pt idx="474">
                  <c:v>-57</c:v>
                </c:pt>
                <c:pt idx="475">
                  <c:v>-57.5</c:v>
                </c:pt>
                <c:pt idx="476">
                  <c:v>-58</c:v>
                </c:pt>
                <c:pt idx="477">
                  <c:v>-58.5</c:v>
                </c:pt>
                <c:pt idx="478">
                  <c:v>-59</c:v>
                </c:pt>
                <c:pt idx="479">
                  <c:v>-59.5</c:v>
                </c:pt>
                <c:pt idx="480">
                  <c:v>-60</c:v>
                </c:pt>
                <c:pt idx="481">
                  <c:v>-60.5</c:v>
                </c:pt>
                <c:pt idx="482">
                  <c:v>-61</c:v>
                </c:pt>
                <c:pt idx="483">
                  <c:v>-61.5</c:v>
                </c:pt>
                <c:pt idx="484">
                  <c:v>-62</c:v>
                </c:pt>
                <c:pt idx="485">
                  <c:v>-62.5</c:v>
                </c:pt>
                <c:pt idx="486">
                  <c:v>-63</c:v>
                </c:pt>
                <c:pt idx="487">
                  <c:v>-63.5</c:v>
                </c:pt>
                <c:pt idx="488">
                  <c:v>-64</c:v>
                </c:pt>
                <c:pt idx="489">
                  <c:v>-64.5</c:v>
                </c:pt>
                <c:pt idx="490">
                  <c:v>-65</c:v>
                </c:pt>
                <c:pt idx="491">
                  <c:v>-65.5</c:v>
                </c:pt>
                <c:pt idx="492">
                  <c:v>-66</c:v>
                </c:pt>
                <c:pt idx="493">
                  <c:v>-66.5</c:v>
                </c:pt>
                <c:pt idx="494">
                  <c:v>-67</c:v>
                </c:pt>
                <c:pt idx="495">
                  <c:v>-67.5</c:v>
                </c:pt>
                <c:pt idx="496">
                  <c:v>-68</c:v>
                </c:pt>
                <c:pt idx="497">
                  <c:v>-68.5</c:v>
                </c:pt>
                <c:pt idx="498">
                  <c:v>-69</c:v>
                </c:pt>
                <c:pt idx="499">
                  <c:v>-69.5</c:v>
                </c:pt>
                <c:pt idx="500">
                  <c:v>-70</c:v>
                </c:pt>
                <c:pt idx="501">
                  <c:v>-70.5</c:v>
                </c:pt>
                <c:pt idx="502">
                  <c:v>-71</c:v>
                </c:pt>
                <c:pt idx="503">
                  <c:v>-71.5</c:v>
                </c:pt>
                <c:pt idx="504">
                  <c:v>-72</c:v>
                </c:pt>
                <c:pt idx="505">
                  <c:v>-72.5</c:v>
                </c:pt>
                <c:pt idx="506">
                  <c:v>-73</c:v>
                </c:pt>
                <c:pt idx="507">
                  <c:v>-73.5</c:v>
                </c:pt>
                <c:pt idx="508">
                  <c:v>-74</c:v>
                </c:pt>
                <c:pt idx="509">
                  <c:v>-74.5</c:v>
                </c:pt>
                <c:pt idx="510">
                  <c:v>-75</c:v>
                </c:pt>
                <c:pt idx="511">
                  <c:v>-75.5</c:v>
                </c:pt>
                <c:pt idx="512">
                  <c:v>-76</c:v>
                </c:pt>
                <c:pt idx="513">
                  <c:v>-76.5</c:v>
                </c:pt>
                <c:pt idx="514">
                  <c:v>-77</c:v>
                </c:pt>
                <c:pt idx="515">
                  <c:v>-77.5</c:v>
                </c:pt>
                <c:pt idx="516">
                  <c:v>-78</c:v>
                </c:pt>
                <c:pt idx="517">
                  <c:v>-78.5</c:v>
                </c:pt>
                <c:pt idx="518">
                  <c:v>-79</c:v>
                </c:pt>
                <c:pt idx="519">
                  <c:v>-79.5</c:v>
                </c:pt>
                <c:pt idx="520">
                  <c:v>-80</c:v>
                </c:pt>
                <c:pt idx="521">
                  <c:v>-80.5</c:v>
                </c:pt>
                <c:pt idx="522">
                  <c:v>-81</c:v>
                </c:pt>
                <c:pt idx="523">
                  <c:v>-81.5</c:v>
                </c:pt>
                <c:pt idx="524">
                  <c:v>-82</c:v>
                </c:pt>
                <c:pt idx="525">
                  <c:v>-82.5</c:v>
                </c:pt>
                <c:pt idx="526">
                  <c:v>-83</c:v>
                </c:pt>
                <c:pt idx="527">
                  <c:v>-83.5</c:v>
                </c:pt>
                <c:pt idx="528">
                  <c:v>-84</c:v>
                </c:pt>
                <c:pt idx="529">
                  <c:v>-84.5</c:v>
                </c:pt>
                <c:pt idx="530">
                  <c:v>-85</c:v>
                </c:pt>
                <c:pt idx="531">
                  <c:v>-85.5</c:v>
                </c:pt>
                <c:pt idx="532">
                  <c:v>-86</c:v>
                </c:pt>
                <c:pt idx="533">
                  <c:v>-86.5</c:v>
                </c:pt>
                <c:pt idx="534">
                  <c:v>-87</c:v>
                </c:pt>
                <c:pt idx="535">
                  <c:v>-87.5</c:v>
                </c:pt>
                <c:pt idx="536">
                  <c:v>-88</c:v>
                </c:pt>
                <c:pt idx="537">
                  <c:v>-88.5</c:v>
                </c:pt>
                <c:pt idx="538">
                  <c:v>-89</c:v>
                </c:pt>
                <c:pt idx="539">
                  <c:v>-89.5</c:v>
                </c:pt>
                <c:pt idx="540">
                  <c:v>-90</c:v>
                </c:pt>
                <c:pt idx="541">
                  <c:v>-90.5</c:v>
                </c:pt>
                <c:pt idx="542">
                  <c:v>-91</c:v>
                </c:pt>
                <c:pt idx="543">
                  <c:v>-91.5</c:v>
                </c:pt>
                <c:pt idx="544">
                  <c:v>-92</c:v>
                </c:pt>
                <c:pt idx="545">
                  <c:v>-92.5</c:v>
                </c:pt>
                <c:pt idx="546">
                  <c:v>-93</c:v>
                </c:pt>
                <c:pt idx="547">
                  <c:v>-93.5</c:v>
                </c:pt>
                <c:pt idx="548">
                  <c:v>-94</c:v>
                </c:pt>
                <c:pt idx="549">
                  <c:v>-94.5</c:v>
                </c:pt>
                <c:pt idx="550">
                  <c:v>-95</c:v>
                </c:pt>
                <c:pt idx="551">
                  <c:v>-95.5</c:v>
                </c:pt>
                <c:pt idx="552">
                  <c:v>-96</c:v>
                </c:pt>
                <c:pt idx="553">
                  <c:v>-96.5</c:v>
                </c:pt>
                <c:pt idx="554">
                  <c:v>-97</c:v>
                </c:pt>
                <c:pt idx="555">
                  <c:v>-97.5</c:v>
                </c:pt>
                <c:pt idx="556">
                  <c:v>-98</c:v>
                </c:pt>
                <c:pt idx="557">
                  <c:v>-98.5</c:v>
                </c:pt>
                <c:pt idx="558">
                  <c:v>-99</c:v>
                </c:pt>
                <c:pt idx="559">
                  <c:v>-99.5</c:v>
                </c:pt>
                <c:pt idx="560">
                  <c:v>-100</c:v>
                </c:pt>
                <c:pt idx="561">
                  <c:v>-100.5</c:v>
                </c:pt>
                <c:pt idx="562">
                  <c:v>-101</c:v>
                </c:pt>
                <c:pt idx="563">
                  <c:v>-101.5</c:v>
                </c:pt>
                <c:pt idx="564">
                  <c:v>-102</c:v>
                </c:pt>
                <c:pt idx="565">
                  <c:v>-102.5</c:v>
                </c:pt>
                <c:pt idx="566">
                  <c:v>-103</c:v>
                </c:pt>
                <c:pt idx="567">
                  <c:v>-103.5</c:v>
                </c:pt>
                <c:pt idx="568">
                  <c:v>-104</c:v>
                </c:pt>
                <c:pt idx="569">
                  <c:v>-104.5</c:v>
                </c:pt>
                <c:pt idx="570">
                  <c:v>-105</c:v>
                </c:pt>
                <c:pt idx="571">
                  <c:v>-105.5</c:v>
                </c:pt>
                <c:pt idx="572">
                  <c:v>-106</c:v>
                </c:pt>
                <c:pt idx="573">
                  <c:v>-106.5</c:v>
                </c:pt>
                <c:pt idx="574">
                  <c:v>-107</c:v>
                </c:pt>
                <c:pt idx="575">
                  <c:v>-107.5</c:v>
                </c:pt>
                <c:pt idx="576">
                  <c:v>-108</c:v>
                </c:pt>
                <c:pt idx="577">
                  <c:v>-108.5</c:v>
                </c:pt>
                <c:pt idx="578">
                  <c:v>-109</c:v>
                </c:pt>
                <c:pt idx="579">
                  <c:v>-109.5</c:v>
                </c:pt>
                <c:pt idx="580">
                  <c:v>-110</c:v>
                </c:pt>
                <c:pt idx="581">
                  <c:v>-110.5</c:v>
                </c:pt>
                <c:pt idx="582">
                  <c:v>-111</c:v>
                </c:pt>
                <c:pt idx="583">
                  <c:v>-111.5</c:v>
                </c:pt>
                <c:pt idx="584">
                  <c:v>-112</c:v>
                </c:pt>
                <c:pt idx="585">
                  <c:v>-112.5</c:v>
                </c:pt>
                <c:pt idx="586">
                  <c:v>-113</c:v>
                </c:pt>
                <c:pt idx="587">
                  <c:v>-113.5</c:v>
                </c:pt>
                <c:pt idx="588">
                  <c:v>-114</c:v>
                </c:pt>
                <c:pt idx="589">
                  <c:v>-114.5</c:v>
                </c:pt>
                <c:pt idx="590">
                  <c:v>-115</c:v>
                </c:pt>
                <c:pt idx="591">
                  <c:v>-115.5</c:v>
                </c:pt>
                <c:pt idx="592">
                  <c:v>-116</c:v>
                </c:pt>
                <c:pt idx="593">
                  <c:v>-116.5</c:v>
                </c:pt>
                <c:pt idx="594">
                  <c:v>-117</c:v>
                </c:pt>
                <c:pt idx="595">
                  <c:v>-117.5</c:v>
                </c:pt>
                <c:pt idx="596">
                  <c:v>-118</c:v>
                </c:pt>
                <c:pt idx="597">
                  <c:v>-118.5</c:v>
                </c:pt>
                <c:pt idx="598">
                  <c:v>-119</c:v>
                </c:pt>
                <c:pt idx="599">
                  <c:v>-119.5</c:v>
                </c:pt>
                <c:pt idx="600">
                  <c:v>-120</c:v>
                </c:pt>
                <c:pt idx="601">
                  <c:v>-120.5</c:v>
                </c:pt>
                <c:pt idx="602">
                  <c:v>-121</c:v>
                </c:pt>
                <c:pt idx="603">
                  <c:v>-121.5</c:v>
                </c:pt>
                <c:pt idx="604">
                  <c:v>-122</c:v>
                </c:pt>
                <c:pt idx="605">
                  <c:v>-122.5</c:v>
                </c:pt>
                <c:pt idx="606">
                  <c:v>-123</c:v>
                </c:pt>
                <c:pt idx="607">
                  <c:v>-123.5</c:v>
                </c:pt>
                <c:pt idx="608">
                  <c:v>-124</c:v>
                </c:pt>
                <c:pt idx="609">
                  <c:v>-124.5</c:v>
                </c:pt>
                <c:pt idx="610">
                  <c:v>-125</c:v>
                </c:pt>
                <c:pt idx="611">
                  <c:v>-125.5</c:v>
                </c:pt>
                <c:pt idx="612">
                  <c:v>-126</c:v>
                </c:pt>
                <c:pt idx="613">
                  <c:v>-126.5</c:v>
                </c:pt>
                <c:pt idx="614">
                  <c:v>-127</c:v>
                </c:pt>
                <c:pt idx="615">
                  <c:v>-127.5</c:v>
                </c:pt>
                <c:pt idx="616">
                  <c:v>-128</c:v>
                </c:pt>
                <c:pt idx="617">
                  <c:v>-128.5</c:v>
                </c:pt>
                <c:pt idx="618">
                  <c:v>-129</c:v>
                </c:pt>
                <c:pt idx="619">
                  <c:v>-129.5</c:v>
                </c:pt>
                <c:pt idx="620">
                  <c:v>-130</c:v>
                </c:pt>
                <c:pt idx="621">
                  <c:v>-130.5</c:v>
                </c:pt>
                <c:pt idx="622">
                  <c:v>-131</c:v>
                </c:pt>
                <c:pt idx="623">
                  <c:v>-131.5</c:v>
                </c:pt>
                <c:pt idx="624">
                  <c:v>-132</c:v>
                </c:pt>
                <c:pt idx="625">
                  <c:v>-132.5</c:v>
                </c:pt>
                <c:pt idx="626">
                  <c:v>-133</c:v>
                </c:pt>
                <c:pt idx="627">
                  <c:v>-133.5</c:v>
                </c:pt>
                <c:pt idx="628">
                  <c:v>-134</c:v>
                </c:pt>
                <c:pt idx="629">
                  <c:v>-134.5</c:v>
                </c:pt>
                <c:pt idx="630">
                  <c:v>-135</c:v>
                </c:pt>
                <c:pt idx="631">
                  <c:v>-135.5</c:v>
                </c:pt>
                <c:pt idx="632">
                  <c:v>-136</c:v>
                </c:pt>
                <c:pt idx="633">
                  <c:v>-136.5</c:v>
                </c:pt>
                <c:pt idx="634">
                  <c:v>-137</c:v>
                </c:pt>
                <c:pt idx="635">
                  <c:v>-137.5</c:v>
                </c:pt>
                <c:pt idx="636">
                  <c:v>-138</c:v>
                </c:pt>
                <c:pt idx="637">
                  <c:v>-138.5</c:v>
                </c:pt>
                <c:pt idx="638">
                  <c:v>-139</c:v>
                </c:pt>
                <c:pt idx="639">
                  <c:v>-139.5</c:v>
                </c:pt>
                <c:pt idx="640">
                  <c:v>-140</c:v>
                </c:pt>
                <c:pt idx="641">
                  <c:v>-140.5</c:v>
                </c:pt>
                <c:pt idx="642">
                  <c:v>-141</c:v>
                </c:pt>
                <c:pt idx="643">
                  <c:v>-141.5</c:v>
                </c:pt>
                <c:pt idx="644">
                  <c:v>-142</c:v>
                </c:pt>
                <c:pt idx="645">
                  <c:v>-142.5</c:v>
                </c:pt>
                <c:pt idx="646">
                  <c:v>-143</c:v>
                </c:pt>
                <c:pt idx="647">
                  <c:v>-143.5</c:v>
                </c:pt>
                <c:pt idx="648">
                  <c:v>-144</c:v>
                </c:pt>
                <c:pt idx="649">
                  <c:v>-144.5</c:v>
                </c:pt>
                <c:pt idx="650">
                  <c:v>-145</c:v>
                </c:pt>
                <c:pt idx="651">
                  <c:v>-145.5</c:v>
                </c:pt>
                <c:pt idx="652">
                  <c:v>-146</c:v>
                </c:pt>
                <c:pt idx="653">
                  <c:v>-146.5</c:v>
                </c:pt>
                <c:pt idx="654">
                  <c:v>-147</c:v>
                </c:pt>
                <c:pt idx="655">
                  <c:v>-147.5</c:v>
                </c:pt>
                <c:pt idx="656">
                  <c:v>-148</c:v>
                </c:pt>
                <c:pt idx="657">
                  <c:v>-148.5</c:v>
                </c:pt>
                <c:pt idx="658">
                  <c:v>-149</c:v>
                </c:pt>
                <c:pt idx="659">
                  <c:v>-149.5</c:v>
                </c:pt>
                <c:pt idx="660">
                  <c:v>-150</c:v>
                </c:pt>
                <c:pt idx="661">
                  <c:v>-150.5</c:v>
                </c:pt>
                <c:pt idx="662">
                  <c:v>-151</c:v>
                </c:pt>
                <c:pt idx="663">
                  <c:v>-151.5</c:v>
                </c:pt>
                <c:pt idx="664">
                  <c:v>-152</c:v>
                </c:pt>
                <c:pt idx="665">
                  <c:v>-152.5</c:v>
                </c:pt>
                <c:pt idx="666">
                  <c:v>-153</c:v>
                </c:pt>
                <c:pt idx="667">
                  <c:v>-153.5</c:v>
                </c:pt>
                <c:pt idx="668">
                  <c:v>-154</c:v>
                </c:pt>
                <c:pt idx="669">
                  <c:v>-154.5</c:v>
                </c:pt>
                <c:pt idx="670">
                  <c:v>-155</c:v>
                </c:pt>
                <c:pt idx="671">
                  <c:v>-155.5</c:v>
                </c:pt>
                <c:pt idx="672">
                  <c:v>-156</c:v>
                </c:pt>
                <c:pt idx="673">
                  <c:v>-156.5</c:v>
                </c:pt>
                <c:pt idx="674">
                  <c:v>-157</c:v>
                </c:pt>
                <c:pt idx="675">
                  <c:v>-157.5</c:v>
                </c:pt>
                <c:pt idx="676">
                  <c:v>-158</c:v>
                </c:pt>
                <c:pt idx="677">
                  <c:v>-158.5</c:v>
                </c:pt>
                <c:pt idx="678">
                  <c:v>-159</c:v>
                </c:pt>
                <c:pt idx="679">
                  <c:v>-159.5</c:v>
                </c:pt>
                <c:pt idx="680">
                  <c:v>-160</c:v>
                </c:pt>
                <c:pt idx="681">
                  <c:v>-160.5</c:v>
                </c:pt>
                <c:pt idx="682">
                  <c:v>-161</c:v>
                </c:pt>
                <c:pt idx="683">
                  <c:v>-161.5</c:v>
                </c:pt>
                <c:pt idx="684">
                  <c:v>-162</c:v>
                </c:pt>
                <c:pt idx="685">
                  <c:v>-162.5</c:v>
                </c:pt>
                <c:pt idx="686">
                  <c:v>-163</c:v>
                </c:pt>
                <c:pt idx="687">
                  <c:v>-163.5</c:v>
                </c:pt>
                <c:pt idx="688">
                  <c:v>-164</c:v>
                </c:pt>
                <c:pt idx="689">
                  <c:v>-164.5</c:v>
                </c:pt>
                <c:pt idx="690">
                  <c:v>-165</c:v>
                </c:pt>
                <c:pt idx="691">
                  <c:v>-165.5</c:v>
                </c:pt>
                <c:pt idx="692">
                  <c:v>-166</c:v>
                </c:pt>
                <c:pt idx="693">
                  <c:v>-166.5</c:v>
                </c:pt>
                <c:pt idx="694">
                  <c:v>-167</c:v>
                </c:pt>
                <c:pt idx="695">
                  <c:v>-167.5</c:v>
                </c:pt>
                <c:pt idx="696">
                  <c:v>-168</c:v>
                </c:pt>
                <c:pt idx="697">
                  <c:v>-168.5</c:v>
                </c:pt>
                <c:pt idx="698">
                  <c:v>-169</c:v>
                </c:pt>
                <c:pt idx="699">
                  <c:v>-169.5</c:v>
                </c:pt>
                <c:pt idx="700">
                  <c:v>-170</c:v>
                </c:pt>
                <c:pt idx="701">
                  <c:v>-170.5</c:v>
                </c:pt>
                <c:pt idx="702">
                  <c:v>-171</c:v>
                </c:pt>
                <c:pt idx="703">
                  <c:v>-171.5</c:v>
                </c:pt>
                <c:pt idx="704">
                  <c:v>-172</c:v>
                </c:pt>
                <c:pt idx="705">
                  <c:v>-172.5</c:v>
                </c:pt>
                <c:pt idx="706">
                  <c:v>-173</c:v>
                </c:pt>
                <c:pt idx="707">
                  <c:v>-173.5</c:v>
                </c:pt>
                <c:pt idx="708">
                  <c:v>-174</c:v>
                </c:pt>
                <c:pt idx="709">
                  <c:v>-174.5</c:v>
                </c:pt>
                <c:pt idx="710">
                  <c:v>-175</c:v>
                </c:pt>
                <c:pt idx="711">
                  <c:v>-175.5</c:v>
                </c:pt>
                <c:pt idx="712">
                  <c:v>-176</c:v>
                </c:pt>
                <c:pt idx="713">
                  <c:v>-176.5</c:v>
                </c:pt>
                <c:pt idx="714">
                  <c:v>-177</c:v>
                </c:pt>
                <c:pt idx="715">
                  <c:v>-177.5</c:v>
                </c:pt>
                <c:pt idx="716">
                  <c:v>-178</c:v>
                </c:pt>
                <c:pt idx="717">
                  <c:v>-178.5</c:v>
                </c:pt>
                <c:pt idx="718">
                  <c:v>-179</c:v>
                </c:pt>
                <c:pt idx="719">
                  <c:v>-179.5</c:v>
                </c:pt>
                <c:pt idx="720">
                  <c:v>-180</c:v>
                </c:pt>
              </c:numCache>
            </c:numRef>
          </c:xVal>
          <c:yVal>
            <c:numRef>
              <c:f>Tres_avances!$P$5:$P$725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4.6033346729217515</c:v>
                </c:pt>
                <c:pt idx="276">
                  <c:v>4.6838282643979383</c:v>
                </c:pt>
                <c:pt idx="277">
                  <c:v>4.7661189310785605</c:v>
                </c:pt>
                <c:pt idx="278">
                  <c:v>4.8502428963503164</c:v>
                </c:pt>
                <c:pt idx="279">
                  <c:v>4.9362364384492903</c:v>
                </c:pt>
                <c:pt idx="280">
                  <c:v>5.024135818595048</c:v>
                </c:pt>
                <c:pt idx="281">
                  <c:v>5.1139772021108811</c:v>
                </c:pt>
                <c:pt idx="282">
                  <c:v>5.2057965720721358</c:v>
                </c:pt>
                <c:pt idx="283">
                  <c:v>5.2996296350088352</c:v>
                </c:pt>
                <c:pt idx="284">
                  <c:v>5.3955117181735694</c:v>
                </c:pt>
                <c:pt idx="285">
                  <c:v>5.4934776578723703</c:v>
                </c:pt>
                <c:pt idx="286">
                  <c:v>5.5935616783449866</c:v>
                </c:pt>
                <c:pt idx="287">
                  <c:v>5.6957972606717471</c:v>
                </c:pt>
                <c:pt idx="288">
                  <c:v>5.80021700117838</c:v>
                </c:pt>
                <c:pt idx="289">
                  <c:v>5.9068524588072222</c:v>
                </c:pt>
                <c:pt idx="290">
                  <c:v>6.0157339909247796</c:v>
                </c:pt>
                <c:pt idx="291">
                  <c:v>6.1268905770417605</c:v>
                </c:pt>
                <c:pt idx="292">
                  <c:v>6.2403496299330925</c:v>
                </c:pt>
                <c:pt idx="293">
                  <c:v>6.3561367936632998</c:v>
                </c:pt>
                <c:pt idx="294">
                  <c:v>6.474275728047596</c:v>
                </c:pt>
                <c:pt idx="295">
                  <c:v>6.5947878791117649</c:v>
                </c:pt>
                <c:pt idx="296">
                  <c:v>6.7176922351560417</c:v>
                </c:pt>
                <c:pt idx="297">
                  <c:v>6.8430050680798962</c:v>
                </c:pt>
                <c:pt idx="298">
                  <c:v>6.9707396596879816</c:v>
                </c:pt>
                <c:pt idx="299">
                  <c:v>7.1009060127726942</c:v>
                </c:pt>
                <c:pt idx="300">
                  <c:v>7.2335105468578709</c:v>
                </c:pt>
                <c:pt idx="301">
                  <c:v>7.3685557785910527</c:v>
                </c:pt>
                <c:pt idx="302">
                  <c:v>7.5060399868917722</c:v>
                </c:pt>
                <c:pt idx="303">
                  <c:v>7.6459568630988599</c:v>
                </c:pt>
                <c:pt idx="304">
                  <c:v>7.7882951465147201</c:v>
                </c:pt>
                <c:pt idx="305">
                  <c:v>7.9330382459174604</c:v>
                </c:pt>
                <c:pt idx="306">
                  <c:v>8.080163847805947</c:v>
                </c:pt>
                <c:pt idx="307">
                  <c:v>8.2296435123565956</c:v>
                </c:pt>
                <c:pt idx="308">
                  <c:v>8.381442258307171</c:v>
                </c:pt>
                <c:pt idx="309">
                  <c:v>8.5355181382400183</c:v>
                </c:pt>
                <c:pt idx="310">
                  <c:v>8.6918218060164509</c:v>
                </c:pt>
                <c:pt idx="311">
                  <c:v>8.8502960784148286</c:v>
                </c:pt>
                <c:pt idx="312">
                  <c:v>9.0108754933457398</c:v>
                </c:pt>
                <c:pt idx="313">
                  <c:v>9.173485867358151</c:v>
                </c:pt>
                <c:pt idx="314">
                  <c:v>9.3380438555080385</c:v>
                </c:pt>
                <c:pt idx="315">
                  <c:v>9.5044809266756776</c:v>
                </c:pt>
                <c:pt idx="316">
                  <c:v>9.6730900384594172</c:v>
                </c:pt>
                <c:pt idx="317">
                  <c:v>9.8444649296246087</c:v>
                </c:pt>
                <c:pt idx="318">
                  <c:v>10.019235023104711</c:v>
                </c:pt>
                <c:pt idx="319">
                  <c:v>10.198057880394828</c:v>
                </c:pt>
                <c:pt idx="320">
                  <c:v>10.381618344254658</c:v>
                </c:pt>
                <c:pt idx="321">
                  <c:v>10.570627228018875</c:v>
                </c:pt>
                <c:pt idx="322">
                  <c:v>10.765819516603242</c:v>
                </c:pt>
                <c:pt idx="323">
                  <c:v>10.96795204601537</c:v>
                </c:pt>
                <c:pt idx="324">
                  <c:v>11.177800630774877</c:v>
                </c:pt>
                <c:pt idx="325">
                  <c:v>11.396156612197132</c:v>
                </c:pt>
                <c:pt idx="326">
                  <c:v>11.623822805071502</c:v>
                </c:pt>
                <c:pt idx="327">
                  <c:v>11.861608825924817</c:v>
                </c:pt>
                <c:pt idx="328">
                  <c:v>12.110325792848352</c:v>
                </c:pt>
                <c:pt idx="329">
                  <c:v>12.370780394800377</c:v>
                </c:pt>
                <c:pt idx="330">
                  <c:v>12.643768337374041</c:v>
                </c:pt>
                <c:pt idx="331">
                  <c:v>12.930067182209228</c:v>
                </c:pt>
                <c:pt idx="332">
                  <c:v>13.23042860845711</c:v>
                </c:pt>
                <c:pt idx="333">
                  <c:v>13.545570136877433</c:v>
                </c:pt>
                <c:pt idx="334">
                  <c:v>13.876166370113967</c:v>
                </c:pt>
                <c:pt idx="335">
                  <c:v>14.222839816268865</c:v>
                </c:pt>
                <c:pt idx="336">
                  <c:v>14.586151376850291</c:v>
                </c:pt>
                <c:pt idx="337">
                  <c:v>14.9665905942321</c:v>
                </c:pt>
                <c:pt idx="338">
                  <c:v>15.364565767619599</c:v>
                </c:pt>
                <c:pt idx="339">
                  <c:v>15.780394059820624</c:v>
                </c:pt>
                <c:pt idx="340">
                  <c:v>16.214291729490363</c:v>
                </c:pt>
                <c:pt idx="341">
                  <c:v>16.666364634549268</c:v>
                </c:pt>
                <c:pt idx="342">
                  <c:v>17.136599161752223</c:v>
                </c:pt>
                <c:pt idx="343">
                  <c:v>17.624853744492839</c:v>
                </c:pt>
                <c:pt idx="344">
                  <c:v>18.130851135457235</c:v>
                </c:pt>
                <c:pt idx="345">
                  <c:v>18.654171602315209</c:v>
                </c:pt>
                <c:pt idx="346">
                  <c:v>19.194247212919656</c:v>
                </c:pt>
                <c:pt idx="347">
                  <c:v>19.750357371202465</c:v>
                </c:pt>
                <c:pt idx="348">
                  <c:v>20.321625755899269</c:v>
                </c:pt>
                <c:pt idx="349">
                  <c:v>20.907018801299827</c:v>
                </c:pt>
                <c:pt idx="350">
                  <c:v>21.505345842391968</c:v>
                </c:pt>
                <c:pt idx="351">
                  <c:v>22.115261026143489</c:v>
                </c:pt>
                <c:pt idx="352">
                  <c:v>22.735267066474023</c:v>
                </c:pt>
                <c:pt idx="353">
                  <c:v>23.363720893046967</c:v>
                </c:pt>
                <c:pt idx="354">
                  <c:v>23.99884121381865</c:v>
                </c:pt>
                <c:pt idx="355">
                  <c:v>24.638717978899074</c:v>
                </c:pt>
                <c:pt idx="356">
                  <c:v>25.28132369938076</c:v>
                </c:pt>
                <c:pt idx="357">
                  <c:v>25.924526540135933</c:v>
                </c:pt>
                <c:pt idx="358">
                  <c:v>26.566105071002362</c:v>
                </c:pt>
                <c:pt idx="359">
                  <c:v>27.203764527135231</c:v>
                </c:pt>
                <c:pt idx="360">
                  <c:v>27.83515439747719</c:v>
                </c:pt>
                <c:pt idx="361">
                  <c:v>28.457887131152521</c:v>
                </c:pt>
                <c:pt idx="362">
                  <c:v>29.069557725940886</c:v>
                </c:pt>
                <c:pt idx="363">
                  <c:v>29.667763941568293</c:v>
                </c:pt>
                <c:pt idx="364">
                  <c:v>30.250126864010547</c:v>
                </c:pt>
                <c:pt idx="365">
                  <c:v>30.814311535841902</c:v>
                </c:pt>
                <c:pt idx="366">
                  <c:v>31.358047362249479</c:v>
                </c:pt>
                <c:pt idx="367">
                  <c:v>31.87914800287562</c:v>
                </c:pt>
                <c:pt idx="368">
                  <c:v>32.37553046618455</c:v>
                </c:pt>
                <c:pt idx="369">
                  <c:v>32.845233135445184</c:v>
                </c:pt>
                <c:pt idx="370">
                  <c:v>33.286432473384529</c:v>
                </c:pt>
                <c:pt idx="371">
                  <c:v>33.697458175637948</c:v>
                </c:pt>
                <c:pt idx="372">
                  <c:v>34.076806570726625</c:v>
                </c:pt>
                <c:pt idx="373">
                  <c:v>34.423152095716375</c:v>
                </c:pt>
                <c:pt idx="374">
                  <c:v>34.735356711153884</c:v>
                </c:pt>
                <c:pt idx="375">
                  <c:v>35.012477155482351</c:v>
                </c:pt>
                <c:pt idx="376">
                  <c:v>35.25376997700446</c:v>
                </c:pt>
                <c:pt idx="377">
                  <c:v>35.458694319673178</c:v>
                </c:pt>
                <c:pt idx="378">
                  <c:v>35.626912476672672</c:v>
                </c:pt>
                <c:pt idx="379">
                  <c:v>35.75828826205646</c:v>
                </c:pt>
                <c:pt idx="380">
                  <c:v>35.852883284859594</c:v>
                </c:pt>
                <c:pt idx="381">
                  <c:v>35.910951241424492</c:v>
                </c:pt>
                <c:pt idx="382">
                  <c:v>35.932930369584973</c:v>
                </c:pt>
                <c:pt idx="383">
                  <c:v>35.919434232377235</c:v>
                </c:pt>
                <c:pt idx="384">
                  <c:v>35.871241018750744</c:v>
                </c:pt>
                <c:pt idx="385">
                  <c:v>35.789281564107725</c:v>
                </c:pt>
                <c:pt idx="386">
                  <c:v>35.674626304316718</c:v>
                </c:pt>
                <c:pt idx="387">
                  <c:v>35.528471383133081</c:v>
                </c:pt>
                <c:pt idx="388">
                  <c:v>35.352124134849788</c:v>
                </c:pt>
                <c:pt idx="389">
                  <c:v>35.146988161720564</c:v>
                </c:pt>
                <c:pt idx="390">
                  <c:v>34.914548219537352</c:v>
                </c:pt>
                <c:pt idx="391">
                  <c:v>34.656355115103146</c:v>
                </c:pt>
                <c:pt idx="392">
                  <c:v>34.374010806631702</c:v>
                </c:pt>
                <c:pt idx="393">
                  <c:v>34.069153882810411</c:v>
                </c:pt>
                <c:pt idx="394">
                  <c:v>33.743445578869391</c:v>
                </c:pt>
                <c:pt idx="395">
                  <c:v>33.398556469019624</c:v>
                </c:pt>
                <c:pt idx="396">
                  <c:v>33.036153954547643</c:v>
                </c:pt>
                <c:pt idx="397">
                  <c:v>32.657890646180348</c:v>
                </c:pt>
                <c:pt idx="398">
                  <c:v>32.265393718513032</c:v>
                </c:pt>
                <c:pt idx="399">
                  <c:v>31.860255293750406</c:v>
                </c:pt>
                <c:pt idx="400">
                  <c:v>31.444023892135338</c:v>
                </c:pt>
                <c:pt idx="401">
                  <c:v>31.018196967557742</c:v>
                </c:pt>
                <c:pt idx="402">
                  <c:v>30.584214529240707</c:v>
                </c:pt>
                <c:pt idx="403">
                  <c:v>30.143453834315533</c:v>
                </c:pt>
                <c:pt idx="404">
                  <c:v>29.697225121705912</c:v>
                </c:pt>
                <c:pt idx="405">
                  <c:v>29.246768345167009</c:v>
                </c:pt>
                <c:pt idx="406">
                  <c:v>28.793250852640508</c:v>
                </c:pt>
                <c:pt idx="407">
                  <c:v>28.337765950319962</c:v>
                </c:pt>
                <c:pt idx="408">
                  <c:v>27.881332282959097</c:v>
                </c:pt>
                <c:pt idx="409">
                  <c:v>27.424893956934543</c:v>
                </c:pt>
                <c:pt idx="410">
                  <c:v>26.969321329316838</c:v>
                </c:pt>
                <c:pt idx="411">
                  <c:v>26.515412384578411</c:v>
                </c:pt>
                <c:pt idx="412">
                  <c:v>26.063894620446771</c:v>
                </c:pt>
                <c:pt idx="413">
                  <c:v>25.615427365628221</c:v>
                </c:pt>
                <c:pt idx="414">
                  <c:v>25.170604454518109</c:v>
                </c:pt>
                <c:pt idx="415">
                  <c:v>24.72995718740059</c:v>
                </c:pt>
                <c:pt idx="416">
                  <c:v>24.293957508844937</c:v>
                </c:pt>
                <c:pt idx="417">
                  <c:v>23.863021341854235</c:v>
                </c:pt>
                <c:pt idx="418">
                  <c:v>23.437512020644785</c:v>
                </c:pt>
                <c:pt idx="419">
                  <c:v>23.01774377057065</c:v>
                </c:pt>
                <c:pt idx="420">
                  <c:v>22.603985189514507</c:v>
                </c:pt>
                <c:pt idx="421">
                  <c:v>22.196462690903896</c:v>
                </c:pt>
                <c:pt idx="422">
                  <c:v>21.795363874270361</c:v>
                </c:pt>
                <c:pt idx="423">
                  <c:v>21.400840794840811</c:v>
                </c:pt>
                <c:pt idx="424">
                  <c:v>21.013013108957981</c:v>
                </c:pt>
                <c:pt idx="425">
                  <c:v>20.631971077095468</c:v>
                </c:pt>
                <c:pt idx="426">
                  <c:v>20.257778410820436</c:v>
                </c:pt>
                <c:pt idx="427">
                  <c:v>19.89047495421876</c:v>
                </c:pt>
                <c:pt idx="428">
                  <c:v>19.53007919401869</c:v>
                </c:pt>
                <c:pt idx="429">
                  <c:v>19.176590595917148</c:v>
                </c:pt>
                <c:pt idx="430">
                  <c:v>18.829991767432585</c:v>
                </c:pt>
                <c:pt idx="431">
                  <c:v>18.490250449989208</c:v>
                </c:pt>
                <c:pt idx="432">
                  <c:v>18.157321344902225</c:v>
                </c:pt>
                <c:pt idx="433">
                  <c:v>17.831147779506029</c:v>
                </c:pt>
                <c:pt idx="434">
                  <c:v>17.511663220879896</c:v>
                </c:pt>
                <c:pt idx="435">
                  <c:v>17.198792645512182</c:v>
                </c:pt>
                <c:pt idx="436">
                  <c:v>16.892453773839375</c:v>
                </c:pt>
                <c:pt idx="437">
                  <c:v>16.592558178938724</c:v>
                </c:pt>
                <c:pt idx="438">
                  <c:v>16.29901227877864</c:v>
                </c:pt>
                <c:pt idx="439">
                  <c:v>16.011718221373112</c:v>
                </c:pt>
                <c:pt idx="440">
                  <c:v>15.73057467198123</c:v>
                </c:pt>
                <c:pt idx="441">
                  <c:v>15.455477511168239</c:v>
                </c:pt>
                <c:pt idx="442">
                  <c:v>15.186320452130909</c:v>
                </c:pt>
                <c:pt idx="443">
                  <c:v>14.922995585211469</c:v>
                </c:pt>
                <c:pt idx="444">
                  <c:v>14.665393857001613</c:v>
                </c:pt>
                <c:pt idx="445">
                  <c:v>14.413405490893423</c:v>
                </c:pt>
                <c:pt idx="446">
                  <c:v>14.166920355378206</c:v>
                </c:pt>
                <c:pt idx="447">
                  <c:v>13.925828285846409</c:v>
                </c:pt>
                <c:pt idx="448">
                  <c:v>13.690019365104755</c:v>
                </c:pt>
                <c:pt idx="449">
                  <c:v>13.459384167316585</c:v>
                </c:pt>
                <c:pt idx="450">
                  <c:v>13.233813969586238</c:v>
                </c:pt>
                <c:pt idx="451">
                  <c:v>13.013200934957858</c:v>
                </c:pt>
                <c:pt idx="452">
                  <c:v>12.797438270181381</c:v>
                </c:pt>
                <c:pt idx="453">
                  <c:v>12.586420361218142</c:v>
                </c:pt>
                <c:pt idx="454">
                  <c:v>12.380042889111989</c:v>
                </c:pt>
                <c:pt idx="455">
                  <c:v>12.178202928541296</c:v>
                </c:pt>
                <c:pt idx="456">
                  <c:v>11.980799031088489</c:v>
                </c:pt>
                <c:pt idx="457">
                  <c:v>11.787731295017448</c:v>
                </c:pt>
                <c:pt idx="458">
                  <c:v>11.598901423130007</c:v>
                </c:pt>
                <c:pt idx="459">
                  <c:v>11.414212770081532</c:v>
                </c:pt>
                <c:pt idx="460">
                  <c:v>11.233570380366951</c:v>
                </c:pt>
                <c:pt idx="461">
                  <c:v>11.056881018042384</c:v>
                </c:pt>
                <c:pt idx="462">
                  <c:v>10.884053189119314</c:v>
                </c:pt>
                <c:pt idx="463">
                  <c:v>10.714997157457699</c:v>
                </c:pt>
                <c:pt idx="464">
                  <c:v>10.549624954888108</c:v>
                </c:pt>
                <c:pt idx="465">
                  <c:v>10.387850386209212</c:v>
                </c:pt>
                <c:pt idx="466">
                  <c:v>10.22958902963471</c:v>
                </c:pt>
                <c:pt idx="467">
                  <c:v>10.074758233200905</c:v>
                </c:pt>
                <c:pt idx="468">
                  <c:v>9.923277107591236</c:v>
                </c:pt>
                <c:pt idx="469">
                  <c:v>9.7750665157861683</c:v>
                </c:pt>
                <c:pt idx="470">
                  <c:v>9.6300490599054367</c:v>
                </c:pt>
                <c:pt idx="471">
                  <c:v>9.4881490655724292</c:v>
                </c:pt>
                <c:pt idx="472">
                  <c:v>9.3492925640982829</c:v>
                </c:pt>
                <c:pt idx="473">
                  <c:v>9.2134072727548748</c:v>
                </c:pt>
                <c:pt idx="474">
                  <c:v>9.0804225733796713</c:v>
                </c:pt>
                <c:pt idx="475">
                  <c:v>8.9502694895333601</c:v>
                </c:pt>
                <c:pt idx="476">
                  <c:v>8.8228806624100731</c:v>
                </c:pt>
                <c:pt idx="477">
                  <c:v>8.6981903256821287</c:v>
                </c:pt>
                <c:pt idx="478">
                  <c:v>8.5761342794439468</c:v>
                </c:pt>
                <c:pt idx="479">
                  <c:v>8.4566498634052749</c:v>
                </c:pt>
                <c:pt idx="480">
                  <c:v>8.339675929469605</c:v>
                </c:pt>
                <c:pt idx="481">
                  <c:v>8.225152813821353</c:v>
                </c:pt>
                <c:pt idx="482">
                  <c:v>8.1130223086337914</c:v>
                </c:pt>
                <c:pt idx="483">
                  <c:v>8.0032276334991739</c:v>
                </c:pt>
                <c:pt idx="484">
                  <c:v>7.8957134066730896</c:v>
                </c:pt>
                <c:pt idx="485">
                  <c:v>7.7904256162156118</c:v>
                </c:pt>
                <c:pt idx="486">
                  <c:v>7.6873115911046321</c:v>
                </c:pt>
                <c:pt idx="487">
                  <c:v>7.5863199723881154</c:v>
                </c:pt>
                <c:pt idx="488">
                  <c:v>7.487400684436313</c:v>
                </c:pt>
                <c:pt idx="489">
                  <c:v>7.3905049063476342</c:v>
                </c:pt>
                <c:pt idx="490">
                  <c:v>7.2955850435568239</c:v>
                </c:pt>
                <c:pt idx="491">
                  <c:v>7.2025946996883272</c:v>
                </c:pt>
                <c:pt idx="492">
                  <c:v>7.1114886486928386</c:v>
                </c:pt>
                <c:pt idx="493">
                  <c:v>7.0222228073008708</c:v>
                </c:pt>
                <c:pt idx="494">
                  <c:v>6.9347542078226061</c:v>
                </c:pt>
                <c:pt idx="495">
                  <c:v>6.8490409713199307</c:v>
                </c:pt>
                <c:pt idx="496">
                  <c:v>6.7650422811726729</c:v>
                </c:pt>
                <c:pt idx="497">
                  <c:v>6.6827183570583335</c:v>
                </c:pt>
                <c:pt idx="498">
                  <c:v>6.6020304293613501</c:v>
                </c:pt>
                <c:pt idx="499">
                  <c:v>6.5229407140256113</c:v>
                </c:pt>
                <c:pt idx="500">
                  <c:v>6.4454123878612046</c:v>
                </c:pt>
                <c:pt idx="501">
                  <c:v>6.3694095643145312</c:v>
                </c:pt>
                <c:pt idx="502">
                  <c:v>6.2948972697086498</c:v>
                </c:pt>
                <c:pt idx="503">
                  <c:v>6.2218414199591949</c:v>
                </c:pt>
                <c:pt idx="504">
                  <c:v>6.1502087977693156</c:v>
                </c:pt>
                <c:pt idx="505">
                  <c:v>6.0799670303057249</c:v>
                </c:pt>
                <c:pt idx="506">
                  <c:v>6.0110845673567859</c:v>
                </c:pt>
                <c:pt idx="507">
                  <c:v>5.9435306599720183</c:v>
                </c:pt>
                <c:pt idx="508">
                  <c:v>5.8772753395816553</c:v>
                </c:pt>
                <c:pt idx="509">
                  <c:v>5.8122893975937604</c:v>
                </c:pt>
                <c:pt idx="510">
                  <c:v>5.7485443654656363</c:v>
                </c:pt>
                <c:pt idx="511">
                  <c:v>5.6860124952454179</c:v>
                </c:pt>
                <c:pt idx="512">
                  <c:v>5.6246667405791166</c:v>
                </c:pt>
                <c:pt idx="513">
                  <c:v>5.5644807381778785</c:v>
                </c:pt>
                <c:pt idx="514">
                  <c:v>5.5054287897395087</c:v>
                </c:pt>
                <c:pt idx="515">
                  <c:v>5.4474858443180079</c:v>
                </c:pt>
                <c:pt idx="516">
                  <c:v>5.3906274811344872</c:v>
                </c:pt>
                <c:pt idx="517">
                  <c:v>5.3348298928224045</c:v>
                </c:pt>
                <c:pt idx="518">
                  <c:v>5.2800698690997718</c:v>
                </c:pt>
                <c:pt idx="519">
                  <c:v>5.2263247808609341</c:v>
                </c:pt>
                <c:pt idx="520">
                  <c:v>5.1735725646800894</c:v>
                </c:pt>
                <c:pt idx="521">
                  <c:v>5.1217917077186597</c:v>
                </c:pt>
                <c:pt idx="522">
                  <c:v>5.0709612330285969</c:v>
                </c:pt>
                <c:pt idx="523">
                  <c:v>5.0210606852434463</c:v>
                </c:pt>
                <c:pt idx="524">
                  <c:v>4.9720701166490695</c:v>
                </c:pt>
                <c:pt idx="525">
                  <c:v>4.9239700736257888</c:v>
                </c:pt>
                <c:pt idx="526">
                  <c:v>4.8767415834537875</c:v>
                </c:pt>
                <c:pt idx="527">
                  <c:v>4.8303661414735926</c:v>
                </c:pt>
                <c:pt idx="528">
                  <c:v>4.7848256985933828</c:v>
                </c:pt>
                <c:pt idx="529">
                  <c:v>4.740102649135129</c:v>
                </c:pt>
                <c:pt idx="530">
                  <c:v>4.6961798190114132</c:v>
                </c:pt>
                <c:pt idx="531">
                  <c:v>4.6530404542249313</c:v>
                </c:pt>
                <c:pt idx="532">
                  <c:v>4.6106682096828617</c:v>
                </c:pt>
                <c:pt idx="533">
                  <c:v>4.5690471383181608</c:v>
                </c:pt>
                <c:pt idx="534">
                  <c:v>4.5281616805101867</c:v>
                </c:pt>
                <c:pt idx="535">
                  <c:v>4.4879966537969675</c:v>
                </c:pt>
                <c:pt idx="536">
                  <c:v>4.4485372428716685</c:v>
                </c:pt>
                <c:pt idx="537">
                  <c:v>4.4097689898558867</c:v>
                </c:pt>
                <c:pt idx="538">
                  <c:v>4.371677784842511</c:v>
                </c:pt>
                <c:pt idx="539">
                  <c:v>4.3342498567011223</c:v>
                </c:pt>
                <c:pt idx="540">
                  <c:v>4.297471764138824</c:v>
                </c:pt>
                <c:pt idx="541">
                  <c:v>4.261330387009818</c:v>
                </c:pt>
                <c:pt idx="542">
                  <c:v>4.2258129178669224</c:v>
                </c:pt>
                <c:pt idx="543">
                  <c:v>4.1909068537485332</c:v>
                </c:pt>
                <c:pt idx="544">
                  <c:v>4.1565999881945714</c:v>
                </c:pt>
                <c:pt idx="545">
                  <c:v>4.1228804034852091</c:v>
                </c:pt>
                <c:pt idx="546">
                  <c:v>4.0897364630961581</c:v>
                </c:pt>
                <c:pt idx="547">
                  <c:v>4.057156804364598</c:v>
                </c:pt>
                <c:pt idx="548">
                  <c:v>4.0251303313598852</c:v>
                </c:pt>
                <c:pt idx="549">
                  <c:v>3.9936462079532906</c:v>
                </c:pt>
                <c:pt idx="550">
                  <c:v>3.9626938510812475</c:v>
                </c:pt>
                <c:pt idx="551">
                  <c:v>3.9322629241966736</c:v>
                </c:pt>
                <c:pt idx="552">
                  <c:v>3.9023433309030282</c:v>
                </c:pt>
                <c:pt idx="553">
                  <c:v>3.8729252087660031</c:v>
                </c:pt>
                <c:pt idx="554">
                  <c:v>3.8439989232977649</c:v>
                </c:pt>
                <c:pt idx="555">
                  <c:v>3.8155550621088903</c:v>
                </c:pt>
                <c:pt idx="556">
                  <c:v>3.7875844292232328</c:v>
                </c:pt>
                <c:pt idx="557">
                  <c:v>3.7600780395510047</c:v>
                </c:pt>
                <c:pt idx="558">
                  <c:v>3.7330271135156754</c:v>
                </c:pt>
                <c:pt idx="559">
                  <c:v>3.7064230718301778</c:v>
                </c:pt>
                <c:pt idx="560">
                  <c:v>3.6802575304182192</c:v>
                </c:pt>
                <c:pt idx="561">
                  <c:v>3.6545222954765046</c:v>
                </c:pt>
                <c:pt idx="562">
                  <c:v>3.6292093586738523</c:v>
                </c:pt>
                <c:pt idx="563">
                  <c:v>3.6043108924832139</c:v>
                </c:pt>
                <c:pt idx="564">
                  <c:v>3.579819245642879</c:v>
                </c:pt>
                <c:pt idx="565">
                  <c:v>3.5557269387430379</c:v>
                </c:pt>
                <c:pt idx="566">
                  <c:v>3.5320266599341448</c:v>
                </c:pt>
                <c:pt idx="567">
                  <c:v>3.5087112607536217</c:v>
                </c:pt>
                <c:pt idx="568">
                  <c:v>3.4857737520673724</c:v>
                </c:pt>
                <c:pt idx="569">
                  <c:v>3.4632073001229324</c:v>
                </c:pt>
                <c:pt idx="570">
                  <c:v>3.4410052227109276</c:v>
                </c:pt>
                <c:pt idx="571">
                  <c:v>3.419160985431803</c:v>
                </c:pt>
                <c:pt idx="572">
                  <c:v>3.3976681980647361</c:v>
                </c:pt>
                <c:pt idx="573">
                  <c:v>3.3765206110357924</c:v>
                </c:pt>
                <c:pt idx="574">
                  <c:v>3.3557121119825228</c:v>
                </c:pt>
                <c:pt idx="575">
                  <c:v>3.335236722412136</c:v>
                </c:pt>
                <c:pt idx="576">
                  <c:v>3.3150885944506365</c:v>
                </c:pt>
                <c:pt idx="577">
                  <c:v>3.2952620076802428</c:v>
                </c:pt>
                <c:pt idx="578">
                  <c:v>3.2757513660626092</c:v>
                </c:pt>
                <c:pt idx="579">
                  <c:v>3.2565511949453358</c:v>
                </c:pt>
                <c:pt idx="580">
                  <c:v>3.2376561381494127</c:v>
                </c:pt>
                <c:pt idx="581">
                  <c:v>3.2190609551352387</c:v>
                </c:pt>
                <c:pt idx="582">
                  <c:v>3.2007605182450227</c:v>
                </c:pt>
                <c:pt idx="583">
                  <c:v>3.182749810019303</c:v>
                </c:pt>
                <c:pt idx="584">
                  <c:v>3.1650239205855297</c:v>
                </c:pt>
                <c:pt idx="585">
                  <c:v>3.1475780451166222</c:v>
                </c:pt>
                <c:pt idx="586">
                  <c:v>3.1304074813575076</c:v>
                </c:pt>
                <c:pt idx="587">
                  <c:v>3.1135076272177082</c:v>
                </c:pt>
                <c:pt idx="588">
                  <c:v>3.0968739784280852</c:v>
                </c:pt>
                <c:pt idx="589">
                  <c:v>3.0805021262599404</c:v>
                </c:pt>
                <c:pt idx="590">
                  <c:v>3.0643877553046703</c:v>
                </c:pt>
                <c:pt idx="591">
                  <c:v>3.0485266413122929</c:v>
                </c:pt>
                <c:pt idx="592">
                  <c:v>3.0329146490871417</c:v>
                </c:pt>
                <c:pt idx="593">
                  <c:v>3.017547730439166</c:v>
                </c:pt>
                <c:pt idx="594">
                  <c:v>3.002421922189189</c:v>
                </c:pt>
                <c:pt idx="595">
                  <c:v>2.9875333442266925</c:v>
                </c:pt>
                <c:pt idx="596">
                  <c:v>2.9728781976185794</c:v>
                </c:pt>
                <c:pt idx="597">
                  <c:v>2.9584527627675312</c:v>
                </c:pt>
                <c:pt idx="598">
                  <c:v>2.9442533976185303</c:v>
                </c:pt>
                <c:pt idx="599">
                  <c:v>2.9302765359122382</c:v>
                </c:pt>
                <c:pt idx="600">
                  <c:v>2.9165186854839007</c:v>
                </c:pt>
                <c:pt idx="601">
                  <c:v>2.9029764266064992</c:v>
                </c:pt>
                <c:pt idx="602">
                  <c:v>2.8896464103769612</c:v>
                </c:pt>
                <c:pt idx="603">
                  <c:v>2.8765253571441693</c:v>
                </c:pt>
                <c:pt idx="604">
                  <c:v>2.8636100549776962</c:v>
                </c:pt>
                <c:pt idx="605">
                  <c:v>2.8508973581760375</c:v>
                </c:pt>
                <c:pt idx="606">
                  <c:v>2.8383841858133625</c:v>
                </c:pt>
                <c:pt idx="607">
                  <c:v>2.8260675203236252</c:v>
                </c:pt>
                <c:pt idx="608">
                  <c:v>2.8139444061210783</c:v>
                </c:pt>
                <c:pt idx="609">
                  <c:v>2.8020119482561645</c:v>
                </c:pt>
                <c:pt idx="610">
                  <c:v>2.7902673111058136</c:v>
                </c:pt>
                <c:pt idx="611">
                  <c:v>2.778707717097233</c:v>
                </c:pt>
                <c:pt idx="612">
                  <c:v>2.767330445464244</c:v>
                </c:pt>
                <c:pt idx="613">
                  <c:v>2.7561328310353188</c:v>
                </c:pt>
                <c:pt idx="614">
                  <c:v>2.7451122630524343</c:v>
                </c:pt>
                <c:pt idx="615">
                  <c:v>2.7342661840199303</c:v>
                </c:pt>
                <c:pt idx="616">
                  <c:v>2.7235920885825369</c:v>
                </c:pt>
                <c:pt idx="617">
                  <c:v>2.7130875224318309</c:v>
                </c:pt>
                <c:pt idx="618">
                  <c:v>2.7027500812403153</c:v>
                </c:pt>
                <c:pt idx="619">
                  <c:v>2.6925774096224186</c:v>
                </c:pt>
                <c:pt idx="620">
                  <c:v>2.6825672001216785</c:v>
                </c:pt>
                <c:pt idx="621">
                  <c:v>2.6727171922234207</c:v>
                </c:pt>
                <c:pt idx="622">
                  <c:v>2.6630251713922695</c:v>
                </c:pt>
                <c:pt idx="623">
                  <c:v>2.6534889681338067</c:v>
                </c:pt>
                <c:pt idx="624">
                  <c:v>2.6441064570797912</c:v>
                </c:pt>
                <c:pt idx="625">
                  <c:v>2.6348755560962585</c:v>
                </c:pt>
                <c:pt idx="626">
                  <c:v>2.6257942254139714</c:v>
                </c:pt>
                <c:pt idx="627">
                  <c:v>2.6168604667805795</c:v>
                </c:pt>
                <c:pt idx="628">
                  <c:v>2.6080723226339702</c:v>
                </c:pt>
                <c:pt idx="629">
                  <c:v>2.5994278752962376</c:v>
                </c:pt>
                <c:pt idx="630">
                  <c:v>2.5909252461877403</c:v>
                </c:pt>
                <c:pt idx="631">
                  <c:v>2.5825625950607507</c:v>
                </c:pt>
                <c:pt idx="632">
                  <c:v>2.5743381192521637</c:v>
                </c:pt>
                <c:pt idx="633">
                  <c:v>2.5662500529548127</c:v>
                </c:pt>
                <c:pt idx="634">
                  <c:v>2.558296666506902</c:v>
                </c:pt>
                <c:pt idx="635">
                  <c:v>2.5504762656990905</c:v>
                </c:pt>
                <c:pt idx="636">
                  <c:v>2.5427871910988045</c:v>
                </c:pt>
                <c:pt idx="637">
                  <c:v>2.5352278173913376</c:v>
                </c:pt>
                <c:pt idx="638">
                  <c:v>2.5277965527373016</c:v>
                </c:pt>
                <c:pt idx="639">
                  <c:v>2.520491838146055</c:v>
                </c:pt>
                <c:pt idx="640">
                  <c:v>2.5133121468646773</c:v>
                </c:pt>
                <c:pt idx="641">
                  <c:v>2.5062559837821485</c:v>
                </c:pt>
                <c:pt idx="642">
                  <c:v>2.4993218848483165</c:v>
                </c:pt>
                <c:pt idx="643">
                  <c:v>2.4925084165073166</c:v>
                </c:pt>
                <c:pt idx="644">
                  <c:v>2.4858141751450957</c:v>
                </c:pt>
                <c:pt idx="645">
                  <c:v>2.4792377865506845</c:v>
                </c:pt>
                <c:pt idx="646">
                  <c:v>2.4727779053908971</c:v>
                </c:pt>
                <c:pt idx="647">
                  <c:v>2.4664332146981347</c:v>
                </c:pt>
                <c:pt idx="648">
                  <c:v>2.4602024253709773</c:v>
                </c:pt>
                <c:pt idx="649">
                  <c:v>2.4540842756872756</c:v>
                </c:pt>
                <c:pt idx="650">
                  <c:v>2.4480775308294218</c:v>
                </c:pt>
                <c:pt idx="651">
                  <c:v>2.4421809824215504</c:v>
                </c:pt>
                <c:pt idx="652">
                  <c:v>2.4363934480783525</c:v>
                </c:pt>
                <c:pt idx="653">
                  <c:v>2.4307137709652697</c:v>
                </c:pt>
                <c:pt idx="654">
                  <c:v>2.4251408193697874</c:v>
                </c:pt>
                <c:pt idx="655">
                  <c:v>2.4196734862835663</c:v>
                </c:pt>
                <c:pt idx="656">
                  <c:v>2.4143106889952031</c:v>
                </c:pt>
                <c:pt idx="657">
                  <c:v>2.4090513686933317</c:v>
                </c:pt>
                <c:pt idx="658">
                  <c:v>2.4038944900798715</c:v>
                </c:pt>
                <c:pt idx="659">
                  <c:v>2.3988390409931837</c:v>
                </c:pt>
                <c:pt idx="660">
                  <c:v>2.393884032040912</c:v>
                </c:pt>
                <c:pt idx="661">
                  <c:v>2.3890284962423154</c:v>
                </c:pt>
                <c:pt idx="662">
                  <c:v>2.3842714886798566</c:v>
                </c:pt>
                <c:pt idx="663">
                  <c:v>2.3796120861598853</c:v>
                </c:pt>
                <c:pt idx="664">
                  <c:v>2.3750493868821754</c:v>
                </c:pt>
                <c:pt idx="665">
                  <c:v>2.370582510118191</c:v>
                </c:pt>
                <c:pt idx="666">
                  <c:v>2.3662105958978281</c:v>
                </c:pt>
                <c:pt idx="667">
                  <c:v>2.3619328047045172</c:v>
                </c:pt>
                <c:pt idx="668">
                  <c:v>2.3577483171784692</c:v>
                </c:pt>
                <c:pt idx="669">
                  <c:v>2.3536563338279382</c:v>
                </c:pt>
                <c:pt idx="670">
                  <c:v>2.3496560747483053</c:v>
                </c:pt>
                <c:pt idx="671">
                  <c:v>2.3457467793488496</c:v>
                </c:pt>
                <c:pt idx="672">
                  <c:v>2.3419277060870516</c:v>
                </c:pt>
                <c:pt idx="673">
                  <c:v>2.338198132210263</c:v>
                </c:pt>
                <c:pt idx="674">
                  <c:v>2.334557353504648</c:v>
                </c:pt>
                <c:pt idx="675">
                  <c:v>2.3310046840511922</c:v>
                </c:pt>
                <c:pt idx="676">
                  <c:v>2.3275394559887088</c:v>
                </c:pt>
                <c:pt idx="677">
                  <c:v>2.3241610192836681</c:v>
                </c:pt>
                <c:pt idx="678">
                  <c:v>2.3208687415067555</c:v>
                </c:pt>
                <c:pt idx="679">
                  <c:v>2.3176620076160206</c:v>
                </c:pt>
                <c:pt idx="680">
                  <c:v>2.3145402197464988</c:v>
                </c:pt>
                <c:pt idx="681">
                  <c:v>2.3115027970062032</c:v>
                </c:pt>
                <c:pt idx="682">
                  <c:v>2.3085491752783827</c:v>
                </c:pt>
                <c:pt idx="683">
                  <c:v>2.3056788070299068</c:v>
                </c:pt>
                <c:pt idx="684">
                  <c:v>2.3028911611257192</c:v>
                </c:pt>
                <c:pt idx="685">
                  <c:v>2.3001857226492395</c:v>
                </c:pt>
                <c:pt idx="686">
                  <c:v>2.2975619927286051</c:v>
                </c:pt>
                <c:pt idx="687">
                  <c:v>2.2950194883686912</c:v>
                </c:pt>
                <c:pt idx="688">
                  <c:v>2.2925577422887966</c:v>
                </c:pt>
                <c:pt idx="689">
                  <c:v>2.290176302765929</c:v>
                </c:pt>
                <c:pt idx="690">
                  <c:v>2.2878747334835783</c:v>
                </c:pt>
                <c:pt idx="691">
                  <c:v>2.2856526133859378</c:v>
                </c:pt>
                <c:pt idx="692">
                  <c:v>2.2835095365374714</c:v>
                </c:pt>
                <c:pt idx="693">
                  <c:v>2.2814451119877477</c:v>
                </c:pt>
                <c:pt idx="694">
                  <c:v>2.2794589636415004</c:v>
                </c:pt>
                <c:pt idx="695">
                  <c:v>2.2775507301338189</c:v>
                </c:pt>
                <c:pt idx="696">
                  <c:v>2.2757200647104185</c:v>
                </c:pt>
                <c:pt idx="697">
                  <c:v>2.2739666351129268</c:v>
                </c:pt>
                <c:pt idx="698">
                  <c:v>2.2722901234691273</c:v>
                </c:pt>
                <c:pt idx="699">
                  <c:v>2.2706902261880932</c:v>
                </c:pt>
                <c:pt idx="700">
                  <c:v>2.269166653860184</c:v>
                </c:pt>
                <c:pt idx="701">
                  <c:v>2.2677191311618206</c:v>
                </c:pt>
                <c:pt idx="702">
                  <c:v>2.2663473967650121</c:v>
                </c:pt>
                <c:pt idx="703">
                  <c:v>2.2650512032515868</c:v>
                </c:pt>
                <c:pt idx="704">
                  <c:v>2.2638303170320748</c:v>
                </c:pt>
                <c:pt idx="705">
                  <c:v>2.2626845182692006</c:v>
                </c:pt>
                <c:pt idx="706">
                  <c:v>2.2616136008059624</c:v>
                </c:pt>
                <c:pt idx="707">
                  <c:v>2.2606173720982423</c:v>
                </c:pt>
                <c:pt idx="708">
                  <c:v>2.259695653151927</c:v>
                </c:pt>
                <c:pt idx="709">
                  <c:v>2.2588482784644963</c:v>
                </c:pt>
                <c:pt idx="710">
                  <c:v>2.2580750959710616</c:v>
                </c:pt>
                <c:pt idx="711">
                  <c:v>2.2573759669948137</c:v>
                </c:pt>
                <c:pt idx="712">
                  <c:v>2.256750766201872</c:v>
                </c:pt>
                <c:pt idx="713">
                  <c:v>2.2561993815604953</c:v>
                </c:pt>
                <c:pt idx="714">
                  <c:v>2.255721714304638</c:v>
                </c:pt>
                <c:pt idx="715">
                  <c:v>2.2553176789018488</c:v>
                </c:pt>
                <c:pt idx="716">
                  <c:v>2.2549872030254687</c:v>
                </c:pt>
                <c:pt idx="717">
                  <c:v>2.2547302275311387</c:v>
                </c:pt>
                <c:pt idx="718">
                  <c:v>2.2545467064375924</c:v>
                </c:pt>
                <c:pt idx="719">
                  <c:v>2.2544366069117223</c:v>
                </c:pt>
                <c:pt idx="720">
                  <c:v>2.2543999092579297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0D-4919-A9BA-4C3D9B030F49}"/>
            </c:ext>
          </c:extLst>
        </c:ser>
        <c:ser>
          <c:idx val="1"/>
          <c:order val="1"/>
          <c:tx>
            <c:v>Zb · demasiado avanzado</c:v>
          </c:tx>
          <c:spPr>
            <a:ln w="24120">
              <a:solidFill>
                <a:srgbClr val="2E9B3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Tres_avances!$N$5:$N$725</c:f>
              <c:numCache>
                <c:formatCode>0.0</c:formatCode>
                <c:ptCount val="721"/>
                <c:pt idx="0">
                  <c:v>180</c:v>
                </c:pt>
                <c:pt idx="1">
                  <c:v>179.5</c:v>
                </c:pt>
                <c:pt idx="2">
                  <c:v>179</c:v>
                </c:pt>
                <c:pt idx="3">
                  <c:v>178.5</c:v>
                </c:pt>
                <c:pt idx="4">
                  <c:v>178</c:v>
                </c:pt>
                <c:pt idx="5">
                  <c:v>177.5</c:v>
                </c:pt>
                <c:pt idx="6">
                  <c:v>177</c:v>
                </c:pt>
                <c:pt idx="7">
                  <c:v>176.5</c:v>
                </c:pt>
                <c:pt idx="8">
                  <c:v>176</c:v>
                </c:pt>
                <c:pt idx="9">
                  <c:v>175.5</c:v>
                </c:pt>
                <c:pt idx="10">
                  <c:v>175</c:v>
                </c:pt>
                <c:pt idx="11">
                  <c:v>174.5</c:v>
                </c:pt>
                <c:pt idx="12">
                  <c:v>174</c:v>
                </c:pt>
                <c:pt idx="13">
                  <c:v>173.5</c:v>
                </c:pt>
                <c:pt idx="14">
                  <c:v>173</c:v>
                </c:pt>
                <c:pt idx="15">
                  <c:v>172.5</c:v>
                </c:pt>
                <c:pt idx="16">
                  <c:v>172</c:v>
                </c:pt>
                <c:pt idx="17">
                  <c:v>171.5</c:v>
                </c:pt>
                <c:pt idx="18">
                  <c:v>171</c:v>
                </c:pt>
                <c:pt idx="19">
                  <c:v>170.5</c:v>
                </c:pt>
                <c:pt idx="20">
                  <c:v>170</c:v>
                </c:pt>
                <c:pt idx="21">
                  <c:v>169.5</c:v>
                </c:pt>
                <c:pt idx="22">
                  <c:v>169</c:v>
                </c:pt>
                <c:pt idx="23">
                  <c:v>168.5</c:v>
                </c:pt>
                <c:pt idx="24">
                  <c:v>168</c:v>
                </c:pt>
                <c:pt idx="25">
                  <c:v>167.5</c:v>
                </c:pt>
                <c:pt idx="26">
                  <c:v>167</c:v>
                </c:pt>
                <c:pt idx="27">
                  <c:v>166.5</c:v>
                </c:pt>
                <c:pt idx="28">
                  <c:v>166</c:v>
                </c:pt>
                <c:pt idx="29">
                  <c:v>165.5</c:v>
                </c:pt>
                <c:pt idx="30">
                  <c:v>165</c:v>
                </c:pt>
                <c:pt idx="31">
                  <c:v>164.5</c:v>
                </c:pt>
                <c:pt idx="32">
                  <c:v>164</c:v>
                </c:pt>
                <c:pt idx="33">
                  <c:v>163.5</c:v>
                </c:pt>
                <c:pt idx="34">
                  <c:v>163</c:v>
                </c:pt>
                <c:pt idx="35">
                  <c:v>162.5</c:v>
                </c:pt>
                <c:pt idx="36">
                  <c:v>162</c:v>
                </c:pt>
                <c:pt idx="37">
                  <c:v>161.5</c:v>
                </c:pt>
                <c:pt idx="38">
                  <c:v>161</c:v>
                </c:pt>
                <c:pt idx="39">
                  <c:v>160.5</c:v>
                </c:pt>
                <c:pt idx="40">
                  <c:v>160</c:v>
                </c:pt>
                <c:pt idx="41">
                  <c:v>159.5</c:v>
                </c:pt>
                <c:pt idx="42">
                  <c:v>159</c:v>
                </c:pt>
                <c:pt idx="43">
                  <c:v>158.5</c:v>
                </c:pt>
                <c:pt idx="44">
                  <c:v>158</c:v>
                </c:pt>
                <c:pt idx="45">
                  <c:v>157.5</c:v>
                </c:pt>
                <c:pt idx="46">
                  <c:v>157</c:v>
                </c:pt>
                <c:pt idx="47">
                  <c:v>156.5</c:v>
                </c:pt>
                <c:pt idx="48">
                  <c:v>156</c:v>
                </c:pt>
                <c:pt idx="49">
                  <c:v>155.5</c:v>
                </c:pt>
                <c:pt idx="50">
                  <c:v>155</c:v>
                </c:pt>
                <c:pt idx="51">
                  <c:v>154.5</c:v>
                </c:pt>
                <c:pt idx="52">
                  <c:v>154</c:v>
                </c:pt>
                <c:pt idx="53">
                  <c:v>153.5</c:v>
                </c:pt>
                <c:pt idx="54">
                  <c:v>153</c:v>
                </c:pt>
                <c:pt idx="55">
                  <c:v>152.5</c:v>
                </c:pt>
                <c:pt idx="56">
                  <c:v>152</c:v>
                </c:pt>
                <c:pt idx="57">
                  <c:v>151.5</c:v>
                </c:pt>
                <c:pt idx="58">
                  <c:v>151</c:v>
                </c:pt>
                <c:pt idx="59">
                  <c:v>150.5</c:v>
                </c:pt>
                <c:pt idx="60">
                  <c:v>150</c:v>
                </c:pt>
                <c:pt idx="61">
                  <c:v>149.5</c:v>
                </c:pt>
                <c:pt idx="62">
                  <c:v>149</c:v>
                </c:pt>
                <c:pt idx="63">
                  <c:v>148.5</c:v>
                </c:pt>
                <c:pt idx="64">
                  <c:v>148</c:v>
                </c:pt>
                <c:pt idx="65">
                  <c:v>147.5</c:v>
                </c:pt>
                <c:pt idx="66">
                  <c:v>147</c:v>
                </c:pt>
                <c:pt idx="67">
                  <c:v>146.5</c:v>
                </c:pt>
                <c:pt idx="68">
                  <c:v>146</c:v>
                </c:pt>
                <c:pt idx="69">
                  <c:v>145.5</c:v>
                </c:pt>
                <c:pt idx="70">
                  <c:v>145</c:v>
                </c:pt>
                <c:pt idx="71">
                  <c:v>144.5</c:v>
                </c:pt>
                <c:pt idx="72">
                  <c:v>144</c:v>
                </c:pt>
                <c:pt idx="73">
                  <c:v>143.5</c:v>
                </c:pt>
                <c:pt idx="74">
                  <c:v>143</c:v>
                </c:pt>
                <c:pt idx="75">
                  <c:v>142.5</c:v>
                </c:pt>
                <c:pt idx="76">
                  <c:v>142</c:v>
                </c:pt>
                <c:pt idx="77">
                  <c:v>141.5</c:v>
                </c:pt>
                <c:pt idx="78">
                  <c:v>141</c:v>
                </c:pt>
                <c:pt idx="79">
                  <c:v>140.5</c:v>
                </c:pt>
                <c:pt idx="80">
                  <c:v>140</c:v>
                </c:pt>
                <c:pt idx="81">
                  <c:v>139.5</c:v>
                </c:pt>
                <c:pt idx="82">
                  <c:v>139</c:v>
                </c:pt>
                <c:pt idx="83">
                  <c:v>138.5</c:v>
                </c:pt>
                <c:pt idx="84">
                  <c:v>138</c:v>
                </c:pt>
                <c:pt idx="85">
                  <c:v>137.5</c:v>
                </c:pt>
                <c:pt idx="86">
                  <c:v>137</c:v>
                </c:pt>
                <c:pt idx="87">
                  <c:v>136.5</c:v>
                </c:pt>
                <c:pt idx="88">
                  <c:v>136</c:v>
                </c:pt>
                <c:pt idx="89">
                  <c:v>135.5</c:v>
                </c:pt>
                <c:pt idx="90">
                  <c:v>135</c:v>
                </c:pt>
                <c:pt idx="91">
                  <c:v>134.5</c:v>
                </c:pt>
                <c:pt idx="92">
                  <c:v>134</c:v>
                </c:pt>
                <c:pt idx="93">
                  <c:v>133.5</c:v>
                </c:pt>
                <c:pt idx="94">
                  <c:v>133</c:v>
                </c:pt>
                <c:pt idx="95">
                  <c:v>132.5</c:v>
                </c:pt>
                <c:pt idx="96">
                  <c:v>132</c:v>
                </c:pt>
                <c:pt idx="97">
                  <c:v>131.5</c:v>
                </c:pt>
                <c:pt idx="98">
                  <c:v>131</c:v>
                </c:pt>
                <c:pt idx="99">
                  <c:v>130.5</c:v>
                </c:pt>
                <c:pt idx="100">
                  <c:v>130</c:v>
                </c:pt>
                <c:pt idx="101">
                  <c:v>129.5</c:v>
                </c:pt>
                <c:pt idx="102">
                  <c:v>129</c:v>
                </c:pt>
                <c:pt idx="103">
                  <c:v>128.5</c:v>
                </c:pt>
                <c:pt idx="104">
                  <c:v>128</c:v>
                </c:pt>
                <c:pt idx="105">
                  <c:v>127.5</c:v>
                </c:pt>
                <c:pt idx="106">
                  <c:v>127</c:v>
                </c:pt>
                <c:pt idx="107">
                  <c:v>126.5</c:v>
                </c:pt>
                <c:pt idx="108">
                  <c:v>126</c:v>
                </c:pt>
                <c:pt idx="109">
                  <c:v>125.5</c:v>
                </c:pt>
                <c:pt idx="110">
                  <c:v>125</c:v>
                </c:pt>
                <c:pt idx="111">
                  <c:v>124.5</c:v>
                </c:pt>
                <c:pt idx="112">
                  <c:v>124</c:v>
                </c:pt>
                <c:pt idx="113">
                  <c:v>123.5</c:v>
                </c:pt>
                <c:pt idx="114">
                  <c:v>123</c:v>
                </c:pt>
                <c:pt idx="115">
                  <c:v>122.5</c:v>
                </c:pt>
                <c:pt idx="116">
                  <c:v>122</c:v>
                </c:pt>
                <c:pt idx="117">
                  <c:v>121.5</c:v>
                </c:pt>
                <c:pt idx="118">
                  <c:v>121</c:v>
                </c:pt>
                <c:pt idx="119">
                  <c:v>120.5</c:v>
                </c:pt>
                <c:pt idx="120">
                  <c:v>120</c:v>
                </c:pt>
                <c:pt idx="121">
                  <c:v>119.5</c:v>
                </c:pt>
                <c:pt idx="122">
                  <c:v>119</c:v>
                </c:pt>
                <c:pt idx="123">
                  <c:v>118.5</c:v>
                </c:pt>
                <c:pt idx="124">
                  <c:v>118</c:v>
                </c:pt>
                <c:pt idx="125">
                  <c:v>117.5</c:v>
                </c:pt>
                <c:pt idx="126">
                  <c:v>117</c:v>
                </c:pt>
                <c:pt idx="127">
                  <c:v>116.5</c:v>
                </c:pt>
                <c:pt idx="128">
                  <c:v>116</c:v>
                </c:pt>
                <c:pt idx="129">
                  <c:v>115.5</c:v>
                </c:pt>
                <c:pt idx="130">
                  <c:v>115</c:v>
                </c:pt>
                <c:pt idx="131">
                  <c:v>114.5</c:v>
                </c:pt>
                <c:pt idx="132">
                  <c:v>114</c:v>
                </c:pt>
                <c:pt idx="133">
                  <c:v>113.5</c:v>
                </c:pt>
                <c:pt idx="134">
                  <c:v>113</c:v>
                </c:pt>
                <c:pt idx="135">
                  <c:v>112.5</c:v>
                </c:pt>
                <c:pt idx="136">
                  <c:v>112</c:v>
                </c:pt>
                <c:pt idx="137">
                  <c:v>111.5</c:v>
                </c:pt>
                <c:pt idx="138">
                  <c:v>111</c:v>
                </c:pt>
                <c:pt idx="139">
                  <c:v>110.5</c:v>
                </c:pt>
                <c:pt idx="140">
                  <c:v>110</c:v>
                </c:pt>
                <c:pt idx="141">
                  <c:v>109.5</c:v>
                </c:pt>
                <c:pt idx="142">
                  <c:v>109</c:v>
                </c:pt>
                <c:pt idx="143">
                  <c:v>108.5</c:v>
                </c:pt>
                <c:pt idx="144">
                  <c:v>108</c:v>
                </c:pt>
                <c:pt idx="145">
                  <c:v>107.5</c:v>
                </c:pt>
                <c:pt idx="146">
                  <c:v>107</c:v>
                </c:pt>
                <c:pt idx="147">
                  <c:v>106.5</c:v>
                </c:pt>
                <c:pt idx="148">
                  <c:v>106</c:v>
                </c:pt>
                <c:pt idx="149">
                  <c:v>105.5</c:v>
                </c:pt>
                <c:pt idx="150">
                  <c:v>105</c:v>
                </c:pt>
                <c:pt idx="151">
                  <c:v>104.5</c:v>
                </c:pt>
                <c:pt idx="152">
                  <c:v>104</c:v>
                </c:pt>
                <c:pt idx="153">
                  <c:v>103.5</c:v>
                </c:pt>
                <c:pt idx="154">
                  <c:v>103</c:v>
                </c:pt>
                <c:pt idx="155">
                  <c:v>102.5</c:v>
                </c:pt>
                <c:pt idx="156">
                  <c:v>102</c:v>
                </c:pt>
                <c:pt idx="157">
                  <c:v>101.5</c:v>
                </c:pt>
                <c:pt idx="158">
                  <c:v>101</c:v>
                </c:pt>
                <c:pt idx="159">
                  <c:v>100.5</c:v>
                </c:pt>
                <c:pt idx="160">
                  <c:v>100</c:v>
                </c:pt>
                <c:pt idx="161">
                  <c:v>99.5</c:v>
                </c:pt>
                <c:pt idx="162">
                  <c:v>99</c:v>
                </c:pt>
                <c:pt idx="163">
                  <c:v>98.5</c:v>
                </c:pt>
                <c:pt idx="164">
                  <c:v>98</c:v>
                </c:pt>
                <c:pt idx="165">
                  <c:v>97.5</c:v>
                </c:pt>
                <c:pt idx="166">
                  <c:v>97</c:v>
                </c:pt>
                <c:pt idx="167">
                  <c:v>96.5</c:v>
                </c:pt>
                <c:pt idx="168">
                  <c:v>96</c:v>
                </c:pt>
                <c:pt idx="169">
                  <c:v>95.5</c:v>
                </c:pt>
                <c:pt idx="170">
                  <c:v>95</c:v>
                </c:pt>
                <c:pt idx="171">
                  <c:v>94.5</c:v>
                </c:pt>
                <c:pt idx="172">
                  <c:v>94</c:v>
                </c:pt>
                <c:pt idx="173">
                  <c:v>93.5</c:v>
                </c:pt>
                <c:pt idx="174">
                  <c:v>93</c:v>
                </c:pt>
                <c:pt idx="175">
                  <c:v>92.5</c:v>
                </c:pt>
                <c:pt idx="176">
                  <c:v>92</c:v>
                </c:pt>
                <c:pt idx="177">
                  <c:v>91.5</c:v>
                </c:pt>
                <c:pt idx="178">
                  <c:v>91</c:v>
                </c:pt>
                <c:pt idx="179">
                  <c:v>90.5</c:v>
                </c:pt>
                <c:pt idx="180">
                  <c:v>90</c:v>
                </c:pt>
                <c:pt idx="181">
                  <c:v>89.5</c:v>
                </c:pt>
                <c:pt idx="182">
                  <c:v>89</c:v>
                </c:pt>
                <c:pt idx="183">
                  <c:v>88.5</c:v>
                </c:pt>
                <c:pt idx="184">
                  <c:v>88</c:v>
                </c:pt>
                <c:pt idx="185">
                  <c:v>87.5</c:v>
                </c:pt>
                <c:pt idx="186">
                  <c:v>87</c:v>
                </c:pt>
                <c:pt idx="187">
                  <c:v>86.5</c:v>
                </c:pt>
                <c:pt idx="188">
                  <c:v>86</c:v>
                </c:pt>
                <c:pt idx="189">
                  <c:v>85.5</c:v>
                </c:pt>
                <c:pt idx="190">
                  <c:v>85</c:v>
                </c:pt>
                <c:pt idx="191">
                  <c:v>84.5</c:v>
                </c:pt>
                <c:pt idx="192">
                  <c:v>84</c:v>
                </c:pt>
                <c:pt idx="193">
                  <c:v>83.5</c:v>
                </c:pt>
                <c:pt idx="194">
                  <c:v>83</c:v>
                </c:pt>
                <c:pt idx="195">
                  <c:v>82.5</c:v>
                </c:pt>
                <c:pt idx="196">
                  <c:v>82</c:v>
                </c:pt>
                <c:pt idx="197">
                  <c:v>81.5</c:v>
                </c:pt>
                <c:pt idx="198">
                  <c:v>81</c:v>
                </c:pt>
                <c:pt idx="199">
                  <c:v>80.5</c:v>
                </c:pt>
                <c:pt idx="200">
                  <c:v>80</c:v>
                </c:pt>
                <c:pt idx="201">
                  <c:v>79.5</c:v>
                </c:pt>
                <c:pt idx="202">
                  <c:v>79</c:v>
                </c:pt>
                <c:pt idx="203">
                  <c:v>78.5</c:v>
                </c:pt>
                <c:pt idx="204">
                  <c:v>78</c:v>
                </c:pt>
                <c:pt idx="205">
                  <c:v>77.5</c:v>
                </c:pt>
                <c:pt idx="206">
                  <c:v>77</c:v>
                </c:pt>
                <c:pt idx="207">
                  <c:v>76.5</c:v>
                </c:pt>
                <c:pt idx="208">
                  <c:v>76</c:v>
                </c:pt>
                <c:pt idx="209">
                  <c:v>75.5</c:v>
                </c:pt>
                <c:pt idx="210">
                  <c:v>75</c:v>
                </c:pt>
                <c:pt idx="211">
                  <c:v>74.5</c:v>
                </c:pt>
                <c:pt idx="212">
                  <c:v>74</c:v>
                </c:pt>
                <c:pt idx="213">
                  <c:v>73.5</c:v>
                </c:pt>
                <c:pt idx="214">
                  <c:v>73</c:v>
                </c:pt>
                <c:pt idx="215">
                  <c:v>72.5</c:v>
                </c:pt>
                <c:pt idx="216">
                  <c:v>72</c:v>
                </c:pt>
                <c:pt idx="217">
                  <c:v>71.5</c:v>
                </c:pt>
                <c:pt idx="218">
                  <c:v>71</c:v>
                </c:pt>
                <c:pt idx="219">
                  <c:v>70.5</c:v>
                </c:pt>
                <c:pt idx="220">
                  <c:v>70</c:v>
                </c:pt>
                <c:pt idx="221">
                  <c:v>69.5</c:v>
                </c:pt>
                <c:pt idx="222">
                  <c:v>69</c:v>
                </c:pt>
                <c:pt idx="223">
                  <c:v>68.5</c:v>
                </c:pt>
                <c:pt idx="224">
                  <c:v>68</c:v>
                </c:pt>
                <c:pt idx="225">
                  <c:v>67.5</c:v>
                </c:pt>
                <c:pt idx="226">
                  <c:v>67</c:v>
                </c:pt>
                <c:pt idx="227">
                  <c:v>66.5</c:v>
                </c:pt>
                <c:pt idx="228">
                  <c:v>66</c:v>
                </c:pt>
                <c:pt idx="229">
                  <c:v>65.5</c:v>
                </c:pt>
                <c:pt idx="230">
                  <c:v>65</c:v>
                </c:pt>
                <c:pt idx="231">
                  <c:v>64.5</c:v>
                </c:pt>
                <c:pt idx="232">
                  <c:v>64</c:v>
                </c:pt>
                <c:pt idx="233">
                  <c:v>63.5</c:v>
                </c:pt>
                <c:pt idx="234">
                  <c:v>63</c:v>
                </c:pt>
                <c:pt idx="235">
                  <c:v>62.5</c:v>
                </c:pt>
                <c:pt idx="236">
                  <c:v>62</c:v>
                </c:pt>
                <c:pt idx="237">
                  <c:v>61.5</c:v>
                </c:pt>
                <c:pt idx="238">
                  <c:v>61</c:v>
                </c:pt>
                <c:pt idx="239">
                  <c:v>60.5</c:v>
                </c:pt>
                <c:pt idx="240">
                  <c:v>60</c:v>
                </c:pt>
                <c:pt idx="241">
                  <c:v>59.5</c:v>
                </c:pt>
                <c:pt idx="242">
                  <c:v>59</c:v>
                </c:pt>
                <c:pt idx="243">
                  <c:v>58.5</c:v>
                </c:pt>
                <c:pt idx="244">
                  <c:v>58</c:v>
                </c:pt>
                <c:pt idx="245">
                  <c:v>57.5</c:v>
                </c:pt>
                <c:pt idx="246">
                  <c:v>57</c:v>
                </c:pt>
                <c:pt idx="247">
                  <c:v>56.5</c:v>
                </c:pt>
                <c:pt idx="248">
                  <c:v>56</c:v>
                </c:pt>
                <c:pt idx="249">
                  <c:v>55.5</c:v>
                </c:pt>
                <c:pt idx="250">
                  <c:v>55</c:v>
                </c:pt>
                <c:pt idx="251">
                  <c:v>54.5</c:v>
                </c:pt>
                <c:pt idx="252">
                  <c:v>54</c:v>
                </c:pt>
                <c:pt idx="253">
                  <c:v>53.5</c:v>
                </c:pt>
                <c:pt idx="254">
                  <c:v>53</c:v>
                </c:pt>
                <c:pt idx="255">
                  <c:v>52.5</c:v>
                </c:pt>
                <c:pt idx="256">
                  <c:v>52</c:v>
                </c:pt>
                <c:pt idx="257">
                  <c:v>51.5</c:v>
                </c:pt>
                <c:pt idx="258">
                  <c:v>51</c:v>
                </c:pt>
                <c:pt idx="259">
                  <c:v>50.5</c:v>
                </c:pt>
                <c:pt idx="260">
                  <c:v>50</c:v>
                </c:pt>
                <c:pt idx="261">
                  <c:v>49.5</c:v>
                </c:pt>
                <c:pt idx="262">
                  <c:v>49</c:v>
                </c:pt>
                <c:pt idx="263">
                  <c:v>48.5</c:v>
                </c:pt>
                <c:pt idx="264">
                  <c:v>48</c:v>
                </c:pt>
                <c:pt idx="265">
                  <c:v>47.5</c:v>
                </c:pt>
                <c:pt idx="266">
                  <c:v>47</c:v>
                </c:pt>
                <c:pt idx="267">
                  <c:v>46.5</c:v>
                </c:pt>
                <c:pt idx="268">
                  <c:v>46</c:v>
                </c:pt>
                <c:pt idx="269">
                  <c:v>45.5</c:v>
                </c:pt>
                <c:pt idx="270">
                  <c:v>45</c:v>
                </c:pt>
                <c:pt idx="271">
                  <c:v>44.5</c:v>
                </c:pt>
                <c:pt idx="272">
                  <c:v>44</c:v>
                </c:pt>
                <c:pt idx="273">
                  <c:v>43.5</c:v>
                </c:pt>
                <c:pt idx="274">
                  <c:v>43</c:v>
                </c:pt>
                <c:pt idx="275">
                  <c:v>42.5</c:v>
                </c:pt>
                <c:pt idx="276">
                  <c:v>42</c:v>
                </c:pt>
                <c:pt idx="277">
                  <c:v>41.5</c:v>
                </c:pt>
                <c:pt idx="278">
                  <c:v>41</c:v>
                </c:pt>
                <c:pt idx="279">
                  <c:v>40.5</c:v>
                </c:pt>
                <c:pt idx="280">
                  <c:v>40</c:v>
                </c:pt>
                <c:pt idx="281">
                  <c:v>39.5</c:v>
                </c:pt>
                <c:pt idx="282">
                  <c:v>39</c:v>
                </c:pt>
                <c:pt idx="283">
                  <c:v>38.5</c:v>
                </c:pt>
                <c:pt idx="284">
                  <c:v>38</c:v>
                </c:pt>
                <c:pt idx="285">
                  <c:v>37.5</c:v>
                </c:pt>
                <c:pt idx="286">
                  <c:v>37</c:v>
                </c:pt>
                <c:pt idx="287">
                  <c:v>36.5</c:v>
                </c:pt>
                <c:pt idx="288">
                  <c:v>36</c:v>
                </c:pt>
                <c:pt idx="289">
                  <c:v>35.5</c:v>
                </c:pt>
                <c:pt idx="290">
                  <c:v>35</c:v>
                </c:pt>
                <c:pt idx="291">
                  <c:v>34.5</c:v>
                </c:pt>
                <c:pt idx="292">
                  <c:v>34</c:v>
                </c:pt>
                <c:pt idx="293">
                  <c:v>33.5</c:v>
                </c:pt>
                <c:pt idx="294">
                  <c:v>33</c:v>
                </c:pt>
                <c:pt idx="295">
                  <c:v>32.5</c:v>
                </c:pt>
                <c:pt idx="296">
                  <c:v>32</c:v>
                </c:pt>
                <c:pt idx="297">
                  <c:v>31.5</c:v>
                </c:pt>
                <c:pt idx="298">
                  <c:v>31</c:v>
                </c:pt>
                <c:pt idx="299">
                  <c:v>30.5</c:v>
                </c:pt>
                <c:pt idx="300">
                  <c:v>30</c:v>
                </c:pt>
                <c:pt idx="301">
                  <c:v>29.5</c:v>
                </c:pt>
                <c:pt idx="302">
                  <c:v>29</c:v>
                </c:pt>
                <c:pt idx="303">
                  <c:v>28.5</c:v>
                </c:pt>
                <c:pt idx="304">
                  <c:v>28</c:v>
                </c:pt>
                <c:pt idx="305">
                  <c:v>27.5</c:v>
                </c:pt>
                <c:pt idx="306">
                  <c:v>27</c:v>
                </c:pt>
                <c:pt idx="307">
                  <c:v>26.5</c:v>
                </c:pt>
                <c:pt idx="308">
                  <c:v>26</c:v>
                </c:pt>
                <c:pt idx="309">
                  <c:v>25.5</c:v>
                </c:pt>
                <c:pt idx="310">
                  <c:v>25</c:v>
                </c:pt>
                <c:pt idx="311">
                  <c:v>24.5</c:v>
                </c:pt>
                <c:pt idx="312">
                  <c:v>24</c:v>
                </c:pt>
                <c:pt idx="313">
                  <c:v>23.5</c:v>
                </c:pt>
                <c:pt idx="314">
                  <c:v>23</c:v>
                </c:pt>
                <c:pt idx="315">
                  <c:v>22.5</c:v>
                </c:pt>
                <c:pt idx="316">
                  <c:v>22</c:v>
                </c:pt>
                <c:pt idx="317">
                  <c:v>21.5</c:v>
                </c:pt>
                <c:pt idx="318">
                  <c:v>21</c:v>
                </c:pt>
                <c:pt idx="319">
                  <c:v>20.5</c:v>
                </c:pt>
                <c:pt idx="320">
                  <c:v>20</c:v>
                </c:pt>
                <c:pt idx="321">
                  <c:v>19.5</c:v>
                </c:pt>
                <c:pt idx="322">
                  <c:v>19</c:v>
                </c:pt>
                <c:pt idx="323">
                  <c:v>18.5</c:v>
                </c:pt>
                <c:pt idx="324">
                  <c:v>18</c:v>
                </c:pt>
                <c:pt idx="325">
                  <c:v>17.5</c:v>
                </c:pt>
                <c:pt idx="326">
                  <c:v>17</c:v>
                </c:pt>
                <c:pt idx="327">
                  <c:v>16.5</c:v>
                </c:pt>
                <c:pt idx="328">
                  <c:v>16</c:v>
                </c:pt>
                <c:pt idx="329">
                  <c:v>15.5</c:v>
                </c:pt>
                <c:pt idx="330">
                  <c:v>15</c:v>
                </c:pt>
                <c:pt idx="331">
                  <c:v>14.5</c:v>
                </c:pt>
                <c:pt idx="332">
                  <c:v>14</c:v>
                </c:pt>
                <c:pt idx="333">
                  <c:v>13.5</c:v>
                </c:pt>
                <c:pt idx="334">
                  <c:v>13</c:v>
                </c:pt>
                <c:pt idx="335">
                  <c:v>12.5</c:v>
                </c:pt>
                <c:pt idx="336">
                  <c:v>12</c:v>
                </c:pt>
                <c:pt idx="337">
                  <c:v>11.5</c:v>
                </c:pt>
                <c:pt idx="338">
                  <c:v>11</c:v>
                </c:pt>
                <c:pt idx="339">
                  <c:v>10.5</c:v>
                </c:pt>
                <c:pt idx="340">
                  <c:v>10</c:v>
                </c:pt>
                <c:pt idx="341">
                  <c:v>9.5</c:v>
                </c:pt>
                <c:pt idx="342">
                  <c:v>9</c:v>
                </c:pt>
                <c:pt idx="343">
                  <c:v>8.5</c:v>
                </c:pt>
                <c:pt idx="344">
                  <c:v>8</c:v>
                </c:pt>
                <c:pt idx="345">
                  <c:v>7.5</c:v>
                </c:pt>
                <c:pt idx="346">
                  <c:v>7</c:v>
                </c:pt>
                <c:pt idx="347">
                  <c:v>6.5</c:v>
                </c:pt>
                <c:pt idx="348">
                  <c:v>6</c:v>
                </c:pt>
                <c:pt idx="349">
                  <c:v>5.5</c:v>
                </c:pt>
                <c:pt idx="350">
                  <c:v>5</c:v>
                </c:pt>
                <c:pt idx="351">
                  <c:v>4.5</c:v>
                </c:pt>
                <c:pt idx="352">
                  <c:v>4</c:v>
                </c:pt>
                <c:pt idx="353">
                  <c:v>3.5</c:v>
                </c:pt>
                <c:pt idx="354">
                  <c:v>3</c:v>
                </c:pt>
                <c:pt idx="355">
                  <c:v>2.5</c:v>
                </c:pt>
                <c:pt idx="356">
                  <c:v>2</c:v>
                </c:pt>
                <c:pt idx="357">
                  <c:v>1.5</c:v>
                </c:pt>
                <c:pt idx="358">
                  <c:v>1</c:v>
                </c:pt>
                <c:pt idx="359">
                  <c:v>0.5</c:v>
                </c:pt>
                <c:pt idx="360">
                  <c:v>0</c:v>
                </c:pt>
                <c:pt idx="361">
                  <c:v>-0.5</c:v>
                </c:pt>
                <c:pt idx="362">
                  <c:v>-1</c:v>
                </c:pt>
                <c:pt idx="363">
                  <c:v>-1.5</c:v>
                </c:pt>
                <c:pt idx="364">
                  <c:v>-2</c:v>
                </c:pt>
                <c:pt idx="365">
                  <c:v>-2.5</c:v>
                </c:pt>
                <c:pt idx="366">
                  <c:v>-3</c:v>
                </c:pt>
                <c:pt idx="367">
                  <c:v>-3.5</c:v>
                </c:pt>
                <c:pt idx="368">
                  <c:v>-4</c:v>
                </c:pt>
                <c:pt idx="369">
                  <c:v>-4.5</c:v>
                </c:pt>
                <c:pt idx="370">
                  <c:v>-5</c:v>
                </c:pt>
                <c:pt idx="371">
                  <c:v>-5.5</c:v>
                </c:pt>
                <c:pt idx="372">
                  <c:v>-6</c:v>
                </c:pt>
                <c:pt idx="373">
                  <c:v>-6.5</c:v>
                </c:pt>
                <c:pt idx="374">
                  <c:v>-7</c:v>
                </c:pt>
                <c:pt idx="375">
                  <c:v>-7.5</c:v>
                </c:pt>
                <c:pt idx="376">
                  <c:v>-8</c:v>
                </c:pt>
                <c:pt idx="377">
                  <c:v>-8.5</c:v>
                </c:pt>
                <c:pt idx="378">
                  <c:v>-9</c:v>
                </c:pt>
                <c:pt idx="379">
                  <c:v>-9.5</c:v>
                </c:pt>
                <c:pt idx="380">
                  <c:v>-10</c:v>
                </c:pt>
                <c:pt idx="381">
                  <c:v>-10.5</c:v>
                </c:pt>
                <c:pt idx="382">
                  <c:v>-11</c:v>
                </c:pt>
                <c:pt idx="383">
                  <c:v>-11.5</c:v>
                </c:pt>
                <c:pt idx="384">
                  <c:v>-12</c:v>
                </c:pt>
                <c:pt idx="385">
                  <c:v>-12.5</c:v>
                </c:pt>
                <c:pt idx="386">
                  <c:v>-13</c:v>
                </c:pt>
                <c:pt idx="387">
                  <c:v>-13.5</c:v>
                </c:pt>
                <c:pt idx="388">
                  <c:v>-14</c:v>
                </c:pt>
                <c:pt idx="389">
                  <c:v>-14.5</c:v>
                </c:pt>
                <c:pt idx="390">
                  <c:v>-15</c:v>
                </c:pt>
                <c:pt idx="391">
                  <c:v>-15.5</c:v>
                </c:pt>
                <c:pt idx="392">
                  <c:v>-16</c:v>
                </c:pt>
                <c:pt idx="393">
                  <c:v>-16.5</c:v>
                </c:pt>
                <c:pt idx="394">
                  <c:v>-17</c:v>
                </c:pt>
                <c:pt idx="395">
                  <c:v>-17.5</c:v>
                </c:pt>
                <c:pt idx="396">
                  <c:v>-18</c:v>
                </c:pt>
                <c:pt idx="397">
                  <c:v>-18.5</c:v>
                </c:pt>
                <c:pt idx="398">
                  <c:v>-19</c:v>
                </c:pt>
                <c:pt idx="399">
                  <c:v>-19.5</c:v>
                </c:pt>
                <c:pt idx="400">
                  <c:v>-20</c:v>
                </c:pt>
                <c:pt idx="401">
                  <c:v>-20.5</c:v>
                </c:pt>
                <c:pt idx="402">
                  <c:v>-21</c:v>
                </c:pt>
                <c:pt idx="403">
                  <c:v>-21.5</c:v>
                </c:pt>
                <c:pt idx="404">
                  <c:v>-22</c:v>
                </c:pt>
                <c:pt idx="405">
                  <c:v>-22.5</c:v>
                </c:pt>
                <c:pt idx="406">
                  <c:v>-23</c:v>
                </c:pt>
                <c:pt idx="407">
                  <c:v>-23.5</c:v>
                </c:pt>
                <c:pt idx="408">
                  <c:v>-24</c:v>
                </c:pt>
                <c:pt idx="409">
                  <c:v>-24.5</c:v>
                </c:pt>
                <c:pt idx="410">
                  <c:v>-25</c:v>
                </c:pt>
                <c:pt idx="411">
                  <c:v>-25.5</c:v>
                </c:pt>
                <c:pt idx="412">
                  <c:v>-26</c:v>
                </c:pt>
                <c:pt idx="413">
                  <c:v>-26.5</c:v>
                </c:pt>
                <c:pt idx="414">
                  <c:v>-27</c:v>
                </c:pt>
                <c:pt idx="415">
                  <c:v>-27.5</c:v>
                </c:pt>
                <c:pt idx="416">
                  <c:v>-28</c:v>
                </c:pt>
                <c:pt idx="417">
                  <c:v>-28.5</c:v>
                </c:pt>
                <c:pt idx="418">
                  <c:v>-29</c:v>
                </c:pt>
                <c:pt idx="419">
                  <c:v>-29.5</c:v>
                </c:pt>
                <c:pt idx="420">
                  <c:v>-30</c:v>
                </c:pt>
                <c:pt idx="421">
                  <c:v>-30.5</c:v>
                </c:pt>
                <c:pt idx="422">
                  <c:v>-31</c:v>
                </c:pt>
                <c:pt idx="423">
                  <c:v>-31.5</c:v>
                </c:pt>
                <c:pt idx="424">
                  <c:v>-32</c:v>
                </c:pt>
                <c:pt idx="425">
                  <c:v>-32.5</c:v>
                </c:pt>
                <c:pt idx="426">
                  <c:v>-33</c:v>
                </c:pt>
                <c:pt idx="427">
                  <c:v>-33.5</c:v>
                </c:pt>
                <c:pt idx="428">
                  <c:v>-34</c:v>
                </c:pt>
                <c:pt idx="429">
                  <c:v>-34.5</c:v>
                </c:pt>
                <c:pt idx="430">
                  <c:v>-35</c:v>
                </c:pt>
                <c:pt idx="431">
                  <c:v>-35.5</c:v>
                </c:pt>
                <c:pt idx="432">
                  <c:v>-36</c:v>
                </c:pt>
                <c:pt idx="433">
                  <c:v>-36.5</c:v>
                </c:pt>
                <c:pt idx="434">
                  <c:v>-37</c:v>
                </c:pt>
                <c:pt idx="435">
                  <c:v>-37.5</c:v>
                </c:pt>
                <c:pt idx="436">
                  <c:v>-38</c:v>
                </c:pt>
                <c:pt idx="437">
                  <c:v>-38.5</c:v>
                </c:pt>
                <c:pt idx="438">
                  <c:v>-39</c:v>
                </c:pt>
                <c:pt idx="439">
                  <c:v>-39.5</c:v>
                </c:pt>
                <c:pt idx="440">
                  <c:v>-40</c:v>
                </c:pt>
                <c:pt idx="441">
                  <c:v>-40.5</c:v>
                </c:pt>
                <c:pt idx="442">
                  <c:v>-41</c:v>
                </c:pt>
                <c:pt idx="443">
                  <c:v>-41.5</c:v>
                </c:pt>
                <c:pt idx="444">
                  <c:v>-42</c:v>
                </c:pt>
                <c:pt idx="445">
                  <c:v>-42.5</c:v>
                </c:pt>
                <c:pt idx="446">
                  <c:v>-43</c:v>
                </c:pt>
                <c:pt idx="447">
                  <c:v>-43.5</c:v>
                </c:pt>
                <c:pt idx="448">
                  <c:v>-44</c:v>
                </c:pt>
                <c:pt idx="449">
                  <c:v>-44.5</c:v>
                </c:pt>
                <c:pt idx="450">
                  <c:v>-45</c:v>
                </c:pt>
                <c:pt idx="451">
                  <c:v>-45.5</c:v>
                </c:pt>
                <c:pt idx="452">
                  <c:v>-46</c:v>
                </c:pt>
                <c:pt idx="453">
                  <c:v>-46.5</c:v>
                </c:pt>
                <c:pt idx="454">
                  <c:v>-47</c:v>
                </c:pt>
                <c:pt idx="455">
                  <c:v>-47.5</c:v>
                </c:pt>
                <c:pt idx="456">
                  <c:v>-48</c:v>
                </c:pt>
                <c:pt idx="457">
                  <c:v>-48.5</c:v>
                </c:pt>
                <c:pt idx="458">
                  <c:v>-49</c:v>
                </c:pt>
                <c:pt idx="459">
                  <c:v>-49.5</c:v>
                </c:pt>
                <c:pt idx="460">
                  <c:v>-50</c:v>
                </c:pt>
                <c:pt idx="461">
                  <c:v>-50.5</c:v>
                </c:pt>
                <c:pt idx="462">
                  <c:v>-51</c:v>
                </c:pt>
                <c:pt idx="463">
                  <c:v>-51.5</c:v>
                </c:pt>
                <c:pt idx="464">
                  <c:v>-52</c:v>
                </c:pt>
                <c:pt idx="465">
                  <c:v>-52.5</c:v>
                </c:pt>
                <c:pt idx="466">
                  <c:v>-53</c:v>
                </c:pt>
                <c:pt idx="467">
                  <c:v>-53.5</c:v>
                </c:pt>
                <c:pt idx="468">
                  <c:v>-54</c:v>
                </c:pt>
                <c:pt idx="469">
                  <c:v>-54.5</c:v>
                </c:pt>
                <c:pt idx="470">
                  <c:v>-55</c:v>
                </c:pt>
                <c:pt idx="471">
                  <c:v>-55.5</c:v>
                </c:pt>
                <c:pt idx="472">
                  <c:v>-56</c:v>
                </c:pt>
                <c:pt idx="473">
                  <c:v>-56.5</c:v>
                </c:pt>
                <c:pt idx="474">
                  <c:v>-57</c:v>
                </c:pt>
                <c:pt idx="475">
                  <c:v>-57.5</c:v>
                </c:pt>
                <c:pt idx="476">
                  <c:v>-58</c:v>
                </c:pt>
                <c:pt idx="477">
                  <c:v>-58.5</c:v>
                </c:pt>
                <c:pt idx="478">
                  <c:v>-59</c:v>
                </c:pt>
                <c:pt idx="479">
                  <c:v>-59.5</c:v>
                </c:pt>
                <c:pt idx="480">
                  <c:v>-60</c:v>
                </c:pt>
                <c:pt idx="481">
                  <c:v>-60.5</c:v>
                </c:pt>
                <c:pt idx="482">
                  <c:v>-61</c:v>
                </c:pt>
                <c:pt idx="483">
                  <c:v>-61.5</c:v>
                </c:pt>
                <c:pt idx="484">
                  <c:v>-62</c:v>
                </c:pt>
                <c:pt idx="485">
                  <c:v>-62.5</c:v>
                </c:pt>
                <c:pt idx="486">
                  <c:v>-63</c:v>
                </c:pt>
                <c:pt idx="487">
                  <c:v>-63.5</c:v>
                </c:pt>
                <c:pt idx="488">
                  <c:v>-64</c:v>
                </c:pt>
                <c:pt idx="489">
                  <c:v>-64.5</c:v>
                </c:pt>
                <c:pt idx="490">
                  <c:v>-65</c:v>
                </c:pt>
                <c:pt idx="491">
                  <c:v>-65.5</c:v>
                </c:pt>
                <c:pt idx="492">
                  <c:v>-66</c:v>
                </c:pt>
                <c:pt idx="493">
                  <c:v>-66.5</c:v>
                </c:pt>
                <c:pt idx="494">
                  <c:v>-67</c:v>
                </c:pt>
                <c:pt idx="495">
                  <c:v>-67.5</c:v>
                </c:pt>
                <c:pt idx="496">
                  <c:v>-68</c:v>
                </c:pt>
                <c:pt idx="497">
                  <c:v>-68.5</c:v>
                </c:pt>
                <c:pt idx="498">
                  <c:v>-69</c:v>
                </c:pt>
                <c:pt idx="499">
                  <c:v>-69.5</c:v>
                </c:pt>
                <c:pt idx="500">
                  <c:v>-70</c:v>
                </c:pt>
                <c:pt idx="501">
                  <c:v>-70.5</c:v>
                </c:pt>
                <c:pt idx="502">
                  <c:v>-71</c:v>
                </c:pt>
                <c:pt idx="503">
                  <c:v>-71.5</c:v>
                </c:pt>
                <c:pt idx="504">
                  <c:v>-72</c:v>
                </c:pt>
                <c:pt idx="505">
                  <c:v>-72.5</c:v>
                </c:pt>
                <c:pt idx="506">
                  <c:v>-73</c:v>
                </c:pt>
                <c:pt idx="507">
                  <c:v>-73.5</c:v>
                </c:pt>
                <c:pt idx="508">
                  <c:v>-74</c:v>
                </c:pt>
                <c:pt idx="509">
                  <c:v>-74.5</c:v>
                </c:pt>
                <c:pt idx="510">
                  <c:v>-75</c:v>
                </c:pt>
                <c:pt idx="511">
                  <c:v>-75.5</c:v>
                </c:pt>
                <c:pt idx="512">
                  <c:v>-76</c:v>
                </c:pt>
                <c:pt idx="513">
                  <c:v>-76.5</c:v>
                </c:pt>
                <c:pt idx="514">
                  <c:v>-77</c:v>
                </c:pt>
                <c:pt idx="515">
                  <c:v>-77.5</c:v>
                </c:pt>
                <c:pt idx="516">
                  <c:v>-78</c:v>
                </c:pt>
                <c:pt idx="517">
                  <c:v>-78.5</c:v>
                </c:pt>
                <c:pt idx="518">
                  <c:v>-79</c:v>
                </c:pt>
                <c:pt idx="519">
                  <c:v>-79.5</c:v>
                </c:pt>
                <c:pt idx="520">
                  <c:v>-80</c:v>
                </c:pt>
                <c:pt idx="521">
                  <c:v>-80.5</c:v>
                </c:pt>
                <c:pt idx="522">
                  <c:v>-81</c:v>
                </c:pt>
                <c:pt idx="523">
                  <c:v>-81.5</c:v>
                </c:pt>
                <c:pt idx="524">
                  <c:v>-82</c:v>
                </c:pt>
                <c:pt idx="525">
                  <c:v>-82.5</c:v>
                </c:pt>
                <c:pt idx="526">
                  <c:v>-83</c:v>
                </c:pt>
                <c:pt idx="527">
                  <c:v>-83.5</c:v>
                </c:pt>
                <c:pt idx="528">
                  <c:v>-84</c:v>
                </c:pt>
                <c:pt idx="529">
                  <c:v>-84.5</c:v>
                </c:pt>
                <c:pt idx="530">
                  <c:v>-85</c:v>
                </c:pt>
                <c:pt idx="531">
                  <c:v>-85.5</c:v>
                </c:pt>
                <c:pt idx="532">
                  <c:v>-86</c:v>
                </c:pt>
                <c:pt idx="533">
                  <c:v>-86.5</c:v>
                </c:pt>
                <c:pt idx="534">
                  <c:v>-87</c:v>
                </c:pt>
                <c:pt idx="535">
                  <c:v>-87.5</c:v>
                </c:pt>
                <c:pt idx="536">
                  <c:v>-88</c:v>
                </c:pt>
                <c:pt idx="537">
                  <c:v>-88.5</c:v>
                </c:pt>
                <c:pt idx="538">
                  <c:v>-89</c:v>
                </c:pt>
                <c:pt idx="539">
                  <c:v>-89.5</c:v>
                </c:pt>
                <c:pt idx="540">
                  <c:v>-90</c:v>
                </c:pt>
                <c:pt idx="541">
                  <c:v>-90.5</c:v>
                </c:pt>
                <c:pt idx="542">
                  <c:v>-91</c:v>
                </c:pt>
                <c:pt idx="543">
                  <c:v>-91.5</c:v>
                </c:pt>
                <c:pt idx="544">
                  <c:v>-92</c:v>
                </c:pt>
                <c:pt idx="545">
                  <c:v>-92.5</c:v>
                </c:pt>
                <c:pt idx="546">
                  <c:v>-93</c:v>
                </c:pt>
                <c:pt idx="547">
                  <c:v>-93.5</c:v>
                </c:pt>
                <c:pt idx="548">
                  <c:v>-94</c:v>
                </c:pt>
                <c:pt idx="549">
                  <c:v>-94.5</c:v>
                </c:pt>
                <c:pt idx="550">
                  <c:v>-95</c:v>
                </c:pt>
                <c:pt idx="551">
                  <c:v>-95.5</c:v>
                </c:pt>
                <c:pt idx="552">
                  <c:v>-96</c:v>
                </c:pt>
                <c:pt idx="553">
                  <c:v>-96.5</c:v>
                </c:pt>
                <c:pt idx="554">
                  <c:v>-97</c:v>
                </c:pt>
                <c:pt idx="555">
                  <c:v>-97.5</c:v>
                </c:pt>
                <c:pt idx="556">
                  <c:v>-98</c:v>
                </c:pt>
                <c:pt idx="557">
                  <c:v>-98.5</c:v>
                </c:pt>
                <c:pt idx="558">
                  <c:v>-99</c:v>
                </c:pt>
                <c:pt idx="559">
                  <c:v>-99.5</c:v>
                </c:pt>
                <c:pt idx="560">
                  <c:v>-100</c:v>
                </c:pt>
                <c:pt idx="561">
                  <c:v>-100.5</c:v>
                </c:pt>
                <c:pt idx="562">
                  <c:v>-101</c:v>
                </c:pt>
                <c:pt idx="563">
                  <c:v>-101.5</c:v>
                </c:pt>
                <c:pt idx="564">
                  <c:v>-102</c:v>
                </c:pt>
                <c:pt idx="565">
                  <c:v>-102.5</c:v>
                </c:pt>
                <c:pt idx="566">
                  <c:v>-103</c:v>
                </c:pt>
                <c:pt idx="567">
                  <c:v>-103.5</c:v>
                </c:pt>
                <c:pt idx="568">
                  <c:v>-104</c:v>
                </c:pt>
                <c:pt idx="569">
                  <c:v>-104.5</c:v>
                </c:pt>
                <c:pt idx="570">
                  <c:v>-105</c:v>
                </c:pt>
                <c:pt idx="571">
                  <c:v>-105.5</c:v>
                </c:pt>
                <c:pt idx="572">
                  <c:v>-106</c:v>
                </c:pt>
                <c:pt idx="573">
                  <c:v>-106.5</c:v>
                </c:pt>
                <c:pt idx="574">
                  <c:v>-107</c:v>
                </c:pt>
                <c:pt idx="575">
                  <c:v>-107.5</c:v>
                </c:pt>
                <c:pt idx="576">
                  <c:v>-108</c:v>
                </c:pt>
                <c:pt idx="577">
                  <c:v>-108.5</c:v>
                </c:pt>
                <c:pt idx="578">
                  <c:v>-109</c:v>
                </c:pt>
                <c:pt idx="579">
                  <c:v>-109.5</c:v>
                </c:pt>
                <c:pt idx="580">
                  <c:v>-110</c:v>
                </c:pt>
                <c:pt idx="581">
                  <c:v>-110.5</c:v>
                </c:pt>
                <c:pt idx="582">
                  <c:v>-111</c:v>
                </c:pt>
                <c:pt idx="583">
                  <c:v>-111.5</c:v>
                </c:pt>
                <c:pt idx="584">
                  <c:v>-112</c:v>
                </c:pt>
                <c:pt idx="585">
                  <c:v>-112.5</c:v>
                </c:pt>
                <c:pt idx="586">
                  <c:v>-113</c:v>
                </c:pt>
                <c:pt idx="587">
                  <c:v>-113.5</c:v>
                </c:pt>
                <c:pt idx="588">
                  <c:v>-114</c:v>
                </c:pt>
                <c:pt idx="589">
                  <c:v>-114.5</c:v>
                </c:pt>
                <c:pt idx="590">
                  <c:v>-115</c:v>
                </c:pt>
                <c:pt idx="591">
                  <c:v>-115.5</c:v>
                </c:pt>
                <c:pt idx="592">
                  <c:v>-116</c:v>
                </c:pt>
                <c:pt idx="593">
                  <c:v>-116.5</c:v>
                </c:pt>
                <c:pt idx="594">
                  <c:v>-117</c:v>
                </c:pt>
                <c:pt idx="595">
                  <c:v>-117.5</c:v>
                </c:pt>
                <c:pt idx="596">
                  <c:v>-118</c:v>
                </c:pt>
                <c:pt idx="597">
                  <c:v>-118.5</c:v>
                </c:pt>
                <c:pt idx="598">
                  <c:v>-119</c:v>
                </c:pt>
                <c:pt idx="599">
                  <c:v>-119.5</c:v>
                </c:pt>
                <c:pt idx="600">
                  <c:v>-120</c:v>
                </c:pt>
                <c:pt idx="601">
                  <c:v>-120.5</c:v>
                </c:pt>
                <c:pt idx="602">
                  <c:v>-121</c:v>
                </c:pt>
                <c:pt idx="603">
                  <c:v>-121.5</c:v>
                </c:pt>
                <c:pt idx="604">
                  <c:v>-122</c:v>
                </c:pt>
                <c:pt idx="605">
                  <c:v>-122.5</c:v>
                </c:pt>
                <c:pt idx="606">
                  <c:v>-123</c:v>
                </c:pt>
                <c:pt idx="607">
                  <c:v>-123.5</c:v>
                </c:pt>
                <c:pt idx="608">
                  <c:v>-124</c:v>
                </c:pt>
                <c:pt idx="609">
                  <c:v>-124.5</c:v>
                </c:pt>
                <c:pt idx="610">
                  <c:v>-125</c:v>
                </c:pt>
                <c:pt idx="611">
                  <c:v>-125.5</c:v>
                </c:pt>
                <c:pt idx="612">
                  <c:v>-126</c:v>
                </c:pt>
                <c:pt idx="613">
                  <c:v>-126.5</c:v>
                </c:pt>
                <c:pt idx="614">
                  <c:v>-127</c:v>
                </c:pt>
                <c:pt idx="615">
                  <c:v>-127.5</c:v>
                </c:pt>
                <c:pt idx="616">
                  <c:v>-128</c:v>
                </c:pt>
                <c:pt idx="617">
                  <c:v>-128.5</c:v>
                </c:pt>
                <c:pt idx="618">
                  <c:v>-129</c:v>
                </c:pt>
                <c:pt idx="619">
                  <c:v>-129.5</c:v>
                </c:pt>
                <c:pt idx="620">
                  <c:v>-130</c:v>
                </c:pt>
                <c:pt idx="621">
                  <c:v>-130.5</c:v>
                </c:pt>
                <c:pt idx="622">
                  <c:v>-131</c:v>
                </c:pt>
                <c:pt idx="623">
                  <c:v>-131.5</c:v>
                </c:pt>
                <c:pt idx="624">
                  <c:v>-132</c:v>
                </c:pt>
                <c:pt idx="625">
                  <c:v>-132.5</c:v>
                </c:pt>
                <c:pt idx="626">
                  <c:v>-133</c:v>
                </c:pt>
                <c:pt idx="627">
                  <c:v>-133.5</c:v>
                </c:pt>
                <c:pt idx="628">
                  <c:v>-134</c:v>
                </c:pt>
                <c:pt idx="629">
                  <c:v>-134.5</c:v>
                </c:pt>
                <c:pt idx="630">
                  <c:v>-135</c:v>
                </c:pt>
                <c:pt idx="631">
                  <c:v>-135.5</c:v>
                </c:pt>
                <c:pt idx="632">
                  <c:v>-136</c:v>
                </c:pt>
                <c:pt idx="633">
                  <c:v>-136.5</c:v>
                </c:pt>
                <c:pt idx="634">
                  <c:v>-137</c:v>
                </c:pt>
                <c:pt idx="635">
                  <c:v>-137.5</c:v>
                </c:pt>
                <c:pt idx="636">
                  <c:v>-138</c:v>
                </c:pt>
                <c:pt idx="637">
                  <c:v>-138.5</c:v>
                </c:pt>
                <c:pt idx="638">
                  <c:v>-139</c:v>
                </c:pt>
                <c:pt idx="639">
                  <c:v>-139.5</c:v>
                </c:pt>
                <c:pt idx="640">
                  <c:v>-140</c:v>
                </c:pt>
                <c:pt idx="641">
                  <c:v>-140.5</c:v>
                </c:pt>
                <c:pt idx="642">
                  <c:v>-141</c:v>
                </c:pt>
                <c:pt idx="643">
                  <c:v>-141.5</c:v>
                </c:pt>
                <c:pt idx="644">
                  <c:v>-142</c:v>
                </c:pt>
                <c:pt idx="645">
                  <c:v>-142.5</c:v>
                </c:pt>
                <c:pt idx="646">
                  <c:v>-143</c:v>
                </c:pt>
                <c:pt idx="647">
                  <c:v>-143.5</c:v>
                </c:pt>
                <c:pt idx="648">
                  <c:v>-144</c:v>
                </c:pt>
                <c:pt idx="649">
                  <c:v>-144.5</c:v>
                </c:pt>
                <c:pt idx="650">
                  <c:v>-145</c:v>
                </c:pt>
                <c:pt idx="651">
                  <c:v>-145.5</c:v>
                </c:pt>
                <c:pt idx="652">
                  <c:v>-146</c:v>
                </c:pt>
                <c:pt idx="653">
                  <c:v>-146.5</c:v>
                </c:pt>
                <c:pt idx="654">
                  <c:v>-147</c:v>
                </c:pt>
                <c:pt idx="655">
                  <c:v>-147.5</c:v>
                </c:pt>
                <c:pt idx="656">
                  <c:v>-148</c:v>
                </c:pt>
                <c:pt idx="657">
                  <c:v>-148.5</c:v>
                </c:pt>
                <c:pt idx="658">
                  <c:v>-149</c:v>
                </c:pt>
                <c:pt idx="659">
                  <c:v>-149.5</c:v>
                </c:pt>
                <c:pt idx="660">
                  <c:v>-150</c:v>
                </c:pt>
                <c:pt idx="661">
                  <c:v>-150.5</c:v>
                </c:pt>
                <c:pt idx="662">
                  <c:v>-151</c:v>
                </c:pt>
                <c:pt idx="663">
                  <c:v>-151.5</c:v>
                </c:pt>
                <c:pt idx="664">
                  <c:v>-152</c:v>
                </c:pt>
                <c:pt idx="665">
                  <c:v>-152.5</c:v>
                </c:pt>
                <c:pt idx="666">
                  <c:v>-153</c:v>
                </c:pt>
                <c:pt idx="667">
                  <c:v>-153.5</c:v>
                </c:pt>
                <c:pt idx="668">
                  <c:v>-154</c:v>
                </c:pt>
                <c:pt idx="669">
                  <c:v>-154.5</c:v>
                </c:pt>
                <c:pt idx="670">
                  <c:v>-155</c:v>
                </c:pt>
                <c:pt idx="671">
                  <c:v>-155.5</c:v>
                </c:pt>
                <c:pt idx="672">
                  <c:v>-156</c:v>
                </c:pt>
                <c:pt idx="673">
                  <c:v>-156.5</c:v>
                </c:pt>
                <c:pt idx="674">
                  <c:v>-157</c:v>
                </c:pt>
                <c:pt idx="675">
                  <c:v>-157.5</c:v>
                </c:pt>
                <c:pt idx="676">
                  <c:v>-158</c:v>
                </c:pt>
                <c:pt idx="677">
                  <c:v>-158.5</c:v>
                </c:pt>
                <c:pt idx="678">
                  <c:v>-159</c:v>
                </c:pt>
                <c:pt idx="679">
                  <c:v>-159.5</c:v>
                </c:pt>
                <c:pt idx="680">
                  <c:v>-160</c:v>
                </c:pt>
                <c:pt idx="681">
                  <c:v>-160.5</c:v>
                </c:pt>
                <c:pt idx="682">
                  <c:v>-161</c:v>
                </c:pt>
                <c:pt idx="683">
                  <c:v>-161.5</c:v>
                </c:pt>
                <c:pt idx="684">
                  <c:v>-162</c:v>
                </c:pt>
                <c:pt idx="685">
                  <c:v>-162.5</c:v>
                </c:pt>
                <c:pt idx="686">
                  <c:v>-163</c:v>
                </c:pt>
                <c:pt idx="687">
                  <c:v>-163.5</c:v>
                </c:pt>
                <c:pt idx="688">
                  <c:v>-164</c:v>
                </c:pt>
                <c:pt idx="689">
                  <c:v>-164.5</c:v>
                </c:pt>
                <c:pt idx="690">
                  <c:v>-165</c:v>
                </c:pt>
                <c:pt idx="691">
                  <c:v>-165.5</c:v>
                </c:pt>
                <c:pt idx="692">
                  <c:v>-166</c:v>
                </c:pt>
                <c:pt idx="693">
                  <c:v>-166.5</c:v>
                </c:pt>
                <c:pt idx="694">
                  <c:v>-167</c:v>
                </c:pt>
                <c:pt idx="695">
                  <c:v>-167.5</c:v>
                </c:pt>
                <c:pt idx="696">
                  <c:v>-168</c:v>
                </c:pt>
                <c:pt idx="697">
                  <c:v>-168.5</c:v>
                </c:pt>
                <c:pt idx="698">
                  <c:v>-169</c:v>
                </c:pt>
                <c:pt idx="699">
                  <c:v>-169.5</c:v>
                </c:pt>
                <c:pt idx="700">
                  <c:v>-170</c:v>
                </c:pt>
                <c:pt idx="701">
                  <c:v>-170.5</c:v>
                </c:pt>
                <c:pt idx="702">
                  <c:v>-171</c:v>
                </c:pt>
                <c:pt idx="703">
                  <c:v>-171.5</c:v>
                </c:pt>
                <c:pt idx="704">
                  <c:v>-172</c:v>
                </c:pt>
                <c:pt idx="705">
                  <c:v>-172.5</c:v>
                </c:pt>
                <c:pt idx="706">
                  <c:v>-173</c:v>
                </c:pt>
                <c:pt idx="707">
                  <c:v>-173.5</c:v>
                </c:pt>
                <c:pt idx="708">
                  <c:v>-174</c:v>
                </c:pt>
                <c:pt idx="709">
                  <c:v>-174.5</c:v>
                </c:pt>
                <c:pt idx="710">
                  <c:v>-175</c:v>
                </c:pt>
                <c:pt idx="711">
                  <c:v>-175.5</c:v>
                </c:pt>
                <c:pt idx="712">
                  <c:v>-176</c:v>
                </c:pt>
                <c:pt idx="713">
                  <c:v>-176.5</c:v>
                </c:pt>
                <c:pt idx="714">
                  <c:v>-177</c:v>
                </c:pt>
                <c:pt idx="715">
                  <c:v>-177.5</c:v>
                </c:pt>
                <c:pt idx="716">
                  <c:v>-178</c:v>
                </c:pt>
                <c:pt idx="717">
                  <c:v>-178.5</c:v>
                </c:pt>
                <c:pt idx="718">
                  <c:v>-179</c:v>
                </c:pt>
                <c:pt idx="719">
                  <c:v>-179.5</c:v>
                </c:pt>
                <c:pt idx="720">
                  <c:v>-180</c:v>
                </c:pt>
              </c:numCache>
            </c:numRef>
          </c:xVal>
          <c:yVal>
            <c:numRef>
              <c:f>Tres_avances!$S$5:$S$725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4.6033488274811711</c:v>
                </c:pt>
                <c:pt idx="276">
                  <c:v>4.684100249060692</c:v>
                </c:pt>
                <c:pt idx="277">
                  <c:v>4.7673023222034594</c:v>
                </c:pt>
                <c:pt idx="278">
                  <c:v>4.8534286397130497</c:v>
                </c:pt>
                <c:pt idx="279">
                  <c:v>4.9429770343927322</c:v>
                </c:pt>
                <c:pt idx="280">
                  <c:v>5.0364702266910983</c:v>
                </c:pt>
                <c:pt idx="281">
                  <c:v>5.1344563313008971</c:v>
                </c:pt>
                <c:pt idx="282">
                  <c:v>5.2375092066234421</c:v>
                </c:pt>
                <c:pt idx="283">
                  <c:v>5.3462286302455997</c:v>
                </c:pt>
                <c:pt idx="284">
                  <c:v>5.4612402829313238</c:v>
                </c:pt>
                <c:pt idx="285">
                  <c:v>5.583195523127678</c:v>
                </c:pt>
                <c:pt idx="286">
                  <c:v>5.7127709336492885</c:v>
                </c:pt>
                <c:pt idx="287">
                  <c:v>5.8506676220588192</c:v>
                </c:pt>
                <c:pt idx="288">
                  <c:v>5.9976102563304616</c:v>
                </c:pt>
                <c:pt idx="289">
                  <c:v>6.1543458176929224</c:v>
                </c:pt>
                <c:pt idx="290">
                  <c:v>6.3216420531244513</c:v>
                </c:pt>
                <c:pt idx="291">
                  <c:v>6.5002856108399376</c:v>
                </c:pt>
                <c:pt idx="292">
                  <c:v>6.6910798432930907</c:v>
                </c:pt>
                <c:pt idx="293">
                  <c:v>6.8948422637384548</c:v>
                </c:pt>
                <c:pt idx="294">
                  <c:v>7.1124016442790756</c:v>
                </c:pt>
                <c:pt idx="295">
                  <c:v>7.3445947455835991</c:v>
                </c:pt>
                <c:pt idx="296">
                  <c:v>7.5922626711064751</c:v>
                </c:pt>
                <c:pt idx="297">
                  <c:v>7.8562468416959348</c:v>
                </c:pt>
                <c:pt idx="298">
                  <c:v>8.1373845899324841</c:v>
                </c:pt>
                <c:pt idx="299">
                  <c:v>8.4365043774037591</c:v>
                </c:pt>
                <c:pt idx="300">
                  <c:v>8.7544206423828683</c:v>
                </c:pt>
                <c:pt idx="301">
                  <c:v>9.0919282900201317</c:v>
                </c:pt>
                <c:pt idx="302">
                  <c:v>9.4497968421611205</c:v>
                </c:pt>
                <c:pt idx="303">
                  <c:v>9.8287642692311668</c:v>
                </c:pt>
                <c:pt idx="304">
                  <c:v>10.229530532239266</c:v>
                </c:pt>
                <c:pt idx="305">
                  <c:v>10.652750868796856</c:v>
                </c:pt>
                <c:pt idx="306">
                  <c:v>11.099028863059786</c:v>
                </c:pt>
                <c:pt idx="307">
                  <c:v>11.568909345608125</c:v>
                </c:pt>
                <c:pt idx="308">
                  <c:v>12.062871175398024</c:v>
                </c:pt>
                <c:pt idx="309">
                  <c:v>12.581319961955387</c:v>
                </c:pt>
                <c:pt idx="310">
                  <c:v>13.124580791830818</c:v>
                </c:pt>
                <c:pt idx="311">
                  <c:v>13.692891028886555</c:v>
                </c:pt>
                <c:pt idx="312">
                  <c:v>14.286393263117974</c:v>
                </c:pt>
                <c:pt idx="313">
                  <c:v>14.905128487299612</c:v>
                </c:pt>
                <c:pt idx="314">
                  <c:v>15.549029584658108</c:v>
                </c:pt>
                <c:pt idx="315">
                  <c:v>16.217915213878882</c:v>
                </c:pt>
                <c:pt idx="316">
                  <c:v>16.911484179920869</c:v>
                </c:pt>
                <c:pt idx="317">
                  <c:v>17.629310380211582</c:v>
                </c:pt>
                <c:pt idx="318">
                  <c:v>18.370838415708334</c:v>
                </c:pt>
                <c:pt idx="319">
                  <c:v>19.135379954922357</c:v>
                </c:pt>
                <c:pt idx="320">
                  <c:v>19.922110936220353</c:v>
                </c:pt>
                <c:pt idx="321">
                  <c:v>20.730069689457967</c:v>
                </c:pt>
                <c:pt idx="322">
                  <c:v>21.558156052205639</c:v>
                </c:pt>
                <c:pt idx="323">
                  <c:v>22.405131548466258</c:v>
                </c:pt>
                <c:pt idx="324">
                  <c:v>23.269620688851344</c:v>
                </c:pt>
                <c:pt idx="325">
                  <c:v>24.150113440703223</c:v>
                </c:pt>
                <c:pt idx="326">
                  <c:v>25.044968904690915</c:v>
                </c:pt>
                <c:pt idx="327">
                  <c:v>25.95242022106083</c:v>
                </c:pt>
                <c:pt idx="328">
                  <c:v>26.870580714132366</c:v>
                </c:pt>
                <c:pt idx="329">
                  <c:v>27.797451267962572</c:v>
                </c:pt>
                <c:pt idx="330">
                  <c:v>28.730928909581309</c:v>
                </c:pt>
                <c:pt idx="331">
                  <c:v>29.668816559069775</c:v>
                </c:pt>
                <c:pt idx="332">
                  <c:v>30.608833888299017</c:v>
                </c:pt>
                <c:pt idx="333">
                  <c:v>31.548629212682584</c:v>
                </c:pt>
                <c:pt idx="334">
                  <c:v>32.485792323160524</c:v>
                </c:pt>
                <c:pt idx="335">
                  <c:v>33.417868149179426</c:v>
                </c:pt>
                <c:pt idx="336">
                  <c:v>34.34237112802434</c:v>
                </c:pt>
                <c:pt idx="337">
                  <c:v>35.256800141868958</c:v>
                </c:pt>
                <c:pt idx="338">
                  <c:v>36.158653871677167</c:v>
                </c:pt>
                <c:pt idx="339">
                  <c:v>37.045446406967699</c:v>
                </c:pt>
                <c:pt idx="340">
                  <c:v>37.914722942734308</c:v>
                </c:pt>
                <c:pt idx="341">
                  <c:v>38.764075389761103</c:v>
                </c:pt>
                <c:pt idx="342">
                  <c:v>39.591157722403352</c:v>
                </c:pt>
                <c:pt idx="343">
                  <c:v>40.393700888758829</c:v>
                </c:pt>
                <c:pt idx="344">
                  <c:v>41.169527112122147</c:v>
                </c:pt>
                <c:pt idx="345">
                  <c:v>41.916563419690455</c:v>
                </c:pt>
                <c:pt idx="346">
                  <c:v>42.632854244603919</c:v>
                </c:pt>
                <c:pt idx="347">
                  <c:v>50.896329419113741</c:v>
                </c:pt>
                <c:pt idx="348">
                  <c:v>47.698525039580581</c:v>
                </c:pt>
                <c:pt idx="349">
                  <c:v>40.288592364413496</c:v>
                </c:pt>
                <c:pt idx="350">
                  <c:v>45.18167257539428</c:v>
                </c:pt>
                <c:pt idx="351">
                  <c:v>53.448996045255065</c:v>
                </c:pt>
                <c:pt idx="352">
                  <c:v>50.254166732879462</c:v>
                </c:pt>
                <c:pt idx="353">
                  <c:v>43.7533586360098</c:v>
                </c:pt>
                <c:pt idx="354">
                  <c:v>47.426505923488257</c:v>
                </c:pt>
                <c:pt idx="355">
                  <c:v>53.933371757707697</c:v>
                </c:pt>
                <c:pt idx="356">
                  <c:v>51.105327577666593</c:v>
                </c:pt>
                <c:pt idx="357">
                  <c:v>45.604530106651417</c:v>
                </c:pt>
                <c:pt idx="358">
                  <c:v>48.456254988661023</c:v>
                </c:pt>
                <c:pt idx="359">
                  <c:v>53.642847613526762</c:v>
                </c:pt>
                <c:pt idx="360">
                  <c:v>51.195808916632799</c:v>
                </c:pt>
                <c:pt idx="361">
                  <c:v>46.565656702686475</c:v>
                </c:pt>
                <c:pt idx="362">
                  <c:v>48.776342448283778</c:v>
                </c:pt>
                <c:pt idx="363">
                  <c:v>52.899127163037271</c:v>
                </c:pt>
                <c:pt idx="364">
                  <c:v>50.77123278929956</c:v>
                </c:pt>
                <c:pt idx="365">
                  <c:v>46.854367700427673</c:v>
                </c:pt>
                <c:pt idx="366">
                  <c:v>48.536255705679039</c:v>
                </c:pt>
                <c:pt idx="367">
                  <c:v>51.7813661534449</c:v>
                </c:pt>
                <c:pt idx="368">
                  <c:v>49.90653546512722</c:v>
                </c:pt>
                <c:pt idx="369">
                  <c:v>46.56477982257541</c:v>
                </c:pt>
                <c:pt idx="370">
                  <c:v>47.804822033960797</c:v>
                </c:pt>
                <c:pt idx="371">
                  <c:v>50.322875869294229</c:v>
                </c:pt>
                <c:pt idx="372">
                  <c:v>48.647497127370819</c:v>
                </c:pt>
                <c:pt idx="373">
                  <c:v>45.769815295812748</c:v>
                </c:pt>
                <c:pt idx="374">
                  <c:v>46.642412653154274</c:v>
                </c:pt>
                <c:pt idx="375">
                  <c:v>48.560690219145307</c:v>
                </c:pt>
                <c:pt idx="376">
                  <c:v>47.045319744847355</c:v>
                </c:pt>
                <c:pt idx="377">
                  <c:v>44.545536301296131</c:v>
                </c:pt>
                <c:pt idx="378">
                  <c:v>45.116466872181896</c:v>
                </c:pt>
                <c:pt idx="379">
                  <c:v>46.544055975134306</c:v>
                </c:pt>
                <c:pt idx="380">
                  <c:v>45.161207854275212</c:v>
                </c:pt>
                <c:pt idx="381">
                  <c:v>42.973438200662407</c:v>
                </c:pt>
                <c:pt idx="382">
                  <c:v>43.301038279795804</c:v>
                </c:pt>
                <c:pt idx="383">
                  <c:v>44.331508641549483</c:v>
                </c:pt>
                <c:pt idx="384">
                  <c:v>43.062682455518512</c:v>
                </c:pt>
                <c:pt idx="385">
                  <c:v>41.136715593844215</c:v>
                </c:pt>
                <c:pt idx="386">
                  <c:v>41.272192498601456</c:v>
                </c:pt>
                <c:pt idx="387">
                  <c:v>41.985305683771337</c:v>
                </c:pt>
                <c:pt idx="388">
                  <c:v>40.818212540803415</c:v>
                </c:pt>
                <c:pt idx="389">
                  <c:v>39.115503034099575</c:v>
                </c:pt>
                <c:pt idx="390">
                  <c:v>39.103055761407717</c:v>
                </c:pt>
                <c:pt idx="391">
                  <c:v>39.566106069237776</c:v>
                </c:pt>
                <c:pt idx="392">
                  <c:v>38.492401915094561</c:v>
                </c:pt>
                <c:pt idx="393">
                  <c:v>36.98284577276074</c:v>
                </c:pt>
                <c:pt idx="394">
                  <c:v>36.859865198643092</c:v>
                </c:pt>
                <c:pt idx="395">
                  <c:v>37.128915246409171</c:v>
                </c:pt>
                <c:pt idx="396">
                  <c:v>36.142512422320955</c:v>
                </c:pt>
                <c:pt idx="397">
                  <c:v>34.801998436332021</c:v>
                </c:pt>
                <c:pt idx="398">
                  <c:v>34.599440577259692</c:v>
                </c:pt>
                <c:pt idx="399">
                  <c:v>34.720555837687748</c:v>
                </c:pt>
                <c:pt idx="400">
                  <c:v>33.816472950052969</c:v>
                </c:pt>
                <c:pt idx="401">
                  <c:v>32.625115682781882</c:v>
                </c:pt>
                <c:pt idx="402">
                  <c:v>32.368047267413104</c:v>
                </c:pt>
                <c:pt idx="403">
                  <c:v>32.378546048514131</c:v>
                </c:pt>
                <c:pt idx="404">
                  <c:v>31.552202265677376</c:v>
                </c:pt>
                <c:pt idx="405">
                  <c:v>30.493125841291331</c:v>
                </c:pt>
                <c:pt idx="406">
                  <c:v>30.201394229803089</c:v>
                </c:pt>
                <c:pt idx="407">
                  <c:v>30.131085578303836</c:v>
                </c:pt>
                <c:pt idx="408">
                  <c:v>29.37792744414412</c:v>
                </c:pt>
                <c:pt idx="409">
                  <c:v>28.436463588219432</c:v>
                </c:pt>
                <c:pt idx="410">
                  <c:v>28.125427593702778</c:v>
                </c:pt>
                <c:pt idx="411">
                  <c:v>27.997795279202709</c:v>
                </c:pt>
                <c:pt idx="412">
                  <c:v>27.313149572364544</c:v>
                </c:pt>
                <c:pt idx="413">
                  <c:v>26.476327307331982</c:v>
                </c:pt>
                <c:pt idx="414">
                  <c:v>26.157589827119391</c:v>
                </c:pt>
                <c:pt idx="415">
                  <c:v>25.990884233008661</c:v>
                </c:pt>
                <c:pt idx="416">
                  <c:v>25.369948612536238</c:v>
                </c:pt>
                <c:pt idx="417">
                  <c:v>24.626176588856698</c:v>
                </c:pt>
                <c:pt idx="418">
                  <c:v>24.308274082048655</c:v>
                </c:pt>
                <c:pt idx="419">
                  <c:v>24.116485883633498</c:v>
                </c:pt>
                <c:pt idx="420">
                  <c:v>23.554391589308544</c:v>
                </c:pt>
                <c:pt idx="421">
                  <c:v>22.893259608321859</c:v>
                </c:pt>
                <c:pt idx="422">
                  <c:v>22.582280063049229</c:v>
                </c:pt>
                <c:pt idx="423">
                  <c:v>22.375983355563044</c:v>
                </c:pt>
                <c:pt idx="424">
                  <c:v>21.867885574085381</c:v>
                </c:pt>
                <c:pt idx="425">
                  <c:v>21.280034796365065</c:v>
                </c:pt>
                <c:pt idx="426">
                  <c:v>20.980150635469165</c:v>
                </c:pt>
                <c:pt idx="427">
                  <c:v>20.767214984176167</c:v>
                </c:pt>
                <c:pt idx="428">
                  <c:v>20.308383910742965</c:v>
                </c:pt>
                <c:pt idx="429">
                  <c:v>19.785413481675107</c:v>
                </c:pt>
                <c:pt idx="430">
                  <c:v>19.499327035669584</c:v>
                </c:pt>
                <c:pt idx="431">
                  <c:v>19.285506328021576</c:v>
                </c:pt>
                <c:pt idx="432">
                  <c:v>18.871404704212473</c:v>
                </c:pt>
                <c:pt idx="433">
                  <c:v>18.405795765397244</c:v>
                </c:pt>
                <c:pt idx="434">
                  <c:v>18.135102270042701</c:v>
                </c:pt>
                <c:pt idx="435">
                  <c:v>17.924513226237579</c:v>
                </c:pt>
                <c:pt idx="436">
                  <c:v>17.550854626334189</c:v>
                </c:pt>
                <c:pt idx="437">
                  <c:v>17.135901563037077</c:v>
                </c:pt>
                <c:pt idx="438">
                  <c:v>16.881378704316298</c:v>
                </c:pt>
                <c:pt idx="439">
                  <c:v>16.676884086532851</c:v>
                </c:pt>
                <c:pt idx="440">
                  <c:v>16.339671348395783</c:v>
                </c:pt>
                <c:pt idx="441">
                  <c:v>15.969415643228295</c:v>
                </c:pt>
                <c:pt idx="442">
                  <c:v>15.731250335902592</c:v>
                </c:pt>
                <c:pt idx="443">
                  <c:v>15.534762113109762</c:v>
                </c:pt>
                <c:pt idx="444">
                  <c:v>15.230308031593106</c:v>
                </c:pt>
                <c:pt idx="445">
                  <c:v>14.899473240899539</c:v>
                </c:pt>
                <c:pt idx="446">
                  <c:v>14.67743641618571</c:v>
                </c:pt>
                <c:pt idx="447">
                  <c:v>14.490153145576791</c:v>
                </c:pt>
                <c:pt idx="448">
                  <c:v>14.215086698586109</c:v>
                </c:pt>
                <c:pt idx="449">
                  <c:v>13.919014661124974</c:v>
                </c:pt>
                <c:pt idx="450">
                  <c:v>13.712594018726129</c:v>
                </c:pt>
                <c:pt idx="451">
                  <c:v>13.535185080830832</c:v>
                </c:pt>
                <c:pt idx="452">
                  <c:v>13.286446672618965</c:v>
                </c:pt>
                <c:pt idx="453">
                  <c:v>13.021035710411228</c:v>
                </c:pt>
                <c:pt idx="454">
                  <c:v>12.829535134025994</c:v>
                </c:pt>
                <c:pt idx="455">
                  <c:v>12.662282608797497</c:v>
                </c:pt>
                <c:pt idx="456">
                  <c:v>12.437111529826835</c:v>
                </c:pt>
                <c:pt idx="457">
                  <c:v>12.198757526898575</c:v>
                </c:pt>
                <c:pt idx="458">
                  <c:v>12.021370476939675</c:v>
                </c:pt>
                <c:pt idx="459">
                  <c:v>11.864277621734532</c:v>
                </c:pt>
                <c:pt idx="460">
                  <c:v>11.660194419728926</c:v>
                </c:pt>
                <c:pt idx="461">
                  <c:v>11.445735533136798</c:v>
                </c:pt>
                <c:pt idx="462">
                  <c:v>11.28159839477062</c:v>
                </c:pt>
                <c:pt idx="463">
                  <c:v>11.134472018027617</c:v>
                </c:pt>
                <c:pt idx="464">
                  <c:v>10.949257916173162</c:v>
                </c:pt>
                <c:pt idx="465">
                  <c:v>10.755923444131291</c:v>
                </c:pt>
                <c:pt idx="466">
                  <c:v>10.60415361391583</c:v>
                </c:pt>
                <c:pt idx="467">
                  <c:v>10.466666190364744</c:v>
                </c:pt>
                <c:pt idx="468">
                  <c:v>10.298341164199757</c:v>
                </c:pt>
                <c:pt idx="469">
                  <c:v>10.123704855170233</c:v>
                </c:pt>
                <c:pt idx="470">
                  <c:v>9.9834273305286949</c:v>
                </c:pt>
                <c:pt idx="471">
                  <c:v>9.8551634880445693</c:v>
                </c:pt>
                <c:pt idx="472">
                  <c:v>9.7019641621275561</c:v>
                </c:pt>
                <c:pt idx="473">
                  <c:v>9.5439020381836368</c:v>
                </c:pt>
                <c:pt idx="474">
                  <c:v>9.414267433018086</c:v>
                </c:pt>
                <c:pt idx="475">
                  <c:v>9.2947584449157077</c:v>
                </c:pt>
                <c:pt idx="476">
                  <c:v>9.1551166053147774</c:v>
                </c:pt>
                <c:pt idx="477">
                  <c:v>9.0117692083844005</c:v>
                </c:pt>
                <c:pt idx="478">
                  <c:v>8.8919654405540314</c:v>
                </c:pt>
                <c:pt idx="479">
                  <c:v>8.7807145549372301</c:v>
                </c:pt>
                <c:pt idx="480">
                  <c:v>8.6532367903354377</c:v>
                </c:pt>
                <c:pt idx="481">
                  <c:v>8.5229756423378564</c:v>
                </c:pt>
                <c:pt idx="482">
                  <c:v>8.4122350024480284</c:v>
                </c:pt>
                <c:pt idx="483">
                  <c:v>8.3087358028179423</c:v>
                </c:pt>
                <c:pt idx="484">
                  <c:v>8.1921845750744531</c:v>
                </c:pt>
                <c:pt idx="485">
                  <c:v>8.0735825669729131</c:v>
                </c:pt>
                <c:pt idx="486">
                  <c:v>7.9711854592714699</c:v>
                </c:pt>
                <c:pt idx="487">
                  <c:v>7.8749349491022631</c:v>
                </c:pt>
                <c:pt idx="488">
                  <c:v>7.7682112407520032</c:v>
                </c:pt>
                <c:pt idx="489">
                  <c:v>7.6600166231932016</c:v>
                </c:pt>
                <c:pt idx="490">
                  <c:v>7.565292946059885</c:v>
                </c:pt>
                <c:pt idx="491">
                  <c:v>7.4758006584195469</c:v>
                </c:pt>
                <c:pt idx="492">
                  <c:v>7.3779282374440642</c:v>
                </c:pt>
                <c:pt idx="493">
                  <c:v>7.2790418687895011</c:v>
                </c:pt>
                <c:pt idx="494">
                  <c:v>7.1913707547774059</c:v>
                </c:pt>
                <c:pt idx="495">
                  <c:v>7.1081648839541032</c:v>
                </c:pt>
                <c:pt idx="496">
                  <c:v>7.0182761542825451</c:v>
                </c:pt>
                <c:pt idx="497">
                  <c:v>6.9277316632068908</c:v>
                </c:pt>
                <c:pt idx="498">
                  <c:v>6.8465401104394346</c:v>
                </c:pt>
                <c:pt idx="499">
                  <c:v>6.7691714273757855</c:v>
                </c:pt>
                <c:pt idx="500">
                  <c:v>6.686494787901772</c:v>
                </c:pt>
                <c:pt idx="501">
                  <c:v>6.6034413213791749</c:v>
                </c:pt>
                <c:pt idx="502">
                  <c:v>6.5282021059514141</c:v>
                </c:pt>
                <c:pt idx="503">
                  <c:v>6.4562462380388874</c:v>
                </c:pt>
                <c:pt idx="504">
                  <c:v>6.3800948462329004</c:v>
                </c:pt>
                <c:pt idx="505">
                  <c:v>6.3037820950211172</c:v>
                </c:pt>
                <c:pt idx="506">
                  <c:v>6.2340112472338802</c:v>
                </c:pt>
                <c:pt idx="507">
                  <c:v>6.1670697636638909</c:v>
                </c:pt>
                <c:pt idx="508">
                  <c:v>6.0968315865306799</c:v>
                </c:pt>
                <c:pt idx="509">
                  <c:v>6.0265968057463173</c:v>
                </c:pt>
                <c:pt idx="510">
                  <c:v>5.9618508531398069</c:v>
                </c:pt>
                <c:pt idx="511">
                  <c:v>5.899551490071496</c:v>
                </c:pt>
                <c:pt idx="512">
                  <c:v>5.8346805210321699</c:v>
                </c:pt>
                <c:pt idx="513">
                  <c:v>5.7699372906246209</c:v>
                </c:pt>
                <c:pt idx="514">
                  <c:v>5.7098104113701718</c:v>
                </c:pt>
                <c:pt idx="515">
                  <c:v>5.6518066892479624</c:v>
                </c:pt>
                <c:pt idx="516">
                  <c:v>5.5918152114038993</c:v>
                </c:pt>
                <c:pt idx="517">
                  <c:v>5.5320437085940366</c:v>
                </c:pt>
                <c:pt idx="518">
                  <c:v>5.4761648948439374</c:v>
                </c:pt>
                <c:pt idx="519">
                  <c:v>5.4221353175216818</c:v>
                </c:pt>
                <c:pt idx="520">
                  <c:v>5.3665870994311602</c:v>
                </c:pt>
                <c:pt idx="521">
                  <c:v>5.311325681385866</c:v>
                </c:pt>
                <c:pt idx="522">
                  <c:v>5.2593559798449308</c:v>
                </c:pt>
                <c:pt idx="523">
                  <c:v>5.2090029572932348</c:v>
                </c:pt>
                <c:pt idx="524">
                  <c:v>5.1575072752647104</c:v>
                </c:pt>
                <c:pt idx="525">
                  <c:v>5.1063451947673197</c:v>
                </c:pt>
                <c:pt idx="526">
                  <c:v>5.0579750681265807</c:v>
                </c:pt>
                <c:pt idx="527">
                  <c:v>5.0110236679789883</c:v>
                </c:pt>
                <c:pt idx="528">
                  <c:v>4.96323005785072</c:v>
                </c:pt>
                <c:pt idx="529">
                  <c:v>4.9158011571460234</c:v>
                </c:pt>
                <c:pt idx="530">
                  <c:v>4.8707479929057778</c:v>
                </c:pt>
                <c:pt idx="531">
                  <c:v>4.826944598294034</c:v>
                </c:pt>
                <c:pt idx="532">
                  <c:v>4.7825382489807442</c:v>
                </c:pt>
                <c:pt idx="533">
                  <c:v>4.7385154971822878</c:v>
                </c:pt>
                <c:pt idx="534">
                  <c:v>4.6965212781248811</c:v>
                </c:pt>
                <c:pt idx="535">
                  <c:v>4.6556322081301325</c:v>
                </c:pt>
                <c:pt idx="536">
                  <c:v>4.6143299183867832</c:v>
                </c:pt>
                <c:pt idx="537">
                  <c:v>4.5734206758357034</c:v>
                </c:pt>
                <c:pt idx="538">
                  <c:v>4.5342498177372113</c:v>
                </c:pt>
                <c:pt idx="539">
                  <c:v>4.4960599507822501</c:v>
                </c:pt>
                <c:pt idx="540">
                  <c:v>4.4576065793605508</c:v>
                </c:pt>
                <c:pt idx="541">
                  <c:v>4.4195484882125751</c:v>
                </c:pt>
                <c:pt idx="542">
                  <c:v>4.3829858443662504</c:v>
                </c:pt>
                <c:pt idx="543">
                  <c:v>4.3472972727951387</c:v>
                </c:pt>
                <c:pt idx="544">
                  <c:v>4.3114626202770738</c:v>
                </c:pt>
                <c:pt idx="545">
                  <c:v>4.2760200345127268</c:v>
                </c:pt>
                <c:pt idx="546">
                  <c:v>4.2418690625722961</c:v>
                </c:pt>
                <c:pt idx="547">
                  <c:v>4.2084997975877627</c:v>
                </c:pt>
                <c:pt idx="548">
                  <c:v>4.1750758655884628</c:v>
                </c:pt>
                <c:pt idx="549">
                  <c:v>4.1420367457643543</c:v>
                </c:pt>
                <c:pt idx="550">
                  <c:v>4.1101178297754162</c:v>
                </c:pt>
                <c:pt idx="551">
                  <c:v>4.078900569125107</c:v>
                </c:pt>
                <c:pt idx="552">
                  <c:v>4.0476991492391647</c:v>
                </c:pt>
                <c:pt idx="553">
                  <c:v>4.0168723578079835</c:v>
                </c:pt>
                <c:pt idx="554">
                  <c:v>3.9870212766882371</c:v>
                </c:pt>
                <c:pt idx="555">
                  <c:v>3.9578022424655308</c:v>
                </c:pt>
                <c:pt idx="556">
                  <c:v>3.9286527932999129</c:v>
                </c:pt>
                <c:pt idx="557">
                  <c:v>3.8998657354042763</c:v>
                </c:pt>
                <c:pt idx="558">
                  <c:v>3.8719322682662862</c:v>
                </c:pt>
                <c:pt idx="559">
                  <c:v>3.8445701185038792</c:v>
                </c:pt>
                <c:pt idx="560">
                  <c:v>3.8173178944329003</c:v>
                </c:pt>
                <c:pt idx="561">
                  <c:v>3.7904144568957387</c:v>
                </c:pt>
                <c:pt idx="562">
                  <c:v>3.7642611152628804</c:v>
                </c:pt>
                <c:pt idx="563">
                  <c:v>3.7386259303268718</c:v>
                </c:pt>
                <c:pt idx="564">
                  <c:v>3.7131303302701877</c:v>
                </c:pt>
                <c:pt idx="565">
                  <c:v>3.6879690782214665</c:v>
                </c:pt>
                <c:pt idx="566">
                  <c:v>3.6634699552084058</c:v>
                </c:pt>
                <c:pt idx="567">
                  <c:v>3.6394422981023591</c:v>
                </c:pt>
                <c:pt idx="568">
                  <c:v>3.6155754067209815</c:v>
                </c:pt>
                <c:pt idx="569">
                  <c:v>3.5920280030618925</c:v>
                </c:pt>
                <c:pt idx="570">
                  <c:v>3.5690677298581721</c:v>
                </c:pt>
                <c:pt idx="571">
                  <c:v>3.5465377782308849</c:v>
                </c:pt>
                <c:pt idx="572">
                  <c:v>3.5241830755165129</c:v>
                </c:pt>
                <c:pt idx="573">
                  <c:v>3.5021328933576141</c:v>
                </c:pt>
                <c:pt idx="574">
                  <c:v>3.4806056937801162</c:v>
                </c:pt>
                <c:pt idx="575">
                  <c:v>3.4594724405536899</c:v>
                </c:pt>
                <c:pt idx="576">
                  <c:v>3.4385236589090229</c:v>
                </c:pt>
                <c:pt idx="577">
                  <c:v>3.4178645613422849</c:v>
                </c:pt>
                <c:pt idx="578">
                  <c:v>3.397673395747776</c:v>
                </c:pt>
                <c:pt idx="579">
                  <c:v>3.3778439147321326</c:v>
                </c:pt>
                <c:pt idx="580">
                  <c:v>3.3582040253574426</c:v>
                </c:pt>
                <c:pt idx="581">
                  <c:v>3.3388392905349153</c:v>
                </c:pt>
                <c:pt idx="582">
                  <c:v>3.3198950809621133</c:v>
                </c:pt>
                <c:pt idx="583">
                  <c:v>3.3012838535140445</c:v>
                </c:pt>
                <c:pt idx="584">
                  <c:v>3.282864166276743</c:v>
                </c:pt>
                <c:pt idx="585">
                  <c:v>3.2647055388575219</c:v>
                </c:pt>
                <c:pt idx="586">
                  <c:v>3.2469264678677843</c:v>
                </c:pt>
                <c:pt idx="587">
                  <c:v>3.2294547665215259</c:v>
                </c:pt>
                <c:pt idx="588">
                  <c:v>3.212174129535744</c:v>
                </c:pt>
                <c:pt idx="589">
                  <c:v>3.1951409822041175</c:v>
                </c:pt>
                <c:pt idx="590">
                  <c:v>3.178451858488748</c:v>
                </c:pt>
                <c:pt idx="591">
                  <c:v>3.1620471834816177</c:v>
                </c:pt>
                <c:pt idx="592">
                  <c:v>3.1458312704031512</c:v>
                </c:pt>
                <c:pt idx="593">
                  <c:v>3.1298498614196042</c:v>
                </c:pt>
                <c:pt idx="594">
                  <c:v>3.1141815458247817</c:v>
                </c:pt>
                <c:pt idx="595">
                  <c:v>3.0987771105279669</c:v>
                </c:pt>
                <c:pt idx="596">
                  <c:v>3.0835577851122715</c:v>
                </c:pt>
                <c:pt idx="597">
                  <c:v>3.0685605997913368</c:v>
                </c:pt>
                <c:pt idx="598">
                  <c:v>3.0538494859691903</c:v>
                </c:pt>
                <c:pt idx="599">
                  <c:v>3.0393837473819501</c:v>
                </c:pt>
                <c:pt idx="600">
                  <c:v>3.0250984961900707</c:v>
                </c:pt>
                <c:pt idx="601">
                  <c:v>3.0110236618531121</c:v>
                </c:pt>
                <c:pt idx="602">
                  <c:v>2.9972112062733327</c:v>
                </c:pt>
                <c:pt idx="603">
                  <c:v>2.9836274369272258</c:v>
                </c:pt>
                <c:pt idx="604">
                  <c:v>2.9702188622242121</c:v>
                </c:pt>
                <c:pt idx="605">
                  <c:v>2.957009627592015</c:v>
                </c:pt>
                <c:pt idx="606">
                  <c:v>2.9440419241394586</c:v>
                </c:pt>
                <c:pt idx="607">
                  <c:v>2.9312878219719023</c:v>
                </c:pt>
                <c:pt idx="608">
                  <c:v>2.9187031878681884</c:v>
                </c:pt>
                <c:pt idx="609">
                  <c:v>2.9063074590728677</c:v>
                </c:pt>
                <c:pt idx="610">
                  <c:v>2.894134853911476</c:v>
                </c:pt>
                <c:pt idx="611">
                  <c:v>2.8821621868931482</c:v>
                </c:pt>
                <c:pt idx="612">
                  <c:v>2.8703530126523811</c:v>
                </c:pt>
                <c:pt idx="613">
                  <c:v>2.8587229390903692</c:v>
                </c:pt>
                <c:pt idx="614">
                  <c:v>2.8472996818923999</c:v>
                </c:pt>
                <c:pt idx="615">
                  <c:v>2.8360639644222352</c:v>
                </c:pt>
                <c:pt idx="616">
                  <c:v>2.8249856596171798</c:v>
                </c:pt>
                <c:pt idx="617">
                  <c:v>2.8140772637604372</c:v>
                </c:pt>
                <c:pt idx="618">
                  <c:v>2.8033611917834889</c:v>
                </c:pt>
                <c:pt idx="619">
                  <c:v>2.7928213900919969</c:v>
                </c:pt>
                <c:pt idx="620">
                  <c:v>2.782432926949042</c:v>
                </c:pt>
                <c:pt idx="621">
                  <c:v>2.7722057730016032</c:v>
                </c:pt>
                <c:pt idx="622">
                  <c:v>2.7621580248457183</c:v>
                </c:pt>
                <c:pt idx="623">
                  <c:v>2.7522762888680505</c:v>
                </c:pt>
                <c:pt idx="624">
                  <c:v>2.7425399077139012</c:v>
                </c:pt>
                <c:pt idx="625">
                  <c:v>2.7329568046639627</c:v>
                </c:pt>
                <c:pt idx="626">
                  <c:v>2.7235415608590934</c:v>
                </c:pt>
                <c:pt idx="627">
                  <c:v>2.7142829802505344</c:v>
                </c:pt>
                <c:pt idx="628">
                  <c:v>2.7051639244737284</c:v>
                </c:pt>
                <c:pt idx="629">
                  <c:v>2.6961906596632632</c:v>
                </c:pt>
                <c:pt idx="630">
                  <c:v>2.6873749075258346</c:v>
                </c:pt>
                <c:pt idx="631">
                  <c:v>2.6787072896926252</c:v>
                </c:pt>
                <c:pt idx="632">
                  <c:v>2.6701735670673679</c:v>
                </c:pt>
                <c:pt idx="633">
                  <c:v>2.6617786668949281</c:v>
                </c:pt>
                <c:pt idx="634">
                  <c:v>2.653531987353162</c:v>
                </c:pt>
                <c:pt idx="635">
                  <c:v>2.6454256555596194</c:v>
                </c:pt>
                <c:pt idx="636">
                  <c:v>2.6374478231589822</c:v>
                </c:pt>
                <c:pt idx="637">
                  <c:v>2.6296023379583962</c:v>
                </c:pt>
                <c:pt idx="638">
                  <c:v>2.6218967122818437</c:v>
                </c:pt>
                <c:pt idx="639">
                  <c:v>2.6143243220701375</c:v>
                </c:pt>
                <c:pt idx="640">
                  <c:v>2.6068752923272624</c:v>
                </c:pt>
                <c:pt idx="641">
                  <c:v>2.5995526028347258</c:v>
                </c:pt>
                <c:pt idx="642">
                  <c:v>2.5923622374162734</c:v>
                </c:pt>
                <c:pt idx="643">
                  <c:v>2.585298609738035</c:v>
                </c:pt>
                <c:pt idx="644">
                  <c:v>2.5783534755040547</c:v>
                </c:pt>
                <c:pt idx="645">
                  <c:v>2.5715291186471223</c:v>
                </c:pt>
                <c:pt idx="646">
                  <c:v>2.5648302861774175</c:v>
                </c:pt>
                <c:pt idx="647">
                  <c:v>2.5582522557867717</c:v>
                </c:pt>
                <c:pt idx="648">
                  <c:v>2.551788132488392</c:v>
                </c:pt>
                <c:pt idx="649">
                  <c:v>2.5454396445092708</c:v>
                </c:pt>
                <c:pt idx="650">
                  <c:v>2.53921054005643</c:v>
                </c:pt>
                <c:pt idx="651">
                  <c:v>2.5330968178525066</c:v>
                </c:pt>
                <c:pt idx="652">
                  <c:v>2.52709270107521</c:v>
                </c:pt>
                <c:pt idx="653">
                  <c:v>2.5211994762437517</c:v>
                </c:pt>
                <c:pt idx="654">
                  <c:v>2.5154200869067793</c:v>
                </c:pt>
                <c:pt idx="655">
                  <c:v>2.5097511350410078</c:v>
                </c:pt>
                <c:pt idx="656">
                  <c:v>2.5041877720599222</c:v>
                </c:pt>
                <c:pt idx="657">
                  <c:v>2.4987309354437337</c:v>
                </c:pt>
                <c:pt idx="658">
                  <c:v>2.493382922388343</c:v>
                </c:pt>
                <c:pt idx="659">
                  <c:v>2.4881408410684038</c:v>
                </c:pt>
                <c:pt idx="660">
                  <c:v>2.4830006150215658</c:v>
                </c:pt>
                <c:pt idx="661">
                  <c:v>2.4779629079660355</c:v>
                </c:pt>
                <c:pt idx="662">
                  <c:v>2.473029499777911</c:v>
                </c:pt>
                <c:pt idx="663">
                  <c:v>2.4681979248069288</c:v>
                </c:pt>
                <c:pt idx="664">
                  <c:v>2.4634647503580203</c:v>
                </c:pt>
                <c:pt idx="665">
                  <c:v>2.4588304274916788</c:v>
                </c:pt>
                <c:pt idx="666">
                  <c:v>2.4542963238961097</c:v>
                </c:pt>
                <c:pt idx="667">
                  <c:v>2.4498603340833451</c:v>
                </c:pt>
                <c:pt idx="668">
                  <c:v>2.4455195635557501</c:v>
                </c:pt>
                <c:pt idx="669">
                  <c:v>2.4412743002791921</c:v>
                </c:pt>
                <c:pt idx="670">
                  <c:v>2.4371255853788711</c:v>
                </c:pt>
                <c:pt idx="671">
                  <c:v>2.4330716190474009</c:v>
                </c:pt>
                <c:pt idx="672">
                  <c:v>2.4291099581308897</c:v>
                </c:pt>
                <c:pt idx="673">
                  <c:v>2.4252407676734151</c:v>
                </c:pt>
                <c:pt idx="674">
                  <c:v>2.4214648319491405</c:v>
                </c:pt>
                <c:pt idx="675">
                  <c:v>2.4177806118476854</c:v>
                </c:pt>
                <c:pt idx="676">
                  <c:v>2.4141860440852509</c:v>
                </c:pt>
                <c:pt idx="677">
                  <c:v>2.410681203324712</c:v>
                </c:pt>
                <c:pt idx="678">
                  <c:v>2.4072666737278849</c:v>
                </c:pt>
                <c:pt idx="679">
                  <c:v>2.4039411397287145</c:v>
                </c:pt>
                <c:pt idx="680">
                  <c:v>2.4007028590857979</c:v>
                </c:pt>
                <c:pt idx="681">
                  <c:v>2.397551842425834</c:v>
                </c:pt>
                <c:pt idx="682">
                  <c:v>2.3944885199680317</c:v>
                </c:pt>
                <c:pt idx="683">
                  <c:v>2.3915117690014287</c:v>
                </c:pt>
                <c:pt idx="684">
                  <c:v>2.3886201199044987</c:v>
                </c:pt>
                <c:pt idx="685">
                  <c:v>2.3858135405913581</c:v>
                </c:pt>
                <c:pt idx="686">
                  <c:v>2.3830923449057368</c:v>
                </c:pt>
                <c:pt idx="687">
                  <c:v>2.3804555776444873</c:v>
                </c:pt>
                <c:pt idx="688">
                  <c:v>2.3779020019521333</c:v>
                </c:pt>
                <c:pt idx="689">
                  <c:v>2.3754315602918288</c:v>
                </c:pt>
                <c:pt idx="690">
                  <c:v>2.3730444807046296</c:v>
                </c:pt>
                <c:pt idx="691">
                  <c:v>2.3707399545700194</c:v>
                </c:pt>
                <c:pt idx="692">
                  <c:v>2.3685169450083703</c:v>
                </c:pt>
                <c:pt idx="693">
                  <c:v>2.3663753830156833</c:v>
                </c:pt>
                <c:pt idx="694">
                  <c:v>2.364315435724214</c:v>
                </c:pt>
                <c:pt idx="695">
                  <c:v>2.362336423838693</c:v>
                </c:pt>
                <c:pt idx="696">
                  <c:v>2.3604374834953532</c:v>
                </c:pt>
                <c:pt idx="697">
                  <c:v>2.3586185455700237</c:v>
                </c:pt>
                <c:pt idx="698">
                  <c:v>2.356879736577107</c:v>
                </c:pt>
                <c:pt idx="699">
                  <c:v>2.3552204923385403</c:v>
                </c:pt>
                <c:pt idx="700">
                  <c:v>2.3536400998660807</c:v>
                </c:pt>
                <c:pt idx="701">
                  <c:v>2.3521384991496102</c:v>
                </c:pt>
                <c:pt idx="702">
                  <c:v>2.3507157926540652</c:v>
                </c:pt>
                <c:pt idx="703">
                  <c:v>2.3493715196530469</c:v>
                </c:pt>
                <c:pt idx="704">
                  <c:v>2.3481050998853075</c:v>
                </c:pt>
                <c:pt idx="705">
                  <c:v>2.3469164900049955</c:v>
                </c:pt>
                <c:pt idx="706">
                  <c:v>2.3458057819939429</c:v>
                </c:pt>
                <c:pt idx="707">
                  <c:v>2.3447726090392154</c:v>
                </c:pt>
                <c:pt idx="708">
                  <c:v>2.3438165087719822</c:v>
                </c:pt>
                <c:pt idx="709">
                  <c:v>2.3429374607279079</c:v>
                </c:pt>
                <c:pt idx="710">
                  <c:v>2.3421355575600464</c:v>
                </c:pt>
                <c:pt idx="711">
                  <c:v>2.3414105186183516</c:v>
                </c:pt>
                <c:pt idx="712">
                  <c:v>2.3407619873510757</c:v>
                </c:pt>
                <c:pt idx="713">
                  <c:v>2.3401899713474181</c:v>
                </c:pt>
                <c:pt idx="714">
                  <c:v>2.3396945731574346</c:v>
                </c:pt>
                <c:pt idx="715">
                  <c:v>2.3392755920534061</c:v>
                </c:pt>
                <c:pt idx="716">
                  <c:v>2.3389327675310168</c:v>
                </c:pt>
                <c:pt idx="717">
                  <c:v>2.3386661395960742</c:v>
                </c:pt>
                <c:pt idx="718">
                  <c:v>2.338475828389516</c:v>
                </c:pt>
                <c:pt idx="719">
                  <c:v>2.3383617081489683</c:v>
                </c:pt>
                <c:pt idx="720">
                  <c:v>2.3383236065832111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0D-4919-A9BA-4C3D9B030F49}"/>
            </c:ext>
          </c:extLst>
        </c:ser>
        <c:ser>
          <c:idx val="2"/>
          <c:order val="2"/>
          <c:tx>
            <c:v>Zc · demasiado retardado</c:v>
          </c:tx>
          <c:spPr>
            <a:ln w="24120">
              <a:solidFill>
                <a:srgbClr val="E0202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Tres_avances!$N$5:$N$725</c:f>
              <c:numCache>
                <c:formatCode>0.0</c:formatCode>
                <c:ptCount val="721"/>
                <c:pt idx="0">
                  <c:v>180</c:v>
                </c:pt>
                <c:pt idx="1">
                  <c:v>179.5</c:v>
                </c:pt>
                <c:pt idx="2">
                  <c:v>179</c:v>
                </c:pt>
                <c:pt idx="3">
                  <c:v>178.5</c:v>
                </c:pt>
                <c:pt idx="4">
                  <c:v>178</c:v>
                </c:pt>
                <c:pt idx="5">
                  <c:v>177.5</c:v>
                </c:pt>
                <c:pt idx="6">
                  <c:v>177</c:v>
                </c:pt>
                <c:pt idx="7">
                  <c:v>176.5</c:v>
                </c:pt>
                <c:pt idx="8">
                  <c:v>176</c:v>
                </c:pt>
                <c:pt idx="9">
                  <c:v>175.5</c:v>
                </c:pt>
                <c:pt idx="10">
                  <c:v>175</c:v>
                </c:pt>
                <c:pt idx="11">
                  <c:v>174.5</c:v>
                </c:pt>
                <c:pt idx="12">
                  <c:v>174</c:v>
                </c:pt>
                <c:pt idx="13">
                  <c:v>173.5</c:v>
                </c:pt>
                <c:pt idx="14">
                  <c:v>173</c:v>
                </c:pt>
                <c:pt idx="15">
                  <c:v>172.5</c:v>
                </c:pt>
                <c:pt idx="16">
                  <c:v>172</c:v>
                </c:pt>
                <c:pt idx="17">
                  <c:v>171.5</c:v>
                </c:pt>
                <c:pt idx="18">
                  <c:v>171</c:v>
                </c:pt>
                <c:pt idx="19">
                  <c:v>170.5</c:v>
                </c:pt>
                <c:pt idx="20">
                  <c:v>170</c:v>
                </c:pt>
                <c:pt idx="21">
                  <c:v>169.5</c:v>
                </c:pt>
                <c:pt idx="22">
                  <c:v>169</c:v>
                </c:pt>
                <c:pt idx="23">
                  <c:v>168.5</c:v>
                </c:pt>
                <c:pt idx="24">
                  <c:v>168</c:v>
                </c:pt>
                <c:pt idx="25">
                  <c:v>167.5</c:v>
                </c:pt>
                <c:pt idx="26">
                  <c:v>167</c:v>
                </c:pt>
                <c:pt idx="27">
                  <c:v>166.5</c:v>
                </c:pt>
                <c:pt idx="28">
                  <c:v>166</c:v>
                </c:pt>
                <c:pt idx="29">
                  <c:v>165.5</c:v>
                </c:pt>
                <c:pt idx="30">
                  <c:v>165</c:v>
                </c:pt>
                <c:pt idx="31">
                  <c:v>164.5</c:v>
                </c:pt>
                <c:pt idx="32">
                  <c:v>164</c:v>
                </c:pt>
                <c:pt idx="33">
                  <c:v>163.5</c:v>
                </c:pt>
                <c:pt idx="34">
                  <c:v>163</c:v>
                </c:pt>
                <c:pt idx="35">
                  <c:v>162.5</c:v>
                </c:pt>
                <c:pt idx="36">
                  <c:v>162</c:v>
                </c:pt>
                <c:pt idx="37">
                  <c:v>161.5</c:v>
                </c:pt>
                <c:pt idx="38">
                  <c:v>161</c:v>
                </c:pt>
                <c:pt idx="39">
                  <c:v>160.5</c:v>
                </c:pt>
                <c:pt idx="40">
                  <c:v>160</c:v>
                </c:pt>
                <c:pt idx="41">
                  <c:v>159.5</c:v>
                </c:pt>
                <c:pt idx="42">
                  <c:v>159</c:v>
                </c:pt>
                <c:pt idx="43">
                  <c:v>158.5</c:v>
                </c:pt>
                <c:pt idx="44">
                  <c:v>158</c:v>
                </c:pt>
                <c:pt idx="45">
                  <c:v>157.5</c:v>
                </c:pt>
                <c:pt idx="46">
                  <c:v>157</c:v>
                </c:pt>
                <c:pt idx="47">
                  <c:v>156.5</c:v>
                </c:pt>
                <c:pt idx="48">
                  <c:v>156</c:v>
                </c:pt>
                <c:pt idx="49">
                  <c:v>155.5</c:v>
                </c:pt>
                <c:pt idx="50">
                  <c:v>155</c:v>
                </c:pt>
                <c:pt idx="51">
                  <c:v>154.5</c:v>
                </c:pt>
                <c:pt idx="52">
                  <c:v>154</c:v>
                </c:pt>
                <c:pt idx="53">
                  <c:v>153.5</c:v>
                </c:pt>
                <c:pt idx="54">
                  <c:v>153</c:v>
                </c:pt>
                <c:pt idx="55">
                  <c:v>152.5</c:v>
                </c:pt>
                <c:pt idx="56">
                  <c:v>152</c:v>
                </c:pt>
                <c:pt idx="57">
                  <c:v>151.5</c:v>
                </c:pt>
                <c:pt idx="58">
                  <c:v>151</c:v>
                </c:pt>
                <c:pt idx="59">
                  <c:v>150.5</c:v>
                </c:pt>
                <c:pt idx="60">
                  <c:v>150</c:v>
                </c:pt>
                <c:pt idx="61">
                  <c:v>149.5</c:v>
                </c:pt>
                <c:pt idx="62">
                  <c:v>149</c:v>
                </c:pt>
                <c:pt idx="63">
                  <c:v>148.5</c:v>
                </c:pt>
                <c:pt idx="64">
                  <c:v>148</c:v>
                </c:pt>
                <c:pt idx="65">
                  <c:v>147.5</c:v>
                </c:pt>
                <c:pt idx="66">
                  <c:v>147</c:v>
                </c:pt>
                <c:pt idx="67">
                  <c:v>146.5</c:v>
                </c:pt>
                <c:pt idx="68">
                  <c:v>146</c:v>
                </c:pt>
                <c:pt idx="69">
                  <c:v>145.5</c:v>
                </c:pt>
                <c:pt idx="70">
                  <c:v>145</c:v>
                </c:pt>
                <c:pt idx="71">
                  <c:v>144.5</c:v>
                </c:pt>
                <c:pt idx="72">
                  <c:v>144</c:v>
                </c:pt>
                <c:pt idx="73">
                  <c:v>143.5</c:v>
                </c:pt>
                <c:pt idx="74">
                  <c:v>143</c:v>
                </c:pt>
                <c:pt idx="75">
                  <c:v>142.5</c:v>
                </c:pt>
                <c:pt idx="76">
                  <c:v>142</c:v>
                </c:pt>
                <c:pt idx="77">
                  <c:v>141.5</c:v>
                </c:pt>
                <c:pt idx="78">
                  <c:v>141</c:v>
                </c:pt>
                <c:pt idx="79">
                  <c:v>140.5</c:v>
                </c:pt>
                <c:pt idx="80">
                  <c:v>140</c:v>
                </c:pt>
                <c:pt idx="81">
                  <c:v>139.5</c:v>
                </c:pt>
                <c:pt idx="82">
                  <c:v>139</c:v>
                </c:pt>
                <c:pt idx="83">
                  <c:v>138.5</c:v>
                </c:pt>
                <c:pt idx="84">
                  <c:v>138</c:v>
                </c:pt>
                <c:pt idx="85">
                  <c:v>137.5</c:v>
                </c:pt>
                <c:pt idx="86">
                  <c:v>137</c:v>
                </c:pt>
                <c:pt idx="87">
                  <c:v>136.5</c:v>
                </c:pt>
                <c:pt idx="88">
                  <c:v>136</c:v>
                </c:pt>
                <c:pt idx="89">
                  <c:v>135.5</c:v>
                </c:pt>
                <c:pt idx="90">
                  <c:v>135</c:v>
                </c:pt>
                <c:pt idx="91">
                  <c:v>134.5</c:v>
                </c:pt>
                <c:pt idx="92">
                  <c:v>134</c:v>
                </c:pt>
                <c:pt idx="93">
                  <c:v>133.5</c:v>
                </c:pt>
                <c:pt idx="94">
                  <c:v>133</c:v>
                </c:pt>
                <c:pt idx="95">
                  <c:v>132.5</c:v>
                </c:pt>
                <c:pt idx="96">
                  <c:v>132</c:v>
                </c:pt>
                <c:pt idx="97">
                  <c:v>131.5</c:v>
                </c:pt>
                <c:pt idx="98">
                  <c:v>131</c:v>
                </c:pt>
                <c:pt idx="99">
                  <c:v>130.5</c:v>
                </c:pt>
                <c:pt idx="100">
                  <c:v>130</c:v>
                </c:pt>
                <c:pt idx="101">
                  <c:v>129.5</c:v>
                </c:pt>
                <c:pt idx="102">
                  <c:v>129</c:v>
                </c:pt>
                <c:pt idx="103">
                  <c:v>128.5</c:v>
                </c:pt>
                <c:pt idx="104">
                  <c:v>128</c:v>
                </c:pt>
                <c:pt idx="105">
                  <c:v>127.5</c:v>
                </c:pt>
                <c:pt idx="106">
                  <c:v>127</c:v>
                </c:pt>
                <c:pt idx="107">
                  <c:v>126.5</c:v>
                </c:pt>
                <c:pt idx="108">
                  <c:v>126</c:v>
                </c:pt>
                <c:pt idx="109">
                  <c:v>125.5</c:v>
                </c:pt>
                <c:pt idx="110">
                  <c:v>125</c:v>
                </c:pt>
                <c:pt idx="111">
                  <c:v>124.5</c:v>
                </c:pt>
                <c:pt idx="112">
                  <c:v>124</c:v>
                </c:pt>
                <c:pt idx="113">
                  <c:v>123.5</c:v>
                </c:pt>
                <c:pt idx="114">
                  <c:v>123</c:v>
                </c:pt>
                <c:pt idx="115">
                  <c:v>122.5</c:v>
                </c:pt>
                <c:pt idx="116">
                  <c:v>122</c:v>
                </c:pt>
                <c:pt idx="117">
                  <c:v>121.5</c:v>
                </c:pt>
                <c:pt idx="118">
                  <c:v>121</c:v>
                </c:pt>
                <c:pt idx="119">
                  <c:v>120.5</c:v>
                </c:pt>
                <c:pt idx="120">
                  <c:v>120</c:v>
                </c:pt>
                <c:pt idx="121">
                  <c:v>119.5</c:v>
                </c:pt>
                <c:pt idx="122">
                  <c:v>119</c:v>
                </c:pt>
                <c:pt idx="123">
                  <c:v>118.5</c:v>
                </c:pt>
                <c:pt idx="124">
                  <c:v>118</c:v>
                </c:pt>
                <c:pt idx="125">
                  <c:v>117.5</c:v>
                </c:pt>
                <c:pt idx="126">
                  <c:v>117</c:v>
                </c:pt>
                <c:pt idx="127">
                  <c:v>116.5</c:v>
                </c:pt>
                <c:pt idx="128">
                  <c:v>116</c:v>
                </c:pt>
                <c:pt idx="129">
                  <c:v>115.5</c:v>
                </c:pt>
                <c:pt idx="130">
                  <c:v>115</c:v>
                </c:pt>
                <c:pt idx="131">
                  <c:v>114.5</c:v>
                </c:pt>
                <c:pt idx="132">
                  <c:v>114</c:v>
                </c:pt>
                <c:pt idx="133">
                  <c:v>113.5</c:v>
                </c:pt>
                <c:pt idx="134">
                  <c:v>113</c:v>
                </c:pt>
                <c:pt idx="135">
                  <c:v>112.5</c:v>
                </c:pt>
                <c:pt idx="136">
                  <c:v>112</c:v>
                </c:pt>
                <c:pt idx="137">
                  <c:v>111.5</c:v>
                </c:pt>
                <c:pt idx="138">
                  <c:v>111</c:v>
                </c:pt>
                <c:pt idx="139">
                  <c:v>110.5</c:v>
                </c:pt>
                <c:pt idx="140">
                  <c:v>110</c:v>
                </c:pt>
                <c:pt idx="141">
                  <c:v>109.5</c:v>
                </c:pt>
                <c:pt idx="142">
                  <c:v>109</c:v>
                </c:pt>
                <c:pt idx="143">
                  <c:v>108.5</c:v>
                </c:pt>
                <c:pt idx="144">
                  <c:v>108</c:v>
                </c:pt>
                <c:pt idx="145">
                  <c:v>107.5</c:v>
                </c:pt>
                <c:pt idx="146">
                  <c:v>107</c:v>
                </c:pt>
                <c:pt idx="147">
                  <c:v>106.5</c:v>
                </c:pt>
                <c:pt idx="148">
                  <c:v>106</c:v>
                </c:pt>
                <c:pt idx="149">
                  <c:v>105.5</c:v>
                </c:pt>
                <c:pt idx="150">
                  <c:v>105</c:v>
                </c:pt>
                <c:pt idx="151">
                  <c:v>104.5</c:v>
                </c:pt>
                <c:pt idx="152">
                  <c:v>104</c:v>
                </c:pt>
                <c:pt idx="153">
                  <c:v>103.5</c:v>
                </c:pt>
                <c:pt idx="154">
                  <c:v>103</c:v>
                </c:pt>
                <c:pt idx="155">
                  <c:v>102.5</c:v>
                </c:pt>
                <c:pt idx="156">
                  <c:v>102</c:v>
                </c:pt>
                <c:pt idx="157">
                  <c:v>101.5</c:v>
                </c:pt>
                <c:pt idx="158">
                  <c:v>101</c:v>
                </c:pt>
                <c:pt idx="159">
                  <c:v>100.5</c:v>
                </c:pt>
                <c:pt idx="160">
                  <c:v>100</c:v>
                </c:pt>
                <c:pt idx="161">
                  <c:v>99.5</c:v>
                </c:pt>
                <c:pt idx="162">
                  <c:v>99</c:v>
                </c:pt>
                <c:pt idx="163">
                  <c:v>98.5</c:v>
                </c:pt>
                <c:pt idx="164">
                  <c:v>98</c:v>
                </c:pt>
                <c:pt idx="165">
                  <c:v>97.5</c:v>
                </c:pt>
                <c:pt idx="166">
                  <c:v>97</c:v>
                </c:pt>
                <c:pt idx="167">
                  <c:v>96.5</c:v>
                </c:pt>
                <c:pt idx="168">
                  <c:v>96</c:v>
                </c:pt>
                <c:pt idx="169">
                  <c:v>95.5</c:v>
                </c:pt>
                <c:pt idx="170">
                  <c:v>95</c:v>
                </c:pt>
                <c:pt idx="171">
                  <c:v>94.5</c:v>
                </c:pt>
                <c:pt idx="172">
                  <c:v>94</c:v>
                </c:pt>
                <c:pt idx="173">
                  <c:v>93.5</c:v>
                </c:pt>
                <c:pt idx="174">
                  <c:v>93</c:v>
                </c:pt>
                <c:pt idx="175">
                  <c:v>92.5</c:v>
                </c:pt>
                <c:pt idx="176">
                  <c:v>92</c:v>
                </c:pt>
                <c:pt idx="177">
                  <c:v>91.5</c:v>
                </c:pt>
                <c:pt idx="178">
                  <c:v>91</c:v>
                </c:pt>
                <c:pt idx="179">
                  <c:v>90.5</c:v>
                </c:pt>
                <c:pt idx="180">
                  <c:v>90</c:v>
                </c:pt>
                <c:pt idx="181">
                  <c:v>89.5</c:v>
                </c:pt>
                <c:pt idx="182">
                  <c:v>89</c:v>
                </c:pt>
                <c:pt idx="183">
                  <c:v>88.5</c:v>
                </c:pt>
                <c:pt idx="184">
                  <c:v>88</c:v>
                </c:pt>
                <c:pt idx="185">
                  <c:v>87.5</c:v>
                </c:pt>
                <c:pt idx="186">
                  <c:v>87</c:v>
                </c:pt>
                <c:pt idx="187">
                  <c:v>86.5</c:v>
                </c:pt>
                <c:pt idx="188">
                  <c:v>86</c:v>
                </c:pt>
                <c:pt idx="189">
                  <c:v>85.5</c:v>
                </c:pt>
                <c:pt idx="190">
                  <c:v>85</c:v>
                </c:pt>
                <c:pt idx="191">
                  <c:v>84.5</c:v>
                </c:pt>
                <c:pt idx="192">
                  <c:v>84</c:v>
                </c:pt>
                <c:pt idx="193">
                  <c:v>83.5</c:v>
                </c:pt>
                <c:pt idx="194">
                  <c:v>83</c:v>
                </c:pt>
                <c:pt idx="195">
                  <c:v>82.5</c:v>
                </c:pt>
                <c:pt idx="196">
                  <c:v>82</c:v>
                </c:pt>
                <c:pt idx="197">
                  <c:v>81.5</c:v>
                </c:pt>
                <c:pt idx="198">
                  <c:v>81</c:v>
                </c:pt>
                <c:pt idx="199">
                  <c:v>80.5</c:v>
                </c:pt>
                <c:pt idx="200">
                  <c:v>80</c:v>
                </c:pt>
                <c:pt idx="201">
                  <c:v>79.5</c:v>
                </c:pt>
                <c:pt idx="202">
                  <c:v>79</c:v>
                </c:pt>
                <c:pt idx="203">
                  <c:v>78.5</c:v>
                </c:pt>
                <c:pt idx="204">
                  <c:v>78</c:v>
                </c:pt>
                <c:pt idx="205">
                  <c:v>77.5</c:v>
                </c:pt>
                <c:pt idx="206">
                  <c:v>77</c:v>
                </c:pt>
                <c:pt idx="207">
                  <c:v>76.5</c:v>
                </c:pt>
                <c:pt idx="208">
                  <c:v>76</c:v>
                </c:pt>
                <c:pt idx="209">
                  <c:v>75.5</c:v>
                </c:pt>
                <c:pt idx="210">
                  <c:v>75</c:v>
                </c:pt>
                <c:pt idx="211">
                  <c:v>74.5</c:v>
                </c:pt>
                <c:pt idx="212">
                  <c:v>74</c:v>
                </c:pt>
                <c:pt idx="213">
                  <c:v>73.5</c:v>
                </c:pt>
                <c:pt idx="214">
                  <c:v>73</c:v>
                </c:pt>
                <c:pt idx="215">
                  <c:v>72.5</c:v>
                </c:pt>
                <c:pt idx="216">
                  <c:v>72</c:v>
                </c:pt>
                <c:pt idx="217">
                  <c:v>71.5</c:v>
                </c:pt>
                <c:pt idx="218">
                  <c:v>71</c:v>
                </c:pt>
                <c:pt idx="219">
                  <c:v>70.5</c:v>
                </c:pt>
                <c:pt idx="220">
                  <c:v>70</c:v>
                </c:pt>
                <c:pt idx="221">
                  <c:v>69.5</c:v>
                </c:pt>
                <c:pt idx="222">
                  <c:v>69</c:v>
                </c:pt>
                <c:pt idx="223">
                  <c:v>68.5</c:v>
                </c:pt>
                <c:pt idx="224">
                  <c:v>68</c:v>
                </c:pt>
                <c:pt idx="225">
                  <c:v>67.5</c:v>
                </c:pt>
                <c:pt idx="226">
                  <c:v>67</c:v>
                </c:pt>
                <c:pt idx="227">
                  <c:v>66.5</c:v>
                </c:pt>
                <c:pt idx="228">
                  <c:v>66</c:v>
                </c:pt>
                <c:pt idx="229">
                  <c:v>65.5</c:v>
                </c:pt>
                <c:pt idx="230">
                  <c:v>65</c:v>
                </c:pt>
                <c:pt idx="231">
                  <c:v>64.5</c:v>
                </c:pt>
                <c:pt idx="232">
                  <c:v>64</c:v>
                </c:pt>
                <c:pt idx="233">
                  <c:v>63.5</c:v>
                </c:pt>
                <c:pt idx="234">
                  <c:v>63</c:v>
                </c:pt>
                <c:pt idx="235">
                  <c:v>62.5</c:v>
                </c:pt>
                <c:pt idx="236">
                  <c:v>62</c:v>
                </c:pt>
                <c:pt idx="237">
                  <c:v>61.5</c:v>
                </c:pt>
                <c:pt idx="238">
                  <c:v>61</c:v>
                </c:pt>
                <c:pt idx="239">
                  <c:v>60.5</c:v>
                </c:pt>
                <c:pt idx="240">
                  <c:v>60</c:v>
                </c:pt>
                <c:pt idx="241">
                  <c:v>59.5</c:v>
                </c:pt>
                <c:pt idx="242">
                  <c:v>59</c:v>
                </c:pt>
                <c:pt idx="243">
                  <c:v>58.5</c:v>
                </c:pt>
                <c:pt idx="244">
                  <c:v>58</c:v>
                </c:pt>
                <c:pt idx="245">
                  <c:v>57.5</c:v>
                </c:pt>
                <c:pt idx="246">
                  <c:v>57</c:v>
                </c:pt>
                <c:pt idx="247">
                  <c:v>56.5</c:v>
                </c:pt>
                <c:pt idx="248">
                  <c:v>56</c:v>
                </c:pt>
                <c:pt idx="249">
                  <c:v>55.5</c:v>
                </c:pt>
                <c:pt idx="250">
                  <c:v>55</c:v>
                </c:pt>
                <c:pt idx="251">
                  <c:v>54.5</c:v>
                </c:pt>
                <c:pt idx="252">
                  <c:v>54</c:v>
                </c:pt>
                <c:pt idx="253">
                  <c:v>53.5</c:v>
                </c:pt>
                <c:pt idx="254">
                  <c:v>53</c:v>
                </c:pt>
                <c:pt idx="255">
                  <c:v>52.5</c:v>
                </c:pt>
                <c:pt idx="256">
                  <c:v>52</c:v>
                </c:pt>
                <c:pt idx="257">
                  <c:v>51.5</c:v>
                </c:pt>
                <c:pt idx="258">
                  <c:v>51</c:v>
                </c:pt>
                <c:pt idx="259">
                  <c:v>50.5</c:v>
                </c:pt>
                <c:pt idx="260">
                  <c:v>50</c:v>
                </c:pt>
                <c:pt idx="261">
                  <c:v>49.5</c:v>
                </c:pt>
                <c:pt idx="262">
                  <c:v>49</c:v>
                </c:pt>
                <c:pt idx="263">
                  <c:v>48.5</c:v>
                </c:pt>
                <c:pt idx="264">
                  <c:v>48</c:v>
                </c:pt>
                <c:pt idx="265">
                  <c:v>47.5</c:v>
                </c:pt>
                <c:pt idx="266">
                  <c:v>47</c:v>
                </c:pt>
                <c:pt idx="267">
                  <c:v>46.5</c:v>
                </c:pt>
                <c:pt idx="268">
                  <c:v>46</c:v>
                </c:pt>
                <c:pt idx="269">
                  <c:v>45.5</c:v>
                </c:pt>
                <c:pt idx="270">
                  <c:v>45</c:v>
                </c:pt>
                <c:pt idx="271">
                  <c:v>44.5</c:v>
                </c:pt>
                <c:pt idx="272">
                  <c:v>44</c:v>
                </c:pt>
                <c:pt idx="273">
                  <c:v>43.5</c:v>
                </c:pt>
                <c:pt idx="274">
                  <c:v>43</c:v>
                </c:pt>
                <c:pt idx="275">
                  <c:v>42.5</c:v>
                </c:pt>
                <c:pt idx="276">
                  <c:v>42</c:v>
                </c:pt>
                <c:pt idx="277">
                  <c:v>41.5</c:v>
                </c:pt>
                <c:pt idx="278">
                  <c:v>41</c:v>
                </c:pt>
                <c:pt idx="279">
                  <c:v>40.5</c:v>
                </c:pt>
                <c:pt idx="280">
                  <c:v>40</c:v>
                </c:pt>
                <c:pt idx="281">
                  <c:v>39.5</c:v>
                </c:pt>
                <c:pt idx="282">
                  <c:v>39</c:v>
                </c:pt>
                <c:pt idx="283">
                  <c:v>38.5</c:v>
                </c:pt>
                <c:pt idx="284">
                  <c:v>38</c:v>
                </c:pt>
                <c:pt idx="285">
                  <c:v>37.5</c:v>
                </c:pt>
                <c:pt idx="286">
                  <c:v>37</c:v>
                </c:pt>
                <c:pt idx="287">
                  <c:v>36.5</c:v>
                </c:pt>
                <c:pt idx="288">
                  <c:v>36</c:v>
                </c:pt>
                <c:pt idx="289">
                  <c:v>35.5</c:v>
                </c:pt>
                <c:pt idx="290">
                  <c:v>35</c:v>
                </c:pt>
                <c:pt idx="291">
                  <c:v>34.5</c:v>
                </c:pt>
                <c:pt idx="292">
                  <c:v>34</c:v>
                </c:pt>
                <c:pt idx="293">
                  <c:v>33.5</c:v>
                </c:pt>
                <c:pt idx="294">
                  <c:v>33</c:v>
                </c:pt>
                <c:pt idx="295">
                  <c:v>32.5</c:v>
                </c:pt>
                <c:pt idx="296">
                  <c:v>32</c:v>
                </c:pt>
                <c:pt idx="297">
                  <c:v>31.5</c:v>
                </c:pt>
                <c:pt idx="298">
                  <c:v>31</c:v>
                </c:pt>
                <c:pt idx="299">
                  <c:v>30.5</c:v>
                </c:pt>
                <c:pt idx="300">
                  <c:v>30</c:v>
                </c:pt>
                <c:pt idx="301">
                  <c:v>29.5</c:v>
                </c:pt>
                <c:pt idx="302">
                  <c:v>29</c:v>
                </c:pt>
                <c:pt idx="303">
                  <c:v>28.5</c:v>
                </c:pt>
                <c:pt idx="304">
                  <c:v>28</c:v>
                </c:pt>
                <c:pt idx="305">
                  <c:v>27.5</c:v>
                </c:pt>
                <c:pt idx="306">
                  <c:v>27</c:v>
                </c:pt>
                <c:pt idx="307">
                  <c:v>26.5</c:v>
                </c:pt>
                <c:pt idx="308">
                  <c:v>26</c:v>
                </c:pt>
                <c:pt idx="309">
                  <c:v>25.5</c:v>
                </c:pt>
                <c:pt idx="310">
                  <c:v>25</c:v>
                </c:pt>
                <c:pt idx="311">
                  <c:v>24.5</c:v>
                </c:pt>
                <c:pt idx="312">
                  <c:v>24</c:v>
                </c:pt>
                <c:pt idx="313">
                  <c:v>23.5</c:v>
                </c:pt>
                <c:pt idx="314">
                  <c:v>23</c:v>
                </c:pt>
                <c:pt idx="315">
                  <c:v>22.5</c:v>
                </c:pt>
                <c:pt idx="316">
                  <c:v>22</c:v>
                </c:pt>
                <c:pt idx="317">
                  <c:v>21.5</c:v>
                </c:pt>
                <c:pt idx="318">
                  <c:v>21</c:v>
                </c:pt>
                <c:pt idx="319">
                  <c:v>20.5</c:v>
                </c:pt>
                <c:pt idx="320">
                  <c:v>20</c:v>
                </c:pt>
                <c:pt idx="321">
                  <c:v>19.5</c:v>
                </c:pt>
                <c:pt idx="322">
                  <c:v>19</c:v>
                </c:pt>
                <c:pt idx="323">
                  <c:v>18.5</c:v>
                </c:pt>
                <c:pt idx="324">
                  <c:v>18</c:v>
                </c:pt>
                <c:pt idx="325">
                  <c:v>17.5</c:v>
                </c:pt>
                <c:pt idx="326">
                  <c:v>17</c:v>
                </c:pt>
                <c:pt idx="327">
                  <c:v>16.5</c:v>
                </c:pt>
                <c:pt idx="328">
                  <c:v>16</c:v>
                </c:pt>
                <c:pt idx="329">
                  <c:v>15.5</c:v>
                </c:pt>
                <c:pt idx="330">
                  <c:v>15</c:v>
                </c:pt>
                <c:pt idx="331">
                  <c:v>14.5</c:v>
                </c:pt>
                <c:pt idx="332">
                  <c:v>14</c:v>
                </c:pt>
                <c:pt idx="333">
                  <c:v>13.5</c:v>
                </c:pt>
                <c:pt idx="334">
                  <c:v>13</c:v>
                </c:pt>
                <c:pt idx="335">
                  <c:v>12.5</c:v>
                </c:pt>
                <c:pt idx="336">
                  <c:v>12</c:v>
                </c:pt>
                <c:pt idx="337">
                  <c:v>11.5</c:v>
                </c:pt>
                <c:pt idx="338">
                  <c:v>11</c:v>
                </c:pt>
                <c:pt idx="339">
                  <c:v>10.5</c:v>
                </c:pt>
                <c:pt idx="340">
                  <c:v>10</c:v>
                </c:pt>
                <c:pt idx="341">
                  <c:v>9.5</c:v>
                </c:pt>
                <c:pt idx="342">
                  <c:v>9</c:v>
                </c:pt>
                <c:pt idx="343">
                  <c:v>8.5</c:v>
                </c:pt>
                <c:pt idx="344">
                  <c:v>8</c:v>
                </c:pt>
                <c:pt idx="345">
                  <c:v>7.5</c:v>
                </c:pt>
                <c:pt idx="346">
                  <c:v>7</c:v>
                </c:pt>
                <c:pt idx="347">
                  <c:v>6.5</c:v>
                </c:pt>
                <c:pt idx="348">
                  <c:v>6</c:v>
                </c:pt>
                <c:pt idx="349">
                  <c:v>5.5</c:v>
                </c:pt>
                <c:pt idx="350">
                  <c:v>5</c:v>
                </c:pt>
                <c:pt idx="351">
                  <c:v>4.5</c:v>
                </c:pt>
                <c:pt idx="352">
                  <c:v>4</c:v>
                </c:pt>
                <c:pt idx="353">
                  <c:v>3.5</c:v>
                </c:pt>
                <c:pt idx="354">
                  <c:v>3</c:v>
                </c:pt>
                <c:pt idx="355">
                  <c:v>2.5</c:v>
                </c:pt>
                <c:pt idx="356">
                  <c:v>2</c:v>
                </c:pt>
                <c:pt idx="357">
                  <c:v>1.5</c:v>
                </c:pt>
                <c:pt idx="358">
                  <c:v>1</c:v>
                </c:pt>
                <c:pt idx="359">
                  <c:v>0.5</c:v>
                </c:pt>
                <c:pt idx="360">
                  <c:v>0</c:v>
                </c:pt>
                <c:pt idx="361">
                  <c:v>-0.5</c:v>
                </c:pt>
                <c:pt idx="362">
                  <c:v>-1</c:v>
                </c:pt>
                <c:pt idx="363">
                  <c:v>-1.5</c:v>
                </c:pt>
                <c:pt idx="364">
                  <c:v>-2</c:v>
                </c:pt>
                <c:pt idx="365">
                  <c:v>-2.5</c:v>
                </c:pt>
                <c:pt idx="366">
                  <c:v>-3</c:v>
                </c:pt>
                <c:pt idx="367">
                  <c:v>-3.5</c:v>
                </c:pt>
                <c:pt idx="368">
                  <c:v>-4</c:v>
                </c:pt>
                <c:pt idx="369">
                  <c:v>-4.5</c:v>
                </c:pt>
                <c:pt idx="370">
                  <c:v>-5</c:v>
                </c:pt>
                <c:pt idx="371">
                  <c:v>-5.5</c:v>
                </c:pt>
                <c:pt idx="372">
                  <c:v>-6</c:v>
                </c:pt>
                <c:pt idx="373">
                  <c:v>-6.5</c:v>
                </c:pt>
                <c:pt idx="374">
                  <c:v>-7</c:v>
                </c:pt>
                <c:pt idx="375">
                  <c:v>-7.5</c:v>
                </c:pt>
                <c:pt idx="376">
                  <c:v>-8</c:v>
                </c:pt>
                <c:pt idx="377">
                  <c:v>-8.5</c:v>
                </c:pt>
                <c:pt idx="378">
                  <c:v>-9</c:v>
                </c:pt>
                <c:pt idx="379">
                  <c:v>-9.5</c:v>
                </c:pt>
                <c:pt idx="380">
                  <c:v>-10</c:v>
                </c:pt>
                <c:pt idx="381">
                  <c:v>-10.5</c:v>
                </c:pt>
                <c:pt idx="382">
                  <c:v>-11</c:v>
                </c:pt>
                <c:pt idx="383">
                  <c:v>-11.5</c:v>
                </c:pt>
                <c:pt idx="384">
                  <c:v>-12</c:v>
                </c:pt>
                <c:pt idx="385">
                  <c:v>-12.5</c:v>
                </c:pt>
                <c:pt idx="386">
                  <c:v>-13</c:v>
                </c:pt>
                <c:pt idx="387">
                  <c:v>-13.5</c:v>
                </c:pt>
                <c:pt idx="388">
                  <c:v>-14</c:v>
                </c:pt>
                <c:pt idx="389">
                  <c:v>-14.5</c:v>
                </c:pt>
                <c:pt idx="390">
                  <c:v>-15</c:v>
                </c:pt>
                <c:pt idx="391">
                  <c:v>-15.5</c:v>
                </c:pt>
                <c:pt idx="392">
                  <c:v>-16</c:v>
                </c:pt>
                <c:pt idx="393">
                  <c:v>-16.5</c:v>
                </c:pt>
                <c:pt idx="394">
                  <c:v>-17</c:v>
                </c:pt>
                <c:pt idx="395">
                  <c:v>-17.5</c:v>
                </c:pt>
                <c:pt idx="396">
                  <c:v>-18</c:v>
                </c:pt>
                <c:pt idx="397">
                  <c:v>-18.5</c:v>
                </c:pt>
                <c:pt idx="398">
                  <c:v>-19</c:v>
                </c:pt>
                <c:pt idx="399">
                  <c:v>-19.5</c:v>
                </c:pt>
                <c:pt idx="400">
                  <c:v>-20</c:v>
                </c:pt>
                <c:pt idx="401">
                  <c:v>-20.5</c:v>
                </c:pt>
                <c:pt idx="402">
                  <c:v>-21</c:v>
                </c:pt>
                <c:pt idx="403">
                  <c:v>-21.5</c:v>
                </c:pt>
                <c:pt idx="404">
                  <c:v>-22</c:v>
                </c:pt>
                <c:pt idx="405">
                  <c:v>-22.5</c:v>
                </c:pt>
                <c:pt idx="406">
                  <c:v>-23</c:v>
                </c:pt>
                <c:pt idx="407">
                  <c:v>-23.5</c:v>
                </c:pt>
                <c:pt idx="408">
                  <c:v>-24</c:v>
                </c:pt>
                <c:pt idx="409">
                  <c:v>-24.5</c:v>
                </c:pt>
                <c:pt idx="410">
                  <c:v>-25</c:v>
                </c:pt>
                <c:pt idx="411">
                  <c:v>-25.5</c:v>
                </c:pt>
                <c:pt idx="412">
                  <c:v>-26</c:v>
                </c:pt>
                <c:pt idx="413">
                  <c:v>-26.5</c:v>
                </c:pt>
                <c:pt idx="414">
                  <c:v>-27</c:v>
                </c:pt>
                <c:pt idx="415">
                  <c:v>-27.5</c:v>
                </c:pt>
                <c:pt idx="416">
                  <c:v>-28</c:v>
                </c:pt>
                <c:pt idx="417">
                  <c:v>-28.5</c:v>
                </c:pt>
                <c:pt idx="418">
                  <c:v>-29</c:v>
                </c:pt>
                <c:pt idx="419">
                  <c:v>-29.5</c:v>
                </c:pt>
                <c:pt idx="420">
                  <c:v>-30</c:v>
                </c:pt>
                <c:pt idx="421">
                  <c:v>-30.5</c:v>
                </c:pt>
                <c:pt idx="422">
                  <c:v>-31</c:v>
                </c:pt>
                <c:pt idx="423">
                  <c:v>-31.5</c:v>
                </c:pt>
                <c:pt idx="424">
                  <c:v>-32</c:v>
                </c:pt>
                <c:pt idx="425">
                  <c:v>-32.5</c:v>
                </c:pt>
                <c:pt idx="426">
                  <c:v>-33</c:v>
                </c:pt>
                <c:pt idx="427">
                  <c:v>-33.5</c:v>
                </c:pt>
                <c:pt idx="428">
                  <c:v>-34</c:v>
                </c:pt>
                <c:pt idx="429">
                  <c:v>-34.5</c:v>
                </c:pt>
                <c:pt idx="430">
                  <c:v>-35</c:v>
                </c:pt>
                <c:pt idx="431">
                  <c:v>-35.5</c:v>
                </c:pt>
                <c:pt idx="432">
                  <c:v>-36</c:v>
                </c:pt>
                <c:pt idx="433">
                  <c:v>-36.5</c:v>
                </c:pt>
                <c:pt idx="434">
                  <c:v>-37</c:v>
                </c:pt>
                <c:pt idx="435">
                  <c:v>-37.5</c:v>
                </c:pt>
                <c:pt idx="436">
                  <c:v>-38</c:v>
                </c:pt>
                <c:pt idx="437">
                  <c:v>-38.5</c:v>
                </c:pt>
                <c:pt idx="438">
                  <c:v>-39</c:v>
                </c:pt>
                <c:pt idx="439">
                  <c:v>-39.5</c:v>
                </c:pt>
                <c:pt idx="440">
                  <c:v>-40</c:v>
                </c:pt>
                <c:pt idx="441">
                  <c:v>-40.5</c:v>
                </c:pt>
                <c:pt idx="442">
                  <c:v>-41</c:v>
                </c:pt>
                <c:pt idx="443">
                  <c:v>-41.5</c:v>
                </c:pt>
                <c:pt idx="444">
                  <c:v>-42</c:v>
                </c:pt>
                <c:pt idx="445">
                  <c:v>-42.5</c:v>
                </c:pt>
                <c:pt idx="446">
                  <c:v>-43</c:v>
                </c:pt>
                <c:pt idx="447">
                  <c:v>-43.5</c:v>
                </c:pt>
                <c:pt idx="448">
                  <c:v>-44</c:v>
                </c:pt>
                <c:pt idx="449">
                  <c:v>-44.5</c:v>
                </c:pt>
                <c:pt idx="450">
                  <c:v>-45</c:v>
                </c:pt>
                <c:pt idx="451">
                  <c:v>-45.5</c:v>
                </c:pt>
                <c:pt idx="452">
                  <c:v>-46</c:v>
                </c:pt>
                <c:pt idx="453">
                  <c:v>-46.5</c:v>
                </c:pt>
                <c:pt idx="454">
                  <c:v>-47</c:v>
                </c:pt>
                <c:pt idx="455">
                  <c:v>-47.5</c:v>
                </c:pt>
                <c:pt idx="456">
                  <c:v>-48</c:v>
                </c:pt>
                <c:pt idx="457">
                  <c:v>-48.5</c:v>
                </c:pt>
                <c:pt idx="458">
                  <c:v>-49</c:v>
                </c:pt>
                <c:pt idx="459">
                  <c:v>-49.5</c:v>
                </c:pt>
                <c:pt idx="460">
                  <c:v>-50</c:v>
                </c:pt>
                <c:pt idx="461">
                  <c:v>-50.5</c:v>
                </c:pt>
                <c:pt idx="462">
                  <c:v>-51</c:v>
                </c:pt>
                <c:pt idx="463">
                  <c:v>-51.5</c:v>
                </c:pt>
                <c:pt idx="464">
                  <c:v>-52</c:v>
                </c:pt>
                <c:pt idx="465">
                  <c:v>-52.5</c:v>
                </c:pt>
                <c:pt idx="466">
                  <c:v>-53</c:v>
                </c:pt>
                <c:pt idx="467">
                  <c:v>-53.5</c:v>
                </c:pt>
                <c:pt idx="468">
                  <c:v>-54</c:v>
                </c:pt>
                <c:pt idx="469">
                  <c:v>-54.5</c:v>
                </c:pt>
                <c:pt idx="470">
                  <c:v>-55</c:v>
                </c:pt>
                <c:pt idx="471">
                  <c:v>-55.5</c:v>
                </c:pt>
                <c:pt idx="472">
                  <c:v>-56</c:v>
                </c:pt>
                <c:pt idx="473">
                  <c:v>-56.5</c:v>
                </c:pt>
                <c:pt idx="474">
                  <c:v>-57</c:v>
                </c:pt>
                <c:pt idx="475">
                  <c:v>-57.5</c:v>
                </c:pt>
                <c:pt idx="476">
                  <c:v>-58</c:v>
                </c:pt>
                <c:pt idx="477">
                  <c:v>-58.5</c:v>
                </c:pt>
                <c:pt idx="478">
                  <c:v>-59</c:v>
                </c:pt>
                <c:pt idx="479">
                  <c:v>-59.5</c:v>
                </c:pt>
                <c:pt idx="480">
                  <c:v>-60</c:v>
                </c:pt>
                <c:pt idx="481">
                  <c:v>-60.5</c:v>
                </c:pt>
                <c:pt idx="482">
                  <c:v>-61</c:v>
                </c:pt>
                <c:pt idx="483">
                  <c:v>-61.5</c:v>
                </c:pt>
                <c:pt idx="484">
                  <c:v>-62</c:v>
                </c:pt>
                <c:pt idx="485">
                  <c:v>-62.5</c:v>
                </c:pt>
                <c:pt idx="486">
                  <c:v>-63</c:v>
                </c:pt>
                <c:pt idx="487">
                  <c:v>-63.5</c:v>
                </c:pt>
                <c:pt idx="488">
                  <c:v>-64</c:v>
                </c:pt>
                <c:pt idx="489">
                  <c:v>-64.5</c:v>
                </c:pt>
                <c:pt idx="490">
                  <c:v>-65</c:v>
                </c:pt>
                <c:pt idx="491">
                  <c:v>-65.5</c:v>
                </c:pt>
                <c:pt idx="492">
                  <c:v>-66</c:v>
                </c:pt>
                <c:pt idx="493">
                  <c:v>-66.5</c:v>
                </c:pt>
                <c:pt idx="494">
                  <c:v>-67</c:v>
                </c:pt>
                <c:pt idx="495">
                  <c:v>-67.5</c:v>
                </c:pt>
                <c:pt idx="496">
                  <c:v>-68</c:v>
                </c:pt>
                <c:pt idx="497">
                  <c:v>-68.5</c:v>
                </c:pt>
                <c:pt idx="498">
                  <c:v>-69</c:v>
                </c:pt>
                <c:pt idx="499">
                  <c:v>-69.5</c:v>
                </c:pt>
                <c:pt idx="500">
                  <c:v>-70</c:v>
                </c:pt>
                <c:pt idx="501">
                  <c:v>-70.5</c:v>
                </c:pt>
                <c:pt idx="502">
                  <c:v>-71</c:v>
                </c:pt>
                <c:pt idx="503">
                  <c:v>-71.5</c:v>
                </c:pt>
                <c:pt idx="504">
                  <c:v>-72</c:v>
                </c:pt>
                <c:pt idx="505">
                  <c:v>-72.5</c:v>
                </c:pt>
                <c:pt idx="506">
                  <c:v>-73</c:v>
                </c:pt>
                <c:pt idx="507">
                  <c:v>-73.5</c:v>
                </c:pt>
                <c:pt idx="508">
                  <c:v>-74</c:v>
                </c:pt>
                <c:pt idx="509">
                  <c:v>-74.5</c:v>
                </c:pt>
                <c:pt idx="510">
                  <c:v>-75</c:v>
                </c:pt>
                <c:pt idx="511">
                  <c:v>-75.5</c:v>
                </c:pt>
                <c:pt idx="512">
                  <c:v>-76</c:v>
                </c:pt>
                <c:pt idx="513">
                  <c:v>-76.5</c:v>
                </c:pt>
                <c:pt idx="514">
                  <c:v>-77</c:v>
                </c:pt>
                <c:pt idx="515">
                  <c:v>-77.5</c:v>
                </c:pt>
                <c:pt idx="516">
                  <c:v>-78</c:v>
                </c:pt>
                <c:pt idx="517">
                  <c:v>-78.5</c:v>
                </c:pt>
                <c:pt idx="518">
                  <c:v>-79</c:v>
                </c:pt>
                <c:pt idx="519">
                  <c:v>-79.5</c:v>
                </c:pt>
                <c:pt idx="520">
                  <c:v>-80</c:v>
                </c:pt>
                <c:pt idx="521">
                  <c:v>-80.5</c:v>
                </c:pt>
                <c:pt idx="522">
                  <c:v>-81</c:v>
                </c:pt>
                <c:pt idx="523">
                  <c:v>-81.5</c:v>
                </c:pt>
                <c:pt idx="524">
                  <c:v>-82</c:v>
                </c:pt>
                <c:pt idx="525">
                  <c:v>-82.5</c:v>
                </c:pt>
                <c:pt idx="526">
                  <c:v>-83</c:v>
                </c:pt>
                <c:pt idx="527">
                  <c:v>-83.5</c:v>
                </c:pt>
                <c:pt idx="528">
                  <c:v>-84</c:v>
                </c:pt>
                <c:pt idx="529">
                  <c:v>-84.5</c:v>
                </c:pt>
                <c:pt idx="530">
                  <c:v>-85</c:v>
                </c:pt>
                <c:pt idx="531">
                  <c:v>-85.5</c:v>
                </c:pt>
                <c:pt idx="532">
                  <c:v>-86</c:v>
                </c:pt>
                <c:pt idx="533">
                  <c:v>-86.5</c:v>
                </c:pt>
                <c:pt idx="534">
                  <c:v>-87</c:v>
                </c:pt>
                <c:pt idx="535">
                  <c:v>-87.5</c:v>
                </c:pt>
                <c:pt idx="536">
                  <c:v>-88</c:v>
                </c:pt>
                <c:pt idx="537">
                  <c:v>-88.5</c:v>
                </c:pt>
                <c:pt idx="538">
                  <c:v>-89</c:v>
                </c:pt>
                <c:pt idx="539">
                  <c:v>-89.5</c:v>
                </c:pt>
                <c:pt idx="540">
                  <c:v>-90</c:v>
                </c:pt>
                <c:pt idx="541">
                  <c:v>-90.5</c:v>
                </c:pt>
                <c:pt idx="542">
                  <c:v>-91</c:v>
                </c:pt>
                <c:pt idx="543">
                  <c:v>-91.5</c:v>
                </c:pt>
                <c:pt idx="544">
                  <c:v>-92</c:v>
                </c:pt>
                <c:pt idx="545">
                  <c:v>-92.5</c:v>
                </c:pt>
                <c:pt idx="546">
                  <c:v>-93</c:v>
                </c:pt>
                <c:pt idx="547">
                  <c:v>-93.5</c:v>
                </c:pt>
                <c:pt idx="548">
                  <c:v>-94</c:v>
                </c:pt>
                <c:pt idx="549">
                  <c:v>-94.5</c:v>
                </c:pt>
                <c:pt idx="550">
                  <c:v>-95</c:v>
                </c:pt>
                <c:pt idx="551">
                  <c:v>-95.5</c:v>
                </c:pt>
                <c:pt idx="552">
                  <c:v>-96</c:v>
                </c:pt>
                <c:pt idx="553">
                  <c:v>-96.5</c:v>
                </c:pt>
                <c:pt idx="554">
                  <c:v>-97</c:v>
                </c:pt>
                <c:pt idx="555">
                  <c:v>-97.5</c:v>
                </c:pt>
                <c:pt idx="556">
                  <c:v>-98</c:v>
                </c:pt>
                <c:pt idx="557">
                  <c:v>-98.5</c:v>
                </c:pt>
                <c:pt idx="558">
                  <c:v>-99</c:v>
                </c:pt>
                <c:pt idx="559">
                  <c:v>-99.5</c:v>
                </c:pt>
                <c:pt idx="560">
                  <c:v>-100</c:v>
                </c:pt>
                <c:pt idx="561">
                  <c:v>-100.5</c:v>
                </c:pt>
                <c:pt idx="562">
                  <c:v>-101</c:v>
                </c:pt>
                <c:pt idx="563">
                  <c:v>-101.5</c:v>
                </c:pt>
                <c:pt idx="564">
                  <c:v>-102</c:v>
                </c:pt>
                <c:pt idx="565">
                  <c:v>-102.5</c:v>
                </c:pt>
                <c:pt idx="566">
                  <c:v>-103</c:v>
                </c:pt>
                <c:pt idx="567">
                  <c:v>-103.5</c:v>
                </c:pt>
                <c:pt idx="568">
                  <c:v>-104</c:v>
                </c:pt>
                <c:pt idx="569">
                  <c:v>-104.5</c:v>
                </c:pt>
                <c:pt idx="570">
                  <c:v>-105</c:v>
                </c:pt>
                <c:pt idx="571">
                  <c:v>-105.5</c:v>
                </c:pt>
                <c:pt idx="572">
                  <c:v>-106</c:v>
                </c:pt>
                <c:pt idx="573">
                  <c:v>-106.5</c:v>
                </c:pt>
                <c:pt idx="574">
                  <c:v>-107</c:v>
                </c:pt>
                <c:pt idx="575">
                  <c:v>-107.5</c:v>
                </c:pt>
                <c:pt idx="576">
                  <c:v>-108</c:v>
                </c:pt>
                <c:pt idx="577">
                  <c:v>-108.5</c:v>
                </c:pt>
                <c:pt idx="578">
                  <c:v>-109</c:v>
                </c:pt>
                <c:pt idx="579">
                  <c:v>-109.5</c:v>
                </c:pt>
                <c:pt idx="580">
                  <c:v>-110</c:v>
                </c:pt>
                <c:pt idx="581">
                  <c:v>-110.5</c:v>
                </c:pt>
                <c:pt idx="582">
                  <c:v>-111</c:v>
                </c:pt>
                <c:pt idx="583">
                  <c:v>-111.5</c:v>
                </c:pt>
                <c:pt idx="584">
                  <c:v>-112</c:v>
                </c:pt>
                <c:pt idx="585">
                  <c:v>-112.5</c:v>
                </c:pt>
                <c:pt idx="586">
                  <c:v>-113</c:v>
                </c:pt>
                <c:pt idx="587">
                  <c:v>-113.5</c:v>
                </c:pt>
                <c:pt idx="588">
                  <c:v>-114</c:v>
                </c:pt>
                <c:pt idx="589">
                  <c:v>-114.5</c:v>
                </c:pt>
                <c:pt idx="590">
                  <c:v>-115</c:v>
                </c:pt>
                <c:pt idx="591">
                  <c:v>-115.5</c:v>
                </c:pt>
                <c:pt idx="592">
                  <c:v>-116</c:v>
                </c:pt>
                <c:pt idx="593">
                  <c:v>-116.5</c:v>
                </c:pt>
                <c:pt idx="594">
                  <c:v>-117</c:v>
                </c:pt>
                <c:pt idx="595">
                  <c:v>-117.5</c:v>
                </c:pt>
                <c:pt idx="596">
                  <c:v>-118</c:v>
                </c:pt>
                <c:pt idx="597">
                  <c:v>-118.5</c:v>
                </c:pt>
                <c:pt idx="598">
                  <c:v>-119</c:v>
                </c:pt>
                <c:pt idx="599">
                  <c:v>-119.5</c:v>
                </c:pt>
                <c:pt idx="600">
                  <c:v>-120</c:v>
                </c:pt>
                <c:pt idx="601">
                  <c:v>-120.5</c:v>
                </c:pt>
                <c:pt idx="602">
                  <c:v>-121</c:v>
                </c:pt>
                <c:pt idx="603">
                  <c:v>-121.5</c:v>
                </c:pt>
                <c:pt idx="604">
                  <c:v>-122</c:v>
                </c:pt>
                <c:pt idx="605">
                  <c:v>-122.5</c:v>
                </c:pt>
                <c:pt idx="606">
                  <c:v>-123</c:v>
                </c:pt>
                <c:pt idx="607">
                  <c:v>-123.5</c:v>
                </c:pt>
                <c:pt idx="608">
                  <c:v>-124</c:v>
                </c:pt>
                <c:pt idx="609">
                  <c:v>-124.5</c:v>
                </c:pt>
                <c:pt idx="610">
                  <c:v>-125</c:v>
                </c:pt>
                <c:pt idx="611">
                  <c:v>-125.5</c:v>
                </c:pt>
                <c:pt idx="612">
                  <c:v>-126</c:v>
                </c:pt>
                <c:pt idx="613">
                  <c:v>-126.5</c:v>
                </c:pt>
                <c:pt idx="614">
                  <c:v>-127</c:v>
                </c:pt>
                <c:pt idx="615">
                  <c:v>-127.5</c:v>
                </c:pt>
                <c:pt idx="616">
                  <c:v>-128</c:v>
                </c:pt>
                <c:pt idx="617">
                  <c:v>-128.5</c:v>
                </c:pt>
                <c:pt idx="618">
                  <c:v>-129</c:v>
                </c:pt>
                <c:pt idx="619">
                  <c:v>-129.5</c:v>
                </c:pt>
                <c:pt idx="620">
                  <c:v>-130</c:v>
                </c:pt>
                <c:pt idx="621">
                  <c:v>-130.5</c:v>
                </c:pt>
                <c:pt idx="622">
                  <c:v>-131</c:v>
                </c:pt>
                <c:pt idx="623">
                  <c:v>-131.5</c:v>
                </c:pt>
                <c:pt idx="624">
                  <c:v>-132</c:v>
                </c:pt>
                <c:pt idx="625">
                  <c:v>-132.5</c:v>
                </c:pt>
                <c:pt idx="626">
                  <c:v>-133</c:v>
                </c:pt>
                <c:pt idx="627">
                  <c:v>-133.5</c:v>
                </c:pt>
                <c:pt idx="628">
                  <c:v>-134</c:v>
                </c:pt>
                <c:pt idx="629">
                  <c:v>-134.5</c:v>
                </c:pt>
                <c:pt idx="630">
                  <c:v>-135</c:v>
                </c:pt>
                <c:pt idx="631">
                  <c:v>-135.5</c:v>
                </c:pt>
                <c:pt idx="632">
                  <c:v>-136</c:v>
                </c:pt>
                <c:pt idx="633">
                  <c:v>-136.5</c:v>
                </c:pt>
                <c:pt idx="634">
                  <c:v>-137</c:v>
                </c:pt>
                <c:pt idx="635">
                  <c:v>-137.5</c:v>
                </c:pt>
                <c:pt idx="636">
                  <c:v>-138</c:v>
                </c:pt>
                <c:pt idx="637">
                  <c:v>-138.5</c:v>
                </c:pt>
                <c:pt idx="638">
                  <c:v>-139</c:v>
                </c:pt>
                <c:pt idx="639">
                  <c:v>-139.5</c:v>
                </c:pt>
                <c:pt idx="640">
                  <c:v>-140</c:v>
                </c:pt>
                <c:pt idx="641">
                  <c:v>-140.5</c:v>
                </c:pt>
                <c:pt idx="642">
                  <c:v>-141</c:v>
                </c:pt>
                <c:pt idx="643">
                  <c:v>-141.5</c:v>
                </c:pt>
                <c:pt idx="644">
                  <c:v>-142</c:v>
                </c:pt>
                <c:pt idx="645">
                  <c:v>-142.5</c:v>
                </c:pt>
                <c:pt idx="646">
                  <c:v>-143</c:v>
                </c:pt>
                <c:pt idx="647">
                  <c:v>-143.5</c:v>
                </c:pt>
                <c:pt idx="648">
                  <c:v>-144</c:v>
                </c:pt>
                <c:pt idx="649">
                  <c:v>-144.5</c:v>
                </c:pt>
                <c:pt idx="650">
                  <c:v>-145</c:v>
                </c:pt>
                <c:pt idx="651">
                  <c:v>-145.5</c:v>
                </c:pt>
                <c:pt idx="652">
                  <c:v>-146</c:v>
                </c:pt>
                <c:pt idx="653">
                  <c:v>-146.5</c:v>
                </c:pt>
                <c:pt idx="654">
                  <c:v>-147</c:v>
                </c:pt>
                <c:pt idx="655">
                  <c:v>-147.5</c:v>
                </c:pt>
                <c:pt idx="656">
                  <c:v>-148</c:v>
                </c:pt>
                <c:pt idx="657">
                  <c:v>-148.5</c:v>
                </c:pt>
                <c:pt idx="658">
                  <c:v>-149</c:v>
                </c:pt>
                <c:pt idx="659">
                  <c:v>-149.5</c:v>
                </c:pt>
                <c:pt idx="660">
                  <c:v>-150</c:v>
                </c:pt>
                <c:pt idx="661">
                  <c:v>-150.5</c:v>
                </c:pt>
                <c:pt idx="662">
                  <c:v>-151</c:v>
                </c:pt>
                <c:pt idx="663">
                  <c:v>-151.5</c:v>
                </c:pt>
                <c:pt idx="664">
                  <c:v>-152</c:v>
                </c:pt>
                <c:pt idx="665">
                  <c:v>-152.5</c:v>
                </c:pt>
                <c:pt idx="666">
                  <c:v>-153</c:v>
                </c:pt>
                <c:pt idx="667">
                  <c:v>-153.5</c:v>
                </c:pt>
                <c:pt idx="668">
                  <c:v>-154</c:v>
                </c:pt>
                <c:pt idx="669">
                  <c:v>-154.5</c:v>
                </c:pt>
                <c:pt idx="670">
                  <c:v>-155</c:v>
                </c:pt>
                <c:pt idx="671">
                  <c:v>-155.5</c:v>
                </c:pt>
                <c:pt idx="672">
                  <c:v>-156</c:v>
                </c:pt>
                <c:pt idx="673">
                  <c:v>-156.5</c:v>
                </c:pt>
                <c:pt idx="674">
                  <c:v>-157</c:v>
                </c:pt>
                <c:pt idx="675">
                  <c:v>-157.5</c:v>
                </c:pt>
                <c:pt idx="676">
                  <c:v>-158</c:v>
                </c:pt>
                <c:pt idx="677">
                  <c:v>-158.5</c:v>
                </c:pt>
                <c:pt idx="678">
                  <c:v>-159</c:v>
                </c:pt>
                <c:pt idx="679">
                  <c:v>-159.5</c:v>
                </c:pt>
                <c:pt idx="680">
                  <c:v>-160</c:v>
                </c:pt>
                <c:pt idx="681">
                  <c:v>-160.5</c:v>
                </c:pt>
                <c:pt idx="682">
                  <c:v>-161</c:v>
                </c:pt>
                <c:pt idx="683">
                  <c:v>-161.5</c:v>
                </c:pt>
                <c:pt idx="684">
                  <c:v>-162</c:v>
                </c:pt>
                <c:pt idx="685">
                  <c:v>-162.5</c:v>
                </c:pt>
                <c:pt idx="686">
                  <c:v>-163</c:v>
                </c:pt>
                <c:pt idx="687">
                  <c:v>-163.5</c:v>
                </c:pt>
                <c:pt idx="688">
                  <c:v>-164</c:v>
                </c:pt>
                <c:pt idx="689">
                  <c:v>-164.5</c:v>
                </c:pt>
                <c:pt idx="690">
                  <c:v>-165</c:v>
                </c:pt>
                <c:pt idx="691">
                  <c:v>-165.5</c:v>
                </c:pt>
                <c:pt idx="692">
                  <c:v>-166</c:v>
                </c:pt>
                <c:pt idx="693">
                  <c:v>-166.5</c:v>
                </c:pt>
                <c:pt idx="694">
                  <c:v>-167</c:v>
                </c:pt>
                <c:pt idx="695">
                  <c:v>-167.5</c:v>
                </c:pt>
                <c:pt idx="696">
                  <c:v>-168</c:v>
                </c:pt>
                <c:pt idx="697">
                  <c:v>-168.5</c:v>
                </c:pt>
                <c:pt idx="698">
                  <c:v>-169</c:v>
                </c:pt>
                <c:pt idx="699">
                  <c:v>-169.5</c:v>
                </c:pt>
                <c:pt idx="700">
                  <c:v>-170</c:v>
                </c:pt>
                <c:pt idx="701">
                  <c:v>-170.5</c:v>
                </c:pt>
                <c:pt idx="702">
                  <c:v>-171</c:v>
                </c:pt>
                <c:pt idx="703">
                  <c:v>-171.5</c:v>
                </c:pt>
                <c:pt idx="704">
                  <c:v>-172</c:v>
                </c:pt>
                <c:pt idx="705">
                  <c:v>-172.5</c:v>
                </c:pt>
                <c:pt idx="706">
                  <c:v>-173</c:v>
                </c:pt>
                <c:pt idx="707">
                  <c:v>-173.5</c:v>
                </c:pt>
                <c:pt idx="708">
                  <c:v>-174</c:v>
                </c:pt>
                <c:pt idx="709">
                  <c:v>-174.5</c:v>
                </c:pt>
                <c:pt idx="710">
                  <c:v>-175</c:v>
                </c:pt>
                <c:pt idx="711">
                  <c:v>-175.5</c:v>
                </c:pt>
                <c:pt idx="712">
                  <c:v>-176</c:v>
                </c:pt>
                <c:pt idx="713">
                  <c:v>-176.5</c:v>
                </c:pt>
                <c:pt idx="714">
                  <c:v>-177</c:v>
                </c:pt>
                <c:pt idx="715">
                  <c:v>-177.5</c:v>
                </c:pt>
                <c:pt idx="716">
                  <c:v>-178</c:v>
                </c:pt>
                <c:pt idx="717">
                  <c:v>-178.5</c:v>
                </c:pt>
                <c:pt idx="718">
                  <c:v>-179</c:v>
                </c:pt>
                <c:pt idx="719">
                  <c:v>-179.5</c:v>
                </c:pt>
                <c:pt idx="720">
                  <c:v>-180</c:v>
                </c:pt>
              </c:numCache>
            </c:numRef>
          </c:xVal>
          <c:yVal>
            <c:numRef>
              <c:f>Tres_avances!$U$5:$U$725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4.6033346729217515</c:v>
                </c:pt>
                <c:pt idx="276">
                  <c:v>4.6838282643979383</c:v>
                </c:pt>
                <c:pt idx="277">
                  <c:v>4.7661189310785605</c:v>
                </c:pt>
                <c:pt idx="278">
                  <c:v>4.8502428963503164</c:v>
                </c:pt>
                <c:pt idx="279">
                  <c:v>4.9362364384492903</c:v>
                </c:pt>
                <c:pt idx="280">
                  <c:v>5.024135818595048</c:v>
                </c:pt>
                <c:pt idx="281">
                  <c:v>5.1139772021108811</c:v>
                </c:pt>
                <c:pt idx="282">
                  <c:v>5.2057965720721358</c:v>
                </c:pt>
                <c:pt idx="283">
                  <c:v>5.2996296350088352</c:v>
                </c:pt>
                <c:pt idx="284">
                  <c:v>5.3955117181735694</c:v>
                </c:pt>
                <c:pt idx="285">
                  <c:v>5.4934776578723703</c:v>
                </c:pt>
                <c:pt idx="286">
                  <c:v>5.5935616783449866</c:v>
                </c:pt>
                <c:pt idx="287">
                  <c:v>5.6957972606717471</c:v>
                </c:pt>
                <c:pt idx="288">
                  <c:v>5.80021700117838</c:v>
                </c:pt>
                <c:pt idx="289">
                  <c:v>5.9068524588072222</c:v>
                </c:pt>
                <c:pt idx="290">
                  <c:v>6.0157339909247796</c:v>
                </c:pt>
                <c:pt idx="291">
                  <c:v>6.1268905770417605</c:v>
                </c:pt>
                <c:pt idx="292">
                  <c:v>6.2403496299330925</c:v>
                </c:pt>
                <c:pt idx="293">
                  <c:v>6.3561367936632998</c:v>
                </c:pt>
                <c:pt idx="294">
                  <c:v>6.474275728047596</c:v>
                </c:pt>
                <c:pt idx="295">
                  <c:v>6.5947878791117649</c:v>
                </c:pt>
                <c:pt idx="296">
                  <c:v>6.7176922351560417</c:v>
                </c:pt>
                <c:pt idx="297">
                  <c:v>6.8430050680798962</c:v>
                </c:pt>
                <c:pt idx="298">
                  <c:v>6.9707396596879816</c:v>
                </c:pt>
                <c:pt idx="299">
                  <c:v>7.1009060127726942</c:v>
                </c:pt>
                <c:pt idx="300">
                  <c:v>7.2335105468578709</c:v>
                </c:pt>
                <c:pt idx="301">
                  <c:v>7.3685557785910527</c:v>
                </c:pt>
                <c:pt idx="302">
                  <c:v>7.5060399868917722</c:v>
                </c:pt>
                <c:pt idx="303">
                  <c:v>7.6459568630988599</c:v>
                </c:pt>
                <c:pt idx="304">
                  <c:v>7.7882951465147201</c:v>
                </c:pt>
                <c:pt idx="305">
                  <c:v>7.9330382459174604</c:v>
                </c:pt>
                <c:pt idx="306">
                  <c:v>8.080163847805947</c:v>
                </c:pt>
                <c:pt idx="307">
                  <c:v>8.2296435123565956</c:v>
                </c:pt>
                <c:pt idx="308">
                  <c:v>8.381442258307171</c:v>
                </c:pt>
                <c:pt idx="309">
                  <c:v>8.5355181382400183</c:v>
                </c:pt>
                <c:pt idx="310">
                  <c:v>8.6918218060164509</c:v>
                </c:pt>
                <c:pt idx="311">
                  <c:v>8.8502960784148286</c:v>
                </c:pt>
                <c:pt idx="312">
                  <c:v>9.0108754933457398</c:v>
                </c:pt>
                <c:pt idx="313">
                  <c:v>9.173485867358151</c:v>
                </c:pt>
                <c:pt idx="314">
                  <c:v>9.3380438555080385</c:v>
                </c:pt>
                <c:pt idx="315">
                  <c:v>9.5044565170328568</c:v>
                </c:pt>
                <c:pt idx="316">
                  <c:v>9.6726208906595392</c:v>
                </c:pt>
                <c:pt idx="317">
                  <c:v>9.8424235837635088</c:v>
                </c:pt>
                <c:pt idx="318">
                  <c:v>10.013740379990242</c:v>
                </c:pt>
                <c:pt idx="319">
                  <c:v>10.186435870339222</c:v>
                </c:pt>
                <c:pt idx="320">
                  <c:v>10.360363113089631</c:v>
                </c:pt>
                <c:pt idx="321">
                  <c:v>10.535363328307028</c:v>
                </c:pt>
                <c:pt idx="322">
                  <c:v>10.711265633003194</c:v>
                </c:pt>
                <c:pt idx="323">
                  <c:v>10.887886823317414</c:v>
                </c:pt>
                <c:pt idx="324">
                  <c:v>11.065031210336159</c:v>
                </c:pt>
                <c:pt idx="325">
                  <c:v>11.242490516356877</c:v>
                </c:pt>
                <c:pt idx="326">
                  <c:v>11.420043838520682</c:v>
                </c:pt>
                <c:pt idx="327">
                  <c:v>11.597457686773055</c:v>
                </c:pt>
                <c:pt idx="328">
                  <c:v>11.774486103051757</c:v>
                </c:pt>
                <c:pt idx="329">
                  <c:v>11.950870868431339</c:v>
                </c:pt>
                <c:pt idx="330">
                  <c:v>12.126341804664458</c:v>
                </c:pt>
                <c:pt idx="331">
                  <c:v>12.300617176140848</c:v>
                </c:pt>
                <c:pt idx="332">
                  <c:v>12.473404197722738</c:v>
                </c:pt>
                <c:pt idx="333">
                  <c:v>12.644399653207032</c:v>
                </c:pt>
                <c:pt idx="334">
                  <c:v>12.813290628301043</c:v>
                </c:pt>
                <c:pt idx="335">
                  <c:v>12.97975536097953</c:v>
                </c:pt>
                <c:pt idx="336">
                  <c:v>13.143464210914832</c:v>
                </c:pt>
                <c:pt idx="337">
                  <c:v>13.304080748347879</c:v>
                </c:pt>
                <c:pt idx="338">
                  <c:v>13.461262961297823</c:v>
                </c:pt>
                <c:pt idx="339">
                  <c:v>13.614664578413283</c:v>
                </c:pt>
                <c:pt idx="340">
                  <c:v>13.763936503061698</c:v>
                </c:pt>
                <c:pt idx="341">
                  <c:v>13.908728352459104</c:v>
                </c:pt>
                <c:pt idx="342">
                  <c:v>14.04869009379118</c:v>
                </c:pt>
                <c:pt idx="343">
                  <c:v>14.183473767397132</c:v>
                </c:pt>
                <c:pt idx="344">
                  <c:v>14.312735285220532</c:v>
                </c:pt>
                <c:pt idx="345">
                  <c:v>14.436136290913105</c:v>
                </c:pt>
                <c:pt idx="346">
                  <c:v>14.553346066252981</c:v>
                </c:pt>
                <c:pt idx="347">
                  <c:v>14.664043466953874</c:v>
                </c:pt>
                <c:pt idx="348">
                  <c:v>14.767918869536354</c:v>
                </c:pt>
                <c:pt idx="349">
                  <c:v>14.864676109755639</c:v>
                </c:pt>
                <c:pt idx="350">
                  <c:v>14.954034392170891</c:v>
                </c:pt>
                <c:pt idx="351">
                  <c:v>15.035730149834537</c:v>
                </c:pt>
                <c:pt idx="352">
                  <c:v>15.109518832812107</c:v>
                </c:pt>
                <c:pt idx="353">
                  <c:v>15.175176604336544</c:v>
                </c:pt>
                <c:pt idx="354">
                  <c:v>15.232501923870371</c:v>
                </c:pt>
                <c:pt idx="355">
                  <c:v>15.281316997206222</c:v>
                </c:pt>
                <c:pt idx="356">
                  <c:v>15.321469074977401</c:v>
                </c:pt>
                <c:pt idx="357">
                  <c:v>15.352831582558789</c:v>
                </c:pt>
                <c:pt idx="358">
                  <c:v>15.375305066297368</c:v>
                </c:pt>
                <c:pt idx="359">
                  <c:v>15.388817943283314</c:v>
                </c:pt>
                <c:pt idx="360">
                  <c:v>15.393327044416075</c:v>
                </c:pt>
                <c:pt idx="361">
                  <c:v>15.388817943283316</c:v>
                </c:pt>
                <c:pt idx="362">
                  <c:v>15.375305066297368</c:v>
                </c:pt>
                <c:pt idx="363">
                  <c:v>15.352831582558787</c:v>
                </c:pt>
                <c:pt idx="364">
                  <c:v>15.321469074977397</c:v>
                </c:pt>
                <c:pt idx="365">
                  <c:v>15.281316997206215</c:v>
                </c:pt>
                <c:pt idx="366">
                  <c:v>15.232501923870363</c:v>
                </c:pt>
                <c:pt idx="367">
                  <c:v>15.175176604336531</c:v>
                </c:pt>
                <c:pt idx="368">
                  <c:v>15.109518832812094</c:v>
                </c:pt>
                <c:pt idx="369">
                  <c:v>15.035730149834523</c:v>
                </c:pt>
                <c:pt idx="370">
                  <c:v>14.954034392170879</c:v>
                </c:pt>
                <c:pt idx="371">
                  <c:v>14.864676109755628</c:v>
                </c:pt>
                <c:pt idx="372">
                  <c:v>14.767918869536345</c:v>
                </c:pt>
                <c:pt idx="373">
                  <c:v>14.664043466953865</c:v>
                </c:pt>
                <c:pt idx="374">
                  <c:v>14.553346066252972</c:v>
                </c:pt>
                <c:pt idx="375">
                  <c:v>14.436136290913094</c:v>
                </c:pt>
                <c:pt idx="376">
                  <c:v>14.312735285220519</c:v>
                </c:pt>
                <c:pt idx="377">
                  <c:v>14.183473767397123</c:v>
                </c:pt>
                <c:pt idx="378">
                  <c:v>14.048690093791173</c:v>
                </c:pt>
                <c:pt idx="379">
                  <c:v>13.908728352459098</c:v>
                </c:pt>
                <c:pt idx="380">
                  <c:v>13.763936503061696</c:v>
                </c:pt>
                <c:pt idx="381">
                  <c:v>13.614664578413281</c:v>
                </c:pt>
                <c:pt idx="382">
                  <c:v>13.461262961297821</c:v>
                </c:pt>
                <c:pt idx="383">
                  <c:v>13.304080748347879</c:v>
                </c:pt>
                <c:pt idx="384">
                  <c:v>13.143464210914832</c:v>
                </c:pt>
                <c:pt idx="385">
                  <c:v>12.97975536097953</c:v>
                </c:pt>
                <c:pt idx="386">
                  <c:v>12.813290628301045</c:v>
                </c:pt>
                <c:pt idx="387">
                  <c:v>12.64439965320703</c:v>
                </c:pt>
                <c:pt idx="388">
                  <c:v>12.473404197722736</c:v>
                </c:pt>
                <c:pt idx="389">
                  <c:v>12.300617176140848</c:v>
                </c:pt>
                <c:pt idx="390">
                  <c:v>12.126341804664458</c:v>
                </c:pt>
                <c:pt idx="391">
                  <c:v>11.950870868431338</c:v>
                </c:pt>
                <c:pt idx="392">
                  <c:v>11.774486103051757</c:v>
                </c:pt>
                <c:pt idx="393">
                  <c:v>11.597457686773055</c:v>
                </c:pt>
                <c:pt idx="394">
                  <c:v>11.42004383852068</c:v>
                </c:pt>
                <c:pt idx="395">
                  <c:v>11.242518560639214</c:v>
                </c:pt>
                <c:pt idx="396">
                  <c:v>11.065556619468065</c:v>
                </c:pt>
                <c:pt idx="397">
                  <c:v>10.890112527211519</c:v>
                </c:pt>
                <c:pt idx="398">
                  <c:v>10.717096219198277</c:v>
                </c:pt>
                <c:pt idx="399">
                  <c:v>10.54736428391876</c:v>
                </c:pt>
                <c:pt idx="400">
                  <c:v>10.381719731592254</c:v>
                </c:pt>
                <c:pt idx="401">
                  <c:v>10.220911852905362</c:v>
                </c:pt>
                <c:pt idx="402">
                  <c:v>10.065636160685548</c:v>
                </c:pt>
                <c:pt idx="403">
                  <c:v>9.9165344079631694</c:v>
                </c:pt>
                <c:pt idx="404">
                  <c:v>9.7741946767483991</c:v>
                </c:pt>
                <c:pt idx="405">
                  <c:v>9.6391515328653519</c:v>
                </c:pt>
                <c:pt idx="406">
                  <c:v>9.5118862433066838</c:v>
                </c:pt>
                <c:pt idx="407">
                  <c:v>9.3928270537615397</c:v>
                </c:pt>
                <c:pt idx="408">
                  <c:v>9.2823495251950678</c:v>
                </c:pt>
                <c:pt idx="409">
                  <c:v>9.1807769295835868</c:v>
                </c:pt>
                <c:pt idx="410">
                  <c:v>9.0883807061095734</c:v>
                </c:pt>
                <c:pt idx="411">
                  <c:v>9.0053809802629399</c:v>
                </c:pt>
                <c:pt idx="412">
                  <c:v>8.9319471493581748</c:v>
                </c:pt>
                <c:pt idx="413">
                  <c:v>8.8681985389343492</c:v>
                </c:pt>
                <c:pt idx="414">
                  <c:v>8.8142051353380744</c:v>
                </c:pt>
                <c:pt idx="415">
                  <c:v>8.7699884004790345</c:v>
                </c:pt>
                <c:pt idx="416">
                  <c:v>8.735522175277616</c:v>
                </c:pt>
                <c:pt idx="417">
                  <c:v>8.7107336786816809</c:v>
                </c:pt>
                <c:pt idx="418">
                  <c:v>8.6955046093030841</c:v>
                </c:pt>
                <c:pt idx="419">
                  <c:v>8.6896723567055449</c:v>
                </c:pt>
                <c:pt idx="420">
                  <c:v>8.6930313291595596</c:v>
                </c:pt>
                <c:pt idx="421">
                  <c:v>8.7053344042620697</c:v>
                </c:pt>
                <c:pt idx="422">
                  <c:v>8.7262945082005192</c:v>
                </c:pt>
                <c:pt idx="423">
                  <c:v>8.7555863286234388</c:v>
                </c:pt>
                <c:pt idx="424">
                  <c:v>8.7928481650704153</c:v>
                </c:pt>
                <c:pt idx="425">
                  <c:v>8.837683919719213</c:v>
                </c:pt>
                <c:pt idx="426">
                  <c:v>8.8896652298420182</c:v>
                </c:pt>
                <c:pt idx="427">
                  <c:v>8.9483337418371693</c:v>
                </c:pt>
                <c:pt idx="428">
                  <c:v>9.0132035250381239</c:v>
                </c:pt>
                <c:pt idx="429">
                  <c:v>9.0837636217162707</c:v>
                </c:pt>
                <c:pt idx="430">
                  <c:v>9.15948072781371</c:v>
                </c:pt>
                <c:pt idx="431">
                  <c:v>9.2398019969905505</c:v>
                </c:pt>
                <c:pt idx="432">
                  <c:v>9.3241579585787981</c:v>
                </c:pt>
                <c:pt idx="433">
                  <c:v>9.4119655380307865</c:v>
                </c:pt>
                <c:pt idx="434">
                  <c:v>9.5026311664673599</c:v>
                </c:pt>
                <c:pt idx="435">
                  <c:v>9.5955539640033862</c:v>
                </c:pt>
                <c:pt idx="436">
                  <c:v>9.6901289796891401</c:v>
                </c:pt>
                <c:pt idx="437">
                  <c:v>9.7857504691916244</c:v>
                </c:pt>
                <c:pt idx="438">
                  <c:v>9.881815189783886</c:v>
                </c:pt>
                <c:pt idx="439">
                  <c:v>9.9777256908457215</c:v>
                </c:pt>
                <c:pt idx="440">
                  <c:v>10.072893576939284</c:v>
                </c:pt>
                <c:pt idx="441">
                  <c:v>10.166742719635964</c:v>
                </c:pt>
                <c:pt idx="442">
                  <c:v>10.258712393664489</c:v>
                </c:pt>
                <c:pt idx="443">
                  <c:v>10.34826031264747</c:v>
                </c:pt>
                <c:pt idx="444">
                  <c:v>10.434865539712115</c:v>
                </c:pt>
                <c:pt idx="445">
                  <c:v>10.518031248617337</c:v>
                </c:pt>
                <c:pt idx="446">
                  <c:v>10.597287311739176</c:v>
                </c:pt>
                <c:pt idx="447">
                  <c:v>10.672192692306538</c:v>
                </c:pt>
                <c:pt idx="448">
                  <c:v>10.742337619671343</c:v>
                </c:pt>
                <c:pt idx="449">
                  <c:v>10.807345528127867</c:v>
                </c:pt>
                <c:pt idx="450">
                  <c:v>10.866874741843336</c:v>
                </c:pt>
                <c:pt idx="451">
                  <c:v>10.920619890808506</c:v>
                </c:pt>
                <c:pt idx="452">
                  <c:v>10.96831304533038</c:v>
                </c:pt>
                <c:pt idx="453">
                  <c:v>11.009724559438638</c:v>
                </c:pt>
                <c:pt idx="454">
                  <c:v>11.044663616619596</c:v>
                </c:pt>
                <c:pt idx="455">
                  <c:v>11.072978474484769</c:v>
                </c:pt>
                <c:pt idx="456">
                  <c:v>11.094556408274856</c:v>
                </c:pt>
                <c:pt idx="457">
                  <c:v>11.10932335644428</c:v>
                </c:pt>
                <c:pt idx="458">
                  <c:v>11.117243274910457</c:v>
                </c:pt>
                <c:pt idx="459">
                  <c:v>11.118317209833139</c:v>
                </c:pt>
                <c:pt idx="460">
                  <c:v>11.112582101955592</c:v>
                </c:pt>
                <c:pt idx="461">
                  <c:v>11.100109338539511</c:v>
                </c:pt>
                <c:pt idx="462">
                  <c:v>11.081003071706139</c:v>
                </c:pt>
                <c:pt idx="463">
                  <c:v>11.055398324511723</c:v>
                </c:pt>
                <c:pt idx="464">
                  <c:v>11.023458908291593</c:v>
                </c:pt>
                <c:pt idx="465">
                  <c:v>10.985375176666897</c:v>
                </c:pt>
                <c:pt idx="466">
                  <c:v>10.941361643091126</c:v>
                </c:pt>
                <c:pt idx="467">
                  <c:v>10.891654489895725</c:v>
                </c:pt>
                <c:pt idx="468">
                  <c:v>10.83650899745958</c:v>
                </c:pt>
                <c:pt idx="469">
                  <c:v>10.776196922368426</c:v>
                </c:pt>
                <c:pt idx="470">
                  <c:v>10.711003853248391</c:v>
                </c:pt>
                <c:pt idx="471">
                  <c:v>10.641226572360729</c:v>
                </c:pt>
                <c:pt idx="472">
                  <c:v>10.567170450050661</c:v>
                </c:pt>
                <c:pt idx="473">
                  <c:v>10.489146897776669</c:v>
                </c:pt>
                <c:pt idx="474">
                  <c:v>10.407470903737901</c:v>
                </c:pt>
                <c:pt idx="475">
                  <c:v>10.322458673107272</c:v>
                </c:pt>
                <c:pt idx="476">
                  <c:v>10.234425392606747</c:v>
                </c:pt>
                <c:pt idx="477">
                  <c:v>10.143683136679172</c:v>
                </c:pt>
                <c:pt idx="478">
                  <c:v>10.050538929866466</c:v>
                </c:pt>
                <c:pt idx="479">
                  <c:v>9.9552929772513394</c:v>
                </c:pt>
                <c:pt idx="480">
                  <c:v>9.8582370720100556</c:v>
                </c:pt>
                <c:pt idx="481">
                  <c:v>9.7596531863110432</c:v>
                </c:pt>
                <c:pt idx="482">
                  <c:v>9.6598122490278708</c:v>
                </c:pt>
                <c:pt idx="483">
                  <c:v>9.5589731110633416</c:v>
                </c:pt>
                <c:pt idx="484">
                  <c:v>9.457381696547758</c:v>
                </c:pt>
                <c:pt idx="485">
                  <c:v>9.3552703358165807</c:v>
                </c:pt>
                <c:pt idx="486">
                  <c:v>9.2528572739265087</c:v>
                </c:pt>
                <c:pt idx="487">
                  <c:v>9.1503463465574928</c:v>
                </c:pt>
                <c:pt idx="488">
                  <c:v>9.047926813497142</c:v>
                </c:pt>
                <c:pt idx="489">
                  <c:v>8.9457733385224554</c:v>
                </c:pt>
                <c:pt idx="490">
                  <c:v>8.8440461033936426</c:v>
                </c:pt>
                <c:pt idx="491">
                  <c:v>8.7428910428541631</c:v>
                </c:pt>
                <c:pt idx="492">
                  <c:v>8.6424401869864589</c:v>
                </c:pt>
                <c:pt idx="493">
                  <c:v>8.5428120969942292</c:v>
                </c:pt>
                <c:pt idx="494">
                  <c:v>8.4441123804521503</c:v>
                </c:pt>
                <c:pt idx="495">
                  <c:v>8.3464342722656006</c:v>
                </c:pt>
                <c:pt idx="496">
                  <c:v>8.2498592679907397</c:v>
                </c:pt>
                <c:pt idx="497">
                  <c:v>8.1544577967556204</c:v>
                </c:pt>
                <c:pt idx="498">
                  <c:v>8.0602899217665023</c:v>
                </c:pt>
                <c:pt idx="499">
                  <c:v>7.9674060572532719</c:v>
                </c:pt>
                <c:pt idx="500">
                  <c:v>7.8758476916737017</c:v>
                </c:pt>
                <c:pt idx="501">
                  <c:v>7.7856481080315838</c:v>
                </c:pt>
                <c:pt idx="502">
                  <c:v>7.6968330932398636</c:v>
                </c:pt>
                <c:pt idx="503">
                  <c:v>7.6094216295532542</c:v>
                </c:pt>
                <c:pt idx="504">
                  <c:v>7.5234265621806475</c:v>
                </c:pt>
                <c:pt idx="505">
                  <c:v>7.4388552382468927</c:v>
                </c:pt>
                <c:pt idx="506">
                  <c:v>7.3557101132879961</c:v>
                </c:pt>
                <c:pt idx="507">
                  <c:v>7.2739893224180667</c:v>
                </c:pt>
                <c:pt idx="508">
                  <c:v>7.1936872141902297</c:v>
                </c:pt>
                <c:pt idx="509">
                  <c:v>7.1147948459771015</c:v>
                </c:pt>
                <c:pt idx="510">
                  <c:v>7.0373004404142572</c:v>
                </c:pt>
                <c:pt idx="511">
                  <c:v>6.9611898030788018</c:v>
                </c:pt>
                <c:pt idx="512">
                  <c:v>6.8864467021142728</c:v>
                </c:pt>
                <c:pt idx="513">
                  <c:v>6.8130532109638349</c:v>
                </c:pt>
                <c:pt idx="514">
                  <c:v>6.7409900157390874</c:v>
                </c:pt>
                <c:pt idx="515">
                  <c:v>6.6702366890371021</c:v>
                </c:pt>
                <c:pt idx="516">
                  <c:v>6.6007719322289811</c:v>
                </c:pt>
                <c:pt idx="517">
                  <c:v>6.5325737883861494</c:v>
                </c:pt>
                <c:pt idx="518">
                  <c:v>6.4656198280932147</c:v>
                </c:pt>
                <c:pt idx="519">
                  <c:v>6.3998873104265206</c:v>
                </c:pt>
                <c:pt idx="520">
                  <c:v>6.3353533213623008</c:v>
                </c:pt>
                <c:pt idx="521">
                  <c:v>6.271994891826191</c:v>
                </c:pt>
                <c:pt idx="522">
                  <c:v>6.2097890975135295</c:v>
                </c:pt>
                <c:pt idx="523">
                  <c:v>6.148713142503853</c:v>
                </c:pt>
                <c:pt idx="524">
                  <c:v>6.0887444285701271</c:v>
                </c:pt>
                <c:pt idx="525">
                  <c:v>6.0298606119484495</c:v>
                </c:pt>
                <c:pt idx="526">
                  <c:v>5.9720396491925278</c:v>
                </c:pt>
                <c:pt idx="527">
                  <c:v>5.9152598335931224</c:v>
                </c:pt>
                <c:pt idx="528">
                  <c:v>5.8594998234991698</c:v>
                </c:pt>
                <c:pt idx="529">
                  <c:v>5.8047386637379592</c:v>
                </c:pt>
                <c:pt idx="530">
                  <c:v>5.7509558011976933</c:v>
                </c:pt>
                <c:pt idx="531">
                  <c:v>5.6981310955096447</c:v>
                </c:pt>
                <c:pt idx="532">
                  <c:v>5.6462448256496494</c:v>
                </c:pt>
                <c:pt idx="533">
                  <c:v>5.5952776931703179</c:v>
                </c:pt>
                <c:pt idx="534">
                  <c:v>5.5452108226771308</c:v>
                </c:pt>
                <c:pt idx="535">
                  <c:v>5.4960257600728255</c:v>
                </c:pt>
                <c:pt idx="536">
                  <c:v>5.4477044690155019</c:v>
                </c:pt>
                <c:pt idx="537">
                  <c:v>5.4002293259660581</c:v>
                </c:pt>
                <c:pt idx="538">
                  <c:v>5.3535831141393198</c:v>
                </c:pt>
                <c:pt idx="539">
                  <c:v>5.3077490166202708</c:v>
                </c:pt>
                <c:pt idx="540">
                  <c:v>5.2627106088607585</c:v>
                </c:pt>
                <c:pt idx="541">
                  <c:v>5.2184518507332758</c:v>
                </c:pt>
                <c:pt idx="542">
                  <c:v>5.1749570782849768</c:v>
                </c:pt>
                <c:pt idx="543">
                  <c:v>5.1322109953073403</c:v>
                </c:pt>
                <c:pt idx="544">
                  <c:v>5.0901986648134887</c:v>
                </c:pt>
                <c:pt idx="545">
                  <c:v>5.0489055004959589</c:v>
                </c:pt>
                <c:pt idx="546">
                  <c:v>5.008317258221628</c:v>
                </c:pt>
                <c:pt idx="547">
                  <c:v>4.9684200276076851</c:v>
                </c:pt>
                <c:pt idx="548">
                  <c:v>4.929200223711903</c:v>
                </c:pt>
                <c:pt idx="549">
                  <c:v>4.8906445788619255</c:v>
                </c:pt>
                <c:pt idx="550">
                  <c:v>4.8527401346416248</c:v>
                </c:pt>
                <c:pt idx="551">
                  <c:v>4.8154742340471515</c:v>
                </c:pt>
                <c:pt idx="552">
                  <c:v>4.7788345138210069</c:v>
                </c:pt>
                <c:pt idx="553">
                  <c:v>4.7428088969692999</c:v>
                </c:pt>
                <c:pt idx="554">
                  <c:v>4.7073855854646869</c:v>
                </c:pt>
                <c:pt idx="555">
                  <c:v>4.672553053135645</c:v>
                </c:pt>
                <c:pt idx="556">
                  <c:v>4.6383000387412237</c:v>
                </c:pt>
                <c:pt idx="557">
                  <c:v>4.6046155392292549</c:v>
                </c:pt>
                <c:pt idx="558">
                  <c:v>4.5714888031753915</c:v>
                </c:pt>
                <c:pt idx="559">
                  <c:v>4.5389093243995351</c:v>
                </c:pt>
                <c:pt idx="560">
                  <c:v>4.5068668357560133</c:v>
                </c:pt>
                <c:pt idx="561">
                  <c:v>4.4753513030934995</c:v>
                </c:pt>
                <c:pt idx="562">
                  <c:v>4.4443529193805364</c:v>
                </c:pt>
                <c:pt idx="563">
                  <c:v>4.4138620989924027</c:v>
                </c:pt>
                <c:pt idx="564">
                  <c:v>4.3838694721551503</c:v>
                </c:pt>
                <c:pt idx="565">
                  <c:v>4.3543658795424589</c:v>
                </c:pt>
                <c:pt idx="566">
                  <c:v>4.3253423670211459</c:v>
                </c:pt>
                <c:pt idx="567">
                  <c:v>4.2967901805412572</c:v>
                </c:pt>
                <c:pt idx="568">
                  <c:v>4.2687007611665182</c:v>
                </c:pt>
                <c:pt idx="569">
                  <c:v>4.2410657402413294</c:v>
                </c:pt>
                <c:pt idx="570">
                  <c:v>4.2138769346902931</c:v>
                </c:pt>
                <c:pt idx="571">
                  <c:v>4.1871263424465717</c:v>
                </c:pt>
                <c:pt idx="572">
                  <c:v>4.1608061380053378</c:v>
                </c:pt>
                <c:pt idx="573">
                  <c:v>4.134908668098717</c:v>
                </c:pt>
                <c:pt idx="574">
                  <c:v>4.1094264474888185</c:v>
                </c:pt>
                <c:pt idx="575">
                  <c:v>4.0843521548753374</c:v>
                </c:pt>
                <c:pt idx="576">
                  <c:v>4.0596786289145488</c:v>
                </c:pt>
                <c:pt idx="577">
                  <c:v>4.0353988643463987</c:v>
                </c:pt>
                <c:pt idx="578">
                  <c:v>4.0115060082266716</c:v>
                </c:pt>
                <c:pt idx="579">
                  <c:v>3.9879933562611454</c:v>
                </c:pt>
                <c:pt idx="580">
                  <c:v>3.9648543492388635</c:v>
                </c:pt>
                <c:pt idx="581">
                  <c:v>3.942082569561622</c:v>
                </c:pt>
                <c:pt idx="582">
                  <c:v>3.9196717378670005</c:v>
                </c:pt>
                <c:pt idx="583">
                  <c:v>3.897615709742154</c:v>
                </c:pt>
                <c:pt idx="584">
                  <c:v>3.8759084725258548</c:v>
                </c:pt>
                <c:pt idx="585">
                  <c:v>3.8545441421962257</c:v>
                </c:pt>
                <c:pt idx="586">
                  <c:v>3.8335169603417256</c:v>
                </c:pt>
                <c:pt idx="587">
                  <c:v>3.8128212912130133</c:v>
                </c:pt>
                <c:pt idx="588">
                  <c:v>3.792451618853383</c:v>
                </c:pt>
                <c:pt idx="589">
                  <c:v>3.7724025443055633</c:v>
                </c:pt>
                <c:pt idx="590">
                  <c:v>3.7526687828926635</c:v>
                </c:pt>
                <c:pt idx="591">
                  <c:v>3.7332451615712228</c:v>
                </c:pt>
                <c:pt idx="592">
                  <c:v>3.7141266163542639</c:v>
                </c:pt>
                <c:pt idx="593">
                  <c:v>3.6953081898024402</c:v>
                </c:pt>
                <c:pt idx="594">
                  <c:v>3.6767850285812633</c:v>
                </c:pt>
                <c:pt idx="595">
                  <c:v>3.6585523810826541</c:v>
                </c:pt>
                <c:pt idx="596">
                  <c:v>3.6406055951089211</c:v>
                </c:pt>
                <c:pt idx="597">
                  <c:v>3.6229401156174728</c:v>
                </c:pt>
                <c:pt idx="598">
                  <c:v>3.6055514825245139</c:v>
                </c:pt>
                <c:pt idx="599">
                  <c:v>3.5884353285661206</c:v>
                </c:pt>
                <c:pt idx="600">
                  <c:v>3.5715873772150699</c:v>
                </c:pt>
                <c:pt idx="601">
                  <c:v>3.5550034406518516</c:v>
                </c:pt>
                <c:pt idx="602">
                  <c:v>3.5386794177884111</c:v>
                </c:pt>
                <c:pt idx="603">
                  <c:v>3.5226112923430803</c:v>
                </c:pt>
                <c:pt idx="604">
                  <c:v>3.5067951309653793</c:v>
                </c:pt>
                <c:pt idx="605">
                  <c:v>3.4912270814091895</c:v>
                </c:pt>
                <c:pt idx="606">
                  <c:v>3.4759033707530955</c:v>
                </c:pt>
                <c:pt idx="607">
                  <c:v>3.4608203036664782</c:v>
                </c:pt>
                <c:pt idx="608">
                  <c:v>3.4459742607201878</c:v>
                </c:pt>
                <c:pt idx="609">
                  <c:v>3.4313616967405385</c:v>
                </c:pt>
                <c:pt idx="610">
                  <c:v>3.4169791392054392</c:v>
                </c:pt>
                <c:pt idx="611">
                  <c:v>3.4028231866815388</c:v>
                </c:pt>
                <c:pt idx="612">
                  <c:v>3.388890507301229</c:v>
                </c:pt>
                <c:pt idx="613">
                  <c:v>3.3751778372784638</c:v>
                </c:pt>
                <c:pt idx="614">
                  <c:v>3.3616819794623223</c:v>
                </c:pt>
                <c:pt idx="615">
                  <c:v>3.3483998019273131</c:v>
                </c:pt>
                <c:pt idx="616">
                  <c:v>3.3353282365993993</c:v>
                </c:pt>
                <c:pt idx="617">
                  <c:v>3.3224642779168381</c:v>
                </c:pt>
                <c:pt idx="618">
                  <c:v>3.3098049815248469</c:v>
                </c:pt>
                <c:pt idx="619">
                  <c:v>3.2973474630032382</c:v>
                </c:pt>
                <c:pt idx="620">
                  <c:v>3.2850888966261156</c:v>
                </c:pt>
                <c:pt idx="621">
                  <c:v>3.2730265141527974</c:v>
                </c:pt>
                <c:pt idx="622">
                  <c:v>3.261157603649143</c:v>
                </c:pt>
                <c:pt idx="623">
                  <c:v>3.2494795083384553</c:v>
                </c:pt>
                <c:pt idx="624">
                  <c:v>3.2379896254812355</c:v>
                </c:pt>
                <c:pt idx="625">
                  <c:v>3.2266854052829559</c:v>
                </c:pt>
                <c:pt idx="626">
                  <c:v>3.215564349829203</c:v>
                </c:pt>
                <c:pt idx="627">
                  <c:v>3.2046240120474083</c:v>
                </c:pt>
                <c:pt idx="628">
                  <c:v>3.1938619946945286</c:v>
                </c:pt>
                <c:pt idx="629">
                  <c:v>3.1832759493699729</c:v>
                </c:pt>
                <c:pt idx="630">
                  <c:v>3.1728635755531354</c:v>
                </c:pt>
                <c:pt idx="631">
                  <c:v>3.1626226196649152</c:v>
                </c:pt>
                <c:pt idx="632">
                  <c:v>3.1525508741525816</c:v>
                </c:pt>
                <c:pt idx="633">
                  <c:v>3.142646176597419</c:v>
                </c:pt>
                <c:pt idx="634">
                  <c:v>3.1329064088445655</c:v>
                </c:pt>
                <c:pt idx="635">
                  <c:v>3.1233294961544598</c:v>
                </c:pt>
                <c:pt idx="636">
                  <c:v>3.1139134063753917</c:v>
                </c:pt>
                <c:pt idx="637">
                  <c:v>3.1046561491366091</c:v>
                </c:pt>
                <c:pt idx="638">
                  <c:v>3.0955557750614484</c:v>
                </c:pt>
                <c:pt idx="639">
                  <c:v>3.0866103750000304</c:v>
                </c:pt>
                <c:pt idx="640">
                  <c:v>3.0778180792809939</c:v>
                </c:pt>
                <c:pt idx="641">
                  <c:v>3.0691770569818519</c:v>
                </c:pt>
                <c:pt idx="642">
                  <c:v>3.0606855152174535</c:v>
                </c:pt>
                <c:pt idx="643">
                  <c:v>3.0523416984461469</c:v>
                </c:pt>
                <c:pt idx="644">
                  <c:v>3.0441438877932137</c:v>
                </c:pt>
                <c:pt idx="645">
                  <c:v>3.0360904003911391</c:v>
                </c:pt>
                <c:pt idx="646">
                  <c:v>3.0281795887363261</c:v>
                </c:pt>
                <c:pt idx="647">
                  <c:v>3.0204098400618569</c:v>
                </c:pt>
                <c:pt idx="648">
                  <c:v>3.0127795757259128</c:v>
                </c:pt>
                <c:pt idx="649">
                  <c:v>3.0052872506155062</c:v>
                </c:pt>
                <c:pt idx="650">
                  <c:v>2.9979313525651214</c:v>
                </c:pt>
                <c:pt idx="651">
                  <c:v>2.9907104017899693</c:v>
                </c:pt>
                <c:pt idx="652">
                  <c:v>2.9836229503334617</c:v>
                </c:pt>
                <c:pt idx="653">
                  <c:v>2.976667581528623</c:v>
                </c:pt>
                <c:pt idx="654">
                  <c:v>2.9698429094730923</c:v>
                </c:pt>
                <c:pt idx="655">
                  <c:v>2.9631475785173991</c:v>
                </c:pt>
                <c:pt idx="656">
                  <c:v>2.9565802627662561</c:v>
                </c:pt>
                <c:pt idx="657">
                  <c:v>2.9501396655925136</c:v>
                </c:pt>
                <c:pt idx="658">
                  <c:v>2.9438245191635413</c:v>
                </c:pt>
                <c:pt idx="659">
                  <c:v>2.9376335839797427</c:v>
                </c:pt>
                <c:pt idx="660">
                  <c:v>2.9315656484249311</c:v>
                </c:pt>
                <c:pt idx="661">
                  <c:v>2.9256195283283248</c:v>
                </c:pt>
                <c:pt idx="662">
                  <c:v>2.9197940665378836</c:v>
                </c:pt>
                <c:pt idx="663">
                  <c:v>2.9140881325047769</c:v>
                </c:pt>
                <c:pt idx="664">
                  <c:v>2.9085006218786988</c:v>
                </c:pt>
                <c:pt idx="665">
                  <c:v>2.9030304561138682</c:v>
                </c:pt>
                <c:pt idx="666">
                  <c:v>2.8976765820854133</c:v>
                </c:pt>
                <c:pt idx="667">
                  <c:v>2.8924379717159905</c:v>
                </c:pt>
                <c:pt idx="668">
                  <c:v>2.8873136216123783</c:v>
                </c:pt>
                <c:pt idx="669">
                  <c:v>2.8823025527118871</c:v>
                </c:pt>
                <c:pt idx="670">
                  <c:v>2.8774038099383477</c:v>
                </c:pt>
                <c:pt idx="671">
                  <c:v>2.8726164618675138</c:v>
                </c:pt>
                <c:pt idx="672">
                  <c:v>2.867939600401689</c:v>
                </c:pt>
                <c:pt idx="673">
                  <c:v>2.8633723404533722</c:v>
                </c:pt>
                <c:pt idx="674">
                  <c:v>2.8589138196378094</c:v>
                </c:pt>
                <c:pt idx="675">
                  <c:v>2.854563197974203</c:v>
                </c:pt>
                <c:pt idx="676">
                  <c:v>2.8503196575954846</c:v>
                </c:pt>
                <c:pt idx="677">
                  <c:v>2.8461824024664497</c:v>
                </c:pt>
                <c:pt idx="678">
                  <c:v>2.8421506581101279</c:v>
                </c:pt>
                <c:pt idx="679">
                  <c:v>2.8382236713422251</c:v>
                </c:pt>
                <c:pt idx="680">
                  <c:v>2.8344007100134938</c:v>
                </c:pt>
                <c:pt idx="681">
                  <c:v>2.8306810627599028</c:v>
                </c:pt>
                <c:pt idx="682">
                  <c:v>2.8270640387604828</c:v>
                </c:pt>
                <c:pt idx="683">
                  <c:v>2.823548967502671</c:v>
                </c:pt>
                <c:pt idx="684">
                  <c:v>2.8201351985550911</c:v>
                </c:pt>
                <c:pt idx="685">
                  <c:v>2.8168221013476158</c:v>
                </c:pt>
                <c:pt idx="686">
                  <c:v>2.8136090649585812</c:v>
                </c:pt>
                <c:pt idx="687">
                  <c:v>2.8104954979090779</c:v>
                </c:pt>
                <c:pt idx="688">
                  <c:v>2.8074808279641807</c:v>
                </c:pt>
                <c:pt idx="689">
                  <c:v>2.8045645019410324</c:v>
                </c:pt>
                <c:pt idx="690">
                  <c:v>2.8017459855236528</c:v>
                </c:pt>
                <c:pt idx="691">
                  <c:v>2.7990247630844176</c:v>
                </c:pt>
                <c:pt idx="692">
                  <c:v>2.7964003375120803</c:v>
                </c:pt>
                <c:pt idx="693">
                  <c:v>2.79387223004625</c:v>
                </c:pt>
                <c:pt idx="694">
                  <c:v>2.7914399801182657</c:v>
                </c:pt>
                <c:pt idx="695">
                  <c:v>2.7891031451983541</c:v>
                </c:pt>
                <c:pt idx="696">
                  <c:v>2.7868613006490071</c:v>
                </c:pt>
                <c:pt idx="697">
                  <c:v>2.7847140395845034</c:v>
                </c:pt>
                <c:pt idx="698">
                  <c:v>2.7826609727365001</c:v>
                </c:pt>
                <c:pt idx="699">
                  <c:v>2.7807017283256132</c:v>
                </c:pt>
                <c:pt idx="700">
                  <c:v>2.7788359519389507</c:v>
                </c:pt>
                <c:pt idx="701">
                  <c:v>2.7770633064135031</c:v>
                </c:pt>
                <c:pt idx="702">
                  <c:v>2.7753834717253465</c:v>
                </c:pt>
                <c:pt idx="703">
                  <c:v>2.77379614488461</c:v>
                </c:pt>
                <c:pt idx="704">
                  <c:v>2.7723010398361394</c:v>
                </c:pt>
                <c:pt idx="705">
                  <c:v>2.7708978873658063</c:v>
                </c:pt>
                <c:pt idx="706">
                  <c:v>2.7695864350124313</c:v>
                </c:pt>
                <c:pt idx="707">
                  <c:v>2.7683664469852598</c:v>
                </c:pt>
                <c:pt idx="708">
                  <c:v>2.76723770408696</c:v>
                </c:pt>
                <c:pt idx="709">
                  <c:v>2.7662000036420897</c:v>
                </c:pt>
                <c:pt idx="710">
                  <c:v>2.7652531594310172</c:v>
                </c:pt>
                <c:pt idx="711">
                  <c:v>2.7643970016292383</c:v>
                </c:pt>
                <c:pt idx="712">
                  <c:v>2.7636313767520826</c:v>
                </c:pt>
                <c:pt idx="713">
                  <c:v>2.7629561476047666</c:v>
                </c:pt>
                <c:pt idx="714">
                  <c:v>2.7623711932377608</c:v>
                </c:pt>
                <c:pt idx="715">
                  <c:v>2.7618764089074799</c:v>
                </c:pt>
                <c:pt idx="716">
                  <c:v>2.761471706042236</c:v>
                </c:pt>
                <c:pt idx="717">
                  <c:v>2.7611570122134701</c:v>
                </c:pt>
                <c:pt idx="718">
                  <c:v>2.7609322711122299</c:v>
                </c:pt>
                <c:pt idx="719">
                  <c:v>2.7607974425308832</c:v>
                </c:pt>
                <c:pt idx="720">
                  <c:v>2.7607525023500741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0D-4919-A9BA-4C3D9B030F49}"/>
            </c:ext>
          </c:extLst>
        </c:ser>
        <c:ser>
          <c:idx val="3"/>
          <c:order val="3"/>
          <c:tx>
            <c:v>Salto de la chispa (Za, Zb, Zc)</c:v>
          </c:tx>
          <c:spPr>
            <a:ln w="47520">
              <a:noFill/>
            </a:ln>
          </c:spPr>
          <c:marker>
            <c:symbol val="circle"/>
            <c:size val="8"/>
            <c:spPr>
              <a:solidFill>
                <a:srgbClr val="FFFFF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Tres_avances!$B$29:$B$31</c:f>
              <c:numCache>
                <c:formatCode>0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-10</c:v>
                </c:pt>
              </c:numCache>
            </c:numRef>
          </c:xVal>
          <c:yVal>
            <c:numRef>
              <c:f>Tres_avances!$C$29:$C$31</c:f>
              <c:numCache>
                <c:formatCode>0.0</c:formatCode>
                <c:ptCount val="3"/>
                <c:pt idx="0">
                  <c:v>7.2335105468578709</c:v>
                </c:pt>
                <c:pt idx="1">
                  <c:v>3.5877271409260953</c:v>
                </c:pt>
                <c:pt idx="2">
                  <c:v>13.763936503061696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0D-4919-A9BA-4C3D9B030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10680"/>
        <c:axId val="64333853"/>
      </c:scatterChart>
      <c:valAx>
        <c:axId val="48810680"/>
        <c:scaling>
          <c:orientation val="maxMin"/>
          <c:max val="75"/>
          <c:min val="-75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Ángulo de encendido 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α</a:t>
                </a: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z (°)   ← antes del PMS | después del PMS →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64333853"/>
        <c:crosses val="autoZero"/>
        <c:crossBetween val="midCat"/>
        <c:majorUnit val="25"/>
      </c:valAx>
      <c:valAx>
        <c:axId val="64333853"/>
        <c:scaling>
          <c:orientation val="minMax"/>
          <c:min val="0"/>
        </c:scaling>
        <c:delete val="0"/>
        <c:axPos val="r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Presión en la cámara (bar)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4881068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Trabajo indicado y presión máxima según el avance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Trabajo indicado (J)</c:v>
          </c:tx>
          <c:spPr>
            <a:ln w="47520">
              <a:solidFill>
                <a:srgbClr val="E03030"/>
              </a:solidFill>
              <a:round/>
            </a:ln>
          </c:spPr>
          <c:marker>
            <c:symbol val="circle"/>
            <c:size val="5"/>
            <c:spPr>
              <a:solidFill>
                <a:srgbClr val="E0303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Barrido_AE!$B$4:$N$4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Barrido_AE!$B$5:$N$5</c:f>
              <c:numCache>
                <c:formatCode>0.0</c:formatCode>
                <c:ptCount val="13"/>
                <c:pt idx="0">
                  <c:v>164.46776123659427</c:v>
                </c:pt>
                <c:pt idx="1">
                  <c:v>174.13879901607822</c:v>
                </c:pt>
                <c:pt idx="2">
                  <c:v>182.99880592350223</c:v>
                </c:pt>
                <c:pt idx="3">
                  <c:v>190.67907796686185</c:v>
                </c:pt>
                <c:pt idx="4">
                  <c:v>196.79807095394449</c:v>
                </c:pt>
                <c:pt idx="5">
                  <c:v>201.01094653874003</c:v>
                </c:pt>
                <c:pt idx="6">
                  <c:v>203.0652916043303</c:v>
                </c:pt>
                <c:pt idx="7">
                  <c:v>202.84630050913754</c:v>
                </c:pt>
                <c:pt idx="8">
                  <c:v>200.3961313560188</c:v>
                </c:pt>
                <c:pt idx="9">
                  <c:v>195.90122446348821</c:v>
                </c:pt>
                <c:pt idx="10">
                  <c:v>189.65340649511731</c:v>
                </c:pt>
                <c:pt idx="11">
                  <c:v>181.99904945959904</c:v>
                </c:pt>
                <c:pt idx="12">
                  <c:v>173.29155570359418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40-494C-8A1C-5E46D9294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38930"/>
        <c:axId val="98362955"/>
      </c:scatterChart>
      <c:scatterChart>
        <c:scatterStyle val="lineMarker"/>
        <c:varyColors val="0"/>
        <c:ser>
          <c:idx val="1"/>
          <c:order val="1"/>
          <c:tx>
            <c:v>Presión máxima (bar)</c:v>
          </c:tx>
          <c:spPr>
            <a:ln w="47520">
              <a:solidFill>
                <a:srgbClr val="1F5FB0"/>
              </a:solidFill>
              <a:round/>
            </a:ln>
          </c:spPr>
          <c:marker>
            <c:symbol val="triangle"/>
            <c:size val="5"/>
            <c:spPr>
              <a:solidFill>
                <a:srgbClr val="1F5FB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Barrido_AE!$B$4:$N$4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Barrido_AE!$B$7:$N$7</c:f>
              <c:numCache>
                <c:formatCode>0.0</c:formatCode>
                <c:ptCount val="13"/>
                <c:pt idx="0">
                  <c:v>15.393327044416075</c:v>
                </c:pt>
                <c:pt idx="1">
                  <c:v>17.265191716698062</c:v>
                </c:pt>
                <c:pt idx="2">
                  <c:v>20.256946585956268</c:v>
                </c:pt>
                <c:pt idx="3">
                  <c:v>23.738908458969743</c:v>
                </c:pt>
                <c:pt idx="4">
                  <c:v>27.623485227452989</c:v>
                </c:pt>
                <c:pt idx="5">
                  <c:v>31.755334241627974</c:v>
                </c:pt>
                <c:pt idx="6">
                  <c:v>35.932930369584973</c:v>
                </c:pt>
                <c:pt idx="7">
                  <c:v>39.915379981219118</c:v>
                </c:pt>
                <c:pt idx="8">
                  <c:v>43.491131656963638</c:v>
                </c:pt>
                <c:pt idx="9">
                  <c:v>46.510799873102727</c:v>
                </c:pt>
                <c:pt idx="10">
                  <c:v>48.945192278766676</c:v>
                </c:pt>
                <c:pt idx="11">
                  <c:v>50.920097058932299</c:v>
                </c:pt>
                <c:pt idx="12">
                  <c:v>52.655515705645485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40-494C-8A1C-5E46D9294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8644"/>
        <c:axId val="83709764"/>
      </c:scatterChart>
      <c:valAx>
        <c:axId val="5583893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Avance del encendido (° APMS)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98362955"/>
        <c:crosses val="autoZero"/>
        <c:crossBetween val="midCat"/>
      </c:valAx>
      <c:valAx>
        <c:axId val="983629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Trabajo indicado (J)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55838930"/>
        <c:crosses val="autoZero"/>
        <c:crossBetween val="midCat"/>
      </c:valAx>
      <c:valAx>
        <c:axId val="63086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Avance del encendido (° APMS)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83709764"/>
        <c:crosses val="autoZero"/>
        <c:crossBetween val="midCat"/>
      </c:valAx>
      <c:valAx>
        <c:axId val="8370976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Presión máxima (bar)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6308644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Curvas de presión para distintos avances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AE 0°</c:v>
          </c:tx>
          <c:spPr>
            <a:ln w="47520">
              <a:solidFill>
                <a:srgbClr val="6E863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Barrido_AE!$A$12:$A$732</c:f>
              <c:numCache>
                <c:formatCode>0.0</c:formatCode>
                <c:ptCount val="721"/>
                <c:pt idx="0">
                  <c:v>-180</c:v>
                </c:pt>
                <c:pt idx="1">
                  <c:v>-179.5</c:v>
                </c:pt>
                <c:pt idx="2">
                  <c:v>-179</c:v>
                </c:pt>
                <c:pt idx="3">
                  <c:v>-178.5</c:v>
                </c:pt>
                <c:pt idx="4">
                  <c:v>-178</c:v>
                </c:pt>
                <c:pt idx="5">
                  <c:v>-177.5</c:v>
                </c:pt>
                <c:pt idx="6">
                  <c:v>-177</c:v>
                </c:pt>
                <c:pt idx="7">
                  <c:v>-176.5</c:v>
                </c:pt>
                <c:pt idx="8">
                  <c:v>-176</c:v>
                </c:pt>
                <c:pt idx="9">
                  <c:v>-175.5</c:v>
                </c:pt>
                <c:pt idx="10">
                  <c:v>-175</c:v>
                </c:pt>
                <c:pt idx="11">
                  <c:v>-174.5</c:v>
                </c:pt>
                <c:pt idx="12">
                  <c:v>-174</c:v>
                </c:pt>
                <c:pt idx="13">
                  <c:v>-173.5</c:v>
                </c:pt>
                <c:pt idx="14">
                  <c:v>-173</c:v>
                </c:pt>
                <c:pt idx="15">
                  <c:v>-172.5</c:v>
                </c:pt>
                <c:pt idx="16">
                  <c:v>-172</c:v>
                </c:pt>
                <c:pt idx="17">
                  <c:v>-171.5</c:v>
                </c:pt>
                <c:pt idx="18">
                  <c:v>-171</c:v>
                </c:pt>
                <c:pt idx="19">
                  <c:v>-170.5</c:v>
                </c:pt>
                <c:pt idx="20">
                  <c:v>-170</c:v>
                </c:pt>
                <c:pt idx="21">
                  <c:v>-169.5</c:v>
                </c:pt>
                <c:pt idx="22">
                  <c:v>-169</c:v>
                </c:pt>
                <c:pt idx="23">
                  <c:v>-168.5</c:v>
                </c:pt>
                <c:pt idx="24">
                  <c:v>-168</c:v>
                </c:pt>
                <c:pt idx="25">
                  <c:v>-167.5</c:v>
                </c:pt>
                <c:pt idx="26">
                  <c:v>-167</c:v>
                </c:pt>
                <c:pt idx="27">
                  <c:v>-166.5</c:v>
                </c:pt>
                <c:pt idx="28">
                  <c:v>-166</c:v>
                </c:pt>
                <c:pt idx="29">
                  <c:v>-165.5</c:v>
                </c:pt>
                <c:pt idx="30">
                  <c:v>-165</c:v>
                </c:pt>
                <c:pt idx="31">
                  <c:v>-164.5</c:v>
                </c:pt>
                <c:pt idx="32">
                  <c:v>-164</c:v>
                </c:pt>
                <c:pt idx="33">
                  <c:v>-163.5</c:v>
                </c:pt>
                <c:pt idx="34">
                  <c:v>-163</c:v>
                </c:pt>
                <c:pt idx="35">
                  <c:v>-162.5</c:v>
                </c:pt>
                <c:pt idx="36">
                  <c:v>-162</c:v>
                </c:pt>
                <c:pt idx="37">
                  <c:v>-161.5</c:v>
                </c:pt>
                <c:pt idx="38">
                  <c:v>-161</c:v>
                </c:pt>
                <c:pt idx="39">
                  <c:v>-160.5</c:v>
                </c:pt>
                <c:pt idx="40">
                  <c:v>-160</c:v>
                </c:pt>
                <c:pt idx="41">
                  <c:v>-159.5</c:v>
                </c:pt>
                <c:pt idx="42">
                  <c:v>-159</c:v>
                </c:pt>
                <c:pt idx="43">
                  <c:v>-158.5</c:v>
                </c:pt>
                <c:pt idx="44">
                  <c:v>-158</c:v>
                </c:pt>
                <c:pt idx="45">
                  <c:v>-157.5</c:v>
                </c:pt>
                <c:pt idx="46">
                  <c:v>-157</c:v>
                </c:pt>
                <c:pt idx="47">
                  <c:v>-156.5</c:v>
                </c:pt>
                <c:pt idx="48">
                  <c:v>-156</c:v>
                </c:pt>
                <c:pt idx="49">
                  <c:v>-155.5</c:v>
                </c:pt>
                <c:pt idx="50">
                  <c:v>-155</c:v>
                </c:pt>
                <c:pt idx="51">
                  <c:v>-154.5</c:v>
                </c:pt>
                <c:pt idx="52">
                  <c:v>-154</c:v>
                </c:pt>
                <c:pt idx="53">
                  <c:v>-153.5</c:v>
                </c:pt>
                <c:pt idx="54">
                  <c:v>-153</c:v>
                </c:pt>
                <c:pt idx="55">
                  <c:v>-152.5</c:v>
                </c:pt>
                <c:pt idx="56">
                  <c:v>-152</c:v>
                </c:pt>
                <c:pt idx="57">
                  <c:v>-151.5</c:v>
                </c:pt>
                <c:pt idx="58">
                  <c:v>-151</c:v>
                </c:pt>
                <c:pt idx="59">
                  <c:v>-150.5</c:v>
                </c:pt>
                <c:pt idx="60">
                  <c:v>-150</c:v>
                </c:pt>
                <c:pt idx="61">
                  <c:v>-149.5</c:v>
                </c:pt>
                <c:pt idx="62">
                  <c:v>-149</c:v>
                </c:pt>
                <c:pt idx="63">
                  <c:v>-148.5</c:v>
                </c:pt>
                <c:pt idx="64">
                  <c:v>-148</c:v>
                </c:pt>
                <c:pt idx="65">
                  <c:v>-147.5</c:v>
                </c:pt>
                <c:pt idx="66">
                  <c:v>-147</c:v>
                </c:pt>
                <c:pt idx="67">
                  <c:v>-146.5</c:v>
                </c:pt>
                <c:pt idx="68">
                  <c:v>-146</c:v>
                </c:pt>
                <c:pt idx="69">
                  <c:v>-145.5</c:v>
                </c:pt>
                <c:pt idx="70">
                  <c:v>-145</c:v>
                </c:pt>
                <c:pt idx="71">
                  <c:v>-144.5</c:v>
                </c:pt>
                <c:pt idx="72">
                  <c:v>-144</c:v>
                </c:pt>
                <c:pt idx="73">
                  <c:v>-143.5</c:v>
                </c:pt>
                <c:pt idx="74">
                  <c:v>-143</c:v>
                </c:pt>
                <c:pt idx="75">
                  <c:v>-142.5</c:v>
                </c:pt>
                <c:pt idx="76">
                  <c:v>-142</c:v>
                </c:pt>
                <c:pt idx="77">
                  <c:v>-141.5</c:v>
                </c:pt>
                <c:pt idx="78">
                  <c:v>-141</c:v>
                </c:pt>
                <c:pt idx="79">
                  <c:v>-140.5</c:v>
                </c:pt>
                <c:pt idx="80">
                  <c:v>-140</c:v>
                </c:pt>
                <c:pt idx="81">
                  <c:v>-139.5</c:v>
                </c:pt>
                <c:pt idx="82">
                  <c:v>-139</c:v>
                </c:pt>
                <c:pt idx="83">
                  <c:v>-138.5</c:v>
                </c:pt>
                <c:pt idx="84">
                  <c:v>-138</c:v>
                </c:pt>
                <c:pt idx="85">
                  <c:v>-137.5</c:v>
                </c:pt>
                <c:pt idx="86">
                  <c:v>-137</c:v>
                </c:pt>
                <c:pt idx="87">
                  <c:v>-136.5</c:v>
                </c:pt>
                <c:pt idx="88">
                  <c:v>-136</c:v>
                </c:pt>
                <c:pt idx="89">
                  <c:v>-135.5</c:v>
                </c:pt>
                <c:pt idx="90">
                  <c:v>-135</c:v>
                </c:pt>
                <c:pt idx="91">
                  <c:v>-134.5</c:v>
                </c:pt>
                <c:pt idx="92">
                  <c:v>-134</c:v>
                </c:pt>
                <c:pt idx="93">
                  <c:v>-133.5</c:v>
                </c:pt>
                <c:pt idx="94">
                  <c:v>-133</c:v>
                </c:pt>
                <c:pt idx="95">
                  <c:v>-132.5</c:v>
                </c:pt>
                <c:pt idx="96">
                  <c:v>-132</c:v>
                </c:pt>
                <c:pt idx="97">
                  <c:v>-131.5</c:v>
                </c:pt>
                <c:pt idx="98">
                  <c:v>-131</c:v>
                </c:pt>
                <c:pt idx="99">
                  <c:v>-130.5</c:v>
                </c:pt>
                <c:pt idx="100">
                  <c:v>-130</c:v>
                </c:pt>
                <c:pt idx="101">
                  <c:v>-129.5</c:v>
                </c:pt>
                <c:pt idx="102">
                  <c:v>-129</c:v>
                </c:pt>
                <c:pt idx="103">
                  <c:v>-128.5</c:v>
                </c:pt>
                <c:pt idx="104">
                  <c:v>-128</c:v>
                </c:pt>
                <c:pt idx="105">
                  <c:v>-127.5</c:v>
                </c:pt>
                <c:pt idx="106">
                  <c:v>-127</c:v>
                </c:pt>
                <c:pt idx="107">
                  <c:v>-126.5</c:v>
                </c:pt>
                <c:pt idx="108">
                  <c:v>-126</c:v>
                </c:pt>
                <c:pt idx="109">
                  <c:v>-125.5</c:v>
                </c:pt>
                <c:pt idx="110">
                  <c:v>-125</c:v>
                </c:pt>
                <c:pt idx="111">
                  <c:v>-124.5</c:v>
                </c:pt>
                <c:pt idx="112">
                  <c:v>-124</c:v>
                </c:pt>
                <c:pt idx="113">
                  <c:v>-123.5</c:v>
                </c:pt>
                <c:pt idx="114">
                  <c:v>-123</c:v>
                </c:pt>
                <c:pt idx="115">
                  <c:v>-122.5</c:v>
                </c:pt>
                <c:pt idx="116">
                  <c:v>-122</c:v>
                </c:pt>
                <c:pt idx="117">
                  <c:v>-121.5</c:v>
                </c:pt>
                <c:pt idx="118">
                  <c:v>-121</c:v>
                </c:pt>
                <c:pt idx="119">
                  <c:v>-120.5</c:v>
                </c:pt>
                <c:pt idx="120">
                  <c:v>-120</c:v>
                </c:pt>
                <c:pt idx="121">
                  <c:v>-119.5</c:v>
                </c:pt>
                <c:pt idx="122">
                  <c:v>-119</c:v>
                </c:pt>
                <c:pt idx="123">
                  <c:v>-118.5</c:v>
                </c:pt>
                <c:pt idx="124">
                  <c:v>-118</c:v>
                </c:pt>
                <c:pt idx="125">
                  <c:v>-117.5</c:v>
                </c:pt>
                <c:pt idx="126">
                  <c:v>-117</c:v>
                </c:pt>
                <c:pt idx="127">
                  <c:v>-116.5</c:v>
                </c:pt>
                <c:pt idx="128">
                  <c:v>-116</c:v>
                </c:pt>
                <c:pt idx="129">
                  <c:v>-115.5</c:v>
                </c:pt>
                <c:pt idx="130">
                  <c:v>-115</c:v>
                </c:pt>
                <c:pt idx="131">
                  <c:v>-114.5</c:v>
                </c:pt>
                <c:pt idx="132">
                  <c:v>-114</c:v>
                </c:pt>
                <c:pt idx="133">
                  <c:v>-113.5</c:v>
                </c:pt>
                <c:pt idx="134">
                  <c:v>-113</c:v>
                </c:pt>
                <c:pt idx="135">
                  <c:v>-112.5</c:v>
                </c:pt>
                <c:pt idx="136">
                  <c:v>-112</c:v>
                </c:pt>
                <c:pt idx="137">
                  <c:v>-111.5</c:v>
                </c:pt>
                <c:pt idx="138">
                  <c:v>-111</c:v>
                </c:pt>
                <c:pt idx="139">
                  <c:v>-110.5</c:v>
                </c:pt>
                <c:pt idx="140">
                  <c:v>-110</c:v>
                </c:pt>
                <c:pt idx="141">
                  <c:v>-109.5</c:v>
                </c:pt>
                <c:pt idx="142">
                  <c:v>-109</c:v>
                </c:pt>
                <c:pt idx="143">
                  <c:v>-108.5</c:v>
                </c:pt>
                <c:pt idx="144">
                  <c:v>-108</c:v>
                </c:pt>
                <c:pt idx="145">
                  <c:v>-107.5</c:v>
                </c:pt>
                <c:pt idx="146">
                  <c:v>-107</c:v>
                </c:pt>
                <c:pt idx="147">
                  <c:v>-106.5</c:v>
                </c:pt>
                <c:pt idx="148">
                  <c:v>-106</c:v>
                </c:pt>
                <c:pt idx="149">
                  <c:v>-105.5</c:v>
                </c:pt>
                <c:pt idx="150">
                  <c:v>-105</c:v>
                </c:pt>
                <c:pt idx="151">
                  <c:v>-104.5</c:v>
                </c:pt>
                <c:pt idx="152">
                  <c:v>-104</c:v>
                </c:pt>
                <c:pt idx="153">
                  <c:v>-103.5</c:v>
                </c:pt>
                <c:pt idx="154">
                  <c:v>-103</c:v>
                </c:pt>
                <c:pt idx="155">
                  <c:v>-102.5</c:v>
                </c:pt>
                <c:pt idx="156">
                  <c:v>-102</c:v>
                </c:pt>
                <c:pt idx="157">
                  <c:v>-101.5</c:v>
                </c:pt>
                <c:pt idx="158">
                  <c:v>-101</c:v>
                </c:pt>
                <c:pt idx="159">
                  <c:v>-100.5</c:v>
                </c:pt>
                <c:pt idx="160">
                  <c:v>-100</c:v>
                </c:pt>
                <c:pt idx="161">
                  <c:v>-99.5</c:v>
                </c:pt>
                <c:pt idx="162">
                  <c:v>-99</c:v>
                </c:pt>
                <c:pt idx="163">
                  <c:v>-98.5</c:v>
                </c:pt>
                <c:pt idx="164">
                  <c:v>-98</c:v>
                </c:pt>
                <c:pt idx="165">
                  <c:v>-97.5</c:v>
                </c:pt>
                <c:pt idx="166">
                  <c:v>-97</c:v>
                </c:pt>
                <c:pt idx="167">
                  <c:v>-96.5</c:v>
                </c:pt>
                <c:pt idx="168">
                  <c:v>-96</c:v>
                </c:pt>
                <c:pt idx="169">
                  <c:v>-95.5</c:v>
                </c:pt>
                <c:pt idx="170">
                  <c:v>-95</c:v>
                </c:pt>
                <c:pt idx="171">
                  <c:v>-94.5</c:v>
                </c:pt>
                <c:pt idx="172">
                  <c:v>-94</c:v>
                </c:pt>
                <c:pt idx="173">
                  <c:v>-93.5</c:v>
                </c:pt>
                <c:pt idx="174">
                  <c:v>-93</c:v>
                </c:pt>
                <c:pt idx="175">
                  <c:v>-92.5</c:v>
                </c:pt>
                <c:pt idx="176">
                  <c:v>-92</c:v>
                </c:pt>
                <c:pt idx="177">
                  <c:v>-91.5</c:v>
                </c:pt>
                <c:pt idx="178">
                  <c:v>-91</c:v>
                </c:pt>
                <c:pt idx="179">
                  <c:v>-90.5</c:v>
                </c:pt>
                <c:pt idx="180">
                  <c:v>-90</c:v>
                </c:pt>
                <c:pt idx="181">
                  <c:v>-89.5</c:v>
                </c:pt>
                <c:pt idx="182">
                  <c:v>-89</c:v>
                </c:pt>
                <c:pt idx="183">
                  <c:v>-88.5</c:v>
                </c:pt>
                <c:pt idx="184">
                  <c:v>-88</c:v>
                </c:pt>
                <c:pt idx="185">
                  <c:v>-87.5</c:v>
                </c:pt>
                <c:pt idx="186">
                  <c:v>-87</c:v>
                </c:pt>
                <c:pt idx="187">
                  <c:v>-86.5</c:v>
                </c:pt>
                <c:pt idx="188">
                  <c:v>-86</c:v>
                </c:pt>
                <c:pt idx="189">
                  <c:v>-85.5</c:v>
                </c:pt>
                <c:pt idx="190">
                  <c:v>-85</c:v>
                </c:pt>
                <c:pt idx="191">
                  <c:v>-84.5</c:v>
                </c:pt>
                <c:pt idx="192">
                  <c:v>-84</c:v>
                </c:pt>
                <c:pt idx="193">
                  <c:v>-83.5</c:v>
                </c:pt>
                <c:pt idx="194">
                  <c:v>-83</c:v>
                </c:pt>
                <c:pt idx="195">
                  <c:v>-82.5</c:v>
                </c:pt>
                <c:pt idx="196">
                  <c:v>-82</c:v>
                </c:pt>
                <c:pt idx="197">
                  <c:v>-81.5</c:v>
                </c:pt>
                <c:pt idx="198">
                  <c:v>-81</c:v>
                </c:pt>
                <c:pt idx="199">
                  <c:v>-80.5</c:v>
                </c:pt>
                <c:pt idx="200">
                  <c:v>-80</c:v>
                </c:pt>
                <c:pt idx="201">
                  <c:v>-79.5</c:v>
                </c:pt>
                <c:pt idx="202">
                  <c:v>-79</c:v>
                </c:pt>
                <c:pt idx="203">
                  <c:v>-78.5</c:v>
                </c:pt>
                <c:pt idx="204">
                  <c:v>-78</c:v>
                </c:pt>
                <c:pt idx="205">
                  <c:v>-77.5</c:v>
                </c:pt>
                <c:pt idx="206">
                  <c:v>-77</c:v>
                </c:pt>
                <c:pt idx="207">
                  <c:v>-76.5</c:v>
                </c:pt>
                <c:pt idx="208">
                  <c:v>-76</c:v>
                </c:pt>
                <c:pt idx="209">
                  <c:v>-75.5</c:v>
                </c:pt>
                <c:pt idx="210">
                  <c:v>-75</c:v>
                </c:pt>
                <c:pt idx="211">
                  <c:v>-74.5</c:v>
                </c:pt>
                <c:pt idx="212">
                  <c:v>-74</c:v>
                </c:pt>
                <c:pt idx="213">
                  <c:v>-73.5</c:v>
                </c:pt>
                <c:pt idx="214">
                  <c:v>-73</c:v>
                </c:pt>
                <c:pt idx="215">
                  <c:v>-72.5</c:v>
                </c:pt>
                <c:pt idx="216">
                  <c:v>-72</c:v>
                </c:pt>
                <c:pt idx="217">
                  <c:v>-71.5</c:v>
                </c:pt>
                <c:pt idx="218">
                  <c:v>-71</c:v>
                </c:pt>
                <c:pt idx="219">
                  <c:v>-70.5</c:v>
                </c:pt>
                <c:pt idx="220">
                  <c:v>-70</c:v>
                </c:pt>
                <c:pt idx="221">
                  <c:v>-69.5</c:v>
                </c:pt>
                <c:pt idx="222">
                  <c:v>-69</c:v>
                </c:pt>
                <c:pt idx="223">
                  <c:v>-68.5</c:v>
                </c:pt>
                <c:pt idx="224">
                  <c:v>-68</c:v>
                </c:pt>
                <c:pt idx="225">
                  <c:v>-67.5</c:v>
                </c:pt>
                <c:pt idx="226">
                  <c:v>-67</c:v>
                </c:pt>
                <c:pt idx="227">
                  <c:v>-66.5</c:v>
                </c:pt>
                <c:pt idx="228">
                  <c:v>-66</c:v>
                </c:pt>
                <c:pt idx="229">
                  <c:v>-65.5</c:v>
                </c:pt>
                <c:pt idx="230">
                  <c:v>-65</c:v>
                </c:pt>
                <c:pt idx="231">
                  <c:v>-64.5</c:v>
                </c:pt>
                <c:pt idx="232">
                  <c:v>-64</c:v>
                </c:pt>
                <c:pt idx="233">
                  <c:v>-63.5</c:v>
                </c:pt>
                <c:pt idx="234">
                  <c:v>-63</c:v>
                </c:pt>
                <c:pt idx="235">
                  <c:v>-62.5</c:v>
                </c:pt>
                <c:pt idx="236">
                  <c:v>-62</c:v>
                </c:pt>
                <c:pt idx="237">
                  <c:v>-61.5</c:v>
                </c:pt>
                <c:pt idx="238">
                  <c:v>-61</c:v>
                </c:pt>
                <c:pt idx="239">
                  <c:v>-60.5</c:v>
                </c:pt>
                <c:pt idx="240">
                  <c:v>-60</c:v>
                </c:pt>
                <c:pt idx="241">
                  <c:v>-59.5</c:v>
                </c:pt>
                <c:pt idx="242">
                  <c:v>-59</c:v>
                </c:pt>
                <c:pt idx="243">
                  <c:v>-58.5</c:v>
                </c:pt>
                <c:pt idx="244">
                  <c:v>-58</c:v>
                </c:pt>
                <c:pt idx="245">
                  <c:v>-57.5</c:v>
                </c:pt>
                <c:pt idx="246">
                  <c:v>-57</c:v>
                </c:pt>
                <c:pt idx="247">
                  <c:v>-56.5</c:v>
                </c:pt>
                <c:pt idx="248">
                  <c:v>-56</c:v>
                </c:pt>
                <c:pt idx="249">
                  <c:v>-55.5</c:v>
                </c:pt>
                <c:pt idx="250">
                  <c:v>-55</c:v>
                </c:pt>
                <c:pt idx="251">
                  <c:v>-54.5</c:v>
                </c:pt>
                <c:pt idx="252">
                  <c:v>-54</c:v>
                </c:pt>
                <c:pt idx="253">
                  <c:v>-53.5</c:v>
                </c:pt>
                <c:pt idx="254">
                  <c:v>-53</c:v>
                </c:pt>
                <c:pt idx="255">
                  <c:v>-52.5</c:v>
                </c:pt>
                <c:pt idx="256">
                  <c:v>-52</c:v>
                </c:pt>
                <c:pt idx="257">
                  <c:v>-51.5</c:v>
                </c:pt>
                <c:pt idx="258">
                  <c:v>-51</c:v>
                </c:pt>
                <c:pt idx="259">
                  <c:v>-50.5</c:v>
                </c:pt>
                <c:pt idx="260">
                  <c:v>-50</c:v>
                </c:pt>
                <c:pt idx="261">
                  <c:v>-49.5</c:v>
                </c:pt>
                <c:pt idx="262">
                  <c:v>-49</c:v>
                </c:pt>
                <c:pt idx="263">
                  <c:v>-48.5</c:v>
                </c:pt>
                <c:pt idx="264">
                  <c:v>-48</c:v>
                </c:pt>
                <c:pt idx="265">
                  <c:v>-47.5</c:v>
                </c:pt>
                <c:pt idx="266">
                  <c:v>-47</c:v>
                </c:pt>
                <c:pt idx="267">
                  <c:v>-46.5</c:v>
                </c:pt>
                <c:pt idx="268">
                  <c:v>-46</c:v>
                </c:pt>
                <c:pt idx="269">
                  <c:v>-45.5</c:v>
                </c:pt>
                <c:pt idx="270">
                  <c:v>-45</c:v>
                </c:pt>
                <c:pt idx="271">
                  <c:v>-44.5</c:v>
                </c:pt>
                <c:pt idx="272">
                  <c:v>-44</c:v>
                </c:pt>
                <c:pt idx="273">
                  <c:v>-43.5</c:v>
                </c:pt>
                <c:pt idx="274">
                  <c:v>-43</c:v>
                </c:pt>
                <c:pt idx="275">
                  <c:v>-42.5</c:v>
                </c:pt>
                <c:pt idx="276">
                  <c:v>-42</c:v>
                </c:pt>
                <c:pt idx="277">
                  <c:v>-41.5</c:v>
                </c:pt>
                <c:pt idx="278">
                  <c:v>-41</c:v>
                </c:pt>
                <c:pt idx="279">
                  <c:v>-40.5</c:v>
                </c:pt>
                <c:pt idx="280">
                  <c:v>-40</c:v>
                </c:pt>
                <c:pt idx="281">
                  <c:v>-39.5</c:v>
                </c:pt>
                <c:pt idx="282">
                  <c:v>-39</c:v>
                </c:pt>
                <c:pt idx="283">
                  <c:v>-38.5</c:v>
                </c:pt>
                <c:pt idx="284">
                  <c:v>-38</c:v>
                </c:pt>
                <c:pt idx="285">
                  <c:v>-37.5</c:v>
                </c:pt>
                <c:pt idx="286">
                  <c:v>-37</c:v>
                </c:pt>
                <c:pt idx="287">
                  <c:v>-36.5</c:v>
                </c:pt>
                <c:pt idx="288">
                  <c:v>-36</c:v>
                </c:pt>
                <c:pt idx="289">
                  <c:v>-35.5</c:v>
                </c:pt>
                <c:pt idx="290">
                  <c:v>-35</c:v>
                </c:pt>
                <c:pt idx="291">
                  <c:v>-34.5</c:v>
                </c:pt>
                <c:pt idx="292">
                  <c:v>-34</c:v>
                </c:pt>
                <c:pt idx="293">
                  <c:v>-33.5</c:v>
                </c:pt>
                <c:pt idx="294">
                  <c:v>-33</c:v>
                </c:pt>
                <c:pt idx="295">
                  <c:v>-32.5</c:v>
                </c:pt>
                <c:pt idx="296">
                  <c:v>-32</c:v>
                </c:pt>
                <c:pt idx="297">
                  <c:v>-31.5</c:v>
                </c:pt>
                <c:pt idx="298">
                  <c:v>-31</c:v>
                </c:pt>
                <c:pt idx="299">
                  <c:v>-30.5</c:v>
                </c:pt>
                <c:pt idx="300">
                  <c:v>-30</c:v>
                </c:pt>
                <c:pt idx="301">
                  <c:v>-29.5</c:v>
                </c:pt>
                <c:pt idx="302">
                  <c:v>-29</c:v>
                </c:pt>
                <c:pt idx="303">
                  <c:v>-28.5</c:v>
                </c:pt>
                <c:pt idx="304">
                  <c:v>-28</c:v>
                </c:pt>
                <c:pt idx="305">
                  <c:v>-27.5</c:v>
                </c:pt>
                <c:pt idx="306">
                  <c:v>-27</c:v>
                </c:pt>
                <c:pt idx="307">
                  <c:v>-26.5</c:v>
                </c:pt>
                <c:pt idx="308">
                  <c:v>-26</c:v>
                </c:pt>
                <c:pt idx="309">
                  <c:v>-25.5</c:v>
                </c:pt>
                <c:pt idx="310">
                  <c:v>-25</c:v>
                </c:pt>
                <c:pt idx="311">
                  <c:v>-24.5</c:v>
                </c:pt>
                <c:pt idx="312">
                  <c:v>-24</c:v>
                </c:pt>
                <c:pt idx="313">
                  <c:v>-23.5</c:v>
                </c:pt>
                <c:pt idx="314">
                  <c:v>-23</c:v>
                </c:pt>
                <c:pt idx="315">
                  <c:v>-22.5</c:v>
                </c:pt>
                <c:pt idx="316">
                  <c:v>-22</c:v>
                </c:pt>
                <c:pt idx="317">
                  <c:v>-21.5</c:v>
                </c:pt>
                <c:pt idx="318">
                  <c:v>-21</c:v>
                </c:pt>
                <c:pt idx="319">
                  <c:v>-20.5</c:v>
                </c:pt>
                <c:pt idx="320">
                  <c:v>-20</c:v>
                </c:pt>
                <c:pt idx="321">
                  <c:v>-19.5</c:v>
                </c:pt>
                <c:pt idx="322">
                  <c:v>-19</c:v>
                </c:pt>
                <c:pt idx="323">
                  <c:v>-18.5</c:v>
                </c:pt>
                <c:pt idx="324">
                  <c:v>-18</c:v>
                </c:pt>
                <c:pt idx="325">
                  <c:v>-17.5</c:v>
                </c:pt>
                <c:pt idx="326">
                  <c:v>-17</c:v>
                </c:pt>
                <c:pt idx="327">
                  <c:v>-16.5</c:v>
                </c:pt>
                <c:pt idx="328">
                  <c:v>-16</c:v>
                </c:pt>
                <c:pt idx="329">
                  <c:v>-15.5</c:v>
                </c:pt>
                <c:pt idx="330">
                  <c:v>-15</c:v>
                </c:pt>
                <c:pt idx="331">
                  <c:v>-14.5</c:v>
                </c:pt>
                <c:pt idx="332">
                  <c:v>-14</c:v>
                </c:pt>
                <c:pt idx="333">
                  <c:v>-13.5</c:v>
                </c:pt>
                <c:pt idx="334">
                  <c:v>-13</c:v>
                </c:pt>
                <c:pt idx="335">
                  <c:v>-12.5</c:v>
                </c:pt>
                <c:pt idx="336">
                  <c:v>-12</c:v>
                </c:pt>
                <c:pt idx="337">
                  <c:v>-11.5</c:v>
                </c:pt>
                <c:pt idx="338">
                  <c:v>-11</c:v>
                </c:pt>
                <c:pt idx="339">
                  <c:v>-10.5</c:v>
                </c:pt>
                <c:pt idx="340">
                  <c:v>-10</c:v>
                </c:pt>
                <c:pt idx="341">
                  <c:v>-9.5</c:v>
                </c:pt>
                <c:pt idx="342">
                  <c:v>-9</c:v>
                </c:pt>
                <c:pt idx="343">
                  <c:v>-8.5</c:v>
                </c:pt>
                <c:pt idx="344">
                  <c:v>-8</c:v>
                </c:pt>
                <c:pt idx="345">
                  <c:v>-7.5</c:v>
                </c:pt>
                <c:pt idx="346">
                  <c:v>-7</c:v>
                </c:pt>
                <c:pt idx="347">
                  <c:v>-6.5</c:v>
                </c:pt>
                <c:pt idx="348">
                  <c:v>-6</c:v>
                </c:pt>
                <c:pt idx="349">
                  <c:v>-5.5</c:v>
                </c:pt>
                <c:pt idx="350">
                  <c:v>-5</c:v>
                </c:pt>
                <c:pt idx="351">
                  <c:v>-4.5</c:v>
                </c:pt>
                <c:pt idx="352">
                  <c:v>-4</c:v>
                </c:pt>
                <c:pt idx="353">
                  <c:v>-3.5</c:v>
                </c:pt>
                <c:pt idx="354">
                  <c:v>-3</c:v>
                </c:pt>
                <c:pt idx="355">
                  <c:v>-2.5</c:v>
                </c:pt>
                <c:pt idx="356">
                  <c:v>-2</c:v>
                </c:pt>
                <c:pt idx="357">
                  <c:v>-1.5</c:v>
                </c:pt>
                <c:pt idx="358">
                  <c:v>-1</c:v>
                </c:pt>
                <c:pt idx="359">
                  <c:v>-0.5</c:v>
                </c:pt>
                <c:pt idx="360">
                  <c:v>0</c:v>
                </c:pt>
                <c:pt idx="361">
                  <c:v>0.5</c:v>
                </c:pt>
                <c:pt idx="362">
                  <c:v>1</c:v>
                </c:pt>
                <c:pt idx="363">
                  <c:v>1.5</c:v>
                </c:pt>
                <c:pt idx="364">
                  <c:v>2</c:v>
                </c:pt>
                <c:pt idx="365">
                  <c:v>2.5</c:v>
                </c:pt>
                <c:pt idx="366">
                  <c:v>3</c:v>
                </c:pt>
                <c:pt idx="367">
                  <c:v>3.5</c:v>
                </c:pt>
                <c:pt idx="368">
                  <c:v>4</c:v>
                </c:pt>
                <c:pt idx="369">
                  <c:v>4.5</c:v>
                </c:pt>
                <c:pt idx="370">
                  <c:v>5</c:v>
                </c:pt>
                <c:pt idx="371">
                  <c:v>5.5</c:v>
                </c:pt>
                <c:pt idx="372">
                  <c:v>6</c:v>
                </c:pt>
                <c:pt idx="373">
                  <c:v>6.5</c:v>
                </c:pt>
                <c:pt idx="374">
                  <c:v>7</c:v>
                </c:pt>
                <c:pt idx="375">
                  <c:v>7.5</c:v>
                </c:pt>
                <c:pt idx="376">
                  <c:v>8</c:v>
                </c:pt>
                <c:pt idx="377">
                  <c:v>8.5</c:v>
                </c:pt>
                <c:pt idx="378">
                  <c:v>9</c:v>
                </c:pt>
                <c:pt idx="379">
                  <c:v>9.5</c:v>
                </c:pt>
                <c:pt idx="380">
                  <c:v>10</c:v>
                </c:pt>
                <c:pt idx="381">
                  <c:v>10.5</c:v>
                </c:pt>
                <c:pt idx="382">
                  <c:v>11</c:v>
                </c:pt>
                <c:pt idx="383">
                  <c:v>11.5</c:v>
                </c:pt>
                <c:pt idx="384">
                  <c:v>12</c:v>
                </c:pt>
                <c:pt idx="385">
                  <c:v>12.5</c:v>
                </c:pt>
                <c:pt idx="386">
                  <c:v>13</c:v>
                </c:pt>
                <c:pt idx="387">
                  <c:v>13.5</c:v>
                </c:pt>
                <c:pt idx="388">
                  <c:v>14</c:v>
                </c:pt>
                <c:pt idx="389">
                  <c:v>14.5</c:v>
                </c:pt>
                <c:pt idx="390">
                  <c:v>15</c:v>
                </c:pt>
                <c:pt idx="391">
                  <c:v>15.5</c:v>
                </c:pt>
                <c:pt idx="392">
                  <c:v>16</c:v>
                </c:pt>
                <c:pt idx="393">
                  <c:v>16.5</c:v>
                </c:pt>
                <c:pt idx="394">
                  <c:v>17</c:v>
                </c:pt>
                <c:pt idx="395">
                  <c:v>17.5</c:v>
                </c:pt>
                <c:pt idx="396">
                  <c:v>18</c:v>
                </c:pt>
                <c:pt idx="397">
                  <c:v>18.5</c:v>
                </c:pt>
                <c:pt idx="398">
                  <c:v>19</c:v>
                </c:pt>
                <c:pt idx="399">
                  <c:v>19.5</c:v>
                </c:pt>
                <c:pt idx="400">
                  <c:v>20</c:v>
                </c:pt>
                <c:pt idx="401">
                  <c:v>20.5</c:v>
                </c:pt>
                <c:pt idx="402">
                  <c:v>21</c:v>
                </c:pt>
                <c:pt idx="403">
                  <c:v>21.5</c:v>
                </c:pt>
                <c:pt idx="404">
                  <c:v>22</c:v>
                </c:pt>
                <c:pt idx="405">
                  <c:v>22.5</c:v>
                </c:pt>
                <c:pt idx="406">
                  <c:v>23</c:v>
                </c:pt>
                <c:pt idx="407">
                  <c:v>23.5</c:v>
                </c:pt>
                <c:pt idx="408">
                  <c:v>24</c:v>
                </c:pt>
                <c:pt idx="409">
                  <c:v>24.5</c:v>
                </c:pt>
                <c:pt idx="410">
                  <c:v>25</c:v>
                </c:pt>
                <c:pt idx="411">
                  <c:v>25.5</c:v>
                </c:pt>
                <c:pt idx="412">
                  <c:v>26</c:v>
                </c:pt>
                <c:pt idx="413">
                  <c:v>26.5</c:v>
                </c:pt>
                <c:pt idx="414">
                  <c:v>27</c:v>
                </c:pt>
                <c:pt idx="415">
                  <c:v>27.5</c:v>
                </c:pt>
                <c:pt idx="416">
                  <c:v>28</c:v>
                </c:pt>
                <c:pt idx="417">
                  <c:v>28.5</c:v>
                </c:pt>
                <c:pt idx="418">
                  <c:v>29</c:v>
                </c:pt>
                <c:pt idx="419">
                  <c:v>29.5</c:v>
                </c:pt>
                <c:pt idx="420">
                  <c:v>30</c:v>
                </c:pt>
                <c:pt idx="421">
                  <c:v>30.5</c:v>
                </c:pt>
                <c:pt idx="422">
                  <c:v>31</c:v>
                </c:pt>
                <c:pt idx="423">
                  <c:v>31.5</c:v>
                </c:pt>
                <c:pt idx="424">
                  <c:v>32</c:v>
                </c:pt>
                <c:pt idx="425">
                  <c:v>32.5</c:v>
                </c:pt>
                <c:pt idx="426">
                  <c:v>33</c:v>
                </c:pt>
                <c:pt idx="427">
                  <c:v>33.5</c:v>
                </c:pt>
                <c:pt idx="428">
                  <c:v>34</c:v>
                </c:pt>
                <c:pt idx="429">
                  <c:v>34.5</c:v>
                </c:pt>
                <c:pt idx="430">
                  <c:v>35</c:v>
                </c:pt>
                <c:pt idx="431">
                  <c:v>35.5</c:v>
                </c:pt>
                <c:pt idx="432">
                  <c:v>36</c:v>
                </c:pt>
                <c:pt idx="433">
                  <c:v>36.5</c:v>
                </c:pt>
                <c:pt idx="434">
                  <c:v>37</c:v>
                </c:pt>
                <c:pt idx="435">
                  <c:v>37.5</c:v>
                </c:pt>
                <c:pt idx="436">
                  <c:v>38</c:v>
                </c:pt>
                <c:pt idx="437">
                  <c:v>38.5</c:v>
                </c:pt>
                <c:pt idx="438">
                  <c:v>39</c:v>
                </c:pt>
                <c:pt idx="439">
                  <c:v>39.5</c:v>
                </c:pt>
                <c:pt idx="440">
                  <c:v>40</c:v>
                </c:pt>
                <c:pt idx="441">
                  <c:v>40.5</c:v>
                </c:pt>
                <c:pt idx="442">
                  <c:v>41</c:v>
                </c:pt>
                <c:pt idx="443">
                  <c:v>41.5</c:v>
                </c:pt>
                <c:pt idx="444">
                  <c:v>42</c:v>
                </c:pt>
                <c:pt idx="445">
                  <c:v>42.5</c:v>
                </c:pt>
                <c:pt idx="446">
                  <c:v>43</c:v>
                </c:pt>
                <c:pt idx="447">
                  <c:v>43.5</c:v>
                </c:pt>
                <c:pt idx="448">
                  <c:v>44</c:v>
                </c:pt>
                <c:pt idx="449">
                  <c:v>44.5</c:v>
                </c:pt>
                <c:pt idx="450">
                  <c:v>45</c:v>
                </c:pt>
                <c:pt idx="451">
                  <c:v>45.5</c:v>
                </c:pt>
                <c:pt idx="452">
                  <c:v>46</c:v>
                </c:pt>
                <c:pt idx="453">
                  <c:v>46.5</c:v>
                </c:pt>
                <c:pt idx="454">
                  <c:v>47</c:v>
                </c:pt>
                <c:pt idx="455">
                  <c:v>47.5</c:v>
                </c:pt>
                <c:pt idx="456">
                  <c:v>48</c:v>
                </c:pt>
                <c:pt idx="457">
                  <c:v>48.5</c:v>
                </c:pt>
                <c:pt idx="458">
                  <c:v>49</c:v>
                </c:pt>
                <c:pt idx="459">
                  <c:v>49.5</c:v>
                </c:pt>
                <c:pt idx="460">
                  <c:v>50</c:v>
                </c:pt>
                <c:pt idx="461">
                  <c:v>50.5</c:v>
                </c:pt>
                <c:pt idx="462">
                  <c:v>51</c:v>
                </c:pt>
                <c:pt idx="463">
                  <c:v>51.5</c:v>
                </c:pt>
                <c:pt idx="464">
                  <c:v>52</c:v>
                </c:pt>
                <c:pt idx="465">
                  <c:v>52.5</c:v>
                </c:pt>
                <c:pt idx="466">
                  <c:v>53</c:v>
                </c:pt>
                <c:pt idx="467">
                  <c:v>53.5</c:v>
                </c:pt>
                <c:pt idx="468">
                  <c:v>54</c:v>
                </c:pt>
                <c:pt idx="469">
                  <c:v>54.5</c:v>
                </c:pt>
                <c:pt idx="470">
                  <c:v>55</c:v>
                </c:pt>
                <c:pt idx="471">
                  <c:v>55.5</c:v>
                </c:pt>
                <c:pt idx="472">
                  <c:v>56</c:v>
                </c:pt>
                <c:pt idx="473">
                  <c:v>56.5</c:v>
                </c:pt>
                <c:pt idx="474">
                  <c:v>57</c:v>
                </c:pt>
                <c:pt idx="475">
                  <c:v>57.5</c:v>
                </c:pt>
                <c:pt idx="476">
                  <c:v>58</c:v>
                </c:pt>
                <c:pt idx="477">
                  <c:v>58.5</c:v>
                </c:pt>
                <c:pt idx="478">
                  <c:v>59</c:v>
                </c:pt>
                <c:pt idx="479">
                  <c:v>59.5</c:v>
                </c:pt>
                <c:pt idx="480">
                  <c:v>60</c:v>
                </c:pt>
                <c:pt idx="481">
                  <c:v>60.5</c:v>
                </c:pt>
                <c:pt idx="482">
                  <c:v>61</c:v>
                </c:pt>
                <c:pt idx="483">
                  <c:v>61.5</c:v>
                </c:pt>
                <c:pt idx="484">
                  <c:v>62</c:v>
                </c:pt>
                <c:pt idx="485">
                  <c:v>62.5</c:v>
                </c:pt>
                <c:pt idx="486">
                  <c:v>63</c:v>
                </c:pt>
                <c:pt idx="487">
                  <c:v>63.5</c:v>
                </c:pt>
                <c:pt idx="488">
                  <c:v>64</c:v>
                </c:pt>
                <c:pt idx="489">
                  <c:v>64.5</c:v>
                </c:pt>
                <c:pt idx="490">
                  <c:v>65</c:v>
                </c:pt>
                <c:pt idx="491">
                  <c:v>65.5</c:v>
                </c:pt>
                <c:pt idx="492">
                  <c:v>66</c:v>
                </c:pt>
                <c:pt idx="493">
                  <c:v>66.5</c:v>
                </c:pt>
                <c:pt idx="494">
                  <c:v>67</c:v>
                </c:pt>
                <c:pt idx="495">
                  <c:v>67.5</c:v>
                </c:pt>
                <c:pt idx="496">
                  <c:v>68</c:v>
                </c:pt>
                <c:pt idx="497">
                  <c:v>68.5</c:v>
                </c:pt>
                <c:pt idx="498">
                  <c:v>69</c:v>
                </c:pt>
                <c:pt idx="499">
                  <c:v>69.5</c:v>
                </c:pt>
                <c:pt idx="500">
                  <c:v>70</c:v>
                </c:pt>
                <c:pt idx="501">
                  <c:v>70.5</c:v>
                </c:pt>
                <c:pt idx="502">
                  <c:v>71</c:v>
                </c:pt>
                <c:pt idx="503">
                  <c:v>71.5</c:v>
                </c:pt>
                <c:pt idx="504">
                  <c:v>72</c:v>
                </c:pt>
                <c:pt idx="505">
                  <c:v>72.5</c:v>
                </c:pt>
                <c:pt idx="506">
                  <c:v>73</c:v>
                </c:pt>
                <c:pt idx="507">
                  <c:v>73.5</c:v>
                </c:pt>
                <c:pt idx="508">
                  <c:v>74</c:v>
                </c:pt>
                <c:pt idx="509">
                  <c:v>74.5</c:v>
                </c:pt>
                <c:pt idx="510">
                  <c:v>75</c:v>
                </c:pt>
                <c:pt idx="511">
                  <c:v>75.5</c:v>
                </c:pt>
                <c:pt idx="512">
                  <c:v>76</c:v>
                </c:pt>
                <c:pt idx="513">
                  <c:v>76.5</c:v>
                </c:pt>
                <c:pt idx="514">
                  <c:v>77</c:v>
                </c:pt>
                <c:pt idx="515">
                  <c:v>77.5</c:v>
                </c:pt>
                <c:pt idx="516">
                  <c:v>78</c:v>
                </c:pt>
                <c:pt idx="517">
                  <c:v>78.5</c:v>
                </c:pt>
                <c:pt idx="518">
                  <c:v>79</c:v>
                </c:pt>
                <c:pt idx="519">
                  <c:v>79.5</c:v>
                </c:pt>
                <c:pt idx="520">
                  <c:v>80</c:v>
                </c:pt>
                <c:pt idx="521">
                  <c:v>80.5</c:v>
                </c:pt>
                <c:pt idx="522">
                  <c:v>81</c:v>
                </c:pt>
                <c:pt idx="523">
                  <c:v>81.5</c:v>
                </c:pt>
                <c:pt idx="524">
                  <c:v>82</c:v>
                </c:pt>
                <c:pt idx="525">
                  <c:v>82.5</c:v>
                </c:pt>
                <c:pt idx="526">
                  <c:v>83</c:v>
                </c:pt>
                <c:pt idx="527">
                  <c:v>83.5</c:v>
                </c:pt>
                <c:pt idx="528">
                  <c:v>84</c:v>
                </c:pt>
                <c:pt idx="529">
                  <c:v>84.5</c:v>
                </c:pt>
                <c:pt idx="530">
                  <c:v>85</c:v>
                </c:pt>
                <c:pt idx="531">
                  <c:v>85.5</c:v>
                </c:pt>
                <c:pt idx="532">
                  <c:v>86</c:v>
                </c:pt>
                <c:pt idx="533">
                  <c:v>86.5</c:v>
                </c:pt>
                <c:pt idx="534">
                  <c:v>87</c:v>
                </c:pt>
                <c:pt idx="535">
                  <c:v>87.5</c:v>
                </c:pt>
                <c:pt idx="536">
                  <c:v>88</c:v>
                </c:pt>
                <c:pt idx="537">
                  <c:v>88.5</c:v>
                </c:pt>
                <c:pt idx="538">
                  <c:v>89</c:v>
                </c:pt>
                <c:pt idx="539">
                  <c:v>89.5</c:v>
                </c:pt>
                <c:pt idx="540">
                  <c:v>90</c:v>
                </c:pt>
                <c:pt idx="541">
                  <c:v>90.5</c:v>
                </c:pt>
                <c:pt idx="542">
                  <c:v>91</c:v>
                </c:pt>
                <c:pt idx="543">
                  <c:v>91.5</c:v>
                </c:pt>
                <c:pt idx="544">
                  <c:v>92</c:v>
                </c:pt>
                <c:pt idx="545">
                  <c:v>92.5</c:v>
                </c:pt>
                <c:pt idx="546">
                  <c:v>93</c:v>
                </c:pt>
                <c:pt idx="547">
                  <c:v>93.5</c:v>
                </c:pt>
                <c:pt idx="548">
                  <c:v>94</c:v>
                </c:pt>
                <c:pt idx="549">
                  <c:v>94.5</c:v>
                </c:pt>
                <c:pt idx="550">
                  <c:v>95</c:v>
                </c:pt>
                <c:pt idx="551">
                  <c:v>95.5</c:v>
                </c:pt>
                <c:pt idx="552">
                  <c:v>96</c:v>
                </c:pt>
                <c:pt idx="553">
                  <c:v>96.5</c:v>
                </c:pt>
                <c:pt idx="554">
                  <c:v>97</c:v>
                </c:pt>
                <c:pt idx="555">
                  <c:v>97.5</c:v>
                </c:pt>
                <c:pt idx="556">
                  <c:v>98</c:v>
                </c:pt>
                <c:pt idx="557">
                  <c:v>98.5</c:v>
                </c:pt>
                <c:pt idx="558">
                  <c:v>99</c:v>
                </c:pt>
                <c:pt idx="559">
                  <c:v>99.5</c:v>
                </c:pt>
                <c:pt idx="560">
                  <c:v>100</c:v>
                </c:pt>
                <c:pt idx="561">
                  <c:v>100.5</c:v>
                </c:pt>
                <c:pt idx="562">
                  <c:v>101</c:v>
                </c:pt>
                <c:pt idx="563">
                  <c:v>101.5</c:v>
                </c:pt>
                <c:pt idx="564">
                  <c:v>102</c:v>
                </c:pt>
                <c:pt idx="565">
                  <c:v>102.5</c:v>
                </c:pt>
                <c:pt idx="566">
                  <c:v>103</c:v>
                </c:pt>
                <c:pt idx="567">
                  <c:v>103.5</c:v>
                </c:pt>
                <c:pt idx="568">
                  <c:v>104</c:v>
                </c:pt>
                <c:pt idx="569">
                  <c:v>104.5</c:v>
                </c:pt>
                <c:pt idx="570">
                  <c:v>105</c:v>
                </c:pt>
                <c:pt idx="571">
                  <c:v>105.5</c:v>
                </c:pt>
                <c:pt idx="572">
                  <c:v>106</c:v>
                </c:pt>
                <c:pt idx="573">
                  <c:v>106.5</c:v>
                </c:pt>
                <c:pt idx="574">
                  <c:v>107</c:v>
                </c:pt>
                <c:pt idx="575">
                  <c:v>107.5</c:v>
                </c:pt>
                <c:pt idx="576">
                  <c:v>108</c:v>
                </c:pt>
                <c:pt idx="577">
                  <c:v>108.5</c:v>
                </c:pt>
                <c:pt idx="578">
                  <c:v>109</c:v>
                </c:pt>
                <c:pt idx="579">
                  <c:v>109.5</c:v>
                </c:pt>
                <c:pt idx="580">
                  <c:v>110</c:v>
                </c:pt>
                <c:pt idx="581">
                  <c:v>110.5</c:v>
                </c:pt>
                <c:pt idx="582">
                  <c:v>111</c:v>
                </c:pt>
                <c:pt idx="583">
                  <c:v>111.5</c:v>
                </c:pt>
                <c:pt idx="584">
                  <c:v>112</c:v>
                </c:pt>
                <c:pt idx="585">
                  <c:v>112.5</c:v>
                </c:pt>
                <c:pt idx="586">
                  <c:v>113</c:v>
                </c:pt>
                <c:pt idx="587">
                  <c:v>113.5</c:v>
                </c:pt>
                <c:pt idx="588">
                  <c:v>114</c:v>
                </c:pt>
                <c:pt idx="589">
                  <c:v>114.5</c:v>
                </c:pt>
                <c:pt idx="590">
                  <c:v>115</c:v>
                </c:pt>
                <c:pt idx="591">
                  <c:v>115.5</c:v>
                </c:pt>
                <c:pt idx="592">
                  <c:v>116</c:v>
                </c:pt>
                <c:pt idx="593">
                  <c:v>116.5</c:v>
                </c:pt>
                <c:pt idx="594">
                  <c:v>117</c:v>
                </c:pt>
                <c:pt idx="595">
                  <c:v>117.5</c:v>
                </c:pt>
                <c:pt idx="596">
                  <c:v>118</c:v>
                </c:pt>
                <c:pt idx="597">
                  <c:v>118.5</c:v>
                </c:pt>
                <c:pt idx="598">
                  <c:v>119</c:v>
                </c:pt>
                <c:pt idx="599">
                  <c:v>119.5</c:v>
                </c:pt>
                <c:pt idx="600">
                  <c:v>120</c:v>
                </c:pt>
                <c:pt idx="601">
                  <c:v>120.5</c:v>
                </c:pt>
                <c:pt idx="602">
                  <c:v>121</c:v>
                </c:pt>
                <c:pt idx="603">
                  <c:v>121.5</c:v>
                </c:pt>
                <c:pt idx="604">
                  <c:v>122</c:v>
                </c:pt>
                <c:pt idx="605">
                  <c:v>122.5</c:v>
                </c:pt>
                <c:pt idx="606">
                  <c:v>123</c:v>
                </c:pt>
                <c:pt idx="607">
                  <c:v>123.5</c:v>
                </c:pt>
                <c:pt idx="608">
                  <c:v>124</c:v>
                </c:pt>
                <c:pt idx="609">
                  <c:v>124.5</c:v>
                </c:pt>
                <c:pt idx="610">
                  <c:v>125</c:v>
                </c:pt>
                <c:pt idx="611">
                  <c:v>125.5</c:v>
                </c:pt>
                <c:pt idx="612">
                  <c:v>126</c:v>
                </c:pt>
                <c:pt idx="613">
                  <c:v>126.5</c:v>
                </c:pt>
                <c:pt idx="614">
                  <c:v>127</c:v>
                </c:pt>
                <c:pt idx="615">
                  <c:v>127.5</c:v>
                </c:pt>
                <c:pt idx="616">
                  <c:v>128</c:v>
                </c:pt>
                <c:pt idx="617">
                  <c:v>128.5</c:v>
                </c:pt>
                <c:pt idx="618">
                  <c:v>129</c:v>
                </c:pt>
                <c:pt idx="619">
                  <c:v>129.5</c:v>
                </c:pt>
                <c:pt idx="620">
                  <c:v>130</c:v>
                </c:pt>
                <c:pt idx="621">
                  <c:v>130.5</c:v>
                </c:pt>
                <c:pt idx="622">
                  <c:v>131</c:v>
                </c:pt>
                <c:pt idx="623">
                  <c:v>131.5</c:v>
                </c:pt>
                <c:pt idx="624">
                  <c:v>132</c:v>
                </c:pt>
                <c:pt idx="625">
                  <c:v>132.5</c:v>
                </c:pt>
                <c:pt idx="626">
                  <c:v>133</c:v>
                </c:pt>
                <c:pt idx="627">
                  <c:v>133.5</c:v>
                </c:pt>
                <c:pt idx="628">
                  <c:v>134</c:v>
                </c:pt>
                <c:pt idx="629">
                  <c:v>134.5</c:v>
                </c:pt>
                <c:pt idx="630">
                  <c:v>135</c:v>
                </c:pt>
                <c:pt idx="631">
                  <c:v>135.5</c:v>
                </c:pt>
                <c:pt idx="632">
                  <c:v>136</c:v>
                </c:pt>
                <c:pt idx="633">
                  <c:v>136.5</c:v>
                </c:pt>
                <c:pt idx="634">
                  <c:v>137</c:v>
                </c:pt>
                <c:pt idx="635">
                  <c:v>137.5</c:v>
                </c:pt>
                <c:pt idx="636">
                  <c:v>138</c:v>
                </c:pt>
                <c:pt idx="637">
                  <c:v>138.5</c:v>
                </c:pt>
                <c:pt idx="638">
                  <c:v>139</c:v>
                </c:pt>
                <c:pt idx="639">
                  <c:v>139.5</c:v>
                </c:pt>
                <c:pt idx="640">
                  <c:v>140</c:v>
                </c:pt>
                <c:pt idx="641">
                  <c:v>140.5</c:v>
                </c:pt>
                <c:pt idx="642">
                  <c:v>141</c:v>
                </c:pt>
                <c:pt idx="643">
                  <c:v>141.5</c:v>
                </c:pt>
                <c:pt idx="644">
                  <c:v>142</c:v>
                </c:pt>
                <c:pt idx="645">
                  <c:v>142.5</c:v>
                </c:pt>
                <c:pt idx="646">
                  <c:v>143</c:v>
                </c:pt>
                <c:pt idx="647">
                  <c:v>143.5</c:v>
                </c:pt>
                <c:pt idx="648">
                  <c:v>144</c:v>
                </c:pt>
                <c:pt idx="649">
                  <c:v>144.5</c:v>
                </c:pt>
                <c:pt idx="650">
                  <c:v>145</c:v>
                </c:pt>
                <c:pt idx="651">
                  <c:v>145.5</c:v>
                </c:pt>
                <c:pt idx="652">
                  <c:v>146</c:v>
                </c:pt>
                <c:pt idx="653">
                  <c:v>146.5</c:v>
                </c:pt>
                <c:pt idx="654">
                  <c:v>147</c:v>
                </c:pt>
                <c:pt idx="655">
                  <c:v>147.5</c:v>
                </c:pt>
                <c:pt idx="656">
                  <c:v>148</c:v>
                </c:pt>
                <c:pt idx="657">
                  <c:v>148.5</c:v>
                </c:pt>
                <c:pt idx="658">
                  <c:v>149</c:v>
                </c:pt>
                <c:pt idx="659">
                  <c:v>149.5</c:v>
                </c:pt>
                <c:pt idx="660">
                  <c:v>150</c:v>
                </c:pt>
                <c:pt idx="661">
                  <c:v>150.5</c:v>
                </c:pt>
                <c:pt idx="662">
                  <c:v>151</c:v>
                </c:pt>
                <c:pt idx="663">
                  <c:v>151.5</c:v>
                </c:pt>
                <c:pt idx="664">
                  <c:v>152</c:v>
                </c:pt>
                <c:pt idx="665">
                  <c:v>152.5</c:v>
                </c:pt>
                <c:pt idx="666">
                  <c:v>153</c:v>
                </c:pt>
                <c:pt idx="667">
                  <c:v>153.5</c:v>
                </c:pt>
                <c:pt idx="668">
                  <c:v>154</c:v>
                </c:pt>
                <c:pt idx="669">
                  <c:v>154.5</c:v>
                </c:pt>
                <c:pt idx="670">
                  <c:v>155</c:v>
                </c:pt>
                <c:pt idx="671">
                  <c:v>155.5</c:v>
                </c:pt>
                <c:pt idx="672">
                  <c:v>156</c:v>
                </c:pt>
                <c:pt idx="673">
                  <c:v>156.5</c:v>
                </c:pt>
                <c:pt idx="674">
                  <c:v>157</c:v>
                </c:pt>
                <c:pt idx="675">
                  <c:v>157.5</c:v>
                </c:pt>
                <c:pt idx="676">
                  <c:v>158</c:v>
                </c:pt>
                <c:pt idx="677">
                  <c:v>158.5</c:v>
                </c:pt>
                <c:pt idx="678">
                  <c:v>159</c:v>
                </c:pt>
                <c:pt idx="679">
                  <c:v>159.5</c:v>
                </c:pt>
                <c:pt idx="680">
                  <c:v>160</c:v>
                </c:pt>
                <c:pt idx="681">
                  <c:v>160.5</c:v>
                </c:pt>
                <c:pt idx="682">
                  <c:v>161</c:v>
                </c:pt>
                <c:pt idx="683">
                  <c:v>161.5</c:v>
                </c:pt>
                <c:pt idx="684">
                  <c:v>162</c:v>
                </c:pt>
                <c:pt idx="685">
                  <c:v>162.5</c:v>
                </c:pt>
                <c:pt idx="686">
                  <c:v>163</c:v>
                </c:pt>
                <c:pt idx="687">
                  <c:v>163.5</c:v>
                </c:pt>
                <c:pt idx="688">
                  <c:v>164</c:v>
                </c:pt>
                <c:pt idx="689">
                  <c:v>164.5</c:v>
                </c:pt>
                <c:pt idx="690">
                  <c:v>165</c:v>
                </c:pt>
                <c:pt idx="691">
                  <c:v>165.5</c:v>
                </c:pt>
                <c:pt idx="692">
                  <c:v>166</c:v>
                </c:pt>
                <c:pt idx="693">
                  <c:v>166.5</c:v>
                </c:pt>
                <c:pt idx="694">
                  <c:v>167</c:v>
                </c:pt>
                <c:pt idx="695">
                  <c:v>167.5</c:v>
                </c:pt>
                <c:pt idx="696">
                  <c:v>168</c:v>
                </c:pt>
                <c:pt idx="697">
                  <c:v>168.5</c:v>
                </c:pt>
                <c:pt idx="698">
                  <c:v>169</c:v>
                </c:pt>
                <c:pt idx="699">
                  <c:v>169.5</c:v>
                </c:pt>
                <c:pt idx="700">
                  <c:v>170</c:v>
                </c:pt>
                <c:pt idx="701">
                  <c:v>170.5</c:v>
                </c:pt>
                <c:pt idx="702">
                  <c:v>171</c:v>
                </c:pt>
                <c:pt idx="703">
                  <c:v>171.5</c:v>
                </c:pt>
                <c:pt idx="704">
                  <c:v>172</c:v>
                </c:pt>
                <c:pt idx="705">
                  <c:v>172.5</c:v>
                </c:pt>
                <c:pt idx="706">
                  <c:v>173</c:v>
                </c:pt>
                <c:pt idx="707">
                  <c:v>173.5</c:v>
                </c:pt>
                <c:pt idx="708">
                  <c:v>174</c:v>
                </c:pt>
                <c:pt idx="709">
                  <c:v>174.5</c:v>
                </c:pt>
                <c:pt idx="710">
                  <c:v>175</c:v>
                </c:pt>
                <c:pt idx="711">
                  <c:v>175.5</c:v>
                </c:pt>
                <c:pt idx="712">
                  <c:v>176</c:v>
                </c:pt>
                <c:pt idx="713">
                  <c:v>176.5</c:v>
                </c:pt>
                <c:pt idx="714">
                  <c:v>177</c:v>
                </c:pt>
                <c:pt idx="715">
                  <c:v>177.5</c:v>
                </c:pt>
                <c:pt idx="716">
                  <c:v>178</c:v>
                </c:pt>
                <c:pt idx="717">
                  <c:v>178.5</c:v>
                </c:pt>
                <c:pt idx="718">
                  <c:v>179</c:v>
                </c:pt>
                <c:pt idx="719">
                  <c:v>179.5</c:v>
                </c:pt>
                <c:pt idx="720">
                  <c:v>180</c:v>
                </c:pt>
              </c:numCache>
            </c:numRef>
          </c:xVal>
          <c:yVal>
            <c:numRef>
              <c:f>Barrido_AE!$B$12:$B$732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4.6033346729217515</c:v>
                </c:pt>
                <c:pt idx="276">
                  <c:v>4.6838282643979383</c:v>
                </c:pt>
                <c:pt idx="277">
                  <c:v>4.7661189310785605</c:v>
                </c:pt>
                <c:pt idx="278">
                  <c:v>4.8502428963503164</c:v>
                </c:pt>
                <c:pt idx="279">
                  <c:v>4.9362364384492903</c:v>
                </c:pt>
                <c:pt idx="280">
                  <c:v>5.024135818595048</c:v>
                </c:pt>
                <c:pt idx="281">
                  <c:v>5.1139772021108811</c:v>
                </c:pt>
                <c:pt idx="282">
                  <c:v>5.2057965720721358</c:v>
                </c:pt>
                <c:pt idx="283">
                  <c:v>5.2996296350088352</c:v>
                </c:pt>
                <c:pt idx="284">
                  <c:v>5.3955117181735694</c:v>
                </c:pt>
                <c:pt idx="285">
                  <c:v>5.4934776578723703</c:v>
                </c:pt>
                <c:pt idx="286">
                  <c:v>5.5935616783449866</c:v>
                </c:pt>
                <c:pt idx="287">
                  <c:v>5.6957972606717471</c:v>
                </c:pt>
                <c:pt idx="288">
                  <c:v>5.80021700117838</c:v>
                </c:pt>
                <c:pt idx="289">
                  <c:v>5.9068524588072222</c:v>
                </c:pt>
                <c:pt idx="290">
                  <c:v>6.0157339909247796</c:v>
                </c:pt>
                <c:pt idx="291">
                  <c:v>6.1268905770417605</c:v>
                </c:pt>
                <c:pt idx="292">
                  <c:v>6.2403496299330925</c:v>
                </c:pt>
                <c:pt idx="293">
                  <c:v>6.3561367936632998</c:v>
                </c:pt>
                <c:pt idx="294">
                  <c:v>6.474275728047596</c:v>
                </c:pt>
                <c:pt idx="295">
                  <c:v>6.5947878791117649</c:v>
                </c:pt>
                <c:pt idx="296">
                  <c:v>6.7176922351560417</c:v>
                </c:pt>
                <c:pt idx="297">
                  <c:v>6.8430050680798962</c:v>
                </c:pt>
                <c:pt idx="298">
                  <c:v>6.9707396596879816</c:v>
                </c:pt>
                <c:pt idx="299">
                  <c:v>7.1009060127726942</c:v>
                </c:pt>
                <c:pt idx="300">
                  <c:v>7.2335105468578709</c:v>
                </c:pt>
                <c:pt idx="301">
                  <c:v>7.3685557785910527</c:v>
                </c:pt>
                <c:pt idx="302">
                  <c:v>7.5060399868917722</c:v>
                </c:pt>
                <c:pt idx="303">
                  <c:v>7.6459568630988599</c:v>
                </c:pt>
                <c:pt idx="304">
                  <c:v>7.7882951465147201</c:v>
                </c:pt>
                <c:pt idx="305">
                  <c:v>7.9330382459174604</c:v>
                </c:pt>
                <c:pt idx="306">
                  <c:v>8.080163847805947</c:v>
                </c:pt>
                <c:pt idx="307">
                  <c:v>8.2296435123565956</c:v>
                </c:pt>
                <c:pt idx="308">
                  <c:v>8.381442258307171</c:v>
                </c:pt>
                <c:pt idx="309">
                  <c:v>8.5355181382400183</c:v>
                </c:pt>
                <c:pt idx="310">
                  <c:v>8.6918218060164509</c:v>
                </c:pt>
                <c:pt idx="311">
                  <c:v>8.8502960784148286</c:v>
                </c:pt>
                <c:pt idx="312">
                  <c:v>9.0108754933457398</c:v>
                </c:pt>
                <c:pt idx="313">
                  <c:v>9.173485867358151</c:v>
                </c:pt>
                <c:pt idx="314">
                  <c:v>9.3380438555080385</c:v>
                </c:pt>
                <c:pt idx="315">
                  <c:v>9.5044565170328568</c:v>
                </c:pt>
                <c:pt idx="316">
                  <c:v>9.6726208906595392</c:v>
                </c:pt>
                <c:pt idx="317">
                  <c:v>9.8424235837635088</c:v>
                </c:pt>
                <c:pt idx="318">
                  <c:v>10.013740379990242</c:v>
                </c:pt>
                <c:pt idx="319">
                  <c:v>10.186435870339222</c:v>
                </c:pt>
                <c:pt idx="320">
                  <c:v>10.360363113089631</c:v>
                </c:pt>
                <c:pt idx="321">
                  <c:v>10.535363328307028</c:v>
                </c:pt>
                <c:pt idx="322">
                  <c:v>10.711265633003194</c:v>
                </c:pt>
                <c:pt idx="323">
                  <c:v>10.887886823317414</c:v>
                </c:pt>
                <c:pt idx="324">
                  <c:v>11.065031210336159</c:v>
                </c:pt>
                <c:pt idx="325">
                  <c:v>11.242490516356877</c:v>
                </c:pt>
                <c:pt idx="326">
                  <c:v>11.420043838520682</c:v>
                </c:pt>
                <c:pt idx="327">
                  <c:v>11.597457686773055</c:v>
                </c:pt>
                <c:pt idx="328">
                  <c:v>11.774486103051757</c:v>
                </c:pt>
                <c:pt idx="329">
                  <c:v>11.950870868431339</c:v>
                </c:pt>
                <c:pt idx="330">
                  <c:v>12.126341804664458</c:v>
                </c:pt>
                <c:pt idx="331">
                  <c:v>12.300617176140848</c:v>
                </c:pt>
                <c:pt idx="332">
                  <c:v>12.473404197722738</c:v>
                </c:pt>
                <c:pt idx="333">
                  <c:v>12.644399653207032</c:v>
                </c:pt>
                <c:pt idx="334">
                  <c:v>12.813290628301043</c:v>
                </c:pt>
                <c:pt idx="335">
                  <c:v>12.97975536097953</c:v>
                </c:pt>
                <c:pt idx="336">
                  <c:v>13.143464210914832</c:v>
                </c:pt>
                <c:pt idx="337">
                  <c:v>13.304080748347879</c:v>
                </c:pt>
                <c:pt idx="338">
                  <c:v>13.461262961297823</c:v>
                </c:pt>
                <c:pt idx="339">
                  <c:v>13.614664578413283</c:v>
                </c:pt>
                <c:pt idx="340">
                  <c:v>13.763936503061698</c:v>
                </c:pt>
                <c:pt idx="341">
                  <c:v>13.908728352459104</c:v>
                </c:pt>
                <c:pt idx="342">
                  <c:v>14.04869009379118</c:v>
                </c:pt>
                <c:pt idx="343">
                  <c:v>14.183473767397132</c:v>
                </c:pt>
                <c:pt idx="344">
                  <c:v>14.312735285220532</c:v>
                </c:pt>
                <c:pt idx="345">
                  <c:v>14.436136290913105</c:v>
                </c:pt>
                <c:pt idx="346">
                  <c:v>14.553346066252981</c:v>
                </c:pt>
                <c:pt idx="347">
                  <c:v>14.664043466953874</c:v>
                </c:pt>
                <c:pt idx="348">
                  <c:v>14.767918869536354</c:v>
                </c:pt>
                <c:pt idx="349">
                  <c:v>14.864676109755639</c:v>
                </c:pt>
                <c:pt idx="350">
                  <c:v>14.954034392170891</c:v>
                </c:pt>
                <c:pt idx="351">
                  <c:v>15.035730149834537</c:v>
                </c:pt>
                <c:pt idx="352">
                  <c:v>15.109518832812107</c:v>
                </c:pt>
                <c:pt idx="353">
                  <c:v>15.175176604336544</c:v>
                </c:pt>
                <c:pt idx="354">
                  <c:v>15.232501923870371</c:v>
                </c:pt>
                <c:pt idx="355">
                  <c:v>15.281316997206222</c:v>
                </c:pt>
                <c:pt idx="356">
                  <c:v>15.321469074977401</c:v>
                </c:pt>
                <c:pt idx="357">
                  <c:v>15.352831582558789</c:v>
                </c:pt>
                <c:pt idx="358">
                  <c:v>15.375305066297368</c:v>
                </c:pt>
                <c:pt idx="359">
                  <c:v>15.388817943283314</c:v>
                </c:pt>
                <c:pt idx="360">
                  <c:v>15.393327044416075</c:v>
                </c:pt>
                <c:pt idx="361">
                  <c:v>15.388817943283316</c:v>
                </c:pt>
                <c:pt idx="362">
                  <c:v>15.375305066297368</c:v>
                </c:pt>
                <c:pt idx="363">
                  <c:v>15.352831582558787</c:v>
                </c:pt>
                <c:pt idx="364">
                  <c:v>15.321469074977397</c:v>
                </c:pt>
                <c:pt idx="365">
                  <c:v>15.281316997206215</c:v>
                </c:pt>
                <c:pt idx="366">
                  <c:v>15.232501923870363</c:v>
                </c:pt>
                <c:pt idx="367">
                  <c:v>15.175176604336531</c:v>
                </c:pt>
                <c:pt idx="368">
                  <c:v>15.109518832812094</c:v>
                </c:pt>
                <c:pt idx="369">
                  <c:v>15.035730149834523</c:v>
                </c:pt>
                <c:pt idx="370">
                  <c:v>14.954034392170879</c:v>
                </c:pt>
                <c:pt idx="371">
                  <c:v>14.864676109755628</c:v>
                </c:pt>
                <c:pt idx="372">
                  <c:v>14.767918869536345</c:v>
                </c:pt>
                <c:pt idx="373">
                  <c:v>14.664043466953865</c:v>
                </c:pt>
                <c:pt idx="374">
                  <c:v>14.553346066252972</c:v>
                </c:pt>
                <c:pt idx="375">
                  <c:v>14.436170039624962</c:v>
                </c:pt>
                <c:pt idx="376">
                  <c:v>14.313371178064958</c:v>
                </c:pt>
                <c:pt idx="377">
                  <c:v>14.186182963978938</c:v>
                </c:pt>
                <c:pt idx="378">
                  <c:v>14.055826835252619</c:v>
                </c:pt>
                <c:pt idx="379">
                  <c:v>13.9234966495289</c:v>
                </c:pt>
                <c:pt idx="380">
                  <c:v>13.790353389015198</c:v>
                </c:pt>
                <c:pt idx="381">
                  <c:v>13.657520067292154</c:v>
                </c:pt>
                <c:pt idx="382">
                  <c:v>13.526076875975788</c:v>
                </c:pt>
                <c:pt idx="383">
                  <c:v>13.397056604597266</c:v>
                </c:pt>
                <c:pt idx="384">
                  <c:v>13.271440362613252</c:v>
                </c:pt>
                <c:pt idx="385">
                  <c:v>13.15015362812054</c:v>
                </c:pt>
                <c:pt idx="386">
                  <c:v>13.034062643691781</c:v>
                </c:pt>
                <c:pt idx="387">
                  <c:v>12.92397117582439</c:v>
                </c:pt>
                <c:pt idx="388">
                  <c:v>12.820617650845579</c:v>
                </c:pt>
                <c:pt idx="389">
                  <c:v>12.724672676770558</c:v>
                </c:pt>
                <c:pt idx="390">
                  <c:v>12.636736957577549</c:v>
                </c:pt>
                <c:pt idx="391">
                  <c:v>12.557339603652611</c:v>
                </c:pt>
                <c:pt idx="392">
                  <c:v>12.486936839754673</c:v>
                </c:pt>
                <c:pt idx="393">
                  <c:v>12.425911109743216</c:v>
                </c:pt>
                <c:pt idx="394">
                  <c:v>12.374570575470791</c:v>
                </c:pt>
                <c:pt idx="395">
                  <c:v>12.333149005640866</c:v>
                </c:pt>
                <c:pt idx="396">
                  <c:v>12.301806049029842</c:v>
                </c:pt>
                <c:pt idx="397">
                  <c:v>12.280627885236594</c:v>
                </c:pt>
                <c:pt idx="398">
                  <c:v>12.269628245011157</c:v>
                </c:pt>
                <c:pt idx="399">
                  <c:v>12.268749791187735</c:v>
                </c:pt>
                <c:pt idx="400">
                  <c:v>12.277865850271226</c:v>
                </c:pt>
                <c:pt idx="401">
                  <c:v>12.296782483763335</c:v>
                </c:pt>
                <c:pt idx="402">
                  <c:v>12.325240887336717</c:v>
                </c:pt>
                <c:pt idx="403">
                  <c:v>12.362920104944939</c:v>
                </c:pt>
                <c:pt idx="404">
                  <c:v>12.409440043874302</c:v>
                </c:pt>
                <c:pt idx="405">
                  <c:v>12.464364775585205</c:v>
                </c:pt>
                <c:pt idx="406">
                  <c:v>12.527206105947105</c:v>
                </c:pt>
                <c:pt idx="407">
                  <c:v>12.597427397140187</c:v>
                </c:pt>
                <c:pt idx="408">
                  <c:v>12.674447622084775</c:v>
                </c:pt>
                <c:pt idx="409">
                  <c:v>12.757645630772444</c:v>
                </c:pt>
                <c:pt idx="410">
                  <c:v>12.846364606332708</c:v>
                </c:pt>
                <c:pt idx="411">
                  <c:v>12.939916687091189</c:v>
                </c:pt>
                <c:pt idx="412">
                  <c:v>13.037587729291847</c:v>
                </c:pt>
                <c:pt idx="413">
                  <c:v>13.138642183593293</c:v>
                </c:pt>
                <c:pt idx="414">
                  <c:v>13.242328056944068</c:v>
                </c:pt>
                <c:pt idx="415">
                  <c:v>13.347881930030095</c:v>
                </c:pt>
                <c:pt idx="416">
                  <c:v>13.454533999207083</c:v>
                </c:pt>
                <c:pt idx="417">
                  <c:v>13.56151311072249</c:v>
                </c:pt>
                <c:pt idx="418">
                  <c:v>13.668051754133097</c:v>
                </c:pt>
                <c:pt idx="419">
                  <c:v>13.773390981173687</c:v>
                </c:pt>
                <c:pt idx="420">
                  <c:v>13.876785215966951</c:v>
                </c:pt>
                <c:pt idx="421">
                  <c:v>13.977506922414179</c:v>
                </c:pt>
                <c:pt idx="422">
                  <c:v>14.074851094902098</c:v>
                </c:pt>
                <c:pt idx="423">
                  <c:v>14.168139539123789</c:v>
                </c:pt>
                <c:pt idx="424">
                  <c:v>14.256724910861408</c:v>
                </c:pt>
                <c:pt idx="425">
                  <c:v>14.339994482022638</c:v>
                </c:pt>
                <c:pt idx="426">
                  <c:v>14.417373605070065</c:v>
                </c:pt>
                <c:pt idx="427">
                  <c:v>14.488328849224034</c:v>
                </c:pt>
                <c:pt idx="428">
                  <c:v>14.552370784446939</c:v>
                </c:pt>
                <c:pt idx="429">
                  <c:v>14.60905639220902</c:v>
                </c:pt>
                <c:pt idx="430">
                  <c:v>14.657991085365296</c:v>
                </c:pt>
                <c:pt idx="431">
                  <c:v>14.698830323104186</c:v>
                </c:pt>
                <c:pt idx="432">
                  <c:v>14.731280810818806</c:v>
                </c:pt>
                <c:pt idx="433">
                  <c:v>14.755101278851308</c:v>
                </c:pt>
                <c:pt idx="434">
                  <c:v>14.77010283831441</c:v>
                </c:pt>
                <c:pt idx="435">
                  <c:v>14.776148916541882</c:v>
                </c:pt>
                <c:pt idx="436">
                  <c:v>14.773154779096529</c:v>
                </c:pt>
                <c:pt idx="437">
                  <c:v>14.761086649603849</c:v>
                </c:pt>
                <c:pt idx="438">
                  <c:v>14.739960442914835</c:v>
                </c:pt>
                <c:pt idx="439">
                  <c:v>14.709840131162203</c:v>
                </c:pt>
                <c:pt idx="440">
                  <c:v>14.670835766097694</c:v>
                </c:pt>
                <c:pt idx="441">
                  <c:v>14.623101184618038</c:v>
                </c:pt>
                <c:pt idx="442">
                  <c:v>14.566831427547159</c:v>
                </c:pt>
                <c:pt idx="443">
                  <c:v>14.502259904489128</c:v>
                </c:pt>
                <c:pt idx="444">
                  <c:v>14.429655339853356</c:v>
                </c:pt>
                <c:pt idx="445">
                  <c:v>14.34931853694623</c:v>
                </c:pt>
                <c:pt idx="446">
                  <c:v>14.261578998289561</c:v>
                </c:pt>
                <c:pt idx="447">
                  <c:v>14.166791441052473</c:v>
                </c:pt>
                <c:pt idx="448">
                  <c:v>14.065332246655348</c:v>
                </c:pt>
                <c:pt idx="449">
                  <c:v>13.957595883231839</c:v>
                </c:pt>
                <c:pt idx="450">
                  <c:v>13.843991338723393</c:v>
                </c:pt>
                <c:pt idx="451">
                  <c:v>13.724938600959501</c:v>
                </c:pt>
                <c:pt idx="452">
                  <c:v>13.60086521917369</c:v>
                </c:pt>
                <c:pt idx="453">
                  <c:v>13.472202979066065</c:v>
                </c:pt>
                <c:pt idx="454">
                  <c:v>13.339384720793698</c:v>
                </c:pt>
                <c:pt idx="455">
                  <c:v>13.202841326209427</c:v>
                </c:pt>
                <c:pt idx="456">
                  <c:v>13.062998898337147</c:v>
                </c:pt>
                <c:pt idx="457">
                  <c:v>12.920276152534813</c:v>
                </c:pt>
                <c:pt idx="458">
                  <c:v>12.775082035120452</c:v>
                </c:pt>
                <c:pt idx="459">
                  <c:v>12.627813581492703</c:v>
                </c:pt>
                <c:pt idx="460">
                  <c:v>12.478854022031074</c:v>
                </c:pt>
                <c:pt idx="461">
                  <c:v>12.328571140379591</c:v>
                </c:pt>
                <c:pt idx="462">
                  <c:v>12.177315885160603</c:v>
                </c:pt>
                <c:pt idx="463">
                  <c:v>12.025421232791667</c:v>
                </c:pt>
                <c:pt idx="464">
                  <c:v>11.873201295936781</c:v>
                </c:pt>
                <c:pt idx="465">
                  <c:v>11.72095066925753</c:v>
                </c:pt>
                <c:pt idx="466">
                  <c:v>11.568944001576124</c:v>
                </c:pt>
                <c:pt idx="467">
                  <c:v>11.417435781347875</c:v>
                </c:pt>
                <c:pt idx="468">
                  <c:v>11.266660320483973</c:v>
                </c:pt>
                <c:pt idx="469">
                  <c:v>11.116831920077484</c:v>
                </c:pt>
                <c:pt idx="470">
                  <c:v>10.968145200468596</c:v>
                </c:pt>
                <c:pt idx="471">
                  <c:v>10.820775577332508</c:v>
                </c:pt>
                <c:pt idx="472">
                  <c:v>10.674879865073185</c:v>
                </c:pt>
                <c:pt idx="473">
                  <c:v>10.530596988739008</c:v>
                </c:pt>
                <c:pt idx="474">
                  <c:v>10.388048785915235</c:v>
                </c:pt>
                <c:pt idx="475">
                  <c:v>10.247340880566673</c:v>
                </c:pt>
                <c:pt idx="476">
                  <c:v>10.108563611565268</c:v>
                </c:pt>
                <c:pt idx="477">
                  <c:v>9.9717929996086525</c:v>
                </c:pt>
                <c:pt idx="478">
                  <c:v>9.8370917373773104</c:v>
                </c:pt>
                <c:pt idx="479">
                  <c:v>9.7045101890546803</c:v>
                </c:pt>
                <c:pt idx="480">
                  <c:v>9.5740873867065819</c:v>
                </c:pt>
                <c:pt idx="481">
                  <c:v>9.4458520124502456</c:v>
                </c:pt>
                <c:pt idx="482">
                  <c:v>9.3198233568037079</c:v>
                </c:pt>
                <c:pt idx="483">
                  <c:v>9.1960122450634927</c:v>
                </c:pt>
                <c:pt idx="484">
                  <c:v>9.0744219249844509</c:v>
                </c:pt>
                <c:pt idx="485">
                  <c:v>8.9550489104053828</c:v>
                </c:pt>
                <c:pt idx="486">
                  <c:v>8.8378837767601066</c:v>
                </c:pt>
                <c:pt idx="487">
                  <c:v>8.7229119056154065</c:v>
                </c:pt>
                <c:pt idx="488">
                  <c:v>8.6101141764776976</c:v>
                </c:pt>
                <c:pt idx="489">
                  <c:v>8.4994676050954592</c:v>
                </c:pt>
                <c:pt idx="490">
                  <c:v>8.3909459283539309</c:v>
                </c:pt>
                <c:pt idx="491">
                  <c:v>8.2845201366073979</c:v>
                </c:pt>
                <c:pt idx="492">
                  <c:v>8.1801589549252487</c:v>
                </c:pt>
                <c:pt idx="493">
                  <c:v>8.0778292752447598</c:v>
                </c:pt>
                <c:pt idx="494">
                  <c:v>7.9774965418304609</c:v>
                </c:pt>
                <c:pt idx="495">
                  <c:v>7.8791250927465688</c:v>
                </c:pt>
                <c:pt idx="496">
                  <c:v>7.7826784602618186</c:v>
                </c:pt>
                <c:pt idx="497">
                  <c:v>7.6881196332368367</c:v>
                </c:pt>
                <c:pt idx="498">
                  <c:v>7.5954112846009512</c:v>
                </c:pt>
                <c:pt idx="499">
                  <c:v>7.5045159670200823</c:v>
                </c:pt>
                <c:pt idx="500">
                  <c:v>7.4153962797985686</c:v>
                </c:pt>
                <c:pt idx="501">
                  <c:v>7.3280150099567667</c:v>
                </c:pt>
                <c:pt idx="502">
                  <c:v>7.2423352502906768</c:v>
                </c:pt>
                <c:pt idx="503">
                  <c:v>7.1583204970594894</c:v>
                </c:pt>
                <c:pt idx="504">
                  <c:v>7.075934729768206</c:v>
                </c:pt>
                <c:pt idx="505">
                  <c:v>6.9951424753231422</c:v>
                </c:pt>
                <c:pt idx="506">
                  <c:v>6.9159088586436237</c:v>
                </c:pt>
                <c:pt idx="507">
                  <c:v>6.8381996416178756</c:v>
                </c:pt>
                <c:pt idx="508">
                  <c:v>6.7619812521002522</c:v>
                </c:pt>
                <c:pt idx="509">
                  <c:v>6.6872208044626227</c:v>
                </c:pt>
                <c:pt idx="510">
                  <c:v>6.6138861130380358</c:v>
                </c:pt>
                <c:pt idx="511">
                  <c:v>6.5419456996311309</c:v>
                </c:pt>
                <c:pt idx="512">
                  <c:v>6.4713687961186244</c:v>
                </c:pt>
                <c:pt idx="513">
                  <c:v>6.4021253430250473</c:v>
                </c:pt>
                <c:pt idx="514">
                  <c:v>6.3341859848336419</c:v>
                </c:pt>
                <c:pt idx="515">
                  <c:v>6.2675220626805084</c:v>
                </c:pt>
                <c:pt idx="516">
                  <c:v>6.2021056049806296</c:v>
                </c:pt>
                <c:pt idx="517">
                  <c:v>6.1379093164468967</c:v>
                </c:pt>
                <c:pt idx="518">
                  <c:v>6.0749065658868959</c:v>
                </c:pt>
                <c:pt idx="519">
                  <c:v>6.0130713730964418</c:v>
                </c:pt>
                <c:pt idx="520">
                  <c:v>5.9523783951119018</c:v>
                </c:pt>
                <c:pt idx="521">
                  <c:v>5.8928029120351644</c:v>
                </c:pt>
                <c:pt idx="522">
                  <c:v>5.8343208126044015</c:v>
                </c:pt>
                <c:pt idx="523">
                  <c:v>5.7769085796493274</c:v>
                </c:pt>
                <c:pt idx="524">
                  <c:v>5.720543275541238</c:v>
                </c:pt>
                <c:pt idx="525">
                  <c:v>5.6652025277244018</c:v>
                </c:pt>
                <c:pt idx="526">
                  <c:v>5.6108645143960443</c:v>
                </c:pt>
                <c:pt idx="527">
                  <c:v>5.5575079503863307</c:v>
                </c:pt>
                <c:pt idx="528">
                  <c:v>5.5051120732768153</c:v>
                </c:pt>
                <c:pt idx="529">
                  <c:v>5.4536566297857565</c:v>
                </c:pt>
                <c:pt idx="530">
                  <c:v>5.4031218624402335</c:v>
                </c:pt>
                <c:pt idx="531">
                  <c:v>5.3534884965485823</c:v>
                </c:pt>
                <c:pt idx="532">
                  <c:v>5.3047377274816458</c:v>
                </c:pt>
                <c:pt idx="533">
                  <c:v>5.2568512082671264</c:v>
                </c:pt>
                <c:pt idx="534">
                  <c:v>5.2098110374984881</c:v>
                </c:pt>
                <c:pt idx="535">
                  <c:v>5.1635997475573063</c:v>
                </c:pt>
                <c:pt idx="536">
                  <c:v>5.1182002931463053</c:v>
                </c:pt>
                <c:pt idx="537">
                  <c:v>5.0735960401289653</c:v>
                </c:pt>
                <c:pt idx="538">
                  <c:v>5.0297707546705723</c:v>
                </c:pt>
                <c:pt idx="539">
                  <c:v>4.9867085926750256</c:v>
                </c:pt>
                <c:pt idx="540">
                  <c:v>4.9443940895109906</c:v>
                </c:pt>
                <c:pt idx="541">
                  <c:v>4.9028121500209725</c:v>
                </c:pt>
                <c:pt idx="542">
                  <c:v>4.8619480388064522</c:v>
                </c:pt>
                <c:pt idx="543">
                  <c:v>4.8217873707822507</c:v>
                </c:pt>
                <c:pt idx="544">
                  <c:v>4.7823161019931941</c:v>
                </c:pt>
                <c:pt idx="545">
                  <c:v>4.7435205206862854</c:v>
                </c:pt>
                <c:pt idx="546">
                  <c:v>4.705387238631471</c:v>
                </c:pt>
                <c:pt idx="547">
                  <c:v>4.6679031826843644</c:v>
                </c:pt>
                <c:pt idx="548">
                  <c:v>4.6310555865843108</c:v>
                </c:pt>
                <c:pt idx="549">
                  <c:v>4.5948319829812494</c:v>
                </c:pt>
                <c:pt idx="550">
                  <c:v>4.5592201956851008</c:v>
                </c:pt>
                <c:pt idx="551">
                  <c:v>4.524208332131443</c:v>
                </c:pt>
                <c:pt idx="552">
                  <c:v>4.4897847760573857</c:v>
                </c:pt>
                <c:pt idx="553">
                  <c:v>4.4559381803817706</c:v>
                </c:pt>
                <c:pt idx="554">
                  <c:v>4.4226574602838777</c:v>
                </c:pt>
                <c:pt idx="555">
                  <c:v>4.3899317864750511</c:v>
                </c:pt>
                <c:pt idx="556">
                  <c:v>4.357750578657769</c:v>
                </c:pt>
                <c:pt idx="557">
                  <c:v>4.3261034991667424</c:v>
                </c:pt>
                <c:pt idx="558">
                  <c:v>4.2949804467869814</c:v>
                </c:pt>
                <c:pt idx="559">
                  <c:v>4.2643715507436344</c:v>
                </c:pt>
                <c:pt idx="560">
                  <c:v>4.2342671648587835</c:v>
                </c:pt>
                <c:pt idx="561">
                  <c:v>4.2046578618703583</c:v>
                </c:pt>
                <c:pt idx="562">
                  <c:v>4.1755344279085467</c:v>
                </c:pt>
                <c:pt idx="563">
                  <c:v>4.1468878571251233</c:v>
                </c:pt>
                <c:pt idx="564">
                  <c:v>4.1187093464713991</c:v>
                </c:pt>
                <c:pt idx="565">
                  <c:v>4.0909902906204074</c:v>
                </c:pt>
                <c:pt idx="566">
                  <c:v>4.0637222770292256</c:v>
                </c:pt>
                <c:pt idx="567">
                  <c:v>4.0368970811374467</c:v>
                </c:pt>
                <c:pt idx="568">
                  <c:v>4.0105066616977467</c:v>
                </c:pt>
                <c:pt idx="569">
                  <c:v>3.9845431562348979</c:v>
                </c:pt>
                <c:pt idx="570">
                  <c:v>3.9589988766293827</c:v>
                </c:pt>
                <c:pt idx="571">
                  <c:v>3.9338663048221401</c:v>
                </c:pt>
                <c:pt idx="572">
                  <c:v>3.9091380886368663</c:v>
                </c:pt>
                <c:pt idx="573">
                  <c:v>3.8848070377165045</c:v>
                </c:pt>
                <c:pt idx="574">
                  <c:v>3.8608661195706913</c:v>
                </c:pt>
                <c:pt idx="575">
                  <c:v>3.8373084557308648</c:v>
                </c:pt>
                <c:pt idx="576">
                  <c:v>3.8141273180100335</c:v>
                </c:pt>
                <c:pt idx="577">
                  <c:v>3.7913161248641121</c:v>
                </c:pt>
                <c:pt idx="578">
                  <c:v>3.768868437851979</c:v>
                </c:pt>
                <c:pt idx="579">
                  <c:v>3.7467779581913607</c:v>
                </c:pt>
                <c:pt idx="580">
                  <c:v>3.7250385234078314</c:v>
                </c:pt>
                <c:pt idx="581">
                  <c:v>3.7036441040742178</c:v>
                </c:pt>
                <c:pt idx="582">
                  <c:v>3.6825888006378826</c:v>
                </c:pt>
                <c:pt idx="583">
                  <c:v>3.6618668403332864</c:v>
                </c:pt>
                <c:pt idx="584">
                  <c:v>3.6414725741774574</c:v>
                </c:pt>
                <c:pt idx="585">
                  <c:v>3.6214004740459713</c:v>
                </c:pt>
                <c:pt idx="586">
                  <c:v>3.6016451298271468</c:v>
                </c:pt>
                <c:pt idx="587">
                  <c:v>3.5822012466522311</c:v>
                </c:pt>
                <c:pt idx="588">
                  <c:v>3.5630636421994004</c:v>
                </c:pt>
                <c:pt idx="589">
                  <c:v>3.5442272440695062</c:v>
                </c:pt>
                <c:pt idx="590">
                  <c:v>3.5256870872314874</c:v>
                </c:pt>
                <c:pt idx="591">
                  <c:v>3.5074383115355174</c:v>
                </c:pt>
                <c:pt idx="592">
                  <c:v>3.4894761592919279</c:v>
                </c:pt>
                <c:pt idx="593">
                  <c:v>3.4717959729141055</c:v>
                </c:pt>
                <c:pt idx="594">
                  <c:v>3.4543931926234692</c:v>
                </c:pt>
                <c:pt idx="595">
                  <c:v>3.4372633542148852</c:v>
                </c:pt>
                <c:pt idx="596">
                  <c:v>3.4204020868807286</c:v>
                </c:pt>
                <c:pt idx="597">
                  <c:v>3.4038051110920091</c:v>
                </c:pt>
                <c:pt idx="598">
                  <c:v>3.3874682365349118</c:v>
                </c:pt>
                <c:pt idx="599">
                  <c:v>3.3713873601012456</c:v>
                </c:pt>
                <c:pt idx="600">
                  <c:v>3.3555584639312732</c:v>
                </c:pt>
                <c:pt idx="601">
                  <c:v>3.339977613507449</c:v>
                </c:pt>
                <c:pt idx="602">
                  <c:v>3.3246409557976953</c:v>
                </c:pt>
                <c:pt idx="603">
                  <c:v>3.3095447174467716</c:v>
                </c:pt>
                <c:pt idx="604">
                  <c:v>3.2946852030144997</c:v>
                </c:pt>
                <c:pt idx="605">
                  <c:v>3.2800587932594323</c:v>
                </c:pt>
                <c:pt idx="606">
                  <c:v>3.2656619434668386</c:v>
                </c:pt>
                <c:pt idx="607">
                  <c:v>3.2514911818196728</c:v>
                </c:pt>
                <c:pt idx="608">
                  <c:v>3.237543107811427</c:v>
                </c:pt>
                <c:pt idx="609">
                  <c:v>3.2238143906996863</c:v>
                </c:pt>
                <c:pt idx="610">
                  <c:v>3.2103017679992689</c:v>
                </c:pt>
                <c:pt idx="611">
                  <c:v>3.1970020440139018</c:v>
                </c:pt>
                <c:pt idx="612">
                  <c:v>3.1839120884053416</c:v>
                </c:pt>
                <c:pt idx="613">
                  <c:v>3.1710288347989675</c:v>
                </c:pt>
                <c:pt idx="614">
                  <c:v>3.1583492794248307</c:v>
                </c:pt>
                <c:pt idx="615">
                  <c:v>3.1458704797932255</c:v>
                </c:pt>
                <c:pt idx="616">
                  <c:v>3.133589553403819</c:v>
                </c:pt>
                <c:pt idx="617">
                  <c:v>3.1215036764874915</c:v>
                </c:pt>
                <c:pt idx="618">
                  <c:v>3.1096100827799558</c:v>
                </c:pt>
                <c:pt idx="619">
                  <c:v>3.0979060623263504</c:v>
                </c:pt>
                <c:pt idx="620">
                  <c:v>3.0863889603159578</c:v>
                </c:pt>
                <c:pt idx="621">
                  <c:v>3.0750561759462585</c:v>
                </c:pt>
                <c:pt idx="622">
                  <c:v>3.0639051613155495</c:v>
                </c:pt>
                <c:pt idx="623">
                  <c:v>3.052933420343352</c:v>
                </c:pt>
                <c:pt idx="624">
                  <c:v>3.0421385077179224</c:v>
                </c:pt>
                <c:pt idx="625">
                  <c:v>3.0315180278700913</c:v>
                </c:pt>
                <c:pt idx="626">
                  <c:v>3.0210696339728131</c:v>
                </c:pt>
                <c:pt idx="627">
                  <c:v>3.0107910269656979</c:v>
                </c:pt>
                <c:pt idx="628">
                  <c:v>3.0006799546039211</c:v>
                </c:pt>
                <c:pt idx="629">
                  <c:v>2.9907342105308556</c:v>
                </c:pt>
                <c:pt idx="630">
                  <c:v>2.9809516333738189</c:v>
                </c:pt>
                <c:pt idx="631">
                  <c:v>2.9713301058623576</c:v>
                </c:pt>
                <c:pt idx="632">
                  <c:v>2.9618675539684638</c:v>
                </c:pt>
                <c:pt idx="633">
                  <c:v>2.9525619460681973</c:v>
                </c:pt>
                <c:pt idx="634">
                  <c:v>2.9434112921241531</c:v>
                </c:pt>
                <c:pt idx="635">
                  <c:v>2.9344136428882344</c:v>
                </c:pt>
                <c:pt idx="636">
                  <c:v>2.9255670891242533</c:v>
                </c:pt>
                <c:pt idx="637">
                  <c:v>2.9168697608498411</c:v>
                </c:pt>
                <c:pt idx="638">
                  <c:v>2.9083198265971735</c:v>
                </c:pt>
                <c:pt idx="639">
                  <c:v>2.8999154926920769</c:v>
                </c:pt>
                <c:pt idx="640">
                  <c:v>2.8916550025510226</c:v>
                </c:pt>
                <c:pt idx="641">
                  <c:v>2.8835366359956134</c:v>
                </c:pt>
                <c:pt idx="642">
                  <c:v>2.875558708584085</c:v>
                </c:pt>
                <c:pt idx="643">
                  <c:v>2.8677195709594354</c:v>
                </c:pt>
                <c:pt idx="644">
                  <c:v>2.860017608213782</c:v>
                </c:pt>
                <c:pt idx="645">
                  <c:v>2.8524512392685355</c:v>
                </c:pt>
                <c:pt idx="646">
                  <c:v>2.8450189162700226</c:v>
                </c:pt>
                <c:pt idx="647">
                  <c:v>2.8377191240001878</c:v>
                </c:pt>
                <c:pt idx="648">
                  <c:v>2.8305503793020041</c:v>
                </c:pt>
                <c:pt idx="649">
                  <c:v>2.8235112305192707</c:v>
                </c:pt>
                <c:pt idx="650">
                  <c:v>2.8166002569504172</c:v>
                </c:pt>
                <c:pt idx="651">
                  <c:v>2.8098160683160383</c:v>
                </c:pt>
                <c:pt idx="652">
                  <c:v>2.803157304239789</c:v>
                </c:pt>
                <c:pt idx="653">
                  <c:v>2.7966226337423703</c:v>
                </c:pt>
                <c:pt idx="654">
                  <c:v>2.7902107547482888</c:v>
                </c:pt>
                <c:pt idx="655">
                  <c:v>2.7839203936050834</c:v>
                </c:pt>
                <c:pt idx="656">
                  <c:v>2.7777503046147811</c:v>
                </c:pt>
                <c:pt idx="657">
                  <c:v>2.7716992695772529</c:v>
                </c:pt>
                <c:pt idx="658">
                  <c:v>2.7657660973452391</c:v>
                </c:pt>
                <c:pt idx="659">
                  <c:v>2.7599496233907805</c:v>
                </c:pt>
                <c:pt idx="660">
                  <c:v>2.7542487093827872</c:v>
                </c:pt>
                <c:pt idx="661">
                  <c:v>2.7486622427755285</c:v>
                </c:pt>
                <c:pt idx="662">
                  <c:v>2.7431891364077754</c:v>
                </c:pt>
                <c:pt idx="663">
                  <c:v>2.7378283281124025</c:v>
                </c:pt>
                <c:pt idx="664">
                  <c:v>2.7325787803361803</c:v>
                </c:pt>
                <c:pt idx="665">
                  <c:v>2.727439479769608</c:v>
                </c:pt>
                <c:pt idx="666">
                  <c:v>2.7224094369864988</c:v>
                </c:pt>
                <c:pt idx="667">
                  <c:v>2.7174876860931856</c:v>
                </c:pt>
                <c:pt idx="668">
                  <c:v>2.7126732843870927</c:v>
                </c:pt>
                <c:pt idx="669">
                  <c:v>2.7079653120245357</c:v>
                </c:pt>
                <c:pt idx="670">
                  <c:v>2.7033628716975153</c:v>
                </c:pt>
                <c:pt idx="671">
                  <c:v>2.698865088319359</c:v>
                </c:pt>
                <c:pt idx="672">
                  <c:v>2.6944711087190281</c:v>
                </c:pt>
                <c:pt idx="673">
                  <c:v>2.6901801013438984</c:v>
                </c:pt>
                <c:pt idx="674">
                  <c:v>2.6859912559709089</c:v>
                </c:pt>
                <c:pt idx="675">
                  <c:v>2.6819037834258412</c:v>
                </c:pt>
                <c:pt idx="676">
                  <c:v>2.6779169153106488</c:v>
                </c:pt>
                <c:pt idx="677">
                  <c:v>2.6740299037386399</c:v>
                </c:pt>
                <c:pt idx="678">
                  <c:v>2.6702420210773981</c:v>
                </c:pt>
                <c:pt idx="679">
                  <c:v>2.6665525596992876</c:v>
                </c:pt>
                <c:pt idx="680">
                  <c:v>2.6629608317394053</c:v>
                </c:pt>
                <c:pt idx="681">
                  <c:v>2.6594661688608627</c:v>
                </c:pt>
                <c:pt idx="682">
                  <c:v>2.6560679220272769</c:v>
                </c:pt>
                <c:pt idx="683">
                  <c:v>2.6527654612823097</c:v>
                </c:pt>
                <c:pt idx="684">
                  <c:v>2.6495581755361917</c:v>
                </c:pt>
                <c:pt idx="685">
                  <c:v>2.6464454723590851</c:v>
                </c:pt>
                <c:pt idx="686">
                  <c:v>2.6434267777811713</c:v>
                </c:pt>
                <c:pt idx="687">
                  <c:v>2.6405015360993831</c:v>
                </c:pt>
                <c:pt idx="688">
                  <c:v>2.6376692096906567</c:v>
                </c:pt>
                <c:pt idx="689">
                  <c:v>2.634929278831625</c:v>
                </c:pt>
                <c:pt idx="690">
                  <c:v>2.6322812415246277</c:v>
                </c:pt>
                <c:pt idx="691">
                  <c:v>2.6297246133299854</c:v>
                </c:pt>
                <c:pt idx="692">
                  <c:v>2.6272589272044282</c:v>
                </c:pt>
                <c:pt idx="693">
                  <c:v>2.6248837333455817</c:v>
                </c:pt>
                <c:pt idx="694">
                  <c:v>2.6225985990424676</c:v>
                </c:pt>
                <c:pt idx="695">
                  <c:v>2.6204031085319053</c:v>
                </c:pt>
                <c:pt idx="696">
                  <c:v>2.6182968628607592</c:v>
                </c:pt>
                <c:pt idx="697">
                  <c:v>2.6162794797539561</c:v>
                </c:pt>
                <c:pt idx="698">
                  <c:v>2.6143505934882065</c:v>
                </c:pt>
                <c:pt idx="699">
                  <c:v>2.6125098547713539</c:v>
                </c:pt>
                <c:pt idx="700">
                  <c:v>2.6107569306273142</c:v>
                </c:pt>
                <c:pt idx="701">
                  <c:v>2.609091504286519</c:v>
                </c:pt>
                <c:pt idx="702">
                  <c:v>2.6075132750818217</c:v>
                </c:pt>
                <c:pt idx="703">
                  <c:v>2.606021958349817</c:v>
                </c:pt>
                <c:pt idx="704">
                  <c:v>2.6046172853375125</c:v>
                </c:pt>
                <c:pt idx="705">
                  <c:v>2.6032990031143055</c:v>
                </c:pt>
                <c:pt idx="706">
                  <c:v>2.6020668744892341</c:v>
                </c:pt>
                <c:pt idx="707">
                  <c:v>2.6009206779334431</c:v>
                </c:pt>
                <c:pt idx="708">
                  <c:v>2.5998602075078403</c:v>
                </c:pt>
                <c:pt idx="709">
                  <c:v>2.5988852727958904</c:v>
                </c:pt>
                <c:pt idx="710">
                  <c:v>2.5979956988415314</c:v>
                </c:pt>
                <c:pt idx="711">
                  <c:v>2.5971913260921626</c:v>
                </c:pt>
                <c:pt idx="712">
                  <c:v>2.5964720103466976</c:v>
                </c:pt>
                <c:pt idx="713">
                  <c:v>2.5958376227086339</c:v>
                </c:pt>
                <c:pt idx="714">
                  <c:v>2.595288049544124</c:v>
                </c:pt>
                <c:pt idx="715">
                  <c:v>2.5948231924450407</c:v>
                </c:pt>
                <c:pt idx="716">
                  <c:v>2.5944429681969905</c:v>
                </c:pt>
                <c:pt idx="717">
                  <c:v>2.5941473087522855</c:v>
                </c:pt>
                <c:pt idx="718">
                  <c:v>2.5939361612078433</c:v>
                </c:pt>
                <c:pt idx="719">
                  <c:v>2.5938094877880067</c:v>
                </c:pt>
                <c:pt idx="720">
                  <c:v>2.5937672658322883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DC-4004-837F-35A726EBFDB5}"/>
            </c:ext>
          </c:extLst>
        </c:ser>
        <c:ser>
          <c:idx val="1"/>
          <c:order val="1"/>
          <c:tx>
            <c:v>AE 10°</c:v>
          </c:tx>
          <c:spPr>
            <a:ln w="47520">
              <a:solidFill>
                <a:srgbClr val="7E994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Barrido_AE!$A$12:$A$732</c:f>
              <c:numCache>
                <c:formatCode>0.0</c:formatCode>
                <c:ptCount val="721"/>
                <c:pt idx="0">
                  <c:v>-180</c:v>
                </c:pt>
                <c:pt idx="1">
                  <c:v>-179.5</c:v>
                </c:pt>
                <c:pt idx="2">
                  <c:v>-179</c:v>
                </c:pt>
                <c:pt idx="3">
                  <c:v>-178.5</c:v>
                </c:pt>
                <c:pt idx="4">
                  <c:v>-178</c:v>
                </c:pt>
                <c:pt idx="5">
                  <c:v>-177.5</c:v>
                </c:pt>
                <c:pt idx="6">
                  <c:v>-177</c:v>
                </c:pt>
                <c:pt idx="7">
                  <c:v>-176.5</c:v>
                </c:pt>
                <c:pt idx="8">
                  <c:v>-176</c:v>
                </c:pt>
                <c:pt idx="9">
                  <c:v>-175.5</c:v>
                </c:pt>
                <c:pt idx="10">
                  <c:v>-175</c:v>
                </c:pt>
                <c:pt idx="11">
                  <c:v>-174.5</c:v>
                </c:pt>
                <c:pt idx="12">
                  <c:v>-174</c:v>
                </c:pt>
                <c:pt idx="13">
                  <c:v>-173.5</c:v>
                </c:pt>
                <c:pt idx="14">
                  <c:v>-173</c:v>
                </c:pt>
                <c:pt idx="15">
                  <c:v>-172.5</c:v>
                </c:pt>
                <c:pt idx="16">
                  <c:v>-172</c:v>
                </c:pt>
                <c:pt idx="17">
                  <c:v>-171.5</c:v>
                </c:pt>
                <c:pt idx="18">
                  <c:v>-171</c:v>
                </c:pt>
                <c:pt idx="19">
                  <c:v>-170.5</c:v>
                </c:pt>
                <c:pt idx="20">
                  <c:v>-170</c:v>
                </c:pt>
                <c:pt idx="21">
                  <c:v>-169.5</c:v>
                </c:pt>
                <c:pt idx="22">
                  <c:v>-169</c:v>
                </c:pt>
                <c:pt idx="23">
                  <c:v>-168.5</c:v>
                </c:pt>
                <c:pt idx="24">
                  <c:v>-168</c:v>
                </c:pt>
                <c:pt idx="25">
                  <c:v>-167.5</c:v>
                </c:pt>
                <c:pt idx="26">
                  <c:v>-167</c:v>
                </c:pt>
                <c:pt idx="27">
                  <c:v>-166.5</c:v>
                </c:pt>
                <c:pt idx="28">
                  <c:v>-166</c:v>
                </c:pt>
                <c:pt idx="29">
                  <c:v>-165.5</c:v>
                </c:pt>
                <c:pt idx="30">
                  <c:v>-165</c:v>
                </c:pt>
                <c:pt idx="31">
                  <c:v>-164.5</c:v>
                </c:pt>
                <c:pt idx="32">
                  <c:v>-164</c:v>
                </c:pt>
                <c:pt idx="33">
                  <c:v>-163.5</c:v>
                </c:pt>
                <c:pt idx="34">
                  <c:v>-163</c:v>
                </c:pt>
                <c:pt idx="35">
                  <c:v>-162.5</c:v>
                </c:pt>
                <c:pt idx="36">
                  <c:v>-162</c:v>
                </c:pt>
                <c:pt idx="37">
                  <c:v>-161.5</c:v>
                </c:pt>
                <c:pt idx="38">
                  <c:v>-161</c:v>
                </c:pt>
                <c:pt idx="39">
                  <c:v>-160.5</c:v>
                </c:pt>
                <c:pt idx="40">
                  <c:v>-160</c:v>
                </c:pt>
                <c:pt idx="41">
                  <c:v>-159.5</c:v>
                </c:pt>
                <c:pt idx="42">
                  <c:v>-159</c:v>
                </c:pt>
                <c:pt idx="43">
                  <c:v>-158.5</c:v>
                </c:pt>
                <c:pt idx="44">
                  <c:v>-158</c:v>
                </c:pt>
                <c:pt idx="45">
                  <c:v>-157.5</c:v>
                </c:pt>
                <c:pt idx="46">
                  <c:v>-157</c:v>
                </c:pt>
                <c:pt idx="47">
                  <c:v>-156.5</c:v>
                </c:pt>
                <c:pt idx="48">
                  <c:v>-156</c:v>
                </c:pt>
                <c:pt idx="49">
                  <c:v>-155.5</c:v>
                </c:pt>
                <c:pt idx="50">
                  <c:v>-155</c:v>
                </c:pt>
                <c:pt idx="51">
                  <c:v>-154.5</c:v>
                </c:pt>
                <c:pt idx="52">
                  <c:v>-154</c:v>
                </c:pt>
                <c:pt idx="53">
                  <c:v>-153.5</c:v>
                </c:pt>
                <c:pt idx="54">
                  <c:v>-153</c:v>
                </c:pt>
                <c:pt idx="55">
                  <c:v>-152.5</c:v>
                </c:pt>
                <c:pt idx="56">
                  <c:v>-152</c:v>
                </c:pt>
                <c:pt idx="57">
                  <c:v>-151.5</c:v>
                </c:pt>
                <c:pt idx="58">
                  <c:v>-151</c:v>
                </c:pt>
                <c:pt idx="59">
                  <c:v>-150.5</c:v>
                </c:pt>
                <c:pt idx="60">
                  <c:v>-150</c:v>
                </c:pt>
                <c:pt idx="61">
                  <c:v>-149.5</c:v>
                </c:pt>
                <c:pt idx="62">
                  <c:v>-149</c:v>
                </c:pt>
                <c:pt idx="63">
                  <c:v>-148.5</c:v>
                </c:pt>
                <c:pt idx="64">
                  <c:v>-148</c:v>
                </c:pt>
                <c:pt idx="65">
                  <c:v>-147.5</c:v>
                </c:pt>
                <c:pt idx="66">
                  <c:v>-147</c:v>
                </c:pt>
                <c:pt idx="67">
                  <c:v>-146.5</c:v>
                </c:pt>
                <c:pt idx="68">
                  <c:v>-146</c:v>
                </c:pt>
                <c:pt idx="69">
                  <c:v>-145.5</c:v>
                </c:pt>
                <c:pt idx="70">
                  <c:v>-145</c:v>
                </c:pt>
                <c:pt idx="71">
                  <c:v>-144.5</c:v>
                </c:pt>
                <c:pt idx="72">
                  <c:v>-144</c:v>
                </c:pt>
                <c:pt idx="73">
                  <c:v>-143.5</c:v>
                </c:pt>
                <c:pt idx="74">
                  <c:v>-143</c:v>
                </c:pt>
                <c:pt idx="75">
                  <c:v>-142.5</c:v>
                </c:pt>
                <c:pt idx="76">
                  <c:v>-142</c:v>
                </c:pt>
                <c:pt idx="77">
                  <c:v>-141.5</c:v>
                </c:pt>
                <c:pt idx="78">
                  <c:v>-141</c:v>
                </c:pt>
                <c:pt idx="79">
                  <c:v>-140.5</c:v>
                </c:pt>
                <c:pt idx="80">
                  <c:v>-140</c:v>
                </c:pt>
                <c:pt idx="81">
                  <c:v>-139.5</c:v>
                </c:pt>
                <c:pt idx="82">
                  <c:v>-139</c:v>
                </c:pt>
                <c:pt idx="83">
                  <c:v>-138.5</c:v>
                </c:pt>
                <c:pt idx="84">
                  <c:v>-138</c:v>
                </c:pt>
                <c:pt idx="85">
                  <c:v>-137.5</c:v>
                </c:pt>
                <c:pt idx="86">
                  <c:v>-137</c:v>
                </c:pt>
                <c:pt idx="87">
                  <c:v>-136.5</c:v>
                </c:pt>
                <c:pt idx="88">
                  <c:v>-136</c:v>
                </c:pt>
                <c:pt idx="89">
                  <c:v>-135.5</c:v>
                </c:pt>
                <c:pt idx="90">
                  <c:v>-135</c:v>
                </c:pt>
                <c:pt idx="91">
                  <c:v>-134.5</c:v>
                </c:pt>
                <c:pt idx="92">
                  <c:v>-134</c:v>
                </c:pt>
                <c:pt idx="93">
                  <c:v>-133.5</c:v>
                </c:pt>
                <c:pt idx="94">
                  <c:v>-133</c:v>
                </c:pt>
                <c:pt idx="95">
                  <c:v>-132.5</c:v>
                </c:pt>
                <c:pt idx="96">
                  <c:v>-132</c:v>
                </c:pt>
                <c:pt idx="97">
                  <c:v>-131.5</c:v>
                </c:pt>
                <c:pt idx="98">
                  <c:v>-131</c:v>
                </c:pt>
                <c:pt idx="99">
                  <c:v>-130.5</c:v>
                </c:pt>
                <c:pt idx="100">
                  <c:v>-130</c:v>
                </c:pt>
                <c:pt idx="101">
                  <c:v>-129.5</c:v>
                </c:pt>
                <c:pt idx="102">
                  <c:v>-129</c:v>
                </c:pt>
                <c:pt idx="103">
                  <c:v>-128.5</c:v>
                </c:pt>
                <c:pt idx="104">
                  <c:v>-128</c:v>
                </c:pt>
                <c:pt idx="105">
                  <c:v>-127.5</c:v>
                </c:pt>
                <c:pt idx="106">
                  <c:v>-127</c:v>
                </c:pt>
                <c:pt idx="107">
                  <c:v>-126.5</c:v>
                </c:pt>
                <c:pt idx="108">
                  <c:v>-126</c:v>
                </c:pt>
                <c:pt idx="109">
                  <c:v>-125.5</c:v>
                </c:pt>
                <c:pt idx="110">
                  <c:v>-125</c:v>
                </c:pt>
                <c:pt idx="111">
                  <c:v>-124.5</c:v>
                </c:pt>
                <c:pt idx="112">
                  <c:v>-124</c:v>
                </c:pt>
                <c:pt idx="113">
                  <c:v>-123.5</c:v>
                </c:pt>
                <c:pt idx="114">
                  <c:v>-123</c:v>
                </c:pt>
                <c:pt idx="115">
                  <c:v>-122.5</c:v>
                </c:pt>
                <c:pt idx="116">
                  <c:v>-122</c:v>
                </c:pt>
                <c:pt idx="117">
                  <c:v>-121.5</c:v>
                </c:pt>
                <c:pt idx="118">
                  <c:v>-121</c:v>
                </c:pt>
                <c:pt idx="119">
                  <c:v>-120.5</c:v>
                </c:pt>
                <c:pt idx="120">
                  <c:v>-120</c:v>
                </c:pt>
                <c:pt idx="121">
                  <c:v>-119.5</c:v>
                </c:pt>
                <c:pt idx="122">
                  <c:v>-119</c:v>
                </c:pt>
                <c:pt idx="123">
                  <c:v>-118.5</c:v>
                </c:pt>
                <c:pt idx="124">
                  <c:v>-118</c:v>
                </c:pt>
                <c:pt idx="125">
                  <c:v>-117.5</c:v>
                </c:pt>
                <c:pt idx="126">
                  <c:v>-117</c:v>
                </c:pt>
                <c:pt idx="127">
                  <c:v>-116.5</c:v>
                </c:pt>
                <c:pt idx="128">
                  <c:v>-116</c:v>
                </c:pt>
                <c:pt idx="129">
                  <c:v>-115.5</c:v>
                </c:pt>
                <c:pt idx="130">
                  <c:v>-115</c:v>
                </c:pt>
                <c:pt idx="131">
                  <c:v>-114.5</c:v>
                </c:pt>
                <c:pt idx="132">
                  <c:v>-114</c:v>
                </c:pt>
                <c:pt idx="133">
                  <c:v>-113.5</c:v>
                </c:pt>
                <c:pt idx="134">
                  <c:v>-113</c:v>
                </c:pt>
                <c:pt idx="135">
                  <c:v>-112.5</c:v>
                </c:pt>
                <c:pt idx="136">
                  <c:v>-112</c:v>
                </c:pt>
                <c:pt idx="137">
                  <c:v>-111.5</c:v>
                </c:pt>
                <c:pt idx="138">
                  <c:v>-111</c:v>
                </c:pt>
                <c:pt idx="139">
                  <c:v>-110.5</c:v>
                </c:pt>
                <c:pt idx="140">
                  <c:v>-110</c:v>
                </c:pt>
                <c:pt idx="141">
                  <c:v>-109.5</c:v>
                </c:pt>
                <c:pt idx="142">
                  <c:v>-109</c:v>
                </c:pt>
                <c:pt idx="143">
                  <c:v>-108.5</c:v>
                </c:pt>
                <c:pt idx="144">
                  <c:v>-108</c:v>
                </c:pt>
                <c:pt idx="145">
                  <c:v>-107.5</c:v>
                </c:pt>
                <c:pt idx="146">
                  <c:v>-107</c:v>
                </c:pt>
                <c:pt idx="147">
                  <c:v>-106.5</c:v>
                </c:pt>
                <c:pt idx="148">
                  <c:v>-106</c:v>
                </c:pt>
                <c:pt idx="149">
                  <c:v>-105.5</c:v>
                </c:pt>
                <c:pt idx="150">
                  <c:v>-105</c:v>
                </c:pt>
                <c:pt idx="151">
                  <c:v>-104.5</c:v>
                </c:pt>
                <c:pt idx="152">
                  <c:v>-104</c:v>
                </c:pt>
                <c:pt idx="153">
                  <c:v>-103.5</c:v>
                </c:pt>
                <c:pt idx="154">
                  <c:v>-103</c:v>
                </c:pt>
                <c:pt idx="155">
                  <c:v>-102.5</c:v>
                </c:pt>
                <c:pt idx="156">
                  <c:v>-102</c:v>
                </c:pt>
                <c:pt idx="157">
                  <c:v>-101.5</c:v>
                </c:pt>
                <c:pt idx="158">
                  <c:v>-101</c:v>
                </c:pt>
                <c:pt idx="159">
                  <c:v>-100.5</c:v>
                </c:pt>
                <c:pt idx="160">
                  <c:v>-100</c:v>
                </c:pt>
                <c:pt idx="161">
                  <c:v>-99.5</c:v>
                </c:pt>
                <c:pt idx="162">
                  <c:v>-99</c:v>
                </c:pt>
                <c:pt idx="163">
                  <c:v>-98.5</c:v>
                </c:pt>
                <c:pt idx="164">
                  <c:v>-98</c:v>
                </c:pt>
                <c:pt idx="165">
                  <c:v>-97.5</c:v>
                </c:pt>
                <c:pt idx="166">
                  <c:v>-97</c:v>
                </c:pt>
                <c:pt idx="167">
                  <c:v>-96.5</c:v>
                </c:pt>
                <c:pt idx="168">
                  <c:v>-96</c:v>
                </c:pt>
                <c:pt idx="169">
                  <c:v>-95.5</c:v>
                </c:pt>
                <c:pt idx="170">
                  <c:v>-95</c:v>
                </c:pt>
                <c:pt idx="171">
                  <c:v>-94.5</c:v>
                </c:pt>
                <c:pt idx="172">
                  <c:v>-94</c:v>
                </c:pt>
                <c:pt idx="173">
                  <c:v>-93.5</c:v>
                </c:pt>
                <c:pt idx="174">
                  <c:v>-93</c:v>
                </c:pt>
                <c:pt idx="175">
                  <c:v>-92.5</c:v>
                </c:pt>
                <c:pt idx="176">
                  <c:v>-92</c:v>
                </c:pt>
                <c:pt idx="177">
                  <c:v>-91.5</c:v>
                </c:pt>
                <c:pt idx="178">
                  <c:v>-91</c:v>
                </c:pt>
                <c:pt idx="179">
                  <c:v>-90.5</c:v>
                </c:pt>
                <c:pt idx="180">
                  <c:v>-90</c:v>
                </c:pt>
                <c:pt idx="181">
                  <c:v>-89.5</c:v>
                </c:pt>
                <c:pt idx="182">
                  <c:v>-89</c:v>
                </c:pt>
                <c:pt idx="183">
                  <c:v>-88.5</c:v>
                </c:pt>
                <c:pt idx="184">
                  <c:v>-88</c:v>
                </c:pt>
                <c:pt idx="185">
                  <c:v>-87.5</c:v>
                </c:pt>
                <c:pt idx="186">
                  <c:v>-87</c:v>
                </c:pt>
                <c:pt idx="187">
                  <c:v>-86.5</c:v>
                </c:pt>
                <c:pt idx="188">
                  <c:v>-86</c:v>
                </c:pt>
                <c:pt idx="189">
                  <c:v>-85.5</c:v>
                </c:pt>
                <c:pt idx="190">
                  <c:v>-85</c:v>
                </c:pt>
                <c:pt idx="191">
                  <c:v>-84.5</c:v>
                </c:pt>
                <c:pt idx="192">
                  <c:v>-84</c:v>
                </c:pt>
                <c:pt idx="193">
                  <c:v>-83.5</c:v>
                </c:pt>
                <c:pt idx="194">
                  <c:v>-83</c:v>
                </c:pt>
                <c:pt idx="195">
                  <c:v>-82.5</c:v>
                </c:pt>
                <c:pt idx="196">
                  <c:v>-82</c:v>
                </c:pt>
                <c:pt idx="197">
                  <c:v>-81.5</c:v>
                </c:pt>
                <c:pt idx="198">
                  <c:v>-81</c:v>
                </c:pt>
                <c:pt idx="199">
                  <c:v>-80.5</c:v>
                </c:pt>
                <c:pt idx="200">
                  <c:v>-80</c:v>
                </c:pt>
                <c:pt idx="201">
                  <c:v>-79.5</c:v>
                </c:pt>
                <c:pt idx="202">
                  <c:v>-79</c:v>
                </c:pt>
                <c:pt idx="203">
                  <c:v>-78.5</c:v>
                </c:pt>
                <c:pt idx="204">
                  <c:v>-78</c:v>
                </c:pt>
                <c:pt idx="205">
                  <c:v>-77.5</c:v>
                </c:pt>
                <c:pt idx="206">
                  <c:v>-77</c:v>
                </c:pt>
                <c:pt idx="207">
                  <c:v>-76.5</c:v>
                </c:pt>
                <c:pt idx="208">
                  <c:v>-76</c:v>
                </c:pt>
                <c:pt idx="209">
                  <c:v>-75.5</c:v>
                </c:pt>
                <c:pt idx="210">
                  <c:v>-75</c:v>
                </c:pt>
                <c:pt idx="211">
                  <c:v>-74.5</c:v>
                </c:pt>
                <c:pt idx="212">
                  <c:v>-74</c:v>
                </c:pt>
                <c:pt idx="213">
                  <c:v>-73.5</c:v>
                </c:pt>
                <c:pt idx="214">
                  <c:v>-73</c:v>
                </c:pt>
                <c:pt idx="215">
                  <c:v>-72.5</c:v>
                </c:pt>
                <c:pt idx="216">
                  <c:v>-72</c:v>
                </c:pt>
                <c:pt idx="217">
                  <c:v>-71.5</c:v>
                </c:pt>
                <c:pt idx="218">
                  <c:v>-71</c:v>
                </c:pt>
                <c:pt idx="219">
                  <c:v>-70.5</c:v>
                </c:pt>
                <c:pt idx="220">
                  <c:v>-70</c:v>
                </c:pt>
                <c:pt idx="221">
                  <c:v>-69.5</c:v>
                </c:pt>
                <c:pt idx="222">
                  <c:v>-69</c:v>
                </c:pt>
                <c:pt idx="223">
                  <c:v>-68.5</c:v>
                </c:pt>
                <c:pt idx="224">
                  <c:v>-68</c:v>
                </c:pt>
                <c:pt idx="225">
                  <c:v>-67.5</c:v>
                </c:pt>
                <c:pt idx="226">
                  <c:v>-67</c:v>
                </c:pt>
                <c:pt idx="227">
                  <c:v>-66.5</c:v>
                </c:pt>
                <c:pt idx="228">
                  <c:v>-66</c:v>
                </c:pt>
                <c:pt idx="229">
                  <c:v>-65.5</c:v>
                </c:pt>
                <c:pt idx="230">
                  <c:v>-65</c:v>
                </c:pt>
                <c:pt idx="231">
                  <c:v>-64.5</c:v>
                </c:pt>
                <c:pt idx="232">
                  <c:v>-64</c:v>
                </c:pt>
                <c:pt idx="233">
                  <c:v>-63.5</c:v>
                </c:pt>
                <c:pt idx="234">
                  <c:v>-63</c:v>
                </c:pt>
                <c:pt idx="235">
                  <c:v>-62.5</c:v>
                </c:pt>
                <c:pt idx="236">
                  <c:v>-62</c:v>
                </c:pt>
                <c:pt idx="237">
                  <c:v>-61.5</c:v>
                </c:pt>
                <c:pt idx="238">
                  <c:v>-61</c:v>
                </c:pt>
                <c:pt idx="239">
                  <c:v>-60.5</c:v>
                </c:pt>
                <c:pt idx="240">
                  <c:v>-60</c:v>
                </c:pt>
                <c:pt idx="241">
                  <c:v>-59.5</c:v>
                </c:pt>
                <c:pt idx="242">
                  <c:v>-59</c:v>
                </c:pt>
                <c:pt idx="243">
                  <c:v>-58.5</c:v>
                </c:pt>
                <c:pt idx="244">
                  <c:v>-58</c:v>
                </c:pt>
                <c:pt idx="245">
                  <c:v>-57.5</c:v>
                </c:pt>
                <c:pt idx="246">
                  <c:v>-57</c:v>
                </c:pt>
                <c:pt idx="247">
                  <c:v>-56.5</c:v>
                </c:pt>
                <c:pt idx="248">
                  <c:v>-56</c:v>
                </c:pt>
                <c:pt idx="249">
                  <c:v>-55.5</c:v>
                </c:pt>
                <c:pt idx="250">
                  <c:v>-55</c:v>
                </c:pt>
                <c:pt idx="251">
                  <c:v>-54.5</c:v>
                </c:pt>
                <c:pt idx="252">
                  <c:v>-54</c:v>
                </c:pt>
                <c:pt idx="253">
                  <c:v>-53.5</c:v>
                </c:pt>
                <c:pt idx="254">
                  <c:v>-53</c:v>
                </c:pt>
                <c:pt idx="255">
                  <c:v>-52.5</c:v>
                </c:pt>
                <c:pt idx="256">
                  <c:v>-52</c:v>
                </c:pt>
                <c:pt idx="257">
                  <c:v>-51.5</c:v>
                </c:pt>
                <c:pt idx="258">
                  <c:v>-51</c:v>
                </c:pt>
                <c:pt idx="259">
                  <c:v>-50.5</c:v>
                </c:pt>
                <c:pt idx="260">
                  <c:v>-50</c:v>
                </c:pt>
                <c:pt idx="261">
                  <c:v>-49.5</c:v>
                </c:pt>
                <c:pt idx="262">
                  <c:v>-49</c:v>
                </c:pt>
                <c:pt idx="263">
                  <c:v>-48.5</c:v>
                </c:pt>
                <c:pt idx="264">
                  <c:v>-48</c:v>
                </c:pt>
                <c:pt idx="265">
                  <c:v>-47.5</c:v>
                </c:pt>
                <c:pt idx="266">
                  <c:v>-47</c:v>
                </c:pt>
                <c:pt idx="267">
                  <c:v>-46.5</c:v>
                </c:pt>
                <c:pt idx="268">
                  <c:v>-46</c:v>
                </c:pt>
                <c:pt idx="269">
                  <c:v>-45.5</c:v>
                </c:pt>
                <c:pt idx="270">
                  <c:v>-45</c:v>
                </c:pt>
                <c:pt idx="271">
                  <c:v>-44.5</c:v>
                </c:pt>
                <c:pt idx="272">
                  <c:v>-44</c:v>
                </c:pt>
                <c:pt idx="273">
                  <c:v>-43.5</c:v>
                </c:pt>
                <c:pt idx="274">
                  <c:v>-43</c:v>
                </c:pt>
                <c:pt idx="275">
                  <c:v>-42.5</c:v>
                </c:pt>
                <c:pt idx="276">
                  <c:v>-42</c:v>
                </c:pt>
                <c:pt idx="277">
                  <c:v>-41.5</c:v>
                </c:pt>
                <c:pt idx="278">
                  <c:v>-41</c:v>
                </c:pt>
                <c:pt idx="279">
                  <c:v>-40.5</c:v>
                </c:pt>
                <c:pt idx="280">
                  <c:v>-40</c:v>
                </c:pt>
                <c:pt idx="281">
                  <c:v>-39.5</c:v>
                </c:pt>
                <c:pt idx="282">
                  <c:v>-39</c:v>
                </c:pt>
                <c:pt idx="283">
                  <c:v>-38.5</c:v>
                </c:pt>
                <c:pt idx="284">
                  <c:v>-38</c:v>
                </c:pt>
                <c:pt idx="285">
                  <c:v>-37.5</c:v>
                </c:pt>
                <c:pt idx="286">
                  <c:v>-37</c:v>
                </c:pt>
                <c:pt idx="287">
                  <c:v>-36.5</c:v>
                </c:pt>
                <c:pt idx="288">
                  <c:v>-36</c:v>
                </c:pt>
                <c:pt idx="289">
                  <c:v>-35.5</c:v>
                </c:pt>
                <c:pt idx="290">
                  <c:v>-35</c:v>
                </c:pt>
                <c:pt idx="291">
                  <c:v>-34.5</c:v>
                </c:pt>
                <c:pt idx="292">
                  <c:v>-34</c:v>
                </c:pt>
                <c:pt idx="293">
                  <c:v>-33.5</c:v>
                </c:pt>
                <c:pt idx="294">
                  <c:v>-33</c:v>
                </c:pt>
                <c:pt idx="295">
                  <c:v>-32.5</c:v>
                </c:pt>
                <c:pt idx="296">
                  <c:v>-32</c:v>
                </c:pt>
                <c:pt idx="297">
                  <c:v>-31.5</c:v>
                </c:pt>
                <c:pt idx="298">
                  <c:v>-31</c:v>
                </c:pt>
                <c:pt idx="299">
                  <c:v>-30.5</c:v>
                </c:pt>
                <c:pt idx="300">
                  <c:v>-30</c:v>
                </c:pt>
                <c:pt idx="301">
                  <c:v>-29.5</c:v>
                </c:pt>
                <c:pt idx="302">
                  <c:v>-29</c:v>
                </c:pt>
                <c:pt idx="303">
                  <c:v>-28.5</c:v>
                </c:pt>
                <c:pt idx="304">
                  <c:v>-28</c:v>
                </c:pt>
                <c:pt idx="305">
                  <c:v>-27.5</c:v>
                </c:pt>
                <c:pt idx="306">
                  <c:v>-27</c:v>
                </c:pt>
                <c:pt idx="307">
                  <c:v>-26.5</c:v>
                </c:pt>
                <c:pt idx="308">
                  <c:v>-26</c:v>
                </c:pt>
                <c:pt idx="309">
                  <c:v>-25.5</c:v>
                </c:pt>
                <c:pt idx="310">
                  <c:v>-25</c:v>
                </c:pt>
                <c:pt idx="311">
                  <c:v>-24.5</c:v>
                </c:pt>
                <c:pt idx="312">
                  <c:v>-24</c:v>
                </c:pt>
                <c:pt idx="313">
                  <c:v>-23.5</c:v>
                </c:pt>
                <c:pt idx="314">
                  <c:v>-23</c:v>
                </c:pt>
                <c:pt idx="315">
                  <c:v>-22.5</c:v>
                </c:pt>
                <c:pt idx="316">
                  <c:v>-22</c:v>
                </c:pt>
                <c:pt idx="317">
                  <c:v>-21.5</c:v>
                </c:pt>
                <c:pt idx="318">
                  <c:v>-21</c:v>
                </c:pt>
                <c:pt idx="319">
                  <c:v>-20.5</c:v>
                </c:pt>
                <c:pt idx="320">
                  <c:v>-20</c:v>
                </c:pt>
                <c:pt idx="321">
                  <c:v>-19.5</c:v>
                </c:pt>
                <c:pt idx="322">
                  <c:v>-19</c:v>
                </c:pt>
                <c:pt idx="323">
                  <c:v>-18.5</c:v>
                </c:pt>
                <c:pt idx="324">
                  <c:v>-18</c:v>
                </c:pt>
                <c:pt idx="325">
                  <c:v>-17.5</c:v>
                </c:pt>
                <c:pt idx="326">
                  <c:v>-17</c:v>
                </c:pt>
                <c:pt idx="327">
                  <c:v>-16.5</c:v>
                </c:pt>
                <c:pt idx="328">
                  <c:v>-16</c:v>
                </c:pt>
                <c:pt idx="329">
                  <c:v>-15.5</c:v>
                </c:pt>
                <c:pt idx="330">
                  <c:v>-15</c:v>
                </c:pt>
                <c:pt idx="331">
                  <c:v>-14.5</c:v>
                </c:pt>
                <c:pt idx="332">
                  <c:v>-14</c:v>
                </c:pt>
                <c:pt idx="333">
                  <c:v>-13.5</c:v>
                </c:pt>
                <c:pt idx="334">
                  <c:v>-13</c:v>
                </c:pt>
                <c:pt idx="335">
                  <c:v>-12.5</c:v>
                </c:pt>
                <c:pt idx="336">
                  <c:v>-12</c:v>
                </c:pt>
                <c:pt idx="337">
                  <c:v>-11.5</c:v>
                </c:pt>
                <c:pt idx="338">
                  <c:v>-11</c:v>
                </c:pt>
                <c:pt idx="339">
                  <c:v>-10.5</c:v>
                </c:pt>
                <c:pt idx="340">
                  <c:v>-10</c:v>
                </c:pt>
                <c:pt idx="341">
                  <c:v>-9.5</c:v>
                </c:pt>
                <c:pt idx="342">
                  <c:v>-9</c:v>
                </c:pt>
                <c:pt idx="343">
                  <c:v>-8.5</c:v>
                </c:pt>
                <c:pt idx="344">
                  <c:v>-8</c:v>
                </c:pt>
                <c:pt idx="345">
                  <c:v>-7.5</c:v>
                </c:pt>
                <c:pt idx="346">
                  <c:v>-7</c:v>
                </c:pt>
                <c:pt idx="347">
                  <c:v>-6.5</c:v>
                </c:pt>
                <c:pt idx="348">
                  <c:v>-6</c:v>
                </c:pt>
                <c:pt idx="349">
                  <c:v>-5.5</c:v>
                </c:pt>
                <c:pt idx="350">
                  <c:v>-5</c:v>
                </c:pt>
                <c:pt idx="351">
                  <c:v>-4.5</c:v>
                </c:pt>
                <c:pt idx="352">
                  <c:v>-4</c:v>
                </c:pt>
                <c:pt idx="353">
                  <c:v>-3.5</c:v>
                </c:pt>
                <c:pt idx="354">
                  <c:v>-3</c:v>
                </c:pt>
                <c:pt idx="355">
                  <c:v>-2.5</c:v>
                </c:pt>
                <c:pt idx="356">
                  <c:v>-2</c:v>
                </c:pt>
                <c:pt idx="357">
                  <c:v>-1.5</c:v>
                </c:pt>
                <c:pt idx="358">
                  <c:v>-1</c:v>
                </c:pt>
                <c:pt idx="359">
                  <c:v>-0.5</c:v>
                </c:pt>
                <c:pt idx="360">
                  <c:v>0</c:v>
                </c:pt>
                <c:pt idx="361">
                  <c:v>0.5</c:v>
                </c:pt>
                <c:pt idx="362">
                  <c:v>1</c:v>
                </c:pt>
                <c:pt idx="363">
                  <c:v>1.5</c:v>
                </c:pt>
                <c:pt idx="364">
                  <c:v>2</c:v>
                </c:pt>
                <c:pt idx="365">
                  <c:v>2.5</c:v>
                </c:pt>
                <c:pt idx="366">
                  <c:v>3</c:v>
                </c:pt>
                <c:pt idx="367">
                  <c:v>3.5</c:v>
                </c:pt>
                <c:pt idx="368">
                  <c:v>4</c:v>
                </c:pt>
                <c:pt idx="369">
                  <c:v>4.5</c:v>
                </c:pt>
                <c:pt idx="370">
                  <c:v>5</c:v>
                </c:pt>
                <c:pt idx="371">
                  <c:v>5.5</c:v>
                </c:pt>
                <c:pt idx="372">
                  <c:v>6</c:v>
                </c:pt>
                <c:pt idx="373">
                  <c:v>6.5</c:v>
                </c:pt>
                <c:pt idx="374">
                  <c:v>7</c:v>
                </c:pt>
                <c:pt idx="375">
                  <c:v>7.5</c:v>
                </c:pt>
                <c:pt idx="376">
                  <c:v>8</c:v>
                </c:pt>
                <c:pt idx="377">
                  <c:v>8.5</c:v>
                </c:pt>
                <c:pt idx="378">
                  <c:v>9</c:v>
                </c:pt>
                <c:pt idx="379">
                  <c:v>9.5</c:v>
                </c:pt>
                <c:pt idx="380">
                  <c:v>10</c:v>
                </c:pt>
                <c:pt idx="381">
                  <c:v>10.5</c:v>
                </c:pt>
                <c:pt idx="382">
                  <c:v>11</c:v>
                </c:pt>
                <c:pt idx="383">
                  <c:v>11.5</c:v>
                </c:pt>
                <c:pt idx="384">
                  <c:v>12</c:v>
                </c:pt>
                <c:pt idx="385">
                  <c:v>12.5</c:v>
                </c:pt>
                <c:pt idx="386">
                  <c:v>13</c:v>
                </c:pt>
                <c:pt idx="387">
                  <c:v>13.5</c:v>
                </c:pt>
                <c:pt idx="388">
                  <c:v>14</c:v>
                </c:pt>
                <c:pt idx="389">
                  <c:v>14.5</c:v>
                </c:pt>
                <c:pt idx="390">
                  <c:v>15</c:v>
                </c:pt>
                <c:pt idx="391">
                  <c:v>15.5</c:v>
                </c:pt>
                <c:pt idx="392">
                  <c:v>16</c:v>
                </c:pt>
                <c:pt idx="393">
                  <c:v>16.5</c:v>
                </c:pt>
                <c:pt idx="394">
                  <c:v>17</c:v>
                </c:pt>
                <c:pt idx="395">
                  <c:v>17.5</c:v>
                </c:pt>
                <c:pt idx="396">
                  <c:v>18</c:v>
                </c:pt>
                <c:pt idx="397">
                  <c:v>18.5</c:v>
                </c:pt>
                <c:pt idx="398">
                  <c:v>19</c:v>
                </c:pt>
                <c:pt idx="399">
                  <c:v>19.5</c:v>
                </c:pt>
                <c:pt idx="400">
                  <c:v>20</c:v>
                </c:pt>
                <c:pt idx="401">
                  <c:v>20.5</c:v>
                </c:pt>
                <c:pt idx="402">
                  <c:v>21</c:v>
                </c:pt>
                <c:pt idx="403">
                  <c:v>21.5</c:v>
                </c:pt>
                <c:pt idx="404">
                  <c:v>22</c:v>
                </c:pt>
                <c:pt idx="405">
                  <c:v>22.5</c:v>
                </c:pt>
                <c:pt idx="406">
                  <c:v>23</c:v>
                </c:pt>
                <c:pt idx="407">
                  <c:v>23.5</c:v>
                </c:pt>
                <c:pt idx="408">
                  <c:v>24</c:v>
                </c:pt>
                <c:pt idx="409">
                  <c:v>24.5</c:v>
                </c:pt>
                <c:pt idx="410">
                  <c:v>25</c:v>
                </c:pt>
                <c:pt idx="411">
                  <c:v>25.5</c:v>
                </c:pt>
                <c:pt idx="412">
                  <c:v>26</c:v>
                </c:pt>
                <c:pt idx="413">
                  <c:v>26.5</c:v>
                </c:pt>
                <c:pt idx="414">
                  <c:v>27</c:v>
                </c:pt>
                <c:pt idx="415">
                  <c:v>27.5</c:v>
                </c:pt>
                <c:pt idx="416">
                  <c:v>28</c:v>
                </c:pt>
                <c:pt idx="417">
                  <c:v>28.5</c:v>
                </c:pt>
                <c:pt idx="418">
                  <c:v>29</c:v>
                </c:pt>
                <c:pt idx="419">
                  <c:v>29.5</c:v>
                </c:pt>
                <c:pt idx="420">
                  <c:v>30</c:v>
                </c:pt>
                <c:pt idx="421">
                  <c:v>30.5</c:v>
                </c:pt>
                <c:pt idx="422">
                  <c:v>31</c:v>
                </c:pt>
                <c:pt idx="423">
                  <c:v>31.5</c:v>
                </c:pt>
                <c:pt idx="424">
                  <c:v>32</c:v>
                </c:pt>
                <c:pt idx="425">
                  <c:v>32.5</c:v>
                </c:pt>
                <c:pt idx="426">
                  <c:v>33</c:v>
                </c:pt>
                <c:pt idx="427">
                  <c:v>33.5</c:v>
                </c:pt>
                <c:pt idx="428">
                  <c:v>34</c:v>
                </c:pt>
                <c:pt idx="429">
                  <c:v>34.5</c:v>
                </c:pt>
                <c:pt idx="430">
                  <c:v>35</c:v>
                </c:pt>
                <c:pt idx="431">
                  <c:v>35.5</c:v>
                </c:pt>
                <c:pt idx="432">
                  <c:v>36</c:v>
                </c:pt>
                <c:pt idx="433">
                  <c:v>36.5</c:v>
                </c:pt>
                <c:pt idx="434">
                  <c:v>37</c:v>
                </c:pt>
                <c:pt idx="435">
                  <c:v>37.5</c:v>
                </c:pt>
                <c:pt idx="436">
                  <c:v>38</c:v>
                </c:pt>
                <c:pt idx="437">
                  <c:v>38.5</c:v>
                </c:pt>
                <c:pt idx="438">
                  <c:v>39</c:v>
                </c:pt>
                <c:pt idx="439">
                  <c:v>39.5</c:v>
                </c:pt>
                <c:pt idx="440">
                  <c:v>40</c:v>
                </c:pt>
                <c:pt idx="441">
                  <c:v>40.5</c:v>
                </c:pt>
                <c:pt idx="442">
                  <c:v>41</c:v>
                </c:pt>
                <c:pt idx="443">
                  <c:v>41.5</c:v>
                </c:pt>
                <c:pt idx="444">
                  <c:v>42</c:v>
                </c:pt>
                <c:pt idx="445">
                  <c:v>42.5</c:v>
                </c:pt>
                <c:pt idx="446">
                  <c:v>43</c:v>
                </c:pt>
                <c:pt idx="447">
                  <c:v>43.5</c:v>
                </c:pt>
                <c:pt idx="448">
                  <c:v>44</c:v>
                </c:pt>
                <c:pt idx="449">
                  <c:v>44.5</c:v>
                </c:pt>
                <c:pt idx="450">
                  <c:v>45</c:v>
                </c:pt>
                <c:pt idx="451">
                  <c:v>45.5</c:v>
                </c:pt>
                <c:pt idx="452">
                  <c:v>46</c:v>
                </c:pt>
                <c:pt idx="453">
                  <c:v>46.5</c:v>
                </c:pt>
                <c:pt idx="454">
                  <c:v>47</c:v>
                </c:pt>
                <c:pt idx="455">
                  <c:v>47.5</c:v>
                </c:pt>
                <c:pt idx="456">
                  <c:v>48</c:v>
                </c:pt>
                <c:pt idx="457">
                  <c:v>48.5</c:v>
                </c:pt>
                <c:pt idx="458">
                  <c:v>49</c:v>
                </c:pt>
                <c:pt idx="459">
                  <c:v>49.5</c:v>
                </c:pt>
                <c:pt idx="460">
                  <c:v>50</c:v>
                </c:pt>
                <c:pt idx="461">
                  <c:v>50.5</c:v>
                </c:pt>
                <c:pt idx="462">
                  <c:v>51</c:v>
                </c:pt>
                <c:pt idx="463">
                  <c:v>51.5</c:v>
                </c:pt>
                <c:pt idx="464">
                  <c:v>52</c:v>
                </c:pt>
                <c:pt idx="465">
                  <c:v>52.5</c:v>
                </c:pt>
                <c:pt idx="466">
                  <c:v>53</c:v>
                </c:pt>
                <c:pt idx="467">
                  <c:v>53.5</c:v>
                </c:pt>
                <c:pt idx="468">
                  <c:v>54</c:v>
                </c:pt>
                <c:pt idx="469">
                  <c:v>54.5</c:v>
                </c:pt>
                <c:pt idx="470">
                  <c:v>55</c:v>
                </c:pt>
                <c:pt idx="471">
                  <c:v>55.5</c:v>
                </c:pt>
                <c:pt idx="472">
                  <c:v>56</c:v>
                </c:pt>
                <c:pt idx="473">
                  <c:v>56.5</c:v>
                </c:pt>
                <c:pt idx="474">
                  <c:v>57</c:v>
                </c:pt>
                <c:pt idx="475">
                  <c:v>57.5</c:v>
                </c:pt>
                <c:pt idx="476">
                  <c:v>58</c:v>
                </c:pt>
                <c:pt idx="477">
                  <c:v>58.5</c:v>
                </c:pt>
                <c:pt idx="478">
                  <c:v>59</c:v>
                </c:pt>
                <c:pt idx="479">
                  <c:v>59.5</c:v>
                </c:pt>
                <c:pt idx="480">
                  <c:v>60</c:v>
                </c:pt>
                <c:pt idx="481">
                  <c:v>60.5</c:v>
                </c:pt>
                <c:pt idx="482">
                  <c:v>61</c:v>
                </c:pt>
                <c:pt idx="483">
                  <c:v>61.5</c:v>
                </c:pt>
                <c:pt idx="484">
                  <c:v>62</c:v>
                </c:pt>
                <c:pt idx="485">
                  <c:v>62.5</c:v>
                </c:pt>
                <c:pt idx="486">
                  <c:v>63</c:v>
                </c:pt>
                <c:pt idx="487">
                  <c:v>63.5</c:v>
                </c:pt>
                <c:pt idx="488">
                  <c:v>64</c:v>
                </c:pt>
                <c:pt idx="489">
                  <c:v>64.5</c:v>
                </c:pt>
                <c:pt idx="490">
                  <c:v>65</c:v>
                </c:pt>
                <c:pt idx="491">
                  <c:v>65.5</c:v>
                </c:pt>
                <c:pt idx="492">
                  <c:v>66</c:v>
                </c:pt>
                <c:pt idx="493">
                  <c:v>66.5</c:v>
                </c:pt>
                <c:pt idx="494">
                  <c:v>67</c:v>
                </c:pt>
                <c:pt idx="495">
                  <c:v>67.5</c:v>
                </c:pt>
                <c:pt idx="496">
                  <c:v>68</c:v>
                </c:pt>
                <c:pt idx="497">
                  <c:v>68.5</c:v>
                </c:pt>
                <c:pt idx="498">
                  <c:v>69</c:v>
                </c:pt>
                <c:pt idx="499">
                  <c:v>69.5</c:v>
                </c:pt>
                <c:pt idx="500">
                  <c:v>70</c:v>
                </c:pt>
                <c:pt idx="501">
                  <c:v>70.5</c:v>
                </c:pt>
                <c:pt idx="502">
                  <c:v>71</c:v>
                </c:pt>
                <c:pt idx="503">
                  <c:v>71.5</c:v>
                </c:pt>
                <c:pt idx="504">
                  <c:v>72</c:v>
                </c:pt>
                <c:pt idx="505">
                  <c:v>72.5</c:v>
                </c:pt>
                <c:pt idx="506">
                  <c:v>73</c:v>
                </c:pt>
                <c:pt idx="507">
                  <c:v>73.5</c:v>
                </c:pt>
                <c:pt idx="508">
                  <c:v>74</c:v>
                </c:pt>
                <c:pt idx="509">
                  <c:v>74.5</c:v>
                </c:pt>
                <c:pt idx="510">
                  <c:v>75</c:v>
                </c:pt>
                <c:pt idx="511">
                  <c:v>75.5</c:v>
                </c:pt>
                <c:pt idx="512">
                  <c:v>76</c:v>
                </c:pt>
                <c:pt idx="513">
                  <c:v>76.5</c:v>
                </c:pt>
                <c:pt idx="514">
                  <c:v>77</c:v>
                </c:pt>
                <c:pt idx="515">
                  <c:v>77.5</c:v>
                </c:pt>
                <c:pt idx="516">
                  <c:v>78</c:v>
                </c:pt>
                <c:pt idx="517">
                  <c:v>78.5</c:v>
                </c:pt>
                <c:pt idx="518">
                  <c:v>79</c:v>
                </c:pt>
                <c:pt idx="519">
                  <c:v>79.5</c:v>
                </c:pt>
                <c:pt idx="520">
                  <c:v>80</c:v>
                </c:pt>
                <c:pt idx="521">
                  <c:v>80.5</c:v>
                </c:pt>
                <c:pt idx="522">
                  <c:v>81</c:v>
                </c:pt>
                <c:pt idx="523">
                  <c:v>81.5</c:v>
                </c:pt>
                <c:pt idx="524">
                  <c:v>82</c:v>
                </c:pt>
                <c:pt idx="525">
                  <c:v>82.5</c:v>
                </c:pt>
                <c:pt idx="526">
                  <c:v>83</c:v>
                </c:pt>
                <c:pt idx="527">
                  <c:v>83.5</c:v>
                </c:pt>
                <c:pt idx="528">
                  <c:v>84</c:v>
                </c:pt>
                <c:pt idx="529">
                  <c:v>84.5</c:v>
                </c:pt>
                <c:pt idx="530">
                  <c:v>85</c:v>
                </c:pt>
                <c:pt idx="531">
                  <c:v>85.5</c:v>
                </c:pt>
                <c:pt idx="532">
                  <c:v>86</c:v>
                </c:pt>
                <c:pt idx="533">
                  <c:v>86.5</c:v>
                </c:pt>
                <c:pt idx="534">
                  <c:v>87</c:v>
                </c:pt>
                <c:pt idx="535">
                  <c:v>87.5</c:v>
                </c:pt>
                <c:pt idx="536">
                  <c:v>88</c:v>
                </c:pt>
                <c:pt idx="537">
                  <c:v>88.5</c:v>
                </c:pt>
                <c:pt idx="538">
                  <c:v>89</c:v>
                </c:pt>
                <c:pt idx="539">
                  <c:v>89.5</c:v>
                </c:pt>
                <c:pt idx="540">
                  <c:v>90</c:v>
                </c:pt>
                <c:pt idx="541">
                  <c:v>90.5</c:v>
                </c:pt>
                <c:pt idx="542">
                  <c:v>91</c:v>
                </c:pt>
                <c:pt idx="543">
                  <c:v>91.5</c:v>
                </c:pt>
                <c:pt idx="544">
                  <c:v>92</c:v>
                </c:pt>
                <c:pt idx="545">
                  <c:v>92.5</c:v>
                </c:pt>
                <c:pt idx="546">
                  <c:v>93</c:v>
                </c:pt>
                <c:pt idx="547">
                  <c:v>93.5</c:v>
                </c:pt>
                <c:pt idx="548">
                  <c:v>94</c:v>
                </c:pt>
                <c:pt idx="549">
                  <c:v>94.5</c:v>
                </c:pt>
                <c:pt idx="550">
                  <c:v>95</c:v>
                </c:pt>
                <c:pt idx="551">
                  <c:v>95.5</c:v>
                </c:pt>
                <c:pt idx="552">
                  <c:v>96</c:v>
                </c:pt>
                <c:pt idx="553">
                  <c:v>96.5</c:v>
                </c:pt>
                <c:pt idx="554">
                  <c:v>97</c:v>
                </c:pt>
                <c:pt idx="555">
                  <c:v>97.5</c:v>
                </c:pt>
                <c:pt idx="556">
                  <c:v>98</c:v>
                </c:pt>
                <c:pt idx="557">
                  <c:v>98.5</c:v>
                </c:pt>
                <c:pt idx="558">
                  <c:v>99</c:v>
                </c:pt>
                <c:pt idx="559">
                  <c:v>99.5</c:v>
                </c:pt>
                <c:pt idx="560">
                  <c:v>100</c:v>
                </c:pt>
                <c:pt idx="561">
                  <c:v>100.5</c:v>
                </c:pt>
                <c:pt idx="562">
                  <c:v>101</c:v>
                </c:pt>
                <c:pt idx="563">
                  <c:v>101.5</c:v>
                </c:pt>
                <c:pt idx="564">
                  <c:v>102</c:v>
                </c:pt>
                <c:pt idx="565">
                  <c:v>102.5</c:v>
                </c:pt>
                <c:pt idx="566">
                  <c:v>103</c:v>
                </c:pt>
                <c:pt idx="567">
                  <c:v>103.5</c:v>
                </c:pt>
                <c:pt idx="568">
                  <c:v>104</c:v>
                </c:pt>
                <c:pt idx="569">
                  <c:v>104.5</c:v>
                </c:pt>
                <c:pt idx="570">
                  <c:v>105</c:v>
                </c:pt>
                <c:pt idx="571">
                  <c:v>105.5</c:v>
                </c:pt>
                <c:pt idx="572">
                  <c:v>106</c:v>
                </c:pt>
                <c:pt idx="573">
                  <c:v>106.5</c:v>
                </c:pt>
                <c:pt idx="574">
                  <c:v>107</c:v>
                </c:pt>
                <c:pt idx="575">
                  <c:v>107.5</c:v>
                </c:pt>
                <c:pt idx="576">
                  <c:v>108</c:v>
                </c:pt>
                <c:pt idx="577">
                  <c:v>108.5</c:v>
                </c:pt>
                <c:pt idx="578">
                  <c:v>109</c:v>
                </c:pt>
                <c:pt idx="579">
                  <c:v>109.5</c:v>
                </c:pt>
                <c:pt idx="580">
                  <c:v>110</c:v>
                </c:pt>
                <c:pt idx="581">
                  <c:v>110.5</c:v>
                </c:pt>
                <c:pt idx="582">
                  <c:v>111</c:v>
                </c:pt>
                <c:pt idx="583">
                  <c:v>111.5</c:v>
                </c:pt>
                <c:pt idx="584">
                  <c:v>112</c:v>
                </c:pt>
                <c:pt idx="585">
                  <c:v>112.5</c:v>
                </c:pt>
                <c:pt idx="586">
                  <c:v>113</c:v>
                </c:pt>
                <c:pt idx="587">
                  <c:v>113.5</c:v>
                </c:pt>
                <c:pt idx="588">
                  <c:v>114</c:v>
                </c:pt>
                <c:pt idx="589">
                  <c:v>114.5</c:v>
                </c:pt>
                <c:pt idx="590">
                  <c:v>115</c:v>
                </c:pt>
                <c:pt idx="591">
                  <c:v>115.5</c:v>
                </c:pt>
                <c:pt idx="592">
                  <c:v>116</c:v>
                </c:pt>
                <c:pt idx="593">
                  <c:v>116.5</c:v>
                </c:pt>
                <c:pt idx="594">
                  <c:v>117</c:v>
                </c:pt>
                <c:pt idx="595">
                  <c:v>117.5</c:v>
                </c:pt>
                <c:pt idx="596">
                  <c:v>118</c:v>
                </c:pt>
                <c:pt idx="597">
                  <c:v>118.5</c:v>
                </c:pt>
                <c:pt idx="598">
                  <c:v>119</c:v>
                </c:pt>
                <c:pt idx="599">
                  <c:v>119.5</c:v>
                </c:pt>
                <c:pt idx="600">
                  <c:v>120</c:v>
                </c:pt>
                <c:pt idx="601">
                  <c:v>120.5</c:v>
                </c:pt>
                <c:pt idx="602">
                  <c:v>121</c:v>
                </c:pt>
                <c:pt idx="603">
                  <c:v>121.5</c:v>
                </c:pt>
                <c:pt idx="604">
                  <c:v>122</c:v>
                </c:pt>
                <c:pt idx="605">
                  <c:v>122.5</c:v>
                </c:pt>
                <c:pt idx="606">
                  <c:v>123</c:v>
                </c:pt>
                <c:pt idx="607">
                  <c:v>123.5</c:v>
                </c:pt>
                <c:pt idx="608">
                  <c:v>124</c:v>
                </c:pt>
                <c:pt idx="609">
                  <c:v>124.5</c:v>
                </c:pt>
                <c:pt idx="610">
                  <c:v>125</c:v>
                </c:pt>
                <c:pt idx="611">
                  <c:v>125.5</c:v>
                </c:pt>
                <c:pt idx="612">
                  <c:v>126</c:v>
                </c:pt>
                <c:pt idx="613">
                  <c:v>126.5</c:v>
                </c:pt>
                <c:pt idx="614">
                  <c:v>127</c:v>
                </c:pt>
                <c:pt idx="615">
                  <c:v>127.5</c:v>
                </c:pt>
                <c:pt idx="616">
                  <c:v>128</c:v>
                </c:pt>
                <c:pt idx="617">
                  <c:v>128.5</c:v>
                </c:pt>
                <c:pt idx="618">
                  <c:v>129</c:v>
                </c:pt>
                <c:pt idx="619">
                  <c:v>129.5</c:v>
                </c:pt>
                <c:pt idx="620">
                  <c:v>130</c:v>
                </c:pt>
                <c:pt idx="621">
                  <c:v>130.5</c:v>
                </c:pt>
                <c:pt idx="622">
                  <c:v>131</c:v>
                </c:pt>
                <c:pt idx="623">
                  <c:v>131.5</c:v>
                </c:pt>
                <c:pt idx="624">
                  <c:v>132</c:v>
                </c:pt>
                <c:pt idx="625">
                  <c:v>132.5</c:v>
                </c:pt>
                <c:pt idx="626">
                  <c:v>133</c:v>
                </c:pt>
                <c:pt idx="627">
                  <c:v>133.5</c:v>
                </c:pt>
                <c:pt idx="628">
                  <c:v>134</c:v>
                </c:pt>
                <c:pt idx="629">
                  <c:v>134.5</c:v>
                </c:pt>
                <c:pt idx="630">
                  <c:v>135</c:v>
                </c:pt>
                <c:pt idx="631">
                  <c:v>135.5</c:v>
                </c:pt>
                <c:pt idx="632">
                  <c:v>136</c:v>
                </c:pt>
                <c:pt idx="633">
                  <c:v>136.5</c:v>
                </c:pt>
                <c:pt idx="634">
                  <c:v>137</c:v>
                </c:pt>
                <c:pt idx="635">
                  <c:v>137.5</c:v>
                </c:pt>
                <c:pt idx="636">
                  <c:v>138</c:v>
                </c:pt>
                <c:pt idx="637">
                  <c:v>138.5</c:v>
                </c:pt>
                <c:pt idx="638">
                  <c:v>139</c:v>
                </c:pt>
                <c:pt idx="639">
                  <c:v>139.5</c:v>
                </c:pt>
                <c:pt idx="640">
                  <c:v>140</c:v>
                </c:pt>
                <c:pt idx="641">
                  <c:v>140.5</c:v>
                </c:pt>
                <c:pt idx="642">
                  <c:v>141</c:v>
                </c:pt>
                <c:pt idx="643">
                  <c:v>141.5</c:v>
                </c:pt>
                <c:pt idx="644">
                  <c:v>142</c:v>
                </c:pt>
                <c:pt idx="645">
                  <c:v>142.5</c:v>
                </c:pt>
                <c:pt idx="646">
                  <c:v>143</c:v>
                </c:pt>
                <c:pt idx="647">
                  <c:v>143.5</c:v>
                </c:pt>
                <c:pt idx="648">
                  <c:v>144</c:v>
                </c:pt>
                <c:pt idx="649">
                  <c:v>144.5</c:v>
                </c:pt>
                <c:pt idx="650">
                  <c:v>145</c:v>
                </c:pt>
                <c:pt idx="651">
                  <c:v>145.5</c:v>
                </c:pt>
                <c:pt idx="652">
                  <c:v>146</c:v>
                </c:pt>
                <c:pt idx="653">
                  <c:v>146.5</c:v>
                </c:pt>
                <c:pt idx="654">
                  <c:v>147</c:v>
                </c:pt>
                <c:pt idx="655">
                  <c:v>147.5</c:v>
                </c:pt>
                <c:pt idx="656">
                  <c:v>148</c:v>
                </c:pt>
                <c:pt idx="657">
                  <c:v>148.5</c:v>
                </c:pt>
                <c:pt idx="658">
                  <c:v>149</c:v>
                </c:pt>
                <c:pt idx="659">
                  <c:v>149.5</c:v>
                </c:pt>
                <c:pt idx="660">
                  <c:v>150</c:v>
                </c:pt>
                <c:pt idx="661">
                  <c:v>150.5</c:v>
                </c:pt>
                <c:pt idx="662">
                  <c:v>151</c:v>
                </c:pt>
                <c:pt idx="663">
                  <c:v>151.5</c:v>
                </c:pt>
                <c:pt idx="664">
                  <c:v>152</c:v>
                </c:pt>
                <c:pt idx="665">
                  <c:v>152.5</c:v>
                </c:pt>
                <c:pt idx="666">
                  <c:v>153</c:v>
                </c:pt>
                <c:pt idx="667">
                  <c:v>153.5</c:v>
                </c:pt>
                <c:pt idx="668">
                  <c:v>154</c:v>
                </c:pt>
                <c:pt idx="669">
                  <c:v>154.5</c:v>
                </c:pt>
                <c:pt idx="670">
                  <c:v>155</c:v>
                </c:pt>
                <c:pt idx="671">
                  <c:v>155.5</c:v>
                </c:pt>
                <c:pt idx="672">
                  <c:v>156</c:v>
                </c:pt>
                <c:pt idx="673">
                  <c:v>156.5</c:v>
                </c:pt>
                <c:pt idx="674">
                  <c:v>157</c:v>
                </c:pt>
                <c:pt idx="675">
                  <c:v>157.5</c:v>
                </c:pt>
                <c:pt idx="676">
                  <c:v>158</c:v>
                </c:pt>
                <c:pt idx="677">
                  <c:v>158.5</c:v>
                </c:pt>
                <c:pt idx="678">
                  <c:v>159</c:v>
                </c:pt>
                <c:pt idx="679">
                  <c:v>159.5</c:v>
                </c:pt>
                <c:pt idx="680">
                  <c:v>160</c:v>
                </c:pt>
                <c:pt idx="681">
                  <c:v>160.5</c:v>
                </c:pt>
                <c:pt idx="682">
                  <c:v>161</c:v>
                </c:pt>
                <c:pt idx="683">
                  <c:v>161.5</c:v>
                </c:pt>
                <c:pt idx="684">
                  <c:v>162</c:v>
                </c:pt>
                <c:pt idx="685">
                  <c:v>162.5</c:v>
                </c:pt>
                <c:pt idx="686">
                  <c:v>163</c:v>
                </c:pt>
                <c:pt idx="687">
                  <c:v>163.5</c:v>
                </c:pt>
                <c:pt idx="688">
                  <c:v>164</c:v>
                </c:pt>
                <c:pt idx="689">
                  <c:v>164.5</c:v>
                </c:pt>
                <c:pt idx="690">
                  <c:v>165</c:v>
                </c:pt>
                <c:pt idx="691">
                  <c:v>165.5</c:v>
                </c:pt>
                <c:pt idx="692">
                  <c:v>166</c:v>
                </c:pt>
                <c:pt idx="693">
                  <c:v>166.5</c:v>
                </c:pt>
                <c:pt idx="694">
                  <c:v>167</c:v>
                </c:pt>
                <c:pt idx="695">
                  <c:v>167.5</c:v>
                </c:pt>
                <c:pt idx="696">
                  <c:v>168</c:v>
                </c:pt>
                <c:pt idx="697">
                  <c:v>168.5</c:v>
                </c:pt>
                <c:pt idx="698">
                  <c:v>169</c:v>
                </c:pt>
                <c:pt idx="699">
                  <c:v>169.5</c:v>
                </c:pt>
                <c:pt idx="700">
                  <c:v>170</c:v>
                </c:pt>
                <c:pt idx="701">
                  <c:v>170.5</c:v>
                </c:pt>
                <c:pt idx="702">
                  <c:v>171</c:v>
                </c:pt>
                <c:pt idx="703">
                  <c:v>171.5</c:v>
                </c:pt>
                <c:pt idx="704">
                  <c:v>172</c:v>
                </c:pt>
                <c:pt idx="705">
                  <c:v>172.5</c:v>
                </c:pt>
                <c:pt idx="706">
                  <c:v>173</c:v>
                </c:pt>
                <c:pt idx="707">
                  <c:v>173.5</c:v>
                </c:pt>
                <c:pt idx="708">
                  <c:v>174</c:v>
                </c:pt>
                <c:pt idx="709">
                  <c:v>174.5</c:v>
                </c:pt>
                <c:pt idx="710">
                  <c:v>175</c:v>
                </c:pt>
                <c:pt idx="711">
                  <c:v>175.5</c:v>
                </c:pt>
                <c:pt idx="712">
                  <c:v>176</c:v>
                </c:pt>
                <c:pt idx="713">
                  <c:v>176.5</c:v>
                </c:pt>
                <c:pt idx="714">
                  <c:v>177</c:v>
                </c:pt>
                <c:pt idx="715">
                  <c:v>177.5</c:v>
                </c:pt>
                <c:pt idx="716">
                  <c:v>178</c:v>
                </c:pt>
                <c:pt idx="717">
                  <c:v>178.5</c:v>
                </c:pt>
                <c:pt idx="718">
                  <c:v>179</c:v>
                </c:pt>
                <c:pt idx="719">
                  <c:v>179.5</c:v>
                </c:pt>
                <c:pt idx="720">
                  <c:v>180</c:v>
                </c:pt>
              </c:numCache>
            </c:numRef>
          </c:xVal>
          <c:yVal>
            <c:numRef>
              <c:f>Barrido_AE!$D$12:$D$732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4.6033346729217515</c:v>
                </c:pt>
                <c:pt idx="276">
                  <c:v>4.6838282643979383</c:v>
                </c:pt>
                <c:pt idx="277">
                  <c:v>4.7661189310785605</c:v>
                </c:pt>
                <c:pt idx="278">
                  <c:v>4.8502428963503164</c:v>
                </c:pt>
                <c:pt idx="279">
                  <c:v>4.9362364384492903</c:v>
                </c:pt>
                <c:pt idx="280">
                  <c:v>5.024135818595048</c:v>
                </c:pt>
                <c:pt idx="281">
                  <c:v>5.1139772021108811</c:v>
                </c:pt>
                <c:pt idx="282">
                  <c:v>5.2057965720721358</c:v>
                </c:pt>
                <c:pt idx="283">
                  <c:v>5.2996296350088352</c:v>
                </c:pt>
                <c:pt idx="284">
                  <c:v>5.3955117181735694</c:v>
                </c:pt>
                <c:pt idx="285">
                  <c:v>5.4934776578723703</c:v>
                </c:pt>
                <c:pt idx="286">
                  <c:v>5.5935616783449866</c:v>
                </c:pt>
                <c:pt idx="287">
                  <c:v>5.6957972606717471</c:v>
                </c:pt>
                <c:pt idx="288">
                  <c:v>5.80021700117838</c:v>
                </c:pt>
                <c:pt idx="289">
                  <c:v>5.9068524588072222</c:v>
                </c:pt>
                <c:pt idx="290">
                  <c:v>6.0157339909247796</c:v>
                </c:pt>
                <c:pt idx="291">
                  <c:v>6.1268905770417605</c:v>
                </c:pt>
                <c:pt idx="292">
                  <c:v>6.2403496299330925</c:v>
                </c:pt>
                <c:pt idx="293">
                  <c:v>6.3561367936632998</c:v>
                </c:pt>
                <c:pt idx="294">
                  <c:v>6.474275728047596</c:v>
                </c:pt>
                <c:pt idx="295">
                  <c:v>6.5947878791117649</c:v>
                </c:pt>
                <c:pt idx="296">
                  <c:v>6.7176922351560417</c:v>
                </c:pt>
                <c:pt idx="297">
                  <c:v>6.8430050680798962</c:v>
                </c:pt>
                <c:pt idx="298">
                  <c:v>6.9707396596879816</c:v>
                </c:pt>
                <c:pt idx="299">
                  <c:v>7.1009060127726942</c:v>
                </c:pt>
                <c:pt idx="300">
                  <c:v>7.2335105468578709</c:v>
                </c:pt>
                <c:pt idx="301">
                  <c:v>7.3685557785910527</c:v>
                </c:pt>
                <c:pt idx="302">
                  <c:v>7.5060399868917722</c:v>
                </c:pt>
                <c:pt idx="303">
                  <c:v>7.6459568630988599</c:v>
                </c:pt>
                <c:pt idx="304">
                  <c:v>7.7882951465147201</c:v>
                </c:pt>
                <c:pt idx="305">
                  <c:v>7.9330382459174604</c:v>
                </c:pt>
                <c:pt idx="306">
                  <c:v>8.080163847805947</c:v>
                </c:pt>
                <c:pt idx="307">
                  <c:v>8.2296435123565956</c:v>
                </c:pt>
                <c:pt idx="308">
                  <c:v>8.381442258307171</c:v>
                </c:pt>
                <c:pt idx="309">
                  <c:v>8.5355181382400183</c:v>
                </c:pt>
                <c:pt idx="310">
                  <c:v>8.6918218060164509</c:v>
                </c:pt>
                <c:pt idx="311">
                  <c:v>8.8502960784148286</c:v>
                </c:pt>
                <c:pt idx="312">
                  <c:v>9.0108754933457398</c:v>
                </c:pt>
                <c:pt idx="313">
                  <c:v>9.173485867358151</c:v>
                </c:pt>
                <c:pt idx="314">
                  <c:v>9.3380438555080385</c:v>
                </c:pt>
                <c:pt idx="315">
                  <c:v>9.5044565170328568</c:v>
                </c:pt>
                <c:pt idx="316">
                  <c:v>9.6726208906595392</c:v>
                </c:pt>
                <c:pt idx="317">
                  <c:v>9.8424235837635088</c:v>
                </c:pt>
                <c:pt idx="318">
                  <c:v>10.013740379990242</c:v>
                </c:pt>
                <c:pt idx="319">
                  <c:v>10.186435870339222</c:v>
                </c:pt>
                <c:pt idx="320">
                  <c:v>10.360363113089631</c:v>
                </c:pt>
                <c:pt idx="321">
                  <c:v>10.535363328307028</c:v>
                </c:pt>
                <c:pt idx="322">
                  <c:v>10.711265633003194</c:v>
                </c:pt>
                <c:pt idx="323">
                  <c:v>10.887886823317414</c:v>
                </c:pt>
                <c:pt idx="324">
                  <c:v>11.065031210336159</c:v>
                </c:pt>
                <c:pt idx="325">
                  <c:v>11.242490516356877</c:v>
                </c:pt>
                <c:pt idx="326">
                  <c:v>11.420043838520682</c:v>
                </c:pt>
                <c:pt idx="327">
                  <c:v>11.597457686773055</c:v>
                </c:pt>
                <c:pt idx="328">
                  <c:v>11.774486103051757</c:v>
                </c:pt>
                <c:pt idx="329">
                  <c:v>11.950870868431339</c:v>
                </c:pt>
                <c:pt idx="330">
                  <c:v>12.126341804664458</c:v>
                </c:pt>
                <c:pt idx="331">
                  <c:v>12.300617176140848</c:v>
                </c:pt>
                <c:pt idx="332">
                  <c:v>12.473404197722738</c:v>
                </c:pt>
                <c:pt idx="333">
                  <c:v>12.644399653207032</c:v>
                </c:pt>
                <c:pt idx="334">
                  <c:v>12.813290628301043</c:v>
                </c:pt>
                <c:pt idx="335">
                  <c:v>12.97975536097953</c:v>
                </c:pt>
                <c:pt idx="336">
                  <c:v>13.143464210914832</c:v>
                </c:pt>
                <c:pt idx="337">
                  <c:v>13.304080748347879</c:v>
                </c:pt>
                <c:pt idx="338">
                  <c:v>13.461262961297823</c:v>
                </c:pt>
                <c:pt idx="339">
                  <c:v>13.614664578413283</c:v>
                </c:pt>
                <c:pt idx="340">
                  <c:v>13.763936503061698</c:v>
                </c:pt>
                <c:pt idx="341">
                  <c:v>13.908728352459104</c:v>
                </c:pt>
                <c:pt idx="342">
                  <c:v>14.04869009379118</c:v>
                </c:pt>
                <c:pt idx="343">
                  <c:v>14.183473767397132</c:v>
                </c:pt>
                <c:pt idx="344">
                  <c:v>14.312735285220532</c:v>
                </c:pt>
                <c:pt idx="345">
                  <c:v>14.436136290913105</c:v>
                </c:pt>
                <c:pt idx="346">
                  <c:v>14.553346066252981</c:v>
                </c:pt>
                <c:pt idx="347">
                  <c:v>14.664043466953874</c:v>
                </c:pt>
                <c:pt idx="348">
                  <c:v>14.767918869536354</c:v>
                </c:pt>
                <c:pt idx="349">
                  <c:v>14.864676109755639</c:v>
                </c:pt>
                <c:pt idx="350">
                  <c:v>14.954034392170891</c:v>
                </c:pt>
                <c:pt idx="351">
                  <c:v>15.035730149834537</c:v>
                </c:pt>
                <c:pt idx="352">
                  <c:v>15.109518832812107</c:v>
                </c:pt>
                <c:pt idx="353">
                  <c:v>15.175176604336544</c:v>
                </c:pt>
                <c:pt idx="354">
                  <c:v>15.232501923870371</c:v>
                </c:pt>
                <c:pt idx="355">
                  <c:v>15.281352071994473</c:v>
                </c:pt>
                <c:pt idx="356">
                  <c:v>15.322135663467282</c:v>
                </c:pt>
                <c:pt idx="357">
                  <c:v>15.355696993766104</c:v>
                </c:pt>
                <c:pt idx="358">
                  <c:v>15.382920921215117</c:v>
                </c:pt>
                <c:pt idx="359">
                  <c:v>15.404717746464529</c:v>
                </c:pt>
                <c:pt idx="360">
                  <c:v>15.42201790959791</c:v>
                </c:pt>
                <c:pt idx="361">
                  <c:v>15.435766197481549</c:v>
                </c:pt>
                <c:pt idx="362">
                  <c:v>15.446915521332681</c:v>
                </c:pt>
                <c:pt idx="363">
                  <c:v>15.456420331757007</c:v>
                </c:pt>
                <c:pt idx="364">
                  <c:v>15.465229744865312</c:v>
                </c:pt>
                <c:pt idx="365">
                  <c:v>15.474280458373739</c:v>
                </c:pt>
                <c:pt idx="366">
                  <c:v>15.484489540706864</c:v>
                </c:pt>
                <c:pt idx="367">
                  <c:v>15.496747178964316</c:v>
                </c:pt>
                <c:pt idx="368">
                  <c:v>15.511909473123634</c:v>
                </c:pt>
                <c:pt idx="369">
                  <c:v>15.530791364006799</c:v>
                </c:pt>
                <c:pt idx="370">
                  <c:v>15.554159781344337</c:v>
                </c:pt>
                <c:pt idx="371">
                  <c:v>15.582727095761699</c:v>
                </c:pt>
                <c:pt idx="372">
                  <c:v>15.617144954761045</c:v>
                </c:pt>
                <c:pt idx="373">
                  <c:v>15.657998577864808</c:v>
                </c:pt>
                <c:pt idx="374">
                  <c:v>15.705801580138701</c:v>
                </c:pt>
                <c:pt idx="375">
                  <c:v>15.760991386455439</c:v>
                </c:pt>
                <c:pt idx="376">
                  <c:v>15.823925291238101</c:v>
                </c:pt>
                <c:pt idx="377">
                  <c:v>15.89487721018263</c:v>
                </c:pt>
                <c:pt idx="378">
                  <c:v>15.974035161760739</c:v>
                </c:pt>
                <c:pt idx="379">
                  <c:v>16.06149950729943</c:v>
                </c:pt>
                <c:pt idx="380">
                  <c:v>16.157281969266574</c:v>
                </c:pt>
                <c:pt idx="381">
                  <c:v>16.261305438209913</c:v>
                </c:pt>
                <c:pt idx="382">
                  <c:v>16.373404569724006</c:v>
                </c:pt>
                <c:pt idx="383">
                  <c:v>16.493327163974488</c:v>
                </c:pt>
                <c:pt idx="384">
                  <c:v>16.620736311796989</c:v>
                </c:pt>
                <c:pt idx="385">
                  <c:v>16.755213283294829</c:v>
                </c:pt>
                <c:pt idx="386">
                  <c:v>16.896261127263696</c:v>
                </c:pt>
                <c:pt idx="387">
                  <c:v>17.043308942730174</c:v>
                </c:pt>
                <c:pt idx="388">
                  <c:v>17.195716777455992</c:v>
                </c:pt>
                <c:pt idx="389">
                  <c:v>17.352781102468377</c:v>
                </c:pt>
                <c:pt idx="390">
                  <c:v>17.513740806550615</c:v>
                </c:pt>
                <c:pt idx="391">
                  <c:v>17.677783650192193</c:v>
                </c:pt>
                <c:pt idx="392">
                  <c:v>17.84405311475841</c:v>
                </c:pt>
                <c:pt idx="393">
                  <c:v>18.01165557960546</c:v>
                </c:pt>
                <c:pt idx="394">
                  <c:v>18.179667757536201</c:v>
                </c:pt>
                <c:pt idx="395">
                  <c:v>18.347144317364929</c:v>
                </c:pt>
                <c:pt idx="396">
                  <c:v>18.513125621425512</c:v>
                </c:pt>
                <c:pt idx="397">
                  <c:v>18.676645505615127</c:v>
                </c:pt>
                <c:pt idx="398">
                  <c:v>18.83673903000043</c:v>
                </c:pt>
                <c:pt idx="399">
                  <c:v>18.992450129113401</c:v>
                </c:pt>
                <c:pt idx="400">
                  <c:v>19.14283909281902</c:v>
                </c:pt>
                <c:pt idx="401">
                  <c:v>19.286989811025311</c:v>
                </c:pt>
                <c:pt idx="402">
                  <c:v>19.424016718512217</c:v>
                </c:pt>
                <c:pt idx="403">
                  <c:v>19.553071379751966</c:v>
                </c:pt>
                <c:pt idx="404">
                  <c:v>19.673348657754641</c:v>
                </c:pt>
                <c:pt idx="405">
                  <c:v>19.784092415665302</c:v>
                </c:pt>
                <c:pt idx="406">
                  <c:v>19.884600705022681</c:v>
                </c:pt>
                <c:pt idx="407">
                  <c:v>19.974230400221177</c:v>
                </c:pt>
                <c:pt idx="408">
                  <c:v>20.052401244748012</c:v>
                </c:pt>
                <c:pt idx="409">
                  <c:v>20.118599281134333</c:v>
                </c:pt>
                <c:pt idx="410">
                  <c:v>20.17237964320535</c:v>
                </c:pt>
                <c:pt idx="411">
                  <c:v>20.213368696063249</c:v>
                </c:pt>
                <c:pt idx="412">
                  <c:v>20.241265516219773</c:v>
                </c:pt>
                <c:pt idx="413">
                  <c:v>20.255842711327155</c:v>
                </c:pt>
                <c:pt idx="414">
                  <c:v>20.256946585956268</c:v>
                </c:pt>
                <c:pt idx="415">
                  <c:v>20.244496666752067</c:v>
                </c:pt>
                <c:pt idx="416">
                  <c:v>20.218484606970641</c:v>
                </c:pt>
                <c:pt idx="417">
                  <c:v>20.17897249678369</c:v>
                </c:pt>
                <c:pt idx="418">
                  <c:v>20.126090611738991</c:v>
                </c:pt>
                <c:pt idx="419">
                  <c:v>20.060034637306888</c:v>
                </c:pt>
                <c:pt idx="420">
                  <c:v>19.981062412450346</c:v>
                </c:pt>
                <c:pt idx="421">
                  <c:v>19.889490239555457</c:v>
                </c:pt>
                <c:pt idx="422">
                  <c:v>19.785688811795268</c:v>
                </c:pt>
                <c:pt idx="423">
                  <c:v>19.670078812016666</c:v>
                </c:pt>
                <c:pt idx="424">
                  <c:v>19.543126239504261</c:v>
                </c:pt>
                <c:pt idx="425">
                  <c:v>19.405337522452889</c:v>
                </c:pt>
                <c:pt idx="426">
                  <c:v>19.257254474666443</c:v>
                </c:pt>
                <c:pt idx="427">
                  <c:v>19.099449154885786</c:v>
                </c:pt>
                <c:pt idx="428">
                  <c:v>18.932518686253665</c:v>
                </c:pt>
                <c:pt idx="429">
                  <c:v>18.757080091772256</c:v>
                </c:pt>
                <c:pt idx="430">
                  <c:v>18.573765199242665</c:v>
                </c:pt>
                <c:pt idx="431">
                  <c:v>18.383215666145368</c:v>
                </c:pt>
                <c:pt idx="432">
                  <c:v>18.18607817129265</c:v>
                </c:pt>
                <c:pt idx="433">
                  <c:v>17.982999815930267</c:v>
                </c:pt>
                <c:pt idx="434">
                  <c:v>17.774623772369392</c:v>
                </c:pt>
                <c:pt idx="435">
                  <c:v>17.561585213279258</c:v>
                </c:pt>
                <c:pt idx="436">
                  <c:v>17.344507549558294</c:v>
                </c:pt>
                <c:pt idx="437">
                  <c:v>17.123998999322875</c:v>
                </c:pt>
                <c:pt idx="438">
                  <c:v>16.900649505104511</c:v>
                </c:pt>
                <c:pt idx="439">
                  <c:v>16.675028010919657</c:v>
                </c:pt>
                <c:pt idx="440">
                  <c:v>16.447680105565496</c:v>
                </c:pt>
                <c:pt idx="441">
                  <c:v>16.21912603338054</c:v>
                </c:pt>
                <c:pt idx="442">
                  <c:v>15.989859068871349</c:v>
                </c:pt>
                <c:pt idx="443">
                  <c:v>15.760344247113288</c:v>
                </c:pt>
                <c:pt idx="444">
                  <c:v>15.531017437741696</c:v>
                </c:pt>
                <c:pt idx="445">
                  <c:v>15.302284746711409</c:v>
                </c:pt>
                <c:pt idx="446">
                  <c:v>15.074522226848933</c:v>
                </c:pt>
                <c:pt idx="447">
                  <c:v>14.848075875583437</c:v>
                </c:pt>
                <c:pt idx="448">
                  <c:v>14.6232618961262</c:v>
                </c:pt>
                <c:pt idx="449">
                  <c:v>14.400367196782803</c:v>
                </c:pt>
                <c:pt idx="450">
                  <c:v>14.179650102011705</c:v>
                </c:pt>
                <c:pt idx="451">
                  <c:v>13.961341248274026</c:v>
                </c:pt>
                <c:pt idx="452">
                  <c:v>13.745644637619755</c:v>
                </c:pt>
                <c:pt idx="453">
                  <c:v>13.532738822293878</c:v>
                </c:pt>
                <c:pt idx="454">
                  <c:v>13.322778194376312</c:v>
                </c:pt>
                <c:pt idx="455">
                  <c:v>13.115894355548516</c:v>
                </c:pt>
                <c:pt idx="456">
                  <c:v>12.912197543454434</c:v>
                </c:pt>
                <c:pt idx="457">
                  <c:v>12.71177809274427</c:v>
                </c:pt>
                <c:pt idx="458">
                  <c:v>12.514707910700702</c:v>
                </c:pt>
                <c:pt idx="459">
                  <c:v>12.321041949299476</c:v>
                </c:pt>
                <c:pt idx="460">
                  <c:v>12.130819657596774</c:v>
                </c:pt>
                <c:pt idx="461">
                  <c:v>11.94406640041935</c:v>
                </c:pt>
                <c:pt idx="462">
                  <c:v>11.760794831414202</c:v>
                </c:pt>
                <c:pt idx="463">
                  <c:v>11.581006210555687</c:v>
                </c:pt>
                <c:pt idx="464">
                  <c:v>11.404691658173574</c:v>
                </c:pt>
                <c:pt idx="465">
                  <c:v>11.231833339427199</c:v>
                </c:pt>
                <c:pt idx="466">
                  <c:v>11.062405574885791</c:v>
                </c:pt>
                <c:pt idx="467">
                  <c:v>10.896375874464525</c:v>
                </c:pt>
                <c:pt idx="468">
                  <c:v>10.733705893397349</c:v>
                </c:pt>
                <c:pt idx="469">
                  <c:v>10.574352310193415</c:v>
                </c:pt>
                <c:pt idx="470">
                  <c:v>10.418267627621566</c:v>
                </c:pt>
                <c:pt idx="471">
                  <c:v>10.265400898696308</c:v>
                </c:pt>
                <c:pt idx="472">
                  <c:v>10.115698380405151</c:v>
                </c:pt>
                <c:pt idx="473">
                  <c:v>9.9691041185281986</c:v>
                </c:pt>
                <c:pt idx="474">
                  <c:v>9.8255604673653973</c:v>
                </c:pt>
                <c:pt idx="475">
                  <c:v>9.6850085485191215</c:v>
                </c:pt>
                <c:pt idx="476">
                  <c:v>9.5473886530902377</c:v>
                </c:pt>
                <c:pt idx="477">
                  <c:v>9.4126405917509892</c:v>
                </c:pt>
                <c:pt idx="478">
                  <c:v>9.2807039971699297</c:v>
                </c:pt>
                <c:pt idx="479">
                  <c:v>9.1515185831993655</c:v>
                </c:pt>
                <c:pt idx="480">
                  <c:v>9.0250243651056579</c:v>
                </c:pt>
                <c:pt idx="481">
                  <c:v>8.901161844942358</c:v>
                </c:pt>
                <c:pt idx="482">
                  <c:v>8.7798721659464238</c:v>
                </c:pt>
                <c:pt idx="483">
                  <c:v>8.6610972395901413</c:v>
                </c:pt>
                <c:pt idx="484">
                  <c:v>8.5447798486558284</c:v>
                </c:pt>
                <c:pt idx="485">
                  <c:v>8.4308637294243933</c:v>
                </c:pt>
                <c:pt idx="486">
                  <c:v>8.3192936357919987</c:v>
                </c:pt>
                <c:pt idx="487">
                  <c:v>8.2100153878537192</c:v>
                </c:pt>
                <c:pt idx="488">
                  <c:v>8.102975907228684</c:v>
                </c:pt>
                <c:pt idx="489">
                  <c:v>7.9981232411467467</c:v>
                </c:pt>
                <c:pt idx="490">
                  <c:v>7.8954065770790942</c:v>
                </c:pt>
                <c:pt idx="491">
                  <c:v>7.7947762494733528</c:v>
                </c:pt>
                <c:pt idx="492">
                  <c:v>7.69618373995025</c:v>
                </c:pt>
                <c:pt idx="493">
                  <c:v>7.5995816721343665</c:v>
                </c:pt>
                <c:pt idx="494">
                  <c:v>7.5049238021244982</c:v>
                </c:pt>
                <c:pt idx="495">
                  <c:v>7.412165005461131</c:v>
                </c:pt>
                <c:pt idx="496">
                  <c:v>7.3212612613167565</c:v>
                </c:pt>
                <c:pt idx="497">
                  <c:v>7.2321696345200523</c:v>
                </c:pt>
                <c:pt idx="498">
                  <c:v>7.1448482559243978</c:v>
                </c:pt>
                <c:pt idx="499">
                  <c:v>7.0592563015449841</c:v>
                </c:pt>
                <c:pt idx="500">
                  <c:v>6.9753539708143251</c:v>
                </c:pt>
                <c:pt idx="501">
                  <c:v>6.8931024642431753</c:v>
                </c:pt>
                <c:pt idx="502">
                  <c:v>6.8124639607202324</c:v>
                </c:pt>
                <c:pt idx="503">
                  <c:v>6.7334015946395311</c:v>
                </c:pt>
                <c:pt idx="504">
                  <c:v>6.6558794330067679</c:v>
                </c:pt>
                <c:pt idx="505">
                  <c:v>6.5798624526449316</c:v>
                </c:pt>
                <c:pt idx="506">
                  <c:v>6.5053165175943084</c:v>
                </c:pt>
                <c:pt idx="507">
                  <c:v>6.4322083567806105</c:v>
                </c:pt>
                <c:pt idx="508">
                  <c:v>6.3605055420083065</c:v>
                </c:pt>
                <c:pt idx="509">
                  <c:v>6.2901764663222854</c:v>
                </c:pt>
                <c:pt idx="510">
                  <c:v>6.2211903227699263</c:v>
                </c:pt>
                <c:pt idx="511">
                  <c:v>6.1535170835866762</c:v>
                </c:pt>
                <c:pt idx="512">
                  <c:v>6.0871274798212092</c:v>
                </c:pt>
                <c:pt idx="513">
                  <c:v>6.0219929814106532</c:v>
                </c:pt>
                <c:pt idx="514">
                  <c:v>5.9580857777117675</c:v>
                </c:pt>
                <c:pt idx="515">
                  <c:v>5.8953787584905841</c:v>
                </c:pt>
                <c:pt idx="516">
                  <c:v>5.8338454953703085</c:v>
                </c:pt>
                <c:pt idx="517">
                  <c:v>5.7734602237350607</c:v>
                </c:pt>
                <c:pt idx="518">
                  <c:v>5.7141978250853711</c:v>
                </c:pt>
                <c:pt idx="519">
                  <c:v>5.6560338098402676</c:v>
                </c:pt>
                <c:pt idx="520">
                  <c:v>5.5989443005795936</c:v>
                </c:pt>
                <c:pt idx="521">
                  <c:v>5.5429060157195309</c:v>
                </c:pt>
                <c:pt idx="522">
                  <c:v>5.4878962536138776</c:v>
                </c:pt>
                <c:pt idx="523">
                  <c:v>5.4338928770730348</c:v>
                </c:pt>
                <c:pt idx="524">
                  <c:v>5.380874298292504</c:v>
                </c:pt>
                <c:pt idx="525">
                  <c:v>5.3288194641823932</c:v>
                </c:pt>
                <c:pt idx="526">
                  <c:v>5.277707842089387</c:v>
                </c:pt>
                <c:pt idx="527">
                  <c:v>5.2275194059025294</c:v>
                </c:pt>
                <c:pt idx="528">
                  <c:v>5.1782346225340419</c:v>
                </c:pt>
                <c:pt idx="529">
                  <c:v>5.1298344387666086</c:v>
                </c:pt>
                <c:pt idx="530">
                  <c:v>5.0823002684583916</c:v>
                </c:pt>
                <c:pt idx="531">
                  <c:v>5.0356139800971542</c:v>
                </c:pt>
                <c:pt idx="532">
                  <c:v>4.9897578846950745</c:v>
                </c:pt>
                <c:pt idx="533">
                  <c:v>4.9447147240156806</c:v>
                </c:pt>
                <c:pt idx="534">
                  <c:v>4.9004676591246881</c:v>
                </c:pt>
                <c:pt idx="535">
                  <c:v>4.8570002592564503</c:v>
                </c:pt>
                <c:pt idx="536">
                  <c:v>4.8142964909879531</c:v>
                </c:pt>
                <c:pt idx="537">
                  <c:v>4.7723407077123969</c:v>
                </c:pt>
                <c:pt idx="538">
                  <c:v>4.7311176394044976</c:v>
                </c:pt>
                <c:pt idx="539">
                  <c:v>4.6906123826699124</c:v>
                </c:pt>
                <c:pt idx="540">
                  <c:v>4.6508103910710936</c:v>
                </c:pt>
                <c:pt idx="541">
                  <c:v>4.6116974657223384</c:v>
                </c:pt>
                <c:pt idx="542">
                  <c:v>4.5732597461466753</c:v>
                </c:pt>
                <c:pt idx="543">
                  <c:v>4.5354837013875517</c:v>
                </c:pt>
                <c:pt idx="544">
                  <c:v>4.4983561213683245</c:v>
                </c:pt>
                <c:pt idx="545">
                  <c:v>4.4618641084928603</c:v>
                </c:pt>
                <c:pt idx="546">
                  <c:v>4.4259950694804946</c:v>
                </c:pt>
                <c:pt idx="547">
                  <c:v>4.3907367074289523</c:v>
                </c:pt>
                <c:pt idx="548">
                  <c:v>4.3560770140988838</c:v>
                </c:pt>
                <c:pt idx="549">
                  <c:v>4.3220042624138024</c:v>
                </c:pt>
                <c:pt idx="550">
                  <c:v>4.2885069991694245</c:v>
                </c:pt>
                <c:pt idx="551">
                  <c:v>4.2555740379465687</c:v>
                </c:pt>
                <c:pt idx="552">
                  <c:v>4.2231944522217999</c:v>
                </c:pt>
                <c:pt idx="553">
                  <c:v>4.1913575686703162</c:v>
                </c:pt>
                <c:pt idx="554">
                  <c:v>4.1600529606555776</c:v>
                </c:pt>
                <c:pt idx="555">
                  <c:v>4.1292704419004105</c:v>
                </c:pt>
                <c:pt idx="556">
                  <c:v>4.0990000603344434</c:v>
                </c:pt>
                <c:pt idx="557">
                  <c:v>4.069232092112764</c:v>
                </c:pt>
                <c:pt idx="558">
                  <c:v>4.0399570358010406</c:v>
                </c:pt>
                <c:pt idx="559">
                  <c:v>4.0111656067222281</c:v>
                </c:pt>
                <c:pt idx="560">
                  <c:v>3.9828487314603089</c:v>
                </c:pt>
                <c:pt idx="561">
                  <c:v>3.9549975425165305</c:v>
                </c:pt>
                <c:pt idx="562">
                  <c:v>3.9276033731137927</c:v>
                </c:pt>
                <c:pt idx="563">
                  <c:v>3.9006577521448649</c:v>
                </c:pt>
                <c:pt idx="564">
                  <c:v>3.8741523992604114</c:v>
                </c:pt>
                <c:pt idx="565">
                  <c:v>3.8480792200926803</c:v>
                </c:pt>
                <c:pt idx="566">
                  <c:v>3.8224303016110084</c:v>
                </c:pt>
                <c:pt idx="567">
                  <c:v>3.797197907605395</c:v>
                </c:pt>
                <c:pt idx="568">
                  <c:v>3.7723744742943279</c:v>
                </c:pt>
                <c:pt idx="569">
                  <c:v>3.7479526060534227</c:v>
                </c:pt>
                <c:pt idx="570">
                  <c:v>3.723925071261275</c:v>
                </c:pt>
                <c:pt idx="571">
                  <c:v>3.7002847982592408</c:v>
                </c:pt>
                <c:pt idx="572">
                  <c:v>3.6770248714217999</c:v>
                </c:pt>
                <c:pt idx="573">
                  <c:v>3.6541385273343243</c:v>
                </c:pt>
                <c:pt idx="574">
                  <c:v>3.6316191510752152</c:v>
                </c:pt>
                <c:pt idx="575">
                  <c:v>3.6094602725993101</c:v>
                </c:pt>
                <c:pt idx="576">
                  <c:v>3.587655563219736</c:v>
                </c:pt>
                <c:pt idx="577">
                  <c:v>3.5661988321852975</c:v>
                </c:pt>
                <c:pt idx="578">
                  <c:v>3.5450840233507268</c:v>
                </c:pt>
                <c:pt idx="579">
                  <c:v>3.5243052119370692</c:v>
                </c:pt>
                <c:pt idx="580">
                  <c:v>3.5038566013796553</c:v>
                </c:pt>
                <c:pt idx="581">
                  <c:v>3.4837325202611096</c:v>
                </c:pt>
                <c:pt idx="582">
                  <c:v>3.4639274193270224</c:v>
                </c:pt>
                <c:pt idx="583">
                  <c:v>3.4444358685818339</c:v>
                </c:pt>
                <c:pt idx="584">
                  <c:v>3.4252525544627033</c:v>
                </c:pt>
                <c:pt idx="585">
                  <c:v>3.4063722770891096</c:v>
                </c:pt>
                <c:pt idx="586">
                  <c:v>3.3877899475860227</c:v>
                </c:pt>
                <c:pt idx="587">
                  <c:v>3.3695005854785522</c:v>
                </c:pt>
                <c:pt idx="588">
                  <c:v>3.3514993161560276</c:v>
                </c:pt>
                <c:pt idx="589">
                  <c:v>3.3337813684035664</c:v>
                </c:pt>
                <c:pt idx="590">
                  <c:v>3.3163420719991694</c:v>
                </c:pt>
                <c:pt idx="591">
                  <c:v>3.2991768553745304</c:v>
                </c:pt>
                <c:pt idx="592">
                  <c:v>3.282281243337716</c:v>
                </c:pt>
                <c:pt idx="593">
                  <c:v>3.2656508548560197</c:v>
                </c:pt>
                <c:pt idx="594">
                  <c:v>3.2492814008972131</c:v>
                </c:pt>
                <c:pt idx="595">
                  <c:v>3.2331686823276411</c:v>
                </c:pt>
                <c:pt idx="596">
                  <c:v>3.217308587865487</c:v>
                </c:pt>
                <c:pt idx="597">
                  <c:v>3.2016970920877088</c:v>
                </c:pt>
                <c:pt idx="598">
                  <c:v>3.1863302534891034</c:v>
                </c:pt>
                <c:pt idx="599">
                  <c:v>3.1712042125920754</c:v>
                </c:pt>
                <c:pt idx="600">
                  <c:v>3.1563151901056794</c:v>
                </c:pt>
                <c:pt idx="601">
                  <c:v>3.141659485132545</c:v>
                </c:pt>
                <c:pt idx="602">
                  <c:v>3.1272334734224003</c:v>
                </c:pt>
                <c:pt idx="603">
                  <c:v>3.1130336056708328</c:v>
                </c:pt>
                <c:pt idx="604">
                  <c:v>3.0990564058621231</c:v>
                </c:pt>
                <c:pt idx="605">
                  <c:v>3.0852984696548238</c:v>
                </c:pt>
                <c:pt idx="606">
                  <c:v>3.0717564628090255</c:v>
                </c:pt>
                <c:pt idx="607">
                  <c:v>3.0584271196540516</c:v>
                </c:pt>
                <c:pt idx="608">
                  <c:v>3.0453072415955522</c:v>
                </c:pt>
                <c:pt idx="609">
                  <c:v>3.0323936956608808</c:v>
                </c:pt>
                <c:pt idx="610">
                  <c:v>3.0196834130817098</c:v>
                </c:pt>
                <c:pt idx="611">
                  <c:v>3.0071733879128897</c:v>
                </c:pt>
                <c:pt idx="612">
                  <c:v>2.9948606756865308</c:v>
                </c:pt>
                <c:pt idx="613">
                  <c:v>2.9827423921003935</c:v>
                </c:pt>
                <c:pt idx="614">
                  <c:v>2.9708157117396268</c:v>
                </c:pt>
                <c:pt idx="615">
                  <c:v>2.9590778668309805</c:v>
                </c:pt>
                <c:pt idx="616">
                  <c:v>2.9475261460285838</c:v>
                </c:pt>
                <c:pt idx="617">
                  <c:v>2.9361578932304906</c:v>
                </c:pt>
                <c:pt idx="618">
                  <c:v>2.9249705064251179</c:v>
                </c:pt>
                <c:pt idx="619">
                  <c:v>2.9139614365668201</c:v>
                </c:pt>
                <c:pt idx="620">
                  <c:v>2.9031281864797958</c:v>
                </c:pt>
                <c:pt idx="621">
                  <c:v>2.8924683097895927</c:v>
                </c:pt>
                <c:pt idx="622">
                  <c:v>2.8819794098814793</c:v>
                </c:pt>
                <c:pt idx="623">
                  <c:v>2.8716591388849548</c:v>
                </c:pt>
                <c:pt idx="624">
                  <c:v>2.8615051966837544</c:v>
                </c:pt>
                <c:pt idx="625">
                  <c:v>2.8515153299506184</c:v>
                </c:pt>
                <c:pt idx="626">
                  <c:v>2.8416873312062458</c:v>
                </c:pt>
                <c:pt idx="627">
                  <c:v>2.832019037901746</c:v>
                </c:pt>
                <c:pt idx="628">
                  <c:v>2.8225083315240229</c:v>
                </c:pt>
                <c:pt idx="629">
                  <c:v>2.8131531367234701</c:v>
                </c:pt>
                <c:pt idx="630">
                  <c:v>2.8039514204634108</c:v>
                </c:pt>
                <c:pt idx="631">
                  <c:v>2.7949011911907351</c:v>
                </c:pt>
                <c:pt idx="632">
                  <c:v>2.7860004980271689</c:v>
                </c:pt>
                <c:pt idx="633">
                  <c:v>2.7772474299806751</c:v>
                </c:pt>
                <c:pt idx="634">
                  <c:v>2.7686401151764652</c:v>
                </c:pt>
                <c:pt idx="635">
                  <c:v>2.760176720107109</c:v>
                </c:pt>
                <c:pt idx="636">
                  <c:v>2.7518554489012943</c:v>
                </c:pt>
                <c:pt idx="637">
                  <c:v>2.7436745426107505</c:v>
                </c:pt>
                <c:pt idx="638">
                  <c:v>2.735632278514871</c:v>
                </c:pt>
                <c:pt idx="639">
                  <c:v>2.7277269694426227</c:v>
                </c:pt>
                <c:pt idx="640">
                  <c:v>2.7199569631112825</c:v>
                </c:pt>
                <c:pt idx="641">
                  <c:v>2.7123206414816292</c:v>
                </c:pt>
                <c:pt idx="642">
                  <c:v>2.7048164201291374</c:v>
                </c:pt>
                <c:pt idx="643">
                  <c:v>2.6974427476308129</c:v>
                </c:pt>
                <c:pt idx="644">
                  <c:v>2.6901981049672923</c:v>
                </c:pt>
                <c:pt idx="645">
                  <c:v>2.683081004939821</c:v>
                </c:pt>
                <c:pt idx="646">
                  <c:v>2.6760899916017626</c:v>
                </c:pt>
                <c:pt idx="647">
                  <c:v>2.6692236397042897</c:v>
                </c:pt>
                <c:pt idx="648">
                  <c:v>2.6624805541559136</c:v>
                </c:pt>
                <c:pt idx="649">
                  <c:v>2.6558593694955435</c:v>
                </c:pt>
                <c:pt idx="650">
                  <c:v>2.6493587493787252</c:v>
                </c:pt>
                <c:pt idx="651">
                  <c:v>2.6429773860767889</c:v>
                </c:pt>
                <c:pt idx="652">
                  <c:v>2.6367139999885691</c:v>
                </c:pt>
                <c:pt idx="653">
                  <c:v>2.6305673391644349</c:v>
                </c:pt>
                <c:pt idx="654">
                  <c:v>2.6245361788423378</c:v>
                </c:pt>
                <c:pt idx="655">
                  <c:v>2.618619320995585</c:v>
                </c:pt>
                <c:pt idx="656">
                  <c:v>2.6128155938921154</c:v>
                </c:pt>
                <c:pt idx="657">
                  <c:v>2.6071238516649702</c:v>
                </c:pt>
                <c:pt idx="658">
                  <c:v>2.6015429738937397</c:v>
                </c:pt>
                <c:pt idx="659">
                  <c:v>2.596071865196738</c:v>
                </c:pt>
                <c:pt idx="660">
                  <c:v>2.5907094548336551</c:v>
                </c:pt>
                <c:pt idx="661">
                  <c:v>2.5854546963184806</c:v>
                </c:pt>
                <c:pt idx="662">
                  <c:v>2.5803065670424479</c:v>
                </c:pt>
                <c:pt idx="663">
                  <c:v>2.5752640679068177</c:v>
                </c:pt>
                <c:pt idx="664">
                  <c:v>2.570326222965245</c:v>
                </c:pt>
                <c:pt idx="665">
                  <c:v>2.5654920790755908</c:v>
                </c:pt>
                <c:pt idx="666">
                  <c:v>2.5607607055609098</c:v>
                </c:pt>
                <c:pt idx="667">
                  <c:v>2.5561311938794828</c:v>
                </c:pt>
                <c:pt idx="668">
                  <c:v>2.5516026573036639</c:v>
                </c:pt>
                <c:pt idx="669">
                  <c:v>2.547174230607403</c:v>
                </c:pt>
                <c:pt idx="670">
                  <c:v>2.5428450697622331</c:v>
                </c:pt>
                <c:pt idx="671">
                  <c:v>2.5386143516415758</c:v>
                </c:pt>
                <c:pt idx="672">
                  <c:v>2.5344812737331996</c:v>
                </c:pt>
                <c:pt idx="673">
                  <c:v>2.5304450538596499</c:v>
                </c:pt>
                <c:pt idx="674">
                  <c:v>2.5265049299065474</c:v>
                </c:pt>
                <c:pt idx="675">
                  <c:v>2.5226601595585372</c:v>
                </c:pt>
                <c:pt idx="676">
                  <c:v>2.5189100200428074</c:v>
                </c:pt>
                <c:pt idx="677">
                  <c:v>2.5152538078799966</c:v>
                </c:pt>
                <c:pt idx="678">
                  <c:v>2.5116908386423789</c:v>
                </c:pt>
                <c:pt idx="679">
                  <c:v>2.5082204467191831</c:v>
                </c:pt>
                <c:pt idx="680">
                  <c:v>2.5048419850889179</c:v>
                </c:pt>
                <c:pt idx="681">
                  <c:v>2.5015548250985895</c:v>
                </c:pt>
                <c:pt idx="682">
                  <c:v>2.4983583562497027</c:v>
                </c:pt>
                <c:pt idx="683">
                  <c:v>2.495251985990889</c:v>
                </c:pt>
                <c:pt idx="684">
                  <c:v>2.4922351395171067</c:v>
                </c:pt>
                <c:pt idx="685">
                  <c:v>2.4893072595752739</c:v>
                </c:pt>
                <c:pt idx="686">
                  <c:v>2.4864678062762255</c:v>
                </c:pt>
                <c:pt idx="687">
                  <c:v>2.4837162569129219</c:v>
                </c:pt>
                <c:pt idx="688">
                  <c:v>2.4810521057847885</c:v>
                </c:pt>
                <c:pt idx="689">
                  <c:v>2.4784748640281156</c:v>
                </c:pt>
                <c:pt idx="690">
                  <c:v>2.4759840594523994</c:v>
                </c:pt>
                <c:pt idx="691">
                  <c:v>2.4735792363825766</c:v>
                </c:pt>
                <c:pt idx="692">
                  <c:v>2.4712599555070436</c:v>
                </c:pt>
                <c:pt idx="693">
                  <c:v>2.4690257937313791</c:v>
                </c:pt>
                <c:pt idx="694">
                  <c:v>2.4668763440377202</c:v>
                </c:pt>
                <c:pt idx="695">
                  <c:v>2.4648112153496919</c:v>
                </c:pt>
                <c:pt idx="696">
                  <c:v>2.4628300324028318</c:v>
                </c:pt>
                <c:pt idx="697">
                  <c:v>2.4609324356204452</c:v>
                </c:pt>
                <c:pt idx="698">
                  <c:v>2.4591180809948252</c:v>
                </c:pt>
                <c:pt idx="699">
                  <c:v>2.4573866399737647</c:v>
                </c:pt>
                <c:pt idx="700">
                  <c:v>2.4557377993523279</c:v>
                </c:pt>
                <c:pt idx="701">
                  <c:v>2.4541712611697997</c:v>
                </c:pt>
                <c:pt idx="702">
                  <c:v>2.4526867426117716</c:v>
                </c:pt>
                <c:pt idx="703">
                  <c:v>2.4512839759173208</c:v>
                </c:pt>
                <c:pt idx="704">
                  <c:v>2.4499627082912236</c:v>
                </c:pt>
                <c:pt idx="705">
                  <c:v>2.4487227018211595</c:v>
                </c:pt>
                <c:pt idx="706">
                  <c:v>2.447563733399873</c:v>
                </c:pt>
                <c:pt idx="707">
                  <c:v>2.4464855946522466</c:v>
                </c:pt>
                <c:pt idx="708">
                  <c:v>2.4454880918672508</c:v>
                </c:pt>
                <c:pt idx="709">
                  <c:v>2.4445710459347287</c:v>
                </c:pt>
                <c:pt idx="710">
                  <c:v>2.4437342922869987</c:v>
                </c:pt>
                <c:pt idx="711">
                  <c:v>2.4429776808452286</c:v>
                </c:pt>
                <c:pt idx="712">
                  <c:v>2.4423010759705712</c:v>
                </c:pt>
                <c:pt idx="713">
                  <c:v>2.4417043564200229</c:v>
                </c:pt>
                <c:pt idx="714">
                  <c:v>2.4411874153069824</c:v>
                </c:pt>
                <c:pt idx="715">
                  <c:v>2.4407501600665098</c:v>
                </c:pt>
                <c:pt idx="716">
                  <c:v>2.4403925124252401</c:v>
                </c:pt>
                <c:pt idx="717">
                  <c:v>2.4401144083759587</c:v>
                </c:pt>
                <c:pt idx="718">
                  <c:v>2.4399157981568131</c:v>
                </c:pt>
                <c:pt idx="719">
                  <c:v>2.439796646235155</c:v>
                </c:pt>
                <c:pt idx="720">
                  <c:v>2.439756931296011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DC-4004-837F-35A726EBFDB5}"/>
            </c:ext>
          </c:extLst>
        </c:ser>
        <c:ser>
          <c:idx val="2"/>
          <c:order val="2"/>
          <c:tx>
            <c:v>AE 20°</c:v>
          </c:tx>
          <c:spPr>
            <a:ln w="47520">
              <a:solidFill>
                <a:srgbClr val="8BA9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Barrido_AE!$A$12:$A$732</c:f>
              <c:numCache>
                <c:formatCode>0.0</c:formatCode>
                <c:ptCount val="721"/>
                <c:pt idx="0">
                  <c:v>-180</c:v>
                </c:pt>
                <c:pt idx="1">
                  <c:v>-179.5</c:v>
                </c:pt>
                <c:pt idx="2">
                  <c:v>-179</c:v>
                </c:pt>
                <c:pt idx="3">
                  <c:v>-178.5</c:v>
                </c:pt>
                <c:pt idx="4">
                  <c:v>-178</c:v>
                </c:pt>
                <c:pt idx="5">
                  <c:v>-177.5</c:v>
                </c:pt>
                <c:pt idx="6">
                  <c:v>-177</c:v>
                </c:pt>
                <c:pt idx="7">
                  <c:v>-176.5</c:v>
                </c:pt>
                <c:pt idx="8">
                  <c:v>-176</c:v>
                </c:pt>
                <c:pt idx="9">
                  <c:v>-175.5</c:v>
                </c:pt>
                <c:pt idx="10">
                  <c:v>-175</c:v>
                </c:pt>
                <c:pt idx="11">
                  <c:v>-174.5</c:v>
                </c:pt>
                <c:pt idx="12">
                  <c:v>-174</c:v>
                </c:pt>
                <c:pt idx="13">
                  <c:v>-173.5</c:v>
                </c:pt>
                <c:pt idx="14">
                  <c:v>-173</c:v>
                </c:pt>
                <c:pt idx="15">
                  <c:v>-172.5</c:v>
                </c:pt>
                <c:pt idx="16">
                  <c:v>-172</c:v>
                </c:pt>
                <c:pt idx="17">
                  <c:v>-171.5</c:v>
                </c:pt>
                <c:pt idx="18">
                  <c:v>-171</c:v>
                </c:pt>
                <c:pt idx="19">
                  <c:v>-170.5</c:v>
                </c:pt>
                <c:pt idx="20">
                  <c:v>-170</c:v>
                </c:pt>
                <c:pt idx="21">
                  <c:v>-169.5</c:v>
                </c:pt>
                <c:pt idx="22">
                  <c:v>-169</c:v>
                </c:pt>
                <c:pt idx="23">
                  <c:v>-168.5</c:v>
                </c:pt>
                <c:pt idx="24">
                  <c:v>-168</c:v>
                </c:pt>
                <c:pt idx="25">
                  <c:v>-167.5</c:v>
                </c:pt>
                <c:pt idx="26">
                  <c:v>-167</c:v>
                </c:pt>
                <c:pt idx="27">
                  <c:v>-166.5</c:v>
                </c:pt>
                <c:pt idx="28">
                  <c:v>-166</c:v>
                </c:pt>
                <c:pt idx="29">
                  <c:v>-165.5</c:v>
                </c:pt>
                <c:pt idx="30">
                  <c:v>-165</c:v>
                </c:pt>
                <c:pt idx="31">
                  <c:v>-164.5</c:v>
                </c:pt>
                <c:pt idx="32">
                  <c:v>-164</c:v>
                </c:pt>
                <c:pt idx="33">
                  <c:v>-163.5</c:v>
                </c:pt>
                <c:pt idx="34">
                  <c:v>-163</c:v>
                </c:pt>
                <c:pt idx="35">
                  <c:v>-162.5</c:v>
                </c:pt>
                <c:pt idx="36">
                  <c:v>-162</c:v>
                </c:pt>
                <c:pt idx="37">
                  <c:v>-161.5</c:v>
                </c:pt>
                <c:pt idx="38">
                  <c:v>-161</c:v>
                </c:pt>
                <c:pt idx="39">
                  <c:v>-160.5</c:v>
                </c:pt>
                <c:pt idx="40">
                  <c:v>-160</c:v>
                </c:pt>
                <c:pt idx="41">
                  <c:v>-159.5</c:v>
                </c:pt>
                <c:pt idx="42">
                  <c:v>-159</c:v>
                </c:pt>
                <c:pt idx="43">
                  <c:v>-158.5</c:v>
                </c:pt>
                <c:pt idx="44">
                  <c:v>-158</c:v>
                </c:pt>
                <c:pt idx="45">
                  <c:v>-157.5</c:v>
                </c:pt>
                <c:pt idx="46">
                  <c:v>-157</c:v>
                </c:pt>
                <c:pt idx="47">
                  <c:v>-156.5</c:v>
                </c:pt>
                <c:pt idx="48">
                  <c:v>-156</c:v>
                </c:pt>
                <c:pt idx="49">
                  <c:v>-155.5</c:v>
                </c:pt>
                <c:pt idx="50">
                  <c:v>-155</c:v>
                </c:pt>
                <c:pt idx="51">
                  <c:v>-154.5</c:v>
                </c:pt>
                <c:pt idx="52">
                  <c:v>-154</c:v>
                </c:pt>
                <c:pt idx="53">
                  <c:v>-153.5</c:v>
                </c:pt>
                <c:pt idx="54">
                  <c:v>-153</c:v>
                </c:pt>
                <c:pt idx="55">
                  <c:v>-152.5</c:v>
                </c:pt>
                <c:pt idx="56">
                  <c:v>-152</c:v>
                </c:pt>
                <c:pt idx="57">
                  <c:v>-151.5</c:v>
                </c:pt>
                <c:pt idx="58">
                  <c:v>-151</c:v>
                </c:pt>
                <c:pt idx="59">
                  <c:v>-150.5</c:v>
                </c:pt>
                <c:pt idx="60">
                  <c:v>-150</c:v>
                </c:pt>
                <c:pt idx="61">
                  <c:v>-149.5</c:v>
                </c:pt>
                <c:pt idx="62">
                  <c:v>-149</c:v>
                </c:pt>
                <c:pt idx="63">
                  <c:v>-148.5</c:v>
                </c:pt>
                <c:pt idx="64">
                  <c:v>-148</c:v>
                </c:pt>
                <c:pt idx="65">
                  <c:v>-147.5</c:v>
                </c:pt>
                <c:pt idx="66">
                  <c:v>-147</c:v>
                </c:pt>
                <c:pt idx="67">
                  <c:v>-146.5</c:v>
                </c:pt>
                <c:pt idx="68">
                  <c:v>-146</c:v>
                </c:pt>
                <c:pt idx="69">
                  <c:v>-145.5</c:v>
                </c:pt>
                <c:pt idx="70">
                  <c:v>-145</c:v>
                </c:pt>
                <c:pt idx="71">
                  <c:v>-144.5</c:v>
                </c:pt>
                <c:pt idx="72">
                  <c:v>-144</c:v>
                </c:pt>
                <c:pt idx="73">
                  <c:v>-143.5</c:v>
                </c:pt>
                <c:pt idx="74">
                  <c:v>-143</c:v>
                </c:pt>
                <c:pt idx="75">
                  <c:v>-142.5</c:v>
                </c:pt>
                <c:pt idx="76">
                  <c:v>-142</c:v>
                </c:pt>
                <c:pt idx="77">
                  <c:v>-141.5</c:v>
                </c:pt>
                <c:pt idx="78">
                  <c:v>-141</c:v>
                </c:pt>
                <c:pt idx="79">
                  <c:v>-140.5</c:v>
                </c:pt>
                <c:pt idx="80">
                  <c:v>-140</c:v>
                </c:pt>
                <c:pt idx="81">
                  <c:v>-139.5</c:v>
                </c:pt>
                <c:pt idx="82">
                  <c:v>-139</c:v>
                </c:pt>
                <c:pt idx="83">
                  <c:v>-138.5</c:v>
                </c:pt>
                <c:pt idx="84">
                  <c:v>-138</c:v>
                </c:pt>
                <c:pt idx="85">
                  <c:v>-137.5</c:v>
                </c:pt>
                <c:pt idx="86">
                  <c:v>-137</c:v>
                </c:pt>
                <c:pt idx="87">
                  <c:v>-136.5</c:v>
                </c:pt>
                <c:pt idx="88">
                  <c:v>-136</c:v>
                </c:pt>
                <c:pt idx="89">
                  <c:v>-135.5</c:v>
                </c:pt>
                <c:pt idx="90">
                  <c:v>-135</c:v>
                </c:pt>
                <c:pt idx="91">
                  <c:v>-134.5</c:v>
                </c:pt>
                <c:pt idx="92">
                  <c:v>-134</c:v>
                </c:pt>
                <c:pt idx="93">
                  <c:v>-133.5</c:v>
                </c:pt>
                <c:pt idx="94">
                  <c:v>-133</c:v>
                </c:pt>
                <c:pt idx="95">
                  <c:v>-132.5</c:v>
                </c:pt>
                <c:pt idx="96">
                  <c:v>-132</c:v>
                </c:pt>
                <c:pt idx="97">
                  <c:v>-131.5</c:v>
                </c:pt>
                <c:pt idx="98">
                  <c:v>-131</c:v>
                </c:pt>
                <c:pt idx="99">
                  <c:v>-130.5</c:v>
                </c:pt>
                <c:pt idx="100">
                  <c:v>-130</c:v>
                </c:pt>
                <c:pt idx="101">
                  <c:v>-129.5</c:v>
                </c:pt>
                <c:pt idx="102">
                  <c:v>-129</c:v>
                </c:pt>
                <c:pt idx="103">
                  <c:v>-128.5</c:v>
                </c:pt>
                <c:pt idx="104">
                  <c:v>-128</c:v>
                </c:pt>
                <c:pt idx="105">
                  <c:v>-127.5</c:v>
                </c:pt>
                <c:pt idx="106">
                  <c:v>-127</c:v>
                </c:pt>
                <c:pt idx="107">
                  <c:v>-126.5</c:v>
                </c:pt>
                <c:pt idx="108">
                  <c:v>-126</c:v>
                </c:pt>
                <c:pt idx="109">
                  <c:v>-125.5</c:v>
                </c:pt>
                <c:pt idx="110">
                  <c:v>-125</c:v>
                </c:pt>
                <c:pt idx="111">
                  <c:v>-124.5</c:v>
                </c:pt>
                <c:pt idx="112">
                  <c:v>-124</c:v>
                </c:pt>
                <c:pt idx="113">
                  <c:v>-123.5</c:v>
                </c:pt>
                <c:pt idx="114">
                  <c:v>-123</c:v>
                </c:pt>
                <c:pt idx="115">
                  <c:v>-122.5</c:v>
                </c:pt>
                <c:pt idx="116">
                  <c:v>-122</c:v>
                </c:pt>
                <c:pt idx="117">
                  <c:v>-121.5</c:v>
                </c:pt>
                <c:pt idx="118">
                  <c:v>-121</c:v>
                </c:pt>
                <c:pt idx="119">
                  <c:v>-120.5</c:v>
                </c:pt>
                <c:pt idx="120">
                  <c:v>-120</c:v>
                </c:pt>
                <c:pt idx="121">
                  <c:v>-119.5</c:v>
                </c:pt>
                <c:pt idx="122">
                  <c:v>-119</c:v>
                </c:pt>
                <c:pt idx="123">
                  <c:v>-118.5</c:v>
                </c:pt>
                <c:pt idx="124">
                  <c:v>-118</c:v>
                </c:pt>
                <c:pt idx="125">
                  <c:v>-117.5</c:v>
                </c:pt>
                <c:pt idx="126">
                  <c:v>-117</c:v>
                </c:pt>
                <c:pt idx="127">
                  <c:v>-116.5</c:v>
                </c:pt>
                <c:pt idx="128">
                  <c:v>-116</c:v>
                </c:pt>
                <c:pt idx="129">
                  <c:v>-115.5</c:v>
                </c:pt>
                <c:pt idx="130">
                  <c:v>-115</c:v>
                </c:pt>
                <c:pt idx="131">
                  <c:v>-114.5</c:v>
                </c:pt>
                <c:pt idx="132">
                  <c:v>-114</c:v>
                </c:pt>
                <c:pt idx="133">
                  <c:v>-113.5</c:v>
                </c:pt>
                <c:pt idx="134">
                  <c:v>-113</c:v>
                </c:pt>
                <c:pt idx="135">
                  <c:v>-112.5</c:v>
                </c:pt>
                <c:pt idx="136">
                  <c:v>-112</c:v>
                </c:pt>
                <c:pt idx="137">
                  <c:v>-111.5</c:v>
                </c:pt>
                <c:pt idx="138">
                  <c:v>-111</c:v>
                </c:pt>
                <c:pt idx="139">
                  <c:v>-110.5</c:v>
                </c:pt>
                <c:pt idx="140">
                  <c:v>-110</c:v>
                </c:pt>
                <c:pt idx="141">
                  <c:v>-109.5</c:v>
                </c:pt>
                <c:pt idx="142">
                  <c:v>-109</c:v>
                </c:pt>
                <c:pt idx="143">
                  <c:v>-108.5</c:v>
                </c:pt>
                <c:pt idx="144">
                  <c:v>-108</c:v>
                </c:pt>
                <c:pt idx="145">
                  <c:v>-107.5</c:v>
                </c:pt>
                <c:pt idx="146">
                  <c:v>-107</c:v>
                </c:pt>
                <c:pt idx="147">
                  <c:v>-106.5</c:v>
                </c:pt>
                <c:pt idx="148">
                  <c:v>-106</c:v>
                </c:pt>
                <c:pt idx="149">
                  <c:v>-105.5</c:v>
                </c:pt>
                <c:pt idx="150">
                  <c:v>-105</c:v>
                </c:pt>
                <c:pt idx="151">
                  <c:v>-104.5</c:v>
                </c:pt>
                <c:pt idx="152">
                  <c:v>-104</c:v>
                </c:pt>
                <c:pt idx="153">
                  <c:v>-103.5</c:v>
                </c:pt>
                <c:pt idx="154">
                  <c:v>-103</c:v>
                </c:pt>
                <c:pt idx="155">
                  <c:v>-102.5</c:v>
                </c:pt>
                <c:pt idx="156">
                  <c:v>-102</c:v>
                </c:pt>
                <c:pt idx="157">
                  <c:v>-101.5</c:v>
                </c:pt>
                <c:pt idx="158">
                  <c:v>-101</c:v>
                </c:pt>
                <c:pt idx="159">
                  <c:v>-100.5</c:v>
                </c:pt>
                <c:pt idx="160">
                  <c:v>-100</c:v>
                </c:pt>
                <c:pt idx="161">
                  <c:v>-99.5</c:v>
                </c:pt>
                <c:pt idx="162">
                  <c:v>-99</c:v>
                </c:pt>
                <c:pt idx="163">
                  <c:v>-98.5</c:v>
                </c:pt>
                <c:pt idx="164">
                  <c:v>-98</c:v>
                </c:pt>
                <c:pt idx="165">
                  <c:v>-97.5</c:v>
                </c:pt>
                <c:pt idx="166">
                  <c:v>-97</c:v>
                </c:pt>
                <c:pt idx="167">
                  <c:v>-96.5</c:v>
                </c:pt>
                <c:pt idx="168">
                  <c:v>-96</c:v>
                </c:pt>
                <c:pt idx="169">
                  <c:v>-95.5</c:v>
                </c:pt>
                <c:pt idx="170">
                  <c:v>-95</c:v>
                </c:pt>
                <c:pt idx="171">
                  <c:v>-94.5</c:v>
                </c:pt>
                <c:pt idx="172">
                  <c:v>-94</c:v>
                </c:pt>
                <c:pt idx="173">
                  <c:v>-93.5</c:v>
                </c:pt>
                <c:pt idx="174">
                  <c:v>-93</c:v>
                </c:pt>
                <c:pt idx="175">
                  <c:v>-92.5</c:v>
                </c:pt>
                <c:pt idx="176">
                  <c:v>-92</c:v>
                </c:pt>
                <c:pt idx="177">
                  <c:v>-91.5</c:v>
                </c:pt>
                <c:pt idx="178">
                  <c:v>-91</c:v>
                </c:pt>
                <c:pt idx="179">
                  <c:v>-90.5</c:v>
                </c:pt>
                <c:pt idx="180">
                  <c:v>-90</c:v>
                </c:pt>
                <c:pt idx="181">
                  <c:v>-89.5</c:v>
                </c:pt>
                <c:pt idx="182">
                  <c:v>-89</c:v>
                </c:pt>
                <c:pt idx="183">
                  <c:v>-88.5</c:v>
                </c:pt>
                <c:pt idx="184">
                  <c:v>-88</c:v>
                </c:pt>
                <c:pt idx="185">
                  <c:v>-87.5</c:v>
                </c:pt>
                <c:pt idx="186">
                  <c:v>-87</c:v>
                </c:pt>
                <c:pt idx="187">
                  <c:v>-86.5</c:v>
                </c:pt>
                <c:pt idx="188">
                  <c:v>-86</c:v>
                </c:pt>
                <c:pt idx="189">
                  <c:v>-85.5</c:v>
                </c:pt>
                <c:pt idx="190">
                  <c:v>-85</c:v>
                </c:pt>
                <c:pt idx="191">
                  <c:v>-84.5</c:v>
                </c:pt>
                <c:pt idx="192">
                  <c:v>-84</c:v>
                </c:pt>
                <c:pt idx="193">
                  <c:v>-83.5</c:v>
                </c:pt>
                <c:pt idx="194">
                  <c:v>-83</c:v>
                </c:pt>
                <c:pt idx="195">
                  <c:v>-82.5</c:v>
                </c:pt>
                <c:pt idx="196">
                  <c:v>-82</c:v>
                </c:pt>
                <c:pt idx="197">
                  <c:v>-81.5</c:v>
                </c:pt>
                <c:pt idx="198">
                  <c:v>-81</c:v>
                </c:pt>
                <c:pt idx="199">
                  <c:v>-80.5</c:v>
                </c:pt>
                <c:pt idx="200">
                  <c:v>-80</c:v>
                </c:pt>
                <c:pt idx="201">
                  <c:v>-79.5</c:v>
                </c:pt>
                <c:pt idx="202">
                  <c:v>-79</c:v>
                </c:pt>
                <c:pt idx="203">
                  <c:v>-78.5</c:v>
                </c:pt>
                <c:pt idx="204">
                  <c:v>-78</c:v>
                </c:pt>
                <c:pt idx="205">
                  <c:v>-77.5</c:v>
                </c:pt>
                <c:pt idx="206">
                  <c:v>-77</c:v>
                </c:pt>
                <c:pt idx="207">
                  <c:v>-76.5</c:v>
                </c:pt>
                <c:pt idx="208">
                  <c:v>-76</c:v>
                </c:pt>
                <c:pt idx="209">
                  <c:v>-75.5</c:v>
                </c:pt>
                <c:pt idx="210">
                  <c:v>-75</c:v>
                </c:pt>
                <c:pt idx="211">
                  <c:v>-74.5</c:v>
                </c:pt>
                <c:pt idx="212">
                  <c:v>-74</c:v>
                </c:pt>
                <c:pt idx="213">
                  <c:v>-73.5</c:v>
                </c:pt>
                <c:pt idx="214">
                  <c:v>-73</c:v>
                </c:pt>
                <c:pt idx="215">
                  <c:v>-72.5</c:v>
                </c:pt>
                <c:pt idx="216">
                  <c:v>-72</c:v>
                </c:pt>
                <c:pt idx="217">
                  <c:v>-71.5</c:v>
                </c:pt>
                <c:pt idx="218">
                  <c:v>-71</c:v>
                </c:pt>
                <c:pt idx="219">
                  <c:v>-70.5</c:v>
                </c:pt>
                <c:pt idx="220">
                  <c:v>-70</c:v>
                </c:pt>
                <c:pt idx="221">
                  <c:v>-69.5</c:v>
                </c:pt>
                <c:pt idx="222">
                  <c:v>-69</c:v>
                </c:pt>
                <c:pt idx="223">
                  <c:v>-68.5</c:v>
                </c:pt>
                <c:pt idx="224">
                  <c:v>-68</c:v>
                </c:pt>
                <c:pt idx="225">
                  <c:v>-67.5</c:v>
                </c:pt>
                <c:pt idx="226">
                  <c:v>-67</c:v>
                </c:pt>
                <c:pt idx="227">
                  <c:v>-66.5</c:v>
                </c:pt>
                <c:pt idx="228">
                  <c:v>-66</c:v>
                </c:pt>
                <c:pt idx="229">
                  <c:v>-65.5</c:v>
                </c:pt>
                <c:pt idx="230">
                  <c:v>-65</c:v>
                </c:pt>
                <c:pt idx="231">
                  <c:v>-64.5</c:v>
                </c:pt>
                <c:pt idx="232">
                  <c:v>-64</c:v>
                </c:pt>
                <c:pt idx="233">
                  <c:v>-63.5</c:v>
                </c:pt>
                <c:pt idx="234">
                  <c:v>-63</c:v>
                </c:pt>
                <c:pt idx="235">
                  <c:v>-62.5</c:v>
                </c:pt>
                <c:pt idx="236">
                  <c:v>-62</c:v>
                </c:pt>
                <c:pt idx="237">
                  <c:v>-61.5</c:v>
                </c:pt>
                <c:pt idx="238">
                  <c:v>-61</c:v>
                </c:pt>
                <c:pt idx="239">
                  <c:v>-60.5</c:v>
                </c:pt>
                <c:pt idx="240">
                  <c:v>-60</c:v>
                </c:pt>
                <c:pt idx="241">
                  <c:v>-59.5</c:v>
                </c:pt>
                <c:pt idx="242">
                  <c:v>-59</c:v>
                </c:pt>
                <c:pt idx="243">
                  <c:v>-58.5</c:v>
                </c:pt>
                <c:pt idx="244">
                  <c:v>-58</c:v>
                </c:pt>
                <c:pt idx="245">
                  <c:v>-57.5</c:v>
                </c:pt>
                <c:pt idx="246">
                  <c:v>-57</c:v>
                </c:pt>
                <c:pt idx="247">
                  <c:v>-56.5</c:v>
                </c:pt>
                <c:pt idx="248">
                  <c:v>-56</c:v>
                </c:pt>
                <c:pt idx="249">
                  <c:v>-55.5</c:v>
                </c:pt>
                <c:pt idx="250">
                  <c:v>-55</c:v>
                </c:pt>
                <c:pt idx="251">
                  <c:v>-54.5</c:v>
                </c:pt>
                <c:pt idx="252">
                  <c:v>-54</c:v>
                </c:pt>
                <c:pt idx="253">
                  <c:v>-53.5</c:v>
                </c:pt>
                <c:pt idx="254">
                  <c:v>-53</c:v>
                </c:pt>
                <c:pt idx="255">
                  <c:v>-52.5</c:v>
                </c:pt>
                <c:pt idx="256">
                  <c:v>-52</c:v>
                </c:pt>
                <c:pt idx="257">
                  <c:v>-51.5</c:v>
                </c:pt>
                <c:pt idx="258">
                  <c:v>-51</c:v>
                </c:pt>
                <c:pt idx="259">
                  <c:v>-50.5</c:v>
                </c:pt>
                <c:pt idx="260">
                  <c:v>-50</c:v>
                </c:pt>
                <c:pt idx="261">
                  <c:v>-49.5</c:v>
                </c:pt>
                <c:pt idx="262">
                  <c:v>-49</c:v>
                </c:pt>
                <c:pt idx="263">
                  <c:v>-48.5</c:v>
                </c:pt>
                <c:pt idx="264">
                  <c:v>-48</c:v>
                </c:pt>
                <c:pt idx="265">
                  <c:v>-47.5</c:v>
                </c:pt>
                <c:pt idx="266">
                  <c:v>-47</c:v>
                </c:pt>
                <c:pt idx="267">
                  <c:v>-46.5</c:v>
                </c:pt>
                <c:pt idx="268">
                  <c:v>-46</c:v>
                </c:pt>
                <c:pt idx="269">
                  <c:v>-45.5</c:v>
                </c:pt>
                <c:pt idx="270">
                  <c:v>-45</c:v>
                </c:pt>
                <c:pt idx="271">
                  <c:v>-44.5</c:v>
                </c:pt>
                <c:pt idx="272">
                  <c:v>-44</c:v>
                </c:pt>
                <c:pt idx="273">
                  <c:v>-43.5</c:v>
                </c:pt>
                <c:pt idx="274">
                  <c:v>-43</c:v>
                </c:pt>
                <c:pt idx="275">
                  <c:v>-42.5</c:v>
                </c:pt>
                <c:pt idx="276">
                  <c:v>-42</c:v>
                </c:pt>
                <c:pt idx="277">
                  <c:v>-41.5</c:v>
                </c:pt>
                <c:pt idx="278">
                  <c:v>-41</c:v>
                </c:pt>
                <c:pt idx="279">
                  <c:v>-40.5</c:v>
                </c:pt>
                <c:pt idx="280">
                  <c:v>-40</c:v>
                </c:pt>
                <c:pt idx="281">
                  <c:v>-39.5</c:v>
                </c:pt>
                <c:pt idx="282">
                  <c:v>-39</c:v>
                </c:pt>
                <c:pt idx="283">
                  <c:v>-38.5</c:v>
                </c:pt>
                <c:pt idx="284">
                  <c:v>-38</c:v>
                </c:pt>
                <c:pt idx="285">
                  <c:v>-37.5</c:v>
                </c:pt>
                <c:pt idx="286">
                  <c:v>-37</c:v>
                </c:pt>
                <c:pt idx="287">
                  <c:v>-36.5</c:v>
                </c:pt>
                <c:pt idx="288">
                  <c:v>-36</c:v>
                </c:pt>
                <c:pt idx="289">
                  <c:v>-35.5</c:v>
                </c:pt>
                <c:pt idx="290">
                  <c:v>-35</c:v>
                </c:pt>
                <c:pt idx="291">
                  <c:v>-34.5</c:v>
                </c:pt>
                <c:pt idx="292">
                  <c:v>-34</c:v>
                </c:pt>
                <c:pt idx="293">
                  <c:v>-33.5</c:v>
                </c:pt>
                <c:pt idx="294">
                  <c:v>-33</c:v>
                </c:pt>
                <c:pt idx="295">
                  <c:v>-32.5</c:v>
                </c:pt>
                <c:pt idx="296">
                  <c:v>-32</c:v>
                </c:pt>
                <c:pt idx="297">
                  <c:v>-31.5</c:v>
                </c:pt>
                <c:pt idx="298">
                  <c:v>-31</c:v>
                </c:pt>
                <c:pt idx="299">
                  <c:v>-30.5</c:v>
                </c:pt>
                <c:pt idx="300">
                  <c:v>-30</c:v>
                </c:pt>
                <c:pt idx="301">
                  <c:v>-29.5</c:v>
                </c:pt>
                <c:pt idx="302">
                  <c:v>-29</c:v>
                </c:pt>
                <c:pt idx="303">
                  <c:v>-28.5</c:v>
                </c:pt>
                <c:pt idx="304">
                  <c:v>-28</c:v>
                </c:pt>
                <c:pt idx="305">
                  <c:v>-27.5</c:v>
                </c:pt>
                <c:pt idx="306">
                  <c:v>-27</c:v>
                </c:pt>
                <c:pt idx="307">
                  <c:v>-26.5</c:v>
                </c:pt>
                <c:pt idx="308">
                  <c:v>-26</c:v>
                </c:pt>
                <c:pt idx="309">
                  <c:v>-25.5</c:v>
                </c:pt>
                <c:pt idx="310">
                  <c:v>-25</c:v>
                </c:pt>
                <c:pt idx="311">
                  <c:v>-24.5</c:v>
                </c:pt>
                <c:pt idx="312">
                  <c:v>-24</c:v>
                </c:pt>
                <c:pt idx="313">
                  <c:v>-23.5</c:v>
                </c:pt>
                <c:pt idx="314">
                  <c:v>-23</c:v>
                </c:pt>
                <c:pt idx="315">
                  <c:v>-22.5</c:v>
                </c:pt>
                <c:pt idx="316">
                  <c:v>-22</c:v>
                </c:pt>
                <c:pt idx="317">
                  <c:v>-21.5</c:v>
                </c:pt>
                <c:pt idx="318">
                  <c:v>-21</c:v>
                </c:pt>
                <c:pt idx="319">
                  <c:v>-20.5</c:v>
                </c:pt>
                <c:pt idx="320">
                  <c:v>-20</c:v>
                </c:pt>
                <c:pt idx="321">
                  <c:v>-19.5</c:v>
                </c:pt>
                <c:pt idx="322">
                  <c:v>-19</c:v>
                </c:pt>
                <c:pt idx="323">
                  <c:v>-18.5</c:v>
                </c:pt>
                <c:pt idx="324">
                  <c:v>-18</c:v>
                </c:pt>
                <c:pt idx="325">
                  <c:v>-17.5</c:v>
                </c:pt>
                <c:pt idx="326">
                  <c:v>-17</c:v>
                </c:pt>
                <c:pt idx="327">
                  <c:v>-16.5</c:v>
                </c:pt>
                <c:pt idx="328">
                  <c:v>-16</c:v>
                </c:pt>
                <c:pt idx="329">
                  <c:v>-15.5</c:v>
                </c:pt>
                <c:pt idx="330">
                  <c:v>-15</c:v>
                </c:pt>
                <c:pt idx="331">
                  <c:v>-14.5</c:v>
                </c:pt>
                <c:pt idx="332">
                  <c:v>-14</c:v>
                </c:pt>
                <c:pt idx="333">
                  <c:v>-13.5</c:v>
                </c:pt>
                <c:pt idx="334">
                  <c:v>-13</c:v>
                </c:pt>
                <c:pt idx="335">
                  <c:v>-12.5</c:v>
                </c:pt>
                <c:pt idx="336">
                  <c:v>-12</c:v>
                </c:pt>
                <c:pt idx="337">
                  <c:v>-11.5</c:v>
                </c:pt>
                <c:pt idx="338">
                  <c:v>-11</c:v>
                </c:pt>
                <c:pt idx="339">
                  <c:v>-10.5</c:v>
                </c:pt>
                <c:pt idx="340">
                  <c:v>-10</c:v>
                </c:pt>
                <c:pt idx="341">
                  <c:v>-9.5</c:v>
                </c:pt>
                <c:pt idx="342">
                  <c:v>-9</c:v>
                </c:pt>
                <c:pt idx="343">
                  <c:v>-8.5</c:v>
                </c:pt>
                <c:pt idx="344">
                  <c:v>-8</c:v>
                </c:pt>
                <c:pt idx="345">
                  <c:v>-7.5</c:v>
                </c:pt>
                <c:pt idx="346">
                  <c:v>-7</c:v>
                </c:pt>
                <c:pt idx="347">
                  <c:v>-6.5</c:v>
                </c:pt>
                <c:pt idx="348">
                  <c:v>-6</c:v>
                </c:pt>
                <c:pt idx="349">
                  <c:v>-5.5</c:v>
                </c:pt>
                <c:pt idx="350">
                  <c:v>-5</c:v>
                </c:pt>
                <c:pt idx="351">
                  <c:v>-4.5</c:v>
                </c:pt>
                <c:pt idx="352">
                  <c:v>-4</c:v>
                </c:pt>
                <c:pt idx="353">
                  <c:v>-3.5</c:v>
                </c:pt>
                <c:pt idx="354">
                  <c:v>-3</c:v>
                </c:pt>
                <c:pt idx="355">
                  <c:v>-2.5</c:v>
                </c:pt>
                <c:pt idx="356">
                  <c:v>-2</c:v>
                </c:pt>
                <c:pt idx="357">
                  <c:v>-1.5</c:v>
                </c:pt>
                <c:pt idx="358">
                  <c:v>-1</c:v>
                </c:pt>
                <c:pt idx="359">
                  <c:v>-0.5</c:v>
                </c:pt>
                <c:pt idx="360">
                  <c:v>0</c:v>
                </c:pt>
                <c:pt idx="361">
                  <c:v>0.5</c:v>
                </c:pt>
                <c:pt idx="362">
                  <c:v>1</c:v>
                </c:pt>
                <c:pt idx="363">
                  <c:v>1.5</c:v>
                </c:pt>
                <c:pt idx="364">
                  <c:v>2</c:v>
                </c:pt>
                <c:pt idx="365">
                  <c:v>2.5</c:v>
                </c:pt>
                <c:pt idx="366">
                  <c:v>3</c:v>
                </c:pt>
                <c:pt idx="367">
                  <c:v>3.5</c:v>
                </c:pt>
                <c:pt idx="368">
                  <c:v>4</c:v>
                </c:pt>
                <c:pt idx="369">
                  <c:v>4.5</c:v>
                </c:pt>
                <c:pt idx="370">
                  <c:v>5</c:v>
                </c:pt>
                <c:pt idx="371">
                  <c:v>5.5</c:v>
                </c:pt>
                <c:pt idx="372">
                  <c:v>6</c:v>
                </c:pt>
                <c:pt idx="373">
                  <c:v>6.5</c:v>
                </c:pt>
                <c:pt idx="374">
                  <c:v>7</c:v>
                </c:pt>
                <c:pt idx="375">
                  <c:v>7.5</c:v>
                </c:pt>
                <c:pt idx="376">
                  <c:v>8</c:v>
                </c:pt>
                <c:pt idx="377">
                  <c:v>8.5</c:v>
                </c:pt>
                <c:pt idx="378">
                  <c:v>9</c:v>
                </c:pt>
                <c:pt idx="379">
                  <c:v>9.5</c:v>
                </c:pt>
                <c:pt idx="380">
                  <c:v>10</c:v>
                </c:pt>
                <c:pt idx="381">
                  <c:v>10.5</c:v>
                </c:pt>
                <c:pt idx="382">
                  <c:v>11</c:v>
                </c:pt>
                <c:pt idx="383">
                  <c:v>11.5</c:v>
                </c:pt>
                <c:pt idx="384">
                  <c:v>12</c:v>
                </c:pt>
                <c:pt idx="385">
                  <c:v>12.5</c:v>
                </c:pt>
                <c:pt idx="386">
                  <c:v>13</c:v>
                </c:pt>
                <c:pt idx="387">
                  <c:v>13.5</c:v>
                </c:pt>
                <c:pt idx="388">
                  <c:v>14</c:v>
                </c:pt>
                <c:pt idx="389">
                  <c:v>14.5</c:v>
                </c:pt>
                <c:pt idx="390">
                  <c:v>15</c:v>
                </c:pt>
                <c:pt idx="391">
                  <c:v>15.5</c:v>
                </c:pt>
                <c:pt idx="392">
                  <c:v>16</c:v>
                </c:pt>
                <c:pt idx="393">
                  <c:v>16.5</c:v>
                </c:pt>
                <c:pt idx="394">
                  <c:v>17</c:v>
                </c:pt>
                <c:pt idx="395">
                  <c:v>17.5</c:v>
                </c:pt>
                <c:pt idx="396">
                  <c:v>18</c:v>
                </c:pt>
                <c:pt idx="397">
                  <c:v>18.5</c:v>
                </c:pt>
                <c:pt idx="398">
                  <c:v>19</c:v>
                </c:pt>
                <c:pt idx="399">
                  <c:v>19.5</c:v>
                </c:pt>
                <c:pt idx="400">
                  <c:v>20</c:v>
                </c:pt>
                <c:pt idx="401">
                  <c:v>20.5</c:v>
                </c:pt>
                <c:pt idx="402">
                  <c:v>21</c:v>
                </c:pt>
                <c:pt idx="403">
                  <c:v>21.5</c:v>
                </c:pt>
                <c:pt idx="404">
                  <c:v>22</c:v>
                </c:pt>
                <c:pt idx="405">
                  <c:v>22.5</c:v>
                </c:pt>
                <c:pt idx="406">
                  <c:v>23</c:v>
                </c:pt>
                <c:pt idx="407">
                  <c:v>23.5</c:v>
                </c:pt>
                <c:pt idx="408">
                  <c:v>24</c:v>
                </c:pt>
                <c:pt idx="409">
                  <c:v>24.5</c:v>
                </c:pt>
                <c:pt idx="410">
                  <c:v>25</c:v>
                </c:pt>
                <c:pt idx="411">
                  <c:v>25.5</c:v>
                </c:pt>
                <c:pt idx="412">
                  <c:v>26</c:v>
                </c:pt>
                <c:pt idx="413">
                  <c:v>26.5</c:v>
                </c:pt>
                <c:pt idx="414">
                  <c:v>27</c:v>
                </c:pt>
                <c:pt idx="415">
                  <c:v>27.5</c:v>
                </c:pt>
                <c:pt idx="416">
                  <c:v>28</c:v>
                </c:pt>
                <c:pt idx="417">
                  <c:v>28.5</c:v>
                </c:pt>
                <c:pt idx="418">
                  <c:v>29</c:v>
                </c:pt>
                <c:pt idx="419">
                  <c:v>29.5</c:v>
                </c:pt>
                <c:pt idx="420">
                  <c:v>30</c:v>
                </c:pt>
                <c:pt idx="421">
                  <c:v>30.5</c:v>
                </c:pt>
                <c:pt idx="422">
                  <c:v>31</c:v>
                </c:pt>
                <c:pt idx="423">
                  <c:v>31.5</c:v>
                </c:pt>
                <c:pt idx="424">
                  <c:v>32</c:v>
                </c:pt>
                <c:pt idx="425">
                  <c:v>32.5</c:v>
                </c:pt>
                <c:pt idx="426">
                  <c:v>33</c:v>
                </c:pt>
                <c:pt idx="427">
                  <c:v>33.5</c:v>
                </c:pt>
                <c:pt idx="428">
                  <c:v>34</c:v>
                </c:pt>
                <c:pt idx="429">
                  <c:v>34.5</c:v>
                </c:pt>
                <c:pt idx="430">
                  <c:v>35</c:v>
                </c:pt>
                <c:pt idx="431">
                  <c:v>35.5</c:v>
                </c:pt>
                <c:pt idx="432">
                  <c:v>36</c:v>
                </c:pt>
                <c:pt idx="433">
                  <c:v>36.5</c:v>
                </c:pt>
                <c:pt idx="434">
                  <c:v>37</c:v>
                </c:pt>
                <c:pt idx="435">
                  <c:v>37.5</c:v>
                </c:pt>
                <c:pt idx="436">
                  <c:v>38</c:v>
                </c:pt>
                <c:pt idx="437">
                  <c:v>38.5</c:v>
                </c:pt>
                <c:pt idx="438">
                  <c:v>39</c:v>
                </c:pt>
                <c:pt idx="439">
                  <c:v>39.5</c:v>
                </c:pt>
                <c:pt idx="440">
                  <c:v>40</c:v>
                </c:pt>
                <c:pt idx="441">
                  <c:v>40.5</c:v>
                </c:pt>
                <c:pt idx="442">
                  <c:v>41</c:v>
                </c:pt>
                <c:pt idx="443">
                  <c:v>41.5</c:v>
                </c:pt>
                <c:pt idx="444">
                  <c:v>42</c:v>
                </c:pt>
                <c:pt idx="445">
                  <c:v>42.5</c:v>
                </c:pt>
                <c:pt idx="446">
                  <c:v>43</c:v>
                </c:pt>
                <c:pt idx="447">
                  <c:v>43.5</c:v>
                </c:pt>
                <c:pt idx="448">
                  <c:v>44</c:v>
                </c:pt>
                <c:pt idx="449">
                  <c:v>44.5</c:v>
                </c:pt>
                <c:pt idx="450">
                  <c:v>45</c:v>
                </c:pt>
                <c:pt idx="451">
                  <c:v>45.5</c:v>
                </c:pt>
                <c:pt idx="452">
                  <c:v>46</c:v>
                </c:pt>
                <c:pt idx="453">
                  <c:v>46.5</c:v>
                </c:pt>
                <c:pt idx="454">
                  <c:v>47</c:v>
                </c:pt>
                <c:pt idx="455">
                  <c:v>47.5</c:v>
                </c:pt>
                <c:pt idx="456">
                  <c:v>48</c:v>
                </c:pt>
                <c:pt idx="457">
                  <c:v>48.5</c:v>
                </c:pt>
                <c:pt idx="458">
                  <c:v>49</c:v>
                </c:pt>
                <c:pt idx="459">
                  <c:v>49.5</c:v>
                </c:pt>
                <c:pt idx="460">
                  <c:v>50</c:v>
                </c:pt>
                <c:pt idx="461">
                  <c:v>50.5</c:v>
                </c:pt>
                <c:pt idx="462">
                  <c:v>51</c:v>
                </c:pt>
                <c:pt idx="463">
                  <c:v>51.5</c:v>
                </c:pt>
                <c:pt idx="464">
                  <c:v>52</c:v>
                </c:pt>
                <c:pt idx="465">
                  <c:v>52.5</c:v>
                </c:pt>
                <c:pt idx="466">
                  <c:v>53</c:v>
                </c:pt>
                <c:pt idx="467">
                  <c:v>53.5</c:v>
                </c:pt>
                <c:pt idx="468">
                  <c:v>54</c:v>
                </c:pt>
                <c:pt idx="469">
                  <c:v>54.5</c:v>
                </c:pt>
                <c:pt idx="470">
                  <c:v>55</c:v>
                </c:pt>
                <c:pt idx="471">
                  <c:v>55.5</c:v>
                </c:pt>
                <c:pt idx="472">
                  <c:v>56</c:v>
                </c:pt>
                <c:pt idx="473">
                  <c:v>56.5</c:v>
                </c:pt>
                <c:pt idx="474">
                  <c:v>57</c:v>
                </c:pt>
                <c:pt idx="475">
                  <c:v>57.5</c:v>
                </c:pt>
                <c:pt idx="476">
                  <c:v>58</c:v>
                </c:pt>
                <c:pt idx="477">
                  <c:v>58.5</c:v>
                </c:pt>
                <c:pt idx="478">
                  <c:v>59</c:v>
                </c:pt>
                <c:pt idx="479">
                  <c:v>59.5</c:v>
                </c:pt>
                <c:pt idx="480">
                  <c:v>60</c:v>
                </c:pt>
                <c:pt idx="481">
                  <c:v>60.5</c:v>
                </c:pt>
                <c:pt idx="482">
                  <c:v>61</c:v>
                </c:pt>
                <c:pt idx="483">
                  <c:v>61.5</c:v>
                </c:pt>
                <c:pt idx="484">
                  <c:v>62</c:v>
                </c:pt>
                <c:pt idx="485">
                  <c:v>62.5</c:v>
                </c:pt>
                <c:pt idx="486">
                  <c:v>63</c:v>
                </c:pt>
                <c:pt idx="487">
                  <c:v>63.5</c:v>
                </c:pt>
                <c:pt idx="488">
                  <c:v>64</c:v>
                </c:pt>
                <c:pt idx="489">
                  <c:v>64.5</c:v>
                </c:pt>
                <c:pt idx="490">
                  <c:v>65</c:v>
                </c:pt>
                <c:pt idx="491">
                  <c:v>65.5</c:v>
                </c:pt>
                <c:pt idx="492">
                  <c:v>66</c:v>
                </c:pt>
                <c:pt idx="493">
                  <c:v>66.5</c:v>
                </c:pt>
                <c:pt idx="494">
                  <c:v>67</c:v>
                </c:pt>
                <c:pt idx="495">
                  <c:v>67.5</c:v>
                </c:pt>
                <c:pt idx="496">
                  <c:v>68</c:v>
                </c:pt>
                <c:pt idx="497">
                  <c:v>68.5</c:v>
                </c:pt>
                <c:pt idx="498">
                  <c:v>69</c:v>
                </c:pt>
                <c:pt idx="499">
                  <c:v>69.5</c:v>
                </c:pt>
                <c:pt idx="500">
                  <c:v>70</c:v>
                </c:pt>
                <c:pt idx="501">
                  <c:v>70.5</c:v>
                </c:pt>
                <c:pt idx="502">
                  <c:v>71</c:v>
                </c:pt>
                <c:pt idx="503">
                  <c:v>71.5</c:v>
                </c:pt>
                <c:pt idx="504">
                  <c:v>72</c:v>
                </c:pt>
                <c:pt idx="505">
                  <c:v>72.5</c:v>
                </c:pt>
                <c:pt idx="506">
                  <c:v>73</c:v>
                </c:pt>
                <c:pt idx="507">
                  <c:v>73.5</c:v>
                </c:pt>
                <c:pt idx="508">
                  <c:v>74</c:v>
                </c:pt>
                <c:pt idx="509">
                  <c:v>74.5</c:v>
                </c:pt>
                <c:pt idx="510">
                  <c:v>75</c:v>
                </c:pt>
                <c:pt idx="511">
                  <c:v>75.5</c:v>
                </c:pt>
                <c:pt idx="512">
                  <c:v>76</c:v>
                </c:pt>
                <c:pt idx="513">
                  <c:v>76.5</c:v>
                </c:pt>
                <c:pt idx="514">
                  <c:v>77</c:v>
                </c:pt>
                <c:pt idx="515">
                  <c:v>77.5</c:v>
                </c:pt>
                <c:pt idx="516">
                  <c:v>78</c:v>
                </c:pt>
                <c:pt idx="517">
                  <c:v>78.5</c:v>
                </c:pt>
                <c:pt idx="518">
                  <c:v>79</c:v>
                </c:pt>
                <c:pt idx="519">
                  <c:v>79.5</c:v>
                </c:pt>
                <c:pt idx="520">
                  <c:v>80</c:v>
                </c:pt>
                <c:pt idx="521">
                  <c:v>80.5</c:v>
                </c:pt>
                <c:pt idx="522">
                  <c:v>81</c:v>
                </c:pt>
                <c:pt idx="523">
                  <c:v>81.5</c:v>
                </c:pt>
                <c:pt idx="524">
                  <c:v>82</c:v>
                </c:pt>
                <c:pt idx="525">
                  <c:v>82.5</c:v>
                </c:pt>
                <c:pt idx="526">
                  <c:v>83</c:v>
                </c:pt>
                <c:pt idx="527">
                  <c:v>83.5</c:v>
                </c:pt>
                <c:pt idx="528">
                  <c:v>84</c:v>
                </c:pt>
                <c:pt idx="529">
                  <c:v>84.5</c:v>
                </c:pt>
                <c:pt idx="530">
                  <c:v>85</c:v>
                </c:pt>
                <c:pt idx="531">
                  <c:v>85.5</c:v>
                </c:pt>
                <c:pt idx="532">
                  <c:v>86</c:v>
                </c:pt>
                <c:pt idx="533">
                  <c:v>86.5</c:v>
                </c:pt>
                <c:pt idx="534">
                  <c:v>87</c:v>
                </c:pt>
                <c:pt idx="535">
                  <c:v>87.5</c:v>
                </c:pt>
                <c:pt idx="536">
                  <c:v>88</c:v>
                </c:pt>
                <c:pt idx="537">
                  <c:v>88.5</c:v>
                </c:pt>
                <c:pt idx="538">
                  <c:v>89</c:v>
                </c:pt>
                <c:pt idx="539">
                  <c:v>89.5</c:v>
                </c:pt>
                <c:pt idx="540">
                  <c:v>90</c:v>
                </c:pt>
                <c:pt idx="541">
                  <c:v>90.5</c:v>
                </c:pt>
                <c:pt idx="542">
                  <c:v>91</c:v>
                </c:pt>
                <c:pt idx="543">
                  <c:v>91.5</c:v>
                </c:pt>
                <c:pt idx="544">
                  <c:v>92</c:v>
                </c:pt>
                <c:pt idx="545">
                  <c:v>92.5</c:v>
                </c:pt>
                <c:pt idx="546">
                  <c:v>93</c:v>
                </c:pt>
                <c:pt idx="547">
                  <c:v>93.5</c:v>
                </c:pt>
                <c:pt idx="548">
                  <c:v>94</c:v>
                </c:pt>
                <c:pt idx="549">
                  <c:v>94.5</c:v>
                </c:pt>
                <c:pt idx="550">
                  <c:v>95</c:v>
                </c:pt>
                <c:pt idx="551">
                  <c:v>95.5</c:v>
                </c:pt>
                <c:pt idx="552">
                  <c:v>96</c:v>
                </c:pt>
                <c:pt idx="553">
                  <c:v>96.5</c:v>
                </c:pt>
                <c:pt idx="554">
                  <c:v>97</c:v>
                </c:pt>
                <c:pt idx="555">
                  <c:v>97.5</c:v>
                </c:pt>
                <c:pt idx="556">
                  <c:v>98</c:v>
                </c:pt>
                <c:pt idx="557">
                  <c:v>98.5</c:v>
                </c:pt>
                <c:pt idx="558">
                  <c:v>99</c:v>
                </c:pt>
                <c:pt idx="559">
                  <c:v>99.5</c:v>
                </c:pt>
                <c:pt idx="560">
                  <c:v>100</c:v>
                </c:pt>
                <c:pt idx="561">
                  <c:v>100.5</c:v>
                </c:pt>
                <c:pt idx="562">
                  <c:v>101</c:v>
                </c:pt>
                <c:pt idx="563">
                  <c:v>101.5</c:v>
                </c:pt>
                <c:pt idx="564">
                  <c:v>102</c:v>
                </c:pt>
                <c:pt idx="565">
                  <c:v>102.5</c:v>
                </c:pt>
                <c:pt idx="566">
                  <c:v>103</c:v>
                </c:pt>
                <c:pt idx="567">
                  <c:v>103.5</c:v>
                </c:pt>
                <c:pt idx="568">
                  <c:v>104</c:v>
                </c:pt>
                <c:pt idx="569">
                  <c:v>104.5</c:v>
                </c:pt>
                <c:pt idx="570">
                  <c:v>105</c:v>
                </c:pt>
                <c:pt idx="571">
                  <c:v>105.5</c:v>
                </c:pt>
                <c:pt idx="572">
                  <c:v>106</c:v>
                </c:pt>
                <c:pt idx="573">
                  <c:v>106.5</c:v>
                </c:pt>
                <c:pt idx="574">
                  <c:v>107</c:v>
                </c:pt>
                <c:pt idx="575">
                  <c:v>107.5</c:v>
                </c:pt>
                <c:pt idx="576">
                  <c:v>108</c:v>
                </c:pt>
                <c:pt idx="577">
                  <c:v>108.5</c:v>
                </c:pt>
                <c:pt idx="578">
                  <c:v>109</c:v>
                </c:pt>
                <c:pt idx="579">
                  <c:v>109.5</c:v>
                </c:pt>
                <c:pt idx="580">
                  <c:v>110</c:v>
                </c:pt>
                <c:pt idx="581">
                  <c:v>110.5</c:v>
                </c:pt>
                <c:pt idx="582">
                  <c:v>111</c:v>
                </c:pt>
                <c:pt idx="583">
                  <c:v>111.5</c:v>
                </c:pt>
                <c:pt idx="584">
                  <c:v>112</c:v>
                </c:pt>
                <c:pt idx="585">
                  <c:v>112.5</c:v>
                </c:pt>
                <c:pt idx="586">
                  <c:v>113</c:v>
                </c:pt>
                <c:pt idx="587">
                  <c:v>113.5</c:v>
                </c:pt>
                <c:pt idx="588">
                  <c:v>114</c:v>
                </c:pt>
                <c:pt idx="589">
                  <c:v>114.5</c:v>
                </c:pt>
                <c:pt idx="590">
                  <c:v>115</c:v>
                </c:pt>
                <c:pt idx="591">
                  <c:v>115.5</c:v>
                </c:pt>
                <c:pt idx="592">
                  <c:v>116</c:v>
                </c:pt>
                <c:pt idx="593">
                  <c:v>116.5</c:v>
                </c:pt>
                <c:pt idx="594">
                  <c:v>117</c:v>
                </c:pt>
                <c:pt idx="595">
                  <c:v>117.5</c:v>
                </c:pt>
                <c:pt idx="596">
                  <c:v>118</c:v>
                </c:pt>
                <c:pt idx="597">
                  <c:v>118.5</c:v>
                </c:pt>
                <c:pt idx="598">
                  <c:v>119</c:v>
                </c:pt>
                <c:pt idx="599">
                  <c:v>119.5</c:v>
                </c:pt>
                <c:pt idx="600">
                  <c:v>120</c:v>
                </c:pt>
                <c:pt idx="601">
                  <c:v>120.5</c:v>
                </c:pt>
                <c:pt idx="602">
                  <c:v>121</c:v>
                </c:pt>
                <c:pt idx="603">
                  <c:v>121.5</c:v>
                </c:pt>
                <c:pt idx="604">
                  <c:v>122</c:v>
                </c:pt>
                <c:pt idx="605">
                  <c:v>122.5</c:v>
                </c:pt>
                <c:pt idx="606">
                  <c:v>123</c:v>
                </c:pt>
                <c:pt idx="607">
                  <c:v>123.5</c:v>
                </c:pt>
                <c:pt idx="608">
                  <c:v>124</c:v>
                </c:pt>
                <c:pt idx="609">
                  <c:v>124.5</c:v>
                </c:pt>
                <c:pt idx="610">
                  <c:v>125</c:v>
                </c:pt>
                <c:pt idx="611">
                  <c:v>125.5</c:v>
                </c:pt>
                <c:pt idx="612">
                  <c:v>126</c:v>
                </c:pt>
                <c:pt idx="613">
                  <c:v>126.5</c:v>
                </c:pt>
                <c:pt idx="614">
                  <c:v>127</c:v>
                </c:pt>
                <c:pt idx="615">
                  <c:v>127.5</c:v>
                </c:pt>
                <c:pt idx="616">
                  <c:v>128</c:v>
                </c:pt>
                <c:pt idx="617">
                  <c:v>128.5</c:v>
                </c:pt>
                <c:pt idx="618">
                  <c:v>129</c:v>
                </c:pt>
                <c:pt idx="619">
                  <c:v>129.5</c:v>
                </c:pt>
                <c:pt idx="620">
                  <c:v>130</c:v>
                </c:pt>
                <c:pt idx="621">
                  <c:v>130.5</c:v>
                </c:pt>
                <c:pt idx="622">
                  <c:v>131</c:v>
                </c:pt>
                <c:pt idx="623">
                  <c:v>131.5</c:v>
                </c:pt>
                <c:pt idx="624">
                  <c:v>132</c:v>
                </c:pt>
                <c:pt idx="625">
                  <c:v>132.5</c:v>
                </c:pt>
                <c:pt idx="626">
                  <c:v>133</c:v>
                </c:pt>
                <c:pt idx="627">
                  <c:v>133.5</c:v>
                </c:pt>
                <c:pt idx="628">
                  <c:v>134</c:v>
                </c:pt>
                <c:pt idx="629">
                  <c:v>134.5</c:v>
                </c:pt>
                <c:pt idx="630">
                  <c:v>135</c:v>
                </c:pt>
                <c:pt idx="631">
                  <c:v>135.5</c:v>
                </c:pt>
                <c:pt idx="632">
                  <c:v>136</c:v>
                </c:pt>
                <c:pt idx="633">
                  <c:v>136.5</c:v>
                </c:pt>
                <c:pt idx="634">
                  <c:v>137</c:v>
                </c:pt>
                <c:pt idx="635">
                  <c:v>137.5</c:v>
                </c:pt>
                <c:pt idx="636">
                  <c:v>138</c:v>
                </c:pt>
                <c:pt idx="637">
                  <c:v>138.5</c:v>
                </c:pt>
                <c:pt idx="638">
                  <c:v>139</c:v>
                </c:pt>
                <c:pt idx="639">
                  <c:v>139.5</c:v>
                </c:pt>
                <c:pt idx="640">
                  <c:v>140</c:v>
                </c:pt>
                <c:pt idx="641">
                  <c:v>140.5</c:v>
                </c:pt>
                <c:pt idx="642">
                  <c:v>141</c:v>
                </c:pt>
                <c:pt idx="643">
                  <c:v>141.5</c:v>
                </c:pt>
                <c:pt idx="644">
                  <c:v>142</c:v>
                </c:pt>
                <c:pt idx="645">
                  <c:v>142.5</c:v>
                </c:pt>
                <c:pt idx="646">
                  <c:v>143</c:v>
                </c:pt>
                <c:pt idx="647">
                  <c:v>143.5</c:v>
                </c:pt>
                <c:pt idx="648">
                  <c:v>144</c:v>
                </c:pt>
                <c:pt idx="649">
                  <c:v>144.5</c:v>
                </c:pt>
                <c:pt idx="650">
                  <c:v>145</c:v>
                </c:pt>
                <c:pt idx="651">
                  <c:v>145.5</c:v>
                </c:pt>
                <c:pt idx="652">
                  <c:v>146</c:v>
                </c:pt>
                <c:pt idx="653">
                  <c:v>146.5</c:v>
                </c:pt>
                <c:pt idx="654">
                  <c:v>147</c:v>
                </c:pt>
                <c:pt idx="655">
                  <c:v>147.5</c:v>
                </c:pt>
                <c:pt idx="656">
                  <c:v>148</c:v>
                </c:pt>
                <c:pt idx="657">
                  <c:v>148.5</c:v>
                </c:pt>
                <c:pt idx="658">
                  <c:v>149</c:v>
                </c:pt>
                <c:pt idx="659">
                  <c:v>149.5</c:v>
                </c:pt>
                <c:pt idx="660">
                  <c:v>150</c:v>
                </c:pt>
                <c:pt idx="661">
                  <c:v>150.5</c:v>
                </c:pt>
                <c:pt idx="662">
                  <c:v>151</c:v>
                </c:pt>
                <c:pt idx="663">
                  <c:v>151.5</c:v>
                </c:pt>
                <c:pt idx="664">
                  <c:v>152</c:v>
                </c:pt>
                <c:pt idx="665">
                  <c:v>152.5</c:v>
                </c:pt>
                <c:pt idx="666">
                  <c:v>153</c:v>
                </c:pt>
                <c:pt idx="667">
                  <c:v>153.5</c:v>
                </c:pt>
                <c:pt idx="668">
                  <c:v>154</c:v>
                </c:pt>
                <c:pt idx="669">
                  <c:v>154.5</c:v>
                </c:pt>
                <c:pt idx="670">
                  <c:v>155</c:v>
                </c:pt>
                <c:pt idx="671">
                  <c:v>155.5</c:v>
                </c:pt>
                <c:pt idx="672">
                  <c:v>156</c:v>
                </c:pt>
                <c:pt idx="673">
                  <c:v>156.5</c:v>
                </c:pt>
                <c:pt idx="674">
                  <c:v>157</c:v>
                </c:pt>
                <c:pt idx="675">
                  <c:v>157.5</c:v>
                </c:pt>
                <c:pt idx="676">
                  <c:v>158</c:v>
                </c:pt>
                <c:pt idx="677">
                  <c:v>158.5</c:v>
                </c:pt>
                <c:pt idx="678">
                  <c:v>159</c:v>
                </c:pt>
                <c:pt idx="679">
                  <c:v>159.5</c:v>
                </c:pt>
                <c:pt idx="680">
                  <c:v>160</c:v>
                </c:pt>
                <c:pt idx="681">
                  <c:v>160.5</c:v>
                </c:pt>
                <c:pt idx="682">
                  <c:v>161</c:v>
                </c:pt>
                <c:pt idx="683">
                  <c:v>161.5</c:v>
                </c:pt>
                <c:pt idx="684">
                  <c:v>162</c:v>
                </c:pt>
                <c:pt idx="685">
                  <c:v>162.5</c:v>
                </c:pt>
                <c:pt idx="686">
                  <c:v>163</c:v>
                </c:pt>
                <c:pt idx="687">
                  <c:v>163.5</c:v>
                </c:pt>
                <c:pt idx="688">
                  <c:v>164</c:v>
                </c:pt>
                <c:pt idx="689">
                  <c:v>164.5</c:v>
                </c:pt>
                <c:pt idx="690">
                  <c:v>165</c:v>
                </c:pt>
                <c:pt idx="691">
                  <c:v>165.5</c:v>
                </c:pt>
                <c:pt idx="692">
                  <c:v>166</c:v>
                </c:pt>
                <c:pt idx="693">
                  <c:v>166.5</c:v>
                </c:pt>
                <c:pt idx="694">
                  <c:v>167</c:v>
                </c:pt>
                <c:pt idx="695">
                  <c:v>167.5</c:v>
                </c:pt>
                <c:pt idx="696">
                  <c:v>168</c:v>
                </c:pt>
                <c:pt idx="697">
                  <c:v>168.5</c:v>
                </c:pt>
                <c:pt idx="698">
                  <c:v>169</c:v>
                </c:pt>
                <c:pt idx="699">
                  <c:v>169.5</c:v>
                </c:pt>
                <c:pt idx="700">
                  <c:v>170</c:v>
                </c:pt>
                <c:pt idx="701">
                  <c:v>170.5</c:v>
                </c:pt>
                <c:pt idx="702">
                  <c:v>171</c:v>
                </c:pt>
                <c:pt idx="703">
                  <c:v>171.5</c:v>
                </c:pt>
                <c:pt idx="704">
                  <c:v>172</c:v>
                </c:pt>
                <c:pt idx="705">
                  <c:v>172.5</c:v>
                </c:pt>
                <c:pt idx="706">
                  <c:v>173</c:v>
                </c:pt>
                <c:pt idx="707">
                  <c:v>173.5</c:v>
                </c:pt>
                <c:pt idx="708">
                  <c:v>174</c:v>
                </c:pt>
                <c:pt idx="709">
                  <c:v>174.5</c:v>
                </c:pt>
                <c:pt idx="710">
                  <c:v>175</c:v>
                </c:pt>
                <c:pt idx="711">
                  <c:v>175.5</c:v>
                </c:pt>
                <c:pt idx="712">
                  <c:v>176</c:v>
                </c:pt>
                <c:pt idx="713">
                  <c:v>176.5</c:v>
                </c:pt>
                <c:pt idx="714">
                  <c:v>177</c:v>
                </c:pt>
                <c:pt idx="715">
                  <c:v>177.5</c:v>
                </c:pt>
                <c:pt idx="716">
                  <c:v>178</c:v>
                </c:pt>
                <c:pt idx="717">
                  <c:v>178.5</c:v>
                </c:pt>
                <c:pt idx="718">
                  <c:v>179</c:v>
                </c:pt>
                <c:pt idx="719">
                  <c:v>179.5</c:v>
                </c:pt>
                <c:pt idx="720">
                  <c:v>180</c:v>
                </c:pt>
              </c:numCache>
            </c:numRef>
          </c:xVal>
          <c:yVal>
            <c:numRef>
              <c:f>Barrido_AE!$F$12:$F$732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4.6033346729217515</c:v>
                </c:pt>
                <c:pt idx="276">
                  <c:v>4.6838282643979383</c:v>
                </c:pt>
                <c:pt idx="277">
                  <c:v>4.7661189310785605</c:v>
                </c:pt>
                <c:pt idx="278">
                  <c:v>4.8502428963503164</c:v>
                </c:pt>
                <c:pt idx="279">
                  <c:v>4.9362364384492903</c:v>
                </c:pt>
                <c:pt idx="280">
                  <c:v>5.024135818595048</c:v>
                </c:pt>
                <c:pt idx="281">
                  <c:v>5.1139772021108811</c:v>
                </c:pt>
                <c:pt idx="282">
                  <c:v>5.2057965720721358</c:v>
                </c:pt>
                <c:pt idx="283">
                  <c:v>5.2996296350088352</c:v>
                </c:pt>
                <c:pt idx="284">
                  <c:v>5.3955117181735694</c:v>
                </c:pt>
                <c:pt idx="285">
                  <c:v>5.4934776578723703</c:v>
                </c:pt>
                <c:pt idx="286">
                  <c:v>5.5935616783449866</c:v>
                </c:pt>
                <c:pt idx="287">
                  <c:v>5.6957972606717471</c:v>
                </c:pt>
                <c:pt idx="288">
                  <c:v>5.80021700117838</c:v>
                </c:pt>
                <c:pt idx="289">
                  <c:v>5.9068524588072222</c:v>
                </c:pt>
                <c:pt idx="290">
                  <c:v>6.0157339909247796</c:v>
                </c:pt>
                <c:pt idx="291">
                  <c:v>6.1268905770417605</c:v>
                </c:pt>
                <c:pt idx="292">
                  <c:v>6.2403496299330925</c:v>
                </c:pt>
                <c:pt idx="293">
                  <c:v>6.3561367936632998</c:v>
                </c:pt>
                <c:pt idx="294">
                  <c:v>6.474275728047596</c:v>
                </c:pt>
                <c:pt idx="295">
                  <c:v>6.5947878791117649</c:v>
                </c:pt>
                <c:pt idx="296">
                  <c:v>6.7176922351560417</c:v>
                </c:pt>
                <c:pt idx="297">
                  <c:v>6.8430050680798962</c:v>
                </c:pt>
                <c:pt idx="298">
                  <c:v>6.9707396596879816</c:v>
                </c:pt>
                <c:pt idx="299">
                  <c:v>7.1009060127726942</c:v>
                </c:pt>
                <c:pt idx="300">
                  <c:v>7.2335105468578709</c:v>
                </c:pt>
                <c:pt idx="301">
                  <c:v>7.3685557785910527</c:v>
                </c:pt>
                <c:pt idx="302">
                  <c:v>7.5060399868917722</c:v>
                </c:pt>
                <c:pt idx="303">
                  <c:v>7.6459568630988599</c:v>
                </c:pt>
                <c:pt idx="304">
                  <c:v>7.7882951465147201</c:v>
                </c:pt>
                <c:pt idx="305">
                  <c:v>7.9330382459174604</c:v>
                </c:pt>
                <c:pt idx="306">
                  <c:v>8.080163847805947</c:v>
                </c:pt>
                <c:pt idx="307">
                  <c:v>8.2296435123565956</c:v>
                </c:pt>
                <c:pt idx="308">
                  <c:v>8.381442258307171</c:v>
                </c:pt>
                <c:pt idx="309">
                  <c:v>8.5355181382400183</c:v>
                </c:pt>
                <c:pt idx="310">
                  <c:v>8.6918218060164509</c:v>
                </c:pt>
                <c:pt idx="311">
                  <c:v>8.8502960784148286</c:v>
                </c:pt>
                <c:pt idx="312">
                  <c:v>9.0108754933457398</c:v>
                </c:pt>
                <c:pt idx="313">
                  <c:v>9.173485867358151</c:v>
                </c:pt>
                <c:pt idx="314">
                  <c:v>9.3380438555080385</c:v>
                </c:pt>
                <c:pt idx="315">
                  <c:v>9.5044565170328568</c:v>
                </c:pt>
                <c:pt idx="316">
                  <c:v>9.6726208906595392</c:v>
                </c:pt>
                <c:pt idx="317">
                  <c:v>9.8424235837635088</c:v>
                </c:pt>
                <c:pt idx="318">
                  <c:v>10.013740379990242</c:v>
                </c:pt>
                <c:pt idx="319">
                  <c:v>10.186435870339222</c:v>
                </c:pt>
                <c:pt idx="320">
                  <c:v>10.360363113089631</c:v>
                </c:pt>
                <c:pt idx="321">
                  <c:v>10.535363328307028</c:v>
                </c:pt>
                <c:pt idx="322">
                  <c:v>10.711265633003194</c:v>
                </c:pt>
                <c:pt idx="323">
                  <c:v>10.887886823317414</c:v>
                </c:pt>
                <c:pt idx="324">
                  <c:v>11.065031210336159</c:v>
                </c:pt>
                <c:pt idx="325">
                  <c:v>11.242490516356877</c:v>
                </c:pt>
                <c:pt idx="326">
                  <c:v>11.420043838520682</c:v>
                </c:pt>
                <c:pt idx="327">
                  <c:v>11.597457686773055</c:v>
                </c:pt>
                <c:pt idx="328">
                  <c:v>11.774486103051757</c:v>
                </c:pt>
                <c:pt idx="329">
                  <c:v>11.950870868431339</c:v>
                </c:pt>
                <c:pt idx="330">
                  <c:v>12.126341804664458</c:v>
                </c:pt>
                <c:pt idx="331">
                  <c:v>12.300617176140848</c:v>
                </c:pt>
                <c:pt idx="332">
                  <c:v>12.473404197722738</c:v>
                </c:pt>
                <c:pt idx="333">
                  <c:v>12.644399653207032</c:v>
                </c:pt>
                <c:pt idx="334">
                  <c:v>12.813290628301043</c:v>
                </c:pt>
                <c:pt idx="335">
                  <c:v>12.979786271137185</c:v>
                </c:pt>
                <c:pt idx="336">
                  <c:v>13.144056079514241</c:v>
                </c:pt>
                <c:pt idx="337">
                  <c:v>13.306645459799064</c:v>
                </c:pt>
                <c:pt idx="338">
                  <c:v>13.468136119469431</c:v>
                </c:pt>
                <c:pt idx="339">
                  <c:v>13.629135355450336</c:v>
                </c:pt>
                <c:pt idx="340">
                  <c:v>13.790273825573946</c:v>
                </c:pt>
                <c:pt idx="341">
                  <c:v>13.952202745746945</c:v>
                </c:pt>
                <c:pt idx="342">
                  <c:v>14.115590503360645</c:v>
                </c:pt>
                <c:pt idx="343">
                  <c:v>14.281118685310789</c:v>
                </c:pt>
                <c:pt idx="344">
                  <c:v>14.44947752774984</c:v>
                </c:pt>
                <c:pt idx="345">
                  <c:v>14.621360804266159</c:v>
                </c:pt>
                <c:pt idx="346">
                  <c:v>14.797460179435589</c:v>
                </c:pt>
                <c:pt idx="347">
                  <c:v>14.97845906545029</c:v>
                </c:pt>
                <c:pt idx="348">
                  <c:v>15.165026030590111</c:v>
                </c:pt>
                <c:pt idx="349">
                  <c:v>15.357807819436594</c:v>
                </c:pt>
                <c:pt idx="350">
                  <c:v>15.557422055680284</c:v>
                </c:pt>
                <c:pt idx="351">
                  <c:v>15.764449708863133</c:v>
                </c:pt>
                <c:pt idx="352">
                  <c:v>15.979427416147782</c:v>
                </c:pt>
                <c:pt idx="353">
                  <c:v>16.202839758923773</c:v>
                </c:pt>
                <c:pt idx="354">
                  <c:v>16.435111601462978</c:v>
                </c:pt>
                <c:pt idx="355">
                  <c:v>16.676600604658859</c:v>
                </c:pt>
                <c:pt idx="356">
                  <c:v>16.927590031883476</c:v>
                </c:pt>
                <c:pt idx="357">
                  <c:v>17.188281965959579</c:v>
                </c:pt>
                <c:pt idx="358">
                  <c:v>17.458791056013599</c:v>
                </c:pt>
                <c:pt idx="359">
                  <c:v>17.739138910429396</c:v>
                </c:pt>
                <c:pt idx="360">
                  <c:v>18.029249247205289</c:v>
                </c:pt>
                <c:pt idx="361">
                  <c:v>18.328943905729947</c:v>
                </c:pt>
                <c:pt idx="362">
                  <c:v>18.637939814402522</c:v>
                </c:pt>
                <c:pt idx="363">
                  <c:v>18.955846996755707</c:v>
                </c:pt>
                <c:pt idx="364">
                  <c:v>19.282167684990853</c:v>
                </c:pt>
                <c:pt idx="365">
                  <c:v>19.616296594343517</c:v>
                </c:pt>
                <c:pt idx="366">
                  <c:v>19.957522394766603</c:v>
                </c:pt>
                <c:pt idx="367">
                  <c:v>20.305030398382542</c:v>
                </c:pt>
                <c:pt idx="368">
                  <c:v>20.657906462388365</c:v>
                </c:pt>
                <c:pt idx="369">
                  <c:v>21.015142087987872</c:v>
                </c:pt>
                <c:pt idx="370">
                  <c:v>21.375640676879495</c:v>
                </c:pt>
                <c:pt idx="371">
                  <c:v>21.738224888239333</c:v>
                </c:pt>
                <c:pt idx="372">
                  <c:v>22.101645021403357</c:v>
                </c:pt>
                <c:pt idx="373">
                  <c:v>22.464588332928699</c:v>
                </c:pt>
                <c:pt idx="374">
                  <c:v>22.825689181730709</c:v>
                </c:pt>
                <c:pt idx="375">
                  <c:v>23.183539882845857</c:v>
                </c:pt>
                <c:pt idx="376">
                  <c:v>23.536702139300061</c:v>
                </c:pt>
                <c:pt idx="377">
                  <c:v>23.883718912756073</c:v>
                </c:pt>
                <c:pt idx="378">
                  <c:v>24.223126587212754</c:v>
                </c:pt>
                <c:pt idx="379">
                  <c:v>24.553467276112741</c:v>
                </c:pt>
                <c:pt idx="380">
                  <c:v>24.873301121802672</c:v>
                </c:pt>
                <c:pt idx="381">
                  <c:v>25.181218437363441</c:v>
                </c:pt>
                <c:pt idx="382">
                  <c:v>25.475851544301271</c:v>
                </c:pt>
                <c:pt idx="383">
                  <c:v>25.755886165343625</c:v>
                </c:pt>
                <c:pt idx="384">
                  <c:v>26.020072239457129</c:v>
                </c:pt>
                <c:pt idx="385">
                  <c:v>26.267234035996477</c:v>
                </c:pt>
                <c:pt idx="386">
                  <c:v>26.496279456384279</c:v>
                </c:pt>
                <c:pt idx="387">
                  <c:v>26.706208424660403</c:v>
                </c:pt>
                <c:pt idx="388">
                  <c:v>26.896120282367619</c:v>
                </c:pt>
                <c:pt idx="389">
                  <c:v>27.065220118289893</c:v>
                </c:pt>
                <c:pt idx="390">
                  <c:v>27.212823979243669</c:v>
                </c:pt>
                <c:pt idx="391">
                  <c:v>27.338362924183194</c:v>
                </c:pt>
                <c:pt idx="392">
                  <c:v>27.441385900035655</c:v>
                </c:pt>
                <c:pt idx="393">
                  <c:v>27.521561433682109</c:v>
                </c:pt>
                <c:pt idx="394">
                  <c:v>27.578678150095268</c:v>
                </c:pt>
                <c:pt idx="395">
                  <c:v>27.612644141613181</c:v>
                </c:pt>
                <c:pt idx="396">
                  <c:v>27.623485227452989</c:v>
                </c:pt>
                <c:pt idx="397">
                  <c:v>27.611342155673444</c:v>
                </c:pt>
                <c:pt idx="398">
                  <c:v>27.576466811709881</c:v>
                </c:pt>
                <c:pt idx="399">
                  <c:v>27.519217508192423</c:v>
                </c:pt>
                <c:pt idx="400">
                  <c:v>27.440053439911026</c:v>
                </c:pt>
                <c:pt idx="401">
                  <c:v>27.33952839541654</c:v>
                </c:pt>
                <c:pt idx="402">
                  <c:v>27.218283822792944</c:v>
                </c:pt>
                <c:pt idx="403">
                  <c:v>27.077041351564581</c:v>
                </c:pt>
                <c:pt idx="404">
                  <c:v>26.916594875512736</c:v>
                </c:pt>
                <c:pt idx="405">
                  <c:v>26.73780230238604</c:v>
                </c:pt>
                <c:pt idx="406">
                  <c:v>26.541577076143174</c:v>
                </c:pt>
                <c:pt idx="407">
                  <c:v>26.328879575531648</c:v>
                </c:pt>
                <c:pt idx="408">
                  <c:v>26.100708489576554</c:v>
                </c:pt>
                <c:pt idx="409">
                  <c:v>25.858092266027988</c:v>
                </c:pt>
                <c:pt idx="410">
                  <c:v>25.602080723132307</c:v>
                </c:pt>
                <c:pt idx="411">
                  <c:v>25.333736908378338</c:v>
                </c:pt>
                <c:pt idx="412">
                  <c:v>25.054129280288329</c:v>
                </c:pt>
                <c:pt idx="413">
                  <c:v>24.764324281026653</c:v>
                </c:pt>
                <c:pt idx="414">
                  <c:v>24.465379358757829</c:v>
                </c:pt>
                <c:pt idx="415">
                  <c:v>24.158336489466514</c:v>
                </c:pt>
                <c:pt idx="416">
                  <c:v>23.84421623852236</c:v>
                </c:pt>
                <c:pt idx="417">
                  <c:v>23.524012392798003</c:v>
                </c:pt>
                <c:pt idx="418">
                  <c:v>23.19868718478476</c:v>
                </c:pt>
                <c:pt idx="419">
                  <c:v>22.86916712104405</c:v>
                </c:pt>
                <c:pt idx="420">
                  <c:v>22.536339418623381</c:v>
                </c:pt>
                <c:pt idx="421">
                  <c:v>22.201049044868412</c:v>
                </c:pt>
                <c:pt idx="422">
                  <c:v>21.864096348489795</c:v>
                </c:pt>
                <c:pt idx="423">
                  <c:v>21.526235262876426</c:v>
                </c:pt>
                <c:pt idx="424">
                  <c:v>21.188172056561847</c:v>
                </c:pt>
                <c:pt idx="425">
                  <c:v>20.850564600491218</c:v>
                </c:pt>
                <c:pt idx="426">
                  <c:v>20.514022117343305</c:v>
                </c:pt>
                <c:pt idx="427">
                  <c:v>20.179105374639963</c:v>
                </c:pt>
                <c:pt idx="428">
                  <c:v>19.84632728072722</c:v>
                </c:pt>
                <c:pt idx="429">
                  <c:v>19.516153840912601</c:v>
                </c:pt>
                <c:pt idx="430">
                  <c:v>19.189005430059474</c:v>
                </c:pt>
                <c:pt idx="431">
                  <c:v>18.865258337719162</c:v>
                </c:pt>
                <c:pt idx="432">
                  <c:v>18.545246542367785</c:v>
                </c:pt>
                <c:pt idx="433">
                  <c:v>18.229263672435042</c:v>
                </c:pt>
                <c:pt idx="434">
                  <c:v>17.917565113491552</c:v>
                </c:pt>
                <c:pt idx="435">
                  <c:v>17.610370223118323</c:v>
                </c:pt>
                <c:pt idx="436">
                  <c:v>17.307864617531148</c:v>
                </c:pt>
                <c:pt idx="437">
                  <c:v>17.010202496891793</c:v>
                </c:pt>
                <c:pt idx="438">
                  <c:v>16.71750897932349</c:v>
                </c:pt>
                <c:pt idx="439">
                  <c:v>16.429882416879135</c:v>
                </c:pt>
                <c:pt idx="440">
                  <c:v>16.147396670015336</c:v>
                </c:pt>
                <c:pt idx="441">
                  <c:v>15.87010332043187</c:v>
                </c:pt>
                <c:pt idx="442">
                  <c:v>15.598033805385448</c:v>
                </c:pt>
                <c:pt idx="443">
                  <c:v>15.331201459723895</c:v>
                </c:pt>
                <c:pt idx="444">
                  <c:v>15.069603454865449</c:v>
                </c:pt>
                <c:pt idx="445">
                  <c:v>14.813222626734159</c:v>
                </c:pt>
                <c:pt idx="446">
                  <c:v>14.562029187222683</c:v>
                </c:pt>
                <c:pt idx="447">
                  <c:v>14.315982316073901</c:v>
                </c:pt>
                <c:pt idx="448">
                  <c:v>14.075031632132623</c:v>
                </c:pt>
                <c:pt idx="449">
                  <c:v>13.839118544720463</c:v>
                </c:pt>
                <c:pt idx="450">
                  <c:v>13.608177487424213</c:v>
                </c:pt>
                <c:pt idx="451">
                  <c:v>13.382137037872564</c:v>
                </c:pt>
                <c:pt idx="452">
                  <c:v>13.160920928114816</c:v>
                </c:pt>
                <c:pt idx="453">
                  <c:v>12.944448951026352</c:v>
                </c:pt>
                <c:pt idx="454">
                  <c:v>12.732637768763913</c:v>
                </c:pt>
                <c:pt idx="455">
                  <c:v>12.525401629701451</c:v>
                </c:pt>
                <c:pt idx="456">
                  <c:v>12.322653000513577</c:v>
                </c:pt>
                <c:pt idx="457">
                  <c:v>12.124303120162644</c:v>
                </c:pt>
                <c:pt idx="458">
                  <c:v>11.930262482505812</c:v>
                </c:pt>
                <c:pt idx="459">
                  <c:v>11.74044125409481</c:v>
                </c:pt>
                <c:pt idx="460">
                  <c:v>11.554749633510514</c:v>
                </c:pt>
                <c:pt idx="461">
                  <c:v>11.373098158278358</c:v>
                </c:pt>
                <c:pt idx="462">
                  <c:v>11.195397965063872</c:v>
                </c:pt>
                <c:pt idx="463">
                  <c:v>11.021561008467836</c:v>
                </c:pt>
                <c:pt idx="464">
                  <c:v>10.851500243339716</c:v>
                </c:pt>
                <c:pt idx="465">
                  <c:v>10.685129775118178</c:v>
                </c:pt>
                <c:pt idx="466">
                  <c:v>10.522364982298836</c:v>
                </c:pt>
                <c:pt idx="467">
                  <c:v>10.363122614729569</c:v>
                </c:pt>
                <c:pt idx="468">
                  <c:v>10.207320871048642</c:v>
                </c:pt>
                <c:pt idx="469">
                  <c:v>10.054879458215884</c:v>
                </c:pt>
                <c:pt idx="470">
                  <c:v>9.9057196357457773</c:v>
                </c:pt>
                <c:pt idx="471">
                  <c:v>9.7597642469345427</c:v>
                </c:pt>
                <c:pt idx="472">
                  <c:v>9.6169377390838591</c:v>
                </c:pt>
                <c:pt idx="473">
                  <c:v>9.4771661744613294</c:v>
                </c:pt>
                <c:pt idx="474">
                  <c:v>9.3403772335009716</c:v>
                </c:pt>
                <c:pt idx="475">
                  <c:v>9.2065002115371506</c:v>
                </c:pt>
                <c:pt idx="476">
                  <c:v>9.0754660101785252</c:v>
                </c:pt>
                <c:pt idx="477">
                  <c:v>8.947207124265578</c:v>
                </c:pt>
                <c:pt idx="478">
                  <c:v>8.8216576252121275</c:v>
                </c:pt>
                <c:pt idx="479">
                  <c:v>8.6987531414083534</c:v>
                </c:pt>
                <c:pt idx="480">
                  <c:v>8.5784308362559791</c:v>
                </c:pt>
                <c:pt idx="481">
                  <c:v>8.4606293843155296</c:v>
                </c:pt>
                <c:pt idx="482">
                  <c:v>8.3452889459678907</c:v>
                </c:pt>
                <c:pt idx="483">
                  <c:v>8.2323511409267418</c:v>
                </c:pt>
                <c:pt idx="484">
                  <c:v>8.1217590208831698</c:v>
                </c:pt>
                <c:pt idx="485">
                  <c:v>8.0134570415166113</c:v>
                </c:pt>
                <c:pt idx="486">
                  <c:v>7.9073910340681834</c:v>
                </c:pt>
                <c:pt idx="487">
                  <c:v>7.8035081766386751</c:v>
                </c:pt>
                <c:pt idx="488">
                  <c:v>7.7017569653474789</c:v>
                </c:pt>
                <c:pt idx="489">
                  <c:v>7.6020871854651011</c:v>
                </c:pt>
                <c:pt idx="490">
                  <c:v>7.5044498826137929</c:v>
                </c:pt>
                <c:pt idx="491">
                  <c:v>7.4087973341148095</c:v>
                </c:pt>
                <c:pt idx="492">
                  <c:v>7.3150830205477027</c:v>
                </c:pt>
                <c:pt idx="493">
                  <c:v>7.2232615975765837</c:v>
                </c:pt>
                <c:pt idx="494">
                  <c:v>7.1332888680886821</c:v>
                </c:pt>
                <c:pt idx="495">
                  <c:v>7.0451217546833469</c:v>
                </c:pt>
                <c:pt idx="496">
                  <c:v>6.958718272542745</c:v>
                </c:pt>
                <c:pt idx="497">
                  <c:v>6.8740375027105314</c:v>
                </c:pt>
                <c:pt idx="498">
                  <c:v>6.7910395657997409</c:v>
                </c:pt>
                <c:pt idx="499">
                  <c:v>6.7096855961475086</c:v>
                </c:pt>
                <c:pt idx="500">
                  <c:v>6.6299377164305033</c:v>
                </c:pt>
                <c:pt idx="501">
                  <c:v>6.551759012752318</c:v>
                </c:pt>
                <c:pt idx="502">
                  <c:v>6.4751135102112292</c:v>
                </c:pt>
                <c:pt idx="503">
                  <c:v>6.3999661489548263</c:v>
                </c:pt>
                <c:pt idx="504">
                  <c:v>6.3262827607257162</c:v>
                </c:pt>
                <c:pt idx="505">
                  <c:v>6.2540300459009632</c:v>
                </c:pt>
                <c:pt idx="506">
                  <c:v>6.1831755510265829</c:v>
                </c:pt>
                <c:pt idx="507">
                  <c:v>6.1136876468466745</c:v>
                </c:pt>
                <c:pt idx="508">
                  <c:v>6.0455355068259795</c:v>
                </c:pt>
                <c:pt idx="509">
                  <c:v>5.9786890861634072</c:v>
                </c:pt>
                <c:pt idx="510">
                  <c:v>5.9131191012932671</c:v>
                </c:pt>
                <c:pt idx="511">
                  <c:v>5.8487970098700091</c:v>
                </c:pt>
                <c:pt idx="512">
                  <c:v>5.7856949912316855</c:v>
                </c:pt>
                <c:pt idx="513">
                  <c:v>5.7237859273367286</c:v>
                </c:pt>
                <c:pt idx="514">
                  <c:v>5.6630433841679748</c:v>
                </c:pt>
                <c:pt idx="515">
                  <c:v>5.6034415935975046</c:v>
                </c:pt>
                <c:pt idx="516">
                  <c:v>5.5449554357054787</c:v>
                </c:pt>
                <c:pt idx="517">
                  <c:v>5.4875604215457177</c:v>
                </c:pt>
                <c:pt idx="518">
                  <c:v>5.4312326763504775</c:v>
                </c:pt>
                <c:pt idx="519">
                  <c:v>5.3759489231667983</c:v>
                </c:pt>
                <c:pt idx="520">
                  <c:v>5.321686466916379</c:v>
                </c:pt>
                <c:pt idx="521">
                  <c:v>5.2684231788708695</c:v>
                </c:pt>
                <c:pt idx="522">
                  <c:v>5.2161374815344246</c:v>
                </c:pt>
                <c:pt idx="523">
                  <c:v>5.1648083339251185</c:v>
                </c:pt>
                <c:pt idx="524">
                  <c:v>5.1144152172468882</c:v>
                </c:pt>
                <c:pt idx="525">
                  <c:v>5.0649381209435305</c:v>
                </c:pt>
                <c:pt idx="526">
                  <c:v>5.0163575291263616</c:v>
                </c:pt>
                <c:pt idx="527">
                  <c:v>4.9686544073671088</c:v>
                </c:pt>
                <c:pt idx="528">
                  <c:v>4.9218101898475703</c:v>
                </c:pt>
                <c:pt idx="529">
                  <c:v>4.8758067668578065</c:v>
                </c:pt>
                <c:pt idx="530">
                  <c:v>4.8306264726344663</c:v>
                </c:pt>
                <c:pt idx="531">
                  <c:v>4.7862520735310516</c:v>
                </c:pt>
                <c:pt idx="532">
                  <c:v>4.7426667565120475</c:v>
                </c:pt>
                <c:pt idx="533">
                  <c:v>4.6998541179627731</c:v>
                </c:pt>
                <c:pt idx="534">
                  <c:v>4.6577981528071302</c:v>
                </c:pt>
                <c:pt idx="535">
                  <c:v>4.6164832439253427</c:v>
                </c:pt>
                <c:pt idx="536">
                  <c:v>4.5758941518640341</c:v>
                </c:pt>
                <c:pt idx="537">
                  <c:v>4.5360160048310592</c:v>
                </c:pt>
                <c:pt idx="538">
                  <c:v>4.4968342889676123</c:v>
                </c:pt>
                <c:pt idx="539">
                  <c:v>4.4583348388903978</c:v>
                </c:pt>
                <c:pt idx="540">
                  <c:v>4.4205038284965417</c:v>
                </c:pt>
                <c:pt idx="541">
                  <c:v>4.3833277620243694</c:v>
                </c:pt>
                <c:pt idx="542">
                  <c:v>4.3467934653630529</c:v>
                </c:pt>
                <c:pt idx="543">
                  <c:v>4.3108880776044423</c:v>
                </c:pt>
                <c:pt idx="544">
                  <c:v>4.2755990428304367</c:v>
                </c:pt>
                <c:pt idx="545">
                  <c:v>4.2409141021295129</c:v>
                </c:pt>
                <c:pt idx="546">
                  <c:v>4.2068212858360194</c:v>
                </c:pt>
                <c:pt idx="547">
                  <c:v>4.1733089059861346</c:v>
                </c:pt>
                <c:pt idx="548">
                  <c:v>4.1403655489844757</c:v>
                </c:pt>
                <c:pt idx="549">
                  <c:v>4.1079800684754257</c:v>
                </c:pt>
                <c:pt idx="550">
                  <c:v>4.0761415784135195</c:v>
                </c:pt>
                <c:pt idx="551">
                  <c:v>4.0448394463272797</c:v>
                </c:pt>
                <c:pt idx="552">
                  <c:v>4.0140632867710284</c:v>
                </c:pt>
                <c:pt idx="553">
                  <c:v>3.9838029549594109</c:v>
                </c:pt>
                <c:pt idx="554">
                  <c:v>3.9540485405794121</c:v>
                </c:pt>
                <c:pt idx="555">
                  <c:v>3.9247903617748698</c:v>
                </c:pt>
                <c:pt idx="556">
                  <c:v>3.8960189592985821</c:v>
                </c:pt>
                <c:pt idx="557">
                  <c:v>3.8677250908271583</c:v>
                </c:pt>
                <c:pt idx="558">
                  <c:v>3.8398997254340914</c:v>
                </c:pt>
                <c:pt idx="559">
                  <c:v>3.8125340382164139</c:v>
                </c:pt>
                <c:pt idx="560">
                  <c:v>3.7856194050706096</c:v>
                </c:pt>
                <c:pt idx="561">
                  <c:v>3.7591473976134751</c:v>
                </c:pt>
                <c:pt idx="562">
                  <c:v>3.7331097782437901</c:v>
                </c:pt>
                <c:pt idx="563">
                  <c:v>3.707498495340698</c:v>
                </c:pt>
                <c:pt idx="564">
                  <c:v>3.6823056785949708</c:v>
                </c:pt>
                <c:pt idx="565">
                  <c:v>3.6575236344692188</c:v>
                </c:pt>
                <c:pt idx="566">
                  <c:v>3.6331448417833889</c:v>
                </c:pt>
                <c:pt idx="567">
                  <c:v>3.6091619474219918</c:v>
                </c:pt>
                <c:pt idx="568">
                  <c:v>3.5855677621594255</c:v>
                </c:pt>
                <c:pt idx="569">
                  <c:v>3.562355256600132</c:v>
                </c:pt>
                <c:pt idx="570">
                  <c:v>3.5395175572301603</c:v>
                </c:pt>
                <c:pt idx="571">
                  <c:v>3.5170479425770185</c:v>
                </c:pt>
                <c:pt idx="572">
                  <c:v>3.4949398394746307</c:v>
                </c:pt>
                <c:pt idx="573">
                  <c:v>3.473186819430381</c:v>
                </c:pt>
                <c:pt idx="574">
                  <c:v>3.4517825950913577</c:v>
                </c:pt>
                <c:pt idx="575">
                  <c:v>3.4307210168068543</c:v>
                </c:pt>
                <c:pt idx="576">
                  <c:v>3.4099960692844369</c:v>
                </c:pt>
                <c:pt idx="577">
                  <c:v>3.3896018683368228</c:v>
                </c:pt>
                <c:pt idx="578">
                  <c:v>3.3695326577170159</c:v>
                </c:pt>
                <c:pt idx="579">
                  <c:v>3.3497828060391179</c:v>
                </c:pt>
                <c:pt idx="580">
                  <c:v>3.3303468037823873</c:v>
                </c:pt>
                <c:pt idx="581">
                  <c:v>3.3112192603761255</c:v>
                </c:pt>
                <c:pt idx="582">
                  <c:v>3.2923949013631302</c:v>
                </c:pt>
                <c:pt idx="583">
                  <c:v>3.2738685656393907</c:v>
                </c:pt>
                <c:pt idx="584">
                  <c:v>3.2556352027679063</c:v>
                </c:pt>
                <c:pt idx="585">
                  <c:v>3.2376898703644872</c:v>
                </c:pt>
                <c:pt idx="586">
                  <c:v>3.2200277315534787</c:v>
                </c:pt>
                <c:pt idx="587">
                  <c:v>3.2026440524914275</c:v>
                </c:pt>
                <c:pt idx="588">
                  <c:v>3.1855341999567406</c:v>
                </c:pt>
                <c:pt idx="589">
                  <c:v>3.1686936390034877</c:v>
                </c:pt>
                <c:pt idx="590">
                  <c:v>3.152117930677488</c:v>
                </c:pt>
                <c:pt idx="591">
                  <c:v>3.1358027297929567</c:v>
                </c:pt>
                <c:pt idx="592">
                  <c:v>3.1197437827679564</c:v>
                </c:pt>
                <c:pt idx="593">
                  <c:v>3.1039369255170435</c:v>
                </c:pt>
                <c:pt idx="594">
                  <c:v>3.0883780813994193</c:v>
                </c:pt>
                <c:pt idx="595">
                  <c:v>3.0730632592211116</c:v>
                </c:pt>
                <c:pt idx="596">
                  <c:v>3.057988551289593</c:v>
                </c:pt>
                <c:pt idx="597">
                  <c:v>3.0431501315194134</c:v>
                </c:pt>
                <c:pt idx="598">
                  <c:v>3.0285442535873783</c:v>
                </c:pt>
                <c:pt idx="599">
                  <c:v>3.0141672491359226</c:v>
                </c:pt>
                <c:pt idx="600">
                  <c:v>3.0000155260233132</c:v>
                </c:pt>
                <c:pt idx="601">
                  <c:v>2.9860855666193706</c:v>
                </c:pt>
                <c:pt idx="602">
                  <c:v>2.9723739261454738</c:v>
                </c:pt>
                <c:pt idx="603">
                  <c:v>2.9588772310575684</c:v>
                </c:pt>
                <c:pt idx="604">
                  <c:v>2.9455921774710618</c:v>
                </c:pt>
                <c:pt idx="605">
                  <c:v>2.9325155296263472</c:v>
                </c:pt>
                <c:pt idx="606">
                  <c:v>2.919644118393951</c:v>
                </c:pt>
                <c:pt idx="607">
                  <c:v>2.9069748398181079</c:v>
                </c:pt>
                <c:pt idx="608">
                  <c:v>2.8945046536977816</c:v>
                </c:pt>
                <c:pt idx="609">
                  <c:v>2.882230582204075</c:v>
                </c:pt>
                <c:pt idx="610">
                  <c:v>2.8701497085330336</c:v>
                </c:pt>
                <c:pt idx="611">
                  <c:v>2.8582591755928979</c:v>
                </c:pt>
                <c:pt idx="612">
                  <c:v>2.8465561847248355</c:v>
                </c:pt>
                <c:pt idx="613">
                  <c:v>2.8350379944562811</c:v>
                </c:pt>
                <c:pt idx="614">
                  <c:v>2.8237019192859747</c:v>
                </c:pt>
                <c:pt idx="615">
                  <c:v>2.8125453284998643</c:v>
                </c:pt>
                <c:pt idx="616">
                  <c:v>2.8015656450170128</c:v>
                </c:pt>
                <c:pt idx="617">
                  <c:v>2.7907603442647471</c:v>
                </c:pt>
                <c:pt idx="618">
                  <c:v>2.7801269530822199</c:v>
                </c:pt>
                <c:pt idx="619">
                  <c:v>2.7696630486516667</c:v>
                </c:pt>
                <c:pt idx="620">
                  <c:v>2.7593662574565898</c:v>
                </c:pt>
                <c:pt idx="621">
                  <c:v>2.7492342542661756</c:v>
                </c:pt>
                <c:pt idx="622">
                  <c:v>2.7392647611452459</c:v>
                </c:pt>
                <c:pt idx="623">
                  <c:v>2.7294555464890555</c:v>
                </c:pt>
                <c:pt idx="624">
                  <c:v>2.7198044240823216</c:v>
                </c:pt>
                <c:pt idx="625">
                  <c:v>2.7103092521817902</c:v>
                </c:pt>
                <c:pt idx="626">
                  <c:v>2.7009679326217912</c:v>
                </c:pt>
                <c:pt idx="627">
                  <c:v>2.6917784099421262</c:v>
                </c:pt>
                <c:pt idx="628">
                  <c:v>2.6827386705377534</c:v>
                </c:pt>
                <c:pt idx="629">
                  <c:v>2.6738467418296792</c:v>
                </c:pt>
                <c:pt idx="630">
                  <c:v>2.6651006914565176</c:v>
                </c:pt>
                <c:pt idx="631">
                  <c:v>2.6564986264861972</c:v>
                </c:pt>
                <c:pt idx="632">
                  <c:v>2.6480386926472783</c:v>
                </c:pt>
                <c:pt idx="633">
                  <c:v>2.6397190735794056</c:v>
                </c:pt>
                <c:pt idx="634">
                  <c:v>2.6315379901023985</c:v>
                </c:pt>
                <c:pt idx="635">
                  <c:v>2.6234936995034968</c:v>
                </c:pt>
                <c:pt idx="636">
                  <c:v>2.6155844948423299</c:v>
                </c:pt>
                <c:pt idx="637">
                  <c:v>2.607808704273153</c:v>
                </c:pt>
                <c:pt idx="638">
                  <c:v>2.6001646903839029</c:v>
                </c:pt>
                <c:pt idx="639">
                  <c:v>2.5926508495516876</c:v>
                </c:pt>
                <c:pt idx="640">
                  <c:v>2.5852656113142669</c:v>
                </c:pt>
                <c:pt idx="641">
                  <c:v>2.5780074377571767</c:v>
                </c:pt>
                <c:pt idx="642">
                  <c:v>2.5708748229160596</c:v>
                </c:pt>
                <c:pt idx="643">
                  <c:v>2.5638662921938651</c:v>
                </c:pt>
                <c:pt idx="644">
                  <c:v>2.5569804017925568</c:v>
                </c:pt>
                <c:pt idx="645">
                  <c:v>2.5502157381589607</c:v>
                </c:pt>
                <c:pt idx="646">
                  <c:v>2.5435709174444274</c:v>
                </c:pt>
                <c:pt idx="647">
                  <c:v>2.5370445849779704</c:v>
                </c:pt>
                <c:pt idx="648">
                  <c:v>2.5306354147525614</c:v>
                </c:pt>
                <c:pt idx="649">
                  <c:v>2.5243421089242823</c:v>
                </c:pt>
                <c:pt idx="650">
                  <c:v>2.5181633973240061</c:v>
                </c:pt>
                <c:pt idx="651">
                  <c:v>2.5120980369813455</c:v>
                </c:pt>
                <c:pt idx="652">
                  <c:v>2.5061448116605534</c:v>
                </c:pt>
                <c:pt idx="653">
                  <c:v>2.5003025314081224</c:v>
                </c:pt>
                <c:pt idx="654">
                  <c:v>2.4945700321118083</c:v>
                </c:pt>
                <c:pt idx="655">
                  <c:v>2.4889461750707955</c:v>
                </c:pt>
                <c:pt idx="656">
                  <c:v>2.4834298465767999</c:v>
                </c:pt>
                <c:pt idx="657">
                  <c:v>2.4780199575058077</c:v>
                </c:pt>
                <c:pt idx="658">
                  <c:v>2.4727154429202511</c:v>
                </c:pt>
                <c:pt idx="659">
                  <c:v>2.4675152616813754</c:v>
                </c:pt>
                <c:pt idx="660">
                  <c:v>2.4624183960715693</c:v>
                </c:pt>
                <c:pt idx="661">
                  <c:v>2.4574238514264577</c:v>
                </c:pt>
                <c:pt idx="662">
                  <c:v>2.4525306557765152</c:v>
                </c:pt>
                <c:pt idx="663">
                  <c:v>2.4477378594980346</c:v>
                </c:pt>
                <c:pt idx="664">
                  <c:v>2.4430445349732053</c:v>
                </c:pt>
                <c:pt idx="665">
                  <c:v>2.4384497762591657</c:v>
                </c:pt>
                <c:pt idx="666">
                  <c:v>2.4339526987657791</c:v>
                </c:pt>
                <c:pt idx="667">
                  <c:v>2.429552438942006</c:v>
                </c:pt>
                <c:pt idx="668">
                  <c:v>2.4252481539706543</c:v>
                </c:pt>
                <c:pt idx="669">
                  <c:v>2.4210390214713766</c:v>
                </c:pt>
                <c:pt idx="670">
                  <c:v>2.4169242392117103</c:v>
                </c:pt>
                <c:pt idx="671">
                  <c:v>2.4129030248260279</c:v>
                </c:pt>
                <c:pt idx="672">
                  <c:v>2.4089746155422334</c:v>
                </c:pt>
                <c:pt idx="673">
                  <c:v>2.405138267916036</c:v>
                </c:pt>
                <c:pt idx="674">
                  <c:v>2.4013932575727033</c:v>
                </c:pt>
                <c:pt idx="675">
                  <c:v>2.3977388789560865</c:v>
                </c:pt>
                <c:pt idx="676">
                  <c:v>2.3941744450848401</c:v>
                </c:pt>
                <c:pt idx="677">
                  <c:v>2.3906992873156629</c:v>
                </c:pt>
                <c:pt idx="678">
                  <c:v>2.3873127551134594</c:v>
                </c:pt>
                <c:pt idx="679">
                  <c:v>2.3840142158282798</c:v>
                </c:pt>
                <c:pt idx="680">
                  <c:v>2.380803054478918</c:v>
                </c:pt>
                <c:pt idx="681">
                  <c:v>2.3776786735430657</c:v>
                </c:pt>
                <c:pt idx="682">
                  <c:v>2.3746404927539064</c:v>
                </c:pt>
                <c:pt idx="683">
                  <c:v>2.3716879489030158</c:v>
                </c:pt>
                <c:pt idx="684">
                  <c:v>2.3688204956495045</c:v>
                </c:pt>
                <c:pt idx="685">
                  <c:v>2.366037603335275</c:v>
                </c:pt>
                <c:pt idx="686">
                  <c:v>2.3633387588062917</c:v>
                </c:pt>
                <c:pt idx="687">
                  <c:v>2.3607234652397913</c:v>
                </c:pt>
                <c:pt idx="688">
                  <c:v>2.3581912419773214</c:v>
                </c:pt>
                <c:pt idx="689">
                  <c:v>2.3557416243635383</c:v>
                </c:pt>
                <c:pt idx="690">
                  <c:v>2.3533741635906527</c:v>
                </c:pt>
                <c:pt idx="691">
                  <c:v>2.3510884265484764</c:v>
                </c:pt>
                <c:pt idx="692">
                  <c:v>2.3488839956799685</c:v>
                </c:pt>
                <c:pt idx="693">
                  <c:v>2.3467604688422012</c:v>
                </c:pt>
                <c:pt idx="694">
                  <c:v>2.3447174591726991</c:v>
                </c:pt>
                <c:pt idx="695">
                  <c:v>2.3427545949610571</c:v>
                </c:pt>
                <c:pt idx="696">
                  <c:v>2.3408715195257823</c:v>
                </c:pt>
                <c:pt idx="697">
                  <c:v>2.3390678910962968</c:v>
                </c:pt>
                <c:pt idx="698">
                  <c:v>2.3373433827000394</c:v>
                </c:pt>
                <c:pt idx="699">
                  <c:v>2.3356976820545974</c:v>
                </c:pt>
                <c:pt idx="700">
                  <c:v>2.3341304914648382</c:v>
                </c:pt>
                <c:pt idx="701">
                  <c:v>2.3326415277249604</c:v>
                </c:pt>
                <c:pt idx="702">
                  <c:v>2.3312305220254297</c:v>
                </c:pt>
                <c:pt idx="703">
                  <c:v>2.3298972198647543</c:v>
                </c:pt>
                <c:pt idx="704">
                  <c:v>2.3286413809660447</c:v>
                </c:pt>
                <c:pt idx="705">
                  <c:v>2.3274627791983176</c:v>
                </c:pt>
                <c:pt idx="706">
                  <c:v>2.3263612025025142</c:v>
                </c:pt>
                <c:pt idx="707">
                  <c:v>2.3253364528221825</c:v>
                </c:pt>
                <c:pt idx="708">
                  <c:v>2.324388346038798</c:v>
                </c:pt>
                <c:pt idx="709">
                  <c:v>2.3235167119116782</c:v>
                </c:pt>
                <c:pt idx="710">
                  <c:v>2.3227213940224778</c:v>
                </c:pt>
                <c:pt idx="711">
                  <c:v>2.3220022497242172</c:v>
                </c:pt>
                <c:pt idx="712">
                  <c:v>2.3213591500948398</c:v>
                </c:pt>
                <c:pt idx="713">
                  <c:v>2.3207919798952545</c:v>
                </c:pt>
                <c:pt idx="714">
                  <c:v>2.3203006375318482</c:v>
                </c:pt>
                <c:pt idx="715">
                  <c:v>2.3198850350234661</c:v>
                </c:pt>
                <c:pt idx="716">
                  <c:v>2.3195450979728136</c:v>
                </c:pt>
                <c:pt idx="717">
                  <c:v>2.3192807655422913</c:v>
                </c:pt>
                <c:pt idx="718">
                  <c:v>2.319091990434238</c:v>
                </c:pt>
                <c:pt idx="719">
                  <c:v>2.3189787388755692</c:v>
                </c:pt>
                <c:pt idx="720">
                  <c:v>2.3189409906068219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DC-4004-837F-35A726EBFDB5}"/>
            </c:ext>
          </c:extLst>
        </c:ser>
        <c:ser>
          <c:idx val="3"/>
          <c:order val="3"/>
          <c:tx>
            <c:v>AE 30°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Barrido_AE!$A$12:$A$732</c:f>
              <c:numCache>
                <c:formatCode>0.0</c:formatCode>
                <c:ptCount val="721"/>
                <c:pt idx="0">
                  <c:v>-180</c:v>
                </c:pt>
                <c:pt idx="1">
                  <c:v>-179.5</c:v>
                </c:pt>
                <c:pt idx="2">
                  <c:v>-179</c:v>
                </c:pt>
                <c:pt idx="3">
                  <c:v>-178.5</c:v>
                </c:pt>
                <c:pt idx="4">
                  <c:v>-178</c:v>
                </c:pt>
                <c:pt idx="5">
                  <c:v>-177.5</c:v>
                </c:pt>
                <c:pt idx="6">
                  <c:v>-177</c:v>
                </c:pt>
                <c:pt idx="7">
                  <c:v>-176.5</c:v>
                </c:pt>
                <c:pt idx="8">
                  <c:v>-176</c:v>
                </c:pt>
                <c:pt idx="9">
                  <c:v>-175.5</c:v>
                </c:pt>
                <c:pt idx="10">
                  <c:v>-175</c:v>
                </c:pt>
                <c:pt idx="11">
                  <c:v>-174.5</c:v>
                </c:pt>
                <c:pt idx="12">
                  <c:v>-174</c:v>
                </c:pt>
                <c:pt idx="13">
                  <c:v>-173.5</c:v>
                </c:pt>
                <c:pt idx="14">
                  <c:v>-173</c:v>
                </c:pt>
                <c:pt idx="15">
                  <c:v>-172.5</c:v>
                </c:pt>
                <c:pt idx="16">
                  <c:v>-172</c:v>
                </c:pt>
                <c:pt idx="17">
                  <c:v>-171.5</c:v>
                </c:pt>
                <c:pt idx="18">
                  <c:v>-171</c:v>
                </c:pt>
                <c:pt idx="19">
                  <c:v>-170.5</c:v>
                </c:pt>
                <c:pt idx="20">
                  <c:v>-170</c:v>
                </c:pt>
                <c:pt idx="21">
                  <c:v>-169.5</c:v>
                </c:pt>
                <c:pt idx="22">
                  <c:v>-169</c:v>
                </c:pt>
                <c:pt idx="23">
                  <c:v>-168.5</c:v>
                </c:pt>
                <c:pt idx="24">
                  <c:v>-168</c:v>
                </c:pt>
                <c:pt idx="25">
                  <c:v>-167.5</c:v>
                </c:pt>
                <c:pt idx="26">
                  <c:v>-167</c:v>
                </c:pt>
                <c:pt idx="27">
                  <c:v>-166.5</c:v>
                </c:pt>
                <c:pt idx="28">
                  <c:v>-166</c:v>
                </c:pt>
                <c:pt idx="29">
                  <c:v>-165.5</c:v>
                </c:pt>
                <c:pt idx="30">
                  <c:v>-165</c:v>
                </c:pt>
                <c:pt idx="31">
                  <c:v>-164.5</c:v>
                </c:pt>
                <c:pt idx="32">
                  <c:v>-164</c:v>
                </c:pt>
                <c:pt idx="33">
                  <c:v>-163.5</c:v>
                </c:pt>
                <c:pt idx="34">
                  <c:v>-163</c:v>
                </c:pt>
                <c:pt idx="35">
                  <c:v>-162.5</c:v>
                </c:pt>
                <c:pt idx="36">
                  <c:v>-162</c:v>
                </c:pt>
                <c:pt idx="37">
                  <c:v>-161.5</c:v>
                </c:pt>
                <c:pt idx="38">
                  <c:v>-161</c:v>
                </c:pt>
                <c:pt idx="39">
                  <c:v>-160.5</c:v>
                </c:pt>
                <c:pt idx="40">
                  <c:v>-160</c:v>
                </c:pt>
                <c:pt idx="41">
                  <c:v>-159.5</c:v>
                </c:pt>
                <c:pt idx="42">
                  <c:v>-159</c:v>
                </c:pt>
                <c:pt idx="43">
                  <c:v>-158.5</c:v>
                </c:pt>
                <c:pt idx="44">
                  <c:v>-158</c:v>
                </c:pt>
                <c:pt idx="45">
                  <c:v>-157.5</c:v>
                </c:pt>
                <c:pt idx="46">
                  <c:v>-157</c:v>
                </c:pt>
                <c:pt idx="47">
                  <c:v>-156.5</c:v>
                </c:pt>
                <c:pt idx="48">
                  <c:v>-156</c:v>
                </c:pt>
                <c:pt idx="49">
                  <c:v>-155.5</c:v>
                </c:pt>
                <c:pt idx="50">
                  <c:v>-155</c:v>
                </c:pt>
                <c:pt idx="51">
                  <c:v>-154.5</c:v>
                </c:pt>
                <c:pt idx="52">
                  <c:v>-154</c:v>
                </c:pt>
                <c:pt idx="53">
                  <c:v>-153.5</c:v>
                </c:pt>
                <c:pt idx="54">
                  <c:v>-153</c:v>
                </c:pt>
                <c:pt idx="55">
                  <c:v>-152.5</c:v>
                </c:pt>
                <c:pt idx="56">
                  <c:v>-152</c:v>
                </c:pt>
                <c:pt idx="57">
                  <c:v>-151.5</c:v>
                </c:pt>
                <c:pt idx="58">
                  <c:v>-151</c:v>
                </c:pt>
                <c:pt idx="59">
                  <c:v>-150.5</c:v>
                </c:pt>
                <c:pt idx="60">
                  <c:v>-150</c:v>
                </c:pt>
                <c:pt idx="61">
                  <c:v>-149.5</c:v>
                </c:pt>
                <c:pt idx="62">
                  <c:v>-149</c:v>
                </c:pt>
                <c:pt idx="63">
                  <c:v>-148.5</c:v>
                </c:pt>
                <c:pt idx="64">
                  <c:v>-148</c:v>
                </c:pt>
                <c:pt idx="65">
                  <c:v>-147.5</c:v>
                </c:pt>
                <c:pt idx="66">
                  <c:v>-147</c:v>
                </c:pt>
                <c:pt idx="67">
                  <c:v>-146.5</c:v>
                </c:pt>
                <c:pt idx="68">
                  <c:v>-146</c:v>
                </c:pt>
                <c:pt idx="69">
                  <c:v>-145.5</c:v>
                </c:pt>
                <c:pt idx="70">
                  <c:v>-145</c:v>
                </c:pt>
                <c:pt idx="71">
                  <c:v>-144.5</c:v>
                </c:pt>
                <c:pt idx="72">
                  <c:v>-144</c:v>
                </c:pt>
                <c:pt idx="73">
                  <c:v>-143.5</c:v>
                </c:pt>
                <c:pt idx="74">
                  <c:v>-143</c:v>
                </c:pt>
                <c:pt idx="75">
                  <c:v>-142.5</c:v>
                </c:pt>
                <c:pt idx="76">
                  <c:v>-142</c:v>
                </c:pt>
                <c:pt idx="77">
                  <c:v>-141.5</c:v>
                </c:pt>
                <c:pt idx="78">
                  <c:v>-141</c:v>
                </c:pt>
                <c:pt idx="79">
                  <c:v>-140.5</c:v>
                </c:pt>
                <c:pt idx="80">
                  <c:v>-140</c:v>
                </c:pt>
                <c:pt idx="81">
                  <c:v>-139.5</c:v>
                </c:pt>
                <c:pt idx="82">
                  <c:v>-139</c:v>
                </c:pt>
                <c:pt idx="83">
                  <c:v>-138.5</c:v>
                </c:pt>
                <c:pt idx="84">
                  <c:v>-138</c:v>
                </c:pt>
                <c:pt idx="85">
                  <c:v>-137.5</c:v>
                </c:pt>
                <c:pt idx="86">
                  <c:v>-137</c:v>
                </c:pt>
                <c:pt idx="87">
                  <c:v>-136.5</c:v>
                </c:pt>
                <c:pt idx="88">
                  <c:v>-136</c:v>
                </c:pt>
                <c:pt idx="89">
                  <c:v>-135.5</c:v>
                </c:pt>
                <c:pt idx="90">
                  <c:v>-135</c:v>
                </c:pt>
                <c:pt idx="91">
                  <c:v>-134.5</c:v>
                </c:pt>
                <c:pt idx="92">
                  <c:v>-134</c:v>
                </c:pt>
                <c:pt idx="93">
                  <c:v>-133.5</c:v>
                </c:pt>
                <c:pt idx="94">
                  <c:v>-133</c:v>
                </c:pt>
                <c:pt idx="95">
                  <c:v>-132.5</c:v>
                </c:pt>
                <c:pt idx="96">
                  <c:v>-132</c:v>
                </c:pt>
                <c:pt idx="97">
                  <c:v>-131.5</c:v>
                </c:pt>
                <c:pt idx="98">
                  <c:v>-131</c:v>
                </c:pt>
                <c:pt idx="99">
                  <c:v>-130.5</c:v>
                </c:pt>
                <c:pt idx="100">
                  <c:v>-130</c:v>
                </c:pt>
                <c:pt idx="101">
                  <c:v>-129.5</c:v>
                </c:pt>
                <c:pt idx="102">
                  <c:v>-129</c:v>
                </c:pt>
                <c:pt idx="103">
                  <c:v>-128.5</c:v>
                </c:pt>
                <c:pt idx="104">
                  <c:v>-128</c:v>
                </c:pt>
                <c:pt idx="105">
                  <c:v>-127.5</c:v>
                </c:pt>
                <c:pt idx="106">
                  <c:v>-127</c:v>
                </c:pt>
                <c:pt idx="107">
                  <c:v>-126.5</c:v>
                </c:pt>
                <c:pt idx="108">
                  <c:v>-126</c:v>
                </c:pt>
                <c:pt idx="109">
                  <c:v>-125.5</c:v>
                </c:pt>
                <c:pt idx="110">
                  <c:v>-125</c:v>
                </c:pt>
                <c:pt idx="111">
                  <c:v>-124.5</c:v>
                </c:pt>
                <c:pt idx="112">
                  <c:v>-124</c:v>
                </c:pt>
                <c:pt idx="113">
                  <c:v>-123.5</c:v>
                </c:pt>
                <c:pt idx="114">
                  <c:v>-123</c:v>
                </c:pt>
                <c:pt idx="115">
                  <c:v>-122.5</c:v>
                </c:pt>
                <c:pt idx="116">
                  <c:v>-122</c:v>
                </c:pt>
                <c:pt idx="117">
                  <c:v>-121.5</c:v>
                </c:pt>
                <c:pt idx="118">
                  <c:v>-121</c:v>
                </c:pt>
                <c:pt idx="119">
                  <c:v>-120.5</c:v>
                </c:pt>
                <c:pt idx="120">
                  <c:v>-120</c:v>
                </c:pt>
                <c:pt idx="121">
                  <c:v>-119.5</c:v>
                </c:pt>
                <c:pt idx="122">
                  <c:v>-119</c:v>
                </c:pt>
                <c:pt idx="123">
                  <c:v>-118.5</c:v>
                </c:pt>
                <c:pt idx="124">
                  <c:v>-118</c:v>
                </c:pt>
                <c:pt idx="125">
                  <c:v>-117.5</c:v>
                </c:pt>
                <c:pt idx="126">
                  <c:v>-117</c:v>
                </c:pt>
                <c:pt idx="127">
                  <c:v>-116.5</c:v>
                </c:pt>
                <c:pt idx="128">
                  <c:v>-116</c:v>
                </c:pt>
                <c:pt idx="129">
                  <c:v>-115.5</c:v>
                </c:pt>
                <c:pt idx="130">
                  <c:v>-115</c:v>
                </c:pt>
                <c:pt idx="131">
                  <c:v>-114.5</c:v>
                </c:pt>
                <c:pt idx="132">
                  <c:v>-114</c:v>
                </c:pt>
                <c:pt idx="133">
                  <c:v>-113.5</c:v>
                </c:pt>
                <c:pt idx="134">
                  <c:v>-113</c:v>
                </c:pt>
                <c:pt idx="135">
                  <c:v>-112.5</c:v>
                </c:pt>
                <c:pt idx="136">
                  <c:v>-112</c:v>
                </c:pt>
                <c:pt idx="137">
                  <c:v>-111.5</c:v>
                </c:pt>
                <c:pt idx="138">
                  <c:v>-111</c:v>
                </c:pt>
                <c:pt idx="139">
                  <c:v>-110.5</c:v>
                </c:pt>
                <c:pt idx="140">
                  <c:v>-110</c:v>
                </c:pt>
                <c:pt idx="141">
                  <c:v>-109.5</c:v>
                </c:pt>
                <c:pt idx="142">
                  <c:v>-109</c:v>
                </c:pt>
                <c:pt idx="143">
                  <c:v>-108.5</c:v>
                </c:pt>
                <c:pt idx="144">
                  <c:v>-108</c:v>
                </c:pt>
                <c:pt idx="145">
                  <c:v>-107.5</c:v>
                </c:pt>
                <c:pt idx="146">
                  <c:v>-107</c:v>
                </c:pt>
                <c:pt idx="147">
                  <c:v>-106.5</c:v>
                </c:pt>
                <c:pt idx="148">
                  <c:v>-106</c:v>
                </c:pt>
                <c:pt idx="149">
                  <c:v>-105.5</c:v>
                </c:pt>
                <c:pt idx="150">
                  <c:v>-105</c:v>
                </c:pt>
                <c:pt idx="151">
                  <c:v>-104.5</c:v>
                </c:pt>
                <c:pt idx="152">
                  <c:v>-104</c:v>
                </c:pt>
                <c:pt idx="153">
                  <c:v>-103.5</c:v>
                </c:pt>
                <c:pt idx="154">
                  <c:v>-103</c:v>
                </c:pt>
                <c:pt idx="155">
                  <c:v>-102.5</c:v>
                </c:pt>
                <c:pt idx="156">
                  <c:v>-102</c:v>
                </c:pt>
                <c:pt idx="157">
                  <c:v>-101.5</c:v>
                </c:pt>
                <c:pt idx="158">
                  <c:v>-101</c:v>
                </c:pt>
                <c:pt idx="159">
                  <c:v>-100.5</c:v>
                </c:pt>
                <c:pt idx="160">
                  <c:v>-100</c:v>
                </c:pt>
                <c:pt idx="161">
                  <c:v>-99.5</c:v>
                </c:pt>
                <c:pt idx="162">
                  <c:v>-99</c:v>
                </c:pt>
                <c:pt idx="163">
                  <c:v>-98.5</c:v>
                </c:pt>
                <c:pt idx="164">
                  <c:v>-98</c:v>
                </c:pt>
                <c:pt idx="165">
                  <c:v>-97.5</c:v>
                </c:pt>
                <c:pt idx="166">
                  <c:v>-97</c:v>
                </c:pt>
                <c:pt idx="167">
                  <c:v>-96.5</c:v>
                </c:pt>
                <c:pt idx="168">
                  <c:v>-96</c:v>
                </c:pt>
                <c:pt idx="169">
                  <c:v>-95.5</c:v>
                </c:pt>
                <c:pt idx="170">
                  <c:v>-95</c:v>
                </c:pt>
                <c:pt idx="171">
                  <c:v>-94.5</c:v>
                </c:pt>
                <c:pt idx="172">
                  <c:v>-94</c:v>
                </c:pt>
                <c:pt idx="173">
                  <c:v>-93.5</c:v>
                </c:pt>
                <c:pt idx="174">
                  <c:v>-93</c:v>
                </c:pt>
                <c:pt idx="175">
                  <c:v>-92.5</c:v>
                </c:pt>
                <c:pt idx="176">
                  <c:v>-92</c:v>
                </c:pt>
                <c:pt idx="177">
                  <c:v>-91.5</c:v>
                </c:pt>
                <c:pt idx="178">
                  <c:v>-91</c:v>
                </c:pt>
                <c:pt idx="179">
                  <c:v>-90.5</c:v>
                </c:pt>
                <c:pt idx="180">
                  <c:v>-90</c:v>
                </c:pt>
                <c:pt idx="181">
                  <c:v>-89.5</c:v>
                </c:pt>
                <c:pt idx="182">
                  <c:v>-89</c:v>
                </c:pt>
                <c:pt idx="183">
                  <c:v>-88.5</c:v>
                </c:pt>
                <c:pt idx="184">
                  <c:v>-88</c:v>
                </c:pt>
                <c:pt idx="185">
                  <c:v>-87.5</c:v>
                </c:pt>
                <c:pt idx="186">
                  <c:v>-87</c:v>
                </c:pt>
                <c:pt idx="187">
                  <c:v>-86.5</c:v>
                </c:pt>
                <c:pt idx="188">
                  <c:v>-86</c:v>
                </c:pt>
                <c:pt idx="189">
                  <c:v>-85.5</c:v>
                </c:pt>
                <c:pt idx="190">
                  <c:v>-85</c:v>
                </c:pt>
                <c:pt idx="191">
                  <c:v>-84.5</c:v>
                </c:pt>
                <c:pt idx="192">
                  <c:v>-84</c:v>
                </c:pt>
                <c:pt idx="193">
                  <c:v>-83.5</c:v>
                </c:pt>
                <c:pt idx="194">
                  <c:v>-83</c:v>
                </c:pt>
                <c:pt idx="195">
                  <c:v>-82.5</c:v>
                </c:pt>
                <c:pt idx="196">
                  <c:v>-82</c:v>
                </c:pt>
                <c:pt idx="197">
                  <c:v>-81.5</c:v>
                </c:pt>
                <c:pt idx="198">
                  <c:v>-81</c:v>
                </c:pt>
                <c:pt idx="199">
                  <c:v>-80.5</c:v>
                </c:pt>
                <c:pt idx="200">
                  <c:v>-80</c:v>
                </c:pt>
                <c:pt idx="201">
                  <c:v>-79.5</c:v>
                </c:pt>
                <c:pt idx="202">
                  <c:v>-79</c:v>
                </c:pt>
                <c:pt idx="203">
                  <c:v>-78.5</c:v>
                </c:pt>
                <c:pt idx="204">
                  <c:v>-78</c:v>
                </c:pt>
                <c:pt idx="205">
                  <c:v>-77.5</c:v>
                </c:pt>
                <c:pt idx="206">
                  <c:v>-77</c:v>
                </c:pt>
                <c:pt idx="207">
                  <c:v>-76.5</c:v>
                </c:pt>
                <c:pt idx="208">
                  <c:v>-76</c:v>
                </c:pt>
                <c:pt idx="209">
                  <c:v>-75.5</c:v>
                </c:pt>
                <c:pt idx="210">
                  <c:v>-75</c:v>
                </c:pt>
                <c:pt idx="211">
                  <c:v>-74.5</c:v>
                </c:pt>
                <c:pt idx="212">
                  <c:v>-74</c:v>
                </c:pt>
                <c:pt idx="213">
                  <c:v>-73.5</c:v>
                </c:pt>
                <c:pt idx="214">
                  <c:v>-73</c:v>
                </c:pt>
                <c:pt idx="215">
                  <c:v>-72.5</c:v>
                </c:pt>
                <c:pt idx="216">
                  <c:v>-72</c:v>
                </c:pt>
                <c:pt idx="217">
                  <c:v>-71.5</c:v>
                </c:pt>
                <c:pt idx="218">
                  <c:v>-71</c:v>
                </c:pt>
                <c:pt idx="219">
                  <c:v>-70.5</c:v>
                </c:pt>
                <c:pt idx="220">
                  <c:v>-70</c:v>
                </c:pt>
                <c:pt idx="221">
                  <c:v>-69.5</c:v>
                </c:pt>
                <c:pt idx="222">
                  <c:v>-69</c:v>
                </c:pt>
                <c:pt idx="223">
                  <c:v>-68.5</c:v>
                </c:pt>
                <c:pt idx="224">
                  <c:v>-68</c:v>
                </c:pt>
                <c:pt idx="225">
                  <c:v>-67.5</c:v>
                </c:pt>
                <c:pt idx="226">
                  <c:v>-67</c:v>
                </c:pt>
                <c:pt idx="227">
                  <c:v>-66.5</c:v>
                </c:pt>
                <c:pt idx="228">
                  <c:v>-66</c:v>
                </c:pt>
                <c:pt idx="229">
                  <c:v>-65.5</c:v>
                </c:pt>
                <c:pt idx="230">
                  <c:v>-65</c:v>
                </c:pt>
                <c:pt idx="231">
                  <c:v>-64.5</c:v>
                </c:pt>
                <c:pt idx="232">
                  <c:v>-64</c:v>
                </c:pt>
                <c:pt idx="233">
                  <c:v>-63.5</c:v>
                </c:pt>
                <c:pt idx="234">
                  <c:v>-63</c:v>
                </c:pt>
                <c:pt idx="235">
                  <c:v>-62.5</c:v>
                </c:pt>
                <c:pt idx="236">
                  <c:v>-62</c:v>
                </c:pt>
                <c:pt idx="237">
                  <c:v>-61.5</c:v>
                </c:pt>
                <c:pt idx="238">
                  <c:v>-61</c:v>
                </c:pt>
                <c:pt idx="239">
                  <c:v>-60.5</c:v>
                </c:pt>
                <c:pt idx="240">
                  <c:v>-60</c:v>
                </c:pt>
                <c:pt idx="241">
                  <c:v>-59.5</c:v>
                </c:pt>
                <c:pt idx="242">
                  <c:v>-59</c:v>
                </c:pt>
                <c:pt idx="243">
                  <c:v>-58.5</c:v>
                </c:pt>
                <c:pt idx="244">
                  <c:v>-58</c:v>
                </c:pt>
                <c:pt idx="245">
                  <c:v>-57.5</c:v>
                </c:pt>
                <c:pt idx="246">
                  <c:v>-57</c:v>
                </c:pt>
                <c:pt idx="247">
                  <c:v>-56.5</c:v>
                </c:pt>
                <c:pt idx="248">
                  <c:v>-56</c:v>
                </c:pt>
                <c:pt idx="249">
                  <c:v>-55.5</c:v>
                </c:pt>
                <c:pt idx="250">
                  <c:v>-55</c:v>
                </c:pt>
                <c:pt idx="251">
                  <c:v>-54.5</c:v>
                </c:pt>
                <c:pt idx="252">
                  <c:v>-54</c:v>
                </c:pt>
                <c:pt idx="253">
                  <c:v>-53.5</c:v>
                </c:pt>
                <c:pt idx="254">
                  <c:v>-53</c:v>
                </c:pt>
                <c:pt idx="255">
                  <c:v>-52.5</c:v>
                </c:pt>
                <c:pt idx="256">
                  <c:v>-52</c:v>
                </c:pt>
                <c:pt idx="257">
                  <c:v>-51.5</c:v>
                </c:pt>
                <c:pt idx="258">
                  <c:v>-51</c:v>
                </c:pt>
                <c:pt idx="259">
                  <c:v>-50.5</c:v>
                </c:pt>
                <c:pt idx="260">
                  <c:v>-50</c:v>
                </c:pt>
                <c:pt idx="261">
                  <c:v>-49.5</c:v>
                </c:pt>
                <c:pt idx="262">
                  <c:v>-49</c:v>
                </c:pt>
                <c:pt idx="263">
                  <c:v>-48.5</c:v>
                </c:pt>
                <c:pt idx="264">
                  <c:v>-48</c:v>
                </c:pt>
                <c:pt idx="265">
                  <c:v>-47.5</c:v>
                </c:pt>
                <c:pt idx="266">
                  <c:v>-47</c:v>
                </c:pt>
                <c:pt idx="267">
                  <c:v>-46.5</c:v>
                </c:pt>
                <c:pt idx="268">
                  <c:v>-46</c:v>
                </c:pt>
                <c:pt idx="269">
                  <c:v>-45.5</c:v>
                </c:pt>
                <c:pt idx="270">
                  <c:v>-45</c:v>
                </c:pt>
                <c:pt idx="271">
                  <c:v>-44.5</c:v>
                </c:pt>
                <c:pt idx="272">
                  <c:v>-44</c:v>
                </c:pt>
                <c:pt idx="273">
                  <c:v>-43.5</c:v>
                </c:pt>
                <c:pt idx="274">
                  <c:v>-43</c:v>
                </c:pt>
                <c:pt idx="275">
                  <c:v>-42.5</c:v>
                </c:pt>
                <c:pt idx="276">
                  <c:v>-42</c:v>
                </c:pt>
                <c:pt idx="277">
                  <c:v>-41.5</c:v>
                </c:pt>
                <c:pt idx="278">
                  <c:v>-41</c:v>
                </c:pt>
                <c:pt idx="279">
                  <c:v>-40.5</c:v>
                </c:pt>
                <c:pt idx="280">
                  <c:v>-40</c:v>
                </c:pt>
                <c:pt idx="281">
                  <c:v>-39.5</c:v>
                </c:pt>
                <c:pt idx="282">
                  <c:v>-39</c:v>
                </c:pt>
                <c:pt idx="283">
                  <c:v>-38.5</c:v>
                </c:pt>
                <c:pt idx="284">
                  <c:v>-38</c:v>
                </c:pt>
                <c:pt idx="285">
                  <c:v>-37.5</c:v>
                </c:pt>
                <c:pt idx="286">
                  <c:v>-37</c:v>
                </c:pt>
                <c:pt idx="287">
                  <c:v>-36.5</c:v>
                </c:pt>
                <c:pt idx="288">
                  <c:v>-36</c:v>
                </c:pt>
                <c:pt idx="289">
                  <c:v>-35.5</c:v>
                </c:pt>
                <c:pt idx="290">
                  <c:v>-35</c:v>
                </c:pt>
                <c:pt idx="291">
                  <c:v>-34.5</c:v>
                </c:pt>
                <c:pt idx="292">
                  <c:v>-34</c:v>
                </c:pt>
                <c:pt idx="293">
                  <c:v>-33.5</c:v>
                </c:pt>
                <c:pt idx="294">
                  <c:v>-33</c:v>
                </c:pt>
                <c:pt idx="295">
                  <c:v>-32.5</c:v>
                </c:pt>
                <c:pt idx="296">
                  <c:v>-32</c:v>
                </c:pt>
                <c:pt idx="297">
                  <c:v>-31.5</c:v>
                </c:pt>
                <c:pt idx="298">
                  <c:v>-31</c:v>
                </c:pt>
                <c:pt idx="299">
                  <c:v>-30.5</c:v>
                </c:pt>
                <c:pt idx="300">
                  <c:v>-30</c:v>
                </c:pt>
                <c:pt idx="301">
                  <c:v>-29.5</c:v>
                </c:pt>
                <c:pt idx="302">
                  <c:v>-29</c:v>
                </c:pt>
                <c:pt idx="303">
                  <c:v>-28.5</c:v>
                </c:pt>
                <c:pt idx="304">
                  <c:v>-28</c:v>
                </c:pt>
                <c:pt idx="305">
                  <c:v>-27.5</c:v>
                </c:pt>
                <c:pt idx="306">
                  <c:v>-27</c:v>
                </c:pt>
                <c:pt idx="307">
                  <c:v>-26.5</c:v>
                </c:pt>
                <c:pt idx="308">
                  <c:v>-26</c:v>
                </c:pt>
                <c:pt idx="309">
                  <c:v>-25.5</c:v>
                </c:pt>
                <c:pt idx="310">
                  <c:v>-25</c:v>
                </c:pt>
                <c:pt idx="311">
                  <c:v>-24.5</c:v>
                </c:pt>
                <c:pt idx="312">
                  <c:v>-24</c:v>
                </c:pt>
                <c:pt idx="313">
                  <c:v>-23.5</c:v>
                </c:pt>
                <c:pt idx="314">
                  <c:v>-23</c:v>
                </c:pt>
                <c:pt idx="315">
                  <c:v>-22.5</c:v>
                </c:pt>
                <c:pt idx="316">
                  <c:v>-22</c:v>
                </c:pt>
                <c:pt idx="317">
                  <c:v>-21.5</c:v>
                </c:pt>
                <c:pt idx="318">
                  <c:v>-21</c:v>
                </c:pt>
                <c:pt idx="319">
                  <c:v>-20.5</c:v>
                </c:pt>
                <c:pt idx="320">
                  <c:v>-20</c:v>
                </c:pt>
                <c:pt idx="321">
                  <c:v>-19.5</c:v>
                </c:pt>
                <c:pt idx="322">
                  <c:v>-19</c:v>
                </c:pt>
                <c:pt idx="323">
                  <c:v>-18.5</c:v>
                </c:pt>
                <c:pt idx="324">
                  <c:v>-18</c:v>
                </c:pt>
                <c:pt idx="325">
                  <c:v>-17.5</c:v>
                </c:pt>
                <c:pt idx="326">
                  <c:v>-17</c:v>
                </c:pt>
                <c:pt idx="327">
                  <c:v>-16.5</c:v>
                </c:pt>
                <c:pt idx="328">
                  <c:v>-16</c:v>
                </c:pt>
                <c:pt idx="329">
                  <c:v>-15.5</c:v>
                </c:pt>
                <c:pt idx="330">
                  <c:v>-15</c:v>
                </c:pt>
                <c:pt idx="331">
                  <c:v>-14.5</c:v>
                </c:pt>
                <c:pt idx="332">
                  <c:v>-14</c:v>
                </c:pt>
                <c:pt idx="333">
                  <c:v>-13.5</c:v>
                </c:pt>
                <c:pt idx="334">
                  <c:v>-13</c:v>
                </c:pt>
                <c:pt idx="335">
                  <c:v>-12.5</c:v>
                </c:pt>
                <c:pt idx="336">
                  <c:v>-12</c:v>
                </c:pt>
                <c:pt idx="337">
                  <c:v>-11.5</c:v>
                </c:pt>
                <c:pt idx="338">
                  <c:v>-11</c:v>
                </c:pt>
                <c:pt idx="339">
                  <c:v>-10.5</c:v>
                </c:pt>
                <c:pt idx="340">
                  <c:v>-10</c:v>
                </c:pt>
                <c:pt idx="341">
                  <c:v>-9.5</c:v>
                </c:pt>
                <c:pt idx="342">
                  <c:v>-9</c:v>
                </c:pt>
                <c:pt idx="343">
                  <c:v>-8.5</c:v>
                </c:pt>
                <c:pt idx="344">
                  <c:v>-8</c:v>
                </c:pt>
                <c:pt idx="345">
                  <c:v>-7.5</c:v>
                </c:pt>
                <c:pt idx="346">
                  <c:v>-7</c:v>
                </c:pt>
                <c:pt idx="347">
                  <c:v>-6.5</c:v>
                </c:pt>
                <c:pt idx="348">
                  <c:v>-6</c:v>
                </c:pt>
                <c:pt idx="349">
                  <c:v>-5.5</c:v>
                </c:pt>
                <c:pt idx="350">
                  <c:v>-5</c:v>
                </c:pt>
                <c:pt idx="351">
                  <c:v>-4.5</c:v>
                </c:pt>
                <c:pt idx="352">
                  <c:v>-4</c:v>
                </c:pt>
                <c:pt idx="353">
                  <c:v>-3.5</c:v>
                </c:pt>
                <c:pt idx="354">
                  <c:v>-3</c:v>
                </c:pt>
                <c:pt idx="355">
                  <c:v>-2.5</c:v>
                </c:pt>
                <c:pt idx="356">
                  <c:v>-2</c:v>
                </c:pt>
                <c:pt idx="357">
                  <c:v>-1.5</c:v>
                </c:pt>
                <c:pt idx="358">
                  <c:v>-1</c:v>
                </c:pt>
                <c:pt idx="359">
                  <c:v>-0.5</c:v>
                </c:pt>
                <c:pt idx="360">
                  <c:v>0</c:v>
                </c:pt>
                <c:pt idx="361">
                  <c:v>0.5</c:v>
                </c:pt>
                <c:pt idx="362">
                  <c:v>1</c:v>
                </c:pt>
                <c:pt idx="363">
                  <c:v>1.5</c:v>
                </c:pt>
                <c:pt idx="364">
                  <c:v>2</c:v>
                </c:pt>
                <c:pt idx="365">
                  <c:v>2.5</c:v>
                </c:pt>
                <c:pt idx="366">
                  <c:v>3</c:v>
                </c:pt>
                <c:pt idx="367">
                  <c:v>3.5</c:v>
                </c:pt>
                <c:pt idx="368">
                  <c:v>4</c:v>
                </c:pt>
                <c:pt idx="369">
                  <c:v>4.5</c:v>
                </c:pt>
                <c:pt idx="370">
                  <c:v>5</c:v>
                </c:pt>
                <c:pt idx="371">
                  <c:v>5.5</c:v>
                </c:pt>
                <c:pt idx="372">
                  <c:v>6</c:v>
                </c:pt>
                <c:pt idx="373">
                  <c:v>6.5</c:v>
                </c:pt>
                <c:pt idx="374">
                  <c:v>7</c:v>
                </c:pt>
                <c:pt idx="375">
                  <c:v>7.5</c:v>
                </c:pt>
                <c:pt idx="376">
                  <c:v>8</c:v>
                </c:pt>
                <c:pt idx="377">
                  <c:v>8.5</c:v>
                </c:pt>
                <c:pt idx="378">
                  <c:v>9</c:v>
                </c:pt>
                <c:pt idx="379">
                  <c:v>9.5</c:v>
                </c:pt>
                <c:pt idx="380">
                  <c:v>10</c:v>
                </c:pt>
                <c:pt idx="381">
                  <c:v>10.5</c:v>
                </c:pt>
                <c:pt idx="382">
                  <c:v>11</c:v>
                </c:pt>
                <c:pt idx="383">
                  <c:v>11.5</c:v>
                </c:pt>
                <c:pt idx="384">
                  <c:v>12</c:v>
                </c:pt>
                <c:pt idx="385">
                  <c:v>12.5</c:v>
                </c:pt>
                <c:pt idx="386">
                  <c:v>13</c:v>
                </c:pt>
                <c:pt idx="387">
                  <c:v>13.5</c:v>
                </c:pt>
                <c:pt idx="388">
                  <c:v>14</c:v>
                </c:pt>
                <c:pt idx="389">
                  <c:v>14.5</c:v>
                </c:pt>
                <c:pt idx="390">
                  <c:v>15</c:v>
                </c:pt>
                <c:pt idx="391">
                  <c:v>15.5</c:v>
                </c:pt>
                <c:pt idx="392">
                  <c:v>16</c:v>
                </c:pt>
                <c:pt idx="393">
                  <c:v>16.5</c:v>
                </c:pt>
                <c:pt idx="394">
                  <c:v>17</c:v>
                </c:pt>
                <c:pt idx="395">
                  <c:v>17.5</c:v>
                </c:pt>
                <c:pt idx="396">
                  <c:v>18</c:v>
                </c:pt>
                <c:pt idx="397">
                  <c:v>18.5</c:v>
                </c:pt>
                <c:pt idx="398">
                  <c:v>19</c:v>
                </c:pt>
                <c:pt idx="399">
                  <c:v>19.5</c:v>
                </c:pt>
                <c:pt idx="400">
                  <c:v>20</c:v>
                </c:pt>
                <c:pt idx="401">
                  <c:v>20.5</c:v>
                </c:pt>
                <c:pt idx="402">
                  <c:v>21</c:v>
                </c:pt>
                <c:pt idx="403">
                  <c:v>21.5</c:v>
                </c:pt>
                <c:pt idx="404">
                  <c:v>22</c:v>
                </c:pt>
                <c:pt idx="405">
                  <c:v>22.5</c:v>
                </c:pt>
                <c:pt idx="406">
                  <c:v>23</c:v>
                </c:pt>
                <c:pt idx="407">
                  <c:v>23.5</c:v>
                </c:pt>
                <c:pt idx="408">
                  <c:v>24</c:v>
                </c:pt>
                <c:pt idx="409">
                  <c:v>24.5</c:v>
                </c:pt>
                <c:pt idx="410">
                  <c:v>25</c:v>
                </c:pt>
                <c:pt idx="411">
                  <c:v>25.5</c:v>
                </c:pt>
                <c:pt idx="412">
                  <c:v>26</c:v>
                </c:pt>
                <c:pt idx="413">
                  <c:v>26.5</c:v>
                </c:pt>
                <c:pt idx="414">
                  <c:v>27</c:v>
                </c:pt>
                <c:pt idx="415">
                  <c:v>27.5</c:v>
                </c:pt>
                <c:pt idx="416">
                  <c:v>28</c:v>
                </c:pt>
                <c:pt idx="417">
                  <c:v>28.5</c:v>
                </c:pt>
                <c:pt idx="418">
                  <c:v>29</c:v>
                </c:pt>
                <c:pt idx="419">
                  <c:v>29.5</c:v>
                </c:pt>
                <c:pt idx="420">
                  <c:v>30</c:v>
                </c:pt>
                <c:pt idx="421">
                  <c:v>30.5</c:v>
                </c:pt>
                <c:pt idx="422">
                  <c:v>31</c:v>
                </c:pt>
                <c:pt idx="423">
                  <c:v>31.5</c:v>
                </c:pt>
                <c:pt idx="424">
                  <c:v>32</c:v>
                </c:pt>
                <c:pt idx="425">
                  <c:v>32.5</c:v>
                </c:pt>
                <c:pt idx="426">
                  <c:v>33</c:v>
                </c:pt>
                <c:pt idx="427">
                  <c:v>33.5</c:v>
                </c:pt>
                <c:pt idx="428">
                  <c:v>34</c:v>
                </c:pt>
                <c:pt idx="429">
                  <c:v>34.5</c:v>
                </c:pt>
                <c:pt idx="430">
                  <c:v>35</c:v>
                </c:pt>
                <c:pt idx="431">
                  <c:v>35.5</c:v>
                </c:pt>
                <c:pt idx="432">
                  <c:v>36</c:v>
                </c:pt>
                <c:pt idx="433">
                  <c:v>36.5</c:v>
                </c:pt>
                <c:pt idx="434">
                  <c:v>37</c:v>
                </c:pt>
                <c:pt idx="435">
                  <c:v>37.5</c:v>
                </c:pt>
                <c:pt idx="436">
                  <c:v>38</c:v>
                </c:pt>
                <c:pt idx="437">
                  <c:v>38.5</c:v>
                </c:pt>
                <c:pt idx="438">
                  <c:v>39</c:v>
                </c:pt>
                <c:pt idx="439">
                  <c:v>39.5</c:v>
                </c:pt>
                <c:pt idx="440">
                  <c:v>40</c:v>
                </c:pt>
                <c:pt idx="441">
                  <c:v>40.5</c:v>
                </c:pt>
                <c:pt idx="442">
                  <c:v>41</c:v>
                </c:pt>
                <c:pt idx="443">
                  <c:v>41.5</c:v>
                </c:pt>
                <c:pt idx="444">
                  <c:v>42</c:v>
                </c:pt>
                <c:pt idx="445">
                  <c:v>42.5</c:v>
                </c:pt>
                <c:pt idx="446">
                  <c:v>43</c:v>
                </c:pt>
                <c:pt idx="447">
                  <c:v>43.5</c:v>
                </c:pt>
                <c:pt idx="448">
                  <c:v>44</c:v>
                </c:pt>
                <c:pt idx="449">
                  <c:v>44.5</c:v>
                </c:pt>
                <c:pt idx="450">
                  <c:v>45</c:v>
                </c:pt>
                <c:pt idx="451">
                  <c:v>45.5</c:v>
                </c:pt>
                <c:pt idx="452">
                  <c:v>46</c:v>
                </c:pt>
                <c:pt idx="453">
                  <c:v>46.5</c:v>
                </c:pt>
                <c:pt idx="454">
                  <c:v>47</c:v>
                </c:pt>
                <c:pt idx="455">
                  <c:v>47.5</c:v>
                </c:pt>
                <c:pt idx="456">
                  <c:v>48</c:v>
                </c:pt>
                <c:pt idx="457">
                  <c:v>48.5</c:v>
                </c:pt>
                <c:pt idx="458">
                  <c:v>49</c:v>
                </c:pt>
                <c:pt idx="459">
                  <c:v>49.5</c:v>
                </c:pt>
                <c:pt idx="460">
                  <c:v>50</c:v>
                </c:pt>
                <c:pt idx="461">
                  <c:v>50.5</c:v>
                </c:pt>
                <c:pt idx="462">
                  <c:v>51</c:v>
                </c:pt>
                <c:pt idx="463">
                  <c:v>51.5</c:v>
                </c:pt>
                <c:pt idx="464">
                  <c:v>52</c:v>
                </c:pt>
                <c:pt idx="465">
                  <c:v>52.5</c:v>
                </c:pt>
                <c:pt idx="466">
                  <c:v>53</c:v>
                </c:pt>
                <c:pt idx="467">
                  <c:v>53.5</c:v>
                </c:pt>
                <c:pt idx="468">
                  <c:v>54</c:v>
                </c:pt>
                <c:pt idx="469">
                  <c:v>54.5</c:v>
                </c:pt>
                <c:pt idx="470">
                  <c:v>55</c:v>
                </c:pt>
                <c:pt idx="471">
                  <c:v>55.5</c:v>
                </c:pt>
                <c:pt idx="472">
                  <c:v>56</c:v>
                </c:pt>
                <c:pt idx="473">
                  <c:v>56.5</c:v>
                </c:pt>
                <c:pt idx="474">
                  <c:v>57</c:v>
                </c:pt>
                <c:pt idx="475">
                  <c:v>57.5</c:v>
                </c:pt>
                <c:pt idx="476">
                  <c:v>58</c:v>
                </c:pt>
                <c:pt idx="477">
                  <c:v>58.5</c:v>
                </c:pt>
                <c:pt idx="478">
                  <c:v>59</c:v>
                </c:pt>
                <c:pt idx="479">
                  <c:v>59.5</c:v>
                </c:pt>
                <c:pt idx="480">
                  <c:v>60</c:v>
                </c:pt>
                <c:pt idx="481">
                  <c:v>60.5</c:v>
                </c:pt>
                <c:pt idx="482">
                  <c:v>61</c:v>
                </c:pt>
                <c:pt idx="483">
                  <c:v>61.5</c:v>
                </c:pt>
                <c:pt idx="484">
                  <c:v>62</c:v>
                </c:pt>
                <c:pt idx="485">
                  <c:v>62.5</c:v>
                </c:pt>
                <c:pt idx="486">
                  <c:v>63</c:v>
                </c:pt>
                <c:pt idx="487">
                  <c:v>63.5</c:v>
                </c:pt>
                <c:pt idx="488">
                  <c:v>64</c:v>
                </c:pt>
                <c:pt idx="489">
                  <c:v>64.5</c:v>
                </c:pt>
                <c:pt idx="490">
                  <c:v>65</c:v>
                </c:pt>
                <c:pt idx="491">
                  <c:v>65.5</c:v>
                </c:pt>
                <c:pt idx="492">
                  <c:v>66</c:v>
                </c:pt>
                <c:pt idx="493">
                  <c:v>66.5</c:v>
                </c:pt>
                <c:pt idx="494">
                  <c:v>67</c:v>
                </c:pt>
                <c:pt idx="495">
                  <c:v>67.5</c:v>
                </c:pt>
                <c:pt idx="496">
                  <c:v>68</c:v>
                </c:pt>
                <c:pt idx="497">
                  <c:v>68.5</c:v>
                </c:pt>
                <c:pt idx="498">
                  <c:v>69</c:v>
                </c:pt>
                <c:pt idx="499">
                  <c:v>69.5</c:v>
                </c:pt>
                <c:pt idx="500">
                  <c:v>70</c:v>
                </c:pt>
                <c:pt idx="501">
                  <c:v>70.5</c:v>
                </c:pt>
                <c:pt idx="502">
                  <c:v>71</c:v>
                </c:pt>
                <c:pt idx="503">
                  <c:v>71.5</c:v>
                </c:pt>
                <c:pt idx="504">
                  <c:v>72</c:v>
                </c:pt>
                <c:pt idx="505">
                  <c:v>72.5</c:v>
                </c:pt>
                <c:pt idx="506">
                  <c:v>73</c:v>
                </c:pt>
                <c:pt idx="507">
                  <c:v>73.5</c:v>
                </c:pt>
                <c:pt idx="508">
                  <c:v>74</c:v>
                </c:pt>
                <c:pt idx="509">
                  <c:v>74.5</c:v>
                </c:pt>
                <c:pt idx="510">
                  <c:v>75</c:v>
                </c:pt>
                <c:pt idx="511">
                  <c:v>75.5</c:v>
                </c:pt>
                <c:pt idx="512">
                  <c:v>76</c:v>
                </c:pt>
                <c:pt idx="513">
                  <c:v>76.5</c:v>
                </c:pt>
                <c:pt idx="514">
                  <c:v>77</c:v>
                </c:pt>
                <c:pt idx="515">
                  <c:v>77.5</c:v>
                </c:pt>
                <c:pt idx="516">
                  <c:v>78</c:v>
                </c:pt>
                <c:pt idx="517">
                  <c:v>78.5</c:v>
                </c:pt>
                <c:pt idx="518">
                  <c:v>79</c:v>
                </c:pt>
                <c:pt idx="519">
                  <c:v>79.5</c:v>
                </c:pt>
                <c:pt idx="520">
                  <c:v>80</c:v>
                </c:pt>
                <c:pt idx="521">
                  <c:v>80.5</c:v>
                </c:pt>
                <c:pt idx="522">
                  <c:v>81</c:v>
                </c:pt>
                <c:pt idx="523">
                  <c:v>81.5</c:v>
                </c:pt>
                <c:pt idx="524">
                  <c:v>82</c:v>
                </c:pt>
                <c:pt idx="525">
                  <c:v>82.5</c:v>
                </c:pt>
                <c:pt idx="526">
                  <c:v>83</c:v>
                </c:pt>
                <c:pt idx="527">
                  <c:v>83.5</c:v>
                </c:pt>
                <c:pt idx="528">
                  <c:v>84</c:v>
                </c:pt>
                <c:pt idx="529">
                  <c:v>84.5</c:v>
                </c:pt>
                <c:pt idx="530">
                  <c:v>85</c:v>
                </c:pt>
                <c:pt idx="531">
                  <c:v>85.5</c:v>
                </c:pt>
                <c:pt idx="532">
                  <c:v>86</c:v>
                </c:pt>
                <c:pt idx="533">
                  <c:v>86.5</c:v>
                </c:pt>
                <c:pt idx="534">
                  <c:v>87</c:v>
                </c:pt>
                <c:pt idx="535">
                  <c:v>87.5</c:v>
                </c:pt>
                <c:pt idx="536">
                  <c:v>88</c:v>
                </c:pt>
                <c:pt idx="537">
                  <c:v>88.5</c:v>
                </c:pt>
                <c:pt idx="538">
                  <c:v>89</c:v>
                </c:pt>
                <c:pt idx="539">
                  <c:v>89.5</c:v>
                </c:pt>
                <c:pt idx="540">
                  <c:v>90</c:v>
                </c:pt>
                <c:pt idx="541">
                  <c:v>90.5</c:v>
                </c:pt>
                <c:pt idx="542">
                  <c:v>91</c:v>
                </c:pt>
                <c:pt idx="543">
                  <c:v>91.5</c:v>
                </c:pt>
                <c:pt idx="544">
                  <c:v>92</c:v>
                </c:pt>
                <c:pt idx="545">
                  <c:v>92.5</c:v>
                </c:pt>
                <c:pt idx="546">
                  <c:v>93</c:v>
                </c:pt>
                <c:pt idx="547">
                  <c:v>93.5</c:v>
                </c:pt>
                <c:pt idx="548">
                  <c:v>94</c:v>
                </c:pt>
                <c:pt idx="549">
                  <c:v>94.5</c:v>
                </c:pt>
                <c:pt idx="550">
                  <c:v>95</c:v>
                </c:pt>
                <c:pt idx="551">
                  <c:v>95.5</c:v>
                </c:pt>
                <c:pt idx="552">
                  <c:v>96</c:v>
                </c:pt>
                <c:pt idx="553">
                  <c:v>96.5</c:v>
                </c:pt>
                <c:pt idx="554">
                  <c:v>97</c:v>
                </c:pt>
                <c:pt idx="555">
                  <c:v>97.5</c:v>
                </c:pt>
                <c:pt idx="556">
                  <c:v>98</c:v>
                </c:pt>
                <c:pt idx="557">
                  <c:v>98.5</c:v>
                </c:pt>
                <c:pt idx="558">
                  <c:v>99</c:v>
                </c:pt>
                <c:pt idx="559">
                  <c:v>99.5</c:v>
                </c:pt>
                <c:pt idx="560">
                  <c:v>100</c:v>
                </c:pt>
                <c:pt idx="561">
                  <c:v>100.5</c:v>
                </c:pt>
                <c:pt idx="562">
                  <c:v>101</c:v>
                </c:pt>
                <c:pt idx="563">
                  <c:v>101.5</c:v>
                </c:pt>
                <c:pt idx="564">
                  <c:v>102</c:v>
                </c:pt>
                <c:pt idx="565">
                  <c:v>102.5</c:v>
                </c:pt>
                <c:pt idx="566">
                  <c:v>103</c:v>
                </c:pt>
                <c:pt idx="567">
                  <c:v>103.5</c:v>
                </c:pt>
                <c:pt idx="568">
                  <c:v>104</c:v>
                </c:pt>
                <c:pt idx="569">
                  <c:v>104.5</c:v>
                </c:pt>
                <c:pt idx="570">
                  <c:v>105</c:v>
                </c:pt>
                <c:pt idx="571">
                  <c:v>105.5</c:v>
                </c:pt>
                <c:pt idx="572">
                  <c:v>106</c:v>
                </c:pt>
                <c:pt idx="573">
                  <c:v>106.5</c:v>
                </c:pt>
                <c:pt idx="574">
                  <c:v>107</c:v>
                </c:pt>
                <c:pt idx="575">
                  <c:v>107.5</c:v>
                </c:pt>
                <c:pt idx="576">
                  <c:v>108</c:v>
                </c:pt>
                <c:pt idx="577">
                  <c:v>108.5</c:v>
                </c:pt>
                <c:pt idx="578">
                  <c:v>109</c:v>
                </c:pt>
                <c:pt idx="579">
                  <c:v>109.5</c:v>
                </c:pt>
                <c:pt idx="580">
                  <c:v>110</c:v>
                </c:pt>
                <c:pt idx="581">
                  <c:v>110.5</c:v>
                </c:pt>
                <c:pt idx="582">
                  <c:v>111</c:v>
                </c:pt>
                <c:pt idx="583">
                  <c:v>111.5</c:v>
                </c:pt>
                <c:pt idx="584">
                  <c:v>112</c:v>
                </c:pt>
                <c:pt idx="585">
                  <c:v>112.5</c:v>
                </c:pt>
                <c:pt idx="586">
                  <c:v>113</c:v>
                </c:pt>
                <c:pt idx="587">
                  <c:v>113.5</c:v>
                </c:pt>
                <c:pt idx="588">
                  <c:v>114</c:v>
                </c:pt>
                <c:pt idx="589">
                  <c:v>114.5</c:v>
                </c:pt>
                <c:pt idx="590">
                  <c:v>115</c:v>
                </c:pt>
                <c:pt idx="591">
                  <c:v>115.5</c:v>
                </c:pt>
                <c:pt idx="592">
                  <c:v>116</c:v>
                </c:pt>
                <c:pt idx="593">
                  <c:v>116.5</c:v>
                </c:pt>
                <c:pt idx="594">
                  <c:v>117</c:v>
                </c:pt>
                <c:pt idx="595">
                  <c:v>117.5</c:v>
                </c:pt>
                <c:pt idx="596">
                  <c:v>118</c:v>
                </c:pt>
                <c:pt idx="597">
                  <c:v>118.5</c:v>
                </c:pt>
                <c:pt idx="598">
                  <c:v>119</c:v>
                </c:pt>
                <c:pt idx="599">
                  <c:v>119.5</c:v>
                </c:pt>
                <c:pt idx="600">
                  <c:v>120</c:v>
                </c:pt>
                <c:pt idx="601">
                  <c:v>120.5</c:v>
                </c:pt>
                <c:pt idx="602">
                  <c:v>121</c:v>
                </c:pt>
                <c:pt idx="603">
                  <c:v>121.5</c:v>
                </c:pt>
                <c:pt idx="604">
                  <c:v>122</c:v>
                </c:pt>
                <c:pt idx="605">
                  <c:v>122.5</c:v>
                </c:pt>
                <c:pt idx="606">
                  <c:v>123</c:v>
                </c:pt>
                <c:pt idx="607">
                  <c:v>123.5</c:v>
                </c:pt>
                <c:pt idx="608">
                  <c:v>124</c:v>
                </c:pt>
                <c:pt idx="609">
                  <c:v>124.5</c:v>
                </c:pt>
                <c:pt idx="610">
                  <c:v>125</c:v>
                </c:pt>
                <c:pt idx="611">
                  <c:v>125.5</c:v>
                </c:pt>
                <c:pt idx="612">
                  <c:v>126</c:v>
                </c:pt>
                <c:pt idx="613">
                  <c:v>126.5</c:v>
                </c:pt>
                <c:pt idx="614">
                  <c:v>127</c:v>
                </c:pt>
                <c:pt idx="615">
                  <c:v>127.5</c:v>
                </c:pt>
                <c:pt idx="616">
                  <c:v>128</c:v>
                </c:pt>
                <c:pt idx="617">
                  <c:v>128.5</c:v>
                </c:pt>
                <c:pt idx="618">
                  <c:v>129</c:v>
                </c:pt>
                <c:pt idx="619">
                  <c:v>129.5</c:v>
                </c:pt>
                <c:pt idx="620">
                  <c:v>130</c:v>
                </c:pt>
                <c:pt idx="621">
                  <c:v>130.5</c:v>
                </c:pt>
                <c:pt idx="622">
                  <c:v>131</c:v>
                </c:pt>
                <c:pt idx="623">
                  <c:v>131.5</c:v>
                </c:pt>
                <c:pt idx="624">
                  <c:v>132</c:v>
                </c:pt>
                <c:pt idx="625">
                  <c:v>132.5</c:v>
                </c:pt>
                <c:pt idx="626">
                  <c:v>133</c:v>
                </c:pt>
                <c:pt idx="627">
                  <c:v>133.5</c:v>
                </c:pt>
                <c:pt idx="628">
                  <c:v>134</c:v>
                </c:pt>
                <c:pt idx="629">
                  <c:v>134.5</c:v>
                </c:pt>
                <c:pt idx="630">
                  <c:v>135</c:v>
                </c:pt>
                <c:pt idx="631">
                  <c:v>135.5</c:v>
                </c:pt>
                <c:pt idx="632">
                  <c:v>136</c:v>
                </c:pt>
                <c:pt idx="633">
                  <c:v>136.5</c:v>
                </c:pt>
                <c:pt idx="634">
                  <c:v>137</c:v>
                </c:pt>
                <c:pt idx="635">
                  <c:v>137.5</c:v>
                </c:pt>
                <c:pt idx="636">
                  <c:v>138</c:v>
                </c:pt>
                <c:pt idx="637">
                  <c:v>138.5</c:v>
                </c:pt>
                <c:pt idx="638">
                  <c:v>139</c:v>
                </c:pt>
                <c:pt idx="639">
                  <c:v>139.5</c:v>
                </c:pt>
                <c:pt idx="640">
                  <c:v>140</c:v>
                </c:pt>
                <c:pt idx="641">
                  <c:v>140.5</c:v>
                </c:pt>
                <c:pt idx="642">
                  <c:v>141</c:v>
                </c:pt>
                <c:pt idx="643">
                  <c:v>141.5</c:v>
                </c:pt>
                <c:pt idx="644">
                  <c:v>142</c:v>
                </c:pt>
                <c:pt idx="645">
                  <c:v>142.5</c:v>
                </c:pt>
                <c:pt idx="646">
                  <c:v>143</c:v>
                </c:pt>
                <c:pt idx="647">
                  <c:v>143.5</c:v>
                </c:pt>
                <c:pt idx="648">
                  <c:v>144</c:v>
                </c:pt>
                <c:pt idx="649">
                  <c:v>144.5</c:v>
                </c:pt>
                <c:pt idx="650">
                  <c:v>145</c:v>
                </c:pt>
                <c:pt idx="651">
                  <c:v>145.5</c:v>
                </c:pt>
                <c:pt idx="652">
                  <c:v>146</c:v>
                </c:pt>
                <c:pt idx="653">
                  <c:v>146.5</c:v>
                </c:pt>
                <c:pt idx="654">
                  <c:v>147</c:v>
                </c:pt>
                <c:pt idx="655">
                  <c:v>147.5</c:v>
                </c:pt>
                <c:pt idx="656">
                  <c:v>148</c:v>
                </c:pt>
                <c:pt idx="657">
                  <c:v>148.5</c:v>
                </c:pt>
                <c:pt idx="658">
                  <c:v>149</c:v>
                </c:pt>
                <c:pt idx="659">
                  <c:v>149.5</c:v>
                </c:pt>
                <c:pt idx="660">
                  <c:v>150</c:v>
                </c:pt>
                <c:pt idx="661">
                  <c:v>150.5</c:v>
                </c:pt>
                <c:pt idx="662">
                  <c:v>151</c:v>
                </c:pt>
                <c:pt idx="663">
                  <c:v>151.5</c:v>
                </c:pt>
                <c:pt idx="664">
                  <c:v>152</c:v>
                </c:pt>
                <c:pt idx="665">
                  <c:v>152.5</c:v>
                </c:pt>
                <c:pt idx="666">
                  <c:v>153</c:v>
                </c:pt>
                <c:pt idx="667">
                  <c:v>153.5</c:v>
                </c:pt>
                <c:pt idx="668">
                  <c:v>154</c:v>
                </c:pt>
                <c:pt idx="669">
                  <c:v>154.5</c:v>
                </c:pt>
                <c:pt idx="670">
                  <c:v>155</c:v>
                </c:pt>
                <c:pt idx="671">
                  <c:v>155.5</c:v>
                </c:pt>
                <c:pt idx="672">
                  <c:v>156</c:v>
                </c:pt>
                <c:pt idx="673">
                  <c:v>156.5</c:v>
                </c:pt>
                <c:pt idx="674">
                  <c:v>157</c:v>
                </c:pt>
                <c:pt idx="675">
                  <c:v>157.5</c:v>
                </c:pt>
                <c:pt idx="676">
                  <c:v>158</c:v>
                </c:pt>
                <c:pt idx="677">
                  <c:v>158.5</c:v>
                </c:pt>
                <c:pt idx="678">
                  <c:v>159</c:v>
                </c:pt>
                <c:pt idx="679">
                  <c:v>159.5</c:v>
                </c:pt>
                <c:pt idx="680">
                  <c:v>160</c:v>
                </c:pt>
                <c:pt idx="681">
                  <c:v>160.5</c:v>
                </c:pt>
                <c:pt idx="682">
                  <c:v>161</c:v>
                </c:pt>
                <c:pt idx="683">
                  <c:v>161.5</c:v>
                </c:pt>
                <c:pt idx="684">
                  <c:v>162</c:v>
                </c:pt>
                <c:pt idx="685">
                  <c:v>162.5</c:v>
                </c:pt>
                <c:pt idx="686">
                  <c:v>163</c:v>
                </c:pt>
                <c:pt idx="687">
                  <c:v>163.5</c:v>
                </c:pt>
                <c:pt idx="688">
                  <c:v>164</c:v>
                </c:pt>
                <c:pt idx="689">
                  <c:v>164.5</c:v>
                </c:pt>
                <c:pt idx="690">
                  <c:v>165</c:v>
                </c:pt>
                <c:pt idx="691">
                  <c:v>165.5</c:v>
                </c:pt>
                <c:pt idx="692">
                  <c:v>166</c:v>
                </c:pt>
                <c:pt idx="693">
                  <c:v>166.5</c:v>
                </c:pt>
                <c:pt idx="694">
                  <c:v>167</c:v>
                </c:pt>
                <c:pt idx="695">
                  <c:v>167.5</c:v>
                </c:pt>
                <c:pt idx="696">
                  <c:v>168</c:v>
                </c:pt>
                <c:pt idx="697">
                  <c:v>168.5</c:v>
                </c:pt>
                <c:pt idx="698">
                  <c:v>169</c:v>
                </c:pt>
                <c:pt idx="699">
                  <c:v>169.5</c:v>
                </c:pt>
                <c:pt idx="700">
                  <c:v>170</c:v>
                </c:pt>
                <c:pt idx="701">
                  <c:v>170.5</c:v>
                </c:pt>
                <c:pt idx="702">
                  <c:v>171</c:v>
                </c:pt>
                <c:pt idx="703">
                  <c:v>171.5</c:v>
                </c:pt>
                <c:pt idx="704">
                  <c:v>172</c:v>
                </c:pt>
                <c:pt idx="705">
                  <c:v>172.5</c:v>
                </c:pt>
                <c:pt idx="706">
                  <c:v>173</c:v>
                </c:pt>
                <c:pt idx="707">
                  <c:v>173.5</c:v>
                </c:pt>
                <c:pt idx="708">
                  <c:v>174</c:v>
                </c:pt>
                <c:pt idx="709">
                  <c:v>174.5</c:v>
                </c:pt>
                <c:pt idx="710">
                  <c:v>175</c:v>
                </c:pt>
                <c:pt idx="711">
                  <c:v>175.5</c:v>
                </c:pt>
                <c:pt idx="712">
                  <c:v>176</c:v>
                </c:pt>
                <c:pt idx="713">
                  <c:v>176.5</c:v>
                </c:pt>
                <c:pt idx="714">
                  <c:v>177</c:v>
                </c:pt>
                <c:pt idx="715">
                  <c:v>177.5</c:v>
                </c:pt>
                <c:pt idx="716">
                  <c:v>178</c:v>
                </c:pt>
                <c:pt idx="717">
                  <c:v>178.5</c:v>
                </c:pt>
                <c:pt idx="718">
                  <c:v>179</c:v>
                </c:pt>
                <c:pt idx="719">
                  <c:v>179.5</c:v>
                </c:pt>
                <c:pt idx="720">
                  <c:v>180</c:v>
                </c:pt>
              </c:numCache>
            </c:numRef>
          </c:xVal>
          <c:yVal>
            <c:numRef>
              <c:f>Barrido_AE!$H$12:$H$732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4.6033346729217515</c:v>
                </c:pt>
                <c:pt idx="276">
                  <c:v>4.6838282643979383</c:v>
                </c:pt>
                <c:pt idx="277">
                  <c:v>4.7661189310785605</c:v>
                </c:pt>
                <c:pt idx="278">
                  <c:v>4.8502428963503164</c:v>
                </c:pt>
                <c:pt idx="279">
                  <c:v>4.9362364384492903</c:v>
                </c:pt>
                <c:pt idx="280">
                  <c:v>5.024135818595048</c:v>
                </c:pt>
                <c:pt idx="281">
                  <c:v>5.1139772021108811</c:v>
                </c:pt>
                <c:pt idx="282">
                  <c:v>5.2057965720721358</c:v>
                </c:pt>
                <c:pt idx="283">
                  <c:v>5.2996296350088352</c:v>
                </c:pt>
                <c:pt idx="284">
                  <c:v>5.3955117181735694</c:v>
                </c:pt>
                <c:pt idx="285">
                  <c:v>5.4934776578723703</c:v>
                </c:pt>
                <c:pt idx="286">
                  <c:v>5.5935616783449866</c:v>
                </c:pt>
                <c:pt idx="287">
                  <c:v>5.6957972606717471</c:v>
                </c:pt>
                <c:pt idx="288">
                  <c:v>5.80021700117838</c:v>
                </c:pt>
                <c:pt idx="289">
                  <c:v>5.9068524588072222</c:v>
                </c:pt>
                <c:pt idx="290">
                  <c:v>6.0157339909247796</c:v>
                </c:pt>
                <c:pt idx="291">
                  <c:v>6.1268905770417605</c:v>
                </c:pt>
                <c:pt idx="292">
                  <c:v>6.2403496299330925</c:v>
                </c:pt>
                <c:pt idx="293">
                  <c:v>6.3561367936632998</c:v>
                </c:pt>
                <c:pt idx="294">
                  <c:v>6.474275728047596</c:v>
                </c:pt>
                <c:pt idx="295">
                  <c:v>6.5947878791117649</c:v>
                </c:pt>
                <c:pt idx="296">
                  <c:v>6.7176922351560417</c:v>
                </c:pt>
                <c:pt idx="297">
                  <c:v>6.8430050680798962</c:v>
                </c:pt>
                <c:pt idx="298">
                  <c:v>6.9707396596879816</c:v>
                </c:pt>
                <c:pt idx="299">
                  <c:v>7.1009060127726942</c:v>
                </c:pt>
                <c:pt idx="300">
                  <c:v>7.2335105468578709</c:v>
                </c:pt>
                <c:pt idx="301">
                  <c:v>7.3685557785910527</c:v>
                </c:pt>
                <c:pt idx="302">
                  <c:v>7.5060399868917722</c:v>
                </c:pt>
                <c:pt idx="303">
                  <c:v>7.6459568630988599</c:v>
                </c:pt>
                <c:pt idx="304">
                  <c:v>7.7882951465147201</c:v>
                </c:pt>
                <c:pt idx="305">
                  <c:v>7.9330382459174604</c:v>
                </c:pt>
                <c:pt idx="306">
                  <c:v>8.080163847805947</c:v>
                </c:pt>
                <c:pt idx="307">
                  <c:v>8.2296435123565956</c:v>
                </c:pt>
                <c:pt idx="308">
                  <c:v>8.381442258307171</c:v>
                </c:pt>
                <c:pt idx="309">
                  <c:v>8.5355181382400183</c:v>
                </c:pt>
                <c:pt idx="310">
                  <c:v>8.6918218060164509</c:v>
                </c:pt>
                <c:pt idx="311">
                  <c:v>8.8502960784148286</c:v>
                </c:pt>
                <c:pt idx="312">
                  <c:v>9.0108754933457398</c:v>
                </c:pt>
                <c:pt idx="313">
                  <c:v>9.173485867358151</c:v>
                </c:pt>
                <c:pt idx="314">
                  <c:v>9.3380438555080385</c:v>
                </c:pt>
                <c:pt idx="315">
                  <c:v>9.5044809266756776</c:v>
                </c:pt>
                <c:pt idx="316">
                  <c:v>9.6730900384594172</c:v>
                </c:pt>
                <c:pt idx="317">
                  <c:v>9.8444649296246087</c:v>
                </c:pt>
                <c:pt idx="318">
                  <c:v>10.019235023104711</c:v>
                </c:pt>
                <c:pt idx="319">
                  <c:v>10.198057880394828</c:v>
                </c:pt>
                <c:pt idx="320">
                  <c:v>10.381618344254658</c:v>
                </c:pt>
                <c:pt idx="321">
                  <c:v>10.570627228018875</c:v>
                </c:pt>
                <c:pt idx="322">
                  <c:v>10.765819516603242</c:v>
                </c:pt>
                <c:pt idx="323">
                  <c:v>10.96795204601537</c:v>
                </c:pt>
                <c:pt idx="324">
                  <c:v>11.177800630774877</c:v>
                </c:pt>
                <c:pt idx="325">
                  <c:v>11.396156612197132</c:v>
                </c:pt>
                <c:pt idx="326">
                  <c:v>11.623822805071502</c:v>
                </c:pt>
                <c:pt idx="327">
                  <c:v>11.861608825924817</c:v>
                </c:pt>
                <c:pt idx="328">
                  <c:v>12.110325792848352</c:v>
                </c:pt>
                <c:pt idx="329">
                  <c:v>12.370780394800377</c:v>
                </c:pt>
                <c:pt idx="330">
                  <c:v>12.643768337374041</c:v>
                </c:pt>
                <c:pt idx="331">
                  <c:v>12.930067182209228</c:v>
                </c:pt>
                <c:pt idx="332">
                  <c:v>13.23042860845711</c:v>
                </c:pt>
                <c:pt idx="333">
                  <c:v>13.545570136877433</c:v>
                </c:pt>
                <c:pt idx="334">
                  <c:v>13.876166370113967</c:v>
                </c:pt>
                <c:pt idx="335">
                  <c:v>14.222839816268865</c:v>
                </c:pt>
                <c:pt idx="336">
                  <c:v>14.586151376850291</c:v>
                </c:pt>
                <c:pt idx="337">
                  <c:v>14.9665905942321</c:v>
                </c:pt>
                <c:pt idx="338">
                  <c:v>15.364565767619599</c:v>
                </c:pt>
                <c:pt idx="339">
                  <c:v>15.780394059820624</c:v>
                </c:pt>
                <c:pt idx="340">
                  <c:v>16.214291729490363</c:v>
                </c:pt>
                <c:pt idx="341">
                  <c:v>16.666364634549268</c:v>
                </c:pt>
                <c:pt idx="342">
                  <c:v>17.136599161752223</c:v>
                </c:pt>
                <c:pt idx="343">
                  <c:v>17.624853744492839</c:v>
                </c:pt>
                <c:pt idx="344">
                  <c:v>18.130851135457235</c:v>
                </c:pt>
                <c:pt idx="345">
                  <c:v>18.654171602315209</c:v>
                </c:pt>
                <c:pt idx="346">
                  <c:v>19.194247212919656</c:v>
                </c:pt>
                <c:pt idx="347">
                  <c:v>19.750357371202465</c:v>
                </c:pt>
                <c:pt idx="348">
                  <c:v>20.321625755899269</c:v>
                </c:pt>
                <c:pt idx="349">
                  <c:v>20.907018801299827</c:v>
                </c:pt>
                <c:pt idx="350">
                  <c:v>21.505345842391968</c:v>
                </c:pt>
                <c:pt idx="351">
                  <c:v>22.115261026143489</c:v>
                </c:pt>
                <c:pt idx="352">
                  <c:v>22.735267066474023</c:v>
                </c:pt>
                <c:pt idx="353">
                  <c:v>23.363720893046967</c:v>
                </c:pt>
                <c:pt idx="354">
                  <c:v>23.99884121381865</c:v>
                </c:pt>
                <c:pt idx="355">
                  <c:v>24.638717978899074</c:v>
                </c:pt>
                <c:pt idx="356">
                  <c:v>25.28132369938076</c:v>
                </c:pt>
                <c:pt idx="357">
                  <c:v>25.924526540135933</c:v>
                </c:pt>
                <c:pt idx="358">
                  <c:v>26.566105071002362</c:v>
                </c:pt>
                <c:pt idx="359">
                  <c:v>27.203764527135231</c:v>
                </c:pt>
                <c:pt idx="360">
                  <c:v>27.83515439747719</c:v>
                </c:pt>
                <c:pt idx="361">
                  <c:v>28.457887131152521</c:v>
                </c:pt>
                <c:pt idx="362">
                  <c:v>29.069557725940886</c:v>
                </c:pt>
                <c:pt idx="363">
                  <c:v>29.667763941568293</c:v>
                </c:pt>
                <c:pt idx="364">
                  <c:v>30.250126864010547</c:v>
                </c:pt>
                <c:pt idx="365">
                  <c:v>30.814311535841902</c:v>
                </c:pt>
                <c:pt idx="366">
                  <c:v>31.358047362249479</c:v>
                </c:pt>
                <c:pt idx="367">
                  <c:v>31.87914800287562</c:v>
                </c:pt>
                <c:pt idx="368">
                  <c:v>32.37553046618455</c:v>
                </c:pt>
                <c:pt idx="369">
                  <c:v>32.845233135445184</c:v>
                </c:pt>
                <c:pt idx="370">
                  <c:v>33.286432473384529</c:v>
                </c:pt>
                <c:pt idx="371">
                  <c:v>33.697458175637948</c:v>
                </c:pt>
                <c:pt idx="372">
                  <c:v>34.076806570726625</c:v>
                </c:pt>
                <c:pt idx="373">
                  <c:v>34.423152095716375</c:v>
                </c:pt>
                <c:pt idx="374">
                  <c:v>34.735356711153884</c:v>
                </c:pt>
                <c:pt idx="375">
                  <c:v>35.012477155482351</c:v>
                </c:pt>
                <c:pt idx="376">
                  <c:v>35.25376997700446</c:v>
                </c:pt>
                <c:pt idx="377">
                  <c:v>35.458694319673178</c:v>
                </c:pt>
                <c:pt idx="378">
                  <c:v>35.626912476672672</c:v>
                </c:pt>
                <c:pt idx="379">
                  <c:v>35.75828826205646</c:v>
                </c:pt>
                <c:pt idx="380">
                  <c:v>35.852883284859594</c:v>
                </c:pt>
                <c:pt idx="381">
                  <c:v>35.910951241424492</c:v>
                </c:pt>
                <c:pt idx="382">
                  <c:v>35.932930369584973</c:v>
                </c:pt>
                <c:pt idx="383">
                  <c:v>35.919434232377235</c:v>
                </c:pt>
                <c:pt idx="384">
                  <c:v>35.871241018750744</c:v>
                </c:pt>
                <c:pt idx="385">
                  <c:v>35.789281564107725</c:v>
                </c:pt>
                <c:pt idx="386">
                  <c:v>35.674626304316718</c:v>
                </c:pt>
                <c:pt idx="387">
                  <c:v>35.528471383133081</c:v>
                </c:pt>
                <c:pt idx="388">
                  <c:v>35.352124134849788</c:v>
                </c:pt>
                <c:pt idx="389">
                  <c:v>35.146988161720564</c:v>
                </c:pt>
                <c:pt idx="390">
                  <c:v>34.914548219537352</c:v>
                </c:pt>
                <c:pt idx="391">
                  <c:v>34.656355115103146</c:v>
                </c:pt>
                <c:pt idx="392">
                  <c:v>34.374010806631702</c:v>
                </c:pt>
                <c:pt idx="393">
                  <c:v>34.069153882810411</c:v>
                </c:pt>
                <c:pt idx="394">
                  <c:v>33.743445578869391</c:v>
                </c:pt>
                <c:pt idx="395">
                  <c:v>33.398556469019624</c:v>
                </c:pt>
                <c:pt idx="396">
                  <c:v>33.036153954547643</c:v>
                </c:pt>
                <c:pt idx="397">
                  <c:v>32.657890646180348</c:v>
                </c:pt>
                <c:pt idx="398">
                  <c:v>32.265393718513032</c:v>
                </c:pt>
                <c:pt idx="399">
                  <c:v>31.860255293750406</c:v>
                </c:pt>
                <c:pt idx="400">
                  <c:v>31.444023892135338</c:v>
                </c:pt>
                <c:pt idx="401">
                  <c:v>31.018196967557742</c:v>
                </c:pt>
                <c:pt idx="402">
                  <c:v>30.584214529240707</c:v>
                </c:pt>
                <c:pt idx="403">
                  <c:v>30.143453834315533</c:v>
                </c:pt>
                <c:pt idx="404">
                  <c:v>29.697225121705912</c:v>
                </c:pt>
                <c:pt idx="405">
                  <c:v>29.246768345167009</c:v>
                </c:pt>
                <c:pt idx="406">
                  <c:v>28.793250852640508</c:v>
                </c:pt>
                <c:pt idx="407">
                  <c:v>28.337765950319962</c:v>
                </c:pt>
                <c:pt idx="408">
                  <c:v>27.881332282959097</c:v>
                </c:pt>
                <c:pt idx="409">
                  <c:v>27.424893956934543</c:v>
                </c:pt>
                <c:pt idx="410">
                  <c:v>26.969321329316838</c:v>
                </c:pt>
                <c:pt idx="411">
                  <c:v>26.515412384578411</c:v>
                </c:pt>
                <c:pt idx="412">
                  <c:v>26.063894620446771</c:v>
                </c:pt>
                <c:pt idx="413">
                  <c:v>25.615427365628221</c:v>
                </c:pt>
                <c:pt idx="414">
                  <c:v>25.170604454518109</c:v>
                </c:pt>
                <c:pt idx="415">
                  <c:v>24.72995718740059</c:v>
                </c:pt>
                <c:pt idx="416">
                  <c:v>24.293957508844937</c:v>
                </c:pt>
                <c:pt idx="417">
                  <c:v>23.863021341854235</c:v>
                </c:pt>
                <c:pt idx="418">
                  <c:v>23.437512020644785</c:v>
                </c:pt>
                <c:pt idx="419">
                  <c:v>23.01774377057065</c:v>
                </c:pt>
                <c:pt idx="420">
                  <c:v>22.603985189514507</c:v>
                </c:pt>
                <c:pt idx="421">
                  <c:v>22.196462690903896</c:v>
                </c:pt>
                <c:pt idx="422">
                  <c:v>21.795363874270361</c:v>
                </c:pt>
                <c:pt idx="423">
                  <c:v>21.400840794840811</c:v>
                </c:pt>
                <c:pt idx="424">
                  <c:v>21.013013108957981</c:v>
                </c:pt>
                <c:pt idx="425">
                  <c:v>20.631971077095468</c:v>
                </c:pt>
                <c:pt idx="426">
                  <c:v>20.257778410820436</c:v>
                </c:pt>
                <c:pt idx="427">
                  <c:v>19.89047495421876</c:v>
                </c:pt>
                <c:pt idx="428">
                  <c:v>19.53007919401869</c:v>
                </c:pt>
                <c:pt idx="429">
                  <c:v>19.176590595917148</c:v>
                </c:pt>
                <c:pt idx="430">
                  <c:v>18.829991767432585</c:v>
                </c:pt>
                <c:pt idx="431">
                  <c:v>18.490250449989208</c:v>
                </c:pt>
                <c:pt idx="432">
                  <c:v>18.157321344902225</c:v>
                </c:pt>
                <c:pt idx="433">
                  <c:v>17.831147779506029</c:v>
                </c:pt>
                <c:pt idx="434">
                  <c:v>17.511663220879896</c:v>
                </c:pt>
                <c:pt idx="435">
                  <c:v>17.198792645512182</c:v>
                </c:pt>
                <c:pt idx="436">
                  <c:v>16.892453773839375</c:v>
                </c:pt>
                <c:pt idx="437">
                  <c:v>16.592558178938724</c:v>
                </c:pt>
                <c:pt idx="438">
                  <c:v>16.29901227877864</c:v>
                </c:pt>
                <c:pt idx="439">
                  <c:v>16.011718221373112</c:v>
                </c:pt>
                <c:pt idx="440">
                  <c:v>15.73057467198123</c:v>
                </c:pt>
                <c:pt idx="441">
                  <c:v>15.455477511168239</c:v>
                </c:pt>
                <c:pt idx="442">
                  <c:v>15.186320452130909</c:v>
                </c:pt>
                <c:pt idx="443">
                  <c:v>14.922995585211469</c:v>
                </c:pt>
                <c:pt idx="444">
                  <c:v>14.665393857001613</c:v>
                </c:pt>
                <c:pt idx="445">
                  <c:v>14.413405490893423</c:v>
                </c:pt>
                <c:pt idx="446">
                  <c:v>14.166920355378206</c:v>
                </c:pt>
                <c:pt idx="447">
                  <c:v>13.925828285846409</c:v>
                </c:pt>
                <c:pt idx="448">
                  <c:v>13.690019365104755</c:v>
                </c:pt>
                <c:pt idx="449">
                  <c:v>13.459384167316585</c:v>
                </c:pt>
                <c:pt idx="450">
                  <c:v>13.233813969586238</c:v>
                </c:pt>
                <c:pt idx="451">
                  <c:v>13.013200934957858</c:v>
                </c:pt>
                <c:pt idx="452">
                  <c:v>12.797438270181381</c:v>
                </c:pt>
                <c:pt idx="453">
                  <c:v>12.586420361218142</c:v>
                </c:pt>
                <c:pt idx="454">
                  <c:v>12.380042889111989</c:v>
                </c:pt>
                <c:pt idx="455">
                  <c:v>12.178202928541296</c:v>
                </c:pt>
                <c:pt idx="456">
                  <c:v>11.980799031088489</c:v>
                </c:pt>
                <c:pt idx="457">
                  <c:v>11.787731295017448</c:v>
                </c:pt>
                <c:pt idx="458">
                  <c:v>11.598901423130007</c:v>
                </c:pt>
                <c:pt idx="459">
                  <c:v>11.414212770081532</c:v>
                </c:pt>
                <c:pt idx="460">
                  <c:v>11.233570380366951</c:v>
                </c:pt>
                <c:pt idx="461">
                  <c:v>11.056881018042384</c:v>
                </c:pt>
                <c:pt idx="462">
                  <c:v>10.884053189119314</c:v>
                </c:pt>
                <c:pt idx="463">
                  <c:v>10.714997157457699</c:v>
                </c:pt>
                <c:pt idx="464">
                  <c:v>10.549624954888108</c:v>
                </c:pt>
                <c:pt idx="465">
                  <c:v>10.387850386209212</c:v>
                </c:pt>
                <c:pt idx="466">
                  <c:v>10.22958902963471</c:v>
                </c:pt>
                <c:pt idx="467">
                  <c:v>10.074758233200905</c:v>
                </c:pt>
                <c:pt idx="468">
                  <c:v>9.923277107591236</c:v>
                </c:pt>
                <c:pt idx="469">
                  <c:v>9.7750665157861683</c:v>
                </c:pt>
                <c:pt idx="470">
                  <c:v>9.6300490599054367</c:v>
                </c:pt>
                <c:pt idx="471">
                  <c:v>9.4881490655724292</c:v>
                </c:pt>
                <c:pt idx="472">
                  <c:v>9.3492925640982829</c:v>
                </c:pt>
                <c:pt idx="473">
                  <c:v>9.2134072727548748</c:v>
                </c:pt>
                <c:pt idx="474">
                  <c:v>9.0804225733796713</c:v>
                </c:pt>
                <c:pt idx="475">
                  <c:v>8.9502694895333601</c:v>
                </c:pt>
                <c:pt idx="476">
                  <c:v>8.8228806624100731</c:v>
                </c:pt>
                <c:pt idx="477">
                  <c:v>8.6981903256821287</c:v>
                </c:pt>
                <c:pt idx="478">
                  <c:v>8.5761342794439468</c:v>
                </c:pt>
                <c:pt idx="479">
                  <c:v>8.4566498634052749</c:v>
                </c:pt>
                <c:pt idx="480">
                  <c:v>8.339675929469605</c:v>
                </c:pt>
                <c:pt idx="481">
                  <c:v>8.225152813821353</c:v>
                </c:pt>
                <c:pt idx="482">
                  <c:v>8.1130223086337914</c:v>
                </c:pt>
                <c:pt idx="483">
                  <c:v>8.0032276334991739</c:v>
                </c:pt>
                <c:pt idx="484">
                  <c:v>7.8957134066730896</c:v>
                </c:pt>
                <c:pt idx="485">
                  <c:v>7.7904256162156118</c:v>
                </c:pt>
                <c:pt idx="486">
                  <c:v>7.6873115911046321</c:v>
                </c:pt>
                <c:pt idx="487">
                  <c:v>7.5863199723881154</c:v>
                </c:pt>
                <c:pt idx="488">
                  <c:v>7.487400684436313</c:v>
                </c:pt>
                <c:pt idx="489">
                  <c:v>7.3905049063476342</c:v>
                </c:pt>
                <c:pt idx="490">
                  <c:v>7.2955850435568239</c:v>
                </c:pt>
                <c:pt idx="491">
                  <c:v>7.2025946996883272</c:v>
                </c:pt>
                <c:pt idx="492">
                  <c:v>7.1114886486928386</c:v>
                </c:pt>
                <c:pt idx="493">
                  <c:v>7.0222228073008708</c:v>
                </c:pt>
                <c:pt idx="494">
                  <c:v>6.9347542078226061</c:v>
                </c:pt>
                <c:pt idx="495">
                  <c:v>6.8490409713199307</c:v>
                </c:pt>
                <c:pt idx="496">
                  <c:v>6.7650422811726729</c:v>
                </c:pt>
                <c:pt idx="497">
                  <c:v>6.6827183570583335</c:v>
                </c:pt>
                <c:pt idx="498">
                  <c:v>6.6020304293613501</c:v>
                </c:pt>
                <c:pt idx="499">
                  <c:v>6.5229407140256113</c:v>
                </c:pt>
                <c:pt idx="500">
                  <c:v>6.4454123878612046</c:v>
                </c:pt>
                <c:pt idx="501">
                  <c:v>6.3694095643145312</c:v>
                </c:pt>
                <c:pt idx="502">
                  <c:v>6.2948972697086498</c:v>
                </c:pt>
                <c:pt idx="503">
                  <c:v>6.2218414199591949</c:v>
                </c:pt>
                <c:pt idx="504">
                  <c:v>6.1502087977693156</c:v>
                </c:pt>
                <c:pt idx="505">
                  <c:v>6.0799670303057249</c:v>
                </c:pt>
                <c:pt idx="506">
                  <c:v>6.0110845673567859</c:v>
                </c:pt>
                <c:pt idx="507">
                  <c:v>5.9435306599720183</c:v>
                </c:pt>
                <c:pt idx="508">
                  <c:v>5.8772753395816553</c:v>
                </c:pt>
                <c:pt idx="509">
                  <c:v>5.8122893975937604</c:v>
                </c:pt>
                <c:pt idx="510">
                  <c:v>5.7485443654656363</c:v>
                </c:pt>
                <c:pt idx="511">
                  <c:v>5.6860124952454179</c:v>
                </c:pt>
                <c:pt idx="512">
                  <c:v>5.6246667405791166</c:v>
                </c:pt>
                <c:pt idx="513">
                  <c:v>5.5644807381778785</c:v>
                </c:pt>
                <c:pt idx="514">
                  <c:v>5.5054287897395087</c:v>
                </c:pt>
                <c:pt idx="515">
                  <c:v>5.4474858443180079</c:v>
                </c:pt>
                <c:pt idx="516">
                  <c:v>5.3906274811344872</c:v>
                </c:pt>
                <c:pt idx="517">
                  <c:v>5.3348298928224045</c:v>
                </c:pt>
                <c:pt idx="518">
                  <c:v>5.2800698690997718</c:v>
                </c:pt>
                <c:pt idx="519">
                  <c:v>5.2263247808609341</c:v>
                </c:pt>
                <c:pt idx="520">
                  <c:v>5.1735725646800894</c:v>
                </c:pt>
                <c:pt idx="521">
                  <c:v>5.1217917077186597</c:v>
                </c:pt>
                <c:pt idx="522">
                  <c:v>5.0709612330285969</c:v>
                </c:pt>
                <c:pt idx="523">
                  <c:v>5.0210606852434463</c:v>
                </c:pt>
                <c:pt idx="524">
                  <c:v>4.9720701166490695</c:v>
                </c:pt>
                <c:pt idx="525">
                  <c:v>4.9239700736257888</c:v>
                </c:pt>
                <c:pt idx="526">
                  <c:v>4.8767415834537875</c:v>
                </c:pt>
                <c:pt idx="527">
                  <c:v>4.8303661414735926</c:v>
                </c:pt>
                <c:pt idx="528">
                  <c:v>4.7848256985933828</c:v>
                </c:pt>
                <c:pt idx="529">
                  <c:v>4.740102649135129</c:v>
                </c:pt>
                <c:pt idx="530">
                  <c:v>4.6961798190114132</c:v>
                </c:pt>
                <c:pt idx="531">
                  <c:v>4.6530404542249313</c:v>
                </c:pt>
                <c:pt idx="532">
                  <c:v>4.6106682096828617</c:v>
                </c:pt>
                <c:pt idx="533">
                  <c:v>4.5690471383181608</c:v>
                </c:pt>
                <c:pt idx="534">
                  <c:v>4.5281616805101867</c:v>
                </c:pt>
                <c:pt idx="535">
                  <c:v>4.4879966537969675</c:v>
                </c:pt>
                <c:pt idx="536">
                  <c:v>4.4485372428716685</c:v>
                </c:pt>
                <c:pt idx="537">
                  <c:v>4.4097689898558867</c:v>
                </c:pt>
                <c:pt idx="538">
                  <c:v>4.371677784842511</c:v>
                </c:pt>
                <c:pt idx="539">
                  <c:v>4.3342498567011223</c:v>
                </c:pt>
                <c:pt idx="540">
                  <c:v>4.297471764138824</c:v>
                </c:pt>
                <c:pt idx="541">
                  <c:v>4.261330387009818</c:v>
                </c:pt>
                <c:pt idx="542">
                  <c:v>4.2258129178669224</c:v>
                </c:pt>
                <c:pt idx="543">
                  <c:v>4.1909068537485332</c:v>
                </c:pt>
                <c:pt idx="544">
                  <c:v>4.1565999881945714</c:v>
                </c:pt>
                <c:pt idx="545">
                  <c:v>4.1228804034852091</c:v>
                </c:pt>
                <c:pt idx="546">
                  <c:v>4.0897364630961581</c:v>
                </c:pt>
                <c:pt idx="547">
                  <c:v>4.057156804364598</c:v>
                </c:pt>
                <c:pt idx="548">
                  <c:v>4.0251303313598852</c:v>
                </c:pt>
                <c:pt idx="549">
                  <c:v>3.9936462079532906</c:v>
                </c:pt>
                <c:pt idx="550">
                  <c:v>3.9626938510812475</c:v>
                </c:pt>
                <c:pt idx="551">
                  <c:v>3.9322629241966736</c:v>
                </c:pt>
                <c:pt idx="552">
                  <c:v>3.9023433309030282</c:v>
                </c:pt>
                <c:pt idx="553">
                  <c:v>3.8729252087660031</c:v>
                </c:pt>
                <c:pt idx="554">
                  <c:v>3.8439989232977649</c:v>
                </c:pt>
                <c:pt idx="555">
                  <c:v>3.8155550621088903</c:v>
                </c:pt>
                <c:pt idx="556">
                  <c:v>3.7875844292232328</c:v>
                </c:pt>
                <c:pt idx="557">
                  <c:v>3.7600780395510047</c:v>
                </c:pt>
                <c:pt idx="558">
                  <c:v>3.7330271135156754</c:v>
                </c:pt>
                <c:pt idx="559">
                  <c:v>3.7064230718301778</c:v>
                </c:pt>
                <c:pt idx="560">
                  <c:v>3.6802575304182192</c:v>
                </c:pt>
                <c:pt idx="561">
                  <c:v>3.6545222954765046</c:v>
                </c:pt>
                <c:pt idx="562">
                  <c:v>3.6292093586738523</c:v>
                </c:pt>
                <c:pt idx="563">
                  <c:v>3.6043108924832139</c:v>
                </c:pt>
                <c:pt idx="564">
                  <c:v>3.579819245642879</c:v>
                </c:pt>
                <c:pt idx="565">
                  <c:v>3.5557269387430379</c:v>
                </c:pt>
                <c:pt idx="566">
                  <c:v>3.5320266599341448</c:v>
                </c:pt>
                <c:pt idx="567">
                  <c:v>3.5087112607536217</c:v>
                </c:pt>
                <c:pt idx="568">
                  <c:v>3.4857737520673724</c:v>
                </c:pt>
                <c:pt idx="569">
                  <c:v>3.4632073001229324</c:v>
                </c:pt>
                <c:pt idx="570">
                  <c:v>3.4410052227109276</c:v>
                </c:pt>
                <c:pt idx="571">
                  <c:v>3.419160985431803</c:v>
                </c:pt>
                <c:pt idx="572">
                  <c:v>3.3976681980647361</c:v>
                </c:pt>
                <c:pt idx="573">
                  <c:v>3.3765206110357924</c:v>
                </c:pt>
                <c:pt idx="574">
                  <c:v>3.3557121119825228</c:v>
                </c:pt>
                <c:pt idx="575">
                  <c:v>3.335236722412136</c:v>
                </c:pt>
                <c:pt idx="576">
                  <c:v>3.3150885944506365</c:v>
                </c:pt>
                <c:pt idx="577">
                  <c:v>3.2952620076802428</c:v>
                </c:pt>
                <c:pt idx="578">
                  <c:v>3.2757513660626092</c:v>
                </c:pt>
                <c:pt idx="579">
                  <c:v>3.2565511949453358</c:v>
                </c:pt>
                <c:pt idx="580">
                  <c:v>3.2376561381494127</c:v>
                </c:pt>
                <c:pt idx="581">
                  <c:v>3.2190609551352387</c:v>
                </c:pt>
                <c:pt idx="582">
                  <c:v>3.2007605182450227</c:v>
                </c:pt>
                <c:pt idx="583">
                  <c:v>3.182749810019303</c:v>
                </c:pt>
                <c:pt idx="584">
                  <c:v>3.1650239205855297</c:v>
                </c:pt>
                <c:pt idx="585">
                  <c:v>3.1475780451166222</c:v>
                </c:pt>
                <c:pt idx="586">
                  <c:v>3.1304074813575076</c:v>
                </c:pt>
                <c:pt idx="587">
                  <c:v>3.1135076272177082</c:v>
                </c:pt>
                <c:pt idx="588">
                  <c:v>3.0968739784280852</c:v>
                </c:pt>
                <c:pt idx="589">
                  <c:v>3.0805021262599404</c:v>
                </c:pt>
                <c:pt idx="590">
                  <c:v>3.0643877553046703</c:v>
                </c:pt>
                <c:pt idx="591">
                  <c:v>3.0485266413122929</c:v>
                </c:pt>
                <c:pt idx="592">
                  <c:v>3.0329146490871417</c:v>
                </c:pt>
                <c:pt idx="593">
                  <c:v>3.017547730439166</c:v>
                </c:pt>
                <c:pt idx="594">
                  <c:v>3.002421922189189</c:v>
                </c:pt>
                <c:pt idx="595">
                  <c:v>2.9875333442266925</c:v>
                </c:pt>
                <c:pt idx="596">
                  <c:v>2.9728781976185794</c:v>
                </c:pt>
                <c:pt idx="597">
                  <c:v>2.9584527627675312</c:v>
                </c:pt>
                <c:pt idx="598">
                  <c:v>2.9442533976185303</c:v>
                </c:pt>
                <c:pt idx="599">
                  <c:v>2.9302765359122382</c:v>
                </c:pt>
                <c:pt idx="600">
                  <c:v>2.9165186854839007</c:v>
                </c:pt>
                <c:pt idx="601">
                  <c:v>2.9029764266064992</c:v>
                </c:pt>
                <c:pt idx="602">
                  <c:v>2.8896464103769612</c:v>
                </c:pt>
                <c:pt idx="603">
                  <c:v>2.8765253571441693</c:v>
                </c:pt>
                <c:pt idx="604">
                  <c:v>2.8636100549776962</c:v>
                </c:pt>
                <c:pt idx="605">
                  <c:v>2.8508973581760375</c:v>
                </c:pt>
                <c:pt idx="606">
                  <c:v>2.8383841858133625</c:v>
                </c:pt>
                <c:pt idx="607">
                  <c:v>2.8260675203236252</c:v>
                </c:pt>
                <c:pt idx="608">
                  <c:v>2.8139444061210783</c:v>
                </c:pt>
                <c:pt idx="609">
                  <c:v>2.8020119482561645</c:v>
                </c:pt>
                <c:pt idx="610">
                  <c:v>2.7902673111058136</c:v>
                </c:pt>
                <c:pt idx="611">
                  <c:v>2.778707717097233</c:v>
                </c:pt>
                <c:pt idx="612">
                  <c:v>2.767330445464244</c:v>
                </c:pt>
                <c:pt idx="613">
                  <c:v>2.7561328310353188</c:v>
                </c:pt>
                <c:pt idx="614">
                  <c:v>2.7451122630524343</c:v>
                </c:pt>
                <c:pt idx="615">
                  <c:v>2.7342661840199303</c:v>
                </c:pt>
                <c:pt idx="616">
                  <c:v>2.7235920885825369</c:v>
                </c:pt>
                <c:pt idx="617">
                  <c:v>2.7130875224318309</c:v>
                </c:pt>
                <c:pt idx="618">
                  <c:v>2.7027500812403153</c:v>
                </c:pt>
                <c:pt idx="619">
                  <c:v>2.6925774096224186</c:v>
                </c:pt>
                <c:pt idx="620">
                  <c:v>2.6825672001216785</c:v>
                </c:pt>
                <c:pt idx="621">
                  <c:v>2.6727171922234207</c:v>
                </c:pt>
                <c:pt idx="622">
                  <c:v>2.6630251713922695</c:v>
                </c:pt>
                <c:pt idx="623">
                  <c:v>2.6534889681338067</c:v>
                </c:pt>
                <c:pt idx="624">
                  <c:v>2.6441064570797912</c:v>
                </c:pt>
                <c:pt idx="625">
                  <c:v>2.6348755560962585</c:v>
                </c:pt>
                <c:pt idx="626">
                  <c:v>2.6257942254139714</c:v>
                </c:pt>
                <c:pt idx="627">
                  <c:v>2.6168604667805795</c:v>
                </c:pt>
                <c:pt idx="628">
                  <c:v>2.6080723226339702</c:v>
                </c:pt>
                <c:pt idx="629">
                  <c:v>2.5994278752962376</c:v>
                </c:pt>
                <c:pt idx="630">
                  <c:v>2.5909252461877403</c:v>
                </c:pt>
                <c:pt idx="631">
                  <c:v>2.5825625950607507</c:v>
                </c:pt>
                <c:pt idx="632">
                  <c:v>2.5743381192521637</c:v>
                </c:pt>
                <c:pt idx="633">
                  <c:v>2.5662500529548127</c:v>
                </c:pt>
                <c:pt idx="634">
                  <c:v>2.558296666506902</c:v>
                </c:pt>
                <c:pt idx="635">
                  <c:v>2.5504762656990905</c:v>
                </c:pt>
                <c:pt idx="636">
                  <c:v>2.5427871910988045</c:v>
                </c:pt>
                <c:pt idx="637">
                  <c:v>2.5352278173913376</c:v>
                </c:pt>
                <c:pt idx="638">
                  <c:v>2.5277965527373016</c:v>
                </c:pt>
                <c:pt idx="639">
                  <c:v>2.520491838146055</c:v>
                </c:pt>
                <c:pt idx="640">
                  <c:v>2.5133121468646773</c:v>
                </c:pt>
                <c:pt idx="641">
                  <c:v>2.5062559837821485</c:v>
                </c:pt>
                <c:pt idx="642">
                  <c:v>2.4993218848483165</c:v>
                </c:pt>
                <c:pt idx="643">
                  <c:v>2.4925084165073166</c:v>
                </c:pt>
                <c:pt idx="644">
                  <c:v>2.4858141751450957</c:v>
                </c:pt>
                <c:pt idx="645">
                  <c:v>2.4792377865506845</c:v>
                </c:pt>
                <c:pt idx="646">
                  <c:v>2.4727779053908971</c:v>
                </c:pt>
                <c:pt idx="647">
                  <c:v>2.4664332146981347</c:v>
                </c:pt>
                <c:pt idx="648">
                  <c:v>2.4602024253709773</c:v>
                </c:pt>
                <c:pt idx="649">
                  <c:v>2.4540842756872756</c:v>
                </c:pt>
                <c:pt idx="650">
                  <c:v>2.4480775308294218</c:v>
                </c:pt>
                <c:pt idx="651">
                  <c:v>2.4421809824215504</c:v>
                </c:pt>
                <c:pt idx="652">
                  <c:v>2.4363934480783525</c:v>
                </c:pt>
                <c:pt idx="653">
                  <c:v>2.4307137709652697</c:v>
                </c:pt>
                <c:pt idx="654">
                  <c:v>2.4251408193697874</c:v>
                </c:pt>
                <c:pt idx="655">
                  <c:v>2.4196734862835663</c:v>
                </c:pt>
                <c:pt idx="656">
                  <c:v>2.4143106889952031</c:v>
                </c:pt>
                <c:pt idx="657">
                  <c:v>2.4090513686933317</c:v>
                </c:pt>
                <c:pt idx="658">
                  <c:v>2.4038944900798715</c:v>
                </c:pt>
                <c:pt idx="659">
                  <c:v>2.3988390409931837</c:v>
                </c:pt>
                <c:pt idx="660">
                  <c:v>2.393884032040912</c:v>
                </c:pt>
                <c:pt idx="661">
                  <c:v>2.3890284962423154</c:v>
                </c:pt>
                <c:pt idx="662">
                  <c:v>2.3842714886798566</c:v>
                </c:pt>
                <c:pt idx="663">
                  <c:v>2.3796120861598853</c:v>
                </c:pt>
                <c:pt idx="664">
                  <c:v>2.3750493868821754</c:v>
                </c:pt>
                <c:pt idx="665">
                  <c:v>2.370582510118191</c:v>
                </c:pt>
                <c:pt idx="666">
                  <c:v>2.3662105958978281</c:v>
                </c:pt>
                <c:pt idx="667">
                  <c:v>2.3619328047045172</c:v>
                </c:pt>
                <c:pt idx="668">
                  <c:v>2.3577483171784692</c:v>
                </c:pt>
                <c:pt idx="669">
                  <c:v>2.3536563338279382</c:v>
                </c:pt>
                <c:pt idx="670">
                  <c:v>2.3496560747483053</c:v>
                </c:pt>
                <c:pt idx="671">
                  <c:v>2.3457467793488496</c:v>
                </c:pt>
                <c:pt idx="672">
                  <c:v>2.3419277060870516</c:v>
                </c:pt>
                <c:pt idx="673">
                  <c:v>2.338198132210263</c:v>
                </c:pt>
                <c:pt idx="674">
                  <c:v>2.334557353504648</c:v>
                </c:pt>
                <c:pt idx="675">
                  <c:v>2.3310046840511922</c:v>
                </c:pt>
                <c:pt idx="676">
                  <c:v>2.3275394559887088</c:v>
                </c:pt>
                <c:pt idx="677">
                  <c:v>2.3241610192836681</c:v>
                </c:pt>
                <c:pt idx="678">
                  <c:v>2.3208687415067555</c:v>
                </c:pt>
                <c:pt idx="679">
                  <c:v>2.3176620076160206</c:v>
                </c:pt>
                <c:pt idx="680">
                  <c:v>2.3145402197464988</c:v>
                </c:pt>
                <c:pt idx="681">
                  <c:v>2.3115027970062032</c:v>
                </c:pt>
                <c:pt idx="682">
                  <c:v>2.3085491752783827</c:v>
                </c:pt>
                <c:pt idx="683">
                  <c:v>2.3056788070299068</c:v>
                </c:pt>
                <c:pt idx="684">
                  <c:v>2.3028911611257192</c:v>
                </c:pt>
                <c:pt idx="685">
                  <c:v>2.3001857226492395</c:v>
                </c:pt>
                <c:pt idx="686">
                  <c:v>2.2975619927286051</c:v>
                </c:pt>
                <c:pt idx="687">
                  <c:v>2.2950194883686912</c:v>
                </c:pt>
                <c:pt idx="688">
                  <c:v>2.2925577422887966</c:v>
                </c:pt>
                <c:pt idx="689">
                  <c:v>2.290176302765929</c:v>
                </c:pt>
                <c:pt idx="690">
                  <c:v>2.2878747334835783</c:v>
                </c:pt>
                <c:pt idx="691">
                  <c:v>2.2856526133859378</c:v>
                </c:pt>
                <c:pt idx="692">
                  <c:v>2.2835095365374714</c:v>
                </c:pt>
                <c:pt idx="693">
                  <c:v>2.2814451119877477</c:v>
                </c:pt>
                <c:pt idx="694">
                  <c:v>2.2794589636415004</c:v>
                </c:pt>
                <c:pt idx="695">
                  <c:v>2.2775507301338189</c:v>
                </c:pt>
                <c:pt idx="696">
                  <c:v>2.2757200647104185</c:v>
                </c:pt>
                <c:pt idx="697">
                  <c:v>2.2739666351129268</c:v>
                </c:pt>
                <c:pt idx="698">
                  <c:v>2.2722901234691273</c:v>
                </c:pt>
                <c:pt idx="699">
                  <c:v>2.2706902261880932</c:v>
                </c:pt>
                <c:pt idx="700">
                  <c:v>2.269166653860184</c:v>
                </c:pt>
                <c:pt idx="701">
                  <c:v>2.2677191311618206</c:v>
                </c:pt>
                <c:pt idx="702">
                  <c:v>2.2663473967650121</c:v>
                </c:pt>
                <c:pt idx="703">
                  <c:v>2.2650512032515868</c:v>
                </c:pt>
                <c:pt idx="704">
                  <c:v>2.2638303170320748</c:v>
                </c:pt>
                <c:pt idx="705">
                  <c:v>2.2626845182692006</c:v>
                </c:pt>
                <c:pt idx="706">
                  <c:v>2.2616136008059624</c:v>
                </c:pt>
                <c:pt idx="707">
                  <c:v>2.2606173720982423</c:v>
                </c:pt>
                <c:pt idx="708">
                  <c:v>2.259695653151927</c:v>
                </c:pt>
                <c:pt idx="709">
                  <c:v>2.2588482784644963</c:v>
                </c:pt>
                <c:pt idx="710">
                  <c:v>2.2580750959710616</c:v>
                </c:pt>
                <c:pt idx="711">
                  <c:v>2.2573759669948137</c:v>
                </c:pt>
                <c:pt idx="712">
                  <c:v>2.256750766201872</c:v>
                </c:pt>
                <c:pt idx="713">
                  <c:v>2.2561993815604953</c:v>
                </c:pt>
                <c:pt idx="714">
                  <c:v>2.255721714304638</c:v>
                </c:pt>
                <c:pt idx="715">
                  <c:v>2.2553176789018488</c:v>
                </c:pt>
                <c:pt idx="716">
                  <c:v>2.2549872030254687</c:v>
                </c:pt>
                <c:pt idx="717">
                  <c:v>2.2547302275311387</c:v>
                </c:pt>
                <c:pt idx="718">
                  <c:v>2.2545467064375924</c:v>
                </c:pt>
                <c:pt idx="719">
                  <c:v>2.2544366069117223</c:v>
                </c:pt>
                <c:pt idx="720">
                  <c:v>2.2543999092579297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9DC-4004-837F-35A726EBFDB5}"/>
            </c:ext>
          </c:extLst>
        </c:ser>
        <c:ser>
          <c:idx val="4"/>
          <c:order val="4"/>
          <c:tx>
            <c:v>AE 40°</c:v>
          </c:tx>
          <c:spPr>
            <a:ln w="47520">
              <a:solidFill>
                <a:srgbClr val="AEC68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Barrido_AE!$A$12:$A$732</c:f>
              <c:numCache>
                <c:formatCode>0.0</c:formatCode>
                <c:ptCount val="721"/>
                <c:pt idx="0">
                  <c:v>-180</c:v>
                </c:pt>
                <c:pt idx="1">
                  <c:v>-179.5</c:v>
                </c:pt>
                <c:pt idx="2">
                  <c:v>-179</c:v>
                </c:pt>
                <c:pt idx="3">
                  <c:v>-178.5</c:v>
                </c:pt>
                <c:pt idx="4">
                  <c:v>-178</c:v>
                </c:pt>
                <c:pt idx="5">
                  <c:v>-177.5</c:v>
                </c:pt>
                <c:pt idx="6">
                  <c:v>-177</c:v>
                </c:pt>
                <c:pt idx="7">
                  <c:v>-176.5</c:v>
                </c:pt>
                <c:pt idx="8">
                  <c:v>-176</c:v>
                </c:pt>
                <c:pt idx="9">
                  <c:v>-175.5</c:v>
                </c:pt>
                <c:pt idx="10">
                  <c:v>-175</c:v>
                </c:pt>
                <c:pt idx="11">
                  <c:v>-174.5</c:v>
                </c:pt>
                <c:pt idx="12">
                  <c:v>-174</c:v>
                </c:pt>
                <c:pt idx="13">
                  <c:v>-173.5</c:v>
                </c:pt>
                <c:pt idx="14">
                  <c:v>-173</c:v>
                </c:pt>
                <c:pt idx="15">
                  <c:v>-172.5</c:v>
                </c:pt>
                <c:pt idx="16">
                  <c:v>-172</c:v>
                </c:pt>
                <c:pt idx="17">
                  <c:v>-171.5</c:v>
                </c:pt>
                <c:pt idx="18">
                  <c:v>-171</c:v>
                </c:pt>
                <c:pt idx="19">
                  <c:v>-170.5</c:v>
                </c:pt>
                <c:pt idx="20">
                  <c:v>-170</c:v>
                </c:pt>
                <c:pt idx="21">
                  <c:v>-169.5</c:v>
                </c:pt>
                <c:pt idx="22">
                  <c:v>-169</c:v>
                </c:pt>
                <c:pt idx="23">
                  <c:v>-168.5</c:v>
                </c:pt>
                <c:pt idx="24">
                  <c:v>-168</c:v>
                </c:pt>
                <c:pt idx="25">
                  <c:v>-167.5</c:v>
                </c:pt>
                <c:pt idx="26">
                  <c:v>-167</c:v>
                </c:pt>
                <c:pt idx="27">
                  <c:v>-166.5</c:v>
                </c:pt>
                <c:pt idx="28">
                  <c:v>-166</c:v>
                </c:pt>
                <c:pt idx="29">
                  <c:v>-165.5</c:v>
                </c:pt>
                <c:pt idx="30">
                  <c:v>-165</c:v>
                </c:pt>
                <c:pt idx="31">
                  <c:v>-164.5</c:v>
                </c:pt>
                <c:pt idx="32">
                  <c:v>-164</c:v>
                </c:pt>
                <c:pt idx="33">
                  <c:v>-163.5</c:v>
                </c:pt>
                <c:pt idx="34">
                  <c:v>-163</c:v>
                </c:pt>
                <c:pt idx="35">
                  <c:v>-162.5</c:v>
                </c:pt>
                <c:pt idx="36">
                  <c:v>-162</c:v>
                </c:pt>
                <c:pt idx="37">
                  <c:v>-161.5</c:v>
                </c:pt>
                <c:pt idx="38">
                  <c:v>-161</c:v>
                </c:pt>
                <c:pt idx="39">
                  <c:v>-160.5</c:v>
                </c:pt>
                <c:pt idx="40">
                  <c:v>-160</c:v>
                </c:pt>
                <c:pt idx="41">
                  <c:v>-159.5</c:v>
                </c:pt>
                <c:pt idx="42">
                  <c:v>-159</c:v>
                </c:pt>
                <c:pt idx="43">
                  <c:v>-158.5</c:v>
                </c:pt>
                <c:pt idx="44">
                  <c:v>-158</c:v>
                </c:pt>
                <c:pt idx="45">
                  <c:v>-157.5</c:v>
                </c:pt>
                <c:pt idx="46">
                  <c:v>-157</c:v>
                </c:pt>
                <c:pt idx="47">
                  <c:v>-156.5</c:v>
                </c:pt>
                <c:pt idx="48">
                  <c:v>-156</c:v>
                </c:pt>
                <c:pt idx="49">
                  <c:v>-155.5</c:v>
                </c:pt>
                <c:pt idx="50">
                  <c:v>-155</c:v>
                </c:pt>
                <c:pt idx="51">
                  <c:v>-154.5</c:v>
                </c:pt>
                <c:pt idx="52">
                  <c:v>-154</c:v>
                </c:pt>
                <c:pt idx="53">
                  <c:v>-153.5</c:v>
                </c:pt>
                <c:pt idx="54">
                  <c:v>-153</c:v>
                </c:pt>
                <c:pt idx="55">
                  <c:v>-152.5</c:v>
                </c:pt>
                <c:pt idx="56">
                  <c:v>-152</c:v>
                </c:pt>
                <c:pt idx="57">
                  <c:v>-151.5</c:v>
                </c:pt>
                <c:pt idx="58">
                  <c:v>-151</c:v>
                </c:pt>
                <c:pt idx="59">
                  <c:v>-150.5</c:v>
                </c:pt>
                <c:pt idx="60">
                  <c:v>-150</c:v>
                </c:pt>
                <c:pt idx="61">
                  <c:v>-149.5</c:v>
                </c:pt>
                <c:pt idx="62">
                  <c:v>-149</c:v>
                </c:pt>
                <c:pt idx="63">
                  <c:v>-148.5</c:v>
                </c:pt>
                <c:pt idx="64">
                  <c:v>-148</c:v>
                </c:pt>
                <c:pt idx="65">
                  <c:v>-147.5</c:v>
                </c:pt>
                <c:pt idx="66">
                  <c:v>-147</c:v>
                </c:pt>
                <c:pt idx="67">
                  <c:v>-146.5</c:v>
                </c:pt>
                <c:pt idx="68">
                  <c:v>-146</c:v>
                </c:pt>
                <c:pt idx="69">
                  <c:v>-145.5</c:v>
                </c:pt>
                <c:pt idx="70">
                  <c:v>-145</c:v>
                </c:pt>
                <c:pt idx="71">
                  <c:v>-144.5</c:v>
                </c:pt>
                <c:pt idx="72">
                  <c:v>-144</c:v>
                </c:pt>
                <c:pt idx="73">
                  <c:v>-143.5</c:v>
                </c:pt>
                <c:pt idx="74">
                  <c:v>-143</c:v>
                </c:pt>
                <c:pt idx="75">
                  <c:v>-142.5</c:v>
                </c:pt>
                <c:pt idx="76">
                  <c:v>-142</c:v>
                </c:pt>
                <c:pt idx="77">
                  <c:v>-141.5</c:v>
                </c:pt>
                <c:pt idx="78">
                  <c:v>-141</c:v>
                </c:pt>
                <c:pt idx="79">
                  <c:v>-140.5</c:v>
                </c:pt>
                <c:pt idx="80">
                  <c:v>-140</c:v>
                </c:pt>
                <c:pt idx="81">
                  <c:v>-139.5</c:v>
                </c:pt>
                <c:pt idx="82">
                  <c:v>-139</c:v>
                </c:pt>
                <c:pt idx="83">
                  <c:v>-138.5</c:v>
                </c:pt>
                <c:pt idx="84">
                  <c:v>-138</c:v>
                </c:pt>
                <c:pt idx="85">
                  <c:v>-137.5</c:v>
                </c:pt>
                <c:pt idx="86">
                  <c:v>-137</c:v>
                </c:pt>
                <c:pt idx="87">
                  <c:v>-136.5</c:v>
                </c:pt>
                <c:pt idx="88">
                  <c:v>-136</c:v>
                </c:pt>
                <c:pt idx="89">
                  <c:v>-135.5</c:v>
                </c:pt>
                <c:pt idx="90">
                  <c:v>-135</c:v>
                </c:pt>
                <c:pt idx="91">
                  <c:v>-134.5</c:v>
                </c:pt>
                <c:pt idx="92">
                  <c:v>-134</c:v>
                </c:pt>
                <c:pt idx="93">
                  <c:v>-133.5</c:v>
                </c:pt>
                <c:pt idx="94">
                  <c:v>-133</c:v>
                </c:pt>
                <c:pt idx="95">
                  <c:v>-132.5</c:v>
                </c:pt>
                <c:pt idx="96">
                  <c:v>-132</c:v>
                </c:pt>
                <c:pt idx="97">
                  <c:v>-131.5</c:v>
                </c:pt>
                <c:pt idx="98">
                  <c:v>-131</c:v>
                </c:pt>
                <c:pt idx="99">
                  <c:v>-130.5</c:v>
                </c:pt>
                <c:pt idx="100">
                  <c:v>-130</c:v>
                </c:pt>
                <c:pt idx="101">
                  <c:v>-129.5</c:v>
                </c:pt>
                <c:pt idx="102">
                  <c:v>-129</c:v>
                </c:pt>
                <c:pt idx="103">
                  <c:v>-128.5</c:v>
                </c:pt>
                <c:pt idx="104">
                  <c:v>-128</c:v>
                </c:pt>
                <c:pt idx="105">
                  <c:v>-127.5</c:v>
                </c:pt>
                <c:pt idx="106">
                  <c:v>-127</c:v>
                </c:pt>
                <c:pt idx="107">
                  <c:v>-126.5</c:v>
                </c:pt>
                <c:pt idx="108">
                  <c:v>-126</c:v>
                </c:pt>
                <c:pt idx="109">
                  <c:v>-125.5</c:v>
                </c:pt>
                <c:pt idx="110">
                  <c:v>-125</c:v>
                </c:pt>
                <c:pt idx="111">
                  <c:v>-124.5</c:v>
                </c:pt>
                <c:pt idx="112">
                  <c:v>-124</c:v>
                </c:pt>
                <c:pt idx="113">
                  <c:v>-123.5</c:v>
                </c:pt>
                <c:pt idx="114">
                  <c:v>-123</c:v>
                </c:pt>
                <c:pt idx="115">
                  <c:v>-122.5</c:v>
                </c:pt>
                <c:pt idx="116">
                  <c:v>-122</c:v>
                </c:pt>
                <c:pt idx="117">
                  <c:v>-121.5</c:v>
                </c:pt>
                <c:pt idx="118">
                  <c:v>-121</c:v>
                </c:pt>
                <c:pt idx="119">
                  <c:v>-120.5</c:v>
                </c:pt>
                <c:pt idx="120">
                  <c:v>-120</c:v>
                </c:pt>
                <c:pt idx="121">
                  <c:v>-119.5</c:v>
                </c:pt>
                <c:pt idx="122">
                  <c:v>-119</c:v>
                </c:pt>
                <c:pt idx="123">
                  <c:v>-118.5</c:v>
                </c:pt>
                <c:pt idx="124">
                  <c:v>-118</c:v>
                </c:pt>
                <c:pt idx="125">
                  <c:v>-117.5</c:v>
                </c:pt>
                <c:pt idx="126">
                  <c:v>-117</c:v>
                </c:pt>
                <c:pt idx="127">
                  <c:v>-116.5</c:v>
                </c:pt>
                <c:pt idx="128">
                  <c:v>-116</c:v>
                </c:pt>
                <c:pt idx="129">
                  <c:v>-115.5</c:v>
                </c:pt>
                <c:pt idx="130">
                  <c:v>-115</c:v>
                </c:pt>
                <c:pt idx="131">
                  <c:v>-114.5</c:v>
                </c:pt>
                <c:pt idx="132">
                  <c:v>-114</c:v>
                </c:pt>
                <c:pt idx="133">
                  <c:v>-113.5</c:v>
                </c:pt>
                <c:pt idx="134">
                  <c:v>-113</c:v>
                </c:pt>
                <c:pt idx="135">
                  <c:v>-112.5</c:v>
                </c:pt>
                <c:pt idx="136">
                  <c:v>-112</c:v>
                </c:pt>
                <c:pt idx="137">
                  <c:v>-111.5</c:v>
                </c:pt>
                <c:pt idx="138">
                  <c:v>-111</c:v>
                </c:pt>
                <c:pt idx="139">
                  <c:v>-110.5</c:v>
                </c:pt>
                <c:pt idx="140">
                  <c:v>-110</c:v>
                </c:pt>
                <c:pt idx="141">
                  <c:v>-109.5</c:v>
                </c:pt>
                <c:pt idx="142">
                  <c:v>-109</c:v>
                </c:pt>
                <c:pt idx="143">
                  <c:v>-108.5</c:v>
                </c:pt>
                <c:pt idx="144">
                  <c:v>-108</c:v>
                </c:pt>
                <c:pt idx="145">
                  <c:v>-107.5</c:v>
                </c:pt>
                <c:pt idx="146">
                  <c:v>-107</c:v>
                </c:pt>
                <c:pt idx="147">
                  <c:v>-106.5</c:v>
                </c:pt>
                <c:pt idx="148">
                  <c:v>-106</c:v>
                </c:pt>
                <c:pt idx="149">
                  <c:v>-105.5</c:v>
                </c:pt>
                <c:pt idx="150">
                  <c:v>-105</c:v>
                </c:pt>
                <c:pt idx="151">
                  <c:v>-104.5</c:v>
                </c:pt>
                <c:pt idx="152">
                  <c:v>-104</c:v>
                </c:pt>
                <c:pt idx="153">
                  <c:v>-103.5</c:v>
                </c:pt>
                <c:pt idx="154">
                  <c:v>-103</c:v>
                </c:pt>
                <c:pt idx="155">
                  <c:v>-102.5</c:v>
                </c:pt>
                <c:pt idx="156">
                  <c:v>-102</c:v>
                </c:pt>
                <c:pt idx="157">
                  <c:v>-101.5</c:v>
                </c:pt>
                <c:pt idx="158">
                  <c:v>-101</c:v>
                </c:pt>
                <c:pt idx="159">
                  <c:v>-100.5</c:v>
                </c:pt>
                <c:pt idx="160">
                  <c:v>-100</c:v>
                </c:pt>
                <c:pt idx="161">
                  <c:v>-99.5</c:v>
                </c:pt>
                <c:pt idx="162">
                  <c:v>-99</c:v>
                </c:pt>
                <c:pt idx="163">
                  <c:v>-98.5</c:v>
                </c:pt>
                <c:pt idx="164">
                  <c:v>-98</c:v>
                </c:pt>
                <c:pt idx="165">
                  <c:v>-97.5</c:v>
                </c:pt>
                <c:pt idx="166">
                  <c:v>-97</c:v>
                </c:pt>
                <c:pt idx="167">
                  <c:v>-96.5</c:v>
                </c:pt>
                <c:pt idx="168">
                  <c:v>-96</c:v>
                </c:pt>
                <c:pt idx="169">
                  <c:v>-95.5</c:v>
                </c:pt>
                <c:pt idx="170">
                  <c:v>-95</c:v>
                </c:pt>
                <c:pt idx="171">
                  <c:v>-94.5</c:v>
                </c:pt>
                <c:pt idx="172">
                  <c:v>-94</c:v>
                </c:pt>
                <c:pt idx="173">
                  <c:v>-93.5</c:v>
                </c:pt>
                <c:pt idx="174">
                  <c:v>-93</c:v>
                </c:pt>
                <c:pt idx="175">
                  <c:v>-92.5</c:v>
                </c:pt>
                <c:pt idx="176">
                  <c:v>-92</c:v>
                </c:pt>
                <c:pt idx="177">
                  <c:v>-91.5</c:v>
                </c:pt>
                <c:pt idx="178">
                  <c:v>-91</c:v>
                </c:pt>
                <c:pt idx="179">
                  <c:v>-90.5</c:v>
                </c:pt>
                <c:pt idx="180">
                  <c:v>-90</c:v>
                </c:pt>
                <c:pt idx="181">
                  <c:v>-89.5</c:v>
                </c:pt>
                <c:pt idx="182">
                  <c:v>-89</c:v>
                </c:pt>
                <c:pt idx="183">
                  <c:v>-88.5</c:v>
                </c:pt>
                <c:pt idx="184">
                  <c:v>-88</c:v>
                </c:pt>
                <c:pt idx="185">
                  <c:v>-87.5</c:v>
                </c:pt>
                <c:pt idx="186">
                  <c:v>-87</c:v>
                </c:pt>
                <c:pt idx="187">
                  <c:v>-86.5</c:v>
                </c:pt>
                <c:pt idx="188">
                  <c:v>-86</c:v>
                </c:pt>
                <c:pt idx="189">
                  <c:v>-85.5</c:v>
                </c:pt>
                <c:pt idx="190">
                  <c:v>-85</c:v>
                </c:pt>
                <c:pt idx="191">
                  <c:v>-84.5</c:v>
                </c:pt>
                <c:pt idx="192">
                  <c:v>-84</c:v>
                </c:pt>
                <c:pt idx="193">
                  <c:v>-83.5</c:v>
                </c:pt>
                <c:pt idx="194">
                  <c:v>-83</c:v>
                </c:pt>
                <c:pt idx="195">
                  <c:v>-82.5</c:v>
                </c:pt>
                <c:pt idx="196">
                  <c:v>-82</c:v>
                </c:pt>
                <c:pt idx="197">
                  <c:v>-81.5</c:v>
                </c:pt>
                <c:pt idx="198">
                  <c:v>-81</c:v>
                </c:pt>
                <c:pt idx="199">
                  <c:v>-80.5</c:v>
                </c:pt>
                <c:pt idx="200">
                  <c:v>-80</c:v>
                </c:pt>
                <c:pt idx="201">
                  <c:v>-79.5</c:v>
                </c:pt>
                <c:pt idx="202">
                  <c:v>-79</c:v>
                </c:pt>
                <c:pt idx="203">
                  <c:v>-78.5</c:v>
                </c:pt>
                <c:pt idx="204">
                  <c:v>-78</c:v>
                </c:pt>
                <c:pt idx="205">
                  <c:v>-77.5</c:v>
                </c:pt>
                <c:pt idx="206">
                  <c:v>-77</c:v>
                </c:pt>
                <c:pt idx="207">
                  <c:v>-76.5</c:v>
                </c:pt>
                <c:pt idx="208">
                  <c:v>-76</c:v>
                </c:pt>
                <c:pt idx="209">
                  <c:v>-75.5</c:v>
                </c:pt>
                <c:pt idx="210">
                  <c:v>-75</c:v>
                </c:pt>
                <c:pt idx="211">
                  <c:v>-74.5</c:v>
                </c:pt>
                <c:pt idx="212">
                  <c:v>-74</c:v>
                </c:pt>
                <c:pt idx="213">
                  <c:v>-73.5</c:v>
                </c:pt>
                <c:pt idx="214">
                  <c:v>-73</c:v>
                </c:pt>
                <c:pt idx="215">
                  <c:v>-72.5</c:v>
                </c:pt>
                <c:pt idx="216">
                  <c:v>-72</c:v>
                </c:pt>
                <c:pt idx="217">
                  <c:v>-71.5</c:v>
                </c:pt>
                <c:pt idx="218">
                  <c:v>-71</c:v>
                </c:pt>
                <c:pt idx="219">
                  <c:v>-70.5</c:v>
                </c:pt>
                <c:pt idx="220">
                  <c:v>-70</c:v>
                </c:pt>
                <c:pt idx="221">
                  <c:v>-69.5</c:v>
                </c:pt>
                <c:pt idx="222">
                  <c:v>-69</c:v>
                </c:pt>
                <c:pt idx="223">
                  <c:v>-68.5</c:v>
                </c:pt>
                <c:pt idx="224">
                  <c:v>-68</c:v>
                </c:pt>
                <c:pt idx="225">
                  <c:v>-67.5</c:v>
                </c:pt>
                <c:pt idx="226">
                  <c:v>-67</c:v>
                </c:pt>
                <c:pt idx="227">
                  <c:v>-66.5</c:v>
                </c:pt>
                <c:pt idx="228">
                  <c:v>-66</c:v>
                </c:pt>
                <c:pt idx="229">
                  <c:v>-65.5</c:v>
                </c:pt>
                <c:pt idx="230">
                  <c:v>-65</c:v>
                </c:pt>
                <c:pt idx="231">
                  <c:v>-64.5</c:v>
                </c:pt>
                <c:pt idx="232">
                  <c:v>-64</c:v>
                </c:pt>
                <c:pt idx="233">
                  <c:v>-63.5</c:v>
                </c:pt>
                <c:pt idx="234">
                  <c:v>-63</c:v>
                </c:pt>
                <c:pt idx="235">
                  <c:v>-62.5</c:v>
                </c:pt>
                <c:pt idx="236">
                  <c:v>-62</c:v>
                </c:pt>
                <c:pt idx="237">
                  <c:v>-61.5</c:v>
                </c:pt>
                <c:pt idx="238">
                  <c:v>-61</c:v>
                </c:pt>
                <c:pt idx="239">
                  <c:v>-60.5</c:v>
                </c:pt>
                <c:pt idx="240">
                  <c:v>-60</c:v>
                </c:pt>
                <c:pt idx="241">
                  <c:v>-59.5</c:v>
                </c:pt>
                <c:pt idx="242">
                  <c:v>-59</c:v>
                </c:pt>
                <c:pt idx="243">
                  <c:v>-58.5</c:v>
                </c:pt>
                <c:pt idx="244">
                  <c:v>-58</c:v>
                </c:pt>
                <c:pt idx="245">
                  <c:v>-57.5</c:v>
                </c:pt>
                <c:pt idx="246">
                  <c:v>-57</c:v>
                </c:pt>
                <c:pt idx="247">
                  <c:v>-56.5</c:v>
                </c:pt>
                <c:pt idx="248">
                  <c:v>-56</c:v>
                </c:pt>
                <c:pt idx="249">
                  <c:v>-55.5</c:v>
                </c:pt>
                <c:pt idx="250">
                  <c:v>-55</c:v>
                </c:pt>
                <c:pt idx="251">
                  <c:v>-54.5</c:v>
                </c:pt>
                <c:pt idx="252">
                  <c:v>-54</c:v>
                </c:pt>
                <c:pt idx="253">
                  <c:v>-53.5</c:v>
                </c:pt>
                <c:pt idx="254">
                  <c:v>-53</c:v>
                </c:pt>
                <c:pt idx="255">
                  <c:v>-52.5</c:v>
                </c:pt>
                <c:pt idx="256">
                  <c:v>-52</c:v>
                </c:pt>
                <c:pt idx="257">
                  <c:v>-51.5</c:v>
                </c:pt>
                <c:pt idx="258">
                  <c:v>-51</c:v>
                </c:pt>
                <c:pt idx="259">
                  <c:v>-50.5</c:v>
                </c:pt>
                <c:pt idx="260">
                  <c:v>-50</c:v>
                </c:pt>
                <c:pt idx="261">
                  <c:v>-49.5</c:v>
                </c:pt>
                <c:pt idx="262">
                  <c:v>-49</c:v>
                </c:pt>
                <c:pt idx="263">
                  <c:v>-48.5</c:v>
                </c:pt>
                <c:pt idx="264">
                  <c:v>-48</c:v>
                </c:pt>
                <c:pt idx="265">
                  <c:v>-47.5</c:v>
                </c:pt>
                <c:pt idx="266">
                  <c:v>-47</c:v>
                </c:pt>
                <c:pt idx="267">
                  <c:v>-46.5</c:v>
                </c:pt>
                <c:pt idx="268">
                  <c:v>-46</c:v>
                </c:pt>
                <c:pt idx="269">
                  <c:v>-45.5</c:v>
                </c:pt>
                <c:pt idx="270">
                  <c:v>-45</c:v>
                </c:pt>
                <c:pt idx="271">
                  <c:v>-44.5</c:v>
                </c:pt>
                <c:pt idx="272">
                  <c:v>-44</c:v>
                </c:pt>
                <c:pt idx="273">
                  <c:v>-43.5</c:v>
                </c:pt>
                <c:pt idx="274">
                  <c:v>-43</c:v>
                </c:pt>
                <c:pt idx="275">
                  <c:v>-42.5</c:v>
                </c:pt>
                <c:pt idx="276">
                  <c:v>-42</c:v>
                </c:pt>
                <c:pt idx="277">
                  <c:v>-41.5</c:v>
                </c:pt>
                <c:pt idx="278">
                  <c:v>-41</c:v>
                </c:pt>
                <c:pt idx="279">
                  <c:v>-40.5</c:v>
                </c:pt>
                <c:pt idx="280">
                  <c:v>-40</c:v>
                </c:pt>
                <c:pt idx="281">
                  <c:v>-39.5</c:v>
                </c:pt>
                <c:pt idx="282">
                  <c:v>-39</c:v>
                </c:pt>
                <c:pt idx="283">
                  <c:v>-38.5</c:v>
                </c:pt>
                <c:pt idx="284">
                  <c:v>-38</c:v>
                </c:pt>
                <c:pt idx="285">
                  <c:v>-37.5</c:v>
                </c:pt>
                <c:pt idx="286">
                  <c:v>-37</c:v>
                </c:pt>
                <c:pt idx="287">
                  <c:v>-36.5</c:v>
                </c:pt>
                <c:pt idx="288">
                  <c:v>-36</c:v>
                </c:pt>
                <c:pt idx="289">
                  <c:v>-35.5</c:v>
                </c:pt>
                <c:pt idx="290">
                  <c:v>-35</c:v>
                </c:pt>
                <c:pt idx="291">
                  <c:v>-34.5</c:v>
                </c:pt>
                <c:pt idx="292">
                  <c:v>-34</c:v>
                </c:pt>
                <c:pt idx="293">
                  <c:v>-33.5</c:v>
                </c:pt>
                <c:pt idx="294">
                  <c:v>-33</c:v>
                </c:pt>
                <c:pt idx="295">
                  <c:v>-32.5</c:v>
                </c:pt>
                <c:pt idx="296">
                  <c:v>-32</c:v>
                </c:pt>
                <c:pt idx="297">
                  <c:v>-31.5</c:v>
                </c:pt>
                <c:pt idx="298">
                  <c:v>-31</c:v>
                </c:pt>
                <c:pt idx="299">
                  <c:v>-30.5</c:v>
                </c:pt>
                <c:pt idx="300">
                  <c:v>-30</c:v>
                </c:pt>
                <c:pt idx="301">
                  <c:v>-29.5</c:v>
                </c:pt>
                <c:pt idx="302">
                  <c:v>-29</c:v>
                </c:pt>
                <c:pt idx="303">
                  <c:v>-28.5</c:v>
                </c:pt>
                <c:pt idx="304">
                  <c:v>-28</c:v>
                </c:pt>
                <c:pt idx="305">
                  <c:v>-27.5</c:v>
                </c:pt>
                <c:pt idx="306">
                  <c:v>-27</c:v>
                </c:pt>
                <c:pt idx="307">
                  <c:v>-26.5</c:v>
                </c:pt>
                <c:pt idx="308">
                  <c:v>-26</c:v>
                </c:pt>
                <c:pt idx="309">
                  <c:v>-25.5</c:v>
                </c:pt>
                <c:pt idx="310">
                  <c:v>-25</c:v>
                </c:pt>
                <c:pt idx="311">
                  <c:v>-24.5</c:v>
                </c:pt>
                <c:pt idx="312">
                  <c:v>-24</c:v>
                </c:pt>
                <c:pt idx="313">
                  <c:v>-23.5</c:v>
                </c:pt>
                <c:pt idx="314">
                  <c:v>-23</c:v>
                </c:pt>
                <c:pt idx="315">
                  <c:v>-22.5</c:v>
                </c:pt>
                <c:pt idx="316">
                  <c:v>-22</c:v>
                </c:pt>
                <c:pt idx="317">
                  <c:v>-21.5</c:v>
                </c:pt>
                <c:pt idx="318">
                  <c:v>-21</c:v>
                </c:pt>
                <c:pt idx="319">
                  <c:v>-20.5</c:v>
                </c:pt>
                <c:pt idx="320">
                  <c:v>-20</c:v>
                </c:pt>
                <c:pt idx="321">
                  <c:v>-19.5</c:v>
                </c:pt>
                <c:pt idx="322">
                  <c:v>-19</c:v>
                </c:pt>
                <c:pt idx="323">
                  <c:v>-18.5</c:v>
                </c:pt>
                <c:pt idx="324">
                  <c:v>-18</c:v>
                </c:pt>
                <c:pt idx="325">
                  <c:v>-17.5</c:v>
                </c:pt>
                <c:pt idx="326">
                  <c:v>-17</c:v>
                </c:pt>
                <c:pt idx="327">
                  <c:v>-16.5</c:v>
                </c:pt>
                <c:pt idx="328">
                  <c:v>-16</c:v>
                </c:pt>
                <c:pt idx="329">
                  <c:v>-15.5</c:v>
                </c:pt>
                <c:pt idx="330">
                  <c:v>-15</c:v>
                </c:pt>
                <c:pt idx="331">
                  <c:v>-14.5</c:v>
                </c:pt>
                <c:pt idx="332">
                  <c:v>-14</c:v>
                </c:pt>
                <c:pt idx="333">
                  <c:v>-13.5</c:v>
                </c:pt>
                <c:pt idx="334">
                  <c:v>-13</c:v>
                </c:pt>
                <c:pt idx="335">
                  <c:v>-12.5</c:v>
                </c:pt>
                <c:pt idx="336">
                  <c:v>-12</c:v>
                </c:pt>
                <c:pt idx="337">
                  <c:v>-11.5</c:v>
                </c:pt>
                <c:pt idx="338">
                  <c:v>-11</c:v>
                </c:pt>
                <c:pt idx="339">
                  <c:v>-10.5</c:v>
                </c:pt>
                <c:pt idx="340">
                  <c:v>-10</c:v>
                </c:pt>
                <c:pt idx="341">
                  <c:v>-9.5</c:v>
                </c:pt>
                <c:pt idx="342">
                  <c:v>-9</c:v>
                </c:pt>
                <c:pt idx="343">
                  <c:v>-8.5</c:v>
                </c:pt>
                <c:pt idx="344">
                  <c:v>-8</c:v>
                </c:pt>
                <c:pt idx="345">
                  <c:v>-7.5</c:v>
                </c:pt>
                <c:pt idx="346">
                  <c:v>-7</c:v>
                </c:pt>
                <c:pt idx="347">
                  <c:v>-6.5</c:v>
                </c:pt>
                <c:pt idx="348">
                  <c:v>-6</c:v>
                </c:pt>
                <c:pt idx="349">
                  <c:v>-5.5</c:v>
                </c:pt>
                <c:pt idx="350">
                  <c:v>-5</c:v>
                </c:pt>
                <c:pt idx="351">
                  <c:v>-4.5</c:v>
                </c:pt>
                <c:pt idx="352">
                  <c:v>-4</c:v>
                </c:pt>
                <c:pt idx="353">
                  <c:v>-3.5</c:v>
                </c:pt>
                <c:pt idx="354">
                  <c:v>-3</c:v>
                </c:pt>
                <c:pt idx="355">
                  <c:v>-2.5</c:v>
                </c:pt>
                <c:pt idx="356">
                  <c:v>-2</c:v>
                </c:pt>
                <c:pt idx="357">
                  <c:v>-1.5</c:v>
                </c:pt>
                <c:pt idx="358">
                  <c:v>-1</c:v>
                </c:pt>
                <c:pt idx="359">
                  <c:v>-0.5</c:v>
                </c:pt>
                <c:pt idx="360">
                  <c:v>0</c:v>
                </c:pt>
                <c:pt idx="361">
                  <c:v>0.5</c:v>
                </c:pt>
                <c:pt idx="362">
                  <c:v>1</c:v>
                </c:pt>
                <c:pt idx="363">
                  <c:v>1.5</c:v>
                </c:pt>
                <c:pt idx="364">
                  <c:v>2</c:v>
                </c:pt>
                <c:pt idx="365">
                  <c:v>2.5</c:v>
                </c:pt>
                <c:pt idx="366">
                  <c:v>3</c:v>
                </c:pt>
                <c:pt idx="367">
                  <c:v>3.5</c:v>
                </c:pt>
                <c:pt idx="368">
                  <c:v>4</c:v>
                </c:pt>
                <c:pt idx="369">
                  <c:v>4.5</c:v>
                </c:pt>
                <c:pt idx="370">
                  <c:v>5</c:v>
                </c:pt>
                <c:pt idx="371">
                  <c:v>5.5</c:v>
                </c:pt>
                <c:pt idx="372">
                  <c:v>6</c:v>
                </c:pt>
                <c:pt idx="373">
                  <c:v>6.5</c:v>
                </c:pt>
                <c:pt idx="374">
                  <c:v>7</c:v>
                </c:pt>
                <c:pt idx="375">
                  <c:v>7.5</c:v>
                </c:pt>
                <c:pt idx="376">
                  <c:v>8</c:v>
                </c:pt>
                <c:pt idx="377">
                  <c:v>8.5</c:v>
                </c:pt>
                <c:pt idx="378">
                  <c:v>9</c:v>
                </c:pt>
                <c:pt idx="379">
                  <c:v>9.5</c:v>
                </c:pt>
                <c:pt idx="380">
                  <c:v>10</c:v>
                </c:pt>
                <c:pt idx="381">
                  <c:v>10.5</c:v>
                </c:pt>
                <c:pt idx="382">
                  <c:v>11</c:v>
                </c:pt>
                <c:pt idx="383">
                  <c:v>11.5</c:v>
                </c:pt>
                <c:pt idx="384">
                  <c:v>12</c:v>
                </c:pt>
                <c:pt idx="385">
                  <c:v>12.5</c:v>
                </c:pt>
                <c:pt idx="386">
                  <c:v>13</c:v>
                </c:pt>
                <c:pt idx="387">
                  <c:v>13.5</c:v>
                </c:pt>
                <c:pt idx="388">
                  <c:v>14</c:v>
                </c:pt>
                <c:pt idx="389">
                  <c:v>14.5</c:v>
                </c:pt>
                <c:pt idx="390">
                  <c:v>15</c:v>
                </c:pt>
                <c:pt idx="391">
                  <c:v>15.5</c:v>
                </c:pt>
                <c:pt idx="392">
                  <c:v>16</c:v>
                </c:pt>
                <c:pt idx="393">
                  <c:v>16.5</c:v>
                </c:pt>
                <c:pt idx="394">
                  <c:v>17</c:v>
                </c:pt>
                <c:pt idx="395">
                  <c:v>17.5</c:v>
                </c:pt>
                <c:pt idx="396">
                  <c:v>18</c:v>
                </c:pt>
                <c:pt idx="397">
                  <c:v>18.5</c:v>
                </c:pt>
                <c:pt idx="398">
                  <c:v>19</c:v>
                </c:pt>
                <c:pt idx="399">
                  <c:v>19.5</c:v>
                </c:pt>
                <c:pt idx="400">
                  <c:v>20</c:v>
                </c:pt>
                <c:pt idx="401">
                  <c:v>20.5</c:v>
                </c:pt>
                <c:pt idx="402">
                  <c:v>21</c:v>
                </c:pt>
                <c:pt idx="403">
                  <c:v>21.5</c:v>
                </c:pt>
                <c:pt idx="404">
                  <c:v>22</c:v>
                </c:pt>
                <c:pt idx="405">
                  <c:v>22.5</c:v>
                </c:pt>
                <c:pt idx="406">
                  <c:v>23</c:v>
                </c:pt>
                <c:pt idx="407">
                  <c:v>23.5</c:v>
                </c:pt>
                <c:pt idx="408">
                  <c:v>24</c:v>
                </c:pt>
                <c:pt idx="409">
                  <c:v>24.5</c:v>
                </c:pt>
                <c:pt idx="410">
                  <c:v>25</c:v>
                </c:pt>
                <c:pt idx="411">
                  <c:v>25.5</c:v>
                </c:pt>
                <c:pt idx="412">
                  <c:v>26</c:v>
                </c:pt>
                <c:pt idx="413">
                  <c:v>26.5</c:v>
                </c:pt>
                <c:pt idx="414">
                  <c:v>27</c:v>
                </c:pt>
                <c:pt idx="415">
                  <c:v>27.5</c:v>
                </c:pt>
                <c:pt idx="416">
                  <c:v>28</c:v>
                </c:pt>
                <c:pt idx="417">
                  <c:v>28.5</c:v>
                </c:pt>
                <c:pt idx="418">
                  <c:v>29</c:v>
                </c:pt>
                <c:pt idx="419">
                  <c:v>29.5</c:v>
                </c:pt>
                <c:pt idx="420">
                  <c:v>30</c:v>
                </c:pt>
                <c:pt idx="421">
                  <c:v>30.5</c:v>
                </c:pt>
                <c:pt idx="422">
                  <c:v>31</c:v>
                </c:pt>
                <c:pt idx="423">
                  <c:v>31.5</c:v>
                </c:pt>
                <c:pt idx="424">
                  <c:v>32</c:v>
                </c:pt>
                <c:pt idx="425">
                  <c:v>32.5</c:v>
                </c:pt>
                <c:pt idx="426">
                  <c:v>33</c:v>
                </c:pt>
                <c:pt idx="427">
                  <c:v>33.5</c:v>
                </c:pt>
                <c:pt idx="428">
                  <c:v>34</c:v>
                </c:pt>
                <c:pt idx="429">
                  <c:v>34.5</c:v>
                </c:pt>
                <c:pt idx="430">
                  <c:v>35</c:v>
                </c:pt>
                <c:pt idx="431">
                  <c:v>35.5</c:v>
                </c:pt>
                <c:pt idx="432">
                  <c:v>36</c:v>
                </c:pt>
                <c:pt idx="433">
                  <c:v>36.5</c:v>
                </c:pt>
                <c:pt idx="434">
                  <c:v>37</c:v>
                </c:pt>
                <c:pt idx="435">
                  <c:v>37.5</c:v>
                </c:pt>
                <c:pt idx="436">
                  <c:v>38</c:v>
                </c:pt>
                <c:pt idx="437">
                  <c:v>38.5</c:v>
                </c:pt>
                <c:pt idx="438">
                  <c:v>39</c:v>
                </c:pt>
                <c:pt idx="439">
                  <c:v>39.5</c:v>
                </c:pt>
                <c:pt idx="440">
                  <c:v>40</c:v>
                </c:pt>
                <c:pt idx="441">
                  <c:v>40.5</c:v>
                </c:pt>
                <c:pt idx="442">
                  <c:v>41</c:v>
                </c:pt>
                <c:pt idx="443">
                  <c:v>41.5</c:v>
                </c:pt>
                <c:pt idx="444">
                  <c:v>42</c:v>
                </c:pt>
                <c:pt idx="445">
                  <c:v>42.5</c:v>
                </c:pt>
                <c:pt idx="446">
                  <c:v>43</c:v>
                </c:pt>
                <c:pt idx="447">
                  <c:v>43.5</c:v>
                </c:pt>
                <c:pt idx="448">
                  <c:v>44</c:v>
                </c:pt>
                <c:pt idx="449">
                  <c:v>44.5</c:v>
                </c:pt>
                <c:pt idx="450">
                  <c:v>45</c:v>
                </c:pt>
                <c:pt idx="451">
                  <c:v>45.5</c:v>
                </c:pt>
                <c:pt idx="452">
                  <c:v>46</c:v>
                </c:pt>
                <c:pt idx="453">
                  <c:v>46.5</c:v>
                </c:pt>
                <c:pt idx="454">
                  <c:v>47</c:v>
                </c:pt>
                <c:pt idx="455">
                  <c:v>47.5</c:v>
                </c:pt>
                <c:pt idx="456">
                  <c:v>48</c:v>
                </c:pt>
                <c:pt idx="457">
                  <c:v>48.5</c:v>
                </c:pt>
                <c:pt idx="458">
                  <c:v>49</c:v>
                </c:pt>
                <c:pt idx="459">
                  <c:v>49.5</c:v>
                </c:pt>
                <c:pt idx="460">
                  <c:v>50</c:v>
                </c:pt>
                <c:pt idx="461">
                  <c:v>50.5</c:v>
                </c:pt>
                <c:pt idx="462">
                  <c:v>51</c:v>
                </c:pt>
                <c:pt idx="463">
                  <c:v>51.5</c:v>
                </c:pt>
                <c:pt idx="464">
                  <c:v>52</c:v>
                </c:pt>
                <c:pt idx="465">
                  <c:v>52.5</c:v>
                </c:pt>
                <c:pt idx="466">
                  <c:v>53</c:v>
                </c:pt>
                <c:pt idx="467">
                  <c:v>53.5</c:v>
                </c:pt>
                <c:pt idx="468">
                  <c:v>54</c:v>
                </c:pt>
                <c:pt idx="469">
                  <c:v>54.5</c:v>
                </c:pt>
                <c:pt idx="470">
                  <c:v>55</c:v>
                </c:pt>
                <c:pt idx="471">
                  <c:v>55.5</c:v>
                </c:pt>
                <c:pt idx="472">
                  <c:v>56</c:v>
                </c:pt>
                <c:pt idx="473">
                  <c:v>56.5</c:v>
                </c:pt>
                <c:pt idx="474">
                  <c:v>57</c:v>
                </c:pt>
                <c:pt idx="475">
                  <c:v>57.5</c:v>
                </c:pt>
                <c:pt idx="476">
                  <c:v>58</c:v>
                </c:pt>
                <c:pt idx="477">
                  <c:v>58.5</c:v>
                </c:pt>
                <c:pt idx="478">
                  <c:v>59</c:v>
                </c:pt>
                <c:pt idx="479">
                  <c:v>59.5</c:v>
                </c:pt>
                <c:pt idx="480">
                  <c:v>60</c:v>
                </c:pt>
                <c:pt idx="481">
                  <c:v>60.5</c:v>
                </c:pt>
                <c:pt idx="482">
                  <c:v>61</c:v>
                </c:pt>
                <c:pt idx="483">
                  <c:v>61.5</c:v>
                </c:pt>
                <c:pt idx="484">
                  <c:v>62</c:v>
                </c:pt>
                <c:pt idx="485">
                  <c:v>62.5</c:v>
                </c:pt>
                <c:pt idx="486">
                  <c:v>63</c:v>
                </c:pt>
                <c:pt idx="487">
                  <c:v>63.5</c:v>
                </c:pt>
                <c:pt idx="488">
                  <c:v>64</c:v>
                </c:pt>
                <c:pt idx="489">
                  <c:v>64.5</c:v>
                </c:pt>
                <c:pt idx="490">
                  <c:v>65</c:v>
                </c:pt>
                <c:pt idx="491">
                  <c:v>65.5</c:v>
                </c:pt>
                <c:pt idx="492">
                  <c:v>66</c:v>
                </c:pt>
                <c:pt idx="493">
                  <c:v>66.5</c:v>
                </c:pt>
                <c:pt idx="494">
                  <c:v>67</c:v>
                </c:pt>
                <c:pt idx="495">
                  <c:v>67.5</c:v>
                </c:pt>
                <c:pt idx="496">
                  <c:v>68</c:v>
                </c:pt>
                <c:pt idx="497">
                  <c:v>68.5</c:v>
                </c:pt>
                <c:pt idx="498">
                  <c:v>69</c:v>
                </c:pt>
                <c:pt idx="499">
                  <c:v>69.5</c:v>
                </c:pt>
                <c:pt idx="500">
                  <c:v>70</c:v>
                </c:pt>
                <c:pt idx="501">
                  <c:v>70.5</c:v>
                </c:pt>
                <c:pt idx="502">
                  <c:v>71</c:v>
                </c:pt>
                <c:pt idx="503">
                  <c:v>71.5</c:v>
                </c:pt>
                <c:pt idx="504">
                  <c:v>72</c:v>
                </c:pt>
                <c:pt idx="505">
                  <c:v>72.5</c:v>
                </c:pt>
                <c:pt idx="506">
                  <c:v>73</c:v>
                </c:pt>
                <c:pt idx="507">
                  <c:v>73.5</c:v>
                </c:pt>
                <c:pt idx="508">
                  <c:v>74</c:v>
                </c:pt>
                <c:pt idx="509">
                  <c:v>74.5</c:v>
                </c:pt>
                <c:pt idx="510">
                  <c:v>75</c:v>
                </c:pt>
                <c:pt idx="511">
                  <c:v>75.5</c:v>
                </c:pt>
                <c:pt idx="512">
                  <c:v>76</c:v>
                </c:pt>
                <c:pt idx="513">
                  <c:v>76.5</c:v>
                </c:pt>
                <c:pt idx="514">
                  <c:v>77</c:v>
                </c:pt>
                <c:pt idx="515">
                  <c:v>77.5</c:v>
                </c:pt>
                <c:pt idx="516">
                  <c:v>78</c:v>
                </c:pt>
                <c:pt idx="517">
                  <c:v>78.5</c:v>
                </c:pt>
                <c:pt idx="518">
                  <c:v>79</c:v>
                </c:pt>
                <c:pt idx="519">
                  <c:v>79.5</c:v>
                </c:pt>
                <c:pt idx="520">
                  <c:v>80</c:v>
                </c:pt>
                <c:pt idx="521">
                  <c:v>80.5</c:v>
                </c:pt>
                <c:pt idx="522">
                  <c:v>81</c:v>
                </c:pt>
                <c:pt idx="523">
                  <c:v>81.5</c:v>
                </c:pt>
                <c:pt idx="524">
                  <c:v>82</c:v>
                </c:pt>
                <c:pt idx="525">
                  <c:v>82.5</c:v>
                </c:pt>
                <c:pt idx="526">
                  <c:v>83</c:v>
                </c:pt>
                <c:pt idx="527">
                  <c:v>83.5</c:v>
                </c:pt>
                <c:pt idx="528">
                  <c:v>84</c:v>
                </c:pt>
                <c:pt idx="529">
                  <c:v>84.5</c:v>
                </c:pt>
                <c:pt idx="530">
                  <c:v>85</c:v>
                </c:pt>
                <c:pt idx="531">
                  <c:v>85.5</c:v>
                </c:pt>
                <c:pt idx="532">
                  <c:v>86</c:v>
                </c:pt>
                <c:pt idx="533">
                  <c:v>86.5</c:v>
                </c:pt>
                <c:pt idx="534">
                  <c:v>87</c:v>
                </c:pt>
                <c:pt idx="535">
                  <c:v>87.5</c:v>
                </c:pt>
                <c:pt idx="536">
                  <c:v>88</c:v>
                </c:pt>
                <c:pt idx="537">
                  <c:v>88.5</c:v>
                </c:pt>
                <c:pt idx="538">
                  <c:v>89</c:v>
                </c:pt>
                <c:pt idx="539">
                  <c:v>89.5</c:v>
                </c:pt>
                <c:pt idx="540">
                  <c:v>90</c:v>
                </c:pt>
                <c:pt idx="541">
                  <c:v>90.5</c:v>
                </c:pt>
                <c:pt idx="542">
                  <c:v>91</c:v>
                </c:pt>
                <c:pt idx="543">
                  <c:v>91.5</c:v>
                </c:pt>
                <c:pt idx="544">
                  <c:v>92</c:v>
                </c:pt>
                <c:pt idx="545">
                  <c:v>92.5</c:v>
                </c:pt>
                <c:pt idx="546">
                  <c:v>93</c:v>
                </c:pt>
                <c:pt idx="547">
                  <c:v>93.5</c:v>
                </c:pt>
                <c:pt idx="548">
                  <c:v>94</c:v>
                </c:pt>
                <c:pt idx="549">
                  <c:v>94.5</c:v>
                </c:pt>
                <c:pt idx="550">
                  <c:v>95</c:v>
                </c:pt>
                <c:pt idx="551">
                  <c:v>95.5</c:v>
                </c:pt>
                <c:pt idx="552">
                  <c:v>96</c:v>
                </c:pt>
                <c:pt idx="553">
                  <c:v>96.5</c:v>
                </c:pt>
                <c:pt idx="554">
                  <c:v>97</c:v>
                </c:pt>
                <c:pt idx="555">
                  <c:v>97.5</c:v>
                </c:pt>
                <c:pt idx="556">
                  <c:v>98</c:v>
                </c:pt>
                <c:pt idx="557">
                  <c:v>98.5</c:v>
                </c:pt>
                <c:pt idx="558">
                  <c:v>99</c:v>
                </c:pt>
                <c:pt idx="559">
                  <c:v>99.5</c:v>
                </c:pt>
                <c:pt idx="560">
                  <c:v>100</c:v>
                </c:pt>
                <c:pt idx="561">
                  <c:v>100.5</c:v>
                </c:pt>
                <c:pt idx="562">
                  <c:v>101</c:v>
                </c:pt>
                <c:pt idx="563">
                  <c:v>101.5</c:v>
                </c:pt>
                <c:pt idx="564">
                  <c:v>102</c:v>
                </c:pt>
                <c:pt idx="565">
                  <c:v>102.5</c:v>
                </c:pt>
                <c:pt idx="566">
                  <c:v>103</c:v>
                </c:pt>
                <c:pt idx="567">
                  <c:v>103.5</c:v>
                </c:pt>
                <c:pt idx="568">
                  <c:v>104</c:v>
                </c:pt>
                <c:pt idx="569">
                  <c:v>104.5</c:v>
                </c:pt>
                <c:pt idx="570">
                  <c:v>105</c:v>
                </c:pt>
                <c:pt idx="571">
                  <c:v>105.5</c:v>
                </c:pt>
                <c:pt idx="572">
                  <c:v>106</c:v>
                </c:pt>
                <c:pt idx="573">
                  <c:v>106.5</c:v>
                </c:pt>
                <c:pt idx="574">
                  <c:v>107</c:v>
                </c:pt>
                <c:pt idx="575">
                  <c:v>107.5</c:v>
                </c:pt>
                <c:pt idx="576">
                  <c:v>108</c:v>
                </c:pt>
                <c:pt idx="577">
                  <c:v>108.5</c:v>
                </c:pt>
                <c:pt idx="578">
                  <c:v>109</c:v>
                </c:pt>
                <c:pt idx="579">
                  <c:v>109.5</c:v>
                </c:pt>
                <c:pt idx="580">
                  <c:v>110</c:v>
                </c:pt>
                <c:pt idx="581">
                  <c:v>110.5</c:v>
                </c:pt>
                <c:pt idx="582">
                  <c:v>111</c:v>
                </c:pt>
                <c:pt idx="583">
                  <c:v>111.5</c:v>
                </c:pt>
                <c:pt idx="584">
                  <c:v>112</c:v>
                </c:pt>
                <c:pt idx="585">
                  <c:v>112.5</c:v>
                </c:pt>
                <c:pt idx="586">
                  <c:v>113</c:v>
                </c:pt>
                <c:pt idx="587">
                  <c:v>113.5</c:v>
                </c:pt>
                <c:pt idx="588">
                  <c:v>114</c:v>
                </c:pt>
                <c:pt idx="589">
                  <c:v>114.5</c:v>
                </c:pt>
                <c:pt idx="590">
                  <c:v>115</c:v>
                </c:pt>
                <c:pt idx="591">
                  <c:v>115.5</c:v>
                </c:pt>
                <c:pt idx="592">
                  <c:v>116</c:v>
                </c:pt>
                <c:pt idx="593">
                  <c:v>116.5</c:v>
                </c:pt>
                <c:pt idx="594">
                  <c:v>117</c:v>
                </c:pt>
                <c:pt idx="595">
                  <c:v>117.5</c:v>
                </c:pt>
                <c:pt idx="596">
                  <c:v>118</c:v>
                </c:pt>
                <c:pt idx="597">
                  <c:v>118.5</c:v>
                </c:pt>
                <c:pt idx="598">
                  <c:v>119</c:v>
                </c:pt>
                <c:pt idx="599">
                  <c:v>119.5</c:v>
                </c:pt>
                <c:pt idx="600">
                  <c:v>120</c:v>
                </c:pt>
                <c:pt idx="601">
                  <c:v>120.5</c:v>
                </c:pt>
                <c:pt idx="602">
                  <c:v>121</c:v>
                </c:pt>
                <c:pt idx="603">
                  <c:v>121.5</c:v>
                </c:pt>
                <c:pt idx="604">
                  <c:v>122</c:v>
                </c:pt>
                <c:pt idx="605">
                  <c:v>122.5</c:v>
                </c:pt>
                <c:pt idx="606">
                  <c:v>123</c:v>
                </c:pt>
                <c:pt idx="607">
                  <c:v>123.5</c:v>
                </c:pt>
                <c:pt idx="608">
                  <c:v>124</c:v>
                </c:pt>
                <c:pt idx="609">
                  <c:v>124.5</c:v>
                </c:pt>
                <c:pt idx="610">
                  <c:v>125</c:v>
                </c:pt>
                <c:pt idx="611">
                  <c:v>125.5</c:v>
                </c:pt>
                <c:pt idx="612">
                  <c:v>126</c:v>
                </c:pt>
                <c:pt idx="613">
                  <c:v>126.5</c:v>
                </c:pt>
                <c:pt idx="614">
                  <c:v>127</c:v>
                </c:pt>
                <c:pt idx="615">
                  <c:v>127.5</c:v>
                </c:pt>
                <c:pt idx="616">
                  <c:v>128</c:v>
                </c:pt>
                <c:pt idx="617">
                  <c:v>128.5</c:v>
                </c:pt>
                <c:pt idx="618">
                  <c:v>129</c:v>
                </c:pt>
                <c:pt idx="619">
                  <c:v>129.5</c:v>
                </c:pt>
                <c:pt idx="620">
                  <c:v>130</c:v>
                </c:pt>
                <c:pt idx="621">
                  <c:v>130.5</c:v>
                </c:pt>
                <c:pt idx="622">
                  <c:v>131</c:v>
                </c:pt>
                <c:pt idx="623">
                  <c:v>131.5</c:v>
                </c:pt>
                <c:pt idx="624">
                  <c:v>132</c:v>
                </c:pt>
                <c:pt idx="625">
                  <c:v>132.5</c:v>
                </c:pt>
                <c:pt idx="626">
                  <c:v>133</c:v>
                </c:pt>
                <c:pt idx="627">
                  <c:v>133.5</c:v>
                </c:pt>
                <c:pt idx="628">
                  <c:v>134</c:v>
                </c:pt>
                <c:pt idx="629">
                  <c:v>134.5</c:v>
                </c:pt>
                <c:pt idx="630">
                  <c:v>135</c:v>
                </c:pt>
                <c:pt idx="631">
                  <c:v>135.5</c:v>
                </c:pt>
                <c:pt idx="632">
                  <c:v>136</c:v>
                </c:pt>
                <c:pt idx="633">
                  <c:v>136.5</c:v>
                </c:pt>
                <c:pt idx="634">
                  <c:v>137</c:v>
                </c:pt>
                <c:pt idx="635">
                  <c:v>137.5</c:v>
                </c:pt>
                <c:pt idx="636">
                  <c:v>138</c:v>
                </c:pt>
                <c:pt idx="637">
                  <c:v>138.5</c:v>
                </c:pt>
                <c:pt idx="638">
                  <c:v>139</c:v>
                </c:pt>
                <c:pt idx="639">
                  <c:v>139.5</c:v>
                </c:pt>
                <c:pt idx="640">
                  <c:v>140</c:v>
                </c:pt>
                <c:pt idx="641">
                  <c:v>140.5</c:v>
                </c:pt>
                <c:pt idx="642">
                  <c:v>141</c:v>
                </c:pt>
                <c:pt idx="643">
                  <c:v>141.5</c:v>
                </c:pt>
                <c:pt idx="644">
                  <c:v>142</c:v>
                </c:pt>
                <c:pt idx="645">
                  <c:v>142.5</c:v>
                </c:pt>
                <c:pt idx="646">
                  <c:v>143</c:v>
                </c:pt>
                <c:pt idx="647">
                  <c:v>143.5</c:v>
                </c:pt>
                <c:pt idx="648">
                  <c:v>144</c:v>
                </c:pt>
                <c:pt idx="649">
                  <c:v>144.5</c:v>
                </c:pt>
                <c:pt idx="650">
                  <c:v>145</c:v>
                </c:pt>
                <c:pt idx="651">
                  <c:v>145.5</c:v>
                </c:pt>
                <c:pt idx="652">
                  <c:v>146</c:v>
                </c:pt>
                <c:pt idx="653">
                  <c:v>146.5</c:v>
                </c:pt>
                <c:pt idx="654">
                  <c:v>147</c:v>
                </c:pt>
                <c:pt idx="655">
                  <c:v>147.5</c:v>
                </c:pt>
                <c:pt idx="656">
                  <c:v>148</c:v>
                </c:pt>
                <c:pt idx="657">
                  <c:v>148.5</c:v>
                </c:pt>
                <c:pt idx="658">
                  <c:v>149</c:v>
                </c:pt>
                <c:pt idx="659">
                  <c:v>149.5</c:v>
                </c:pt>
                <c:pt idx="660">
                  <c:v>150</c:v>
                </c:pt>
                <c:pt idx="661">
                  <c:v>150.5</c:v>
                </c:pt>
                <c:pt idx="662">
                  <c:v>151</c:v>
                </c:pt>
                <c:pt idx="663">
                  <c:v>151.5</c:v>
                </c:pt>
                <c:pt idx="664">
                  <c:v>152</c:v>
                </c:pt>
                <c:pt idx="665">
                  <c:v>152.5</c:v>
                </c:pt>
                <c:pt idx="666">
                  <c:v>153</c:v>
                </c:pt>
                <c:pt idx="667">
                  <c:v>153.5</c:v>
                </c:pt>
                <c:pt idx="668">
                  <c:v>154</c:v>
                </c:pt>
                <c:pt idx="669">
                  <c:v>154.5</c:v>
                </c:pt>
                <c:pt idx="670">
                  <c:v>155</c:v>
                </c:pt>
                <c:pt idx="671">
                  <c:v>155.5</c:v>
                </c:pt>
                <c:pt idx="672">
                  <c:v>156</c:v>
                </c:pt>
                <c:pt idx="673">
                  <c:v>156.5</c:v>
                </c:pt>
                <c:pt idx="674">
                  <c:v>157</c:v>
                </c:pt>
                <c:pt idx="675">
                  <c:v>157.5</c:v>
                </c:pt>
                <c:pt idx="676">
                  <c:v>158</c:v>
                </c:pt>
                <c:pt idx="677">
                  <c:v>158.5</c:v>
                </c:pt>
                <c:pt idx="678">
                  <c:v>159</c:v>
                </c:pt>
                <c:pt idx="679">
                  <c:v>159.5</c:v>
                </c:pt>
                <c:pt idx="680">
                  <c:v>160</c:v>
                </c:pt>
                <c:pt idx="681">
                  <c:v>160.5</c:v>
                </c:pt>
                <c:pt idx="682">
                  <c:v>161</c:v>
                </c:pt>
                <c:pt idx="683">
                  <c:v>161.5</c:v>
                </c:pt>
                <c:pt idx="684">
                  <c:v>162</c:v>
                </c:pt>
                <c:pt idx="685">
                  <c:v>162.5</c:v>
                </c:pt>
                <c:pt idx="686">
                  <c:v>163</c:v>
                </c:pt>
                <c:pt idx="687">
                  <c:v>163.5</c:v>
                </c:pt>
                <c:pt idx="688">
                  <c:v>164</c:v>
                </c:pt>
                <c:pt idx="689">
                  <c:v>164.5</c:v>
                </c:pt>
                <c:pt idx="690">
                  <c:v>165</c:v>
                </c:pt>
                <c:pt idx="691">
                  <c:v>165.5</c:v>
                </c:pt>
                <c:pt idx="692">
                  <c:v>166</c:v>
                </c:pt>
                <c:pt idx="693">
                  <c:v>166.5</c:v>
                </c:pt>
                <c:pt idx="694">
                  <c:v>167</c:v>
                </c:pt>
                <c:pt idx="695">
                  <c:v>167.5</c:v>
                </c:pt>
                <c:pt idx="696">
                  <c:v>168</c:v>
                </c:pt>
                <c:pt idx="697">
                  <c:v>168.5</c:v>
                </c:pt>
                <c:pt idx="698">
                  <c:v>169</c:v>
                </c:pt>
                <c:pt idx="699">
                  <c:v>169.5</c:v>
                </c:pt>
                <c:pt idx="700">
                  <c:v>170</c:v>
                </c:pt>
                <c:pt idx="701">
                  <c:v>170.5</c:v>
                </c:pt>
                <c:pt idx="702">
                  <c:v>171</c:v>
                </c:pt>
                <c:pt idx="703">
                  <c:v>171.5</c:v>
                </c:pt>
                <c:pt idx="704">
                  <c:v>172</c:v>
                </c:pt>
                <c:pt idx="705">
                  <c:v>172.5</c:v>
                </c:pt>
                <c:pt idx="706">
                  <c:v>173</c:v>
                </c:pt>
                <c:pt idx="707">
                  <c:v>173.5</c:v>
                </c:pt>
                <c:pt idx="708">
                  <c:v>174</c:v>
                </c:pt>
                <c:pt idx="709">
                  <c:v>174.5</c:v>
                </c:pt>
                <c:pt idx="710">
                  <c:v>175</c:v>
                </c:pt>
                <c:pt idx="711">
                  <c:v>175.5</c:v>
                </c:pt>
                <c:pt idx="712">
                  <c:v>176</c:v>
                </c:pt>
                <c:pt idx="713">
                  <c:v>176.5</c:v>
                </c:pt>
                <c:pt idx="714">
                  <c:v>177</c:v>
                </c:pt>
                <c:pt idx="715">
                  <c:v>177.5</c:v>
                </c:pt>
                <c:pt idx="716">
                  <c:v>178</c:v>
                </c:pt>
                <c:pt idx="717">
                  <c:v>178.5</c:v>
                </c:pt>
                <c:pt idx="718">
                  <c:v>179</c:v>
                </c:pt>
                <c:pt idx="719">
                  <c:v>179.5</c:v>
                </c:pt>
                <c:pt idx="720">
                  <c:v>180</c:v>
                </c:pt>
              </c:numCache>
            </c:numRef>
          </c:xVal>
          <c:yVal>
            <c:numRef>
              <c:f>Barrido_AE!$J$12:$J$732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4.6033346729217515</c:v>
                </c:pt>
                <c:pt idx="276">
                  <c:v>4.6838282643979383</c:v>
                </c:pt>
                <c:pt idx="277">
                  <c:v>4.7661189310785605</c:v>
                </c:pt>
                <c:pt idx="278">
                  <c:v>4.8502428963503164</c:v>
                </c:pt>
                <c:pt idx="279">
                  <c:v>4.9362364384492903</c:v>
                </c:pt>
                <c:pt idx="280">
                  <c:v>5.024135818595048</c:v>
                </c:pt>
                <c:pt idx="281">
                  <c:v>5.1139772021108811</c:v>
                </c:pt>
                <c:pt idx="282">
                  <c:v>5.2057965720721358</c:v>
                </c:pt>
                <c:pt idx="283">
                  <c:v>5.2996296350088352</c:v>
                </c:pt>
                <c:pt idx="284">
                  <c:v>5.3955117181735694</c:v>
                </c:pt>
                <c:pt idx="285">
                  <c:v>5.4934776578723703</c:v>
                </c:pt>
                <c:pt idx="286">
                  <c:v>5.5935616783449866</c:v>
                </c:pt>
                <c:pt idx="287">
                  <c:v>5.6957972606717471</c:v>
                </c:pt>
                <c:pt idx="288">
                  <c:v>5.80021700117838</c:v>
                </c:pt>
                <c:pt idx="289">
                  <c:v>5.9068524588072222</c:v>
                </c:pt>
                <c:pt idx="290">
                  <c:v>6.0157339909247796</c:v>
                </c:pt>
                <c:pt idx="291">
                  <c:v>6.1268905770417605</c:v>
                </c:pt>
                <c:pt idx="292">
                  <c:v>6.2403496299330925</c:v>
                </c:pt>
                <c:pt idx="293">
                  <c:v>6.3561367936632998</c:v>
                </c:pt>
                <c:pt idx="294">
                  <c:v>6.474275728047596</c:v>
                </c:pt>
                <c:pt idx="295">
                  <c:v>6.5948064182778419</c:v>
                </c:pt>
                <c:pt idx="296">
                  <c:v>6.7180487875100292</c:v>
                </c:pt>
                <c:pt idx="297">
                  <c:v>6.844557761289944</c:v>
                </c:pt>
                <c:pt idx="298">
                  <c:v>6.9749230226743517</c:v>
                </c:pt>
                <c:pt idx="299">
                  <c:v>7.1097642189877135</c:v>
                </c:pt>
                <c:pt idx="300">
                  <c:v>7.2497313292218131</c:v>
                </c:pt>
                <c:pt idx="301">
                  <c:v>7.3955047720670208</c:v>
                </c:pt>
                <c:pt idx="302">
                  <c:v>7.5477952260583763</c:v>
                </c:pt>
                <c:pt idx="303">
                  <c:v>7.7073431323519825</c:v>
                </c:pt>
                <c:pt idx="304">
                  <c:v>7.8749178499810437</c:v>
                </c:pt>
                <c:pt idx="305">
                  <c:v>8.0513164331276368</c:v>
                </c:pt>
                <c:pt idx="306">
                  <c:v>8.2373620000457706</c:v>
                </c:pt>
                <c:pt idx="307">
                  <c:v>8.4339016638401549</c:v>
                </c:pt>
                <c:pt idx="308">
                  <c:v>8.6418039964072531</c:v>
                </c:pt>
                <c:pt idx="309">
                  <c:v>8.8619559985393455</c:v>
                </c:pt>
                <c:pt idx="310">
                  <c:v>9.0952595515404031</c:v>
                </c:pt>
                <c:pt idx="311">
                  <c:v>9.3426273287619477</c:v>
                </c:pt>
                <c:pt idx="312">
                  <c:v>9.6049781492908348</c:v>
                </c:pt>
                <c:pt idx="313">
                  <c:v>9.883231760656475</c:v>
                </c:pt>
                <c:pt idx="314">
                  <c:v>10.178303042910875</c:v>
                </c:pt>
                <c:pt idx="315">
                  <c:v>10.49109563279751</c:v>
                </c:pt>
                <c:pt idx="316">
                  <c:v>10.822494973979929</c:v>
                </c:pt>
                <c:pt idx="317">
                  <c:v>11.173360807441847</c:v>
                </c:pt>
                <c:pt idx="318">
                  <c:v>11.544519125179404</c:v>
                </c:pt>
                <c:pt idx="319">
                  <c:v>11.936753620134022</c:v>
                </c:pt>
                <c:pt idx="320">
                  <c:v>12.350796675895886</c:v>
                </c:pt>
                <c:pt idx="321">
                  <c:v>12.787319950943377</c:v>
                </c:pt>
                <c:pt idx="322">
                  <c:v>13.246924623948235</c:v>
                </c:pt>
                <c:pt idx="323">
                  <c:v>13.730131378811766</c:v>
                </c:pt>
                <c:pt idx="324">
                  <c:v>14.237370220415002</c:v>
                </c:pt>
                <c:pt idx="325">
                  <c:v>14.768970224340507</c:v>
                </c:pt>
                <c:pt idx="326">
                  <c:v>15.325149335805222</c:v>
                </c:pt>
                <c:pt idx="327">
                  <c:v>15.906004344443884</c:v>
                </c:pt>
                <c:pt idx="328">
                  <c:v>16.511501172094668</c:v>
                </c:pt>
                <c:pt idx="329">
                  <c:v>17.141465620025055</c:v>
                </c:pt>
                <c:pt idx="330">
                  <c:v>17.795574729749987</c:v>
                </c:pt>
                <c:pt idx="331">
                  <c:v>18.47334891737847</c:v>
                </c:pt>
                <c:pt idx="332">
                  <c:v>19.174145044917026</c:v>
                </c:pt>
                <c:pt idx="333">
                  <c:v>19.897150592817571</c:v>
                </c:pt>
                <c:pt idx="334">
                  <c:v>20.641379095955262</c:v>
                </c:pt>
                <c:pt idx="335">
                  <c:v>21.405666999873848</c:v>
                </c:pt>
                <c:pt idx="336">
                  <c:v>22.188672085300524</c:v>
                </c:pt>
                <c:pt idx="337">
                  <c:v>22.98887359644112</c:v>
                </c:pt>
                <c:pt idx="338">
                  <c:v>23.80457419231227</c:v>
                </c:pt>
                <c:pt idx="339">
                  <c:v>24.633903820355314</c:v>
                </c:pt>
                <c:pt idx="340">
                  <c:v>25.474825587894323</c:v>
                </c:pt>
                <c:pt idx="341">
                  <c:v>26.325143679855437</c:v>
                </c:pt>
                <c:pt idx="342">
                  <c:v>27.182513340884711</c:v>
                </c:pt>
                <c:pt idx="343">
                  <c:v>28.044452907026052</c:v>
                </c:pt>
                <c:pt idx="344">
                  <c:v>28.908357837017917</c:v>
                </c:pt>
                <c:pt idx="345">
                  <c:v>29.771516656708474</c:v>
                </c:pt>
                <c:pt idx="346">
                  <c:v>30.631128692853999</c:v>
                </c:pt>
                <c:pt idx="347">
                  <c:v>31.484323435520857</c:v>
                </c:pt>
                <c:pt idx="348">
                  <c:v>32.328181332375152</c:v>
                </c:pt>
                <c:pt idx="349">
                  <c:v>33.159755784292095</c:v>
                </c:pt>
                <c:pt idx="350">
                  <c:v>33.976096080918069</c:v>
                </c:pt>
                <c:pt idx="351">
                  <c:v>34.774270988017655</c:v>
                </c:pt>
                <c:pt idx="352">
                  <c:v>35.551392676534988</c:v>
                </c:pt>
                <c:pt idx="353">
                  <c:v>36.304640667084733</c:v>
                </c:pt>
                <c:pt idx="354">
                  <c:v>37.031285453729076</c:v>
                </c:pt>
                <c:pt idx="355">
                  <c:v>37.728711467911189</c:v>
                </c:pt>
                <c:pt idx="356">
                  <c:v>38.394439047628204</c:v>
                </c:pt>
                <c:pt idx="357">
                  <c:v>39.026145088450178</c:v>
                </c:pt>
                <c:pt idx="358">
                  <c:v>39.62168207174247</c:v>
                </c:pt>
                <c:pt idx="359">
                  <c:v>40.179095191101368</c:v>
                </c:pt>
                <c:pt idx="360">
                  <c:v>40.696637330031379</c:v>
                </c:pt>
                <c:pt idx="361">
                  <c:v>41.172781681535703</c:v>
                </c:pt>
                <c:pt idx="362">
                  <c:v>41.606231842635573</c:v>
                </c:pt>
                <c:pt idx="363">
                  <c:v>41.995929262796864</c:v>
                </c:pt>
                <c:pt idx="364">
                  <c:v>42.341057973637959</c:v>
                </c:pt>
                <c:pt idx="365">
                  <c:v>42.641046576841205</c:v>
                </c:pt>
                <c:pt idx="366">
                  <c:v>42.895567516601233</c:v>
                </c:pt>
                <c:pt idx="367">
                  <c:v>43.104533710929147</c:v>
                </c:pt>
                <c:pt idx="368">
                  <c:v>43.268092661474334</c:v>
                </c:pt>
                <c:pt idx="369">
                  <c:v>43.386618203104874</c:v>
                </c:pt>
                <c:pt idx="370">
                  <c:v>43.460700091332811</c:v>
                </c:pt>
                <c:pt idx="371">
                  <c:v>43.491131656963638</c:v>
                </c:pt>
                <c:pt idx="372">
                  <c:v>43.478895782497297</c:v>
                </c:pt>
                <c:pt idx="373">
                  <c:v>43.425149473397518</c:v>
                </c:pt>
                <c:pt idx="374">
                  <c:v>43.331207309186354</c:v>
                </c:pt>
                <c:pt idx="375">
                  <c:v>43.198524064445408</c:v>
                </c:pt>
                <c:pt idx="376">
                  <c:v>43.02867678843166</c:v>
                </c:pt>
                <c:pt idx="377">
                  <c:v>42.823346624540918</c:v>
                </c:pt>
                <c:pt idx="378">
                  <c:v>42.584300637847093</c:v>
                </c:pt>
                <c:pt idx="379">
                  <c:v>42.313373901093399</c:v>
                </c:pt>
                <c:pt idx="380">
                  <c:v>42.012452067586466</c:v>
                </c:pt>
                <c:pt idx="381">
                  <c:v>41.683454634307786</c:v>
                </c:pt>
                <c:pt idx="382">
                  <c:v>41.328319071068542</c:v>
                </c:pt>
                <c:pt idx="383">
                  <c:v>40.948985962570035</c:v>
                </c:pt>
                <c:pt idx="384">
                  <c:v>40.547385280638672</c:v>
                </c:pt>
                <c:pt idx="385">
                  <c:v>40.125423874457979</c:v>
                </c:pt>
                <c:pt idx="386">
                  <c:v>39.684974238038762</c:v>
                </c:pt>
                <c:pt idx="387">
                  <c:v>39.227864587059912</c:v>
                </c:pt>
                <c:pt idx="388">
                  <c:v>38.755870252098077</c:v>
                </c:pt>
                <c:pt idx="389">
                  <c:v>38.270706372552269</c:v>
                </c:pt>
                <c:pt idx="390">
                  <c:v>37.774021855540965</c:v>
                </c:pt>
                <c:pt idx="391">
                  <c:v>37.267394546915099</c:v>
                </c:pt>
                <c:pt idx="392">
                  <c:v>36.752327547358327</c:v>
                </c:pt>
                <c:pt idx="393">
                  <c:v>36.230246595345697</c:v>
                </c:pt>
                <c:pt idx="394">
                  <c:v>35.70249843041001</c:v>
                </c:pt>
                <c:pt idx="395">
                  <c:v>35.170350044576168</c:v>
                </c:pt>
                <c:pt idx="396">
                  <c:v>34.634988726749889</c:v>
                </c:pt>
                <c:pt idx="397">
                  <c:v>34.097522804050094</c:v>
                </c:pt>
                <c:pt idx="398">
                  <c:v>33.558982985268059</c:v>
                </c:pt>
                <c:pt idx="399">
                  <c:v>33.020324214527008</c:v>
                </c:pt>
                <c:pt idx="400">
                  <c:v>32.482427947510807</c:v>
                </c:pt>
                <c:pt idx="401">
                  <c:v>31.946104768025801</c:v>
                </c:pt>
                <c:pt idx="402">
                  <c:v>31.412097268882498</c:v>
                </c:pt>
                <c:pt idx="403">
                  <c:v>30.881083127862677</c:v>
                </c:pt>
                <c:pt idx="404">
                  <c:v>30.353678316641275</c:v>
                </c:pt>
                <c:pt idx="405">
                  <c:v>29.830440387746979</c:v>
                </c:pt>
                <c:pt idx="406">
                  <c:v>29.311871791788754</c:v>
                </c:pt>
                <c:pt idx="407">
                  <c:v>28.798423184097334</c:v>
                </c:pt>
                <c:pt idx="408">
                  <c:v>28.290496686513919</c:v>
                </c:pt>
                <c:pt idx="409">
                  <c:v>27.788449076201076</c:v>
                </c:pt>
                <c:pt idx="410">
                  <c:v>27.292594879000166</c:v>
                </c:pt>
                <c:pt idx="411">
                  <c:v>26.80320934995969</c:v>
                </c:pt>
                <c:pt idx="412">
                  <c:v>26.320531328202378</c:v>
                </c:pt>
                <c:pt idx="413">
                  <c:v>25.844765957273353</c:v>
                </c:pt>
                <c:pt idx="414">
                  <c:v>25.376087265535457</c:v>
                </c:pt>
                <c:pt idx="415">
                  <c:v>24.914640604074034</c:v>
                </c:pt>
                <c:pt idx="416">
                  <c:v>24.460544941974479</c:v>
                </c:pt>
                <c:pt idx="417">
                  <c:v>24.013895020784929</c:v>
                </c:pt>
                <c:pt idx="418">
                  <c:v>23.574763371515342</c:v>
                </c:pt>
                <c:pt idx="419">
                  <c:v>23.14320219869931</c:v>
                </c:pt>
                <c:pt idx="420">
                  <c:v>22.719245136906348</c:v>
                </c:pt>
                <c:pt idx="421">
                  <c:v>22.302908885679802</c:v>
                </c:pt>
                <c:pt idx="422">
                  <c:v>21.894194729238659</c:v>
                </c:pt>
                <c:pt idx="423">
                  <c:v>21.493089947454408</c:v>
                </c:pt>
                <c:pt idx="424">
                  <c:v>21.099569124639817</c:v>
                </c:pt>
                <c:pt idx="425">
                  <c:v>20.713595362590219</c:v>
                </c:pt>
                <c:pt idx="426">
                  <c:v>20.335121404137205</c:v>
                </c:pt>
                <c:pt idx="427">
                  <c:v>19.964090673225112</c:v>
                </c:pt>
                <c:pt idx="428">
                  <c:v>19.60043823722998</c:v>
                </c:pt>
                <c:pt idx="429">
                  <c:v>19.244091696921714</c:v>
                </c:pt>
                <c:pt idx="430">
                  <c:v>18.894972009139714</c:v>
                </c:pt>
                <c:pt idx="431">
                  <c:v>18.552994246917773</c:v>
                </c:pt>
                <c:pt idx="432">
                  <c:v>18.218068301467273</c:v>
                </c:pt>
                <c:pt idx="433">
                  <c:v>17.890099530111495</c:v>
                </c:pt>
                <c:pt idx="434">
                  <c:v>17.568989353964433</c:v>
                </c:pt>
                <c:pt idx="435">
                  <c:v>17.254635808866716</c:v>
                </c:pt>
                <c:pt idx="436">
                  <c:v>16.94693405282948</c:v>
                </c:pt>
                <c:pt idx="437">
                  <c:v>16.645776832996216</c:v>
                </c:pt>
                <c:pt idx="438">
                  <c:v>16.351054914911821</c:v>
                </c:pt>
                <c:pt idx="439">
                  <c:v>16.062657476685207</c:v>
                </c:pt>
                <c:pt idx="440">
                  <c:v>15.780472470448291</c:v>
                </c:pt>
                <c:pt idx="441">
                  <c:v>15.504386953345611</c:v>
                </c:pt>
                <c:pt idx="442">
                  <c:v>15.234287390136082</c:v>
                </c:pt>
                <c:pt idx="443">
                  <c:v>14.970059929349247</c:v>
                </c:pt>
                <c:pt idx="444">
                  <c:v>14.711590654809839</c:v>
                </c:pt>
                <c:pt idx="445">
                  <c:v>14.4587658142287</c:v>
                </c:pt>
                <c:pt idx="446">
                  <c:v>14.211472026449087</c:v>
                </c:pt>
                <c:pt idx="447">
                  <c:v>13.969596468839766</c:v>
                </c:pt>
                <c:pt idx="448">
                  <c:v>13.733027046232094</c:v>
                </c:pt>
                <c:pt idx="449">
                  <c:v>13.501652542714499</c:v>
                </c:pt>
                <c:pt idx="450">
                  <c:v>13.275362757516238</c:v>
                </c:pt>
                <c:pt idx="451">
                  <c:v>13.054048626138231</c:v>
                </c:pt>
                <c:pt idx="452">
                  <c:v>12.837602327817347</c:v>
                </c:pt>
                <c:pt idx="453">
                  <c:v>12.625917380344935</c:v>
                </c:pt>
                <c:pt idx="454">
                  <c:v>12.41888872319686</c:v>
                </c:pt>
                <c:pt idx="455">
                  <c:v>12.216412789873521</c:v>
                </c:pt>
                <c:pt idx="456">
                  <c:v>12.018387570291562</c:v>
                </c:pt>
                <c:pt idx="457">
                  <c:v>11.82471266401652</c:v>
                </c:pt>
                <c:pt idx="458">
                  <c:v>11.635289325074412</c:v>
                </c:pt>
                <c:pt idx="459">
                  <c:v>11.450020499033128</c:v>
                </c:pt>
                <c:pt idx="460">
                  <c:v>11.268810852998779</c:v>
                </c:pt>
                <c:pt idx="461">
                  <c:v>11.091566799129685</c:v>
                </c:pt>
                <c:pt idx="462">
                  <c:v>10.918196512229725</c:v>
                </c:pt>
                <c:pt idx="463">
                  <c:v>10.748609941944762</c:v>
                </c:pt>
                <c:pt idx="464">
                  <c:v>10.582718820049607</c:v>
                </c:pt>
                <c:pt idx="465">
                  <c:v>10.420436663278599</c:v>
                </c:pt>
                <c:pt idx="466">
                  <c:v>10.261678772120842</c:v>
                </c:pt>
                <c:pt idx="467">
                  <c:v>10.1063622259709</c:v>
                </c:pt>
                <c:pt idx="468">
                  <c:v>9.9544058749970521</c:v>
                </c:pt>
                <c:pt idx="469">
                  <c:v>9.8057303290623761</c:v>
                </c:pt>
                <c:pt idx="470">
                  <c:v>9.6602579440090963</c:v>
                </c:pt>
                <c:pt idx="471">
                  <c:v>9.517912805592637</c:v>
                </c:pt>
                <c:pt idx="472">
                  <c:v>9.3786207113298961</c:v>
                </c:pt>
                <c:pt idx="473">
                  <c:v>9.2423091505058927</c:v>
                </c:pt>
                <c:pt idx="474">
                  <c:v>9.108907282562976</c:v>
                </c:pt>
                <c:pt idx="475">
                  <c:v>8.9783459140794388</c:v>
                </c:pt>
                <c:pt idx="476">
                  <c:v>8.8505574745270117</c:v>
                </c:pt>
                <c:pt idx="477">
                  <c:v>8.7254759909815114</c:v>
                </c:pt>
                <c:pt idx="478">
                  <c:v>8.6030370619457646</c:v>
                </c:pt>
                <c:pt idx="479">
                  <c:v>8.4831778304309786</c:v>
                </c:pt>
                <c:pt idx="480">
                  <c:v>8.3658369564295967</c:v>
                </c:pt>
                <c:pt idx="481">
                  <c:v>8.2509545889012514</c:v>
                </c:pt>
                <c:pt idx="482">
                  <c:v>8.1384723373824155</c:v>
                </c:pt>
                <c:pt idx="483">
                  <c:v>8.0283332433203238</c:v>
                </c:pt>
                <c:pt idx="484">
                  <c:v>7.9204817512225771</c:v>
                </c:pt>
                <c:pt idx="485">
                  <c:v>7.8148636797046622</c:v>
                </c:pt>
                <c:pt idx="486">
                  <c:v>7.7114261925105518</c:v>
                </c:pt>
                <c:pt idx="487">
                  <c:v>7.6101177695730318</c:v>
                </c:pt>
                <c:pt idx="488">
                  <c:v>7.5108881781747661</c:v>
                </c:pt>
                <c:pt idx="489">
                  <c:v>7.413688444263836</c:v>
                </c:pt>
                <c:pt idx="490">
                  <c:v>7.3184708239724054</c:v>
                </c:pt>
                <c:pt idx="491">
                  <c:v>7.2251887753815236</c:v>
                </c:pt>
                <c:pt idx="492">
                  <c:v>7.1337969305700693</c:v>
                </c:pt>
                <c:pt idx="493">
                  <c:v>7.04425106798179</c:v>
                </c:pt>
                <c:pt idx="494">
                  <c:v>6.9565080851397489</c:v>
                </c:pt>
                <c:pt idx="495">
                  <c:v>6.8705259717341471</c:v>
                </c:pt>
                <c:pt idx="496">
                  <c:v>6.7862637831056078</c:v>
                </c:pt>
                <c:pt idx="497">
                  <c:v>6.703681614143262</c:v>
                </c:pt>
                <c:pt idx="498">
                  <c:v>6.6227405736137239</c:v>
                </c:pt>
                <c:pt idx="499">
                  <c:v>6.5434027589347101</c:v>
                </c:pt>
                <c:pt idx="500">
                  <c:v>6.4656312314043163</c:v>
                </c:pt>
                <c:pt idx="501">
                  <c:v>6.3893899918951318</c:v>
                </c:pt>
                <c:pt idx="502">
                  <c:v>6.3146439570200359</c:v>
                </c:pt>
                <c:pt idx="503">
                  <c:v>6.2413589357750823</c:v>
                </c:pt>
                <c:pt idx="504">
                  <c:v>6.1695016066628989</c:v>
                </c:pt>
                <c:pt idx="505">
                  <c:v>6.0990394952987037</c:v>
                </c:pt>
                <c:pt idx="506">
                  <c:v>6.0299409524998762</c:v>
                </c:pt>
                <c:pt idx="507">
                  <c:v>5.9621751328584605</c:v>
                </c:pt>
                <c:pt idx="508">
                  <c:v>5.8957119737952155</c:v>
                </c:pt>
                <c:pt idx="509">
                  <c:v>5.8305221750927325</c:v>
                </c:pt>
                <c:pt idx="510">
                  <c:v>5.7665771789043303</c:v>
                </c:pt>
                <c:pt idx="511">
                  <c:v>5.7038491502346043</c:v>
                </c:pt>
                <c:pt idx="512">
                  <c:v>5.6423109578868962</c:v>
                </c:pt>
                <c:pt idx="513">
                  <c:v>5.5819361558724125</c:v>
                </c:pt>
                <c:pt idx="514">
                  <c:v>5.5226989652750405</c:v>
                </c:pt>
                <c:pt idx="515">
                  <c:v>5.4645742565655757</c:v>
                </c:pt>
                <c:pt idx="516">
                  <c:v>5.4075375323587194</c:v>
                </c:pt>
                <c:pt idx="517">
                  <c:v>5.3515649106057532</c:v>
                </c:pt>
                <c:pt idx="518">
                  <c:v>5.2966331082155298</c:v>
                </c:pt>
                <c:pt idx="519">
                  <c:v>5.2427194250963467</c:v>
                </c:pt>
                <c:pt idx="520">
                  <c:v>5.1898017286108562</c:v>
                </c:pt>
                <c:pt idx="521">
                  <c:v>5.1378584384360915</c:v>
                </c:pt>
                <c:pt idx="522">
                  <c:v>5.0868685118206693</c:v>
                </c:pt>
                <c:pt idx="523">
                  <c:v>5.0368114292309683</c:v>
                </c:pt>
                <c:pt idx="524">
                  <c:v>4.9876671803781552</c:v>
                </c:pt>
                <c:pt idx="525">
                  <c:v>4.9394162506177999</c:v>
                </c:pt>
                <c:pt idx="526">
                  <c:v>4.8920396077138868</c:v>
                </c:pt>
                <c:pt idx="527">
                  <c:v>4.8455186889590172</c:v>
                </c:pt>
                <c:pt idx="528">
                  <c:v>4.7998353886425305</c:v>
                </c:pt>
                <c:pt idx="529">
                  <c:v>4.7549720458585201</c:v>
                </c:pt>
                <c:pt idx="530">
                  <c:v>4.7109114326455614</c:v>
                </c:pt>
                <c:pt idx="531">
                  <c:v>4.6676367424501413</c:v>
                </c:pt>
                <c:pt idx="532">
                  <c:v>4.6251315789059326</c:v>
                </c:pt>
                <c:pt idx="533">
                  <c:v>4.5833799449209716</c:v>
                </c:pt>
                <c:pt idx="534">
                  <c:v>4.5423662320650875</c:v>
                </c:pt>
                <c:pt idx="535">
                  <c:v>4.5020752102499033</c:v>
                </c:pt>
                <c:pt idx="536">
                  <c:v>4.4624920176939202</c:v>
                </c:pt>
                <c:pt idx="537">
                  <c:v>4.4236021511653023</c:v>
                </c:pt>
                <c:pt idx="538">
                  <c:v>4.3853914564950687</c:v>
                </c:pt>
                <c:pt idx="539">
                  <c:v>4.3478461193536511</c:v>
                </c:pt>
                <c:pt idx="540">
                  <c:v>4.3109526562836828</c:v>
                </c:pt>
                <c:pt idx="541">
                  <c:v>4.2746979059823138</c:v>
                </c:pt>
                <c:pt idx="542">
                  <c:v>4.2390690208262241</c:v>
                </c:pt>
                <c:pt idx="543">
                  <c:v>4.204053458632826</c:v>
                </c:pt>
                <c:pt idx="544">
                  <c:v>4.1696389746511597</c:v>
                </c:pt>
                <c:pt idx="545">
                  <c:v>4.1358136137762793</c:v>
                </c:pt>
                <c:pt idx="546">
                  <c:v>4.1025657029808675</c:v>
                </c:pt>
                <c:pt idx="547">
                  <c:v>4.0698838439581637</c:v>
                </c:pt>
                <c:pt idx="548">
                  <c:v>4.037756905970304</c:v>
                </c:pt>
                <c:pt idx="549">
                  <c:v>4.0061740188963224</c:v>
                </c:pt>
                <c:pt idx="550">
                  <c:v>3.9751245664742627</c:v>
                </c:pt>
                <c:pt idx="551">
                  <c:v>3.9445981797319596</c:v>
                </c:pt>
                <c:pt idx="552">
                  <c:v>3.9145847306011272</c:v>
                </c:pt>
                <c:pt idx="553">
                  <c:v>3.8850743257096365</c:v>
                </c:pt>
                <c:pt idx="554">
                  <c:v>3.8560573003468854</c:v>
                </c:pt>
                <c:pt idx="555">
                  <c:v>3.8275242125973916</c:v>
                </c:pt>
                <c:pt idx="556">
                  <c:v>3.7994658376378241</c:v>
                </c:pt>
                <c:pt idx="557">
                  <c:v>3.771873162192747</c:v>
                </c:pt>
                <c:pt idx="558">
                  <c:v>3.7447373791446634</c:v>
                </c:pt>
                <c:pt idx="559">
                  <c:v>3.7180498822938355</c:v>
                </c:pt>
                <c:pt idx="560">
                  <c:v>3.6918022612636627</c:v>
                </c:pt>
                <c:pt idx="561">
                  <c:v>3.665986296547417</c:v>
                </c:pt>
                <c:pt idx="562">
                  <c:v>3.6405939546922981</c:v>
                </c:pt>
                <c:pt idx="563">
                  <c:v>3.6156173836168084</c:v>
                </c:pt>
                <c:pt idx="564">
                  <c:v>3.591048908057723</c:v>
                </c:pt>
                <c:pt idx="565">
                  <c:v>3.5668810251428051</c:v>
                </c:pt>
                <c:pt idx="566">
                  <c:v>3.543106400085708</c:v>
                </c:pt>
                <c:pt idx="567">
                  <c:v>3.5197178619995868</c:v>
                </c:pt>
                <c:pt idx="568">
                  <c:v>3.4967083998258817</c:v>
                </c:pt>
                <c:pt idx="569">
                  <c:v>3.4740711583750872</c:v>
                </c:pt>
                <c:pt idx="570">
                  <c:v>3.4517994344761687</c:v>
                </c:pt>
                <c:pt idx="571">
                  <c:v>3.4298866732315805</c:v>
                </c:pt>
                <c:pt idx="572">
                  <c:v>3.408326464374789</c:v>
                </c:pt>
                <c:pt idx="573">
                  <c:v>3.3871125387273486</c:v>
                </c:pt>
                <c:pt idx="574">
                  <c:v>3.366238764752723</c:v>
                </c:pt>
                <c:pt idx="575">
                  <c:v>3.3456991452039739</c:v>
                </c:pt>
                <c:pt idx="576">
                  <c:v>3.325487813862702</c:v>
                </c:pt>
                <c:pt idx="577">
                  <c:v>3.3055990323665436</c:v>
                </c:pt>
                <c:pt idx="578">
                  <c:v>3.2860271871227407</c:v>
                </c:pt>
                <c:pt idx="579">
                  <c:v>3.2667667863052618</c:v>
                </c:pt>
                <c:pt idx="580">
                  <c:v>3.2478124569331084</c:v>
                </c:pt>
                <c:pt idx="581">
                  <c:v>3.2291589420274445</c:v>
                </c:pt>
                <c:pt idx="582">
                  <c:v>3.2108010978453461</c:v>
                </c:pt>
                <c:pt idx="583">
                  <c:v>3.1927338911879044</c:v>
                </c:pt>
                <c:pt idx="584">
                  <c:v>3.1749523967806157</c:v>
                </c:pt>
                <c:pt idx="585">
                  <c:v>3.1574517947239662</c:v>
                </c:pt>
                <c:pt idx="586">
                  <c:v>3.1402273680122117</c:v>
                </c:pt>
                <c:pt idx="587">
                  <c:v>3.1232745001184132</c:v>
                </c:pt>
                <c:pt idx="588">
                  <c:v>3.1065886726438294</c:v>
                </c:pt>
                <c:pt idx="589">
                  <c:v>3.0901654630298645</c:v>
                </c:pt>
                <c:pt idx="590">
                  <c:v>3.0740005423307561</c:v>
                </c:pt>
                <c:pt idx="591">
                  <c:v>3.0580896730453215</c:v>
                </c:pt>
                <c:pt idx="592">
                  <c:v>3.0424287070060525</c:v>
                </c:pt>
                <c:pt idx="593">
                  <c:v>3.0270135833239866</c:v>
                </c:pt>
                <c:pt idx="594">
                  <c:v>3.0118403263877092</c:v>
                </c:pt>
                <c:pt idx="595">
                  <c:v>2.9969050439150453</c:v>
                </c:pt>
                <c:pt idx="596">
                  <c:v>2.9822039250558894</c:v>
                </c:pt>
                <c:pt idx="597">
                  <c:v>2.9677332385447857</c:v>
                </c:pt>
                <c:pt idx="598">
                  <c:v>2.9534893309018244</c:v>
                </c:pt>
                <c:pt idx="599">
                  <c:v>2.9394686246805417</c:v>
                </c:pt>
                <c:pt idx="600">
                  <c:v>2.9256676167614866</c:v>
                </c:pt>
                <c:pt idx="601">
                  <c:v>2.9120828766901776</c:v>
                </c:pt>
                <c:pt idx="602">
                  <c:v>2.8987110450582487</c:v>
                </c:pt>
                <c:pt idx="603">
                  <c:v>2.8855488319265286</c:v>
                </c:pt>
                <c:pt idx="604">
                  <c:v>2.8725930152889712</c:v>
                </c:pt>
                <c:pt idx="605">
                  <c:v>2.8598404395762085</c:v>
                </c:pt>
                <c:pt idx="606">
                  <c:v>2.8472880141977446</c:v>
                </c:pt>
                <c:pt idx="607">
                  <c:v>2.8349327121216223</c:v>
                </c:pt>
                <c:pt idx="608">
                  <c:v>2.8227715684906132</c:v>
                </c:pt>
                <c:pt idx="609">
                  <c:v>2.8108016792738888</c:v>
                </c:pt>
                <c:pt idx="610">
                  <c:v>2.7990201999532123</c:v>
                </c:pt>
                <c:pt idx="611">
                  <c:v>2.7874243442427238</c:v>
                </c:pt>
                <c:pt idx="612">
                  <c:v>2.7760113828413768</c:v>
                </c:pt>
                <c:pt idx="613">
                  <c:v>2.7647786422171721</c:v>
                </c:pt>
                <c:pt idx="614">
                  <c:v>2.7537235034223064</c:v>
                </c:pt>
                <c:pt idx="615">
                  <c:v>2.7428434009384204</c:v>
                </c:pt>
                <c:pt idx="616">
                  <c:v>2.7321358215511062</c:v>
                </c:pt>
                <c:pt idx="617">
                  <c:v>2.7215983032529336</c:v>
                </c:pt>
                <c:pt idx="618">
                  <c:v>2.7112284341741844</c:v>
                </c:pt>
                <c:pt idx="619">
                  <c:v>2.7010238515405947</c:v>
                </c:pt>
                <c:pt idx="620">
                  <c:v>2.6909822406573594</c:v>
                </c:pt>
                <c:pt idx="621">
                  <c:v>2.6811013339187162</c:v>
                </c:pt>
                <c:pt idx="622">
                  <c:v>2.6713789098424336</c:v>
                </c:pt>
                <c:pt idx="623">
                  <c:v>2.6618127921285297</c:v>
                </c:pt>
                <c:pt idx="624">
                  <c:v>2.6524008487416193</c:v>
                </c:pt>
                <c:pt idx="625">
                  <c:v>2.6431409910162187</c:v>
                </c:pt>
                <c:pt idx="626">
                  <c:v>2.6340311727844656</c:v>
                </c:pt>
                <c:pt idx="627">
                  <c:v>2.6250693895256205</c:v>
                </c:pt>
                <c:pt idx="628">
                  <c:v>2.6162536775368253</c:v>
                </c:pt>
                <c:pt idx="629">
                  <c:v>2.6075821131245411</c:v>
                </c:pt>
                <c:pt idx="630">
                  <c:v>2.5990528118161436</c:v>
                </c:pt>
                <c:pt idx="631">
                  <c:v>2.5906639275911663</c:v>
                </c:pt>
                <c:pt idx="632">
                  <c:v>2.5824136521316663</c:v>
                </c:pt>
                <c:pt idx="633">
                  <c:v>2.5743002140912532</c:v>
                </c:pt>
                <c:pt idx="634">
                  <c:v>2.5663218783822943</c:v>
                </c:pt>
                <c:pt idx="635">
                  <c:v>2.5584769454808227</c:v>
                </c:pt>
                <c:pt idx="636">
                  <c:v>2.5507637507487315</c:v>
                </c:pt>
                <c:pt idx="637">
                  <c:v>2.5431806637728069</c:v>
                </c:pt>
                <c:pt idx="638">
                  <c:v>2.5357260877201626</c:v>
                </c:pt>
                <c:pt idx="639">
                  <c:v>2.5283984587097046</c:v>
                </c:pt>
                <c:pt idx="640">
                  <c:v>2.5211962451991861</c:v>
                </c:pt>
                <c:pt idx="641">
                  <c:v>2.5141179473875206</c:v>
                </c:pt>
                <c:pt idx="642">
                  <c:v>2.5071620966319248</c:v>
                </c:pt>
                <c:pt idx="643">
                  <c:v>2.5003272548795614</c:v>
                </c:pt>
                <c:pt idx="644">
                  <c:v>2.4936120141133307</c:v>
                </c:pt>
                <c:pt idx="645">
                  <c:v>2.4870149958114522</c:v>
                </c:pt>
                <c:pt idx="646">
                  <c:v>2.4805348504205162</c:v>
                </c:pt>
                <c:pt idx="647">
                  <c:v>2.4741702568416812</c:v>
                </c:pt>
                <c:pt idx="648">
                  <c:v>2.4679199219296994</c:v>
                </c:pt>
                <c:pt idx="649">
                  <c:v>2.4617825800044804</c:v>
                </c:pt>
                <c:pt idx="650">
                  <c:v>2.4557569923748725</c:v>
                </c:pt>
                <c:pt idx="651">
                  <c:v>2.4498419468744137</c:v>
                </c:pt>
                <c:pt idx="652">
                  <c:v>2.4440362574087282</c:v>
                </c:pt>
                <c:pt idx="653">
                  <c:v>2.4383387635143419</c:v>
                </c:pt>
                <c:pt idx="654">
                  <c:v>2.4327483299286312</c:v>
                </c:pt>
                <c:pt idx="655">
                  <c:v>2.4272638461706428</c:v>
                </c:pt>
                <c:pt idx="656">
                  <c:v>2.4218842261325779</c:v>
                </c:pt>
                <c:pt idx="657">
                  <c:v>2.4166084076816472</c:v>
                </c:pt>
                <c:pt idx="658">
                  <c:v>2.4114353522721061</c:v>
                </c:pt>
                <c:pt idx="659">
                  <c:v>2.4063640445672303</c:v>
                </c:pt>
                <c:pt idx="660">
                  <c:v>2.4013934920710036</c:v>
                </c:pt>
                <c:pt idx="661">
                  <c:v>2.3965227247693286</c:v>
                </c:pt>
                <c:pt idx="662">
                  <c:v>2.3917507947805223</c:v>
                </c:pt>
                <c:pt idx="663">
                  <c:v>2.3870767760149354</c:v>
                </c:pt>
                <c:pt idx="664">
                  <c:v>2.3824997638434526</c:v>
                </c:pt>
                <c:pt idx="665">
                  <c:v>2.3780188747747495</c:v>
                </c:pt>
                <c:pt idx="666">
                  <c:v>2.373633246141051</c:v>
                </c:pt>
                <c:pt idx="667">
                  <c:v>2.3693420357922781</c:v>
                </c:pt>
                <c:pt idx="668">
                  <c:v>2.3651444217983633</c:v>
                </c:pt>
                <c:pt idx="669">
                  <c:v>2.3610396021596065</c:v>
                </c:pt>
                <c:pt idx="670">
                  <c:v>2.3570267945248782</c:v>
                </c:pt>
                <c:pt idx="671">
                  <c:v>2.3531052359175328</c:v>
                </c:pt>
                <c:pt idx="672">
                  <c:v>2.3492741824688803</c:v>
                </c:pt>
                <c:pt idx="673">
                  <c:v>2.345532909159044</c:v>
                </c:pt>
                <c:pt idx="674">
                  <c:v>2.3418807095651144</c:v>
                </c:pt>
                <c:pt idx="675">
                  <c:v>2.3383168956163933</c:v>
                </c:pt>
                <c:pt idx="676">
                  <c:v>2.3348407973566565</c:v>
                </c:pt>
                <c:pt idx="677">
                  <c:v>2.3314517627132605</c:v>
                </c:pt>
                <c:pt idx="678">
                  <c:v>2.3281491572730011</c:v>
                </c:pt>
                <c:pt idx="679">
                  <c:v>2.3249323640645811</c:v>
                </c:pt>
                <c:pt idx="680">
                  <c:v>2.3218007833475718</c:v>
                </c:pt>
                <c:pt idx="681">
                  <c:v>2.3187538324077654</c:v>
                </c:pt>
                <c:pt idx="682">
                  <c:v>2.3157909453588132</c:v>
                </c:pt>
                <c:pt idx="683">
                  <c:v>2.312911572950008</c:v>
                </c:pt>
                <c:pt idx="684">
                  <c:v>2.3101151823801578</c:v>
                </c:pt>
                <c:pt idx="685">
                  <c:v>2.3074012571174216</c:v>
                </c:pt>
                <c:pt idx="686">
                  <c:v>2.304769296725008</c:v>
                </c:pt>
                <c:pt idx="687">
                  <c:v>2.3022188166926671</c:v>
                </c:pt>
                <c:pt idx="688">
                  <c:v>2.2997493482738691</c:v>
                </c:pt>
                <c:pt idx="689">
                  <c:v>2.297360438328595</c:v>
                </c:pt>
                <c:pt idx="690">
                  <c:v>2.2950516491716382</c:v>
                </c:pt>
                <c:pt idx="691">
                  <c:v>2.2928225584263675</c:v>
                </c:pt>
                <c:pt idx="692">
                  <c:v>2.2906727588838525</c:v>
                </c:pt>
                <c:pt idx="693">
                  <c:v>2.2886018583672758</c:v>
                </c:pt>
                <c:pt idx="694">
                  <c:v>2.2866094796015846</c:v>
                </c:pt>
                <c:pt idx="695">
                  <c:v>2.2846952600882897</c:v>
                </c:pt>
                <c:pt idx="696">
                  <c:v>2.2828588519853605</c:v>
                </c:pt>
                <c:pt idx="697">
                  <c:v>2.2810999219921513</c:v>
                </c:pt>
                <c:pt idx="698">
                  <c:v>2.2794181512393008</c:v>
                </c:pt>
                <c:pt idx="699">
                  <c:v>2.2778132351835376</c:v>
                </c:pt>
                <c:pt idx="700">
                  <c:v>2.2762848835073615</c:v>
                </c:pt>
                <c:pt idx="701">
                  <c:v>2.2748328200235211</c:v>
                </c:pt>
                <c:pt idx="702">
                  <c:v>2.2734567825842569</c:v>
                </c:pt>
                <c:pt idx="703">
                  <c:v>2.2721565229952616</c:v>
                </c:pt>
                <c:pt idx="704">
                  <c:v>2.2709318069343101</c:v>
                </c:pt>
                <c:pt idx="705">
                  <c:v>2.2697824138745122</c:v>
                </c:pt>
                <c:pt idx="706">
                  <c:v>2.2687081370121644</c:v>
                </c:pt>
                <c:pt idx="707">
                  <c:v>2.2677087831991503</c:v>
                </c:pt>
                <c:pt idx="708">
                  <c:v>2.2667841728798641</c:v>
                </c:pt>
                <c:pt idx="709">
                  <c:v>2.2659341400326145</c:v>
                </c:pt>
                <c:pt idx="710">
                  <c:v>2.2651585321154948</c:v>
                </c:pt>
                <c:pt idx="711">
                  <c:v>2.2644572100166762</c:v>
                </c:pt>
                <c:pt idx="712">
                  <c:v>2.2638300480091131</c:v>
                </c:pt>
                <c:pt idx="713">
                  <c:v>2.2632769337096286</c:v>
                </c:pt>
                <c:pt idx="714">
                  <c:v>2.2627977680423541</c:v>
                </c:pt>
                <c:pt idx="715">
                  <c:v>2.2623924652065286</c:v>
                </c:pt>
                <c:pt idx="716">
                  <c:v>2.2620609526486088</c:v>
                </c:pt>
                <c:pt idx="717">
                  <c:v>2.2618031710387037</c:v>
                </c:pt>
                <c:pt idx="718">
                  <c:v>2.2616190742513065</c:v>
                </c:pt>
                <c:pt idx="719">
                  <c:v>2.2615086293503146</c:v>
                </c:pt>
                <c:pt idx="720">
                  <c:v>2.2614718165783456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9DC-4004-837F-35A726EBFDB5}"/>
            </c:ext>
          </c:extLst>
        </c:ser>
        <c:ser>
          <c:idx val="5"/>
          <c:order val="5"/>
          <c:tx>
            <c:v>AE 50°</c:v>
          </c:tx>
          <c:spPr>
            <a:ln w="47520">
              <a:solidFill>
                <a:srgbClr val="C0D2A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Barrido_AE!$A$12:$A$732</c:f>
              <c:numCache>
                <c:formatCode>0.0</c:formatCode>
                <c:ptCount val="721"/>
                <c:pt idx="0">
                  <c:v>-180</c:v>
                </c:pt>
                <c:pt idx="1">
                  <c:v>-179.5</c:v>
                </c:pt>
                <c:pt idx="2">
                  <c:v>-179</c:v>
                </c:pt>
                <c:pt idx="3">
                  <c:v>-178.5</c:v>
                </c:pt>
                <c:pt idx="4">
                  <c:v>-178</c:v>
                </c:pt>
                <c:pt idx="5">
                  <c:v>-177.5</c:v>
                </c:pt>
                <c:pt idx="6">
                  <c:v>-177</c:v>
                </c:pt>
                <c:pt idx="7">
                  <c:v>-176.5</c:v>
                </c:pt>
                <c:pt idx="8">
                  <c:v>-176</c:v>
                </c:pt>
                <c:pt idx="9">
                  <c:v>-175.5</c:v>
                </c:pt>
                <c:pt idx="10">
                  <c:v>-175</c:v>
                </c:pt>
                <c:pt idx="11">
                  <c:v>-174.5</c:v>
                </c:pt>
                <c:pt idx="12">
                  <c:v>-174</c:v>
                </c:pt>
                <c:pt idx="13">
                  <c:v>-173.5</c:v>
                </c:pt>
                <c:pt idx="14">
                  <c:v>-173</c:v>
                </c:pt>
                <c:pt idx="15">
                  <c:v>-172.5</c:v>
                </c:pt>
                <c:pt idx="16">
                  <c:v>-172</c:v>
                </c:pt>
                <c:pt idx="17">
                  <c:v>-171.5</c:v>
                </c:pt>
                <c:pt idx="18">
                  <c:v>-171</c:v>
                </c:pt>
                <c:pt idx="19">
                  <c:v>-170.5</c:v>
                </c:pt>
                <c:pt idx="20">
                  <c:v>-170</c:v>
                </c:pt>
                <c:pt idx="21">
                  <c:v>-169.5</c:v>
                </c:pt>
                <c:pt idx="22">
                  <c:v>-169</c:v>
                </c:pt>
                <c:pt idx="23">
                  <c:v>-168.5</c:v>
                </c:pt>
                <c:pt idx="24">
                  <c:v>-168</c:v>
                </c:pt>
                <c:pt idx="25">
                  <c:v>-167.5</c:v>
                </c:pt>
                <c:pt idx="26">
                  <c:v>-167</c:v>
                </c:pt>
                <c:pt idx="27">
                  <c:v>-166.5</c:v>
                </c:pt>
                <c:pt idx="28">
                  <c:v>-166</c:v>
                </c:pt>
                <c:pt idx="29">
                  <c:v>-165.5</c:v>
                </c:pt>
                <c:pt idx="30">
                  <c:v>-165</c:v>
                </c:pt>
                <c:pt idx="31">
                  <c:v>-164.5</c:v>
                </c:pt>
                <c:pt idx="32">
                  <c:v>-164</c:v>
                </c:pt>
                <c:pt idx="33">
                  <c:v>-163.5</c:v>
                </c:pt>
                <c:pt idx="34">
                  <c:v>-163</c:v>
                </c:pt>
                <c:pt idx="35">
                  <c:v>-162.5</c:v>
                </c:pt>
                <c:pt idx="36">
                  <c:v>-162</c:v>
                </c:pt>
                <c:pt idx="37">
                  <c:v>-161.5</c:v>
                </c:pt>
                <c:pt idx="38">
                  <c:v>-161</c:v>
                </c:pt>
                <c:pt idx="39">
                  <c:v>-160.5</c:v>
                </c:pt>
                <c:pt idx="40">
                  <c:v>-160</c:v>
                </c:pt>
                <c:pt idx="41">
                  <c:v>-159.5</c:v>
                </c:pt>
                <c:pt idx="42">
                  <c:v>-159</c:v>
                </c:pt>
                <c:pt idx="43">
                  <c:v>-158.5</c:v>
                </c:pt>
                <c:pt idx="44">
                  <c:v>-158</c:v>
                </c:pt>
                <c:pt idx="45">
                  <c:v>-157.5</c:v>
                </c:pt>
                <c:pt idx="46">
                  <c:v>-157</c:v>
                </c:pt>
                <c:pt idx="47">
                  <c:v>-156.5</c:v>
                </c:pt>
                <c:pt idx="48">
                  <c:v>-156</c:v>
                </c:pt>
                <c:pt idx="49">
                  <c:v>-155.5</c:v>
                </c:pt>
                <c:pt idx="50">
                  <c:v>-155</c:v>
                </c:pt>
                <c:pt idx="51">
                  <c:v>-154.5</c:v>
                </c:pt>
                <c:pt idx="52">
                  <c:v>-154</c:v>
                </c:pt>
                <c:pt idx="53">
                  <c:v>-153.5</c:v>
                </c:pt>
                <c:pt idx="54">
                  <c:v>-153</c:v>
                </c:pt>
                <c:pt idx="55">
                  <c:v>-152.5</c:v>
                </c:pt>
                <c:pt idx="56">
                  <c:v>-152</c:v>
                </c:pt>
                <c:pt idx="57">
                  <c:v>-151.5</c:v>
                </c:pt>
                <c:pt idx="58">
                  <c:v>-151</c:v>
                </c:pt>
                <c:pt idx="59">
                  <c:v>-150.5</c:v>
                </c:pt>
                <c:pt idx="60">
                  <c:v>-150</c:v>
                </c:pt>
                <c:pt idx="61">
                  <c:v>-149.5</c:v>
                </c:pt>
                <c:pt idx="62">
                  <c:v>-149</c:v>
                </c:pt>
                <c:pt idx="63">
                  <c:v>-148.5</c:v>
                </c:pt>
                <c:pt idx="64">
                  <c:v>-148</c:v>
                </c:pt>
                <c:pt idx="65">
                  <c:v>-147.5</c:v>
                </c:pt>
                <c:pt idx="66">
                  <c:v>-147</c:v>
                </c:pt>
                <c:pt idx="67">
                  <c:v>-146.5</c:v>
                </c:pt>
                <c:pt idx="68">
                  <c:v>-146</c:v>
                </c:pt>
                <c:pt idx="69">
                  <c:v>-145.5</c:v>
                </c:pt>
                <c:pt idx="70">
                  <c:v>-145</c:v>
                </c:pt>
                <c:pt idx="71">
                  <c:v>-144.5</c:v>
                </c:pt>
                <c:pt idx="72">
                  <c:v>-144</c:v>
                </c:pt>
                <c:pt idx="73">
                  <c:v>-143.5</c:v>
                </c:pt>
                <c:pt idx="74">
                  <c:v>-143</c:v>
                </c:pt>
                <c:pt idx="75">
                  <c:v>-142.5</c:v>
                </c:pt>
                <c:pt idx="76">
                  <c:v>-142</c:v>
                </c:pt>
                <c:pt idx="77">
                  <c:v>-141.5</c:v>
                </c:pt>
                <c:pt idx="78">
                  <c:v>-141</c:v>
                </c:pt>
                <c:pt idx="79">
                  <c:v>-140.5</c:v>
                </c:pt>
                <c:pt idx="80">
                  <c:v>-140</c:v>
                </c:pt>
                <c:pt idx="81">
                  <c:v>-139.5</c:v>
                </c:pt>
                <c:pt idx="82">
                  <c:v>-139</c:v>
                </c:pt>
                <c:pt idx="83">
                  <c:v>-138.5</c:v>
                </c:pt>
                <c:pt idx="84">
                  <c:v>-138</c:v>
                </c:pt>
                <c:pt idx="85">
                  <c:v>-137.5</c:v>
                </c:pt>
                <c:pt idx="86">
                  <c:v>-137</c:v>
                </c:pt>
                <c:pt idx="87">
                  <c:v>-136.5</c:v>
                </c:pt>
                <c:pt idx="88">
                  <c:v>-136</c:v>
                </c:pt>
                <c:pt idx="89">
                  <c:v>-135.5</c:v>
                </c:pt>
                <c:pt idx="90">
                  <c:v>-135</c:v>
                </c:pt>
                <c:pt idx="91">
                  <c:v>-134.5</c:v>
                </c:pt>
                <c:pt idx="92">
                  <c:v>-134</c:v>
                </c:pt>
                <c:pt idx="93">
                  <c:v>-133.5</c:v>
                </c:pt>
                <c:pt idx="94">
                  <c:v>-133</c:v>
                </c:pt>
                <c:pt idx="95">
                  <c:v>-132.5</c:v>
                </c:pt>
                <c:pt idx="96">
                  <c:v>-132</c:v>
                </c:pt>
                <c:pt idx="97">
                  <c:v>-131.5</c:v>
                </c:pt>
                <c:pt idx="98">
                  <c:v>-131</c:v>
                </c:pt>
                <c:pt idx="99">
                  <c:v>-130.5</c:v>
                </c:pt>
                <c:pt idx="100">
                  <c:v>-130</c:v>
                </c:pt>
                <c:pt idx="101">
                  <c:v>-129.5</c:v>
                </c:pt>
                <c:pt idx="102">
                  <c:v>-129</c:v>
                </c:pt>
                <c:pt idx="103">
                  <c:v>-128.5</c:v>
                </c:pt>
                <c:pt idx="104">
                  <c:v>-128</c:v>
                </c:pt>
                <c:pt idx="105">
                  <c:v>-127.5</c:v>
                </c:pt>
                <c:pt idx="106">
                  <c:v>-127</c:v>
                </c:pt>
                <c:pt idx="107">
                  <c:v>-126.5</c:v>
                </c:pt>
                <c:pt idx="108">
                  <c:v>-126</c:v>
                </c:pt>
                <c:pt idx="109">
                  <c:v>-125.5</c:v>
                </c:pt>
                <c:pt idx="110">
                  <c:v>-125</c:v>
                </c:pt>
                <c:pt idx="111">
                  <c:v>-124.5</c:v>
                </c:pt>
                <c:pt idx="112">
                  <c:v>-124</c:v>
                </c:pt>
                <c:pt idx="113">
                  <c:v>-123.5</c:v>
                </c:pt>
                <c:pt idx="114">
                  <c:v>-123</c:v>
                </c:pt>
                <c:pt idx="115">
                  <c:v>-122.5</c:v>
                </c:pt>
                <c:pt idx="116">
                  <c:v>-122</c:v>
                </c:pt>
                <c:pt idx="117">
                  <c:v>-121.5</c:v>
                </c:pt>
                <c:pt idx="118">
                  <c:v>-121</c:v>
                </c:pt>
                <c:pt idx="119">
                  <c:v>-120.5</c:v>
                </c:pt>
                <c:pt idx="120">
                  <c:v>-120</c:v>
                </c:pt>
                <c:pt idx="121">
                  <c:v>-119.5</c:v>
                </c:pt>
                <c:pt idx="122">
                  <c:v>-119</c:v>
                </c:pt>
                <c:pt idx="123">
                  <c:v>-118.5</c:v>
                </c:pt>
                <c:pt idx="124">
                  <c:v>-118</c:v>
                </c:pt>
                <c:pt idx="125">
                  <c:v>-117.5</c:v>
                </c:pt>
                <c:pt idx="126">
                  <c:v>-117</c:v>
                </c:pt>
                <c:pt idx="127">
                  <c:v>-116.5</c:v>
                </c:pt>
                <c:pt idx="128">
                  <c:v>-116</c:v>
                </c:pt>
                <c:pt idx="129">
                  <c:v>-115.5</c:v>
                </c:pt>
                <c:pt idx="130">
                  <c:v>-115</c:v>
                </c:pt>
                <c:pt idx="131">
                  <c:v>-114.5</c:v>
                </c:pt>
                <c:pt idx="132">
                  <c:v>-114</c:v>
                </c:pt>
                <c:pt idx="133">
                  <c:v>-113.5</c:v>
                </c:pt>
                <c:pt idx="134">
                  <c:v>-113</c:v>
                </c:pt>
                <c:pt idx="135">
                  <c:v>-112.5</c:v>
                </c:pt>
                <c:pt idx="136">
                  <c:v>-112</c:v>
                </c:pt>
                <c:pt idx="137">
                  <c:v>-111.5</c:v>
                </c:pt>
                <c:pt idx="138">
                  <c:v>-111</c:v>
                </c:pt>
                <c:pt idx="139">
                  <c:v>-110.5</c:v>
                </c:pt>
                <c:pt idx="140">
                  <c:v>-110</c:v>
                </c:pt>
                <c:pt idx="141">
                  <c:v>-109.5</c:v>
                </c:pt>
                <c:pt idx="142">
                  <c:v>-109</c:v>
                </c:pt>
                <c:pt idx="143">
                  <c:v>-108.5</c:v>
                </c:pt>
                <c:pt idx="144">
                  <c:v>-108</c:v>
                </c:pt>
                <c:pt idx="145">
                  <c:v>-107.5</c:v>
                </c:pt>
                <c:pt idx="146">
                  <c:v>-107</c:v>
                </c:pt>
                <c:pt idx="147">
                  <c:v>-106.5</c:v>
                </c:pt>
                <c:pt idx="148">
                  <c:v>-106</c:v>
                </c:pt>
                <c:pt idx="149">
                  <c:v>-105.5</c:v>
                </c:pt>
                <c:pt idx="150">
                  <c:v>-105</c:v>
                </c:pt>
                <c:pt idx="151">
                  <c:v>-104.5</c:v>
                </c:pt>
                <c:pt idx="152">
                  <c:v>-104</c:v>
                </c:pt>
                <c:pt idx="153">
                  <c:v>-103.5</c:v>
                </c:pt>
                <c:pt idx="154">
                  <c:v>-103</c:v>
                </c:pt>
                <c:pt idx="155">
                  <c:v>-102.5</c:v>
                </c:pt>
                <c:pt idx="156">
                  <c:v>-102</c:v>
                </c:pt>
                <c:pt idx="157">
                  <c:v>-101.5</c:v>
                </c:pt>
                <c:pt idx="158">
                  <c:v>-101</c:v>
                </c:pt>
                <c:pt idx="159">
                  <c:v>-100.5</c:v>
                </c:pt>
                <c:pt idx="160">
                  <c:v>-100</c:v>
                </c:pt>
                <c:pt idx="161">
                  <c:v>-99.5</c:v>
                </c:pt>
                <c:pt idx="162">
                  <c:v>-99</c:v>
                </c:pt>
                <c:pt idx="163">
                  <c:v>-98.5</c:v>
                </c:pt>
                <c:pt idx="164">
                  <c:v>-98</c:v>
                </c:pt>
                <c:pt idx="165">
                  <c:v>-97.5</c:v>
                </c:pt>
                <c:pt idx="166">
                  <c:v>-97</c:v>
                </c:pt>
                <c:pt idx="167">
                  <c:v>-96.5</c:v>
                </c:pt>
                <c:pt idx="168">
                  <c:v>-96</c:v>
                </c:pt>
                <c:pt idx="169">
                  <c:v>-95.5</c:v>
                </c:pt>
                <c:pt idx="170">
                  <c:v>-95</c:v>
                </c:pt>
                <c:pt idx="171">
                  <c:v>-94.5</c:v>
                </c:pt>
                <c:pt idx="172">
                  <c:v>-94</c:v>
                </c:pt>
                <c:pt idx="173">
                  <c:v>-93.5</c:v>
                </c:pt>
                <c:pt idx="174">
                  <c:v>-93</c:v>
                </c:pt>
                <c:pt idx="175">
                  <c:v>-92.5</c:v>
                </c:pt>
                <c:pt idx="176">
                  <c:v>-92</c:v>
                </c:pt>
                <c:pt idx="177">
                  <c:v>-91.5</c:v>
                </c:pt>
                <c:pt idx="178">
                  <c:v>-91</c:v>
                </c:pt>
                <c:pt idx="179">
                  <c:v>-90.5</c:v>
                </c:pt>
                <c:pt idx="180">
                  <c:v>-90</c:v>
                </c:pt>
                <c:pt idx="181">
                  <c:v>-89.5</c:v>
                </c:pt>
                <c:pt idx="182">
                  <c:v>-89</c:v>
                </c:pt>
                <c:pt idx="183">
                  <c:v>-88.5</c:v>
                </c:pt>
                <c:pt idx="184">
                  <c:v>-88</c:v>
                </c:pt>
                <c:pt idx="185">
                  <c:v>-87.5</c:v>
                </c:pt>
                <c:pt idx="186">
                  <c:v>-87</c:v>
                </c:pt>
                <c:pt idx="187">
                  <c:v>-86.5</c:v>
                </c:pt>
                <c:pt idx="188">
                  <c:v>-86</c:v>
                </c:pt>
                <c:pt idx="189">
                  <c:v>-85.5</c:v>
                </c:pt>
                <c:pt idx="190">
                  <c:v>-85</c:v>
                </c:pt>
                <c:pt idx="191">
                  <c:v>-84.5</c:v>
                </c:pt>
                <c:pt idx="192">
                  <c:v>-84</c:v>
                </c:pt>
                <c:pt idx="193">
                  <c:v>-83.5</c:v>
                </c:pt>
                <c:pt idx="194">
                  <c:v>-83</c:v>
                </c:pt>
                <c:pt idx="195">
                  <c:v>-82.5</c:v>
                </c:pt>
                <c:pt idx="196">
                  <c:v>-82</c:v>
                </c:pt>
                <c:pt idx="197">
                  <c:v>-81.5</c:v>
                </c:pt>
                <c:pt idx="198">
                  <c:v>-81</c:v>
                </c:pt>
                <c:pt idx="199">
                  <c:v>-80.5</c:v>
                </c:pt>
                <c:pt idx="200">
                  <c:v>-80</c:v>
                </c:pt>
                <c:pt idx="201">
                  <c:v>-79.5</c:v>
                </c:pt>
                <c:pt idx="202">
                  <c:v>-79</c:v>
                </c:pt>
                <c:pt idx="203">
                  <c:v>-78.5</c:v>
                </c:pt>
                <c:pt idx="204">
                  <c:v>-78</c:v>
                </c:pt>
                <c:pt idx="205">
                  <c:v>-77.5</c:v>
                </c:pt>
                <c:pt idx="206">
                  <c:v>-77</c:v>
                </c:pt>
                <c:pt idx="207">
                  <c:v>-76.5</c:v>
                </c:pt>
                <c:pt idx="208">
                  <c:v>-76</c:v>
                </c:pt>
                <c:pt idx="209">
                  <c:v>-75.5</c:v>
                </c:pt>
                <c:pt idx="210">
                  <c:v>-75</c:v>
                </c:pt>
                <c:pt idx="211">
                  <c:v>-74.5</c:v>
                </c:pt>
                <c:pt idx="212">
                  <c:v>-74</c:v>
                </c:pt>
                <c:pt idx="213">
                  <c:v>-73.5</c:v>
                </c:pt>
                <c:pt idx="214">
                  <c:v>-73</c:v>
                </c:pt>
                <c:pt idx="215">
                  <c:v>-72.5</c:v>
                </c:pt>
                <c:pt idx="216">
                  <c:v>-72</c:v>
                </c:pt>
                <c:pt idx="217">
                  <c:v>-71.5</c:v>
                </c:pt>
                <c:pt idx="218">
                  <c:v>-71</c:v>
                </c:pt>
                <c:pt idx="219">
                  <c:v>-70.5</c:v>
                </c:pt>
                <c:pt idx="220">
                  <c:v>-70</c:v>
                </c:pt>
                <c:pt idx="221">
                  <c:v>-69.5</c:v>
                </c:pt>
                <c:pt idx="222">
                  <c:v>-69</c:v>
                </c:pt>
                <c:pt idx="223">
                  <c:v>-68.5</c:v>
                </c:pt>
                <c:pt idx="224">
                  <c:v>-68</c:v>
                </c:pt>
                <c:pt idx="225">
                  <c:v>-67.5</c:v>
                </c:pt>
                <c:pt idx="226">
                  <c:v>-67</c:v>
                </c:pt>
                <c:pt idx="227">
                  <c:v>-66.5</c:v>
                </c:pt>
                <c:pt idx="228">
                  <c:v>-66</c:v>
                </c:pt>
                <c:pt idx="229">
                  <c:v>-65.5</c:v>
                </c:pt>
                <c:pt idx="230">
                  <c:v>-65</c:v>
                </c:pt>
                <c:pt idx="231">
                  <c:v>-64.5</c:v>
                </c:pt>
                <c:pt idx="232">
                  <c:v>-64</c:v>
                </c:pt>
                <c:pt idx="233">
                  <c:v>-63.5</c:v>
                </c:pt>
                <c:pt idx="234">
                  <c:v>-63</c:v>
                </c:pt>
                <c:pt idx="235">
                  <c:v>-62.5</c:v>
                </c:pt>
                <c:pt idx="236">
                  <c:v>-62</c:v>
                </c:pt>
                <c:pt idx="237">
                  <c:v>-61.5</c:v>
                </c:pt>
                <c:pt idx="238">
                  <c:v>-61</c:v>
                </c:pt>
                <c:pt idx="239">
                  <c:v>-60.5</c:v>
                </c:pt>
                <c:pt idx="240">
                  <c:v>-60</c:v>
                </c:pt>
                <c:pt idx="241">
                  <c:v>-59.5</c:v>
                </c:pt>
                <c:pt idx="242">
                  <c:v>-59</c:v>
                </c:pt>
                <c:pt idx="243">
                  <c:v>-58.5</c:v>
                </c:pt>
                <c:pt idx="244">
                  <c:v>-58</c:v>
                </c:pt>
                <c:pt idx="245">
                  <c:v>-57.5</c:v>
                </c:pt>
                <c:pt idx="246">
                  <c:v>-57</c:v>
                </c:pt>
                <c:pt idx="247">
                  <c:v>-56.5</c:v>
                </c:pt>
                <c:pt idx="248">
                  <c:v>-56</c:v>
                </c:pt>
                <c:pt idx="249">
                  <c:v>-55.5</c:v>
                </c:pt>
                <c:pt idx="250">
                  <c:v>-55</c:v>
                </c:pt>
                <c:pt idx="251">
                  <c:v>-54.5</c:v>
                </c:pt>
                <c:pt idx="252">
                  <c:v>-54</c:v>
                </c:pt>
                <c:pt idx="253">
                  <c:v>-53.5</c:v>
                </c:pt>
                <c:pt idx="254">
                  <c:v>-53</c:v>
                </c:pt>
                <c:pt idx="255">
                  <c:v>-52.5</c:v>
                </c:pt>
                <c:pt idx="256">
                  <c:v>-52</c:v>
                </c:pt>
                <c:pt idx="257">
                  <c:v>-51.5</c:v>
                </c:pt>
                <c:pt idx="258">
                  <c:v>-51</c:v>
                </c:pt>
                <c:pt idx="259">
                  <c:v>-50.5</c:v>
                </c:pt>
                <c:pt idx="260">
                  <c:v>-50</c:v>
                </c:pt>
                <c:pt idx="261">
                  <c:v>-49.5</c:v>
                </c:pt>
                <c:pt idx="262">
                  <c:v>-49</c:v>
                </c:pt>
                <c:pt idx="263">
                  <c:v>-48.5</c:v>
                </c:pt>
                <c:pt idx="264">
                  <c:v>-48</c:v>
                </c:pt>
                <c:pt idx="265">
                  <c:v>-47.5</c:v>
                </c:pt>
                <c:pt idx="266">
                  <c:v>-47</c:v>
                </c:pt>
                <c:pt idx="267">
                  <c:v>-46.5</c:v>
                </c:pt>
                <c:pt idx="268">
                  <c:v>-46</c:v>
                </c:pt>
                <c:pt idx="269">
                  <c:v>-45.5</c:v>
                </c:pt>
                <c:pt idx="270">
                  <c:v>-45</c:v>
                </c:pt>
                <c:pt idx="271">
                  <c:v>-44.5</c:v>
                </c:pt>
                <c:pt idx="272">
                  <c:v>-44</c:v>
                </c:pt>
                <c:pt idx="273">
                  <c:v>-43.5</c:v>
                </c:pt>
                <c:pt idx="274">
                  <c:v>-43</c:v>
                </c:pt>
                <c:pt idx="275">
                  <c:v>-42.5</c:v>
                </c:pt>
                <c:pt idx="276">
                  <c:v>-42</c:v>
                </c:pt>
                <c:pt idx="277">
                  <c:v>-41.5</c:v>
                </c:pt>
                <c:pt idx="278">
                  <c:v>-41</c:v>
                </c:pt>
                <c:pt idx="279">
                  <c:v>-40.5</c:v>
                </c:pt>
                <c:pt idx="280">
                  <c:v>-40</c:v>
                </c:pt>
                <c:pt idx="281">
                  <c:v>-39.5</c:v>
                </c:pt>
                <c:pt idx="282">
                  <c:v>-39</c:v>
                </c:pt>
                <c:pt idx="283">
                  <c:v>-38.5</c:v>
                </c:pt>
                <c:pt idx="284">
                  <c:v>-38</c:v>
                </c:pt>
                <c:pt idx="285">
                  <c:v>-37.5</c:v>
                </c:pt>
                <c:pt idx="286">
                  <c:v>-37</c:v>
                </c:pt>
                <c:pt idx="287">
                  <c:v>-36.5</c:v>
                </c:pt>
                <c:pt idx="288">
                  <c:v>-36</c:v>
                </c:pt>
                <c:pt idx="289">
                  <c:v>-35.5</c:v>
                </c:pt>
                <c:pt idx="290">
                  <c:v>-35</c:v>
                </c:pt>
                <c:pt idx="291">
                  <c:v>-34.5</c:v>
                </c:pt>
                <c:pt idx="292">
                  <c:v>-34</c:v>
                </c:pt>
                <c:pt idx="293">
                  <c:v>-33.5</c:v>
                </c:pt>
                <c:pt idx="294">
                  <c:v>-33</c:v>
                </c:pt>
                <c:pt idx="295">
                  <c:v>-32.5</c:v>
                </c:pt>
                <c:pt idx="296">
                  <c:v>-32</c:v>
                </c:pt>
                <c:pt idx="297">
                  <c:v>-31.5</c:v>
                </c:pt>
                <c:pt idx="298">
                  <c:v>-31</c:v>
                </c:pt>
                <c:pt idx="299">
                  <c:v>-30.5</c:v>
                </c:pt>
                <c:pt idx="300">
                  <c:v>-30</c:v>
                </c:pt>
                <c:pt idx="301">
                  <c:v>-29.5</c:v>
                </c:pt>
                <c:pt idx="302">
                  <c:v>-29</c:v>
                </c:pt>
                <c:pt idx="303">
                  <c:v>-28.5</c:v>
                </c:pt>
                <c:pt idx="304">
                  <c:v>-28</c:v>
                </c:pt>
                <c:pt idx="305">
                  <c:v>-27.5</c:v>
                </c:pt>
                <c:pt idx="306">
                  <c:v>-27</c:v>
                </c:pt>
                <c:pt idx="307">
                  <c:v>-26.5</c:v>
                </c:pt>
                <c:pt idx="308">
                  <c:v>-26</c:v>
                </c:pt>
                <c:pt idx="309">
                  <c:v>-25.5</c:v>
                </c:pt>
                <c:pt idx="310">
                  <c:v>-25</c:v>
                </c:pt>
                <c:pt idx="311">
                  <c:v>-24.5</c:v>
                </c:pt>
                <c:pt idx="312">
                  <c:v>-24</c:v>
                </c:pt>
                <c:pt idx="313">
                  <c:v>-23.5</c:v>
                </c:pt>
                <c:pt idx="314">
                  <c:v>-23</c:v>
                </c:pt>
                <c:pt idx="315">
                  <c:v>-22.5</c:v>
                </c:pt>
                <c:pt idx="316">
                  <c:v>-22</c:v>
                </c:pt>
                <c:pt idx="317">
                  <c:v>-21.5</c:v>
                </c:pt>
                <c:pt idx="318">
                  <c:v>-21</c:v>
                </c:pt>
                <c:pt idx="319">
                  <c:v>-20.5</c:v>
                </c:pt>
                <c:pt idx="320">
                  <c:v>-20</c:v>
                </c:pt>
                <c:pt idx="321">
                  <c:v>-19.5</c:v>
                </c:pt>
                <c:pt idx="322">
                  <c:v>-19</c:v>
                </c:pt>
                <c:pt idx="323">
                  <c:v>-18.5</c:v>
                </c:pt>
                <c:pt idx="324">
                  <c:v>-18</c:v>
                </c:pt>
                <c:pt idx="325">
                  <c:v>-17.5</c:v>
                </c:pt>
                <c:pt idx="326">
                  <c:v>-17</c:v>
                </c:pt>
                <c:pt idx="327">
                  <c:v>-16.5</c:v>
                </c:pt>
                <c:pt idx="328">
                  <c:v>-16</c:v>
                </c:pt>
                <c:pt idx="329">
                  <c:v>-15.5</c:v>
                </c:pt>
                <c:pt idx="330">
                  <c:v>-15</c:v>
                </c:pt>
                <c:pt idx="331">
                  <c:v>-14.5</c:v>
                </c:pt>
                <c:pt idx="332">
                  <c:v>-14</c:v>
                </c:pt>
                <c:pt idx="333">
                  <c:v>-13.5</c:v>
                </c:pt>
                <c:pt idx="334">
                  <c:v>-13</c:v>
                </c:pt>
                <c:pt idx="335">
                  <c:v>-12.5</c:v>
                </c:pt>
                <c:pt idx="336">
                  <c:v>-12</c:v>
                </c:pt>
                <c:pt idx="337">
                  <c:v>-11.5</c:v>
                </c:pt>
                <c:pt idx="338">
                  <c:v>-11</c:v>
                </c:pt>
                <c:pt idx="339">
                  <c:v>-10.5</c:v>
                </c:pt>
                <c:pt idx="340">
                  <c:v>-10</c:v>
                </c:pt>
                <c:pt idx="341">
                  <c:v>-9.5</c:v>
                </c:pt>
                <c:pt idx="342">
                  <c:v>-9</c:v>
                </c:pt>
                <c:pt idx="343">
                  <c:v>-8.5</c:v>
                </c:pt>
                <c:pt idx="344">
                  <c:v>-8</c:v>
                </c:pt>
                <c:pt idx="345">
                  <c:v>-7.5</c:v>
                </c:pt>
                <c:pt idx="346">
                  <c:v>-7</c:v>
                </c:pt>
                <c:pt idx="347">
                  <c:v>-6.5</c:v>
                </c:pt>
                <c:pt idx="348">
                  <c:v>-6</c:v>
                </c:pt>
                <c:pt idx="349">
                  <c:v>-5.5</c:v>
                </c:pt>
                <c:pt idx="350">
                  <c:v>-5</c:v>
                </c:pt>
                <c:pt idx="351">
                  <c:v>-4.5</c:v>
                </c:pt>
                <c:pt idx="352">
                  <c:v>-4</c:v>
                </c:pt>
                <c:pt idx="353">
                  <c:v>-3.5</c:v>
                </c:pt>
                <c:pt idx="354">
                  <c:v>-3</c:v>
                </c:pt>
                <c:pt idx="355">
                  <c:v>-2.5</c:v>
                </c:pt>
                <c:pt idx="356">
                  <c:v>-2</c:v>
                </c:pt>
                <c:pt idx="357">
                  <c:v>-1.5</c:v>
                </c:pt>
                <c:pt idx="358">
                  <c:v>-1</c:v>
                </c:pt>
                <c:pt idx="359">
                  <c:v>-0.5</c:v>
                </c:pt>
                <c:pt idx="360">
                  <c:v>0</c:v>
                </c:pt>
                <c:pt idx="361">
                  <c:v>0.5</c:v>
                </c:pt>
                <c:pt idx="362">
                  <c:v>1</c:v>
                </c:pt>
                <c:pt idx="363">
                  <c:v>1.5</c:v>
                </c:pt>
                <c:pt idx="364">
                  <c:v>2</c:v>
                </c:pt>
                <c:pt idx="365">
                  <c:v>2.5</c:v>
                </c:pt>
                <c:pt idx="366">
                  <c:v>3</c:v>
                </c:pt>
                <c:pt idx="367">
                  <c:v>3.5</c:v>
                </c:pt>
                <c:pt idx="368">
                  <c:v>4</c:v>
                </c:pt>
                <c:pt idx="369">
                  <c:v>4.5</c:v>
                </c:pt>
                <c:pt idx="370">
                  <c:v>5</c:v>
                </c:pt>
                <c:pt idx="371">
                  <c:v>5.5</c:v>
                </c:pt>
                <c:pt idx="372">
                  <c:v>6</c:v>
                </c:pt>
                <c:pt idx="373">
                  <c:v>6.5</c:v>
                </c:pt>
                <c:pt idx="374">
                  <c:v>7</c:v>
                </c:pt>
                <c:pt idx="375">
                  <c:v>7.5</c:v>
                </c:pt>
                <c:pt idx="376">
                  <c:v>8</c:v>
                </c:pt>
                <c:pt idx="377">
                  <c:v>8.5</c:v>
                </c:pt>
                <c:pt idx="378">
                  <c:v>9</c:v>
                </c:pt>
                <c:pt idx="379">
                  <c:v>9.5</c:v>
                </c:pt>
                <c:pt idx="380">
                  <c:v>10</c:v>
                </c:pt>
                <c:pt idx="381">
                  <c:v>10.5</c:v>
                </c:pt>
                <c:pt idx="382">
                  <c:v>11</c:v>
                </c:pt>
                <c:pt idx="383">
                  <c:v>11.5</c:v>
                </c:pt>
                <c:pt idx="384">
                  <c:v>12</c:v>
                </c:pt>
                <c:pt idx="385">
                  <c:v>12.5</c:v>
                </c:pt>
                <c:pt idx="386">
                  <c:v>13</c:v>
                </c:pt>
                <c:pt idx="387">
                  <c:v>13.5</c:v>
                </c:pt>
                <c:pt idx="388">
                  <c:v>14</c:v>
                </c:pt>
                <c:pt idx="389">
                  <c:v>14.5</c:v>
                </c:pt>
                <c:pt idx="390">
                  <c:v>15</c:v>
                </c:pt>
                <c:pt idx="391">
                  <c:v>15.5</c:v>
                </c:pt>
                <c:pt idx="392">
                  <c:v>16</c:v>
                </c:pt>
                <c:pt idx="393">
                  <c:v>16.5</c:v>
                </c:pt>
                <c:pt idx="394">
                  <c:v>17</c:v>
                </c:pt>
                <c:pt idx="395">
                  <c:v>17.5</c:v>
                </c:pt>
                <c:pt idx="396">
                  <c:v>18</c:v>
                </c:pt>
                <c:pt idx="397">
                  <c:v>18.5</c:v>
                </c:pt>
                <c:pt idx="398">
                  <c:v>19</c:v>
                </c:pt>
                <c:pt idx="399">
                  <c:v>19.5</c:v>
                </c:pt>
                <c:pt idx="400">
                  <c:v>20</c:v>
                </c:pt>
                <c:pt idx="401">
                  <c:v>20.5</c:v>
                </c:pt>
                <c:pt idx="402">
                  <c:v>21</c:v>
                </c:pt>
                <c:pt idx="403">
                  <c:v>21.5</c:v>
                </c:pt>
                <c:pt idx="404">
                  <c:v>22</c:v>
                </c:pt>
                <c:pt idx="405">
                  <c:v>22.5</c:v>
                </c:pt>
                <c:pt idx="406">
                  <c:v>23</c:v>
                </c:pt>
                <c:pt idx="407">
                  <c:v>23.5</c:v>
                </c:pt>
                <c:pt idx="408">
                  <c:v>24</c:v>
                </c:pt>
                <c:pt idx="409">
                  <c:v>24.5</c:v>
                </c:pt>
                <c:pt idx="410">
                  <c:v>25</c:v>
                </c:pt>
                <c:pt idx="411">
                  <c:v>25.5</c:v>
                </c:pt>
                <c:pt idx="412">
                  <c:v>26</c:v>
                </c:pt>
                <c:pt idx="413">
                  <c:v>26.5</c:v>
                </c:pt>
                <c:pt idx="414">
                  <c:v>27</c:v>
                </c:pt>
                <c:pt idx="415">
                  <c:v>27.5</c:v>
                </c:pt>
                <c:pt idx="416">
                  <c:v>28</c:v>
                </c:pt>
                <c:pt idx="417">
                  <c:v>28.5</c:v>
                </c:pt>
                <c:pt idx="418">
                  <c:v>29</c:v>
                </c:pt>
                <c:pt idx="419">
                  <c:v>29.5</c:v>
                </c:pt>
                <c:pt idx="420">
                  <c:v>30</c:v>
                </c:pt>
                <c:pt idx="421">
                  <c:v>30.5</c:v>
                </c:pt>
                <c:pt idx="422">
                  <c:v>31</c:v>
                </c:pt>
                <c:pt idx="423">
                  <c:v>31.5</c:v>
                </c:pt>
                <c:pt idx="424">
                  <c:v>32</c:v>
                </c:pt>
                <c:pt idx="425">
                  <c:v>32.5</c:v>
                </c:pt>
                <c:pt idx="426">
                  <c:v>33</c:v>
                </c:pt>
                <c:pt idx="427">
                  <c:v>33.5</c:v>
                </c:pt>
                <c:pt idx="428">
                  <c:v>34</c:v>
                </c:pt>
                <c:pt idx="429">
                  <c:v>34.5</c:v>
                </c:pt>
                <c:pt idx="430">
                  <c:v>35</c:v>
                </c:pt>
                <c:pt idx="431">
                  <c:v>35.5</c:v>
                </c:pt>
                <c:pt idx="432">
                  <c:v>36</c:v>
                </c:pt>
                <c:pt idx="433">
                  <c:v>36.5</c:v>
                </c:pt>
                <c:pt idx="434">
                  <c:v>37</c:v>
                </c:pt>
                <c:pt idx="435">
                  <c:v>37.5</c:v>
                </c:pt>
                <c:pt idx="436">
                  <c:v>38</c:v>
                </c:pt>
                <c:pt idx="437">
                  <c:v>38.5</c:v>
                </c:pt>
                <c:pt idx="438">
                  <c:v>39</c:v>
                </c:pt>
                <c:pt idx="439">
                  <c:v>39.5</c:v>
                </c:pt>
                <c:pt idx="440">
                  <c:v>40</c:v>
                </c:pt>
                <c:pt idx="441">
                  <c:v>40.5</c:v>
                </c:pt>
                <c:pt idx="442">
                  <c:v>41</c:v>
                </c:pt>
                <c:pt idx="443">
                  <c:v>41.5</c:v>
                </c:pt>
                <c:pt idx="444">
                  <c:v>42</c:v>
                </c:pt>
                <c:pt idx="445">
                  <c:v>42.5</c:v>
                </c:pt>
                <c:pt idx="446">
                  <c:v>43</c:v>
                </c:pt>
                <c:pt idx="447">
                  <c:v>43.5</c:v>
                </c:pt>
                <c:pt idx="448">
                  <c:v>44</c:v>
                </c:pt>
                <c:pt idx="449">
                  <c:v>44.5</c:v>
                </c:pt>
                <c:pt idx="450">
                  <c:v>45</c:v>
                </c:pt>
                <c:pt idx="451">
                  <c:v>45.5</c:v>
                </c:pt>
                <c:pt idx="452">
                  <c:v>46</c:v>
                </c:pt>
                <c:pt idx="453">
                  <c:v>46.5</c:v>
                </c:pt>
                <c:pt idx="454">
                  <c:v>47</c:v>
                </c:pt>
                <c:pt idx="455">
                  <c:v>47.5</c:v>
                </c:pt>
                <c:pt idx="456">
                  <c:v>48</c:v>
                </c:pt>
                <c:pt idx="457">
                  <c:v>48.5</c:v>
                </c:pt>
                <c:pt idx="458">
                  <c:v>49</c:v>
                </c:pt>
                <c:pt idx="459">
                  <c:v>49.5</c:v>
                </c:pt>
                <c:pt idx="460">
                  <c:v>50</c:v>
                </c:pt>
                <c:pt idx="461">
                  <c:v>50.5</c:v>
                </c:pt>
                <c:pt idx="462">
                  <c:v>51</c:v>
                </c:pt>
                <c:pt idx="463">
                  <c:v>51.5</c:v>
                </c:pt>
                <c:pt idx="464">
                  <c:v>52</c:v>
                </c:pt>
                <c:pt idx="465">
                  <c:v>52.5</c:v>
                </c:pt>
                <c:pt idx="466">
                  <c:v>53</c:v>
                </c:pt>
                <c:pt idx="467">
                  <c:v>53.5</c:v>
                </c:pt>
                <c:pt idx="468">
                  <c:v>54</c:v>
                </c:pt>
                <c:pt idx="469">
                  <c:v>54.5</c:v>
                </c:pt>
                <c:pt idx="470">
                  <c:v>55</c:v>
                </c:pt>
                <c:pt idx="471">
                  <c:v>55.5</c:v>
                </c:pt>
                <c:pt idx="472">
                  <c:v>56</c:v>
                </c:pt>
                <c:pt idx="473">
                  <c:v>56.5</c:v>
                </c:pt>
                <c:pt idx="474">
                  <c:v>57</c:v>
                </c:pt>
                <c:pt idx="475">
                  <c:v>57.5</c:v>
                </c:pt>
                <c:pt idx="476">
                  <c:v>58</c:v>
                </c:pt>
                <c:pt idx="477">
                  <c:v>58.5</c:v>
                </c:pt>
                <c:pt idx="478">
                  <c:v>59</c:v>
                </c:pt>
                <c:pt idx="479">
                  <c:v>59.5</c:v>
                </c:pt>
                <c:pt idx="480">
                  <c:v>60</c:v>
                </c:pt>
                <c:pt idx="481">
                  <c:v>60.5</c:v>
                </c:pt>
                <c:pt idx="482">
                  <c:v>61</c:v>
                </c:pt>
                <c:pt idx="483">
                  <c:v>61.5</c:v>
                </c:pt>
                <c:pt idx="484">
                  <c:v>62</c:v>
                </c:pt>
                <c:pt idx="485">
                  <c:v>62.5</c:v>
                </c:pt>
                <c:pt idx="486">
                  <c:v>63</c:v>
                </c:pt>
                <c:pt idx="487">
                  <c:v>63.5</c:v>
                </c:pt>
                <c:pt idx="488">
                  <c:v>64</c:v>
                </c:pt>
                <c:pt idx="489">
                  <c:v>64.5</c:v>
                </c:pt>
                <c:pt idx="490">
                  <c:v>65</c:v>
                </c:pt>
                <c:pt idx="491">
                  <c:v>65.5</c:v>
                </c:pt>
                <c:pt idx="492">
                  <c:v>66</c:v>
                </c:pt>
                <c:pt idx="493">
                  <c:v>66.5</c:v>
                </c:pt>
                <c:pt idx="494">
                  <c:v>67</c:v>
                </c:pt>
                <c:pt idx="495">
                  <c:v>67.5</c:v>
                </c:pt>
                <c:pt idx="496">
                  <c:v>68</c:v>
                </c:pt>
                <c:pt idx="497">
                  <c:v>68.5</c:v>
                </c:pt>
                <c:pt idx="498">
                  <c:v>69</c:v>
                </c:pt>
                <c:pt idx="499">
                  <c:v>69.5</c:v>
                </c:pt>
                <c:pt idx="500">
                  <c:v>70</c:v>
                </c:pt>
                <c:pt idx="501">
                  <c:v>70.5</c:v>
                </c:pt>
                <c:pt idx="502">
                  <c:v>71</c:v>
                </c:pt>
                <c:pt idx="503">
                  <c:v>71.5</c:v>
                </c:pt>
                <c:pt idx="504">
                  <c:v>72</c:v>
                </c:pt>
                <c:pt idx="505">
                  <c:v>72.5</c:v>
                </c:pt>
                <c:pt idx="506">
                  <c:v>73</c:v>
                </c:pt>
                <c:pt idx="507">
                  <c:v>73.5</c:v>
                </c:pt>
                <c:pt idx="508">
                  <c:v>74</c:v>
                </c:pt>
                <c:pt idx="509">
                  <c:v>74.5</c:v>
                </c:pt>
                <c:pt idx="510">
                  <c:v>75</c:v>
                </c:pt>
                <c:pt idx="511">
                  <c:v>75.5</c:v>
                </c:pt>
                <c:pt idx="512">
                  <c:v>76</c:v>
                </c:pt>
                <c:pt idx="513">
                  <c:v>76.5</c:v>
                </c:pt>
                <c:pt idx="514">
                  <c:v>77</c:v>
                </c:pt>
                <c:pt idx="515">
                  <c:v>77.5</c:v>
                </c:pt>
                <c:pt idx="516">
                  <c:v>78</c:v>
                </c:pt>
                <c:pt idx="517">
                  <c:v>78.5</c:v>
                </c:pt>
                <c:pt idx="518">
                  <c:v>79</c:v>
                </c:pt>
                <c:pt idx="519">
                  <c:v>79.5</c:v>
                </c:pt>
                <c:pt idx="520">
                  <c:v>80</c:v>
                </c:pt>
                <c:pt idx="521">
                  <c:v>80.5</c:v>
                </c:pt>
                <c:pt idx="522">
                  <c:v>81</c:v>
                </c:pt>
                <c:pt idx="523">
                  <c:v>81.5</c:v>
                </c:pt>
                <c:pt idx="524">
                  <c:v>82</c:v>
                </c:pt>
                <c:pt idx="525">
                  <c:v>82.5</c:v>
                </c:pt>
                <c:pt idx="526">
                  <c:v>83</c:v>
                </c:pt>
                <c:pt idx="527">
                  <c:v>83.5</c:v>
                </c:pt>
                <c:pt idx="528">
                  <c:v>84</c:v>
                </c:pt>
                <c:pt idx="529">
                  <c:v>84.5</c:v>
                </c:pt>
                <c:pt idx="530">
                  <c:v>85</c:v>
                </c:pt>
                <c:pt idx="531">
                  <c:v>85.5</c:v>
                </c:pt>
                <c:pt idx="532">
                  <c:v>86</c:v>
                </c:pt>
                <c:pt idx="533">
                  <c:v>86.5</c:v>
                </c:pt>
                <c:pt idx="534">
                  <c:v>87</c:v>
                </c:pt>
                <c:pt idx="535">
                  <c:v>87.5</c:v>
                </c:pt>
                <c:pt idx="536">
                  <c:v>88</c:v>
                </c:pt>
                <c:pt idx="537">
                  <c:v>88.5</c:v>
                </c:pt>
                <c:pt idx="538">
                  <c:v>89</c:v>
                </c:pt>
                <c:pt idx="539">
                  <c:v>89.5</c:v>
                </c:pt>
                <c:pt idx="540">
                  <c:v>90</c:v>
                </c:pt>
                <c:pt idx="541">
                  <c:v>90.5</c:v>
                </c:pt>
                <c:pt idx="542">
                  <c:v>91</c:v>
                </c:pt>
                <c:pt idx="543">
                  <c:v>91.5</c:v>
                </c:pt>
                <c:pt idx="544">
                  <c:v>92</c:v>
                </c:pt>
                <c:pt idx="545">
                  <c:v>92.5</c:v>
                </c:pt>
                <c:pt idx="546">
                  <c:v>93</c:v>
                </c:pt>
                <c:pt idx="547">
                  <c:v>93.5</c:v>
                </c:pt>
                <c:pt idx="548">
                  <c:v>94</c:v>
                </c:pt>
                <c:pt idx="549">
                  <c:v>94.5</c:v>
                </c:pt>
                <c:pt idx="550">
                  <c:v>95</c:v>
                </c:pt>
                <c:pt idx="551">
                  <c:v>95.5</c:v>
                </c:pt>
                <c:pt idx="552">
                  <c:v>96</c:v>
                </c:pt>
                <c:pt idx="553">
                  <c:v>96.5</c:v>
                </c:pt>
                <c:pt idx="554">
                  <c:v>97</c:v>
                </c:pt>
                <c:pt idx="555">
                  <c:v>97.5</c:v>
                </c:pt>
                <c:pt idx="556">
                  <c:v>98</c:v>
                </c:pt>
                <c:pt idx="557">
                  <c:v>98.5</c:v>
                </c:pt>
                <c:pt idx="558">
                  <c:v>99</c:v>
                </c:pt>
                <c:pt idx="559">
                  <c:v>99.5</c:v>
                </c:pt>
                <c:pt idx="560">
                  <c:v>100</c:v>
                </c:pt>
                <c:pt idx="561">
                  <c:v>100.5</c:v>
                </c:pt>
                <c:pt idx="562">
                  <c:v>101</c:v>
                </c:pt>
                <c:pt idx="563">
                  <c:v>101.5</c:v>
                </c:pt>
                <c:pt idx="564">
                  <c:v>102</c:v>
                </c:pt>
                <c:pt idx="565">
                  <c:v>102.5</c:v>
                </c:pt>
                <c:pt idx="566">
                  <c:v>103</c:v>
                </c:pt>
                <c:pt idx="567">
                  <c:v>103.5</c:v>
                </c:pt>
                <c:pt idx="568">
                  <c:v>104</c:v>
                </c:pt>
                <c:pt idx="569">
                  <c:v>104.5</c:v>
                </c:pt>
                <c:pt idx="570">
                  <c:v>105</c:v>
                </c:pt>
                <c:pt idx="571">
                  <c:v>105.5</c:v>
                </c:pt>
                <c:pt idx="572">
                  <c:v>106</c:v>
                </c:pt>
                <c:pt idx="573">
                  <c:v>106.5</c:v>
                </c:pt>
                <c:pt idx="574">
                  <c:v>107</c:v>
                </c:pt>
                <c:pt idx="575">
                  <c:v>107.5</c:v>
                </c:pt>
                <c:pt idx="576">
                  <c:v>108</c:v>
                </c:pt>
                <c:pt idx="577">
                  <c:v>108.5</c:v>
                </c:pt>
                <c:pt idx="578">
                  <c:v>109</c:v>
                </c:pt>
                <c:pt idx="579">
                  <c:v>109.5</c:v>
                </c:pt>
                <c:pt idx="580">
                  <c:v>110</c:v>
                </c:pt>
                <c:pt idx="581">
                  <c:v>110.5</c:v>
                </c:pt>
                <c:pt idx="582">
                  <c:v>111</c:v>
                </c:pt>
                <c:pt idx="583">
                  <c:v>111.5</c:v>
                </c:pt>
                <c:pt idx="584">
                  <c:v>112</c:v>
                </c:pt>
                <c:pt idx="585">
                  <c:v>112.5</c:v>
                </c:pt>
                <c:pt idx="586">
                  <c:v>113</c:v>
                </c:pt>
                <c:pt idx="587">
                  <c:v>113.5</c:v>
                </c:pt>
                <c:pt idx="588">
                  <c:v>114</c:v>
                </c:pt>
                <c:pt idx="589">
                  <c:v>114.5</c:v>
                </c:pt>
                <c:pt idx="590">
                  <c:v>115</c:v>
                </c:pt>
                <c:pt idx="591">
                  <c:v>115.5</c:v>
                </c:pt>
                <c:pt idx="592">
                  <c:v>116</c:v>
                </c:pt>
                <c:pt idx="593">
                  <c:v>116.5</c:v>
                </c:pt>
                <c:pt idx="594">
                  <c:v>117</c:v>
                </c:pt>
                <c:pt idx="595">
                  <c:v>117.5</c:v>
                </c:pt>
                <c:pt idx="596">
                  <c:v>118</c:v>
                </c:pt>
                <c:pt idx="597">
                  <c:v>118.5</c:v>
                </c:pt>
                <c:pt idx="598">
                  <c:v>119</c:v>
                </c:pt>
                <c:pt idx="599">
                  <c:v>119.5</c:v>
                </c:pt>
                <c:pt idx="600">
                  <c:v>120</c:v>
                </c:pt>
                <c:pt idx="601">
                  <c:v>120.5</c:v>
                </c:pt>
                <c:pt idx="602">
                  <c:v>121</c:v>
                </c:pt>
                <c:pt idx="603">
                  <c:v>121.5</c:v>
                </c:pt>
                <c:pt idx="604">
                  <c:v>122</c:v>
                </c:pt>
                <c:pt idx="605">
                  <c:v>122.5</c:v>
                </c:pt>
                <c:pt idx="606">
                  <c:v>123</c:v>
                </c:pt>
                <c:pt idx="607">
                  <c:v>123.5</c:v>
                </c:pt>
                <c:pt idx="608">
                  <c:v>124</c:v>
                </c:pt>
                <c:pt idx="609">
                  <c:v>124.5</c:v>
                </c:pt>
                <c:pt idx="610">
                  <c:v>125</c:v>
                </c:pt>
                <c:pt idx="611">
                  <c:v>125.5</c:v>
                </c:pt>
                <c:pt idx="612">
                  <c:v>126</c:v>
                </c:pt>
                <c:pt idx="613">
                  <c:v>126.5</c:v>
                </c:pt>
                <c:pt idx="614">
                  <c:v>127</c:v>
                </c:pt>
                <c:pt idx="615">
                  <c:v>127.5</c:v>
                </c:pt>
                <c:pt idx="616">
                  <c:v>128</c:v>
                </c:pt>
                <c:pt idx="617">
                  <c:v>128.5</c:v>
                </c:pt>
                <c:pt idx="618">
                  <c:v>129</c:v>
                </c:pt>
                <c:pt idx="619">
                  <c:v>129.5</c:v>
                </c:pt>
                <c:pt idx="620">
                  <c:v>130</c:v>
                </c:pt>
                <c:pt idx="621">
                  <c:v>130.5</c:v>
                </c:pt>
                <c:pt idx="622">
                  <c:v>131</c:v>
                </c:pt>
                <c:pt idx="623">
                  <c:v>131.5</c:v>
                </c:pt>
                <c:pt idx="624">
                  <c:v>132</c:v>
                </c:pt>
                <c:pt idx="625">
                  <c:v>132.5</c:v>
                </c:pt>
                <c:pt idx="626">
                  <c:v>133</c:v>
                </c:pt>
                <c:pt idx="627">
                  <c:v>133.5</c:v>
                </c:pt>
                <c:pt idx="628">
                  <c:v>134</c:v>
                </c:pt>
                <c:pt idx="629">
                  <c:v>134.5</c:v>
                </c:pt>
                <c:pt idx="630">
                  <c:v>135</c:v>
                </c:pt>
                <c:pt idx="631">
                  <c:v>135.5</c:v>
                </c:pt>
                <c:pt idx="632">
                  <c:v>136</c:v>
                </c:pt>
                <c:pt idx="633">
                  <c:v>136.5</c:v>
                </c:pt>
                <c:pt idx="634">
                  <c:v>137</c:v>
                </c:pt>
                <c:pt idx="635">
                  <c:v>137.5</c:v>
                </c:pt>
                <c:pt idx="636">
                  <c:v>138</c:v>
                </c:pt>
                <c:pt idx="637">
                  <c:v>138.5</c:v>
                </c:pt>
                <c:pt idx="638">
                  <c:v>139</c:v>
                </c:pt>
                <c:pt idx="639">
                  <c:v>139.5</c:v>
                </c:pt>
                <c:pt idx="640">
                  <c:v>140</c:v>
                </c:pt>
                <c:pt idx="641">
                  <c:v>140.5</c:v>
                </c:pt>
                <c:pt idx="642">
                  <c:v>141</c:v>
                </c:pt>
                <c:pt idx="643">
                  <c:v>141.5</c:v>
                </c:pt>
                <c:pt idx="644">
                  <c:v>142</c:v>
                </c:pt>
                <c:pt idx="645">
                  <c:v>142.5</c:v>
                </c:pt>
                <c:pt idx="646">
                  <c:v>143</c:v>
                </c:pt>
                <c:pt idx="647">
                  <c:v>143.5</c:v>
                </c:pt>
                <c:pt idx="648">
                  <c:v>144</c:v>
                </c:pt>
                <c:pt idx="649">
                  <c:v>144.5</c:v>
                </c:pt>
                <c:pt idx="650">
                  <c:v>145</c:v>
                </c:pt>
                <c:pt idx="651">
                  <c:v>145.5</c:v>
                </c:pt>
                <c:pt idx="652">
                  <c:v>146</c:v>
                </c:pt>
                <c:pt idx="653">
                  <c:v>146.5</c:v>
                </c:pt>
                <c:pt idx="654">
                  <c:v>147</c:v>
                </c:pt>
                <c:pt idx="655">
                  <c:v>147.5</c:v>
                </c:pt>
                <c:pt idx="656">
                  <c:v>148</c:v>
                </c:pt>
                <c:pt idx="657">
                  <c:v>148.5</c:v>
                </c:pt>
                <c:pt idx="658">
                  <c:v>149</c:v>
                </c:pt>
                <c:pt idx="659">
                  <c:v>149.5</c:v>
                </c:pt>
                <c:pt idx="660">
                  <c:v>150</c:v>
                </c:pt>
                <c:pt idx="661">
                  <c:v>150.5</c:v>
                </c:pt>
                <c:pt idx="662">
                  <c:v>151</c:v>
                </c:pt>
                <c:pt idx="663">
                  <c:v>151.5</c:v>
                </c:pt>
                <c:pt idx="664">
                  <c:v>152</c:v>
                </c:pt>
                <c:pt idx="665">
                  <c:v>152.5</c:v>
                </c:pt>
                <c:pt idx="666">
                  <c:v>153</c:v>
                </c:pt>
                <c:pt idx="667">
                  <c:v>153.5</c:v>
                </c:pt>
                <c:pt idx="668">
                  <c:v>154</c:v>
                </c:pt>
                <c:pt idx="669">
                  <c:v>154.5</c:v>
                </c:pt>
                <c:pt idx="670">
                  <c:v>155</c:v>
                </c:pt>
                <c:pt idx="671">
                  <c:v>155.5</c:v>
                </c:pt>
                <c:pt idx="672">
                  <c:v>156</c:v>
                </c:pt>
                <c:pt idx="673">
                  <c:v>156.5</c:v>
                </c:pt>
                <c:pt idx="674">
                  <c:v>157</c:v>
                </c:pt>
                <c:pt idx="675">
                  <c:v>157.5</c:v>
                </c:pt>
                <c:pt idx="676">
                  <c:v>158</c:v>
                </c:pt>
                <c:pt idx="677">
                  <c:v>158.5</c:v>
                </c:pt>
                <c:pt idx="678">
                  <c:v>159</c:v>
                </c:pt>
                <c:pt idx="679">
                  <c:v>159.5</c:v>
                </c:pt>
                <c:pt idx="680">
                  <c:v>160</c:v>
                </c:pt>
                <c:pt idx="681">
                  <c:v>160.5</c:v>
                </c:pt>
                <c:pt idx="682">
                  <c:v>161</c:v>
                </c:pt>
                <c:pt idx="683">
                  <c:v>161.5</c:v>
                </c:pt>
                <c:pt idx="684">
                  <c:v>162</c:v>
                </c:pt>
                <c:pt idx="685">
                  <c:v>162.5</c:v>
                </c:pt>
                <c:pt idx="686">
                  <c:v>163</c:v>
                </c:pt>
                <c:pt idx="687">
                  <c:v>163.5</c:v>
                </c:pt>
                <c:pt idx="688">
                  <c:v>164</c:v>
                </c:pt>
                <c:pt idx="689">
                  <c:v>164.5</c:v>
                </c:pt>
                <c:pt idx="690">
                  <c:v>165</c:v>
                </c:pt>
                <c:pt idx="691">
                  <c:v>165.5</c:v>
                </c:pt>
                <c:pt idx="692">
                  <c:v>166</c:v>
                </c:pt>
                <c:pt idx="693">
                  <c:v>166.5</c:v>
                </c:pt>
                <c:pt idx="694">
                  <c:v>167</c:v>
                </c:pt>
                <c:pt idx="695">
                  <c:v>167.5</c:v>
                </c:pt>
                <c:pt idx="696">
                  <c:v>168</c:v>
                </c:pt>
                <c:pt idx="697">
                  <c:v>168.5</c:v>
                </c:pt>
                <c:pt idx="698">
                  <c:v>169</c:v>
                </c:pt>
                <c:pt idx="699">
                  <c:v>169.5</c:v>
                </c:pt>
                <c:pt idx="700">
                  <c:v>170</c:v>
                </c:pt>
                <c:pt idx="701">
                  <c:v>170.5</c:v>
                </c:pt>
                <c:pt idx="702">
                  <c:v>171</c:v>
                </c:pt>
                <c:pt idx="703">
                  <c:v>171.5</c:v>
                </c:pt>
                <c:pt idx="704">
                  <c:v>172</c:v>
                </c:pt>
                <c:pt idx="705">
                  <c:v>172.5</c:v>
                </c:pt>
                <c:pt idx="706">
                  <c:v>173</c:v>
                </c:pt>
                <c:pt idx="707">
                  <c:v>173.5</c:v>
                </c:pt>
                <c:pt idx="708">
                  <c:v>174</c:v>
                </c:pt>
                <c:pt idx="709">
                  <c:v>174.5</c:v>
                </c:pt>
                <c:pt idx="710">
                  <c:v>175</c:v>
                </c:pt>
                <c:pt idx="711">
                  <c:v>175.5</c:v>
                </c:pt>
                <c:pt idx="712">
                  <c:v>176</c:v>
                </c:pt>
                <c:pt idx="713">
                  <c:v>176.5</c:v>
                </c:pt>
                <c:pt idx="714">
                  <c:v>177</c:v>
                </c:pt>
                <c:pt idx="715">
                  <c:v>177.5</c:v>
                </c:pt>
                <c:pt idx="716">
                  <c:v>178</c:v>
                </c:pt>
                <c:pt idx="717">
                  <c:v>178.5</c:v>
                </c:pt>
                <c:pt idx="718">
                  <c:v>179</c:v>
                </c:pt>
                <c:pt idx="719">
                  <c:v>179.5</c:v>
                </c:pt>
                <c:pt idx="720">
                  <c:v>180</c:v>
                </c:pt>
              </c:numCache>
            </c:numRef>
          </c:xVal>
          <c:yVal>
            <c:numRef>
              <c:f>Barrido_AE!$L$12:$L$732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3.3176245410737781</c:v>
                </c:pt>
                <c:pt idx="256">
                  <c:v>3.3692914033609842</c:v>
                </c:pt>
                <c:pt idx="257">
                  <c:v>3.422107276169442</c:v>
                </c:pt>
                <c:pt idx="258">
                  <c:v>3.4760996937634454</c:v>
                </c:pt>
                <c:pt idx="259">
                  <c:v>3.5312967586994413</c:v>
                </c:pt>
                <c:pt idx="260">
                  <c:v>3.5877271409260953</c:v>
                </c:pt>
                <c:pt idx="261">
                  <c:v>3.6454200754661348</c:v>
                </c:pt>
                <c:pt idx="262">
                  <c:v>3.7044053585359569</c:v>
                </c:pt>
                <c:pt idx="263">
                  <c:v>3.764713341948192</c:v>
                </c:pt>
                <c:pt idx="264">
                  <c:v>3.8263749256309607</c:v>
                </c:pt>
                <c:pt idx="265">
                  <c:v>3.889421548085704</c:v>
                </c:pt>
                <c:pt idx="266">
                  <c:v>3.9538851745926782</c:v>
                </c:pt>
                <c:pt idx="267">
                  <c:v>4.0197982829600507</c:v>
                </c:pt>
                <c:pt idx="268">
                  <c:v>4.0871938465984918</c:v>
                </c:pt>
                <c:pt idx="269">
                  <c:v>4.156105314688797</c:v>
                </c:pt>
                <c:pt idx="270">
                  <c:v>4.2265665891946727</c:v>
                </c:pt>
                <c:pt idx="271">
                  <c:v>4.2986119984572779</c:v>
                </c:pt>
                <c:pt idx="272">
                  <c:v>4.3722762670916007</c:v>
                </c:pt>
                <c:pt idx="273">
                  <c:v>4.4475944818880748</c:v>
                </c:pt>
                <c:pt idx="274">
                  <c:v>4.5246020534052294</c:v>
                </c:pt>
                <c:pt idx="275">
                  <c:v>4.6033488274811711</c:v>
                </c:pt>
                <c:pt idx="276">
                  <c:v>4.684100249060692</c:v>
                </c:pt>
                <c:pt idx="277">
                  <c:v>4.7673023222034594</c:v>
                </c:pt>
                <c:pt idx="278">
                  <c:v>4.8534286397130497</c:v>
                </c:pt>
                <c:pt idx="279">
                  <c:v>4.9429770343927322</c:v>
                </c:pt>
                <c:pt idx="280">
                  <c:v>5.0364702266910983</c:v>
                </c:pt>
                <c:pt idx="281">
                  <c:v>5.1344563313008971</c:v>
                </c:pt>
                <c:pt idx="282">
                  <c:v>5.2375092066234421</c:v>
                </c:pt>
                <c:pt idx="283">
                  <c:v>5.3462286302455997</c:v>
                </c:pt>
                <c:pt idx="284">
                  <c:v>5.4612402829313238</c:v>
                </c:pt>
                <c:pt idx="285">
                  <c:v>5.583195523127678</c:v>
                </c:pt>
                <c:pt idx="286">
                  <c:v>5.7127709336492885</c:v>
                </c:pt>
                <c:pt idx="287">
                  <c:v>5.8506676220588192</c:v>
                </c:pt>
                <c:pt idx="288">
                  <c:v>5.9976102563304616</c:v>
                </c:pt>
                <c:pt idx="289">
                  <c:v>6.1543458176929224</c:v>
                </c:pt>
                <c:pt idx="290">
                  <c:v>6.3216420531244513</c:v>
                </c:pt>
                <c:pt idx="291">
                  <c:v>6.5002856108399376</c:v>
                </c:pt>
                <c:pt idx="292">
                  <c:v>6.6910798432930907</c:v>
                </c:pt>
                <c:pt idx="293">
                  <c:v>6.8948422637384548</c:v>
                </c:pt>
                <c:pt idx="294">
                  <c:v>7.1124016442790756</c:v>
                </c:pt>
                <c:pt idx="295">
                  <c:v>7.3445947455835991</c:v>
                </c:pt>
                <c:pt idx="296">
                  <c:v>7.5922626711064751</c:v>
                </c:pt>
                <c:pt idx="297">
                  <c:v>7.8562468416959348</c:v>
                </c:pt>
                <c:pt idx="298">
                  <c:v>8.1373845899324841</c:v>
                </c:pt>
                <c:pt idx="299">
                  <c:v>8.4365043774037591</c:v>
                </c:pt>
                <c:pt idx="300">
                  <c:v>8.7544206423828683</c:v>
                </c:pt>
                <c:pt idx="301">
                  <c:v>9.0919282900201317</c:v>
                </c:pt>
                <c:pt idx="302">
                  <c:v>9.4497968421611205</c:v>
                </c:pt>
                <c:pt idx="303">
                  <c:v>9.8287642692311668</c:v>
                </c:pt>
                <c:pt idx="304">
                  <c:v>10.229530532239266</c:v>
                </c:pt>
                <c:pt idx="305">
                  <c:v>10.652750868796856</c:v>
                </c:pt>
                <c:pt idx="306">
                  <c:v>11.099028863059786</c:v>
                </c:pt>
                <c:pt idx="307">
                  <c:v>11.568909345608125</c:v>
                </c:pt>
                <c:pt idx="308">
                  <c:v>12.062871175398024</c:v>
                </c:pt>
                <c:pt idx="309">
                  <c:v>12.581319961955387</c:v>
                </c:pt>
                <c:pt idx="310">
                  <c:v>13.124580791830818</c:v>
                </c:pt>
                <c:pt idx="311">
                  <c:v>13.692891028886555</c:v>
                </c:pt>
                <c:pt idx="312">
                  <c:v>14.286393263117974</c:v>
                </c:pt>
                <c:pt idx="313">
                  <c:v>14.905128487299612</c:v>
                </c:pt>
                <c:pt idx="314">
                  <c:v>15.549029584658108</c:v>
                </c:pt>
                <c:pt idx="315">
                  <c:v>16.217915213878882</c:v>
                </c:pt>
                <c:pt idx="316">
                  <c:v>16.911484179920869</c:v>
                </c:pt>
                <c:pt idx="317">
                  <c:v>17.629310380211582</c:v>
                </c:pt>
                <c:pt idx="318">
                  <c:v>18.370838415708334</c:v>
                </c:pt>
                <c:pt idx="319">
                  <c:v>19.135379954922357</c:v>
                </c:pt>
                <c:pt idx="320">
                  <c:v>19.922110936220353</c:v>
                </c:pt>
                <c:pt idx="321">
                  <c:v>20.730069689457967</c:v>
                </c:pt>
                <c:pt idx="322">
                  <c:v>21.558156052205639</c:v>
                </c:pt>
                <c:pt idx="323">
                  <c:v>22.405131548466258</c:v>
                </c:pt>
                <c:pt idx="324">
                  <c:v>23.269620688851344</c:v>
                </c:pt>
                <c:pt idx="325">
                  <c:v>24.150113440703223</c:v>
                </c:pt>
                <c:pt idx="326">
                  <c:v>25.044968904690915</c:v>
                </c:pt>
                <c:pt idx="327">
                  <c:v>25.95242022106083</c:v>
                </c:pt>
                <c:pt idx="328">
                  <c:v>26.870580714132366</c:v>
                </c:pt>
                <c:pt idx="329">
                  <c:v>27.797451267962572</c:v>
                </c:pt>
                <c:pt idx="330">
                  <c:v>28.730928909581309</c:v>
                </c:pt>
                <c:pt idx="331">
                  <c:v>29.668816559069775</c:v>
                </c:pt>
                <c:pt idx="332">
                  <c:v>30.608833888299017</c:v>
                </c:pt>
                <c:pt idx="333">
                  <c:v>31.548629212682584</c:v>
                </c:pt>
                <c:pt idx="334">
                  <c:v>32.485792323160524</c:v>
                </c:pt>
                <c:pt idx="335">
                  <c:v>33.417868149179426</c:v>
                </c:pt>
                <c:pt idx="336">
                  <c:v>34.34237112802434</c:v>
                </c:pt>
                <c:pt idx="337">
                  <c:v>35.256800141868958</c:v>
                </c:pt>
                <c:pt idx="338">
                  <c:v>36.158653871677167</c:v>
                </c:pt>
                <c:pt idx="339">
                  <c:v>37.045446406967699</c:v>
                </c:pt>
                <c:pt idx="340">
                  <c:v>37.914722942734308</c:v>
                </c:pt>
                <c:pt idx="341">
                  <c:v>38.764075389761103</c:v>
                </c:pt>
                <c:pt idx="342">
                  <c:v>39.591157722403352</c:v>
                </c:pt>
                <c:pt idx="343">
                  <c:v>40.393700888758829</c:v>
                </c:pt>
                <c:pt idx="344">
                  <c:v>41.169527112122147</c:v>
                </c:pt>
                <c:pt idx="345">
                  <c:v>41.916563419690455</c:v>
                </c:pt>
                <c:pt idx="346">
                  <c:v>42.632854244603919</c:v>
                </c:pt>
                <c:pt idx="347">
                  <c:v>43.316572960405537</c:v>
                </c:pt>
                <c:pt idx="348">
                  <c:v>43.966032222644444</c:v>
                </c:pt>
                <c:pt idx="349">
                  <c:v>44.579693010328597</c:v>
                </c:pt>
                <c:pt idx="350">
                  <c:v>45.156172279869303</c:v>
                </c:pt>
                <c:pt idx="351">
                  <c:v>45.694249165609513</c:v>
                </c:pt>
                <c:pt idx="352">
                  <c:v>46.19286968351603</c:v>
                </c:pt>
                <c:pt idx="353">
                  <c:v>46.651149917622007</c:v>
                </c:pt>
                <c:pt idx="354">
                  <c:v>47.068377691792456</c:v>
                </c:pt>
                <c:pt idx="355">
                  <c:v>47.44401275183359</c:v>
                </c:pt>
                <c:pt idx="356">
                  <c:v>47.777685504364023</c:v>
                </c:pt>
                <c:pt idx="357">
                  <c:v>48.069194378723672</c:v>
                </c:pt>
                <c:pt idx="358">
                  <c:v>48.318501896111243</c:v>
                </c:pt>
                <c:pt idx="359">
                  <c:v>48.525729545740099</c:v>
                </c:pt>
                <c:pt idx="360">
                  <c:v>48.691151580809375</c:v>
                </c:pt>
                <c:pt idx="361">
                  <c:v>48.815187857299605</c:v>
                </c:pt>
                <c:pt idx="362">
                  <c:v>48.898395845914074</c:v>
                </c:pt>
                <c:pt idx="363">
                  <c:v>48.941461951869165</c:v>
                </c:pt>
                <c:pt idx="364">
                  <c:v>48.945192278766676</c:v>
                </c:pt>
                <c:pt idx="365">
                  <c:v>48.910502971588421</c:v>
                </c:pt>
                <c:pt idx="366">
                  <c:v>48.83841027016684</c:v>
                </c:pt>
                <c:pt idx="367">
                  <c:v>48.730020398572826</c:v>
                </c:pt>
                <c:pt idx="368">
                  <c:v>48.586519408049874</c:v>
                </c:pt>
                <c:pt idx="369">
                  <c:v>48.409163081760639</c:v>
                </c:pt>
                <c:pt idx="370">
                  <c:v>48.199266999076059</c:v>
                </c:pt>
                <c:pt idx="371">
                  <c:v>47.958196845783569</c:v>
                </c:pt>
                <c:pt idx="372">
                  <c:v>47.687359044802264</c:v>
                </c:pt>
                <c:pt idx="373">
                  <c:v>47.388191770092227</c:v>
                </c:pt>
                <c:pt idx="374">
                  <c:v>47.062156394733783</c:v>
                </c:pt>
                <c:pt idx="375">
                  <c:v>46.710729412906588</c:v>
                </c:pt>
                <c:pt idx="376">
                  <c:v>46.335394864928546</c:v>
                </c:pt>
                <c:pt idx="377">
                  <c:v>45.937637284783868</c:v>
                </c:pt>
                <c:pt idx="378">
                  <c:v>45.518935180810495</c:v>
                </c:pt>
                <c:pt idx="379">
                  <c:v>45.080755052498425</c:v>
                </c:pt>
                <c:pt idx="380">
                  <c:v>44.624545939693483</c:v>
                </c:pt>
                <c:pt idx="381">
                  <c:v>44.151734494915765</c:v>
                </c:pt>
                <c:pt idx="382">
                  <c:v>43.663720564932312</c:v>
                </c:pt>
                <c:pt idx="383">
                  <c:v>43.161873264108351</c:v>
                </c:pt>
                <c:pt idx="384">
                  <c:v>42.647527519320825</c:v>
                </c:pt>
                <c:pt idx="385">
                  <c:v>42.12198106424384</c:v>
                </c:pt>
                <c:pt idx="386">
                  <c:v>41.586491859514034</c:v>
                </c:pt>
                <c:pt idx="387">
                  <c:v>41.04227591453791</c:v>
                </c:pt>
                <c:pt idx="388">
                  <c:v>40.490505486418371</c:v>
                </c:pt>
                <c:pt idx="389">
                  <c:v>39.932307631559816</c:v>
                </c:pt>
                <c:pt idx="390">
                  <c:v>39.368763085858006</c:v>
                </c:pt>
                <c:pt idx="391">
                  <c:v>38.800905449940082</c:v>
                </c:pt>
                <c:pt idx="392">
                  <c:v>38.229720656607469</c:v>
                </c:pt>
                <c:pt idx="393">
                  <c:v>37.656146698411185</c:v>
                </c:pt>
                <c:pt idx="394">
                  <c:v>37.08107359410787</c:v>
                </c:pt>
                <c:pt idx="395">
                  <c:v>36.505343573583708</c:v>
                </c:pt>
                <c:pt idx="396">
                  <c:v>35.929751461661084</c:v>
                </c:pt>
                <c:pt idx="397">
                  <c:v>35.355045242021362</c:v>
                </c:pt>
                <c:pt idx="398">
                  <c:v>34.781926783270002</c:v>
                </c:pt>
                <c:pt idx="399">
                  <c:v>34.211052709938514</c:v>
                </c:pt>
                <c:pt idx="400">
                  <c:v>33.643035401970295</c:v>
                </c:pt>
                <c:pt idx="401">
                  <c:v>33.078444106969506</c:v>
                </c:pt>
                <c:pt idx="402">
                  <c:v>32.517806150218348</c:v>
                </c:pt>
                <c:pt idx="403">
                  <c:v>31.961608228185803</c:v>
                </c:pt>
                <c:pt idx="404">
                  <c:v>31.410297771972335</c:v>
                </c:pt>
                <c:pt idx="405">
                  <c:v>30.864284367861178</c:v>
                </c:pt>
                <c:pt idx="406">
                  <c:v>30.323941222879153</c:v>
                </c:pt>
                <c:pt idx="407">
                  <c:v>29.789606664011263</c:v>
                </c:pt>
                <c:pt idx="408">
                  <c:v>29.261585660466285</c:v>
                </c:pt>
                <c:pt idx="409">
                  <c:v>28.740151359145283</c:v>
                </c:pt>
                <c:pt idx="410">
                  <c:v>28.225546624230692</c:v>
                </c:pt>
                <c:pt idx="411">
                  <c:v>27.717985572572715</c:v>
                </c:pt>
                <c:pt idx="412">
                  <c:v>27.217655097311454</c:v>
                </c:pt>
                <c:pt idx="413">
                  <c:v>26.724716372921659</c:v>
                </c:pt>
                <c:pt idx="414">
                  <c:v>26.239306335603768</c:v>
                </c:pt>
                <c:pt idx="415">
                  <c:v>25.761539133662662</c:v>
                </c:pt>
                <c:pt idx="416">
                  <c:v>25.291507543208475</c:v>
                </c:pt>
                <c:pt idx="417">
                  <c:v>24.82928434518039</c:v>
                </c:pt>
                <c:pt idx="418">
                  <c:v>24.37492366032826</c:v>
                </c:pt>
                <c:pt idx="419">
                  <c:v>23.928462239384551</c:v>
                </c:pt>
                <c:pt idx="420">
                  <c:v>23.489920706222044</c:v>
                </c:pt>
                <c:pt idx="421">
                  <c:v>23.059304752312446</c:v>
                </c:pt>
                <c:pt idx="422">
                  <c:v>22.636606281283381</c:v>
                </c:pt>
                <c:pt idx="423">
                  <c:v>22.221804502809032</c:v>
                </c:pt>
                <c:pt idx="424">
                  <c:v>21.814866975469524</c:v>
                </c:pt>
                <c:pt idx="425">
                  <c:v>21.415750598568991</c:v>
                </c:pt>
                <c:pt idx="426">
                  <c:v>21.024402553222316</c:v>
                </c:pt>
                <c:pt idx="427">
                  <c:v>20.640761193297759</c:v>
                </c:pt>
                <c:pt idx="428">
                  <c:v>20.264756887046147</c:v>
                </c:pt>
                <c:pt idx="429">
                  <c:v>19.896312810454749</c:v>
                </c:pt>
                <c:pt idx="430">
                  <c:v>19.535345693540343</c:v>
                </c:pt>
                <c:pt idx="431">
                  <c:v>19.181766520940769</c:v>
                </c:pt>
                <c:pt idx="432">
                  <c:v>18.83548118828293</c:v>
                </c:pt>
                <c:pt idx="433">
                  <c:v>18.4963911158973</c:v>
                </c:pt>
                <c:pt idx="434">
                  <c:v>18.164393821519091</c:v>
                </c:pt>
                <c:pt idx="435">
                  <c:v>17.839383453665853</c:v>
                </c:pt>
                <c:pt idx="436">
                  <c:v>17.521251287411786</c:v>
                </c:pt>
                <c:pt idx="437">
                  <c:v>17.209886184294103</c:v>
                </c:pt>
                <c:pt idx="438">
                  <c:v>16.905175018088112</c:v>
                </c:pt>
                <c:pt idx="439">
                  <c:v>16.607003068175313</c:v>
                </c:pt>
                <c:pt idx="440">
                  <c:v>16.315254382207872</c:v>
                </c:pt>
                <c:pt idx="441">
                  <c:v>16.0298121097413</c:v>
                </c:pt>
                <c:pt idx="442">
                  <c:v>15.750558808469371</c:v>
                </c:pt>
                <c:pt idx="443">
                  <c:v>15.477376724651405</c:v>
                </c:pt>
                <c:pt idx="444">
                  <c:v>15.210148049272009</c:v>
                </c:pt>
                <c:pt idx="445">
                  <c:v>14.948755151421773</c:v>
                </c:pt>
                <c:pt idx="446">
                  <c:v>14.693080790330171</c:v>
                </c:pt>
                <c:pt idx="447">
                  <c:v>14.443008307425968</c:v>
                </c:pt>
                <c:pt idx="448">
                  <c:v>14.198421799739348</c:v>
                </c:pt>
                <c:pt idx="449">
                  <c:v>13.959206275902147</c:v>
                </c:pt>
                <c:pt idx="450">
                  <c:v>13.725247795941396</c:v>
                </c:pt>
                <c:pt idx="451">
                  <c:v>13.496433596002834</c:v>
                </c:pt>
                <c:pt idx="452">
                  <c:v>13.272652199081483</c:v>
                </c:pt>
                <c:pt idx="453">
                  <c:v>13.053793512779597</c:v>
                </c:pt>
                <c:pt idx="454">
                  <c:v>12.839748915055225</c:v>
                </c:pt>
                <c:pt idx="455">
                  <c:v>12.630411328870412</c:v>
                </c:pt>
                <c:pt idx="456">
                  <c:v>12.425675286594419</c:v>
                </c:pt>
                <c:pt idx="457">
                  <c:v>12.225436984966908</c:v>
                </c:pt>
                <c:pt idx="458">
                  <c:v>12.029594331375998</c:v>
                </c:pt>
                <c:pt idx="459">
                  <c:v>11.83804698215947</c:v>
                </c:pt>
                <c:pt idx="460">
                  <c:v>11.650696373591778</c:v>
                </c:pt>
                <c:pt idx="461">
                  <c:v>11.46744574617682</c:v>
                </c:pt>
                <c:pt idx="462">
                  <c:v>11.288200162824944</c:v>
                </c:pt>
                <c:pt idx="463">
                  <c:v>11.112866521454018</c:v>
                </c:pt>
                <c:pt idx="464">
                  <c:v>10.941353562517365</c:v>
                </c:pt>
                <c:pt idx="465">
                  <c:v>10.773571871926194</c:v>
                </c:pt>
                <c:pt idx="466">
                  <c:v>10.609433879801234</c:v>
                </c:pt>
                <c:pt idx="467">
                  <c:v>10.448853855457214</c:v>
                </c:pt>
                <c:pt idx="468">
                  <c:v>10.29174789899429</c:v>
                </c:pt>
                <c:pt idx="469">
                  <c:v>10.138033929842836</c:v>
                </c:pt>
                <c:pt idx="470">
                  <c:v>9.987631672582415</c:v>
                </c:pt>
                <c:pt idx="471">
                  <c:v>9.8404626403310207</c:v>
                </c:pt>
                <c:pt idx="472">
                  <c:v>9.6964501159779619</c:v>
                </c:pt>
                <c:pt idx="473">
                  <c:v>9.5555191315128081</c:v>
                </c:pt>
                <c:pt idx="474">
                  <c:v>9.4175964456821202</c:v>
                </c:pt>
                <c:pt idx="475">
                  <c:v>9.2826105201878448</c:v>
                </c:pt>
                <c:pt idx="476">
                  <c:v>9.1504914946232176</c:v>
                </c:pt>
                <c:pt idx="477">
                  <c:v>9.0211711603263485</c:v>
                </c:pt>
                <c:pt idx="478">
                  <c:v>8.8945829333160322</c:v>
                </c:pt>
                <c:pt idx="479">
                  <c:v>8.7706618264608665</c:v>
                </c:pt>
                <c:pt idx="480">
                  <c:v>8.6493444210192436</c:v>
                </c:pt>
                <c:pt idx="481">
                  <c:v>8.5305688376759328</c:v>
                </c:pt>
                <c:pt idx="482">
                  <c:v>8.4142747071896213</c:v>
                </c:pt>
                <c:pt idx="483">
                  <c:v>8.3004031407553782</c:v>
                </c:pt>
                <c:pt idx="484">
                  <c:v>8.1888967001765511</c:v>
                </c:pt>
                <c:pt idx="485">
                  <c:v>8.0796993679311253</c:v>
                </c:pt>
                <c:pt idx="486">
                  <c:v>7.9727565172102492</c:v>
                </c:pt>
                <c:pt idx="487">
                  <c:v>7.8680148819978326</c:v>
                </c:pt>
                <c:pt idx="488">
                  <c:v>7.7654225272542972</c:v>
                </c:pt>
                <c:pt idx="489">
                  <c:v>7.6649288192600329</c:v>
                </c:pt>
                <c:pt idx="490">
                  <c:v>7.5664843961688746</c:v>
                </c:pt>
                <c:pt idx="491">
                  <c:v>7.4700411388160406</c:v>
                </c:pt>
                <c:pt idx="492">
                  <c:v>7.3755521418198606</c:v>
                </c:pt>
                <c:pt idx="493">
                  <c:v>7.2829716850123649</c:v>
                </c:pt>
                <c:pt idx="494">
                  <c:v>7.192255205229058</c:v>
                </c:pt>
                <c:pt idx="495">
                  <c:v>7.1033592684847235</c:v>
                </c:pt>
                <c:pt idx="496">
                  <c:v>7.0162415425580917</c:v>
                </c:pt>
                <c:pt idx="497">
                  <c:v>6.9308607700053626</c:v>
                </c:pt>
                <c:pt idx="498">
                  <c:v>6.8471767416192257</c:v>
                </c:pt>
                <c:pt idx="499">
                  <c:v>6.7651502703475872</c:v>
                </c:pt>
                <c:pt idx="500">
                  <c:v>6.6847431656834013</c:v>
                </c:pt>
                <c:pt idx="501">
                  <c:v>6.605918208535086</c:v>
                </c:pt>
                <c:pt idx="502">
                  <c:v>6.528639126584614</c:v>
                </c:pt>
                <c:pt idx="503">
                  <c:v>6.452870570138848</c:v>
                </c:pt>
                <c:pt idx="504">
                  <c:v>6.3785780884776875</c:v>
                </c:pt>
                <c:pt idx="505">
                  <c:v>6.3057281067011788</c:v>
                </c:pt>
                <c:pt idx="506">
                  <c:v>6.2342879030765719</c:v>
                </c:pt>
                <c:pt idx="507">
                  <c:v>6.1642255868846698</c:v>
                </c:pt>
                <c:pt idx="508">
                  <c:v>6.0955100767640502</c:v>
                </c:pt>
                <c:pt idx="509">
                  <c:v>6.0281110795505866</c:v>
                </c:pt>
                <c:pt idx="510">
                  <c:v>5.9619990696088703</c:v>
                </c:pt>
                <c:pt idx="511">
                  <c:v>5.8971452686512693</c:v>
                </c:pt>
                <c:pt idx="512">
                  <c:v>5.833521626039734</c:v>
                </c:pt>
                <c:pt idx="513">
                  <c:v>5.7711007995648922</c:v>
                </c:pt>
                <c:pt idx="514">
                  <c:v>5.7098561366962892</c:v>
                </c:pt>
                <c:pt idx="515">
                  <c:v>5.649761656297267</c:v>
                </c:pt>
                <c:pt idx="516">
                  <c:v>5.5907920307976173</c:v>
                </c:pt>
                <c:pt idx="517">
                  <c:v>5.5329225688166783</c:v>
                </c:pt>
                <c:pt idx="518">
                  <c:v>5.4761291982292617</c:v>
                </c:pt>
                <c:pt idx="519">
                  <c:v>5.4203884496667269</c:v>
                </c:pt>
                <c:pt idx="520">
                  <c:v>5.3656774404450855</c:v>
                </c:pt>
                <c:pt idx="521">
                  <c:v>5.3119738589119567</c:v>
                </c:pt>
                <c:pt idx="522">
                  <c:v>5.2592559492041513</c:v>
                </c:pt>
                <c:pt idx="523">
                  <c:v>5.2075024964074199</c:v>
                </c:pt>
                <c:pt idx="524">
                  <c:v>5.1566928121099549</c:v>
                </c:pt>
                <c:pt idx="525">
                  <c:v>5.1068067203411012</c:v>
                </c:pt>
                <c:pt idx="526">
                  <c:v>5.0578245438868201</c:v>
                </c:pt>
                <c:pt idx="527">
                  <c:v>5.0097270909734117</c:v>
                </c:pt>
                <c:pt idx="528">
                  <c:v>4.9624956423109481</c:v>
                </c:pt>
                <c:pt idx="529">
                  <c:v>4.9161119384881138</c:v>
                </c:pt>
                <c:pt idx="530">
                  <c:v>4.8705581677100094</c:v>
                </c:pt>
                <c:pt idx="531">
                  <c:v>4.8258169538706186</c:v>
                </c:pt>
                <c:pt idx="532">
                  <c:v>4.7818713449518295</c:v>
                </c:pt>
                <c:pt idx="533">
                  <c:v>4.7387048017407869</c:v>
                </c:pt>
                <c:pt idx="534">
                  <c:v>4.6963011868576769</c:v>
                </c:pt>
                <c:pt idx="535">
                  <c:v>4.6546447540859992</c:v>
                </c:pt>
                <c:pt idx="536">
                  <c:v>4.6137201379975759</c:v>
                </c:pt>
                <c:pt idx="537">
                  <c:v>4.5735123438646816</c:v>
                </c:pt>
                <c:pt idx="538">
                  <c:v>4.534006737851735</c:v>
                </c:pt>
                <c:pt idx="539">
                  <c:v>4.4951890374792907</c:v>
                </c:pt>
                <c:pt idx="540">
                  <c:v>4.4570453023529382</c:v>
                </c:pt>
                <c:pt idx="541">
                  <c:v>4.4195619251501839</c:v>
                </c:pt>
                <c:pt idx="542">
                  <c:v>4.3827256228582634</c:v>
                </c:pt>
                <c:pt idx="543">
                  <c:v>4.3465234282561376</c:v>
                </c:pt>
                <c:pt idx="544">
                  <c:v>4.3109426816339713</c:v>
                </c:pt>
                <c:pt idx="545">
                  <c:v>4.2759710227436729</c:v>
                </c:pt>
                <c:pt idx="546">
                  <c:v>4.2415963829740297</c:v>
                </c:pt>
                <c:pt idx="547">
                  <c:v>4.2078069777443101</c:v>
                </c:pt>
                <c:pt idx="548">
                  <c:v>4.1745912991102481</c:v>
                </c:pt>
                <c:pt idx="549">
                  <c:v>4.1419381085764453</c:v>
                </c:pt>
                <c:pt idx="550">
                  <c:v>4.1098364301094694</c:v>
                </c:pt>
                <c:pt idx="551">
                  <c:v>4.0782755433460132</c:v>
                </c:pt>
                <c:pt idx="552">
                  <c:v>4.0472449769905703</c:v>
                </c:pt>
                <c:pt idx="553">
                  <c:v>4.016734502397342</c:v>
                </c:pt>
                <c:pt idx="554">
                  <c:v>3.9867341273311041</c:v>
                </c:pt>
                <c:pt idx="555">
                  <c:v>3.9572340899019909</c:v>
                </c:pt>
                <c:pt idx="556">
                  <c:v>3.9282248526692616</c:v>
                </c:pt>
                <c:pt idx="557">
                  <c:v>3.8996970969091578</c:v>
                </c:pt>
                <c:pt idx="558">
                  <c:v>3.8716417170422881</c:v>
                </c:pt>
                <c:pt idx="559">
                  <c:v>3.8440498152158638</c:v>
                </c:pt>
                <c:pt idx="560">
                  <c:v>3.8169126960364288</c:v>
                </c:pt>
                <c:pt idx="561">
                  <c:v>3.790221861448734</c:v>
                </c:pt>
                <c:pt idx="562">
                  <c:v>3.7639690057565858</c:v>
                </c:pt>
                <c:pt idx="563">
                  <c:v>3.7381460107815352</c:v>
                </c:pt>
                <c:pt idx="564">
                  <c:v>3.7127449411555484</c:v>
                </c:pt>
                <c:pt idx="565">
                  <c:v>3.6877580397436898</c:v>
                </c:pt>
                <c:pt idx="566">
                  <c:v>3.6631777231931282</c:v>
                </c:pt>
                <c:pt idx="567">
                  <c:v>3.6389965776048783</c:v>
                </c:pt>
                <c:pt idx="568">
                  <c:v>3.6152073543246144</c:v>
                </c:pt>
                <c:pt idx="569">
                  <c:v>3.5918029658492676</c:v>
                </c:pt>
                <c:pt idx="570">
                  <c:v>3.56877648184595</c:v>
                </c:pt>
                <c:pt idx="571">
                  <c:v>3.5461211252800613</c:v>
                </c:pt>
                <c:pt idx="572">
                  <c:v>3.5238302686493714</c:v>
                </c:pt>
                <c:pt idx="573">
                  <c:v>3.5018974303210335</c:v>
                </c:pt>
                <c:pt idx="574">
                  <c:v>3.4803162709686171</c:v>
                </c:pt>
                <c:pt idx="575">
                  <c:v>3.4590805901061912</c:v>
                </c:pt>
                <c:pt idx="576">
                  <c:v>3.4381843227167526</c:v>
                </c:pt>
                <c:pt idx="577">
                  <c:v>3.4176215359722106</c:v>
                </c:pt>
                <c:pt idx="578">
                  <c:v>3.3973864260423627</c:v>
                </c:pt>
                <c:pt idx="579">
                  <c:v>3.3774733149902501</c:v>
                </c:pt>
                <c:pt idx="580">
                  <c:v>3.3578766477514517</c:v>
                </c:pt>
                <c:pt idx="581">
                  <c:v>3.3385909891948735</c:v>
                </c:pt>
                <c:pt idx="582">
                  <c:v>3.3196110212627539</c:v>
                </c:pt>
                <c:pt idx="583">
                  <c:v>3.3009315401875408</c:v>
                </c:pt>
                <c:pt idx="584">
                  <c:v>3.2825474537835064</c:v>
                </c:pt>
                <c:pt idx="585">
                  <c:v>3.2644537788109358</c:v>
                </c:pt>
                <c:pt idx="586">
                  <c:v>3.2466456384108211</c:v>
                </c:pt>
                <c:pt idx="587">
                  <c:v>3.2291182596080574</c:v>
                </c:pt>
                <c:pt idx="588">
                  <c:v>3.211866970881176</c:v>
                </c:pt>
                <c:pt idx="589">
                  <c:v>3.1948871997967534</c:v>
                </c:pt>
                <c:pt idx="590">
                  <c:v>3.178174470706618</c:v>
                </c:pt>
                <c:pt idx="591">
                  <c:v>3.1617244025061169</c:v>
                </c:pt>
                <c:pt idx="592">
                  <c:v>3.1455327064516752</c:v>
                </c:pt>
                <c:pt idx="593">
                  <c:v>3.1295951840360221</c:v>
                </c:pt>
                <c:pt idx="594">
                  <c:v>3.1139077249193803</c:v>
                </c:pt>
                <c:pt idx="595">
                  <c:v>3.0984663049151333</c:v>
                </c:pt>
                <c:pt idx="596">
                  <c:v>3.0832669840283624</c:v>
                </c:pt>
                <c:pt idx="597">
                  <c:v>3.0683059045458201</c:v>
                </c:pt>
                <c:pt idx="598">
                  <c:v>3.0535792891758571</c:v>
                </c:pt>
                <c:pt idx="599">
                  <c:v>3.0390834392369457</c:v>
                </c:pt>
                <c:pt idx="600">
                  <c:v>3.0248147328934185</c:v>
                </c:pt>
                <c:pt idx="601">
                  <c:v>3.0107696234370995</c:v>
                </c:pt>
                <c:pt idx="602">
                  <c:v>2.99694463761359</c:v>
                </c:pt>
                <c:pt idx="603">
                  <c:v>2.9833363739919077</c:v>
                </c:pt>
                <c:pt idx="604">
                  <c:v>2.9699415013763613</c:v>
                </c:pt>
                <c:pt idx="605">
                  <c:v>2.956756757259392</c:v>
                </c:pt>
                <c:pt idx="606">
                  <c:v>2.9437789463143633</c:v>
                </c:pt>
                <c:pt idx="607">
                  <c:v>2.9310049389270949</c:v>
                </c:pt>
                <c:pt idx="608">
                  <c:v>2.9184316697651562</c:v>
                </c:pt>
                <c:pt idx="609">
                  <c:v>2.906056136383846</c:v>
                </c:pt>
                <c:pt idx="610">
                  <c:v>2.8938753978678591</c:v>
                </c:pt>
                <c:pt idx="611">
                  <c:v>2.8818865735076886</c:v>
                </c:pt>
                <c:pt idx="612">
                  <c:v>2.8700868415097824</c:v>
                </c:pt>
                <c:pt idx="613">
                  <c:v>2.8584734377395775</c:v>
                </c:pt>
                <c:pt idx="614">
                  <c:v>2.8470436544964945</c:v>
                </c:pt>
                <c:pt idx="615">
                  <c:v>2.8357948393200538</c:v>
                </c:pt>
                <c:pt idx="616">
                  <c:v>2.8247243938262403</c:v>
                </c:pt>
                <c:pt idx="617">
                  <c:v>2.8138297725733552</c:v>
                </c:pt>
                <c:pt idx="618">
                  <c:v>2.8031084819565155</c:v>
                </c:pt>
                <c:pt idx="619">
                  <c:v>2.7925580791300737</c:v>
                </c:pt>
                <c:pt idx="620">
                  <c:v>2.7821761709571913</c:v>
                </c:pt>
                <c:pt idx="621">
                  <c:v>2.771960412985861</c:v>
                </c:pt>
                <c:pt idx="622">
                  <c:v>2.7619085084506731</c:v>
                </c:pt>
                <c:pt idx="623">
                  <c:v>2.7520182072996358</c:v>
                </c:pt>
                <c:pt idx="624">
                  <c:v>2.7422873052454242</c:v>
                </c:pt>
                <c:pt idx="625">
                  <c:v>2.7327136428403649</c:v>
                </c:pt>
                <c:pt idx="626">
                  <c:v>2.7232951045745963</c:v>
                </c:pt>
                <c:pt idx="627">
                  <c:v>2.7140296179967471</c:v>
                </c:pt>
                <c:pt idx="628">
                  <c:v>2.704915152856592</c:v>
                </c:pt>
                <c:pt idx="629">
                  <c:v>2.6959497202690903</c:v>
                </c:pt>
                <c:pt idx="630">
                  <c:v>2.687131371899262</c:v>
                </c:pt>
                <c:pt idx="631">
                  <c:v>2.678458199167379</c:v>
                </c:pt>
                <c:pt idx="632">
                  <c:v>2.6699283324739271</c:v>
                </c:pt>
                <c:pt idx="633">
                  <c:v>2.6615399404438631</c:v>
                </c:pt>
                <c:pt idx="634">
                  <c:v>2.6532912291896635</c:v>
                </c:pt>
                <c:pt idx="635">
                  <c:v>2.6451804415926778</c:v>
                </c:pt>
                <c:pt idx="636">
                  <c:v>2.6372058566023533</c:v>
                </c:pt>
                <c:pt idx="637">
                  <c:v>2.6293657885528665</c:v>
                </c:pt>
                <c:pt idx="638">
                  <c:v>2.6216585864967175</c:v>
                </c:pt>
                <c:pt idx="639">
                  <c:v>2.614082633554891</c:v>
                </c:pt>
                <c:pt idx="640">
                  <c:v>2.6066363462831417</c:v>
                </c:pt>
                <c:pt idx="641">
                  <c:v>2.599318174054051</c:v>
                </c:pt>
                <c:pt idx="642">
                  <c:v>2.5921265984544193</c:v>
                </c:pt>
                <c:pt idx="643">
                  <c:v>2.5850601326976466</c:v>
                </c:pt>
                <c:pt idx="644">
                  <c:v>2.5781173210507426</c:v>
                </c:pt>
                <c:pt idx="645">
                  <c:v>2.5712967382755951</c:v>
                </c:pt>
                <c:pt idx="646">
                  <c:v>2.5645969890841638</c:v>
                </c:pt>
                <c:pt idx="647">
                  <c:v>2.5580167076072651</c:v>
                </c:pt>
                <c:pt idx="648">
                  <c:v>2.5515545568766198</c:v>
                </c:pt>
                <c:pt idx="649">
                  <c:v>2.5452092283198655</c:v>
                </c:pt>
                <c:pt idx="650">
                  <c:v>2.5389794412682001</c:v>
                </c:pt>
                <c:pt idx="651">
                  <c:v>2.5328639424763968</c:v>
                </c:pt>
                <c:pt idx="652">
                  <c:v>2.5268615056548658</c:v>
                </c:pt>
                <c:pt idx="653">
                  <c:v>2.5209709310135171</c:v>
                </c:pt>
                <c:pt idx="654">
                  <c:v>2.5151910448171355</c:v>
                </c:pt>
                <c:pt idx="655">
                  <c:v>2.5095206989519956</c:v>
                </c:pt>
                <c:pt idx="656">
                  <c:v>2.5039587705035</c:v>
                </c:pt>
                <c:pt idx="657">
                  <c:v>2.4985041613445444</c:v>
                </c:pt>
                <c:pt idx="658">
                  <c:v>2.4931557977344037</c:v>
                </c:pt>
                <c:pt idx="659">
                  <c:v>2.4879126299278962</c:v>
                </c:pt>
                <c:pt idx="660">
                  <c:v>2.4827736317945917</c:v>
                </c:pt>
                <c:pt idx="661">
                  <c:v>2.4777378004478607</c:v>
                </c:pt>
                <c:pt idx="662">
                  <c:v>2.4728041558835288</c:v>
                </c:pt>
                <c:pt idx="663">
                  <c:v>2.467971740627958</c:v>
                </c:pt>
                <c:pt idx="664">
                  <c:v>2.4632396193953148</c:v>
                </c:pt>
                <c:pt idx="665">
                  <c:v>2.4586068787538888</c:v>
                </c:pt>
                <c:pt idx="666">
                  <c:v>2.454072626801203</c:v>
                </c:pt>
                <c:pt idx="667">
                  <c:v>2.4496359928477944</c:v>
                </c:pt>
                <c:pt idx="668">
                  <c:v>2.4452961271094411</c:v>
                </c:pt>
                <c:pt idx="669">
                  <c:v>2.4410522004077042</c:v>
                </c:pt>
                <c:pt idx="670">
                  <c:v>2.4369034038785791</c:v>
                </c:pt>
                <c:pt idx="671">
                  <c:v>2.4328489486891227</c:v>
                </c:pt>
                <c:pt idx="672">
                  <c:v>2.4288880657618908</c:v>
                </c:pt>
                <c:pt idx="673">
                  <c:v>2.4250200055070144</c:v>
                </c:pt>
                <c:pt idx="674">
                  <c:v>2.4212440375618196</c:v>
                </c:pt>
                <c:pt idx="675">
                  <c:v>2.4175594505377767</c:v>
                </c:pt>
                <c:pt idx="676">
                  <c:v>2.4139655517747052</c:v>
                </c:pt>
                <c:pt idx="677">
                  <c:v>2.4104616671020582</c:v>
                </c:pt>
                <c:pt idx="678">
                  <c:v>2.4070471406071832</c:v>
                </c:pt>
                <c:pt idx="679">
                  <c:v>2.403721334410418</c:v>
                </c:pt>
                <c:pt idx="680">
                  <c:v>2.400483628446902</c:v>
                </c:pt>
                <c:pt idx="681">
                  <c:v>2.3973334202549914</c:v>
                </c:pt>
                <c:pt idx="682">
                  <c:v>2.3942701247711762</c:v>
                </c:pt>
                <c:pt idx="683">
                  <c:v>2.3912931741313486</c:v>
                </c:pt>
                <c:pt idx="684">
                  <c:v>2.3884020174783691</c:v>
                </c:pt>
                <c:pt idx="685">
                  <c:v>2.3855961207757961</c:v>
                </c:pt>
                <c:pt idx="686">
                  <c:v>2.3828749666276781</c:v>
                </c:pt>
                <c:pt idx="687">
                  <c:v>2.380238054104336</c:v>
                </c:pt>
                <c:pt idx="688">
                  <c:v>2.3776848985740218</c:v>
                </c:pt>
                <c:pt idx="689">
                  <c:v>2.3752150315403839</c:v>
                </c:pt>
                <c:pt idx="690">
                  <c:v>2.3728280004856268</c:v>
                </c:pt>
                <c:pt idx="691">
                  <c:v>2.3705233687193172</c:v>
                </c:pt>
                <c:pt idx="692">
                  <c:v>2.368300715232738</c:v>
                </c:pt>
                <c:pt idx="693">
                  <c:v>2.3661596345587035</c:v>
                </c:pt>
                <c:pt idx="694">
                  <c:v>2.3640997366367933</c:v>
                </c:pt>
                <c:pt idx="695">
                  <c:v>2.3621206466839109</c:v>
                </c:pt>
                <c:pt idx="696">
                  <c:v>2.3602220050701059</c:v>
                </c:pt>
                <c:pt idx="697">
                  <c:v>2.3584034671996021</c:v>
                </c:pt>
                <c:pt idx="698">
                  <c:v>2.3566647033969654</c:v>
                </c:pt>
                <c:pt idx="699">
                  <c:v>2.3550053987983444</c:v>
                </c:pt>
                <c:pt idx="700">
                  <c:v>2.3534252532477513</c:v>
                </c:pt>
                <c:pt idx="701">
                  <c:v>2.3519239811983041</c:v>
                </c:pt>
                <c:pt idx="702">
                  <c:v>2.3505013116183924</c:v>
                </c:pt>
                <c:pt idx="703">
                  <c:v>2.349156987902723</c:v>
                </c:pt>
                <c:pt idx="704">
                  <c:v>2.3478907677881913</c:v>
                </c:pt>
                <c:pt idx="705">
                  <c:v>2.3467024232745346</c:v>
                </c:pt>
                <c:pt idx="706">
                  <c:v>2.3455917405497373</c:v>
                </c:pt>
                <c:pt idx="707">
                  <c:v>2.3445585199201417</c:v>
                </c:pt>
                <c:pt idx="708">
                  <c:v>2.343602575745233</c:v>
                </c:pt>
                <c:pt idx="709">
                  <c:v>2.3427237363770583</c:v>
                </c:pt>
                <c:pt idx="710">
                  <c:v>2.3419218441042617</c:v>
                </c:pt>
                <c:pt idx="711">
                  <c:v>2.3411967551006931</c:v>
                </c:pt>
                <c:pt idx="712">
                  <c:v>2.3405483393785791</c:v>
                </c:pt>
                <c:pt idx="713">
                  <c:v>2.3399764807462211</c:v>
                </c:pt>
                <c:pt idx="714">
                  <c:v>2.339481076770197</c:v>
                </c:pt>
                <c:pt idx="715">
                  <c:v>2.339062038742068</c:v>
                </c:pt>
                <c:pt idx="716">
                  <c:v>2.3387192916495443</c:v>
                </c:pt>
                <c:pt idx="717">
                  <c:v>2.3384527741521217</c:v>
                </c:pt>
                <c:pt idx="718">
                  <c:v>2.3382624385611588</c:v>
                </c:pt>
                <c:pt idx="719">
                  <c:v>2.3381482508243909</c:v>
                </c:pt>
                <c:pt idx="720">
                  <c:v>2.3381101905148833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9DC-4004-837F-35A726EBFDB5}"/>
            </c:ext>
          </c:extLst>
        </c:ser>
        <c:ser>
          <c:idx val="6"/>
          <c:order val="6"/>
          <c:tx>
            <c:v>AE 60°</c:v>
          </c:tx>
          <c:spPr>
            <a:ln w="47520">
              <a:solidFill>
                <a:srgbClr val="D2DEC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Barrido_AE!$A$12:$A$732</c:f>
              <c:numCache>
                <c:formatCode>0.0</c:formatCode>
                <c:ptCount val="721"/>
                <c:pt idx="0">
                  <c:v>-180</c:v>
                </c:pt>
                <c:pt idx="1">
                  <c:v>-179.5</c:v>
                </c:pt>
                <c:pt idx="2">
                  <c:v>-179</c:v>
                </c:pt>
                <c:pt idx="3">
                  <c:v>-178.5</c:v>
                </c:pt>
                <c:pt idx="4">
                  <c:v>-178</c:v>
                </c:pt>
                <c:pt idx="5">
                  <c:v>-177.5</c:v>
                </c:pt>
                <c:pt idx="6">
                  <c:v>-177</c:v>
                </c:pt>
                <c:pt idx="7">
                  <c:v>-176.5</c:v>
                </c:pt>
                <c:pt idx="8">
                  <c:v>-176</c:v>
                </c:pt>
                <c:pt idx="9">
                  <c:v>-175.5</c:v>
                </c:pt>
                <c:pt idx="10">
                  <c:v>-175</c:v>
                </c:pt>
                <c:pt idx="11">
                  <c:v>-174.5</c:v>
                </c:pt>
                <c:pt idx="12">
                  <c:v>-174</c:v>
                </c:pt>
                <c:pt idx="13">
                  <c:v>-173.5</c:v>
                </c:pt>
                <c:pt idx="14">
                  <c:v>-173</c:v>
                </c:pt>
                <c:pt idx="15">
                  <c:v>-172.5</c:v>
                </c:pt>
                <c:pt idx="16">
                  <c:v>-172</c:v>
                </c:pt>
                <c:pt idx="17">
                  <c:v>-171.5</c:v>
                </c:pt>
                <c:pt idx="18">
                  <c:v>-171</c:v>
                </c:pt>
                <c:pt idx="19">
                  <c:v>-170.5</c:v>
                </c:pt>
                <c:pt idx="20">
                  <c:v>-170</c:v>
                </c:pt>
                <c:pt idx="21">
                  <c:v>-169.5</c:v>
                </c:pt>
                <c:pt idx="22">
                  <c:v>-169</c:v>
                </c:pt>
                <c:pt idx="23">
                  <c:v>-168.5</c:v>
                </c:pt>
                <c:pt idx="24">
                  <c:v>-168</c:v>
                </c:pt>
                <c:pt idx="25">
                  <c:v>-167.5</c:v>
                </c:pt>
                <c:pt idx="26">
                  <c:v>-167</c:v>
                </c:pt>
                <c:pt idx="27">
                  <c:v>-166.5</c:v>
                </c:pt>
                <c:pt idx="28">
                  <c:v>-166</c:v>
                </c:pt>
                <c:pt idx="29">
                  <c:v>-165.5</c:v>
                </c:pt>
                <c:pt idx="30">
                  <c:v>-165</c:v>
                </c:pt>
                <c:pt idx="31">
                  <c:v>-164.5</c:v>
                </c:pt>
                <c:pt idx="32">
                  <c:v>-164</c:v>
                </c:pt>
                <c:pt idx="33">
                  <c:v>-163.5</c:v>
                </c:pt>
                <c:pt idx="34">
                  <c:v>-163</c:v>
                </c:pt>
                <c:pt idx="35">
                  <c:v>-162.5</c:v>
                </c:pt>
                <c:pt idx="36">
                  <c:v>-162</c:v>
                </c:pt>
                <c:pt idx="37">
                  <c:v>-161.5</c:v>
                </c:pt>
                <c:pt idx="38">
                  <c:v>-161</c:v>
                </c:pt>
                <c:pt idx="39">
                  <c:v>-160.5</c:v>
                </c:pt>
                <c:pt idx="40">
                  <c:v>-160</c:v>
                </c:pt>
                <c:pt idx="41">
                  <c:v>-159.5</c:v>
                </c:pt>
                <c:pt idx="42">
                  <c:v>-159</c:v>
                </c:pt>
                <c:pt idx="43">
                  <c:v>-158.5</c:v>
                </c:pt>
                <c:pt idx="44">
                  <c:v>-158</c:v>
                </c:pt>
                <c:pt idx="45">
                  <c:v>-157.5</c:v>
                </c:pt>
                <c:pt idx="46">
                  <c:v>-157</c:v>
                </c:pt>
                <c:pt idx="47">
                  <c:v>-156.5</c:v>
                </c:pt>
                <c:pt idx="48">
                  <c:v>-156</c:v>
                </c:pt>
                <c:pt idx="49">
                  <c:v>-155.5</c:v>
                </c:pt>
                <c:pt idx="50">
                  <c:v>-155</c:v>
                </c:pt>
                <c:pt idx="51">
                  <c:v>-154.5</c:v>
                </c:pt>
                <c:pt idx="52">
                  <c:v>-154</c:v>
                </c:pt>
                <c:pt idx="53">
                  <c:v>-153.5</c:v>
                </c:pt>
                <c:pt idx="54">
                  <c:v>-153</c:v>
                </c:pt>
                <c:pt idx="55">
                  <c:v>-152.5</c:v>
                </c:pt>
                <c:pt idx="56">
                  <c:v>-152</c:v>
                </c:pt>
                <c:pt idx="57">
                  <c:v>-151.5</c:v>
                </c:pt>
                <c:pt idx="58">
                  <c:v>-151</c:v>
                </c:pt>
                <c:pt idx="59">
                  <c:v>-150.5</c:v>
                </c:pt>
                <c:pt idx="60">
                  <c:v>-150</c:v>
                </c:pt>
                <c:pt idx="61">
                  <c:v>-149.5</c:v>
                </c:pt>
                <c:pt idx="62">
                  <c:v>-149</c:v>
                </c:pt>
                <c:pt idx="63">
                  <c:v>-148.5</c:v>
                </c:pt>
                <c:pt idx="64">
                  <c:v>-148</c:v>
                </c:pt>
                <c:pt idx="65">
                  <c:v>-147.5</c:v>
                </c:pt>
                <c:pt idx="66">
                  <c:v>-147</c:v>
                </c:pt>
                <c:pt idx="67">
                  <c:v>-146.5</c:v>
                </c:pt>
                <c:pt idx="68">
                  <c:v>-146</c:v>
                </c:pt>
                <c:pt idx="69">
                  <c:v>-145.5</c:v>
                </c:pt>
                <c:pt idx="70">
                  <c:v>-145</c:v>
                </c:pt>
                <c:pt idx="71">
                  <c:v>-144.5</c:v>
                </c:pt>
                <c:pt idx="72">
                  <c:v>-144</c:v>
                </c:pt>
                <c:pt idx="73">
                  <c:v>-143.5</c:v>
                </c:pt>
                <c:pt idx="74">
                  <c:v>-143</c:v>
                </c:pt>
                <c:pt idx="75">
                  <c:v>-142.5</c:v>
                </c:pt>
                <c:pt idx="76">
                  <c:v>-142</c:v>
                </c:pt>
                <c:pt idx="77">
                  <c:v>-141.5</c:v>
                </c:pt>
                <c:pt idx="78">
                  <c:v>-141</c:v>
                </c:pt>
                <c:pt idx="79">
                  <c:v>-140.5</c:v>
                </c:pt>
                <c:pt idx="80">
                  <c:v>-140</c:v>
                </c:pt>
                <c:pt idx="81">
                  <c:v>-139.5</c:v>
                </c:pt>
                <c:pt idx="82">
                  <c:v>-139</c:v>
                </c:pt>
                <c:pt idx="83">
                  <c:v>-138.5</c:v>
                </c:pt>
                <c:pt idx="84">
                  <c:v>-138</c:v>
                </c:pt>
                <c:pt idx="85">
                  <c:v>-137.5</c:v>
                </c:pt>
                <c:pt idx="86">
                  <c:v>-137</c:v>
                </c:pt>
                <c:pt idx="87">
                  <c:v>-136.5</c:v>
                </c:pt>
                <c:pt idx="88">
                  <c:v>-136</c:v>
                </c:pt>
                <c:pt idx="89">
                  <c:v>-135.5</c:v>
                </c:pt>
                <c:pt idx="90">
                  <c:v>-135</c:v>
                </c:pt>
                <c:pt idx="91">
                  <c:v>-134.5</c:v>
                </c:pt>
                <c:pt idx="92">
                  <c:v>-134</c:v>
                </c:pt>
                <c:pt idx="93">
                  <c:v>-133.5</c:v>
                </c:pt>
                <c:pt idx="94">
                  <c:v>-133</c:v>
                </c:pt>
                <c:pt idx="95">
                  <c:v>-132.5</c:v>
                </c:pt>
                <c:pt idx="96">
                  <c:v>-132</c:v>
                </c:pt>
                <c:pt idx="97">
                  <c:v>-131.5</c:v>
                </c:pt>
                <c:pt idx="98">
                  <c:v>-131</c:v>
                </c:pt>
                <c:pt idx="99">
                  <c:v>-130.5</c:v>
                </c:pt>
                <c:pt idx="100">
                  <c:v>-130</c:v>
                </c:pt>
                <c:pt idx="101">
                  <c:v>-129.5</c:v>
                </c:pt>
                <c:pt idx="102">
                  <c:v>-129</c:v>
                </c:pt>
                <c:pt idx="103">
                  <c:v>-128.5</c:v>
                </c:pt>
                <c:pt idx="104">
                  <c:v>-128</c:v>
                </c:pt>
                <c:pt idx="105">
                  <c:v>-127.5</c:v>
                </c:pt>
                <c:pt idx="106">
                  <c:v>-127</c:v>
                </c:pt>
                <c:pt idx="107">
                  <c:v>-126.5</c:v>
                </c:pt>
                <c:pt idx="108">
                  <c:v>-126</c:v>
                </c:pt>
                <c:pt idx="109">
                  <c:v>-125.5</c:v>
                </c:pt>
                <c:pt idx="110">
                  <c:v>-125</c:v>
                </c:pt>
                <c:pt idx="111">
                  <c:v>-124.5</c:v>
                </c:pt>
                <c:pt idx="112">
                  <c:v>-124</c:v>
                </c:pt>
                <c:pt idx="113">
                  <c:v>-123.5</c:v>
                </c:pt>
                <c:pt idx="114">
                  <c:v>-123</c:v>
                </c:pt>
                <c:pt idx="115">
                  <c:v>-122.5</c:v>
                </c:pt>
                <c:pt idx="116">
                  <c:v>-122</c:v>
                </c:pt>
                <c:pt idx="117">
                  <c:v>-121.5</c:v>
                </c:pt>
                <c:pt idx="118">
                  <c:v>-121</c:v>
                </c:pt>
                <c:pt idx="119">
                  <c:v>-120.5</c:v>
                </c:pt>
                <c:pt idx="120">
                  <c:v>-120</c:v>
                </c:pt>
                <c:pt idx="121">
                  <c:v>-119.5</c:v>
                </c:pt>
                <c:pt idx="122">
                  <c:v>-119</c:v>
                </c:pt>
                <c:pt idx="123">
                  <c:v>-118.5</c:v>
                </c:pt>
                <c:pt idx="124">
                  <c:v>-118</c:v>
                </c:pt>
                <c:pt idx="125">
                  <c:v>-117.5</c:v>
                </c:pt>
                <c:pt idx="126">
                  <c:v>-117</c:v>
                </c:pt>
                <c:pt idx="127">
                  <c:v>-116.5</c:v>
                </c:pt>
                <c:pt idx="128">
                  <c:v>-116</c:v>
                </c:pt>
                <c:pt idx="129">
                  <c:v>-115.5</c:v>
                </c:pt>
                <c:pt idx="130">
                  <c:v>-115</c:v>
                </c:pt>
                <c:pt idx="131">
                  <c:v>-114.5</c:v>
                </c:pt>
                <c:pt idx="132">
                  <c:v>-114</c:v>
                </c:pt>
                <c:pt idx="133">
                  <c:v>-113.5</c:v>
                </c:pt>
                <c:pt idx="134">
                  <c:v>-113</c:v>
                </c:pt>
                <c:pt idx="135">
                  <c:v>-112.5</c:v>
                </c:pt>
                <c:pt idx="136">
                  <c:v>-112</c:v>
                </c:pt>
                <c:pt idx="137">
                  <c:v>-111.5</c:v>
                </c:pt>
                <c:pt idx="138">
                  <c:v>-111</c:v>
                </c:pt>
                <c:pt idx="139">
                  <c:v>-110.5</c:v>
                </c:pt>
                <c:pt idx="140">
                  <c:v>-110</c:v>
                </c:pt>
                <c:pt idx="141">
                  <c:v>-109.5</c:v>
                </c:pt>
                <c:pt idx="142">
                  <c:v>-109</c:v>
                </c:pt>
                <c:pt idx="143">
                  <c:v>-108.5</c:v>
                </c:pt>
                <c:pt idx="144">
                  <c:v>-108</c:v>
                </c:pt>
                <c:pt idx="145">
                  <c:v>-107.5</c:v>
                </c:pt>
                <c:pt idx="146">
                  <c:v>-107</c:v>
                </c:pt>
                <c:pt idx="147">
                  <c:v>-106.5</c:v>
                </c:pt>
                <c:pt idx="148">
                  <c:v>-106</c:v>
                </c:pt>
                <c:pt idx="149">
                  <c:v>-105.5</c:v>
                </c:pt>
                <c:pt idx="150">
                  <c:v>-105</c:v>
                </c:pt>
                <c:pt idx="151">
                  <c:v>-104.5</c:v>
                </c:pt>
                <c:pt idx="152">
                  <c:v>-104</c:v>
                </c:pt>
                <c:pt idx="153">
                  <c:v>-103.5</c:v>
                </c:pt>
                <c:pt idx="154">
                  <c:v>-103</c:v>
                </c:pt>
                <c:pt idx="155">
                  <c:v>-102.5</c:v>
                </c:pt>
                <c:pt idx="156">
                  <c:v>-102</c:v>
                </c:pt>
                <c:pt idx="157">
                  <c:v>-101.5</c:v>
                </c:pt>
                <c:pt idx="158">
                  <c:v>-101</c:v>
                </c:pt>
                <c:pt idx="159">
                  <c:v>-100.5</c:v>
                </c:pt>
                <c:pt idx="160">
                  <c:v>-100</c:v>
                </c:pt>
                <c:pt idx="161">
                  <c:v>-99.5</c:v>
                </c:pt>
                <c:pt idx="162">
                  <c:v>-99</c:v>
                </c:pt>
                <c:pt idx="163">
                  <c:v>-98.5</c:v>
                </c:pt>
                <c:pt idx="164">
                  <c:v>-98</c:v>
                </c:pt>
                <c:pt idx="165">
                  <c:v>-97.5</c:v>
                </c:pt>
                <c:pt idx="166">
                  <c:v>-97</c:v>
                </c:pt>
                <c:pt idx="167">
                  <c:v>-96.5</c:v>
                </c:pt>
                <c:pt idx="168">
                  <c:v>-96</c:v>
                </c:pt>
                <c:pt idx="169">
                  <c:v>-95.5</c:v>
                </c:pt>
                <c:pt idx="170">
                  <c:v>-95</c:v>
                </c:pt>
                <c:pt idx="171">
                  <c:v>-94.5</c:v>
                </c:pt>
                <c:pt idx="172">
                  <c:v>-94</c:v>
                </c:pt>
                <c:pt idx="173">
                  <c:v>-93.5</c:v>
                </c:pt>
                <c:pt idx="174">
                  <c:v>-93</c:v>
                </c:pt>
                <c:pt idx="175">
                  <c:v>-92.5</c:v>
                </c:pt>
                <c:pt idx="176">
                  <c:v>-92</c:v>
                </c:pt>
                <c:pt idx="177">
                  <c:v>-91.5</c:v>
                </c:pt>
                <c:pt idx="178">
                  <c:v>-91</c:v>
                </c:pt>
                <c:pt idx="179">
                  <c:v>-90.5</c:v>
                </c:pt>
                <c:pt idx="180">
                  <c:v>-90</c:v>
                </c:pt>
                <c:pt idx="181">
                  <c:v>-89.5</c:v>
                </c:pt>
                <c:pt idx="182">
                  <c:v>-89</c:v>
                </c:pt>
                <c:pt idx="183">
                  <c:v>-88.5</c:v>
                </c:pt>
                <c:pt idx="184">
                  <c:v>-88</c:v>
                </c:pt>
                <c:pt idx="185">
                  <c:v>-87.5</c:v>
                </c:pt>
                <c:pt idx="186">
                  <c:v>-87</c:v>
                </c:pt>
                <c:pt idx="187">
                  <c:v>-86.5</c:v>
                </c:pt>
                <c:pt idx="188">
                  <c:v>-86</c:v>
                </c:pt>
                <c:pt idx="189">
                  <c:v>-85.5</c:v>
                </c:pt>
                <c:pt idx="190">
                  <c:v>-85</c:v>
                </c:pt>
                <c:pt idx="191">
                  <c:v>-84.5</c:v>
                </c:pt>
                <c:pt idx="192">
                  <c:v>-84</c:v>
                </c:pt>
                <c:pt idx="193">
                  <c:v>-83.5</c:v>
                </c:pt>
                <c:pt idx="194">
                  <c:v>-83</c:v>
                </c:pt>
                <c:pt idx="195">
                  <c:v>-82.5</c:v>
                </c:pt>
                <c:pt idx="196">
                  <c:v>-82</c:v>
                </c:pt>
                <c:pt idx="197">
                  <c:v>-81.5</c:v>
                </c:pt>
                <c:pt idx="198">
                  <c:v>-81</c:v>
                </c:pt>
                <c:pt idx="199">
                  <c:v>-80.5</c:v>
                </c:pt>
                <c:pt idx="200">
                  <c:v>-80</c:v>
                </c:pt>
                <c:pt idx="201">
                  <c:v>-79.5</c:v>
                </c:pt>
                <c:pt idx="202">
                  <c:v>-79</c:v>
                </c:pt>
                <c:pt idx="203">
                  <c:v>-78.5</c:v>
                </c:pt>
                <c:pt idx="204">
                  <c:v>-78</c:v>
                </c:pt>
                <c:pt idx="205">
                  <c:v>-77.5</c:v>
                </c:pt>
                <c:pt idx="206">
                  <c:v>-77</c:v>
                </c:pt>
                <c:pt idx="207">
                  <c:v>-76.5</c:v>
                </c:pt>
                <c:pt idx="208">
                  <c:v>-76</c:v>
                </c:pt>
                <c:pt idx="209">
                  <c:v>-75.5</c:v>
                </c:pt>
                <c:pt idx="210">
                  <c:v>-75</c:v>
                </c:pt>
                <c:pt idx="211">
                  <c:v>-74.5</c:v>
                </c:pt>
                <c:pt idx="212">
                  <c:v>-74</c:v>
                </c:pt>
                <c:pt idx="213">
                  <c:v>-73.5</c:v>
                </c:pt>
                <c:pt idx="214">
                  <c:v>-73</c:v>
                </c:pt>
                <c:pt idx="215">
                  <c:v>-72.5</c:v>
                </c:pt>
                <c:pt idx="216">
                  <c:v>-72</c:v>
                </c:pt>
                <c:pt idx="217">
                  <c:v>-71.5</c:v>
                </c:pt>
                <c:pt idx="218">
                  <c:v>-71</c:v>
                </c:pt>
                <c:pt idx="219">
                  <c:v>-70.5</c:v>
                </c:pt>
                <c:pt idx="220">
                  <c:v>-70</c:v>
                </c:pt>
                <c:pt idx="221">
                  <c:v>-69.5</c:v>
                </c:pt>
                <c:pt idx="222">
                  <c:v>-69</c:v>
                </c:pt>
                <c:pt idx="223">
                  <c:v>-68.5</c:v>
                </c:pt>
                <c:pt idx="224">
                  <c:v>-68</c:v>
                </c:pt>
                <c:pt idx="225">
                  <c:v>-67.5</c:v>
                </c:pt>
                <c:pt idx="226">
                  <c:v>-67</c:v>
                </c:pt>
                <c:pt idx="227">
                  <c:v>-66.5</c:v>
                </c:pt>
                <c:pt idx="228">
                  <c:v>-66</c:v>
                </c:pt>
                <c:pt idx="229">
                  <c:v>-65.5</c:v>
                </c:pt>
                <c:pt idx="230">
                  <c:v>-65</c:v>
                </c:pt>
                <c:pt idx="231">
                  <c:v>-64.5</c:v>
                </c:pt>
                <c:pt idx="232">
                  <c:v>-64</c:v>
                </c:pt>
                <c:pt idx="233">
                  <c:v>-63.5</c:v>
                </c:pt>
                <c:pt idx="234">
                  <c:v>-63</c:v>
                </c:pt>
                <c:pt idx="235">
                  <c:v>-62.5</c:v>
                </c:pt>
                <c:pt idx="236">
                  <c:v>-62</c:v>
                </c:pt>
                <c:pt idx="237">
                  <c:v>-61.5</c:v>
                </c:pt>
                <c:pt idx="238">
                  <c:v>-61</c:v>
                </c:pt>
                <c:pt idx="239">
                  <c:v>-60.5</c:v>
                </c:pt>
                <c:pt idx="240">
                  <c:v>-60</c:v>
                </c:pt>
                <c:pt idx="241">
                  <c:v>-59.5</c:v>
                </c:pt>
                <c:pt idx="242">
                  <c:v>-59</c:v>
                </c:pt>
                <c:pt idx="243">
                  <c:v>-58.5</c:v>
                </c:pt>
                <c:pt idx="244">
                  <c:v>-58</c:v>
                </c:pt>
                <c:pt idx="245">
                  <c:v>-57.5</c:v>
                </c:pt>
                <c:pt idx="246">
                  <c:v>-57</c:v>
                </c:pt>
                <c:pt idx="247">
                  <c:v>-56.5</c:v>
                </c:pt>
                <c:pt idx="248">
                  <c:v>-56</c:v>
                </c:pt>
                <c:pt idx="249">
                  <c:v>-55.5</c:v>
                </c:pt>
                <c:pt idx="250">
                  <c:v>-55</c:v>
                </c:pt>
                <c:pt idx="251">
                  <c:v>-54.5</c:v>
                </c:pt>
                <c:pt idx="252">
                  <c:v>-54</c:v>
                </c:pt>
                <c:pt idx="253">
                  <c:v>-53.5</c:v>
                </c:pt>
                <c:pt idx="254">
                  <c:v>-53</c:v>
                </c:pt>
                <c:pt idx="255">
                  <c:v>-52.5</c:v>
                </c:pt>
                <c:pt idx="256">
                  <c:v>-52</c:v>
                </c:pt>
                <c:pt idx="257">
                  <c:v>-51.5</c:v>
                </c:pt>
                <c:pt idx="258">
                  <c:v>-51</c:v>
                </c:pt>
                <c:pt idx="259">
                  <c:v>-50.5</c:v>
                </c:pt>
                <c:pt idx="260">
                  <c:v>-50</c:v>
                </c:pt>
                <c:pt idx="261">
                  <c:v>-49.5</c:v>
                </c:pt>
                <c:pt idx="262">
                  <c:v>-49</c:v>
                </c:pt>
                <c:pt idx="263">
                  <c:v>-48.5</c:v>
                </c:pt>
                <c:pt idx="264">
                  <c:v>-48</c:v>
                </c:pt>
                <c:pt idx="265">
                  <c:v>-47.5</c:v>
                </c:pt>
                <c:pt idx="266">
                  <c:v>-47</c:v>
                </c:pt>
                <c:pt idx="267">
                  <c:v>-46.5</c:v>
                </c:pt>
                <c:pt idx="268">
                  <c:v>-46</c:v>
                </c:pt>
                <c:pt idx="269">
                  <c:v>-45.5</c:v>
                </c:pt>
                <c:pt idx="270">
                  <c:v>-45</c:v>
                </c:pt>
                <c:pt idx="271">
                  <c:v>-44.5</c:v>
                </c:pt>
                <c:pt idx="272">
                  <c:v>-44</c:v>
                </c:pt>
                <c:pt idx="273">
                  <c:v>-43.5</c:v>
                </c:pt>
                <c:pt idx="274">
                  <c:v>-43</c:v>
                </c:pt>
                <c:pt idx="275">
                  <c:v>-42.5</c:v>
                </c:pt>
                <c:pt idx="276">
                  <c:v>-42</c:v>
                </c:pt>
                <c:pt idx="277">
                  <c:v>-41.5</c:v>
                </c:pt>
                <c:pt idx="278">
                  <c:v>-41</c:v>
                </c:pt>
                <c:pt idx="279">
                  <c:v>-40.5</c:v>
                </c:pt>
                <c:pt idx="280">
                  <c:v>-40</c:v>
                </c:pt>
                <c:pt idx="281">
                  <c:v>-39.5</c:v>
                </c:pt>
                <c:pt idx="282">
                  <c:v>-39</c:v>
                </c:pt>
                <c:pt idx="283">
                  <c:v>-38.5</c:v>
                </c:pt>
                <c:pt idx="284">
                  <c:v>-38</c:v>
                </c:pt>
                <c:pt idx="285">
                  <c:v>-37.5</c:v>
                </c:pt>
                <c:pt idx="286">
                  <c:v>-37</c:v>
                </c:pt>
                <c:pt idx="287">
                  <c:v>-36.5</c:v>
                </c:pt>
                <c:pt idx="288">
                  <c:v>-36</c:v>
                </c:pt>
                <c:pt idx="289">
                  <c:v>-35.5</c:v>
                </c:pt>
                <c:pt idx="290">
                  <c:v>-35</c:v>
                </c:pt>
                <c:pt idx="291">
                  <c:v>-34.5</c:v>
                </c:pt>
                <c:pt idx="292">
                  <c:v>-34</c:v>
                </c:pt>
                <c:pt idx="293">
                  <c:v>-33.5</c:v>
                </c:pt>
                <c:pt idx="294">
                  <c:v>-33</c:v>
                </c:pt>
                <c:pt idx="295">
                  <c:v>-32.5</c:v>
                </c:pt>
                <c:pt idx="296">
                  <c:v>-32</c:v>
                </c:pt>
                <c:pt idx="297">
                  <c:v>-31.5</c:v>
                </c:pt>
                <c:pt idx="298">
                  <c:v>-31</c:v>
                </c:pt>
                <c:pt idx="299">
                  <c:v>-30.5</c:v>
                </c:pt>
                <c:pt idx="300">
                  <c:v>-30</c:v>
                </c:pt>
                <c:pt idx="301">
                  <c:v>-29.5</c:v>
                </c:pt>
                <c:pt idx="302">
                  <c:v>-29</c:v>
                </c:pt>
                <c:pt idx="303">
                  <c:v>-28.5</c:v>
                </c:pt>
                <c:pt idx="304">
                  <c:v>-28</c:v>
                </c:pt>
                <c:pt idx="305">
                  <c:v>-27.5</c:v>
                </c:pt>
                <c:pt idx="306">
                  <c:v>-27</c:v>
                </c:pt>
                <c:pt idx="307">
                  <c:v>-26.5</c:v>
                </c:pt>
                <c:pt idx="308">
                  <c:v>-26</c:v>
                </c:pt>
                <c:pt idx="309">
                  <c:v>-25.5</c:v>
                </c:pt>
                <c:pt idx="310">
                  <c:v>-25</c:v>
                </c:pt>
                <c:pt idx="311">
                  <c:v>-24.5</c:v>
                </c:pt>
                <c:pt idx="312">
                  <c:v>-24</c:v>
                </c:pt>
                <c:pt idx="313">
                  <c:v>-23.5</c:v>
                </c:pt>
                <c:pt idx="314">
                  <c:v>-23</c:v>
                </c:pt>
                <c:pt idx="315">
                  <c:v>-22.5</c:v>
                </c:pt>
                <c:pt idx="316">
                  <c:v>-22</c:v>
                </c:pt>
                <c:pt idx="317">
                  <c:v>-21.5</c:v>
                </c:pt>
                <c:pt idx="318">
                  <c:v>-21</c:v>
                </c:pt>
                <c:pt idx="319">
                  <c:v>-20.5</c:v>
                </c:pt>
                <c:pt idx="320">
                  <c:v>-20</c:v>
                </c:pt>
                <c:pt idx="321">
                  <c:v>-19.5</c:v>
                </c:pt>
                <c:pt idx="322">
                  <c:v>-19</c:v>
                </c:pt>
                <c:pt idx="323">
                  <c:v>-18.5</c:v>
                </c:pt>
                <c:pt idx="324">
                  <c:v>-18</c:v>
                </c:pt>
                <c:pt idx="325">
                  <c:v>-17.5</c:v>
                </c:pt>
                <c:pt idx="326">
                  <c:v>-17</c:v>
                </c:pt>
                <c:pt idx="327">
                  <c:v>-16.5</c:v>
                </c:pt>
                <c:pt idx="328">
                  <c:v>-16</c:v>
                </c:pt>
                <c:pt idx="329">
                  <c:v>-15.5</c:v>
                </c:pt>
                <c:pt idx="330">
                  <c:v>-15</c:v>
                </c:pt>
                <c:pt idx="331">
                  <c:v>-14.5</c:v>
                </c:pt>
                <c:pt idx="332">
                  <c:v>-14</c:v>
                </c:pt>
                <c:pt idx="333">
                  <c:v>-13.5</c:v>
                </c:pt>
                <c:pt idx="334">
                  <c:v>-13</c:v>
                </c:pt>
                <c:pt idx="335">
                  <c:v>-12.5</c:v>
                </c:pt>
                <c:pt idx="336">
                  <c:v>-12</c:v>
                </c:pt>
                <c:pt idx="337">
                  <c:v>-11.5</c:v>
                </c:pt>
                <c:pt idx="338">
                  <c:v>-11</c:v>
                </c:pt>
                <c:pt idx="339">
                  <c:v>-10.5</c:v>
                </c:pt>
                <c:pt idx="340">
                  <c:v>-10</c:v>
                </c:pt>
                <c:pt idx="341">
                  <c:v>-9.5</c:v>
                </c:pt>
                <c:pt idx="342">
                  <c:v>-9</c:v>
                </c:pt>
                <c:pt idx="343">
                  <c:v>-8.5</c:v>
                </c:pt>
                <c:pt idx="344">
                  <c:v>-8</c:v>
                </c:pt>
                <c:pt idx="345">
                  <c:v>-7.5</c:v>
                </c:pt>
                <c:pt idx="346">
                  <c:v>-7</c:v>
                </c:pt>
                <c:pt idx="347">
                  <c:v>-6.5</c:v>
                </c:pt>
                <c:pt idx="348">
                  <c:v>-6</c:v>
                </c:pt>
                <c:pt idx="349">
                  <c:v>-5.5</c:v>
                </c:pt>
                <c:pt idx="350">
                  <c:v>-5</c:v>
                </c:pt>
                <c:pt idx="351">
                  <c:v>-4.5</c:v>
                </c:pt>
                <c:pt idx="352">
                  <c:v>-4</c:v>
                </c:pt>
                <c:pt idx="353">
                  <c:v>-3.5</c:v>
                </c:pt>
                <c:pt idx="354">
                  <c:v>-3</c:v>
                </c:pt>
                <c:pt idx="355">
                  <c:v>-2.5</c:v>
                </c:pt>
                <c:pt idx="356">
                  <c:v>-2</c:v>
                </c:pt>
                <c:pt idx="357">
                  <c:v>-1.5</c:v>
                </c:pt>
                <c:pt idx="358">
                  <c:v>-1</c:v>
                </c:pt>
                <c:pt idx="359">
                  <c:v>-0.5</c:v>
                </c:pt>
                <c:pt idx="360">
                  <c:v>0</c:v>
                </c:pt>
                <c:pt idx="361">
                  <c:v>0.5</c:v>
                </c:pt>
                <c:pt idx="362">
                  <c:v>1</c:v>
                </c:pt>
                <c:pt idx="363">
                  <c:v>1.5</c:v>
                </c:pt>
                <c:pt idx="364">
                  <c:v>2</c:v>
                </c:pt>
                <c:pt idx="365">
                  <c:v>2.5</c:v>
                </c:pt>
                <c:pt idx="366">
                  <c:v>3</c:v>
                </c:pt>
                <c:pt idx="367">
                  <c:v>3.5</c:v>
                </c:pt>
                <c:pt idx="368">
                  <c:v>4</c:v>
                </c:pt>
                <c:pt idx="369">
                  <c:v>4.5</c:v>
                </c:pt>
                <c:pt idx="370">
                  <c:v>5</c:v>
                </c:pt>
                <c:pt idx="371">
                  <c:v>5.5</c:v>
                </c:pt>
                <c:pt idx="372">
                  <c:v>6</c:v>
                </c:pt>
                <c:pt idx="373">
                  <c:v>6.5</c:v>
                </c:pt>
                <c:pt idx="374">
                  <c:v>7</c:v>
                </c:pt>
                <c:pt idx="375">
                  <c:v>7.5</c:v>
                </c:pt>
                <c:pt idx="376">
                  <c:v>8</c:v>
                </c:pt>
                <c:pt idx="377">
                  <c:v>8.5</c:v>
                </c:pt>
                <c:pt idx="378">
                  <c:v>9</c:v>
                </c:pt>
                <c:pt idx="379">
                  <c:v>9.5</c:v>
                </c:pt>
                <c:pt idx="380">
                  <c:v>10</c:v>
                </c:pt>
                <c:pt idx="381">
                  <c:v>10.5</c:v>
                </c:pt>
                <c:pt idx="382">
                  <c:v>11</c:v>
                </c:pt>
                <c:pt idx="383">
                  <c:v>11.5</c:v>
                </c:pt>
                <c:pt idx="384">
                  <c:v>12</c:v>
                </c:pt>
                <c:pt idx="385">
                  <c:v>12.5</c:v>
                </c:pt>
                <c:pt idx="386">
                  <c:v>13</c:v>
                </c:pt>
                <c:pt idx="387">
                  <c:v>13.5</c:v>
                </c:pt>
                <c:pt idx="388">
                  <c:v>14</c:v>
                </c:pt>
                <c:pt idx="389">
                  <c:v>14.5</c:v>
                </c:pt>
                <c:pt idx="390">
                  <c:v>15</c:v>
                </c:pt>
                <c:pt idx="391">
                  <c:v>15.5</c:v>
                </c:pt>
                <c:pt idx="392">
                  <c:v>16</c:v>
                </c:pt>
                <c:pt idx="393">
                  <c:v>16.5</c:v>
                </c:pt>
                <c:pt idx="394">
                  <c:v>17</c:v>
                </c:pt>
                <c:pt idx="395">
                  <c:v>17.5</c:v>
                </c:pt>
                <c:pt idx="396">
                  <c:v>18</c:v>
                </c:pt>
                <c:pt idx="397">
                  <c:v>18.5</c:v>
                </c:pt>
                <c:pt idx="398">
                  <c:v>19</c:v>
                </c:pt>
                <c:pt idx="399">
                  <c:v>19.5</c:v>
                </c:pt>
                <c:pt idx="400">
                  <c:v>20</c:v>
                </c:pt>
                <c:pt idx="401">
                  <c:v>20.5</c:v>
                </c:pt>
                <c:pt idx="402">
                  <c:v>21</c:v>
                </c:pt>
                <c:pt idx="403">
                  <c:v>21.5</c:v>
                </c:pt>
                <c:pt idx="404">
                  <c:v>22</c:v>
                </c:pt>
                <c:pt idx="405">
                  <c:v>22.5</c:v>
                </c:pt>
                <c:pt idx="406">
                  <c:v>23</c:v>
                </c:pt>
                <c:pt idx="407">
                  <c:v>23.5</c:v>
                </c:pt>
                <c:pt idx="408">
                  <c:v>24</c:v>
                </c:pt>
                <c:pt idx="409">
                  <c:v>24.5</c:v>
                </c:pt>
                <c:pt idx="410">
                  <c:v>25</c:v>
                </c:pt>
                <c:pt idx="411">
                  <c:v>25.5</c:v>
                </c:pt>
                <c:pt idx="412">
                  <c:v>26</c:v>
                </c:pt>
                <c:pt idx="413">
                  <c:v>26.5</c:v>
                </c:pt>
                <c:pt idx="414">
                  <c:v>27</c:v>
                </c:pt>
                <c:pt idx="415">
                  <c:v>27.5</c:v>
                </c:pt>
                <c:pt idx="416">
                  <c:v>28</c:v>
                </c:pt>
                <c:pt idx="417">
                  <c:v>28.5</c:v>
                </c:pt>
                <c:pt idx="418">
                  <c:v>29</c:v>
                </c:pt>
                <c:pt idx="419">
                  <c:v>29.5</c:v>
                </c:pt>
                <c:pt idx="420">
                  <c:v>30</c:v>
                </c:pt>
                <c:pt idx="421">
                  <c:v>30.5</c:v>
                </c:pt>
                <c:pt idx="422">
                  <c:v>31</c:v>
                </c:pt>
                <c:pt idx="423">
                  <c:v>31.5</c:v>
                </c:pt>
                <c:pt idx="424">
                  <c:v>32</c:v>
                </c:pt>
                <c:pt idx="425">
                  <c:v>32.5</c:v>
                </c:pt>
                <c:pt idx="426">
                  <c:v>33</c:v>
                </c:pt>
                <c:pt idx="427">
                  <c:v>33.5</c:v>
                </c:pt>
                <c:pt idx="428">
                  <c:v>34</c:v>
                </c:pt>
                <c:pt idx="429">
                  <c:v>34.5</c:v>
                </c:pt>
                <c:pt idx="430">
                  <c:v>35</c:v>
                </c:pt>
                <c:pt idx="431">
                  <c:v>35.5</c:v>
                </c:pt>
                <c:pt idx="432">
                  <c:v>36</c:v>
                </c:pt>
                <c:pt idx="433">
                  <c:v>36.5</c:v>
                </c:pt>
                <c:pt idx="434">
                  <c:v>37</c:v>
                </c:pt>
                <c:pt idx="435">
                  <c:v>37.5</c:v>
                </c:pt>
                <c:pt idx="436">
                  <c:v>38</c:v>
                </c:pt>
                <c:pt idx="437">
                  <c:v>38.5</c:v>
                </c:pt>
                <c:pt idx="438">
                  <c:v>39</c:v>
                </c:pt>
                <c:pt idx="439">
                  <c:v>39.5</c:v>
                </c:pt>
                <c:pt idx="440">
                  <c:v>40</c:v>
                </c:pt>
                <c:pt idx="441">
                  <c:v>40.5</c:v>
                </c:pt>
                <c:pt idx="442">
                  <c:v>41</c:v>
                </c:pt>
                <c:pt idx="443">
                  <c:v>41.5</c:v>
                </c:pt>
                <c:pt idx="444">
                  <c:v>42</c:v>
                </c:pt>
                <c:pt idx="445">
                  <c:v>42.5</c:v>
                </c:pt>
                <c:pt idx="446">
                  <c:v>43</c:v>
                </c:pt>
                <c:pt idx="447">
                  <c:v>43.5</c:v>
                </c:pt>
                <c:pt idx="448">
                  <c:v>44</c:v>
                </c:pt>
                <c:pt idx="449">
                  <c:v>44.5</c:v>
                </c:pt>
                <c:pt idx="450">
                  <c:v>45</c:v>
                </c:pt>
                <c:pt idx="451">
                  <c:v>45.5</c:v>
                </c:pt>
                <c:pt idx="452">
                  <c:v>46</c:v>
                </c:pt>
                <c:pt idx="453">
                  <c:v>46.5</c:v>
                </c:pt>
                <c:pt idx="454">
                  <c:v>47</c:v>
                </c:pt>
                <c:pt idx="455">
                  <c:v>47.5</c:v>
                </c:pt>
                <c:pt idx="456">
                  <c:v>48</c:v>
                </c:pt>
                <c:pt idx="457">
                  <c:v>48.5</c:v>
                </c:pt>
                <c:pt idx="458">
                  <c:v>49</c:v>
                </c:pt>
                <c:pt idx="459">
                  <c:v>49.5</c:v>
                </c:pt>
                <c:pt idx="460">
                  <c:v>50</c:v>
                </c:pt>
                <c:pt idx="461">
                  <c:v>50.5</c:v>
                </c:pt>
                <c:pt idx="462">
                  <c:v>51</c:v>
                </c:pt>
                <c:pt idx="463">
                  <c:v>51.5</c:v>
                </c:pt>
                <c:pt idx="464">
                  <c:v>52</c:v>
                </c:pt>
                <c:pt idx="465">
                  <c:v>52.5</c:v>
                </c:pt>
                <c:pt idx="466">
                  <c:v>53</c:v>
                </c:pt>
                <c:pt idx="467">
                  <c:v>53.5</c:v>
                </c:pt>
                <c:pt idx="468">
                  <c:v>54</c:v>
                </c:pt>
                <c:pt idx="469">
                  <c:v>54.5</c:v>
                </c:pt>
                <c:pt idx="470">
                  <c:v>55</c:v>
                </c:pt>
                <c:pt idx="471">
                  <c:v>55.5</c:v>
                </c:pt>
                <c:pt idx="472">
                  <c:v>56</c:v>
                </c:pt>
                <c:pt idx="473">
                  <c:v>56.5</c:v>
                </c:pt>
                <c:pt idx="474">
                  <c:v>57</c:v>
                </c:pt>
                <c:pt idx="475">
                  <c:v>57.5</c:v>
                </c:pt>
                <c:pt idx="476">
                  <c:v>58</c:v>
                </c:pt>
                <c:pt idx="477">
                  <c:v>58.5</c:v>
                </c:pt>
                <c:pt idx="478">
                  <c:v>59</c:v>
                </c:pt>
                <c:pt idx="479">
                  <c:v>59.5</c:v>
                </c:pt>
                <c:pt idx="480">
                  <c:v>60</c:v>
                </c:pt>
                <c:pt idx="481">
                  <c:v>60.5</c:v>
                </c:pt>
                <c:pt idx="482">
                  <c:v>61</c:v>
                </c:pt>
                <c:pt idx="483">
                  <c:v>61.5</c:v>
                </c:pt>
                <c:pt idx="484">
                  <c:v>62</c:v>
                </c:pt>
                <c:pt idx="485">
                  <c:v>62.5</c:v>
                </c:pt>
                <c:pt idx="486">
                  <c:v>63</c:v>
                </c:pt>
                <c:pt idx="487">
                  <c:v>63.5</c:v>
                </c:pt>
                <c:pt idx="488">
                  <c:v>64</c:v>
                </c:pt>
                <c:pt idx="489">
                  <c:v>64.5</c:v>
                </c:pt>
                <c:pt idx="490">
                  <c:v>65</c:v>
                </c:pt>
                <c:pt idx="491">
                  <c:v>65.5</c:v>
                </c:pt>
                <c:pt idx="492">
                  <c:v>66</c:v>
                </c:pt>
                <c:pt idx="493">
                  <c:v>66.5</c:v>
                </c:pt>
                <c:pt idx="494">
                  <c:v>67</c:v>
                </c:pt>
                <c:pt idx="495">
                  <c:v>67.5</c:v>
                </c:pt>
                <c:pt idx="496">
                  <c:v>68</c:v>
                </c:pt>
                <c:pt idx="497">
                  <c:v>68.5</c:v>
                </c:pt>
                <c:pt idx="498">
                  <c:v>69</c:v>
                </c:pt>
                <c:pt idx="499">
                  <c:v>69.5</c:v>
                </c:pt>
                <c:pt idx="500">
                  <c:v>70</c:v>
                </c:pt>
                <c:pt idx="501">
                  <c:v>70.5</c:v>
                </c:pt>
                <c:pt idx="502">
                  <c:v>71</c:v>
                </c:pt>
                <c:pt idx="503">
                  <c:v>71.5</c:v>
                </c:pt>
                <c:pt idx="504">
                  <c:v>72</c:v>
                </c:pt>
                <c:pt idx="505">
                  <c:v>72.5</c:v>
                </c:pt>
                <c:pt idx="506">
                  <c:v>73</c:v>
                </c:pt>
                <c:pt idx="507">
                  <c:v>73.5</c:v>
                </c:pt>
                <c:pt idx="508">
                  <c:v>74</c:v>
                </c:pt>
                <c:pt idx="509">
                  <c:v>74.5</c:v>
                </c:pt>
                <c:pt idx="510">
                  <c:v>75</c:v>
                </c:pt>
                <c:pt idx="511">
                  <c:v>75.5</c:v>
                </c:pt>
                <c:pt idx="512">
                  <c:v>76</c:v>
                </c:pt>
                <c:pt idx="513">
                  <c:v>76.5</c:v>
                </c:pt>
                <c:pt idx="514">
                  <c:v>77</c:v>
                </c:pt>
                <c:pt idx="515">
                  <c:v>77.5</c:v>
                </c:pt>
                <c:pt idx="516">
                  <c:v>78</c:v>
                </c:pt>
                <c:pt idx="517">
                  <c:v>78.5</c:v>
                </c:pt>
                <c:pt idx="518">
                  <c:v>79</c:v>
                </c:pt>
                <c:pt idx="519">
                  <c:v>79.5</c:v>
                </c:pt>
                <c:pt idx="520">
                  <c:v>80</c:v>
                </c:pt>
                <c:pt idx="521">
                  <c:v>80.5</c:v>
                </c:pt>
                <c:pt idx="522">
                  <c:v>81</c:v>
                </c:pt>
                <c:pt idx="523">
                  <c:v>81.5</c:v>
                </c:pt>
                <c:pt idx="524">
                  <c:v>82</c:v>
                </c:pt>
                <c:pt idx="525">
                  <c:v>82.5</c:v>
                </c:pt>
                <c:pt idx="526">
                  <c:v>83</c:v>
                </c:pt>
                <c:pt idx="527">
                  <c:v>83.5</c:v>
                </c:pt>
                <c:pt idx="528">
                  <c:v>84</c:v>
                </c:pt>
                <c:pt idx="529">
                  <c:v>84.5</c:v>
                </c:pt>
                <c:pt idx="530">
                  <c:v>85</c:v>
                </c:pt>
                <c:pt idx="531">
                  <c:v>85.5</c:v>
                </c:pt>
                <c:pt idx="532">
                  <c:v>86</c:v>
                </c:pt>
                <c:pt idx="533">
                  <c:v>86.5</c:v>
                </c:pt>
                <c:pt idx="534">
                  <c:v>87</c:v>
                </c:pt>
                <c:pt idx="535">
                  <c:v>87.5</c:v>
                </c:pt>
                <c:pt idx="536">
                  <c:v>88</c:v>
                </c:pt>
                <c:pt idx="537">
                  <c:v>88.5</c:v>
                </c:pt>
                <c:pt idx="538">
                  <c:v>89</c:v>
                </c:pt>
                <c:pt idx="539">
                  <c:v>89.5</c:v>
                </c:pt>
                <c:pt idx="540">
                  <c:v>90</c:v>
                </c:pt>
                <c:pt idx="541">
                  <c:v>90.5</c:v>
                </c:pt>
                <c:pt idx="542">
                  <c:v>91</c:v>
                </c:pt>
                <c:pt idx="543">
                  <c:v>91.5</c:v>
                </c:pt>
                <c:pt idx="544">
                  <c:v>92</c:v>
                </c:pt>
                <c:pt idx="545">
                  <c:v>92.5</c:v>
                </c:pt>
                <c:pt idx="546">
                  <c:v>93</c:v>
                </c:pt>
                <c:pt idx="547">
                  <c:v>93.5</c:v>
                </c:pt>
                <c:pt idx="548">
                  <c:v>94</c:v>
                </c:pt>
                <c:pt idx="549">
                  <c:v>94.5</c:v>
                </c:pt>
                <c:pt idx="550">
                  <c:v>95</c:v>
                </c:pt>
                <c:pt idx="551">
                  <c:v>95.5</c:v>
                </c:pt>
                <c:pt idx="552">
                  <c:v>96</c:v>
                </c:pt>
                <c:pt idx="553">
                  <c:v>96.5</c:v>
                </c:pt>
                <c:pt idx="554">
                  <c:v>97</c:v>
                </c:pt>
                <c:pt idx="555">
                  <c:v>97.5</c:v>
                </c:pt>
                <c:pt idx="556">
                  <c:v>98</c:v>
                </c:pt>
                <c:pt idx="557">
                  <c:v>98.5</c:v>
                </c:pt>
                <c:pt idx="558">
                  <c:v>99</c:v>
                </c:pt>
                <c:pt idx="559">
                  <c:v>99.5</c:v>
                </c:pt>
                <c:pt idx="560">
                  <c:v>100</c:v>
                </c:pt>
                <c:pt idx="561">
                  <c:v>100.5</c:v>
                </c:pt>
                <c:pt idx="562">
                  <c:v>101</c:v>
                </c:pt>
                <c:pt idx="563">
                  <c:v>101.5</c:v>
                </c:pt>
                <c:pt idx="564">
                  <c:v>102</c:v>
                </c:pt>
                <c:pt idx="565">
                  <c:v>102.5</c:v>
                </c:pt>
                <c:pt idx="566">
                  <c:v>103</c:v>
                </c:pt>
                <c:pt idx="567">
                  <c:v>103.5</c:v>
                </c:pt>
                <c:pt idx="568">
                  <c:v>104</c:v>
                </c:pt>
                <c:pt idx="569">
                  <c:v>104.5</c:v>
                </c:pt>
                <c:pt idx="570">
                  <c:v>105</c:v>
                </c:pt>
                <c:pt idx="571">
                  <c:v>105.5</c:v>
                </c:pt>
                <c:pt idx="572">
                  <c:v>106</c:v>
                </c:pt>
                <c:pt idx="573">
                  <c:v>106.5</c:v>
                </c:pt>
                <c:pt idx="574">
                  <c:v>107</c:v>
                </c:pt>
                <c:pt idx="575">
                  <c:v>107.5</c:v>
                </c:pt>
                <c:pt idx="576">
                  <c:v>108</c:v>
                </c:pt>
                <c:pt idx="577">
                  <c:v>108.5</c:v>
                </c:pt>
                <c:pt idx="578">
                  <c:v>109</c:v>
                </c:pt>
                <c:pt idx="579">
                  <c:v>109.5</c:v>
                </c:pt>
                <c:pt idx="580">
                  <c:v>110</c:v>
                </c:pt>
                <c:pt idx="581">
                  <c:v>110.5</c:v>
                </c:pt>
                <c:pt idx="582">
                  <c:v>111</c:v>
                </c:pt>
                <c:pt idx="583">
                  <c:v>111.5</c:v>
                </c:pt>
                <c:pt idx="584">
                  <c:v>112</c:v>
                </c:pt>
                <c:pt idx="585">
                  <c:v>112.5</c:v>
                </c:pt>
                <c:pt idx="586">
                  <c:v>113</c:v>
                </c:pt>
                <c:pt idx="587">
                  <c:v>113.5</c:v>
                </c:pt>
                <c:pt idx="588">
                  <c:v>114</c:v>
                </c:pt>
                <c:pt idx="589">
                  <c:v>114.5</c:v>
                </c:pt>
                <c:pt idx="590">
                  <c:v>115</c:v>
                </c:pt>
                <c:pt idx="591">
                  <c:v>115.5</c:v>
                </c:pt>
                <c:pt idx="592">
                  <c:v>116</c:v>
                </c:pt>
                <c:pt idx="593">
                  <c:v>116.5</c:v>
                </c:pt>
                <c:pt idx="594">
                  <c:v>117</c:v>
                </c:pt>
                <c:pt idx="595">
                  <c:v>117.5</c:v>
                </c:pt>
                <c:pt idx="596">
                  <c:v>118</c:v>
                </c:pt>
                <c:pt idx="597">
                  <c:v>118.5</c:v>
                </c:pt>
                <c:pt idx="598">
                  <c:v>119</c:v>
                </c:pt>
                <c:pt idx="599">
                  <c:v>119.5</c:v>
                </c:pt>
                <c:pt idx="600">
                  <c:v>120</c:v>
                </c:pt>
                <c:pt idx="601">
                  <c:v>120.5</c:v>
                </c:pt>
                <c:pt idx="602">
                  <c:v>121</c:v>
                </c:pt>
                <c:pt idx="603">
                  <c:v>121.5</c:v>
                </c:pt>
                <c:pt idx="604">
                  <c:v>122</c:v>
                </c:pt>
                <c:pt idx="605">
                  <c:v>122.5</c:v>
                </c:pt>
                <c:pt idx="606">
                  <c:v>123</c:v>
                </c:pt>
                <c:pt idx="607">
                  <c:v>123.5</c:v>
                </c:pt>
                <c:pt idx="608">
                  <c:v>124</c:v>
                </c:pt>
                <c:pt idx="609">
                  <c:v>124.5</c:v>
                </c:pt>
                <c:pt idx="610">
                  <c:v>125</c:v>
                </c:pt>
                <c:pt idx="611">
                  <c:v>125.5</c:v>
                </c:pt>
                <c:pt idx="612">
                  <c:v>126</c:v>
                </c:pt>
                <c:pt idx="613">
                  <c:v>126.5</c:v>
                </c:pt>
                <c:pt idx="614">
                  <c:v>127</c:v>
                </c:pt>
                <c:pt idx="615">
                  <c:v>127.5</c:v>
                </c:pt>
                <c:pt idx="616">
                  <c:v>128</c:v>
                </c:pt>
                <c:pt idx="617">
                  <c:v>128.5</c:v>
                </c:pt>
                <c:pt idx="618">
                  <c:v>129</c:v>
                </c:pt>
                <c:pt idx="619">
                  <c:v>129.5</c:v>
                </c:pt>
                <c:pt idx="620">
                  <c:v>130</c:v>
                </c:pt>
                <c:pt idx="621">
                  <c:v>130.5</c:v>
                </c:pt>
                <c:pt idx="622">
                  <c:v>131</c:v>
                </c:pt>
                <c:pt idx="623">
                  <c:v>131.5</c:v>
                </c:pt>
                <c:pt idx="624">
                  <c:v>132</c:v>
                </c:pt>
                <c:pt idx="625">
                  <c:v>132.5</c:v>
                </c:pt>
                <c:pt idx="626">
                  <c:v>133</c:v>
                </c:pt>
                <c:pt idx="627">
                  <c:v>133.5</c:v>
                </c:pt>
                <c:pt idx="628">
                  <c:v>134</c:v>
                </c:pt>
                <c:pt idx="629">
                  <c:v>134.5</c:v>
                </c:pt>
                <c:pt idx="630">
                  <c:v>135</c:v>
                </c:pt>
                <c:pt idx="631">
                  <c:v>135.5</c:v>
                </c:pt>
                <c:pt idx="632">
                  <c:v>136</c:v>
                </c:pt>
                <c:pt idx="633">
                  <c:v>136.5</c:v>
                </c:pt>
                <c:pt idx="634">
                  <c:v>137</c:v>
                </c:pt>
                <c:pt idx="635">
                  <c:v>137.5</c:v>
                </c:pt>
                <c:pt idx="636">
                  <c:v>138</c:v>
                </c:pt>
                <c:pt idx="637">
                  <c:v>138.5</c:v>
                </c:pt>
                <c:pt idx="638">
                  <c:v>139</c:v>
                </c:pt>
                <c:pt idx="639">
                  <c:v>139.5</c:v>
                </c:pt>
                <c:pt idx="640">
                  <c:v>140</c:v>
                </c:pt>
                <c:pt idx="641">
                  <c:v>140.5</c:v>
                </c:pt>
                <c:pt idx="642">
                  <c:v>141</c:v>
                </c:pt>
                <c:pt idx="643">
                  <c:v>141.5</c:v>
                </c:pt>
                <c:pt idx="644">
                  <c:v>142</c:v>
                </c:pt>
                <c:pt idx="645">
                  <c:v>142.5</c:v>
                </c:pt>
                <c:pt idx="646">
                  <c:v>143</c:v>
                </c:pt>
                <c:pt idx="647">
                  <c:v>143.5</c:v>
                </c:pt>
                <c:pt idx="648">
                  <c:v>144</c:v>
                </c:pt>
                <c:pt idx="649">
                  <c:v>144.5</c:v>
                </c:pt>
                <c:pt idx="650">
                  <c:v>145</c:v>
                </c:pt>
                <c:pt idx="651">
                  <c:v>145.5</c:v>
                </c:pt>
                <c:pt idx="652">
                  <c:v>146</c:v>
                </c:pt>
                <c:pt idx="653">
                  <c:v>146.5</c:v>
                </c:pt>
                <c:pt idx="654">
                  <c:v>147</c:v>
                </c:pt>
                <c:pt idx="655">
                  <c:v>147.5</c:v>
                </c:pt>
                <c:pt idx="656">
                  <c:v>148</c:v>
                </c:pt>
                <c:pt idx="657">
                  <c:v>148.5</c:v>
                </c:pt>
                <c:pt idx="658">
                  <c:v>149</c:v>
                </c:pt>
                <c:pt idx="659">
                  <c:v>149.5</c:v>
                </c:pt>
                <c:pt idx="660">
                  <c:v>150</c:v>
                </c:pt>
                <c:pt idx="661">
                  <c:v>150.5</c:v>
                </c:pt>
                <c:pt idx="662">
                  <c:v>151</c:v>
                </c:pt>
                <c:pt idx="663">
                  <c:v>151.5</c:v>
                </c:pt>
                <c:pt idx="664">
                  <c:v>152</c:v>
                </c:pt>
                <c:pt idx="665">
                  <c:v>152.5</c:v>
                </c:pt>
                <c:pt idx="666">
                  <c:v>153</c:v>
                </c:pt>
                <c:pt idx="667">
                  <c:v>153.5</c:v>
                </c:pt>
                <c:pt idx="668">
                  <c:v>154</c:v>
                </c:pt>
                <c:pt idx="669">
                  <c:v>154.5</c:v>
                </c:pt>
                <c:pt idx="670">
                  <c:v>155</c:v>
                </c:pt>
                <c:pt idx="671">
                  <c:v>155.5</c:v>
                </c:pt>
                <c:pt idx="672">
                  <c:v>156</c:v>
                </c:pt>
                <c:pt idx="673">
                  <c:v>156.5</c:v>
                </c:pt>
                <c:pt idx="674">
                  <c:v>157</c:v>
                </c:pt>
                <c:pt idx="675">
                  <c:v>157.5</c:v>
                </c:pt>
                <c:pt idx="676">
                  <c:v>158</c:v>
                </c:pt>
                <c:pt idx="677">
                  <c:v>158.5</c:v>
                </c:pt>
                <c:pt idx="678">
                  <c:v>159</c:v>
                </c:pt>
                <c:pt idx="679">
                  <c:v>159.5</c:v>
                </c:pt>
                <c:pt idx="680">
                  <c:v>160</c:v>
                </c:pt>
                <c:pt idx="681">
                  <c:v>160.5</c:v>
                </c:pt>
                <c:pt idx="682">
                  <c:v>161</c:v>
                </c:pt>
                <c:pt idx="683">
                  <c:v>161.5</c:v>
                </c:pt>
                <c:pt idx="684">
                  <c:v>162</c:v>
                </c:pt>
                <c:pt idx="685">
                  <c:v>162.5</c:v>
                </c:pt>
                <c:pt idx="686">
                  <c:v>163</c:v>
                </c:pt>
                <c:pt idx="687">
                  <c:v>163.5</c:v>
                </c:pt>
                <c:pt idx="688">
                  <c:v>164</c:v>
                </c:pt>
                <c:pt idx="689">
                  <c:v>164.5</c:v>
                </c:pt>
                <c:pt idx="690">
                  <c:v>165</c:v>
                </c:pt>
                <c:pt idx="691">
                  <c:v>165.5</c:v>
                </c:pt>
                <c:pt idx="692">
                  <c:v>166</c:v>
                </c:pt>
                <c:pt idx="693">
                  <c:v>166.5</c:v>
                </c:pt>
                <c:pt idx="694">
                  <c:v>167</c:v>
                </c:pt>
                <c:pt idx="695">
                  <c:v>167.5</c:v>
                </c:pt>
                <c:pt idx="696">
                  <c:v>168</c:v>
                </c:pt>
                <c:pt idx="697">
                  <c:v>168.5</c:v>
                </c:pt>
                <c:pt idx="698">
                  <c:v>169</c:v>
                </c:pt>
                <c:pt idx="699">
                  <c:v>169.5</c:v>
                </c:pt>
                <c:pt idx="700">
                  <c:v>170</c:v>
                </c:pt>
                <c:pt idx="701">
                  <c:v>170.5</c:v>
                </c:pt>
                <c:pt idx="702">
                  <c:v>171</c:v>
                </c:pt>
                <c:pt idx="703">
                  <c:v>171.5</c:v>
                </c:pt>
                <c:pt idx="704">
                  <c:v>172</c:v>
                </c:pt>
                <c:pt idx="705">
                  <c:v>172.5</c:v>
                </c:pt>
                <c:pt idx="706">
                  <c:v>173</c:v>
                </c:pt>
                <c:pt idx="707">
                  <c:v>173.5</c:v>
                </c:pt>
                <c:pt idx="708">
                  <c:v>174</c:v>
                </c:pt>
                <c:pt idx="709">
                  <c:v>174.5</c:v>
                </c:pt>
                <c:pt idx="710">
                  <c:v>175</c:v>
                </c:pt>
                <c:pt idx="711">
                  <c:v>175.5</c:v>
                </c:pt>
                <c:pt idx="712">
                  <c:v>176</c:v>
                </c:pt>
                <c:pt idx="713">
                  <c:v>176.5</c:v>
                </c:pt>
                <c:pt idx="714">
                  <c:v>177</c:v>
                </c:pt>
                <c:pt idx="715">
                  <c:v>177.5</c:v>
                </c:pt>
                <c:pt idx="716">
                  <c:v>178</c:v>
                </c:pt>
                <c:pt idx="717">
                  <c:v>178.5</c:v>
                </c:pt>
                <c:pt idx="718">
                  <c:v>179</c:v>
                </c:pt>
                <c:pt idx="719">
                  <c:v>179.5</c:v>
                </c:pt>
                <c:pt idx="720">
                  <c:v>180</c:v>
                </c:pt>
              </c:numCache>
            </c:numRef>
          </c:xVal>
          <c:yVal>
            <c:numRef>
              <c:f>Barrido_AE!$N$12:$N$732</c:f>
              <c:numCache>
                <c:formatCode>0.00</c:formatCode>
                <c:ptCount val="721"/>
                <c:pt idx="0">
                  <c:v>0.72</c:v>
                </c:pt>
                <c:pt idx="1">
                  <c:v>0.72001172032992988</c:v>
                </c:pt>
                <c:pt idx="2">
                  <c:v>0.72004688341625767</c:v>
                </c:pt>
                <c:pt idx="3">
                  <c:v>0.72010549554927406</c:v>
                </c:pt>
                <c:pt idx="4">
                  <c:v>0.72018756721506749</c:v>
                </c:pt>
                <c:pt idx="5">
                  <c:v>0.72029311309892619</c:v>
                </c:pt>
                <c:pt idx="6">
                  <c:v>0.72042215209010663</c:v>
                </c:pt>
                <c:pt idx="7">
                  <c:v>0.7205747072879688</c:v>
                </c:pt>
                <c:pt idx="8">
                  <c:v>0.72075080600947805</c:v>
                </c:pt>
                <c:pt idx="9">
                  <c:v>0.72095047979808546</c:v>
                </c:pt>
                <c:pt idx="10">
                  <c:v>0.7211737644339794</c:v>
                </c:pt>
                <c:pt idx="11">
                  <c:v>0.72142069994572555</c:v>
                </c:pt>
                <c:pt idx="12">
                  <c:v>0.72169133062329271</c:v>
                </c:pt>
                <c:pt idx="13">
                  <c:v>0.72198570503247428</c:v>
                </c:pt>
                <c:pt idx="14">
                  <c:v>0.72230387603071322</c:v>
                </c:pt>
                <c:pt idx="15">
                  <c:v>0.72264590078433621</c:v>
                </c:pt>
                <c:pt idx="16">
                  <c:v>0.72301184078720859</c:v>
                </c:pt>
                <c:pt idx="17">
                  <c:v>0.72340176188081706</c:v>
                </c:pt>
                <c:pt idx="18">
                  <c:v>0.72381573427579171</c:v>
                </c:pt>
                <c:pt idx="19">
                  <c:v>0.72425383257487619</c:v>
                </c:pt>
                <c:pt idx="20">
                  <c:v>0.72471613579736194</c:v>
                </c:pt>
                <c:pt idx="21">
                  <c:v>0.72520272740499558</c:v>
                </c:pt>
                <c:pt idx="22">
                  <c:v>0.72571369532937036</c:v>
                </c:pt>
                <c:pt idx="23">
                  <c:v>0.72624913200082286</c:v>
                </c:pt>
                <c:pt idx="24">
                  <c:v>0.72680913437884365</c:v>
                </c:pt>
                <c:pt idx="25">
                  <c:v>0.72739380398401676</c:v>
                </c:pt>
                <c:pt idx="26">
                  <c:v>0.72800324693151175</c:v>
                </c:pt>
                <c:pt idx="27">
                  <c:v>0.7286375739661366</c:v>
                </c:pt>
                <c:pt idx="28">
                  <c:v>0.72929690049897455</c:v>
                </c:pt>
                <c:pt idx="29">
                  <c:v>0.72998134664562275</c:v>
                </c:pt>
                <c:pt idx="30">
                  <c:v>0.73069103726605378</c:v>
                </c:pt>
                <c:pt idx="31">
                  <c:v>0.7314261020061148</c:v>
                </c:pt>
                <c:pt idx="32">
                  <c:v>0.73218667534069659</c:v>
                </c:pt>
                <c:pt idx="33">
                  <c:v>0.732972896618583</c:v>
                </c:pt>
                <c:pt idx="34">
                  <c:v>0.73378491010901159</c:v>
                </c:pt>
                <c:pt idx="35">
                  <c:v>0.73462286504996899</c:v>
                </c:pt>
                <c:pt idx="36">
                  <c:v>0.73548691569824398</c:v>
                </c:pt>
                <c:pt idx="37">
                  <c:v>0.73637722138126505</c:v>
                </c:pt>
                <c:pt idx="38">
                  <c:v>0.73729394655075065</c:v>
                </c:pt>
                <c:pt idx="39">
                  <c:v>0.73823726083820129</c:v>
                </c:pt>
                <c:pt idx="40">
                  <c:v>0.73920733911226078</c:v>
                </c:pt>
                <c:pt idx="41">
                  <c:v>0.74020436153797375</c:v>
                </c:pt>
                <c:pt idx="42">
                  <c:v>0.7412285136379837</c:v>
                </c:pt>
                <c:pt idx="43">
                  <c:v>0.74227998635568693</c:v>
                </c:pt>
                <c:pt idx="44">
                  <c:v>0.74335897612038671</c:v>
                </c:pt>
                <c:pt idx="45">
                  <c:v>0.74446568491448406</c:v>
                </c:pt>
                <c:pt idx="46">
                  <c:v>0.74560032034273427</c:v>
                </c:pt>
                <c:pt idx="47">
                  <c:v>0.74676309570360877</c:v>
                </c:pt>
                <c:pt idx="48">
                  <c:v>0.7479542300628057</c:v>
                </c:pt>
                <c:pt idx="49">
                  <c:v>0.74917394832894058</c:v>
                </c:pt>
                <c:pt idx="50">
                  <c:v>0.75042248133147016</c:v>
                </c:pt>
                <c:pt idx="51">
                  <c:v>0.75170006590087524</c:v>
                </c:pt>
                <c:pt idx="52">
                  <c:v>0.75300694495116416</c:v>
                </c:pt>
                <c:pt idx="53">
                  <c:v>0.75434336756473064</c:v>
                </c:pt>
                <c:pt idx="54">
                  <c:v>0.75570958907961627</c:v>
                </c:pt>
                <c:pt idx="55">
                  <c:v>0.75710587117922712</c:v>
                </c:pt>
                <c:pt idx="56">
                  <c:v>0.75853248198455114</c:v>
                </c:pt>
                <c:pt idx="57">
                  <c:v>0.75998969614893253</c:v>
                </c:pt>
                <c:pt idx="58">
                  <c:v>0.76147779495544987</c:v>
                </c:pt>
                <c:pt idx="59">
                  <c:v>0.76299706641696152</c:v>
                </c:pt>
                <c:pt idx="60">
                  <c:v>0.76454780537886136</c:v>
                </c:pt>
                <c:pt idx="61">
                  <c:v>0.76613031362461881</c:v>
                </c:pt>
                <c:pt idx="62">
                  <c:v>0.76774489998414963</c:v>
                </c:pt>
                <c:pt idx="63">
                  <c:v>0.76939188044508899</c:v>
                </c:pt>
                <c:pt idx="64">
                  <c:v>0.77107157826702233</c:v>
                </c:pt>
                <c:pt idx="65">
                  <c:v>0.77278432409874676</c:v>
                </c:pt>
                <c:pt idx="66">
                  <c:v>0.77453045609862559</c:v>
                </c:pt>
                <c:pt idx="67">
                  <c:v>0.77631032005810752</c:v>
                </c:pt>
                <c:pt idx="68">
                  <c:v>0.7781242695284859</c:v>
                </c:pt>
                <c:pt idx="69">
                  <c:v>0.77997266595096193</c:v>
                </c:pt>
                <c:pt idx="70">
                  <c:v>0.78185587879010066</c:v>
                </c:pt>
                <c:pt idx="71">
                  <c:v>0.78377428567074958</c:v>
                </c:pt>
                <c:pt idx="72">
                  <c:v>0.78572827251850252</c:v>
                </c:pt>
                <c:pt idx="73">
                  <c:v>0.78771823370379646</c:v>
                </c:pt>
                <c:pt idx="74">
                  <c:v>0.7897445721897185</c:v>
                </c:pt>
                <c:pt idx="75">
                  <c:v>0.79180769968362352</c:v>
                </c:pt>
                <c:pt idx="76">
                  <c:v>0.7939080367926391</c:v>
                </c:pt>
                <c:pt idx="77">
                  <c:v>0.7960460131831657</c:v>
                </c:pt>
                <c:pt idx="78">
                  <c:v>0.79822206774445914</c:v>
                </c:pt>
                <c:pt idx="79">
                  <c:v>0.80043664875639786</c:v>
                </c:pt>
                <c:pt idx="80">
                  <c:v>0.80269021406154073</c:v>
                </c:pt>
                <c:pt idx="81">
                  <c:v>0.80498323124157312</c:v>
                </c:pt>
                <c:pt idx="82">
                  <c:v>0.80731617779825948</c:v>
                </c:pt>
                <c:pt idx="83">
                  <c:v>0.80968954133901072</c:v>
                </c:pt>
                <c:pt idx="84">
                  <c:v>0.81210381976717461</c:v>
                </c:pt>
                <c:pt idx="85">
                  <c:v>0.81455952147718225</c:v>
                </c:pt>
                <c:pt idx="86">
                  <c:v>0.81705716555466013</c:v>
                </c:pt>
                <c:pt idx="87">
                  <c:v>0.81959728198164328</c:v>
                </c:pt>
                <c:pt idx="88">
                  <c:v>0.82218041184701385</c:v>
                </c:pt>
                <c:pt idx="89">
                  <c:v>0.82480710756229703</c:v>
                </c:pt>
                <c:pt idx="90">
                  <c:v>0.8274779330829628</c:v>
                </c:pt>
                <c:pt idx="91">
                  <c:v>0.83019346413536299</c:v>
                </c:pt>
                <c:pt idx="92">
                  <c:v>0.83295428844945574</c:v>
                </c:pt>
                <c:pt idx="93">
                  <c:v>0.83576100599747127</c:v>
                </c:pt>
                <c:pt idx="94">
                  <c:v>0.83861422923866613</c:v>
                </c:pt>
                <c:pt idx="95">
                  <c:v>0.84151458337033336</c:v>
                </c:pt>
                <c:pt idx="96">
                  <c:v>0.84446270658522959</c:v>
                </c:pt>
                <c:pt idx="97">
                  <c:v>0.84745925033558611</c:v>
                </c:pt>
                <c:pt idx="98">
                  <c:v>0.8505048796038881</c:v>
                </c:pt>
                <c:pt idx="99">
                  <c:v>0.85360027318058762</c:v>
                </c:pt>
                <c:pt idx="100">
                  <c:v>0.85674612394895477</c:v>
                </c:pt>
                <c:pt idx="101">
                  <c:v>0.85994313917723564</c:v>
                </c:pt>
                <c:pt idx="102">
                  <c:v>0.86319204081833656</c:v>
                </c:pt>
                <c:pt idx="103">
                  <c:v>0.86649356581721804</c:v>
                </c:pt>
                <c:pt idx="104">
                  <c:v>0.86984846642622216</c:v>
                </c:pt>
                <c:pt idx="105">
                  <c:v>0.87325751052854073</c:v>
                </c:pt>
                <c:pt idx="106">
                  <c:v>0.87672148197004651</c:v>
                </c:pt>
                <c:pt idx="107">
                  <c:v>0.88024118089972236</c:v>
                </c:pt>
                <c:pt idx="108">
                  <c:v>0.88381742411891229</c:v>
                </c:pt>
                <c:pt idx="109">
                  <c:v>0.88745104543965125</c:v>
                </c:pt>
                <c:pt idx="110">
                  <c:v>0.89114289605231267</c:v>
                </c:pt>
                <c:pt idx="111">
                  <c:v>0.89489384490283674</c:v>
                </c:pt>
                <c:pt idx="112">
                  <c:v>0.89870477907980162</c:v>
                </c:pt>
                <c:pt idx="113">
                  <c:v>0.90257660421161989</c:v>
                </c:pt>
                <c:pt idx="114">
                  <c:v>0.90651024487412757</c:v>
                </c:pt>
                <c:pt idx="115">
                  <c:v>0.91050664500887191</c:v>
                </c:pt>
                <c:pt idx="116">
                  <c:v>0.91456676835238615</c:v>
                </c:pt>
                <c:pt idx="117">
                  <c:v>0.91869159887676355</c:v>
                </c:pt>
                <c:pt idx="118">
                  <c:v>0.92288214124185797</c:v>
                </c:pt>
                <c:pt idx="119">
                  <c:v>0.9271394212594154</c:v>
                </c:pt>
                <c:pt idx="120">
                  <c:v>0.93146448636950885</c:v>
                </c:pt>
                <c:pt idx="121">
                  <c:v>0.93585840612958549</c:v>
                </c:pt>
                <c:pt idx="122">
                  <c:v>0.94032227271652247</c:v>
                </c:pt>
                <c:pt idx="123">
                  <c:v>0.94485720144203222</c:v>
                </c:pt>
                <c:pt idx="124">
                  <c:v>0.94946433128181895</c:v>
                </c:pt>
                <c:pt idx="125">
                  <c:v>0.95414482541886614</c:v>
                </c:pt>
                <c:pt idx="126">
                  <c:v>0.95889987180126512</c:v>
                </c:pt>
                <c:pt idx="127">
                  <c:v>0.96373068371500781</c:v>
                </c:pt>
                <c:pt idx="128">
                  <c:v>0.9686385003721617</c:v>
                </c:pt>
                <c:pt idx="129">
                  <c:v>0.97362458751488556</c:v>
                </c:pt>
                <c:pt idx="130">
                  <c:v>0.97869023803572464</c:v>
                </c:pt>
                <c:pt idx="131">
                  <c:v>0.98383677261468194</c:v>
                </c:pt>
                <c:pt idx="132">
                  <c:v>0.9890655403735239</c:v>
                </c:pt>
                <c:pt idx="133">
                  <c:v>0.99437791954784316</c:v>
                </c:pt>
                <c:pt idx="134">
                  <c:v>0.99977531817737952</c:v>
                </c:pt>
                <c:pt idx="135">
                  <c:v>1.0052591748151454</c:v>
                </c:pt>
                <c:pt idx="136">
                  <c:v>1.0108309592558873</c:v>
                </c:pt>
                <c:pt idx="137">
                  <c:v>1.0164921732844656</c:v>
                </c:pt>
                <c:pt idx="138">
                  <c:v>1.0222443514447221</c:v>
                </c:pt>
                <c:pt idx="139">
                  <c:v>1.028089061829444</c:v>
                </c:pt>
                <c:pt idx="140">
                  <c:v>1.0340279068920364</c:v>
                </c:pt>
                <c:pt idx="141">
                  <c:v>1.040062524280547</c:v>
                </c:pt>
                <c:pt idx="142">
                  <c:v>1.0461945876947027</c:v>
                </c:pt>
                <c:pt idx="143">
                  <c:v>1.0524258077666198</c:v>
                </c:pt>
                <c:pt idx="144">
                  <c:v>1.0587579329659074</c:v>
                </c:pt>
                <c:pt idx="145">
                  <c:v>1.0651927505298662</c:v>
                </c:pt>
                <c:pt idx="146">
                  <c:v>1.071732087419536</c:v>
                </c:pt>
                <c:pt idx="147">
                  <c:v>1.0783778113023432</c:v>
                </c:pt>
                <c:pt idx="148">
                  <c:v>1.0851318315621523</c:v>
                </c:pt>
                <c:pt idx="149">
                  <c:v>1.0919961003375098</c:v>
                </c:pt>
                <c:pt idx="150">
                  <c:v>1.0989726135889439</c:v>
                </c:pt>
                <c:pt idx="151">
                  <c:v>1.1060634121961466</c:v>
                </c:pt>
                <c:pt idx="152">
                  <c:v>1.1132705830859577</c:v>
                </c:pt>
                <c:pt idx="153">
                  <c:v>1.1205962603920467</c:v>
                </c:pt>
                <c:pt idx="154">
                  <c:v>1.1280426266472254</c:v>
                </c:pt>
                <c:pt idx="155">
                  <c:v>1.1356119140093863</c:v>
                </c:pt>
                <c:pt idx="156">
                  <c:v>1.1433064055220281</c:v>
                </c:pt>
                <c:pt idx="157">
                  <c:v>1.1511284364104371</c:v>
                </c:pt>
                <c:pt idx="158">
                  <c:v>1.1590803954145341</c:v>
                </c:pt>
                <c:pt idx="159">
                  <c:v>1.167164726159521</c:v>
                </c:pt>
                <c:pt idx="160">
                  <c:v>1.1753839285654213</c:v>
                </c:pt>
                <c:pt idx="161">
                  <c:v>1.1837405602966615</c:v>
                </c:pt>
                <c:pt idx="162">
                  <c:v>1.1922372382529089</c:v>
                </c:pt>
                <c:pt idx="163">
                  <c:v>1.2008766401023565</c:v>
                </c:pt>
                <c:pt idx="164">
                  <c:v>1.2096615058587266</c:v>
                </c:pt>
                <c:pt idx="165">
                  <c:v>1.2185946395032814</c:v>
                </c:pt>
                <c:pt idx="166">
                  <c:v>1.2276789106531729</c:v>
                </c:pt>
                <c:pt idx="167">
                  <c:v>1.2369172562774802</c:v>
                </c:pt>
                <c:pt idx="168">
                  <c:v>1.2463126824623711</c:v>
                </c:pt>
                <c:pt idx="169">
                  <c:v>1.2558682662267955</c:v>
                </c:pt>
                <c:pt idx="170">
                  <c:v>1.2655871573902115</c:v>
                </c:pt>
                <c:pt idx="171">
                  <c:v>1.2754725804938731</c:v>
                </c:pt>
                <c:pt idx="172">
                  <c:v>1.2855278367772223</c:v>
                </c:pt>
                <c:pt idx="173">
                  <c:v>1.2957563062110165</c:v>
                </c:pt>
                <c:pt idx="174">
                  <c:v>1.3061614495888143</c:v>
                </c:pt>
                <c:pt idx="175">
                  <c:v>1.3167468106785296</c:v>
                </c:pt>
                <c:pt idx="176">
                  <c:v>1.327516018435787</c:v>
                </c:pt>
                <c:pt idx="177">
                  <c:v>1.3384727892808423</c:v>
                </c:pt>
                <c:pt idx="178">
                  <c:v>1.3496209294409049</c:v>
                </c:pt>
                <c:pt idx="179">
                  <c:v>1.3609643373597347</c:v>
                </c:pt>
                <c:pt idx="180">
                  <c:v>1.3725070061763995</c:v>
                </c:pt>
                <c:pt idx="181">
                  <c:v>1.3842530262751895</c:v>
                </c:pt>
                <c:pt idx="182">
                  <c:v>1.3962065879086576</c:v>
                </c:pt>
                <c:pt idx="183">
                  <c:v>1.4083719838958575</c:v>
                </c:pt>
                <c:pt idx="184">
                  <c:v>1.4207536123978526</c:v>
                </c:pt>
                <c:pt idx="185">
                  <c:v>1.4333559797726663</c:v>
                </c:pt>
                <c:pt idx="186">
                  <c:v>1.4461837035118128</c:v>
                </c:pt>
                <c:pt idx="187">
                  <c:v>1.4592415152606746</c:v>
                </c:pt>
                <c:pt idx="188">
                  <c:v>1.4725342639249739</c:v>
                </c:pt>
                <c:pt idx="189">
                  <c:v>1.486066918865655</c:v>
                </c:pt>
                <c:pt idx="190">
                  <c:v>1.4998445731845338</c:v>
                </c:pt>
                <c:pt idx="191">
                  <c:v>1.5138724471030902</c:v>
                </c:pt>
                <c:pt idx="192">
                  <c:v>1.5281558914368605</c:v>
                </c:pt>
                <c:pt idx="193">
                  <c:v>1.5427003911678527</c:v>
                </c:pt>
                <c:pt idx="194">
                  <c:v>1.557511569117523</c:v>
                </c:pt>
                <c:pt idx="195">
                  <c:v>1.5725951897228105</c:v>
                </c:pt>
                <c:pt idx="196">
                  <c:v>1.58795716291778</c:v>
                </c:pt>
                <c:pt idx="197">
                  <c:v>1.6036035481234829</c:v>
                </c:pt>
                <c:pt idx="198">
                  <c:v>1.6195405583485831</c:v>
                </c:pt>
                <c:pt idx="199">
                  <c:v>1.6357745644033881</c:v>
                </c:pt>
                <c:pt idx="200">
                  <c:v>1.6523120992298961</c:v>
                </c:pt>
                <c:pt idx="201">
                  <c:v>1.6691598623504647</c:v>
                </c:pt>
                <c:pt idx="202">
                  <c:v>1.6863247244377333</c:v>
                </c:pt>
                <c:pt idx="203">
                  <c:v>1.7038137320083881</c:v>
                </c:pt>
                <c:pt idx="204">
                  <c:v>1.7216341122433765</c:v>
                </c:pt>
                <c:pt idx="205">
                  <c:v>1.7397932779371021</c:v>
                </c:pt>
                <c:pt idx="206">
                  <c:v>1.758298832578121</c:v>
                </c:pt>
                <c:pt idx="207">
                  <c:v>1.7771585755638371</c:v>
                </c:pt>
                <c:pt idx="208">
                  <c:v>1.7963805075515631</c:v>
                </c:pt>
                <c:pt idx="209">
                  <c:v>1.8159728359482918</c:v>
                </c:pt>
                <c:pt idx="210">
                  <c:v>1.8359439805414342</c:v>
                </c:pt>
                <c:pt idx="211">
                  <c:v>1.85630257927264</c:v>
                </c:pt>
                <c:pt idx="212">
                  <c:v>1.8770574941567015</c:v>
                </c:pt>
                <c:pt idx="213">
                  <c:v>1.8982178173474367</c:v>
                </c:pt>
                <c:pt idx="214">
                  <c:v>1.9197928773522264</c:v>
                </c:pt>
                <c:pt idx="215">
                  <c:v>1.9417922453967198</c:v>
                </c:pt>
                <c:pt idx="216">
                  <c:v>1.9642257419410105</c:v>
                </c:pt>
                <c:pt idx="217">
                  <c:v>1.9871034433483408</c:v>
                </c:pt>
                <c:pt idx="218">
                  <c:v>2.0104356887071186</c:v>
                </c:pt>
                <c:pt idx="219">
                  <c:v>2.0342330868066871</c:v>
                </c:pt>
                <c:pt idx="220">
                  <c:v>2.0585065232670492</c:v>
                </c:pt>
                <c:pt idx="221">
                  <c:v>2.0832671678222421</c:v>
                </c:pt>
                <c:pt idx="222">
                  <c:v>2.1085264817567042</c:v>
                </c:pt>
                <c:pt idx="223">
                  <c:v>2.1342962254935252</c:v>
                </c:pt>
                <c:pt idx="224">
                  <c:v>2.1605884663328787</c:v>
                </c:pt>
                <c:pt idx="225">
                  <c:v>2.1874155863384428</c:v>
                </c:pt>
                <c:pt idx="226">
                  <c:v>2.214790290368891</c:v>
                </c:pt>
                <c:pt idx="227">
                  <c:v>2.242725614250952</c:v>
                </c:pt>
                <c:pt idx="228">
                  <c:v>2.2712349330896493</c:v>
                </c:pt>
                <c:pt idx="229">
                  <c:v>2.3003319697106086</c:v>
                </c:pt>
                <c:pt idx="230">
                  <c:v>2.3300308032282659</c:v>
                </c:pt>
                <c:pt idx="231">
                  <c:v>2.3603458777329562</c:v>
                </c:pt>
                <c:pt idx="232">
                  <c:v>2.3912920110886029</c:v>
                </c:pt>
                <c:pt idx="233">
                  <c:v>2.4228844038316839</c:v>
                </c:pt>
                <c:pt idx="234">
                  <c:v>2.4551386481606614</c:v>
                </c:pt>
                <c:pt idx="235">
                  <c:v>2.4880707370037776</c:v>
                </c:pt>
                <c:pt idx="236">
                  <c:v>2.521697073151516</c:v>
                </c:pt>
                <c:pt idx="237">
                  <c:v>2.556034478438252</c:v>
                </c:pt>
                <c:pt idx="238">
                  <c:v>2.5911002029559662</c:v>
                </c:pt>
                <c:pt idx="239">
                  <c:v>2.6269119342806158</c:v>
                </c:pt>
                <c:pt idx="240">
                  <c:v>2.6634878066899277</c:v>
                </c:pt>
                <c:pt idx="241">
                  <c:v>2.700846410348694</c:v>
                </c:pt>
                <c:pt idx="242">
                  <c:v>2.7390068004353867</c:v>
                </c:pt>
                <c:pt idx="243">
                  <c:v>2.7779885061809821</c:v>
                </c:pt>
                <c:pt idx="244">
                  <c:v>2.8178115397879835</c:v>
                </c:pt>
                <c:pt idx="245">
                  <c:v>2.858496405194427</c:v>
                </c:pt>
                <c:pt idx="246">
                  <c:v>2.9000641066441499</c:v>
                </c:pt>
                <c:pt idx="247">
                  <c:v>2.9425361570209652</c:v>
                </c:pt>
                <c:pt idx="248">
                  <c:v>2.9859345859002162</c:v>
                </c:pt>
                <c:pt idx="249">
                  <c:v>3.0302819472670333</c:v>
                </c:pt>
                <c:pt idx="250">
                  <c:v>3.0756013268458333</c:v>
                </c:pt>
                <c:pt idx="251">
                  <c:v>3.1219163489807205</c:v>
                </c:pt>
                <c:pt idx="252">
                  <c:v>3.169251183000958</c:v>
                </c:pt>
                <c:pt idx="253">
                  <c:v>3.2176305490001269</c:v>
                </c:pt>
                <c:pt idx="254">
                  <c:v>3.267079722951264</c:v>
                </c:pt>
                <c:pt idx="255">
                  <c:v>3.3176356138599488</c:v>
                </c:pt>
                <c:pt idx="256">
                  <c:v>3.3695038633677918</c:v>
                </c:pt>
                <c:pt idx="257">
                  <c:v>3.4230302974662585</c:v>
                </c:pt>
                <c:pt idx="258">
                  <c:v>3.4785808029086471</c:v>
                </c:pt>
                <c:pt idx="259">
                  <c:v>3.5365386822664697</c:v>
                </c:pt>
                <c:pt idx="260">
                  <c:v>3.5973051548063681</c:v>
                </c:pt>
                <c:pt idx="261">
                  <c:v>3.6612997635083162</c:v>
                </c:pt>
                <c:pt idx="262">
                  <c:v>3.728960678957721</c:v>
                </c:pt>
                <c:pt idx="263">
                  <c:v>3.8007448904873873</c:v>
                </c:pt>
                <c:pt idx="264">
                  <c:v>3.8771282746749947</c:v>
                </c:pt>
                <c:pt idx="265">
                  <c:v>3.9586055311292903</c:v>
                </c:pt>
                <c:pt idx="266">
                  <c:v>4.0456899754351765</c:v>
                </c:pt>
                <c:pt idx="267">
                  <c:v>4.1389131791866198</c:v>
                </c:pt>
                <c:pt idx="268">
                  <c:v>4.2388244472284189</c:v>
                </c:pt>
                <c:pt idx="269">
                  <c:v>4.3459901225655599</c:v>
                </c:pt>
                <c:pt idx="270">
                  <c:v>4.4609927098924382</c:v>
                </c:pt>
                <c:pt idx="271">
                  <c:v>4.5844298093549565</c:v>
                </c:pt>
                <c:pt idx="272">
                  <c:v>4.7169128529947395</c:v>
                </c:pt>
                <c:pt idx="273">
                  <c:v>4.8590656373447398</c:v>
                </c:pt>
                <c:pt idx="274">
                  <c:v>5.0115226468546297</c:v>
                </c:pt>
                <c:pt idx="275">
                  <c:v>5.1749271642272934</c:v>
                </c:pt>
                <c:pt idx="276">
                  <c:v>5.3499291653443928</c:v>
                </c:pt>
                <c:pt idx="277">
                  <c:v>5.5371829982490741</c:v>
                </c:pt>
                <c:pt idx="278">
                  <c:v>5.73734484763113</c:v>
                </c:pt>
                <c:pt idx="279">
                  <c:v>5.9510699884177267</c:v>
                </c:pt>
                <c:pt idx="280">
                  <c:v>6.1790098343965054</c:v>
                </c:pt>
                <c:pt idx="281">
                  <c:v>6.4218087902738672</c:v>
                </c:pt>
                <c:pt idx="282">
                  <c:v>6.6801009181762847</c:v>
                </c:pt>
                <c:pt idx="283">
                  <c:v>6.9545064323137984</c:v>
                </c:pt>
                <c:pt idx="284">
                  <c:v>7.2456280383110832</c:v>
                </c:pt>
                <c:pt idx="285">
                  <c:v>7.5540471365398512</c:v>
                </c:pt>
                <c:pt idx="286">
                  <c:v>7.8803199116182876</c:v>
                </c:pt>
                <c:pt idx="287">
                  <c:v>8.2249733330357628</c:v>
                </c:pt>
                <c:pt idx="288">
                  <c:v>8.588501094569466</c:v>
                </c:pt>
                <c:pt idx="289">
                  <c:v>8.9713595227330298</c:v>
                </c:pt>
                <c:pt idx="290">
                  <c:v>9.3739634868851844</c:v>
                </c:pt>
                <c:pt idx="291">
                  <c:v>9.7966823457747765</c:v>
                </c:pt>
                <c:pt idx="292">
                  <c:v>10.239835967152075</c:v>
                </c:pt>
                <c:pt idx="293">
                  <c:v>10.703690858581494</c:v>
                </c:pt>
                <c:pt idx="294">
                  <c:v>11.188456448693916</c:v>
                </c:pt>
                <c:pt idx="295">
                  <c:v>11.694281558766406</c:v>
                </c:pt>
                <c:pt idx="296">
                  <c:v>12.22125110466717</c:v>
                </c:pt>
                <c:pt idx="297">
                  <c:v>12.769383068810676</c:v>
                </c:pt>
                <c:pt idx="298">
                  <c:v>13.33862578079812</c:v>
                </c:pt>
                <c:pt idx="299">
                  <c:v>13.928855543842815</c:v>
                </c:pt>
                <c:pt idx="300">
                  <c:v>14.539874641881728</c:v>
                </c:pt>
                <c:pt idx="301">
                  <c:v>15.171409759443861</c:v>
                </c:pt>
                <c:pt idx="302">
                  <c:v>15.82311084289119</c:v>
                </c:pt>
                <c:pt idx="303">
                  <c:v>16.494550427580659</c:v>
                </c:pt>
                <c:pt idx="304">
                  <c:v>17.185223450852103</c:v>
                </c:pt>
                <c:pt idx="305">
                  <c:v>17.894547565567137</c:v>
                </c:pt>
                <c:pt idx="306">
                  <c:v>18.621863963271945</c:v>
                </c:pt>
                <c:pt idx="307">
                  <c:v>19.366438710001312</c:v>
                </c:pt>
                <c:pt idx="308">
                  <c:v>20.127464591375091</c:v>
                </c:pt>
                <c:pt idx="309">
                  <c:v>20.904063457057465</c:v>
                </c:pt>
                <c:pt idx="310">
                  <c:v>21.695289047969325</c:v>
                </c:pt>
                <c:pt idx="311">
                  <c:v>22.500130282986891</c:v>
                </c:pt>
                <c:pt idx="312">
                  <c:v>23.317514975354861</c:v>
                </c:pt>
                <c:pt idx="313">
                  <c:v>24.146313942827032</c:v>
                </c:pt>
                <c:pt idx="314">
                  <c:v>24.985345469760357</c:v>
                </c:pt>
                <c:pt idx="315">
                  <c:v>25.83338007416538</c:v>
                </c:pt>
                <c:pt idx="316">
                  <c:v>26.689145528195766</c:v>
                </c:pt>
                <c:pt idx="317">
                  <c:v>27.551332076860632</c:v>
                </c:pt>
                <c:pt idx="318">
                  <c:v>28.418597796989228</c:v>
                </c:pt>
                <c:pt idx="319">
                  <c:v>29.289574036757362</c:v>
                </c:pt>
                <c:pt idx="320">
                  <c:v>30.162870875487915</c:v>
                </c:pt>
                <c:pt idx="321">
                  <c:v>31.037082544013593</c:v>
                </c:pt>
                <c:pt idx="322">
                  <c:v>31.910792747674009</c:v>
                </c:pt>
                <c:pt idx="323">
                  <c:v>32.782579837013721</c:v>
                </c:pt>
                <c:pt idx="324">
                  <c:v>33.651021775426862</c:v>
                </c:pt>
                <c:pt idx="325">
                  <c:v>34.514700858293672</c:v>
                </c:pt>
                <c:pt idx="326">
                  <c:v>35.372208144491523</c:v>
                </c:pt>
                <c:pt idx="327">
                  <c:v>36.222147568405987</c:v>
                </c:pt>
                <c:pt idx="328">
                  <c:v>37.063139708572727</c:v>
                </c:pt>
                <c:pt idx="329">
                  <c:v>37.89382519765757</c:v>
                </c:pt>
                <c:pt idx="330">
                  <c:v>38.712867767431931</c:v>
                </c:pt>
                <c:pt idx="331">
                  <c:v>39.518956931499808</c:v>
                </c:pt>
                <c:pt idx="332">
                  <c:v>40.310810317532066</c:v>
                </c:pt>
                <c:pt idx="333">
                  <c:v>41.08717566942962</c:v>
                </c:pt>
                <c:pt idx="334">
                  <c:v>41.84683254791068</c:v>
                </c:pt>
                <c:pt idx="335">
                  <c:v>42.588593765264015</c:v>
                </c:pt>
                <c:pt idx="336">
                  <c:v>43.311306596196268</c:v>
                </c:pt>
                <c:pt idx="337">
                  <c:v>44.013853811634426</c:v>
                </c:pt>
                <c:pt idx="338">
                  <c:v>44.695154585830004</c:v>
                </c:pt>
                <c:pt idx="339">
                  <c:v>45.354165329034423</c:v>
                </c:pt>
                <c:pt idx="340">
                  <c:v>45.989880498266324</c:v>
                </c:pt>
                <c:pt idx="341">
                  <c:v>46.601333437226245</c:v>
                </c:pt>
                <c:pt idx="342">
                  <c:v>47.18759729324816</c:v>
                </c:pt>
                <c:pt idx="343">
                  <c:v>47.747786054359366</c:v>
                </c:pt>
                <c:pt idx="344">
                  <c:v>48.281055743176857</c:v>
                </c:pt>
                <c:pt idx="345">
                  <c:v>48.786605796656232</c:v>
                </c:pt>
                <c:pt idx="346">
                  <c:v>49.263680651852042</c:v>
                </c:pt>
                <c:pt idx="347">
                  <c:v>49.711571548109269</c:v>
                </c:pt>
                <c:pt idx="348">
                  <c:v>50.129618545765183</c:v>
                </c:pt>
                <c:pt idx="349">
                  <c:v>50.517212750838141</c:v>
                </c:pt>
                <c:pt idx="350">
                  <c:v>50.873798724642448</c:v>
                </c:pt>
                <c:pt idx="351">
                  <c:v>51.198877047132804</c:v>
                </c:pt>
                <c:pt idx="352">
                  <c:v>51.492006993391833</c:v>
                </c:pt>
                <c:pt idx="353">
                  <c:v>51.752809274337217</c:v>
                </c:pt>
                <c:pt idx="354">
                  <c:v>51.980968785712392</c:v>
                </c:pt>
                <c:pt idx="355">
                  <c:v>52.176237303989282</c:v>
                </c:pt>
                <c:pt idx="356">
                  <c:v>52.338436064134633</c:v>
                </c:pt>
                <c:pt idx="357">
                  <c:v>52.467458152388389</c:v>
                </c:pt>
                <c:pt idx="358">
                  <c:v>52.563270647357129</c:v>
                </c:pt>
                <c:pt idx="359">
                  <c:v>52.625916444822856</c:v>
                </c:pt>
                <c:pt idx="360">
                  <c:v>52.655515705645485</c:v>
                </c:pt>
                <c:pt idx="361">
                  <c:v>52.652266871866196</c:v>
                </c:pt>
                <c:pt idx="362">
                  <c:v>52.616447203415234</c:v>
                </c:pt>
                <c:pt idx="363">
                  <c:v>52.548412796451515</c:v>
                </c:pt>
                <c:pt idx="364">
                  <c:v>52.448598054051381</c:v>
                </c:pt>
                <c:pt idx="365">
                  <c:v>52.31751459040315</c:v>
                </c:pt>
                <c:pt idx="366">
                  <c:v>52.155749560548145</c:v>
                </c:pt>
                <c:pt idx="367">
                  <c:v>51.963963418707799</c:v>
                </c:pt>
                <c:pt idx="368">
                  <c:v>51.742887119040581</c:v>
                </c:pt>
                <c:pt idx="369">
                  <c:v>51.493318782982492</c:v>
                </c:pt>
                <c:pt idx="370">
                  <c:v>51.216119866880646</c:v>
                </c:pt>
                <c:pt idx="371">
                  <c:v>50.912210872184076</c:v>
                </c:pt>
                <c:pt idx="372">
                  <c:v>50.582566647843421</c:v>
                </c:pt>
                <c:pt idx="373">
                  <c:v>50.228211340634694</c:v>
                </c:pt>
                <c:pt idx="374">
                  <c:v>49.850213053766936</c:v>
                </c:pt>
                <c:pt idx="375">
                  <c:v>49.449678277326896</c:v>
                </c:pt>
                <c:pt idx="376">
                  <c:v>49.027746155850906</c:v>
                </c:pt>
                <c:pt idx="377">
                  <c:v>48.585582658633669</c:v>
                </c:pt>
                <c:pt idx="378">
                  <c:v>48.124374717379922</c:v>
                </c:pt>
                <c:pt idx="379">
                  <c:v>47.645324393588496</c:v>
                </c:pt>
                <c:pt idx="380">
                  <c:v>47.149643134758264</c:v>
                </c:pt>
                <c:pt idx="381">
                  <c:v>46.638546174299861</c:v>
                </c:pt>
                <c:pt idx="382">
                  <c:v>46.113247125078097</c:v>
                </c:pt>
                <c:pt idx="383">
                  <c:v>45.574952810977578</c:v>
                </c:pt>
                <c:pt idx="384">
                  <c:v>45.024858374956985</c:v>
                </c:pt>
                <c:pt idx="385">
                  <c:v>44.464142695891873</c:v>
                </c:pt>
                <c:pt idx="386">
                  <c:v>43.893964140268253</c:v>
                </c:pt>
                <c:pt idx="387">
                  <c:v>43.315456668610047</c:v>
                </c:pt>
                <c:pt idx="388">
                  <c:v>42.729726310535085</c:v>
                </c:pt>
                <c:pt idx="389">
                  <c:v>42.137848016644568</c:v>
                </c:pt>
                <c:pt idx="390">
                  <c:v>41.540862890129745</c:v>
                </c:pt>
                <c:pt idx="391">
                  <c:v>40.939775796118155</c:v>
                </c:pt>
                <c:pt idx="392">
                  <c:v>40.335553342406463</c:v>
                </c:pt>
                <c:pt idx="393">
                  <c:v>39.729122221381949</c:v>
                </c:pt>
                <c:pt idx="394">
                  <c:v>39.121367899626627</c:v>
                </c:pt>
                <c:pt idx="395">
                  <c:v>38.513133638934185</c:v>
                </c:pt>
                <c:pt idx="396">
                  <c:v>37.905219830227537</c:v>
                </c:pt>
                <c:pt idx="397">
                  <c:v>37.298383620134985</c:v>
                </c:pt>
                <c:pt idx="398">
                  <c:v>36.693338808725606</c:v>
                </c:pt>
                <c:pt idx="399">
                  <c:v>36.090755996083644</c:v>
                </c:pt>
                <c:pt idx="400">
                  <c:v>35.491262954984592</c:v>
                </c:pt>
                <c:pt idx="401">
                  <c:v>34.895445206868466</c:v>
                </c:pt>
                <c:pt idx="402">
                  <c:v>34.30384677855335</c:v>
                </c:pt>
                <c:pt idx="403">
                  <c:v>33.716971117642302</c:v>
                </c:pt>
                <c:pt idx="404">
                  <c:v>33.135282145312281</c:v>
                </c:pt>
                <c:pt idx="405">
                  <c:v>32.559205426091268</c:v>
                </c:pt>
                <c:pt idx="406">
                  <c:v>31.98912943528893</c:v>
                </c:pt>
                <c:pt idx="407">
                  <c:v>31.425406905912759</c:v>
                </c:pt>
                <c:pt idx="408">
                  <c:v>30.868356238146966</c:v>
                </c:pt>
                <c:pt idx="409">
                  <c:v>30.318262955757575</c:v>
                </c:pt>
                <c:pt idx="410">
                  <c:v>29.775381195101613</c:v>
                </c:pt>
                <c:pt idx="411">
                  <c:v>29.239935213725101</c:v>
                </c:pt>
                <c:pt idx="412">
                  <c:v>28.712120906828837</c:v>
                </c:pt>
                <c:pt idx="413">
                  <c:v>28.192107321137104</c:v>
                </c:pt>
                <c:pt idx="414">
                  <c:v>27.680038156915931</c:v>
                </c:pt>
                <c:pt idx="415">
                  <c:v>27.176033250043069</c:v>
                </c:pt>
                <c:pt idx="416">
                  <c:v>26.680190027122933</c:v>
                </c:pt>
                <c:pt idx="417">
                  <c:v>26.192584927663916</c:v>
                </c:pt>
                <c:pt idx="418">
                  <c:v>25.713274788287602</c:v>
                </c:pt>
                <c:pt idx="419">
                  <c:v>25.242298184816754</c:v>
                </c:pt>
                <c:pt idx="420">
                  <c:v>24.779676728896128</c:v>
                </c:pt>
                <c:pt idx="421">
                  <c:v>24.325416316530699</c:v>
                </c:pt>
                <c:pt idx="422">
                  <c:v>23.879508326589285</c:v>
                </c:pt>
                <c:pt idx="423">
                  <c:v>23.441930767913174</c:v>
                </c:pt>
                <c:pt idx="424">
                  <c:v>23.012649374199253</c:v>
                </c:pt>
                <c:pt idx="425">
                  <c:v>22.591618646290868</c:v>
                </c:pt>
                <c:pt idx="426">
                  <c:v>22.17878284192054</c:v>
                </c:pt>
                <c:pt idx="427">
                  <c:v>21.774076913300739</c:v>
                </c:pt>
                <c:pt idx="428">
                  <c:v>21.377427393263915</c:v>
                </c:pt>
                <c:pt idx="429">
                  <c:v>20.988753230910461</c:v>
                </c:pt>
                <c:pt idx="430">
                  <c:v>20.607966577940157</c:v>
                </c:pt>
                <c:pt idx="431">
                  <c:v>20.23497352701963</c:v>
                </c:pt>
                <c:pt idx="432">
                  <c:v>19.869674803682724</c:v>
                </c:pt>
                <c:pt idx="433">
                  <c:v>19.511966413372768</c:v>
                </c:pt>
                <c:pt idx="434">
                  <c:v>19.161740245321095</c:v>
                </c:pt>
                <c:pt idx="435">
                  <c:v>18.818884635017554</c:v>
                </c:pt>
                <c:pt idx="436">
                  <c:v>18.483284887067661</c:v>
                </c:pt>
                <c:pt idx="437">
                  <c:v>18.154823760252107</c:v>
                </c:pt>
                <c:pt idx="438">
                  <c:v>17.833381916609632</c:v>
                </c:pt>
                <c:pt idx="439">
                  <c:v>17.518838336354204</c:v>
                </c:pt>
                <c:pt idx="440">
                  <c:v>17.21107070041748</c:v>
                </c:pt>
                <c:pt idx="441">
                  <c:v>16.909955742375921</c:v>
                </c:pt>
                <c:pt idx="442">
                  <c:v>16.615369571483242</c:v>
                </c:pt>
                <c:pt idx="443">
                  <c:v>16.327187968483404</c:v>
                </c:pt>
                <c:pt idx="444">
                  <c:v>16.045286655827272</c:v>
                </c:pt>
                <c:pt idx="445">
                  <c:v>15.769541543862015</c:v>
                </c:pt>
                <c:pt idx="446">
                  <c:v>15.499828954502345</c:v>
                </c:pt>
                <c:pt idx="447">
                  <c:v>15.236025823833828</c:v>
                </c:pt>
                <c:pt idx="448">
                  <c:v>14.978009885034259</c:v>
                </c:pt>
                <c:pt idx="449">
                  <c:v>14.725659832938252</c:v>
                </c:pt>
                <c:pt idx="450">
                  <c:v>14.478855471505613</c:v>
                </c:pt>
                <c:pt idx="451">
                  <c:v>14.237477845392537</c:v>
                </c:pt>
                <c:pt idx="452">
                  <c:v>14.001409356761696</c:v>
                </c:pt>
                <c:pt idx="453">
                  <c:v>13.770533868407549</c:v>
                </c:pt>
                <c:pt idx="454">
                  <c:v>13.544736794212932</c:v>
                </c:pt>
                <c:pt idx="455">
                  <c:v>13.323905177895861</c:v>
                </c:pt>
                <c:pt idx="456">
                  <c:v>13.107927760948851</c:v>
                </c:pt>
                <c:pt idx="457">
                  <c:v>12.896695040619923</c:v>
                </c:pt>
                <c:pt idx="458">
                  <c:v>12.690099318731605</c:v>
                </c:pt>
                <c:pt idx="459">
                  <c:v>12.488034742085119</c:v>
                </c:pt>
                <c:pt idx="460">
                  <c:v>12.290397335148768</c:v>
                </c:pt>
                <c:pt idx="461">
                  <c:v>12.097085025684544</c:v>
                </c:pt>
                <c:pt idx="462">
                  <c:v>11.907997663923172</c:v>
                </c:pt>
                <c:pt idx="463">
                  <c:v>11.723037035857047</c:v>
                </c:pt>
                <c:pt idx="464">
                  <c:v>11.542106871181515</c:v>
                </c:pt>
                <c:pt idx="465">
                  <c:v>11.365112846377761</c:v>
                </c:pt>
                <c:pt idx="466">
                  <c:v>11.191962583395895</c:v>
                </c:pt>
                <c:pt idx="467">
                  <c:v>11.02256564436405</c:v>
                </c:pt>
                <c:pt idx="468">
                  <c:v>10.856833522718121</c:v>
                </c:pt>
                <c:pt idx="469">
                  <c:v>10.694679631117584</c:v>
                </c:pt>
                <c:pt idx="470">
                  <c:v>10.536019286485844</c:v>
                </c:pt>
                <c:pt idx="471">
                  <c:v>10.380769692487428</c:v>
                </c:pt>
                <c:pt idx="472">
                  <c:v>10.228849919730429</c:v>
                </c:pt>
                <c:pt idx="473">
                  <c:v>10.080180883960473</c:v>
                </c:pt>
                <c:pt idx="474">
                  <c:v>9.9346853224906617</c:v>
                </c:pt>
                <c:pt idx="475">
                  <c:v>9.7922877690930914</c:v>
                </c:pt>
                <c:pt idx="476">
                  <c:v>9.6529145275585737</c:v>
                </c:pt>
                <c:pt idx="477">
                  <c:v>9.5164936441146093</c:v>
                </c:pt>
                <c:pt idx="478">
                  <c:v>9.3829548788751929</c:v>
                </c:pt>
                <c:pt idx="479">
                  <c:v>9.2522296764818304</c:v>
                </c:pt>
                <c:pt idx="480">
                  <c:v>9.1242511360808827</c:v>
                </c:pt>
                <c:pt idx="481">
                  <c:v>8.9989539807698709</c:v>
                </c:pt>
                <c:pt idx="482">
                  <c:v>8.8762745266333667</c:v>
                </c:pt>
                <c:pt idx="483">
                  <c:v>8.7561506514781531</c:v>
                </c:pt>
                <c:pt idx="484">
                  <c:v>8.6385217633673683</c:v>
                </c:pt>
                <c:pt idx="485">
                  <c:v>8.5233287690433066</c:v>
                </c:pt>
                <c:pt idx="486">
                  <c:v>8.41051404232085</c:v>
                </c:pt>
                <c:pt idx="487">
                  <c:v>8.3000213925242488</c:v>
                </c:pt>
                <c:pt idx="488">
                  <c:v>8.1917960330337536</c:v>
                </c:pt>
                <c:pt idx="489">
                  <c:v>8.0857845500007315</c:v>
                </c:pt>
                <c:pt idx="490">
                  <c:v>7.9819348712843325</c:v>
                </c:pt>
                <c:pt idx="491">
                  <c:v>7.8801962356565891</c:v>
                </c:pt>
                <c:pt idx="492">
                  <c:v>7.7805191623174359</c:v>
                </c:pt>
                <c:pt idx="493">
                  <c:v>7.6828554207566464</c:v>
                </c:pt>
                <c:pt idx="494">
                  <c:v>7.5871580009946804</c:v>
                </c:pt>
                <c:pt idx="495">
                  <c:v>7.4933810842307524</c:v>
                </c:pt>
                <c:pt idx="496">
                  <c:v>7.4014800139222139</c:v>
                </c:pt>
                <c:pt idx="497">
                  <c:v>7.3114112673163412</c:v>
                </c:pt>
                <c:pt idx="498">
                  <c:v>7.2231324274520761</c:v>
                </c:pt>
                <c:pt idx="499">
                  <c:v>7.1366021556467176</c:v>
                </c:pt>
                <c:pt idx="500">
                  <c:v>7.0517801644795863</c:v>
                </c:pt>
                <c:pt idx="501">
                  <c:v>6.9686271912826552</c:v>
                </c:pt>
                <c:pt idx="502">
                  <c:v>6.8871049721456359</c:v>
                </c:pt>
                <c:pt idx="503">
                  <c:v>6.8071762164413947</c:v>
                </c:pt>
                <c:pt idx="504">
                  <c:v>6.7288045818754503</c:v>
                </c:pt>
                <c:pt idx="505">
                  <c:v>6.6519546500618381</c:v>
                </c:pt>
                <c:pt idx="506">
                  <c:v>6.5765919026263679</c:v>
                </c:pt>
                <c:pt idx="507">
                  <c:v>6.5026826978365913</c:v>
                </c:pt>
                <c:pt idx="508">
                  <c:v>6.4301942477569769</c:v>
                </c:pt>
                <c:pt idx="509">
                  <c:v>6.3590945959265799</c:v>
                </c:pt>
                <c:pt idx="510">
                  <c:v>6.2893525955556191</c:v>
                </c:pt>
                <c:pt idx="511">
                  <c:v>6.2209378882364694</c:v>
                </c:pt>
                <c:pt idx="512">
                  <c:v>6.1538208831639052</c:v>
                </c:pt>
                <c:pt idx="513">
                  <c:v>6.0879727368588394</c:v>
                </c:pt>
                <c:pt idx="514">
                  <c:v>6.0233653333890755</c:v>
                </c:pt>
                <c:pt idx="515">
                  <c:v>5.9599712650802132</c:v>
                </c:pt>
                <c:pt idx="516">
                  <c:v>5.897763813709461</c:v>
                </c:pt>
                <c:pt idx="517">
                  <c:v>5.8367169321746228</c:v>
                </c:pt>
                <c:pt idx="518">
                  <c:v>5.776805226630235</c:v>
                </c:pt>
                <c:pt idx="519">
                  <c:v>5.7180039390827364</c:v>
                </c:pt>
                <c:pt idx="520">
                  <c:v>5.6602889304361197</c:v>
                </c:pt>
                <c:pt idx="521">
                  <c:v>5.6036366639794304</c:v>
                </c:pt>
                <c:pt idx="522">
                  <c:v>5.5480241893074398</c:v>
                </c:pt>
                <c:pt idx="523">
                  <c:v>5.4934291266655668</c:v>
                </c:pt>
                <c:pt idx="524">
                  <c:v>5.4398296517101654</c:v>
                </c:pt>
                <c:pt idx="525">
                  <c:v>5.3872044806751838</c:v>
                </c:pt>
                <c:pt idx="526">
                  <c:v>5.3355328559362505</c:v>
                </c:pt>
                <c:pt idx="527">
                  <c:v>5.2847945319632474</c:v>
                </c:pt>
                <c:pt idx="528">
                  <c:v>5.2349697616523381</c:v>
                </c:pt>
                <c:pt idx="529">
                  <c:v>5.1860392830287037</c:v>
                </c:pt>
                <c:pt idx="530">
                  <c:v>5.1379843063110684</c:v>
                </c:pt>
                <c:pt idx="531">
                  <c:v>5.0907865013292666</c:v>
                </c:pt>
                <c:pt idx="532">
                  <c:v>5.0444279852862932</c:v>
                </c:pt>
                <c:pt idx="533">
                  <c:v>4.9988913108561599</c:v>
                </c:pt>
                <c:pt idx="534">
                  <c:v>4.954159454609238</c:v>
                </c:pt>
                <c:pt idx="535">
                  <c:v>4.9102158057566854</c:v>
                </c:pt>
                <c:pt idx="536">
                  <c:v>4.8670441552058028</c:v>
                </c:pt>
                <c:pt idx="537">
                  <c:v>4.8246286849182711</c:v>
                </c:pt>
                <c:pt idx="538">
                  <c:v>4.7829539575633033</c:v>
                </c:pt>
                <c:pt idx="539">
                  <c:v>4.7420049064580425</c:v>
                </c:pt>
                <c:pt idx="540">
                  <c:v>4.7017668257874172</c:v>
                </c:pt>
                <c:pt idx="541">
                  <c:v>4.6622253610961462</c:v>
                </c:pt>
                <c:pt idx="542">
                  <c:v>4.6233665000454414</c:v>
                </c:pt>
                <c:pt idx="543">
                  <c:v>4.5851765634273152</c:v>
                </c:pt>
                <c:pt idx="544">
                  <c:v>4.5476421964293996</c:v>
                </c:pt>
                <c:pt idx="545">
                  <c:v>4.5107503601435184</c:v>
                </c:pt>
                <c:pt idx="546">
                  <c:v>4.474488323311185</c:v>
                </c:pt>
                <c:pt idx="547">
                  <c:v>4.4388436542995615</c:v>
                </c:pt>
                <c:pt idx="548">
                  <c:v>4.4038042133014628</c:v>
                </c:pt>
                <c:pt idx="549">
                  <c:v>4.3693581447531127</c:v>
                </c:pt>
                <c:pt idx="550">
                  <c:v>4.3354938699636145</c:v>
                </c:pt>
                <c:pt idx="551">
                  <c:v>4.3022000799501914</c:v>
                </c:pt>
                <c:pt idx="552">
                  <c:v>4.2694657284733522</c:v>
                </c:pt>
                <c:pt idx="553">
                  <c:v>4.2372800252664007</c:v>
                </c:pt>
                <c:pt idx="554">
                  <c:v>4.2056324294537326</c:v>
                </c:pt>
                <c:pt idx="555">
                  <c:v>4.1745126431525996</c:v>
                </c:pt>
                <c:pt idx="556">
                  <c:v>4.1439106052531329</c:v>
                </c:pt>
                <c:pt idx="557">
                  <c:v>4.1138164853714683</c:v>
                </c:pt>
                <c:pt idx="558">
                  <c:v>4.0842206779711541</c:v>
                </c:pt>
                <c:pt idx="559">
                  <c:v>4.0551137966479205</c:v>
                </c:pt>
                <c:pt idx="560">
                  <c:v>4.0264866685731961</c:v>
                </c:pt>
                <c:pt idx="561">
                  <c:v>3.998330329091802</c:v>
                </c:pt>
                <c:pt idx="562">
                  <c:v>3.9706360164694097</c:v>
                </c:pt>
                <c:pt idx="563">
                  <c:v>3.943395166785411</c:v>
                </c:pt>
                <c:pt idx="564">
                  <c:v>3.9165994089671243</c:v>
                </c:pt>
                <c:pt idx="565">
                  <c:v>3.8902405599611525</c:v>
                </c:pt>
                <c:pt idx="566">
                  <c:v>3.8643106200379993</c:v>
                </c:pt>
                <c:pt idx="567">
                  <c:v>3.8388017682261615</c:v>
                </c:pt>
                <c:pt idx="568">
                  <c:v>3.8137063578718293</c:v>
                </c:pt>
                <c:pt idx="569">
                  <c:v>3.7890169123207298</c:v>
                </c:pt>
                <c:pt idx="570">
                  <c:v>3.7647261207184615</c:v>
                </c:pt>
                <c:pt idx="571">
                  <c:v>3.7408268339260102</c:v>
                </c:pt>
                <c:pt idx="572">
                  <c:v>3.7173120605470564</c:v>
                </c:pt>
                <c:pt idx="573">
                  <c:v>3.6941749630638658</c:v>
                </c:pt>
                <c:pt idx="574">
                  <c:v>3.6714088540786918</c:v>
                </c:pt>
                <c:pt idx="575">
                  <c:v>3.6490071926575585</c:v>
                </c:pt>
                <c:pt idx="576">
                  <c:v>3.6269635807735647</c:v>
                </c:pt>
                <c:pt idx="577">
                  <c:v>3.6052717598467754</c:v>
                </c:pt>
                <c:pt idx="578">
                  <c:v>3.5839256073779877</c:v>
                </c:pt>
                <c:pt idx="579">
                  <c:v>3.5629191336736215</c:v>
                </c:pt>
                <c:pt idx="580">
                  <c:v>3.5422464786591576</c:v>
                </c:pt>
                <c:pt idx="581">
                  <c:v>3.5219019087785437</c:v>
                </c:pt>
                <c:pt idx="582">
                  <c:v>3.5018798139771654</c:v>
                </c:pt>
                <c:pt idx="583">
                  <c:v>3.4821747047659137</c:v>
                </c:pt>
                <c:pt idx="584">
                  <c:v>3.4627812093640906</c:v>
                </c:pt>
                <c:pt idx="585">
                  <c:v>3.4436940709188737</c:v>
                </c:pt>
                <c:pt idx="586">
                  <c:v>3.4249081447991587</c:v>
                </c:pt>
                <c:pt idx="587">
                  <c:v>3.4064183959616634</c:v>
                </c:pt>
                <c:pt idx="588">
                  <c:v>3.388219896387223</c:v>
                </c:pt>
                <c:pt idx="589">
                  <c:v>3.3703078225853127</c:v>
                </c:pt>
                <c:pt idx="590">
                  <c:v>3.3526774531648162</c:v>
                </c:pt>
                <c:pt idx="591">
                  <c:v>3.3353241664692055</c:v>
                </c:pt>
                <c:pt idx="592">
                  <c:v>3.3182434382742696</c:v>
                </c:pt>
                <c:pt idx="593">
                  <c:v>3.3014308395466769</c:v>
                </c:pt>
                <c:pt idx="594">
                  <c:v>3.2848820342615737</c:v>
                </c:pt>
                <c:pt idx="595">
                  <c:v>3.2685927772776493</c:v>
                </c:pt>
                <c:pt idx="596">
                  <c:v>3.2525589122679781</c:v>
                </c:pt>
                <c:pt idx="597">
                  <c:v>3.2367763697051166</c:v>
                </c:pt>
                <c:pt idx="598">
                  <c:v>3.2212411648989034</c:v>
                </c:pt>
                <c:pt idx="599">
                  <c:v>3.2059493960855181</c:v>
                </c:pt>
                <c:pt idx="600">
                  <c:v>3.1908972425663511</c:v>
                </c:pt>
                <c:pt idx="601">
                  <c:v>3.1760809628952851</c:v>
                </c:pt>
                <c:pt idx="602">
                  <c:v>3.1614968931130814</c:v>
                </c:pt>
                <c:pt idx="603">
                  <c:v>3.1471414450275033</c:v>
                </c:pt>
                <c:pt idx="604">
                  <c:v>3.1330111045379918</c:v>
                </c:pt>
                <c:pt idx="605">
                  <c:v>3.1191024300035561</c:v>
                </c:pt>
                <c:pt idx="606">
                  <c:v>3.1054120506528089</c:v>
                </c:pt>
                <c:pt idx="607">
                  <c:v>3.0919366650348716</c:v>
                </c:pt>
                <c:pt idx="608">
                  <c:v>3.0786730395101118</c:v>
                </c:pt>
                <c:pt idx="609">
                  <c:v>3.0656180067795824</c:v>
                </c:pt>
                <c:pt idx="610">
                  <c:v>3.0527684644521074</c:v>
                </c:pt>
                <c:pt idx="611">
                  <c:v>3.0401213736480082</c:v>
                </c:pt>
                <c:pt idx="612">
                  <c:v>3.0276737576384405</c:v>
                </c:pt>
                <c:pt idx="613">
                  <c:v>3.0154227005194119</c:v>
                </c:pt>
                <c:pt idx="614">
                  <c:v>3.0033653459195162</c:v>
                </c:pt>
                <c:pt idx="615">
                  <c:v>2.9914988957404969</c:v>
                </c:pt>
                <c:pt idx="616">
                  <c:v>2.9798206089297206</c:v>
                </c:pt>
                <c:pt idx="617">
                  <c:v>2.968327800283757</c:v>
                </c:pt>
                <c:pt idx="618">
                  <c:v>2.957017839282178</c:v>
                </c:pt>
                <c:pt idx="619">
                  <c:v>2.9458881489508117</c:v>
                </c:pt>
                <c:pt idx="620">
                  <c:v>2.9349362047536416</c:v>
                </c:pt>
                <c:pt idx="621">
                  <c:v>2.9241595335126025</c:v>
                </c:pt>
                <c:pt idx="622">
                  <c:v>2.9135557123545412</c:v>
                </c:pt>
                <c:pt idx="623">
                  <c:v>2.903122367684599</c:v>
                </c:pt>
                <c:pt idx="624">
                  <c:v>2.8928571741853708</c:v>
                </c:pt>
                <c:pt idx="625">
                  <c:v>2.8827578538410989</c:v>
                </c:pt>
                <c:pt idx="626">
                  <c:v>2.8728221749863154</c:v>
                </c:pt>
                <c:pt idx="627">
                  <c:v>2.8630479513782419</c:v>
                </c:pt>
                <c:pt idx="628">
                  <c:v>2.8534330412923707</c:v>
                </c:pt>
                <c:pt idx="629">
                  <c:v>2.8439753466406033</c:v>
                </c:pt>
                <c:pt idx="630">
                  <c:v>2.83467281211137</c:v>
                </c:pt>
                <c:pt idx="631">
                  <c:v>2.8255234243311822</c:v>
                </c:pt>
                <c:pt idx="632">
                  <c:v>2.8165252110470389</c:v>
                </c:pt>
                <c:pt idx="633">
                  <c:v>2.8076762403291879</c:v>
                </c:pt>
                <c:pt idx="634">
                  <c:v>2.7989746197937131</c:v>
                </c:pt>
                <c:pt idx="635">
                  <c:v>2.7904184958444271</c:v>
                </c:pt>
                <c:pt idx="636">
                  <c:v>2.7820060529336188</c:v>
                </c:pt>
                <c:pt idx="637">
                  <c:v>2.7737355128411649</c:v>
                </c:pt>
                <c:pt idx="638">
                  <c:v>2.7656051339715333</c:v>
                </c:pt>
                <c:pt idx="639">
                  <c:v>2.7576132106682629</c:v>
                </c:pt>
                <c:pt idx="640">
                  <c:v>2.7497580725454549</c:v>
                </c:pt>
                <c:pt idx="641">
                  <c:v>2.7420380838359004</c:v>
                </c:pt>
                <c:pt idx="642">
                  <c:v>2.7344516427553849</c:v>
                </c:pt>
                <c:pt idx="643">
                  <c:v>2.7269971808828037</c:v>
                </c:pt>
                <c:pt idx="644">
                  <c:v>2.719673162555714</c:v>
                </c:pt>
                <c:pt idx="645">
                  <c:v>2.7124780842809217</c:v>
                </c:pt>
                <c:pt idx="646">
                  <c:v>2.705410474159764</c:v>
                </c:pt>
                <c:pt idx="647">
                  <c:v>2.6984688913277264</c:v>
                </c:pt>
                <c:pt idx="648">
                  <c:v>2.6916519254080518</c:v>
                </c:pt>
                <c:pt idx="649">
                  <c:v>2.6849581959790241</c:v>
                </c:pt>
                <c:pt idx="650">
                  <c:v>2.6783863520545799</c:v>
                </c:pt>
                <c:pt idx="651">
                  <c:v>2.6719350715779679</c:v>
                </c:pt>
                <c:pt idx="652">
                  <c:v>2.6656030609281189</c:v>
                </c:pt>
                <c:pt idx="653">
                  <c:v>2.6593890544384617</c:v>
                </c:pt>
                <c:pt idx="654">
                  <c:v>2.6532918139278872</c:v>
                </c:pt>
                <c:pt idx="655">
                  <c:v>2.6473101282435656</c:v>
                </c:pt>
                <c:pt idx="656">
                  <c:v>2.6414428128153973</c:v>
                </c:pt>
                <c:pt idx="657">
                  <c:v>2.6356887092217733</c:v>
                </c:pt>
                <c:pt idx="658">
                  <c:v>2.6300466847664392</c:v>
                </c:pt>
                <c:pt idx="659">
                  <c:v>2.6245156320661986</c:v>
                </c:pt>
                <c:pt idx="660">
                  <c:v>2.619094468649215</c:v>
                </c:pt>
                <c:pt idx="661">
                  <c:v>2.613782136563692</c:v>
                </c:pt>
                <c:pt idx="662">
                  <c:v>2.6085776019966871</c:v>
                </c:pt>
                <c:pt idx="663">
                  <c:v>2.6034798549028717</c:v>
                </c:pt>
                <c:pt idx="664">
                  <c:v>2.5984879086429808</c:v>
                </c:pt>
                <c:pt idx="665">
                  <c:v>2.5936007996318082</c:v>
                </c:pt>
                <c:pt idx="666">
                  <c:v>2.5888175869954804</c:v>
                </c:pt>
                <c:pt idx="667">
                  <c:v>2.5841373522378737</c:v>
                </c:pt>
                <c:pt idx="668">
                  <c:v>2.5795591989159434</c:v>
                </c:pt>
                <c:pt idx="669">
                  <c:v>2.5750822523238219</c:v>
                </c:pt>
                <c:pt idx="670">
                  <c:v>2.5707056591854744</c:v>
                </c:pt>
                <c:pt idx="671">
                  <c:v>2.566428587355766</c:v>
                </c:pt>
                <c:pt idx="672">
                  <c:v>2.5622502255297697</c:v>
                </c:pt>
                <c:pt idx="673">
                  <c:v>2.5581697829601322</c:v>
                </c:pt>
                <c:pt idx="674">
                  <c:v>2.5541864891823955</c:v>
                </c:pt>
                <c:pt idx="675">
                  <c:v>2.5502995937480533</c:v>
                </c:pt>
                <c:pt idx="676">
                  <c:v>2.5465083659652601</c:v>
                </c:pt>
                <c:pt idx="677">
                  <c:v>2.5428120946470081</c:v>
                </c:pt>
                <c:pt idx="678">
                  <c:v>2.5392100878666639</c:v>
                </c:pt>
                <c:pt idx="679">
                  <c:v>2.5357016727207169</c:v>
                </c:pt>
                <c:pt idx="680">
                  <c:v>2.5322861950986075</c:v>
                </c:pt>
                <c:pt idx="681">
                  <c:v>2.5289630194595287</c:v>
                </c:pt>
                <c:pt idx="682">
                  <c:v>2.5257315286160806</c:v>
                </c:pt>
                <c:pt idx="683">
                  <c:v>2.5225911235246272</c:v>
                </c:pt>
                <c:pt idx="684">
                  <c:v>2.5195412230822964</c:v>
                </c:pt>
                <c:pt idx="685">
                  <c:v>2.5165812639304836</c:v>
                </c:pt>
                <c:pt idx="686">
                  <c:v>2.5137107002647472</c:v>
                </c:pt>
                <c:pt idx="687">
                  <c:v>2.510929003651027</c:v>
                </c:pt>
                <c:pt idx="688">
                  <c:v>2.5082356628480587</c:v>
                </c:pt>
                <c:pt idx="689">
                  <c:v>2.5056301836359149</c:v>
                </c:pt>
                <c:pt idx="690">
                  <c:v>2.5031120886505538</c:v>
                </c:pt>
                <c:pt idx="691">
                  <c:v>2.5006809172243245</c:v>
                </c:pt>
                <c:pt idx="692">
                  <c:v>2.4983362252323222</c:v>
                </c:pt>
                <c:pt idx="693">
                  <c:v>2.4960775849445072</c:v>
                </c:pt>
                <c:pt idx="694">
                  <c:v>2.4939045848835404</c:v>
                </c:pt>
                <c:pt idx="695">
                  <c:v>2.4918168296882319</c:v>
                </c:pt>
                <c:pt idx="696">
                  <c:v>2.4898139399825485</c:v>
                </c:pt>
                <c:pt idx="697">
                  <c:v>2.4878955522501065</c:v>
                </c:pt>
                <c:pt idx="698">
                  <c:v>2.486061318714091</c:v>
                </c:pt>
                <c:pt idx="699">
                  <c:v>2.484310907222524</c:v>
                </c:pt>
                <c:pt idx="700">
                  <c:v>2.4826440011388518</c:v>
                </c:pt>
                <c:pt idx="701">
                  <c:v>2.4810602992377637</c:v>
                </c:pt>
                <c:pt idx="702">
                  <c:v>2.4795595156062049</c:v>
                </c:pt>
                <c:pt idx="703">
                  <c:v>2.4781413795495402</c:v>
                </c:pt>
                <c:pt idx="704">
                  <c:v>2.4768056355028043</c:v>
                </c:pt>
                <c:pt idx="705">
                  <c:v>2.4755520429469988</c:v>
                </c:pt>
                <c:pt idx="706">
                  <c:v>2.474380376330402</c:v>
                </c:pt>
                <c:pt idx="707">
                  <c:v>2.4732904249948415</c:v>
                </c:pt>
                <c:pt idx="708">
                  <c:v>2.4722819931069004</c:v>
                </c:pt>
                <c:pt idx="709">
                  <c:v>2.4713548995940076</c:v>
                </c:pt>
                <c:pt idx="710">
                  <c:v>2.4705089780854022</c:v>
                </c:pt>
                <c:pt idx="711">
                  <c:v>2.4697440768579182</c:v>
                </c:pt>
                <c:pt idx="712">
                  <c:v>2.4690600587865865</c:v>
                </c:pt>
                <c:pt idx="713">
                  <c:v>2.4684568013000088</c:v>
                </c:pt>
                <c:pt idx="714">
                  <c:v>2.4679341963404848</c:v>
                </c:pt>
                <c:pt idx="715">
                  <c:v>2.4674921503288902</c:v>
                </c:pt>
                <c:pt idx="716">
                  <c:v>2.467130584134261</c:v>
                </c:pt>
                <c:pt idx="717">
                  <c:v>2.4668494330480892</c:v>
                </c:pt>
                <c:pt idx="718">
                  <c:v>2.4666486467633089</c:v>
                </c:pt>
                <c:pt idx="719">
                  <c:v>2.4665281893579594</c:v>
                </c:pt>
                <c:pt idx="720">
                  <c:v>2.4664880392835307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9DC-4004-837F-35A726EBF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02927"/>
        <c:axId val="29078904"/>
      </c:scatterChart>
      <c:valAx>
        <c:axId val="53502927"/>
        <c:scaling>
          <c:orientation val="minMax"/>
          <c:max val="90"/>
          <c:min val="-6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α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29078904"/>
        <c:crosses val="autoZero"/>
        <c:crossBetween val="midCat"/>
      </c:valAx>
      <c:valAx>
        <c:axId val="290789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p (bar)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5350292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Avance del encendido necesario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Carga 25 %</c:v>
          </c:tx>
          <c:spPr>
            <a:ln w="2196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Avance_rpm_carga!$A$7:$A$33</c:f>
              <c:numCache>
                <c:formatCode>General</c:formatCode>
                <c:ptCount val="27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  <c:pt idx="3">
                  <c:v>1400</c:v>
                </c:pt>
                <c:pt idx="4">
                  <c:v>1600</c:v>
                </c:pt>
                <c:pt idx="5">
                  <c:v>1800</c:v>
                </c:pt>
                <c:pt idx="6">
                  <c:v>2000</c:v>
                </c:pt>
                <c:pt idx="7">
                  <c:v>2200</c:v>
                </c:pt>
                <c:pt idx="8">
                  <c:v>2400</c:v>
                </c:pt>
                <c:pt idx="9">
                  <c:v>2600</c:v>
                </c:pt>
                <c:pt idx="10">
                  <c:v>2800</c:v>
                </c:pt>
                <c:pt idx="11">
                  <c:v>3000</c:v>
                </c:pt>
                <c:pt idx="12">
                  <c:v>3200</c:v>
                </c:pt>
                <c:pt idx="13">
                  <c:v>3400</c:v>
                </c:pt>
                <c:pt idx="14">
                  <c:v>3600</c:v>
                </c:pt>
                <c:pt idx="15">
                  <c:v>3800</c:v>
                </c:pt>
                <c:pt idx="16">
                  <c:v>4000</c:v>
                </c:pt>
                <c:pt idx="17">
                  <c:v>4200</c:v>
                </c:pt>
                <c:pt idx="18">
                  <c:v>4400</c:v>
                </c:pt>
                <c:pt idx="19">
                  <c:v>4600</c:v>
                </c:pt>
                <c:pt idx="20">
                  <c:v>4800</c:v>
                </c:pt>
                <c:pt idx="21">
                  <c:v>5000</c:v>
                </c:pt>
                <c:pt idx="22">
                  <c:v>5200</c:v>
                </c:pt>
                <c:pt idx="23">
                  <c:v>5400</c:v>
                </c:pt>
                <c:pt idx="24">
                  <c:v>5600</c:v>
                </c:pt>
                <c:pt idx="25">
                  <c:v>5800</c:v>
                </c:pt>
                <c:pt idx="26">
                  <c:v>6000</c:v>
                </c:pt>
              </c:numCache>
            </c:numRef>
          </c:xVal>
          <c:yVal>
            <c:numRef>
              <c:f>Avance_rpm_carga!$C$7:$C$33</c:f>
              <c:numCache>
                <c:formatCode>0.0</c:formatCode>
                <c:ptCount val="27"/>
                <c:pt idx="0">
                  <c:v>24.897865854071512</c:v>
                </c:pt>
                <c:pt idx="1">
                  <c:v>25.617865854071511</c:v>
                </c:pt>
                <c:pt idx="2">
                  <c:v>26.337865854071509</c:v>
                </c:pt>
                <c:pt idx="3">
                  <c:v>27.057865854071508</c:v>
                </c:pt>
                <c:pt idx="4">
                  <c:v>27.777865854071507</c:v>
                </c:pt>
                <c:pt idx="5">
                  <c:v>28.497865854071506</c:v>
                </c:pt>
                <c:pt idx="6">
                  <c:v>29.217865854071512</c:v>
                </c:pt>
                <c:pt idx="7">
                  <c:v>29.937865854071511</c:v>
                </c:pt>
                <c:pt idx="8">
                  <c:v>30.65786585407151</c:v>
                </c:pt>
                <c:pt idx="9">
                  <c:v>31.377865854071509</c:v>
                </c:pt>
                <c:pt idx="10">
                  <c:v>32.097865854071507</c:v>
                </c:pt>
                <c:pt idx="11">
                  <c:v>32.817865854071513</c:v>
                </c:pt>
                <c:pt idx="12">
                  <c:v>33.537865854071512</c:v>
                </c:pt>
                <c:pt idx="13">
                  <c:v>34.257865854071511</c:v>
                </c:pt>
                <c:pt idx="14">
                  <c:v>34.97786585407151</c:v>
                </c:pt>
                <c:pt idx="15">
                  <c:v>35.697865854071509</c:v>
                </c:pt>
                <c:pt idx="16">
                  <c:v>36.417865854071508</c:v>
                </c:pt>
                <c:pt idx="17">
                  <c:v>37.137865854071507</c:v>
                </c:pt>
                <c:pt idx="18">
                  <c:v>37.857865854071505</c:v>
                </c:pt>
                <c:pt idx="19">
                  <c:v>38.577865854071504</c:v>
                </c:pt>
                <c:pt idx="20">
                  <c:v>39.29786585407151</c:v>
                </c:pt>
                <c:pt idx="21">
                  <c:v>40.017865854071509</c:v>
                </c:pt>
                <c:pt idx="22">
                  <c:v>40.737865854071508</c:v>
                </c:pt>
                <c:pt idx="23">
                  <c:v>41.457865854071514</c:v>
                </c:pt>
                <c:pt idx="24">
                  <c:v>42.177865854071513</c:v>
                </c:pt>
                <c:pt idx="25">
                  <c:v>42.897865854071512</c:v>
                </c:pt>
                <c:pt idx="26">
                  <c:v>43.617865854071511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23-4341-92CE-BCFAF9D669DD}"/>
            </c:ext>
          </c:extLst>
        </c:ser>
        <c:ser>
          <c:idx val="1"/>
          <c:order val="1"/>
          <c:tx>
            <c:v>Carga 50 %</c:v>
          </c:tx>
          <c:spPr>
            <a:ln w="2196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Avance_rpm_carga!$A$7:$A$33</c:f>
              <c:numCache>
                <c:formatCode>General</c:formatCode>
                <c:ptCount val="27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  <c:pt idx="3">
                  <c:v>1400</c:v>
                </c:pt>
                <c:pt idx="4">
                  <c:v>1600</c:v>
                </c:pt>
                <c:pt idx="5">
                  <c:v>1800</c:v>
                </c:pt>
                <c:pt idx="6">
                  <c:v>2000</c:v>
                </c:pt>
                <c:pt idx="7">
                  <c:v>2200</c:v>
                </c:pt>
                <c:pt idx="8">
                  <c:v>2400</c:v>
                </c:pt>
                <c:pt idx="9">
                  <c:v>2600</c:v>
                </c:pt>
                <c:pt idx="10">
                  <c:v>2800</c:v>
                </c:pt>
                <c:pt idx="11">
                  <c:v>3000</c:v>
                </c:pt>
                <c:pt idx="12">
                  <c:v>3200</c:v>
                </c:pt>
                <c:pt idx="13">
                  <c:v>3400</c:v>
                </c:pt>
                <c:pt idx="14">
                  <c:v>3600</c:v>
                </c:pt>
                <c:pt idx="15">
                  <c:v>3800</c:v>
                </c:pt>
                <c:pt idx="16">
                  <c:v>4000</c:v>
                </c:pt>
                <c:pt idx="17">
                  <c:v>4200</c:v>
                </c:pt>
                <c:pt idx="18">
                  <c:v>4400</c:v>
                </c:pt>
                <c:pt idx="19">
                  <c:v>4600</c:v>
                </c:pt>
                <c:pt idx="20">
                  <c:v>4800</c:v>
                </c:pt>
                <c:pt idx="21">
                  <c:v>5000</c:v>
                </c:pt>
                <c:pt idx="22">
                  <c:v>5200</c:v>
                </c:pt>
                <c:pt idx="23">
                  <c:v>5400</c:v>
                </c:pt>
                <c:pt idx="24">
                  <c:v>5600</c:v>
                </c:pt>
                <c:pt idx="25">
                  <c:v>5800</c:v>
                </c:pt>
                <c:pt idx="26">
                  <c:v>6000</c:v>
                </c:pt>
              </c:numCache>
            </c:numRef>
          </c:xVal>
          <c:yVal>
            <c:numRef>
              <c:f>Avance_rpm_carga!$D$7:$D$33</c:f>
              <c:numCache>
                <c:formatCode>0.0</c:formatCode>
                <c:ptCount val="27"/>
                <c:pt idx="0">
                  <c:v>21.792569386408939</c:v>
                </c:pt>
                <c:pt idx="1">
                  <c:v>22.512569386408941</c:v>
                </c:pt>
                <c:pt idx="2">
                  <c:v>23.23256938640894</c:v>
                </c:pt>
                <c:pt idx="3">
                  <c:v>23.952569386408939</c:v>
                </c:pt>
                <c:pt idx="4">
                  <c:v>24.672569386408938</c:v>
                </c:pt>
                <c:pt idx="5">
                  <c:v>25.392569386408937</c:v>
                </c:pt>
                <c:pt idx="6">
                  <c:v>26.112569386408943</c:v>
                </c:pt>
                <c:pt idx="7">
                  <c:v>26.832569386408942</c:v>
                </c:pt>
                <c:pt idx="8">
                  <c:v>27.55256938640894</c:v>
                </c:pt>
                <c:pt idx="9">
                  <c:v>28.272569386408939</c:v>
                </c:pt>
                <c:pt idx="10">
                  <c:v>28.992569386408938</c:v>
                </c:pt>
                <c:pt idx="11">
                  <c:v>29.712569386408944</c:v>
                </c:pt>
                <c:pt idx="12">
                  <c:v>30.432569386408943</c:v>
                </c:pt>
                <c:pt idx="13">
                  <c:v>31.152569386408942</c:v>
                </c:pt>
                <c:pt idx="14">
                  <c:v>31.872569386408941</c:v>
                </c:pt>
                <c:pt idx="15">
                  <c:v>32.59256938640894</c:v>
                </c:pt>
                <c:pt idx="16">
                  <c:v>33.312569386408938</c:v>
                </c:pt>
                <c:pt idx="17">
                  <c:v>34.032569386408937</c:v>
                </c:pt>
                <c:pt idx="18">
                  <c:v>34.752569386408936</c:v>
                </c:pt>
                <c:pt idx="19">
                  <c:v>35.472569386408935</c:v>
                </c:pt>
                <c:pt idx="20">
                  <c:v>36.192569386408941</c:v>
                </c:pt>
                <c:pt idx="21">
                  <c:v>36.91256938640894</c:v>
                </c:pt>
                <c:pt idx="22">
                  <c:v>37.632569386408939</c:v>
                </c:pt>
                <c:pt idx="23">
                  <c:v>38.352569386408945</c:v>
                </c:pt>
                <c:pt idx="24">
                  <c:v>39.072569386408944</c:v>
                </c:pt>
                <c:pt idx="25">
                  <c:v>39.792569386408942</c:v>
                </c:pt>
                <c:pt idx="26">
                  <c:v>40.512569386408941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23-4341-92CE-BCFAF9D669DD}"/>
            </c:ext>
          </c:extLst>
        </c:ser>
        <c:ser>
          <c:idx val="2"/>
          <c:order val="2"/>
          <c:tx>
            <c:v>Carga 75 %</c:v>
          </c:tx>
          <c:spPr>
            <a:ln w="2196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Avance_rpm_carga!$A$7:$A$33</c:f>
              <c:numCache>
                <c:formatCode>General</c:formatCode>
                <c:ptCount val="27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  <c:pt idx="3">
                  <c:v>1400</c:v>
                </c:pt>
                <c:pt idx="4">
                  <c:v>1600</c:v>
                </c:pt>
                <c:pt idx="5">
                  <c:v>1800</c:v>
                </c:pt>
                <c:pt idx="6">
                  <c:v>2000</c:v>
                </c:pt>
                <c:pt idx="7">
                  <c:v>2200</c:v>
                </c:pt>
                <c:pt idx="8">
                  <c:v>2400</c:v>
                </c:pt>
                <c:pt idx="9">
                  <c:v>2600</c:v>
                </c:pt>
                <c:pt idx="10">
                  <c:v>2800</c:v>
                </c:pt>
                <c:pt idx="11">
                  <c:v>3000</c:v>
                </c:pt>
                <c:pt idx="12">
                  <c:v>3200</c:v>
                </c:pt>
                <c:pt idx="13">
                  <c:v>3400</c:v>
                </c:pt>
                <c:pt idx="14">
                  <c:v>3600</c:v>
                </c:pt>
                <c:pt idx="15">
                  <c:v>3800</c:v>
                </c:pt>
                <c:pt idx="16">
                  <c:v>4000</c:v>
                </c:pt>
                <c:pt idx="17">
                  <c:v>4200</c:v>
                </c:pt>
                <c:pt idx="18">
                  <c:v>4400</c:v>
                </c:pt>
                <c:pt idx="19">
                  <c:v>4600</c:v>
                </c:pt>
                <c:pt idx="20">
                  <c:v>4800</c:v>
                </c:pt>
                <c:pt idx="21">
                  <c:v>5000</c:v>
                </c:pt>
                <c:pt idx="22">
                  <c:v>5200</c:v>
                </c:pt>
                <c:pt idx="23">
                  <c:v>5400</c:v>
                </c:pt>
                <c:pt idx="24">
                  <c:v>5600</c:v>
                </c:pt>
                <c:pt idx="25">
                  <c:v>5800</c:v>
                </c:pt>
                <c:pt idx="26">
                  <c:v>6000</c:v>
                </c:pt>
              </c:numCache>
            </c:numRef>
          </c:xVal>
          <c:yVal>
            <c:numRef>
              <c:f>Avance_rpm_carga!$E$7:$E$33</c:f>
              <c:numCache>
                <c:formatCode>0.0</c:formatCode>
                <c:ptCount val="27"/>
                <c:pt idx="0">
                  <c:v>18.687272918746366</c:v>
                </c:pt>
                <c:pt idx="1">
                  <c:v>19.407272918746369</c:v>
                </c:pt>
                <c:pt idx="2">
                  <c:v>20.127272918746367</c:v>
                </c:pt>
                <c:pt idx="3">
                  <c:v>20.847272918746366</c:v>
                </c:pt>
                <c:pt idx="4">
                  <c:v>21.567272918746369</c:v>
                </c:pt>
                <c:pt idx="5">
                  <c:v>22.287272918746368</c:v>
                </c:pt>
                <c:pt idx="6">
                  <c:v>23.007272918746366</c:v>
                </c:pt>
                <c:pt idx="7">
                  <c:v>23.727272918746365</c:v>
                </c:pt>
                <c:pt idx="8">
                  <c:v>24.447272918746364</c:v>
                </c:pt>
                <c:pt idx="9">
                  <c:v>25.167272918746363</c:v>
                </c:pt>
                <c:pt idx="10">
                  <c:v>25.887272918746369</c:v>
                </c:pt>
                <c:pt idx="11">
                  <c:v>26.607272918746368</c:v>
                </c:pt>
                <c:pt idx="12">
                  <c:v>27.327272918746367</c:v>
                </c:pt>
                <c:pt idx="13">
                  <c:v>28.047272918746366</c:v>
                </c:pt>
                <c:pt idx="14">
                  <c:v>28.767272918746372</c:v>
                </c:pt>
                <c:pt idx="15">
                  <c:v>29.48727291874637</c:v>
                </c:pt>
                <c:pt idx="16">
                  <c:v>30.207272918746369</c:v>
                </c:pt>
                <c:pt idx="17">
                  <c:v>30.927272918746368</c:v>
                </c:pt>
                <c:pt idx="18">
                  <c:v>31.647272918746367</c:v>
                </c:pt>
                <c:pt idx="19">
                  <c:v>32.367272918746366</c:v>
                </c:pt>
                <c:pt idx="20">
                  <c:v>33.087272918746365</c:v>
                </c:pt>
                <c:pt idx="21">
                  <c:v>33.807272918746364</c:v>
                </c:pt>
                <c:pt idx="22">
                  <c:v>34.527272918746363</c:v>
                </c:pt>
                <c:pt idx="23">
                  <c:v>35.247272918746368</c:v>
                </c:pt>
                <c:pt idx="24">
                  <c:v>35.967272918746367</c:v>
                </c:pt>
                <c:pt idx="25">
                  <c:v>36.687272918746366</c:v>
                </c:pt>
                <c:pt idx="26">
                  <c:v>37.407272918746372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23-4341-92CE-BCFAF9D669DD}"/>
            </c:ext>
          </c:extLst>
        </c:ser>
        <c:ser>
          <c:idx val="3"/>
          <c:order val="3"/>
          <c:tx>
            <c:v>Carga 100 %</c:v>
          </c:tx>
          <c:spPr>
            <a:ln w="21960">
              <a:solidFill>
                <a:srgbClr val="C7D6B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Avance_rpm_carga!$A$7:$A$33</c:f>
              <c:numCache>
                <c:formatCode>General</c:formatCode>
                <c:ptCount val="27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  <c:pt idx="3">
                  <c:v>1400</c:v>
                </c:pt>
                <c:pt idx="4">
                  <c:v>1600</c:v>
                </c:pt>
                <c:pt idx="5">
                  <c:v>1800</c:v>
                </c:pt>
                <c:pt idx="6">
                  <c:v>2000</c:v>
                </c:pt>
                <c:pt idx="7">
                  <c:v>2200</c:v>
                </c:pt>
                <c:pt idx="8">
                  <c:v>2400</c:v>
                </c:pt>
                <c:pt idx="9">
                  <c:v>2600</c:v>
                </c:pt>
                <c:pt idx="10">
                  <c:v>2800</c:v>
                </c:pt>
                <c:pt idx="11">
                  <c:v>3000</c:v>
                </c:pt>
                <c:pt idx="12">
                  <c:v>3200</c:v>
                </c:pt>
                <c:pt idx="13">
                  <c:v>3400</c:v>
                </c:pt>
                <c:pt idx="14">
                  <c:v>3600</c:v>
                </c:pt>
                <c:pt idx="15">
                  <c:v>3800</c:v>
                </c:pt>
                <c:pt idx="16">
                  <c:v>4000</c:v>
                </c:pt>
                <c:pt idx="17">
                  <c:v>4200</c:v>
                </c:pt>
                <c:pt idx="18">
                  <c:v>4400</c:v>
                </c:pt>
                <c:pt idx="19">
                  <c:v>4600</c:v>
                </c:pt>
                <c:pt idx="20">
                  <c:v>4800</c:v>
                </c:pt>
                <c:pt idx="21">
                  <c:v>5000</c:v>
                </c:pt>
                <c:pt idx="22">
                  <c:v>5200</c:v>
                </c:pt>
                <c:pt idx="23">
                  <c:v>5400</c:v>
                </c:pt>
                <c:pt idx="24">
                  <c:v>5600</c:v>
                </c:pt>
                <c:pt idx="25">
                  <c:v>5800</c:v>
                </c:pt>
                <c:pt idx="26">
                  <c:v>6000</c:v>
                </c:pt>
              </c:numCache>
            </c:numRef>
          </c:xVal>
          <c:yVal>
            <c:numRef>
              <c:f>Avance_rpm_carga!$F$7:$F$33</c:f>
              <c:numCache>
                <c:formatCode>0.0</c:formatCode>
                <c:ptCount val="27"/>
                <c:pt idx="0">
                  <c:v>15.581976451083797</c:v>
                </c:pt>
                <c:pt idx="1">
                  <c:v>16.301976451083799</c:v>
                </c:pt>
                <c:pt idx="2">
                  <c:v>17.021976451083798</c:v>
                </c:pt>
                <c:pt idx="3">
                  <c:v>17.741976451083797</c:v>
                </c:pt>
                <c:pt idx="4">
                  <c:v>18.4619764510838</c:v>
                </c:pt>
                <c:pt idx="5">
                  <c:v>19.181976451083798</c:v>
                </c:pt>
                <c:pt idx="6">
                  <c:v>19.901976451083797</c:v>
                </c:pt>
                <c:pt idx="7">
                  <c:v>20.621976451083796</c:v>
                </c:pt>
                <c:pt idx="8">
                  <c:v>21.341976451083799</c:v>
                </c:pt>
                <c:pt idx="9">
                  <c:v>22.061976451083797</c:v>
                </c:pt>
                <c:pt idx="10">
                  <c:v>22.7819764510838</c:v>
                </c:pt>
                <c:pt idx="11">
                  <c:v>23.501976451083799</c:v>
                </c:pt>
                <c:pt idx="12">
                  <c:v>24.221976451083798</c:v>
                </c:pt>
                <c:pt idx="13">
                  <c:v>24.941976451083796</c:v>
                </c:pt>
                <c:pt idx="14">
                  <c:v>25.661976451083802</c:v>
                </c:pt>
                <c:pt idx="15">
                  <c:v>26.381976451083801</c:v>
                </c:pt>
                <c:pt idx="16">
                  <c:v>27.1019764510838</c:v>
                </c:pt>
                <c:pt idx="17">
                  <c:v>27.821976451083799</c:v>
                </c:pt>
                <c:pt idx="18">
                  <c:v>28.541976451083798</c:v>
                </c:pt>
                <c:pt idx="19">
                  <c:v>29.261976451083797</c:v>
                </c:pt>
                <c:pt idx="20">
                  <c:v>29.981976451083796</c:v>
                </c:pt>
                <c:pt idx="21">
                  <c:v>30.701976451083794</c:v>
                </c:pt>
                <c:pt idx="22">
                  <c:v>31.421976451083793</c:v>
                </c:pt>
                <c:pt idx="23">
                  <c:v>32.141976451083799</c:v>
                </c:pt>
                <c:pt idx="24">
                  <c:v>32.861976451083798</c:v>
                </c:pt>
                <c:pt idx="25">
                  <c:v>33.581976451083797</c:v>
                </c:pt>
                <c:pt idx="26">
                  <c:v>34.301976451083803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23-4341-92CE-BCFAF9D66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90613"/>
        <c:axId val="64543288"/>
      </c:scatterChart>
      <c:valAx>
        <c:axId val="8289061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Régimen (rpm)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64543288"/>
        <c:crosses val="autoZero"/>
        <c:crossBetween val="midCat"/>
      </c:valAx>
      <c:valAx>
        <c:axId val="64543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Avance (° APMS)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8289061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15</xdr:col>
      <xdr:colOff>145440</xdr:colOff>
      <xdr:row>23</xdr:row>
      <xdr:rowOff>149400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60</xdr:row>
      <xdr:rowOff>0</xdr:rowOff>
    </xdr:from>
    <xdr:to>
      <xdr:col>15</xdr:col>
      <xdr:colOff>145440</xdr:colOff>
      <xdr:row>77</xdr:row>
      <xdr:rowOff>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16</xdr:col>
      <xdr:colOff>90000</xdr:colOff>
      <xdr:row>23</xdr:row>
      <xdr:rowOff>147600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</xdr:row>
      <xdr:rowOff>0</xdr:rowOff>
    </xdr:from>
    <xdr:to>
      <xdr:col>13</xdr:col>
      <xdr:colOff>136080</xdr:colOff>
      <xdr:row>31</xdr:row>
      <xdr:rowOff>170640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34</xdr:row>
      <xdr:rowOff>0</xdr:rowOff>
    </xdr:from>
    <xdr:to>
      <xdr:col>13</xdr:col>
      <xdr:colOff>136080</xdr:colOff>
      <xdr:row>52</xdr:row>
      <xdr:rowOff>170640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17</xdr:col>
      <xdr:colOff>364680</xdr:colOff>
      <xdr:row>19</xdr:row>
      <xdr:rowOff>189720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24"/>
  <sheetViews>
    <sheetView showGridLines="0" zoomScaleNormal="100" workbookViewId="0">
      <pane ySplit="3" topLeftCell="A127" activePane="bottomLeft" state="frozen"/>
      <selection pane="bottomLeft"/>
    </sheetView>
  </sheetViews>
  <sheetFormatPr baseColWidth="10" defaultColWidth="8.7109375" defaultRowHeight="15" x14ac:dyDescent="0.25"/>
  <cols>
    <col min="1" max="1" width="46" customWidth="1"/>
    <col min="2" max="2" width="12" customWidth="1"/>
    <col min="3" max="3" width="9" customWidth="1"/>
    <col min="14" max="23" width="11" customWidth="1"/>
  </cols>
  <sheetData>
    <row r="1" spans="1:23" ht="25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23" ht="57.7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N2" s="5" t="s">
        <v>2</v>
      </c>
    </row>
    <row r="3" spans="1:23" ht="43.5" customHeight="1" x14ac:dyDescent="0.25">
      <c r="N3" s="6" t="s">
        <v>3</v>
      </c>
      <c r="O3" s="6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 t="s">
        <v>11</v>
      </c>
      <c r="W3" s="6" t="s">
        <v>12</v>
      </c>
    </row>
    <row r="4" spans="1:23" x14ac:dyDescent="0.25">
      <c r="A4" s="7" t="s">
        <v>13</v>
      </c>
      <c r="N4" s="8">
        <v>-180</v>
      </c>
      <c r="O4" s="8">
        <f t="shared" ref="O4:O67" si="0">$B$30+PI()/4*($B$5/10)^2*($B$31+$B$7/10-$B$31*COS(RADIANS(N4))-SQRT(($B$7/10)^2-($B$31*SIN(RADIANS(N4)))^2))</f>
        <v>403.24087038076988</v>
      </c>
      <c r="P4" s="9">
        <f t="shared" ref="P4:P67" si="1">IF(N4&gt;$B$36,1-EXP(-$B$16*((N4-$B$36)/$B$35)^($B$17+1)),0)</f>
        <v>0</v>
      </c>
      <c r="Q4" s="10">
        <f>$B$32</f>
        <v>0.72</v>
      </c>
      <c r="R4" s="10">
        <f>$B$32</f>
        <v>0.72</v>
      </c>
      <c r="S4" s="9">
        <f t="shared" ref="S4:S67" si="2">IF(N4&lt;=$B$38,IF(N4&gt;$B$37,1-EXP(-$B$16*((N4-$B$37)/$B$35)^($B$17+1)),0),$B$22+(1-$B$22)*(1-EXP(-(N4-$B$38)/$B$23)))</f>
        <v>0</v>
      </c>
      <c r="T4" s="10">
        <f>$B$32</f>
        <v>0.72</v>
      </c>
      <c r="U4" s="10">
        <f t="shared" ref="U4:U67" si="3">T4+IF(N4&gt;$B$38,$B$24*EXP(-(N4-$B$38)/$B$26)*SIN(2*PI()*(N4-$B$38)/$B$39),0)</f>
        <v>0.72</v>
      </c>
      <c r="V4" s="8">
        <v>0</v>
      </c>
      <c r="W4" s="8">
        <v>0</v>
      </c>
    </row>
    <row r="5" spans="1:23" x14ac:dyDescent="0.25">
      <c r="A5" s="11" t="s">
        <v>14</v>
      </c>
      <c r="B5" s="12">
        <v>76</v>
      </c>
      <c r="C5" s="11" t="s">
        <v>15</v>
      </c>
      <c r="N5" s="8">
        <v>-179.5</v>
      </c>
      <c r="O5" s="8">
        <f t="shared" si="0"/>
        <v>403.23593507515733</v>
      </c>
      <c r="P5" s="9">
        <f t="shared" si="1"/>
        <v>0</v>
      </c>
      <c r="Q5" s="10">
        <f t="shared" ref="Q5:Q68" si="4">Q4*(O4/O5)^$B$9+10*($B$9-1)*$B$33*(P5-P4)/((O4+O5)/2)</f>
        <v>0.72001172032992988</v>
      </c>
      <c r="R5" s="10">
        <f t="shared" ref="R5:R68" si="5">R4*(O4/O5)^$B$9</f>
        <v>0.72001172032992988</v>
      </c>
      <c r="S5" s="9">
        <f t="shared" si="2"/>
        <v>0</v>
      </c>
      <c r="T5" s="10">
        <f t="shared" ref="T5:T68" si="6">T4*(O4/O5)^$B$9+10*($B$9-1)*$B$33*(S5-S4)/((O4+O5)/2)</f>
        <v>0.72001172032992988</v>
      </c>
      <c r="U5" s="10">
        <f t="shared" si="3"/>
        <v>0.72001172032992988</v>
      </c>
      <c r="V5" s="8">
        <f t="shared" ref="V5:V68" si="7">V4+(Q4+Q5)/2*(O5-O4)/10</f>
        <v>-3.5534489627398114E-4</v>
      </c>
      <c r="W5" s="8">
        <f t="shared" ref="W5:W68" si="8">W4+(T4+T5)/2*(O5-O4)/10</f>
        <v>-3.5534489627398114E-4</v>
      </c>
    </row>
    <row r="6" spans="1:23" x14ac:dyDescent="0.25">
      <c r="A6" s="11" t="s">
        <v>16</v>
      </c>
      <c r="B6" s="12">
        <v>80</v>
      </c>
      <c r="C6" s="11" t="s">
        <v>15</v>
      </c>
      <c r="N6" s="8">
        <v>-179</v>
      </c>
      <c r="O6" s="8">
        <f t="shared" si="0"/>
        <v>403.22112911998289</v>
      </c>
      <c r="P6" s="9">
        <f t="shared" si="1"/>
        <v>0</v>
      </c>
      <c r="Q6" s="10">
        <f t="shared" si="4"/>
        <v>0.72004688341625767</v>
      </c>
      <c r="R6" s="10">
        <f t="shared" si="5"/>
        <v>0.72004688341625767</v>
      </c>
      <c r="S6" s="9">
        <f t="shared" si="2"/>
        <v>0</v>
      </c>
      <c r="T6" s="10">
        <f t="shared" si="6"/>
        <v>0.72004688341625767</v>
      </c>
      <c r="U6" s="10">
        <f t="shared" si="3"/>
        <v>0.72004688341625767</v>
      </c>
      <c r="V6" s="8">
        <f t="shared" si="7"/>
        <v>-1.4214170530554846E-3</v>
      </c>
      <c r="W6" s="8">
        <f t="shared" si="8"/>
        <v>-1.4214170530554846E-3</v>
      </c>
    </row>
    <row r="7" spans="1:23" x14ac:dyDescent="0.25">
      <c r="A7" s="11" t="s">
        <v>17</v>
      </c>
      <c r="B7" s="12">
        <v>140</v>
      </c>
      <c r="C7" s="11" t="s">
        <v>15</v>
      </c>
      <c r="N7" s="8">
        <v>-178.5</v>
      </c>
      <c r="O7" s="8">
        <f t="shared" si="0"/>
        <v>403.1964524003281</v>
      </c>
      <c r="P7" s="9">
        <f t="shared" si="1"/>
        <v>0</v>
      </c>
      <c r="Q7" s="10">
        <f t="shared" si="4"/>
        <v>0.72010549554927406</v>
      </c>
      <c r="R7" s="10">
        <f t="shared" si="5"/>
        <v>0.72010549554927406</v>
      </c>
      <c r="S7" s="9">
        <f t="shared" si="2"/>
        <v>0</v>
      </c>
      <c r="T7" s="10">
        <f t="shared" si="6"/>
        <v>0.72010549554927406</v>
      </c>
      <c r="U7" s="10">
        <f t="shared" si="3"/>
        <v>0.72010549554927406</v>
      </c>
      <c r="V7" s="8">
        <f t="shared" si="7"/>
        <v>-3.198328878851203E-3</v>
      </c>
      <c r="W7" s="8">
        <f t="shared" si="8"/>
        <v>-3.198328878851203E-3</v>
      </c>
    </row>
    <row r="8" spans="1:23" x14ac:dyDescent="0.25">
      <c r="A8" s="11" t="s">
        <v>18</v>
      </c>
      <c r="B8" s="12">
        <v>10</v>
      </c>
      <c r="C8" s="11" t="s">
        <v>19</v>
      </c>
      <c r="N8" s="8">
        <v>-178</v>
      </c>
      <c r="O8" s="8">
        <f t="shared" si="0"/>
        <v>403.16190472496294</v>
      </c>
      <c r="P8" s="9">
        <f t="shared" si="1"/>
        <v>0</v>
      </c>
      <c r="Q8" s="10">
        <f t="shared" si="4"/>
        <v>0.72018756721506749</v>
      </c>
      <c r="R8" s="10">
        <f t="shared" si="5"/>
        <v>0.72018756721506749</v>
      </c>
      <c r="S8" s="9">
        <f t="shared" si="2"/>
        <v>0</v>
      </c>
      <c r="T8" s="10">
        <f t="shared" si="6"/>
        <v>0.72018756721506749</v>
      </c>
      <c r="U8" s="10">
        <f t="shared" si="3"/>
        <v>0.72018756721506749</v>
      </c>
      <c r="V8" s="8">
        <f t="shared" si="7"/>
        <v>-5.6862677370050005E-3</v>
      </c>
      <c r="W8" s="8">
        <f t="shared" si="8"/>
        <v>-5.6862677370050005E-3</v>
      </c>
    </row>
    <row r="9" spans="1:23" x14ac:dyDescent="0.25">
      <c r="A9" s="11" t="s">
        <v>20</v>
      </c>
      <c r="B9" s="13">
        <v>1.33</v>
      </c>
      <c r="C9" s="11" t="s">
        <v>19</v>
      </c>
      <c r="N9" s="8">
        <v>-177.5</v>
      </c>
      <c r="O9" s="8">
        <f t="shared" si="0"/>
        <v>403.11748582679905</v>
      </c>
      <c r="P9" s="9">
        <f t="shared" si="1"/>
        <v>0</v>
      </c>
      <c r="Q9" s="10">
        <f t="shared" si="4"/>
        <v>0.72029311309892619</v>
      </c>
      <c r="R9" s="10">
        <f t="shared" si="5"/>
        <v>0.72029311309892619</v>
      </c>
      <c r="S9" s="9">
        <f t="shared" si="2"/>
        <v>0</v>
      </c>
      <c r="T9" s="10">
        <f t="shared" si="6"/>
        <v>0.72029311309892619</v>
      </c>
      <c r="U9" s="10">
        <f t="shared" si="3"/>
        <v>0.72029311309892619</v>
      </c>
      <c r="V9" s="8">
        <f t="shared" si="7"/>
        <v>-8.8854959693004179E-3</v>
      </c>
      <c r="W9" s="8">
        <f t="shared" si="8"/>
        <v>-8.8854959693004179E-3</v>
      </c>
    </row>
    <row r="10" spans="1:23" x14ac:dyDescent="0.25">
      <c r="A10" s="7" t="s">
        <v>21</v>
      </c>
      <c r="N10" s="8">
        <v>-177</v>
      </c>
      <c r="O10" s="8">
        <f t="shared" si="0"/>
        <v>403.06319536352288</v>
      </c>
      <c r="P10" s="9">
        <f t="shared" si="1"/>
        <v>0</v>
      </c>
      <c r="Q10" s="10">
        <f t="shared" si="4"/>
        <v>0.72042215209010663</v>
      </c>
      <c r="R10" s="10">
        <f t="shared" si="5"/>
        <v>0.72042215209010663</v>
      </c>
      <c r="S10" s="9">
        <f t="shared" si="2"/>
        <v>0</v>
      </c>
      <c r="T10" s="10">
        <f t="shared" si="6"/>
        <v>0.72042215209010663</v>
      </c>
      <c r="U10" s="10">
        <f t="shared" si="3"/>
        <v>0.72042215209010663</v>
      </c>
      <c r="V10" s="8">
        <f t="shared" si="7"/>
        <v>-1.2796350929108892E-2</v>
      </c>
      <c r="W10" s="8">
        <f t="shared" si="8"/>
        <v>-1.2796350929108892E-2</v>
      </c>
    </row>
    <row r="11" spans="1:23" x14ac:dyDescent="0.25">
      <c r="A11" s="11" t="s">
        <v>22</v>
      </c>
      <c r="B11" s="12">
        <v>2000</v>
      </c>
      <c r="C11" s="11" t="s">
        <v>23</v>
      </c>
      <c r="N11" s="8">
        <v>-176.5</v>
      </c>
      <c r="O11" s="8">
        <f t="shared" si="0"/>
        <v>402.99903291840974</v>
      </c>
      <c r="P11" s="9">
        <f t="shared" si="1"/>
        <v>0</v>
      </c>
      <c r="Q11" s="10">
        <f t="shared" si="4"/>
        <v>0.7205747072879688</v>
      </c>
      <c r="R11" s="10">
        <f t="shared" si="5"/>
        <v>0.7205747072879688</v>
      </c>
      <c r="S11" s="9">
        <f t="shared" si="2"/>
        <v>0</v>
      </c>
      <c r="T11" s="10">
        <f t="shared" si="6"/>
        <v>0.7205747072879688</v>
      </c>
      <c r="U11" s="10">
        <f t="shared" si="3"/>
        <v>0.7205747072879688</v>
      </c>
      <c r="V11" s="8">
        <f t="shared" si="7"/>
        <v>-1.7419245024011581E-2</v>
      </c>
      <c r="W11" s="8">
        <f t="shared" si="8"/>
        <v>-1.7419245024011581E-2</v>
      </c>
    </row>
    <row r="12" spans="1:23" x14ac:dyDescent="0.25">
      <c r="A12" s="11" t="s">
        <v>24</v>
      </c>
      <c r="B12" s="14">
        <v>0.6</v>
      </c>
      <c r="C12" s="11" t="s">
        <v>25</v>
      </c>
      <c r="N12" s="8">
        <v>-176</v>
      </c>
      <c r="O12" s="8">
        <f t="shared" si="0"/>
        <v>402.92499800131992</v>
      </c>
      <c r="P12" s="9">
        <f t="shared" si="1"/>
        <v>0</v>
      </c>
      <c r="Q12" s="10">
        <f t="shared" si="4"/>
        <v>0.72075080600947805</v>
      </c>
      <c r="R12" s="10">
        <f t="shared" si="5"/>
        <v>0.72075080600947805</v>
      </c>
      <c r="S12" s="9">
        <f t="shared" si="2"/>
        <v>0</v>
      </c>
      <c r="T12" s="10">
        <f t="shared" si="6"/>
        <v>0.72075080600947805</v>
      </c>
      <c r="U12" s="10">
        <f t="shared" si="3"/>
        <v>0.72075080600947805</v>
      </c>
      <c r="V12" s="8">
        <f t="shared" si="7"/>
        <v>-2.2754665767832406E-2</v>
      </c>
      <c r="W12" s="8">
        <f t="shared" si="8"/>
        <v>-2.2754665767832406E-2</v>
      </c>
    </row>
    <row r="13" spans="1:23" x14ac:dyDescent="0.25">
      <c r="A13" s="11" t="s">
        <v>26</v>
      </c>
      <c r="B13" s="12">
        <v>650</v>
      </c>
      <c r="C13" s="11" t="s">
        <v>27</v>
      </c>
      <c r="N13" s="8">
        <v>-175.5</v>
      </c>
      <c r="O13" s="8">
        <f t="shared" si="0"/>
        <v>402.84109004987437</v>
      </c>
      <c r="P13" s="9">
        <f t="shared" si="1"/>
        <v>0</v>
      </c>
      <c r="Q13" s="10">
        <f t="shared" si="4"/>
        <v>0.72095047979808546</v>
      </c>
      <c r="R13" s="10">
        <f t="shared" si="5"/>
        <v>0.72095047979808546</v>
      </c>
      <c r="S13" s="9">
        <f t="shared" si="2"/>
        <v>0</v>
      </c>
      <c r="T13" s="10">
        <f t="shared" si="6"/>
        <v>0.72095047979808546</v>
      </c>
      <c r="U13" s="10">
        <f t="shared" si="3"/>
        <v>0.72095047979808546</v>
      </c>
      <c r="V13" s="8">
        <f t="shared" si="7"/>
        <v>-2.8803175842259054E-2</v>
      </c>
      <c r="W13" s="8">
        <f t="shared" si="8"/>
        <v>-2.8803175842259054E-2</v>
      </c>
    </row>
    <row r="14" spans="1:23" x14ac:dyDescent="0.25">
      <c r="A14" s="11" t="s">
        <v>28</v>
      </c>
      <c r="B14" s="13">
        <v>0.6</v>
      </c>
      <c r="C14" s="11" t="s">
        <v>29</v>
      </c>
      <c r="N14" s="8">
        <v>-175</v>
      </c>
      <c r="O14" s="8">
        <f t="shared" si="0"/>
        <v>402.74730843081329</v>
      </c>
      <c r="P14" s="9">
        <f t="shared" si="1"/>
        <v>0</v>
      </c>
      <c r="Q14" s="10">
        <f t="shared" si="4"/>
        <v>0.7211737644339794</v>
      </c>
      <c r="R14" s="10">
        <f t="shared" si="5"/>
        <v>0.7211737644339794</v>
      </c>
      <c r="S14" s="9">
        <f t="shared" si="2"/>
        <v>0</v>
      </c>
      <c r="T14" s="10">
        <f t="shared" si="6"/>
        <v>0.7211737644339794</v>
      </c>
      <c r="U14" s="10">
        <f t="shared" si="3"/>
        <v>0.7211737644339794</v>
      </c>
      <c r="V14" s="8">
        <f t="shared" si="7"/>
        <v>-3.5565413167824744E-2</v>
      </c>
      <c r="W14" s="8">
        <f t="shared" si="8"/>
        <v>-3.5565413167824744E-2</v>
      </c>
    </row>
    <row r="15" spans="1:23" x14ac:dyDescent="0.25">
      <c r="A15" s="11" t="s">
        <v>30</v>
      </c>
      <c r="B15" s="12">
        <v>40</v>
      </c>
      <c r="C15" s="11" t="s">
        <v>31</v>
      </c>
      <c r="N15" s="8">
        <v>-174.5</v>
      </c>
      <c r="O15" s="8">
        <f t="shared" si="0"/>
        <v>402.6436524415347</v>
      </c>
      <c r="P15" s="9">
        <f t="shared" si="1"/>
        <v>0</v>
      </c>
      <c r="Q15" s="10">
        <f t="shared" si="4"/>
        <v>0.72142069994572555</v>
      </c>
      <c r="R15" s="10">
        <f t="shared" si="5"/>
        <v>0.72142069994572555</v>
      </c>
      <c r="S15" s="9">
        <f t="shared" si="2"/>
        <v>0</v>
      </c>
      <c r="T15" s="10">
        <f t="shared" si="6"/>
        <v>0.72142069994572555</v>
      </c>
      <c r="U15" s="10">
        <f t="shared" si="3"/>
        <v>0.72142069994572555</v>
      </c>
      <c r="V15" s="8">
        <f t="shared" si="7"/>
        <v>-4.3042090984479767E-2</v>
      </c>
      <c r="W15" s="8">
        <f t="shared" si="8"/>
        <v>-4.3042090984479767E-2</v>
      </c>
    </row>
    <row r="16" spans="1:23" x14ac:dyDescent="0.25">
      <c r="A16" s="11" t="s">
        <v>32</v>
      </c>
      <c r="B16" s="12">
        <v>5</v>
      </c>
      <c r="C16" s="11" t="s">
        <v>19</v>
      </c>
      <c r="N16" s="8">
        <v>-174</v>
      </c>
      <c r="O16" s="8">
        <f t="shared" si="0"/>
        <v>402.53012131181453</v>
      </c>
      <c r="P16" s="9">
        <f t="shared" si="1"/>
        <v>0</v>
      </c>
      <c r="Q16" s="10">
        <f t="shared" si="4"/>
        <v>0.72169133062329271</v>
      </c>
      <c r="R16" s="10">
        <f t="shared" si="5"/>
        <v>0.72169133062329271</v>
      </c>
      <c r="S16" s="9">
        <f t="shared" si="2"/>
        <v>0</v>
      </c>
      <c r="T16" s="10">
        <f t="shared" si="6"/>
        <v>0.72169133062329271</v>
      </c>
      <c r="U16" s="10">
        <f t="shared" si="3"/>
        <v>0.72169133062329271</v>
      </c>
      <c r="V16" s="8">
        <f t="shared" si="7"/>
        <v>-5.1233997941643399E-2</v>
      </c>
      <c r="W16" s="8">
        <f t="shared" si="8"/>
        <v>-5.1233997941643399E-2</v>
      </c>
    </row>
    <row r="17" spans="1:23" x14ac:dyDescent="0.25">
      <c r="A17" s="11" t="s">
        <v>33</v>
      </c>
      <c r="B17" s="12">
        <v>2</v>
      </c>
      <c r="C17" s="11" t="s">
        <v>19</v>
      </c>
      <c r="N17" s="8">
        <v>-173.5</v>
      </c>
      <c r="O17" s="8">
        <f t="shared" si="0"/>
        <v>402.40671420570891</v>
      </c>
      <c r="P17" s="9">
        <f t="shared" si="1"/>
        <v>0</v>
      </c>
      <c r="Q17" s="10">
        <f t="shared" si="4"/>
        <v>0.72198570503247428</v>
      </c>
      <c r="R17" s="10">
        <f t="shared" si="5"/>
        <v>0.72198570503247428</v>
      </c>
      <c r="S17" s="9">
        <f t="shared" si="2"/>
        <v>0</v>
      </c>
      <c r="T17" s="10">
        <f t="shared" si="6"/>
        <v>0.72198570503247428</v>
      </c>
      <c r="U17" s="10">
        <f t="shared" si="3"/>
        <v>0.72198570503247428</v>
      </c>
      <c r="V17" s="8">
        <f t="shared" si="7"/>
        <v>-6.014199819771409E-2</v>
      </c>
      <c r="W17" s="8">
        <f t="shared" si="8"/>
        <v>-6.014199819771409E-2</v>
      </c>
    </row>
    <row r="18" spans="1:23" x14ac:dyDescent="0.25">
      <c r="A18" s="7" t="s">
        <v>34</v>
      </c>
      <c r="N18" s="8">
        <v>-173</v>
      </c>
      <c r="O18" s="8">
        <f t="shared" si="0"/>
        <v>402.27343022363709</v>
      </c>
      <c r="P18" s="9">
        <f t="shared" si="1"/>
        <v>0</v>
      </c>
      <c r="Q18" s="10">
        <f t="shared" si="4"/>
        <v>0.72230387603071322</v>
      </c>
      <c r="R18" s="10">
        <f t="shared" si="5"/>
        <v>0.72230387603071322</v>
      </c>
      <c r="S18" s="9">
        <f t="shared" si="2"/>
        <v>0</v>
      </c>
      <c r="T18" s="10">
        <f t="shared" si="6"/>
        <v>0.72230387603071322</v>
      </c>
      <c r="U18" s="10">
        <f t="shared" si="3"/>
        <v>0.72230387603071322</v>
      </c>
      <c r="V18" s="8">
        <f t="shared" si="7"/>
        <v>-6.9767031529160944E-2</v>
      </c>
      <c r="W18" s="8">
        <f t="shared" si="8"/>
        <v>-6.9767031529160944E-2</v>
      </c>
    </row>
    <row r="19" spans="1:23" x14ac:dyDescent="0.25">
      <c r="A19" s="11" t="s">
        <v>35</v>
      </c>
      <c r="B19" s="12">
        <v>30</v>
      </c>
      <c r="C19" s="11" t="s">
        <v>36</v>
      </c>
      <c r="N19" s="8">
        <v>-172.5</v>
      </c>
      <c r="O19" s="8">
        <f t="shared" si="0"/>
        <v>402.13026840464664</v>
      </c>
      <c r="P19" s="9">
        <f t="shared" si="1"/>
        <v>0</v>
      </c>
      <c r="Q19" s="10">
        <f t="shared" si="4"/>
        <v>0.72264590078433621</v>
      </c>
      <c r="R19" s="10">
        <f t="shared" si="5"/>
        <v>0.72264590078433621</v>
      </c>
      <c r="S19" s="9">
        <f t="shared" si="2"/>
        <v>0</v>
      </c>
      <c r="T19" s="10">
        <f t="shared" si="6"/>
        <v>0.72264590078433621</v>
      </c>
      <c r="U19" s="10">
        <f t="shared" si="3"/>
        <v>0.72264590078433621</v>
      </c>
      <c r="V19" s="8">
        <f t="shared" si="7"/>
        <v>-8.0110113449095285E-2</v>
      </c>
      <c r="W19" s="8">
        <f t="shared" si="8"/>
        <v>-8.0110113449095285E-2</v>
      </c>
    </row>
    <row r="20" spans="1:23" x14ac:dyDescent="0.25">
      <c r="A20" s="7" t="s">
        <v>37</v>
      </c>
      <c r="N20" s="8">
        <v>-172</v>
      </c>
      <c r="O20" s="8">
        <f t="shared" si="0"/>
        <v>401.97722772885965</v>
      </c>
      <c r="P20" s="9">
        <f t="shared" si="1"/>
        <v>0</v>
      </c>
      <c r="Q20" s="10">
        <f t="shared" si="4"/>
        <v>0.72301184078720859</v>
      </c>
      <c r="R20" s="10">
        <f t="shared" si="5"/>
        <v>0.72301184078720859</v>
      </c>
      <c r="S20" s="9">
        <f t="shared" si="2"/>
        <v>0</v>
      </c>
      <c r="T20" s="10">
        <f t="shared" si="6"/>
        <v>0.72301184078720859</v>
      </c>
      <c r="U20" s="10">
        <f t="shared" si="3"/>
        <v>0.72301184078720859</v>
      </c>
      <c r="V20" s="8">
        <f t="shared" si="7"/>
        <v>-9.1172335335435936E-2</v>
      </c>
      <c r="W20" s="8">
        <f t="shared" si="8"/>
        <v>-9.1172335335435936E-2</v>
      </c>
    </row>
    <row r="21" spans="1:23" x14ac:dyDescent="0.25">
      <c r="A21" s="11" t="s">
        <v>38</v>
      </c>
      <c r="B21" s="12">
        <v>34</v>
      </c>
      <c r="C21" s="11" t="s">
        <v>36</v>
      </c>
      <c r="N21" s="8">
        <v>-171.5</v>
      </c>
      <c r="O21" s="8">
        <f t="shared" si="0"/>
        <v>401.81430712010138</v>
      </c>
      <c r="P21" s="9">
        <f t="shared" si="1"/>
        <v>0</v>
      </c>
      <c r="Q21" s="10">
        <f t="shared" si="4"/>
        <v>0.72340176188081706</v>
      </c>
      <c r="R21" s="10">
        <f t="shared" si="5"/>
        <v>0.72340176188081706</v>
      </c>
      <c r="S21" s="9">
        <f t="shared" si="2"/>
        <v>0</v>
      </c>
      <c r="T21" s="10">
        <f t="shared" si="6"/>
        <v>0.72340176188081706</v>
      </c>
      <c r="U21" s="10">
        <f t="shared" si="3"/>
        <v>0.72340176188081706</v>
      </c>
      <c r="V21" s="8">
        <f t="shared" si="7"/>
        <v>-0.10295486456858181</v>
      </c>
      <c r="W21" s="8">
        <f t="shared" si="8"/>
        <v>-0.10295486456858181</v>
      </c>
    </row>
    <row r="22" spans="1:23" x14ac:dyDescent="0.25">
      <c r="A22" s="11" t="s">
        <v>39</v>
      </c>
      <c r="B22" s="13">
        <v>0.6</v>
      </c>
      <c r="C22" s="11" t="s">
        <v>19</v>
      </c>
      <c r="N22" s="8">
        <v>-171</v>
      </c>
      <c r="O22" s="8">
        <f t="shared" si="0"/>
        <v>401.64150544871046</v>
      </c>
      <c r="P22" s="9">
        <f t="shared" si="1"/>
        <v>0</v>
      </c>
      <c r="Q22" s="10">
        <f t="shared" si="4"/>
        <v>0.72381573427579171</v>
      </c>
      <c r="R22" s="10">
        <f t="shared" si="5"/>
        <v>0.72381573427579171</v>
      </c>
      <c r="S22" s="9">
        <f t="shared" si="2"/>
        <v>0</v>
      </c>
      <c r="T22" s="10">
        <f t="shared" si="6"/>
        <v>0.72381573427579171</v>
      </c>
      <c r="U22" s="10">
        <f t="shared" si="3"/>
        <v>0.72381573427579171</v>
      </c>
      <c r="V22" s="8">
        <f t="shared" si="7"/>
        <v>-0.11545894467868362</v>
      </c>
      <c r="W22" s="8">
        <f t="shared" si="8"/>
        <v>-0.11545894467868362</v>
      </c>
    </row>
    <row r="23" spans="1:23" x14ac:dyDescent="0.25">
      <c r="A23" s="11" t="s">
        <v>40</v>
      </c>
      <c r="B23" s="13">
        <v>1.5</v>
      </c>
      <c r="C23" s="11" t="s">
        <v>31</v>
      </c>
      <c r="N23" s="8">
        <v>-170.5</v>
      </c>
      <c r="O23" s="8">
        <f t="shared" si="0"/>
        <v>401.45882153453209</v>
      </c>
      <c r="P23" s="9">
        <f t="shared" si="1"/>
        <v>0</v>
      </c>
      <c r="Q23" s="10">
        <f t="shared" si="4"/>
        <v>0.72425383257487619</v>
      </c>
      <c r="R23" s="10">
        <f t="shared" si="5"/>
        <v>0.72425383257487619</v>
      </c>
      <c r="S23" s="9">
        <f t="shared" si="2"/>
        <v>0</v>
      </c>
      <c r="T23" s="10">
        <f t="shared" si="6"/>
        <v>0.72425383257487619</v>
      </c>
      <c r="U23" s="10">
        <f t="shared" si="3"/>
        <v>0.72425383257487619</v>
      </c>
      <c r="V23" s="8">
        <f t="shared" si="7"/>
        <v>-0.12868589550242643</v>
      </c>
      <c r="W23" s="8">
        <f t="shared" si="8"/>
        <v>-0.12868589550242643</v>
      </c>
    </row>
    <row r="24" spans="1:23" x14ac:dyDescent="0.25">
      <c r="A24" s="11" t="s">
        <v>41</v>
      </c>
      <c r="B24" s="13">
        <v>3</v>
      </c>
      <c r="C24" s="11" t="s">
        <v>42</v>
      </c>
      <c r="N24" s="8">
        <v>-170</v>
      </c>
      <c r="O24" s="8">
        <f t="shared" si="0"/>
        <v>401.26625415009181</v>
      </c>
      <c r="P24" s="9">
        <f t="shared" si="1"/>
        <v>0</v>
      </c>
      <c r="Q24" s="10">
        <f t="shared" si="4"/>
        <v>0.72471613579736194</v>
      </c>
      <c r="R24" s="10">
        <f t="shared" si="5"/>
        <v>0.72471613579736194</v>
      </c>
      <c r="S24" s="9">
        <f t="shared" si="2"/>
        <v>0</v>
      </c>
      <c r="T24" s="10">
        <f t="shared" si="6"/>
        <v>0.72471613579736194</v>
      </c>
      <c r="U24" s="10">
        <f t="shared" si="3"/>
        <v>0.72471613579736194</v>
      </c>
      <c r="V24" s="8">
        <f t="shared" si="7"/>
        <v>-0.14263711334952434</v>
      </c>
      <c r="W24" s="8">
        <f t="shared" si="8"/>
        <v>-0.14263711334952434</v>
      </c>
    </row>
    <row r="25" spans="1:23" x14ac:dyDescent="0.25">
      <c r="A25" s="11" t="s">
        <v>43</v>
      </c>
      <c r="B25" s="12">
        <v>6</v>
      </c>
      <c r="C25" s="11" t="s">
        <v>44</v>
      </c>
      <c r="N25" s="8">
        <v>-169.5</v>
      </c>
      <c r="O25" s="8">
        <f t="shared" si="0"/>
        <v>401.06380202395269</v>
      </c>
      <c r="P25" s="9">
        <f t="shared" si="1"/>
        <v>0</v>
      </c>
      <c r="Q25" s="10">
        <f t="shared" si="4"/>
        <v>0.72520272740499558</v>
      </c>
      <c r="R25" s="10">
        <f t="shared" si="5"/>
        <v>0.72520272740499558</v>
      </c>
      <c r="S25" s="9">
        <f t="shared" si="2"/>
        <v>0</v>
      </c>
      <c r="T25" s="10">
        <f t="shared" si="6"/>
        <v>0.72520272740499558</v>
      </c>
      <c r="U25" s="10">
        <f t="shared" si="3"/>
        <v>0.72520272740499558</v>
      </c>
      <c r="V25" s="8">
        <f t="shared" si="7"/>
        <v>-0.1573140711787511</v>
      </c>
      <c r="W25" s="8">
        <f t="shared" si="8"/>
        <v>-0.1573140711787511</v>
      </c>
    </row>
    <row r="26" spans="1:23" x14ac:dyDescent="0.25">
      <c r="A26" s="11" t="s">
        <v>45</v>
      </c>
      <c r="B26" s="12">
        <v>10</v>
      </c>
      <c r="C26" s="11" t="s">
        <v>31</v>
      </c>
      <c r="N26" s="8">
        <v>-169</v>
      </c>
      <c r="O26" s="8">
        <f t="shared" si="0"/>
        <v>400.85146384425525</v>
      </c>
      <c r="P26" s="9">
        <f t="shared" si="1"/>
        <v>0</v>
      </c>
      <c r="Q26" s="10">
        <f t="shared" si="4"/>
        <v>0.72571369532937036</v>
      </c>
      <c r="R26" s="10">
        <f t="shared" si="5"/>
        <v>0.72571369532937036</v>
      </c>
      <c r="S26" s="9">
        <f t="shared" si="2"/>
        <v>0</v>
      </c>
      <c r="T26" s="10">
        <f t="shared" si="6"/>
        <v>0.72571369532937036</v>
      </c>
      <c r="U26" s="10">
        <f t="shared" si="3"/>
        <v>0.72571369532937036</v>
      </c>
      <c r="V26" s="8">
        <f t="shared" si="7"/>
        <v>-0.17271831878357793</v>
      </c>
      <c r="W26" s="8">
        <f t="shared" si="8"/>
        <v>-0.17271831878357793</v>
      </c>
    </row>
    <row r="27" spans="1:23" x14ac:dyDescent="0.25">
      <c r="N27" s="8">
        <v>-168.5</v>
      </c>
      <c r="O27" s="8">
        <f t="shared" si="0"/>
        <v>400.629238262439</v>
      </c>
      <c r="P27" s="9">
        <f t="shared" si="1"/>
        <v>0</v>
      </c>
      <c r="Q27" s="10">
        <f t="shared" si="4"/>
        <v>0.72624913200082286</v>
      </c>
      <c r="R27" s="10">
        <f t="shared" si="5"/>
        <v>0.72624913200082286</v>
      </c>
      <c r="S27" s="9">
        <f t="shared" si="2"/>
        <v>0</v>
      </c>
      <c r="T27" s="10">
        <f t="shared" si="6"/>
        <v>0.72624913200082286</v>
      </c>
      <c r="U27" s="10">
        <f t="shared" si="3"/>
        <v>0.72624913200082286</v>
      </c>
      <c r="V27" s="8">
        <f t="shared" si="7"/>
        <v>-0.18885148298752866</v>
      </c>
      <c r="W27" s="8">
        <f t="shared" si="8"/>
        <v>-0.18885148298752866</v>
      </c>
    </row>
    <row r="28" spans="1:23" x14ac:dyDescent="0.25">
      <c r="A28" s="7" t="s">
        <v>46</v>
      </c>
      <c r="N28" s="8">
        <v>-168</v>
      </c>
      <c r="O28" s="8">
        <f t="shared" si="0"/>
        <v>400.39712389714674</v>
      </c>
      <c r="P28" s="9">
        <f t="shared" si="1"/>
        <v>0</v>
      </c>
      <c r="Q28" s="10">
        <f t="shared" si="4"/>
        <v>0.72680913437884365</v>
      </c>
      <c r="R28" s="10">
        <f t="shared" si="5"/>
        <v>0.72680913437884365</v>
      </c>
      <c r="S28" s="9">
        <f t="shared" si="2"/>
        <v>0</v>
      </c>
      <c r="T28" s="10">
        <f t="shared" si="6"/>
        <v>0.72680913437884365</v>
      </c>
      <c r="U28" s="10">
        <f t="shared" si="3"/>
        <v>0.72680913437884365</v>
      </c>
      <c r="V28" s="8">
        <f t="shared" si="7"/>
        <v>-0.20571526784919816</v>
      </c>
      <c r="W28" s="8">
        <f t="shared" si="8"/>
        <v>-0.20571526784919816</v>
      </c>
    </row>
    <row r="29" spans="1:23" x14ac:dyDescent="0.25">
      <c r="A29" s="11" t="s">
        <v>47</v>
      </c>
      <c r="B29" s="15">
        <f>PI()/4*($B$5/10)^2*($B$6/10)</f>
        <v>362.9167833426929</v>
      </c>
      <c r="C29" s="11" t="s">
        <v>48</v>
      </c>
      <c r="N29" s="8">
        <v>-167.5</v>
      </c>
      <c r="O29" s="8">
        <f t="shared" si="0"/>
        <v>400.15511933831311</v>
      </c>
      <c r="P29" s="9">
        <f t="shared" si="1"/>
        <v>0</v>
      </c>
      <c r="Q29" s="10">
        <f t="shared" si="4"/>
        <v>0.72739380398401676</v>
      </c>
      <c r="R29" s="10">
        <f t="shared" si="5"/>
        <v>0.72739380398401676</v>
      </c>
      <c r="S29" s="9">
        <f t="shared" si="2"/>
        <v>0</v>
      </c>
      <c r="T29" s="10">
        <f t="shared" si="6"/>
        <v>0.72739380398401676</v>
      </c>
      <c r="U29" s="10">
        <f t="shared" si="3"/>
        <v>0.72739380398401676</v>
      </c>
      <c r="V29" s="8">
        <f t="shared" si="7"/>
        <v>-0.22331145487685164</v>
      </c>
      <c r="W29" s="8">
        <f t="shared" si="8"/>
        <v>-0.22331145487685164</v>
      </c>
    </row>
    <row r="30" spans="1:23" x14ac:dyDescent="0.25">
      <c r="A30" s="11" t="s">
        <v>49</v>
      </c>
      <c r="B30" s="15">
        <f>$B$29/($B$8-1)</f>
        <v>40.324087038076989</v>
      </c>
      <c r="C30" s="11" t="s">
        <v>48</v>
      </c>
      <c r="N30" s="8">
        <v>-167</v>
      </c>
      <c r="O30" s="8">
        <f t="shared" si="0"/>
        <v>399.90322315143379</v>
      </c>
      <c r="P30" s="9">
        <f t="shared" si="1"/>
        <v>0</v>
      </c>
      <c r="Q30" s="10">
        <f t="shared" si="4"/>
        <v>0.72800324693151175</v>
      </c>
      <c r="R30" s="10">
        <f t="shared" si="5"/>
        <v>0.72800324693151175</v>
      </c>
      <c r="S30" s="9">
        <f t="shared" si="2"/>
        <v>0</v>
      </c>
      <c r="T30" s="10">
        <f t="shared" si="6"/>
        <v>0.72800324693151175</v>
      </c>
      <c r="U30" s="10">
        <f t="shared" si="3"/>
        <v>0.72800324693151175</v>
      </c>
      <c r="V30" s="8">
        <f t="shared" si="7"/>
        <v>-0.24164190325290319</v>
      </c>
      <c r="W30" s="8">
        <f t="shared" si="8"/>
        <v>-0.24164190325290319</v>
      </c>
    </row>
    <row r="31" spans="1:23" x14ac:dyDescent="0.25">
      <c r="A31" s="11" t="s">
        <v>50</v>
      </c>
      <c r="B31" s="16">
        <f>$B$6/20</f>
        <v>4</v>
      </c>
      <c r="C31" s="11" t="s">
        <v>51</v>
      </c>
      <c r="N31" s="8">
        <v>-166.5</v>
      </c>
      <c r="O31" s="8">
        <f t="shared" si="0"/>
        <v>399.64143388201938</v>
      </c>
      <c r="P31" s="9">
        <f t="shared" si="1"/>
        <v>0</v>
      </c>
      <c r="Q31" s="10">
        <f t="shared" si="4"/>
        <v>0.7286375739661366</v>
      </c>
      <c r="R31" s="10">
        <f t="shared" si="5"/>
        <v>0.7286375739661366</v>
      </c>
      <c r="S31" s="9">
        <f t="shared" si="2"/>
        <v>0</v>
      </c>
      <c r="T31" s="10">
        <f t="shared" si="6"/>
        <v>0.7286375739661366</v>
      </c>
      <c r="U31" s="10">
        <f t="shared" si="3"/>
        <v>0.7286375739661366</v>
      </c>
      <c r="V31" s="8">
        <f t="shared" si="7"/>
        <v>-0.26070855006800309</v>
      </c>
      <c r="W31" s="8">
        <f t="shared" si="8"/>
        <v>-0.26070855006800309</v>
      </c>
    </row>
    <row r="32" spans="1:23" x14ac:dyDescent="0.25">
      <c r="A32" s="11" t="s">
        <v>52</v>
      </c>
      <c r="B32" s="16">
        <f>0.3+0.7*$B$12</f>
        <v>0.72</v>
      </c>
      <c r="C32" s="11" t="s">
        <v>42</v>
      </c>
      <c r="N32" s="8">
        <v>-166</v>
      </c>
      <c r="O32" s="8">
        <f t="shared" si="0"/>
        <v>399.36975006023192</v>
      </c>
      <c r="P32" s="9">
        <f t="shared" si="1"/>
        <v>0</v>
      </c>
      <c r="Q32" s="10">
        <f t="shared" si="4"/>
        <v>0.72929690049897455</v>
      </c>
      <c r="R32" s="10">
        <f t="shared" si="5"/>
        <v>0.72929690049897455</v>
      </c>
      <c r="S32" s="9">
        <f t="shared" si="2"/>
        <v>0</v>
      </c>
      <c r="T32" s="10">
        <f t="shared" si="6"/>
        <v>0.72929690049897455</v>
      </c>
      <c r="U32" s="10">
        <f t="shared" si="3"/>
        <v>0.72929690049897455</v>
      </c>
      <c r="V32" s="8">
        <f t="shared" si="7"/>
        <v>-0.28051341056492191</v>
      </c>
      <c r="W32" s="8">
        <f t="shared" si="8"/>
        <v>-0.28051341056492191</v>
      </c>
    </row>
    <row r="33" spans="1:23" x14ac:dyDescent="0.25">
      <c r="A33" s="11" t="s">
        <v>53</v>
      </c>
      <c r="B33" s="17">
        <f>$B$13*$B$12</f>
        <v>390</v>
      </c>
      <c r="C33" s="11" t="s">
        <v>27</v>
      </c>
      <c r="N33" s="8">
        <v>-165.5</v>
      </c>
      <c r="O33" s="8">
        <f t="shared" si="0"/>
        <v>399.08817020570439</v>
      </c>
      <c r="P33" s="9">
        <f t="shared" si="1"/>
        <v>0</v>
      </c>
      <c r="Q33" s="10">
        <f t="shared" si="4"/>
        <v>0.72998134664562275</v>
      </c>
      <c r="R33" s="10">
        <f t="shared" si="5"/>
        <v>0.72998134664562275</v>
      </c>
      <c r="S33" s="9">
        <f t="shared" si="2"/>
        <v>0</v>
      </c>
      <c r="T33" s="10">
        <f t="shared" si="6"/>
        <v>0.72998134664562275</v>
      </c>
      <c r="U33" s="10">
        <f t="shared" si="3"/>
        <v>0.72998134664562275</v>
      </c>
      <c r="V33" s="8">
        <f t="shared" si="7"/>
        <v>-0.30105857839223055</v>
      </c>
      <c r="W33" s="8">
        <f t="shared" si="8"/>
        <v>-0.30105857839223055</v>
      </c>
    </row>
    <row r="34" spans="1:23" x14ac:dyDescent="0.25">
      <c r="A34" s="11" t="s">
        <v>54</v>
      </c>
      <c r="B34" s="15">
        <f>6*$B$11*$B$14/1000</f>
        <v>7.2</v>
      </c>
      <c r="C34" s="11" t="s">
        <v>31</v>
      </c>
      <c r="N34" s="8">
        <v>-165</v>
      </c>
      <c r="O34" s="8">
        <f t="shared" si="0"/>
        <v>398.79669283254333</v>
      </c>
      <c r="P34" s="9">
        <f t="shared" si="1"/>
        <v>0</v>
      </c>
      <c r="Q34" s="10">
        <f t="shared" si="4"/>
        <v>0.73069103726605378</v>
      </c>
      <c r="R34" s="10">
        <f t="shared" si="5"/>
        <v>0.73069103726605378</v>
      </c>
      <c r="S34" s="9">
        <f t="shared" si="2"/>
        <v>0</v>
      </c>
      <c r="T34" s="10">
        <f t="shared" si="6"/>
        <v>0.73069103726605378</v>
      </c>
      <c r="U34" s="10">
        <f t="shared" si="3"/>
        <v>0.73069103726605378</v>
      </c>
      <c r="V34" s="8">
        <f t="shared" si="7"/>
        <v>-0.32234622586780437</v>
      </c>
      <c r="W34" s="8">
        <f t="shared" si="8"/>
        <v>-0.32234622586780437</v>
      </c>
    </row>
    <row r="35" spans="1:23" x14ac:dyDescent="0.25">
      <c r="A35" s="11" t="s">
        <v>55</v>
      </c>
      <c r="B35" s="15">
        <f>$B$15*(1+0.6*(1-$B$12))</f>
        <v>49.6</v>
      </c>
      <c r="C35" s="11" t="s">
        <v>31</v>
      </c>
      <c r="N35" s="8">
        <v>-164.5</v>
      </c>
      <c r="O35" s="8">
        <f t="shared" si="0"/>
        <v>398.49531645451606</v>
      </c>
      <c r="P35" s="9">
        <f t="shared" si="1"/>
        <v>0</v>
      </c>
      <c r="Q35" s="10">
        <f t="shared" si="4"/>
        <v>0.7314261020061148</v>
      </c>
      <c r="R35" s="10">
        <f t="shared" si="5"/>
        <v>0.7314261020061148</v>
      </c>
      <c r="S35" s="9">
        <f t="shared" si="2"/>
        <v>0</v>
      </c>
      <c r="T35" s="10">
        <f t="shared" si="6"/>
        <v>0.7314261020061148</v>
      </c>
      <c r="U35" s="10">
        <f t="shared" si="3"/>
        <v>0.7314261020061148</v>
      </c>
      <c r="V35" s="8">
        <f t="shared" si="7"/>
        <v>-0.34437860425207645</v>
      </c>
      <c r="W35" s="8">
        <f t="shared" si="8"/>
        <v>-0.34437860425207645</v>
      </c>
    </row>
    <row r="36" spans="1:23" x14ac:dyDescent="0.25">
      <c r="A36" s="11" t="s">
        <v>56</v>
      </c>
      <c r="B36" s="15">
        <f>-$B$19+$B$34</f>
        <v>-22.8</v>
      </c>
      <c r="C36" s="11" t="s">
        <v>31</v>
      </c>
      <c r="N36" s="8">
        <v>-164</v>
      </c>
      <c r="O36" s="8">
        <f t="shared" si="0"/>
        <v>398.1840395904191</v>
      </c>
      <c r="P36" s="9">
        <f t="shared" si="1"/>
        <v>0</v>
      </c>
      <c r="Q36" s="10">
        <f t="shared" si="4"/>
        <v>0.73218667534069659</v>
      </c>
      <c r="R36" s="10">
        <f t="shared" si="5"/>
        <v>0.73218667534069659</v>
      </c>
      <c r="S36" s="9">
        <f t="shared" si="2"/>
        <v>0</v>
      </c>
      <c r="T36" s="10">
        <f t="shared" si="6"/>
        <v>0.73218667534069659</v>
      </c>
      <c r="U36" s="10">
        <f t="shared" si="3"/>
        <v>0.73218667534069659</v>
      </c>
      <c r="V36" s="8">
        <f t="shared" si="7"/>
        <v>-0.36715804403131386</v>
      </c>
      <c r="W36" s="8">
        <f t="shared" si="8"/>
        <v>-0.36715804403131386</v>
      </c>
    </row>
    <row r="37" spans="1:23" x14ac:dyDescent="0.25">
      <c r="A37" s="11" t="s">
        <v>57</v>
      </c>
      <c r="B37" s="15">
        <f>-$B$21+$B$34</f>
        <v>-26.8</v>
      </c>
      <c r="C37" s="11" t="s">
        <v>31</v>
      </c>
      <c r="N37" s="8">
        <v>-163.5</v>
      </c>
      <c r="O37" s="8">
        <f t="shared" si="0"/>
        <v>397.86286076963165</v>
      </c>
      <c r="P37" s="9">
        <f t="shared" si="1"/>
        <v>0</v>
      </c>
      <c r="Q37" s="10">
        <f t="shared" si="4"/>
        <v>0.732972896618583</v>
      </c>
      <c r="R37" s="10">
        <f t="shared" si="5"/>
        <v>0.732972896618583</v>
      </c>
      <c r="S37" s="9">
        <f t="shared" si="2"/>
        <v>0</v>
      </c>
      <c r="T37" s="10">
        <f t="shared" si="6"/>
        <v>0.732972896618583</v>
      </c>
      <c r="U37" s="10">
        <f t="shared" si="3"/>
        <v>0.732972896618583</v>
      </c>
      <c r="V37" s="8">
        <f t="shared" si="7"/>
        <v>-0.39068695521068031</v>
      </c>
      <c r="W37" s="8">
        <f t="shared" si="8"/>
        <v>-0.39068695521068031</v>
      </c>
    </row>
    <row r="38" spans="1:23" x14ac:dyDescent="0.25">
      <c r="A38" s="11" t="s">
        <v>58</v>
      </c>
      <c r="B38" s="15">
        <f>$B$37+$B$35*(-LN(1-$B$22)/$B$16)^(1/($B$17+1))</f>
        <v>1.3731953287443517</v>
      </c>
      <c r="C38" s="11" t="s">
        <v>31</v>
      </c>
      <c r="N38" s="8">
        <v>-163</v>
      </c>
      <c r="O38" s="8">
        <f t="shared" si="0"/>
        <v>397.53177853785274</v>
      </c>
      <c r="P38" s="9">
        <f t="shared" si="1"/>
        <v>0</v>
      </c>
      <c r="Q38" s="10">
        <f t="shared" si="4"/>
        <v>0.73378491010901159</v>
      </c>
      <c r="R38" s="10">
        <f t="shared" si="5"/>
        <v>0.73378491010901159</v>
      </c>
      <c r="S38" s="9">
        <f t="shared" si="2"/>
        <v>0</v>
      </c>
      <c r="T38" s="10">
        <f t="shared" si="6"/>
        <v>0.73378491010901159</v>
      </c>
      <c r="U38" s="10">
        <f t="shared" si="3"/>
        <v>0.73378491010901159</v>
      </c>
      <c r="V38" s="8">
        <f t="shared" si="7"/>
        <v>-0.41496782761720569</v>
      </c>
      <c r="W38" s="8">
        <f t="shared" si="8"/>
        <v>-0.41496782761720569</v>
      </c>
    </row>
    <row r="39" spans="1:23" x14ac:dyDescent="0.25">
      <c r="A39" s="11" t="s">
        <v>59</v>
      </c>
      <c r="B39" s="16">
        <f>6*$B$11/($B$25*1000)</f>
        <v>2</v>
      </c>
      <c r="C39" s="11" t="s">
        <v>31</v>
      </c>
      <c r="N39" s="8">
        <v>-162.5</v>
      </c>
      <c r="O39" s="8">
        <f t="shared" si="0"/>
        <v>397.19079146302005</v>
      </c>
      <c r="P39" s="9">
        <f t="shared" si="1"/>
        <v>0</v>
      </c>
      <c r="Q39" s="10">
        <f t="shared" si="4"/>
        <v>0.73462286504996899</v>
      </c>
      <c r="R39" s="10">
        <f t="shared" si="5"/>
        <v>0.73462286504996899</v>
      </c>
      <c r="S39" s="9">
        <f t="shared" si="2"/>
        <v>0</v>
      </c>
      <c r="T39" s="10">
        <f t="shared" si="6"/>
        <v>0.73462286504996899</v>
      </c>
      <c r="U39" s="10">
        <f t="shared" si="3"/>
        <v>0.73462286504996899</v>
      </c>
      <c r="V39" s="8">
        <f t="shared" si="7"/>
        <v>-0.44000323121285811</v>
      </c>
      <c r="W39" s="8">
        <f t="shared" si="8"/>
        <v>-0.44000323121285811</v>
      </c>
    </row>
    <row r="40" spans="1:23" x14ac:dyDescent="0.25">
      <c r="N40" s="8">
        <v>-162</v>
      </c>
      <c r="O40" s="8">
        <f t="shared" si="0"/>
        <v>396.83989814141387</v>
      </c>
      <c r="P40" s="9">
        <f t="shared" si="1"/>
        <v>0</v>
      </c>
      <c r="Q40" s="10">
        <f t="shared" si="4"/>
        <v>0.73548691569824398</v>
      </c>
      <c r="R40" s="10">
        <f t="shared" si="5"/>
        <v>0.73548691569824398</v>
      </c>
      <c r="S40" s="9">
        <f t="shared" si="2"/>
        <v>0</v>
      </c>
      <c r="T40" s="10">
        <f t="shared" si="6"/>
        <v>0.73548691569824398</v>
      </c>
      <c r="U40" s="10">
        <f t="shared" si="3"/>
        <v>0.73548691569824398</v>
      </c>
      <c r="V40" s="8">
        <f t="shared" si="7"/>
        <v>-0.46579581641748175</v>
      </c>
      <c r="W40" s="8">
        <f t="shared" si="8"/>
        <v>-0.46579581641748175</v>
      </c>
    </row>
    <row r="41" spans="1:23" x14ac:dyDescent="0.25">
      <c r="A41" s="7" t="s">
        <v>60</v>
      </c>
      <c r="N41" s="8">
        <v>-161.5</v>
      </c>
      <c r="O41" s="8">
        <f t="shared" si="0"/>
        <v>396.47909720394352</v>
      </c>
      <c r="P41" s="9">
        <f t="shared" si="1"/>
        <v>0</v>
      </c>
      <c r="Q41" s="10">
        <f t="shared" si="4"/>
        <v>0.73637722138126505</v>
      </c>
      <c r="R41" s="10">
        <f t="shared" si="5"/>
        <v>0.73637722138126505</v>
      </c>
      <c r="S41" s="9">
        <f t="shared" si="2"/>
        <v>0</v>
      </c>
      <c r="T41" s="10">
        <f t="shared" si="6"/>
        <v>0.73637722138126505</v>
      </c>
      <c r="U41" s="10">
        <f t="shared" si="3"/>
        <v>0.73637722138126505</v>
      </c>
      <c r="V41" s="8">
        <f t="shared" si="7"/>
        <v>-0.49234831444184507</v>
      </c>
      <c r="W41" s="8">
        <f t="shared" si="8"/>
        <v>-0.49234831444184507</v>
      </c>
    </row>
    <row r="42" spans="1:23" x14ac:dyDescent="0.25">
      <c r="A42" s="11" t="s">
        <v>61</v>
      </c>
      <c r="B42" s="18">
        <f>MAX(Q4:Q724)</f>
        <v>35.932930369584973</v>
      </c>
      <c r="C42" s="11" t="s">
        <v>42</v>
      </c>
      <c r="N42" s="8">
        <v>-161</v>
      </c>
      <c r="O42" s="8">
        <f t="shared" si="0"/>
        <v>396.10838732261783</v>
      </c>
      <c r="P42" s="9">
        <f t="shared" si="1"/>
        <v>0</v>
      </c>
      <c r="Q42" s="10">
        <f t="shared" si="4"/>
        <v>0.73729394655075065</v>
      </c>
      <c r="R42" s="10">
        <f t="shared" si="5"/>
        <v>0.73729394655075065</v>
      </c>
      <c r="S42" s="9">
        <f t="shared" si="2"/>
        <v>0</v>
      </c>
      <c r="T42" s="10">
        <f t="shared" si="6"/>
        <v>0.73729394655075065</v>
      </c>
      <c r="U42" s="10">
        <f t="shared" si="3"/>
        <v>0.73729394655075065</v>
      </c>
      <c r="V42" s="8">
        <f t="shared" si="7"/>
        <v>-0.51966353763070383</v>
      </c>
      <c r="W42" s="8">
        <f t="shared" si="8"/>
        <v>-0.51966353763070383</v>
      </c>
    </row>
    <row r="43" spans="1:23" x14ac:dyDescent="0.25">
      <c r="A43" s="11" t="s">
        <v>62</v>
      </c>
      <c r="B43" s="18">
        <f>INDEX(N4:N724,MATCH(MAX(Q4:Q724),Q4:Q724,0))</f>
        <v>11</v>
      </c>
      <c r="C43" s="11" t="s">
        <v>63</v>
      </c>
      <c r="N43" s="8">
        <v>-160.5</v>
      </c>
      <c r="O43" s="8">
        <f t="shared" si="0"/>
        <v>395.72776721719731</v>
      </c>
      <c r="P43" s="9">
        <f t="shared" si="1"/>
        <v>0</v>
      </c>
      <c r="Q43" s="10">
        <f t="shared" si="4"/>
        <v>0.73823726083820129</v>
      </c>
      <c r="R43" s="10">
        <f t="shared" si="5"/>
        <v>0.73823726083820129</v>
      </c>
      <c r="S43" s="9">
        <f t="shared" si="2"/>
        <v>0</v>
      </c>
      <c r="T43" s="10">
        <f t="shared" si="6"/>
        <v>0.73823726083820129</v>
      </c>
      <c r="U43" s="10">
        <f t="shared" si="3"/>
        <v>0.73823726083820129</v>
      </c>
      <c r="V43" s="8">
        <f t="shared" si="7"/>
        <v>-0.54774437981608626</v>
      </c>
      <c r="W43" s="8">
        <f t="shared" si="8"/>
        <v>-0.54774437981608626</v>
      </c>
    </row>
    <row r="44" spans="1:23" x14ac:dyDescent="0.25">
      <c r="A44" s="11" t="s">
        <v>64</v>
      </c>
      <c r="B44" s="18">
        <f>V724</f>
        <v>203.06529160433018</v>
      </c>
      <c r="C44" s="11" t="s">
        <v>27</v>
      </c>
      <c r="N44" s="8">
        <v>-160</v>
      </c>
      <c r="O44" s="8">
        <f t="shared" si="0"/>
        <v>395.33723566203071</v>
      </c>
      <c r="P44" s="9">
        <f t="shared" si="1"/>
        <v>0</v>
      </c>
      <c r="Q44" s="10">
        <f t="shared" si="4"/>
        <v>0.73920733911226078</v>
      </c>
      <c r="R44" s="10">
        <f t="shared" si="5"/>
        <v>0.73920733911226078</v>
      </c>
      <c r="S44" s="9">
        <f t="shared" si="2"/>
        <v>0</v>
      </c>
      <c r="T44" s="10">
        <f t="shared" si="6"/>
        <v>0.73920733911226078</v>
      </c>
      <c r="U44" s="10">
        <f t="shared" si="3"/>
        <v>0.73920733911226078</v>
      </c>
      <c r="V44" s="8">
        <f t="shared" si="7"/>
        <v>-0.57659381668064402</v>
      </c>
      <c r="W44" s="8">
        <f t="shared" si="8"/>
        <v>-0.57659381668064402</v>
      </c>
    </row>
    <row r="45" spans="1:23" x14ac:dyDescent="0.25">
      <c r="A45" s="11" t="s">
        <v>65</v>
      </c>
      <c r="B45" s="19">
        <f>V724/$B$29*10</f>
        <v>5.5953678894089869</v>
      </c>
      <c r="C45" s="11" t="s">
        <v>42</v>
      </c>
      <c r="N45" s="8">
        <v>-159.5</v>
      </c>
      <c r="O45" s="8">
        <f t="shared" si="0"/>
        <v>394.93679149307502</v>
      </c>
      <c r="P45" s="9">
        <f t="shared" si="1"/>
        <v>0</v>
      </c>
      <c r="Q45" s="10">
        <f t="shared" si="4"/>
        <v>0.74020436153797375</v>
      </c>
      <c r="R45" s="10">
        <f t="shared" si="5"/>
        <v>0.74020436153797375</v>
      </c>
      <c r="S45" s="9">
        <f t="shared" si="2"/>
        <v>0</v>
      </c>
      <c r="T45" s="10">
        <f t="shared" si="6"/>
        <v>0.74020436153797375</v>
      </c>
      <c r="U45" s="10">
        <f t="shared" si="3"/>
        <v>0.74020436153797375</v>
      </c>
      <c r="V45" s="8">
        <f t="shared" si="7"/>
        <v>-0.60621490613115414</v>
      </c>
      <c r="W45" s="8">
        <f t="shared" si="8"/>
        <v>-0.60621490613115414</v>
      </c>
    </row>
    <row r="46" spans="1:23" x14ac:dyDescent="0.25">
      <c r="A46" s="11" t="s">
        <v>66</v>
      </c>
      <c r="B46" s="18">
        <f>MAX(U4:U724)</f>
        <v>46.959112944882435</v>
      </c>
      <c r="C46" s="11" t="s">
        <v>42</v>
      </c>
      <c r="N46" s="8">
        <v>-159</v>
      </c>
      <c r="O46" s="8">
        <f t="shared" si="0"/>
        <v>394.52643361509564</v>
      </c>
      <c r="P46" s="9">
        <f t="shared" si="1"/>
        <v>0</v>
      </c>
      <c r="Q46" s="10">
        <f t="shared" si="4"/>
        <v>0.7412285136379837</v>
      </c>
      <c r="R46" s="10">
        <f t="shared" si="5"/>
        <v>0.7412285136379837</v>
      </c>
      <c r="S46" s="9">
        <f t="shared" si="2"/>
        <v>0</v>
      </c>
      <c r="T46" s="10">
        <f t="shared" si="6"/>
        <v>0.7412285136379837</v>
      </c>
      <c r="U46" s="10">
        <f t="shared" si="3"/>
        <v>0.7412285136379837</v>
      </c>
      <c r="V46" s="8">
        <f t="shared" si="7"/>
        <v>-0.63661078868245902</v>
      </c>
      <c r="W46" s="8">
        <f t="shared" si="8"/>
        <v>-0.63661078868245902</v>
      </c>
    </row>
    <row r="47" spans="1:23" x14ac:dyDescent="0.25">
      <c r="A47" s="11" t="s">
        <v>67</v>
      </c>
      <c r="B47" s="18">
        <f>INDEX(N4:N724,MATCH(MAX(U4:U724),U4:U724,0))</f>
        <v>6</v>
      </c>
      <c r="C47" s="11" t="s">
        <v>63</v>
      </c>
      <c r="N47" s="8">
        <v>-158.5</v>
      </c>
      <c r="O47" s="8">
        <f t="shared" si="0"/>
        <v>394.10616100905156</v>
      </c>
      <c r="P47" s="9">
        <f t="shared" si="1"/>
        <v>0</v>
      </c>
      <c r="Q47" s="10">
        <f t="shared" si="4"/>
        <v>0.74227998635568693</v>
      </c>
      <c r="R47" s="10">
        <f t="shared" si="5"/>
        <v>0.74227998635568693</v>
      </c>
      <c r="S47" s="9">
        <f t="shared" si="2"/>
        <v>0</v>
      </c>
      <c r="T47" s="10">
        <f t="shared" si="6"/>
        <v>0.74227998635568693</v>
      </c>
      <c r="U47" s="10">
        <f t="shared" si="3"/>
        <v>0.74227998635568693</v>
      </c>
      <c r="V47" s="8">
        <f t="shared" si="7"/>
        <v>-0.66778468785150313</v>
      </c>
      <c r="W47" s="8">
        <f t="shared" si="8"/>
        <v>-0.66778468785150313</v>
      </c>
    </row>
    <row r="48" spans="1:23" x14ac:dyDescent="0.25">
      <c r="A48" s="11" t="s">
        <v>68</v>
      </c>
      <c r="B48" s="18">
        <f>W724</f>
        <v>204.60212754351696</v>
      </c>
      <c r="C48" s="11" t="s">
        <v>27</v>
      </c>
      <c r="N48" s="8">
        <v>-158</v>
      </c>
      <c r="O48" s="8">
        <f t="shared" si="0"/>
        <v>393.67597273966209</v>
      </c>
      <c r="P48" s="9">
        <f t="shared" si="1"/>
        <v>0</v>
      </c>
      <c r="Q48" s="10">
        <f t="shared" si="4"/>
        <v>0.74335897612038671</v>
      </c>
      <c r="R48" s="10">
        <f t="shared" si="5"/>
        <v>0.74335897612038671</v>
      </c>
      <c r="S48" s="9">
        <f t="shared" si="2"/>
        <v>0</v>
      </c>
      <c r="T48" s="10">
        <f t="shared" si="6"/>
        <v>0.74335897612038671</v>
      </c>
      <c r="U48" s="10">
        <f t="shared" si="3"/>
        <v>0.74335897612038671</v>
      </c>
      <c r="V48" s="8">
        <f t="shared" si="7"/>
        <v>-0.69973991056176099</v>
      </c>
      <c r="W48" s="8">
        <f t="shared" si="8"/>
        <v>-0.69973991056176099</v>
      </c>
    </row>
    <row r="49" spans="1:23" x14ac:dyDescent="0.25">
      <c r="A49" s="11" t="s">
        <v>69</v>
      </c>
      <c r="B49" s="18">
        <f>MAX(R4:R724)</f>
        <v>15.393327044416075</v>
      </c>
      <c r="C49" s="11" t="s">
        <v>42</v>
      </c>
      <c r="N49" s="8">
        <v>-157.5</v>
      </c>
      <c r="O49" s="8">
        <f t="shared" si="0"/>
        <v>393.23586796315448</v>
      </c>
      <c r="P49" s="9">
        <f t="shared" si="1"/>
        <v>0</v>
      </c>
      <c r="Q49" s="10">
        <f t="shared" si="4"/>
        <v>0.74446568491448406</v>
      </c>
      <c r="R49" s="10">
        <f t="shared" si="5"/>
        <v>0.74446568491448406</v>
      </c>
      <c r="S49" s="9">
        <f t="shared" si="2"/>
        <v>0</v>
      </c>
      <c r="T49" s="10">
        <f t="shared" si="6"/>
        <v>0.74446568491448406</v>
      </c>
      <c r="U49" s="10">
        <f t="shared" si="3"/>
        <v>0.74446568491448406</v>
      </c>
      <c r="V49" s="8">
        <f t="shared" si="7"/>
        <v>-0.73247984755812412</v>
      </c>
      <c r="W49" s="8">
        <f t="shared" si="8"/>
        <v>-0.73247984755812412</v>
      </c>
    </row>
    <row r="50" spans="1:23" ht="39.75" customHeight="1" x14ac:dyDescent="0.25">
      <c r="A50" s="11" t="s">
        <v>70</v>
      </c>
      <c r="B50" s="2" t="str">
        <f>IF(B43&lt;5,"Presión máxima demasiado pronto: avance excesivo (riesgo de detonación)",IF(B43&gt;20,"Presión máxima demasiado tarde: falta avance (pierde potencia, escape caliente)","Correcto: presión máxima entre 5° y 20° después del PMS"))</f>
        <v>Correcto: presión máxima entre 5° y 20° después del PMS</v>
      </c>
      <c r="C50" s="2"/>
      <c r="D50" s="2"/>
      <c r="N50" s="8">
        <v>-157</v>
      </c>
      <c r="O50" s="8">
        <f t="shared" si="0"/>
        <v>392.78584593519378</v>
      </c>
      <c r="P50" s="9">
        <f t="shared" si="1"/>
        <v>0</v>
      </c>
      <c r="Q50" s="10">
        <f t="shared" si="4"/>
        <v>0.74560032034273427</v>
      </c>
      <c r="R50" s="10">
        <f t="shared" si="5"/>
        <v>0.74560032034273427</v>
      </c>
      <c r="S50" s="9">
        <f t="shared" si="2"/>
        <v>0</v>
      </c>
      <c r="T50" s="10">
        <f t="shared" si="6"/>
        <v>0.74560032034273427</v>
      </c>
      <c r="U50" s="10">
        <f t="shared" si="3"/>
        <v>0.74560032034273427</v>
      </c>
      <c r="V50" s="8">
        <f t="shared" si="7"/>
        <v>-0.76600797383218167</v>
      </c>
      <c r="W50" s="8">
        <f t="shared" si="8"/>
        <v>-0.76600797383218167</v>
      </c>
    </row>
    <row r="51" spans="1:23" x14ac:dyDescent="0.25">
      <c r="A51" s="20" t="s">
        <v>71</v>
      </c>
      <c r="N51" s="8">
        <v>-156.5</v>
      </c>
      <c r="O51" s="8">
        <f t="shared" si="0"/>
        <v>392.32590601899449</v>
      </c>
      <c r="P51" s="9">
        <f t="shared" si="1"/>
        <v>0</v>
      </c>
      <c r="Q51" s="10">
        <f t="shared" si="4"/>
        <v>0.74676309570360877</v>
      </c>
      <c r="R51" s="10">
        <f t="shared" si="5"/>
        <v>0.74676309570360877</v>
      </c>
      <c r="S51" s="9">
        <f t="shared" si="2"/>
        <v>0</v>
      </c>
      <c r="T51" s="10">
        <f t="shared" si="6"/>
        <v>0.74676309570360877</v>
      </c>
      <c r="U51" s="10">
        <f t="shared" si="3"/>
        <v>0.74676309570360877</v>
      </c>
      <c r="V51" s="8">
        <f t="shared" si="7"/>
        <v>-0.80032784905794363</v>
      </c>
      <c r="W51" s="8">
        <f t="shared" si="8"/>
        <v>-0.80032784905794363</v>
      </c>
    </row>
    <row r="52" spans="1:23" x14ac:dyDescent="0.25">
      <c r="N52" s="8">
        <v>-156</v>
      </c>
      <c r="O52" s="8">
        <f t="shared" si="0"/>
        <v>391.85604769361146</v>
      </c>
      <c r="P52" s="9">
        <f t="shared" si="1"/>
        <v>0</v>
      </c>
      <c r="Q52" s="10">
        <f t="shared" si="4"/>
        <v>0.7479542300628057</v>
      </c>
      <c r="R52" s="10">
        <f t="shared" si="5"/>
        <v>0.7479542300628057</v>
      </c>
      <c r="S52" s="9">
        <f t="shared" si="2"/>
        <v>0</v>
      </c>
      <c r="T52" s="10">
        <f t="shared" si="6"/>
        <v>0.7479542300628057</v>
      </c>
      <c r="U52" s="10">
        <f t="shared" si="3"/>
        <v>0.7479542300628057</v>
      </c>
      <c r="V52" s="8">
        <f t="shared" si="7"/>
        <v>-0.83544311803822402</v>
      </c>
      <c r="W52" s="8">
        <f t="shared" si="8"/>
        <v>-0.83544311803822402</v>
      </c>
    </row>
    <row r="53" spans="1:23" x14ac:dyDescent="0.25">
      <c r="E53" s="5" t="s">
        <v>72</v>
      </c>
      <c r="N53" s="8">
        <v>-155.5</v>
      </c>
      <c r="O53" s="8">
        <f t="shared" si="0"/>
        <v>391.37627056241291</v>
      </c>
      <c r="P53" s="9">
        <f t="shared" si="1"/>
        <v>0</v>
      </c>
      <c r="Q53" s="10">
        <f t="shared" si="4"/>
        <v>0.74917394832894058</v>
      </c>
      <c r="R53" s="10">
        <f t="shared" si="5"/>
        <v>0.74917394832894058</v>
      </c>
      <c r="S53" s="9">
        <f t="shared" si="2"/>
        <v>0</v>
      </c>
      <c r="T53" s="10">
        <f t="shared" si="6"/>
        <v>0.74917394832894058</v>
      </c>
      <c r="U53" s="10">
        <f t="shared" si="3"/>
        <v>0.74917394832894058</v>
      </c>
      <c r="V53" s="8">
        <f t="shared" si="7"/>
        <v>-0.87135751116148885</v>
      </c>
      <c r="W53" s="8">
        <f t="shared" si="8"/>
        <v>-0.87135751116148885</v>
      </c>
    </row>
    <row r="54" spans="1:23" ht="43.5" customHeight="1" x14ac:dyDescent="0.25">
      <c r="E54" s="6" t="s">
        <v>3</v>
      </c>
      <c r="F54" s="6" t="s">
        <v>73</v>
      </c>
      <c r="N54" s="8">
        <v>-155</v>
      </c>
      <c r="O54" s="8">
        <f t="shared" si="0"/>
        <v>390.88657436172997</v>
      </c>
      <c r="P54" s="9">
        <f t="shared" si="1"/>
        <v>0</v>
      </c>
      <c r="Q54" s="10">
        <f t="shared" si="4"/>
        <v>0.75042248133147016</v>
      </c>
      <c r="R54" s="10">
        <f t="shared" si="5"/>
        <v>0.75042248133147016</v>
      </c>
      <c r="S54" s="9">
        <f t="shared" si="2"/>
        <v>0</v>
      </c>
      <c r="T54" s="10">
        <f t="shared" si="6"/>
        <v>0.75042248133147016</v>
      </c>
      <c r="U54" s="10">
        <f t="shared" si="3"/>
        <v>0.75042248133147016</v>
      </c>
      <c r="V54" s="8">
        <f t="shared" si="7"/>
        <v>-0.90807484486960932</v>
      </c>
      <c r="W54" s="8">
        <f t="shared" si="8"/>
        <v>-0.90807484486960932</v>
      </c>
    </row>
    <row r="55" spans="1:23" x14ac:dyDescent="0.25">
      <c r="E55" s="21">
        <f>-$B$19</f>
        <v>-30</v>
      </c>
      <c r="F55" s="21">
        <v>0</v>
      </c>
      <c r="N55" s="8">
        <v>-154.5</v>
      </c>
      <c r="O55" s="8">
        <f t="shared" si="0"/>
        <v>390.38695896968943</v>
      </c>
      <c r="P55" s="9">
        <f t="shared" si="1"/>
        <v>0</v>
      </c>
      <c r="Q55" s="10">
        <f t="shared" si="4"/>
        <v>0.75170006590087524</v>
      </c>
      <c r="R55" s="10">
        <f t="shared" si="5"/>
        <v>0.75170006590087524</v>
      </c>
      <c r="S55" s="9">
        <f t="shared" si="2"/>
        <v>0</v>
      </c>
      <c r="T55" s="10">
        <f t="shared" si="6"/>
        <v>0.75170006590087524</v>
      </c>
      <c r="U55" s="10">
        <f t="shared" si="3"/>
        <v>0.75170006590087524</v>
      </c>
      <c r="V55" s="8">
        <f t="shared" si="7"/>
        <v>-0.94559902213603042</v>
      </c>
      <c r="W55" s="8">
        <f t="shared" si="8"/>
        <v>-0.94559902213603042</v>
      </c>
    </row>
    <row r="56" spans="1:23" x14ac:dyDescent="0.25">
      <c r="E56" s="21">
        <f>-$B$19</f>
        <v>-30</v>
      </c>
      <c r="F56" s="21">
        <f>INDEX(Q4:Q724,MATCH(-$B$19,N4:N724,1))+8</f>
        <v>15.233510546857872</v>
      </c>
      <c r="N56" s="8">
        <v>-154</v>
      </c>
      <c r="O56" s="8">
        <f t="shared" si="0"/>
        <v>389.87742441522136</v>
      </c>
      <c r="P56" s="9">
        <f t="shared" si="1"/>
        <v>0</v>
      </c>
      <c r="Q56" s="10">
        <f t="shared" si="4"/>
        <v>0.75300694495116416</v>
      </c>
      <c r="R56" s="10">
        <f t="shared" si="5"/>
        <v>0.75300694495116416</v>
      </c>
      <c r="S56" s="9">
        <f t="shared" si="2"/>
        <v>0</v>
      </c>
      <c r="T56" s="10">
        <f t="shared" si="6"/>
        <v>0.75300694495116416</v>
      </c>
      <c r="U56" s="10">
        <f t="shared" si="3"/>
        <v>0.75300694495116416</v>
      </c>
      <c r="V56" s="8">
        <f t="shared" si="7"/>
        <v>-0.98393403295500459</v>
      </c>
      <c r="W56" s="8">
        <f t="shared" si="8"/>
        <v>-0.98393403295500459</v>
      </c>
    </row>
    <row r="57" spans="1:23" x14ac:dyDescent="0.25">
      <c r="E57" s="21">
        <v>0</v>
      </c>
      <c r="F57" s="21">
        <v>0</v>
      </c>
      <c r="N57" s="8">
        <v>-153.5</v>
      </c>
      <c r="O57" s="8">
        <f t="shared" si="0"/>
        <v>389.35797088724593</v>
      </c>
      <c r="P57" s="9">
        <f t="shared" si="1"/>
        <v>0</v>
      </c>
      <c r="Q57" s="10">
        <f t="shared" si="4"/>
        <v>0.75434336756473064</v>
      </c>
      <c r="R57" s="10">
        <f t="shared" si="5"/>
        <v>0.75434336756473064</v>
      </c>
      <c r="S57" s="9">
        <f t="shared" si="2"/>
        <v>0</v>
      </c>
      <c r="T57" s="10">
        <f t="shared" si="6"/>
        <v>0.75434336756473064</v>
      </c>
      <c r="U57" s="10">
        <f t="shared" si="3"/>
        <v>0.75434336756473064</v>
      </c>
      <c r="V57" s="8">
        <f t="shared" si="7"/>
        <v>-1.0230839548415669</v>
      </c>
      <c r="W57" s="8">
        <f t="shared" si="8"/>
        <v>-1.0230839548415669</v>
      </c>
    </row>
    <row r="58" spans="1:23" x14ac:dyDescent="0.25">
      <c r="E58" s="21">
        <v>0</v>
      </c>
      <c r="F58" s="21">
        <f>MAX(U4:U724)+3</f>
        <v>49.959112944882435</v>
      </c>
      <c r="N58" s="8">
        <v>-153</v>
      </c>
      <c r="O58" s="8">
        <f t="shared" si="0"/>
        <v>388.82859874403727</v>
      </c>
      <c r="P58" s="9">
        <f t="shared" si="1"/>
        <v>0</v>
      </c>
      <c r="Q58" s="10">
        <f t="shared" si="4"/>
        <v>0.75570958907961627</v>
      </c>
      <c r="R58" s="10">
        <f t="shared" si="5"/>
        <v>0.75570958907961627</v>
      </c>
      <c r="S58" s="9">
        <f t="shared" si="2"/>
        <v>0</v>
      </c>
      <c r="T58" s="10">
        <f t="shared" si="6"/>
        <v>0.75570958907961627</v>
      </c>
      <c r="U58" s="10">
        <f t="shared" si="3"/>
        <v>0.75570958907961627</v>
      </c>
      <c r="V58" s="8">
        <f t="shared" si="7"/>
        <v>-1.0630529533424367</v>
      </c>
      <c r="W58" s="8">
        <f t="shared" si="8"/>
        <v>-1.0630529533424367</v>
      </c>
    </row>
    <row r="59" spans="1:23" x14ac:dyDescent="0.25">
      <c r="N59" s="8">
        <v>-152.5</v>
      </c>
      <c r="O59" s="8">
        <f t="shared" si="0"/>
        <v>388.28930852276204</v>
      </c>
      <c r="P59" s="9">
        <f t="shared" si="1"/>
        <v>0</v>
      </c>
      <c r="Q59" s="10">
        <f t="shared" si="4"/>
        <v>0.75710587117922712</v>
      </c>
      <c r="R59" s="10">
        <f t="shared" si="5"/>
        <v>0.75710587117922712</v>
      </c>
      <c r="S59" s="9">
        <f t="shared" si="2"/>
        <v>0</v>
      </c>
      <c r="T59" s="10">
        <f t="shared" si="6"/>
        <v>0.75710587117922712</v>
      </c>
      <c r="U59" s="10">
        <f t="shared" si="3"/>
        <v>0.75710587117922712</v>
      </c>
      <c r="V59" s="8">
        <f t="shared" si="7"/>
        <v>-1.1038452825580152</v>
      </c>
      <c r="W59" s="8">
        <f t="shared" si="8"/>
        <v>-1.1038452825580152</v>
      </c>
    </row>
    <row r="60" spans="1:23" x14ac:dyDescent="0.25">
      <c r="N60" s="8">
        <v>-152</v>
      </c>
      <c r="O60" s="8">
        <f t="shared" si="0"/>
        <v>387.74010094919532</v>
      </c>
      <c r="P60" s="9">
        <f t="shared" si="1"/>
        <v>0</v>
      </c>
      <c r="Q60" s="10">
        <f t="shared" si="4"/>
        <v>0.75853248198455114</v>
      </c>
      <c r="R60" s="10">
        <f t="shared" si="5"/>
        <v>0.75853248198455114</v>
      </c>
      <c r="S60" s="9">
        <f t="shared" si="2"/>
        <v>0</v>
      </c>
      <c r="T60" s="10">
        <f t="shared" si="6"/>
        <v>0.75853248198455114</v>
      </c>
      <c r="U60" s="10">
        <f t="shared" si="3"/>
        <v>0.75853248198455114</v>
      </c>
      <c r="V60" s="8">
        <f t="shared" si="7"/>
        <v>-1.145465285675302</v>
      </c>
      <c r="W60" s="8">
        <f t="shared" si="8"/>
        <v>-1.145465285675302</v>
      </c>
    </row>
    <row r="61" spans="1:23" x14ac:dyDescent="0.25">
      <c r="N61" s="8">
        <v>-151.5</v>
      </c>
      <c r="O61" s="8">
        <f t="shared" si="0"/>
        <v>387.18097694760797</v>
      </c>
      <c r="P61" s="9">
        <f t="shared" si="1"/>
        <v>0</v>
      </c>
      <c r="Q61" s="10">
        <f t="shared" si="4"/>
        <v>0.75998969614893253</v>
      </c>
      <c r="R61" s="10">
        <f t="shared" si="5"/>
        <v>0.75998969614893253</v>
      </c>
      <c r="S61" s="9">
        <f t="shared" si="2"/>
        <v>0</v>
      </c>
      <c r="T61" s="10">
        <f t="shared" si="6"/>
        <v>0.75998969614893253</v>
      </c>
      <c r="U61" s="10">
        <f t="shared" si="3"/>
        <v>0.75998969614893253</v>
      </c>
      <c r="V61" s="8">
        <f t="shared" si="7"/>
        <v>-1.1879173955121587</v>
      </c>
      <c r="W61" s="8">
        <f t="shared" si="8"/>
        <v>-1.1879173955121587</v>
      </c>
    </row>
    <row r="62" spans="1:23" x14ac:dyDescent="0.25">
      <c r="N62" s="8">
        <v>-151</v>
      </c>
      <c r="O62" s="8">
        <f t="shared" si="0"/>
        <v>386.61193765082965</v>
      </c>
      <c r="P62" s="9">
        <f t="shared" si="1"/>
        <v>0</v>
      </c>
      <c r="Q62" s="10">
        <f t="shared" si="4"/>
        <v>0.76147779495544987</v>
      </c>
      <c r="R62" s="10">
        <f t="shared" si="5"/>
        <v>0.76147779495544987</v>
      </c>
      <c r="S62" s="9">
        <f t="shared" si="2"/>
        <v>0</v>
      </c>
      <c r="T62" s="10">
        <f t="shared" si="6"/>
        <v>0.76147779495544987</v>
      </c>
      <c r="U62" s="10">
        <f t="shared" si="3"/>
        <v>0.76147779495544987</v>
      </c>
      <c r="V62" s="8">
        <f t="shared" si="7"/>
        <v>-1.2312061350726149</v>
      </c>
      <c r="W62" s="8">
        <f t="shared" si="8"/>
        <v>-1.2312061350726149</v>
      </c>
    </row>
    <row r="63" spans="1:23" x14ac:dyDescent="0.25">
      <c r="N63" s="8">
        <v>-150.5</v>
      </c>
      <c r="O63" s="8">
        <f t="shared" si="0"/>
        <v>386.03298441048059</v>
      </c>
      <c r="P63" s="9">
        <f t="shared" si="1"/>
        <v>0</v>
      </c>
      <c r="Q63" s="10">
        <f t="shared" si="4"/>
        <v>0.76299706641696152</v>
      </c>
      <c r="R63" s="10">
        <f t="shared" si="5"/>
        <v>0.76299706641696152</v>
      </c>
      <c r="S63" s="9">
        <f t="shared" si="2"/>
        <v>0</v>
      </c>
      <c r="T63" s="10">
        <f t="shared" si="6"/>
        <v>0.76299706641696152</v>
      </c>
      <c r="U63" s="10">
        <f t="shared" si="3"/>
        <v>0.76299706641696152</v>
      </c>
      <c r="V63" s="8">
        <f t="shared" si="7"/>
        <v>-1.2753361181137264</v>
      </c>
      <c r="W63" s="8">
        <f t="shared" si="8"/>
        <v>-1.2753361181137264</v>
      </c>
    </row>
    <row r="64" spans="1:23" x14ac:dyDescent="0.25">
      <c r="N64" s="8">
        <v>-150</v>
      </c>
      <c r="O64" s="8">
        <f t="shared" si="0"/>
        <v>385.44411880737812</v>
      </c>
      <c r="P64" s="9">
        <f t="shared" si="1"/>
        <v>0</v>
      </c>
      <c r="Q64" s="10">
        <f t="shared" si="4"/>
        <v>0.76454780537886136</v>
      </c>
      <c r="R64" s="10">
        <f t="shared" si="5"/>
        <v>0.76454780537886136</v>
      </c>
      <c r="S64" s="9">
        <f t="shared" si="2"/>
        <v>0</v>
      </c>
      <c r="T64" s="10">
        <f t="shared" si="6"/>
        <v>0.76454780537886136</v>
      </c>
      <c r="U64" s="10">
        <f t="shared" si="3"/>
        <v>0.76454780537886136</v>
      </c>
      <c r="V64" s="8">
        <f t="shared" si="7"/>
        <v>-1.3203120497235334</v>
      </c>
      <c r="W64" s="8">
        <f t="shared" si="8"/>
        <v>-1.3203120497235334</v>
      </c>
    </row>
    <row r="65" spans="14:23" x14ac:dyDescent="0.25">
      <c r="N65" s="8">
        <v>-149.5</v>
      </c>
      <c r="O65" s="8">
        <f t="shared" si="0"/>
        <v>384.84534266210852</v>
      </c>
      <c r="P65" s="9">
        <f t="shared" si="1"/>
        <v>0</v>
      </c>
      <c r="Q65" s="10">
        <f t="shared" si="4"/>
        <v>0.76613031362461881</v>
      </c>
      <c r="R65" s="10">
        <f t="shared" si="5"/>
        <v>0.76613031362461881</v>
      </c>
      <c r="S65" s="9">
        <f t="shared" si="2"/>
        <v>0</v>
      </c>
      <c r="T65" s="10">
        <f t="shared" si="6"/>
        <v>0.76613031362461881</v>
      </c>
      <c r="U65" s="10">
        <f t="shared" si="3"/>
        <v>0.76613031362461881</v>
      </c>
      <c r="V65" s="8">
        <f t="shared" si="7"/>
        <v>-1.3661387269108045</v>
      </c>
      <c r="W65" s="8">
        <f t="shared" si="8"/>
        <v>-1.3661387269108045</v>
      </c>
    </row>
    <row r="66" spans="14:23" x14ac:dyDescent="0.25">
      <c r="N66" s="8">
        <v>-149</v>
      </c>
      <c r="O66" s="8">
        <f t="shared" si="0"/>
        <v>384.23665804576979</v>
      </c>
      <c r="P66" s="9">
        <f t="shared" si="1"/>
        <v>0</v>
      </c>
      <c r="Q66" s="10">
        <f t="shared" si="4"/>
        <v>0.76774489998414963</v>
      </c>
      <c r="R66" s="10">
        <f t="shared" si="5"/>
        <v>0.76774489998414963</v>
      </c>
      <c r="S66" s="9">
        <f t="shared" si="2"/>
        <v>0</v>
      </c>
      <c r="T66" s="10">
        <f t="shared" si="6"/>
        <v>0.76774489998414963</v>
      </c>
      <c r="U66" s="10">
        <f t="shared" si="3"/>
        <v>0.76774489998414963</v>
      </c>
      <c r="V66" s="8">
        <f t="shared" si="7"/>
        <v>-1.412821039206152</v>
      </c>
      <c r="W66" s="8">
        <f t="shared" si="8"/>
        <v>-1.412821039206152</v>
      </c>
    </row>
    <row r="67" spans="14:23" x14ac:dyDescent="0.25">
      <c r="N67" s="8">
        <v>-148.5</v>
      </c>
      <c r="O67" s="8">
        <f t="shared" si="0"/>
        <v>383.61806729087897</v>
      </c>
      <c r="P67" s="9">
        <f t="shared" si="1"/>
        <v>0</v>
      </c>
      <c r="Q67" s="10">
        <f t="shared" si="4"/>
        <v>0.76939188044508899</v>
      </c>
      <c r="R67" s="10">
        <f t="shared" si="5"/>
        <v>0.76939188044508899</v>
      </c>
      <c r="S67" s="9">
        <f t="shared" si="2"/>
        <v>0</v>
      </c>
      <c r="T67" s="10">
        <f t="shared" si="6"/>
        <v>0.76939188044508899</v>
      </c>
      <c r="U67" s="10">
        <f t="shared" si="3"/>
        <v>0.76939188044508899</v>
      </c>
      <c r="V67" s="8">
        <f t="shared" si="7"/>
        <v>-1.4603639692749601</v>
      </c>
      <c r="W67" s="8">
        <f t="shared" si="8"/>
        <v>-1.4603639692749601</v>
      </c>
    </row>
    <row r="68" spans="14:23" x14ac:dyDescent="0.25">
      <c r="N68" s="8">
        <v>-148</v>
      </c>
      <c r="O68" s="8">
        <f t="shared" ref="O68:O131" si="9">$B$30+PI()/4*($B$5/10)^2*($B$31+$B$7/10-$B$31*COS(RADIANS(N68))-SQRT(($B$7/10)^2-($B$31*SIN(RADIANS(N68)))^2))</f>
        <v>382.98957300244598</v>
      </c>
      <c r="P68" s="9">
        <f t="shared" ref="P68:P131" si="10">IF(N68&gt;$B$36,1-EXP(-$B$16*((N68-$B$36)/$B$35)^($B$17+1)),0)</f>
        <v>0</v>
      </c>
      <c r="Q68" s="10">
        <f t="shared" si="4"/>
        <v>0.77107157826702233</v>
      </c>
      <c r="R68" s="10">
        <f t="shared" si="5"/>
        <v>0.77107157826702233</v>
      </c>
      <c r="S68" s="9">
        <f t="shared" ref="S68:S131" si="11">IF(N68&lt;=$B$38,IF(N68&gt;$B$37,1-EXP(-$B$16*((N68-$B$37)/$B$35)^($B$17+1)),0),$B$22+(1-$B$22)*(1-EXP(-(N68-$B$38)/$B$23)))</f>
        <v>0</v>
      </c>
      <c r="T68" s="10">
        <f t="shared" si="6"/>
        <v>0.77107157826702233</v>
      </c>
      <c r="U68" s="10">
        <f t="shared" ref="U68:U131" si="12">T68+IF(N68&gt;$B$38,$B$24*EXP(-(N68-$B$38)/$B$26)*SIN(2*PI()*(N68-$B$38)/$B$39),0)</f>
        <v>0.77107157826702233</v>
      </c>
      <c r="V68" s="8">
        <f t="shared" si="7"/>
        <v>-1.5087725935419747</v>
      </c>
      <c r="W68" s="8">
        <f t="shared" si="8"/>
        <v>-1.5087725935419747</v>
      </c>
    </row>
    <row r="69" spans="14:23" x14ac:dyDescent="0.25">
      <c r="N69" s="8">
        <v>-147.5</v>
      </c>
      <c r="O69" s="8">
        <f t="shared" si="9"/>
        <v>382.35117806920948</v>
      </c>
      <c r="P69" s="9">
        <f t="shared" si="10"/>
        <v>0</v>
      </c>
      <c r="Q69" s="10">
        <f t="shared" ref="Q69:Q132" si="13">Q68*(O68/O69)^$B$9+10*($B$9-1)*$B$33*(P69-P68)/((O68+O69)/2)</f>
        <v>0.77278432409874676</v>
      </c>
      <c r="R69" s="10">
        <f t="shared" ref="R69:R132" si="14">R68*(O68/O69)^$B$9</f>
        <v>0.77278432409874676</v>
      </c>
      <c r="S69" s="9">
        <f t="shared" si="11"/>
        <v>0</v>
      </c>
      <c r="T69" s="10">
        <f t="shared" ref="T69:T132" si="15">T68*(O68/O69)^$B$9+10*($B$9-1)*$B$33*(S69-S68)/((O68+O69)/2)</f>
        <v>0.77278432409874676</v>
      </c>
      <c r="U69" s="10">
        <f t="shared" si="12"/>
        <v>0.77278432409874676</v>
      </c>
      <c r="V69" s="8">
        <f t="shared" ref="V69:V132" si="16">V68+(Q68+Q69)/2*(O69-O68)/10</f>
        <v>-1.558052082827853</v>
      </c>
      <c r="W69" s="8">
        <f t="shared" ref="W69:W132" si="17">W68+(T68+T69)/2*(O69-O68)/10</f>
        <v>-1.558052082827853</v>
      </c>
    </row>
    <row r="70" spans="14:23" x14ac:dyDescent="0.25">
      <c r="N70" s="8">
        <v>-147</v>
      </c>
      <c r="O70" s="8">
        <f t="shared" si="9"/>
        <v>381.70288567503513</v>
      </c>
      <c r="P70" s="9">
        <f t="shared" si="10"/>
        <v>0</v>
      </c>
      <c r="Q70" s="10">
        <f t="shared" si="13"/>
        <v>0.77453045609862559</v>
      </c>
      <c r="R70" s="10">
        <f t="shared" si="14"/>
        <v>0.77453045609862559</v>
      </c>
      <c r="S70" s="9">
        <f t="shared" si="11"/>
        <v>0</v>
      </c>
      <c r="T70" s="10">
        <f t="shared" si="15"/>
        <v>0.77453045609862559</v>
      </c>
      <c r="U70" s="10">
        <f t="shared" si="12"/>
        <v>0.77453045609862559</v>
      </c>
      <c r="V70" s="8">
        <f t="shared" si="16"/>
        <v>-1.6082077029976285</v>
      </c>
      <c r="W70" s="8">
        <f t="shared" si="17"/>
        <v>-1.6082077029976285</v>
      </c>
    </row>
    <row r="71" spans="14:23" x14ac:dyDescent="0.25">
      <c r="N71" s="8">
        <v>-146.5</v>
      </c>
      <c r="O71" s="8">
        <f t="shared" si="9"/>
        <v>381.04469931047345</v>
      </c>
      <c r="P71" s="9">
        <f t="shared" si="10"/>
        <v>0</v>
      </c>
      <c r="Q71" s="10">
        <f t="shared" si="13"/>
        <v>0.77631032005810752</v>
      </c>
      <c r="R71" s="10">
        <f t="shared" si="14"/>
        <v>0.77631032005810752</v>
      </c>
      <c r="S71" s="9">
        <f t="shared" si="11"/>
        <v>0</v>
      </c>
      <c r="T71" s="10">
        <f t="shared" si="15"/>
        <v>0.77631032005810752</v>
      </c>
      <c r="U71" s="10">
        <f t="shared" si="12"/>
        <v>0.77631032005810752</v>
      </c>
      <c r="V71" s="8">
        <f t="shared" si="16"/>
        <v>-1.6592448156212598</v>
      </c>
      <c r="W71" s="8">
        <f t="shared" si="17"/>
        <v>-1.6592448156212598</v>
      </c>
    </row>
    <row r="72" spans="14:23" x14ac:dyDescent="0.25">
      <c r="N72" s="8">
        <v>-146</v>
      </c>
      <c r="O72" s="8">
        <f t="shared" si="9"/>
        <v>380.37662278447402</v>
      </c>
      <c r="P72" s="9">
        <f t="shared" si="10"/>
        <v>0</v>
      </c>
      <c r="Q72" s="10">
        <f t="shared" si="13"/>
        <v>0.7781242695284859</v>
      </c>
      <c r="R72" s="10">
        <f t="shared" si="14"/>
        <v>0.7781242695284859</v>
      </c>
      <c r="S72" s="9">
        <f t="shared" si="11"/>
        <v>0</v>
      </c>
      <c r="T72" s="10">
        <f t="shared" si="15"/>
        <v>0.7781242695284859</v>
      </c>
      <c r="U72" s="10">
        <f t="shared" si="12"/>
        <v>0.7781242695284859</v>
      </c>
      <c r="V72" s="8">
        <f t="shared" si="16"/>
        <v>-1.7111688786464774</v>
      </c>
      <c r="W72" s="8">
        <f t="shared" si="17"/>
        <v>-1.7111688786464774</v>
      </c>
    </row>
    <row r="73" spans="14:23" x14ac:dyDescent="0.25">
      <c r="N73" s="8">
        <v>-145.5</v>
      </c>
      <c r="O73" s="8">
        <f t="shared" si="9"/>
        <v>379.69866023625821</v>
      </c>
      <c r="P73" s="9">
        <f t="shared" si="10"/>
        <v>0</v>
      </c>
      <c r="Q73" s="10">
        <f t="shared" si="13"/>
        <v>0.77997266595096193</v>
      </c>
      <c r="R73" s="10">
        <f t="shared" si="14"/>
        <v>0.77997266595096193</v>
      </c>
      <c r="S73" s="9">
        <f t="shared" si="11"/>
        <v>0</v>
      </c>
      <c r="T73" s="10">
        <f t="shared" si="15"/>
        <v>0.77997266595096193</v>
      </c>
      <c r="U73" s="10">
        <f t="shared" si="12"/>
        <v>0.77997266595096193</v>
      </c>
      <c r="V73" s="8">
        <f t="shared" si="16"/>
        <v>-1.7639854470837224</v>
      </c>
      <c r="W73" s="8">
        <f t="shared" si="17"/>
        <v>-1.7639854470837224</v>
      </c>
    </row>
    <row r="74" spans="14:23" x14ac:dyDescent="0.25">
      <c r="N74" s="8">
        <v>-145</v>
      </c>
      <c r="O74" s="8">
        <f t="shared" si="9"/>
        <v>379.01081614734244</v>
      </c>
      <c r="P74" s="9">
        <f t="shared" si="10"/>
        <v>0</v>
      </c>
      <c r="Q74" s="10">
        <f t="shared" si="13"/>
        <v>0.78185587879010066</v>
      </c>
      <c r="R74" s="10">
        <f t="shared" si="14"/>
        <v>0.78185587879010066</v>
      </c>
      <c r="S74" s="9">
        <f t="shared" si="11"/>
        <v>0</v>
      </c>
      <c r="T74" s="10">
        <f t="shared" si="15"/>
        <v>0.78185587879010066</v>
      </c>
      <c r="U74" s="10">
        <f t="shared" si="12"/>
        <v>0.78185587879010066</v>
      </c>
      <c r="V74" s="8">
        <f t="shared" si="16"/>
        <v>-1.8177001737037251</v>
      </c>
      <c r="W74" s="8">
        <f t="shared" si="17"/>
        <v>-1.8177001737037251</v>
      </c>
    </row>
    <row r="75" spans="14:23" x14ac:dyDescent="0.25">
      <c r="N75" s="8">
        <v>-144.5</v>
      </c>
      <c r="O75" s="8">
        <f t="shared" si="9"/>
        <v>378.31309535371435</v>
      </c>
      <c r="P75" s="9">
        <f t="shared" si="10"/>
        <v>0</v>
      </c>
      <c r="Q75" s="10">
        <f t="shared" si="13"/>
        <v>0.78377428567074958</v>
      </c>
      <c r="R75" s="10">
        <f t="shared" si="14"/>
        <v>0.78377428567074958</v>
      </c>
      <c r="S75" s="9">
        <f t="shared" si="11"/>
        <v>0</v>
      </c>
      <c r="T75" s="10">
        <f t="shared" si="15"/>
        <v>0.78377428567074958</v>
      </c>
      <c r="U75" s="10">
        <f t="shared" si="12"/>
        <v>0.78377428567074958</v>
      </c>
      <c r="V75" s="8">
        <f t="shared" si="16"/>
        <v>-1.8723188097475103</v>
      </c>
      <c r="W75" s="8">
        <f t="shared" si="17"/>
        <v>-1.8723188097475103</v>
      </c>
    </row>
    <row r="76" spans="14:23" x14ac:dyDescent="0.25">
      <c r="N76" s="8">
        <v>-144</v>
      </c>
      <c r="O76" s="8">
        <f t="shared" si="9"/>
        <v>377.60550305815798</v>
      </c>
      <c r="P76" s="9">
        <f t="shared" si="10"/>
        <v>0</v>
      </c>
      <c r="Q76" s="10">
        <f t="shared" si="13"/>
        <v>0.78572827251850252</v>
      </c>
      <c r="R76" s="10">
        <f t="shared" si="14"/>
        <v>0.78572827251850252</v>
      </c>
      <c r="S76" s="9">
        <f t="shared" si="11"/>
        <v>0</v>
      </c>
      <c r="T76" s="10">
        <f t="shared" si="15"/>
        <v>0.78572827251850252</v>
      </c>
      <c r="U76" s="10">
        <f t="shared" si="12"/>
        <v>0.78572827251850252</v>
      </c>
      <c r="V76" s="8">
        <f t="shared" si="16"/>
        <v>-1.9278472056490465</v>
      </c>
      <c r="W76" s="8">
        <f t="shared" si="17"/>
        <v>-1.9278472056490465</v>
      </c>
    </row>
    <row r="77" spans="14:23" x14ac:dyDescent="0.25">
      <c r="N77" s="8">
        <v>-143.5</v>
      </c>
      <c r="O77" s="8">
        <f t="shared" si="9"/>
        <v>376.88804484272396</v>
      </c>
      <c r="P77" s="9">
        <f t="shared" si="10"/>
        <v>0</v>
      </c>
      <c r="Q77" s="10">
        <f t="shared" si="13"/>
        <v>0.78771823370379646</v>
      </c>
      <c r="R77" s="10">
        <f t="shared" si="14"/>
        <v>0.78771823370379646</v>
      </c>
      <c r="S77" s="9">
        <f t="shared" si="11"/>
        <v>0</v>
      </c>
      <c r="T77" s="10">
        <f t="shared" si="15"/>
        <v>0.78771823370379646</v>
      </c>
      <c r="U77" s="10">
        <f t="shared" si="12"/>
        <v>0.78771823370379646</v>
      </c>
      <c r="V77" s="8">
        <f t="shared" si="16"/>
        <v>-1.9842913117708039</v>
      </c>
      <c r="W77" s="8">
        <f t="shared" si="17"/>
        <v>-1.9842913117708039</v>
      </c>
    </row>
    <row r="78" spans="14:23" x14ac:dyDescent="0.25">
      <c r="N78" s="8">
        <v>-143</v>
      </c>
      <c r="O78" s="8">
        <f t="shared" si="9"/>
        <v>376.1607266813453</v>
      </c>
      <c r="P78" s="9">
        <f t="shared" si="10"/>
        <v>0</v>
      </c>
      <c r="Q78" s="10">
        <f t="shared" si="13"/>
        <v>0.7897445721897185</v>
      </c>
      <c r="R78" s="10">
        <f t="shared" si="14"/>
        <v>0.7897445721897185</v>
      </c>
      <c r="S78" s="9">
        <f t="shared" si="11"/>
        <v>0</v>
      </c>
      <c r="T78" s="10">
        <f t="shared" si="15"/>
        <v>0.7897445721897185</v>
      </c>
      <c r="U78" s="10">
        <f t="shared" si="12"/>
        <v>0.7897445721897185</v>
      </c>
      <c r="V78" s="8">
        <f t="shared" si="16"/>
        <v>-2.0416571791520886</v>
      </c>
      <c r="W78" s="8">
        <f t="shared" si="17"/>
        <v>-2.0416571791520886</v>
      </c>
    </row>
    <row r="79" spans="14:23" x14ac:dyDescent="0.25">
      <c r="N79" s="8">
        <v>-142.5</v>
      </c>
      <c r="O79" s="8">
        <f t="shared" si="9"/>
        <v>375.42355495259227</v>
      </c>
      <c r="P79" s="9">
        <f t="shared" si="10"/>
        <v>0</v>
      </c>
      <c r="Q79" s="10">
        <f t="shared" si="13"/>
        <v>0.79180769968362352</v>
      </c>
      <c r="R79" s="10">
        <f t="shared" si="14"/>
        <v>0.79180769968362352</v>
      </c>
      <c r="S79" s="9">
        <f t="shared" si="11"/>
        <v>0</v>
      </c>
      <c r="T79" s="10">
        <f t="shared" si="15"/>
        <v>0.79180769968362352</v>
      </c>
      <c r="U79" s="10">
        <f t="shared" si="12"/>
        <v>0.79180769968362352</v>
      </c>
      <c r="V79" s="8">
        <f t="shared" si="16"/>
        <v>-2.0999509602705961</v>
      </c>
      <c r="W79" s="8">
        <f t="shared" si="17"/>
        <v>-2.0999509602705961</v>
      </c>
    </row>
    <row r="80" spans="14:23" x14ac:dyDescent="0.25">
      <c r="N80" s="8">
        <v>-142</v>
      </c>
      <c r="O80" s="8">
        <f t="shared" si="9"/>
        <v>374.67653645256746</v>
      </c>
      <c r="P80" s="9">
        <f t="shared" si="10"/>
        <v>0</v>
      </c>
      <c r="Q80" s="10">
        <f t="shared" si="13"/>
        <v>0.7939080367926391</v>
      </c>
      <c r="R80" s="10">
        <f t="shared" si="14"/>
        <v>0.7939080367926391</v>
      </c>
      <c r="S80" s="9">
        <f t="shared" si="11"/>
        <v>0</v>
      </c>
      <c r="T80" s="10">
        <f t="shared" si="15"/>
        <v>0.7939080367926391</v>
      </c>
      <c r="U80" s="10">
        <f t="shared" si="12"/>
        <v>0.7939080367926391</v>
      </c>
      <c r="V80" s="8">
        <f t="shared" si="16"/>
        <v>-2.1591789098170078</v>
      </c>
      <c r="W80" s="8">
        <f t="shared" si="17"/>
        <v>-2.1591789098170078</v>
      </c>
    </row>
    <row r="81" spans="14:23" x14ac:dyDescent="0.25">
      <c r="N81" s="8">
        <v>-141.5</v>
      </c>
      <c r="O81" s="8">
        <f t="shared" si="9"/>
        <v>373.91967840793438</v>
      </c>
      <c r="P81" s="9">
        <f t="shared" si="10"/>
        <v>0</v>
      </c>
      <c r="Q81" s="10">
        <f t="shared" si="13"/>
        <v>0.7960460131831657</v>
      </c>
      <c r="R81" s="10">
        <f t="shared" si="14"/>
        <v>0.7960460131831657</v>
      </c>
      <c r="S81" s="9">
        <f t="shared" si="11"/>
        <v>0</v>
      </c>
      <c r="T81" s="10">
        <f t="shared" si="15"/>
        <v>0.7960460131831657</v>
      </c>
      <c r="U81" s="10">
        <f t="shared" si="12"/>
        <v>0.7960460131831657</v>
      </c>
      <c r="V81" s="8">
        <f t="shared" si="16"/>
        <v>-2.2193473854830641</v>
      </c>
      <c r="W81" s="8">
        <f t="shared" si="17"/>
        <v>-2.2193473854830641</v>
      </c>
    </row>
    <row r="82" spans="14:23" x14ac:dyDescent="0.25">
      <c r="N82" s="8">
        <v>-141</v>
      </c>
      <c r="O82" s="8">
        <f t="shared" si="9"/>
        <v>373.15298848907923</v>
      </c>
      <c r="P82" s="9">
        <f t="shared" si="10"/>
        <v>0</v>
      </c>
      <c r="Q82" s="10">
        <f t="shared" si="13"/>
        <v>0.79822206774445914</v>
      </c>
      <c r="R82" s="10">
        <f t="shared" si="14"/>
        <v>0.79822206774445914</v>
      </c>
      <c r="S82" s="9">
        <f t="shared" si="11"/>
        <v>0</v>
      </c>
      <c r="T82" s="10">
        <f t="shared" si="15"/>
        <v>0.79822206774445914</v>
      </c>
      <c r="U82" s="10">
        <f t="shared" si="12"/>
        <v>0.79822206774445914</v>
      </c>
      <c r="V82" s="8">
        <f t="shared" si="16"/>
        <v>-2.2804628487630518</v>
      </c>
      <c r="W82" s="8">
        <f t="shared" si="17"/>
        <v>-2.2804628487630518</v>
      </c>
    </row>
    <row r="83" spans="14:23" x14ac:dyDescent="0.25">
      <c r="N83" s="8">
        <v>-140.5</v>
      </c>
      <c r="O83" s="8">
        <f t="shared" si="9"/>
        <v>372.37647482340128</v>
      </c>
      <c r="P83" s="9">
        <f t="shared" si="10"/>
        <v>0</v>
      </c>
      <c r="Q83" s="10">
        <f t="shared" si="13"/>
        <v>0.80043664875639786</v>
      </c>
      <c r="R83" s="10">
        <f t="shared" si="14"/>
        <v>0.80043664875639786</v>
      </c>
      <c r="S83" s="9">
        <f t="shared" si="11"/>
        <v>0</v>
      </c>
      <c r="T83" s="10">
        <f t="shared" si="15"/>
        <v>0.80043664875639786</v>
      </c>
      <c r="U83" s="10">
        <f t="shared" si="12"/>
        <v>0.80043664875639786</v>
      </c>
      <c r="V83" s="8">
        <f t="shared" si="16"/>
        <v>-2.3425318657689562</v>
      </c>
      <c r="W83" s="8">
        <f t="shared" si="17"/>
        <v>-2.3425318657689562</v>
      </c>
    </row>
    <row r="84" spans="14:23" x14ac:dyDescent="0.25">
      <c r="N84" s="8">
        <v>-140</v>
      </c>
      <c r="O84" s="8">
        <f t="shared" si="9"/>
        <v>371.5901460087282</v>
      </c>
      <c r="P84" s="9">
        <f t="shared" si="10"/>
        <v>0</v>
      </c>
      <c r="Q84" s="10">
        <f t="shared" si="13"/>
        <v>0.80269021406154073</v>
      </c>
      <c r="R84" s="10">
        <f t="shared" si="14"/>
        <v>0.80269021406154073</v>
      </c>
      <c r="S84" s="9">
        <f t="shared" si="11"/>
        <v>0</v>
      </c>
      <c r="T84" s="10">
        <f t="shared" si="15"/>
        <v>0.80269021406154073</v>
      </c>
      <c r="U84" s="10">
        <f t="shared" si="12"/>
        <v>0.80269021406154073</v>
      </c>
      <c r="V84" s="8">
        <f t="shared" si="16"/>
        <v>-2.4055611080594668</v>
      </c>
      <c r="W84" s="8">
        <f t="shared" si="17"/>
        <v>-2.4055611080594668</v>
      </c>
    </row>
    <row r="85" spans="14:23" x14ac:dyDescent="0.25">
      <c r="N85" s="8">
        <v>-139.5</v>
      </c>
      <c r="O85" s="8">
        <f t="shared" si="9"/>
        <v>370.79401112685508</v>
      </c>
      <c r="P85" s="9">
        <f t="shared" si="10"/>
        <v>0</v>
      </c>
      <c r="Q85" s="10">
        <f t="shared" si="13"/>
        <v>0.80498323124157312</v>
      </c>
      <c r="R85" s="10">
        <f t="shared" si="14"/>
        <v>0.80498323124157312</v>
      </c>
      <c r="S85" s="9">
        <f t="shared" si="11"/>
        <v>0</v>
      </c>
      <c r="T85" s="10">
        <f t="shared" si="15"/>
        <v>0.80498323124157312</v>
      </c>
      <c r="U85" s="10">
        <f t="shared" si="12"/>
        <v>0.80498323124157312</v>
      </c>
      <c r="V85" s="8">
        <f t="shared" si="16"/>
        <v>-2.4695573534828137</v>
      </c>
      <c r="W85" s="8">
        <f t="shared" si="17"/>
        <v>-2.4695573534828137</v>
      </c>
    </row>
    <row r="86" spans="14:23" x14ac:dyDescent="0.25">
      <c r="N86" s="8">
        <v>-139</v>
      </c>
      <c r="O86" s="8">
        <f t="shared" si="9"/>
        <v>369.98807975720035</v>
      </c>
      <c r="P86" s="9">
        <f t="shared" si="10"/>
        <v>0</v>
      </c>
      <c r="Q86" s="10">
        <f t="shared" si="13"/>
        <v>0.80731617779825948</v>
      </c>
      <c r="R86" s="10">
        <f t="shared" si="14"/>
        <v>0.80731617779825948</v>
      </c>
      <c r="S86" s="9">
        <f t="shared" si="11"/>
        <v>0</v>
      </c>
      <c r="T86" s="10">
        <f t="shared" si="15"/>
        <v>0.80731617779825948</v>
      </c>
      <c r="U86" s="10">
        <f t="shared" si="12"/>
        <v>0.80731617779825948</v>
      </c>
      <c r="V86" s="8">
        <f t="shared" si="16"/>
        <v>-2.5345274870338628</v>
      </c>
      <c r="W86" s="8">
        <f t="shared" si="17"/>
        <v>-2.5345274870338628</v>
      </c>
    </row>
    <row r="87" spans="14:23" x14ac:dyDescent="0.25">
      <c r="N87" s="8">
        <v>-138.5</v>
      </c>
      <c r="O87" s="8">
        <f t="shared" si="9"/>
        <v>369.17236199057623</v>
      </c>
      <c r="P87" s="9">
        <f t="shared" si="10"/>
        <v>0</v>
      </c>
      <c r="Q87" s="10">
        <f t="shared" si="13"/>
        <v>0.80968954133901072</v>
      </c>
      <c r="R87" s="10">
        <f t="shared" si="14"/>
        <v>0.80968954133901072</v>
      </c>
      <c r="S87" s="9">
        <f t="shared" si="11"/>
        <v>0</v>
      </c>
      <c r="T87" s="10">
        <f t="shared" si="15"/>
        <v>0.80968954133901072</v>
      </c>
      <c r="U87" s="10">
        <f t="shared" si="12"/>
        <v>0.80968954133901072</v>
      </c>
      <c r="V87" s="8">
        <f t="shared" si="16"/>
        <v>-2.600478501725517</v>
      </c>
      <c r="W87" s="8">
        <f t="shared" si="17"/>
        <v>-2.600478501725517</v>
      </c>
    </row>
    <row r="88" spans="14:23" x14ac:dyDescent="0.25">
      <c r="N88" s="8">
        <v>-138</v>
      </c>
      <c r="O88" s="8">
        <f t="shared" si="9"/>
        <v>368.3468684430722</v>
      </c>
      <c r="P88" s="9">
        <f t="shared" si="10"/>
        <v>0</v>
      </c>
      <c r="Q88" s="10">
        <f t="shared" si="13"/>
        <v>0.81210381976717461</v>
      </c>
      <c r="R88" s="10">
        <f t="shared" si="14"/>
        <v>0.81210381976717461</v>
      </c>
      <c r="S88" s="9">
        <f t="shared" si="11"/>
        <v>0</v>
      </c>
      <c r="T88" s="10">
        <f t="shared" si="15"/>
        <v>0.81210381976717461</v>
      </c>
      <c r="U88" s="10">
        <f t="shared" si="12"/>
        <v>0.81210381976717461</v>
      </c>
      <c r="V88" s="8">
        <f t="shared" si="16"/>
        <v>-2.6674174994744191</v>
      </c>
      <c r="W88" s="8">
        <f t="shared" si="17"/>
        <v>-2.6674174994744191</v>
      </c>
    </row>
    <row r="89" spans="14:23" x14ac:dyDescent="0.25">
      <c r="N89" s="8">
        <v>-137.5</v>
      </c>
      <c r="O89" s="8">
        <f t="shared" si="9"/>
        <v>367.51161027004269</v>
      </c>
      <c r="P89" s="9">
        <f t="shared" si="10"/>
        <v>0</v>
      </c>
      <c r="Q89" s="10">
        <f t="shared" si="13"/>
        <v>0.81455952147718225</v>
      </c>
      <c r="R89" s="10">
        <f t="shared" si="14"/>
        <v>0.81455952147718225</v>
      </c>
      <c r="S89" s="9">
        <f t="shared" si="11"/>
        <v>0</v>
      </c>
      <c r="T89" s="10">
        <f t="shared" si="15"/>
        <v>0.81455952147718225</v>
      </c>
      <c r="U89" s="10">
        <f t="shared" si="12"/>
        <v>0.81455952147718225</v>
      </c>
      <c r="V89" s="8">
        <f t="shared" si="16"/>
        <v>-2.7353516920015104</v>
      </c>
      <c r="W89" s="8">
        <f t="shared" si="17"/>
        <v>-2.7353516920015104</v>
      </c>
    </row>
    <row r="90" spans="14:23" x14ac:dyDescent="0.25">
      <c r="N90" s="8">
        <v>-137</v>
      </c>
      <c r="O90" s="8">
        <f t="shared" si="9"/>
        <v>366.66659918019946</v>
      </c>
      <c r="P90" s="9">
        <f t="shared" si="10"/>
        <v>0</v>
      </c>
      <c r="Q90" s="10">
        <f t="shared" si="13"/>
        <v>0.81705716555466013</v>
      </c>
      <c r="R90" s="10">
        <f t="shared" si="14"/>
        <v>0.81705716555466013</v>
      </c>
      <c r="S90" s="9">
        <f t="shared" si="11"/>
        <v>0</v>
      </c>
      <c r="T90" s="10">
        <f t="shared" si="15"/>
        <v>0.81705716555466013</v>
      </c>
      <c r="U90" s="10">
        <f t="shared" si="12"/>
        <v>0.81705716555466013</v>
      </c>
      <c r="V90" s="8">
        <f t="shared" si="16"/>
        <v>-2.8042884017472702</v>
      </c>
      <c r="W90" s="8">
        <f t="shared" si="17"/>
        <v>-2.8042884017472702</v>
      </c>
    </row>
    <row r="91" spans="14:23" x14ac:dyDescent="0.25">
      <c r="N91" s="8">
        <v>-136.5</v>
      </c>
      <c r="O91" s="8">
        <f t="shared" si="9"/>
        <v>365.81184744980044</v>
      </c>
      <c r="P91" s="9">
        <f t="shared" si="10"/>
        <v>0</v>
      </c>
      <c r="Q91" s="10">
        <f t="shared" si="13"/>
        <v>0.81959728198164328</v>
      </c>
      <c r="R91" s="10">
        <f t="shared" si="14"/>
        <v>0.81959728198164328</v>
      </c>
      <c r="S91" s="9">
        <f t="shared" si="11"/>
        <v>0</v>
      </c>
      <c r="T91" s="10">
        <f t="shared" si="15"/>
        <v>0.81959728198164328</v>
      </c>
      <c r="U91" s="10">
        <f t="shared" si="12"/>
        <v>0.81959728198164328</v>
      </c>
      <c r="V91" s="8">
        <f t="shared" si="16"/>
        <v>-2.8742350628021152</v>
      </c>
      <c r="W91" s="8">
        <f t="shared" si="17"/>
        <v>-2.8742350628021152</v>
      </c>
    </row>
    <row r="92" spans="14:23" x14ac:dyDescent="0.25">
      <c r="N92" s="8">
        <v>-136</v>
      </c>
      <c r="O92" s="8">
        <f t="shared" si="9"/>
        <v>364.94736793693397</v>
      </c>
      <c r="P92" s="9">
        <f t="shared" si="10"/>
        <v>0</v>
      </c>
      <c r="Q92" s="10">
        <f t="shared" si="13"/>
        <v>0.82218041184701385</v>
      </c>
      <c r="R92" s="10">
        <f t="shared" si="14"/>
        <v>0.82218041184701385</v>
      </c>
      <c r="S92" s="9">
        <f t="shared" si="11"/>
        <v>0</v>
      </c>
      <c r="T92" s="10">
        <f t="shared" si="15"/>
        <v>0.82218041184701385</v>
      </c>
      <c r="U92" s="10">
        <f t="shared" si="12"/>
        <v>0.82218041184701385</v>
      </c>
      <c r="V92" s="8">
        <f t="shared" si="16"/>
        <v>-2.9451992218519165</v>
      </c>
      <c r="W92" s="8">
        <f t="shared" si="17"/>
        <v>-2.9451992218519165</v>
      </c>
    </row>
    <row r="93" spans="14:23" x14ac:dyDescent="0.25">
      <c r="N93" s="8">
        <v>-135.5</v>
      </c>
      <c r="O93" s="8">
        <f t="shared" si="9"/>
        <v>364.07317409589251</v>
      </c>
      <c r="P93" s="9">
        <f t="shared" si="10"/>
        <v>0</v>
      </c>
      <c r="Q93" s="10">
        <f t="shared" si="13"/>
        <v>0.82480710756229703</v>
      </c>
      <c r="R93" s="10">
        <f t="shared" si="14"/>
        <v>0.82480710756229703</v>
      </c>
      <c r="S93" s="9">
        <f t="shared" si="11"/>
        <v>0</v>
      </c>
      <c r="T93" s="10">
        <f t="shared" si="15"/>
        <v>0.82480710756229703</v>
      </c>
      <c r="U93" s="10">
        <f t="shared" si="12"/>
        <v>0.82480710756229703</v>
      </c>
      <c r="V93" s="8">
        <f t="shared" si="16"/>
        <v>-3.0171885391389051</v>
      </c>
      <c r="W93" s="8">
        <f t="shared" si="17"/>
        <v>-3.0171885391389051</v>
      </c>
    </row>
    <row r="94" spans="14:23" x14ac:dyDescent="0.25">
      <c r="N94" s="8">
        <v>-135</v>
      </c>
      <c r="O94" s="8">
        <f t="shared" si="9"/>
        <v>363.18927999162929</v>
      </c>
      <c r="P94" s="9">
        <f t="shared" si="10"/>
        <v>0</v>
      </c>
      <c r="Q94" s="10">
        <f t="shared" si="13"/>
        <v>0.8274779330829628</v>
      </c>
      <c r="R94" s="10">
        <f t="shared" si="14"/>
        <v>0.8274779330829628</v>
      </c>
      <c r="S94" s="9">
        <f t="shared" si="11"/>
        <v>0</v>
      </c>
      <c r="T94" s="10">
        <f t="shared" si="15"/>
        <v>0.8274779330829628</v>
      </c>
      <c r="U94" s="10">
        <f t="shared" si="12"/>
        <v>0.8274779330829628</v>
      </c>
      <c r="V94" s="8">
        <f t="shared" si="16"/>
        <v>-3.0902107894383382</v>
      </c>
      <c r="W94" s="8">
        <f t="shared" si="17"/>
        <v>-3.0902107894383382</v>
      </c>
    </row>
    <row r="95" spans="14:23" x14ac:dyDescent="0.25">
      <c r="N95" s="8">
        <v>-134.5</v>
      </c>
      <c r="O95" s="8">
        <f t="shared" si="9"/>
        <v>362.2957003142962</v>
      </c>
      <c r="P95" s="9">
        <f t="shared" si="10"/>
        <v>0</v>
      </c>
      <c r="Q95" s="10">
        <f t="shared" si="13"/>
        <v>0.83019346413536299</v>
      </c>
      <c r="R95" s="10">
        <f t="shared" si="14"/>
        <v>0.83019346413536299</v>
      </c>
      <c r="S95" s="9">
        <f t="shared" si="11"/>
        <v>0</v>
      </c>
      <c r="T95" s="10">
        <f t="shared" si="15"/>
        <v>0.83019346413536299</v>
      </c>
      <c r="U95" s="10">
        <f t="shared" si="12"/>
        <v>0.83019346413536299</v>
      </c>
      <c r="V95" s="8">
        <f t="shared" si="16"/>
        <v>-3.1642738630508704</v>
      </c>
      <c r="W95" s="8">
        <f t="shared" si="17"/>
        <v>-3.1642738630508704</v>
      </c>
    </row>
    <row r="96" spans="14:23" x14ac:dyDescent="0.25">
      <c r="N96" s="8">
        <v>-134</v>
      </c>
      <c r="O96" s="8">
        <f t="shared" si="9"/>
        <v>361.39245039385645</v>
      </c>
      <c r="P96" s="9">
        <f t="shared" si="10"/>
        <v>0</v>
      </c>
      <c r="Q96" s="10">
        <f t="shared" si="13"/>
        <v>0.83295428844945574</v>
      </c>
      <c r="R96" s="10">
        <f t="shared" si="14"/>
        <v>0.83295428844945574</v>
      </c>
      <c r="S96" s="9">
        <f t="shared" si="11"/>
        <v>0</v>
      </c>
      <c r="T96" s="10">
        <f t="shared" si="15"/>
        <v>0.83295428844945574</v>
      </c>
      <c r="U96" s="10">
        <f t="shared" si="12"/>
        <v>0.83295428844945574</v>
      </c>
      <c r="V96" s="8">
        <f t="shared" si="16"/>
        <v>-3.2393857668109596</v>
      </c>
      <c r="W96" s="8">
        <f t="shared" si="17"/>
        <v>-3.2393857668109596</v>
      </c>
    </row>
    <row r="97" spans="14:23" x14ac:dyDescent="0.25">
      <c r="N97" s="8">
        <v>-133.5</v>
      </c>
      <c r="O97" s="8">
        <f t="shared" si="9"/>
        <v>360.47954621476532</v>
      </c>
      <c r="P97" s="9">
        <f t="shared" si="10"/>
        <v>0</v>
      </c>
      <c r="Q97" s="10">
        <f t="shared" si="13"/>
        <v>0.83576100599747127</v>
      </c>
      <c r="R97" s="10">
        <f t="shared" si="14"/>
        <v>0.83576100599747127</v>
      </c>
      <c r="S97" s="9">
        <f t="shared" si="11"/>
        <v>0</v>
      </c>
      <c r="T97" s="10">
        <f t="shared" si="15"/>
        <v>0.83576100599747127</v>
      </c>
      <c r="U97" s="10">
        <f t="shared" si="12"/>
        <v>0.83576100599747127</v>
      </c>
      <c r="V97" s="8">
        <f t="shared" si="16"/>
        <v>-3.3155546251116537</v>
      </c>
      <c r="W97" s="8">
        <f t="shared" si="17"/>
        <v>-3.3155546251116537</v>
      </c>
    </row>
    <row r="98" spans="14:23" x14ac:dyDescent="0.25">
      <c r="N98" s="8">
        <v>-133</v>
      </c>
      <c r="O98" s="8">
        <f t="shared" si="9"/>
        <v>359.55700443071686</v>
      </c>
      <c r="P98" s="9">
        <f t="shared" si="10"/>
        <v>0</v>
      </c>
      <c r="Q98" s="10">
        <f t="shared" si="13"/>
        <v>0.83861422923866613</v>
      </c>
      <c r="R98" s="10">
        <f t="shared" si="14"/>
        <v>0.83861422923866613</v>
      </c>
      <c r="S98" s="9">
        <f t="shared" si="11"/>
        <v>0</v>
      </c>
      <c r="T98" s="10">
        <f t="shared" si="15"/>
        <v>0.83861422923866613</v>
      </c>
      <c r="U98" s="10">
        <f t="shared" si="12"/>
        <v>0.83861422923866613</v>
      </c>
      <c r="V98" s="8">
        <f t="shared" si="16"/>
        <v>-3.3927886809457193</v>
      </c>
      <c r="W98" s="8">
        <f t="shared" si="17"/>
        <v>-3.3927886809457193</v>
      </c>
    </row>
    <row r="99" spans="14:23" x14ac:dyDescent="0.25">
      <c r="N99" s="8">
        <v>-132.5</v>
      </c>
      <c r="O99" s="8">
        <f t="shared" si="9"/>
        <v>358.62484237944841</v>
      </c>
      <c r="P99" s="9">
        <f t="shared" si="10"/>
        <v>0</v>
      </c>
      <c r="Q99" s="10">
        <f t="shared" si="13"/>
        <v>0.84151458337033336</v>
      </c>
      <c r="R99" s="10">
        <f t="shared" si="14"/>
        <v>0.84151458337033336</v>
      </c>
      <c r="S99" s="9">
        <f t="shared" si="11"/>
        <v>0</v>
      </c>
      <c r="T99" s="10">
        <f t="shared" si="15"/>
        <v>0.84151458337033336</v>
      </c>
      <c r="U99" s="10">
        <f t="shared" si="12"/>
        <v>0.84151458337033336</v>
      </c>
      <c r="V99" s="8">
        <f t="shared" si="16"/>
        <v>-3.4710962969635606</v>
      </c>
      <c r="W99" s="8">
        <f t="shared" si="17"/>
        <v>-3.4710962969635606</v>
      </c>
    </row>
    <row r="100" spans="14:23" x14ac:dyDescent="0.25">
      <c r="N100" s="8">
        <v>-132</v>
      </c>
      <c r="O100" s="8">
        <f t="shared" si="9"/>
        <v>357.68307809759835</v>
      </c>
      <c r="P100" s="9">
        <f t="shared" si="10"/>
        <v>0</v>
      </c>
      <c r="Q100" s="10">
        <f t="shared" si="13"/>
        <v>0.84446270658522959</v>
      </c>
      <c r="R100" s="10">
        <f t="shared" si="14"/>
        <v>0.84446270658522959</v>
      </c>
      <c r="S100" s="9">
        <f t="shared" si="11"/>
        <v>0</v>
      </c>
      <c r="T100" s="10">
        <f t="shared" si="15"/>
        <v>0.84446270658522959</v>
      </c>
      <c r="U100" s="10">
        <f t="shared" si="12"/>
        <v>0.84446270658522959</v>
      </c>
      <c r="V100" s="8">
        <f t="shared" si="16"/>
        <v>-3.5504859565480857</v>
      </c>
      <c r="W100" s="8">
        <f t="shared" si="17"/>
        <v>-3.5504859565480857</v>
      </c>
    </row>
    <row r="101" spans="14:23" x14ac:dyDescent="0.25">
      <c r="N101" s="8">
        <v>-131.5</v>
      </c>
      <c r="O101" s="8">
        <f t="shared" si="9"/>
        <v>356.73173033561227</v>
      </c>
      <c r="P101" s="9">
        <f t="shared" si="10"/>
        <v>0</v>
      </c>
      <c r="Q101" s="10">
        <f t="shared" si="13"/>
        <v>0.84745925033558611</v>
      </c>
      <c r="R101" s="10">
        <f t="shared" si="14"/>
        <v>0.84745925033558611</v>
      </c>
      <c r="S101" s="9">
        <f t="shared" si="11"/>
        <v>0</v>
      </c>
      <c r="T101" s="10">
        <f t="shared" si="15"/>
        <v>0.84745925033558611</v>
      </c>
      <c r="U101" s="10">
        <f t="shared" si="12"/>
        <v>0.84745925033558611</v>
      </c>
      <c r="V101" s="8">
        <f t="shared" si="16"/>
        <v>-3.6309662649066725</v>
      </c>
      <c r="W101" s="8">
        <f t="shared" si="17"/>
        <v>-3.6309662649066725</v>
      </c>
    </row>
    <row r="102" spans="14:23" x14ac:dyDescent="0.25">
      <c r="N102" s="8">
        <v>-131</v>
      </c>
      <c r="O102" s="8">
        <f t="shared" si="9"/>
        <v>355.77081857268905</v>
      </c>
      <c r="P102" s="9">
        <f t="shared" si="10"/>
        <v>0</v>
      </c>
      <c r="Q102" s="10">
        <f t="shared" si="13"/>
        <v>0.8505048796038881</v>
      </c>
      <c r="R102" s="10">
        <f t="shared" si="14"/>
        <v>0.8505048796038881</v>
      </c>
      <c r="S102" s="9">
        <f t="shared" si="11"/>
        <v>0</v>
      </c>
      <c r="T102" s="10">
        <f t="shared" si="15"/>
        <v>0.8505048796038881</v>
      </c>
      <c r="U102" s="10">
        <f t="shared" si="12"/>
        <v>0.8505048796038881</v>
      </c>
      <c r="V102" s="8">
        <f t="shared" si="16"/>
        <v>-3.712545950180699</v>
      </c>
      <c r="W102" s="8">
        <f t="shared" si="17"/>
        <v>-3.712545950180699</v>
      </c>
    </row>
    <row r="103" spans="14:23" x14ac:dyDescent="0.25">
      <c r="N103" s="8">
        <v>-130.5</v>
      </c>
      <c r="O103" s="8">
        <f t="shared" si="9"/>
        <v>354.80036303176468</v>
      </c>
      <c r="P103" s="9">
        <f t="shared" si="10"/>
        <v>0</v>
      </c>
      <c r="Q103" s="10">
        <f t="shared" si="13"/>
        <v>0.85360027318058762</v>
      </c>
      <c r="R103" s="10">
        <f t="shared" si="14"/>
        <v>0.85360027318058762</v>
      </c>
      <c r="S103" s="9">
        <f t="shared" si="11"/>
        <v>0</v>
      </c>
      <c r="T103" s="10">
        <f t="shared" si="15"/>
        <v>0.85360027318058762</v>
      </c>
      <c r="U103" s="10">
        <f t="shared" si="12"/>
        <v>0.85360027318058762</v>
      </c>
      <c r="V103" s="8">
        <f t="shared" si="16"/>
        <v>-3.7952338645725727</v>
      </c>
      <c r="W103" s="8">
        <f t="shared" si="17"/>
        <v>-3.7952338645725727</v>
      </c>
    </row>
    <row r="104" spans="14:23" x14ac:dyDescent="0.25">
      <c r="N104" s="8">
        <v>-130</v>
      </c>
      <c r="O104" s="8">
        <f t="shared" si="9"/>
        <v>353.8203846945226</v>
      </c>
      <c r="P104" s="9">
        <f t="shared" si="10"/>
        <v>0</v>
      </c>
      <c r="Q104" s="10">
        <f t="shared" si="13"/>
        <v>0.85674612394895477</v>
      </c>
      <c r="R104" s="10">
        <f t="shared" si="14"/>
        <v>0.85674612394895477</v>
      </c>
      <c r="S104" s="9">
        <f t="shared" si="11"/>
        <v>0</v>
      </c>
      <c r="T104" s="10">
        <f t="shared" si="15"/>
        <v>0.85674612394895477</v>
      </c>
      <c r="U104" s="10">
        <f t="shared" si="12"/>
        <v>0.85674612394895477</v>
      </c>
      <c r="V104" s="8">
        <f t="shared" si="16"/>
        <v>-3.8790389854909217</v>
      </c>
      <c r="W104" s="8">
        <f t="shared" si="17"/>
        <v>-3.8790389854909217</v>
      </c>
    </row>
    <row r="105" spans="14:23" x14ac:dyDescent="0.25">
      <c r="N105" s="8">
        <v>-129.5</v>
      </c>
      <c r="O105" s="8">
        <f t="shared" si="9"/>
        <v>352.83090531643029</v>
      </c>
      <c r="P105" s="9">
        <f t="shared" si="10"/>
        <v>0</v>
      </c>
      <c r="Q105" s="10">
        <f t="shared" si="13"/>
        <v>0.85994313917723564</v>
      </c>
      <c r="R105" s="10">
        <f t="shared" si="14"/>
        <v>0.85994313917723564</v>
      </c>
      <c r="S105" s="9">
        <f t="shared" si="11"/>
        <v>0</v>
      </c>
      <c r="T105" s="10">
        <f t="shared" si="15"/>
        <v>0.85994313917723564</v>
      </c>
      <c r="U105" s="10">
        <f t="shared" si="12"/>
        <v>0.85994313917723564</v>
      </c>
      <c r="V105" s="8">
        <f t="shared" si="16"/>
        <v>-3.9639704167137144</v>
      </c>
      <c r="W105" s="8">
        <f t="shared" si="17"/>
        <v>-3.9639704167137144</v>
      </c>
    </row>
    <row r="106" spans="14:23" x14ac:dyDescent="0.25">
      <c r="N106" s="8">
        <v>-129</v>
      </c>
      <c r="O106" s="8">
        <f t="shared" si="9"/>
        <v>351.83194744178985</v>
      </c>
      <c r="P106" s="9">
        <f t="shared" si="10"/>
        <v>0</v>
      </c>
      <c r="Q106" s="10">
        <f t="shared" si="13"/>
        <v>0.86319204081833656</v>
      </c>
      <c r="R106" s="10">
        <f t="shared" si="14"/>
        <v>0.86319204081833656</v>
      </c>
      <c r="S106" s="9">
        <f t="shared" si="11"/>
        <v>0</v>
      </c>
      <c r="T106" s="10">
        <f t="shared" si="15"/>
        <v>0.86319204081833656</v>
      </c>
      <c r="U106" s="10">
        <f t="shared" si="12"/>
        <v>0.86319204081833656</v>
      </c>
      <c r="V106" s="8">
        <f t="shared" si="16"/>
        <v>-4.0500373895700417</v>
      </c>
      <c r="W106" s="8">
        <f t="shared" si="17"/>
        <v>-4.0500373895700417</v>
      </c>
    </row>
    <row r="107" spans="14:23" x14ac:dyDescent="0.25">
      <c r="N107" s="8">
        <v>-128.5</v>
      </c>
      <c r="O107" s="8">
        <f t="shared" si="9"/>
        <v>350.82353441880031</v>
      </c>
      <c r="P107" s="9">
        <f t="shared" si="10"/>
        <v>0</v>
      </c>
      <c r="Q107" s="10">
        <f t="shared" si="13"/>
        <v>0.86649356581721804</v>
      </c>
      <c r="R107" s="10">
        <f t="shared" si="14"/>
        <v>0.86649356581721804</v>
      </c>
      <c r="S107" s="9">
        <f t="shared" si="11"/>
        <v>0</v>
      </c>
      <c r="T107" s="10">
        <f t="shared" si="15"/>
        <v>0.86649356581721804</v>
      </c>
      <c r="U107" s="10">
        <f t="shared" si="12"/>
        <v>0.86649356581721804</v>
      </c>
      <c r="V107" s="8">
        <f t="shared" si="16"/>
        <v>-4.1372492641404843</v>
      </c>
      <c r="W107" s="8">
        <f t="shared" si="17"/>
        <v>-4.1372492641404843</v>
      </c>
    </row>
    <row r="108" spans="14:23" x14ac:dyDescent="0.25">
      <c r="N108" s="8">
        <v>-128</v>
      </c>
      <c r="O108" s="8">
        <f t="shared" si="9"/>
        <v>349.80569041462223</v>
      </c>
      <c r="P108" s="9">
        <f t="shared" si="10"/>
        <v>0</v>
      </c>
      <c r="Q108" s="10">
        <f t="shared" si="13"/>
        <v>0.86984846642622216</v>
      </c>
      <c r="R108" s="10">
        <f t="shared" si="14"/>
        <v>0.86984846642622216</v>
      </c>
      <c r="S108" s="9">
        <f t="shared" si="11"/>
        <v>0</v>
      </c>
      <c r="T108" s="10">
        <f t="shared" si="15"/>
        <v>0.86984846642622216</v>
      </c>
      <c r="U108" s="10">
        <f t="shared" si="12"/>
        <v>0.86984846642622216</v>
      </c>
      <c r="V108" s="8">
        <f t="shared" si="16"/>
        <v>-4.2256155304765519</v>
      </c>
      <c r="W108" s="8">
        <f t="shared" si="17"/>
        <v>-4.2256155304765519</v>
      </c>
    </row>
    <row r="109" spans="14:23" x14ac:dyDescent="0.25">
      <c r="N109" s="8">
        <v>-127.5</v>
      </c>
      <c r="O109" s="8">
        <f t="shared" si="9"/>
        <v>348.77844043043888</v>
      </c>
      <c r="P109" s="9">
        <f t="shared" si="10"/>
        <v>0</v>
      </c>
      <c r="Q109" s="10">
        <f t="shared" si="13"/>
        <v>0.87325751052854073</v>
      </c>
      <c r="R109" s="10">
        <f t="shared" si="14"/>
        <v>0.87325751052854073</v>
      </c>
      <c r="S109" s="9">
        <f t="shared" si="11"/>
        <v>0</v>
      </c>
      <c r="T109" s="10">
        <f t="shared" si="15"/>
        <v>0.87325751052854073</v>
      </c>
      <c r="U109" s="10">
        <f t="shared" si="12"/>
        <v>0.87325751052854073</v>
      </c>
      <c r="V109" s="8">
        <f t="shared" si="16"/>
        <v>-4.3151458098393869</v>
      </c>
      <c r="W109" s="8">
        <f t="shared" si="17"/>
        <v>-4.3151458098393869</v>
      </c>
    </row>
    <row r="110" spans="14:23" x14ac:dyDescent="0.25">
      <c r="N110" s="8">
        <v>-127</v>
      </c>
      <c r="O110" s="8">
        <f t="shared" si="9"/>
        <v>347.74181031650738</v>
      </c>
      <c r="P110" s="9">
        <f t="shared" si="10"/>
        <v>0</v>
      </c>
      <c r="Q110" s="10">
        <f t="shared" si="13"/>
        <v>0.87672148197004651</v>
      </c>
      <c r="R110" s="10">
        <f t="shared" si="14"/>
        <v>0.87672148197004651</v>
      </c>
      <c r="S110" s="9">
        <f t="shared" si="11"/>
        <v>0</v>
      </c>
      <c r="T110" s="10">
        <f t="shared" si="15"/>
        <v>0.87672148197004651</v>
      </c>
      <c r="U110" s="10">
        <f t="shared" si="12"/>
        <v>0.87672148197004651</v>
      </c>
      <c r="V110" s="8">
        <f t="shared" si="16"/>
        <v>-4.4058498559579631</v>
      </c>
      <c r="W110" s="8">
        <f t="shared" si="17"/>
        <v>-4.4058498559579631</v>
      </c>
    </row>
    <row r="111" spans="14:23" x14ac:dyDescent="0.25">
      <c r="N111" s="8">
        <v>-126.5</v>
      </c>
      <c r="O111" s="8">
        <f t="shared" si="9"/>
        <v>346.69582678719081</v>
      </c>
      <c r="P111" s="9">
        <f t="shared" si="10"/>
        <v>0</v>
      </c>
      <c r="Q111" s="10">
        <f t="shared" si="13"/>
        <v>0.88024118089972236</v>
      </c>
      <c r="R111" s="10">
        <f t="shared" si="14"/>
        <v>0.88024118089972236</v>
      </c>
      <c r="S111" s="9">
        <f t="shared" si="11"/>
        <v>0</v>
      </c>
      <c r="T111" s="10">
        <f t="shared" si="15"/>
        <v>0.88024118089972236</v>
      </c>
      <c r="U111" s="10">
        <f t="shared" si="12"/>
        <v>0.88024118089972236</v>
      </c>
      <c r="V111" s="8">
        <f t="shared" si="16"/>
        <v>-4.4977375563072615</v>
      </c>
      <c r="W111" s="8">
        <f t="shared" si="17"/>
        <v>-4.4977375563072615</v>
      </c>
    </row>
    <row r="112" spans="14:23" x14ac:dyDescent="0.25">
      <c r="N112" s="8">
        <v>-126</v>
      </c>
      <c r="O112" s="8">
        <f t="shared" si="9"/>
        <v>345.6405174359673</v>
      </c>
      <c r="P112" s="9">
        <f t="shared" si="10"/>
        <v>0</v>
      </c>
      <c r="Q112" s="10">
        <f t="shared" si="13"/>
        <v>0.88381742411891229</v>
      </c>
      <c r="R112" s="10">
        <f t="shared" si="14"/>
        <v>0.88381742411891229</v>
      </c>
      <c r="S112" s="9">
        <f t="shared" si="11"/>
        <v>0</v>
      </c>
      <c r="T112" s="10">
        <f t="shared" si="15"/>
        <v>0.88381742411891229</v>
      </c>
      <c r="U112" s="10">
        <f t="shared" si="12"/>
        <v>0.88381742411891229</v>
      </c>
      <c r="V112" s="8">
        <f t="shared" si="16"/>
        <v>-4.5908189334063847</v>
      </c>
      <c r="W112" s="8">
        <f t="shared" si="17"/>
        <v>-4.5908189334063847</v>
      </c>
    </row>
    <row r="113" spans="14:23" x14ac:dyDescent="0.25">
      <c r="N113" s="8">
        <v>-125.5</v>
      </c>
      <c r="O113" s="8">
        <f t="shared" si="9"/>
        <v>344.57591075040438</v>
      </c>
      <c r="P113" s="9">
        <f t="shared" si="10"/>
        <v>0</v>
      </c>
      <c r="Q113" s="10">
        <f t="shared" si="13"/>
        <v>0.88745104543965125</v>
      </c>
      <c r="R113" s="10">
        <f t="shared" si="14"/>
        <v>0.88745104543965125</v>
      </c>
      <c r="S113" s="9">
        <f t="shared" si="11"/>
        <v>0</v>
      </c>
      <c r="T113" s="10">
        <f t="shared" si="15"/>
        <v>0.88745104543965125</v>
      </c>
      <c r="U113" s="10">
        <f t="shared" si="12"/>
        <v>0.88745104543965125</v>
      </c>
      <c r="V113" s="8">
        <f t="shared" si="16"/>
        <v>-4.6851041461373271</v>
      </c>
      <c r="W113" s="8">
        <f t="shared" si="17"/>
        <v>-4.6851041461373271</v>
      </c>
    </row>
    <row r="114" spans="14:23" x14ac:dyDescent="0.25">
      <c r="N114" s="8">
        <v>-125</v>
      </c>
      <c r="O114" s="8">
        <f t="shared" si="9"/>
        <v>343.50203612709521</v>
      </c>
      <c r="P114" s="9">
        <f t="shared" si="10"/>
        <v>0</v>
      </c>
      <c r="Q114" s="10">
        <f t="shared" si="13"/>
        <v>0.89114289605231267</v>
      </c>
      <c r="R114" s="10">
        <f t="shared" si="14"/>
        <v>0.89114289605231267</v>
      </c>
      <c r="S114" s="9">
        <f t="shared" si="11"/>
        <v>0</v>
      </c>
      <c r="T114" s="10">
        <f t="shared" si="15"/>
        <v>0.89114289605231267</v>
      </c>
      <c r="U114" s="10">
        <f t="shared" si="12"/>
        <v>0.89114289605231267</v>
      </c>
      <c r="V114" s="8">
        <f t="shared" si="16"/>
        <v>-4.7806034910843094</v>
      </c>
      <c r="W114" s="8">
        <f t="shared" si="17"/>
        <v>-4.7806034910843094</v>
      </c>
    </row>
    <row r="115" spans="14:23" x14ac:dyDescent="0.25">
      <c r="N115" s="8">
        <v>-124.5</v>
      </c>
      <c r="O115" s="8">
        <f t="shared" si="9"/>
        <v>342.41892388654622</v>
      </c>
      <c r="P115" s="9">
        <f t="shared" si="10"/>
        <v>0</v>
      </c>
      <c r="Q115" s="10">
        <f t="shared" si="13"/>
        <v>0.89489384490283674</v>
      </c>
      <c r="R115" s="10">
        <f t="shared" si="14"/>
        <v>0.89489384490283674</v>
      </c>
      <c r="S115" s="9">
        <f t="shared" si="11"/>
        <v>0</v>
      </c>
      <c r="T115" s="10">
        <f t="shared" si="15"/>
        <v>0.89489384490283674</v>
      </c>
      <c r="U115" s="10">
        <f t="shared" si="12"/>
        <v>0.89489384490283674</v>
      </c>
      <c r="V115" s="8">
        <f t="shared" si="16"/>
        <v>-4.8773274038942462</v>
      </c>
      <c r="W115" s="8">
        <f t="shared" si="17"/>
        <v>-4.8773274038942462</v>
      </c>
    </row>
    <row r="116" spans="14:23" x14ac:dyDescent="0.25">
      <c r="N116" s="8">
        <v>-124</v>
      </c>
      <c r="O116" s="8">
        <f t="shared" si="9"/>
        <v>341.32660528801023</v>
      </c>
      <c r="P116" s="9">
        <f t="shared" si="10"/>
        <v>0</v>
      </c>
      <c r="Q116" s="10">
        <f t="shared" si="13"/>
        <v>0.89870477907980162</v>
      </c>
      <c r="R116" s="10">
        <f t="shared" si="14"/>
        <v>0.89870477907980162</v>
      </c>
      <c r="S116" s="9">
        <f t="shared" si="11"/>
        <v>0</v>
      </c>
      <c r="T116" s="10">
        <f t="shared" si="15"/>
        <v>0.89870477907980162</v>
      </c>
      <c r="U116" s="10">
        <f t="shared" si="12"/>
        <v>0.89870477907980162</v>
      </c>
      <c r="V116" s="8">
        <f t="shared" si="16"/>
        <v>-4.975286460658487</v>
      </c>
      <c r="W116" s="8">
        <f t="shared" si="17"/>
        <v>-4.975286460658487</v>
      </c>
    </row>
    <row r="117" spans="14:23" x14ac:dyDescent="0.25">
      <c r="N117" s="8">
        <v>-123.5</v>
      </c>
      <c r="O117" s="8">
        <f t="shared" si="9"/>
        <v>340.22511254425478</v>
      </c>
      <c r="P117" s="9">
        <f t="shared" si="10"/>
        <v>0</v>
      </c>
      <c r="Q117" s="10">
        <f t="shared" si="13"/>
        <v>0.90257660421161989</v>
      </c>
      <c r="R117" s="10">
        <f t="shared" si="14"/>
        <v>0.90257660421161989</v>
      </c>
      <c r="S117" s="9">
        <f t="shared" si="11"/>
        <v>0</v>
      </c>
      <c r="T117" s="10">
        <f t="shared" si="15"/>
        <v>0.90257660421161989</v>
      </c>
      <c r="U117" s="10">
        <f t="shared" si="12"/>
        <v>0.90257660421161989</v>
      </c>
      <c r="V117" s="8">
        <f t="shared" si="16"/>
        <v>-5.0744913793163509</v>
      </c>
      <c r="W117" s="8">
        <f t="shared" si="17"/>
        <v>-5.0744913793163509</v>
      </c>
    </row>
    <row r="118" spans="14:23" x14ac:dyDescent="0.25">
      <c r="N118" s="8">
        <v>-123</v>
      </c>
      <c r="O118" s="8">
        <f t="shared" si="9"/>
        <v>339.11447883626113</v>
      </c>
      <c r="P118" s="9">
        <f t="shared" si="10"/>
        <v>0</v>
      </c>
      <c r="Q118" s="10">
        <f t="shared" si="13"/>
        <v>0.90651024487412757</v>
      </c>
      <c r="R118" s="10">
        <f t="shared" si="14"/>
        <v>0.90651024487412757</v>
      </c>
      <c r="S118" s="9">
        <f t="shared" si="11"/>
        <v>0</v>
      </c>
      <c r="T118" s="10">
        <f t="shared" si="15"/>
        <v>0.90651024487412757</v>
      </c>
      <c r="U118" s="10">
        <f t="shared" si="12"/>
        <v>0.90651024487412757</v>
      </c>
      <c r="V118" s="8">
        <f t="shared" si="16"/>
        <v>-5.1749530210804844</v>
      </c>
      <c r="W118" s="8">
        <f t="shared" si="17"/>
        <v>-5.1749530210804844</v>
      </c>
    </row>
    <row r="119" spans="14:23" x14ac:dyDescent="0.25">
      <c r="N119" s="8">
        <v>-122.5</v>
      </c>
      <c r="O119" s="8">
        <f t="shared" si="9"/>
        <v>337.99473832784253</v>
      </c>
      <c r="P119" s="9">
        <f t="shared" si="10"/>
        <v>0</v>
      </c>
      <c r="Q119" s="10">
        <f t="shared" si="13"/>
        <v>0.91050664500887191</v>
      </c>
      <c r="R119" s="10">
        <f t="shared" si="14"/>
        <v>0.91050664500887191</v>
      </c>
      <c r="S119" s="9">
        <f t="shared" si="11"/>
        <v>0</v>
      </c>
      <c r="T119" s="10">
        <f t="shared" si="15"/>
        <v>0.91050664500887191</v>
      </c>
      <c r="U119" s="10">
        <f t="shared" si="12"/>
        <v>0.91050664500887191</v>
      </c>
      <c r="V119" s="8">
        <f t="shared" si="16"/>
        <v>-5.2766823918846235</v>
      </c>
      <c r="W119" s="8">
        <f t="shared" si="17"/>
        <v>-5.2766823918846235</v>
      </c>
    </row>
    <row r="120" spans="14:23" x14ac:dyDescent="0.25">
      <c r="N120" s="8">
        <v>-122</v>
      </c>
      <c r="O120" s="8">
        <f t="shared" si="9"/>
        <v>336.86592618017562</v>
      </c>
      <c r="P120" s="9">
        <f t="shared" si="10"/>
        <v>0</v>
      </c>
      <c r="Q120" s="10">
        <f t="shared" si="13"/>
        <v>0.91456676835238615</v>
      </c>
      <c r="R120" s="10">
        <f t="shared" si="14"/>
        <v>0.91456676835238615</v>
      </c>
      <c r="S120" s="9">
        <f t="shared" si="11"/>
        <v>0</v>
      </c>
      <c r="T120" s="10">
        <f t="shared" si="15"/>
        <v>0.91456676835238615</v>
      </c>
      <c r="U120" s="10">
        <f t="shared" si="12"/>
        <v>0.91456676835238615</v>
      </c>
      <c r="V120" s="8">
        <f t="shared" si="16"/>
        <v>-5.3796906438539285</v>
      </c>
      <c r="W120" s="8">
        <f t="shared" si="17"/>
        <v>-5.3796906438539285</v>
      </c>
    </row>
    <row r="121" spans="14:23" x14ac:dyDescent="0.25">
      <c r="N121" s="8">
        <v>-121.5</v>
      </c>
      <c r="O121" s="8">
        <f t="shared" si="9"/>
        <v>335.72807856623649</v>
      </c>
      <c r="P121" s="9">
        <f t="shared" si="10"/>
        <v>0</v>
      </c>
      <c r="Q121" s="10">
        <f t="shared" si="13"/>
        <v>0.91869159887676355</v>
      </c>
      <c r="R121" s="10">
        <f t="shared" si="14"/>
        <v>0.91869159887676355</v>
      </c>
      <c r="S121" s="9">
        <f t="shared" si="11"/>
        <v>0</v>
      </c>
      <c r="T121" s="10">
        <f t="shared" si="15"/>
        <v>0.91869159887676355</v>
      </c>
      <c r="U121" s="10">
        <f t="shared" si="12"/>
        <v>0.91869159887676355</v>
      </c>
      <c r="V121" s="8">
        <f t="shared" si="16"/>
        <v>-5.4839890767982098</v>
      </c>
      <c r="W121" s="8">
        <f t="shared" si="17"/>
        <v>-5.4839890767982098</v>
      </c>
    </row>
    <row r="122" spans="14:23" x14ac:dyDescent="0.25">
      <c r="N122" s="8">
        <v>-121</v>
      </c>
      <c r="O122" s="8">
        <f t="shared" si="9"/>
        <v>334.58123268513009</v>
      </c>
      <c r="P122" s="9">
        <f t="shared" si="10"/>
        <v>0</v>
      </c>
      <c r="Q122" s="10">
        <f t="shared" si="13"/>
        <v>0.92288214124185797</v>
      </c>
      <c r="R122" s="10">
        <f t="shared" si="14"/>
        <v>0.92288214124185797</v>
      </c>
      <c r="S122" s="9">
        <f t="shared" si="11"/>
        <v>0</v>
      </c>
      <c r="T122" s="10">
        <f t="shared" si="15"/>
        <v>0.92288214124185797</v>
      </c>
      <c r="U122" s="10">
        <f t="shared" si="12"/>
        <v>0.92288214124185797</v>
      </c>
      <c r="V122" s="8">
        <f t="shared" si="16"/>
        <v>-5.5895891397286475</v>
      </c>
      <c r="W122" s="8">
        <f t="shared" si="17"/>
        <v>-5.5895891397286475</v>
      </c>
    </row>
    <row r="123" spans="14:23" x14ac:dyDescent="0.25">
      <c r="N123" s="8">
        <v>-120.5</v>
      </c>
      <c r="O123" s="8">
        <f t="shared" si="9"/>
        <v>333.4254267763111</v>
      </c>
      <c r="P123" s="9">
        <f t="shared" si="10"/>
        <v>0</v>
      </c>
      <c r="Q123" s="10">
        <f t="shared" si="13"/>
        <v>0.9271394212594154</v>
      </c>
      <c r="R123" s="10">
        <f t="shared" si="14"/>
        <v>0.9271394212594154</v>
      </c>
      <c r="S123" s="9">
        <f t="shared" si="11"/>
        <v>0</v>
      </c>
      <c r="T123" s="10">
        <f t="shared" si="15"/>
        <v>0.9271394212594154</v>
      </c>
      <c r="U123" s="10">
        <f t="shared" si="12"/>
        <v>0.9271394212594154</v>
      </c>
      <c r="V123" s="8">
        <f t="shared" si="16"/>
        <v>-5.6965024323977236</v>
      </c>
      <c r="W123" s="8">
        <f t="shared" si="17"/>
        <v>-5.6965024323977236</v>
      </c>
    </row>
    <row r="124" spans="14:23" x14ac:dyDescent="0.25">
      <c r="N124" s="8">
        <v>-120</v>
      </c>
      <c r="O124" s="8">
        <f t="shared" si="9"/>
        <v>332.26070013367848</v>
      </c>
      <c r="P124" s="9">
        <f t="shared" si="10"/>
        <v>0</v>
      </c>
      <c r="Q124" s="10">
        <f t="shared" si="13"/>
        <v>0.93146448636950885</v>
      </c>
      <c r="R124" s="10">
        <f t="shared" si="14"/>
        <v>0.93146448636950885</v>
      </c>
      <c r="S124" s="9">
        <f t="shared" si="11"/>
        <v>0</v>
      </c>
      <c r="T124" s="10">
        <f t="shared" si="15"/>
        <v>0.93146448636950885</v>
      </c>
      <c r="U124" s="10">
        <f t="shared" si="12"/>
        <v>0.93146448636950885</v>
      </c>
      <c r="V124" s="8">
        <f t="shared" si="16"/>
        <v>-5.8047407068635488</v>
      </c>
      <c r="W124" s="8">
        <f t="shared" si="17"/>
        <v>-5.8047407068635488</v>
      </c>
    </row>
    <row r="125" spans="14:23" x14ac:dyDescent="0.25">
      <c r="N125" s="8">
        <v>-119.5</v>
      </c>
      <c r="O125" s="8">
        <f t="shared" si="9"/>
        <v>331.08709311954499</v>
      </c>
      <c r="P125" s="9">
        <f t="shared" si="10"/>
        <v>0</v>
      </c>
      <c r="Q125" s="10">
        <f t="shared" si="13"/>
        <v>0.93585840612958549</v>
      </c>
      <c r="R125" s="10">
        <f t="shared" si="14"/>
        <v>0.93585840612958549</v>
      </c>
      <c r="S125" s="9">
        <f t="shared" si="11"/>
        <v>0</v>
      </c>
      <c r="T125" s="10">
        <f t="shared" si="15"/>
        <v>0.93585840612958549</v>
      </c>
      <c r="U125" s="10">
        <f t="shared" si="12"/>
        <v>0.93585840612958549</v>
      </c>
      <c r="V125" s="8">
        <f t="shared" si="16"/>
        <v>-5.9143158690779982</v>
      </c>
      <c r="W125" s="8">
        <f t="shared" si="17"/>
        <v>-5.9143158690779982</v>
      </c>
    </row>
    <row r="126" spans="14:23" x14ac:dyDescent="0.25">
      <c r="N126" s="8">
        <v>-119</v>
      </c>
      <c r="O126" s="8">
        <f t="shared" si="9"/>
        <v>329.90464717846402</v>
      </c>
      <c r="P126" s="9">
        <f t="shared" si="10"/>
        <v>0</v>
      </c>
      <c r="Q126" s="10">
        <f t="shared" si="13"/>
        <v>0.94032227271652247</v>
      </c>
      <c r="R126" s="10">
        <f t="shared" si="14"/>
        <v>0.94032227271652247</v>
      </c>
      <c r="S126" s="9">
        <f t="shared" si="11"/>
        <v>0</v>
      </c>
      <c r="T126" s="10">
        <f t="shared" si="15"/>
        <v>0.94032227271652247</v>
      </c>
      <c r="U126" s="10">
        <f t="shared" si="12"/>
        <v>0.94032227271652247</v>
      </c>
      <c r="V126" s="8">
        <f t="shared" si="16"/>
        <v>-6.025239980499804</v>
      </c>
      <c r="W126" s="8">
        <f t="shared" si="17"/>
        <v>-6.025239980499804</v>
      </c>
    </row>
    <row r="127" spans="14:23" x14ac:dyDescent="0.25">
      <c r="N127" s="8">
        <v>-118.5</v>
      </c>
      <c r="O127" s="8">
        <f t="shared" si="9"/>
        <v>328.7134048509119</v>
      </c>
      <c r="P127" s="9">
        <f t="shared" si="10"/>
        <v>0</v>
      </c>
      <c r="Q127" s="10">
        <f t="shared" si="13"/>
        <v>0.94485720144203222</v>
      </c>
      <c r="R127" s="10">
        <f t="shared" si="14"/>
        <v>0.94485720144203222</v>
      </c>
      <c r="S127" s="9">
        <f t="shared" si="11"/>
        <v>0</v>
      </c>
      <c r="T127" s="10">
        <f t="shared" si="15"/>
        <v>0.94485720144203222</v>
      </c>
      <c r="U127" s="10">
        <f t="shared" si="12"/>
        <v>0.94485720144203222</v>
      </c>
      <c r="V127" s="8">
        <f t="shared" si="16"/>
        <v>-6.1375252597323096</v>
      </c>
      <c r="W127" s="8">
        <f t="shared" si="17"/>
        <v>-6.1375252597323096</v>
      </c>
    </row>
    <row r="128" spans="14:23" x14ac:dyDescent="0.25">
      <c r="N128" s="8">
        <v>-118</v>
      </c>
      <c r="O128" s="8">
        <f t="shared" si="9"/>
        <v>327.51340978681179</v>
      </c>
      <c r="P128" s="9">
        <f t="shared" si="10"/>
        <v>0</v>
      </c>
      <c r="Q128" s="10">
        <f t="shared" si="13"/>
        <v>0.94946433128181895</v>
      </c>
      <c r="R128" s="10">
        <f t="shared" si="14"/>
        <v>0.94946433128181895</v>
      </c>
      <c r="S128" s="9">
        <f t="shared" si="11"/>
        <v>0</v>
      </c>
      <c r="T128" s="10">
        <f t="shared" si="15"/>
        <v>0.94946433128181895</v>
      </c>
      <c r="U128" s="10">
        <f t="shared" si="12"/>
        <v>0.94946433128181895</v>
      </c>
      <c r="V128" s="8">
        <f t="shared" si="16"/>
        <v>-6.2511840841866686</v>
      </c>
      <c r="W128" s="8">
        <f t="shared" si="17"/>
        <v>-6.2511840841866686</v>
      </c>
    </row>
    <row r="129" spans="14:23" x14ac:dyDescent="0.25">
      <c r="N129" s="8">
        <v>-117.5</v>
      </c>
      <c r="O129" s="8">
        <f t="shared" si="9"/>
        <v>326.30470675889353</v>
      </c>
      <c r="P129" s="9">
        <f t="shared" si="10"/>
        <v>0</v>
      </c>
      <c r="Q129" s="10">
        <f t="shared" si="13"/>
        <v>0.95414482541886614</v>
      </c>
      <c r="R129" s="10">
        <f t="shared" si="14"/>
        <v>0.95414482541886614</v>
      </c>
      <c r="S129" s="9">
        <f t="shared" si="11"/>
        <v>0</v>
      </c>
      <c r="T129" s="10">
        <f t="shared" si="15"/>
        <v>0.95414482541886614</v>
      </c>
      <c r="U129" s="10">
        <f t="shared" si="12"/>
        <v>0.95414482541886614</v>
      </c>
      <c r="V129" s="8">
        <f t="shared" si="16"/>
        <v>-6.3662289917705213</v>
      </c>
      <c r="W129" s="8">
        <f t="shared" si="17"/>
        <v>-6.3662289917705213</v>
      </c>
    </row>
    <row r="130" spans="14:23" x14ac:dyDescent="0.25">
      <c r="N130" s="8">
        <v>-117</v>
      </c>
      <c r="O130" s="8">
        <f t="shared" si="9"/>
        <v>325.08734167587937</v>
      </c>
      <c r="P130" s="9">
        <f t="shared" si="10"/>
        <v>0</v>
      </c>
      <c r="Q130" s="10">
        <f t="shared" si="13"/>
        <v>0.95889987180126512</v>
      </c>
      <c r="R130" s="10">
        <f t="shared" si="14"/>
        <v>0.95889987180126512</v>
      </c>
      <c r="S130" s="9">
        <f t="shared" si="11"/>
        <v>0</v>
      </c>
      <c r="T130" s="10">
        <f t="shared" si="15"/>
        <v>0.95889987180126512</v>
      </c>
      <c r="U130" s="10">
        <f t="shared" si="12"/>
        <v>0.95889987180126512</v>
      </c>
      <c r="V130" s="8">
        <f t="shared" si="16"/>
        <v>-6.4826726826025807</v>
      </c>
      <c r="W130" s="8">
        <f t="shared" si="17"/>
        <v>-6.4826726826025807</v>
      </c>
    </row>
    <row r="131" spans="14:23" x14ac:dyDescent="0.25">
      <c r="N131" s="8">
        <v>-116.5</v>
      </c>
      <c r="O131" s="8">
        <f t="shared" si="9"/>
        <v>323.86136159548539</v>
      </c>
      <c r="P131" s="9">
        <f t="shared" si="10"/>
        <v>0</v>
      </c>
      <c r="Q131" s="10">
        <f t="shared" si="13"/>
        <v>0.96373068371500781</v>
      </c>
      <c r="R131" s="10">
        <f t="shared" si="14"/>
        <v>0.96373068371500781</v>
      </c>
      <c r="S131" s="9">
        <f t="shared" si="11"/>
        <v>0</v>
      </c>
      <c r="T131" s="10">
        <f t="shared" si="15"/>
        <v>0.96373068371500781</v>
      </c>
      <c r="U131" s="10">
        <f t="shared" si="12"/>
        <v>0.96373068371500781</v>
      </c>
      <c r="V131" s="8">
        <f t="shared" si="16"/>
        <v>-6.6005280207535693</v>
      </c>
      <c r="W131" s="8">
        <f t="shared" si="17"/>
        <v>-6.6005280207535693</v>
      </c>
    </row>
    <row r="132" spans="14:23" x14ac:dyDescent="0.25">
      <c r="N132" s="8">
        <v>-116</v>
      </c>
      <c r="O132" s="8">
        <f t="shared" ref="O132:O195" si="18">$B$30+PI()/4*($B$5/10)^2*($B$31+$B$7/10-$B$31*COS(RADIANS(N132))-SQRT(($B$7/10)^2-($B$31*SIN(RADIANS(N132)))^2))</f>
        <v>322.62681473723205</v>
      </c>
      <c r="P132" s="9">
        <f t="shared" ref="P132:P195" si="19">IF(N132&gt;$B$36,1-EXP(-$B$16*((N132-$B$36)/$B$35)^($B$17+1)),0)</f>
        <v>0</v>
      </c>
      <c r="Q132" s="10">
        <f t="shared" si="13"/>
        <v>0.9686385003721617</v>
      </c>
      <c r="R132" s="10">
        <f t="shared" si="14"/>
        <v>0.9686385003721617</v>
      </c>
      <c r="S132" s="9">
        <f t="shared" ref="S132:S195" si="20">IF(N132&lt;=$B$38,IF(N132&gt;$B$37,1-EXP(-$B$16*((N132-$B$37)/$B$35)^($B$17+1)),0),$B$22+(1-$B$22)*(1-EXP(-(N132-$B$38)/$B$23)))</f>
        <v>0</v>
      </c>
      <c r="T132" s="10">
        <f t="shared" si="15"/>
        <v>0.9686385003721617</v>
      </c>
      <c r="U132" s="10">
        <f t="shared" ref="U132:U195" si="21">T132+IF(N132&gt;$B$38,$B$24*EXP(-(N132-$B$38)/$B$26)*SIN(2*PI()*(N132-$B$38)/$B$39),0)</f>
        <v>0.9686385003721617</v>
      </c>
      <c r="V132" s="8">
        <f t="shared" si="16"/>
        <v>-6.7198080360135881</v>
      </c>
      <c r="W132" s="8">
        <f t="shared" si="17"/>
        <v>-6.7198080360135881</v>
      </c>
    </row>
    <row r="133" spans="14:23" x14ac:dyDescent="0.25">
      <c r="N133" s="8">
        <v>-115.5</v>
      </c>
      <c r="O133" s="8">
        <f t="shared" si="18"/>
        <v>321.38375049505203</v>
      </c>
      <c r="P133" s="9">
        <f t="shared" si="19"/>
        <v>0</v>
      </c>
      <c r="Q133" s="10">
        <f t="shared" ref="Q133:Q196" si="22">Q132*(O132/O133)^$B$9+10*($B$9-1)*$B$33*(P133-P132)/((O132+O133)/2)</f>
        <v>0.97362458751488556</v>
      </c>
      <c r="R133" s="10">
        <f t="shared" ref="R133:R196" si="23">R132*(O132/O133)^$B$9</f>
        <v>0.97362458751488556</v>
      </c>
      <c r="S133" s="9">
        <f t="shared" si="20"/>
        <v>0</v>
      </c>
      <c r="T133" s="10">
        <f t="shared" ref="T133:T196" si="24">T132*(O132/O133)^$B$9+10*($B$9-1)*$B$33*(S133-S132)/((O132+O133)/2)</f>
        <v>0.97362458751488556</v>
      </c>
      <c r="U133" s="10">
        <f t="shared" si="21"/>
        <v>0.97362458751488556</v>
      </c>
      <c r="V133" s="8">
        <f t="shared" ref="V133:V196" si="25">V132+(Q132+Q133)/2*(O133-O132)/10</f>
        <v>-6.8405259256865154</v>
      </c>
      <c r="W133" s="8">
        <f t="shared" ref="W133:W196" si="26">W132+(T132+T133)/2*(O133-O132)/10</f>
        <v>-6.8405259256865154</v>
      </c>
    </row>
    <row r="134" spans="14:23" x14ac:dyDescent="0.25">
      <c r="N134" s="8">
        <v>-115</v>
      </c>
      <c r="O134" s="8">
        <f t="shared" si="18"/>
        <v>320.1322194496899</v>
      </c>
      <c r="P134" s="9">
        <f t="shared" si="19"/>
        <v>0</v>
      </c>
      <c r="Q134" s="10">
        <f t="shared" si="22"/>
        <v>0.97869023803572464</v>
      </c>
      <c r="R134" s="10">
        <f t="shared" si="23"/>
        <v>0.97869023803572464</v>
      </c>
      <c r="S134" s="9">
        <f t="shared" si="20"/>
        <v>0</v>
      </c>
      <c r="T134" s="10">
        <f t="shared" si="24"/>
        <v>0.97869023803572464</v>
      </c>
      <c r="U134" s="10">
        <f t="shared" si="21"/>
        <v>0.97869023803572464</v>
      </c>
      <c r="V134" s="8">
        <f t="shared" si="25"/>
        <v>-6.9626950564113823</v>
      </c>
      <c r="W134" s="8">
        <f t="shared" si="26"/>
        <v>-6.9626950564113823</v>
      </c>
    </row>
    <row r="135" spans="14:23" x14ac:dyDescent="0.25">
      <c r="N135" s="8">
        <v>-114.5</v>
      </c>
      <c r="O135" s="8">
        <f t="shared" si="18"/>
        <v>318.87227338087888</v>
      </c>
      <c r="P135" s="9">
        <f t="shared" si="19"/>
        <v>0</v>
      </c>
      <c r="Q135" s="10">
        <f t="shared" si="22"/>
        <v>0.98383677261468194</v>
      </c>
      <c r="R135" s="10">
        <f t="shared" si="23"/>
        <v>0.98383677261468194</v>
      </c>
      <c r="S135" s="9">
        <f t="shared" si="20"/>
        <v>0</v>
      </c>
      <c r="T135" s="10">
        <f t="shared" si="24"/>
        <v>0.98383677261468194</v>
      </c>
      <c r="U135" s="10">
        <f t="shared" si="21"/>
        <v>0.98383677261468194</v>
      </c>
      <c r="V135" s="8">
        <f t="shared" si="25"/>
        <v>-7.0863289660116031</v>
      </c>
      <c r="W135" s="8">
        <f t="shared" si="26"/>
        <v>-7.0863289660116031</v>
      </c>
    </row>
    <row r="136" spans="14:23" x14ac:dyDescent="0.25">
      <c r="N136" s="8">
        <v>-114</v>
      </c>
      <c r="O136" s="8">
        <f t="shared" si="18"/>
        <v>317.60396527929242</v>
      </c>
      <c r="P136" s="9">
        <f t="shared" si="19"/>
        <v>0</v>
      </c>
      <c r="Q136" s="10">
        <f t="shared" si="22"/>
        <v>0.9890655403735239</v>
      </c>
      <c r="R136" s="10">
        <f t="shared" si="23"/>
        <v>0.9890655403735239</v>
      </c>
      <c r="S136" s="9">
        <f t="shared" si="20"/>
        <v>0</v>
      </c>
      <c r="T136" s="10">
        <f t="shared" si="24"/>
        <v>0.9890655403735239</v>
      </c>
      <c r="U136" s="10">
        <f t="shared" si="21"/>
        <v>0.9890655403735239</v>
      </c>
      <c r="V136" s="8">
        <f t="shared" si="25"/>
        <v>-7.2114413653716829</v>
      </c>
      <c r="W136" s="8">
        <f t="shared" si="26"/>
        <v>-7.2114413653716829</v>
      </c>
    </row>
    <row r="137" spans="14:23" x14ac:dyDescent="0.25">
      <c r="N137" s="8">
        <v>-113.5</v>
      </c>
      <c r="O137" s="8">
        <f t="shared" si="18"/>
        <v>316.32734935825567</v>
      </c>
      <c r="P137" s="9">
        <f t="shared" si="19"/>
        <v>0</v>
      </c>
      <c r="Q137" s="10">
        <f t="shared" si="22"/>
        <v>0.99437791954784316</v>
      </c>
      <c r="R137" s="10">
        <f t="shared" si="23"/>
        <v>0.99437791954784316</v>
      </c>
      <c r="S137" s="9">
        <f t="shared" si="20"/>
        <v>0</v>
      </c>
      <c r="T137" s="10">
        <f t="shared" si="24"/>
        <v>0.99437791954784316</v>
      </c>
      <c r="U137" s="10">
        <f t="shared" si="21"/>
        <v>0.99437791954784316</v>
      </c>
      <c r="V137" s="8">
        <f t="shared" si="25"/>
        <v>-7.338046140342275</v>
      </c>
      <c r="W137" s="8">
        <f t="shared" si="26"/>
        <v>-7.338046140342275</v>
      </c>
    </row>
    <row r="138" spans="14:23" x14ac:dyDescent="0.25">
      <c r="N138" s="8">
        <v>-113</v>
      </c>
      <c r="O138" s="8">
        <f t="shared" si="18"/>
        <v>315.04248106521163</v>
      </c>
      <c r="P138" s="9">
        <f t="shared" si="19"/>
        <v>0</v>
      </c>
      <c r="Q138" s="10">
        <f t="shared" si="22"/>
        <v>0.99977531817737952</v>
      </c>
      <c r="R138" s="10">
        <f t="shared" si="23"/>
        <v>0.99977531817737952</v>
      </c>
      <c r="S138" s="9">
        <f t="shared" si="20"/>
        <v>0</v>
      </c>
      <c r="T138" s="10">
        <f t="shared" si="24"/>
        <v>0.99977531817737952</v>
      </c>
      <c r="U138" s="10">
        <f t="shared" si="21"/>
        <v>0.99977531817737952</v>
      </c>
      <c r="V138" s="8">
        <f t="shared" si="25"/>
        <v>-7.4661573536734878</v>
      </c>
      <c r="W138" s="8">
        <f t="shared" si="26"/>
        <v>-7.4661573536734878</v>
      </c>
    </row>
    <row r="139" spans="14:23" x14ac:dyDescent="0.25">
      <c r="N139" s="8">
        <v>-112.5</v>
      </c>
      <c r="O139" s="8">
        <f t="shared" si="18"/>
        <v>313.74941709292972</v>
      </c>
      <c r="P139" s="9">
        <f t="shared" si="19"/>
        <v>0</v>
      </c>
      <c r="Q139" s="10">
        <f t="shared" si="22"/>
        <v>1.0052591748151454</v>
      </c>
      <c r="R139" s="10">
        <f t="shared" si="23"/>
        <v>1.0052591748151454</v>
      </c>
      <c r="S139" s="9">
        <f t="shared" si="20"/>
        <v>0</v>
      </c>
      <c r="T139" s="10">
        <f t="shared" si="24"/>
        <v>1.0052591748151454</v>
      </c>
      <c r="U139" s="10">
        <f t="shared" si="21"/>
        <v>1.0052591748151454</v>
      </c>
      <c r="V139" s="8">
        <f t="shared" si="25"/>
        <v>-7.5957892469770458</v>
      </c>
      <c r="W139" s="8">
        <f t="shared" si="26"/>
        <v>-7.5957892469770458</v>
      </c>
    </row>
    <row r="140" spans="14:23" x14ac:dyDescent="0.25">
      <c r="N140" s="8">
        <v>-112</v>
      </c>
      <c r="O140" s="8">
        <f t="shared" si="18"/>
        <v>312.44821539045103</v>
      </c>
      <c r="P140" s="9">
        <f t="shared" si="19"/>
        <v>0</v>
      </c>
      <c r="Q140" s="10">
        <f t="shared" si="22"/>
        <v>1.0108309592558873</v>
      </c>
      <c r="R140" s="10">
        <f t="shared" si="23"/>
        <v>1.0108309592558873</v>
      </c>
      <c r="S140" s="9">
        <f t="shared" si="20"/>
        <v>0</v>
      </c>
      <c r="T140" s="10">
        <f t="shared" si="24"/>
        <v>1.0108309592558873</v>
      </c>
      <c r="U140" s="10">
        <f t="shared" si="21"/>
        <v>1.0108309592558873</v>
      </c>
      <c r="V140" s="8">
        <f t="shared" si="25"/>
        <v>-7.7269562427172325</v>
      </c>
      <c r="W140" s="8">
        <f t="shared" si="26"/>
        <v>-7.7269562427172325</v>
      </c>
    </row>
    <row r="141" spans="14:23" x14ac:dyDescent="0.25">
      <c r="N141" s="8">
        <v>-111.5</v>
      </c>
      <c r="O141" s="8">
        <f t="shared" si="18"/>
        <v>311.13893517375823</v>
      </c>
      <c r="P141" s="9">
        <f t="shared" si="19"/>
        <v>0</v>
      </c>
      <c r="Q141" s="10">
        <f t="shared" si="22"/>
        <v>1.0164921732844656</v>
      </c>
      <c r="R141" s="10">
        <f t="shared" si="23"/>
        <v>1.0164921732844656</v>
      </c>
      <c r="S141" s="9">
        <f t="shared" si="20"/>
        <v>0</v>
      </c>
      <c r="T141" s="10">
        <f t="shared" si="24"/>
        <v>1.0164921732844656</v>
      </c>
      <c r="U141" s="10">
        <f t="shared" si="21"/>
        <v>1.0164921732844656</v>
      </c>
      <c r="V141" s="8">
        <f t="shared" si="25"/>
        <v>-7.8596729462311705</v>
      </c>
      <c r="W141" s="8">
        <f t="shared" si="26"/>
        <v>-7.8596729462311705</v>
      </c>
    </row>
    <row r="142" spans="14:23" x14ac:dyDescent="0.25">
      <c r="N142" s="8">
        <v>-111</v>
      </c>
      <c r="O142" s="8">
        <f t="shared" si="18"/>
        <v>309.82163693616297</v>
      </c>
      <c r="P142" s="9">
        <f t="shared" si="19"/>
        <v>0</v>
      </c>
      <c r="Q142" s="10">
        <f t="shared" si="22"/>
        <v>1.0222443514447221</v>
      </c>
      <c r="R142" s="10">
        <f t="shared" si="23"/>
        <v>1.0222443514447221</v>
      </c>
      <c r="S142" s="9">
        <f t="shared" si="20"/>
        <v>0</v>
      </c>
      <c r="T142" s="10">
        <f t="shared" si="24"/>
        <v>1.0222443514447221</v>
      </c>
      <c r="U142" s="10">
        <f t="shared" si="21"/>
        <v>1.0222443514447221</v>
      </c>
      <c r="V142" s="8">
        <f t="shared" si="25"/>
        <v>-7.9939541477785117</v>
      </c>
      <c r="W142" s="8">
        <f t="shared" si="26"/>
        <v>-7.9939541477785117</v>
      </c>
    </row>
    <row r="143" spans="14:23" x14ac:dyDescent="0.25">
      <c r="N143" s="8">
        <v>-110.5</v>
      </c>
      <c r="O143" s="8">
        <f t="shared" si="18"/>
        <v>308.49638245840094</v>
      </c>
      <c r="P143" s="9">
        <f t="shared" si="19"/>
        <v>0</v>
      </c>
      <c r="Q143" s="10">
        <f t="shared" si="22"/>
        <v>1.028089061829444</v>
      </c>
      <c r="R143" s="10">
        <f t="shared" si="23"/>
        <v>1.028089061829444</v>
      </c>
      <c r="S143" s="9">
        <f t="shared" si="20"/>
        <v>0</v>
      </c>
      <c r="T143" s="10">
        <f t="shared" si="24"/>
        <v>1.028089061829444</v>
      </c>
      <c r="U143" s="10">
        <f t="shared" si="21"/>
        <v>1.028089061829444</v>
      </c>
      <c r="V143" s="8">
        <f t="shared" si="25"/>
        <v>-8.1298148246208459</v>
      </c>
      <c r="W143" s="8">
        <f t="shared" si="26"/>
        <v>-8.1298148246208459</v>
      </c>
    </row>
    <row r="144" spans="14:23" x14ac:dyDescent="0.25">
      <c r="N144" s="8">
        <v>-110</v>
      </c>
      <c r="O144" s="8">
        <f t="shared" si="18"/>
        <v>307.1632348184263</v>
      </c>
      <c r="P144" s="9">
        <f t="shared" si="19"/>
        <v>0</v>
      </c>
      <c r="Q144" s="10">
        <f t="shared" si="22"/>
        <v>1.0340279068920364</v>
      </c>
      <c r="R144" s="10">
        <f t="shared" si="23"/>
        <v>1.0340279068920364</v>
      </c>
      <c r="S144" s="9">
        <f t="shared" si="20"/>
        <v>0</v>
      </c>
      <c r="T144" s="10">
        <f t="shared" si="24"/>
        <v>1.0340279068920364</v>
      </c>
      <c r="U144" s="10">
        <f t="shared" si="21"/>
        <v>1.0340279068920364</v>
      </c>
      <c r="V144" s="8">
        <f t="shared" si="25"/>
        <v>-8.2672701431309807</v>
      </c>
      <c r="W144" s="8">
        <f t="shared" si="26"/>
        <v>-8.2672701431309807</v>
      </c>
    </row>
    <row r="145" spans="14:23" x14ac:dyDescent="0.25">
      <c r="N145" s="8">
        <v>-109.5</v>
      </c>
      <c r="O145" s="8">
        <f t="shared" si="18"/>
        <v>305.82225840089649</v>
      </c>
      <c r="P145" s="9">
        <f t="shared" si="19"/>
        <v>0</v>
      </c>
      <c r="Q145" s="10">
        <f t="shared" si="22"/>
        <v>1.040062524280547</v>
      </c>
      <c r="R145" s="10">
        <f t="shared" si="23"/>
        <v>1.040062524280547</v>
      </c>
      <c r="S145" s="9">
        <f t="shared" si="20"/>
        <v>0</v>
      </c>
      <c r="T145" s="10">
        <f t="shared" si="24"/>
        <v>1.040062524280547</v>
      </c>
      <c r="U145" s="10">
        <f t="shared" si="21"/>
        <v>1.040062524280547</v>
      </c>
      <c r="V145" s="8">
        <f t="shared" si="25"/>
        <v>-8.4063354609323149</v>
      </c>
      <c r="W145" s="8">
        <f t="shared" si="26"/>
        <v>-8.4063354609323149</v>
      </c>
    </row>
    <row r="146" spans="14:23" x14ac:dyDescent="0.25">
      <c r="N146" s="8">
        <v>-109</v>
      </c>
      <c r="O146" s="8">
        <f t="shared" si="18"/>
        <v>304.47351890633684</v>
      </c>
      <c r="P146" s="9">
        <f t="shared" si="19"/>
        <v>0</v>
      </c>
      <c r="Q146" s="10">
        <f t="shared" si="22"/>
        <v>1.0461945876947027</v>
      </c>
      <c r="R146" s="10">
        <f t="shared" si="23"/>
        <v>1.0461945876947027</v>
      </c>
      <c r="S146" s="9">
        <f t="shared" si="20"/>
        <v>0</v>
      </c>
      <c r="T146" s="10">
        <f t="shared" si="24"/>
        <v>1.0461945876947027</v>
      </c>
      <c r="U146" s="10">
        <f t="shared" si="21"/>
        <v>1.0461945876947027</v>
      </c>
      <c r="V146" s="8">
        <f t="shared" si="25"/>
        <v>-8.5470263290686646</v>
      </c>
      <c r="W146" s="8">
        <f t="shared" si="26"/>
        <v>-8.5470263290686646</v>
      </c>
    </row>
    <row r="147" spans="14:23" x14ac:dyDescent="0.25">
      <c r="N147" s="8">
        <v>-108.5</v>
      </c>
      <c r="O147" s="8">
        <f t="shared" si="18"/>
        <v>303.11708335998082</v>
      </c>
      <c r="P147" s="9">
        <f t="shared" si="19"/>
        <v>0</v>
      </c>
      <c r="Q147" s="10">
        <f t="shared" si="22"/>
        <v>1.0524258077666198</v>
      </c>
      <c r="R147" s="10">
        <f t="shared" si="23"/>
        <v>1.0524258077666198</v>
      </c>
      <c r="S147" s="9">
        <f t="shared" si="20"/>
        <v>0</v>
      </c>
      <c r="T147" s="10">
        <f t="shared" si="24"/>
        <v>1.0524258077666198</v>
      </c>
      <c r="U147" s="10">
        <f t="shared" si="21"/>
        <v>1.0524258077666198</v>
      </c>
      <c r="V147" s="8">
        <f t="shared" si="25"/>
        <v>-8.689358494204237</v>
      </c>
      <c r="W147" s="8">
        <f t="shared" si="26"/>
        <v>-8.689358494204237</v>
      </c>
    </row>
    <row r="148" spans="14:23" x14ac:dyDescent="0.25">
      <c r="N148" s="8">
        <v>-108</v>
      </c>
      <c r="O148" s="8">
        <f t="shared" si="18"/>
        <v>301.75302012027174</v>
      </c>
      <c r="P148" s="9">
        <f t="shared" si="19"/>
        <v>0</v>
      </c>
      <c r="Q148" s="10">
        <f t="shared" si="22"/>
        <v>1.0587579329659074</v>
      </c>
      <c r="R148" s="10">
        <f t="shared" si="23"/>
        <v>1.0587579329659074</v>
      </c>
      <c r="S148" s="9">
        <f t="shared" si="20"/>
        <v>0</v>
      </c>
      <c r="T148" s="10">
        <f t="shared" si="24"/>
        <v>1.0587579329659074</v>
      </c>
      <c r="U148" s="10">
        <f t="shared" si="21"/>
        <v>1.0587579329659074</v>
      </c>
      <c r="V148" s="8">
        <f t="shared" si="25"/>
        <v>-8.8333479008544753</v>
      </c>
      <c r="W148" s="8">
        <f t="shared" si="26"/>
        <v>-8.8333479008544753</v>
      </c>
    </row>
    <row r="149" spans="14:23" x14ac:dyDescent="0.25">
      <c r="N149" s="8">
        <v>-107.5</v>
      </c>
      <c r="O149" s="8">
        <f t="shared" si="18"/>
        <v>300.38139888702176</v>
      </c>
      <c r="P149" s="9">
        <f t="shared" si="19"/>
        <v>0</v>
      </c>
      <c r="Q149" s="10">
        <f t="shared" si="22"/>
        <v>1.0651927505298662</v>
      </c>
      <c r="R149" s="10">
        <f t="shared" si="23"/>
        <v>1.0651927505298662</v>
      </c>
      <c r="S149" s="9">
        <f t="shared" si="20"/>
        <v>0</v>
      </c>
      <c r="T149" s="10">
        <f t="shared" si="24"/>
        <v>1.0651927505298662</v>
      </c>
      <c r="U149" s="10">
        <f t="shared" si="21"/>
        <v>1.0651927505298662</v>
      </c>
      <c r="V149" s="8">
        <f t="shared" si="25"/>
        <v>-8.9790106936474068</v>
      </c>
      <c r="W149" s="8">
        <f t="shared" si="26"/>
        <v>-8.9790106936474068</v>
      </c>
    </row>
    <row r="150" spans="14:23" x14ac:dyDescent="0.25">
      <c r="N150" s="8">
        <v>-107</v>
      </c>
      <c r="O150" s="8">
        <f t="shared" si="18"/>
        <v>299.00229070921699</v>
      </c>
      <c r="P150" s="9">
        <f t="shared" si="19"/>
        <v>0</v>
      </c>
      <c r="Q150" s="10">
        <f t="shared" si="22"/>
        <v>1.071732087419536</v>
      </c>
      <c r="R150" s="10">
        <f t="shared" si="23"/>
        <v>1.071732087419536</v>
      </c>
      <c r="S150" s="9">
        <f t="shared" si="20"/>
        <v>0</v>
      </c>
      <c r="T150" s="10">
        <f t="shared" si="24"/>
        <v>1.071732087419536</v>
      </c>
      <c r="U150" s="10">
        <f t="shared" si="21"/>
        <v>1.071732087419536</v>
      </c>
      <c r="V150" s="8">
        <f t="shared" si="25"/>
        <v>-9.1263632196159143</v>
      </c>
      <c r="W150" s="8">
        <f t="shared" si="26"/>
        <v>-9.1263632196159143</v>
      </c>
    </row>
    <row r="151" spans="14:23" x14ac:dyDescent="0.25">
      <c r="N151" s="8">
        <v>-106.5</v>
      </c>
      <c r="O151" s="8">
        <f t="shared" si="18"/>
        <v>297.61576799246308</v>
      </c>
      <c r="P151" s="9">
        <f t="shared" si="19"/>
        <v>0</v>
      </c>
      <c r="Q151" s="10">
        <f t="shared" si="22"/>
        <v>1.0783778113023432</v>
      </c>
      <c r="R151" s="10">
        <f t="shared" si="23"/>
        <v>1.0783778113023432</v>
      </c>
      <c r="S151" s="9">
        <f t="shared" si="20"/>
        <v>0</v>
      </c>
      <c r="T151" s="10">
        <f t="shared" si="24"/>
        <v>1.0783778113023432</v>
      </c>
      <c r="U151" s="10">
        <f t="shared" si="21"/>
        <v>1.0783778113023432</v>
      </c>
      <c r="V151" s="8">
        <f t="shared" si="25"/>
        <v>-9.2754220305206818</v>
      </c>
      <c r="W151" s="8">
        <f t="shared" si="26"/>
        <v>-9.2754220305206818</v>
      </c>
    </row>
    <row r="152" spans="14:23" x14ac:dyDescent="0.25">
      <c r="N152" s="8">
        <v>-106</v>
      </c>
      <c r="O152" s="8">
        <f t="shared" si="18"/>
        <v>296.22190450605967</v>
      </c>
      <c r="P152" s="9">
        <f t="shared" si="19"/>
        <v>0</v>
      </c>
      <c r="Q152" s="10">
        <f t="shared" si="22"/>
        <v>1.0851318315621523</v>
      </c>
      <c r="R152" s="10">
        <f t="shared" si="23"/>
        <v>1.0851318315621523</v>
      </c>
      <c r="S152" s="9">
        <f t="shared" si="20"/>
        <v>0</v>
      </c>
      <c r="T152" s="10">
        <f t="shared" si="24"/>
        <v>1.0851318315621523</v>
      </c>
      <c r="U152" s="10">
        <f t="shared" si="21"/>
        <v>1.0851318315621523</v>
      </c>
      <c r="V152" s="8">
        <f t="shared" si="25"/>
        <v>-9.426203885204206</v>
      </c>
      <c r="W152" s="8">
        <f t="shared" si="26"/>
        <v>-9.426203885204206</v>
      </c>
    </row>
    <row r="153" spans="14:23" x14ac:dyDescent="0.25">
      <c r="N153" s="8">
        <v>-105.5</v>
      </c>
      <c r="O153" s="8">
        <f t="shared" si="18"/>
        <v>294.82077538969975</v>
      </c>
      <c r="P153" s="9">
        <f t="shared" si="19"/>
        <v>0</v>
      </c>
      <c r="Q153" s="10">
        <f t="shared" si="22"/>
        <v>1.0919961003375098</v>
      </c>
      <c r="R153" s="10">
        <f t="shared" si="23"/>
        <v>1.0919961003375098</v>
      </c>
      <c r="S153" s="9">
        <f t="shared" si="20"/>
        <v>0</v>
      </c>
      <c r="T153" s="10">
        <f t="shared" si="24"/>
        <v>1.0919961003375098</v>
      </c>
      <c r="U153" s="10">
        <f t="shared" si="21"/>
        <v>1.0919961003375098</v>
      </c>
      <c r="V153" s="8">
        <f t="shared" si="25"/>
        <v>-9.5787257519754601</v>
      </c>
      <c r="W153" s="8">
        <f t="shared" si="26"/>
        <v>-9.5787257519754601</v>
      </c>
    </row>
    <row r="154" spans="14:23" x14ac:dyDescent="0.25">
      <c r="N154" s="8">
        <v>-105</v>
      </c>
      <c r="O154" s="8">
        <f t="shared" si="18"/>
        <v>293.41245715978147</v>
      </c>
      <c r="P154" s="9">
        <f t="shared" si="19"/>
        <v>0</v>
      </c>
      <c r="Q154" s="10">
        <f t="shared" si="22"/>
        <v>1.0989726135889439</v>
      </c>
      <c r="R154" s="10">
        <f t="shared" si="23"/>
        <v>1.0989726135889439</v>
      </c>
      <c r="S154" s="9">
        <f t="shared" si="20"/>
        <v>0</v>
      </c>
      <c r="T154" s="10">
        <f t="shared" si="24"/>
        <v>1.0989726135889439</v>
      </c>
      <c r="U154" s="10">
        <f t="shared" si="21"/>
        <v>1.0989726135889439</v>
      </c>
      <c r="V154" s="8">
        <f t="shared" si="25"/>
        <v>-9.7330048110256211</v>
      </c>
      <c r="W154" s="8">
        <f t="shared" si="26"/>
        <v>-9.7330048110256211</v>
      </c>
    </row>
    <row r="155" spans="14:23" x14ac:dyDescent="0.25">
      <c r="N155" s="8">
        <v>-104.5</v>
      </c>
      <c r="O155" s="8">
        <f t="shared" si="18"/>
        <v>291.99702771533038</v>
      </c>
      <c r="P155" s="9">
        <f t="shared" si="19"/>
        <v>0</v>
      </c>
      <c r="Q155" s="10">
        <f t="shared" si="22"/>
        <v>1.1060634121961466</v>
      </c>
      <c r="R155" s="10">
        <f t="shared" si="23"/>
        <v>1.1060634121961466</v>
      </c>
      <c r="S155" s="9">
        <f t="shared" si="20"/>
        <v>0</v>
      </c>
      <c r="T155" s="10">
        <f t="shared" si="24"/>
        <v>1.1060634121961466</v>
      </c>
      <c r="U155" s="10">
        <f t="shared" si="21"/>
        <v>1.1060634121961466</v>
      </c>
      <c r="V155" s="8">
        <f t="shared" si="25"/>
        <v>-9.8890584568742028</v>
      </c>
      <c r="W155" s="8">
        <f t="shared" si="26"/>
        <v>-9.8890584568742028</v>
      </c>
    </row>
    <row r="156" spans="14:23" x14ac:dyDescent="0.25">
      <c r="N156" s="8">
        <v>-104</v>
      </c>
      <c r="O156" s="8">
        <f t="shared" si="18"/>
        <v>290.57456634351826</v>
      </c>
      <c r="P156" s="9">
        <f t="shared" si="19"/>
        <v>0</v>
      </c>
      <c r="Q156" s="10">
        <f t="shared" si="22"/>
        <v>1.1132705830859577</v>
      </c>
      <c r="R156" s="10">
        <f t="shared" si="23"/>
        <v>1.1132705830859577</v>
      </c>
      <c r="S156" s="9">
        <f t="shared" si="20"/>
        <v>0</v>
      </c>
      <c r="T156" s="10">
        <f t="shared" si="24"/>
        <v>1.1132705830859577</v>
      </c>
      <c r="U156" s="10">
        <f t="shared" si="21"/>
        <v>1.1132705830859577</v>
      </c>
      <c r="V156" s="8">
        <f t="shared" si="25"/>
        <v>-10.046904300846116</v>
      </c>
      <c r="W156" s="8">
        <f t="shared" si="26"/>
        <v>-10.046904300846116</v>
      </c>
    </row>
    <row r="157" spans="14:23" x14ac:dyDescent="0.25">
      <c r="N157" s="8">
        <v>-103.5</v>
      </c>
      <c r="O157" s="8">
        <f t="shared" si="18"/>
        <v>289.14515372477535</v>
      </c>
      <c r="P157" s="9">
        <f t="shared" si="19"/>
        <v>0</v>
      </c>
      <c r="Q157" s="10">
        <f t="shared" si="22"/>
        <v>1.1205962603920467</v>
      </c>
      <c r="R157" s="10">
        <f t="shared" si="23"/>
        <v>1.1205962603920467</v>
      </c>
      <c r="S157" s="9">
        <f t="shared" si="20"/>
        <v>0</v>
      </c>
      <c r="T157" s="10">
        <f t="shared" si="24"/>
        <v>1.1205962603920467</v>
      </c>
      <c r="U157" s="10">
        <f t="shared" si="21"/>
        <v>1.1205962603920467</v>
      </c>
      <c r="V157" s="8">
        <f t="shared" si="25"/>
        <v>-10.206560173579057</v>
      </c>
      <c r="W157" s="8">
        <f t="shared" si="26"/>
        <v>-10.206560173579057</v>
      </c>
    </row>
    <row r="158" spans="14:23" x14ac:dyDescent="0.25">
      <c r="N158" s="8">
        <v>-103</v>
      </c>
      <c r="O158" s="8">
        <f t="shared" si="18"/>
        <v>287.70887193748854</v>
      </c>
      <c r="P158" s="9">
        <f t="shared" si="19"/>
        <v>0</v>
      </c>
      <c r="Q158" s="10">
        <f t="shared" si="22"/>
        <v>1.1280426266472254</v>
      </c>
      <c r="R158" s="10">
        <f t="shared" si="23"/>
        <v>1.1280426266472254</v>
      </c>
      <c r="S158" s="9">
        <f t="shared" si="20"/>
        <v>0</v>
      </c>
      <c r="T158" s="10">
        <f t="shared" si="24"/>
        <v>1.1280426266472254</v>
      </c>
      <c r="U158" s="10">
        <f t="shared" si="21"/>
        <v>1.1280426266472254</v>
      </c>
      <c r="V158" s="8">
        <f t="shared" si="25"/>
        <v>-10.368044127561026</v>
      </c>
      <c r="W158" s="8">
        <f t="shared" si="26"/>
        <v>-10.368044127561026</v>
      </c>
    </row>
    <row r="159" spans="14:23" x14ac:dyDescent="0.25">
      <c r="N159" s="8">
        <v>-102.5</v>
      </c>
      <c r="O159" s="8">
        <f t="shared" si="18"/>
        <v>286.26580446227513</v>
      </c>
      <c r="P159" s="9">
        <f t="shared" si="19"/>
        <v>0</v>
      </c>
      <c r="Q159" s="10">
        <f t="shared" si="22"/>
        <v>1.1356119140093863</v>
      </c>
      <c r="R159" s="10">
        <f t="shared" si="23"/>
        <v>1.1356119140093863</v>
      </c>
      <c r="S159" s="9">
        <f t="shared" si="20"/>
        <v>0</v>
      </c>
      <c r="T159" s="10">
        <f t="shared" si="24"/>
        <v>1.1356119140093863</v>
      </c>
      <c r="U159" s="10">
        <f t="shared" si="21"/>
        <v>1.1356119140093863</v>
      </c>
      <c r="V159" s="8">
        <f t="shared" si="25"/>
        <v>-10.531374439698061</v>
      </c>
      <c r="W159" s="8">
        <f t="shared" si="26"/>
        <v>-10.531374439698061</v>
      </c>
    </row>
    <row r="160" spans="14:23" x14ac:dyDescent="0.25">
      <c r="N160" s="8">
        <v>-102</v>
      </c>
      <c r="O160" s="8">
        <f t="shared" si="18"/>
        <v>284.81603618583085</v>
      </c>
      <c r="P160" s="9">
        <f t="shared" si="19"/>
        <v>0</v>
      </c>
      <c r="Q160" s="10">
        <f t="shared" si="22"/>
        <v>1.1433064055220281</v>
      </c>
      <c r="R160" s="10">
        <f t="shared" si="23"/>
        <v>1.1433064055220281</v>
      </c>
      <c r="S160" s="9">
        <f t="shared" si="20"/>
        <v>0</v>
      </c>
      <c r="T160" s="10">
        <f t="shared" si="24"/>
        <v>1.1433064055220281</v>
      </c>
      <c r="U160" s="10">
        <f t="shared" si="21"/>
        <v>1.1433064055220281</v>
      </c>
      <c r="V160" s="8">
        <f t="shared" si="25"/>
        <v>-10.696569613911278</v>
      </c>
      <c r="W160" s="8">
        <f t="shared" si="26"/>
        <v>-10.696569613911278</v>
      </c>
    </row>
    <row r="161" spans="14:23" x14ac:dyDescent="0.25">
      <c r="N161" s="8">
        <v>-101.5</v>
      </c>
      <c r="O161" s="8">
        <f t="shared" si="18"/>
        <v>283.35965340433836</v>
      </c>
      <c r="P161" s="9">
        <f t="shared" si="19"/>
        <v>0</v>
      </c>
      <c r="Q161" s="10">
        <f t="shared" si="22"/>
        <v>1.1511284364104371</v>
      </c>
      <c r="R161" s="10">
        <f t="shared" si="23"/>
        <v>1.1511284364104371</v>
      </c>
      <c r="S161" s="9">
        <f t="shared" si="20"/>
        <v>0</v>
      </c>
      <c r="T161" s="10">
        <f t="shared" si="24"/>
        <v>1.1511284364104371</v>
      </c>
      <c r="U161" s="10">
        <f t="shared" si="21"/>
        <v>1.1511284364104371</v>
      </c>
      <c r="V161" s="8">
        <f t="shared" si="25"/>
        <v>-10.863648383763623</v>
      </c>
      <c r="W161" s="8">
        <f t="shared" si="26"/>
        <v>-10.863648383763623</v>
      </c>
    </row>
    <row r="162" spans="14:23" x14ac:dyDescent="0.25">
      <c r="N162" s="8">
        <v>-101</v>
      </c>
      <c r="O162" s="8">
        <f t="shared" si="18"/>
        <v>281.8967438264379</v>
      </c>
      <c r="P162" s="9">
        <f t="shared" si="19"/>
        <v>0</v>
      </c>
      <c r="Q162" s="10">
        <f t="shared" si="22"/>
        <v>1.1590803954145341</v>
      </c>
      <c r="R162" s="10">
        <f t="shared" si="23"/>
        <v>1.1590803954145341</v>
      </c>
      <c r="S162" s="9">
        <f t="shared" si="20"/>
        <v>0</v>
      </c>
      <c r="T162" s="10">
        <f t="shared" si="24"/>
        <v>1.1590803954145341</v>
      </c>
      <c r="U162" s="10">
        <f t="shared" si="21"/>
        <v>1.1590803954145341</v>
      </c>
      <c r="V162" s="8">
        <f t="shared" si="25"/>
        <v>-11.032629715114972</v>
      </c>
      <c r="W162" s="8">
        <f t="shared" si="26"/>
        <v>-11.032629715114972</v>
      </c>
    </row>
    <row r="163" spans="14:23" x14ac:dyDescent="0.25">
      <c r="N163" s="8">
        <v>-100.5</v>
      </c>
      <c r="O163" s="8">
        <f t="shared" si="18"/>
        <v>280.42739657574685</v>
      </c>
      <c r="P163" s="9">
        <f t="shared" si="19"/>
        <v>0</v>
      </c>
      <c r="Q163" s="10">
        <f t="shared" si="22"/>
        <v>1.167164726159521</v>
      </c>
      <c r="R163" s="10">
        <f t="shared" si="23"/>
        <v>1.167164726159521</v>
      </c>
      <c r="S163" s="9">
        <f t="shared" si="20"/>
        <v>0</v>
      </c>
      <c r="T163" s="10">
        <f t="shared" si="24"/>
        <v>1.167164726159521</v>
      </c>
      <c r="U163" s="10">
        <f t="shared" si="21"/>
        <v>1.167164726159521</v>
      </c>
      <c r="V163" s="8">
        <f t="shared" si="25"/>
        <v>-11.203532808805885</v>
      </c>
      <c r="W163" s="8">
        <f t="shared" si="26"/>
        <v>-11.203532808805885</v>
      </c>
    </row>
    <row r="164" spans="14:23" x14ac:dyDescent="0.25">
      <c r="N164" s="8">
        <v>-100</v>
      </c>
      <c r="O164" s="8">
        <f t="shared" si="18"/>
        <v>278.95170219292487</v>
      </c>
      <c r="P164" s="9">
        <f t="shared" si="19"/>
        <v>0</v>
      </c>
      <c r="Q164" s="10">
        <f t="shared" si="22"/>
        <v>1.1753839285654213</v>
      </c>
      <c r="R164" s="10">
        <f t="shared" si="23"/>
        <v>1.1753839285654213</v>
      </c>
      <c r="S164" s="9">
        <f t="shared" si="20"/>
        <v>0</v>
      </c>
      <c r="T164" s="10">
        <f t="shared" si="24"/>
        <v>1.1753839285654213</v>
      </c>
      <c r="U164" s="10">
        <f t="shared" si="21"/>
        <v>1.1753839285654213</v>
      </c>
      <c r="V164" s="8">
        <f t="shared" si="25"/>
        <v>-11.376377103369125</v>
      </c>
      <c r="W164" s="8">
        <f t="shared" si="26"/>
        <v>-11.376377103369125</v>
      </c>
    </row>
    <row r="165" spans="14:23" x14ac:dyDescent="0.25">
      <c r="N165" s="8">
        <v>-99.5</v>
      </c>
      <c r="O165" s="8">
        <f t="shared" si="18"/>
        <v>277.46975263728166</v>
      </c>
      <c r="P165" s="9">
        <f t="shared" si="19"/>
        <v>0</v>
      </c>
      <c r="Q165" s="10">
        <f t="shared" si="22"/>
        <v>1.1837405602966615</v>
      </c>
      <c r="R165" s="10">
        <f t="shared" si="23"/>
        <v>1.1837405602966615</v>
      </c>
      <c r="S165" s="9">
        <f t="shared" si="20"/>
        <v>0</v>
      </c>
      <c r="T165" s="10">
        <f t="shared" si="24"/>
        <v>1.1837405602966615</v>
      </c>
      <c r="U165" s="10">
        <f t="shared" si="21"/>
        <v>1.1837405602966615</v>
      </c>
      <c r="V165" s="8">
        <f t="shared" si="25"/>
        <v>-11.551182277767934</v>
      </c>
      <c r="W165" s="8">
        <f t="shared" si="26"/>
        <v>-11.551182277767934</v>
      </c>
    </row>
    <row r="166" spans="14:23" x14ac:dyDescent="0.25">
      <c r="N166" s="8">
        <v>-99</v>
      </c>
      <c r="O166" s="8">
        <f t="shared" si="18"/>
        <v>275.98164128791575</v>
      </c>
      <c r="P166" s="9">
        <f t="shared" si="19"/>
        <v>0</v>
      </c>
      <c r="Q166" s="10">
        <f t="shared" si="22"/>
        <v>1.1922372382529089</v>
      </c>
      <c r="R166" s="10">
        <f t="shared" si="23"/>
        <v>1.1922372382529089</v>
      </c>
      <c r="S166" s="9">
        <f t="shared" si="20"/>
        <v>0</v>
      </c>
      <c r="T166" s="10">
        <f t="shared" si="24"/>
        <v>1.1922372382529089</v>
      </c>
      <c r="U166" s="10">
        <f t="shared" si="21"/>
        <v>1.1922372382529089</v>
      </c>
      <c r="V166" s="8">
        <f t="shared" si="25"/>
        <v>-11.727968254161086</v>
      </c>
      <c r="W166" s="8">
        <f t="shared" si="26"/>
        <v>-11.727968254161086</v>
      </c>
    </row>
    <row r="167" spans="14:23" x14ac:dyDescent="0.25">
      <c r="N167" s="8">
        <v>-98.5</v>
      </c>
      <c r="O167" s="8">
        <f t="shared" si="18"/>
        <v>274.48746294438456</v>
      </c>
      <c r="P167" s="9">
        <f t="shared" si="19"/>
        <v>0</v>
      </c>
      <c r="Q167" s="10">
        <f t="shared" si="22"/>
        <v>1.2008766401023565</v>
      </c>
      <c r="R167" s="10">
        <f t="shared" si="23"/>
        <v>1.2008766401023565</v>
      </c>
      <c r="S167" s="9">
        <f t="shared" si="20"/>
        <v>0</v>
      </c>
      <c r="T167" s="10">
        <f t="shared" si="24"/>
        <v>1.2008766401023565</v>
      </c>
      <c r="U167" s="10">
        <f t="shared" si="21"/>
        <v>1.2008766401023565</v>
      </c>
      <c r="V167" s="8">
        <f t="shared" si="25"/>
        <v>-11.906755200693205</v>
      </c>
      <c r="W167" s="8">
        <f t="shared" si="26"/>
        <v>-11.906755200693205</v>
      </c>
    </row>
    <row r="168" spans="14:23" x14ac:dyDescent="0.25">
      <c r="N168" s="8">
        <v>-98</v>
      </c>
      <c r="O168" s="8">
        <f t="shared" si="18"/>
        <v>272.9873138268976</v>
      </c>
      <c r="P168" s="9">
        <f t="shared" si="19"/>
        <v>0</v>
      </c>
      <c r="Q168" s="10">
        <f t="shared" si="22"/>
        <v>1.2096615058587266</v>
      </c>
      <c r="R168" s="10">
        <f t="shared" si="23"/>
        <v>1.2096615058587266</v>
      </c>
      <c r="S168" s="9">
        <f t="shared" si="20"/>
        <v>0</v>
      </c>
      <c r="T168" s="10">
        <f t="shared" si="24"/>
        <v>1.2096615058587266</v>
      </c>
      <c r="U168" s="10">
        <f t="shared" si="21"/>
        <v>1.2096615058587266</v>
      </c>
      <c r="V168" s="8">
        <f t="shared" si="25"/>
        <v>-12.087563534309814</v>
      </c>
      <c r="W168" s="8">
        <f t="shared" si="26"/>
        <v>-12.087563534309814</v>
      </c>
    </row>
    <row r="169" spans="14:23" x14ac:dyDescent="0.25">
      <c r="N169" s="8">
        <v>-97.5</v>
      </c>
      <c r="O169" s="8">
        <f t="shared" si="18"/>
        <v>271.48129157602932</v>
      </c>
      <c r="P169" s="9">
        <f t="shared" si="19"/>
        <v>0</v>
      </c>
      <c r="Q169" s="10">
        <f t="shared" si="22"/>
        <v>1.2185946395032814</v>
      </c>
      <c r="R169" s="10">
        <f t="shared" si="23"/>
        <v>1.2185946395032814</v>
      </c>
      <c r="S169" s="9">
        <f t="shared" si="20"/>
        <v>0</v>
      </c>
      <c r="T169" s="10">
        <f t="shared" si="24"/>
        <v>1.2185946395032814</v>
      </c>
      <c r="U169" s="10">
        <f t="shared" si="21"/>
        <v>1.2185946395032814</v>
      </c>
      <c r="V169" s="8">
        <f t="shared" si="25"/>
        <v>-12.270413923595955</v>
      </c>
      <c r="W169" s="8">
        <f t="shared" si="26"/>
        <v>-12.270413923595955</v>
      </c>
    </row>
    <row r="170" spans="14:23" x14ac:dyDescent="0.25">
      <c r="N170" s="8">
        <v>-97</v>
      </c>
      <c r="O170" s="8">
        <f t="shared" si="18"/>
        <v>269.96949525194538</v>
      </c>
      <c r="P170" s="9">
        <f t="shared" si="19"/>
        <v>0</v>
      </c>
      <c r="Q170" s="10">
        <f t="shared" si="22"/>
        <v>1.2276789106531729</v>
      </c>
      <c r="R170" s="10">
        <f t="shared" si="23"/>
        <v>1.2276789106531729</v>
      </c>
      <c r="S170" s="9">
        <f t="shared" si="20"/>
        <v>0</v>
      </c>
      <c r="T170" s="10">
        <f t="shared" si="24"/>
        <v>1.2276789106531729</v>
      </c>
      <c r="U170" s="10">
        <f t="shared" si="21"/>
        <v>1.2276789106531729</v>
      </c>
      <c r="V170" s="8">
        <f t="shared" si="25"/>
        <v>-12.45532729163747</v>
      </c>
      <c r="W170" s="8">
        <f t="shared" si="26"/>
        <v>-12.45532729163747</v>
      </c>
    </row>
    <row r="171" spans="14:23" x14ac:dyDescent="0.25">
      <c r="N171" s="8">
        <v>-96.5</v>
      </c>
      <c r="O171" s="8">
        <f t="shared" si="18"/>
        <v>268.45202533314171</v>
      </c>
      <c r="P171" s="9">
        <f t="shared" si="19"/>
        <v>0</v>
      </c>
      <c r="Q171" s="10">
        <f t="shared" si="22"/>
        <v>1.2369172562774802</v>
      </c>
      <c r="R171" s="10">
        <f t="shared" si="23"/>
        <v>1.2369172562774802</v>
      </c>
      <c r="S171" s="9">
        <f t="shared" si="20"/>
        <v>0</v>
      </c>
      <c r="T171" s="10">
        <f t="shared" si="24"/>
        <v>1.2369172562774802</v>
      </c>
      <c r="U171" s="10">
        <f t="shared" si="21"/>
        <v>1.2369172562774802</v>
      </c>
      <c r="V171" s="8">
        <f t="shared" si="25"/>
        <v>-12.642324818903274</v>
      </c>
      <c r="W171" s="8">
        <f t="shared" si="26"/>
        <v>-12.642324818903274</v>
      </c>
    </row>
    <row r="172" spans="14:23" x14ac:dyDescent="0.25">
      <c r="N172" s="8">
        <v>-96</v>
      </c>
      <c r="O172" s="8">
        <f t="shared" si="18"/>
        <v>266.92898371468669</v>
      </c>
      <c r="P172" s="9">
        <f t="shared" si="19"/>
        <v>0</v>
      </c>
      <c r="Q172" s="10">
        <f t="shared" si="22"/>
        <v>1.2463126824623711</v>
      </c>
      <c r="R172" s="10">
        <f t="shared" si="23"/>
        <v>1.2463126824623711</v>
      </c>
      <c r="S172" s="9">
        <f t="shared" si="20"/>
        <v>0</v>
      </c>
      <c r="T172" s="10">
        <f t="shared" si="24"/>
        <v>1.2463126824623711</v>
      </c>
      <c r="U172" s="10">
        <f t="shared" si="21"/>
        <v>1.2463126824623711</v>
      </c>
      <c r="V172" s="8">
        <f t="shared" si="25"/>
        <v>-12.831427946147988</v>
      </c>
      <c r="W172" s="8">
        <f t="shared" si="26"/>
        <v>-12.831427946147988</v>
      </c>
    </row>
    <row r="173" spans="14:23" x14ac:dyDescent="0.25">
      <c r="N173" s="8">
        <v>-95.5</v>
      </c>
      <c r="O173" s="8">
        <f t="shared" si="18"/>
        <v>265.40047370596864</v>
      </c>
      <c r="P173" s="9">
        <f t="shared" si="19"/>
        <v>0</v>
      </c>
      <c r="Q173" s="10">
        <f t="shared" si="22"/>
        <v>1.2558682662267955</v>
      </c>
      <c r="R173" s="10">
        <f t="shared" si="23"/>
        <v>1.2558682662267955</v>
      </c>
      <c r="S173" s="9">
        <f t="shared" si="20"/>
        <v>0</v>
      </c>
      <c r="T173" s="10">
        <f t="shared" si="24"/>
        <v>1.2558682662267955</v>
      </c>
      <c r="U173" s="10">
        <f t="shared" si="21"/>
        <v>1.2558682662267955</v>
      </c>
      <c r="V173" s="8">
        <f t="shared" si="25"/>
        <v>-13.022658377332739</v>
      </c>
      <c r="W173" s="8">
        <f t="shared" si="26"/>
        <v>-13.022658377332739</v>
      </c>
    </row>
    <row r="174" spans="14:23" x14ac:dyDescent="0.25">
      <c r="N174" s="8">
        <v>-95</v>
      </c>
      <c r="O174" s="8">
        <f t="shared" si="18"/>
        <v>263.86660002794162</v>
      </c>
      <c r="P174" s="9">
        <f t="shared" si="19"/>
        <v>0</v>
      </c>
      <c r="Q174" s="10">
        <f t="shared" si="22"/>
        <v>1.2655871573902115</v>
      </c>
      <c r="R174" s="10">
        <f t="shared" si="23"/>
        <v>1.2655871573902115</v>
      </c>
      <c r="S174" s="9">
        <f t="shared" si="20"/>
        <v>0</v>
      </c>
      <c r="T174" s="10">
        <f t="shared" si="24"/>
        <v>1.2655871573902115</v>
      </c>
      <c r="U174" s="10">
        <f t="shared" si="21"/>
        <v>1.2655871573902115</v>
      </c>
      <c r="V174" s="8">
        <f t="shared" si="25"/>
        <v>-13.216038082562969</v>
      </c>
      <c r="W174" s="8">
        <f t="shared" si="26"/>
        <v>-13.216038082562969</v>
      </c>
    </row>
    <row r="175" spans="14:23" x14ac:dyDescent="0.25">
      <c r="N175" s="8">
        <v>-94.5</v>
      </c>
      <c r="O175" s="8">
        <f t="shared" si="18"/>
        <v>262.3274688098665</v>
      </c>
      <c r="P175" s="9">
        <f t="shared" si="19"/>
        <v>0</v>
      </c>
      <c r="Q175" s="10">
        <f t="shared" si="22"/>
        <v>1.2754725804938731</v>
      </c>
      <c r="R175" s="10">
        <f t="shared" si="23"/>
        <v>1.2754725804938731</v>
      </c>
      <c r="S175" s="9">
        <f t="shared" si="20"/>
        <v>0</v>
      </c>
      <c r="T175" s="10">
        <f t="shared" si="24"/>
        <v>1.2754725804938731</v>
      </c>
      <c r="U175" s="10">
        <f t="shared" si="21"/>
        <v>1.2754725804938731</v>
      </c>
      <c r="V175" s="8">
        <f t="shared" si="25"/>
        <v>-13.411589301041527</v>
      </c>
      <c r="W175" s="8">
        <f t="shared" si="26"/>
        <v>-13.411589301041527</v>
      </c>
    </row>
    <row r="176" spans="14:23" x14ac:dyDescent="0.25">
      <c r="N176" s="8">
        <v>-94</v>
      </c>
      <c r="O176" s="8">
        <f t="shared" si="18"/>
        <v>260.78318758554644</v>
      </c>
      <c r="P176" s="9">
        <f t="shared" si="19"/>
        <v>0</v>
      </c>
      <c r="Q176" s="10">
        <f t="shared" si="22"/>
        <v>1.2855278367772223</v>
      </c>
      <c r="R176" s="10">
        <f t="shared" si="23"/>
        <v>1.2855278367772223</v>
      </c>
      <c r="S176" s="9">
        <f t="shared" si="20"/>
        <v>0</v>
      </c>
      <c r="T176" s="10">
        <f t="shared" si="24"/>
        <v>1.2855278367772223</v>
      </c>
      <c r="U176" s="10">
        <f t="shared" si="21"/>
        <v>1.2855278367772223</v>
      </c>
      <c r="V176" s="8">
        <f t="shared" si="25"/>
        <v>-13.609334544034907</v>
      </c>
      <c r="W176" s="8">
        <f t="shared" si="26"/>
        <v>-13.609334544034907</v>
      </c>
    </row>
    <row r="177" spans="14:23" x14ac:dyDescent="0.25">
      <c r="N177" s="8">
        <v>-93.5</v>
      </c>
      <c r="O177" s="8">
        <f t="shared" si="18"/>
        <v>259.23386528905166</v>
      </c>
      <c r="P177" s="9">
        <f t="shared" si="19"/>
        <v>0</v>
      </c>
      <c r="Q177" s="10">
        <f t="shared" si="22"/>
        <v>1.2957563062110165</v>
      </c>
      <c r="R177" s="10">
        <f t="shared" si="23"/>
        <v>1.2957563062110165</v>
      </c>
      <c r="S177" s="9">
        <f t="shared" si="20"/>
        <v>0</v>
      </c>
      <c r="T177" s="10">
        <f t="shared" si="24"/>
        <v>1.2957563062110165</v>
      </c>
      <c r="U177" s="10">
        <f t="shared" si="21"/>
        <v>1.2957563062110165</v>
      </c>
      <c r="V177" s="8">
        <f t="shared" si="25"/>
        <v>-13.809296597850912</v>
      </c>
      <c r="W177" s="8">
        <f t="shared" si="26"/>
        <v>-13.809296597850912</v>
      </c>
    </row>
    <row r="178" spans="14:23" x14ac:dyDescent="0.25">
      <c r="N178" s="8">
        <v>-93</v>
      </c>
      <c r="O178" s="8">
        <f t="shared" si="18"/>
        <v>257.67961224993394</v>
      </c>
      <c r="P178" s="9">
        <f t="shared" si="19"/>
        <v>0</v>
      </c>
      <c r="Q178" s="10">
        <f t="shared" si="22"/>
        <v>1.3061614495888143</v>
      </c>
      <c r="R178" s="10">
        <f t="shared" si="23"/>
        <v>1.3061614495888143</v>
      </c>
      <c r="S178" s="9">
        <f t="shared" si="20"/>
        <v>0</v>
      </c>
      <c r="T178" s="10">
        <f t="shared" si="24"/>
        <v>1.3061614495888143</v>
      </c>
      <c r="U178" s="10">
        <f t="shared" si="21"/>
        <v>1.3061614495888143</v>
      </c>
      <c r="V178" s="8">
        <f t="shared" si="25"/>
        <v>-14.011498526825225</v>
      </c>
      <c r="W178" s="8">
        <f t="shared" si="26"/>
        <v>-14.011498526825225</v>
      </c>
    </row>
    <row r="179" spans="14:23" x14ac:dyDescent="0.25">
      <c r="N179" s="8">
        <v>-92.5</v>
      </c>
      <c r="O179" s="8">
        <f t="shared" si="18"/>
        <v>256.12054018792679</v>
      </c>
      <c r="P179" s="9">
        <f t="shared" si="19"/>
        <v>0</v>
      </c>
      <c r="Q179" s="10">
        <f t="shared" si="22"/>
        <v>1.3167468106785296</v>
      </c>
      <c r="R179" s="10">
        <f t="shared" si="23"/>
        <v>1.3167468106785296</v>
      </c>
      <c r="S179" s="9">
        <f t="shared" si="20"/>
        <v>0</v>
      </c>
      <c r="T179" s="10">
        <f t="shared" si="24"/>
        <v>1.3167468106785296</v>
      </c>
      <c r="U179" s="10">
        <f t="shared" si="21"/>
        <v>1.3167468106785296</v>
      </c>
      <c r="V179" s="8">
        <f t="shared" si="25"/>
        <v>-14.215963676314754</v>
      </c>
      <c r="W179" s="8">
        <f t="shared" si="26"/>
        <v>-14.215963676314754</v>
      </c>
    </row>
    <row r="180" spans="14:23" x14ac:dyDescent="0.25">
      <c r="N180" s="8">
        <v>-92</v>
      </c>
      <c r="O180" s="8">
        <f t="shared" si="18"/>
        <v>254.55676220712948</v>
      </c>
      <c r="P180" s="9">
        <f t="shared" si="19"/>
        <v>0</v>
      </c>
      <c r="Q180" s="10">
        <f t="shared" si="22"/>
        <v>1.327516018435787</v>
      </c>
      <c r="R180" s="10">
        <f t="shared" si="23"/>
        <v>1.327516018435787</v>
      </c>
      <c r="S180" s="9">
        <f t="shared" si="20"/>
        <v>0</v>
      </c>
      <c r="T180" s="10">
        <f t="shared" si="24"/>
        <v>1.327516018435787</v>
      </c>
      <c r="U180" s="10">
        <f t="shared" si="21"/>
        <v>1.327516018435787</v>
      </c>
      <c r="V180" s="8">
        <f t="shared" si="25"/>
        <v>-14.422715675695242</v>
      </c>
      <c r="W180" s="8">
        <f t="shared" si="26"/>
        <v>-14.422715675695242</v>
      </c>
    </row>
    <row r="181" spans="14:23" x14ac:dyDescent="0.25">
      <c r="N181" s="8">
        <v>-91.5</v>
      </c>
      <c r="O181" s="8">
        <f t="shared" si="18"/>
        <v>252.98839278967594</v>
      </c>
      <c r="P181" s="9">
        <f t="shared" si="19"/>
        <v>0</v>
      </c>
      <c r="Q181" s="10">
        <f t="shared" si="22"/>
        <v>1.3384727892808423</v>
      </c>
      <c r="R181" s="10">
        <f t="shared" si="23"/>
        <v>1.3384727892808423</v>
      </c>
      <c r="S181" s="9">
        <f t="shared" si="20"/>
        <v>0</v>
      </c>
      <c r="T181" s="10">
        <f t="shared" si="24"/>
        <v>1.3384727892808423</v>
      </c>
      <c r="U181" s="10">
        <f t="shared" si="21"/>
        <v>1.3384727892808423</v>
      </c>
      <c r="V181" s="8">
        <f t="shared" si="25"/>
        <v>-14.631778441360051</v>
      </c>
      <c r="W181" s="8">
        <f t="shared" si="26"/>
        <v>-14.631778441360051</v>
      </c>
    </row>
    <row r="182" spans="14:23" x14ac:dyDescent="0.25">
      <c r="N182" s="8">
        <v>-91</v>
      </c>
      <c r="O182" s="8">
        <f t="shared" si="18"/>
        <v>251.41554778888545</v>
      </c>
      <c r="P182" s="9">
        <f t="shared" si="19"/>
        <v>0</v>
      </c>
      <c r="Q182" s="10">
        <f t="shared" si="22"/>
        <v>1.3496209294409049</v>
      </c>
      <c r="R182" s="10">
        <f t="shared" si="23"/>
        <v>1.3496209294409049</v>
      </c>
      <c r="S182" s="9">
        <f t="shared" si="20"/>
        <v>0</v>
      </c>
      <c r="T182" s="10">
        <f t="shared" si="24"/>
        <v>1.3496209294409049</v>
      </c>
      <c r="U182" s="10">
        <f t="shared" si="21"/>
        <v>1.3496209294409049</v>
      </c>
      <c r="V182" s="8">
        <f t="shared" si="25"/>
        <v>-14.843176179717442</v>
      </c>
      <c r="W182" s="8">
        <f t="shared" si="26"/>
        <v>-14.843176179717442</v>
      </c>
    </row>
    <row r="183" spans="14:23" x14ac:dyDescent="0.25">
      <c r="N183" s="8">
        <v>-90.5</v>
      </c>
      <c r="O183" s="8">
        <f t="shared" si="18"/>
        <v>249.83834442189368</v>
      </c>
      <c r="P183" s="9">
        <f t="shared" si="19"/>
        <v>0</v>
      </c>
      <c r="Q183" s="10">
        <f t="shared" si="22"/>
        <v>1.3609643373597347</v>
      </c>
      <c r="R183" s="10">
        <f t="shared" si="23"/>
        <v>1.3609643373597347</v>
      </c>
      <c r="S183" s="9">
        <f t="shared" si="20"/>
        <v>0</v>
      </c>
      <c r="T183" s="10">
        <f t="shared" si="24"/>
        <v>1.3609643373597347</v>
      </c>
      <c r="U183" s="10">
        <f t="shared" si="21"/>
        <v>1.3609643373597347</v>
      </c>
      <c r="V183" s="8">
        <f t="shared" si="25"/>
        <v>-15.056933390183255</v>
      </c>
      <c r="W183" s="8">
        <f t="shared" si="26"/>
        <v>-15.056933390183255</v>
      </c>
    </row>
    <row r="184" spans="14:23" x14ac:dyDescent="0.25">
      <c r="N184" s="8">
        <v>-90</v>
      </c>
      <c r="O184" s="8">
        <f t="shared" si="18"/>
        <v>248.25690126176747</v>
      </c>
      <c r="P184" s="9">
        <f t="shared" si="19"/>
        <v>0</v>
      </c>
      <c r="Q184" s="10">
        <f t="shared" si="22"/>
        <v>1.3725070061763995</v>
      </c>
      <c r="R184" s="10">
        <f t="shared" si="23"/>
        <v>1.3725070061763995</v>
      </c>
      <c r="S184" s="9">
        <f t="shared" si="20"/>
        <v>0</v>
      </c>
      <c r="T184" s="10">
        <f t="shared" si="24"/>
        <v>1.3725070061763995</v>
      </c>
      <c r="U184" s="10">
        <f t="shared" si="21"/>
        <v>1.3725070061763995</v>
      </c>
      <c r="V184" s="8">
        <f t="shared" si="25"/>
        <v>-15.273074868165066</v>
      </c>
      <c r="W184" s="8">
        <f t="shared" si="26"/>
        <v>-15.273074868165066</v>
      </c>
    </row>
    <row r="185" spans="14:23" x14ac:dyDescent="0.25">
      <c r="N185" s="8">
        <v>-89.5</v>
      </c>
      <c r="O185" s="8">
        <f t="shared" si="18"/>
        <v>246.67133822909801</v>
      </c>
      <c r="P185" s="9">
        <f t="shared" si="19"/>
        <v>0</v>
      </c>
      <c r="Q185" s="10">
        <f t="shared" si="22"/>
        <v>1.3842530262751895</v>
      </c>
      <c r="R185" s="10">
        <f t="shared" si="23"/>
        <v>1.3842530262751895</v>
      </c>
      <c r="S185" s="9">
        <f t="shared" si="20"/>
        <v>0</v>
      </c>
      <c r="T185" s="10">
        <f t="shared" si="24"/>
        <v>1.3842530262751895</v>
      </c>
      <c r="U185" s="10">
        <f t="shared" si="21"/>
        <v>1.3842530262751895</v>
      </c>
      <c r="V185" s="8">
        <f t="shared" si="25"/>
        <v>-15.49162570803486</v>
      </c>
      <c r="W185" s="8">
        <f t="shared" si="26"/>
        <v>-15.49162570803486</v>
      </c>
    </row>
    <row r="186" spans="14:23" x14ac:dyDescent="0.25">
      <c r="N186" s="8">
        <v>-89</v>
      </c>
      <c r="O186" s="8">
        <f t="shared" si="18"/>
        <v>245.08177658307724</v>
      </c>
      <c r="P186" s="9">
        <f t="shared" si="19"/>
        <v>0</v>
      </c>
      <c r="Q186" s="10">
        <f t="shared" si="22"/>
        <v>1.3962065879086576</v>
      </c>
      <c r="R186" s="10">
        <f t="shared" si="23"/>
        <v>1.3962065879086576</v>
      </c>
      <c r="S186" s="9">
        <f t="shared" si="20"/>
        <v>0</v>
      </c>
      <c r="T186" s="10">
        <f t="shared" si="24"/>
        <v>1.3962065879086576</v>
      </c>
      <c r="U186" s="10">
        <f t="shared" si="21"/>
        <v>1.3962065879086576</v>
      </c>
      <c r="V186" s="8">
        <f t="shared" si="25"/>
        <v>-15.712611306085677</v>
      </c>
      <c r="W186" s="8">
        <f t="shared" si="26"/>
        <v>-15.712611306085677</v>
      </c>
    </row>
    <row r="187" spans="14:23" x14ac:dyDescent="0.25">
      <c r="N187" s="8">
        <v>-88.5</v>
      </c>
      <c r="O187" s="8">
        <f t="shared" si="18"/>
        <v>243.4883389120547</v>
      </c>
      <c r="P187" s="9">
        <f t="shared" si="19"/>
        <v>0</v>
      </c>
      <c r="Q187" s="10">
        <f t="shared" si="22"/>
        <v>1.4083719838958575</v>
      </c>
      <c r="R187" s="10">
        <f t="shared" si="23"/>
        <v>1.4083719838958575</v>
      </c>
      <c r="S187" s="9">
        <f t="shared" si="20"/>
        <v>0</v>
      </c>
      <c r="T187" s="10">
        <f t="shared" si="24"/>
        <v>1.4083719838958575</v>
      </c>
      <c r="U187" s="10">
        <f t="shared" si="21"/>
        <v>1.4083719838958575</v>
      </c>
      <c r="V187" s="8">
        <f t="shared" si="25"/>
        <v>-15.936057363468473</v>
      </c>
      <c r="W187" s="8">
        <f t="shared" si="26"/>
        <v>-15.936057363468473</v>
      </c>
    </row>
    <row r="188" spans="14:23" x14ac:dyDescent="0.25">
      <c r="N188" s="8">
        <v>-88</v>
      </c>
      <c r="O188" s="8">
        <f t="shared" si="18"/>
        <v>241.891149123579</v>
      </c>
      <c r="P188" s="9">
        <f t="shared" si="19"/>
        <v>0</v>
      </c>
      <c r="Q188" s="10">
        <f t="shared" si="22"/>
        <v>1.4207536123978526</v>
      </c>
      <c r="R188" s="10">
        <f t="shared" si="23"/>
        <v>1.4207536123978526</v>
      </c>
      <c r="S188" s="9">
        <f t="shared" si="20"/>
        <v>0</v>
      </c>
      <c r="T188" s="10">
        <f t="shared" si="24"/>
        <v>1.4207536123978526</v>
      </c>
      <c r="U188" s="10">
        <f t="shared" si="21"/>
        <v>1.4207536123978526</v>
      </c>
      <c r="V188" s="8">
        <f t="shared" si="25"/>
        <v>-16.161989889104252</v>
      </c>
      <c r="W188" s="8">
        <f t="shared" si="26"/>
        <v>-16.161989889104252</v>
      </c>
    </row>
    <row r="189" spans="14:23" x14ac:dyDescent="0.25">
      <c r="N189" s="8">
        <v>-87.5</v>
      </c>
      <c r="O189" s="8">
        <f t="shared" si="18"/>
        <v>240.29033243392018</v>
      </c>
      <c r="P189" s="9">
        <f t="shared" si="19"/>
        <v>0</v>
      </c>
      <c r="Q189" s="10">
        <f t="shared" si="22"/>
        <v>1.4333559797726663</v>
      </c>
      <c r="R189" s="10">
        <f t="shared" si="23"/>
        <v>1.4333559797726663</v>
      </c>
      <c r="S189" s="9">
        <f t="shared" si="20"/>
        <v>0</v>
      </c>
      <c r="T189" s="10">
        <f t="shared" si="24"/>
        <v>1.4333559797726663</v>
      </c>
      <c r="U189" s="10">
        <f t="shared" si="21"/>
        <v>1.4333559797726663</v>
      </c>
      <c r="V189" s="8">
        <f t="shared" si="25"/>
        <v>-16.390435202567346</v>
      </c>
      <c r="W189" s="8">
        <f t="shared" si="26"/>
        <v>-16.390435202567346</v>
      </c>
    </row>
    <row r="190" spans="14:23" x14ac:dyDescent="0.25">
      <c r="N190" s="8">
        <v>-87</v>
      </c>
      <c r="O190" s="8">
        <f t="shared" si="18"/>
        <v>238.68601535708086</v>
      </c>
      <c r="P190" s="9">
        <f t="shared" si="19"/>
        <v>0</v>
      </c>
      <c r="Q190" s="10">
        <f t="shared" si="22"/>
        <v>1.4461837035118128</v>
      </c>
      <c r="R190" s="10">
        <f t="shared" si="23"/>
        <v>1.4461837035118128</v>
      </c>
      <c r="S190" s="9">
        <f t="shared" si="20"/>
        <v>0</v>
      </c>
      <c r="T190" s="10">
        <f t="shared" si="24"/>
        <v>1.4461837035118128</v>
      </c>
      <c r="U190" s="10">
        <f t="shared" si="21"/>
        <v>1.4461837035118128</v>
      </c>
      <c r="V190" s="8">
        <f t="shared" si="25"/>
        <v>-16.621419936933837</v>
      </c>
      <c r="W190" s="8">
        <f t="shared" si="26"/>
        <v>-16.621419936933837</v>
      </c>
    </row>
    <row r="191" spans="14:23" x14ac:dyDescent="0.25">
      <c r="N191" s="8">
        <v>-86.5</v>
      </c>
      <c r="O191" s="8">
        <f t="shared" si="18"/>
        <v>237.07832569329204</v>
      </c>
      <c r="P191" s="9">
        <f t="shared" si="19"/>
        <v>0</v>
      </c>
      <c r="Q191" s="10">
        <f t="shared" si="22"/>
        <v>1.4592415152606746</v>
      </c>
      <c r="R191" s="10">
        <f t="shared" si="23"/>
        <v>1.4592415152606746</v>
      </c>
      <c r="S191" s="9">
        <f t="shared" si="20"/>
        <v>0</v>
      </c>
      <c r="T191" s="10">
        <f t="shared" si="24"/>
        <v>1.4592415152606746</v>
      </c>
      <c r="U191" s="10">
        <f t="shared" si="21"/>
        <v>1.4592415152606746</v>
      </c>
      <c r="V191" s="8">
        <f t="shared" si="25"/>
        <v>-16.854971041590431</v>
      </c>
      <c r="W191" s="8">
        <f t="shared" si="26"/>
        <v>-16.854971041590431</v>
      </c>
    </row>
    <row r="192" spans="14:23" x14ac:dyDescent="0.25">
      <c r="N192" s="8">
        <v>-86</v>
      </c>
      <c r="O192" s="8">
        <f t="shared" si="18"/>
        <v>235.46739251699933</v>
      </c>
      <c r="P192" s="9">
        <f t="shared" si="19"/>
        <v>0</v>
      </c>
      <c r="Q192" s="10">
        <f t="shared" si="22"/>
        <v>1.4725342639249739</v>
      </c>
      <c r="R192" s="10">
        <f t="shared" si="23"/>
        <v>1.4725342639249739</v>
      </c>
      <c r="S192" s="9">
        <f t="shared" si="20"/>
        <v>0</v>
      </c>
      <c r="T192" s="10">
        <f t="shared" si="24"/>
        <v>1.4725342639249739</v>
      </c>
      <c r="U192" s="10">
        <f t="shared" si="21"/>
        <v>1.4725342639249739</v>
      </c>
      <c r="V192" s="8">
        <f t="shared" si="25"/>
        <v>-17.091115784997513</v>
      </c>
      <c r="W192" s="8">
        <f t="shared" si="26"/>
        <v>-17.091115784997513</v>
      </c>
    </row>
    <row r="193" spans="14:23" x14ac:dyDescent="0.25">
      <c r="N193" s="8">
        <v>-85.5</v>
      </c>
      <c r="O193" s="8">
        <f t="shared" si="18"/>
        <v>233.85334616434065</v>
      </c>
      <c r="P193" s="9">
        <f t="shared" si="19"/>
        <v>0</v>
      </c>
      <c r="Q193" s="10">
        <f t="shared" si="22"/>
        <v>1.486066918865655</v>
      </c>
      <c r="R193" s="10">
        <f t="shared" si="23"/>
        <v>1.486066918865655</v>
      </c>
      <c r="S193" s="9">
        <f t="shared" si="20"/>
        <v>0</v>
      </c>
      <c r="T193" s="10">
        <f t="shared" si="24"/>
        <v>1.486066918865655</v>
      </c>
      <c r="U193" s="10">
        <f t="shared" si="21"/>
        <v>1.486066918865655</v>
      </c>
      <c r="V193" s="8">
        <f t="shared" si="25"/>
        <v>-17.329881757400255</v>
      </c>
      <c r="W193" s="8">
        <f t="shared" si="26"/>
        <v>-17.329881757400255</v>
      </c>
    </row>
    <row r="194" spans="14:23" x14ac:dyDescent="0.25">
      <c r="N194" s="8">
        <v>-85</v>
      </c>
      <c r="O194" s="8">
        <f t="shared" si="18"/>
        <v>232.23631822011828</v>
      </c>
      <c r="P194" s="9">
        <f t="shared" si="19"/>
        <v>0</v>
      </c>
      <c r="Q194" s="10">
        <f t="shared" si="22"/>
        <v>1.4998445731845338</v>
      </c>
      <c r="R194" s="10">
        <f t="shared" si="23"/>
        <v>1.4998445731845338</v>
      </c>
      <c r="S194" s="9">
        <f t="shared" si="20"/>
        <v>0</v>
      </c>
      <c r="T194" s="10">
        <f t="shared" si="24"/>
        <v>1.4998445731845338</v>
      </c>
      <c r="U194" s="10">
        <f t="shared" si="21"/>
        <v>1.4998445731845338</v>
      </c>
      <c r="V194" s="8">
        <f t="shared" si="25"/>
        <v>-17.571296873481248</v>
      </c>
      <c r="W194" s="8">
        <f t="shared" si="26"/>
        <v>-17.571296873481248</v>
      </c>
    </row>
    <row r="195" spans="14:23" x14ac:dyDescent="0.25">
      <c r="N195" s="8">
        <v>-84.5</v>
      </c>
      <c r="O195" s="8">
        <f t="shared" si="18"/>
        <v>230.61644150426923</v>
      </c>
      <c r="P195" s="9">
        <f t="shared" si="19"/>
        <v>0</v>
      </c>
      <c r="Q195" s="10">
        <f t="shared" si="22"/>
        <v>1.5138724471030902</v>
      </c>
      <c r="R195" s="10">
        <f t="shared" si="23"/>
        <v>1.5138724471030902</v>
      </c>
      <c r="S195" s="9">
        <f t="shared" si="20"/>
        <v>0</v>
      </c>
      <c r="T195" s="10">
        <f t="shared" si="24"/>
        <v>1.5138724471030902</v>
      </c>
      <c r="U195" s="10">
        <f t="shared" si="21"/>
        <v>1.5138724471030902</v>
      </c>
      <c r="V195" s="8">
        <f t="shared" si="25"/>
        <v>-17.815389374947344</v>
      </c>
      <c r="W195" s="8">
        <f t="shared" si="26"/>
        <v>-17.815389374947344</v>
      </c>
    </row>
    <row r="196" spans="14:23" x14ac:dyDescent="0.25">
      <c r="N196" s="8">
        <v>-84</v>
      </c>
      <c r="O196" s="8">
        <f t="shared" ref="O196:O259" si="27">$B$30+PI()/4*($B$5/10)^2*($B$31+$B$7/10-$B$31*COS(RADIANS(N196))-SQRT(($B$7/10)^2-($B$31*SIN(RADIANS(N196)))^2))</f>
        <v>228.99385005783495</v>
      </c>
      <c r="P196" s="9">
        <f t="shared" ref="P196:P259" si="28">IF(N196&gt;$B$36,1-EXP(-$B$16*((N196-$B$36)/$B$35)^($B$17+1)),0)</f>
        <v>0</v>
      </c>
      <c r="Q196" s="10">
        <f t="shared" si="22"/>
        <v>1.5281558914368605</v>
      </c>
      <c r="R196" s="10">
        <f t="shared" si="23"/>
        <v>1.5281558914368605</v>
      </c>
      <c r="S196" s="9">
        <f t="shared" ref="S196:S259" si="29">IF(N196&lt;=$B$38,IF(N196&gt;$B$37,1-EXP(-$B$16*((N196-$B$37)/$B$35)^($B$17+1)),0),$B$22+(1-$B$22)*(1-EXP(-(N196-$B$38)/$B$23)))</f>
        <v>0</v>
      </c>
      <c r="T196" s="10">
        <f t="shared" si="24"/>
        <v>1.5281558914368605</v>
      </c>
      <c r="U196" s="10">
        <f t="shared" ref="U196:U259" si="30">T196+IF(N196&gt;$B$38,$B$24*EXP(-(N196-$B$38)/$B$26)*SIN(2*PI()*(N196-$B$38)/$B$39),0)</f>
        <v>1.5281558914368605</v>
      </c>
      <c r="V196" s="8">
        <f t="shared" si="25"/>
        <v>-18.062187833043627</v>
      </c>
      <c r="W196" s="8">
        <f t="shared" si="26"/>
        <v>-18.062187833043627</v>
      </c>
    </row>
    <row r="197" spans="14:23" x14ac:dyDescent="0.25">
      <c r="N197" s="8">
        <v>-83.5</v>
      </c>
      <c r="O197" s="8">
        <f t="shared" si="27"/>
        <v>227.36867912843769</v>
      </c>
      <c r="P197" s="9">
        <f t="shared" si="28"/>
        <v>0</v>
      </c>
      <c r="Q197" s="10">
        <f t="shared" ref="Q197:Q260" si="31">Q196*(O196/O197)^$B$9+10*($B$9-1)*$B$33*(P197-P196)/((O196+O197)/2)</f>
        <v>1.5427003911678527</v>
      </c>
      <c r="R197" s="10">
        <f t="shared" ref="R197:R260" si="32">R196*(O196/O197)^$B$9</f>
        <v>1.5427003911678527</v>
      </c>
      <c r="S197" s="9">
        <f t="shared" si="29"/>
        <v>0</v>
      </c>
      <c r="T197" s="10">
        <f t="shared" ref="T197:T260" si="33">T196*(O196/O197)^$B$9+10*($B$9-1)*$B$33*(S197-S196)/((O196+O197)/2)</f>
        <v>1.5427003911678527</v>
      </c>
      <c r="U197" s="10">
        <f t="shared" si="30"/>
        <v>1.5427003911678527</v>
      </c>
      <c r="V197" s="8">
        <f t="shared" ref="V197:V260" si="34">V196+(Q196+Q197)/2*(O197-O196)/10</f>
        <v>-18.311721150985932</v>
      </c>
      <c r="W197" s="8">
        <f t="shared" ref="W197:W260" si="35">W196+(T196+T197)/2*(O197-O196)/10</f>
        <v>-18.311721150985932</v>
      </c>
    </row>
    <row r="198" spans="14:23" x14ac:dyDescent="0.25">
      <c r="N198" s="8">
        <v>-83</v>
      </c>
      <c r="O198" s="8">
        <f t="shared" si="27"/>
        <v>225.74106515526333</v>
      </c>
      <c r="P198" s="9">
        <f t="shared" si="28"/>
        <v>0</v>
      </c>
      <c r="Q198" s="10">
        <f t="shared" si="31"/>
        <v>1.557511569117523</v>
      </c>
      <c r="R198" s="10">
        <f t="shared" si="32"/>
        <v>1.557511569117523</v>
      </c>
      <c r="S198" s="9">
        <f t="shared" si="29"/>
        <v>0</v>
      </c>
      <c r="T198" s="10">
        <f t="shared" si="33"/>
        <v>1.557511569117523</v>
      </c>
      <c r="U198" s="10">
        <f t="shared" si="30"/>
        <v>1.557511569117523</v>
      </c>
      <c r="V198" s="8">
        <f t="shared" si="34"/>
        <v>-18.564018566304071</v>
      </c>
      <c r="W198" s="8">
        <f t="shared" si="35"/>
        <v>-18.564018566304071</v>
      </c>
    </row>
    <row r="199" spans="14:23" x14ac:dyDescent="0.25">
      <c r="N199" s="8">
        <v>-82.5</v>
      </c>
      <c r="O199" s="8">
        <f t="shared" si="27"/>
        <v>224.11114575355796</v>
      </c>
      <c r="P199" s="9">
        <f t="shared" si="28"/>
        <v>0</v>
      </c>
      <c r="Q199" s="10">
        <f t="shared" si="31"/>
        <v>1.5725951897228105</v>
      </c>
      <c r="R199" s="10">
        <f t="shared" si="32"/>
        <v>1.5725951897228105</v>
      </c>
      <c r="S199" s="9">
        <f t="shared" si="29"/>
        <v>0</v>
      </c>
      <c r="T199" s="10">
        <f t="shared" si="33"/>
        <v>1.5725951897228105</v>
      </c>
      <c r="U199" s="10">
        <f t="shared" si="30"/>
        <v>1.5725951897228105</v>
      </c>
      <c r="V199" s="8">
        <f t="shared" si="34"/>
        <v>-18.819109653086219</v>
      </c>
      <c r="W199" s="8">
        <f t="shared" si="35"/>
        <v>-18.819109653086219</v>
      </c>
    </row>
    <row r="200" spans="14:23" x14ac:dyDescent="0.25">
      <c r="N200" s="8">
        <v>-82</v>
      </c>
      <c r="O200" s="8">
        <f t="shared" si="27"/>
        <v>222.47905969864274</v>
      </c>
      <c r="P200" s="9">
        <f t="shared" si="28"/>
        <v>0</v>
      </c>
      <c r="Q200" s="10">
        <f t="shared" si="31"/>
        <v>1.58795716291778</v>
      </c>
      <c r="R200" s="10">
        <f t="shared" si="32"/>
        <v>1.58795716291778</v>
      </c>
      <c r="S200" s="9">
        <f t="shared" si="29"/>
        <v>0</v>
      </c>
      <c r="T200" s="10">
        <f t="shared" si="33"/>
        <v>1.58795716291778</v>
      </c>
      <c r="U200" s="10">
        <f t="shared" si="30"/>
        <v>1.58795716291778</v>
      </c>
      <c r="V200" s="8">
        <f t="shared" si="34"/>
        <v>-19.07702432411493</v>
      </c>
      <c r="W200" s="8">
        <f t="shared" si="35"/>
        <v>-19.07702432411493</v>
      </c>
    </row>
    <row r="201" spans="14:23" x14ac:dyDescent="0.25">
      <c r="N201" s="8">
        <v>-81.5</v>
      </c>
      <c r="O201" s="8">
        <f t="shared" si="27"/>
        <v>220.84494690944854</v>
      </c>
      <c r="P201" s="9">
        <f t="shared" si="28"/>
        <v>0</v>
      </c>
      <c r="Q201" s="10">
        <f t="shared" si="31"/>
        <v>1.6036035481234829</v>
      </c>
      <c r="R201" s="10">
        <f t="shared" si="32"/>
        <v>1.6036035481234829</v>
      </c>
      <c r="S201" s="9">
        <f t="shared" si="29"/>
        <v>0</v>
      </c>
      <c r="T201" s="10">
        <f t="shared" si="33"/>
        <v>1.6036035481234829</v>
      </c>
      <c r="U201" s="10">
        <f t="shared" si="30"/>
        <v>1.6036035481234829</v>
      </c>
      <c r="V201" s="8">
        <f t="shared" si="34"/>
        <v>-19.337792832885043</v>
      </c>
      <c r="W201" s="8">
        <f t="shared" si="35"/>
        <v>-19.337792832885043</v>
      </c>
    </row>
    <row r="202" spans="14:23" x14ac:dyDescent="0.25">
      <c r="N202" s="8">
        <v>-81</v>
      </c>
      <c r="O202" s="8">
        <f t="shared" si="27"/>
        <v>219.2089484315801</v>
      </c>
      <c r="P202" s="9">
        <f t="shared" si="28"/>
        <v>0</v>
      </c>
      <c r="Q202" s="10">
        <f t="shared" si="31"/>
        <v>1.6195405583485831</v>
      </c>
      <c r="R202" s="10">
        <f t="shared" si="32"/>
        <v>1.6195405583485831</v>
      </c>
      <c r="S202" s="9">
        <f t="shared" si="29"/>
        <v>0</v>
      </c>
      <c r="T202" s="10">
        <f t="shared" si="33"/>
        <v>1.6195405583485831</v>
      </c>
      <c r="U202" s="10">
        <f t="shared" si="30"/>
        <v>1.6195405583485831</v>
      </c>
      <c r="V202" s="8">
        <f t="shared" si="34"/>
        <v>-19.601445775491989</v>
      </c>
      <c r="W202" s="8">
        <f t="shared" si="35"/>
        <v>-19.601445775491989</v>
      </c>
    </row>
    <row r="203" spans="14:23" x14ac:dyDescent="0.25">
      <c r="N203" s="8">
        <v>-80.5</v>
      </c>
      <c r="O203" s="8">
        <f t="shared" si="27"/>
        <v>217.57120641991193</v>
      </c>
      <c r="P203" s="9">
        <f t="shared" si="28"/>
        <v>0</v>
      </c>
      <c r="Q203" s="10">
        <f t="shared" si="31"/>
        <v>1.6357745644033881</v>
      </c>
      <c r="R203" s="10">
        <f t="shared" si="32"/>
        <v>1.6357745644033881</v>
      </c>
      <c r="S203" s="9">
        <f t="shared" si="29"/>
        <v>0</v>
      </c>
      <c r="T203" s="10">
        <f t="shared" si="33"/>
        <v>1.6357745644033881</v>
      </c>
      <c r="U203" s="10">
        <f t="shared" si="30"/>
        <v>1.6357745644033881</v>
      </c>
      <c r="V203" s="8">
        <f t="shared" si="34"/>
        <v>-19.868014092379468</v>
      </c>
      <c r="W203" s="8">
        <f t="shared" si="35"/>
        <v>-19.868014092379468</v>
      </c>
    </row>
    <row r="204" spans="14:23" x14ac:dyDescent="0.25">
      <c r="N204" s="8">
        <v>-80</v>
      </c>
      <c r="O204" s="8">
        <f t="shared" si="27"/>
        <v>215.93186412072214</v>
      </c>
      <c r="P204" s="9">
        <f t="shared" si="28"/>
        <v>0</v>
      </c>
      <c r="Q204" s="10">
        <f t="shared" si="31"/>
        <v>1.6523120992298961</v>
      </c>
      <c r="R204" s="10">
        <f t="shared" si="32"/>
        <v>1.6523120992298961</v>
      </c>
      <c r="S204" s="9">
        <f t="shared" si="29"/>
        <v>0</v>
      </c>
      <c r="T204" s="10">
        <f t="shared" si="33"/>
        <v>1.6523120992298961</v>
      </c>
      <c r="U204" s="10">
        <f t="shared" si="30"/>
        <v>1.6523120992298961</v>
      </c>
      <c r="V204" s="8">
        <f t="shared" si="34"/>
        <v>-20.137529069934264</v>
      </c>
      <c r="W204" s="8">
        <f t="shared" si="35"/>
        <v>-20.137529069934264</v>
      </c>
    </row>
    <row r="205" spans="14:23" x14ac:dyDescent="0.25">
      <c r="N205" s="8">
        <v>-79.5</v>
      </c>
      <c r="O205" s="8">
        <f t="shared" si="27"/>
        <v>214.29106585337135</v>
      </c>
      <c r="P205" s="9">
        <f t="shared" si="28"/>
        <v>0</v>
      </c>
      <c r="Q205" s="10">
        <f t="shared" si="31"/>
        <v>1.6691598623504647</v>
      </c>
      <c r="R205" s="10">
        <f t="shared" si="32"/>
        <v>1.6691598623504647</v>
      </c>
      <c r="S205" s="9">
        <f t="shared" si="29"/>
        <v>0</v>
      </c>
      <c r="T205" s="10">
        <f t="shared" si="33"/>
        <v>1.6691598623504647</v>
      </c>
      <c r="U205" s="10">
        <f t="shared" si="30"/>
        <v>1.6691598623504647</v>
      </c>
      <c r="V205" s="8">
        <f t="shared" si="34"/>
        <v>-20.410022341915028</v>
      </c>
      <c r="W205" s="8">
        <f t="shared" si="35"/>
        <v>-20.410022341915028</v>
      </c>
    </row>
    <row r="206" spans="14:23" x14ac:dyDescent="0.25">
      <c r="N206" s="8">
        <v>-79</v>
      </c>
      <c r="O206" s="8">
        <f t="shared" si="27"/>
        <v>212.64895699153146</v>
      </c>
      <c r="P206" s="9">
        <f t="shared" si="28"/>
        <v>0</v>
      </c>
      <c r="Q206" s="10">
        <f t="shared" si="31"/>
        <v>1.6863247244377333</v>
      </c>
      <c r="R206" s="10">
        <f t="shared" si="32"/>
        <v>1.6863247244377333</v>
      </c>
      <c r="S206" s="9">
        <f t="shared" si="29"/>
        <v>0</v>
      </c>
      <c r="T206" s="10">
        <f t="shared" si="33"/>
        <v>1.6863247244377333</v>
      </c>
      <c r="U206" s="10">
        <f t="shared" si="30"/>
        <v>1.6863247244377333</v>
      </c>
      <c r="V206" s="8">
        <f t="shared" si="34"/>
        <v>-20.68552589070163</v>
      </c>
      <c r="W206" s="8">
        <f t="shared" si="35"/>
        <v>-20.68552589070163</v>
      </c>
    </row>
    <row r="207" spans="14:23" x14ac:dyDescent="0.25">
      <c r="N207" s="8">
        <v>-78.5</v>
      </c>
      <c r="O207" s="8">
        <f t="shared" si="27"/>
        <v>211.00568394397206</v>
      </c>
      <c r="P207" s="9">
        <f t="shared" si="28"/>
        <v>0</v>
      </c>
      <c r="Q207" s="10">
        <f t="shared" si="31"/>
        <v>1.7038137320083881</v>
      </c>
      <c r="R207" s="10">
        <f t="shared" si="32"/>
        <v>1.7038137320083881</v>
      </c>
      <c r="S207" s="9">
        <f t="shared" si="29"/>
        <v>0</v>
      </c>
      <c r="T207" s="10">
        <f t="shared" si="33"/>
        <v>1.7038137320083881</v>
      </c>
      <c r="U207" s="10">
        <f t="shared" si="30"/>
        <v>1.7038137320083881</v>
      </c>
      <c r="V207" s="8">
        <f t="shared" si="34"/>
        <v>-20.964072048350257</v>
      </c>
      <c r="W207" s="8">
        <f t="shared" si="35"/>
        <v>-20.964072048350257</v>
      </c>
    </row>
    <row r="208" spans="14:23" x14ac:dyDescent="0.25">
      <c r="N208" s="8">
        <v>-78</v>
      </c>
      <c r="O208" s="8">
        <f t="shared" si="27"/>
        <v>209.36139413490901</v>
      </c>
      <c r="P208" s="9">
        <f t="shared" si="28"/>
        <v>0</v>
      </c>
      <c r="Q208" s="10">
        <f t="shared" si="31"/>
        <v>1.7216341122433765</v>
      </c>
      <c r="R208" s="10">
        <f t="shared" si="32"/>
        <v>1.7216341122433765</v>
      </c>
      <c r="S208" s="9">
        <f t="shared" si="29"/>
        <v>0</v>
      </c>
      <c r="T208" s="10">
        <f t="shared" si="33"/>
        <v>1.7216341122433765</v>
      </c>
      <c r="U208" s="10">
        <f t="shared" si="30"/>
        <v>1.7216341122433765</v>
      </c>
      <c r="V208" s="8">
        <f t="shared" si="34"/>
        <v>-21.245693497439266</v>
      </c>
      <c r="W208" s="8">
        <f t="shared" si="35"/>
        <v>-21.245693497439266</v>
      </c>
    </row>
    <row r="209" spans="14:23" x14ac:dyDescent="0.25">
      <c r="N209" s="8">
        <v>-77.5</v>
      </c>
      <c r="O209" s="8">
        <f t="shared" si="27"/>
        <v>207.71623598392452</v>
      </c>
      <c r="P209" s="9">
        <f t="shared" si="28"/>
        <v>0</v>
      </c>
      <c r="Q209" s="10">
        <f t="shared" si="31"/>
        <v>1.7397932779371021</v>
      </c>
      <c r="R209" s="10">
        <f t="shared" si="32"/>
        <v>1.7397932779371021</v>
      </c>
      <c r="S209" s="9">
        <f t="shared" si="29"/>
        <v>0</v>
      </c>
      <c r="T209" s="10">
        <f t="shared" si="33"/>
        <v>1.7397932779371021</v>
      </c>
      <c r="U209" s="10">
        <f t="shared" si="30"/>
        <v>1.7397932779371021</v>
      </c>
      <c r="V209" s="8">
        <f t="shared" si="34"/>
        <v>-21.530423271689084</v>
      </c>
      <c r="W209" s="8">
        <f t="shared" si="35"/>
        <v>-21.530423271689084</v>
      </c>
    </row>
    <row r="210" spans="14:23" x14ac:dyDescent="0.25">
      <c r="N210" s="8">
        <v>-77</v>
      </c>
      <c r="O210" s="8">
        <f t="shared" si="27"/>
        <v>206.07035888546565</v>
      </c>
      <c r="P210" s="9">
        <f t="shared" si="28"/>
        <v>0</v>
      </c>
      <c r="Q210" s="10">
        <f t="shared" si="31"/>
        <v>1.758298832578121</v>
      </c>
      <c r="R210" s="10">
        <f t="shared" si="32"/>
        <v>1.758298832578121</v>
      </c>
      <c r="S210" s="9">
        <f t="shared" si="29"/>
        <v>0</v>
      </c>
      <c r="T210" s="10">
        <f t="shared" si="33"/>
        <v>1.758298832578121</v>
      </c>
      <c r="U210" s="10">
        <f t="shared" si="30"/>
        <v>1.758298832578121</v>
      </c>
      <c r="V210" s="8">
        <f t="shared" si="34"/>
        <v>-21.818294756338918</v>
      </c>
      <c r="W210" s="8">
        <f t="shared" si="35"/>
        <v>-21.818294756338918</v>
      </c>
    </row>
    <row r="211" spans="14:23" x14ac:dyDescent="0.25">
      <c r="N211" s="8">
        <v>-76.5</v>
      </c>
      <c r="O211" s="8">
        <f t="shared" si="27"/>
        <v>204.42391318792571</v>
      </c>
      <c r="P211" s="9">
        <f t="shared" si="28"/>
        <v>0</v>
      </c>
      <c r="Q211" s="10">
        <f t="shared" si="31"/>
        <v>1.7771585755638371</v>
      </c>
      <c r="R211" s="10">
        <f t="shared" si="32"/>
        <v>1.7771585755638371</v>
      </c>
      <c r="S211" s="9">
        <f t="shared" si="29"/>
        <v>0</v>
      </c>
      <c r="T211" s="10">
        <f t="shared" si="33"/>
        <v>1.7771585755638371</v>
      </c>
      <c r="U211" s="10">
        <f t="shared" si="30"/>
        <v>1.7771585755638371</v>
      </c>
      <c r="V211" s="8">
        <f t="shared" si="34"/>
        <v>-22.109341688262472</v>
      </c>
      <c r="W211" s="8">
        <f t="shared" si="35"/>
        <v>-22.109341688262472</v>
      </c>
    </row>
    <row r="212" spans="14:23" x14ac:dyDescent="0.25">
      <c r="N212" s="8">
        <v>-76</v>
      </c>
      <c r="O212" s="8">
        <f t="shared" si="27"/>
        <v>202.77705017232</v>
      </c>
      <c r="P212" s="9">
        <f t="shared" si="28"/>
        <v>0</v>
      </c>
      <c r="Q212" s="10">
        <f t="shared" si="31"/>
        <v>1.7963805075515631</v>
      </c>
      <c r="R212" s="10">
        <f t="shared" si="32"/>
        <v>1.7963805075515631</v>
      </c>
      <c r="S212" s="9">
        <f t="shared" si="29"/>
        <v>0</v>
      </c>
      <c r="T212" s="10">
        <f t="shared" si="33"/>
        <v>1.7963805075515631</v>
      </c>
      <c r="U212" s="10">
        <f t="shared" si="30"/>
        <v>1.7963805075515631</v>
      </c>
      <c r="V212" s="8">
        <f t="shared" si="34"/>
        <v>-22.403598155802683</v>
      </c>
      <c r="W212" s="8">
        <f t="shared" si="35"/>
        <v>-22.403598155802683</v>
      </c>
    </row>
    <row r="213" spans="14:23" x14ac:dyDescent="0.25">
      <c r="N213" s="8">
        <v>-75.5</v>
      </c>
      <c r="O213" s="8">
        <f t="shared" si="27"/>
        <v>201.12992203056203</v>
      </c>
      <c r="P213" s="9">
        <f t="shared" si="28"/>
        <v>0</v>
      </c>
      <c r="Q213" s="10">
        <f t="shared" si="31"/>
        <v>1.8159728359482918</v>
      </c>
      <c r="R213" s="10">
        <f t="shared" si="32"/>
        <v>1.8159728359482918</v>
      </c>
      <c r="S213" s="9">
        <f t="shared" si="29"/>
        <v>0</v>
      </c>
      <c r="T213" s="10">
        <f t="shared" si="33"/>
        <v>1.8159728359482918</v>
      </c>
      <c r="U213" s="10">
        <f t="shared" si="30"/>
        <v>1.8159728359482918</v>
      </c>
      <c r="V213" s="8">
        <f t="shared" si="34"/>
        <v>-22.70109859830529</v>
      </c>
      <c r="W213" s="8">
        <f t="shared" si="35"/>
        <v>-22.70109859830529</v>
      </c>
    </row>
    <row r="214" spans="14:23" x14ac:dyDescent="0.25">
      <c r="N214" s="8">
        <v>-75</v>
      </c>
      <c r="O214" s="8">
        <f t="shared" si="27"/>
        <v>199.48268184334725</v>
      </c>
      <c r="P214" s="9">
        <f t="shared" si="28"/>
        <v>0</v>
      </c>
      <c r="Q214" s="10">
        <f t="shared" si="31"/>
        <v>1.8359439805414342</v>
      </c>
      <c r="R214" s="10">
        <f t="shared" si="32"/>
        <v>1.8359439805414342</v>
      </c>
      <c r="S214" s="9">
        <f t="shared" si="29"/>
        <v>0</v>
      </c>
      <c r="T214" s="10">
        <f t="shared" si="33"/>
        <v>1.8359439805414342</v>
      </c>
      <c r="U214" s="10">
        <f t="shared" si="30"/>
        <v>1.8359439805414342</v>
      </c>
      <c r="V214" s="8">
        <f t="shared" si="34"/>
        <v>-23.001877805329656</v>
      </c>
      <c r="W214" s="8">
        <f t="shared" si="35"/>
        <v>-23.001877805329656</v>
      </c>
    </row>
    <row r="215" spans="14:23" x14ac:dyDescent="0.25">
      <c r="N215" s="8">
        <v>-74.5</v>
      </c>
      <c r="O215" s="8">
        <f t="shared" si="27"/>
        <v>197.83548355765373</v>
      </c>
      <c r="P215" s="9">
        <f t="shared" si="28"/>
        <v>0</v>
      </c>
      <c r="Q215" s="10">
        <f t="shared" si="31"/>
        <v>1.85630257927264</v>
      </c>
      <c r="R215" s="10">
        <f t="shared" si="32"/>
        <v>1.85630257927264</v>
      </c>
      <c r="S215" s="9">
        <f t="shared" si="29"/>
        <v>0</v>
      </c>
      <c r="T215" s="10">
        <f t="shared" si="33"/>
        <v>1.85630257927264</v>
      </c>
      <c r="U215" s="10">
        <f t="shared" si="30"/>
        <v>1.85630257927264</v>
      </c>
      <c r="V215" s="8">
        <f t="shared" si="34"/>
        <v>-23.305970915513832</v>
      </c>
      <c r="W215" s="8">
        <f t="shared" si="35"/>
        <v>-23.305970915513832</v>
      </c>
    </row>
    <row r="216" spans="14:23" x14ac:dyDescent="0.25">
      <c r="N216" s="8">
        <v>-74</v>
      </c>
      <c r="O216" s="8">
        <f t="shared" si="27"/>
        <v>196.18848196386904</v>
      </c>
      <c r="P216" s="9">
        <f t="shared" si="28"/>
        <v>0</v>
      </c>
      <c r="Q216" s="10">
        <f t="shared" si="31"/>
        <v>1.8770574941567015</v>
      </c>
      <c r="R216" s="10">
        <f t="shared" si="32"/>
        <v>1.8770574941567015</v>
      </c>
      <c r="S216" s="9">
        <f t="shared" si="29"/>
        <v>0</v>
      </c>
      <c r="T216" s="10">
        <f t="shared" si="33"/>
        <v>1.8770574941567015</v>
      </c>
      <c r="U216" s="10">
        <f t="shared" si="30"/>
        <v>1.8770574941567015</v>
      </c>
      <c r="V216" s="8">
        <f t="shared" si="34"/>
        <v>-23.613413415069346</v>
      </c>
      <c r="W216" s="8">
        <f t="shared" si="35"/>
        <v>-23.613413415069346</v>
      </c>
    </row>
    <row r="217" spans="14:23" x14ac:dyDescent="0.25">
      <c r="N217" s="8">
        <v>-73.5</v>
      </c>
      <c r="O217" s="8">
        <f t="shared" si="27"/>
        <v>194.54183267254945</v>
      </c>
      <c r="P217" s="9">
        <f t="shared" si="28"/>
        <v>0</v>
      </c>
      <c r="Q217" s="10">
        <f t="shared" si="31"/>
        <v>1.8982178173474367</v>
      </c>
      <c r="R217" s="10">
        <f t="shared" si="32"/>
        <v>1.8982178173474367</v>
      </c>
      <c r="S217" s="9">
        <f t="shared" si="29"/>
        <v>0</v>
      </c>
      <c r="T217" s="10">
        <f t="shared" si="33"/>
        <v>1.8982178173474367</v>
      </c>
      <c r="U217" s="10">
        <f t="shared" si="30"/>
        <v>1.8982178173474367</v>
      </c>
      <c r="V217" s="8">
        <f t="shared" si="34"/>
        <v>-23.924241135880578</v>
      </c>
      <c r="W217" s="8">
        <f t="shared" si="35"/>
        <v>-23.924241135880578</v>
      </c>
    </row>
    <row r="218" spans="14:23" x14ac:dyDescent="0.25">
      <c r="N218" s="8">
        <v>-73</v>
      </c>
      <c r="O218" s="8">
        <f t="shared" si="27"/>
        <v>192.89569209082191</v>
      </c>
      <c r="P218" s="9">
        <f t="shared" si="28"/>
        <v>0</v>
      </c>
      <c r="Q218" s="10">
        <f t="shared" si="31"/>
        <v>1.9197928773522264</v>
      </c>
      <c r="R218" s="10">
        <f t="shared" si="32"/>
        <v>1.9197928773522264</v>
      </c>
      <c r="S218" s="9">
        <f t="shared" si="29"/>
        <v>0</v>
      </c>
      <c r="T218" s="10">
        <f t="shared" si="33"/>
        <v>1.9197928773522264</v>
      </c>
      <c r="U218" s="10">
        <f t="shared" si="30"/>
        <v>1.9197928773522264</v>
      </c>
      <c r="V218" s="8">
        <f t="shared" si="34"/>
        <v>-24.238490253181322</v>
      </c>
      <c r="W218" s="8">
        <f t="shared" si="35"/>
        <v>-24.238490253181322</v>
      </c>
    </row>
    <row r="219" spans="14:23" x14ac:dyDescent="0.25">
      <c r="N219" s="8">
        <v>-72.5</v>
      </c>
      <c r="O219" s="8">
        <f t="shared" si="27"/>
        <v>191.2502173984382</v>
      </c>
      <c r="P219" s="9">
        <f t="shared" si="28"/>
        <v>0</v>
      </c>
      <c r="Q219" s="10">
        <f t="shared" si="31"/>
        <v>1.9417922453967198</v>
      </c>
      <c r="R219" s="10">
        <f t="shared" si="32"/>
        <v>1.9417922453967198</v>
      </c>
      <c r="S219" s="9">
        <f t="shared" si="29"/>
        <v>0</v>
      </c>
      <c r="T219" s="10">
        <f t="shared" si="33"/>
        <v>1.9417922453967198</v>
      </c>
      <c r="U219" s="10">
        <f t="shared" si="30"/>
        <v>1.9417922453967198</v>
      </c>
      <c r="V219" s="8">
        <f t="shared" si="34"/>
        <v>-24.556197282779763</v>
      </c>
      <c r="W219" s="8">
        <f t="shared" si="35"/>
        <v>-24.556197282779763</v>
      </c>
    </row>
    <row r="220" spans="14:23" x14ac:dyDescent="0.25">
      <c r="N220" s="8">
        <v>-72</v>
      </c>
      <c r="O220" s="8">
        <f t="shared" si="27"/>
        <v>189.60556652348876</v>
      </c>
      <c r="P220" s="9">
        <f t="shared" si="28"/>
        <v>0</v>
      </c>
      <c r="Q220" s="10">
        <f t="shared" si="31"/>
        <v>1.9642257419410105</v>
      </c>
      <c r="R220" s="10">
        <f t="shared" si="32"/>
        <v>1.9642257419410105</v>
      </c>
      <c r="S220" s="9">
        <f t="shared" si="29"/>
        <v>0</v>
      </c>
      <c r="T220" s="10">
        <f t="shared" si="33"/>
        <v>1.9642257419410105</v>
      </c>
      <c r="U220" s="10">
        <f t="shared" si="30"/>
        <v>1.9642257419410105</v>
      </c>
      <c r="V220" s="8">
        <f t="shared" si="34"/>
        <v>-24.877399077801925</v>
      </c>
      <c r="W220" s="8">
        <f t="shared" si="35"/>
        <v>-24.877399077801925</v>
      </c>
    </row>
    <row r="221" spans="14:23" x14ac:dyDescent="0.25">
      <c r="N221" s="8">
        <v>-71.5</v>
      </c>
      <c r="O221" s="8">
        <f t="shared" si="27"/>
        <v>187.9618981177864</v>
      </c>
      <c r="P221" s="9">
        <f t="shared" si="28"/>
        <v>0</v>
      </c>
      <c r="Q221" s="10">
        <f t="shared" si="31"/>
        <v>1.9871034433483408</v>
      </c>
      <c r="R221" s="10">
        <f t="shared" si="32"/>
        <v>1.9871034433483408</v>
      </c>
      <c r="S221" s="9">
        <f t="shared" si="29"/>
        <v>0</v>
      </c>
      <c r="T221" s="10">
        <f t="shared" si="33"/>
        <v>1.9871034433483408</v>
      </c>
      <c r="U221" s="10">
        <f t="shared" si="30"/>
        <v>1.9871034433483408</v>
      </c>
      <c r="V221" s="8">
        <f t="shared" si="34"/>
        <v>-25.202132824921414</v>
      </c>
      <c r="W221" s="8">
        <f t="shared" si="35"/>
        <v>-25.202132824921414</v>
      </c>
    </row>
    <row r="222" spans="14:23" x14ac:dyDescent="0.25">
      <c r="N222" s="8">
        <v>-71</v>
      </c>
      <c r="O222" s="8">
        <f t="shared" si="27"/>
        <v>186.31937153192843</v>
      </c>
      <c r="P222" s="9">
        <f t="shared" si="28"/>
        <v>0</v>
      </c>
      <c r="Q222" s="10">
        <f t="shared" si="31"/>
        <v>2.0104356887071186</v>
      </c>
      <c r="R222" s="10">
        <f t="shared" si="32"/>
        <v>2.0104356887071186</v>
      </c>
      <c r="S222" s="9">
        <f t="shared" si="29"/>
        <v>0</v>
      </c>
      <c r="T222" s="10">
        <f t="shared" si="33"/>
        <v>2.0104356887071186</v>
      </c>
      <c r="U222" s="10">
        <f t="shared" si="30"/>
        <v>2.0104356887071186</v>
      </c>
      <c r="V222" s="8">
        <f t="shared" si="34"/>
        <v>-25.530436040041849</v>
      </c>
      <c r="W222" s="8">
        <f t="shared" si="35"/>
        <v>-25.530436040041849</v>
      </c>
    </row>
    <row r="223" spans="14:23" x14ac:dyDescent="0.25">
      <c r="N223" s="8">
        <v>-70.5</v>
      </c>
      <c r="O223" s="8">
        <f t="shared" si="27"/>
        <v>184.67814679004911</v>
      </c>
      <c r="P223" s="9">
        <f t="shared" si="28"/>
        <v>0</v>
      </c>
      <c r="Q223" s="10">
        <f t="shared" si="31"/>
        <v>2.0342330868066871</v>
      </c>
      <c r="R223" s="10">
        <f t="shared" si="32"/>
        <v>2.0342330868066871</v>
      </c>
      <c r="S223" s="9">
        <f t="shared" si="29"/>
        <v>0</v>
      </c>
      <c r="T223" s="10">
        <f t="shared" si="33"/>
        <v>2.0342330868066871</v>
      </c>
      <c r="U223" s="10">
        <f t="shared" si="30"/>
        <v>2.0342330868066871</v>
      </c>
      <c r="V223" s="8">
        <f t="shared" si="34"/>
        <v>-25.862346563395846</v>
      </c>
      <c r="W223" s="8">
        <f t="shared" si="35"/>
        <v>-25.862346563395846</v>
      </c>
    </row>
    <row r="224" spans="14:23" x14ac:dyDescent="0.25">
      <c r="N224" s="8">
        <v>-70</v>
      </c>
      <c r="O224" s="8">
        <f t="shared" si="27"/>
        <v>183.03838456426794</v>
      </c>
      <c r="P224" s="9">
        <f t="shared" si="28"/>
        <v>0</v>
      </c>
      <c r="Q224" s="10">
        <f t="shared" si="31"/>
        <v>2.0585065232670492</v>
      </c>
      <c r="R224" s="10">
        <f t="shared" si="32"/>
        <v>2.0585065232670492</v>
      </c>
      <c r="S224" s="9">
        <f t="shared" si="29"/>
        <v>0</v>
      </c>
      <c r="T224" s="10">
        <f t="shared" si="33"/>
        <v>2.0585065232670492</v>
      </c>
      <c r="U224" s="10">
        <f t="shared" si="30"/>
        <v>2.0585065232670492</v>
      </c>
      <c r="V224" s="8">
        <f t="shared" si="34"/>
        <v>-26.19790255402371</v>
      </c>
      <c r="W224" s="8">
        <f t="shared" si="35"/>
        <v>-26.19790255402371</v>
      </c>
    </row>
    <row r="225" spans="14:23" x14ac:dyDescent="0.25">
      <c r="N225" s="8">
        <v>-69.5</v>
      </c>
      <c r="O225" s="8">
        <f t="shared" si="27"/>
        <v>181.40024614884686</v>
      </c>
      <c r="P225" s="9">
        <f t="shared" si="28"/>
        <v>0</v>
      </c>
      <c r="Q225" s="10">
        <f t="shared" si="31"/>
        <v>2.0832671678222421</v>
      </c>
      <c r="R225" s="10">
        <f t="shared" si="32"/>
        <v>2.0832671678222421</v>
      </c>
      <c r="S225" s="9">
        <f t="shared" si="29"/>
        <v>0</v>
      </c>
      <c r="T225" s="10">
        <f t="shared" si="33"/>
        <v>2.0832671678222421</v>
      </c>
      <c r="U225" s="10">
        <f t="shared" si="30"/>
        <v>2.0832671678222421</v>
      </c>
      <c r="V225" s="8">
        <f t="shared" si="34"/>
        <v>-26.537142483591396</v>
      </c>
      <c r="W225" s="8">
        <f t="shared" si="35"/>
        <v>-26.537142483591396</v>
      </c>
    </row>
    <row r="226" spans="14:23" x14ac:dyDescent="0.25">
      <c r="N226" s="8">
        <v>-69</v>
      </c>
      <c r="O226" s="8">
        <f t="shared" si="27"/>
        <v>179.76389343406603</v>
      </c>
      <c r="P226" s="9">
        <f t="shared" si="28"/>
        <v>0</v>
      </c>
      <c r="Q226" s="10">
        <f t="shared" si="31"/>
        <v>2.1085264817567042</v>
      </c>
      <c r="R226" s="10">
        <f t="shared" si="32"/>
        <v>2.1085264817567042</v>
      </c>
      <c r="S226" s="9">
        <f t="shared" si="29"/>
        <v>0</v>
      </c>
      <c r="T226" s="10">
        <f t="shared" si="33"/>
        <v>2.1085264817567042</v>
      </c>
      <c r="U226" s="10">
        <f t="shared" si="30"/>
        <v>2.1085264817567042</v>
      </c>
      <c r="V226" s="8">
        <f t="shared" si="34"/>
        <v>-26.880105129505871</v>
      </c>
      <c r="W226" s="8">
        <f t="shared" si="35"/>
        <v>-26.880105129505871</v>
      </c>
    </row>
    <row r="227" spans="14:23" x14ac:dyDescent="0.25">
      <c r="N227" s="8">
        <v>-68.5</v>
      </c>
      <c r="O227" s="8">
        <f t="shared" si="27"/>
        <v>178.12948887982517</v>
      </c>
      <c r="P227" s="9">
        <f t="shared" si="28"/>
        <v>0</v>
      </c>
      <c r="Q227" s="10">
        <f t="shared" si="31"/>
        <v>2.1342962254935252</v>
      </c>
      <c r="R227" s="10">
        <f t="shared" si="32"/>
        <v>2.1342962254935252</v>
      </c>
      <c r="S227" s="9">
        <f t="shared" si="29"/>
        <v>0</v>
      </c>
      <c r="T227" s="10">
        <f t="shared" si="33"/>
        <v>2.1342962254935252</v>
      </c>
      <c r="U227" s="10">
        <f t="shared" si="30"/>
        <v>2.1342962254935252</v>
      </c>
      <c r="V227" s="8">
        <f t="shared" si="34"/>
        <v>-27.226829567284188</v>
      </c>
      <c r="W227" s="8">
        <f t="shared" si="35"/>
        <v>-27.226829567284188</v>
      </c>
    </row>
    <row r="228" spans="14:23" x14ac:dyDescent="0.25">
      <c r="N228" s="8">
        <v>-68</v>
      </c>
      <c r="O228" s="8">
        <f t="shared" si="27"/>
        <v>176.49719548898429</v>
      </c>
      <c r="P228" s="9">
        <f t="shared" si="28"/>
        <v>0</v>
      </c>
      <c r="Q228" s="10">
        <f t="shared" si="31"/>
        <v>2.1605884663328787</v>
      </c>
      <c r="R228" s="10">
        <f t="shared" si="32"/>
        <v>2.1605884663328787</v>
      </c>
      <c r="S228" s="9">
        <f t="shared" si="29"/>
        <v>0</v>
      </c>
      <c r="T228" s="10">
        <f t="shared" si="33"/>
        <v>2.1605884663328787</v>
      </c>
      <c r="U228" s="10">
        <f t="shared" si="30"/>
        <v>2.1605884663328787</v>
      </c>
      <c r="V228" s="8">
        <f t="shared" si="34"/>
        <v>-27.577355162128786</v>
      </c>
      <c r="W228" s="8">
        <f t="shared" si="35"/>
        <v>-27.577355162128786</v>
      </c>
    </row>
    <row r="229" spans="14:23" x14ac:dyDescent="0.25">
      <c r="N229" s="8">
        <v>-67.5</v>
      </c>
      <c r="O229" s="8">
        <f t="shared" si="27"/>
        <v>174.86717678045039</v>
      </c>
      <c r="P229" s="9">
        <f t="shared" si="28"/>
        <v>0</v>
      </c>
      <c r="Q229" s="10">
        <f t="shared" si="31"/>
        <v>2.1874155863384428</v>
      </c>
      <c r="R229" s="10">
        <f t="shared" si="32"/>
        <v>2.1874155863384428</v>
      </c>
      <c r="S229" s="9">
        <f t="shared" si="29"/>
        <v>0</v>
      </c>
      <c r="T229" s="10">
        <f t="shared" si="33"/>
        <v>2.1874155863384428</v>
      </c>
      <c r="U229" s="10">
        <f t="shared" si="30"/>
        <v>2.1874155863384428</v>
      </c>
      <c r="V229" s="8">
        <f t="shared" si="34"/>
        <v>-27.931721559660559</v>
      </c>
      <c r="W229" s="8">
        <f t="shared" si="35"/>
        <v>-27.931721559660559</v>
      </c>
    </row>
    <row r="230" spans="14:23" x14ac:dyDescent="0.25">
      <c r="N230" s="8">
        <v>-67</v>
      </c>
      <c r="O230" s="8">
        <f t="shared" si="27"/>
        <v>173.23959676202395</v>
      </c>
      <c r="P230" s="9">
        <f t="shared" si="28"/>
        <v>0</v>
      </c>
      <c r="Q230" s="10">
        <f t="shared" si="31"/>
        <v>2.214790290368891</v>
      </c>
      <c r="R230" s="10">
        <f t="shared" si="32"/>
        <v>2.214790290368891</v>
      </c>
      <c r="S230" s="9">
        <f t="shared" si="29"/>
        <v>0</v>
      </c>
      <c r="T230" s="10">
        <f t="shared" si="33"/>
        <v>2.214790290368891</v>
      </c>
      <c r="U230" s="10">
        <f t="shared" si="30"/>
        <v>2.214790290368891</v>
      </c>
      <c r="V230" s="8">
        <f t="shared" si="34"/>
        <v>-28.289968675756974</v>
      </c>
      <c r="W230" s="8">
        <f t="shared" si="35"/>
        <v>-28.289968675756974</v>
      </c>
    </row>
    <row r="231" spans="14:23" x14ac:dyDescent="0.25">
      <c r="N231" s="8">
        <v>-66.5</v>
      </c>
      <c r="O231" s="8">
        <f t="shared" si="27"/>
        <v>171.61461990301152</v>
      </c>
      <c r="P231" s="9">
        <f t="shared" si="28"/>
        <v>0</v>
      </c>
      <c r="Q231" s="10">
        <f t="shared" si="31"/>
        <v>2.242725614250952</v>
      </c>
      <c r="R231" s="10">
        <f t="shared" si="32"/>
        <v>2.242725614250952</v>
      </c>
      <c r="S231" s="9">
        <f t="shared" si="29"/>
        <v>0</v>
      </c>
      <c r="T231" s="10">
        <f t="shared" si="33"/>
        <v>2.242725614250952</v>
      </c>
      <c r="U231" s="10">
        <f t="shared" si="30"/>
        <v>2.242725614250952</v>
      </c>
      <c r="V231" s="8">
        <f t="shared" si="34"/>
        <v>-28.652136685441331</v>
      </c>
      <c r="W231" s="8">
        <f t="shared" si="35"/>
        <v>-28.652136685441331</v>
      </c>
    </row>
    <row r="232" spans="14:23" x14ac:dyDescent="0.25">
      <c r="N232" s="8">
        <v>-66</v>
      </c>
      <c r="O232" s="8">
        <f t="shared" si="27"/>
        <v>169.99241110661802</v>
      </c>
      <c r="P232" s="9">
        <f t="shared" si="28"/>
        <v>0</v>
      </c>
      <c r="Q232" s="10">
        <f t="shared" si="31"/>
        <v>2.2712349330896493</v>
      </c>
      <c r="R232" s="10">
        <f t="shared" si="32"/>
        <v>2.2712349330896493</v>
      </c>
      <c r="S232" s="9">
        <f t="shared" si="29"/>
        <v>0</v>
      </c>
      <c r="T232" s="10">
        <f t="shared" si="33"/>
        <v>2.2712349330896493</v>
      </c>
      <c r="U232" s="10">
        <f t="shared" si="30"/>
        <v>2.2712349330896493</v>
      </c>
      <c r="V232" s="8">
        <f t="shared" si="34"/>
        <v>-29.018266010764787</v>
      </c>
      <c r="W232" s="8">
        <f t="shared" si="35"/>
        <v>-29.018266010764787</v>
      </c>
    </row>
    <row r="233" spans="14:23" x14ac:dyDescent="0.25">
      <c r="N233" s="8">
        <v>-65.5</v>
      </c>
      <c r="O233" s="8">
        <f t="shared" si="27"/>
        <v>168.37313568212585</v>
      </c>
      <c r="P233" s="9">
        <f t="shared" si="28"/>
        <v>0</v>
      </c>
      <c r="Q233" s="10">
        <f t="shared" si="31"/>
        <v>2.3003319697106086</v>
      </c>
      <c r="R233" s="10">
        <f t="shared" si="32"/>
        <v>2.3003319697106086</v>
      </c>
      <c r="S233" s="9">
        <f t="shared" si="29"/>
        <v>0</v>
      </c>
      <c r="T233" s="10">
        <f t="shared" si="33"/>
        <v>2.3003319697106086</v>
      </c>
      <c r="U233" s="10">
        <f t="shared" si="30"/>
        <v>2.3003319697106086</v>
      </c>
      <c r="V233" s="8">
        <f t="shared" si="34"/>
        <v>-29.388397307621101</v>
      </c>
      <c r="W233" s="8">
        <f t="shared" si="35"/>
        <v>-29.388397307621101</v>
      </c>
    </row>
    <row r="234" spans="14:23" x14ac:dyDescent="0.25">
      <c r="N234" s="8">
        <v>-65</v>
      </c>
      <c r="O234" s="8">
        <f t="shared" si="27"/>
        <v>166.75695931687505</v>
      </c>
      <c r="P234" s="9">
        <f t="shared" si="28"/>
        <v>0</v>
      </c>
      <c r="Q234" s="10">
        <f t="shared" si="31"/>
        <v>2.3300308032282659</v>
      </c>
      <c r="R234" s="10">
        <f t="shared" si="32"/>
        <v>2.3300308032282659</v>
      </c>
      <c r="S234" s="9">
        <f t="shared" si="29"/>
        <v>0</v>
      </c>
      <c r="T234" s="10">
        <f t="shared" si="33"/>
        <v>2.3300308032282659</v>
      </c>
      <c r="U234" s="10">
        <f t="shared" si="30"/>
        <v>2.3300308032282659</v>
      </c>
      <c r="V234" s="8">
        <f t="shared" si="34"/>
        <v>-29.76257145142915</v>
      </c>
      <c r="W234" s="8">
        <f t="shared" si="35"/>
        <v>-29.76257145142915</v>
      </c>
    </row>
    <row r="235" spans="14:23" x14ac:dyDescent="0.25">
      <c r="N235" s="8">
        <v>-64.5</v>
      </c>
      <c r="O235" s="8">
        <f t="shared" si="27"/>
        <v>165.14404804805088</v>
      </c>
      <c r="P235" s="9">
        <f t="shared" si="28"/>
        <v>0</v>
      </c>
      <c r="Q235" s="10">
        <f t="shared" si="31"/>
        <v>2.3603458777329562</v>
      </c>
      <c r="R235" s="10">
        <f t="shared" si="32"/>
        <v>2.3603458777329562</v>
      </c>
      <c r="S235" s="9">
        <f t="shared" si="29"/>
        <v>0</v>
      </c>
      <c r="T235" s="10">
        <f t="shared" si="33"/>
        <v>2.3603458777329562</v>
      </c>
      <c r="U235" s="10">
        <f t="shared" si="30"/>
        <v>2.3603458777329562</v>
      </c>
      <c r="V235" s="8">
        <f t="shared" si="34"/>
        <v>-30.140829521616773</v>
      </c>
      <c r="W235" s="8">
        <f t="shared" si="35"/>
        <v>-30.140829521616773</v>
      </c>
    </row>
    <row r="236" spans="14:23" x14ac:dyDescent="0.25">
      <c r="N236" s="8">
        <v>-64</v>
      </c>
      <c r="O236" s="8">
        <f t="shared" si="27"/>
        <v>163.53456823429249</v>
      </c>
      <c r="P236" s="9">
        <f t="shared" si="28"/>
        <v>0</v>
      </c>
      <c r="Q236" s="10">
        <f t="shared" si="31"/>
        <v>2.3912920110886029</v>
      </c>
      <c r="R236" s="10">
        <f t="shared" si="32"/>
        <v>2.3912920110886029</v>
      </c>
      <c r="S236" s="9">
        <f t="shared" si="29"/>
        <v>0</v>
      </c>
      <c r="T236" s="10">
        <f t="shared" si="33"/>
        <v>2.3912920110886029</v>
      </c>
      <c r="U236" s="10">
        <f t="shared" si="30"/>
        <v>2.3912920110886029</v>
      </c>
      <c r="V236" s="8">
        <f t="shared" si="34"/>
        <v>-30.523212784834165</v>
      </c>
      <c r="W236" s="8">
        <f t="shared" si="35"/>
        <v>-30.523212784834165</v>
      </c>
    </row>
    <row r="237" spans="14:23" x14ac:dyDescent="0.25">
      <c r="N237" s="8">
        <v>-63.5</v>
      </c>
      <c r="O237" s="8">
        <f t="shared" si="27"/>
        <v>161.92868652712963</v>
      </c>
      <c r="P237" s="9">
        <f t="shared" si="28"/>
        <v>0</v>
      </c>
      <c r="Q237" s="10">
        <f t="shared" si="31"/>
        <v>2.4228844038316839</v>
      </c>
      <c r="R237" s="10">
        <f t="shared" si="32"/>
        <v>2.4228844038316839</v>
      </c>
      <c r="S237" s="9">
        <f t="shared" si="29"/>
        <v>0</v>
      </c>
      <c r="T237" s="10">
        <f t="shared" si="33"/>
        <v>2.4228844038316839</v>
      </c>
      <c r="U237" s="10">
        <f t="shared" si="30"/>
        <v>2.4228844038316839</v>
      </c>
      <c r="V237" s="8">
        <f t="shared" si="34"/>
        <v>-30.909762676822936</v>
      </c>
      <c r="W237" s="8">
        <f t="shared" si="35"/>
        <v>-30.909762676822936</v>
      </c>
    </row>
    <row r="238" spans="14:23" x14ac:dyDescent="0.25">
      <c r="N238" s="8">
        <v>-63</v>
      </c>
      <c r="O238" s="8">
        <f t="shared" si="27"/>
        <v>160.32656984226145</v>
      </c>
      <c r="P238" s="9">
        <f t="shared" si="28"/>
        <v>0</v>
      </c>
      <c r="Q238" s="10">
        <f t="shared" si="31"/>
        <v>2.4551386481606614</v>
      </c>
      <c r="R238" s="10">
        <f t="shared" si="32"/>
        <v>2.4551386481606614</v>
      </c>
      <c r="S238" s="9">
        <f t="shared" si="29"/>
        <v>0</v>
      </c>
      <c r="T238" s="10">
        <f t="shared" si="33"/>
        <v>2.4551386481606614</v>
      </c>
      <c r="U238" s="10">
        <f t="shared" si="30"/>
        <v>2.4551386481606614</v>
      </c>
      <c r="V238" s="8">
        <f t="shared" si="34"/>
        <v>-31.300520782861362</v>
      </c>
      <c r="W238" s="8">
        <f t="shared" si="35"/>
        <v>-31.300520782861362</v>
      </c>
    </row>
    <row r="239" spans="14:23" x14ac:dyDescent="0.25">
      <c r="N239" s="8">
        <v>-62.5</v>
      </c>
      <c r="O239" s="8">
        <f t="shared" si="27"/>
        <v>158.72838533068597</v>
      </c>
      <c r="P239" s="9">
        <f t="shared" si="28"/>
        <v>0</v>
      </c>
      <c r="Q239" s="10">
        <f t="shared" si="31"/>
        <v>2.4880707370037776</v>
      </c>
      <c r="R239" s="10">
        <f t="shared" si="32"/>
        <v>2.4880707370037776</v>
      </c>
      <c r="S239" s="9">
        <f t="shared" si="29"/>
        <v>0</v>
      </c>
      <c r="T239" s="10">
        <f t="shared" si="33"/>
        <v>2.4880707370037776</v>
      </c>
      <c r="U239" s="10">
        <f t="shared" si="30"/>
        <v>2.4880707370037776</v>
      </c>
      <c r="V239" s="8">
        <f t="shared" si="34"/>
        <v>-31.695528816703579</v>
      </c>
      <c r="W239" s="8">
        <f t="shared" si="35"/>
        <v>-31.695528816703579</v>
      </c>
    </row>
    <row r="240" spans="14:23" x14ac:dyDescent="0.25">
      <c r="N240" s="8">
        <v>-62</v>
      </c>
      <c r="O240" s="8">
        <f t="shared" si="27"/>
        <v>157.13430034968908</v>
      </c>
      <c r="P240" s="9">
        <f t="shared" si="28"/>
        <v>0</v>
      </c>
      <c r="Q240" s="10">
        <f t="shared" si="31"/>
        <v>2.521697073151516</v>
      </c>
      <c r="R240" s="10">
        <f t="shared" si="32"/>
        <v>2.521697073151516</v>
      </c>
      <c r="S240" s="9">
        <f t="shared" si="29"/>
        <v>0</v>
      </c>
      <c r="T240" s="10">
        <f t="shared" si="33"/>
        <v>2.521697073151516</v>
      </c>
      <c r="U240" s="10">
        <f t="shared" si="30"/>
        <v>2.521697073151516</v>
      </c>
      <c r="V240" s="8">
        <f t="shared" si="34"/>
        <v>-32.094828597926089</v>
      </c>
      <c r="W240" s="8">
        <f t="shared" si="35"/>
        <v>-32.094828597926089</v>
      </c>
    </row>
    <row r="241" spans="14:23" x14ac:dyDescent="0.25">
      <c r="N241" s="8">
        <v>-61.5</v>
      </c>
      <c r="O241" s="8">
        <f t="shared" si="27"/>
        <v>155.54448243370769</v>
      </c>
      <c r="P241" s="9">
        <f t="shared" si="28"/>
        <v>0</v>
      </c>
      <c r="Q241" s="10">
        <f t="shared" si="31"/>
        <v>2.556034478438252</v>
      </c>
      <c r="R241" s="10">
        <f t="shared" si="32"/>
        <v>2.556034478438252</v>
      </c>
      <c r="S241" s="9">
        <f t="shared" si="29"/>
        <v>0</v>
      </c>
      <c r="T241" s="10">
        <f t="shared" si="33"/>
        <v>2.556034478438252</v>
      </c>
      <c r="U241" s="10">
        <f t="shared" si="30"/>
        <v>2.556034478438252</v>
      </c>
      <c r="V241" s="8">
        <f t="shared" si="34"/>
        <v>-32.498462027589163</v>
      </c>
      <c r="W241" s="8">
        <f t="shared" si="35"/>
        <v>-32.498462027589163</v>
      </c>
    </row>
    <row r="242" spans="14:23" x14ac:dyDescent="0.25">
      <c r="N242" s="8">
        <v>-61</v>
      </c>
      <c r="O242" s="8">
        <f t="shared" si="27"/>
        <v>153.95909926507085</v>
      </c>
      <c r="P242" s="9">
        <f t="shared" si="28"/>
        <v>0</v>
      </c>
      <c r="Q242" s="10">
        <f t="shared" si="31"/>
        <v>2.5911002029559662</v>
      </c>
      <c r="R242" s="10">
        <f t="shared" si="32"/>
        <v>2.5911002029559662</v>
      </c>
      <c r="S242" s="9">
        <f t="shared" si="29"/>
        <v>0</v>
      </c>
      <c r="T242" s="10">
        <f t="shared" si="33"/>
        <v>2.5911002029559662</v>
      </c>
      <c r="U242" s="10">
        <f t="shared" si="30"/>
        <v>2.5911002029559662</v>
      </c>
      <c r="V242" s="8">
        <f t="shared" si="34"/>
        <v>-32.906471062118626</v>
      </c>
      <c r="W242" s="8">
        <f t="shared" si="35"/>
        <v>-32.906471062118626</v>
      </c>
    </row>
    <row r="243" spans="14:23" x14ac:dyDescent="0.25">
      <c r="N243" s="8">
        <v>-60.5</v>
      </c>
      <c r="O243" s="8">
        <f t="shared" si="27"/>
        <v>152.37831864463749</v>
      </c>
      <c r="P243" s="9">
        <f t="shared" si="28"/>
        <v>0</v>
      </c>
      <c r="Q243" s="10">
        <f t="shared" si="31"/>
        <v>2.6269119342806158</v>
      </c>
      <c r="R243" s="10">
        <f t="shared" si="32"/>
        <v>2.6269119342806158</v>
      </c>
      <c r="S243" s="9">
        <f t="shared" si="29"/>
        <v>0</v>
      </c>
      <c r="T243" s="10">
        <f t="shared" si="33"/>
        <v>2.6269119342806158</v>
      </c>
      <c r="U243" s="10">
        <f t="shared" si="30"/>
        <v>2.6269119342806158</v>
      </c>
      <c r="V243" s="8">
        <f t="shared" si="34"/>
        <v>-33.31889768530511</v>
      </c>
      <c r="W243" s="8">
        <f t="shared" si="35"/>
        <v>-33.31889768530511</v>
      </c>
    </row>
    <row r="244" spans="14:23" x14ac:dyDescent="0.25">
      <c r="N244" s="8">
        <v>-60</v>
      </c>
      <c r="O244" s="8">
        <f t="shared" si="27"/>
        <v>150.80230846233206</v>
      </c>
      <c r="P244" s="9">
        <f t="shared" si="28"/>
        <v>0</v>
      </c>
      <c r="Q244" s="10">
        <f t="shared" si="31"/>
        <v>2.6634878066899277</v>
      </c>
      <c r="R244" s="10">
        <f t="shared" si="32"/>
        <v>2.6634878066899277</v>
      </c>
      <c r="S244" s="9">
        <f t="shared" si="29"/>
        <v>0</v>
      </c>
      <c r="T244" s="10">
        <f t="shared" si="33"/>
        <v>2.6634878066899277</v>
      </c>
      <c r="U244" s="10">
        <f t="shared" si="30"/>
        <v>2.6634878066899277</v>
      </c>
      <c r="V244" s="8">
        <f t="shared" si="34"/>
        <v>-33.735783878316887</v>
      </c>
      <c r="W244" s="8">
        <f t="shared" si="35"/>
        <v>-33.735783878316887</v>
      </c>
    </row>
    <row r="245" spans="14:23" x14ac:dyDescent="0.25">
      <c r="N245" s="8">
        <v>-59.5</v>
      </c>
      <c r="O245" s="8">
        <f t="shared" si="27"/>
        <v>149.23123666759611</v>
      </c>
      <c r="P245" s="9">
        <f t="shared" si="28"/>
        <v>0</v>
      </c>
      <c r="Q245" s="10">
        <f t="shared" si="31"/>
        <v>2.700846410348694</v>
      </c>
      <c r="R245" s="10">
        <f t="shared" si="32"/>
        <v>2.700846410348694</v>
      </c>
      <c r="S245" s="9">
        <f t="shared" si="29"/>
        <v>0</v>
      </c>
      <c r="T245" s="10">
        <f t="shared" si="33"/>
        <v>2.700846410348694</v>
      </c>
      <c r="U245" s="10">
        <f t="shared" si="30"/>
        <v>2.700846410348694</v>
      </c>
      <c r="V245" s="8">
        <f t="shared" si="34"/>
        <v>-34.157171587613206</v>
      </c>
      <c r="W245" s="8">
        <f t="shared" si="35"/>
        <v>-34.157171587613206</v>
      </c>
    </row>
    <row r="246" spans="14:23" x14ac:dyDescent="0.25">
      <c r="N246" s="8">
        <v>-59</v>
      </c>
      <c r="O246" s="8">
        <f t="shared" si="27"/>
        <v>147.66527123976041</v>
      </c>
      <c r="P246" s="9">
        <f t="shared" si="28"/>
        <v>0</v>
      </c>
      <c r="Q246" s="10">
        <f t="shared" si="31"/>
        <v>2.7390068004353867</v>
      </c>
      <c r="R246" s="10">
        <f t="shared" si="32"/>
        <v>2.7390068004353867</v>
      </c>
      <c r="S246" s="9">
        <f t="shared" si="29"/>
        <v>0</v>
      </c>
      <c r="T246" s="10">
        <f t="shared" si="33"/>
        <v>2.7390068004353867</v>
      </c>
      <c r="U246" s="10">
        <f t="shared" si="30"/>
        <v>2.7390068004353867</v>
      </c>
      <c r="V246" s="8">
        <f t="shared" si="34"/>
        <v>-34.583102690642647</v>
      </c>
      <c r="W246" s="8">
        <f t="shared" si="35"/>
        <v>-34.583102690642647</v>
      </c>
    </row>
    <row r="247" spans="14:23" x14ac:dyDescent="0.25">
      <c r="N247" s="8">
        <v>-58.5</v>
      </c>
      <c r="O247" s="8">
        <f t="shared" si="27"/>
        <v>146.10458015835042</v>
      </c>
      <c r="P247" s="9">
        <f t="shared" si="28"/>
        <v>0</v>
      </c>
      <c r="Q247" s="10">
        <f t="shared" si="31"/>
        <v>2.7779885061809821</v>
      </c>
      <c r="R247" s="10">
        <f t="shared" si="32"/>
        <v>2.7779885061809821</v>
      </c>
      <c r="S247" s="9">
        <f t="shared" si="29"/>
        <v>0</v>
      </c>
      <c r="T247" s="10">
        <f t="shared" si="33"/>
        <v>2.7779885061809821</v>
      </c>
      <c r="U247" s="10">
        <f t="shared" si="30"/>
        <v>2.7779885061809821</v>
      </c>
      <c r="V247" s="8">
        <f t="shared" si="34"/>
        <v>-35.013618959203498</v>
      </c>
      <c r="W247" s="8">
        <f t="shared" si="35"/>
        <v>-35.013618959203498</v>
      </c>
    </row>
    <row r="248" spans="14:23" x14ac:dyDescent="0.25">
      <c r="N248" s="8">
        <v>-58</v>
      </c>
      <c r="O248" s="8">
        <f t="shared" si="27"/>
        <v>144.54933137333447</v>
      </c>
      <c r="P248" s="9">
        <f t="shared" si="28"/>
        <v>0</v>
      </c>
      <c r="Q248" s="10">
        <f t="shared" si="31"/>
        <v>2.8178115397879835</v>
      </c>
      <c r="R248" s="10">
        <f t="shared" si="32"/>
        <v>2.8178115397879835</v>
      </c>
      <c r="S248" s="9">
        <f t="shared" si="29"/>
        <v>0</v>
      </c>
      <c r="T248" s="10">
        <f t="shared" si="33"/>
        <v>2.8178115397879835</v>
      </c>
      <c r="U248" s="10">
        <f t="shared" si="30"/>
        <v>2.8178115397879835</v>
      </c>
      <c r="V248" s="8">
        <f t="shared" si="34"/>
        <v>-35.448762020337767</v>
      </c>
      <c r="W248" s="8">
        <f t="shared" si="35"/>
        <v>-35.448762020337767</v>
      </c>
    </row>
    <row r="249" spans="14:23" x14ac:dyDescent="0.25">
      <c r="N249" s="8">
        <v>-57.5</v>
      </c>
      <c r="O249" s="8">
        <f t="shared" si="27"/>
        <v>142.99969277532438</v>
      </c>
      <c r="P249" s="9">
        <f t="shared" si="28"/>
        <v>0</v>
      </c>
      <c r="Q249" s="10">
        <f t="shared" si="31"/>
        <v>2.858496405194427</v>
      </c>
      <c r="R249" s="10">
        <f t="shared" si="32"/>
        <v>2.858496405194427</v>
      </c>
      <c r="S249" s="9">
        <f t="shared" si="29"/>
        <v>0</v>
      </c>
      <c r="T249" s="10">
        <f t="shared" si="33"/>
        <v>2.858496405194427</v>
      </c>
      <c r="U249" s="10">
        <f t="shared" si="30"/>
        <v>2.858496405194427</v>
      </c>
      <c r="V249" s="8">
        <f t="shared" si="34"/>
        <v>-35.888573314624573</v>
      </c>
      <c r="W249" s="8">
        <f t="shared" si="35"/>
        <v>-35.888573314624573</v>
      </c>
    </row>
    <row r="250" spans="14:23" x14ac:dyDescent="0.25">
      <c r="N250" s="8">
        <v>-57</v>
      </c>
      <c r="O250" s="8">
        <f t="shared" si="27"/>
        <v>141.45583216573917</v>
      </c>
      <c r="P250" s="9">
        <f t="shared" si="28"/>
        <v>0</v>
      </c>
      <c r="Q250" s="10">
        <f t="shared" si="31"/>
        <v>2.9000641066441499</v>
      </c>
      <c r="R250" s="10">
        <f t="shared" si="32"/>
        <v>2.9000641066441499</v>
      </c>
      <c r="S250" s="9">
        <f t="shared" si="29"/>
        <v>0</v>
      </c>
      <c r="T250" s="10">
        <f t="shared" si="33"/>
        <v>2.9000641066441499</v>
      </c>
      <c r="U250" s="10">
        <f t="shared" si="30"/>
        <v>2.9000641066441499</v>
      </c>
      <c r="V250" s="8">
        <f t="shared" si="34"/>
        <v>-36.333094051731592</v>
      </c>
      <c r="W250" s="8">
        <f t="shared" si="35"/>
        <v>-36.333094051731592</v>
      </c>
    </row>
    <row r="251" spans="14:23" x14ac:dyDescent="0.25">
      <c r="N251" s="8">
        <v>-56.5</v>
      </c>
      <c r="O251" s="8">
        <f t="shared" si="27"/>
        <v>139.91791722693952</v>
      </c>
      <c r="P251" s="9">
        <f t="shared" si="28"/>
        <v>0</v>
      </c>
      <c r="Q251" s="10">
        <f t="shared" si="31"/>
        <v>2.9425361570209652</v>
      </c>
      <c r="R251" s="10">
        <f t="shared" si="32"/>
        <v>2.9425361570209652</v>
      </c>
      <c r="S251" s="9">
        <f t="shared" si="29"/>
        <v>0</v>
      </c>
      <c r="T251" s="10">
        <f t="shared" si="33"/>
        <v>2.9425361570209652</v>
      </c>
      <c r="U251" s="10">
        <f t="shared" si="30"/>
        <v>2.9425361570209652</v>
      </c>
      <c r="V251" s="8">
        <f t="shared" si="34"/>
        <v>-36.782365163077856</v>
      </c>
      <c r="W251" s="8">
        <f t="shared" si="35"/>
        <v>-36.782365163077856</v>
      </c>
    </row>
    <row r="252" spans="14:23" x14ac:dyDescent="0.25">
      <c r="N252" s="8">
        <v>-56</v>
      </c>
      <c r="O252" s="8">
        <f t="shared" si="27"/>
        <v>138.38611549234591</v>
      </c>
      <c r="P252" s="9">
        <f t="shared" si="28"/>
        <v>0</v>
      </c>
      <c r="Q252" s="10">
        <f t="shared" si="31"/>
        <v>2.9859345859002162</v>
      </c>
      <c r="R252" s="10">
        <f t="shared" si="32"/>
        <v>2.9859345859002162</v>
      </c>
      <c r="S252" s="9">
        <f t="shared" si="29"/>
        <v>0</v>
      </c>
      <c r="T252" s="10">
        <f t="shared" si="33"/>
        <v>2.9859345859002162</v>
      </c>
      <c r="U252" s="10">
        <f t="shared" si="30"/>
        <v>2.9859345859002162</v>
      </c>
      <c r="V252" s="8">
        <f t="shared" si="34"/>
        <v>-37.236427251452561</v>
      </c>
      <c r="W252" s="8">
        <f t="shared" si="35"/>
        <v>-37.236427251452561</v>
      </c>
    </row>
    <row r="253" spans="14:23" x14ac:dyDescent="0.25">
      <c r="N253" s="8">
        <v>-55.5</v>
      </c>
      <c r="O253" s="8">
        <f t="shared" si="27"/>
        <v>136.86059431654678</v>
      </c>
      <c r="P253" s="9">
        <f t="shared" si="28"/>
        <v>0</v>
      </c>
      <c r="Q253" s="10">
        <f t="shared" si="31"/>
        <v>3.0302819472670333</v>
      </c>
      <c r="R253" s="10">
        <f t="shared" si="32"/>
        <v>3.0302819472670333</v>
      </c>
      <c r="S253" s="9">
        <f t="shared" si="29"/>
        <v>0</v>
      </c>
      <c r="T253" s="10">
        <f t="shared" si="33"/>
        <v>3.0302819472670333</v>
      </c>
      <c r="U253" s="10">
        <f t="shared" si="30"/>
        <v>3.0302819472670333</v>
      </c>
      <c r="V253" s="8">
        <f t="shared" si="34"/>
        <v>-37.695320537429531</v>
      </c>
      <c r="W253" s="8">
        <f t="shared" si="35"/>
        <v>-37.695320537429531</v>
      </c>
    </row>
    <row r="254" spans="14:23" x14ac:dyDescent="0.25">
      <c r="N254" s="8">
        <v>-55</v>
      </c>
      <c r="O254" s="8">
        <f t="shared" si="27"/>
        <v>135.34152084540875</v>
      </c>
      <c r="P254" s="9">
        <f t="shared" si="28"/>
        <v>0</v>
      </c>
      <c r="Q254" s="10">
        <f t="shared" si="31"/>
        <v>3.0756013268458333</v>
      </c>
      <c r="R254" s="10">
        <f t="shared" si="32"/>
        <v>3.0756013268458333</v>
      </c>
      <c r="S254" s="9">
        <f t="shared" si="29"/>
        <v>0</v>
      </c>
      <c r="T254" s="10">
        <f t="shared" si="33"/>
        <v>3.0756013268458333</v>
      </c>
      <c r="U254" s="10">
        <f t="shared" si="30"/>
        <v>3.0756013268458333</v>
      </c>
      <c r="V254" s="8">
        <f t="shared" si="34"/>
        <v>-38.159084802408046</v>
      </c>
      <c r="W254" s="8">
        <f t="shared" si="35"/>
        <v>-38.159084802408046</v>
      </c>
    </row>
    <row r="255" spans="14:23" x14ac:dyDescent="0.25">
      <c r="N255" s="8">
        <v>-54.5</v>
      </c>
      <c r="O255" s="8">
        <f t="shared" si="27"/>
        <v>133.82906198619577</v>
      </c>
      <c r="P255" s="9">
        <f t="shared" si="28"/>
        <v>0</v>
      </c>
      <c r="Q255" s="10">
        <f t="shared" si="31"/>
        <v>3.1219163489807205</v>
      </c>
      <c r="R255" s="10">
        <f t="shared" si="32"/>
        <v>3.1219163489807205</v>
      </c>
      <c r="S255" s="9">
        <f t="shared" si="29"/>
        <v>0</v>
      </c>
      <c r="T255" s="10">
        <f t="shared" si="33"/>
        <v>3.1219163489807205</v>
      </c>
      <c r="U255" s="10">
        <f t="shared" si="30"/>
        <v>3.1219163489807205</v>
      </c>
      <c r="V255" s="8">
        <f t="shared" si="34"/>
        <v>-38.627759328104695</v>
      </c>
      <c r="W255" s="8">
        <f t="shared" si="35"/>
        <v>-38.627759328104695</v>
      </c>
    </row>
    <row r="256" spans="14:23" x14ac:dyDescent="0.25">
      <c r="N256" s="8">
        <v>-54</v>
      </c>
      <c r="O256" s="8">
        <f t="shared" si="27"/>
        <v>132.32338437770966</v>
      </c>
      <c r="P256" s="9">
        <f t="shared" si="28"/>
        <v>0</v>
      </c>
      <c r="Q256" s="10">
        <f t="shared" si="31"/>
        <v>3.169251183000958</v>
      </c>
      <c r="R256" s="10">
        <f t="shared" si="32"/>
        <v>3.169251183000958</v>
      </c>
      <c r="S256" s="9">
        <f t="shared" si="29"/>
        <v>0</v>
      </c>
      <c r="T256" s="10">
        <f t="shared" si="33"/>
        <v>3.169251183000958</v>
      </c>
      <c r="U256" s="10">
        <f t="shared" si="30"/>
        <v>3.169251183000958</v>
      </c>
      <c r="V256" s="8">
        <f t="shared" si="34"/>
        <v>-39.101382832311678</v>
      </c>
      <c r="W256" s="8">
        <f t="shared" si="35"/>
        <v>-39.101382832311678</v>
      </c>
    </row>
    <row r="257" spans="14:23" x14ac:dyDescent="0.25">
      <c r="N257" s="8">
        <v>-53.5</v>
      </c>
      <c r="O257" s="8">
        <f t="shared" si="27"/>
        <v>130.82465436045752</v>
      </c>
      <c r="P257" s="9">
        <f t="shared" si="28"/>
        <v>0</v>
      </c>
      <c r="Q257" s="10">
        <f t="shared" si="31"/>
        <v>3.2176305490001269</v>
      </c>
      <c r="R257" s="10">
        <f t="shared" si="32"/>
        <v>3.2176305490001269</v>
      </c>
      <c r="S257" s="9">
        <f t="shared" si="29"/>
        <v>0</v>
      </c>
      <c r="T257" s="10">
        <f t="shared" si="33"/>
        <v>3.2176305490001269</v>
      </c>
      <c r="U257" s="10">
        <f t="shared" si="30"/>
        <v>3.2176305490001269</v>
      </c>
      <c r="V257" s="8">
        <f t="shared" si="34"/>
        <v>-39.579993400731148</v>
      </c>
      <c r="W257" s="8">
        <f t="shared" si="35"/>
        <v>-39.579993400731148</v>
      </c>
    </row>
    <row r="258" spans="14:23" x14ac:dyDescent="0.25">
      <c r="N258" s="8">
        <v>-53</v>
      </c>
      <c r="O258" s="8">
        <f t="shared" si="27"/>
        <v>129.3330379468577</v>
      </c>
      <c r="P258" s="9">
        <f t="shared" si="28"/>
        <v>0</v>
      </c>
      <c r="Q258" s="10">
        <f t="shared" si="31"/>
        <v>3.267079722951264</v>
      </c>
      <c r="R258" s="10">
        <f t="shared" si="32"/>
        <v>3.267079722951264</v>
      </c>
      <c r="S258" s="9">
        <f t="shared" si="29"/>
        <v>0</v>
      </c>
      <c r="T258" s="10">
        <f t="shared" si="33"/>
        <v>3.267079722951264</v>
      </c>
      <c r="U258" s="10">
        <f t="shared" si="30"/>
        <v>3.267079722951264</v>
      </c>
      <c r="V258" s="8">
        <f t="shared" si="34"/>
        <v>-40.063628414685247</v>
      </c>
      <c r="W258" s="8">
        <f t="shared" si="35"/>
        <v>-40.063628414685247</v>
      </c>
    </row>
    <row r="259" spans="14:23" x14ac:dyDescent="0.25">
      <c r="N259" s="8">
        <v>-52.5</v>
      </c>
      <c r="O259" s="8">
        <f t="shared" si="27"/>
        <v>127.84870079149297</v>
      </c>
      <c r="P259" s="9">
        <f t="shared" si="28"/>
        <v>0</v>
      </c>
      <c r="Q259" s="10">
        <f t="shared" si="31"/>
        <v>3.3176245410737781</v>
      </c>
      <c r="R259" s="10">
        <f t="shared" si="32"/>
        <v>3.3176245410737781</v>
      </c>
      <c r="S259" s="9">
        <f t="shared" si="29"/>
        <v>0</v>
      </c>
      <c r="T259" s="10">
        <f t="shared" si="33"/>
        <v>3.3176245410737781</v>
      </c>
      <c r="U259" s="10">
        <f t="shared" si="30"/>
        <v>3.3176245410737781</v>
      </c>
      <c r="V259" s="8">
        <f t="shared" si="34"/>
        <v>-40.552324474494291</v>
      </c>
      <c r="W259" s="8">
        <f t="shared" si="35"/>
        <v>-40.552324474494291</v>
      </c>
    </row>
    <row r="260" spans="14:23" x14ac:dyDescent="0.25">
      <c r="N260" s="8">
        <v>-52</v>
      </c>
      <c r="O260" s="8">
        <f t="shared" ref="O260:O323" si="36">$B$30+PI()/4*($B$5/10)^2*($B$31+$B$7/10-$B$31*COS(RADIANS(N260))-SQRT(($B$7/10)^2-($B$31*SIN(RADIANS(N260)))^2))</f>
        <v>126.37180816141768</v>
      </c>
      <c r="P260" s="9">
        <f t="shared" ref="P260:P323" si="37">IF(N260&gt;$B$36,1-EXP(-$B$16*((N260-$B$36)/$B$35)^($B$17+1)),0)</f>
        <v>0</v>
      </c>
      <c r="Q260" s="10">
        <f t="shared" si="31"/>
        <v>3.3692914033609842</v>
      </c>
      <c r="R260" s="10">
        <f t="shared" si="32"/>
        <v>3.3692914033609842</v>
      </c>
      <c r="S260" s="9">
        <f t="shared" ref="S260:S323" si="38">IF(N260&lt;=$B$38,IF(N260&gt;$B$37,1-EXP(-$B$16*((N260-$B$37)/$B$35)^($B$17+1)),0),$B$22+(1-$B$22)*(1-EXP(-(N260-$B$38)/$B$23)))</f>
        <v>0</v>
      </c>
      <c r="T260" s="10">
        <f t="shared" si="33"/>
        <v>3.3692914033609842</v>
      </c>
      <c r="U260" s="10">
        <f t="shared" ref="U260:U323" si="39">T260+IF(N260&gt;$B$38,$B$24*EXP(-(N260-$B$38)/$B$26)*SIN(2*PI()*(N260-$B$38)/$B$39),0)</f>
        <v>3.3692914033609842</v>
      </c>
      <c r="V260" s="8">
        <f t="shared" si="34"/>
        <v>-41.046117318307729</v>
      </c>
      <c r="W260" s="8">
        <f t="shared" si="35"/>
        <v>-41.046117318307729</v>
      </c>
    </row>
    <row r="261" spans="14:23" x14ac:dyDescent="0.25">
      <c r="N261" s="8">
        <v>-51.5</v>
      </c>
      <c r="O261" s="8">
        <f t="shared" si="36"/>
        <v>124.90252490653009</v>
      </c>
      <c r="P261" s="9">
        <f t="shared" si="37"/>
        <v>0</v>
      </c>
      <c r="Q261" s="10">
        <f t="shared" ref="Q261:Q324" si="40">Q260*(O260/O261)^$B$9+10*($B$9-1)*$B$33*(P261-P260)/((O260+O261)/2)</f>
        <v>3.422107276169442</v>
      </c>
      <c r="R261" s="10">
        <f t="shared" ref="R261:R324" si="41">R260*(O260/O261)^$B$9</f>
        <v>3.422107276169442</v>
      </c>
      <c r="S261" s="9">
        <f t="shared" si="38"/>
        <v>0</v>
      </c>
      <c r="T261" s="10">
        <f t="shared" ref="T261:T324" si="42">T260*(O260/O261)^$B$9+10*($B$9-1)*$B$33*(S261-S260)/((O260+O261)/2)</f>
        <v>3.422107276169442</v>
      </c>
      <c r="U261" s="10">
        <f t="shared" si="39"/>
        <v>3.422107276169442</v>
      </c>
      <c r="V261" s="8">
        <f t="shared" ref="V261:V324" si="43">V260+(Q260+Q261)/2*(O261-O260)/10</f>
        <v>-41.545041736162716</v>
      </c>
      <c r="W261" s="8">
        <f t="shared" ref="W261:W324" si="44">W260+(T260+T261)/2*(O261-O260)/10</f>
        <v>-41.545041736162716</v>
      </c>
    </row>
    <row r="262" spans="14:23" x14ac:dyDescent="0.25">
      <c r="N262" s="8">
        <v>-51</v>
      </c>
      <c r="O262" s="8">
        <f t="shared" si="36"/>
        <v>123.4410154300171</v>
      </c>
      <c r="P262" s="9">
        <f t="shared" si="37"/>
        <v>0</v>
      </c>
      <c r="Q262" s="10">
        <f t="shared" si="40"/>
        <v>3.4760996937634454</v>
      </c>
      <c r="R262" s="10">
        <f t="shared" si="41"/>
        <v>3.4760996937634454</v>
      </c>
      <c r="S262" s="9">
        <f t="shared" si="38"/>
        <v>0</v>
      </c>
      <c r="T262" s="10">
        <f t="shared" si="42"/>
        <v>3.4760996937634454</v>
      </c>
      <c r="U262" s="10">
        <f t="shared" si="39"/>
        <v>3.4760996937634454</v>
      </c>
      <c r="V262" s="8">
        <f t="shared" si="43"/>
        <v>-42.04913147903796</v>
      </c>
      <c r="W262" s="8">
        <f t="shared" si="44"/>
        <v>-42.04913147903796</v>
      </c>
    </row>
    <row r="263" spans="14:23" x14ac:dyDescent="0.25">
      <c r="N263" s="8">
        <v>-50.5</v>
      </c>
      <c r="O263" s="8">
        <f t="shared" si="36"/>
        <v>121.98744365887927</v>
      </c>
      <c r="P263" s="9">
        <f t="shared" si="37"/>
        <v>0</v>
      </c>
      <c r="Q263" s="10">
        <f t="shared" si="40"/>
        <v>3.5312967586994413</v>
      </c>
      <c r="R263" s="10">
        <f t="shared" si="41"/>
        <v>3.5312967586994413</v>
      </c>
      <c r="S263" s="9">
        <f t="shared" si="38"/>
        <v>0</v>
      </c>
      <c r="T263" s="10">
        <f t="shared" si="42"/>
        <v>3.5312967586994413</v>
      </c>
      <c r="U263" s="10">
        <f t="shared" si="39"/>
        <v>3.5312967586994413</v>
      </c>
      <c r="V263" s="8">
        <f t="shared" si="43"/>
        <v>-42.558419162661529</v>
      </c>
      <c r="W263" s="8">
        <f t="shared" si="44"/>
        <v>-42.558419162661529</v>
      </c>
    </row>
    <row r="264" spans="14:23" x14ac:dyDescent="0.25">
      <c r="N264" s="8">
        <v>-50</v>
      </c>
      <c r="O264" s="8">
        <f t="shared" si="36"/>
        <v>120.54197301454533</v>
      </c>
      <c r="P264" s="9">
        <f t="shared" si="37"/>
        <v>0</v>
      </c>
      <c r="Q264" s="10">
        <f t="shared" si="40"/>
        <v>3.5877271409260953</v>
      </c>
      <c r="R264" s="10">
        <f t="shared" si="41"/>
        <v>3.5877271409260953</v>
      </c>
      <c r="S264" s="9">
        <f t="shared" si="38"/>
        <v>0</v>
      </c>
      <c r="T264" s="10">
        <f t="shared" si="42"/>
        <v>3.5877271409260953</v>
      </c>
      <c r="U264" s="10">
        <f t="shared" si="39"/>
        <v>3.5877271409260953</v>
      </c>
      <c r="V264" s="8">
        <f t="shared" si="43"/>
        <v>-43.072936165822554</v>
      </c>
      <c r="W264" s="8">
        <f t="shared" si="44"/>
        <v>-43.072936165822554</v>
      </c>
    </row>
    <row r="265" spans="14:23" x14ac:dyDescent="0.25">
      <c r="N265" s="8">
        <v>-49.5</v>
      </c>
      <c r="O265" s="8">
        <f t="shared" si="36"/>
        <v>119.10476638358458</v>
      </c>
      <c r="P265" s="9">
        <f t="shared" si="37"/>
        <v>0</v>
      </c>
      <c r="Q265" s="10">
        <f t="shared" si="40"/>
        <v>3.6454200754661348</v>
      </c>
      <c r="R265" s="10">
        <f t="shared" si="41"/>
        <v>3.6454200754661348</v>
      </c>
      <c r="S265" s="9">
        <f t="shared" si="38"/>
        <v>0</v>
      </c>
      <c r="T265" s="10">
        <f t="shared" si="42"/>
        <v>3.6454200754661348</v>
      </c>
      <c r="U265" s="10">
        <f t="shared" si="39"/>
        <v>3.6454200754661348</v>
      </c>
      <c r="V265" s="8">
        <f t="shared" si="43"/>
        <v>-43.592712522928267</v>
      </c>
      <c r="W265" s="8">
        <f t="shared" si="44"/>
        <v>-43.592712522928267</v>
      </c>
    </row>
    <row r="266" spans="14:23" x14ac:dyDescent="0.25">
      <c r="N266" s="8">
        <v>-49</v>
      </c>
      <c r="O266" s="8">
        <f t="shared" si="36"/>
        <v>117.67598608852373</v>
      </c>
      <c r="P266" s="9">
        <f t="shared" si="37"/>
        <v>0</v>
      </c>
      <c r="Q266" s="10">
        <f t="shared" si="40"/>
        <v>3.7044053585359569</v>
      </c>
      <c r="R266" s="10">
        <f t="shared" si="41"/>
        <v>3.7044053585359569</v>
      </c>
      <c r="S266" s="9">
        <f t="shared" si="38"/>
        <v>0</v>
      </c>
      <c r="T266" s="10">
        <f t="shared" si="42"/>
        <v>3.7044053585359569</v>
      </c>
      <c r="U266" s="10">
        <f t="shared" si="39"/>
        <v>3.7044053585359569</v>
      </c>
      <c r="V266" s="8">
        <f t="shared" si="43"/>
        <v>-44.117776810540228</v>
      </c>
      <c r="W266" s="8">
        <f t="shared" si="44"/>
        <v>-44.117776810540228</v>
      </c>
    </row>
    <row r="267" spans="14:23" x14ac:dyDescent="0.25">
      <c r="N267" s="8">
        <v>-48.5</v>
      </c>
      <c r="O267" s="8">
        <f t="shared" si="36"/>
        <v>116.25579385877668</v>
      </c>
      <c r="P267" s="9">
        <f t="shared" si="37"/>
        <v>0</v>
      </c>
      <c r="Q267" s="10">
        <f t="shared" si="40"/>
        <v>3.764713341948192</v>
      </c>
      <c r="R267" s="10">
        <f t="shared" si="41"/>
        <v>3.764713341948192</v>
      </c>
      <c r="S267" s="9">
        <f t="shared" si="38"/>
        <v>0</v>
      </c>
      <c r="T267" s="10">
        <f t="shared" si="42"/>
        <v>3.764713341948192</v>
      </c>
      <c r="U267" s="10">
        <f t="shared" si="39"/>
        <v>3.764713341948192</v>
      </c>
      <c r="V267" s="8">
        <f t="shared" si="43"/>
        <v>-44.648156027614526</v>
      </c>
      <c r="W267" s="8">
        <f t="shared" si="44"/>
        <v>-44.648156027614526</v>
      </c>
    </row>
    <row r="268" spans="14:23" x14ac:dyDescent="0.25">
      <c r="N268" s="8">
        <v>-48</v>
      </c>
      <c r="O268" s="8">
        <f t="shared" si="36"/>
        <v>114.84435080169587</v>
      </c>
      <c r="P268" s="9">
        <f t="shared" si="37"/>
        <v>0</v>
      </c>
      <c r="Q268" s="10">
        <f t="shared" si="40"/>
        <v>3.8263749256309607</v>
      </c>
      <c r="R268" s="10">
        <f t="shared" si="41"/>
        <v>3.8263749256309607</v>
      </c>
      <c r="S268" s="9">
        <f t="shared" si="38"/>
        <v>0</v>
      </c>
      <c r="T268" s="10">
        <f t="shared" si="42"/>
        <v>3.8263749256309607</v>
      </c>
      <c r="U268" s="10">
        <f t="shared" si="39"/>
        <v>3.8263749256309607</v>
      </c>
      <c r="V268" s="8">
        <f t="shared" si="43"/>
        <v>-45.183875469162636</v>
      </c>
      <c r="W268" s="8">
        <f t="shared" si="44"/>
        <v>-45.183875469162636</v>
      </c>
    </row>
    <row r="269" spans="14:23" x14ac:dyDescent="0.25">
      <c r="N269" s="8">
        <v>-47.5</v>
      </c>
      <c r="O269" s="8">
        <f t="shared" si="36"/>
        <v>113.44181737375087</v>
      </c>
      <c r="P269" s="9">
        <f t="shared" si="37"/>
        <v>0</v>
      </c>
      <c r="Q269" s="10">
        <f t="shared" si="40"/>
        <v>3.889421548085704</v>
      </c>
      <c r="R269" s="10">
        <f t="shared" si="41"/>
        <v>3.889421548085704</v>
      </c>
      <c r="S269" s="9">
        <f t="shared" si="38"/>
        <v>0</v>
      </c>
      <c r="T269" s="10">
        <f t="shared" si="42"/>
        <v>3.889421548085704</v>
      </c>
      <c r="U269" s="10">
        <f t="shared" si="39"/>
        <v>3.889421548085704</v>
      </c>
      <c r="V269" s="8">
        <f t="shared" si="43"/>
        <v>-45.724958593043027</v>
      </c>
      <c r="W269" s="8">
        <f t="shared" si="44"/>
        <v>-45.724958593043027</v>
      </c>
    </row>
    <row r="270" spans="14:23" x14ac:dyDescent="0.25">
      <c r="N270" s="8">
        <v>-47</v>
      </c>
      <c r="O270" s="8">
        <f t="shared" si="36"/>
        <v>112.0483533518433</v>
      </c>
      <c r="P270" s="9">
        <f t="shared" si="37"/>
        <v>0</v>
      </c>
      <c r="Q270" s="10">
        <f t="shared" si="40"/>
        <v>3.9538851745926782</v>
      </c>
      <c r="R270" s="10">
        <f t="shared" si="41"/>
        <v>3.9538851745926782</v>
      </c>
      <c r="S270" s="9">
        <f t="shared" si="38"/>
        <v>0</v>
      </c>
      <c r="T270" s="10">
        <f t="shared" si="42"/>
        <v>3.9538851745926782</v>
      </c>
      <c r="U270" s="10">
        <f t="shared" si="39"/>
        <v>3.9538851745926782</v>
      </c>
      <c r="V270" s="8">
        <f t="shared" si="43"/>
        <v>-46.271426879584929</v>
      </c>
      <c r="W270" s="8">
        <f t="shared" si="44"/>
        <v>-46.271426879584929</v>
      </c>
    </row>
    <row r="271" spans="14:23" x14ac:dyDescent="0.25">
      <c r="N271" s="8">
        <v>-46.5</v>
      </c>
      <c r="O271" s="8">
        <f t="shared" si="36"/>
        <v>110.66411780476392</v>
      </c>
      <c r="P271" s="9">
        <f t="shared" si="37"/>
        <v>0</v>
      </c>
      <c r="Q271" s="10">
        <f t="shared" si="40"/>
        <v>4.0197982829600507</v>
      </c>
      <c r="R271" s="10">
        <f t="shared" si="41"/>
        <v>4.0197982829600507</v>
      </c>
      <c r="S271" s="9">
        <f t="shared" si="38"/>
        <v>0</v>
      </c>
      <c r="T271" s="10">
        <f t="shared" si="42"/>
        <v>4.0197982829600507</v>
      </c>
      <c r="U271" s="10">
        <f t="shared" si="39"/>
        <v>4.0197982829600507</v>
      </c>
      <c r="V271" s="8">
        <f t="shared" si="43"/>
        <v>-46.823299683740096</v>
      </c>
      <c r="W271" s="8">
        <f t="shared" si="44"/>
        <v>-46.823299683740096</v>
      </c>
    </row>
    <row r="272" spans="14:23" x14ac:dyDescent="0.25">
      <c r="N272" s="8">
        <v>-46</v>
      </c>
      <c r="O272" s="8">
        <f t="shared" si="36"/>
        <v>109.28926906480046</v>
      </c>
      <c r="P272" s="9">
        <f t="shared" si="37"/>
        <v>0</v>
      </c>
      <c r="Q272" s="10">
        <f t="shared" si="40"/>
        <v>4.0871938465984918</v>
      </c>
      <c r="R272" s="10">
        <f t="shared" si="41"/>
        <v>4.0871938465984918</v>
      </c>
      <c r="S272" s="9">
        <f t="shared" si="38"/>
        <v>0</v>
      </c>
      <c r="T272" s="10">
        <f t="shared" si="42"/>
        <v>4.0871938465984918</v>
      </c>
      <c r="U272" s="10">
        <f t="shared" si="39"/>
        <v>4.0871938465984918</v>
      </c>
      <c r="V272" s="8">
        <f t="shared" si="43"/>
        <v>-47.380594079450958</v>
      </c>
      <c r="W272" s="8">
        <f t="shared" si="44"/>
        <v>-47.380594079450958</v>
      </c>
    </row>
    <row r="273" spans="14:23" x14ac:dyDescent="0.25">
      <c r="N273" s="8">
        <v>-45.5</v>
      </c>
      <c r="O273" s="8">
        <f t="shared" si="36"/>
        <v>107.923964699501</v>
      </c>
      <c r="P273" s="9">
        <f t="shared" si="37"/>
        <v>0</v>
      </c>
      <c r="Q273" s="10">
        <f t="shared" si="40"/>
        <v>4.156105314688797</v>
      </c>
      <c r="R273" s="10">
        <f t="shared" si="41"/>
        <v>4.156105314688797</v>
      </c>
      <c r="S273" s="9">
        <f t="shared" si="38"/>
        <v>0</v>
      </c>
      <c r="T273" s="10">
        <f t="shared" si="42"/>
        <v>4.156105314688797</v>
      </c>
      <c r="U273" s="10">
        <f t="shared" si="39"/>
        <v>4.156105314688797</v>
      </c>
      <c r="V273" s="8">
        <f t="shared" si="43"/>
        <v>-47.943324695919706</v>
      </c>
      <c r="W273" s="8">
        <f t="shared" si="44"/>
        <v>-47.943324695919706</v>
      </c>
    </row>
    <row r="274" spans="14:23" x14ac:dyDescent="0.25">
      <c r="N274" s="8">
        <v>-45</v>
      </c>
      <c r="O274" s="8">
        <f t="shared" si="36"/>
        <v>106.56836148360202</v>
      </c>
      <c r="P274" s="9">
        <f t="shared" si="37"/>
        <v>0</v>
      </c>
      <c r="Q274" s="10">
        <f t="shared" si="40"/>
        <v>4.2265665891946727</v>
      </c>
      <c r="R274" s="10">
        <f t="shared" si="41"/>
        <v>4.2265665891946727</v>
      </c>
      <c r="S274" s="9">
        <f t="shared" si="38"/>
        <v>0</v>
      </c>
      <c r="T274" s="10">
        <f t="shared" si="42"/>
        <v>4.2265665891946727</v>
      </c>
      <c r="U274" s="10">
        <f t="shared" si="39"/>
        <v>4.2265665891946727</v>
      </c>
      <c r="V274" s="8">
        <f t="shared" si="43"/>
        <v>-48.511503545456229</v>
      </c>
      <c r="W274" s="8">
        <f t="shared" si="44"/>
        <v>-48.511503545456229</v>
      </c>
    </row>
    <row r="275" spans="14:23" x14ac:dyDescent="0.25">
      <c r="N275" s="8">
        <v>-44.5</v>
      </c>
      <c r="O275" s="8">
        <f t="shared" si="36"/>
        <v>105.22261537112593</v>
      </c>
      <c r="P275" s="9">
        <f t="shared" si="37"/>
        <v>0</v>
      </c>
      <c r="Q275" s="10">
        <f t="shared" si="40"/>
        <v>4.2986119984572779</v>
      </c>
      <c r="R275" s="10">
        <f t="shared" si="41"/>
        <v>4.2986119984572779</v>
      </c>
      <c r="S275" s="9">
        <f t="shared" si="38"/>
        <v>0</v>
      </c>
      <c r="T275" s="10">
        <f t="shared" si="42"/>
        <v>4.2986119984572779</v>
      </c>
      <c r="U275" s="10">
        <f t="shared" si="39"/>
        <v>4.2986119984572779</v>
      </c>
      <c r="V275" s="8">
        <f t="shared" si="43"/>
        <v>-49.085139842581079</v>
      </c>
      <c r="W275" s="8">
        <f t="shared" si="44"/>
        <v>-49.085139842581079</v>
      </c>
    </row>
    <row r="276" spans="14:23" x14ac:dyDescent="0.25">
      <c r="N276" s="8">
        <v>-44</v>
      </c>
      <c r="O276" s="8">
        <f t="shared" si="36"/>
        <v>103.8868814676558</v>
      </c>
      <c r="P276" s="9">
        <f t="shared" si="37"/>
        <v>0</v>
      </c>
      <c r="Q276" s="10">
        <f t="shared" si="40"/>
        <v>4.3722762670916007</v>
      </c>
      <c r="R276" s="10">
        <f t="shared" si="41"/>
        <v>4.3722762670916007</v>
      </c>
      <c r="S276" s="9">
        <f t="shared" si="38"/>
        <v>0</v>
      </c>
      <c r="T276" s="10">
        <f t="shared" si="42"/>
        <v>4.3722762670916007</v>
      </c>
      <c r="U276" s="10">
        <f t="shared" si="39"/>
        <v>4.3722762670916007</v>
      </c>
      <c r="V276" s="8">
        <f t="shared" si="43"/>
        <v>-49.664239814055826</v>
      </c>
      <c r="W276" s="8">
        <f t="shared" si="44"/>
        <v>-49.664239814055826</v>
      </c>
    </row>
    <row r="277" spans="14:23" x14ac:dyDescent="0.25">
      <c r="N277" s="8">
        <v>-43.5</v>
      </c>
      <c r="O277" s="8">
        <f t="shared" si="36"/>
        <v>102.56131400279187</v>
      </c>
      <c r="P277" s="9">
        <f t="shared" si="37"/>
        <v>0</v>
      </c>
      <c r="Q277" s="10">
        <f t="shared" si="40"/>
        <v>4.4475944818880748</v>
      </c>
      <c r="R277" s="10">
        <f t="shared" si="41"/>
        <v>4.4475944818880748</v>
      </c>
      <c r="S277" s="9">
        <f t="shared" si="38"/>
        <v>0</v>
      </c>
      <c r="T277" s="10">
        <f t="shared" si="42"/>
        <v>4.4475944818880748</v>
      </c>
      <c r="U277" s="10">
        <f t="shared" si="39"/>
        <v>4.4475944818880748</v>
      </c>
      <c r="V277" s="8">
        <f t="shared" si="43"/>
        <v>-50.248806499513449</v>
      </c>
      <c r="W277" s="8">
        <f t="shared" si="44"/>
        <v>-50.248806499513449</v>
      </c>
    </row>
    <row r="278" spans="14:23" x14ac:dyDescent="0.25">
      <c r="N278" s="8">
        <v>-43</v>
      </c>
      <c r="O278" s="8">
        <f t="shared" si="36"/>
        <v>101.2460663027986</v>
      </c>
      <c r="P278" s="9">
        <f t="shared" si="37"/>
        <v>0</v>
      </c>
      <c r="Q278" s="10">
        <f t="shared" si="40"/>
        <v>4.5246020534052294</v>
      </c>
      <c r="R278" s="10">
        <f t="shared" si="41"/>
        <v>4.5246020534052294</v>
      </c>
      <c r="S278" s="9">
        <f t="shared" si="38"/>
        <v>0</v>
      </c>
      <c r="T278" s="10">
        <f t="shared" si="42"/>
        <v>4.5246020534052294</v>
      </c>
      <c r="U278" s="10">
        <f t="shared" si="39"/>
        <v>4.5246020534052294</v>
      </c>
      <c r="V278" s="8">
        <f t="shared" si="43"/>
        <v>-50.838839542360056</v>
      </c>
      <c r="W278" s="8">
        <f t="shared" si="44"/>
        <v>-50.838839542360056</v>
      </c>
    </row>
    <row r="279" spans="14:23" x14ac:dyDescent="0.25">
      <c r="N279" s="8">
        <v>-42.5</v>
      </c>
      <c r="O279" s="8">
        <f t="shared" si="36"/>
        <v>99.94129076344538</v>
      </c>
      <c r="P279" s="9">
        <f t="shared" si="37"/>
        <v>0</v>
      </c>
      <c r="Q279" s="10">
        <f t="shared" si="40"/>
        <v>4.6033346729217515</v>
      </c>
      <c r="R279" s="10">
        <f t="shared" si="41"/>
        <v>4.6033346729217515</v>
      </c>
      <c r="S279" s="9">
        <f t="shared" si="38"/>
        <v>0</v>
      </c>
      <c r="T279" s="10">
        <f t="shared" si="42"/>
        <v>4.6033346729217515</v>
      </c>
      <c r="U279" s="10">
        <f t="shared" si="39"/>
        <v>4.6033346729217515</v>
      </c>
      <c r="V279" s="8">
        <f t="shared" si="43"/>
        <v>-51.434334970623823</v>
      </c>
      <c r="W279" s="8">
        <f t="shared" si="44"/>
        <v>-51.434334970623823</v>
      </c>
    </row>
    <row r="280" spans="14:23" x14ac:dyDescent="0.25">
      <c r="N280" s="8">
        <v>-42</v>
      </c>
      <c r="O280" s="8">
        <f t="shared" si="36"/>
        <v>98.64713882304946</v>
      </c>
      <c r="P280" s="9">
        <f t="shared" si="37"/>
        <v>0</v>
      </c>
      <c r="Q280" s="10">
        <f t="shared" si="40"/>
        <v>4.6838282643979383</v>
      </c>
      <c r="R280" s="10">
        <f t="shared" si="41"/>
        <v>4.6838282643979383</v>
      </c>
      <c r="S280" s="9">
        <f t="shared" si="38"/>
        <v>0</v>
      </c>
      <c r="T280" s="10">
        <f t="shared" si="42"/>
        <v>4.6838282643979383</v>
      </c>
      <c r="U280" s="10">
        <f t="shared" si="39"/>
        <v>4.6838282643979383</v>
      </c>
      <c r="V280" s="8">
        <f t="shared" si="43"/>
        <v>-52.035284967429092</v>
      </c>
      <c r="W280" s="8">
        <f t="shared" si="44"/>
        <v>-52.035284967429092</v>
      </c>
    </row>
    <row r="281" spans="14:23" x14ac:dyDescent="0.25">
      <c r="N281" s="8">
        <v>-41.5</v>
      </c>
      <c r="O281" s="8">
        <f t="shared" si="36"/>
        <v>97.363760935723491</v>
      </c>
      <c r="P281" s="9">
        <f t="shared" si="37"/>
        <v>0</v>
      </c>
      <c r="Q281" s="10">
        <f t="shared" si="40"/>
        <v>4.7661189310785605</v>
      </c>
      <c r="R281" s="10">
        <f t="shared" si="41"/>
        <v>4.7661189310785605</v>
      </c>
      <c r="S281" s="9">
        <f t="shared" si="38"/>
        <v>0</v>
      </c>
      <c r="T281" s="10">
        <f t="shared" si="42"/>
        <v>4.7661189310785605</v>
      </c>
      <c r="U281" s="10">
        <f t="shared" si="39"/>
        <v>4.7661189310785605</v>
      </c>
      <c r="V281" s="8">
        <f t="shared" si="43"/>
        <v>-52.641677630782723</v>
      </c>
      <c r="W281" s="8">
        <f t="shared" si="44"/>
        <v>-52.641677630782723</v>
      </c>
    </row>
    <row r="282" spans="14:23" x14ac:dyDescent="0.25">
      <c r="N282" s="8">
        <v>-41</v>
      </c>
      <c r="O282" s="8">
        <f t="shared" si="36"/>
        <v>96.091306544837835</v>
      </c>
      <c r="P282" s="9">
        <f t="shared" si="37"/>
        <v>0</v>
      </c>
      <c r="Q282" s="10">
        <f t="shared" si="40"/>
        <v>4.8502428963503164</v>
      </c>
      <c r="R282" s="10">
        <f t="shared" si="41"/>
        <v>4.8502428963503164</v>
      </c>
      <c r="S282" s="9">
        <f t="shared" si="38"/>
        <v>0</v>
      </c>
      <c r="T282" s="10">
        <f t="shared" si="42"/>
        <v>4.8502428963503164</v>
      </c>
      <c r="U282" s="10">
        <f t="shared" si="39"/>
        <v>4.8502428963503164</v>
      </c>
      <c r="V282" s="8">
        <f t="shared" si="43"/>
        <v>-53.253496722365576</v>
      </c>
      <c r="W282" s="8">
        <f t="shared" si="44"/>
        <v>-53.253496722365576</v>
      </c>
    </row>
    <row r="283" spans="14:23" x14ac:dyDescent="0.25">
      <c r="N283" s="8">
        <v>-40.5</v>
      </c>
      <c r="O283" s="8">
        <f t="shared" si="36"/>
        <v>94.829924056697536</v>
      </c>
      <c r="P283" s="9">
        <f t="shared" si="37"/>
        <v>0</v>
      </c>
      <c r="Q283" s="10">
        <f t="shared" si="40"/>
        <v>4.9362364384492903</v>
      </c>
      <c r="R283" s="10">
        <f t="shared" si="41"/>
        <v>4.9362364384492903</v>
      </c>
      <c r="S283" s="9">
        <f t="shared" si="38"/>
        <v>0</v>
      </c>
      <c r="T283" s="10">
        <f t="shared" si="42"/>
        <v>4.9362364384492903</v>
      </c>
      <c r="U283" s="10">
        <f t="shared" si="39"/>
        <v>4.9362364384492903</v>
      </c>
      <c r="V283" s="8">
        <f t="shared" si="43"/>
        <v>-53.870721405038736</v>
      </c>
      <c r="W283" s="8">
        <f t="shared" si="44"/>
        <v>-53.870721405038736</v>
      </c>
    </row>
    <row r="284" spans="14:23" x14ac:dyDescent="0.25">
      <c r="N284" s="8">
        <v>-40</v>
      </c>
      <c r="O284" s="8">
        <f t="shared" si="36"/>
        <v>93.579760814444271</v>
      </c>
      <c r="P284" s="9">
        <f t="shared" si="37"/>
        <v>0</v>
      </c>
      <c r="Q284" s="10">
        <f t="shared" si="40"/>
        <v>5.024135818595048</v>
      </c>
      <c r="R284" s="10">
        <f t="shared" si="41"/>
        <v>5.024135818595048</v>
      </c>
      <c r="S284" s="9">
        <f t="shared" si="38"/>
        <v>0</v>
      </c>
      <c r="T284" s="10">
        <f t="shared" si="42"/>
        <v>5.024135818595048</v>
      </c>
      <c r="U284" s="10">
        <f t="shared" si="39"/>
        <v>5.024135818595048</v>
      </c>
      <c r="V284" s="8">
        <f t="shared" si="43"/>
        <v>-54.493325968784539</v>
      </c>
      <c r="W284" s="8">
        <f t="shared" si="44"/>
        <v>-54.493325968784539</v>
      </c>
    </row>
    <row r="285" spans="14:23" x14ac:dyDescent="0.25">
      <c r="N285" s="8">
        <v>-39.5</v>
      </c>
      <c r="O285" s="8">
        <f t="shared" si="36"/>
        <v>92.340963072184366</v>
      </c>
      <c r="P285" s="9">
        <f t="shared" si="37"/>
        <v>0</v>
      </c>
      <c r="Q285" s="10">
        <f t="shared" si="40"/>
        <v>5.1139772021108811</v>
      </c>
      <c r="R285" s="10">
        <f t="shared" si="41"/>
        <v>5.1139772021108811</v>
      </c>
      <c r="S285" s="9">
        <f t="shared" si="38"/>
        <v>0</v>
      </c>
      <c r="T285" s="10">
        <f t="shared" si="42"/>
        <v>5.1139772021108811</v>
      </c>
      <c r="U285" s="10">
        <f t="shared" si="39"/>
        <v>5.1139772021108811</v>
      </c>
      <c r="V285" s="8">
        <f t="shared" si="43"/>
        <v>-55.121279544825853</v>
      </c>
      <c r="W285" s="8">
        <f t="shared" si="44"/>
        <v>-55.121279544825853</v>
      </c>
    </row>
    <row r="286" spans="14:23" x14ac:dyDescent="0.25">
      <c r="N286" s="8">
        <v>-39</v>
      </c>
      <c r="O286" s="8">
        <f t="shared" si="36"/>
        <v>91.113675969350993</v>
      </c>
      <c r="P286" s="9">
        <f t="shared" si="37"/>
        <v>0</v>
      </c>
      <c r="Q286" s="10">
        <f t="shared" si="40"/>
        <v>5.2057965720721358</v>
      </c>
      <c r="R286" s="10">
        <f t="shared" si="41"/>
        <v>5.2057965720721358</v>
      </c>
      <c r="S286" s="9">
        <f t="shared" si="38"/>
        <v>0</v>
      </c>
      <c r="T286" s="10">
        <f t="shared" si="42"/>
        <v>5.2057965720721358</v>
      </c>
      <c r="U286" s="10">
        <f t="shared" si="39"/>
        <v>5.2057965720721358</v>
      </c>
      <c r="V286" s="8">
        <f t="shared" si="43"/>
        <v>-55.754545807686497</v>
      </c>
      <c r="W286" s="8">
        <f t="shared" si="44"/>
        <v>-55.754545807686497</v>
      </c>
    </row>
    <row r="287" spans="14:23" x14ac:dyDescent="0.25">
      <c r="N287" s="8">
        <v>-38.5</v>
      </c>
      <c r="O287" s="8">
        <f t="shared" si="36"/>
        <v>89.898043505302738</v>
      </c>
      <c r="P287" s="9">
        <f t="shared" si="37"/>
        <v>0</v>
      </c>
      <c r="Q287" s="10">
        <f t="shared" si="40"/>
        <v>5.2996296350088352</v>
      </c>
      <c r="R287" s="10">
        <f t="shared" si="41"/>
        <v>5.2996296350088352</v>
      </c>
      <c r="S287" s="9">
        <f t="shared" si="38"/>
        <v>0</v>
      </c>
      <c r="T287" s="10">
        <f t="shared" si="42"/>
        <v>5.2996296350088352</v>
      </c>
      <c r="U287" s="10">
        <f t="shared" si="39"/>
        <v>5.2996296350088352</v>
      </c>
      <c r="V287" s="8">
        <f t="shared" si="43"/>
        <v>-56.393082664986046</v>
      </c>
      <c r="W287" s="8">
        <f t="shared" si="44"/>
        <v>-56.393082664986046</v>
      </c>
    </row>
    <row r="288" spans="14:23" x14ac:dyDescent="0.25">
      <c r="N288" s="8">
        <v>-38</v>
      </c>
      <c r="O288" s="8">
        <f t="shared" si="36"/>
        <v>88.694208514164657</v>
      </c>
      <c r="P288" s="9">
        <f t="shared" si="37"/>
        <v>0</v>
      </c>
      <c r="Q288" s="10">
        <f t="shared" si="40"/>
        <v>5.3955117181735694</v>
      </c>
      <c r="R288" s="10">
        <f t="shared" si="41"/>
        <v>5.3955117181735694</v>
      </c>
      <c r="S288" s="9">
        <f t="shared" si="38"/>
        <v>0</v>
      </c>
      <c r="T288" s="10">
        <f t="shared" si="42"/>
        <v>5.3955117181735694</v>
      </c>
      <c r="U288" s="10">
        <f t="shared" si="39"/>
        <v>5.3955117181735694</v>
      </c>
      <c r="V288" s="8">
        <f t="shared" si="43"/>
        <v>-57.036841934792491</v>
      </c>
      <c r="W288" s="8">
        <f t="shared" si="44"/>
        <v>-57.036841934792491</v>
      </c>
    </row>
    <row r="289" spans="14:23" x14ac:dyDescent="0.25">
      <c r="N289" s="8">
        <v>-37.5</v>
      </c>
      <c r="O289" s="8">
        <f t="shared" si="36"/>
        <v>87.502312639916454</v>
      </c>
      <c r="P289" s="9">
        <f t="shared" si="37"/>
        <v>0</v>
      </c>
      <c r="Q289" s="10">
        <f t="shared" si="40"/>
        <v>5.4934776578723703</v>
      </c>
      <c r="R289" s="10">
        <f t="shared" si="41"/>
        <v>5.4934776578723703</v>
      </c>
      <c r="S289" s="9">
        <f t="shared" si="38"/>
        <v>0</v>
      </c>
      <c r="T289" s="10">
        <f t="shared" si="42"/>
        <v>5.4934776578723703</v>
      </c>
      <c r="U289" s="10">
        <f t="shared" si="39"/>
        <v>5.4934776578723703</v>
      </c>
      <c r="V289" s="8">
        <f t="shared" si="43"/>
        <v>-57.685769010394573</v>
      </c>
      <c r="W289" s="8">
        <f t="shared" si="44"/>
        <v>-57.685769010394573</v>
      </c>
    </row>
    <row r="290" spans="14:23" x14ac:dyDescent="0.25">
      <c r="N290" s="8">
        <v>-37</v>
      </c>
      <c r="O290" s="8">
        <f t="shared" si="36"/>
        <v>86.322496311730845</v>
      </c>
      <c r="P290" s="9">
        <f t="shared" si="37"/>
        <v>0</v>
      </c>
      <c r="Q290" s="10">
        <f t="shared" si="40"/>
        <v>5.5935616783449866</v>
      </c>
      <c r="R290" s="10">
        <f t="shared" si="41"/>
        <v>5.5935616783449866</v>
      </c>
      <c r="S290" s="9">
        <f t="shared" si="38"/>
        <v>0</v>
      </c>
      <c r="T290" s="10">
        <f t="shared" si="42"/>
        <v>5.5935616783449866</v>
      </c>
      <c r="U290" s="10">
        <f t="shared" si="39"/>
        <v>5.5935616783449866</v>
      </c>
      <c r="V290" s="8">
        <f t="shared" si="43"/>
        <v>-58.339802512399842</v>
      </c>
      <c r="W290" s="8">
        <f t="shared" si="44"/>
        <v>-58.339802512399842</v>
      </c>
    </row>
    <row r="291" spans="14:23" x14ac:dyDescent="0.25">
      <c r="N291" s="8">
        <v>-36.5</v>
      </c>
      <c r="O291" s="8">
        <f t="shared" si="36"/>
        <v>85.154898719568052</v>
      </c>
      <c r="P291" s="9">
        <f t="shared" si="37"/>
        <v>0</v>
      </c>
      <c r="Q291" s="10">
        <f t="shared" si="40"/>
        <v>5.6957972606717471</v>
      </c>
      <c r="R291" s="10">
        <f t="shared" si="41"/>
        <v>5.6957972606717471</v>
      </c>
      <c r="S291" s="9">
        <f t="shared" si="38"/>
        <v>0</v>
      </c>
      <c r="T291" s="10">
        <f t="shared" si="42"/>
        <v>5.6957972606717471</v>
      </c>
      <c r="U291" s="10">
        <f t="shared" si="39"/>
        <v>5.6957972606717471</v>
      </c>
      <c r="V291" s="8">
        <f t="shared" si="43"/>
        <v>-58.998873928112715</v>
      </c>
      <c r="W291" s="8">
        <f t="shared" si="44"/>
        <v>-58.998873928112715</v>
      </c>
    </row>
    <row r="292" spans="14:23" x14ac:dyDescent="0.25">
      <c r="N292" s="8">
        <v>-36</v>
      </c>
      <c r="O292" s="8">
        <f t="shared" si="36"/>
        <v>83.999657790028593</v>
      </c>
      <c r="P292" s="9">
        <f t="shared" si="37"/>
        <v>0</v>
      </c>
      <c r="Q292" s="10">
        <f t="shared" si="40"/>
        <v>5.80021700117838</v>
      </c>
      <c r="R292" s="10">
        <f t="shared" si="41"/>
        <v>5.80021700117838</v>
      </c>
      <c r="S292" s="9">
        <f t="shared" si="38"/>
        <v>0</v>
      </c>
      <c r="T292" s="10">
        <f t="shared" si="42"/>
        <v>5.80021700117838</v>
      </c>
      <c r="U292" s="10">
        <f t="shared" si="39"/>
        <v>5.80021700117838</v>
      </c>
      <c r="V292" s="8">
        <f t="shared" si="43"/>
        <v>-59.662907238205648</v>
      </c>
      <c r="W292" s="8">
        <f t="shared" si="44"/>
        <v>-59.662907238205648</v>
      </c>
    </row>
    <row r="293" spans="14:23" x14ac:dyDescent="0.25">
      <c r="N293" s="8">
        <v>-35.5</v>
      </c>
      <c r="O293" s="8">
        <f t="shared" si="36"/>
        <v>82.856910162469958</v>
      </c>
      <c r="P293" s="9">
        <f t="shared" si="37"/>
        <v>0</v>
      </c>
      <c r="Q293" s="10">
        <f t="shared" si="40"/>
        <v>5.9068524588072222</v>
      </c>
      <c r="R293" s="10">
        <f t="shared" si="41"/>
        <v>5.9068524588072222</v>
      </c>
      <c r="S293" s="9">
        <f t="shared" si="38"/>
        <v>0</v>
      </c>
      <c r="T293" s="10">
        <f t="shared" si="42"/>
        <v>5.9068524588072222</v>
      </c>
      <c r="U293" s="10">
        <f t="shared" si="39"/>
        <v>5.9068524588072222</v>
      </c>
      <c r="V293" s="8">
        <f t="shared" si="43"/>
        <v>-60.331818530758781</v>
      </c>
      <c r="W293" s="8">
        <f t="shared" si="44"/>
        <v>-60.331818530758781</v>
      </c>
    </row>
    <row r="294" spans="14:23" x14ac:dyDescent="0.25">
      <c r="N294" s="8">
        <v>-35</v>
      </c>
      <c r="O294" s="8">
        <f t="shared" si="36"/>
        <v>81.726791165390409</v>
      </c>
      <c r="P294" s="9">
        <f t="shared" si="37"/>
        <v>0</v>
      </c>
      <c r="Q294" s="10">
        <f t="shared" si="40"/>
        <v>6.0157339909247796</v>
      </c>
      <c r="R294" s="10">
        <f t="shared" si="41"/>
        <v>6.0157339909247796</v>
      </c>
      <c r="S294" s="9">
        <f t="shared" si="38"/>
        <v>0</v>
      </c>
      <c r="T294" s="10">
        <f t="shared" si="42"/>
        <v>6.0157339909247796</v>
      </c>
      <c r="U294" s="10">
        <f t="shared" si="39"/>
        <v>6.0157339909247796</v>
      </c>
      <c r="V294" s="8">
        <f t="shared" si="43"/>
        <v>-61.005515602817049</v>
      </c>
      <c r="W294" s="8">
        <f t="shared" si="44"/>
        <v>-61.005515602817049</v>
      </c>
    </row>
    <row r="295" spans="14:23" x14ac:dyDescent="0.25">
      <c r="N295" s="8">
        <v>-34.5</v>
      </c>
      <c r="O295" s="8">
        <f t="shared" si="36"/>
        <v>80.609434793082983</v>
      </c>
      <c r="P295" s="9">
        <f t="shared" si="37"/>
        <v>0</v>
      </c>
      <c r="Q295" s="10">
        <f t="shared" si="40"/>
        <v>6.1268905770417605</v>
      </c>
      <c r="R295" s="10">
        <f t="shared" si="41"/>
        <v>6.1268905770417605</v>
      </c>
      <c r="S295" s="9">
        <f t="shared" si="38"/>
        <v>0</v>
      </c>
      <c r="T295" s="10">
        <f t="shared" si="42"/>
        <v>6.1268905770417605</v>
      </c>
      <c r="U295" s="10">
        <f t="shared" si="39"/>
        <v>6.1268905770417605</v>
      </c>
      <c r="V295" s="8">
        <f t="shared" si="43"/>
        <v>-61.683897549694755</v>
      </c>
      <c r="W295" s="8">
        <f t="shared" si="44"/>
        <v>-61.683897549694755</v>
      </c>
    </row>
    <row r="296" spans="14:23" x14ac:dyDescent="0.25">
      <c r="N296" s="8">
        <v>-34</v>
      </c>
      <c r="O296" s="8">
        <f t="shared" si="36"/>
        <v>79.504973682564</v>
      </c>
      <c r="P296" s="9">
        <f t="shared" si="37"/>
        <v>0</v>
      </c>
      <c r="Q296" s="10">
        <f t="shared" si="40"/>
        <v>6.2403496299330925</v>
      </c>
      <c r="R296" s="10">
        <f t="shared" si="41"/>
        <v>6.2403496299330925</v>
      </c>
      <c r="S296" s="9">
        <f t="shared" si="38"/>
        <v>0</v>
      </c>
      <c r="T296" s="10">
        <f t="shared" si="42"/>
        <v>6.2403496299330925</v>
      </c>
      <c r="U296" s="10">
        <f t="shared" si="39"/>
        <v>6.2403496299330925</v>
      </c>
      <c r="V296" s="8">
        <f t="shared" si="43"/>
        <v>-62.366854342347281</v>
      </c>
      <c r="W296" s="8">
        <f t="shared" si="44"/>
        <v>-62.366854342347281</v>
      </c>
    </row>
    <row r="297" spans="14:23" x14ac:dyDescent="0.25">
      <c r="N297" s="8">
        <v>-33.5</v>
      </c>
      <c r="O297" s="8">
        <f t="shared" si="36"/>
        <v>78.41353909077958</v>
      </c>
      <c r="P297" s="9">
        <f t="shared" si="37"/>
        <v>0</v>
      </c>
      <c r="Q297" s="10">
        <f t="shared" si="40"/>
        <v>6.3561367936632998</v>
      </c>
      <c r="R297" s="10">
        <f t="shared" si="41"/>
        <v>6.3561367936632998</v>
      </c>
      <c r="S297" s="9">
        <f t="shared" si="38"/>
        <v>0</v>
      </c>
      <c r="T297" s="10">
        <f t="shared" si="42"/>
        <v>6.3561367936632998</v>
      </c>
      <c r="U297" s="10">
        <f t="shared" si="39"/>
        <v>6.3561367936632998</v>
      </c>
      <c r="V297" s="8">
        <f t="shared" si="43"/>
        <v>-63.05426639323008</v>
      </c>
      <c r="W297" s="8">
        <f t="shared" si="44"/>
        <v>-63.05426639323008</v>
      </c>
    </row>
    <row r="298" spans="14:23" x14ac:dyDescent="0.25">
      <c r="N298" s="8">
        <v>-33</v>
      </c>
      <c r="O298" s="8">
        <f t="shared" si="36"/>
        <v>77.335260872092533</v>
      </c>
      <c r="P298" s="9">
        <f t="shared" si="37"/>
        <v>0</v>
      </c>
      <c r="Q298" s="10">
        <f t="shared" si="40"/>
        <v>6.474275728047596</v>
      </c>
      <c r="R298" s="10">
        <f t="shared" si="41"/>
        <v>6.474275728047596</v>
      </c>
      <c r="S298" s="9">
        <f t="shared" si="38"/>
        <v>0</v>
      </c>
      <c r="T298" s="10">
        <f t="shared" si="42"/>
        <v>6.474275728047596</v>
      </c>
      <c r="U298" s="10">
        <f t="shared" si="39"/>
        <v>6.474275728047596</v>
      </c>
      <c r="V298" s="8">
        <f t="shared" si="43"/>
        <v>-63.746004111176603</v>
      </c>
      <c r="W298" s="8">
        <f t="shared" si="44"/>
        <v>-63.746004111176603</v>
      </c>
    </row>
    <row r="299" spans="14:23" x14ac:dyDescent="0.25">
      <c r="N299" s="8">
        <v>-32.5</v>
      </c>
      <c r="O299" s="8">
        <f t="shared" si="36"/>
        <v>76.270267456053915</v>
      </c>
      <c r="P299" s="9">
        <f t="shared" si="37"/>
        <v>0</v>
      </c>
      <c r="Q299" s="10">
        <f t="shared" si="40"/>
        <v>6.5947878791117649</v>
      </c>
      <c r="R299" s="10">
        <f t="shared" si="41"/>
        <v>6.5947878791117649</v>
      </c>
      <c r="S299" s="9">
        <f t="shared" si="38"/>
        <v>0</v>
      </c>
      <c r="T299" s="10">
        <f t="shared" si="42"/>
        <v>6.5947878791117649</v>
      </c>
      <c r="U299" s="10">
        <f t="shared" si="39"/>
        <v>6.5947878791117649</v>
      </c>
      <c r="V299" s="8">
        <f t="shared" si="43"/>
        <v>-64.441927445947329</v>
      </c>
      <c r="W299" s="8">
        <f t="shared" si="44"/>
        <v>-64.441927445947329</v>
      </c>
    </row>
    <row r="300" spans="14:23" x14ac:dyDescent="0.25">
      <c r="N300" s="8">
        <v>-32</v>
      </c>
      <c r="O300" s="8">
        <f t="shared" si="36"/>
        <v>75.218685825461137</v>
      </c>
      <c r="P300" s="9">
        <f t="shared" si="37"/>
        <v>0</v>
      </c>
      <c r="Q300" s="10">
        <f t="shared" si="40"/>
        <v>6.7176922351560417</v>
      </c>
      <c r="R300" s="10">
        <f t="shared" si="41"/>
        <v>6.7176922351560417</v>
      </c>
      <c r="S300" s="9">
        <f t="shared" si="38"/>
        <v>0</v>
      </c>
      <c r="T300" s="10">
        <f t="shared" si="42"/>
        <v>6.7176922351560417</v>
      </c>
      <c r="U300" s="10">
        <f t="shared" si="39"/>
        <v>6.7176922351560417</v>
      </c>
      <c r="V300" s="8">
        <f t="shared" si="43"/>
        <v>-65.141885423237113</v>
      </c>
      <c r="W300" s="8">
        <f t="shared" si="44"/>
        <v>-65.141885423237113</v>
      </c>
    </row>
    <row r="301" spans="14:23" x14ac:dyDescent="0.25">
      <c r="N301" s="8">
        <v>-31.5</v>
      </c>
      <c r="O301" s="8">
        <f t="shared" si="36"/>
        <v>74.180641494706833</v>
      </c>
      <c r="P301" s="9">
        <f t="shared" si="37"/>
        <v>0</v>
      </c>
      <c r="Q301" s="10">
        <f t="shared" si="40"/>
        <v>6.8430050680798962</v>
      </c>
      <c r="R301" s="10">
        <f t="shared" si="41"/>
        <v>6.8430050680798962</v>
      </c>
      <c r="S301" s="9">
        <f t="shared" si="38"/>
        <v>0</v>
      </c>
      <c r="T301" s="10">
        <f t="shared" si="42"/>
        <v>6.8430050680798962</v>
      </c>
      <c r="U301" s="10">
        <f t="shared" si="39"/>
        <v>6.8430050680798962</v>
      </c>
      <c r="V301" s="8">
        <f t="shared" si="43"/>
        <v>-65.845715671072071</v>
      </c>
      <c r="W301" s="8">
        <f t="shared" si="44"/>
        <v>-65.845715671072071</v>
      </c>
    </row>
    <row r="302" spans="14:23" x14ac:dyDescent="0.25">
      <c r="N302" s="8">
        <v>-31</v>
      </c>
      <c r="O302" s="8">
        <f t="shared" si="36"/>
        <v>73.156258488420306</v>
      </c>
      <c r="P302" s="9">
        <f t="shared" si="37"/>
        <v>0</v>
      </c>
      <c r="Q302" s="10">
        <f t="shared" si="40"/>
        <v>6.9707396596879816</v>
      </c>
      <c r="R302" s="10">
        <f t="shared" si="41"/>
        <v>6.9707396596879816</v>
      </c>
      <c r="S302" s="9">
        <f t="shared" si="38"/>
        <v>0</v>
      </c>
      <c r="T302" s="10">
        <f t="shared" si="42"/>
        <v>6.9707396596879816</v>
      </c>
      <c r="U302" s="10">
        <f t="shared" si="39"/>
        <v>6.9707396596879816</v>
      </c>
      <c r="V302" s="8">
        <f t="shared" si="43"/>
        <v>-66.553243938687345</v>
      </c>
      <c r="W302" s="8">
        <f t="shared" si="44"/>
        <v>-66.553243938687345</v>
      </c>
    </row>
    <row r="303" spans="14:23" x14ac:dyDescent="0.25">
      <c r="N303" s="8">
        <v>-30.5</v>
      </c>
      <c r="O303" s="8">
        <f t="shared" si="36"/>
        <v>72.145659320404988</v>
      </c>
      <c r="P303" s="9">
        <f t="shared" si="37"/>
        <v>0</v>
      </c>
      <c r="Q303" s="10">
        <f t="shared" si="40"/>
        <v>7.1009060127726942</v>
      </c>
      <c r="R303" s="10">
        <f t="shared" si="41"/>
        <v>7.1009060127726942</v>
      </c>
      <c r="S303" s="9">
        <f t="shared" si="38"/>
        <v>0</v>
      </c>
      <c r="T303" s="10">
        <f t="shared" si="42"/>
        <v>7.1009060127726942</v>
      </c>
      <c r="U303" s="10">
        <f t="shared" si="39"/>
        <v>7.1009060127726942</v>
      </c>
      <c r="V303" s="8">
        <f t="shared" si="43"/>
        <v>-67.2642836091471</v>
      </c>
      <c r="W303" s="8">
        <f t="shared" si="44"/>
        <v>-67.2642836091471</v>
      </c>
    </row>
    <row r="304" spans="14:23" x14ac:dyDescent="0.25">
      <c r="N304" s="8">
        <v>-30</v>
      </c>
      <c r="O304" s="8">
        <f t="shared" si="36"/>
        <v>71.148964972872875</v>
      </c>
      <c r="P304" s="9">
        <f t="shared" si="37"/>
        <v>0</v>
      </c>
      <c r="Q304" s="10">
        <f t="shared" si="40"/>
        <v>7.2335105468578709</v>
      </c>
      <c r="R304" s="10">
        <f t="shared" si="41"/>
        <v>7.2335105468578709</v>
      </c>
      <c r="S304" s="9">
        <f t="shared" si="38"/>
        <v>0</v>
      </c>
      <c r="T304" s="10">
        <f t="shared" si="42"/>
        <v>7.2335105468578709</v>
      </c>
      <c r="U304" s="10">
        <f t="shared" si="39"/>
        <v>7.2335105468578709</v>
      </c>
      <c r="V304" s="8">
        <f t="shared" si="43"/>
        <v>-67.978635207154824</v>
      </c>
      <c r="W304" s="8">
        <f t="shared" si="44"/>
        <v>-67.978635207154824</v>
      </c>
    </row>
    <row r="305" spans="14:23" x14ac:dyDescent="0.25">
      <c r="N305" s="8">
        <v>-29.5</v>
      </c>
      <c r="O305" s="8">
        <f t="shared" si="36"/>
        <v>70.166294875981407</v>
      </c>
      <c r="P305" s="9">
        <f t="shared" si="37"/>
        <v>0</v>
      </c>
      <c r="Q305" s="10">
        <f t="shared" si="40"/>
        <v>7.3685557785910527</v>
      </c>
      <c r="R305" s="10">
        <f t="shared" si="41"/>
        <v>7.3685557785910527</v>
      </c>
      <c r="S305" s="9">
        <f t="shared" si="38"/>
        <v>0</v>
      </c>
      <c r="T305" s="10">
        <f t="shared" si="42"/>
        <v>7.3685557785910527</v>
      </c>
      <c r="U305" s="10">
        <f t="shared" si="39"/>
        <v>7.3685557785910527</v>
      </c>
      <c r="V305" s="8">
        <f t="shared" si="43"/>
        <v>-68.696085903697053</v>
      </c>
      <c r="W305" s="8">
        <f t="shared" si="44"/>
        <v>-68.696085903697053</v>
      </c>
    </row>
    <row r="306" spans="14:23" x14ac:dyDescent="0.25">
      <c r="N306" s="8">
        <v>-29</v>
      </c>
      <c r="O306" s="8">
        <f t="shared" si="36"/>
        <v>69.19776688767196</v>
      </c>
      <c r="P306" s="9">
        <f t="shared" si="37"/>
        <v>0</v>
      </c>
      <c r="Q306" s="10">
        <f t="shared" si="40"/>
        <v>7.5060399868917722</v>
      </c>
      <c r="R306" s="10">
        <f t="shared" si="41"/>
        <v>7.5060399868917722</v>
      </c>
      <c r="S306" s="9">
        <f t="shared" si="38"/>
        <v>0</v>
      </c>
      <c r="T306" s="10">
        <f t="shared" si="42"/>
        <v>7.5060399868917722</v>
      </c>
      <c r="U306" s="10">
        <f t="shared" si="39"/>
        <v>7.5060399868917722</v>
      </c>
      <c r="V306" s="8">
        <f t="shared" si="43"/>
        <v>-69.416409019380012</v>
      </c>
      <c r="W306" s="8">
        <f t="shared" si="44"/>
        <v>-69.416409019380012</v>
      </c>
    </row>
    <row r="307" spans="14:23" x14ac:dyDescent="0.25">
      <c r="N307" s="8">
        <v>-28.5</v>
      </c>
      <c r="O307" s="8">
        <f t="shared" si="36"/>
        <v>68.243497273814683</v>
      </c>
      <c r="P307" s="9">
        <f t="shared" si="37"/>
        <v>0</v>
      </c>
      <c r="Q307" s="10">
        <f t="shared" si="40"/>
        <v>7.6459568630988599</v>
      </c>
      <c r="R307" s="10">
        <f t="shared" si="41"/>
        <v>7.6459568630988599</v>
      </c>
      <c r="S307" s="9">
        <f t="shared" si="38"/>
        <v>0</v>
      </c>
      <c r="T307" s="10">
        <f t="shared" si="42"/>
        <v>7.6459568630988599</v>
      </c>
      <c r="U307" s="10">
        <f t="shared" si="39"/>
        <v>7.6459568630988599</v>
      </c>
      <c r="V307" s="8">
        <f t="shared" si="43"/>
        <v>-70.139363528540372</v>
      </c>
      <c r="W307" s="8">
        <f t="shared" si="44"/>
        <v>-70.139363528540372</v>
      </c>
    </row>
    <row r="308" spans="14:23" x14ac:dyDescent="0.25">
      <c r="N308" s="8">
        <v>-28</v>
      </c>
      <c r="O308" s="8">
        <f t="shared" si="36"/>
        <v>67.303600688659884</v>
      </c>
      <c r="P308" s="9">
        <f t="shared" si="37"/>
        <v>0</v>
      </c>
      <c r="Q308" s="10">
        <f t="shared" si="40"/>
        <v>7.7882951465147201</v>
      </c>
      <c r="R308" s="10">
        <f t="shared" si="41"/>
        <v>7.7882951465147201</v>
      </c>
      <c r="S308" s="9">
        <f t="shared" si="38"/>
        <v>0</v>
      </c>
      <c r="T308" s="10">
        <f t="shared" si="42"/>
        <v>7.7882951465147201</v>
      </c>
      <c r="U308" s="10">
        <f t="shared" si="39"/>
        <v>7.7882951465147201</v>
      </c>
      <c r="V308" s="8">
        <f t="shared" si="43"/>
        <v>-70.864693566453084</v>
      </c>
      <c r="W308" s="8">
        <f t="shared" si="44"/>
        <v>-70.864693566453084</v>
      </c>
    </row>
    <row r="309" spans="14:23" x14ac:dyDescent="0.25">
      <c r="N309" s="8">
        <v>-27.5</v>
      </c>
      <c r="O309" s="8">
        <f t="shared" si="36"/>
        <v>66.378190155599896</v>
      </c>
      <c r="P309" s="9">
        <f t="shared" si="37"/>
        <v>0</v>
      </c>
      <c r="Q309" s="10">
        <f t="shared" si="40"/>
        <v>7.9330382459174604</v>
      </c>
      <c r="R309" s="10">
        <f t="shared" si="41"/>
        <v>7.9330382459174604</v>
      </c>
      <c r="S309" s="9">
        <f t="shared" si="38"/>
        <v>0</v>
      </c>
      <c r="T309" s="10">
        <f t="shared" si="42"/>
        <v>7.9330382459174604</v>
      </c>
      <c r="U309" s="10">
        <f t="shared" si="39"/>
        <v>7.9330382459174604</v>
      </c>
      <c r="V309" s="8">
        <f t="shared" si="43"/>
        <v>-71.592127942208307</v>
      </c>
      <c r="W309" s="8">
        <f t="shared" si="44"/>
        <v>-71.592127942208307</v>
      </c>
    </row>
    <row r="310" spans="14:23" x14ac:dyDescent="0.25">
      <c r="N310" s="8">
        <v>-27</v>
      </c>
      <c r="O310" s="8">
        <f t="shared" si="36"/>
        <v>65.467377048241474</v>
      </c>
      <c r="P310" s="9">
        <f t="shared" si="37"/>
        <v>0</v>
      </c>
      <c r="Q310" s="10">
        <f t="shared" si="40"/>
        <v>8.080163847805947</v>
      </c>
      <c r="R310" s="10">
        <f t="shared" si="41"/>
        <v>8.080163847805947</v>
      </c>
      <c r="S310" s="9">
        <f t="shared" si="38"/>
        <v>0</v>
      </c>
      <c r="T310" s="10">
        <f t="shared" si="42"/>
        <v>8.080163847805947</v>
      </c>
      <c r="U310" s="10">
        <f t="shared" si="39"/>
        <v>8.080163847805947</v>
      </c>
      <c r="V310" s="8">
        <f t="shared" si="43"/>
        <v>-72.321379660095431</v>
      </c>
      <c r="W310" s="8">
        <f t="shared" si="44"/>
        <v>-72.321379660095431</v>
      </c>
    </row>
    <row r="311" spans="14:23" x14ac:dyDescent="0.25">
      <c r="N311" s="8">
        <v>-26.5</v>
      </c>
      <c r="O311" s="8">
        <f t="shared" si="36"/>
        <v>64.571271071792694</v>
      </c>
      <c r="P311" s="9">
        <f t="shared" si="37"/>
        <v>0</v>
      </c>
      <c r="Q311" s="10">
        <f t="shared" si="40"/>
        <v>8.2296435123565956</v>
      </c>
      <c r="R311" s="10">
        <f t="shared" si="41"/>
        <v>8.2296435123565956</v>
      </c>
      <c r="S311" s="9">
        <f t="shared" si="38"/>
        <v>1.1063397047372803E-6</v>
      </c>
      <c r="T311" s="10">
        <f t="shared" si="42"/>
        <v>8.22966541137232</v>
      </c>
      <c r="U311" s="10">
        <f t="shared" si="39"/>
        <v>8.22966541137232</v>
      </c>
      <c r="V311" s="8">
        <f t="shared" si="43"/>
        <v>-73.052145452603924</v>
      </c>
      <c r="W311" s="8">
        <f t="shared" si="44"/>
        <v>-73.052146433795869</v>
      </c>
    </row>
    <row r="312" spans="14:23" x14ac:dyDescent="0.25">
      <c r="N312" s="8">
        <v>-26</v>
      </c>
      <c r="O312" s="8">
        <f t="shared" si="36"/>
        <v>63.689980244764335</v>
      </c>
      <c r="P312" s="9">
        <f t="shared" si="37"/>
        <v>0</v>
      </c>
      <c r="Q312" s="10">
        <f t="shared" si="40"/>
        <v>8.381442258307171</v>
      </c>
      <c r="R312" s="10">
        <f t="shared" si="41"/>
        <v>8.381442258307171</v>
      </c>
      <c r="S312" s="9">
        <f t="shared" si="38"/>
        <v>2.0979270382137649E-5</v>
      </c>
      <c r="T312" s="10">
        <f t="shared" si="42"/>
        <v>8.381863379475174</v>
      </c>
      <c r="U312" s="10">
        <f t="shared" si="39"/>
        <v>8.381863379475174</v>
      </c>
      <c r="V312" s="8">
        <f t="shared" si="43"/>
        <v>-73.784105328437292</v>
      </c>
      <c r="W312" s="8">
        <f t="shared" si="44"/>
        <v>-73.784125831110444</v>
      </c>
    </row>
    <row r="313" spans="14:23" x14ac:dyDescent="0.25">
      <c r="N313" s="8">
        <v>-25.5</v>
      </c>
      <c r="O313" s="8">
        <f t="shared" si="36"/>
        <v>62.823610880988248</v>
      </c>
      <c r="P313" s="9">
        <f t="shared" si="37"/>
        <v>0</v>
      </c>
      <c r="Q313" s="10">
        <f t="shared" si="40"/>
        <v>8.5355181382400183</v>
      </c>
      <c r="R313" s="10">
        <f t="shared" si="41"/>
        <v>8.5355181382400183</v>
      </c>
      <c r="S313" s="9">
        <f t="shared" si="38"/>
        <v>9.0019269348484698E-5</v>
      </c>
      <c r="T313" s="10">
        <f t="shared" si="42"/>
        <v>8.5373516638451559</v>
      </c>
      <c r="U313" s="10">
        <f t="shared" si="39"/>
        <v>8.5373516638451559</v>
      </c>
      <c r="V313" s="8">
        <f t="shared" si="43"/>
        <v>-74.516922139226381</v>
      </c>
      <c r="W313" s="8">
        <f t="shared" si="44"/>
        <v>-74.517040309744061</v>
      </c>
    </row>
    <row r="314" spans="14:23" x14ac:dyDescent="0.25">
      <c r="N314" s="8">
        <v>-25</v>
      </c>
      <c r="O314" s="8">
        <f t="shared" si="36"/>
        <v>61.972267571954617</v>
      </c>
      <c r="P314" s="9">
        <f t="shared" si="37"/>
        <v>0</v>
      </c>
      <c r="Q314" s="10">
        <f t="shared" si="40"/>
        <v>8.6918218060164509</v>
      </c>
      <c r="R314" s="10">
        <f t="shared" si="41"/>
        <v>8.6918218060164509</v>
      </c>
      <c r="S314" s="9">
        <f t="shared" si="38"/>
        <v>2.3894095746990196E-4</v>
      </c>
      <c r="T314" s="10">
        <f t="shared" si="42"/>
        <v>8.6967605186711854</v>
      </c>
      <c r="U314" s="10">
        <f t="shared" si="39"/>
        <v>8.6967605186711854</v>
      </c>
      <c r="V314" s="8">
        <f t="shared" si="43"/>
        <v>-75.250241168925911</v>
      </c>
      <c r="W314" s="8">
        <f t="shared" si="44"/>
        <v>-75.250647614430079</v>
      </c>
    </row>
    <row r="315" spans="14:23" x14ac:dyDescent="0.25">
      <c r="N315" s="8">
        <v>-24.5</v>
      </c>
      <c r="O315" s="8">
        <f t="shared" si="36"/>
        <v>61.136053169468923</v>
      </c>
      <c r="P315" s="9">
        <f t="shared" si="37"/>
        <v>0</v>
      </c>
      <c r="Q315" s="10">
        <f t="shared" si="40"/>
        <v>8.8502960784148286</v>
      </c>
      <c r="R315" s="10">
        <f t="shared" si="41"/>
        <v>8.8502960784148286</v>
      </c>
      <c r="S315" s="9">
        <f t="shared" si="38"/>
        <v>4.9842547189649089E-4</v>
      </c>
      <c r="T315" s="10">
        <f t="shared" si="42"/>
        <v>8.8607502467155204</v>
      </c>
      <c r="U315" s="10">
        <f t="shared" si="39"/>
        <v>8.8607502467155204</v>
      </c>
      <c r="V315" s="8">
        <f t="shared" si="43"/>
        <v>-75.983689750179082</v>
      </c>
      <c r="W315" s="8">
        <f t="shared" si="44"/>
        <v>-75.984739783120773</v>
      </c>
    </row>
    <row r="316" spans="14:23" x14ac:dyDescent="0.25">
      <c r="N316" s="8">
        <v>-24</v>
      </c>
      <c r="O316" s="8">
        <f t="shared" si="36"/>
        <v>60.315068768630567</v>
      </c>
      <c r="P316" s="9">
        <f t="shared" si="37"/>
        <v>0</v>
      </c>
      <c r="Q316" s="10">
        <f t="shared" si="40"/>
        <v>9.0108754933457398</v>
      </c>
      <c r="R316" s="10">
        <f t="shared" si="41"/>
        <v>9.0108754933457398</v>
      </c>
      <c r="S316" s="9">
        <f t="shared" si="38"/>
        <v>8.9909122810327702E-4</v>
      </c>
      <c r="T316" s="10">
        <f t="shared" si="42"/>
        <v>9.0300109359682281</v>
      </c>
      <c r="U316" s="10">
        <f t="shared" si="39"/>
        <v>9.0300109359682281</v>
      </c>
      <c r="V316" s="8">
        <f t="shared" si="43"/>
        <v>-76.716876912234724</v>
      </c>
      <c r="W316" s="8">
        <f t="shared" si="44"/>
        <v>-76.719141575626153</v>
      </c>
    </row>
    <row r="317" spans="14:23" x14ac:dyDescent="0.25">
      <c r="N317" s="8">
        <v>-23.5</v>
      </c>
      <c r="O317" s="8">
        <f t="shared" si="36"/>
        <v>59.509413691134604</v>
      </c>
      <c r="P317" s="9">
        <f t="shared" si="37"/>
        <v>0</v>
      </c>
      <c r="Q317" s="10">
        <f t="shared" si="40"/>
        <v>9.173485867358151</v>
      </c>
      <c r="R317" s="10">
        <f t="shared" si="41"/>
        <v>9.173485867358151</v>
      </c>
      <c r="S317" s="9">
        <f t="shared" si="38"/>
        <v>1.4714553080121817E-3</v>
      </c>
      <c r="T317" s="10">
        <f t="shared" si="42"/>
        <v>9.2052618214531456</v>
      </c>
      <c r="U317" s="10">
        <f t="shared" si="39"/>
        <v>9.2052618214531456</v>
      </c>
      <c r="V317" s="8">
        <f t="shared" si="43"/>
        <v>-77.449393065298352</v>
      </c>
      <c r="W317" s="8">
        <f t="shared" si="44"/>
        <v>-77.453708579953172</v>
      </c>
    </row>
    <row r="318" spans="14:23" x14ac:dyDescent="0.25">
      <c r="N318" s="8">
        <v>-23</v>
      </c>
      <c r="O318" s="8">
        <f t="shared" si="36"/>
        <v>58.719185468897166</v>
      </c>
      <c r="P318" s="9">
        <f t="shared" si="37"/>
        <v>0</v>
      </c>
      <c r="Q318" s="10">
        <f t="shared" si="40"/>
        <v>9.3380438555080385</v>
      </c>
      <c r="R318" s="10">
        <f t="shared" si="41"/>
        <v>9.3380438555080385</v>
      </c>
      <c r="S318" s="9">
        <f t="shared" si="38"/>
        <v>2.2458855446901849E-3</v>
      </c>
      <c r="T318" s="10">
        <f t="shared" si="42"/>
        <v>9.3872502370621564</v>
      </c>
      <c r="U318" s="10">
        <f t="shared" si="39"/>
        <v>9.3872502370621564</v>
      </c>
      <c r="V318" s="8">
        <f t="shared" si="43"/>
        <v>-78.18080972648815</v>
      </c>
      <c r="W318" s="8">
        <f t="shared" si="44"/>
        <v>-78.188324967499611</v>
      </c>
    </row>
    <row r="319" spans="14:23" x14ac:dyDescent="0.25">
      <c r="N319" s="8">
        <v>-22.5</v>
      </c>
      <c r="O319" s="8">
        <f t="shared" si="36"/>
        <v>57.94447982800736</v>
      </c>
      <c r="P319" s="9">
        <f t="shared" si="37"/>
        <v>1.1063397047372803E-6</v>
      </c>
      <c r="Q319" s="10">
        <f t="shared" si="40"/>
        <v>9.5044809266756776</v>
      </c>
      <c r="R319" s="10">
        <f t="shared" si="41"/>
        <v>9.5044565170328568</v>
      </c>
      <c r="S319" s="9">
        <f t="shared" si="38"/>
        <v>3.2525434111949636E-3</v>
      </c>
      <c r="T319" s="10">
        <f t="shared" si="42"/>
        <v>9.5767501223397122</v>
      </c>
      <c r="U319" s="10">
        <f t="shared" si="39"/>
        <v>9.5767501223397122</v>
      </c>
      <c r="V319" s="8">
        <f t="shared" si="43"/>
        <v>-78.910680238356335</v>
      </c>
      <c r="W319" s="8">
        <f t="shared" si="44"/>
        <v>-78.922900870112855</v>
      </c>
    </row>
    <row r="320" spans="14:23" x14ac:dyDescent="0.25">
      <c r="N320" s="8">
        <v>-22</v>
      </c>
      <c r="O320" s="8">
        <f t="shared" si="36"/>
        <v>57.185390673004434</v>
      </c>
      <c r="P320" s="9">
        <f t="shared" si="37"/>
        <v>2.0979270382137649E-5</v>
      </c>
      <c r="Q320" s="10">
        <f t="shared" si="40"/>
        <v>9.6730900384594172</v>
      </c>
      <c r="R320" s="10">
        <f t="shared" si="41"/>
        <v>9.6726208906595392</v>
      </c>
      <c r="S320" s="9">
        <f t="shared" si="38"/>
        <v>4.5213178660201692E-3</v>
      </c>
      <c r="T320" s="10">
        <f t="shared" si="42"/>
        <v>9.7745600497929157</v>
      </c>
      <c r="U320" s="10">
        <f t="shared" si="39"/>
        <v>9.7745600497929157</v>
      </c>
      <c r="V320" s="8">
        <f t="shared" si="43"/>
        <v>-79.638554545302981</v>
      </c>
      <c r="W320" s="8">
        <f t="shared" si="44"/>
        <v>-79.657369354451035</v>
      </c>
    </row>
    <row r="321" spans="14:23" x14ac:dyDescent="0.25">
      <c r="N321" s="8">
        <v>-21.5</v>
      </c>
      <c r="O321" s="8">
        <f t="shared" si="36"/>
        <v>56.442010071483978</v>
      </c>
      <c r="P321" s="9">
        <f t="shared" si="37"/>
        <v>9.0019269348484698E-5</v>
      </c>
      <c r="Q321" s="10">
        <f t="shared" si="40"/>
        <v>9.8444649296246087</v>
      </c>
      <c r="R321" s="10">
        <f t="shared" si="41"/>
        <v>9.8424235837635088</v>
      </c>
      <c r="S321" s="9">
        <f t="shared" si="38"/>
        <v>6.0817503600422151E-3</v>
      </c>
      <c r="T321" s="10">
        <f t="shared" si="42"/>
        <v>9.9815007396426125</v>
      </c>
      <c r="U321" s="10">
        <f t="shared" si="39"/>
        <v>9.9815007396426125</v>
      </c>
      <c r="V321" s="8">
        <f t="shared" si="43"/>
        <v>-80.364003132922122</v>
      </c>
      <c r="W321" s="8">
        <f t="shared" si="44"/>
        <v>-80.391682972117295</v>
      </c>
    </row>
    <row r="322" spans="14:23" x14ac:dyDescent="0.25">
      <c r="N322" s="8">
        <v>-21</v>
      </c>
      <c r="O322" s="8">
        <f t="shared" si="36"/>
        <v>55.71442823903179</v>
      </c>
      <c r="P322" s="9">
        <f t="shared" si="37"/>
        <v>2.3894095746990196E-4</v>
      </c>
      <c r="Q322" s="10">
        <f t="shared" si="40"/>
        <v>10.019235023104711</v>
      </c>
      <c r="R322" s="10">
        <f t="shared" si="41"/>
        <v>10.013740379990242</v>
      </c>
      <c r="S322" s="9">
        <f t="shared" si="38"/>
        <v>7.9629512696117732E-3</v>
      </c>
      <c r="T322" s="10">
        <f t="shared" si="42"/>
        <v>10.198412031043979</v>
      </c>
      <c r="U322" s="10">
        <f t="shared" si="39"/>
        <v>10.198412031043979</v>
      </c>
      <c r="V322" s="8">
        <f t="shared" si="43"/>
        <v>-81.086626493466483</v>
      </c>
      <c r="W322" s="8">
        <f t="shared" si="44"/>
        <v>-81.125809867738369</v>
      </c>
    </row>
    <row r="323" spans="14:23" x14ac:dyDescent="0.25">
      <c r="N323" s="8">
        <v>-20.5</v>
      </c>
      <c r="O323" s="8">
        <f t="shared" si="36"/>
        <v>55.002733524488413</v>
      </c>
      <c r="P323" s="9">
        <f t="shared" si="37"/>
        <v>4.9842547189649089E-4</v>
      </c>
      <c r="Q323" s="10">
        <f t="shared" si="40"/>
        <v>10.198057880394828</v>
      </c>
      <c r="R323" s="10">
        <f t="shared" si="41"/>
        <v>10.186435870339222</v>
      </c>
      <c r="S323" s="9">
        <f t="shared" si="38"/>
        <v>1.0193508087048553E-2</v>
      </c>
      <c r="T323" s="10">
        <f t="shared" si="42"/>
        <v>10.426149281765335</v>
      </c>
      <c r="U323" s="10">
        <f t="shared" si="39"/>
        <v>10.426149281765335</v>
      </c>
      <c r="V323" s="8">
        <f t="shared" si="43"/>
        <v>-81.806053518556283</v>
      </c>
      <c r="W323" s="8">
        <f t="shared" si="44"/>
        <v>-81.859729431543485</v>
      </c>
    </row>
    <row r="324" spans="14:23" x14ac:dyDescent="0.25">
      <c r="N324" s="8">
        <v>-20</v>
      </c>
      <c r="O324" s="8">
        <f t="shared" ref="O324:O387" si="45">$B$30+PI()/4*($B$5/10)^2*($B$31+$B$7/10-$B$31*COS(RADIANS(N324))-SQRT(($B$7/10)^2-($B$31*SIN(RADIANS(N324)))^2))</f>
        <v>54.307012395543978</v>
      </c>
      <c r="P324" s="9">
        <f t="shared" ref="P324:P387" si="46">IF(N324&gt;$B$36,1-EXP(-$B$16*((N324-$B$36)/$B$35)^($B$17+1)),0)</f>
        <v>8.9909122810327702E-4</v>
      </c>
      <c r="Q324" s="10">
        <f t="shared" si="40"/>
        <v>10.381618344254658</v>
      </c>
      <c r="R324" s="10">
        <f t="shared" si="41"/>
        <v>10.360363113089631</v>
      </c>
      <c r="S324" s="9">
        <f t="shared" ref="S324:S387" si="47">IF(N324&lt;=$B$38,IF(N324&gt;$B$37,1-EXP(-$B$16*((N324-$B$37)/$B$35)^($B$17+1)),0),$B$22+(1-$B$22)*(1-EXP(-(N324-$B$38)/$B$23)))</f>
        <v>1.2801385772809981E-2</v>
      </c>
      <c r="T324" s="10">
        <f t="shared" si="42"/>
        <v>10.665579172200108</v>
      </c>
      <c r="U324" s="10">
        <f t="shared" ref="U324:U387" si="48">T324+IF(N324&gt;$B$38,$B$24*EXP(-(N324-$B$38)/$B$26)*SIN(2*PI()*(N324-$B$38)/$B$39),0)</f>
        <v>10.665579172200108</v>
      </c>
      <c r="V324" s="8">
        <f t="shared" si="43"/>
        <v>-82.521939297372484</v>
      </c>
      <c r="W324" s="8">
        <f t="shared" si="44"/>
        <v>-82.593427488112596</v>
      </c>
    </row>
    <row r="325" spans="14:23" x14ac:dyDescent="0.25">
      <c r="N325" s="8">
        <v>-19.5</v>
      </c>
      <c r="O325" s="8">
        <f t="shared" si="45"/>
        <v>53.627349424664189</v>
      </c>
      <c r="P325" s="9">
        <f t="shared" si="46"/>
        <v>1.4714553080121817E-3</v>
      </c>
      <c r="Q325" s="10">
        <f t="shared" ref="Q325:Q388" si="49">Q324*(O324/O325)^$B$9+10*($B$9-1)*$B$33*(P325-P324)/((O324+O325)/2)</f>
        <v>10.570627228018875</v>
      </c>
      <c r="R325" s="10">
        <f t="shared" ref="R325:R388" si="50">R324*(O324/O325)^$B$9</f>
        <v>10.535363328307028</v>
      </c>
      <c r="S325" s="9">
        <f t="shared" si="47"/>
        <v>1.5813819752394043E-2</v>
      </c>
      <c r="T325" s="10">
        <f t="shared" ref="T325:T388" si="51">T324*(O324/O325)^$B$9+10*($B$9-1)*$B$33*(S325-S324)/((O324+O325)/2)</f>
        <v>10.917574894462016</v>
      </c>
      <c r="U325" s="10">
        <f t="shared" si="48"/>
        <v>10.917574894462016</v>
      </c>
      <c r="V325" s="8">
        <f t="shared" ref="V325:V388" si="52">V324+(Q324+Q325)/2*(O325-O324)/10</f>
        <v>-83.233962570985199</v>
      </c>
      <c r="W325" s="8">
        <f t="shared" ref="W325:W388" si="53">W324+(T324+T325)/2*(O325-O324)/10</f>
        <v>-83.326891018807785</v>
      </c>
    </row>
    <row r="326" spans="14:23" x14ac:dyDescent="0.25">
      <c r="N326" s="8">
        <v>-19</v>
      </c>
      <c r="O326" s="8">
        <f t="shared" si="45"/>
        <v>52.963827275349018</v>
      </c>
      <c r="P326" s="9">
        <f t="shared" si="46"/>
        <v>2.2458855446901849E-3</v>
      </c>
      <c r="Q326" s="10">
        <f t="shared" si="49"/>
        <v>10.765819516603242</v>
      </c>
      <c r="R326" s="10">
        <f t="shared" si="50"/>
        <v>10.711265633003194</v>
      </c>
      <c r="S326" s="9">
        <f t="shared" si="47"/>
        <v>1.9257202124868256E-2</v>
      </c>
      <c r="T326" s="10">
        <f t="shared" si="51"/>
        <v>11.183010713234278</v>
      </c>
      <c r="U326" s="10">
        <f t="shared" si="48"/>
        <v>11.183010713234278</v>
      </c>
      <c r="V326" s="8">
        <f t="shared" si="52"/>
        <v>-83.941822821122216</v>
      </c>
      <c r="W326" s="8">
        <f t="shared" si="53"/>
        <v>-84.060102421984908</v>
      </c>
    </row>
    <row r="327" spans="14:23" x14ac:dyDescent="0.25">
      <c r="N327" s="8">
        <v>-18.5</v>
      </c>
      <c r="O327" s="8">
        <f t="shared" si="45"/>
        <v>52.316526688724785</v>
      </c>
      <c r="P327" s="9">
        <f t="shared" si="46"/>
        <v>3.2525434111949636E-3</v>
      </c>
      <c r="Q327" s="10">
        <f t="shared" si="49"/>
        <v>10.96795204601537</v>
      </c>
      <c r="R327" s="10">
        <f t="shared" si="50"/>
        <v>10.887886823317414</v>
      </c>
      <c r="S327" s="9">
        <f t="shared" si="47"/>
        <v>2.315696173793802E-2</v>
      </c>
      <c r="T327" s="10">
        <f t="shared" si="51"/>
        <v>11.462755892050154</v>
      </c>
      <c r="U327" s="10">
        <f t="shared" si="48"/>
        <v>11.462755892050154</v>
      </c>
      <c r="V327" s="8">
        <f t="shared" si="52"/>
        <v>-84.645236975224222</v>
      </c>
      <c r="W327" s="8">
        <f t="shared" si="53"/>
        <v>-84.793033322392716</v>
      </c>
    </row>
    <row r="328" spans="14:23" x14ac:dyDescent="0.25">
      <c r="N328" s="8">
        <v>-18</v>
      </c>
      <c r="O328" s="8">
        <f t="shared" si="45"/>
        <v>51.685526470469313</v>
      </c>
      <c r="P328" s="9">
        <f t="shared" si="46"/>
        <v>4.5213178660201692E-3</v>
      </c>
      <c r="Q328" s="10">
        <f t="shared" si="49"/>
        <v>11.177800630774877</v>
      </c>
      <c r="R328" s="10">
        <f t="shared" si="50"/>
        <v>11.065031210336159</v>
      </c>
      <c r="S328" s="9">
        <f t="shared" si="47"/>
        <v>2.7537438875685272E-2</v>
      </c>
      <c r="T328" s="10">
        <f t="shared" si="51"/>
        <v>11.757667986796507</v>
      </c>
      <c r="U328" s="10">
        <f t="shared" si="48"/>
        <v>11.757667986796507</v>
      </c>
      <c r="V328" s="8">
        <f t="shared" si="52"/>
        <v>-85.343935713848538</v>
      </c>
      <c r="W328" s="8">
        <f t="shared" si="53"/>
        <v>-85.525637949169564</v>
      </c>
    </row>
    <row r="329" spans="14:23" x14ac:dyDescent="0.25">
      <c r="N329" s="8">
        <v>-17.5</v>
      </c>
      <c r="O329" s="8">
        <f t="shared" si="45"/>
        <v>51.07090347807209</v>
      </c>
      <c r="P329" s="9">
        <f t="shared" si="46"/>
        <v>6.0817503600422151E-3</v>
      </c>
      <c r="Q329" s="10">
        <f t="shared" si="49"/>
        <v>11.396156612197132</v>
      </c>
      <c r="R329" s="10">
        <f t="shared" si="50"/>
        <v>11.242490516356877</v>
      </c>
      <c r="S329" s="9">
        <f t="shared" si="47"/>
        <v>3.2421755398387653E-2</v>
      </c>
      <c r="T329" s="10">
        <f t="shared" si="51"/>
        <v>12.068585517451776</v>
      </c>
      <c r="U329" s="10">
        <f t="shared" si="48"/>
        <v>12.068585517451776</v>
      </c>
      <c r="V329" s="8">
        <f t="shared" si="52"/>
        <v>-86.037659371394653</v>
      </c>
      <c r="W329" s="8">
        <f t="shared" si="53"/>
        <v>-86.257846110489353</v>
      </c>
    </row>
    <row r="330" spans="14:23" x14ac:dyDescent="0.25">
      <c r="N330" s="8">
        <v>-17</v>
      </c>
      <c r="O330" s="8">
        <f t="shared" si="45"/>
        <v>50.472732608428991</v>
      </c>
      <c r="P330" s="9">
        <f t="shared" si="46"/>
        <v>7.9629512696117732E-3</v>
      </c>
      <c r="Q330" s="10">
        <f t="shared" si="49"/>
        <v>11.623822805071502</v>
      </c>
      <c r="R330" s="10">
        <f t="shared" si="50"/>
        <v>11.420043838520682</v>
      </c>
      <c r="S330" s="9">
        <f t="shared" si="47"/>
        <v>3.7831681267927242E-2</v>
      </c>
      <c r="T330" s="10">
        <f t="shared" si="51"/>
        <v>12.396320039370092</v>
      </c>
      <c r="U330" s="10">
        <f t="shared" si="48"/>
        <v>12.396320039370092</v>
      </c>
      <c r="V330" s="8">
        <f t="shared" si="52"/>
        <v>-86.726153426754337</v>
      </c>
      <c r="W330" s="8">
        <f t="shared" si="53"/>
        <v>-86.989555802122368</v>
      </c>
    </row>
    <row r="331" spans="14:23" x14ac:dyDescent="0.25">
      <c r="N331" s="8">
        <v>-16.5</v>
      </c>
      <c r="O331" s="8">
        <f t="shared" si="45"/>
        <v>49.891086785773403</v>
      </c>
      <c r="P331" s="9">
        <f t="shared" si="46"/>
        <v>1.0193508087048553E-2</v>
      </c>
      <c r="Q331" s="10">
        <f t="shared" si="49"/>
        <v>11.861608825924817</v>
      </c>
      <c r="R331" s="10">
        <f t="shared" si="50"/>
        <v>11.597457686773055</v>
      </c>
      <c r="S331" s="9">
        <f t="shared" si="47"/>
        <v>4.3787498485814536E-2</v>
      </c>
      <c r="T331" s="10">
        <f t="shared" si="51"/>
        <v>12.741647646743226</v>
      </c>
      <c r="U331" s="10">
        <f t="shared" si="48"/>
        <v>12.741647646743226</v>
      </c>
      <c r="V331" s="8">
        <f t="shared" si="52"/>
        <v>-87.409163586825954</v>
      </c>
      <c r="W331" s="8">
        <f t="shared" si="53"/>
        <v>-87.720625496856314</v>
      </c>
    </row>
    <row r="332" spans="14:23" x14ac:dyDescent="0.25">
      <c r="N332" s="8">
        <v>-16</v>
      </c>
      <c r="O332" s="8">
        <f t="shared" si="45"/>
        <v>49.32603694994269</v>
      </c>
      <c r="P332" s="9">
        <f t="shared" si="46"/>
        <v>1.2801385772809981E-2</v>
      </c>
      <c r="Q332" s="10">
        <f t="shared" si="49"/>
        <v>12.110325792848352</v>
      </c>
      <c r="R332" s="10">
        <f t="shared" si="50"/>
        <v>11.774486103051757</v>
      </c>
      <c r="S332" s="9">
        <f t="shared" si="47"/>
        <v>5.0307863562291444E-2</v>
      </c>
      <c r="T332" s="10">
        <f t="shared" si="51"/>
        <v>13.105299953122366</v>
      </c>
      <c r="U332" s="10">
        <f t="shared" si="48"/>
        <v>13.105299953122366</v>
      </c>
      <c r="V332" s="8">
        <f t="shared" si="52"/>
        <v>-88.086430472870077</v>
      </c>
      <c r="W332" s="8">
        <f t="shared" si="53"/>
        <v>-88.450866171757767</v>
      </c>
    </row>
    <row r="333" spans="14:23" x14ac:dyDescent="0.25">
      <c r="N333" s="8">
        <v>-15.5</v>
      </c>
      <c r="O333" s="8">
        <f t="shared" si="45"/>
        <v>48.777652044981323</v>
      </c>
      <c r="P333" s="9">
        <f t="shared" si="46"/>
        <v>1.5813819752394043E-2</v>
      </c>
      <c r="Q333" s="10">
        <f t="shared" si="49"/>
        <v>12.370780394800377</v>
      </c>
      <c r="R333" s="10">
        <f t="shared" si="50"/>
        <v>11.950870868431339</v>
      </c>
      <c r="S333" s="9">
        <f t="shared" si="47"/>
        <v>5.7409669722715995E-2</v>
      </c>
      <c r="T333" s="10">
        <f t="shared" si="51"/>
        <v>13.487954606929421</v>
      </c>
      <c r="U333" s="10">
        <f t="shared" si="48"/>
        <v>13.487954606929421</v>
      </c>
      <c r="V333" s="8">
        <f t="shared" si="52"/>
        <v>-88.757683927373222</v>
      </c>
      <c r="W333" s="8">
        <f t="shared" si="53"/>
        <v>-89.180033140484142</v>
      </c>
    </row>
    <row r="334" spans="14:23" x14ac:dyDescent="0.25">
      <c r="N334" s="8">
        <v>-15</v>
      </c>
      <c r="O334" s="8">
        <f t="shared" si="45"/>
        <v>48.245999008082009</v>
      </c>
      <c r="P334" s="9">
        <f t="shared" si="46"/>
        <v>1.9257202124868256E-2</v>
      </c>
      <c r="Q334" s="10">
        <f t="shared" si="49"/>
        <v>12.643768337374041</v>
      </c>
      <c r="R334" s="10">
        <f t="shared" si="50"/>
        <v>12.126341804664458</v>
      </c>
      <c r="S334" s="9">
        <f t="shared" si="47"/>
        <v>6.5107910139761693E-2</v>
      </c>
      <c r="T334" s="10">
        <f t="shared" si="51"/>
        <v>13.890225413564966</v>
      </c>
      <c r="U334" s="10">
        <f t="shared" si="48"/>
        <v>13.890225413564966</v>
      </c>
      <c r="V334" s="8">
        <f t="shared" si="52"/>
        <v>-89.422636967379546</v>
      </c>
      <c r="W334" s="8">
        <f t="shared" si="53"/>
        <v>-89.907817768117738</v>
      </c>
    </row>
    <row r="335" spans="14:23" x14ac:dyDescent="0.25">
      <c r="N335" s="8">
        <v>-14.5</v>
      </c>
      <c r="O335" s="8">
        <f t="shared" si="45"/>
        <v>47.731142758863214</v>
      </c>
      <c r="P335" s="9">
        <f t="shared" si="46"/>
        <v>2.315696173793802E-2</v>
      </c>
      <c r="Q335" s="10">
        <f t="shared" si="49"/>
        <v>12.930067182209228</v>
      </c>
      <c r="R335" s="10">
        <f t="shared" si="50"/>
        <v>12.300617176140848</v>
      </c>
      <c r="S335" s="9">
        <f t="shared" si="47"/>
        <v>7.3415543555099383E-2</v>
      </c>
      <c r="T335" s="10">
        <f t="shared" si="51"/>
        <v>14.312652149815625</v>
      </c>
      <c r="U335" s="10">
        <f t="shared" si="48"/>
        <v>14.312652149815625</v>
      </c>
      <c r="V335" s="8">
        <f t="shared" si="52"/>
        <v>-90.080979419067091</v>
      </c>
      <c r="W335" s="8">
        <f t="shared" si="53"/>
        <v>-90.633839156090687</v>
      </c>
    </row>
    <row r="336" spans="14:23" x14ac:dyDescent="0.25">
      <c r="N336" s="8">
        <v>-14</v>
      </c>
      <c r="O336" s="8">
        <f t="shared" si="45"/>
        <v>47.233146188985231</v>
      </c>
      <c r="P336" s="9">
        <f t="shared" si="46"/>
        <v>2.7537438875685272E-2</v>
      </c>
      <c r="Q336" s="10">
        <f t="shared" si="49"/>
        <v>13.23042860845711</v>
      </c>
      <c r="R336" s="10">
        <f t="shared" si="50"/>
        <v>12.473404197722738</v>
      </c>
      <c r="S336" s="9">
        <f t="shared" si="47"/>
        <v>8.2343363720332352E-2</v>
      </c>
      <c r="T336" s="10">
        <f t="shared" si="51"/>
        <v>14.755690170520289</v>
      </c>
      <c r="U336" s="10">
        <f t="shared" si="48"/>
        <v>14.755690170520289</v>
      </c>
      <c r="V336" s="8">
        <f t="shared" si="52"/>
        <v>-90.732371277570053</v>
      </c>
      <c r="W336" s="8">
        <f t="shared" si="53"/>
        <v>-91.357635894468999</v>
      </c>
    </row>
    <row r="337" spans="14:23" x14ac:dyDescent="0.25">
      <c r="N337" s="8">
        <v>-13.5</v>
      </c>
      <c r="O337" s="8">
        <f t="shared" si="45"/>
        <v>46.752070152104189</v>
      </c>
      <c r="P337" s="9">
        <f t="shared" si="46"/>
        <v>3.2421755398387653E-2</v>
      </c>
      <c r="Q337" s="10">
        <f t="shared" si="49"/>
        <v>13.545570136877433</v>
      </c>
      <c r="R337" s="10">
        <f t="shared" si="50"/>
        <v>12.644399653207032</v>
      </c>
      <c r="S337" s="9">
        <f t="shared" si="47"/>
        <v>9.1899874142160942E-2</v>
      </c>
      <c r="T337" s="10">
        <f t="shared" si="51"/>
        <v>15.219699921580983</v>
      </c>
      <c r="U337" s="10">
        <f t="shared" si="48"/>
        <v>15.219699921580983</v>
      </c>
      <c r="V337" s="8">
        <f t="shared" si="52"/>
        <v>-91.376435845566917</v>
      </c>
      <c r="W337" s="8">
        <f t="shared" si="53"/>
        <v>-92.078657987942563</v>
      </c>
    </row>
    <row r="338" spans="14:23" x14ac:dyDescent="0.25">
      <c r="N338" s="8">
        <v>-13</v>
      </c>
      <c r="O338" s="8">
        <f t="shared" si="45"/>
        <v>46.287973454164913</v>
      </c>
      <c r="P338" s="9">
        <f t="shared" si="46"/>
        <v>3.7831681267927242E-2</v>
      </c>
      <c r="Q338" s="10">
        <f t="shared" si="49"/>
        <v>13.876166370113967</v>
      </c>
      <c r="R338" s="10">
        <f t="shared" si="50"/>
        <v>12.813290628301043</v>
      </c>
      <c r="S338" s="9">
        <f t="shared" si="47"/>
        <v>0.10209116965919829</v>
      </c>
      <c r="T338" s="10">
        <f t="shared" si="51"/>
        <v>15.704936487061389</v>
      </c>
      <c r="U338" s="10">
        <f t="shared" si="48"/>
        <v>15.704936487061389</v>
      </c>
      <c r="V338" s="8">
        <f t="shared" si="52"/>
        <v>-92.012752713799699</v>
      </c>
      <c r="W338" s="8">
        <f t="shared" si="53"/>
        <v>-92.79625907005375</v>
      </c>
    </row>
    <row r="339" spans="14:23" x14ac:dyDescent="0.25">
      <c r="N339" s="8">
        <v>-12.5</v>
      </c>
      <c r="O339" s="8">
        <f t="shared" si="45"/>
        <v>45.840912844032012</v>
      </c>
      <c r="P339" s="9">
        <f t="shared" si="46"/>
        <v>4.3787498485814536E-2</v>
      </c>
      <c r="Q339" s="10">
        <f t="shared" si="49"/>
        <v>14.222839816268865</v>
      </c>
      <c r="R339" s="10">
        <f t="shared" si="50"/>
        <v>12.97975536097953</v>
      </c>
      <c r="S339" s="9">
        <f t="shared" si="47"/>
        <v>0.11292082640573153</v>
      </c>
      <c r="T339" s="10">
        <f t="shared" si="51"/>
        <v>16.211539310937056</v>
      </c>
      <c r="U339" s="10">
        <f t="shared" si="48"/>
        <v>16.211539310937056</v>
      </c>
      <c r="V339" s="8">
        <f t="shared" si="52"/>
        <v>-92.640850656290326</v>
      </c>
      <c r="W339" s="8">
        <f t="shared" si="53"/>
        <v>-93.509689027231005</v>
      </c>
    </row>
    <row r="340" spans="14:23" x14ac:dyDescent="0.25">
      <c r="N340" s="8">
        <v>-12</v>
      </c>
      <c r="O340" s="8">
        <f t="shared" si="45"/>
        <v>45.410943004461309</v>
      </c>
      <c r="P340" s="9">
        <f t="shared" si="46"/>
        <v>5.0307863562291444E-2</v>
      </c>
      <c r="Q340" s="10">
        <f t="shared" si="49"/>
        <v>14.586151376850291</v>
      </c>
      <c r="R340" s="10">
        <f t="shared" si="50"/>
        <v>13.143464210914832</v>
      </c>
      <c r="S340" s="9">
        <f t="shared" si="47"/>
        <v>0.12438980172926639</v>
      </c>
      <c r="T340" s="10">
        <f t="shared" si="51"/>
        <v>16.73952224564416</v>
      </c>
      <c r="U340" s="10">
        <f t="shared" si="48"/>
        <v>16.73952224564416</v>
      </c>
      <c r="V340" s="8">
        <f t="shared" si="52"/>
        <v>-93.260200522365281</v>
      </c>
      <c r="W340" s="8">
        <f t="shared" si="53"/>
        <v>-94.218087159789377</v>
      </c>
    </row>
    <row r="341" spans="14:23" x14ac:dyDescent="0.25">
      <c r="N341" s="8">
        <v>-11.5</v>
      </c>
      <c r="O341" s="8">
        <f t="shared" si="45"/>
        <v>44.998116543409012</v>
      </c>
      <c r="P341" s="9">
        <f t="shared" si="46"/>
        <v>5.7409669722715995E-2</v>
      </c>
      <c r="Q341" s="10">
        <f t="shared" si="49"/>
        <v>14.9665905942321</v>
      </c>
      <c r="R341" s="10">
        <f t="shared" si="50"/>
        <v>13.304080748347879</v>
      </c>
      <c r="S341" s="9">
        <f t="shared" si="47"/>
        <v>0.13649634562228641</v>
      </c>
      <c r="T341" s="10">
        <f t="shared" si="51"/>
        <v>17.288764089503751</v>
      </c>
      <c r="U341" s="10">
        <f t="shared" si="48"/>
        <v>17.288764089503751</v>
      </c>
      <c r="V341" s="8">
        <f t="shared" si="52"/>
        <v>-93.870208216480961</v>
      </c>
      <c r="W341" s="8">
        <f t="shared" si="53"/>
        <v>-94.920476010960044</v>
      </c>
    </row>
    <row r="342" spans="14:23" x14ac:dyDescent="0.25">
      <c r="N342" s="8">
        <v>-11</v>
      </c>
      <c r="O342" s="8">
        <f t="shared" si="45"/>
        <v>44.602483985681587</v>
      </c>
      <c r="P342" s="9">
        <f t="shared" si="46"/>
        <v>6.5107910139761693E-2</v>
      </c>
      <c r="Q342" s="10">
        <f t="shared" si="49"/>
        <v>15.364565767619599</v>
      </c>
      <c r="R342" s="10">
        <f t="shared" si="50"/>
        <v>13.461262961297823</v>
      </c>
      <c r="S342" s="9">
        <f t="shared" si="47"/>
        <v>0.14923592520282525</v>
      </c>
      <c r="T342" s="10">
        <f t="shared" si="51"/>
        <v>17.858999782937481</v>
      </c>
      <c r="U342" s="10">
        <f t="shared" si="48"/>
        <v>17.858999782937481</v>
      </c>
      <c r="V342" s="8">
        <f t="shared" si="52"/>
        <v>-94.47020786499445</v>
      </c>
      <c r="W342" s="8">
        <f t="shared" si="53"/>
        <v>-95.615755996922715</v>
      </c>
    </row>
    <row r="343" spans="14:23" x14ac:dyDescent="0.25">
      <c r="N343" s="8">
        <v>-10.5</v>
      </c>
      <c r="O343" s="8">
        <f t="shared" si="45"/>
        <v>44.22409376492547</v>
      </c>
      <c r="P343" s="9">
        <f t="shared" si="46"/>
        <v>7.3415543555099383E-2</v>
      </c>
      <c r="Q343" s="10">
        <f t="shared" si="49"/>
        <v>15.780394059820624</v>
      </c>
      <c r="R343" s="10">
        <f t="shared" si="50"/>
        <v>13.614664578413283</v>
      </c>
      <c r="S343" s="9">
        <f t="shared" si="47"/>
        <v>0.16260116373191502</v>
      </c>
      <c r="T343" s="10">
        <f t="shared" si="51"/>
        <v>18.449812438719324</v>
      </c>
      <c r="U343" s="10">
        <f t="shared" si="48"/>
        <v>18.449812438719324</v>
      </c>
      <c r="V343" s="8">
        <f t="shared" si="52"/>
        <v>-95.059455276221726</v>
      </c>
      <c r="W343" s="8">
        <f t="shared" si="53"/>
        <v>-96.302700970519965</v>
      </c>
    </row>
    <row r="344" spans="14:23" x14ac:dyDescent="0.25">
      <c r="N344" s="8">
        <v>-10</v>
      </c>
      <c r="O344" s="8">
        <f t="shared" si="45"/>
        <v>43.862992215956048</v>
      </c>
      <c r="P344" s="9">
        <f t="shared" si="46"/>
        <v>8.2343363720332352E-2</v>
      </c>
      <c r="Q344" s="10">
        <f t="shared" si="49"/>
        <v>16.214291729490363</v>
      </c>
      <c r="R344" s="10">
        <f t="shared" si="50"/>
        <v>13.763936503061698</v>
      </c>
      <c r="S344" s="9">
        <f t="shared" si="47"/>
        <v>0.17658179558771447</v>
      </c>
      <c r="T344" s="10">
        <f t="shared" si="51"/>
        <v>19.060626383906662</v>
      </c>
      <c r="U344" s="10">
        <f t="shared" si="48"/>
        <v>19.060626383906662</v>
      </c>
      <c r="V344" s="8">
        <f t="shared" si="52"/>
        <v>-95.637121806087237</v>
      </c>
      <c r="W344" s="8">
        <f t="shared" si="53"/>
        <v>-96.979954848588619</v>
      </c>
    </row>
    <row r="345" spans="14:23" x14ac:dyDescent="0.25">
      <c r="N345" s="8">
        <v>-9.5</v>
      </c>
      <c r="O345" s="8">
        <f t="shared" si="45"/>
        <v>43.519223567427247</v>
      </c>
      <c r="P345" s="9">
        <f t="shared" si="46"/>
        <v>9.1899874142160942E-2</v>
      </c>
      <c r="Q345" s="10">
        <f t="shared" si="49"/>
        <v>16.666364634549268</v>
      </c>
      <c r="R345" s="10">
        <f t="shared" si="50"/>
        <v>13.908728352459104</v>
      </c>
      <c r="S345" s="9">
        <f t="shared" si="47"/>
        <v>0.19116463852537602</v>
      </c>
      <c r="T345" s="10">
        <f t="shared" si="51"/>
        <v>19.690701390181886</v>
      </c>
      <c r="U345" s="10">
        <f t="shared" si="48"/>
        <v>19.690701390181886</v>
      </c>
      <c r="V345" s="8">
        <f t="shared" si="52"/>
        <v>-96.202288746137526</v>
      </c>
      <c r="W345" s="8">
        <f t="shared" si="53"/>
        <v>-97.646029427468363</v>
      </c>
    </row>
    <row r="346" spans="14:23" x14ac:dyDescent="0.25">
      <c r="N346" s="8">
        <v>-9</v>
      </c>
      <c r="O346" s="8">
        <f t="shared" si="45"/>
        <v>43.192829934841086</v>
      </c>
      <c r="P346" s="9">
        <f t="shared" si="46"/>
        <v>0.10209116965919829</v>
      </c>
      <c r="Q346" s="10">
        <f t="shared" si="49"/>
        <v>17.136599161752223</v>
      </c>
      <c r="R346" s="10">
        <f t="shared" si="50"/>
        <v>14.04869009379118</v>
      </c>
      <c r="S346" s="9">
        <f t="shared" si="47"/>
        <v>0.20633358443808392</v>
      </c>
      <c r="T346" s="10">
        <f t="shared" si="51"/>
        <v>20.339128264781664</v>
      </c>
      <c r="U346" s="10">
        <f t="shared" si="48"/>
        <v>20.339128264781664</v>
      </c>
      <c r="V346" s="8">
        <f t="shared" si="52"/>
        <v>-96.753942353420186</v>
      </c>
      <c r="W346" s="8">
        <f t="shared" si="53"/>
        <v>-98.299303503112796</v>
      </c>
    </row>
    <row r="347" spans="14:23" x14ac:dyDescent="0.25">
      <c r="N347" s="8">
        <v>-8.5</v>
      </c>
      <c r="O347" s="8">
        <f t="shared" si="45"/>
        <v>42.883851313898198</v>
      </c>
      <c r="P347" s="9">
        <f t="shared" si="46"/>
        <v>0.11292082640573153</v>
      </c>
      <c r="Q347" s="10">
        <f t="shared" si="49"/>
        <v>17.624853744492839</v>
      </c>
      <c r="R347" s="10">
        <f t="shared" si="50"/>
        <v>14.183473767397132</v>
      </c>
      <c r="S347" s="9">
        <f t="shared" si="47"/>
        <v>0.22206960969810607</v>
      </c>
      <c r="T347" s="10">
        <f t="shared" si="51"/>
        <v>21.00482596572045</v>
      </c>
      <c r="U347" s="10">
        <f t="shared" si="48"/>
        <v>21.00482596572045</v>
      </c>
      <c r="V347" s="8">
        <f t="shared" si="52"/>
        <v>-97.290969642467317</v>
      </c>
      <c r="W347" s="8">
        <f t="shared" si="53"/>
        <v>-98.938023401236123</v>
      </c>
    </row>
    <row r="348" spans="14:23" x14ac:dyDescent="0.25">
      <c r="N348" s="8">
        <v>-8</v>
      </c>
      <c r="O348" s="8">
        <f t="shared" si="45"/>
        <v>42.59232557418833</v>
      </c>
      <c r="P348" s="9">
        <f t="shared" si="46"/>
        <v>0.12438980172926639</v>
      </c>
      <c r="Q348" s="10">
        <f t="shared" si="49"/>
        <v>18.130851135457235</v>
      </c>
      <c r="R348" s="10">
        <f t="shared" si="50"/>
        <v>14.312735285220532</v>
      </c>
      <c r="S348" s="9">
        <f t="shared" si="47"/>
        <v>0.23835080599750624</v>
      </c>
      <c r="T348" s="10">
        <f t="shared" si="51"/>
        <v>21.68654039244387</v>
      </c>
      <c r="U348" s="10">
        <f t="shared" si="48"/>
        <v>21.68654039244387</v>
      </c>
      <c r="V348" s="8">
        <f t="shared" si="52"/>
        <v>-97.812155058166084</v>
      </c>
      <c r="W348" s="8">
        <f t="shared" si="53"/>
        <v>-99.560305009075563</v>
      </c>
    </row>
    <row r="349" spans="14:23" x14ac:dyDescent="0.25">
      <c r="N349" s="8">
        <v>-7.5</v>
      </c>
      <c r="O349" s="8">
        <f t="shared" si="45"/>
        <v>42.318288453221349</v>
      </c>
      <c r="P349" s="9">
        <f t="shared" si="46"/>
        <v>0.13649634562228641</v>
      </c>
      <c r="Q349" s="10">
        <f t="shared" si="49"/>
        <v>18.654171602315209</v>
      </c>
      <c r="R349" s="10">
        <f t="shared" si="50"/>
        <v>14.436136290913105</v>
      </c>
      <c r="S349" s="9">
        <f t="shared" si="47"/>
        <v>0.25515243242712293</v>
      </c>
      <c r="T349" s="10">
        <f t="shared" si="51"/>
        <v>22.382844986280848</v>
      </c>
      <c r="U349" s="10">
        <f t="shared" si="48"/>
        <v>22.382844986280848</v>
      </c>
      <c r="V349" s="8">
        <f t="shared" si="52"/>
        <v>-98.316178144454284</v>
      </c>
      <c r="W349" s="8">
        <f t="shared" si="53"/>
        <v>-100.16413738367406</v>
      </c>
    </row>
    <row r="350" spans="14:23" x14ac:dyDescent="0.25">
      <c r="N350" s="8">
        <v>-7</v>
      </c>
      <c r="O350" s="8">
        <f t="shared" si="45"/>
        <v>42.061773550799863</v>
      </c>
      <c r="P350" s="9">
        <f t="shared" si="46"/>
        <v>0.14923592520282525</v>
      </c>
      <c r="Q350" s="10">
        <f t="shared" si="49"/>
        <v>19.194247212919656</v>
      </c>
      <c r="R350" s="10">
        <f t="shared" si="50"/>
        <v>14.553346066252981</v>
      </c>
      <c r="S350" s="9">
        <f t="shared" si="47"/>
        <v>0.27244698933073497</v>
      </c>
      <c r="T350" s="10">
        <f t="shared" si="51"/>
        <v>23.092143254122821</v>
      </c>
      <c r="U350" s="10">
        <f t="shared" si="48"/>
        <v>23.092143254122821</v>
      </c>
      <c r="V350" s="8">
        <f t="shared" si="52"/>
        <v>-98.801612317414154</v>
      </c>
      <c r="W350" s="8">
        <f t="shared" si="53"/>
        <v>-100.74738799222933</v>
      </c>
    </row>
    <row r="351" spans="14:23" x14ac:dyDescent="0.25">
      <c r="N351" s="8">
        <v>-6.5</v>
      </c>
      <c r="O351" s="8">
        <f t="shared" si="45"/>
        <v>41.822812323731469</v>
      </c>
      <c r="P351" s="9">
        <f t="shared" si="46"/>
        <v>0.16260116373191502</v>
      </c>
      <c r="Q351" s="10">
        <f t="shared" si="49"/>
        <v>19.750357371202465</v>
      </c>
      <c r="R351" s="10">
        <f t="shared" si="50"/>
        <v>14.664043466953874</v>
      </c>
      <c r="S351" s="9">
        <f t="shared" si="47"/>
        <v>0.29020431425069126</v>
      </c>
      <c r="T351" s="10">
        <f t="shared" si="51"/>
        <v>23.812673303789843</v>
      </c>
      <c r="U351" s="10">
        <f t="shared" si="48"/>
        <v>23.812673303789843</v>
      </c>
      <c r="V351" s="8">
        <f t="shared" si="52"/>
        <v>-99.266924842369917</v>
      </c>
      <c r="W351" s="8">
        <f t="shared" si="53"/>
        <v>-101.30780961823417</v>
      </c>
    </row>
    <row r="352" spans="14:23" x14ac:dyDescent="0.25">
      <c r="N352" s="8">
        <v>-6</v>
      </c>
      <c r="O352" s="8">
        <f t="shared" si="45"/>
        <v>41.601434080882505</v>
      </c>
      <c r="P352" s="9">
        <f t="shared" si="46"/>
        <v>0.17658179558771447</v>
      </c>
      <c r="Q352" s="10">
        <f t="shared" si="49"/>
        <v>20.321625755899269</v>
      </c>
      <c r="R352" s="10">
        <f t="shared" si="50"/>
        <v>14.767918869536354</v>
      </c>
      <c r="S352" s="9">
        <f t="shared" si="47"/>
        <v>0.30839170004378746</v>
      </c>
      <c r="T352" s="10">
        <f t="shared" si="51"/>
        <v>24.542514450812973</v>
      </c>
      <c r="U352" s="10">
        <f t="shared" si="48"/>
        <v>24.542514450812973</v>
      </c>
      <c r="V352" s="8">
        <f t="shared" si="52"/>
        <v>-99.710478102977476</v>
      </c>
      <c r="W352" s="8">
        <f t="shared" si="53"/>
        <v>-101.84304894312146</v>
      </c>
    </row>
    <row r="353" spans="14:23" x14ac:dyDescent="0.25">
      <c r="N353" s="8">
        <v>-5.5</v>
      </c>
      <c r="O353" s="8">
        <f t="shared" si="45"/>
        <v>41.397665978573045</v>
      </c>
      <c r="P353" s="9">
        <f t="shared" si="46"/>
        <v>0.19116463852537602</v>
      </c>
      <c r="Q353" s="10">
        <f t="shared" si="49"/>
        <v>20.907018801299827</v>
      </c>
      <c r="R353" s="10">
        <f t="shared" si="50"/>
        <v>14.864676109755639</v>
      </c>
      <c r="S353" s="9">
        <f t="shared" si="47"/>
        <v>0.32697403499444577</v>
      </c>
      <c r="T353" s="10">
        <f t="shared" si="51"/>
        <v>25.27959592428785</v>
      </c>
      <c r="U353" s="10">
        <f t="shared" si="48"/>
        <v>25.27959592428785</v>
      </c>
      <c r="V353" s="8">
        <f t="shared" si="52"/>
        <v>-100.13053223608806</v>
      </c>
      <c r="W353" s="8">
        <f t="shared" si="53"/>
        <v>-102.35065678733081</v>
      </c>
    </row>
    <row r="354" spans="14:23" x14ac:dyDescent="0.25">
      <c r="N354" s="8">
        <v>-5</v>
      </c>
      <c r="O354" s="8">
        <f t="shared" si="45"/>
        <v>41.211533016311982</v>
      </c>
      <c r="P354" s="9">
        <f t="shared" si="46"/>
        <v>0.20633358443808392</v>
      </c>
      <c r="Q354" s="10">
        <f t="shared" si="49"/>
        <v>21.505345842391968</v>
      </c>
      <c r="R354" s="10">
        <f t="shared" si="50"/>
        <v>14.954034392170891</v>
      </c>
      <c r="S354" s="9">
        <f t="shared" si="47"/>
        <v>0.3459139644892929</v>
      </c>
      <c r="T354" s="10">
        <f t="shared" si="51"/>
        <v>26.021707664572649</v>
      </c>
      <c r="U354" s="10">
        <f t="shared" si="48"/>
        <v>26.021707664572649</v>
      </c>
      <c r="V354" s="8">
        <f t="shared" si="52"/>
        <v>-100.52524918946939</v>
      </c>
      <c r="W354" s="8">
        <f t="shared" si="53"/>
        <v>-102.82809996757324</v>
      </c>
    </row>
    <row r="355" spans="14:23" x14ac:dyDescent="0.25">
      <c r="N355" s="8">
        <v>-4.5</v>
      </c>
      <c r="O355" s="8">
        <f t="shared" si="45"/>
        <v>41.04305803287366</v>
      </c>
      <c r="P355" s="9">
        <f t="shared" si="46"/>
        <v>0.22206960969810607</v>
      </c>
      <c r="Q355" s="10">
        <f t="shared" si="49"/>
        <v>22.115261026143489</v>
      </c>
      <c r="R355" s="10">
        <f t="shared" si="50"/>
        <v>15.035730149834537</v>
      </c>
      <c r="S355" s="9">
        <f t="shared" si="47"/>
        <v>0.36517207354650572</v>
      </c>
      <c r="T355" s="10">
        <f t="shared" si="51"/>
        <v>26.766513168582975</v>
      </c>
      <c r="U355" s="10">
        <f t="shared" si="48"/>
        <v>26.766513168582975</v>
      </c>
      <c r="V355" s="8">
        <f t="shared" si="52"/>
        <v>-100.8926982404567</v>
      </c>
      <c r="W355" s="8">
        <f t="shared" si="53"/>
        <v>-103.27277469910345</v>
      </c>
    </row>
    <row r="356" spans="14:23" x14ac:dyDescent="0.25">
      <c r="N356" s="8">
        <v>-4</v>
      </c>
      <c r="O356" s="8">
        <f t="shared" si="45"/>
        <v>40.892261702715999</v>
      </c>
      <c r="P356" s="9">
        <f t="shared" si="46"/>
        <v>0.23835080599750624</v>
      </c>
      <c r="Q356" s="10">
        <f t="shared" si="49"/>
        <v>22.735267066474023</v>
      </c>
      <c r="R356" s="10">
        <f t="shared" si="50"/>
        <v>15.109518832812107</v>
      </c>
      <c r="S356" s="9">
        <f t="shared" si="47"/>
        <v>0.38470708921859809</v>
      </c>
      <c r="T356" s="10">
        <f t="shared" si="51"/>
        <v>27.511564300065807</v>
      </c>
      <c r="U356" s="10">
        <f t="shared" si="48"/>
        <v>27.511564300065807</v>
      </c>
      <c r="V356" s="8">
        <f t="shared" si="52"/>
        <v>-101.23086299255668</v>
      </c>
      <c r="W356" s="8">
        <f t="shared" si="53"/>
        <v>-103.68202144361773</v>
      </c>
    </row>
    <row r="357" spans="14:23" x14ac:dyDescent="0.25">
      <c r="N357" s="8">
        <v>-3.5</v>
      </c>
      <c r="O357" s="8">
        <f t="shared" si="45"/>
        <v>40.759162532738706</v>
      </c>
      <c r="P357" s="9">
        <f t="shared" si="46"/>
        <v>0.25515243242712293</v>
      </c>
      <c r="Q357" s="10">
        <f t="shared" si="49"/>
        <v>23.363720893046967</v>
      </c>
      <c r="R357" s="10">
        <f t="shared" si="50"/>
        <v>15.175176604336544</v>
      </c>
      <c r="S357" s="9">
        <f t="shared" si="47"/>
        <v>0.40447610161281089</v>
      </c>
      <c r="T357" s="10">
        <f t="shared" si="51"/>
        <v>28.254317943394092</v>
      </c>
      <c r="U357" s="10">
        <f t="shared" si="48"/>
        <v>28.254317943394092</v>
      </c>
      <c r="V357" s="8">
        <f t="shared" si="52"/>
        <v>-101.53764984426695</v>
      </c>
      <c r="W357" s="8">
        <f t="shared" si="53"/>
        <v>-104.05314107560052</v>
      </c>
    </row>
    <row r="358" spans="14:23" x14ac:dyDescent="0.25">
      <c r="N358" s="8">
        <v>-3</v>
      </c>
      <c r="O358" s="8">
        <f t="shared" si="45"/>
        <v>40.643776859382982</v>
      </c>
      <c r="P358" s="9">
        <f t="shared" si="46"/>
        <v>0.27244698933073497</v>
      </c>
      <c r="Q358" s="10">
        <f t="shared" si="49"/>
        <v>23.99884121381865</v>
      </c>
      <c r="R358" s="10">
        <f t="shared" si="50"/>
        <v>15.232501923870371</v>
      </c>
      <c r="S358" s="9">
        <f t="shared" si="47"/>
        <v>0.42443480200331729</v>
      </c>
      <c r="T358" s="10">
        <f t="shared" si="51"/>
        <v>28.992154341064165</v>
      </c>
      <c r="U358" s="10">
        <f t="shared" si="48"/>
        <v>28.992154341064165</v>
      </c>
      <c r="V358" s="8">
        <f t="shared" si="52"/>
        <v>-101.81089790029461</v>
      </c>
      <c r="W358" s="8">
        <f t="shared" si="53"/>
        <v>-104.38341221318963</v>
      </c>
    </row>
    <row r="359" spans="14:23" x14ac:dyDescent="0.25">
      <c r="N359" s="8">
        <v>-2.5</v>
      </c>
      <c r="O359" s="8">
        <f t="shared" si="45"/>
        <v>40.546118846073298</v>
      </c>
      <c r="P359" s="9">
        <f t="shared" si="46"/>
        <v>0.29020431425069126</v>
      </c>
      <c r="Q359" s="10">
        <f t="shared" si="49"/>
        <v>24.638717978899074</v>
      </c>
      <c r="R359" s="10">
        <f t="shared" si="50"/>
        <v>15.281316997206222</v>
      </c>
      <c r="S359" s="9">
        <f t="shared" si="47"/>
        <v>0.44453773624867643</v>
      </c>
      <c r="T359" s="10">
        <f t="shared" si="51"/>
        <v>29.722396918209395</v>
      </c>
      <c r="U359" s="10">
        <f t="shared" si="48"/>
        <v>29.722396918209395</v>
      </c>
      <c r="V359" s="8">
        <f t="shared" si="52"/>
        <v>-102.04839027044426</v>
      </c>
      <c r="W359" s="8">
        <f t="shared" si="53"/>
        <v>-104.67010953460714</v>
      </c>
    </row>
    <row r="360" spans="14:23" x14ac:dyDescent="0.25">
      <c r="N360" s="8">
        <v>-2</v>
      </c>
      <c r="O360" s="8">
        <f t="shared" si="45"/>
        <v>40.466200480999028</v>
      </c>
      <c r="P360" s="9">
        <f t="shared" si="46"/>
        <v>0.30839170004378746</v>
      </c>
      <c r="Q360" s="10">
        <f t="shared" si="49"/>
        <v>25.28132369938076</v>
      </c>
      <c r="R360" s="10">
        <f t="shared" si="50"/>
        <v>15.321469074977401</v>
      </c>
      <c r="S360" s="9">
        <f t="shared" si="47"/>
        <v>0.46473857148100972</v>
      </c>
      <c r="T360" s="10">
        <f t="shared" si="51"/>
        <v>30.442333363079481</v>
      </c>
      <c r="U360" s="10">
        <f t="shared" si="48"/>
        <v>30.442333363079481</v>
      </c>
      <c r="V360" s="8">
        <f t="shared" si="52"/>
        <v>-102.24786667621264</v>
      </c>
      <c r="W360" s="8">
        <f t="shared" si="53"/>
        <v>-104.91052287856789</v>
      </c>
    </row>
    <row r="361" spans="14:23" x14ac:dyDescent="0.25">
      <c r="N361" s="8">
        <v>-1.5</v>
      </c>
      <c r="O361" s="8">
        <f t="shared" si="45"/>
        <v>40.404031575237802</v>
      </c>
      <c r="P361" s="9">
        <f t="shared" si="46"/>
        <v>0.32697403499444577</v>
      </c>
      <c r="Q361" s="10">
        <f t="shared" si="49"/>
        <v>25.924526540135933</v>
      </c>
      <c r="R361" s="10">
        <f t="shared" si="50"/>
        <v>15.352831582558789</v>
      </c>
      <c r="S361" s="9">
        <f t="shared" si="47"/>
        <v>0.48499037380497312</v>
      </c>
      <c r="T361" s="10">
        <f t="shared" si="51"/>
        <v>31.14923770156572</v>
      </c>
      <c r="U361" s="10">
        <f t="shared" si="48"/>
        <v>31.14923770156572</v>
      </c>
      <c r="V361" s="8">
        <f t="shared" si="52"/>
        <v>-102.40703726011084</v>
      </c>
      <c r="W361" s="8">
        <f t="shared" si="53"/>
        <v>-105.10197690742808</v>
      </c>
    </row>
    <row r="362" spans="14:23" x14ac:dyDescent="0.25">
      <c r="N362" s="8">
        <v>-1</v>
      </c>
      <c r="O362" s="8">
        <f t="shared" si="45"/>
        <v>40.35961976122006</v>
      </c>
      <c r="P362" s="9">
        <f t="shared" si="46"/>
        <v>0.3459139644892929</v>
      </c>
      <c r="Q362" s="10">
        <f t="shared" si="49"/>
        <v>26.566105071002362</v>
      </c>
      <c r="R362" s="10">
        <f t="shared" si="50"/>
        <v>15.375305066297368</v>
      </c>
      <c r="S362" s="9">
        <f t="shared" si="47"/>
        <v>0.50524589453932089</v>
      </c>
      <c r="T362" s="10">
        <f t="shared" si="51"/>
        <v>31.840393077429177</v>
      </c>
      <c r="U362" s="10">
        <f t="shared" si="48"/>
        <v>31.840393077429177</v>
      </c>
      <c r="V362" s="8">
        <f t="shared" si="52"/>
        <v>-102.52359746855022</v>
      </c>
      <c r="W362" s="8">
        <f t="shared" si="53"/>
        <v>-105.24185109578823</v>
      </c>
    </row>
    <row r="363" spans="14:23" x14ac:dyDescent="0.25">
      <c r="N363" s="8">
        <v>-0.5</v>
      </c>
      <c r="O363" s="8">
        <f t="shared" si="45"/>
        <v>40.332970491534894</v>
      </c>
      <c r="P363" s="9">
        <f t="shared" si="46"/>
        <v>0.36517207354650572</v>
      </c>
      <c r="Q363" s="10">
        <f t="shared" si="49"/>
        <v>27.203764527135231</v>
      </c>
      <c r="R363" s="10">
        <f t="shared" si="50"/>
        <v>15.388817943283314</v>
      </c>
      <c r="S363" s="9">
        <f t="shared" si="47"/>
        <v>0.52545786235616743</v>
      </c>
      <c r="T363" s="10">
        <f t="shared" si="51"/>
        <v>32.513114928753929</v>
      </c>
      <c r="U363" s="10">
        <f t="shared" si="48"/>
        <v>32.513114928753929</v>
      </c>
      <c r="V363" s="8">
        <f t="shared" si="52"/>
        <v>-102.59524385634307</v>
      </c>
      <c r="W363" s="8">
        <f t="shared" si="53"/>
        <v>-105.3275997952904</v>
      </c>
    </row>
    <row r="364" spans="14:23" x14ac:dyDescent="0.25">
      <c r="N364" s="8">
        <v>0</v>
      </c>
      <c r="O364" s="8">
        <f t="shared" si="45"/>
        <v>40.324087038076989</v>
      </c>
      <c r="P364" s="9">
        <f t="shared" si="46"/>
        <v>0.38470708921859809</v>
      </c>
      <c r="Q364" s="10">
        <f t="shared" si="49"/>
        <v>27.83515439747719</v>
      </c>
      <c r="R364" s="10">
        <f t="shared" si="50"/>
        <v>15.393327044416075</v>
      </c>
      <c r="S364" s="9">
        <f t="shared" si="47"/>
        <v>0.5455792785270176</v>
      </c>
      <c r="T364" s="10">
        <f t="shared" si="51"/>
        <v>33.16477423602791</v>
      </c>
      <c r="U364" s="10">
        <f t="shared" si="48"/>
        <v>33.16477423602791</v>
      </c>
      <c r="V364" s="8">
        <f t="shared" si="52"/>
        <v>-102.61969064007508</v>
      </c>
      <c r="W364" s="8">
        <f t="shared" si="53"/>
        <v>-105.35677211887084</v>
      </c>
    </row>
    <row r="365" spans="14:23" x14ac:dyDescent="0.25">
      <c r="N365" s="8">
        <v>0.5</v>
      </c>
      <c r="O365" s="8">
        <f t="shared" si="45"/>
        <v>40.332970491534894</v>
      </c>
      <c r="P365" s="9">
        <f t="shared" si="46"/>
        <v>0.40447610161281089</v>
      </c>
      <c r="Q365" s="10">
        <f t="shared" si="49"/>
        <v>28.457887131152521</v>
      </c>
      <c r="R365" s="10">
        <f t="shared" si="50"/>
        <v>15.388817943283316</v>
      </c>
      <c r="S365" s="9">
        <f t="shared" si="47"/>
        <v>0.56556371237405412</v>
      </c>
      <c r="T365" s="10">
        <f t="shared" si="51"/>
        <v>33.792820508719203</v>
      </c>
      <c r="U365" s="10">
        <f t="shared" si="48"/>
        <v>33.792820508719203</v>
      </c>
      <c r="V365" s="8">
        <f t="shared" si="52"/>
        <v>-102.5946868093539</v>
      </c>
      <c r="W365" s="8">
        <f t="shared" si="53"/>
        <v>-105.32703138504243</v>
      </c>
    </row>
    <row r="366" spans="14:23" x14ac:dyDescent="0.25">
      <c r="N366" s="8">
        <v>1</v>
      </c>
      <c r="O366" s="8">
        <f t="shared" si="45"/>
        <v>40.35961976122006</v>
      </c>
      <c r="P366" s="9">
        <f t="shared" si="46"/>
        <v>0.42443480200331729</v>
      </c>
      <c r="Q366" s="10">
        <f t="shared" si="49"/>
        <v>29.069557725940886</v>
      </c>
      <c r="R366" s="10">
        <f t="shared" si="50"/>
        <v>15.375305066297368</v>
      </c>
      <c r="S366" s="9">
        <f t="shared" si="47"/>
        <v>0.58536559395317256</v>
      </c>
      <c r="T366" s="10">
        <f t="shared" si="51"/>
        <v>34.394804175656226</v>
      </c>
      <c r="U366" s="10">
        <f t="shared" si="48"/>
        <v>34.394804175656226</v>
      </c>
      <c r="V366" s="8">
        <f t="shared" si="52"/>
        <v>-102.51803358973915</v>
      </c>
      <c r="W366" s="8">
        <f t="shared" si="53"/>
        <v>-105.23617386507219</v>
      </c>
    </row>
    <row r="367" spans="14:23" x14ac:dyDescent="0.25">
      <c r="N367" s="8">
        <v>1.5</v>
      </c>
      <c r="O367" s="8">
        <f t="shared" si="45"/>
        <v>40.404031575237802</v>
      </c>
      <c r="P367" s="9">
        <f t="shared" si="46"/>
        <v>0.44453773624867643</v>
      </c>
      <c r="Q367" s="10">
        <f t="shared" si="49"/>
        <v>29.667763941568293</v>
      </c>
      <c r="R367" s="10">
        <f t="shared" si="50"/>
        <v>15.352831582558787</v>
      </c>
      <c r="S367" s="9">
        <f t="shared" si="47"/>
        <v>0.63242473529426202</v>
      </c>
      <c r="T367" s="10">
        <f t="shared" si="51"/>
        <v>35.844341844071096</v>
      </c>
      <c r="U367" s="10">
        <f t="shared" si="48"/>
        <v>36.993423855770793</v>
      </c>
      <c r="V367" s="8">
        <f t="shared" si="52"/>
        <v>-102.38760203944926</v>
      </c>
      <c r="W367" s="8">
        <f t="shared" si="53"/>
        <v>-105.08020147058254</v>
      </c>
    </row>
    <row r="368" spans="14:23" x14ac:dyDescent="0.25">
      <c r="N368" s="8">
        <v>2</v>
      </c>
      <c r="O368" s="8">
        <f t="shared" si="45"/>
        <v>40.466200480999028</v>
      </c>
      <c r="P368" s="9">
        <f t="shared" si="46"/>
        <v>0.46473857148100972</v>
      </c>
      <c r="Q368" s="10">
        <f t="shared" si="49"/>
        <v>30.250126864010547</v>
      </c>
      <c r="R368" s="10">
        <f t="shared" si="50"/>
        <v>15.321469074977397</v>
      </c>
      <c r="S368" s="9">
        <f t="shared" si="47"/>
        <v>0.73662081384589007</v>
      </c>
      <c r="T368" s="10">
        <f t="shared" si="51"/>
        <v>39.087552620599489</v>
      </c>
      <c r="U368" s="10">
        <f t="shared" si="48"/>
        <v>41.684641015674387</v>
      </c>
      <c r="V368" s="8">
        <f t="shared" si="52"/>
        <v>-102.2013505541041</v>
      </c>
      <c r="W368" s="8">
        <f t="shared" si="53"/>
        <v>-104.84727977630833</v>
      </c>
    </row>
    <row r="369" spans="14:23" x14ac:dyDescent="0.25">
      <c r="N369" s="8">
        <v>2.5</v>
      </c>
      <c r="O369" s="8">
        <f t="shared" si="45"/>
        <v>40.546118846073298</v>
      </c>
      <c r="P369" s="9">
        <f t="shared" si="46"/>
        <v>0.48499037380497312</v>
      </c>
      <c r="Q369" s="10">
        <f t="shared" si="49"/>
        <v>30.814311535841902</v>
      </c>
      <c r="R369" s="10">
        <f t="shared" si="50"/>
        <v>15.281316997206215</v>
      </c>
      <c r="S369" s="9">
        <f t="shared" si="47"/>
        <v>0.81128056656713765</v>
      </c>
      <c r="T369" s="10">
        <f t="shared" si="51"/>
        <v>41.35727840586582</v>
      </c>
      <c r="U369" s="10">
        <f t="shared" si="48"/>
        <v>40.317546005287902</v>
      </c>
      <c r="V369" s="8">
        <f t="shared" si="52"/>
        <v>-101.95734205004936</v>
      </c>
      <c r="W369" s="8">
        <f t="shared" si="53"/>
        <v>-104.52582880759277</v>
      </c>
    </row>
    <row r="370" spans="14:23" x14ac:dyDescent="0.25">
      <c r="N370" s="8">
        <v>3</v>
      </c>
      <c r="O370" s="8">
        <f t="shared" si="45"/>
        <v>40.643776859382982</v>
      </c>
      <c r="P370" s="9">
        <f t="shared" si="46"/>
        <v>0.50524589453932089</v>
      </c>
      <c r="Q370" s="10">
        <f t="shared" si="49"/>
        <v>31.358047362249479</v>
      </c>
      <c r="R370" s="10">
        <f t="shared" si="50"/>
        <v>15.232501923870363</v>
      </c>
      <c r="S370" s="9">
        <f t="shared" si="47"/>
        <v>0.86477661703160802</v>
      </c>
      <c r="T370" s="10">
        <f t="shared" si="51"/>
        <v>42.921175033819466</v>
      </c>
      <c r="U370" s="10">
        <f t="shared" si="48"/>
        <v>40.571232276008743</v>
      </c>
      <c r="V370" s="8">
        <f t="shared" si="52"/>
        <v>-101.65376059741115</v>
      </c>
      <c r="W370" s="8">
        <f t="shared" si="53"/>
        <v>-104.11430549120615</v>
      </c>
    </row>
    <row r="371" spans="14:23" x14ac:dyDescent="0.25">
      <c r="N371" s="8">
        <v>3.5</v>
      </c>
      <c r="O371" s="8">
        <f t="shared" si="45"/>
        <v>40.759162532738706</v>
      </c>
      <c r="P371" s="9">
        <f t="shared" si="46"/>
        <v>0.52545786235616743</v>
      </c>
      <c r="Q371" s="10">
        <f t="shared" si="49"/>
        <v>31.87914800287562</v>
      </c>
      <c r="R371" s="10">
        <f t="shared" si="50"/>
        <v>15.175176604336531</v>
      </c>
      <c r="S371" s="9">
        <f t="shared" si="47"/>
        <v>0.90310821218143678</v>
      </c>
      <c r="T371" s="10">
        <f t="shared" si="51"/>
        <v>43.971710824507205</v>
      </c>
      <c r="U371" s="10">
        <f t="shared" si="48"/>
        <v>44.912499605294457</v>
      </c>
      <c r="V371" s="8">
        <f t="shared" si="52"/>
        <v>-101.28892727899452</v>
      </c>
      <c r="W371" s="8">
        <f t="shared" si="53"/>
        <v>-103.6129957839769</v>
      </c>
    </row>
    <row r="372" spans="14:23" x14ac:dyDescent="0.25">
      <c r="N372" s="8">
        <v>4</v>
      </c>
      <c r="O372" s="8">
        <f t="shared" si="45"/>
        <v>40.892261702715999</v>
      </c>
      <c r="P372" s="9">
        <f t="shared" si="46"/>
        <v>0.5455792785270176</v>
      </c>
      <c r="Q372" s="10">
        <f t="shared" si="49"/>
        <v>32.37553046618455</v>
      </c>
      <c r="R372" s="10">
        <f t="shared" si="50"/>
        <v>15.109518832812094</v>
      </c>
      <c r="S372" s="9">
        <f t="shared" si="47"/>
        <v>0.93057400029052739</v>
      </c>
      <c r="T372" s="10">
        <f t="shared" si="51"/>
        <v>44.64729875137067</v>
      </c>
      <c r="U372" s="10">
        <f t="shared" si="48"/>
        <v>46.773614888880431</v>
      </c>
      <c r="V372" s="8">
        <f t="shared" si="52"/>
        <v>-100.86131506042504</v>
      </c>
      <c r="W372" s="8">
        <f t="shared" si="53"/>
        <v>-103.02323995303895</v>
      </c>
    </row>
    <row r="373" spans="14:23" x14ac:dyDescent="0.25">
      <c r="N373" s="8">
        <v>4.5</v>
      </c>
      <c r="O373" s="8">
        <f t="shared" si="45"/>
        <v>41.04305803287366</v>
      </c>
      <c r="P373" s="9">
        <f t="shared" si="46"/>
        <v>0.56556371237405412</v>
      </c>
      <c r="Q373" s="10">
        <f t="shared" si="49"/>
        <v>32.845233135445184</v>
      </c>
      <c r="R373" s="10">
        <f t="shared" si="50"/>
        <v>15.035730149834523</v>
      </c>
      <c r="S373" s="9">
        <f t="shared" si="47"/>
        <v>0.95025409744027611</v>
      </c>
      <c r="T373" s="10">
        <f t="shared" si="51"/>
        <v>45.047510401062361</v>
      </c>
      <c r="U373" s="10">
        <f t="shared" si="48"/>
        <v>44.196249509737626</v>
      </c>
      <c r="V373" s="8">
        <f t="shared" si="52"/>
        <v>-100.36956247036474</v>
      </c>
      <c r="W373" s="8">
        <f t="shared" si="53"/>
        <v>-102.34695755032001</v>
      </c>
    </row>
    <row r="374" spans="14:23" x14ac:dyDescent="0.25">
      <c r="N374" s="8">
        <v>5</v>
      </c>
      <c r="O374" s="8">
        <f t="shared" si="45"/>
        <v>41.211533016311982</v>
      </c>
      <c r="P374" s="9">
        <f t="shared" si="46"/>
        <v>0.58536559395317256</v>
      </c>
      <c r="Q374" s="10">
        <f t="shared" si="49"/>
        <v>33.286432473384529</v>
      </c>
      <c r="R374" s="10">
        <f t="shared" si="50"/>
        <v>14.954034392170879</v>
      </c>
      <c r="S374" s="9">
        <f t="shared" si="47"/>
        <v>0.96435550324320496</v>
      </c>
      <c r="T374" s="10">
        <f t="shared" si="51"/>
        <v>45.244023902065898</v>
      </c>
      <c r="U374" s="10">
        <f t="shared" si="48"/>
        <v>43.320053498273374</v>
      </c>
      <c r="V374" s="8">
        <f t="shared" si="52"/>
        <v>-99.812485906954933</v>
      </c>
      <c r="W374" s="8">
        <f t="shared" si="53"/>
        <v>-101.586364313003</v>
      </c>
    </row>
    <row r="375" spans="14:23" x14ac:dyDescent="0.25">
      <c r="N375" s="8">
        <v>5.5</v>
      </c>
      <c r="O375" s="8">
        <f t="shared" si="45"/>
        <v>41.397665978573045</v>
      </c>
      <c r="P375" s="9">
        <f t="shared" si="46"/>
        <v>0.60494050096455609</v>
      </c>
      <c r="Q375" s="10">
        <f t="shared" si="49"/>
        <v>33.697458175637948</v>
      </c>
      <c r="R375" s="10">
        <f t="shared" si="50"/>
        <v>14.864676109755628</v>
      </c>
      <c r="S375" s="9">
        <f t="shared" si="47"/>
        <v>0.97445960202411053</v>
      </c>
      <c r="T375" s="10">
        <f t="shared" si="51"/>
        <v>45.288498039857252</v>
      </c>
      <c r="U375" s="10">
        <f t="shared" si="48"/>
        <v>46.05875074683852</v>
      </c>
      <c r="V375" s="8">
        <f t="shared" si="52"/>
        <v>-99.189090407441256</v>
      </c>
      <c r="W375" s="8">
        <f t="shared" si="53"/>
        <v>-100.74380998850226</v>
      </c>
    </row>
    <row r="376" spans="14:23" x14ac:dyDescent="0.25">
      <c r="N376" s="8">
        <v>6</v>
      </c>
      <c r="O376" s="8">
        <f t="shared" si="45"/>
        <v>41.601434080882505</v>
      </c>
      <c r="P376" s="9">
        <f t="shared" si="46"/>
        <v>0.62424543689904621</v>
      </c>
      <c r="Q376" s="10">
        <f t="shared" si="49"/>
        <v>34.076806570726625</v>
      </c>
      <c r="R376" s="10">
        <f t="shared" si="50"/>
        <v>14.767918869536345</v>
      </c>
      <c r="S376" s="9">
        <f t="shared" si="47"/>
        <v>0.98169950516575977</v>
      </c>
      <c r="T376" s="10">
        <f t="shared" si="51"/>
        <v>45.218232532337204</v>
      </c>
      <c r="U376" s="10">
        <f t="shared" si="48"/>
        <v>46.959112944882435</v>
      </c>
      <c r="V376" s="8">
        <f t="shared" si="52"/>
        <v>-98.498578741801978</v>
      </c>
      <c r="W376" s="8">
        <f t="shared" si="53"/>
        <v>-99.821690751755781</v>
      </c>
    </row>
    <row r="377" spans="14:23" x14ac:dyDescent="0.25">
      <c r="N377" s="8">
        <v>6.5</v>
      </c>
      <c r="O377" s="8">
        <f t="shared" si="45"/>
        <v>41.822812323731469</v>
      </c>
      <c r="P377" s="9">
        <f t="shared" si="46"/>
        <v>0.6432390974854334</v>
      </c>
      <c r="Q377" s="10">
        <f t="shared" si="49"/>
        <v>34.423152095716375</v>
      </c>
      <c r="R377" s="10">
        <f t="shared" si="50"/>
        <v>14.664043466953865</v>
      </c>
      <c r="S377" s="9">
        <f t="shared" si="47"/>
        <v>0.98688712245227295</v>
      </c>
      <c r="T377" s="10">
        <f t="shared" si="51"/>
        <v>45.060234537022225</v>
      </c>
      <c r="U377" s="10">
        <f t="shared" si="48"/>
        <v>44.363281066402088</v>
      </c>
      <c r="V377" s="8">
        <f t="shared" si="52"/>
        <v>-97.74035871756179</v>
      </c>
      <c r="W377" s="8">
        <f t="shared" si="53"/>
        <v>-98.822406331410136</v>
      </c>
    </row>
    <row r="378" spans="14:23" x14ac:dyDescent="0.25">
      <c r="N378" s="8">
        <v>7</v>
      </c>
      <c r="O378" s="8">
        <f t="shared" si="45"/>
        <v>42.061773550799863</v>
      </c>
      <c r="P378" s="9">
        <f t="shared" si="46"/>
        <v>0.66188212260538637</v>
      </c>
      <c r="Q378" s="10">
        <f t="shared" si="49"/>
        <v>34.735356711153884</v>
      </c>
      <c r="R378" s="10">
        <f t="shared" si="50"/>
        <v>14.553346066252972</v>
      </c>
      <c r="S378" s="9">
        <f t="shared" si="47"/>
        <v>0.99060421266533349</v>
      </c>
      <c r="T378" s="10">
        <f t="shared" si="51"/>
        <v>44.8341383022671</v>
      </c>
      <c r="U378" s="10">
        <f t="shared" si="48"/>
        <v>43.258924564670295</v>
      </c>
      <c r="V378" s="8">
        <f t="shared" si="52"/>
        <v>-96.914048611226292</v>
      </c>
      <c r="W378" s="8">
        <f t="shared" si="53"/>
        <v>-97.748342849399123</v>
      </c>
    </row>
    <row r="379" spans="14:23" x14ac:dyDescent="0.25">
      <c r="N379" s="8">
        <v>7.5</v>
      </c>
      <c r="O379" s="8">
        <f t="shared" si="45"/>
        <v>42.318288453221349</v>
      </c>
      <c r="P379" s="9">
        <f t="shared" si="46"/>
        <v>0.68013733098858187</v>
      </c>
      <c r="Q379" s="10">
        <f t="shared" si="49"/>
        <v>35.012477155482351</v>
      </c>
      <c r="R379" s="10">
        <f t="shared" si="50"/>
        <v>14.436136290913094</v>
      </c>
      <c r="S379" s="9">
        <f t="shared" si="47"/>
        <v>0.99326762418721881</v>
      </c>
      <c r="T379" s="10">
        <f t="shared" si="51"/>
        <v>44.554299939021575</v>
      </c>
      <c r="U379" s="10">
        <f t="shared" si="48"/>
        <v>45.184929517868703</v>
      </c>
      <c r="V379" s="8">
        <f t="shared" si="52"/>
        <v>-96.019480671305786</v>
      </c>
      <c r="W379" s="8">
        <f t="shared" si="53"/>
        <v>-96.601869523745464</v>
      </c>
    </row>
    <row r="380" spans="14:23" x14ac:dyDescent="0.25">
      <c r="N380" s="8">
        <v>8</v>
      </c>
      <c r="O380" s="8">
        <f t="shared" si="45"/>
        <v>42.59232557418833</v>
      </c>
      <c r="P380" s="9">
        <f t="shared" si="46"/>
        <v>0.69796993518930806</v>
      </c>
      <c r="Q380" s="10">
        <f t="shared" si="49"/>
        <v>35.25376997700446</v>
      </c>
      <c r="R380" s="10">
        <f t="shared" si="50"/>
        <v>14.312735285220519</v>
      </c>
      <c r="S380" s="9">
        <f t="shared" si="47"/>
        <v>0.99517604193559261</v>
      </c>
      <c r="T380" s="10">
        <f t="shared" si="51"/>
        <v>44.231299183530247</v>
      </c>
      <c r="U380" s="10">
        <f t="shared" si="48"/>
        <v>45.656611514712111</v>
      </c>
      <c r="V380" s="8">
        <f t="shared" si="52"/>
        <v>-95.056702668038739</v>
      </c>
      <c r="W380" s="8">
        <f t="shared" si="53"/>
        <v>-95.38534202540184</v>
      </c>
    </row>
    <row r="381" spans="14:23" x14ac:dyDescent="0.25">
      <c r="N381" s="8">
        <v>8.5</v>
      </c>
      <c r="O381" s="8">
        <f t="shared" si="45"/>
        <v>42.883851313898198</v>
      </c>
      <c r="P381" s="9">
        <f t="shared" si="46"/>
        <v>0.71534773457509981</v>
      </c>
      <c r="Q381" s="10">
        <f t="shared" si="49"/>
        <v>35.458694319673178</v>
      </c>
      <c r="R381" s="10">
        <f t="shared" si="50"/>
        <v>14.183473767397123</v>
      </c>
      <c r="S381" s="9">
        <f t="shared" si="47"/>
        <v>0.99654348300595719</v>
      </c>
      <c r="T381" s="10">
        <f t="shared" si="51"/>
        <v>43.873015061618055</v>
      </c>
      <c r="U381" s="10">
        <f t="shared" si="48"/>
        <v>43.302397821756919</v>
      </c>
      <c r="V381" s="8">
        <f t="shared" si="52"/>
        <v>-94.025977494998912</v>
      </c>
      <c r="W381" s="8">
        <f t="shared" si="53"/>
        <v>-94.101108256304457</v>
      </c>
    </row>
    <row r="382" spans="14:23" x14ac:dyDescent="0.25">
      <c r="N382" s="8">
        <v>9</v>
      </c>
      <c r="O382" s="8">
        <f t="shared" si="45"/>
        <v>43.192829934841086</v>
      </c>
      <c r="P382" s="9">
        <f t="shared" si="46"/>
        <v>0.73224128432471147</v>
      </c>
      <c r="Q382" s="10">
        <f t="shared" si="49"/>
        <v>35.626912476672672</v>
      </c>
      <c r="R382" s="10">
        <f t="shared" si="50"/>
        <v>14.048690093791173</v>
      </c>
      <c r="S382" s="9">
        <f t="shared" si="47"/>
        <v>0.99752329734823797</v>
      </c>
      <c r="T382" s="10">
        <f t="shared" si="51"/>
        <v>43.485395553442338</v>
      </c>
      <c r="U382" s="10">
        <f t="shared" si="48"/>
        <v>42.195719623800926</v>
      </c>
      <c r="V382" s="8">
        <f t="shared" si="52"/>
        <v>-92.927780857157742</v>
      </c>
      <c r="W382" s="8">
        <f t="shared" si="53"/>
        <v>-92.751514194324258</v>
      </c>
    </row>
    <row r="383" spans="14:23" x14ac:dyDescent="0.25">
      <c r="N383" s="8">
        <v>9.5</v>
      </c>
      <c r="O383" s="8">
        <f t="shared" si="45"/>
        <v>43.519223567427247</v>
      </c>
      <c r="P383" s="9">
        <f t="shared" si="46"/>
        <v>0.74862403873294425</v>
      </c>
      <c r="Q383" s="10">
        <f t="shared" si="49"/>
        <v>35.75828826205646</v>
      </c>
      <c r="R383" s="10">
        <f t="shared" si="50"/>
        <v>13.908728352459098</v>
      </c>
      <c r="S383" s="9">
        <f t="shared" si="47"/>
        <v>0.99822536500303138</v>
      </c>
      <c r="T383" s="10">
        <f t="shared" si="51"/>
        <v>43.073007637869473</v>
      </c>
      <c r="U383" s="10">
        <f t="shared" si="48"/>
        <v>43.589323467872234</v>
      </c>
      <c r="V383" s="8">
        <f t="shared" si="52"/>
        <v>-91.762797108057441</v>
      </c>
      <c r="W383" s="8">
        <f t="shared" si="53"/>
        <v>-91.338908611900763</v>
      </c>
    </row>
    <row r="384" spans="14:23" x14ac:dyDescent="0.25">
      <c r="N384" s="8">
        <v>10</v>
      </c>
      <c r="O384" s="8">
        <f t="shared" si="45"/>
        <v>43.862992215956048</v>
      </c>
      <c r="P384" s="9">
        <f t="shared" si="46"/>
        <v>0.76447246744880615</v>
      </c>
      <c r="Q384" s="10">
        <f t="shared" si="49"/>
        <v>35.852883284859594</v>
      </c>
      <c r="R384" s="10">
        <f t="shared" si="50"/>
        <v>13.763936503061696</v>
      </c>
      <c r="S384" s="9">
        <f t="shared" si="47"/>
        <v>0.99872841845983196</v>
      </c>
      <c r="T384" s="10">
        <f t="shared" si="51"/>
        <v>42.639429816636593</v>
      </c>
      <c r="U384" s="10">
        <f t="shared" si="48"/>
        <v>43.806376854916458</v>
      </c>
      <c r="V384" s="8">
        <f t="shared" si="52"/>
        <v>-90.531913324945066</v>
      </c>
      <c r="W384" s="8">
        <f t="shared" si="53"/>
        <v>-89.865646172608521</v>
      </c>
    </row>
    <row r="385" spans="14:23" x14ac:dyDescent="0.25">
      <c r="N385" s="8">
        <v>10.5</v>
      </c>
      <c r="O385" s="8">
        <f t="shared" si="45"/>
        <v>44.22409376492547</v>
      </c>
      <c r="P385" s="9">
        <f t="shared" si="46"/>
        <v>0.77976614362576824</v>
      </c>
      <c r="Q385" s="10">
        <f t="shared" si="49"/>
        <v>35.910951241424492</v>
      </c>
      <c r="R385" s="10">
        <f t="shared" si="50"/>
        <v>13.614664578413281</v>
      </c>
      <c r="S385" s="9">
        <f t="shared" si="47"/>
        <v>0.99908887201252194</v>
      </c>
      <c r="T385" s="10">
        <f t="shared" si="51"/>
        <v>42.187531744353727</v>
      </c>
      <c r="U385" s="10">
        <f t="shared" si="48"/>
        <v>41.720349861842941</v>
      </c>
      <c r="V385" s="8">
        <f t="shared" si="52"/>
        <v>-89.236211734573743</v>
      </c>
      <c r="W385" s="8">
        <f t="shared" si="53"/>
        <v>-88.334088811906355</v>
      </c>
    </row>
    <row r="386" spans="14:23" x14ac:dyDescent="0.25">
      <c r="N386" s="8">
        <v>11</v>
      </c>
      <c r="O386" s="8">
        <f t="shared" si="45"/>
        <v>44.602483985681587</v>
      </c>
      <c r="P386" s="9">
        <f t="shared" si="46"/>
        <v>0.7944878033325049</v>
      </c>
      <c r="Q386" s="10">
        <f t="shared" si="49"/>
        <v>35.932930369584973</v>
      </c>
      <c r="R386" s="10">
        <f t="shared" si="50"/>
        <v>13.461262961297821</v>
      </c>
      <c r="S386" s="9">
        <f t="shared" si="47"/>
        <v>0.99934714826903193</v>
      </c>
      <c r="T386" s="10">
        <f t="shared" si="51"/>
        <v>41.71967301914507</v>
      </c>
      <c r="U386" s="10">
        <f t="shared" si="48"/>
        <v>40.663775674043208</v>
      </c>
      <c r="V386" s="8">
        <f t="shared" si="52"/>
        <v>-87.876960623435437</v>
      </c>
      <c r="W386" s="8">
        <f t="shared" si="53"/>
        <v>-86.746605525231899</v>
      </c>
    </row>
    <row r="387" spans="14:23" x14ac:dyDescent="0.25">
      <c r="N387" s="8">
        <v>11.5</v>
      </c>
      <c r="O387" s="8">
        <f t="shared" si="45"/>
        <v>44.998116543409012</v>
      </c>
      <c r="P387" s="9">
        <f t="shared" si="46"/>
        <v>0.80862337595302891</v>
      </c>
      <c r="Q387" s="10">
        <f t="shared" si="49"/>
        <v>35.919434232377235</v>
      </c>
      <c r="R387" s="10">
        <f t="shared" si="50"/>
        <v>13.304080748347879</v>
      </c>
      <c r="S387" s="9">
        <f t="shared" si="47"/>
        <v>0.99953221129359904</v>
      </c>
      <c r="T387" s="10">
        <f t="shared" si="51"/>
        <v>41.237844148395986</v>
      </c>
      <c r="U387" s="10">
        <f t="shared" si="48"/>
        <v>41.66056779672023</v>
      </c>
      <c r="V387" s="8">
        <f t="shared" si="52"/>
        <v>-86.455603884123548</v>
      </c>
      <c r="W387" s="8">
        <f t="shared" si="53"/>
        <v>-85.105570790246347</v>
      </c>
    </row>
    <row r="388" spans="14:23" x14ac:dyDescent="0.25">
      <c r="N388" s="8">
        <v>12</v>
      </c>
      <c r="O388" s="8">
        <f t="shared" ref="O388:O451" si="54">$B$30+PI()/4*($B$5/10)^2*($B$31+$B$7/10-$B$31*COS(RADIANS(N388))-SQRT(($B$7/10)^2-($B$31*SIN(RADIANS(N388)))^2))</f>
        <v>45.410943004461309</v>
      </c>
      <c r="P388" s="9">
        <f t="shared" ref="P388:P451" si="55">IF(N388&gt;$B$36,1-EXP(-$B$16*((N388-$B$36)/$B$35)^($B$17+1)),0)</f>
        <v>0.82216198568980636</v>
      </c>
      <c r="Q388" s="10">
        <f t="shared" si="49"/>
        <v>35.871241018750744</v>
      </c>
      <c r="R388" s="10">
        <f t="shared" si="50"/>
        <v>13.143464210914832</v>
      </c>
      <c r="S388" s="9">
        <f t="shared" ref="S388:S451" si="56">IF(N388&lt;=$B$38,IF(N388&gt;$B$37,1-EXP(-$B$16*((N388-$B$37)/$B$35)^($B$17+1)),0),$B$22+(1-$B$22)*(1-EXP(-(N388-$B$38)/$B$23)))</f>
        <v>0.99966481474513091</v>
      </c>
      <c r="T388" s="10">
        <f t="shared" si="51"/>
        <v>40.743766205527415</v>
      </c>
      <c r="U388" s="10">
        <f t="shared" ref="U388:U451" si="57">T388+IF(N388&gt;$B$38,$B$24*EXP(-(N388-$B$38)/$B$26)*SIN(2*PI()*(N388-$B$38)/$B$39),0)</f>
        <v>41.699181632980405</v>
      </c>
      <c r="V388" s="8">
        <f t="shared" si="52"/>
        <v>-84.973749364099646</v>
      </c>
      <c r="W388" s="8">
        <f t="shared" si="53"/>
        <v>-83.413361886557411</v>
      </c>
    </row>
    <row r="389" spans="14:23" x14ac:dyDescent="0.25">
      <c r="N389" s="8">
        <v>12.5</v>
      </c>
      <c r="O389" s="8">
        <f t="shared" si="54"/>
        <v>45.840912844032012</v>
      </c>
      <c r="P389" s="9">
        <f t="shared" si="55"/>
        <v>0.83509592466532956</v>
      </c>
      <c r="Q389" s="10">
        <f t="shared" ref="Q389:Q452" si="58">Q388*(O388/O389)^$B$9+10*($B$9-1)*$B$33*(P389-P388)/((O388+O389)/2)</f>
        <v>35.789281564107725</v>
      </c>
      <c r="R389" s="10">
        <f t="shared" ref="R389:R452" si="59">R388*(O388/O389)^$B$9</f>
        <v>12.97975536097953</v>
      </c>
      <c r="S389" s="9">
        <f t="shared" si="56"/>
        <v>0.99975982927004359</v>
      </c>
      <c r="T389" s="10">
        <f t="shared" ref="T389:T452" si="60">T388*(O388/O389)^$B$9+10*($B$9-1)*$B$33*(S389-S388)/((O388+O389)/2)</f>
        <v>40.23896102410707</v>
      </c>
      <c r="U389" s="10">
        <f t="shared" si="57"/>
        <v>39.856464849614625</v>
      </c>
      <c r="V389" s="8">
        <f t="shared" ref="V389:V452" si="61">V388+(Q388+Q389)/2*(O389-O388)/10</f>
        <v>-83.43315619417443</v>
      </c>
      <c r="W389" s="8">
        <f t="shared" ref="W389:W452" si="62">W388+(T388+T389)/2*(O389-O388)/10</f>
        <v>-81.672355374811218</v>
      </c>
    </row>
    <row r="390" spans="14:23" x14ac:dyDescent="0.25">
      <c r="N390" s="8">
        <v>13</v>
      </c>
      <c r="O390" s="8">
        <f t="shared" si="54"/>
        <v>46.287973454164913</v>
      </c>
      <c r="P390" s="9">
        <f t="shared" si="55"/>
        <v>0.84742059848984419</v>
      </c>
      <c r="Q390" s="10">
        <f t="shared" si="58"/>
        <v>35.674626304316718</v>
      </c>
      <c r="R390" s="10">
        <f t="shared" si="59"/>
        <v>12.813290628301045</v>
      </c>
      <c r="S390" s="9">
        <f t="shared" si="56"/>
        <v>0.99982791015210293</v>
      </c>
      <c r="T390" s="10">
        <f t="shared" si="60"/>
        <v>39.724800421443526</v>
      </c>
      <c r="U390" s="10">
        <f t="shared" si="57"/>
        <v>38.860304792915237</v>
      </c>
      <c r="V390" s="8">
        <f t="shared" si="61"/>
        <v>-81.835721281467471</v>
      </c>
      <c r="W390" s="8">
        <f t="shared" si="62"/>
        <v>-79.884922975792733</v>
      </c>
    </row>
    <row r="391" spans="14:23" x14ac:dyDescent="0.25">
      <c r="N391" s="8">
        <v>13.5</v>
      </c>
      <c r="O391" s="8">
        <f t="shared" si="54"/>
        <v>46.752070152104189</v>
      </c>
      <c r="P391" s="9">
        <f t="shared" si="55"/>
        <v>0.85913444551866291</v>
      </c>
      <c r="Q391" s="10">
        <f t="shared" si="58"/>
        <v>35.528471383133081</v>
      </c>
      <c r="R391" s="10">
        <f t="shared" si="59"/>
        <v>12.64439965320703</v>
      </c>
      <c r="S391" s="9">
        <f t="shared" si="56"/>
        <v>0.99987669223574982</v>
      </c>
      <c r="T391" s="10">
        <f t="shared" si="60"/>
        <v>39.202540535360775</v>
      </c>
      <c r="U391" s="10">
        <f t="shared" si="57"/>
        <v>39.548637386297152</v>
      </c>
      <c r="V391" s="8">
        <f t="shared" si="61"/>
        <v>-80.183465155477819</v>
      </c>
      <c r="W391" s="8">
        <f t="shared" si="62"/>
        <v>-78.053427060033727</v>
      </c>
    </row>
    <row r="392" spans="14:23" x14ac:dyDescent="0.25">
      <c r="N392" s="8">
        <v>14</v>
      </c>
      <c r="O392" s="8">
        <f t="shared" si="54"/>
        <v>47.233146188985231</v>
      </c>
      <c r="P392" s="9">
        <f t="shared" si="55"/>
        <v>0.87023883135533775</v>
      </c>
      <c r="Q392" s="10">
        <f t="shared" si="58"/>
        <v>35.352124134849788</v>
      </c>
      <c r="R392" s="10">
        <f t="shared" si="59"/>
        <v>12.473404197722736</v>
      </c>
      <c r="S392" s="9">
        <f t="shared" si="56"/>
        <v>0.99991164612607797</v>
      </c>
      <c r="T392" s="10">
        <f t="shared" si="60"/>
        <v>38.673345629042217</v>
      </c>
      <c r="U392" s="10">
        <f t="shared" si="57"/>
        <v>39.455573621463131</v>
      </c>
      <c r="V392" s="8">
        <f t="shared" si="61"/>
        <v>-78.478517356299847</v>
      </c>
      <c r="W392" s="8">
        <f t="shared" si="62"/>
        <v>-76.180215925805214</v>
      </c>
    </row>
    <row r="393" spans="14:23" x14ac:dyDescent="0.25">
      <c r="N393" s="8">
        <v>14.5</v>
      </c>
      <c r="O393" s="8">
        <f t="shared" si="54"/>
        <v>47.731142758863214</v>
      </c>
      <c r="P393" s="9">
        <f t="shared" si="55"/>
        <v>0.88073792046089161</v>
      </c>
      <c r="Q393" s="10">
        <f t="shared" si="58"/>
        <v>35.146988161720564</v>
      </c>
      <c r="R393" s="10">
        <f t="shared" si="59"/>
        <v>12.300617176140848</v>
      </c>
      <c r="S393" s="9">
        <f t="shared" si="56"/>
        <v>0.99993669168292432</v>
      </c>
      <c r="T393" s="10">
        <f t="shared" si="60"/>
        <v>38.138304478258476</v>
      </c>
      <c r="U393" s="10">
        <f t="shared" si="57"/>
        <v>37.825143097266832</v>
      </c>
      <c r="V393" s="8">
        <f t="shared" si="61"/>
        <v>-76.723101551143102</v>
      </c>
      <c r="W393" s="8">
        <f t="shared" si="62"/>
        <v>-74.267619011800036</v>
      </c>
    </row>
    <row r="394" spans="14:23" x14ac:dyDescent="0.25">
      <c r="N394" s="8">
        <v>15</v>
      </c>
      <c r="O394" s="8">
        <f t="shared" si="54"/>
        <v>48.245999008082009</v>
      </c>
      <c r="P394" s="9">
        <f t="shared" si="55"/>
        <v>0.89063852699895996</v>
      </c>
      <c r="Q394" s="10">
        <f t="shared" si="58"/>
        <v>34.914548219537352</v>
      </c>
      <c r="R394" s="10">
        <f t="shared" si="59"/>
        <v>12.126341804664458</v>
      </c>
      <c r="S394" s="9">
        <f t="shared" si="56"/>
        <v>0.9999546376085956</v>
      </c>
      <c r="T394" s="10">
        <f t="shared" si="60"/>
        <v>37.598441565315746</v>
      </c>
      <c r="U394" s="10">
        <f t="shared" si="57"/>
        <v>36.890652408338156</v>
      </c>
      <c r="V394" s="8">
        <f t="shared" si="61"/>
        <v>-74.919520559355078</v>
      </c>
      <c r="W394" s="8">
        <f t="shared" si="62"/>
        <v>-72.317942161998488</v>
      </c>
    </row>
    <row r="395" spans="14:23" x14ac:dyDescent="0.25">
      <c r="N395" s="8">
        <v>15.5</v>
      </c>
      <c r="O395" s="8">
        <f t="shared" si="54"/>
        <v>48.777652044981323</v>
      </c>
      <c r="P395" s="9">
        <f t="shared" si="55"/>
        <v>0.89994994727744471</v>
      </c>
      <c r="Q395" s="10">
        <f t="shared" si="58"/>
        <v>34.656355115103146</v>
      </c>
      <c r="R395" s="10">
        <f t="shared" si="59"/>
        <v>11.950870868431338</v>
      </c>
      <c r="S395" s="9">
        <f t="shared" si="56"/>
        <v>0.99996749642623617</v>
      </c>
      <c r="T395" s="10">
        <f t="shared" si="60"/>
        <v>37.054724665792421</v>
      </c>
      <c r="U395" s="10">
        <f t="shared" si="57"/>
        <v>37.338084801197475</v>
      </c>
      <c r="V395" s="8">
        <f t="shared" si="61"/>
        <v>-73.070141457470569</v>
      </c>
      <c r="W395" s="8">
        <f t="shared" si="62"/>
        <v>-70.333463034952587</v>
      </c>
    </row>
    <row r="396" spans="14:23" x14ac:dyDescent="0.25">
      <c r="N396" s="8">
        <v>16</v>
      </c>
      <c r="O396" s="8">
        <f t="shared" si="54"/>
        <v>49.32603694994269</v>
      </c>
      <c r="P396" s="9">
        <f t="shared" si="55"/>
        <v>0.90868377633532382</v>
      </c>
      <c r="Q396" s="10">
        <f t="shared" si="58"/>
        <v>34.374010806631702</v>
      </c>
      <c r="R396" s="10">
        <f t="shared" si="59"/>
        <v>11.774486103051757</v>
      </c>
      <c r="S396" s="9">
        <f t="shared" si="56"/>
        <v>0.99997671017169276</v>
      </c>
      <c r="T396" s="10">
        <f t="shared" si="60"/>
        <v>36.508069956500172</v>
      </c>
      <c r="U396" s="10">
        <f t="shared" si="57"/>
        <v>37.148504069813626</v>
      </c>
      <c r="V396" s="8">
        <f t="shared" si="61"/>
        <v>-71.177380924698625</v>
      </c>
      <c r="W396" s="8">
        <f t="shared" si="62"/>
        <v>-68.316426728070667</v>
      </c>
    </row>
    <row r="397" spans="14:23" x14ac:dyDescent="0.25">
      <c r="N397" s="8">
        <v>16.5</v>
      </c>
      <c r="O397" s="8">
        <f t="shared" si="54"/>
        <v>49.891086785773403</v>
      </c>
      <c r="P397" s="9">
        <f t="shared" si="55"/>
        <v>0.9168537113657782</v>
      </c>
      <c r="Q397" s="10">
        <f t="shared" si="58"/>
        <v>34.069153882810411</v>
      </c>
      <c r="R397" s="10">
        <f t="shared" si="59"/>
        <v>11.597457686773055</v>
      </c>
      <c r="S397" s="9">
        <f t="shared" si="56"/>
        <v>0.99998331210879998</v>
      </c>
      <c r="T397" s="10">
        <f t="shared" si="60"/>
        <v>35.959345445102223</v>
      </c>
      <c r="U397" s="10">
        <f t="shared" si="57"/>
        <v>35.702950591807991</v>
      </c>
      <c r="V397" s="8">
        <f t="shared" si="61"/>
        <v>-69.243690976123432</v>
      </c>
      <c r="W397" s="8">
        <f t="shared" si="62"/>
        <v>-66.269041669283084</v>
      </c>
    </row>
    <row r="398" spans="14:23" x14ac:dyDescent="0.25">
      <c r="N398" s="8">
        <v>17</v>
      </c>
      <c r="O398" s="8">
        <f t="shared" si="54"/>
        <v>50.472732608428991</v>
      </c>
      <c r="P398" s="9">
        <f t="shared" si="55"/>
        <v>0.92447534476192761</v>
      </c>
      <c r="Q398" s="10">
        <f t="shared" si="58"/>
        <v>33.743445578869391</v>
      </c>
      <c r="R398" s="10">
        <f t="shared" si="59"/>
        <v>11.42004383852068</v>
      </c>
      <c r="S398" s="9">
        <f t="shared" si="56"/>
        <v>0.99998804260344776</v>
      </c>
      <c r="T398" s="10">
        <f t="shared" si="60"/>
        <v>35.409373286817136</v>
      </c>
      <c r="U398" s="10">
        <f t="shared" si="57"/>
        <v>34.829884537304444</v>
      </c>
      <c r="V398" s="8">
        <f t="shared" si="61"/>
        <v>-67.271545216108294</v>
      </c>
      <c r="W398" s="8">
        <f t="shared" si="62"/>
        <v>-64.193475813347959</v>
      </c>
    </row>
    <row r="399" spans="14:23" x14ac:dyDescent="0.25">
      <c r="N399" s="8">
        <v>17.5</v>
      </c>
      <c r="O399" s="8">
        <f t="shared" si="54"/>
        <v>51.07090347807209</v>
      </c>
      <c r="P399" s="9">
        <f t="shared" si="55"/>
        <v>0.93156594961841876</v>
      </c>
      <c r="Q399" s="10">
        <f t="shared" si="58"/>
        <v>33.398556469019624</v>
      </c>
      <c r="R399" s="10">
        <f t="shared" si="59"/>
        <v>11.242490516356876</v>
      </c>
      <c r="S399" s="9">
        <f t="shared" si="56"/>
        <v>0.9999914321509773</v>
      </c>
      <c r="T399" s="10">
        <f t="shared" si="60"/>
        <v>34.858931385359142</v>
      </c>
      <c r="U399" s="10">
        <f t="shared" si="57"/>
        <v>35.0909270424116</v>
      </c>
      <c r="V399" s="8">
        <f t="shared" si="61"/>
        <v>-65.263425728380071</v>
      </c>
      <c r="W399" s="8">
        <f t="shared" si="62"/>
        <v>-62.091853167642867</v>
      </c>
    </row>
    <row r="400" spans="14:23" x14ac:dyDescent="0.25">
      <c r="N400" s="8">
        <v>18</v>
      </c>
      <c r="O400" s="8">
        <f t="shared" si="54"/>
        <v>51.685526470469313</v>
      </c>
      <c r="P400" s="9">
        <f t="shared" si="55"/>
        <v>0.93814426052113564</v>
      </c>
      <c r="Q400" s="10">
        <f t="shared" si="58"/>
        <v>33.036153954547643</v>
      </c>
      <c r="R400" s="10">
        <f t="shared" si="59"/>
        <v>11.065031210336159</v>
      </c>
      <c r="S400" s="9">
        <f t="shared" si="56"/>
        <v>0.99999386086791098</v>
      </c>
      <c r="T400" s="10">
        <f t="shared" si="60"/>
        <v>34.308754554855433</v>
      </c>
      <c r="U400" s="10">
        <f t="shared" si="57"/>
        <v>34.833097658745388</v>
      </c>
      <c r="V400" s="8">
        <f t="shared" si="61"/>
        <v>-63.221810702401278</v>
      </c>
      <c r="W400" s="8">
        <f t="shared" si="62"/>
        <v>-59.966250662154565</v>
      </c>
    </row>
    <row r="401" spans="14:23" x14ac:dyDescent="0.25">
      <c r="N401" s="8">
        <v>18.5</v>
      </c>
      <c r="O401" s="8">
        <f t="shared" si="54"/>
        <v>52.316526688724785</v>
      </c>
      <c r="P401" s="9">
        <f t="shared" si="55"/>
        <v>0.94423025240966141</v>
      </c>
      <c r="Q401" s="10">
        <f t="shared" si="58"/>
        <v>32.657890646180348</v>
      </c>
      <c r="R401" s="10">
        <f t="shared" si="59"/>
        <v>10.887886823317416</v>
      </c>
      <c r="S401" s="9">
        <f t="shared" si="56"/>
        <v>0.99999560111963848</v>
      </c>
      <c r="T401" s="10">
        <f t="shared" si="60"/>
        <v>33.759535433428915</v>
      </c>
      <c r="U401" s="10">
        <f t="shared" si="57"/>
        <v>33.54961708210601</v>
      </c>
      <c r="V401" s="8">
        <f t="shared" si="61"/>
        <v>-61.149162878344072</v>
      </c>
      <c r="W401" s="8">
        <f t="shared" si="62"/>
        <v>-57.818695370210357</v>
      </c>
    </row>
    <row r="402" spans="14:23" x14ac:dyDescent="0.25">
      <c r="N402" s="8">
        <v>19</v>
      </c>
      <c r="O402" s="8">
        <f t="shared" si="54"/>
        <v>52.963827275349018</v>
      </c>
      <c r="P402" s="9">
        <f t="shared" si="55"/>
        <v>0.94984492020510347</v>
      </c>
      <c r="Q402" s="10">
        <f t="shared" si="58"/>
        <v>32.265393718513032</v>
      </c>
      <c r="R402" s="10">
        <f t="shared" si="59"/>
        <v>10.711265633003194</v>
      </c>
      <c r="S402" s="9">
        <f t="shared" si="56"/>
        <v>0.99999684806448952</v>
      </c>
      <c r="T402" s="10">
        <f t="shared" si="60"/>
        <v>33.211925277737272</v>
      </c>
      <c r="U402" s="10">
        <f t="shared" si="57"/>
        <v>32.737480017448526</v>
      </c>
      <c r="V402" s="8">
        <f t="shared" si="61"/>
        <v>-59.047918875602178</v>
      </c>
      <c r="W402" s="8">
        <f t="shared" si="62"/>
        <v>-55.651162079939375</v>
      </c>
    </row>
    <row r="403" spans="14:23" x14ac:dyDescent="0.25">
      <c r="N403" s="8">
        <v>19.5</v>
      </c>
      <c r="O403" s="8">
        <f t="shared" si="54"/>
        <v>53.627349424664189</v>
      </c>
      <c r="P403" s="9">
        <f t="shared" si="55"/>
        <v>0.95501006176263181</v>
      </c>
      <c r="Q403" s="10">
        <f t="shared" si="58"/>
        <v>31.860255293750406</v>
      </c>
      <c r="R403" s="10">
        <f t="shared" si="59"/>
        <v>10.535363328307026</v>
      </c>
      <c r="S403" s="9">
        <f t="shared" si="56"/>
        <v>0.99999774153951781</v>
      </c>
      <c r="T403" s="10">
        <f t="shared" si="60"/>
        <v>32.666534724062856</v>
      </c>
      <c r="U403" s="10">
        <f t="shared" si="57"/>
        <v>32.856476703072239</v>
      </c>
      <c r="V403" s="8">
        <f t="shared" si="61"/>
        <v>-56.920479452659812</v>
      </c>
      <c r="W403" s="8">
        <f t="shared" si="62"/>
        <v>-53.465571211240977</v>
      </c>
    </row>
    <row r="404" spans="14:23" x14ac:dyDescent="0.25">
      <c r="N404" s="8">
        <v>20</v>
      </c>
      <c r="O404" s="8">
        <f t="shared" si="54"/>
        <v>54.307012395543978</v>
      </c>
      <c r="P404" s="9">
        <f t="shared" si="55"/>
        <v>0.95974806653759526</v>
      </c>
      <c r="Q404" s="10">
        <f t="shared" si="58"/>
        <v>31.444023892135338</v>
      </c>
      <c r="R404" s="10">
        <f t="shared" si="59"/>
        <v>10.36036311308963</v>
      </c>
      <c r="S404" s="9">
        <f t="shared" si="56"/>
        <v>0.99999838174235078</v>
      </c>
      <c r="T404" s="10">
        <f t="shared" si="60"/>
        <v>32.123934570571954</v>
      </c>
      <c r="U404" s="10">
        <f t="shared" si="57"/>
        <v>32.553230394891024</v>
      </c>
      <c r="V404" s="8">
        <f t="shared" si="61"/>
        <v>-54.769200729615676</v>
      </c>
      <c r="W404" s="8">
        <f t="shared" si="62"/>
        <v>-51.263787068966614</v>
      </c>
    </row>
    <row r="405" spans="14:23" x14ac:dyDescent="0.25">
      <c r="N405" s="8">
        <v>20.5</v>
      </c>
      <c r="O405" s="8">
        <f t="shared" si="54"/>
        <v>55.002733524488413</v>
      </c>
      <c r="P405" s="9">
        <f t="shared" si="55"/>
        <v>0.96408171215101068</v>
      </c>
      <c r="Q405" s="10">
        <f t="shared" si="58"/>
        <v>31.018196967557742</v>
      </c>
      <c r="R405" s="10">
        <f t="shared" si="59"/>
        <v>10.186435870339222</v>
      </c>
      <c r="S405" s="9">
        <f t="shared" si="56"/>
        <v>0.9999988404677258</v>
      </c>
      <c r="T405" s="10">
        <f t="shared" si="60"/>
        <v>31.584656613518121</v>
      </c>
      <c r="U405" s="10">
        <f t="shared" si="57"/>
        <v>31.412790003654631</v>
      </c>
      <c r="V405" s="8">
        <f t="shared" si="61"/>
        <v>-52.59638638897156</v>
      </c>
      <c r="W405" s="8">
        <f t="shared" si="62"/>
        <v>-49.047616419863886</v>
      </c>
    </row>
    <row r="406" spans="14:23" x14ac:dyDescent="0.25">
      <c r="N406" s="8">
        <v>21</v>
      </c>
      <c r="O406" s="8">
        <f t="shared" si="54"/>
        <v>55.71442823903179</v>
      </c>
      <c r="P406" s="9">
        <f t="shared" si="55"/>
        <v>0.96803397080983977</v>
      </c>
      <c r="Q406" s="10">
        <f t="shared" si="58"/>
        <v>30.584214529240707</v>
      </c>
      <c r="R406" s="10">
        <f t="shared" si="59"/>
        <v>10.01374037999024</v>
      </c>
      <c r="S406" s="9">
        <f t="shared" si="56"/>
        <v>0.99999916915881992</v>
      </c>
      <c r="T406" s="10">
        <f t="shared" si="60"/>
        <v>31.049194554891198</v>
      </c>
      <c r="U406" s="10">
        <f t="shared" si="57"/>
        <v>30.660751629640714</v>
      </c>
      <c r="V406" s="8">
        <f t="shared" si="61"/>
        <v>-50.404280855701678</v>
      </c>
      <c r="W406" s="8">
        <f t="shared" si="62"/>
        <v>-46.818807378461216</v>
      </c>
    </row>
    <row r="407" spans="14:23" x14ac:dyDescent="0.25">
      <c r="N407" s="8">
        <v>21.5</v>
      </c>
      <c r="O407" s="8">
        <f t="shared" si="54"/>
        <v>56.442010071483978</v>
      </c>
      <c r="P407" s="9">
        <f t="shared" si="55"/>
        <v>0.97162782728540253</v>
      </c>
      <c r="Q407" s="10">
        <f t="shared" si="58"/>
        <v>30.143453834315533</v>
      </c>
      <c r="R407" s="10">
        <f t="shared" si="59"/>
        <v>9.8424235837635088</v>
      </c>
      <c r="S407" s="9">
        <f t="shared" si="56"/>
        <v>0.99999940467628035</v>
      </c>
      <c r="T407" s="10">
        <f t="shared" si="60"/>
        <v>30.51800498845677</v>
      </c>
      <c r="U407" s="10">
        <f t="shared" si="57"/>
        <v>30.673516327972244</v>
      </c>
      <c r="V407" s="8">
        <f t="shared" si="61"/>
        <v>-48.195063444276428</v>
      </c>
      <c r="W407" s="8">
        <f t="shared" si="62"/>
        <v>-44.579048585326284</v>
      </c>
    </row>
    <row r="408" spans="14:23" x14ac:dyDescent="0.25">
      <c r="N408" s="8">
        <v>22</v>
      </c>
      <c r="O408" s="8">
        <f t="shared" si="54"/>
        <v>57.185390673004434</v>
      </c>
      <c r="P408" s="9">
        <f t="shared" si="55"/>
        <v>0.97488610988545654</v>
      </c>
      <c r="Q408" s="10">
        <f t="shared" si="58"/>
        <v>29.697225121705912</v>
      </c>
      <c r="R408" s="10">
        <f t="shared" si="59"/>
        <v>9.6726208906595392</v>
      </c>
      <c r="S408" s="9">
        <f t="shared" si="56"/>
        <v>0.99999957343191492</v>
      </c>
      <c r="T408" s="10">
        <f t="shared" si="60"/>
        <v>29.991508463968287</v>
      </c>
      <c r="U408" s="10">
        <f t="shared" si="57"/>
        <v>30.342986157506271</v>
      </c>
      <c r="V408" s="8">
        <f t="shared" si="61"/>
        <v>-45.97084344839044</v>
      </c>
      <c r="W408" s="8">
        <f t="shared" si="62"/>
        <v>-42.329968659927587</v>
      </c>
    </row>
    <row r="409" spans="14:23" x14ac:dyDescent="0.25">
      <c r="N409" s="8">
        <v>22.5</v>
      </c>
      <c r="O409" s="8">
        <f t="shared" si="54"/>
        <v>57.94447982800736</v>
      </c>
      <c r="P409" s="9">
        <f t="shared" si="55"/>
        <v>0.97783133557790991</v>
      </c>
      <c r="Q409" s="10">
        <f t="shared" si="58"/>
        <v>29.246768345167009</v>
      </c>
      <c r="R409" s="10">
        <f t="shared" si="59"/>
        <v>9.5044565170328568</v>
      </c>
      <c r="S409" s="9">
        <f t="shared" si="56"/>
        <v>0.99999969435061098</v>
      </c>
      <c r="T409" s="10">
        <f t="shared" si="60"/>
        <v>29.470090624606009</v>
      </c>
      <c r="U409" s="10">
        <f t="shared" si="57"/>
        <v>29.329378145683517</v>
      </c>
      <c r="V409" s="8">
        <f t="shared" si="61"/>
        <v>-43.733656138727113</v>
      </c>
      <c r="W409" s="8">
        <f t="shared" si="62"/>
        <v>-40.073135909564158</v>
      </c>
    </row>
    <row r="410" spans="14:23" x14ac:dyDescent="0.25">
      <c r="N410" s="8">
        <v>23</v>
      </c>
      <c r="O410" s="8">
        <f t="shared" si="54"/>
        <v>58.719185468897166</v>
      </c>
      <c r="P410" s="9">
        <f t="shared" si="55"/>
        <v>0.98048557014280036</v>
      </c>
      <c r="Q410" s="10">
        <f t="shared" si="58"/>
        <v>28.793250852640508</v>
      </c>
      <c r="R410" s="10">
        <f t="shared" si="59"/>
        <v>9.3380438555080385</v>
      </c>
      <c r="S410" s="9">
        <f t="shared" si="56"/>
        <v>0.99999978099264264</v>
      </c>
      <c r="T410" s="10">
        <f t="shared" si="60"/>
        <v>28.954103409711514</v>
      </c>
      <c r="U410" s="10">
        <f t="shared" si="57"/>
        <v>28.636073240993372</v>
      </c>
      <c r="V410" s="8">
        <f t="shared" si="61"/>
        <v>-41.485459625232409</v>
      </c>
      <c r="W410" s="8">
        <f t="shared" si="62"/>
        <v>-37.81005827542284</v>
      </c>
    </row>
    <row r="411" spans="14:23" x14ac:dyDescent="0.25">
      <c r="N411" s="8">
        <v>23.5</v>
      </c>
      <c r="O411" s="8">
        <f t="shared" si="54"/>
        <v>59.509413691134604</v>
      </c>
      <c r="P411" s="9">
        <f t="shared" si="55"/>
        <v>0.98287030394983177</v>
      </c>
      <c r="Q411" s="10">
        <f t="shared" si="58"/>
        <v>28.337765950319962</v>
      </c>
      <c r="R411" s="10">
        <f t="shared" si="59"/>
        <v>9.1734858673581492</v>
      </c>
      <c r="S411" s="9">
        <f t="shared" si="56"/>
        <v>0.99999984307437129</v>
      </c>
      <c r="T411" s="10">
        <f t="shared" si="60"/>
        <v>28.443866313145673</v>
      </c>
      <c r="U411" s="10">
        <f t="shared" si="57"/>
        <v>28.571188229259342</v>
      </c>
      <c r="V411" s="8">
        <f t="shared" si="61"/>
        <v>-39.228132533091376</v>
      </c>
      <c r="W411" s="8">
        <f t="shared" si="62"/>
        <v>-35.542183496716255</v>
      </c>
    </row>
    <row r="412" spans="14:23" x14ac:dyDescent="0.25">
      <c r="N412" s="8">
        <v>24</v>
      </c>
      <c r="O412" s="8">
        <f t="shared" si="54"/>
        <v>60.315068768630567</v>
      </c>
      <c r="P412" s="9">
        <f t="shared" si="55"/>
        <v>0.98500634368684858</v>
      </c>
      <c r="Q412" s="10">
        <f t="shared" si="58"/>
        <v>27.881332282959097</v>
      </c>
      <c r="R412" s="10">
        <f t="shared" si="59"/>
        <v>9.010875493345738</v>
      </c>
      <c r="S412" s="9">
        <f t="shared" si="56"/>
        <v>0.9999998875578735</v>
      </c>
      <c r="T412" s="10">
        <f t="shared" si="60"/>
        <v>27.93966768674337</v>
      </c>
      <c r="U412" s="10">
        <f t="shared" si="57"/>
        <v>28.227433283463832</v>
      </c>
      <c r="V412" s="8">
        <f t="shared" si="61"/>
        <v>-36.963472435897096</v>
      </c>
      <c r="W412" s="8">
        <f t="shared" si="62"/>
        <v>-33.270899474007415</v>
      </c>
    </row>
    <row r="413" spans="14:23" x14ac:dyDescent="0.25">
      <c r="N413" s="8">
        <v>24.5</v>
      </c>
      <c r="O413" s="8">
        <f t="shared" si="54"/>
        <v>61.136053169468923</v>
      </c>
      <c r="P413" s="9">
        <f t="shared" si="55"/>
        <v>0.98691372010512068</v>
      </c>
      <c r="Q413" s="10">
        <f t="shared" si="58"/>
        <v>27.424893956934543</v>
      </c>
      <c r="R413" s="10">
        <f t="shared" si="59"/>
        <v>8.8502960784148268</v>
      </c>
      <c r="S413" s="9">
        <f t="shared" si="56"/>
        <v>0.99999991943169575</v>
      </c>
      <c r="T413" s="10">
        <f t="shared" si="60"/>
        <v>27.441766078098723</v>
      </c>
      <c r="U413" s="10">
        <f t="shared" si="57"/>
        <v>27.326560444263038</v>
      </c>
      <c r="V413" s="8">
        <f t="shared" si="61"/>
        <v>-34.693194985287612</v>
      </c>
      <c r="W413" s="8">
        <f t="shared" si="62"/>
        <v>-30.997534813157518</v>
      </c>
    </row>
    <row r="414" spans="14:23" x14ac:dyDescent="0.25">
      <c r="N414" s="8">
        <v>25</v>
      </c>
      <c r="O414" s="8">
        <f t="shared" si="54"/>
        <v>61.972267571954617</v>
      </c>
      <c r="P414" s="9">
        <f t="shared" si="55"/>
        <v>0.98861161160461963</v>
      </c>
      <c r="Q414" s="10">
        <f t="shared" si="58"/>
        <v>26.969321329316838</v>
      </c>
      <c r="R414" s="10">
        <f t="shared" si="59"/>
        <v>8.6918218060164474</v>
      </c>
      <c r="S414" s="9">
        <f t="shared" si="56"/>
        <v>0.99999994227028743</v>
      </c>
      <c r="T414" s="10">
        <f t="shared" si="60"/>
        <v>26.950391592110957</v>
      </c>
      <c r="U414" s="10">
        <f t="shared" si="57"/>
        <v>26.690010512574837</v>
      </c>
      <c r="V414" s="8">
        <f t="shared" si="61"/>
        <v>-32.418933673574067</v>
      </c>
      <c r="W414" s="8">
        <f t="shared" si="62"/>
        <v>-28.723359531852413</v>
      </c>
    </row>
    <row r="415" spans="14:23" x14ac:dyDescent="0.25">
      <c r="N415" s="8">
        <v>25.5</v>
      </c>
      <c r="O415" s="8">
        <f t="shared" si="54"/>
        <v>62.823610880988248</v>
      </c>
      <c r="P415" s="9">
        <f t="shared" si="55"/>
        <v>0.99011828326036899</v>
      </c>
      <c r="Q415" s="10">
        <f t="shared" si="58"/>
        <v>26.515412384578411</v>
      </c>
      <c r="R415" s="10">
        <f t="shared" si="59"/>
        <v>8.5355181382400129</v>
      </c>
      <c r="S415" s="9">
        <f t="shared" si="56"/>
        <v>0.99999995863485336</v>
      </c>
      <c r="T415" s="10">
        <f t="shared" si="60"/>
        <v>26.465747266201181</v>
      </c>
      <c r="U415" s="10">
        <f t="shared" si="57"/>
        <v>26.569989634464257</v>
      </c>
      <c r="V415" s="8">
        <f t="shared" si="61"/>
        <v>-30.14224016443556</v>
      </c>
      <c r="W415" s="8">
        <f t="shared" si="62"/>
        <v>-26.449585911280646</v>
      </c>
    </row>
    <row r="416" spans="14:23" x14ac:dyDescent="0.25">
      <c r="N416" s="8">
        <v>26</v>
      </c>
      <c r="O416" s="8">
        <f t="shared" si="54"/>
        <v>63.689980244764335</v>
      </c>
      <c r="P416" s="9">
        <f t="shared" si="55"/>
        <v>0.99145104069249568</v>
      </c>
      <c r="Q416" s="10">
        <f t="shared" si="58"/>
        <v>26.063894620446771</v>
      </c>
      <c r="R416" s="10">
        <f t="shared" si="59"/>
        <v>8.3814422583071657</v>
      </c>
      <c r="S416" s="9">
        <f t="shared" si="56"/>
        <v>0.99999997036057731</v>
      </c>
      <c r="T416" s="10">
        <f t="shared" si="60"/>
        <v>25.988010449785129</v>
      </c>
      <c r="U416" s="10">
        <f t="shared" si="57"/>
        <v>26.223612993498008</v>
      </c>
      <c r="V416" s="8">
        <f t="shared" si="61"/>
        <v>-27.864585126548999</v>
      </c>
      <c r="W416" s="8">
        <f t="shared" si="62"/>
        <v>-24.177369476277441</v>
      </c>
    </row>
    <row r="417" spans="14:23" x14ac:dyDescent="0.25">
      <c r="N417" s="8">
        <v>26.5</v>
      </c>
      <c r="O417" s="8">
        <f t="shared" si="54"/>
        <v>64.571271071792694</v>
      </c>
      <c r="P417" s="9">
        <f t="shared" si="55"/>
        <v>0.99262619801014651</v>
      </c>
      <c r="Q417" s="10">
        <f t="shared" si="58"/>
        <v>25.615427365628221</v>
      </c>
      <c r="R417" s="10">
        <f t="shared" si="59"/>
        <v>8.2296435123565921</v>
      </c>
      <c r="S417" s="9">
        <f t="shared" si="56"/>
        <v>0.99999997876242563</v>
      </c>
      <c r="T417" s="10">
        <f t="shared" si="60"/>
        <v>25.517334179372607</v>
      </c>
      <c r="U417" s="10">
        <f t="shared" si="57"/>
        <v>25.423011784023494</v>
      </c>
      <c r="V417" s="8">
        <f t="shared" si="61"/>
        <v>-25.587359505880354</v>
      </c>
      <c r="W417" s="8">
        <f t="shared" si="62"/>
        <v>-21.90781008804689</v>
      </c>
    </row>
    <row r="418" spans="14:23" x14ac:dyDescent="0.25">
      <c r="N418" s="8">
        <v>27</v>
      </c>
      <c r="O418" s="8">
        <f t="shared" si="54"/>
        <v>65.467377048241474</v>
      </c>
      <c r="P418" s="9">
        <f t="shared" si="55"/>
        <v>0.99365905891449324</v>
      </c>
      <c r="Q418" s="10">
        <f t="shared" si="58"/>
        <v>25.170604454518109</v>
      </c>
      <c r="R418" s="10">
        <f t="shared" si="59"/>
        <v>8.0801638478059434</v>
      </c>
      <c r="S418" s="9">
        <f t="shared" si="56"/>
        <v>0.99999998478261298</v>
      </c>
      <c r="T418" s="10">
        <f t="shared" si="60"/>
        <v>25.053848541513236</v>
      </c>
      <c r="U418" s="10">
        <f t="shared" si="57"/>
        <v>24.84066654417737</v>
      </c>
      <c r="V418" s="8">
        <f t="shared" si="61"/>
        <v>-23.311876174172802</v>
      </c>
      <c r="W418" s="8">
        <f t="shared" si="62"/>
        <v>-19.641953134433436</v>
      </c>
    </row>
    <row r="419" spans="14:23" x14ac:dyDescent="0.25">
      <c r="N419" s="8">
        <v>27.5</v>
      </c>
      <c r="O419" s="8">
        <f t="shared" si="54"/>
        <v>66.378190155599896</v>
      </c>
      <c r="P419" s="9">
        <f t="shared" si="55"/>
        <v>0.99456390992949217</v>
      </c>
      <c r="Q419" s="10">
        <f t="shared" si="58"/>
        <v>24.72995718740059</v>
      </c>
      <c r="R419" s="10">
        <f t="shared" si="59"/>
        <v>7.933038245917456</v>
      </c>
      <c r="S419" s="9">
        <f t="shared" si="56"/>
        <v>0.99999998909626575</v>
      </c>
      <c r="T419" s="10">
        <f t="shared" si="60"/>
        <v>24.597662016678715</v>
      </c>
      <c r="U419" s="10">
        <f t="shared" si="57"/>
        <v>24.683008449349376</v>
      </c>
      <c r="V419" s="8">
        <f t="shared" si="61"/>
        <v>-21.039371893772479</v>
      </c>
      <c r="W419" s="8">
        <f t="shared" si="62"/>
        <v>-17.380790803606121</v>
      </c>
    </row>
    <row r="420" spans="14:23" x14ac:dyDescent="0.25">
      <c r="N420" s="8">
        <v>28</v>
      </c>
      <c r="O420" s="8">
        <f t="shared" si="54"/>
        <v>67.303600688659884</v>
      </c>
      <c r="P420" s="9">
        <f t="shared" si="55"/>
        <v>0.99535402464095357</v>
      </c>
      <c r="Q420" s="10">
        <f t="shared" si="58"/>
        <v>24.293957508844937</v>
      </c>
      <c r="R420" s="10">
        <f t="shared" si="59"/>
        <v>7.7882951465147148</v>
      </c>
      <c r="S420" s="9">
        <f t="shared" si="56"/>
        <v>0.99999999218713298</v>
      </c>
      <c r="T420" s="10">
        <f t="shared" si="60"/>
        <v>24.148862798035935</v>
      </c>
      <c r="U420" s="10">
        <f t="shared" si="57"/>
        <v>24.341757846077069</v>
      </c>
      <c r="V420" s="8">
        <f t="shared" si="61"/>
        <v>-18.771009542185482</v>
      </c>
      <c r="W420" s="8">
        <f t="shared" si="62"/>
        <v>-15.12526342792577</v>
      </c>
    </row>
    <row r="421" spans="14:23" x14ac:dyDescent="0.25">
      <c r="N421" s="8">
        <v>28.5</v>
      </c>
      <c r="O421" s="8">
        <f t="shared" si="54"/>
        <v>68.243497273814683</v>
      </c>
      <c r="P421" s="9">
        <f t="shared" si="55"/>
        <v>0.99604167776427099</v>
      </c>
      <c r="Q421" s="10">
        <f t="shared" si="58"/>
        <v>23.863021341854235</v>
      </c>
      <c r="R421" s="10">
        <f t="shared" si="59"/>
        <v>7.6459568630988555</v>
      </c>
      <c r="S421" s="9">
        <f t="shared" si="56"/>
        <v>0.99999999440183618</v>
      </c>
      <c r="T421" s="10">
        <f t="shared" si="60"/>
        <v>23.707520079905027</v>
      </c>
      <c r="U421" s="10">
        <f t="shared" si="57"/>
        <v>23.630295434128726</v>
      </c>
      <c r="V421" s="8">
        <f t="shared" si="61"/>
        <v>-16.50788054352828</v>
      </c>
      <c r="W421" s="8">
        <f t="shared" si="62"/>
        <v>-12.876260885683905</v>
      </c>
    </row>
    <row r="422" spans="14:23" x14ac:dyDescent="0.25">
      <c r="N422" s="8">
        <v>29</v>
      </c>
      <c r="O422" s="8">
        <f t="shared" si="54"/>
        <v>69.19776688767196</v>
      </c>
      <c r="P422" s="9">
        <f t="shared" si="55"/>
        <v>0.99663816782767234</v>
      </c>
      <c r="Q422" s="10">
        <f t="shared" si="58"/>
        <v>23.437512020644785</v>
      </c>
      <c r="R422" s="10">
        <f t="shared" si="59"/>
        <v>7.5060399868917669</v>
      </c>
      <c r="S422" s="9">
        <f t="shared" si="56"/>
        <v>0.99999999598874034</v>
      </c>
      <c r="T422" s="10">
        <f t="shared" si="60"/>
        <v>23.273685311496664</v>
      </c>
      <c r="U422" s="10">
        <f t="shared" si="57"/>
        <v>23.099146654275202</v>
      </c>
      <c r="V422" s="8">
        <f t="shared" si="61"/>
        <v>-14.251007458174518</v>
      </c>
      <c r="W422" s="8">
        <f t="shared" si="62"/>
        <v>-10.634624049313787</v>
      </c>
    </row>
    <row r="423" spans="14:23" x14ac:dyDescent="0.25">
      <c r="N423" s="8">
        <v>29.5</v>
      </c>
      <c r="O423" s="8">
        <f t="shared" si="54"/>
        <v>70.166294875981407</v>
      </c>
      <c r="P423" s="9">
        <f t="shared" si="55"/>
        <v>0.99715384724938727</v>
      </c>
      <c r="Q423" s="10">
        <f t="shared" si="58"/>
        <v>23.01774377057065</v>
      </c>
      <c r="R423" s="10">
        <f t="shared" si="59"/>
        <v>7.3685557785910492</v>
      </c>
      <c r="S423" s="9">
        <f t="shared" si="56"/>
        <v>0.99999999712580689</v>
      </c>
      <c r="T423" s="10">
        <f t="shared" si="60"/>
        <v>22.847393412273714</v>
      </c>
      <c r="U423" s="10">
        <f t="shared" si="57"/>
        <v>22.917269161366683</v>
      </c>
      <c r="V423" s="8">
        <f t="shared" si="61"/>
        <v>-12.001346686281185</v>
      </c>
      <c r="W423" s="8">
        <f t="shared" si="62"/>
        <v>-8.4011462695640411</v>
      </c>
    </row>
    <row r="424" spans="14:23" x14ac:dyDescent="0.25">
      <c r="N424" s="8">
        <v>30</v>
      </c>
      <c r="O424" s="8">
        <f t="shared" si="54"/>
        <v>71.148964972872875</v>
      </c>
      <c r="P424" s="9">
        <f t="shared" si="55"/>
        <v>0.99759815860153289</v>
      </c>
      <c r="Q424" s="10">
        <f t="shared" si="58"/>
        <v>22.603985189514507</v>
      </c>
      <c r="R424" s="10">
        <f t="shared" si="59"/>
        <v>7.2335105468578673</v>
      </c>
      <c r="S424" s="9">
        <f t="shared" si="56"/>
        <v>0.99999999794055061</v>
      </c>
      <c r="T424" s="10">
        <f t="shared" si="60"/>
        <v>22.428663945982205</v>
      </c>
      <c r="U424" s="10">
        <f t="shared" si="57"/>
        <v>22.586593053929935</v>
      </c>
      <c r="V424" s="8">
        <f t="shared" si="61"/>
        <v>-9.7597912454030258</v>
      </c>
      <c r="W424" s="8">
        <f t="shared" si="62"/>
        <v>-6.1765748860089911</v>
      </c>
    </row>
    <row r="425" spans="14:23" x14ac:dyDescent="0.25">
      <c r="N425" s="8">
        <v>30.5</v>
      </c>
      <c r="O425" s="8">
        <f t="shared" si="54"/>
        <v>72.145659320404988</v>
      </c>
      <c r="P425" s="9">
        <f t="shared" si="55"/>
        <v>0.99797967588832193</v>
      </c>
      <c r="Q425" s="10">
        <f t="shared" si="58"/>
        <v>22.196462690903896</v>
      </c>
      <c r="R425" s="10">
        <f t="shared" si="59"/>
        <v>7.1009060127726897</v>
      </c>
      <c r="S425" s="9">
        <f t="shared" si="56"/>
        <v>0.99999999852434007</v>
      </c>
      <c r="T425" s="10">
        <f t="shared" si="60"/>
        <v>22.017502251036319</v>
      </c>
      <c r="U425" s="10">
        <f t="shared" si="57"/>
        <v>21.95427605864371</v>
      </c>
      <c r="V425" s="8">
        <f t="shared" si="61"/>
        <v>-7.5271735869370229</v>
      </c>
      <c r="W425" s="8">
        <f t="shared" si="62"/>
        <v>-3.9616127551069291</v>
      </c>
    </row>
    <row r="426" spans="14:23" x14ac:dyDescent="0.25">
      <c r="N426" s="8">
        <v>31</v>
      </c>
      <c r="O426" s="8">
        <f t="shared" si="54"/>
        <v>73.156258488420306</v>
      </c>
      <c r="P426" s="9">
        <f t="shared" si="55"/>
        <v>0.99830614971863774</v>
      </c>
      <c r="Q426" s="10">
        <f t="shared" si="58"/>
        <v>21.795363874270361</v>
      </c>
      <c r="R426" s="10">
        <f t="shared" si="59"/>
        <v>6.9707396596879763</v>
      </c>
      <c r="S426" s="9">
        <f t="shared" si="56"/>
        <v>0.99999999894264346</v>
      </c>
      <c r="T426" s="10">
        <f t="shared" si="60"/>
        <v>21.613900525527232</v>
      </c>
      <c r="U426" s="10">
        <f t="shared" si="57"/>
        <v>21.471000359259083</v>
      </c>
      <c r="V426" s="8">
        <f t="shared" si="61"/>
        <v>-5.3042684206250588</v>
      </c>
      <c r="W426" s="8">
        <f t="shared" si="62"/>
        <v>-1.7569197878401108</v>
      </c>
    </row>
    <row r="427" spans="14:23" x14ac:dyDescent="0.25">
      <c r="N427" s="8">
        <v>31.5</v>
      </c>
      <c r="O427" s="8">
        <f t="shared" si="54"/>
        <v>74.180641494706833</v>
      </c>
      <c r="P427" s="9">
        <f t="shared" si="55"/>
        <v>0.99858455532021828</v>
      </c>
      <c r="Q427" s="10">
        <f t="shared" si="58"/>
        <v>21.400840794840811</v>
      </c>
      <c r="R427" s="10">
        <f t="shared" si="59"/>
        <v>6.8430050680798891</v>
      </c>
      <c r="S427" s="9">
        <f t="shared" si="56"/>
        <v>0.99999999924237093</v>
      </c>
      <c r="T427" s="10">
        <f t="shared" si="60"/>
        <v>21.217838865650407</v>
      </c>
      <c r="U427" s="10">
        <f t="shared" si="57"/>
        <v>21.275048290327181</v>
      </c>
      <c r="V427" s="8">
        <f t="shared" si="61"/>
        <v>-3.0917955206694478</v>
      </c>
      <c r="W427" s="8">
        <f t="shared" si="62"/>
        <v>0.43688551026066946</v>
      </c>
    </row>
    <row r="428" spans="14:23" x14ac:dyDescent="0.25">
      <c r="N428" s="8">
        <v>32</v>
      </c>
      <c r="O428" s="8">
        <f t="shared" si="54"/>
        <v>75.218685825461137</v>
      </c>
      <c r="P428" s="9">
        <f t="shared" si="55"/>
        <v>0.99882114242167308</v>
      </c>
      <c r="Q428" s="10">
        <f t="shared" si="58"/>
        <v>21.013013108957981</v>
      </c>
      <c r="R428" s="10">
        <f t="shared" si="59"/>
        <v>6.7176922351560346</v>
      </c>
      <c r="S428" s="9">
        <f t="shared" si="56"/>
        <v>0.99999999945713502</v>
      </c>
      <c r="T428" s="10">
        <f t="shared" si="60"/>
        <v>20.829286256817937</v>
      </c>
      <c r="U428" s="10">
        <f t="shared" si="57"/>
        <v>20.958587674300919</v>
      </c>
      <c r="V428" s="8">
        <f t="shared" si="61"/>
        <v>-0.89042249115546745</v>
      </c>
      <c r="W428" s="8">
        <f t="shared" si="62"/>
        <v>2.6192245031554249</v>
      </c>
    </row>
    <row r="429" spans="14:23" x14ac:dyDescent="0.25">
      <c r="N429" s="8">
        <v>32.5</v>
      </c>
      <c r="O429" s="8">
        <f t="shared" si="54"/>
        <v>76.270267456053915</v>
      </c>
      <c r="P429" s="9">
        <f t="shared" si="55"/>
        <v>0.99902148611638864</v>
      </c>
      <c r="Q429" s="10">
        <f t="shared" si="58"/>
        <v>20.631971077095468</v>
      </c>
      <c r="R429" s="10">
        <f t="shared" si="59"/>
        <v>6.5947878791117569</v>
      </c>
      <c r="S429" s="9">
        <f t="shared" si="56"/>
        <v>0.99999999961102026</v>
      </c>
      <c r="T429" s="10">
        <f t="shared" si="60"/>
        <v>20.448201517136972</v>
      </c>
      <c r="U429" s="10">
        <f t="shared" si="57"/>
        <v>20.396436289025118</v>
      </c>
      <c r="V429" s="8">
        <f t="shared" si="61"/>
        <v>1.2992325276635608</v>
      </c>
      <c r="W429" s="8">
        <f t="shared" si="62"/>
        <v>4.7895568981608747</v>
      </c>
    </row>
    <row r="430" spans="14:23" x14ac:dyDescent="0.25">
      <c r="N430" s="8">
        <v>33</v>
      </c>
      <c r="O430" s="8">
        <f t="shared" si="54"/>
        <v>77.335260872092533</v>
      </c>
      <c r="P430" s="9">
        <f t="shared" si="55"/>
        <v>0.99919053791621615</v>
      </c>
      <c r="Q430" s="10">
        <f t="shared" si="58"/>
        <v>20.257778410820436</v>
      </c>
      <c r="R430" s="10">
        <f t="shared" si="59"/>
        <v>6.4742757280475871</v>
      </c>
      <c r="S430" s="9">
        <f t="shared" si="56"/>
        <v>0.99999999972128384</v>
      </c>
      <c r="T430" s="10">
        <f t="shared" si="60"/>
        <v>20.074534193303283</v>
      </c>
      <c r="U430" s="10">
        <f t="shared" si="57"/>
        <v>19.957537432559594</v>
      </c>
      <c r="V430" s="8">
        <f t="shared" si="61"/>
        <v>3.4765982270685059</v>
      </c>
      <c r="W430" s="8">
        <f t="shared" si="62"/>
        <v>6.9473792347354681</v>
      </c>
    </row>
    <row r="431" spans="14:23" x14ac:dyDescent="0.25">
      <c r="N431" s="8">
        <v>33.5</v>
      </c>
      <c r="O431" s="8">
        <f t="shared" si="54"/>
        <v>78.41353909077958</v>
      </c>
      <c r="P431" s="9">
        <f t="shared" si="55"/>
        <v>0.99933267629999656</v>
      </c>
      <c r="Q431" s="10">
        <f t="shared" si="58"/>
        <v>19.89047495421876</v>
      </c>
      <c r="R431" s="10">
        <f t="shared" si="59"/>
        <v>6.3561367936632918</v>
      </c>
      <c r="S431" s="9">
        <f t="shared" si="56"/>
        <v>0.99999999980029108</v>
      </c>
      <c r="T431" s="10">
        <f t="shared" si="60"/>
        <v>19.708225409275091</v>
      </c>
      <c r="U431" s="10">
        <f t="shared" si="57"/>
        <v>19.755064524623865</v>
      </c>
      <c r="V431" s="8">
        <f t="shared" si="61"/>
        <v>5.6411475831610396</v>
      </c>
      <c r="W431" s="8">
        <f t="shared" si="62"/>
        <v>9.0922233926716274</v>
      </c>
    </row>
    <row r="432" spans="14:23" x14ac:dyDescent="0.25">
      <c r="N432" s="8">
        <v>34</v>
      </c>
      <c r="O432" s="8">
        <f t="shared" si="54"/>
        <v>79.504973682564</v>
      </c>
      <c r="P432" s="9">
        <f t="shared" si="55"/>
        <v>0.99945175616001047</v>
      </c>
      <c r="Q432" s="10">
        <f t="shared" si="58"/>
        <v>19.53007919401869</v>
      </c>
      <c r="R432" s="10">
        <f t="shared" si="59"/>
        <v>6.2403496299330854</v>
      </c>
      <c r="S432" s="9">
        <f t="shared" si="56"/>
        <v>0.99999999985690236</v>
      </c>
      <c r="T432" s="10">
        <f t="shared" si="60"/>
        <v>19.349208668366451</v>
      </c>
      <c r="U432" s="10">
        <f t="shared" si="57"/>
        <v>19.455071715276343</v>
      </c>
      <c r="V432" s="8">
        <f t="shared" si="61"/>
        <v>7.7923954043958981</v>
      </c>
      <c r="W432" s="8">
        <f t="shared" si="62"/>
        <v>11.223655123605507</v>
      </c>
    </row>
    <row r="433" spans="14:23" x14ac:dyDescent="0.25">
      <c r="N433" s="8">
        <v>34.5</v>
      </c>
      <c r="O433" s="8">
        <f t="shared" si="54"/>
        <v>80.609434793082983</v>
      </c>
      <c r="P433" s="9">
        <f t="shared" si="55"/>
        <v>0.99955115664613903</v>
      </c>
      <c r="Q433" s="10">
        <f t="shared" si="58"/>
        <v>19.176590595917148</v>
      </c>
      <c r="R433" s="10">
        <f t="shared" si="59"/>
        <v>6.1268905770417534</v>
      </c>
      <c r="S433" s="9">
        <f t="shared" si="56"/>
        <v>0.99999999989746602</v>
      </c>
      <c r="T433" s="10">
        <f t="shared" si="60"/>
        <v>18.997410609631107</v>
      </c>
      <c r="U433" s="10">
        <f t="shared" si="57"/>
        <v>18.955028825435836</v>
      </c>
      <c r="V433" s="8">
        <f t="shared" si="61"/>
        <v>9.9298959794301034</v>
      </c>
      <c r="W433" s="8">
        <f t="shared" si="62"/>
        <v>13.341272609226799</v>
      </c>
    </row>
    <row r="434" spans="14:23" x14ac:dyDescent="0.25">
      <c r="N434" s="8">
        <v>35</v>
      </c>
      <c r="O434" s="8">
        <f t="shared" si="54"/>
        <v>81.726791165390409</v>
      </c>
      <c r="P434" s="9">
        <f t="shared" si="55"/>
        <v>0.9996338270009828</v>
      </c>
      <c r="Q434" s="10">
        <f t="shared" si="58"/>
        <v>18.829991767432585</v>
      </c>
      <c r="R434" s="10">
        <f t="shared" si="59"/>
        <v>6.0157339909247716</v>
      </c>
      <c r="S434" s="9">
        <f t="shared" si="56"/>
        <v>0.99999999992653121</v>
      </c>
      <c r="T434" s="10">
        <f t="shared" si="60"/>
        <v>18.652751719603227</v>
      </c>
      <c r="U434" s="10">
        <f t="shared" si="57"/>
        <v>18.556962873571862</v>
      </c>
      <c r="V434" s="8">
        <f t="shared" si="61"/>
        <v>12.053240829095898</v>
      </c>
      <c r="W434" s="8">
        <f t="shared" si="62"/>
        <v>15.44470504907575</v>
      </c>
    </row>
    <row r="435" spans="14:23" x14ac:dyDescent="0.25">
      <c r="N435" s="8">
        <v>35.5</v>
      </c>
      <c r="O435" s="8">
        <f t="shared" si="54"/>
        <v>82.856910162469958</v>
      </c>
      <c r="P435" s="9">
        <f t="shared" si="55"/>
        <v>0.99970233006781528</v>
      </c>
      <c r="Q435" s="10">
        <f t="shared" si="58"/>
        <v>18.490250449989208</v>
      </c>
      <c r="R435" s="10">
        <f t="shared" si="59"/>
        <v>5.9068524588072142</v>
      </c>
      <c r="S435" s="9">
        <f t="shared" si="56"/>
        <v>0.99999999994735733</v>
      </c>
      <c r="T435" s="10">
        <f t="shared" si="60"/>
        <v>18.315147000620762</v>
      </c>
      <c r="U435" s="10">
        <f t="shared" si="57"/>
        <v>18.35349562480377</v>
      </c>
      <c r="V435" s="8">
        <f t="shared" si="61"/>
        <v>14.162056564371827</v>
      </c>
      <c r="W435" s="8">
        <f t="shared" si="62"/>
        <v>17.533611280367644</v>
      </c>
    </row>
    <row r="436" spans="14:23" x14ac:dyDescent="0.25">
      <c r="N436" s="8">
        <v>36</v>
      </c>
      <c r="O436" s="8">
        <f t="shared" si="54"/>
        <v>83.999657790028593</v>
      </c>
      <c r="P436" s="9">
        <f t="shared" si="55"/>
        <v>0.9997588832357619</v>
      </c>
      <c r="Q436" s="10">
        <f t="shared" si="58"/>
        <v>18.157321344902225</v>
      </c>
      <c r="R436" s="10">
        <f t="shared" si="59"/>
        <v>5.800217001178372</v>
      </c>
      <c r="S436" s="9">
        <f t="shared" si="56"/>
        <v>0.99999999996227984</v>
      </c>
      <c r="T436" s="10">
        <f t="shared" si="60"/>
        <v>17.984506597087584</v>
      </c>
      <c r="U436" s="10">
        <f t="shared" si="57"/>
        <v>18.071179929207251</v>
      </c>
      <c r="V436" s="8">
        <f t="shared" si="61"/>
        <v>16.256002850591674</v>
      </c>
      <c r="W436" s="8">
        <f t="shared" si="62"/>
        <v>19.607678431866717</v>
      </c>
    </row>
    <row r="437" spans="14:23" x14ac:dyDescent="0.25">
      <c r="N437" s="8">
        <v>36.5</v>
      </c>
      <c r="O437" s="8">
        <f t="shared" si="54"/>
        <v>85.154898719568052</v>
      </c>
      <c r="P437" s="9">
        <f t="shared" si="55"/>
        <v>0.99980539666203183</v>
      </c>
      <c r="Q437" s="10">
        <f t="shared" si="58"/>
        <v>17.831147779506029</v>
      </c>
      <c r="R437" s="10">
        <f t="shared" si="59"/>
        <v>5.6957972606717382</v>
      </c>
      <c r="S437" s="9">
        <f t="shared" si="56"/>
        <v>0.99999999997297229</v>
      </c>
      <c r="T437" s="10">
        <f t="shared" si="60"/>
        <v>17.660736381131443</v>
      </c>
      <c r="U437" s="10">
        <f t="shared" si="57"/>
        <v>17.626037111040457</v>
      </c>
      <c r="V437" s="8">
        <f t="shared" si="61"/>
        <v>18.334770476790851</v>
      </c>
      <c r="W437" s="8">
        <f t="shared" si="62"/>
        <v>21.666620613457599</v>
      </c>
    </row>
    <row r="438" spans="14:23" x14ac:dyDescent="0.25">
      <c r="N438" s="8">
        <v>37</v>
      </c>
      <c r="O438" s="8">
        <f t="shared" si="54"/>
        <v>86.322496311730845</v>
      </c>
      <c r="P438" s="9">
        <f t="shared" si="55"/>
        <v>0.99984350867871885</v>
      </c>
      <c r="Q438" s="10">
        <f t="shared" si="58"/>
        <v>17.511663220879896</v>
      </c>
      <c r="R438" s="10">
        <f t="shared" si="59"/>
        <v>5.5935616783449786</v>
      </c>
      <c r="S438" s="9">
        <f t="shared" si="56"/>
        <v>0.99999999998063382</v>
      </c>
      <c r="T438" s="10">
        <f t="shared" si="60"/>
        <v>17.343738499192018</v>
      </c>
      <c r="U438" s="10">
        <f t="shared" si="57"/>
        <v>17.265313225144286</v>
      </c>
      <c r="V438" s="8">
        <f t="shared" si="61"/>
        <v>20.398079528006612</v>
      </c>
      <c r="W438" s="8">
        <f t="shared" si="62"/>
        <v>23.710177642717031</v>
      </c>
    </row>
    <row r="439" spans="14:23" x14ac:dyDescent="0.25">
      <c r="N439" s="8">
        <v>37.5</v>
      </c>
      <c r="O439" s="8">
        <f t="shared" si="54"/>
        <v>87.502312639916454</v>
      </c>
      <c r="P439" s="9">
        <f t="shared" si="55"/>
        <v>0.99987461835125069</v>
      </c>
      <c r="Q439" s="10">
        <f t="shared" si="58"/>
        <v>17.198792645512182</v>
      </c>
      <c r="R439" s="10">
        <f t="shared" si="59"/>
        <v>5.4934776578723623</v>
      </c>
      <c r="S439" s="9">
        <f t="shared" si="56"/>
        <v>0.99999999998612354</v>
      </c>
      <c r="T439" s="10">
        <f t="shared" si="60"/>
        <v>17.033411881128565</v>
      </c>
      <c r="U439" s="10">
        <f t="shared" si="57"/>
        <v>17.064809079085425</v>
      </c>
      <c r="V439" s="8">
        <f t="shared" si="61"/>
        <v>22.445677657503378</v>
      </c>
      <c r="W439" s="8">
        <f t="shared" si="62"/>
        <v>25.738113809476751</v>
      </c>
    </row>
    <row r="440" spans="14:23" x14ac:dyDescent="0.25">
      <c r="N440" s="8">
        <v>38</v>
      </c>
      <c r="O440" s="8">
        <f t="shared" si="54"/>
        <v>88.694208514164657</v>
      </c>
      <c r="P440" s="9">
        <f t="shared" si="55"/>
        <v>0.99989991520685717</v>
      </c>
      <c r="Q440" s="10">
        <f t="shared" si="58"/>
        <v>16.892453773839375</v>
      </c>
      <c r="R440" s="10">
        <f t="shared" si="59"/>
        <v>5.3955117181735615</v>
      </c>
      <c r="S440" s="9">
        <f t="shared" si="56"/>
        <v>0.99999999999005706</v>
      </c>
      <c r="T440" s="10">
        <f t="shared" si="60"/>
        <v>16.7296527134719</v>
      </c>
      <c r="U440" s="10">
        <f t="shared" si="57"/>
        <v>16.800614835950011</v>
      </c>
      <c r="V440" s="8">
        <f t="shared" si="61"/>
        <v>24.477338455263574</v>
      </c>
      <c r="W440" s="8">
        <f t="shared" si="62"/>
        <v>27.750216679090745</v>
      </c>
    </row>
    <row r="441" spans="14:23" x14ac:dyDescent="0.25">
      <c r="N441" s="8">
        <v>38.5</v>
      </c>
      <c r="O441" s="8">
        <f t="shared" si="54"/>
        <v>89.898043505302738</v>
      </c>
      <c r="P441" s="9">
        <f t="shared" si="55"/>
        <v>0.99992040619455846</v>
      </c>
      <c r="Q441" s="10">
        <f t="shared" si="58"/>
        <v>16.592558178938724</v>
      </c>
      <c r="R441" s="10">
        <f t="shared" si="59"/>
        <v>5.2996296350088281</v>
      </c>
      <c r="S441" s="9">
        <f t="shared" si="56"/>
        <v>0.99999999999287559</v>
      </c>
      <c r="T441" s="10">
        <f t="shared" si="60"/>
        <v>16.432354878464317</v>
      </c>
      <c r="U441" s="10">
        <f t="shared" si="57"/>
        <v>16.403945518931469</v>
      </c>
      <c r="V441" s="8">
        <f t="shared" si="61"/>
        <v>26.492859908635133</v>
      </c>
      <c r="W441" s="8">
        <f t="shared" si="62"/>
        <v>29.746295934868719</v>
      </c>
    </row>
    <row r="442" spans="14:23" x14ac:dyDescent="0.25">
      <c r="N442" s="8">
        <v>39</v>
      </c>
      <c r="O442" s="8">
        <f t="shared" si="54"/>
        <v>91.113675969350993</v>
      </c>
      <c r="P442" s="9">
        <f t="shared" si="55"/>
        <v>0.99993693997340016</v>
      </c>
      <c r="Q442" s="10">
        <f t="shared" si="58"/>
        <v>16.29901227877864</v>
      </c>
      <c r="R442" s="10">
        <f t="shared" si="59"/>
        <v>5.2057965720721295</v>
      </c>
      <c r="S442" s="9">
        <f t="shared" si="56"/>
        <v>0.99999999999489519</v>
      </c>
      <c r="T442" s="10">
        <f t="shared" si="60"/>
        <v>16.141410360535879</v>
      </c>
      <c r="U442" s="10">
        <f t="shared" si="57"/>
        <v>16.077201176854434</v>
      </c>
      <c r="V442" s="8">
        <f t="shared" si="61"/>
        <v>28.492062950731722</v>
      </c>
      <c r="W442" s="8">
        <f t="shared" si="62"/>
        <v>31.726182259909478</v>
      </c>
    </row>
    <row r="443" spans="14:23" x14ac:dyDescent="0.25">
      <c r="N443" s="8">
        <v>39.5</v>
      </c>
      <c r="O443" s="8">
        <f t="shared" si="54"/>
        <v>92.340963072184366</v>
      </c>
      <c r="P443" s="9">
        <f t="shared" si="55"/>
        <v>0.99995022865344563</v>
      </c>
      <c r="Q443" s="10">
        <f t="shared" si="58"/>
        <v>16.011718221373112</v>
      </c>
      <c r="R443" s="10">
        <f t="shared" si="59"/>
        <v>5.1139772021108758</v>
      </c>
      <c r="S443" s="9">
        <f t="shared" si="56"/>
        <v>0.99999999999634226</v>
      </c>
      <c r="T443" s="10">
        <f t="shared" si="60"/>
        <v>15.856709621856261</v>
      </c>
      <c r="U443" s="10">
        <f t="shared" si="57"/>
        <v>15.882415473384018</v>
      </c>
      <c r="V443" s="8">
        <f t="shared" si="61"/>
        <v>30.474790092029778</v>
      </c>
      <c r="W443" s="8">
        <f t="shared" si="62"/>
        <v>33.689726258374712</v>
      </c>
    </row>
    <row r="444" spans="14:23" x14ac:dyDescent="0.25">
      <c r="N444" s="8">
        <v>40</v>
      </c>
      <c r="O444" s="8">
        <f t="shared" si="54"/>
        <v>93.579760814444271</v>
      </c>
      <c r="P444" s="9">
        <f t="shared" si="55"/>
        <v>0.99996086713490717</v>
      </c>
      <c r="Q444" s="10">
        <f t="shared" si="58"/>
        <v>15.73057467198123</v>
      </c>
      <c r="R444" s="10">
        <f t="shared" si="59"/>
        <v>5.0241358185950435</v>
      </c>
      <c r="S444" s="9">
        <f t="shared" si="56"/>
        <v>0.9999999999973791</v>
      </c>
      <c r="T444" s="10">
        <f t="shared" si="60"/>
        <v>15.578141948583305</v>
      </c>
      <c r="U444" s="10">
        <f t="shared" si="57"/>
        <v>15.63624082055982</v>
      </c>
      <c r="V444" s="8">
        <f t="shared" si="61"/>
        <v>32.440904130551779</v>
      </c>
      <c r="W444" s="8">
        <f t="shared" si="62"/>
        <v>35.636797416061498</v>
      </c>
    </row>
    <row r="445" spans="14:23" x14ac:dyDescent="0.25">
      <c r="N445" s="8">
        <v>40.5</v>
      </c>
      <c r="O445" s="8">
        <f t="shared" si="54"/>
        <v>94.829924056697536</v>
      </c>
      <c r="P445" s="9">
        <f t="shared" si="55"/>
        <v>0.99996935020541788</v>
      </c>
      <c r="Q445" s="10">
        <f t="shared" si="58"/>
        <v>15.455477511168239</v>
      </c>
      <c r="R445" s="10">
        <f t="shared" si="59"/>
        <v>4.9362364384492867</v>
      </c>
      <c r="S445" s="9">
        <f t="shared" si="56"/>
        <v>0.99999999999812206</v>
      </c>
      <c r="T445" s="10">
        <f t="shared" si="60"/>
        <v>15.30559576940079</v>
      </c>
      <c r="U445" s="10">
        <f t="shared" si="57"/>
        <v>15.282336153075999</v>
      </c>
      <c r="V445" s="8">
        <f t="shared" si="61"/>
        <v>34.390286936070062</v>
      </c>
      <c r="W445" s="8">
        <f t="shared" si="62"/>
        <v>37.56728309998222</v>
      </c>
    </row>
    <row r="446" spans="14:23" x14ac:dyDescent="0.25">
      <c r="N446" s="8">
        <v>41</v>
      </c>
      <c r="O446" s="8">
        <f t="shared" si="54"/>
        <v>96.091306544837835</v>
      </c>
      <c r="P446" s="9">
        <f t="shared" si="55"/>
        <v>0.99997608756450773</v>
      </c>
      <c r="Q446" s="10">
        <f t="shared" si="58"/>
        <v>15.186320452130909</v>
      </c>
      <c r="R446" s="10">
        <f t="shared" si="59"/>
        <v>4.8502428963503137</v>
      </c>
      <c r="S446" s="9">
        <f t="shared" si="56"/>
        <v>0.99999999999865441</v>
      </c>
      <c r="T446" s="10">
        <f t="shared" si="60"/>
        <v>15.038958947902856</v>
      </c>
      <c r="U446" s="10">
        <f t="shared" si="57"/>
        <v>14.986388914592823</v>
      </c>
      <c r="V446" s="8">
        <f t="shared" si="61"/>
        <v>36.32283830387199</v>
      </c>
      <c r="W446" s="8">
        <f t="shared" si="62"/>
        <v>39.481087596523317</v>
      </c>
    </row>
    <row r="447" spans="14:23" x14ac:dyDescent="0.25">
      <c r="N447" s="8">
        <v>41.5</v>
      </c>
      <c r="O447" s="8">
        <f t="shared" si="54"/>
        <v>97.363760935723491</v>
      </c>
      <c r="P447" s="9">
        <f t="shared" si="55"/>
        <v>0.99998141694856557</v>
      </c>
      <c r="Q447" s="10">
        <f t="shared" si="58"/>
        <v>14.922995585211469</v>
      </c>
      <c r="R447" s="10">
        <f t="shared" si="59"/>
        <v>4.766118931078557</v>
      </c>
      <c r="S447" s="9">
        <f t="shared" si="56"/>
        <v>0.99999999999903577</v>
      </c>
      <c r="T447" s="10">
        <f t="shared" si="60"/>
        <v>14.778119050341411</v>
      </c>
      <c r="U447" s="10">
        <f t="shared" si="57"/>
        <v>14.799165221521243</v>
      </c>
      <c r="V447" s="8">
        <f t="shared" si="61"/>
        <v>38.238474873786004</v>
      </c>
      <c r="W447" s="8">
        <f t="shared" si="62"/>
        <v>41.378131187635617</v>
      </c>
    </row>
    <row r="448" spans="14:23" x14ac:dyDescent="0.25">
      <c r="N448" s="8">
        <v>42</v>
      </c>
      <c r="O448" s="8">
        <f t="shared" si="54"/>
        <v>98.64713882304946</v>
      </c>
      <c r="P448" s="9">
        <f t="shared" si="55"/>
        <v>0.99998561552969412</v>
      </c>
      <c r="Q448" s="10">
        <f t="shared" si="58"/>
        <v>14.665393857001613</v>
      </c>
      <c r="R448" s="10">
        <f t="shared" si="59"/>
        <v>4.6838282643979356</v>
      </c>
      <c r="S448" s="9">
        <f t="shared" si="56"/>
        <v>0.99999999999930911</v>
      </c>
      <c r="T448" s="10">
        <f t="shared" si="60"/>
        <v>14.522963590205658</v>
      </c>
      <c r="U448" s="10">
        <f t="shared" si="57"/>
        <v>14.570530923411972</v>
      </c>
      <c r="V448" s="8">
        <f t="shared" si="61"/>
        <v>40.137129110372278</v>
      </c>
      <c r="W448" s="8">
        <f t="shared" si="62"/>
        <v>43.25834926441506</v>
      </c>
    </row>
    <row r="449" spans="14:23" x14ac:dyDescent="0.25">
      <c r="N449" s="8">
        <v>42.5</v>
      </c>
      <c r="O449" s="8">
        <f t="shared" si="54"/>
        <v>99.94129076344538</v>
      </c>
      <c r="P449" s="9">
        <f t="shared" si="55"/>
        <v>0.99998890975858257</v>
      </c>
      <c r="Q449" s="10">
        <f t="shared" si="58"/>
        <v>14.413405490893423</v>
      </c>
      <c r="R449" s="10">
        <f t="shared" si="59"/>
        <v>4.6033346729217497</v>
      </c>
      <c r="S449" s="9">
        <f t="shared" si="56"/>
        <v>0.99999999999950495</v>
      </c>
      <c r="T449" s="10">
        <f t="shared" si="60"/>
        <v>14.273380251053936</v>
      </c>
      <c r="U449" s="10">
        <f t="shared" si="57"/>
        <v>14.254336887864035</v>
      </c>
      <c r="V449" s="8">
        <f t="shared" si="61"/>
        <v>42.018748340395376</v>
      </c>
      <c r="W449" s="8">
        <f t="shared" si="62"/>
        <v>45.121691477338771</v>
      </c>
    </row>
    <row r="450" spans="14:23" x14ac:dyDescent="0.25">
      <c r="N450" s="8">
        <v>43</v>
      </c>
      <c r="O450" s="8">
        <f t="shared" si="54"/>
        <v>101.2460663027986</v>
      </c>
      <c r="P450" s="9">
        <f t="shared" si="55"/>
        <v>0.99999148381551917</v>
      </c>
      <c r="Q450" s="10">
        <f t="shared" si="58"/>
        <v>14.166920355378206</v>
      </c>
      <c r="R450" s="10">
        <f t="shared" si="59"/>
        <v>4.5246020534052267</v>
      </c>
      <c r="S450" s="9">
        <f t="shared" si="56"/>
        <v>0.99999999999964528</v>
      </c>
      <c r="T450" s="10">
        <f t="shared" si="60"/>
        <v>14.029257088963845</v>
      </c>
      <c r="U450" s="10">
        <f t="shared" si="57"/>
        <v>13.986216386002589</v>
      </c>
      <c r="V450" s="8">
        <f t="shared" si="61"/>
        <v>43.883293843943363</v>
      </c>
      <c r="W450" s="8">
        <f t="shared" si="62"/>
        <v>46.968120922360782</v>
      </c>
    </row>
    <row r="451" spans="14:23" x14ac:dyDescent="0.25">
      <c r="N451" s="8">
        <v>43.5</v>
      </c>
      <c r="O451" s="8">
        <f t="shared" si="54"/>
        <v>102.56131400279187</v>
      </c>
      <c r="P451" s="9">
        <f t="shared" si="55"/>
        <v>0.99999348682557188</v>
      </c>
      <c r="Q451" s="10">
        <f t="shared" si="58"/>
        <v>13.925828285846409</v>
      </c>
      <c r="R451" s="10">
        <f t="shared" si="59"/>
        <v>4.4475944818880713</v>
      </c>
      <c r="S451" s="9">
        <f t="shared" si="56"/>
        <v>0.99999999999974587</v>
      </c>
      <c r="T451" s="10">
        <f t="shared" si="60"/>
        <v>13.790482715913267</v>
      </c>
      <c r="U451" s="10">
        <f t="shared" si="57"/>
        <v>13.807713863492738</v>
      </c>
      <c r="V451" s="8">
        <f t="shared" si="61"/>
        <v>45.730739995786365</v>
      </c>
      <c r="W451" s="8">
        <f t="shared" si="62"/>
        <v>48.797613361999588</v>
      </c>
    </row>
    <row r="452" spans="14:23" x14ac:dyDescent="0.25">
      <c r="N452" s="8">
        <v>44</v>
      </c>
      <c r="O452" s="8">
        <f t="shared" ref="O452:O515" si="63">$B$30+PI()/4*($B$5/10)^2*($B$31+$B$7/10-$B$31*COS(RADIANS(N452))-SQRT(($B$7/10)^2-($B$31*SIN(RADIANS(N452)))^2))</f>
        <v>103.8868814676558</v>
      </c>
      <c r="P452" s="9">
        <f t="shared" ref="P452:P515" si="64">IF(N452&gt;$B$36,1-EXP(-$B$16*((N452-$B$36)/$B$35)^($B$17+1)),0)</f>
        <v>0.9999950389843314</v>
      </c>
      <c r="Q452" s="10">
        <f t="shared" si="58"/>
        <v>13.690019365104755</v>
      </c>
      <c r="R452" s="10">
        <f t="shared" si="59"/>
        <v>4.372276267091598</v>
      </c>
      <c r="S452" s="9">
        <f t="shared" ref="S452:S515" si="65">IF(N452&lt;=$B$38,IF(N452&gt;$B$37,1-EXP(-$B$16*((N452-$B$37)/$B$35)^($B$17+1)),0),$B$22+(1-$B$22)*(1-EXP(-(N452-$B$38)/$B$23)))</f>
        <v>0.99999999999981792</v>
      </c>
      <c r="T452" s="10">
        <f t="shared" si="60"/>
        <v>13.556946465346808</v>
      </c>
      <c r="U452" s="10">
        <f t="shared" ref="U452:U515" si="66">T452+IF(N452&gt;$B$38,$B$24*EXP(-(N452-$B$38)/$B$26)*SIN(2*PI()*(N452-$B$38)/$B$39),0)</f>
        <v>13.595891303884725</v>
      </c>
      <c r="V452" s="8">
        <f t="shared" si="61"/>
        <v>47.561073453823347</v>
      </c>
      <c r="W452" s="8">
        <f t="shared" si="62"/>
        <v>50.61015648051702</v>
      </c>
    </row>
    <row r="453" spans="14:23" x14ac:dyDescent="0.25">
      <c r="N453" s="8">
        <v>44.5</v>
      </c>
      <c r="O453" s="8">
        <f t="shared" si="63"/>
        <v>105.22261537112593</v>
      </c>
      <c r="P453" s="9">
        <f t="shared" si="64"/>
        <v>0.99999623672996063</v>
      </c>
      <c r="Q453" s="10">
        <f t="shared" ref="Q453:Q516" si="67">Q452*(O452/O453)^$B$9+10*($B$9-1)*$B$33*(P453-P452)/((O452+O453)/2)</f>
        <v>13.459384167316585</v>
      </c>
      <c r="R453" s="10">
        <f t="shared" ref="R453:R516" si="68">R452*(O452/O453)^$B$9</f>
        <v>4.2986119984572753</v>
      </c>
      <c r="S453" s="9">
        <f t="shared" si="65"/>
        <v>0.99999999999986955</v>
      </c>
      <c r="T453" s="10">
        <f t="shared" ref="T453:T516" si="69">T452*(O452/O453)^$B$9+10*($B$9-1)*$B$33*(S453-S452)/((O452+O453)/2)</f>
        <v>13.32853854112706</v>
      </c>
      <c r="U453" s="10">
        <f t="shared" si="66"/>
        <v>13.312947154041455</v>
      </c>
      <c r="V453" s="8">
        <f t="shared" ref="V453:V516" si="70">V452+(Q452+Q453)/2*(O453-O452)/10</f>
        <v>49.374292391685692</v>
      </c>
      <c r="W453" s="8">
        <f t="shared" ref="W453:W516" si="71">W452+(T452+T453)/2*(O453-O452)/10</f>
        <v>52.40574917223627</v>
      </c>
    </row>
    <row r="454" spans="14:23" x14ac:dyDescent="0.25">
      <c r="N454" s="8">
        <v>45</v>
      </c>
      <c r="O454" s="8">
        <f t="shared" si="63"/>
        <v>106.56836148360202</v>
      </c>
      <c r="P454" s="9">
        <f t="shared" si="64"/>
        <v>0.99999715708604586</v>
      </c>
      <c r="Q454" s="10">
        <f t="shared" si="67"/>
        <v>13.233813969586238</v>
      </c>
      <c r="R454" s="10">
        <f t="shared" si="68"/>
        <v>4.2265665891946709</v>
      </c>
      <c r="S454" s="9">
        <f t="shared" si="65"/>
        <v>0.99999999999990652</v>
      </c>
      <c r="T454" s="10">
        <f t="shared" si="69"/>
        <v>13.105150151011696</v>
      </c>
      <c r="U454" s="10">
        <f t="shared" si="66"/>
        <v>13.06991140386322</v>
      </c>
      <c r="V454" s="8">
        <f t="shared" si="70"/>
        <v>51.170405772800244</v>
      </c>
      <c r="W454" s="8">
        <f t="shared" si="71"/>
        <v>54.184400862028717</v>
      </c>
    </row>
    <row r="455" spans="14:23" x14ac:dyDescent="0.25">
      <c r="N455" s="8">
        <v>45.5</v>
      </c>
      <c r="O455" s="8">
        <f t="shared" si="63"/>
        <v>107.923964699501</v>
      </c>
      <c r="P455" s="9">
        <f t="shared" si="64"/>
        <v>0.99999786128828227</v>
      </c>
      <c r="Q455" s="10">
        <f t="shared" si="67"/>
        <v>13.013200934957858</v>
      </c>
      <c r="R455" s="10">
        <f t="shared" si="68"/>
        <v>4.1561053146887952</v>
      </c>
      <c r="S455" s="9">
        <f t="shared" si="65"/>
        <v>0.99999999999993294</v>
      </c>
      <c r="T455" s="10">
        <f t="shared" si="69"/>
        <v>12.886673625741629</v>
      </c>
      <c r="U455" s="10">
        <f t="shared" si="66"/>
        <v>12.900781296175769</v>
      </c>
      <c r="V455" s="8">
        <f t="shared" si="70"/>
        <v>52.949432663417667</v>
      </c>
      <c r="W455" s="8">
        <f t="shared" si="71"/>
        <v>55.946130856971038</v>
      </c>
    </row>
    <row r="456" spans="14:23" x14ac:dyDescent="0.25">
      <c r="N456" s="8">
        <v>46</v>
      </c>
      <c r="O456" s="8">
        <f t="shared" si="63"/>
        <v>109.28926906480046</v>
      </c>
      <c r="P456" s="9">
        <f t="shared" si="64"/>
        <v>0.99999839779664268</v>
      </c>
      <c r="Q456" s="10">
        <f t="shared" si="67"/>
        <v>12.797438270181381</v>
      </c>
      <c r="R456" s="10">
        <f t="shared" si="68"/>
        <v>4.0871938465984909</v>
      </c>
      <c r="S456" s="9">
        <f t="shared" si="65"/>
        <v>0.99999999999995204</v>
      </c>
      <c r="T456" s="10">
        <f t="shared" si="69"/>
        <v>12.673002524768572</v>
      </c>
      <c r="U456" s="10">
        <f t="shared" si="66"/>
        <v>12.704887861753221</v>
      </c>
      <c r="V456" s="8">
        <f t="shared" si="70"/>
        <v>54.711401582314977</v>
      </c>
      <c r="W456" s="8">
        <f t="shared" si="71"/>
        <v>57.690967728167649</v>
      </c>
    </row>
    <row r="457" spans="14:23" x14ac:dyDescent="0.25">
      <c r="N457" s="8">
        <v>46.5</v>
      </c>
      <c r="O457" s="8">
        <f t="shared" si="63"/>
        <v>110.66411780476392</v>
      </c>
      <c r="P457" s="9">
        <f t="shared" si="64"/>
        <v>0.99999880478362591</v>
      </c>
      <c r="Q457" s="10">
        <f t="shared" si="67"/>
        <v>12.586420361218142</v>
      </c>
      <c r="R457" s="10">
        <f t="shared" si="68"/>
        <v>4.0197982829600498</v>
      </c>
      <c r="S457" s="9">
        <f t="shared" si="65"/>
        <v>0.99999999999996558</v>
      </c>
      <c r="T457" s="10">
        <f t="shared" si="69"/>
        <v>12.464031729596151</v>
      </c>
      <c r="U457" s="10">
        <f t="shared" si="66"/>
        <v>12.451266581506022</v>
      </c>
      <c r="V457" s="8">
        <f t="shared" si="70"/>
        <v>56.456349885054479</v>
      </c>
      <c r="W457" s="8">
        <f t="shared" si="71"/>
        <v>59.418948721719225</v>
      </c>
    </row>
    <row r="458" spans="14:23" x14ac:dyDescent="0.25">
      <c r="N458" s="8">
        <v>47</v>
      </c>
      <c r="O458" s="8">
        <f t="shared" si="63"/>
        <v>112.0483533518433</v>
      </c>
      <c r="P458" s="9">
        <f t="shared" si="64"/>
        <v>0.99999911217863346</v>
      </c>
      <c r="Q458" s="10">
        <f t="shared" si="67"/>
        <v>12.380042889111989</v>
      </c>
      <c r="R458" s="10">
        <f t="shared" si="68"/>
        <v>3.9538851745926773</v>
      </c>
      <c r="S458" s="9">
        <f t="shared" si="65"/>
        <v>0.99999999999997535</v>
      </c>
      <c r="T458" s="10">
        <f t="shared" si="69"/>
        <v>12.259657525654299</v>
      </c>
      <c r="U458" s="10">
        <f t="shared" si="66"/>
        <v>12.230806479663903</v>
      </c>
      <c r="V458" s="8">
        <f t="shared" si="70"/>
        <v>58.184323180852381</v>
      </c>
      <c r="W458" s="8">
        <f t="shared" si="71"/>
        <v>61.130119197822339</v>
      </c>
    </row>
    <row r="459" spans="14:23" x14ac:dyDescent="0.25">
      <c r="N459" s="8">
        <v>47.5</v>
      </c>
      <c r="O459" s="8">
        <f t="shared" si="63"/>
        <v>113.44181737375087</v>
      </c>
      <c r="P459" s="9">
        <f t="shared" si="64"/>
        <v>0.9999993433386335</v>
      </c>
      <c r="Q459" s="10">
        <f t="shared" si="67"/>
        <v>12.178202928541296</v>
      </c>
      <c r="R459" s="10">
        <f t="shared" si="68"/>
        <v>3.8894215480857035</v>
      </c>
      <c r="S459" s="9">
        <f t="shared" si="65"/>
        <v>0.99999999999998235</v>
      </c>
      <c r="T459" s="10">
        <f t="shared" si="69"/>
        <v>12.059777673574809</v>
      </c>
      <c r="U459" s="10">
        <f t="shared" si="66"/>
        <v>12.071328057213528</v>
      </c>
      <c r="V459" s="8">
        <f t="shared" si="70"/>
        <v>59.895374780255466</v>
      </c>
      <c r="W459" s="8">
        <f t="shared" si="71"/>
        <v>62.824532096984242</v>
      </c>
    </row>
    <row r="460" spans="14:23" x14ac:dyDescent="0.25">
      <c r="N460" s="8">
        <v>48</v>
      </c>
      <c r="O460" s="8">
        <f t="shared" si="63"/>
        <v>114.84435080169587</v>
      </c>
      <c r="P460" s="9">
        <f t="shared" si="64"/>
        <v>0.99999951640610674</v>
      </c>
      <c r="Q460" s="10">
        <f t="shared" si="67"/>
        <v>11.980799031088489</v>
      </c>
      <c r="R460" s="10">
        <f t="shared" si="68"/>
        <v>3.8263749256309603</v>
      </c>
      <c r="S460" s="9">
        <f t="shared" si="65"/>
        <v>0.99999999999998734</v>
      </c>
      <c r="T460" s="10">
        <f t="shared" si="69"/>
        <v>11.864291470684817</v>
      </c>
      <c r="U460" s="10">
        <f t="shared" si="66"/>
        <v>11.890396976646404</v>
      </c>
      <c r="V460" s="8">
        <f t="shared" si="70"/>
        <v>61.589565171963947</v>
      </c>
      <c r="W460" s="8">
        <f t="shared" si="71"/>
        <v>64.502247432348824</v>
      </c>
    </row>
    <row r="461" spans="14:23" x14ac:dyDescent="0.25">
      <c r="N461" s="8">
        <v>48.5</v>
      </c>
      <c r="O461" s="8">
        <f t="shared" si="63"/>
        <v>116.25579385877668</v>
      </c>
      <c r="P461" s="9">
        <f t="shared" si="64"/>
        <v>0.999999645406907</v>
      </c>
      <c r="Q461" s="10">
        <f t="shared" si="67"/>
        <v>11.787731295017448</v>
      </c>
      <c r="R461" s="10">
        <f t="shared" si="68"/>
        <v>3.764713341948192</v>
      </c>
      <c r="S461" s="9">
        <f t="shared" si="65"/>
        <v>0.9999999999999909</v>
      </c>
      <c r="T461" s="10">
        <f t="shared" si="69"/>
        <v>11.673099803486757</v>
      </c>
      <c r="U461" s="10">
        <f t="shared" si="66"/>
        <v>11.662648584177774</v>
      </c>
      <c r="V461" s="8">
        <f t="shared" si="70"/>
        <v>63.266961527253798</v>
      </c>
      <c r="W461" s="8">
        <f t="shared" si="71"/>
        <v>66.163331807135023</v>
      </c>
    </row>
    <row r="462" spans="14:23" x14ac:dyDescent="0.25">
      <c r="N462" s="8">
        <v>49</v>
      </c>
      <c r="O462" s="8">
        <f t="shared" si="63"/>
        <v>117.67598608852373</v>
      </c>
      <c r="P462" s="9">
        <f t="shared" si="64"/>
        <v>0.99999974113310719</v>
      </c>
      <c r="Q462" s="10">
        <f t="shared" si="67"/>
        <v>11.598901423130007</v>
      </c>
      <c r="R462" s="10">
        <f t="shared" si="68"/>
        <v>3.7044053585359564</v>
      </c>
      <c r="S462" s="9">
        <f t="shared" si="65"/>
        <v>0.99999999999999356</v>
      </c>
      <c r="T462" s="10">
        <f t="shared" si="69"/>
        <v>11.486105191845585</v>
      </c>
      <c r="U462" s="10">
        <f t="shared" si="66"/>
        <v>11.462483953234781</v>
      </c>
      <c r="V462" s="8">
        <f t="shared" si="70"/>
        <v>64.927637230566845</v>
      </c>
      <c r="W462" s="8">
        <f t="shared" si="71"/>
        <v>67.807857956209517</v>
      </c>
    </row>
    <row r="463" spans="14:23" x14ac:dyDescent="0.25">
      <c r="N463" s="8">
        <v>49.5</v>
      </c>
      <c r="O463" s="8">
        <f t="shared" si="63"/>
        <v>119.10476638358458</v>
      </c>
      <c r="P463" s="9">
        <f t="shared" si="64"/>
        <v>0.99999981184915265</v>
      </c>
      <c r="Q463" s="10">
        <f t="shared" si="67"/>
        <v>11.414212770081532</v>
      </c>
      <c r="R463" s="10">
        <f t="shared" si="68"/>
        <v>3.6454200754661343</v>
      </c>
      <c r="S463" s="9">
        <f t="shared" si="65"/>
        <v>0.99999999999999534</v>
      </c>
      <c r="T463" s="10">
        <f t="shared" si="69"/>
        <v>11.303211825559544</v>
      </c>
      <c r="U463" s="10">
        <f t="shared" si="66"/>
        <v>11.312668479854411</v>
      </c>
      <c r="V463" s="8">
        <f t="shared" si="70"/>
        <v>66.571671434929129</v>
      </c>
      <c r="W463" s="8">
        <f t="shared" si="71"/>
        <v>69.435904310827681</v>
      </c>
    </row>
    <row r="464" spans="14:23" x14ac:dyDescent="0.25">
      <c r="N464" s="8">
        <v>50</v>
      </c>
      <c r="O464" s="8">
        <f t="shared" si="63"/>
        <v>120.54197301454533</v>
      </c>
      <c r="P464" s="9">
        <f t="shared" si="64"/>
        <v>0.99999986385367334</v>
      </c>
      <c r="Q464" s="10">
        <f t="shared" si="67"/>
        <v>11.233570380366951</v>
      </c>
      <c r="R464" s="10">
        <f t="shared" si="68"/>
        <v>3.5877271409260953</v>
      </c>
      <c r="S464" s="9">
        <f t="shared" si="65"/>
        <v>0.99999999999999667</v>
      </c>
      <c r="T464" s="10">
        <f t="shared" si="69"/>
        <v>11.124325593947193</v>
      </c>
      <c r="U464" s="10">
        <f t="shared" si="66"/>
        <v>11.145698974502604</v>
      </c>
      <c r="V464" s="8">
        <f t="shared" si="70"/>
        <v>68.199148640948422</v>
      </c>
      <c r="W464" s="8">
        <f t="shared" si="71"/>
        <v>71.047554585599457</v>
      </c>
    </row>
    <row r="465" spans="14:23" x14ac:dyDescent="0.25">
      <c r="N465" s="8">
        <v>50.5</v>
      </c>
      <c r="O465" s="8">
        <f t="shared" si="63"/>
        <v>121.98744365887927</v>
      </c>
      <c r="P465" s="9">
        <f t="shared" si="64"/>
        <v>0.99999990192407484</v>
      </c>
      <c r="Q465" s="10">
        <f t="shared" si="67"/>
        <v>11.056881018042384</v>
      </c>
      <c r="R465" s="10">
        <f t="shared" si="68"/>
        <v>3.5312967586994408</v>
      </c>
      <c r="S465" s="9">
        <f t="shared" si="65"/>
        <v>0.99999999999999756</v>
      </c>
      <c r="T465" s="10">
        <f t="shared" si="69"/>
        <v>10.949354109042652</v>
      </c>
      <c r="U465" s="10">
        <f t="shared" si="66"/>
        <v>10.940797374387225</v>
      </c>
      <c r="V465" s="8">
        <f t="shared" si="70"/>
        <v>69.810158298216081</v>
      </c>
      <c r="W465" s="8">
        <f t="shared" si="71"/>
        <v>72.642897386754541</v>
      </c>
    </row>
    <row r="466" spans="14:23" x14ac:dyDescent="0.25">
      <c r="N466" s="8">
        <v>51</v>
      </c>
      <c r="O466" s="8">
        <f t="shared" si="63"/>
        <v>123.4410154300171</v>
      </c>
      <c r="P466" s="9">
        <f t="shared" si="64"/>
        <v>0.99999992966649065</v>
      </c>
      <c r="Q466" s="10">
        <f t="shared" si="67"/>
        <v>10.884053189119314</v>
      </c>
      <c r="R466" s="10">
        <f t="shared" si="68"/>
        <v>3.4760996937634459</v>
      </c>
      <c r="S466" s="9">
        <f t="shared" si="65"/>
        <v>0.99999999999999822</v>
      </c>
      <c r="T466" s="10">
        <f t="shared" si="69"/>
        <v>10.778206722951376</v>
      </c>
      <c r="U466" s="10">
        <f t="shared" si="66"/>
        <v>10.758867288474917</v>
      </c>
      <c r="V466" s="8">
        <f t="shared" si="70"/>
        <v>71.40479442801221</v>
      </c>
      <c r="W466" s="8">
        <f t="shared" si="71"/>
        <v>74.222025840807873</v>
      </c>
    </row>
    <row r="467" spans="14:23" x14ac:dyDescent="0.25">
      <c r="N467" s="8">
        <v>51.5</v>
      </c>
      <c r="O467" s="8">
        <f t="shared" si="63"/>
        <v>124.90252490653009</v>
      </c>
      <c r="P467" s="9">
        <f t="shared" si="64"/>
        <v>0.9999999497897708</v>
      </c>
      <c r="Q467" s="10">
        <f t="shared" si="67"/>
        <v>10.714997157457699</v>
      </c>
      <c r="R467" s="10">
        <f t="shared" si="68"/>
        <v>3.4221072761694429</v>
      </c>
      <c r="S467" s="9">
        <f t="shared" si="65"/>
        <v>0.99999999999999878</v>
      </c>
      <c r="T467" s="10">
        <f t="shared" si="69"/>
        <v>10.610794539881903</v>
      </c>
      <c r="U467" s="10">
        <f t="shared" si="66"/>
        <v>10.618536993574338</v>
      </c>
      <c r="V467" s="8">
        <f t="shared" si="70"/>
        <v>72.983155266272377</v>
      </c>
      <c r="W467" s="8">
        <f t="shared" si="71"/>
        <v>75.785037242746824</v>
      </c>
    </row>
    <row r="468" spans="14:23" x14ac:dyDescent="0.25">
      <c r="N468" s="8">
        <v>52</v>
      </c>
      <c r="O468" s="8">
        <f t="shared" si="63"/>
        <v>126.37180816141768</v>
      </c>
      <c r="P468" s="9">
        <f t="shared" si="64"/>
        <v>0.99999996431885219</v>
      </c>
      <c r="Q468" s="10">
        <f t="shared" si="67"/>
        <v>10.549624954888108</v>
      </c>
      <c r="R468" s="10">
        <f t="shared" si="68"/>
        <v>3.3692914033609846</v>
      </c>
      <c r="S468" s="9">
        <f t="shared" si="65"/>
        <v>0.99999999999999911</v>
      </c>
      <c r="T468" s="10">
        <f t="shared" si="69"/>
        <v>10.447030423333699</v>
      </c>
      <c r="U468" s="10">
        <f t="shared" si="66"/>
        <v>10.464529467291653</v>
      </c>
      <c r="V468" s="8">
        <f t="shared" si="70"/>
        <v>74.545342925831477</v>
      </c>
      <c r="W468" s="8">
        <f t="shared" si="71"/>
        <v>77.332032722887149</v>
      </c>
    </row>
    <row r="469" spans="14:23" x14ac:dyDescent="0.25">
      <c r="N469" s="8">
        <v>52.5</v>
      </c>
      <c r="O469" s="8">
        <f t="shared" si="63"/>
        <v>127.84870079149297</v>
      </c>
      <c r="P469" s="9">
        <f t="shared" si="64"/>
        <v>0.99999997476003333</v>
      </c>
      <c r="Q469" s="10">
        <f t="shared" si="67"/>
        <v>10.387850386209212</v>
      </c>
      <c r="R469" s="10">
        <f t="shared" si="68"/>
        <v>3.3176245410737786</v>
      </c>
      <c r="S469" s="9">
        <f t="shared" si="65"/>
        <v>0.99999999999999933</v>
      </c>
      <c r="T469" s="10">
        <f t="shared" si="69"/>
        <v>10.28682899888754</v>
      </c>
      <c r="U469" s="10">
        <f t="shared" si="66"/>
        <v>10.279823337079215</v>
      </c>
      <c r="V469" s="8">
        <f t="shared" si="70"/>
        <v>76.091463077013969</v>
      </c>
      <c r="W469" s="8">
        <f t="shared" si="71"/>
        <v>78.863116931571938</v>
      </c>
    </row>
    <row r="470" spans="14:23" x14ac:dyDescent="0.25">
      <c r="N470" s="8">
        <v>53</v>
      </c>
      <c r="O470" s="8">
        <f t="shared" si="63"/>
        <v>129.3330379468577</v>
      </c>
      <c r="P470" s="9">
        <f t="shared" si="64"/>
        <v>0.99999998222830955</v>
      </c>
      <c r="Q470" s="10">
        <f t="shared" si="67"/>
        <v>10.22958902963471</v>
      </c>
      <c r="R470" s="10">
        <f t="shared" si="68"/>
        <v>3.267079722951264</v>
      </c>
      <c r="S470" s="9">
        <f t="shared" si="65"/>
        <v>0.99999999999999956</v>
      </c>
      <c r="T470" s="10">
        <f t="shared" si="69"/>
        <v>10.130106653013558</v>
      </c>
      <c r="U470" s="10">
        <f t="shared" si="66"/>
        <v>10.114272863260544</v>
      </c>
      <c r="V470" s="8">
        <f t="shared" si="70"/>
        <v>77.621624645684889</v>
      </c>
      <c r="W470" s="8">
        <f t="shared" si="71"/>
        <v>80.37839774091232</v>
      </c>
    </row>
    <row r="471" spans="14:23" x14ac:dyDescent="0.25">
      <c r="N471" s="8">
        <v>53.5</v>
      </c>
      <c r="O471" s="8">
        <f t="shared" si="63"/>
        <v>130.82465436045752</v>
      </c>
      <c r="P471" s="9">
        <f t="shared" si="64"/>
        <v>0.99999998754495334</v>
      </c>
      <c r="Q471" s="10">
        <f t="shared" si="67"/>
        <v>10.074758233200905</v>
      </c>
      <c r="R471" s="10">
        <f t="shared" si="68"/>
        <v>3.2176305490001273</v>
      </c>
      <c r="S471" s="9">
        <f t="shared" si="65"/>
        <v>0.99999999999999967</v>
      </c>
      <c r="T471" s="10">
        <f t="shared" si="69"/>
        <v>9.9767815282823111</v>
      </c>
      <c r="U471" s="10">
        <f t="shared" si="66"/>
        <v>9.9831205132245895</v>
      </c>
      <c r="V471" s="8">
        <f t="shared" si="70"/>
        <v>79.135939527918694</v>
      </c>
      <c r="W471" s="8">
        <f t="shared" si="71"/>
        <v>81.87798596279417</v>
      </c>
    </row>
    <row r="472" spans="14:23" x14ac:dyDescent="0.25">
      <c r="N472" s="8">
        <v>54</v>
      </c>
      <c r="O472" s="8">
        <f t="shared" si="63"/>
        <v>132.32338437770966</v>
      </c>
      <c r="P472" s="9">
        <f t="shared" si="64"/>
        <v>0.99999999131189043</v>
      </c>
      <c r="Q472" s="10">
        <f t="shared" si="67"/>
        <v>9.923277107591236</v>
      </c>
      <c r="R472" s="10">
        <f t="shared" si="68"/>
        <v>3.1692511830009589</v>
      </c>
      <c r="S472" s="9">
        <f t="shared" si="65"/>
        <v>0.99999999999999978</v>
      </c>
      <c r="T472" s="10">
        <f t="shared" si="69"/>
        <v>9.8267735153361091</v>
      </c>
      <c r="U472" s="10">
        <f t="shared" si="66"/>
        <v>9.8411005207739493</v>
      </c>
      <c r="V472" s="8">
        <f t="shared" si="70"/>
        <v>80.634522320484407</v>
      </c>
      <c r="W472" s="8">
        <f t="shared" si="71"/>
        <v>83.36199508240297</v>
      </c>
    </row>
    <row r="473" spans="14:23" x14ac:dyDescent="0.25">
      <c r="N473" s="8">
        <v>54.5</v>
      </c>
      <c r="O473" s="8">
        <f t="shared" si="63"/>
        <v>133.82906198619577</v>
      </c>
      <c r="P473" s="9">
        <f t="shared" si="64"/>
        <v>0.99999999396808548</v>
      </c>
      <c r="Q473" s="10">
        <f t="shared" si="67"/>
        <v>9.7750665157861683</v>
      </c>
      <c r="R473" s="10">
        <f t="shared" si="68"/>
        <v>3.1219163489807213</v>
      </c>
      <c r="S473" s="9">
        <f t="shared" si="65"/>
        <v>0.99999999999999978</v>
      </c>
      <c r="T473" s="10">
        <f t="shared" si="69"/>
        <v>9.6800042419513304</v>
      </c>
      <c r="U473" s="10">
        <f t="shared" si="66"/>
        <v>9.6742684911831898</v>
      </c>
      <c r="V473" s="8">
        <f t="shared" si="70"/>
        <v>82.117490066383638</v>
      </c>
      <c r="W473" s="8">
        <f t="shared" si="71"/>
        <v>84.830541006546099</v>
      </c>
    </row>
    <row r="474" spans="14:23" x14ac:dyDescent="0.25">
      <c r="N474" s="8">
        <v>55</v>
      </c>
      <c r="O474" s="8">
        <f t="shared" si="63"/>
        <v>135.34152084540875</v>
      </c>
      <c r="P474" s="9">
        <f t="shared" si="64"/>
        <v>0.99999999583205779</v>
      </c>
      <c r="Q474" s="10">
        <f t="shared" si="67"/>
        <v>9.6300490599054367</v>
      </c>
      <c r="R474" s="10">
        <f t="shared" si="68"/>
        <v>3.0756013268458338</v>
      </c>
      <c r="S474" s="9">
        <f t="shared" si="65"/>
        <v>0.99999999999999989</v>
      </c>
      <c r="T474" s="10">
        <f t="shared" si="69"/>
        <v>9.5363970594981069</v>
      </c>
      <c r="U474" s="10">
        <f t="shared" si="66"/>
        <v>9.5234334488895431</v>
      </c>
      <c r="V474" s="8">
        <f t="shared" si="70"/>
        <v>83.584962014708964</v>
      </c>
      <c r="W474" s="8">
        <f t="shared" si="71"/>
        <v>86.283741826074561</v>
      </c>
    </row>
    <row r="475" spans="14:23" x14ac:dyDescent="0.25">
      <c r="N475" s="8">
        <v>55.5</v>
      </c>
      <c r="O475" s="8">
        <f t="shared" si="63"/>
        <v>136.86059431654678</v>
      </c>
      <c r="P475" s="9">
        <f t="shared" si="64"/>
        <v>0.99999999713376719</v>
      </c>
      <c r="Q475" s="10">
        <f t="shared" si="67"/>
        <v>9.4881490655724292</v>
      </c>
      <c r="R475" s="10">
        <f t="shared" si="68"/>
        <v>3.0302819472670341</v>
      </c>
      <c r="S475" s="9">
        <f t="shared" si="65"/>
        <v>0.99999999999999989</v>
      </c>
      <c r="T475" s="10">
        <f t="shared" si="69"/>
        <v>9.3958770270800009</v>
      </c>
      <c r="U475" s="10">
        <f t="shared" si="66"/>
        <v>9.4010669489955436</v>
      </c>
      <c r="V475" s="8">
        <f t="shared" si="70"/>
        <v>85.037059394127681</v>
      </c>
      <c r="W475" s="8">
        <f t="shared" si="71"/>
        <v>87.721717591736294</v>
      </c>
    </row>
    <row r="476" spans="14:23" x14ac:dyDescent="0.25">
      <c r="N476" s="8">
        <v>56</v>
      </c>
      <c r="O476" s="8">
        <f t="shared" si="63"/>
        <v>138.38611549234591</v>
      </c>
      <c r="P476" s="9">
        <f t="shared" si="64"/>
        <v>0.99999999803839679</v>
      </c>
      <c r="Q476" s="10">
        <f t="shared" si="67"/>
        <v>9.3492925640982829</v>
      </c>
      <c r="R476" s="10">
        <f t="shared" si="68"/>
        <v>2.9859345859002167</v>
      </c>
      <c r="S476" s="9">
        <f t="shared" si="65"/>
        <v>1</v>
      </c>
      <c r="T476" s="10">
        <f t="shared" si="69"/>
        <v>9.2583708936147993</v>
      </c>
      <c r="U476" s="10">
        <f t="shared" si="66"/>
        <v>9.2701008535662748</v>
      </c>
      <c r="V476" s="8">
        <f t="shared" si="70"/>
        <v>86.473905199324818</v>
      </c>
      <c r="W476" s="8">
        <f t="shared" si="71"/>
        <v>89.144590102817631</v>
      </c>
    </row>
    <row r="477" spans="14:23" x14ac:dyDescent="0.25">
      <c r="N477" s="8">
        <v>56.5</v>
      </c>
      <c r="O477" s="8">
        <f t="shared" si="63"/>
        <v>139.91791722693952</v>
      </c>
      <c r="P477" s="9">
        <f t="shared" si="64"/>
        <v>0.99999999866399703</v>
      </c>
      <c r="Q477" s="10">
        <f t="shared" si="67"/>
        <v>9.2134072727548748</v>
      </c>
      <c r="R477" s="10">
        <f t="shared" si="68"/>
        <v>2.942536157020966</v>
      </c>
      <c r="S477" s="9">
        <f t="shared" si="65"/>
        <v>1</v>
      </c>
      <c r="T477" s="10">
        <f t="shared" si="69"/>
        <v>9.1238070780973448</v>
      </c>
      <c r="U477" s="10">
        <f t="shared" si="66"/>
        <v>9.1191110425514772</v>
      </c>
      <c r="V477" s="8">
        <f t="shared" si="70"/>
        <v>87.895623989766435</v>
      </c>
      <c r="W477" s="8">
        <f t="shared" si="71"/>
        <v>90.552482707951484</v>
      </c>
    </row>
    <row r="478" spans="14:23" x14ac:dyDescent="0.25">
      <c r="N478" s="8">
        <v>57</v>
      </c>
      <c r="O478" s="8">
        <f t="shared" si="63"/>
        <v>141.45583216573917</v>
      </c>
      <c r="P478" s="9">
        <f t="shared" si="64"/>
        <v>0.9999999990945031</v>
      </c>
      <c r="Q478" s="10">
        <f t="shared" si="67"/>
        <v>9.0804225733796713</v>
      </c>
      <c r="R478" s="10">
        <f t="shared" si="68"/>
        <v>2.9000641066441499</v>
      </c>
      <c r="S478" s="9">
        <f t="shared" si="65"/>
        <v>1</v>
      </c>
      <c r="T478" s="10">
        <f t="shared" si="69"/>
        <v>8.9921156482657345</v>
      </c>
      <c r="U478" s="10">
        <f t="shared" si="66"/>
        <v>8.9815019415895758</v>
      </c>
      <c r="V478" s="8">
        <f t="shared" si="70"/>
        <v>89.302341700177891</v>
      </c>
      <c r="W478" s="8">
        <f t="shared" si="71"/>
        <v>91.94552011750217</v>
      </c>
    </row>
    <row r="479" spans="14:23" x14ac:dyDescent="0.25">
      <c r="N479" s="8">
        <v>57.5</v>
      </c>
      <c r="O479" s="8">
        <f t="shared" si="63"/>
        <v>142.99969277532438</v>
      </c>
      <c r="P479" s="9">
        <f t="shared" si="64"/>
        <v>0.99999999938928819</v>
      </c>
      <c r="Q479" s="10">
        <f t="shared" si="67"/>
        <v>8.9502694895333601</v>
      </c>
      <c r="R479" s="10">
        <f t="shared" si="68"/>
        <v>2.8584964051944266</v>
      </c>
      <c r="S479" s="9">
        <f t="shared" si="65"/>
        <v>1</v>
      </c>
      <c r="T479" s="10">
        <f t="shared" si="69"/>
        <v>8.8632282978750485</v>
      </c>
      <c r="U479" s="10">
        <f t="shared" si="66"/>
        <v>8.8674774465533766</v>
      </c>
      <c r="V479" s="8">
        <f t="shared" si="70"/>
        <v>90.69418546215249</v>
      </c>
      <c r="W479" s="8">
        <f t="shared" si="71"/>
        <v>93.323828226954291</v>
      </c>
    </row>
    <row r="480" spans="14:23" x14ac:dyDescent="0.25">
      <c r="N480" s="8">
        <v>58</v>
      </c>
      <c r="O480" s="8">
        <f t="shared" si="63"/>
        <v>144.54933137333447</v>
      </c>
      <c r="P480" s="9">
        <f t="shared" si="64"/>
        <v>0.99999999959013364</v>
      </c>
      <c r="Q480" s="10">
        <f t="shared" si="67"/>
        <v>8.8228806624100731</v>
      </c>
      <c r="R480" s="10">
        <f t="shared" si="68"/>
        <v>2.817811539787983</v>
      </c>
      <c r="S480" s="9">
        <f t="shared" si="65"/>
        <v>1</v>
      </c>
      <c r="T480" s="10">
        <f t="shared" si="69"/>
        <v>8.7370783227656332</v>
      </c>
      <c r="U480" s="10">
        <f t="shared" si="66"/>
        <v>8.7466820017102798</v>
      </c>
      <c r="V480" s="8">
        <f t="shared" si="70"/>
        <v>92.071283436336515</v>
      </c>
      <c r="W480" s="8">
        <f t="shared" si="71"/>
        <v>94.687533950762159</v>
      </c>
    </row>
    <row r="481" spans="14:23" x14ac:dyDescent="0.25">
      <c r="N481" s="8">
        <v>58.5</v>
      </c>
      <c r="O481" s="8">
        <f t="shared" si="63"/>
        <v>146.10458015835042</v>
      </c>
      <c r="P481" s="9">
        <f t="shared" si="64"/>
        <v>0.9999999997262895</v>
      </c>
      <c r="Q481" s="10">
        <f t="shared" si="67"/>
        <v>8.6981903256821287</v>
      </c>
      <c r="R481" s="10">
        <f t="shared" si="68"/>
        <v>2.7779885061809817</v>
      </c>
      <c r="S481" s="9">
        <f t="shared" si="65"/>
        <v>1</v>
      </c>
      <c r="T481" s="10">
        <f t="shared" si="69"/>
        <v>8.6136005958979673</v>
      </c>
      <c r="U481" s="10">
        <f t="shared" si="66"/>
        <v>8.6097558071790186</v>
      </c>
      <c r="V481" s="8">
        <f t="shared" si="70"/>
        <v>93.43376465465694</v>
      </c>
      <c r="W481" s="8">
        <f t="shared" si="71"/>
        <v>96.036765066134834</v>
      </c>
    </row>
    <row r="482" spans="14:23" x14ac:dyDescent="0.25">
      <c r="N482" s="8">
        <v>59</v>
      </c>
      <c r="O482" s="8">
        <f t="shared" si="63"/>
        <v>147.66527123976041</v>
      </c>
      <c r="P482" s="9">
        <f t="shared" si="64"/>
        <v>0.99999999981812615</v>
      </c>
      <c r="Q482" s="10">
        <f t="shared" si="67"/>
        <v>8.5761342794439468</v>
      </c>
      <c r="R482" s="10">
        <f t="shared" si="68"/>
        <v>2.7390068004353867</v>
      </c>
      <c r="S482" s="9">
        <f t="shared" si="65"/>
        <v>1</v>
      </c>
      <c r="T482" s="10">
        <f t="shared" si="69"/>
        <v>8.4927315415112101</v>
      </c>
      <c r="U482" s="10">
        <f t="shared" si="66"/>
        <v>8.4840417734512901</v>
      </c>
      <c r="V482" s="8">
        <f t="shared" si="70"/>
        <v>94.781758872087025</v>
      </c>
      <c r="W482" s="8">
        <f t="shared" si="71"/>
        <v>97.37165006625942</v>
      </c>
    </row>
    <row r="483" spans="14:23" x14ac:dyDescent="0.25">
      <c r="N483" s="8">
        <v>59.5</v>
      </c>
      <c r="O483" s="8">
        <f t="shared" si="63"/>
        <v>149.23123666759611</v>
      </c>
      <c r="P483" s="9">
        <f t="shared" si="64"/>
        <v>0.9999999998797553</v>
      </c>
      <c r="Q483" s="10">
        <f t="shared" si="67"/>
        <v>8.4566498634052749</v>
      </c>
      <c r="R483" s="10">
        <f t="shared" si="68"/>
        <v>2.7008464103486944</v>
      </c>
      <c r="S483" s="9">
        <f t="shared" si="65"/>
        <v>1</v>
      </c>
      <c r="T483" s="10">
        <f t="shared" si="69"/>
        <v>8.3744091085497043</v>
      </c>
      <c r="U483" s="10">
        <f t="shared" si="66"/>
        <v>8.3778880172470522</v>
      </c>
      <c r="V483" s="8">
        <f t="shared" si="70"/>
        <v>96.115396427461519</v>
      </c>
      <c r="W483" s="8">
        <f t="shared" si="71"/>
        <v>98.692318022481288</v>
      </c>
    </row>
    <row r="484" spans="14:23" x14ac:dyDescent="0.25">
      <c r="N484" s="8">
        <v>60</v>
      </c>
      <c r="O484" s="8">
        <f t="shared" si="63"/>
        <v>150.80230846233206</v>
      </c>
      <c r="P484" s="9">
        <f t="shared" si="64"/>
        <v>0.99999999992090216</v>
      </c>
      <c r="Q484" s="10">
        <f t="shared" si="67"/>
        <v>8.339675929469605</v>
      </c>
      <c r="R484" s="10">
        <f t="shared" si="68"/>
        <v>2.6634878066899277</v>
      </c>
      <c r="S484" s="9">
        <f t="shared" si="65"/>
        <v>1</v>
      </c>
      <c r="T484" s="10">
        <f t="shared" si="69"/>
        <v>8.2585727434887666</v>
      </c>
      <c r="U484" s="10">
        <f t="shared" si="66"/>
        <v>8.266435570783436</v>
      </c>
      <c r="V484" s="8">
        <f t="shared" si="70"/>
        <v>97.434808112880603</v>
      </c>
      <c r="W484" s="8">
        <f t="shared" si="71"/>
        <v>99.99889845498592</v>
      </c>
    </row>
    <row r="485" spans="14:23" x14ac:dyDescent="0.25">
      <c r="N485" s="8">
        <v>60.5</v>
      </c>
      <c r="O485" s="8">
        <f t="shared" si="63"/>
        <v>152.37831864463749</v>
      </c>
      <c r="P485" s="9">
        <f t="shared" si="64"/>
        <v>0.99999999994823308</v>
      </c>
      <c r="Q485" s="10">
        <f t="shared" si="67"/>
        <v>8.225152813821353</v>
      </c>
      <c r="R485" s="10">
        <f t="shared" si="68"/>
        <v>2.6269119342806158</v>
      </c>
      <c r="S485" s="9">
        <f t="shared" si="65"/>
        <v>1</v>
      </c>
      <c r="T485" s="10">
        <f t="shared" si="69"/>
        <v>8.1451633626798277</v>
      </c>
      <c r="U485" s="10">
        <f t="shared" si="66"/>
        <v>8.1420155159165368</v>
      </c>
      <c r="V485" s="8">
        <f t="shared" si="70"/>
        <v>98.740125051259213</v>
      </c>
      <c r="W485" s="8">
        <f t="shared" si="71"/>
        <v>101.29152121154456</v>
      </c>
    </row>
    <row r="486" spans="14:23" x14ac:dyDescent="0.25">
      <c r="N486" s="8">
        <v>61</v>
      </c>
      <c r="O486" s="8">
        <f t="shared" si="63"/>
        <v>153.95909926507085</v>
      </c>
      <c r="P486" s="9">
        <f t="shared" si="64"/>
        <v>0.99999999996629318</v>
      </c>
      <c r="Q486" s="10">
        <f t="shared" si="67"/>
        <v>8.1130223086337914</v>
      </c>
      <c r="R486" s="10">
        <f t="shared" si="68"/>
        <v>2.5911002029559662</v>
      </c>
      <c r="S486" s="9">
        <f t="shared" si="65"/>
        <v>1</v>
      </c>
      <c r="T486" s="10">
        <f t="shared" si="69"/>
        <v>8.0341233243240886</v>
      </c>
      <c r="U486" s="10">
        <f t="shared" si="66"/>
        <v>8.0270087439763174</v>
      </c>
      <c r="V486" s="8">
        <f t="shared" si="70"/>
        <v>100.03147858160038</v>
      </c>
      <c r="W486" s="8">
        <f t="shared" si="71"/>
        <v>102.57031635390713</v>
      </c>
    </row>
    <row r="487" spans="14:23" x14ac:dyDescent="0.25">
      <c r="N487" s="8">
        <v>61.5</v>
      </c>
      <c r="O487" s="8">
        <f t="shared" si="63"/>
        <v>155.54448243370769</v>
      </c>
      <c r="P487" s="9">
        <f t="shared" si="64"/>
        <v>0.99999999997816535</v>
      </c>
      <c r="Q487" s="10">
        <f t="shared" si="67"/>
        <v>8.0032276334991739</v>
      </c>
      <c r="R487" s="10">
        <f t="shared" si="68"/>
        <v>2.556034478438252</v>
      </c>
      <c r="S487" s="9">
        <f t="shared" si="65"/>
        <v>1</v>
      </c>
      <c r="T487" s="10">
        <f t="shared" si="69"/>
        <v>7.9253964001739927</v>
      </c>
      <c r="U487" s="10">
        <f t="shared" si="66"/>
        <v>7.9282446897116614</v>
      </c>
      <c r="V487" s="8">
        <f t="shared" si="70"/>
        <v>101.30900015159048</v>
      </c>
      <c r="W487" s="8">
        <f t="shared" si="71"/>
        <v>103.83541405144447</v>
      </c>
    </row>
    <row r="488" spans="14:23" x14ac:dyDescent="0.25">
      <c r="N488" s="8">
        <v>62</v>
      </c>
      <c r="O488" s="8">
        <f t="shared" si="63"/>
        <v>157.13430034968908</v>
      </c>
      <c r="P488" s="9">
        <f t="shared" si="64"/>
        <v>0.99999999998592903</v>
      </c>
      <c r="Q488" s="10">
        <f t="shared" si="67"/>
        <v>7.8957134066730896</v>
      </c>
      <c r="R488" s="10">
        <f t="shared" si="68"/>
        <v>2.5216970731515165</v>
      </c>
      <c r="S488" s="9">
        <f t="shared" si="65"/>
        <v>1</v>
      </c>
      <c r="T488" s="10">
        <f t="shared" si="69"/>
        <v>7.8189277470527383</v>
      </c>
      <c r="U488" s="10">
        <f t="shared" si="66"/>
        <v>7.8253652855650255</v>
      </c>
      <c r="V488" s="8">
        <f t="shared" si="70"/>
        <v>102.57282121713037</v>
      </c>
      <c r="W488" s="8">
        <f t="shared" si="71"/>
        <v>105.08694448165845</v>
      </c>
    </row>
    <row r="489" spans="14:23" x14ac:dyDescent="0.25">
      <c r="N489" s="8">
        <v>62.5</v>
      </c>
      <c r="O489" s="8">
        <f t="shared" si="63"/>
        <v>158.72838533068597</v>
      </c>
      <c r="P489" s="9">
        <f t="shared" si="64"/>
        <v>0.99999999999097933</v>
      </c>
      <c r="Q489" s="10">
        <f t="shared" si="67"/>
        <v>7.7904256162156118</v>
      </c>
      <c r="R489" s="10">
        <f t="shared" si="68"/>
        <v>2.488070737003778</v>
      </c>
      <c r="S489" s="9">
        <f t="shared" si="65"/>
        <v>1</v>
      </c>
      <c r="T489" s="10">
        <f t="shared" si="69"/>
        <v>7.7146638782730177</v>
      </c>
      <c r="U489" s="10">
        <f t="shared" si="66"/>
        <v>7.7120866393219352</v>
      </c>
      <c r="V489" s="8">
        <f t="shared" si="70"/>
        <v>103.82307314844117</v>
      </c>
      <c r="W489" s="8">
        <f t="shared" si="71"/>
        <v>106.32503773720198</v>
      </c>
    </row>
    <row r="490" spans="14:23" x14ac:dyDescent="0.25">
      <c r="N490" s="8">
        <v>63</v>
      </c>
      <c r="O490" s="8">
        <f t="shared" si="63"/>
        <v>160.32656984226145</v>
      </c>
      <c r="P490" s="9">
        <f t="shared" si="64"/>
        <v>0.99999999999424727</v>
      </c>
      <c r="Q490" s="10">
        <f t="shared" si="67"/>
        <v>7.6873115911046321</v>
      </c>
      <c r="R490" s="10">
        <f t="shared" si="68"/>
        <v>2.4551386481606619</v>
      </c>
      <c r="S490" s="9">
        <f t="shared" si="65"/>
        <v>1</v>
      </c>
      <c r="T490" s="10">
        <f t="shared" si="69"/>
        <v>7.6125526350291812</v>
      </c>
      <c r="U490" s="10">
        <f t="shared" si="66"/>
        <v>7.6067277093032164</v>
      </c>
      <c r="V490" s="8">
        <f t="shared" si="70"/>
        <v>105.05988714238991</v>
      </c>
      <c r="W490" s="8">
        <f t="shared" si="71"/>
        <v>107.54982373905816</v>
      </c>
    </row>
    <row r="491" spans="14:23" x14ac:dyDescent="0.25">
      <c r="N491" s="8">
        <v>63.5</v>
      </c>
      <c r="O491" s="8">
        <f t="shared" si="63"/>
        <v>161.92868652712963</v>
      </c>
      <c r="P491" s="9">
        <f t="shared" si="64"/>
        <v>0.99999999999635059</v>
      </c>
      <c r="Q491" s="10">
        <f t="shared" si="67"/>
        <v>7.5863199723881154</v>
      </c>
      <c r="R491" s="10">
        <f t="shared" si="68"/>
        <v>2.4228844038316839</v>
      </c>
      <c r="S491" s="9">
        <f t="shared" si="65"/>
        <v>1</v>
      </c>
      <c r="T491" s="10">
        <f t="shared" si="69"/>
        <v>7.5125431578286221</v>
      </c>
      <c r="U491" s="10">
        <f t="shared" si="66"/>
        <v>7.5148751400667821</v>
      </c>
      <c r="V491" s="8">
        <f t="shared" si="70"/>
        <v>106.28339414070996</v>
      </c>
      <c r="W491" s="8">
        <f t="shared" si="71"/>
        <v>108.76143215555651</v>
      </c>
    </row>
    <row r="492" spans="14:23" x14ac:dyDescent="0.25">
      <c r="N492" s="8">
        <v>64</v>
      </c>
      <c r="O492" s="8">
        <f t="shared" si="63"/>
        <v>163.53456823429249</v>
      </c>
      <c r="P492" s="9">
        <f t="shared" si="64"/>
        <v>0.99999999999769718</v>
      </c>
      <c r="Q492" s="10">
        <f t="shared" si="67"/>
        <v>7.487400684436313</v>
      </c>
      <c r="R492" s="10">
        <f t="shared" si="68"/>
        <v>2.3912920110886033</v>
      </c>
      <c r="S492" s="9">
        <f t="shared" si="65"/>
        <v>1</v>
      </c>
      <c r="T492" s="10">
        <f t="shared" si="69"/>
        <v>7.4145858580226047</v>
      </c>
      <c r="U492" s="10">
        <f t="shared" si="66"/>
        <v>7.4198564687767377</v>
      </c>
      <c r="V492" s="8">
        <f t="shared" si="70"/>
        <v>107.49372475379383</v>
      </c>
      <c r="W492" s="8">
        <f t="shared" si="71"/>
        <v>109.95999232690728</v>
      </c>
    </row>
    <row r="493" spans="14:23" x14ac:dyDescent="0.25">
      <c r="N493" s="8">
        <v>64.5</v>
      </c>
      <c r="O493" s="8">
        <f t="shared" si="63"/>
        <v>165.14404804805088</v>
      </c>
      <c r="P493" s="9">
        <f t="shared" si="64"/>
        <v>0.9999999999985546</v>
      </c>
      <c r="Q493" s="10">
        <f t="shared" si="67"/>
        <v>7.3905049063476342</v>
      </c>
      <c r="R493" s="10">
        <f t="shared" si="68"/>
        <v>2.3603458777329567</v>
      </c>
      <c r="S493" s="9">
        <f t="shared" si="65"/>
        <v>1</v>
      </c>
      <c r="T493" s="10">
        <f t="shared" si="69"/>
        <v>7.3186323894895811</v>
      </c>
      <c r="U493" s="10">
        <f t="shared" si="66"/>
        <v>7.3165223247022988</v>
      </c>
      <c r="V493" s="8">
        <f t="shared" si="70"/>
        <v>108.69100918976231</v>
      </c>
      <c r="W493" s="8">
        <f t="shared" si="71"/>
        <v>111.14563319496067</v>
      </c>
    </row>
    <row r="494" spans="14:23" x14ac:dyDescent="0.25">
      <c r="N494" s="8">
        <v>65</v>
      </c>
      <c r="O494" s="8">
        <f t="shared" si="63"/>
        <v>166.75695931687505</v>
      </c>
      <c r="P494" s="9">
        <f t="shared" si="64"/>
        <v>0.99999999999909761</v>
      </c>
      <c r="Q494" s="10">
        <f t="shared" si="67"/>
        <v>7.2955850435568239</v>
      </c>
      <c r="R494" s="10">
        <f t="shared" si="68"/>
        <v>2.3300308032282664</v>
      </c>
      <c r="S494" s="9">
        <f t="shared" si="65"/>
        <v>1</v>
      </c>
      <c r="T494" s="10">
        <f t="shared" si="69"/>
        <v>7.2246356205190478</v>
      </c>
      <c r="U494" s="10">
        <f t="shared" si="66"/>
        <v>7.219866574692805</v>
      </c>
      <c r="V494" s="8">
        <f t="shared" si="70"/>
        <v>109.87537718852063</v>
      </c>
      <c r="W494" s="8">
        <f t="shared" si="71"/>
        <v>112.31848323790432</v>
      </c>
    </row>
    <row r="495" spans="14:23" x14ac:dyDescent="0.25">
      <c r="N495" s="8">
        <v>65.5</v>
      </c>
      <c r="O495" s="8">
        <f t="shared" si="63"/>
        <v>168.37313568212585</v>
      </c>
      <c r="P495" s="9">
        <f t="shared" si="64"/>
        <v>0.99999999999943967</v>
      </c>
      <c r="Q495" s="10">
        <f t="shared" si="67"/>
        <v>7.2025946996883272</v>
      </c>
      <c r="R495" s="10">
        <f t="shared" si="68"/>
        <v>2.3003319697106086</v>
      </c>
      <c r="S495" s="9">
        <f t="shared" si="65"/>
        <v>1</v>
      </c>
      <c r="T495" s="10">
        <f t="shared" si="69"/>
        <v>7.1325496059383582</v>
      </c>
      <c r="U495" s="10">
        <f t="shared" si="66"/>
        <v>7.1344588715123711</v>
      </c>
      <c r="V495" s="8">
        <f t="shared" si="70"/>
        <v>111.04695796053016</v>
      </c>
      <c r="W495" s="8">
        <f t="shared" si="71"/>
        <v>113.47867040963074</v>
      </c>
    </row>
    <row r="496" spans="14:23" x14ac:dyDescent="0.25">
      <c r="N496" s="8">
        <v>66</v>
      </c>
      <c r="O496" s="8">
        <f t="shared" si="63"/>
        <v>169.99241110661802</v>
      </c>
      <c r="P496" s="9">
        <f t="shared" si="64"/>
        <v>0.99999999999965394</v>
      </c>
      <c r="Q496" s="10">
        <f t="shared" si="67"/>
        <v>7.1114886486928386</v>
      </c>
      <c r="R496" s="10">
        <f t="shared" si="68"/>
        <v>2.2712349330896493</v>
      </c>
      <c r="S496" s="9">
        <f t="shared" si="65"/>
        <v>1</v>
      </c>
      <c r="T496" s="10">
        <f t="shared" si="69"/>
        <v>7.0423295595200557</v>
      </c>
      <c r="U496" s="10">
        <f t="shared" si="66"/>
        <v>7.0466447706319677</v>
      </c>
      <c r="V496" s="8">
        <f t="shared" si="70"/>
        <v>112.20588013003848</v>
      </c>
      <c r="W496" s="8">
        <f t="shared" si="71"/>
        <v>114.62632208351938</v>
      </c>
    </row>
    <row r="497" spans="14:23" x14ac:dyDescent="0.25">
      <c r="N497" s="8">
        <v>66.5</v>
      </c>
      <c r="O497" s="8">
        <f t="shared" si="63"/>
        <v>171.61461990301152</v>
      </c>
      <c r="P497" s="9">
        <f t="shared" si="64"/>
        <v>0.9999999999997875</v>
      </c>
      <c r="Q497" s="10">
        <f t="shared" si="67"/>
        <v>7.0222228073008708</v>
      </c>
      <c r="R497" s="10">
        <f t="shared" si="68"/>
        <v>2.2427256142509515</v>
      </c>
      <c r="S497" s="9">
        <f t="shared" si="65"/>
        <v>1</v>
      </c>
      <c r="T497" s="10">
        <f t="shared" si="69"/>
        <v>6.9539318267032115</v>
      </c>
      <c r="U497" s="10">
        <f t="shared" si="66"/>
        <v>6.9522042517708762</v>
      </c>
      <c r="V497" s="8">
        <f t="shared" si="70"/>
        <v>113.35227168251851</v>
      </c>
      <c r="W497" s="8">
        <f t="shared" si="71"/>
        <v>115.76156500038708</v>
      </c>
    </row>
    <row r="498" spans="14:23" x14ac:dyDescent="0.25">
      <c r="N498" s="8">
        <v>67</v>
      </c>
      <c r="O498" s="8">
        <f t="shared" si="63"/>
        <v>173.23959676202395</v>
      </c>
      <c r="P498" s="9">
        <f t="shared" si="64"/>
        <v>0.99999999999987021</v>
      </c>
      <c r="Q498" s="10">
        <f t="shared" si="67"/>
        <v>6.9347542078226061</v>
      </c>
      <c r="R498" s="10">
        <f t="shared" si="68"/>
        <v>2.2147902903688901</v>
      </c>
      <c r="S498" s="9">
        <f t="shared" si="65"/>
        <v>1</v>
      </c>
      <c r="T498" s="10">
        <f t="shared" si="69"/>
        <v>6.8673138576577166</v>
      </c>
      <c r="U498" s="10">
        <f t="shared" si="66"/>
        <v>6.8634092931769342</v>
      </c>
      <c r="V498" s="8">
        <f t="shared" si="70"/>
        <v>114.48625991608571</v>
      </c>
      <c r="W498" s="8">
        <f t="shared" si="71"/>
        <v>116.88452522037768</v>
      </c>
    </row>
    <row r="499" spans="14:23" x14ac:dyDescent="0.25">
      <c r="N499" s="8">
        <v>67.5</v>
      </c>
      <c r="O499" s="8">
        <f t="shared" si="63"/>
        <v>174.86717678045039</v>
      </c>
      <c r="P499" s="9">
        <f t="shared" si="64"/>
        <v>0.99999999999992117</v>
      </c>
      <c r="Q499" s="10">
        <f t="shared" si="67"/>
        <v>6.8490409713199307</v>
      </c>
      <c r="R499" s="10">
        <f t="shared" si="68"/>
        <v>2.1874155863384415</v>
      </c>
      <c r="S499" s="9">
        <f t="shared" si="65"/>
        <v>1</v>
      </c>
      <c r="T499" s="10">
        <f t="shared" si="69"/>
        <v>6.7824341807171669</v>
      </c>
      <c r="U499" s="10">
        <f t="shared" si="66"/>
        <v>6.7839973551584043</v>
      </c>
      <c r="V499" s="8">
        <f t="shared" si="70"/>
        <v>115.60797139666847</v>
      </c>
      <c r="W499" s="8">
        <f t="shared" si="71"/>
        <v>117.99532807856841</v>
      </c>
    </row>
    <row r="500" spans="14:23" x14ac:dyDescent="0.25">
      <c r="N500" s="8">
        <v>68</v>
      </c>
      <c r="O500" s="8">
        <f t="shared" si="63"/>
        <v>176.49719548898429</v>
      </c>
      <c r="P500" s="9">
        <f t="shared" si="64"/>
        <v>0.99999999999995237</v>
      </c>
      <c r="Q500" s="10">
        <f t="shared" si="67"/>
        <v>6.7650422811726729</v>
      </c>
      <c r="R500" s="10">
        <f t="shared" si="68"/>
        <v>2.1605884663328774</v>
      </c>
      <c r="S500" s="9">
        <f t="shared" si="65"/>
        <v>1</v>
      </c>
      <c r="T500" s="10">
        <f t="shared" si="69"/>
        <v>6.6992523762021348</v>
      </c>
      <c r="U500" s="10">
        <f t="shared" si="66"/>
        <v>6.7027853722454811</v>
      </c>
      <c r="V500" s="8">
        <f t="shared" si="70"/>
        <v>116.71753191672352</v>
      </c>
      <c r="W500" s="8">
        <f t="shared" si="71"/>
        <v>119.09409814408683</v>
      </c>
    </row>
    <row r="501" spans="14:23" x14ac:dyDescent="0.25">
      <c r="N501" s="8">
        <v>68.5</v>
      </c>
      <c r="O501" s="8">
        <f t="shared" si="63"/>
        <v>178.12948887982517</v>
      </c>
      <c r="P501" s="9">
        <f t="shared" si="64"/>
        <v>0.99999999999997136</v>
      </c>
      <c r="Q501" s="10">
        <f t="shared" si="67"/>
        <v>6.6827183570583335</v>
      </c>
      <c r="R501" s="10">
        <f t="shared" si="68"/>
        <v>2.1342962254935238</v>
      </c>
      <c r="S501" s="9">
        <f t="shared" si="65"/>
        <v>1</v>
      </c>
      <c r="T501" s="10">
        <f t="shared" si="69"/>
        <v>6.6177290506529269</v>
      </c>
      <c r="U501" s="10">
        <f t="shared" si="66"/>
        <v>6.6163146319275778</v>
      </c>
      <c r="V501" s="8">
        <f t="shared" si="70"/>
        <v>117.81506645729326</v>
      </c>
      <c r="W501" s="8">
        <f t="shared" si="71"/>
        <v>120.18095918253715</v>
      </c>
    </row>
    <row r="502" spans="14:23" x14ac:dyDescent="0.25">
      <c r="N502" s="8">
        <v>69</v>
      </c>
      <c r="O502" s="8">
        <f t="shared" si="63"/>
        <v>179.76389343406603</v>
      </c>
      <c r="P502" s="9">
        <f t="shared" si="64"/>
        <v>0.9999999999999829</v>
      </c>
      <c r="Q502" s="10">
        <f t="shared" si="67"/>
        <v>6.6020304293613501</v>
      </c>
      <c r="R502" s="10">
        <f t="shared" si="68"/>
        <v>2.1085264817567029</v>
      </c>
      <c r="S502" s="9">
        <f t="shared" si="65"/>
        <v>1</v>
      </c>
      <c r="T502" s="10">
        <f t="shared" si="69"/>
        <v>6.5378258114877035</v>
      </c>
      <c r="U502" s="10">
        <f t="shared" si="66"/>
        <v>6.5346290244699103</v>
      </c>
      <c r="V502" s="8">
        <f t="shared" si="70"/>
        <v>118.90069915321676</v>
      </c>
      <c r="W502" s="8">
        <f t="shared" si="71"/>
        <v>121.25603412154956</v>
      </c>
    </row>
    <row r="503" spans="14:23" x14ac:dyDescent="0.25">
      <c r="N503" s="8">
        <v>69.5</v>
      </c>
      <c r="O503" s="8">
        <f t="shared" si="63"/>
        <v>181.40024614884686</v>
      </c>
      <c r="P503" s="9">
        <f t="shared" si="64"/>
        <v>0.99999999999998979</v>
      </c>
      <c r="Q503" s="10">
        <f t="shared" si="67"/>
        <v>6.5229407140256113</v>
      </c>
      <c r="R503" s="10">
        <f t="shared" si="68"/>
        <v>2.0832671678222412</v>
      </c>
      <c r="S503" s="9">
        <f t="shared" si="65"/>
        <v>1</v>
      </c>
      <c r="T503" s="10">
        <f t="shared" si="69"/>
        <v>6.4595052420995449</v>
      </c>
      <c r="U503" s="10">
        <f t="shared" si="66"/>
        <v>6.4607850610870114</v>
      </c>
      <c r="V503" s="8">
        <f t="shared" si="70"/>
        <v>119.97455326131183</v>
      </c>
      <c r="W503" s="8">
        <f t="shared" si="71"/>
        <v>122.3194450192717</v>
      </c>
    </row>
    <row r="504" spans="14:23" x14ac:dyDescent="0.25">
      <c r="N504" s="8">
        <v>70</v>
      </c>
      <c r="O504" s="8">
        <f t="shared" si="63"/>
        <v>183.03838456426794</v>
      </c>
      <c r="P504" s="9">
        <f t="shared" si="64"/>
        <v>0.999999999999994</v>
      </c>
      <c r="Q504" s="10">
        <f t="shared" si="67"/>
        <v>6.4454123878612046</v>
      </c>
      <c r="R504" s="10">
        <f t="shared" si="68"/>
        <v>2.0585065232670483</v>
      </c>
      <c r="S504" s="9">
        <f t="shared" si="65"/>
        <v>1</v>
      </c>
      <c r="T504" s="10">
        <f t="shared" si="69"/>
        <v>6.3827308774033309</v>
      </c>
      <c r="U504" s="10">
        <f t="shared" si="66"/>
        <v>6.3856234499145215</v>
      </c>
      <c r="V504" s="8">
        <f t="shared" si="70"/>
        <v>121.03675113135913</v>
      </c>
      <c r="W504" s="8">
        <f t="shared" si="71"/>
        <v>123.37131303563498</v>
      </c>
    </row>
    <row r="505" spans="14:23" x14ac:dyDescent="0.25">
      <c r="N505" s="8">
        <v>70.5</v>
      </c>
      <c r="O505" s="8">
        <f t="shared" si="63"/>
        <v>184.67814679004911</v>
      </c>
      <c r="P505" s="9">
        <f t="shared" si="64"/>
        <v>0.99999999999999645</v>
      </c>
      <c r="Q505" s="10">
        <f t="shared" si="67"/>
        <v>6.3694095643145312</v>
      </c>
      <c r="R505" s="10">
        <f t="shared" si="68"/>
        <v>2.0342330868066867</v>
      </c>
      <c r="S505" s="9">
        <f t="shared" si="65"/>
        <v>1</v>
      </c>
      <c r="T505" s="10">
        <f t="shared" si="69"/>
        <v>6.3074671798414945</v>
      </c>
      <c r="U505" s="10">
        <f t="shared" si="66"/>
        <v>6.3063091517333216</v>
      </c>
      <c r="V505" s="8">
        <f t="shared" si="70"/>
        <v>122.08741417972358</v>
      </c>
      <c r="W505" s="8">
        <f t="shared" si="71"/>
        <v>124.41175840623256</v>
      </c>
    </row>
    <row r="506" spans="14:23" x14ac:dyDescent="0.25">
      <c r="N506" s="8">
        <v>71</v>
      </c>
      <c r="O506" s="8">
        <f t="shared" si="63"/>
        <v>186.31937153192843</v>
      </c>
      <c r="P506" s="9">
        <f t="shared" si="64"/>
        <v>0.99999999999999789</v>
      </c>
      <c r="Q506" s="10">
        <f t="shared" si="67"/>
        <v>6.2948972697086498</v>
      </c>
      <c r="R506" s="10">
        <f t="shared" si="68"/>
        <v>2.0104356887071182</v>
      </c>
      <c r="S506" s="9">
        <f t="shared" si="65"/>
        <v>1</v>
      </c>
      <c r="T506" s="10">
        <f t="shared" si="69"/>
        <v>6.2336795158554184</v>
      </c>
      <c r="U506" s="10">
        <f t="shared" si="66"/>
        <v>6.2310622080129106</v>
      </c>
      <c r="V506" s="8">
        <f t="shared" si="70"/>
        <v>123.12666286546109</v>
      </c>
      <c r="W506" s="8">
        <f t="shared" si="71"/>
        <v>125.44090041865836</v>
      </c>
    </row>
    <row r="507" spans="14:23" x14ac:dyDescent="0.25">
      <c r="N507" s="8">
        <v>71.5</v>
      </c>
      <c r="O507" s="8">
        <f t="shared" si="63"/>
        <v>187.9618981177864</v>
      </c>
      <c r="P507" s="9">
        <f t="shared" si="64"/>
        <v>0.99999999999999878</v>
      </c>
      <c r="Q507" s="10">
        <f t="shared" si="67"/>
        <v>6.2218414199591949</v>
      </c>
      <c r="R507" s="10">
        <f t="shared" si="68"/>
        <v>1.9871034433483405</v>
      </c>
      <c r="S507" s="9">
        <f t="shared" si="65"/>
        <v>1</v>
      </c>
      <c r="T507" s="10">
        <f t="shared" si="69"/>
        <v>6.1613341328277933</v>
      </c>
      <c r="U507" s="10">
        <f t="shared" si="66"/>
        <v>6.1623819599912055</v>
      </c>
      <c r="V507" s="8">
        <f t="shared" si="70"/>
        <v>124.15461666876192</v>
      </c>
      <c r="W507" s="8">
        <f t="shared" si="71"/>
        <v>126.45885739116009</v>
      </c>
    </row>
    <row r="508" spans="14:23" x14ac:dyDescent="0.25">
      <c r="N508" s="8">
        <v>72</v>
      </c>
      <c r="O508" s="8">
        <f t="shared" si="63"/>
        <v>189.60556652348876</v>
      </c>
      <c r="P508" s="9">
        <f t="shared" si="64"/>
        <v>0.99999999999999933</v>
      </c>
      <c r="Q508" s="10">
        <f t="shared" si="67"/>
        <v>6.1502087977693156</v>
      </c>
      <c r="R508" s="10">
        <f t="shared" si="68"/>
        <v>1.9642257419410103</v>
      </c>
      <c r="S508" s="9">
        <f t="shared" si="65"/>
        <v>1</v>
      </c>
      <c r="T508" s="10">
        <f t="shared" si="69"/>
        <v>6.090398136499334</v>
      </c>
      <c r="U508" s="10">
        <f t="shared" si="66"/>
        <v>6.092766374569754</v>
      </c>
      <c r="V508" s="8">
        <f t="shared" si="70"/>
        <v>125.17139407159408</v>
      </c>
      <c r="W508" s="8">
        <f t="shared" si="71"/>
        <v>127.46574665347094</v>
      </c>
    </row>
    <row r="509" spans="14:23" x14ac:dyDescent="0.25">
      <c r="N509" s="8">
        <v>72.5</v>
      </c>
      <c r="O509" s="8">
        <f t="shared" si="63"/>
        <v>191.2502173984382</v>
      </c>
      <c r="P509" s="9">
        <f t="shared" si="64"/>
        <v>0.99999999999999956</v>
      </c>
      <c r="Q509" s="10">
        <f t="shared" si="67"/>
        <v>6.0799670303057249</v>
      </c>
      <c r="R509" s="10">
        <f t="shared" si="68"/>
        <v>1.9417922453967198</v>
      </c>
      <c r="S509" s="9">
        <f t="shared" si="65"/>
        <v>1</v>
      </c>
      <c r="T509" s="10">
        <f t="shared" si="69"/>
        <v>6.0208394688619284</v>
      </c>
      <c r="U509" s="10">
        <f t="shared" si="66"/>
        <v>6.0198913556368385</v>
      </c>
      <c r="V509" s="8">
        <f t="shared" si="70"/>
        <v>126.17711254041554</v>
      </c>
      <c r="W509" s="8">
        <f t="shared" si="71"/>
        <v>128.46168452968985</v>
      </c>
    </row>
    <row r="510" spans="14:23" x14ac:dyDescent="0.25">
      <c r="N510" s="8">
        <v>73</v>
      </c>
      <c r="O510" s="8">
        <f t="shared" si="63"/>
        <v>192.89569209082191</v>
      </c>
      <c r="P510" s="9">
        <f t="shared" si="64"/>
        <v>0.99999999999999978</v>
      </c>
      <c r="Q510" s="10">
        <f t="shared" si="67"/>
        <v>6.0110845673567859</v>
      </c>
      <c r="R510" s="10">
        <f t="shared" si="68"/>
        <v>1.9197928773522266</v>
      </c>
      <c r="S510" s="9">
        <f t="shared" si="65"/>
        <v>1</v>
      </c>
      <c r="T510" s="10">
        <f t="shared" si="69"/>
        <v>5.952626886529135</v>
      </c>
      <c r="U510" s="10">
        <f t="shared" si="66"/>
        <v>5.9504840161082022</v>
      </c>
      <c r="V510" s="8">
        <f t="shared" si="70"/>
        <v>127.17188851082851</v>
      </c>
      <c r="W510" s="8">
        <f t="shared" si="71"/>
        <v>129.44678632308504</v>
      </c>
    </row>
    <row r="511" spans="14:23" x14ac:dyDescent="0.25">
      <c r="N511" s="8">
        <v>73.5</v>
      </c>
      <c r="O511" s="8">
        <f t="shared" si="63"/>
        <v>194.54183267254945</v>
      </c>
      <c r="P511" s="9">
        <f t="shared" si="64"/>
        <v>0.99999999999999989</v>
      </c>
      <c r="Q511" s="10">
        <f t="shared" si="67"/>
        <v>5.9435306599720183</v>
      </c>
      <c r="R511" s="10">
        <f t="shared" si="68"/>
        <v>1.8982178173474367</v>
      </c>
      <c r="S511" s="9">
        <f t="shared" si="65"/>
        <v>1</v>
      </c>
      <c r="T511" s="10">
        <f t="shared" si="69"/>
        <v>5.8857299395834204</v>
      </c>
      <c r="U511" s="10">
        <f t="shared" si="66"/>
        <v>5.8865878279060162</v>
      </c>
      <c r="V511" s="8">
        <f t="shared" si="70"/>
        <v>128.1558373740607</v>
      </c>
      <c r="W511" s="8">
        <f t="shared" si="71"/>
        <v>130.42116630270678</v>
      </c>
    </row>
    <row r="512" spans="14:23" x14ac:dyDescent="0.25">
      <c r="N512" s="8">
        <v>74</v>
      </c>
      <c r="O512" s="8">
        <f t="shared" si="63"/>
        <v>196.18848196386904</v>
      </c>
      <c r="P512" s="9">
        <f t="shared" si="64"/>
        <v>0.99999999999999989</v>
      </c>
      <c r="Q512" s="10">
        <f t="shared" si="67"/>
        <v>5.8772753395816553</v>
      </c>
      <c r="R512" s="10">
        <f t="shared" si="68"/>
        <v>1.8770574941567015</v>
      </c>
      <c r="S512" s="9">
        <f t="shared" si="65"/>
        <v>1</v>
      </c>
      <c r="T512" s="10">
        <f t="shared" si="69"/>
        <v>5.8201189508987774</v>
      </c>
      <c r="U512" s="10">
        <f t="shared" si="66"/>
        <v>5.82205790023764</v>
      </c>
      <c r="V512" s="8">
        <f t="shared" si="70"/>
        <v>129.12907346516027</v>
      </c>
      <c r="W512" s="8">
        <f t="shared" si="71"/>
        <v>131.3849376916971</v>
      </c>
    </row>
    <row r="513" spans="14:23" x14ac:dyDescent="0.25">
      <c r="N513" s="8">
        <v>74.5</v>
      </c>
      <c r="O513" s="8">
        <f t="shared" si="63"/>
        <v>197.83548355765373</v>
      </c>
      <c r="P513" s="9">
        <f t="shared" si="64"/>
        <v>1</v>
      </c>
      <c r="Q513" s="10">
        <f t="shared" si="67"/>
        <v>5.8122893975937604</v>
      </c>
      <c r="R513" s="10">
        <f t="shared" si="68"/>
        <v>1.8563025792726398</v>
      </c>
      <c r="S513" s="9">
        <f t="shared" si="65"/>
        <v>1</v>
      </c>
      <c r="T513" s="10">
        <f t="shared" si="69"/>
        <v>5.7557649959362589</v>
      </c>
      <c r="U513" s="10">
        <f t="shared" si="66"/>
        <v>5.7549887464814784</v>
      </c>
      <c r="V513" s="8">
        <f t="shared" si="70"/>
        <v>130.09171005279913</v>
      </c>
      <c r="W513" s="8">
        <f t="shared" si="71"/>
        <v>132.33821265719232</v>
      </c>
    </row>
    <row r="514" spans="14:23" x14ac:dyDescent="0.25">
      <c r="N514" s="8">
        <v>75</v>
      </c>
      <c r="O514" s="8">
        <f t="shared" si="63"/>
        <v>199.48268184334725</v>
      </c>
      <c r="P514" s="9">
        <f t="shared" si="64"/>
        <v>1</v>
      </c>
      <c r="Q514" s="10">
        <f t="shared" si="67"/>
        <v>5.7485443654656363</v>
      </c>
      <c r="R514" s="10">
        <f t="shared" si="68"/>
        <v>1.8359439805414339</v>
      </c>
      <c r="S514" s="9">
        <f t="shared" si="65"/>
        <v>1</v>
      </c>
      <c r="T514" s="10">
        <f t="shared" si="69"/>
        <v>5.6926398830091944</v>
      </c>
      <c r="U514" s="10">
        <f t="shared" si="66"/>
        <v>5.690885449095715</v>
      </c>
      <c r="V514" s="8">
        <f t="shared" si="70"/>
        <v>131.0438593305841</v>
      </c>
      <c r="W514" s="8">
        <f t="shared" si="71"/>
        <v>133.28110230171853</v>
      </c>
    </row>
    <row r="515" spans="14:23" x14ac:dyDescent="0.25">
      <c r="N515" s="8">
        <v>75.5</v>
      </c>
      <c r="O515" s="8">
        <f t="shared" si="63"/>
        <v>201.12992203056203</v>
      </c>
      <c r="P515" s="9">
        <f t="shared" si="64"/>
        <v>1</v>
      </c>
      <c r="Q515" s="10">
        <f t="shared" si="67"/>
        <v>5.6860124952454179</v>
      </c>
      <c r="R515" s="10">
        <f t="shared" si="68"/>
        <v>1.8159728359482914</v>
      </c>
      <c r="S515" s="9">
        <f t="shared" si="65"/>
        <v>1</v>
      </c>
      <c r="T515" s="10">
        <f t="shared" si="69"/>
        <v>5.6307161340140111</v>
      </c>
      <c r="U515" s="10">
        <f t="shared" si="66"/>
        <v>5.6314185135664268</v>
      </c>
      <c r="V515" s="8">
        <f t="shared" si="70"/>
        <v>131.98563240978189</v>
      </c>
      <c r="W515" s="8">
        <f t="shared" si="71"/>
        <v>134.21371665598758</v>
      </c>
    </row>
    <row r="516" spans="14:23" x14ac:dyDescent="0.25">
      <c r="N516" s="8">
        <v>76</v>
      </c>
      <c r="O516" s="8">
        <f t="shared" ref="O516:O579" si="72">$B$30+PI()/4*($B$5/10)^2*($B$31+$B$7/10-$B$31*COS(RADIANS(N516))-SQRT(($B$7/10)^2-($B$31*SIN(RADIANS(N516)))^2))</f>
        <v>202.77705017232</v>
      </c>
      <c r="P516" s="9">
        <f t="shared" ref="P516:P579" si="73">IF(N516&gt;$B$36,1-EXP(-$B$16*((N516-$B$36)/$B$35)^($B$17+1)),0)</f>
        <v>1</v>
      </c>
      <c r="Q516" s="10">
        <f t="shared" si="67"/>
        <v>5.6246667405791166</v>
      </c>
      <c r="R516" s="10">
        <f t="shared" si="68"/>
        <v>1.7963805075515626</v>
      </c>
      <c r="S516" s="9">
        <f t="shared" ref="S516:S579" si="74">IF(N516&lt;=$B$38,IF(N516&gt;$B$37,1-EXP(-$B$16*((N516-$B$37)/$B$35)^($B$17+1)),0),$B$22+(1-$B$22)*(1-EXP(-(N516-$B$38)/$B$23)))</f>
        <v>1</v>
      </c>
      <c r="T516" s="10">
        <f t="shared" si="69"/>
        <v>5.5699669656219886</v>
      </c>
      <c r="U516" s="10">
        <f t="shared" ref="U516:U579" si="75">T516+IF(N516&gt;$B$38,$B$24*EXP(-(N516-$B$38)/$B$26)*SIN(2*PI()*(N516-$B$38)/$B$39),0)</f>
        <v>5.5715544430743753</v>
      </c>
      <c r="V516" s="8">
        <f t="shared" si="70"/>
        <v>132.9171393133681</v>
      </c>
      <c r="W516" s="8">
        <f t="shared" si="71"/>
        <v>135.13616467300375</v>
      </c>
    </row>
    <row r="517" spans="14:23" x14ac:dyDescent="0.25">
      <c r="N517" s="8">
        <v>76.5</v>
      </c>
      <c r="O517" s="8">
        <f t="shared" si="72"/>
        <v>204.42391318792571</v>
      </c>
      <c r="P517" s="9">
        <f t="shared" si="73"/>
        <v>1</v>
      </c>
      <c r="Q517" s="10">
        <f t="shared" ref="Q517:Q580" si="76">Q516*(O516/O517)^$B$9+10*($B$9-1)*$B$33*(P517-P516)/((O516+O517)/2)</f>
        <v>5.5644807381778785</v>
      </c>
      <c r="R517" s="10">
        <f t="shared" ref="R517:R580" si="77">R516*(O516/O517)^$B$9</f>
        <v>1.7771585755638368</v>
      </c>
      <c r="S517" s="9">
        <f t="shared" si="74"/>
        <v>1</v>
      </c>
      <c r="T517" s="10">
        <f t="shared" ref="T517:T580" si="78">T516*(O516/O517)^$B$9+10*($B$9-1)*$B$33*(S517-S516)/((O516+O517)/2)</f>
        <v>5.5103662709267462</v>
      </c>
      <c r="U517" s="10">
        <f t="shared" si="75"/>
        <v>5.5097307316260569</v>
      </c>
      <c r="V517" s="8">
        <f t="shared" ref="V517:V580" si="79">V516+(Q516+Q517)/2*(O517-O516)/10</f>
        <v>133.83848897131423</v>
      </c>
      <c r="W517" s="8">
        <f t="shared" ref="W517:W580" si="80">W516+(T516+T517)/2*(O517-O516)/10</f>
        <v>136.04855422339668</v>
      </c>
    </row>
    <row r="518" spans="14:23" x14ac:dyDescent="0.25">
      <c r="N518" s="8">
        <v>77</v>
      </c>
      <c r="O518" s="8">
        <f t="shared" si="72"/>
        <v>206.07035888546565</v>
      </c>
      <c r="P518" s="9">
        <f t="shared" si="73"/>
        <v>1</v>
      </c>
      <c r="Q518" s="10">
        <f t="shared" si="76"/>
        <v>5.5054287897395087</v>
      </c>
      <c r="R518" s="10">
        <f t="shared" si="77"/>
        <v>1.7582988325781208</v>
      </c>
      <c r="S518" s="9">
        <f t="shared" si="74"/>
        <v>1</v>
      </c>
      <c r="T518" s="10">
        <f t="shared" si="78"/>
        <v>5.4518886015415786</v>
      </c>
      <c r="U518" s="10">
        <f t="shared" si="75"/>
        <v>5.4504521925423708</v>
      </c>
      <c r="V518" s="8">
        <f t="shared" si="79"/>
        <v>134.74978921703405</v>
      </c>
      <c r="W518" s="8">
        <f t="shared" si="80"/>
        <v>136.95099209190226</v>
      </c>
    </row>
    <row r="519" spans="14:23" x14ac:dyDescent="0.25">
      <c r="N519" s="8">
        <v>77.5</v>
      </c>
      <c r="O519" s="8">
        <f t="shared" si="72"/>
        <v>207.71623598392452</v>
      </c>
      <c r="P519" s="9">
        <f t="shared" si="73"/>
        <v>1</v>
      </c>
      <c r="Q519" s="10">
        <f t="shared" si="76"/>
        <v>5.4474858443180079</v>
      </c>
      <c r="R519" s="10">
        <f t="shared" si="77"/>
        <v>1.7397932779371019</v>
      </c>
      <c r="S519" s="9">
        <f t="shared" si="74"/>
        <v>1</v>
      </c>
      <c r="T519" s="10">
        <f t="shared" si="78"/>
        <v>5.3945091501404514</v>
      </c>
      <c r="U519" s="10">
        <f t="shared" si="75"/>
        <v>5.3950842098803475</v>
      </c>
      <c r="V519" s="8">
        <f t="shared" si="79"/>
        <v>135.65114678491256</v>
      </c>
      <c r="W519" s="8">
        <f t="shared" si="80"/>
        <v>137.84358397491573</v>
      </c>
    </row>
    <row r="520" spans="14:23" x14ac:dyDescent="0.25">
      <c r="N520" s="8">
        <v>78</v>
      </c>
      <c r="O520" s="8">
        <f t="shared" si="72"/>
        <v>209.36139413490901</v>
      </c>
      <c r="P520" s="9">
        <f t="shared" si="73"/>
        <v>1</v>
      </c>
      <c r="Q520" s="10">
        <f t="shared" si="76"/>
        <v>5.3906274811344872</v>
      </c>
      <c r="R520" s="10">
        <f t="shared" si="77"/>
        <v>1.7216341122433765</v>
      </c>
      <c r="S520" s="9">
        <f t="shared" si="74"/>
        <v>1</v>
      </c>
      <c r="T520" s="10">
        <f t="shared" si="78"/>
        <v>5.3382037334360763</v>
      </c>
      <c r="U520" s="10">
        <f t="shared" si="75"/>
        <v>5.3395034500461636</v>
      </c>
      <c r="V520" s="8">
        <f t="shared" si="79"/>
        <v>136.54266730884564</v>
      </c>
      <c r="W520" s="8">
        <f t="shared" si="80"/>
        <v>138.72643447904534</v>
      </c>
    </row>
    <row r="521" spans="14:23" x14ac:dyDescent="0.25">
      <c r="N521" s="8">
        <v>78.5</v>
      </c>
      <c r="O521" s="8">
        <f t="shared" si="72"/>
        <v>211.00568394397206</v>
      </c>
      <c r="P521" s="9">
        <f t="shared" si="73"/>
        <v>1</v>
      </c>
      <c r="Q521" s="10">
        <f t="shared" si="76"/>
        <v>5.3348298928224045</v>
      </c>
      <c r="R521" s="10">
        <f t="shared" si="77"/>
        <v>1.7038137320083881</v>
      </c>
      <c r="S521" s="9">
        <f t="shared" si="74"/>
        <v>1</v>
      </c>
      <c r="T521" s="10">
        <f t="shared" si="78"/>
        <v>5.2829487755880891</v>
      </c>
      <c r="U521" s="10">
        <f t="shared" si="75"/>
        <v>5.2824284400178252</v>
      </c>
      <c r="V521" s="8">
        <f t="shared" si="79"/>
        <v>137.42445532172252</v>
      </c>
      <c r="W521" s="8">
        <f t="shared" si="80"/>
        <v>139.5996471206</v>
      </c>
    </row>
    <row r="522" spans="14:23" x14ac:dyDescent="0.25">
      <c r="N522" s="8">
        <v>79</v>
      </c>
      <c r="O522" s="8">
        <f t="shared" si="72"/>
        <v>212.64895699153146</v>
      </c>
      <c r="P522" s="9">
        <f t="shared" si="73"/>
        <v>1</v>
      </c>
      <c r="Q522" s="10">
        <f t="shared" si="76"/>
        <v>5.2800698690997718</v>
      </c>
      <c r="R522" s="10">
        <f t="shared" si="77"/>
        <v>1.6863247244377333</v>
      </c>
      <c r="S522" s="9">
        <f t="shared" si="74"/>
        <v>1</v>
      </c>
      <c r="T522" s="10">
        <f t="shared" si="78"/>
        <v>5.2287212920340433</v>
      </c>
      <c r="U522" s="10">
        <f t="shared" si="75"/>
        <v>5.2275452598123939</v>
      </c>
      <c r="V522" s="8">
        <f t="shared" si="79"/>
        <v>138.29661425578809</v>
      </c>
      <c r="W522" s="8">
        <f t="shared" si="80"/>
        <v>140.46332432594801</v>
      </c>
    </row>
    <row r="523" spans="14:23" x14ac:dyDescent="0.25">
      <c r="N523" s="8">
        <v>79.5</v>
      </c>
      <c r="O523" s="8">
        <f t="shared" si="72"/>
        <v>214.29106585337135</v>
      </c>
      <c r="P523" s="9">
        <f t="shared" si="73"/>
        <v>1</v>
      </c>
      <c r="Q523" s="10">
        <f t="shared" si="76"/>
        <v>5.2263247808609341</v>
      </c>
      <c r="R523" s="10">
        <f t="shared" si="77"/>
        <v>1.6691598623504647</v>
      </c>
      <c r="S523" s="9">
        <f t="shared" si="74"/>
        <v>1</v>
      </c>
      <c r="T523" s="10">
        <f t="shared" si="78"/>
        <v>5.175498873735898</v>
      </c>
      <c r="U523" s="10">
        <f t="shared" si="75"/>
        <v>5.175969692829808</v>
      </c>
      <c r="V523" s="8">
        <f t="shared" si="79"/>
        <v>139.15924644382247</v>
      </c>
      <c r="W523" s="8">
        <f t="shared" si="80"/>
        <v>141.31756743268522</v>
      </c>
    </row>
    <row r="524" spans="14:23" x14ac:dyDescent="0.25">
      <c r="N524" s="8">
        <v>80</v>
      </c>
      <c r="O524" s="8">
        <f t="shared" si="72"/>
        <v>215.93186412072214</v>
      </c>
      <c r="P524" s="9">
        <f t="shared" si="73"/>
        <v>1</v>
      </c>
      <c r="Q524" s="10">
        <f t="shared" si="76"/>
        <v>5.1735725646800894</v>
      </c>
      <c r="R524" s="10">
        <f t="shared" si="77"/>
        <v>1.6523120992298963</v>
      </c>
      <c r="S524" s="9">
        <f t="shared" si="74"/>
        <v>1</v>
      </c>
      <c r="T524" s="10">
        <f t="shared" si="78"/>
        <v>5.1232596718342389</v>
      </c>
      <c r="U524" s="10">
        <f t="shared" si="75"/>
        <v>5.1243237897932037</v>
      </c>
      <c r="V524" s="8">
        <f t="shared" si="79"/>
        <v>140.01245312108196</v>
      </c>
      <c r="W524" s="8">
        <f t="shared" si="80"/>
        <v>142.162476691557</v>
      </c>
    </row>
    <row r="525" spans="14:23" x14ac:dyDescent="0.25">
      <c r="N525" s="8">
        <v>80.5</v>
      </c>
      <c r="O525" s="8">
        <f t="shared" si="72"/>
        <v>217.57120641991193</v>
      </c>
      <c r="P525" s="9">
        <f t="shared" si="73"/>
        <v>1</v>
      </c>
      <c r="Q525" s="10">
        <f t="shared" si="76"/>
        <v>5.1217917077186597</v>
      </c>
      <c r="R525" s="10">
        <f t="shared" si="77"/>
        <v>1.6357745644033883</v>
      </c>
      <c r="S525" s="9">
        <f t="shared" si="74"/>
        <v>1</v>
      </c>
      <c r="T525" s="10">
        <f t="shared" si="78"/>
        <v>5.0719823827024273</v>
      </c>
      <c r="U525" s="10">
        <f t="shared" si="75"/>
        <v>5.0715563679691318</v>
      </c>
      <c r="V525" s="8">
        <f t="shared" si="79"/>
        <v>140.8563344279475</v>
      </c>
      <c r="W525" s="8">
        <f t="shared" si="80"/>
        <v>142.99815126908103</v>
      </c>
    </row>
    <row r="526" spans="14:23" x14ac:dyDescent="0.25">
      <c r="N526" s="8">
        <v>81</v>
      </c>
      <c r="O526" s="8">
        <f t="shared" si="72"/>
        <v>219.2089484315801</v>
      </c>
      <c r="P526" s="9">
        <f t="shared" si="73"/>
        <v>1</v>
      </c>
      <c r="Q526" s="10">
        <f t="shared" si="76"/>
        <v>5.0709612330285969</v>
      </c>
      <c r="R526" s="10">
        <f t="shared" si="77"/>
        <v>1.6195405583485833</v>
      </c>
      <c r="S526" s="9">
        <f t="shared" si="74"/>
        <v>1</v>
      </c>
      <c r="T526" s="10">
        <f t="shared" si="78"/>
        <v>5.0216462333928265</v>
      </c>
      <c r="U526" s="10">
        <f t="shared" si="75"/>
        <v>5.0206833796463508</v>
      </c>
      <c r="V526" s="8">
        <f t="shared" si="79"/>
        <v>141.69098941322829</v>
      </c>
      <c r="W526" s="8">
        <f t="shared" si="80"/>
        <v>143.82468925081881</v>
      </c>
    </row>
    <row r="527" spans="14:23" x14ac:dyDescent="0.25">
      <c r="N527" s="8">
        <v>81.5</v>
      </c>
      <c r="O527" s="8">
        <f t="shared" si="72"/>
        <v>220.84494690944854</v>
      </c>
      <c r="P527" s="9">
        <f t="shared" si="73"/>
        <v>1</v>
      </c>
      <c r="Q527" s="10">
        <f t="shared" si="76"/>
        <v>5.0210606852434463</v>
      </c>
      <c r="R527" s="10">
        <f t="shared" si="77"/>
        <v>1.6036035481234834</v>
      </c>
      <c r="S527" s="9">
        <f t="shared" si="74"/>
        <v>1</v>
      </c>
      <c r="T527" s="10">
        <f t="shared" si="78"/>
        <v>4.9722309674670244</v>
      </c>
      <c r="U527" s="10">
        <f t="shared" si="75"/>
        <v>4.9726164415383449</v>
      </c>
      <c r="V527" s="8">
        <f t="shared" si="79"/>
        <v>142.51651603807369</v>
      </c>
      <c r="W527" s="8">
        <f t="shared" si="80"/>
        <v>144.64218764524935</v>
      </c>
    </row>
    <row r="528" spans="14:23" x14ac:dyDescent="0.25">
      <c r="N528" s="8">
        <v>82</v>
      </c>
      <c r="O528" s="8">
        <f t="shared" si="72"/>
        <v>222.47905969864274</v>
      </c>
      <c r="P528" s="9">
        <f t="shared" si="73"/>
        <v>1</v>
      </c>
      <c r="Q528" s="10">
        <f t="shared" si="76"/>
        <v>4.9720701166490695</v>
      </c>
      <c r="R528" s="10">
        <f t="shared" si="77"/>
        <v>1.5879571629177807</v>
      </c>
      <c r="S528" s="9">
        <f t="shared" si="74"/>
        <v>1</v>
      </c>
      <c r="T528" s="10">
        <f t="shared" si="78"/>
        <v>4.9237168312020163</v>
      </c>
      <c r="U528" s="10">
        <f t="shared" si="75"/>
        <v>4.924588057299923</v>
      </c>
      <c r="V528" s="8">
        <f t="shared" si="79"/>
        <v>143.33301118044685</v>
      </c>
      <c r="W528" s="8">
        <f t="shared" si="80"/>
        <v>145.45074238819953</v>
      </c>
    </row>
    <row r="529" spans="14:23" x14ac:dyDescent="0.25">
      <c r="N529" s="8">
        <v>82.5</v>
      </c>
      <c r="O529" s="8">
        <f t="shared" si="72"/>
        <v>224.11114575355796</v>
      </c>
      <c r="P529" s="9">
        <f t="shared" si="73"/>
        <v>1</v>
      </c>
      <c r="Q529" s="10">
        <f t="shared" si="76"/>
        <v>4.9239700736257888</v>
      </c>
      <c r="R529" s="10">
        <f t="shared" si="77"/>
        <v>1.5725951897228112</v>
      </c>
      <c r="S529" s="9">
        <f t="shared" si="74"/>
        <v>1</v>
      </c>
      <c r="T529" s="10">
        <f t="shared" si="78"/>
        <v>4.8760845601641973</v>
      </c>
      <c r="U529" s="10">
        <f t="shared" si="75"/>
        <v>4.8757357688007836</v>
      </c>
      <c r="V529" s="8">
        <f t="shared" si="79"/>
        <v>144.14057064011826</v>
      </c>
      <c r="W529" s="8">
        <f t="shared" si="80"/>
        <v>146.2504483477889</v>
      </c>
    </row>
    <row r="530" spans="14:23" x14ac:dyDescent="0.25">
      <c r="N530" s="8">
        <v>83</v>
      </c>
      <c r="O530" s="8">
        <f t="shared" si="72"/>
        <v>225.74106515526333</v>
      </c>
      <c r="P530" s="9">
        <f t="shared" si="73"/>
        <v>1</v>
      </c>
      <c r="Q530" s="10">
        <f t="shared" si="76"/>
        <v>4.8767415834537875</v>
      </c>
      <c r="R530" s="10">
        <f t="shared" si="77"/>
        <v>1.5575115691175239</v>
      </c>
      <c r="S530" s="9">
        <f t="shared" si="74"/>
        <v>1</v>
      </c>
      <c r="T530" s="10">
        <f t="shared" si="78"/>
        <v>4.8293153661430841</v>
      </c>
      <c r="U530" s="10">
        <f t="shared" si="75"/>
        <v>4.8285270481701286</v>
      </c>
      <c r="V530" s="8">
        <f t="shared" si="79"/>
        <v>144.93928914413794</v>
      </c>
      <c r="W530" s="8">
        <f t="shared" si="80"/>
        <v>147.04139932984882</v>
      </c>
    </row>
    <row r="531" spans="14:23" x14ac:dyDescent="0.25">
      <c r="N531" s="8">
        <v>83.5</v>
      </c>
      <c r="O531" s="8">
        <f t="shared" si="72"/>
        <v>227.36867912843769</v>
      </c>
      <c r="P531" s="9">
        <f t="shared" si="73"/>
        <v>1</v>
      </c>
      <c r="Q531" s="10">
        <f t="shared" si="76"/>
        <v>4.8303661414735926</v>
      </c>
      <c r="R531" s="10">
        <f t="shared" si="77"/>
        <v>1.5427003911678534</v>
      </c>
      <c r="S531" s="9">
        <f t="shared" si="74"/>
        <v>1</v>
      </c>
      <c r="T531" s="10">
        <f t="shared" si="78"/>
        <v>4.7833909244366568</v>
      </c>
      <c r="U531" s="10">
        <f t="shared" si="75"/>
        <v>4.7837065239133612</v>
      </c>
      <c r="V531" s="8">
        <f t="shared" si="79"/>
        <v>145.72926035274799</v>
      </c>
      <c r="W531" s="8">
        <f t="shared" si="80"/>
        <v>147.82368808377726</v>
      </c>
    </row>
    <row r="532" spans="14:23" x14ac:dyDescent="0.25">
      <c r="N532" s="8">
        <v>84</v>
      </c>
      <c r="O532" s="8">
        <f t="shared" si="72"/>
        <v>228.99385005783495</v>
      </c>
      <c r="P532" s="9">
        <f t="shared" si="73"/>
        <v>1</v>
      </c>
      <c r="Q532" s="10">
        <f t="shared" si="76"/>
        <v>4.7848256985933828</v>
      </c>
      <c r="R532" s="10">
        <f t="shared" si="77"/>
        <v>1.5281558914368611</v>
      </c>
      <c r="S532" s="9">
        <f t="shared" si="74"/>
        <v>1</v>
      </c>
      <c r="T532" s="10">
        <f t="shared" si="78"/>
        <v>4.7382933614801637</v>
      </c>
      <c r="U532" s="10">
        <f t="shared" si="75"/>
        <v>4.7390066610794044</v>
      </c>
      <c r="V532" s="8">
        <f t="shared" si="79"/>
        <v>146.51057686570073</v>
      </c>
      <c r="W532" s="8">
        <f t="shared" si="80"/>
        <v>148.5974063087958</v>
      </c>
    </row>
    <row r="533" spans="14:23" x14ac:dyDescent="0.25">
      <c r="N533" s="8">
        <v>84.5</v>
      </c>
      <c r="O533" s="8">
        <f t="shared" si="72"/>
        <v>230.61644150426923</v>
      </c>
      <c r="P533" s="9">
        <f t="shared" si="73"/>
        <v>1</v>
      </c>
      <c r="Q533" s="10">
        <f t="shared" si="76"/>
        <v>4.740102649135129</v>
      </c>
      <c r="R533" s="10">
        <f t="shared" si="77"/>
        <v>1.5138724471030909</v>
      </c>
      <c r="S533" s="9">
        <f t="shared" si="74"/>
        <v>1</v>
      </c>
      <c r="T533" s="10">
        <f t="shared" si="78"/>
        <v>4.6940052428104515</v>
      </c>
      <c r="U533" s="10">
        <f t="shared" si="75"/>
        <v>4.6937196765948173</v>
      </c>
      <c r="V533" s="8">
        <f t="shared" si="79"/>
        <v>147.28333022894691</v>
      </c>
      <c r="W533" s="8">
        <f t="shared" si="80"/>
        <v>149.36264466057258</v>
      </c>
    </row>
    <row r="534" spans="14:23" x14ac:dyDescent="0.25">
      <c r="N534" s="8">
        <v>85</v>
      </c>
      <c r="O534" s="8">
        <f t="shared" si="72"/>
        <v>232.23631822011828</v>
      </c>
      <c r="P534" s="9">
        <f t="shared" si="73"/>
        <v>1</v>
      </c>
      <c r="Q534" s="10">
        <f t="shared" si="76"/>
        <v>4.6961798190114132</v>
      </c>
      <c r="R534" s="10">
        <f t="shared" si="77"/>
        <v>1.4998445731845342</v>
      </c>
      <c r="S534" s="9">
        <f t="shared" si="74"/>
        <v>1</v>
      </c>
      <c r="T534" s="10">
        <f t="shared" si="78"/>
        <v>4.6505095613577696</v>
      </c>
      <c r="U534" s="10">
        <f t="shared" si="75"/>
        <v>4.6498641411901067</v>
      </c>
      <c r="V534" s="8">
        <f t="shared" si="79"/>
        <v>148.04761094166318</v>
      </c>
      <c r="W534" s="8">
        <f t="shared" si="80"/>
        <v>150.11949275818154</v>
      </c>
    </row>
    <row r="535" spans="14:23" x14ac:dyDescent="0.25">
      <c r="N535" s="8">
        <v>85.5</v>
      </c>
      <c r="O535" s="8">
        <f t="shared" si="72"/>
        <v>233.85334616434065</v>
      </c>
      <c r="P535" s="9">
        <f t="shared" si="73"/>
        <v>1</v>
      </c>
      <c r="Q535" s="10">
        <f t="shared" si="76"/>
        <v>4.6530404542249313</v>
      </c>
      <c r="R535" s="10">
        <f t="shared" si="77"/>
        <v>1.4860669188656557</v>
      </c>
      <c r="S535" s="9">
        <f t="shared" si="74"/>
        <v>1</v>
      </c>
      <c r="T535" s="10">
        <f t="shared" si="78"/>
        <v>4.6077897260571135</v>
      </c>
      <c r="U535" s="10">
        <f t="shared" si="75"/>
        <v>4.6080481170543468</v>
      </c>
      <c r="V535" s="8">
        <f t="shared" si="79"/>
        <v>148.80350846358886</v>
      </c>
      <c r="W535" s="8">
        <f t="shared" si="80"/>
        <v>150.86803919136773</v>
      </c>
    </row>
    <row r="536" spans="14:23" x14ac:dyDescent="0.25">
      <c r="N536" s="8">
        <v>86</v>
      </c>
      <c r="O536" s="8">
        <f t="shared" si="72"/>
        <v>235.46739251699933</v>
      </c>
      <c r="P536" s="9">
        <f t="shared" si="73"/>
        <v>1</v>
      </c>
      <c r="Q536" s="10">
        <f t="shared" si="76"/>
        <v>4.6106682096828617</v>
      </c>
      <c r="R536" s="10">
        <f t="shared" si="77"/>
        <v>1.4725342639249746</v>
      </c>
      <c r="S536" s="9">
        <f t="shared" si="74"/>
        <v>1</v>
      </c>
      <c r="T536" s="10">
        <f t="shared" si="78"/>
        <v>4.5658295507713706</v>
      </c>
      <c r="U536" s="10">
        <f t="shared" si="75"/>
        <v>4.5664135510894273</v>
      </c>
      <c r="V536" s="8">
        <f t="shared" si="79"/>
        <v>149.5511112226425</v>
      </c>
      <c r="W536" s="8">
        <f t="shared" si="80"/>
        <v>151.60837152808995</v>
      </c>
    </row>
    <row r="537" spans="14:23" x14ac:dyDescent="0.25">
      <c r="N537" s="8">
        <v>86.5</v>
      </c>
      <c r="O537" s="8">
        <f t="shared" si="72"/>
        <v>237.07832569329204</v>
      </c>
      <c r="P537" s="9">
        <f t="shared" si="73"/>
        <v>1</v>
      </c>
      <c r="Q537" s="10">
        <f t="shared" si="76"/>
        <v>4.5690471383181608</v>
      </c>
      <c r="R537" s="10">
        <f t="shared" si="77"/>
        <v>1.4592415152606755</v>
      </c>
      <c r="S537" s="9">
        <f t="shared" si="74"/>
        <v>1</v>
      </c>
      <c r="T537" s="10">
        <f t="shared" si="78"/>
        <v>4.5246132435184165</v>
      </c>
      <c r="U537" s="10">
        <f t="shared" si="75"/>
        <v>4.5243794416756362</v>
      </c>
      <c r="V537" s="8">
        <f t="shared" si="79"/>
        <v>150.29050662279343</v>
      </c>
      <c r="W537" s="8">
        <f t="shared" si="80"/>
        <v>152.34057632231557</v>
      </c>
    </row>
    <row r="538" spans="14:23" x14ac:dyDescent="0.25">
      <c r="N538" s="8">
        <v>87</v>
      </c>
      <c r="O538" s="8">
        <f t="shared" si="72"/>
        <v>238.68601535708086</v>
      </c>
      <c r="P538" s="9">
        <f t="shared" si="73"/>
        <v>1</v>
      </c>
      <c r="Q538" s="10">
        <f t="shared" si="76"/>
        <v>4.5281616805101867</v>
      </c>
      <c r="R538" s="10">
        <f t="shared" si="77"/>
        <v>1.4461837035118137</v>
      </c>
      <c r="S538" s="9">
        <f t="shared" si="74"/>
        <v>1</v>
      </c>
      <c r="T538" s="10">
        <f t="shared" si="78"/>
        <v>4.4841253959946181</v>
      </c>
      <c r="U538" s="10">
        <f t="shared" si="75"/>
        <v>4.4835969706546956</v>
      </c>
      <c r="V538" s="8">
        <f t="shared" si="79"/>
        <v>151.02178105216137</v>
      </c>
      <c r="W538" s="8">
        <f t="shared" si="80"/>
        <v>153.06473912204157</v>
      </c>
    </row>
    <row r="539" spans="14:23" x14ac:dyDescent="0.25">
      <c r="N539" s="8">
        <v>87.5</v>
      </c>
      <c r="O539" s="8">
        <f t="shared" si="72"/>
        <v>240.29033243392018</v>
      </c>
      <c r="P539" s="9">
        <f t="shared" si="73"/>
        <v>1</v>
      </c>
      <c r="Q539" s="10">
        <f t="shared" si="76"/>
        <v>4.4879966537969675</v>
      </c>
      <c r="R539" s="10">
        <f t="shared" si="77"/>
        <v>1.4333559797726672</v>
      </c>
      <c r="S539" s="9">
        <f t="shared" si="74"/>
        <v>1</v>
      </c>
      <c r="T539" s="10">
        <f t="shared" si="78"/>
        <v>4.4443509733871513</v>
      </c>
      <c r="U539" s="10">
        <f t="shared" si="75"/>
        <v>4.4445625260429047</v>
      </c>
      <c r="V539" s="8">
        <f t="shared" si="79"/>
        <v>151.74501989132219</v>
      </c>
      <c r="W539" s="8">
        <f t="shared" si="80"/>
        <v>153.78094447751934</v>
      </c>
    </row>
    <row r="540" spans="14:23" x14ac:dyDescent="0.25">
      <c r="N540" s="8">
        <v>88</v>
      </c>
      <c r="O540" s="8">
        <f t="shared" si="72"/>
        <v>241.891149123579</v>
      </c>
      <c r="P540" s="9">
        <f t="shared" si="73"/>
        <v>1</v>
      </c>
      <c r="Q540" s="10">
        <f t="shared" si="76"/>
        <v>4.4485372428716685</v>
      </c>
      <c r="R540" s="10">
        <f t="shared" si="77"/>
        <v>1.4207536123978532</v>
      </c>
      <c r="S540" s="9">
        <f t="shared" si="74"/>
        <v>1</v>
      </c>
      <c r="T540" s="10">
        <f t="shared" si="78"/>
        <v>4.4052753044677528</v>
      </c>
      <c r="U540" s="10">
        <f t="shared" si="75"/>
        <v>4.4057534434879528</v>
      </c>
      <c r="V540" s="8">
        <f t="shared" si="79"/>
        <v>152.46030752179664</v>
      </c>
      <c r="W540" s="8">
        <f t="shared" si="80"/>
        <v>154.48927594966102</v>
      </c>
    </row>
    <row r="541" spans="14:23" x14ac:dyDescent="0.25">
      <c r="N541" s="8">
        <v>88.5</v>
      </c>
      <c r="O541" s="8">
        <f t="shared" si="72"/>
        <v>243.4883389120547</v>
      </c>
      <c r="P541" s="9">
        <f t="shared" si="73"/>
        <v>1</v>
      </c>
      <c r="Q541" s="10">
        <f t="shared" si="76"/>
        <v>4.4097689898558867</v>
      </c>
      <c r="R541" s="10">
        <f t="shared" si="77"/>
        <v>1.4083719838958582</v>
      </c>
      <c r="S541" s="9">
        <f t="shared" si="74"/>
        <v>1</v>
      </c>
      <c r="T541" s="10">
        <f t="shared" si="78"/>
        <v>4.366884071960607</v>
      </c>
      <c r="U541" s="10">
        <f t="shared" si="75"/>
        <v>4.3666926512017969</v>
      </c>
      <c r="V541" s="8">
        <f t="shared" si="79"/>
        <v>153.16772733470179</v>
      </c>
      <c r="W541" s="8">
        <f t="shared" si="80"/>
        <v>155.18981611860667</v>
      </c>
    </row>
    <row r="542" spans="14:23" x14ac:dyDescent="0.25">
      <c r="N542" s="8">
        <v>89</v>
      </c>
      <c r="O542" s="8">
        <f t="shared" si="72"/>
        <v>245.08177658307724</v>
      </c>
      <c r="P542" s="9">
        <f t="shared" si="73"/>
        <v>1</v>
      </c>
      <c r="Q542" s="10">
        <f t="shared" si="76"/>
        <v>4.371677784842511</v>
      </c>
      <c r="R542" s="10">
        <f t="shared" si="77"/>
        <v>1.396206587908658</v>
      </c>
      <c r="S542" s="9">
        <f t="shared" si="74"/>
        <v>1</v>
      </c>
      <c r="T542" s="10">
        <f t="shared" si="78"/>
        <v>4.3291633031771761</v>
      </c>
      <c r="U542" s="10">
        <f t="shared" si="75"/>
        <v>4.3287306651006761</v>
      </c>
      <c r="V542" s="8">
        <f t="shared" si="79"/>
        <v>153.867361739546</v>
      </c>
      <c r="W542" s="8">
        <f t="shared" si="80"/>
        <v>155.88264659243373</v>
      </c>
    </row>
    <row r="543" spans="14:23" x14ac:dyDescent="0.25">
      <c r="N543" s="8">
        <v>89.5</v>
      </c>
      <c r="O543" s="8">
        <f t="shared" si="72"/>
        <v>246.67133822909801</v>
      </c>
      <c r="P543" s="9">
        <f t="shared" si="73"/>
        <v>1</v>
      </c>
      <c r="Q543" s="10">
        <f t="shared" si="76"/>
        <v>4.3342498567011223</v>
      </c>
      <c r="R543" s="10">
        <f t="shared" si="77"/>
        <v>1.38425302627519</v>
      </c>
      <c r="S543" s="9">
        <f t="shared" si="74"/>
        <v>1</v>
      </c>
      <c r="T543" s="10">
        <f t="shared" si="78"/>
        <v>4.292099360911017</v>
      </c>
      <c r="U543" s="10">
        <f t="shared" si="75"/>
        <v>4.2922725655761775</v>
      </c>
      <c r="V543" s="8">
        <f t="shared" si="79"/>
        <v>154.5592921731475</v>
      </c>
      <c r="W543" s="8">
        <f t="shared" si="80"/>
        <v>156.567848015989</v>
      </c>
    </row>
    <row r="544" spans="14:23" x14ac:dyDescent="0.25">
      <c r="N544" s="8">
        <v>90</v>
      </c>
      <c r="O544" s="8">
        <f t="shared" si="72"/>
        <v>248.25690126176747</v>
      </c>
      <c r="P544" s="9">
        <f t="shared" si="73"/>
        <v>1</v>
      </c>
      <c r="Q544" s="10">
        <f t="shared" si="76"/>
        <v>4.297471764138824</v>
      </c>
      <c r="R544" s="10">
        <f t="shared" si="77"/>
        <v>1.3725070061763998</v>
      </c>
      <c r="S544" s="9">
        <f t="shared" si="74"/>
        <v>1</v>
      </c>
      <c r="T544" s="10">
        <f t="shared" si="78"/>
        <v>4.2556789345855464</v>
      </c>
      <c r="U544" s="10">
        <f t="shared" si="75"/>
        <v>4.2560704017056308</v>
      </c>
      <c r="V544" s="8">
        <f t="shared" si="79"/>
        <v>155.24359910866238</v>
      </c>
      <c r="W544" s="8">
        <f t="shared" si="80"/>
        <v>157.24550007982867</v>
      </c>
    </row>
    <row r="545" spans="14:23" x14ac:dyDescent="0.25">
      <c r="N545" s="8">
        <v>90.5</v>
      </c>
      <c r="O545" s="8">
        <f t="shared" si="72"/>
        <v>249.83834442189368</v>
      </c>
      <c r="P545" s="9">
        <f t="shared" si="73"/>
        <v>1</v>
      </c>
      <c r="Q545" s="10">
        <f t="shared" si="76"/>
        <v>4.261330387009818</v>
      </c>
      <c r="R545" s="10">
        <f t="shared" si="77"/>
        <v>1.3609643373597347</v>
      </c>
      <c r="S545" s="9">
        <f t="shared" si="74"/>
        <v>1</v>
      </c>
      <c r="T545" s="10">
        <f t="shared" si="78"/>
        <v>4.2198890316481288</v>
      </c>
      <c r="U545" s="10">
        <f t="shared" si="75"/>
        <v>4.2197323095861137</v>
      </c>
      <c r="V545" s="8">
        <f t="shared" si="79"/>
        <v>155.92036206470274</v>
      </c>
      <c r="W545" s="8">
        <f t="shared" si="80"/>
        <v>157.91568152924793</v>
      </c>
    </row>
    <row r="546" spans="14:23" x14ac:dyDescent="0.25">
      <c r="N546" s="8">
        <v>91</v>
      </c>
      <c r="O546" s="8">
        <f t="shared" si="72"/>
        <v>251.41554778888545</v>
      </c>
      <c r="P546" s="9">
        <f t="shared" si="73"/>
        <v>1</v>
      </c>
      <c r="Q546" s="10">
        <f t="shared" si="76"/>
        <v>4.2258129178669224</v>
      </c>
      <c r="R546" s="10">
        <f t="shared" si="77"/>
        <v>1.3496209294409052</v>
      </c>
      <c r="S546" s="9">
        <f t="shared" si="74"/>
        <v>1</v>
      </c>
      <c r="T546" s="10">
        <f t="shared" si="78"/>
        <v>4.1847169692037571</v>
      </c>
      <c r="U546" s="10">
        <f t="shared" si="75"/>
        <v>4.1843627551055738</v>
      </c>
      <c r="V546" s="8">
        <f t="shared" si="79"/>
        <v>156.58965961453239</v>
      </c>
      <c r="W546" s="8">
        <f t="shared" si="80"/>
        <v>158.57847017338707</v>
      </c>
    </row>
    <row r="547" spans="14:23" x14ac:dyDescent="0.25">
      <c r="N547" s="8">
        <v>91.5</v>
      </c>
      <c r="O547" s="8">
        <f t="shared" si="72"/>
        <v>252.98839278967594</v>
      </c>
      <c r="P547" s="9">
        <f t="shared" si="73"/>
        <v>1</v>
      </c>
      <c r="Q547" s="10">
        <f t="shared" si="76"/>
        <v>4.1909068537485332</v>
      </c>
      <c r="R547" s="10">
        <f t="shared" si="77"/>
        <v>1.3384727892808426</v>
      </c>
      <c r="S547" s="9">
        <f t="shared" si="74"/>
        <v>1</v>
      </c>
      <c r="T547" s="10">
        <f t="shared" si="78"/>
        <v>4.1501503658818883</v>
      </c>
      <c r="U547" s="10">
        <f t="shared" si="75"/>
        <v>4.1502921738678316</v>
      </c>
      <c r="V547" s="8">
        <f t="shared" si="79"/>
        <v>157.2515693953244</v>
      </c>
      <c r="W547" s="8">
        <f t="shared" si="80"/>
        <v>159.23394289439915</v>
      </c>
    </row>
    <row r="548" spans="14:23" x14ac:dyDescent="0.25">
      <c r="N548" s="8">
        <v>92</v>
      </c>
      <c r="O548" s="8">
        <f t="shared" si="72"/>
        <v>254.55676220712948</v>
      </c>
      <c r="P548" s="9">
        <f t="shared" si="73"/>
        <v>1</v>
      </c>
      <c r="Q548" s="10">
        <f t="shared" si="76"/>
        <v>4.1565999881945714</v>
      </c>
      <c r="R548" s="10">
        <f t="shared" si="77"/>
        <v>1.3275160184357873</v>
      </c>
      <c r="S548" s="9">
        <f t="shared" si="74"/>
        <v>1</v>
      </c>
      <c r="T548" s="10">
        <f t="shared" si="78"/>
        <v>4.1161771339300293</v>
      </c>
      <c r="U548" s="10">
        <f t="shared" si="75"/>
        <v>4.1164976401000608</v>
      </c>
      <c r="V548" s="8">
        <f t="shared" si="79"/>
        <v>157.90616811746878</v>
      </c>
      <c r="W548" s="8">
        <f t="shared" si="80"/>
        <v>159.88217565666716</v>
      </c>
    </row>
    <row r="549" spans="14:23" x14ac:dyDescent="0.25">
      <c r="N549" s="8">
        <v>92.5</v>
      </c>
      <c r="O549" s="8">
        <f t="shared" si="72"/>
        <v>256.12054018792679</v>
      </c>
      <c r="P549" s="9">
        <f t="shared" si="73"/>
        <v>1</v>
      </c>
      <c r="Q549" s="10">
        <f t="shared" si="76"/>
        <v>4.1228804034852091</v>
      </c>
      <c r="R549" s="10">
        <f t="shared" si="77"/>
        <v>1.3167468106785301</v>
      </c>
      <c r="S549" s="9">
        <f t="shared" si="74"/>
        <v>1</v>
      </c>
      <c r="T549" s="10">
        <f t="shared" si="78"/>
        <v>4.0827854715279468</v>
      </c>
      <c r="U549" s="10">
        <f t="shared" si="75"/>
        <v>4.0826571583560893</v>
      </c>
      <c r="V549" s="8">
        <f t="shared" si="79"/>
        <v>158.55353157391639</v>
      </c>
      <c r="W549" s="8">
        <f t="shared" si="80"/>
        <v>160.52324351605694</v>
      </c>
    </row>
    <row r="550" spans="14:23" x14ac:dyDescent="0.25">
      <c r="N550" s="8">
        <v>93</v>
      </c>
      <c r="O550" s="8">
        <f t="shared" si="72"/>
        <v>257.67961224993394</v>
      </c>
      <c r="P550" s="9">
        <f t="shared" si="73"/>
        <v>1</v>
      </c>
      <c r="Q550" s="10">
        <f t="shared" si="76"/>
        <v>4.0897364630961581</v>
      </c>
      <c r="R550" s="10">
        <f t="shared" si="77"/>
        <v>1.3061614495888147</v>
      </c>
      <c r="S550" s="9">
        <f t="shared" si="74"/>
        <v>1</v>
      </c>
      <c r="T550" s="10">
        <f t="shared" si="78"/>
        <v>4.0499638553163253</v>
      </c>
      <c r="U550" s="10">
        <f t="shared" si="75"/>
        <v>4.0496738493409694</v>
      </c>
      <c r="V550" s="8">
        <f t="shared" si="79"/>
        <v>159.19373464954919</v>
      </c>
      <c r="W550" s="8">
        <f t="shared" si="80"/>
        <v>161.15722062919644</v>
      </c>
    </row>
    <row r="551" spans="14:23" x14ac:dyDescent="0.25">
      <c r="N551" s="8">
        <v>93.5</v>
      </c>
      <c r="O551" s="8">
        <f t="shared" si="72"/>
        <v>259.23386528905166</v>
      </c>
      <c r="P551" s="9">
        <f t="shared" si="73"/>
        <v>1</v>
      </c>
      <c r="Q551" s="10">
        <f t="shared" si="76"/>
        <v>4.057156804364598</v>
      </c>
      <c r="R551" s="10">
        <f t="shared" si="77"/>
        <v>1.2957563062110169</v>
      </c>
      <c r="S551" s="9">
        <f t="shared" si="74"/>
        <v>1</v>
      </c>
      <c r="T551" s="10">
        <f t="shared" si="78"/>
        <v>4.0177010331340206</v>
      </c>
      <c r="U551" s="10">
        <f t="shared" si="75"/>
        <v>4.0178171356931447</v>
      </c>
      <c r="V551" s="8">
        <f t="shared" si="79"/>
        <v>159.82685133056512</v>
      </c>
      <c r="W551" s="8">
        <f t="shared" si="80"/>
        <v>161.7841802627693</v>
      </c>
    </row>
    <row r="552" spans="14:23" x14ac:dyDescent="0.25">
      <c r="N552" s="8">
        <v>94</v>
      </c>
      <c r="O552" s="8">
        <f t="shared" si="72"/>
        <v>260.78318758554644</v>
      </c>
      <c r="P552" s="9">
        <f t="shared" si="73"/>
        <v>1</v>
      </c>
      <c r="Q552" s="10">
        <f t="shared" si="76"/>
        <v>4.0251303313598852</v>
      </c>
      <c r="R552" s="10">
        <f t="shared" si="77"/>
        <v>1.2855278367772225</v>
      </c>
      <c r="S552" s="9">
        <f t="shared" si="74"/>
        <v>1</v>
      </c>
      <c r="T552" s="10">
        <f t="shared" si="78"/>
        <v>3.985986016958099</v>
      </c>
      <c r="U552" s="10">
        <f t="shared" si="75"/>
        <v>3.9862484252160555</v>
      </c>
      <c r="V552" s="8">
        <f t="shared" si="79"/>
        <v>160.45295471386765</v>
      </c>
      <c r="W552" s="8">
        <f t="shared" si="80"/>
        <v>162.40419480281301</v>
      </c>
    </row>
    <row r="553" spans="14:23" x14ac:dyDescent="0.25">
      <c r="N553" s="8">
        <v>94.5</v>
      </c>
      <c r="O553" s="8">
        <f t="shared" si="72"/>
        <v>262.3274688098665</v>
      </c>
      <c r="P553" s="9">
        <f t="shared" si="73"/>
        <v>1</v>
      </c>
      <c r="Q553" s="10">
        <f t="shared" si="76"/>
        <v>3.9936462079532906</v>
      </c>
      <c r="R553" s="10">
        <f t="shared" si="77"/>
        <v>1.2754725804938731</v>
      </c>
      <c r="S553" s="9">
        <f t="shared" si="74"/>
        <v>1</v>
      </c>
      <c r="T553" s="10">
        <f t="shared" si="78"/>
        <v>3.954808076040973</v>
      </c>
      <c r="U553" s="10">
        <f t="shared" si="75"/>
        <v>3.9547030221011479</v>
      </c>
      <c r="V553" s="8">
        <f t="shared" si="79"/>
        <v>161.07211701645164</v>
      </c>
      <c r="W553" s="8">
        <f t="shared" si="80"/>
        <v>163.01733576401352</v>
      </c>
    </row>
    <row r="554" spans="14:23" x14ac:dyDescent="0.25">
      <c r="N554" s="8">
        <v>95</v>
      </c>
      <c r="O554" s="8">
        <f t="shared" si="72"/>
        <v>263.86660002794162</v>
      </c>
      <c r="P554" s="9">
        <f t="shared" si="73"/>
        <v>1</v>
      </c>
      <c r="Q554" s="10">
        <f t="shared" si="76"/>
        <v>3.9626938510812475</v>
      </c>
      <c r="R554" s="10">
        <f t="shared" si="77"/>
        <v>1.2655871573902115</v>
      </c>
      <c r="S554" s="9">
        <f t="shared" si="74"/>
        <v>1</v>
      </c>
      <c r="T554" s="10">
        <f t="shared" si="78"/>
        <v>3.9241567302391642</v>
      </c>
      <c r="U554" s="10">
        <f t="shared" si="75"/>
        <v>3.9239192934285638</v>
      </c>
      <c r="V554" s="8">
        <f t="shared" si="79"/>
        <v>161.68440958477572</v>
      </c>
      <c r="W554" s="8">
        <f t="shared" si="80"/>
        <v>163.62367379898657</v>
      </c>
    </row>
    <row r="555" spans="14:23" x14ac:dyDescent="0.25">
      <c r="N555" s="8">
        <v>95.5</v>
      </c>
      <c r="O555" s="8">
        <f t="shared" si="72"/>
        <v>265.40047370596864</v>
      </c>
      <c r="P555" s="9">
        <f t="shared" si="73"/>
        <v>1</v>
      </c>
      <c r="Q555" s="10">
        <f t="shared" si="76"/>
        <v>3.9322629241966736</v>
      </c>
      <c r="R555" s="10">
        <f t="shared" si="77"/>
        <v>1.2558682662267953</v>
      </c>
      <c r="S555" s="9">
        <f t="shared" si="74"/>
        <v>1</v>
      </c>
      <c r="T555" s="10">
        <f t="shared" si="78"/>
        <v>3.89402174352831</v>
      </c>
      <c r="U555" s="10">
        <f t="shared" si="75"/>
        <v>3.8941168002639759</v>
      </c>
      <c r="V555" s="8">
        <f t="shared" si="79"/>
        <v>162.28990290411372</v>
      </c>
      <c r="W555" s="8">
        <f t="shared" si="80"/>
        <v>164.22327870753804</v>
      </c>
    </row>
    <row r="556" spans="14:23" x14ac:dyDescent="0.25">
      <c r="N556" s="8">
        <v>96</v>
      </c>
      <c r="O556" s="8">
        <f t="shared" si="72"/>
        <v>266.92898371468669</v>
      </c>
      <c r="P556" s="9">
        <f t="shared" si="73"/>
        <v>1</v>
      </c>
      <c r="Q556" s="10">
        <f t="shared" si="76"/>
        <v>3.9023433309030282</v>
      </c>
      <c r="R556" s="10">
        <f t="shared" si="77"/>
        <v>1.2463126824623709</v>
      </c>
      <c r="S556" s="9">
        <f t="shared" si="74"/>
        <v>1</v>
      </c>
      <c r="T556" s="10">
        <f t="shared" si="78"/>
        <v>3.8643931176991302</v>
      </c>
      <c r="U556" s="10">
        <f t="shared" si="75"/>
        <v>3.8646079594097809</v>
      </c>
      <c r="V556" s="8">
        <f t="shared" si="79"/>
        <v>162.88866660787798</v>
      </c>
      <c r="W556" s="8">
        <f t="shared" si="80"/>
        <v>164.81621944589671</v>
      </c>
    </row>
    <row r="557" spans="14:23" x14ac:dyDescent="0.25">
      <c r="N557" s="8">
        <v>96.5</v>
      </c>
      <c r="O557" s="8">
        <f t="shared" si="72"/>
        <v>268.45202533314171</v>
      </c>
      <c r="P557" s="9">
        <f t="shared" si="73"/>
        <v>1</v>
      </c>
      <c r="Q557" s="10">
        <f t="shared" si="76"/>
        <v>3.8729252087660031</v>
      </c>
      <c r="R557" s="10">
        <f t="shared" si="77"/>
        <v>1.2369172562774797</v>
      </c>
      <c r="S557" s="9">
        <f t="shared" si="74"/>
        <v>1</v>
      </c>
      <c r="T557" s="10">
        <f t="shared" si="78"/>
        <v>3.8352610862292993</v>
      </c>
      <c r="U557" s="10">
        <f t="shared" si="75"/>
        <v>3.8351750753380327</v>
      </c>
      <c r="V557" s="8">
        <f t="shared" si="79"/>
        <v>163.48076948690698</v>
      </c>
      <c r="W557" s="8">
        <f t="shared" si="80"/>
        <v>165.40256413591146</v>
      </c>
    </row>
    <row r="558" spans="14:23" x14ac:dyDescent="0.25">
      <c r="N558" s="8">
        <v>97</v>
      </c>
      <c r="O558" s="8">
        <f t="shared" si="72"/>
        <v>269.96949525194538</v>
      </c>
      <c r="P558" s="9">
        <f t="shared" si="73"/>
        <v>1</v>
      </c>
      <c r="Q558" s="10">
        <f t="shared" si="76"/>
        <v>3.8439989232977649</v>
      </c>
      <c r="R558" s="10">
        <f t="shared" si="77"/>
        <v>1.2276789106531725</v>
      </c>
      <c r="S558" s="9">
        <f t="shared" si="74"/>
        <v>1</v>
      </c>
      <c r="T558" s="10">
        <f t="shared" si="78"/>
        <v>3.8066161083261907</v>
      </c>
      <c r="U558" s="10">
        <f t="shared" si="75"/>
        <v>3.806421711507439</v>
      </c>
      <c r="V558" s="8">
        <f t="shared" si="79"/>
        <v>164.06627949871182</v>
      </c>
      <c r="W558" s="8">
        <f t="shared" si="80"/>
        <v>165.98238007420795</v>
      </c>
    </row>
    <row r="559" spans="14:23" x14ac:dyDescent="0.25">
      <c r="N559" s="8">
        <v>97.5</v>
      </c>
      <c r="O559" s="8">
        <f t="shared" si="72"/>
        <v>271.48129157602932</v>
      </c>
      <c r="P559" s="9">
        <f t="shared" si="73"/>
        <v>1</v>
      </c>
      <c r="Q559" s="10">
        <f t="shared" si="76"/>
        <v>3.8155550621088903</v>
      </c>
      <c r="R559" s="10">
        <f t="shared" si="77"/>
        <v>1.218594639503281</v>
      </c>
      <c r="S559" s="9">
        <f t="shared" si="74"/>
        <v>1</v>
      </c>
      <c r="T559" s="10">
        <f t="shared" si="78"/>
        <v>3.7784488631356856</v>
      </c>
      <c r="U559" s="10">
        <f t="shared" si="75"/>
        <v>3.7785266890084626</v>
      </c>
      <c r="V559" s="8">
        <f t="shared" si="79"/>
        <v>164.64526377667482</v>
      </c>
      <c r="W559" s="8">
        <f t="shared" si="80"/>
        <v>166.55573374129764</v>
      </c>
    </row>
    <row r="560" spans="14:23" x14ac:dyDescent="0.25">
      <c r="N560" s="8">
        <v>98</v>
      </c>
      <c r="O560" s="8">
        <f t="shared" si="72"/>
        <v>272.9873138268976</v>
      </c>
      <c r="P560" s="9">
        <f t="shared" si="73"/>
        <v>1</v>
      </c>
      <c r="Q560" s="10">
        <f t="shared" si="76"/>
        <v>3.7875844292232328</v>
      </c>
      <c r="R560" s="10">
        <f t="shared" si="77"/>
        <v>1.2096615058587261</v>
      </c>
      <c r="S560" s="9">
        <f t="shared" si="74"/>
        <v>1</v>
      </c>
      <c r="T560" s="10">
        <f t="shared" si="78"/>
        <v>3.7507502441123277</v>
      </c>
      <c r="U560" s="10">
        <f t="shared" si="75"/>
        <v>3.7509261416278812</v>
      </c>
      <c r="V560" s="8">
        <f t="shared" si="79"/>
        <v>165.21778863919491</v>
      </c>
      <c r="W560" s="8">
        <f t="shared" si="80"/>
        <v>167.12269081063431</v>
      </c>
    </row>
    <row r="561" spans="14:23" x14ac:dyDescent="0.25">
      <c r="N561" s="8">
        <v>98.5</v>
      </c>
      <c r="O561" s="8">
        <f t="shared" si="72"/>
        <v>274.48746294438456</v>
      </c>
      <c r="P561" s="9">
        <f t="shared" si="73"/>
        <v>1</v>
      </c>
      <c r="Q561" s="10">
        <f t="shared" si="76"/>
        <v>3.7600780395510047</v>
      </c>
      <c r="R561" s="10">
        <f t="shared" si="77"/>
        <v>1.2008766401023558</v>
      </c>
      <c r="S561" s="9">
        <f t="shared" si="74"/>
        <v>1</v>
      </c>
      <c r="T561" s="10">
        <f t="shared" si="78"/>
        <v>3.723511353546153</v>
      </c>
      <c r="U561" s="10">
        <f t="shared" si="75"/>
        <v>3.7234409337843735</v>
      </c>
      <c r="V561" s="8">
        <f t="shared" si="79"/>
        <v>165.78391959877595</v>
      </c>
      <c r="W561" s="8">
        <f t="shared" si="80"/>
        <v>167.683316157614</v>
      </c>
    </row>
    <row r="562" spans="14:23" x14ac:dyDescent="0.25">
      <c r="N562" s="8">
        <v>99</v>
      </c>
      <c r="O562" s="8">
        <f t="shared" si="72"/>
        <v>275.98164128791575</v>
      </c>
      <c r="P562" s="9">
        <f t="shared" si="73"/>
        <v>1</v>
      </c>
      <c r="Q562" s="10">
        <f t="shared" si="76"/>
        <v>3.7330271135156754</v>
      </c>
      <c r="R562" s="10">
        <f t="shared" si="77"/>
        <v>1.1922372382529083</v>
      </c>
      <c r="S562" s="9">
        <f t="shared" si="74"/>
        <v>1</v>
      </c>
      <c r="T562" s="10">
        <f t="shared" si="78"/>
        <v>3.6967234972418423</v>
      </c>
      <c r="U562" s="10">
        <f t="shared" si="75"/>
        <v>3.69656433858803</v>
      </c>
      <c r="V562" s="8">
        <f t="shared" si="79"/>
        <v>166.34372137105166</v>
      </c>
      <c r="W562" s="8">
        <f t="shared" si="80"/>
        <v>168.23767386851213</v>
      </c>
    </row>
    <row r="563" spans="14:23" x14ac:dyDescent="0.25">
      <c r="N563" s="8">
        <v>99.5</v>
      </c>
      <c r="O563" s="8">
        <f t="shared" si="72"/>
        <v>277.46975263728166</v>
      </c>
      <c r="P563" s="9">
        <f t="shared" si="73"/>
        <v>1</v>
      </c>
      <c r="Q563" s="10">
        <f t="shared" si="76"/>
        <v>3.7064230718301778</v>
      </c>
      <c r="R563" s="10">
        <f t="shared" si="77"/>
        <v>1.1837405602966609</v>
      </c>
      <c r="S563" s="9">
        <f t="shared" si="74"/>
        <v>1</v>
      </c>
      <c r="T563" s="10">
        <f t="shared" si="78"/>
        <v>3.6703781793457293</v>
      </c>
      <c r="U563" s="10">
        <f t="shared" si="75"/>
        <v>3.6704418977811568</v>
      </c>
      <c r="V563" s="8">
        <f t="shared" si="79"/>
        <v>166.89725788374443</v>
      </c>
      <c r="W563" s="8">
        <f t="shared" si="80"/>
        <v>168.78582724935526</v>
      </c>
    </row>
    <row r="564" spans="14:23" x14ac:dyDescent="0.25">
      <c r="N564" s="8">
        <v>100</v>
      </c>
      <c r="O564" s="8">
        <f t="shared" si="72"/>
        <v>278.95170219292487</v>
      </c>
      <c r="P564" s="9">
        <f t="shared" si="73"/>
        <v>1</v>
      </c>
      <c r="Q564" s="10">
        <f t="shared" si="76"/>
        <v>3.6802575304182192</v>
      </c>
      <c r="R564" s="10">
        <f t="shared" si="77"/>
        <v>1.1753839285654204</v>
      </c>
      <c r="S564" s="9">
        <f t="shared" si="74"/>
        <v>1</v>
      </c>
      <c r="T564" s="10">
        <f t="shared" si="78"/>
        <v>3.6444670973164999</v>
      </c>
      <c r="U564" s="10">
        <f t="shared" si="75"/>
        <v>3.6446111100218737</v>
      </c>
      <c r="V564" s="8">
        <f t="shared" si="79"/>
        <v>167.44459228555345</v>
      </c>
      <c r="W564" s="8">
        <f t="shared" si="80"/>
        <v>169.32783883472268</v>
      </c>
    </row>
    <row r="565" spans="14:23" x14ac:dyDescent="0.25">
      <c r="N565" s="8">
        <v>100.5</v>
      </c>
      <c r="O565" s="8">
        <f t="shared" si="72"/>
        <v>280.42739657574685</v>
      </c>
      <c r="P565" s="9">
        <f t="shared" si="73"/>
        <v>1</v>
      </c>
      <c r="Q565" s="10">
        <f t="shared" si="76"/>
        <v>3.6545222954765046</v>
      </c>
      <c r="R565" s="10">
        <f t="shared" si="77"/>
        <v>1.1671647261595199</v>
      </c>
      <c r="S565" s="9">
        <f t="shared" si="74"/>
        <v>1</v>
      </c>
      <c r="T565" s="10">
        <f t="shared" si="78"/>
        <v>3.6189821370354376</v>
      </c>
      <c r="U565" s="10">
        <f t="shared" si="75"/>
        <v>3.618924482210844</v>
      </c>
      <c r="V565" s="8">
        <f t="shared" si="79"/>
        <v>167.98578695496889</v>
      </c>
      <c r="W565" s="8">
        <f t="shared" si="80"/>
        <v>169.86377039647496</v>
      </c>
    </row>
    <row r="566" spans="14:23" x14ac:dyDescent="0.25">
      <c r="N566" s="8">
        <v>101</v>
      </c>
      <c r="O566" s="8">
        <f t="shared" si="72"/>
        <v>281.8967438264379</v>
      </c>
      <c r="P566" s="9">
        <f t="shared" si="73"/>
        <v>1</v>
      </c>
      <c r="Q566" s="10">
        <f t="shared" si="76"/>
        <v>3.6292093586738523</v>
      </c>
      <c r="R566" s="10">
        <f t="shared" si="77"/>
        <v>1.159080395414533</v>
      </c>
      <c r="S566" s="9">
        <f t="shared" si="74"/>
        <v>1</v>
      </c>
      <c r="T566" s="10">
        <f t="shared" si="78"/>
        <v>3.593915368052226</v>
      </c>
      <c r="U566" s="10">
        <f t="shared" si="75"/>
        <v>3.5937850599677312</v>
      </c>
      <c r="V566" s="8">
        <f t="shared" si="79"/>
        <v>168.52090350900875</v>
      </c>
      <c r="W566" s="8">
        <f t="shared" si="80"/>
        <v>170.39368295240581</v>
      </c>
    </row>
    <row r="567" spans="14:23" x14ac:dyDescent="0.25">
      <c r="N567" s="8">
        <v>101.5</v>
      </c>
      <c r="O567" s="8">
        <f t="shared" si="72"/>
        <v>283.35965340433836</v>
      </c>
      <c r="P567" s="9">
        <f t="shared" si="73"/>
        <v>1</v>
      </c>
      <c r="Q567" s="10">
        <f t="shared" si="76"/>
        <v>3.6043108924832139</v>
      </c>
      <c r="R567" s="10">
        <f t="shared" si="77"/>
        <v>1.1511284364104357</v>
      </c>
      <c r="S567" s="9">
        <f t="shared" si="74"/>
        <v>1</v>
      </c>
      <c r="T567" s="10">
        <f t="shared" si="78"/>
        <v>3.5692590389623655</v>
      </c>
      <c r="U567" s="10">
        <f t="shared" si="75"/>
        <v>3.5693112072049882</v>
      </c>
      <c r="V567" s="8">
        <f t="shared" si="79"/>
        <v>169.05000281187648</v>
      </c>
      <c r="W567" s="8">
        <f t="shared" si="80"/>
        <v>170.91763677481546</v>
      </c>
    </row>
    <row r="568" spans="14:23" x14ac:dyDescent="0.25">
      <c r="N568" s="8">
        <v>102</v>
      </c>
      <c r="O568" s="8">
        <f t="shared" si="72"/>
        <v>284.81603618583085</v>
      </c>
      <c r="P568" s="9">
        <f t="shared" si="73"/>
        <v>1</v>
      </c>
      <c r="Q568" s="10">
        <f t="shared" si="76"/>
        <v>3.579819245642879</v>
      </c>
      <c r="R568" s="10">
        <f t="shared" si="77"/>
        <v>1.143306405522027</v>
      </c>
      <c r="S568" s="9">
        <f t="shared" si="74"/>
        <v>1</v>
      </c>
      <c r="T568" s="10">
        <f t="shared" si="78"/>
        <v>3.5450055729125172</v>
      </c>
      <c r="U568" s="10">
        <f t="shared" si="75"/>
        <v>3.5451234805432406</v>
      </c>
      <c r="V568" s="8">
        <f t="shared" si="79"/>
        <v>169.57314498353489</v>
      </c>
      <c r="W568" s="8">
        <f t="shared" si="80"/>
        <v>171.43569139900126</v>
      </c>
    </row>
    <row r="569" spans="14:23" x14ac:dyDescent="0.25">
      <c r="N569" s="8">
        <v>102.5</v>
      </c>
      <c r="O569" s="8">
        <f t="shared" si="72"/>
        <v>286.26580446227513</v>
      </c>
      <c r="P569" s="9">
        <f t="shared" si="73"/>
        <v>1</v>
      </c>
      <c r="Q569" s="10">
        <f t="shared" si="76"/>
        <v>3.5557269387430379</v>
      </c>
      <c r="R569" s="10">
        <f t="shared" si="77"/>
        <v>1.1356119140093852</v>
      </c>
      <c r="S569" s="9">
        <f t="shared" si="74"/>
        <v>1</v>
      </c>
      <c r="T569" s="10">
        <f t="shared" si="78"/>
        <v>3.5211475632299871</v>
      </c>
      <c r="U569" s="10">
        <f t="shared" si="75"/>
        <v>3.5211003594520291</v>
      </c>
      <c r="V569" s="8">
        <f t="shared" si="79"/>
        <v>170.09038940819616</v>
      </c>
      <c r="W569" s="8">
        <f t="shared" si="80"/>
        <v>171.94790563166509</v>
      </c>
    </row>
    <row r="570" spans="14:23" x14ac:dyDescent="0.25">
      <c r="N570" s="8">
        <v>103</v>
      </c>
      <c r="O570" s="8">
        <f t="shared" si="72"/>
        <v>287.70887193748854</v>
      </c>
      <c r="P570" s="9">
        <f t="shared" si="73"/>
        <v>1</v>
      </c>
      <c r="Q570" s="10">
        <f t="shared" si="76"/>
        <v>3.5320266599341448</v>
      </c>
      <c r="R570" s="10">
        <f t="shared" si="77"/>
        <v>1.1280426266472241</v>
      </c>
      <c r="S570" s="9">
        <f t="shared" si="74"/>
        <v>1</v>
      </c>
      <c r="T570" s="10">
        <f t="shared" si="78"/>
        <v>3.497677769172824</v>
      </c>
      <c r="U570" s="10">
        <f t="shared" si="75"/>
        <v>3.4975710819366737</v>
      </c>
      <c r="V570" s="8">
        <f t="shared" si="79"/>
        <v>170.60179474272505</v>
      </c>
      <c r="W570" s="8">
        <f t="shared" si="80"/>
        <v>172.45433755923483</v>
      </c>
    </row>
    <row r="571" spans="14:23" x14ac:dyDescent="0.25">
      <c r="N571" s="8">
        <v>103.5</v>
      </c>
      <c r="O571" s="8">
        <f t="shared" si="72"/>
        <v>289.14515372477535</v>
      </c>
      <c r="P571" s="9">
        <f t="shared" si="73"/>
        <v>1</v>
      </c>
      <c r="Q571" s="10">
        <f t="shared" si="76"/>
        <v>3.5087112607536217</v>
      </c>
      <c r="R571" s="10">
        <f t="shared" si="77"/>
        <v>1.1205962603920452</v>
      </c>
      <c r="S571" s="9">
        <f t="shared" si="74"/>
        <v>1</v>
      </c>
      <c r="T571" s="10">
        <f t="shared" si="78"/>
        <v>3.4745891117971102</v>
      </c>
      <c r="U571" s="10">
        <f t="shared" si="75"/>
        <v>3.4746318235416793</v>
      </c>
      <c r="V571" s="8">
        <f t="shared" si="79"/>
        <v>171.10741892495221</v>
      </c>
      <c r="W571" s="8">
        <f t="shared" si="80"/>
        <v>172.95504455609685</v>
      </c>
    </row>
    <row r="572" spans="14:23" x14ac:dyDescent="0.25">
      <c r="N572" s="8">
        <v>104</v>
      </c>
      <c r="O572" s="8">
        <f t="shared" si="72"/>
        <v>290.57456634351826</v>
      </c>
      <c r="P572" s="9">
        <f t="shared" si="73"/>
        <v>1</v>
      </c>
      <c r="Q572" s="10">
        <f t="shared" si="76"/>
        <v>3.4857737520673724</v>
      </c>
      <c r="R572" s="10">
        <f t="shared" si="77"/>
        <v>1.1132705830859564</v>
      </c>
      <c r="S572" s="9">
        <f t="shared" si="74"/>
        <v>1</v>
      </c>
      <c r="T572" s="10">
        <f t="shared" si="78"/>
        <v>3.4518746699379426</v>
      </c>
      <c r="U572" s="10">
        <f t="shared" si="75"/>
        <v>3.4519712045412385</v>
      </c>
      <c r="V572" s="8">
        <f t="shared" si="79"/>
        <v>171.60731918189893</v>
      </c>
      <c r="W572" s="8">
        <f t="shared" si="80"/>
        <v>173.45008329274074</v>
      </c>
    </row>
    <row r="573" spans="14:23" x14ac:dyDescent="0.25">
      <c r="N573" s="8">
        <v>104.5</v>
      </c>
      <c r="O573" s="8">
        <f t="shared" si="72"/>
        <v>291.99702771533038</v>
      </c>
      <c r="P573" s="9">
        <f t="shared" si="73"/>
        <v>1</v>
      </c>
      <c r="Q573" s="10">
        <f t="shared" si="76"/>
        <v>3.4632073001229324</v>
      </c>
      <c r="R573" s="10">
        <f t="shared" si="77"/>
        <v>1.1060634121961452</v>
      </c>
      <c r="S573" s="9">
        <f t="shared" si="74"/>
        <v>1</v>
      </c>
      <c r="T573" s="10">
        <f t="shared" si="78"/>
        <v>3.4295276763009674</v>
      </c>
      <c r="U573" s="10">
        <f t="shared" si="75"/>
        <v>3.4294890291162918</v>
      </c>
      <c r="V573" s="8">
        <f t="shared" si="79"/>
        <v>172.10155203790868</v>
      </c>
      <c r="W573" s="8">
        <f t="shared" si="80"/>
        <v>173.93950974381184</v>
      </c>
    </row>
    <row r="574" spans="14:23" x14ac:dyDescent="0.25">
      <c r="N574" s="8">
        <v>105</v>
      </c>
      <c r="O574" s="8">
        <f t="shared" si="72"/>
        <v>293.41245715978147</v>
      </c>
      <c r="P574" s="9">
        <f t="shared" si="73"/>
        <v>1</v>
      </c>
      <c r="Q574" s="10">
        <f t="shared" si="76"/>
        <v>3.4410052227109276</v>
      </c>
      <c r="R574" s="10">
        <f t="shared" si="77"/>
        <v>1.0989726135889428</v>
      </c>
      <c r="S574" s="9">
        <f t="shared" si="74"/>
        <v>1</v>
      </c>
      <c r="T574" s="10">
        <f t="shared" si="78"/>
        <v>3.4075415136611671</v>
      </c>
      <c r="U574" s="10">
        <f t="shared" si="75"/>
        <v>3.4074541655399697</v>
      </c>
      <c r="V574" s="8">
        <f t="shared" si="79"/>
        <v>172.59017332268704</v>
      </c>
      <c r="W574" s="8">
        <f t="shared" si="80"/>
        <v>174.42337919607291</v>
      </c>
    </row>
    <row r="575" spans="14:23" x14ac:dyDescent="0.25">
      <c r="N575" s="8">
        <v>105.5</v>
      </c>
      <c r="O575" s="8">
        <f t="shared" si="72"/>
        <v>294.82077538969975</v>
      </c>
      <c r="P575" s="9">
        <f t="shared" si="73"/>
        <v>1</v>
      </c>
      <c r="Q575" s="10">
        <f t="shared" si="76"/>
        <v>3.419160985431803</v>
      </c>
      <c r="R575" s="10">
        <f t="shared" si="77"/>
        <v>1.0919961003375089</v>
      </c>
      <c r="S575" s="9">
        <f t="shared" si="74"/>
        <v>1</v>
      </c>
      <c r="T575" s="10">
        <f t="shared" si="78"/>
        <v>3.3859097111658953</v>
      </c>
      <c r="U575" s="10">
        <f t="shared" si="75"/>
        <v>3.3859446805846916</v>
      </c>
      <c r="V575" s="8">
        <f t="shared" si="79"/>
        <v>173.07323817924689</v>
      </c>
      <c r="W575" s="8">
        <f t="shared" si="80"/>
        <v>174.90174625627213</v>
      </c>
    </row>
    <row r="576" spans="14:23" x14ac:dyDescent="0.25">
      <c r="N576" s="8">
        <v>106</v>
      </c>
      <c r="O576" s="8">
        <f t="shared" si="72"/>
        <v>296.22190450605967</v>
      </c>
      <c r="P576" s="9">
        <f t="shared" si="73"/>
        <v>1</v>
      </c>
      <c r="Q576" s="10">
        <f t="shared" si="76"/>
        <v>3.3976681980647361</v>
      </c>
      <c r="R576" s="10">
        <f t="shared" si="77"/>
        <v>1.0851318315621514</v>
      </c>
      <c r="S576" s="9">
        <f t="shared" si="74"/>
        <v>1</v>
      </c>
      <c r="T576" s="10">
        <f t="shared" si="78"/>
        <v>3.3646259407391033</v>
      </c>
      <c r="U576" s="10">
        <f t="shared" si="75"/>
        <v>3.3647049765875576</v>
      </c>
      <c r="V576" s="8">
        <f t="shared" si="79"/>
        <v>173.55080107175934</v>
      </c>
      <c r="W576" s="8">
        <f t="shared" si="80"/>
        <v>175.37466485891761</v>
      </c>
    </row>
    <row r="577" spans="14:23" x14ac:dyDescent="0.25">
      <c r="N577" s="8">
        <v>106.5</v>
      </c>
      <c r="O577" s="8">
        <f t="shared" si="72"/>
        <v>297.61576799246308</v>
      </c>
      <c r="P577" s="9">
        <f t="shared" si="73"/>
        <v>1</v>
      </c>
      <c r="Q577" s="10">
        <f t="shared" si="76"/>
        <v>3.3765206110357924</v>
      </c>
      <c r="R577" s="10">
        <f t="shared" si="77"/>
        <v>1.0783778113023426</v>
      </c>
      <c r="S577" s="9">
        <f t="shared" si="74"/>
        <v>1</v>
      </c>
      <c r="T577" s="10">
        <f t="shared" si="78"/>
        <v>3.3436840135838413</v>
      </c>
      <c r="U577" s="10">
        <f t="shared" si="75"/>
        <v>3.3436523719452276</v>
      </c>
      <c r="V577" s="8">
        <f t="shared" si="79"/>
        <v>174.02291579330972</v>
      </c>
      <c r="W577" s="8">
        <f t="shared" si="80"/>
        <v>175.84218827395799</v>
      </c>
    </row>
    <row r="578" spans="14:23" x14ac:dyDescent="0.25">
      <c r="N578" s="8">
        <v>107</v>
      </c>
      <c r="O578" s="8">
        <f t="shared" si="72"/>
        <v>299.00229070921699</v>
      </c>
      <c r="P578" s="9">
        <f t="shared" si="73"/>
        <v>1</v>
      </c>
      <c r="Q578" s="10">
        <f t="shared" si="76"/>
        <v>3.3557121119825228</v>
      </c>
      <c r="R578" s="10">
        <f t="shared" si="77"/>
        <v>1.0717320874195353</v>
      </c>
      <c r="S578" s="9">
        <f t="shared" si="74"/>
        <v>1</v>
      </c>
      <c r="T578" s="10">
        <f t="shared" si="78"/>
        <v>3.3230778767802667</v>
      </c>
      <c r="U578" s="10">
        <f t="shared" si="75"/>
        <v>3.3230063621872188</v>
      </c>
      <c r="V578" s="8">
        <f t="shared" si="79"/>
        <v>174.48963547355666</v>
      </c>
      <c r="W578" s="8">
        <f t="shared" si="80"/>
        <v>176.30436911436695</v>
      </c>
    </row>
    <row r="579" spans="14:23" x14ac:dyDescent="0.25">
      <c r="N579" s="8">
        <v>107.5</v>
      </c>
      <c r="O579" s="8">
        <f t="shared" si="72"/>
        <v>300.38139888702176</v>
      </c>
      <c r="P579" s="9">
        <f t="shared" si="73"/>
        <v>1</v>
      </c>
      <c r="Q579" s="10">
        <f t="shared" si="76"/>
        <v>3.335236722412136</v>
      </c>
      <c r="R579" s="10">
        <f t="shared" si="77"/>
        <v>1.0651927505298655</v>
      </c>
      <c r="S579" s="9">
        <f t="shared" si="74"/>
        <v>1</v>
      </c>
      <c r="T579" s="10">
        <f t="shared" si="78"/>
        <v>3.3028016099763149</v>
      </c>
      <c r="U579" s="10">
        <f t="shared" si="75"/>
        <v>3.3028302405149006</v>
      </c>
      <c r="V579" s="8">
        <f t="shared" si="79"/>
        <v>174.951012586296</v>
      </c>
      <c r="W579" s="8">
        <f t="shared" si="80"/>
        <v>176.7612593436337</v>
      </c>
    </row>
    <row r="580" spans="14:23" x14ac:dyDescent="0.25">
      <c r="N580" s="8">
        <v>108</v>
      </c>
      <c r="O580" s="8">
        <f t="shared" ref="O580:O643" si="81">$B$30+PI()/4*($B$5/10)^2*($B$31+$B$7/10-$B$31*COS(RADIANS(N580))-SQRT(($B$7/10)^2-($B$31*SIN(RADIANS(N580)))^2))</f>
        <v>301.75302012027174</v>
      </c>
      <c r="P580" s="9">
        <f t="shared" ref="P580:P643" si="82">IF(N580&gt;$B$36,1-EXP(-$B$16*((N580-$B$36)/$B$35)^($B$17+1)),0)</f>
        <v>1</v>
      </c>
      <c r="Q580" s="10">
        <f t="shared" si="76"/>
        <v>3.3150885944506365</v>
      </c>
      <c r="R580" s="10">
        <f t="shared" si="77"/>
        <v>1.0587579329659069</v>
      </c>
      <c r="S580" s="9">
        <f t="shared" ref="S580:S643" si="83">IF(N580&lt;=$B$38,IF(N580&gt;$B$37,1-EXP(-$B$16*((N580-$B$37)/$B$35)^($B$17+1)),0),$B$22+(1-$B$22)*(1-EXP(-(N580-$B$38)/$B$23)))</f>
        <v>1</v>
      </c>
      <c r="T580" s="10">
        <f t="shared" si="78"/>
        <v>3.2828494221684514</v>
      </c>
      <c r="U580" s="10">
        <f t="shared" ref="U580:U643" si="84">T580+IF(N580&gt;$B$38,$B$24*EXP(-(N580-$B$38)/$B$26)*SIN(2*PI()*(N580-$B$38)/$B$39),0)</f>
        <v>3.2829141312481767</v>
      </c>
      <c r="V580" s="8">
        <f t="shared" si="79"/>
        <v>175.40709895692746</v>
      </c>
      <c r="W580" s="8">
        <f t="shared" si="80"/>
        <v>177.21291028315693</v>
      </c>
    </row>
    <row r="581" spans="14:23" x14ac:dyDescent="0.25">
      <c r="N581" s="8">
        <v>108.5</v>
      </c>
      <c r="O581" s="8">
        <f t="shared" si="81"/>
        <v>303.11708335998082</v>
      </c>
      <c r="P581" s="9">
        <f t="shared" si="82"/>
        <v>1</v>
      </c>
      <c r="Q581" s="10">
        <f t="shared" ref="Q581:Q644" si="85">Q580*(O580/O581)^$B$9+10*($B$9-1)*$B$33*(P581-P580)/((O580+O581)/2)</f>
        <v>3.2952620076802428</v>
      </c>
      <c r="R581" s="10">
        <f t="shared" ref="R581:R644" si="86">R580*(O580/O581)^$B$9</f>
        <v>1.0524258077666195</v>
      </c>
      <c r="S581" s="9">
        <f t="shared" si="83"/>
        <v>1</v>
      </c>
      <c r="T581" s="10">
        <f t="shared" ref="T581:T644" si="87">T580*(O580/O581)^$B$9+10*($B$9-1)*$B$33*(S581-S580)/((O580+O581)/2)</f>
        <v>3.2632156485698469</v>
      </c>
      <c r="U581" s="10">
        <f t="shared" si="84"/>
        <v>3.2631897425872358</v>
      </c>
      <c r="V581" s="8">
        <f t="shared" ref="V581:V644" si="88">V580+(Q580+Q581)/2*(O581-O580)/10</f>
        <v>175.85794576982522</v>
      </c>
      <c r="W581" s="8">
        <f t="shared" ref="W581:W644" si="89">W580+(T580+T581)/2*(O581-O580)/10</f>
        <v>177.65937261954383</v>
      </c>
    </row>
    <row r="582" spans="14:23" x14ac:dyDescent="0.25">
      <c r="N582" s="8">
        <v>109</v>
      </c>
      <c r="O582" s="8">
        <f t="shared" si="81"/>
        <v>304.47351890633684</v>
      </c>
      <c r="P582" s="9">
        <f t="shared" si="82"/>
        <v>1</v>
      </c>
      <c r="Q582" s="10">
        <f t="shared" si="85"/>
        <v>3.2757513660626092</v>
      </c>
      <c r="R582" s="10">
        <f t="shared" si="86"/>
        <v>1.0461945876947023</v>
      </c>
      <c r="S582" s="9">
        <f t="shared" si="83"/>
        <v>1</v>
      </c>
      <c r="T582" s="10">
        <f t="shared" si="87"/>
        <v>3.24389474756352</v>
      </c>
      <c r="U582" s="10">
        <f t="shared" si="84"/>
        <v>3.2438361963668978</v>
      </c>
      <c r="V582" s="8">
        <f t="shared" si="88"/>
        <v>176.3036035756115</v>
      </c>
      <c r="W582" s="8">
        <f t="shared" si="89"/>
        <v>178.10069641181272</v>
      </c>
    </row>
    <row r="583" spans="14:23" x14ac:dyDescent="0.25">
      <c r="N583" s="8">
        <v>109.5</v>
      </c>
      <c r="O583" s="8">
        <f t="shared" si="81"/>
        <v>305.82225840089649</v>
      </c>
      <c r="P583" s="9">
        <f t="shared" si="82"/>
        <v>1</v>
      </c>
      <c r="Q583" s="10">
        <f t="shared" si="85"/>
        <v>3.2565511949453358</v>
      </c>
      <c r="R583" s="10">
        <f t="shared" si="86"/>
        <v>1.0400625242805464</v>
      </c>
      <c r="S583" s="9">
        <f t="shared" si="83"/>
        <v>1</v>
      </c>
      <c r="T583" s="10">
        <f t="shared" si="87"/>
        <v>3.2248812977379591</v>
      </c>
      <c r="U583" s="10">
        <f t="shared" si="84"/>
        <v>3.2249047384403764</v>
      </c>
      <c r="V583" s="8">
        <f t="shared" si="88"/>
        <v>176.74412229833374</v>
      </c>
      <c r="W583" s="8">
        <f t="shared" si="89"/>
        <v>178.5369310985007</v>
      </c>
    </row>
    <row r="584" spans="14:23" x14ac:dyDescent="0.25">
      <c r="N584" s="8">
        <v>110</v>
      </c>
      <c r="O584" s="8">
        <f t="shared" si="81"/>
        <v>307.1632348184263</v>
      </c>
      <c r="P584" s="9">
        <f t="shared" si="82"/>
        <v>1</v>
      </c>
      <c r="Q584" s="10">
        <f t="shared" si="85"/>
        <v>3.2376561381494127</v>
      </c>
      <c r="R584" s="10">
        <f t="shared" si="86"/>
        <v>1.0340279068920357</v>
      </c>
      <c r="S584" s="9">
        <f t="shared" si="83"/>
        <v>1</v>
      </c>
      <c r="T584" s="10">
        <f t="shared" si="87"/>
        <v>3.2061699950028912</v>
      </c>
      <c r="U584" s="10">
        <f t="shared" si="84"/>
        <v>3.2062229743164656</v>
      </c>
      <c r="V584" s="8">
        <f t="shared" si="88"/>
        <v>177.17955124254519</v>
      </c>
      <c r="W584" s="8">
        <f t="shared" si="89"/>
        <v>178.96812550467521</v>
      </c>
    </row>
    <row r="585" spans="14:23" x14ac:dyDescent="0.25">
      <c r="N585" s="8">
        <v>110.5</v>
      </c>
      <c r="O585" s="8">
        <f t="shared" si="81"/>
        <v>308.49638245840094</v>
      </c>
      <c r="P585" s="9">
        <f t="shared" si="82"/>
        <v>1</v>
      </c>
      <c r="Q585" s="10">
        <f t="shared" si="85"/>
        <v>3.2190609551352387</v>
      </c>
      <c r="R585" s="10">
        <f t="shared" si="86"/>
        <v>1.0280890618294434</v>
      </c>
      <c r="S585" s="9">
        <f t="shared" si="83"/>
        <v>1</v>
      </c>
      <c r="T585" s="10">
        <f t="shared" si="87"/>
        <v>3.1877556497828614</v>
      </c>
      <c r="U585" s="10">
        <f t="shared" si="84"/>
        <v>3.1877344397582092</v>
      </c>
      <c r="V585" s="8">
        <f t="shared" si="88"/>
        <v>177.60993910029001</v>
      </c>
      <c r="W585" s="8">
        <f t="shared" si="89"/>
        <v>179.39432784885119</v>
      </c>
    </row>
    <row r="586" spans="14:23" x14ac:dyDescent="0.25">
      <c r="N586" s="8">
        <v>111</v>
      </c>
      <c r="O586" s="8">
        <f t="shared" si="81"/>
        <v>309.82163693616297</v>
      </c>
      <c r="P586" s="9">
        <f t="shared" si="82"/>
        <v>1</v>
      </c>
      <c r="Q586" s="10">
        <f t="shared" si="85"/>
        <v>3.2007605182450227</v>
      </c>
      <c r="R586" s="10">
        <f t="shared" si="86"/>
        <v>1.0222443514447217</v>
      </c>
      <c r="S586" s="9">
        <f t="shared" si="83"/>
        <v>1</v>
      </c>
      <c r="T586" s="10">
        <f t="shared" si="87"/>
        <v>3.1696331842864507</v>
      </c>
      <c r="U586" s="10">
        <f t="shared" si="84"/>
        <v>3.1695852466211467</v>
      </c>
      <c r="V586" s="8">
        <f t="shared" si="88"/>
        <v>178.0353339579915</v>
      </c>
      <c r="W586" s="8">
        <f t="shared" si="89"/>
        <v>179.81558574981241</v>
      </c>
    </row>
    <row r="587" spans="14:23" x14ac:dyDescent="0.25">
      <c r="N587" s="8">
        <v>111.5</v>
      </c>
      <c r="O587" s="8">
        <f t="shared" si="81"/>
        <v>311.13893517375823</v>
      </c>
      <c r="P587" s="9">
        <f t="shared" si="82"/>
        <v>1</v>
      </c>
      <c r="Q587" s="10">
        <f t="shared" si="85"/>
        <v>3.182749810019303</v>
      </c>
      <c r="R587" s="10">
        <f t="shared" si="86"/>
        <v>1.016492173284465</v>
      </c>
      <c r="S587" s="9">
        <f t="shared" si="83"/>
        <v>1</v>
      </c>
      <c r="T587" s="10">
        <f t="shared" si="87"/>
        <v>3.1517976298488937</v>
      </c>
      <c r="U587" s="10">
        <f t="shared" si="84"/>
        <v>3.1518168214728366</v>
      </c>
      <c r="V587" s="8">
        <f t="shared" si="88"/>
        <v>178.45578330324619</v>
      </c>
      <c r="W587" s="8">
        <f t="shared" si="89"/>
        <v>180.23194623333944</v>
      </c>
    </row>
    <row r="588" spans="14:23" x14ac:dyDescent="0.25">
      <c r="N588" s="8">
        <v>112</v>
      </c>
      <c r="O588" s="8">
        <f t="shared" si="81"/>
        <v>312.44821539045103</v>
      </c>
      <c r="P588" s="9">
        <f t="shared" si="82"/>
        <v>1</v>
      </c>
      <c r="Q588" s="10">
        <f t="shared" si="85"/>
        <v>3.1650239205855297</v>
      </c>
      <c r="R588" s="10">
        <f t="shared" si="86"/>
        <v>1.0108309592558866</v>
      </c>
      <c r="S588" s="9">
        <f t="shared" si="83"/>
        <v>1</v>
      </c>
      <c r="T588" s="10">
        <f t="shared" si="87"/>
        <v>3.1342441243460559</v>
      </c>
      <c r="U588" s="10">
        <f t="shared" si="84"/>
        <v>3.1342875001393562</v>
      </c>
      <c r="V588" s="8">
        <f t="shared" si="88"/>
        <v>178.87133403152234</v>
      </c>
      <c r="W588" s="8">
        <f t="shared" si="89"/>
        <v>180.64345573884307</v>
      </c>
    </row>
    <row r="589" spans="14:23" x14ac:dyDescent="0.25">
      <c r="N589" s="8">
        <v>112.5</v>
      </c>
      <c r="O589" s="8">
        <f t="shared" si="81"/>
        <v>313.74941709292972</v>
      </c>
      <c r="P589" s="9">
        <f t="shared" si="82"/>
        <v>1</v>
      </c>
      <c r="Q589" s="10">
        <f t="shared" si="85"/>
        <v>3.1475780451166222</v>
      </c>
      <c r="R589" s="10">
        <f t="shared" si="86"/>
        <v>1.0052591748151447</v>
      </c>
      <c r="S589" s="9">
        <f t="shared" si="83"/>
        <v>1</v>
      </c>
      <c r="T589" s="10">
        <f t="shared" si="87"/>
        <v>3.1169679096777068</v>
      </c>
      <c r="U589" s="10">
        <f t="shared" si="84"/>
        <v>3.1169505443782506</v>
      </c>
      <c r="V589" s="8">
        <f t="shared" si="88"/>
        <v>179.28203245276444</v>
      </c>
      <c r="W589" s="8">
        <f t="shared" si="89"/>
        <v>181.05016012590443</v>
      </c>
    </row>
    <row r="590" spans="14:23" x14ac:dyDescent="0.25">
      <c r="N590" s="8">
        <v>113</v>
      </c>
      <c r="O590" s="8">
        <f t="shared" si="81"/>
        <v>315.04248106521163</v>
      </c>
      <c r="P590" s="9">
        <f t="shared" si="82"/>
        <v>1</v>
      </c>
      <c r="Q590" s="10">
        <f t="shared" si="85"/>
        <v>3.1304074813575076</v>
      </c>
      <c r="R590" s="10">
        <f t="shared" si="86"/>
        <v>0.99977531817737897</v>
      </c>
      <c r="S590" s="9">
        <f t="shared" si="83"/>
        <v>1</v>
      </c>
      <c r="T590" s="10">
        <f t="shared" si="87"/>
        <v>3.0999643293181123</v>
      </c>
      <c r="U590" s="10">
        <f t="shared" si="84"/>
        <v>3.0999250812772972</v>
      </c>
      <c r="V590" s="8">
        <f t="shared" si="88"/>
        <v>179.687924297904</v>
      </c>
      <c r="W590" s="8">
        <f t="shared" si="89"/>
        <v>181.45210468072258</v>
      </c>
    </row>
    <row r="591" spans="14:23" x14ac:dyDescent="0.25">
      <c r="N591" s="8">
        <v>113.5</v>
      </c>
      <c r="O591" s="8">
        <f t="shared" si="81"/>
        <v>316.32734935825567</v>
      </c>
      <c r="P591" s="9">
        <f t="shared" si="82"/>
        <v>1</v>
      </c>
      <c r="Q591" s="10">
        <f t="shared" si="85"/>
        <v>3.1135076272177082</v>
      </c>
      <c r="R591" s="10">
        <f t="shared" si="86"/>
        <v>0.9943779195478426</v>
      </c>
      <c r="S591" s="9">
        <f t="shared" si="83"/>
        <v>1</v>
      </c>
      <c r="T591" s="10">
        <f t="shared" si="87"/>
        <v>3.0832288259320357</v>
      </c>
      <c r="U591" s="10">
        <f t="shared" si="84"/>
        <v>3.0832445387047591</v>
      </c>
      <c r="V591" s="8">
        <f t="shared" si="88"/>
        <v>180.08905472527735</v>
      </c>
      <c r="W591" s="8">
        <f t="shared" si="89"/>
        <v>181.84933412246997</v>
      </c>
    </row>
    <row r="592" spans="14:23" x14ac:dyDescent="0.25">
      <c r="N592" s="8">
        <v>114</v>
      </c>
      <c r="O592" s="8">
        <f t="shared" si="81"/>
        <v>317.60396527929242</v>
      </c>
      <c r="P592" s="9">
        <f t="shared" si="82"/>
        <v>1</v>
      </c>
      <c r="Q592" s="10">
        <f t="shared" si="85"/>
        <v>3.0968739784280852</v>
      </c>
      <c r="R592" s="10">
        <f t="shared" si="86"/>
        <v>0.98906554037352346</v>
      </c>
      <c r="S592" s="9">
        <f t="shared" si="83"/>
        <v>1</v>
      </c>
      <c r="T592" s="10">
        <f t="shared" si="87"/>
        <v>3.0667569390542684</v>
      </c>
      <c r="U592" s="10">
        <f t="shared" si="84"/>
        <v>3.0667924521501826</v>
      </c>
      <c r="V592" s="8">
        <f t="shared" si="88"/>
        <v>180.48546832695141</v>
      </c>
      <c r="W592" s="8">
        <f t="shared" si="89"/>
        <v>182.24189260955652</v>
      </c>
    </row>
    <row r="593" spans="14:23" x14ac:dyDescent="0.25">
      <c r="N593" s="8">
        <v>114.5</v>
      </c>
      <c r="O593" s="8">
        <f t="shared" si="81"/>
        <v>318.87227338087888</v>
      </c>
      <c r="P593" s="9">
        <f t="shared" si="82"/>
        <v>1</v>
      </c>
      <c r="Q593" s="10">
        <f t="shared" si="85"/>
        <v>3.0805021262599404</v>
      </c>
      <c r="R593" s="10">
        <f t="shared" si="86"/>
        <v>0.98383677261468139</v>
      </c>
      <c r="S593" s="9">
        <f t="shared" si="83"/>
        <v>1</v>
      </c>
      <c r="T593" s="10">
        <f t="shared" si="87"/>
        <v>3.0505443028309132</v>
      </c>
      <c r="U593" s="10">
        <f t="shared" si="84"/>
        <v>3.0505300853262116</v>
      </c>
      <c r="V593" s="8">
        <f t="shared" si="88"/>
        <v>180.87720913495752</v>
      </c>
      <c r="W593" s="8">
        <f t="shared" si="89"/>
        <v>182.6298237458029</v>
      </c>
    </row>
    <row r="594" spans="14:23" x14ac:dyDescent="0.25">
      <c r="N594" s="8">
        <v>115</v>
      </c>
      <c r="O594" s="8">
        <f t="shared" si="81"/>
        <v>320.1322194496899</v>
      </c>
      <c r="P594" s="9">
        <f t="shared" si="82"/>
        <v>1</v>
      </c>
      <c r="Q594" s="10">
        <f t="shared" si="85"/>
        <v>3.0643877553046703</v>
      </c>
      <c r="R594" s="10">
        <f t="shared" si="86"/>
        <v>0.97869023803572397</v>
      </c>
      <c r="S594" s="9">
        <f t="shared" si="83"/>
        <v>1</v>
      </c>
      <c r="T594" s="10">
        <f t="shared" si="87"/>
        <v>3.0345866438206319</v>
      </c>
      <c r="U594" s="10">
        <f t="shared" si="84"/>
        <v>3.0345545102426184</v>
      </c>
      <c r="V594" s="8">
        <f t="shared" si="88"/>
        <v>181.26432062743521</v>
      </c>
      <c r="W594" s="8">
        <f t="shared" si="89"/>
        <v>183.01317058652458</v>
      </c>
    </row>
    <row r="595" spans="14:23" x14ac:dyDescent="0.25">
      <c r="N595" s="8">
        <v>115.5</v>
      </c>
      <c r="O595" s="8">
        <f t="shared" si="81"/>
        <v>321.38375049505203</v>
      </c>
      <c r="P595" s="9">
        <f t="shared" si="82"/>
        <v>1</v>
      </c>
      <c r="Q595" s="10">
        <f t="shared" si="85"/>
        <v>3.0485266413122929</v>
      </c>
      <c r="R595" s="10">
        <f t="shared" si="86"/>
        <v>0.97362458751488501</v>
      </c>
      <c r="S595" s="9">
        <f t="shared" si="83"/>
        <v>1</v>
      </c>
      <c r="T595" s="10">
        <f t="shared" si="87"/>
        <v>3.018879778854191</v>
      </c>
      <c r="U595" s="10">
        <f t="shared" si="84"/>
        <v>3.0188926433844361</v>
      </c>
      <c r="V595" s="8">
        <f t="shared" si="88"/>
        <v>181.64684573468557</v>
      </c>
      <c r="W595" s="8">
        <f t="shared" si="89"/>
        <v>183.39197564452633</v>
      </c>
    </row>
    <row r="596" spans="14:23" x14ac:dyDescent="0.25">
      <c r="N596" s="8">
        <v>116</v>
      </c>
      <c r="O596" s="8">
        <f t="shared" si="81"/>
        <v>322.62681473723205</v>
      </c>
      <c r="P596" s="9">
        <f t="shared" si="82"/>
        <v>1</v>
      </c>
      <c r="Q596" s="10">
        <f t="shared" si="85"/>
        <v>3.0329146490871417</v>
      </c>
      <c r="R596" s="10">
        <f t="shared" si="86"/>
        <v>0.96863850037216115</v>
      </c>
      <c r="S596" s="9">
        <f t="shared" si="83"/>
        <v>1</v>
      </c>
      <c r="T596" s="10">
        <f t="shared" si="87"/>
        <v>3.0034196129506219</v>
      </c>
      <c r="U596" s="10">
        <f t="shared" si="84"/>
        <v>3.0034486886143839</v>
      </c>
      <c r="V596" s="8">
        <f t="shared" si="88"/>
        <v>182.0248268451362</v>
      </c>
      <c r="W596" s="8">
        <f t="shared" si="89"/>
        <v>183.76628089600908</v>
      </c>
    </row>
    <row r="597" spans="14:23" x14ac:dyDescent="0.25">
      <c r="N597" s="8">
        <v>116.5</v>
      </c>
      <c r="O597" s="8">
        <f t="shared" si="81"/>
        <v>323.86136159548539</v>
      </c>
      <c r="P597" s="9">
        <f t="shared" si="82"/>
        <v>1</v>
      </c>
      <c r="Q597" s="10">
        <f t="shared" si="85"/>
        <v>3.017547730439166</v>
      </c>
      <c r="R597" s="10">
        <f t="shared" si="86"/>
        <v>0.96373068371500725</v>
      </c>
      <c r="S597" s="9">
        <f t="shared" si="83"/>
        <v>1</v>
      </c>
      <c r="T597" s="10">
        <f t="shared" si="87"/>
        <v>2.988202137288444</v>
      </c>
      <c r="U597" s="10">
        <f t="shared" si="84"/>
        <v>2.988190496980113</v>
      </c>
      <c r="V597" s="8">
        <f t="shared" si="88"/>
        <v>182.39830581121743</v>
      </c>
      <c r="W597" s="8">
        <f t="shared" si="89"/>
        <v>184.13612778638907</v>
      </c>
    </row>
    <row r="598" spans="14:23" x14ac:dyDescent="0.25">
      <c r="N598" s="8">
        <v>117</v>
      </c>
      <c r="O598" s="8">
        <f t="shared" si="81"/>
        <v>325.08734167587937</v>
      </c>
      <c r="P598" s="9">
        <f t="shared" si="82"/>
        <v>1</v>
      </c>
      <c r="Q598" s="10">
        <f t="shared" si="85"/>
        <v>3.002421922189189</v>
      </c>
      <c r="R598" s="10">
        <f t="shared" si="86"/>
        <v>0.95889987180126468</v>
      </c>
      <c r="S598" s="9">
        <f t="shared" si="83"/>
        <v>1</v>
      </c>
      <c r="T598" s="10">
        <f t="shared" si="87"/>
        <v>2.9732234272303208</v>
      </c>
      <c r="U598" s="10">
        <f t="shared" si="84"/>
        <v>2.9731971184817949</v>
      </c>
      <c r="V598" s="8">
        <f t="shared" si="88"/>
        <v>182.76732395515236</v>
      </c>
      <c r="W598" s="8">
        <f t="shared" si="89"/>
        <v>184.50155723603163</v>
      </c>
    </row>
    <row r="599" spans="14:23" x14ac:dyDescent="0.25">
      <c r="N599" s="8">
        <v>117.5</v>
      </c>
      <c r="O599" s="8">
        <f t="shared" si="81"/>
        <v>326.30470675889353</v>
      </c>
      <c r="P599" s="9">
        <f t="shared" si="82"/>
        <v>1</v>
      </c>
      <c r="Q599" s="10">
        <f t="shared" si="85"/>
        <v>2.9875333442266925</v>
      </c>
      <c r="R599" s="10">
        <f t="shared" si="86"/>
        <v>0.95414482541886569</v>
      </c>
      <c r="S599" s="9">
        <f t="shared" si="83"/>
        <v>1</v>
      </c>
      <c r="T599" s="10">
        <f t="shared" si="87"/>
        <v>2.9584796403997338</v>
      </c>
      <c r="U599" s="10">
        <f t="shared" si="84"/>
        <v>2.9584901729862692</v>
      </c>
      <c r="V599" s="8">
        <f t="shared" si="88"/>
        <v>183.13192207465994</v>
      </c>
      <c r="W599" s="8">
        <f t="shared" si="89"/>
        <v>184.86260964589866</v>
      </c>
    </row>
    <row r="600" spans="14:23" x14ac:dyDescent="0.25">
      <c r="N600" s="8">
        <v>118</v>
      </c>
      <c r="O600" s="8">
        <f t="shared" si="81"/>
        <v>327.51340978681179</v>
      </c>
      <c r="P600" s="9">
        <f t="shared" si="82"/>
        <v>1</v>
      </c>
      <c r="Q600" s="10">
        <f t="shared" si="85"/>
        <v>2.9728781976185794</v>
      </c>
      <c r="R600" s="10">
        <f t="shared" si="86"/>
        <v>0.94946433128181862</v>
      </c>
      <c r="S600" s="9">
        <f t="shared" si="83"/>
        <v>1</v>
      </c>
      <c r="T600" s="10">
        <f t="shared" si="87"/>
        <v>2.9439670148081363</v>
      </c>
      <c r="U600" s="10">
        <f t="shared" si="84"/>
        <v>2.9439908199482243</v>
      </c>
      <c r="V600" s="8">
        <f t="shared" si="88"/>
        <v>183.49214044857331</v>
      </c>
      <c r="W600" s="8">
        <f t="shared" si="89"/>
        <v>185.21932490311244</v>
      </c>
    </row>
    <row r="601" spans="14:23" x14ac:dyDescent="0.25">
      <c r="N601" s="8">
        <v>118.5</v>
      </c>
      <c r="O601" s="8">
        <f t="shared" si="81"/>
        <v>328.7134048509119</v>
      </c>
      <c r="P601" s="9">
        <f t="shared" si="82"/>
        <v>1</v>
      </c>
      <c r="Q601" s="10">
        <f t="shared" si="85"/>
        <v>2.9584527627675312</v>
      </c>
      <c r="R601" s="10">
        <f t="shared" si="86"/>
        <v>0.94485720144203189</v>
      </c>
      <c r="S601" s="9">
        <f t="shared" si="83"/>
        <v>1</v>
      </c>
      <c r="T601" s="10">
        <f t="shared" si="87"/>
        <v>2.9296818670312215</v>
      </c>
      <c r="U601" s="10">
        <f t="shared" si="84"/>
        <v>2.9296723367528155</v>
      </c>
      <c r="V601" s="8">
        <f t="shared" si="88"/>
        <v>183.84801884237368</v>
      </c>
      <c r="W601" s="8">
        <f t="shared" si="89"/>
        <v>185.57174238643566</v>
      </c>
    </row>
    <row r="602" spans="14:23" x14ac:dyDescent="0.25">
      <c r="N602" s="8">
        <v>119</v>
      </c>
      <c r="O602" s="8">
        <f t="shared" si="81"/>
        <v>329.90464717846402</v>
      </c>
      <c r="P602" s="9">
        <f t="shared" si="82"/>
        <v>1</v>
      </c>
      <c r="Q602" s="10">
        <f t="shared" si="85"/>
        <v>2.9442533976185303</v>
      </c>
      <c r="R602" s="10">
        <f t="shared" si="86"/>
        <v>0.94032227271652202</v>
      </c>
      <c r="S602" s="9">
        <f t="shared" si="83"/>
        <v>1</v>
      </c>
      <c r="T602" s="10">
        <f t="shared" si="87"/>
        <v>2.9156205904328862</v>
      </c>
      <c r="U602" s="10">
        <f t="shared" si="84"/>
        <v>2.9155990506513931</v>
      </c>
      <c r="V602" s="8">
        <f t="shared" si="88"/>
        <v>184.19959651364141</v>
      </c>
      <c r="W602" s="8">
        <f t="shared" si="89"/>
        <v>185.91990097166945</v>
      </c>
    </row>
    <row r="603" spans="14:23" x14ac:dyDescent="0.25">
      <c r="N603" s="8">
        <v>119.5</v>
      </c>
      <c r="O603" s="8">
        <f t="shared" si="81"/>
        <v>331.08709311954499</v>
      </c>
      <c r="P603" s="9">
        <f t="shared" si="82"/>
        <v>1</v>
      </c>
      <c r="Q603" s="10">
        <f t="shared" si="85"/>
        <v>2.9302765359122382</v>
      </c>
      <c r="R603" s="10">
        <f t="shared" si="86"/>
        <v>0.93585840612958504</v>
      </c>
      <c r="S603" s="9">
        <f t="shared" si="83"/>
        <v>1</v>
      </c>
      <c r="T603" s="10">
        <f t="shared" si="87"/>
        <v>2.9017796534355953</v>
      </c>
      <c r="U603" s="10">
        <f t="shared" si="84"/>
        <v>2.9017882767881011</v>
      </c>
      <c r="V603" s="8">
        <f t="shared" si="88"/>
        <v>184.54691221742451</v>
      </c>
      <c r="W603" s="8">
        <f t="shared" si="89"/>
        <v>186.26383903696973</v>
      </c>
    </row>
    <row r="604" spans="14:23" x14ac:dyDescent="0.25">
      <c r="N604" s="8">
        <v>120</v>
      </c>
      <c r="O604" s="8">
        <f t="shared" si="81"/>
        <v>332.26070013367848</v>
      </c>
      <c r="P604" s="9">
        <f t="shared" si="82"/>
        <v>1</v>
      </c>
      <c r="Q604" s="10">
        <f t="shared" si="85"/>
        <v>2.9165186854839007</v>
      </c>
      <c r="R604" s="10">
        <f t="shared" si="86"/>
        <v>0.93146448636950852</v>
      </c>
      <c r="S604" s="9">
        <f t="shared" si="83"/>
        <v>1</v>
      </c>
      <c r="T604" s="10">
        <f t="shared" si="87"/>
        <v>2.8881555978358286</v>
      </c>
      <c r="U604" s="10">
        <f t="shared" si="84"/>
        <v>2.8881750878361001</v>
      </c>
      <c r="V604" s="8">
        <f t="shared" si="88"/>
        <v>184.89000421152613</v>
      </c>
      <c r="W604" s="8">
        <f t="shared" si="89"/>
        <v>186.60359446808329</v>
      </c>
    </row>
    <row r="605" spans="14:23" x14ac:dyDescent="0.25">
      <c r="N605" s="8">
        <v>120.5</v>
      </c>
      <c r="O605" s="8">
        <f t="shared" si="81"/>
        <v>333.4254267763111</v>
      </c>
      <c r="P605" s="9">
        <f t="shared" si="82"/>
        <v>1</v>
      </c>
      <c r="Q605" s="10">
        <f t="shared" si="85"/>
        <v>2.9029764266064992</v>
      </c>
      <c r="R605" s="10">
        <f t="shared" si="86"/>
        <v>0.92713942125941518</v>
      </c>
      <c r="S605" s="9">
        <f t="shared" si="83"/>
        <v>1</v>
      </c>
      <c r="T605" s="10">
        <f t="shared" si="87"/>
        <v>2.874745037163347</v>
      </c>
      <c r="U605" s="10">
        <f t="shared" si="84"/>
        <v>2.8747372344313304</v>
      </c>
      <c r="V605" s="8">
        <f t="shared" si="88"/>
        <v>185.22891026171223</v>
      </c>
      <c r="W605" s="8">
        <f t="shared" si="89"/>
        <v>186.93920466350468</v>
      </c>
    </row>
    <row r="606" spans="14:23" x14ac:dyDescent="0.25">
      <c r="N606" s="8">
        <v>121</v>
      </c>
      <c r="O606" s="8">
        <f t="shared" si="81"/>
        <v>334.58123268513009</v>
      </c>
      <c r="P606" s="9">
        <f t="shared" si="82"/>
        <v>1</v>
      </c>
      <c r="Q606" s="10">
        <f t="shared" si="85"/>
        <v>2.8896464103769612</v>
      </c>
      <c r="R606" s="10">
        <f t="shared" si="86"/>
        <v>0.92288214124185763</v>
      </c>
      <c r="S606" s="9">
        <f t="shared" si="83"/>
        <v>1</v>
      </c>
      <c r="T606" s="10">
        <f t="shared" si="87"/>
        <v>2.8615446550830947</v>
      </c>
      <c r="U606" s="10">
        <f t="shared" si="84"/>
        <v>2.8615270198015716</v>
      </c>
      <c r="V606" s="8">
        <f t="shared" si="88"/>
        <v>185.56366764683949</v>
      </c>
      <c r="W606" s="8">
        <f t="shared" si="89"/>
        <v>187.27070653955448</v>
      </c>
    </row>
    <row r="607" spans="14:23" x14ac:dyDescent="0.25">
      <c r="N607" s="8">
        <v>121.5</v>
      </c>
      <c r="O607" s="8">
        <f t="shared" si="81"/>
        <v>335.72807856623649</v>
      </c>
      <c r="P607" s="9">
        <f t="shared" si="82"/>
        <v>1</v>
      </c>
      <c r="Q607" s="10">
        <f t="shared" si="85"/>
        <v>2.8765253571441693</v>
      </c>
      <c r="R607" s="10">
        <f t="shared" si="86"/>
        <v>0.91869159887676333</v>
      </c>
      <c r="S607" s="9">
        <f t="shared" si="83"/>
        <v>1</v>
      </c>
      <c r="T607" s="10">
        <f t="shared" si="87"/>
        <v>2.8485512038384981</v>
      </c>
      <c r="U607" s="10">
        <f t="shared" si="84"/>
        <v>2.8485582640423894</v>
      </c>
      <c r="V607" s="8">
        <f t="shared" si="88"/>
        <v>185.89431316390616</v>
      </c>
      <c r="W607" s="8">
        <f t="shared" si="89"/>
        <v>187.59813653538083</v>
      </c>
    </row>
    <row r="608" spans="14:23" x14ac:dyDescent="0.25">
      <c r="N608" s="8">
        <v>122</v>
      </c>
      <c r="O608" s="8">
        <f t="shared" si="81"/>
        <v>336.86592618017562</v>
      </c>
      <c r="P608" s="9">
        <f t="shared" si="82"/>
        <v>1</v>
      </c>
      <c r="Q608" s="10">
        <f t="shared" si="85"/>
        <v>2.8636100549776962</v>
      </c>
      <c r="R608" s="10">
        <f t="shared" si="86"/>
        <v>0.91456676835238604</v>
      </c>
      <c r="S608" s="9">
        <f t="shared" si="83"/>
        <v>1</v>
      </c>
      <c r="T608" s="10">
        <f t="shared" si="87"/>
        <v>2.8357615027350911</v>
      </c>
      <c r="U608" s="10">
        <f t="shared" si="84"/>
        <v>2.8357774597976908</v>
      </c>
      <c r="V608" s="8">
        <f t="shared" si="88"/>
        <v>186.22088313302467</v>
      </c>
      <c r="W608" s="8">
        <f t="shared" si="89"/>
        <v>187.92153061788377</v>
      </c>
    </row>
    <row r="609" spans="14:23" x14ac:dyDescent="0.25">
      <c r="N609" s="8">
        <v>122.5</v>
      </c>
      <c r="O609" s="8">
        <f t="shared" si="81"/>
        <v>337.99473832784253</v>
      </c>
      <c r="P609" s="9">
        <f t="shared" si="82"/>
        <v>1</v>
      </c>
      <c r="Q609" s="10">
        <f t="shared" si="85"/>
        <v>2.8508973581760375</v>
      </c>
      <c r="R609" s="10">
        <f t="shared" si="86"/>
        <v>0.91050664500887191</v>
      </c>
      <c r="S609" s="9">
        <f t="shared" si="83"/>
        <v>1</v>
      </c>
      <c r="T609" s="10">
        <f t="shared" si="87"/>
        <v>2.8231724366632553</v>
      </c>
      <c r="U609" s="10">
        <f t="shared" si="84"/>
        <v>2.8231660483265957</v>
      </c>
      <c r="V609" s="8">
        <f t="shared" si="88"/>
        <v>186.54341340231969</v>
      </c>
      <c r="W609" s="8">
        <f t="shared" si="89"/>
        <v>188.24092428656564</v>
      </c>
    </row>
    <row r="610" spans="14:23" x14ac:dyDescent="0.25">
      <c r="N610" s="8">
        <v>123</v>
      </c>
      <c r="O610" s="8">
        <f t="shared" si="81"/>
        <v>339.11447883626113</v>
      </c>
      <c r="P610" s="9">
        <f t="shared" si="82"/>
        <v>1</v>
      </c>
      <c r="Q610" s="10">
        <f t="shared" si="85"/>
        <v>2.8383841858133625</v>
      </c>
      <c r="R610" s="10">
        <f t="shared" si="86"/>
        <v>0.90651024487412757</v>
      </c>
      <c r="S610" s="9">
        <f t="shared" si="83"/>
        <v>1</v>
      </c>
      <c r="T610" s="10">
        <f t="shared" si="87"/>
        <v>2.810780954659104</v>
      </c>
      <c r="U610" s="10">
        <f t="shared" si="84"/>
        <v>2.8107665161117819</v>
      </c>
      <c r="V610" s="8">
        <f t="shared" si="88"/>
        <v>186.86193935274986</v>
      </c>
      <c r="W610" s="8">
        <f t="shared" si="89"/>
        <v>188.55635257830593</v>
      </c>
    </row>
    <row r="611" spans="14:23" x14ac:dyDescent="0.25">
      <c r="N611" s="8">
        <v>123.5</v>
      </c>
      <c r="O611" s="8">
        <f t="shared" si="81"/>
        <v>340.22511254425478</v>
      </c>
      <c r="P611" s="9">
        <f t="shared" si="82"/>
        <v>1</v>
      </c>
      <c r="Q611" s="10">
        <f t="shared" si="85"/>
        <v>2.8260675203236252</v>
      </c>
      <c r="R611" s="10">
        <f t="shared" si="86"/>
        <v>0.90257660421161978</v>
      </c>
      <c r="S611" s="9">
        <f t="shared" si="83"/>
        <v>1</v>
      </c>
      <c r="T611" s="10">
        <f t="shared" si="87"/>
        <v>2.7985840685023629</v>
      </c>
      <c r="U611" s="10">
        <f t="shared" si="84"/>
        <v>2.7985898489084118</v>
      </c>
      <c r="V611" s="8">
        <f t="shared" si="88"/>
        <v>187.17649590285674</v>
      </c>
      <c r="W611" s="8">
        <f t="shared" si="89"/>
        <v>188.86785007206413</v>
      </c>
    </row>
    <row r="612" spans="14:23" x14ac:dyDescent="0.25">
      <c r="N612" s="8">
        <v>124</v>
      </c>
      <c r="O612" s="8">
        <f t="shared" si="81"/>
        <v>341.32660528801023</v>
      </c>
      <c r="P612" s="9">
        <f t="shared" si="82"/>
        <v>1</v>
      </c>
      <c r="Q612" s="10">
        <f t="shared" si="85"/>
        <v>2.8139444061210783</v>
      </c>
      <c r="R612" s="10">
        <f t="shared" si="86"/>
        <v>0.89870477907980151</v>
      </c>
      <c r="S612" s="9">
        <f t="shared" si="83"/>
        <v>1</v>
      </c>
      <c r="T612" s="10">
        <f t="shared" si="87"/>
        <v>2.7865788513502983</v>
      </c>
      <c r="U612" s="10">
        <f t="shared" si="84"/>
        <v>2.7865919158881773</v>
      </c>
      <c r="V612" s="8">
        <f t="shared" si="88"/>
        <v>187.48711751344038</v>
      </c>
      <c r="W612" s="8">
        <f t="shared" si="89"/>
        <v>189.17545089350961</v>
      </c>
    </row>
    <row r="613" spans="14:23" x14ac:dyDescent="0.25">
      <c r="N613" s="8">
        <v>124.5</v>
      </c>
      <c r="O613" s="8">
        <f t="shared" si="81"/>
        <v>342.41892388654622</v>
      </c>
      <c r="P613" s="9">
        <f t="shared" si="82"/>
        <v>1</v>
      </c>
      <c r="Q613" s="10">
        <f t="shared" si="85"/>
        <v>2.8020119482561645</v>
      </c>
      <c r="R613" s="10">
        <f t="shared" si="86"/>
        <v>0.89489384490283652</v>
      </c>
      <c r="S613" s="9">
        <f t="shared" si="83"/>
        <v>1</v>
      </c>
      <c r="T613" s="10">
        <f t="shared" si="87"/>
        <v>2.774762436406681</v>
      </c>
      <c r="U613" s="10">
        <f t="shared" si="84"/>
        <v>2.7747572060789967</v>
      </c>
      <c r="V613" s="8">
        <f t="shared" si="88"/>
        <v>187.79383819216301</v>
      </c>
      <c r="W613" s="8">
        <f t="shared" si="89"/>
        <v>189.47918871958075</v>
      </c>
    </row>
    <row r="614" spans="14:23" x14ac:dyDescent="0.25">
      <c r="N614" s="8">
        <v>125</v>
      </c>
      <c r="O614" s="8">
        <f t="shared" si="81"/>
        <v>343.50203612709521</v>
      </c>
      <c r="P614" s="9">
        <f t="shared" si="82"/>
        <v>1</v>
      </c>
      <c r="Q614" s="10">
        <f t="shared" si="85"/>
        <v>2.7902673111058136</v>
      </c>
      <c r="R614" s="10">
        <f t="shared" si="86"/>
        <v>0.89114289605231245</v>
      </c>
      <c r="S614" s="9">
        <f t="shared" si="83"/>
        <v>1</v>
      </c>
      <c r="T614" s="10">
        <f t="shared" si="87"/>
        <v>2.7631320156248202</v>
      </c>
      <c r="U614" s="10">
        <f t="shared" si="84"/>
        <v>2.7631201943420978</v>
      </c>
      <c r="V614" s="8">
        <f t="shared" si="88"/>
        <v>188.09669149808218</v>
      </c>
      <c r="W614" s="8">
        <f t="shared" si="89"/>
        <v>189.77909678297394</v>
      </c>
    </row>
    <row r="615" spans="14:23" x14ac:dyDescent="0.25">
      <c r="N615" s="8">
        <v>125.5</v>
      </c>
      <c r="O615" s="8">
        <f t="shared" si="81"/>
        <v>344.57591075040438</v>
      </c>
      <c r="P615" s="9">
        <f t="shared" si="82"/>
        <v>1</v>
      </c>
      <c r="Q615" s="10">
        <f t="shared" si="85"/>
        <v>2.778707717097233</v>
      </c>
      <c r="R615" s="10">
        <f t="shared" si="86"/>
        <v>0.88745104543965092</v>
      </c>
      <c r="S615" s="9">
        <f t="shared" si="83"/>
        <v>1</v>
      </c>
      <c r="T615" s="10">
        <f t="shared" si="87"/>
        <v>2.7516848384437651</v>
      </c>
      <c r="U615" s="10">
        <f t="shared" si="84"/>
        <v>2.7516895710399627</v>
      </c>
      <c r="V615" s="8">
        <f t="shared" si="88"/>
        <v>188.39571054611366</v>
      </c>
      <c r="W615" s="8">
        <f t="shared" si="89"/>
        <v>190.07520787656304</v>
      </c>
    </row>
    <row r="616" spans="14:23" x14ac:dyDescent="0.25">
      <c r="N616" s="8">
        <v>126</v>
      </c>
      <c r="O616" s="8">
        <f t="shared" si="81"/>
        <v>345.6405174359673</v>
      </c>
      <c r="P616" s="9">
        <f t="shared" si="82"/>
        <v>1</v>
      </c>
      <c r="Q616" s="10">
        <f t="shared" si="85"/>
        <v>2.767330445464244</v>
      </c>
      <c r="R616" s="10">
        <f t="shared" si="86"/>
        <v>0.88381742411891173</v>
      </c>
      <c r="S616" s="9">
        <f t="shared" si="83"/>
        <v>1</v>
      </c>
      <c r="T616" s="10">
        <f t="shared" si="87"/>
        <v>2.7404182105567356</v>
      </c>
      <c r="U616" s="10">
        <f t="shared" si="84"/>
        <v>2.740428906895672</v>
      </c>
      <c r="V616" s="8">
        <f t="shared" si="88"/>
        <v>188.69092801142617</v>
      </c>
      <c r="W616" s="8">
        <f t="shared" si="89"/>
        <v>190.36755435775137</v>
      </c>
    </row>
    <row r="617" spans="14:23" x14ac:dyDescent="0.25">
      <c r="N617" s="8">
        <v>126.5</v>
      </c>
      <c r="O617" s="8">
        <f t="shared" si="81"/>
        <v>346.69582678719081</v>
      </c>
      <c r="P617" s="9">
        <f t="shared" si="82"/>
        <v>1</v>
      </c>
      <c r="Q617" s="10">
        <f t="shared" si="85"/>
        <v>2.7561328310353188</v>
      </c>
      <c r="R617" s="10">
        <f t="shared" si="86"/>
        <v>0.88024118089972181</v>
      </c>
      <c r="S617" s="9">
        <f t="shared" si="83"/>
        <v>1</v>
      </c>
      <c r="T617" s="10">
        <f t="shared" si="87"/>
        <v>2.7293294927109448</v>
      </c>
      <c r="U617" s="10">
        <f t="shared" si="84"/>
        <v>2.729325210480821</v>
      </c>
      <c r="V617" s="8">
        <f t="shared" si="88"/>
        <v>188.98237613376764</v>
      </c>
      <c r="W617" s="8">
        <f t="shared" si="89"/>
        <v>190.65616815275595</v>
      </c>
    </row>
    <row r="618" spans="14:23" x14ac:dyDescent="0.25">
      <c r="N618" s="8">
        <v>127</v>
      </c>
      <c r="O618" s="8">
        <f t="shared" si="81"/>
        <v>347.74181031650738</v>
      </c>
      <c r="P618" s="9">
        <f t="shared" si="82"/>
        <v>1</v>
      </c>
      <c r="Q618" s="10">
        <f t="shared" si="85"/>
        <v>2.7451122630524343</v>
      </c>
      <c r="R618" s="10">
        <f t="shared" si="86"/>
        <v>0.87672148197004585</v>
      </c>
      <c r="S618" s="9">
        <f t="shared" si="83"/>
        <v>1</v>
      </c>
      <c r="T618" s="10">
        <f t="shared" si="87"/>
        <v>2.7184160995379409</v>
      </c>
      <c r="U618" s="10">
        <f t="shared" si="84"/>
        <v>2.7184064210902354</v>
      </c>
      <c r="V618" s="8">
        <f t="shared" si="88"/>
        <v>189.27008672172511</v>
      </c>
      <c r="W618" s="8">
        <f t="shared" si="89"/>
        <v>190.94108076082591</v>
      </c>
    </row>
    <row r="619" spans="14:23" x14ac:dyDescent="0.25">
      <c r="N619" s="8">
        <v>127.5</v>
      </c>
      <c r="O619" s="8">
        <f t="shared" si="81"/>
        <v>348.77844043043888</v>
      </c>
      <c r="P619" s="9">
        <f t="shared" si="82"/>
        <v>1</v>
      </c>
      <c r="Q619" s="10">
        <f t="shared" si="85"/>
        <v>2.7342661840199303</v>
      </c>
      <c r="R619" s="10">
        <f t="shared" si="86"/>
        <v>0.87325751052853995</v>
      </c>
      <c r="S619" s="9">
        <f t="shared" si="83"/>
        <v>1</v>
      </c>
      <c r="T619" s="10">
        <f t="shared" si="87"/>
        <v>2.7076754984136593</v>
      </c>
      <c r="U619" s="10">
        <f t="shared" si="84"/>
        <v>2.7076793731357078</v>
      </c>
      <c r="V619" s="8">
        <f t="shared" si="88"/>
        <v>189.55409115691822</v>
      </c>
      <c r="W619" s="8">
        <f t="shared" si="89"/>
        <v>191.22232325839528</v>
      </c>
    </row>
    <row r="620" spans="14:23" x14ac:dyDescent="0.25">
      <c r="N620" s="8">
        <v>128</v>
      </c>
      <c r="O620" s="8">
        <f t="shared" si="81"/>
        <v>349.80569041462223</v>
      </c>
      <c r="P620" s="9">
        <f t="shared" si="82"/>
        <v>1</v>
      </c>
      <c r="Q620" s="10">
        <f t="shared" si="85"/>
        <v>2.7235920885825369</v>
      </c>
      <c r="R620" s="10">
        <f t="shared" si="86"/>
        <v>0.86984846642622138</v>
      </c>
      <c r="S620" s="9">
        <f t="shared" si="83"/>
        <v>1</v>
      </c>
      <c r="T620" s="10">
        <f t="shared" si="87"/>
        <v>2.6971052083473617</v>
      </c>
      <c r="U620" s="10">
        <f t="shared" si="84"/>
        <v>2.6971139657689944</v>
      </c>
      <c r="V620" s="8">
        <f t="shared" si="88"/>
        <v>189.83442039812851</v>
      </c>
      <c r="W620" s="8">
        <f t="shared" si="89"/>
        <v>191.499926303172</v>
      </c>
    </row>
    <row r="621" spans="14:23" x14ac:dyDescent="0.25">
      <c r="N621" s="8">
        <v>128.5</v>
      </c>
      <c r="O621" s="8">
        <f t="shared" si="81"/>
        <v>350.82353441880031</v>
      </c>
      <c r="P621" s="9">
        <f t="shared" si="82"/>
        <v>1</v>
      </c>
      <c r="Q621" s="10">
        <f t="shared" si="85"/>
        <v>2.7130875224318309</v>
      </c>
      <c r="R621" s="10">
        <f t="shared" si="86"/>
        <v>0.86649356581721726</v>
      </c>
      <c r="S621" s="9">
        <f t="shared" si="83"/>
        <v>1</v>
      </c>
      <c r="T621" s="10">
        <f t="shared" si="87"/>
        <v>2.6867027988987267</v>
      </c>
      <c r="U621" s="10">
        <f t="shared" si="84"/>
        <v>2.6866992929052325</v>
      </c>
      <c r="V621" s="8">
        <f t="shared" si="88"/>
        <v>190.11110498536391</v>
      </c>
      <c r="W621" s="8">
        <f t="shared" si="89"/>
        <v>191.77392013816308</v>
      </c>
    </row>
    <row r="622" spans="14:23" x14ac:dyDescent="0.25">
      <c r="N622" s="8">
        <v>129</v>
      </c>
      <c r="O622" s="8">
        <f t="shared" si="81"/>
        <v>351.83194744178985</v>
      </c>
      <c r="P622" s="9">
        <f t="shared" si="82"/>
        <v>1</v>
      </c>
      <c r="Q622" s="10">
        <f t="shared" si="85"/>
        <v>2.7027500812403153</v>
      </c>
      <c r="R622" s="10">
        <f t="shared" si="86"/>
        <v>0.86319204081833578</v>
      </c>
      <c r="S622" s="9">
        <f t="shared" si="83"/>
        <v>1</v>
      </c>
      <c r="T622" s="10">
        <f t="shared" si="87"/>
        <v>2.6764658891222952</v>
      </c>
      <c r="U622" s="10">
        <f t="shared" si="84"/>
        <v>2.6764579650795164</v>
      </c>
      <c r="V622" s="8">
        <f t="shared" si="88"/>
        <v>190.38417504386089</v>
      </c>
      <c r="W622" s="8">
        <f t="shared" si="89"/>
        <v>192.04433459563759</v>
      </c>
    </row>
    <row r="623" spans="14:23" x14ac:dyDescent="0.25">
      <c r="N623" s="8">
        <v>129.5</v>
      </c>
      <c r="O623" s="8">
        <f t="shared" si="81"/>
        <v>352.83090531643029</v>
      </c>
      <c r="P623" s="9">
        <f t="shared" si="82"/>
        <v>1</v>
      </c>
      <c r="Q623" s="10">
        <f t="shared" si="85"/>
        <v>2.6925774096224186</v>
      </c>
      <c r="R623" s="10">
        <f t="shared" si="86"/>
        <v>0.85994313917723508</v>
      </c>
      <c r="S623" s="9">
        <f t="shared" si="83"/>
        <v>1</v>
      </c>
      <c r="T623" s="10">
        <f t="shared" si="87"/>
        <v>2.6663921465385756</v>
      </c>
      <c r="U623" s="10">
        <f t="shared" si="84"/>
        <v>2.6663953188926763</v>
      </c>
      <c r="V623" s="8">
        <f t="shared" si="88"/>
        <v>190.65366028802396</v>
      </c>
      <c r="W623" s="8">
        <f t="shared" si="89"/>
        <v>192.31119910102805</v>
      </c>
    </row>
    <row r="624" spans="14:23" x14ac:dyDescent="0.25">
      <c r="N624" s="8">
        <v>130</v>
      </c>
      <c r="O624" s="8">
        <f t="shared" si="81"/>
        <v>353.8203846945226</v>
      </c>
      <c r="P624" s="9">
        <f t="shared" si="82"/>
        <v>1</v>
      </c>
      <c r="Q624" s="10">
        <f t="shared" si="85"/>
        <v>2.6825672001216785</v>
      </c>
      <c r="R624" s="10">
        <f t="shared" si="86"/>
        <v>0.856746123948954</v>
      </c>
      <c r="S624" s="9">
        <f t="shared" si="83"/>
        <v>1</v>
      </c>
      <c r="T624" s="10">
        <f t="shared" si="87"/>
        <v>2.6564792861310735</v>
      </c>
      <c r="U624" s="10">
        <f t="shared" si="84"/>
        <v>2.6564864561014816</v>
      </c>
      <c r="V624" s="8">
        <f t="shared" si="88"/>
        <v>190.91959002530425</v>
      </c>
      <c r="W624" s="8">
        <f t="shared" si="89"/>
        <v>192.57454267677122</v>
      </c>
    </row>
    <row r="625" spans="14:23" x14ac:dyDescent="0.25">
      <c r="N625" s="8">
        <v>130.5</v>
      </c>
      <c r="O625" s="8">
        <f t="shared" si="81"/>
        <v>354.80036303176468</v>
      </c>
      <c r="P625" s="9">
        <f t="shared" si="82"/>
        <v>1</v>
      </c>
      <c r="Q625" s="10">
        <f t="shared" si="85"/>
        <v>2.6727171922234207</v>
      </c>
      <c r="R625" s="10">
        <f t="shared" si="86"/>
        <v>0.85360027318058707</v>
      </c>
      <c r="S625" s="9">
        <f t="shared" si="83"/>
        <v>1</v>
      </c>
      <c r="T625" s="10">
        <f t="shared" si="87"/>
        <v>2.6467250693685775</v>
      </c>
      <c r="U625" s="10">
        <f t="shared" si="84"/>
        <v>2.6467221989038836</v>
      </c>
      <c r="V625" s="8">
        <f t="shared" si="88"/>
        <v>191.1819931600177</v>
      </c>
      <c r="W625" s="8">
        <f t="shared" si="89"/>
        <v>192.83439394608908</v>
      </c>
    </row>
    <row r="626" spans="14:23" x14ac:dyDescent="0.25">
      <c r="N626" s="8">
        <v>131</v>
      </c>
      <c r="O626" s="8">
        <f t="shared" si="81"/>
        <v>355.77081857268905</v>
      </c>
      <c r="P626" s="9">
        <f t="shared" si="82"/>
        <v>1</v>
      </c>
      <c r="Q626" s="10">
        <f t="shared" si="85"/>
        <v>2.6630251713922695</v>
      </c>
      <c r="R626" s="10">
        <f t="shared" si="86"/>
        <v>0.85050487960388765</v>
      </c>
      <c r="S626" s="9">
        <f t="shared" si="83"/>
        <v>1</v>
      </c>
      <c r="T626" s="10">
        <f t="shared" si="87"/>
        <v>2.6371273032520248</v>
      </c>
      <c r="U626" s="10">
        <f t="shared" si="84"/>
        <v>2.6371208155945132</v>
      </c>
      <c r="V626" s="8">
        <f t="shared" si="88"/>
        <v>191.44089819710348</v>
      </c>
      <c r="W626" s="8">
        <f t="shared" si="89"/>
        <v>193.09078113671089</v>
      </c>
    </row>
    <row r="627" spans="14:23" x14ac:dyDescent="0.25">
      <c r="N627" s="8">
        <v>131.5</v>
      </c>
      <c r="O627" s="8">
        <f t="shared" si="81"/>
        <v>356.73173033561227</v>
      </c>
      <c r="P627" s="9">
        <f t="shared" si="82"/>
        <v>1</v>
      </c>
      <c r="Q627" s="10">
        <f t="shared" si="85"/>
        <v>2.6534889681338067</v>
      </c>
      <c r="R627" s="10">
        <f t="shared" si="86"/>
        <v>0.84745925033558578</v>
      </c>
      <c r="S627" s="9">
        <f t="shared" si="83"/>
        <v>1</v>
      </c>
      <c r="T627" s="10">
        <f t="shared" si="87"/>
        <v>2.6276838393852882</v>
      </c>
      <c r="U627" s="10">
        <f t="shared" si="84"/>
        <v>2.6276864366891504</v>
      </c>
      <c r="V627" s="8">
        <f t="shared" si="88"/>
        <v>191.69633324582438</v>
      </c>
      <c r="W627" s="8">
        <f t="shared" si="89"/>
        <v>193.34373208453735</v>
      </c>
    </row>
    <row r="628" spans="14:23" x14ac:dyDescent="0.25">
      <c r="N628" s="8">
        <v>132</v>
      </c>
      <c r="O628" s="8">
        <f t="shared" si="81"/>
        <v>357.68307809759835</v>
      </c>
      <c r="P628" s="9">
        <f t="shared" si="82"/>
        <v>1</v>
      </c>
      <c r="Q628" s="10">
        <f t="shared" si="85"/>
        <v>2.6441064570797912</v>
      </c>
      <c r="R628" s="10">
        <f t="shared" si="86"/>
        <v>0.84446270658522915</v>
      </c>
      <c r="S628" s="9">
        <f t="shared" si="83"/>
        <v>1</v>
      </c>
      <c r="T628" s="10">
        <f t="shared" si="87"/>
        <v>2.6183925730692912</v>
      </c>
      <c r="U628" s="10">
        <f t="shared" si="84"/>
        <v>2.6183984433445633</v>
      </c>
      <c r="V628" s="8">
        <f t="shared" si="88"/>
        <v>191.94832602340861</v>
      </c>
      <c r="W628" s="8">
        <f t="shared" si="89"/>
        <v>193.59327423724719</v>
      </c>
    </row>
    <row r="629" spans="14:23" x14ac:dyDescent="0.25">
      <c r="N629" s="8">
        <v>132.5</v>
      </c>
      <c r="O629" s="8">
        <f t="shared" si="81"/>
        <v>358.62484237944841</v>
      </c>
      <c r="P629" s="9">
        <f t="shared" si="82"/>
        <v>1</v>
      </c>
      <c r="Q629" s="10">
        <f t="shared" si="85"/>
        <v>2.6348755560962585</v>
      </c>
      <c r="R629" s="10">
        <f t="shared" si="86"/>
        <v>0.8415145833703328</v>
      </c>
      <c r="S629" s="9">
        <f t="shared" si="83"/>
        <v>1</v>
      </c>
      <c r="T629" s="10">
        <f t="shared" si="87"/>
        <v>2.6092514424187825</v>
      </c>
      <c r="U629" s="10">
        <f t="shared" si="84"/>
        <v>2.6092490922810621</v>
      </c>
      <c r="V629" s="8">
        <f t="shared" si="88"/>
        <v>192.19690385863552</v>
      </c>
      <c r="W629" s="8">
        <f t="shared" si="89"/>
        <v>193.83943465784787</v>
      </c>
    </row>
    <row r="630" spans="14:23" x14ac:dyDescent="0.25">
      <c r="N630" s="8">
        <v>133</v>
      </c>
      <c r="O630" s="8">
        <f t="shared" si="81"/>
        <v>359.55700443071686</v>
      </c>
      <c r="P630" s="9">
        <f t="shared" si="82"/>
        <v>1</v>
      </c>
      <c r="Q630" s="10">
        <f t="shared" si="85"/>
        <v>2.6257942254139714</v>
      </c>
      <c r="R630" s="10">
        <f t="shared" si="86"/>
        <v>0.83861422923866547</v>
      </c>
      <c r="S630" s="9">
        <f t="shared" si="83"/>
        <v>1</v>
      </c>
      <c r="T630" s="10">
        <f t="shared" si="87"/>
        <v>2.6002584275012408</v>
      </c>
      <c r="U630" s="10">
        <f t="shared" si="84"/>
        <v>2.6002531158565207</v>
      </c>
      <c r="V630" s="8">
        <f t="shared" si="88"/>
        <v>192.44209369536443</v>
      </c>
      <c r="W630" s="8">
        <f t="shared" si="89"/>
        <v>194.08224002817028</v>
      </c>
    </row>
    <row r="631" spans="14:23" x14ac:dyDescent="0.25">
      <c r="N631" s="8">
        <v>133.5</v>
      </c>
      <c r="O631" s="8">
        <f t="shared" si="81"/>
        <v>360.47954621476532</v>
      </c>
      <c r="P631" s="9">
        <f t="shared" si="82"/>
        <v>1</v>
      </c>
      <c r="Q631" s="10">
        <f t="shared" si="85"/>
        <v>2.6168604667805795</v>
      </c>
      <c r="R631" s="10">
        <f t="shared" si="86"/>
        <v>0.83576100599747061</v>
      </c>
      <c r="S631" s="9">
        <f t="shared" si="83"/>
        <v>1</v>
      </c>
      <c r="T631" s="10">
        <f t="shared" si="87"/>
        <v>2.5914115494972809</v>
      </c>
      <c r="U631" s="10">
        <f t="shared" si="84"/>
        <v>2.5914136759898279</v>
      </c>
      <c r="V631" s="8">
        <f t="shared" si="88"/>
        <v>192.68392209600879</v>
      </c>
      <c r="W631" s="8">
        <f t="shared" si="89"/>
        <v>194.32171665230882</v>
      </c>
    </row>
    <row r="632" spans="14:23" x14ac:dyDescent="0.25">
      <c r="N632" s="8">
        <v>134</v>
      </c>
      <c r="O632" s="8">
        <f t="shared" si="81"/>
        <v>361.39245039385645</v>
      </c>
      <c r="P632" s="9">
        <f t="shared" si="82"/>
        <v>1</v>
      </c>
      <c r="Q632" s="10">
        <f t="shared" si="85"/>
        <v>2.6080723226339702</v>
      </c>
      <c r="R632" s="10">
        <f t="shared" si="86"/>
        <v>0.83295428844945518</v>
      </c>
      <c r="S632" s="9">
        <f t="shared" si="83"/>
        <v>1</v>
      </c>
      <c r="T632" s="10">
        <f t="shared" si="87"/>
        <v>2.5827088698820444</v>
      </c>
      <c r="U632" s="10">
        <f t="shared" si="84"/>
        <v>2.5827136760569385</v>
      </c>
      <c r="V632" s="8">
        <f t="shared" si="88"/>
        <v>192.92241524495512</v>
      </c>
      <c r="W632" s="8">
        <f t="shared" si="89"/>
        <v>194.55789046000743</v>
      </c>
    </row>
    <row r="633" spans="14:23" x14ac:dyDescent="0.25">
      <c r="N633" s="8">
        <v>134.5</v>
      </c>
      <c r="O633" s="8">
        <f t="shared" si="81"/>
        <v>362.2957003142962</v>
      </c>
      <c r="P633" s="9">
        <f t="shared" si="82"/>
        <v>1</v>
      </c>
      <c r="Q633" s="10">
        <f t="shared" si="85"/>
        <v>2.5994278752962376</v>
      </c>
      <c r="R633" s="10">
        <f t="shared" si="86"/>
        <v>0.83019346413536255</v>
      </c>
      <c r="S633" s="9">
        <f t="shared" si="83"/>
        <v>1</v>
      </c>
      <c r="T633" s="10">
        <f t="shared" si="87"/>
        <v>2.5741484896270053</v>
      </c>
      <c r="U633" s="10">
        <f t="shared" si="84"/>
        <v>2.5741465654969797</v>
      </c>
      <c r="V633" s="8">
        <f t="shared" si="88"/>
        <v>193.15759895192863</v>
      </c>
      <c r="W633" s="8">
        <f t="shared" si="89"/>
        <v>194.79078700999221</v>
      </c>
    </row>
    <row r="634" spans="14:23" x14ac:dyDescent="0.25">
      <c r="N634" s="8">
        <v>135</v>
      </c>
      <c r="O634" s="8">
        <f t="shared" si="81"/>
        <v>363.18927999162929</v>
      </c>
      <c r="P634" s="9">
        <f t="shared" si="82"/>
        <v>1</v>
      </c>
      <c r="Q634" s="10">
        <f t="shared" si="85"/>
        <v>2.5909252461877403</v>
      </c>
      <c r="R634" s="10">
        <f t="shared" si="86"/>
        <v>0.82747793308296236</v>
      </c>
      <c r="S634" s="9">
        <f t="shared" si="83"/>
        <v>1</v>
      </c>
      <c r="T634" s="10">
        <f t="shared" si="87"/>
        <v>2.565728548421673</v>
      </c>
      <c r="U634" s="10">
        <f t="shared" si="84"/>
        <v>2.5657241996147913</v>
      </c>
      <c r="V634" s="8">
        <f t="shared" si="88"/>
        <v>193.38949865530566</v>
      </c>
      <c r="W634" s="8">
        <f t="shared" si="89"/>
        <v>195.02043149325178</v>
      </c>
    </row>
    <row r="635" spans="14:23" x14ac:dyDescent="0.25">
      <c r="N635" s="8">
        <v>135.5</v>
      </c>
      <c r="O635" s="8">
        <f t="shared" si="81"/>
        <v>364.07317409589251</v>
      </c>
      <c r="P635" s="9">
        <f t="shared" si="82"/>
        <v>1</v>
      </c>
      <c r="Q635" s="10">
        <f t="shared" si="85"/>
        <v>2.5825625950607507</v>
      </c>
      <c r="R635" s="10">
        <f t="shared" si="86"/>
        <v>0.82480710756229658</v>
      </c>
      <c r="S635" s="9">
        <f t="shared" si="83"/>
        <v>1</v>
      </c>
      <c r="T635" s="10">
        <f t="shared" si="87"/>
        <v>2.5574472239146928</v>
      </c>
      <c r="U635" s="10">
        <f t="shared" si="84"/>
        <v>2.5574489649395371</v>
      </c>
      <c r="V635" s="8">
        <f t="shared" si="88"/>
        <v>193.6181394253735</v>
      </c>
      <c r="W635" s="8">
        <f t="shared" si="89"/>
        <v>195.24684873626538</v>
      </c>
    </row>
    <row r="636" spans="14:23" x14ac:dyDescent="0.25">
      <c r="N636" s="8">
        <v>136</v>
      </c>
      <c r="O636" s="8">
        <f t="shared" si="81"/>
        <v>364.94736793693397</v>
      </c>
      <c r="P636" s="9">
        <f t="shared" si="82"/>
        <v>1</v>
      </c>
      <c r="Q636" s="10">
        <f t="shared" si="85"/>
        <v>2.5743381192521637</v>
      </c>
      <c r="R636" s="10">
        <f t="shared" si="86"/>
        <v>0.8221804118470134</v>
      </c>
      <c r="S636" s="9">
        <f t="shared" si="83"/>
        <v>1</v>
      </c>
      <c r="T636" s="10">
        <f t="shared" si="87"/>
        <v>2.5493027309738241</v>
      </c>
      <c r="U636" s="10">
        <f t="shared" si="84"/>
        <v>2.5493066659370145</v>
      </c>
      <c r="V636" s="8">
        <f t="shared" si="88"/>
        <v>193.84354596753923</v>
      </c>
      <c r="W636" s="8">
        <f t="shared" si="89"/>
        <v>195.47006320418049</v>
      </c>
    </row>
    <row r="637" spans="14:23" x14ac:dyDescent="0.25">
      <c r="N637" s="8">
        <v>136.5</v>
      </c>
      <c r="O637" s="8">
        <f t="shared" si="81"/>
        <v>365.81184744980044</v>
      </c>
      <c r="P637" s="9">
        <f t="shared" si="82"/>
        <v>1</v>
      </c>
      <c r="Q637" s="10">
        <f t="shared" si="85"/>
        <v>2.5662500529548127</v>
      </c>
      <c r="R637" s="10">
        <f t="shared" si="86"/>
        <v>0.81959728198164283</v>
      </c>
      <c r="S637" s="9">
        <f t="shared" si="83"/>
        <v>1</v>
      </c>
      <c r="T637" s="10">
        <f t="shared" si="87"/>
        <v>2.54129332096434</v>
      </c>
      <c r="U637" s="10">
        <f t="shared" si="84"/>
        <v>2.5412917456199149</v>
      </c>
      <c r="V637" s="8">
        <f t="shared" si="88"/>
        <v>194.06574262548705</v>
      </c>
      <c r="W637" s="8">
        <f t="shared" si="89"/>
        <v>195.69009900393945</v>
      </c>
    </row>
    <row r="638" spans="14:23" x14ac:dyDescent="0.25">
      <c r="N638" s="8">
        <v>137</v>
      </c>
      <c r="O638" s="8">
        <f t="shared" si="81"/>
        <v>366.66659918019946</v>
      </c>
      <c r="P638" s="9">
        <f t="shared" si="82"/>
        <v>1</v>
      </c>
      <c r="Q638" s="10">
        <f t="shared" si="85"/>
        <v>2.558296666506902</v>
      </c>
      <c r="R638" s="10">
        <f t="shared" si="86"/>
        <v>0.81705716555465957</v>
      </c>
      <c r="S638" s="9">
        <f t="shared" si="83"/>
        <v>1</v>
      </c>
      <c r="T638" s="10">
        <f t="shared" si="87"/>
        <v>2.5334172810453732</v>
      </c>
      <c r="U638" s="10">
        <f t="shared" si="84"/>
        <v>2.5334137205434399</v>
      </c>
      <c r="V638" s="8">
        <f t="shared" si="88"/>
        <v>194.28475338428558</v>
      </c>
      <c r="W638" s="8">
        <f t="shared" si="89"/>
        <v>195.90697988735656</v>
      </c>
    </row>
    <row r="639" spans="14:23" x14ac:dyDescent="0.25">
      <c r="N639" s="8">
        <v>137.5</v>
      </c>
      <c r="O639" s="8">
        <f t="shared" si="81"/>
        <v>367.51161027004269</v>
      </c>
      <c r="P639" s="9">
        <f t="shared" si="82"/>
        <v>1</v>
      </c>
      <c r="Q639" s="10">
        <f t="shared" si="85"/>
        <v>2.5504762656990905</v>
      </c>
      <c r="R639" s="10">
        <f t="shared" si="86"/>
        <v>0.81455952147718191</v>
      </c>
      <c r="S639" s="9">
        <f t="shared" si="83"/>
        <v>1</v>
      </c>
      <c r="T639" s="10">
        <f t="shared" si="87"/>
        <v>2.5256729334837349</v>
      </c>
      <c r="U639" s="10">
        <f t="shared" si="84"/>
        <v>2.5256743589143169</v>
      </c>
      <c r="V639" s="8">
        <f t="shared" si="88"/>
        <v>194.50060187344585</v>
      </c>
      <c r="W639" s="8">
        <f t="shared" si="89"/>
        <v>196.12072925414628</v>
      </c>
    </row>
    <row r="640" spans="14:23" x14ac:dyDescent="0.25">
      <c r="N640" s="8">
        <v>138</v>
      </c>
      <c r="O640" s="8">
        <f t="shared" si="81"/>
        <v>368.3468684430722</v>
      </c>
      <c r="P640" s="9">
        <f t="shared" si="82"/>
        <v>1</v>
      </c>
      <c r="Q640" s="10">
        <f t="shared" si="85"/>
        <v>2.5427871910988045</v>
      </c>
      <c r="R640" s="10">
        <f t="shared" si="86"/>
        <v>0.81210381976717427</v>
      </c>
      <c r="S640" s="9">
        <f t="shared" si="83"/>
        <v>1</v>
      </c>
      <c r="T640" s="10">
        <f t="shared" si="87"/>
        <v>2.5180586349848011</v>
      </c>
      <c r="U640" s="10">
        <f t="shared" si="84"/>
        <v>2.5180618566601773</v>
      </c>
      <c r="V640" s="8">
        <f t="shared" si="88"/>
        <v>194.71331136992998</v>
      </c>
      <c r="W640" s="8">
        <f t="shared" si="89"/>
        <v>196.3313701549028</v>
      </c>
    </row>
    <row r="641" spans="14:23" x14ac:dyDescent="0.25">
      <c r="N641" s="8">
        <v>138.5</v>
      </c>
      <c r="O641" s="8">
        <f t="shared" si="81"/>
        <v>369.17236199057623</v>
      </c>
      <c r="P641" s="9">
        <f t="shared" si="82"/>
        <v>1</v>
      </c>
      <c r="Q641" s="10">
        <f t="shared" si="85"/>
        <v>2.5352278173913376</v>
      </c>
      <c r="R641" s="10">
        <f t="shared" si="86"/>
        <v>0.80968954133901028</v>
      </c>
      <c r="S641" s="9">
        <f t="shared" si="83"/>
        <v>1</v>
      </c>
      <c r="T641" s="10">
        <f t="shared" si="87"/>
        <v>2.5105727760400192</v>
      </c>
      <c r="U641" s="10">
        <f t="shared" si="84"/>
        <v>2.5105714862570916</v>
      </c>
      <c r="V641" s="8">
        <f t="shared" si="88"/>
        <v>194.92290480111186</v>
      </c>
      <c r="W641" s="8">
        <f t="shared" si="89"/>
        <v>196.53892529403166</v>
      </c>
    </row>
    <row r="642" spans="14:23" x14ac:dyDescent="0.25">
      <c r="N642" s="8">
        <v>139</v>
      </c>
      <c r="O642" s="8">
        <f t="shared" si="81"/>
        <v>369.98807975720035</v>
      </c>
      <c r="P642" s="9">
        <f t="shared" si="82"/>
        <v>1</v>
      </c>
      <c r="Q642" s="10">
        <f t="shared" si="85"/>
        <v>2.5277965527373016</v>
      </c>
      <c r="R642" s="10">
        <f t="shared" si="86"/>
        <v>0.80731617779825893</v>
      </c>
      <c r="S642" s="9">
        <f t="shared" si="83"/>
        <v>1</v>
      </c>
      <c r="T642" s="10">
        <f t="shared" si="87"/>
        <v>2.5032137802906083</v>
      </c>
      <c r="U642" s="10">
        <f t="shared" si="84"/>
        <v>2.503210865198179</v>
      </c>
      <c r="V642" s="8">
        <f t="shared" si="88"/>
        <v>195.1294047476901</v>
      </c>
      <c r="W642" s="8">
        <f t="shared" si="89"/>
        <v>196.74341703263465</v>
      </c>
    </row>
    <row r="643" spans="14:23" x14ac:dyDescent="0.25">
      <c r="N643" s="8">
        <v>139.5</v>
      </c>
      <c r="O643" s="8">
        <f t="shared" si="81"/>
        <v>370.79401112685508</v>
      </c>
      <c r="P643" s="9">
        <f t="shared" si="82"/>
        <v>1</v>
      </c>
      <c r="Q643" s="10">
        <f t="shared" si="85"/>
        <v>2.520491838146055</v>
      </c>
      <c r="R643" s="10">
        <f t="shared" si="86"/>
        <v>0.80498323124157256</v>
      </c>
      <c r="S643" s="9">
        <f t="shared" si="83"/>
        <v>1</v>
      </c>
      <c r="T643" s="10">
        <f t="shared" si="87"/>
        <v>2.4959801039070806</v>
      </c>
      <c r="U643" s="10">
        <f t="shared" si="84"/>
        <v>2.4959812709509346</v>
      </c>
      <c r="V643" s="8">
        <f t="shared" si="88"/>
        <v>195.33283344655393</v>
      </c>
      <c r="W643" s="8">
        <f t="shared" si="89"/>
        <v>196.94486739134771</v>
      </c>
    </row>
    <row r="644" spans="14:23" x14ac:dyDescent="0.25">
      <c r="N644" s="8">
        <v>140</v>
      </c>
      <c r="O644" s="8">
        <f t="shared" ref="O644:O707" si="90">$B$30+PI()/4*($B$5/10)^2*($B$31+$B$7/10-$B$31*COS(RADIANS(N644))-SQRT(($B$7/10)^2-($B$31*SIN(RADIANS(N644)))^2))</f>
        <v>371.5901460087282</v>
      </c>
      <c r="P644" s="9">
        <f t="shared" ref="P644:P707" si="91">IF(N644&gt;$B$36,1-EXP(-$B$16*((N644-$B$36)/$B$35)^($B$17+1)),0)</f>
        <v>1</v>
      </c>
      <c r="Q644" s="10">
        <f t="shared" si="85"/>
        <v>2.5133121468646773</v>
      </c>
      <c r="R644" s="10">
        <f t="shared" si="86"/>
        <v>0.80269021406154017</v>
      </c>
      <c r="S644" s="9">
        <f t="shared" ref="S644:S707" si="92">IF(N644&lt;=$B$38,IF(N644&gt;$B$37,1-EXP(-$B$16*((N644-$B$37)/$B$35)^($B$17+1)),0),$B$22+(1-$B$22)*(1-EXP(-(N644-$B$38)/$B$23)))</f>
        <v>1</v>
      </c>
      <c r="T644" s="10">
        <f t="shared" si="87"/>
        <v>2.4888702349841583</v>
      </c>
      <c r="U644" s="10">
        <f t="shared" ref="U644:U707" si="93">T644+IF(N644&gt;$B$38,$B$24*EXP(-(N644-$B$38)/$B$26)*SIN(2*PI()*(N644-$B$38)/$B$39),0)</f>
        <v>2.4888728726688654</v>
      </c>
      <c r="V644" s="8">
        <f t="shared" si="88"/>
        <v>195.53321279360287</v>
      </c>
      <c r="W644" s="8">
        <f t="shared" si="89"/>
        <v>197.14329805313312</v>
      </c>
    </row>
    <row r="645" spans="14:23" x14ac:dyDescent="0.25">
      <c r="N645" s="8">
        <v>140.5</v>
      </c>
      <c r="O645" s="8">
        <f t="shared" si="90"/>
        <v>372.37647482340128</v>
      </c>
      <c r="P645" s="9">
        <f t="shared" si="91"/>
        <v>1</v>
      </c>
      <c r="Q645" s="10">
        <f t="shared" ref="Q645:Q708" si="94">Q644*(O644/O645)^$B$9+10*($B$9-1)*$B$33*(P645-P644)/((O644+O645)/2)</f>
        <v>2.5062559837821485</v>
      </c>
      <c r="R645" s="10">
        <f t="shared" ref="R645:R708" si="95">R644*(O644/O645)^$B$9</f>
        <v>0.80043664875639731</v>
      </c>
      <c r="S645" s="9">
        <f t="shared" si="92"/>
        <v>1</v>
      </c>
      <c r="T645" s="10">
        <f t="shared" ref="T645:T708" si="96">T644*(O644/O645)^$B$9+10*($B$9-1)*$B$33*(S645-S644)/((O644+O645)/2)</f>
        <v>2.4818826929507471</v>
      </c>
      <c r="U645" s="10">
        <f t="shared" si="93"/>
        <v>2.4818816369657997</v>
      </c>
      <c r="V645" s="8">
        <f t="shared" ref="V645:V708" si="97">V644+(Q644+Q645)/2*(O645-O644)/10</f>
        <v>195.73056434652</v>
      </c>
      <c r="W645" s="8">
        <f t="shared" ref="W645:W708" si="98">W644+(T644+T645)/2*(O645-O644)/10</f>
        <v>197.33873036602591</v>
      </c>
    </row>
    <row r="646" spans="14:23" x14ac:dyDescent="0.25">
      <c r="N646" s="8">
        <v>141</v>
      </c>
      <c r="O646" s="8">
        <f t="shared" si="90"/>
        <v>373.15298848907923</v>
      </c>
      <c r="P646" s="9">
        <f t="shared" si="91"/>
        <v>1</v>
      </c>
      <c r="Q646" s="10">
        <f t="shared" si="94"/>
        <v>2.4993218848483165</v>
      </c>
      <c r="R646" s="10">
        <f t="shared" si="95"/>
        <v>0.79822206774445859</v>
      </c>
      <c r="S646" s="9">
        <f t="shared" si="92"/>
        <v>1</v>
      </c>
      <c r="T646" s="10">
        <f t="shared" si="96"/>
        <v>2.4750160279945543</v>
      </c>
      <c r="U646" s="10">
        <f t="shared" si="93"/>
        <v>2.4750136413187342</v>
      </c>
      <c r="V646" s="8">
        <f t="shared" si="97"/>
        <v>195.92490932750033</v>
      </c>
      <c r="W646" s="8">
        <f t="shared" si="98"/>
        <v>197.53118534583569</v>
      </c>
    </row>
    <row r="647" spans="14:23" x14ac:dyDescent="0.25">
      <c r="N647" s="8">
        <v>141.5</v>
      </c>
      <c r="O647" s="8">
        <f t="shared" si="90"/>
        <v>373.91967840793438</v>
      </c>
      <c r="P647" s="9">
        <f t="shared" si="91"/>
        <v>1</v>
      </c>
      <c r="Q647" s="10">
        <f t="shared" si="94"/>
        <v>2.4925084165073166</v>
      </c>
      <c r="R647" s="10">
        <f t="shared" si="95"/>
        <v>0.79604601318316526</v>
      </c>
      <c r="S647" s="9">
        <f t="shared" si="92"/>
        <v>1</v>
      </c>
      <c r="T647" s="10">
        <f t="shared" si="96"/>
        <v>2.4682688205010179</v>
      </c>
      <c r="U647" s="10">
        <f t="shared" si="93"/>
        <v>2.4682697759957111</v>
      </c>
      <c r="V647" s="8">
        <f t="shared" si="97"/>
        <v>196.11626862593459</v>
      </c>
      <c r="W647" s="8">
        <f t="shared" si="98"/>
        <v>197.72068367880425</v>
      </c>
    </row>
    <row r="648" spans="14:23" x14ac:dyDescent="0.25">
      <c r="N648" s="8">
        <v>142</v>
      </c>
      <c r="O648" s="8">
        <f t="shared" si="90"/>
        <v>374.67653645256746</v>
      </c>
      <c r="P648" s="9">
        <f t="shared" si="91"/>
        <v>1</v>
      </c>
      <c r="Q648" s="10">
        <f t="shared" si="94"/>
        <v>2.4858141751450957</v>
      </c>
      <c r="R648" s="10">
        <f t="shared" si="95"/>
        <v>0.79390803679263855</v>
      </c>
      <c r="S648" s="9">
        <f t="shared" si="92"/>
        <v>1</v>
      </c>
      <c r="T648" s="10">
        <f t="shared" si="96"/>
        <v>2.4616396805062046</v>
      </c>
      <c r="U648" s="10">
        <f t="shared" si="93"/>
        <v>2.4616418400597913</v>
      </c>
      <c r="V648" s="8">
        <f t="shared" si="97"/>
        <v>196.30466280104812</v>
      </c>
      <c r="W648" s="8">
        <f t="shared" si="98"/>
        <v>197.90724572421885</v>
      </c>
    </row>
    <row r="649" spans="14:23" x14ac:dyDescent="0.25">
      <c r="N649" s="8">
        <v>142.5</v>
      </c>
      <c r="O649" s="8">
        <f t="shared" si="90"/>
        <v>375.42355495259227</v>
      </c>
      <c r="P649" s="9">
        <f t="shared" si="91"/>
        <v>1</v>
      </c>
      <c r="Q649" s="10">
        <f t="shared" si="94"/>
        <v>2.4792377865506845</v>
      </c>
      <c r="R649" s="10">
        <f t="shared" si="95"/>
        <v>0.79180769968362286</v>
      </c>
      <c r="S649" s="9">
        <f t="shared" si="92"/>
        <v>1</v>
      </c>
      <c r="T649" s="10">
        <f t="shared" si="96"/>
        <v>2.4551272471633196</v>
      </c>
      <c r="U649" s="10">
        <f t="shared" si="93"/>
        <v>2.4551263825959686</v>
      </c>
      <c r="V649" s="8">
        <f t="shared" si="97"/>
        <v>196.49011208449667</v>
      </c>
      <c r="W649" s="8">
        <f t="shared" si="98"/>
        <v>198.09089151698282</v>
      </c>
    </row>
    <row r="650" spans="14:23" x14ac:dyDescent="0.25">
      <c r="N650" s="8">
        <v>143</v>
      </c>
      <c r="O650" s="8">
        <f t="shared" si="90"/>
        <v>376.1607266813453</v>
      </c>
      <c r="P650" s="9">
        <f t="shared" si="91"/>
        <v>1</v>
      </c>
      <c r="Q650" s="10">
        <f t="shared" si="94"/>
        <v>2.4727779053908971</v>
      </c>
      <c r="R650" s="10">
        <f t="shared" si="95"/>
        <v>0.78974457218971794</v>
      </c>
      <c r="S650" s="9">
        <f t="shared" si="92"/>
        <v>1</v>
      </c>
      <c r="T650" s="10">
        <f t="shared" si="96"/>
        <v>2.4487301882225165</v>
      </c>
      <c r="U650" s="10">
        <f t="shared" si="93"/>
        <v>2.4487282341776253</v>
      </c>
      <c r="V650" s="8">
        <f t="shared" si="97"/>
        <v>196.67263638291871</v>
      </c>
      <c r="W650" s="8">
        <f t="shared" si="98"/>
        <v>198.27164077014291</v>
      </c>
    </row>
    <row r="651" spans="14:23" x14ac:dyDescent="0.25">
      <c r="N651" s="8">
        <v>143.5</v>
      </c>
      <c r="O651" s="8">
        <f t="shared" si="90"/>
        <v>376.88804484272396</v>
      </c>
      <c r="P651" s="9">
        <f t="shared" si="91"/>
        <v>1</v>
      </c>
      <c r="Q651" s="10">
        <f t="shared" si="94"/>
        <v>2.4664332146981347</v>
      </c>
      <c r="R651" s="10">
        <f t="shared" si="95"/>
        <v>0.78771823370379579</v>
      </c>
      <c r="S651" s="9">
        <f t="shared" si="92"/>
        <v>1</v>
      </c>
      <c r="T651" s="10">
        <f t="shared" si="96"/>
        <v>2.4424471995236807</v>
      </c>
      <c r="U651" s="10">
        <f t="shared" si="93"/>
        <v>2.4424479818165707</v>
      </c>
      <c r="V651" s="8">
        <f t="shared" si="97"/>
        <v>196.85225528044492</v>
      </c>
      <c r="W651" s="8">
        <f t="shared" si="98"/>
        <v>198.44951287737453</v>
      </c>
    </row>
    <row r="652" spans="14:23" x14ac:dyDescent="0.25">
      <c r="N652" s="8">
        <v>144</v>
      </c>
      <c r="O652" s="8">
        <f t="shared" si="90"/>
        <v>377.60550305815798</v>
      </c>
      <c r="P652" s="9">
        <f t="shared" si="91"/>
        <v>1</v>
      </c>
      <c r="Q652" s="10">
        <f t="shared" si="94"/>
        <v>2.4602024253709773</v>
      </c>
      <c r="R652" s="10">
        <f t="shared" si="95"/>
        <v>0.78572827251850186</v>
      </c>
      <c r="S652" s="9">
        <f t="shared" si="92"/>
        <v>1</v>
      </c>
      <c r="T652" s="10">
        <f t="shared" si="96"/>
        <v>2.4362770045018785</v>
      </c>
      <c r="U652" s="10">
        <f t="shared" si="93"/>
        <v>2.4362787725948127</v>
      </c>
      <c r="V652" s="8">
        <f t="shared" si="97"/>
        <v>197.0289880411658</v>
      </c>
      <c r="W652" s="8">
        <f t="shared" si="98"/>
        <v>198.62452691542526</v>
      </c>
    </row>
    <row r="653" spans="14:23" x14ac:dyDescent="0.25">
      <c r="N653" s="8">
        <v>144.5</v>
      </c>
      <c r="O653" s="8">
        <f t="shared" si="90"/>
        <v>378.31309535371435</v>
      </c>
      <c r="P653" s="9">
        <f t="shared" si="91"/>
        <v>1</v>
      </c>
      <c r="Q653" s="10">
        <f t="shared" si="94"/>
        <v>2.4540842756872756</v>
      </c>
      <c r="R653" s="10">
        <f t="shared" si="95"/>
        <v>0.78377428567074903</v>
      </c>
      <c r="S653" s="9">
        <f t="shared" si="92"/>
        <v>1</v>
      </c>
      <c r="T653" s="10">
        <f t="shared" si="96"/>
        <v>2.4302183537051842</v>
      </c>
      <c r="U653" s="10">
        <f t="shared" si="93"/>
        <v>2.4302176458573057</v>
      </c>
      <c r="V653" s="8">
        <f t="shared" si="97"/>
        <v>197.202853611557</v>
      </c>
      <c r="W653" s="8">
        <f t="shared" si="98"/>
        <v>198.79670164651668</v>
      </c>
    </row>
    <row r="654" spans="14:23" x14ac:dyDescent="0.25">
      <c r="N654" s="8">
        <v>145</v>
      </c>
      <c r="O654" s="8">
        <f t="shared" si="90"/>
        <v>379.01081614734244</v>
      </c>
      <c r="P654" s="9">
        <f t="shared" si="91"/>
        <v>1</v>
      </c>
      <c r="Q654" s="10">
        <f t="shared" si="94"/>
        <v>2.4480775308294218</v>
      </c>
      <c r="R654" s="10">
        <f t="shared" si="95"/>
        <v>0.7818558787901001</v>
      </c>
      <c r="S654" s="9">
        <f t="shared" si="92"/>
        <v>1</v>
      </c>
      <c r="T654" s="10">
        <f t="shared" si="96"/>
        <v>2.4242700243245676</v>
      </c>
      <c r="U654" s="10">
        <f t="shared" si="93"/>
        <v>2.4242684244879222</v>
      </c>
      <c r="V654" s="8">
        <f t="shared" si="97"/>
        <v>197.37387062286382</v>
      </c>
      <c r="W654" s="8">
        <f t="shared" si="98"/>
        <v>198.96605552070554</v>
      </c>
    </row>
    <row r="655" spans="14:23" x14ac:dyDescent="0.25">
      <c r="N655" s="8">
        <v>145.5</v>
      </c>
      <c r="O655" s="8">
        <f t="shared" si="90"/>
        <v>379.69866023625821</v>
      </c>
      <c r="P655" s="9">
        <f t="shared" si="91"/>
        <v>1</v>
      </c>
      <c r="Q655" s="10">
        <f t="shared" si="94"/>
        <v>2.4421809824215504</v>
      </c>
      <c r="R655" s="10">
        <f t="shared" si="95"/>
        <v>0.77997266595096149</v>
      </c>
      <c r="S655" s="9">
        <f t="shared" si="92"/>
        <v>1</v>
      </c>
      <c r="T655" s="10">
        <f t="shared" si="96"/>
        <v>2.4184308197355944</v>
      </c>
      <c r="U655" s="10">
        <f t="shared" si="93"/>
        <v>2.4184314602228412</v>
      </c>
      <c r="V655" s="8">
        <f t="shared" si="97"/>
        <v>197.54205739344431</v>
      </c>
      <c r="W655" s="8">
        <f t="shared" si="98"/>
        <v>199.13260667820424</v>
      </c>
    </row>
    <row r="656" spans="14:23" x14ac:dyDescent="0.25">
      <c r="N656" s="8">
        <v>146</v>
      </c>
      <c r="O656" s="8">
        <f t="shared" si="90"/>
        <v>380.37662278447402</v>
      </c>
      <c r="P656" s="9">
        <f t="shared" si="91"/>
        <v>1</v>
      </c>
      <c r="Q656" s="10">
        <f t="shared" si="94"/>
        <v>2.4363934480783525</v>
      </c>
      <c r="R656" s="10">
        <f t="shared" si="95"/>
        <v>0.77812426952848557</v>
      </c>
      <c r="S656" s="9">
        <f t="shared" si="92"/>
        <v>1</v>
      </c>
      <c r="T656" s="10">
        <f t="shared" si="96"/>
        <v>2.4126995690516302</v>
      </c>
      <c r="U656" s="10">
        <f t="shared" si="93"/>
        <v>2.4127010166436897</v>
      </c>
      <c r="V656" s="8">
        <f t="shared" si="97"/>
        <v>197.70743193107242</v>
      </c>
      <c r="W656" s="8">
        <f t="shared" si="98"/>
        <v>199.29637295166148</v>
      </c>
    </row>
    <row r="657" spans="14:23" x14ac:dyDescent="0.25">
      <c r="N657" s="8">
        <v>146.5</v>
      </c>
      <c r="O657" s="8">
        <f t="shared" si="90"/>
        <v>381.04469931047345</v>
      </c>
      <c r="P657" s="9">
        <f t="shared" si="91"/>
        <v>1</v>
      </c>
      <c r="Q657" s="10">
        <f t="shared" si="94"/>
        <v>2.4307137709652697</v>
      </c>
      <c r="R657" s="10">
        <f t="shared" si="95"/>
        <v>0.77631032005810707</v>
      </c>
      <c r="S657" s="9">
        <f t="shared" si="92"/>
        <v>1</v>
      </c>
      <c r="T657" s="10">
        <f t="shared" si="96"/>
        <v>2.4070751266883099</v>
      </c>
      <c r="U657" s="10">
        <f t="shared" si="93"/>
        <v>2.4070745471514834</v>
      </c>
      <c r="V657" s="8">
        <f t="shared" si="97"/>
        <v>197.87001193520069</v>
      </c>
      <c r="W657" s="8">
        <f t="shared" si="98"/>
        <v>199.45737186840299</v>
      </c>
    </row>
    <row r="658" spans="14:23" x14ac:dyDescent="0.25">
      <c r="N658" s="8">
        <v>147</v>
      </c>
      <c r="O658" s="8">
        <f t="shared" si="90"/>
        <v>381.70288567503513</v>
      </c>
      <c r="P658" s="9">
        <f t="shared" si="91"/>
        <v>1</v>
      </c>
      <c r="Q658" s="10">
        <f t="shared" si="94"/>
        <v>2.4251408193697874</v>
      </c>
      <c r="R658" s="10">
        <f t="shared" si="95"/>
        <v>0.77453045609862525</v>
      </c>
      <c r="S658" s="9">
        <f t="shared" si="92"/>
        <v>1</v>
      </c>
      <c r="T658" s="10">
        <f t="shared" si="96"/>
        <v>2.4015563719390016</v>
      </c>
      <c r="U658" s="10">
        <f t="shared" si="93"/>
        <v>2.4015550621035402</v>
      </c>
      <c r="V658" s="8">
        <f t="shared" si="97"/>
        <v>198.02981479918333</v>
      </c>
      <c r="W658" s="8">
        <f t="shared" si="98"/>
        <v>199.61562065263291</v>
      </c>
    </row>
    <row r="659" spans="14:23" x14ac:dyDescent="0.25">
      <c r="N659" s="8">
        <v>147.5</v>
      </c>
      <c r="O659" s="8">
        <f t="shared" si="90"/>
        <v>382.35117806920948</v>
      </c>
      <c r="P659" s="9">
        <f t="shared" si="91"/>
        <v>1</v>
      </c>
      <c r="Q659" s="10">
        <f t="shared" si="94"/>
        <v>2.4196734862835663</v>
      </c>
      <c r="R659" s="10">
        <f t="shared" si="95"/>
        <v>0.77278432409874642</v>
      </c>
      <c r="S659" s="9">
        <f t="shared" si="92"/>
        <v>1</v>
      </c>
      <c r="T659" s="10">
        <f t="shared" si="96"/>
        <v>2.3961422085610007</v>
      </c>
      <c r="U659" s="10">
        <f t="shared" si="93"/>
        <v>2.3961427329476068</v>
      </c>
      <c r="V659" s="8">
        <f t="shared" si="97"/>
        <v>198.18685761246044</v>
      </c>
      <c r="W659" s="8">
        <f t="shared" si="98"/>
        <v>199.77113622759688</v>
      </c>
    </row>
    <row r="660" spans="14:23" x14ac:dyDescent="0.25">
      <c r="N660" s="8">
        <v>148</v>
      </c>
      <c r="O660" s="8">
        <f t="shared" si="90"/>
        <v>382.98957300244598</v>
      </c>
      <c r="P660" s="9">
        <f t="shared" si="91"/>
        <v>1</v>
      </c>
      <c r="Q660" s="10">
        <f t="shared" si="94"/>
        <v>2.4143106889952031</v>
      </c>
      <c r="R660" s="10">
        <f t="shared" si="95"/>
        <v>0.771071578267022</v>
      </c>
      <c r="S660" s="9">
        <f t="shared" si="92"/>
        <v>1</v>
      </c>
      <c r="T660" s="10">
        <f t="shared" si="96"/>
        <v>2.3908315643722511</v>
      </c>
      <c r="U660" s="10">
        <f t="shared" si="93"/>
        <v>2.390832749560388</v>
      </c>
      <c r="V660" s="8">
        <f t="shared" si="97"/>
        <v>198.34115716270261</v>
      </c>
      <c r="W660" s="8">
        <f t="shared" si="98"/>
        <v>199.92393521770572</v>
      </c>
    </row>
    <row r="661" spans="14:23" x14ac:dyDescent="0.25">
      <c r="N661" s="8">
        <v>148.5</v>
      </c>
      <c r="O661" s="8">
        <f t="shared" si="90"/>
        <v>383.61806729087897</v>
      </c>
      <c r="P661" s="9">
        <f t="shared" si="91"/>
        <v>1</v>
      </c>
      <c r="Q661" s="10">
        <f t="shared" si="94"/>
        <v>2.4090513686933317</v>
      </c>
      <c r="R661" s="10">
        <f t="shared" si="95"/>
        <v>0.76939188044508866</v>
      </c>
      <c r="S661" s="9">
        <f t="shared" si="92"/>
        <v>1</v>
      </c>
      <c r="T661" s="10">
        <f t="shared" si="96"/>
        <v>2.3856233908583069</v>
      </c>
      <c r="U661" s="10">
        <f t="shared" si="93"/>
        <v>2.3856229163736842</v>
      </c>
      <c r="V661" s="8">
        <f t="shared" si="97"/>
        <v>198.49272993791769</v>
      </c>
      <c r="W661" s="8">
        <f t="shared" si="98"/>
        <v>200.07403395062173</v>
      </c>
    </row>
    <row r="662" spans="14:23" x14ac:dyDescent="0.25">
      <c r="N662" s="8">
        <v>149</v>
      </c>
      <c r="O662" s="8">
        <f t="shared" si="90"/>
        <v>384.23665804576979</v>
      </c>
      <c r="P662" s="9">
        <f t="shared" si="91"/>
        <v>1</v>
      </c>
      <c r="Q662" s="10">
        <f t="shared" si="94"/>
        <v>2.4038944900798715</v>
      </c>
      <c r="R662" s="10">
        <f t="shared" si="95"/>
        <v>0.7677448999841493</v>
      </c>
      <c r="S662" s="9">
        <f t="shared" si="92"/>
        <v>1</v>
      </c>
      <c r="T662" s="10">
        <f t="shared" si="96"/>
        <v>2.3805166627893408</v>
      </c>
      <c r="U662" s="10">
        <f t="shared" si="93"/>
        <v>2.380515590386767</v>
      </c>
      <c r="V662" s="8">
        <f t="shared" si="97"/>
        <v>198.64159212851905</v>
      </c>
      <c r="W662" s="8">
        <f t="shared" si="98"/>
        <v>200.2214484593068</v>
      </c>
    </row>
    <row r="663" spans="14:23" x14ac:dyDescent="0.25">
      <c r="N663" s="8">
        <v>149.5</v>
      </c>
      <c r="O663" s="8">
        <f t="shared" si="90"/>
        <v>384.84534266210852</v>
      </c>
      <c r="P663" s="9">
        <f t="shared" si="91"/>
        <v>1</v>
      </c>
      <c r="Q663" s="10">
        <f t="shared" si="94"/>
        <v>2.3988390409931837</v>
      </c>
      <c r="R663" s="10">
        <f t="shared" si="95"/>
        <v>0.76613031362461848</v>
      </c>
      <c r="S663" s="9">
        <f t="shared" si="92"/>
        <v>1</v>
      </c>
      <c r="T663" s="10">
        <f t="shared" si="96"/>
        <v>2.3755103778469664</v>
      </c>
      <c r="U663" s="10">
        <f t="shared" si="93"/>
        <v>2.375510807178407</v>
      </c>
      <c r="V663" s="8">
        <f t="shared" si="97"/>
        <v>198.78775962935597</v>
      </c>
      <c r="W663" s="8">
        <f t="shared" si="98"/>
        <v>200.36619448403312</v>
      </c>
    </row>
    <row r="664" spans="14:23" x14ac:dyDescent="0.25">
      <c r="N664" s="8">
        <v>150</v>
      </c>
      <c r="O664" s="8">
        <f t="shared" si="90"/>
        <v>385.44411880737812</v>
      </c>
      <c r="P664" s="9">
        <f t="shared" si="91"/>
        <v>1</v>
      </c>
      <c r="Q664" s="10">
        <f t="shared" si="94"/>
        <v>2.393884032040912</v>
      </c>
      <c r="R664" s="10">
        <f t="shared" si="95"/>
        <v>0.76454780537886102</v>
      </c>
      <c r="S664" s="9">
        <f t="shared" si="92"/>
        <v>1</v>
      </c>
      <c r="T664" s="10">
        <f t="shared" si="96"/>
        <v>2.3706035562606491</v>
      </c>
      <c r="U664" s="10">
        <f t="shared" si="93"/>
        <v>2.370604526610625</v>
      </c>
      <c r="V664" s="8">
        <f t="shared" si="97"/>
        <v>198.93124804170677</v>
      </c>
      <c r="W664" s="8">
        <f t="shared" si="98"/>
        <v>200.50828747435688</v>
      </c>
    </row>
    <row r="665" spans="14:23" x14ac:dyDescent="0.25">
      <c r="N665" s="8">
        <v>150.5</v>
      </c>
      <c r="O665" s="8">
        <f t="shared" si="90"/>
        <v>386.03298441048059</v>
      </c>
      <c r="P665" s="9">
        <f t="shared" si="91"/>
        <v>1</v>
      </c>
      <c r="Q665" s="10">
        <f t="shared" si="94"/>
        <v>2.3890284962423154</v>
      </c>
      <c r="R665" s="10">
        <f t="shared" si="95"/>
        <v>0.7629970664169613</v>
      </c>
      <c r="S665" s="9">
        <f t="shared" si="92"/>
        <v>1</v>
      </c>
      <c r="T665" s="10">
        <f t="shared" si="96"/>
        <v>2.365795240453517</v>
      </c>
      <c r="U665" s="10">
        <f t="shared" si="93"/>
        <v>2.3657948519783645</v>
      </c>
      <c r="V665" s="8">
        <f t="shared" si="97"/>
        <v>199.07207267523447</v>
      </c>
      <c r="W665" s="8">
        <f t="shared" si="98"/>
        <v>200.64774259105494</v>
      </c>
    </row>
    <row r="666" spans="14:23" x14ac:dyDescent="0.25">
      <c r="N666" s="8">
        <v>151</v>
      </c>
      <c r="O666" s="8">
        <f t="shared" si="90"/>
        <v>386.61193765082965</v>
      </c>
      <c r="P666" s="9">
        <f t="shared" si="91"/>
        <v>1</v>
      </c>
      <c r="Q666" s="10">
        <f t="shared" si="94"/>
        <v>2.3842714886798566</v>
      </c>
      <c r="R666" s="10">
        <f t="shared" si="95"/>
        <v>0.76147779495544954</v>
      </c>
      <c r="S666" s="9">
        <f t="shared" si="92"/>
        <v>1</v>
      </c>
      <c r="T666" s="10">
        <f t="shared" si="96"/>
        <v>2.3610844946973373</v>
      </c>
      <c r="U666" s="10">
        <f t="shared" si="93"/>
        <v>2.3610836166883704</v>
      </c>
      <c r="V666" s="8">
        <f t="shared" si="97"/>
        <v>199.21024854990591</v>
      </c>
      <c r="W666" s="8">
        <f t="shared" si="98"/>
        <v>200.78457470802522</v>
      </c>
    </row>
    <row r="667" spans="14:23" x14ac:dyDescent="0.25">
      <c r="N667" s="8">
        <v>151.5</v>
      </c>
      <c r="O667" s="8">
        <f t="shared" si="90"/>
        <v>387.18097694760797</v>
      </c>
      <c r="P667" s="9">
        <f t="shared" si="91"/>
        <v>1</v>
      </c>
      <c r="Q667" s="10">
        <f t="shared" si="94"/>
        <v>2.3796120861598853</v>
      </c>
      <c r="R667" s="10">
        <f t="shared" si="95"/>
        <v>0.7599896961489323</v>
      </c>
      <c r="S667" s="9">
        <f t="shared" si="92"/>
        <v>1</v>
      </c>
      <c r="T667" s="10">
        <f t="shared" si="96"/>
        <v>2.3564704047764997</v>
      </c>
      <c r="U667" s="10">
        <f t="shared" si="93"/>
        <v>2.3564707562833536</v>
      </c>
      <c r="V667" s="8">
        <f t="shared" si="97"/>
        <v>199.34579039787394</v>
      </c>
      <c r="W667" s="8">
        <f t="shared" si="98"/>
        <v>200.9187984141507</v>
      </c>
    </row>
    <row r="668" spans="14:23" x14ac:dyDescent="0.25">
      <c r="N668" s="8">
        <v>152</v>
      </c>
      <c r="O668" s="8">
        <f t="shared" si="90"/>
        <v>387.74010094919532</v>
      </c>
      <c r="P668" s="9">
        <f t="shared" si="91"/>
        <v>1</v>
      </c>
      <c r="Q668" s="10">
        <f t="shared" si="94"/>
        <v>2.3750493868821754</v>
      </c>
      <c r="R668" s="10">
        <f t="shared" si="95"/>
        <v>0.75853248198455081</v>
      </c>
      <c r="S668" s="9">
        <f t="shared" si="92"/>
        <v>1</v>
      </c>
      <c r="T668" s="10">
        <f t="shared" si="96"/>
        <v>2.3519520776607683</v>
      </c>
      <c r="U668" s="10">
        <f t="shared" si="93"/>
        <v>2.3519528721161347</v>
      </c>
      <c r="V668" s="8">
        <f t="shared" si="97"/>
        <v>199.47871266532397</v>
      </c>
      <c r="W668" s="8">
        <f t="shared" si="98"/>
        <v>201.05042801512792</v>
      </c>
    </row>
    <row r="669" spans="14:23" x14ac:dyDescent="0.25">
      <c r="N669" s="8">
        <v>152.5</v>
      </c>
      <c r="O669" s="8">
        <f t="shared" si="90"/>
        <v>388.28930852276204</v>
      </c>
      <c r="P669" s="9">
        <f t="shared" si="91"/>
        <v>1</v>
      </c>
      <c r="Q669" s="10">
        <f t="shared" si="94"/>
        <v>2.370582510118191</v>
      </c>
      <c r="R669" s="10">
        <f t="shared" si="95"/>
        <v>0.75710587117922679</v>
      </c>
      <c r="S669" s="9">
        <f t="shared" si="92"/>
        <v>1</v>
      </c>
      <c r="T669" s="10">
        <f t="shared" si="96"/>
        <v>2.3475286411866749</v>
      </c>
      <c r="U669" s="10">
        <f t="shared" si="93"/>
        <v>2.3475283231301209</v>
      </c>
      <c r="V669" s="8">
        <f t="shared" si="97"/>
        <v>199.60902951428358</v>
      </c>
      <c r="W669" s="8">
        <f t="shared" si="98"/>
        <v>201.179477535259</v>
      </c>
    </row>
    <row r="670" spans="14:23" x14ac:dyDescent="0.25">
      <c r="N670" s="8">
        <v>153</v>
      </c>
      <c r="O670" s="8">
        <f t="shared" si="90"/>
        <v>388.82859874403727</v>
      </c>
      <c r="P670" s="9">
        <f t="shared" si="91"/>
        <v>1</v>
      </c>
      <c r="Q670" s="10">
        <f t="shared" si="94"/>
        <v>2.3662105958978281</v>
      </c>
      <c r="R670" s="10">
        <f t="shared" si="95"/>
        <v>0.75570958907961583</v>
      </c>
      <c r="S670" s="9">
        <f t="shared" si="92"/>
        <v>1</v>
      </c>
      <c r="T670" s="10">
        <f t="shared" si="96"/>
        <v>2.3431992437473079</v>
      </c>
      <c r="U670" s="10">
        <f t="shared" si="93"/>
        <v>2.3431985248943654</v>
      </c>
      <c r="V670" s="8">
        <f t="shared" si="97"/>
        <v>199.73675482439748</v>
      </c>
      <c r="W670" s="8">
        <f t="shared" si="98"/>
        <v>201.30596071920939</v>
      </c>
    </row>
    <row r="671" spans="14:23" x14ac:dyDescent="0.25">
      <c r="N671" s="8">
        <v>153.5</v>
      </c>
      <c r="O671" s="8">
        <f t="shared" si="90"/>
        <v>389.35797088724593</v>
      </c>
      <c r="P671" s="9">
        <f t="shared" si="91"/>
        <v>1</v>
      </c>
      <c r="Q671" s="10">
        <f t="shared" si="94"/>
        <v>2.3619328047045172</v>
      </c>
      <c r="R671" s="10">
        <f t="shared" si="95"/>
        <v>0.75434336756473042</v>
      </c>
      <c r="S671" s="9">
        <f t="shared" si="92"/>
        <v>1</v>
      </c>
      <c r="T671" s="10">
        <f t="shared" si="96"/>
        <v>2.3389630539903807</v>
      </c>
      <c r="U671" s="10">
        <f t="shared" si="93"/>
        <v>2.3389633417798521</v>
      </c>
      <c r="V671" s="8">
        <f t="shared" si="97"/>
        <v>199.86190219466621</v>
      </c>
      <c r="W671" s="8">
        <f t="shared" si="98"/>
        <v>201.4298910337296</v>
      </c>
    </row>
    <row r="672" spans="14:23" x14ac:dyDescent="0.25">
      <c r="N672" s="8">
        <v>154</v>
      </c>
      <c r="O672" s="8">
        <f t="shared" si="90"/>
        <v>389.87742441522136</v>
      </c>
      <c r="P672" s="9">
        <f t="shared" si="91"/>
        <v>1</v>
      </c>
      <c r="Q672" s="10">
        <f t="shared" si="94"/>
        <v>2.3577483171784692</v>
      </c>
      <c r="R672" s="10">
        <f t="shared" si="95"/>
        <v>0.75300694495116394</v>
      </c>
      <c r="S672" s="9">
        <f t="shared" si="92"/>
        <v>1</v>
      </c>
      <c r="T672" s="10">
        <f t="shared" si="96"/>
        <v>2.3348192605243621</v>
      </c>
      <c r="U672" s="10">
        <f t="shared" si="93"/>
        <v>2.3348199109694026</v>
      </c>
      <c r="V672" s="8">
        <f t="shared" si="97"/>
        <v>199.98448494515029</v>
      </c>
      <c r="W672" s="8">
        <f t="shared" si="98"/>
        <v>201.55128166934279</v>
      </c>
    </row>
    <row r="673" spans="14:23" x14ac:dyDescent="0.25">
      <c r="N673" s="8">
        <v>154.5</v>
      </c>
      <c r="O673" s="8">
        <f t="shared" si="90"/>
        <v>390.38695896968943</v>
      </c>
      <c r="P673" s="9">
        <f t="shared" si="91"/>
        <v>1</v>
      </c>
      <c r="Q673" s="10">
        <f t="shared" si="94"/>
        <v>2.3536563338279382</v>
      </c>
      <c r="R673" s="10">
        <f t="shared" si="95"/>
        <v>0.75170006590087513</v>
      </c>
      <c r="S673" s="9">
        <f t="shared" si="92"/>
        <v>1</v>
      </c>
      <c r="T673" s="10">
        <f t="shared" si="96"/>
        <v>2.3307670716325477</v>
      </c>
      <c r="U673" s="10">
        <f t="shared" si="93"/>
        <v>2.3307668112298656</v>
      </c>
      <c r="V673" s="8">
        <f t="shared" si="97"/>
        <v>200.10451611863874</v>
      </c>
      <c r="W673" s="8">
        <f t="shared" si="98"/>
        <v>201.67014554199719</v>
      </c>
    </row>
    <row r="674" spans="14:23" x14ac:dyDescent="0.25">
      <c r="N674" s="8">
        <v>155</v>
      </c>
      <c r="O674" s="8">
        <f t="shared" si="90"/>
        <v>390.88657436172997</v>
      </c>
      <c r="P674" s="9">
        <f t="shared" si="91"/>
        <v>1</v>
      </c>
      <c r="Q674" s="10">
        <f t="shared" si="94"/>
        <v>2.3496560747483053</v>
      </c>
      <c r="R674" s="10">
        <f t="shared" si="95"/>
        <v>0.75042248133147027</v>
      </c>
      <c r="S674" s="9">
        <f t="shared" si="92"/>
        <v>1</v>
      </c>
      <c r="T674" s="10">
        <f t="shared" si="96"/>
        <v>2.326805714994876</v>
      </c>
      <c r="U674" s="10">
        <f t="shared" si="93"/>
        <v>2.3268051264478649</v>
      </c>
      <c r="V674" s="8">
        <f t="shared" si="97"/>
        <v>200.22200848228374</v>
      </c>
      <c r="W674" s="8">
        <f t="shared" si="98"/>
        <v>201.78649529468458</v>
      </c>
    </row>
    <row r="675" spans="14:23" x14ac:dyDescent="0.25">
      <c r="N675" s="8">
        <v>155.5</v>
      </c>
      <c r="O675" s="8">
        <f t="shared" si="90"/>
        <v>391.37627056241291</v>
      </c>
      <c r="P675" s="9">
        <f t="shared" si="91"/>
        <v>1</v>
      </c>
      <c r="Q675" s="10">
        <f t="shared" si="94"/>
        <v>2.3457467793488496</v>
      </c>
      <c r="R675" s="10">
        <f t="shared" si="95"/>
        <v>0.74917394832894069</v>
      </c>
      <c r="S675" s="9">
        <f t="shared" si="92"/>
        <v>1</v>
      </c>
      <c r="T675" s="10">
        <f t="shared" si="96"/>
        <v>2.3229344374173557</v>
      </c>
      <c r="U675" s="10">
        <f t="shared" si="93"/>
        <v>2.322934673039446</v>
      </c>
      <c r="V675" s="8">
        <f t="shared" si="97"/>
        <v>200.33697452920009</v>
      </c>
      <c r="W675" s="8">
        <f t="shared" si="98"/>
        <v>201.90034329902454</v>
      </c>
    </row>
    <row r="676" spans="14:23" x14ac:dyDescent="0.25">
      <c r="N676" s="8">
        <v>156</v>
      </c>
      <c r="O676" s="8">
        <f t="shared" si="90"/>
        <v>391.85604769361146</v>
      </c>
      <c r="P676" s="9">
        <f t="shared" si="91"/>
        <v>1</v>
      </c>
      <c r="Q676" s="10">
        <f t="shared" si="94"/>
        <v>2.3419277060870516</v>
      </c>
      <c r="R676" s="10">
        <f t="shared" si="95"/>
        <v>0.74795423006280581</v>
      </c>
      <c r="S676" s="9">
        <f t="shared" si="92"/>
        <v>1</v>
      </c>
      <c r="T676" s="10">
        <f t="shared" si="96"/>
        <v>2.3191525045689545</v>
      </c>
      <c r="U676" s="10">
        <f t="shared" si="93"/>
        <v>2.3191530371083124</v>
      </c>
      <c r="V676" s="8">
        <f t="shared" si="97"/>
        <v>200.44942648003084</v>
      </c>
      <c r="W676" s="8">
        <f t="shared" si="98"/>
        <v>202.01170165681455</v>
      </c>
    </row>
    <row r="677" spans="14:23" x14ac:dyDescent="0.25">
      <c r="N677" s="8">
        <v>156.5</v>
      </c>
      <c r="O677" s="8">
        <f t="shared" si="90"/>
        <v>392.32590601899449</v>
      </c>
      <c r="P677" s="9">
        <f t="shared" si="91"/>
        <v>1</v>
      </c>
      <c r="Q677" s="10">
        <f t="shared" si="94"/>
        <v>2.338198132210263</v>
      </c>
      <c r="R677" s="10">
        <f t="shared" si="95"/>
        <v>0.74676309570360877</v>
      </c>
      <c r="S677" s="9">
        <f t="shared" si="92"/>
        <v>1</v>
      </c>
      <c r="T677" s="10">
        <f t="shared" si="96"/>
        <v>2.3154592007257797</v>
      </c>
      <c r="U677" s="10">
        <f t="shared" si="93"/>
        <v>2.3154589875260956</v>
      </c>
      <c r="V677" s="8">
        <f t="shared" si="97"/>
        <v>200.55937628447904</v>
      </c>
      <c r="W677" s="8">
        <f t="shared" si="98"/>
        <v>202.12058220154708</v>
      </c>
    </row>
    <row r="678" spans="14:23" x14ac:dyDescent="0.25">
      <c r="N678" s="8">
        <v>157</v>
      </c>
      <c r="O678" s="8">
        <f t="shared" si="90"/>
        <v>392.78584593519378</v>
      </c>
      <c r="P678" s="9">
        <f t="shared" si="91"/>
        <v>1</v>
      </c>
      <c r="Q678" s="10">
        <f t="shared" si="94"/>
        <v>2.334557353504648</v>
      </c>
      <c r="R678" s="10">
        <f t="shared" si="95"/>
        <v>0.74560032034273427</v>
      </c>
      <c r="S678" s="9">
        <f t="shared" si="92"/>
        <v>1</v>
      </c>
      <c r="T678" s="10">
        <f t="shared" si="96"/>
        <v>2.311853828522461</v>
      </c>
      <c r="U678" s="10">
        <f t="shared" si="93"/>
        <v>2.3118533466609232</v>
      </c>
      <c r="V678" s="8">
        <f t="shared" si="97"/>
        <v>200.66683562280502</v>
      </c>
      <c r="W678" s="8">
        <f t="shared" si="98"/>
        <v>202.2269964998921</v>
      </c>
    </row>
    <row r="679" spans="14:23" x14ac:dyDescent="0.25">
      <c r="N679" s="8">
        <v>157.5</v>
      </c>
      <c r="O679" s="8">
        <f t="shared" si="90"/>
        <v>393.23586796315448</v>
      </c>
      <c r="P679" s="9">
        <f t="shared" si="91"/>
        <v>1</v>
      </c>
      <c r="Q679" s="10">
        <f t="shared" si="94"/>
        <v>2.3310046840511922</v>
      </c>
      <c r="R679" s="10">
        <f t="shared" si="95"/>
        <v>0.74446568491448406</v>
      </c>
      <c r="S679" s="9">
        <f t="shared" si="92"/>
        <v>1</v>
      </c>
      <c r="T679" s="10">
        <f t="shared" si="96"/>
        <v>2.3083357087105334</v>
      </c>
      <c r="U679" s="10">
        <f t="shared" si="93"/>
        <v>2.308335901621585</v>
      </c>
      <c r="V679" s="8">
        <f t="shared" si="97"/>
        <v>200.77181590729089</v>
      </c>
      <c r="W679" s="8">
        <f t="shared" si="98"/>
        <v>202.33095585314751</v>
      </c>
    </row>
    <row r="680" spans="14:23" x14ac:dyDescent="0.25">
      <c r="N680" s="8">
        <v>158</v>
      </c>
      <c r="O680" s="8">
        <f t="shared" si="90"/>
        <v>393.67597273966209</v>
      </c>
      <c r="P680" s="9">
        <f t="shared" si="91"/>
        <v>1</v>
      </c>
      <c r="Q680" s="10">
        <f t="shared" si="94"/>
        <v>2.3275394559887088</v>
      </c>
      <c r="R680" s="10">
        <f t="shared" si="95"/>
        <v>0.74335897612038671</v>
      </c>
      <c r="S680" s="9">
        <f t="shared" si="92"/>
        <v>1</v>
      </c>
      <c r="T680" s="10">
        <f t="shared" si="96"/>
        <v>2.3049041799237466</v>
      </c>
      <c r="U680" s="10">
        <f t="shared" si="93"/>
        <v>2.3049046159300963</v>
      </c>
      <c r="V680" s="8">
        <f t="shared" si="97"/>
        <v>200.87432828367105</v>
      </c>
      <c r="W680" s="8">
        <f t="shared" si="98"/>
        <v>202.43247129865568</v>
      </c>
    </row>
    <row r="681" spans="14:23" x14ac:dyDescent="0.25">
      <c r="N681" s="8">
        <v>158.5</v>
      </c>
      <c r="O681" s="8">
        <f t="shared" si="90"/>
        <v>394.10616100905156</v>
      </c>
      <c r="P681" s="9">
        <f t="shared" si="91"/>
        <v>1</v>
      </c>
      <c r="Q681" s="10">
        <f t="shared" si="94"/>
        <v>2.3241610192836681</v>
      </c>
      <c r="R681" s="10">
        <f t="shared" si="95"/>
        <v>0.74227998635568693</v>
      </c>
      <c r="S681" s="9">
        <f t="shared" si="92"/>
        <v>1</v>
      </c>
      <c r="T681" s="10">
        <f t="shared" si="96"/>
        <v>2.3015585984501348</v>
      </c>
      <c r="U681" s="10">
        <f t="shared" si="93"/>
        <v>2.3015584238969971</v>
      </c>
      <c r="V681" s="8">
        <f t="shared" si="97"/>
        <v>200.97438363252982</v>
      </c>
      <c r="W681" s="8">
        <f t="shared" si="98"/>
        <v>202.53155361118746</v>
      </c>
    </row>
    <row r="682" spans="14:23" x14ac:dyDescent="0.25">
      <c r="N682" s="8">
        <v>159</v>
      </c>
      <c r="O682" s="8">
        <f t="shared" si="90"/>
        <v>394.52643361509564</v>
      </c>
      <c r="P682" s="9">
        <f t="shared" si="91"/>
        <v>1</v>
      </c>
      <c r="Q682" s="10">
        <f t="shared" si="94"/>
        <v>2.3208687415067555</v>
      </c>
      <c r="R682" s="10">
        <f t="shared" si="95"/>
        <v>0.74122851363798381</v>
      </c>
      <c r="S682" s="9">
        <f t="shared" si="92"/>
        <v>1</v>
      </c>
      <c r="T682" s="10">
        <f t="shared" si="96"/>
        <v>2.298298338010746</v>
      </c>
      <c r="U682" s="10">
        <f t="shared" si="93"/>
        <v>2.2982979434958866</v>
      </c>
      <c r="V682" s="8">
        <f t="shared" si="97"/>
        <v>201.0719925706658</v>
      </c>
      <c r="W682" s="8">
        <f t="shared" si="98"/>
        <v>202.62821330429327</v>
      </c>
    </row>
    <row r="683" spans="14:23" x14ac:dyDescent="0.25">
      <c r="N683" s="8">
        <v>159.5</v>
      </c>
      <c r="O683" s="8">
        <f t="shared" si="90"/>
        <v>394.93679149307502</v>
      </c>
      <c r="P683" s="9">
        <f t="shared" si="91"/>
        <v>1</v>
      </c>
      <c r="Q683" s="10">
        <f t="shared" si="94"/>
        <v>2.3176620076160206</v>
      </c>
      <c r="R683" s="10">
        <f t="shared" si="95"/>
        <v>0.74020436153797375</v>
      </c>
      <c r="S683" s="9">
        <f t="shared" si="92"/>
        <v>1</v>
      </c>
      <c r="T683" s="10">
        <f t="shared" si="96"/>
        <v>2.2951227895449016</v>
      </c>
      <c r="U683" s="10">
        <f t="shared" si="93"/>
        <v>2.295122947487112</v>
      </c>
      <c r="V683" s="8">
        <f t="shared" si="97"/>
        <v>201.1671654524234</v>
      </c>
      <c r="W683" s="8">
        <f t="shared" si="98"/>
        <v>202.72246063162174</v>
      </c>
    </row>
    <row r="684" spans="14:23" x14ac:dyDescent="0.25">
      <c r="N684" s="8">
        <v>160</v>
      </c>
      <c r="O684" s="8">
        <f t="shared" si="90"/>
        <v>395.33723566203071</v>
      </c>
      <c r="P684" s="9">
        <f t="shared" si="91"/>
        <v>1</v>
      </c>
      <c r="Q684" s="10">
        <f t="shared" si="94"/>
        <v>2.3145402197464988</v>
      </c>
      <c r="R684" s="10">
        <f t="shared" si="95"/>
        <v>0.73920733911226066</v>
      </c>
      <c r="S684" s="9">
        <f t="shared" si="92"/>
        <v>1</v>
      </c>
      <c r="T684" s="10">
        <f t="shared" si="96"/>
        <v>2.2920313610018614</v>
      </c>
      <c r="U684" s="10">
        <f t="shared" si="93"/>
        <v>2.2920317179736682</v>
      </c>
      <c r="V684" s="8">
        <f t="shared" si="97"/>
        <v>201.25991237099194</v>
      </c>
      <c r="W684" s="8">
        <f t="shared" si="98"/>
        <v>202.81430558820611</v>
      </c>
    </row>
    <row r="685" spans="14:23" x14ac:dyDescent="0.25">
      <c r="N685" s="8">
        <v>160.5</v>
      </c>
      <c r="O685" s="8">
        <f t="shared" si="90"/>
        <v>395.72776721719731</v>
      </c>
      <c r="P685" s="9">
        <f t="shared" si="91"/>
        <v>1</v>
      </c>
      <c r="Q685" s="10">
        <f t="shared" si="94"/>
        <v>2.3115027970062032</v>
      </c>
      <c r="R685" s="10">
        <f t="shared" si="95"/>
        <v>0.73823726083820107</v>
      </c>
      <c r="S685" s="9">
        <f t="shared" si="92"/>
        <v>1</v>
      </c>
      <c r="T685" s="10">
        <f t="shared" si="96"/>
        <v>2.2890234771388016</v>
      </c>
      <c r="U685" s="10">
        <f t="shared" si="93"/>
        <v>2.2890233342267798</v>
      </c>
      <c r="V685" s="8">
        <f t="shared" si="97"/>
        <v>201.35024315967195</v>
      </c>
      <c r="W685" s="8">
        <f t="shared" si="98"/>
        <v>202.90375791171823</v>
      </c>
    </row>
    <row r="686" spans="14:23" x14ac:dyDescent="0.25">
      <c r="N686" s="8">
        <v>161</v>
      </c>
      <c r="O686" s="8">
        <f t="shared" si="90"/>
        <v>396.10838732261783</v>
      </c>
      <c r="P686" s="9">
        <f t="shared" si="91"/>
        <v>1</v>
      </c>
      <c r="Q686" s="10">
        <f t="shared" si="94"/>
        <v>2.3085491752783827</v>
      </c>
      <c r="R686" s="10">
        <f t="shared" si="95"/>
        <v>0.73729394655075031</v>
      </c>
      <c r="S686" s="9">
        <f t="shared" si="92"/>
        <v>1</v>
      </c>
      <c r="T686" s="10">
        <f t="shared" si="96"/>
        <v>2.2860985793249964</v>
      </c>
      <c r="U686" s="10">
        <f t="shared" si="93"/>
        <v>2.2860982563235481</v>
      </c>
      <c r="V686" s="8">
        <f t="shared" si="97"/>
        <v>201.4381673931089</v>
      </c>
      <c r="W686" s="8">
        <f t="shared" si="98"/>
        <v>202.99082708369039</v>
      </c>
    </row>
    <row r="687" spans="14:23" x14ac:dyDescent="0.25">
      <c r="N687" s="8">
        <v>161.5</v>
      </c>
      <c r="O687" s="8">
        <f t="shared" si="90"/>
        <v>396.47909720394352</v>
      </c>
      <c r="P687" s="9">
        <f t="shared" si="91"/>
        <v>1</v>
      </c>
      <c r="Q687" s="10">
        <f t="shared" si="94"/>
        <v>2.3056788070299068</v>
      </c>
      <c r="R687" s="10">
        <f t="shared" si="95"/>
        <v>0.73637722138126471</v>
      </c>
      <c r="S687" s="9">
        <f t="shared" si="92"/>
        <v>1</v>
      </c>
      <c r="T687" s="10">
        <f t="shared" si="96"/>
        <v>2.2832561253520636</v>
      </c>
      <c r="U687" s="10">
        <f t="shared" si="93"/>
        <v>2.2832562546642086</v>
      </c>
      <c r="V687" s="8">
        <f t="shared" si="97"/>
        <v>201.52369438849547</v>
      </c>
      <c r="W687" s="8">
        <f t="shared" si="98"/>
        <v>203.0755223307057</v>
      </c>
    </row>
    <row r="688" spans="14:23" x14ac:dyDescent="0.25">
      <c r="N688" s="8">
        <v>162</v>
      </c>
      <c r="O688" s="8">
        <f t="shared" si="90"/>
        <v>396.83989814141387</v>
      </c>
      <c r="P688" s="9">
        <f t="shared" si="91"/>
        <v>1</v>
      </c>
      <c r="Q688" s="10">
        <f t="shared" si="94"/>
        <v>2.3028911611257192</v>
      </c>
      <c r="R688" s="10">
        <f t="shared" si="95"/>
        <v>0.73548691569824343</v>
      </c>
      <c r="S688" s="9">
        <f t="shared" si="92"/>
        <v>1</v>
      </c>
      <c r="T688" s="10">
        <f t="shared" si="96"/>
        <v>2.2804955892502257</v>
      </c>
      <c r="U688" s="10">
        <f t="shared" si="93"/>
        <v>2.2804958815140219</v>
      </c>
      <c r="V688" s="8">
        <f t="shared" si="97"/>
        <v>201.60683320674087</v>
      </c>
      <c r="W688" s="8">
        <f t="shared" si="98"/>
        <v>203.15785262555622</v>
      </c>
    </row>
    <row r="689" spans="14:23" x14ac:dyDescent="0.25">
      <c r="N689" s="8">
        <v>162.5</v>
      </c>
      <c r="O689" s="8">
        <f t="shared" si="90"/>
        <v>397.19079146302005</v>
      </c>
      <c r="P689" s="9">
        <f t="shared" si="91"/>
        <v>1</v>
      </c>
      <c r="Q689" s="10">
        <f t="shared" si="94"/>
        <v>2.3001857226492395</v>
      </c>
      <c r="R689" s="10">
        <f t="shared" si="95"/>
        <v>0.73462286504996854</v>
      </c>
      <c r="S689" s="9">
        <f t="shared" si="92"/>
        <v>1</v>
      </c>
      <c r="T689" s="10">
        <f t="shared" si="96"/>
        <v>2.2778164611104557</v>
      </c>
      <c r="U689" s="10">
        <f t="shared" si="93"/>
        <v>2.2778163441039885</v>
      </c>
      <c r="V689" s="8">
        <f t="shared" si="97"/>
        <v>201.6875926536087</v>
      </c>
      <c r="W689" s="8">
        <f t="shared" si="98"/>
        <v>203.23782668836964</v>
      </c>
    </row>
    <row r="690" spans="14:23" x14ac:dyDescent="0.25">
      <c r="N690" s="8">
        <v>163</v>
      </c>
      <c r="O690" s="8">
        <f t="shared" si="90"/>
        <v>397.53177853785274</v>
      </c>
      <c r="P690" s="9">
        <f t="shared" si="91"/>
        <v>1</v>
      </c>
      <c r="Q690" s="10">
        <f t="shared" si="94"/>
        <v>2.2975619927286051</v>
      </c>
      <c r="R690" s="10">
        <f t="shared" si="95"/>
        <v>0.73378491010901103</v>
      </c>
      <c r="S690" s="9">
        <f t="shared" si="92"/>
        <v>1</v>
      </c>
      <c r="T690" s="10">
        <f t="shared" si="96"/>
        <v>2.2752182469124098</v>
      </c>
      <c r="U690" s="10">
        <f t="shared" si="93"/>
        <v>2.2752179824611911</v>
      </c>
      <c r="V690" s="8">
        <f t="shared" si="97"/>
        <v>201.76598128082298</v>
      </c>
      <c r="W690" s="8">
        <f t="shared" si="98"/>
        <v>203.31545298770465</v>
      </c>
    </row>
    <row r="691" spans="14:23" x14ac:dyDescent="0.25">
      <c r="N691" s="8">
        <v>163.5</v>
      </c>
      <c r="O691" s="8">
        <f t="shared" si="90"/>
        <v>397.86286076963165</v>
      </c>
      <c r="P691" s="9">
        <f t="shared" si="91"/>
        <v>1</v>
      </c>
      <c r="Q691" s="10">
        <f t="shared" si="94"/>
        <v>2.2950194883686912</v>
      </c>
      <c r="R691" s="10">
        <f t="shared" si="95"/>
        <v>0.73297289661858256</v>
      </c>
      <c r="S691" s="9">
        <f t="shared" si="92"/>
        <v>1</v>
      </c>
      <c r="T691" s="10">
        <f t="shared" si="96"/>
        <v>2.272700468358082</v>
      </c>
      <c r="U691" s="10">
        <f t="shared" si="93"/>
        <v>2.272700574229912</v>
      </c>
      <c r="V691" s="8">
        <f t="shared" si="97"/>
        <v>201.84200738714239</v>
      </c>
      <c r="W691" s="8">
        <f t="shared" si="98"/>
        <v>203.39073974161468</v>
      </c>
    </row>
    <row r="692" spans="14:23" x14ac:dyDescent="0.25">
      <c r="N692" s="8">
        <v>164</v>
      </c>
      <c r="O692" s="8">
        <f t="shared" si="90"/>
        <v>398.1840395904191</v>
      </c>
      <c r="P692" s="9">
        <f t="shared" si="91"/>
        <v>1</v>
      </c>
      <c r="Q692" s="10">
        <f t="shared" si="94"/>
        <v>2.2925577422887966</v>
      </c>
      <c r="R692" s="10">
        <f t="shared" si="95"/>
        <v>0.73218667534069604</v>
      </c>
      <c r="S692" s="9">
        <f t="shared" si="92"/>
        <v>1</v>
      </c>
      <c r="T692" s="10">
        <f t="shared" si="96"/>
        <v>2.2702626627110667</v>
      </c>
      <c r="U692" s="10">
        <f t="shared" si="93"/>
        <v>2.2702629019964249</v>
      </c>
      <c r="V692" s="8">
        <f t="shared" si="97"/>
        <v>201.91567901940309</v>
      </c>
      <c r="W692" s="8">
        <f t="shared" si="98"/>
        <v>203.46369491868057</v>
      </c>
    </row>
    <row r="693" spans="14:23" x14ac:dyDescent="0.25">
      <c r="N693" s="8">
        <v>164.5</v>
      </c>
      <c r="O693" s="8">
        <f t="shared" si="90"/>
        <v>398.49531645451606</v>
      </c>
      <c r="P693" s="9">
        <f t="shared" si="91"/>
        <v>1</v>
      </c>
      <c r="Q693" s="10">
        <f t="shared" si="94"/>
        <v>2.290176302765929</v>
      </c>
      <c r="R693" s="10">
        <f t="shared" si="95"/>
        <v>0.73142610200611446</v>
      </c>
      <c r="S693" s="9">
        <f t="shared" si="92"/>
        <v>1</v>
      </c>
      <c r="T693" s="10">
        <f t="shared" si="96"/>
        <v>2.267904382641369</v>
      </c>
      <c r="U693" s="10">
        <f t="shared" si="93"/>
        <v>2.2679042868445758</v>
      </c>
      <c r="V693" s="8">
        <f t="shared" si="97"/>
        <v>201.98700397352982</v>
      </c>
      <c r="W693" s="8">
        <f t="shared" si="98"/>
        <v>203.53432623901185</v>
      </c>
    </row>
    <row r="694" spans="14:23" x14ac:dyDescent="0.25">
      <c r="N694" s="8">
        <v>165</v>
      </c>
      <c r="O694" s="8">
        <f t="shared" si="90"/>
        <v>398.79669283254333</v>
      </c>
      <c r="P694" s="9">
        <f t="shared" si="91"/>
        <v>1</v>
      </c>
      <c r="Q694" s="10">
        <f t="shared" si="94"/>
        <v>2.2878747334835783</v>
      </c>
      <c r="R694" s="10">
        <f t="shared" si="95"/>
        <v>0.73069103726605333</v>
      </c>
      <c r="S694" s="9">
        <f t="shared" si="92"/>
        <v>1</v>
      </c>
      <c r="T694" s="10">
        <f t="shared" si="96"/>
        <v>2.2656251960756482</v>
      </c>
      <c r="U694" s="10">
        <f t="shared" si="93"/>
        <v>2.2656249795613026</v>
      </c>
      <c r="V694" s="8">
        <f t="shared" si="97"/>
        <v>202.05598979551627</v>
      </c>
      <c r="W694" s="8">
        <f t="shared" si="98"/>
        <v>203.60264117521751</v>
      </c>
    </row>
    <row r="695" spans="14:23" x14ac:dyDescent="0.25">
      <c r="N695" s="8">
        <v>165.5</v>
      </c>
      <c r="O695" s="8">
        <f t="shared" si="90"/>
        <v>399.08817020570439</v>
      </c>
      <c r="P695" s="9">
        <f t="shared" si="91"/>
        <v>1</v>
      </c>
      <c r="Q695" s="10">
        <f t="shared" si="94"/>
        <v>2.2856526133859378</v>
      </c>
      <c r="R695" s="10">
        <f t="shared" si="95"/>
        <v>0.7299813466456222</v>
      </c>
      <c r="S695" s="9">
        <f t="shared" si="92"/>
        <v>1</v>
      </c>
      <c r="T695" s="10">
        <f t="shared" si="96"/>
        <v>2.2634246860528577</v>
      </c>
      <c r="U695" s="10">
        <f t="shared" si="93"/>
        <v>2.2634247727333805</v>
      </c>
      <c r="V695" s="8">
        <f t="shared" si="97"/>
        <v>202.12264378237356</v>
      </c>
      <c r="W695" s="8">
        <f t="shared" si="98"/>
        <v>203.66864695334542</v>
      </c>
    </row>
    <row r="696" spans="14:23" x14ac:dyDescent="0.25">
      <c r="N696" s="8">
        <v>166</v>
      </c>
      <c r="O696" s="8">
        <f t="shared" si="90"/>
        <v>399.36975006023192</v>
      </c>
      <c r="P696" s="9">
        <f t="shared" si="91"/>
        <v>1</v>
      </c>
      <c r="Q696" s="10">
        <f t="shared" si="94"/>
        <v>2.2835095365374714</v>
      </c>
      <c r="R696" s="10">
        <f t="shared" si="95"/>
        <v>0.729296900498974</v>
      </c>
      <c r="S696" s="9">
        <f t="shared" si="92"/>
        <v>1</v>
      </c>
      <c r="T696" s="10">
        <f t="shared" si="96"/>
        <v>2.261302450585176</v>
      </c>
      <c r="U696" s="10">
        <f t="shared" si="93"/>
        <v>2.2613026464954573</v>
      </c>
      <c r="V696" s="8">
        <f t="shared" si="97"/>
        <v>202.18697298304798</v>
      </c>
      <c r="W696" s="8">
        <f t="shared" si="98"/>
        <v>203.73235055379098</v>
      </c>
    </row>
    <row r="697" spans="14:23" x14ac:dyDescent="0.25">
      <c r="N697" s="8">
        <v>166.5</v>
      </c>
      <c r="O697" s="8">
        <f t="shared" si="90"/>
        <v>399.64143388201938</v>
      </c>
      <c r="P697" s="9">
        <f t="shared" si="91"/>
        <v>1</v>
      </c>
      <c r="Q697" s="10">
        <f t="shared" si="94"/>
        <v>2.2814451119877477</v>
      </c>
      <c r="R697" s="10">
        <f t="shared" si="95"/>
        <v>0.72863757396613615</v>
      </c>
      <c r="S697" s="9">
        <f t="shared" si="92"/>
        <v>1</v>
      </c>
      <c r="T697" s="10">
        <f t="shared" si="96"/>
        <v>2.2592581025241572</v>
      </c>
      <c r="U697" s="10">
        <f t="shared" si="93"/>
        <v>2.2592580240923765</v>
      </c>
      <c r="V697" s="8">
        <f t="shared" si="97"/>
        <v>202.24898419930787</v>
      </c>
      <c r="W697" s="8">
        <f t="shared" si="98"/>
        <v>203.7937587121755</v>
      </c>
    </row>
    <row r="698" spans="14:23" x14ac:dyDescent="0.25">
      <c r="N698" s="8">
        <v>167</v>
      </c>
      <c r="O698" s="8">
        <f t="shared" si="90"/>
        <v>399.90322315143379</v>
      </c>
      <c r="P698" s="9">
        <f t="shared" si="91"/>
        <v>1</v>
      </c>
      <c r="Q698" s="10">
        <f t="shared" si="94"/>
        <v>2.2794589636415004</v>
      </c>
      <c r="R698" s="10">
        <f t="shared" si="95"/>
        <v>0.72800324693151142</v>
      </c>
      <c r="S698" s="9">
        <f t="shared" si="92"/>
        <v>1</v>
      </c>
      <c r="T698" s="10">
        <f t="shared" si="96"/>
        <v>2.2572912694320544</v>
      </c>
      <c r="U698" s="10">
        <f t="shared" si="93"/>
        <v>2.2572910921651013</v>
      </c>
      <c r="V698" s="8">
        <f t="shared" si="97"/>
        <v>202.30868398659928</v>
      </c>
      <c r="W698" s="8">
        <f t="shared" si="98"/>
        <v>203.85287792019344</v>
      </c>
    </row>
    <row r="699" spans="14:23" x14ac:dyDescent="0.25">
      <c r="N699" s="8">
        <v>167.5</v>
      </c>
      <c r="O699" s="8">
        <f t="shared" si="90"/>
        <v>400.15511933831311</v>
      </c>
      <c r="P699" s="9">
        <f t="shared" si="91"/>
        <v>1</v>
      </c>
      <c r="Q699" s="10">
        <f t="shared" si="94"/>
        <v>2.2775507301338189</v>
      </c>
      <c r="R699" s="10">
        <f t="shared" si="95"/>
        <v>0.72739380398401643</v>
      </c>
      <c r="S699" s="9">
        <f t="shared" si="92"/>
        <v>1</v>
      </c>
      <c r="T699" s="10">
        <f t="shared" si="96"/>
        <v>2.2554015934582234</v>
      </c>
      <c r="U699" s="10">
        <f t="shared" si="93"/>
        <v>2.2554016644262331</v>
      </c>
      <c r="V699" s="8">
        <f t="shared" si="97"/>
        <v>202.36607865487099</v>
      </c>
      <c r="W699" s="8">
        <f t="shared" si="98"/>
        <v>203.90971442642942</v>
      </c>
    </row>
    <row r="700" spans="14:23" x14ac:dyDescent="0.25">
      <c r="N700" s="8">
        <v>168</v>
      </c>
      <c r="O700" s="8">
        <f t="shared" si="90"/>
        <v>400.39712389714674</v>
      </c>
      <c r="P700" s="9">
        <f t="shared" si="91"/>
        <v>1</v>
      </c>
      <c r="Q700" s="10">
        <f t="shared" si="94"/>
        <v>2.2757200647104185</v>
      </c>
      <c r="R700" s="10">
        <f t="shared" si="95"/>
        <v>0.72680913437884331</v>
      </c>
      <c r="S700" s="9">
        <f t="shared" si="92"/>
        <v>1</v>
      </c>
      <c r="T700" s="10">
        <f t="shared" si="96"/>
        <v>2.2535887312205585</v>
      </c>
      <c r="U700" s="10">
        <f t="shared" si="93"/>
        <v>2.2535888916183309</v>
      </c>
      <c r="V700" s="8">
        <f t="shared" si="97"/>
        <v>202.42117426936881</v>
      </c>
      <c r="W700" s="8">
        <f t="shared" si="98"/>
        <v>203.96427423714488</v>
      </c>
    </row>
    <row r="701" spans="14:23" x14ac:dyDescent="0.25">
      <c r="N701" s="8">
        <v>168.5</v>
      </c>
      <c r="O701" s="8">
        <f t="shared" si="90"/>
        <v>400.629238262439</v>
      </c>
      <c r="P701" s="9">
        <f t="shared" si="91"/>
        <v>1</v>
      </c>
      <c r="Q701" s="10">
        <f t="shared" si="94"/>
        <v>2.2739666351129268</v>
      </c>
      <c r="R701" s="10">
        <f t="shared" si="95"/>
        <v>0.72624913200082264</v>
      </c>
      <c r="S701" s="9">
        <f t="shared" si="92"/>
        <v>1</v>
      </c>
      <c r="T701" s="10">
        <f t="shared" si="96"/>
        <v>2.2518523536918931</v>
      </c>
      <c r="U701" s="10">
        <f t="shared" si="93"/>
        <v>2.2518522894773825</v>
      </c>
      <c r="V701" s="8">
        <f t="shared" si="97"/>
        <v>202.4739766513992</v>
      </c>
      <c r="W701" s="8">
        <f t="shared" si="98"/>
        <v>204.0165631170342</v>
      </c>
    </row>
    <row r="702" spans="14:23" x14ac:dyDescent="0.25">
      <c r="N702" s="8">
        <v>169</v>
      </c>
      <c r="O702" s="8">
        <f t="shared" si="90"/>
        <v>400.85146384425525</v>
      </c>
      <c r="P702" s="9">
        <f t="shared" si="91"/>
        <v>1</v>
      </c>
      <c r="Q702" s="10">
        <f t="shared" si="94"/>
        <v>2.2722901234691273</v>
      </c>
      <c r="R702" s="10">
        <f t="shared" si="95"/>
        <v>0.72571369532937013</v>
      </c>
      <c r="S702" s="9">
        <f t="shared" si="92"/>
        <v>1</v>
      </c>
      <c r="T702" s="10">
        <f t="shared" si="96"/>
        <v>2.2501921460913121</v>
      </c>
      <c r="U702" s="10">
        <f t="shared" si="93"/>
        <v>2.2501920009574059</v>
      </c>
      <c r="V702" s="8">
        <f t="shared" si="97"/>
        <v>202.52449137906228</v>
      </c>
      <c r="W702" s="8">
        <f t="shared" si="98"/>
        <v>204.06658658995053</v>
      </c>
    </row>
    <row r="703" spans="14:23" x14ac:dyDescent="0.25">
      <c r="N703" s="8">
        <v>169.5</v>
      </c>
      <c r="O703" s="8">
        <f t="shared" si="90"/>
        <v>401.06380202395269</v>
      </c>
      <c r="P703" s="9">
        <f t="shared" si="91"/>
        <v>1</v>
      </c>
      <c r="Q703" s="10">
        <f t="shared" si="94"/>
        <v>2.2706902261880932</v>
      </c>
      <c r="R703" s="10">
        <f t="shared" si="95"/>
        <v>0.72520272740499525</v>
      </c>
      <c r="S703" s="9">
        <f t="shared" si="92"/>
        <v>1</v>
      </c>
      <c r="T703" s="10">
        <f t="shared" si="96"/>
        <v>2.2486078077803051</v>
      </c>
      <c r="U703" s="10">
        <f t="shared" si="93"/>
        <v>2.2486078658839972</v>
      </c>
      <c r="V703" s="8">
        <f t="shared" si="97"/>
        <v>202.57272378795466</v>
      </c>
      <c r="W703" s="8">
        <f t="shared" si="98"/>
        <v>204.11434993960194</v>
      </c>
    </row>
    <row r="704" spans="14:23" x14ac:dyDescent="0.25">
      <c r="N704" s="8">
        <v>170</v>
      </c>
      <c r="O704" s="8">
        <f t="shared" si="90"/>
        <v>401.26625415009181</v>
      </c>
      <c r="P704" s="9">
        <f t="shared" si="91"/>
        <v>1</v>
      </c>
      <c r="Q704" s="10">
        <f t="shared" si="94"/>
        <v>2.269166653860184</v>
      </c>
      <c r="R704" s="10">
        <f t="shared" si="95"/>
        <v>0.72471613579736172</v>
      </c>
      <c r="S704" s="9">
        <f t="shared" si="92"/>
        <v>1</v>
      </c>
      <c r="T704" s="10">
        <f t="shared" si="96"/>
        <v>2.2470990521637337</v>
      </c>
      <c r="U704" s="10">
        <f t="shared" si="93"/>
        <v>2.2470991834863225</v>
      </c>
      <c r="V704" s="8">
        <f t="shared" si="97"/>
        <v>202.61867897184132</v>
      </c>
      <c r="W704" s="8">
        <f t="shared" si="98"/>
        <v>204.15985821021664</v>
      </c>
    </row>
    <row r="705" spans="14:23" x14ac:dyDescent="0.25">
      <c r="N705" s="8">
        <v>170.5</v>
      </c>
      <c r="O705" s="8">
        <f t="shared" si="90"/>
        <v>401.45882153453209</v>
      </c>
      <c r="P705" s="9">
        <f t="shared" si="91"/>
        <v>1</v>
      </c>
      <c r="Q705" s="10">
        <f t="shared" si="94"/>
        <v>2.2677191311618206</v>
      </c>
      <c r="R705" s="10">
        <f t="shared" si="95"/>
        <v>0.72425383257487586</v>
      </c>
      <c r="S705" s="9">
        <f t="shared" si="92"/>
        <v>1</v>
      </c>
      <c r="T705" s="10">
        <f t="shared" si="96"/>
        <v>2.2456656065955358</v>
      </c>
      <c r="U705" s="10">
        <f t="shared" si="93"/>
        <v>2.2456655540211412</v>
      </c>
      <c r="V705" s="8">
        <f t="shared" si="97"/>
        <v>202.66236178329763</v>
      </c>
      <c r="W705" s="8">
        <f t="shared" si="98"/>
        <v>204.20311620717879</v>
      </c>
    </row>
    <row r="706" spans="14:23" x14ac:dyDescent="0.25">
      <c r="N706" s="8">
        <v>171</v>
      </c>
      <c r="O706" s="8">
        <f t="shared" si="90"/>
        <v>401.64150544871046</v>
      </c>
      <c r="P706" s="9">
        <f t="shared" si="91"/>
        <v>1</v>
      </c>
      <c r="Q706" s="10">
        <f t="shared" si="94"/>
        <v>2.2663473967650121</v>
      </c>
      <c r="R706" s="10">
        <f t="shared" si="95"/>
        <v>0.72381573427579138</v>
      </c>
      <c r="S706" s="9">
        <f t="shared" si="92"/>
        <v>1</v>
      </c>
      <c r="T706" s="10">
        <f t="shared" si="96"/>
        <v>2.2443072122891308</v>
      </c>
      <c r="U706" s="10">
        <f t="shared" si="93"/>
        <v>2.2443070934635387</v>
      </c>
      <c r="V706" s="8">
        <f t="shared" si="97"/>
        <v>202.70377683432096</v>
      </c>
      <c r="W706" s="8">
        <f t="shared" si="98"/>
        <v>204.24412849763422</v>
      </c>
    </row>
    <row r="707" spans="14:23" x14ac:dyDescent="0.25">
      <c r="N707" s="8">
        <v>171.5</v>
      </c>
      <c r="O707" s="8">
        <f t="shared" si="90"/>
        <v>401.81430712010138</v>
      </c>
      <c r="P707" s="9">
        <f t="shared" si="91"/>
        <v>1</v>
      </c>
      <c r="Q707" s="10">
        <f t="shared" si="94"/>
        <v>2.2650512032515868</v>
      </c>
      <c r="R707" s="10">
        <f t="shared" si="95"/>
        <v>0.72340176188081673</v>
      </c>
      <c r="S707" s="9">
        <f t="shared" si="92"/>
        <v>1</v>
      </c>
      <c r="T707" s="10">
        <f t="shared" si="96"/>
        <v>2.243023624232483</v>
      </c>
      <c r="U707" s="10">
        <f t="shared" si="93"/>
        <v>2.2430236718037628</v>
      </c>
      <c r="V707" s="8">
        <f t="shared" si="97"/>
        <v>202.74292849691201</v>
      </c>
      <c r="W707" s="8">
        <f t="shared" si="98"/>
        <v>204.28289941106596</v>
      </c>
    </row>
    <row r="708" spans="14:23" x14ac:dyDescent="0.25">
      <c r="N708" s="8">
        <v>172</v>
      </c>
      <c r="O708" s="8">
        <f t="shared" ref="O708:O771" si="99">$B$30+PI()/4*($B$5/10)^2*($B$31+$B$7/10-$B$31*COS(RADIANS(N708))-SQRT(($B$7/10)^2-($B$31*SIN(RADIANS(N708)))^2))</f>
        <v>401.97722772885965</v>
      </c>
      <c r="P708" s="9">
        <f t="shared" ref="P708:P724" si="100">IF(N708&gt;$B$36,1-EXP(-$B$16*((N708-$B$36)/$B$35)^($B$17+1)),0)</f>
        <v>1</v>
      </c>
      <c r="Q708" s="10">
        <f t="shared" si="94"/>
        <v>2.2638303170320748</v>
      </c>
      <c r="R708" s="10">
        <f t="shared" si="95"/>
        <v>0.72301184078720826</v>
      </c>
      <c r="S708" s="9">
        <f t="shared" ref="S708:S724" si="101">IF(N708&lt;=$B$38,IF(N708&gt;$B$37,1-EXP(-$B$16*((N708-$B$37)/$B$35)^($B$17+1)),0),$B$22+(1-$B$22)*(1-EXP(-(N708-$B$38)/$B$23)))</f>
        <v>1</v>
      </c>
      <c r="T708" s="10">
        <f t="shared" si="96"/>
        <v>2.2418146111077757</v>
      </c>
      <c r="U708" s="10">
        <f t="shared" ref="U708:U771" si="102">T708+IF(N708&gt;$B$38,$B$24*EXP(-(N708-$B$38)/$B$26)*SIN(2*PI()*(N708-$B$38)/$B$39),0)</f>
        <v>2.2418147186256179</v>
      </c>
      <c r="V708" s="8">
        <f t="shared" si="97"/>
        <v>202.77982090362596</v>
      </c>
      <c r="W708" s="8">
        <f t="shared" si="98"/>
        <v>204.31943303984016</v>
      </c>
    </row>
    <row r="709" spans="14:23" x14ac:dyDescent="0.25">
      <c r="N709" s="8">
        <v>172.5</v>
      </c>
      <c r="O709" s="8">
        <f t="shared" si="99"/>
        <v>402.13026840464664</v>
      </c>
      <c r="P709" s="9">
        <f t="shared" si="100"/>
        <v>1</v>
      </c>
      <c r="Q709" s="10">
        <f t="shared" ref="Q709:Q772" si="103">Q708*(O708/O709)^$B$9+10*($B$9-1)*$B$33*(P709-P708)/((O708+O709)/2)</f>
        <v>2.2626845182692006</v>
      </c>
      <c r="R709" s="10">
        <f t="shared" ref="R709:R724" si="104">R708*(O708/O709)^$B$9</f>
        <v>0.72264590078433588</v>
      </c>
      <c r="S709" s="9">
        <f t="shared" si="101"/>
        <v>1</v>
      </c>
      <c r="T709" s="10">
        <f t="shared" ref="T709:T772" si="105">T708*(O708/O709)^$B$9+10*($B$9-1)*$B$33*(S709-S708)/((O708+O709)/2)</f>
        <v>2.2406799552156467</v>
      </c>
      <c r="U709" s="10">
        <f t="shared" si="102"/>
        <v>2.2406799121713727</v>
      </c>
      <c r="V709" s="8">
        <f t="shared" ref="V709:V724" si="106">V708+(Q708+Q709)/2*(O709-O708)/10</f>
        <v>202.81445794809369</v>
      </c>
      <c r="W709" s="8">
        <f t="shared" ref="W709:W724" si="107">W708+(T708+T709)/2*(O709-O708)/10</f>
        <v>204.35373323972226</v>
      </c>
    </row>
    <row r="710" spans="14:23" x14ac:dyDescent="0.25">
      <c r="N710" s="8">
        <v>173</v>
      </c>
      <c r="O710" s="8">
        <f t="shared" si="99"/>
        <v>402.27343022363709</v>
      </c>
      <c r="P710" s="9">
        <f t="shared" si="100"/>
        <v>1</v>
      </c>
      <c r="Q710" s="10">
        <f t="shared" si="103"/>
        <v>2.2616136008059624</v>
      </c>
      <c r="R710" s="10">
        <f t="shared" si="104"/>
        <v>0.722303876030713</v>
      </c>
      <c r="S710" s="9">
        <f t="shared" si="101"/>
        <v>1</v>
      </c>
      <c r="T710" s="10">
        <f t="shared" si="105"/>
        <v>2.2396194524039674</v>
      </c>
      <c r="U710" s="10">
        <f t="shared" si="102"/>
        <v>2.2396193551178007</v>
      </c>
      <c r="V710" s="8">
        <f t="shared" si="106"/>
        <v>202.84684328551279</v>
      </c>
      <c r="W710" s="8">
        <f t="shared" si="107"/>
        <v>204.38580363036309</v>
      </c>
    </row>
    <row r="711" spans="14:23" x14ac:dyDescent="0.25">
      <c r="N711" s="8">
        <v>173.5</v>
      </c>
      <c r="O711" s="8">
        <f t="shared" si="99"/>
        <v>402.40671420570891</v>
      </c>
      <c r="P711" s="9">
        <f t="shared" si="100"/>
        <v>1</v>
      </c>
      <c r="Q711" s="10">
        <f t="shared" si="103"/>
        <v>2.2606173720982423</v>
      </c>
      <c r="R711" s="10">
        <f t="shared" si="104"/>
        <v>0.72198570503247395</v>
      </c>
      <c r="S711" s="9">
        <f t="shared" si="101"/>
        <v>1</v>
      </c>
      <c r="T711" s="10">
        <f t="shared" si="105"/>
        <v>2.238632912001107</v>
      </c>
      <c r="U711" s="10">
        <f t="shared" si="102"/>
        <v>2.2386329509491767</v>
      </c>
      <c r="V711" s="8">
        <f t="shared" si="106"/>
        <v>202.87698033310866</v>
      </c>
      <c r="W711" s="8">
        <f t="shared" si="107"/>
        <v>204.41564759575562</v>
      </c>
    </row>
    <row r="712" spans="14:23" x14ac:dyDescent="0.25">
      <c r="N712" s="8">
        <v>174</v>
      </c>
      <c r="O712" s="8">
        <f t="shared" si="99"/>
        <v>402.53012131181453</v>
      </c>
      <c r="P712" s="9">
        <f t="shared" si="100"/>
        <v>1</v>
      </c>
      <c r="Q712" s="10">
        <f t="shared" si="103"/>
        <v>2.259695653151927</v>
      </c>
      <c r="R712" s="10">
        <f t="shared" si="104"/>
        <v>0.72169133062329227</v>
      </c>
      <c r="S712" s="9">
        <f t="shared" si="101"/>
        <v>1</v>
      </c>
      <c r="T712" s="10">
        <f t="shared" si="105"/>
        <v>2.2377201567536673</v>
      </c>
      <c r="U712" s="10">
        <f t="shared" si="102"/>
        <v>2.2377202447818312</v>
      </c>
      <c r="V712" s="8">
        <f t="shared" si="106"/>
        <v>202.90487227056553</v>
      </c>
      <c r="W712" s="8">
        <f t="shared" si="107"/>
        <v>204.44326828466171</v>
      </c>
    </row>
    <row r="713" spans="14:23" x14ac:dyDescent="0.25">
      <c r="N713" s="8">
        <v>174.5</v>
      </c>
      <c r="O713" s="8">
        <f t="shared" si="99"/>
        <v>402.6436524415347</v>
      </c>
      <c r="P713" s="9">
        <f t="shared" si="100"/>
        <v>1</v>
      </c>
      <c r="Q713" s="10">
        <f t="shared" si="103"/>
        <v>2.2588482784644963</v>
      </c>
      <c r="R713" s="10">
        <f t="shared" si="104"/>
        <v>0.721420699945725</v>
      </c>
      <c r="S713" s="9">
        <f t="shared" si="101"/>
        <v>1</v>
      </c>
      <c r="T713" s="10">
        <f t="shared" si="105"/>
        <v>2.2368810227686367</v>
      </c>
      <c r="U713" s="10">
        <f t="shared" si="102"/>
        <v>2.2368809875269657</v>
      </c>
      <c r="V713" s="8">
        <f t="shared" si="106"/>
        <v>202.93052204042786</v>
      </c>
      <c r="W713" s="8">
        <f t="shared" si="107"/>
        <v>204.46866861100963</v>
      </c>
    </row>
    <row r="714" spans="14:23" x14ac:dyDescent="0.25">
      <c r="N714" s="8">
        <v>175</v>
      </c>
      <c r="O714" s="8">
        <f t="shared" si="99"/>
        <v>402.74730843081329</v>
      </c>
      <c r="P714" s="9">
        <f t="shared" si="100"/>
        <v>1</v>
      </c>
      <c r="Q714" s="10">
        <f t="shared" si="103"/>
        <v>2.2580750959710616</v>
      </c>
      <c r="R714" s="10">
        <f t="shared" si="104"/>
        <v>0.72117376443397896</v>
      </c>
      <c r="S714" s="9">
        <f t="shared" si="101"/>
        <v>1</v>
      </c>
      <c r="T714" s="10">
        <f t="shared" si="105"/>
        <v>2.2361153594599541</v>
      </c>
      <c r="U714" s="10">
        <f t="shared" si="102"/>
        <v>2.2361152798087778</v>
      </c>
      <c r="V714" s="8">
        <f t="shared" si="106"/>
        <v>202.95393234847148</v>
      </c>
      <c r="W714" s="8">
        <f t="shared" si="107"/>
        <v>204.4918512542616</v>
      </c>
    </row>
    <row r="715" spans="14:23" x14ac:dyDescent="0.25">
      <c r="N715" s="8">
        <v>175.5</v>
      </c>
      <c r="O715" s="8">
        <f t="shared" si="99"/>
        <v>402.84109004987437</v>
      </c>
      <c r="P715" s="9">
        <f t="shared" si="100"/>
        <v>1</v>
      </c>
      <c r="Q715" s="10">
        <f t="shared" si="103"/>
        <v>2.2573759669948137</v>
      </c>
      <c r="R715" s="10">
        <f t="shared" si="104"/>
        <v>0.72095047979808491</v>
      </c>
      <c r="S715" s="9">
        <f t="shared" si="101"/>
        <v>1</v>
      </c>
      <c r="T715" s="10">
        <f t="shared" si="105"/>
        <v>2.2354230294994402</v>
      </c>
      <c r="U715" s="10">
        <f t="shared" si="102"/>
        <v>2.2354230613874226</v>
      </c>
      <c r="V715" s="8">
        <f t="shared" si="106"/>
        <v>202.97510566404529</v>
      </c>
      <c r="W715" s="8">
        <f t="shared" si="107"/>
        <v>204.51281865975213</v>
      </c>
    </row>
    <row r="716" spans="14:23" x14ac:dyDescent="0.25">
      <c r="N716" s="8">
        <v>176</v>
      </c>
      <c r="O716" s="8">
        <f t="shared" si="99"/>
        <v>402.92499800131992</v>
      </c>
      <c r="P716" s="9">
        <f t="shared" si="100"/>
        <v>1</v>
      </c>
      <c r="Q716" s="10">
        <f t="shared" si="103"/>
        <v>2.256750766201872</v>
      </c>
      <c r="R716" s="10">
        <f t="shared" si="104"/>
        <v>0.72075080600947738</v>
      </c>
      <c r="S716" s="9">
        <f t="shared" si="101"/>
        <v>1</v>
      </c>
      <c r="T716" s="10">
        <f t="shared" si="105"/>
        <v>2.2348039087720837</v>
      </c>
      <c r="U716" s="10">
        <f t="shared" si="102"/>
        <v>2.2348039808434486</v>
      </c>
      <c r="V716" s="8">
        <f t="shared" si="106"/>
        <v>202.9940442203827</v>
      </c>
      <c r="W716" s="8">
        <f t="shared" si="107"/>
        <v>204.53157303899647</v>
      </c>
    </row>
    <row r="717" spans="14:23" x14ac:dyDescent="0.25">
      <c r="N717" s="8">
        <v>176.5</v>
      </c>
      <c r="O717" s="8">
        <f t="shared" si="99"/>
        <v>402.99903291840974</v>
      </c>
      <c r="P717" s="9">
        <f t="shared" si="100"/>
        <v>1</v>
      </c>
      <c r="Q717" s="10">
        <f t="shared" si="103"/>
        <v>2.2561993815604953</v>
      </c>
      <c r="R717" s="10">
        <f t="shared" si="104"/>
        <v>0.72057470728796802</v>
      </c>
      <c r="S717" s="9">
        <f t="shared" si="101"/>
        <v>1</v>
      </c>
      <c r="T717" s="10">
        <f t="shared" si="105"/>
        <v>2.2342578863356497</v>
      </c>
      <c r="U717" s="10">
        <f t="shared" si="102"/>
        <v>2.2342578574822101</v>
      </c>
      <c r="V717" s="8">
        <f t="shared" si="106"/>
        <v>203.01075001488371</v>
      </c>
      <c r="W717" s="8">
        <f t="shared" si="107"/>
        <v>204.54811636996996</v>
      </c>
    </row>
    <row r="718" spans="14:23" x14ac:dyDescent="0.25">
      <c r="N718" s="8">
        <v>177</v>
      </c>
      <c r="O718" s="8">
        <f t="shared" si="99"/>
        <v>403.06319536352288</v>
      </c>
      <c r="P718" s="9">
        <f t="shared" si="100"/>
        <v>1</v>
      </c>
      <c r="Q718" s="10">
        <f t="shared" si="103"/>
        <v>2.255721714304638</v>
      </c>
      <c r="R718" s="10">
        <f t="shared" si="104"/>
        <v>0.72042215209010596</v>
      </c>
      <c r="S718" s="9">
        <f t="shared" si="101"/>
        <v>1</v>
      </c>
      <c r="T718" s="10">
        <f t="shared" si="105"/>
        <v>2.233784864384591</v>
      </c>
      <c r="U718" s="10">
        <f t="shared" si="102"/>
        <v>2.2337847991717235</v>
      </c>
      <c r="V718" s="8">
        <f t="shared" si="106"/>
        <v>203.02522480936713</v>
      </c>
      <c r="W718" s="8">
        <f t="shared" si="107"/>
        <v>204.56245039735776</v>
      </c>
    </row>
    <row r="719" spans="14:23" x14ac:dyDescent="0.25">
      <c r="N719" s="8">
        <v>177.5</v>
      </c>
      <c r="O719" s="8">
        <f t="shared" si="99"/>
        <v>403.11748582679905</v>
      </c>
      <c r="P719" s="9">
        <f t="shared" si="100"/>
        <v>1</v>
      </c>
      <c r="Q719" s="10">
        <f t="shared" si="103"/>
        <v>2.2553176789018488</v>
      </c>
      <c r="R719" s="10">
        <f t="shared" si="104"/>
        <v>0.72029311309892541</v>
      </c>
      <c r="S719" s="9">
        <f t="shared" si="101"/>
        <v>1</v>
      </c>
      <c r="T719" s="10">
        <f t="shared" si="105"/>
        <v>2.2333847582182575</v>
      </c>
      <c r="U719" s="10">
        <f t="shared" si="102"/>
        <v>2.2333847843259291</v>
      </c>
      <c r="V719" s="8">
        <f t="shared" si="106"/>
        <v>203.03747013029283</v>
      </c>
      <c r="W719" s="8">
        <f t="shared" si="107"/>
        <v>204.57457663277498</v>
      </c>
    </row>
    <row r="720" spans="14:23" x14ac:dyDescent="0.25">
      <c r="N720" s="8">
        <v>178</v>
      </c>
      <c r="O720" s="8">
        <f t="shared" si="99"/>
        <v>403.16190472496294</v>
      </c>
      <c r="P720" s="9">
        <f t="shared" si="100"/>
        <v>1</v>
      </c>
      <c r="Q720" s="10">
        <f t="shared" si="103"/>
        <v>2.2549872030254687</v>
      </c>
      <c r="R720" s="10">
        <f t="shared" si="104"/>
        <v>0.72018756721506672</v>
      </c>
      <c r="S720" s="9">
        <f t="shared" si="101"/>
        <v>1</v>
      </c>
      <c r="T720" s="10">
        <f t="shared" si="105"/>
        <v>2.2330574962133656</v>
      </c>
      <c r="U720" s="10">
        <f t="shared" si="102"/>
        <v>2.2330575552204084</v>
      </c>
      <c r="V720" s="8">
        <f t="shared" si="106"/>
        <v>203.04748726895474</v>
      </c>
      <c r="W720" s="8">
        <f t="shared" si="107"/>
        <v>204.58449635495771</v>
      </c>
    </row>
    <row r="721" spans="14:23" x14ac:dyDescent="0.25">
      <c r="N721" s="8">
        <v>178.5</v>
      </c>
      <c r="O721" s="8">
        <f t="shared" si="99"/>
        <v>403.1964524003281</v>
      </c>
      <c r="P721" s="9">
        <f t="shared" si="100"/>
        <v>1</v>
      </c>
      <c r="Q721" s="10">
        <f t="shared" si="103"/>
        <v>2.2547302275311387</v>
      </c>
      <c r="R721" s="10">
        <f t="shared" si="104"/>
        <v>0.72010549554927328</v>
      </c>
      <c r="S721" s="9">
        <f t="shared" si="101"/>
        <v>1</v>
      </c>
      <c r="T721" s="10">
        <f t="shared" si="105"/>
        <v>2.232803019800734</v>
      </c>
      <c r="U721" s="10">
        <f t="shared" si="102"/>
        <v>2.2328029961775355</v>
      </c>
      <c r="V721" s="8">
        <f t="shared" si="106"/>
        <v>203.05527728164373</v>
      </c>
      <c r="W721" s="8">
        <f t="shared" si="107"/>
        <v>204.59221060992436</v>
      </c>
    </row>
    <row r="722" spans="14:23" x14ac:dyDescent="0.25">
      <c r="N722" s="8">
        <v>179</v>
      </c>
      <c r="O722" s="8">
        <f t="shared" si="99"/>
        <v>403.22112911998289</v>
      </c>
      <c r="P722" s="9">
        <f t="shared" si="100"/>
        <v>1</v>
      </c>
      <c r="Q722" s="10">
        <f t="shared" si="103"/>
        <v>2.2545467064375924</v>
      </c>
      <c r="R722" s="10">
        <f t="shared" si="104"/>
        <v>0.72004688341625689</v>
      </c>
      <c r="S722" s="9">
        <f t="shared" si="101"/>
        <v>1</v>
      </c>
      <c r="T722" s="10">
        <f t="shared" si="105"/>
        <v>2.2326212834462629</v>
      </c>
      <c r="U722" s="10">
        <f t="shared" si="102"/>
        <v>2.2326212300544825</v>
      </c>
      <c r="V722" s="8">
        <f t="shared" si="106"/>
        <v>203.06084098978098</v>
      </c>
      <c r="W722" s="8">
        <f t="shared" si="107"/>
        <v>204.59772021110791</v>
      </c>
    </row>
    <row r="723" spans="14:23" x14ac:dyDescent="0.25">
      <c r="N723" s="8">
        <v>179.5</v>
      </c>
      <c r="O723" s="8">
        <f t="shared" si="99"/>
        <v>403.23593507515733</v>
      </c>
      <c r="P723" s="9">
        <f t="shared" si="100"/>
        <v>1</v>
      </c>
      <c r="Q723" s="10">
        <f t="shared" si="103"/>
        <v>2.2544366069117223</v>
      </c>
      <c r="R723" s="10">
        <f t="shared" si="104"/>
        <v>0.72001172032992922</v>
      </c>
      <c r="S723" s="9">
        <f t="shared" si="101"/>
        <v>1</v>
      </c>
      <c r="T723" s="10">
        <f t="shared" si="105"/>
        <v>2.2325122546361462</v>
      </c>
      <c r="U723" s="10">
        <f t="shared" si="102"/>
        <v>2.2325122760112999</v>
      </c>
      <c r="V723" s="8">
        <f t="shared" si="106"/>
        <v>203.06417898002198</v>
      </c>
      <c r="W723" s="8">
        <f t="shared" si="107"/>
        <v>204.60102573945855</v>
      </c>
    </row>
    <row r="724" spans="14:23" x14ac:dyDescent="0.25">
      <c r="N724" s="8">
        <v>180</v>
      </c>
      <c r="O724" s="8">
        <f t="shared" si="99"/>
        <v>403.24087038076988</v>
      </c>
      <c r="P724" s="9">
        <f t="shared" si="100"/>
        <v>1</v>
      </c>
      <c r="Q724" s="10">
        <f t="shared" si="103"/>
        <v>2.2543999092579297</v>
      </c>
      <c r="R724" s="10">
        <f t="shared" si="104"/>
        <v>0.7199999999999992</v>
      </c>
      <c r="S724" s="9">
        <f t="shared" si="101"/>
        <v>1</v>
      </c>
      <c r="T724" s="10">
        <f t="shared" si="105"/>
        <v>2.2324759138663253</v>
      </c>
      <c r="U724" s="10">
        <f t="shared" si="102"/>
        <v>2.2324759621772059</v>
      </c>
      <c r="V724" s="8">
        <f t="shared" si="106"/>
        <v>203.06529160433018</v>
      </c>
      <c r="W724" s="8">
        <f t="shared" si="107"/>
        <v>204.60212754351696</v>
      </c>
    </row>
  </sheetData>
  <mergeCells count="3">
    <mergeCell ref="A1:K1"/>
    <mergeCell ref="A2:K2"/>
    <mergeCell ref="B50:D50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25"/>
  <sheetViews>
    <sheetView showGridLines="0" zoomScale="40" zoomScaleNormal="40" workbookViewId="0">
      <pane ySplit="3" topLeftCell="A4" activePane="bottomLeft" state="frozen"/>
      <selection pane="bottomLeft" sqref="A1:K1"/>
    </sheetView>
  </sheetViews>
  <sheetFormatPr baseColWidth="10" defaultColWidth="8.7109375" defaultRowHeight="15" x14ac:dyDescent="0.25"/>
  <cols>
    <col min="1" max="1" width="44" customWidth="1"/>
    <col min="2" max="2" width="12" customWidth="1"/>
    <col min="3" max="3" width="10" customWidth="1"/>
    <col min="14" max="21" width="11" customWidth="1"/>
  </cols>
  <sheetData>
    <row r="1" spans="1:21" ht="25.5" customHeight="1" x14ac:dyDescent="0.25">
      <c r="A1" s="4" t="s">
        <v>74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21" ht="57.75" customHeight="1" x14ac:dyDescent="0.25">
      <c r="A2" s="3" t="s">
        <v>75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21" ht="43.5" customHeight="1" x14ac:dyDescent="0.25">
      <c r="A4" s="7" t="s">
        <v>76</v>
      </c>
      <c r="N4" s="6" t="s">
        <v>77</v>
      </c>
      <c r="O4" s="6" t="s">
        <v>78</v>
      </c>
      <c r="P4" s="6" t="s">
        <v>79</v>
      </c>
      <c r="Q4" s="6" t="s">
        <v>80</v>
      </c>
      <c r="R4" s="6" t="s">
        <v>81</v>
      </c>
      <c r="S4" s="6" t="s">
        <v>82</v>
      </c>
      <c r="T4" s="6" t="s">
        <v>83</v>
      </c>
      <c r="U4" s="6" t="s">
        <v>84</v>
      </c>
    </row>
    <row r="5" spans="1:21" x14ac:dyDescent="0.25">
      <c r="A5" s="11" t="s">
        <v>85</v>
      </c>
      <c r="B5" s="12">
        <v>30</v>
      </c>
      <c r="C5" s="11" t="s">
        <v>36</v>
      </c>
      <c r="N5" s="8">
        <f>-Presion_cilindro!N4</f>
        <v>180</v>
      </c>
      <c r="O5" s="9">
        <f>IF(Presion_cilindro!N4&gt;$B$12,1-EXP(-Presion_cilindro!$B$16*((Presion_cilindro!N4-$B$12)/Presion_cilindro!$B$35)^(Presion_cilindro!$B$17+1)),0)</f>
        <v>0</v>
      </c>
      <c r="P5" s="10">
        <f>Presion_cilindro!$B$32</f>
        <v>0.72</v>
      </c>
      <c r="Q5" s="9">
        <f>IF(OR($B$9=0,Presion_cilindro!N4&lt;=$B$15),IF(Presion_cilindro!N4&gt;$B$13,1-EXP(-Presion_cilindro!$B$16*((Presion_cilindro!N4-$B$13)/Presion_cilindro!$B$35)^(Presion_cilindro!$B$17+1)),0),$B$8+(1-$B$8)*(1-EXP(-(Presion_cilindro!N4-$B$15)/Presion_cilindro!$B$23)))</f>
        <v>0</v>
      </c>
      <c r="R5" s="10">
        <f>Presion_cilindro!$B$32</f>
        <v>0.72</v>
      </c>
      <c r="S5" s="10">
        <f>R5+IF(AND($B$9=1,Presion_cilindro!N4&gt;$B$15),Presion_cilindro!$B$24*2.5*EXP(-(Presion_cilindro!N4-$B$15)/Presion_cilindro!$B$26)*SIN(2*PI()*(Presion_cilindro!N4-$B$15)/Presion_cilindro!$B$39),0)</f>
        <v>0.72</v>
      </c>
      <c r="T5" s="9">
        <f>IF(Presion_cilindro!N4&gt;$B$14,1-EXP(-Presion_cilindro!$B$16*((Presion_cilindro!N4-$B$14)/Presion_cilindro!$B$35)^(Presion_cilindro!$B$17+1)),0)</f>
        <v>0</v>
      </c>
      <c r="U5" s="10">
        <f>Presion_cilindro!$B$32</f>
        <v>0.72</v>
      </c>
    </row>
    <row r="6" spans="1:21" x14ac:dyDescent="0.25">
      <c r="A6" s="11" t="s">
        <v>86</v>
      </c>
      <c r="B6" s="12">
        <v>50</v>
      </c>
      <c r="C6" s="11" t="s">
        <v>36</v>
      </c>
      <c r="N6" s="8">
        <f>-Presion_cilindro!N5</f>
        <v>179.5</v>
      </c>
      <c r="O6" s="9">
        <f>IF(Presion_cilindro!N5&gt;$B$12,1-EXP(-Presion_cilindro!$B$16*((Presion_cilindro!N5-$B$12)/Presion_cilindro!$B$35)^(Presion_cilindro!$B$17+1)),0)</f>
        <v>0</v>
      </c>
      <c r="P6" s="10">
        <f>P5*(Presion_cilindro!O4/Presion_cilindro!O5)^Presion_cilindro!$B$9+10*(Presion_cilindro!$B$9-1)*Presion_cilindro!$B$33*(O6-O5)/((Presion_cilindro!O4+Presion_cilindro!O5)/2)</f>
        <v>0.72001172032992988</v>
      </c>
      <c r="Q6" s="9">
        <f>IF(OR($B$9=0,Presion_cilindro!N5&lt;=$B$15),IF(Presion_cilindro!N5&gt;$B$13,1-EXP(-Presion_cilindro!$B$16*((Presion_cilindro!N5-$B$13)/Presion_cilindro!$B$35)^(Presion_cilindro!$B$17+1)),0),$B$8+(1-$B$8)*(1-EXP(-(Presion_cilindro!N5-$B$15)/Presion_cilindro!$B$23)))</f>
        <v>0</v>
      </c>
      <c r="R6" s="10">
        <f>R5*(Presion_cilindro!O4/Presion_cilindro!O5)^Presion_cilindro!$B$9+10*(Presion_cilindro!$B$9-1)*Presion_cilindro!$B$33*(Q6-Q5)/((Presion_cilindro!O4+Presion_cilindro!O5)/2)</f>
        <v>0.72001172032992988</v>
      </c>
      <c r="S6" s="10">
        <f>R6+IF(AND($B$9=1,Presion_cilindro!N5&gt;$B$15),Presion_cilindro!$B$24*2.5*EXP(-(Presion_cilindro!N5-$B$15)/Presion_cilindro!$B$26)*SIN(2*PI()*(Presion_cilindro!N5-$B$15)/Presion_cilindro!$B$39),0)</f>
        <v>0.72001172032992988</v>
      </c>
      <c r="T6" s="9">
        <f>IF(Presion_cilindro!N5&gt;$B$14,1-EXP(-Presion_cilindro!$B$16*((Presion_cilindro!N5-$B$14)/Presion_cilindro!$B$35)^(Presion_cilindro!$B$17+1)),0)</f>
        <v>0</v>
      </c>
      <c r="U6" s="10">
        <f>U5*(Presion_cilindro!O4/Presion_cilindro!O5)^Presion_cilindro!$B$9+10*(Presion_cilindro!$B$9-1)*Presion_cilindro!$B$33*(T6-T5)/((Presion_cilindro!O4+Presion_cilindro!O5)/2)</f>
        <v>0.72001172032992988</v>
      </c>
    </row>
    <row r="7" spans="1:21" x14ac:dyDescent="0.25">
      <c r="A7" s="11" t="s">
        <v>87</v>
      </c>
      <c r="B7" s="12">
        <v>-10</v>
      </c>
      <c r="C7" s="11" t="s">
        <v>36</v>
      </c>
      <c r="N7" s="8">
        <f>-Presion_cilindro!N6</f>
        <v>179</v>
      </c>
      <c r="O7" s="9">
        <f>IF(Presion_cilindro!N6&gt;$B$12,1-EXP(-Presion_cilindro!$B$16*((Presion_cilindro!N6-$B$12)/Presion_cilindro!$B$35)^(Presion_cilindro!$B$17+1)),0)</f>
        <v>0</v>
      </c>
      <c r="P7" s="10">
        <f>P6*(Presion_cilindro!O5/Presion_cilindro!O6)^Presion_cilindro!$B$9+10*(Presion_cilindro!$B$9-1)*Presion_cilindro!$B$33*(O7-O6)/((Presion_cilindro!O5+Presion_cilindro!O6)/2)</f>
        <v>0.72004688341625767</v>
      </c>
      <c r="Q7" s="9">
        <f>IF(OR($B$9=0,Presion_cilindro!N6&lt;=$B$15),IF(Presion_cilindro!N6&gt;$B$13,1-EXP(-Presion_cilindro!$B$16*((Presion_cilindro!N6-$B$13)/Presion_cilindro!$B$35)^(Presion_cilindro!$B$17+1)),0),$B$8+(1-$B$8)*(1-EXP(-(Presion_cilindro!N6-$B$15)/Presion_cilindro!$B$23)))</f>
        <v>0</v>
      </c>
      <c r="R7" s="10">
        <f>R6*(Presion_cilindro!O5/Presion_cilindro!O6)^Presion_cilindro!$B$9+10*(Presion_cilindro!$B$9-1)*Presion_cilindro!$B$33*(Q7-Q6)/((Presion_cilindro!O5+Presion_cilindro!O6)/2)</f>
        <v>0.72004688341625767</v>
      </c>
      <c r="S7" s="10">
        <f>R7+IF(AND($B$9=1,Presion_cilindro!N6&gt;$B$15),Presion_cilindro!$B$24*2.5*EXP(-(Presion_cilindro!N6-$B$15)/Presion_cilindro!$B$26)*SIN(2*PI()*(Presion_cilindro!N6-$B$15)/Presion_cilindro!$B$39),0)</f>
        <v>0.72004688341625767</v>
      </c>
      <c r="T7" s="9">
        <f>IF(Presion_cilindro!N6&gt;$B$14,1-EXP(-Presion_cilindro!$B$16*((Presion_cilindro!N6-$B$14)/Presion_cilindro!$B$35)^(Presion_cilindro!$B$17+1)),0)</f>
        <v>0</v>
      </c>
      <c r="U7" s="10">
        <f>U6*(Presion_cilindro!O5/Presion_cilindro!O6)^Presion_cilindro!$B$9+10*(Presion_cilindro!$B$9-1)*Presion_cilindro!$B$33*(T7-T6)/((Presion_cilindro!O5+Presion_cilindro!O6)/2)</f>
        <v>0.72004688341625767</v>
      </c>
    </row>
    <row r="8" spans="1:21" x14ac:dyDescent="0.25">
      <c r="A8" s="11" t="s">
        <v>88</v>
      </c>
      <c r="B8" s="13">
        <v>0.85</v>
      </c>
      <c r="C8" s="11" t="s">
        <v>19</v>
      </c>
      <c r="N8" s="8">
        <f>-Presion_cilindro!N7</f>
        <v>178.5</v>
      </c>
      <c r="O8" s="9">
        <f>IF(Presion_cilindro!N7&gt;$B$12,1-EXP(-Presion_cilindro!$B$16*((Presion_cilindro!N7-$B$12)/Presion_cilindro!$B$35)^(Presion_cilindro!$B$17+1)),0)</f>
        <v>0</v>
      </c>
      <c r="P8" s="10">
        <f>P7*(Presion_cilindro!O6/Presion_cilindro!O7)^Presion_cilindro!$B$9+10*(Presion_cilindro!$B$9-1)*Presion_cilindro!$B$33*(O8-O7)/((Presion_cilindro!O6+Presion_cilindro!O7)/2)</f>
        <v>0.72010549554927406</v>
      </c>
      <c r="Q8" s="9">
        <f>IF(OR($B$9=0,Presion_cilindro!N7&lt;=$B$15),IF(Presion_cilindro!N7&gt;$B$13,1-EXP(-Presion_cilindro!$B$16*((Presion_cilindro!N7-$B$13)/Presion_cilindro!$B$35)^(Presion_cilindro!$B$17+1)),0),$B$8+(1-$B$8)*(1-EXP(-(Presion_cilindro!N7-$B$15)/Presion_cilindro!$B$23)))</f>
        <v>0</v>
      </c>
      <c r="R8" s="10">
        <f>R7*(Presion_cilindro!O6/Presion_cilindro!O7)^Presion_cilindro!$B$9+10*(Presion_cilindro!$B$9-1)*Presion_cilindro!$B$33*(Q8-Q7)/((Presion_cilindro!O6+Presion_cilindro!O7)/2)</f>
        <v>0.72010549554927406</v>
      </c>
      <c r="S8" s="10">
        <f>R8+IF(AND($B$9=1,Presion_cilindro!N7&gt;$B$15),Presion_cilindro!$B$24*2.5*EXP(-(Presion_cilindro!N7-$B$15)/Presion_cilindro!$B$26)*SIN(2*PI()*(Presion_cilindro!N7-$B$15)/Presion_cilindro!$B$39),0)</f>
        <v>0.72010549554927406</v>
      </c>
      <c r="T8" s="9">
        <f>IF(Presion_cilindro!N7&gt;$B$14,1-EXP(-Presion_cilindro!$B$16*((Presion_cilindro!N7-$B$14)/Presion_cilindro!$B$35)^(Presion_cilindro!$B$17+1)),0)</f>
        <v>0</v>
      </c>
      <c r="U8" s="10">
        <f>U7*(Presion_cilindro!O6/Presion_cilindro!O7)^Presion_cilindro!$B$9+10*(Presion_cilindro!$B$9-1)*Presion_cilindro!$B$33*(T8-T7)/((Presion_cilindro!O6+Presion_cilindro!O7)/2)</f>
        <v>0.72010549554927406</v>
      </c>
    </row>
    <row r="9" spans="1:21" x14ac:dyDescent="0.25">
      <c r="A9" s="11" t="s">
        <v>89</v>
      </c>
      <c r="B9" s="12">
        <v>1</v>
      </c>
      <c r="C9" s="11" t="s">
        <v>19</v>
      </c>
      <c r="N9" s="8">
        <f>-Presion_cilindro!N8</f>
        <v>178</v>
      </c>
      <c r="O9" s="9">
        <f>IF(Presion_cilindro!N8&gt;$B$12,1-EXP(-Presion_cilindro!$B$16*((Presion_cilindro!N8-$B$12)/Presion_cilindro!$B$35)^(Presion_cilindro!$B$17+1)),0)</f>
        <v>0</v>
      </c>
      <c r="P9" s="10">
        <f>P8*(Presion_cilindro!O7/Presion_cilindro!O8)^Presion_cilindro!$B$9+10*(Presion_cilindro!$B$9-1)*Presion_cilindro!$B$33*(O9-O8)/((Presion_cilindro!O7+Presion_cilindro!O8)/2)</f>
        <v>0.72018756721506749</v>
      </c>
      <c r="Q9" s="9">
        <f>IF(OR($B$9=0,Presion_cilindro!N8&lt;=$B$15),IF(Presion_cilindro!N8&gt;$B$13,1-EXP(-Presion_cilindro!$B$16*((Presion_cilindro!N8-$B$13)/Presion_cilindro!$B$35)^(Presion_cilindro!$B$17+1)),0),$B$8+(1-$B$8)*(1-EXP(-(Presion_cilindro!N8-$B$15)/Presion_cilindro!$B$23)))</f>
        <v>0</v>
      </c>
      <c r="R9" s="10">
        <f>R8*(Presion_cilindro!O7/Presion_cilindro!O8)^Presion_cilindro!$B$9+10*(Presion_cilindro!$B$9-1)*Presion_cilindro!$B$33*(Q9-Q8)/((Presion_cilindro!O7+Presion_cilindro!O8)/2)</f>
        <v>0.72018756721506749</v>
      </c>
      <c r="S9" s="10">
        <f>R9+IF(AND($B$9=1,Presion_cilindro!N8&gt;$B$15),Presion_cilindro!$B$24*2.5*EXP(-(Presion_cilindro!N8-$B$15)/Presion_cilindro!$B$26)*SIN(2*PI()*(Presion_cilindro!N8-$B$15)/Presion_cilindro!$B$39),0)</f>
        <v>0.72018756721506749</v>
      </c>
      <c r="T9" s="9">
        <f>IF(Presion_cilindro!N8&gt;$B$14,1-EXP(-Presion_cilindro!$B$16*((Presion_cilindro!N8-$B$14)/Presion_cilindro!$B$35)^(Presion_cilindro!$B$17+1)),0)</f>
        <v>0</v>
      </c>
      <c r="U9" s="10">
        <f>U8*(Presion_cilindro!O7/Presion_cilindro!O8)^Presion_cilindro!$B$9+10*(Presion_cilindro!$B$9-1)*Presion_cilindro!$B$33*(T9-T8)/((Presion_cilindro!O7+Presion_cilindro!O8)/2)</f>
        <v>0.72018756721506749</v>
      </c>
    </row>
    <row r="10" spans="1:21" x14ac:dyDescent="0.25">
      <c r="N10" s="8">
        <f>-Presion_cilindro!N9</f>
        <v>177.5</v>
      </c>
      <c r="O10" s="9">
        <f>IF(Presion_cilindro!N9&gt;$B$12,1-EXP(-Presion_cilindro!$B$16*((Presion_cilindro!N9-$B$12)/Presion_cilindro!$B$35)^(Presion_cilindro!$B$17+1)),0)</f>
        <v>0</v>
      </c>
      <c r="P10" s="10">
        <f>P9*(Presion_cilindro!O8/Presion_cilindro!O9)^Presion_cilindro!$B$9+10*(Presion_cilindro!$B$9-1)*Presion_cilindro!$B$33*(O10-O9)/((Presion_cilindro!O8+Presion_cilindro!O9)/2)</f>
        <v>0.72029311309892619</v>
      </c>
      <c r="Q10" s="9">
        <f>IF(OR($B$9=0,Presion_cilindro!N9&lt;=$B$15),IF(Presion_cilindro!N9&gt;$B$13,1-EXP(-Presion_cilindro!$B$16*((Presion_cilindro!N9-$B$13)/Presion_cilindro!$B$35)^(Presion_cilindro!$B$17+1)),0),$B$8+(1-$B$8)*(1-EXP(-(Presion_cilindro!N9-$B$15)/Presion_cilindro!$B$23)))</f>
        <v>0</v>
      </c>
      <c r="R10" s="10">
        <f>R9*(Presion_cilindro!O8/Presion_cilindro!O9)^Presion_cilindro!$B$9+10*(Presion_cilindro!$B$9-1)*Presion_cilindro!$B$33*(Q10-Q9)/((Presion_cilindro!O8+Presion_cilindro!O9)/2)</f>
        <v>0.72029311309892619</v>
      </c>
      <c r="S10" s="10">
        <f>R10+IF(AND($B$9=1,Presion_cilindro!N9&gt;$B$15),Presion_cilindro!$B$24*2.5*EXP(-(Presion_cilindro!N9-$B$15)/Presion_cilindro!$B$26)*SIN(2*PI()*(Presion_cilindro!N9-$B$15)/Presion_cilindro!$B$39),0)</f>
        <v>0.72029311309892619</v>
      </c>
      <c r="T10" s="9">
        <f>IF(Presion_cilindro!N9&gt;$B$14,1-EXP(-Presion_cilindro!$B$16*((Presion_cilindro!N9-$B$14)/Presion_cilindro!$B$35)^(Presion_cilindro!$B$17+1)),0)</f>
        <v>0</v>
      </c>
      <c r="U10" s="10">
        <f>U9*(Presion_cilindro!O8/Presion_cilindro!O9)^Presion_cilindro!$B$9+10*(Presion_cilindro!$B$9-1)*Presion_cilindro!$B$33*(T10-T9)/((Presion_cilindro!O8+Presion_cilindro!O9)/2)</f>
        <v>0.72029311309892619</v>
      </c>
    </row>
    <row r="11" spans="1:21" x14ac:dyDescent="0.25">
      <c r="A11" s="7" t="s">
        <v>46</v>
      </c>
      <c r="N11" s="8">
        <f>-Presion_cilindro!N10</f>
        <v>177</v>
      </c>
      <c r="O11" s="9">
        <f>IF(Presion_cilindro!N10&gt;$B$12,1-EXP(-Presion_cilindro!$B$16*((Presion_cilindro!N10-$B$12)/Presion_cilindro!$B$35)^(Presion_cilindro!$B$17+1)),0)</f>
        <v>0</v>
      </c>
      <c r="P11" s="10">
        <f>P10*(Presion_cilindro!O9/Presion_cilindro!O10)^Presion_cilindro!$B$9+10*(Presion_cilindro!$B$9-1)*Presion_cilindro!$B$33*(O11-O10)/((Presion_cilindro!O9+Presion_cilindro!O10)/2)</f>
        <v>0.72042215209010663</v>
      </c>
      <c r="Q11" s="9">
        <f>IF(OR($B$9=0,Presion_cilindro!N10&lt;=$B$15),IF(Presion_cilindro!N10&gt;$B$13,1-EXP(-Presion_cilindro!$B$16*((Presion_cilindro!N10-$B$13)/Presion_cilindro!$B$35)^(Presion_cilindro!$B$17+1)),0),$B$8+(1-$B$8)*(1-EXP(-(Presion_cilindro!N10-$B$15)/Presion_cilindro!$B$23)))</f>
        <v>0</v>
      </c>
      <c r="R11" s="10">
        <f>R10*(Presion_cilindro!O9/Presion_cilindro!O10)^Presion_cilindro!$B$9+10*(Presion_cilindro!$B$9-1)*Presion_cilindro!$B$33*(Q11-Q10)/((Presion_cilindro!O9+Presion_cilindro!O10)/2)</f>
        <v>0.72042215209010663</v>
      </c>
      <c r="S11" s="10">
        <f>R11+IF(AND($B$9=1,Presion_cilindro!N10&gt;$B$15),Presion_cilindro!$B$24*2.5*EXP(-(Presion_cilindro!N10-$B$15)/Presion_cilindro!$B$26)*SIN(2*PI()*(Presion_cilindro!N10-$B$15)/Presion_cilindro!$B$39),0)</f>
        <v>0.72042215209010663</v>
      </c>
      <c r="T11" s="9">
        <f>IF(Presion_cilindro!N10&gt;$B$14,1-EXP(-Presion_cilindro!$B$16*((Presion_cilindro!N10-$B$14)/Presion_cilindro!$B$35)^(Presion_cilindro!$B$17+1)),0)</f>
        <v>0</v>
      </c>
      <c r="U11" s="10">
        <f>U10*(Presion_cilindro!O9/Presion_cilindro!O10)^Presion_cilindro!$B$9+10*(Presion_cilindro!$B$9-1)*Presion_cilindro!$B$33*(T11-T10)/((Presion_cilindro!O9+Presion_cilindro!O10)/2)</f>
        <v>0.72042215209010663</v>
      </c>
    </row>
    <row r="12" spans="1:21" x14ac:dyDescent="0.25">
      <c r="A12" s="11" t="s">
        <v>90</v>
      </c>
      <c r="B12" s="15">
        <f>-$B$5+Presion_cilindro!$B$34</f>
        <v>-22.8</v>
      </c>
      <c r="C12" s="11" t="s">
        <v>31</v>
      </c>
      <c r="N12" s="8">
        <f>-Presion_cilindro!N11</f>
        <v>176.5</v>
      </c>
      <c r="O12" s="9">
        <f>IF(Presion_cilindro!N11&gt;$B$12,1-EXP(-Presion_cilindro!$B$16*((Presion_cilindro!N11-$B$12)/Presion_cilindro!$B$35)^(Presion_cilindro!$B$17+1)),0)</f>
        <v>0</v>
      </c>
      <c r="P12" s="10">
        <f>P11*(Presion_cilindro!O10/Presion_cilindro!O11)^Presion_cilindro!$B$9+10*(Presion_cilindro!$B$9-1)*Presion_cilindro!$B$33*(O12-O11)/((Presion_cilindro!O10+Presion_cilindro!O11)/2)</f>
        <v>0.7205747072879688</v>
      </c>
      <c r="Q12" s="9">
        <f>IF(OR($B$9=0,Presion_cilindro!N11&lt;=$B$15),IF(Presion_cilindro!N11&gt;$B$13,1-EXP(-Presion_cilindro!$B$16*((Presion_cilindro!N11-$B$13)/Presion_cilindro!$B$35)^(Presion_cilindro!$B$17+1)),0),$B$8+(1-$B$8)*(1-EXP(-(Presion_cilindro!N11-$B$15)/Presion_cilindro!$B$23)))</f>
        <v>0</v>
      </c>
      <c r="R12" s="10">
        <f>R11*(Presion_cilindro!O10/Presion_cilindro!O11)^Presion_cilindro!$B$9+10*(Presion_cilindro!$B$9-1)*Presion_cilindro!$B$33*(Q12-Q11)/((Presion_cilindro!O10+Presion_cilindro!O11)/2)</f>
        <v>0.7205747072879688</v>
      </c>
      <c r="S12" s="10">
        <f>R12+IF(AND($B$9=1,Presion_cilindro!N11&gt;$B$15),Presion_cilindro!$B$24*2.5*EXP(-(Presion_cilindro!N11-$B$15)/Presion_cilindro!$B$26)*SIN(2*PI()*(Presion_cilindro!N11-$B$15)/Presion_cilindro!$B$39),0)</f>
        <v>0.7205747072879688</v>
      </c>
      <c r="T12" s="9">
        <f>IF(Presion_cilindro!N11&gt;$B$14,1-EXP(-Presion_cilindro!$B$16*((Presion_cilindro!N11-$B$14)/Presion_cilindro!$B$35)^(Presion_cilindro!$B$17+1)),0)</f>
        <v>0</v>
      </c>
      <c r="U12" s="10">
        <f>U11*(Presion_cilindro!O10/Presion_cilindro!O11)^Presion_cilindro!$B$9+10*(Presion_cilindro!$B$9-1)*Presion_cilindro!$B$33*(T12-T11)/((Presion_cilindro!O10+Presion_cilindro!O11)/2)</f>
        <v>0.7205747072879688</v>
      </c>
    </row>
    <row r="13" spans="1:21" x14ac:dyDescent="0.25">
      <c r="A13" s="11" t="s">
        <v>91</v>
      </c>
      <c r="B13" s="15">
        <f>-$B$6+Presion_cilindro!$B$34</f>
        <v>-42.8</v>
      </c>
      <c r="C13" s="11" t="s">
        <v>31</v>
      </c>
      <c r="N13" s="8">
        <f>-Presion_cilindro!N12</f>
        <v>176</v>
      </c>
      <c r="O13" s="9">
        <f>IF(Presion_cilindro!N12&gt;$B$12,1-EXP(-Presion_cilindro!$B$16*((Presion_cilindro!N12-$B$12)/Presion_cilindro!$B$35)^(Presion_cilindro!$B$17+1)),0)</f>
        <v>0</v>
      </c>
      <c r="P13" s="10">
        <f>P12*(Presion_cilindro!O11/Presion_cilindro!O12)^Presion_cilindro!$B$9+10*(Presion_cilindro!$B$9-1)*Presion_cilindro!$B$33*(O13-O12)/((Presion_cilindro!O11+Presion_cilindro!O12)/2)</f>
        <v>0.72075080600947805</v>
      </c>
      <c r="Q13" s="9">
        <f>IF(OR($B$9=0,Presion_cilindro!N12&lt;=$B$15),IF(Presion_cilindro!N12&gt;$B$13,1-EXP(-Presion_cilindro!$B$16*((Presion_cilindro!N12-$B$13)/Presion_cilindro!$B$35)^(Presion_cilindro!$B$17+1)),0),$B$8+(1-$B$8)*(1-EXP(-(Presion_cilindro!N12-$B$15)/Presion_cilindro!$B$23)))</f>
        <v>0</v>
      </c>
      <c r="R13" s="10">
        <f>R12*(Presion_cilindro!O11/Presion_cilindro!O12)^Presion_cilindro!$B$9+10*(Presion_cilindro!$B$9-1)*Presion_cilindro!$B$33*(Q13-Q12)/((Presion_cilindro!O11+Presion_cilindro!O12)/2)</f>
        <v>0.72075080600947805</v>
      </c>
      <c r="S13" s="10">
        <f>R13+IF(AND($B$9=1,Presion_cilindro!N12&gt;$B$15),Presion_cilindro!$B$24*2.5*EXP(-(Presion_cilindro!N12-$B$15)/Presion_cilindro!$B$26)*SIN(2*PI()*(Presion_cilindro!N12-$B$15)/Presion_cilindro!$B$39),0)</f>
        <v>0.72075080600947805</v>
      </c>
      <c r="T13" s="9">
        <f>IF(Presion_cilindro!N12&gt;$B$14,1-EXP(-Presion_cilindro!$B$16*((Presion_cilindro!N12-$B$14)/Presion_cilindro!$B$35)^(Presion_cilindro!$B$17+1)),0)</f>
        <v>0</v>
      </c>
      <c r="U13" s="10">
        <f>U12*(Presion_cilindro!O11/Presion_cilindro!O12)^Presion_cilindro!$B$9+10*(Presion_cilindro!$B$9-1)*Presion_cilindro!$B$33*(T13-T12)/((Presion_cilindro!O11+Presion_cilindro!O12)/2)</f>
        <v>0.72075080600947805</v>
      </c>
    </row>
    <row r="14" spans="1:21" x14ac:dyDescent="0.25">
      <c r="A14" s="11" t="s">
        <v>92</v>
      </c>
      <c r="B14" s="15">
        <f>-$B$7+Presion_cilindro!$B$34</f>
        <v>17.2</v>
      </c>
      <c r="C14" s="11" t="s">
        <v>31</v>
      </c>
      <c r="N14" s="8">
        <f>-Presion_cilindro!N13</f>
        <v>175.5</v>
      </c>
      <c r="O14" s="9">
        <f>IF(Presion_cilindro!N13&gt;$B$12,1-EXP(-Presion_cilindro!$B$16*((Presion_cilindro!N13-$B$12)/Presion_cilindro!$B$35)^(Presion_cilindro!$B$17+1)),0)</f>
        <v>0</v>
      </c>
      <c r="P14" s="10">
        <f>P13*(Presion_cilindro!O12/Presion_cilindro!O13)^Presion_cilindro!$B$9+10*(Presion_cilindro!$B$9-1)*Presion_cilindro!$B$33*(O14-O13)/((Presion_cilindro!O12+Presion_cilindro!O13)/2)</f>
        <v>0.72095047979808546</v>
      </c>
      <c r="Q14" s="9">
        <f>IF(OR($B$9=0,Presion_cilindro!N13&lt;=$B$15),IF(Presion_cilindro!N13&gt;$B$13,1-EXP(-Presion_cilindro!$B$16*((Presion_cilindro!N13-$B$13)/Presion_cilindro!$B$35)^(Presion_cilindro!$B$17+1)),0),$B$8+(1-$B$8)*(1-EXP(-(Presion_cilindro!N13-$B$15)/Presion_cilindro!$B$23)))</f>
        <v>0</v>
      </c>
      <c r="R14" s="10">
        <f>R13*(Presion_cilindro!O12/Presion_cilindro!O13)^Presion_cilindro!$B$9+10*(Presion_cilindro!$B$9-1)*Presion_cilindro!$B$33*(Q14-Q13)/((Presion_cilindro!O12+Presion_cilindro!O13)/2)</f>
        <v>0.72095047979808546</v>
      </c>
      <c r="S14" s="10">
        <f>R14+IF(AND($B$9=1,Presion_cilindro!N13&gt;$B$15),Presion_cilindro!$B$24*2.5*EXP(-(Presion_cilindro!N13-$B$15)/Presion_cilindro!$B$26)*SIN(2*PI()*(Presion_cilindro!N13-$B$15)/Presion_cilindro!$B$39),0)</f>
        <v>0.72095047979808546</v>
      </c>
      <c r="T14" s="9">
        <f>IF(Presion_cilindro!N13&gt;$B$14,1-EXP(-Presion_cilindro!$B$16*((Presion_cilindro!N13-$B$14)/Presion_cilindro!$B$35)^(Presion_cilindro!$B$17+1)),0)</f>
        <v>0</v>
      </c>
      <c r="U14" s="10">
        <f>U13*(Presion_cilindro!O12/Presion_cilindro!O13)^Presion_cilindro!$B$9+10*(Presion_cilindro!$B$9-1)*Presion_cilindro!$B$33*(T14-T13)/((Presion_cilindro!O12+Presion_cilindro!O13)/2)</f>
        <v>0.72095047979808546</v>
      </c>
    </row>
    <row r="15" spans="1:21" x14ac:dyDescent="0.25">
      <c r="A15" s="11" t="s">
        <v>93</v>
      </c>
      <c r="B15" s="15">
        <f>$B$13+Presion_cilindro!$B$35*(-LN(1-$B$8)/Presion_cilindro!$B$16)^(1/(Presion_cilindro!$B$17+1))</f>
        <v>-6.8921054276965918</v>
      </c>
      <c r="C15" s="11" t="s">
        <v>31</v>
      </c>
      <c r="N15" s="8">
        <f>-Presion_cilindro!N14</f>
        <v>175</v>
      </c>
      <c r="O15" s="9">
        <f>IF(Presion_cilindro!N14&gt;$B$12,1-EXP(-Presion_cilindro!$B$16*((Presion_cilindro!N14-$B$12)/Presion_cilindro!$B$35)^(Presion_cilindro!$B$17+1)),0)</f>
        <v>0</v>
      </c>
      <c r="P15" s="10">
        <f>P14*(Presion_cilindro!O13/Presion_cilindro!O14)^Presion_cilindro!$B$9+10*(Presion_cilindro!$B$9-1)*Presion_cilindro!$B$33*(O15-O14)/((Presion_cilindro!O13+Presion_cilindro!O14)/2)</f>
        <v>0.7211737644339794</v>
      </c>
      <c r="Q15" s="9">
        <f>IF(OR($B$9=0,Presion_cilindro!N14&lt;=$B$15),IF(Presion_cilindro!N14&gt;$B$13,1-EXP(-Presion_cilindro!$B$16*((Presion_cilindro!N14-$B$13)/Presion_cilindro!$B$35)^(Presion_cilindro!$B$17+1)),0),$B$8+(1-$B$8)*(1-EXP(-(Presion_cilindro!N14-$B$15)/Presion_cilindro!$B$23)))</f>
        <v>0</v>
      </c>
      <c r="R15" s="10">
        <f>R14*(Presion_cilindro!O13/Presion_cilindro!O14)^Presion_cilindro!$B$9+10*(Presion_cilindro!$B$9-1)*Presion_cilindro!$B$33*(Q15-Q14)/((Presion_cilindro!O13+Presion_cilindro!O14)/2)</f>
        <v>0.7211737644339794</v>
      </c>
      <c r="S15" s="10">
        <f>R15+IF(AND($B$9=1,Presion_cilindro!N14&gt;$B$15),Presion_cilindro!$B$24*2.5*EXP(-(Presion_cilindro!N14-$B$15)/Presion_cilindro!$B$26)*SIN(2*PI()*(Presion_cilindro!N14-$B$15)/Presion_cilindro!$B$39),0)</f>
        <v>0.7211737644339794</v>
      </c>
      <c r="T15" s="9">
        <f>IF(Presion_cilindro!N14&gt;$B$14,1-EXP(-Presion_cilindro!$B$16*((Presion_cilindro!N14-$B$14)/Presion_cilindro!$B$35)^(Presion_cilindro!$B$17+1)),0)</f>
        <v>0</v>
      </c>
      <c r="U15" s="10">
        <f>U14*(Presion_cilindro!O13/Presion_cilindro!O14)^Presion_cilindro!$B$9+10*(Presion_cilindro!$B$9-1)*Presion_cilindro!$B$33*(T15-T14)/((Presion_cilindro!O13+Presion_cilindro!O14)/2)</f>
        <v>0.7211737644339794</v>
      </c>
    </row>
    <row r="16" spans="1:21" x14ac:dyDescent="0.25">
      <c r="N16" s="8">
        <f>-Presion_cilindro!N15</f>
        <v>174.5</v>
      </c>
      <c r="O16" s="9">
        <f>IF(Presion_cilindro!N15&gt;$B$12,1-EXP(-Presion_cilindro!$B$16*((Presion_cilindro!N15-$B$12)/Presion_cilindro!$B$35)^(Presion_cilindro!$B$17+1)),0)</f>
        <v>0</v>
      </c>
      <c r="P16" s="10">
        <f>P15*(Presion_cilindro!O14/Presion_cilindro!O15)^Presion_cilindro!$B$9+10*(Presion_cilindro!$B$9-1)*Presion_cilindro!$B$33*(O16-O15)/((Presion_cilindro!O14+Presion_cilindro!O15)/2)</f>
        <v>0.72142069994572555</v>
      </c>
      <c r="Q16" s="9">
        <f>IF(OR($B$9=0,Presion_cilindro!N15&lt;=$B$15),IF(Presion_cilindro!N15&gt;$B$13,1-EXP(-Presion_cilindro!$B$16*((Presion_cilindro!N15-$B$13)/Presion_cilindro!$B$35)^(Presion_cilindro!$B$17+1)),0),$B$8+(1-$B$8)*(1-EXP(-(Presion_cilindro!N15-$B$15)/Presion_cilindro!$B$23)))</f>
        <v>0</v>
      </c>
      <c r="R16" s="10">
        <f>R15*(Presion_cilindro!O14/Presion_cilindro!O15)^Presion_cilindro!$B$9+10*(Presion_cilindro!$B$9-1)*Presion_cilindro!$B$33*(Q16-Q15)/((Presion_cilindro!O14+Presion_cilindro!O15)/2)</f>
        <v>0.72142069994572555</v>
      </c>
      <c r="S16" s="10">
        <f>R16+IF(AND($B$9=1,Presion_cilindro!N15&gt;$B$15),Presion_cilindro!$B$24*2.5*EXP(-(Presion_cilindro!N15-$B$15)/Presion_cilindro!$B$26)*SIN(2*PI()*(Presion_cilindro!N15-$B$15)/Presion_cilindro!$B$39),0)</f>
        <v>0.72142069994572555</v>
      </c>
      <c r="T16" s="9">
        <f>IF(Presion_cilindro!N15&gt;$B$14,1-EXP(-Presion_cilindro!$B$16*((Presion_cilindro!N15-$B$14)/Presion_cilindro!$B$35)^(Presion_cilindro!$B$17+1)),0)</f>
        <v>0</v>
      </c>
      <c r="U16" s="10">
        <f>U15*(Presion_cilindro!O14/Presion_cilindro!O15)^Presion_cilindro!$B$9+10*(Presion_cilindro!$B$9-1)*Presion_cilindro!$B$33*(T16-T15)/((Presion_cilindro!O14+Presion_cilindro!O15)/2)</f>
        <v>0.72142069994572555</v>
      </c>
    </row>
    <row r="17" spans="1:21" x14ac:dyDescent="0.25">
      <c r="A17" s="7" t="s">
        <v>60</v>
      </c>
      <c r="N17" s="8">
        <f>-Presion_cilindro!N16</f>
        <v>174</v>
      </c>
      <c r="O17" s="9">
        <f>IF(Presion_cilindro!N16&gt;$B$12,1-EXP(-Presion_cilindro!$B$16*((Presion_cilindro!N16-$B$12)/Presion_cilindro!$B$35)^(Presion_cilindro!$B$17+1)),0)</f>
        <v>0</v>
      </c>
      <c r="P17" s="10">
        <f>P16*(Presion_cilindro!O15/Presion_cilindro!O16)^Presion_cilindro!$B$9+10*(Presion_cilindro!$B$9-1)*Presion_cilindro!$B$33*(O17-O16)/((Presion_cilindro!O15+Presion_cilindro!O16)/2)</f>
        <v>0.72169133062329271</v>
      </c>
      <c r="Q17" s="9">
        <f>IF(OR($B$9=0,Presion_cilindro!N16&lt;=$B$15),IF(Presion_cilindro!N16&gt;$B$13,1-EXP(-Presion_cilindro!$B$16*((Presion_cilindro!N16-$B$13)/Presion_cilindro!$B$35)^(Presion_cilindro!$B$17+1)),0),$B$8+(1-$B$8)*(1-EXP(-(Presion_cilindro!N16-$B$15)/Presion_cilindro!$B$23)))</f>
        <v>0</v>
      </c>
      <c r="R17" s="10">
        <f>R16*(Presion_cilindro!O15/Presion_cilindro!O16)^Presion_cilindro!$B$9+10*(Presion_cilindro!$B$9-1)*Presion_cilindro!$B$33*(Q17-Q16)/((Presion_cilindro!O15+Presion_cilindro!O16)/2)</f>
        <v>0.72169133062329271</v>
      </c>
      <c r="S17" s="10">
        <f>R17+IF(AND($B$9=1,Presion_cilindro!N16&gt;$B$15),Presion_cilindro!$B$24*2.5*EXP(-(Presion_cilindro!N16-$B$15)/Presion_cilindro!$B$26)*SIN(2*PI()*(Presion_cilindro!N16-$B$15)/Presion_cilindro!$B$39),0)</f>
        <v>0.72169133062329271</v>
      </c>
      <c r="T17" s="9">
        <f>IF(Presion_cilindro!N16&gt;$B$14,1-EXP(-Presion_cilindro!$B$16*((Presion_cilindro!N16-$B$14)/Presion_cilindro!$B$35)^(Presion_cilindro!$B$17+1)),0)</f>
        <v>0</v>
      </c>
      <c r="U17" s="10">
        <f>U16*(Presion_cilindro!O15/Presion_cilindro!O16)^Presion_cilindro!$B$9+10*(Presion_cilindro!$B$9-1)*Presion_cilindro!$B$33*(T17-T16)/((Presion_cilindro!O15+Presion_cilindro!O16)/2)</f>
        <v>0.72169133062329271</v>
      </c>
    </row>
    <row r="18" spans="1:21" x14ac:dyDescent="0.25">
      <c r="A18" s="11" t="s">
        <v>94</v>
      </c>
      <c r="B18" s="18">
        <f>MAX(P5:P725)</f>
        <v>35.932930369584973</v>
      </c>
      <c r="C18" s="11" t="s">
        <v>42</v>
      </c>
      <c r="N18" s="8">
        <f>-Presion_cilindro!N17</f>
        <v>173.5</v>
      </c>
      <c r="O18" s="9">
        <f>IF(Presion_cilindro!N17&gt;$B$12,1-EXP(-Presion_cilindro!$B$16*((Presion_cilindro!N17-$B$12)/Presion_cilindro!$B$35)^(Presion_cilindro!$B$17+1)),0)</f>
        <v>0</v>
      </c>
      <c r="P18" s="10">
        <f>P17*(Presion_cilindro!O16/Presion_cilindro!O17)^Presion_cilindro!$B$9+10*(Presion_cilindro!$B$9-1)*Presion_cilindro!$B$33*(O18-O17)/((Presion_cilindro!O16+Presion_cilindro!O17)/2)</f>
        <v>0.72198570503247428</v>
      </c>
      <c r="Q18" s="9">
        <f>IF(OR($B$9=0,Presion_cilindro!N17&lt;=$B$15),IF(Presion_cilindro!N17&gt;$B$13,1-EXP(-Presion_cilindro!$B$16*((Presion_cilindro!N17-$B$13)/Presion_cilindro!$B$35)^(Presion_cilindro!$B$17+1)),0),$B$8+(1-$B$8)*(1-EXP(-(Presion_cilindro!N17-$B$15)/Presion_cilindro!$B$23)))</f>
        <v>0</v>
      </c>
      <c r="R18" s="10">
        <f>R17*(Presion_cilindro!O16/Presion_cilindro!O17)^Presion_cilindro!$B$9+10*(Presion_cilindro!$B$9-1)*Presion_cilindro!$B$33*(Q18-Q17)/((Presion_cilindro!O16+Presion_cilindro!O17)/2)</f>
        <v>0.72198570503247428</v>
      </c>
      <c r="S18" s="10">
        <f>R18+IF(AND($B$9=1,Presion_cilindro!N17&gt;$B$15),Presion_cilindro!$B$24*2.5*EXP(-(Presion_cilindro!N17-$B$15)/Presion_cilindro!$B$26)*SIN(2*PI()*(Presion_cilindro!N17-$B$15)/Presion_cilindro!$B$39),0)</f>
        <v>0.72198570503247428</v>
      </c>
      <c r="T18" s="9">
        <f>IF(Presion_cilindro!N17&gt;$B$14,1-EXP(-Presion_cilindro!$B$16*((Presion_cilindro!N17-$B$14)/Presion_cilindro!$B$35)^(Presion_cilindro!$B$17+1)),0)</f>
        <v>0</v>
      </c>
      <c r="U18" s="10">
        <f>U17*(Presion_cilindro!O16/Presion_cilindro!O17)^Presion_cilindro!$B$9+10*(Presion_cilindro!$B$9-1)*Presion_cilindro!$B$33*(T18-T17)/((Presion_cilindro!O16+Presion_cilindro!O17)/2)</f>
        <v>0.72198570503247428</v>
      </c>
    </row>
    <row r="19" spans="1:21" x14ac:dyDescent="0.25">
      <c r="A19" s="11" t="s">
        <v>95</v>
      </c>
      <c r="B19" s="18">
        <f>INDEX(N5:N725,MATCH(MAX(P5:P725),P5:P725,0))</f>
        <v>-11</v>
      </c>
      <c r="C19" s="11" t="s">
        <v>96</v>
      </c>
      <c r="N19" s="8">
        <f>-Presion_cilindro!N18</f>
        <v>173</v>
      </c>
      <c r="O19" s="9">
        <f>IF(Presion_cilindro!N18&gt;$B$12,1-EXP(-Presion_cilindro!$B$16*((Presion_cilindro!N18-$B$12)/Presion_cilindro!$B$35)^(Presion_cilindro!$B$17+1)),0)</f>
        <v>0</v>
      </c>
      <c r="P19" s="10">
        <f>P18*(Presion_cilindro!O17/Presion_cilindro!O18)^Presion_cilindro!$B$9+10*(Presion_cilindro!$B$9-1)*Presion_cilindro!$B$33*(O19-O18)/((Presion_cilindro!O17+Presion_cilindro!O18)/2)</f>
        <v>0.72230387603071322</v>
      </c>
      <c r="Q19" s="9">
        <f>IF(OR($B$9=0,Presion_cilindro!N18&lt;=$B$15),IF(Presion_cilindro!N18&gt;$B$13,1-EXP(-Presion_cilindro!$B$16*((Presion_cilindro!N18-$B$13)/Presion_cilindro!$B$35)^(Presion_cilindro!$B$17+1)),0),$B$8+(1-$B$8)*(1-EXP(-(Presion_cilindro!N18-$B$15)/Presion_cilindro!$B$23)))</f>
        <v>0</v>
      </c>
      <c r="R19" s="10">
        <f>R18*(Presion_cilindro!O17/Presion_cilindro!O18)^Presion_cilindro!$B$9+10*(Presion_cilindro!$B$9-1)*Presion_cilindro!$B$33*(Q19-Q18)/((Presion_cilindro!O17+Presion_cilindro!O18)/2)</f>
        <v>0.72230387603071322</v>
      </c>
      <c r="S19" s="10">
        <f>R19+IF(AND($B$9=1,Presion_cilindro!N18&gt;$B$15),Presion_cilindro!$B$24*2.5*EXP(-(Presion_cilindro!N18-$B$15)/Presion_cilindro!$B$26)*SIN(2*PI()*(Presion_cilindro!N18-$B$15)/Presion_cilindro!$B$39),0)</f>
        <v>0.72230387603071322</v>
      </c>
      <c r="T19" s="9">
        <f>IF(Presion_cilindro!N18&gt;$B$14,1-EXP(-Presion_cilindro!$B$16*((Presion_cilindro!N18-$B$14)/Presion_cilindro!$B$35)^(Presion_cilindro!$B$17+1)),0)</f>
        <v>0</v>
      </c>
      <c r="U19" s="10">
        <f>U18*(Presion_cilindro!O17/Presion_cilindro!O18)^Presion_cilindro!$B$9+10*(Presion_cilindro!$B$9-1)*Presion_cilindro!$B$33*(T19-T18)/((Presion_cilindro!O17+Presion_cilindro!O18)/2)</f>
        <v>0.72230387603071322</v>
      </c>
    </row>
    <row r="20" spans="1:21" x14ac:dyDescent="0.25">
      <c r="A20" s="11" t="s">
        <v>97</v>
      </c>
      <c r="B20" s="18">
        <f>MAX(S5:S725)</f>
        <v>53.933371757707697</v>
      </c>
      <c r="C20" s="11" t="s">
        <v>42</v>
      </c>
      <c r="N20" s="8">
        <f>-Presion_cilindro!N19</f>
        <v>172.5</v>
      </c>
      <c r="O20" s="9">
        <f>IF(Presion_cilindro!N19&gt;$B$12,1-EXP(-Presion_cilindro!$B$16*((Presion_cilindro!N19-$B$12)/Presion_cilindro!$B$35)^(Presion_cilindro!$B$17+1)),0)</f>
        <v>0</v>
      </c>
      <c r="P20" s="10">
        <f>P19*(Presion_cilindro!O18/Presion_cilindro!O19)^Presion_cilindro!$B$9+10*(Presion_cilindro!$B$9-1)*Presion_cilindro!$B$33*(O20-O19)/((Presion_cilindro!O18+Presion_cilindro!O19)/2)</f>
        <v>0.72264590078433621</v>
      </c>
      <c r="Q20" s="9">
        <f>IF(OR($B$9=0,Presion_cilindro!N19&lt;=$B$15),IF(Presion_cilindro!N19&gt;$B$13,1-EXP(-Presion_cilindro!$B$16*((Presion_cilindro!N19-$B$13)/Presion_cilindro!$B$35)^(Presion_cilindro!$B$17+1)),0),$B$8+(1-$B$8)*(1-EXP(-(Presion_cilindro!N19-$B$15)/Presion_cilindro!$B$23)))</f>
        <v>0</v>
      </c>
      <c r="R20" s="10">
        <f>R19*(Presion_cilindro!O18/Presion_cilindro!O19)^Presion_cilindro!$B$9+10*(Presion_cilindro!$B$9-1)*Presion_cilindro!$B$33*(Q20-Q19)/((Presion_cilindro!O18+Presion_cilindro!O19)/2)</f>
        <v>0.72264590078433621</v>
      </c>
      <c r="S20" s="10">
        <f>R20+IF(AND($B$9=1,Presion_cilindro!N19&gt;$B$15),Presion_cilindro!$B$24*2.5*EXP(-(Presion_cilindro!N19-$B$15)/Presion_cilindro!$B$26)*SIN(2*PI()*(Presion_cilindro!N19-$B$15)/Presion_cilindro!$B$39),0)</f>
        <v>0.72264590078433621</v>
      </c>
      <c r="T20" s="9">
        <f>IF(Presion_cilindro!N19&gt;$B$14,1-EXP(-Presion_cilindro!$B$16*((Presion_cilindro!N19-$B$14)/Presion_cilindro!$B$35)^(Presion_cilindro!$B$17+1)),0)</f>
        <v>0</v>
      </c>
      <c r="U20" s="10">
        <f>U19*(Presion_cilindro!O18/Presion_cilindro!O19)^Presion_cilindro!$B$9+10*(Presion_cilindro!$B$9-1)*Presion_cilindro!$B$33*(T20-T19)/((Presion_cilindro!O18+Presion_cilindro!O19)/2)</f>
        <v>0.72264590078433621</v>
      </c>
    </row>
    <row r="21" spans="1:21" x14ac:dyDescent="0.25">
      <c r="A21" s="11" t="s">
        <v>98</v>
      </c>
      <c r="B21" s="18">
        <f>INDEX(N5:N725,MATCH(MAX(S5:S725),S5:S725,0))</f>
        <v>2.5</v>
      </c>
      <c r="C21" s="11" t="s">
        <v>96</v>
      </c>
      <c r="N21" s="8">
        <f>-Presion_cilindro!N20</f>
        <v>172</v>
      </c>
      <c r="O21" s="9">
        <f>IF(Presion_cilindro!N20&gt;$B$12,1-EXP(-Presion_cilindro!$B$16*((Presion_cilindro!N20-$B$12)/Presion_cilindro!$B$35)^(Presion_cilindro!$B$17+1)),0)</f>
        <v>0</v>
      </c>
      <c r="P21" s="10">
        <f>P20*(Presion_cilindro!O19/Presion_cilindro!O20)^Presion_cilindro!$B$9+10*(Presion_cilindro!$B$9-1)*Presion_cilindro!$B$33*(O21-O20)/((Presion_cilindro!O19+Presion_cilindro!O20)/2)</f>
        <v>0.72301184078720859</v>
      </c>
      <c r="Q21" s="9">
        <f>IF(OR($B$9=0,Presion_cilindro!N20&lt;=$B$15),IF(Presion_cilindro!N20&gt;$B$13,1-EXP(-Presion_cilindro!$B$16*((Presion_cilindro!N20-$B$13)/Presion_cilindro!$B$35)^(Presion_cilindro!$B$17+1)),0),$B$8+(1-$B$8)*(1-EXP(-(Presion_cilindro!N20-$B$15)/Presion_cilindro!$B$23)))</f>
        <v>0</v>
      </c>
      <c r="R21" s="10">
        <f>R20*(Presion_cilindro!O19/Presion_cilindro!O20)^Presion_cilindro!$B$9+10*(Presion_cilindro!$B$9-1)*Presion_cilindro!$B$33*(Q21-Q20)/((Presion_cilindro!O19+Presion_cilindro!O20)/2)</f>
        <v>0.72301184078720859</v>
      </c>
      <c r="S21" s="10">
        <f>R21+IF(AND($B$9=1,Presion_cilindro!N20&gt;$B$15),Presion_cilindro!$B$24*2.5*EXP(-(Presion_cilindro!N20-$B$15)/Presion_cilindro!$B$26)*SIN(2*PI()*(Presion_cilindro!N20-$B$15)/Presion_cilindro!$B$39),0)</f>
        <v>0.72301184078720859</v>
      </c>
      <c r="T21" s="9">
        <f>IF(Presion_cilindro!N20&gt;$B$14,1-EXP(-Presion_cilindro!$B$16*((Presion_cilindro!N20-$B$14)/Presion_cilindro!$B$35)^(Presion_cilindro!$B$17+1)),0)</f>
        <v>0</v>
      </c>
      <c r="U21" s="10">
        <f>U20*(Presion_cilindro!O19/Presion_cilindro!O20)^Presion_cilindro!$B$9+10*(Presion_cilindro!$B$9-1)*Presion_cilindro!$B$33*(T21-T20)/((Presion_cilindro!O19+Presion_cilindro!O20)/2)</f>
        <v>0.72301184078720859</v>
      </c>
    </row>
    <row r="22" spans="1:21" x14ac:dyDescent="0.25">
      <c r="A22" s="11" t="s">
        <v>99</v>
      </c>
      <c r="B22" s="18">
        <f>MAX(U5:U725)</f>
        <v>15.393327044416075</v>
      </c>
      <c r="C22" s="11" t="s">
        <v>42</v>
      </c>
      <c r="N22" s="8">
        <f>-Presion_cilindro!N21</f>
        <v>171.5</v>
      </c>
      <c r="O22" s="9">
        <f>IF(Presion_cilindro!N21&gt;$B$12,1-EXP(-Presion_cilindro!$B$16*((Presion_cilindro!N21-$B$12)/Presion_cilindro!$B$35)^(Presion_cilindro!$B$17+1)),0)</f>
        <v>0</v>
      </c>
      <c r="P22" s="10">
        <f>P21*(Presion_cilindro!O20/Presion_cilindro!O21)^Presion_cilindro!$B$9+10*(Presion_cilindro!$B$9-1)*Presion_cilindro!$B$33*(O22-O21)/((Presion_cilindro!O20+Presion_cilindro!O21)/2)</f>
        <v>0.72340176188081706</v>
      </c>
      <c r="Q22" s="9">
        <f>IF(OR($B$9=0,Presion_cilindro!N21&lt;=$B$15),IF(Presion_cilindro!N21&gt;$B$13,1-EXP(-Presion_cilindro!$B$16*((Presion_cilindro!N21-$B$13)/Presion_cilindro!$B$35)^(Presion_cilindro!$B$17+1)),0),$B$8+(1-$B$8)*(1-EXP(-(Presion_cilindro!N21-$B$15)/Presion_cilindro!$B$23)))</f>
        <v>0</v>
      </c>
      <c r="R22" s="10">
        <f>R21*(Presion_cilindro!O20/Presion_cilindro!O21)^Presion_cilindro!$B$9+10*(Presion_cilindro!$B$9-1)*Presion_cilindro!$B$33*(Q22-Q21)/((Presion_cilindro!O20+Presion_cilindro!O21)/2)</f>
        <v>0.72340176188081706</v>
      </c>
      <c r="S22" s="10">
        <f>R22+IF(AND($B$9=1,Presion_cilindro!N21&gt;$B$15),Presion_cilindro!$B$24*2.5*EXP(-(Presion_cilindro!N21-$B$15)/Presion_cilindro!$B$26)*SIN(2*PI()*(Presion_cilindro!N21-$B$15)/Presion_cilindro!$B$39),0)</f>
        <v>0.72340176188081706</v>
      </c>
      <c r="T22" s="9">
        <f>IF(Presion_cilindro!N21&gt;$B$14,1-EXP(-Presion_cilindro!$B$16*((Presion_cilindro!N21-$B$14)/Presion_cilindro!$B$35)^(Presion_cilindro!$B$17+1)),0)</f>
        <v>0</v>
      </c>
      <c r="U22" s="10">
        <f>U21*(Presion_cilindro!O20/Presion_cilindro!O21)^Presion_cilindro!$B$9+10*(Presion_cilindro!$B$9-1)*Presion_cilindro!$B$33*(T22-T21)/((Presion_cilindro!O20+Presion_cilindro!O21)/2)</f>
        <v>0.72340176188081706</v>
      </c>
    </row>
    <row r="23" spans="1:21" x14ac:dyDescent="0.25">
      <c r="A23" s="11" t="s">
        <v>100</v>
      </c>
      <c r="B23" s="18">
        <f>INDEX(N5:N725,MATCH(MAX(U5:U725),U5:U725,0))</f>
        <v>0</v>
      </c>
      <c r="C23" s="11" t="s">
        <v>96</v>
      </c>
      <c r="N23" s="8">
        <f>-Presion_cilindro!N22</f>
        <v>171</v>
      </c>
      <c r="O23" s="9">
        <f>IF(Presion_cilindro!N22&gt;$B$12,1-EXP(-Presion_cilindro!$B$16*((Presion_cilindro!N22-$B$12)/Presion_cilindro!$B$35)^(Presion_cilindro!$B$17+1)),0)</f>
        <v>0</v>
      </c>
      <c r="P23" s="10">
        <f>P22*(Presion_cilindro!O21/Presion_cilindro!O22)^Presion_cilindro!$B$9+10*(Presion_cilindro!$B$9-1)*Presion_cilindro!$B$33*(O23-O22)/((Presion_cilindro!O21+Presion_cilindro!O22)/2)</f>
        <v>0.72381573427579171</v>
      </c>
      <c r="Q23" s="9">
        <f>IF(OR($B$9=0,Presion_cilindro!N22&lt;=$B$15),IF(Presion_cilindro!N22&gt;$B$13,1-EXP(-Presion_cilindro!$B$16*((Presion_cilindro!N22-$B$13)/Presion_cilindro!$B$35)^(Presion_cilindro!$B$17+1)),0),$B$8+(1-$B$8)*(1-EXP(-(Presion_cilindro!N22-$B$15)/Presion_cilindro!$B$23)))</f>
        <v>0</v>
      </c>
      <c r="R23" s="10">
        <f>R22*(Presion_cilindro!O21/Presion_cilindro!O22)^Presion_cilindro!$B$9+10*(Presion_cilindro!$B$9-1)*Presion_cilindro!$B$33*(Q23-Q22)/((Presion_cilindro!O21+Presion_cilindro!O22)/2)</f>
        <v>0.72381573427579171</v>
      </c>
      <c r="S23" s="10">
        <f>R23+IF(AND($B$9=1,Presion_cilindro!N22&gt;$B$15),Presion_cilindro!$B$24*2.5*EXP(-(Presion_cilindro!N22-$B$15)/Presion_cilindro!$B$26)*SIN(2*PI()*(Presion_cilindro!N22-$B$15)/Presion_cilindro!$B$39),0)</f>
        <v>0.72381573427579171</v>
      </c>
      <c r="T23" s="9">
        <f>IF(Presion_cilindro!N22&gt;$B$14,1-EXP(-Presion_cilindro!$B$16*((Presion_cilindro!N22-$B$14)/Presion_cilindro!$B$35)^(Presion_cilindro!$B$17+1)),0)</f>
        <v>0</v>
      </c>
      <c r="U23" s="10">
        <f>U22*(Presion_cilindro!O21/Presion_cilindro!O22)^Presion_cilindro!$B$9+10*(Presion_cilindro!$B$9-1)*Presion_cilindro!$B$33*(T23-T22)/((Presion_cilindro!O21+Presion_cilindro!O22)/2)</f>
        <v>0.72381573427579171</v>
      </c>
    </row>
    <row r="24" spans="1:21" x14ac:dyDescent="0.25">
      <c r="N24" s="8">
        <f>-Presion_cilindro!N23</f>
        <v>170.5</v>
      </c>
      <c r="O24" s="9">
        <f>IF(Presion_cilindro!N23&gt;$B$12,1-EXP(-Presion_cilindro!$B$16*((Presion_cilindro!N23-$B$12)/Presion_cilindro!$B$35)^(Presion_cilindro!$B$17+1)),0)</f>
        <v>0</v>
      </c>
      <c r="P24" s="10">
        <f>P23*(Presion_cilindro!O22/Presion_cilindro!O23)^Presion_cilindro!$B$9+10*(Presion_cilindro!$B$9-1)*Presion_cilindro!$B$33*(O24-O23)/((Presion_cilindro!O22+Presion_cilindro!O23)/2)</f>
        <v>0.72425383257487619</v>
      </c>
      <c r="Q24" s="9">
        <f>IF(OR($B$9=0,Presion_cilindro!N23&lt;=$B$15),IF(Presion_cilindro!N23&gt;$B$13,1-EXP(-Presion_cilindro!$B$16*((Presion_cilindro!N23-$B$13)/Presion_cilindro!$B$35)^(Presion_cilindro!$B$17+1)),0),$B$8+(1-$B$8)*(1-EXP(-(Presion_cilindro!N23-$B$15)/Presion_cilindro!$B$23)))</f>
        <v>0</v>
      </c>
      <c r="R24" s="10">
        <f>R23*(Presion_cilindro!O22/Presion_cilindro!O23)^Presion_cilindro!$B$9+10*(Presion_cilindro!$B$9-1)*Presion_cilindro!$B$33*(Q24-Q23)/((Presion_cilindro!O22+Presion_cilindro!O23)/2)</f>
        <v>0.72425383257487619</v>
      </c>
      <c r="S24" s="10">
        <f>R24+IF(AND($B$9=1,Presion_cilindro!N23&gt;$B$15),Presion_cilindro!$B$24*2.5*EXP(-(Presion_cilindro!N23-$B$15)/Presion_cilindro!$B$26)*SIN(2*PI()*(Presion_cilindro!N23-$B$15)/Presion_cilindro!$B$39),0)</f>
        <v>0.72425383257487619</v>
      </c>
      <c r="T24" s="9">
        <f>IF(Presion_cilindro!N23&gt;$B$14,1-EXP(-Presion_cilindro!$B$16*((Presion_cilindro!N23-$B$14)/Presion_cilindro!$B$35)^(Presion_cilindro!$B$17+1)),0)</f>
        <v>0</v>
      </c>
      <c r="U24" s="10">
        <f>U23*(Presion_cilindro!O22/Presion_cilindro!O23)^Presion_cilindro!$B$9+10*(Presion_cilindro!$B$9-1)*Presion_cilindro!$B$33*(T24-T23)/((Presion_cilindro!O22+Presion_cilindro!O23)/2)</f>
        <v>0.72425383257487619</v>
      </c>
    </row>
    <row r="25" spans="1:21" ht="69.75" customHeight="1" x14ac:dyDescent="0.25">
      <c r="A25" s="1" t="s">
        <v>101</v>
      </c>
      <c r="B25" s="1"/>
      <c r="C25" s="1"/>
      <c r="N25" s="8">
        <f>-Presion_cilindro!N24</f>
        <v>170</v>
      </c>
      <c r="O25" s="9">
        <f>IF(Presion_cilindro!N24&gt;$B$12,1-EXP(-Presion_cilindro!$B$16*((Presion_cilindro!N24-$B$12)/Presion_cilindro!$B$35)^(Presion_cilindro!$B$17+1)),0)</f>
        <v>0</v>
      </c>
      <c r="P25" s="10">
        <f>P24*(Presion_cilindro!O23/Presion_cilindro!O24)^Presion_cilindro!$B$9+10*(Presion_cilindro!$B$9-1)*Presion_cilindro!$B$33*(O25-O24)/((Presion_cilindro!O23+Presion_cilindro!O24)/2)</f>
        <v>0.72471613579736194</v>
      </c>
      <c r="Q25" s="9">
        <f>IF(OR($B$9=0,Presion_cilindro!N24&lt;=$B$15),IF(Presion_cilindro!N24&gt;$B$13,1-EXP(-Presion_cilindro!$B$16*((Presion_cilindro!N24-$B$13)/Presion_cilindro!$B$35)^(Presion_cilindro!$B$17+1)),0),$B$8+(1-$B$8)*(1-EXP(-(Presion_cilindro!N24-$B$15)/Presion_cilindro!$B$23)))</f>
        <v>0</v>
      </c>
      <c r="R25" s="10">
        <f>R24*(Presion_cilindro!O23/Presion_cilindro!O24)^Presion_cilindro!$B$9+10*(Presion_cilindro!$B$9-1)*Presion_cilindro!$B$33*(Q25-Q24)/((Presion_cilindro!O23+Presion_cilindro!O24)/2)</f>
        <v>0.72471613579736194</v>
      </c>
      <c r="S25" s="10">
        <f>R25+IF(AND($B$9=1,Presion_cilindro!N24&gt;$B$15),Presion_cilindro!$B$24*2.5*EXP(-(Presion_cilindro!N24-$B$15)/Presion_cilindro!$B$26)*SIN(2*PI()*(Presion_cilindro!N24-$B$15)/Presion_cilindro!$B$39),0)</f>
        <v>0.72471613579736194</v>
      </c>
      <c r="T25" s="9">
        <f>IF(Presion_cilindro!N24&gt;$B$14,1-EXP(-Presion_cilindro!$B$16*((Presion_cilindro!N24-$B$14)/Presion_cilindro!$B$35)^(Presion_cilindro!$B$17+1)),0)</f>
        <v>0</v>
      </c>
      <c r="U25" s="10">
        <f>U24*(Presion_cilindro!O23/Presion_cilindro!O24)^Presion_cilindro!$B$9+10*(Presion_cilindro!$B$9-1)*Presion_cilindro!$B$33*(T25-T24)/((Presion_cilindro!O23+Presion_cilindro!O24)/2)</f>
        <v>0.72471613579736194</v>
      </c>
    </row>
    <row r="26" spans="1:21" x14ac:dyDescent="0.25">
      <c r="N26" s="8">
        <f>-Presion_cilindro!N25</f>
        <v>169.5</v>
      </c>
      <c r="O26" s="9">
        <f>IF(Presion_cilindro!N25&gt;$B$12,1-EXP(-Presion_cilindro!$B$16*((Presion_cilindro!N25-$B$12)/Presion_cilindro!$B$35)^(Presion_cilindro!$B$17+1)),0)</f>
        <v>0</v>
      </c>
      <c r="P26" s="10">
        <f>P25*(Presion_cilindro!O24/Presion_cilindro!O25)^Presion_cilindro!$B$9+10*(Presion_cilindro!$B$9-1)*Presion_cilindro!$B$33*(O26-O25)/((Presion_cilindro!O24+Presion_cilindro!O25)/2)</f>
        <v>0.72520272740499558</v>
      </c>
      <c r="Q26" s="9">
        <f>IF(OR($B$9=0,Presion_cilindro!N25&lt;=$B$15),IF(Presion_cilindro!N25&gt;$B$13,1-EXP(-Presion_cilindro!$B$16*((Presion_cilindro!N25-$B$13)/Presion_cilindro!$B$35)^(Presion_cilindro!$B$17+1)),0),$B$8+(1-$B$8)*(1-EXP(-(Presion_cilindro!N25-$B$15)/Presion_cilindro!$B$23)))</f>
        <v>0</v>
      </c>
      <c r="R26" s="10">
        <f>R25*(Presion_cilindro!O24/Presion_cilindro!O25)^Presion_cilindro!$B$9+10*(Presion_cilindro!$B$9-1)*Presion_cilindro!$B$33*(Q26-Q25)/((Presion_cilindro!O24+Presion_cilindro!O25)/2)</f>
        <v>0.72520272740499558</v>
      </c>
      <c r="S26" s="10">
        <f>R26+IF(AND($B$9=1,Presion_cilindro!N25&gt;$B$15),Presion_cilindro!$B$24*2.5*EXP(-(Presion_cilindro!N25-$B$15)/Presion_cilindro!$B$26)*SIN(2*PI()*(Presion_cilindro!N25-$B$15)/Presion_cilindro!$B$39),0)</f>
        <v>0.72520272740499558</v>
      </c>
      <c r="T26" s="9">
        <f>IF(Presion_cilindro!N25&gt;$B$14,1-EXP(-Presion_cilindro!$B$16*((Presion_cilindro!N25-$B$14)/Presion_cilindro!$B$35)^(Presion_cilindro!$B$17+1)),0)</f>
        <v>0</v>
      </c>
      <c r="U26" s="10">
        <f>U25*(Presion_cilindro!O24/Presion_cilindro!O25)^Presion_cilindro!$B$9+10*(Presion_cilindro!$B$9-1)*Presion_cilindro!$B$33*(T26-T25)/((Presion_cilindro!O24+Presion_cilindro!O25)/2)</f>
        <v>0.72520272740499558</v>
      </c>
    </row>
    <row r="27" spans="1:21" x14ac:dyDescent="0.25">
      <c r="A27" s="5" t="s">
        <v>102</v>
      </c>
      <c r="N27" s="8">
        <f>-Presion_cilindro!N26</f>
        <v>169</v>
      </c>
      <c r="O27" s="9">
        <f>IF(Presion_cilindro!N26&gt;$B$12,1-EXP(-Presion_cilindro!$B$16*((Presion_cilindro!N26-$B$12)/Presion_cilindro!$B$35)^(Presion_cilindro!$B$17+1)),0)</f>
        <v>0</v>
      </c>
      <c r="P27" s="10">
        <f>P26*(Presion_cilindro!O25/Presion_cilindro!O26)^Presion_cilindro!$B$9+10*(Presion_cilindro!$B$9-1)*Presion_cilindro!$B$33*(O27-O26)/((Presion_cilindro!O25+Presion_cilindro!O26)/2)</f>
        <v>0.72571369532937036</v>
      </c>
      <c r="Q27" s="9">
        <f>IF(OR($B$9=0,Presion_cilindro!N26&lt;=$B$15),IF(Presion_cilindro!N26&gt;$B$13,1-EXP(-Presion_cilindro!$B$16*((Presion_cilindro!N26-$B$13)/Presion_cilindro!$B$35)^(Presion_cilindro!$B$17+1)),0),$B$8+(1-$B$8)*(1-EXP(-(Presion_cilindro!N26-$B$15)/Presion_cilindro!$B$23)))</f>
        <v>0</v>
      </c>
      <c r="R27" s="10">
        <f>R26*(Presion_cilindro!O25/Presion_cilindro!O26)^Presion_cilindro!$B$9+10*(Presion_cilindro!$B$9-1)*Presion_cilindro!$B$33*(Q27-Q26)/((Presion_cilindro!O25+Presion_cilindro!O26)/2)</f>
        <v>0.72571369532937036</v>
      </c>
      <c r="S27" s="10">
        <f>R27+IF(AND($B$9=1,Presion_cilindro!N26&gt;$B$15),Presion_cilindro!$B$24*2.5*EXP(-(Presion_cilindro!N26-$B$15)/Presion_cilindro!$B$26)*SIN(2*PI()*(Presion_cilindro!N26-$B$15)/Presion_cilindro!$B$39),0)</f>
        <v>0.72571369532937036</v>
      </c>
      <c r="T27" s="9">
        <f>IF(Presion_cilindro!N26&gt;$B$14,1-EXP(-Presion_cilindro!$B$16*((Presion_cilindro!N26-$B$14)/Presion_cilindro!$B$35)^(Presion_cilindro!$B$17+1)),0)</f>
        <v>0</v>
      </c>
      <c r="U27" s="10">
        <f>U26*(Presion_cilindro!O25/Presion_cilindro!O26)^Presion_cilindro!$B$9+10*(Presion_cilindro!$B$9-1)*Presion_cilindro!$B$33*(T27-T26)/((Presion_cilindro!O25+Presion_cilindro!O26)/2)</f>
        <v>0.72571369532937036</v>
      </c>
    </row>
    <row r="28" spans="1:21" ht="43.5" customHeight="1" x14ac:dyDescent="0.25">
      <c r="A28" s="6" t="s">
        <v>103</v>
      </c>
      <c r="B28" s="6" t="s">
        <v>104</v>
      </c>
      <c r="C28" s="6" t="s">
        <v>73</v>
      </c>
      <c r="N28" s="8">
        <f>-Presion_cilindro!N27</f>
        <v>168.5</v>
      </c>
      <c r="O28" s="9">
        <f>IF(Presion_cilindro!N27&gt;$B$12,1-EXP(-Presion_cilindro!$B$16*((Presion_cilindro!N27-$B$12)/Presion_cilindro!$B$35)^(Presion_cilindro!$B$17+1)),0)</f>
        <v>0</v>
      </c>
      <c r="P28" s="10">
        <f>P27*(Presion_cilindro!O26/Presion_cilindro!O27)^Presion_cilindro!$B$9+10*(Presion_cilindro!$B$9-1)*Presion_cilindro!$B$33*(O28-O27)/((Presion_cilindro!O26+Presion_cilindro!O27)/2)</f>
        <v>0.72624913200082286</v>
      </c>
      <c r="Q28" s="9">
        <f>IF(OR($B$9=0,Presion_cilindro!N27&lt;=$B$15),IF(Presion_cilindro!N27&gt;$B$13,1-EXP(-Presion_cilindro!$B$16*((Presion_cilindro!N27-$B$13)/Presion_cilindro!$B$35)^(Presion_cilindro!$B$17+1)),0),$B$8+(1-$B$8)*(1-EXP(-(Presion_cilindro!N27-$B$15)/Presion_cilindro!$B$23)))</f>
        <v>0</v>
      </c>
      <c r="R28" s="10">
        <f>R27*(Presion_cilindro!O26/Presion_cilindro!O27)^Presion_cilindro!$B$9+10*(Presion_cilindro!$B$9-1)*Presion_cilindro!$B$33*(Q28-Q27)/((Presion_cilindro!O26+Presion_cilindro!O27)/2)</f>
        <v>0.72624913200082286</v>
      </c>
      <c r="S28" s="10">
        <f>R28+IF(AND($B$9=1,Presion_cilindro!N27&gt;$B$15),Presion_cilindro!$B$24*2.5*EXP(-(Presion_cilindro!N27-$B$15)/Presion_cilindro!$B$26)*SIN(2*PI()*(Presion_cilindro!N27-$B$15)/Presion_cilindro!$B$39),0)</f>
        <v>0.72624913200082286</v>
      </c>
      <c r="T28" s="9">
        <f>IF(Presion_cilindro!N27&gt;$B$14,1-EXP(-Presion_cilindro!$B$16*((Presion_cilindro!N27-$B$14)/Presion_cilindro!$B$35)^(Presion_cilindro!$B$17+1)),0)</f>
        <v>0</v>
      </c>
      <c r="U28" s="10">
        <f>U27*(Presion_cilindro!O26/Presion_cilindro!O27)^Presion_cilindro!$B$9+10*(Presion_cilindro!$B$9-1)*Presion_cilindro!$B$33*(T28-T27)/((Presion_cilindro!O26+Presion_cilindro!O27)/2)</f>
        <v>0.72624913200082286</v>
      </c>
    </row>
    <row r="29" spans="1:21" x14ac:dyDescent="0.25">
      <c r="A29" t="s">
        <v>105</v>
      </c>
      <c r="B29" s="22">
        <f>$B$5</f>
        <v>30</v>
      </c>
      <c r="C29" s="21">
        <f>INDEX(P5:P725,MATCH($B$5,N5:N725,0))</f>
        <v>7.2335105468578709</v>
      </c>
      <c r="N29" s="8">
        <f>-Presion_cilindro!N28</f>
        <v>168</v>
      </c>
      <c r="O29" s="9">
        <f>IF(Presion_cilindro!N28&gt;$B$12,1-EXP(-Presion_cilindro!$B$16*((Presion_cilindro!N28-$B$12)/Presion_cilindro!$B$35)^(Presion_cilindro!$B$17+1)),0)</f>
        <v>0</v>
      </c>
      <c r="P29" s="10">
        <f>P28*(Presion_cilindro!O27/Presion_cilindro!O28)^Presion_cilindro!$B$9+10*(Presion_cilindro!$B$9-1)*Presion_cilindro!$B$33*(O29-O28)/((Presion_cilindro!O27+Presion_cilindro!O28)/2)</f>
        <v>0.72680913437884365</v>
      </c>
      <c r="Q29" s="9">
        <f>IF(OR($B$9=0,Presion_cilindro!N28&lt;=$B$15),IF(Presion_cilindro!N28&gt;$B$13,1-EXP(-Presion_cilindro!$B$16*((Presion_cilindro!N28-$B$13)/Presion_cilindro!$B$35)^(Presion_cilindro!$B$17+1)),0),$B$8+(1-$B$8)*(1-EXP(-(Presion_cilindro!N28-$B$15)/Presion_cilindro!$B$23)))</f>
        <v>0</v>
      </c>
      <c r="R29" s="10">
        <f>R28*(Presion_cilindro!O27/Presion_cilindro!O28)^Presion_cilindro!$B$9+10*(Presion_cilindro!$B$9-1)*Presion_cilindro!$B$33*(Q29-Q28)/((Presion_cilindro!O27+Presion_cilindro!O28)/2)</f>
        <v>0.72680913437884365</v>
      </c>
      <c r="S29" s="10">
        <f>R29+IF(AND($B$9=1,Presion_cilindro!N28&gt;$B$15),Presion_cilindro!$B$24*2.5*EXP(-(Presion_cilindro!N28-$B$15)/Presion_cilindro!$B$26)*SIN(2*PI()*(Presion_cilindro!N28-$B$15)/Presion_cilindro!$B$39),0)</f>
        <v>0.72680913437884365</v>
      </c>
      <c r="T29" s="9">
        <f>IF(Presion_cilindro!N28&gt;$B$14,1-EXP(-Presion_cilindro!$B$16*((Presion_cilindro!N28-$B$14)/Presion_cilindro!$B$35)^(Presion_cilindro!$B$17+1)),0)</f>
        <v>0</v>
      </c>
      <c r="U29" s="10">
        <f>U28*(Presion_cilindro!O27/Presion_cilindro!O28)^Presion_cilindro!$B$9+10*(Presion_cilindro!$B$9-1)*Presion_cilindro!$B$33*(T29-T28)/((Presion_cilindro!O27+Presion_cilindro!O28)/2)</f>
        <v>0.72680913437884365</v>
      </c>
    </row>
    <row r="30" spans="1:21" x14ac:dyDescent="0.25">
      <c r="A30" t="s">
        <v>106</v>
      </c>
      <c r="B30" s="22">
        <f>$B$6</f>
        <v>50</v>
      </c>
      <c r="C30" s="21">
        <f>INDEX(S5:S725,MATCH($B$6,N5:N725,0))</f>
        <v>3.5877271409260953</v>
      </c>
      <c r="N30" s="8">
        <f>-Presion_cilindro!N29</f>
        <v>167.5</v>
      </c>
      <c r="O30" s="9">
        <f>IF(Presion_cilindro!N29&gt;$B$12,1-EXP(-Presion_cilindro!$B$16*((Presion_cilindro!N29-$B$12)/Presion_cilindro!$B$35)^(Presion_cilindro!$B$17+1)),0)</f>
        <v>0</v>
      </c>
      <c r="P30" s="10">
        <f>P29*(Presion_cilindro!O28/Presion_cilindro!O29)^Presion_cilindro!$B$9+10*(Presion_cilindro!$B$9-1)*Presion_cilindro!$B$33*(O30-O29)/((Presion_cilindro!O28+Presion_cilindro!O29)/2)</f>
        <v>0.72739380398401676</v>
      </c>
      <c r="Q30" s="9">
        <f>IF(OR($B$9=0,Presion_cilindro!N29&lt;=$B$15),IF(Presion_cilindro!N29&gt;$B$13,1-EXP(-Presion_cilindro!$B$16*((Presion_cilindro!N29-$B$13)/Presion_cilindro!$B$35)^(Presion_cilindro!$B$17+1)),0),$B$8+(1-$B$8)*(1-EXP(-(Presion_cilindro!N29-$B$15)/Presion_cilindro!$B$23)))</f>
        <v>0</v>
      </c>
      <c r="R30" s="10">
        <f>R29*(Presion_cilindro!O28/Presion_cilindro!O29)^Presion_cilindro!$B$9+10*(Presion_cilindro!$B$9-1)*Presion_cilindro!$B$33*(Q30-Q29)/((Presion_cilindro!O28+Presion_cilindro!O29)/2)</f>
        <v>0.72739380398401676</v>
      </c>
      <c r="S30" s="10">
        <f>R30+IF(AND($B$9=1,Presion_cilindro!N29&gt;$B$15),Presion_cilindro!$B$24*2.5*EXP(-(Presion_cilindro!N29-$B$15)/Presion_cilindro!$B$26)*SIN(2*PI()*(Presion_cilindro!N29-$B$15)/Presion_cilindro!$B$39),0)</f>
        <v>0.72739380398401676</v>
      </c>
      <c r="T30" s="9">
        <f>IF(Presion_cilindro!N29&gt;$B$14,1-EXP(-Presion_cilindro!$B$16*((Presion_cilindro!N29-$B$14)/Presion_cilindro!$B$35)^(Presion_cilindro!$B$17+1)),0)</f>
        <v>0</v>
      </c>
      <c r="U30" s="10">
        <f>U29*(Presion_cilindro!O28/Presion_cilindro!O29)^Presion_cilindro!$B$9+10*(Presion_cilindro!$B$9-1)*Presion_cilindro!$B$33*(T30-T29)/((Presion_cilindro!O28+Presion_cilindro!O29)/2)</f>
        <v>0.72739380398401676</v>
      </c>
    </row>
    <row r="31" spans="1:21" x14ac:dyDescent="0.25">
      <c r="A31" t="s">
        <v>107</v>
      </c>
      <c r="B31" s="22">
        <f>$B$7</f>
        <v>-10</v>
      </c>
      <c r="C31" s="21">
        <f>INDEX(U5:U725,MATCH($B$7,N5:N725,0))</f>
        <v>13.763936503061696</v>
      </c>
      <c r="N31" s="8">
        <f>-Presion_cilindro!N30</f>
        <v>167</v>
      </c>
      <c r="O31" s="9">
        <f>IF(Presion_cilindro!N30&gt;$B$12,1-EXP(-Presion_cilindro!$B$16*((Presion_cilindro!N30-$B$12)/Presion_cilindro!$B$35)^(Presion_cilindro!$B$17+1)),0)</f>
        <v>0</v>
      </c>
      <c r="P31" s="10">
        <f>P30*(Presion_cilindro!O29/Presion_cilindro!O30)^Presion_cilindro!$B$9+10*(Presion_cilindro!$B$9-1)*Presion_cilindro!$B$33*(O31-O30)/((Presion_cilindro!O29+Presion_cilindro!O30)/2)</f>
        <v>0.72800324693151175</v>
      </c>
      <c r="Q31" s="9">
        <f>IF(OR($B$9=0,Presion_cilindro!N30&lt;=$B$15),IF(Presion_cilindro!N30&gt;$B$13,1-EXP(-Presion_cilindro!$B$16*((Presion_cilindro!N30-$B$13)/Presion_cilindro!$B$35)^(Presion_cilindro!$B$17+1)),0),$B$8+(1-$B$8)*(1-EXP(-(Presion_cilindro!N30-$B$15)/Presion_cilindro!$B$23)))</f>
        <v>0</v>
      </c>
      <c r="R31" s="10">
        <f>R30*(Presion_cilindro!O29/Presion_cilindro!O30)^Presion_cilindro!$B$9+10*(Presion_cilindro!$B$9-1)*Presion_cilindro!$B$33*(Q31-Q30)/((Presion_cilindro!O29+Presion_cilindro!O30)/2)</f>
        <v>0.72800324693151175</v>
      </c>
      <c r="S31" s="10">
        <f>R31+IF(AND($B$9=1,Presion_cilindro!N30&gt;$B$15),Presion_cilindro!$B$24*2.5*EXP(-(Presion_cilindro!N30-$B$15)/Presion_cilindro!$B$26)*SIN(2*PI()*(Presion_cilindro!N30-$B$15)/Presion_cilindro!$B$39),0)</f>
        <v>0.72800324693151175</v>
      </c>
      <c r="T31" s="9">
        <f>IF(Presion_cilindro!N30&gt;$B$14,1-EXP(-Presion_cilindro!$B$16*((Presion_cilindro!N30-$B$14)/Presion_cilindro!$B$35)^(Presion_cilindro!$B$17+1)),0)</f>
        <v>0</v>
      </c>
      <c r="U31" s="10">
        <f>U30*(Presion_cilindro!O29/Presion_cilindro!O30)^Presion_cilindro!$B$9+10*(Presion_cilindro!$B$9-1)*Presion_cilindro!$B$33*(T31-T30)/((Presion_cilindro!O29+Presion_cilindro!O30)/2)</f>
        <v>0.72800324693151175</v>
      </c>
    </row>
    <row r="32" spans="1:21" x14ac:dyDescent="0.25">
      <c r="N32" s="8">
        <f>-Presion_cilindro!N31</f>
        <v>166.5</v>
      </c>
      <c r="O32" s="9">
        <f>IF(Presion_cilindro!N31&gt;$B$12,1-EXP(-Presion_cilindro!$B$16*((Presion_cilindro!N31-$B$12)/Presion_cilindro!$B$35)^(Presion_cilindro!$B$17+1)),0)</f>
        <v>0</v>
      </c>
      <c r="P32" s="10">
        <f>P31*(Presion_cilindro!O30/Presion_cilindro!O31)^Presion_cilindro!$B$9+10*(Presion_cilindro!$B$9-1)*Presion_cilindro!$B$33*(O32-O31)/((Presion_cilindro!O30+Presion_cilindro!O31)/2)</f>
        <v>0.7286375739661366</v>
      </c>
      <c r="Q32" s="9">
        <f>IF(OR($B$9=0,Presion_cilindro!N31&lt;=$B$15),IF(Presion_cilindro!N31&gt;$B$13,1-EXP(-Presion_cilindro!$B$16*((Presion_cilindro!N31-$B$13)/Presion_cilindro!$B$35)^(Presion_cilindro!$B$17+1)),0),$B$8+(1-$B$8)*(1-EXP(-(Presion_cilindro!N31-$B$15)/Presion_cilindro!$B$23)))</f>
        <v>0</v>
      </c>
      <c r="R32" s="10">
        <f>R31*(Presion_cilindro!O30/Presion_cilindro!O31)^Presion_cilindro!$B$9+10*(Presion_cilindro!$B$9-1)*Presion_cilindro!$B$33*(Q32-Q31)/((Presion_cilindro!O30+Presion_cilindro!O31)/2)</f>
        <v>0.7286375739661366</v>
      </c>
      <c r="S32" s="10">
        <f>R32+IF(AND($B$9=1,Presion_cilindro!N31&gt;$B$15),Presion_cilindro!$B$24*2.5*EXP(-(Presion_cilindro!N31-$B$15)/Presion_cilindro!$B$26)*SIN(2*PI()*(Presion_cilindro!N31-$B$15)/Presion_cilindro!$B$39),0)</f>
        <v>0.7286375739661366</v>
      </c>
      <c r="T32" s="9">
        <f>IF(Presion_cilindro!N31&gt;$B$14,1-EXP(-Presion_cilindro!$B$16*((Presion_cilindro!N31-$B$14)/Presion_cilindro!$B$35)^(Presion_cilindro!$B$17+1)),0)</f>
        <v>0</v>
      </c>
      <c r="U32" s="10">
        <f>U31*(Presion_cilindro!O30/Presion_cilindro!O31)^Presion_cilindro!$B$9+10*(Presion_cilindro!$B$9-1)*Presion_cilindro!$B$33*(T32-T31)/((Presion_cilindro!O30+Presion_cilindro!O31)/2)</f>
        <v>0.7286375739661366</v>
      </c>
    </row>
    <row r="33" spans="14:21" x14ac:dyDescent="0.25">
      <c r="N33" s="8">
        <f>-Presion_cilindro!N32</f>
        <v>166</v>
      </c>
      <c r="O33" s="9">
        <f>IF(Presion_cilindro!N32&gt;$B$12,1-EXP(-Presion_cilindro!$B$16*((Presion_cilindro!N32-$B$12)/Presion_cilindro!$B$35)^(Presion_cilindro!$B$17+1)),0)</f>
        <v>0</v>
      </c>
      <c r="P33" s="10">
        <f>P32*(Presion_cilindro!O31/Presion_cilindro!O32)^Presion_cilindro!$B$9+10*(Presion_cilindro!$B$9-1)*Presion_cilindro!$B$33*(O33-O32)/((Presion_cilindro!O31+Presion_cilindro!O32)/2)</f>
        <v>0.72929690049897455</v>
      </c>
      <c r="Q33" s="9">
        <f>IF(OR($B$9=0,Presion_cilindro!N32&lt;=$B$15),IF(Presion_cilindro!N32&gt;$B$13,1-EXP(-Presion_cilindro!$B$16*((Presion_cilindro!N32-$B$13)/Presion_cilindro!$B$35)^(Presion_cilindro!$B$17+1)),0),$B$8+(1-$B$8)*(1-EXP(-(Presion_cilindro!N32-$B$15)/Presion_cilindro!$B$23)))</f>
        <v>0</v>
      </c>
      <c r="R33" s="10">
        <f>R32*(Presion_cilindro!O31/Presion_cilindro!O32)^Presion_cilindro!$B$9+10*(Presion_cilindro!$B$9-1)*Presion_cilindro!$B$33*(Q33-Q32)/((Presion_cilindro!O31+Presion_cilindro!O32)/2)</f>
        <v>0.72929690049897455</v>
      </c>
      <c r="S33" s="10">
        <f>R33+IF(AND($B$9=1,Presion_cilindro!N32&gt;$B$15),Presion_cilindro!$B$24*2.5*EXP(-(Presion_cilindro!N32-$B$15)/Presion_cilindro!$B$26)*SIN(2*PI()*(Presion_cilindro!N32-$B$15)/Presion_cilindro!$B$39),0)</f>
        <v>0.72929690049897455</v>
      </c>
      <c r="T33" s="9">
        <f>IF(Presion_cilindro!N32&gt;$B$14,1-EXP(-Presion_cilindro!$B$16*((Presion_cilindro!N32-$B$14)/Presion_cilindro!$B$35)^(Presion_cilindro!$B$17+1)),0)</f>
        <v>0</v>
      </c>
      <c r="U33" s="10">
        <f>U32*(Presion_cilindro!O31/Presion_cilindro!O32)^Presion_cilindro!$B$9+10*(Presion_cilindro!$B$9-1)*Presion_cilindro!$B$33*(T33-T32)/((Presion_cilindro!O31+Presion_cilindro!O32)/2)</f>
        <v>0.72929690049897455</v>
      </c>
    </row>
    <row r="34" spans="14:21" x14ac:dyDescent="0.25">
      <c r="N34" s="8">
        <f>-Presion_cilindro!N33</f>
        <v>165.5</v>
      </c>
      <c r="O34" s="9">
        <f>IF(Presion_cilindro!N33&gt;$B$12,1-EXP(-Presion_cilindro!$B$16*((Presion_cilindro!N33-$B$12)/Presion_cilindro!$B$35)^(Presion_cilindro!$B$17+1)),0)</f>
        <v>0</v>
      </c>
      <c r="P34" s="10">
        <f>P33*(Presion_cilindro!O32/Presion_cilindro!O33)^Presion_cilindro!$B$9+10*(Presion_cilindro!$B$9-1)*Presion_cilindro!$B$33*(O34-O33)/((Presion_cilindro!O32+Presion_cilindro!O33)/2)</f>
        <v>0.72998134664562275</v>
      </c>
      <c r="Q34" s="9">
        <f>IF(OR($B$9=0,Presion_cilindro!N33&lt;=$B$15),IF(Presion_cilindro!N33&gt;$B$13,1-EXP(-Presion_cilindro!$B$16*((Presion_cilindro!N33-$B$13)/Presion_cilindro!$B$35)^(Presion_cilindro!$B$17+1)),0),$B$8+(1-$B$8)*(1-EXP(-(Presion_cilindro!N33-$B$15)/Presion_cilindro!$B$23)))</f>
        <v>0</v>
      </c>
      <c r="R34" s="10">
        <f>R33*(Presion_cilindro!O32/Presion_cilindro!O33)^Presion_cilindro!$B$9+10*(Presion_cilindro!$B$9-1)*Presion_cilindro!$B$33*(Q34-Q33)/((Presion_cilindro!O32+Presion_cilindro!O33)/2)</f>
        <v>0.72998134664562275</v>
      </c>
      <c r="S34" s="10">
        <f>R34+IF(AND($B$9=1,Presion_cilindro!N33&gt;$B$15),Presion_cilindro!$B$24*2.5*EXP(-(Presion_cilindro!N33-$B$15)/Presion_cilindro!$B$26)*SIN(2*PI()*(Presion_cilindro!N33-$B$15)/Presion_cilindro!$B$39),0)</f>
        <v>0.72998134664562275</v>
      </c>
      <c r="T34" s="9">
        <f>IF(Presion_cilindro!N33&gt;$B$14,1-EXP(-Presion_cilindro!$B$16*((Presion_cilindro!N33-$B$14)/Presion_cilindro!$B$35)^(Presion_cilindro!$B$17+1)),0)</f>
        <v>0</v>
      </c>
      <c r="U34" s="10">
        <f>U33*(Presion_cilindro!O32/Presion_cilindro!O33)^Presion_cilindro!$B$9+10*(Presion_cilindro!$B$9-1)*Presion_cilindro!$B$33*(T34-T33)/((Presion_cilindro!O32+Presion_cilindro!O33)/2)</f>
        <v>0.72998134664562275</v>
      </c>
    </row>
    <row r="35" spans="14:21" x14ac:dyDescent="0.25">
      <c r="N35" s="8">
        <f>-Presion_cilindro!N34</f>
        <v>165</v>
      </c>
      <c r="O35" s="9">
        <f>IF(Presion_cilindro!N34&gt;$B$12,1-EXP(-Presion_cilindro!$B$16*((Presion_cilindro!N34-$B$12)/Presion_cilindro!$B$35)^(Presion_cilindro!$B$17+1)),0)</f>
        <v>0</v>
      </c>
      <c r="P35" s="10">
        <f>P34*(Presion_cilindro!O33/Presion_cilindro!O34)^Presion_cilindro!$B$9+10*(Presion_cilindro!$B$9-1)*Presion_cilindro!$B$33*(O35-O34)/((Presion_cilindro!O33+Presion_cilindro!O34)/2)</f>
        <v>0.73069103726605378</v>
      </c>
      <c r="Q35" s="9">
        <f>IF(OR($B$9=0,Presion_cilindro!N34&lt;=$B$15),IF(Presion_cilindro!N34&gt;$B$13,1-EXP(-Presion_cilindro!$B$16*((Presion_cilindro!N34-$B$13)/Presion_cilindro!$B$35)^(Presion_cilindro!$B$17+1)),0),$B$8+(1-$B$8)*(1-EXP(-(Presion_cilindro!N34-$B$15)/Presion_cilindro!$B$23)))</f>
        <v>0</v>
      </c>
      <c r="R35" s="10">
        <f>R34*(Presion_cilindro!O33/Presion_cilindro!O34)^Presion_cilindro!$B$9+10*(Presion_cilindro!$B$9-1)*Presion_cilindro!$B$33*(Q35-Q34)/((Presion_cilindro!O33+Presion_cilindro!O34)/2)</f>
        <v>0.73069103726605378</v>
      </c>
      <c r="S35" s="10">
        <f>R35+IF(AND($B$9=1,Presion_cilindro!N34&gt;$B$15),Presion_cilindro!$B$24*2.5*EXP(-(Presion_cilindro!N34-$B$15)/Presion_cilindro!$B$26)*SIN(2*PI()*(Presion_cilindro!N34-$B$15)/Presion_cilindro!$B$39),0)</f>
        <v>0.73069103726605378</v>
      </c>
      <c r="T35" s="9">
        <f>IF(Presion_cilindro!N34&gt;$B$14,1-EXP(-Presion_cilindro!$B$16*((Presion_cilindro!N34-$B$14)/Presion_cilindro!$B$35)^(Presion_cilindro!$B$17+1)),0)</f>
        <v>0</v>
      </c>
      <c r="U35" s="10">
        <f>U34*(Presion_cilindro!O33/Presion_cilindro!O34)^Presion_cilindro!$B$9+10*(Presion_cilindro!$B$9-1)*Presion_cilindro!$B$33*(T35-T34)/((Presion_cilindro!O33+Presion_cilindro!O34)/2)</f>
        <v>0.73069103726605378</v>
      </c>
    </row>
    <row r="36" spans="14:21" x14ac:dyDescent="0.25">
      <c r="N36" s="8">
        <f>-Presion_cilindro!N35</f>
        <v>164.5</v>
      </c>
      <c r="O36" s="9">
        <f>IF(Presion_cilindro!N35&gt;$B$12,1-EXP(-Presion_cilindro!$B$16*((Presion_cilindro!N35-$B$12)/Presion_cilindro!$B$35)^(Presion_cilindro!$B$17+1)),0)</f>
        <v>0</v>
      </c>
      <c r="P36" s="10">
        <f>P35*(Presion_cilindro!O34/Presion_cilindro!O35)^Presion_cilindro!$B$9+10*(Presion_cilindro!$B$9-1)*Presion_cilindro!$B$33*(O36-O35)/((Presion_cilindro!O34+Presion_cilindro!O35)/2)</f>
        <v>0.7314261020061148</v>
      </c>
      <c r="Q36" s="9">
        <f>IF(OR($B$9=0,Presion_cilindro!N35&lt;=$B$15),IF(Presion_cilindro!N35&gt;$B$13,1-EXP(-Presion_cilindro!$B$16*((Presion_cilindro!N35-$B$13)/Presion_cilindro!$B$35)^(Presion_cilindro!$B$17+1)),0),$B$8+(1-$B$8)*(1-EXP(-(Presion_cilindro!N35-$B$15)/Presion_cilindro!$B$23)))</f>
        <v>0</v>
      </c>
      <c r="R36" s="10">
        <f>R35*(Presion_cilindro!O34/Presion_cilindro!O35)^Presion_cilindro!$B$9+10*(Presion_cilindro!$B$9-1)*Presion_cilindro!$B$33*(Q36-Q35)/((Presion_cilindro!O34+Presion_cilindro!O35)/2)</f>
        <v>0.7314261020061148</v>
      </c>
      <c r="S36" s="10">
        <f>R36+IF(AND($B$9=1,Presion_cilindro!N35&gt;$B$15),Presion_cilindro!$B$24*2.5*EXP(-(Presion_cilindro!N35-$B$15)/Presion_cilindro!$B$26)*SIN(2*PI()*(Presion_cilindro!N35-$B$15)/Presion_cilindro!$B$39),0)</f>
        <v>0.7314261020061148</v>
      </c>
      <c r="T36" s="9">
        <f>IF(Presion_cilindro!N35&gt;$B$14,1-EXP(-Presion_cilindro!$B$16*((Presion_cilindro!N35-$B$14)/Presion_cilindro!$B$35)^(Presion_cilindro!$B$17+1)),0)</f>
        <v>0</v>
      </c>
      <c r="U36" s="10">
        <f>U35*(Presion_cilindro!O34/Presion_cilindro!O35)^Presion_cilindro!$B$9+10*(Presion_cilindro!$B$9-1)*Presion_cilindro!$B$33*(T36-T35)/((Presion_cilindro!O34+Presion_cilindro!O35)/2)</f>
        <v>0.7314261020061148</v>
      </c>
    </row>
    <row r="37" spans="14:21" x14ac:dyDescent="0.25">
      <c r="N37" s="8">
        <f>-Presion_cilindro!N36</f>
        <v>164</v>
      </c>
      <c r="O37" s="9">
        <f>IF(Presion_cilindro!N36&gt;$B$12,1-EXP(-Presion_cilindro!$B$16*((Presion_cilindro!N36-$B$12)/Presion_cilindro!$B$35)^(Presion_cilindro!$B$17+1)),0)</f>
        <v>0</v>
      </c>
      <c r="P37" s="10">
        <f>P36*(Presion_cilindro!O35/Presion_cilindro!O36)^Presion_cilindro!$B$9+10*(Presion_cilindro!$B$9-1)*Presion_cilindro!$B$33*(O37-O36)/((Presion_cilindro!O35+Presion_cilindro!O36)/2)</f>
        <v>0.73218667534069659</v>
      </c>
      <c r="Q37" s="9">
        <f>IF(OR($B$9=0,Presion_cilindro!N36&lt;=$B$15),IF(Presion_cilindro!N36&gt;$B$13,1-EXP(-Presion_cilindro!$B$16*((Presion_cilindro!N36-$B$13)/Presion_cilindro!$B$35)^(Presion_cilindro!$B$17+1)),0),$B$8+(1-$B$8)*(1-EXP(-(Presion_cilindro!N36-$B$15)/Presion_cilindro!$B$23)))</f>
        <v>0</v>
      </c>
      <c r="R37" s="10">
        <f>R36*(Presion_cilindro!O35/Presion_cilindro!O36)^Presion_cilindro!$B$9+10*(Presion_cilindro!$B$9-1)*Presion_cilindro!$B$33*(Q37-Q36)/((Presion_cilindro!O35+Presion_cilindro!O36)/2)</f>
        <v>0.73218667534069659</v>
      </c>
      <c r="S37" s="10">
        <f>R37+IF(AND($B$9=1,Presion_cilindro!N36&gt;$B$15),Presion_cilindro!$B$24*2.5*EXP(-(Presion_cilindro!N36-$B$15)/Presion_cilindro!$B$26)*SIN(2*PI()*(Presion_cilindro!N36-$B$15)/Presion_cilindro!$B$39),0)</f>
        <v>0.73218667534069659</v>
      </c>
      <c r="T37" s="9">
        <f>IF(Presion_cilindro!N36&gt;$B$14,1-EXP(-Presion_cilindro!$B$16*((Presion_cilindro!N36-$B$14)/Presion_cilindro!$B$35)^(Presion_cilindro!$B$17+1)),0)</f>
        <v>0</v>
      </c>
      <c r="U37" s="10">
        <f>U36*(Presion_cilindro!O35/Presion_cilindro!O36)^Presion_cilindro!$B$9+10*(Presion_cilindro!$B$9-1)*Presion_cilindro!$B$33*(T37-T36)/((Presion_cilindro!O35+Presion_cilindro!O36)/2)</f>
        <v>0.73218667534069659</v>
      </c>
    </row>
    <row r="38" spans="14:21" x14ac:dyDescent="0.25">
      <c r="N38" s="8">
        <f>-Presion_cilindro!N37</f>
        <v>163.5</v>
      </c>
      <c r="O38" s="9">
        <f>IF(Presion_cilindro!N37&gt;$B$12,1-EXP(-Presion_cilindro!$B$16*((Presion_cilindro!N37-$B$12)/Presion_cilindro!$B$35)^(Presion_cilindro!$B$17+1)),0)</f>
        <v>0</v>
      </c>
      <c r="P38" s="10">
        <f>P37*(Presion_cilindro!O36/Presion_cilindro!O37)^Presion_cilindro!$B$9+10*(Presion_cilindro!$B$9-1)*Presion_cilindro!$B$33*(O38-O37)/((Presion_cilindro!O36+Presion_cilindro!O37)/2)</f>
        <v>0.732972896618583</v>
      </c>
      <c r="Q38" s="9">
        <f>IF(OR($B$9=0,Presion_cilindro!N37&lt;=$B$15),IF(Presion_cilindro!N37&gt;$B$13,1-EXP(-Presion_cilindro!$B$16*((Presion_cilindro!N37-$B$13)/Presion_cilindro!$B$35)^(Presion_cilindro!$B$17+1)),0),$B$8+(1-$B$8)*(1-EXP(-(Presion_cilindro!N37-$B$15)/Presion_cilindro!$B$23)))</f>
        <v>0</v>
      </c>
      <c r="R38" s="10">
        <f>R37*(Presion_cilindro!O36/Presion_cilindro!O37)^Presion_cilindro!$B$9+10*(Presion_cilindro!$B$9-1)*Presion_cilindro!$B$33*(Q38-Q37)/((Presion_cilindro!O36+Presion_cilindro!O37)/2)</f>
        <v>0.732972896618583</v>
      </c>
      <c r="S38" s="10">
        <f>R38+IF(AND($B$9=1,Presion_cilindro!N37&gt;$B$15),Presion_cilindro!$B$24*2.5*EXP(-(Presion_cilindro!N37-$B$15)/Presion_cilindro!$B$26)*SIN(2*PI()*(Presion_cilindro!N37-$B$15)/Presion_cilindro!$B$39),0)</f>
        <v>0.732972896618583</v>
      </c>
      <c r="T38" s="9">
        <f>IF(Presion_cilindro!N37&gt;$B$14,1-EXP(-Presion_cilindro!$B$16*((Presion_cilindro!N37-$B$14)/Presion_cilindro!$B$35)^(Presion_cilindro!$B$17+1)),0)</f>
        <v>0</v>
      </c>
      <c r="U38" s="10">
        <f>U37*(Presion_cilindro!O36/Presion_cilindro!O37)^Presion_cilindro!$B$9+10*(Presion_cilindro!$B$9-1)*Presion_cilindro!$B$33*(T38-T37)/((Presion_cilindro!O36+Presion_cilindro!O37)/2)</f>
        <v>0.732972896618583</v>
      </c>
    </row>
    <row r="39" spans="14:21" x14ac:dyDescent="0.25">
      <c r="N39" s="8">
        <f>-Presion_cilindro!N38</f>
        <v>163</v>
      </c>
      <c r="O39" s="9">
        <f>IF(Presion_cilindro!N38&gt;$B$12,1-EXP(-Presion_cilindro!$B$16*((Presion_cilindro!N38-$B$12)/Presion_cilindro!$B$35)^(Presion_cilindro!$B$17+1)),0)</f>
        <v>0</v>
      </c>
      <c r="P39" s="10">
        <f>P38*(Presion_cilindro!O37/Presion_cilindro!O38)^Presion_cilindro!$B$9+10*(Presion_cilindro!$B$9-1)*Presion_cilindro!$B$33*(O39-O38)/((Presion_cilindro!O37+Presion_cilindro!O38)/2)</f>
        <v>0.73378491010901159</v>
      </c>
      <c r="Q39" s="9">
        <f>IF(OR($B$9=0,Presion_cilindro!N38&lt;=$B$15),IF(Presion_cilindro!N38&gt;$B$13,1-EXP(-Presion_cilindro!$B$16*((Presion_cilindro!N38-$B$13)/Presion_cilindro!$B$35)^(Presion_cilindro!$B$17+1)),0),$B$8+(1-$B$8)*(1-EXP(-(Presion_cilindro!N38-$B$15)/Presion_cilindro!$B$23)))</f>
        <v>0</v>
      </c>
      <c r="R39" s="10">
        <f>R38*(Presion_cilindro!O37/Presion_cilindro!O38)^Presion_cilindro!$B$9+10*(Presion_cilindro!$B$9-1)*Presion_cilindro!$B$33*(Q39-Q38)/((Presion_cilindro!O37+Presion_cilindro!O38)/2)</f>
        <v>0.73378491010901159</v>
      </c>
      <c r="S39" s="10">
        <f>R39+IF(AND($B$9=1,Presion_cilindro!N38&gt;$B$15),Presion_cilindro!$B$24*2.5*EXP(-(Presion_cilindro!N38-$B$15)/Presion_cilindro!$B$26)*SIN(2*PI()*(Presion_cilindro!N38-$B$15)/Presion_cilindro!$B$39),0)</f>
        <v>0.73378491010901159</v>
      </c>
      <c r="T39" s="9">
        <f>IF(Presion_cilindro!N38&gt;$B$14,1-EXP(-Presion_cilindro!$B$16*((Presion_cilindro!N38-$B$14)/Presion_cilindro!$B$35)^(Presion_cilindro!$B$17+1)),0)</f>
        <v>0</v>
      </c>
      <c r="U39" s="10">
        <f>U38*(Presion_cilindro!O37/Presion_cilindro!O38)^Presion_cilindro!$B$9+10*(Presion_cilindro!$B$9-1)*Presion_cilindro!$B$33*(T39-T38)/((Presion_cilindro!O37+Presion_cilindro!O38)/2)</f>
        <v>0.73378491010901159</v>
      </c>
    </row>
    <row r="40" spans="14:21" x14ac:dyDescent="0.25">
      <c r="N40" s="8">
        <f>-Presion_cilindro!N39</f>
        <v>162.5</v>
      </c>
      <c r="O40" s="9">
        <f>IF(Presion_cilindro!N39&gt;$B$12,1-EXP(-Presion_cilindro!$B$16*((Presion_cilindro!N39-$B$12)/Presion_cilindro!$B$35)^(Presion_cilindro!$B$17+1)),0)</f>
        <v>0</v>
      </c>
      <c r="P40" s="10">
        <f>P39*(Presion_cilindro!O38/Presion_cilindro!O39)^Presion_cilindro!$B$9+10*(Presion_cilindro!$B$9-1)*Presion_cilindro!$B$33*(O40-O39)/((Presion_cilindro!O38+Presion_cilindro!O39)/2)</f>
        <v>0.73462286504996899</v>
      </c>
      <c r="Q40" s="9">
        <f>IF(OR($B$9=0,Presion_cilindro!N39&lt;=$B$15),IF(Presion_cilindro!N39&gt;$B$13,1-EXP(-Presion_cilindro!$B$16*((Presion_cilindro!N39-$B$13)/Presion_cilindro!$B$35)^(Presion_cilindro!$B$17+1)),0),$B$8+(1-$B$8)*(1-EXP(-(Presion_cilindro!N39-$B$15)/Presion_cilindro!$B$23)))</f>
        <v>0</v>
      </c>
      <c r="R40" s="10">
        <f>R39*(Presion_cilindro!O38/Presion_cilindro!O39)^Presion_cilindro!$B$9+10*(Presion_cilindro!$B$9-1)*Presion_cilindro!$B$33*(Q40-Q39)/((Presion_cilindro!O38+Presion_cilindro!O39)/2)</f>
        <v>0.73462286504996899</v>
      </c>
      <c r="S40" s="10">
        <f>R40+IF(AND($B$9=1,Presion_cilindro!N39&gt;$B$15),Presion_cilindro!$B$24*2.5*EXP(-(Presion_cilindro!N39-$B$15)/Presion_cilindro!$B$26)*SIN(2*PI()*(Presion_cilindro!N39-$B$15)/Presion_cilindro!$B$39),0)</f>
        <v>0.73462286504996899</v>
      </c>
      <c r="T40" s="9">
        <f>IF(Presion_cilindro!N39&gt;$B$14,1-EXP(-Presion_cilindro!$B$16*((Presion_cilindro!N39-$B$14)/Presion_cilindro!$B$35)^(Presion_cilindro!$B$17+1)),0)</f>
        <v>0</v>
      </c>
      <c r="U40" s="10">
        <f>U39*(Presion_cilindro!O38/Presion_cilindro!O39)^Presion_cilindro!$B$9+10*(Presion_cilindro!$B$9-1)*Presion_cilindro!$B$33*(T40-T39)/((Presion_cilindro!O38+Presion_cilindro!O39)/2)</f>
        <v>0.73462286504996899</v>
      </c>
    </row>
    <row r="41" spans="14:21" x14ac:dyDescent="0.25">
      <c r="N41" s="8">
        <f>-Presion_cilindro!N40</f>
        <v>162</v>
      </c>
      <c r="O41" s="9">
        <f>IF(Presion_cilindro!N40&gt;$B$12,1-EXP(-Presion_cilindro!$B$16*((Presion_cilindro!N40-$B$12)/Presion_cilindro!$B$35)^(Presion_cilindro!$B$17+1)),0)</f>
        <v>0</v>
      </c>
      <c r="P41" s="10">
        <f>P40*(Presion_cilindro!O39/Presion_cilindro!O40)^Presion_cilindro!$B$9+10*(Presion_cilindro!$B$9-1)*Presion_cilindro!$B$33*(O41-O40)/((Presion_cilindro!O39+Presion_cilindro!O40)/2)</f>
        <v>0.73548691569824398</v>
      </c>
      <c r="Q41" s="9">
        <f>IF(OR($B$9=0,Presion_cilindro!N40&lt;=$B$15),IF(Presion_cilindro!N40&gt;$B$13,1-EXP(-Presion_cilindro!$B$16*((Presion_cilindro!N40-$B$13)/Presion_cilindro!$B$35)^(Presion_cilindro!$B$17+1)),0),$B$8+(1-$B$8)*(1-EXP(-(Presion_cilindro!N40-$B$15)/Presion_cilindro!$B$23)))</f>
        <v>0</v>
      </c>
      <c r="R41" s="10">
        <f>R40*(Presion_cilindro!O39/Presion_cilindro!O40)^Presion_cilindro!$B$9+10*(Presion_cilindro!$B$9-1)*Presion_cilindro!$B$33*(Q41-Q40)/((Presion_cilindro!O39+Presion_cilindro!O40)/2)</f>
        <v>0.73548691569824398</v>
      </c>
      <c r="S41" s="10">
        <f>R41+IF(AND($B$9=1,Presion_cilindro!N40&gt;$B$15),Presion_cilindro!$B$24*2.5*EXP(-(Presion_cilindro!N40-$B$15)/Presion_cilindro!$B$26)*SIN(2*PI()*(Presion_cilindro!N40-$B$15)/Presion_cilindro!$B$39),0)</f>
        <v>0.73548691569824398</v>
      </c>
      <c r="T41" s="9">
        <f>IF(Presion_cilindro!N40&gt;$B$14,1-EXP(-Presion_cilindro!$B$16*((Presion_cilindro!N40-$B$14)/Presion_cilindro!$B$35)^(Presion_cilindro!$B$17+1)),0)</f>
        <v>0</v>
      </c>
      <c r="U41" s="10">
        <f>U40*(Presion_cilindro!O39/Presion_cilindro!O40)^Presion_cilindro!$B$9+10*(Presion_cilindro!$B$9-1)*Presion_cilindro!$B$33*(T41-T40)/((Presion_cilindro!O39+Presion_cilindro!O40)/2)</f>
        <v>0.73548691569824398</v>
      </c>
    </row>
    <row r="42" spans="14:21" x14ac:dyDescent="0.25">
      <c r="N42" s="8">
        <f>-Presion_cilindro!N41</f>
        <v>161.5</v>
      </c>
      <c r="O42" s="9">
        <f>IF(Presion_cilindro!N41&gt;$B$12,1-EXP(-Presion_cilindro!$B$16*((Presion_cilindro!N41-$B$12)/Presion_cilindro!$B$35)^(Presion_cilindro!$B$17+1)),0)</f>
        <v>0</v>
      </c>
      <c r="P42" s="10">
        <f>P41*(Presion_cilindro!O40/Presion_cilindro!O41)^Presion_cilindro!$B$9+10*(Presion_cilindro!$B$9-1)*Presion_cilindro!$B$33*(O42-O41)/((Presion_cilindro!O40+Presion_cilindro!O41)/2)</f>
        <v>0.73637722138126505</v>
      </c>
      <c r="Q42" s="9">
        <f>IF(OR($B$9=0,Presion_cilindro!N41&lt;=$B$15),IF(Presion_cilindro!N41&gt;$B$13,1-EXP(-Presion_cilindro!$B$16*((Presion_cilindro!N41-$B$13)/Presion_cilindro!$B$35)^(Presion_cilindro!$B$17+1)),0),$B$8+(1-$B$8)*(1-EXP(-(Presion_cilindro!N41-$B$15)/Presion_cilindro!$B$23)))</f>
        <v>0</v>
      </c>
      <c r="R42" s="10">
        <f>R41*(Presion_cilindro!O40/Presion_cilindro!O41)^Presion_cilindro!$B$9+10*(Presion_cilindro!$B$9-1)*Presion_cilindro!$B$33*(Q42-Q41)/((Presion_cilindro!O40+Presion_cilindro!O41)/2)</f>
        <v>0.73637722138126505</v>
      </c>
      <c r="S42" s="10">
        <f>R42+IF(AND($B$9=1,Presion_cilindro!N41&gt;$B$15),Presion_cilindro!$B$24*2.5*EXP(-(Presion_cilindro!N41-$B$15)/Presion_cilindro!$B$26)*SIN(2*PI()*(Presion_cilindro!N41-$B$15)/Presion_cilindro!$B$39),0)</f>
        <v>0.73637722138126505</v>
      </c>
      <c r="T42" s="9">
        <f>IF(Presion_cilindro!N41&gt;$B$14,1-EXP(-Presion_cilindro!$B$16*((Presion_cilindro!N41-$B$14)/Presion_cilindro!$B$35)^(Presion_cilindro!$B$17+1)),0)</f>
        <v>0</v>
      </c>
      <c r="U42" s="10">
        <f>U41*(Presion_cilindro!O40/Presion_cilindro!O41)^Presion_cilindro!$B$9+10*(Presion_cilindro!$B$9-1)*Presion_cilindro!$B$33*(T42-T41)/((Presion_cilindro!O40+Presion_cilindro!O41)/2)</f>
        <v>0.73637722138126505</v>
      </c>
    </row>
    <row r="43" spans="14:21" x14ac:dyDescent="0.25">
      <c r="N43" s="8">
        <f>-Presion_cilindro!N42</f>
        <v>161</v>
      </c>
      <c r="O43" s="9">
        <f>IF(Presion_cilindro!N42&gt;$B$12,1-EXP(-Presion_cilindro!$B$16*((Presion_cilindro!N42-$B$12)/Presion_cilindro!$B$35)^(Presion_cilindro!$B$17+1)),0)</f>
        <v>0</v>
      </c>
      <c r="P43" s="10">
        <f>P42*(Presion_cilindro!O41/Presion_cilindro!O42)^Presion_cilindro!$B$9+10*(Presion_cilindro!$B$9-1)*Presion_cilindro!$B$33*(O43-O42)/((Presion_cilindro!O41+Presion_cilindro!O42)/2)</f>
        <v>0.73729394655075065</v>
      </c>
      <c r="Q43" s="9">
        <f>IF(OR($B$9=0,Presion_cilindro!N42&lt;=$B$15),IF(Presion_cilindro!N42&gt;$B$13,1-EXP(-Presion_cilindro!$B$16*((Presion_cilindro!N42-$B$13)/Presion_cilindro!$B$35)^(Presion_cilindro!$B$17+1)),0),$B$8+(1-$B$8)*(1-EXP(-(Presion_cilindro!N42-$B$15)/Presion_cilindro!$B$23)))</f>
        <v>0</v>
      </c>
      <c r="R43" s="10">
        <f>R42*(Presion_cilindro!O41/Presion_cilindro!O42)^Presion_cilindro!$B$9+10*(Presion_cilindro!$B$9-1)*Presion_cilindro!$B$33*(Q43-Q42)/((Presion_cilindro!O41+Presion_cilindro!O42)/2)</f>
        <v>0.73729394655075065</v>
      </c>
      <c r="S43" s="10">
        <f>R43+IF(AND($B$9=1,Presion_cilindro!N42&gt;$B$15),Presion_cilindro!$B$24*2.5*EXP(-(Presion_cilindro!N42-$B$15)/Presion_cilindro!$B$26)*SIN(2*PI()*(Presion_cilindro!N42-$B$15)/Presion_cilindro!$B$39),0)</f>
        <v>0.73729394655075065</v>
      </c>
      <c r="T43" s="9">
        <f>IF(Presion_cilindro!N42&gt;$B$14,1-EXP(-Presion_cilindro!$B$16*((Presion_cilindro!N42-$B$14)/Presion_cilindro!$B$35)^(Presion_cilindro!$B$17+1)),0)</f>
        <v>0</v>
      </c>
      <c r="U43" s="10">
        <f>U42*(Presion_cilindro!O41/Presion_cilindro!O42)^Presion_cilindro!$B$9+10*(Presion_cilindro!$B$9-1)*Presion_cilindro!$B$33*(T43-T42)/((Presion_cilindro!O41+Presion_cilindro!O42)/2)</f>
        <v>0.73729394655075065</v>
      </c>
    </row>
    <row r="44" spans="14:21" x14ac:dyDescent="0.25">
      <c r="N44" s="8">
        <f>-Presion_cilindro!N43</f>
        <v>160.5</v>
      </c>
      <c r="O44" s="9">
        <f>IF(Presion_cilindro!N43&gt;$B$12,1-EXP(-Presion_cilindro!$B$16*((Presion_cilindro!N43-$B$12)/Presion_cilindro!$B$35)^(Presion_cilindro!$B$17+1)),0)</f>
        <v>0</v>
      </c>
      <c r="P44" s="10">
        <f>P43*(Presion_cilindro!O42/Presion_cilindro!O43)^Presion_cilindro!$B$9+10*(Presion_cilindro!$B$9-1)*Presion_cilindro!$B$33*(O44-O43)/((Presion_cilindro!O42+Presion_cilindro!O43)/2)</f>
        <v>0.73823726083820129</v>
      </c>
      <c r="Q44" s="9">
        <f>IF(OR($B$9=0,Presion_cilindro!N43&lt;=$B$15),IF(Presion_cilindro!N43&gt;$B$13,1-EXP(-Presion_cilindro!$B$16*((Presion_cilindro!N43-$B$13)/Presion_cilindro!$B$35)^(Presion_cilindro!$B$17+1)),0),$B$8+(1-$B$8)*(1-EXP(-(Presion_cilindro!N43-$B$15)/Presion_cilindro!$B$23)))</f>
        <v>0</v>
      </c>
      <c r="R44" s="10">
        <f>R43*(Presion_cilindro!O42/Presion_cilindro!O43)^Presion_cilindro!$B$9+10*(Presion_cilindro!$B$9-1)*Presion_cilindro!$B$33*(Q44-Q43)/((Presion_cilindro!O42+Presion_cilindro!O43)/2)</f>
        <v>0.73823726083820129</v>
      </c>
      <c r="S44" s="10">
        <f>R44+IF(AND($B$9=1,Presion_cilindro!N43&gt;$B$15),Presion_cilindro!$B$24*2.5*EXP(-(Presion_cilindro!N43-$B$15)/Presion_cilindro!$B$26)*SIN(2*PI()*(Presion_cilindro!N43-$B$15)/Presion_cilindro!$B$39),0)</f>
        <v>0.73823726083820129</v>
      </c>
      <c r="T44" s="9">
        <f>IF(Presion_cilindro!N43&gt;$B$14,1-EXP(-Presion_cilindro!$B$16*((Presion_cilindro!N43-$B$14)/Presion_cilindro!$B$35)^(Presion_cilindro!$B$17+1)),0)</f>
        <v>0</v>
      </c>
      <c r="U44" s="10">
        <f>U43*(Presion_cilindro!O42/Presion_cilindro!O43)^Presion_cilindro!$B$9+10*(Presion_cilindro!$B$9-1)*Presion_cilindro!$B$33*(T44-T43)/((Presion_cilindro!O42+Presion_cilindro!O43)/2)</f>
        <v>0.73823726083820129</v>
      </c>
    </row>
    <row r="45" spans="14:21" x14ac:dyDescent="0.25">
      <c r="N45" s="8">
        <f>-Presion_cilindro!N44</f>
        <v>160</v>
      </c>
      <c r="O45" s="9">
        <f>IF(Presion_cilindro!N44&gt;$B$12,1-EXP(-Presion_cilindro!$B$16*((Presion_cilindro!N44-$B$12)/Presion_cilindro!$B$35)^(Presion_cilindro!$B$17+1)),0)</f>
        <v>0</v>
      </c>
      <c r="P45" s="10">
        <f>P44*(Presion_cilindro!O43/Presion_cilindro!O44)^Presion_cilindro!$B$9+10*(Presion_cilindro!$B$9-1)*Presion_cilindro!$B$33*(O45-O44)/((Presion_cilindro!O43+Presion_cilindro!O44)/2)</f>
        <v>0.73920733911226078</v>
      </c>
      <c r="Q45" s="9">
        <f>IF(OR($B$9=0,Presion_cilindro!N44&lt;=$B$15),IF(Presion_cilindro!N44&gt;$B$13,1-EXP(-Presion_cilindro!$B$16*((Presion_cilindro!N44-$B$13)/Presion_cilindro!$B$35)^(Presion_cilindro!$B$17+1)),0),$B$8+(1-$B$8)*(1-EXP(-(Presion_cilindro!N44-$B$15)/Presion_cilindro!$B$23)))</f>
        <v>0</v>
      </c>
      <c r="R45" s="10">
        <f>R44*(Presion_cilindro!O43/Presion_cilindro!O44)^Presion_cilindro!$B$9+10*(Presion_cilindro!$B$9-1)*Presion_cilindro!$B$33*(Q45-Q44)/((Presion_cilindro!O43+Presion_cilindro!O44)/2)</f>
        <v>0.73920733911226078</v>
      </c>
      <c r="S45" s="10">
        <f>R45+IF(AND($B$9=1,Presion_cilindro!N44&gt;$B$15),Presion_cilindro!$B$24*2.5*EXP(-(Presion_cilindro!N44-$B$15)/Presion_cilindro!$B$26)*SIN(2*PI()*(Presion_cilindro!N44-$B$15)/Presion_cilindro!$B$39),0)</f>
        <v>0.73920733911226078</v>
      </c>
      <c r="T45" s="9">
        <f>IF(Presion_cilindro!N44&gt;$B$14,1-EXP(-Presion_cilindro!$B$16*((Presion_cilindro!N44-$B$14)/Presion_cilindro!$B$35)^(Presion_cilindro!$B$17+1)),0)</f>
        <v>0</v>
      </c>
      <c r="U45" s="10">
        <f>U44*(Presion_cilindro!O43/Presion_cilindro!O44)^Presion_cilindro!$B$9+10*(Presion_cilindro!$B$9-1)*Presion_cilindro!$B$33*(T45-T44)/((Presion_cilindro!O43+Presion_cilindro!O44)/2)</f>
        <v>0.73920733911226078</v>
      </c>
    </row>
    <row r="46" spans="14:21" x14ac:dyDescent="0.25">
      <c r="N46" s="8">
        <f>-Presion_cilindro!N45</f>
        <v>159.5</v>
      </c>
      <c r="O46" s="9">
        <f>IF(Presion_cilindro!N45&gt;$B$12,1-EXP(-Presion_cilindro!$B$16*((Presion_cilindro!N45-$B$12)/Presion_cilindro!$B$35)^(Presion_cilindro!$B$17+1)),0)</f>
        <v>0</v>
      </c>
      <c r="P46" s="10">
        <f>P45*(Presion_cilindro!O44/Presion_cilindro!O45)^Presion_cilindro!$B$9+10*(Presion_cilindro!$B$9-1)*Presion_cilindro!$B$33*(O46-O45)/((Presion_cilindro!O44+Presion_cilindro!O45)/2)</f>
        <v>0.74020436153797375</v>
      </c>
      <c r="Q46" s="9">
        <f>IF(OR($B$9=0,Presion_cilindro!N45&lt;=$B$15),IF(Presion_cilindro!N45&gt;$B$13,1-EXP(-Presion_cilindro!$B$16*((Presion_cilindro!N45-$B$13)/Presion_cilindro!$B$35)^(Presion_cilindro!$B$17+1)),0),$B$8+(1-$B$8)*(1-EXP(-(Presion_cilindro!N45-$B$15)/Presion_cilindro!$B$23)))</f>
        <v>0</v>
      </c>
      <c r="R46" s="10">
        <f>R45*(Presion_cilindro!O44/Presion_cilindro!O45)^Presion_cilindro!$B$9+10*(Presion_cilindro!$B$9-1)*Presion_cilindro!$B$33*(Q46-Q45)/((Presion_cilindro!O44+Presion_cilindro!O45)/2)</f>
        <v>0.74020436153797375</v>
      </c>
      <c r="S46" s="10">
        <f>R46+IF(AND($B$9=1,Presion_cilindro!N45&gt;$B$15),Presion_cilindro!$B$24*2.5*EXP(-(Presion_cilindro!N45-$B$15)/Presion_cilindro!$B$26)*SIN(2*PI()*(Presion_cilindro!N45-$B$15)/Presion_cilindro!$B$39),0)</f>
        <v>0.74020436153797375</v>
      </c>
      <c r="T46" s="9">
        <f>IF(Presion_cilindro!N45&gt;$B$14,1-EXP(-Presion_cilindro!$B$16*((Presion_cilindro!N45-$B$14)/Presion_cilindro!$B$35)^(Presion_cilindro!$B$17+1)),0)</f>
        <v>0</v>
      </c>
      <c r="U46" s="10">
        <f>U45*(Presion_cilindro!O44/Presion_cilindro!O45)^Presion_cilindro!$B$9+10*(Presion_cilindro!$B$9-1)*Presion_cilindro!$B$33*(T46-T45)/((Presion_cilindro!O44+Presion_cilindro!O45)/2)</f>
        <v>0.74020436153797375</v>
      </c>
    </row>
    <row r="47" spans="14:21" x14ac:dyDescent="0.25">
      <c r="N47" s="8">
        <f>-Presion_cilindro!N46</f>
        <v>159</v>
      </c>
      <c r="O47" s="9">
        <f>IF(Presion_cilindro!N46&gt;$B$12,1-EXP(-Presion_cilindro!$B$16*((Presion_cilindro!N46-$B$12)/Presion_cilindro!$B$35)^(Presion_cilindro!$B$17+1)),0)</f>
        <v>0</v>
      </c>
      <c r="P47" s="10">
        <f>P46*(Presion_cilindro!O45/Presion_cilindro!O46)^Presion_cilindro!$B$9+10*(Presion_cilindro!$B$9-1)*Presion_cilindro!$B$33*(O47-O46)/((Presion_cilindro!O45+Presion_cilindro!O46)/2)</f>
        <v>0.7412285136379837</v>
      </c>
      <c r="Q47" s="9">
        <f>IF(OR($B$9=0,Presion_cilindro!N46&lt;=$B$15),IF(Presion_cilindro!N46&gt;$B$13,1-EXP(-Presion_cilindro!$B$16*((Presion_cilindro!N46-$B$13)/Presion_cilindro!$B$35)^(Presion_cilindro!$B$17+1)),0),$B$8+(1-$B$8)*(1-EXP(-(Presion_cilindro!N46-$B$15)/Presion_cilindro!$B$23)))</f>
        <v>0</v>
      </c>
      <c r="R47" s="10">
        <f>R46*(Presion_cilindro!O45/Presion_cilindro!O46)^Presion_cilindro!$B$9+10*(Presion_cilindro!$B$9-1)*Presion_cilindro!$B$33*(Q47-Q46)/((Presion_cilindro!O45+Presion_cilindro!O46)/2)</f>
        <v>0.7412285136379837</v>
      </c>
      <c r="S47" s="10">
        <f>R47+IF(AND($B$9=1,Presion_cilindro!N46&gt;$B$15),Presion_cilindro!$B$24*2.5*EXP(-(Presion_cilindro!N46-$B$15)/Presion_cilindro!$B$26)*SIN(2*PI()*(Presion_cilindro!N46-$B$15)/Presion_cilindro!$B$39),0)</f>
        <v>0.7412285136379837</v>
      </c>
      <c r="T47" s="9">
        <f>IF(Presion_cilindro!N46&gt;$B$14,1-EXP(-Presion_cilindro!$B$16*((Presion_cilindro!N46-$B$14)/Presion_cilindro!$B$35)^(Presion_cilindro!$B$17+1)),0)</f>
        <v>0</v>
      </c>
      <c r="U47" s="10">
        <f>U46*(Presion_cilindro!O45/Presion_cilindro!O46)^Presion_cilindro!$B$9+10*(Presion_cilindro!$B$9-1)*Presion_cilindro!$B$33*(T47-T46)/((Presion_cilindro!O45+Presion_cilindro!O46)/2)</f>
        <v>0.7412285136379837</v>
      </c>
    </row>
    <row r="48" spans="14:21" x14ac:dyDescent="0.25">
      <c r="N48" s="8">
        <f>-Presion_cilindro!N47</f>
        <v>158.5</v>
      </c>
      <c r="O48" s="9">
        <f>IF(Presion_cilindro!N47&gt;$B$12,1-EXP(-Presion_cilindro!$B$16*((Presion_cilindro!N47-$B$12)/Presion_cilindro!$B$35)^(Presion_cilindro!$B$17+1)),0)</f>
        <v>0</v>
      </c>
      <c r="P48" s="10">
        <f>P47*(Presion_cilindro!O46/Presion_cilindro!O47)^Presion_cilindro!$B$9+10*(Presion_cilindro!$B$9-1)*Presion_cilindro!$B$33*(O48-O47)/((Presion_cilindro!O46+Presion_cilindro!O47)/2)</f>
        <v>0.74227998635568693</v>
      </c>
      <c r="Q48" s="9">
        <f>IF(OR($B$9=0,Presion_cilindro!N47&lt;=$B$15),IF(Presion_cilindro!N47&gt;$B$13,1-EXP(-Presion_cilindro!$B$16*((Presion_cilindro!N47-$B$13)/Presion_cilindro!$B$35)^(Presion_cilindro!$B$17+1)),0),$B$8+(1-$B$8)*(1-EXP(-(Presion_cilindro!N47-$B$15)/Presion_cilindro!$B$23)))</f>
        <v>0</v>
      </c>
      <c r="R48" s="10">
        <f>R47*(Presion_cilindro!O46/Presion_cilindro!O47)^Presion_cilindro!$B$9+10*(Presion_cilindro!$B$9-1)*Presion_cilindro!$B$33*(Q48-Q47)/((Presion_cilindro!O46+Presion_cilindro!O47)/2)</f>
        <v>0.74227998635568693</v>
      </c>
      <c r="S48" s="10">
        <f>R48+IF(AND($B$9=1,Presion_cilindro!N47&gt;$B$15),Presion_cilindro!$B$24*2.5*EXP(-(Presion_cilindro!N47-$B$15)/Presion_cilindro!$B$26)*SIN(2*PI()*(Presion_cilindro!N47-$B$15)/Presion_cilindro!$B$39),0)</f>
        <v>0.74227998635568693</v>
      </c>
      <c r="T48" s="9">
        <f>IF(Presion_cilindro!N47&gt;$B$14,1-EXP(-Presion_cilindro!$B$16*((Presion_cilindro!N47-$B$14)/Presion_cilindro!$B$35)^(Presion_cilindro!$B$17+1)),0)</f>
        <v>0</v>
      </c>
      <c r="U48" s="10">
        <f>U47*(Presion_cilindro!O46/Presion_cilindro!O47)^Presion_cilindro!$B$9+10*(Presion_cilindro!$B$9-1)*Presion_cilindro!$B$33*(T48-T47)/((Presion_cilindro!O46+Presion_cilindro!O47)/2)</f>
        <v>0.74227998635568693</v>
      </c>
    </row>
    <row r="49" spans="14:21" x14ac:dyDescent="0.25">
      <c r="N49" s="8">
        <f>-Presion_cilindro!N48</f>
        <v>158</v>
      </c>
      <c r="O49" s="9">
        <f>IF(Presion_cilindro!N48&gt;$B$12,1-EXP(-Presion_cilindro!$B$16*((Presion_cilindro!N48-$B$12)/Presion_cilindro!$B$35)^(Presion_cilindro!$B$17+1)),0)</f>
        <v>0</v>
      </c>
      <c r="P49" s="10">
        <f>P48*(Presion_cilindro!O47/Presion_cilindro!O48)^Presion_cilindro!$B$9+10*(Presion_cilindro!$B$9-1)*Presion_cilindro!$B$33*(O49-O48)/((Presion_cilindro!O47+Presion_cilindro!O48)/2)</f>
        <v>0.74335897612038671</v>
      </c>
      <c r="Q49" s="9">
        <f>IF(OR($B$9=0,Presion_cilindro!N48&lt;=$B$15),IF(Presion_cilindro!N48&gt;$B$13,1-EXP(-Presion_cilindro!$B$16*((Presion_cilindro!N48-$B$13)/Presion_cilindro!$B$35)^(Presion_cilindro!$B$17+1)),0),$B$8+(1-$B$8)*(1-EXP(-(Presion_cilindro!N48-$B$15)/Presion_cilindro!$B$23)))</f>
        <v>0</v>
      </c>
      <c r="R49" s="10">
        <f>R48*(Presion_cilindro!O47/Presion_cilindro!O48)^Presion_cilindro!$B$9+10*(Presion_cilindro!$B$9-1)*Presion_cilindro!$B$33*(Q49-Q48)/((Presion_cilindro!O47+Presion_cilindro!O48)/2)</f>
        <v>0.74335897612038671</v>
      </c>
      <c r="S49" s="10">
        <f>R49+IF(AND($B$9=1,Presion_cilindro!N48&gt;$B$15),Presion_cilindro!$B$24*2.5*EXP(-(Presion_cilindro!N48-$B$15)/Presion_cilindro!$B$26)*SIN(2*PI()*(Presion_cilindro!N48-$B$15)/Presion_cilindro!$B$39),0)</f>
        <v>0.74335897612038671</v>
      </c>
      <c r="T49" s="9">
        <f>IF(Presion_cilindro!N48&gt;$B$14,1-EXP(-Presion_cilindro!$B$16*((Presion_cilindro!N48-$B$14)/Presion_cilindro!$B$35)^(Presion_cilindro!$B$17+1)),0)</f>
        <v>0</v>
      </c>
      <c r="U49" s="10">
        <f>U48*(Presion_cilindro!O47/Presion_cilindro!O48)^Presion_cilindro!$B$9+10*(Presion_cilindro!$B$9-1)*Presion_cilindro!$B$33*(T49-T48)/((Presion_cilindro!O47+Presion_cilindro!O48)/2)</f>
        <v>0.74335897612038671</v>
      </c>
    </row>
    <row r="50" spans="14:21" x14ac:dyDescent="0.25">
      <c r="N50" s="8">
        <f>-Presion_cilindro!N49</f>
        <v>157.5</v>
      </c>
      <c r="O50" s="9">
        <f>IF(Presion_cilindro!N49&gt;$B$12,1-EXP(-Presion_cilindro!$B$16*((Presion_cilindro!N49-$B$12)/Presion_cilindro!$B$35)^(Presion_cilindro!$B$17+1)),0)</f>
        <v>0</v>
      </c>
      <c r="P50" s="10">
        <f>P49*(Presion_cilindro!O48/Presion_cilindro!O49)^Presion_cilindro!$B$9+10*(Presion_cilindro!$B$9-1)*Presion_cilindro!$B$33*(O50-O49)/((Presion_cilindro!O48+Presion_cilindro!O49)/2)</f>
        <v>0.74446568491448406</v>
      </c>
      <c r="Q50" s="9">
        <f>IF(OR($B$9=0,Presion_cilindro!N49&lt;=$B$15),IF(Presion_cilindro!N49&gt;$B$13,1-EXP(-Presion_cilindro!$B$16*((Presion_cilindro!N49-$B$13)/Presion_cilindro!$B$35)^(Presion_cilindro!$B$17+1)),0),$B$8+(1-$B$8)*(1-EXP(-(Presion_cilindro!N49-$B$15)/Presion_cilindro!$B$23)))</f>
        <v>0</v>
      </c>
      <c r="R50" s="10">
        <f>R49*(Presion_cilindro!O48/Presion_cilindro!O49)^Presion_cilindro!$B$9+10*(Presion_cilindro!$B$9-1)*Presion_cilindro!$B$33*(Q50-Q49)/((Presion_cilindro!O48+Presion_cilindro!O49)/2)</f>
        <v>0.74446568491448406</v>
      </c>
      <c r="S50" s="10">
        <f>R50+IF(AND($B$9=1,Presion_cilindro!N49&gt;$B$15),Presion_cilindro!$B$24*2.5*EXP(-(Presion_cilindro!N49-$B$15)/Presion_cilindro!$B$26)*SIN(2*PI()*(Presion_cilindro!N49-$B$15)/Presion_cilindro!$B$39),0)</f>
        <v>0.74446568491448406</v>
      </c>
      <c r="T50" s="9">
        <f>IF(Presion_cilindro!N49&gt;$B$14,1-EXP(-Presion_cilindro!$B$16*((Presion_cilindro!N49-$B$14)/Presion_cilindro!$B$35)^(Presion_cilindro!$B$17+1)),0)</f>
        <v>0</v>
      </c>
      <c r="U50" s="10">
        <f>U49*(Presion_cilindro!O48/Presion_cilindro!O49)^Presion_cilindro!$B$9+10*(Presion_cilindro!$B$9-1)*Presion_cilindro!$B$33*(T50-T49)/((Presion_cilindro!O48+Presion_cilindro!O49)/2)</f>
        <v>0.74446568491448406</v>
      </c>
    </row>
    <row r="51" spans="14:21" x14ac:dyDescent="0.25">
      <c r="N51" s="8">
        <f>-Presion_cilindro!N50</f>
        <v>157</v>
      </c>
      <c r="O51" s="9">
        <f>IF(Presion_cilindro!N50&gt;$B$12,1-EXP(-Presion_cilindro!$B$16*((Presion_cilindro!N50-$B$12)/Presion_cilindro!$B$35)^(Presion_cilindro!$B$17+1)),0)</f>
        <v>0</v>
      </c>
      <c r="P51" s="10">
        <f>P50*(Presion_cilindro!O49/Presion_cilindro!O50)^Presion_cilindro!$B$9+10*(Presion_cilindro!$B$9-1)*Presion_cilindro!$B$33*(O51-O50)/((Presion_cilindro!O49+Presion_cilindro!O50)/2)</f>
        <v>0.74560032034273427</v>
      </c>
      <c r="Q51" s="9">
        <f>IF(OR($B$9=0,Presion_cilindro!N50&lt;=$B$15),IF(Presion_cilindro!N50&gt;$B$13,1-EXP(-Presion_cilindro!$B$16*((Presion_cilindro!N50-$B$13)/Presion_cilindro!$B$35)^(Presion_cilindro!$B$17+1)),0),$B$8+(1-$B$8)*(1-EXP(-(Presion_cilindro!N50-$B$15)/Presion_cilindro!$B$23)))</f>
        <v>0</v>
      </c>
      <c r="R51" s="10">
        <f>R50*(Presion_cilindro!O49/Presion_cilindro!O50)^Presion_cilindro!$B$9+10*(Presion_cilindro!$B$9-1)*Presion_cilindro!$B$33*(Q51-Q50)/((Presion_cilindro!O49+Presion_cilindro!O50)/2)</f>
        <v>0.74560032034273427</v>
      </c>
      <c r="S51" s="10">
        <f>R51+IF(AND($B$9=1,Presion_cilindro!N50&gt;$B$15),Presion_cilindro!$B$24*2.5*EXP(-(Presion_cilindro!N50-$B$15)/Presion_cilindro!$B$26)*SIN(2*PI()*(Presion_cilindro!N50-$B$15)/Presion_cilindro!$B$39),0)</f>
        <v>0.74560032034273427</v>
      </c>
      <c r="T51" s="9">
        <f>IF(Presion_cilindro!N50&gt;$B$14,1-EXP(-Presion_cilindro!$B$16*((Presion_cilindro!N50-$B$14)/Presion_cilindro!$B$35)^(Presion_cilindro!$B$17+1)),0)</f>
        <v>0</v>
      </c>
      <c r="U51" s="10">
        <f>U50*(Presion_cilindro!O49/Presion_cilindro!O50)^Presion_cilindro!$B$9+10*(Presion_cilindro!$B$9-1)*Presion_cilindro!$B$33*(T51-T50)/((Presion_cilindro!O49+Presion_cilindro!O50)/2)</f>
        <v>0.74560032034273427</v>
      </c>
    </row>
    <row r="52" spans="14:21" x14ac:dyDescent="0.25">
      <c r="N52" s="8">
        <f>-Presion_cilindro!N51</f>
        <v>156.5</v>
      </c>
      <c r="O52" s="9">
        <f>IF(Presion_cilindro!N51&gt;$B$12,1-EXP(-Presion_cilindro!$B$16*((Presion_cilindro!N51-$B$12)/Presion_cilindro!$B$35)^(Presion_cilindro!$B$17+1)),0)</f>
        <v>0</v>
      </c>
      <c r="P52" s="10">
        <f>P51*(Presion_cilindro!O50/Presion_cilindro!O51)^Presion_cilindro!$B$9+10*(Presion_cilindro!$B$9-1)*Presion_cilindro!$B$33*(O52-O51)/((Presion_cilindro!O50+Presion_cilindro!O51)/2)</f>
        <v>0.74676309570360877</v>
      </c>
      <c r="Q52" s="9">
        <f>IF(OR($B$9=0,Presion_cilindro!N51&lt;=$B$15),IF(Presion_cilindro!N51&gt;$B$13,1-EXP(-Presion_cilindro!$B$16*((Presion_cilindro!N51-$B$13)/Presion_cilindro!$B$35)^(Presion_cilindro!$B$17+1)),0),$B$8+(1-$B$8)*(1-EXP(-(Presion_cilindro!N51-$B$15)/Presion_cilindro!$B$23)))</f>
        <v>0</v>
      </c>
      <c r="R52" s="10">
        <f>R51*(Presion_cilindro!O50/Presion_cilindro!O51)^Presion_cilindro!$B$9+10*(Presion_cilindro!$B$9-1)*Presion_cilindro!$B$33*(Q52-Q51)/((Presion_cilindro!O50+Presion_cilindro!O51)/2)</f>
        <v>0.74676309570360877</v>
      </c>
      <c r="S52" s="10">
        <f>R52+IF(AND($B$9=1,Presion_cilindro!N51&gt;$B$15),Presion_cilindro!$B$24*2.5*EXP(-(Presion_cilindro!N51-$B$15)/Presion_cilindro!$B$26)*SIN(2*PI()*(Presion_cilindro!N51-$B$15)/Presion_cilindro!$B$39),0)</f>
        <v>0.74676309570360877</v>
      </c>
      <c r="T52" s="9">
        <f>IF(Presion_cilindro!N51&gt;$B$14,1-EXP(-Presion_cilindro!$B$16*((Presion_cilindro!N51-$B$14)/Presion_cilindro!$B$35)^(Presion_cilindro!$B$17+1)),0)</f>
        <v>0</v>
      </c>
      <c r="U52" s="10">
        <f>U51*(Presion_cilindro!O50/Presion_cilindro!O51)^Presion_cilindro!$B$9+10*(Presion_cilindro!$B$9-1)*Presion_cilindro!$B$33*(T52-T51)/((Presion_cilindro!O50+Presion_cilindro!O51)/2)</f>
        <v>0.74676309570360877</v>
      </c>
    </row>
    <row r="53" spans="14:21" x14ac:dyDescent="0.25">
      <c r="N53" s="8">
        <f>-Presion_cilindro!N52</f>
        <v>156</v>
      </c>
      <c r="O53" s="9">
        <f>IF(Presion_cilindro!N52&gt;$B$12,1-EXP(-Presion_cilindro!$B$16*((Presion_cilindro!N52-$B$12)/Presion_cilindro!$B$35)^(Presion_cilindro!$B$17+1)),0)</f>
        <v>0</v>
      </c>
      <c r="P53" s="10">
        <f>P52*(Presion_cilindro!O51/Presion_cilindro!O52)^Presion_cilindro!$B$9+10*(Presion_cilindro!$B$9-1)*Presion_cilindro!$B$33*(O53-O52)/((Presion_cilindro!O51+Presion_cilindro!O52)/2)</f>
        <v>0.7479542300628057</v>
      </c>
      <c r="Q53" s="9">
        <f>IF(OR($B$9=0,Presion_cilindro!N52&lt;=$B$15),IF(Presion_cilindro!N52&gt;$B$13,1-EXP(-Presion_cilindro!$B$16*((Presion_cilindro!N52-$B$13)/Presion_cilindro!$B$35)^(Presion_cilindro!$B$17+1)),0),$B$8+(1-$B$8)*(1-EXP(-(Presion_cilindro!N52-$B$15)/Presion_cilindro!$B$23)))</f>
        <v>0</v>
      </c>
      <c r="R53" s="10">
        <f>R52*(Presion_cilindro!O51/Presion_cilindro!O52)^Presion_cilindro!$B$9+10*(Presion_cilindro!$B$9-1)*Presion_cilindro!$B$33*(Q53-Q52)/((Presion_cilindro!O51+Presion_cilindro!O52)/2)</f>
        <v>0.7479542300628057</v>
      </c>
      <c r="S53" s="10">
        <f>R53+IF(AND($B$9=1,Presion_cilindro!N52&gt;$B$15),Presion_cilindro!$B$24*2.5*EXP(-(Presion_cilindro!N52-$B$15)/Presion_cilindro!$B$26)*SIN(2*PI()*(Presion_cilindro!N52-$B$15)/Presion_cilindro!$B$39),0)</f>
        <v>0.7479542300628057</v>
      </c>
      <c r="T53" s="9">
        <f>IF(Presion_cilindro!N52&gt;$B$14,1-EXP(-Presion_cilindro!$B$16*((Presion_cilindro!N52-$B$14)/Presion_cilindro!$B$35)^(Presion_cilindro!$B$17+1)),0)</f>
        <v>0</v>
      </c>
      <c r="U53" s="10">
        <f>U52*(Presion_cilindro!O51/Presion_cilindro!O52)^Presion_cilindro!$B$9+10*(Presion_cilindro!$B$9-1)*Presion_cilindro!$B$33*(T53-T52)/((Presion_cilindro!O51+Presion_cilindro!O52)/2)</f>
        <v>0.7479542300628057</v>
      </c>
    </row>
    <row r="54" spans="14:21" x14ac:dyDescent="0.25">
      <c r="N54" s="8">
        <f>-Presion_cilindro!N53</f>
        <v>155.5</v>
      </c>
      <c r="O54" s="9">
        <f>IF(Presion_cilindro!N53&gt;$B$12,1-EXP(-Presion_cilindro!$B$16*((Presion_cilindro!N53-$B$12)/Presion_cilindro!$B$35)^(Presion_cilindro!$B$17+1)),0)</f>
        <v>0</v>
      </c>
      <c r="P54" s="10">
        <f>P53*(Presion_cilindro!O52/Presion_cilindro!O53)^Presion_cilindro!$B$9+10*(Presion_cilindro!$B$9-1)*Presion_cilindro!$B$33*(O54-O53)/((Presion_cilindro!O52+Presion_cilindro!O53)/2)</f>
        <v>0.74917394832894058</v>
      </c>
      <c r="Q54" s="9">
        <f>IF(OR($B$9=0,Presion_cilindro!N53&lt;=$B$15),IF(Presion_cilindro!N53&gt;$B$13,1-EXP(-Presion_cilindro!$B$16*((Presion_cilindro!N53-$B$13)/Presion_cilindro!$B$35)^(Presion_cilindro!$B$17+1)),0),$B$8+(1-$B$8)*(1-EXP(-(Presion_cilindro!N53-$B$15)/Presion_cilindro!$B$23)))</f>
        <v>0</v>
      </c>
      <c r="R54" s="10">
        <f>R53*(Presion_cilindro!O52/Presion_cilindro!O53)^Presion_cilindro!$B$9+10*(Presion_cilindro!$B$9-1)*Presion_cilindro!$B$33*(Q54-Q53)/((Presion_cilindro!O52+Presion_cilindro!O53)/2)</f>
        <v>0.74917394832894058</v>
      </c>
      <c r="S54" s="10">
        <f>R54+IF(AND($B$9=1,Presion_cilindro!N53&gt;$B$15),Presion_cilindro!$B$24*2.5*EXP(-(Presion_cilindro!N53-$B$15)/Presion_cilindro!$B$26)*SIN(2*PI()*(Presion_cilindro!N53-$B$15)/Presion_cilindro!$B$39),0)</f>
        <v>0.74917394832894058</v>
      </c>
      <c r="T54" s="9">
        <f>IF(Presion_cilindro!N53&gt;$B$14,1-EXP(-Presion_cilindro!$B$16*((Presion_cilindro!N53-$B$14)/Presion_cilindro!$B$35)^(Presion_cilindro!$B$17+1)),0)</f>
        <v>0</v>
      </c>
      <c r="U54" s="10">
        <f>U53*(Presion_cilindro!O52/Presion_cilindro!O53)^Presion_cilindro!$B$9+10*(Presion_cilindro!$B$9-1)*Presion_cilindro!$B$33*(T54-T53)/((Presion_cilindro!O52+Presion_cilindro!O53)/2)</f>
        <v>0.74917394832894058</v>
      </c>
    </row>
    <row r="55" spans="14:21" x14ac:dyDescent="0.25">
      <c r="N55" s="8">
        <f>-Presion_cilindro!N54</f>
        <v>155</v>
      </c>
      <c r="O55" s="9">
        <f>IF(Presion_cilindro!N54&gt;$B$12,1-EXP(-Presion_cilindro!$B$16*((Presion_cilindro!N54-$B$12)/Presion_cilindro!$B$35)^(Presion_cilindro!$B$17+1)),0)</f>
        <v>0</v>
      </c>
      <c r="P55" s="10">
        <f>P54*(Presion_cilindro!O53/Presion_cilindro!O54)^Presion_cilindro!$B$9+10*(Presion_cilindro!$B$9-1)*Presion_cilindro!$B$33*(O55-O54)/((Presion_cilindro!O53+Presion_cilindro!O54)/2)</f>
        <v>0.75042248133147016</v>
      </c>
      <c r="Q55" s="9">
        <f>IF(OR($B$9=0,Presion_cilindro!N54&lt;=$B$15),IF(Presion_cilindro!N54&gt;$B$13,1-EXP(-Presion_cilindro!$B$16*((Presion_cilindro!N54-$B$13)/Presion_cilindro!$B$35)^(Presion_cilindro!$B$17+1)),0),$B$8+(1-$B$8)*(1-EXP(-(Presion_cilindro!N54-$B$15)/Presion_cilindro!$B$23)))</f>
        <v>0</v>
      </c>
      <c r="R55" s="10">
        <f>R54*(Presion_cilindro!O53/Presion_cilindro!O54)^Presion_cilindro!$B$9+10*(Presion_cilindro!$B$9-1)*Presion_cilindro!$B$33*(Q55-Q54)/((Presion_cilindro!O53+Presion_cilindro!O54)/2)</f>
        <v>0.75042248133147016</v>
      </c>
      <c r="S55" s="10">
        <f>R55+IF(AND($B$9=1,Presion_cilindro!N54&gt;$B$15),Presion_cilindro!$B$24*2.5*EXP(-(Presion_cilindro!N54-$B$15)/Presion_cilindro!$B$26)*SIN(2*PI()*(Presion_cilindro!N54-$B$15)/Presion_cilindro!$B$39),0)</f>
        <v>0.75042248133147016</v>
      </c>
      <c r="T55" s="9">
        <f>IF(Presion_cilindro!N54&gt;$B$14,1-EXP(-Presion_cilindro!$B$16*((Presion_cilindro!N54-$B$14)/Presion_cilindro!$B$35)^(Presion_cilindro!$B$17+1)),0)</f>
        <v>0</v>
      </c>
      <c r="U55" s="10">
        <f>U54*(Presion_cilindro!O53/Presion_cilindro!O54)^Presion_cilindro!$B$9+10*(Presion_cilindro!$B$9-1)*Presion_cilindro!$B$33*(T55-T54)/((Presion_cilindro!O53+Presion_cilindro!O54)/2)</f>
        <v>0.75042248133147016</v>
      </c>
    </row>
    <row r="56" spans="14:21" x14ac:dyDescent="0.25">
      <c r="N56" s="8">
        <f>-Presion_cilindro!N55</f>
        <v>154.5</v>
      </c>
      <c r="O56" s="9">
        <f>IF(Presion_cilindro!N55&gt;$B$12,1-EXP(-Presion_cilindro!$B$16*((Presion_cilindro!N55-$B$12)/Presion_cilindro!$B$35)^(Presion_cilindro!$B$17+1)),0)</f>
        <v>0</v>
      </c>
      <c r="P56" s="10">
        <f>P55*(Presion_cilindro!O54/Presion_cilindro!O55)^Presion_cilindro!$B$9+10*(Presion_cilindro!$B$9-1)*Presion_cilindro!$B$33*(O56-O55)/((Presion_cilindro!O54+Presion_cilindro!O55)/2)</f>
        <v>0.75170006590087524</v>
      </c>
      <c r="Q56" s="9">
        <f>IF(OR($B$9=0,Presion_cilindro!N55&lt;=$B$15),IF(Presion_cilindro!N55&gt;$B$13,1-EXP(-Presion_cilindro!$B$16*((Presion_cilindro!N55-$B$13)/Presion_cilindro!$B$35)^(Presion_cilindro!$B$17+1)),0),$B$8+(1-$B$8)*(1-EXP(-(Presion_cilindro!N55-$B$15)/Presion_cilindro!$B$23)))</f>
        <v>0</v>
      </c>
      <c r="R56" s="10">
        <f>R55*(Presion_cilindro!O54/Presion_cilindro!O55)^Presion_cilindro!$B$9+10*(Presion_cilindro!$B$9-1)*Presion_cilindro!$B$33*(Q56-Q55)/((Presion_cilindro!O54+Presion_cilindro!O55)/2)</f>
        <v>0.75170006590087524</v>
      </c>
      <c r="S56" s="10">
        <f>R56+IF(AND($B$9=1,Presion_cilindro!N55&gt;$B$15),Presion_cilindro!$B$24*2.5*EXP(-(Presion_cilindro!N55-$B$15)/Presion_cilindro!$B$26)*SIN(2*PI()*(Presion_cilindro!N55-$B$15)/Presion_cilindro!$B$39),0)</f>
        <v>0.75170006590087524</v>
      </c>
      <c r="T56" s="9">
        <f>IF(Presion_cilindro!N55&gt;$B$14,1-EXP(-Presion_cilindro!$B$16*((Presion_cilindro!N55-$B$14)/Presion_cilindro!$B$35)^(Presion_cilindro!$B$17+1)),0)</f>
        <v>0</v>
      </c>
      <c r="U56" s="10">
        <f>U55*(Presion_cilindro!O54/Presion_cilindro!O55)^Presion_cilindro!$B$9+10*(Presion_cilindro!$B$9-1)*Presion_cilindro!$B$33*(T56-T55)/((Presion_cilindro!O54+Presion_cilindro!O55)/2)</f>
        <v>0.75170006590087524</v>
      </c>
    </row>
    <row r="57" spans="14:21" x14ac:dyDescent="0.25">
      <c r="N57" s="8">
        <f>-Presion_cilindro!N56</f>
        <v>154</v>
      </c>
      <c r="O57" s="9">
        <f>IF(Presion_cilindro!N56&gt;$B$12,1-EXP(-Presion_cilindro!$B$16*((Presion_cilindro!N56-$B$12)/Presion_cilindro!$B$35)^(Presion_cilindro!$B$17+1)),0)</f>
        <v>0</v>
      </c>
      <c r="P57" s="10">
        <f>P56*(Presion_cilindro!O55/Presion_cilindro!O56)^Presion_cilindro!$B$9+10*(Presion_cilindro!$B$9-1)*Presion_cilindro!$B$33*(O57-O56)/((Presion_cilindro!O55+Presion_cilindro!O56)/2)</f>
        <v>0.75300694495116416</v>
      </c>
      <c r="Q57" s="9">
        <f>IF(OR($B$9=0,Presion_cilindro!N56&lt;=$B$15),IF(Presion_cilindro!N56&gt;$B$13,1-EXP(-Presion_cilindro!$B$16*((Presion_cilindro!N56-$B$13)/Presion_cilindro!$B$35)^(Presion_cilindro!$B$17+1)),0),$B$8+(1-$B$8)*(1-EXP(-(Presion_cilindro!N56-$B$15)/Presion_cilindro!$B$23)))</f>
        <v>0</v>
      </c>
      <c r="R57" s="10">
        <f>R56*(Presion_cilindro!O55/Presion_cilindro!O56)^Presion_cilindro!$B$9+10*(Presion_cilindro!$B$9-1)*Presion_cilindro!$B$33*(Q57-Q56)/((Presion_cilindro!O55+Presion_cilindro!O56)/2)</f>
        <v>0.75300694495116416</v>
      </c>
      <c r="S57" s="10">
        <f>R57+IF(AND($B$9=1,Presion_cilindro!N56&gt;$B$15),Presion_cilindro!$B$24*2.5*EXP(-(Presion_cilindro!N56-$B$15)/Presion_cilindro!$B$26)*SIN(2*PI()*(Presion_cilindro!N56-$B$15)/Presion_cilindro!$B$39),0)</f>
        <v>0.75300694495116416</v>
      </c>
      <c r="T57" s="9">
        <f>IF(Presion_cilindro!N56&gt;$B$14,1-EXP(-Presion_cilindro!$B$16*((Presion_cilindro!N56-$B$14)/Presion_cilindro!$B$35)^(Presion_cilindro!$B$17+1)),0)</f>
        <v>0</v>
      </c>
      <c r="U57" s="10">
        <f>U56*(Presion_cilindro!O55/Presion_cilindro!O56)^Presion_cilindro!$B$9+10*(Presion_cilindro!$B$9-1)*Presion_cilindro!$B$33*(T57-T56)/((Presion_cilindro!O55+Presion_cilindro!O56)/2)</f>
        <v>0.75300694495116416</v>
      </c>
    </row>
    <row r="58" spans="14:21" x14ac:dyDescent="0.25">
      <c r="N58" s="8">
        <f>-Presion_cilindro!N57</f>
        <v>153.5</v>
      </c>
      <c r="O58" s="9">
        <f>IF(Presion_cilindro!N57&gt;$B$12,1-EXP(-Presion_cilindro!$B$16*((Presion_cilindro!N57-$B$12)/Presion_cilindro!$B$35)^(Presion_cilindro!$B$17+1)),0)</f>
        <v>0</v>
      </c>
      <c r="P58" s="10">
        <f>P57*(Presion_cilindro!O56/Presion_cilindro!O57)^Presion_cilindro!$B$9+10*(Presion_cilindro!$B$9-1)*Presion_cilindro!$B$33*(O58-O57)/((Presion_cilindro!O56+Presion_cilindro!O57)/2)</f>
        <v>0.75434336756473064</v>
      </c>
      <c r="Q58" s="9">
        <f>IF(OR($B$9=0,Presion_cilindro!N57&lt;=$B$15),IF(Presion_cilindro!N57&gt;$B$13,1-EXP(-Presion_cilindro!$B$16*((Presion_cilindro!N57-$B$13)/Presion_cilindro!$B$35)^(Presion_cilindro!$B$17+1)),0),$B$8+(1-$B$8)*(1-EXP(-(Presion_cilindro!N57-$B$15)/Presion_cilindro!$B$23)))</f>
        <v>0</v>
      </c>
      <c r="R58" s="10">
        <f>R57*(Presion_cilindro!O56/Presion_cilindro!O57)^Presion_cilindro!$B$9+10*(Presion_cilindro!$B$9-1)*Presion_cilindro!$B$33*(Q58-Q57)/((Presion_cilindro!O56+Presion_cilindro!O57)/2)</f>
        <v>0.75434336756473064</v>
      </c>
      <c r="S58" s="10">
        <f>R58+IF(AND($B$9=1,Presion_cilindro!N57&gt;$B$15),Presion_cilindro!$B$24*2.5*EXP(-(Presion_cilindro!N57-$B$15)/Presion_cilindro!$B$26)*SIN(2*PI()*(Presion_cilindro!N57-$B$15)/Presion_cilindro!$B$39),0)</f>
        <v>0.75434336756473064</v>
      </c>
      <c r="T58" s="9">
        <f>IF(Presion_cilindro!N57&gt;$B$14,1-EXP(-Presion_cilindro!$B$16*((Presion_cilindro!N57-$B$14)/Presion_cilindro!$B$35)^(Presion_cilindro!$B$17+1)),0)</f>
        <v>0</v>
      </c>
      <c r="U58" s="10">
        <f>U57*(Presion_cilindro!O56/Presion_cilindro!O57)^Presion_cilindro!$B$9+10*(Presion_cilindro!$B$9-1)*Presion_cilindro!$B$33*(T58-T57)/((Presion_cilindro!O56+Presion_cilindro!O57)/2)</f>
        <v>0.75434336756473064</v>
      </c>
    </row>
    <row r="59" spans="14:21" x14ac:dyDescent="0.25">
      <c r="N59" s="8">
        <f>-Presion_cilindro!N58</f>
        <v>153</v>
      </c>
      <c r="O59" s="9">
        <f>IF(Presion_cilindro!N58&gt;$B$12,1-EXP(-Presion_cilindro!$B$16*((Presion_cilindro!N58-$B$12)/Presion_cilindro!$B$35)^(Presion_cilindro!$B$17+1)),0)</f>
        <v>0</v>
      </c>
      <c r="P59" s="10">
        <f>P58*(Presion_cilindro!O57/Presion_cilindro!O58)^Presion_cilindro!$B$9+10*(Presion_cilindro!$B$9-1)*Presion_cilindro!$B$33*(O59-O58)/((Presion_cilindro!O57+Presion_cilindro!O58)/2)</f>
        <v>0.75570958907961627</v>
      </c>
      <c r="Q59" s="9">
        <f>IF(OR($B$9=0,Presion_cilindro!N58&lt;=$B$15),IF(Presion_cilindro!N58&gt;$B$13,1-EXP(-Presion_cilindro!$B$16*((Presion_cilindro!N58-$B$13)/Presion_cilindro!$B$35)^(Presion_cilindro!$B$17+1)),0),$B$8+(1-$B$8)*(1-EXP(-(Presion_cilindro!N58-$B$15)/Presion_cilindro!$B$23)))</f>
        <v>0</v>
      </c>
      <c r="R59" s="10">
        <f>R58*(Presion_cilindro!O57/Presion_cilindro!O58)^Presion_cilindro!$B$9+10*(Presion_cilindro!$B$9-1)*Presion_cilindro!$B$33*(Q59-Q58)/((Presion_cilindro!O57+Presion_cilindro!O58)/2)</f>
        <v>0.75570958907961627</v>
      </c>
      <c r="S59" s="10">
        <f>R59+IF(AND($B$9=1,Presion_cilindro!N58&gt;$B$15),Presion_cilindro!$B$24*2.5*EXP(-(Presion_cilindro!N58-$B$15)/Presion_cilindro!$B$26)*SIN(2*PI()*(Presion_cilindro!N58-$B$15)/Presion_cilindro!$B$39),0)</f>
        <v>0.75570958907961627</v>
      </c>
      <c r="T59" s="9">
        <f>IF(Presion_cilindro!N58&gt;$B$14,1-EXP(-Presion_cilindro!$B$16*((Presion_cilindro!N58-$B$14)/Presion_cilindro!$B$35)^(Presion_cilindro!$B$17+1)),0)</f>
        <v>0</v>
      </c>
      <c r="U59" s="10">
        <f>U58*(Presion_cilindro!O57/Presion_cilindro!O58)^Presion_cilindro!$B$9+10*(Presion_cilindro!$B$9-1)*Presion_cilindro!$B$33*(T59-T58)/((Presion_cilindro!O57+Presion_cilindro!O58)/2)</f>
        <v>0.75570958907961627</v>
      </c>
    </row>
    <row r="60" spans="14:21" x14ac:dyDescent="0.25">
      <c r="N60" s="8">
        <f>-Presion_cilindro!N59</f>
        <v>152.5</v>
      </c>
      <c r="O60" s="9">
        <f>IF(Presion_cilindro!N59&gt;$B$12,1-EXP(-Presion_cilindro!$B$16*((Presion_cilindro!N59-$B$12)/Presion_cilindro!$B$35)^(Presion_cilindro!$B$17+1)),0)</f>
        <v>0</v>
      </c>
      <c r="P60" s="10">
        <f>P59*(Presion_cilindro!O58/Presion_cilindro!O59)^Presion_cilindro!$B$9+10*(Presion_cilindro!$B$9-1)*Presion_cilindro!$B$33*(O60-O59)/((Presion_cilindro!O58+Presion_cilindro!O59)/2)</f>
        <v>0.75710587117922712</v>
      </c>
      <c r="Q60" s="9">
        <f>IF(OR($B$9=0,Presion_cilindro!N59&lt;=$B$15),IF(Presion_cilindro!N59&gt;$B$13,1-EXP(-Presion_cilindro!$B$16*((Presion_cilindro!N59-$B$13)/Presion_cilindro!$B$35)^(Presion_cilindro!$B$17+1)),0),$B$8+(1-$B$8)*(1-EXP(-(Presion_cilindro!N59-$B$15)/Presion_cilindro!$B$23)))</f>
        <v>0</v>
      </c>
      <c r="R60" s="10">
        <f>R59*(Presion_cilindro!O58/Presion_cilindro!O59)^Presion_cilindro!$B$9+10*(Presion_cilindro!$B$9-1)*Presion_cilindro!$B$33*(Q60-Q59)/((Presion_cilindro!O58+Presion_cilindro!O59)/2)</f>
        <v>0.75710587117922712</v>
      </c>
      <c r="S60" s="10">
        <f>R60+IF(AND($B$9=1,Presion_cilindro!N59&gt;$B$15),Presion_cilindro!$B$24*2.5*EXP(-(Presion_cilindro!N59-$B$15)/Presion_cilindro!$B$26)*SIN(2*PI()*(Presion_cilindro!N59-$B$15)/Presion_cilindro!$B$39),0)</f>
        <v>0.75710587117922712</v>
      </c>
      <c r="T60" s="9">
        <f>IF(Presion_cilindro!N59&gt;$B$14,1-EXP(-Presion_cilindro!$B$16*((Presion_cilindro!N59-$B$14)/Presion_cilindro!$B$35)^(Presion_cilindro!$B$17+1)),0)</f>
        <v>0</v>
      </c>
      <c r="U60" s="10">
        <f>U59*(Presion_cilindro!O58/Presion_cilindro!O59)^Presion_cilindro!$B$9+10*(Presion_cilindro!$B$9-1)*Presion_cilindro!$B$33*(T60-T59)/((Presion_cilindro!O58+Presion_cilindro!O59)/2)</f>
        <v>0.75710587117922712</v>
      </c>
    </row>
    <row r="61" spans="14:21" x14ac:dyDescent="0.25">
      <c r="N61" s="8">
        <f>-Presion_cilindro!N60</f>
        <v>152</v>
      </c>
      <c r="O61" s="9">
        <f>IF(Presion_cilindro!N60&gt;$B$12,1-EXP(-Presion_cilindro!$B$16*((Presion_cilindro!N60-$B$12)/Presion_cilindro!$B$35)^(Presion_cilindro!$B$17+1)),0)</f>
        <v>0</v>
      </c>
      <c r="P61" s="10">
        <f>P60*(Presion_cilindro!O59/Presion_cilindro!O60)^Presion_cilindro!$B$9+10*(Presion_cilindro!$B$9-1)*Presion_cilindro!$B$33*(O61-O60)/((Presion_cilindro!O59+Presion_cilindro!O60)/2)</f>
        <v>0.75853248198455114</v>
      </c>
      <c r="Q61" s="9">
        <f>IF(OR($B$9=0,Presion_cilindro!N60&lt;=$B$15),IF(Presion_cilindro!N60&gt;$B$13,1-EXP(-Presion_cilindro!$B$16*((Presion_cilindro!N60-$B$13)/Presion_cilindro!$B$35)^(Presion_cilindro!$B$17+1)),0),$B$8+(1-$B$8)*(1-EXP(-(Presion_cilindro!N60-$B$15)/Presion_cilindro!$B$23)))</f>
        <v>0</v>
      </c>
      <c r="R61" s="10">
        <f>R60*(Presion_cilindro!O59/Presion_cilindro!O60)^Presion_cilindro!$B$9+10*(Presion_cilindro!$B$9-1)*Presion_cilindro!$B$33*(Q61-Q60)/((Presion_cilindro!O59+Presion_cilindro!O60)/2)</f>
        <v>0.75853248198455114</v>
      </c>
      <c r="S61" s="10">
        <f>R61+IF(AND($B$9=1,Presion_cilindro!N60&gt;$B$15),Presion_cilindro!$B$24*2.5*EXP(-(Presion_cilindro!N60-$B$15)/Presion_cilindro!$B$26)*SIN(2*PI()*(Presion_cilindro!N60-$B$15)/Presion_cilindro!$B$39),0)</f>
        <v>0.75853248198455114</v>
      </c>
      <c r="T61" s="9">
        <f>IF(Presion_cilindro!N60&gt;$B$14,1-EXP(-Presion_cilindro!$B$16*((Presion_cilindro!N60-$B$14)/Presion_cilindro!$B$35)^(Presion_cilindro!$B$17+1)),0)</f>
        <v>0</v>
      </c>
      <c r="U61" s="10">
        <f>U60*(Presion_cilindro!O59/Presion_cilindro!O60)^Presion_cilindro!$B$9+10*(Presion_cilindro!$B$9-1)*Presion_cilindro!$B$33*(T61-T60)/((Presion_cilindro!O59+Presion_cilindro!O60)/2)</f>
        <v>0.75853248198455114</v>
      </c>
    </row>
    <row r="62" spans="14:21" x14ac:dyDescent="0.25">
      <c r="N62" s="8">
        <f>-Presion_cilindro!N61</f>
        <v>151.5</v>
      </c>
      <c r="O62" s="9">
        <f>IF(Presion_cilindro!N61&gt;$B$12,1-EXP(-Presion_cilindro!$B$16*((Presion_cilindro!N61-$B$12)/Presion_cilindro!$B$35)^(Presion_cilindro!$B$17+1)),0)</f>
        <v>0</v>
      </c>
      <c r="P62" s="10">
        <f>P61*(Presion_cilindro!O60/Presion_cilindro!O61)^Presion_cilindro!$B$9+10*(Presion_cilindro!$B$9-1)*Presion_cilindro!$B$33*(O62-O61)/((Presion_cilindro!O60+Presion_cilindro!O61)/2)</f>
        <v>0.75998969614893253</v>
      </c>
      <c r="Q62" s="9">
        <f>IF(OR($B$9=0,Presion_cilindro!N61&lt;=$B$15),IF(Presion_cilindro!N61&gt;$B$13,1-EXP(-Presion_cilindro!$B$16*((Presion_cilindro!N61-$B$13)/Presion_cilindro!$B$35)^(Presion_cilindro!$B$17+1)),0),$B$8+(1-$B$8)*(1-EXP(-(Presion_cilindro!N61-$B$15)/Presion_cilindro!$B$23)))</f>
        <v>0</v>
      </c>
      <c r="R62" s="10">
        <f>R61*(Presion_cilindro!O60/Presion_cilindro!O61)^Presion_cilindro!$B$9+10*(Presion_cilindro!$B$9-1)*Presion_cilindro!$B$33*(Q62-Q61)/((Presion_cilindro!O60+Presion_cilindro!O61)/2)</f>
        <v>0.75998969614893253</v>
      </c>
      <c r="S62" s="10">
        <f>R62+IF(AND($B$9=1,Presion_cilindro!N61&gt;$B$15),Presion_cilindro!$B$24*2.5*EXP(-(Presion_cilindro!N61-$B$15)/Presion_cilindro!$B$26)*SIN(2*PI()*(Presion_cilindro!N61-$B$15)/Presion_cilindro!$B$39),0)</f>
        <v>0.75998969614893253</v>
      </c>
      <c r="T62" s="9">
        <f>IF(Presion_cilindro!N61&gt;$B$14,1-EXP(-Presion_cilindro!$B$16*((Presion_cilindro!N61-$B$14)/Presion_cilindro!$B$35)^(Presion_cilindro!$B$17+1)),0)</f>
        <v>0</v>
      </c>
      <c r="U62" s="10">
        <f>U61*(Presion_cilindro!O60/Presion_cilindro!O61)^Presion_cilindro!$B$9+10*(Presion_cilindro!$B$9-1)*Presion_cilindro!$B$33*(T62-T61)/((Presion_cilindro!O60+Presion_cilindro!O61)/2)</f>
        <v>0.75998969614893253</v>
      </c>
    </row>
    <row r="63" spans="14:21" x14ac:dyDescent="0.25">
      <c r="N63" s="8">
        <f>-Presion_cilindro!N62</f>
        <v>151</v>
      </c>
      <c r="O63" s="9">
        <f>IF(Presion_cilindro!N62&gt;$B$12,1-EXP(-Presion_cilindro!$B$16*((Presion_cilindro!N62-$B$12)/Presion_cilindro!$B$35)^(Presion_cilindro!$B$17+1)),0)</f>
        <v>0</v>
      </c>
      <c r="P63" s="10">
        <f>P62*(Presion_cilindro!O61/Presion_cilindro!O62)^Presion_cilindro!$B$9+10*(Presion_cilindro!$B$9-1)*Presion_cilindro!$B$33*(O63-O62)/((Presion_cilindro!O61+Presion_cilindro!O62)/2)</f>
        <v>0.76147779495544987</v>
      </c>
      <c r="Q63" s="9">
        <f>IF(OR($B$9=0,Presion_cilindro!N62&lt;=$B$15),IF(Presion_cilindro!N62&gt;$B$13,1-EXP(-Presion_cilindro!$B$16*((Presion_cilindro!N62-$B$13)/Presion_cilindro!$B$35)^(Presion_cilindro!$B$17+1)),0),$B$8+(1-$B$8)*(1-EXP(-(Presion_cilindro!N62-$B$15)/Presion_cilindro!$B$23)))</f>
        <v>0</v>
      </c>
      <c r="R63" s="10">
        <f>R62*(Presion_cilindro!O61/Presion_cilindro!O62)^Presion_cilindro!$B$9+10*(Presion_cilindro!$B$9-1)*Presion_cilindro!$B$33*(Q63-Q62)/((Presion_cilindro!O61+Presion_cilindro!O62)/2)</f>
        <v>0.76147779495544987</v>
      </c>
      <c r="S63" s="10">
        <f>R63+IF(AND($B$9=1,Presion_cilindro!N62&gt;$B$15),Presion_cilindro!$B$24*2.5*EXP(-(Presion_cilindro!N62-$B$15)/Presion_cilindro!$B$26)*SIN(2*PI()*(Presion_cilindro!N62-$B$15)/Presion_cilindro!$B$39),0)</f>
        <v>0.76147779495544987</v>
      </c>
      <c r="T63" s="9">
        <f>IF(Presion_cilindro!N62&gt;$B$14,1-EXP(-Presion_cilindro!$B$16*((Presion_cilindro!N62-$B$14)/Presion_cilindro!$B$35)^(Presion_cilindro!$B$17+1)),0)</f>
        <v>0</v>
      </c>
      <c r="U63" s="10">
        <f>U62*(Presion_cilindro!O61/Presion_cilindro!O62)^Presion_cilindro!$B$9+10*(Presion_cilindro!$B$9-1)*Presion_cilindro!$B$33*(T63-T62)/((Presion_cilindro!O61+Presion_cilindro!O62)/2)</f>
        <v>0.76147779495544987</v>
      </c>
    </row>
    <row r="64" spans="14:21" x14ac:dyDescent="0.25">
      <c r="N64" s="8">
        <f>-Presion_cilindro!N63</f>
        <v>150.5</v>
      </c>
      <c r="O64" s="9">
        <f>IF(Presion_cilindro!N63&gt;$B$12,1-EXP(-Presion_cilindro!$B$16*((Presion_cilindro!N63-$B$12)/Presion_cilindro!$B$35)^(Presion_cilindro!$B$17+1)),0)</f>
        <v>0</v>
      </c>
      <c r="P64" s="10">
        <f>P63*(Presion_cilindro!O62/Presion_cilindro!O63)^Presion_cilindro!$B$9+10*(Presion_cilindro!$B$9-1)*Presion_cilindro!$B$33*(O64-O63)/((Presion_cilindro!O62+Presion_cilindro!O63)/2)</f>
        <v>0.76299706641696152</v>
      </c>
      <c r="Q64" s="9">
        <f>IF(OR($B$9=0,Presion_cilindro!N63&lt;=$B$15),IF(Presion_cilindro!N63&gt;$B$13,1-EXP(-Presion_cilindro!$B$16*((Presion_cilindro!N63-$B$13)/Presion_cilindro!$B$35)^(Presion_cilindro!$B$17+1)),0),$B$8+(1-$B$8)*(1-EXP(-(Presion_cilindro!N63-$B$15)/Presion_cilindro!$B$23)))</f>
        <v>0</v>
      </c>
      <c r="R64" s="10">
        <f>R63*(Presion_cilindro!O62/Presion_cilindro!O63)^Presion_cilindro!$B$9+10*(Presion_cilindro!$B$9-1)*Presion_cilindro!$B$33*(Q64-Q63)/((Presion_cilindro!O62+Presion_cilindro!O63)/2)</f>
        <v>0.76299706641696152</v>
      </c>
      <c r="S64" s="10">
        <f>R64+IF(AND($B$9=1,Presion_cilindro!N63&gt;$B$15),Presion_cilindro!$B$24*2.5*EXP(-(Presion_cilindro!N63-$B$15)/Presion_cilindro!$B$26)*SIN(2*PI()*(Presion_cilindro!N63-$B$15)/Presion_cilindro!$B$39),0)</f>
        <v>0.76299706641696152</v>
      </c>
      <c r="T64" s="9">
        <f>IF(Presion_cilindro!N63&gt;$B$14,1-EXP(-Presion_cilindro!$B$16*((Presion_cilindro!N63-$B$14)/Presion_cilindro!$B$35)^(Presion_cilindro!$B$17+1)),0)</f>
        <v>0</v>
      </c>
      <c r="U64" s="10">
        <f>U63*(Presion_cilindro!O62/Presion_cilindro!O63)^Presion_cilindro!$B$9+10*(Presion_cilindro!$B$9-1)*Presion_cilindro!$B$33*(T64-T63)/((Presion_cilindro!O62+Presion_cilindro!O63)/2)</f>
        <v>0.76299706641696152</v>
      </c>
    </row>
    <row r="65" spans="14:21" x14ac:dyDescent="0.25">
      <c r="N65" s="8">
        <f>-Presion_cilindro!N64</f>
        <v>150</v>
      </c>
      <c r="O65" s="9">
        <f>IF(Presion_cilindro!N64&gt;$B$12,1-EXP(-Presion_cilindro!$B$16*((Presion_cilindro!N64-$B$12)/Presion_cilindro!$B$35)^(Presion_cilindro!$B$17+1)),0)</f>
        <v>0</v>
      </c>
      <c r="P65" s="10">
        <f>P64*(Presion_cilindro!O63/Presion_cilindro!O64)^Presion_cilindro!$B$9+10*(Presion_cilindro!$B$9-1)*Presion_cilindro!$B$33*(O65-O64)/((Presion_cilindro!O63+Presion_cilindro!O64)/2)</f>
        <v>0.76454780537886136</v>
      </c>
      <c r="Q65" s="9">
        <f>IF(OR($B$9=0,Presion_cilindro!N64&lt;=$B$15),IF(Presion_cilindro!N64&gt;$B$13,1-EXP(-Presion_cilindro!$B$16*((Presion_cilindro!N64-$B$13)/Presion_cilindro!$B$35)^(Presion_cilindro!$B$17+1)),0),$B$8+(1-$B$8)*(1-EXP(-(Presion_cilindro!N64-$B$15)/Presion_cilindro!$B$23)))</f>
        <v>0</v>
      </c>
      <c r="R65" s="10">
        <f>R64*(Presion_cilindro!O63/Presion_cilindro!O64)^Presion_cilindro!$B$9+10*(Presion_cilindro!$B$9-1)*Presion_cilindro!$B$33*(Q65-Q64)/((Presion_cilindro!O63+Presion_cilindro!O64)/2)</f>
        <v>0.76454780537886136</v>
      </c>
      <c r="S65" s="10">
        <f>R65+IF(AND($B$9=1,Presion_cilindro!N64&gt;$B$15),Presion_cilindro!$B$24*2.5*EXP(-(Presion_cilindro!N64-$B$15)/Presion_cilindro!$B$26)*SIN(2*PI()*(Presion_cilindro!N64-$B$15)/Presion_cilindro!$B$39),0)</f>
        <v>0.76454780537886136</v>
      </c>
      <c r="T65" s="9">
        <f>IF(Presion_cilindro!N64&gt;$B$14,1-EXP(-Presion_cilindro!$B$16*((Presion_cilindro!N64-$B$14)/Presion_cilindro!$B$35)^(Presion_cilindro!$B$17+1)),0)</f>
        <v>0</v>
      </c>
      <c r="U65" s="10">
        <f>U64*(Presion_cilindro!O63/Presion_cilindro!O64)^Presion_cilindro!$B$9+10*(Presion_cilindro!$B$9-1)*Presion_cilindro!$B$33*(T65-T64)/((Presion_cilindro!O63+Presion_cilindro!O64)/2)</f>
        <v>0.76454780537886136</v>
      </c>
    </row>
    <row r="66" spans="14:21" x14ac:dyDescent="0.25">
      <c r="N66" s="8">
        <f>-Presion_cilindro!N65</f>
        <v>149.5</v>
      </c>
      <c r="O66" s="9">
        <f>IF(Presion_cilindro!N65&gt;$B$12,1-EXP(-Presion_cilindro!$B$16*((Presion_cilindro!N65-$B$12)/Presion_cilindro!$B$35)^(Presion_cilindro!$B$17+1)),0)</f>
        <v>0</v>
      </c>
      <c r="P66" s="10">
        <f>P65*(Presion_cilindro!O64/Presion_cilindro!O65)^Presion_cilindro!$B$9+10*(Presion_cilindro!$B$9-1)*Presion_cilindro!$B$33*(O66-O65)/((Presion_cilindro!O64+Presion_cilindro!O65)/2)</f>
        <v>0.76613031362461881</v>
      </c>
      <c r="Q66" s="9">
        <f>IF(OR($B$9=0,Presion_cilindro!N65&lt;=$B$15),IF(Presion_cilindro!N65&gt;$B$13,1-EXP(-Presion_cilindro!$B$16*((Presion_cilindro!N65-$B$13)/Presion_cilindro!$B$35)^(Presion_cilindro!$B$17+1)),0),$B$8+(1-$B$8)*(1-EXP(-(Presion_cilindro!N65-$B$15)/Presion_cilindro!$B$23)))</f>
        <v>0</v>
      </c>
      <c r="R66" s="10">
        <f>R65*(Presion_cilindro!O64/Presion_cilindro!O65)^Presion_cilindro!$B$9+10*(Presion_cilindro!$B$9-1)*Presion_cilindro!$B$33*(Q66-Q65)/((Presion_cilindro!O64+Presion_cilindro!O65)/2)</f>
        <v>0.76613031362461881</v>
      </c>
      <c r="S66" s="10">
        <f>R66+IF(AND($B$9=1,Presion_cilindro!N65&gt;$B$15),Presion_cilindro!$B$24*2.5*EXP(-(Presion_cilindro!N65-$B$15)/Presion_cilindro!$B$26)*SIN(2*PI()*(Presion_cilindro!N65-$B$15)/Presion_cilindro!$B$39),0)</f>
        <v>0.76613031362461881</v>
      </c>
      <c r="T66" s="9">
        <f>IF(Presion_cilindro!N65&gt;$B$14,1-EXP(-Presion_cilindro!$B$16*((Presion_cilindro!N65-$B$14)/Presion_cilindro!$B$35)^(Presion_cilindro!$B$17+1)),0)</f>
        <v>0</v>
      </c>
      <c r="U66" s="10">
        <f>U65*(Presion_cilindro!O64/Presion_cilindro!O65)^Presion_cilindro!$B$9+10*(Presion_cilindro!$B$9-1)*Presion_cilindro!$B$33*(T66-T65)/((Presion_cilindro!O64+Presion_cilindro!O65)/2)</f>
        <v>0.76613031362461881</v>
      </c>
    </row>
    <row r="67" spans="14:21" x14ac:dyDescent="0.25">
      <c r="N67" s="8">
        <f>-Presion_cilindro!N66</f>
        <v>149</v>
      </c>
      <c r="O67" s="9">
        <f>IF(Presion_cilindro!N66&gt;$B$12,1-EXP(-Presion_cilindro!$B$16*((Presion_cilindro!N66-$B$12)/Presion_cilindro!$B$35)^(Presion_cilindro!$B$17+1)),0)</f>
        <v>0</v>
      </c>
      <c r="P67" s="10">
        <f>P66*(Presion_cilindro!O65/Presion_cilindro!O66)^Presion_cilindro!$B$9+10*(Presion_cilindro!$B$9-1)*Presion_cilindro!$B$33*(O67-O66)/((Presion_cilindro!O65+Presion_cilindro!O66)/2)</f>
        <v>0.76774489998414963</v>
      </c>
      <c r="Q67" s="9">
        <f>IF(OR($B$9=0,Presion_cilindro!N66&lt;=$B$15),IF(Presion_cilindro!N66&gt;$B$13,1-EXP(-Presion_cilindro!$B$16*((Presion_cilindro!N66-$B$13)/Presion_cilindro!$B$35)^(Presion_cilindro!$B$17+1)),0),$B$8+(1-$B$8)*(1-EXP(-(Presion_cilindro!N66-$B$15)/Presion_cilindro!$B$23)))</f>
        <v>0</v>
      </c>
      <c r="R67" s="10">
        <f>R66*(Presion_cilindro!O65/Presion_cilindro!O66)^Presion_cilindro!$B$9+10*(Presion_cilindro!$B$9-1)*Presion_cilindro!$B$33*(Q67-Q66)/((Presion_cilindro!O65+Presion_cilindro!O66)/2)</f>
        <v>0.76774489998414963</v>
      </c>
      <c r="S67" s="10">
        <f>R67+IF(AND($B$9=1,Presion_cilindro!N66&gt;$B$15),Presion_cilindro!$B$24*2.5*EXP(-(Presion_cilindro!N66-$B$15)/Presion_cilindro!$B$26)*SIN(2*PI()*(Presion_cilindro!N66-$B$15)/Presion_cilindro!$B$39),0)</f>
        <v>0.76774489998414963</v>
      </c>
      <c r="T67" s="9">
        <f>IF(Presion_cilindro!N66&gt;$B$14,1-EXP(-Presion_cilindro!$B$16*((Presion_cilindro!N66-$B$14)/Presion_cilindro!$B$35)^(Presion_cilindro!$B$17+1)),0)</f>
        <v>0</v>
      </c>
      <c r="U67" s="10">
        <f>U66*(Presion_cilindro!O65/Presion_cilindro!O66)^Presion_cilindro!$B$9+10*(Presion_cilindro!$B$9-1)*Presion_cilindro!$B$33*(T67-T66)/((Presion_cilindro!O65+Presion_cilindro!O66)/2)</f>
        <v>0.76774489998414963</v>
      </c>
    </row>
    <row r="68" spans="14:21" x14ac:dyDescent="0.25">
      <c r="N68" s="8">
        <f>-Presion_cilindro!N67</f>
        <v>148.5</v>
      </c>
      <c r="O68" s="9">
        <f>IF(Presion_cilindro!N67&gt;$B$12,1-EXP(-Presion_cilindro!$B$16*((Presion_cilindro!N67-$B$12)/Presion_cilindro!$B$35)^(Presion_cilindro!$B$17+1)),0)</f>
        <v>0</v>
      </c>
      <c r="P68" s="10">
        <f>P67*(Presion_cilindro!O66/Presion_cilindro!O67)^Presion_cilindro!$B$9+10*(Presion_cilindro!$B$9-1)*Presion_cilindro!$B$33*(O68-O67)/((Presion_cilindro!O66+Presion_cilindro!O67)/2)</f>
        <v>0.76939188044508899</v>
      </c>
      <c r="Q68" s="9">
        <f>IF(OR($B$9=0,Presion_cilindro!N67&lt;=$B$15),IF(Presion_cilindro!N67&gt;$B$13,1-EXP(-Presion_cilindro!$B$16*((Presion_cilindro!N67-$B$13)/Presion_cilindro!$B$35)^(Presion_cilindro!$B$17+1)),0),$B$8+(1-$B$8)*(1-EXP(-(Presion_cilindro!N67-$B$15)/Presion_cilindro!$B$23)))</f>
        <v>0</v>
      </c>
      <c r="R68" s="10">
        <f>R67*(Presion_cilindro!O66/Presion_cilindro!O67)^Presion_cilindro!$B$9+10*(Presion_cilindro!$B$9-1)*Presion_cilindro!$B$33*(Q68-Q67)/((Presion_cilindro!O66+Presion_cilindro!O67)/2)</f>
        <v>0.76939188044508899</v>
      </c>
      <c r="S68" s="10">
        <f>R68+IF(AND($B$9=1,Presion_cilindro!N67&gt;$B$15),Presion_cilindro!$B$24*2.5*EXP(-(Presion_cilindro!N67-$B$15)/Presion_cilindro!$B$26)*SIN(2*PI()*(Presion_cilindro!N67-$B$15)/Presion_cilindro!$B$39),0)</f>
        <v>0.76939188044508899</v>
      </c>
      <c r="T68" s="9">
        <f>IF(Presion_cilindro!N67&gt;$B$14,1-EXP(-Presion_cilindro!$B$16*((Presion_cilindro!N67-$B$14)/Presion_cilindro!$B$35)^(Presion_cilindro!$B$17+1)),0)</f>
        <v>0</v>
      </c>
      <c r="U68" s="10">
        <f>U67*(Presion_cilindro!O66/Presion_cilindro!O67)^Presion_cilindro!$B$9+10*(Presion_cilindro!$B$9-1)*Presion_cilindro!$B$33*(T68-T67)/((Presion_cilindro!O66+Presion_cilindro!O67)/2)</f>
        <v>0.76939188044508899</v>
      </c>
    </row>
    <row r="69" spans="14:21" x14ac:dyDescent="0.25">
      <c r="N69" s="8">
        <f>-Presion_cilindro!N68</f>
        <v>148</v>
      </c>
      <c r="O69" s="9">
        <f>IF(Presion_cilindro!N68&gt;$B$12,1-EXP(-Presion_cilindro!$B$16*((Presion_cilindro!N68-$B$12)/Presion_cilindro!$B$35)^(Presion_cilindro!$B$17+1)),0)</f>
        <v>0</v>
      </c>
      <c r="P69" s="10">
        <f>P68*(Presion_cilindro!O67/Presion_cilindro!O68)^Presion_cilindro!$B$9+10*(Presion_cilindro!$B$9-1)*Presion_cilindro!$B$33*(O69-O68)/((Presion_cilindro!O67+Presion_cilindro!O68)/2)</f>
        <v>0.77107157826702233</v>
      </c>
      <c r="Q69" s="9">
        <f>IF(OR($B$9=0,Presion_cilindro!N68&lt;=$B$15),IF(Presion_cilindro!N68&gt;$B$13,1-EXP(-Presion_cilindro!$B$16*((Presion_cilindro!N68-$B$13)/Presion_cilindro!$B$35)^(Presion_cilindro!$B$17+1)),0),$B$8+(1-$B$8)*(1-EXP(-(Presion_cilindro!N68-$B$15)/Presion_cilindro!$B$23)))</f>
        <v>0</v>
      </c>
      <c r="R69" s="10">
        <f>R68*(Presion_cilindro!O67/Presion_cilindro!O68)^Presion_cilindro!$B$9+10*(Presion_cilindro!$B$9-1)*Presion_cilindro!$B$33*(Q69-Q68)/((Presion_cilindro!O67+Presion_cilindro!O68)/2)</f>
        <v>0.77107157826702233</v>
      </c>
      <c r="S69" s="10">
        <f>R69+IF(AND($B$9=1,Presion_cilindro!N68&gt;$B$15),Presion_cilindro!$B$24*2.5*EXP(-(Presion_cilindro!N68-$B$15)/Presion_cilindro!$B$26)*SIN(2*PI()*(Presion_cilindro!N68-$B$15)/Presion_cilindro!$B$39),0)</f>
        <v>0.77107157826702233</v>
      </c>
      <c r="T69" s="9">
        <f>IF(Presion_cilindro!N68&gt;$B$14,1-EXP(-Presion_cilindro!$B$16*((Presion_cilindro!N68-$B$14)/Presion_cilindro!$B$35)^(Presion_cilindro!$B$17+1)),0)</f>
        <v>0</v>
      </c>
      <c r="U69" s="10">
        <f>U68*(Presion_cilindro!O67/Presion_cilindro!O68)^Presion_cilindro!$B$9+10*(Presion_cilindro!$B$9-1)*Presion_cilindro!$B$33*(T69-T68)/((Presion_cilindro!O67+Presion_cilindro!O68)/2)</f>
        <v>0.77107157826702233</v>
      </c>
    </row>
    <row r="70" spans="14:21" x14ac:dyDescent="0.25">
      <c r="N70" s="8">
        <f>-Presion_cilindro!N69</f>
        <v>147.5</v>
      </c>
      <c r="O70" s="9">
        <f>IF(Presion_cilindro!N69&gt;$B$12,1-EXP(-Presion_cilindro!$B$16*((Presion_cilindro!N69-$B$12)/Presion_cilindro!$B$35)^(Presion_cilindro!$B$17+1)),0)</f>
        <v>0</v>
      </c>
      <c r="P70" s="10">
        <f>P69*(Presion_cilindro!O68/Presion_cilindro!O69)^Presion_cilindro!$B$9+10*(Presion_cilindro!$B$9-1)*Presion_cilindro!$B$33*(O70-O69)/((Presion_cilindro!O68+Presion_cilindro!O69)/2)</f>
        <v>0.77278432409874676</v>
      </c>
      <c r="Q70" s="9">
        <f>IF(OR($B$9=0,Presion_cilindro!N69&lt;=$B$15),IF(Presion_cilindro!N69&gt;$B$13,1-EXP(-Presion_cilindro!$B$16*((Presion_cilindro!N69-$B$13)/Presion_cilindro!$B$35)^(Presion_cilindro!$B$17+1)),0),$B$8+(1-$B$8)*(1-EXP(-(Presion_cilindro!N69-$B$15)/Presion_cilindro!$B$23)))</f>
        <v>0</v>
      </c>
      <c r="R70" s="10">
        <f>R69*(Presion_cilindro!O68/Presion_cilindro!O69)^Presion_cilindro!$B$9+10*(Presion_cilindro!$B$9-1)*Presion_cilindro!$B$33*(Q70-Q69)/((Presion_cilindro!O68+Presion_cilindro!O69)/2)</f>
        <v>0.77278432409874676</v>
      </c>
      <c r="S70" s="10">
        <f>R70+IF(AND($B$9=1,Presion_cilindro!N69&gt;$B$15),Presion_cilindro!$B$24*2.5*EXP(-(Presion_cilindro!N69-$B$15)/Presion_cilindro!$B$26)*SIN(2*PI()*(Presion_cilindro!N69-$B$15)/Presion_cilindro!$B$39),0)</f>
        <v>0.77278432409874676</v>
      </c>
      <c r="T70" s="9">
        <f>IF(Presion_cilindro!N69&gt;$B$14,1-EXP(-Presion_cilindro!$B$16*((Presion_cilindro!N69-$B$14)/Presion_cilindro!$B$35)^(Presion_cilindro!$B$17+1)),0)</f>
        <v>0</v>
      </c>
      <c r="U70" s="10">
        <f>U69*(Presion_cilindro!O68/Presion_cilindro!O69)^Presion_cilindro!$B$9+10*(Presion_cilindro!$B$9-1)*Presion_cilindro!$B$33*(T70-T69)/((Presion_cilindro!O68+Presion_cilindro!O69)/2)</f>
        <v>0.77278432409874676</v>
      </c>
    </row>
    <row r="71" spans="14:21" x14ac:dyDescent="0.25">
      <c r="N71" s="8">
        <f>-Presion_cilindro!N70</f>
        <v>147</v>
      </c>
      <c r="O71" s="9">
        <f>IF(Presion_cilindro!N70&gt;$B$12,1-EXP(-Presion_cilindro!$B$16*((Presion_cilindro!N70-$B$12)/Presion_cilindro!$B$35)^(Presion_cilindro!$B$17+1)),0)</f>
        <v>0</v>
      </c>
      <c r="P71" s="10">
        <f>P70*(Presion_cilindro!O69/Presion_cilindro!O70)^Presion_cilindro!$B$9+10*(Presion_cilindro!$B$9-1)*Presion_cilindro!$B$33*(O71-O70)/((Presion_cilindro!O69+Presion_cilindro!O70)/2)</f>
        <v>0.77453045609862559</v>
      </c>
      <c r="Q71" s="9">
        <f>IF(OR($B$9=0,Presion_cilindro!N70&lt;=$B$15),IF(Presion_cilindro!N70&gt;$B$13,1-EXP(-Presion_cilindro!$B$16*((Presion_cilindro!N70-$B$13)/Presion_cilindro!$B$35)^(Presion_cilindro!$B$17+1)),0),$B$8+(1-$B$8)*(1-EXP(-(Presion_cilindro!N70-$B$15)/Presion_cilindro!$B$23)))</f>
        <v>0</v>
      </c>
      <c r="R71" s="10">
        <f>R70*(Presion_cilindro!O69/Presion_cilindro!O70)^Presion_cilindro!$B$9+10*(Presion_cilindro!$B$9-1)*Presion_cilindro!$B$33*(Q71-Q70)/((Presion_cilindro!O69+Presion_cilindro!O70)/2)</f>
        <v>0.77453045609862559</v>
      </c>
      <c r="S71" s="10">
        <f>R71+IF(AND($B$9=1,Presion_cilindro!N70&gt;$B$15),Presion_cilindro!$B$24*2.5*EXP(-(Presion_cilindro!N70-$B$15)/Presion_cilindro!$B$26)*SIN(2*PI()*(Presion_cilindro!N70-$B$15)/Presion_cilindro!$B$39),0)</f>
        <v>0.77453045609862559</v>
      </c>
      <c r="T71" s="9">
        <f>IF(Presion_cilindro!N70&gt;$B$14,1-EXP(-Presion_cilindro!$B$16*((Presion_cilindro!N70-$B$14)/Presion_cilindro!$B$35)^(Presion_cilindro!$B$17+1)),0)</f>
        <v>0</v>
      </c>
      <c r="U71" s="10">
        <f>U70*(Presion_cilindro!O69/Presion_cilindro!O70)^Presion_cilindro!$B$9+10*(Presion_cilindro!$B$9-1)*Presion_cilindro!$B$33*(T71-T70)/((Presion_cilindro!O69+Presion_cilindro!O70)/2)</f>
        <v>0.77453045609862559</v>
      </c>
    </row>
    <row r="72" spans="14:21" x14ac:dyDescent="0.25">
      <c r="N72" s="8">
        <f>-Presion_cilindro!N71</f>
        <v>146.5</v>
      </c>
      <c r="O72" s="9">
        <f>IF(Presion_cilindro!N71&gt;$B$12,1-EXP(-Presion_cilindro!$B$16*((Presion_cilindro!N71-$B$12)/Presion_cilindro!$B$35)^(Presion_cilindro!$B$17+1)),0)</f>
        <v>0</v>
      </c>
      <c r="P72" s="10">
        <f>P71*(Presion_cilindro!O70/Presion_cilindro!O71)^Presion_cilindro!$B$9+10*(Presion_cilindro!$B$9-1)*Presion_cilindro!$B$33*(O72-O71)/((Presion_cilindro!O70+Presion_cilindro!O71)/2)</f>
        <v>0.77631032005810752</v>
      </c>
      <c r="Q72" s="9">
        <f>IF(OR($B$9=0,Presion_cilindro!N71&lt;=$B$15),IF(Presion_cilindro!N71&gt;$B$13,1-EXP(-Presion_cilindro!$B$16*((Presion_cilindro!N71-$B$13)/Presion_cilindro!$B$35)^(Presion_cilindro!$B$17+1)),0),$B$8+(1-$B$8)*(1-EXP(-(Presion_cilindro!N71-$B$15)/Presion_cilindro!$B$23)))</f>
        <v>0</v>
      </c>
      <c r="R72" s="10">
        <f>R71*(Presion_cilindro!O70/Presion_cilindro!O71)^Presion_cilindro!$B$9+10*(Presion_cilindro!$B$9-1)*Presion_cilindro!$B$33*(Q72-Q71)/((Presion_cilindro!O70+Presion_cilindro!O71)/2)</f>
        <v>0.77631032005810752</v>
      </c>
      <c r="S72" s="10">
        <f>R72+IF(AND($B$9=1,Presion_cilindro!N71&gt;$B$15),Presion_cilindro!$B$24*2.5*EXP(-(Presion_cilindro!N71-$B$15)/Presion_cilindro!$B$26)*SIN(2*PI()*(Presion_cilindro!N71-$B$15)/Presion_cilindro!$B$39),0)</f>
        <v>0.77631032005810752</v>
      </c>
      <c r="T72" s="9">
        <f>IF(Presion_cilindro!N71&gt;$B$14,1-EXP(-Presion_cilindro!$B$16*((Presion_cilindro!N71-$B$14)/Presion_cilindro!$B$35)^(Presion_cilindro!$B$17+1)),0)</f>
        <v>0</v>
      </c>
      <c r="U72" s="10">
        <f>U71*(Presion_cilindro!O70/Presion_cilindro!O71)^Presion_cilindro!$B$9+10*(Presion_cilindro!$B$9-1)*Presion_cilindro!$B$33*(T72-T71)/((Presion_cilindro!O70+Presion_cilindro!O71)/2)</f>
        <v>0.77631032005810752</v>
      </c>
    </row>
    <row r="73" spans="14:21" x14ac:dyDescent="0.25">
      <c r="N73" s="8">
        <f>-Presion_cilindro!N72</f>
        <v>146</v>
      </c>
      <c r="O73" s="9">
        <f>IF(Presion_cilindro!N72&gt;$B$12,1-EXP(-Presion_cilindro!$B$16*((Presion_cilindro!N72-$B$12)/Presion_cilindro!$B$35)^(Presion_cilindro!$B$17+1)),0)</f>
        <v>0</v>
      </c>
      <c r="P73" s="10">
        <f>P72*(Presion_cilindro!O71/Presion_cilindro!O72)^Presion_cilindro!$B$9+10*(Presion_cilindro!$B$9-1)*Presion_cilindro!$B$33*(O73-O72)/((Presion_cilindro!O71+Presion_cilindro!O72)/2)</f>
        <v>0.7781242695284859</v>
      </c>
      <c r="Q73" s="9">
        <f>IF(OR($B$9=0,Presion_cilindro!N72&lt;=$B$15),IF(Presion_cilindro!N72&gt;$B$13,1-EXP(-Presion_cilindro!$B$16*((Presion_cilindro!N72-$B$13)/Presion_cilindro!$B$35)^(Presion_cilindro!$B$17+1)),0),$B$8+(1-$B$8)*(1-EXP(-(Presion_cilindro!N72-$B$15)/Presion_cilindro!$B$23)))</f>
        <v>0</v>
      </c>
      <c r="R73" s="10">
        <f>R72*(Presion_cilindro!O71/Presion_cilindro!O72)^Presion_cilindro!$B$9+10*(Presion_cilindro!$B$9-1)*Presion_cilindro!$B$33*(Q73-Q72)/((Presion_cilindro!O71+Presion_cilindro!O72)/2)</f>
        <v>0.7781242695284859</v>
      </c>
      <c r="S73" s="10">
        <f>R73+IF(AND($B$9=1,Presion_cilindro!N72&gt;$B$15),Presion_cilindro!$B$24*2.5*EXP(-(Presion_cilindro!N72-$B$15)/Presion_cilindro!$B$26)*SIN(2*PI()*(Presion_cilindro!N72-$B$15)/Presion_cilindro!$B$39),0)</f>
        <v>0.7781242695284859</v>
      </c>
      <c r="T73" s="9">
        <f>IF(Presion_cilindro!N72&gt;$B$14,1-EXP(-Presion_cilindro!$B$16*((Presion_cilindro!N72-$B$14)/Presion_cilindro!$B$35)^(Presion_cilindro!$B$17+1)),0)</f>
        <v>0</v>
      </c>
      <c r="U73" s="10">
        <f>U72*(Presion_cilindro!O71/Presion_cilindro!O72)^Presion_cilindro!$B$9+10*(Presion_cilindro!$B$9-1)*Presion_cilindro!$B$33*(T73-T72)/((Presion_cilindro!O71+Presion_cilindro!O72)/2)</f>
        <v>0.7781242695284859</v>
      </c>
    </row>
    <row r="74" spans="14:21" x14ac:dyDescent="0.25">
      <c r="N74" s="8">
        <f>-Presion_cilindro!N73</f>
        <v>145.5</v>
      </c>
      <c r="O74" s="9">
        <f>IF(Presion_cilindro!N73&gt;$B$12,1-EXP(-Presion_cilindro!$B$16*((Presion_cilindro!N73-$B$12)/Presion_cilindro!$B$35)^(Presion_cilindro!$B$17+1)),0)</f>
        <v>0</v>
      </c>
      <c r="P74" s="10">
        <f>P73*(Presion_cilindro!O72/Presion_cilindro!O73)^Presion_cilindro!$B$9+10*(Presion_cilindro!$B$9-1)*Presion_cilindro!$B$33*(O74-O73)/((Presion_cilindro!O72+Presion_cilindro!O73)/2)</f>
        <v>0.77997266595096193</v>
      </c>
      <c r="Q74" s="9">
        <f>IF(OR($B$9=0,Presion_cilindro!N73&lt;=$B$15),IF(Presion_cilindro!N73&gt;$B$13,1-EXP(-Presion_cilindro!$B$16*((Presion_cilindro!N73-$B$13)/Presion_cilindro!$B$35)^(Presion_cilindro!$B$17+1)),0),$B$8+(1-$B$8)*(1-EXP(-(Presion_cilindro!N73-$B$15)/Presion_cilindro!$B$23)))</f>
        <v>0</v>
      </c>
      <c r="R74" s="10">
        <f>R73*(Presion_cilindro!O72/Presion_cilindro!O73)^Presion_cilindro!$B$9+10*(Presion_cilindro!$B$9-1)*Presion_cilindro!$B$33*(Q74-Q73)/((Presion_cilindro!O72+Presion_cilindro!O73)/2)</f>
        <v>0.77997266595096193</v>
      </c>
      <c r="S74" s="10">
        <f>R74+IF(AND($B$9=1,Presion_cilindro!N73&gt;$B$15),Presion_cilindro!$B$24*2.5*EXP(-(Presion_cilindro!N73-$B$15)/Presion_cilindro!$B$26)*SIN(2*PI()*(Presion_cilindro!N73-$B$15)/Presion_cilindro!$B$39),0)</f>
        <v>0.77997266595096193</v>
      </c>
      <c r="T74" s="9">
        <f>IF(Presion_cilindro!N73&gt;$B$14,1-EXP(-Presion_cilindro!$B$16*((Presion_cilindro!N73-$B$14)/Presion_cilindro!$B$35)^(Presion_cilindro!$B$17+1)),0)</f>
        <v>0</v>
      </c>
      <c r="U74" s="10">
        <f>U73*(Presion_cilindro!O72/Presion_cilindro!O73)^Presion_cilindro!$B$9+10*(Presion_cilindro!$B$9-1)*Presion_cilindro!$B$33*(T74-T73)/((Presion_cilindro!O72+Presion_cilindro!O73)/2)</f>
        <v>0.77997266595096193</v>
      </c>
    </row>
    <row r="75" spans="14:21" x14ac:dyDescent="0.25">
      <c r="N75" s="8">
        <f>-Presion_cilindro!N74</f>
        <v>145</v>
      </c>
      <c r="O75" s="9">
        <f>IF(Presion_cilindro!N74&gt;$B$12,1-EXP(-Presion_cilindro!$B$16*((Presion_cilindro!N74-$B$12)/Presion_cilindro!$B$35)^(Presion_cilindro!$B$17+1)),0)</f>
        <v>0</v>
      </c>
      <c r="P75" s="10">
        <f>P74*(Presion_cilindro!O73/Presion_cilindro!O74)^Presion_cilindro!$B$9+10*(Presion_cilindro!$B$9-1)*Presion_cilindro!$B$33*(O75-O74)/((Presion_cilindro!O73+Presion_cilindro!O74)/2)</f>
        <v>0.78185587879010066</v>
      </c>
      <c r="Q75" s="9">
        <f>IF(OR($B$9=0,Presion_cilindro!N74&lt;=$B$15),IF(Presion_cilindro!N74&gt;$B$13,1-EXP(-Presion_cilindro!$B$16*((Presion_cilindro!N74-$B$13)/Presion_cilindro!$B$35)^(Presion_cilindro!$B$17+1)),0),$B$8+(1-$B$8)*(1-EXP(-(Presion_cilindro!N74-$B$15)/Presion_cilindro!$B$23)))</f>
        <v>0</v>
      </c>
      <c r="R75" s="10">
        <f>R74*(Presion_cilindro!O73/Presion_cilindro!O74)^Presion_cilindro!$B$9+10*(Presion_cilindro!$B$9-1)*Presion_cilindro!$B$33*(Q75-Q74)/((Presion_cilindro!O73+Presion_cilindro!O74)/2)</f>
        <v>0.78185587879010066</v>
      </c>
      <c r="S75" s="10">
        <f>R75+IF(AND($B$9=1,Presion_cilindro!N74&gt;$B$15),Presion_cilindro!$B$24*2.5*EXP(-(Presion_cilindro!N74-$B$15)/Presion_cilindro!$B$26)*SIN(2*PI()*(Presion_cilindro!N74-$B$15)/Presion_cilindro!$B$39),0)</f>
        <v>0.78185587879010066</v>
      </c>
      <c r="T75" s="9">
        <f>IF(Presion_cilindro!N74&gt;$B$14,1-EXP(-Presion_cilindro!$B$16*((Presion_cilindro!N74-$B$14)/Presion_cilindro!$B$35)^(Presion_cilindro!$B$17+1)),0)</f>
        <v>0</v>
      </c>
      <c r="U75" s="10">
        <f>U74*(Presion_cilindro!O73/Presion_cilindro!O74)^Presion_cilindro!$B$9+10*(Presion_cilindro!$B$9-1)*Presion_cilindro!$B$33*(T75-T74)/((Presion_cilindro!O73+Presion_cilindro!O74)/2)</f>
        <v>0.78185587879010066</v>
      </c>
    </row>
    <row r="76" spans="14:21" x14ac:dyDescent="0.25">
      <c r="N76" s="8">
        <f>-Presion_cilindro!N75</f>
        <v>144.5</v>
      </c>
      <c r="O76" s="9">
        <f>IF(Presion_cilindro!N75&gt;$B$12,1-EXP(-Presion_cilindro!$B$16*((Presion_cilindro!N75-$B$12)/Presion_cilindro!$B$35)^(Presion_cilindro!$B$17+1)),0)</f>
        <v>0</v>
      </c>
      <c r="P76" s="10">
        <f>P75*(Presion_cilindro!O74/Presion_cilindro!O75)^Presion_cilindro!$B$9+10*(Presion_cilindro!$B$9-1)*Presion_cilindro!$B$33*(O76-O75)/((Presion_cilindro!O74+Presion_cilindro!O75)/2)</f>
        <v>0.78377428567074958</v>
      </c>
      <c r="Q76" s="9">
        <f>IF(OR($B$9=0,Presion_cilindro!N75&lt;=$B$15),IF(Presion_cilindro!N75&gt;$B$13,1-EXP(-Presion_cilindro!$B$16*((Presion_cilindro!N75-$B$13)/Presion_cilindro!$B$35)^(Presion_cilindro!$B$17+1)),0),$B$8+(1-$B$8)*(1-EXP(-(Presion_cilindro!N75-$B$15)/Presion_cilindro!$B$23)))</f>
        <v>0</v>
      </c>
      <c r="R76" s="10">
        <f>R75*(Presion_cilindro!O74/Presion_cilindro!O75)^Presion_cilindro!$B$9+10*(Presion_cilindro!$B$9-1)*Presion_cilindro!$B$33*(Q76-Q75)/((Presion_cilindro!O74+Presion_cilindro!O75)/2)</f>
        <v>0.78377428567074958</v>
      </c>
      <c r="S76" s="10">
        <f>R76+IF(AND($B$9=1,Presion_cilindro!N75&gt;$B$15),Presion_cilindro!$B$24*2.5*EXP(-(Presion_cilindro!N75-$B$15)/Presion_cilindro!$B$26)*SIN(2*PI()*(Presion_cilindro!N75-$B$15)/Presion_cilindro!$B$39),0)</f>
        <v>0.78377428567074958</v>
      </c>
      <c r="T76" s="9">
        <f>IF(Presion_cilindro!N75&gt;$B$14,1-EXP(-Presion_cilindro!$B$16*((Presion_cilindro!N75-$B$14)/Presion_cilindro!$B$35)^(Presion_cilindro!$B$17+1)),0)</f>
        <v>0</v>
      </c>
      <c r="U76" s="10">
        <f>U75*(Presion_cilindro!O74/Presion_cilindro!O75)^Presion_cilindro!$B$9+10*(Presion_cilindro!$B$9-1)*Presion_cilindro!$B$33*(T76-T75)/((Presion_cilindro!O74+Presion_cilindro!O75)/2)</f>
        <v>0.78377428567074958</v>
      </c>
    </row>
    <row r="77" spans="14:21" x14ac:dyDescent="0.25">
      <c r="N77" s="8">
        <f>-Presion_cilindro!N76</f>
        <v>144</v>
      </c>
      <c r="O77" s="9">
        <f>IF(Presion_cilindro!N76&gt;$B$12,1-EXP(-Presion_cilindro!$B$16*((Presion_cilindro!N76-$B$12)/Presion_cilindro!$B$35)^(Presion_cilindro!$B$17+1)),0)</f>
        <v>0</v>
      </c>
      <c r="P77" s="10">
        <f>P76*(Presion_cilindro!O75/Presion_cilindro!O76)^Presion_cilindro!$B$9+10*(Presion_cilindro!$B$9-1)*Presion_cilindro!$B$33*(O77-O76)/((Presion_cilindro!O75+Presion_cilindro!O76)/2)</f>
        <v>0.78572827251850252</v>
      </c>
      <c r="Q77" s="9">
        <f>IF(OR($B$9=0,Presion_cilindro!N76&lt;=$B$15),IF(Presion_cilindro!N76&gt;$B$13,1-EXP(-Presion_cilindro!$B$16*((Presion_cilindro!N76-$B$13)/Presion_cilindro!$B$35)^(Presion_cilindro!$B$17+1)),0),$B$8+(1-$B$8)*(1-EXP(-(Presion_cilindro!N76-$B$15)/Presion_cilindro!$B$23)))</f>
        <v>0</v>
      </c>
      <c r="R77" s="10">
        <f>R76*(Presion_cilindro!O75/Presion_cilindro!O76)^Presion_cilindro!$B$9+10*(Presion_cilindro!$B$9-1)*Presion_cilindro!$B$33*(Q77-Q76)/((Presion_cilindro!O75+Presion_cilindro!O76)/2)</f>
        <v>0.78572827251850252</v>
      </c>
      <c r="S77" s="10">
        <f>R77+IF(AND($B$9=1,Presion_cilindro!N76&gt;$B$15),Presion_cilindro!$B$24*2.5*EXP(-(Presion_cilindro!N76-$B$15)/Presion_cilindro!$B$26)*SIN(2*PI()*(Presion_cilindro!N76-$B$15)/Presion_cilindro!$B$39),0)</f>
        <v>0.78572827251850252</v>
      </c>
      <c r="T77" s="9">
        <f>IF(Presion_cilindro!N76&gt;$B$14,1-EXP(-Presion_cilindro!$B$16*((Presion_cilindro!N76-$B$14)/Presion_cilindro!$B$35)^(Presion_cilindro!$B$17+1)),0)</f>
        <v>0</v>
      </c>
      <c r="U77" s="10">
        <f>U76*(Presion_cilindro!O75/Presion_cilindro!O76)^Presion_cilindro!$B$9+10*(Presion_cilindro!$B$9-1)*Presion_cilindro!$B$33*(T77-T76)/((Presion_cilindro!O75+Presion_cilindro!O76)/2)</f>
        <v>0.78572827251850252</v>
      </c>
    </row>
    <row r="78" spans="14:21" x14ac:dyDescent="0.25">
      <c r="N78" s="8">
        <f>-Presion_cilindro!N77</f>
        <v>143.5</v>
      </c>
      <c r="O78" s="9">
        <f>IF(Presion_cilindro!N77&gt;$B$12,1-EXP(-Presion_cilindro!$B$16*((Presion_cilindro!N77-$B$12)/Presion_cilindro!$B$35)^(Presion_cilindro!$B$17+1)),0)</f>
        <v>0</v>
      </c>
      <c r="P78" s="10">
        <f>P77*(Presion_cilindro!O76/Presion_cilindro!O77)^Presion_cilindro!$B$9+10*(Presion_cilindro!$B$9-1)*Presion_cilindro!$B$33*(O78-O77)/((Presion_cilindro!O76+Presion_cilindro!O77)/2)</f>
        <v>0.78771823370379646</v>
      </c>
      <c r="Q78" s="9">
        <f>IF(OR($B$9=0,Presion_cilindro!N77&lt;=$B$15),IF(Presion_cilindro!N77&gt;$B$13,1-EXP(-Presion_cilindro!$B$16*((Presion_cilindro!N77-$B$13)/Presion_cilindro!$B$35)^(Presion_cilindro!$B$17+1)),0),$B$8+(1-$B$8)*(1-EXP(-(Presion_cilindro!N77-$B$15)/Presion_cilindro!$B$23)))</f>
        <v>0</v>
      </c>
      <c r="R78" s="10">
        <f>R77*(Presion_cilindro!O76/Presion_cilindro!O77)^Presion_cilindro!$B$9+10*(Presion_cilindro!$B$9-1)*Presion_cilindro!$B$33*(Q78-Q77)/((Presion_cilindro!O76+Presion_cilindro!O77)/2)</f>
        <v>0.78771823370379646</v>
      </c>
      <c r="S78" s="10">
        <f>R78+IF(AND($B$9=1,Presion_cilindro!N77&gt;$B$15),Presion_cilindro!$B$24*2.5*EXP(-(Presion_cilindro!N77-$B$15)/Presion_cilindro!$B$26)*SIN(2*PI()*(Presion_cilindro!N77-$B$15)/Presion_cilindro!$B$39),0)</f>
        <v>0.78771823370379646</v>
      </c>
      <c r="T78" s="9">
        <f>IF(Presion_cilindro!N77&gt;$B$14,1-EXP(-Presion_cilindro!$B$16*((Presion_cilindro!N77-$B$14)/Presion_cilindro!$B$35)^(Presion_cilindro!$B$17+1)),0)</f>
        <v>0</v>
      </c>
      <c r="U78" s="10">
        <f>U77*(Presion_cilindro!O76/Presion_cilindro!O77)^Presion_cilindro!$B$9+10*(Presion_cilindro!$B$9-1)*Presion_cilindro!$B$33*(T78-T77)/((Presion_cilindro!O76+Presion_cilindro!O77)/2)</f>
        <v>0.78771823370379646</v>
      </c>
    </row>
    <row r="79" spans="14:21" x14ac:dyDescent="0.25">
      <c r="N79" s="8">
        <f>-Presion_cilindro!N78</f>
        <v>143</v>
      </c>
      <c r="O79" s="9">
        <f>IF(Presion_cilindro!N78&gt;$B$12,1-EXP(-Presion_cilindro!$B$16*((Presion_cilindro!N78-$B$12)/Presion_cilindro!$B$35)^(Presion_cilindro!$B$17+1)),0)</f>
        <v>0</v>
      </c>
      <c r="P79" s="10">
        <f>P78*(Presion_cilindro!O77/Presion_cilindro!O78)^Presion_cilindro!$B$9+10*(Presion_cilindro!$B$9-1)*Presion_cilindro!$B$33*(O79-O78)/((Presion_cilindro!O77+Presion_cilindro!O78)/2)</f>
        <v>0.7897445721897185</v>
      </c>
      <c r="Q79" s="9">
        <f>IF(OR($B$9=0,Presion_cilindro!N78&lt;=$B$15),IF(Presion_cilindro!N78&gt;$B$13,1-EXP(-Presion_cilindro!$B$16*((Presion_cilindro!N78-$B$13)/Presion_cilindro!$B$35)^(Presion_cilindro!$B$17+1)),0),$B$8+(1-$B$8)*(1-EXP(-(Presion_cilindro!N78-$B$15)/Presion_cilindro!$B$23)))</f>
        <v>0</v>
      </c>
      <c r="R79" s="10">
        <f>R78*(Presion_cilindro!O77/Presion_cilindro!O78)^Presion_cilindro!$B$9+10*(Presion_cilindro!$B$9-1)*Presion_cilindro!$B$33*(Q79-Q78)/((Presion_cilindro!O77+Presion_cilindro!O78)/2)</f>
        <v>0.7897445721897185</v>
      </c>
      <c r="S79" s="10">
        <f>R79+IF(AND($B$9=1,Presion_cilindro!N78&gt;$B$15),Presion_cilindro!$B$24*2.5*EXP(-(Presion_cilindro!N78-$B$15)/Presion_cilindro!$B$26)*SIN(2*PI()*(Presion_cilindro!N78-$B$15)/Presion_cilindro!$B$39),0)</f>
        <v>0.7897445721897185</v>
      </c>
      <c r="T79" s="9">
        <f>IF(Presion_cilindro!N78&gt;$B$14,1-EXP(-Presion_cilindro!$B$16*((Presion_cilindro!N78-$B$14)/Presion_cilindro!$B$35)^(Presion_cilindro!$B$17+1)),0)</f>
        <v>0</v>
      </c>
      <c r="U79" s="10">
        <f>U78*(Presion_cilindro!O77/Presion_cilindro!O78)^Presion_cilindro!$B$9+10*(Presion_cilindro!$B$9-1)*Presion_cilindro!$B$33*(T79-T78)/((Presion_cilindro!O77+Presion_cilindro!O78)/2)</f>
        <v>0.7897445721897185</v>
      </c>
    </row>
    <row r="80" spans="14:21" x14ac:dyDescent="0.25">
      <c r="N80" s="8">
        <f>-Presion_cilindro!N79</f>
        <v>142.5</v>
      </c>
      <c r="O80" s="9">
        <f>IF(Presion_cilindro!N79&gt;$B$12,1-EXP(-Presion_cilindro!$B$16*((Presion_cilindro!N79-$B$12)/Presion_cilindro!$B$35)^(Presion_cilindro!$B$17+1)),0)</f>
        <v>0</v>
      </c>
      <c r="P80" s="10">
        <f>P79*(Presion_cilindro!O78/Presion_cilindro!O79)^Presion_cilindro!$B$9+10*(Presion_cilindro!$B$9-1)*Presion_cilindro!$B$33*(O80-O79)/((Presion_cilindro!O78+Presion_cilindro!O79)/2)</f>
        <v>0.79180769968362352</v>
      </c>
      <c r="Q80" s="9">
        <f>IF(OR($B$9=0,Presion_cilindro!N79&lt;=$B$15),IF(Presion_cilindro!N79&gt;$B$13,1-EXP(-Presion_cilindro!$B$16*((Presion_cilindro!N79-$B$13)/Presion_cilindro!$B$35)^(Presion_cilindro!$B$17+1)),0),$B$8+(1-$B$8)*(1-EXP(-(Presion_cilindro!N79-$B$15)/Presion_cilindro!$B$23)))</f>
        <v>0</v>
      </c>
      <c r="R80" s="10">
        <f>R79*(Presion_cilindro!O78/Presion_cilindro!O79)^Presion_cilindro!$B$9+10*(Presion_cilindro!$B$9-1)*Presion_cilindro!$B$33*(Q80-Q79)/((Presion_cilindro!O78+Presion_cilindro!O79)/2)</f>
        <v>0.79180769968362352</v>
      </c>
      <c r="S80" s="10">
        <f>R80+IF(AND($B$9=1,Presion_cilindro!N79&gt;$B$15),Presion_cilindro!$B$24*2.5*EXP(-(Presion_cilindro!N79-$B$15)/Presion_cilindro!$B$26)*SIN(2*PI()*(Presion_cilindro!N79-$B$15)/Presion_cilindro!$B$39),0)</f>
        <v>0.79180769968362352</v>
      </c>
      <c r="T80" s="9">
        <f>IF(Presion_cilindro!N79&gt;$B$14,1-EXP(-Presion_cilindro!$B$16*((Presion_cilindro!N79-$B$14)/Presion_cilindro!$B$35)^(Presion_cilindro!$B$17+1)),0)</f>
        <v>0</v>
      </c>
      <c r="U80" s="10">
        <f>U79*(Presion_cilindro!O78/Presion_cilindro!O79)^Presion_cilindro!$B$9+10*(Presion_cilindro!$B$9-1)*Presion_cilindro!$B$33*(T80-T79)/((Presion_cilindro!O78+Presion_cilindro!O79)/2)</f>
        <v>0.79180769968362352</v>
      </c>
    </row>
    <row r="81" spans="14:21" x14ac:dyDescent="0.25">
      <c r="N81" s="8">
        <f>-Presion_cilindro!N80</f>
        <v>142</v>
      </c>
      <c r="O81" s="9">
        <f>IF(Presion_cilindro!N80&gt;$B$12,1-EXP(-Presion_cilindro!$B$16*((Presion_cilindro!N80-$B$12)/Presion_cilindro!$B$35)^(Presion_cilindro!$B$17+1)),0)</f>
        <v>0</v>
      </c>
      <c r="P81" s="10">
        <f>P80*(Presion_cilindro!O79/Presion_cilindro!O80)^Presion_cilindro!$B$9+10*(Presion_cilindro!$B$9-1)*Presion_cilindro!$B$33*(O81-O80)/((Presion_cilindro!O79+Presion_cilindro!O80)/2)</f>
        <v>0.7939080367926391</v>
      </c>
      <c r="Q81" s="9">
        <f>IF(OR($B$9=0,Presion_cilindro!N80&lt;=$B$15),IF(Presion_cilindro!N80&gt;$B$13,1-EXP(-Presion_cilindro!$B$16*((Presion_cilindro!N80-$B$13)/Presion_cilindro!$B$35)^(Presion_cilindro!$B$17+1)),0),$B$8+(1-$B$8)*(1-EXP(-(Presion_cilindro!N80-$B$15)/Presion_cilindro!$B$23)))</f>
        <v>0</v>
      </c>
      <c r="R81" s="10">
        <f>R80*(Presion_cilindro!O79/Presion_cilindro!O80)^Presion_cilindro!$B$9+10*(Presion_cilindro!$B$9-1)*Presion_cilindro!$B$33*(Q81-Q80)/((Presion_cilindro!O79+Presion_cilindro!O80)/2)</f>
        <v>0.7939080367926391</v>
      </c>
      <c r="S81" s="10">
        <f>R81+IF(AND($B$9=1,Presion_cilindro!N80&gt;$B$15),Presion_cilindro!$B$24*2.5*EXP(-(Presion_cilindro!N80-$B$15)/Presion_cilindro!$B$26)*SIN(2*PI()*(Presion_cilindro!N80-$B$15)/Presion_cilindro!$B$39),0)</f>
        <v>0.7939080367926391</v>
      </c>
      <c r="T81" s="9">
        <f>IF(Presion_cilindro!N80&gt;$B$14,1-EXP(-Presion_cilindro!$B$16*((Presion_cilindro!N80-$B$14)/Presion_cilindro!$B$35)^(Presion_cilindro!$B$17+1)),0)</f>
        <v>0</v>
      </c>
      <c r="U81" s="10">
        <f>U80*(Presion_cilindro!O79/Presion_cilindro!O80)^Presion_cilindro!$B$9+10*(Presion_cilindro!$B$9-1)*Presion_cilindro!$B$33*(T81-T80)/((Presion_cilindro!O79+Presion_cilindro!O80)/2)</f>
        <v>0.7939080367926391</v>
      </c>
    </row>
    <row r="82" spans="14:21" x14ac:dyDescent="0.25">
      <c r="N82" s="8">
        <f>-Presion_cilindro!N81</f>
        <v>141.5</v>
      </c>
      <c r="O82" s="9">
        <f>IF(Presion_cilindro!N81&gt;$B$12,1-EXP(-Presion_cilindro!$B$16*((Presion_cilindro!N81-$B$12)/Presion_cilindro!$B$35)^(Presion_cilindro!$B$17+1)),0)</f>
        <v>0</v>
      </c>
      <c r="P82" s="10">
        <f>P81*(Presion_cilindro!O80/Presion_cilindro!O81)^Presion_cilindro!$B$9+10*(Presion_cilindro!$B$9-1)*Presion_cilindro!$B$33*(O82-O81)/((Presion_cilindro!O80+Presion_cilindro!O81)/2)</f>
        <v>0.7960460131831657</v>
      </c>
      <c r="Q82" s="9">
        <f>IF(OR($B$9=0,Presion_cilindro!N81&lt;=$B$15),IF(Presion_cilindro!N81&gt;$B$13,1-EXP(-Presion_cilindro!$B$16*((Presion_cilindro!N81-$B$13)/Presion_cilindro!$B$35)^(Presion_cilindro!$B$17+1)),0),$B$8+(1-$B$8)*(1-EXP(-(Presion_cilindro!N81-$B$15)/Presion_cilindro!$B$23)))</f>
        <v>0</v>
      </c>
      <c r="R82" s="10">
        <f>R81*(Presion_cilindro!O80/Presion_cilindro!O81)^Presion_cilindro!$B$9+10*(Presion_cilindro!$B$9-1)*Presion_cilindro!$B$33*(Q82-Q81)/((Presion_cilindro!O80+Presion_cilindro!O81)/2)</f>
        <v>0.7960460131831657</v>
      </c>
      <c r="S82" s="10">
        <f>R82+IF(AND($B$9=1,Presion_cilindro!N81&gt;$B$15),Presion_cilindro!$B$24*2.5*EXP(-(Presion_cilindro!N81-$B$15)/Presion_cilindro!$B$26)*SIN(2*PI()*(Presion_cilindro!N81-$B$15)/Presion_cilindro!$B$39),0)</f>
        <v>0.7960460131831657</v>
      </c>
      <c r="T82" s="9">
        <f>IF(Presion_cilindro!N81&gt;$B$14,1-EXP(-Presion_cilindro!$B$16*((Presion_cilindro!N81-$B$14)/Presion_cilindro!$B$35)^(Presion_cilindro!$B$17+1)),0)</f>
        <v>0</v>
      </c>
      <c r="U82" s="10">
        <f>U81*(Presion_cilindro!O80/Presion_cilindro!O81)^Presion_cilindro!$B$9+10*(Presion_cilindro!$B$9-1)*Presion_cilindro!$B$33*(T82-T81)/((Presion_cilindro!O80+Presion_cilindro!O81)/2)</f>
        <v>0.7960460131831657</v>
      </c>
    </row>
    <row r="83" spans="14:21" x14ac:dyDescent="0.25">
      <c r="N83" s="8">
        <f>-Presion_cilindro!N82</f>
        <v>141</v>
      </c>
      <c r="O83" s="9">
        <f>IF(Presion_cilindro!N82&gt;$B$12,1-EXP(-Presion_cilindro!$B$16*((Presion_cilindro!N82-$B$12)/Presion_cilindro!$B$35)^(Presion_cilindro!$B$17+1)),0)</f>
        <v>0</v>
      </c>
      <c r="P83" s="10">
        <f>P82*(Presion_cilindro!O81/Presion_cilindro!O82)^Presion_cilindro!$B$9+10*(Presion_cilindro!$B$9-1)*Presion_cilindro!$B$33*(O83-O82)/((Presion_cilindro!O81+Presion_cilindro!O82)/2)</f>
        <v>0.79822206774445914</v>
      </c>
      <c r="Q83" s="9">
        <f>IF(OR($B$9=0,Presion_cilindro!N82&lt;=$B$15),IF(Presion_cilindro!N82&gt;$B$13,1-EXP(-Presion_cilindro!$B$16*((Presion_cilindro!N82-$B$13)/Presion_cilindro!$B$35)^(Presion_cilindro!$B$17+1)),0),$B$8+(1-$B$8)*(1-EXP(-(Presion_cilindro!N82-$B$15)/Presion_cilindro!$B$23)))</f>
        <v>0</v>
      </c>
      <c r="R83" s="10">
        <f>R82*(Presion_cilindro!O81/Presion_cilindro!O82)^Presion_cilindro!$B$9+10*(Presion_cilindro!$B$9-1)*Presion_cilindro!$B$33*(Q83-Q82)/((Presion_cilindro!O81+Presion_cilindro!O82)/2)</f>
        <v>0.79822206774445914</v>
      </c>
      <c r="S83" s="10">
        <f>R83+IF(AND($B$9=1,Presion_cilindro!N82&gt;$B$15),Presion_cilindro!$B$24*2.5*EXP(-(Presion_cilindro!N82-$B$15)/Presion_cilindro!$B$26)*SIN(2*PI()*(Presion_cilindro!N82-$B$15)/Presion_cilindro!$B$39),0)</f>
        <v>0.79822206774445914</v>
      </c>
      <c r="T83" s="9">
        <f>IF(Presion_cilindro!N82&gt;$B$14,1-EXP(-Presion_cilindro!$B$16*((Presion_cilindro!N82-$B$14)/Presion_cilindro!$B$35)^(Presion_cilindro!$B$17+1)),0)</f>
        <v>0</v>
      </c>
      <c r="U83" s="10">
        <f>U82*(Presion_cilindro!O81/Presion_cilindro!O82)^Presion_cilindro!$B$9+10*(Presion_cilindro!$B$9-1)*Presion_cilindro!$B$33*(T83-T82)/((Presion_cilindro!O81+Presion_cilindro!O82)/2)</f>
        <v>0.79822206774445914</v>
      </c>
    </row>
    <row r="84" spans="14:21" x14ac:dyDescent="0.25">
      <c r="N84" s="8">
        <f>-Presion_cilindro!N83</f>
        <v>140.5</v>
      </c>
      <c r="O84" s="9">
        <f>IF(Presion_cilindro!N83&gt;$B$12,1-EXP(-Presion_cilindro!$B$16*((Presion_cilindro!N83-$B$12)/Presion_cilindro!$B$35)^(Presion_cilindro!$B$17+1)),0)</f>
        <v>0</v>
      </c>
      <c r="P84" s="10">
        <f>P83*(Presion_cilindro!O82/Presion_cilindro!O83)^Presion_cilindro!$B$9+10*(Presion_cilindro!$B$9-1)*Presion_cilindro!$B$33*(O84-O83)/((Presion_cilindro!O82+Presion_cilindro!O83)/2)</f>
        <v>0.80043664875639786</v>
      </c>
      <c r="Q84" s="9">
        <f>IF(OR($B$9=0,Presion_cilindro!N83&lt;=$B$15),IF(Presion_cilindro!N83&gt;$B$13,1-EXP(-Presion_cilindro!$B$16*((Presion_cilindro!N83-$B$13)/Presion_cilindro!$B$35)^(Presion_cilindro!$B$17+1)),0),$B$8+(1-$B$8)*(1-EXP(-(Presion_cilindro!N83-$B$15)/Presion_cilindro!$B$23)))</f>
        <v>0</v>
      </c>
      <c r="R84" s="10">
        <f>R83*(Presion_cilindro!O82/Presion_cilindro!O83)^Presion_cilindro!$B$9+10*(Presion_cilindro!$B$9-1)*Presion_cilindro!$B$33*(Q84-Q83)/((Presion_cilindro!O82+Presion_cilindro!O83)/2)</f>
        <v>0.80043664875639786</v>
      </c>
      <c r="S84" s="10">
        <f>R84+IF(AND($B$9=1,Presion_cilindro!N83&gt;$B$15),Presion_cilindro!$B$24*2.5*EXP(-(Presion_cilindro!N83-$B$15)/Presion_cilindro!$B$26)*SIN(2*PI()*(Presion_cilindro!N83-$B$15)/Presion_cilindro!$B$39),0)</f>
        <v>0.80043664875639786</v>
      </c>
      <c r="T84" s="9">
        <f>IF(Presion_cilindro!N83&gt;$B$14,1-EXP(-Presion_cilindro!$B$16*((Presion_cilindro!N83-$B$14)/Presion_cilindro!$B$35)^(Presion_cilindro!$B$17+1)),0)</f>
        <v>0</v>
      </c>
      <c r="U84" s="10">
        <f>U83*(Presion_cilindro!O82/Presion_cilindro!O83)^Presion_cilindro!$B$9+10*(Presion_cilindro!$B$9-1)*Presion_cilindro!$B$33*(T84-T83)/((Presion_cilindro!O82+Presion_cilindro!O83)/2)</f>
        <v>0.80043664875639786</v>
      </c>
    </row>
    <row r="85" spans="14:21" x14ac:dyDescent="0.25">
      <c r="N85" s="8">
        <f>-Presion_cilindro!N84</f>
        <v>140</v>
      </c>
      <c r="O85" s="9">
        <f>IF(Presion_cilindro!N84&gt;$B$12,1-EXP(-Presion_cilindro!$B$16*((Presion_cilindro!N84-$B$12)/Presion_cilindro!$B$35)^(Presion_cilindro!$B$17+1)),0)</f>
        <v>0</v>
      </c>
      <c r="P85" s="10">
        <f>P84*(Presion_cilindro!O83/Presion_cilindro!O84)^Presion_cilindro!$B$9+10*(Presion_cilindro!$B$9-1)*Presion_cilindro!$B$33*(O85-O84)/((Presion_cilindro!O83+Presion_cilindro!O84)/2)</f>
        <v>0.80269021406154073</v>
      </c>
      <c r="Q85" s="9">
        <f>IF(OR($B$9=0,Presion_cilindro!N84&lt;=$B$15),IF(Presion_cilindro!N84&gt;$B$13,1-EXP(-Presion_cilindro!$B$16*((Presion_cilindro!N84-$B$13)/Presion_cilindro!$B$35)^(Presion_cilindro!$B$17+1)),0),$B$8+(1-$B$8)*(1-EXP(-(Presion_cilindro!N84-$B$15)/Presion_cilindro!$B$23)))</f>
        <v>0</v>
      </c>
      <c r="R85" s="10">
        <f>R84*(Presion_cilindro!O83/Presion_cilindro!O84)^Presion_cilindro!$B$9+10*(Presion_cilindro!$B$9-1)*Presion_cilindro!$B$33*(Q85-Q84)/((Presion_cilindro!O83+Presion_cilindro!O84)/2)</f>
        <v>0.80269021406154073</v>
      </c>
      <c r="S85" s="10">
        <f>R85+IF(AND($B$9=1,Presion_cilindro!N84&gt;$B$15),Presion_cilindro!$B$24*2.5*EXP(-(Presion_cilindro!N84-$B$15)/Presion_cilindro!$B$26)*SIN(2*PI()*(Presion_cilindro!N84-$B$15)/Presion_cilindro!$B$39),0)</f>
        <v>0.80269021406154073</v>
      </c>
      <c r="T85" s="9">
        <f>IF(Presion_cilindro!N84&gt;$B$14,1-EXP(-Presion_cilindro!$B$16*((Presion_cilindro!N84-$B$14)/Presion_cilindro!$B$35)^(Presion_cilindro!$B$17+1)),0)</f>
        <v>0</v>
      </c>
      <c r="U85" s="10">
        <f>U84*(Presion_cilindro!O83/Presion_cilindro!O84)^Presion_cilindro!$B$9+10*(Presion_cilindro!$B$9-1)*Presion_cilindro!$B$33*(T85-T84)/((Presion_cilindro!O83+Presion_cilindro!O84)/2)</f>
        <v>0.80269021406154073</v>
      </c>
    </row>
    <row r="86" spans="14:21" x14ac:dyDescent="0.25">
      <c r="N86" s="8">
        <f>-Presion_cilindro!N85</f>
        <v>139.5</v>
      </c>
      <c r="O86" s="9">
        <f>IF(Presion_cilindro!N85&gt;$B$12,1-EXP(-Presion_cilindro!$B$16*((Presion_cilindro!N85-$B$12)/Presion_cilindro!$B$35)^(Presion_cilindro!$B$17+1)),0)</f>
        <v>0</v>
      </c>
      <c r="P86" s="10">
        <f>P85*(Presion_cilindro!O84/Presion_cilindro!O85)^Presion_cilindro!$B$9+10*(Presion_cilindro!$B$9-1)*Presion_cilindro!$B$33*(O86-O85)/((Presion_cilindro!O84+Presion_cilindro!O85)/2)</f>
        <v>0.80498323124157312</v>
      </c>
      <c r="Q86" s="9">
        <f>IF(OR($B$9=0,Presion_cilindro!N85&lt;=$B$15),IF(Presion_cilindro!N85&gt;$B$13,1-EXP(-Presion_cilindro!$B$16*((Presion_cilindro!N85-$B$13)/Presion_cilindro!$B$35)^(Presion_cilindro!$B$17+1)),0),$B$8+(1-$B$8)*(1-EXP(-(Presion_cilindro!N85-$B$15)/Presion_cilindro!$B$23)))</f>
        <v>0</v>
      </c>
      <c r="R86" s="10">
        <f>R85*(Presion_cilindro!O84/Presion_cilindro!O85)^Presion_cilindro!$B$9+10*(Presion_cilindro!$B$9-1)*Presion_cilindro!$B$33*(Q86-Q85)/((Presion_cilindro!O84+Presion_cilindro!O85)/2)</f>
        <v>0.80498323124157312</v>
      </c>
      <c r="S86" s="10">
        <f>R86+IF(AND($B$9=1,Presion_cilindro!N85&gt;$B$15),Presion_cilindro!$B$24*2.5*EXP(-(Presion_cilindro!N85-$B$15)/Presion_cilindro!$B$26)*SIN(2*PI()*(Presion_cilindro!N85-$B$15)/Presion_cilindro!$B$39),0)</f>
        <v>0.80498323124157312</v>
      </c>
      <c r="T86" s="9">
        <f>IF(Presion_cilindro!N85&gt;$B$14,1-EXP(-Presion_cilindro!$B$16*((Presion_cilindro!N85-$B$14)/Presion_cilindro!$B$35)^(Presion_cilindro!$B$17+1)),0)</f>
        <v>0</v>
      </c>
      <c r="U86" s="10">
        <f>U85*(Presion_cilindro!O84/Presion_cilindro!O85)^Presion_cilindro!$B$9+10*(Presion_cilindro!$B$9-1)*Presion_cilindro!$B$33*(T86-T85)/((Presion_cilindro!O84+Presion_cilindro!O85)/2)</f>
        <v>0.80498323124157312</v>
      </c>
    </row>
    <row r="87" spans="14:21" x14ac:dyDescent="0.25">
      <c r="N87" s="8">
        <f>-Presion_cilindro!N86</f>
        <v>139</v>
      </c>
      <c r="O87" s="9">
        <f>IF(Presion_cilindro!N86&gt;$B$12,1-EXP(-Presion_cilindro!$B$16*((Presion_cilindro!N86-$B$12)/Presion_cilindro!$B$35)^(Presion_cilindro!$B$17+1)),0)</f>
        <v>0</v>
      </c>
      <c r="P87" s="10">
        <f>P86*(Presion_cilindro!O85/Presion_cilindro!O86)^Presion_cilindro!$B$9+10*(Presion_cilindro!$B$9-1)*Presion_cilindro!$B$33*(O87-O86)/((Presion_cilindro!O85+Presion_cilindro!O86)/2)</f>
        <v>0.80731617779825948</v>
      </c>
      <c r="Q87" s="9">
        <f>IF(OR($B$9=0,Presion_cilindro!N86&lt;=$B$15),IF(Presion_cilindro!N86&gt;$B$13,1-EXP(-Presion_cilindro!$B$16*((Presion_cilindro!N86-$B$13)/Presion_cilindro!$B$35)^(Presion_cilindro!$B$17+1)),0),$B$8+(1-$B$8)*(1-EXP(-(Presion_cilindro!N86-$B$15)/Presion_cilindro!$B$23)))</f>
        <v>0</v>
      </c>
      <c r="R87" s="10">
        <f>R86*(Presion_cilindro!O85/Presion_cilindro!O86)^Presion_cilindro!$B$9+10*(Presion_cilindro!$B$9-1)*Presion_cilindro!$B$33*(Q87-Q86)/((Presion_cilindro!O85+Presion_cilindro!O86)/2)</f>
        <v>0.80731617779825948</v>
      </c>
      <c r="S87" s="10">
        <f>R87+IF(AND($B$9=1,Presion_cilindro!N86&gt;$B$15),Presion_cilindro!$B$24*2.5*EXP(-(Presion_cilindro!N86-$B$15)/Presion_cilindro!$B$26)*SIN(2*PI()*(Presion_cilindro!N86-$B$15)/Presion_cilindro!$B$39),0)</f>
        <v>0.80731617779825948</v>
      </c>
      <c r="T87" s="9">
        <f>IF(Presion_cilindro!N86&gt;$B$14,1-EXP(-Presion_cilindro!$B$16*((Presion_cilindro!N86-$B$14)/Presion_cilindro!$B$35)^(Presion_cilindro!$B$17+1)),0)</f>
        <v>0</v>
      </c>
      <c r="U87" s="10">
        <f>U86*(Presion_cilindro!O85/Presion_cilindro!O86)^Presion_cilindro!$B$9+10*(Presion_cilindro!$B$9-1)*Presion_cilindro!$B$33*(T87-T86)/((Presion_cilindro!O85+Presion_cilindro!O86)/2)</f>
        <v>0.80731617779825948</v>
      </c>
    </row>
    <row r="88" spans="14:21" x14ac:dyDescent="0.25">
      <c r="N88" s="8">
        <f>-Presion_cilindro!N87</f>
        <v>138.5</v>
      </c>
      <c r="O88" s="9">
        <f>IF(Presion_cilindro!N87&gt;$B$12,1-EXP(-Presion_cilindro!$B$16*((Presion_cilindro!N87-$B$12)/Presion_cilindro!$B$35)^(Presion_cilindro!$B$17+1)),0)</f>
        <v>0</v>
      </c>
      <c r="P88" s="10">
        <f>P87*(Presion_cilindro!O86/Presion_cilindro!O87)^Presion_cilindro!$B$9+10*(Presion_cilindro!$B$9-1)*Presion_cilindro!$B$33*(O88-O87)/((Presion_cilindro!O86+Presion_cilindro!O87)/2)</f>
        <v>0.80968954133901072</v>
      </c>
      <c r="Q88" s="9">
        <f>IF(OR($B$9=0,Presion_cilindro!N87&lt;=$B$15),IF(Presion_cilindro!N87&gt;$B$13,1-EXP(-Presion_cilindro!$B$16*((Presion_cilindro!N87-$B$13)/Presion_cilindro!$B$35)^(Presion_cilindro!$B$17+1)),0),$B$8+(1-$B$8)*(1-EXP(-(Presion_cilindro!N87-$B$15)/Presion_cilindro!$B$23)))</f>
        <v>0</v>
      </c>
      <c r="R88" s="10">
        <f>R87*(Presion_cilindro!O86/Presion_cilindro!O87)^Presion_cilindro!$B$9+10*(Presion_cilindro!$B$9-1)*Presion_cilindro!$B$33*(Q88-Q87)/((Presion_cilindro!O86+Presion_cilindro!O87)/2)</f>
        <v>0.80968954133901072</v>
      </c>
      <c r="S88" s="10">
        <f>R88+IF(AND($B$9=1,Presion_cilindro!N87&gt;$B$15),Presion_cilindro!$B$24*2.5*EXP(-(Presion_cilindro!N87-$B$15)/Presion_cilindro!$B$26)*SIN(2*PI()*(Presion_cilindro!N87-$B$15)/Presion_cilindro!$B$39),0)</f>
        <v>0.80968954133901072</v>
      </c>
      <c r="T88" s="9">
        <f>IF(Presion_cilindro!N87&gt;$B$14,1-EXP(-Presion_cilindro!$B$16*((Presion_cilindro!N87-$B$14)/Presion_cilindro!$B$35)^(Presion_cilindro!$B$17+1)),0)</f>
        <v>0</v>
      </c>
      <c r="U88" s="10">
        <f>U87*(Presion_cilindro!O86/Presion_cilindro!O87)^Presion_cilindro!$B$9+10*(Presion_cilindro!$B$9-1)*Presion_cilindro!$B$33*(T88-T87)/((Presion_cilindro!O86+Presion_cilindro!O87)/2)</f>
        <v>0.80968954133901072</v>
      </c>
    </row>
    <row r="89" spans="14:21" x14ac:dyDescent="0.25">
      <c r="N89" s="8">
        <f>-Presion_cilindro!N88</f>
        <v>138</v>
      </c>
      <c r="O89" s="9">
        <f>IF(Presion_cilindro!N88&gt;$B$12,1-EXP(-Presion_cilindro!$B$16*((Presion_cilindro!N88-$B$12)/Presion_cilindro!$B$35)^(Presion_cilindro!$B$17+1)),0)</f>
        <v>0</v>
      </c>
      <c r="P89" s="10">
        <f>P88*(Presion_cilindro!O87/Presion_cilindro!O88)^Presion_cilindro!$B$9+10*(Presion_cilindro!$B$9-1)*Presion_cilindro!$B$33*(O89-O88)/((Presion_cilindro!O87+Presion_cilindro!O88)/2)</f>
        <v>0.81210381976717461</v>
      </c>
      <c r="Q89" s="9">
        <f>IF(OR($B$9=0,Presion_cilindro!N88&lt;=$B$15),IF(Presion_cilindro!N88&gt;$B$13,1-EXP(-Presion_cilindro!$B$16*((Presion_cilindro!N88-$B$13)/Presion_cilindro!$B$35)^(Presion_cilindro!$B$17+1)),0),$B$8+(1-$B$8)*(1-EXP(-(Presion_cilindro!N88-$B$15)/Presion_cilindro!$B$23)))</f>
        <v>0</v>
      </c>
      <c r="R89" s="10">
        <f>R88*(Presion_cilindro!O87/Presion_cilindro!O88)^Presion_cilindro!$B$9+10*(Presion_cilindro!$B$9-1)*Presion_cilindro!$B$33*(Q89-Q88)/((Presion_cilindro!O87+Presion_cilindro!O88)/2)</f>
        <v>0.81210381976717461</v>
      </c>
      <c r="S89" s="10">
        <f>R89+IF(AND($B$9=1,Presion_cilindro!N88&gt;$B$15),Presion_cilindro!$B$24*2.5*EXP(-(Presion_cilindro!N88-$B$15)/Presion_cilindro!$B$26)*SIN(2*PI()*(Presion_cilindro!N88-$B$15)/Presion_cilindro!$B$39),0)</f>
        <v>0.81210381976717461</v>
      </c>
      <c r="T89" s="9">
        <f>IF(Presion_cilindro!N88&gt;$B$14,1-EXP(-Presion_cilindro!$B$16*((Presion_cilindro!N88-$B$14)/Presion_cilindro!$B$35)^(Presion_cilindro!$B$17+1)),0)</f>
        <v>0</v>
      </c>
      <c r="U89" s="10">
        <f>U88*(Presion_cilindro!O87/Presion_cilindro!O88)^Presion_cilindro!$B$9+10*(Presion_cilindro!$B$9-1)*Presion_cilindro!$B$33*(T89-T88)/((Presion_cilindro!O87+Presion_cilindro!O88)/2)</f>
        <v>0.81210381976717461</v>
      </c>
    </row>
    <row r="90" spans="14:21" x14ac:dyDescent="0.25">
      <c r="N90" s="8">
        <f>-Presion_cilindro!N89</f>
        <v>137.5</v>
      </c>
      <c r="O90" s="9">
        <f>IF(Presion_cilindro!N89&gt;$B$12,1-EXP(-Presion_cilindro!$B$16*((Presion_cilindro!N89-$B$12)/Presion_cilindro!$B$35)^(Presion_cilindro!$B$17+1)),0)</f>
        <v>0</v>
      </c>
      <c r="P90" s="10">
        <f>P89*(Presion_cilindro!O88/Presion_cilindro!O89)^Presion_cilindro!$B$9+10*(Presion_cilindro!$B$9-1)*Presion_cilindro!$B$33*(O90-O89)/((Presion_cilindro!O88+Presion_cilindro!O89)/2)</f>
        <v>0.81455952147718225</v>
      </c>
      <c r="Q90" s="9">
        <f>IF(OR($B$9=0,Presion_cilindro!N89&lt;=$B$15),IF(Presion_cilindro!N89&gt;$B$13,1-EXP(-Presion_cilindro!$B$16*((Presion_cilindro!N89-$B$13)/Presion_cilindro!$B$35)^(Presion_cilindro!$B$17+1)),0),$B$8+(1-$B$8)*(1-EXP(-(Presion_cilindro!N89-$B$15)/Presion_cilindro!$B$23)))</f>
        <v>0</v>
      </c>
      <c r="R90" s="10">
        <f>R89*(Presion_cilindro!O88/Presion_cilindro!O89)^Presion_cilindro!$B$9+10*(Presion_cilindro!$B$9-1)*Presion_cilindro!$B$33*(Q90-Q89)/((Presion_cilindro!O88+Presion_cilindro!O89)/2)</f>
        <v>0.81455952147718225</v>
      </c>
      <c r="S90" s="10">
        <f>R90+IF(AND($B$9=1,Presion_cilindro!N89&gt;$B$15),Presion_cilindro!$B$24*2.5*EXP(-(Presion_cilindro!N89-$B$15)/Presion_cilindro!$B$26)*SIN(2*PI()*(Presion_cilindro!N89-$B$15)/Presion_cilindro!$B$39),0)</f>
        <v>0.81455952147718225</v>
      </c>
      <c r="T90" s="9">
        <f>IF(Presion_cilindro!N89&gt;$B$14,1-EXP(-Presion_cilindro!$B$16*((Presion_cilindro!N89-$B$14)/Presion_cilindro!$B$35)^(Presion_cilindro!$B$17+1)),0)</f>
        <v>0</v>
      </c>
      <c r="U90" s="10">
        <f>U89*(Presion_cilindro!O88/Presion_cilindro!O89)^Presion_cilindro!$B$9+10*(Presion_cilindro!$B$9-1)*Presion_cilindro!$B$33*(T90-T89)/((Presion_cilindro!O88+Presion_cilindro!O89)/2)</f>
        <v>0.81455952147718225</v>
      </c>
    </row>
    <row r="91" spans="14:21" x14ac:dyDescent="0.25">
      <c r="N91" s="8">
        <f>-Presion_cilindro!N90</f>
        <v>137</v>
      </c>
      <c r="O91" s="9">
        <f>IF(Presion_cilindro!N90&gt;$B$12,1-EXP(-Presion_cilindro!$B$16*((Presion_cilindro!N90-$B$12)/Presion_cilindro!$B$35)^(Presion_cilindro!$B$17+1)),0)</f>
        <v>0</v>
      </c>
      <c r="P91" s="10">
        <f>P90*(Presion_cilindro!O89/Presion_cilindro!O90)^Presion_cilindro!$B$9+10*(Presion_cilindro!$B$9-1)*Presion_cilindro!$B$33*(O91-O90)/((Presion_cilindro!O89+Presion_cilindro!O90)/2)</f>
        <v>0.81705716555466013</v>
      </c>
      <c r="Q91" s="9">
        <f>IF(OR($B$9=0,Presion_cilindro!N90&lt;=$B$15),IF(Presion_cilindro!N90&gt;$B$13,1-EXP(-Presion_cilindro!$B$16*((Presion_cilindro!N90-$B$13)/Presion_cilindro!$B$35)^(Presion_cilindro!$B$17+1)),0),$B$8+(1-$B$8)*(1-EXP(-(Presion_cilindro!N90-$B$15)/Presion_cilindro!$B$23)))</f>
        <v>0</v>
      </c>
      <c r="R91" s="10">
        <f>R90*(Presion_cilindro!O89/Presion_cilindro!O90)^Presion_cilindro!$B$9+10*(Presion_cilindro!$B$9-1)*Presion_cilindro!$B$33*(Q91-Q90)/((Presion_cilindro!O89+Presion_cilindro!O90)/2)</f>
        <v>0.81705716555466013</v>
      </c>
      <c r="S91" s="10">
        <f>R91+IF(AND($B$9=1,Presion_cilindro!N90&gt;$B$15),Presion_cilindro!$B$24*2.5*EXP(-(Presion_cilindro!N90-$B$15)/Presion_cilindro!$B$26)*SIN(2*PI()*(Presion_cilindro!N90-$B$15)/Presion_cilindro!$B$39),0)</f>
        <v>0.81705716555466013</v>
      </c>
      <c r="T91" s="9">
        <f>IF(Presion_cilindro!N90&gt;$B$14,1-EXP(-Presion_cilindro!$B$16*((Presion_cilindro!N90-$B$14)/Presion_cilindro!$B$35)^(Presion_cilindro!$B$17+1)),0)</f>
        <v>0</v>
      </c>
      <c r="U91" s="10">
        <f>U90*(Presion_cilindro!O89/Presion_cilindro!O90)^Presion_cilindro!$B$9+10*(Presion_cilindro!$B$9-1)*Presion_cilindro!$B$33*(T91-T90)/((Presion_cilindro!O89+Presion_cilindro!O90)/2)</f>
        <v>0.81705716555466013</v>
      </c>
    </row>
    <row r="92" spans="14:21" x14ac:dyDescent="0.25">
      <c r="N92" s="8">
        <f>-Presion_cilindro!N91</f>
        <v>136.5</v>
      </c>
      <c r="O92" s="9">
        <f>IF(Presion_cilindro!N91&gt;$B$12,1-EXP(-Presion_cilindro!$B$16*((Presion_cilindro!N91-$B$12)/Presion_cilindro!$B$35)^(Presion_cilindro!$B$17+1)),0)</f>
        <v>0</v>
      </c>
      <c r="P92" s="10">
        <f>P91*(Presion_cilindro!O90/Presion_cilindro!O91)^Presion_cilindro!$B$9+10*(Presion_cilindro!$B$9-1)*Presion_cilindro!$B$33*(O92-O91)/((Presion_cilindro!O90+Presion_cilindro!O91)/2)</f>
        <v>0.81959728198164328</v>
      </c>
      <c r="Q92" s="9">
        <f>IF(OR($B$9=0,Presion_cilindro!N91&lt;=$B$15),IF(Presion_cilindro!N91&gt;$B$13,1-EXP(-Presion_cilindro!$B$16*((Presion_cilindro!N91-$B$13)/Presion_cilindro!$B$35)^(Presion_cilindro!$B$17+1)),0),$B$8+(1-$B$8)*(1-EXP(-(Presion_cilindro!N91-$B$15)/Presion_cilindro!$B$23)))</f>
        <v>0</v>
      </c>
      <c r="R92" s="10">
        <f>R91*(Presion_cilindro!O90/Presion_cilindro!O91)^Presion_cilindro!$B$9+10*(Presion_cilindro!$B$9-1)*Presion_cilindro!$B$33*(Q92-Q91)/((Presion_cilindro!O90+Presion_cilindro!O91)/2)</f>
        <v>0.81959728198164328</v>
      </c>
      <c r="S92" s="10">
        <f>R92+IF(AND($B$9=1,Presion_cilindro!N91&gt;$B$15),Presion_cilindro!$B$24*2.5*EXP(-(Presion_cilindro!N91-$B$15)/Presion_cilindro!$B$26)*SIN(2*PI()*(Presion_cilindro!N91-$B$15)/Presion_cilindro!$B$39),0)</f>
        <v>0.81959728198164328</v>
      </c>
      <c r="T92" s="9">
        <f>IF(Presion_cilindro!N91&gt;$B$14,1-EXP(-Presion_cilindro!$B$16*((Presion_cilindro!N91-$B$14)/Presion_cilindro!$B$35)^(Presion_cilindro!$B$17+1)),0)</f>
        <v>0</v>
      </c>
      <c r="U92" s="10">
        <f>U91*(Presion_cilindro!O90/Presion_cilindro!O91)^Presion_cilindro!$B$9+10*(Presion_cilindro!$B$9-1)*Presion_cilindro!$B$33*(T92-T91)/((Presion_cilindro!O90+Presion_cilindro!O91)/2)</f>
        <v>0.81959728198164328</v>
      </c>
    </row>
    <row r="93" spans="14:21" x14ac:dyDescent="0.25">
      <c r="N93" s="8">
        <f>-Presion_cilindro!N92</f>
        <v>136</v>
      </c>
      <c r="O93" s="9">
        <f>IF(Presion_cilindro!N92&gt;$B$12,1-EXP(-Presion_cilindro!$B$16*((Presion_cilindro!N92-$B$12)/Presion_cilindro!$B$35)^(Presion_cilindro!$B$17+1)),0)</f>
        <v>0</v>
      </c>
      <c r="P93" s="10">
        <f>P92*(Presion_cilindro!O91/Presion_cilindro!O92)^Presion_cilindro!$B$9+10*(Presion_cilindro!$B$9-1)*Presion_cilindro!$B$33*(O93-O92)/((Presion_cilindro!O91+Presion_cilindro!O92)/2)</f>
        <v>0.82218041184701385</v>
      </c>
      <c r="Q93" s="9">
        <f>IF(OR($B$9=0,Presion_cilindro!N92&lt;=$B$15),IF(Presion_cilindro!N92&gt;$B$13,1-EXP(-Presion_cilindro!$B$16*((Presion_cilindro!N92-$B$13)/Presion_cilindro!$B$35)^(Presion_cilindro!$B$17+1)),0),$B$8+(1-$B$8)*(1-EXP(-(Presion_cilindro!N92-$B$15)/Presion_cilindro!$B$23)))</f>
        <v>0</v>
      </c>
      <c r="R93" s="10">
        <f>R92*(Presion_cilindro!O91/Presion_cilindro!O92)^Presion_cilindro!$B$9+10*(Presion_cilindro!$B$9-1)*Presion_cilindro!$B$33*(Q93-Q92)/((Presion_cilindro!O91+Presion_cilindro!O92)/2)</f>
        <v>0.82218041184701385</v>
      </c>
      <c r="S93" s="10">
        <f>R93+IF(AND($B$9=1,Presion_cilindro!N92&gt;$B$15),Presion_cilindro!$B$24*2.5*EXP(-(Presion_cilindro!N92-$B$15)/Presion_cilindro!$B$26)*SIN(2*PI()*(Presion_cilindro!N92-$B$15)/Presion_cilindro!$B$39),0)</f>
        <v>0.82218041184701385</v>
      </c>
      <c r="T93" s="9">
        <f>IF(Presion_cilindro!N92&gt;$B$14,1-EXP(-Presion_cilindro!$B$16*((Presion_cilindro!N92-$B$14)/Presion_cilindro!$B$35)^(Presion_cilindro!$B$17+1)),0)</f>
        <v>0</v>
      </c>
      <c r="U93" s="10">
        <f>U92*(Presion_cilindro!O91/Presion_cilindro!O92)^Presion_cilindro!$B$9+10*(Presion_cilindro!$B$9-1)*Presion_cilindro!$B$33*(T93-T92)/((Presion_cilindro!O91+Presion_cilindro!O92)/2)</f>
        <v>0.82218041184701385</v>
      </c>
    </row>
    <row r="94" spans="14:21" x14ac:dyDescent="0.25">
      <c r="N94" s="8">
        <f>-Presion_cilindro!N93</f>
        <v>135.5</v>
      </c>
      <c r="O94" s="9">
        <f>IF(Presion_cilindro!N93&gt;$B$12,1-EXP(-Presion_cilindro!$B$16*((Presion_cilindro!N93-$B$12)/Presion_cilindro!$B$35)^(Presion_cilindro!$B$17+1)),0)</f>
        <v>0</v>
      </c>
      <c r="P94" s="10">
        <f>P93*(Presion_cilindro!O92/Presion_cilindro!O93)^Presion_cilindro!$B$9+10*(Presion_cilindro!$B$9-1)*Presion_cilindro!$B$33*(O94-O93)/((Presion_cilindro!O92+Presion_cilindro!O93)/2)</f>
        <v>0.82480710756229703</v>
      </c>
      <c r="Q94" s="9">
        <f>IF(OR($B$9=0,Presion_cilindro!N93&lt;=$B$15),IF(Presion_cilindro!N93&gt;$B$13,1-EXP(-Presion_cilindro!$B$16*((Presion_cilindro!N93-$B$13)/Presion_cilindro!$B$35)^(Presion_cilindro!$B$17+1)),0),$B$8+(1-$B$8)*(1-EXP(-(Presion_cilindro!N93-$B$15)/Presion_cilindro!$B$23)))</f>
        <v>0</v>
      </c>
      <c r="R94" s="10">
        <f>R93*(Presion_cilindro!O92/Presion_cilindro!O93)^Presion_cilindro!$B$9+10*(Presion_cilindro!$B$9-1)*Presion_cilindro!$B$33*(Q94-Q93)/((Presion_cilindro!O92+Presion_cilindro!O93)/2)</f>
        <v>0.82480710756229703</v>
      </c>
      <c r="S94" s="10">
        <f>R94+IF(AND($B$9=1,Presion_cilindro!N93&gt;$B$15),Presion_cilindro!$B$24*2.5*EXP(-(Presion_cilindro!N93-$B$15)/Presion_cilindro!$B$26)*SIN(2*PI()*(Presion_cilindro!N93-$B$15)/Presion_cilindro!$B$39),0)</f>
        <v>0.82480710756229703</v>
      </c>
      <c r="T94" s="9">
        <f>IF(Presion_cilindro!N93&gt;$B$14,1-EXP(-Presion_cilindro!$B$16*((Presion_cilindro!N93-$B$14)/Presion_cilindro!$B$35)^(Presion_cilindro!$B$17+1)),0)</f>
        <v>0</v>
      </c>
      <c r="U94" s="10">
        <f>U93*(Presion_cilindro!O92/Presion_cilindro!O93)^Presion_cilindro!$B$9+10*(Presion_cilindro!$B$9-1)*Presion_cilindro!$B$33*(T94-T93)/((Presion_cilindro!O92+Presion_cilindro!O93)/2)</f>
        <v>0.82480710756229703</v>
      </c>
    </row>
    <row r="95" spans="14:21" x14ac:dyDescent="0.25">
      <c r="N95" s="8">
        <f>-Presion_cilindro!N94</f>
        <v>135</v>
      </c>
      <c r="O95" s="9">
        <f>IF(Presion_cilindro!N94&gt;$B$12,1-EXP(-Presion_cilindro!$B$16*((Presion_cilindro!N94-$B$12)/Presion_cilindro!$B$35)^(Presion_cilindro!$B$17+1)),0)</f>
        <v>0</v>
      </c>
      <c r="P95" s="10">
        <f>P94*(Presion_cilindro!O93/Presion_cilindro!O94)^Presion_cilindro!$B$9+10*(Presion_cilindro!$B$9-1)*Presion_cilindro!$B$33*(O95-O94)/((Presion_cilindro!O93+Presion_cilindro!O94)/2)</f>
        <v>0.8274779330829628</v>
      </c>
      <c r="Q95" s="9">
        <f>IF(OR($B$9=0,Presion_cilindro!N94&lt;=$B$15),IF(Presion_cilindro!N94&gt;$B$13,1-EXP(-Presion_cilindro!$B$16*((Presion_cilindro!N94-$B$13)/Presion_cilindro!$B$35)^(Presion_cilindro!$B$17+1)),0),$B$8+(1-$B$8)*(1-EXP(-(Presion_cilindro!N94-$B$15)/Presion_cilindro!$B$23)))</f>
        <v>0</v>
      </c>
      <c r="R95" s="10">
        <f>R94*(Presion_cilindro!O93/Presion_cilindro!O94)^Presion_cilindro!$B$9+10*(Presion_cilindro!$B$9-1)*Presion_cilindro!$B$33*(Q95-Q94)/((Presion_cilindro!O93+Presion_cilindro!O94)/2)</f>
        <v>0.8274779330829628</v>
      </c>
      <c r="S95" s="10">
        <f>R95+IF(AND($B$9=1,Presion_cilindro!N94&gt;$B$15),Presion_cilindro!$B$24*2.5*EXP(-(Presion_cilindro!N94-$B$15)/Presion_cilindro!$B$26)*SIN(2*PI()*(Presion_cilindro!N94-$B$15)/Presion_cilindro!$B$39),0)</f>
        <v>0.8274779330829628</v>
      </c>
      <c r="T95" s="9">
        <f>IF(Presion_cilindro!N94&gt;$B$14,1-EXP(-Presion_cilindro!$B$16*((Presion_cilindro!N94-$B$14)/Presion_cilindro!$B$35)^(Presion_cilindro!$B$17+1)),0)</f>
        <v>0</v>
      </c>
      <c r="U95" s="10">
        <f>U94*(Presion_cilindro!O93/Presion_cilindro!O94)^Presion_cilindro!$B$9+10*(Presion_cilindro!$B$9-1)*Presion_cilindro!$B$33*(T95-T94)/((Presion_cilindro!O93+Presion_cilindro!O94)/2)</f>
        <v>0.8274779330829628</v>
      </c>
    </row>
    <row r="96" spans="14:21" x14ac:dyDescent="0.25">
      <c r="N96" s="8">
        <f>-Presion_cilindro!N95</f>
        <v>134.5</v>
      </c>
      <c r="O96" s="9">
        <f>IF(Presion_cilindro!N95&gt;$B$12,1-EXP(-Presion_cilindro!$B$16*((Presion_cilindro!N95-$B$12)/Presion_cilindro!$B$35)^(Presion_cilindro!$B$17+1)),0)</f>
        <v>0</v>
      </c>
      <c r="P96" s="10">
        <f>P95*(Presion_cilindro!O94/Presion_cilindro!O95)^Presion_cilindro!$B$9+10*(Presion_cilindro!$B$9-1)*Presion_cilindro!$B$33*(O96-O95)/((Presion_cilindro!O94+Presion_cilindro!O95)/2)</f>
        <v>0.83019346413536299</v>
      </c>
      <c r="Q96" s="9">
        <f>IF(OR($B$9=0,Presion_cilindro!N95&lt;=$B$15),IF(Presion_cilindro!N95&gt;$B$13,1-EXP(-Presion_cilindro!$B$16*((Presion_cilindro!N95-$B$13)/Presion_cilindro!$B$35)^(Presion_cilindro!$B$17+1)),0),$B$8+(1-$B$8)*(1-EXP(-(Presion_cilindro!N95-$B$15)/Presion_cilindro!$B$23)))</f>
        <v>0</v>
      </c>
      <c r="R96" s="10">
        <f>R95*(Presion_cilindro!O94/Presion_cilindro!O95)^Presion_cilindro!$B$9+10*(Presion_cilindro!$B$9-1)*Presion_cilindro!$B$33*(Q96-Q95)/((Presion_cilindro!O94+Presion_cilindro!O95)/2)</f>
        <v>0.83019346413536299</v>
      </c>
      <c r="S96" s="10">
        <f>R96+IF(AND($B$9=1,Presion_cilindro!N95&gt;$B$15),Presion_cilindro!$B$24*2.5*EXP(-(Presion_cilindro!N95-$B$15)/Presion_cilindro!$B$26)*SIN(2*PI()*(Presion_cilindro!N95-$B$15)/Presion_cilindro!$B$39),0)</f>
        <v>0.83019346413536299</v>
      </c>
      <c r="T96" s="9">
        <f>IF(Presion_cilindro!N95&gt;$B$14,1-EXP(-Presion_cilindro!$B$16*((Presion_cilindro!N95-$B$14)/Presion_cilindro!$B$35)^(Presion_cilindro!$B$17+1)),0)</f>
        <v>0</v>
      </c>
      <c r="U96" s="10">
        <f>U95*(Presion_cilindro!O94/Presion_cilindro!O95)^Presion_cilindro!$B$9+10*(Presion_cilindro!$B$9-1)*Presion_cilindro!$B$33*(T96-T95)/((Presion_cilindro!O94+Presion_cilindro!O95)/2)</f>
        <v>0.83019346413536299</v>
      </c>
    </row>
    <row r="97" spans="14:21" x14ac:dyDescent="0.25">
      <c r="N97" s="8">
        <f>-Presion_cilindro!N96</f>
        <v>134</v>
      </c>
      <c r="O97" s="9">
        <f>IF(Presion_cilindro!N96&gt;$B$12,1-EXP(-Presion_cilindro!$B$16*((Presion_cilindro!N96-$B$12)/Presion_cilindro!$B$35)^(Presion_cilindro!$B$17+1)),0)</f>
        <v>0</v>
      </c>
      <c r="P97" s="10">
        <f>P96*(Presion_cilindro!O95/Presion_cilindro!O96)^Presion_cilindro!$B$9+10*(Presion_cilindro!$B$9-1)*Presion_cilindro!$B$33*(O97-O96)/((Presion_cilindro!O95+Presion_cilindro!O96)/2)</f>
        <v>0.83295428844945574</v>
      </c>
      <c r="Q97" s="9">
        <f>IF(OR($B$9=0,Presion_cilindro!N96&lt;=$B$15),IF(Presion_cilindro!N96&gt;$B$13,1-EXP(-Presion_cilindro!$B$16*((Presion_cilindro!N96-$B$13)/Presion_cilindro!$B$35)^(Presion_cilindro!$B$17+1)),0),$B$8+(1-$B$8)*(1-EXP(-(Presion_cilindro!N96-$B$15)/Presion_cilindro!$B$23)))</f>
        <v>0</v>
      </c>
      <c r="R97" s="10">
        <f>R96*(Presion_cilindro!O95/Presion_cilindro!O96)^Presion_cilindro!$B$9+10*(Presion_cilindro!$B$9-1)*Presion_cilindro!$B$33*(Q97-Q96)/((Presion_cilindro!O95+Presion_cilindro!O96)/2)</f>
        <v>0.83295428844945574</v>
      </c>
      <c r="S97" s="10">
        <f>R97+IF(AND($B$9=1,Presion_cilindro!N96&gt;$B$15),Presion_cilindro!$B$24*2.5*EXP(-(Presion_cilindro!N96-$B$15)/Presion_cilindro!$B$26)*SIN(2*PI()*(Presion_cilindro!N96-$B$15)/Presion_cilindro!$B$39),0)</f>
        <v>0.83295428844945574</v>
      </c>
      <c r="T97" s="9">
        <f>IF(Presion_cilindro!N96&gt;$B$14,1-EXP(-Presion_cilindro!$B$16*((Presion_cilindro!N96-$B$14)/Presion_cilindro!$B$35)^(Presion_cilindro!$B$17+1)),0)</f>
        <v>0</v>
      </c>
      <c r="U97" s="10">
        <f>U96*(Presion_cilindro!O95/Presion_cilindro!O96)^Presion_cilindro!$B$9+10*(Presion_cilindro!$B$9-1)*Presion_cilindro!$B$33*(T97-T96)/((Presion_cilindro!O95+Presion_cilindro!O96)/2)</f>
        <v>0.83295428844945574</v>
      </c>
    </row>
    <row r="98" spans="14:21" x14ac:dyDescent="0.25">
      <c r="N98" s="8">
        <f>-Presion_cilindro!N97</f>
        <v>133.5</v>
      </c>
      <c r="O98" s="9">
        <f>IF(Presion_cilindro!N97&gt;$B$12,1-EXP(-Presion_cilindro!$B$16*((Presion_cilindro!N97-$B$12)/Presion_cilindro!$B$35)^(Presion_cilindro!$B$17+1)),0)</f>
        <v>0</v>
      </c>
      <c r="P98" s="10">
        <f>P97*(Presion_cilindro!O96/Presion_cilindro!O97)^Presion_cilindro!$B$9+10*(Presion_cilindro!$B$9-1)*Presion_cilindro!$B$33*(O98-O97)/((Presion_cilindro!O96+Presion_cilindro!O97)/2)</f>
        <v>0.83576100599747127</v>
      </c>
      <c r="Q98" s="9">
        <f>IF(OR($B$9=0,Presion_cilindro!N97&lt;=$B$15),IF(Presion_cilindro!N97&gt;$B$13,1-EXP(-Presion_cilindro!$B$16*((Presion_cilindro!N97-$B$13)/Presion_cilindro!$B$35)^(Presion_cilindro!$B$17+1)),0),$B$8+(1-$B$8)*(1-EXP(-(Presion_cilindro!N97-$B$15)/Presion_cilindro!$B$23)))</f>
        <v>0</v>
      </c>
      <c r="R98" s="10">
        <f>R97*(Presion_cilindro!O96/Presion_cilindro!O97)^Presion_cilindro!$B$9+10*(Presion_cilindro!$B$9-1)*Presion_cilindro!$B$33*(Q98-Q97)/((Presion_cilindro!O96+Presion_cilindro!O97)/2)</f>
        <v>0.83576100599747127</v>
      </c>
      <c r="S98" s="10">
        <f>R98+IF(AND($B$9=1,Presion_cilindro!N97&gt;$B$15),Presion_cilindro!$B$24*2.5*EXP(-(Presion_cilindro!N97-$B$15)/Presion_cilindro!$B$26)*SIN(2*PI()*(Presion_cilindro!N97-$B$15)/Presion_cilindro!$B$39),0)</f>
        <v>0.83576100599747127</v>
      </c>
      <c r="T98" s="9">
        <f>IF(Presion_cilindro!N97&gt;$B$14,1-EXP(-Presion_cilindro!$B$16*((Presion_cilindro!N97-$B$14)/Presion_cilindro!$B$35)^(Presion_cilindro!$B$17+1)),0)</f>
        <v>0</v>
      </c>
      <c r="U98" s="10">
        <f>U97*(Presion_cilindro!O96/Presion_cilindro!O97)^Presion_cilindro!$B$9+10*(Presion_cilindro!$B$9-1)*Presion_cilindro!$B$33*(T98-T97)/((Presion_cilindro!O96+Presion_cilindro!O97)/2)</f>
        <v>0.83576100599747127</v>
      </c>
    </row>
    <row r="99" spans="14:21" x14ac:dyDescent="0.25">
      <c r="N99" s="8">
        <f>-Presion_cilindro!N98</f>
        <v>133</v>
      </c>
      <c r="O99" s="9">
        <f>IF(Presion_cilindro!N98&gt;$B$12,1-EXP(-Presion_cilindro!$B$16*((Presion_cilindro!N98-$B$12)/Presion_cilindro!$B$35)^(Presion_cilindro!$B$17+1)),0)</f>
        <v>0</v>
      </c>
      <c r="P99" s="10">
        <f>P98*(Presion_cilindro!O97/Presion_cilindro!O98)^Presion_cilindro!$B$9+10*(Presion_cilindro!$B$9-1)*Presion_cilindro!$B$33*(O99-O98)/((Presion_cilindro!O97+Presion_cilindro!O98)/2)</f>
        <v>0.83861422923866613</v>
      </c>
      <c r="Q99" s="9">
        <f>IF(OR($B$9=0,Presion_cilindro!N98&lt;=$B$15),IF(Presion_cilindro!N98&gt;$B$13,1-EXP(-Presion_cilindro!$B$16*((Presion_cilindro!N98-$B$13)/Presion_cilindro!$B$35)^(Presion_cilindro!$B$17+1)),0),$B$8+(1-$B$8)*(1-EXP(-(Presion_cilindro!N98-$B$15)/Presion_cilindro!$B$23)))</f>
        <v>0</v>
      </c>
      <c r="R99" s="10">
        <f>R98*(Presion_cilindro!O97/Presion_cilindro!O98)^Presion_cilindro!$B$9+10*(Presion_cilindro!$B$9-1)*Presion_cilindro!$B$33*(Q99-Q98)/((Presion_cilindro!O97+Presion_cilindro!O98)/2)</f>
        <v>0.83861422923866613</v>
      </c>
      <c r="S99" s="10">
        <f>R99+IF(AND($B$9=1,Presion_cilindro!N98&gt;$B$15),Presion_cilindro!$B$24*2.5*EXP(-(Presion_cilindro!N98-$B$15)/Presion_cilindro!$B$26)*SIN(2*PI()*(Presion_cilindro!N98-$B$15)/Presion_cilindro!$B$39),0)</f>
        <v>0.83861422923866613</v>
      </c>
      <c r="T99" s="9">
        <f>IF(Presion_cilindro!N98&gt;$B$14,1-EXP(-Presion_cilindro!$B$16*((Presion_cilindro!N98-$B$14)/Presion_cilindro!$B$35)^(Presion_cilindro!$B$17+1)),0)</f>
        <v>0</v>
      </c>
      <c r="U99" s="10">
        <f>U98*(Presion_cilindro!O97/Presion_cilindro!O98)^Presion_cilindro!$B$9+10*(Presion_cilindro!$B$9-1)*Presion_cilindro!$B$33*(T99-T98)/((Presion_cilindro!O97+Presion_cilindro!O98)/2)</f>
        <v>0.83861422923866613</v>
      </c>
    </row>
    <row r="100" spans="14:21" x14ac:dyDescent="0.25">
      <c r="N100" s="8">
        <f>-Presion_cilindro!N99</f>
        <v>132.5</v>
      </c>
      <c r="O100" s="9">
        <f>IF(Presion_cilindro!N99&gt;$B$12,1-EXP(-Presion_cilindro!$B$16*((Presion_cilindro!N99-$B$12)/Presion_cilindro!$B$35)^(Presion_cilindro!$B$17+1)),0)</f>
        <v>0</v>
      </c>
      <c r="P100" s="10">
        <f>P99*(Presion_cilindro!O98/Presion_cilindro!O99)^Presion_cilindro!$B$9+10*(Presion_cilindro!$B$9-1)*Presion_cilindro!$B$33*(O100-O99)/((Presion_cilindro!O98+Presion_cilindro!O99)/2)</f>
        <v>0.84151458337033336</v>
      </c>
      <c r="Q100" s="9">
        <f>IF(OR($B$9=0,Presion_cilindro!N99&lt;=$B$15),IF(Presion_cilindro!N99&gt;$B$13,1-EXP(-Presion_cilindro!$B$16*((Presion_cilindro!N99-$B$13)/Presion_cilindro!$B$35)^(Presion_cilindro!$B$17+1)),0),$B$8+(1-$B$8)*(1-EXP(-(Presion_cilindro!N99-$B$15)/Presion_cilindro!$B$23)))</f>
        <v>0</v>
      </c>
      <c r="R100" s="10">
        <f>R99*(Presion_cilindro!O98/Presion_cilindro!O99)^Presion_cilindro!$B$9+10*(Presion_cilindro!$B$9-1)*Presion_cilindro!$B$33*(Q100-Q99)/((Presion_cilindro!O98+Presion_cilindro!O99)/2)</f>
        <v>0.84151458337033336</v>
      </c>
      <c r="S100" s="10">
        <f>R100+IF(AND($B$9=1,Presion_cilindro!N99&gt;$B$15),Presion_cilindro!$B$24*2.5*EXP(-(Presion_cilindro!N99-$B$15)/Presion_cilindro!$B$26)*SIN(2*PI()*(Presion_cilindro!N99-$B$15)/Presion_cilindro!$B$39),0)</f>
        <v>0.84151458337033336</v>
      </c>
      <c r="T100" s="9">
        <f>IF(Presion_cilindro!N99&gt;$B$14,1-EXP(-Presion_cilindro!$B$16*((Presion_cilindro!N99-$B$14)/Presion_cilindro!$B$35)^(Presion_cilindro!$B$17+1)),0)</f>
        <v>0</v>
      </c>
      <c r="U100" s="10">
        <f>U99*(Presion_cilindro!O98/Presion_cilindro!O99)^Presion_cilindro!$B$9+10*(Presion_cilindro!$B$9-1)*Presion_cilindro!$B$33*(T100-T99)/((Presion_cilindro!O98+Presion_cilindro!O99)/2)</f>
        <v>0.84151458337033336</v>
      </c>
    </row>
    <row r="101" spans="14:21" x14ac:dyDescent="0.25">
      <c r="N101" s="8">
        <f>-Presion_cilindro!N100</f>
        <v>132</v>
      </c>
      <c r="O101" s="9">
        <f>IF(Presion_cilindro!N100&gt;$B$12,1-EXP(-Presion_cilindro!$B$16*((Presion_cilindro!N100-$B$12)/Presion_cilindro!$B$35)^(Presion_cilindro!$B$17+1)),0)</f>
        <v>0</v>
      </c>
      <c r="P101" s="10">
        <f>P100*(Presion_cilindro!O99/Presion_cilindro!O100)^Presion_cilindro!$B$9+10*(Presion_cilindro!$B$9-1)*Presion_cilindro!$B$33*(O101-O100)/((Presion_cilindro!O99+Presion_cilindro!O100)/2)</f>
        <v>0.84446270658522959</v>
      </c>
      <c r="Q101" s="9">
        <f>IF(OR($B$9=0,Presion_cilindro!N100&lt;=$B$15),IF(Presion_cilindro!N100&gt;$B$13,1-EXP(-Presion_cilindro!$B$16*((Presion_cilindro!N100-$B$13)/Presion_cilindro!$B$35)^(Presion_cilindro!$B$17+1)),0),$B$8+(1-$B$8)*(1-EXP(-(Presion_cilindro!N100-$B$15)/Presion_cilindro!$B$23)))</f>
        <v>0</v>
      </c>
      <c r="R101" s="10">
        <f>R100*(Presion_cilindro!O99/Presion_cilindro!O100)^Presion_cilindro!$B$9+10*(Presion_cilindro!$B$9-1)*Presion_cilindro!$B$33*(Q101-Q100)/((Presion_cilindro!O99+Presion_cilindro!O100)/2)</f>
        <v>0.84446270658522959</v>
      </c>
      <c r="S101" s="10">
        <f>R101+IF(AND($B$9=1,Presion_cilindro!N100&gt;$B$15),Presion_cilindro!$B$24*2.5*EXP(-(Presion_cilindro!N100-$B$15)/Presion_cilindro!$B$26)*SIN(2*PI()*(Presion_cilindro!N100-$B$15)/Presion_cilindro!$B$39),0)</f>
        <v>0.84446270658522959</v>
      </c>
      <c r="T101" s="9">
        <f>IF(Presion_cilindro!N100&gt;$B$14,1-EXP(-Presion_cilindro!$B$16*((Presion_cilindro!N100-$B$14)/Presion_cilindro!$B$35)^(Presion_cilindro!$B$17+1)),0)</f>
        <v>0</v>
      </c>
      <c r="U101" s="10">
        <f>U100*(Presion_cilindro!O99/Presion_cilindro!O100)^Presion_cilindro!$B$9+10*(Presion_cilindro!$B$9-1)*Presion_cilindro!$B$33*(T101-T100)/((Presion_cilindro!O99+Presion_cilindro!O100)/2)</f>
        <v>0.84446270658522959</v>
      </c>
    </row>
    <row r="102" spans="14:21" x14ac:dyDescent="0.25">
      <c r="N102" s="8">
        <f>-Presion_cilindro!N101</f>
        <v>131.5</v>
      </c>
      <c r="O102" s="9">
        <f>IF(Presion_cilindro!N101&gt;$B$12,1-EXP(-Presion_cilindro!$B$16*((Presion_cilindro!N101-$B$12)/Presion_cilindro!$B$35)^(Presion_cilindro!$B$17+1)),0)</f>
        <v>0</v>
      </c>
      <c r="P102" s="10">
        <f>P101*(Presion_cilindro!O100/Presion_cilindro!O101)^Presion_cilindro!$B$9+10*(Presion_cilindro!$B$9-1)*Presion_cilindro!$B$33*(O102-O101)/((Presion_cilindro!O100+Presion_cilindro!O101)/2)</f>
        <v>0.84745925033558611</v>
      </c>
      <c r="Q102" s="9">
        <f>IF(OR($B$9=0,Presion_cilindro!N101&lt;=$B$15),IF(Presion_cilindro!N101&gt;$B$13,1-EXP(-Presion_cilindro!$B$16*((Presion_cilindro!N101-$B$13)/Presion_cilindro!$B$35)^(Presion_cilindro!$B$17+1)),0),$B$8+(1-$B$8)*(1-EXP(-(Presion_cilindro!N101-$B$15)/Presion_cilindro!$B$23)))</f>
        <v>0</v>
      </c>
      <c r="R102" s="10">
        <f>R101*(Presion_cilindro!O100/Presion_cilindro!O101)^Presion_cilindro!$B$9+10*(Presion_cilindro!$B$9-1)*Presion_cilindro!$B$33*(Q102-Q101)/((Presion_cilindro!O100+Presion_cilindro!O101)/2)</f>
        <v>0.84745925033558611</v>
      </c>
      <c r="S102" s="10">
        <f>R102+IF(AND($B$9=1,Presion_cilindro!N101&gt;$B$15),Presion_cilindro!$B$24*2.5*EXP(-(Presion_cilindro!N101-$B$15)/Presion_cilindro!$B$26)*SIN(2*PI()*(Presion_cilindro!N101-$B$15)/Presion_cilindro!$B$39),0)</f>
        <v>0.84745925033558611</v>
      </c>
      <c r="T102" s="9">
        <f>IF(Presion_cilindro!N101&gt;$B$14,1-EXP(-Presion_cilindro!$B$16*((Presion_cilindro!N101-$B$14)/Presion_cilindro!$B$35)^(Presion_cilindro!$B$17+1)),0)</f>
        <v>0</v>
      </c>
      <c r="U102" s="10">
        <f>U101*(Presion_cilindro!O100/Presion_cilindro!O101)^Presion_cilindro!$B$9+10*(Presion_cilindro!$B$9-1)*Presion_cilindro!$B$33*(T102-T101)/((Presion_cilindro!O100+Presion_cilindro!O101)/2)</f>
        <v>0.84745925033558611</v>
      </c>
    </row>
    <row r="103" spans="14:21" x14ac:dyDescent="0.25">
      <c r="N103" s="8">
        <f>-Presion_cilindro!N102</f>
        <v>131</v>
      </c>
      <c r="O103" s="9">
        <f>IF(Presion_cilindro!N102&gt;$B$12,1-EXP(-Presion_cilindro!$B$16*((Presion_cilindro!N102-$B$12)/Presion_cilindro!$B$35)^(Presion_cilindro!$B$17+1)),0)</f>
        <v>0</v>
      </c>
      <c r="P103" s="10">
        <f>P102*(Presion_cilindro!O101/Presion_cilindro!O102)^Presion_cilindro!$B$9+10*(Presion_cilindro!$B$9-1)*Presion_cilindro!$B$33*(O103-O102)/((Presion_cilindro!O101+Presion_cilindro!O102)/2)</f>
        <v>0.8505048796038881</v>
      </c>
      <c r="Q103" s="9">
        <f>IF(OR($B$9=0,Presion_cilindro!N102&lt;=$B$15),IF(Presion_cilindro!N102&gt;$B$13,1-EXP(-Presion_cilindro!$B$16*((Presion_cilindro!N102-$B$13)/Presion_cilindro!$B$35)^(Presion_cilindro!$B$17+1)),0),$B$8+(1-$B$8)*(1-EXP(-(Presion_cilindro!N102-$B$15)/Presion_cilindro!$B$23)))</f>
        <v>0</v>
      </c>
      <c r="R103" s="10">
        <f>R102*(Presion_cilindro!O101/Presion_cilindro!O102)^Presion_cilindro!$B$9+10*(Presion_cilindro!$B$9-1)*Presion_cilindro!$B$33*(Q103-Q102)/((Presion_cilindro!O101+Presion_cilindro!O102)/2)</f>
        <v>0.8505048796038881</v>
      </c>
      <c r="S103" s="10">
        <f>R103+IF(AND($B$9=1,Presion_cilindro!N102&gt;$B$15),Presion_cilindro!$B$24*2.5*EXP(-(Presion_cilindro!N102-$B$15)/Presion_cilindro!$B$26)*SIN(2*PI()*(Presion_cilindro!N102-$B$15)/Presion_cilindro!$B$39),0)</f>
        <v>0.8505048796038881</v>
      </c>
      <c r="T103" s="9">
        <f>IF(Presion_cilindro!N102&gt;$B$14,1-EXP(-Presion_cilindro!$B$16*((Presion_cilindro!N102-$B$14)/Presion_cilindro!$B$35)^(Presion_cilindro!$B$17+1)),0)</f>
        <v>0</v>
      </c>
      <c r="U103" s="10">
        <f>U102*(Presion_cilindro!O101/Presion_cilindro!O102)^Presion_cilindro!$B$9+10*(Presion_cilindro!$B$9-1)*Presion_cilindro!$B$33*(T103-T102)/((Presion_cilindro!O101+Presion_cilindro!O102)/2)</f>
        <v>0.8505048796038881</v>
      </c>
    </row>
    <row r="104" spans="14:21" x14ac:dyDescent="0.25">
      <c r="N104" s="8">
        <f>-Presion_cilindro!N103</f>
        <v>130.5</v>
      </c>
      <c r="O104" s="9">
        <f>IF(Presion_cilindro!N103&gt;$B$12,1-EXP(-Presion_cilindro!$B$16*((Presion_cilindro!N103-$B$12)/Presion_cilindro!$B$35)^(Presion_cilindro!$B$17+1)),0)</f>
        <v>0</v>
      </c>
      <c r="P104" s="10">
        <f>P103*(Presion_cilindro!O102/Presion_cilindro!O103)^Presion_cilindro!$B$9+10*(Presion_cilindro!$B$9-1)*Presion_cilindro!$B$33*(O104-O103)/((Presion_cilindro!O102+Presion_cilindro!O103)/2)</f>
        <v>0.85360027318058762</v>
      </c>
      <c r="Q104" s="9">
        <f>IF(OR($B$9=0,Presion_cilindro!N103&lt;=$B$15),IF(Presion_cilindro!N103&gt;$B$13,1-EXP(-Presion_cilindro!$B$16*((Presion_cilindro!N103-$B$13)/Presion_cilindro!$B$35)^(Presion_cilindro!$B$17+1)),0),$B$8+(1-$B$8)*(1-EXP(-(Presion_cilindro!N103-$B$15)/Presion_cilindro!$B$23)))</f>
        <v>0</v>
      </c>
      <c r="R104" s="10">
        <f>R103*(Presion_cilindro!O102/Presion_cilindro!O103)^Presion_cilindro!$B$9+10*(Presion_cilindro!$B$9-1)*Presion_cilindro!$B$33*(Q104-Q103)/((Presion_cilindro!O102+Presion_cilindro!O103)/2)</f>
        <v>0.85360027318058762</v>
      </c>
      <c r="S104" s="10">
        <f>R104+IF(AND($B$9=1,Presion_cilindro!N103&gt;$B$15),Presion_cilindro!$B$24*2.5*EXP(-(Presion_cilindro!N103-$B$15)/Presion_cilindro!$B$26)*SIN(2*PI()*(Presion_cilindro!N103-$B$15)/Presion_cilindro!$B$39),0)</f>
        <v>0.85360027318058762</v>
      </c>
      <c r="T104" s="9">
        <f>IF(Presion_cilindro!N103&gt;$B$14,1-EXP(-Presion_cilindro!$B$16*((Presion_cilindro!N103-$B$14)/Presion_cilindro!$B$35)^(Presion_cilindro!$B$17+1)),0)</f>
        <v>0</v>
      </c>
      <c r="U104" s="10">
        <f>U103*(Presion_cilindro!O102/Presion_cilindro!O103)^Presion_cilindro!$B$9+10*(Presion_cilindro!$B$9-1)*Presion_cilindro!$B$33*(T104-T103)/((Presion_cilindro!O102+Presion_cilindro!O103)/2)</f>
        <v>0.85360027318058762</v>
      </c>
    </row>
    <row r="105" spans="14:21" x14ac:dyDescent="0.25">
      <c r="N105" s="8">
        <f>-Presion_cilindro!N104</f>
        <v>130</v>
      </c>
      <c r="O105" s="9">
        <f>IF(Presion_cilindro!N104&gt;$B$12,1-EXP(-Presion_cilindro!$B$16*((Presion_cilindro!N104-$B$12)/Presion_cilindro!$B$35)^(Presion_cilindro!$B$17+1)),0)</f>
        <v>0</v>
      </c>
      <c r="P105" s="10">
        <f>P104*(Presion_cilindro!O103/Presion_cilindro!O104)^Presion_cilindro!$B$9+10*(Presion_cilindro!$B$9-1)*Presion_cilindro!$B$33*(O105-O104)/((Presion_cilindro!O103+Presion_cilindro!O104)/2)</f>
        <v>0.85674612394895477</v>
      </c>
      <c r="Q105" s="9">
        <f>IF(OR($B$9=0,Presion_cilindro!N104&lt;=$B$15),IF(Presion_cilindro!N104&gt;$B$13,1-EXP(-Presion_cilindro!$B$16*((Presion_cilindro!N104-$B$13)/Presion_cilindro!$B$35)^(Presion_cilindro!$B$17+1)),0),$B$8+(1-$B$8)*(1-EXP(-(Presion_cilindro!N104-$B$15)/Presion_cilindro!$B$23)))</f>
        <v>0</v>
      </c>
      <c r="R105" s="10">
        <f>R104*(Presion_cilindro!O103/Presion_cilindro!O104)^Presion_cilindro!$B$9+10*(Presion_cilindro!$B$9-1)*Presion_cilindro!$B$33*(Q105-Q104)/((Presion_cilindro!O103+Presion_cilindro!O104)/2)</f>
        <v>0.85674612394895477</v>
      </c>
      <c r="S105" s="10">
        <f>R105+IF(AND($B$9=1,Presion_cilindro!N104&gt;$B$15),Presion_cilindro!$B$24*2.5*EXP(-(Presion_cilindro!N104-$B$15)/Presion_cilindro!$B$26)*SIN(2*PI()*(Presion_cilindro!N104-$B$15)/Presion_cilindro!$B$39),0)</f>
        <v>0.85674612394895477</v>
      </c>
      <c r="T105" s="9">
        <f>IF(Presion_cilindro!N104&gt;$B$14,1-EXP(-Presion_cilindro!$B$16*((Presion_cilindro!N104-$B$14)/Presion_cilindro!$B$35)^(Presion_cilindro!$B$17+1)),0)</f>
        <v>0</v>
      </c>
      <c r="U105" s="10">
        <f>U104*(Presion_cilindro!O103/Presion_cilindro!O104)^Presion_cilindro!$B$9+10*(Presion_cilindro!$B$9-1)*Presion_cilindro!$B$33*(T105-T104)/((Presion_cilindro!O103+Presion_cilindro!O104)/2)</f>
        <v>0.85674612394895477</v>
      </c>
    </row>
    <row r="106" spans="14:21" x14ac:dyDescent="0.25">
      <c r="N106" s="8">
        <f>-Presion_cilindro!N105</f>
        <v>129.5</v>
      </c>
      <c r="O106" s="9">
        <f>IF(Presion_cilindro!N105&gt;$B$12,1-EXP(-Presion_cilindro!$B$16*((Presion_cilindro!N105-$B$12)/Presion_cilindro!$B$35)^(Presion_cilindro!$B$17+1)),0)</f>
        <v>0</v>
      </c>
      <c r="P106" s="10">
        <f>P105*(Presion_cilindro!O104/Presion_cilindro!O105)^Presion_cilindro!$B$9+10*(Presion_cilindro!$B$9-1)*Presion_cilindro!$B$33*(O106-O105)/((Presion_cilindro!O104+Presion_cilindro!O105)/2)</f>
        <v>0.85994313917723564</v>
      </c>
      <c r="Q106" s="9">
        <f>IF(OR($B$9=0,Presion_cilindro!N105&lt;=$B$15),IF(Presion_cilindro!N105&gt;$B$13,1-EXP(-Presion_cilindro!$B$16*((Presion_cilindro!N105-$B$13)/Presion_cilindro!$B$35)^(Presion_cilindro!$B$17+1)),0),$B$8+(1-$B$8)*(1-EXP(-(Presion_cilindro!N105-$B$15)/Presion_cilindro!$B$23)))</f>
        <v>0</v>
      </c>
      <c r="R106" s="10">
        <f>R105*(Presion_cilindro!O104/Presion_cilindro!O105)^Presion_cilindro!$B$9+10*(Presion_cilindro!$B$9-1)*Presion_cilindro!$B$33*(Q106-Q105)/((Presion_cilindro!O104+Presion_cilindro!O105)/2)</f>
        <v>0.85994313917723564</v>
      </c>
      <c r="S106" s="10">
        <f>R106+IF(AND($B$9=1,Presion_cilindro!N105&gt;$B$15),Presion_cilindro!$B$24*2.5*EXP(-(Presion_cilindro!N105-$B$15)/Presion_cilindro!$B$26)*SIN(2*PI()*(Presion_cilindro!N105-$B$15)/Presion_cilindro!$B$39),0)</f>
        <v>0.85994313917723564</v>
      </c>
      <c r="T106" s="9">
        <f>IF(Presion_cilindro!N105&gt;$B$14,1-EXP(-Presion_cilindro!$B$16*((Presion_cilindro!N105-$B$14)/Presion_cilindro!$B$35)^(Presion_cilindro!$B$17+1)),0)</f>
        <v>0</v>
      </c>
      <c r="U106" s="10">
        <f>U105*(Presion_cilindro!O104/Presion_cilindro!O105)^Presion_cilindro!$B$9+10*(Presion_cilindro!$B$9-1)*Presion_cilindro!$B$33*(T106-T105)/((Presion_cilindro!O104+Presion_cilindro!O105)/2)</f>
        <v>0.85994313917723564</v>
      </c>
    </row>
    <row r="107" spans="14:21" x14ac:dyDescent="0.25">
      <c r="N107" s="8">
        <f>-Presion_cilindro!N106</f>
        <v>129</v>
      </c>
      <c r="O107" s="9">
        <f>IF(Presion_cilindro!N106&gt;$B$12,1-EXP(-Presion_cilindro!$B$16*((Presion_cilindro!N106-$B$12)/Presion_cilindro!$B$35)^(Presion_cilindro!$B$17+1)),0)</f>
        <v>0</v>
      </c>
      <c r="P107" s="10">
        <f>P106*(Presion_cilindro!O105/Presion_cilindro!O106)^Presion_cilindro!$B$9+10*(Presion_cilindro!$B$9-1)*Presion_cilindro!$B$33*(O107-O106)/((Presion_cilindro!O105+Presion_cilindro!O106)/2)</f>
        <v>0.86319204081833656</v>
      </c>
      <c r="Q107" s="9">
        <f>IF(OR($B$9=0,Presion_cilindro!N106&lt;=$B$15),IF(Presion_cilindro!N106&gt;$B$13,1-EXP(-Presion_cilindro!$B$16*((Presion_cilindro!N106-$B$13)/Presion_cilindro!$B$35)^(Presion_cilindro!$B$17+1)),0),$B$8+(1-$B$8)*(1-EXP(-(Presion_cilindro!N106-$B$15)/Presion_cilindro!$B$23)))</f>
        <v>0</v>
      </c>
      <c r="R107" s="10">
        <f>R106*(Presion_cilindro!O105/Presion_cilindro!O106)^Presion_cilindro!$B$9+10*(Presion_cilindro!$B$9-1)*Presion_cilindro!$B$33*(Q107-Q106)/((Presion_cilindro!O105+Presion_cilindro!O106)/2)</f>
        <v>0.86319204081833656</v>
      </c>
      <c r="S107" s="10">
        <f>R107+IF(AND($B$9=1,Presion_cilindro!N106&gt;$B$15),Presion_cilindro!$B$24*2.5*EXP(-(Presion_cilindro!N106-$B$15)/Presion_cilindro!$B$26)*SIN(2*PI()*(Presion_cilindro!N106-$B$15)/Presion_cilindro!$B$39),0)</f>
        <v>0.86319204081833656</v>
      </c>
      <c r="T107" s="9">
        <f>IF(Presion_cilindro!N106&gt;$B$14,1-EXP(-Presion_cilindro!$B$16*((Presion_cilindro!N106-$B$14)/Presion_cilindro!$B$35)^(Presion_cilindro!$B$17+1)),0)</f>
        <v>0</v>
      </c>
      <c r="U107" s="10">
        <f>U106*(Presion_cilindro!O105/Presion_cilindro!O106)^Presion_cilindro!$B$9+10*(Presion_cilindro!$B$9-1)*Presion_cilindro!$B$33*(T107-T106)/((Presion_cilindro!O105+Presion_cilindro!O106)/2)</f>
        <v>0.86319204081833656</v>
      </c>
    </row>
    <row r="108" spans="14:21" x14ac:dyDescent="0.25">
      <c r="N108" s="8">
        <f>-Presion_cilindro!N107</f>
        <v>128.5</v>
      </c>
      <c r="O108" s="9">
        <f>IF(Presion_cilindro!N107&gt;$B$12,1-EXP(-Presion_cilindro!$B$16*((Presion_cilindro!N107-$B$12)/Presion_cilindro!$B$35)^(Presion_cilindro!$B$17+1)),0)</f>
        <v>0</v>
      </c>
      <c r="P108" s="10">
        <f>P107*(Presion_cilindro!O106/Presion_cilindro!O107)^Presion_cilindro!$B$9+10*(Presion_cilindro!$B$9-1)*Presion_cilindro!$B$33*(O108-O107)/((Presion_cilindro!O106+Presion_cilindro!O107)/2)</f>
        <v>0.86649356581721804</v>
      </c>
      <c r="Q108" s="9">
        <f>IF(OR($B$9=0,Presion_cilindro!N107&lt;=$B$15),IF(Presion_cilindro!N107&gt;$B$13,1-EXP(-Presion_cilindro!$B$16*((Presion_cilindro!N107-$B$13)/Presion_cilindro!$B$35)^(Presion_cilindro!$B$17+1)),0),$B$8+(1-$B$8)*(1-EXP(-(Presion_cilindro!N107-$B$15)/Presion_cilindro!$B$23)))</f>
        <v>0</v>
      </c>
      <c r="R108" s="10">
        <f>R107*(Presion_cilindro!O106/Presion_cilindro!O107)^Presion_cilindro!$B$9+10*(Presion_cilindro!$B$9-1)*Presion_cilindro!$B$33*(Q108-Q107)/((Presion_cilindro!O106+Presion_cilindro!O107)/2)</f>
        <v>0.86649356581721804</v>
      </c>
      <c r="S108" s="10">
        <f>R108+IF(AND($B$9=1,Presion_cilindro!N107&gt;$B$15),Presion_cilindro!$B$24*2.5*EXP(-(Presion_cilindro!N107-$B$15)/Presion_cilindro!$B$26)*SIN(2*PI()*(Presion_cilindro!N107-$B$15)/Presion_cilindro!$B$39),0)</f>
        <v>0.86649356581721804</v>
      </c>
      <c r="T108" s="9">
        <f>IF(Presion_cilindro!N107&gt;$B$14,1-EXP(-Presion_cilindro!$B$16*((Presion_cilindro!N107-$B$14)/Presion_cilindro!$B$35)^(Presion_cilindro!$B$17+1)),0)</f>
        <v>0</v>
      </c>
      <c r="U108" s="10">
        <f>U107*(Presion_cilindro!O106/Presion_cilindro!O107)^Presion_cilindro!$B$9+10*(Presion_cilindro!$B$9-1)*Presion_cilindro!$B$33*(T108-T107)/((Presion_cilindro!O106+Presion_cilindro!O107)/2)</f>
        <v>0.86649356581721804</v>
      </c>
    </row>
    <row r="109" spans="14:21" x14ac:dyDescent="0.25">
      <c r="N109" s="8">
        <f>-Presion_cilindro!N108</f>
        <v>128</v>
      </c>
      <c r="O109" s="9">
        <f>IF(Presion_cilindro!N108&gt;$B$12,1-EXP(-Presion_cilindro!$B$16*((Presion_cilindro!N108-$B$12)/Presion_cilindro!$B$35)^(Presion_cilindro!$B$17+1)),0)</f>
        <v>0</v>
      </c>
      <c r="P109" s="10">
        <f>P108*(Presion_cilindro!O107/Presion_cilindro!O108)^Presion_cilindro!$B$9+10*(Presion_cilindro!$B$9-1)*Presion_cilindro!$B$33*(O109-O108)/((Presion_cilindro!O107+Presion_cilindro!O108)/2)</f>
        <v>0.86984846642622216</v>
      </c>
      <c r="Q109" s="9">
        <f>IF(OR($B$9=0,Presion_cilindro!N108&lt;=$B$15),IF(Presion_cilindro!N108&gt;$B$13,1-EXP(-Presion_cilindro!$B$16*((Presion_cilindro!N108-$B$13)/Presion_cilindro!$B$35)^(Presion_cilindro!$B$17+1)),0),$B$8+(1-$B$8)*(1-EXP(-(Presion_cilindro!N108-$B$15)/Presion_cilindro!$B$23)))</f>
        <v>0</v>
      </c>
      <c r="R109" s="10">
        <f>R108*(Presion_cilindro!O107/Presion_cilindro!O108)^Presion_cilindro!$B$9+10*(Presion_cilindro!$B$9-1)*Presion_cilindro!$B$33*(Q109-Q108)/((Presion_cilindro!O107+Presion_cilindro!O108)/2)</f>
        <v>0.86984846642622216</v>
      </c>
      <c r="S109" s="10">
        <f>R109+IF(AND($B$9=1,Presion_cilindro!N108&gt;$B$15),Presion_cilindro!$B$24*2.5*EXP(-(Presion_cilindro!N108-$B$15)/Presion_cilindro!$B$26)*SIN(2*PI()*(Presion_cilindro!N108-$B$15)/Presion_cilindro!$B$39),0)</f>
        <v>0.86984846642622216</v>
      </c>
      <c r="T109" s="9">
        <f>IF(Presion_cilindro!N108&gt;$B$14,1-EXP(-Presion_cilindro!$B$16*((Presion_cilindro!N108-$B$14)/Presion_cilindro!$B$35)^(Presion_cilindro!$B$17+1)),0)</f>
        <v>0</v>
      </c>
      <c r="U109" s="10">
        <f>U108*(Presion_cilindro!O107/Presion_cilindro!O108)^Presion_cilindro!$B$9+10*(Presion_cilindro!$B$9-1)*Presion_cilindro!$B$33*(T109-T108)/((Presion_cilindro!O107+Presion_cilindro!O108)/2)</f>
        <v>0.86984846642622216</v>
      </c>
    </row>
    <row r="110" spans="14:21" x14ac:dyDescent="0.25">
      <c r="N110" s="8">
        <f>-Presion_cilindro!N109</f>
        <v>127.5</v>
      </c>
      <c r="O110" s="9">
        <f>IF(Presion_cilindro!N109&gt;$B$12,1-EXP(-Presion_cilindro!$B$16*((Presion_cilindro!N109-$B$12)/Presion_cilindro!$B$35)^(Presion_cilindro!$B$17+1)),0)</f>
        <v>0</v>
      </c>
      <c r="P110" s="10">
        <f>P109*(Presion_cilindro!O108/Presion_cilindro!O109)^Presion_cilindro!$B$9+10*(Presion_cilindro!$B$9-1)*Presion_cilindro!$B$33*(O110-O109)/((Presion_cilindro!O108+Presion_cilindro!O109)/2)</f>
        <v>0.87325751052854073</v>
      </c>
      <c r="Q110" s="9">
        <f>IF(OR($B$9=0,Presion_cilindro!N109&lt;=$B$15),IF(Presion_cilindro!N109&gt;$B$13,1-EXP(-Presion_cilindro!$B$16*((Presion_cilindro!N109-$B$13)/Presion_cilindro!$B$35)^(Presion_cilindro!$B$17+1)),0),$B$8+(1-$B$8)*(1-EXP(-(Presion_cilindro!N109-$B$15)/Presion_cilindro!$B$23)))</f>
        <v>0</v>
      </c>
      <c r="R110" s="10">
        <f>R109*(Presion_cilindro!O108/Presion_cilindro!O109)^Presion_cilindro!$B$9+10*(Presion_cilindro!$B$9-1)*Presion_cilindro!$B$33*(Q110-Q109)/((Presion_cilindro!O108+Presion_cilindro!O109)/2)</f>
        <v>0.87325751052854073</v>
      </c>
      <c r="S110" s="10">
        <f>R110+IF(AND($B$9=1,Presion_cilindro!N109&gt;$B$15),Presion_cilindro!$B$24*2.5*EXP(-(Presion_cilindro!N109-$B$15)/Presion_cilindro!$B$26)*SIN(2*PI()*(Presion_cilindro!N109-$B$15)/Presion_cilindro!$B$39),0)</f>
        <v>0.87325751052854073</v>
      </c>
      <c r="T110" s="9">
        <f>IF(Presion_cilindro!N109&gt;$B$14,1-EXP(-Presion_cilindro!$B$16*((Presion_cilindro!N109-$B$14)/Presion_cilindro!$B$35)^(Presion_cilindro!$B$17+1)),0)</f>
        <v>0</v>
      </c>
      <c r="U110" s="10">
        <f>U109*(Presion_cilindro!O108/Presion_cilindro!O109)^Presion_cilindro!$B$9+10*(Presion_cilindro!$B$9-1)*Presion_cilindro!$B$33*(T110-T109)/((Presion_cilindro!O108+Presion_cilindro!O109)/2)</f>
        <v>0.87325751052854073</v>
      </c>
    </row>
    <row r="111" spans="14:21" x14ac:dyDescent="0.25">
      <c r="N111" s="8">
        <f>-Presion_cilindro!N110</f>
        <v>127</v>
      </c>
      <c r="O111" s="9">
        <f>IF(Presion_cilindro!N110&gt;$B$12,1-EXP(-Presion_cilindro!$B$16*((Presion_cilindro!N110-$B$12)/Presion_cilindro!$B$35)^(Presion_cilindro!$B$17+1)),0)</f>
        <v>0</v>
      </c>
      <c r="P111" s="10">
        <f>P110*(Presion_cilindro!O109/Presion_cilindro!O110)^Presion_cilindro!$B$9+10*(Presion_cilindro!$B$9-1)*Presion_cilindro!$B$33*(O111-O110)/((Presion_cilindro!O109+Presion_cilindro!O110)/2)</f>
        <v>0.87672148197004651</v>
      </c>
      <c r="Q111" s="9">
        <f>IF(OR($B$9=0,Presion_cilindro!N110&lt;=$B$15),IF(Presion_cilindro!N110&gt;$B$13,1-EXP(-Presion_cilindro!$B$16*((Presion_cilindro!N110-$B$13)/Presion_cilindro!$B$35)^(Presion_cilindro!$B$17+1)),0),$B$8+(1-$B$8)*(1-EXP(-(Presion_cilindro!N110-$B$15)/Presion_cilindro!$B$23)))</f>
        <v>0</v>
      </c>
      <c r="R111" s="10">
        <f>R110*(Presion_cilindro!O109/Presion_cilindro!O110)^Presion_cilindro!$B$9+10*(Presion_cilindro!$B$9-1)*Presion_cilindro!$B$33*(Q111-Q110)/((Presion_cilindro!O109+Presion_cilindro!O110)/2)</f>
        <v>0.87672148197004651</v>
      </c>
      <c r="S111" s="10">
        <f>R111+IF(AND($B$9=1,Presion_cilindro!N110&gt;$B$15),Presion_cilindro!$B$24*2.5*EXP(-(Presion_cilindro!N110-$B$15)/Presion_cilindro!$B$26)*SIN(2*PI()*(Presion_cilindro!N110-$B$15)/Presion_cilindro!$B$39),0)</f>
        <v>0.87672148197004651</v>
      </c>
      <c r="T111" s="9">
        <f>IF(Presion_cilindro!N110&gt;$B$14,1-EXP(-Presion_cilindro!$B$16*((Presion_cilindro!N110-$B$14)/Presion_cilindro!$B$35)^(Presion_cilindro!$B$17+1)),0)</f>
        <v>0</v>
      </c>
      <c r="U111" s="10">
        <f>U110*(Presion_cilindro!O109/Presion_cilindro!O110)^Presion_cilindro!$B$9+10*(Presion_cilindro!$B$9-1)*Presion_cilindro!$B$33*(T111-T110)/((Presion_cilindro!O109+Presion_cilindro!O110)/2)</f>
        <v>0.87672148197004651</v>
      </c>
    </row>
    <row r="112" spans="14:21" x14ac:dyDescent="0.25">
      <c r="N112" s="8">
        <f>-Presion_cilindro!N111</f>
        <v>126.5</v>
      </c>
      <c r="O112" s="9">
        <f>IF(Presion_cilindro!N111&gt;$B$12,1-EXP(-Presion_cilindro!$B$16*((Presion_cilindro!N111-$B$12)/Presion_cilindro!$B$35)^(Presion_cilindro!$B$17+1)),0)</f>
        <v>0</v>
      </c>
      <c r="P112" s="10">
        <f>P111*(Presion_cilindro!O110/Presion_cilindro!O111)^Presion_cilindro!$B$9+10*(Presion_cilindro!$B$9-1)*Presion_cilindro!$B$33*(O112-O111)/((Presion_cilindro!O110+Presion_cilindro!O111)/2)</f>
        <v>0.88024118089972236</v>
      </c>
      <c r="Q112" s="9">
        <f>IF(OR($B$9=0,Presion_cilindro!N111&lt;=$B$15),IF(Presion_cilindro!N111&gt;$B$13,1-EXP(-Presion_cilindro!$B$16*((Presion_cilindro!N111-$B$13)/Presion_cilindro!$B$35)^(Presion_cilindro!$B$17+1)),0),$B$8+(1-$B$8)*(1-EXP(-(Presion_cilindro!N111-$B$15)/Presion_cilindro!$B$23)))</f>
        <v>0</v>
      </c>
      <c r="R112" s="10">
        <f>R111*(Presion_cilindro!O110/Presion_cilindro!O111)^Presion_cilindro!$B$9+10*(Presion_cilindro!$B$9-1)*Presion_cilindro!$B$33*(Q112-Q111)/((Presion_cilindro!O110+Presion_cilindro!O111)/2)</f>
        <v>0.88024118089972236</v>
      </c>
      <c r="S112" s="10">
        <f>R112+IF(AND($B$9=1,Presion_cilindro!N111&gt;$B$15),Presion_cilindro!$B$24*2.5*EXP(-(Presion_cilindro!N111-$B$15)/Presion_cilindro!$B$26)*SIN(2*PI()*(Presion_cilindro!N111-$B$15)/Presion_cilindro!$B$39),0)</f>
        <v>0.88024118089972236</v>
      </c>
      <c r="T112" s="9">
        <f>IF(Presion_cilindro!N111&gt;$B$14,1-EXP(-Presion_cilindro!$B$16*((Presion_cilindro!N111-$B$14)/Presion_cilindro!$B$35)^(Presion_cilindro!$B$17+1)),0)</f>
        <v>0</v>
      </c>
      <c r="U112" s="10">
        <f>U111*(Presion_cilindro!O110/Presion_cilindro!O111)^Presion_cilindro!$B$9+10*(Presion_cilindro!$B$9-1)*Presion_cilindro!$B$33*(T112-T111)/((Presion_cilindro!O110+Presion_cilindro!O111)/2)</f>
        <v>0.88024118089972236</v>
      </c>
    </row>
    <row r="113" spans="14:21" x14ac:dyDescent="0.25">
      <c r="N113" s="8">
        <f>-Presion_cilindro!N112</f>
        <v>126</v>
      </c>
      <c r="O113" s="9">
        <f>IF(Presion_cilindro!N112&gt;$B$12,1-EXP(-Presion_cilindro!$B$16*((Presion_cilindro!N112-$B$12)/Presion_cilindro!$B$35)^(Presion_cilindro!$B$17+1)),0)</f>
        <v>0</v>
      </c>
      <c r="P113" s="10">
        <f>P112*(Presion_cilindro!O111/Presion_cilindro!O112)^Presion_cilindro!$B$9+10*(Presion_cilindro!$B$9-1)*Presion_cilindro!$B$33*(O113-O112)/((Presion_cilindro!O111+Presion_cilindro!O112)/2)</f>
        <v>0.88381742411891229</v>
      </c>
      <c r="Q113" s="9">
        <f>IF(OR($B$9=0,Presion_cilindro!N112&lt;=$B$15),IF(Presion_cilindro!N112&gt;$B$13,1-EXP(-Presion_cilindro!$B$16*((Presion_cilindro!N112-$B$13)/Presion_cilindro!$B$35)^(Presion_cilindro!$B$17+1)),0),$B$8+(1-$B$8)*(1-EXP(-(Presion_cilindro!N112-$B$15)/Presion_cilindro!$B$23)))</f>
        <v>0</v>
      </c>
      <c r="R113" s="10">
        <f>R112*(Presion_cilindro!O111/Presion_cilindro!O112)^Presion_cilindro!$B$9+10*(Presion_cilindro!$B$9-1)*Presion_cilindro!$B$33*(Q113-Q112)/((Presion_cilindro!O111+Presion_cilindro!O112)/2)</f>
        <v>0.88381742411891229</v>
      </c>
      <c r="S113" s="10">
        <f>R113+IF(AND($B$9=1,Presion_cilindro!N112&gt;$B$15),Presion_cilindro!$B$24*2.5*EXP(-(Presion_cilindro!N112-$B$15)/Presion_cilindro!$B$26)*SIN(2*PI()*(Presion_cilindro!N112-$B$15)/Presion_cilindro!$B$39),0)</f>
        <v>0.88381742411891229</v>
      </c>
      <c r="T113" s="9">
        <f>IF(Presion_cilindro!N112&gt;$B$14,1-EXP(-Presion_cilindro!$B$16*((Presion_cilindro!N112-$B$14)/Presion_cilindro!$B$35)^(Presion_cilindro!$B$17+1)),0)</f>
        <v>0</v>
      </c>
      <c r="U113" s="10">
        <f>U112*(Presion_cilindro!O111/Presion_cilindro!O112)^Presion_cilindro!$B$9+10*(Presion_cilindro!$B$9-1)*Presion_cilindro!$B$33*(T113-T112)/((Presion_cilindro!O111+Presion_cilindro!O112)/2)</f>
        <v>0.88381742411891229</v>
      </c>
    </row>
    <row r="114" spans="14:21" x14ac:dyDescent="0.25">
      <c r="N114" s="8">
        <f>-Presion_cilindro!N113</f>
        <v>125.5</v>
      </c>
      <c r="O114" s="9">
        <f>IF(Presion_cilindro!N113&gt;$B$12,1-EXP(-Presion_cilindro!$B$16*((Presion_cilindro!N113-$B$12)/Presion_cilindro!$B$35)^(Presion_cilindro!$B$17+1)),0)</f>
        <v>0</v>
      </c>
      <c r="P114" s="10">
        <f>P113*(Presion_cilindro!O112/Presion_cilindro!O113)^Presion_cilindro!$B$9+10*(Presion_cilindro!$B$9-1)*Presion_cilindro!$B$33*(O114-O113)/((Presion_cilindro!O112+Presion_cilindro!O113)/2)</f>
        <v>0.88745104543965125</v>
      </c>
      <c r="Q114" s="9">
        <f>IF(OR($B$9=0,Presion_cilindro!N113&lt;=$B$15),IF(Presion_cilindro!N113&gt;$B$13,1-EXP(-Presion_cilindro!$B$16*((Presion_cilindro!N113-$B$13)/Presion_cilindro!$B$35)^(Presion_cilindro!$B$17+1)),0),$B$8+(1-$B$8)*(1-EXP(-(Presion_cilindro!N113-$B$15)/Presion_cilindro!$B$23)))</f>
        <v>0</v>
      </c>
      <c r="R114" s="10">
        <f>R113*(Presion_cilindro!O112/Presion_cilindro!O113)^Presion_cilindro!$B$9+10*(Presion_cilindro!$B$9-1)*Presion_cilindro!$B$33*(Q114-Q113)/((Presion_cilindro!O112+Presion_cilindro!O113)/2)</f>
        <v>0.88745104543965125</v>
      </c>
      <c r="S114" s="10">
        <f>R114+IF(AND($B$9=1,Presion_cilindro!N113&gt;$B$15),Presion_cilindro!$B$24*2.5*EXP(-(Presion_cilindro!N113-$B$15)/Presion_cilindro!$B$26)*SIN(2*PI()*(Presion_cilindro!N113-$B$15)/Presion_cilindro!$B$39),0)</f>
        <v>0.88745104543965125</v>
      </c>
      <c r="T114" s="9">
        <f>IF(Presion_cilindro!N113&gt;$B$14,1-EXP(-Presion_cilindro!$B$16*((Presion_cilindro!N113-$B$14)/Presion_cilindro!$B$35)^(Presion_cilindro!$B$17+1)),0)</f>
        <v>0</v>
      </c>
      <c r="U114" s="10">
        <f>U113*(Presion_cilindro!O112/Presion_cilindro!O113)^Presion_cilindro!$B$9+10*(Presion_cilindro!$B$9-1)*Presion_cilindro!$B$33*(T114-T113)/((Presion_cilindro!O112+Presion_cilindro!O113)/2)</f>
        <v>0.88745104543965125</v>
      </c>
    </row>
    <row r="115" spans="14:21" x14ac:dyDescent="0.25">
      <c r="N115" s="8">
        <f>-Presion_cilindro!N114</f>
        <v>125</v>
      </c>
      <c r="O115" s="9">
        <f>IF(Presion_cilindro!N114&gt;$B$12,1-EXP(-Presion_cilindro!$B$16*((Presion_cilindro!N114-$B$12)/Presion_cilindro!$B$35)^(Presion_cilindro!$B$17+1)),0)</f>
        <v>0</v>
      </c>
      <c r="P115" s="10">
        <f>P114*(Presion_cilindro!O113/Presion_cilindro!O114)^Presion_cilindro!$B$9+10*(Presion_cilindro!$B$9-1)*Presion_cilindro!$B$33*(O115-O114)/((Presion_cilindro!O113+Presion_cilindro!O114)/2)</f>
        <v>0.89114289605231267</v>
      </c>
      <c r="Q115" s="9">
        <f>IF(OR($B$9=0,Presion_cilindro!N114&lt;=$B$15),IF(Presion_cilindro!N114&gt;$B$13,1-EXP(-Presion_cilindro!$B$16*((Presion_cilindro!N114-$B$13)/Presion_cilindro!$B$35)^(Presion_cilindro!$B$17+1)),0),$B$8+(1-$B$8)*(1-EXP(-(Presion_cilindro!N114-$B$15)/Presion_cilindro!$B$23)))</f>
        <v>0</v>
      </c>
      <c r="R115" s="10">
        <f>R114*(Presion_cilindro!O113/Presion_cilindro!O114)^Presion_cilindro!$B$9+10*(Presion_cilindro!$B$9-1)*Presion_cilindro!$B$33*(Q115-Q114)/((Presion_cilindro!O113+Presion_cilindro!O114)/2)</f>
        <v>0.89114289605231267</v>
      </c>
      <c r="S115" s="10">
        <f>R115+IF(AND($B$9=1,Presion_cilindro!N114&gt;$B$15),Presion_cilindro!$B$24*2.5*EXP(-(Presion_cilindro!N114-$B$15)/Presion_cilindro!$B$26)*SIN(2*PI()*(Presion_cilindro!N114-$B$15)/Presion_cilindro!$B$39),0)</f>
        <v>0.89114289605231267</v>
      </c>
      <c r="T115" s="9">
        <f>IF(Presion_cilindro!N114&gt;$B$14,1-EXP(-Presion_cilindro!$B$16*((Presion_cilindro!N114-$B$14)/Presion_cilindro!$B$35)^(Presion_cilindro!$B$17+1)),0)</f>
        <v>0</v>
      </c>
      <c r="U115" s="10">
        <f>U114*(Presion_cilindro!O113/Presion_cilindro!O114)^Presion_cilindro!$B$9+10*(Presion_cilindro!$B$9-1)*Presion_cilindro!$B$33*(T115-T114)/((Presion_cilindro!O113+Presion_cilindro!O114)/2)</f>
        <v>0.89114289605231267</v>
      </c>
    </row>
    <row r="116" spans="14:21" x14ac:dyDescent="0.25">
      <c r="N116" s="8">
        <f>-Presion_cilindro!N115</f>
        <v>124.5</v>
      </c>
      <c r="O116" s="9">
        <f>IF(Presion_cilindro!N115&gt;$B$12,1-EXP(-Presion_cilindro!$B$16*((Presion_cilindro!N115-$B$12)/Presion_cilindro!$B$35)^(Presion_cilindro!$B$17+1)),0)</f>
        <v>0</v>
      </c>
      <c r="P116" s="10">
        <f>P115*(Presion_cilindro!O114/Presion_cilindro!O115)^Presion_cilindro!$B$9+10*(Presion_cilindro!$B$9-1)*Presion_cilindro!$B$33*(O116-O115)/((Presion_cilindro!O114+Presion_cilindro!O115)/2)</f>
        <v>0.89489384490283674</v>
      </c>
      <c r="Q116" s="9">
        <f>IF(OR($B$9=0,Presion_cilindro!N115&lt;=$B$15),IF(Presion_cilindro!N115&gt;$B$13,1-EXP(-Presion_cilindro!$B$16*((Presion_cilindro!N115-$B$13)/Presion_cilindro!$B$35)^(Presion_cilindro!$B$17+1)),0),$B$8+(1-$B$8)*(1-EXP(-(Presion_cilindro!N115-$B$15)/Presion_cilindro!$B$23)))</f>
        <v>0</v>
      </c>
      <c r="R116" s="10">
        <f>R115*(Presion_cilindro!O114/Presion_cilindro!O115)^Presion_cilindro!$B$9+10*(Presion_cilindro!$B$9-1)*Presion_cilindro!$B$33*(Q116-Q115)/((Presion_cilindro!O114+Presion_cilindro!O115)/2)</f>
        <v>0.89489384490283674</v>
      </c>
      <c r="S116" s="10">
        <f>R116+IF(AND($B$9=1,Presion_cilindro!N115&gt;$B$15),Presion_cilindro!$B$24*2.5*EXP(-(Presion_cilindro!N115-$B$15)/Presion_cilindro!$B$26)*SIN(2*PI()*(Presion_cilindro!N115-$B$15)/Presion_cilindro!$B$39),0)</f>
        <v>0.89489384490283674</v>
      </c>
      <c r="T116" s="9">
        <f>IF(Presion_cilindro!N115&gt;$B$14,1-EXP(-Presion_cilindro!$B$16*((Presion_cilindro!N115-$B$14)/Presion_cilindro!$B$35)^(Presion_cilindro!$B$17+1)),0)</f>
        <v>0</v>
      </c>
      <c r="U116" s="10">
        <f>U115*(Presion_cilindro!O114/Presion_cilindro!O115)^Presion_cilindro!$B$9+10*(Presion_cilindro!$B$9-1)*Presion_cilindro!$B$33*(T116-T115)/((Presion_cilindro!O114+Presion_cilindro!O115)/2)</f>
        <v>0.89489384490283674</v>
      </c>
    </row>
    <row r="117" spans="14:21" x14ac:dyDescent="0.25">
      <c r="N117" s="8">
        <f>-Presion_cilindro!N116</f>
        <v>124</v>
      </c>
      <c r="O117" s="9">
        <f>IF(Presion_cilindro!N116&gt;$B$12,1-EXP(-Presion_cilindro!$B$16*((Presion_cilindro!N116-$B$12)/Presion_cilindro!$B$35)^(Presion_cilindro!$B$17+1)),0)</f>
        <v>0</v>
      </c>
      <c r="P117" s="10">
        <f>P116*(Presion_cilindro!O115/Presion_cilindro!O116)^Presion_cilindro!$B$9+10*(Presion_cilindro!$B$9-1)*Presion_cilindro!$B$33*(O117-O116)/((Presion_cilindro!O115+Presion_cilindro!O116)/2)</f>
        <v>0.89870477907980162</v>
      </c>
      <c r="Q117" s="9">
        <f>IF(OR($B$9=0,Presion_cilindro!N116&lt;=$B$15),IF(Presion_cilindro!N116&gt;$B$13,1-EXP(-Presion_cilindro!$B$16*((Presion_cilindro!N116-$B$13)/Presion_cilindro!$B$35)^(Presion_cilindro!$B$17+1)),0),$B$8+(1-$B$8)*(1-EXP(-(Presion_cilindro!N116-$B$15)/Presion_cilindro!$B$23)))</f>
        <v>0</v>
      </c>
      <c r="R117" s="10">
        <f>R116*(Presion_cilindro!O115/Presion_cilindro!O116)^Presion_cilindro!$B$9+10*(Presion_cilindro!$B$9-1)*Presion_cilindro!$B$33*(Q117-Q116)/((Presion_cilindro!O115+Presion_cilindro!O116)/2)</f>
        <v>0.89870477907980162</v>
      </c>
      <c r="S117" s="10">
        <f>R117+IF(AND($B$9=1,Presion_cilindro!N116&gt;$B$15),Presion_cilindro!$B$24*2.5*EXP(-(Presion_cilindro!N116-$B$15)/Presion_cilindro!$B$26)*SIN(2*PI()*(Presion_cilindro!N116-$B$15)/Presion_cilindro!$B$39),0)</f>
        <v>0.89870477907980162</v>
      </c>
      <c r="T117" s="9">
        <f>IF(Presion_cilindro!N116&gt;$B$14,1-EXP(-Presion_cilindro!$B$16*((Presion_cilindro!N116-$B$14)/Presion_cilindro!$B$35)^(Presion_cilindro!$B$17+1)),0)</f>
        <v>0</v>
      </c>
      <c r="U117" s="10">
        <f>U116*(Presion_cilindro!O115/Presion_cilindro!O116)^Presion_cilindro!$B$9+10*(Presion_cilindro!$B$9-1)*Presion_cilindro!$B$33*(T117-T116)/((Presion_cilindro!O115+Presion_cilindro!O116)/2)</f>
        <v>0.89870477907980162</v>
      </c>
    </row>
    <row r="118" spans="14:21" x14ac:dyDescent="0.25">
      <c r="N118" s="8">
        <f>-Presion_cilindro!N117</f>
        <v>123.5</v>
      </c>
      <c r="O118" s="9">
        <f>IF(Presion_cilindro!N117&gt;$B$12,1-EXP(-Presion_cilindro!$B$16*((Presion_cilindro!N117-$B$12)/Presion_cilindro!$B$35)^(Presion_cilindro!$B$17+1)),0)</f>
        <v>0</v>
      </c>
      <c r="P118" s="10">
        <f>P117*(Presion_cilindro!O116/Presion_cilindro!O117)^Presion_cilindro!$B$9+10*(Presion_cilindro!$B$9-1)*Presion_cilindro!$B$33*(O118-O117)/((Presion_cilindro!O116+Presion_cilindro!O117)/2)</f>
        <v>0.90257660421161989</v>
      </c>
      <c r="Q118" s="9">
        <f>IF(OR($B$9=0,Presion_cilindro!N117&lt;=$B$15),IF(Presion_cilindro!N117&gt;$B$13,1-EXP(-Presion_cilindro!$B$16*((Presion_cilindro!N117-$B$13)/Presion_cilindro!$B$35)^(Presion_cilindro!$B$17+1)),0),$B$8+(1-$B$8)*(1-EXP(-(Presion_cilindro!N117-$B$15)/Presion_cilindro!$B$23)))</f>
        <v>0</v>
      </c>
      <c r="R118" s="10">
        <f>R117*(Presion_cilindro!O116/Presion_cilindro!O117)^Presion_cilindro!$B$9+10*(Presion_cilindro!$B$9-1)*Presion_cilindro!$B$33*(Q118-Q117)/((Presion_cilindro!O116+Presion_cilindro!O117)/2)</f>
        <v>0.90257660421161989</v>
      </c>
      <c r="S118" s="10">
        <f>R118+IF(AND($B$9=1,Presion_cilindro!N117&gt;$B$15),Presion_cilindro!$B$24*2.5*EXP(-(Presion_cilindro!N117-$B$15)/Presion_cilindro!$B$26)*SIN(2*PI()*(Presion_cilindro!N117-$B$15)/Presion_cilindro!$B$39),0)</f>
        <v>0.90257660421161989</v>
      </c>
      <c r="T118" s="9">
        <f>IF(Presion_cilindro!N117&gt;$B$14,1-EXP(-Presion_cilindro!$B$16*((Presion_cilindro!N117-$B$14)/Presion_cilindro!$B$35)^(Presion_cilindro!$B$17+1)),0)</f>
        <v>0</v>
      </c>
      <c r="U118" s="10">
        <f>U117*(Presion_cilindro!O116/Presion_cilindro!O117)^Presion_cilindro!$B$9+10*(Presion_cilindro!$B$9-1)*Presion_cilindro!$B$33*(T118-T117)/((Presion_cilindro!O116+Presion_cilindro!O117)/2)</f>
        <v>0.90257660421161989</v>
      </c>
    </row>
    <row r="119" spans="14:21" x14ac:dyDescent="0.25">
      <c r="N119" s="8">
        <f>-Presion_cilindro!N118</f>
        <v>123</v>
      </c>
      <c r="O119" s="9">
        <f>IF(Presion_cilindro!N118&gt;$B$12,1-EXP(-Presion_cilindro!$B$16*((Presion_cilindro!N118-$B$12)/Presion_cilindro!$B$35)^(Presion_cilindro!$B$17+1)),0)</f>
        <v>0</v>
      </c>
      <c r="P119" s="10">
        <f>P118*(Presion_cilindro!O117/Presion_cilindro!O118)^Presion_cilindro!$B$9+10*(Presion_cilindro!$B$9-1)*Presion_cilindro!$B$33*(O119-O118)/((Presion_cilindro!O117+Presion_cilindro!O118)/2)</f>
        <v>0.90651024487412757</v>
      </c>
      <c r="Q119" s="9">
        <f>IF(OR($B$9=0,Presion_cilindro!N118&lt;=$B$15),IF(Presion_cilindro!N118&gt;$B$13,1-EXP(-Presion_cilindro!$B$16*((Presion_cilindro!N118-$B$13)/Presion_cilindro!$B$35)^(Presion_cilindro!$B$17+1)),0),$B$8+(1-$B$8)*(1-EXP(-(Presion_cilindro!N118-$B$15)/Presion_cilindro!$B$23)))</f>
        <v>0</v>
      </c>
      <c r="R119" s="10">
        <f>R118*(Presion_cilindro!O117/Presion_cilindro!O118)^Presion_cilindro!$B$9+10*(Presion_cilindro!$B$9-1)*Presion_cilindro!$B$33*(Q119-Q118)/((Presion_cilindro!O117+Presion_cilindro!O118)/2)</f>
        <v>0.90651024487412757</v>
      </c>
      <c r="S119" s="10">
        <f>R119+IF(AND($B$9=1,Presion_cilindro!N118&gt;$B$15),Presion_cilindro!$B$24*2.5*EXP(-(Presion_cilindro!N118-$B$15)/Presion_cilindro!$B$26)*SIN(2*PI()*(Presion_cilindro!N118-$B$15)/Presion_cilindro!$B$39),0)</f>
        <v>0.90651024487412757</v>
      </c>
      <c r="T119" s="9">
        <f>IF(Presion_cilindro!N118&gt;$B$14,1-EXP(-Presion_cilindro!$B$16*((Presion_cilindro!N118-$B$14)/Presion_cilindro!$B$35)^(Presion_cilindro!$B$17+1)),0)</f>
        <v>0</v>
      </c>
      <c r="U119" s="10">
        <f>U118*(Presion_cilindro!O117/Presion_cilindro!O118)^Presion_cilindro!$B$9+10*(Presion_cilindro!$B$9-1)*Presion_cilindro!$B$33*(T119-T118)/((Presion_cilindro!O117+Presion_cilindro!O118)/2)</f>
        <v>0.90651024487412757</v>
      </c>
    </row>
    <row r="120" spans="14:21" x14ac:dyDescent="0.25">
      <c r="N120" s="8">
        <f>-Presion_cilindro!N119</f>
        <v>122.5</v>
      </c>
      <c r="O120" s="9">
        <f>IF(Presion_cilindro!N119&gt;$B$12,1-EXP(-Presion_cilindro!$B$16*((Presion_cilindro!N119-$B$12)/Presion_cilindro!$B$35)^(Presion_cilindro!$B$17+1)),0)</f>
        <v>0</v>
      </c>
      <c r="P120" s="10">
        <f>P119*(Presion_cilindro!O118/Presion_cilindro!O119)^Presion_cilindro!$B$9+10*(Presion_cilindro!$B$9-1)*Presion_cilindro!$B$33*(O120-O119)/((Presion_cilindro!O118+Presion_cilindro!O119)/2)</f>
        <v>0.91050664500887191</v>
      </c>
      <c r="Q120" s="9">
        <f>IF(OR($B$9=0,Presion_cilindro!N119&lt;=$B$15),IF(Presion_cilindro!N119&gt;$B$13,1-EXP(-Presion_cilindro!$B$16*((Presion_cilindro!N119-$B$13)/Presion_cilindro!$B$35)^(Presion_cilindro!$B$17+1)),0),$B$8+(1-$B$8)*(1-EXP(-(Presion_cilindro!N119-$B$15)/Presion_cilindro!$B$23)))</f>
        <v>0</v>
      </c>
      <c r="R120" s="10">
        <f>R119*(Presion_cilindro!O118/Presion_cilindro!O119)^Presion_cilindro!$B$9+10*(Presion_cilindro!$B$9-1)*Presion_cilindro!$B$33*(Q120-Q119)/((Presion_cilindro!O118+Presion_cilindro!O119)/2)</f>
        <v>0.91050664500887191</v>
      </c>
      <c r="S120" s="10">
        <f>R120+IF(AND($B$9=1,Presion_cilindro!N119&gt;$B$15),Presion_cilindro!$B$24*2.5*EXP(-(Presion_cilindro!N119-$B$15)/Presion_cilindro!$B$26)*SIN(2*PI()*(Presion_cilindro!N119-$B$15)/Presion_cilindro!$B$39),0)</f>
        <v>0.91050664500887191</v>
      </c>
      <c r="T120" s="9">
        <f>IF(Presion_cilindro!N119&gt;$B$14,1-EXP(-Presion_cilindro!$B$16*((Presion_cilindro!N119-$B$14)/Presion_cilindro!$B$35)^(Presion_cilindro!$B$17+1)),0)</f>
        <v>0</v>
      </c>
      <c r="U120" s="10">
        <f>U119*(Presion_cilindro!O118/Presion_cilindro!O119)^Presion_cilindro!$B$9+10*(Presion_cilindro!$B$9-1)*Presion_cilindro!$B$33*(T120-T119)/((Presion_cilindro!O118+Presion_cilindro!O119)/2)</f>
        <v>0.91050664500887191</v>
      </c>
    </row>
    <row r="121" spans="14:21" x14ac:dyDescent="0.25">
      <c r="N121" s="8">
        <f>-Presion_cilindro!N120</f>
        <v>122</v>
      </c>
      <c r="O121" s="9">
        <f>IF(Presion_cilindro!N120&gt;$B$12,1-EXP(-Presion_cilindro!$B$16*((Presion_cilindro!N120-$B$12)/Presion_cilindro!$B$35)^(Presion_cilindro!$B$17+1)),0)</f>
        <v>0</v>
      </c>
      <c r="P121" s="10">
        <f>P120*(Presion_cilindro!O119/Presion_cilindro!O120)^Presion_cilindro!$B$9+10*(Presion_cilindro!$B$9-1)*Presion_cilindro!$B$33*(O121-O120)/((Presion_cilindro!O119+Presion_cilindro!O120)/2)</f>
        <v>0.91456676835238615</v>
      </c>
      <c r="Q121" s="9">
        <f>IF(OR($B$9=0,Presion_cilindro!N120&lt;=$B$15),IF(Presion_cilindro!N120&gt;$B$13,1-EXP(-Presion_cilindro!$B$16*((Presion_cilindro!N120-$B$13)/Presion_cilindro!$B$35)^(Presion_cilindro!$B$17+1)),0),$B$8+(1-$B$8)*(1-EXP(-(Presion_cilindro!N120-$B$15)/Presion_cilindro!$B$23)))</f>
        <v>0</v>
      </c>
      <c r="R121" s="10">
        <f>R120*(Presion_cilindro!O119/Presion_cilindro!O120)^Presion_cilindro!$B$9+10*(Presion_cilindro!$B$9-1)*Presion_cilindro!$B$33*(Q121-Q120)/((Presion_cilindro!O119+Presion_cilindro!O120)/2)</f>
        <v>0.91456676835238615</v>
      </c>
      <c r="S121" s="10">
        <f>R121+IF(AND($B$9=1,Presion_cilindro!N120&gt;$B$15),Presion_cilindro!$B$24*2.5*EXP(-(Presion_cilindro!N120-$B$15)/Presion_cilindro!$B$26)*SIN(2*PI()*(Presion_cilindro!N120-$B$15)/Presion_cilindro!$B$39),0)</f>
        <v>0.91456676835238615</v>
      </c>
      <c r="T121" s="9">
        <f>IF(Presion_cilindro!N120&gt;$B$14,1-EXP(-Presion_cilindro!$B$16*((Presion_cilindro!N120-$B$14)/Presion_cilindro!$B$35)^(Presion_cilindro!$B$17+1)),0)</f>
        <v>0</v>
      </c>
      <c r="U121" s="10">
        <f>U120*(Presion_cilindro!O119/Presion_cilindro!O120)^Presion_cilindro!$B$9+10*(Presion_cilindro!$B$9-1)*Presion_cilindro!$B$33*(T121-T120)/((Presion_cilindro!O119+Presion_cilindro!O120)/2)</f>
        <v>0.91456676835238615</v>
      </c>
    </row>
    <row r="122" spans="14:21" x14ac:dyDescent="0.25">
      <c r="N122" s="8">
        <f>-Presion_cilindro!N121</f>
        <v>121.5</v>
      </c>
      <c r="O122" s="9">
        <f>IF(Presion_cilindro!N121&gt;$B$12,1-EXP(-Presion_cilindro!$B$16*((Presion_cilindro!N121-$B$12)/Presion_cilindro!$B$35)^(Presion_cilindro!$B$17+1)),0)</f>
        <v>0</v>
      </c>
      <c r="P122" s="10">
        <f>P121*(Presion_cilindro!O120/Presion_cilindro!O121)^Presion_cilindro!$B$9+10*(Presion_cilindro!$B$9-1)*Presion_cilindro!$B$33*(O122-O121)/((Presion_cilindro!O120+Presion_cilindro!O121)/2)</f>
        <v>0.91869159887676355</v>
      </c>
      <c r="Q122" s="9">
        <f>IF(OR($B$9=0,Presion_cilindro!N121&lt;=$B$15),IF(Presion_cilindro!N121&gt;$B$13,1-EXP(-Presion_cilindro!$B$16*((Presion_cilindro!N121-$B$13)/Presion_cilindro!$B$35)^(Presion_cilindro!$B$17+1)),0),$B$8+(1-$B$8)*(1-EXP(-(Presion_cilindro!N121-$B$15)/Presion_cilindro!$B$23)))</f>
        <v>0</v>
      </c>
      <c r="R122" s="10">
        <f>R121*(Presion_cilindro!O120/Presion_cilindro!O121)^Presion_cilindro!$B$9+10*(Presion_cilindro!$B$9-1)*Presion_cilindro!$B$33*(Q122-Q121)/((Presion_cilindro!O120+Presion_cilindro!O121)/2)</f>
        <v>0.91869159887676355</v>
      </c>
      <c r="S122" s="10">
        <f>R122+IF(AND($B$9=1,Presion_cilindro!N121&gt;$B$15),Presion_cilindro!$B$24*2.5*EXP(-(Presion_cilindro!N121-$B$15)/Presion_cilindro!$B$26)*SIN(2*PI()*(Presion_cilindro!N121-$B$15)/Presion_cilindro!$B$39),0)</f>
        <v>0.91869159887676355</v>
      </c>
      <c r="T122" s="9">
        <f>IF(Presion_cilindro!N121&gt;$B$14,1-EXP(-Presion_cilindro!$B$16*((Presion_cilindro!N121-$B$14)/Presion_cilindro!$B$35)^(Presion_cilindro!$B$17+1)),0)</f>
        <v>0</v>
      </c>
      <c r="U122" s="10">
        <f>U121*(Presion_cilindro!O120/Presion_cilindro!O121)^Presion_cilindro!$B$9+10*(Presion_cilindro!$B$9-1)*Presion_cilindro!$B$33*(T122-T121)/((Presion_cilindro!O120+Presion_cilindro!O121)/2)</f>
        <v>0.91869159887676355</v>
      </c>
    </row>
    <row r="123" spans="14:21" x14ac:dyDescent="0.25">
      <c r="N123" s="8">
        <f>-Presion_cilindro!N122</f>
        <v>121</v>
      </c>
      <c r="O123" s="9">
        <f>IF(Presion_cilindro!N122&gt;$B$12,1-EXP(-Presion_cilindro!$B$16*((Presion_cilindro!N122-$B$12)/Presion_cilindro!$B$35)^(Presion_cilindro!$B$17+1)),0)</f>
        <v>0</v>
      </c>
      <c r="P123" s="10">
        <f>P122*(Presion_cilindro!O121/Presion_cilindro!O122)^Presion_cilindro!$B$9+10*(Presion_cilindro!$B$9-1)*Presion_cilindro!$B$33*(O123-O122)/((Presion_cilindro!O121+Presion_cilindro!O122)/2)</f>
        <v>0.92288214124185797</v>
      </c>
      <c r="Q123" s="9">
        <f>IF(OR($B$9=0,Presion_cilindro!N122&lt;=$B$15),IF(Presion_cilindro!N122&gt;$B$13,1-EXP(-Presion_cilindro!$B$16*((Presion_cilindro!N122-$B$13)/Presion_cilindro!$B$35)^(Presion_cilindro!$B$17+1)),0),$B$8+(1-$B$8)*(1-EXP(-(Presion_cilindro!N122-$B$15)/Presion_cilindro!$B$23)))</f>
        <v>0</v>
      </c>
      <c r="R123" s="10">
        <f>R122*(Presion_cilindro!O121/Presion_cilindro!O122)^Presion_cilindro!$B$9+10*(Presion_cilindro!$B$9-1)*Presion_cilindro!$B$33*(Q123-Q122)/((Presion_cilindro!O121+Presion_cilindro!O122)/2)</f>
        <v>0.92288214124185797</v>
      </c>
      <c r="S123" s="10">
        <f>R123+IF(AND($B$9=1,Presion_cilindro!N122&gt;$B$15),Presion_cilindro!$B$24*2.5*EXP(-(Presion_cilindro!N122-$B$15)/Presion_cilindro!$B$26)*SIN(2*PI()*(Presion_cilindro!N122-$B$15)/Presion_cilindro!$B$39),0)</f>
        <v>0.92288214124185797</v>
      </c>
      <c r="T123" s="9">
        <f>IF(Presion_cilindro!N122&gt;$B$14,1-EXP(-Presion_cilindro!$B$16*((Presion_cilindro!N122-$B$14)/Presion_cilindro!$B$35)^(Presion_cilindro!$B$17+1)),0)</f>
        <v>0</v>
      </c>
      <c r="U123" s="10">
        <f>U122*(Presion_cilindro!O121/Presion_cilindro!O122)^Presion_cilindro!$B$9+10*(Presion_cilindro!$B$9-1)*Presion_cilindro!$B$33*(T123-T122)/((Presion_cilindro!O121+Presion_cilindro!O122)/2)</f>
        <v>0.92288214124185797</v>
      </c>
    </row>
    <row r="124" spans="14:21" x14ac:dyDescent="0.25">
      <c r="N124" s="8">
        <f>-Presion_cilindro!N123</f>
        <v>120.5</v>
      </c>
      <c r="O124" s="9">
        <f>IF(Presion_cilindro!N123&gt;$B$12,1-EXP(-Presion_cilindro!$B$16*((Presion_cilindro!N123-$B$12)/Presion_cilindro!$B$35)^(Presion_cilindro!$B$17+1)),0)</f>
        <v>0</v>
      </c>
      <c r="P124" s="10">
        <f>P123*(Presion_cilindro!O122/Presion_cilindro!O123)^Presion_cilindro!$B$9+10*(Presion_cilindro!$B$9-1)*Presion_cilindro!$B$33*(O124-O123)/((Presion_cilindro!O122+Presion_cilindro!O123)/2)</f>
        <v>0.9271394212594154</v>
      </c>
      <c r="Q124" s="9">
        <f>IF(OR($B$9=0,Presion_cilindro!N123&lt;=$B$15),IF(Presion_cilindro!N123&gt;$B$13,1-EXP(-Presion_cilindro!$B$16*((Presion_cilindro!N123-$B$13)/Presion_cilindro!$B$35)^(Presion_cilindro!$B$17+1)),0),$B$8+(1-$B$8)*(1-EXP(-(Presion_cilindro!N123-$B$15)/Presion_cilindro!$B$23)))</f>
        <v>0</v>
      </c>
      <c r="R124" s="10">
        <f>R123*(Presion_cilindro!O122/Presion_cilindro!O123)^Presion_cilindro!$B$9+10*(Presion_cilindro!$B$9-1)*Presion_cilindro!$B$33*(Q124-Q123)/((Presion_cilindro!O122+Presion_cilindro!O123)/2)</f>
        <v>0.9271394212594154</v>
      </c>
      <c r="S124" s="10">
        <f>R124+IF(AND($B$9=1,Presion_cilindro!N123&gt;$B$15),Presion_cilindro!$B$24*2.5*EXP(-(Presion_cilindro!N123-$B$15)/Presion_cilindro!$B$26)*SIN(2*PI()*(Presion_cilindro!N123-$B$15)/Presion_cilindro!$B$39),0)</f>
        <v>0.9271394212594154</v>
      </c>
      <c r="T124" s="9">
        <f>IF(Presion_cilindro!N123&gt;$B$14,1-EXP(-Presion_cilindro!$B$16*((Presion_cilindro!N123-$B$14)/Presion_cilindro!$B$35)^(Presion_cilindro!$B$17+1)),0)</f>
        <v>0</v>
      </c>
      <c r="U124" s="10">
        <f>U123*(Presion_cilindro!O122/Presion_cilindro!O123)^Presion_cilindro!$B$9+10*(Presion_cilindro!$B$9-1)*Presion_cilindro!$B$33*(T124-T123)/((Presion_cilindro!O122+Presion_cilindro!O123)/2)</f>
        <v>0.9271394212594154</v>
      </c>
    </row>
    <row r="125" spans="14:21" x14ac:dyDescent="0.25">
      <c r="N125" s="8">
        <f>-Presion_cilindro!N124</f>
        <v>120</v>
      </c>
      <c r="O125" s="9">
        <f>IF(Presion_cilindro!N124&gt;$B$12,1-EXP(-Presion_cilindro!$B$16*((Presion_cilindro!N124-$B$12)/Presion_cilindro!$B$35)^(Presion_cilindro!$B$17+1)),0)</f>
        <v>0</v>
      </c>
      <c r="P125" s="10">
        <f>P124*(Presion_cilindro!O123/Presion_cilindro!O124)^Presion_cilindro!$B$9+10*(Presion_cilindro!$B$9-1)*Presion_cilindro!$B$33*(O125-O124)/((Presion_cilindro!O123+Presion_cilindro!O124)/2)</f>
        <v>0.93146448636950885</v>
      </c>
      <c r="Q125" s="9">
        <f>IF(OR($B$9=0,Presion_cilindro!N124&lt;=$B$15),IF(Presion_cilindro!N124&gt;$B$13,1-EXP(-Presion_cilindro!$B$16*((Presion_cilindro!N124-$B$13)/Presion_cilindro!$B$35)^(Presion_cilindro!$B$17+1)),0),$B$8+(1-$B$8)*(1-EXP(-(Presion_cilindro!N124-$B$15)/Presion_cilindro!$B$23)))</f>
        <v>0</v>
      </c>
      <c r="R125" s="10">
        <f>R124*(Presion_cilindro!O123/Presion_cilindro!O124)^Presion_cilindro!$B$9+10*(Presion_cilindro!$B$9-1)*Presion_cilindro!$B$33*(Q125-Q124)/((Presion_cilindro!O123+Presion_cilindro!O124)/2)</f>
        <v>0.93146448636950885</v>
      </c>
      <c r="S125" s="10">
        <f>R125+IF(AND($B$9=1,Presion_cilindro!N124&gt;$B$15),Presion_cilindro!$B$24*2.5*EXP(-(Presion_cilindro!N124-$B$15)/Presion_cilindro!$B$26)*SIN(2*PI()*(Presion_cilindro!N124-$B$15)/Presion_cilindro!$B$39),0)</f>
        <v>0.93146448636950885</v>
      </c>
      <c r="T125" s="9">
        <f>IF(Presion_cilindro!N124&gt;$B$14,1-EXP(-Presion_cilindro!$B$16*((Presion_cilindro!N124-$B$14)/Presion_cilindro!$B$35)^(Presion_cilindro!$B$17+1)),0)</f>
        <v>0</v>
      </c>
      <c r="U125" s="10">
        <f>U124*(Presion_cilindro!O123/Presion_cilindro!O124)^Presion_cilindro!$B$9+10*(Presion_cilindro!$B$9-1)*Presion_cilindro!$B$33*(T125-T124)/((Presion_cilindro!O123+Presion_cilindro!O124)/2)</f>
        <v>0.93146448636950885</v>
      </c>
    </row>
    <row r="126" spans="14:21" x14ac:dyDescent="0.25">
      <c r="N126" s="8">
        <f>-Presion_cilindro!N125</f>
        <v>119.5</v>
      </c>
      <c r="O126" s="9">
        <f>IF(Presion_cilindro!N125&gt;$B$12,1-EXP(-Presion_cilindro!$B$16*((Presion_cilindro!N125-$B$12)/Presion_cilindro!$B$35)^(Presion_cilindro!$B$17+1)),0)</f>
        <v>0</v>
      </c>
      <c r="P126" s="10">
        <f>P125*(Presion_cilindro!O124/Presion_cilindro!O125)^Presion_cilindro!$B$9+10*(Presion_cilindro!$B$9-1)*Presion_cilindro!$B$33*(O126-O125)/((Presion_cilindro!O124+Presion_cilindro!O125)/2)</f>
        <v>0.93585840612958549</v>
      </c>
      <c r="Q126" s="9">
        <f>IF(OR($B$9=0,Presion_cilindro!N125&lt;=$B$15),IF(Presion_cilindro!N125&gt;$B$13,1-EXP(-Presion_cilindro!$B$16*((Presion_cilindro!N125-$B$13)/Presion_cilindro!$B$35)^(Presion_cilindro!$B$17+1)),0),$B$8+(1-$B$8)*(1-EXP(-(Presion_cilindro!N125-$B$15)/Presion_cilindro!$B$23)))</f>
        <v>0</v>
      </c>
      <c r="R126" s="10">
        <f>R125*(Presion_cilindro!O124/Presion_cilindro!O125)^Presion_cilindro!$B$9+10*(Presion_cilindro!$B$9-1)*Presion_cilindro!$B$33*(Q126-Q125)/((Presion_cilindro!O124+Presion_cilindro!O125)/2)</f>
        <v>0.93585840612958549</v>
      </c>
      <c r="S126" s="10">
        <f>R126+IF(AND($B$9=1,Presion_cilindro!N125&gt;$B$15),Presion_cilindro!$B$24*2.5*EXP(-(Presion_cilindro!N125-$B$15)/Presion_cilindro!$B$26)*SIN(2*PI()*(Presion_cilindro!N125-$B$15)/Presion_cilindro!$B$39),0)</f>
        <v>0.93585840612958549</v>
      </c>
      <c r="T126" s="9">
        <f>IF(Presion_cilindro!N125&gt;$B$14,1-EXP(-Presion_cilindro!$B$16*((Presion_cilindro!N125-$B$14)/Presion_cilindro!$B$35)^(Presion_cilindro!$B$17+1)),0)</f>
        <v>0</v>
      </c>
      <c r="U126" s="10">
        <f>U125*(Presion_cilindro!O124/Presion_cilindro!O125)^Presion_cilindro!$B$9+10*(Presion_cilindro!$B$9-1)*Presion_cilindro!$B$33*(T126-T125)/((Presion_cilindro!O124+Presion_cilindro!O125)/2)</f>
        <v>0.93585840612958549</v>
      </c>
    </row>
    <row r="127" spans="14:21" x14ac:dyDescent="0.25">
      <c r="N127" s="8">
        <f>-Presion_cilindro!N126</f>
        <v>119</v>
      </c>
      <c r="O127" s="9">
        <f>IF(Presion_cilindro!N126&gt;$B$12,1-EXP(-Presion_cilindro!$B$16*((Presion_cilindro!N126-$B$12)/Presion_cilindro!$B$35)^(Presion_cilindro!$B$17+1)),0)</f>
        <v>0</v>
      </c>
      <c r="P127" s="10">
        <f>P126*(Presion_cilindro!O125/Presion_cilindro!O126)^Presion_cilindro!$B$9+10*(Presion_cilindro!$B$9-1)*Presion_cilindro!$B$33*(O127-O126)/((Presion_cilindro!O125+Presion_cilindro!O126)/2)</f>
        <v>0.94032227271652247</v>
      </c>
      <c r="Q127" s="9">
        <f>IF(OR($B$9=0,Presion_cilindro!N126&lt;=$B$15),IF(Presion_cilindro!N126&gt;$B$13,1-EXP(-Presion_cilindro!$B$16*((Presion_cilindro!N126-$B$13)/Presion_cilindro!$B$35)^(Presion_cilindro!$B$17+1)),0),$B$8+(1-$B$8)*(1-EXP(-(Presion_cilindro!N126-$B$15)/Presion_cilindro!$B$23)))</f>
        <v>0</v>
      </c>
      <c r="R127" s="10">
        <f>R126*(Presion_cilindro!O125/Presion_cilindro!O126)^Presion_cilindro!$B$9+10*(Presion_cilindro!$B$9-1)*Presion_cilindro!$B$33*(Q127-Q126)/((Presion_cilindro!O125+Presion_cilindro!O126)/2)</f>
        <v>0.94032227271652247</v>
      </c>
      <c r="S127" s="10">
        <f>R127+IF(AND($B$9=1,Presion_cilindro!N126&gt;$B$15),Presion_cilindro!$B$24*2.5*EXP(-(Presion_cilindro!N126-$B$15)/Presion_cilindro!$B$26)*SIN(2*PI()*(Presion_cilindro!N126-$B$15)/Presion_cilindro!$B$39),0)</f>
        <v>0.94032227271652247</v>
      </c>
      <c r="T127" s="9">
        <f>IF(Presion_cilindro!N126&gt;$B$14,1-EXP(-Presion_cilindro!$B$16*((Presion_cilindro!N126-$B$14)/Presion_cilindro!$B$35)^(Presion_cilindro!$B$17+1)),0)</f>
        <v>0</v>
      </c>
      <c r="U127" s="10">
        <f>U126*(Presion_cilindro!O125/Presion_cilindro!O126)^Presion_cilindro!$B$9+10*(Presion_cilindro!$B$9-1)*Presion_cilindro!$B$33*(T127-T126)/((Presion_cilindro!O125+Presion_cilindro!O126)/2)</f>
        <v>0.94032227271652247</v>
      </c>
    </row>
    <row r="128" spans="14:21" x14ac:dyDescent="0.25">
      <c r="N128" s="8">
        <f>-Presion_cilindro!N127</f>
        <v>118.5</v>
      </c>
      <c r="O128" s="9">
        <f>IF(Presion_cilindro!N127&gt;$B$12,1-EXP(-Presion_cilindro!$B$16*((Presion_cilindro!N127-$B$12)/Presion_cilindro!$B$35)^(Presion_cilindro!$B$17+1)),0)</f>
        <v>0</v>
      </c>
      <c r="P128" s="10">
        <f>P127*(Presion_cilindro!O126/Presion_cilindro!O127)^Presion_cilindro!$B$9+10*(Presion_cilindro!$B$9-1)*Presion_cilindro!$B$33*(O128-O127)/((Presion_cilindro!O126+Presion_cilindro!O127)/2)</f>
        <v>0.94485720144203222</v>
      </c>
      <c r="Q128" s="9">
        <f>IF(OR($B$9=0,Presion_cilindro!N127&lt;=$B$15),IF(Presion_cilindro!N127&gt;$B$13,1-EXP(-Presion_cilindro!$B$16*((Presion_cilindro!N127-$B$13)/Presion_cilindro!$B$35)^(Presion_cilindro!$B$17+1)),0),$B$8+(1-$B$8)*(1-EXP(-(Presion_cilindro!N127-$B$15)/Presion_cilindro!$B$23)))</f>
        <v>0</v>
      </c>
      <c r="R128" s="10">
        <f>R127*(Presion_cilindro!O126/Presion_cilindro!O127)^Presion_cilindro!$B$9+10*(Presion_cilindro!$B$9-1)*Presion_cilindro!$B$33*(Q128-Q127)/((Presion_cilindro!O126+Presion_cilindro!O127)/2)</f>
        <v>0.94485720144203222</v>
      </c>
      <c r="S128" s="10">
        <f>R128+IF(AND($B$9=1,Presion_cilindro!N127&gt;$B$15),Presion_cilindro!$B$24*2.5*EXP(-(Presion_cilindro!N127-$B$15)/Presion_cilindro!$B$26)*SIN(2*PI()*(Presion_cilindro!N127-$B$15)/Presion_cilindro!$B$39),0)</f>
        <v>0.94485720144203222</v>
      </c>
      <c r="T128" s="9">
        <f>IF(Presion_cilindro!N127&gt;$B$14,1-EXP(-Presion_cilindro!$B$16*((Presion_cilindro!N127-$B$14)/Presion_cilindro!$B$35)^(Presion_cilindro!$B$17+1)),0)</f>
        <v>0</v>
      </c>
      <c r="U128" s="10">
        <f>U127*(Presion_cilindro!O126/Presion_cilindro!O127)^Presion_cilindro!$B$9+10*(Presion_cilindro!$B$9-1)*Presion_cilindro!$B$33*(T128-T127)/((Presion_cilindro!O126+Presion_cilindro!O127)/2)</f>
        <v>0.94485720144203222</v>
      </c>
    </row>
    <row r="129" spans="14:21" x14ac:dyDescent="0.25">
      <c r="N129" s="8">
        <f>-Presion_cilindro!N128</f>
        <v>118</v>
      </c>
      <c r="O129" s="9">
        <f>IF(Presion_cilindro!N128&gt;$B$12,1-EXP(-Presion_cilindro!$B$16*((Presion_cilindro!N128-$B$12)/Presion_cilindro!$B$35)^(Presion_cilindro!$B$17+1)),0)</f>
        <v>0</v>
      </c>
      <c r="P129" s="10">
        <f>P128*(Presion_cilindro!O127/Presion_cilindro!O128)^Presion_cilindro!$B$9+10*(Presion_cilindro!$B$9-1)*Presion_cilindro!$B$33*(O129-O128)/((Presion_cilindro!O127+Presion_cilindro!O128)/2)</f>
        <v>0.94946433128181895</v>
      </c>
      <c r="Q129" s="9">
        <f>IF(OR($B$9=0,Presion_cilindro!N128&lt;=$B$15),IF(Presion_cilindro!N128&gt;$B$13,1-EXP(-Presion_cilindro!$B$16*((Presion_cilindro!N128-$B$13)/Presion_cilindro!$B$35)^(Presion_cilindro!$B$17+1)),0),$B$8+(1-$B$8)*(1-EXP(-(Presion_cilindro!N128-$B$15)/Presion_cilindro!$B$23)))</f>
        <v>0</v>
      </c>
      <c r="R129" s="10">
        <f>R128*(Presion_cilindro!O127/Presion_cilindro!O128)^Presion_cilindro!$B$9+10*(Presion_cilindro!$B$9-1)*Presion_cilindro!$B$33*(Q129-Q128)/((Presion_cilindro!O127+Presion_cilindro!O128)/2)</f>
        <v>0.94946433128181895</v>
      </c>
      <c r="S129" s="10">
        <f>R129+IF(AND($B$9=1,Presion_cilindro!N128&gt;$B$15),Presion_cilindro!$B$24*2.5*EXP(-(Presion_cilindro!N128-$B$15)/Presion_cilindro!$B$26)*SIN(2*PI()*(Presion_cilindro!N128-$B$15)/Presion_cilindro!$B$39),0)</f>
        <v>0.94946433128181895</v>
      </c>
      <c r="T129" s="9">
        <f>IF(Presion_cilindro!N128&gt;$B$14,1-EXP(-Presion_cilindro!$B$16*((Presion_cilindro!N128-$B$14)/Presion_cilindro!$B$35)^(Presion_cilindro!$B$17+1)),0)</f>
        <v>0</v>
      </c>
      <c r="U129" s="10">
        <f>U128*(Presion_cilindro!O127/Presion_cilindro!O128)^Presion_cilindro!$B$9+10*(Presion_cilindro!$B$9-1)*Presion_cilindro!$B$33*(T129-T128)/((Presion_cilindro!O127+Presion_cilindro!O128)/2)</f>
        <v>0.94946433128181895</v>
      </c>
    </row>
    <row r="130" spans="14:21" x14ac:dyDescent="0.25">
      <c r="N130" s="8">
        <f>-Presion_cilindro!N129</f>
        <v>117.5</v>
      </c>
      <c r="O130" s="9">
        <f>IF(Presion_cilindro!N129&gt;$B$12,1-EXP(-Presion_cilindro!$B$16*((Presion_cilindro!N129-$B$12)/Presion_cilindro!$B$35)^(Presion_cilindro!$B$17+1)),0)</f>
        <v>0</v>
      </c>
      <c r="P130" s="10">
        <f>P129*(Presion_cilindro!O128/Presion_cilindro!O129)^Presion_cilindro!$B$9+10*(Presion_cilindro!$B$9-1)*Presion_cilindro!$B$33*(O130-O129)/((Presion_cilindro!O128+Presion_cilindro!O129)/2)</f>
        <v>0.95414482541886614</v>
      </c>
      <c r="Q130" s="9">
        <f>IF(OR($B$9=0,Presion_cilindro!N129&lt;=$B$15),IF(Presion_cilindro!N129&gt;$B$13,1-EXP(-Presion_cilindro!$B$16*((Presion_cilindro!N129-$B$13)/Presion_cilindro!$B$35)^(Presion_cilindro!$B$17+1)),0),$B$8+(1-$B$8)*(1-EXP(-(Presion_cilindro!N129-$B$15)/Presion_cilindro!$B$23)))</f>
        <v>0</v>
      </c>
      <c r="R130" s="10">
        <f>R129*(Presion_cilindro!O128/Presion_cilindro!O129)^Presion_cilindro!$B$9+10*(Presion_cilindro!$B$9-1)*Presion_cilindro!$B$33*(Q130-Q129)/((Presion_cilindro!O128+Presion_cilindro!O129)/2)</f>
        <v>0.95414482541886614</v>
      </c>
      <c r="S130" s="10">
        <f>R130+IF(AND($B$9=1,Presion_cilindro!N129&gt;$B$15),Presion_cilindro!$B$24*2.5*EXP(-(Presion_cilindro!N129-$B$15)/Presion_cilindro!$B$26)*SIN(2*PI()*(Presion_cilindro!N129-$B$15)/Presion_cilindro!$B$39),0)</f>
        <v>0.95414482541886614</v>
      </c>
      <c r="T130" s="9">
        <f>IF(Presion_cilindro!N129&gt;$B$14,1-EXP(-Presion_cilindro!$B$16*((Presion_cilindro!N129-$B$14)/Presion_cilindro!$B$35)^(Presion_cilindro!$B$17+1)),0)</f>
        <v>0</v>
      </c>
      <c r="U130" s="10">
        <f>U129*(Presion_cilindro!O128/Presion_cilindro!O129)^Presion_cilindro!$B$9+10*(Presion_cilindro!$B$9-1)*Presion_cilindro!$B$33*(T130-T129)/((Presion_cilindro!O128+Presion_cilindro!O129)/2)</f>
        <v>0.95414482541886614</v>
      </c>
    </row>
    <row r="131" spans="14:21" x14ac:dyDescent="0.25">
      <c r="N131" s="8">
        <f>-Presion_cilindro!N130</f>
        <v>117</v>
      </c>
      <c r="O131" s="9">
        <f>IF(Presion_cilindro!N130&gt;$B$12,1-EXP(-Presion_cilindro!$B$16*((Presion_cilindro!N130-$B$12)/Presion_cilindro!$B$35)^(Presion_cilindro!$B$17+1)),0)</f>
        <v>0</v>
      </c>
      <c r="P131" s="10">
        <f>P130*(Presion_cilindro!O129/Presion_cilindro!O130)^Presion_cilindro!$B$9+10*(Presion_cilindro!$B$9-1)*Presion_cilindro!$B$33*(O131-O130)/((Presion_cilindro!O129+Presion_cilindro!O130)/2)</f>
        <v>0.95889987180126512</v>
      </c>
      <c r="Q131" s="9">
        <f>IF(OR($B$9=0,Presion_cilindro!N130&lt;=$B$15),IF(Presion_cilindro!N130&gt;$B$13,1-EXP(-Presion_cilindro!$B$16*((Presion_cilindro!N130-$B$13)/Presion_cilindro!$B$35)^(Presion_cilindro!$B$17+1)),0),$B$8+(1-$B$8)*(1-EXP(-(Presion_cilindro!N130-$B$15)/Presion_cilindro!$B$23)))</f>
        <v>0</v>
      </c>
      <c r="R131" s="10">
        <f>R130*(Presion_cilindro!O129/Presion_cilindro!O130)^Presion_cilindro!$B$9+10*(Presion_cilindro!$B$9-1)*Presion_cilindro!$B$33*(Q131-Q130)/((Presion_cilindro!O129+Presion_cilindro!O130)/2)</f>
        <v>0.95889987180126512</v>
      </c>
      <c r="S131" s="10">
        <f>R131+IF(AND($B$9=1,Presion_cilindro!N130&gt;$B$15),Presion_cilindro!$B$24*2.5*EXP(-(Presion_cilindro!N130-$B$15)/Presion_cilindro!$B$26)*SIN(2*PI()*(Presion_cilindro!N130-$B$15)/Presion_cilindro!$B$39),0)</f>
        <v>0.95889987180126512</v>
      </c>
      <c r="T131" s="9">
        <f>IF(Presion_cilindro!N130&gt;$B$14,1-EXP(-Presion_cilindro!$B$16*((Presion_cilindro!N130-$B$14)/Presion_cilindro!$B$35)^(Presion_cilindro!$B$17+1)),0)</f>
        <v>0</v>
      </c>
      <c r="U131" s="10">
        <f>U130*(Presion_cilindro!O129/Presion_cilindro!O130)^Presion_cilindro!$B$9+10*(Presion_cilindro!$B$9-1)*Presion_cilindro!$B$33*(T131-T130)/((Presion_cilindro!O129+Presion_cilindro!O130)/2)</f>
        <v>0.95889987180126512</v>
      </c>
    </row>
    <row r="132" spans="14:21" x14ac:dyDescent="0.25">
      <c r="N132" s="8">
        <f>-Presion_cilindro!N131</f>
        <v>116.5</v>
      </c>
      <c r="O132" s="9">
        <f>IF(Presion_cilindro!N131&gt;$B$12,1-EXP(-Presion_cilindro!$B$16*((Presion_cilindro!N131-$B$12)/Presion_cilindro!$B$35)^(Presion_cilindro!$B$17+1)),0)</f>
        <v>0</v>
      </c>
      <c r="P132" s="10">
        <f>P131*(Presion_cilindro!O130/Presion_cilindro!O131)^Presion_cilindro!$B$9+10*(Presion_cilindro!$B$9-1)*Presion_cilindro!$B$33*(O132-O131)/((Presion_cilindro!O130+Presion_cilindro!O131)/2)</f>
        <v>0.96373068371500781</v>
      </c>
      <c r="Q132" s="9">
        <f>IF(OR($B$9=0,Presion_cilindro!N131&lt;=$B$15),IF(Presion_cilindro!N131&gt;$B$13,1-EXP(-Presion_cilindro!$B$16*((Presion_cilindro!N131-$B$13)/Presion_cilindro!$B$35)^(Presion_cilindro!$B$17+1)),0),$B$8+(1-$B$8)*(1-EXP(-(Presion_cilindro!N131-$B$15)/Presion_cilindro!$B$23)))</f>
        <v>0</v>
      </c>
      <c r="R132" s="10">
        <f>R131*(Presion_cilindro!O130/Presion_cilindro!O131)^Presion_cilindro!$B$9+10*(Presion_cilindro!$B$9-1)*Presion_cilindro!$B$33*(Q132-Q131)/((Presion_cilindro!O130+Presion_cilindro!O131)/2)</f>
        <v>0.96373068371500781</v>
      </c>
      <c r="S132" s="10">
        <f>R132+IF(AND($B$9=1,Presion_cilindro!N131&gt;$B$15),Presion_cilindro!$B$24*2.5*EXP(-(Presion_cilindro!N131-$B$15)/Presion_cilindro!$B$26)*SIN(2*PI()*(Presion_cilindro!N131-$B$15)/Presion_cilindro!$B$39),0)</f>
        <v>0.96373068371500781</v>
      </c>
      <c r="T132" s="9">
        <f>IF(Presion_cilindro!N131&gt;$B$14,1-EXP(-Presion_cilindro!$B$16*((Presion_cilindro!N131-$B$14)/Presion_cilindro!$B$35)^(Presion_cilindro!$B$17+1)),0)</f>
        <v>0</v>
      </c>
      <c r="U132" s="10">
        <f>U131*(Presion_cilindro!O130/Presion_cilindro!O131)^Presion_cilindro!$B$9+10*(Presion_cilindro!$B$9-1)*Presion_cilindro!$B$33*(T132-T131)/((Presion_cilindro!O130+Presion_cilindro!O131)/2)</f>
        <v>0.96373068371500781</v>
      </c>
    </row>
    <row r="133" spans="14:21" x14ac:dyDescent="0.25">
      <c r="N133" s="8">
        <f>-Presion_cilindro!N132</f>
        <v>116</v>
      </c>
      <c r="O133" s="9">
        <f>IF(Presion_cilindro!N132&gt;$B$12,1-EXP(-Presion_cilindro!$B$16*((Presion_cilindro!N132-$B$12)/Presion_cilindro!$B$35)^(Presion_cilindro!$B$17+1)),0)</f>
        <v>0</v>
      </c>
      <c r="P133" s="10">
        <f>P132*(Presion_cilindro!O131/Presion_cilindro!O132)^Presion_cilindro!$B$9+10*(Presion_cilindro!$B$9-1)*Presion_cilindro!$B$33*(O133-O132)/((Presion_cilindro!O131+Presion_cilindro!O132)/2)</f>
        <v>0.9686385003721617</v>
      </c>
      <c r="Q133" s="9">
        <f>IF(OR($B$9=0,Presion_cilindro!N132&lt;=$B$15),IF(Presion_cilindro!N132&gt;$B$13,1-EXP(-Presion_cilindro!$B$16*((Presion_cilindro!N132-$B$13)/Presion_cilindro!$B$35)^(Presion_cilindro!$B$17+1)),0),$B$8+(1-$B$8)*(1-EXP(-(Presion_cilindro!N132-$B$15)/Presion_cilindro!$B$23)))</f>
        <v>0</v>
      </c>
      <c r="R133" s="10">
        <f>R132*(Presion_cilindro!O131/Presion_cilindro!O132)^Presion_cilindro!$B$9+10*(Presion_cilindro!$B$9-1)*Presion_cilindro!$B$33*(Q133-Q132)/((Presion_cilindro!O131+Presion_cilindro!O132)/2)</f>
        <v>0.9686385003721617</v>
      </c>
      <c r="S133" s="10">
        <f>R133+IF(AND($B$9=1,Presion_cilindro!N132&gt;$B$15),Presion_cilindro!$B$24*2.5*EXP(-(Presion_cilindro!N132-$B$15)/Presion_cilindro!$B$26)*SIN(2*PI()*(Presion_cilindro!N132-$B$15)/Presion_cilindro!$B$39),0)</f>
        <v>0.9686385003721617</v>
      </c>
      <c r="T133" s="9">
        <f>IF(Presion_cilindro!N132&gt;$B$14,1-EXP(-Presion_cilindro!$B$16*((Presion_cilindro!N132-$B$14)/Presion_cilindro!$B$35)^(Presion_cilindro!$B$17+1)),0)</f>
        <v>0</v>
      </c>
      <c r="U133" s="10">
        <f>U132*(Presion_cilindro!O131/Presion_cilindro!O132)^Presion_cilindro!$B$9+10*(Presion_cilindro!$B$9-1)*Presion_cilindro!$B$33*(T133-T132)/((Presion_cilindro!O131+Presion_cilindro!O132)/2)</f>
        <v>0.9686385003721617</v>
      </c>
    </row>
    <row r="134" spans="14:21" x14ac:dyDescent="0.25">
      <c r="N134" s="8">
        <f>-Presion_cilindro!N133</f>
        <v>115.5</v>
      </c>
      <c r="O134" s="9">
        <f>IF(Presion_cilindro!N133&gt;$B$12,1-EXP(-Presion_cilindro!$B$16*((Presion_cilindro!N133-$B$12)/Presion_cilindro!$B$35)^(Presion_cilindro!$B$17+1)),0)</f>
        <v>0</v>
      </c>
      <c r="P134" s="10">
        <f>P133*(Presion_cilindro!O132/Presion_cilindro!O133)^Presion_cilindro!$B$9+10*(Presion_cilindro!$B$9-1)*Presion_cilindro!$B$33*(O134-O133)/((Presion_cilindro!O132+Presion_cilindro!O133)/2)</f>
        <v>0.97362458751488556</v>
      </c>
      <c r="Q134" s="9">
        <f>IF(OR($B$9=0,Presion_cilindro!N133&lt;=$B$15),IF(Presion_cilindro!N133&gt;$B$13,1-EXP(-Presion_cilindro!$B$16*((Presion_cilindro!N133-$B$13)/Presion_cilindro!$B$35)^(Presion_cilindro!$B$17+1)),0),$B$8+(1-$B$8)*(1-EXP(-(Presion_cilindro!N133-$B$15)/Presion_cilindro!$B$23)))</f>
        <v>0</v>
      </c>
      <c r="R134" s="10">
        <f>R133*(Presion_cilindro!O132/Presion_cilindro!O133)^Presion_cilindro!$B$9+10*(Presion_cilindro!$B$9-1)*Presion_cilindro!$B$33*(Q134-Q133)/((Presion_cilindro!O132+Presion_cilindro!O133)/2)</f>
        <v>0.97362458751488556</v>
      </c>
      <c r="S134" s="10">
        <f>R134+IF(AND($B$9=1,Presion_cilindro!N133&gt;$B$15),Presion_cilindro!$B$24*2.5*EXP(-(Presion_cilindro!N133-$B$15)/Presion_cilindro!$B$26)*SIN(2*PI()*(Presion_cilindro!N133-$B$15)/Presion_cilindro!$B$39),0)</f>
        <v>0.97362458751488556</v>
      </c>
      <c r="T134" s="9">
        <f>IF(Presion_cilindro!N133&gt;$B$14,1-EXP(-Presion_cilindro!$B$16*((Presion_cilindro!N133-$B$14)/Presion_cilindro!$B$35)^(Presion_cilindro!$B$17+1)),0)</f>
        <v>0</v>
      </c>
      <c r="U134" s="10">
        <f>U133*(Presion_cilindro!O132/Presion_cilindro!O133)^Presion_cilindro!$B$9+10*(Presion_cilindro!$B$9-1)*Presion_cilindro!$B$33*(T134-T133)/((Presion_cilindro!O132+Presion_cilindro!O133)/2)</f>
        <v>0.97362458751488556</v>
      </c>
    </row>
    <row r="135" spans="14:21" x14ac:dyDescent="0.25">
      <c r="N135" s="8">
        <f>-Presion_cilindro!N134</f>
        <v>115</v>
      </c>
      <c r="O135" s="9">
        <f>IF(Presion_cilindro!N134&gt;$B$12,1-EXP(-Presion_cilindro!$B$16*((Presion_cilindro!N134-$B$12)/Presion_cilindro!$B$35)^(Presion_cilindro!$B$17+1)),0)</f>
        <v>0</v>
      </c>
      <c r="P135" s="10">
        <f>P134*(Presion_cilindro!O133/Presion_cilindro!O134)^Presion_cilindro!$B$9+10*(Presion_cilindro!$B$9-1)*Presion_cilindro!$B$33*(O135-O134)/((Presion_cilindro!O133+Presion_cilindro!O134)/2)</f>
        <v>0.97869023803572464</v>
      </c>
      <c r="Q135" s="9">
        <f>IF(OR($B$9=0,Presion_cilindro!N134&lt;=$B$15),IF(Presion_cilindro!N134&gt;$B$13,1-EXP(-Presion_cilindro!$B$16*((Presion_cilindro!N134-$B$13)/Presion_cilindro!$B$35)^(Presion_cilindro!$B$17+1)),0),$B$8+(1-$B$8)*(1-EXP(-(Presion_cilindro!N134-$B$15)/Presion_cilindro!$B$23)))</f>
        <v>0</v>
      </c>
      <c r="R135" s="10">
        <f>R134*(Presion_cilindro!O133/Presion_cilindro!O134)^Presion_cilindro!$B$9+10*(Presion_cilindro!$B$9-1)*Presion_cilindro!$B$33*(Q135-Q134)/((Presion_cilindro!O133+Presion_cilindro!O134)/2)</f>
        <v>0.97869023803572464</v>
      </c>
      <c r="S135" s="10">
        <f>R135+IF(AND($B$9=1,Presion_cilindro!N134&gt;$B$15),Presion_cilindro!$B$24*2.5*EXP(-(Presion_cilindro!N134-$B$15)/Presion_cilindro!$B$26)*SIN(2*PI()*(Presion_cilindro!N134-$B$15)/Presion_cilindro!$B$39),0)</f>
        <v>0.97869023803572464</v>
      </c>
      <c r="T135" s="9">
        <f>IF(Presion_cilindro!N134&gt;$B$14,1-EXP(-Presion_cilindro!$B$16*((Presion_cilindro!N134-$B$14)/Presion_cilindro!$B$35)^(Presion_cilindro!$B$17+1)),0)</f>
        <v>0</v>
      </c>
      <c r="U135" s="10">
        <f>U134*(Presion_cilindro!O133/Presion_cilindro!O134)^Presion_cilindro!$B$9+10*(Presion_cilindro!$B$9-1)*Presion_cilindro!$B$33*(T135-T134)/((Presion_cilindro!O133+Presion_cilindro!O134)/2)</f>
        <v>0.97869023803572464</v>
      </c>
    </row>
    <row r="136" spans="14:21" x14ac:dyDescent="0.25">
      <c r="N136" s="8">
        <f>-Presion_cilindro!N135</f>
        <v>114.5</v>
      </c>
      <c r="O136" s="9">
        <f>IF(Presion_cilindro!N135&gt;$B$12,1-EXP(-Presion_cilindro!$B$16*((Presion_cilindro!N135-$B$12)/Presion_cilindro!$B$35)^(Presion_cilindro!$B$17+1)),0)</f>
        <v>0</v>
      </c>
      <c r="P136" s="10">
        <f>P135*(Presion_cilindro!O134/Presion_cilindro!O135)^Presion_cilindro!$B$9+10*(Presion_cilindro!$B$9-1)*Presion_cilindro!$B$33*(O136-O135)/((Presion_cilindro!O134+Presion_cilindro!O135)/2)</f>
        <v>0.98383677261468194</v>
      </c>
      <c r="Q136" s="9">
        <f>IF(OR($B$9=0,Presion_cilindro!N135&lt;=$B$15),IF(Presion_cilindro!N135&gt;$B$13,1-EXP(-Presion_cilindro!$B$16*((Presion_cilindro!N135-$B$13)/Presion_cilindro!$B$35)^(Presion_cilindro!$B$17+1)),0),$B$8+(1-$B$8)*(1-EXP(-(Presion_cilindro!N135-$B$15)/Presion_cilindro!$B$23)))</f>
        <v>0</v>
      </c>
      <c r="R136" s="10">
        <f>R135*(Presion_cilindro!O134/Presion_cilindro!O135)^Presion_cilindro!$B$9+10*(Presion_cilindro!$B$9-1)*Presion_cilindro!$B$33*(Q136-Q135)/((Presion_cilindro!O134+Presion_cilindro!O135)/2)</f>
        <v>0.98383677261468194</v>
      </c>
      <c r="S136" s="10">
        <f>R136+IF(AND($B$9=1,Presion_cilindro!N135&gt;$B$15),Presion_cilindro!$B$24*2.5*EXP(-(Presion_cilindro!N135-$B$15)/Presion_cilindro!$B$26)*SIN(2*PI()*(Presion_cilindro!N135-$B$15)/Presion_cilindro!$B$39),0)</f>
        <v>0.98383677261468194</v>
      </c>
      <c r="T136" s="9">
        <f>IF(Presion_cilindro!N135&gt;$B$14,1-EXP(-Presion_cilindro!$B$16*((Presion_cilindro!N135-$B$14)/Presion_cilindro!$B$35)^(Presion_cilindro!$B$17+1)),0)</f>
        <v>0</v>
      </c>
      <c r="U136" s="10">
        <f>U135*(Presion_cilindro!O134/Presion_cilindro!O135)^Presion_cilindro!$B$9+10*(Presion_cilindro!$B$9-1)*Presion_cilindro!$B$33*(T136-T135)/((Presion_cilindro!O134+Presion_cilindro!O135)/2)</f>
        <v>0.98383677261468194</v>
      </c>
    </row>
    <row r="137" spans="14:21" x14ac:dyDescent="0.25">
      <c r="N137" s="8">
        <f>-Presion_cilindro!N136</f>
        <v>114</v>
      </c>
      <c r="O137" s="9">
        <f>IF(Presion_cilindro!N136&gt;$B$12,1-EXP(-Presion_cilindro!$B$16*((Presion_cilindro!N136-$B$12)/Presion_cilindro!$B$35)^(Presion_cilindro!$B$17+1)),0)</f>
        <v>0</v>
      </c>
      <c r="P137" s="10">
        <f>P136*(Presion_cilindro!O135/Presion_cilindro!O136)^Presion_cilindro!$B$9+10*(Presion_cilindro!$B$9-1)*Presion_cilindro!$B$33*(O137-O136)/((Presion_cilindro!O135+Presion_cilindro!O136)/2)</f>
        <v>0.9890655403735239</v>
      </c>
      <c r="Q137" s="9">
        <f>IF(OR($B$9=0,Presion_cilindro!N136&lt;=$B$15),IF(Presion_cilindro!N136&gt;$B$13,1-EXP(-Presion_cilindro!$B$16*((Presion_cilindro!N136-$B$13)/Presion_cilindro!$B$35)^(Presion_cilindro!$B$17+1)),0),$B$8+(1-$B$8)*(1-EXP(-(Presion_cilindro!N136-$B$15)/Presion_cilindro!$B$23)))</f>
        <v>0</v>
      </c>
      <c r="R137" s="10">
        <f>R136*(Presion_cilindro!O135/Presion_cilindro!O136)^Presion_cilindro!$B$9+10*(Presion_cilindro!$B$9-1)*Presion_cilindro!$B$33*(Q137-Q136)/((Presion_cilindro!O135+Presion_cilindro!O136)/2)</f>
        <v>0.9890655403735239</v>
      </c>
      <c r="S137" s="10">
        <f>R137+IF(AND($B$9=1,Presion_cilindro!N136&gt;$B$15),Presion_cilindro!$B$24*2.5*EXP(-(Presion_cilindro!N136-$B$15)/Presion_cilindro!$B$26)*SIN(2*PI()*(Presion_cilindro!N136-$B$15)/Presion_cilindro!$B$39),0)</f>
        <v>0.9890655403735239</v>
      </c>
      <c r="T137" s="9">
        <f>IF(Presion_cilindro!N136&gt;$B$14,1-EXP(-Presion_cilindro!$B$16*((Presion_cilindro!N136-$B$14)/Presion_cilindro!$B$35)^(Presion_cilindro!$B$17+1)),0)</f>
        <v>0</v>
      </c>
      <c r="U137" s="10">
        <f>U136*(Presion_cilindro!O135/Presion_cilindro!O136)^Presion_cilindro!$B$9+10*(Presion_cilindro!$B$9-1)*Presion_cilindro!$B$33*(T137-T136)/((Presion_cilindro!O135+Presion_cilindro!O136)/2)</f>
        <v>0.9890655403735239</v>
      </c>
    </row>
    <row r="138" spans="14:21" x14ac:dyDescent="0.25">
      <c r="N138" s="8">
        <f>-Presion_cilindro!N137</f>
        <v>113.5</v>
      </c>
      <c r="O138" s="9">
        <f>IF(Presion_cilindro!N137&gt;$B$12,1-EXP(-Presion_cilindro!$B$16*((Presion_cilindro!N137-$B$12)/Presion_cilindro!$B$35)^(Presion_cilindro!$B$17+1)),0)</f>
        <v>0</v>
      </c>
      <c r="P138" s="10">
        <f>P137*(Presion_cilindro!O136/Presion_cilindro!O137)^Presion_cilindro!$B$9+10*(Presion_cilindro!$B$9-1)*Presion_cilindro!$B$33*(O138-O137)/((Presion_cilindro!O136+Presion_cilindro!O137)/2)</f>
        <v>0.99437791954784316</v>
      </c>
      <c r="Q138" s="9">
        <f>IF(OR($B$9=0,Presion_cilindro!N137&lt;=$B$15),IF(Presion_cilindro!N137&gt;$B$13,1-EXP(-Presion_cilindro!$B$16*((Presion_cilindro!N137-$B$13)/Presion_cilindro!$B$35)^(Presion_cilindro!$B$17+1)),0),$B$8+(1-$B$8)*(1-EXP(-(Presion_cilindro!N137-$B$15)/Presion_cilindro!$B$23)))</f>
        <v>0</v>
      </c>
      <c r="R138" s="10">
        <f>R137*(Presion_cilindro!O136/Presion_cilindro!O137)^Presion_cilindro!$B$9+10*(Presion_cilindro!$B$9-1)*Presion_cilindro!$B$33*(Q138-Q137)/((Presion_cilindro!O136+Presion_cilindro!O137)/2)</f>
        <v>0.99437791954784316</v>
      </c>
      <c r="S138" s="10">
        <f>R138+IF(AND($B$9=1,Presion_cilindro!N137&gt;$B$15),Presion_cilindro!$B$24*2.5*EXP(-(Presion_cilindro!N137-$B$15)/Presion_cilindro!$B$26)*SIN(2*PI()*(Presion_cilindro!N137-$B$15)/Presion_cilindro!$B$39),0)</f>
        <v>0.99437791954784316</v>
      </c>
      <c r="T138" s="9">
        <f>IF(Presion_cilindro!N137&gt;$B$14,1-EXP(-Presion_cilindro!$B$16*((Presion_cilindro!N137-$B$14)/Presion_cilindro!$B$35)^(Presion_cilindro!$B$17+1)),0)</f>
        <v>0</v>
      </c>
      <c r="U138" s="10">
        <f>U137*(Presion_cilindro!O136/Presion_cilindro!O137)^Presion_cilindro!$B$9+10*(Presion_cilindro!$B$9-1)*Presion_cilindro!$B$33*(T138-T137)/((Presion_cilindro!O136+Presion_cilindro!O137)/2)</f>
        <v>0.99437791954784316</v>
      </c>
    </row>
    <row r="139" spans="14:21" x14ac:dyDescent="0.25">
      <c r="N139" s="8">
        <f>-Presion_cilindro!N138</f>
        <v>113</v>
      </c>
      <c r="O139" s="9">
        <f>IF(Presion_cilindro!N138&gt;$B$12,1-EXP(-Presion_cilindro!$B$16*((Presion_cilindro!N138-$B$12)/Presion_cilindro!$B$35)^(Presion_cilindro!$B$17+1)),0)</f>
        <v>0</v>
      </c>
      <c r="P139" s="10">
        <f>P138*(Presion_cilindro!O137/Presion_cilindro!O138)^Presion_cilindro!$B$9+10*(Presion_cilindro!$B$9-1)*Presion_cilindro!$B$33*(O139-O138)/((Presion_cilindro!O137+Presion_cilindro!O138)/2)</f>
        <v>0.99977531817737952</v>
      </c>
      <c r="Q139" s="9">
        <f>IF(OR($B$9=0,Presion_cilindro!N138&lt;=$B$15),IF(Presion_cilindro!N138&gt;$B$13,1-EXP(-Presion_cilindro!$B$16*((Presion_cilindro!N138-$B$13)/Presion_cilindro!$B$35)^(Presion_cilindro!$B$17+1)),0),$B$8+(1-$B$8)*(1-EXP(-(Presion_cilindro!N138-$B$15)/Presion_cilindro!$B$23)))</f>
        <v>0</v>
      </c>
      <c r="R139" s="10">
        <f>R138*(Presion_cilindro!O137/Presion_cilindro!O138)^Presion_cilindro!$B$9+10*(Presion_cilindro!$B$9-1)*Presion_cilindro!$B$33*(Q139-Q138)/((Presion_cilindro!O137+Presion_cilindro!O138)/2)</f>
        <v>0.99977531817737952</v>
      </c>
      <c r="S139" s="10">
        <f>R139+IF(AND($B$9=1,Presion_cilindro!N138&gt;$B$15),Presion_cilindro!$B$24*2.5*EXP(-(Presion_cilindro!N138-$B$15)/Presion_cilindro!$B$26)*SIN(2*PI()*(Presion_cilindro!N138-$B$15)/Presion_cilindro!$B$39),0)</f>
        <v>0.99977531817737952</v>
      </c>
      <c r="T139" s="9">
        <f>IF(Presion_cilindro!N138&gt;$B$14,1-EXP(-Presion_cilindro!$B$16*((Presion_cilindro!N138-$B$14)/Presion_cilindro!$B$35)^(Presion_cilindro!$B$17+1)),0)</f>
        <v>0</v>
      </c>
      <c r="U139" s="10">
        <f>U138*(Presion_cilindro!O137/Presion_cilindro!O138)^Presion_cilindro!$B$9+10*(Presion_cilindro!$B$9-1)*Presion_cilindro!$B$33*(T139-T138)/((Presion_cilindro!O137+Presion_cilindro!O138)/2)</f>
        <v>0.99977531817737952</v>
      </c>
    </row>
    <row r="140" spans="14:21" x14ac:dyDescent="0.25">
      <c r="N140" s="8">
        <f>-Presion_cilindro!N139</f>
        <v>112.5</v>
      </c>
      <c r="O140" s="9">
        <f>IF(Presion_cilindro!N139&gt;$B$12,1-EXP(-Presion_cilindro!$B$16*((Presion_cilindro!N139-$B$12)/Presion_cilindro!$B$35)^(Presion_cilindro!$B$17+1)),0)</f>
        <v>0</v>
      </c>
      <c r="P140" s="10">
        <f>P139*(Presion_cilindro!O138/Presion_cilindro!O139)^Presion_cilindro!$B$9+10*(Presion_cilindro!$B$9-1)*Presion_cilindro!$B$33*(O140-O139)/((Presion_cilindro!O138+Presion_cilindro!O139)/2)</f>
        <v>1.0052591748151454</v>
      </c>
      <c r="Q140" s="9">
        <f>IF(OR($B$9=0,Presion_cilindro!N139&lt;=$B$15),IF(Presion_cilindro!N139&gt;$B$13,1-EXP(-Presion_cilindro!$B$16*((Presion_cilindro!N139-$B$13)/Presion_cilindro!$B$35)^(Presion_cilindro!$B$17+1)),0),$B$8+(1-$B$8)*(1-EXP(-(Presion_cilindro!N139-$B$15)/Presion_cilindro!$B$23)))</f>
        <v>0</v>
      </c>
      <c r="R140" s="10">
        <f>R139*(Presion_cilindro!O138/Presion_cilindro!O139)^Presion_cilindro!$B$9+10*(Presion_cilindro!$B$9-1)*Presion_cilindro!$B$33*(Q140-Q139)/((Presion_cilindro!O138+Presion_cilindro!O139)/2)</f>
        <v>1.0052591748151454</v>
      </c>
      <c r="S140" s="10">
        <f>R140+IF(AND($B$9=1,Presion_cilindro!N139&gt;$B$15),Presion_cilindro!$B$24*2.5*EXP(-(Presion_cilindro!N139-$B$15)/Presion_cilindro!$B$26)*SIN(2*PI()*(Presion_cilindro!N139-$B$15)/Presion_cilindro!$B$39),0)</f>
        <v>1.0052591748151454</v>
      </c>
      <c r="T140" s="9">
        <f>IF(Presion_cilindro!N139&gt;$B$14,1-EXP(-Presion_cilindro!$B$16*((Presion_cilindro!N139-$B$14)/Presion_cilindro!$B$35)^(Presion_cilindro!$B$17+1)),0)</f>
        <v>0</v>
      </c>
      <c r="U140" s="10">
        <f>U139*(Presion_cilindro!O138/Presion_cilindro!O139)^Presion_cilindro!$B$9+10*(Presion_cilindro!$B$9-1)*Presion_cilindro!$B$33*(T140-T139)/((Presion_cilindro!O138+Presion_cilindro!O139)/2)</f>
        <v>1.0052591748151454</v>
      </c>
    </row>
    <row r="141" spans="14:21" x14ac:dyDescent="0.25">
      <c r="N141" s="8">
        <f>-Presion_cilindro!N140</f>
        <v>112</v>
      </c>
      <c r="O141" s="9">
        <f>IF(Presion_cilindro!N140&gt;$B$12,1-EXP(-Presion_cilindro!$B$16*((Presion_cilindro!N140-$B$12)/Presion_cilindro!$B$35)^(Presion_cilindro!$B$17+1)),0)</f>
        <v>0</v>
      </c>
      <c r="P141" s="10">
        <f>P140*(Presion_cilindro!O139/Presion_cilindro!O140)^Presion_cilindro!$B$9+10*(Presion_cilindro!$B$9-1)*Presion_cilindro!$B$33*(O141-O140)/((Presion_cilindro!O139+Presion_cilindro!O140)/2)</f>
        <v>1.0108309592558873</v>
      </c>
      <c r="Q141" s="9">
        <f>IF(OR($B$9=0,Presion_cilindro!N140&lt;=$B$15),IF(Presion_cilindro!N140&gt;$B$13,1-EXP(-Presion_cilindro!$B$16*((Presion_cilindro!N140-$B$13)/Presion_cilindro!$B$35)^(Presion_cilindro!$B$17+1)),0),$B$8+(1-$B$8)*(1-EXP(-(Presion_cilindro!N140-$B$15)/Presion_cilindro!$B$23)))</f>
        <v>0</v>
      </c>
      <c r="R141" s="10">
        <f>R140*(Presion_cilindro!O139/Presion_cilindro!O140)^Presion_cilindro!$B$9+10*(Presion_cilindro!$B$9-1)*Presion_cilindro!$B$33*(Q141-Q140)/((Presion_cilindro!O139+Presion_cilindro!O140)/2)</f>
        <v>1.0108309592558873</v>
      </c>
      <c r="S141" s="10">
        <f>R141+IF(AND($B$9=1,Presion_cilindro!N140&gt;$B$15),Presion_cilindro!$B$24*2.5*EXP(-(Presion_cilindro!N140-$B$15)/Presion_cilindro!$B$26)*SIN(2*PI()*(Presion_cilindro!N140-$B$15)/Presion_cilindro!$B$39),0)</f>
        <v>1.0108309592558873</v>
      </c>
      <c r="T141" s="9">
        <f>IF(Presion_cilindro!N140&gt;$B$14,1-EXP(-Presion_cilindro!$B$16*((Presion_cilindro!N140-$B$14)/Presion_cilindro!$B$35)^(Presion_cilindro!$B$17+1)),0)</f>
        <v>0</v>
      </c>
      <c r="U141" s="10">
        <f>U140*(Presion_cilindro!O139/Presion_cilindro!O140)^Presion_cilindro!$B$9+10*(Presion_cilindro!$B$9-1)*Presion_cilindro!$B$33*(T141-T140)/((Presion_cilindro!O139+Presion_cilindro!O140)/2)</f>
        <v>1.0108309592558873</v>
      </c>
    </row>
    <row r="142" spans="14:21" x14ac:dyDescent="0.25">
      <c r="N142" s="8">
        <f>-Presion_cilindro!N141</f>
        <v>111.5</v>
      </c>
      <c r="O142" s="9">
        <f>IF(Presion_cilindro!N141&gt;$B$12,1-EXP(-Presion_cilindro!$B$16*((Presion_cilindro!N141-$B$12)/Presion_cilindro!$B$35)^(Presion_cilindro!$B$17+1)),0)</f>
        <v>0</v>
      </c>
      <c r="P142" s="10">
        <f>P141*(Presion_cilindro!O140/Presion_cilindro!O141)^Presion_cilindro!$B$9+10*(Presion_cilindro!$B$9-1)*Presion_cilindro!$B$33*(O142-O141)/((Presion_cilindro!O140+Presion_cilindro!O141)/2)</f>
        <v>1.0164921732844656</v>
      </c>
      <c r="Q142" s="9">
        <f>IF(OR($B$9=0,Presion_cilindro!N141&lt;=$B$15),IF(Presion_cilindro!N141&gt;$B$13,1-EXP(-Presion_cilindro!$B$16*((Presion_cilindro!N141-$B$13)/Presion_cilindro!$B$35)^(Presion_cilindro!$B$17+1)),0),$B$8+(1-$B$8)*(1-EXP(-(Presion_cilindro!N141-$B$15)/Presion_cilindro!$B$23)))</f>
        <v>0</v>
      </c>
      <c r="R142" s="10">
        <f>R141*(Presion_cilindro!O140/Presion_cilindro!O141)^Presion_cilindro!$B$9+10*(Presion_cilindro!$B$9-1)*Presion_cilindro!$B$33*(Q142-Q141)/((Presion_cilindro!O140+Presion_cilindro!O141)/2)</f>
        <v>1.0164921732844656</v>
      </c>
      <c r="S142" s="10">
        <f>R142+IF(AND($B$9=1,Presion_cilindro!N141&gt;$B$15),Presion_cilindro!$B$24*2.5*EXP(-(Presion_cilindro!N141-$B$15)/Presion_cilindro!$B$26)*SIN(2*PI()*(Presion_cilindro!N141-$B$15)/Presion_cilindro!$B$39),0)</f>
        <v>1.0164921732844656</v>
      </c>
      <c r="T142" s="9">
        <f>IF(Presion_cilindro!N141&gt;$B$14,1-EXP(-Presion_cilindro!$B$16*((Presion_cilindro!N141-$B$14)/Presion_cilindro!$B$35)^(Presion_cilindro!$B$17+1)),0)</f>
        <v>0</v>
      </c>
      <c r="U142" s="10">
        <f>U141*(Presion_cilindro!O140/Presion_cilindro!O141)^Presion_cilindro!$B$9+10*(Presion_cilindro!$B$9-1)*Presion_cilindro!$B$33*(T142-T141)/((Presion_cilindro!O140+Presion_cilindro!O141)/2)</f>
        <v>1.0164921732844656</v>
      </c>
    </row>
    <row r="143" spans="14:21" x14ac:dyDescent="0.25">
      <c r="N143" s="8">
        <f>-Presion_cilindro!N142</f>
        <v>111</v>
      </c>
      <c r="O143" s="9">
        <f>IF(Presion_cilindro!N142&gt;$B$12,1-EXP(-Presion_cilindro!$B$16*((Presion_cilindro!N142-$B$12)/Presion_cilindro!$B$35)^(Presion_cilindro!$B$17+1)),0)</f>
        <v>0</v>
      </c>
      <c r="P143" s="10">
        <f>P142*(Presion_cilindro!O141/Presion_cilindro!O142)^Presion_cilindro!$B$9+10*(Presion_cilindro!$B$9-1)*Presion_cilindro!$B$33*(O143-O142)/((Presion_cilindro!O141+Presion_cilindro!O142)/2)</f>
        <v>1.0222443514447221</v>
      </c>
      <c r="Q143" s="9">
        <f>IF(OR($B$9=0,Presion_cilindro!N142&lt;=$B$15),IF(Presion_cilindro!N142&gt;$B$13,1-EXP(-Presion_cilindro!$B$16*((Presion_cilindro!N142-$B$13)/Presion_cilindro!$B$35)^(Presion_cilindro!$B$17+1)),0),$B$8+(1-$B$8)*(1-EXP(-(Presion_cilindro!N142-$B$15)/Presion_cilindro!$B$23)))</f>
        <v>0</v>
      </c>
      <c r="R143" s="10">
        <f>R142*(Presion_cilindro!O141/Presion_cilindro!O142)^Presion_cilindro!$B$9+10*(Presion_cilindro!$B$9-1)*Presion_cilindro!$B$33*(Q143-Q142)/((Presion_cilindro!O141+Presion_cilindro!O142)/2)</f>
        <v>1.0222443514447221</v>
      </c>
      <c r="S143" s="10">
        <f>R143+IF(AND($B$9=1,Presion_cilindro!N142&gt;$B$15),Presion_cilindro!$B$24*2.5*EXP(-(Presion_cilindro!N142-$B$15)/Presion_cilindro!$B$26)*SIN(2*PI()*(Presion_cilindro!N142-$B$15)/Presion_cilindro!$B$39),0)</f>
        <v>1.0222443514447221</v>
      </c>
      <c r="T143" s="9">
        <f>IF(Presion_cilindro!N142&gt;$B$14,1-EXP(-Presion_cilindro!$B$16*((Presion_cilindro!N142-$B$14)/Presion_cilindro!$B$35)^(Presion_cilindro!$B$17+1)),0)</f>
        <v>0</v>
      </c>
      <c r="U143" s="10">
        <f>U142*(Presion_cilindro!O141/Presion_cilindro!O142)^Presion_cilindro!$B$9+10*(Presion_cilindro!$B$9-1)*Presion_cilindro!$B$33*(T143-T142)/((Presion_cilindro!O141+Presion_cilindro!O142)/2)</f>
        <v>1.0222443514447221</v>
      </c>
    </row>
    <row r="144" spans="14:21" x14ac:dyDescent="0.25">
      <c r="N144" s="8">
        <f>-Presion_cilindro!N143</f>
        <v>110.5</v>
      </c>
      <c r="O144" s="9">
        <f>IF(Presion_cilindro!N143&gt;$B$12,1-EXP(-Presion_cilindro!$B$16*((Presion_cilindro!N143-$B$12)/Presion_cilindro!$B$35)^(Presion_cilindro!$B$17+1)),0)</f>
        <v>0</v>
      </c>
      <c r="P144" s="10">
        <f>P143*(Presion_cilindro!O142/Presion_cilindro!O143)^Presion_cilindro!$B$9+10*(Presion_cilindro!$B$9-1)*Presion_cilindro!$B$33*(O144-O143)/((Presion_cilindro!O142+Presion_cilindro!O143)/2)</f>
        <v>1.028089061829444</v>
      </c>
      <c r="Q144" s="9">
        <f>IF(OR($B$9=0,Presion_cilindro!N143&lt;=$B$15),IF(Presion_cilindro!N143&gt;$B$13,1-EXP(-Presion_cilindro!$B$16*((Presion_cilindro!N143-$B$13)/Presion_cilindro!$B$35)^(Presion_cilindro!$B$17+1)),0),$B$8+(1-$B$8)*(1-EXP(-(Presion_cilindro!N143-$B$15)/Presion_cilindro!$B$23)))</f>
        <v>0</v>
      </c>
      <c r="R144" s="10">
        <f>R143*(Presion_cilindro!O142/Presion_cilindro!O143)^Presion_cilindro!$B$9+10*(Presion_cilindro!$B$9-1)*Presion_cilindro!$B$33*(Q144-Q143)/((Presion_cilindro!O142+Presion_cilindro!O143)/2)</f>
        <v>1.028089061829444</v>
      </c>
      <c r="S144" s="10">
        <f>R144+IF(AND($B$9=1,Presion_cilindro!N143&gt;$B$15),Presion_cilindro!$B$24*2.5*EXP(-(Presion_cilindro!N143-$B$15)/Presion_cilindro!$B$26)*SIN(2*PI()*(Presion_cilindro!N143-$B$15)/Presion_cilindro!$B$39),0)</f>
        <v>1.028089061829444</v>
      </c>
      <c r="T144" s="9">
        <f>IF(Presion_cilindro!N143&gt;$B$14,1-EXP(-Presion_cilindro!$B$16*((Presion_cilindro!N143-$B$14)/Presion_cilindro!$B$35)^(Presion_cilindro!$B$17+1)),0)</f>
        <v>0</v>
      </c>
      <c r="U144" s="10">
        <f>U143*(Presion_cilindro!O142/Presion_cilindro!O143)^Presion_cilindro!$B$9+10*(Presion_cilindro!$B$9-1)*Presion_cilindro!$B$33*(T144-T143)/((Presion_cilindro!O142+Presion_cilindro!O143)/2)</f>
        <v>1.028089061829444</v>
      </c>
    </row>
    <row r="145" spans="14:21" x14ac:dyDescent="0.25">
      <c r="N145" s="8">
        <f>-Presion_cilindro!N144</f>
        <v>110</v>
      </c>
      <c r="O145" s="9">
        <f>IF(Presion_cilindro!N144&gt;$B$12,1-EXP(-Presion_cilindro!$B$16*((Presion_cilindro!N144-$B$12)/Presion_cilindro!$B$35)^(Presion_cilindro!$B$17+1)),0)</f>
        <v>0</v>
      </c>
      <c r="P145" s="10">
        <f>P144*(Presion_cilindro!O143/Presion_cilindro!O144)^Presion_cilindro!$B$9+10*(Presion_cilindro!$B$9-1)*Presion_cilindro!$B$33*(O145-O144)/((Presion_cilindro!O143+Presion_cilindro!O144)/2)</f>
        <v>1.0340279068920364</v>
      </c>
      <c r="Q145" s="9">
        <f>IF(OR($B$9=0,Presion_cilindro!N144&lt;=$B$15),IF(Presion_cilindro!N144&gt;$B$13,1-EXP(-Presion_cilindro!$B$16*((Presion_cilindro!N144-$B$13)/Presion_cilindro!$B$35)^(Presion_cilindro!$B$17+1)),0),$B$8+(1-$B$8)*(1-EXP(-(Presion_cilindro!N144-$B$15)/Presion_cilindro!$B$23)))</f>
        <v>0</v>
      </c>
      <c r="R145" s="10">
        <f>R144*(Presion_cilindro!O143/Presion_cilindro!O144)^Presion_cilindro!$B$9+10*(Presion_cilindro!$B$9-1)*Presion_cilindro!$B$33*(Q145-Q144)/((Presion_cilindro!O143+Presion_cilindro!O144)/2)</f>
        <v>1.0340279068920364</v>
      </c>
      <c r="S145" s="10">
        <f>R145+IF(AND($B$9=1,Presion_cilindro!N144&gt;$B$15),Presion_cilindro!$B$24*2.5*EXP(-(Presion_cilindro!N144-$B$15)/Presion_cilindro!$B$26)*SIN(2*PI()*(Presion_cilindro!N144-$B$15)/Presion_cilindro!$B$39),0)</f>
        <v>1.0340279068920364</v>
      </c>
      <c r="T145" s="9">
        <f>IF(Presion_cilindro!N144&gt;$B$14,1-EXP(-Presion_cilindro!$B$16*((Presion_cilindro!N144-$B$14)/Presion_cilindro!$B$35)^(Presion_cilindro!$B$17+1)),0)</f>
        <v>0</v>
      </c>
      <c r="U145" s="10">
        <f>U144*(Presion_cilindro!O143/Presion_cilindro!O144)^Presion_cilindro!$B$9+10*(Presion_cilindro!$B$9-1)*Presion_cilindro!$B$33*(T145-T144)/((Presion_cilindro!O143+Presion_cilindro!O144)/2)</f>
        <v>1.0340279068920364</v>
      </c>
    </row>
    <row r="146" spans="14:21" x14ac:dyDescent="0.25">
      <c r="N146" s="8">
        <f>-Presion_cilindro!N145</f>
        <v>109.5</v>
      </c>
      <c r="O146" s="9">
        <f>IF(Presion_cilindro!N145&gt;$B$12,1-EXP(-Presion_cilindro!$B$16*((Presion_cilindro!N145-$B$12)/Presion_cilindro!$B$35)^(Presion_cilindro!$B$17+1)),0)</f>
        <v>0</v>
      </c>
      <c r="P146" s="10">
        <f>P145*(Presion_cilindro!O144/Presion_cilindro!O145)^Presion_cilindro!$B$9+10*(Presion_cilindro!$B$9-1)*Presion_cilindro!$B$33*(O146-O145)/((Presion_cilindro!O144+Presion_cilindro!O145)/2)</f>
        <v>1.040062524280547</v>
      </c>
      <c r="Q146" s="9">
        <f>IF(OR($B$9=0,Presion_cilindro!N145&lt;=$B$15),IF(Presion_cilindro!N145&gt;$B$13,1-EXP(-Presion_cilindro!$B$16*((Presion_cilindro!N145-$B$13)/Presion_cilindro!$B$35)^(Presion_cilindro!$B$17+1)),0),$B$8+(1-$B$8)*(1-EXP(-(Presion_cilindro!N145-$B$15)/Presion_cilindro!$B$23)))</f>
        <v>0</v>
      </c>
      <c r="R146" s="10">
        <f>R145*(Presion_cilindro!O144/Presion_cilindro!O145)^Presion_cilindro!$B$9+10*(Presion_cilindro!$B$9-1)*Presion_cilindro!$B$33*(Q146-Q145)/((Presion_cilindro!O144+Presion_cilindro!O145)/2)</f>
        <v>1.040062524280547</v>
      </c>
      <c r="S146" s="10">
        <f>R146+IF(AND($B$9=1,Presion_cilindro!N145&gt;$B$15),Presion_cilindro!$B$24*2.5*EXP(-(Presion_cilindro!N145-$B$15)/Presion_cilindro!$B$26)*SIN(2*PI()*(Presion_cilindro!N145-$B$15)/Presion_cilindro!$B$39),0)</f>
        <v>1.040062524280547</v>
      </c>
      <c r="T146" s="9">
        <f>IF(Presion_cilindro!N145&gt;$B$14,1-EXP(-Presion_cilindro!$B$16*((Presion_cilindro!N145-$B$14)/Presion_cilindro!$B$35)^(Presion_cilindro!$B$17+1)),0)</f>
        <v>0</v>
      </c>
      <c r="U146" s="10">
        <f>U145*(Presion_cilindro!O144/Presion_cilindro!O145)^Presion_cilindro!$B$9+10*(Presion_cilindro!$B$9-1)*Presion_cilindro!$B$33*(T146-T145)/((Presion_cilindro!O144+Presion_cilindro!O145)/2)</f>
        <v>1.040062524280547</v>
      </c>
    </row>
    <row r="147" spans="14:21" x14ac:dyDescent="0.25">
      <c r="N147" s="8">
        <f>-Presion_cilindro!N146</f>
        <v>109</v>
      </c>
      <c r="O147" s="9">
        <f>IF(Presion_cilindro!N146&gt;$B$12,1-EXP(-Presion_cilindro!$B$16*((Presion_cilindro!N146-$B$12)/Presion_cilindro!$B$35)^(Presion_cilindro!$B$17+1)),0)</f>
        <v>0</v>
      </c>
      <c r="P147" s="10">
        <f>P146*(Presion_cilindro!O145/Presion_cilindro!O146)^Presion_cilindro!$B$9+10*(Presion_cilindro!$B$9-1)*Presion_cilindro!$B$33*(O147-O146)/((Presion_cilindro!O145+Presion_cilindro!O146)/2)</f>
        <v>1.0461945876947027</v>
      </c>
      <c r="Q147" s="9">
        <f>IF(OR($B$9=0,Presion_cilindro!N146&lt;=$B$15),IF(Presion_cilindro!N146&gt;$B$13,1-EXP(-Presion_cilindro!$B$16*((Presion_cilindro!N146-$B$13)/Presion_cilindro!$B$35)^(Presion_cilindro!$B$17+1)),0),$B$8+(1-$B$8)*(1-EXP(-(Presion_cilindro!N146-$B$15)/Presion_cilindro!$B$23)))</f>
        <v>0</v>
      </c>
      <c r="R147" s="10">
        <f>R146*(Presion_cilindro!O145/Presion_cilindro!O146)^Presion_cilindro!$B$9+10*(Presion_cilindro!$B$9-1)*Presion_cilindro!$B$33*(Q147-Q146)/((Presion_cilindro!O145+Presion_cilindro!O146)/2)</f>
        <v>1.0461945876947027</v>
      </c>
      <c r="S147" s="10">
        <f>R147+IF(AND($B$9=1,Presion_cilindro!N146&gt;$B$15),Presion_cilindro!$B$24*2.5*EXP(-(Presion_cilindro!N146-$B$15)/Presion_cilindro!$B$26)*SIN(2*PI()*(Presion_cilindro!N146-$B$15)/Presion_cilindro!$B$39),0)</f>
        <v>1.0461945876947027</v>
      </c>
      <c r="T147" s="9">
        <f>IF(Presion_cilindro!N146&gt;$B$14,1-EXP(-Presion_cilindro!$B$16*((Presion_cilindro!N146-$B$14)/Presion_cilindro!$B$35)^(Presion_cilindro!$B$17+1)),0)</f>
        <v>0</v>
      </c>
      <c r="U147" s="10">
        <f>U146*(Presion_cilindro!O145/Presion_cilindro!O146)^Presion_cilindro!$B$9+10*(Presion_cilindro!$B$9-1)*Presion_cilindro!$B$33*(T147-T146)/((Presion_cilindro!O145+Presion_cilindro!O146)/2)</f>
        <v>1.0461945876947027</v>
      </c>
    </row>
    <row r="148" spans="14:21" x14ac:dyDescent="0.25">
      <c r="N148" s="8">
        <f>-Presion_cilindro!N147</f>
        <v>108.5</v>
      </c>
      <c r="O148" s="9">
        <f>IF(Presion_cilindro!N147&gt;$B$12,1-EXP(-Presion_cilindro!$B$16*((Presion_cilindro!N147-$B$12)/Presion_cilindro!$B$35)^(Presion_cilindro!$B$17+1)),0)</f>
        <v>0</v>
      </c>
      <c r="P148" s="10">
        <f>P147*(Presion_cilindro!O146/Presion_cilindro!O147)^Presion_cilindro!$B$9+10*(Presion_cilindro!$B$9-1)*Presion_cilindro!$B$33*(O148-O147)/((Presion_cilindro!O146+Presion_cilindro!O147)/2)</f>
        <v>1.0524258077666198</v>
      </c>
      <c r="Q148" s="9">
        <f>IF(OR($B$9=0,Presion_cilindro!N147&lt;=$B$15),IF(Presion_cilindro!N147&gt;$B$13,1-EXP(-Presion_cilindro!$B$16*((Presion_cilindro!N147-$B$13)/Presion_cilindro!$B$35)^(Presion_cilindro!$B$17+1)),0),$B$8+(1-$B$8)*(1-EXP(-(Presion_cilindro!N147-$B$15)/Presion_cilindro!$B$23)))</f>
        <v>0</v>
      </c>
      <c r="R148" s="10">
        <f>R147*(Presion_cilindro!O146/Presion_cilindro!O147)^Presion_cilindro!$B$9+10*(Presion_cilindro!$B$9-1)*Presion_cilindro!$B$33*(Q148-Q147)/((Presion_cilindro!O146+Presion_cilindro!O147)/2)</f>
        <v>1.0524258077666198</v>
      </c>
      <c r="S148" s="10">
        <f>R148+IF(AND($B$9=1,Presion_cilindro!N147&gt;$B$15),Presion_cilindro!$B$24*2.5*EXP(-(Presion_cilindro!N147-$B$15)/Presion_cilindro!$B$26)*SIN(2*PI()*(Presion_cilindro!N147-$B$15)/Presion_cilindro!$B$39),0)</f>
        <v>1.0524258077666198</v>
      </c>
      <c r="T148" s="9">
        <f>IF(Presion_cilindro!N147&gt;$B$14,1-EXP(-Presion_cilindro!$B$16*((Presion_cilindro!N147-$B$14)/Presion_cilindro!$B$35)^(Presion_cilindro!$B$17+1)),0)</f>
        <v>0</v>
      </c>
      <c r="U148" s="10">
        <f>U147*(Presion_cilindro!O146/Presion_cilindro!O147)^Presion_cilindro!$B$9+10*(Presion_cilindro!$B$9-1)*Presion_cilindro!$B$33*(T148-T147)/((Presion_cilindro!O146+Presion_cilindro!O147)/2)</f>
        <v>1.0524258077666198</v>
      </c>
    </row>
    <row r="149" spans="14:21" x14ac:dyDescent="0.25">
      <c r="N149" s="8">
        <f>-Presion_cilindro!N148</f>
        <v>108</v>
      </c>
      <c r="O149" s="9">
        <f>IF(Presion_cilindro!N148&gt;$B$12,1-EXP(-Presion_cilindro!$B$16*((Presion_cilindro!N148-$B$12)/Presion_cilindro!$B$35)^(Presion_cilindro!$B$17+1)),0)</f>
        <v>0</v>
      </c>
      <c r="P149" s="10">
        <f>P148*(Presion_cilindro!O147/Presion_cilindro!O148)^Presion_cilindro!$B$9+10*(Presion_cilindro!$B$9-1)*Presion_cilindro!$B$33*(O149-O148)/((Presion_cilindro!O147+Presion_cilindro!O148)/2)</f>
        <v>1.0587579329659074</v>
      </c>
      <c r="Q149" s="9">
        <f>IF(OR($B$9=0,Presion_cilindro!N148&lt;=$B$15),IF(Presion_cilindro!N148&gt;$B$13,1-EXP(-Presion_cilindro!$B$16*((Presion_cilindro!N148-$B$13)/Presion_cilindro!$B$35)^(Presion_cilindro!$B$17+1)),0),$B$8+(1-$B$8)*(1-EXP(-(Presion_cilindro!N148-$B$15)/Presion_cilindro!$B$23)))</f>
        <v>0</v>
      </c>
      <c r="R149" s="10">
        <f>R148*(Presion_cilindro!O147/Presion_cilindro!O148)^Presion_cilindro!$B$9+10*(Presion_cilindro!$B$9-1)*Presion_cilindro!$B$33*(Q149-Q148)/((Presion_cilindro!O147+Presion_cilindro!O148)/2)</f>
        <v>1.0587579329659074</v>
      </c>
      <c r="S149" s="10">
        <f>R149+IF(AND($B$9=1,Presion_cilindro!N148&gt;$B$15),Presion_cilindro!$B$24*2.5*EXP(-(Presion_cilindro!N148-$B$15)/Presion_cilindro!$B$26)*SIN(2*PI()*(Presion_cilindro!N148-$B$15)/Presion_cilindro!$B$39),0)</f>
        <v>1.0587579329659074</v>
      </c>
      <c r="T149" s="9">
        <f>IF(Presion_cilindro!N148&gt;$B$14,1-EXP(-Presion_cilindro!$B$16*((Presion_cilindro!N148-$B$14)/Presion_cilindro!$B$35)^(Presion_cilindro!$B$17+1)),0)</f>
        <v>0</v>
      </c>
      <c r="U149" s="10">
        <f>U148*(Presion_cilindro!O147/Presion_cilindro!O148)^Presion_cilindro!$B$9+10*(Presion_cilindro!$B$9-1)*Presion_cilindro!$B$33*(T149-T148)/((Presion_cilindro!O147+Presion_cilindro!O148)/2)</f>
        <v>1.0587579329659074</v>
      </c>
    </row>
    <row r="150" spans="14:21" x14ac:dyDescent="0.25">
      <c r="N150" s="8">
        <f>-Presion_cilindro!N149</f>
        <v>107.5</v>
      </c>
      <c r="O150" s="9">
        <f>IF(Presion_cilindro!N149&gt;$B$12,1-EXP(-Presion_cilindro!$B$16*((Presion_cilindro!N149-$B$12)/Presion_cilindro!$B$35)^(Presion_cilindro!$B$17+1)),0)</f>
        <v>0</v>
      </c>
      <c r="P150" s="10">
        <f>P149*(Presion_cilindro!O148/Presion_cilindro!O149)^Presion_cilindro!$B$9+10*(Presion_cilindro!$B$9-1)*Presion_cilindro!$B$33*(O150-O149)/((Presion_cilindro!O148+Presion_cilindro!O149)/2)</f>
        <v>1.0651927505298662</v>
      </c>
      <c r="Q150" s="9">
        <f>IF(OR($B$9=0,Presion_cilindro!N149&lt;=$B$15),IF(Presion_cilindro!N149&gt;$B$13,1-EXP(-Presion_cilindro!$B$16*((Presion_cilindro!N149-$B$13)/Presion_cilindro!$B$35)^(Presion_cilindro!$B$17+1)),0),$B$8+(1-$B$8)*(1-EXP(-(Presion_cilindro!N149-$B$15)/Presion_cilindro!$B$23)))</f>
        <v>0</v>
      </c>
      <c r="R150" s="10">
        <f>R149*(Presion_cilindro!O148/Presion_cilindro!O149)^Presion_cilindro!$B$9+10*(Presion_cilindro!$B$9-1)*Presion_cilindro!$B$33*(Q150-Q149)/((Presion_cilindro!O148+Presion_cilindro!O149)/2)</f>
        <v>1.0651927505298662</v>
      </c>
      <c r="S150" s="10">
        <f>R150+IF(AND($B$9=1,Presion_cilindro!N149&gt;$B$15),Presion_cilindro!$B$24*2.5*EXP(-(Presion_cilindro!N149-$B$15)/Presion_cilindro!$B$26)*SIN(2*PI()*(Presion_cilindro!N149-$B$15)/Presion_cilindro!$B$39),0)</f>
        <v>1.0651927505298662</v>
      </c>
      <c r="T150" s="9">
        <f>IF(Presion_cilindro!N149&gt;$B$14,1-EXP(-Presion_cilindro!$B$16*((Presion_cilindro!N149-$B$14)/Presion_cilindro!$B$35)^(Presion_cilindro!$B$17+1)),0)</f>
        <v>0</v>
      </c>
      <c r="U150" s="10">
        <f>U149*(Presion_cilindro!O148/Presion_cilindro!O149)^Presion_cilindro!$B$9+10*(Presion_cilindro!$B$9-1)*Presion_cilindro!$B$33*(T150-T149)/((Presion_cilindro!O148+Presion_cilindro!O149)/2)</f>
        <v>1.0651927505298662</v>
      </c>
    </row>
    <row r="151" spans="14:21" x14ac:dyDescent="0.25">
      <c r="N151" s="8">
        <f>-Presion_cilindro!N150</f>
        <v>107</v>
      </c>
      <c r="O151" s="9">
        <f>IF(Presion_cilindro!N150&gt;$B$12,1-EXP(-Presion_cilindro!$B$16*((Presion_cilindro!N150-$B$12)/Presion_cilindro!$B$35)^(Presion_cilindro!$B$17+1)),0)</f>
        <v>0</v>
      </c>
      <c r="P151" s="10">
        <f>P150*(Presion_cilindro!O149/Presion_cilindro!O150)^Presion_cilindro!$B$9+10*(Presion_cilindro!$B$9-1)*Presion_cilindro!$B$33*(O151-O150)/((Presion_cilindro!O149+Presion_cilindro!O150)/2)</f>
        <v>1.071732087419536</v>
      </c>
      <c r="Q151" s="9">
        <f>IF(OR($B$9=0,Presion_cilindro!N150&lt;=$B$15),IF(Presion_cilindro!N150&gt;$B$13,1-EXP(-Presion_cilindro!$B$16*((Presion_cilindro!N150-$B$13)/Presion_cilindro!$B$35)^(Presion_cilindro!$B$17+1)),0),$B$8+(1-$B$8)*(1-EXP(-(Presion_cilindro!N150-$B$15)/Presion_cilindro!$B$23)))</f>
        <v>0</v>
      </c>
      <c r="R151" s="10">
        <f>R150*(Presion_cilindro!O149/Presion_cilindro!O150)^Presion_cilindro!$B$9+10*(Presion_cilindro!$B$9-1)*Presion_cilindro!$B$33*(Q151-Q150)/((Presion_cilindro!O149+Presion_cilindro!O150)/2)</f>
        <v>1.071732087419536</v>
      </c>
      <c r="S151" s="10">
        <f>R151+IF(AND($B$9=1,Presion_cilindro!N150&gt;$B$15),Presion_cilindro!$B$24*2.5*EXP(-(Presion_cilindro!N150-$B$15)/Presion_cilindro!$B$26)*SIN(2*PI()*(Presion_cilindro!N150-$B$15)/Presion_cilindro!$B$39),0)</f>
        <v>1.071732087419536</v>
      </c>
      <c r="T151" s="9">
        <f>IF(Presion_cilindro!N150&gt;$B$14,1-EXP(-Presion_cilindro!$B$16*((Presion_cilindro!N150-$B$14)/Presion_cilindro!$B$35)^(Presion_cilindro!$B$17+1)),0)</f>
        <v>0</v>
      </c>
      <c r="U151" s="10">
        <f>U150*(Presion_cilindro!O149/Presion_cilindro!O150)^Presion_cilindro!$B$9+10*(Presion_cilindro!$B$9-1)*Presion_cilindro!$B$33*(T151-T150)/((Presion_cilindro!O149+Presion_cilindro!O150)/2)</f>
        <v>1.071732087419536</v>
      </c>
    </row>
    <row r="152" spans="14:21" x14ac:dyDescent="0.25">
      <c r="N152" s="8">
        <f>-Presion_cilindro!N151</f>
        <v>106.5</v>
      </c>
      <c r="O152" s="9">
        <f>IF(Presion_cilindro!N151&gt;$B$12,1-EXP(-Presion_cilindro!$B$16*((Presion_cilindro!N151-$B$12)/Presion_cilindro!$B$35)^(Presion_cilindro!$B$17+1)),0)</f>
        <v>0</v>
      </c>
      <c r="P152" s="10">
        <f>P151*(Presion_cilindro!O150/Presion_cilindro!O151)^Presion_cilindro!$B$9+10*(Presion_cilindro!$B$9-1)*Presion_cilindro!$B$33*(O152-O151)/((Presion_cilindro!O150+Presion_cilindro!O151)/2)</f>
        <v>1.0783778113023432</v>
      </c>
      <c r="Q152" s="9">
        <f>IF(OR($B$9=0,Presion_cilindro!N151&lt;=$B$15),IF(Presion_cilindro!N151&gt;$B$13,1-EXP(-Presion_cilindro!$B$16*((Presion_cilindro!N151-$B$13)/Presion_cilindro!$B$35)^(Presion_cilindro!$B$17+1)),0),$B$8+(1-$B$8)*(1-EXP(-(Presion_cilindro!N151-$B$15)/Presion_cilindro!$B$23)))</f>
        <v>0</v>
      </c>
      <c r="R152" s="10">
        <f>R151*(Presion_cilindro!O150/Presion_cilindro!O151)^Presion_cilindro!$B$9+10*(Presion_cilindro!$B$9-1)*Presion_cilindro!$B$33*(Q152-Q151)/((Presion_cilindro!O150+Presion_cilindro!O151)/2)</f>
        <v>1.0783778113023432</v>
      </c>
      <c r="S152" s="10">
        <f>R152+IF(AND($B$9=1,Presion_cilindro!N151&gt;$B$15),Presion_cilindro!$B$24*2.5*EXP(-(Presion_cilindro!N151-$B$15)/Presion_cilindro!$B$26)*SIN(2*PI()*(Presion_cilindro!N151-$B$15)/Presion_cilindro!$B$39),0)</f>
        <v>1.0783778113023432</v>
      </c>
      <c r="T152" s="9">
        <f>IF(Presion_cilindro!N151&gt;$B$14,1-EXP(-Presion_cilindro!$B$16*((Presion_cilindro!N151-$B$14)/Presion_cilindro!$B$35)^(Presion_cilindro!$B$17+1)),0)</f>
        <v>0</v>
      </c>
      <c r="U152" s="10">
        <f>U151*(Presion_cilindro!O150/Presion_cilindro!O151)^Presion_cilindro!$B$9+10*(Presion_cilindro!$B$9-1)*Presion_cilindro!$B$33*(T152-T151)/((Presion_cilindro!O150+Presion_cilindro!O151)/2)</f>
        <v>1.0783778113023432</v>
      </c>
    </row>
    <row r="153" spans="14:21" x14ac:dyDescent="0.25">
      <c r="N153" s="8">
        <f>-Presion_cilindro!N152</f>
        <v>106</v>
      </c>
      <c r="O153" s="9">
        <f>IF(Presion_cilindro!N152&gt;$B$12,1-EXP(-Presion_cilindro!$B$16*((Presion_cilindro!N152-$B$12)/Presion_cilindro!$B$35)^(Presion_cilindro!$B$17+1)),0)</f>
        <v>0</v>
      </c>
      <c r="P153" s="10">
        <f>P152*(Presion_cilindro!O151/Presion_cilindro!O152)^Presion_cilindro!$B$9+10*(Presion_cilindro!$B$9-1)*Presion_cilindro!$B$33*(O153-O152)/((Presion_cilindro!O151+Presion_cilindro!O152)/2)</f>
        <v>1.0851318315621523</v>
      </c>
      <c r="Q153" s="9">
        <f>IF(OR($B$9=0,Presion_cilindro!N152&lt;=$B$15),IF(Presion_cilindro!N152&gt;$B$13,1-EXP(-Presion_cilindro!$B$16*((Presion_cilindro!N152-$B$13)/Presion_cilindro!$B$35)^(Presion_cilindro!$B$17+1)),0),$B$8+(1-$B$8)*(1-EXP(-(Presion_cilindro!N152-$B$15)/Presion_cilindro!$B$23)))</f>
        <v>0</v>
      </c>
      <c r="R153" s="10">
        <f>R152*(Presion_cilindro!O151/Presion_cilindro!O152)^Presion_cilindro!$B$9+10*(Presion_cilindro!$B$9-1)*Presion_cilindro!$B$33*(Q153-Q152)/((Presion_cilindro!O151+Presion_cilindro!O152)/2)</f>
        <v>1.0851318315621523</v>
      </c>
      <c r="S153" s="10">
        <f>R153+IF(AND($B$9=1,Presion_cilindro!N152&gt;$B$15),Presion_cilindro!$B$24*2.5*EXP(-(Presion_cilindro!N152-$B$15)/Presion_cilindro!$B$26)*SIN(2*PI()*(Presion_cilindro!N152-$B$15)/Presion_cilindro!$B$39),0)</f>
        <v>1.0851318315621523</v>
      </c>
      <c r="T153" s="9">
        <f>IF(Presion_cilindro!N152&gt;$B$14,1-EXP(-Presion_cilindro!$B$16*((Presion_cilindro!N152-$B$14)/Presion_cilindro!$B$35)^(Presion_cilindro!$B$17+1)),0)</f>
        <v>0</v>
      </c>
      <c r="U153" s="10">
        <f>U152*(Presion_cilindro!O151/Presion_cilindro!O152)^Presion_cilindro!$B$9+10*(Presion_cilindro!$B$9-1)*Presion_cilindro!$B$33*(T153-T152)/((Presion_cilindro!O151+Presion_cilindro!O152)/2)</f>
        <v>1.0851318315621523</v>
      </c>
    </row>
    <row r="154" spans="14:21" x14ac:dyDescent="0.25">
      <c r="N154" s="8">
        <f>-Presion_cilindro!N153</f>
        <v>105.5</v>
      </c>
      <c r="O154" s="9">
        <f>IF(Presion_cilindro!N153&gt;$B$12,1-EXP(-Presion_cilindro!$B$16*((Presion_cilindro!N153-$B$12)/Presion_cilindro!$B$35)^(Presion_cilindro!$B$17+1)),0)</f>
        <v>0</v>
      </c>
      <c r="P154" s="10">
        <f>P153*(Presion_cilindro!O152/Presion_cilindro!O153)^Presion_cilindro!$B$9+10*(Presion_cilindro!$B$9-1)*Presion_cilindro!$B$33*(O154-O153)/((Presion_cilindro!O152+Presion_cilindro!O153)/2)</f>
        <v>1.0919961003375098</v>
      </c>
      <c r="Q154" s="9">
        <f>IF(OR($B$9=0,Presion_cilindro!N153&lt;=$B$15),IF(Presion_cilindro!N153&gt;$B$13,1-EXP(-Presion_cilindro!$B$16*((Presion_cilindro!N153-$B$13)/Presion_cilindro!$B$35)^(Presion_cilindro!$B$17+1)),0),$B$8+(1-$B$8)*(1-EXP(-(Presion_cilindro!N153-$B$15)/Presion_cilindro!$B$23)))</f>
        <v>0</v>
      </c>
      <c r="R154" s="10">
        <f>R153*(Presion_cilindro!O152/Presion_cilindro!O153)^Presion_cilindro!$B$9+10*(Presion_cilindro!$B$9-1)*Presion_cilindro!$B$33*(Q154-Q153)/((Presion_cilindro!O152+Presion_cilindro!O153)/2)</f>
        <v>1.0919961003375098</v>
      </c>
      <c r="S154" s="10">
        <f>R154+IF(AND($B$9=1,Presion_cilindro!N153&gt;$B$15),Presion_cilindro!$B$24*2.5*EXP(-(Presion_cilindro!N153-$B$15)/Presion_cilindro!$B$26)*SIN(2*PI()*(Presion_cilindro!N153-$B$15)/Presion_cilindro!$B$39),0)</f>
        <v>1.0919961003375098</v>
      </c>
      <c r="T154" s="9">
        <f>IF(Presion_cilindro!N153&gt;$B$14,1-EXP(-Presion_cilindro!$B$16*((Presion_cilindro!N153-$B$14)/Presion_cilindro!$B$35)^(Presion_cilindro!$B$17+1)),0)</f>
        <v>0</v>
      </c>
      <c r="U154" s="10">
        <f>U153*(Presion_cilindro!O152/Presion_cilindro!O153)^Presion_cilindro!$B$9+10*(Presion_cilindro!$B$9-1)*Presion_cilindro!$B$33*(T154-T153)/((Presion_cilindro!O152+Presion_cilindro!O153)/2)</f>
        <v>1.0919961003375098</v>
      </c>
    </row>
    <row r="155" spans="14:21" x14ac:dyDescent="0.25">
      <c r="N155" s="8">
        <f>-Presion_cilindro!N154</f>
        <v>105</v>
      </c>
      <c r="O155" s="9">
        <f>IF(Presion_cilindro!N154&gt;$B$12,1-EXP(-Presion_cilindro!$B$16*((Presion_cilindro!N154-$B$12)/Presion_cilindro!$B$35)^(Presion_cilindro!$B$17+1)),0)</f>
        <v>0</v>
      </c>
      <c r="P155" s="10">
        <f>P154*(Presion_cilindro!O153/Presion_cilindro!O154)^Presion_cilindro!$B$9+10*(Presion_cilindro!$B$9-1)*Presion_cilindro!$B$33*(O155-O154)/((Presion_cilindro!O153+Presion_cilindro!O154)/2)</f>
        <v>1.0989726135889439</v>
      </c>
      <c r="Q155" s="9">
        <f>IF(OR($B$9=0,Presion_cilindro!N154&lt;=$B$15),IF(Presion_cilindro!N154&gt;$B$13,1-EXP(-Presion_cilindro!$B$16*((Presion_cilindro!N154-$B$13)/Presion_cilindro!$B$35)^(Presion_cilindro!$B$17+1)),0),$B$8+(1-$B$8)*(1-EXP(-(Presion_cilindro!N154-$B$15)/Presion_cilindro!$B$23)))</f>
        <v>0</v>
      </c>
      <c r="R155" s="10">
        <f>R154*(Presion_cilindro!O153/Presion_cilindro!O154)^Presion_cilindro!$B$9+10*(Presion_cilindro!$B$9-1)*Presion_cilindro!$B$33*(Q155-Q154)/((Presion_cilindro!O153+Presion_cilindro!O154)/2)</f>
        <v>1.0989726135889439</v>
      </c>
      <c r="S155" s="10">
        <f>R155+IF(AND($B$9=1,Presion_cilindro!N154&gt;$B$15),Presion_cilindro!$B$24*2.5*EXP(-(Presion_cilindro!N154-$B$15)/Presion_cilindro!$B$26)*SIN(2*PI()*(Presion_cilindro!N154-$B$15)/Presion_cilindro!$B$39),0)</f>
        <v>1.0989726135889439</v>
      </c>
      <c r="T155" s="9">
        <f>IF(Presion_cilindro!N154&gt;$B$14,1-EXP(-Presion_cilindro!$B$16*((Presion_cilindro!N154-$B$14)/Presion_cilindro!$B$35)^(Presion_cilindro!$B$17+1)),0)</f>
        <v>0</v>
      </c>
      <c r="U155" s="10">
        <f>U154*(Presion_cilindro!O153/Presion_cilindro!O154)^Presion_cilindro!$B$9+10*(Presion_cilindro!$B$9-1)*Presion_cilindro!$B$33*(T155-T154)/((Presion_cilindro!O153+Presion_cilindro!O154)/2)</f>
        <v>1.0989726135889439</v>
      </c>
    </row>
    <row r="156" spans="14:21" x14ac:dyDescent="0.25">
      <c r="N156" s="8">
        <f>-Presion_cilindro!N155</f>
        <v>104.5</v>
      </c>
      <c r="O156" s="9">
        <f>IF(Presion_cilindro!N155&gt;$B$12,1-EXP(-Presion_cilindro!$B$16*((Presion_cilindro!N155-$B$12)/Presion_cilindro!$B$35)^(Presion_cilindro!$B$17+1)),0)</f>
        <v>0</v>
      </c>
      <c r="P156" s="10">
        <f>P155*(Presion_cilindro!O154/Presion_cilindro!O155)^Presion_cilindro!$B$9+10*(Presion_cilindro!$B$9-1)*Presion_cilindro!$B$33*(O156-O155)/((Presion_cilindro!O154+Presion_cilindro!O155)/2)</f>
        <v>1.1060634121961466</v>
      </c>
      <c r="Q156" s="9">
        <f>IF(OR($B$9=0,Presion_cilindro!N155&lt;=$B$15),IF(Presion_cilindro!N155&gt;$B$13,1-EXP(-Presion_cilindro!$B$16*((Presion_cilindro!N155-$B$13)/Presion_cilindro!$B$35)^(Presion_cilindro!$B$17+1)),0),$B$8+(1-$B$8)*(1-EXP(-(Presion_cilindro!N155-$B$15)/Presion_cilindro!$B$23)))</f>
        <v>0</v>
      </c>
      <c r="R156" s="10">
        <f>R155*(Presion_cilindro!O154/Presion_cilindro!O155)^Presion_cilindro!$B$9+10*(Presion_cilindro!$B$9-1)*Presion_cilindro!$B$33*(Q156-Q155)/((Presion_cilindro!O154+Presion_cilindro!O155)/2)</f>
        <v>1.1060634121961466</v>
      </c>
      <c r="S156" s="10">
        <f>R156+IF(AND($B$9=1,Presion_cilindro!N155&gt;$B$15),Presion_cilindro!$B$24*2.5*EXP(-(Presion_cilindro!N155-$B$15)/Presion_cilindro!$B$26)*SIN(2*PI()*(Presion_cilindro!N155-$B$15)/Presion_cilindro!$B$39),0)</f>
        <v>1.1060634121961466</v>
      </c>
      <c r="T156" s="9">
        <f>IF(Presion_cilindro!N155&gt;$B$14,1-EXP(-Presion_cilindro!$B$16*((Presion_cilindro!N155-$B$14)/Presion_cilindro!$B$35)^(Presion_cilindro!$B$17+1)),0)</f>
        <v>0</v>
      </c>
      <c r="U156" s="10">
        <f>U155*(Presion_cilindro!O154/Presion_cilindro!O155)^Presion_cilindro!$B$9+10*(Presion_cilindro!$B$9-1)*Presion_cilindro!$B$33*(T156-T155)/((Presion_cilindro!O154+Presion_cilindro!O155)/2)</f>
        <v>1.1060634121961466</v>
      </c>
    </row>
    <row r="157" spans="14:21" x14ac:dyDescent="0.25">
      <c r="N157" s="8">
        <f>-Presion_cilindro!N156</f>
        <v>104</v>
      </c>
      <c r="O157" s="9">
        <f>IF(Presion_cilindro!N156&gt;$B$12,1-EXP(-Presion_cilindro!$B$16*((Presion_cilindro!N156-$B$12)/Presion_cilindro!$B$35)^(Presion_cilindro!$B$17+1)),0)</f>
        <v>0</v>
      </c>
      <c r="P157" s="10">
        <f>P156*(Presion_cilindro!O155/Presion_cilindro!O156)^Presion_cilindro!$B$9+10*(Presion_cilindro!$B$9-1)*Presion_cilindro!$B$33*(O157-O156)/((Presion_cilindro!O155+Presion_cilindro!O156)/2)</f>
        <v>1.1132705830859577</v>
      </c>
      <c r="Q157" s="9">
        <f>IF(OR($B$9=0,Presion_cilindro!N156&lt;=$B$15),IF(Presion_cilindro!N156&gt;$B$13,1-EXP(-Presion_cilindro!$B$16*((Presion_cilindro!N156-$B$13)/Presion_cilindro!$B$35)^(Presion_cilindro!$B$17+1)),0),$B$8+(1-$B$8)*(1-EXP(-(Presion_cilindro!N156-$B$15)/Presion_cilindro!$B$23)))</f>
        <v>0</v>
      </c>
      <c r="R157" s="10">
        <f>R156*(Presion_cilindro!O155/Presion_cilindro!O156)^Presion_cilindro!$B$9+10*(Presion_cilindro!$B$9-1)*Presion_cilindro!$B$33*(Q157-Q156)/((Presion_cilindro!O155+Presion_cilindro!O156)/2)</f>
        <v>1.1132705830859577</v>
      </c>
      <c r="S157" s="10">
        <f>R157+IF(AND($B$9=1,Presion_cilindro!N156&gt;$B$15),Presion_cilindro!$B$24*2.5*EXP(-(Presion_cilindro!N156-$B$15)/Presion_cilindro!$B$26)*SIN(2*PI()*(Presion_cilindro!N156-$B$15)/Presion_cilindro!$B$39),0)</f>
        <v>1.1132705830859577</v>
      </c>
      <c r="T157" s="9">
        <f>IF(Presion_cilindro!N156&gt;$B$14,1-EXP(-Presion_cilindro!$B$16*((Presion_cilindro!N156-$B$14)/Presion_cilindro!$B$35)^(Presion_cilindro!$B$17+1)),0)</f>
        <v>0</v>
      </c>
      <c r="U157" s="10">
        <f>U156*(Presion_cilindro!O155/Presion_cilindro!O156)^Presion_cilindro!$B$9+10*(Presion_cilindro!$B$9-1)*Presion_cilindro!$B$33*(T157-T156)/((Presion_cilindro!O155+Presion_cilindro!O156)/2)</f>
        <v>1.1132705830859577</v>
      </c>
    </row>
    <row r="158" spans="14:21" x14ac:dyDescent="0.25">
      <c r="N158" s="8">
        <f>-Presion_cilindro!N157</f>
        <v>103.5</v>
      </c>
      <c r="O158" s="9">
        <f>IF(Presion_cilindro!N157&gt;$B$12,1-EXP(-Presion_cilindro!$B$16*((Presion_cilindro!N157-$B$12)/Presion_cilindro!$B$35)^(Presion_cilindro!$B$17+1)),0)</f>
        <v>0</v>
      </c>
      <c r="P158" s="10">
        <f>P157*(Presion_cilindro!O156/Presion_cilindro!O157)^Presion_cilindro!$B$9+10*(Presion_cilindro!$B$9-1)*Presion_cilindro!$B$33*(O158-O157)/((Presion_cilindro!O156+Presion_cilindro!O157)/2)</f>
        <v>1.1205962603920467</v>
      </c>
      <c r="Q158" s="9">
        <f>IF(OR($B$9=0,Presion_cilindro!N157&lt;=$B$15),IF(Presion_cilindro!N157&gt;$B$13,1-EXP(-Presion_cilindro!$B$16*((Presion_cilindro!N157-$B$13)/Presion_cilindro!$B$35)^(Presion_cilindro!$B$17+1)),0),$B$8+(1-$B$8)*(1-EXP(-(Presion_cilindro!N157-$B$15)/Presion_cilindro!$B$23)))</f>
        <v>0</v>
      </c>
      <c r="R158" s="10">
        <f>R157*(Presion_cilindro!O156/Presion_cilindro!O157)^Presion_cilindro!$B$9+10*(Presion_cilindro!$B$9-1)*Presion_cilindro!$B$33*(Q158-Q157)/((Presion_cilindro!O156+Presion_cilindro!O157)/2)</f>
        <v>1.1205962603920467</v>
      </c>
      <c r="S158" s="10">
        <f>R158+IF(AND($B$9=1,Presion_cilindro!N157&gt;$B$15),Presion_cilindro!$B$24*2.5*EXP(-(Presion_cilindro!N157-$B$15)/Presion_cilindro!$B$26)*SIN(2*PI()*(Presion_cilindro!N157-$B$15)/Presion_cilindro!$B$39),0)</f>
        <v>1.1205962603920467</v>
      </c>
      <c r="T158" s="9">
        <f>IF(Presion_cilindro!N157&gt;$B$14,1-EXP(-Presion_cilindro!$B$16*((Presion_cilindro!N157-$B$14)/Presion_cilindro!$B$35)^(Presion_cilindro!$B$17+1)),0)</f>
        <v>0</v>
      </c>
      <c r="U158" s="10">
        <f>U157*(Presion_cilindro!O156/Presion_cilindro!O157)^Presion_cilindro!$B$9+10*(Presion_cilindro!$B$9-1)*Presion_cilindro!$B$33*(T158-T157)/((Presion_cilindro!O156+Presion_cilindro!O157)/2)</f>
        <v>1.1205962603920467</v>
      </c>
    </row>
    <row r="159" spans="14:21" x14ac:dyDescent="0.25">
      <c r="N159" s="8">
        <f>-Presion_cilindro!N158</f>
        <v>103</v>
      </c>
      <c r="O159" s="9">
        <f>IF(Presion_cilindro!N158&gt;$B$12,1-EXP(-Presion_cilindro!$B$16*((Presion_cilindro!N158-$B$12)/Presion_cilindro!$B$35)^(Presion_cilindro!$B$17+1)),0)</f>
        <v>0</v>
      </c>
      <c r="P159" s="10">
        <f>P158*(Presion_cilindro!O157/Presion_cilindro!O158)^Presion_cilindro!$B$9+10*(Presion_cilindro!$B$9-1)*Presion_cilindro!$B$33*(O159-O158)/((Presion_cilindro!O157+Presion_cilindro!O158)/2)</f>
        <v>1.1280426266472254</v>
      </c>
      <c r="Q159" s="9">
        <f>IF(OR($B$9=0,Presion_cilindro!N158&lt;=$B$15),IF(Presion_cilindro!N158&gt;$B$13,1-EXP(-Presion_cilindro!$B$16*((Presion_cilindro!N158-$B$13)/Presion_cilindro!$B$35)^(Presion_cilindro!$B$17+1)),0),$B$8+(1-$B$8)*(1-EXP(-(Presion_cilindro!N158-$B$15)/Presion_cilindro!$B$23)))</f>
        <v>0</v>
      </c>
      <c r="R159" s="10">
        <f>R158*(Presion_cilindro!O157/Presion_cilindro!O158)^Presion_cilindro!$B$9+10*(Presion_cilindro!$B$9-1)*Presion_cilindro!$B$33*(Q159-Q158)/((Presion_cilindro!O157+Presion_cilindro!O158)/2)</f>
        <v>1.1280426266472254</v>
      </c>
      <c r="S159" s="10">
        <f>R159+IF(AND($B$9=1,Presion_cilindro!N158&gt;$B$15),Presion_cilindro!$B$24*2.5*EXP(-(Presion_cilindro!N158-$B$15)/Presion_cilindro!$B$26)*SIN(2*PI()*(Presion_cilindro!N158-$B$15)/Presion_cilindro!$B$39),0)</f>
        <v>1.1280426266472254</v>
      </c>
      <c r="T159" s="9">
        <f>IF(Presion_cilindro!N158&gt;$B$14,1-EXP(-Presion_cilindro!$B$16*((Presion_cilindro!N158-$B$14)/Presion_cilindro!$B$35)^(Presion_cilindro!$B$17+1)),0)</f>
        <v>0</v>
      </c>
      <c r="U159" s="10">
        <f>U158*(Presion_cilindro!O157/Presion_cilindro!O158)^Presion_cilindro!$B$9+10*(Presion_cilindro!$B$9-1)*Presion_cilindro!$B$33*(T159-T158)/((Presion_cilindro!O157+Presion_cilindro!O158)/2)</f>
        <v>1.1280426266472254</v>
      </c>
    </row>
    <row r="160" spans="14:21" x14ac:dyDescent="0.25">
      <c r="N160" s="8">
        <f>-Presion_cilindro!N159</f>
        <v>102.5</v>
      </c>
      <c r="O160" s="9">
        <f>IF(Presion_cilindro!N159&gt;$B$12,1-EXP(-Presion_cilindro!$B$16*((Presion_cilindro!N159-$B$12)/Presion_cilindro!$B$35)^(Presion_cilindro!$B$17+1)),0)</f>
        <v>0</v>
      </c>
      <c r="P160" s="10">
        <f>P159*(Presion_cilindro!O158/Presion_cilindro!O159)^Presion_cilindro!$B$9+10*(Presion_cilindro!$B$9-1)*Presion_cilindro!$B$33*(O160-O159)/((Presion_cilindro!O158+Presion_cilindro!O159)/2)</f>
        <v>1.1356119140093863</v>
      </c>
      <c r="Q160" s="9">
        <f>IF(OR($B$9=0,Presion_cilindro!N159&lt;=$B$15),IF(Presion_cilindro!N159&gt;$B$13,1-EXP(-Presion_cilindro!$B$16*((Presion_cilindro!N159-$B$13)/Presion_cilindro!$B$35)^(Presion_cilindro!$B$17+1)),0),$B$8+(1-$B$8)*(1-EXP(-(Presion_cilindro!N159-$B$15)/Presion_cilindro!$B$23)))</f>
        <v>0</v>
      </c>
      <c r="R160" s="10">
        <f>R159*(Presion_cilindro!O158/Presion_cilindro!O159)^Presion_cilindro!$B$9+10*(Presion_cilindro!$B$9-1)*Presion_cilindro!$B$33*(Q160-Q159)/((Presion_cilindro!O158+Presion_cilindro!O159)/2)</f>
        <v>1.1356119140093863</v>
      </c>
      <c r="S160" s="10">
        <f>R160+IF(AND($B$9=1,Presion_cilindro!N159&gt;$B$15),Presion_cilindro!$B$24*2.5*EXP(-(Presion_cilindro!N159-$B$15)/Presion_cilindro!$B$26)*SIN(2*PI()*(Presion_cilindro!N159-$B$15)/Presion_cilindro!$B$39),0)</f>
        <v>1.1356119140093863</v>
      </c>
      <c r="T160" s="9">
        <f>IF(Presion_cilindro!N159&gt;$B$14,1-EXP(-Presion_cilindro!$B$16*((Presion_cilindro!N159-$B$14)/Presion_cilindro!$B$35)^(Presion_cilindro!$B$17+1)),0)</f>
        <v>0</v>
      </c>
      <c r="U160" s="10">
        <f>U159*(Presion_cilindro!O158/Presion_cilindro!O159)^Presion_cilindro!$B$9+10*(Presion_cilindro!$B$9-1)*Presion_cilindro!$B$33*(T160-T159)/((Presion_cilindro!O158+Presion_cilindro!O159)/2)</f>
        <v>1.1356119140093863</v>
      </c>
    </row>
    <row r="161" spans="14:21" x14ac:dyDescent="0.25">
      <c r="N161" s="8">
        <f>-Presion_cilindro!N160</f>
        <v>102</v>
      </c>
      <c r="O161" s="9">
        <f>IF(Presion_cilindro!N160&gt;$B$12,1-EXP(-Presion_cilindro!$B$16*((Presion_cilindro!N160-$B$12)/Presion_cilindro!$B$35)^(Presion_cilindro!$B$17+1)),0)</f>
        <v>0</v>
      </c>
      <c r="P161" s="10">
        <f>P160*(Presion_cilindro!O159/Presion_cilindro!O160)^Presion_cilindro!$B$9+10*(Presion_cilindro!$B$9-1)*Presion_cilindro!$B$33*(O161-O160)/((Presion_cilindro!O159+Presion_cilindro!O160)/2)</f>
        <v>1.1433064055220281</v>
      </c>
      <c r="Q161" s="9">
        <f>IF(OR($B$9=0,Presion_cilindro!N160&lt;=$B$15),IF(Presion_cilindro!N160&gt;$B$13,1-EXP(-Presion_cilindro!$B$16*((Presion_cilindro!N160-$B$13)/Presion_cilindro!$B$35)^(Presion_cilindro!$B$17+1)),0),$B$8+(1-$B$8)*(1-EXP(-(Presion_cilindro!N160-$B$15)/Presion_cilindro!$B$23)))</f>
        <v>0</v>
      </c>
      <c r="R161" s="10">
        <f>R160*(Presion_cilindro!O159/Presion_cilindro!O160)^Presion_cilindro!$B$9+10*(Presion_cilindro!$B$9-1)*Presion_cilindro!$B$33*(Q161-Q160)/((Presion_cilindro!O159+Presion_cilindro!O160)/2)</f>
        <v>1.1433064055220281</v>
      </c>
      <c r="S161" s="10">
        <f>R161+IF(AND($B$9=1,Presion_cilindro!N160&gt;$B$15),Presion_cilindro!$B$24*2.5*EXP(-(Presion_cilindro!N160-$B$15)/Presion_cilindro!$B$26)*SIN(2*PI()*(Presion_cilindro!N160-$B$15)/Presion_cilindro!$B$39),0)</f>
        <v>1.1433064055220281</v>
      </c>
      <c r="T161" s="9">
        <f>IF(Presion_cilindro!N160&gt;$B$14,1-EXP(-Presion_cilindro!$B$16*((Presion_cilindro!N160-$B$14)/Presion_cilindro!$B$35)^(Presion_cilindro!$B$17+1)),0)</f>
        <v>0</v>
      </c>
      <c r="U161" s="10">
        <f>U160*(Presion_cilindro!O159/Presion_cilindro!O160)^Presion_cilindro!$B$9+10*(Presion_cilindro!$B$9-1)*Presion_cilindro!$B$33*(T161-T160)/((Presion_cilindro!O159+Presion_cilindro!O160)/2)</f>
        <v>1.1433064055220281</v>
      </c>
    </row>
    <row r="162" spans="14:21" x14ac:dyDescent="0.25">
      <c r="N162" s="8">
        <f>-Presion_cilindro!N161</f>
        <v>101.5</v>
      </c>
      <c r="O162" s="9">
        <f>IF(Presion_cilindro!N161&gt;$B$12,1-EXP(-Presion_cilindro!$B$16*((Presion_cilindro!N161-$B$12)/Presion_cilindro!$B$35)^(Presion_cilindro!$B$17+1)),0)</f>
        <v>0</v>
      </c>
      <c r="P162" s="10">
        <f>P161*(Presion_cilindro!O160/Presion_cilindro!O161)^Presion_cilindro!$B$9+10*(Presion_cilindro!$B$9-1)*Presion_cilindro!$B$33*(O162-O161)/((Presion_cilindro!O160+Presion_cilindro!O161)/2)</f>
        <v>1.1511284364104371</v>
      </c>
      <c r="Q162" s="9">
        <f>IF(OR($B$9=0,Presion_cilindro!N161&lt;=$B$15),IF(Presion_cilindro!N161&gt;$B$13,1-EXP(-Presion_cilindro!$B$16*((Presion_cilindro!N161-$B$13)/Presion_cilindro!$B$35)^(Presion_cilindro!$B$17+1)),0),$B$8+(1-$B$8)*(1-EXP(-(Presion_cilindro!N161-$B$15)/Presion_cilindro!$B$23)))</f>
        <v>0</v>
      </c>
      <c r="R162" s="10">
        <f>R161*(Presion_cilindro!O160/Presion_cilindro!O161)^Presion_cilindro!$B$9+10*(Presion_cilindro!$B$9-1)*Presion_cilindro!$B$33*(Q162-Q161)/((Presion_cilindro!O160+Presion_cilindro!O161)/2)</f>
        <v>1.1511284364104371</v>
      </c>
      <c r="S162" s="10">
        <f>R162+IF(AND($B$9=1,Presion_cilindro!N161&gt;$B$15),Presion_cilindro!$B$24*2.5*EXP(-(Presion_cilindro!N161-$B$15)/Presion_cilindro!$B$26)*SIN(2*PI()*(Presion_cilindro!N161-$B$15)/Presion_cilindro!$B$39),0)</f>
        <v>1.1511284364104371</v>
      </c>
      <c r="T162" s="9">
        <f>IF(Presion_cilindro!N161&gt;$B$14,1-EXP(-Presion_cilindro!$B$16*((Presion_cilindro!N161-$B$14)/Presion_cilindro!$B$35)^(Presion_cilindro!$B$17+1)),0)</f>
        <v>0</v>
      </c>
      <c r="U162" s="10">
        <f>U161*(Presion_cilindro!O160/Presion_cilindro!O161)^Presion_cilindro!$B$9+10*(Presion_cilindro!$B$9-1)*Presion_cilindro!$B$33*(T162-T161)/((Presion_cilindro!O160+Presion_cilindro!O161)/2)</f>
        <v>1.1511284364104371</v>
      </c>
    </row>
    <row r="163" spans="14:21" x14ac:dyDescent="0.25">
      <c r="N163" s="8">
        <f>-Presion_cilindro!N162</f>
        <v>101</v>
      </c>
      <c r="O163" s="9">
        <f>IF(Presion_cilindro!N162&gt;$B$12,1-EXP(-Presion_cilindro!$B$16*((Presion_cilindro!N162-$B$12)/Presion_cilindro!$B$35)^(Presion_cilindro!$B$17+1)),0)</f>
        <v>0</v>
      </c>
      <c r="P163" s="10">
        <f>P162*(Presion_cilindro!O161/Presion_cilindro!O162)^Presion_cilindro!$B$9+10*(Presion_cilindro!$B$9-1)*Presion_cilindro!$B$33*(O163-O162)/((Presion_cilindro!O161+Presion_cilindro!O162)/2)</f>
        <v>1.1590803954145341</v>
      </c>
      <c r="Q163" s="9">
        <f>IF(OR($B$9=0,Presion_cilindro!N162&lt;=$B$15),IF(Presion_cilindro!N162&gt;$B$13,1-EXP(-Presion_cilindro!$B$16*((Presion_cilindro!N162-$B$13)/Presion_cilindro!$B$35)^(Presion_cilindro!$B$17+1)),0),$B$8+(1-$B$8)*(1-EXP(-(Presion_cilindro!N162-$B$15)/Presion_cilindro!$B$23)))</f>
        <v>0</v>
      </c>
      <c r="R163" s="10">
        <f>R162*(Presion_cilindro!O161/Presion_cilindro!O162)^Presion_cilindro!$B$9+10*(Presion_cilindro!$B$9-1)*Presion_cilindro!$B$33*(Q163-Q162)/((Presion_cilindro!O161+Presion_cilindro!O162)/2)</f>
        <v>1.1590803954145341</v>
      </c>
      <c r="S163" s="10">
        <f>R163+IF(AND($B$9=1,Presion_cilindro!N162&gt;$B$15),Presion_cilindro!$B$24*2.5*EXP(-(Presion_cilindro!N162-$B$15)/Presion_cilindro!$B$26)*SIN(2*PI()*(Presion_cilindro!N162-$B$15)/Presion_cilindro!$B$39),0)</f>
        <v>1.1590803954145341</v>
      </c>
      <c r="T163" s="9">
        <f>IF(Presion_cilindro!N162&gt;$B$14,1-EXP(-Presion_cilindro!$B$16*((Presion_cilindro!N162-$B$14)/Presion_cilindro!$B$35)^(Presion_cilindro!$B$17+1)),0)</f>
        <v>0</v>
      </c>
      <c r="U163" s="10">
        <f>U162*(Presion_cilindro!O161/Presion_cilindro!O162)^Presion_cilindro!$B$9+10*(Presion_cilindro!$B$9-1)*Presion_cilindro!$B$33*(T163-T162)/((Presion_cilindro!O161+Presion_cilindro!O162)/2)</f>
        <v>1.1590803954145341</v>
      </c>
    </row>
    <row r="164" spans="14:21" x14ac:dyDescent="0.25">
      <c r="N164" s="8">
        <f>-Presion_cilindro!N163</f>
        <v>100.5</v>
      </c>
      <c r="O164" s="9">
        <f>IF(Presion_cilindro!N163&gt;$B$12,1-EXP(-Presion_cilindro!$B$16*((Presion_cilindro!N163-$B$12)/Presion_cilindro!$B$35)^(Presion_cilindro!$B$17+1)),0)</f>
        <v>0</v>
      </c>
      <c r="P164" s="10">
        <f>P163*(Presion_cilindro!O162/Presion_cilindro!O163)^Presion_cilindro!$B$9+10*(Presion_cilindro!$B$9-1)*Presion_cilindro!$B$33*(O164-O163)/((Presion_cilindro!O162+Presion_cilindro!O163)/2)</f>
        <v>1.167164726159521</v>
      </c>
      <c r="Q164" s="9">
        <f>IF(OR($B$9=0,Presion_cilindro!N163&lt;=$B$15),IF(Presion_cilindro!N163&gt;$B$13,1-EXP(-Presion_cilindro!$B$16*((Presion_cilindro!N163-$B$13)/Presion_cilindro!$B$35)^(Presion_cilindro!$B$17+1)),0),$B$8+(1-$B$8)*(1-EXP(-(Presion_cilindro!N163-$B$15)/Presion_cilindro!$B$23)))</f>
        <v>0</v>
      </c>
      <c r="R164" s="10">
        <f>R163*(Presion_cilindro!O162/Presion_cilindro!O163)^Presion_cilindro!$B$9+10*(Presion_cilindro!$B$9-1)*Presion_cilindro!$B$33*(Q164-Q163)/((Presion_cilindro!O162+Presion_cilindro!O163)/2)</f>
        <v>1.167164726159521</v>
      </c>
      <c r="S164" s="10">
        <f>R164+IF(AND($B$9=1,Presion_cilindro!N163&gt;$B$15),Presion_cilindro!$B$24*2.5*EXP(-(Presion_cilindro!N163-$B$15)/Presion_cilindro!$B$26)*SIN(2*PI()*(Presion_cilindro!N163-$B$15)/Presion_cilindro!$B$39),0)</f>
        <v>1.167164726159521</v>
      </c>
      <c r="T164" s="9">
        <f>IF(Presion_cilindro!N163&gt;$B$14,1-EXP(-Presion_cilindro!$B$16*((Presion_cilindro!N163-$B$14)/Presion_cilindro!$B$35)^(Presion_cilindro!$B$17+1)),0)</f>
        <v>0</v>
      </c>
      <c r="U164" s="10">
        <f>U163*(Presion_cilindro!O162/Presion_cilindro!O163)^Presion_cilindro!$B$9+10*(Presion_cilindro!$B$9-1)*Presion_cilindro!$B$33*(T164-T163)/((Presion_cilindro!O162+Presion_cilindro!O163)/2)</f>
        <v>1.167164726159521</v>
      </c>
    </row>
    <row r="165" spans="14:21" x14ac:dyDescent="0.25">
      <c r="N165" s="8">
        <f>-Presion_cilindro!N164</f>
        <v>100</v>
      </c>
      <c r="O165" s="9">
        <f>IF(Presion_cilindro!N164&gt;$B$12,1-EXP(-Presion_cilindro!$B$16*((Presion_cilindro!N164-$B$12)/Presion_cilindro!$B$35)^(Presion_cilindro!$B$17+1)),0)</f>
        <v>0</v>
      </c>
      <c r="P165" s="10">
        <f>P164*(Presion_cilindro!O163/Presion_cilindro!O164)^Presion_cilindro!$B$9+10*(Presion_cilindro!$B$9-1)*Presion_cilindro!$B$33*(O165-O164)/((Presion_cilindro!O163+Presion_cilindro!O164)/2)</f>
        <v>1.1753839285654213</v>
      </c>
      <c r="Q165" s="9">
        <f>IF(OR($B$9=0,Presion_cilindro!N164&lt;=$B$15),IF(Presion_cilindro!N164&gt;$B$13,1-EXP(-Presion_cilindro!$B$16*((Presion_cilindro!N164-$B$13)/Presion_cilindro!$B$35)^(Presion_cilindro!$B$17+1)),0),$B$8+(1-$B$8)*(1-EXP(-(Presion_cilindro!N164-$B$15)/Presion_cilindro!$B$23)))</f>
        <v>0</v>
      </c>
      <c r="R165" s="10">
        <f>R164*(Presion_cilindro!O163/Presion_cilindro!O164)^Presion_cilindro!$B$9+10*(Presion_cilindro!$B$9-1)*Presion_cilindro!$B$33*(Q165-Q164)/((Presion_cilindro!O163+Presion_cilindro!O164)/2)</f>
        <v>1.1753839285654213</v>
      </c>
      <c r="S165" s="10">
        <f>R165+IF(AND($B$9=1,Presion_cilindro!N164&gt;$B$15),Presion_cilindro!$B$24*2.5*EXP(-(Presion_cilindro!N164-$B$15)/Presion_cilindro!$B$26)*SIN(2*PI()*(Presion_cilindro!N164-$B$15)/Presion_cilindro!$B$39),0)</f>
        <v>1.1753839285654213</v>
      </c>
      <c r="T165" s="9">
        <f>IF(Presion_cilindro!N164&gt;$B$14,1-EXP(-Presion_cilindro!$B$16*((Presion_cilindro!N164-$B$14)/Presion_cilindro!$B$35)^(Presion_cilindro!$B$17+1)),0)</f>
        <v>0</v>
      </c>
      <c r="U165" s="10">
        <f>U164*(Presion_cilindro!O163/Presion_cilindro!O164)^Presion_cilindro!$B$9+10*(Presion_cilindro!$B$9-1)*Presion_cilindro!$B$33*(T165-T164)/((Presion_cilindro!O163+Presion_cilindro!O164)/2)</f>
        <v>1.1753839285654213</v>
      </c>
    </row>
    <row r="166" spans="14:21" x14ac:dyDescent="0.25">
      <c r="N166" s="8">
        <f>-Presion_cilindro!N165</f>
        <v>99.5</v>
      </c>
      <c r="O166" s="9">
        <f>IF(Presion_cilindro!N165&gt;$B$12,1-EXP(-Presion_cilindro!$B$16*((Presion_cilindro!N165-$B$12)/Presion_cilindro!$B$35)^(Presion_cilindro!$B$17+1)),0)</f>
        <v>0</v>
      </c>
      <c r="P166" s="10">
        <f>P165*(Presion_cilindro!O164/Presion_cilindro!O165)^Presion_cilindro!$B$9+10*(Presion_cilindro!$B$9-1)*Presion_cilindro!$B$33*(O166-O165)/((Presion_cilindro!O164+Presion_cilindro!O165)/2)</f>
        <v>1.1837405602966615</v>
      </c>
      <c r="Q166" s="9">
        <f>IF(OR($B$9=0,Presion_cilindro!N165&lt;=$B$15),IF(Presion_cilindro!N165&gt;$B$13,1-EXP(-Presion_cilindro!$B$16*((Presion_cilindro!N165-$B$13)/Presion_cilindro!$B$35)^(Presion_cilindro!$B$17+1)),0),$B$8+(1-$B$8)*(1-EXP(-(Presion_cilindro!N165-$B$15)/Presion_cilindro!$B$23)))</f>
        <v>0</v>
      </c>
      <c r="R166" s="10">
        <f>R165*(Presion_cilindro!O164/Presion_cilindro!O165)^Presion_cilindro!$B$9+10*(Presion_cilindro!$B$9-1)*Presion_cilindro!$B$33*(Q166-Q165)/((Presion_cilindro!O164+Presion_cilindro!O165)/2)</f>
        <v>1.1837405602966615</v>
      </c>
      <c r="S166" s="10">
        <f>R166+IF(AND($B$9=1,Presion_cilindro!N165&gt;$B$15),Presion_cilindro!$B$24*2.5*EXP(-(Presion_cilindro!N165-$B$15)/Presion_cilindro!$B$26)*SIN(2*PI()*(Presion_cilindro!N165-$B$15)/Presion_cilindro!$B$39),0)</f>
        <v>1.1837405602966615</v>
      </c>
      <c r="T166" s="9">
        <f>IF(Presion_cilindro!N165&gt;$B$14,1-EXP(-Presion_cilindro!$B$16*((Presion_cilindro!N165-$B$14)/Presion_cilindro!$B$35)^(Presion_cilindro!$B$17+1)),0)</f>
        <v>0</v>
      </c>
      <c r="U166" s="10">
        <f>U165*(Presion_cilindro!O164/Presion_cilindro!O165)^Presion_cilindro!$B$9+10*(Presion_cilindro!$B$9-1)*Presion_cilindro!$B$33*(T166-T165)/((Presion_cilindro!O164+Presion_cilindro!O165)/2)</f>
        <v>1.1837405602966615</v>
      </c>
    </row>
    <row r="167" spans="14:21" x14ac:dyDescent="0.25">
      <c r="N167" s="8">
        <f>-Presion_cilindro!N166</f>
        <v>99</v>
      </c>
      <c r="O167" s="9">
        <f>IF(Presion_cilindro!N166&gt;$B$12,1-EXP(-Presion_cilindro!$B$16*((Presion_cilindro!N166-$B$12)/Presion_cilindro!$B$35)^(Presion_cilindro!$B$17+1)),0)</f>
        <v>0</v>
      </c>
      <c r="P167" s="10">
        <f>P166*(Presion_cilindro!O165/Presion_cilindro!O166)^Presion_cilindro!$B$9+10*(Presion_cilindro!$B$9-1)*Presion_cilindro!$B$33*(O167-O166)/((Presion_cilindro!O165+Presion_cilindro!O166)/2)</f>
        <v>1.1922372382529089</v>
      </c>
      <c r="Q167" s="9">
        <f>IF(OR($B$9=0,Presion_cilindro!N166&lt;=$B$15),IF(Presion_cilindro!N166&gt;$B$13,1-EXP(-Presion_cilindro!$B$16*((Presion_cilindro!N166-$B$13)/Presion_cilindro!$B$35)^(Presion_cilindro!$B$17+1)),0),$B$8+(1-$B$8)*(1-EXP(-(Presion_cilindro!N166-$B$15)/Presion_cilindro!$B$23)))</f>
        <v>0</v>
      </c>
      <c r="R167" s="10">
        <f>R166*(Presion_cilindro!O165/Presion_cilindro!O166)^Presion_cilindro!$B$9+10*(Presion_cilindro!$B$9-1)*Presion_cilindro!$B$33*(Q167-Q166)/((Presion_cilindro!O165+Presion_cilindro!O166)/2)</f>
        <v>1.1922372382529089</v>
      </c>
      <c r="S167" s="10">
        <f>R167+IF(AND($B$9=1,Presion_cilindro!N166&gt;$B$15),Presion_cilindro!$B$24*2.5*EXP(-(Presion_cilindro!N166-$B$15)/Presion_cilindro!$B$26)*SIN(2*PI()*(Presion_cilindro!N166-$B$15)/Presion_cilindro!$B$39),0)</f>
        <v>1.1922372382529089</v>
      </c>
      <c r="T167" s="9">
        <f>IF(Presion_cilindro!N166&gt;$B$14,1-EXP(-Presion_cilindro!$B$16*((Presion_cilindro!N166-$B$14)/Presion_cilindro!$B$35)^(Presion_cilindro!$B$17+1)),0)</f>
        <v>0</v>
      </c>
      <c r="U167" s="10">
        <f>U166*(Presion_cilindro!O165/Presion_cilindro!O166)^Presion_cilindro!$B$9+10*(Presion_cilindro!$B$9-1)*Presion_cilindro!$B$33*(T167-T166)/((Presion_cilindro!O165+Presion_cilindro!O166)/2)</f>
        <v>1.1922372382529089</v>
      </c>
    </row>
    <row r="168" spans="14:21" x14ac:dyDescent="0.25">
      <c r="N168" s="8">
        <f>-Presion_cilindro!N167</f>
        <v>98.5</v>
      </c>
      <c r="O168" s="9">
        <f>IF(Presion_cilindro!N167&gt;$B$12,1-EXP(-Presion_cilindro!$B$16*((Presion_cilindro!N167-$B$12)/Presion_cilindro!$B$35)^(Presion_cilindro!$B$17+1)),0)</f>
        <v>0</v>
      </c>
      <c r="P168" s="10">
        <f>P167*(Presion_cilindro!O166/Presion_cilindro!O167)^Presion_cilindro!$B$9+10*(Presion_cilindro!$B$9-1)*Presion_cilindro!$B$33*(O168-O167)/((Presion_cilindro!O166+Presion_cilindro!O167)/2)</f>
        <v>1.2008766401023565</v>
      </c>
      <c r="Q168" s="9">
        <f>IF(OR($B$9=0,Presion_cilindro!N167&lt;=$B$15),IF(Presion_cilindro!N167&gt;$B$13,1-EXP(-Presion_cilindro!$B$16*((Presion_cilindro!N167-$B$13)/Presion_cilindro!$B$35)^(Presion_cilindro!$B$17+1)),0),$B$8+(1-$B$8)*(1-EXP(-(Presion_cilindro!N167-$B$15)/Presion_cilindro!$B$23)))</f>
        <v>0</v>
      </c>
      <c r="R168" s="10">
        <f>R167*(Presion_cilindro!O166/Presion_cilindro!O167)^Presion_cilindro!$B$9+10*(Presion_cilindro!$B$9-1)*Presion_cilindro!$B$33*(Q168-Q167)/((Presion_cilindro!O166+Presion_cilindro!O167)/2)</f>
        <v>1.2008766401023565</v>
      </c>
      <c r="S168" s="10">
        <f>R168+IF(AND($B$9=1,Presion_cilindro!N167&gt;$B$15),Presion_cilindro!$B$24*2.5*EXP(-(Presion_cilindro!N167-$B$15)/Presion_cilindro!$B$26)*SIN(2*PI()*(Presion_cilindro!N167-$B$15)/Presion_cilindro!$B$39),0)</f>
        <v>1.2008766401023565</v>
      </c>
      <c r="T168" s="9">
        <f>IF(Presion_cilindro!N167&gt;$B$14,1-EXP(-Presion_cilindro!$B$16*((Presion_cilindro!N167-$B$14)/Presion_cilindro!$B$35)^(Presion_cilindro!$B$17+1)),0)</f>
        <v>0</v>
      </c>
      <c r="U168" s="10">
        <f>U167*(Presion_cilindro!O166/Presion_cilindro!O167)^Presion_cilindro!$B$9+10*(Presion_cilindro!$B$9-1)*Presion_cilindro!$B$33*(T168-T167)/((Presion_cilindro!O166+Presion_cilindro!O167)/2)</f>
        <v>1.2008766401023565</v>
      </c>
    </row>
    <row r="169" spans="14:21" x14ac:dyDescent="0.25">
      <c r="N169" s="8">
        <f>-Presion_cilindro!N168</f>
        <v>98</v>
      </c>
      <c r="O169" s="9">
        <f>IF(Presion_cilindro!N168&gt;$B$12,1-EXP(-Presion_cilindro!$B$16*((Presion_cilindro!N168-$B$12)/Presion_cilindro!$B$35)^(Presion_cilindro!$B$17+1)),0)</f>
        <v>0</v>
      </c>
      <c r="P169" s="10">
        <f>P168*(Presion_cilindro!O167/Presion_cilindro!O168)^Presion_cilindro!$B$9+10*(Presion_cilindro!$B$9-1)*Presion_cilindro!$B$33*(O169-O168)/((Presion_cilindro!O167+Presion_cilindro!O168)/2)</f>
        <v>1.2096615058587266</v>
      </c>
      <c r="Q169" s="9">
        <f>IF(OR($B$9=0,Presion_cilindro!N168&lt;=$B$15),IF(Presion_cilindro!N168&gt;$B$13,1-EXP(-Presion_cilindro!$B$16*((Presion_cilindro!N168-$B$13)/Presion_cilindro!$B$35)^(Presion_cilindro!$B$17+1)),0),$B$8+(1-$B$8)*(1-EXP(-(Presion_cilindro!N168-$B$15)/Presion_cilindro!$B$23)))</f>
        <v>0</v>
      </c>
      <c r="R169" s="10">
        <f>R168*(Presion_cilindro!O167/Presion_cilindro!O168)^Presion_cilindro!$B$9+10*(Presion_cilindro!$B$9-1)*Presion_cilindro!$B$33*(Q169-Q168)/((Presion_cilindro!O167+Presion_cilindro!O168)/2)</f>
        <v>1.2096615058587266</v>
      </c>
      <c r="S169" s="10">
        <f>R169+IF(AND($B$9=1,Presion_cilindro!N168&gt;$B$15),Presion_cilindro!$B$24*2.5*EXP(-(Presion_cilindro!N168-$B$15)/Presion_cilindro!$B$26)*SIN(2*PI()*(Presion_cilindro!N168-$B$15)/Presion_cilindro!$B$39),0)</f>
        <v>1.2096615058587266</v>
      </c>
      <c r="T169" s="9">
        <f>IF(Presion_cilindro!N168&gt;$B$14,1-EXP(-Presion_cilindro!$B$16*((Presion_cilindro!N168-$B$14)/Presion_cilindro!$B$35)^(Presion_cilindro!$B$17+1)),0)</f>
        <v>0</v>
      </c>
      <c r="U169" s="10">
        <f>U168*(Presion_cilindro!O167/Presion_cilindro!O168)^Presion_cilindro!$B$9+10*(Presion_cilindro!$B$9-1)*Presion_cilindro!$B$33*(T169-T168)/((Presion_cilindro!O167+Presion_cilindro!O168)/2)</f>
        <v>1.2096615058587266</v>
      </c>
    </row>
    <row r="170" spans="14:21" x14ac:dyDescent="0.25">
      <c r="N170" s="8">
        <f>-Presion_cilindro!N169</f>
        <v>97.5</v>
      </c>
      <c r="O170" s="9">
        <f>IF(Presion_cilindro!N169&gt;$B$12,1-EXP(-Presion_cilindro!$B$16*((Presion_cilindro!N169-$B$12)/Presion_cilindro!$B$35)^(Presion_cilindro!$B$17+1)),0)</f>
        <v>0</v>
      </c>
      <c r="P170" s="10">
        <f>P169*(Presion_cilindro!O168/Presion_cilindro!O169)^Presion_cilindro!$B$9+10*(Presion_cilindro!$B$9-1)*Presion_cilindro!$B$33*(O170-O169)/((Presion_cilindro!O168+Presion_cilindro!O169)/2)</f>
        <v>1.2185946395032814</v>
      </c>
      <c r="Q170" s="9">
        <f>IF(OR($B$9=0,Presion_cilindro!N169&lt;=$B$15),IF(Presion_cilindro!N169&gt;$B$13,1-EXP(-Presion_cilindro!$B$16*((Presion_cilindro!N169-$B$13)/Presion_cilindro!$B$35)^(Presion_cilindro!$B$17+1)),0),$B$8+(1-$B$8)*(1-EXP(-(Presion_cilindro!N169-$B$15)/Presion_cilindro!$B$23)))</f>
        <v>0</v>
      </c>
      <c r="R170" s="10">
        <f>R169*(Presion_cilindro!O168/Presion_cilindro!O169)^Presion_cilindro!$B$9+10*(Presion_cilindro!$B$9-1)*Presion_cilindro!$B$33*(Q170-Q169)/((Presion_cilindro!O168+Presion_cilindro!O169)/2)</f>
        <v>1.2185946395032814</v>
      </c>
      <c r="S170" s="10">
        <f>R170+IF(AND($B$9=1,Presion_cilindro!N169&gt;$B$15),Presion_cilindro!$B$24*2.5*EXP(-(Presion_cilindro!N169-$B$15)/Presion_cilindro!$B$26)*SIN(2*PI()*(Presion_cilindro!N169-$B$15)/Presion_cilindro!$B$39),0)</f>
        <v>1.2185946395032814</v>
      </c>
      <c r="T170" s="9">
        <f>IF(Presion_cilindro!N169&gt;$B$14,1-EXP(-Presion_cilindro!$B$16*((Presion_cilindro!N169-$B$14)/Presion_cilindro!$B$35)^(Presion_cilindro!$B$17+1)),0)</f>
        <v>0</v>
      </c>
      <c r="U170" s="10">
        <f>U169*(Presion_cilindro!O168/Presion_cilindro!O169)^Presion_cilindro!$B$9+10*(Presion_cilindro!$B$9-1)*Presion_cilindro!$B$33*(T170-T169)/((Presion_cilindro!O168+Presion_cilindro!O169)/2)</f>
        <v>1.2185946395032814</v>
      </c>
    </row>
    <row r="171" spans="14:21" x14ac:dyDescent="0.25">
      <c r="N171" s="8">
        <f>-Presion_cilindro!N170</f>
        <v>97</v>
      </c>
      <c r="O171" s="9">
        <f>IF(Presion_cilindro!N170&gt;$B$12,1-EXP(-Presion_cilindro!$B$16*((Presion_cilindro!N170-$B$12)/Presion_cilindro!$B$35)^(Presion_cilindro!$B$17+1)),0)</f>
        <v>0</v>
      </c>
      <c r="P171" s="10">
        <f>P170*(Presion_cilindro!O169/Presion_cilindro!O170)^Presion_cilindro!$B$9+10*(Presion_cilindro!$B$9-1)*Presion_cilindro!$B$33*(O171-O170)/((Presion_cilindro!O169+Presion_cilindro!O170)/2)</f>
        <v>1.2276789106531729</v>
      </c>
      <c r="Q171" s="9">
        <f>IF(OR($B$9=0,Presion_cilindro!N170&lt;=$B$15),IF(Presion_cilindro!N170&gt;$B$13,1-EXP(-Presion_cilindro!$B$16*((Presion_cilindro!N170-$B$13)/Presion_cilindro!$B$35)^(Presion_cilindro!$B$17+1)),0),$B$8+(1-$B$8)*(1-EXP(-(Presion_cilindro!N170-$B$15)/Presion_cilindro!$B$23)))</f>
        <v>0</v>
      </c>
      <c r="R171" s="10">
        <f>R170*(Presion_cilindro!O169/Presion_cilindro!O170)^Presion_cilindro!$B$9+10*(Presion_cilindro!$B$9-1)*Presion_cilindro!$B$33*(Q171-Q170)/((Presion_cilindro!O169+Presion_cilindro!O170)/2)</f>
        <v>1.2276789106531729</v>
      </c>
      <c r="S171" s="10">
        <f>R171+IF(AND($B$9=1,Presion_cilindro!N170&gt;$B$15),Presion_cilindro!$B$24*2.5*EXP(-(Presion_cilindro!N170-$B$15)/Presion_cilindro!$B$26)*SIN(2*PI()*(Presion_cilindro!N170-$B$15)/Presion_cilindro!$B$39),0)</f>
        <v>1.2276789106531729</v>
      </c>
      <c r="T171" s="9">
        <f>IF(Presion_cilindro!N170&gt;$B$14,1-EXP(-Presion_cilindro!$B$16*((Presion_cilindro!N170-$B$14)/Presion_cilindro!$B$35)^(Presion_cilindro!$B$17+1)),0)</f>
        <v>0</v>
      </c>
      <c r="U171" s="10">
        <f>U170*(Presion_cilindro!O169/Presion_cilindro!O170)^Presion_cilindro!$B$9+10*(Presion_cilindro!$B$9-1)*Presion_cilindro!$B$33*(T171-T170)/((Presion_cilindro!O169+Presion_cilindro!O170)/2)</f>
        <v>1.2276789106531729</v>
      </c>
    </row>
    <row r="172" spans="14:21" x14ac:dyDescent="0.25">
      <c r="N172" s="8">
        <f>-Presion_cilindro!N171</f>
        <v>96.5</v>
      </c>
      <c r="O172" s="9">
        <f>IF(Presion_cilindro!N171&gt;$B$12,1-EXP(-Presion_cilindro!$B$16*((Presion_cilindro!N171-$B$12)/Presion_cilindro!$B$35)^(Presion_cilindro!$B$17+1)),0)</f>
        <v>0</v>
      </c>
      <c r="P172" s="10">
        <f>P171*(Presion_cilindro!O170/Presion_cilindro!O171)^Presion_cilindro!$B$9+10*(Presion_cilindro!$B$9-1)*Presion_cilindro!$B$33*(O172-O171)/((Presion_cilindro!O170+Presion_cilindro!O171)/2)</f>
        <v>1.2369172562774802</v>
      </c>
      <c r="Q172" s="9">
        <f>IF(OR($B$9=0,Presion_cilindro!N171&lt;=$B$15),IF(Presion_cilindro!N171&gt;$B$13,1-EXP(-Presion_cilindro!$B$16*((Presion_cilindro!N171-$B$13)/Presion_cilindro!$B$35)^(Presion_cilindro!$B$17+1)),0),$B$8+(1-$B$8)*(1-EXP(-(Presion_cilindro!N171-$B$15)/Presion_cilindro!$B$23)))</f>
        <v>0</v>
      </c>
      <c r="R172" s="10">
        <f>R171*(Presion_cilindro!O170/Presion_cilindro!O171)^Presion_cilindro!$B$9+10*(Presion_cilindro!$B$9-1)*Presion_cilindro!$B$33*(Q172-Q171)/((Presion_cilindro!O170+Presion_cilindro!O171)/2)</f>
        <v>1.2369172562774802</v>
      </c>
      <c r="S172" s="10">
        <f>R172+IF(AND($B$9=1,Presion_cilindro!N171&gt;$B$15),Presion_cilindro!$B$24*2.5*EXP(-(Presion_cilindro!N171-$B$15)/Presion_cilindro!$B$26)*SIN(2*PI()*(Presion_cilindro!N171-$B$15)/Presion_cilindro!$B$39),0)</f>
        <v>1.2369172562774802</v>
      </c>
      <c r="T172" s="9">
        <f>IF(Presion_cilindro!N171&gt;$B$14,1-EXP(-Presion_cilindro!$B$16*((Presion_cilindro!N171-$B$14)/Presion_cilindro!$B$35)^(Presion_cilindro!$B$17+1)),0)</f>
        <v>0</v>
      </c>
      <c r="U172" s="10">
        <f>U171*(Presion_cilindro!O170/Presion_cilindro!O171)^Presion_cilindro!$B$9+10*(Presion_cilindro!$B$9-1)*Presion_cilindro!$B$33*(T172-T171)/((Presion_cilindro!O170+Presion_cilindro!O171)/2)</f>
        <v>1.2369172562774802</v>
      </c>
    </row>
    <row r="173" spans="14:21" x14ac:dyDescent="0.25">
      <c r="N173" s="8">
        <f>-Presion_cilindro!N172</f>
        <v>96</v>
      </c>
      <c r="O173" s="9">
        <f>IF(Presion_cilindro!N172&gt;$B$12,1-EXP(-Presion_cilindro!$B$16*((Presion_cilindro!N172-$B$12)/Presion_cilindro!$B$35)^(Presion_cilindro!$B$17+1)),0)</f>
        <v>0</v>
      </c>
      <c r="P173" s="10">
        <f>P172*(Presion_cilindro!O171/Presion_cilindro!O172)^Presion_cilindro!$B$9+10*(Presion_cilindro!$B$9-1)*Presion_cilindro!$B$33*(O173-O172)/((Presion_cilindro!O171+Presion_cilindro!O172)/2)</f>
        <v>1.2463126824623711</v>
      </c>
      <c r="Q173" s="9">
        <f>IF(OR($B$9=0,Presion_cilindro!N172&lt;=$B$15),IF(Presion_cilindro!N172&gt;$B$13,1-EXP(-Presion_cilindro!$B$16*((Presion_cilindro!N172-$B$13)/Presion_cilindro!$B$35)^(Presion_cilindro!$B$17+1)),0),$B$8+(1-$B$8)*(1-EXP(-(Presion_cilindro!N172-$B$15)/Presion_cilindro!$B$23)))</f>
        <v>0</v>
      </c>
      <c r="R173" s="10">
        <f>R172*(Presion_cilindro!O171/Presion_cilindro!O172)^Presion_cilindro!$B$9+10*(Presion_cilindro!$B$9-1)*Presion_cilindro!$B$33*(Q173-Q172)/((Presion_cilindro!O171+Presion_cilindro!O172)/2)</f>
        <v>1.2463126824623711</v>
      </c>
      <c r="S173" s="10">
        <f>R173+IF(AND($B$9=1,Presion_cilindro!N172&gt;$B$15),Presion_cilindro!$B$24*2.5*EXP(-(Presion_cilindro!N172-$B$15)/Presion_cilindro!$B$26)*SIN(2*PI()*(Presion_cilindro!N172-$B$15)/Presion_cilindro!$B$39),0)</f>
        <v>1.2463126824623711</v>
      </c>
      <c r="T173" s="9">
        <f>IF(Presion_cilindro!N172&gt;$B$14,1-EXP(-Presion_cilindro!$B$16*((Presion_cilindro!N172-$B$14)/Presion_cilindro!$B$35)^(Presion_cilindro!$B$17+1)),0)</f>
        <v>0</v>
      </c>
      <c r="U173" s="10">
        <f>U172*(Presion_cilindro!O171/Presion_cilindro!O172)^Presion_cilindro!$B$9+10*(Presion_cilindro!$B$9-1)*Presion_cilindro!$B$33*(T173-T172)/((Presion_cilindro!O171+Presion_cilindro!O172)/2)</f>
        <v>1.2463126824623711</v>
      </c>
    </row>
    <row r="174" spans="14:21" x14ac:dyDescent="0.25">
      <c r="N174" s="8">
        <f>-Presion_cilindro!N173</f>
        <v>95.5</v>
      </c>
      <c r="O174" s="9">
        <f>IF(Presion_cilindro!N173&gt;$B$12,1-EXP(-Presion_cilindro!$B$16*((Presion_cilindro!N173-$B$12)/Presion_cilindro!$B$35)^(Presion_cilindro!$B$17+1)),0)</f>
        <v>0</v>
      </c>
      <c r="P174" s="10">
        <f>P173*(Presion_cilindro!O172/Presion_cilindro!O173)^Presion_cilindro!$B$9+10*(Presion_cilindro!$B$9-1)*Presion_cilindro!$B$33*(O174-O173)/((Presion_cilindro!O172+Presion_cilindro!O173)/2)</f>
        <v>1.2558682662267955</v>
      </c>
      <c r="Q174" s="9">
        <f>IF(OR($B$9=0,Presion_cilindro!N173&lt;=$B$15),IF(Presion_cilindro!N173&gt;$B$13,1-EXP(-Presion_cilindro!$B$16*((Presion_cilindro!N173-$B$13)/Presion_cilindro!$B$35)^(Presion_cilindro!$B$17+1)),0),$B$8+(1-$B$8)*(1-EXP(-(Presion_cilindro!N173-$B$15)/Presion_cilindro!$B$23)))</f>
        <v>0</v>
      </c>
      <c r="R174" s="10">
        <f>R173*(Presion_cilindro!O172/Presion_cilindro!O173)^Presion_cilindro!$B$9+10*(Presion_cilindro!$B$9-1)*Presion_cilindro!$B$33*(Q174-Q173)/((Presion_cilindro!O172+Presion_cilindro!O173)/2)</f>
        <v>1.2558682662267955</v>
      </c>
      <c r="S174" s="10">
        <f>R174+IF(AND($B$9=1,Presion_cilindro!N173&gt;$B$15),Presion_cilindro!$B$24*2.5*EXP(-(Presion_cilindro!N173-$B$15)/Presion_cilindro!$B$26)*SIN(2*PI()*(Presion_cilindro!N173-$B$15)/Presion_cilindro!$B$39),0)</f>
        <v>1.2558682662267955</v>
      </c>
      <c r="T174" s="9">
        <f>IF(Presion_cilindro!N173&gt;$B$14,1-EXP(-Presion_cilindro!$B$16*((Presion_cilindro!N173-$B$14)/Presion_cilindro!$B$35)^(Presion_cilindro!$B$17+1)),0)</f>
        <v>0</v>
      </c>
      <c r="U174" s="10">
        <f>U173*(Presion_cilindro!O172/Presion_cilindro!O173)^Presion_cilindro!$B$9+10*(Presion_cilindro!$B$9-1)*Presion_cilindro!$B$33*(T174-T173)/((Presion_cilindro!O172+Presion_cilindro!O173)/2)</f>
        <v>1.2558682662267955</v>
      </c>
    </row>
    <row r="175" spans="14:21" x14ac:dyDescent="0.25">
      <c r="N175" s="8">
        <f>-Presion_cilindro!N174</f>
        <v>95</v>
      </c>
      <c r="O175" s="9">
        <f>IF(Presion_cilindro!N174&gt;$B$12,1-EXP(-Presion_cilindro!$B$16*((Presion_cilindro!N174-$B$12)/Presion_cilindro!$B$35)^(Presion_cilindro!$B$17+1)),0)</f>
        <v>0</v>
      </c>
      <c r="P175" s="10">
        <f>P174*(Presion_cilindro!O173/Presion_cilindro!O174)^Presion_cilindro!$B$9+10*(Presion_cilindro!$B$9-1)*Presion_cilindro!$B$33*(O175-O174)/((Presion_cilindro!O173+Presion_cilindro!O174)/2)</f>
        <v>1.2655871573902115</v>
      </c>
      <c r="Q175" s="9">
        <f>IF(OR($B$9=0,Presion_cilindro!N174&lt;=$B$15),IF(Presion_cilindro!N174&gt;$B$13,1-EXP(-Presion_cilindro!$B$16*((Presion_cilindro!N174-$B$13)/Presion_cilindro!$B$35)^(Presion_cilindro!$B$17+1)),0),$B$8+(1-$B$8)*(1-EXP(-(Presion_cilindro!N174-$B$15)/Presion_cilindro!$B$23)))</f>
        <v>0</v>
      </c>
      <c r="R175" s="10">
        <f>R174*(Presion_cilindro!O173/Presion_cilindro!O174)^Presion_cilindro!$B$9+10*(Presion_cilindro!$B$9-1)*Presion_cilindro!$B$33*(Q175-Q174)/((Presion_cilindro!O173+Presion_cilindro!O174)/2)</f>
        <v>1.2655871573902115</v>
      </c>
      <c r="S175" s="10">
        <f>R175+IF(AND($B$9=1,Presion_cilindro!N174&gt;$B$15),Presion_cilindro!$B$24*2.5*EXP(-(Presion_cilindro!N174-$B$15)/Presion_cilindro!$B$26)*SIN(2*PI()*(Presion_cilindro!N174-$B$15)/Presion_cilindro!$B$39),0)</f>
        <v>1.2655871573902115</v>
      </c>
      <c r="T175" s="9">
        <f>IF(Presion_cilindro!N174&gt;$B$14,1-EXP(-Presion_cilindro!$B$16*((Presion_cilindro!N174-$B$14)/Presion_cilindro!$B$35)^(Presion_cilindro!$B$17+1)),0)</f>
        <v>0</v>
      </c>
      <c r="U175" s="10">
        <f>U174*(Presion_cilindro!O173/Presion_cilindro!O174)^Presion_cilindro!$B$9+10*(Presion_cilindro!$B$9-1)*Presion_cilindro!$B$33*(T175-T174)/((Presion_cilindro!O173+Presion_cilindro!O174)/2)</f>
        <v>1.2655871573902115</v>
      </c>
    </row>
    <row r="176" spans="14:21" x14ac:dyDescent="0.25">
      <c r="N176" s="8">
        <f>-Presion_cilindro!N175</f>
        <v>94.5</v>
      </c>
      <c r="O176" s="9">
        <f>IF(Presion_cilindro!N175&gt;$B$12,1-EXP(-Presion_cilindro!$B$16*((Presion_cilindro!N175-$B$12)/Presion_cilindro!$B$35)^(Presion_cilindro!$B$17+1)),0)</f>
        <v>0</v>
      </c>
      <c r="P176" s="10">
        <f>P175*(Presion_cilindro!O174/Presion_cilindro!O175)^Presion_cilindro!$B$9+10*(Presion_cilindro!$B$9-1)*Presion_cilindro!$B$33*(O176-O175)/((Presion_cilindro!O174+Presion_cilindro!O175)/2)</f>
        <v>1.2754725804938731</v>
      </c>
      <c r="Q176" s="9">
        <f>IF(OR($B$9=0,Presion_cilindro!N175&lt;=$B$15),IF(Presion_cilindro!N175&gt;$B$13,1-EXP(-Presion_cilindro!$B$16*((Presion_cilindro!N175-$B$13)/Presion_cilindro!$B$35)^(Presion_cilindro!$B$17+1)),0),$B$8+(1-$B$8)*(1-EXP(-(Presion_cilindro!N175-$B$15)/Presion_cilindro!$B$23)))</f>
        <v>0</v>
      </c>
      <c r="R176" s="10">
        <f>R175*(Presion_cilindro!O174/Presion_cilindro!O175)^Presion_cilindro!$B$9+10*(Presion_cilindro!$B$9-1)*Presion_cilindro!$B$33*(Q176-Q175)/((Presion_cilindro!O174+Presion_cilindro!O175)/2)</f>
        <v>1.2754725804938731</v>
      </c>
      <c r="S176" s="10">
        <f>R176+IF(AND($B$9=1,Presion_cilindro!N175&gt;$B$15),Presion_cilindro!$B$24*2.5*EXP(-(Presion_cilindro!N175-$B$15)/Presion_cilindro!$B$26)*SIN(2*PI()*(Presion_cilindro!N175-$B$15)/Presion_cilindro!$B$39),0)</f>
        <v>1.2754725804938731</v>
      </c>
      <c r="T176" s="9">
        <f>IF(Presion_cilindro!N175&gt;$B$14,1-EXP(-Presion_cilindro!$B$16*((Presion_cilindro!N175-$B$14)/Presion_cilindro!$B$35)^(Presion_cilindro!$B$17+1)),0)</f>
        <v>0</v>
      </c>
      <c r="U176" s="10">
        <f>U175*(Presion_cilindro!O174/Presion_cilindro!O175)^Presion_cilindro!$B$9+10*(Presion_cilindro!$B$9-1)*Presion_cilindro!$B$33*(T176-T175)/((Presion_cilindro!O174+Presion_cilindro!O175)/2)</f>
        <v>1.2754725804938731</v>
      </c>
    </row>
    <row r="177" spans="14:21" x14ac:dyDescent="0.25">
      <c r="N177" s="8">
        <f>-Presion_cilindro!N176</f>
        <v>94</v>
      </c>
      <c r="O177" s="9">
        <f>IF(Presion_cilindro!N176&gt;$B$12,1-EXP(-Presion_cilindro!$B$16*((Presion_cilindro!N176-$B$12)/Presion_cilindro!$B$35)^(Presion_cilindro!$B$17+1)),0)</f>
        <v>0</v>
      </c>
      <c r="P177" s="10">
        <f>P176*(Presion_cilindro!O175/Presion_cilindro!O176)^Presion_cilindro!$B$9+10*(Presion_cilindro!$B$9-1)*Presion_cilindro!$B$33*(O177-O176)/((Presion_cilindro!O175+Presion_cilindro!O176)/2)</f>
        <v>1.2855278367772223</v>
      </c>
      <c r="Q177" s="9">
        <f>IF(OR($B$9=0,Presion_cilindro!N176&lt;=$B$15),IF(Presion_cilindro!N176&gt;$B$13,1-EXP(-Presion_cilindro!$B$16*((Presion_cilindro!N176-$B$13)/Presion_cilindro!$B$35)^(Presion_cilindro!$B$17+1)),0),$B$8+(1-$B$8)*(1-EXP(-(Presion_cilindro!N176-$B$15)/Presion_cilindro!$B$23)))</f>
        <v>0</v>
      </c>
      <c r="R177" s="10">
        <f>R176*(Presion_cilindro!O175/Presion_cilindro!O176)^Presion_cilindro!$B$9+10*(Presion_cilindro!$B$9-1)*Presion_cilindro!$B$33*(Q177-Q176)/((Presion_cilindro!O175+Presion_cilindro!O176)/2)</f>
        <v>1.2855278367772223</v>
      </c>
      <c r="S177" s="10">
        <f>R177+IF(AND($B$9=1,Presion_cilindro!N176&gt;$B$15),Presion_cilindro!$B$24*2.5*EXP(-(Presion_cilindro!N176-$B$15)/Presion_cilindro!$B$26)*SIN(2*PI()*(Presion_cilindro!N176-$B$15)/Presion_cilindro!$B$39),0)</f>
        <v>1.2855278367772223</v>
      </c>
      <c r="T177" s="9">
        <f>IF(Presion_cilindro!N176&gt;$B$14,1-EXP(-Presion_cilindro!$B$16*((Presion_cilindro!N176-$B$14)/Presion_cilindro!$B$35)^(Presion_cilindro!$B$17+1)),0)</f>
        <v>0</v>
      </c>
      <c r="U177" s="10">
        <f>U176*(Presion_cilindro!O175/Presion_cilindro!O176)^Presion_cilindro!$B$9+10*(Presion_cilindro!$B$9-1)*Presion_cilindro!$B$33*(T177-T176)/((Presion_cilindro!O175+Presion_cilindro!O176)/2)</f>
        <v>1.2855278367772223</v>
      </c>
    </row>
    <row r="178" spans="14:21" x14ac:dyDescent="0.25">
      <c r="N178" s="8">
        <f>-Presion_cilindro!N177</f>
        <v>93.5</v>
      </c>
      <c r="O178" s="9">
        <f>IF(Presion_cilindro!N177&gt;$B$12,1-EXP(-Presion_cilindro!$B$16*((Presion_cilindro!N177-$B$12)/Presion_cilindro!$B$35)^(Presion_cilindro!$B$17+1)),0)</f>
        <v>0</v>
      </c>
      <c r="P178" s="10">
        <f>P177*(Presion_cilindro!O176/Presion_cilindro!O177)^Presion_cilindro!$B$9+10*(Presion_cilindro!$B$9-1)*Presion_cilindro!$B$33*(O178-O177)/((Presion_cilindro!O176+Presion_cilindro!O177)/2)</f>
        <v>1.2957563062110165</v>
      </c>
      <c r="Q178" s="9">
        <f>IF(OR($B$9=0,Presion_cilindro!N177&lt;=$B$15),IF(Presion_cilindro!N177&gt;$B$13,1-EXP(-Presion_cilindro!$B$16*((Presion_cilindro!N177-$B$13)/Presion_cilindro!$B$35)^(Presion_cilindro!$B$17+1)),0),$B$8+(1-$B$8)*(1-EXP(-(Presion_cilindro!N177-$B$15)/Presion_cilindro!$B$23)))</f>
        <v>0</v>
      </c>
      <c r="R178" s="10">
        <f>R177*(Presion_cilindro!O176/Presion_cilindro!O177)^Presion_cilindro!$B$9+10*(Presion_cilindro!$B$9-1)*Presion_cilindro!$B$33*(Q178-Q177)/((Presion_cilindro!O176+Presion_cilindro!O177)/2)</f>
        <v>1.2957563062110165</v>
      </c>
      <c r="S178" s="10">
        <f>R178+IF(AND($B$9=1,Presion_cilindro!N177&gt;$B$15),Presion_cilindro!$B$24*2.5*EXP(-(Presion_cilindro!N177-$B$15)/Presion_cilindro!$B$26)*SIN(2*PI()*(Presion_cilindro!N177-$B$15)/Presion_cilindro!$B$39),0)</f>
        <v>1.2957563062110165</v>
      </c>
      <c r="T178" s="9">
        <f>IF(Presion_cilindro!N177&gt;$B$14,1-EXP(-Presion_cilindro!$B$16*((Presion_cilindro!N177-$B$14)/Presion_cilindro!$B$35)^(Presion_cilindro!$B$17+1)),0)</f>
        <v>0</v>
      </c>
      <c r="U178" s="10">
        <f>U177*(Presion_cilindro!O176/Presion_cilindro!O177)^Presion_cilindro!$B$9+10*(Presion_cilindro!$B$9-1)*Presion_cilindro!$B$33*(T178-T177)/((Presion_cilindro!O176+Presion_cilindro!O177)/2)</f>
        <v>1.2957563062110165</v>
      </c>
    </row>
    <row r="179" spans="14:21" x14ac:dyDescent="0.25">
      <c r="N179" s="8">
        <f>-Presion_cilindro!N178</f>
        <v>93</v>
      </c>
      <c r="O179" s="9">
        <f>IF(Presion_cilindro!N178&gt;$B$12,1-EXP(-Presion_cilindro!$B$16*((Presion_cilindro!N178-$B$12)/Presion_cilindro!$B$35)^(Presion_cilindro!$B$17+1)),0)</f>
        <v>0</v>
      </c>
      <c r="P179" s="10">
        <f>P178*(Presion_cilindro!O177/Presion_cilindro!O178)^Presion_cilindro!$B$9+10*(Presion_cilindro!$B$9-1)*Presion_cilindro!$B$33*(O179-O178)/((Presion_cilindro!O177+Presion_cilindro!O178)/2)</f>
        <v>1.3061614495888143</v>
      </c>
      <c r="Q179" s="9">
        <f>IF(OR($B$9=0,Presion_cilindro!N178&lt;=$B$15),IF(Presion_cilindro!N178&gt;$B$13,1-EXP(-Presion_cilindro!$B$16*((Presion_cilindro!N178-$B$13)/Presion_cilindro!$B$35)^(Presion_cilindro!$B$17+1)),0),$B$8+(1-$B$8)*(1-EXP(-(Presion_cilindro!N178-$B$15)/Presion_cilindro!$B$23)))</f>
        <v>0</v>
      </c>
      <c r="R179" s="10">
        <f>R178*(Presion_cilindro!O177/Presion_cilindro!O178)^Presion_cilindro!$B$9+10*(Presion_cilindro!$B$9-1)*Presion_cilindro!$B$33*(Q179-Q178)/((Presion_cilindro!O177+Presion_cilindro!O178)/2)</f>
        <v>1.3061614495888143</v>
      </c>
      <c r="S179" s="10">
        <f>R179+IF(AND($B$9=1,Presion_cilindro!N178&gt;$B$15),Presion_cilindro!$B$24*2.5*EXP(-(Presion_cilindro!N178-$B$15)/Presion_cilindro!$B$26)*SIN(2*PI()*(Presion_cilindro!N178-$B$15)/Presion_cilindro!$B$39),0)</f>
        <v>1.3061614495888143</v>
      </c>
      <c r="T179" s="9">
        <f>IF(Presion_cilindro!N178&gt;$B$14,1-EXP(-Presion_cilindro!$B$16*((Presion_cilindro!N178-$B$14)/Presion_cilindro!$B$35)^(Presion_cilindro!$B$17+1)),0)</f>
        <v>0</v>
      </c>
      <c r="U179" s="10">
        <f>U178*(Presion_cilindro!O177/Presion_cilindro!O178)^Presion_cilindro!$B$9+10*(Presion_cilindro!$B$9-1)*Presion_cilindro!$B$33*(T179-T178)/((Presion_cilindro!O177+Presion_cilindro!O178)/2)</f>
        <v>1.3061614495888143</v>
      </c>
    </row>
    <row r="180" spans="14:21" x14ac:dyDescent="0.25">
      <c r="N180" s="8">
        <f>-Presion_cilindro!N179</f>
        <v>92.5</v>
      </c>
      <c r="O180" s="9">
        <f>IF(Presion_cilindro!N179&gt;$B$12,1-EXP(-Presion_cilindro!$B$16*((Presion_cilindro!N179-$B$12)/Presion_cilindro!$B$35)^(Presion_cilindro!$B$17+1)),0)</f>
        <v>0</v>
      </c>
      <c r="P180" s="10">
        <f>P179*(Presion_cilindro!O178/Presion_cilindro!O179)^Presion_cilindro!$B$9+10*(Presion_cilindro!$B$9-1)*Presion_cilindro!$B$33*(O180-O179)/((Presion_cilindro!O178+Presion_cilindro!O179)/2)</f>
        <v>1.3167468106785296</v>
      </c>
      <c r="Q180" s="9">
        <f>IF(OR($B$9=0,Presion_cilindro!N179&lt;=$B$15),IF(Presion_cilindro!N179&gt;$B$13,1-EXP(-Presion_cilindro!$B$16*((Presion_cilindro!N179-$B$13)/Presion_cilindro!$B$35)^(Presion_cilindro!$B$17+1)),0),$B$8+(1-$B$8)*(1-EXP(-(Presion_cilindro!N179-$B$15)/Presion_cilindro!$B$23)))</f>
        <v>0</v>
      </c>
      <c r="R180" s="10">
        <f>R179*(Presion_cilindro!O178/Presion_cilindro!O179)^Presion_cilindro!$B$9+10*(Presion_cilindro!$B$9-1)*Presion_cilindro!$B$33*(Q180-Q179)/((Presion_cilindro!O178+Presion_cilindro!O179)/2)</f>
        <v>1.3167468106785296</v>
      </c>
      <c r="S180" s="10">
        <f>R180+IF(AND($B$9=1,Presion_cilindro!N179&gt;$B$15),Presion_cilindro!$B$24*2.5*EXP(-(Presion_cilindro!N179-$B$15)/Presion_cilindro!$B$26)*SIN(2*PI()*(Presion_cilindro!N179-$B$15)/Presion_cilindro!$B$39),0)</f>
        <v>1.3167468106785296</v>
      </c>
      <c r="T180" s="9">
        <f>IF(Presion_cilindro!N179&gt;$B$14,1-EXP(-Presion_cilindro!$B$16*((Presion_cilindro!N179-$B$14)/Presion_cilindro!$B$35)^(Presion_cilindro!$B$17+1)),0)</f>
        <v>0</v>
      </c>
      <c r="U180" s="10">
        <f>U179*(Presion_cilindro!O178/Presion_cilindro!O179)^Presion_cilindro!$B$9+10*(Presion_cilindro!$B$9-1)*Presion_cilindro!$B$33*(T180-T179)/((Presion_cilindro!O178+Presion_cilindro!O179)/2)</f>
        <v>1.3167468106785296</v>
      </c>
    </row>
    <row r="181" spans="14:21" x14ac:dyDescent="0.25">
      <c r="N181" s="8">
        <f>-Presion_cilindro!N180</f>
        <v>92</v>
      </c>
      <c r="O181" s="9">
        <f>IF(Presion_cilindro!N180&gt;$B$12,1-EXP(-Presion_cilindro!$B$16*((Presion_cilindro!N180-$B$12)/Presion_cilindro!$B$35)^(Presion_cilindro!$B$17+1)),0)</f>
        <v>0</v>
      </c>
      <c r="P181" s="10">
        <f>P180*(Presion_cilindro!O179/Presion_cilindro!O180)^Presion_cilindro!$B$9+10*(Presion_cilindro!$B$9-1)*Presion_cilindro!$B$33*(O181-O180)/((Presion_cilindro!O179+Presion_cilindro!O180)/2)</f>
        <v>1.327516018435787</v>
      </c>
      <c r="Q181" s="9">
        <f>IF(OR($B$9=0,Presion_cilindro!N180&lt;=$B$15),IF(Presion_cilindro!N180&gt;$B$13,1-EXP(-Presion_cilindro!$B$16*((Presion_cilindro!N180-$B$13)/Presion_cilindro!$B$35)^(Presion_cilindro!$B$17+1)),0),$B$8+(1-$B$8)*(1-EXP(-(Presion_cilindro!N180-$B$15)/Presion_cilindro!$B$23)))</f>
        <v>0</v>
      </c>
      <c r="R181" s="10">
        <f>R180*(Presion_cilindro!O179/Presion_cilindro!O180)^Presion_cilindro!$B$9+10*(Presion_cilindro!$B$9-1)*Presion_cilindro!$B$33*(Q181-Q180)/((Presion_cilindro!O179+Presion_cilindro!O180)/2)</f>
        <v>1.327516018435787</v>
      </c>
      <c r="S181" s="10">
        <f>R181+IF(AND($B$9=1,Presion_cilindro!N180&gt;$B$15),Presion_cilindro!$B$24*2.5*EXP(-(Presion_cilindro!N180-$B$15)/Presion_cilindro!$B$26)*SIN(2*PI()*(Presion_cilindro!N180-$B$15)/Presion_cilindro!$B$39),0)</f>
        <v>1.327516018435787</v>
      </c>
      <c r="T181" s="9">
        <f>IF(Presion_cilindro!N180&gt;$B$14,1-EXP(-Presion_cilindro!$B$16*((Presion_cilindro!N180-$B$14)/Presion_cilindro!$B$35)^(Presion_cilindro!$B$17+1)),0)</f>
        <v>0</v>
      </c>
      <c r="U181" s="10">
        <f>U180*(Presion_cilindro!O179/Presion_cilindro!O180)^Presion_cilindro!$B$9+10*(Presion_cilindro!$B$9-1)*Presion_cilindro!$B$33*(T181-T180)/((Presion_cilindro!O179+Presion_cilindro!O180)/2)</f>
        <v>1.327516018435787</v>
      </c>
    </row>
    <row r="182" spans="14:21" x14ac:dyDescent="0.25">
      <c r="N182" s="8">
        <f>-Presion_cilindro!N181</f>
        <v>91.5</v>
      </c>
      <c r="O182" s="9">
        <f>IF(Presion_cilindro!N181&gt;$B$12,1-EXP(-Presion_cilindro!$B$16*((Presion_cilindro!N181-$B$12)/Presion_cilindro!$B$35)^(Presion_cilindro!$B$17+1)),0)</f>
        <v>0</v>
      </c>
      <c r="P182" s="10">
        <f>P181*(Presion_cilindro!O180/Presion_cilindro!O181)^Presion_cilindro!$B$9+10*(Presion_cilindro!$B$9-1)*Presion_cilindro!$B$33*(O182-O181)/((Presion_cilindro!O180+Presion_cilindro!O181)/2)</f>
        <v>1.3384727892808423</v>
      </c>
      <c r="Q182" s="9">
        <f>IF(OR($B$9=0,Presion_cilindro!N181&lt;=$B$15),IF(Presion_cilindro!N181&gt;$B$13,1-EXP(-Presion_cilindro!$B$16*((Presion_cilindro!N181-$B$13)/Presion_cilindro!$B$35)^(Presion_cilindro!$B$17+1)),0),$B$8+(1-$B$8)*(1-EXP(-(Presion_cilindro!N181-$B$15)/Presion_cilindro!$B$23)))</f>
        <v>0</v>
      </c>
      <c r="R182" s="10">
        <f>R181*(Presion_cilindro!O180/Presion_cilindro!O181)^Presion_cilindro!$B$9+10*(Presion_cilindro!$B$9-1)*Presion_cilindro!$B$33*(Q182-Q181)/((Presion_cilindro!O180+Presion_cilindro!O181)/2)</f>
        <v>1.3384727892808423</v>
      </c>
      <c r="S182" s="10">
        <f>R182+IF(AND($B$9=1,Presion_cilindro!N181&gt;$B$15),Presion_cilindro!$B$24*2.5*EXP(-(Presion_cilindro!N181-$B$15)/Presion_cilindro!$B$26)*SIN(2*PI()*(Presion_cilindro!N181-$B$15)/Presion_cilindro!$B$39),0)</f>
        <v>1.3384727892808423</v>
      </c>
      <c r="T182" s="9">
        <f>IF(Presion_cilindro!N181&gt;$B$14,1-EXP(-Presion_cilindro!$B$16*((Presion_cilindro!N181-$B$14)/Presion_cilindro!$B$35)^(Presion_cilindro!$B$17+1)),0)</f>
        <v>0</v>
      </c>
      <c r="U182" s="10">
        <f>U181*(Presion_cilindro!O180/Presion_cilindro!O181)^Presion_cilindro!$B$9+10*(Presion_cilindro!$B$9-1)*Presion_cilindro!$B$33*(T182-T181)/((Presion_cilindro!O180+Presion_cilindro!O181)/2)</f>
        <v>1.3384727892808423</v>
      </c>
    </row>
    <row r="183" spans="14:21" x14ac:dyDescent="0.25">
      <c r="N183" s="8">
        <f>-Presion_cilindro!N182</f>
        <v>91</v>
      </c>
      <c r="O183" s="9">
        <f>IF(Presion_cilindro!N182&gt;$B$12,1-EXP(-Presion_cilindro!$B$16*((Presion_cilindro!N182-$B$12)/Presion_cilindro!$B$35)^(Presion_cilindro!$B$17+1)),0)</f>
        <v>0</v>
      </c>
      <c r="P183" s="10">
        <f>P182*(Presion_cilindro!O181/Presion_cilindro!O182)^Presion_cilindro!$B$9+10*(Presion_cilindro!$B$9-1)*Presion_cilindro!$B$33*(O183-O182)/((Presion_cilindro!O181+Presion_cilindro!O182)/2)</f>
        <v>1.3496209294409049</v>
      </c>
      <c r="Q183" s="9">
        <f>IF(OR($B$9=0,Presion_cilindro!N182&lt;=$B$15),IF(Presion_cilindro!N182&gt;$B$13,1-EXP(-Presion_cilindro!$B$16*((Presion_cilindro!N182-$B$13)/Presion_cilindro!$B$35)^(Presion_cilindro!$B$17+1)),0),$B$8+(1-$B$8)*(1-EXP(-(Presion_cilindro!N182-$B$15)/Presion_cilindro!$B$23)))</f>
        <v>0</v>
      </c>
      <c r="R183" s="10">
        <f>R182*(Presion_cilindro!O181/Presion_cilindro!O182)^Presion_cilindro!$B$9+10*(Presion_cilindro!$B$9-1)*Presion_cilindro!$B$33*(Q183-Q182)/((Presion_cilindro!O181+Presion_cilindro!O182)/2)</f>
        <v>1.3496209294409049</v>
      </c>
      <c r="S183" s="10">
        <f>R183+IF(AND($B$9=1,Presion_cilindro!N182&gt;$B$15),Presion_cilindro!$B$24*2.5*EXP(-(Presion_cilindro!N182-$B$15)/Presion_cilindro!$B$26)*SIN(2*PI()*(Presion_cilindro!N182-$B$15)/Presion_cilindro!$B$39),0)</f>
        <v>1.3496209294409049</v>
      </c>
      <c r="T183" s="9">
        <f>IF(Presion_cilindro!N182&gt;$B$14,1-EXP(-Presion_cilindro!$B$16*((Presion_cilindro!N182-$B$14)/Presion_cilindro!$B$35)^(Presion_cilindro!$B$17+1)),0)</f>
        <v>0</v>
      </c>
      <c r="U183" s="10">
        <f>U182*(Presion_cilindro!O181/Presion_cilindro!O182)^Presion_cilindro!$B$9+10*(Presion_cilindro!$B$9-1)*Presion_cilindro!$B$33*(T183-T182)/((Presion_cilindro!O181+Presion_cilindro!O182)/2)</f>
        <v>1.3496209294409049</v>
      </c>
    </row>
    <row r="184" spans="14:21" x14ac:dyDescent="0.25">
      <c r="N184" s="8">
        <f>-Presion_cilindro!N183</f>
        <v>90.5</v>
      </c>
      <c r="O184" s="9">
        <f>IF(Presion_cilindro!N183&gt;$B$12,1-EXP(-Presion_cilindro!$B$16*((Presion_cilindro!N183-$B$12)/Presion_cilindro!$B$35)^(Presion_cilindro!$B$17+1)),0)</f>
        <v>0</v>
      </c>
      <c r="P184" s="10">
        <f>P183*(Presion_cilindro!O182/Presion_cilindro!O183)^Presion_cilindro!$B$9+10*(Presion_cilindro!$B$9-1)*Presion_cilindro!$B$33*(O184-O183)/((Presion_cilindro!O182+Presion_cilindro!O183)/2)</f>
        <v>1.3609643373597347</v>
      </c>
      <c r="Q184" s="9">
        <f>IF(OR($B$9=0,Presion_cilindro!N183&lt;=$B$15),IF(Presion_cilindro!N183&gt;$B$13,1-EXP(-Presion_cilindro!$B$16*((Presion_cilindro!N183-$B$13)/Presion_cilindro!$B$35)^(Presion_cilindro!$B$17+1)),0),$B$8+(1-$B$8)*(1-EXP(-(Presion_cilindro!N183-$B$15)/Presion_cilindro!$B$23)))</f>
        <v>0</v>
      </c>
      <c r="R184" s="10">
        <f>R183*(Presion_cilindro!O182/Presion_cilindro!O183)^Presion_cilindro!$B$9+10*(Presion_cilindro!$B$9-1)*Presion_cilindro!$B$33*(Q184-Q183)/((Presion_cilindro!O182+Presion_cilindro!O183)/2)</f>
        <v>1.3609643373597347</v>
      </c>
      <c r="S184" s="10">
        <f>R184+IF(AND($B$9=1,Presion_cilindro!N183&gt;$B$15),Presion_cilindro!$B$24*2.5*EXP(-(Presion_cilindro!N183-$B$15)/Presion_cilindro!$B$26)*SIN(2*PI()*(Presion_cilindro!N183-$B$15)/Presion_cilindro!$B$39),0)</f>
        <v>1.3609643373597347</v>
      </c>
      <c r="T184" s="9">
        <f>IF(Presion_cilindro!N183&gt;$B$14,1-EXP(-Presion_cilindro!$B$16*((Presion_cilindro!N183-$B$14)/Presion_cilindro!$B$35)^(Presion_cilindro!$B$17+1)),0)</f>
        <v>0</v>
      </c>
      <c r="U184" s="10">
        <f>U183*(Presion_cilindro!O182/Presion_cilindro!O183)^Presion_cilindro!$B$9+10*(Presion_cilindro!$B$9-1)*Presion_cilindro!$B$33*(T184-T183)/((Presion_cilindro!O182+Presion_cilindro!O183)/2)</f>
        <v>1.3609643373597347</v>
      </c>
    </row>
    <row r="185" spans="14:21" x14ac:dyDescent="0.25">
      <c r="N185" s="8">
        <f>-Presion_cilindro!N184</f>
        <v>90</v>
      </c>
      <c r="O185" s="9">
        <f>IF(Presion_cilindro!N184&gt;$B$12,1-EXP(-Presion_cilindro!$B$16*((Presion_cilindro!N184-$B$12)/Presion_cilindro!$B$35)^(Presion_cilindro!$B$17+1)),0)</f>
        <v>0</v>
      </c>
      <c r="P185" s="10">
        <f>P184*(Presion_cilindro!O183/Presion_cilindro!O184)^Presion_cilindro!$B$9+10*(Presion_cilindro!$B$9-1)*Presion_cilindro!$B$33*(O185-O184)/((Presion_cilindro!O183+Presion_cilindro!O184)/2)</f>
        <v>1.3725070061763995</v>
      </c>
      <c r="Q185" s="9">
        <f>IF(OR($B$9=0,Presion_cilindro!N184&lt;=$B$15),IF(Presion_cilindro!N184&gt;$B$13,1-EXP(-Presion_cilindro!$B$16*((Presion_cilindro!N184-$B$13)/Presion_cilindro!$B$35)^(Presion_cilindro!$B$17+1)),0),$B$8+(1-$B$8)*(1-EXP(-(Presion_cilindro!N184-$B$15)/Presion_cilindro!$B$23)))</f>
        <v>0</v>
      </c>
      <c r="R185" s="10">
        <f>R184*(Presion_cilindro!O183/Presion_cilindro!O184)^Presion_cilindro!$B$9+10*(Presion_cilindro!$B$9-1)*Presion_cilindro!$B$33*(Q185-Q184)/((Presion_cilindro!O183+Presion_cilindro!O184)/2)</f>
        <v>1.3725070061763995</v>
      </c>
      <c r="S185" s="10">
        <f>R185+IF(AND($B$9=1,Presion_cilindro!N184&gt;$B$15),Presion_cilindro!$B$24*2.5*EXP(-(Presion_cilindro!N184-$B$15)/Presion_cilindro!$B$26)*SIN(2*PI()*(Presion_cilindro!N184-$B$15)/Presion_cilindro!$B$39),0)</f>
        <v>1.3725070061763995</v>
      </c>
      <c r="T185" s="9">
        <f>IF(Presion_cilindro!N184&gt;$B$14,1-EXP(-Presion_cilindro!$B$16*((Presion_cilindro!N184-$B$14)/Presion_cilindro!$B$35)^(Presion_cilindro!$B$17+1)),0)</f>
        <v>0</v>
      </c>
      <c r="U185" s="10">
        <f>U184*(Presion_cilindro!O183/Presion_cilindro!O184)^Presion_cilindro!$B$9+10*(Presion_cilindro!$B$9-1)*Presion_cilindro!$B$33*(T185-T184)/((Presion_cilindro!O183+Presion_cilindro!O184)/2)</f>
        <v>1.3725070061763995</v>
      </c>
    </row>
    <row r="186" spans="14:21" x14ac:dyDescent="0.25">
      <c r="N186" s="8">
        <f>-Presion_cilindro!N185</f>
        <v>89.5</v>
      </c>
      <c r="O186" s="9">
        <f>IF(Presion_cilindro!N185&gt;$B$12,1-EXP(-Presion_cilindro!$B$16*((Presion_cilindro!N185-$B$12)/Presion_cilindro!$B$35)^(Presion_cilindro!$B$17+1)),0)</f>
        <v>0</v>
      </c>
      <c r="P186" s="10">
        <f>P185*(Presion_cilindro!O184/Presion_cilindro!O185)^Presion_cilindro!$B$9+10*(Presion_cilindro!$B$9-1)*Presion_cilindro!$B$33*(O186-O185)/((Presion_cilindro!O184+Presion_cilindro!O185)/2)</f>
        <v>1.3842530262751895</v>
      </c>
      <c r="Q186" s="9">
        <f>IF(OR($B$9=0,Presion_cilindro!N185&lt;=$B$15),IF(Presion_cilindro!N185&gt;$B$13,1-EXP(-Presion_cilindro!$B$16*((Presion_cilindro!N185-$B$13)/Presion_cilindro!$B$35)^(Presion_cilindro!$B$17+1)),0),$B$8+(1-$B$8)*(1-EXP(-(Presion_cilindro!N185-$B$15)/Presion_cilindro!$B$23)))</f>
        <v>0</v>
      </c>
      <c r="R186" s="10">
        <f>R185*(Presion_cilindro!O184/Presion_cilindro!O185)^Presion_cilindro!$B$9+10*(Presion_cilindro!$B$9-1)*Presion_cilindro!$B$33*(Q186-Q185)/((Presion_cilindro!O184+Presion_cilindro!O185)/2)</f>
        <v>1.3842530262751895</v>
      </c>
      <c r="S186" s="10">
        <f>R186+IF(AND($B$9=1,Presion_cilindro!N185&gt;$B$15),Presion_cilindro!$B$24*2.5*EXP(-(Presion_cilindro!N185-$B$15)/Presion_cilindro!$B$26)*SIN(2*PI()*(Presion_cilindro!N185-$B$15)/Presion_cilindro!$B$39),0)</f>
        <v>1.3842530262751895</v>
      </c>
      <c r="T186" s="9">
        <f>IF(Presion_cilindro!N185&gt;$B$14,1-EXP(-Presion_cilindro!$B$16*((Presion_cilindro!N185-$B$14)/Presion_cilindro!$B$35)^(Presion_cilindro!$B$17+1)),0)</f>
        <v>0</v>
      </c>
      <c r="U186" s="10">
        <f>U185*(Presion_cilindro!O184/Presion_cilindro!O185)^Presion_cilindro!$B$9+10*(Presion_cilindro!$B$9-1)*Presion_cilindro!$B$33*(T186-T185)/((Presion_cilindro!O184+Presion_cilindro!O185)/2)</f>
        <v>1.3842530262751895</v>
      </c>
    </row>
    <row r="187" spans="14:21" x14ac:dyDescent="0.25">
      <c r="N187" s="8">
        <f>-Presion_cilindro!N186</f>
        <v>89</v>
      </c>
      <c r="O187" s="9">
        <f>IF(Presion_cilindro!N186&gt;$B$12,1-EXP(-Presion_cilindro!$B$16*((Presion_cilindro!N186-$B$12)/Presion_cilindro!$B$35)^(Presion_cilindro!$B$17+1)),0)</f>
        <v>0</v>
      </c>
      <c r="P187" s="10">
        <f>P186*(Presion_cilindro!O185/Presion_cilindro!O186)^Presion_cilindro!$B$9+10*(Presion_cilindro!$B$9-1)*Presion_cilindro!$B$33*(O187-O186)/((Presion_cilindro!O185+Presion_cilindro!O186)/2)</f>
        <v>1.3962065879086576</v>
      </c>
      <c r="Q187" s="9">
        <f>IF(OR($B$9=0,Presion_cilindro!N186&lt;=$B$15),IF(Presion_cilindro!N186&gt;$B$13,1-EXP(-Presion_cilindro!$B$16*((Presion_cilindro!N186-$B$13)/Presion_cilindro!$B$35)^(Presion_cilindro!$B$17+1)),0),$B$8+(1-$B$8)*(1-EXP(-(Presion_cilindro!N186-$B$15)/Presion_cilindro!$B$23)))</f>
        <v>0</v>
      </c>
      <c r="R187" s="10">
        <f>R186*(Presion_cilindro!O185/Presion_cilindro!O186)^Presion_cilindro!$B$9+10*(Presion_cilindro!$B$9-1)*Presion_cilindro!$B$33*(Q187-Q186)/((Presion_cilindro!O185+Presion_cilindro!O186)/2)</f>
        <v>1.3962065879086576</v>
      </c>
      <c r="S187" s="10">
        <f>R187+IF(AND($B$9=1,Presion_cilindro!N186&gt;$B$15),Presion_cilindro!$B$24*2.5*EXP(-(Presion_cilindro!N186-$B$15)/Presion_cilindro!$B$26)*SIN(2*PI()*(Presion_cilindro!N186-$B$15)/Presion_cilindro!$B$39),0)</f>
        <v>1.3962065879086576</v>
      </c>
      <c r="T187" s="9">
        <f>IF(Presion_cilindro!N186&gt;$B$14,1-EXP(-Presion_cilindro!$B$16*((Presion_cilindro!N186-$B$14)/Presion_cilindro!$B$35)^(Presion_cilindro!$B$17+1)),0)</f>
        <v>0</v>
      </c>
      <c r="U187" s="10">
        <f>U186*(Presion_cilindro!O185/Presion_cilindro!O186)^Presion_cilindro!$B$9+10*(Presion_cilindro!$B$9-1)*Presion_cilindro!$B$33*(T187-T186)/((Presion_cilindro!O185+Presion_cilindro!O186)/2)</f>
        <v>1.3962065879086576</v>
      </c>
    </row>
    <row r="188" spans="14:21" x14ac:dyDescent="0.25">
      <c r="N188" s="8">
        <f>-Presion_cilindro!N187</f>
        <v>88.5</v>
      </c>
      <c r="O188" s="9">
        <f>IF(Presion_cilindro!N187&gt;$B$12,1-EXP(-Presion_cilindro!$B$16*((Presion_cilindro!N187-$B$12)/Presion_cilindro!$B$35)^(Presion_cilindro!$B$17+1)),0)</f>
        <v>0</v>
      </c>
      <c r="P188" s="10">
        <f>P187*(Presion_cilindro!O186/Presion_cilindro!O187)^Presion_cilindro!$B$9+10*(Presion_cilindro!$B$9-1)*Presion_cilindro!$B$33*(O188-O187)/((Presion_cilindro!O186+Presion_cilindro!O187)/2)</f>
        <v>1.4083719838958575</v>
      </c>
      <c r="Q188" s="9">
        <f>IF(OR($B$9=0,Presion_cilindro!N187&lt;=$B$15),IF(Presion_cilindro!N187&gt;$B$13,1-EXP(-Presion_cilindro!$B$16*((Presion_cilindro!N187-$B$13)/Presion_cilindro!$B$35)^(Presion_cilindro!$B$17+1)),0),$B$8+(1-$B$8)*(1-EXP(-(Presion_cilindro!N187-$B$15)/Presion_cilindro!$B$23)))</f>
        <v>0</v>
      </c>
      <c r="R188" s="10">
        <f>R187*(Presion_cilindro!O186/Presion_cilindro!O187)^Presion_cilindro!$B$9+10*(Presion_cilindro!$B$9-1)*Presion_cilindro!$B$33*(Q188-Q187)/((Presion_cilindro!O186+Presion_cilindro!O187)/2)</f>
        <v>1.4083719838958575</v>
      </c>
      <c r="S188" s="10">
        <f>R188+IF(AND($B$9=1,Presion_cilindro!N187&gt;$B$15),Presion_cilindro!$B$24*2.5*EXP(-(Presion_cilindro!N187-$B$15)/Presion_cilindro!$B$26)*SIN(2*PI()*(Presion_cilindro!N187-$B$15)/Presion_cilindro!$B$39),0)</f>
        <v>1.4083719838958575</v>
      </c>
      <c r="T188" s="9">
        <f>IF(Presion_cilindro!N187&gt;$B$14,1-EXP(-Presion_cilindro!$B$16*((Presion_cilindro!N187-$B$14)/Presion_cilindro!$B$35)^(Presion_cilindro!$B$17+1)),0)</f>
        <v>0</v>
      </c>
      <c r="U188" s="10">
        <f>U187*(Presion_cilindro!O186/Presion_cilindro!O187)^Presion_cilindro!$B$9+10*(Presion_cilindro!$B$9-1)*Presion_cilindro!$B$33*(T188-T187)/((Presion_cilindro!O186+Presion_cilindro!O187)/2)</f>
        <v>1.4083719838958575</v>
      </c>
    </row>
    <row r="189" spans="14:21" x14ac:dyDescent="0.25">
      <c r="N189" s="8">
        <f>-Presion_cilindro!N188</f>
        <v>88</v>
      </c>
      <c r="O189" s="9">
        <f>IF(Presion_cilindro!N188&gt;$B$12,1-EXP(-Presion_cilindro!$B$16*((Presion_cilindro!N188-$B$12)/Presion_cilindro!$B$35)^(Presion_cilindro!$B$17+1)),0)</f>
        <v>0</v>
      </c>
      <c r="P189" s="10">
        <f>P188*(Presion_cilindro!O187/Presion_cilindro!O188)^Presion_cilindro!$B$9+10*(Presion_cilindro!$B$9-1)*Presion_cilindro!$B$33*(O189-O188)/((Presion_cilindro!O187+Presion_cilindro!O188)/2)</f>
        <v>1.4207536123978526</v>
      </c>
      <c r="Q189" s="9">
        <f>IF(OR($B$9=0,Presion_cilindro!N188&lt;=$B$15),IF(Presion_cilindro!N188&gt;$B$13,1-EXP(-Presion_cilindro!$B$16*((Presion_cilindro!N188-$B$13)/Presion_cilindro!$B$35)^(Presion_cilindro!$B$17+1)),0),$B$8+(1-$B$8)*(1-EXP(-(Presion_cilindro!N188-$B$15)/Presion_cilindro!$B$23)))</f>
        <v>0</v>
      </c>
      <c r="R189" s="10">
        <f>R188*(Presion_cilindro!O187/Presion_cilindro!O188)^Presion_cilindro!$B$9+10*(Presion_cilindro!$B$9-1)*Presion_cilindro!$B$33*(Q189-Q188)/((Presion_cilindro!O187+Presion_cilindro!O188)/2)</f>
        <v>1.4207536123978526</v>
      </c>
      <c r="S189" s="10">
        <f>R189+IF(AND($B$9=1,Presion_cilindro!N188&gt;$B$15),Presion_cilindro!$B$24*2.5*EXP(-(Presion_cilindro!N188-$B$15)/Presion_cilindro!$B$26)*SIN(2*PI()*(Presion_cilindro!N188-$B$15)/Presion_cilindro!$B$39),0)</f>
        <v>1.4207536123978526</v>
      </c>
      <c r="T189" s="9">
        <f>IF(Presion_cilindro!N188&gt;$B$14,1-EXP(-Presion_cilindro!$B$16*((Presion_cilindro!N188-$B$14)/Presion_cilindro!$B$35)^(Presion_cilindro!$B$17+1)),0)</f>
        <v>0</v>
      </c>
      <c r="U189" s="10">
        <f>U188*(Presion_cilindro!O187/Presion_cilindro!O188)^Presion_cilindro!$B$9+10*(Presion_cilindro!$B$9-1)*Presion_cilindro!$B$33*(T189-T188)/((Presion_cilindro!O187+Presion_cilindro!O188)/2)</f>
        <v>1.4207536123978526</v>
      </c>
    </row>
    <row r="190" spans="14:21" x14ac:dyDescent="0.25">
      <c r="N190" s="8">
        <f>-Presion_cilindro!N189</f>
        <v>87.5</v>
      </c>
      <c r="O190" s="9">
        <f>IF(Presion_cilindro!N189&gt;$B$12,1-EXP(-Presion_cilindro!$B$16*((Presion_cilindro!N189-$B$12)/Presion_cilindro!$B$35)^(Presion_cilindro!$B$17+1)),0)</f>
        <v>0</v>
      </c>
      <c r="P190" s="10">
        <f>P189*(Presion_cilindro!O188/Presion_cilindro!O189)^Presion_cilindro!$B$9+10*(Presion_cilindro!$B$9-1)*Presion_cilindro!$B$33*(O190-O189)/((Presion_cilindro!O188+Presion_cilindro!O189)/2)</f>
        <v>1.4333559797726663</v>
      </c>
      <c r="Q190" s="9">
        <f>IF(OR($B$9=0,Presion_cilindro!N189&lt;=$B$15),IF(Presion_cilindro!N189&gt;$B$13,1-EXP(-Presion_cilindro!$B$16*((Presion_cilindro!N189-$B$13)/Presion_cilindro!$B$35)^(Presion_cilindro!$B$17+1)),0),$B$8+(1-$B$8)*(1-EXP(-(Presion_cilindro!N189-$B$15)/Presion_cilindro!$B$23)))</f>
        <v>0</v>
      </c>
      <c r="R190" s="10">
        <f>R189*(Presion_cilindro!O188/Presion_cilindro!O189)^Presion_cilindro!$B$9+10*(Presion_cilindro!$B$9-1)*Presion_cilindro!$B$33*(Q190-Q189)/((Presion_cilindro!O188+Presion_cilindro!O189)/2)</f>
        <v>1.4333559797726663</v>
      </c>
      <c r="S190" s="10">
        <f>R190+IF(AND($B$9=1,Presion_cilindro!N189&gt;$B$15),Presion_cilindro!$B$24*2.5*EXP(-(Presion_cilindro!N189-$B$15)/Presion_cilindro!$B$26)*SIN(2*PI()*(Presion_cilindro!N189-$B$15)/Presion_cilindro!$B$39),0)</f>
        <v>1.4333559797726663</v>
      </c>
      <c r="T190" s="9">
        <f>IF(Presion_cilindro!N189&gt;$B$14,1-EXP(-Presion_cilindro!$B$16*((Presion_cilindro!N189-$B$14)/Presion_cilindro!$B$35)^(Presion_cilindro!$B$17+1)),0)</f>
        <v>0</v>
      </c>
      <c r="U190" s="10">
        <f>U189*(Presion_cilindro!O188/Presion_cilindro!O189)^Presion_cilindro!$B$9+10*(Presion_cilindro!$B$9-1)*Presion_cilindro!$B$33*(T190-T189)/((Presion_cilindro!O188+Presion_cilindro!O189)/2)</f>
        <v>1.4333559797726663</v>
      </c>
    </row>
    <row r="191" spans="14:21" x14ac:dyDescent="0.25">
      <c r="N191" s="8">
        <f>-Presion_cilindro!N190</f>
        <v>87</v>
      </c>
      <c r="O191" s="9">
        <f>IF(Presion_cilindro!N190&gt;$B$12,1-EXP(-Presion_cilindro!$B$16*((Presion_cilindro!N190-$B$12)/Presion_cilindro!$B$35)^(Presion_cilindro!$B$17+1)),0)</f>
        <v>0</v>
      </c>
      <c r="P191" s="10">
        <f>P190*(Presion_cilindro!O189/Presion_cilindro!O190)^Presion_cilindro!$B$9+10*(Presion_cilindro!$B$9-1)*Presion_cilindro!$B$33*(O191-O190)/((Presion_cilindro!O189+Presion_cilindro!O190)/2)</f>
        <v>1.4461837035118128</v>
      </c>
      <c r="Q191" s="9">
        <f>IF(OR($B$9=0,Presion_cilindro!N190&lt;=$B$15),IF(Presion_cilindro!N190&gt;$B$13,1-EXP(-Presion_cilindro!$B$16*((Presion_cilindro!N190-$B$13)/Presion_cilindro!$B$35)^(Presion_cilindro!$B$17+1)),0),$B$8+(1-$B$8)*(1-EXP(-(Presion_cilindro!N190-$B$15)/Presion_cilindro!$B$23)))</f>
        <v>0</v>
      </c>
      <c r="R191" s="10">
        <f>R190*(Presion_cilindro!O189/Presion_cilindro!O190)^Presion_cilindro!$B$9+10*(Presion_cilindro!$B$9-1)*Presion_cilindro!$B$33*(Q191-Q190)/((Presion_cilindro!O189+Presion_cilindro!O190)/2)</f>
        <v>1.4461837035118128</v>
      </c>
      <c r="S191" s="10">
        <f>R191+IF(AND($B$9=1,Presion_cilindro!N190&gt;$B$15),Presion_cilindro!$B$24*2.5*EXP(-(Presion_cilindro!N190-$B$15)/Presion_cilindro!$B$26)*SIN(2*PI()*(Presion_cilindro!N190-$B$15)/Presion_cilindro!$B$39),0)</f>
        <v>1.4461837035118128</v>
      </c>
      <c r="T191" s="9">
        <f>IF(Presion_cilindro!N190&gt;$B$14,1-EXP(-Presion_cilindro!$B$16*((Presion_cilindro!N190-$B$14)/Presion_cilindro!$B$35)^(Presion_cilindro!$B$17+1)),0)</f>
        <v>0</v>
      </c>
      <c r="U191" s="10">
        <f>U190*(Presion_cilindro!O189/Presion_cilindro!O190)^Presion_cilindro!$B$9+10*(Presion_cilindro!$B$9-1)*Presion_cilindro!$B$33*(T191-T190)/((Presion_cilindro!O189+Presion_cilindro!O190)/2)</f>
        <v>1.4461837035118128</v>
      </c>
    </row>
    <row r="192" spans="14:21" x14ac:dyDescent="0.25">
      <c r="N192" s="8">
        <f>-Presion_cilindro!N191</f>
        <v>86.5</v>
      </c>
      <c r="O192" s="9">
        <f>IF(Presion_cilindro!N191&gt;$B$12,1-EXP(-Presion_cilindro!$B$16*((Presion_cilindro!N191-$B$12)/Presion_cilindro!$B$35)^(Presion_cilindro!$B$17+1)),0)</f>
        <v>0</v>
      </c>
      <c r="P192" s="10">
        <f>P191*(Presion_cilindro!O190/Presion_cilindro!O191)^Presion_cilindro!$B$9+10*(Presion_cilindro!$B$9-1)*Presion_cilindro!$B$33*(O192-O191)/((Presion_cilindro!O190+Presion_cilindro!O191)/2)</f>
        <v>1.4592415152606746</v>
      </c>
      <c r="Q192" s="9">
        <f>IF(OR($B$9=0,Presion_cilindro!N191&lt;=$B$15),IF(Presion_cilindro!N191&gt;$B$13,1-EXP(-Presion_cilindro!$B$16*((Presion_cilindro!N191-$B$13)/Presion_cilindro!$B$35)^(Presion_cilindro!$B$17+1)),0),$B$8+(1-$B$8)*(1-EXP(-(Presion_cilindro!N191-$B$15)/Presion_cilindro!$B$23)))</f>
        <v>0</v>
      </c>
      <c r="R192" s="10">
        <f>R191*(Presion_cilindro!O190/Presion_cilindro!O191)^Presion_cilindro!$B$9+10*(Presion_cilindro!$B$9-1)*Presion_cilindro!$B$33*(Q192-Q191)/((Presion_cilindro!O190+Presion_cilindro!O191)/2)</f>
        <v>1.4592415152606746</v>
      </c>
      <c r="S192" s="10">
        <f>R192+IF(AND($B$9=1,Presion_cilindro!N191&gt;$B$15),Presion_cilindro!$B$24*2.5*EXP(-(Presion_cilindro!N191-$B$15)/Presion_cilindro!$B$26)*SIN(2*PI()*(Presion_cilindro!N191-$B$15)/Presion_cilindro!$B$39),0)</f>
        <v>1.4592415152606746</v>
      </c>
      <c r="T192" s="9">
        <f>IF(Presion_cilindro!N191&gt;$B$14,1-EXP(-Presion_cilindro!$B$16*((Presion_cilindro!N191-$B$14)/Presion_cilindro!$B$35)^(Presion_cilindro!$B$17+1)),0)</f>
        <v>0</v>
      </c>
      <c r="U192" s="10">
        <f>U191*(Presion_cilindro!O190/Presion_cilindro!O191)^Presion_cilindro!$B$9+10*(Presion_cilindro!$B$9-1)*Presion_cilindro!$B$33*(T192-T191)/((Presion_cilindro!O190+Presion_cilindro!O191)/2)</f>
        <v>1.4592415152606746</v>
      </c>
    </row>
    <row r="193" spans="14:21" x14ac:dyDescent="0.25">
      <c r="N193" s="8">
        <f>-Presion_cilindro!N192</f>
        <v>86</v>
      </c>
      <c r="O193" s="9">
        <f>IF(Presion_cilindro!N192&gt;$B$12,1-EXP(-Presion_cilindro!$B$16*((Presion_cilindro!N192-$B$12)/Presion_cilindro!$B$35)^(Presion_cilindro!$B$17+1)),0)</f>
        <v>0</v>
      </c>
      <c r="P193" s="10">
        <f>P192*(Presion_cilindro!O191/Presion_cilindro!O192)^Presion_cilindro!$B$9+10*(Presion_cilindro!$B$9-1)*Presion_cilindro!$B$33*(O193-O192)/((Presion_cilindro!O191+Presion_cilindro!O192)/2)</f>
        <v>1.4725342639249739</v>
      </c>
      <c r="Q193" s="9">
        <f>IF(OR($B$9=0,Presion_cilindro!N192&lt;=$B$15),IF(Presion_cilindro!N192&gt;$B$13,1-EXP(-Presion_cilindro!$B$16*((Presion_cilindro!N192-$B$13)/Presion_cilindro!$B$35)^(Presion_cilindro!$B$17+1)),0),$B$8+(1-$B$8)*(1-EXP(-(Presion_cilindro!N192-$B$15)/Presion_cilindro!$B$23)))</f>
        <v>0</v>
      </c>
      <c r="R193" s="10">
        <f>R192*(Presion_cilindro!O191/Presion_cilindro!O192)^Presion_cilindro!$B$9+10*(Presion_cilindro!$B$9-1)*Presion_cilindro!$B$33*(Q193-Q192)/((Presion_cilindro!O191+Presion_cilindro!O192)/2)</f>
        <v>1.4725342639249739</v>
      </c>
      <c r="S193" s="10">
        <f>R193+IF(AND($B$9=1,Presion_cilindro!N192&gt;$B$15),Presion_cilindro!$B$24*2.5*EXP(-(Presion_cilindro!N192-$B$15)/Presion_cilindro!$B$26)*SIN(2*PI()*(Presion_cilindro!N192-$B$15)/Presion_cilindro!$B$39),0)</f>
        <v>1.4725342639249739</v>
      </c>
      <c r="T193" s="9">
        <f>IF(Presion_cilindro!N192&gt;$B$14,1-EXP(-Presion_cilindro!$B$16*((Presion_cilindro!N192-$B$14)/Presion_cilindro!$B$35)^(Presion_cilindro!$B$17+1)),0)</f>
        <v>0</v>
      </c>
      <c r="U193" s="10">
        <f>U192*(Presion_cilindro!O191/Presion_cilindro!O192)^Presion_cilindro!$B$9+10*(Presion_cilindro!$B$9-1)*Presion_cilindro!$B$33*(T193-T192)/((Presion_cilindro!O191+Presion_cilindro!O192)/2)</f>
        <v>1.4725342639249739</v>
      </c>
    </row>
    <row r="194" spans="14:21" x14ac:dyDescent="0.25">
      <c r="N194" s="8">
        <f>-Presion_cilindro!N193</f>
        <v>85.5</v>
      </c>
      <c r="O194" s="9">
        <f>IF(Presion_cilindro!N193&gt;$B$12,1-EXP(-Presion_cilindro!$B$16*((Presion_cilindro!N193-$B$12)/Presion_cilindro!$B$35)^(Presion_cilindro!$B$17+1)),0)</f>
        <v>0</v>
      </c>
      <c r="P194" s="10">
        <f>P193*(Presion_cilindro!O192/Presion_cilindro!O193)^Presion_cilindro!$B$9+10*(Presion_cilindro!$B$9-1)*Presion_cilindro!$B$33*(O194-O193)/((Presion_cilindro!O192+Presion_cilindro!O193)/2)</f>
        <v>1.486066918865655</v>
      </c>
      <c r="Q194" s="9">
        <f>IF(OR($B$9=0,Presion_cilindro!N193&lt;=$B$15),IF(Presion_cilindro!N193&gt;$B$13,1-EXP(-Presion_cilindro!$B$16*((Presion_cilindro!N193-$B$13)/Presion_cilindro!$B$35)^(Presion_cilindro!$B$17+1)),0),$B$8+(1-$B$8)*(1-EXP(-(Presion_cilindro!N193-$B$15)/Presion_cilindro!$B$23)))</f>
        <v>0</v>
      </c>
      <c r="R194" s="10">
        <f>R193*(Presion_cilindro!O192/Presion_cilindro!O193)^Presion_cilindro!$B$9+10*(Presion_cilindro!$B$9-1)*Presion_cilindro!$B$33*(Q194-Q193)/((Presion_cilindro!O192+Presion_cilindro!O193)/2)</f>
        <v>1.486066918865655</v>
      </c>
      <c r="S194" s="10">
        <f>R194+IF(AND($B$9=1,Presion_cilindro!N193&gt;$B$15),Presion_cilindro!$B$24*2.5*EXP(-(Presion_cilindro!N193-$B$15)/Presion_cilindro!$B$26)*SIN(2*PI()*(Presion_cilindro!N193-$B$15)/Presion_cilindro!$B$39),0)</f>
        <v>1.486066918865655</v>
      </c>
      <c r="T194" s="9">
        <f>IF(Presion_cilindro!N193&gt;$B$14,1-EXP(-Presion_cilindro!$B$16*((Presion_cilindro!N193-$B$14)/Presion_cilindro!$B$35)^(Presion_cilindro!$B$17+1)),0)</f>
        <v>0</v>
      </c>
      <c r="U194" s="10">
        <f>U193*(Presion_cilindro!O192/Presion_cilindro!O193)^Presion_cilindro!$B$9+10*(Presion_cilindro!$B$9-1)*Presion_cilindro!$B$33*(T194-T193)/((Presion_cilindro!O192+Presion_cilindro!O193)/2)</f>
        <v>1.486066918865655</v>
      </c>
    </row>
    <row r="195" spans="14:21" x14ac:dyDescent="0.25">
      <c r="N195" s="8">
        <f>-Presion_cilindro!N194</f>
        <v>85</v>
      </c>
      <c r="O195" s="9">
        <f>IF(Presion_cilindro!N194&gt;$B$12,1-EXP(-Presion_cilindro!$B$16*((Presion_cilindro!N194-$B$12)/Presion_cilindro!$B$35)^(Presion_cilindro!$B$17+1)),0)</f>
        <v>0</v>
      </c>
      <c r="P195" s="10">
        <f>P194*(Presion_cilindro!O193/Presion_cilindro!O194)^Presion_cilindro!$B$9+10*(Presion_cilindro!$B$9-1)*Presion_cilindro!$B$33*(O195-O194)/((Presion_cilindro!O193+Presion_cilindro!O194)/2)</f>
        <v>1.4998445731845338</v>
      </c>
      <c r="Q195" s="9">
        <f>IF(OR($B$9=0,Presion_cilindro!N194&lt;=$B$15),IF(Presion_cilindro!N194&gt;$B$13,1-EXP(-Presion_cilindro!$B$16*((Presion_cilindro!N194-$B$13)/Presion_cilindro!$B$35)^(Presion_cilindro!$B$17+1)),0),$B$8+(1-$B$8)*(1-EXP(-(Presion_cilindro!N194-$B$15)/Presion_cilindro!$B$23)))</f>
        <v>0</v>
      </c>
      <c r="R195" s="10">
        <f>R194*(Presion_cilindro!O193/Presion_cilindro!O194)^Presion_cilindro!$B$9+10*(Presion_cilindro!$B$9-1)*Presion_cilindro!$B$33*(Q195-Q194)/((Presion_cilindro!O193+Presion_cilindro!O194)/2)</f>
        <v>1.4998445731845338</v>
      </c>
      <c r="S195" s="10">
        <f>R195+IF(AND($B$9=1,Presion_cilindro!N194&gt;$B$15),Presion_cilindro!$B$24*2.5*EXP(-(Presion_cilindro!N194-$B$15)/Presion_cilindro!$B$26)*SIN(2*PI()*(Presion_cilindro!N194-$B$15)/Presion_cilindro!$B$39),0)</f>
        <v>1.4998445731845338</v>
      </c>
      <c r="T195" s="9">
        <f>IF(Presion_cilindro!N194&gt;$B$14,1-EXP(-Presion_cilindro!$B$16*((Presion_cilindro!N194-$B$14)/Presion_cilindro!$B$35)^(Presion_cilindro!$B$17+1)),0)</f>
        <v>0</v>
      </c>
      <c r="U195" s="10">
        <f>U194*(Presion_cilindro!O193/Presion_cilindro!O194)^Presion_cilindro!$B$9+10*(Presion_cilindro!$B$9-1)*Presion_cilindro!$B$33*(T195-T194)/((Presion_cilindro!O193+Presion_cilindro!O194)/2)</f>
        <v>1.4998445731845338</v>
      </c>
    </row>
    <row r="196" spans="14:21" x14ac:dyDescent="0.25">
      <c r="N196" s="8">
        <f>-Presion_cilindro!N195</f>
        <v>84.5</v>
      </c>
      <c r="O196" s="9">
        <f>IF(Presion_cilindro!N195&gt;$B$12,1-EXP(-Presion_cilindro!$B$16*((Presion_cilindro!N195-$B$12)/Presion_cilindro!$B$35)^(Presion_cilindro!$B$17+1)),0)</f>
        <v>0</v>
      </c>
      <c r="P196" s="10">
        <f>P195*(Presion_cilindro!O194/Presion_cilindro!O195)^Presion_cilindro!$B$9+10*(Presion_cilindro!$B$9-1)*Presion_cilindro!$B$33*(O196-O195)/((Presion_cilindro!O194+Presion_cilindro!O195)/2)</f>
        <v>1.5138724471030902</v>
      </c>
      <c r="Q196" s="9">
        <f>IF(OR($B$9=0,Presion_cilindro!N195&lt;=$B$15),IF(Presion_cilindro!N195&gt;$B$13,1-EXP(-Presion_cilindro!$B$16*((Presion_cilindro!N195-$B$13)/Presion_cilindro!$B$35)^(Presion_cilindro!$B$17+1)),0),$B$8+(1-$B$8)*(1-EXP(-(Presion_cilindro!N195-$B$15)/Presion_cilindro!$B$23)))</f>
        <v>0</v>
      </c>
      <c r="R196" s="10">
        <f>R195*(Presion_cilindro!O194/Presion_cilindro!O195)^Presion_cilindro!$B$9+10*(Presion_cilindro!$B$9-1)*Presion_cilindro!$B$33*(Q196-Q195)/((Presion_cilindro!O194+Presion_cilindro!O195)/2)</f>
        <v>1.5138724471030902</v>
      </c>
      <c r="S196" s="10">
        <f>R196+IF(AND($B$9=1,Presion_cilindro!N195&gt;$B$15),Presion_cilindro!$B$24*2.5*EXP(-(Presion_cilindro!N195-$B$15)/Presion_cilindro!$B$26)*SIN(2*PI()*(Presion_cilindro!N195-$B$15)/Presion_cilindro!$B$39),0)</f>
        <v>1.5138724471030902</v>
      </c>
      <c r="T196" s="9">
        <f>IF(Presion_cilindro!N195&gt;$B$14,1-EXP(-Presion_cilindro!$B$16*((Presion_cilindro!N195-$B$14)/Presion_cilindro!$B$35)^(Presion_cilindro!$B$17+1)),0)</f>
        <v>0</v>
      </c>
      <c r="U196" s="10">
        <f>U195*(Presion_cilindro!O194/Presion_cilindro!O195)^Presion_cilindro!$B$9+10*(Presion_cilindro!$B$9-1)*Presion_cilindro!$B$33*(T196-T195)/((Presion_cilindro!O194+Presion_cilindro!O195)/2)</f>
        <v>1.5138724471030902</v>
      </c>
    </row>
    <row r="197" spans="14:21" x14ac:dyDescent="0.25">
      <c r="N197" s="8">
        <f>-Presion_cilindro!N196</f>
        <v>84</v>
      </c>
      <c r="O197" s="9">
        <f>IF(Presion_cilindro!N196&gt;$B$12,1-EXP(-Presion_cilindro!$B$16*((Presion_cilindro!N196-$B$12)/Presion_cilindro!$B$35)^(Presion_cilindro!$B$17+1)),0)</f>
        <v>0</v>
      </c>
      <c r="P197" s="10">
        <f>P196*(Presion_cilindro!O195/Presion_cilindro!O196)^Presion_cilindro!$B$9+10*(Presion_cilindro!$B$9-1)*Presion_cilindro!$B$33*(O197-O196)/((Presion_cilindro!O195+Presion_cilindro!O196)/2)</f>
        <v>1.5281558914368605</v>
      </c>
      <c r="Q197" s="9">
        <f>IF(OR($B$9=0,Presion_cilindro!N196&lt;=$B$15),IF(Presion_cilindro!N196&gt;$B$13,1-EXP(-Presion_cilindro!$B$16*((Presion_cilindro!N196-$B$13)/Presion_cilindro!$B$35)^(Presion_cilindro!$B$17+1)),0),$B$8+(1-$B$8)*(1-EXP(-(Presion_cilindro!N196-$B$15)/Presion_cilindro!$B$23)))</f>
        <v>0</v>
      </c>
      <c r="R197" s="10">
        <f>R196*(Presion_cilindro!O195/Presion_cilindro!O196)^Presion_cilindro!$B$9+10*(Presion_cilindro!$B$9-1)*Presion_cilindro!$B$33*(Q197-Q196)/((Presion_cilindro!O195+Presion_cilindro!O196)/2)</f>
        <v>1.5281558914368605</v>
      </c>
      <c r="S197" s="10">
        <f>R197+IF(AND($B$9=1,Presion_cilindro!N196&gt;$B$15),Presion_cilindro!$B$24*2.5*EXP(-(Presion_cilindro!N196-$B$15)/Presion_cilindro!$B$26)*SIN(2*PI()*(Presion_cilindro!N196-$B$15)/Presion_cilindro!$B$39),0)</f>
        <v>1.5281558914368605</v>
      </c>
      <c r="T197" s="9">
        <f>IF(Presion_cilindro!N196&gt;$B$14,1-EXP(-Presion_cilindro!$B$16*((Presion_cilindro!N196-$B$14)/Presion_cilindro!$B$35)^(Presion_cilindro!$B$17+1)),0)</f>
        <v>0</v>
      </c>
      <c r="U197" s="10">
        <f>U196*(Presion_cilindro!O195/Presion_cilindro!O196)^Presion_cilindro!$B$9+10*(Presion_cilindro!$B$9-1)*Presion_cilindro!$B$33*(T197-T196)/((Presion_cilindro!O195+Presion_cilindro!O196)/2)</f>
        <v>1.5281558914368605</v>
      </c>
    </row>
    <row r="198" spans="14:21" x14ac:dyDescent="0.25">
      <c r="N198" s="8">
        <f>-Presion_cilindro!N197</f>
        <v>83.5</v>
      </c>
      <c r="O198" s="9">
        <f>IF(Presion_cilindro!N197&gt;$B$12,1-EXP(-Presion_cilindro!$B$16*((Presion_cilindro!N197-$B$12)/Presion_cilindro!$B$35)^(Presion_cilindro!$B$17+1)),0)</f>
        <v>0</v>
      </c>
      <c r="P198" s="10">
        <f>P197*(Presion_cilindro!O196/Presion_cilindro!O197)^Presion_cilindro!$B$9+10*(Presion_cilindro!$B$9-1)*Presion_cilindro!$B$33*(O198-O197)/((Presion_cilindro!O196+Presion_cilindro!O197)/2)</f>
        <v>1.5427003911678527</v>
      </c>
      <c r="Q198" s="9">
        <f>IF(OR($B$9=0,Presion_cilindro!N197&lt;=$B$15),IF(Presion_cilindro!N197&gt;$B$13,1-EXP(-Presion_cilindro!$B$16*((Presion_cilindro!N197-$B$13)/Presion_cilindro!$B$35)^(Presion_cilindro!$B$17+1)),0),$B$8+(1-$B$8)*(1-EXP(-(Presion_cilindro!N197-$B$15)/Presion_cilindro!$B$23)))</f>
        <v>0</v>
      </c>
      <c r="R198" s="10">
        <f>R197*(Presion_cilindro!O196/Presion_cilindro!O197)^Presion_cilindro!$B$9+10*(Presion_cilindro!$B$9-1)*Presion_cilindro!$B$33*(Q198-Q197)/((Presion_cilindro!O196+Presion_cilindro!O197)/2)</f>
        <v>1.5427003911678527</v>
      </c>
      <c r="S198" s="10">
        <f>R198+IF(AND($B$9=1,Presion_cilindro!N197&gt;$B$15),Presion_cilindro!$B$24*2.5*EXP(-(Presion_cilindro!N197-$B$15)/Presion_cilindro!$B$26)*SIN(2*PI()*(Presion_cilindro!N197-$B$15)/Presion_cilindro!$B$39),0)</f>
        <v>1.5427003911678527</v>
      </c>
      <c r="T198" s="9">
        <f>IF(Presion_cilindro!N197&gt;$B$14,1-EXP(-Presion_cilindro!$B$16*((Presion_cilindro!N197-$B$14)/Presion_cilindro!$B$35)^(Presion_cilindro!$B$17+1)),0)</f>
        <v>0</v>
      </c>
      <c r="U198" s="10">
        <f>U197*(Presion_cilindro!O196/Presion_cilindro!O197)^Presion_cilindro!$B$9+10*(Presion_cilindro!$B$9-1)*Presion_cilindro!$B$33*(T198-T197)/((Presion_cilindro!O196+Presion_cilindro!O197)/2)</f>
        <v>1.5427003911678527</v>
      </c>
    </row>
    <row r="199" spans="14:21" x14ac:dyDescent="0.25">
      <c r="N199" s="8">
        <f>-Presion_cilindro!N198</f>
        <v>83</v>
      </c>
      <c r="O199" s="9">
        <f>IF(Presion_cilindro!N198&gt;$B$12,1-EXP(-Presion_cilindro!$B$16*((Presion_cilindro!N198-$B$12)/Presion_cilindro!$B$35)^(Presion_cilindro!$B$17+1)),0)</f>
        <v>0</v>
      </c>
      <c r="P199" s="10">
        <f>P198*(Presion_cilindro!O197/Presion_cilindro!O198)^Presion_cilindro!$B$9+10*(Presion_cilindro!$B$9-1)*Presion_cilindro!$B$33*(O199-O198)/((Presion_cilindro!O197+Presion_cilindro!O198)/2)</f>
        <v>1.557511569117523</v>
      </c>
      <c r="Q199" s="9">
        <f>IF(OR($B$9=0,Presion_cilindro!N198&lt;=$B$15),IF(Presion_cilindro!N198&gt;$B$13,1-EXP(-Presion_cilindro!$B$16*((Presion_cilindro!N198-$B$13)/Presion_cilindro!$B$35)^(Presion_cilindro!$B$17+1)),0),$B$8+(1-$B$8)*(1-EXP(-(Presion_cilindro!N198-$B$15)/Presion_cilindro!$B$23)))</f>
        <v>0</v>
      </c>
      <c r="R199" s="10">
        <f>R198*(Presion_cilindro!O197/Presion_cilindro!O198)^Presion_cilindro!$B$9+10*(Presion_cilindro!$B$9-1)*Presion_cilindro!$B$33*(Q199-Q198)/((Presion_cilindro!O197+Presion_cilindro!O198)/2)</f>
        <v>1.557511569117523</v>
      </c>
      <c r="S199" s="10">
        <f>R199+IF(AND($B$9=1,Presion_cilindro!N198&gt;$B$15),Presion_cilindro!$B$24*2.5*EXP(-(Presion_cilindro!N198-$B$15)/Presion_cilindro!$B$26)*SIN(2*PI()*(Presion_cilindro!N198-$B$15)/Presion_cilindro!$B$39),0)</f>
        <v>1.557511569117523</v>
      </c>
      <c r="T199" s="9">
        <f>IF(Presion_cilindro!N198&gt;$B$14,1-EXP(-Presion_cilindro!$B$16*((Presion_cilindro!N198-$B$14)/Presion_cilindro!$B$35)^(Presion_cilindro!$B$17+1)),0)</f>
        <v>0</v>
      </c>
      <c r="U199" s="10">
        <f>U198*(Presion_cilindro!O197/Presion_cilindro!O198)^Presion_cilindro!$B$9+10*(Presion_cilindro!$B$9-1)*Presion_cilindro!$B$33*(T199-T198)/((Presion_cilindro!O197+Presion_cilindro!O198)/2)</f>
        <v>1.557511569117523</v>
      </c>
    </row>
    <row r="200" spans="14:21" x14ac:dyDescent="0.25">
      <c r="N200" s="8">
        <f>-Presion_cilindro!N199</f>
        <v>82.5</v>
      </c>
      <c r="O200" s="9">
        <f>IF(Presion_cilindro!N199&gt;$B$12,1-EXP(-Presion_cilindro!$B$16*((Presion_cilindro!N199-$B$12)/Presion_cilindro!$B$35)^(Presion_cilindro!$B$17+1)),0)</f>
        <v>0</v>
      </c>
      <c r="P200" s="10">
        <f>P199*(Presion_cilindro!O198/Presion_cilindro!O199)^Presion_cilindro!$B$9+10*(Presion_cilindro!$B$9-1)*Presion_cilindro!$B$33*(O200-O199)/((Presion_cilindro!O198+Presion_cilindro!O199)/2)</f>
        <v>1.5725951897228105</v>
      </c>
      <c r="Q200" s="9">
        <f>IF(OR($B$9=0,Presion_cilindro!N199&lt;=$B$15),IF(Presion_cilindro!N199&gt;$B$13,1-EXP(-Presion_cilindro!$B$16*((Presion_cilindro!N199-$B$13)/Presion_cilindro!$B$35)^(Presion_cilindro!$B$17+1)),0),$B$8+(1-$B$8)*(1-EXP(-(Presion_cilindro!N199-$B$15)/Presion_cilindro!$B$23)))</f>
        <v>0</v>
      </c>
      <c r="R200" s="10">
        <f>R199*(Presion_cilindro!O198/Presion_cilindro!O199)^Presion_cilindro!$B$9+10*(Presion_cilindro!$B$9-1)*Presion_cilindro!$B$33*(Q200-Q199)/((Presion_cilindro!O198+Presion_cilindro!O199)/2)</f>
        <v>1.5725951897228105</v>
      </c>
      <c r="S200" s="10">
        <f>R200+IF(AND($B$9=1,Presion_cilindro!N199&gt;$B$15),Presion_cilindro!$B$24*2.5*EXP(-(Presion_cilindro!N199-$B$15)/Presion_cilindro!$B$26)*SIN(2*PI()*(Presion_cilindro!N199-$B$15)/Presion_cilindro!$B$39),0)</f>
        <v>1.5725951897228105</v>
      </c>
      <c r="T200" s="9">
        <f>IF(Presion_cilindro!N199&gt;$B$14,1-EXP(-Presion_cilindro!$B$16*((Presion_cilindro!N199-$B$14)/Presion_cilindro!$B$35)^(Presion_cilindro!$B$17+1)),0)</f>
        <v>0</v>
      </c>
      <c r="U200" s="10">
        <f>U199*(Presion_cilindro!O198/Presion_cilindro!O199)^Presion_cilindro!$B$9+10*(Presion_cilindro!$B$9-1)*Presion_cilindro!$B$33*(T200-T199)/((Presion_cilindro!O198+Presion_cilindro!O199)/2)</f>
        <v>1.5725951897228105</v>
      </c>
    </row>
    <row r="201" spans="14:21" x14ac:dyDescent="0.25">
      <c r="N201" s="8">
        <f>-Presion_cilindro!N200</f>
        <v>82</v>
      </c>
      <c r="O201" s="9">
        <f>IF(Presion_cilindro!N200&gt;$B$12,1-EXP(-Presion_cilindro!$B$16*((Presion_cilindro!N200-$B$12)/Presion_cilindro!$B$35)^(Presion_cilindro!$B$17+1)),0)</f>
        <v>0</v>
      </c>
      <c r="P201" s="10">
        <f>P200*(Presion_cilindro!O199/Presion_cilindro!O200)^Presion_cilindro!$B$9+10*(Presion_cilindro!$B$9-1)*Presion_cilindro!$B$33*(O201-O200)/((Presion_cilindro!O199+Presion_cilindro!O200)/2)</f>
        <v>1.58795716291778</v>
      </c>
      <c r="Q201" s="9">
        <f>IF(OR($B$9=0,Presion_cilindro!N200&lt;=$B$15),IF(Presion_cilindro!N200&gt;$B$13,1-EXP(-Presion_cilindro!$B$16*((Presion_cilindro!N200-$B$13)/Presion_cilindro!$B$35)^(Presion_cilindro!$B$17+1)),0),$B$8+(1-$B$8)*(1-EXP(-(Presion_cilindro!N200-$B$15)/Presion_cilindro!$B$23)))</f>
        <v>0</v>
      </c>
      <c r="R201" s="10">
        <f>R200*(Presion_cilindro!O199/Presion_cilindro!O200)^Presion_cilindro!$B$9+10*(Presion_cilindro!$B$9-1)*Presion_cilindro!$B$33*(Q201-Q200)/((Presion_cilindro!O199+Presion_cilindro!O200)/2)</f>
        <v>1.58795716291778</v>
      </c>
      <c r="S201" s="10">
        <f>R201+IF(AND($B$9=1,Presion_cilindro!N200&gt;$B$15),Presion_cilindro!$B$24*2.5*EXP(-(Presion_cilindro!N200-$B$15)/Presion_cilindro!$B$26)*SIN(2*PI()*(Presion_cilindro!N200-$B$15)/Presion_cilindro!$B$39),0)</f>
        <v>1.58795716291778</v>
      </c>
      <c r="T201" s="9">
        <f>IF(Presion_cilindro!N200&gt;$B$14,1-EXP(-Presion_cilindro!$B$16*((Presion_cilindro!N200-$B$14)/Presion_cilindro!$B$35)^(Presion_cilindro!$B$17+1)),0)</f>
        <v>0</v>
      </c>
      <c r="U201" s="10">
        <f>U200*(Presion_cilindro!O199/Presion_cilindro!O200)^Presion_cilindro!$B$9+10*(Presion_cilindro!$B$9-1)*Presion_cilindro!$B$33*(T201-T200)/((Presion_cilindro!O199+Presion_cilindro!O200)/2)</f>
        <v>1.58795716291778</v>
      </c>
    </row>
    <row r="202" spans="14:21" x14ac:dyDescent="0.25">
      <c r="N202" s="8">
        <f>-Presion_cilindro!N201</f>
        <v>81.5</v>
      </c>
      <c r="O202" s="9">
        <f>IF(Presion_cilindro!N201&gt;$B$12,1-EXP(-Presion_cilindro!$B$16*((Presion_cilindro!N201-$B$12)/Presion_cilindro!$B$35)^(Presion_cilindro!$B$17+1)),0)</f>
        <v>0</v>
      </c>
      <c r="P202" s="10">
        <f>P201*(Presion_cilindro!O200/Presion_cilindro!O201)^Presion_cilindro!$B$9+10*(Presion_cilindro!$B$9-1)*Presion_cilindro!$B$33*(O202-O201)/((Presion_cilindro!O200+Presion_cilindro!O201)/2)</f>
        <v>1.6036035481234829</v>
      </c>
      <c r="Q202" s="9">
        <f>IF(OR($B$9=0,Presion_cilindro!N201&lt;=$B$15),IF(Presion_cilindro!N201&gt;$B$13,1-EXP(-Presion_cilindro!$B$16*((Presion_cilindro!N201-$B$13)/Presion_cilindro!$B$35)^(Presion_cilindro!$B$17+1)),0),$B$8+(1-$B$8)*(1-EXP(-(Presion_cilindro!N201-$B$15)/Presion_cilindro!$B$23)))</f>
        <v>0</v>
      </c>
      <c r="R202" s="10">
        <f>R201*(Presion_cilindro!O200/Presion_cilindro!O201)^Presion_cilindro!$B$9+10*(Presion_cilindro!$B$9-1)*Presion_cilindro!$B$33*(Q202-Q201)/((Presion_cilindro!O200+Presion_cilindro!O201)/2)</f>
        <v>1.6036035481234829</v>
      </c>
      <c r="S202" s="10">
        <f>R202+IF(AND($B$9=1,Presion_cilindro!N201&gt;$B$15),Presion_cilindro!$B$24*2.5*EXP(-(Presion_cilindro!N201-$B$15)/Presion_cilindro!$B$26)*SIN(2*PI()*(Presion_cilindro!N201-$B$15)/Presion_cilindro!$B$39),0)</f>
        <v>1.6036035481234829</v>
      </c>
      <c r="T202" s="9">
        <f>IF(Presion_cilindro!N201&gt;$B$14,1-EXP(-Presion_cilindro!$B$16*((Presion_cilindro!N201-$B$14)/Presion_cilindro!$B$35)^(Presion_cilindro!$B$17+1)),0)</f>
        <v>0</v>
      </c>
      <c r="U202" s="10">
        <f>U201*(Presion_cilindro!O200/Presion_cilindro!O201)^Presion_cilindro!$B$9+10*(Presion_cilindro!$B$9-1)*Presion_cilindro!$B$33*(T202-T201)/((Presion_cilindro!O200+Presion_cilindro!O201)/2)</f>
        <v>1.6036035481234829</v>
      </c>
    </row>
    <row r="203" spans="14:21" x14ac:dyDescent="0.25">
      <c r="N203" s="8">
        <f>-Presion_cilindro!N202</f>
        <v>81</v>
      </c>
      <c r="O203" s="9">
        <f>IF(Presion_cilindro!N202&gt;$B$12,1-EXP(-Presion_cilindro!$B$16*((Presion_cilindro!N202-$B$12)/Presion_cilindro!$B$35)^(Presion_cilindro!$B$17+1)),0)</f>
        <v>0</v>
      </c>
      <c r="P203" s="10">
        <f>P202*(Presion_cilindro!O201/Presion_cilindro!O202)^Presion_cilindro!$B$9+10*(Presion_cilindro!$B$9-1)*Presion_cilindro!$B$33*(O203-O202)/((Presion_cilindro!O201+Presion_cilindro!O202)/2)</f>
        <v>1.6195405583485831</v>
      </c>
      <c r="Q203" s="9">
        <f>IF(OR($B$9=0,Presion_cilindro!N202&lt;=$B$15),IF(Presion_cilindro!N202&gt;$B$13,1-EXP(-Presion_cilindro!$B$16*((Presion_cilindro!N202-$B$13)/Presion_cilindro!$B$35)^(Presion_cilindro!$B$17+1)),0),$B$8+(1-$B$8)*(1-EXP(-(Presion_cilindro!N202-$B$15)/Presion_cilindro!$B$23)))</f>
        <v>0</v>
      </c>
      <c r="R203" s="10">
        <f>R202*(Presion_cilindro!O201/Presion_cilindro!O202)^Presion_cilindro!$B$9+10*(Presion_cilindro!$B$9-1)*Presion_cilindro!$B$33*(Q203-Q202)/((Presion_cilindro!O201+Presion_cilindro!O202)/2)</f>
        <v>1.6195405583485831</v>
      </c>
      <c r="S203" s="10">
        <f>R203+IF(AND($B$9=1,Presion_cilindro!N202&gt;$B$15),Presion_cilindro!$B$24*2.5*EXP(-(Presion_cilindro!N202-$B$15)/Presion_cilindro!$B$26)*SIN(2*PI()*(Presion_cilindro!N202-$B$15)/Presion_cilindro!$B$39),0)</f>
        <v>1.6195405583485831</v>
      </c>
      <c r="T203" s="9">
        <f>IF(Presion_cilindro!N202&gt;$B$14,1-EXP(-Presion_cilindro!$B$16*((Presion_cilindro!N202-$B$14)/Presion_cilindro!$B$35)^(Presion_cilindro!$B$17+1)),0)</f>
        <v>0</v>
      </c>
      <c r="U203" s="10">
        <f>U202*(Presion_cilindro!O201/Presion_cilindro!O202)^Presion_cilindro!$B$9+10*(Presion_cilindro!$B$9-1)*Presion_cilindro!$B$33*(T203-T202)/((Presion_cilindro!O201+Presion_cilindro!O202)/2)</f>
        <v>1.6195405583485831</v>
      </c>
    </row>
    <row r="204" spans="14:21" x14ac:dyDescent="0.25">
      <c r="N204" s="8">
        <f>-Presion_cilindro!N203</f>
        <v>80.5</v>
      </c>
      <c r="O204" s="9">
        <f>IF(Presion_cilindro!N203&gt;$B$12,1-EXP(-Presion_cilindro!$B$16*((Presion_cilindro!N203-$B$12)/Presion_cilindro!$B$35)^(Presion_cilindro!$B$17+1)),0)</f>
        <v>0</v>
      </c>
      <c r="P204" s="10">
        <f>P203*(Presion_cilindro!O202/Presion_cilindro!O203)^Presion_cilindro!$B$9+10*(Presion_cilindro!$B$9-1)*Presion_cilindro!$B$33*(O204-O203)/((Presion_cilindro!O202+Presion_cilindro!O203)/2)</f>
        <v>1.6357745644033881</v>
      </c>
      <c r="Q204" s="9">
        <f>IF(OR($B$9=0,Presion_cilindro!N203&lt;=$B$15),IF(Presion_cilindro!N203&gt;$B$13,1-EXP(-Presion_cilindro!$B$16*((Presion_cilindro!N203-$B$13)/Presion_cilindro!$B$35)^(Presion_cilindro!$B$17+1)),0),$B$8+(1-$B$8)*(1-EXP(-(Presion_cilindro!N203-$B$15)/Presion_cilindro!$B$23)))</f>
        <v>0</v>
      </c>
      <c r="R204" s="10">
        <f>R203*(Presion_cilindro!O202/Presion_cilindro!O203)^Presion_cilindro!$B$9+10*(Presion_cilindro!$B$9-1)*Presion_cilindro!$B$33*(Q204-Q203)/((Presion_cilindro!O202+Presion_cilindro!O203)/2)</f>
        <v>1.6357745644033881</v>
      </c>
      <c r="S204" s="10">
        <f>R204+IF(AND($B$9=1,Presion_cilindro!N203&gt;$B$15),Presion_cilindro!$B$24*2.5*EXP(-(Presion_cilindro!N203-$B$15)/Presion_cilindro!$B$26)*SIN(2*PI()*(Presion_cilindro!N203-$B$15)/Presion_cilindro!$B$39),0)</f>
        <v>1.6357745644033881</v>
      </c>
      <c r="T204" s="9">
        <f>IF(Presion_cilindro!N203&gt;$B$14,1-EXP(-Presion_cilindro!$B$16*((Presion_cilindro!N203-$B$14)/Presion_cilindro!$B$35)^(Presion_cilindro!$B$17+1)),0)</f>
        <v>0</v>
      </c>
      <c r="U204" s="10">
        <f>U203*(Presion_cilindro!O202/Presion_cilindro!O203)^Presion_cilindro!$B$9+10*(Presion_cilindro!$B$9-1)*Presion_cilindro!$B$33*(T204-T203)/((Presion_cilindro!O202+Presion_cilindro!O203)/2)</f>
        <v>1.6357745644033881</v>
      </c>
    </row>
    <row r="205" spans="14:21" x14ac:dyDescent="0.25">
      <c r="N205" s="8">
        <f>-Presion_cilindro!N204</f>
        <v>80</v>
      </c>
      <c r="O205" s="9">
        <f>IF(Presion_cilindro!N204&gt;$B$12,1-EXP(-Presion_cilindro!$B$16*((Presion_cilindro!N204-$B$12)/Presion_cilindro!$B$35)^(Presion_cilindro!$B$17+1)),0)</f>
        <v>0</v>
      </c>
      <c r="P205" s="10">
        <f>P204*(Presion_cilindro!O203/Presion_cilindro!O204)^Presion_cilindro!$B$9+10*(Presion_cilindro!$B$9-1)*Presion_cilindro!$B$33*(O205-O204)/((Presion_cilindro!O203+Presion_cilindro!O204)/2)</f>
        <v>1.6523120992298961</v>
      </c>
      <c r="Q205" s="9">
        <f>IF(OR($B$9=0,Presion_cilindro!N204&lt;=$B$15),IF(Presion_cilindro!N204&gt;$B$13,1-EXP(-Presion_cilindro!$B$16*((Presion_cilindro!N204-$B$13)/Presion_cilindro!$B$35)^(Presion_cilindro!$B$17+1)),0),$B$8+(1-$B$8)*(1-EXP(-(Presion_cilindro!N204-$B$15)/Presion_cilindro!$B$23)))</f>
        <v>0</v>
      </c>
      <c r="R205" s="10">
        <f>R204*(Presion_cilindro!O203/Presion_cilindro!O204)^Presion_cilindro!$B$9+10*(Presion_cilindro!$B$9-1)*Presion_cilindro!$B$33*(Q205-Q204)/((Presion_cilindro!O203+Presion_cilindro!O204)/2)</f>
        <v>1.6523120992298961</v>
      </c>
      <c r="S205" s="10">
        <f>R205+IF(AND($B$9=1,Presion_cilindro!N204&gt;$B$15),Presion_cilindro!$B$24*2.5*EXP(-(Presion_cilindro!N204-$B$15)/Presion_cilindro!$B$26)*SIN(2*PI()*(Presion_cilindro!N204-$B$15)/Presion_cilindro!$B$39),0)</f>
        <v>1.6523120992298961</v>
      </c>
      <c r="T205" s="9">
        <f>IF(Presion_cilindro!N204&gt;$B$14,1-EXP(-Presion_cilindro!$B$16*((Presion_cilindro!N204-$B$14)/Presion_cilindro!$B$35)^(Presion_cilindro!$B$17+1)),0)</f>
        <v>0</v>
      </c>
      <c r="U205" s="10">
        <f>U204*(Presion_cilindro!O203/Presion_cilindro!O204)^Presion_cilindro!$B$9+10*(Presion_cilindro!$B$9-1)*Presion_cilindro!$B$33*(T205-T204)/((Presion_cilindro!O203+Presion_cilindro!O204)/2)</f>
        <v>1.6523120992298961</v>
      </c>
    </row>
    <row r="206" spans="14:21" x14ac:dyDescent="0.25">
      <c r="N206" s="8">
        <f>-Presion_cilindro!N205</f>
        <v>79.5</v>
      </c>
      <c r="O206" s="9">
        <f>IF(Presion_cilindro!N205&gt;$B$12,1-EXP(-Presion_cilindro!$B$16*((Presion_cilindro!N205-$B$12)/Presion_cilindro!$B$35)^(Presion_cilindro!$B$17+1)),0)</f>
        <v>0</v>
      </c>
      <c r="P206" s="10">
        <f>P205*(Presion_cilindro!O204/Presion_cilindro!O205)^Presion_cilindro!$B$9+10*(Presion_cilindro!$B$9-1)*Presion_cilindro!$B$33*(O206-O205)/((Presion_cilindro!O204+Presion_cilindro!O205)/2)</f>
        <v>1.6691598623504647</v>
      </c>
      <c r="Q206" s="9">
        <f>IF(OR($B$9=0,Presion_cilindro!N205&lt;=$B$15),IF(Presion_cilindro!N205&gt;$B$13,1-EXP(-Presion_cilindro!$B$16*((Presion_cilindro!N205-$B$13)/Presion_cilindro!$B$35)^(Presion_cilindro!$B$17+1)),0),$B$8+(1-$B$8)*(1-EXP(-(Presion_cilindro!N205-$B$15)/Presion_cilindro!$B$23)))</f>
        <v>0</v>
      </c>
      <c r="R206" s="10">
        <f>R205*(Presion_cilindro!O204/Presion_cilindro!O205)^Presion_cilindro!$B$9+10*(Presion_cilindro!$B$9-1)*Presion_cilindro!$B$33*(Q206-Q205)/((Presion_cilindro!O204+Presion_cilindro!O205)/2)</f>
        <v>1.6691598623504647</v>
      </c>
      <c r="S206" s="10">
        <f>R206+IF(AND($B$9=1,Presion_cilindro!N205&gt;$B$15),Presion_cilindro!$B$24*2.5*EXP(-(Presion_cilindro!N205-$B$15)/Presion_cilindro!$B$26)*SIN(2*PI()*(Presion_cilindro!N205-$B$15)/Presion_cilindro!$B$39),0)</f>
        <v>1.6691598623504647</v>
      </c>
      <c r="T206" s="9">
        <f>IF(Presion_cilindro!N205&gt;$B$14,1-EXP(-Presion_cilindro!$B$16*((Presion_cilindro!N205-$B$14)/Presion_cilindro!$B$35)^(Presion_cilindro!$B$17+1)),0)</f>
        <v>0</v>
      </c>
      <c r="U206" s="10">
        <f>U205*(Presion_cilindro!O204/Presion_cilindro!O205)^Presion_cilindro!$B$9+10*(Presion_cilindro!$B$9-1)*Presion_cilindro!$B$33*(T206-T205)/((Presion_cilindro!O204+Presion_cilindro!O205)/2)</f>
        <v>1.6691598623504647</v>
      </c>
    </row>
    <row r="207" spans="14:21" x14ac:dyDescent="0.25">
      <c r="N207" s="8">
        <f>-Presion_cilindro!N206</f>
        <v>79</v>
      </c>
      <c r="O207" s="9">
        <f>IF(Presion_cilindro!N206&gt;$B$12,1-EXP(-Presion_cilindro!$B$16*((Presion_cilindro!N206-$B$12)/Presion_cilindro!$B$35)^(Presion_cilindro!$B$17+1)),0)</f>
        <v>0</v>
      </c>
      <c r="P207" s="10">
        <f>P206*(Presion_cilindro!O205/Presion_cilindro!O206)^Presion_cilindro!$B$9+10*(Presion_cilindro!$B$9-1)*Presion_cilindro!$B$33*(O207-O206)/((Presion_cilindro!O205+Presion_cilindro!O206)/2)</f>
        <v>1.6863247244377333</v>
      </c>
      <c r="Q207" s="9">
        <f>IF(OR($B$9=0,Presion_cilindro!N206&lt;=$B$15),IF(Presion_cilindro!N206&gt;$B$13,1-EXP(-Presion_cilindro!$B$16*((Presion_cilindro!N206-$B$13)/Presion_cilindro!$B$35)^(Presion_cilindro!$B$17+1)),0),$B$8+(1-$B$8)*(1-EXP(-(Presion_cilindro!N206-$B$15)/Presion_cilindro!$B$23)))</f>
        <v>0</v>
      </c>
      <c r="R207" s="10">
        <f>R206*(Presion_cilindro!O205/Presion_cilindro!O206)^Presion_cilindro!$B$9+10*(Presion_cilindro!$B$9-1)*Presion_cilindro!$B$33*(Q207-Q206)/((Presion_cilindro!O205+Presion_cilindro!O206)/2)</f>
        <v>1.6863247244377333</v>
      </c>
      <c r="S207" s="10">
        <f>R207+IF(AND($B$9=1,Presion_cilindro!N206&gt;$B$15),Presion_cilindro!$B$24*2.5*EXP(-(Presion_cilindro!N206-$B$15)/Presion_cilindro!$B$26)*SIN(2*PI()*(Presion_cilindro!N206-$B$15)/Presion_cilindro!$B$39),0)</f>
        <v>1.6863247244377333</v>
      </c>
      <c r="T207" s="9">
        <f>IF(Presion_cilindro!N206&gt;$B$14,1-EXP(-Presion_cilindro!$B$16*((Presion_cilindro!N206-$B$14)/Presion_cilindro!$B$35)^(Presion_cilindro!$B$17+1)),0)</f>
        <v>0</v>
      </c>
      <c r="U207" s="10">
        <f>U206*(Presion_cilindro!O205/Presion_cilindro!O206)^Presion_cilindro!$B$9+10*(Presion_cilindro!$B$9-1)*Presion_cilindro!$B$33*(T207-T206)/((Presion_cilindro!O205+Presion_cilindro!O206)/2)</f>
        <v>1.6863247244377333</v>
      </c>
    </row>
    <row r="208" spans="14:21" x14ac:dyDescent="0.25">
      <c r="N208" s="8">
        <f>-Presion_cilindro!N207</f>
        <v>78.5</v>
      </c>
      <c r="O208" s="9">
        <f>IF(Presion_cilindro!N207&gt;$B$12,1-EXP(-Presion_cilindro!$B$16*((Presion_cilindro!N207-$B$12)/Presion_cilindro!$B$35)^(Presion_cilindro!$B$17+1)),0)</f>
        <v>0</v>
      </c>
      <c r="P208" s="10">
        <f>P207*(Presion_cilindro!O206/Presion_cilindro!O207)^Presion_cilindro!$B$9+10*(Presion_cilindro!$B$9-1)*Presion_cilindro!$B$33*(O208-O207)/((Presion_cilindro!O206+Presion_cilindro!O207)/2)</f>
        <v>1.7038137320083881</v>
      </c>
      <c r="Q208" s="9">
        <f>IF(OR($B$9=0,Presion_cilindro!N207&lt;=$B$15),IF(Presion_cilindro!N207&gt;$B$13,1-EXP(-Presion_cilindro!$B$16*((Presion_cilindro!N207-$B$13)/Presion_cilindro!$B$35)^(Presion_cilindro!$B$17+1)),0),$B$8+(1-$B$8)*(1-EXP(-(Presion_cilindro!N207-$B$15)/Presion_cilindro!$B$23)))</f>
        <v>0</v>
      </c>
      <c r="R208" s="10">
        <f>R207*(Presion_cilindro!O206/Presion_cilindro!O207)^Presion_cilindro!$B$9+10*(Presion_cilindro!$B$9-1)*Presion_cilindro!$B$33*(Q208-Q207)/((Presion_cilindro!O206+Presion_cilindro!O207)/2)</f>
        <v>1.7038137320083881</v>
      </c>
      <c r="S208" s="10">
        <f>R208+IF(AND($B$9=1,Presion_cilindro!N207&gt;$B$15),Presion_cilindro!$B$24*2.5*EXP(-(Presion_cilindro!N207-$B$15)/Presion_cilindro!$B$26)*SIN(2*PI()*(Presion_cilindro!N207-$B$15)/Presion_cilindro!$B$39),0)</f>
        <v>1.7038137320083881</v>
      </c>
      <c r="T208" s="9">
        <f>IF(Presion_cilindro!N207&gt;$B$14,1-EXP(-Presion_cilindro!$B$16*((Presion_cilindro!N207-$B$14)/Presion_cilindro!$B$35)^(Presion_cilindro!$B$17+1)),0)</f>
        <v>0</v>
      </c>
      <c r="U208" s="10">
        <f>U207*(Presion_cilindro!O206/Presion_cilindro!O207)^Presion_cilindro!$B$9+10*(Presion_cilindro!$B$9-1)*Presion_cilindro!$B$33*(T208-T207)/((Presion_cilindro!O206+Presion_cilindro!O207)/2)</f>
        <v>1.7038137320083881</v>
      </c>
    </row>
    <row r="209" spans="14:21" x14ac:dyDescent="0.25">
      <c r="N209" s="8">
        <f>-Presion_cilindro!N208</f>
        <v>78</v>
      </c>
      <c r="O209" s="9">
        <f>IF(Presion_cilindro!N208&gt;$B$12,1-EXP(-Presion_cilindro!$B$16*((Presion_cilindro!N208-$B$12)/Presion_cilindro!$B$35)^(Presion_cilindro!$B$17+1)),0)</f>
        <v>0</v>
      </c>
      <c r="P209" s="10">
        <f>P208*(Presion_cilindro!O207/Presion_cilindro!O208)^Presion_cilindro!$B$9+10*(Presion_cilindro!$B$9-1)*Presion_cilindro!$B$33*(O209-O208)/((Presion_cilindro!O207+Presion_cilindro!O208)/2)</f>
        <v>1.7216341122433765</v>
      </c>
      <c r="Q209" s="9">
        <f>IF(OR($B$9=0,Presion_cilindro!N208&lt;=$B$15),IF(Presion_cilindro!N208&gt;$B$13,1-EXP(-Presion_cilindro!$B$16*((Presion_cilindro!N208-$B$13)/Presion_cilindro!$B$35)^(Presion_cilindro!$B$17+1)),0),$B$8+(1-$B$8)*(1-EXP(-(Presion_cilindro!N208-$B$15)/Presion_cilindro!$B$23)))</f>
        <v>0</v>
      </c>
      <c r="R209" s="10">
        <f>R208*(Presion_cilindro!O207/Presion_cilindro!O208)^Presion_cilindro!$B$9+10*(Presion_cilindro!$B$9-1)*Presion_cilindro!$B$33*(Q209-Q208)/((Presion_cilindro!O207+Presion_cilindro!O208)/2)</f>
        <v>1.7216341122433765</v>
      </c>
      <c r="S209" s="10">
        <f>R209+IF(AND($B$9=1,Presion_cilindro!N208&gt;$B$15),Presion_cilindro!$B$24*2.5*EXP(-(Presion_cilindro!N208-$B$15)/Presion_cilindro!$B$26)*SIN(2*PI()*(Presion_cilindro!N208-$B$15)/Presion_cilindro!$B$39),0)</f>
        <v>1.7216341122433765</v>
      </c>
      <c r="T209" s="9">
        <f>IF(Presion_cilindro!N208&gt;$B$14,1-EXP(-Presion_cilindro!$B$16*((Presion_cilindro!N208-$B$14)/Presion_cilindro!$B$35)^(Presion_cilindro!$B$17+1)),0)</f>
        <v>0</v>
      </c>
      <c r="U209" s="10">
        <f>U208*(Presion_cilindro!O207/Presion_cilindro!O208)^Presion_cilindro!$B$9+10*(Presion_cilindro!$B$9-1)*Presion_cilindro!$B$33*(T209-T208)/((Presion_cilindro!O207+Presion_cilindro!O208)/2)</f>
        <v>1.7216341122433765</v>
      </c>
    </row>
    <row r="210" spans="14:21" x14ac:dyDescent="0.25">
      <c r="N210" s="8">
        <f>-Presion_cilindro!N209</f>
        <v>77.5</v>
      </c>
      <c r="O210" s="9">
        <f>IF(Presion_cilindro!N209&gt;$B$12,1-EXP(-Presion_cilindro!$B$16*((Presion_cilindro!N209-$B$12)/Presion_cilindro!$B$35)^(Presion_cilindro!$B$17+1)),0)</f>
        <v>0</v>
      </c>
      <c r="P210" s="10">
        <f>P209*(Presion_cilindro!O208/Presion_cilindro!O209)^Presion_cilindro!$B$9+10*(Presion_cilindro!$B$9-1)*Presion_cilindro!$B$33*(O210-O209)/((Presion_cilindro!O208+Presion_cilindro!O209)/2)</f>
        <v>1.7397932779371021</v>
      </c>
      <c r="Q210" s="9">
        <f>IF(OR($B$9=0,Presion_cilindro!N209&lt;=$B$15),IF(Presion_cilindro!N209&gt;$B$13,1-EXP(-Presion_cilindro!$B$16*((Presion_cilindro!N209-$B$13)/Presion_cilindro!$B$35)^(Presion_cilindro!$B$17+1)),0),$B$8+(1-$B$8)*(1-EXP(-(Presion_cilindro!N209-$B$15)/Presion_cilindro!$B$23)))</f>
        <v>0</v>
      </c>
      <c r="R210" s="10">
        <f>R209*(Presion_cilindro!O208/Presion_cilindro!O209)^Presion_cilindro!$B$9+10*(Presion_cilindro!$B$9-1)*Presion_cilindro!$B$33*(Q210-Q209)/((Presion_cilindro!O208+Presion_cilindro!O209)/2)</f>
        <v>1.7397932779371021</v>
      </c>
      <c r="S210" s="10">
        <f>R210+IF(AND($B$9=1,Presion_cilindro!N209&gt;$B$15),Presion_cilindro!$B$24*2.5*EXP(-(Presion_cilindro!N209-$B$15)/Presion_cilindro!$B$26)*SIN(2*PI()*(Presion_cilindro!N209-$B$15)/Presion_cilindro!$B$39),0)</f>
        <v>1.7397932779371021</v>
      </c>
      <c r="T210" s="9">
        <f>IF(Presion_cilindro!N209&gt;$B$14,1-EXP(-Presion_cilindro!$B$16*((Presion_cilindro!N209-$B$14)/Presion_cilindro!$B$35)^(Presion_cilindro!$B$17+1)),0)</f>
        <v>0</v>
      </c>
      <c r="U210" s="10">
        <f>U209*(Presion_cilindro!O208/Presion_cilindro!O209)^Presion_cilindro!$B$9+10*(Presion_cilindro!$B$9-1)*Presion_cilindro!$B$33*(T210-T209)/((Presion_cilindro!O208+Presion_cilindro!O209)/2)</f>
        <v>1.7397932779371021</v>
      </c>
    </row>
    <row r="211" spans="14:21" x14ac:dyDescent="0.25">
      <c r="N211" s="8">
        <f>-Presion_cilindro!N210</f>
        <v>77</v>
      </c>
      <c r="O211" s="9">
        <f>IF(Presion_cilindro!N210&gt;$B$12,1-EXP(-Presion_cilindro!$B$16*((Presion_cilindro!N210-$B$12)/Presion_cilindro!$B$35)^(Presion_cilindro!$B$17+1)),0)</f>
        <v>0</v>
      </c>
      <c r="P211" s="10">
        <f>P210*(Presion_cilindro!O209/Presion_cilindro!O210)^Presion_cilindro!$B$9+10*(Presion_cilindro!$B$9-1)*Presion_cilindro!$B$33*(O211-O210)/((Presion_cilindro!O209+Presion_cilindro!O210)/2)</f>
        <v>1.758298832578121</v>
      </c>
      <c r="Q211" s="9">
        <f>IF(OR($B$9=0,Presion_cilindro!N210&lt;=$B$15),IF(Presion_cilindro!N210&gt;$B$13,1-EXP(-Presion_cilindro!$B$16*((Presion_cilindro!N210-$B$13)/Presion_cilindro!$B$35)^(Presion_cilindro!$B$17+1)),0),$B$8+(1-$B$8)*(1-EXP(-(Presion_cilindro!N210-$B$15)/Presion_cilindro!$B$23)))</f>
        <v>0</v>
      </c>
      <c r="R211" s="10">
        <f>R210*(Presion_cilindro!O209/Presion_cilindro!O210)^Presion_cilindro!$B$9+10*(Presion_cilindro!$B$9-1)*Presion_cilindro!$B$33*(Q211-Q210)/((Presion_cilindro!O209+Presion_cilindro!O210)/2)</f>
        <v>1.758298832578121</v>
      </c>
      <c r="S211" s="10">
        <f>R211+IF(AND($B$9=1,Presion_cilindro!N210&gt;$B$15),Presion_cilindro!$B$24*2.5*EXP(-(Presion_cilindro!N210-$B$15)/Presion_cilindro!$B$26)*SIN(2*PI()*(Presion_cilindro!N210-$B$15)/Presion_cilindro!$B$39),0)</f>
        <v>1.758298832578121</v>
      </c>
      <c r="T211" s="9">
        <f>IF(Presion_cilindro!N210&gt;$B$14,1-EXP(-Presion_cilindro!$B$16*((Presion_cilindro!N210-$B$14)/Presion_cilindro!$B$35)^(Presion_cilindro!$B$17+1)),0)</f>
        <v>0</v>
      </c>
      <c r="U211" s="10">
        <f>U210*(Presion_cilindro!O209/Presion_cilindro!O210)^Presion_cilindro!$B$9+10*(Presion_cilindro!$B$9-1)*Presion_cilindro!$B$33*(T211-T210)/((Presion_cilindro!O209+Presion_cilindro!O210)/2)</f>
        <v>1.758298832578121</v>
      </c>
    </row>
    <row r="212" spans="14:21" x14ac:dyDescent="0.25">
      <c r="N212" s="8">
        <f>-Presion_cilindro!N211</f>
        <v>76.5</v>
      </c>
      <c r="O212" s="9">
        <f>IF(Presion_cilindro!N211&gt;$B$12,1-EXP(-Presion_cilindro!$B$16*((Presion_cilindro!N211-$B$12)/Presion_cilindro!$B$35)^(Presion_cilindro!$B$17+1)),0)</f>
        <v>0</v>
      </c>
      <c r="P212" s="10">
        <f>P211*(Presion_cilindro!O210/Presion_cilindro!O211)^Presion_cilindro!$B$9+10*(Presion_cilindro!$B$9-1)*Presion_cilindro!$B$33*(O212-O211)/((Presion_cilindro!O210+Presion_cilindro!O211)/2)</f>
        <v>1.7771585755638371</v>
      </c>
      <c r="Q212" s="9">
        <f>IF(OR($B$9=0,Presion_cilindro!N211&lt;=$B$15),IF(Presion_cilindro!N211&gt;$B$13,1-EXP(-Presion_cilindro!$B$16*((Presion_cilindro!N211-$B$13)/Presion_cilindro!$B$35)^(Presion_cilindro!$B$17+1)),0),$B$8+(1-$B$8)*(1-EXP(-(Presion_cilindro!N211-$B$15)/Presion_cilindro!$B$23)))</f>
        <v>0</v>
      </c>
      <c r="R212" s="10">
        <f>R211*(Presion_cilindro!O210/Presion_cilindro!O211)^Presion_cilindro!$B$9+10*(Presion_cilindro!$B$9-1)*Presion_cilindro!$B$33*(Q212-Q211)/((Presion_cilindro!O210+Presion_cilindro!O211)/2)</f>
        <v>1.7771585755638371</v>
      </c>
      <c r="S212" s="10">
        <f>R212+IF(AND($B$9=1,Presion_cilindro!N211&gt;$B$15),Presion_cilindro!$B$24*2.5*EXP(-(Presion_cilindro!N211-$B$15)/Presion_cilindro!$B$26)*SIN(2*PI()*(Presion_cilindro!N211-$B$15)/Presion_cilindro!$B$39),0)</f>
        <v>1.7771585755638371</v>
      </c>
      <c r="T212" s="9">
        <f>IF(Presion_cilindro!N211&gt;$B$14,1-EXP(-Presion_cilindro!$B$16*((Presion_cilindro!N211-$B$14)/Presion_cilindro!$B$35)^(Presion_cilindro!$B$17+1)),0)</f>
        <v>0</v>
      </c>
      <c r="U212" s="10">
        <f>U211*(Presion_cilindro!O210/Presion_cilindro!O211)^Presion_cilindro!$B$9+10*(Presion_cilindro!$B$9-1)*Presion_cilindro!$B$33*(T212-T211)/((Presion_cilindro!O210+Presion_cilindro!O211)/2)</f>
        <v>1.7771585755638371</v>
      </c>
    </row>
    <row r="213" spans="14:21" x14ac:dyDescent="0.25">
      <c r="N213" s="8">
        <f>-Presion_cilindro!N212</f>
        <v>76</v>
      </c>
      <c r="O213" s="9">
        <f>IF(Presion_cilindro!N212&gt;$B$12,1-EXP(-Presion_cilindro!$B$16*((Presion_cilindro!N212-$B$12)/Presion_cilindro!$B$35)^(Presion_cilindro!$B$17+1)),0)</f>
        <v>0</v>
      </c>
      <c r="P213" s="10">
        <f>P212*(Presion_cilindro!O211/Presion_cilindro!O212)^Presion_cilindro!$B$9+10*(Presion_cilindro!$B$9-1)*Presion_cilindro!$B$33*(O213-O212)/((Presion_cilindro!O211+Presion_cilindro!O212)/2)</f>
        <v>1.7963805075515631</v>
      </c>
      <c r="Q213" s="9">
        <f>IF(OR($B$9=0,Presion_cilindro!N212&lt;=$B$15),IF(Presion_cilindro!N212&gt;$B$13,1-EXP(-Presion_cilindro!$B$16*((Presion_cilindro!N212-$B$13)/Presion_cilindro!$B$35)^(Presion_cilindro!$B$17+1)),0),$B$8+(1-$B$8)*(1-EXP(-(Presion_cilindro!N212-$B$15)/Presion_cilindro!$B$23)))</f>
        <v>0</v>
      </c>
      <c r="R213" s="10">
        <f>R212*(Presion_cilindro!O211/Presion_cilindro!O212)^Presion_cilindro!$B$9+10*(Presion_cilindro!$B$9-1)*Presion_cilindro!$B$33*(Q213-Q212)/((Presion_cilindro!O211+Presion_cilindro!O212)/2)</f>
        <v>1.7963805075515631</v>
      </c>
      <c r="S213" s="10">
        <f>R213+IF(AND($B$9=1,Presion_cilindro!N212&gt;$B$15),Presion_cilindro!$B$24*2.5*EXP(-(Presion_cilindro!N212-$B$15)/Presion_cilindro!$B$26)*SIN(2*PI()*(Presion_cilindro!N212-$B$15)/Presion_cilindro!$B$39),0)</f>
        <v>1.7963805075515631</v>
      </c>
      <c r="T213" s="9">
        <f>IF(Presion_cilindro!N212&gt;$B$14,1-EXP(-Presion_cilindro!$B$16*((Presion_cilindro!N212-$B$14)/Presion_cilindro!$B$35)^(Presion_cilindro!$B$17+1)),0)</f>
        <v>0</v>
      </c>
      <c r="U213" s="10">
        <f>U212*(Presion_cilindro!O211/Presion_cilindro!O212)^Presion_cilindro!$B$9+10*(Presion_cilindro!$B$9-1)*Presion_cilindro!$B$33*(T213-T212)/((Presion_cilindro!O211+Presion_cilindro!O212)/2)</f>
        <v>1.7963805075515631</v>
      </c>
    </row>
    <row r="214" spans="14:21" x14ac:dyDescent="0.25">
      <c r="N214" s="8">
        <f>-Presion_cilindro!N213</f>
        <v>75.5</v>
      </c>
      <c r="O214" s="9">
        <f>IF(Presion_cilindro!N213&gt;$B$12,1-EXP(-Presion_cilindro!$B$16*((Presion_cilindro!N213-$B$12)/Presion_cilindro!$B$35)^(Presion_cilindro!$B$17+1)),0)</f>
        <v>0</v>
      </c>
      <c r="P214" s="10">
        <f>P213*(Presion_cilindro!O212/Presion_cilindro!O213)^Presion_cilindro!$B$9+10*(Presion_cilindro!$B$9-1)*Presion_cilindro!$B$33*(O214-O213)/((Presion_cilindro!O212+Presion_cilindro!O213)/2)</f>
        <v>1.8159728359482918</v>
      </c>
      <c r="Q214" s="9">
        <f>IF(OR($B$9=0,Presion_cilindro!N213&lt;=$B$15),IF(Presion_cilindro!N213&gt;$B$13,1-EXP(-Presion_cilindro!$B$16*((Presion_cilindro!N213-$B$13)/Presion_cilindro!$B$35)^(Presion_cilindro!$B$17+1)),0),$B$8+(1-$B$8)*(1-EXP(-(Presion_cilindro!N213-$B$15)/Presion_cilindro!$B$23)))</f>
        <v>0</v>
      </c>
      <c r="R214" s="10">
        <f>R213*(Presion_cilindro!O212/Presion_cilindro!O213)^Presion_cilindro!$B$9+10*(Presion_cilindro!$B$9-1)*Presion_cilindro!$B$33*(Q214-Q213)/((Presion_cilindro!O212+Presion_cilindro!O213)/2)</f>
        <v>1.8159728359482918</v>
      </c>
      <c r="S214" s="10">
        <f>R214+IF(AND($B$9=1,Presion_cilindro!N213&gt;$B$15),Presion_cilindro!$B$24*2.5*EXP(-(Presion_cilindro!N213-$B$15)/Presion_cilindro!$B$26)*SIN(2*PI()*(Presion_cilindro!N213-$B$15)/Presion_cilindro!$B$39),0)</f>
        <v>1.8159728359482918</v>
      </c>
      <c r="T214" s="9">
        <f>IF(Presion_cilindro!N213&gt;$B$14,1-EXP(-Presion_cilindro!$B$16*((Presion_cilindro!N213-$B$14)/Presion_cilindro!$B$35)^(Presion_cilindro!$B$17+1)),0)</f>
        <v>0</v>
      </c>
      <c r="U214" s="10">
        <f>U213*(Presion_cilindro!O212/Presion_cilindro!O213)^Presion_cilindro!$B$9+10*(Presion_cilindro!$B$9-1)*Presion_cilindro!$B$33*(T214-T213)/((Presion_cilindro!O212+Presion_cilindro!O213)/2)</f>
        <v>1.8159728359482918</v>
      </c>
    </row>
    <row r="215" spans="14:21" x14ac:dyDescent="0.25">
      <c r="N215" s="8">
        <f>-Presion_cilindro!N214</f>
        <v>75</v>
      </c>
      <c r="O215" s="9">
        <f>IF(Presion_cilindro!N214&gt;$B$12,1-EXP(-Presion_cilindro!$B$16*((Presion_cilindro!N214-$B$12)/Presion_cilindro!$B$35)^(Presion_cilindro!$B$17+1)),0)</f>
        <v>0</v>
      </c>
      <c r="P215" s="10">
        <f>P214*(Presion_cilindro!O213/Presion_cilindro!O214)^Presion_cilindro!$B$9+10*(Presion_cilindro!$B$9-1)*Presion_cilindro!$B$33*(O215-O214)/((Presion_cilindro!O213+Presion_cilindro!O214)/2)</f>
        <v>1.8359439805414342</v>
      </c>
      <c r="Q215" s="9">
        <f>IF(OR($B$9=0,Presion_cilindro!N214&lt;=$B$15),IF(Presion_cilindro!N214&gt;$B$13,1-EXP(-Presion_cilindro!$B$16*((Presion_cilindro!N214-$B$13)/Presion_cilindro!$B$35)^(Presion_cilindro!$B$17+1)),0),$B$8+(1-$B$8)*(1-EXP(-(Presion_cilindro!N214-$B$15)/Presion_cilindro!$B$23)))</f>
        <v>0</v>
      </c>
      <c r="R215" s="10">
        <f>R214*(Presion_cilindro!O213/Presion_cilindro!O214)^Presion_cilindro!$B$9+10*(Presion_cilindro!$B$9-1)*Presion_cilindro!$B$33*(Q215-Q214)/((Presion_cilindro!O213+Presion_cilindro!O214)/2)</f>
        <v>1.8359439805414342</v>
      </c>
      <c r="S215" s="10">
        <f>R215+IF(AND($B$9=1,Presion_cilindro!N214&gt;$B$15),Presion_cilindro!$B$24*2.5*EXP(-(Presion_cilindro!N214-$B$15)/Presion_cilindro!$B$26)*SIN(2*PI()*(Presion_cilindro!N214-$B$15)/Presion_cilindro!$B$39),0)</f>
        <v>1.8359439805414342</v>
      </c>
      <c r="T215" s="9">
        <f>IF(Presion_cilindro!N214&gt;$B$14,1-EXP(-Presion_cilindro!$B$16*((Presion_cilindro!N214-$B$14)/Presion_cilindro!$B$35)^(Presion_cilindro!$B$17+1)),0)</f>
        <v>0</v>
      </c>
      <c r="U215" s="10">
        <f>U214*(Presion_cilindro!O213/Presion_cilindro!O214)^Presion_cilindro!$B$9+10*(Presion_cilindro!$B$9-1)*Presion_cilindro!$B$33*(T215-T214)/((Presion_cilindro!O213+Presion_cilindro!O214)/2)</f>
        <v>1.8359439805414342</v>
      </c>
    </row>
    <row r="216" spans="14:21" x14ac:dyDescent="0.25">
      <c r="N216" s="8">
        <f>-Presion_cilindro!N215</f>
        <v>74.5</v>
      </c>
      <c r="O216" s="9">
        <f>IF(Presion_cilindro!N215&gt;$B$12,1-EXP(-Presion_cilindro!$B$16*((Presion_cilindro!N215-$B$12)/Presion_cilindro!$B$35)^(Presion_cilindro!$B$17+1)),0)</f>
        <v>0</v>
      </c>
      <c r="P216" s="10">
        <f>P215*(Presion_cilindro!O214/Presion_cilindro!O215)^Presion_cilindro!$B$9+10*(Presion_cilindro!$B$9-1)*Presion_cilindro!$B$33*(O216-O215)/((Presion_cilindro!O214+Presion_cilindro!O215)/2)</f>
        <v>1.85630257927264</v>
      </c>
      <c r="Q216" s="9">
        <f>IF(OR($B$9=0,Presion_cilindro!N215&lt;=$B$15),IF(Presion_cilindro!N215&gt;$B$13,1-EXP(-Presion_cilindro!$B$16*((Presion_cilindro!N215-$B$13)/Presion_cilindro!$B$35)^(Presion_cilindro!$B$17+1)),0),$B$8+(1-$B$8)*(1-EXP(-(Presion_cilindro!N215-$B$15)/Presion_cilindro!$B$23)))</f>
        <v>0</v>
      </c>
      <c r="R216" s="10">
        <f>R215*(Presion_cilindro!O214/Presion_cilindro!O215)^Presion_cilindro!$B$9+10*(Presion_cilindro!$B$9-1)*Presion_cilindro!$B$33*(Q216-Q215)/((Presion_cilindro!O214+Presion_cilindro!O215)/2)</f>
        <v>1.85630257927264</v>
      </c>
      <c r="S216" s="10">
        <f>R216+IF(AND($B$9=1,Presion_cilindro!N215&gt;$B$15),Presion_cilindro!$B$24*2.5*EXP(-(Presion_cilindro!N215-$B$15)/Presion_cilindro!$B$26)*SIN(2*PI()*(Presion_cilindro!N215-$B$15)/Presion_cilindro!$B$39),0)</f>
        <v>1.85630257927264</v>
      </c>
      <c r="T216" s="9">
        <f>IF(Presion_cilindro!N215&gt;$B$14,1-EXP(-Presion_cilindro!$B$16*((Presion_cilindro!N215-$B$14)/Presion_cilindro!$B$35)^(Presion_cilindro!$B$17+1)),0)</f>
        <v>0</v>
      </c>
      <c r="U216" s="10">
        <f>U215*(Presion_cilindro!O214/Presion_cilindro!O215)^Presion_cilindro!$B$9+10*(Presion_cilindro!$B$9-1)*Presion_cilindro!$B$33*(T216-T215)/((Presion_cilindro!O214+Presion_cilindro!O215)/2)</f>
        <v>1.85630257927264</v>
      </c>
    </row>
    <row r="217" spans="14:21" x14ac:dyDescent="0.25">
      <c r="N217" s="8">
        <f>-Presion_cilindro!N216</f>
        <v>74</v>
      </c>
      <c r="O217" s="9">
        <f>IF(Presion_cilindro!N216&gt;$B$12,1-EXP(-Presion_cilindro!$B$16*((Presion_cilindro!N216-$B$12)/Presion_cilindro!$B$35)^(Presion_cilindro!$B$17+1)),0)</f>
        <v>0</v>
      </c>
      <c r="P217" s="10">
        <f>P216*(Presion_cilindro!O215/Presion_cilindro!O216)^Presion_cilindro!$B$9+10*(Presion_cilindro!$B$9-1)*Presion_cilindro!$B$33*(O217-O216)/((Presion_cilindro!O215+Presion_cilindro!O216)/2)</f>
        <v>1.8770574941567015</v>
      </c>
      <c r="Q217" s="9">
        <f>IF(OR($B$9=0,Presion_cilindro!N216&lt;=$B$15),IF(Presion_cilindro!N216&gt;$B$13,1-EXP(-Presion_cilindro!$B$16*((Presion_cilindro!N216-$B$13)/Presion_cilindro!$B$35)^(Presion_cilindro!$B$17+1)),0),$B$8+(1-$B$8)*(1-EXP(-(Presion_cilindro!N216-$B$15)/Presion_cilindro!$B$23)))</f>
        <v>0</v>
      </c>
      <c r="R217" s="10">
        <f>R216*(Presion_cilindro!O215/Presion_cilindro!O216)^Presion_cilindro!$B$9+10*(Presion_cilindro!$B$9-1)*Presion_cilindro!$B$33*(Q217-Q216)/((Presion_cilindro!O215+Presion_cilindro!O216)/2)</f>
        <v>1.8770574941567015</v>
      </c>
      <c r="S217" s="10">
        <f>R217+IF(AND($B$9=1,Presion_cilindro!N216&gt;$B$15),Presion_cilindro!$B$24*2.5*EXP(-(Presion_cilindro!N216-$B$15)/Presion_cilindro!$B$26)*SIN(2*PI()*(Presion_cilindro!N216-$B$15)/Presion_cilindro!$B$39),0)</f>
        <v>1.8770574941567015</v>
      </c>
      <c r="T217" s="9">
        <f>IF(Presion_cilindro!N216&gt;$B$14,1-EXP(-Presion_cilindro!$B$16*((Presion_cilindro!N216-$B$14)/Presion_cilindro!$B$35)^(Presion_cilindro!$B$17+1)),0)</f>
        <v>0</v>
      </c>
      <c r="U217" s="10">
        <f>U216*(Presion_cilindro!O215/Presion_cilindro!O216)^Presion_cilindro!$B$9+10*(Presion_cilindro!$B$9-1)*Presion_cilindro!$B$33*(T217-T216)/((Presion_cilindro!O215+Presion_cilindro!O216)/2)</f>
        <v>1.8770574941567015</v>
      </c>
    </row>
    <row r="218" spans="14:21" x14ac:dyDescent="0.25">
      <c r="N218" s="8">
        <f>-Presion_cilindro!N217</f>
        <v>73.5</v>
      </c>
      <c r="O218" s="9">
        <f>IF(Presion_cilindro!N217&gt;$B$12,1-EXP(-Presion_cilindro!$B$16*((Presion_cilindro!N217-$B$12)/Presion_cilindro!$B$35)^(Presion_cilindro!$B$17+1)),0)</f>
        <v>0</v>
      </c>
      <c r="P218" s="10">
        <f>P217*(Presion_cilindro!O216/Presion_cilindro!O217)^Presion_cilindro!$B$9+10*(Presion_cilindro!$B$9-1)*Presion_cilindro!$B$33*(O218-O217)/((Presion_cilindro!O216+Presion_cilindro!O217)/2)</f>
        <v>1.8982178173474367</v>
      </c>
      <c r="Q218" s="9">
        <f>IF(OR($B$9=0,Presion_cilindro!N217&lt;=$B$15),IF(Presion_cilindro!N217&gt;$B$13,1-EXP(-Presion_cilindro!$B$16*((Presion_cilindro!N217-$B$13)/Presion_cilindro!$B$35)^(Presion_cilindro!$B$17+1)),0),$B$8+(1-$B$8)*(1-EXP(-(Presion_cilindro!N217-$B$15)/Presion_cilindro!$B$23)))</f>
        <v>0</v>
      </c>
      <c r="R218" s="10">
        <f>R217*(Presion_cilindro!O216/Presion_cilindro!O217)^Presion_cilindro!$B$9+10*(Presion_cilindro!$B$9-1)*Presion_cilindro!$B$33*(Q218-Q217)/((Presion_cilindro!O216+Presion_cilindro!O217)/2)</f>
        <v>1.8982178173474367</v>
      </c>
      <c r="S218" s="10">
        <f>R218+IF(AND($B$9=1,Presion_cilindro!N217&gt;$B$15),Presion_cilindro!$B$24*2.5*EXP(-(Presion_cilindro!N217-$B$15)/Presion_cilindro!$B$26)*SIN(2*PI()*(Presion_cilindro!N217-$B$15)/Presion_cilindro!$B$39),0)</f>
        <v>1.8982178173474367</v>
      </c>
      <c r="T218" s="9">
        <f>IF(Presion_cilindro!N217&gt;$B$14,1-EXP(-Presion_cilindro!$B$16*((Presion_cilindro!N217-$B$14)/Presion_cilindro!$B$35)^(Presion_cilindro!$B$17+1)),0)</f>
        <v>0</v>
      </c>
      <c r="U218" s="10">
        <f>U217*(Presion_cilindro!O216/Presion_cilindro!O217)^Presion_cilindro!$B$9+10*(Presion_cilindro!$B$9-1)*Presion_cilindro!$B$33*(T218-T217)/((Presion_cilindro!O216+Presion_cilindro!O217)/2)</f>
        <v>1.8982178173474367</v>
      </c>
    </row>
    <row r="219" spans="14:21" x14ac:dyDescent="0.25">
      <c r="N219" s="8">
        <f>-Presion_cilindro!N218</f>
        <v>73</v>
      </c>
      <c r="O219" s="9">
        <f>IF(Presion_cilindro!N218&gt;$B$12,1-EXP(-Presion_cilindro!$B$16*((Presion_cilindro!N218-$B$12)/Presion_cilindro!$B$35)^(Presion_cilindro!$B$17+1)),0)</f>
        <v>0</v>
      </c>
      <c r="P219" s="10">
        <f>P218*(Presion_cilindro!O217/Presion_cilindro!O218)^Presion_cilindro!$B$9+10*(Presion_cilindro!$B$9-1)*Presion_cilindro!$B$33*(O219-O218)/((Presion_cilindro!O217+Presion_cilindro!O218)/2)</f>
        <v>1.9197928773522264</v>
      </c>
      <c r="Q219" s="9">
        <f>IF(OR($B$9=0,Presion_cilindro!N218&lt;=$B$15),IF(Presion_cilindro!N218&gt;$B$13,1-EXP(-Presion_cilindro!$B$16*((Presion_cilindro!N218-$B$13)/Presion_cilindro!$B$35)^(Presion_cilindro!$B$17+1)),0),$B$8+(1-$B$8)*(1-EXP(-(Presion_cilindro!N218-$B$15)/Presion_cilindro!$B$23)))</f>
        <v>0</v>
      </c>
      <c r="R219" s="10">
        <f>R218*(Presion_cilindro!O217/Presion_cilindro!O218)^Presion_cilindro!$B$9+10*(Presion_cilindro!$B$9-1)*Presion_cilindro!$B$33*(Q219-Q218)/((Presion_cilindro!O217+Presion_cilindro!O218)/2)</f>
        <v>1.9197928773522264</v>
      </c>
      <c r="S219" s="10">
        <f>R219+IF(AND($B$9=1,Presion_cilindro!N218&gt;$B$15),Presion_cilindro!$B$24*2.5*EXP(-(Presion_cilindro!N218-$B$15)/Presion_cilindro!$B$26)*SIN(2*PI()*(Presion_cilindro!N218-$B$15)/Presion_cilindro!$B$39),0)</f>
        <v>1.9197928773522264</v>
      </c>
      <c r="T219" s="9">
        <f>IF(Presion_cilindro!N218&gt;$B$14,1-EXP(-Presion_cilindro!$B$16*((Presion_cilindro!N218-$B$14)/Presion_cilindro!$B$35)^(Presion_cilindro!$B$17+1)),0)</f>
        <v>0</v>
      </c>
      <c r="U219" s="10">
        <f>U218*(Presion_cilindro!O217/Presion_cilindro!O218)^Presion_cilindro!$B$9+10*(Presion_cilindro!$B$9-1)*Presion_cilindro!$B$33*(T219-T218)/((Presion_cilindro!O217+Presion_cilindro!O218)/2)</f>
        <v>1.9197928773522264</v>
      </c>
    </row>
    <row r="220" spans="14:21" x14ac:dyDescent="0.25">
      <c r="N220" s="8">
        <f>-Presion_cilindro!N219</f>
        <v>72.5</v>
      </c>
      <c r="O220" s="9">
        <f>IF(Presion_cilindro!N219&gt;$B$12,1-EXP(-Presion_cilindro!$B$16*((Presion_cilindro!N219-$B$12)/Presion_cilindro!$B$35)^(Presion_cilindro!$B$17+1)),0)</f>
        <v>0</v>
      </c>
      <c r="P220" s="10">
        <f>P219*(Presion_cilindro!O218/Presion_cilindro!O219)^Presion_cilindro!$B$9+10*(Presion_cilindro!$B$9-1)*Presion_cilindro!$B$33*(O220-O219)/((Presion_cilindro!O218+Presion_cilindro!O219)/2)</f>
        <v>1.9417922453967198</v>
      </c>
      <c r="Q220" s="9">
        <f>IF(OR($B$9=0,Presion_cilindro!N219&lt;=$B$15),IF(Presion_cilindro!N219&gt;$B$13,1-EXP(-Presion_cilindro!$B$16*((Presion_cilindro!N219-$B$13)/Presion_cilindro!$B$35)^(Presion_cilindro!$B$17+1)),0),$B$8+(1-$B$8)*(1-EXP(-(Presion_cilindro!N219-$B$15)/Presion_cilindro!$B$23)))</f>
        <v>0</v>
      </c>
      <c r="R220" s="10">
        <f>R219*(Presion_cilindro!O218/Presion_cilindro!O219)^Presion_cilindro!$B$9+10*(Presion_cilindro!$B$9-1)*Presion_cilindro!$B$33*(Q220-Q219)/((Presion_cilindro!O218+Presion_cilindro!O219)/2)</f>
        <v>1.9417922453967198</v>
      </c>
      <c r="S220" s="10">
        <f>R220+IF(AND($B$9=1,Presion_cilindro!N219&gt;$B$15),Presion_cilindro!$B$24*2.5*EXP(-(Presion_cilindro!N219-$B$15)/Presion_cilindro!$B$26)*SIN(2*PI()*(Presion_cilindro!N219-$B$15)/Presion_cilindro!$B$39),0)</f>
        <v>1.9417922453967198</v>
      </c>
      <c r="T220" s="9">
        <f>IF(Presion_cilindro!N219&gt;$B$14,1-EXP(-Presion_cilindro!$B$16*((Presion_cilindro!N219-$B$14)/Presion_cilindro!$B$35)^(Presion_cilindro!$B$17+1)),0)</f>
        <v>0</v>
      </c>
      <c r="U220" s="10">
        <f>U219*(Presion_cilindro!O218/Presion_cilindro!O219)^Presion_cilindro!$B$9+10*(Presion_cilindro!$B$9-1)*Presion_cilindro!$B$33*(T220-T219)/((Presion_cilindro!O218+Presion_cilindro!O219)/2)</f>
        <v>1.9417922453967198</v>
      </c>
    </row>
    <row r="221" spans="14:21" x14ac:dyDescent="0.25">
      <c r="N221" s="8">
        <f>-Presion_cilindro!N220</f>
        <v>72</v>
      </c>
      <c r="O221" s="9">
        <f>IF(Presion_cilindro!N220&gt;$B$12,1-EXP(-Presion_cilindro!$B$16*((Presion_cilindro!N220-$B$12)/Presion_cilindro!$B$35)^(Presion_cilindro!$B$17+1)),0)</f>
        <v>0</v>
      </c>
      <c r="P221" s="10">
        <f>P220*(Presion_cilindro!O219/Presion_cilindro!O220)^Presion_cilindro!$B$9+10*(Presion_cilindro!$B$9-1)*Presion_cilindro!$B$33*(O221-O220)/((Presion_cilindro!O219+Presion_cilindro!O220)/2)</f>
        <v>1.9642257419410105</v>
      </c>
      <c r="Q221" s="9">
        <f>IF(OR($B$9=0,Presion_cilindro!N220&lt;=$B$15),IF(Presion_cilindro!N220&gt;$B$13,1-EXP(-Presion_cilindro!$B$16*((Presion_cilindro!N220-$B$13)/Presion_cilindro!$B$35)^(Presion_cilindro!$B$17+1)),0),$B$8+(1-$B$8)*(1-EXP(-(Presion_cilindro!N220-$B$15)/Presion_cilindro!$B$23)))</f>
        <v>0</v>
      </c>
      <c r="R221" s="10">
        <f>R220*(Presion_cilindro!O219/Presion_cilindro!O220)^Presion_cilindro!$B$9+10*(Presion_cilindro!$B$9-1)*Presion_cilindro!$B$33*(Q221-Q220)/((Presion_cilindro!O219+Presion_cilindro!O220)/2)</f>
        <v>1.9642257419410105</v>
      </c>
      <c r="S221" s="10">
        <f>R221+IF(AND($B$9=1,Presion_cilindro!N220&gt;$B$15),Presion_cilindro!$B$24*2.5*EXP(-(Presion_cilindro!N220-$B$15)/Presion_cilindro!$B$26)*SIN(2*PI()*(Presion_cilindro!N220-$B$15)/Presion_cilindro!$B$39),0)</f>
        <v>1.9642257419410105</v>
      </c>
      <c r="T221" s="9">
        <f>IF(Presion_cilindro!N220&gt;$B$14,1-EXP(-Presion_cilindro!$B$16*((Presion_cilindro!N220-$B$14)/Presion_cilindro!$B$35)^(Presion_cilindro!$B$17+1)),0)</f>
        <v>0</v>
      </c>
      <c r="U221" s="10">
        <f>U220*(Presion_cilindro!O219/Presion_cilindro!O220)^Presion_cilindro!$B$9+10*(Presion_cilindro!$B$9-1)*Presion_cilindro!$B$33*(T221-T220)/((Presion_cilindro!O219+Presion_cilindro!O220)/2)</f>
        <v>1.9642257419410105</v>
      </c>
    </row>
    <row r="222" spans="14:21" x14ac:dyDescent="0.25">
      <c r="N222" s="8">
        <f>-Presion_cilindro!N221</f>
        <v>71.5</v>
      </c>
      <c r="O222" s="9">
        <f>IF(Presion_cilindro!N221&gt;$B$12,1-EXP(-Presion_cilindro!$B$16*((Presion_cilindro!N221-$B$12)/Presion_cilindro!$B$35)^(Presion_cilindro!$B$17+1)),0)</f>
        <v>0</v>
      </c>
      <c r="P222" s="10">
        <f>P221*(Presion_cilindro!O220/Presion_cilindro!O221)^Presion_cilindro!$B$9+10*(Presion_cilindro!$B$9-1)*Presion_cilindro!$B$33*(O222-O221)/((Presion_cilindro!O220+Presion_cilindro!O221)/2)</f>
        <v>1.9871034433483408</v>
      </c>
      <c r="Q222" s="9">
        <f>IF(OR($B$9=0,Presion_cilindro!N221&lt;=$B$15),IF(Presion_cilindro!N221&gt;$B$13,1-EXP(-Presion_cilindro!$B$16*((Presion_cilindro!N221-$B$13)/Presion_cilindro!$B$35)^(Presion_cilindro!$B$17+1)),0),$B$8+(1-$B$8)*(1-EXP(-(Presion_cilindro!N221-$B$15)/Presion_cilindro!$B$23)))</f>
        <v>0</v>
      </c>
      <c r="R222" s="10">
        <f>R221*(Presion_cilindro!O220/Presion_cilindro!O221)^Presion_cilindro!$B$9+10*(Presion_cilindro!$B$9-1)*Presion_cilindro!$B$33*(Q222-Q221)/((Presion_cilindro!O220+Presion_cilindro!O221)/2)</f>
        <v>1.9871034433483408</v>
      </c>
      <c r="S222" s="10">
        <f>R222+IF(AND($B$9=1,Presion_cilindro!N221&gt;$B$15),Presion_cilindro!$B$24*2.5*EXP(-(Presion_cilindro!N221-$B$15)/Presion_cilindro!$B$26)*SIN(2*PI()*(Presion_cilindro!N221-$B$15)/Presion_cilindro!$B$39),0)</f>
        <v>1.9871034433483408</v>
      </c>
      <c r="T222" s="9">
        <f>IF(Presion_cilindro!N221&gt;$B$14,1-EXP(-Presion_cilindro!$B$16*((Presion_cilindro!N221-$B$14)/Presion_cilindro!$B$35)^(Presion_cilindro!$B$17+1)),0)</f>
        <v>0</v>
      </c>
      <c r="U222" s="10">
        <f>U221*(Presion_cilindro!O220/Presion_cilindro!O221)^Presion_cilindro!$B$9+10*(Presion_cilindro!$B$9-1)*Presion_cilindro!$B$33*(T222-T221)/((Presion_cilindro!O220+Presion_cilindro!O221)/2)</f>
        <v>1.9871034433483408</v>
      </c>
    </row>
    <row r="223" spans="14:21" x14ac:dyDescent="0.25">
      <c r="N223" s="8">
        <f>-Presion_cilindro!N222</f>
        <v>71</v>
      </c>
      <c r="O223" s="9">
        <f>IF(Presion_cilindro!N222&gt;$B$12,1-EXP(-Presion_cilindro!$B$16*((Presion_cilindro!N222-$B$12)/Presion_cilindro!$B$35)^(Presion_cilindro!$B$17+1)),0)</f>
        <v>0</v>
      </c>
      <c r="P223" s="10">
        <f>P222*(Presion_cilindro!O221/Presion_cilindro!O222)^Presion_cilindro!$B$9+10*(Presion_cilindro!$B$9-1)*Presion_cilindro!$B$33*(O223-O222)/((Presion_cilindro!O221+Presion_cilindro!O222)/2)</f>
        <v>2.0104356887071186</v>
      </c>
      <c r="Q223" s="9">
        <f>IF(OR($B$9=0,Presion_cilindro!N222&lt;=$B$15),IF(Presion_cilindro!N222&gt;$B$13,1-EXP(-Presion_cilindro!$B$16*((Presion_cilindro!N222-$B$13)/Presion_cilindro!$B$35)^(Presion_cilindro!$B$17+1)),0),$B$8+(1-$B$8)*(1-EXP(-(Presion_cilindro!N222-$B$15)/Presion_cilindro!$B$23)))</f>
        <v>0</v>
      </c>
      <c r="R223" s="10">
        <f>R222*(Presion_cilindro!O221/Presion_cilindro!O222)^Presion_cilindro!$B$9+10*(Presion_cilindro!$B$9-1)*Presion_cilindro!$B$33*(Q223-Q222)/((Presion_cilindro!O221+Presion_cilindro!O222)/2)</f>
        <v>2.0104356887071186</v>
      </c>
      <c r="S223" s="10">
        <f>R223+IF(AND($B$9=1,Presion_cilindro!N222&gt;$B$15),Presion_cilindro!$B$24*2.5*EXP(-(Presion_cilindro!N222-$B$15)/Presion_cilindro!$B$26)*SIN(2*PI()*(Presion_cilindro!N222-$B$15)/Presion_cilindro!$B$39),0)</f>
        <v>2.0104356887071186</v>
      </c>
      <c r="T223" s="9">
        <f>IF(Presion_cilindro!N222&gt;$B$14,1-EXP(-Presion_cilindro!$B$16*((Presion_cilindro!N222-$B$14)/Presion_cilindro!$B$35)^(Presion_cilindro!$B$17+1)),0)</f>
        <v>0</v>
      </c>
      <c r="U223" s="10">
        <f>U222*(Presion_cilindro!O221/Presion_cilindro!O222)^Presion_cilindro!$B$9+10*(Presion_cilindro!$B$9-1)*Presion_cilindro!$B$33*(T223-T222)/((Presion_cilindro!O221+Presion_cilindro!O222)/2)</f>
        <v>2.0104356887071186</v>
      </c>
    </row>
    <row r="224" spans="14:21" x14ac:dyDescent="0.25">
      <c r="N224" s="8">
        <f>-Presion_cilindro!N223</f>
        <v>70.5</v>
      </c>
      <c r="O224" s="9">
        <f>IF(Presion_cilindro!N223&gt;$B$12,1-EXP(-Presion_cilindro!$B$16*((Presion_cilindro!N223-$B$12)/Presion_cilindro!$B$35)^(Presion_cilindro!$B$17+1)),0)</f>
        <v>0</v>
      </c>
      <c r="P224" s="10">
        <f>P223*(Presion_cilindro!O222/Presion_cilindro!O223)^Presion_cilindro!$B$9+10*(Presion_cilindro!$B$9-1)*Presion_cilindro!$B$33*(O224-O223)/((Presion_cilindro!O222+Presion_cilindro!O223)/2)</f>
        <v>2.0342330868066871</v>
      </c>
      <c r="Q224" s="9">
        <f>IF(OR($B$9=0,Presion_cilindro!N223&lt;=$B$15),IF(Presion_cilindro!N223&gt;$B$13,1-EXP(-Presion_cilindro!$B$16*((Presion_cilindro!N223-$B$13)/Presion_cilindro!$B$35)^(Presion_cilindro!$B$17+1)),0),$B$8+(1-$B$8)*(1-EXP(-(Presion_cilindro!N223-$B$15)/Presion_cilindro!$B$23)))</f>
        <v>0</v>
      </c>
      <c r="R224" s="10">
        <f>R223*(Presion_cilindro!O222/Presion_cilindro!O223)^Presion_cilindro!$B$9+10*(Presion_cilindro!$B$9-1)*Presion_cilindro!$B$33*(Q224-Q223)/((Presion_cilindro!O222+Presion_cilindro!O223)/2)</f>
        <v>2.0342330868066871</v>
      </c>
      <c r="S224" s="10">
        <f>R224+IF(AND($B$9=1,Presion_cilindro!N223&gt;$B$15),Presion_cilindro!$B$24*2.5*EXP(-(Presion_cilindro!N223-$B$15)/Presion_cilindro!$B$26)*SIN(2*PI()*(Presion_cilindro!N223-$B$15)/Presion_cilindro!$B$39),0)</f>
        <v>2.0342330868066871</v>
      </c>
      <c r="T224" s="9">
        <f>IF(Presion_cilindro!N223&gt;$B$14,1-EXP(-Presion_cilindro!$B$16*((Presion_cilindro!N223-$B$14)/Presion_cilindro!$B$35)^(Presion_cilindro!$B$17+1)),0)</f>
        <v>0</v>
      </c>
      <c r="U224" s="10">
        <f>U223*(Presion_cilindro!O222/Presion_cilindro!O223)^Presion_cilindro!$B$9+10*(Presion_cilindro!$B$9-1)*Presion_cilindro!$B$33*(T224-T223)/((Presion_cilindro!O222+Presion_cilindro!O223)/2)</f>
        <v>2.0342330868066871</v>
      </c>
    </row>
    <row r="225" spans="14:21" x14ac:dyDescent="0.25">
      <c r="N225" s="8">
        <f>-Presion_cilindro!N224</f>
        <v>70</v>
      </c>
      <c r="O225" s="9">
        <f>IF(Presion_cilindro!N224&gt;$B$12,1-EXP(-Presion_cilindro!$B$16*((Presion_cilindro!N224-$B$12)/Presion_cilindro!$B$35)^(Presion_cilindro!$B$17+1)),0)</f>
        <v>0</v>
      </c>
      <c r="P225" s="10">
        <f>P224*(Presion_cilindro!O223/Presion_cilindro!O224)^Presion_cilindro!$B$9+10*(Presion_cilindro!$B$9-1)*Presion_cilindro!$B$33*(O225-O224)/((Presion_cilindro!O223+Presion_cilindro!O224)/2)</f>
        <v>2.0585065232670492</v>
      </c>
      <c r="Q225" s="9">
        <f>IF(OR($B$9=0,Presion_cilindro!N224&lt;=$B$15),IF(Presion_cilindro!N224&gt;$B$13,1-EXP(-Presion_cilindro!$B$16*((Presion_cilindro!N224-$B$13)/Presion_cilindro!$B$35)^(Presion_cilindro!$B$17+1)),0),$B$8+(1-$B$8)*(1-EXP(-(Presion_cilindro!N224-$B$15)/Presion_cilindro!$B$23)))</f>
        <v>0</v>
      </c>
      <c r="R225" s="10">
        <f>R224*(Presion_cilindro!O223/Presion_cilindro!O224)^Presion_cilindro!$B$9+10*(Presion_cilindro!$B$9-1)*Presion_cilindro!$B$33*(Q225-Q224)/((Presion_cilindro!O223+Presion_cilindro!O224)/2)</f>
        <v>2.0585065232670492</v>
      </c>
      <c r="S225" s="10">
        <f>R225+IF(AND($B$9=1,Presion_cilindro!N224&gt;$B$15),Presion_cilindro!$B$24*2.5*EXP(-(Presion_cilindro!N224-$B$15)/Presion_cilindro!$B$26)*SIN(2*PI()*(Presion_cilindro!N224-$B$15)/Presion_cilindro!$B$39),0)</f>
        <v>2.0585065232670492</v>
      </c>
      <c r="T225" s="9">
        <f>IF(Presion_cilindro!N224&gt;$B$14,1-EXP(-Presion_cilindro!$B$16*((Presion_cilindro!N224-$B$14)/Presion_cilindro!$B$35)^(Presion_cilindro!$B$17+1)),0)</f>
        <v>0</v>
      </c>
      <c r="U225" s="10">
        <f>U224*(Presion_cilindro!O223/Presion_cilindro!O224)^Presion_cilindro!$B$9+10*(Presion_cilindro!$B$9-1)*Presion_cilindro!$B$33*(T225-T224)/((Presion_cilindro!O223+Presion_cilindro!O224)/2)</f>
        <v>2.0585065232670492</v>
      </c>
    </row>
    <row r="226" spans="14:21" x14ac:dyDescent="0.25">
      <c r="N226" s="8">
        <f>-Presion_cilindro!N225</f>
        <v>69.5</v>
      </c>
      <c r="O226" s="9">
        <f>IF(Presion_cilindro!N225&gt;$B$12,1-EXP(-Presion_cilindro!$B$16*((Presion_cilindro!N225-$B$12)/Presion_cilindro!$B$35)^(Presion_cilindro!$B$17+1)),0)</f>
        <v>0</v>
      </c>
      <c r="P226" s="10">
        <f>P225*(Presion_cilindro!O224/Presion_cilindro!O225)^Presion_cilindro!$B$9+10*(Presion_cilindro!$B$9-1)*Presion_cilindro!$B$33*(O226-O225)/((Presion_cilindro!O224+Presion_cilindro!O225)/2)</f>
        <v>2.0832671678222421</v>
      </c>
      <c r="Q226" s="9">
        <f>IF(OR($B$9=0,Presion_cilindro!N225&lt;=$B$15),IF(Presion_cilindro!N225&gt;$B$13,1-EXP(-Presion_cilindro!$B$16*((Presion_cilindro!N225-$B$13)/Presion_cilindro!$B$35)^(Presion_cilindro!$B$17+1)),0),$B$8+(1-$B$8)*(1-EXP(-(Presion_cilindro!N225-$B$15)/Presion_cilindro!$B$23)))</f>
        <v>0</v>
      </c>
      <c r="R226" s="10">
        <f>R225*(Presion_cilindro!O224/Presion_cilindro!O225)^Presion_cilindro!$B$9+10*(Presion_cilindro!$B$9-1)*Presion_cilindro!$B$33*(Q226-Q225)/((Presion_cilindro!O224+Presion_cilindro!O225)/2)</f>
        <v>2.0832671678222421</v>
      </c>
      <c r="S226" s="10">
        <f>R226+IF(AND($B$9=1,Presion_cilindro!N225&gt;$B$15),Presion_cilindro!$B$24*2.5*EXP(-(Presion_cilindro!N225-$B$15)/Presion_cilindro!$B$26)*SIN(2*PI()*(Presion_cilindro!N225-$B$15)/Presion_cilindro!$B$39),0)</f>
        <v>2.0832671678222421</v>
      </c>
      <c r="T226" s="9">
        <f>IF(Presion_cilindro!N225&gt;$B$14,1-EXP(-Presion_cilindro!$B$16*((Presion_cilindro!N225-$B$14)/Presion_cilindro!$B$35)^(Presion_cilindro!$B$17+1)),0)</f>
        <v>0</v>
      </c>
      <c r="U226" s="10">
        <f>U225*(Presion_cilindro!O224/Presion_cilindro!O225)^Presion_cilindro!$B$9+10*(Presion_cilindro!$B$9-1)*Presion_cilindro!$B$33*(T226-T225)/((Presion_cilindro!O224+Presion_cilindro!O225)/2)</f>
        <v>2.0832671678222421</v>
      </c>
    </row>
    <row r="227" spans="14:21" x14ac:dyDescent="0.25">
      <c r="N227" s="8">
        <f>-Presion_cilindro!N226</f>
        <v>69</v>
      </c>
      <c r="O227" s="9">
        <f>IF(Presion_cilindro!N226&gt;$B$12,1-EXP(-Presion_cilindro!$B$16*((Presion_cilindro!N226-$B$12)/Presion_cilindro!$B$35)^(Presion_cilindro!$B$17+1)),0)</f>
        <v>0</v>
      </c>
      <c r="P227" s="10">
        <f>P226*(Presion_cilindro!O225/Presion_cilindro!O226)^Presion_cilindro!$B$9+10*(Presion_cilindro!$B$9-1)*Presion_cilindro!$B$33*(O227-O226)/((Presion_cilindro!O225+Presion_cilindro!O226)/2)</f>
        <v>2.1085264817567042</v>
      </c>
      <c r="Q227" s="9">
        <f>IF(OR($B$9=0,Presion_cilindro!N226&lt;=$B$15),IF(Presion_cilindro!N226&gt;$B$13,1-EXP(-Presion_cilindro!$B$16*((Presion_cilindro!N226-$B$13)/Presion_cilindro!$B$35)^(Presion_cilindro!$B$17+1)),0),$B$8+(1-$B$8)*(1-EXP(-(Presion_cilindro!N226-$B$15)/Presion_cilindro!$B$23)))</f>
        <v>0</v>
      </c>
      <c r="R227" s="10">
        <f>R226*(Presion_cilindro!O225/Presion_cilindro!O226)^Presion_cilindro!$B$9+10*(Presion_cilindro!$B$9-1)*Presion_cilindro!$B$33*(Q227-Q226)/((Presion_cilindro!O225+Presion_cilindro!O226)/2)</f>
        <v>2.1085264817567042</v>
      </c>
      <c r="S227" s="10">
        <f>R227+IF(AND($B$9=1,Presion_cilindro!N226&gt;$B$15),Presion_cilindro!$B$24*2.5*EXP(-(Presion_cilindro!N226-$B$15)/Presion_cilindro!$B$26)*SIN(2*PI()*(Presion_cilindro!N226-$B$15)/Presion_cilindro!$B$39),0)</f>
        <v>2.1085264817567042</v>
      </c>
      <c r="T227" s="9">
        <f>IF(Presion_cilindro!N226&gt;$B$14,1-EXP(-Presion_cilindro!$B$16*((Presion_cilindro!N226-$B$14)/Presion_cilindro!$B$35)^(Presion_cilindro!$B$17+1)),0)</f>
        <v>0</v>
      </c>
      <c r="U227" s="10">
        <f>U226*(Presion_cilindro!O225/Presion_cilindro!O226)^Presion_cilindro!$B$9+10*(Presion_cilindro!$B$9-1)*Presion_cilindro!$B$33*(T227-T226)/((Presion_cilindro!O225+Presion_cilindro!O226)/2)</f>
        <v>2.1085264817567042</v>
      </c>
    </row>
    <row r="228" spans="14:21" x14ac:dyDescent="0.25">
      <c r="N228" s="8">
        <f>-Presion_cilindro!N227</f>
        <v>68.5</v>
      </c>
      <c r="O228" s="9">
        <f>IF(Presion_cilindro!N227&gt;$B$12,1-EXP(-Presion_cilindro!$B$16*((Presion_cilindro!N227-$B$12)/Presion_cilindro!$B$35)^(Presion_cilindro!$B$17+1)),0)</f>
        <v>0</v>
      </c>
      <c r="P228" s="10">
        <f>P227*(Presion_cilindro!O226/Presion_cilindro!O227)^Presion_cilindro!$B$9+10*(Presion_cilindro!$B$9-1)*Presion_cilindro!$B$33*(O228-O227)/((Presion_cilindro!O226+Presion_cilindro!O227)/2)</f>
        <v>2.1342962254935252</v>
      </c>
      <c r="Q228" s="9">
        <f>IF(OR($B$9=0,Presion_cilindro!N227&lt;=$B$15),IF(Presion_cilindro!N227&gt;$B$13,1-EXP(-Presion_cilindro!$B$16*((Presion_cilindro!N227-$B$13)/Presion_cilindro!$B$35)^(Presion_cilindro!$B$17+1)),0),$B$8+(1-$B$8)*(1-EXP(-(Presion_cilindro!N227-$B$15)/Presion_cilindro!$B$23)))</f>
        <v>0</v>
      </c>
      <c r="R228" s="10">
        <f>R227*(Presion_cilindro!O226/Presion_cilindro!O227)^Presion_cilindro!$B$9+10*(Presion_cilindro!$B$9-1)*Presion_cilindro!$B$33*(Q228-Q227)/((Presion_cilindro!O226+Presion_cilindro!O227)/2)</f>
        <v>2.1342962254935252</v>
      </c>
      <c r="S228" s="10">
        <f>R228+IF(AND($B$9=1,Presion_cilindro!N227&gt;$B$15),Presion_cilindro!$B$24*2.5*EXP(-(Presion_cilindro!N227-$B$15)/Presion_cilindro!$B$26)*SIN(2*PI()*(Presion_cilindro!N227-$B$15)/Presion_cilindro!$B$39),0)</f>
        <v>2.1342962254935252</v>
      </c>
      <c r="T228" s="9">
        <f>IF(Presion_cilindro!N227&gt;$B$14,1-EXP(-Presion_cilindro!$B$16*((Presion_cilindro!N227-$B$14)/Presion_cilindro!$B$35)^(Presion_cilindro!$B$17+1)),0)</f>
        <v>0</v>
      </c>
      <c r="U228" s="10">
        <f>U227*(Presion_cilindro!O226/Presion_cilindro!O227)^Presion_cilindro!$B$9+10*(Presion_cilindro!$B$9-1)*Presion_cilindro!$B$33*(T228-T227)/((Presion_cilindro!O226+Presion_cilindro!O227)/2)</f>
        <v>2.1342962254935252</v>
      </c>
    </row>
    <row r="229" spans="14:21" x14ac:dyDescent="0.25">
      <c r="N229" s="8">
        <f>-Presion_cilindro!N228</f>
        <v>68</v>
      </c>
      <c r="O229" s="9">
        <f>IF(Presion_cilindro!N228&gt;$B$12,1-EXP(-Presion_cilindro!$B$16*((Presion_cilindro!N228-$B$12)/Presion_cilindro!$B$35)^(Presion_cilindro!$B$17+1)),0)</f>
        <v>0</v>
      </c>
      <c r="P229" s="10">
        <f>P228*(Presion_cilindro!O227/Presion_cilindro!O228)^Presion_cilindro!$B$9+10*(Presion_cilindro!$B$9-1)*Presion_cilindro!$B$33*(O229-O228)/((Presion_cilindro!O227+Presion_cilindro!O228)/2)</f>
        <v>2.1605884663328787</v>
      </c>
      <c r="Q229" s="9">
        <f>IF(OR($B$9=0,Presion_cilindro!N228&lt;=$B$15),IF(Presion_cilindro!N228&gt;$B$13,1-EXP(-Presion_cilindro!$B$16*((Presion_cilindro!N228-$B$13)/Presion_cilindro!$B$35)^(Presion_cilindro!$B$17+1)),0),$B$8+(1-$B$8)*(1-EXP(-(Presion_cilindro!N228-$B$15)/Presion_cilindro!$B$23)))</f>
        <v>0</v>
      </c>
      <c r="R229" s="10">
        <f>R228*(Presion_cilindro!O227/Presion_cilindro!O228)^Presion_cilindro!$B$9+10*(Presion_cilindro!$B$9-1)*Presion_cilindro!$B$33*(Q229-Q228)/((Presion_cilindro!O227+Presion_cilindro!O228)/2)</f>
        <v>2.1605884663328787</v>
      </c>
      <c r="S229" s="10">
        <f>R229+IF(AND($B$9=1,Presion_cilindro!N228&gt;$B$15),Presion_cilindro!$B$24*2.5*EXP(-(Presion_cilindro!N228-$B$15)/Presion_cilindro!$B$26)*SIN(2*PI()*(Presion_cilindro!N228-$B$15)/Presion_cilindro!$B$39),0)</f>
        <v>2.1605884663328787</v>
      </c>
      <c r="T229" s="9">
        <f>IF(Presion_cilindro!N228&gt;$B$14,1-EXP(-Presion_cilindro!$B$16*((Presion_cilindro!N228-$B$14)/Presion_cilindro!$B$35)^(Presion_cilindro!$B$17+1)),0)</f>
        <v>0</v>
      </c>
      <c r="U229" s="10">
        <f>U228*(Presion_cilindro!O227/Presion_cilindro!O228)^Presion_cilindro!$B$9+10*(Presion_cilindro!$B$9-1)*Presion_cilindro!$B$33*(T229-T228)/((Presion_cilindro!O227+Presion_cilindro!O228)/2)</f>
        <v>2.1605884663328787</v>
      </c>
    </row>
    <row r="230" spans="14:21" x14ac:dyDescent="0.25">
      <c r="N230" s="8">
        <f>-Presion_cilindro!N229</f>
        <v>67.5</v>
      </c>
      <c r="O230" s="9">
        <f>IF(Presion_cilindro!N229&gt;$B$12,1-EXP(-Presion_cilindro!$B$16*((Presion_cilindro!N229-$B$12)/Presion_cilindro!$B$35)^(Presion_cilindro!$B$17+1)),0)</f>
        <v>0</v>
      </c>
      <c r="P230" s="10">
        <f>P229*(Presion_cilindro!O228/Presion_cilindro!O229)^Presion_cilindro!$B$9+10*(Presion_cilindro!$B$9-1)*Presion_cilindro!$B$33*(O230-O229)/((Presion_cilindro!O228+Presion_cilindro!O229)/2)</f>
        <v>2.1874155863384428</v>
      </c>
      <c r="Q230" s="9">
        <f>IF(OR($B$9=0,Presion_cilindro!N229&lt;=$B$15),IF(Presion_cilindro!N229&gt;$B$13,1-EXP(-Presion_cilindro!$B$16*((Presion_cilindro!N229-$B$13)/Presion_cilindro!$B$35)^(Presion_cilindro!$B$17+1)),0),$B$8+(1-$B$8)*(1-EXP(-(Presion_cilindro!N229-$B$15)/Presion_cilindro!$B$23)))</f>
        <v>0</v>
      </c>
      <c r="R230" s="10">
        <f>R229*(Presion_cilindro!O228/Presion_cilindro!O229)^Presion_cilindro!$B$9+10*(Presion_cilindro!$B$9-1)*Presion_cilindro!$B$33*(Q230-Q229)/((Presion_cilindro!O228+Presion_cilindro!O229)/2)</f>
        <v>2.1874155863384428</v>
      </c>
      <c r="S230" s="10">
        <f>R230+IF(AND($B$9=1,Presion_cilindro!N229&gt;$B$15),Presion_cilindro!$B$24*2.5*EXP(-(Presion_cilindro!N229-$B$15)/Presion_cilindro!$B$26)*SIN(2*PI()*(Presion_cilindro!N229-$B$15)/Presion_cilindro!$B$39),0)</f>
        <v>2.1874155863384428</v>
      </c>
      <c r="T230" s="9">
        <f>IF(Presion_cilindro!N229&gt;$B$14,1-EXP(-Presion_cilindro!$B$16*((Presion_cilindro!N229-$B$14)/Presion_cilindro!$B$35)^(Presion_cilindro!$B$17+1)),0)</f>
        <v>0</v>
      </c>
      <c r="U230" s="10">
        <f>U229*(Presion_cilindro!O228/Presion_cilindro!O229)^Presion_cilindro!$B$9+10*(Presion_cilindro!$B$9-1)*Presion_cilindro!$B$33*(T230-T229)/((Presion_cilindro!O228+Presion_cilindro!O229)/2)</f>
        <v>2.1874155863384428</v>
      </c>
    </row>
    <row r="231" spans="14:21" x14ac:dyDescent="0.25">
      <c r="N231" s="8">
        <f>-Presion_cilindro!N230</f>
        <v>67</v>
      </c>
      <c r="O231" s="9">
        <f>IF(Presion_cilindro!N230&gt;$B$12,1-EXP(-Presion_cilindro!$B$16*((Presion_cilindro!N230-$B$12)/Presion_cilindro!$B$35)^(Presion_cilindro!$B$17+1)),0)</f>
        <v>0</v>
      </c>
      <c r="P231" s="10">
        <f>P230*(Presion_cilindro!O229/Presion_cilindro!O230)^Presion_cilindro!$B$9+10*(Presion_cilindro!$B$9-1)*Presion_cilindro!$B$33*(O231-O230)/((Presion_cilindro!O229+Presion_cilindro!O230)/2)</f>
        <v>2.214790290368891</v>
      </c>
      <c r="Q231" s="9">
        <f>IF(OR($B$9=0,Presion_cilindro!N230&lt;=$B$15),IF(Presion_cilindro!N230&gt;$B$13,1-EXP(-Presion_cilindro!$B$16*((Presion_cilindro!N230-$B$13)/Presion_cilindro!$B$35)^(Presion_cilindro!$B$17+1)),0),$B$8+(1-$B$8)*(1-EXP(-(Presion_cilindro!N230-$B$15)/Presion_cilindro!$B$23)))</f>
        <v>0</v>
      </c>
      <c r="R231" s="10">
        <f>R230*(Presion_cilindro!O229/Presion_cilindro!O230)^Presion_cilindro!$B$9+10*(Presion_cilindro!$B$9-1)*Presion_cilindro!$B$33*(Q231-Q230)/((Presion_cilindro!O229+Presion_cilindro!O230)/2)</f>
        <v>2.214790290368891</v>
      </c>
      <c r="S231" s="10">
        <f>R231+IF(AND($B$9=1,Presion_cilindro!N230&gt;$B$15),Presion_cilindro!$B$24*2.5*EXP(-(Presion_cilindro!N230-$B$15)/Presion_cilindro!$B$26)*SIN(2*PI()*(Presion_cilindro!N230-$B$15)/Presion_cilindro!$B$39),0)</f>
        <v>2.214790290368891</v>
      </c>
      <c r="T231" s="9">
        <f>IF(Presion_cilindro!N230&gt;$B$14,1-EXP(-Presion_cilindro!$B$16*((Presion_cilindro!N230-$B$14)/Presion_cilindro!$B$35)^(Presion_cilindro!$B$17+1)),0)</f>
        <v>0</v>
      </c>
      <c r="U231" s="10">
        <f>U230*(Presion_cilindro!O229/Presion_cilindro!O230)^Presion_cilindro!$B$9+10*(Presion_cilindro!$B$9-1)*Presion_cilindro!$B$33*(T231-T230)/((Presion_cilindro!O229+Presion_cilindro!O230)/2)</f>
        <v>2.214790290368891</v>
      </c>
    </row>
    <row r="232" spans="14:21" x14ac:dyDescent="0.25">
      <c r="N232" s="8">
        <f>-Presion_cilindro!N231</f>
        <v>66.5</v>
      </c>
      <c r="O232" s="9">
        <f>IF(Presion_cilindro!N231&gt;$B$12,1-EXP(-Presion_cilindro!$B$16*((Presion_cilindro!N231-$B$12)/Presion_cilindro!$B$35)^(Presion_cilindro!$B$17+1)),0)</f>
        <v>0</v>
      </c>
      <c r="P232" s="10">
        <f>P231*(Presion_cilindro!O230/Presion_cilindro!O231)^Presion_cilindro!$B$9+10*(Presion_cilindro!$B$9-1)*Presion_cilindro!$B$33*(O232-O231)/((Presion_cilindro!O230+Presion_cilindro!O231)/2)</f>
        <v>2.242725614250952</v>
      </c>
      <c r="Q232" s="9">
        <f>IF(OR($B$9=0,Presion_cilindro!N231&lt;=$B$15),IF(Presion_cilindro!N231&gt;$B$13,1-EXP(-Presion_cilindro!$B$16*((Presion_cilindro!N231-$B$13)/Presion_cilindro!$B$35)^(Presion_cilindro!$B$17+1)),0),$B$8+(1-$B$8)*(1-EXP(-(Presion_cilindro!N231-$B$15)/Presion_cilindro!$B$23)))</f>
        <v>0</v>
      </c>
      <c r="R232" s="10">
        <f>R231*(Presion_cilindro!O230/Presion_cilindro!O231)^Presion_cilindro!$B$9+10*(Presion_cilindro!$B$9-1)*Presion_cilindro!$B$33*(Q232-Q231)/((Presion_cilindro!O230+Presion_cilindro!O231)/2)</f>
        <v>2.242725614250952</v>
      </c>
      <c r="S232" s="10">
        <f>R232+IF(AND($B$9=1,Presion_cilindro!N231&gt;$B$15),Presion_cilindro!$B$24*2.5*EXP(-(Presion_cilindro!N231-$B$15)/Presion_cilindro!$B$26)*SIN(2*PI()*(Presion_cilindro!N231-$B$15)/Presion_cilindro!$B$39),0)</f>
        <v>2.242725614250952</v>
      </c>
      <c r="T232" s="9">
        <f>IF(Presion_cilindro!N231&gt;$B$14,1-EXP(-Presion_cilindro!$B$16*((Presion_cilindro!N231-$B$14)/Presion_cilindro!$B$35)^(Presion_cilindro!$B$17+1)),0)</f>
        <v>0</v>
      </c>
      <c r="U232" s="10">
        <f>U231*(Presion_cilindro!O230/Presion_cilindro!O231)^Presion_cilindro!$B$9+10*(Presion_cilindro!$B$9-1)*Presion_cilindro!$B$33*(T232-T231)/((Presion_cilindro!O230+Presion_cilindro!O231)/2)</f>
        <v>2.242725614250952</v>
      </c>
    </row>
    <row r="233" spans="14:21" x14ac:dyDescent="0.25">
      <c r="N233" s="8">
        <f>-Presion_cilindro!N232</f>
        <v>66</v>
      </c>
      <c r="O233" s="9">
        <f>IF(Presion_cilindro!N232&gt;$B$12,1-EXP(-Presion_cilindro!$B$16*((Presion_cilindro!N232-$B$12)/Presion_cilindro!$B$35)^(Presion_cilindro!$B$17+1)),0)</f>
        <v>0</v>
      </c>
      <c r="P233" s="10">
        <f>P232*(Presion_cilindro!O231/Presion_cilindro!O232)^Presion_cilindro!$B$9+10*(Presion_cilindro!$B$9-1)*Presion_cilindro!$B$33*(O233-O232)/((Presion_cilindro!O231+Presion_cilindro!O232)/2)</f>
        <v>2.2712349330896493</v>
      </c>
      <c r="Q233" s="9">
        <f>IF(OR($B$9=0,Presion_cilindro!N232&lt;=$B$15),IF(Presion_cilindro!N232&gt;$B$13,1-EXP(-Presion_cilindro!$B$16*((Presion_cilindro!N232-$B$13)/Presion_cilindro!$B$35)^(Presion_cilindro!$B$17+1)),0),$B$8+(1-$B$8)*(1-EXP(-(Presion_cilindro!N232-$B$15)/Presion_cilindro!$B$23)))</f>
        <v>0</v>
      </c>
      <c r="R233" s="10">
        <f>R232*(Presion_cilindro!O231/Presion_cilindro!O232)^Presion_cilindro!$B$9+10*(Presion_cilindro!$B$9-1)*Presion_cilindro!$B$33*(Q233-Q232)/((Presion_cilindro!O231+Presion_cilindro!O232)/2)</f>
        <v>2.2712349330896493</v>
      </c>
      <c r="S233" s="10">
        <f>R233+IF(AND($B$9=1,Presion_cilindro!N232&gt;$B$15),Presion_cilindro!$B$24*2.5*EXP(-(Presion_cilindro!N232-$B$15)/Presion_cilindro!$B$26)*SIN(2*PI()*(Presion_cilindro!N232-$B$15)/Presion_cilindro!$B$39),0)</f>
        <v>2.2712349330896493</v>
      </c>
      <c r="T233" s="9">
        <f>IF(Presion_cilindro!N232&gt;$B$14,1-EXP(-Presion_cilindro!$B$16*((Presion_cilindro!N232-$B$14)/Presion_cilindro!$B$35)^(Presion_cilindro!$B$17+1)),0)</f>
        <v>0</v>
      </c>
      <c r="U233" s="10">
        <f>U232*(Presion_cilindro!O231/Presion_cilindro!O232)^Presion_cilindro!$B$9+10*(Presion_cilindro!$B$9-1)*Presion_cilindro!$B$33*(T233-T232)/((Presion_cilindro!O231+Presion_cilindro!O232)/2)</f>
        <v>2.2712349330896493</v>
      </c>
    </row>
    <row r="234" spans="14:21" x14ac:dyDescent="0.25">
      <c r="N234" s="8">
        <f>-Presion_cilindro!N233</f>
        <v>65.5</v>
      </c>
      <c r="O234" s="9">
        <f>IF(Presion_cilindro!N233&gt;$B$12,1-EXP(-Presion_cilindro!$B$16*((Presion_cilindro!N233-$B$12)/Presion_cilindro!$B$35)^(Presion_cilindro!$B$17+1)),0)</f>
        <v>0</v>
      </c>
      <c r="P234" s="10">
        <f>P233*(Presion_cilindro!O232/Presion_cilindro!O233)^Presion_cilindro!$B$9+10*(Presion_cilindro!$B$9-1)*Presion_cilindro!$B$33*(O234-O233)/((Presion_cilindro!O232+Presion_cilindro!O233)/2)</f>
        <v>2.3003319697106086</v>
      </c>
      <c r="Q234" s="9">
        <f>IF(OR($B$9=0,Presion_cilindro!N233&lt;=$B$15),IF(Presion_cilindro!N233&gt;$B$13,1-EXP(-Presion_cilindro!$B$16*((Presion_cilindro!N233-$B$13)/Presion_cilindro!$B$35)^(Presion_cilindro!$B$17+1)),0),$B$8+(1-$B$8)*(1-EXP(-(Presion_cilindro!N233-$B$15)/Presion_cilindro!$B$23)))</f>
        <v>0</v>
      </c>
      <c r="R234" s="10">
        <f>R233*(Presion_cilindro!O232/Presion_cilindro!O233)^Presion_cilindro!$B$9+10*(Presion_cilindro!$B$9-1)*Presion_cilindro!$B$33*(Q234-Q233)/((Presion_cilindro!O232+Presion_cilindro!O233)/2)</f>
        <v>2.3003319697106086</v>
      </c>
      <c r="S234" s="10">
        <f>R234+IF(AND($B$9=1,Presion_cilindro!N233&gt;$B$15),Presion_cilindro!$B$24*2.5*EXP(-(Presion_cilindro!N233-$B$15)/Presion_cilindro!$B$26)*SIN(2*PI()*(Presion_cilindro!N233-$B$15)/Presion_cilindro!$B$39),0)</f>
        <v>2.3003319697106086</v>
      </c>
      <c r="T234" s="9">
        <f>IF(Presion_cilindro!N233&gt;$B$14,1-EXP(-Presion_cilindro!$B$16*((Presion_cilindro!N233-$B$14)/Presion_cilindro!$B$35)^(Presion_cilindro!$B$17+1)),0)</f>
        <v>0</v>
      </c>
      <c r="U234" s="10">
        <f>U233*(Presion_cilindro!O232/Presion_cilindro!O233)^Presion_cilindro!$B$9+10*(Presion_cilindro!$B$9-1)*Presion_cilindro!$B$33*(T234-T233)/((Presion_cilindro!O232+Presion_cilindro!O233)/2)</f>
        <v>2.3003319697106086</v>
      </c>
    </row>
    <row r="235" spans="14:21" x14ac:dyDescent="0.25">
      <c r="N235" s="8">
        <f>-Presion_cilindro!N234</f>
        <v>65</v>
      </c>
      <c r="O235" s="9">
        <f>IF(Presion_cilindro!N234&gt;$B$12,1-EXP(-Presion_cilindro!$B$16*((Presion_cilindro!N234-$B$12)/Presion_cilindro!$B$35)^(Presion_cilindro!$B$17+1)),0)</f>
        <v>0</v>
      </c>
      <c r="P235" s="10">
        <f>P234*(Presion_cilindro!O233/Presion_cilindro!O234)^Presion_cilindro!$B$9+10*(Presion_cilindro!$B$9-1)*Presion_cilindro!$B$33*(O235-O234)/((Presion_cilindro!O233+Presion_cilindro!O234)/2)</f>
        <v>2.3300308032282659</v>
      </c>
      <c r="Q235" s="9">
        <f>IF(OR($B$9=0,Presion_cilindro!N234&lt;=$B$15),IF(Presion_cilindro!N234&gt;$B$13,1-EXP(-Presion_cilindro!$B$16*((Presion_cilindro!N234-$B$13)/Presion_cilindro!$B$35)^(Presion_cilindro!$B$17+1)),0),$B$8+(1-$B$8)*(1-EXP(-(Presion_cilindro!N234-$B$15)/Presion_cilindro!$B$23)))</f>
        <v>0</v>
      </c>
      <c r="R235" s="10">
        <f>R234*(Presion_cilindro!O233/Presion_cilindro!O234)^Presion_cilindro!$B$9+10*(Presion_cilindro!$B$9-1)*Presion_cilindro!$B$33*(Q235-Q234)/((Presion_cilindro!O233+Presion_cilindro!O234)/2)</f>
        <v>2.3300308032282659</v>
      </c>
      <c r="S235" s="10">
        <f>R235+IF(AND($B$9=1,Presion_cilindro!N234&gt;$B$15),Presion_cilindro!$B$24*2.5*EXP(-(Presion_cilindro!N234-$B$15)/Presion_cilindro!$B$26)*SIN(2*PI()*(Presion_cilindro!N234-$B$15)/Presion_cilindro!$B$39),0)</f>
        <v>2.3300308032282659</v>
      </c>
      <c r="T235" s="9">
        <f>IF(Presion_cilindro!N234&gt;$B$14,1-EXP(-Presion_cilindro!$B$16*((Presion_cilindro!N234-$B$14)/Presion_cilindro!$B$35)^(Presion_cilindro!$B$17+1)),0)</f>
        <v>0</v>
      </c>
      <c r="U235" s="10">
        <f>U234*(Presion_cilindro!O233/Presion_cilindro!O234)^Presion_cilindro!$B$9+10*(Presion_cilindro!$B$9-1)*Presion_cilindro!$B$33*(T235-T234)/((Presion_cilindro!O233+Presion_cilindro!O234)/2)</f>
        <v>2.3300308032282659</v>
      </c>
    </row>
    <row r="236" spans="14:21" x14ac:dyDescent="0.25">
      <c r="N236" s="8">
        <f>-Presion_cilindro!N235</f>
        <v>64.5</v>
      </c>
      <c r="O236" s="9">
        <f>IF(Presion_cilindro!N235&gt;$B$12,1-EXP(-Presion_cilindro!$B$16*((Presion_cilindro!N235-$B$12)/Presion_cilindro!$B$35)^(Presion_cilindro!$B$17+1)),0)</f>
        <v>0</v>
      </c>
      <c r="P236" s="10">
        <f>P235*(Presion_cilindro!O234/Presion_cilindro!O235)^Presion_cilindro!$B$9+10*(Presion_cilindro!$B$9-1)*Presion_cilindro!$B$33*(O236-O235)/((Presion_cilindro!O234+Presion_cilindro!O235)/2)</f>
        <v>2.3603458777329562</v>
      </c>
      <c r="Q236" s="9">
        <f>IF(OR($B$9=0,Presion_cilindro!N235&lt;=$B$15),IF(Presion_cilindro!N235&gt;$B$13,1-EXP(-Presion_cilindro!$B$16*((Presion_cilindro!N235-$B$13)/Presion_cilindro!$B$35)^(Presion_cilindro!$B$17+1)),0),$B$8+(1-$B$8)*(1-EXP(-(Presion_cilindro!N235-$B$15)/Presion_cilindro!$B$23)))</f>
        <v>0</v>
      </c>
      <c r="R236" s="10">
        <f>R235*(Presion_cilindro!O234/Presion_cilindro!O235)^Presion_cilindro!$B$9+10*(Presion_cilindro!$B$9-1)*Presion_cilindro!$B$33*(Q236-Q235)/((Presion_cilindro!O234+Presion_cilindro!O235)/2)</f>
        <v>2.3603458777329562</v>
      </c>
      <c r="S236" s="10">
        <f>R236+IF(AND($B$9=1,Presion_cilindro!N235&gt;$B$15),Presion_cilindro!$B$24*2.5*EXP(-(Presion_cilindro!N235-$B$15)/Presion_cilindro!$B$26)*SIN(2*PI()*(Presion_cilindro!N235-$B$15)/Presion_cilindro!$B$39),0)</f>
        <v>2.3603458777329562</v>
      </c>
      <c r="T236" s="9">
        <f>IF(Presion_cilindro!N235&gt;$B$14,1-EXP(-Presion_cilindro!$B$16*((Presion_cilindro!N235-$B$14)/Presion_cilindro!$B$35)^(Presion_cilindro!$B$17+1)),0)</f>
        <v>0</v>
      </c>
      <c r="U236" s="10">
        <f>U235*(Presion_cilindro!O234/Presion_cilindro!O235)^Presion_cilindro!$B$9+10*(Presion_cilindro!$B$9-1)*Presion_cilindro!$B$33*(T236-T235)/((Presion_cilindro!O234+Presion_cilindro!O235)/2)</f>
        <v>2.3603458777329562</v>
      </c>
    </row>
    <row r="237" spans="14:21" x14ac:dyDescent="0.25">
      <c r="N237" s="8">
        <f>-Presion_cilindro!N236</f>
        <v>64</v>
      </c>
      <c r="O237" s="9">
        <f>IF(Presion_cilindro!N236&gt;$B$12,1-EXP(-Presion_cilindro!$B$16*((Presion_cilindro!N236-$B$12)/Presion_cilindro!$B$35)^(Presion_cilindro!$B$17+1)),0)</f>
        <v>0</v>
      </c>
      <c r="P237" s="10">
        <f>P236*(Presion_cilindro!O235/Presion_cilindro!O236)^Presion_cilindro!$B$9+10*(Presion_cilindro!$B$9-1)*Presion_cilindro!$B$33*(O237-O236)/((Presion_cilindro!O235+Presion_cilindro!O236)/2)</f>
        <v>2.3912920110886029</v>
      </c>
      <c r="Q237" s="9">
        <f>IF(OR($B$9=0,Presion_cilindro!N236&lt;=$B$15),IF(Presion_cilindro!N236&gt;$B$13,1-EXP(-Presion_cilindro!$B$16*((Presion_cilindro!N236-$B$13)/Presion_cilindro!$B$35)^(Presion_cilindro!$B$17+1)),0),$B$8+(1-$B$8)*(1-EXP(-(Presion_cilindro!N236-$B$15)/Presion_cilindro!$B$23)))</f>
        <v>0</v>
      </c>
      <c r="R237" s="10">
        <f>R236*(Presion_cilindro!O235/Presion_cilindro!O236)^Presion_cilindro!$B$9+10*(Presion_cilindro!$B$9-1)*Presion_cilindro!$B$33*(Q237-Q236)/((Presion_cilindro!O235+Presion_cilindro!O236)/2)</f>
        <v>2.3912920110886029</v>
      </c>
      <c r="S237" s="10">
        <f>R237+IF(AND($B$9=1,Presion_cilindro!N236&gt;$B$15),Presion_cilindro!$B$24*2.5*EXP(-(Presion_cilindro!N236-$B$15)/Presion_cilindro!$B$26)*SIN(2*PI()*(Presion_cilindro!N236-$B$15)/Presion_cilindro!$B$39),0)</f>
        <v>2.3912920110886029</v>
      </c>
      <c r="T237" s="9">
        <f>IF(Presion_cilindro!N236&gt;$B$14,1-EXP(-Presion_cilindro!$B$16*((Presion_cilindro!N236-$B$14)/Presion_cilindro!$B$35)^(Presion_cilindro!$B$17+1)),0)</f>
        <v>0</v>
      </c>
      <c r="U237" s="10">
        <f>U236*(Presion_cilindro!O235/Presion_cilindro!O236)^Presion_cilindro!$B$9+10*(Presion_cilindro!$B$9-1)*Presion_cilindro!$B$33*(T237-T236)/((Presion_cilindro!O235+Presion_cilindro!O236)/2)</f>
        <v>2.3912920110886029</v>
      </c>
    </row>
    <row r="238" spans="14:21" x14ac:dyDescent="0.25">
      <c r="N238" s="8">
        <f>-Presion_cilindro!N237</f>
        <v>63.5</v>
      </c>
      <c r="O238" s="9">
        <f>IF(Presion_cilindro!N237&gt;$B$12,1-EXP(-Presion_cilindro!$B$16*((Presion_cilindro!N237-$B$12)/Presion_cilindro!$B$35)^(Presion_cilindro!$B$17+1)),0)</f>
        <v>0</v>
      </c>
      <c r="P238" s="10">
        <f>P237*(Presion_cilindro!O236/Presion_cilindro!O237)^Presion_cilindro!$B$9+10*(Presion_cilindro!$B$9-1)*Presion_cilindro!$B$33*(O238-O237)/((Presion_cilindro!O236+Presion_cilindro!O237)/2)</f>
        <v>2.4228844038316839</v>
      </c>
      <c r="Q238" s="9">
        <f>IF(OR($B$9=0,Presion_cilindro!N237&lt;=$B$15),IF(Presion_cilindro!N237&gt;$B$13,1-EXP(-Presion_cilindro!$B$16*((Presion_cilindro!N237-$B$13)/Presion_cilindro!$B$35)^(Presion_cilindro!$B$17+1)),0),$B$8+(1-$B$8)*(1-EXP(-(Presion_cilindro!N237-$B$15)/Presion_cilindro!$B$23)))</f>
        <v>0</v>
      </c>
      <c r="R238" s="10">
        <f>R237*(Presion_cilindro!O236/Presion_cilindro!O237)^Presion_cilindro!$B$9+10*(Presion_cilindro!$B$9-1)*Presion_cilindro!$B$33*(Q238-Q237)/((Presion_cilindro!O236+Presion_cilindro!O237)/2)</f>
        <v>2.4228844038316839</v>
      </c>
      <c r="S238" s="10">
        <f>R238+IF(AND($B$9=1,Presion_cilindro!N237&gt;$B$15),Presion_cilindro!$B$24*2.5*EXP(-(Presion_cilindro!N237-$B$15)/Presion_cilindro!$B$26)*SIN(2*PI()*(Presion_cilindro!N237-$B$15)/Presion_cilindro!$B$39),0)</f>
        <v>2.4228844038316839</v>
      </c>
      <c r="T238" s="9">
        <f>IF(Presion_cilindro!N237&gt;$B$14,1-EXP(-Presion_cilindro!$B$16*((Presion_cilindro!N237-$B$14)/Presion_cilindro!$B$35)^(Presion_cilindro!$B$17+1)),0)</f>
        <v>0</v>
      </c>
      <c r="U238" s="10">
        <f>U237*(Presion_cilindro!O236/Presion_cilindro!O237)^Presion_cilindro!$B$9+10*(Presion_cilindro!$B$9-1)*Presion_cilindro!$B$33*(T238-T237)/((Presion_cilindro!O236+Presion_cilindro!O237)/2)</f>
        <v>2.4228844038316839</v>
      </c>
    </row>
    <row r="239" spans="14:21" x14ac:dyDescent="0.25">
      <c r="N239" s="8">
        <f>-Presion_cilindro!N238</f>
        <v>63</v>
      </c>
      <c r="O239" s="9">
        <f>IF(Presion_cilindro!N238&gt;$B$12,1-EXP(-Presion_cilindro!$B$16*((Presion_cilindro!N238-$B$12)/Presion_cilindro!$B$35)^(Presion_cilindro!$B$17+1)),0)</f>
        <v>0</v>
      </c>
      <c r="P239" s="10">
        <f>P238*(Presion_cilindro!O237/Presion_cilindro!O238)^Presion_cilindro!$B$9+10*(Presion_cilindro!$B$9-1)*Presion_cilindro!$B$33*(O239-O238)/((Presion_cilindro!O237+Presion_cilindro!O238)/2)</f>
        <v>2.4551386481606614</v>
      </c>
      <c r="Q239" s="9">
        <f>IF(OR($B$9=0,Presion_cilindro!N238&lt;=$B$15),IF(Presion_cilindro!N238&gt;$B$13,1-EXP(-Presion_cilindro!$B$16*((Presion_cilindro!N238-$B$13)/Presion_cilindro!$B$35)^(Presion_cilindro!$B$17+1)),0),$B$8+(1-$B$8)*(1-EXP(-(Presion_cilindro!N238-$B$15)/Presion_cilindro!$B$23)))</f>
        <v>0</v>
      </c>
      <c r="R239" s="10">
        <f>R238*(Presion_cilindro!O237/Presion_cilindro!O238)^Presion_cilindro!$B$9+10*(Presion_cilindro!$B$9-1)*Presion_cilindro!$B$33*(Q239-Q238)/((Presion_cilindro!O237+Presion_cilindro!O238)/2)</f>
        <v>2.4551386481606614</v>
      </c>
      <c r="S239" s="10">
        <f>R239+IF(AND($B$9=1,Presion_cilindro!N238&gt;$B$15),Presion_cilindro!$B$24*2.5*EXP(-(Presion_cilindro!N238-$B$15)/Presion_cilindro!$B$26)*SIN(2*PI()*(Presion_cilindro!N238-$B$15)/Presion_cilindro!$B$39),0)</f>
        <v>2.4551386481606614</v>
      </c>
      <c r="T239" s="9">
        <f>IF(Presion_cilindro!N238&gt;$B$14,1-EXP(-Presion_cilindro!$B$16*((Presion_cilindro!N238-$B$14)/Presion_cilindro!$B$35)^(Presion_cilindro!$B$17+1)),0)</f>
        <v>0</v>
      </c>
      <c r="U239" s="10">
        <f>U238*(Presion_cilindro!O237/Presion_cilindro!O238)^Presion_cilindro!$B$9+10*(Presion_cilindro!$B$9-1)*Presion_cilindro!$B$33*(T239-T238)/((Presion_cilindro!O237+Presion_cilindro!O238)/2)</f>
        <v>2.4551386481606614</v>
      </c>
    </row>
    <row r="240" spans="14:21" x14ac:dyDescent="0.25">
      <c r="N240" s="8">
        <f>-Presion_cilindro!N239</f>
        <v>62.5</v>
      </c>
      <c r="O240" s="9">
        <f>IF(Presion_cilindro!N239&gt;$B$12,1-EXP(-Presion_cilindro!$B$16*((Presion_cilindro!N239-$B$12)/Presion_cilindro!$B$35)^(Presion_cilindro!$B$17+1)),0)</f>
        <v>0</v>
      </c>
      <c r="P240" s="10">
        <f>P239*(Presion_cilindro!O238/Presion_cilindro!O239)^Presion_cilindro!$B$9+10*(Presion_cilindro!$B$9-1)*Presion_cilindro!$B$33*(O240-O239)/((Presion_cilindro!O238+Presion_cilindro!O239)/2)</f>
        <v>2.4880707370037776</v>
      </c>
      <c r="Q240" s="9">
        <f>IF(OR($B$9=0,Presion_cilindro!N239&lt;=$B$15),IF(Presion_cilindro!N239&gt;$B$13,1-EXP(-Presion_cilindro!$B$16*((Presion_cilindro!N239-$B$13)/Presion_cilindro!$B$35)^(Presion_cilindro!$B$17+1)),0),$B$8+(1-$B$8)*(1-EXP(-(Presion_cilindro!N239-$B$15)/Presion_cilindro!$B$23)))</f>
        <v>0</v>
      </c>
      <c r="R240" s="10">
        <f>R239*(Presion_cilindro!O238/Presion_cilindro!O239)^Presion_cilindro!$B$9+10*(Presion_cilindro!$B$9-1)*Presion_cilindro!$B$33*(Q240-Q239)/((Presion_cilindro!O238+Presion_cilindro!O239)/2)</f>
        <v>2.4880707370037776</v>
      </c>
      <c r="S240" s="10">
        <f>R240+IF(AND($B$9=1,Presion_cilindro!N239&gt;$B$15),Presion_cilindro!$B$24*2.5*EXP(-(Presion_cilindro!N239-$B$15)/Presion_cilindro!$B$26)*SIN(2*PI()*(Presion_cilindro!N239-$B$15)/Presion_cilindro!$B$39),0)</f>
        <v>2.4880707370037776</v>
      </c>
      <c r="T240" s="9">
        <f>IF(Presion_cilindro!N239&gt;$B$14,1-EXP(-Presion_cilindro!$B$16*((Presion_cilindro!N239-$B$14)/Presion_cilindro!$B$35)^(Presion_cilindro!$B$17+1)),0)</f>
        <v>0</v>
      </c>
      <c r="U240" s="10">
        <f>U239*(Presion_cilindro!O238/Presion_cilindro!O239)^Presion_cilindro!$B$9+10*(Presion_cilindro!$B$9-1)*Presion_cilindro!$B$33*(T240-T239)/((Presion_cilindro!O238+Presion_cilindro!O239)/2)</f>
        <v>2.4880707370037776</v>
      </c>
    </row>
    <row r="241" spans="14:21" x14ac:dyDescent="0.25">
      <c r="N241" s="8">
        <f>-Presion_cilindro!N240</f>
        <v>62</v>
      </c>
      <c r="O241" s="9">
        <f>IF(Presion_cilindro!N240&gt;$B$12,1-EXP(-Presion_cilindro!$B$16*((Presion_cilindro!N240-$B$12)/Presion_cilindro!$B$35)^(Presion_cilindro!$B$17+1)),0)</f>
        <v>0</v>
      </c>
      <c r="P241" s="10">
        <f>P240*(Presion_cilindro!O239/Presion_cilindro!O240)^Presion_cilindro!$B$9+10*(Presion_cilindro!$B$9-1)*Presion_cilindro!$B$33*(O241-O240)/((Presion_cilindro!O239+Presion_cilindro!O240)/2)</f>
        <v>2.521697073151516</v>
      </c>
      <c r="Q241" s="9">
        <f>IF(OR($B$9=0,Presion_cilindro!N240&lt;=$B$15),IF(Presion_cilindro!N240&gt;$B$13,1-EXP(-Presion_cilindro!$B$16*((Presion_cilindro!N240-$B$13)/Presion_cilindro!$B$35)^(Presion_cilindro!$B$17+1)),0),$B$8+(1-$B$8)*(1-EXP(-(Presion_cilindro!N240-$B$15)/Presion_cilindro!$B$23)))</f>
        <v>0</v>
      </c>
      <c r="R241" s="10">
        <f>R240*(Presion_cilindro!O239/Presion_cilindro!O240)^Presion_cilindro!$B$9+10*(Presion_cilindro!$B$9-1)*Presion_cilindro!$B$33*(Q241-Q240)/((Presion_cilindro!O239+Presion_cilindro!O240)/2)</f>
        <v>2.521697073151516</v>
      </c>
      <c r="S241" s="10">
        <f>R241+IF(AND($B$9=1,Presion_cilindro!N240&gt;$B$15),Presion_cilindro!$B$24*2.5*EXP(-(Presion_cilindro!N240-$B$15)/Presion_cilindro!$B$26)*SIN(2*PI()*(Presion_cilindro!N240-$B$15)/Presion_cilindro!$B$39),0)</f>
        <v>2.521697073151516</v>
      </c>
      <c r="T241" s="9">
        <f>IF(Presion_cilindro!N240&gt;$B$14,1-EXP(-Presion_cilindro!$B$16*((Presion_cilindro!N240-$B$14)/Presion_cilindro!$B$35)^(Presion_cilindro!$B$17+1)),0)</f>
        <v>0</v>
      </c>
      <c r="U241" s="10">
        <f>U240*(Presion_cilindro!O239/Presion_cilindro!O240)^Presion_cilindro!$B$9+10*(Presion_cilindro!$B$9-1)*Presion_cilindro!$B$33*(T241-T240)/((Presion_cilindro!O239+Presion_cilindro!O240)/2)</f>
        <v>2.521697073151516</v>
      </c>
    </row>
    <row r="242" spans="14:21" x14ac:dyDescent="0.25">
      <c r="N242" s="8">
        <f>-Presion_cilindro!N241</f>
        <v>61.5</v>
      </c>
      <c r="O242" s="9">
        <f>IF(Presion_cilindro!N241&gt;$B$12,1-EXP(-Presion_cilindro!$B$16*((Presion_cilindro!N241-$B$12)/Presion_cilindro!$B$35)^(Presion_cilindro!$B$17+1)),0)</f>
        <v>0</v>
      </c>
      <c r="P242" s="10">
        <f>P241*(Presion_cilindro!O240/Presion_cilindro!O241)^Presion_cilindro!$B$9+10*(Presion_cilindro!$B$9-1)*Presion_cilindro!$B$33*(O242-O241)/((Presion_cilindro!O240+Presion_cilindro!O241)/2)</f>
        <v>2.556034478438252</v>
      </c>
      <c r="Q242" s="9">
        <f>IF(OR($B$9=0,Presion_cilindro!N241&lt;=$B$15),IF(Presion_cilindro!N241&gt;$B$13,1-EXP(-Presion_cilindro!$B$16*((Presion_cilindro!N241-$B$13)/Presion_cilindro!$B$35)^(Presion_cilindro!$B$17+1)),0),$B$8+(1-$B$8)*(1-EXP(-(Presion_cilindro!N241-$B$15)/Presion_cilindro!$B$23)))</f>
        <v>0</v>
      </c>
      <c r="R242" s="10">
        <f>R241*(Presion_cilindro!O240/Presion_cilindro!O241)^Presion_cilindro!$B$9+10*(Presion_cilindro!$B$9-1)*Presion_cilindro!$B$33*(Q242-Q241)/((Presion_cilindro!O240+Presion_cilindro!O241)/2)</f>
        <v>2.556034478438252</v>
      </c>
      <c r="S242" s="10">
        <f>R242+IF(AND($B$9=1,Presion_cilindro!N241&gt;$B$15),Presion_cilindro!$B$24*2.5*EXP(-(Presion_cilindro!N241-$B$15)/Presion_cilindro!$B$26)*SIN(2*PI()*(Presion_cilindro!N241-$B$15)/Presion_cilindro!$B$39),0)</f>
        <v>2.556034478438252</v>
      </c>
      <c r="T242" s="9">
        <f>IF(Presion_cilindro!N241&gt;$B$14,1-EXP(-Presion_cilindro!$B$16*((Presion_cilindro!N241-$B$14)/Presion_cilindro!$B$35)^(Presion_cilindro!$B$17+1)),0)</f>
        <v>0</v>
      </c>
      <c r="U242" s="10">
        <f>U241*(Presion_cilindro!O240/Presion_cilindro!O241)^Presion_cilindro!$B$9+10*(Presion_cilindro!$B$9-1)*Presion_cilindro!$B$33*(T242-T241)/((Presion_cilindro!O240+Presion_cilindro!O241)/2)</f>
        <v>2.556034478438252</v>
      </c>
    </row>
    <row r="243" spans="14:21" x14ac:dyDescent="0.25">
      <c r="N243" s="8">
        <f>-Presion_cilindro!N242</f>
        <v>61</v>
      </c>
      <c r="O243" s="9">
        <f>IF(Presion_cilindro!N242&gt;$B$12,1-EXP(-Presion_cilindro!$B$16*((Presion_cilindro!N242-$B$12)/Presion_cilindro!$B$35)^(Presion_cilindro!$B$17+1)),0)</f>
        <v>0</v>
      </c>
      <c r="P243" s="10">
        <f>P242*(Presion_cilindro!O241/Presion_cilindro!O242)^Presion_cilindro!$B$9+10*(Presion_cilindro!$B$9-1)*Presion_cilindro!$B$33*(O243-O242)/((Presion_cilindro!O241+Presion_cilindro!O242)/2)</f>
        <v>2.5911002029559662</v>
      </c>
      <c r="Q243" s="9">
        <f>IF(OR($B$9=0,Presion_cilindro!N242&lt;=$B$15),IF(Presion_cilindro!N242&gt;$B$13,1-EXP(-Presion_cilindro!$B$16*((Presion_cilindro!N242-$B$13)/Presion_cilindro!$B$35)^(Presion_cilindro!$B$17+1)),0),$B$8+(1-$B$8)*(1-EXP(-(Presion_cilindro!N242-$B$15)/Presion_cilindro!$B$23)))</f>
        <v>0</v>
      </c>
      <c r="R243" s="10">
        <f>R242*(Presion_cilindro!O241/Presion_cilindro!O242)^Presion_cilindro!$B$9+10*(Presion_cilindro!$B$9-1)*Presion_cilindro!$B$33*(Q243-Q242)/((Presion_cilindro!O241+Presion_cilindro!O242)/2)</f>
        <v>2.5911002029559662</v>
      </c>
      <c r="S243" s="10">
        <f>R243+IF(AND($B$9=1,Presion_cilindro!N242&gt;$B$15),Presion_cilindro!$B$24*2.5*EXP(-(Presion_cilindro!N242-$B$15)/Presion_cilindro!$B$26)*SIN(2*PI()*(Presion_cilindro!N242-$B$15)/Presion_cilindro!$B$39),0)</f>
        <v>2.5911002029559662</v>
      </c>
      <c r="T243" s="9">
        <f>IF(Presion_cilindro!N242&gt;$B$14,1-EXP(-Presion_cilindro!$B$16*((Presion_cilindro!N242-$B$14)/Presion_cilindro!$B$35)^(Presion_cilindro!$B$17+1)),0)</f>
        <v>0</v>
      </c>
      <c r="U243" s="10">
        <f>U242*(Presion_cilindro!O241/Presion_cilindro!O242)^Presion_cilindro!$B$9+10*(Presion_cilindro!$B$9-1)*Presion_cilindro!$B$33*(T243-T242)/((Presion_cilindro!O241+Presion_cilindro!O242)/2)</f>
        <v>2.5911002029559662</v>
      </c>
    </row>
    <row r="244" spans="14:21" x14ac:dyDescent="0.25">
      <c r="N244" s="8">
        <f>-Presion_cilindro!N243</f>
        <v>60.5</v>
      </c>
      <c r="O244" s="9">
        <f>IF(Presion_cilindro!N243&gt;$B$12,1-EXP(-Presion_cilindro!$B$16*((Presion_cilindro!N243-$B$12)/Presion_cilindro!$B$35)^(Presion_cilindro!$B$17+1)),0)</f>
        <v>0</v>
      </c>
      <c r="P244" s="10">
        <f>P243*(Presion_cilindro!O242/Presion_cilindro!O243)^Presion_cilindro!$B$9+10*(Presion_cilindro!$B$9-1)*Presion_cilindro!$B$33*(O244-O243)/((Presion_cilindro!O242+Presion_cilindro!O243)/2)</f>
        <v>2.6269119342806158</v>
      </c>
      <c r="Q244" s="9">
        <f>IF(OR($B$9=0,Presion_cilindro!N243&lt;=$B$15),IF(Presion_cilindro!N243&gt;$B$13,1-EXP(-Presion_cilindro!$B$16*((Presion_cilindro!N243-$B$13)/Presion_cilindro!$B$35)^(Presion_cilindro!$B$17+1)),0),$B$8+(1-$B$8)*(1-EXP(-(Presion_cilindro!N243-$B$15)/Presion_cilindro!$B$23)))</f>
        <v>0</v>
      </c>
      <c r="R244" s="10">
        <f>R243*(Presion_cilindro!O242/Presion_cilindro!O243)^Presion_cilindro!$B$9+10*(Presion_cilindro!$B$9-1)*Presion_cilindro!$B$33*(Q244-Q243)/((Presion_cilindro!O242+Presion_cilindro!O243)/2)</f>
        <v>2.6269119342806158</v>
      </c>
      <c r="S244" s="10">
        <f>R244+IF(AND($B$9=1,Presion_cilindro!N243&gt;$B$15),Presion_cilindro!$B$24*2.5*EXP(-(Presion_cilindro!N243-$B$15)/Presion_cilindro!$B$26)*SIN(2*PI()*(Presion_cilindro!N243-$B$15)/Presion_cilindro!$B$39),0)</f>
        <v>2.6269119342806158</v>
      </c>
      <c r="T244" s="9">
        <f>IF(Presion_cilindro!N243&gt;$B$14,1-EXP(-Presion_cilindro!$B$16*((Presion_cilindro!N243-$B$14)/Presion_cilindro!$B$35)^(Presion_cilindro!$B$17+1)),0)</f>
        <v>0</v>
      </c>
      <c r="U244" s="10">
        <f>U243*(Presion_cilindro!O242/Presion_cilindro!O243)^Presion_cilindro!$B$9+10*(Presion_cilindro!$B$9-1)*Presion_cilindro!$B$33*(T244-T243)/((Presion_cilindro!O242+Presion_cilindro!O243)/2)</f>
        <v>2.6269119342806158</v>
      </c>
    </row>
    <row r="245" spans="14:21" x14ac:dyDescent="0.25">
      <c r="N245" s="8">
        <f>-Presion_cilindro!N244</f>
        <v>60</v>
      </c>
      <c r="O245" s="9">
        <f>IF(Presion_cilindro!N244&gt;$B$12,1-EXP(-Presion_cilindro!$B$16*((Presion_cilindro!N244-$B$12)/Presion_cilindro!$B$35)^(Presion_cilindro!$B$17+1)),0)</f>
        <v>0</v>
      </c>
      <c r="P245" s="10">
        <f>P244*(Presion_cilindro!O243/Presion_cilindro!O244)^Presion_cilindro!$B$9+10*(Presion_cilindro!$B$9-1)*Presion_cilindro!$B$33*(O245-O244)/((Presion_cilindro!O243+Presion_cilindro!O244)/2)</f>
        <v>2.6634878066899277</v>
      </c>
      <c r="Q245" s="9">
        <f>IF(OR($B$9=0,Presion_cilindro!N244&lt;=$B$15),IF(Presion_cilindro!N244&gt;$B$13,1-EXP(-Presion_cilindro!$B$16*((Presion_cilindro!N244-$B$13)/Presion_cilindro!$B$35)^(Presion_cilindro!$B$17+1)),0),$B$8+(1-$B$8)*(1-EXP(-(Presion_cilindro!N244-$B$15)/Presion_cilindro!$B$23)))</f>
        <v>0</v>
      </c>
      <c r="R245" s="10">
        <f>R244*(Presion_cilindro!O243/Presion_cilindro!O244)^Presion_cilindro!$B$9+10*(Presion_cilindro!$B$9-1)*Presion_cilindro!$B$33*(Q245-Q244)/((Presion_cilindro!O243+Presion_cilindro!O244)/2)</f>
        <v>2.6634878066899277</v>
      </c>
      <c r="S245" s="10">
        <f>R245+IF(AND($B$9=1,Presion_cilindro!N244&gt;$B$15),Presion_cilindro!$B$24*2.5*EXP(-(Presion_cilindro!N244-$B$15)/Presion_cilindro!$B$26)*SIN(2*PI()*(Presion_cilindro!N244-$B$15)/Presion_cilindro!$B$39),0)</f>
        <v>2.6634878066899277</v>
      </c>
      <c r="T245" s="9">
        <f>IF(Presion_cilindro!N244&gt;$B$14,1-EXP(-Presion_cilindro!$B$16*((Presion_cilindro!N244-$B$14)/Presion_cilindro!$B$35)^(Presion_cilindro!$B$17+1)),0)</f>
        <v>0</v>
      </c>
      <c r="U245" s="10">
        <f>U244*(Presion_cilindro!O243/Presion_cilindro!O244)^Presion_cilindro!$B$9+10*(Presion_cilindro!$B$9-1)*Presion_cilindro!$B$33*(T245-T244)/((Presion_cilindro!O243+Presion_cilindro!O244)/2)</f>
        <v>2.6634878066899277</v>
      </c>
    </row>
    <row r="246" spans="14:21" x14ac:dyDescent="0.25">
      <c r="N246" s="8">
        <f>-Presion_cilindro!N245</f>
        <v>59.5</v>
      </c>
      <c r="O246" s="9">
        <f>IF(Presion_cilindro!N245&gt;$B$12,1-EXP(-Presion_cilindro!$B$16*((Presion_cilindro!N245-$B$12)/Presion_cilindro!$B$35)^(Presion_cilindro!$B$17+1)),0)</f>
        <v>0</v>
      </c>
      <c r="P246" s="10">
        <f>P245*(Presion_cilindro!O244/Presion_cilindro!O245)^Presion_cilindro!$B$9+10*(Presion_cilindro!$B$9-1)*Presion_cilindro!$B$33*(O246-O245)/((Presion_cilindro!O244+Presion_cilindro!O245)/2)</f>
        <v>2.700846410348694</v>
      </c>
      <c r="Q246" s="9">
        <f>IF(OR($B$9=0,Presion_cilindro!N245&lt;=$B$15),IF(Presion_cilindro!N245&gt;$B$13,1-EXP(-Presion_cilindro!$B$16*((Presion_cilindro!N245-$B$13)/Presion_cilindro!$B$35)^(Presion_cilindro!$B$17+1)),0),$B$8+(1-$B$8)*(1-EXP(-(Presion_cilindro!N245-$B$15)/Presion_cilindro!$B$23)))</f>
        <v>0</v>
      </c>
      <c r="R246" s="10">
        <f>R245*(Presion_cilindro!O244/Presion_cilindro!O245)^Presion_cilindro!$B$9+10*(Presion_cilindro!$B$9-1)*Presion_cilindro!$B$33*(Q246-Q245)/((Presion_cilindro!O244+Presion_cilindro!O245)/2)</f>
        <v>2.700846410348694</v>
      </c>
      <c r="S246" s="10">
        <f>R246+IF(AND($B$9=1,Presion_cilindro!N245&gt;$B$15),Presion_cilindro!$B$24*2.5*EXP(-(Presion_cilindro!N245-$B$15)/Presion_cilindro!$B$26)*SIN(2*PI()*(Presion_cilindro!N245-$B$15)/Presion_cilindro!$B$39),0)</f>
        <v>2.700846410348694</v>
      </c>
      <c r="T246" s="9">
        <f>IF(Presion_cilindro!N245&gt;$B$14,1-EXP(-Presion_cilindro!$B$16*((Presion_cilindro!N245-$B$14)/Presion_cilindro!$B$35)^(Presion_cilindro!$B$17+1)),0)</f>
        <v>0</v>
      </c>
      <c r="U246" s="10">
        <f>U245*(Presion_cilindro!O244/Presion_cilindro!O245)^Presion_cilindro!$B$9+10*(Presion_cilindro!$B$9-1)*Presion_cilindro!$B$33*(T246-T245)/((Presion_cilindro!O244+Presion_cilindro!O245)/2)</f>
        <v>2.700846410348694</v>
      </c>
    </row>
    <row r="247" spans="14:21" x14ac:dyDescent="0.25">
      <c r="N247" s="8">
        <f>-Presion_cilindro!N246</f>
        <v>59</v>
      </c>
      <c r="O247" s="9">
        <f>IF(Presion_cilindro!N246&gt;$B$12,1-EXP(-Presion_cilindro!$B$16*((Presion_cilindro!N246-$B$12)/Presion_cilindro!$B$35)^(Presion_cilindro!$B$17+1)),0)</f>
        <v>0</v>
      </c>
      <c r="P247" s="10">
        <f>P246*(Presion_cilindro!O245/Presion_cilindro!O246)^Presion_cilindro!$B$9+10*(Presion_cilindro!$B$9-1)*Presion_cilindro!$B$33*(O247-O246)/((Presion_cilindro!O245+Presion_cilindro!O246)/2)</f>
        <v>2.7390068004353867</v>
      </c>
      <c r="Q247" s="9">
        <f>IF(OR($B$9=0,Presion_cilindro!N246&lt;=$B$15),IF(Presion_cilindro!N246&gt;$B$13,1-EXP(-Presion_cilindro!$B$16*((Presion_cilindro!N246-$B$13)/Presion_cilindro!$B$35)^(Presion_cilindro!$B$17+1)),0),$B$8+(1-$B$8)*(1-EXP(-(Presion_cilindro!N246-$B$15)/Presion_cilindro!$B$23)))</f>
        <v>0</v>
      </c>
      <c r="R247" s="10">
        <f>R246*(Presion_cilindro!O245/Presion_cilindro!O246)^Presion_cilindro!$B$9+10*(Presion_cilindro!$B$9-1)*Presion_cilindro!$B$33*(Q247-Q246)/((Presion_cilindro!O245+Presion_cilindro!O246)/2)</f>
        <v>2.7390068004353867</v>
      </c>
      <c r="S247" s="10">
        <f>R247+IF(AND($B$9=1,Presion_cilindro!N246&gt;$B$15),Presion_cilindro!$B$24*2.5*EXP(-(Presion_cilindro!N246-$B$15)/Presion_cilindro!$B$26)*SIN(2*PI()*(Presion_cilindro!N246-$B$15)/Presion_cilindro!$B$39),0)</f>
        <v>2.7390068004353867</v>
      </c>
      <c r="T247" s="9">
        <f>IF(Presion_cilindro!N246&gt;$B$14,1-EXP(-Presion_cilindro!$B$16*((Presion_cilindro!N246-$B$14)/Presion_cilindro!$B$35)^(Presion_cilindro!$B$17+1)),0)</f>
        <v>0</v>
      </c>
      <c r="U247" s="10">
        <f>U246*(Presion_cilindro!O245/Presion_cilindro!O246)^Presion_cilindro!$B$9+10*(Presion_cilindro!$B$9-1)*Presion_cilindro!$B$33*(T247-T246)/((Presion_cilindro!O245+Presion_cilindro!O246)/2)</f>
        <v>2.7390068004353867</v>
      </c>
    </row>
    <row r="248" spans="14:21" x14ac:dyDescent="0.25">
      <c r="N248" s="8">
        <f>-Presion_cilindro!N247</f>
        <v>58.5</v>
      </c>
      <c r="O248" s="9">
        <f>IF(Presion_cilindro!N247&gt;$B$12,1-EXP(-Presion_cilindro!$B$16*((Presion_cilindro!N247-$B$12)/Presion_cilindro!$B$35)^(Presion_cilindro!$B$17+1)),0)</f>
        <v>0</v>
      </c>
      <c r="P248" s="10">
        <f>P247*(Presion_cilindro!O246/Presion_cilindro!O247)^Presion_cilindro!$B$9+10*(Presion_cilindro!$B$9-1)*Presion_cilindro!$B$33*(O248-O247)/((Presion_cilindro!O246+Presion_cilindro!O247)/2)</f>
        <v>2.7779885061809821</v>
      </c>
      <c r="Q248" s="9">
        <f>IF(OR($B$9=0,Presion_cilindro!N247&lt;=$B$15),IF(Presion_cilindro!N247&gt;$B$13,1-EXP(-Presion_cilindro!$B$16*((Presion_cilindro!N247-$B$13)/Presion_cilindro!$B$35)^(Presion_cilindro!$B$17+1)),0),$B$8+(1-$B$8)*(1-EXP(-(Presion_cilindro!N247-$B$15)/Presion_cilindro!$B$23)))</f>
        <v>0</v>
      </c>
      <c r="R248" s="10">
        <f>R247*(Presion_cilindro!O246/Presion_cilindro!O247)^Presion_cilindro!$B$9+10*(Presion_cilindro!$B$9-1)*Presion_cilindro!$B$33*(Q248-Q247)/((Presion_cilindro!O246+Presion_cilindro!O247)/2)</f>
        <v>2.7779885061809821</v>
      </c>
      <c r="S248" s="10">
        <f>R248+IF(AND($B$9=1,Presion_cilindro!N247&gt;$B$15),Presion_cilindro!$B$24*2.5*EXP(-(Presion_cilindro!N247-$B$15)/Presion_cilindro!$B$26)*SIN(2*PI()*(Presion_cilindro!N247-$B$15)/Presion_cilindro!$B$39),0)</f>
        <v>2.7779885061809821</v>
      </c>
      <c r="T248" s="9">
        <f>IF(Presion_cilindro!N247&gt;$B$14,1-EXP(-Presion_cilindro!$B$16*((Presion_cilindro!N247-$B$14)/Presion_cilindro!$B$35)^(Presion_cilindro!$B$17+1)),0)</f>
        <v>0</v>
      </c>
      <c r="U248" s="10">
        <f>U247*(Presion_cilindro!O246/Presion_cilindro!O247)^Presion_cilindro!$B$9+10*(Presion_cilindro!$B$9-1)*Presion_cilindro!$B$33*(T248-T247)/((Presion_cilindro!O246+Presion_cilindro!O247)/2)</f>
        <v>2.7779885061809821</v>
      </c>
    </row>
    <row r="249" spans="14:21" x14ac:dyDescent="0.25">
      <c r="N249" s="8">
        <f>-Presion_cilindro!N248</f>
        <v>58</v>
      </c>
      <c r="O249" s="9">
        <f>IF(Presion_cilindro!N248&gt;$B$12,1-EXP(-Presion_cilindro!$B$16*((Presion_cilindro!N248-$B$12)/Presion_cilindro!$B$35)^(Presion_cilindro!$B$17+1)),0)</f>
        <v>0</v>
      </c>
      <c r="P249" s="10">
        <f>P248*(Presion_cilindro!O247/Presion_cilindro!O248)^Presion_cilindro!$B$9+10*(Presion_cilindro!$B$9-1)*Presion_cilindro!$B$33*(O249-O248)/((Presion_cilindro!O247+Presion_cilindro!O248)/2)</f>
        <v>2.8178115397879835</v>
      </c>
      <c r="Q249" s="9">
        <f>IF(OR($B$9=0,Presion_cilindro!N248&lt;=$B$15),IF(Presion_cilindro!N248&gt;$B$13,1-EXP(-Presion_cilindro!$B$16*((Presion_cilindro!N248-$B$13)/Presion_cilindro!$B$35)^(Presion_cilindro!$B$17+1)),0),$B$8+(1-$B$8)*(1-EXP(-(Presion_cilindro!N248-$B$15)/Presion_cilindro!$B$23)))</f>
        <v>0</v>
      </c>
      <c r="R249" s="10">
        <f>R248*(Presion_cilindro!O247/Presion_cilindro!O248)^Presion_cilindro!$B$9+10*(Presion_cilindro!$B$9-1)*Presion_cilindro!$B$33*(Q249-Q248)/((Presion_cilindro!O247+Presion_cilindro!O248)/2)</f>
        <v>2.8178115397879835</v>
      </c>
      <c r="S249" s="10">
        <f>R249+IF(AND($B$9=1,Presion_cilindro!N248&gt;$B$15),Presion_cilindro!$B$24*2.5*EXP(-(Presion_cilindro!N248-$B$15)/Presion_cilindro!$B$26)*SIN(2*PI()*(Presion_cilindro!N248-$B$15)/Presion_cilindro!$B$39),0)</f>
        <v>2.8178115397879835</v>
      </c>
      <c r="T249" s="9">
        <f>IF(Presion_cilindro!N248&gt;$B$14,1-EXP(-Presion_cilindro!$B$16*((Presion_cilindro!N248-$B$14)/Presion_cilindro!$B$35)^(Presion_cilindro!$B$17+1)),0)</f>
        <v>0</v>
      </c>
      <c r="U249" s="10">
        <f>U248*(Presion_cilindro!O247/Presion_cilindro!O248)^Presion_cilindro!$B$9+10*(Presion_cilindro!$B$9-1)*Presion_cilindro!$B$33*(T249-T248)/((Presion_cilindro!O247+Presion_cilindro!O248)/2)</f>
        <v>2.8178115397879835</v>
      </c>
    </row>
    <row r="250" spans="14:21" x14ac:dyDescent="0.25">
      <c r="N250" s="8">
        <f>-Presion_cilindro!N249</f>
        <v>57.5</v>
      </c>
      <c r="O250" s="9">
        <f>IF(Presion_cilindro!N249&gt;$B$12,1-EXP(-Presion_cilindro!$B$16*((Presion_cilindro!N249-$B$12)/Presion_cilindro!$B$35)^(Presion_cilindro!$B$17+1)),0)</f>
        <v>0</v>
      </c>
      <c r="P250" s="10">
        <f>P249*(Presion_cilindro!O248/Presion_cilindro!O249)^Presion_cilindro!$B$9+10*(Presion_cilindro!$B$9-1)*Presion_cilindro!$B$33*(O250-O249)/((Presion_cilindro!O248+Presion_cilindro!O249)/2)</f>
        <v>2.858496405194427</v>
      </c>
      <c r="Q250" s="9">
        <f>IF(OR($B$9=0,Presion_cilindro!N249&lt;=$B$15),IF(Presion_cilindro!N249&gt;$B$13,1-EXP(-Presion_cilindro!$B$16*((Presion_cilindro!N249-$B$13)/Presion_cilindro!$B$35)^(Presion_cilindro!$B$17+1)),0),$B$8+(1-$B$8)*(1-EXP(-(Presion_cilindro!N249-$B$15)/Presion_cilindro!$B$23)))</f>
        <v>0</v>
      </c>
      <c r="R250" s="10">
        <f>R249*(Presion_cilindro!O248/Presion_cilindro!O249)^Presion_cilindro!$B$9+10*(Presion_cilindro!$B$9-1)*Presion_cilindro!$B$33*(Q250-Q249)/((Presion_cilindro!O248+Presion_cilindro!O249)/2)</f>
        <v>2.858496405194427</v>
      </c>
      <c r="S250" s="10">
        <f>R250+IF(AND($B$9=1,Presion_cilindro!N249&gt;$B$15),Presion_cilindro!$B$24*2.5*EXP(-(Presion_cilindro!N249-$B$15)/Presion_cilindro!$B$26)*SIN(2*PI()*(Presion_cilindro!N249-$B$15)/Presion_cilindro!$B$39),0)</f>
        <v>2.858496405194427</v>
      </c>
      <c r="T250" s="9">
        <f>IF(Presion_cilindro!N249&gt;$B$14,1-EXP(-Presion_cilindro!$B$16*((Presion_cilindro!N249-$B$14)/Presion_cilindro!$B$35)^(Presion_cilindro!$B$17+1)),0)</f>
        <v>0</v>
      </c>
      <c r="U250" s="10">
        <f>U249*(Presion_cilindro!O248/Presion_cilindro!O249)^Presion_cilindro!$B$9+10*(Presion_cilindro!$B$9-1)*Presion_cilindro!$B$33*(T250-T249)/((Presion_cilindro!O248+Presion_cilindro!O249)/2)</f>
        <v>2.858496405194427</v>
      </c>
    </row>
    <row r="251" spans="14:21" x14ac:dyDescent="0.25">
      <c r="N251" s="8">
        <f>-Presion_cilindro!N250</f>
        <v>57</v>
      </c>
      <c r="O251" s="9">
        <f>IF(Presion_cilindro!N250&gt;$B$12,1-EXP(-Presion_cilindro!$B$16*((Presion_cilindro!N250-$B$12)/Presion_cilindro!$B$35)^(Presion_cilindro!$B$17+1)),0)</f>
        <v>0</v>
      </c>
      <c r="P251" s="10">
        <f>P250*(Presion_cilindro!O249/Presion_cilindro!O250)^Presion_cilindro!$B$9+10*(Presion_cilindro!$B$9-1)*Presion_cilindro!$B$33*(O251-O250)/((Presion_cilindro!O249+Presion_cilindro!O250)/2)</f>
        <v>2.9000641066441499</v>
      </c>
      <c r="Q251" s="9">
        <f>IF(OR($B$9=0,Presion_cilindro!N250&lt;=$B$15),IF(Presion_cilindro!N250&gt;$B$13,1-EXP(-Presion_cilindro!$B$16*((Presion_cilindro!N250-$B$13)/Presion_cilindro!$B$35)^(Presion_cilindro!$B$17+1)),0),$B$8+(1-$B$8)*(1-EXP(-(Presion_cilindro!N250-$B$15)/Presion_cilindro!$B$23)))</f>
        <v>0</v>
      </c>
      <c r="R251" s="10">
        <f>R250*(Presion_cilindro!O249/Presion_cilindro!O250)^Presion_cilindro!$B$9+10*(Presion_cilindro!$B$9-1)*Presion_cilindro!$B$33*(Q251-Q250)/((Presion_cilindro!O249+Presion_cilindro!O250)/2)</f>
        <v>2.9000641066441499</v>
      </c>
      <c r="S251" s="10">
        <f>R251+IF(AND($B$9=1,Presion_cilindro!N250&gt;$B$15),Presion_cilindro!$B$24*2.5*EXP(-(Presion_cilindro!N250-$B$15)/Presion_cilindro!$B$26)*SIN(2*PI()*(Presion_cilindro!N250-$B$15)/Presion_cilindro!$B$39),0)</f>
        <v>2.9000641066441499</v>
      </c>
      <c r="T251" s="9">
        <f>IF(Presion_cilindro!N250&gt;$B$14,1-EXP(-Presion_cilindro!$B$16*((Presion_cilindro!N250-$B$14)/Presion_cilindro!$B$35)^(Presion_cilindro!$B$17+1)),0)</f>
        <v>0</v>
      </c>
      <c r="U251" s="10">
        <f>U250*(Presion_cilindro!O249/Presion_cilindro!O250)^Presion_cilindro!$B$9+10*(Presion_cilindro!$B$9-1)*Presion_cilindro!$B$33*(T251-T250)/((Presion_cilindro!O249+Presion_cilindro!O250)/2)</f>
        <v>2.9000641066441499</v>
      </c>
    </row>
    <row r="252" spans="14:21" x14ac:dyDescent="0.25">
      <c r="N252" s="8">
        <f>-Presion_cilindro!N251</f>
        <v>56.5</v>
      </c>
      <c r="O252" s="9">
        <f>IF(Presion_cilindro!N251&gt;$B$12,1-EXP(-Presion_cilindro!$B$16*((Presion_cilindro!N251-$B$12)/Presion_cilindro!$B$35)^(Presion_cilindro!$B$17+1)),0)</f>
        <v>0</v>
      </c>
      <c r="P252" s="10">
        <f>P251*(Presion_cilindro!O250/Presion_cilindro!O251)^Presion_cilindro!$B$9+10*(Presion_cilindro!$B$9-1)*Presion_cilindro!$B$33*(O252-O251)/((Presion_cilindro!O250+Presion_cilindro!O251)/2)</f>
        <v>2.9425361570209652</v>
      </c>
      <c r="Q252" s="9">
        <f>IF(OR($B$9=0,Presion_cilindro!N251&lt;=$B$15),IF(Presion_cilindro!N251&gt;$B$13,1-EXP(-Presion_cilindro!$B$16*((Presion_cilindro!N251-$B$13)/Presion_cilindro!$B$35)^(Presion_cilindro!$B$17+1)),0),$B$8+(1-$B$8)*(1-EXP(-(Presion_cilindro!N251-$B$15)/Presion_cilindro!$B$23)))</f>
        <v>0</v>
      </c>
      <c r="R252" s="10">
        <f>R251*(Presion_cilindro!O250/Presion_cilindro!O251)^Presion_cilindro!$B$9+10*(Presion_cilindro!$B$9-1)*Presion_cilindro!$B$33*(Q252-Q251)/((Presion_cilindro!O250+Presion_cilindro!O251)/2)</f>
        <v>2.9425361570209652</v>
      </c>
      <c r="S252" s="10">
        <f>R252+IF(AND($B$9=1,Presion_cilindro!N251&gt;$B$15),Presion_cilindro!$B$24*2.5*EXP(-(Presion_cilindro!N251-$B$15)/Presion_cilindro!$B$26)*SIN(2*PI()*(Presion_cilindro!N251-$B$15)/Presion_cilindro!$B$39),0)</f>
        <v>2.9425361570209652</v>
      </c>
      <c r="T252" s="9">
        <f>IF(Presion_cilindro!N251&gt;$B$14,1-EXP(-Presion_cilindro!$B$16*((Presion_cilindro!N251-$B$14)/Presion_cilindro!$B$35)^(Presion_cilindro!$B$17+1)),0)</f>
        <v>0</v>
      </c>
      <c r="U252" s="10">
        <f>U251*(Presion_cilindro!O250/Presion_cilindro!O251)^Presion_cilindro!$B$9+10*(Presion_cilindro!$B$9-1)*Presion_cilindro!$B$33*(T252-T251)/((Presion_cilindro!O250+Presion_cilindro!O251)/2)</f>
        <v>2.9425361570209652</v>
      </c>
    </row>
    <row r="253" spans="14:21" x14ac:dyDescent="0.25">
      <c r="N253" s="8">
        <f>-Presion_cilindro!N252</f>
        <v>56</v>
      </c>
      <c r="O253" s="9">
        <f>IF(Presion_cilindro!N252&gt;$B$12,1-EXP(-Presion_cilindro!$B$16*((Presion_cilindro!N252-$B$12)/Presion_cilindro!$B$35)^(Presion_cilindro!$B$17+1)),0)</f>
        <v>0</v>
      </c>
      <c r="P253" s="10">
        <f>P252*(Presion_cilindro!O251/Presion_cilindro!O252)^Presion_cilindro!$B$9+10*(Presion_cilindro!$B$9-1)*Presion_cilindro!$B$33*(O253-O252)/((Presion_cilindro!O251+Presion_cilindro!O252)/2)</f>
        <v>2.9859345859002162</v>
      </c>
      <c r="Q253" s="9">
        <f>IF(OR($B$9=0,Presion_cilindro!N252&lt;=$B$15),IF(Presion_cilindro!N252&gt;$B$13,1-EXP(-Presion_cilindro!$B$16*((Presion_cilindro!N252-$B$13)/Presion_cilindro!$B$35)^(Presion_cilindro!$B$17+1)),0),$B$8+(1-$B$8)*(1-EXP(-(Presion_cilindro!N252-$B$15)/Presion_cilindro!$B$23)))</f>
        <v>0</v>
      </c>
      <c r="R253" s="10">
        <f>R252*(Presion_cilindro!O251/Presion_cilindro!O252)^Presion_cilindro!$B$9+10*(Presion_cilindro!$B$9-1)*Presion_cilindro!$B$33*(Q253-Q252)/((Presion_cilindro!O251+Presion_cilindro!O252)/2)</f>
        <v>2.9859345859002162</v>
      </c>
      <c r="S253" s="10">
        <f>R253+IF(AND($B$9=1,Presion_cilindro!N252&gt;$B$15),Presion_cilindro!$B$24*2.5*EXP(-(Presion_cilindro!N252-$B$15)/Presion_cilindro!$B$26)*SIN(2*PI()*(Presion_cilindro!N252-$B$15)/Presion_cilindro!$B$39),0)</f>
        <v>2.9859345859002162</v>
      </c>
      <c r="T253" s="9">
        <f>IF(Presion_cilindro!N252&gt;$B$14,1-EXP(-Presion_cilindro!$B$16*((Presion_cilindro!N252-$B$14)/Presion_cilindro!$B$35)^(Presion_cilindro!$B$17+1)),0)</f>
        <v>0</v>
      </c>
      <c r="U253" s="10">
        <f>U252*(Presion_cilindro!O251/Presion_cilindro!O252)^Presion_cilindro!$B$9+10*(Presion_cilindro!$B$9-1)*Presion_cilindro!$B$33*(T253-T252)/((Presion_cilindro!O251+Presion_cilindro!O252)/2)</f>
        <v>2.9859345859002162</v>
      </c>
    </row>
    <row r="254" spans="14:21" x14ac:dyDescent="0.25">
      <c r="N254" s="8">
        <f>-Presion_cilindro!N253</f>
        <v>55.5</v>
      </c>
      <c r="O254" s="9">
        <f>IF(Presion_cilindro!N253&gt;$B$12,1-EXP(-Presion_cilindro!$B$16*((Presion_cilindro!N253-$B$12)/Presion_cilindro!$B$35)^(Presion_cilindro!$B$17+1)),0)</f>
        <v>0</v>
      </c>
      <c r="P254" s="10">
        <f>P253*(Presion_cilindro!O252/Presion_cilindro!O253)^Presion_cilindro!$B$9+10*(Presion_cilindro!$B$9-1)*Presion_cilindro!$B$33*(O254-O253)/((Presion_cilindro!O252+Presion_cilindro!O253)/2)</f>
        <v>3.0302819472670333</v>
      </c>
      <c r="Q254" s="9">
        <f>IF(OR($B$9=0,Presion_cilindro!N253&lt;=$B$15),IF(Presion_cilindro!N253&gt;$B$13,1-EXP(-Presion_cilindro!$B$16*((Presion_cilindro!N253-$B$13)/Presion_cilindro!$B$35)^(Presion_cilindro!$B$17+1)),0),$B$8+(1-$B$8)*(1-EXP(-(Presion_cilindro!N253-$B$15)/Presion_cilindro!$B$23)))</f>
        <v>0</v>
      </c>
      <c r="R254" s="10">
        <f>R253*(Presion_cilindro!O252/Presion_cilindro!O253)^Presion_cilindro!$B$9+10*(Presion_cilindro!$B$9-1)*Presion_cilindro!$B$33*(Q254-Q253)/((Presion_cilindro!O252+Presion_cilindro!O253)/2)</f>
        <v>3.0302819472670333</v>
      </c>
      <c r="S254" s="10">
        <f>R254+IF(AND($B$9=1,Presion_cilindro!N253&gt;$B$15),Presion_cilindro!$B$24*2.5*EXP(-(Presion_cilindro!N253-$B$15)/Presion_cilindro!$B$26)*SIN(2*PI()*(Presion_cilindro!N253-$B$15)/Presion_cilindro!$B$39),0)</f>
        <v>3.0302819472670333</v>
      </c>
      <c r="T254" s="9">
        <f>IF(Presion_cilindro!N253&gt;$B$14,1-EXP(-Presion_cilindro!$B$16*((Presion_cilindro!N253-$B$14)/Presion_cilindro!$B$35)^(Presion_cilindro!$B$17+1)),0)</f>
        <v>0</v>
      </c>
      <c r="U254" s="10">
        <f>U253*(Presion_cilindro!O252/Presion_cilindro!O253)^Presion_cilindro!$B$9+10*(Presion_cilindro!$B$9-1)*Presion_cilindro!$B$33*(T254-T253)/((Presion_cilindro!O252+Presion_cilindro!O253)/2)</f>
        <v>3.0302819472670333</v>
      </c>
    </row>
    <row r="255" spans="14:21" x14ac:dyDescent="0.25">
      <c r="N255" s="8">
        <f>-Presion_cilindro!N254</f>
        <v>55</v>
      </c>
      <c r="O255" s="9">
        <f>IF(Presion_cilindro!N254&gt;$B$12,1-EXP(-Presion_cilindro!$B$16*((Presion_cilindro!N254-$B$12)/Presion_cilindro!$B$35)^(Presion_cilindro!$B$17+1)),0)</f>
        <v>0</v>
      </c>
      <c r="P255" s="10">
        <f>P254*(Presion_cilindro!O253/Presion_cilindro!O254)^Presion_cilindro!$B$9+10*(Presion_cilindro!$B$9-1)*Presion_cilindro!$B$33*(O255-O254)/((Presion_cilindro!O253+Presion_cilindro!O254)/2)</f>
        <v>3.0756013268458333</v>
      </c>
      <c r="Q255" s="9">
        <f>IF(OR($B$9=0,Presion_cilindro!N254&lt;=$B$15),IF(Presion_cilindro!N254&gt;$B$13,1-EXP(-Presion_cilindro!$B$16*((Presion_cilindro!N254-$B$13)/Presion_cilindro!$B$35)^(Presion_cilindro!$B$17+1)),0),$B$8+(1-$B$8)*(1-EXP(-(Presion_cilindro!N254-$B$15)/Presion_cilindro!$B$23)))</f>
        <v>0</v>
      </c>
      <c r="R255" s="10">
        <f>R254*(Presion_cilindro!O253/Presion_cilindro!O254)^Presion_cilindro!$B$9+10*(Presion_cilindro!$B$9-1)*Presion_cilindro!$B$33*(Q255-Q254)/((Presion_cilindro!O253+Presion_cilindro!O254)/2)</f>
        <v>3.0756013268458333</v>
      </c>
      <c r="S255" s="10">
        <f>R255+IF(AND($B$9=1,Presion_cilindro!N254&gt;$B$15),Presion_cilindro!$B$24*2.5*EXP(-(Presion_cilindro!N254-$B$15)/Presion_cilindro!$B$26)*SIN(2*PI()*(Presion_cilindro!N254-$B$15)/Presion_cilindro!$B$39),0)</f>
        <v>3.0756013268458333</v>
      </c>
      <c r="T255" s="9">
        <f>IF(Presion_cilindro!N254&gt;$B$14,1-EXP(-Presion_cilindro!$B$16*((Presion_cilindro!N254-$B$14)/Presion_cilindro!$B$35)^(Presion_cilindro!$B$17+1)),0)</f>
        <v>0</v>
      </c>
      <c r="U255" s="10">
        <f>U254*(Presion_cilindro!O253/Presion_cilindro!O254)^Presion_cilindro!$B$9+10*(Presion_cilindro!$B$9-1)*Presion_cilindro!$B$33*(T255-T254)/((Presion_cilindro!O253+Presion_cilindro!O254)/2)</f>
        <v>3.0756013268458333</v>
      </c>
    </row>
    <row r="256" spans="14:21" x14ac:dyDescent="0.25">
      <c r="N256" s="8">
        <f>-Presion_cilindro!N255</f>
        <v>54.5</v>
      </c>
      <c r="O256" s="9">
        <f>IF(Presion_cilindro!N255&gt;$B$12,1-EXP(-Presion_cilindro!$B$16*((Presion_cilindro!N255-$B$12)/Presion_cilindro!$B$35)^(Presion_cilindro!$B$17+1)),0)</f>
        <v>0</v>
      </c>
      <c r="P256" s="10">
        <f>P255*(Presion_cilindro!O254/Presion_cilindro!O255)^Presion_cilindro!$B$9+10*(Presion_cilindro!$B$9-1)*Presion_cilindro!$B$33*(O256-O255)/((Presion_cilindro!O254+Presion_cilindro!O255)/2)</f>
        <v>3.1219163489807205</v>
      </c>
      <c r="Q256" s="9">
        <f>IF(OR($B$9=0,Presion_cilindro!N255&lt;=$B$15),IF(Presion_cilindro!N255&gt;$B$13,1-EXP(-Presion_cilindro!$B$16*((Presion_cilindro!N255-$B$13)/Presion_cilindro!$B$35)^(Presion_cilindro!$B$17+1)),0),$B$8+(1-$B$8)*(1-EXP(-(Presion_cilindro!N255-$B$15)/Presion_cilindro!$B$23)))</f>
        <v>0</v>
      </c>
      <c r="R256" s="10">
        <f>R255*(Presion_cilindro!O254/Presion_cilindro!O255)^Presion_cilindro!$B$9+10*(Presion_cilindro!$B$9-1)*Presion_cilindro!$B$33*(Q256-Q255)/((Presion_cilindro!O254+Presion_cilindro!O255)/2)</f>
        <v>3.1219163489807205</v>
      </c>
      <c r="S256" s="10">
        <f>R256+IF(AND($B$9=1,Presion_cilindro!N255&gt;$B$15),Presion_cilindro!$B$24*2.5*EXP(-(Presion_cilindro!N255-$B$15)/Presion_cilindro!$B$26)*SIN(2*PI()*(Presion_cilindro!N255-$B$15)/Presion_cilindro!$B$39),0)</f>
        <v>3.1219163489807205</v>
      </c>
      <c r="T256" s="9">
        <f>IF(Presion_cilindro!N255&gt;$B$14,1-EXP(-Presion_cilindro!$B$16*((Presion_cilindro!N255-$B$14)/Presion_cilindro!$B$35)^(Presion_cilindro!$B$17+1)),0)</f>
        <v>0</v>
      </c>
      <c r="U256" s="10">
        <f>U255*(Presion_cilindro!O254/Presion_cilindro!O255)^Presion_cilindro!$B$9+10*(Presion_cilindro!$B$9-1)*Presion_cilindro!$B$33*(T256-T255)/((Presion_cilindro!O254+Presion_cilindro!O255)/2)</f>
        <v>3.1219163489807205</v>
      </c>
    </row>
    <row r="257" spans="14:21" x14ac:dyDescent="0.25">
      <c r="N257" s="8">
        <f>-Presion_cilindro!N256</f>
        <v>54</v>
      </c>
      <c r="O257" s="9">
        <f>IF(Presion_cilindro!N256&gt;$B$12,1-EXP(-Presion_cilindro!$B$16*((Presion_cilindro!N256-$B$12)/Presion_cilindro!$B$35)^(Presion_cilindro!$B$17+1)),0)</f>
        <v>0</v>
      </c>
      <c r="P257" s="10">
        <f>P256*(Presion_cilindro!O255/Presion_cilindro!O256)^Presion_cilindro!$B$9+10*(Presion_cilindro!$B$9-1)*Presion_cilindro!$B$33*(O257-O256)/((Presion_cilindro!O255+Presion_cilindro!O256)/2)</f>
        <v>3.169251183000958</v>
      </c>
      <c r="Q257" s="9">
        <f>IF(OR($B$9=0,Presion_cilindro!N256&lt;=$B$15),IF(Presion_cilindro!N256&gt;$B$13,1-EXP(-Presion_cilindro!$B$16*((Presion_cilindro!N256-$B$13)/Presion_cilindro!$B$35)^(Presion_cilindro!$B$17+1)),0),$B$8+(1-$B$8)*(1-EXP(-(Presion_cilindro!N256-$B$15)/Presion_cilindro!$B$23)))</f>
        <v>0</v>
      </c>
      <c r="R257" s="10">
        <f>R256*(Presion_cilindro!O255/Presion_cilindro!O256)^Presion_cilindro!$B$9+10*(Presion_cilindro!$B$9-1)*Presion_cilindro!$B$33*(Q257-Q256)/((Presion_cilindro!O255+Presion_cilindro!O256)/2)</f>
        <v>3.169251183000958</v>
      </c>
      <c r="S257" s="10">
        <f>R257+IF(AND($B$9=1,Presion_cilindro!N256&gt;$B$15),Presion_cilindro!$B$24*2.5*EXP(-(Presion_cilindro!N256-$B$15)/Presion_cilindro!$B$26)*SIN(2*PI()*(Presion_cilindro!N256-$B$15)/Presion_cilindro!$B$39),0)</f>
        <v>3.169251183000958</v>
      </c>
      <c r="T257" s="9">
        <f>IF(Presion_cilindro!N256&gt;$B$14,1-EXP(-Presion_cilindro!$B$16*((Presion_cilindro!N256-$B$14)/Presion_cilindro!$B$35)^(Presion_cilindro!$B$17+1)),0)</f>
        <v>0</v>
      </c>
      <c r="U257" s="10">
        <f>U256*(Presion_cilindro!O255/Presion_cilindro!O256)^Presion_cilindro!$B$9+10*(Presion_cilindro!$B$9-1)*Presion_cilindro!$B$33*(T257-T256)/((Presion_cilindro!O255+Presion_cilindro!O256)/2)</f>
        <v>3.169251183000958</v>
      </c>
    </row>
    <row r="258" spans="14:21" x14ac:dyDescent="0.25">
      <c r="N258" s="8">
        <f>-Presion_cilindro!N257</f>
        <v>53.5</v>
      </c>
      <c r="O258" s="9">
        <f>IF(Presion_cilindro!N257&gt;$B$12,1-EXP(-Presion_cilindro!$B$16*((Presion_cilindro!N257-$B$12)/Presion_cilindro!$B$35)^(Presion_cilindro!$B$17+1)),0)</f>
        <v>0</v>
      </c>
      <c r="P258" s="10">
        <f>P257*(Presion_cilindro!O256/Presion_cilindro!O257)^Presion_cilindro!$B$9+10*(Presion_cilindro!$B$9-1)*Presion_cilindro!$B$33*(O258-O257)/((Presion_cilindro!O256+Presion_cilindro!O257)/2)</f>
        <v>3.2176305490001269</v>
      </c>
      <c r="Q258" s="9">
        <f>IF(OR($B$9=0,Presion_cilindro!N257&lt;=$B$15),IF(Presion_cilindro!N257&gt;$B$13,1-EXP(-Presion_cilindro!$B$16*((Presion_cilindro!N257-$B$13)/Presion_cilindro!$B$35)^(Presion_cilindro!$B$17+1)),0),$B$8+(1-$B$8)*(1-EXP(-(Presion_cilindro!N257-$B$15)/Presion_cilindro!$B$23)))</f>
        <v>0</v>
      </c>
      <c r="R258" s="10">
        <f>R257*(Presion_cilindro!O256/Presion_cilindro!O257)^Presion_cilindro!$B$9+10*(Presion_cilindro!$B$9-1)*Presion_cilindro!$B$33*(Q258-Q257)/((Presion_cilindro!O256+Presion_cilindro!O257)/2)</f>
        <v>3.2176305490001269</v>
      </c>
      <c r="S258" s="10">
        <f>R258+IF(AND($B$9=1,Presion_cilindro!N257&gt;$B$15),Presion_cilindro!$B$24*2.5*EXP(-(Presion_cilindro!N257-$B$15)/Presion_cilindro!$B$26)*SIN(2*PI()*(Presion_cilindro!N257-$B$15)/Presion_cilindro!$B$39),0)</f>
        <v>3.2176305490001269</v>
      </c>
      <c r="T258" s="9">
        <f>IF(Presion_cilindro!N257&gt;$B$14,1-EXP(-Presion_cilindro!$B$16*((Presion_cilindro!N257-$B$14)/Presion_cilindro!$B$35)^(Presion_cilindro!$B$17+1)),0)</f>
        <v>0</v>
      </c>
      <c r="U258" s="10">
        <f>U257*(Presion_cilindro!O256/Presion_cilindro!O257)^Presion_cilindro!$B$9+10*(Presion_cilindro!$B$9-1)*Presion_cilindro!$B$33*(T258-T257)/((Presion_cilindro!O256+Presion_cilindro!O257)/2)</f>
        <v>3.2176305490001269</v>
      </c>
    </row>
    <row r="259" spans="14:21" x14ac:dyDescent="0.25">
      <c r="N259" s="8">
        <f>-Presion_cilindro!N258</f>
        <v>53</v>
      </c>
      <c r="O259" s="9">
        <f>IF(Presion_cilindro!N258&gt;$B$12,1-EXP(-Presion_cilindro!$B$16*((Presion_cilindro!N258-$B$12)/Presion_cilindro!$B$35)^(Presion_cilindro!$B$17+1)),0)</f>
        <v>0</v>
      </c>
      <c r="P259" s="10">
        <f>P258*(Presion_cilindro!O257/Presion_cilindro!O258)^Presion_cilindro!$B$9+10*(Presion_cilindro!$B$9-1)*Presion_cilindro!$B$33*(O259-O258)/((Presion_cilindro!O257+Presion_cilindro!O258)/2)</f>
        <v>3.267079722951264</v>
      </c>
      <c r="Q259" s="9">
        <f>IF(OR($B$9=0,Presion_cilindro!N258&lt;=$B$15),IF(Presion_cilindro!N258&gt;$B$13,1-EXP(-Presion_cilindro!$B$16*((Presion_cilindro!N258-$B$13)/Presion_cilindro!$B$35)^(Presion_cilindro!$B$17+1)),0),$B$8+(1-$B$8)*(1-EXP(-(Presion_cilindro!N258-$B$15)/Presion_cilindro!$B$23)))</f>
        <v>0</v>
      </c>
      <c r="R259" s="10">
        <f>R258*(Presion_cilindro!O257/Presion_cilindro!O258)^Presion_cilindro!$B$9+10*(Presion_cilindro!$B$9-1)*Presion_cilindro!$B$33*(Q259-Q258)/((Presion_cilindro!O257+Presion_cilindro!O258)/2)</f>
        <v>3.267079722951264</v>
      </c>
      <c r="S259" s="10">
        <f>R259+IF(AND($B$9=1,Presion_cilindro!N258&gt;$B$15),Presion_cilindro!$B$24*2.5*EXP(-(Presion_cilindro!N258-$B$15)/Presion_cilindro!$B$26)*SIN(2*PI()*(Presion_cilindro!N258-$B$15)/Presion_cilindro!$B$39),0)</f>
        <v>3.267079722951264</v>
      </c>
      <c r="T259" s="9">
        <f>IF(Presion_cilindro!N258&gt;$B$14,1-EXP(-Presion_cilindro!$B$16*((Presion_cilindro!N258-$B$14)/Presion_cilindro!$B$35)^(Presion_cilindro!$B$17+1)),0)</f>
        <v>0</v>
      </c>
      <c r="U259" s="10">
        <f>U258*(Presion_cilindro!O257/Presion_cilindro!O258)^Presion_cilindro!$B$9+10*(Presion_cilindro!$B$9-1)*Presion_cilindro!$B$33*(T259-T258)/((Presion_cilindro!O257+Presion_cilindro!O258)/2)</f>
        <v>3.267079722951264</v>
      </c>
    </row>
    <row r="260" spans="14:21" x14ac:dyDescent="0.25">
      <c r="N260" s="8">
        <f>-Presion_cilindro!N259</f>
        <v>52.5</v>
      </c>
      <c r="O260" s="9">
        <f>IF(Presion_cilindro!N259&gt;$B$12,1-EXP(-Presion_cilindro!$B$16*((Presion_cilindro!N259-$B$12)/Presion_cilindro!$B$35)^(Presion_cilindro!$B$17+1)),0)</f>
        <v>0</v>
      </c>
      <c r="P260" s="10">
        <f>P259*(Presion_cilindro!O258/Presion_cilindro!O259)^Presion_cilindro!$B$9+10*(Presion_cilindro!$B$9-1)*Presion_cilindro!$B$33*(O260-O259)/((Presion_cilindro!O258+Presion_cilindro!O259)/2)</f>
        <v>3.3176245410737781</v>
      </c>
      <c r="Q260" s="9">
        <f>IF(OR($B$9=0,Presion_cilindro!N259&lt;=$B$15),IF(Presion_cilindro!N259&gt;$B$13,1-EXP(-Presion_cilindro!$B$16*((Presion_cilindro!N259-$B$13)/Presion_cilindro!$B$35)^(Presion_cilindro!$B$17+1)),0),$B$8+(1-$B$8)*(1-EXP(-(Presion_cilindro!N259-$B$15)/Presion_cilindro!$B$23)))</f>
        <v>0</v>
      </c>
      <c r="R260" s="10">
        <f>R259*(Presion_cilindro!O258/Presion_cilindro!O259)^Presion_cilindro!$B$9+10*(Presion_cilindro!$B$9-1)*Presion_cilindro!$B$33*(Q260-Q259)/((Presion_cilindro!O258+Presion_cilindro!O259)/2)</f>
        <v>3.3176245410737781</v>
      </c>
      <c r="S260" s="10">
        <f>R260+IF(AND($B$9=1,Presion_cilindro!N259&gt;$B$15),Presion_cilindro!$B$24*2.5*EXP(-(Presion_cilindro!N259-$B$15)/Presion_cilindro!$B$26)*SIN(2*PI()*(Presion_cilindro!N259-$B$15)/Presion_cilindro!$B$39),0)</f>
        <v>3.3176245410737781</v>
      </c>
      <c r="T260" s="9">
        <f>IF(Presion_cilindro!N259&gt;$B$14,1-EXP(-Presion_cilindro!$B$16*((Presion_cilindro!N259-$B$14)/Presion_cilindro!$B$35)^(Presion_cilindro!$B$17+1)),0)</f>
        <v>0</v>
      </c>
      <c r="U260" s="10">
        <f>U259*(Presion_cilindro!O258/Presion_cilindro!O259)^Presion_cilindro!$B$9+10*(Presion_cilindro!$B$9-1)*Presion_cilindro!$B$33*(T260-T259)/((Presion_cilindro!O258+Presion_cilindro!O259)/2)</f>
        <v>3.3176245410737781</v>
      </c>
    </row>
    <row r="261" spans="14:21" x14ac:dyDescent="0.25">
      <c r="N261" s="8">
        <f>-Presion_cilindro!N260</f>
        <v>52</v>
      </c>
      <c r="O261" s="9">
        <f>IF(Presion_cilindro!N260&gt;$B$12,1-EXP(-Presion_cilindro!$B$16*((Presion_cilindro!N260-$B$12)/Presion_cilindro!$B$35)^(Presion_cilindro!$B$17+1)),0)</f>
        <v>0</v>
      </c>
      <c r="P261" s="10">
        <f>P260*(Presion_cilindro!O259/Presion_cilindro!O260)^Presion_cilindro!$B$9+10*(Presion_cilindro!$B$9-1)*Presion_cilindro!$B$33*(O261-O260)/((Presion_cilindro!O259+Presion_cilindro!O260)/2)</f>
        <v>3.3692914033609842</v>
      </c>
      <c r="Q261" s="9">
        <f>IF(OR($B$9=0,Presion_cilindro!N260&lt;=$B$15),IF(Presion_cilindro!N260&gt;$B$13,1-EXP(-Presion_cilindro!$B$16*((Presion_cilindro!N260-$B$13)/Presion_cilindro!$B$35)^(Presion_cilindro!$B$17+1)),0),$B$8+(1-$B$8)*(1-EXP(-(Presion_cilindro!N260-$B$15)/Presion_cilindro!$B$23)))</f>
        <v>0</v>
      </c>
      <c r="R261" s="10">
        <f>R260*(Presion_cilindro!O259/Presion_cilindro!O260)^Presion_cilindro!$B$9+10*(Presion_cilindro!$B$9-1)*Presion_cilindro!$B$33*(Q261-Q260)/((Presion_cilindro!O259+Presion_cilindro!O260)/2)</f>
        <v>3.3692914033609842</v>
      </c>
      <c r="S261" s="10">
        <f>R261+IF(AND($B$9=1,Presion_cilindro!N260&gt;$B$15),Presion_cilindro!$B$24*2.5*EXP(-(Presion_cilindro!N260-$B$15)/Presion_cilindro!$B$26)*SIN(2*PI()*(Presion_cilindro!N260-$B$15)/Presion_cilindro!$B$39),0)</f>
        <v>3.3692914033609842</v>
      </c>
      <c r="T261" s="9">
        <f>IF(Presion_cilindro!N260&gt;$B$14,1-EXP(-Presion_cilindro!$B$16*((Presion_cilindro!N260-$B$14)/Presion_cilindro!$B$35)^(Presion_cilindro!$B$17+1)),0)</f>
        <v>0</v>
      </c>
      <c r="U261" s="10">
        <f>U260*(Presion_cilindro!O259/Presion_cilindro!O260)^Presion_cilindro!$B$9+10*(Presion_cilindro!$B$9-1)*Presion_cilindro!$B$33*(T261-T260)/((Presion_cilindro!O259+Presion_cilindro!O260)/2)</f>
        <v>3.3692914033609842</v>
      </c>
    </row>
    <row r="262" spans="14:21" x14ac:dyDescent="0.25">
      <c r="N262" s="8">
        <f>-Presion_cilindro!N261</f>
        <v>51.5</v>
      </c>
      <c r="O262" s="9">
        <f>IF(Presion_cilindro!N261&gt;$B$12,1-EXP(-Presion_cilindro!$B$16*((Presion_cilindro!N261-$B$12)/Presion_cilindro!$B$35)^(Presion_cilindro!$B$17+1)),0)</f>
        <v>0</v>
      </c>
      <c r="P262" s="10">
        <f>P261*(Presion_cilindro!O260/Presion_cilindro!O261)^Presion_cilindro!$B$9+10*(Presion_cilindro!$B$9-1)*Presion_cilindro!$B$33*(O262-O261)/((Presion_cilindro!O260+Presion_cilindro!O261)/2)</f>
        <v>3.422107276169442</v>
      </c>
      <c r="Q262" s="9">
        <f>IF(OR($B$9=0,Presion_cilindro!N261&lt;=$B$15),IF(Presion_cilindro!N261&gt;$B$13,1-EXP(-Presion_cilindro!$B$16*((Presion_cilindro!N261-$B$13)/Presion_cilindro!$B$35)^(Presion_cilindro!$B$17+1)),0),$B$8+(1-$B$8)*(1-EXP(-(Presion_cilindro!N261-$B$15)/Presion_cilindro!$B$23)))</f>
        <v>0</v>
      </c>
      <c r="R262" s="10">
        <f>R261*(Presion_cilindro!O260/Presion_cilindro!O261)^Presion_cilindro!$B$9+10*(Presion_cilindro!$B$9-1)*Presion_cilindro!$B$33*(Q262-Q261)/((Presion_cilindro!O260+Presion_cilindro!O261)/2)</f>
        <v>3.422107276169442</v>
      </c>
      <c r="S262" s="10">
        <f>R262+IF(AND($B$9=1,Presion_cilindro!N261&gt;$B$15),Presion_cilindro!$B$24*2.5*EXP(-(Presion_cilindro!N261-$B$15)/Presion_cilindro!$B$26)*SIN(2*PI()*(Presion_cilindro!N261-$B$15)/Presion_cilindro!$B$39),0)</f>
        <v>3.422107276169442</v>
      </c>
      <c r="T262" s="9">
        <f>IF(Presion_cilindro!N261&gt;$B$14,1-EXP(-Presion_cilindro!$B$16*((Presion_cilindro!N261-$B$14)/Presion_cilindro!$B$35)^(Presion_cilindro!$B$17+1)),0)</f>
        <v>0</v>
      </c>
      <c r="U262" s="10">
        <f>U261*(Presion_cilindro!O260/Presion_cilindro!O261)^Presion_cilindro!$B$9+10*(Presion_cilindro!$B$9-1)*Presion_cilindro!$B$33*(T262-T261)/((Presion_cilindro!O260+Presion_cilindro!O261)/2)</f>
        <v>3.422107276169442</v>
      </c>
    </row>
    <row r="263" spans="14:21" x14ac:dyDescent="0.25">
      <c r="N263" s="8">
        <f>-Presion_cilindro!N262</f>
        <v>51</v>
      </c>
      <c r="O263" s="9">
        <f>IF(Presion_cilindro!N262&gt;$B$12,1-EXP(-Presion_cilindro!$B$16*((Presion_cilindro!N262-$B$12)/Presion_cilindro!$B$35)^(Presion_cilindro!$B$17+1)),0)</f>
        <v>0</v>
      </c>
      <c r="P263" s="10">
        <f>P262*(Presion_cilindro!O261/Presion_cilindro!O262)^Presion_cilindro!$B$9+10*(Presion_cilindro!$B$9-1)*Presion_cilindro!$B$33*(O263-O262)/((Presion_cilindro!O261+Presion_cilindro!O262)/2)</f>
        <v>3.4760996937634454</v>
      </c>
      <c r="Q263" s="9">
        <f>IF(OR($B$9=0,Presion_cilindro!N262&lt;=$B$15),IF(Presion_cilindro!N262&gt;$B$13,1-EXP(-Presion_cilindro!$B$16*((Presion_cilindro!N262-$B$13)/Presion_cilindro!$B$35)^(Presion_cilindro!$B$17+1)),0),$B$8+(1-$B$8)*(1-EXP(-(Presion_cilindro!N262-$B$15)/Presion_cilindro!$B$23)))</f>
        <v>0</v>
      </c>
      <c r="R263" s="10">
        <f>R262*(Presion_cilindro!O261/Presion_cilindro!O262)^Presion_cilindro!$B$9+10*(Presion_cilindro!$B$9-1)*Presion_cilindro!$B$33*(Q263-Q262)/((Presion_cilindro!O261+Presion_cilindro!O262)/2)</f>
        <v>3.4760996937634454</v>
      </c>
      <c r="S263" s="10">
        <f>R263+IF(AND($B$9=1,Presion_cilindro!N262&gt;$B$15),Presion_cilindro!$B$24*2.5*EXP(-(Presion_cilindro!N262-$B$15)/Presion_cilindro!$B$26)*SIN(2*PI()*(Presion_cilindro!N262-$B$15)/Presion_cilindro!$B$39),0)</f>
        <v>3.4760996937634454</v>
      </c>
      <c r="T263" s="9">
        <f>IF(Presion_cilindro!N262&gt;$B$14,1-EXP(-Presion_cilindro!$B$16*((Presion_cilindro!N262-$B$14)/Presion_cilindro!$B$35)^(Presion_cilindro!$B$17+1)),0)</f>
        <v>0</v>
      </c>
      <c r="U263" s="10">
        <f>U262*(Presion_cilindro!O261/Presion_cilindro!O262)^Presion_cilindro!$B$9+10*(Presion_cilindro!$B$9-1)*Presion_cilindro!$B$33*(T263-T262)/((Presion_cilindro!O261+Presion_cilindro!O262)/2)</f>
        <v>3.4760996937634454</v>
      </c>
    </row>
    <row r="264" spans="14:21" x14ac:dyDescent="0.25">
      <c r="N264" s="8">
        <f>-Presion_cilindro!N263</f>
        <v>50.5</v>
      </c>
      <c r="O264" s="9">
        <f>IF(Presion_cilindro!N263&gt;$B$12,1-EXP(-Presion_cilindro!$B$16*((Presion_cilindro!N263-$B$12)/Presion_cilindro!$B$35)^(Presion_cilindro!$B$17+1)),0)</f>
        <v>0</v>
      </c>
      <c r="P264" s="10">
        <f>P263*(Presion_cilindro!O262/Presion_cilindro!O263)^Presion_cilindro!$B$9+10*(Presion_cilindro!$B$9-1)*Presion_cilindro!$B$33*(O264-O263)/((Presion_cilindro!O262+Presion_cilindro!O263)/2)</f>
        <v>3.5312967586994413</v>
      </c>
      <c r="Q264" s="9">
        <f>IF(OR($B$9=0,Presion_cilindro!N263&lt;=$B$15),IF(Presion_cilindro!N263&gt;$B$13,1-EXP(-Presion_cilindro!$B$16*((Presion_cilindro!N263-$B$13)/Presion_cilindro!$B$35)^(Presion_cilindro!$B$17+1)),0),$B$8+(1-$B$8)*(1-EXP(-(Presion_cilindro!N263-$B$15)/Presion_cilindro!$B$23)))</f>
        <v>0</v>
      </c>
      <c r="R264" s="10">
        <f>R263*(Presion_cilindro!O262/Presion_cilindro!O263)^Presion_cilindro!$B$9+10*(Presion_cilindro!$B$9-1)*Presion_cilindro!$B$33*(Q264-Q263)/((Presion_cilindro!O262+Presion_cilindro!O263)/2)</f>
        <v>3.5312967586994413</v>
      </c>
      <c r="S264" s="10">
        <f>R264+IF(AND($B$9=1,Presion_cilindro!N263&gt;$B$15),Presion_cilindro!$B$24*2.5*EXP(-(Presion_cilindro!N263-$B$15)/Presion_cilindro!$B$26)*SIN(2*PI()*(Presion_cilindro!N263-$B$15)/Presion_cilindro!$B$39),0)</f>
        <v>3.5312967586994413</v>
      </c>
      <c r="T264" s="9">
        <f>IF(Presion_cilindro!N263&gt;$B$14,1-EXP(-Presion_cilindro!$B$16*((Presion_cilindro!N263-$B$14)/Presion_cilindro!$B$35)^(Presion_cilindro!$B$17+1)),0)</f>
        <v>0</v>
      </c>
      <c r="U264" s="10">
        <f>U263*(Presion_cilindro!O262/Presion_cilindro!O263)^Presion_cilindro!$B$9+10*(Presion_cilindro!$B$9-1)*Presion_cilindro!$B$33*(T264-T263)/((Presion_cilindro!O262+Presion_cilindro!O263)/2)</f>
        <v>3.5312967586994413</v>
      </c>
    </row>
    <row r="265" spans="14:21" x14ac:dyDescent="0.25">
      <c r="N265" s="8">
        <f>-Presion_cilindro!N264</f>
        <v>50</v>
      </c>
      <c r="O265" s="9">
        <f>IF(Presion_cilindro!N264&gt;$B$12,1-EXP(-Presion_cilindro!$B$16*((Presion_cilindro!N264-$B$12)/Presion_cilindro!$B$35)^(Presion_cilindro!$B$17+1)),0)</f>
        <v>0</v>
      </c>
      <c r="P265" s="10">
        <f>P264*(Presion_cilindro!O263/Presion_cilindro!O264)^Presion_cilindro!$B$9+10*(Presion_cilindro!$B$9-1)*Presion_cilindro!$B$33*(O265-O264)/((Presion_cilindro!O263+Presion_cilindro!O264)/2)</f>
        <v>3.5877271409260953</v>
      </c>
      <c r="Q265" s="9">
        <f>IF(OR($B$9=0,Presion_cilindro!N264&lt;=$B$15),IF(Presion_cilindro!N264&gt;$B$13,1-EXP(-Presion_cilindro!$B$16*((Presion_cilindro!N264-$B$13)/Presion_cilindro!$B$35)^(Presion_cilindro!$B$17+1)),0),$B$8+(1-$B$8)*(1-EXP(-(Presion_cilindro!N264-$B$15)/Presion_cilindro!$B$23)))</f>
        <v>0</v>
      </c>
      <c r="R265" s="10">
        <f>R264*(Presion_cilindro!O263/Presion_cilindro!O264)^Presion_cilindro!$B$9+10*(Presion_cilindro!$B$9-1)*Presion_cilindro!$B$33*(Q265-Q264)/((Presion_cilindro!O263+Presion_cilindro!O264)/2)</f>
        <v>3.5877271409260953</v>
      </c>
      <c r="S265" s="10">
        <f>R265+IF(AND($B$9=1,Presion_cilindro!N264&gt;$B$15),Presion_cilindro!$B$24*2.5*EXP(-(Presion_cilindro!N264-$B$15)/Presion_cilindro!$B$26)*SIN(2*PI()*(Presion_cilindro!N264-$B$15)/Presion_cilindro!$B$39),0)</f>
        <v>3.5877271409260953</v>
      </c>
      <c r="T265" s="9">
        <f>IF(Presion_cilindro!N264&gt;$B$14,1-EXP(-Presion_cilindro!$B$16*((Presion_cilindro!N264-$B$14)/Presion_cilindro!$B$35)^(Presion_cilindro!$B$17+1)),0)</f>
        <v>0</v>
      </c>
      <c r="U265" s="10">
        <f>U264*(Presion_cilindro!O263/Presion_cilindro!O264)^Presion_cilindro!$B$9+10*(Presion_cilindro!$B$9-1)*Presion_cilindro!$B$33*(T265-T264)/((Presion_cilindro!O263+Presion_cilindro!O264)/2)</f>
        <v>3.5877271409260953</v>
      </c>
    </row>
    <row r="266" spans="14:21" x14ac:dyDescent="0.25">
      <c r="N266" s="8">
        <f>-Presion_cilindro!N265</f>
        <v>49.5</v>
      </c>
      <c r="O266" s="9">
        <f>IF(Presion_cilindro!N265&gt;$B$12,1-EXP(-Presion_cilindro!$B$16*((Presion_cilindro!N265-$B$12)/Presion_cilindro!$B$35)^(Presion_cilindro!$B$17+1)),0)</f>
        <v>0</v>
      </c>
      <c r="P266" s="10">
        <f>P265*(Presion_cilindro!O264/Presion_cilindro!O265)^Presion_cilindro!$B$9+10*(Presion_cilindro!$B$9-1)*Presion_cilindro!$B$33*(O266-O265)/((Presion_cilindro!O264+Presion_cilindro!O265)/2)</f>
        <v>3.6454200754661348</v>
      </c>
      <c r="Q266" s="9">
        <f>IF(OR($B$9=0,Presion_cilindro!N265&lt;=$B$15),IF(Presion_cilindro!N265&gt;$B$13,1-EXP(-Presion_cilindro!$B$16*((Presion_cilindro!N265-$B$13)/Presion_cilindro!$B$35)^(Presion_cilindro!$B$17+1)),0),$B$8+(1-$B$8)*(1-EXP(-(Presion_cilindro!N265-$B$15)/Presion_cilindro!$B$23)))</f>
        <v>0</v>
      </c>
      <c r="R266" s="10">
        <f>R265*(Presion_cilindro!O264/Presion_cilindro!O265)^Presion_cilindro!$B$9+10*(Presion_cilindro!$B$9-1)*Presion_cilindro!$B$33*(Q266-Q265)/((Presion_cilindro!O264+Presion_cilindro!O265)/2)</f>
        <v>3.6454200754661348</v>
      </c>
      <c r="S266" s="10">
        <f>R266+IF(AND($B$9=1,Presion_cilindro!N265&gt;$B$15),Presion_cilindro!$B$24*2.5*EXP(-(Presion_cilindro!N265-$B$15)/Presion_cilindro!$B$26)*SIN(2*PI()*(Presion_cilindro!N265-$B$15)/Presion_cilindro!$B$39),0)</f>
        <v>3.6454200754661348</v>
      </c>
      <c r="T266" s="9">
        <f>IF(Presion_cilindro!N265&gt;$B$14,1-EXP(-Presion_cilindro!$B$16*((Presion_cilindro!N265-$B$14)/Presion_cilindro!$B$35)^(Presion_cilindro!$B$17+1)),0)</f>
        <v>0</v>
      </c>
      <c r="U266" s="10">
        <f>U265*(Presion_cilindro!O264/Presion_cilindro!O265)^Presion_cilindro!$B$9+10*(Presion_cilindro!$B$9-1)*Presion_cilindro!$B$33*(T266-T265)/((Presion_cilindro!O264+Presion_cilindro!O265)/2)</f>
        <v>3.6454200754661348</v>
      </c>
    </row>
    <row r="267" spans="14:21" x14ac:dyDescent="0.25">
      <c r="N267" s="8">
        <f>-Presion_cilindro!N266</f>
        <v>49</v>
      </c>
      <c r="O267" s="9">
        <f>IF(Presion_cilindro!N266&gt;$B$12,1-EXP(-Presion_cilindro!$B$16*((Presion_cilindro!N266-$B$12)/Presion_cilindro!$B$35)^(Presion_cilindro!$B$17+1)),0)</f>
        <v>0</v>
      </c>
      <c r="P267" s="10">
        <f>P266*(Presion_cilindro!O265/Presion_cilindro!O266)^Presion_cilindro!$B$9+10*(Presion_cilindro!$B$9-1)*Presion_cilindro!$B$33*(O267-O266)/((Presion_cilindro!O265+Presion_cilindro!O266)/2)</f>
        <v>3.7044053585359569</v>
      </c>
      <c r="Q267" s="9">
        <f>IF(OR($B$9=0,Presion_cilindro!N266&lt;=$B$15),IF(Presion_cilindro!N266&gt;$B$13,1-EXP(-Presion_cilindro!$B$16*((Presion_cilindro!N266-$B$13)/Presion_cilindro!$B$35)^(Presion_cilindro!$B$17+1)),0),$B$8+(1-$B$8)*(1-EXP(-(Presion_cilindro!N266-$B$15)/Presion_cilindro!$B$23)))</f>
        <v>0</v>
      </c>
      <c r="R267" s="10">
        <f>R266*(Presion_cilindro!O265/Presion_cilindro!O266)^Presion_cilindro!$B$9+10*(Presion_cilindro!$B$9-1)*Presion_cilindro!$B$33*(Q267-Q266)/((Presion_cilindro!O265+Presion_cilindro!O266)/2)</f>
        <v>3.7044053585359569</v>
      </c>
      <c r="S267" s="10">
        <f>R267+IF(AND($B$9=1,Presion_cilindro!N266&gt;$B$15),Presion_cilindro!$B$24*2.5*EXP(-(Presion_cilindro!N266-$B$15)/Presion_cilindro!$B$26)*SIN(2*PI()*(Presion_cilindro!N266-$B$15)/Presion_cilindro!$B$39),0)</f>
        <v>3.7044053585359569</v>
      </c>
      <c r="T267" s="9">
        <f>IF(Presion_cilindro!N266&gt;$B$14,1-EXP(-Presion_cilindro!$B$16*((Presion_cilindro!N266-$B$14)/Presion_cilindro!$B$35)^(Presion_cilindro!$B$17+1)),0)</f>
        <v>0</v>
      </c>
      <c r="U267" s="10">
        <f>U266*(Presion_cilindro!O265/Presion_cilindro!O266)^Presion_cilindro!$B$9+10*(Presion_cilindro!$B$9-1)*Presion_cilindro!$B$33*(T267-T266)/((Presion_cilindro!O265+Presion_cilindro!O266)/2)</f>
        <v>3.7044053585359569</v>
      </c>
    </row>
    <row r="268" spans="14:21" x14ac:dyDescent="0.25">
      <c r="N268" s="8">
        <f>-Presion_cilindro!N267</f>
        <v>48.5</v>
      </c>
      <c r="O268" s="9">
        <f>IF(Presion_cilindro!N267&gt;$B$12,1-EXP(-Presion_cilindro!$B$16*((Presion_cilindro!N267-$B$12)/Presion_cilindro!$B$35)^(Presion_cilindro!$B$17+1)),0)</f>
        <v>0</v>
      </c>
      <c r="P268" s="10">
        <f>P267*(Presion_cilindro!O266/Presion_cilindro!O267)^Presion_cilindro!$B$9+10*(Presion_cilindro!$B$9-1)*Presion_cilindro!$B$33*(O268-O267)/((Presion_cilindro!O266+Presion_cilindro!O267)/2)</f>
        <v>3.764713341948192</v>
      </c>
      <c r="Q268" s="9">
        <f>IF(OR($B$9=0,Presion_cilindro!N267&lt;=$B$15),IF(Presion_cilindro!N267&gt;$B$13,1-EXP(-Presion_cilindro!$B$16*((Presion_cilindro!N267-$B$13)/Presion_cilindro!$B$35)^(Presion_cilindro!$B$17+1)),0),$B$8+(1-$B$8)*(1-EXP(-(Presion_cilindro!N267-$B$15)/Presion_cilindro!$B$23)))</f>
        <v>0</v>
      </c>
      <c r="R268" s="10">
        <f>R267*(Presion_cilindro!O266/Presion_cilindro!O267)^Presion_cilindro!$B$9+10*(Presion_cilindro!$B$9-1)*Presion_cilindro!$B$33*(Q268-Q267)/((Presion_cilindro!O266+Presion_cilindro!O267)/2)</f>
        <v>3.764713341948192</v>
      </c>
      <c r="S268" s="10">
        <f>R268+IF(AND($B$9=1,Presion_cilindro!N267&gt;$B$15),Presion_cilindro!$B$24*2.5*EXP(-(Presion_cilindro!N267-$B$15)/Presion_cilindro!$B$26)*SIN(2*PI()*(Presion_cilindro!N267-$B$15)/Presion_cilindro!$B$39),0)</f>
        <v>3.764713341948192</v>
      </c>
      <c r="T268" s="9">
        <f>IF(Presion_cilindro!N267&gt;$B$14,1-EXP(-Presion_cilindro!$B$16*((Presion_cilindro!N267-$B$14)/Presion_cilindro!$B$35)^(Presion_cilindro!$B$17+1)),0)</f>
        <v>0</v>
      </c>
      <c r="U268" s="10">
        <f>U267*(Presion_cilindro!O266/Presion_cilindro!O267)^Presion_cilindro!$B$9+10*(Presion_cilindro!$B$9-1)*Presion_cilindro!$B$33*(T268-T267)/((Presion_cilindro!O266+Presion_cilindro!O267)/2)</f>
        <v>3.764713341948192</v>
      </c>
    </row>
    <row r="269" spans="14:21" x14ac:dyDescent="0.25">
      <c r="N269" s="8">
        <f>-Presion_cilindro!N268</f>
        <v>48</v>
      </c>
      <c r="O269" s="9">
        <f>IF(Presion_cilindro!N268&gt;$B$12,1-EXP(-Presion_cilindro!$B$16*((Presion_cilindro!N268-$B$12)/Presion_cilindro!$B$35)^(Presion_cilindro!$B$17+1)),0)</f>
        <v>0</v>
      </c>
      <c r="P269" s="10">
        <f>P268*(Presion_cilindro!O267/Presion_cilindro!O268)^Presion_cilindro!$B$9+10*(Presion_cilindro!$B$9-1)*Presion_cilindro!$B$33*(O269-O268)/((Presion_cilindro!O267+Presion_cilindro!O268)/2)</f>
        <v>3.8263749256309607</v>
      </c>
      <c r="Q269" s="9">
        <f>IF(OR($B$9=0,Presion_cilindro!N268&lt;=$B$15),IF(Presion_cilindro!N268&gt;$B$13,1-EXP(-Presion_cilindro!$B$16*((Presion_cilindro!N268-$B$13)/Presion_cilindro!$B$35)^(Presion_cilindro!$B$17+1)),0),$B$8+(1-$B$8)*(1-EXP(-(Presion_cilindro!N268-$B$15)/Presion_cilindro!$B$23)))</f>
        <v>0</v>
      </c>
      <c r="R269" s="10">
        <f>R268*(Presion_cilindro!O267/Presion_cilindro!O268)^Presion_cilindro!$B$9+10*(Presion_cilindro!$B$9-1)*Presion_cilindro!$B$33*(Q269-Q268)/((Presion_cilindro!O267+Presion_cilindro!O268)/2)</f>
        <v>3.8263749256309607</v>
      </c>
      <c r="S269" s="10">
        <f>R269+IF(AND($B$9=1,Presion_cilindro!N268&gt;$B$15),Presion_cilindro!$B$24*2.5*EXP(-(Presion_cilindro!N268-$B$15)/Presion_cilindro!$B$26)*SIN(2*PI()*(Presion_cilindro!N268-$B$15)/Presion_cilindro!$B$39),0)</f>
        <v>3.8263749256309607</v>
      </c>
      <c r="T269" s="9">
        <f>IF(Presion_cilindro!N268&gt;$B$14,1-EXP(-Presion_cilindro!$B$16*((Presion_cilindro!N268-$B$14)/Presion_cilindro!$B$35)^(Presion_cilindro!$B$17+1)),0)</f>
        <v>0</v>
      </c>
      <c r="U269" s="10">
        <f>U268*(Presion_cilindro!O267/Presion_cilindro!O268)^Presion_cilindro!$B$9+10*(Presion_cilindro!$B$9-1)*Presion_cilindro!$B$33*(T269-T268)/((Presion_cilindro!O267+Presion_cilindro!O268)/2)</f>
        <v>3.8263749256309607</v>
      </c>
    </row>
    <row r="270" spans="14:21" x14ac:dyDescent="0.25">
      <c r="N270" s="8">
        <f>-Presion_cilindro!N269</f>
        <v>47.5</v>
      </c>
      <c r="O270" s="9">
        <f>IF(Presion_cilindro!N269&gt;$B$12,1-EXP(-Presion_cilindro!$B$16*((Presion_cilindro!N269-$B$12)/Presion_cilindro!$B$35)^(Presion_cilindro!$B$17+1)),0)</f>
        <v>0</v>
      </c>
      <c r="P270" s="10">
        <f>P269*(Presion_cilindro!O268/Presion_cilindro!O269)^Presion_cilindro!$B$9+10*(Presion_cilindro!$B$9-1)*Presion_cilindro!$B$33*(O270-O269)/((Presion_cilindro!O268+Presion_cilindro!O269)/2)</f>
        <v>3.889421548085704</v>
      </c>
      <c r="Q270" s="9">
        <f>IF(OR($B$9=0,Presion_cilindro!N269&lt;=$B$15),IF(Presion_cilindro!N269&gt;$B$13,1-EXP(-Presion_cilindro!$B$16*((Presion_cilindro!N269-$B$13)/Presion_cilindro!$B$35)^(Presion_cilindro!$B$17+1)),0),$B$8+(1-$B$8)*(1-EXP(-(Presion_cilindro!N269-$B$15)/Presion_cilindro!$B$23)))</f>
        <v>0</v>
      </c>
      <c r="R270" s="10">
        <f>R269*(Presion_cilindro!O268/Presion_cilindro!O269)^Presion_cilindro!$B$9+10*(Presion_cilindro!$B$9-1)*Presion_cilindro!$B$33*(Q270-Q269)/((Presion_cilindro!O268+Presion_cilindro!O269)/2)</f>
        <v>3.889421548085704</v>
      </c>
      <c r="S270" s="10">
        <f>R270+IF(AND($B$9=1,Presion_cilindro!N269&gt;$B$15),Presion_cilindro!$B$24*2.5*EXP(-(Presion_cilindro!N269-$B$15)/Presion_cilindro!$B$26)*SIN(2*PI()*(Presion_cilindro!N269-$B$15)/Presion_cilindro!$B$39),0)</f>
        <v>3.889421548085704</v>
      </c>
      <c r="T270" s="9">
        <f>IF(Presion_cilindro!N269&gt;$B$14,1-EXP(-Presion_cilindro!$B$16*((Presion_cilindro!N269-$B$14)/Presion_cilindro!$B$35)^(Presion_cilindro!$B$17+1)),0)</f>
        <v>0</v>
      </c>
      <c r="U270" s="10">
        <f>U269*(Presion_cilindro!O268/Presion_cilindro!O269)^Presion_cilindro!$B$9+10*(Presion_cilindro!$B$9-1)*Presion_cilindro!$B$33*(T270-T269)/((Presion_cilindro!O268+Presion_cilindro!O269)/2)</f>
        <v>3.889421548085704</v>
      </c>
    </row>
    <row r="271" spans="14:21" x14ac:dyDescent="0.25">
      <c r="N271" s="8">
        <f>-Presion_cilindro!N270</f>
        <v>47</v>
      </c>
      <c r="O271" s="9">
        <f>IF(Presion_cilindro!N270&gt;$B$12,1-EXP(-Presion_cilindro!$B$16*((Presion_cilindro!N270-$B$12)/Presion_cilindro!$B$35)^(Presion_cilindro!$B$17+1)),0)</f>
        <v>0</v>
      </c>
      <c r="P271" s="10">
        <f>P270*(Presion_cilindro!O269/Presion_cilindro!O270)^Presion_cilindro!$B$9+10*(Presion_cilindro!$B$9-1)*Presion_cilindro!$B$33*(O271-O270)/((Presion_cilindro!O269+Presion_cilindro!O270)/2)</f>
        <v>3.9538851745926782</v>
      </c>
      <c r="Q271" s="9">
        <f>IF(OR($B$9=0,Presion_cilindro!N270&lt;=$B$15),IF(Presion_cilindro!N270&gt;$B$13,1-EXP(-Presion_cilindro!$B$16*((Presion_cilindro!N270-$B$13)/Presion_cilindro!$B$35)^(Presion_cilindro!$B$17+1)),0),$B$8+(1-$B$8)*(1-EXP(-(Presion_cilindro!N270-$B$15)/Presion_cilindro!$B$23)))</f>
        <v>0</v>
      </c>
      <c r="R271" s="10">
        <f>R270*(Presion_cilindro!O269/Presion_cilindro!O270)^Presion_cilindro!$B$9+10*(Presion_cilindro!$B$9-1)*Presion_cilindro!$B$33*(Q271-Q270)/((Presion_cilindro!O269+Presion_cilindro!O270)/2)</f>
        <v>3.9538851745926782</v>
      </c>
      <c r="S271" s="10">
        <f>R271+IF(AND($B$9=1,Presion_cilindro!N270&gt;$B$15),Presion_cilindro!$B$24*2.5*EXP(-(Presion_cilindro!N270-$B$15)/Presion_cilindro!$B$26)*SIN(2*PI()*(Presion_cilindro!N270-$B$15)/Presion_cilindro!$B$39),0)</f>
        <v>3.9538851745926782</v>
      </c>
      <c r="T271" s="9">
        <f>IF(Presion_cilindro!N270&gt;$B$14,1-EXP(-Presion_cilindro!$B$16*((Presion_cilindro!N270-$B$14)/Presion_cilindro!$B$35)^(Presion_cilindro!$B$17+1)),0)</f>
        <v>0</v>
      </c>
      <c r="U271" s="10">
        <f>U270*(Presion_cilindro!O269/Presion_cilindro!O270)^Presion_cilindro!$B$9+10*(Presion_cilindro!$B$9-1)*Presion_cilindro!$B$33*(T271-T270)/((Presion_cilindro!O269+Presion_cilindro!O270)/2)</f>
        <v>3.9538851745926782</v>
      </c>
    </row>
    <row r="272" spans="14:21" x14ac:dyDescent="0.25">
      <c r="N272" s="8">
        <f>-Presion_cilindro!N271</f>
        <v>46.5</v>
      </c>
      <c r="O272" s="9">
        <f>IF(Presion_cilindro!N271&gt;$B$12,1-EXP(-Presion_cilindro!$B$16*((Presion_cilindro!N271-$B$12)/Presion_cilindro!$B$35)^(Presion_cilindro!$B$17+1)),0)</f>
        <v>0</v>
      </c>
      <c r="P272" s="10">
        <f>P271*(Presion_cilindro!O270/Presion_cilindro!O271)^Presion_cilindro!$B$9+10*(Presion_cilindro!$B$9-1)*Presion_cilindro!$B$33*(O272-O271)/((Presion_cilindro!O270+Presion_cilindro!O271)/2)</f>
        <v>4.0197982829600507</v>
      </c>
      <c r="Q272" s="9">
        <f>IF(OR($B$9=0,Presion_cilindro!N271&lt;=$B$15),IF(Presion_cilindro!N271&gt;$B$13,1-EXP(-Presion_cilindro!$B$16*((Presion_cilindro!N271-$B$13)/Presion_cilindro!$B$35)^(Presion_cilindro!$B$17+1)),0),$B$8+(1-$B$8)*(1-EXP(-(Presion_cilindro!N271-$B$15)/Presion_cilindro!$B$23)))</f>
        <v>0</v>
      </c>
      <c r="R272" s="10">
        <f>R271*(Presion_cilindro!O270/Presion_cilindro!O271)^Presion_cilindro!$B$9+10*(Presion_cilindro!$B$9-1)*Presion_cilindro!$B$33*(Q272-Q271)/((Presion_cilindro!O270+Presion_cilindro!O271)/2)</f>
        <v>4.0197982829600507</v>
      </c>
      <c r="S272" s="10">
        <f>R272+IF(AND($B$9=1,Presion_cilindro!N271&gt;$B$15),Presion_cilindro!$B$24*2.5*EXP(-(Presion_cilindro!N271-$B$15)/Presion_cilindro!$B$26)*SIN(2*PI()*(Presion_cilindro!N271-$B$15)/Presion_cilindro!$B$39),0)</f>
        <v>4.0197982829600507</v>
      </c>
      <c r="T272" s="9">
        <f>IF(Presion_cilindro!N271&gt;$B$14,1-EXP(-Presion_cilindro!$B$16*((Presion_cilindro!N271-$B$14)/Presion_cilindro!$B$35)^(Presion_cilindro!$B$17+1)),0)</f>
        <v>0</v>
      </c>
      <c r="U272" s="10">
        <f>U271*(Presion_cilindro!O270/Presion_cilindro!O271)^Presion_cilindro!$B$9+10*(Presion_cilindro!$B$9-1)*Presion_cilindro!$B$33*(T272-T271)/((Presion_cilindro!O270+Presion_cilindro!O271)/2)</f>
        <v>4.0197982829600507</v>
      </c>
    </row>
    <row r="273" spans="14:21" x14ac:dyDescent="0.25">
      <c r="N273" s="8">
        <f>-Presion_cilindro!N272</f>
        <v>46</v>
      </c>
      <c r="O273" s="9">
        <f>IF(Presion_cilindro!N272&gt;$B$12,1-EXP(-Presion_cilindro!$B$16*((Presion_cilindro!N272-$B$12)/Presion_cilindro!$B$35)^(Presion_cilindro!$B$17+1)),0)</f>
        <v>0</v>
      </c>
      <c r="P273" s="10">
        <f>P272*(Presion_cilindro!O271/Presion_cilindro!O272)^Presion_cilindro!$B$9+10*(Presion_cilindro!$B$9-1)*Presion_cilindro!$B$33*(O273-O272)/((Presion_cilindro!O271+Presion_cilindro!O272)/2)</f>
        <v>4.0871938465984918</v>
      </c>
      <c r="Q273" s="9">
        <f>IF(OR($B$9=0,Presion_cilindro!N272&lt;=$B$15),IF(Presion_cilindro!N272&gt;$B$13,1-EXP(-Presion_cilindro!$B$16*((Presion_cilindro!N272-$B$13)/Presion_cilindro!$B$35)^(Presion_cilindro!$B$17+1)),0),$B$8+(1-$B$8)*(1-EXP(-(Presion_cilindro!N272-$B$15)/Presion_cilindro!$B$23)))</f>
        <v>0</v>
      </c>
      <c r="R273" s="10">
        <f>R272*(Presion_cilindro!O271/Presion_cilindro!O272)^Presion_cilindro!$B$9+10*(Presion_cilindro!$B$9-1)*Presion_cilindro!$B$33*(Q273-Q272)/((Presion_cilindro!O271+Presion_cilindro!O272)/2)</f>
        <v>4.0871938465984918</v>
      </c>
      <c r="S273" s="10">
        <f>R273+IF(AND($B$9=1,Presion_cilindro!N272&gt;$B$15),Presion_cilindro!$B$24*2.5*EXP(-(Presion_cilindro!N272-$B$15)/Presion_cilindro!$B$26)*SIN(2*PI()*(Presion_cilindro!N272-$B$15)/Presion_cilindro!$B$39),0)</f>
        <v>4.0871938465984918</v>
      </c>
      <c r="T273" s="9">
        <f>IF(Presion_cilindro!N272&gt;$B$14,1-EXP(-Presion_cilindro!$B$16*((Presion_cilindro!N272-$B$14)/Presion_cilindro!$B$35)^(Presion_cilindro!$B$17+1)),0)</f>
        <v>0</v>
      </c>
      <c r="U273" s="10">
        <f>U272*(Presion_cilindro!O271/Presion_cilindro!O272)^Presion_cilindro!$B$9+10*(Presion_cilindro!$B$9-1)*Presion_cilindro!$B$33*(T273-T272)/((Presion_cilindro!O271+Presion_cilindro!O272)/2)</f>
        <v>4.0871938465984918</v>
      </c>
    </row>
    <row r="274" spans="14:21" x14ac:dyDescent="0.25">
      <c r="N274" s="8">
        <f>-Presion_cilindro!N273</f>
        <v>45.5</v>
      </c>
      <c r="O274" s="9">
        <f>IF(Presion_cilindro!N273&gt;$B$12,1-EXP(-Presion_cilindro!$B$16*((Presion_cilindro!N273-$B$12)/Presion_cilindro!$B$35)^(Presion_cilindro!$B$17+1)),0)</f>
        <v>0</v>
      </c>
      <c r="P274" s="10">
        <f>P273*(Presion_cilindro!O272/Presion_cilindro!O273)^Presion_cilindro!$B$9+10*(Presion_cilindro!$B$9-1)*Presion_cilindro!$B$33*(O274-O273)/((Presion_cilindro!O272+Presion_cilindro!O273)/2)</f>
        <v>4.156105314688797</v>
      </c>
      <c r="Q274" s="9">
        <f>IF(OR($B$9=0,Presion_cilindro!N273&lt;=$B$15),IF(Presion_cilindro!N273&gt;$B$13,1-EXP(-Presion_cilindro!$B$16*((Presion_cilindro!N273-$B$13)/Presion_cilindro!$B$35)^(Presion_cilindro!$B$17+1)),0),$B$8+(1-$B$8)*(1-EXP(-(Presion_cilindro!N273-$B$15)/Presion_cilindro!$B$23)))</f>
        <v>0</v>
      </c>
      <c r="R274" s="10">
        <f>R273*(Presion_cilindro!O272/Presion_cilindro!O273)^Presion_cilindro!$B$9+10*(Presion_cilindro!$B$9-1)*Presion_cilindro!$B$33*(Q274-Q273)/((Presion_cilindro!O272+Presion_cilindro!O273)/2)</f>
        <v>4.156105314688797</v>
      </c>
      <c r="S274" s="10">
        <f>R274+IF(AND($B$9=1,Presion_cilindro!N273&gt;$B$15),Presion_cilindro!$B$24*2.5*EXP(-(Presion_cilindro!N273-$B$15)/Presion_cilindro!$B$26)*SIN(2*PI()*(Presion_cilindro!N273-$B$15)/Presion_cilindro!$B$39),0)</f>
        <v>4.156105314688797</v>
      </c>
      <c r="T274" s="9">
        <f>IF(Presion_cilindro!N273&gt;$B$14,1-EXP(-Presion_cilindro!$B$16*((Presion_cilindro!N273-$B$14)/Presion_cilindro!$B$35)^(Presion_cilindro!$B$17+1)),0)</f>
        <v>0</v>
      </c>
      <c r="U274" s="10">
        <f>U273*(Presion_cilindro!O272/Presion_cilindro!O273)^Presion_cilindro!$B$9+10*(Presion_cilindro!$B$9-1)*Presion_cilindro!$B$33*(T274-T273)/((Presion_cilindro!O272+Presion_cilindro!O273)/2)</f>
        <v>4.156105314688797</v>
      </c>
    </row>
    <row r="275" spans="14:21" x14ac:dyDescent="0.25">
      <c r="N275" s="8">
        <f>-Presion_cilindro!N274</f>
        <v>45</v>
      </c>
      <c r="O275" s="9">
        <f>IF(Presion_cilindro!N274&gt;$B$12,1-EXP(-Presion_cilindro!$B$16*((Presion_cilindro!N274-$B$12)/Presion_cilindro!$B$35)^(Presion_cilindro!$B$17+1)),0)</f>
        <v>0</v>
      </c>
      <c r="P275" s="10">
        <f>P274*(Presion_cilindro!O273/Presion_cilindro!O274)^Presion_cilindro!$B$9+10*(Presion_cilindro!$B$9-1)*Presion_cilindro!$B$33*(O275-O274)/((Presion_cilindro!O273+Presion_cilindro!O274)/2)</f>
        <v>4.2265665891946727</v>
      </c>
      <c r="Q275" s="9">
        <f>IF(OR($B$9=0,Presion_cilindro!N274&lt;=$B$15),IF(Presion_cilindro!N274&gt;$B$13,1-EXP(-Presion_cilindro!$B$16*((Presion_cilindro!N274-$B$13)/Presion_cilindro!$B$35)^(Presion_cilindro!$B$17+1)),0),$B$8+(1-$B$8)*(1-EXP(-(Presion_cilindro!N274-$B$15)/Presion_cilindro!$B$23)))</f>
        <v>0</v>
      </c>
      <c r="R275" s="10">
        <f>R274*(Presion_cilindro!O273/Presion_cilindro!O274)^Presion_cilindro!$B$9+10*(Presion_cilindro!$B$9-1)*Presion_cilindro!$B$33*(Q275-Q274)/((Presion_cilindro!O273+Presion_cilindro!O274)/2)</f>
        <v>4.2265665891946727</v>
      </c>
      <c r="S275" s="10">
        <f>R275+IF(AND($B$9=1,Presion_cilindro!N274&gt;$B$15),Presion_cilindro!$B$24*2.5*EXP(-(Presion_cilindro!N274-$B$15)/Presion_cilindro!$B$26)*SIN(2*PI()*(Presion_cilindro!N274-$B$15)/Presion_cilindro!$B$39),0)</f>
        <v>4.2265665891946727</v>
      </c>
      <c r="T275" s="9">
        <f>IF(Presion_cilindro!N274&gt;$B$14,1-EXP(-Presion_cilindro!$B$16*((Presion_cilindro!N274-$B$14)/Presion_cilindro!$B$35)^(Presion_cilindro!$B$17+1)),0)</f>
        <v>0</v>
      </c>
      <c r="U275" s="10">
        <f>U274*(Presion_cilindro!O273/Presion_cilindro!O274)^Presion_cilindro!$B$9+10*(Presion_cilindro!$B$9-1)*Presion_cilindro!$B$33*(T275-T274)/((Presion_cilindro!O273+Presion_cilindro!O274)/2)</f>
        <v>4.2265665891946727</v>
      </c>
    </row>
    <row r="276" spans="14:21" x14ac:dyDescent="0.25">
      <c r="N276" s="8">
        <f>-Presion_cilindro!N275</f>
        <v>44.5</v>
      </c>
      <c r="O276" s="9">
        <f>IF(Presion_cilindro!N275&gt;$B$12,1-EXP(-Presion_cilindro!$B$16*((Presion_cilindro!N275-$B$12)/Presion_cilindro!$B$35)^(Presion_cilindro!$B$17+1)),0)</f>
        <v>0</v>
      </c>
      <c r="P276" s="10">
        <f>P275*(Presion_cilindro!O274/Presion_cilindro!O275)^Presion_cilindro!$B$9+10*(Presion_cilindro!$B$9-1)*Presion_cilindro!$B$33*(O276-O275)/((Presion_cilindro!O274+Presion_cilindro!O275)/2)</f>
        <v>4.2986119984572779</v>
      </c>
      <c r="Q276" s="9">
        <f>IF(OR($B$9=0,Presion_cilindro!N275&lt;=$B$15),IF(Presion_cilindro!N275&gt;$B$13,1-EXP(-Presion_cilindro!$B$16*((Presion_cilindro!N275-$B$13)/Presion_cilindro!$B$35)^(Presion_cilindro!$B$17+1)),0),$B$8+(1-$B$8)*(1-EXP(-(Presion_cilindro!N275-$B$15)/Presion_cilindro!$B$23)))</f>
        <v>0</v>
      </c>
      <c r="R276" s="10">
        <f>R275*(Presion_cilindro!O274/Presion_cilindro!O275)^Presion_cilindro!$B$9+10*(Presion_cilindro!$B$9-1)*Presion_cilindro!$B$33*(Q276-Q275)/((Presion_cilindro!O274+Presion_cilindro!O275)/2)</f>
        <v>4.2986119984572779</v>
      </c>
      <c r="S276" s="10">
        <f>R276+IF(AND($B$9=1,Presion_cilindro!N275&gt;$B$15),Presion_cilindro!$B$24*2.5*EXP(-(Presion_cilindro!N275-$B$15)/Presion_cilindro!$B$26)*SIN(2*PI()*(Presion_cilindro!N275-$B$15)/Presion_cilindro!$B$39),0)</f>
        <v>4.2986119984572779</v>
      </c>
      <c r="T276" s="9">
        <f>IF(Presion_cilindro!N275&gt;$B$14,1-EXP(-Presion_cilindro!$B$16*((Presion_cilindro!N275-$B$14)/Presion_cilindro!$B$35)^(Presion_cilindro!$B$17+1)),0)</f>
        <v>0</v>
      </c>
      <c r="U276" s="10">
        <f>U275*(Presion_cilindro!O274/Presion_cilindro!O275)^Presion_cilindro!$B$9+10*(Presion_cilindro!$B$9-1)*Presion_cilindro!$B$33*(T276-T275)/((Presion_cilindro!O274+Presion_cilindro!O275)/2)</f>
        <v>4.2986119984572779</v>
      </c>
    </row>
    <row r="277" spans="14:21" x14ac:dyDescent="0.25">
      <c r="N277" s="8">
        <f>-Presion_cilindro!N276</f>
        <v>44</v>
      </c>
      <c r="O277" s="9">
        <f>IF(Presion_cilindro!N276&gt;$B$12,1-EXP(-Presion_cilindro!$B$16*((Presion_cilindro!N276-$B$12)/Presion_cilindro!$B$35)^(Presion_cilindro!$B$17+1)),0)</f>
        <v>0</v>
      </c>
      <c r="P277" s="10">
        <f>P276*(Presion_cilindro!O275/Presion_cilindro!O276)^Presion_cilindro!$B$9+10*(Presion_cilindro!$B$9-1)*Presion_cilindro!$B$33*(O277-O276)/((Presion_cilindro!O275+Presion_cilindro!O276)/2)</f>
        <v>4.3722762670916007</v>
      </c>
      <c r="Q277" s="9">
        <f>IF(OR($B$9=0,Presion_cilindro!N276&lt;=$B$15),IF(Presion_cilindro!N276&gt;$B$13,1-EXP(-Presion_cilindro!$B$16*((Presion_cilindro!N276-$B$13)/Presion_cilindro!$B$35)^(Presion_cilindro!$B$17+1)),0),$B$8+(1-$B$8)*(1-EXP(-(Presion_cilindro!N276-$B$15)/Presion_cilindro!$B$23)))</f>
        <v>0</v>
      </c>
      <c r="R277" s="10">
        <f>R276*(Presion_cilindro!O275/Presion_cilindro!O276)^Presion_cilindro!$B$9+10*(Presion_cilindro!$B$9-1)*Presion_cilindro!$B$33*(Q277-Q276)/((Presion_cilindro!O275+Presion_cilindro!O276)/2)</f>
        <v>4.3722762670916007</v>
      </c>
      <c r="S277" s="10">
        <f>R277+IF(AND($B$9=1,Presion_cilindro!N276&gt;$B$15),Presion_cilindro!$B$24*2.5*EXP(-(Presion_cilindro!N276-$B$15)/Presion_cilindro!$B$26)*SIN(2*PI()*(Presion_cilindro!N276-$B$15)/Presion_cilindro!$B$39),0)</f>
        <v>4.3722762670916007</v>
      </c>
      <c r="T277" s="9">
        <f>IF(Presion_cilindro!N276&gt;$B$14,1-EXP(-Presion_cilindro!$B$16*((Presion_cilindro!N276-$B$14)/Presion_cilindro!$B$35)^(Presion_cilindro!$B$17+1)),0)</f>
        <v>0</v>
      </c>
      <c r="U277" s="10">
        <f>U276*(Presion_cilindro!O275/Presion_cilindro!O276)^Presion_cilindro!$B$9+10*(Presion_cilindro!$B$9-1)*Presion_cilindro!$B$33*(T277-T276)/((Presion_cilindro!O275+Presion_cilindro!O276)/2)</f>
        <v>4.3722762670916007</v>
      </c>
    </row>
    <row r="278" spans="14:21" x14ac:dyDescent="0.25">
      <c r="N278" s="8">
        <f>-Presion_cilindro!N277</f>
        <v>43.5</v>
      </c>
      <c r="O278" s="9">
        <f>IF(Presion_cilindro!N277&gt;$B$12,1-EXP(-Presion_cilindro!$B$16*((Presion_cilindro!N277-$B$12)/Presion_cilindro!$B$35)^(Presion_cilindro!$B$17+1)),0)</f>
        <v>0</v>
      </c>
      <c r="P278" s="10">
        <f>P277*(Presion_cilindro!O276/Presion_cilindro!O277)^Presion_cilindro!$B$9+10*(Presion_cilindro!$B$9-1)*Presion_cilindro!$B$33*(O278-O277)/((Presion_cilindro!O276+Presion_cilindro!O277)/2)</f>
        <v>4.4475944818880748</v>
      </c>
      <c r="Q278" s="9">
        <f>IF(OR($B$9=0,Presion_cilindro!N277&lt;=$B$15),IF(Presion_cilindro!N277&gt;$B$13,1-EXP(-Presion_cilindro!$B$16*((Presion_cilindro!N277-$B$13)/Presion_cilindro!$B$35)^(Presion_cilindro!$B$17+1)),0),$B$8+(1-$B$8)*(1-EXP(-(Presion_cilindro!N277-$B$15)/Presion_cilindro!$B$23)))</f>
        <v>0</v>
      </c>
      <c r="R278" s="10">
        <f>R277*(Presion_cilindro!O276/Presion_cilindro!O277)^Presion_cilindro!$B$9+10*(Presion_cilindro!$B$9-1)*Presion_cilindro!$B$33*(Q278-Q277)/((Presion_cilindro!O276+Presion_cilindro!O277)/2)</f>
        <v>4.4475944818880748</v>
      </c>
      <c r="S278" s="10">
        <f>R278+IF(AND($B$9=1,Presion_cilindro!N277&gt;$B$15),Presion_cilindro!$B$24*2.5*EXP(-(Presion_cilindro!N277-$B$15)/Presion_cilindro!$B$26)*SIN(2*PI()*(Presion_cilindro!N277-$B$15)/Presion_cilindro!$B$39),0)</f>
        <v>4.4475944818880748</v>
      </c>
      <c r="T278" s="9">
        <f>IF(Presion_cilindro!N277&gt;$B$14,1-EXP(-Presion_cilindro!$B$16*((Presion_cilindro!N277-$B$14)/Presion_cilindro!$B$35)^(Presion_cilindro!$B$17+1)),0)</f>
        <v>0</v>
      </c>
      <c r="U278" s="10">
        <f>U277*(Presion_cilindro!O276/Presion_cilindro!O277)^Presion_cilindro!$B$9+10*(Presion_cilindro!$B$9-1)*Presion_cilindro!$B$33*(T278-T277)/((Presion_cilindro!O276+Presion_cilindro!O277)/2)</f>
        <v>4.4475944818880748</v>
      </c>
    </row>
    <row r="279" spans="14:21" x14ac:dyDescent="0.25">
      <c r="N279" s="8">
        <f>-Presion_cilindro!N278</f>
        <v>43</v>
      </c>
      <c r="O279" s="9">
        <f>IF(Presion_cilindro!N278&gt;$B$12,1-EXP(-Presion_cilindro!$B$16*((Presion_cilindro!N278-$B$12)/Presion_cilindro!$B$35)^(Presion_cilindro!$B$17+1)),0)</f>
        <v>0</v>
      </c>
      <c r="P279" s="10">
        <f>P278*(Presion_cilindro!O277/Presion_cilindro!O278)^Presion_cilindro!$B$9+10*(Presion_cilindro!$B$9-1)*Presion_cilindro!$B$33*(O279-O278)/((Presion_cilindro!O277+Presion_cilindro!O278)/2)</f>
        <v>4.5246020534052294</v>
      </c>
      <c r="Q279" s="9">
        <f>IF(OR($B$9=0,Presion_cilindro!N278&lt;=$B$15),IF(Presion_cilindro!N278&gt;$B$13,1-EXP(-Presion_cilindro!$B$16*((Presion_cilindro!N278-$B$13)/Presion_cilindro!$B$35)^(Presion_cilindro!$B$17+1)),0),$B$8+(1-$B$8)*(1-EXP(-(Presion_cilindro!N278-$B$15)/Presion_cilindro!$B$23)))</f>
        <v>0</v>
      </c>
      <c r="R279" s="10">
        <f>R278*(Presion_cilindro!O277/Presion_cilindro!O278)^Presion_cilindro!$B$9+10*(Presion_cilindro!$B$9-1)*Presion_cilindro!$B$33*(Q279-Q278)/((Presion_cilindro!O277+Presion_cilindro!O278)/2)</f>
        <v>4.5246020534052294</v>
      </c>
      <c r="S279" s="10">
        <f>R279+IF(AND($B$9=1,Presion_cilindro!N278&gt;$B$15),Presion_cilindro!$B$24*2.5*EXP(-(Presion_cilindro!N278-$B$15)/Presion_cilindro!$B$26)*SIN(2*PI()*(Presion_cilindro!N278-$B$15)/Presion_cilindro!$B$39),0)</f>
        <v>4.5246020534052294</v>
      </c>
      <c r="T279" s="9">
        <f>IF(Presion_cilindro!N278&gt;$B$14,1-EXP(-Presion_cilindro!$B$16*((Presion_cilindro!N278-$B$14)/Presion_cilindro!$B$35)^(Presion_cilindro!$B$17+1)),0)</f>
        <v>0</v>
      </c>
      <c r="U279" s="10">
        <f>U278*(Presion_cilindro!O277/Presion_cilindro!O278)^Presion_cilindro!$B$9+10*(Presion_cilindro!$B$9-1)*Presion_cilindro!$B$33*(T279-T278)/((Presion_cilindro!O277+Presion_cilindro!O278)/2)</f>
        <v>4.5246020534052294</v>
      </c>
    </row>
    <row r="280" spans="14:21" x14ac:dyDescent="0.25">
      <c r="N280" s="8">
        <f>-Presion_cilindro!N279</f>
        <v>42.5</v>
      </c>
      <c r="O280" s="9">
        <f>IF(Presion_cilindro!N279&gt;$B$12,1-EXP(-Presion_cilindro!$B$16*((Presion_cilindro!N279-$B$12)/Presion_cilindro!$B$35)^(Presion_cilindro!$B$17+1)),0)</f>
        <v>0</v>
      </c>
      <c r="P280" s="10">
        <f>P279*(Presion_cilindro!O278/Presion_cilindro!O279)^Presion_cilindro!$B$9+10*(Presion_cilindro!$B$9-1)*Presion_cilindro!$B$33*(O280-O279)/((Presion_cilindro!O278+Presion_cilindro!O279)/2)</f>
        <v>4.6033346729217515</v>
      </c>
      <c r="Q280" s="9">
        <f>IF(OR($B$9=0,Presion_cilindro!N279&lt;=$B$15),IF(Presion_cilindro!N279&gt;$B$13,1-EXP(-Presion_cilindro!$B$16*((Presion_cilindro!N279-$B$13)/Presion_cilindro!$B$35)^(Presion_cilindro!$B$17+1)),0),$B$8+(1-$B$8)*(1-EXP(-(Presion_cilindro!N279-$B$15)/Presion_cilindro!$B$23)))</f>
        <v>1.1063397047372803E-6</v>
      </c>
      <c r="R280" s="10">
        <f>R279*(Presion_cilindro!O278/Presion_cilindro!O279)^Presion_cilindro!$B$9+10*(Presion_cilindro!$B$9-1)*Presion_cilindro!$B$33*(Q280-Q279)/((Presion_cilindro!O278+Presion_cilindro!O279)/2)</f>
        <v>4.6033488274811711</v>
      </c>
      <c r="S280" s="10">
        <f>R280+IF(AND($B$9=1,Presion_cilindro!N279&gt;$B$15),Presion_cilindro!$B$24*2.5*EXP(-(Presion_cilindro!N279-$B$15)/Presion_cilindro!$B$26)*SIN(2*PI()*(Presion_cilindro!N279-$B$15)/Presion_cilindro!$B$39),0)</f>
        <v>4.6033488274811711</v>
      </c>
      <c r="T280" s="9">
        <f>IF(Presion_cilindro!N279&gt;$B$14,1-EXP(-Presion_cilindro!$B$16*((Presion_cilindro!N279-$B$14)/Presion_cilindro!$B$35)^(Presion_cilindro!$B$17+1)),0)</f>
        <v>0</v>
      </c>
      <c r="U280" s="10">
        <f>U279*(Presion_cilindro!O278/Presion_cilindro!O279)^Presion_cilindro!$B$9+10*(Presion_cilindro!$B$9-1)*Presion_cilindro!$B$33*(T280-T279)/((Presion_cilindro!O278+Presion_cilindro!O279)/2)</f>
        <v>4.6033346729217515</v>
      </c>
    </row>
    <row r="281" spans="14:21" x14ac:dyDescent="0.25">
      <c r="N281" s="8">
        <f>-Presion_cilindro!N280</f>
        <v>42</v>
      </c>
      <c r="O281" s="9">
        <f>IF(Presion_cilindro!N280&gt;$B$12,1-EXP(-Presion_cilindro!$B$16*((Presion_cilindro!N280-$B$12)/Presion_cilindro!$B$35)^(Presion_cilindro!$B$17+1)),0)</f>
        <v>0</v>
      </c>
      <c r="P281" s="10">
        <f>P280*(Presion_cilindro!O279/Presion_cilindro!O280)^Presion_cilindro!$B$9+10*(Presion_cilindro!$B$9-1)*Presion_cilindro!$B$33*(O281-O280)/((Presion_cilindro!O279+Presion_cilindro!O280)/2)</f>
        <v>4.6838282643979383</v>
      </c>
      <c r="Q281" s="9">
        <f>IF(OR($B$9=0,Presion_cilindro!N280&lt;=$B$15),IF(Presion_cilindro!N280&gt;$B$13,1-EXP(-Presion_cilindro!$B$16*((Presion_cilindro!N280-$B$13)/Presion_cilindro!$B$35)^(Presion_cilindro!$B$17+1)),0),$B$8+(1-$B$8)*(1-EXP(-(Presion_cilindro!N280-$B$15)/Presion_cilindro!$B$23)))</f>
        <v>2.0979270382137649E-5</v>
      </c>
      <c r="R281" s="10">
        <f>R280*(Presion_cilindro!O279/Presion_cilindro!O280)^Presion_cilindro!$B$9+10*(Presion_cilindro!$B$9-1)*Presion_cilindro!$B$33*(Q281-Q280)/((Presion_cilindro!O279+Presion_cilindro!O280)/2)</f>
        <v>4.684100249060692</v>
      </c>
      <c r="S281" s="10">
        <f>R281+IF(AND($B$9=1,Presion_cilindro!N280&gt;$B$15),Presion_cilindro!$B$24*2.5*EXP(-(Presion_cilindro!N280-$B$15)/Presion_cilindro!$B$26)*SIN(2*PI()*(Presion_cilindro!N280-$B$15)/Presion_cilindro!$B$39),0)</f>
        <v>4.684100249060692</v>
      </c>
      <c r="T281" s="9">
        <f>IF(Presion_cilindro!N280&gt;$B$14,1-EXP(-Presion_cilindro!$B$16*((Presion_cilindro!N280-$B$14)/Presion_cilindro!$B$35)^(Presion_cilindro!$B$17+1)),0)</f>
        <v>0</v>
      </c>
      <c r="U281" s="10">
        <f>U280*(Presion_cilindro!O279/Presion_cilindro!O280)^Presion_cilindro!$B$9+10*(Presion_cilindro!$B$9-1)*Presion_cilindro!$B$33*(T281-T280)/((Presion_cilindro!O279+Presion_cilindro!O280)/2)</f>
        <v>4.6838282643979383</v>
      </c>
    </row>
    <row r="282" spans="14:21" x14ac:dyDescent="0.25">
      <c r="N282" s="8">
        <f>-Presion_cilindro!N281</f>
        <v>41.5</v>
      </c>
      <c r="O282" s="9">
        <f>IF(Presion_cilindro!N281&gt;$B$12,1-EXP(-Presion_cilindro!$B$16*((Presion_cilindro!N281-$B$12)/Presion_cilindro!$B$35)^(Presion_cilindro!$B$17+1)),0)</f>
        <v>0</v>
      </c>
      <c r="P282" s="10">
        <f>P281*(Presion_cilindro!O280/Presion_cilindro!O281)^Presion_cilindro!$B$9+10*(Presion_cilindro!$B$9-1)*Presion_cilindro!$B$33*(O282-O281)/((Presion_cilindro!O280+Presion_cilindro!O281)/2)</f>
        <v>4.7661189310785605</v>
      </c>
      <c r="Q282" s="9">
        <f>IF(OR($B$9=0,Presion_cilindro!N281&lt;=$B$15),IF(Presion_cilindro!N281&gt;$B$13,1-EXP(-Presion_cilindro!$B$16*((Presion_cilindro!N281-$B$13)/Presion_cilindro!$B$35)^(Presion_cilindro!$B$17+1)),0),$B$8+(1-$B$8)*(1-EXP(-(Presion_cilindro!N281-$B$15)/Presion_cilindro!$B$23)))</f>
        <v>9.0019269348484698E-5</v>
      </c>
      <c r="R282" s="10">
        <f>R281*(Presion_cilindro!O280/Presion_cilindro!O281)^Presion_cilindro!$B$9+10*(Presion_cilindro!$B$9-1)*Presion_cilindro!$B$33*(Q282-Q281)/((Presion_cilindro!O280+Presion_cilindro!O281)/2)</f>
        <v>4.7673023222034594</v>
      </c>
      <c r="S282" s="10">
        <f>R282+IF(AND($B$9=1,Presion_cilindro!N281&gt;$B$15),Presion_cilindro!$B$24*2.5*EXP(-(Presion_cilindro!N281-$B$15)/Presion_cilindro!$B$26)*SIN(2*PI()*(Presion_cilindro!N281-$B$15)/Presion_cilindro!$B$39),0)</f>
        <v>4.7673023222034594</v>
      </c>
      <c r="T282" s="9">
        <f>IF(Presion_cilindro!N281&gt;$B$14,1-EXP(-Presion_cilindro!$B$16*((Presion_cilindro!N281-$B$14)/Presion_cilindro!$B$35)^(Presion_cilindro!$B$17+1)),0)</f>
        <v>0</v>
      </c>
      <c r="U282" s="10">
        <f>U281*(Presion_cilindro!O280/Presion_cilindro!O281)^Presion_cilindro!$B$9+10*(Presion_cilindro!$B$9-1)*Presion_cilindro!$B$33*(T282-T281)/((Presion_cilindro!O280+Presion_cilindro!O281)/2)</f>
        <v>4.7661189310785605</v>
      </c>
    </row>
    <row r="283" spans="14:21" x14ac:dyDescent="0.25">
      <c r="N283" s="8">
        <f>-Presion_cilindro!N282</f>
        <v>41</v>
      </c>
      <c r="O283" s="9">
        <f>IF(Presion_cilindro!N282&gt;$B$12,1-EXP(-Presion_cilindro!$B$16*((Presion_cilindro!N282-$B$12)/Presion_cilindro!$B$35)^(Presion_cilindro!$B$17+1)),0)</f>
        <v>0</v>
      </c>
      <c r="P283" s="10">
        <f>P282*(Presion_cilindro!O281/Presion_cilindro!O282)^Presion_cilindro!$B$9+10*(Presion_cilindro!$B$9-1)*Presion_cilindro!$B$33*(O283-O282)/((Presion_cilindro!O281+Presion_cilindro!O282)/2)</f>
        <v>4.8502428963503164</v>
      </c>
      <c r="Q283" s="9">
        <f>IF(OR($B$9=0,Presion_cilindro!N282&lt;=$B$15),IF(Presion_cilindro!N282&gt;$B$13,1-EXP(-Presion_cilindro!$B$16*((Presion_cilindro!N282-$B$13)/Presion_cilindro!$B$35)^(Presion_cilindro!$B$17+1)),0),$B$8+(1-$B$8)*(1-EXP(-(Presion_cilindro!N282-$B$15)/Presion_cilindro!$B$23)))</f>
        <v>2.3894095746990196E-4</v>
      </c>
      <c r="R283" s="10">
        <f>R282*(Presion_cilindro!O281/Presion_cilindro!O282)^Presion_cilindro!$B$9+10*(Presion_cilindro!$B$9-1)*Presion_cilindro!$B$33*(Q283-Q282)/((Presion_cilindro!O281+Presion_cilindro!O282)/2)</f>
        <v>4.8534286397130497</v>
      </c>
      <c r="S283" s="10">
        <f>R283+IF(AND($B$9=1,Presion_cilindro!N282&gt;$B$15),Presion_cilindro!$B$24*2.5*EXP(-(Presion_cilindro!N282-$B$15)/Presion_cilindro!$B$26)*SIN(2*PI()*(Presion_cilindro!N282-$B$15)/Presion_cilindro!$B$39),0)</f>
        <v>4.8534286397130497</v>
      </c>
      <c r="T283" s="9">
        <f>IF(Presion_cilindro!N282&gt;$B$14,1-EXP(-Presion_cilindro!$B$16*((Presion_cilindro!N282-$B$14)/Presion_cilindro!$B$35)^(Presion_cilindro!$B$17+1)),0)</f>
        <v>0</v>
      </c>
      <c r="U283" s="10">
        <f>U282*(Presion_cilindro!O281/Presion_cilindro!O282)^Presion_cilindro!$B$9+10*(Presion_cilindro!$B$9-1)*Presion_cilindro!$B$33*(T283-T282)/((Presion_cilindro!O281+Presion_cilindro!O282)/2)</f>
        <v>4.8502428963503164</v>
      </c>
    </row>
    <row r="284" spans="14:21" x14ac:dyDescent="0.25">
      <c r="N284" s="8">
        <f>-Presion_cilindro!N283</f>
        <v>40.5</v>
      </c>
      <c r="O284" s="9">
        <f>IF(Presion_cilindro!N283&gt;$B$12,1-EXP(-Presion_cilindro!$B$16*((Presion_cilindro!N283-$B$12)/Presion_cilindro!$B$35)^(Presion_cilindro!$B$17+1)),0)</f>
        <v>0</v>
      </c>
      <c r="P284" s="10">
        <f>P283*(Presion_cilindro!O282/Presion_cilindro!O283)^Presion_cilindro!$B$9+10*(Presion_cilindro!$B$9-1)*Presion_cilindro!$B$33*(O284-O283)/((Presion_cilindro!O282+Presion_cilindro!O283)/2)</f>
        <v>4.9362364384492903</v>
      </c>
      <c r="Q284" s="9">
        <f>IF(OR($B$9=0,Presion_cilindro!N283&lt;=$B$15),IF(Presion_cilindro!N283&gt;$B$13,1-EXP(-Presion_cilindro!$B$16*((Presion_cilindro!N283-$B$13)/Presion_cilindro!$B$35)^(Presion_cilindro!$B$17+1)),0),$B$8+(1-$B$8)*(1-EXP(-(Presion_cilindro!N283-$B$15)/Presion_cilindro!$B$23)))</f>
        <v>4.9842547189649089E-4</v>
      </c>
      <c r="R284" s="10">
        <f>R283*(Presion_cilindro!O282/Presion_cilindro!O283)^Presion_cilindro!$B$9+10*(Presion_cilindro!$B$9-1)*Presion_cilindro!$B$33*(Q284-Q283)/((Presion_cilindro!O282+Presion_cilindro!O283)/2)</f>
        <v>4.9429770343927322</v>
      </c>
      <c r="S284" s="10">
        <f>R284+IF(AND($B$9=1,Presion_cilindro!N283&gt;$B$15),Presion_cilindro!$B$24*2.5*EXP(-(Presion_cilindro!N283-$B$15)/Presion_cilindro!$B$26)*SIN(2*PI()*(Presion_cilindro!N283-$B$15)/Presion_cilindro!$B$39),0)</f>
        <v>4.9429770343927322</v>
      </c>
      <c r="T284" s="9">
        <f>IF(Presion_cilindro!N283&gt;$B$14,1-EXP(-Presion_cilindro!$B$16*((Presion_cilindro!N283-$B$14)/Presion_cilindro!$B$35)^(Presion_cilindro!$B$17+1)),0)</f>
        <v>0</v>
      </c>
      <c r="U284" s="10">
        <f>U283*(Presion_cilindro!O282/Presion_cilindro!O283)^Presion_cilindro!$B$9+10*(Presion_cilindro!$B$9-1)*Presion_cilindro!$B$33*(T284-T283)/((Presion_cilindro!O282+Presion_cilindro!O283)/2)</f>
        <v>4.9362364384492903</v>
      </c>
    </row>
    <row r="285" spans="14:21" x14ac:dyDescent="0.25">
      <c r="N285" s="8">
        <f>-Presion_cilindro!N284</f>
        <v>40</v>
      </c>
      <c r="O285" s="9">
        <f>IF(Presion_cilindro!N284&gt;$B$12,1-EXP(-Presion_cilindro!$B$16*((Presion_cilindro!N284-$B$12)/Presion_cilindro!$B$35)^(Presion_cilindro!$B$17+1)),0)</f>
        <v>0</v>
      </c>
      <c r="P285" s="10">
        <f>P284*(Presion_cilindro!O283/Presion_cilindro!O284)^Presion_cilindro!$B$9+10*(Presion_cilindro!$B$9-1)*Presion_cilindro!$B$33*(O285-O284)/((Presion_cilindro!O283+Presion_cilindro!O284)/2)</f>
        <v>5.024135818595048</v>
      </c>
      <c r="Q285" s="9">
        <f>IF(OR($B$9=0,Presion_cilindro!N284&lt;=$B$15),IF(Presion_cilindro!N284&gt;$B$13,1-EXP(-Presion_cilindro!$B$16*((Presion_cilindro!N284-$B$13)/Presion_cilindro!$B$35)^(Presion_cilindro!$B$17+1)),0),$B$8+(1-$B$8)*(1-EXP(-(Presion_cilindro!N284-$B$15)/Presion_cilindro!$B$23)))</f>
        <v>8.9909122810327702E-4</v>
      </c>
      <c r="R285" s="10">
        <f>R284*(Presion_cilindro!O283/Presion_cilindro!O284)^Presion_cilindro!$B$9+10*(Presion_cilindro!$B$9-1)*Presion_cilindro!$B$33*(Q285-Q284)/((Presion_cilindro!O283+Presion_cilindro!O284)/2)</f>
        <v>5.0364702266910983</v>
      </c>
      <c r="S285" s="10">
        <f>R285+IF(AND($B$9=1,Presion_cilindro!N284&gt;$B$15),Presion_cilindro!$B$24*2.5*EXP(-(Presion_cilindro!N284-$B$15)/Presion_cilindro!$B$26)*SIN(2*PI()*(Presion_cilindro!N284-$B$15)/Presion_cilindro!$B$39),0)</f>
        <v>5.0364702266910983</v>
      </c>
      <c r="T285" s="9">
        <f>IF(Presion_cilindro!N284&gt;$B$14,1-EXP(-Presion_cilindro!$B$16*((Presion_cilindro!N284-$B$14)/Presion_cilindro!$B$35)^(Presion_cilindro!$B$17+1)),0)</f>
        <v>0</v>
      </c>
      <c r="U285" s="10">
        <f>U284*(Presion_cilindro!O283/Presion_cilindro!O284)^Presion_cilindro!$B$9+10*(Presion_cilindro!$B$9-1)*Presion_cilindro!$B$33*(T285-T284)/((Presion_cilindro!O283+Presion_cilindro!O284)/2)</f>
        <v>5.024135818595048</v>
      </c>
    </row>
    <row r="286" spans="14:21" x14ac:dyDescent="0.25">
      <c r="N286" s="8">
        <f>-Presion_cilindro!N285</f>
        <v>39.5</v>
      </c>
      <c r="O286" s="9">
        <f>IF(Presion_cilindro!N285&gt;$B$12,1-EXP(-Presion_cilindro!$B$16*((Presion_cilindro!N285-$B$12)/Presion_cilindro!$B$35)^(Presion_cilindro!$B$17+1)),0)</f>
        <v>0</v>
      </c>
      <c r="P286" s="10">
        <f>P285*(Presion_cilindro!O284/Presion_cilindro!O285)^Presion_cilindro!$B$9+10*(Presion_cilindro!$B$9-1)*Presion_cilindro!$B$33*(O286-O285)/((Presion_cilindro!O284+Presion_cilindro!O285)/2)</f>
        <v>5.1139772021108811</v>
      </c>
      <c r="Q286" s="9">
        <f>IF(OR($B$9=0,Presion_cilindro!N285&lt;=$B$15),IF(Presion_cilindro!N285&gt;$B$13,1-EXP(-Presion_cilindro!$B$16*((Presion_cilindro!N285-$B$13)/Presion_cilindro!$B$35)^(Presion_cilindro!$B$17+1)),0),$B$8+(1-$B$8)*(1-EXP(-(Presion_cilindro!N285-$B$15)/Presion_cilindro!$B$23)))</f>
        <v>1.4714553080121817E-3</v>
      </c>
      <c r="R286" s="10">
        <f>R285*(Presion_cilindro!O284/Presion_cilindro!O285)^Presion_cilindro!$B$9+10*(Presion_cilindro!$B$9-1)*Presion_cilindro!$B$33*(Q286-Q285)/((Presion_cilindro!O284+Presion_cilindro!O285)/2)</f>
        <v>5.1344563313008971</v>
      </c>
      <c r="S286" s="10">
        <f>R286+IF(AND($B$9=1,Presion_cilindro!N285&gt;$B$15),Presion_cilindro!$B$24*2.5*EXP(-(Presion_cilindro!N285-$B$15)/Presion_cilindro!$B$26)*SIN(2*PI()*(Presion_cilindro!N285-$B$15)/Presion_cilindro!$B$39),0)</f>
        <v>5.1344563313008971</v>
      </c>
      <c r="T286" s="9">
        <f>IF(Presion_cilindro!N285&gt;$B$14,1-EXP(-Presion_cilindro!$B$16*((Presion_cilindro!N285-$B$14)/Presion_cilindro!$B$35)^(Presion_cilindro!$B$17+1)),0)</f>
        <v>0</v>
      </c>
      <c r="U286" s="10">
        <f>U285*(Presion_cilindro!O284/Presion_cilindro!O285)^Presion_cilindro!$B$9+10*(Presion_cilindro!$B$9-1)*Presion_cilindro!$B$33*(T286-T285)/((Presion_cilindro!O284+Presion_cilindro!O285)/2)</f>
        <v>5.1139772021108811</v>
      </c>
    </row>
    <row r="287" spans="14:21" x14ac:dyDescent="0.25">
      <c r="N287" s="8">
        <f>-Presion_cilindro!N286</f>
        <v>39</v>
      </c>
      <c r="O287" s="9">
        <f>IF(Presion_cilindro!N286&gt;$B$12,1-EXP(-Presion_cilindro!$B$16*((Presion_cilindro!N286-$B$12)/Presion_cilindro!$B$35)^(Presion_cilindro!$B$17+1)),0)</f>
        <v>0</v>
      </c>
      <c r="P287" s="10">
        <f>P286*(Presion_cilindro!O285/Presion_cilindro!O286)^Presion_cilindro!$B$9+10*(Presion_cilindro!$B$9-1)*Presion_cilindro!$B$33*(O287-O286)/((Presion_cilindro!O285+Presion_cilindro!O286)/2)</f>
        <v>5.2057965720721358</v>
      </c>
      <c r="Q287" s="9">
        <f>IF(OR($B$9=0,Presion_cilindro!N286&lt;=$B$15),IF(Presion_cilindro!N286&gt;$B$13,1-EXP(-Presion_cilindro!$B$16*((Presion_cilindro!N286-$B$13)/Presion_cilindro!$B$35)^(Presion_cilindro!$B$17+1)),0),$B$8+(1-$B$8)*(1-EXP(-(Presion_cilindro!N286-$B$15)/Presion_cilindro!$B$23)))</f>
        <v>2.2458855446901849E-3</v>
      </c>
      <c r="R287" s="10">
        <f>R286*(Presion_cilindro!O285/Presion_cilindro!O286)^Presion_cilindro!$B$9+10*(Presion_cilindro!$B$9-1)*Presion_cilindro!$B$33*(Q287-Q286)/((Presion_cilindro!O285+Presion_cilindro!O286)/2)</f>
        <v>5.2375092066234421</v>
      </c>
      <c r="S287" s="10">
        <f>R287+IF(AND($B$9=1,Presion_cilindro!N286&gt;$B$15),Presion_cilindro!$B$24*2.5*EXP(-(Presion_cilindro!N286-$B$15)/Presion_cilindro!$B$26)*SIN(2*PI()*(Presion_cilindro!N286-$B$15)/Presion_cilindro!$B$39),0)</f>
        <v>5.2375092066234421</v>
      </c>
      <c r="T287" s="9">
        <f>IF(Presion_cilindro!N286&gt;$B$14,1-EXP(-Presion_cilindro!$B$16*((Presion_cilindro!N286-$B$14)/Presion_cilindro!$B$35)^(Presion_cilindro!$B$17+1)),0)</f>
        <v>0</v>
      </c>
      <c r="U287" s="10">
        <f>U286*(Presion_cilindro!O285/Presion_cilindro!O286)^Presion_cilindro!$B$9+10*(Presion_cilindro!$B$9-1)*Presion_cilindro!$B$33*(T287-T286)/((Presion_cilindro!O285+Presion_cilindro!O286)/2)</f>
        <v>5.2057965720721358</v>
      </c>
    </row>
    <row r="288" spans="14:21" x14ac:dyDescent="0.25">
      <c r="N288" s="8">
        <f>-Presion_cilindro!N287</f>
        <v>38.5</v>
      </c>
      <c r="O288" s="9">
        <f>IF(Presion_cilindro!N287&gt;$B$12,1-EXP(-Presion_cilindro!$B$16*((Presion_cilindro!N287-$B$12)/Presion_cilindro!$B$35)^(Presion_cilindro!$B$17+1)),0)</f>
        <v>0</v>
      </c>
      <c r="P288" s="10">
        <f>P287*(Presion_cilindro!O286/Presion_cilindro!O287)^Presion_cilindro!$B$9+10*(Presion_cilindro!$B$9-1)*Presion_cilindro!$B$33*(O288-O287)/((Presion_cilindro!O286+Presion_cilindro!O287)/2)</f>
        <v>5.2996296350088352</v>
      </c>
      <c r="Q288" s="9">
        <f>IF(OR($B$9=0,Presion_cilindro!N287&lt;=$B$15),IF(Presion_cilindro!N287&gt;$B$13,1-EXP(-Presion_cilindro!$B$16*((Presion_cilindro!N287-$B$13)/Presion_cilindro!$B$35)^(Presion_cilindro!$B$17+1)),0),$B$8+(1-$B$8)*(1-EXP(-(Presion_cilindro!N287-$B$15)/Presion_cilindro!$B$23)))</f>
        <v>3.2525434111949636E-3</v>
      </c>
      <c r="R288" s="10">
        <f>R287*(Presion_cilindro!O286/Presion_cilindro!O287)^Presion_cilindro!$B$9+10*(Presion_cilindro!$B$9-1)*Presion_cilindro!$B$33*(Q288-Q287)/((Presion_cilindro!O286+Presion_cilindro!O287)/2)</f>
        <v>5.3462286302455997</v>
      </c>
      <c r="S288" s="10">
        <f>R288+IF(AND($B$9=1,Presion_cilindro!N287&gt;$B$15),Presion_cilindro!$B$24*2.5*EXP(-(Presion_cilindro!N287-$B$15)/Presion_cilindro!$B$26)*SIN(2*PI()*(Presion_cilindro!N287-$B$15)/Presion_cilindro!$B$39),0)</f>
        <v>5.3462286302455997</v>
      </c>
      <c r="T288" s="9">
        <f>IF(Presion_cilindro!N287&gt;$B$14,1-EXP(-Presion_cilindro!$B$16*((Presion_cilindro!N287-$B$14)/Presion_cilindro!$B$35)^(Presion_cilindro!$B$17+1)),0)</f>
        <v>0</v>
      </c>
      <c r="U288" s="10">
        <f>U287*(Presion_cilindro!O286/Presion_cilindro!O287)^Presion_cilindro!$B$9+10*(Presion_cilindro!$B$9-1)*Presion_cilindro!$B$33*(T288-T287)/((Presion_cilindro!O286+Presion_cilindro!O287)/2)</f>
        <v>5.2996296350088352</v>
      </c>
    </row>
    <row r="289" spans="14:21" x14ac:dyDescent="0.25">
      <c r="N289" s="8">
        <f>-Presion_cilindro!N288</f>
        <v>38</v>
      </c>
      <c r="O289" s="9">
        <f>IF(Presion_cilindro!N288&gt;$B$12,1-EXP(-Presion_cilindro!$B$16*((Presion_cilindro!N288-$B$12)/Presion_cilindro!$B$35)^(Presion_cilindro!$B$17+1)),0)</f>
        <v>0</v>
      </c>
      <c r="P289" s="10">
        <f>P288*(Presion_cilindro!O287/Presion_cilindro!O288)^Presion_cilindro!$B$9+10*(Presion_cilindro!$B$9-1)*Presion_cilindro!$B$33*(O289-O288)/((Presion_cilindro!O287+Presion_cilindro!O288)/2)</f>
        <v>5.3955117181735694</v>
      </c>
      <c r="Q289" s="9">
        <f>IF(OR($B$9=0,Presion_cilindro!N288&lt;=$B$15),IF(Presion_cilindro!N288&gt;$B$13,1-EXP(-Presion_cilindro!$B$16*((Presion_cilindro!N288-$B$13)/Presion_cilindro!$B$35)^(Presion_cilindro!$B$17+1)),0),$B$8+(1-$B$8)*(1-EXP(-(Presion_cilindro!N288-$B$15)/Presion_cilindro!$B$23)))</f>
        <v>4.5213178660201692E-3</v>
      </c>
      <c r="R289" s="10">
        <f>R288*(Presion_cilindro!O287/Presion_cilindro!O288)^Presion_cilindro!$B$9+10*(Presion_cilindro!$B$9-1)*Presion_cilindro!$B$33*(Q289-Q288)/((Presion_cilindro!O287+Presion_cilindro!O288)/2)</f>
        <v>5.4612402829313238</v>
      </c>
      <c r="S289" s="10">
        <f>R289+IF(AND($B$9=1,Presion_cilindro!N288&gt;$B$15),Presion_cilindro!$B$24*2.5*EXP(-(Presion_cilindro!N288-$B$15)/Presion_cilindro!$B$26)*SIN(2*PI()*(Presion_cilindro!N288-$B$15)/Presion_cilindro!$B$39),0)</f>
        <v>5.4612402829313238</v>
      </c>
      <c r="T289" s="9">
        <f>IF(Presion_cilindro!N288&gt;$B$14,1-EXP(-Presion_cilindro!$B$16*((Presion_cilindro!N288-$B$14)/Presion_cilindro!$B$35)^(Presion_cilindro!$B$17+1)),0)</f>
        <v>0</v>
      </c>
      <c r="U289" s="10">
        <f>U288*(Presion_cilindro!O287/Presion_cilindro!O288)^Presion_cilindro!$B$9+10*(Presion_cilindro!$B$9-1)*Presion_cilindro!$B$33*(T289-T288)/((Presion_cilindro!O287+Presion_cilindro!O288)/2)</f>
        <v>5.3955117181735694</v>
      </c>
    </row>
    <row r="290" spans="14:21" x14ac:dyDescent="0.25">
      <c r="N290" s="8">
        <f>-Presion_cilindro!N289</f>
        <v>37.5</v>
      </c>
      <c r="O290" s="9">
        <f>IF(Presion_cilindro!N289&gt;$B$12,1-EXP(-Presion_cilindro!$B$16*((Presion_cilindro!N289-$B$12)/Presion_cilindro!$B$35)^(Presion_cilindro!$B$17+1)),0)</f>
        <v>0</v>
      </c>
      <c r="P290" s="10">
        <f>P289*(Presion_cilindro!O288/Presion_cilindro!O289)^Presion_cilindro!$B$9+10*(Presion_cilindro!$B$9-1)*Presion_cilindro!$B$33*(O290-O289)/((Presion_cilindro!O288+Presion_cilindro!O289)/2)</f>
        <v>5.4934776578723703</v>
      </c>
      <c r="Q290" s="9">
        <f>IF(OR($B$9=0,Presion_cilindro!N289&lt;=$B$15),IF(Presion_cilindro!N289&gt;$B$13,1-EXP(-Presion_cilindro!$B$16*((Presion_cilindro!N289-$B$13)/Presion_cilindro!$B$35)^(Presion_cilindro!$B$17+1)),0),$B$8+(1-$B$8)*(1-EXP(-(Presion_cilindro!N289-$B$15)/Presion_cilindro!$B$23)))</f>
        <v>6.0817503600422151E-3</v>
      </c>
      <c r="R290" s="10">
        <f>R289*(Presion_cilindro!O288/Presion_cilindro!O289)^Presion_cilindro!$B$9+10*(Presion_cilindro!$B$9-1)*Presion_cilindro!$B$33*(Q290-Q289)/((Presion_cilindro!O288+Presion_cilindro!O289)/2)</f>
        <v>5.583195523127678</v>
      </c>
      <c r="S290" s="10">
        <f>R290+IF(AND($B$9=1,Presion_cilindro!N289&gt;$B$15),Presion_cilindro!$B$24*2.5*EXP(-(Presion_cilindro!N289-$B$15)/Presion_cilindro!$B$26)*SIN(2*PI()*(Presion_cilindro!N289-$B$15)/Presion_cilindro!$B$39),0)</f>
        <v>5.583195523127678</v>
      </c>
      <c r="T290" s="9">
        <f>IF(Presion_cilindro!N289&gt;$B$14,1-EXP(-Presion_cilindro!$B$16*((Presion_cilindro!N289-$B$14)/Presion_cilindro!$B$35)^(Presion_cilindro!$B$17+1)),0)</f>
        <v>0</v>
      </c>
      <c r="U290" s="10">
        <f>U289*(Presion_cilindro!O288/Presion_cilindro!O289)^Presion_cilindro!$B$9+10*(Presion_cilindro!$B$9-1)*Presion_cilindro!$B$33*(T290-T289)/((Presion_cilindro!O288+Presion_cilindro!O289)/2)</f>
        <v>5.4934776578723703</v>
      </c>
    </row>
    <row r="291" spans="14:21" x14ac:dyDescent="0.25">
      <c r="N291" s="8">
        <f>-Presion_cilindro!N290</f>
        <v>37</v>
      </c>
      <c r="O291" s="9">
        <f>IF(Presion_cilindro!N290&gt;$B$12,1-EXP(-Presion_cilindro!$B$16*((Presion_cilindro!N290-$B$12)/Presion_cilindro!$B$35)^(Presion_cilindro!$B$17+1)),0)</f>
        <v>0</v>
      </c>
      <c r="P291" s="10">
        <f>P290*(Presion_cilindro!O289/Presion_cilindro!O290)^Presion_cilindro!$B$9+10*(Presion_cilindro!$B$9-1)*Presion_cilindro!$B$33*(O291-O290)/((Presion_cilindro!O289+Presion_cilindro!O290)/2)</f>
        <v>5.5935616783449866</v>
      </c>
      <c r="Q291" s="9">
        <f>IF(OR($B$9=0,Presion_cilindro!N290&lt;=$B$15),IF(Presion_cilindro!N290&gt;$B$13,1-EXP(-Presion_cilindro!$B$16*((Presion_cilindro!N290-$B$13)/Presion_cilindro!$B$35)^(Presion_cilindro!$B$17+1)),0),$B$8+(1-$B$8)*(1-EXP(-(Presion_cilindro!N290-$B$15)/Presion_cilindro!$B$23)))</f>
        <v>7.9629512696117732E-3</v>
      </c>
      <c r="R291" s="10">
        <f>R290*(Presion_cilindro!O289/Presion_cilindro!O290)^Presion_cilindro!$B$9+10*(Presion_cilindro!$B$9-1)*Presion_cilindro!$B$33*(Q291-Q290)/((Presion_cilindro!O289+Presion_cilindro!O290)/2)</f>
        <v>5.7127709336492885</v>
      </c>
      <c r="S291" s="10">
        <f>R291+IF(AND($B$9=1,Presion_cilindro!N290&gt;$B$15),Presion_cilindro!$B$24*2.5*EXP(-(Presion_cilindro!N290-$B$15)/Presion_cilindro!$B$26)*SIN(2*PI()*(Presion_cilindro!N290-$B$15)/Presion_cilindro!$B$39),0)</f>
        <v>5.7127709336492885</v>
      </c>
      <c r="T291" s="9">
        <f>IF(Presion_cilindro!N290&gt;$B$14,1-EXP(-Presion_cilindro!$B$16*((Presion_cilindro!N290-$B$14)/Presion_cilindro!$B$35)^(Presion_cilindro!$B$17+1)),0)</f>
        <v>0</v>
      </c>
      <c r="U291" s="10">
        <f>U290*(Presion_cilindro!O289/Presion_cilindro!O290)^Presion_cilindro!$B$9+10*(Presion_cilindro!$B$9-1)*Presion_cilindro!$B$33*(T291-T290)/((Presion_cilindro!O289+Presion_cilindro!O290)/2)</f>
        <v>5.5935616783449866</v>
      </c>
    </row>
    <row r="292" spans="14:21" x14ac:dyDescent="0.25">
      <c r="N292" s="8">
        <f>-Presion_cilindro!N291</f>
        <v>36.5</v>
      </c>
      <c r="O292" s="9">
        <f>IF(Presion_cilindro!N291&gt;$B$12,1-EXP(-Presion_cilindro!$B$16*((Presion_cilindro!N291-$B$12)/Presion_cilindro!$B$35)^(Presion_cilindro!$B$17+1)),0)</f>
        <v>0</v>
      </c>
      <c r="P292" s="10">
        <f>P291*(Presion_cilindro!O290/Presion_cilindro!O291)^Presion_cilindro!$B$9+10*(Presion_cilindro!$B$9-1)*Presion_cilindro!$B$33*(O292-O291)/((Presion_cilindro!O290+Presion_cilindro!O291)/2)</f>
        <v>5.6957972606717471</v>
      </c>
      <c r="Q292" s="9">
        <f>IF(OR($B$9=0,Presion_cilindro!N291&lt;=$B$15),IF(Presion_cilindro!N291&gt;$B$13,1-EXP(-Presion_cilindro!$B$16*((Presion_cilindro!N291-$B$13)/Presion_cilindro!$B$35)^(Presion_cilindro!$B$17+1)),0),$B$8+(1-$B$8)*(1-EXP(-(Presion_cilindro!N291-$B$15)/Presion_cilindro!$B$23)))</f>
        <v>1.0193508087048553E-2</v>
      </c>
      <c r="R292" s="10">
        <f>R291*(Presion_cilindro!O290/Presion_cilindro!O291)^Presion_cilindro!$B$9+10*(Presion_cilindro!$B$9-1)*Presion_cilindro!$B$33*(Q292-Q291)/((Presion_cilindro!O290+Presion_cilindro!O291)/2)</f>
        <v>5.8506676220588192</v>
      </c>
      <c r="S292" s="10">
        <f>R292+IF(AND($B$9=1,Presion_cilindro!N291&gt;$B$15),Presion_cilindro!$B$24*2.5*EXP(-(Presion_cilindro!N291-$B$15)/Presion_cilindro!$B$26)*SIN(2*PI()*(Presion_cilindro!N291-$B$15)/Presion_cilindro!$B$39),0)</f>
        <v>5.8506676220588192</v>
      </c>
      <c r="T292" s="9">
        <f>IF(Presion_cilindro!N291&gt;$B$14,1-EXP(-Presion_cilindro!$B$16*((Presion_cilindro!N291-$B$14)/Presion_cilindro!$B$35)^(Presion_cilindro!$B$17+1)),0)</f>
        <v>0</v>
      </c>
      <c r="U292" s="10">
        <f>U291*(Presion_cilindro!O290/Presion_cilindro!O291)^Presion_cilindro!$B$9+10*(Presion_cilindro!$B$9-1)*Presion_cilindro!$B$33*(T292-T291)/((Presion_cilindro!O290+Presion_cilindro!O291)/2)</f>
        <v>5.6957972606717471</v>
      </c>
    </row>
    <row r="293" spans="14:21" x14ac:dyDescent="0.25">
      <c r="N293" s="8">
        <f>-Presion_cilindro!N292</f>
        <v>36</v>
      </c>
      <c r="O293" s="9">
        <f>IF(Presion_cilindro!N292&gt;$B$12,1-EXP(-Presion_cilindro!$B$16*((Presion_cilindro!N292-$B$12)/Presion_cilindro!$B$35)^(Presion_cilindro!$B$17+1)),0)</f>
        <v>0</v>
      </c>
      <c r="P293" s="10">
        <f>P292*(Presion_cilindro!O291/Presion_cilindro!O292)^Presion_cilindro!$B$9+10*(Presion_cilindro!$B$9-1)*Presion_cilindro!$B$33*(O293-O292)/((Presion_cilindro!O291+Presion_cilindro!O292)/2)</f>
        <v>5.80021700117838</v>
      </c>
      <c r="Q293" s="9">
        <f>IF(OR($B$9=0,Presion_cilindro!N292&lt;=$B$15),IF(Presion_cilindro!N292&gt;$B$13,1-EXP(-Presion_cilindro!$B$16*((Presion_cilindro!N292-$B$13)/Presion_cilindro!$B$35)^(Presion_cilindro!$B$17+1)),0),$B$8+(1-$B$8)*(1-EXP(-(Presion_cilindro!N292-$B$15)/Presion_cilindro!$B$23)))</f>
        <v>1.2801385772809981E-2</v>
      </c>
      <c r="R293" s="10">
        <f>R292*(Presion_cilindro!O291/Presion_cilindro!O292)^Presion_cilindro!$B$9+10*(Presion_cilindro!$B$9-1)*Presion_cilindro!$B$33*(Q293-Q292)/((Presion_cilindro!O291+Presion_cilindro!O292)/2)</f>
        <v>5.9976102563304616</v>
      </c>
      <c r="S293" s="10">
        <f>R293+IF(AND($B$9=1,Presion_cilindro!N292&gt;$B$15),Presion_cilindro!$B$24*2.5*EXP(-(Presion_cilindro!N292-$B$15)/Presion_cilindro!$B$26)*SIN(2*PI()*(Presion_cilindro!N292-$B$15)/Presion_cilindro!$B$39),0)</f>
        <v>5.9976102563304616</v>
      </c>
      <c r="T293" s="9">
        <f>IF(Presion_cilindro!N292&gt;$B$14,1-EXP(-Presion_cilindro!$B$16*((Presion_cilindro!N292-$B$14)/Presion_cilindro!$B$35)^(Presion_cilindro!$B$17+1)),0)</f>
        <v>0</v>
      </c>
      <c r="U293" s="10">
        <f>U292*(Presion_cilindro!O291/Presion_cilindro!O292)^Presion_cilindro!$B$9+10*(Presion_cilindro!$B$9-1)*Presion_cilindro!$B$33*(T293-T292)/((Presion_cilindro!O291+Presion_cilindro!O292)/2)</f>
        <v>5.80021700117838</v>
      </c>
    </row>
    <row r="294" spans="14:21" x14ac:dyDescent="0.25">
      <c r="N294" s="8">
        <f>-Presion_cilindro!N293</f>
        <v>35.5</v>
      </c>
      <c r="O294" s="9">
        <f>IF(Presion_cilindro!N293&gt;$B$12,1-EXP(-Presion_cilindro!$B$16*((Presion_cilindro!N293-$B$12)/Presion_cilindro!$B$35)^(Presion_cilindro!$B$17+1)),0)</f>
        <v>0</v>
      </c>
      <c r="P294" s="10">
        <f>P293*(Presion_cilindro!O292/Presion_cilindro!O293)^Presion_cilindro!$B$9+10*(Presion_cilindro!$B$9-1)*Presion_cilindro!$B$33*(O294-O293)/((Presion_cilindro!O292+Presion_cilindro!O293)/2)</f>
        <v>5.9068524588072222</v>
      </c>
      <c r="Q294" s="9">
        <f>IF(OR($B$9=0,Presion_cilindro!N293&lt;=$B$15),IF(Presion_cilindro!N293&gt;$B$13,1-EXP(-Presion_cilindro!$B$16*((Presion_cilindro!N293-$B$13)/Presion_cilindro!$B$35)^(Presion_cilindro!$B$17+1)),0),$B$8+(1-$B$8)*(1-EXP(-(Presion_cilindro!N293-$B$15)/Presion_cilindro!$B$23)))</f>
        <v>1.5813819752394043E-2</v>
      </c>
      <c r="R294" s="10">
        <f>R293*(Presion_cilindro!O292/Presion_cilindro!O293)^Presion_cilindro!$B$9+10*(Presion_cilindro!$B$9-1)*Presion_cilindro!$B$33*(Q294-Q293)/((Presion_cilindro!O292+Presion_cilindro!O293)/2)</f>
        <v>6.1543458176929224</v>
      </c>
      <c r="S294" s="10">
        <f>R294+IF(AND($B$9=1,Presion_cilindro!N293&gt;$B$15),Presion_cilindro!$B$24*2.5*EXP(-(Presion_cilindro!N293-$B$15)/Presion_cilindro!$B$26)*SIN(2*PI()*(Presion_cilindro!N293-$B$15)/Presion_cilindro!$B$39),0)</f>
        <v>6.1543458176929224</v>
      </c>
      <c r="T294" s="9">
        <f>IF(Presion_cilindro!N293&gt;$B$14,1-EXP(-Presion_cilindro!$B$16*((Presion_cilindro!N293-$B$14)/Presion_cilindro!$B$35)^(Presion_cilindro!$B$17+1)),0)</f>
        <v>0</v>
      </c>
      <c r="U294" s="10">
        <f>U293*(Presion_cilindro!O292/Presion_cilindro!O293)^Presion_cilindro!$B$9+10*(Presion_cilindro!$B$9-1)*Presion_cilindro!$B$33*(T294-T293)/((Presion_cilindro!O292+Presion_cilindro!O293)/2)</f>
        <v>5.9068524588072222</v>
      </c>
    </row>
    <row r="295" spans="14:21" x14ac:dyDescent="0.25">
      <c r="N295" s="8">
        <f>-Presion_cilindro!N294</f>
        <v>35</v>
      </c>
      <c r="O295" s="9">
        <f>IF(Presion_cilindro!N294&gt;$B$12,1-EXP(-Presion_cilindro!$B$16*((Presion_cilindro!N294-$B$12)/Presion_cilindro!$B$35)^(Presion_cilindro!$B$17+1)),0)</f>
        <v>0</v>
      </c>
      <c r="P295" s="10">
        <f>P294*(Presion_cilindro!O293/Presion_cilindro!O294)^Presion_cilindro!$B$9+10*(Presion_cilindro!$B$9-1)*Presion_cilindro!$B$33*(O295-O294)/((Presion_cilindro!O293+Presion_cilindro!O294)/2)</f>
        <v>6.0157339909247796</v>
      </c>
      <c r="Q295" s="9">
        <f>IF(OR($B$9=0,Presion_cilindro!N294&lt;=$B$15),IF(Presion_cilindro!N294&gt;$B$13,1-EXP(-Presion_cilindro!$B$16*((Presion_cilindro!N294-$B$13)/Presion_cilindro!$B$35)^(Presion_cilindro!$B$17+1)),0),$B$8+(1-$B$8)*(1-EXP(-(Presion_cilindro!N294-$B$15)/Presion_cilindro!$B$23)))</f>
        <v>1.9257202124868256E-2</v>
      </c>
      <c r="R295" s="10">
        <f>R294*(Presion_cilindro!O293/Presion_cilindro!O294)^Presion_cilindro!$B$9+10*(Presion_cilindro!$B$9-1)*Presion_cilindro!$B$33*(Q295-Q294)/((Presion_cilindro!O293+Presion_cilindro!O294)/2)</f>
        <v>6.3216420531244513</v>
      </c>
      <c r="S295" s="10">
        <f>R295+IF(AND($B$9=1,Presion_cilindro!N294&gt;$B$15),Presion_cilindro!$B$24*2.5*EXP(-(Presion_cilindro!N294-$B$15)/Presion_cilindro!$B$26)*SIN(2*PI()*(Presion_cilindro!N294-$B$15)/Presion_cilindro!$B$39),0)</f>
        <v>6.3216420531244513</v>
      </c>
      <c r="T295" s="9">
        <f>IF(Presion_cilindro!N294&gt;$B$14,1-EXP(-Presion_cilindro!$B$16*((Presion_cilindro!N294-$B$14)/Presion_cilindro!$B$35)^(Presion_cilindro!$B$17+1)),0)</f>
        <v>0</v>
      </c>
      <c r="U295" s="10">
        <f>U294*(Presion_cilindro!O293/Presion_cilindro!O294)^Presion_cilindro!$B$9+10*(Presion_cilindro!$B$9-1)*Presion_cilindro!$B$33*(T295-T294)/((Presion_cilindro!O293+Presion_cilindro!O294)/2)</f>
        <v>6.0157339909247796</v>
      </c>
    </row>
    <row r="296" spans="14:21" x14ac:dyDescent="0.25">
      <c r="N296" s="8">
        <f>-Presion_cilindro!N295</f>
        <v>34.5</v>
      </c>
      <c r="O296" s="9">
        <f>IF(Presion_cilindro!N295&gt;$B$12,1-EXP(-Presion_cilindro!$B$16*((Presion_cilindro!N295-$B$12)/Presion_cilindro!$B$35)^(Presion_cilindro!$B$17+1)),0)</f>
        <v>0</v>
      </c>
      <c r="P296" s="10">
        <f>P295*(Presion_cilindro!O294/Presion_cilindro!O295)^Presion_cilindro!$B$9+10*(Presion_cilindro!$B$9-1)*Presion_cilindro!$B$33*(O296-O295)/((Presion_cilindro!O294+Presion_cilindro!O295)/2)</f>
        <v>6.1268905770417605</v>
      </c>
      <c r="Q296" s="9">
        <f>IF(OR($B$9=0,Presion_cilindro!N295&lt;=$B$15),IF(Presion_cilindro!N295&gt;$B$13,1-EXP(-Presion_cilindro!$B$16*((Presion_cilindro!N295-$B$13)/Presion_cilindro!$B$35)^(Presion_cilindro!$B$17+1)),0),$B$8+(1-$B$8)*(1-EXP(-(Presion_cilindro!N295-$B$15)/Presion_cilindro!$B$23)))</f>
        <v>2.315696173793802E-2</v>
      </c>
      <c r="R296" s="10">
        <f>R295*(Presion_cilindro!O294/Presion_cilindro!O295)^Presion_cilindro!$B$9+10*(Presion_cilindro!$B$9-1)*Presion_cilindro!$B$33*(Q296-Q295)/((Presion_cilindro!O294+Presion_cilindro!O295)/2)</f>
        <v>6.5002856108399376</v>
      </c>
      <c r="S296" s="10">
        <f>R296+IF(AND($B$9=1,Presion_cilindro!N295&gt;$B$15),Presion_cilindro!$B$24*2.5*EXP(-(Presion_cilindro!N295-$B$15)/Presion_cilindro!$B$26)*SIN(2*PI()*(Presion_cilindro!N295-$B$15)/Presion_cilindro!$B$39),0)</f>
        <v>6.5002856108399376</v>
      </c>
      <c r="T296" s="9">
        <f>IF(Presion_cilindro!N295&gt;$B$14,1-EXP(-Presion_cilindro!$B$16*((Presion_cilindro!N295-$B$14)/Presion_cilindro!$B$35)^(Presion_cilindro!$B$17+1)),0)</f>
        <v>0</v>
      </c>
      <c r="U296" s="10">
        <f>U295*(Presion_cilindro!O294/Presion_cilindro!O295)^Presion_cilindro!$B$9+10*(Presion_cilindro!$B$9-1)*Presion_cilindro!$B$33*(T296-T295)/((Presion_cilindro!O294+Presion_cilindro!O295)/2)</f>
        <v>6.1268905770417605</v>
      </c>
    </row>
    <row r="297" spans="14:21" x14ac:dyDescent="0.25">
      <c r="N297" s="8">
        <f>-Presion_cilindro!N296</f>
        <v>34</v>
      </c>
      <c r="O297" s="9">
        <f>IF(Presion_cilindro!N296&gt;$B$12,1-EXP(-Presion_cilindro!$B$16*((Presion_cilindro!N296-$B$12)/Presion_cilindro!$B$35)^(Presion_cilindro!$B$17+1)),0)</f>
        <v>0</v>
      </c>
      <c r="P297" s="10">
        <f>P296*(Presion_cilindro!O295/Presion_cilindro!O296)^Presion_cilindro!$B$9+10*(Presion_cilindro!$B$9-1)*Presion_cilindro!$B$33*(O297-O296)/((Presion_cilindro!O295+Presion_cilindro!O296)/2)</f>
        <v>6.2403496299330925</v>
      </c>
      <c r="Q297" s="9">
        <f>IF(OR($B$9=0,Presion_cilindro!N296&lt;=$B$15),IF(Presion_cilindro!N296&gt;$B$13,1-EXP(-Presion_cilindro!$B$16*((Presion_cilindro!N296-$B$13)/Presion_cilindro!$B$35)^(Presion_cilindro!$B$17+1)),0),$B$8+(1-$B$8)*(1-EXP(-(Presion_cilindro!N296-$B$15)/Presion_cilindro!$B$23)))</f>
        <v>2.7537438875685161E-2</v>
      </c>
      <c r="R297" s="10">
        <f>R296*(Presion_cilindro!O295/Presion_cilindro!O296)^Presion_cilindro!$B$9+10*(Presion_cilindro!$B$9-1)*Presion_cilindro!$B$33*(Q297-Q296)/((Presion_cilindro!O295+Presion_cilindro!O296)/2)</f>
        <v>6.6910798432930907</v>
      </c>
      <c r="S297" s="10">
        <f>R297+IF(AND($B$9=1,Presion_cilindro!N296&gt;$B$15),Presion_cilindro!$B$24*2.5*EXP(-(Presion_cilindro!N296-$B$15)/Presion_cilindro!$B$26)*SIN(2*PI()*(Presion_cilindro!N296-$B$15)/Presion_cilindro!$B$39),0)</f>
        <v>6.6910798432930907</v>
      </c>
      <c r="T297" s="9">
        <f>IF(Presion_cilindro!N296&gt;$B$14,1-EXP(-Presion_cilindro!$B$16*((Presion_cilindro!N296-$B$14)/Presion_cilindro!$B$35)^(Presion_cilindro!$B$17+1)),0)</f>
        <v>0</v>
      </c>
      <c r="U297" s="10">
        <f>U296*(Presion_cilindro!O295/Presion_cilindro!O296)^Presion_cilindro!$B$9+10*(Presion_cilindro!$B$9-1)*Presion_cilindro!$B$33*(T297-T296)/((Presion_cilindro!O295+Presion_cilindro!O296)/2)</f>
        <v>6.2403496299330925</v>
      </c>
    </row>
    <row r="298" spans="14:21" x14ac:dyDescent="0.25">
      <c r="N298" s="8">
        <f>-Presion_cilindro!N297</f>
        <v>33.5</v>
      </c>
      <c r="O298" s="9">
        <f>IF(Presion_cilindro!N297&gt;$B$12,1-EXP(-Presion_cilindro!$B$16*((Presion_cilindro!N297-$B$12)/Presion_cilindro!$B$35)^(Presion_cilindro!$B$17+1)),0)</f>
        <v>0</v>
      </c>
      <c r="P298" s="10">
        <f>P297*(Presion_cilindro!O296/Presion_cilindro!O297)^Presion_cilindro!$B$9+10*(Presion_cilindro!$B$9-1)*Presion_cilindro!$B$33*(O298-O297)/((Presion_cilindro!O296+Presion_cilindro!O297)/2)</f>
        <v>6.3561367936632998</v>
      </c>
      <c r="Q298" s="9">
        <f>IF(OR($B$9=0,Presion_cilindro!N297&lt;=$B$15),IF(Presion_cilindro!N297&gt;$B$13,1-EXP(-Presion_cilindro!$B$16*((Presion_cilindro!N297-$B$13)/Presion_cilindro!$B$35)^(Presion_cilindro!$B$17+1)),0),$B$8+(1-$B$8)*(1-EXP(-(Presion_cilindro!N297-$B$15)/Presion_cilindro!$B$23)))</f>
        <v>3.2421755398387542E-2</v>
      </c>
      <c r="R298" s="10">
        <f>R297*(Presion_cilindro!O296/Presion_cilindro!O297)^Presion_cilindro!$B$9+10*(Presion_cilindro!$B$9-1)*Presion_cilindro!$B$33*(Q298-Q297)/((Presion_cilindro!O296+Presion_cilindro!O297)/2)</f>
        <v>6.8948422637384548</v>
      </c>
      <c r="S298" s="10">
        <f>R298+IF(AND($B$9=1,Presion_cilindro!N297&gt;$B$15),Presion_cilindro!$B$24*2.5*EXP(-(Presion_cilindro!N297-$B$15)/Presion_cilindro!$B$26)*SIN(2*PI()*(Presion_cilindro!N297-$B$15)/Presion_cilindro!$B$39),0)</f>
        <v>6.8948422637384548</v>
      </c>
      <c r="T298" s="9">
        <f>IF(Presion_cilindro!N297&gt;$B$14,1-EXP(-Presion_cilindro!$B$16*((Presion_cilindro!N297-$B$14)/Presion_cilindro!$B$35)^(Presion_cilindro!$B$17+1)),0)</f>
        <v>0</v>
      </c>
      <c r="U298" s="10">
        <f>U297*(Presion_cilindro!O296/Presion_cilindro!O297)^Presion_cilindro!$B$9+10*(Presion_cilindro!$B$9-1)*Presion_cilindro!$B$33*(T298-T297)/((Presion_cilindro!O296+Presion_cilindro!O297)/2)</f>
        <v>6.3561367936632998</v>
      </c>
    </row>
    <row r="299" spans="14:21" x14ac:dyDescent="0.25">
      <c r="N299" s="8">
        <f>-Presion_cilindro!N298</f>
        <v>33</v>
      </c>
      <c r="O299" s="9">
        <f>IF(Presion_cilindro!N298&gt;$B$12,1-EXP(-Presion_cilindro!$B$16*((Presion_cilindro!N298-$B$12)/Presion_cilindro!$B$35)^(Presion_cilindro!$B$17+1)),0)</f>
        <v>0</v>
      </c>
      <c r="P299" s="10">
        <f>P298*(Presion_cilindro!O297/Presion_cilindro!O298)^Presion_cilindro!$B$9+10*(Presion_cilindro!$B$9-1)*Presion_cilindro!$B$33*(O299-O298)/((Presion_cilindro!O297+Presion_cilindro!O298)/2)</f>
        <v>6.474275728047596</v>
      </c>
      <c r="Q299" s="9">
        <f>IF(OR($B$9=0,Presion_cilindro!N298&lt;=$B$15),IF(Presion_cilindro!N298&gt;$B$13,1-EXP(-Presion_cilindro!$B$16*((Presion_cilindro!N298-$B$13)/Presion_cilindro!$B$35)^(Presion_cilindro!$B$17+1)),0),$B$8+(1-$B$8)*(1-EXP(-(Presion_cilindro!N298-$B$15)/Presion_cilindro!$B$23)))</f>
        <v>3.7831681267927242E-2</v>
      </c>
      <c r="R299" s="10">
        <f>R298*(Presion_cilindro!O297/Presion_cilindro!O298)^Presion_cilindro!$B$9+10*(Presion_cilindro!$B$9-1)*Presion_cilindro!$B$33*(Q299-Q298)/((Presion_cilindro!O297+Presion_cilindro!O298)/2)</f>
        <v>7.1124016442790756</v>
      </c>
      <c r="S299" s="10">
        <f>R299+IF(AND($B$9=1,Presion_cilindro!N298&gt;$B$15),Presion_cilindro!$B$24*2.5*EXP(-(Presion_cilindro!N298-$B$15)/Presion_cilindro!$B$26)*SIN(2*PI()*(Presion_cilindro!N298-$B$15)/Presion_cilindro!$B$39),0)</f>
        <v>7.1124016442790756</v>
      </c>
      <c r="T299" s="9">
        <f>IF(Presion_cilindro!N298&gt;$B$14,1-EXP(-Presion_cilindro!$B$16*((Presion_cilindro!N298-$B$14)/Presion_cilindro!$B$35)^(Presion_cilindro!$B$17+1)),0)</f>
        <v>0</v>
      </c>
      <c r="U299" s="10">
        <f>U298*(Presion_cilindro!O297/Presion_cilindro!O298)^Presion_cilindro!$B$9+10*(Presion_cilindro!$B$9-1)*Presion_cilindro!$B$33*(T299-T298)/((Presion_cilindro!O297+Presion_cilindro!O298)/2)</f>
        <v>6.474275728047596</v>
      </c>
    </row>
    <row r="300" spans="14:21" x14ac:dyDescent="0.25">
      <c r="N300" s="8">
        <f>-Presion_cilindro!N299</f>
        <v>32.5</v>
      </c>
      <c r="O300" s="9">
        <f>IF(Presion_cilindro!N299&gt;$B$12,1-EXP(-Presion_cilindro!$B$16*((Presion_cilindro!N299-$B$12)/Presion_cilindro!$B$35)^(Presion_cilindro!$B$17+1)),0)</f>
        <v>0</v>
      </c>
      <c r="P300" s="10">
        <f>P299*(Presion_cilindro!O298/Presion_cilindro!O299)^Presion_cilindro!$B$9+10*(Presion_cilindro!$B$9-1)*Presion_cilindro!$B$33*(O300-O299)/((Presion_cilindro!O298+Presion_cilindro!O299)/2)</f>
        <v>6.5947878791117649</v>
      </c>
      <c r="Q300" s="9">
        <f>IF(OR($B$9=0,Presion_cilindro!N299&lt;=$B$15),IF(Presion_cilindro!N299&gt;$B$13,1-EXP(-Presion_cilindro!$B$16*((Presion_cilindro!N299-$B$13)/Presion_cilindro!$B$35)^(Presion_cilindro!$B$17+1)),0),$B$8+(1-$B$8)*(1-EXP(-(Presion_cilindro!N299-$B$15)/Presion_cilindro!$B$23)))</f>
        <v>4.3787498485814536E-2</v>
      </c>
      <c r="R300" s="10">
        <f>R299*(Presion_cilindro!O298/Presion_cilindro!O299)^Presion_cilindro!$B$9+10*(Presion_cilindro!$B$9-1)*Presion_cilindro!$B$33*(Q300-Q299)/((Presion_cilindro!O298+Presion_cilindro!O299)/2)</f>
        <v>7.3445947455835991</v>
      </c>
      <c r="S300" s="10">
        <f>R300+IF(AND($B$9=1,Presion_cilindro!N299&gt;$B$15),Presion_cilindro!$B$24*2.5*EXP(-(Presion_cilindro!N299-$B$15)/Presion_cilindro!$B$26)*SIN(2*PI()*(Presion_cilindro!N299-$B$15)/Presion_cilindro!$B$39),0)</f>
        <v>7.3445947455835991</v>
      </c>
      <c r="T300" s="9">
        <f>IF(Presion_cilindro!N299&gt;$B$14,1-EXP(-Presion_cilindro!$B$16*((Presion_cilindro!N299-$B$14)/Presion_cilindro!$B$35)^(Presion_cilindro!$B$17+1)),0)</f>
        <v>0</v>
      </c>
      <c r="U300" s="10">
        <f>U299*(Presion_cilindro!O298/Presion_cilindro!O299)^Presion_cilindro!$B$9+10*(Presion_cilindro!$B$9-1)*Presion_cilindro!$B$33*(T300-T299)/((Presion_cilindro!O298+Presion_cilindro!O299)/2)</f>
        <v>6.5947878791117649</v>
      </c>
    </row>
    <row r="301" spans="14:21" x14ac:dyDescent="0.25">
      <c r="N301" s="8">
        <f>-Presion_cilindro!N300</f>
        <v>32</v>
      </c>
      <c r="O301" s="9">
        <f>IF(Presion_cilindro!N300&gt;$B$12,1-EXP(-Presion_cilindro!$B$16*((Presion_cilindro!N300-$B$12)/Presion_cilindro!$B$35)^(Presion_cilindro!$B$17+1)),0)</f>
        <v>0</v>
      </c>
      <c r="P301" s="10">
        <f>P300*(Presion_cilindro!O299/Presion_cilindro!O300)^Presion_cilindro!$B$9+10*(Presion_cilindro!$B$9-1)*Presion_cilindro!$B$33*(O301-O300)/((Presion_cilindro!O299+Presion_cilindro!O300)/2)</f>
        <v>6.7176922351560417</v>
      </c>
      <c r="Q301" s="9">
        <f>IF(OR($B$9=0,Presion_cilindro!N300&lt;=$B$15),IF(Presion_cilindro!N300&gt;$B$13,1-EXP(-Presion_cilindro!$B$16*((Presion_cilindro!N300-$B$13)/Presion_cilindro!$B$35)^(Presion_cilindro!$B$17+1)),0),$B$8+(1-$B$8)*(1-EXP(-(Presion_cilindro!N300-$B$15)/Presion_cilindro!$B$23)))</f>
        <v>5.0307863562291333E-2</v>
      </c>
      <c r="R301" s="10">
        <f>R300*(Presion_cilindro!O299/Presion_cilindro!O300)^Presion_cilindro!$B$9+10*(Presion_cilindro!$B$9-1)*Presion_cilindro!$B$33*(Q301-Q300)/((Presion_cilindro!O299+Presion_cilindro!O300)/2)</f>
        <v>7.5922626711064751</v>
      </c>
      <c r="S301" s="10">
        <f>R301+IF(AND($B$9=1,Presion_cilindro!N300&gt;$B$15),Presion_cilindro!$B$24*2.5*EXP(-(Presion_cilindro!N300-$B$15)/Presion_cilindro!$B$26)*SIN(2*PI()*(Presion_cilindro!N300-$B$15)/Presion_cilindro!$B$39),0)</f>
        <v>7.5922626711064751</v>
      </c>
      <c r="T301" s="9">
        <f>IF(Presion_cilindro!N300&gt;$B$14,1-EXP(-Presion_cilindro!$B$16*((Presion_cilindro!N300-$B$14)/Presion_cilindro!$B$35)^(Presion_cilindro!$B$17+1)),0)</f>
        <v>0</v>
      </c>
      <c r="U301" s="10">
        <f>U300*(Presion_cilindro!O299/Presion_cilindro!O300)^Presion_cilindro!$B$9+10*(Presion_cilindro!$B$9-1)*Presion_cilindro!$B$33*(T301-T300)/((Presion_cilindro!O299+Presion_cilindro!O300)/2)</f>
        <v>6.7176922351560417</v>
      </c>
    </row>
    <row r="302" spans="14:21" x14ac:dyDescent="0.25">
      <c r="N302" s="8">
        <f>-Presion_cilindro!N301</f>
        <v>31.5</v>
      </c>
      <c r="O302" s="9">
        <f>IF(Presion_cilindro!N301&gt;$B$12,1-EXP(-Presion_cilindro!$B$16*((Presion_cilindro!N301-$B$12)/Presion_cilindro!$B$35)^(Presion_cilindro!$B$17+1)),0)</f>
        <v>0</v>
      </c>
      <c r="P302" s="10">
        <f>P301*(Presion_cilindro!O300/Presion_cilindro!O301)^Presion_cilindro!$B$9+10*(Presion_cilindro!$B$9-1)*Presion_cilindro!$B$33*(O302-O301)/((Presion_cilindro!O300+Presion_cilindro!O301)/2)</f>
        <v>6.8430050680798962</v>
      </c>
      <c r="Q302" s="9">
        <f>IF(OR($B$9=0,Presion_cilindro!N301&lt;=$B$15),IF(Presion_cilindro!N301&gt;$B$13,1-EXP(-Presion_cilindro!$B$16*((Presion_cilindro!N301-$B$13)/Presion_cilindro!$B$35)^(Presion_cilindro!$B$17+1)),0),$B$8+(1-$B$8)*(1-EXP(-(Presion_cilindro!N301-$B$15)/Presion_cilindro!$B$23)))</f>
        <v>5.7409669722715884E-2</v>
      </c>
      <c r="R302" s="10">
        <f>R301*(Presion_cilindro!O300/Presion_cilindro!O301)^Presion_cilindro!$B$9+10*(Presion_cilindro!$B$9-1)*Presion_cilindro!$B$33*(Q302-Q301)/((Presion_cilindro!O300+Presion_cilindro!O301)/2)</f>
        <v>7.8562468416959348</v>
      </c>
      <c r="S302" s="10">
        <f>R302+IF(AND($B$9=1,Presion_cilindro!N301&gt;$B$15),Presion_cilindro!$B$24*2.5*EXP(-(Presion_cilindro!N301-$B$15)/Presion_cilindro!$B$26)*SIN(2*PI()*(Presion_cilindro!N301-$B$15)/Presion_cilindro!$B$39),0)</f>
        <v>7.8562468416959348</v>
      </c>
      <c r="T302" s="9">
        <f>IF(Presion_cilindro!N301&gt;$B$14,1-EXP(-Presion_cilindro!$B$16*((Presion_cilindro!N301-$B$14)/Presion_cilindro!$B$35)^(Presion_cilindro!$B$17+1)),0)</f>
        <v>0</v>
      </c>
      <c r="U302" s="10">
        <f>U301*(Presion_cilindro!O300/Presion_cilindro!O301)^Presion_cilindro!$B$9+10*(Presion_cilindro!$B$9-1)*Presion_cilindro!$B$33*(T302-T301)/((Presion_cilindro!O300+Presion_cilindro!O301)/2)</f>
        <v>6.8430050680798962</v>
      </c>
    </row>
    <row r="303" spans="14:21" x14ac:dyDescent="0.25">
      <c r="N303" s="8">
        <f>-Presion_cilindro!N302</f>
        <v>31</v>
      </c>
      <c r="O303" s="9">
        <f>IF(Presion_cilindro!N302&gt;$B$12,1-EXP(-Presion_cilindro!$B$16*((Presion_cilindro!N302-$B$12)/Presion_cilindro!$B$35)^(Presion_cilindro!$B$17+1)),0)</f>
        <v>0</v>
      </c>
      <c r="P303" s="10">
        <f>P302*(Presion_cilindro!O301/Presion_cilindro!O302)^Presion_cilindro!$B$9+10*(Presion_cilindro!$B$9-1)*Presion_cilindro!$B$33*(O303-O302)/((Presion_cilindro!O301+Presion_cilindro!O302)/2)</f>
        <v>6.9707396596879816</v>
      </c>
      <c r="Q303" s="9">
        <f>IF(OR($B$9=0,Presion_cilindro!N302&lt;=$B$15),IF(Presion_cilindro!N302&gt;$B$13,1-EXP(-Presion_cilindro!$B$16*((Presion_cilindro!N302-$B$13)/Presion_cilindro!$B$35)^(Presion_cilindro!$B$17+1)),0),$B$8+(1-$B$8)*(1-EXP(-(Presion_cilindro!N302-$B$15)/Presion_cilindro!$B$23)))</f>
        <v>6.5107910139761582E-2</v>
      </c>
      <c r="R303" s="10">
        <f>R302*(Presion_cilindro!O301/Presion_cilindro!O302)^Presion_cilindro!$B$9+10*(Presion_cilindro!$B$9-1)*Presion_cilindro!$B$33*(Q303-Q302)/((Presion_cilindro!O301+Presion_cilindro!O302)/2)</f>
        <v>8.1373845899324841</v>
      </c>
      <c r="S303" s="10">
        <f>R303+IF(AND($B$9=1,Presion_cilindro!N302&gt;$B$15),Presion_cilindro!$B$24*2.5*EXP(-(Presion_cilindro!N302-$B$15)/Presion_cilindro!$B$26)*SIN(2*PI()*(Presion_cilindro!N302-$B$15)/Presion_cilindro!$B$39),0)</f>
        <v>8.1373845899324841</v>
      </c>
      <c r="T303" s="9">
        <f>IF(Presion_cilindro!N302&gt;$B$14,1-EXP(-Presion_cilindro!$B$16*((Presion_cilindro!N302-$B$14)/Presion_cilindro!$B$35)^(Presion_cilindro!$B$17+1)),0)</f>
        <v>0</v>
      </c>
      <c r="U303" s="10">
        <f>U302*(Presion_cilindro!O301/Presion_cilindro!O302)^Presion_cilindro!$B$9+10*(Presion_cilindro!$B$9-1)*Presion_cilindro!$B$33*(T303-T302)/((Presion_cilindro!O301+Presion_cilindro!O302)/2)</f>
        <v>6.9707396596879816</v>
      </c>
    </row>
    <row r="304" spans="14:21" x14ac:dyDescent="0.25">
      <c r="N304" s="8">
        <f>-Presion_cilindro!N303</f>
        <v>30.5</v>
      </c>
      <c r="O304" s="9">
        <f>IF(Presion_cilindro!N303&gt;$B$12,1-EXP(-Presion_cilindro!$B$16*((Presion_cilindro!N303-$B$12)/Presion_cilindro!$B$35)^(Presion_cilindro!$B$17+1)),0)</f>
        <v>0</v>
      </c>
      <c r="P304" s="10">
        <f>P303*(Presion_cilindro!O302/Presion_cilindro!O303)^Presion_cilindro!$B$9+10*(Presion_cilindro!$B$9-1)*Presion_cilindro!$B$33*(O304-O303)/((Presion_cilindro!O302+Presion_cilindro!O303)/2)</f>
        <v>7.1009060127726942</v>
      </c>
      <c r="Q304" s="9">
        <f>IF(OR($B$9=0,Presion_cilindro!N303&lt;=$B$15),IF(Presion_cilindro!N303&gt;$B$13,1-EXP(-Presion_cilindro!$B$16*((Presion_cilindro!N303-$B$13)/Presion_cilindro!$B$35)^(Presion_cilindro!$B$17+1)),0),$B$8+(1-$B$8)*(1-EXP(-(Presion_cilindro!N303-$B$15)/Presion_cilindro!$B$23)))</f>
        <v>7.3415543555099272E-2</v>
      </c>
      <c r="R304" s="10">
        <f>R303*(Presion_cilindro!O302/Presion_cilindro!O303)^Presion_cilindro!$B$9+10*(Presion_cilindro!$B$9-1)*Presion_cilindro!$B$33*(Q304-Q303)/((Presion_cilindro!O302+Presion_cilindro!O303)/2)</f>
        <v>8.4365043774037591</v>
      </c>
      <c r="S304" s="10">
        <f>R304+IF(AND($B$9=1,Presion_cilindro!N303&gt;$B$15),Presion_cilindro!$B$24*2.5*EXP(-(Presion_cilindro!N303-$B$15)/Presion_cilindro!$B$26)*SIN(2*PI()*(Presion_cilindro!N303-$B$15)/Presion_cilindro!$B$39),0)</f>
        <v>8.4365043774037591</v>
      </c>
      <c r="T304" s="9">
        <f>IF(Presion_cilindro!N303&gt;$B$14,1-EXP(-Presion_cilindro!$B$16*((Presion_cilindro!N303-$B$14)/Presion_cilindro!$B$35)^(Presion_cilindro!$B$17+1)),0)</f>
        <v>0</v>
      </c>
      <c r="U304" s="10">
        <f>U303*(Presion_cilindro!O302/Presion_cilindro!O303)^Presion_cilindro!$B$9+10*(Presion_cilindro!$B$9-1)*Presion_cilindro!$B$33*(T304-T303)/((Presion_cilindro!O302+Presion_cilindro!O303)/2)</f>
        <v>7.1009060127726942</v>
      </c>
    </row>
    <row r="305" spans="14:21" x14ac:dyDescent="0.25">
      <c r="N305" s="8">
        <f>-Presion_cilindro!N304</f>
        <v>30</v>
      </c>
      <c r="O305" s="9">
        <f>IF(Presion_cilindro!N304&gt;$B$12,1-EXP(-Presion_cilindro!$B$16*((Presion_cilindro!N304-$B$12)/Presion_cilindro!$B$35)^(Presion_cilindro!$B$17+1)),0)</f>
        <v>0</v>
      </c>
      <c r="P305" s="10">
        <f>P304*(Presion_cilindro!O303/Presion_cilindro!O304)^Presion_cilindro!$B$9+10*(Presion_cilindro!$B$9-1)*Presion_cilindro!$B$33*(O305-O304)/((Presion_cilindro!O303+Presion_cilindro!O304)/2)</f>
        <v>7.2335105468578709</v>
      </c>
      <c r="Q305" s="9">
        <f>IF(OR($B$9=0,Presion_cilindro!N304&lt;=$B$15),IF(Presion_cilindro!N304&gt;$B$13,1-EXP(-Presion_cilindro!$B$16*((Presion_cilindro!N304-$B$13)/Presion_cilindro!$B$35)^(Presion_cilindro!$B$17+1)),0),$B$8+(1-$B$8)*(1-EXP(-(Presion_cilindro!N304-$B$15)/Presion_cilindro!$B$23)))</f>
        <v>8.2343363720332352E-2</v>
      </c>
      <c r="R305" s="10">
        <f>R304*(Presion_cilindro!O303/Presion_cilindro!O304)^Presion_cilindro!$B$9+10*(Presion_cilindro!$B$9-1)*Presion_cilindro!$B$33*(Q305-Q304)/((Presion_cilindro!O303+Presion_cilindro!O304)/2)</f>
        <v>8.7544206423828683</v>
      </c>
      <c r="S305" s="10">
        <f>R305+IF(AND($B$9=1,Presion_cilindro!N304&gt;$B$15),Presion_cilindro!$B$24*2.5*EXP(-(Presion_cilindro!N304-$B$15)/Presion_cilindro!$B$26)*SIN(2*PI()*(Presion_cilindro!N304-$B$15)/Presion_cilindro!$B$39),0)</f>
        <v>8.7544206423828683</v>
      </c>
      <c r="T305" s="9">
        <f>IF(Presion_cilindro!N304&gt;$B$14,1-EXP(-Presion_cilindro!$B$16*((Presion_cilindro!N304-$B$14)/Presion_cilindro!$B$35)^(Presion_cilindro!$B$17+1)),0)</f>
        <v>0</v>
      </c>
      <c r="U305" s="10">
        <f>U304*(Presion_cilindro!O303/Presion_cilindro!O304)^Presion_cilindro!$B$9+10*(Presion_cilindro!$B$9-1)*Presion_cilindro!$B$33*(T305-T304)/((Presion_cilindro!O303+Presion_cilindro!O304)/2)</f>
        <v>7.2335105468578709</v>
      </c>
    </row>
    <row r="306" spans="14:21" x14ac:dyDescent="0.25">
      <c r="N306" s="8">
        <f>-Presion_cilindro!N305</f>
        <v>29.5</v>
      </c>
      <c r="O306" s="9">
        <f>IF(Presion_cilindro!N305&gt;$B$12,1-EXP(-Presion_cilindro!$B$16*((Presion_cilindro!N305-$B$12)/Presion_cilindro!$B$35)^(Presion_cilindro!$B$17+1)),0)</f>
        <v>0</v>
      </c>
      <c r="P306" s="10">
        <f>P305*(Presion_cilindro!O304/Presion_cilindro!O305)^Presion_cilindro!$B$9+10*(Presion_cilindro!$B$9-1)*Presion_cilindro!$B$33*(O306-O305)/((Presion_cilindro!O304+Presion_cilindro!O305)/2)</f>
        <v>7.3685557785910527</v>
      </c>
      <c r="Q306" s="9">
        <f>IF(OR($B$9=0,Presion_cilindro!N305&lt;=$B$15),IF(Presion_cilindro!N305&gt;$B$13,1-EXP(-Presion_cilindro!$B$16*((Presion_cilindro!N305-$B$13)/Presion_cilindro!$B$35)^(Presion_cilindro!$B$17+1)),0),$B$8+(1-$B$8)*(1-EXP(-(Presion_cilindro!N305-$B$15)/Presion_cilindro!$B$23)))</f>
        <v>9.1899874142160831E-2</v>
      </c>
      <c r="R306" s="10">
        <f>R305*(Presion_cilindro!O304/Presion_cilindro!O305)^Presion_cilindro!$B$9+10*(Presion_cilindro!$B$9-1)*Presion_cilindro!$B$33*(Q306-Q305)/((Presion_cilindro!O304+Presion_cilindro!O305)/2)</f>
        <v>9.0919282900201317</v>
      </c>
      <c r="S306" s="10">
        <f>R306+IF(AND($B$9=1,Presion_cilindro!N305&gt;$B$15),Presion_cilindro!$B$24*2.5*EXP(-(Presion_cilindro!N305-$B$15)/Presion_cilindro!$B$26)*SIN(2*PI()*(Presion_cilindro!N305-$B$15)/Presion_cilindro!$B$39),0)</f>
        <v>9.0919282900201317</v>
      </c>
      <c r="T306" s="9">
        <f>IF(Presion_cilindro!N305&gt;$B$14,1-EXP(-Presion_cilindro!$B$16*((Presion_cilindro!N305-$B$14)/Presion_cilindro!$B$35)^(Presion_cilindro!$B$17+1)),0)</f>
        <v>0</v>
      </c>
      <c r="U306" s="10">
        <f>U305*(Presion_cilindro!O304/Presion_cilindro!O305)^Presion_cilindro!$B$9+10*(Presion_cilindro!$B$9-1)*Presion_cilindro!$B$33*(T306-T305)/((Presion_cilindro!O304+Presion_cilindro!O305)/2)</f>
        <v>7.3685557785910527</v>
      </c>
    </row>
    <row r="307" spans="14:21" x14ac:dyDescent="0.25">
      <c r="N307" s="8">
        <f>-Presion_cilindro!N306</f>
        <v>29</v>
      </c>
      <c r="O307" s="9">
        <f>IF(Presion_cilindro!N306&gt;$B$12,1-EXP(-Presion_cilindro!$B$16*((Presion_cilindro!N306-$B$12)/Presion_cilindro!$B$35)^(Presion_cilindro!$B$17+1)),0)</f>
        <v>0</v>
      </c>
      <c r="P307" s="10">
        <f>P306*(Presion_cilindro!O305/Presion_cilindro!O306)^Presion_cilindro!$B$9+10*(Presion_cilindro!$B$9-1)*Presion_cilindro!$B$33*(O307-O306)/((Presion_cilindro!O305+Presion_cilindro!O306)/2)</f>
        <v>7.5060399868917722</v>
      </c>
      <c r="Q307" s="9">
        <f>IF(OR($B$9=0,Presion_cilindro!N306&lt;=$B$15),IF(Presion_cilindro!N306&gt;$B$13,1-EXP(-Presion_cilindro!$B$16*((Presion_cilindro!N306-$B$13)/Presion_cilindro!$B$35)^(Presion_cilindro!$B$17+1)),0),$B$8+(1-$B$8)*(1-EXP(-(Presion_cilindro!N306-$B$15)/Presion_cilindro!$B$23)))</f>
        <v>0.10209116965919818</v>
      </c>
      <c r="R307" s="10">
        <f>R306*(Presion_cilindro!O305/Presion_cilindro!O306)^Presion_cilindro!$B$9+10*(Presion_cilindro!$B$9-1)*Presion_cilindro!$B$33*(Q307-Q306)/((Presion_cilindro!O305+Presion_cilindro!O306)/2)</f>
        <v>9.4497968421611205</v>
      </c>
      <c r="S307" s="10">
        <f>R307+IF(AND($B$9=1,Presion_cilindro!N306&gt;$B$15),Presion_cilindro!$B$24*2.5*EXP(-(Presion_cilindro!N306-$B$15)/Presion_cilindro!$B$26)*SIN(2*PI()*(Presion_cilindro!N306-$B$15)/Presion_cilindro!$B$39),0)</f>
        <v>9.4497968421611205</v>
      </c>
      <c r="T307" s="9">
        <f>IF(Presion_cilindro!N306&gt;$B$14,1-EXP(-Presion_cilindro!$B$16*((Presion_cilindro!N306-$B$14)/Presion_cilindro!$B$35)^(Presion_cilindro!$B$17+1)),0)</f>
        <v>0</v>
      </c>
      <c r="U307" s="10">
        <f>U306*(Presion_cilindro!O305/Presion_cilindro!O306)^Presion_cilindro!$B$9+10*(Presion_cilindro!$B$9-1)*Presion_cilindro!$B$33*(T307-T306)/((Presion_cilindro!O305+Presion_cilindro!O306)/2)</f>
        <v>7.5060399868917722</v>
      </c>
    </row>
    <row r="308" spans="14:21" x14ac:dyDescent="0.25">
      <c r="N308" s="8">
        <f>-Presion_cilindro!N307</f>
        <v>28.5</v>
      </c>
      <c r="O308" s="9">
        <f>IF(Presion_cilindro!N307&gt;$B$12,1-EXP(-Presion_cilindro!$B$16*((Presion_cilindro!N307-$B$12)/Presion_cilindro!$B$35)^(Presion_cilindro!$B$17+1)),0)</f>
        <v>0</v>
      </c>
      <c r="P308" s="10">
        <f>P307*(Presion_cilindro!O306/Presion_cilindro!O307)^Presion_cilindro!$B$9+10*(Presion_cilindro!$B$9-1)*Presion_cilindro!$B$33*(O308-O307)/((Presion_cilindro!O306+Presion_cilindro!O307)/2)</f>
        <v>7.6459568630988599</v>
      </c>
      <c r="Q308" s="9">
        <f>IF(OR($B$9=0,Presion_cilindro!N307&lt;=$B$15),IF(Presion_cilindro!N307&gt;$B$13,1-EXP(-Presion_cilindro!$B$16*((Presion_cilindro!N307-$B$13)/Presion_cilindro!$B$35)^(Presion_cilindro!$B$17+1)),0),$B$8+(1-$B$8)*(1-EXP(-(Presion_cilindro!N307-$B$15)/Presion_cilindro!$B$23)))</f>
        <v>0.11292082640573142</v>
      </c>
      <c r="R308" s="10">
        <f>R307*(Presion_cilindro!O306/Presion_cilindro!O307)^Presion_cilindro!$B$9+10*(Presion_cilindro!$B$9-1)*Presion_cilindro!$B$33*(Q308-Q307)/((Presion_cilindro!O306+Presion_cilindro!O307)/2)</f>
        <v>9.8287642692311668</v>
      </c>
      <c r="S308" s="10">
        <f>R308+IF(AND($B$9=1,Presion_cilindro!N307&gt;$B$15),Presion_cilindro!$B$24*2.5*EXP(-(Presion_cilindro!N307-$B$15)/Presion_cilindro!$B$26)*SIN(2*PI()*(Presion_cilindro!N307-$B$15)/Presion_cilindro!$B$39),0)</f>
        <v>9.8287642692311668</v>
      </c>
      <c r="T308" s="9">
        <f>IF(Presion_cilindro!N307&gt;$B$14,1-EXP(-Presion_cilindro!$B$16*((Presion_cilindro!N307-$B$14)/Presion_cilindro!$B$35)^(Presion_cilindro!$B$17+1)),0)</f>
        <v>0</v>
      </c>
      <c r="U308" s="10">
        <f>U307*(Presion_cilindro!O306/Presion_cilindro!O307)^Presion_cilindro!$B$9+10*(Presion_cilindro!$B$9-1)*Presion_cilindro!$B$33*(T308-T307)/((Presion_cilindro!O306+Presion_cilindro!O307)/2)</f>
        <v>7.6459568630988599</v>
      </c>
    </row>
    <row r="309" spans="14:21" x14ac:dyDescent="0.25">
      <c r="N309" s="8">
        <f>-Presion_cilindro!N308</f>
        <v>28</v>
      </c>
      <c r="O309" s="9">
        <f>IF(Presion_cilindro!N308&gt;$B$12,1-EXP(-Presion_cilindro!$B$16*((Presion_cilindro!N308-$B$12)/Presion_cilindro!$B$35)^(Presion_cilindro!$B$17+1)),0)</f>
        <v>0</v>
      </c>
      <c r="P309" s="10">
        <f>P308*(Presion_cilindro!O307/Presion_cilindro!O308)^Presion_cilindro!$B$9+10*(Presion_cilindro!$B$9-1)*Presion_cilindro!$B$33*(O309-O308)/((Presion_cilindro!O307+Presion_cilindro!O308)/2)</f>
        <v>7.7882951465147201</v>
      </c>
      <c r="Q309" s="9">
        <f>IF(OR($B$9=0,Presion_cilindro!N308&lt;=$B$15),IF(Presion_cilindro!N308&gt;$B$13,1-EXP(-Presion_cilindro!$B$16*((Presion_cilindro!N308-$B$13)/Presion_cilindro!$B$35)^(Presion_cilindro!$B$17+1)),0),$B$8+(1-$B$8)*(1-EXP(-(Presion_cilindro!N308-$B$15)/Presion_cilindro!$B$23)))</f>
        <v>0.12438980172926639</v>
      </c>
      <c r="R309" s="10">
        <f>R308*(Presion_cilindro!O307/Presion_cilindro!O308)^Presion_cilindro!$B$9+10*(Presion_cilindro!$B$9-1)*Presion_cilindro!$B$33*(Q309-Q308)/((Presion_cilindro!O307+Presion_cilindro!O308)/2)</f>
        <v>10.229530532239266</v>
      </c>
      <c r="S309" s="10">
        <f>R309+IF(AND($B$9=1,Presion_cilindro!N308&gt;$B$15),Presion_cilindro!$B$24*2.5*EXP(-(Presion_cilindro!N308-$B$15)/Presion_cilindro!$B$26)*SIN(2*PI()*(Presion_cilindro!N308-$B$15)/Presion_cilindro!$B$39),0)</f>
        <v>10.229530532239266</v>
      </c>
      <c r="T309" s="9">
        <f>IF(Presion_cilindro!N308&gt;$B$14,1-EXP(-Presion_cilindro!$B$16*((Presion_cilindro!N308-$B$14)/Presion_cilindro!$B$35)^(Presion_cilindro!$B$17+1)),0)</f>
        <v>0</v>
      </c>
      <c r="U309" s="10">
        <f>U308*(Presion_cilindro!O307/Presion_cilindro!O308)^Presion_cilindro!$B$9+10*(Presion_cilindro!$B$9-1)*Presion_cilindro!$B$33*(T309-T308)/((Presion_cilindro!O307+Presion_cilindro!O308)/2)</f>
        <v>7.7882951465147201</v>
      </c>
    </row>
    <row r="310" spans="14:21" x14ac:dyDescent="0.25">
      <c r="N310" s="8">
        <f>-Presion_cilindro!N309</f>
        <v>27.5</v>
      </c>
      <c r="O310" s="9">
        <f>IF(Presion_cilindro!N309&gt;$B$12,1-EXP(-Presion_cilindro!$B$16*((Presion_cilindro!N309-$B$12)/Presion_cilindro!$B$35)^(Presion_cilindro!$B$17+1)),0)</f>
        <v>0</v>
      </c>
      <c r="P310" s="10">
        <f>P309*(Presion_cilindro!O308/Presion_cilindro!O309)^Presion_cilindro!$B$9+10*(Presion_cilindro!$B$9-1)*Presion_cilindro!$B$33*(O310-O309)/((Presion_cilindro!O308+Presion_cilindro!O309)/2)</f>
        <v>7.9330382459174604</v>
      </c>
      <c r="Q310" s="9">
        <f>IF(OR($B$9=0,Presion_cilindro!N309&lt;=$B$15),IF(Presion_cilindro!N309&gt;$B$13,1-EXP(-Presion_cilindro!$B$16*((Presion_cilindro!N309-$B$13)/Presion_cilindro!$B$35)^(Presion_cilindro!$B$17+1)),0),$B$8+(1-$B$8)*(1-EXP(-(Presion_cilindro!N309-$B$15)/Presion_cilindro!$B$23)))</f>
        <v>0.13649634562228641</v>
      </c>
      <c r="R310" s="10">
        <f>R309*(Presion_cilindro!O308/Presion_cilindro!O309)^Presion_cilindro!$B$9+10*(Presion_cilindro!$B$9-1)*Presion_cilindro!$B$33*(Q310-Q309)/((Presion_cilindro!O308+Presion_cilindro!O309)/2)</f>
        <v>10.652750868796856</v>
      </c>
      <c r="S310" s="10">
        <f>R310+IF(AND($B$9=1,Presion_cilindro!N309&gt;$B$15),Presion_cilindro!$B$24*2.5*EXP(-(Presion_cilindro!N309-$B$15)/Presion_cilindro!$B$26)*SIN(2*PI()*(Presion_cilindro!N309-$B$15)/Presion_cilindro!$B$39),0)</f>
        <v>10.652750868796856</v>
      </c>
      <c r="T310" s="9">
        <f>IF(Presion_cilindro!N309&gt;$B$14,1-EXP(-Presion_cilindro!$B$16*((Presion_cilindro!N309-$B$14)/Presion_cilindro!$B$35)^(Presion_cilindro!$B$17+1)),0)</f>
        <v>0</v>
      </c>
      <c r="U310" s="10">
        <f>U309*(Presion_cilindro!O308/Presion_cilindro!O309)^Presion_cilindro!$B$9+10*(Presion_cilindro!$B$9-1)*Presion_cilindro!$B$33*(T310-T309)/((Presion_cilindro!O308+Presion_cilindro!O309)/2)</f>
        <v>7.9330382459174604</v>
      </c>
    </row>
    <row r="311" spans="14:21" x14ac:dyDescent="0.25">
      <c r="N311" s="8">
        <f>-Presion_cilindro!N310</f>
        <v>27</v>
      </c>
      <c r="O311" s="9">
        <f>IF(Presion_cilindro!N310&gt;$B$12,1-EXP(-Presion_cilindro!$B$16*((Presion_cilindro!N310-$B$12)/Presion_cilindro!$B$35)^(Presion_cilindro!$B$17+1)),0)</f>
        <v>0</v>
      </c>
      <c r="P311" s="10">
        <f>P310*(Presion_cilindro!O309/Presion_cilindro!O310)^Presion_cilindro!$B$9+10*(Presion_cilindro!$B$9-1)*Presion_cilindro!$B$33*(O311-O310)/((Presion_cilindro!O309+Presion_cilindro!O310)/2)</f>
        <v>8.080163847805947</v>
      </c>
      <c r="Q311" s="9">
        <f>IF(OR($B$9=0,Presion_cilindro!N310&lt;=$B$15),IF(Presion_cilindro!N310&gt;$B$13,1-EXP(-Presion_cilindro!$B$16*((Presion_cilindro!N310-$B$13)/Presion_cilindro!$B$35)^(Presion_cilindro!$B$17+1)),0),$B$8+(1-$B$8)*(1-EXP(-(Presion_cilindro!N310-$B$15)/Presion_cilindro!$B$23)))</f>
        <v>0.14923592520282514</v>
      </c>
      <c r="R311" s="10">
        <f>R310*(Presion_cilindro!O309/Presion_cilindro!O310)^Presion_cilindro!$B$9+10*(Presion_cilindro!$B$9-1)*Presion_cilindro!$B$33*(Q311-Q310)/((Presion_cilindro!O309+Presion_cilindro!O310)/2)</f>
        <v>11.099028863059786</v>
      </c>
      <c r="S311" s="10">
        <f>R311+IF(AND($B$9=1,Presion_cilindro!N310&gt;$B$15),Presion_cilindro!$B$24*2.5*EXP(-(Presion_cilindro!N310-$B$15)/Presion_cilindro!$B$26)*SIN(2*PI()*(Presion_cilindro!N310-$B$15)/Presion_cilindro!$B$39),0)</f>
        <v>11.099028863059786</v>
      </c>
      <c r="T311" s="9">
        <f>IF(Presion_cilindro!N310&gt;$B$14,1-EXP(-Presion_cilindro!$B$16*((Presion_cilindro!N310-$B$14)/Presion_cilindro!$B$35)^(Presion_cilindro!$B$17+1)),0)</f>
        <v>0</v>
      </c>
      <c r="U311" s="10">
        <f>U310*(Presion_cilindro!O309/Presion_cilindro!O310)^Presion_cilindro!$B$9+10*(Presion_cilindro!$B$9-1)*Presion_cilindro!$B$33*(T311-T310)/((Presion_cilindro!O309+Presion_cilindro!O310)/2)</f>
        <v>8.080163847805947</v>
      </c>
    </row>
    <row r="312" spans="14:21" x14ac:dyDescent="0.25">
      <c r="N312" s="8">
        <f>-Presion_cilindro!N311</f>
        <v>26.5</v>
      </c>
      <c r="O312" s="9">
        <f>IF(Presion_cilindro!N311&gt;$B$12,1-EXP(-Presion_cilindro!$B$16*((Presion_cilindro!N311-$B$12)/Presion_cilindro!$B$35)^(Presion_cilindro!$B$17+1)),0)</f>
        <v>0</v>
      </c>
      <c r="P312" s="10">
        <f>P311*(Presion_cilindro!O310/Presion_cilindro!O311)^Presion_cilindro!$B$9+10*(Presion_cilindro!$B$9-1)*Presion_cilindro!$B$33*(O312-O311)/((Presion_cilindro!O310+Presion_cilindro!O311)/2)</f>
        <v>8.2296435123565956</v>
      </c>
      <c r="Q312" s="9">
        <f>IF(OR($B$9=0,Presion_cilindro!N311&lt;=$B$15),IF(Presion_cilindro!N311&gt;$B$13,1-EXP(-Presion_cilindro!$B$16*((Presion_cilindro!N311-$B$13)/Presion_cilindro!$B$35)^(Presion_cilindro!$B$17+1)),0),$B$8+(1-$B$8)*(1-EXP(-(Presion_cilindro!N311-$B$15)/Presion_cilindro!$B$23)))</f>
        <v>0.16260116373191502</v>
      </c>
      <c r="R312" s="10">
        <f>R311*(Presion_cilindro!O310/Presion_cilindro!O311)^Presion_cilindro!$B$9+10*(Presion_cilindro!$B$9-1)*Presion_cilindro!$B$33*(Q312-Q311)/((Presion_cilindro!O310+Presion_cilindro!O311)/2)</f>
        <v>11.568909345608125</v>
      </c>
      <c r="S312" s="10">
        <f>R312+IF(AND($B$9=1,Presion_cilindro!N311&gt;$B$15),Presion_cilindro!$B$24*2.5*EXP(-(Presion_cilindro!N311-$B$15)/Presion_cilindro!$B$26)*SIN(2*PI()*(Presion_cilindro!N311-$B$15)/Presion_cilindro!$B$39),0)</f>
        <v>11.568909345608125</v>
      </c>
      <c r="T312" s="9">
        <f>IF(Presion_cilindro!N311&gt;$B$14,1-EXP(-Presion_cilindro!$B$16*((Presion_cilindro!N311-$B$14)/Presion_cilindro!$B$35)^(Presion_cilindro!$B$17+1)),0)</f>
        <v>0</v>
      </c>
      <c r="U312" s="10">
        <f>U311*(Presion_cilindro!O310/Presion_cilindro!O311)^Presion_cilindro!$B$9+10*(Presion_cilindro!$B$9-1)*Presion_cilindro!$B$33*(T312-T311)/((Presion_cilindro!O310+Presion_cilindro!O311)/2)</f>
        <v>8.2296435123565956</v>
      </c>
    </row>
    <row r="313" spans="14:21" x14ac:dyDescent="0.25">
      <c r="N313" s="8">
        <f>-Presion_cilindro!N312</f>
        <v>26</v>
      </c>
      <c r="O313" s="9">
        <f>IF(Presion_cilindro!N312&gt;$B$12,1-EXP(-Presion_cilindro!$B$16*((Presion_cilindro!N312-$B$12)/Presion_cilindro!$B$35)^(Presion_cilindro!$B$17+1)),0)</f>
        <v>0</v>
      </c>
      <c r="P313" s="10">
        <f>P312*(Presion_cilindro!O311/Presion_cilindro!O312)^Presion_cilindro!$B$9+10*(Presion_cilindro!$B$9-1)*Presion_cilindro!$B$33*(O313-O312)/((Presion_cilindro!O311+Presion_cilindro!O312)/2)</f>
        <v>8.381442258307171</v>
      </c>
      <c r="Q313" s="9">
        <f>IF(OR($B$9=0,Presion_cilindro!N312&lt;=$B$15),IF(Presion_cilindro!N312&gt;$B$13,1-EXP(-Presion_cilindro!$B$16*((Presion_cilindro!N312-$B$13)/Presion_cilindro!$B$35)^(Presion_cilindro!$B$17+1)),0),$B$8+(1-$B$8)*(1-EXP(-(Presion_cilindro!N312-$B$15)/Presion_cilindro!$B$23)))</f>
        <v>0.17658179558771436</v>
      </c>
      <c r="R313" s="10">
        <f>R312*(Presion_cilindro!O311/Presion_cilindro!O312)^Presion_cilindro!$B$9+10*(Presion_cilindro!$B$9-1)*Presion_cilindro!$B$33*(Q313-Q312)/((Presion_cilindro!O311+Presion_cilindro!O312)/2)</f>
        <v>12.062871175398024</v>
      </c>
      <c r="S313" s="10">
        <f>R313+IF(AND($B$9=1,Presion_cilindro!N312&gt;$B$15),Presion_cilindro!$B$24*2.5*EXP(-(Presion_cilindro!N312-$B$15)/Presion_cilindro!$B$26)*SIN(2*PI()*(Presion_cilindro!N312-$B$15)/Presion_cilindro!$B$39),0)</f>
        <v>12.062871175398024</v>
      </c>
      <c r="T313" s="9">
        <f>IF(Presion_cilindro!N312&gt;$B$14,1-EXP(-Presion_cilindro!$B$16*((Presion_cilindro!N312-$B$14)/Presion_cilindro!$B$35)^(Presion_cilindro!$B$17+1)),0)</f>
        <v>0</v>
      </c>
      <c r="U313" s="10">
        <f>U312*(Presion_cilindro!O311/Presion_cilindro!O312)^Presion_cilindro!$B$9+10*(Presion_cilindro!$B$9-1)*Presion_cilindro!$B$33*(T313-T312)/((Presion_cilindro!O311+Presion_cilindro!O312)/2)</f>
        <v>8.381442258307171</v>
      </c>
    </row>
    <row r="314" spans="14:21" x14ac:dyDescent="0.25">
      <c r="N314" s="8">
        <f>-Presion_cilindro!N313</f>
        <v>25.5</v>
      </c>
      <c r="O314" s="9">
        <f>IF(Presion_cilindro!N313&gt;$B$12,1-EXP(-Presion_cilindro!$B$16*((Presion_cilindro!N313-$B$12)/Presion_cilindro!$B$35)^(Presion_cilindro!$B$17+1)),0)</f>
        <v>0</v>
      </c>
      <c r="P314" s="10">
        <f>P313*(Presion_cilindro!O312/Presion_cilindro!O313)^Presion_cilindro!$B$9+10*(Presion_cilindro!$B$9-1)*Presion_cilindro!$B$33*(O314-O313)/((Presion_cilindro!O312+Presion_cilindro!O313)/2)</f>
        <v>8.5355181382400183</v>
      </c>
      <c r="Q314" s="9">
        <f>IF(OR($B$9=0,Presion_cilindro!N313&lt;=$B$15),IF(Presion_cilindro!N313&gt;$B$13,1-EXP(-Presion_cilindro!$B$16*((Presion_cilindro!N313-$B$13)/Presion_cilindro!$B$35)^(Presion_cilindro!$B$17+1)),0),$B$8+(1-$B$8)*(1-EXP(-(Presion_cilindro!N313-$B$15)/Presion_cilindro!$B$23)))</f>
        <v>0.1911646385253758</v>
      </c>
      <c r="R314" s="10">
        <f>R313*(Presion_cilindro!O312/Presion_cilindro!O313)^Presion_cilindro!$B$9+10*(Presion_cilindro!$B$9-1)*Presion_cilindro!$B$33*(Q314-Q313)/((Presion_cilindro!O312+Presion_cilindro!O313)/2)</f>
        <v>12.581319961955387</v>
      </c>
      <c r="S314" s="10">
        <f>R314+IF(AND($B$9=1,Presion_cilindro!N313&gt;$B$15),Presion_cilindro!$B$24*2.5*EXP(-(Presion_cilindro!N313-$B$15)/Presion_cilindro!$B$26)*SIN(2*PI()*(Presion_cilindro!N313-$B$15)/Presion_cilindro!$B$39),0)</f>
        <v>12.581319961955387</v>
      </c>
      <c r="T314" s="9">
        <f>IF(Presion_cilindro!N313&gt;$B$14,1-EXP(-Presion_cilindro!$B$16*((Presion_cilindro!N313-$B$14)/Presion_cilindro!$B$35)^(Presion_cilindro!$B$17+1)),0)</f>
        <v>0</v>
      </c>
      <c r="U314" s="10">
        <f>U313*(Presion_cilindro!O312/Presion_cilindro!O313)^Presion_cilindro!$B$9+10*(Presion_cilindro!$B$9-1)*Presion_cilindro!$B$33*(T314-T313)/((Presion_cilindro!O312+Presion_cilindro!O313)/2)</f>
        <v>8.5355181382400183</v>
      </c>
    </row>
    <row r="315" spans="14:21" x14ac:dyDescent="0.25">
      <c r="N315" s="8">
        <f>-Presion_cilindro!N314</f>
        <v>25</v>
      </c>
      <c r="O315" s="9">
        <f>IF(Presion_cilindro!N314&gt;$B$12,1-EXP(-Presion_cilindro!$B$16*((Presion_cilindro!N314-$B$12)/Presion_cilindro!$B$35)^(Presion_cilindro!$B$17+1)),0)</f>
        <v>0</v>
      </c>
      <c r="P315" s="10">
        <f>P314*(Presion_cilindro!O313/Presion_cilindro!O314)^Presion_cilindro!$B$9+10*(Presion_cilindro!$B$9-1)*Presion_cilindro!$B$33*(O315-O314)/((Presion_cilindro!O313+Presion_cilindro!O314)/2)</f>
        <v>8.6918218060164509</v>
      </c>
      <c r="Q315" s="9">
        <f>IF(OR($B$9=0,Presion_cilindro!N314&lt;=$B$15),IF(Presion_cilindro!N314&gt;$B$13,1-EXP(-Presion_cilindro!$B$16*((Presion_cilindro!N314-$B$13)/Presion_cilindro!$B$35)^(Presion_cilindro!$B$17+1)),0),$B$8+(1-$B$8)*(1-EXP(-(Presion_cilindro!N314-$B$15)/Presion_cilindro!$B$23)))</f>
        <v>0.20633358443808381</v>
      </c>
      <c r="R315" s="10">
        <f>R314*(Presion_cilindro!O313/Presion_cilindro!O314)^Presion_cilindro!$B$9+10*(Presion_cilindro!$B$9-1)*Presion_cilindro!$B$33*(Q315-Q314)/((Presion_cilindro!O313+Presion_cilindro!O314)/2)</f>
        <v>13.124580791830818</v>
      </c>
      <c r="S315" s="10">
        <f>R315+IF(AND($B$9=1,Presion_cilindro!N314&gt;$B$15),Presion_cilindro!$B$24*2.5*EXP(-(Presion_cilindro!N314-$B$15)/Presion_cilindro!$B$26)*SIN(2*PI()*(Presion_cilindro!N314-$B$15)/Presion_cilindro!$B$39),0)</f>
        <v>13.124580791830818</v>
      </c>
      <c r="T315" s="9">
        <f>IF(Presion_cilindro!N314&gt;$B$14,1-EXP(-Presion_cilindro!$B$16*((Presion_cilindro!N314-$B$14)/Presion_cilindro!$B$35)^(Presion_cilindro!$B$17+1)),0)</f>
        <v>0</v>
      </c>
      <c r="U315" s="10">
        <f>U314*(Presion_cilindro!O313/Presion_cilindro!O314)^Presion_cilindro!$B$9+10*(Presion_cilindro!$B$9-1)*Presion_cilindro!$B$33*(T315-T314)/((Presion_cilindro!O313+Presion_cilindro!O314)/2)</f>
        <v>8.6918218060164509</v>
      </c>
    </row>
    <row r="316" spans="14:21" x14ac:dyDescent="0.25">
      <c r="N316" s="8">
        <f>-Presion_cilindro!N315</f>
        <v>24.5</v>
      </c>
      <c r="O316" s="9">
        <f>IF(Presion_cilindro!N315&gt;$B$12,1-EXP(-Presion_cilindro!$B$16*((Presion_cilindro!N315-$B$12)/Presion_cilindro!$B$35)^(Presion_cilindro!$B$17+1)),0)</f>
        <v>0</v>
      </c>
      <c r="P316" s="10">
        <f>P315*(Presion_cilindro!O314/Presion_cilindro!O315)^Presion_cilindro!$B$9+10*(Presion_cilindro!$B$9-1)*Presion_cilindro!$B$33*(O316-O315)/((Presion_cilindro!O314+Presion_cilindro!O315)/2)</f>
        <v>8.8502960784148286</v>
      </c>
      <c r="Q316" s="9">
        <f>IF(OR($B$9=0,Presion_cilindro!N315&lt;=$B$15),IF(Presion_cilindro!N315&gt;$B$13,1-EXP(-Presion_cilindro!$B$16*((Presion_cilindro!N315-$B$13)/Presion_cilindro!$B$35)^(Presion_cilindro!$B$17+1)),0),$B$8+(1-$B$8)*(1-EXP(-(Presion_cilindro!N315-$B$15)/Presion_cilindro!$B$23)))</f>
        <v>0.22206960969810596</v>
      </c>
      <c r="R316" s="10">
        <f>R315*(Presion_cilindro!O314/Presion_cilindro!O315)^Presion_cilindro!$B$9+10*(Presion_cilindro!$B$9-1)*Presion_cilindro!$B$33*(Q316-Q315)/((Presion_cilindro!O314+Presion_cilindro!O315)/2)</f>
        <v>13.692891028886555</v>
      </c>
      <c r="S316" s="10">
        <f>R316+IF(AND($B$9=1,Presion_cilindro!N315&gt;$B$15),Presion_cilindro!$B$24*2.5*EXP(-(Presion_cilindro!N315-$B$15)/Presion_cilindro!$B$26)*SIN(2*PI()*(Presion_cilindro!N315-$B$15)/Presion_cilindro!$B$39),0)</f>
        <v>13.692891028886555</v>
      </c>
      <c r="T316" s="9">
        <f>IF(Presion_cilindro!N315&gt;$B$14,1-EXP(-Presion_cilindro!$B$16*((Presion_cilindro!N315-$B$14)/Presion_cilindro!$B$35)^(Presion_cilindro!$B$17+1)),0)</f>
        <v>0</v>
      </c>
      <c r="U316" s="10">
        <f>U315*(Presion_cilindro!O314/Presion_cilindro!O315)^Presion_cilindro!$B$9+10*(Presion_cilindro!$B$9-1)*Presion_cilindro!$B$33*(T316-T315)/((Presion_cilindro!O314+Presion_cilindro!O315)/2)</f>
        <v>8.8502960784148286</v>
      </c>
    </row>
    <row r="317" spans="14:21" x14ac:dyDescent="0.25">
      <c r="N317" s="8">
        <f>-Presion_cilindro!N316</f>
        <v>24</v>
      </c>
      <c r="O317" s="9">
        <f>IF(Presion_cilindro!N316&gt;$B$12,1-EXP(-Presion_cilindro!$B$16*((Presion_cilindro!N316-$B$12)/Presion_cilindro!$B$35)^(Presion_cilindro!$B$17+1)),0)</f>
        <v>0</v>
      </c>
      <c r="P317" s="10">
        <f>P316*(Presion_cilindro!O315/Presion_cilindro!O316)^Presion_cilindro!$B$9+10*(Presion_cilindro!$B$9-1)*Presion_cilindro!$B$33*(O317-O316)/((Presion_cilindro!O315+Presion_cilindro!O316)/2)</f>
        <v>9.0108754933457398</v>
      </c>
      <c r="Q317" s="9">
        <f>IF(OR($B$9=0,Presion_cilindro!N316&lt;=$B$15),IF(Presion_cilindro!N316&gt;$B$13,1-EXP(-Presion_cilindro!$B$16*((Presion_cilindro!N316-$B$13)/Presion_cilindro!$B$35)^(Presion_cilindro!$B$17+1)),0),$B$8+(1-$B$8)*(1-EXP(-(Presion_cilindro!N316-$B$15)/Presion_cilindro!$B$23)))</f>
        <v>0.23835080599750613</v>
      </c>
      <c r="R317" s="10">
        <f>R316*(Presion_cilindro!O315/Presion_cilindro!O316)^Presion_cilindro!$B$9+10*(Presion_cilindro!$B$9-1)*Presion_cilindro!$B$33*(Q317-Q316)/((Presion_cilindro!O315+Presion_cilindro!O316)/2)</f>
        <v>14.286393263117974</v>
      </c>
      <c r="S317" s="10">
        <f>R317+IF(AND($B$9=1,Presion_cilindro!N316&gt;$B$15),Presion_cilindro!$B$24*2.5*EXP(-(Presion_cilindro!N316-$B$15)/Presion_cilindro!$B$26)*SIN(2*PI()*(Presion_cilindro!N316-$B$15)/Presion_cilindro!$B$39),0)</f>
        <v>14.286393263117974</v>
      </c>
      <c r="T317" s="9">
        <f>IF(Presion_cilindro!N316&gt;$B$14,1-EXP(-Presion_cilindro!$B$16*((Presion_cilindro!N316-$B$14)/Presion_cilindro!$B$35)^(Presion_cilindro!$B$17+1)),0)</f>
        <v>0</v>
      </c>
      <c r="U317" s="10">
        <f>U316*(Presion_cilindro!O315/Presion_cilindro!O316)^Presion_cilindro!$B$9+10*(Presion_cilindro!$B$9-1)*Presion_cilindro!$B$33*(T317-T316)/((Presion_cilindro!O315+Presion_cilindro!O316)/2)</f>
        <v>9.0108754933457398</v>
      </c>
    </row>
    <row r="318" spans="14:21" x14ac:dyDescent="0.25">
      <c r="N318" s="8">
        <f>-Presion_cilindro!N317</f>
        <v>23.5</v>
      </c>
      <c r="O318" s="9">
        <f>IF(Presion_cilindro!N317&gt;$B$12,1-EXP(-Presion_cilindro!$B$16*((Presion_cilindro!N317-$B$12)/Presion_cilindro!$B$35)^(Presion_cilindro!$B$17+1)),0)</f>
        <v>0</v>
      </c>
      <c r="P318" s="10">
        <f>P317*(Presion_cilindro!O316/Presion_cilindro!O317)^Presion_cilindro!$B$9+10*(Presion_cilindro!$B$9-1)*Presion_cilindro!$B$33*(O318-O317)/((Presion_cilindro!O316+Presion_cilindro!O317)/2)</f>
        <v>9.173485867358151</v>
      </c>
      <c r="Q318" s="9">
        <f>IF(OR($B$9=0,Presion_cilindro!N317&lt;=$B$15),IF(Presion_cilindro!N317&gt;$B$13,1-EXP(-Presion_cilindro!$B$16*((Presion_cilindro!N317-$B$13)/Presion_cilindro!$B$35)^(Presion_cilindro!$B$17+1)),0),$B$8+(1-$B$8)*(1-EXP(-(Presion_cilindro!N317-$B$15)/Presion_cilindro!$B$23)))</f>
        <v>0.25515243242712271</v>
      </c>
      <c r="R318" s="10">
        <f>R317*(Presion_cilindro!O316/Presion_cilindro!O317)^Presion_cilindro!$B$9+10*(Presion_cilindro!$B$9-1)*Presion_cilindro!$B$33*(Q318-Q317)/((Presion_cilindro!O316+Presion_cilindro!O317)/2)</f>
        <v>14.905128487299612</v>
      </c>
      <c r="S318" s="10">
        <f>R318+IF(AND($B$9=1,Presion_cilindro!N317&gt;$B$15),Presion_cilindro!$B$24*2.5*EXP(-(Presion_cilindro!N317-$B$15)/Presion_cilindro!$B$26)*SIN(2*PI()*(Presion_cilindro!N317-$B$15)/Presion_cilindro!$B$39),0)</f>
        <v>14.905128487299612</v>
      </c>
      <c r="T318" s="9">
        <f>IF(Presion_cilindro!N317&gt;$B$14,1-EXP(-Presion_cilindro!$B$16*((Presion_cilindro!N317-$B$14)/Presion_cilindro!$B$35)^(Presion_cilindro!$B$17+1)),0)</f>
        <v>0</v>
      </c>
      <c r="U318" s="10">
        <f>U317*(Presion_cilindro!O316/Presion_cilindro!O317)^Presion_cilindro!$B$9+10*(Presion_cilindro!$B$9-1)*Presion_cilindro!$B$33*(T318-T317)/((Presion_cilindro!O316+Presion_cilindro!O317)/2)</f>
        <v>9.173485867358151</v>
      </c>
    </row>
    <row r="319" spans="14:21" x14ac:dyDescent="0.25">
      <c r="N319" s="8">
        <f>-Presion_cilindro!N318</f>
        <v>23</v>
      </c>
      <c r="O319" s="9">
        <f>IF(Presion_cilindro!N318&gt;$B$12,1-EXP(-Presion_cilindro!$B$16*((Presion_cilindro!N318-$B$12)/Presion_cilindro!$B$35)^(Presion_cilindro!$B$17+1)),0)</f>
        <v>0</v>
      </c>
      <c r="P319" s="10">
        <f>P318*(Presion_cilindro!O317/Presion_cilindro!O318)^Presion_cilindro!$B$9+10*(Presion_cilindro!$B$9-1)*Presion_cilindro!$B$33*(O319-O318)/((Presion_cilindro!O317+Presion_cilindro!O318)/2)</f>
        <v>9.3380438555080385</v>
      </c>
      <c r="Q319" s="9">
        <f>IF(OR($B$9=0,Presion_cilindro!N318&lt;=$B$15),IF(Presion_cilindro!N318&gt;$B$13,1-EXP(-Presion_cilindro!$B$16*((Presion_cilindro!N318-$B$13)/Presion_cilindro!$B$35)^(Presion_cilindro!$B$17+1)),0),$B$8+(1-$B$8)*(1-EXP(-(Presion_cilindro!N318-$B$15)/Presion_cilindro!$B$23)))</f>
        <v>0.27244698933073486</v>
      </c>
      <c r="R319" s="10">
        <f>R318*(Presion_cilindro!O317/Presion_cilindro!O318)^Presion_cilindro!$B$9+10*(Presion_cilindro!$B$9-1)*Presion_cilindro!$B$33*(Q319-Q318)/((Presion_cilindro!O317+Presion_cilindro!O318)/2)</f>
        <v>15.549029584658108</v>
      </c>
      <c r="S319" s="10">
        <f>R319+IF(AND($B$9=1,Presion_cilindro!N318&gt;$B$15),Presion_cilindro!$B$24*2.5*EXP(-(Presion_cilindro!N318-$B$15)/Presion_cilindro!$B$26)*SIN(2*PI()*(Presion_cilindro!N318-$B$15)/Presion_cilindro!$B$39),0)</f>
        <v>15.549029584658108</v>
      </c>
      <c r="T319" s="9">
        <f>IF(Presion_cilindro!N318&gt;$B$14,1-EXP(-Presion_cilindro!$B$16*((Presion_cilindro!N318-$B$14)/Presion_cilindro!$B$35)^(Presion_cilindro!$B$17+1)),0)</f>
        <v>0</v>
      </c>
      <c r="U319" s="10">
        <f>U318*(Presion_cilindro!O317/Presion_cilindro!O318)^Presion_cilindro!$B$9+10*(Presion_cilindro!$B$9-1)*Presion_cilindro!$B$33*(T319-T318)/((Presion_cilindro!O317+Presion_cilindro!O318)/2)</f>
        <v>9.3380438555080385</v>
      </c>
    </row>
    <row r="320" spans="14:21" x14ac:dyDescent="0.25">
      <c r="N320" s="8">
        <f>-Presion_cilindro!N319</f>
        <v>22.5</v>
      </c>
      <c r="O320" s="9">
        <f>IF(Presion_cilindro!N319&gt;$B$12,1-EXP(-Presion_cilindro!$B$16*((Presion_cilindro!N319-$B$12)/Presion_cilindro!$B$35)^(Presion_cilindro!$B$17+1)),0)</f>
        <v>1.1063397047372803E-6</v>
      </c>
      <c r="P320" s="10">
        <f>P319*(Presion_cilindro!O318/Presion_cilindro!O319)^Presion_cilindro!$B$9+10*(Presion_cilindro!$B$9-1)*Presion_cilindro!$B$33*(O320-O319)/((Presion_cilindro!O318+Presion_cilindro!O319)/2)</f>
        <v>9.5044809266756776</v>
      </c>
      <c r="Q320" s="9">
        <f>IF(OR($B$9=0,Presion_cilindro!N319&lt;=$B$15),IF(Presion_cilindro!N319&gt;$B$13,1-EXP(-Presion_cilindro!$B$16*((Presion_cilindro!N319-$B$13)/Presion_cilindro!$B$35)^(Presion_cilindro!$B$17+1)),0),$B$8+(1-$B$8)*(1-EXP(-(Presion_cilindro!N319-$B$15)/Presion_cilindro!$B$23)))</f>
        <v>0.29020431425069104</v>
      </c>
      <c r="R320" s="10">
        <f>R319*(Presion_cilindro!O318/Presion_cilindro!O319)^Presion_cilindro!$B$9+10*(Presion_cilindro!$B$9-1)*Presion_cilindro!$B$33*(Q320-Q319)/((Presion_cilindro!O318+Presion_cilindro!O319)/2)</f>
        <v>16.217915213878882</v>
      </c>
      <c r="S320" s="10">
        <f>R320+IF(AND($B$9=1,Presion_cilindro!N319&gt;$B$15),Presion_cilindro!$B$24*2.5*EXP(-(Presion_cilindro!N319-$B$15)/Presion_cilindro!$B$26)*SIN(2*PI()*(Presion_cilindro!N319-$B$15)/Presion_cilindro!$B$39),0)</f>
        <v>16.217915213878882</v>
      </c>
      <c r="T320" s="9">
        <f>IF(Presion_cilindro!N319&gt;$B$14,1-EXP(-Presion_cilindro!$B$16*((Presion_cilindro!N319-$B$14)/Presion_cilindro!$B$35)^(Presion_cilindro!$B$17+1)),0)</f>
        <v>0</v>
      </c>
      <c r="U320" s="10">
        <f>U319*(Presion_cilindro!O318/Presion_cilindro!O319)^Presion_cilindro!$B$9+10*(Presion_cilindro!$B$9-1)*Presion_cilindro!$B$33*(T320-T319)/((Presion_cilindro!O318+Presion_cilindro!O319)/2)</f>
        <v>9.5044565170328568</v>
      </c>
    </row>
    <row r="321" spans="14:21" x14ac:dyDescent="0.25">
      <c r="N321" s="8">
        <f>-Presion_cilindro!N320</f>
        <v>22</v>
      </c>
      <c r="O321" s="9">
        <f>IF(Presion_cilindro!N320&gt;$B$12,1-EXP(-Presion_cilindro!$B$16*((Presion_cilindro!N320-$B$12)/Presion_cilindro!$B$35)^(Presion_cilindro!$B$17+1)),0)</f>
        <v>2.0979270382137649E-5</v>
      </c>
      <c r="P321" s="10">
        <f>P320*(Presion_cilindro!O319/Presion_cilindro!O320)^Presion_cilindro!$B$9+10*(Presion_cilindro!$B$9-1)*Presion_cilindro!$B$33*(O321-O320)/((Presion_cilindro!O319+Presion_cilindro!O320)/2)</f>
        <v>9.6730900384594172</v>
      </c>
      <c r="Q321" s="9">
        <f>IF(OR($B$9=0,Presion_cilindro!N320&lt;=$B$15),IF(Presion_cilindro!N320&gt;$B$13,1-EXP(-Presion_cilindro!$B$16*((Presion_cilindro!N320-$B$13)/Presion_cilindro!$B$35)^(Presion_cilindro!$B$17+1)),0),$B$8+(1-$B$8)*(1-EXP(-(Presion_cilindro!N320-$B$15)/Presion_cilindro!$B$23)))</f>
        <v>0.30839170004378724</v>
      </c>
      <c r="R321" s="10">
        <f>R320*(Presion_cilindro!O319/Presion_cilindro!O320)^Presion_cilindro!$B$9+10*(Presion_cilindro!$B$9-1)*Presion_cilindro!$B$33*(Q321-Q320)/((Presion_cilindro!O319+Presion_cilindro!O320)/2)</f>
        <v>16.911484179920869</v>
      </c>
      <c r="S321" s="10">
        <f>R321+IF(AND($B$9=1,Presion_cilindro!N320&gt;$B$15),Presion_cilindro!$B$24*2.5*EXP(-(Presion_cilindro!N320-$B$15)/Presion_cilindro!$B$26)*SIN(2*PI()*(Presion_cilindro!N320-$B$15)/Presion_cilindro!$B$39),0)</f>
        <v>16.911484179920869</v>
      </c>
      <c r="T321" s="9">
        <f>IF(Presion_cilindro!N320&gt;$B$14,1-EXP(-Presion_cilindro!$B$16*((Presion_cilindro!N320-$B$14)/Presion_cilindro!$B$35)^(Presion_cilindro!$B$17+1)),0)</f>
        <v>0</v>
      </c>
      <c r="U321" s="10">
        <f>U320*(Presion_cilindro!O319/Presion_cilindro!O320)^Presion_cilindro!$B$9+10*(Presion_cilindro!$B$9-1)*Presion_cilindro!$B$33*(T321-T320)/((Presion_cilindro!O319+Presion_cilindro!O320)/2)</f>
        <v>9.6726208906595392</v>
      </c>
    </row>
    <row r="322" spans="14:21" x14ac:dyDescent="0.25">
      <c r="N322" s="8">
        <f>-Presion_cilindro!N321</f>
        <v>21.5</v>
      </c>
      <c r="O322" s="9">
        <f>IF(Presion_cilindro!N321&gt;$B$12,1-EXP(-Presion_cilindro!$B$16*((Presion_cilindro!N321-$B$12)/Presion_cilindro!$B$35)^(Presion_cilindro!$B$17+1)),0)</f>
        <v>9.0019269348484698E-5</v>
      </c>
      <c r="P322" s="10">
        <f>P321*(Presion_cilindro!O320/Presion_cilindro!O321)^Presion_cilindro!$B$9+10*(Presion_cilindro!$B$9-1)*Presion_cilindro!$B$33*(O322-O321)/((Presion_cilindro!O320+Presion_cilindro!O321)/2)</f>
        <v>9.8444649296246087</v>
      </c>
      <c r="Q322" s="9">
        <f>IF(OR($B$9=0,Presion_cilindro!N321&lt;=$B$15),IF(Presion_cilindro!N321&gt;$B$13,1-EXP(-Presion_cilindro!$B$16*((Presion_cilindro!N321-$B$13)/Presion_cilindro!$B$35)^(Presion_cilindro!$B$17+1)),0),$B$8+(1-$B$8)*(1-EXP(-(Presion_cilindro!N321-$B$15)/Presion_cilindro!$B$23)))</f>
        <v>0.32697403499444566</v>
      </c>
      <c r="R322" s="10">
        <f>R321*(Presion_cilindro!O320/Presion_cilindro!O321)^Presion_cilindro!$B$9+10*(Presion_cilindro!$B$9-1)*Presion_cilindro!$B$33*(Q322-Q321)/((Presion_cilindro!O320+Presion_cilindro!O321)/2)</f>
        <v>17.629310380211582</v>
      </c>
      <c r="S322" s="10">
        <f>R322+IF(AND($B$9=1,Presion_cilindro!N321&gt;$B$15),Presion_cilindro!$B$24*2.5*EXP(-(Presion_cilindro!N321-$B$15)/Presion_cilindro!$B$26)*SIN(2*PI()*(Presion_cilindro!N321-$B$15)/Presion_cilindro!$B$39),0)</f>
        <v>17.629310380211582</v>
      </c>
      <c r="T322" s="9">
        <f>IF(Presion_cilindro!N321&gt;$B$14,1-EXP(-Presion_cilindro!$B$16*((Presion_cilindro!N321-$B$14)/Presion_cilindro!$B$35)^(Presion_cilindro!$B$17+1)),0)</f>
        <v>0</v>
      </c>
      <c r="U322" s="10">
        <f>U321*(Presion_cilindro!O320/Presion_cilindro!O321)^Presion_cilindro!$B$9+10*(Presion_cilindro!$B$9-1)*Presion_cilindro!$B$33*(T322-T321)/((Presion_cilindro!O320+Presion_cilindro!O321)/2)</f>
        <v>9.8424235837635088</v>
      </c>
    </row>
    <row r="323" spans="14:21" x14ac:dyDescent="0.25">
      <c r="N323" s="8">
        <f>-Presion_cilindro!N322</f>
        <v>21</v>
      </c>
      <c r="O323" s="9">
        <f>IF(Presion_cilindro!N322&gt;$B$12,1-EXP(-Presion_cilindro!$B$16*((Presion_cilindro!N322-$B$12)/Presion_cilindro!$B$35)^(Presion_cilindro!$B$17+1)),0)</f>
        <v>2.3894095746990196E-4</v>
      </c>
      <c r="P323" s="10">
        <f>P322*(Presion_cilindro!O321/Presion_cilindro!O322)^Presion_cilindro!$B$9+10*(Presion_cilindro!$B$9-1)*Presion_cilindro!$B$33*(O323-O322)/((Presion_cilindro!O321+Presion_cilindro!O322)/2)</f>
        <v>10.019235023104711</v>
      </c>
      <c r="Q323" s="9">
        <f>IF(OR($B$9=0,Presion_cilindro!N322&lt;=$B$15),IF(Presion_cilindro!N322&gt;$B$13,1-EXP(-Presion_cilindro!$B$16*((Presion_cilindro!N322-$B$13)/Presion_cilindro!$B$35)^(Presion_cilindro!$B$17+1)),0),$B$8+(1-$B$8)*(1-EXP(-(Presion_cilindro!N322-$B$15)/Presion_cilindro!$B$23)))</f>
        <v>0.34591396448929279</v>
      </c>
      <c r="R323" s="10">
        <f>R322*(Presion_cilindro!O321/Presion_cilindro!O322)^Presion_cilindro!$B$9+10*(Presion_cilindro!$B$9-1)*Presion_cilindro!$B$33*(Q323-Q322)/((Presion_cilindro!O321+Presion_cilindro!O322)/2)</f>
        <v>18.370838415708334</v>
      </c>
      <c r="S323" s="10">
        <f>R323+IF(AND($B$9=1,Presion_cilindro!N322&gt;$B$15),Presion_cilindro!$B$24*2.5*EXP(-(Presion_cilindro!N322-$B$15)/Presion_cilindro!$B$26)*SIN(2*PI()*(Presion_cilindro!N322-$B$15)/Presion_cilindro!$B$39),0)</f>
        <v>18.370838415708334</v>
      </c>
      <c r="T323" s="9">
        <f>IF(Presion_cilindro!N322&gt;$B$14,1-EXP(-Presion_cilindro!$B$16*((Presion_cilindro!N322-$B$14)/Presion_cilindro!$B$35)^(Presion_cilindro!$B$17+1)),0)</f>
        <v>0</v>
      </c>
      <c r="U323" s="10">
        <f>U322*(Presion_cilindro!O321/Presion_cilindro!O322)^Presion_cilindro!$B$9+10*(Presion_cilindro!$B$9-1)*Presion_cilindro!$B$33*(T323-T322)/((Presion_cilindro!O321+Presion_cilindro!O322)/2)</f>
        <v>10.013740379990242</v>
      </c>
    </row>
    <row r="324" spans="14:21" x14ac:dyDescent="0.25">
      <c r="N324" s="8">
        <f>-Presion_cilindro!N323</f>
        <v>20.5</v>
      </c>
      <c r="O324" s="9">
        <f>IF(Presion_cilindro!N323&gt;$B$12,1-EXP(-Presion_cilindro!$B$16*((Presion_cilindro!N323-$B$12)/Presion_cilindro!$B$35)^(Presion_cilindro!$B$17+1)),0)</f>
        <v>4.9842547189649089E-4</v>
      </c>
      <c r="P324" s="10">
        <f>P323*(Presion_cilindro!O322/Presion_cilindro!O323)^Presion_cilindro!$B$9+10*(Presion_cilindro!$B$9-1)*Presion_cilindro!$B$33*(O324-O323)/((Presion_cilindro!O322+Presion_cilindro!O323)/2)</f>
        <v>10.198057880394828</v>
      </c>
      <c r="Q324" s="9">
        <f>IF(OR($B$9=0,Presion_cilindro!N323&lt;=$B$15),IF(Presion_cilindro!N323&gt;$B$13,1-EXP(-Presion_cilindro!$B$16*((Presion_cilindro!N323-$B$13)/Presion_cilindro!$B$35)^(Presion_cilindro!$B$17+1)),0),$B$8+(1-$B$8)*(1-EXP(-(Presion_cilindro!N323-$B$15)/Presion_cilindro!$B$23)))</f>
        <v>0.3651720735465056</v>
      </c>
      <c r="R324" s="10">
        <f>R323*(Presion_cilindro!O322/Presion_cilindro!O323)^Presion_cilindro!$B$9+10*(Presion_cilindro!$B$9-1)*Presion_cilindro!$B$33*(Q324-Q323)/((Presion_cilindro!O322+Presion_cilindro!O323)/2)</f>
        <v>19.135379954922357</v>
      </c>
      <c r="S324" s="10">
        <f>R324+IF(AND($B$9=1,Presion_cilindro!N323&gt;$B$15),Presion_cilindro!$B$24*2.5*EXP(-(Presion_cilindro!N323-$B$15)/Presion_cilindro!$B$26)*SIN(2*PI()*(Presion_cilindro!N323-$B$15)/Presion_cilindro!$B$39),0)</f>
        <v>19.135379954922357</v>
      </c>
      <c r="T324" s="9">
        <f>IF(Presion_cilindro!N323&gt;$B$14,1-EXP(-Presion_cilindro!$B$16*((Presion_cilindro!N323-$B$14)/Presion_cilindro!$B$35)^(Presion_cilindro!$B$17+1)),0)</f>
        <v>0</v>
      </c>
      <c r="U324" s="10">
        <f>U323*(Presion_cilindro!O322/Presion_cilindro!O323)^Presion_cilindro!$B$9+10*(Presion_cilindro!$B$9-1)*Presion_cilindro!$B$33*(T324-T323)/((Presion_cilindro!O322+Presion_cilindro!O323)/2)</f>
        <v>10.186435870339222</v>
      </c>
    </row>
    <row r="325" spans="14:21" x14ac:dyDescent="0.25">
      <c r="N325" s="8">
        <f>-Presion_cilindro!N324</f>
        <v>20</v>
      </c>
      <c r="O325" s="9">
        <f>IF(Presion_cilindro!N324&gt;$B$12,1-EXP(-Presion_cilindro!$B$16*((Presion_cilindro!N324-$B$12)/Presion_cilindro!$B$35)^(Presion_cilindro!$B$17+1)),0)</f>
        <v>8.9909122810327702E-4</v>
      </c>
      <c r="P325" s="10">
        <f>P324*(Presion_cilindro!O323/Presion_cilindro!O324)^Presion_cilindro!$B$9+10*(Presion_cilindro!$B$9-1)*Presion_cilindro!$B$33*(O325-O324)/((Presion_cilindro!O323+Presion_cilindro!O324)/2)</f>
        <v>10.381618344254658</v>
      </c>
      <c r="Q325" s="9">
        <f>IF(OR($B$9=0,Presion_cilindro!N324&lt;=$B$15),IF(Presion_cilindro!N324&gt;$B$13,1-EXP(-Presion_cilindro!$B$16*((Presion_cilindro!N324-$B$13)/Presion_cilindro!$B$35)^(Presion_cilindro!$B$17+1)),0),$B$8+(1-$B$8)*(1-EXP(-(Presion_cilindro!N324-$B$15)/Presion_cilindro!$B$23)))</f>
        <v>0.38470708921859798</v>
      </c>
      <c r="R325" s="10">
        <f>R324*(Presion_cilindro!O323/Presion_cilindro!O324)^Presion_cilindro!$B$9+10*(Presion_cilindro!$B$9-1)*Presion_cilindro!$B$33*(Q325-Q324)/((Presion_cilindro!O323+Presion_cilindro!O324)/2)</f>
        <v>19.922110936220353</v>
      </c>
      <c r="S325" s="10">
        <f>R325+IF(AND($B$9=1,Presion_cilindro!N324&gt;$B$15),Presion_cilindro!$B$24*2.5*EXP(-(Presion_cilindro!N324-$B$15)/Presion_cilindro!$B$26)*SIN(2*PI()*(Presion_cilindro!N324-$B$15)/Presion_cilindro!$B$39),0)</f>
        <v>19.922110936220353</v>
      </c>
      <c r="T325" s="9">
        <f>IF(Presion_cilindro!N324&gt;$B$14,1-EXP(-Presion_cilindro!$B$16*((Presion_cilindro!N324-$B$14)/Presion_cilindro!$B$35)^(Presion_cilindro!$B$17+1)),0)</f>
        <v>0</v>
      </c>
      <c r="U325" s="10">
        <f>U324*(Presion_cilindro!O323/Presion_cilindro!O324)^Presion_cilindro!$B$9+10*(Presion_cilindro!$B$9-1)*Presion_cilindro!$B$33*(T325-T324)/((Presion_cilindro!O323+Presion_cilindro!O324)/2)</f>
        <v>10.360363113089631</v>
      </c>
    </row>
    <row r="326" spans="14:21" x14ac:dyDescent="0.25">
      <c r="N326" s="8">
        <f>-Presion_cilindro!N325</f>
        <v>19.5</v>
      </c>
      <c r="O326" s="9">
        <f>IF(Presion_cilindro!N325&gt;$B$12,1-EXP(-Presion_cilindro!$B$16*((Presion_cilindro!N325-$B$12)/Presion_cilindro!$B$35)^(Presion_cilindro!$B$17+1)),0)</f>
        <v>1.4714553080121817E-3</v>
      </c>
      <c r="P326" s="10">
        <f>P325*(Presion_cilindro!O324/Presion_cilindro!O325)^Presion_cilindro!$B$9+10*(Presion_cilindro!$B$9-1)*Presion_cilindro!$B$33*(O326-O325)/((Presion_cilindro!O324+Presion_cilindro!O325)/2)</f>
        <v>10.570627228018875</v>
      </c>
      <c r="Q326" s="9">
        <f>IF(OR($B$9=0,Presion_cilindro!N325&lt;=$B$15),IF(Presion_cilindro!N325&gt;$B$13,1-EXP(-Presion_cilindro!$B$16*((Presion_cilindro!N325-$B$13)/Presion_cilindro!$B$35)^(Presion_cilindro!$B$17+1)),0),$B$8+(1-$B$8)*(1-EXP(-(Presion_cilindro!N325-$B$15)/Presion_cilindro!$B$23)))</f>
        <v>0.40447610161281067</v>
      </c>
      <c r="R326" s="10">
        <f>R325*(Presion_cilindro!O324/Presion_cilindro!O325)^Presion_cilindro!$B$9+10*(Presion_cilindro!$B$9-1)*Presion_cilindro!$B$33*(Q326-Q325)/((Presion_cilindro!O324+Presion_cilindro!O325)/2)</f>
        <v>20.730069689457967</v>
      </c>
      <c r="S326" s="10">
        <f>R326+IF(AND($B$9=1,Presion_cilindro!N325&gt;$B$15),Presion_cilindro!$B$24*2.5*EXP(-(Presion_cilindro!N325-$B$15)/Presion_cilindro!$B$26)*SIN(2*PI()*(Presion_cilindro!N325-$B$15)/Presion_cilindro!$B$39),0)</f>
        <v>20.730069689457967</v>
      </c>
      <c r="T326" s="9">
        <f>IF(Presion_cilindro!N325&gt;$B$14,1-EXP(-Presion_cilindro!$B$16*((Presion_cilindro!N325-$B$14)/Presion_cilindro!$B$35)^(Presion_cilindro!$B$17+1)),0)</f>
        <v>0</v>
      </c>
      <c r="U326" s="10">
        <f>U325*(Presion_cilindro!O324/Presion_cilindro!O325)^Presion_cilindro!$B$9+10*(Presion_cilindro!$B$9-1)*Presion_cilindro!$B$33*(T326-T325)/((Presion_cilindro!O324+Presion_cilindro!O325)/2)</f>
        <v>10.535363328307028</v>
      </c>
    </row>
    <row r="327" spans="14:21" x14ac:dyDescent="0.25">
      <c r="N327" s="8">
        <f>-Presion_cilindro!N326</f>
        <v>19</v>
      </c>
      <c r="O327" s="9">
        <f>IF(Presion_cilindro!N326&gt;$B$12,1-EXP(-Presion_cilindro!$B$16*((Presion_cilindro!N326-$B$12)/Presion_cilindro!$B$35)^(Presion_cilindro!$B$17+1)),0)</f>
        <v>2.2458855446901849E-3</v>
      </c>
      <c r="P327" s="10">
        <f>P326*(Presion_cilindro!O325/Presion_cilindro!O326)^Presion_cilindro!$B$9+10*(Presion_cilindro!$B$9-1)*Presion_cilindro!$B$33*(O327-O326)/((Presion_cilindro!O325+Presion_cilindro!O326)/2)</f>
        <v>10.765819516603242</v>
      </c>
      <c r="Q327" s="9">
        <f>IF(OR($B$9=0,Presion_cilindro!N326&lt;=$B$15),IF(Presion_cilindro!N326&gt;$B$13,1-EXP(-Presion_cilindro!$B$16*((Presion_cilindro!N326-$B$13)/Presion_cilindro!$B$35)^(Presion_cilindro!$B$17+1)),0),$B$8+(1-$B$8)*(1-EXP(-(Presion_cilindro!N326-$B$15)/Presion_cilindro!$B$23)))</f>
        <v>0.42443480200331707</v>
      </c>
      <c r="R327" s="10">
        <f>R326*(Presion_cilindro!O325/Presion_cilindro!O326)^Presion_cilindro!$B$9+10*(Presion_cilindro!$B$9-1)*Presion_cilindro!$B$33*(Q327-Q326)/((Presion_cilindro!O325+Presion_cilindro!O326)/2)</f>
        <v>21.558156052205639</v>
      </c>
      <c r="S327" s="10">
        <f>R327+IF(AND($B$9=1,Presion_cilindro!N326&gt;$B$15),Presion_cilindro!$B$24*2.5*EXP(-(Presion_cilindro!N326-$B$15)/Presion_cilindro!$B$26)*SIN(2*PI()*(Presion_cilindro!N326-$B$15)/Presion_cilindro!$B$39),0)</f>
        <v>21.558156052205639</v>
      </c>
      <c r="T327" s="9">
        <f>IF(Presion_cilindro!N326&gt;$B$14,1-EXP(-Presion_cilindro!$B$16*((Presion_cilindro!N326-$B$14)/Presion_cilindro!$B$35)^(Presion_cilindro!$B$17+1)),0)</f>
        <v>0</v>
      </c>
      <c r="U327" s="10">
        <f>U326*(Presion_cilindro!O325/Presion_cilindro!O326)^Presion_cilindro!$B$9+10*(Presion_cilindro!$B$9-1)*Presion_cilindro!$B$33*(T327-T326)/((Presion_cilindro!O325+Presion_cilindro!O326)/2)</f>
        <v>10.711265633003194</v>
      </c>
    </row>
    <row r="328" spans="14:21" x14ac:dyDescent="0.25">
      <c r="N328" s="8">
        <f>-Presion_cilindro!N327</f>
        <v>18.5</v>
      </c>
      <c r="O328" s="9">
        <f>IF(Presion_cilindro!N327&gt;$B$12,1-EXP(-Presion_cilindro!$B$16*((Presion_cilindro!N327-$B$12)/Presion_cilindro!$B$35)^(Presion_cilindro!$B$17+1)),0)</f>
        <v>3.2525434111949636E-3</v>
      </c>
      <c r="P328" s="10">
        <f>P327*(Presion_cilindro!O326/Presion_cilindro!O327)^Presion_cilindro!$B$9+10*(Presion_cilindro!$B$9-1)*Presion_cilindro!$B$33*(O328-O327)/((Presion_cilindro!O326+Presion_cilindro!O327)/2)</f>
        <v>10.96795204601537</v>
      </c>
      <c r="Q328" s="9">
        <f>IF(OR($B$9=0,Presion_cilindro!N327&lt;=$B$15),IF(Presion_cilindro!N327&gt;$B$13,1-EXP(-Presion_cilindro!$B$16*((Presion_cilindro!N327-$B$13)/Presion_cilindro!$B$35)^(Presion_cilindro!$B$17+1)),0),$B$8+(1-$B$8)*(1-EXP(-(Presion_cilindro!N327-$B$15)/Presion_cilindro!$B$23)))</f>
        <v>0.44453773624867621</v>
      </c>
      <c r="R328" s="10">
        <f>R327*(Presion_cilindro!O326/Presion_cilindro!O327)^Presion_cilindro!$B$9+10*(Presion_cilindro!$B$9-1)*Presion_cilindro!$B$33*(Q328-Q327)/((Presion_cilindro!O326+Presion_cilindro!O327)/2)</f>
        <v>22.405131548466258</v>
      </c>
      <c r="S328" s="10">
        <f>R328+IF(AND($B$9=1,Presion_cilindro!N327&gt;$B$15),Presion_cilindro!$B$24*2.5*EXP(-(Presion_cilindro!N327-$B$15)/Presion_cilindro!$B$26)*SIN(2*PI()*(Presion_cilindro!N327-$B$15)/Presion_cilindro!$B$39),0)</f>
        <v>22.405131548466258</v>
      </c>
      <c r="T328" s="9">
        <f>IF(Presion_cilindro!N327&gt;$B$14,1-EXP(-Presion_cilindro!$B$16*((Presion_cilindro!N327-$B$14)/Presion_cilindro!$B$35)^(Presion_cilindro!$B$17+1)),0)</f>
        <v>0</v>
      </c>
      <c r="U328" s="10">
        <f>U327*(Presion_cilindro!O326/Presion_cilindro!O327)^Presion_cilindro!$B$9+10*(Presion_cilindro!$B$9-1)*Presion_cilindro!$B$33*(T328-T327)/((Presion_cilindro!O326+Presion_cilindro!O327)/2)</f>
        <v>10.887886823317414</v>
      </c>
    </row>
    <row r="329" spans="14:21" x14ac:dyDescent="0.25">
      <c r="N329" s="8">
        <f>-Presion_cilindro!N328</f>
        <v>18</v>
      </c>
      <c r="O329" s="9">
        <f>IF(Presion_cilindro!N328&gt;$B$12,1-EXP(-Presion_cilindro!$B$16*((Presion_cilindro!N328-$B$12)/Presion_cilindro!$B$35)^(Presion_cilindro!$B$17+1)),0)</f>
        <v>4.5213178660201692E-3</v>
      </c>
      <c r="P329" s="10">
        <f>P328*(Presion_cilindro!O327/Presion_cilindro!O328)^Presion_cilindro!$B$9+10*(Presion_cilindro!$B$9-1)*Presion_cilindro!$B$33*(O329-O328)/((Presion_cilindro!O327+Presion_cilindro!O328)/2)</f>
        <v>11.177800630774877</v>
      </c>
      <c r="Q329" s="9">
        <f>IF(OR($B$9=0,Presion_cilindro!N328&lt;=$B$15),IF(Presion_cilindro!N328&gt;$B$13,1-EXP(-Presion_cilindro!$B$16*((Presion_cilindro!N328-$B$13)/Presion_cilindro!$B$35)^(Presion_cilindro!$B$17+1)),0),$B$8+(1-$B$8)*(1-EXP(-(Presion_cilindro!N328-$B$15)/Presion_cilindro!$B$23)))</f>
        <v>0.46473857148100961</v>
      </c>
      <c r="R329" s="10">
        <f>R328*(Presion_cilindro!O327/Presion_cilindro!O328)^Presion_cilindro!$B$9+10*(Presion_cilindro!$B$9-1)*Presion_cilindro!$B$33*(Q329-Q328)/((Presion_cilindro!O327+Presion_cilindro!O328)/2)</f>
        <v>23.269620688851344</v>
      </c>
      <c r="S329" s="10">
        <f>R329+IF(AND($B$9=1,Presion_cilindro!N328&gt;$B$15),Presion_cilindro!$B$24*2.5*EXP(-(Presion_cilindro!N328-$B$15)/Presion_cilindro!$B$26)*SIN(2*PI()*(Presion_cilindro!N328-$B$15)/Presion_cilindro!$B$39),0)</f>
        <v>23.269620688851344</v>
      </c>
      <c r="T329" s="9">
        <f>IF(Presion_cilindro!N328&gt;$B$14,1-EXP(-Presion_cilindro!$B$16*((Presion_cilindro!N328-$B$14)/Presion_cilindro!$B$35)^(Presion_cilindro!$B$17+1)),0)</f>
        <v>0</v>
      </c>
      <c r="U329" s="10">
        <f>U328*(Presion_cilindro!O327/Presion_cilindro!O328)^Presion_cilindro!$B$9+10*(Presion_cilindro!$B$9-1)*Presion_cilindro!$B$33*(T329-T328)/((Presion_cilindro!O327+Presion_cilindro!O328)/2)</f>
        <v>11.065031210336159</v>
      </c>
    </row>
    <row r="330" spans="14:21" x14ac:dyDescent="0.25">
      <c r="N330" s="8">
        <f>-Presion_cilindro!N329</f>
        <v>17.5</v>
      </c>
      <c r="O330" s="9">
        <f>IF(Presion_cilindro!N329&gt;$B$12,1-EXP(-Presion_cilindro!$B$16*((Presion_cilindro!N329-$B$12)/Presion_cilindro!$B$35)^(Presion_cilindro!$B$17+1)),0)</f>
        <v>6.0817503600422151E-3</v>
      </c>
      <c r="P330" s="10">
        <f>P329*(Presion_cilindro!O328/Presion_cilindro!O329)^Presion_cilindro!$B$9+10*(Presion_cilindro!$B$9-1)*Presion_cilindro!$B$33*(O330-O329)/((Presion_cilindro!O328+Presion_cilindro!O329)/2)</f>
        <v>11.396156612197132</v>
      </c>
      <c r="Q330" s="9">
        <f>IF(OR($B$9=0,Presion_cilindro!N329&lt;=$B$15),IF(Presion_cilindro!N329&gt;$B$13,1-EXP(-Presion_cilindro!$B$16*((Presion_cilindro!N329-$B$13)/Presion_cilindro!$B$35)^(Presion_cilindro!$B$17+1)),0),$B$8+(1-$B$8)*(1-EXP(-(Presion_cilindro!N329-$B$15)/Presion_cilindro!$B$23)))</f>
        <v>0.4849903738049729</v>
      </c>
      <c r="R330" s="10">
        <f>R329*(Presion_cilindro!O328/Presion_cilindro!O329)^Presion_cilindro!$B$9+10*(Presion_cilindro!$B$9-1)*Presion_cilindro!$B$33*(Q330-Q329)/((Presion_cilindro!O328+Presion_cilindro!O329)/2)</f>
        <v>24.150113440703223</v>
      </c>
      <c r="S330" s="10">
        <f>R330+IF(AND($B$9=1,Presion_cilindro!N329&gt;$B$15),Presion_cilindro!$B$24*2.5*EXP(-(Presion_cilindro!N329-$B$15)/Presion_cilindro!$B$26)*SIN(2*PI()*(Presion_cilindro!N329-$B$15)/Presion_cilindro!$B$39),0)</f>
        <v>24.150113440703223</v>
      </c>
      <c r="T330" s="9">
        <f>IF(Presion_cilindro!N329&gt;$B$14,1-EXP(-Presion_cilindro!$B$16*((Presion_cilindro!N329-$B$14)/Presion_cilindro!$B$35)^(Presion_cilindro!$B$17+1)),0)</f>
        <v>0</v>
      </c>
      <c r="U330" s="10">
        <f>U329*(Presion_cilindro!O328/Presion_cilindro!O329)^Presion_cilindro!$B$9+10*(Presion_cilindro!$B$9-1)*Presion_cilindro!$B$33*(T330-T329)/((Presion_cilindro!O328+Presion_cilindro!O329)/2)</f>
        <v>11.242490516356877</v>
      </c>
    </row>
    <row r="331" spans="14:21" x14ac:dyDescent="0.25">
      <c r="N331" s="8">
        <f>-Presion_cilindro!N330</f>
        <v>17</v>
      </c>
      <c r="O331" s="9">
        <f>IF(Presion_cilindro!N330&gt;$B$12,1-EXP(-Presion_cilindro!$B$16*((Presion_cilindro!N330-$B$12)/Presion_cilindro!$B$35)^(Presion_cilindro!$B$17+1)),0)</f>
        <v>7.9629512696117732E-3</v>
      </c>
      <c r="P331" s="10">
        <f>P330*(Presion_cilindro!O329/Presion_cilindro!O330)^Presion_cilindro!$B$9+10*(Presion_cilindro!$B$9-1)*Presion_cilindro!$B$33*(O331-O330)/((Presion_cilindro!O329+Presion_cilindro!O330)/2)</f>
        <v>11.623822805071502</v>
      </c>
      <c r="Q331" s="9">
        <f>IF(OR($B$9=0,Presion_cilindro!N330&lt;=$B$15),IF(Presion_cilindro!N330&gt;$B$13,1-EXP(-Presion_cilindro!$B$16*((Presion_cilindro!N330-$B$13)/Presion_cilindro!$B$35)^(Presion_cilindro!$B$17+1)),0),$B$8+(1-$B$8)*(1-EXP(-(Presion_cilindro!N330-$B$15)/Presion_cilindro!$B$23)))</f>
        <v>0.50524589453932089</v>
      </c>
      <c r="R331" s="10">
        <f>R330*(Presion_cilindro!O329/Presion_cilindro!O330)^Presion_cilindro!$B$9+10*(Presion_cilindro!$B$9-1)*Presion_cilindro!$B$33*(Q331-Q330)/((Presion_cilindro!O329+Presion_cilindro!O330)/2)</f>
        <v>25.044968904690915</v>
      </c>
      <c r="S331" s="10">
        <f>R331+IF(AND($B$9=1,Presion_cilindro!N330&gt;$B$15),Presion_cilindro!$B$24*2.5*EXP(-(Presion_cilindro!N330-$B$15)/Presion_cilindro!$B$26)*SIN(2*PI()*(Presion_cilindro!N330-$B$15)/Presion_cilindro!$B$39),0)</f>
        <v>25.044968904690915</v>
      </c>
      <c r="T331" s="9">
        <f>IF(Presion_cilindro!N330&gt;$B$14,1-EXP(-Presion_cilindro!$B$16*((Presion_cilindro!N330-$B$14)/Presion_cilindro!$B$35)^(Presion_cilindro!$B$17+1)),0)</f>
        <v>0</v>
      </c>
      <c r="U331" s="10">
        <f>U330*(Presion_cilindro!O329/Presion_cilindro!O330)^Presion_cilindro!$B$9+10*(Presion_cilindro!$B$9-1)*Presion_cilindro!$B$33*(T331-T330)/((Presion_cilindro!O329+Presion_cilindro!O330)/2)</f>
        <v>11.420043838520682</v>
      </c>
    </row>
    <row r="332" spans="14:21" x14ac:dyDescent="0.25">
      <c r="N332" s="8">
        <f>-Presion_cilindro!N331</f>
        <v>16.5</v>
      </c>
      <c r="O332" s="9">
        <f>IF(Presion_cilindro!N331&gt;$B$12,1-EXP(-Presion_cilindro!$B$16*((Presion_cilindro!N331-$B$12)/Presion_cilindro!$B$35)^(Presion_cilindro!$B$17+1)),0)</f>
        <v>1.0193508087048553E-2</v>
      </c>
      <c r="P332" s="10">
        <f>P331*(Presion_cilindro!O330/Presion_cilindro!O331)^Presion_cilindro!$B$9+10*(Presion_cilindro!$B$9-1)*Presion_cilindro!$B$33*(O332-O331)/((Presion_cilindro!O330+Presion_cilindro!O331)/2)</f>
        <v>11.861608825924817</v>
      </c>
      <c r="Q332" s="9">
        <f>IF(OR($B$9=0,Presion_cilindro!N331&lt;=$B$15),IF(Presion_cilindro!N331&gt;$B$13,1-EXP(-Presion_cilindro!$B$16*((Presion_cilindro!N331-$B$13)/Presion_cilindro!$B$35)^(Presion_cilindro!$B$17+1)),0),$B$8+(1-$B$8)*(1-EXP(-(Presion_cilindro!N331-$B$15)/Presion_cilindro!$B$23)))</f>
        <v>0.5254578623561672</v>
      </c>
      <c r="R332" s="10">
        <f>R331*(Presion_cilindro!O330/Presion_cilindro!O331)^Presion_cilindro!$B$9+10*(Presion_cilindro!$B$9-1)*Presion_cilindro!$B$33*(Q332-Q331)/((Presion_cilindro!O330+Presion_cilindro!O331)/2)</f>
        <v>25.95242022106083</v>
      </c>
      <c r="S332" s="10">
        <f>R332+IF(AND($B$9=1,Presion_cilindro!N331&gt;$B$15),Presion_cilindro!$B$24*2.5*EXP(-(Presion_cilindro!N331-$B$15)/Presion_cilindro!$B$26)*SIN(2*PI()*(Presion_cilindro!N331-$B$15)/Presion_cilindro!$B$39),0)</f>
        <v>25.95242022106083</v>
      </c>
      <c r="T332" s="9">
        <f>IF(Presion_cilindro!N331&gt;$B$14,1-EXP(-Presion_cilindro!$B$16*((Presion_cilindro!N331-$B$14)/Presion_cilindro!$B$35)^(Presion_cilindro!$B$17+1)),0)</f>
        <v>0</v>
      </c>
      <c r="U332" s="10">
        <f>U331*(Presion_cilindro!O330/Presion_cilindro!O331)^Presion_cilindro!$B$9+10*(Presion_cilindro!$B$9-1)*Presion_cilindro!$B$33*(T332-T331)/((Presion_cilindro!O330+Presion_cilindro!O331)/2)</f>
        <v>11.597457686773055</v>
      </c>
    </row>
    <row r="333" spans="14:21" x14ac:dyDescent="0.25">
      <c r="N333" s="8">
        <f>-Presion_cilindro!N332</f>
        <v>16</v>
      </c>
      <c r="O333" s="9">
        <f>IF(Presion_cilindro!N332&gt;$B$12,1-EXP(-Presion_cilindro!$B$16*((Presion_cilindro!N332-$B$12)/Presion_cilindro!$B$35)^(Presion_cilindro!$B$17+1)),0)</f>
        <v>1.2801385772809981E-2</v>
      </c>
      <c r="P333" s="10">
        <f>P332*(Presion_cilindro!O331/Presion_cilindro!O332)^Presion_cilindro!$B$9+10*(Presion_cilindro!$B$9-1)*Presion_cilindro!$B$33*(O333-O332)/((Presion_cilindro!O331+Presion_cilindro!O332)/2)</f>
        <v>12.110325792848352</v>
      </c>
      <c r="Q333" s="9">
        <f>IF(OR($B$9=0,Presion_cilindro!N332&lt;=$B$15),IF(Presion_cilindro!N332&gt;$B$13,1-EXP(-Presion_cilindro!$B$16*((Presion_cilindro!N332-$B$13)/Presion_cilindro!$B$35)^(Presion_cilindro!$B$17+1)),0),$B$8+(1-$B$8)*(1-EXP(-(Presion_cilindro!N332-$B$15)/Presion_cilindro!$B$23)))</f>
        <v>0.5455792785270176</v>
      </c>
      <c r="R333" s="10">
        <f>R332*(Presion_cilindro!O331/Presion_cilindro!O332)^Presion_cilindro!$B$9+10*(Presion_cilindro!$B$9-1)*Presion_cilindro!$B$33*(Q333-Q332)/((Presion_cilindro!O331+Presion_cilindro!O332)/2)</f>
        <v>26.870580714132366</v>
      </c>
      <c r="S333" s="10">
        <f>R333+IF(AND($B$9=1,Presion_cilindro!N332&gt;$B$15),Presion_cilindro!$B$24*2.5*EXP(-(Presion_cilindro!N332-$B$15)/Presion_cilindro!$B$26)*SIN(2*PI()*(Presion_cilindro!N332-$B$15)/Presion_cilindro!$B$39),0)</f>
        <v>26.870580714132366</v>
      </c>
      <c r="T333" s="9">
        <f>IF(Presion_cilindro!N332&gt;$B$14,1-EXP(-Presion_cilindro!$B$16*((Presion_cilindro!N332-$B$14)/Presion_cilindro!$B$35)^(Presion_cilindro!$B$17+1)),0)</f>
        <v>0</v>
      </c>
      <c r="U333" s="10">
        <f>U332*(Presion_cilindro!O331/Presion_cilindro!O332)^Presion_cilindro!$B$9+10*(Presion_cilindro!$B$9-1)*Presion_cilindro!$B$33*(T333-T332)/((Presion_cilindro!O331+Presion_cilindro!O332)/2)</f>
        <v>11.774486103051757</v>
      </c>
    </row>
    <row r="334" spans="14:21" x14ac:dyDescent="0.25">
      <c r="N334" s="8">
        <f>-Presion_cilindro!N333</f>
        <v>15.5</v>
      </c>
      <c r="O334" s="9">
        <f>IF(Presion_cilindro!N333&gt;$B$12,1-EXP(-Presion_cilindro!$B$16*((Presion_cilindro!N333-$B$12)/Presion_cilindro!$B$35)^(Presion_cilindro!$B$17+1)),0)</f>
        <v>1.5813819752394043E-2</v>
      </c>
      <c r="P334" s="10">
        <f>P333*(Presion_cilindro!O332/Presion_cilindro!O333)^Presion_cilindro!$B$9+10*(Presion_cilindro!$B$9-1)*Presion_cilindro!$B$33*(O334-O333)/((Presion_cilindro!O332+Presion_cilindro!O333)/2)</f>
        <v>12.370780394800377</v>
      </c>
      <c r="Q334" s="9">
        <f>IF(OR($B$9=0,Presion_cilindro!N333&lt;=$B$15),IF(Presion_cilindro!N333&gt;$B$13,1-EXP(-Presion_cilindro!$B$16*((Presion_cilindro!N333-$B$13)/Presion_cilindro!$B$35)^(Presion_cilindro!$B$17+1)),0),$B$8+(1-$B$8)*(1-EXP(-(Presion_cilindro!N333-$B$15)/Presion_cilindro!$B$23)))</f>
        <v>0.5655637123740539</v>
      </c>
      <c r="R334" s="10">
        <f>R333*(Presion_cilindro!O332/Presion_cilindro!O333)^Presion_cilindro!$B$9+10*(Presion_cilindro!$B$9-1)*Presion_cilindro!$B$33*(Q334-Q333)/((Presion_cilindro!O332+Presion_cilindro!O333)/2)</f>
        <v>27.797451267962572</v>
      </c>
      <c r="S334" s="10">
        <f>R334+IF(AND($B$9=1,Presion_cilindro!N333&gt;$B$15),Presion_cilindro!$B$24*2.5*EXP(-(Presion_cilindro!N333-$B$15)/Presion_cilindro!$B$26)*SIN(2*PI()*(Presion_cilindro!N333-$B$15)/Presion_cilindro!$B$39),0)</f>
        <v>27.797451267962572</v>
      </c>
      <c r="T334" s="9">
        <f>IF(Presion_cilindro!N333&gt;$B$14,1-EXP(-Presion_cilindro!$B$16*((Presion_cilindro!N333-$B$14)/Presion_cilindro!$B$35)^(Presion_cilindro!$B$17+1)),0)</f>
        <v>0</v>
      </c>
      <c r="U334" s="10">
        <f>U333*(Presion_cilindro!O332/Presion_cilindro!O333)^Presion_cilindro!$B$9+10*(Presion_cilindro!$B$9-1)*Presion_cilindro!$B$33*(T334-T333)/((Presion_cilindro!O332+Presion_cilindro!O333)/2)</f>
        <v>11.950870868431339</v>
      </c>
    </row>
    <row r="335" spans="14:21" x14ac:dyDescent="0.25">
      <c r="N335" s="8">
        <f>-Presion_cilindro!N334</f>
        <v>15</v>
      </c>
      <c r="O335" s="9">
        <f>IF(Presion_cilindro!N334&gt;$B$12,1-EXP(-Presion_cilindro!$B$16*((Presion_cilindro!N334-$B$12)/Presion_cilindro!$B$35)^(Presion_cilindro!$B$17+1)),0)</f>
        <v>1.9257202124868256E-2</v>
      </c>
      <c r="P335" s="10">
        <f>P334*(Presion_cilindro!O333/Presion_cilindro!O334)^Presion_cilindro!$B$9+10*(Presion_cilindro!$B$9-1)*Presion_cilindro!$B$33*(O335-O334)/((Presion_cilindro!O333+Presion_cilindro!O334)/2)</f>
        <v>12.643768337374041</v>
      </c>
      <c r="Q335" s="9">
        <f>IF(OR($B$9=0,Presion_cilindro!N334&lt;=$B$15),IF(Presion_cilindro!N334&gt;$B$13,1-EXP(-Presion_cilindro!$B$16*((Presion_cilindro!N334-$B$13)/Presion_cilindro!$B$35)^(Presion_cilindro!$B$17+1)),0),$B$8+(1-$B$8)*(1-EXP(-(Presion_cilindro!N334-$B$15)/Presion_cilindro!$B$23)))</f>
        <v>0.58536559395317256</v>
      </c>
      <c r="R335" s="10">
        <f>R334*(Presion_cilindro!O333/Presion_cilindro!O334)^Presion_cilindro!$B$9+10*(Presion_cilindro!$B$9-1)*Presion_cilindro!$B$33*(Q335-Q334)/((Presion_cilindro!O333+Presion_cilindro!O334)/2)</f>
        <v>28.730928909581309</v>
      </c>
      <c r="S335" s="10">
        <f>R335+IF(AND($B$9=1,Presion_cilindro!N334&gt;$B$15),Presion_cilindro!$B$24*2.5*EXP(-(Presion_cilindro!N334-$B$15)/Presion_cilindro!$B$26)*SIN(2*PI()*(Presion_cilindro!N334-$B$15)/Presion_cilindro!$B$39),0)</f>
        <v>28.730928909581309</v>
      </c>
      <c r="T335" s="9">
        <f>IF(Presion_cilindro!N334&gt;$B$14,1-EXP(-Presion_cilindro!$B$16*((Presion_cilindro!N334-$B$14)/Presion_cilindro!$B$35)^(Presion_cilindro!$B$17+1)),0)</f>
        <v>0</v>
      </c>
      <c r="U335" s="10">
        <f>U334*(Presion_cilindro!O333/Presion_cilindro!O334)^Presion_cilindro!$B$9+10*(Presion_cilindro!$B$9-1)*Presion_cilindro!$B$33*(T335-T334)/((Presion_cilindro!O333+Presion_cilindro!O334)/2)</f>
        <v>12.126341804664458</v>
      </c>
    </row>
    <row r="336" spans="14:21" x14ac:dyDescent="0.25">
      <c r="N336" s="8">
        <f>-Presion_cilindro!N335</f>
        <v>14.5</v>
      </c>
      <c r="O336" s="9">
        <f>IF(Presion_cilindro!N335&gt;$B$12,1-EXP(-Presion_cilindro!$B$16*((Presion_cilindro!N335-$B$12)/Presion_cilindro!$B$35)^(Presion_cilindro!$B$17+1)),0)</f>
        <v>2.315696173793802E-2</v>
      </c>
      <c r="P336" s="10">
        <f>P335*(Presion_cilindro!O334/Presion_cilindro!O335)^Presion_cilindro!$B$9+10*(Presion_cilindro!$B$9-1)*Presion_cilindro!$B$33*(O336-O335)/((Presion_cilindro!O334+Presion_cilindro!O335)/2)</f>
        <v>12.930067182209228</v>
      </c>
      <c r="Q336" s="9">
        <f>IF(OR($B$9=0,Presion_cilindro!N335&lt;=$B$15),IF(Presion_cilindro!N335&gt;$B$13,1-EXP(-Presion_cilindro!$B$16*((Presion_cilindro!N335-$B$13)/Presion_cilindro!$B$35)^(Presion_cilindro!$B$17+1)),0),$B$8+(1-$B$8)*(1-EXP(-(Presion_cilindro!N335-$B$15)/Presion_cilindro!$B$23)))</f>
        <v>0.60494050096455587</v>
      </c>
      <c r="R336" s="10">
        <f>R335*(Presion_cilindro!O334/Presion_cilindro!O335)^Presion_cilindro!$B$9+10*(Presion_cilindro!$B$9-1)*Presion_cilindro!$B$33*(Q336-Q335)/((Presion_cilindro!O334+Presion_cilindro!O335)/2)</f>
        <v>29.668816559069775</v>
      </c>
      <c r="S336" s="10">
        <f>R336+IF(AND($B$9=1,Presion_cilindro!N335&gt;$B$15),Presion_cilindro!$B$24*2.5*EXP(-(Presion_cilindro!N335-$B$15)/Presion_cilindro!$B$26)*SIN(2*PI()*(Presion_cilindro!N335-$B$15)/Presion_cilindro!$B$39),0)</f>
        <v>29.668816559069775</v>
      </c>
      <c r="T336" s="9">
        <f>IF(Presion_cilindro!N335&gt;$B$14,1-EXP(-Presion_cilindro!$B$16*((Presion_cilindro!N335-$B$14)/Presion_cilindro!$B$35)^(Presion_cilindro!$B$17+1)),0)</f>
        <v>0</v>
      </c>
      <c r="U336" s="10">
        <f>U335*(Presion_cilindro!O334/Presion_cilindro!O335)^Presion_cilindro!$B$9+10*(Presion_cilindro!$B$9-1)*Presion_cilindro!$B$33*(T336-T335)/((Presion_cilindro!O334+Presion_cilindro!O335)/2)</f>
        <v>12.300617176140848</v>
      </c>
    </row>
    <row r="337" spans="14:21" x14ac:dyDescent="0.25">
      <c r="N337" s="8">
        <f>-Presion_cilindro!N336</f>
        <v>14</v>
      </c>
      <c r="O337" s="9">
        <f>IF(Presion_cilindro!N336&gt;$B$12,1-EXP(-Presion_cilindro!$B$16*((Presion_cilindro!N336-$B$12)/Presion_cilindro!$B$35)^(Presion_cilindro!$B$17+1)),0)</f>
        <v>2.7537438875685272E-2</v>
      </c>
      <c r="P337" s="10">
        <f>P336*(Presion_cilindro!O335/Presion_cilindro!O336)^Presion_cilindro!$B$9+10*(Presion_cilindro!$B$9-1)*Presion_cilindro!$B$33*(O337-O336)/((Presion_cilindro!O335+Presion_cilindro!O336)/2)</f>
        <v>13.23042860845711</v>
      </c>
      <c r="Q337" s="9">
        <f>IF(OR($B$9=0,Presion_cilindro!N336&lt;=$B$15),IF(Presion_cilindro!N336&gt;$B$13,1-EXP(-Presion_cilindro!$B$16*((Presion_cilindro!N336-$B$13)/Presion_cilindro!$B$35)^(Presion_cilindro!$B$17+1)),0),$B$8+(1-$B$8)*(1-EXP(-(Presion_cilindro!N336-$B$15)/Presion_cilindro!$B$23)))</f>
        <v>0.62424543689904599</v>
      </c>
      <c r="R337" s="10">
        <f>R336*(Presion_cilindro!O335/Presion_cilindro!O336)^Presion_cilindro!$B$9+10*(Presion_cilindro!$B$9-1)*Presion_cilindro!$B$33*(Q337-Q336)/((Presion_cilindro!O335+Presion_cilindro!O336)/2)</f>
        <v>30.608833888299017</v>
      </c>
      <c r="S337" s="10">
        <f>R337+IF(AND($B$9=1,Presion_cilindro!N336&gt;$B$15),Presion_cilindro!$B$24*2.5*EXP(-(Presion_cilindro!N336-$B$15)/Presion_cilindro!$B$26)*SIN(2*PI()*(Presion_cilindro!N336-$B$15)/Presion_cilindro!$B$39),0)</f>
        <v>30.608833888299017</v>
      </c>
      <c r="T337" s="9">
        <f>IF(Presion_cilindro!N336&gt;$B$14,1-EXP(-Presion_cilindro!$B$16*((Presion_cilindro!N336-$B$14)/Presion_cilindro!$B$35)^(Presion_cilindro!$B$17+1)),0)</f>
        <v>0</v>
      </c>
      <c r="U337" s="10">
        <f>U336*(Presion_cilindro!O335/Presion_cilindro!O336)^Presion_cilindro!$B$9+10*(Presion_cilindro!$B$9-1)*Presion_cilindro!$B$33*(T337-T336)/((Presion_cilindro!O335+Presion_cilindro!O336)/2)</f>
        <v>12.473404197722738</v>
      </c>
    </row>
    <row r="338" spans="14:21" x14ac:dyDescent="0.25">
      <c r="N338" s="8">
        <f>-Presion_cilindro!N337</f>
        <v>13.5</v>
      </c>
      <c r="O338" s="9">
        <f>IF(Presion_cilindro!N337&gt;$B$12,1-EXP(-Presion_cilindro!$B$16*((Presion_cilindro!N337-$B$12)/Presion_cilindro!$B$35)^(Presion_cilindro!$B$17+1)),0)</f>
        <v>3.2421755398387653E-2</v>
      </c>
      <c r="P338" s="10">
        <f>P337*(Presion_cilindro!O336/Presion_cilindro!O337)^Presion_cilindro!$B$9+10*(Presion_cilindro!$B$9-1)*Presion_cilindro!$B$33*(O338-O337)/((Presion_cilindro!O336+Presion_cilindro!O337)/2)</f>
        <v>13.545570136877433</v>
      </c>
      <c r="Q338" s="9">
        <f>IF(OR($B$9=0,Presion_cilindro!N337&lt;=$B$15),IF(Presion_cilindro!N337&gt;$B$13,1-EXP(-Presion_cilindro!$B$16*((Presion_cilindro!N337-$B$13)/Presion_cilindro!$B$35)^(Presion_cilindro!$B$17+1)),0),$B$8+(1-$B$8)*(1-EXP(-(Presion_cilindro!N337-$B$15)/Presion_cilindro!$B$23)))</f>
        <v>0.6432390974854334</v>
      </c>
      <c r="R338" s="10">
        <f>R337*(Presion_cilindro!O336/Presion_cilindro!O337)^Presion_cilindro!$B$9+10*(Presion_cilindro!$B$9-1)*Presion_cilindro!$B$33*(Q338-Q337)/((Presion_cilindro!O336+Presion_cilindro!O337)/2)</f>
        <v>31.548629212682584</v>
      </c>
      <c r="S338" s="10">
        <f>R338+IF(AND($B$9=1,Presion_cilindro!N337&gt;$B$15),Presion_cilindro!$B$24*2.5*EXP(-(Presion_cilindro!N337-$B$15)/Presion_cilindro!$B$26)*SIN(2*PI()*(Presion_cilindro!N337-$B$15)/Presion_cilindro!$B$39),0)</f>
        <v>31.548629212682584</v>
      </c>
      <c r="T338" s="9">
        <f>IF(Presion_cilindro!N337&gt;$B$14,1-EXP(-Presion_cilindro!$B$16*((Presion_cilindro!N337-$B$14)/Presion_cilindro!$B$35)^(Presion_cilindro!$B$17+1)),0)</f>
        <v>0</v>
      </c>
      <c r="U338" s="10">
        <f>U337*(Presion_cilindro!O336/Presion_cilindro!O337)^Presion_cilindro!$B$9+10*(Presion_cilindro!$B$9-1)*Presion_cilindro!$B$33*(T338-T337)/((Presion_cilindro!O336+Presion_cilindro!O337)/2)</f>
        <v>12.644399653207032</v>
      </c>
    </row>
    <row r="339" spans="14:21" x14ac:dyDescent="0.25">
      <c r="N339" s="8">
        <f>-Presion_cilindro!N338</f>
        <v>13</v>
      </c>
      <c r="O339" s="9">
        <f>IF(Presion_cilindro!N338&gt;$B$12,1-EXP(-Presion_cilindro!$B$16*((Presion_cilindro!N338-$B$12)/Presion_cilindro!$B$35)^(Presion_cilindro!$B$17+1)),0)</f>
        <v>3.7831681267927242E-2</v>
      </c>
      <c r="P339" s="10">
        <f>P338*(Presion_cilindro!O337/Presion_cilindro!O338)^Presion_cilindro!$B$9+10*(Presion_cilindro!$B$9-1)*Presion_cilindro!$B$33*(O339-O338)/((Presion_cilindro!O337+Presion_cilindro!O338)/2)</f>
        <v>13.876166370113967</v>
      </c>
      <c r="Q339" s="9">
        <f>IF(OR($B$9=0,Presion_cilindro!N338&lt;=$B$15),IF(Presion_cilindro!N338&gt;$B$13,1-EXP(-Presion_cilindro!$B$16*((Presion_cilindro!N338-$B$13)/Presion_cilindro!$B$35)^(Presion_cilindro!$B$17+1)),0),$B$8+(1-$B$8)*(1-EXP(-(Presion_cilindro!N338-$B$15)/Presion_cilindro!$B$23)))</f>
        <v>0.66188212260538615</v>
      </c>
      <c r="R339" s="10">
        <f>R338*(Presion_cilindro!O337/Presion_cilindro!O338)^Presion_cilindro!$B$9+10*(Presion_cilindro!$B$9-1)*Presion_cilindro!$B$33*(Q339-Q338)/((Presion_cilindro!O337+Presion_cilindro!O338)/2)</f>
        <v>32.485792323160524</v>
      </c>
      <c r="S339" s="10">
        <f>R339+IF(AND($B$9=1,Presion_cilindro!N338&gt;$B$15),Presion_cilindro!$B$24*2.5*EXP(-(Presion_cilindro!N338-$B$15)/Presion_cilindro!$B$26)*SIN(2*PI()*(Presion_cilindro!N338-$B$15)/Presion_cilindro!$B$39),0)</f>
        <v>32.485792323160524</v>
      </c>
      <c r="T339" s="9">
        <f>IF(Presion_cilindro!N338&gt;$B$14,1-EXP(-Presion_cilindro!$B$16*((Presion_cilindro!N338-$B$14)/Presion_cilindro!$B$35)^(Presion_cilindro!$B$17+1)),0)</f>
        <v>0</v>
      </c>
      <c r="U339" s="10">
        <f>U338*(Presion_cilindro!O337/Presion_cilindro!O338)^Presion_cilindro!$B$9+10*(Presion_cilindro!$B$9-1)*Presion_cilindro!$B$33*(T339-T338)/((Presion_cilindro!O337+Presion_cilindro!O338)/2)</f>
        <v>12.813290628301043</v>
      </c>
    </row>
    <row r="340" spans="14:21" x14ac:dyDescent="0.25">
      <c r="N340" s="8">
        <f>-Presion_cilindro!N339</f>
        <v>12.5</v>
      </c>
      <c r="O340" s="9">
        <f>IF(Presion_cilindro!N339&gt;$B$12,1-EXP(-Presion_cilindro!$B$16*((Presion_cilindro!N339-$B$12)/Presion_cilindro!$B$35)^(Presion_cilindro!$B$17+1)),0)</f>
        <v>4.3787498485814536E-2</v>
      </c>
      <c r="P340" s="10">
        <f>P339*(Presion_cilindro!O338/Presion_cilindro!O339)^Presion_cilindro!$B$9+10*(Presion_cilindro!$B$9-1)*Presion_cilindro!$B$33*(O340-O339)/((Presion_cilindro!O338+Presion_cilindro!O339)/2)</f>
        <v>14.222839816268865</v>
      </c>
      <c r="Q340" s="9">
        <f>IF(OR($B$9=0,Presion_cilindro!N339&lt;=$B$15),IF(Presion_cilindro!N339&gt;$B$13,1-EXP(-Presion_cilindro!$B$16*((Presion_cilindro!N339-$B$13)/Presion_cilindro!$B$35)^(Presion_cilindro!$B$17+1)),0),$B$8+(1-$B$8)*(1-EXP(-(Presion_cilindro!N339-$B$15)/Presion_cilindro!$B$23)))</f>
        <v>0.68013733098858187</v>
      </c>
      <c r="R340" s="10">
        <f>R339*(Presion_cilindro!O338/Presion_cilindro!O339)^Presion_cilindro!$B$9+10*(Presion_cilindro!$B$9-1)*Presion_cilindro!$B$33*(Q340-Q339)/((Presion_cilindro!O338+Presion_cilindro!O339)/2)</f>
        <v>33.417868149179426</v>
      </c>
      <c r="S340" s="10">
        <f>R340+IF(AND($B$9=1,Presion_cilindro!N339&gt;$B$15),Presion_cilindro!$B$24*2.5*EXP(-(Presion_cilindro!N339-$B$15)/Presion_cilindro!$B$26)*SIN(2*PI()*(Presion_cilindro!N339-$B$15)/Presion_cilindro!$B$39),0)</f>
        <v>33.417868149179426</v>
      </c>
      <c r="T340" s="9">
        <f>IF(Presion_cilindro!N339&gt;$B$14,1-EXP(-Presion_cilindro!$B$16*((Presion_cilindro!N339-$B$14)/Presion_cilindro!$B$35)^(Presion_cilindro!$B$17+1)),0)</f>
        <v>0</v>
      </c>
      <c r="U340" s="10">
        <f>U339*(Presion_cilindro!O338/Presion_cilindro!O339)^Presion_cilindro!$B$9+10*(Presion_cilindro!$B$9-1)*Presion_cilindro!$B$33*(T340-T339)/((Presion_cilindro!O338+Presion_cilindro!O339)/2)</f>
        <v>12.97975536097953</v>
      </c>
    </row>
    <row r="341" spans="14:21" x14ac:dyDescent="0.25">
      <c r="N341" s="8">
        <f>-Presion_cilindro!N340</f>
        <v>12</v>
      </c>
      <c r="O341" s="9">
        <f>IF(Presion_cilindro!N340&gt;$B$12,1-EXP(-Presion_cilindro!$B$16*((Presion_cilindro!N340-$B$12)/Presion_cilindro!$B$35)^(Presion_cilindro!$B$17+1)),0)</f>
        <v>5.0307863562291444E-2</v>
      </c>
      <c r="P341" s="10">
        <f>P340*(Presion_cilindro!O339/Presion_cilindro!O340)^Presion_cilindro!$B$9+10*(Presion_cilindro!$B$9-1)*Presion_cilindro!$B$33*(O341-O340)/((Presion_cilindro!O339+Presion_cilindro!O340)/2)</f>
        <v>14.586151376850291</v>
      </c>
      <c r="Q341" s="9">
        <f>IF(OR($B$9=0,Presion_cilindro!N340&lt;=$B$15),IF(Presion_cilindro!N340&gt;$B$13,1-EXP(-Presion_cilindro!$B$16*((Presion_cilindro!N340-$B$13)/Presion_cilindro!$B$35)^(Presion_cilindro!$B$17+1)),0),$B$8+(1-$B$8)*(1-EXP(-(Presion_cilindro!N340-$B$15)/Presion_cilindro!$B$23)))</f>
        <v>0.69796993518930783</v>
      </c>
      <c r="R341" s="10">
        <f>R340*(Presion_cilindro!O339/Presion_cilindro!O340)^Presion_cilindro!$B$9+10*(Presion_cilindro!$B$9-1)*Presion_cilindro!$B$33*(Q341-Q340)/((Presion_cilindro!O339+Presion_cilindro!O340)/2)</f>
        <v>34.34237112802434</v>
      </c>
      <c r="S341" s="10">
        <f>R341+IF(AND($B$9=1,Presion_cilindro!N340&gt;$B$15),Presion_cilindro!$B$24*2.5*EXP(-(Presion_cilindro!N340-$B$15)/Presion_cilindro!$B$26)*SIN(2*PI()*(Presion_cilindro!N340-$B$15)/Presion_cilindro!$B$39),0)</f>
        <v>34.34237112802434</v>
      </c>
      <c r="T341" s="9">
        <f>IF(Presion_cilindro!N340&gt;$B$14,1-EXP(-Presion_cilindro!$B$16*((Presion_cilindro!N340-$B$14)/Presion_cilindro!$B$35)^(Presion_cilindro!$B$17+1)),0)</f>
        <v>0</v>
      </c>
      <c r="U341" s="10">
        <f>U340*(Presion_cilindro!O339/Presion_cilindro!O340)^Presion_cilindro!$B$9+10*(Presion_cilindro!$B$9-1)*Presion_cilindro!$B$33*(T341-T340)/((Presion_cilindro!O339+Presion_cilindro!O340)/2)</f>
        <v>13.143464210914832</v>
      </c>
    </row>
    <row r="342" spans="14:21" x14ac:dyDescent="0.25">
      <c r="N342" s="8">
        <f>-Presion_cilindro!N341</f>
        <v>11.5</v>
      </c>
      <c r="O342" s="9">
        <f>IF(Presion_cilindro!N341&gt;$B$12,1-EXP(-Presion_cilindro!$B$16*((Presion_cilindro!N341-$B$12)/Presion_cilindro!$B$35)^(Presion_cilindro!$B$17+1)),0)</f>
        <v>5.7409669722715995E-2</v>
      </c>
      <c r="P342" s="10">
        <f>P341*(Presion_cilindro!O340/Presion_cilindro!O341)^Presion_cilindro!$B$9+10*(Presion_cilindro!$B$9-1)*Presion_cilindro!$B$33*(O342-O341)/((Presion_cilindro!O340+Presion_cilindro!O341)/2)</f>
        <v>14.9665905942321</v>
      </c>
      <c r="Q342" s="9">
        <f>IF(OR($B$9=0,Presion_cilindro!N341&lt;=$B$15),IF(Presion_cilindro!N341&gt;$B$13,1-EXP(-Presion_cilindro!$B$16*((Presion_cilindro!N341-$B$13)/Presion_cilindro!$B$35)^(Presion_cilindro!$B$17+1)),0),$B$8+(1-$B$8)*(1-EXP(-(Presion_cilindro!N341-$B$15)/Presion_cilindro!$B$23)))</f>
        <v>0.71534773457509959</v>
      </c>
      <c r="R342" s="10">
        <f>R341*(Presion_cilindro!O340/Presion_cilindro!O341)^Presion_cilindro!$B$9+10*(Presion_cilindro!$B$9-1)*Presion_cilindro!$B$33*(Q342-Q341)/((Presion_cilindro!O340+Presion_cilindro!O341)/2)</f>
        <v>35.256800141868958</v>
      </c>
      <c r="S342" s="10">
        <f>R342+IF(AND($B$9=1,Presion_cilindro!N341&gt;$B$15),Presion_cilindro!$B$24*2.5*EXP(-(Presion_cilindro!N341-$B$15)/Presion_cilindro!$B$26)*SIN(2*PI()*(Presion_cilindro!N341-$B$15)/Presion_cilindro!$B$39),0)</f>
        <v>35.256800141868958</v>
      </c>
      <c r="T342" s="9">
        <f>IF(Presion_cilindro!N341&gt;$B$14,1-EXP(-Presion_cilindro!$B$16*((Presion_cilindro!N341-$B$14)/Presion_cilindro!$B$35)^(Presion_cilindro!$B$17+1)),0)</f>
        <v>0</v>
      </c>
      <c r="U342" s="10">
        <f>U341*(Presion_cilindro!O340/Presion_cilindro!O341)^Presion_cilindro!$B$9+10*(Presion_cilindro!$B$9-1)*Presion_cilindro!$B$33*(T342-T341)/((Presion_cilindro!O340+Presion_cilindro!O341)/2)</f>
        <v>13.304080748347879</v>
      </c>
    </row>
    <row r="343" spans="14:21" x14ac:dyDescent="0.25">
      <c r="N343" s="8">
        <f>-Presion_cilindro!N342</f>
        <v>11</v>
      </c>
      <c r="O343" s="9">
        <f>IF(Presion_cilindro!N342&gt;$B$12,1-EXP(-Presion_cilindro!$B$16*((Presion_cilindro!N342-$B$12)/Presion_cilindro!$B$35)^(Presion_cilindro!$B$17+1)),0)</f>
        <v>6.5107910139761693E-2</v>
      </c>
      <c r="P343" s="10">
        <f>P342*(Presion_cilindro!O341/Presion_cilindro!O342)^Presion_cilindro!$B$9+10*(Presion_cilindro!$B$9-1)*Presion_cilindro!$B$33*(O343-O342)/((Presion_cilindro!O341+Presion_cilindro!O342)/2)</f>
        <v>15.364565767619599</v>
      </c>
      <c r="Q343" s="9">
        <f>IF(OR($B$9=0,Presion_cilindro!N342&lt;=$B$15),IF(Presion_cilindro!N342&gt;$B$13,1-EXP(-Presion_cilindro!$B$16*((Presion_cilindro!N342-$B$13)/Presion_cilindro!$B$35)^(Presion_cilindro!$B$17+1)),0),$B$8+(1-$B$8)*(1-EXP(-(Presion_cilindro!N342-$B$15)/Presion_cilindro!$B$23)))</f>
        <v>0.73224128432471136</v>
      </c>
      <c r="R343" s="10">
        <f>R342*(Presion_cilindro!O341/Presion_cilindro!O342)^Presion_cilindro!$B$9+10*(Presion_cilindro!$B$9-1)*Presion_cilindro!$B$33*(Q343-Q342)/((Presion_cilindro!O341+Presion_cilindro!O342)/2)</f>
        <v>36.158653871677167</v>
      </c>
      <c r="S343" s="10">
        <f>R343+IF(AND($B$9=1,Presion_cilindro!N342&gt;$B$15),Presion_cilindro!$B$24*2.5*EXP(-(Presion_cilindro!N342-$B$15)/Presion_cilindro!$B$26)*SIN(2*PI()*(Presion_cilindro!N342-$B$15)/Presion_cilindro!$B$39),0)</f>
        <v>36.158653871677167</v>
      </c>
      <c r="T343" s="9">
        <f>IF(Presion_cilindro!N342&gt;$B$14,1-EXP(-Presion_cilindro!$B$16*((Presion_cilindro!N342-$B$14)/Presion_cilindro!$B$35)^(Presion_cilindro!$B$17+1)),0)</f>
        <v>0</v>
      </c>
      <c r="U343" s="10">
        <f>U342*(Presion_cilindro!O341/Presion_cilindro!O342)^Presion_cilindro!$B$9+10*(Presion_cilindro!$B$9-1)*Presion_cilindro!$B$33*(T343-T342)/((Presion_cilindro!O341+Presion_cilindro!O342)/2)</f>
        <v>13.461262961297823</v>
      </c>
    </row>
    <row r="344" spans="14:21" x14ac:dyDescent="0.25">
      <c r="N344" s="8">
        <f>-Presion_cilindro!N343</f>
        <v>10.5</v>
      </c>
      <c r="O344" s="9">
        <f>IF(Presion_cilindro!N343&gt;$B$12,1-EXP(-Presion_cilindro!$B$16*((Presion_cilindro!N343-$B$12)/Presion_cilindro!$B$35)^(Presion_cilindro!$B$17+1)),0)</f>
        <v>7.3415543555099383E-2</v>
      </c>
      <c r="P344" s="10">
        <f>P343*(Presion_cilindro!O342/Presion_cilindro!O343)^Presion_cilindro!$B$9+10*(Presion_cilindro!$B$9-1)*Presion_cilindro!$B$33*(O344-O343)/((Presion_cilindro!O342+Presion_cilindro!O343)/2)</f>
        <v>15.780394059820624</v>
      </c>
      <c r="Q344" s="9">
        <f>IF(OR($B$9=0,Presion_cilindro!N343&lt;=$B$15),IF(Presion_cilindro!N343&gt;$B$13,1-EXP(-Presion_cilindro!$B$16*((Presion_cilindro!N343-$B$13)/Presion_cilindro!$B$35)^(Presion_cilindro!$B$17+1)),0),$B$8+(1-$B$8)*(1-EXP(-(Presion_cilindro!N343-$B$15)/Presion_cilindro!$B$23)))</f>
        <v>0.74862403873294425</v>
      </c>
      <c r="R344" s="10">
        <f>R343*(Presion_cilindro!O342/Presion_cilindro!O343)^Presion_cilindro!$B$9+10*(Presion_cilindro!$B$9-1)*Presion_cilindro!$B$33*(Q344-Q343)/((Presion_cilindro!O342+Presion_cilindro!O343)/2)</f>
        <v>37.045446406967699</v>
      </c>
      <c r="S344" s="10">
        <f>R344+IF(AND($B$9=1,Presion_cilindro!N343&gt;$B$15),Presion_cilindro!$B$24*2.5*EXP(-(Presion_cilindro!N343-$B$15)/Presion_cilindro!$B$26)*SIN(2*PI()*(Presion_cilindro!N343-$B$15)/Presion_cilindro!$B$39),0)</f>
        <v>37.045446406967699</v>
      </c>
      <c r="T344" s="9">
        <f>IF(Presion_cilindro!N343&gt;$B$14,1-EXP(-Presion_cilindro!$B$16*((Presion_cilindro!N343-$B$14)/Presion_cilindro!$B$35)^(Presion_cilindro!$B$17+1)),0)</f>
        <v>0</v>
      </c>
      <c r="U344" s="10">
        <f>U343*(Presion_cilindro!O342/Presion_cilindro!O343)^Presion_cilindro!$B$9+10*(Presion_cilindro!$B$9-1)*Presion_cilindro!$B$33*(T344-T343)/((Presion_cilindro!O342+Presion_cilindro!O343)/2)</f>
        <v>13.614664578413283</v>
      </c>
    </row>
    <row r="345" spans="14:21" x14ac:dyDescent="0.25">
      <c r="N345" s="8">
        <f>-Presion_cilindro!N344</f>
        <v>10</v>
      </c>
      <c r="O345" s="9">
        <f>IF(Presion_cilindro!N344&gt;$B$12,1-EXP(-Presion_cilindro!$B$16*((Presion_cilindro!N344-$B$12)/Presion_cilindro!$B$35)^(Presion_cilindro!$B$17+1)),0)</f>
        <v>8.2343363720332352E-2</v>
      </c>
      <c r="P345" s="10">
        <f>P344*(Presion_cilindro!O343/Presion_cilindro!O344)^Presion_cilindro!$B$9+10*(Presion_cilindro!$B$9-1)*Presion_cilindro!$B$33*(O345-O344)/((Presion_cilindro!O343+Presion_cilindro!O344)/2)</f>
        <v>16.214291729490363</v>
      </c>
      <c r="Q345" s="9">
        <f>IF(OR($B$9=0,Presion_cilindro!N344&lt;=$B$15),IF(Presion_cilindro!N344&gt;$B$13,1-EXP(-Presion_cilindro!$B$16*((Presion_cilindro!N344-$B$13)/Presion_cilindro!$B$35)^(Presion_cilindro!$B$17+1)),0),$B$8+(1-$B$8)*(1-EXP(-(Presion_cilindro!N344-$B$15)/Presion_cilindro!$B$23)))</f>
        <v>0.76447246744880615</v>
      </c>
      <c r="R345" s="10">
        <f>R344*(Presion_cilindro!O343/Presion_cilindro!O344)^Presion_cilindro!$B$9+10*(Presion_cilindro!$B$9-1)*Presion_cilindro!$B$33*(Q345-Q344)/((Presion_cilindro!O343+Presion_cilindro!O344)/2)</f>
        <v>37.914722942734308</v>
      </c>
      <c r="S345" s="10">
        <f>R345+IF(AND($B$9=1,Presion_cilindro!N344&gt;$B$15),Presion_cilindro!$B$24*2.5*EXP(-(Presion_cilindro!N344-$B$15)/Presion_cilindro!$B$26)*SIN(2*PI()*(Presion_cilindro!N344-$B$15)/Presion_cilindro!$B$39),0)</f>
        <v>37.914722942734308</v>
      </c>
      <c r="T345" s="9">
        <f>IF(Presion_cilindro!N344&gt;$B$14,1-EXP(-Presion_cilindro!$B$16*((Presion_cilindro!N344-$B$14)/Presion_cilindro!$B$35)^(Presion_cilindro!$B$17+1)),0)</f>
        <v>0</v>
      </c>
      <c r="U345" s="10">
        <f>U344*(Presion_cilindro!O343/Presion_cilindro!O344)^Presion_cilindro!$B$9+10*(Presion_cilindro!$B$9-1)*Presion_cilindro!$B$33*(T345-T344)/((Presion_cilindro!O343+Presion_cilindro!O344)/2)</f>
        <v>13.763936503061698</v>
      </c>
    </row>
    <row r="346" spans="14:21" x14ac:dyDescent="0.25">
      <c r="N346" s="8">
        <f>-Presion_cilindro!N345</f>
        <v>9.5</v>
      </c>
      <c r="O346" s="9">
        <f>IF(Presion_cilindro!N345&gt;$B$12,1-EXP(-Presion_cilindro!$B$16*((Presion_cilindro!N345-$B$12)/Presion_cilindro!$B$35)^(Presion_cilindro!$B$17+1)),0)</f>
        <v>9.1899874142160942E-2</v>
      </c>
      <c r="P346" s="10">
        <f>P345*(Presion_cilindro!O344/Presion_cilindro!O345)^Presion_cilindro!$B$9+10*(Presion_cilindro!$B$9-1)*Presion_cilindro!$B$33*(O346-O345)/((Presion_cilindro!O344+Presion_cilindro!O345)/2)</f>
        <v>16.666364634549268</v>
      </c>
      <c r="Q346" s="9">
        <f>IF(OR($B$9=0,Presion_cilindro!N345&lt;=$B$15),IF(Presion_cilindro!N345&gt;$B$13,1-EXP(-Presion_cilindro!$B$16*((Presion_cilindro!N345-$B$13)/Presion_cilindro!$B$35)^(Presion_cilindro!$B$17+1)),0),$B$8+(1-$B$8)*(1-EXP(-(Presion_cilindro!N345-$B$15)/Presion_cilindro!$B$23)))</f>
        <v>0.77976614362576824</v>
      </c>
      <c r="R346" s="10">
        <f>R345*(Presion_cilindro!O344/Presion_cilindro!O345)^Presion_cilindro!$B$9+10*(Presion_cilindro!$B$9-1)*Presion_cilindro!$B$33*(Q346-Q345)/((Presion_cilindro!O344+Presion_cilindro!O345)/2)</f>
        <v>38.764075389761103</v>
      </c>
      <c r="S346" s="10">
        <f>R346+IF(AND($B$9=1,Presion_cilindro!N345&gt;$B$15),Presion_cilindro!$B$24*2.5*EXP(-(Presion_cilindro!N345-$B$15)/Presion_cilindro!$B$26)*SIN(2*PI()*(Presion_cilindro!N345-$B$15)/Presion_cilindro!$B$39),0)</f>
        <v>38.764075389761103</v>
      </c>
      <c r="T346" s="9">
        <f>IF(Presion_cilindro!N345&gt;$B$14,1-EXP(-Presion_cilindro!$B$16*((Presion_cilindro!N345-$B$14)/Presion_cilindro!$B$35)^(Presion_cilindro!$B$17+1)),0)</f>
        <v>0</v>
      </c>
      <c r="U346" s="10">
        <f>U345*(Presion_cilindro!O344/Presion_cilindro!O345)^Presion_cilindro!$B$9+10*(Presion_cilindro!$B$9-1)*Presion_cilindro!$B$33*(T346-T345)/((Presion_cilindro!O344+Presion_cilindro!O345)/2)</f>
        <v>13.908728352459104</v>
      </c>
    </row>
    <row r="347" spans="14:21" x14ac:dyDescent="0.25">
      <c r="N347" s="8">
        <f>-Presion_cilindro!N346</f>
        <v>9</v>
      </c>
      <c r="O347" s="9">
        <f>IF(Presion_cilindro!N346&gt;$B$12,1-EXP(-Presion_cilindro!$B$16*((Presion_cilindro!N346-$B$12)/Presion_cilindro!$B$35)^(Presion_cilindro!$B$17+1)),0)</f>
        <v>0.10209116965919829</v>
      </c>
      <c r="P347" s="10">
        <f>P346*(Presion_cilindro!O345/Presion_cilindro!O346)^Presion_cilindro!$B$9+10*(Presion_cilindro!$B$9-1)*Presion_cilindro!$B$33*(O347-O346)/((Presion_cilindro!O345+Presion_cilindro!O346)/2)</f>
        <v>17.136599161752223</v>
      </c>
      <c r="Q347" s="9">
        <f>IF(OR($B$9=0,Presion_cilindro!N346&lt;=$B$15),IF(Presion_cilindro!N346&gt;$B$13,1-EXP(-Presion_cilindro!$B$16*((Presion_cilindro!N346-$B$13)/Presion_cilindro!$B$35)^(Presion_cilindro!$B$17+1)),0),$B$8+(1-$B$8)*(1-EXP(-(Presion_cilindro!N346-$B$15)/Presion_cilindro!$B$23)))</f>
        <v>0.7944878033325049</v>
      </c>
      <c r="R347" s="10">
        <f>R346*(Presion_cilindro!O345/Presion_cilindro!O346)^Presion_cilindro!$B$9+10*(Presion_cilindro!$B$9-1)*Presion_cilindro!$B$33*(Q347-Q346)/((Presion_cilindro!O345+Presion_cilindro!O346)/2)</f>
        <v>39.591157722403352</v>
      </c>
      <c r="S347" s="10">
        <f>R347+IF(AND($B$9=1,Presion_cilindro!N346&gt;$B$15),Presion_cilindro!$B$24*2.5*EXP(-(Presion_cilindro!N346-$B$15)/Presion_cilindro!$B$26)*SIN(2*PI()*(Presion_cilindro!N346-$B$15)/Presion_cilindro!$B$39),0)</f>
        <v>39.591157722403352</v>
      </c>
      <c r="T347" s="9">
        <f>IF(Presion_cilindro!N346&gt;$B$14,1-EXP(-Presion_cilindro!$B$16*((Presion_cilindro!N346-$B$14)/Presion_cilindro!$B$35)^(Presion_cilindro!$B$17+1)),0)</f>
        <v>0</v>
      </c>
      <c r="U347" s="10">
        <f>U346*(Presion_cilindro!O345/Presion_cilindro!O346)^Presion_cilindro!$B$9+10*(Presion_cilindro!$B$9-1)*Presion_cilindro!$B$33*(T347-T346)/((Presion_cilindro!O345+Presion_cilindro!O346)/2)</f>
        <v>14.04869009379118</v>
      </c>
    </row>
    <row r="348" spans="14:21" x14ac:dyDescent="0.25">
      <c r="N348" s="8">
        <f>-Presion_cilindro!N347</f>
        <v>8.5</v>
      </c>
      <c r="O348" s="9">
        <f>IF(Presion_cilindro!N347&gt;$B$12,1-EXP(-Presion_cilindro!$B$16*((Presion_cilindro!N347-$B$12)/Presion_cilindro!$B$35)^(Presion_cilindro!$B$17+1)),0)</f>
        <v>0.11292082640573153</v>
      </c>
      <c r="P348" s="10">
        <f>P347*(Presion_cilindro!O346/Presion_cilindro!O347)^Presion_cilindro!$B$9+10*(Presion_cilindro!$B$9-1)*Presion_cilindro!$B$33*(O348-O347)/((Presion_cilindro!O346+Presion_cilindro!O347)/2)</f>
        <v>17.624853744492839</v>
      </c>
      <c r="Q348" s="9">
        <f>IF(OR($B$9=0,Presion_cilindro!N347&lt;=$B$15),IF(Presion_cilindro!N347&gt;$B$13,1-EXP(-Presion_cilindro!$B$16*((Presion_cilindro!N347-$B$13)/Presion_cilindro!$B$35)^(Presion_cilindro!$B$17+1)),0),$B$8+(1-$B$8)*(1-EXP(-(Presion_cilindro!N347-$B$15)/Presion_cilindro!$B$23)))</f>
        <v>0.80862337595302891</v>
      </c>
      <c r="R348" s="10">
        <f>R347*(Presion_cilindro!O346/Presion_cilindro!O347)^Presion_cilindro!$B$9+10*(Presion_cilindro!$B$9-1)*Presion_cilindro!$B$33*(Q348-Q347)/((Presion_cilindro!O346+Presion_cilindro!O347)/2)</f>
        <v>40.393700888758829</v>
      </c>
      <c r="S348" s="10">
        <f>R348+IF(AND($B$9=1,Presion_cilindro!N347&gt;$B$15),Presion_cilindro!$B$24*2.5*EXP(-(Presion_cilindro!N347-$B$15)/Presion_cilindro!$B$26)*SIN(2*PI()*(Presion_cilindro!N347-$B$15)/Presion_cilindro!$B$39),0)</f>
        <v>40.393700888758829</v>
      </c>
      <c r="T348" s="9">
        <f>IF(Presion_cilindro!N347&gt;$B$14,1-EXP(-Presion_cilindro!$B$16*((Presion_cilindro!N347-$B$14)/Presion_cilindro!$B$35)^(Presion_cilindro!$B$17+1)),0)</f>
        <v>0</v>
      </c>
      <c r="U348" s="10">
        <f>U347*(Presion_cilindro!O346/Presion_cilindro!O347)^Presion_cilindro!$B$9+10*(Presion_cilindro!$B$9-1)*Presion_cilindro!$B$33*(T348-T347)/((Presion_cilindro!O346+Presion_cilindro!O347)/2)</f>
        <v>14.183473767397132</v>
      </c>
    </row>
    <row r="349" spans="14:21" x14ac:dyDescent="0.25">
      <c r="N349" s="8">
        <f>-Presion_cilindro!N348</f>
        <v>8</v>
      </c>
      <c r="O349" s="9">
        <f>IF(Presion_cilindro!N348&gt;$B$12,1-EXP(-Presion_cilindro!$B$16*((Presion_cilindro!N348-$B$12)/Presion_cilindro!$B$35)^(Presion_cilindro!$B$17+1)),0)</f>
        <v>0.12438980172926639</v>
      </c>
      <c r="P349" s="10">
        <f>P348*(Presion_cilindro!O347/Presion_cilindro!O348)^Presion_cilindro!$B$9+10*(Presion_cilindro!$B$9-1)*Presion_cilindro!$B$33*(O349-O348)/((Presion_cilindro!O347+Presion_cilindro!O348)/2)</f>
        <v>18.130851135457235</v>
      </c>
      <c r="Q349" s="9">
        <f>IF(OR($B$9=0,Presion_cilindro!N348&lt;=$B$15),IF(Presion_cilindro!N348&gt;$B$13,1-EXP(-Presion_cilindro!$B$16*((Presion_cilindro!N348-$B$13)/Presion_cilindro!$B$35)^(Presion_cilindro!$B$17+1)),0),$B$8+(1-$B$8)*(1-EXP(-(Presion_cilindro!N348-$B$15)/Presion_cilindro!$B$23)))</f>
        <v>0.82216198568980636</v>
      </c>
      <c r="R349" s="10">
        <f>R348*(Presion_cilindro!O347/Presion_cilindro!O348)^Presion_cilindro!$B$9+10*(Presion_cilindro!$B$9-1)*Presion_cilindro!$B$33*(Q349-Q348)/((Presion_cilindro!O347+Presion_cilindro!O348)/2)</f>
        <v>41.169527112122147</v>
      </c>
      <c r="S349" s="10">
        <f>R349+IF(AND($B$9=1,Presion_cilindro!N348&gt;$B$15),Presion_cilindro!$B$24*2.5*EXP(-(Presion_cilindro!N348-$B$15)/Presion_cilindro!$B$26)*SIN(2*PI()*(Presion_cilindro!N348-$B$15)/Presion_cilindro!$B$39),0)</f>
        <v>41.169527112122147</v>
      </c>
      <c r="T349" s="9">
        <f>IF(Presion_cilindro!N348&gt;$B$14,1-EXP(-Presion_cilindro!$B$16*((Presion_cilindro!N348-$B$14)/Presion_cilindro!$B$35)^(Presion_cilindro!$B$17+1)),0)</f>
        <v>0</v>
      </c>
      <c r="U349" s="10">
        <f>U348*(Presion_cilindro!O347/Presion_cilindro!O348)^Presion_cilindro!$B$9+10*(Presion_cilindro!$B$9-1)*Presion_cilindro!$B$33*(T349-T348)/((Presion_cilindro!O347+Presion_cilindro!O348)/2)</f>
        <v>14.312735285220532</v>
      </c>
    </row>
    <row r="350" spans="14:21" x14ac:dyDescent="0.25">
      <c r="N350" s="8">
        <f>-Presion_cilindro!N349</f>
        <v>7.5</v>
      </c>
      <c r="O350" s="9">
        <f>IF(Presion_cilindro!N349&gt;$B$12,1-EXP(-Presion_cilindro!$B$16*((Presion_cilindro!N349-$B$12)/Presion_cilindro!$B$35)^(Presion_cilindro!$B$17+1)),0)</f>
        <v>0.13649634562228641</v>
      </c>
      <c r="P350" s="10">
        <f>P349*(Presion_cilindro!O348/Presion_cilindro!O349)^Presion_cilindro!$B$9+10*(Presion_cilindro!$B$9-1)*Presion_cilindro!$B$33*(O350-O349)/((Presion_cilindro!O348+Presion_cilindro!O349)/2)</f>
        <v>18.654171602315209</v>
      </c>
      <c r="Q350" s="9">
        <f>IF(OR($B$9=0,Presion_cilindro!N349&lt;=$B$15),IF(Presion_cilindro!N349&gt;$B$13,1-EXP(-Presion_cilindro!$B$16*((Presion_cilindro!N349-$B$13)/Presion_cilindro!$B$35)^(Presion_cilindro!$B$17+1)),0),$B$8+(1-$B$8)*(1-EXP(-(Presion_cilindro!N349-$B$15)/Presion_cilindro!$B$23)))</f>
        <v>0.83509592466532956</v>
      </c>
      <c r="R350" s="10">
        <f>R349*(Presion_cilindro!O348/Presion_cilindro!O349)^Presion_cilindro!$B$9+10*(Presion_cilindro!$B$9-1)*Presion_cilindro!$B$33*(Q350-Q349)/((Presion_cilindro!O348+Presion_cilindro!O349)/2)</f>
        <v>41.916563419690455</v>
      </c>
      <c r="S350" s="10">
        <f>R350+IF(AND($B$9=1,Presion_cilindro!N349&gt;$B$15),Presion_cilindro!$B$24*2.5*EXP(-(Presion_cilindro!N349-$B$15)/Presion_cilindro!$B$26)*SIN(2*PI()*(Presion_cilindro!N349-$B$15)/Presion_cilindro!$B$39),0)</f>
        <v>41.916563419690455</v>
      </c>
      <c r="T350" s="9">
        <f>IF(Presion_cilindro!N349&gt;$B$14,1-EXP(-Presion_cilindro!$B$16*((Presion_cilindro!N349-$B$14)/Presion_cilindro!$B$35)^(Presion_cilindro!$B$17+1)),0)</f>
        <v>0</v>
      </c>
      <c r="U350" s="10">
        <f>U349*(Presion_cilindro!O348/Presion_cilindro!O349)^Presion_cilindro!$B$9+10*(Presion_cilindro!$B$9-1)*Presion_cilindro!$B$33*(T350-T349)/((Presion_cilindro!O348+Presion_cilindro!O349)/2)</f>
        <v>14.436136290913105</v>
      </c>
    </row>
    <row r="351" spans="14:21" x14ac:dyDescent="0.25">
      <c r="N351" s="8">
        <f>-Presion_cilindro!N350</f>
        <v>7</v>
      </c>
      <c r="O351" s="9">
        <f>IF(Presion_cilindro!N350&gt;$B$12,1-EXP(-Presion_cilindro!$B$16*((Presion_cilindro!N350-$B$12)/Presion_cilindro!$B$35)^(Presion_cilindro!$B$17+1)),0)</f>
        <v>0.14923592520282525</v>
      </c>
      <c r="P351" s="10">
        <f>P350*(Presion_cilindro!O349/Presion_cilindro!O350)^Presion_cilindro!$B$9+10*(Presion_cilindro!$B$9-1)*Presion_cilindro!$B$33*(O351-O350)/((Presion_cilindro!O349+Presion_cilindro!O350)/2)</f>
        <v>19.194247212919656</v>
      </c>
      <c r="Q351" s="9">
        <f>IF(OR($B$9=0,Presion_cilindro!N350&lt;=$B$15),IF(Presion_cilindro!N350&gt;$B$13,1-EXP(-Presion_cilindro!$B$16*((Presion_cilindro!N350-$B$13)/Presion_cilindro!$B$35)^(Presion_cilindro!$B$17+1)),0),$B$8+(1-$B$8)*(1-EXP(-(Presion_cilindro!N350-$B$15)/Presion_cilindro!$B$23)))</f>
        <v>0.84742059848984419</v>
      </c>
      <c r="R351" s="10">
        <f>R350*(Presion_cilindro!O349/Presion_cilindro!O350)^Presion_cilindro!$B$9+10*(Presion_cilindro!$B$9-1)*Presion_cilindro!$B$33*(Q351-Q350)/((Presion_cilindro!O349+Presion_cilindro!O350)/2)</f>
        <v>42.632854244603919</v>
      </c>
      <c r="S351" s="10">
        <f>R351+IF(AND($B$9=1,Presion_cilindro!N350&gt;$B$15),Presion_cilindro!$B$24*2.5*EXP(-(Presion_cilindro!N350-$B$15)/Presion_cilindro!$B$26)*SIN(2*PI()*(Presion_cilindro!N350-$B$15)/Presion_cilindro!$B$39),0)</f>
        <v>42.632854244603919</v>
      </c>
      <c r="T351" s="9">
        <f>IF(Presion_cilindro!N350&gt;$B$14,1-EXP(-Presion_cilindro!$B$16*((Presion_cilindro!N350-$B$14)/Presion_cilindro!$B$35)^(Presion_cilindro!$B$17+1)),0)</f>
        <v>0</v>
      </c>
      <c r="U351" s="10">
        <f>U350*(Presion_cilindro!O349/Presion_cilindro!O350)^Presion_cilindro!$B$9+10*(Presion_cilindro!$B$9-1)*Presion_cilindro!$B$33*(T351-T350)/((Presion_cilindro!O349+Presion_cilindro!O350)/2)</f>
        <v>14.553346066252981</v>
      </c>
    </row>
    <row r="352" spans="14:21" x14ac:dyDescent="0.25">
      <c r="N352" s="8">
        <f>-Presion_cilindro!N351</f>
        <v>6.5</v>
      </c>
      <c r="O352" s="9">
        <f>IF(Presion_cilindro!N351&gt;$B$12,1-EXP(-Presion_cilindro!$B$16*((Presion_cilindro!N351-$B$12)/Presion_cilindro!$B$35)^(Presion_cilindro!$B$17+1)),0)</f>
        <v>0.16260116373191502</v>
      </c>
      <c r="P352" s="10">
        <f>P351*(Presion_cilindro!O350/Presion_cilindro!O351)^Presion_cilindro!$B$9+10*(Presion_cilindro!$B$9-1)*Presion_cilindro!$B$33*(O352-O351)/((Presion_cilindro!O350+Presion_cilindro!O351)/2)</f>
        <v>19.750357371202465</v>
      </c>
      <c r="Q352" s="9">
        <f>IF(OR($B$9=0,Presion_cilindro!N351&lt;=$B$15),IF(Presion_cilindro!N351&gt;$B$13,1-EXP(-Presion_cilindro!$B$16*((Presion_cilindro!N351-$B$13)/Presion_cilindro!$B$35)^(Presion_cilindro!$B$17+1)),0),$B$8+(1-$B$8)*(1-EXP(-(Presion_cilindro!N351-$B$15)/Presion_cilindro!$B$23)))</f>
        <v>0.88450448758793176</v>
      </c>
      <c r="R352" s="10">
        <f>R351*(Presion_cilindro!O350/Presion_cilindro!O351)^Presion_cilindro!$B$9+10*(Presion_cilindro!$B$9-1)*Presion_cilindro!$B$33*(Q352-Q351)/((Presion_cilindro!O350+Presion_cilindro!O351)/2)</f>
        <v>44.095053149649992</v>
      </c>
      <c r="S352" s="10">
        <f>R352+IF(AND($B$9=1,Presion_cilindro!N351&gt;$B$15),Presion_cilindro!$B$24*2.5*EXP(-(Presion_cilindro!N351-$B$15)/Presion_cilindro!$B$26)*SIN(2*PI()*(Presion_cilindro!N351-$B$15)/Presion_cilindro!$B$39),0)</f>
        <v>50.896329419113741</v>
      </c>
      <c r="T352" s="9">
        <f>IF(Presion_cilindro!N351&gt;$B$14,1-EXP(-Presion_cilindro!$B$16*((Presion_cilindro!N351-$B$14)/Presion_cilindro!$B$35)^(Presion_cilindro!$B$17+1)),0)</f>
        <v>0</v>
      </c>
      <c r="U352" s="10">
        <f>U351*(Presion_cilindro!O350/Presion_cilindro!O351)^Presion_cilindro!$B$9+10*(Presion_cilindro!$B$9-1)*Presion_cilindro!$B$33*(T352-T351)/((Presion_cilindro!O350+Presion_cilindro!O351)/2)</f>
        <v>14.664043466953874</v>
      </c>
    </row>
    <row r="353" spans="14:21" x14ac:dyDescent="0.25">
      <c r="N353" s="8">
        <f>-Presion_cilindro!N352</f>
        <v>6</v>
      </c>
      <c r="O353" s="9">
        <f>IF(Presion_cilindro!N352&gt;$B$12,1-EXP(-Presion_cilindro!$B$16*((Presion_cilindro!N352-$B$12)/Presion_cilindro!$B$35)^(Presion_cilindro!$B$17+1)),0)</f>
        <v>0.17658179558771447</v>
      </c>
      <c r="P353" s="10">
        <f>P352*(Presion_cilindro!O351/Presion_cilindro!O352)^Presion_cilindro!$B$9+10*(Presion_cilindro!$B$9-1)*Presion_cilindro!$B$33*(O353-O352)/((Presion_cilindro!O351+Presion_cilindro!O352)/2)</f>
        <v>20.321625755899269</v>
      </c>
      <c r="Q353" s="9">
        <f>IF(OR($B$9=0,Presion_cilindro!N352&lt;=$B$15),IF(Presion_cilindro!N352&gt;$B$13,1-EXP(-Presion_cilindro!$B$16*((Presion_cilindro!N352-$B$13)/Presion_cilindro!$B$35)^(Presion_cilindro!$B$17+1)),0),$B$8+(1-$B$8)*(1-EXP(-(Presion_cilindro!N352-$B$15)/Presion_cilindro!$B$23)))</f>
        <v>0.91724384912598944</v>
      </c>
      <c r="R353" s="10">
        <f>R352*(Presion_cilindro!O351/Presion_cilindro!O352)^Presion_cilindro!$B$9+10*(Presion_cilindro!$B$9-1)*Presion_cilindro!$B$33*(Q353-Q352)/((Presion_cilindro!O351+Presion_cilindro!O352)/2)</f>
        <v>45.417559796920926</v>
      </c>
      <c r="S353" s="10">
        <f>R353+IF(AND($B$9=1,Presion_cilindro!N352&gt;$B$15),Presion_cilindro!$B$24*2.5*EXP(-(Presion_cilindro!N352-$B$15)/Presion_cilindro!$B$26)*SIN(2*PI()*(Presion_cilindro!N352-$B$15)/Presion_cilindro!$B$39),0)</f>
        <v>47.698525039580581</v>
      </c>
      <c r="T353" s="9">
        <f>IF(Presion_cilindro!N352&gt;$B$14,1-EXP(-Presion_cilindro!$B$16*((Presion_cilindro!N352-$B$14)/Presion_cilindro!$B$35)^(Presion_cilindro!$B$17+1)),0)</f>
        <v>0</v>
      </c>
      <c r="U353" s="10">
        <f>U352*(Presion_cilindro!O351/Presion_cilindro!O352)^Presion_cilindro!$B$9+10*(Presion_cilindro!$B$9-1)*Presion_cilindro!$B$33*(T353-T352)/((Presion_cilindro!O351+Presion_cilindro!O352)/2)</f>
        <v>14.767918869536354</v>
      </c>
    </row>
    <row r="354" spans="14:21" x14ac:dyDescent="0.25">
      <c r="N354" s="8">
        <f>-Presion_cilindro!N353</f>
        <v>5.5</v>
      </c>
      <c r="O354" s="9">
        <f>IF(Presion_cilindro!N353&gt;$B$12,1-EXP(-Presion_cilindro!$B$16*((Presion_cilindro!N353-$B$12)/Presion_cilindro!$B$35)^(Presion_cilindro!$B$17+1)),0)</f>
        <v>0.19116463852537602</v>
      </c>
      <c r="P354" s="10">
        <f>P353*(Presion_cilindro!O352/Presion_cilindro!O353)^Presion_cilindro!$B$9+10*(Presion_cilindro!$B$9-1)*Presion_cilindro!$B$33*(O354-O353)/((Presion_cilindro!O352+Presion_cilindro!O353)/2)</f>
        <v>20.907018801299827</v>
      </c>
      <c r="Q354" s="9">
        <f>IF(OR($B$9=0,Presion_cilindro!N353&lt;=$B$15),IF(Presion_cilindro!N353&gt;$B$13,1-EXP(-Presion_cilindro!$B$16*((Presion_cilindro!N353-$B$13)/Presion_cilindro!$B$35)^(Presion_cilindro!$B$17+1)),0),$B$8+(1-$B$8)*(1-EXP(-(Presion_cilindro!N353-$B$15)/Presion_cilindro!$B$23)))</f>
        <v>0.94070262675620298</v>
      </c>
      <c r="R354" s="10">
        <f>R353*(Presion_cilindro!O352/Presion_cilindro!O353)^Presion_cilindro!$B$9+10*(Presion_cilindro!$B$9-1)*Presion_cilindro!$B$33*(Q354-Q353)/((Presion_cilindro!O352+Presion_cilindro!O353)/2)</f>
        <v>46.442641623424315</v>
      </c>
      <c r="S354" s="10">
        <f>R354+IF(AND($B$9=1,Presion_cilindro!N353&gt;$B$15),Presion_cilindro!$B$24*2.5*EXP(-(Presion_cilindro!N353-$B$15)/Presion_cilindro!$B$26)*SIN(2*PI()*(Presion_cilindro!N353-$B$15)/Presion_cilindro!$B$39),0)</f>
        <v>40.288592364413496</v>
      </c>
      <c r="T354" s="9">
        <f>IF(Presion_cilindro!N353&gt;$B$14,1-EXP(-Presion_cilindro!$B$16*((Presion_cilindro!N353-$B$14)/Presion_cilindro!$B$35)^(Presion_cilindro!$B$17+1)),0)</f>
        <v>0</v>
      </c>
      <c r="U354" s="10">
        <f>U353*(Presion_cilindro!O352/Presion_cilindro!O353)^Presion_cilindro!$B$9+10*(Presion_cilindro!$B$9-1)*Presion_cilindro!$B$33*(T354-T353)/((Presion_cilindro!O352+Presion_cilindro!O353)/2)</f>
        <v>14.864676109755639</v>
      </c>
    </row>
    <row r="355" spans="14:21" x14ac:dyDescent="0.25">
      <c r="N355" s="8">
        <f>-Presion_cilindro!N354</f>
        <v>5</v>
      </c>
      <c r="O355" s="9">
        <f>IF(Presion_cilindro!N354&gt;$B$12,1-EXP(-Presion_cilindro!$B$16*((Presion_cilindro!N354-$B$12)/Presion_cilindro!$B$35)^(Presion_cilindro!$B$17+1)),0)</f>
        <v>0.20633358443808392</v>
      </c>
      <c r="P355" s="10">
        <f>P354*(Presion_cilindro!O353/Presion_cilindro!O354)^Presion_cilindro!$B$9+10*(Presion_cilindro!$B$9-1)*Presion_cilindro!$B$33*(O355-O354)/((Presion_cilindro!O353+Presion_cilindro!O354)/2)</f>
        <v>21.505345842391968</v>
      </c>
      <c r="Q355" s="9">
        <f>IF(OR($B$9=0,Presion_cilindro!N354&lt;=$B$15),IF(Presion_cilindro!N354&gt;$B$13,1-EXP(-Presion_cilindro!$B$16*((Presion_cilindro!N354-$B$13)/Presion_cilindro!$B$35)^(Presion_cilindro!$B$17+1)),0),$B$8+(1-$B$8)*(1-EXP(-(Presion_cilindro!N354-$B$15)/Presion_cilindro!$B$23)))</f>
        <v>0.95751157543603893</v>
      </c>
      <c r="R355" s="10">
        <f>R354*(Presion_cilindro!O353/Presion_cilindro!O354)^Presion_cilindro!$B$9+10*(Presion_cilindro!$B$9-1)*Presion_cilindro!$B$33*(Q355-Q354)/((Presion_cilindro!O353+Presion_cilindro!O354)/2)</f>
        <v>47.245575276192206</v>
      </c>
      <c r="S355" s="10">
        <f>R355+IF(AND($B$9=1,Presion_cilindro!N354&gt;$B$15),Presion_cilindro!$B$24*2.5*EXP(-(Presion_cilindro!N354-$B$15)/Presion_cilindro!$B$26)*SIN(2*PI()*(Presion_cilindro!N354-$B$15)/Presion_cilindro!$B$39),0)</f>
        <v>45.18167257539428</v>
      </c>
      <c r="T355" s="9">
        <f>IF(Presion_cilindro!N354&gt;$B$14,1-EXP(-Presion_cilindro!$B$16*((Presion_cilindro!N354-$B$14)/Presion_cilindro!$B$35)^(Presion_cilindro!$B$17+1)),0)</f>
        <v>0</v>
      </c>
      <c r="U355" s="10">
        <f>U354*(Presion_cilindro!O353/Presion_cilindro!O354)^Presion_cilindro!$B$9+10*(Presion_cilindro!$B$9-1)*Presion_cilindro!$B$33*(T355-T354)/((Presion_cilindro!O353+Presion_cilindro!O354)/2)</f>
        <v>14.954034392170891</v>
      </c>
    </row>
    <row r="356" spans="14:21" x14ac:dyDescent="0.25">
      <c r="N356" s="8">
        <f>-Presion_cilindro!N355</f>
        <v>4.5</v>
      </c>
      <c r="O356" s="9">
        <f>IF(Presion_cilindro!N355&gt;$B$12,1-EXP(-Presion_cilindro!$B$16*((Presion_cilindro!N355-$B$12)/Presion_cilindro!$B$35)^(Presion_cilindro!$B$17+1)),0)</f>
        <v>0.22206960969810607</v>
      </c>
      <c r="P356" s="10">
        <f>P355*(Presion_cilindro!O354/Presion_cilindro!O355)^Presion_cilindro!$B$9+10*(Presion_cilindro!$B$9-1)*Presion_cilindro!$B$33*(O356-O355)/((Presion_cilindro!O354+Presion_cilindro!O355)/2)</f>
        <v>22.115261026143489</v>
      </c>
      <c r="Q356" s="9">
        <f>IF(OR($B$9=0,Presion_cilindro!N355&lt;=$B$15),IF(Presion_cilindro!N355&gt;$B$13,1-EXP(-Presion_cilindro!$B$16*((Presion_cilindro!N355-$B$13)/Presion_cilindro!$B$35)^(Presion_cilindro!$B$17+1)),0),$B$8+(1-$B$8)*(1-EXP(-(Presion_cilindro!N355-$B$15)/Presion_cilindro!$B$23)))</f>
        <v>0.96955571346296943</v>
      </c>
      <c r="R356" s="10">
        <f>R355*(Presion_cilindro!O354/Presion_cilindro!O355)^Presion_cilindro!$B$9+10*(Presion_cilindro!$B$9-1)*Presion_cilindro!$B$33*(Q356-Q355)/((Presion_cilindro!O354+Presion_cilindro!O355)/2)</f>
        <v>47.880582003265609</v>
      </c>
      <c r="S356" s="10">
        <f>R356+IF(AND($B$9=1,Presion_cilindro!N355&gt;$B$15),Presion_cilindro!$B$24*2.5*EXP(-(Presion_cilindro!N355-$B$15)/Presion_cilindro!$B$26)*SIN(2*PI()*(Presion_cilindro!N355-$B$15)/Presion_cilindro!$B$39),0)</f>
        <v>53.448996045255065</v>
      </c>
      <c r="T356" s="9">
        <f>IF(Presion_cilindro!N355&gt;$B$14,1-EXP(-Presion_cilindro!$B$16*((Presion_cilindro!N355-$B$14)/Presion_cilindro!$B$35)^(Presion_cilindro!$B$17+1)),0)</f>
        <v>0</v>
      </c>
      <c r="U356" s="10">
        <f>U355*(Presion_cilindro!O354/Presion_cilindro!O355)^Presion_cilindro!$B$9+10*(Presion_cilindro!$B$9-1)*Presion_cilindro!$B$33*(T356-T355)/((Presion_cilindro!O354+Presion_cilindro!O355)/2)</f>
        <v>15.035730149834537</v>
      </c>
    </row>
    <row r="357" spans="14:21" x14ac:dyDescent="0.25">
      <c r="N357" s="8">
        <f>-Presion_cilindro!N356</f>
        <v>4</v>
      </c>
      <c r="O357" s="9">
        <f>IF(Presion_cilindro!N356&gt;$B$12,1-EXP(-Presion_cilindro!$B$16*((Presion_cilindro!N356-$B$12)/Presion_cilindro!$B$35)^(Presion_cilindro!$B$17+1)),0)</f>
        <v>0.23835080599750624</v>
      </c>
      <c r="P357" s="10">
        <f>P356*(Presion_cilindro!O355/Presion_cilindro!O356)^Presion_cilindro!$B$9+10*(Presion_cilindro!$B$9-1)*Presion_cilindro!$B$33*(O357-O356)/((Presion_cilindro!O355+Presion_cilindro!O356)/2)</f>
        <v>22.735267066474023</v>
      </c>
      <c r="Q357" s="9">
        <f>IF(OR($B$9=0,Presion_cilindro!N356&lt;=$B$15),IF(Presion_cilindro!N356&gt;$B$13,1-EXP(-Presion_cilindro!$B$16*((Presion_cilindro!N356-$B$13)/Presion_cilindro!$B$35)^(Presion_cilindro!$B$17+1)),0),$B$8+(1-$B$8)*(1-EXP(-(Presion_cilindro!N356-$B$15)/Presion_cilindro!$B$23)))</f>
        <v>0.97818571546813748</v>
      </c>
      <c r="R357" s="10">
        <f>R356*(Presion_cilindro!O355/Presion_cilindro!O356)^Presion_cilindro!$B$9+10*(Presion_cilindro!$B$9-1)*Presion_cilindro!$B$33*(Q357-Q356)/((Presion_cilindro!O355+Presion_cilindro!O356)/2)</f>
        <v>48.386670342012025</v>
      </c>
      <c r="S357" s="10">
        <f>R357+IF(AND($B$9=1,Presion_cilindro!N356&gt;$B$15),Presion_cilindro!$B$24*2.5*EXP(-(Presion_cilindro!N356-$B$15)/Presion_cilindro!$B$26)*SIN(2*PI()*(Presion_cilindro!N356-$B$15)/Presion_cilindro!$B$39),0)</f>
        <v>50.254166732879462</v>
      </c>
      <c r="T357" s="9">
        <f>IF(Presion_cilindro!N356&gt;$B$14,1-EXP(-Presion_cilindro!$B$16*((Presion_cilindro!N356-$B$14)/Presion_cilindro!$B$35)^(Presion_cilindro!$B$17+1)),0)</f>
        <v>0</v>
      </c>
      <c r="U357" s="10">
        <f>U356*(Presion_cilindro!O355/Presion_cilindro!O356)^Presion_cilindro!$B$9+10*(Presion_cilindro!$B$9-1)*Presion_cilindro!$B$33*(T357-T356)/((Presion_cilindro!O355+Presion_cilindro!O356)/2)</f>
        <v>15.109518832812107</v>
      </c>
    </row>
    <row r="358" spans="14:21" x14ac:dyDescent="0.25">
      <c r="N358" s="8">
        <f>-Presion_cilindro!N357</f>
        <v>3.5</v>
      </c>
      <c r="O358" s="9">
        <f>IF(Presion_cilindro!N357&gt;$B$12,1-EXP(-Presion_cilindro!$B$16*((Presion_cilindro!N357-$B$12)/Presion_cilindro!$B$35)^(Presion_cilindro!$B$17+1)),0)</f>
        <v>0.25515243242712293</v>
      </c>
      <c r="P358" s="10">
        <f>P357*(Presion_cilindro!O356/Presion_cilindro!O357)^Presion_cilindro!$B$9+10*(Presion_cilindro!$B$9-1)*Presion_cilindro!$B$33*(O358-O357)/((Presion_cilindro!O356+Presion_cilindro!O357)/2)</f>
        <v>23.363720893046967</v>
      </c>
      <c r="Q358" s="9">
        <f>IF(OR($B$9=0,Presion_cilindro!N357&lt;=$B$15),IF(Presion_cilindro!N357&gt;$B$13,1-EXP(-Presion_cilindro!$B$16*((Presion_cilindro!N357-$B$13)/Presion_cilindro!$B$35)^(Presion_cilindro!$B$17+1)),0),$B$8+(1-$B$8)*(1-EXP(-(Presion_cilindro!N357-$B$15)/Presion_cilindro!$B$23)))</f>
        <v>0.98436938211515501</v>
      </c>
      <c r="R358" s="10">
        <f>R357*(Presion_cilindro!O356/Presion_cilindro!O357)^Presion_cilindro!$B$9+10*(Presion_cilindro!$B$9-1)*Presion_cilindro!$B$33*(Q358-Q357)/((Presion_cilindro!O356+Presion_cilindro!O357)/2)</f>
        <v>48.791868020318724</v>
      </c>
      <c r="S358" s="10">
        <f>R358+IF(AND($B$9=1,Presion_cilindro!N357&gt;$B$15),Presion_cilindro!$B$24*2.5*EXP(-(Presion_cilindro!N357-$B$15)/Presion_cilindro!$B$26)*SIN(2*PI()*(Presion_cilindro!N357-$B$15)/Presion_cilindro!$B$39),0)</f>
        <v>43.7533586360098</v>
      </c>
      <c r="T358" s="9">
        <f>IF(Presion_cilindro!N357&gt;$B$14,1-EXP(-Presion_cilindro!$B$16*((Presion_cilindro!N357-$B$14)/Presion_cilindro!$B$35)^(Presion_cilindro!$B$17+1)),0)</f>
        <v>0</v>
      </c>
      <c r="U358" s="10">
        <f>U357*(Presion_cilindro!O356/Presion_cilindro!O357)^Presion_cilindro!$B$9+10*(Presion_cilindro!$B$9-1)*Presion_cilindro!$B$33*(T358-T357)/((Presion_cilindro!O356+Presion_cilindro!O357)/2)</f>
        <v>15.175176604336544</v>
      </c>
    </row>
    <row r="359" spans="14:21" x14ac:dyDescent="0.25">
      <c r="N359" s="8">
        <f>-Presion_cilindro!N358</f>
        <v>3</v>
      </c>
      <c r="O359" s="9">
        <f>IF(Presion_cilindro!N358&gt;$B$12,1-EXP(-Presion_cilindro!$B$16*((Presion_cilindro!N358-$B$12)/Presion_cilindro!$B$35)^(Presion_cilindro!$B$17+1)),0)</f>
        <v>0.27244698933073497</v>
      </c>
      <c r="P359" s="10">
        <f>P358*(Presion_cilindro!O357/Presion_cilindro!O358)^Presion_cilindro!$B$9+10*(Presion_cilindro!$B$9-1)*Presion_cilindro!$B$33*(O359-O358)/((Presion_cilindro!O357+Presion_cilindro!O358)/2)</f>
        <v>23.99884121381865</v>
      </c>
      <c r="Q359" s="9">
        <f>IF(OR($B$9=0,Presion_cilindro!N358&lt;=$B$15),IF(Presion_cilindro!N358&gt;$B$13,1-EXP(-Presion_cilindro!$B$16*((Presion_cilindro!N358-$B$13)/Presion_cilindro!$B$35)^(Presion_cilindro!$B$17+1)),0),$B$8+(1-$B$8)*(1-EXP(-(Presion_cilindro!N358-$B$15)/Presion_cilindro!$B$23)))</f>
        <v>0.98880017288189392</v>
      </c>
      <c r="R359" s="10">
        <f>R358*(Presion_cilindro!O357/Presion_cilindro!O358)^Presion_cilindro!$B$9+10*(Presion_cilindro!$B$9-1)*Presion_cilindro!$B$33*(Q359-Q358)/((Presion_cilindro!O357+Presion_cilindro!O358)/2)</f>
        <v>49.116286535992224</v>
      </c>
      <c r="S359" s="10">
        <f>R359+IF(AND($B$9=1,Presion_cilindro!N358&gt;$B$15),Presion_cilindro!$B$24*2.5*EXP(-(Presion_cilindro!N358-$B$15)/Presion_cilindro!$B$26)*SIN(2*PI()*(Presion_cilindro!N358-$B$15)/Presion_cilindro!$B$39),0)</f>
        <v>47.426505923488257</v>
      </c>
      <c r="T359" s="9">
        <f>IF(Presion_cilindro!N358&gt;$B$14,1-EXP(-Presion_cilindro!$B$16*((Presion_cilindro!N358-$B$14)/Presion_cilindro!$B$35)^(Presion_cilindro!$B$17+1)),0)</f>
        <v>0</v>
      </c>
      <c r="U359" s="10">
        <f>U358*(Presion_cilindro!O357/Presion_cilindro!O358)^Presion_cilindro!$B$9+10*(Presion_cilindro!$B$9-1)*Presion_cilindro!$B$33*(T359-T358)/((Presion_cilindro!O357+Presion_cilindro!O358)/2)</f>
        <v>15.232501923870371</v>
      </c>
    </row>
    <row r="360" spans="14:21" x14ac:dyDescent="0.25">
      <c r="N360" s="8">
        <f>-Presion_cilindro!N359</f>
        <v>2.5</v>
      </c>
      <c r="O360" s="9">
        <f>IF(Presion_cilindro!N359&gt;$B$12,1-EXP(-Presion_cilindro!$B$16*((Presion_cilindro!N359-$B$12)/Presion_cilindro!$B$35)^(Presion_cilindro!$B$17+1)),0)</f>
        <v>0.29020431425069126</v>
      </c>
      <c r="P360" s="10">
        <f>P359*(Presion_cilindro!O358/Presion_cilindro!O359)^Presion_cilindro!$B$9+10*(Presion_cilindro!$B$9-1)*Presion_cilindro!$B$33*(O360-O359)/((Presion_cilindro!O358+Presion_cilindro!O359)/2)</f>
        <v>24.638717978899074</v>
      </c>
      <c r="Q360" s="9">
        <f>IF(OR($B$9=0,Presion_cilindro!N359&lt;=$B$15),IF(Presion_cilindro!N359&gt;$B$13,1-EXP(-Presion_cilindro!$B$16*((Presion_cilindro!N359-$B$13)/Presion_cilindro!$B$35)^(Presion_cilindro!$B$17+1)),0),$B$8+(1-$B$8)*(1-EXP(-(Presion_cilindro!N359-$B$15)/Presion_cilindro!$B$23)))</f>
        <v>0.99197497319686356</v>
      </c>
      <c r="R360" s="10">
        <f>R359*(Presion_cilindro!O358/Presion_cilindro!O359)^Presion_cilindro!$B$9+10*(Presion_cilindro!$B$9-1)*Presion_cilindro!$B$33*(Q360-Q359)/((Presion_cilindro!O358+Presion_cilindro!O359)/2)</f>
        <v>49.374339935659656</v>
      </c>
      <c r="S360" s="10">
        <f>R360+IF(AND($B$9=1,Presion_cilindro!N359&gt;$B$15),Presion_cilindro!$B$24*2.5*EXP(-(Presion_cilindro!N359-$B$15)/Presion_cilindro!$B$26)*SIN(2*PI()*(Presion_cilindro!N359-$B$15)/Presion_cilindro!$B$39),0)</f>
        <v>53.933371757707697</v>
      </c>
      <c r="T360" s="9">
        <f>IF(Presion_cilindro!N359&gt;$B$14,1-EXP(-Presion_cilindro!$B$16*((Presion_cilindro!N359-$B$14)/Presion_cilindro!$B$35)^(Presion_cilindro!$B$17+1)),0)</f>
        <v>0</v>
      </c>
      <c r="U360" s="10">
        <f>U359*(Presion_cilindro!O358/Presion_cilindro!O359)^Presion_cilindro!$B$9+10*(Presion_cilindro!$B$9-1)*Presion_cilindro!$B$33*(T360-T359)/((Presion_cilindro!O358+Presion_cilindro!O359)/2)</f>
        <v>15.281316997206222</v>
      </c>
    </row>
    <row r="361" spans="14:21" x14ac:dyDescent="0.25">
      <c r="N361" s="8">
        <f>-Presion_cilindro!N360</f>
        <v>2</v>
      </c>
      <c r="O361" s="9">
        <f>IF(Presion_cilindro!N360&gt;$B$12,1-EXP(-Presion_cilindro!$B$16*((Presion_cilindro!N360-$B$12)/Presion_cilindro!$B$35)^(Presion_cilindro!$B$17+1)),0)</f>
        <v>0.30839170004378746</v>
      </c>
      <c r="P361" s="10">
        <f>P360*(Presion_cilindro!O359/Presion_cilindro!O360)^Presion_cilindro!$B$9+10*(Presion_cilindro!$B$9-1)*Presion_cilindro!$B$33*(O361-O360)/((Presion_cilindro!O359+Presion_cilindro!O360)/2)</f>
        <v>25.28132369938076</v>
      </c>
      <c r="Q361" s="9">
        <f>IF(OR($B$9=0,Presion_cilindro!N360&lt;=$B$15),IF(Presion_cilindro!N360&gt;$B$13,1-EXP(-Presion_cilindro!$B$16*((Presion_cilindro!N360-$B$13)/Presion_cilindro!$B$35)^(Presion_cilindro!$B$17+1)),0),$B$8+(1-$B$8)*(1-EXP(-(Presion_cilindro!N360-$B$15)/Presion_cilindro!$B$23)))</f>
        <v>0.99424981702735882</v>
      </c>
      <c r="R361" s="10">
        <f>R360*(Presion_cilindro!O359/Presion_cilindro!O360)^Presion_cilindro!$B$9+10*(Presion_cilindro!$B$9-1)*Presion_cilindro!$B$33*(Q361-Q360)/((Presion_cilindro!O359+Presion_cilindro!O360)/2)</f>
        <v>49.576350851201283</v>
      </c>
      <c r="S361" s="10">
        <f>R361+IF(AND($B$9=1,Presion_cilindro!N360&gt;$B$15),Presion_cilindro!$B$24*2.5*EXP(-(Presion_cilindro!N360-$B$15)/Presion_cilindro!$B$26)*SIN(2*PI()*(Presion_cilindro!N360-$B$15)/Presion_cilindro!$B$39),0)</f>
        <v>51.105327577666593</v>
      </c>
      <c r="T361" s="9">
        <f>IF(Presion_cilindro!N360&gt;$B$14,1-EXP(-Presion_cilindro!$B$16*((Presion_cilindro!N360-$B$14)/Presion_cilindro!$B$35)^(Presion_cilindro!$B$17+1)),0)</f>
        <v>0</v>
      </c>
      <c r="U361" s="10">
        <f>U360*(Presion_cilindro!O359/Presion_cilindro!O360)^Presion_cilindro!$B$9+10*(Presion_cilindro!$B$9-1)*Presion_cilindro!$B$33*(T361-T360)/((Presion_cilindro!O359+Presion_cilindro!O360)/2)</f>
        <v>15.321469074977401</v>
      </c>
    </row>
    <row r="362" spans="14:21" x14ac:dyDescent="0.25">
      <c r="N362" s="8">
        <f>-Presion_cilindro!N361</f>
        <v>1.5</v>
      </c>
      <c r="O362" s="9">
        <f>IF(Presion_cilindro!N361&gt;$B$12,1-EXP(-Presion_cilindro!$B$16*((Presion_cilindro!N361-$B$12)/Presion_cilindro!$B$35)^(Presion_cilindro!$B$17+1)),0)</f>
        <v>0.32697403499444577</v>
      </c>
      <c r="P362" s="10">
        <f>P361*(Presion_cilindro!O360/Presion_cilindro!O361)^Presion_cilindro!$B$9+10*(Presion_cilindro!$B$9-1)*Presion_cilindro!$B$33*(O362-O361)/((Presion_cilindro!O360+Presion_cilindro!O361)/2)</f>
        <v>25.924526540135933</v>
      </c>
      <c r="Q362" s="9">
        <f>IF(OR($B$9=0,Presion_cilindro!N361&lt;=$B$15),IF(Presion_cilindro!N361&gt;$B$13,1-EXP(-Presion_cilindro!$B$16*((Presion_cilindro!N361-$B$13)/Presion_cilindro!$B$35)^(Presion_cilindro!$B$17+1)),0),$B$8+(1-$B$8)*(1-EXP(-(Presion_cilindro!N361-$B$15)/Presion_cilindro!$B$23)))</f>
        <v>0.99587981385857438</v>
      </c>
      <c r="R362" s="10">
        <f>R361*(Presion_cilindro!O360/Presion_cilindro!O361)^Presion_cilindro!$B$9+10*(Presion_cilindro!$B$9-1)*Presion_cilindro!$B$33*(Q362-Q361)/((Presion_cilindro!O360+Presion_cilindro!O361)/2)</f>
        <v>49.729712689257141</v>
      </c>
      <c r="S362" s="10">
        <f>R362+IF(AND($B$9=1,Presion_cilindro!N361&gt;$B$15),Presion_cilindro!$B$24*2.5*EXP(-(Presion_cilindro!N361-$B$15)/Presion_cilindro!$B$26)*SIN(2*PI()*(Presion_cilindro!N361-$B$15)/Presion_cilindro!$B$39),0)</f>
        <v>45.604530106651417</v>
      </c>
      <c r="T362" s="9">
        <f>IF(Presion_cilindro!N361&gt;$B$14,1-EXP(-Presion_cilindro!$B$16*((Presion_cilindro!N361-$B$14)/Presion_cilindro!$B$35)^(Presion_cilindro!$B$17+1)),0)</f>
        <v>0</v>
      </c>
      <c r="U362" s="10">
        <f>U361*(Presion_cilindro!O360/Presion_cilindro!O361)^Presion_cilindro!$B$9+10*(Presion_cilindro!$B$9-1)*Presion_cilindro!$B$33*(T362-T361)/((Presion_cilindro!O360+Presion_cilindro!O361)/2)</f>
        <v>15.352831582558789</v>
      </c>
    </row>
    <row r="363" spans="14:21" x14ac:dyDescent="0.25">
      <c r="N363" s="8">
        <f>-Presion_cilindro!N362</f>
        <v>1</v>
      </c>
      <c r="O363" s="9">
        <f>IF(Presion_cilindro!N362&gt;$B$12,1-EXP(-Presion_cilindro!$B$16*((Presion_cilindro!N362-$B$12)/Presion_cilindro!$B$35)^(Presion_cilindro!$B$17+1)),0)</f>
        <v>0.3459139644892929</v>
      </c>
      <c r="P363" s="10">
        <f>P362*(Presion_cilindro!O361/Presion_cilindro!O362)^Presion_cilindro!$B$9+10*(Presion_cilindro!$B$9-1)*Presion_cilindro!$B$33*(O363-O362)/((Presion_cilindro!O361+Presion_cilindro!O362)/2)</f>
        <v>26.566105071002362</v>
      </c>
      <c r="Q363" s="9">
        <f>IF(OR($B$9=0,Presion_cilindro!N362&lt;=$B$15),IF(Presion_cilindro!N362&gt;$B$13,1-EXP(-Presion_cilindro!$B$16*((Presion_cilindro!N362-$B$13)/Presion_cilindro!$B$35)^(Presion_cilindro!$B$17+1)),0),$B$8+(1-$B$8)*(1-EXP(-(Presion_cilindro!N362-$B$15)/Presion_cilindro!$B$23)))</f>
        <v>0.99704775762427633</v>
      </c>
      <c r="R363" s="10">
        <f>R362*(Presion_cilindro!O361/Presion_cilindro!O362)^Presion_cilindro!$B$9+10*(Presion_cilindro!$B$9-1)*Presion_cilindro!$B$33*(Q363-Q362)/((Presion_cilindro!O361+Presion_cilindro!O362)/2)</f>
        <v>49.839730342072976</v>
      </c>
      <c r="S363" s="10">
        <f>R363+IF(AND($B$9=1,Presion_cilindro!N362&gt;$B$15),Presion_cilindro!$B$24*2.5*EXP(-(Presion_cilindro!N362-$B$15)/Presion_cilindro!$B$26)*SIN(2*PI()*(Presion_cilindro!N362-$B$15)/Presion_cilindro!$B$39),0)</f>
        <v>48.456254988661023</v>
      </c>
      <c r="T363" s="9">
        <f>IF(Presion_cilindro!N362&gt;$B$14,1-EXP(-Presion_cilindro!$B$16*((Presion_cilindro!N362-$B$14)/Presion_cilindro!$B$35)^(Presion_cilindro!$B$17+1)),0)</f>
        <v>0</v>
      </c>
      <c r="U363" s="10">
        <f>U362*(Presion_cilindro!O361/Presion_cilindro!O362)^Presion_cilindro!$B$9+10*(Presion_cilindro!$B$9-1)*Presion_cilindro!$B$33*(T363-T362)/((Presion_cilindro!O361+Presion_cilindro!O362)/2)</f>
        <v>15.375305066297368</v>
      </c>
    </row>
    <row r="364" spans="14:21" x14ac:dyDescent="0.25">
      <c r="N364" s="8">
        <f>-Presion_cilindro!N363</f>
        <v>0.5</v>
      </c>
      <c r="O364" s="9">
        <f>IF(Presion_cilindro!N363&gt;$B$12,1-EXP(-Presion_cilindro!$B$16*((Presion_cilindro!N363-$B$12)/Presion_cilindro!$B$35)^(Presion_cilindro!$B$17+1)),0)</f>
        <v>0.36517207354650572</v>
      </c>
      <c r="P364" s="10">
        <f>P363*(Presion_cilindro!O362/Presion_cilindro!O363)^Presion_cilindro!$B$9+10*(Presion_cilindro!$B$9-1)*Presion_cilindro!$B$33*(O364-O363)/((Presion_cilindro!O362+Presion_cilindro!O363)/2)</f>
        <v>27.203764527135231</v>
      </c>
      <c r="Q364" s="9">
        <f>IF(OR($B$9=0,Presion_cilindro!N363&lt;=$B$15),IF(Presion_cilindro!N363&gt;$B$13,1-EXP(-Presion_cilindro!$B$16*((Presion_cilindro!N363-$B$13)/Presion_cilindro!$B$35)^(Presion_cilindro!$B$17+1)),0),$B$8+(1-$B$8)*(1-EXP(-(Presion_cilindro!N363-$B$15)/Presion_cilindro!$B$23)))</f>
        <v>0.99788462590139126</v>
      </c>
      <c r="R364" s="10">
        <f>R363*(Presion_cilindro!O362/Presion_cilindro!O363)^Presion_cilindro!$B$9+10*(Presion_cilindro!$B$9-1)*Presion_cilindro!$B$33*(Q364-Q363)/((Presion_cilindro!O362+Presion_cilindro!O363)/2)</f>
        <v>49.910228056554885</v>
      </c>
      <c r="S364" s="10">
        <f>R364+IF(AND($B$9=1,Presion_cilindro!N363&gt;$B$15),Presion_cilindro!$B$24*2.5*EXP(-(Presion_cilindro!N363-$B$15)/Presion_cilindro!$B$26)*SIN(2*PI()*(Presion_cilindro!N363-$B$15)/Presion_cilindro!$B$39),0)</f>
        <v>53.642847613526762</v>
      </c>
      <c r="T364" s="9">
        <f>IF(Presion_cilindro!N363&gt;$B$14,1-EXP(-Presion_cilindro!$B$16*((Presion_cilindro!N363-$B$14)/Presion_cilindro!$B$35)^(Presion_cilindro!$B$17+1)),0)</f>
        <v>0</v>
      </c>
      <c r="U364" s="10">
        <f>U363*(Presion_cilindro!O362/Presion_cilindro!O363)^Presion_cilindro!$B$9+10*(Presion_cilindro!$B$9-1)*Presion_cilindro!$B$33*(T364-T363)/((Presion_cilindro!O362+Presion_cilindro!O363)/2)</f>
        <v>15.388817943283314</v>
      </c>
    </row>
    <row r="365" spans="14:21" x14ac:dyDescent="0.25">
      <c r="N365" s="8">
        <f>-Presion_cilindro!N364</f>
        <v>0</v>
      </c>
      <c r="O365" s="9">
        <f>IF(Presion_cilindro!N364&gt;$B$12,1-EXP(-Presion_cilindro!$B$16*((Presion_cilindro!N364-$B$12)/Presion_cilindro!$B$35)^(Presion_cilindro!$B$17+1)),0)</f>
        <v>0.38470708921859809</v>
      </c>
      <c r="P365" s="10">
        <f>P364*(Presion_cilindro!O363/Presion_cilindro!O364)^Presion_cilindro!$B$9+10*(Presion_cilindro!$B$9-1)*Presion_cilindro!$B$33*(O365-O364)/((Presion_cilindro!O363+Presion_cilindro!O364)/2)</f>
        <v>27.83515439747719</v>
      </c>
      <c r="Q365" s="9">
        <f>IF(OR($B$9=0,Presion_cilindro!N364&lt;=$B$15),IF(Presion_cilindro!N364&gt;$B$13,1-EXP(-Presion_cilindro!$B$16*((Presion_cilindro!N364-$B$13)/Presion_cilindro!$B$35)^(Presion_cilindro!$B$17+1)),0),$B$8+(1-$B$8)*(1-EXP(-(Presion_cilindro!N364-$B$15)/Presion_cilindro!$B$23)))</f>
        <v>0.99848426822476999</v>
      </c>
      <c r="R365" s="10">
        <f>R364*(Presion_cilindro!O363/Presion_cilindro!O364)^Presion_cilindro!$B$9+10*(Presion_cilindro!$B$9-1)*Presion_cilindro!$B$33*(Q365-Q364)/((Presion_cilindro!O363+Presion_cilindro!O364)/2)</f>
        <v>49.943988649935136</v>
      </c>
      <c r="S365" s="10">
        <f>R365+IF(AND($B$9=1,Presion_cilindro!N364&gt;$B$15),Presion_cilindro!$B$24*2.5*EXP(-(Presion_cilindro!N364-$B$15)/Presion_cilindro!$B$26)*SIN(2*PI()*(Presion_cilindro!N364-$B$15)/Presion_cilindro!$B$39),0)</f>
        <v>51.195808916632799</v>
      </c>
      <c r="T365" s="9">
        <f>IF(Presion_cilindro!N364&gt;$B$14,1-EXP(-Presion_cilindro!$B$16*((Presion_cilindro!N364-$B$14)/Presion_cilindro!$B$35)^(Presion_cilindro!$B$17+1)),0)</f>
        <v>0</v>
      </c>
      <c r="U365" s="10">
        <f>U364*(Presion_cilindro!O363/Presion_cilindro!O364)^Presion_cilindro!$B$9+10*(Presion_cilindro!$B$9-1)*Presion_cilindro!$B$33*(T365-T364)/((Presion_cilindro!O363+Presion_cilindro!O364)/2)</f>
        <v>15.393327044416075</v>
      </c>
    </row>
    <row r="366" spans="14:21" x14ac:dyDescent="0.25">
      <c r="N366" s="8">
        <f>-Presion_cilindro!N365</f>
        <v>-0.5</v>
      </c>
      <c r="O366" s="9">
        <f>IF(Presion_cilindro!N365&gt;$B$12,1-EXP(-Presion_cilindro!$B$16*((Presion_cilindro!N365-$B$12)/Presion_cilindro!$B$35)^(Presion_cilindro!$B$17+1)),0)</f>
        <v>0.40447610161281089</v>
      </c>
      <c r="P366" s="10">
        <f>P365*(Presion_cilindro!O364/Presion_cilindro!O365)^Presion_cilindro!$B$9+10*(Presion_cilindro!$B$9-1)*Presion_cilindro!$B$33*(O366-O365)/((Presion_cilindro!O364+Presion_cilindro!O365)/2)</f>
        <v>28.457887131152521</v>
      </c>
      <c r="Q366" s="9">
        <f>IF(OR($B$9=0,Presion_cilindro!N365&lt;=$B$15),IF(Presion_cilindro!N365&gt;$B$13,1-EXP(-Presion_cilindro!$B$16*((Presion_cilindro!N365-$B$13)/Presion_cilindro!$B$35)^(Presion_cilindro!$B$17+1)),0),$B$8+(1-$B$8)*(1-EXP(-(Presion_cilindro!N365-$B$15)/Presion_cilindro!$B$23)))</f>
        <v>0.99891393072461609</v>
      </c>
      <c r="R366" s="10">
        <f>R365*(Presion_cilindro!O364/Presion_cilindro!O365)^Presion_cilindro!$B$9+10*(Presion_cilindro!$B$9-1)*Presion_cilindro!$B$33*(Q366-Q365)/((Presion_cilindro!O364+Presion_cilindro!O365)/2)</f>
        <v>49.943070545127433</v>
      </c>
      <c r="S366" s="10">
        <f>R366+IF(AND($B$9=1,Presion_cilindro!N365&gt;$B$15),Presion_cilindro!$B$24*2.5*EXP(-(Presion_cilindro!N365-$B$15)/Presion_cilindro!$B$26)*SIN(2*PI()*(Presion_cilindro!N365-$B$15)/Presion_cilindro!$B$39),0)</f>
        <v>46.565656702686475</v>
      </c>
      <c r="T366" s="9">
        <f>IF(Presion_cilindro!N365&gt;$B$14,1-EXP(-Presion_cilindro!$B$16*((Presion_cilindro!N365-$B$14)/Presion_cilindro!$B$35)^(Presion_cilindro!$B$17+1)),0)</f>
        <v>0</v>
      </c>
      <c r="U366" s="10">
        <f>U365*(Presion_cilindro!O364/Presion_cilindro!O365)^Presion_cilindro!$B$9+10*(Presion_cilindro!$B$9-1)*Presion_cilindro!$B$33*(T366-T365)/((Presion_cilindro!O364+Presion_cilindro!O365)/2)</f>
        <v>15.388817943283316</v>
      </c>
    </row>
    <row r="367" spans="14:21" x14ac:dyDescent="0.25">
      <c r="N367" s="8">
        <f>-Presion_cilindro!N366</f>
        <v>-1</v>
      </c>
      <c r="O367" s="9">
        <f>IF(Presion_cilindro!N366&gt;$B$12,1-EXP(-Presion_cilindro!$B$16*((Presion_cilindro!N366-$B$12)/Presion_cilindro!$B$35)^(Presion_cilindro!$B$17+1)),0)</f>
        <v>0.42443480200331729</v>
      </c>
      <c r="P367" s="10">
        <f>P366*(Presion_cilindro!O365/Presion_cilindro!O366)^Presion_cilindro!$B$9+10*(Presion_cilindro!$B$9-1)*Presion_cilindro!$B$33*(O367-O366)/((Presion_cilindro!O365+Presion_cilindro!O366)/2)</f>
        <v>29.069557725940886</v>
      </c>
      <c r="Q367" s="9">
        <f>IF(OR($B$9=0,Presion_cilindro!N366&lt;=$B$15),IF(Presion_cilindro!N366&gt;$B$13,1-EXP(-Presion_cilindro!$B$16*((Presion_cilindro!N366-$B$13)/Presion_cilindro!$B$35)^(Presion_cilindro!$B$17+1)),0),$B$8+(1-$B$8)*(1-EXP(-(Presion_cilindro!N366-$B$15)/Presion_cilindro!$B$23)))</f>
        <v>0.99922179735873529</v>
      </c>
      <c r="R367" s="10">
        <f>R366*(Presion_cilindro!O365/Presion_cilindro!O366)^Presion_cilindro!$B$9+10*(Presion_cilindro!$B$9-1)*Presion_cilindro!$B$33*(Q367-Q366)/((Presion_cilindro!O365+Presion_cilindro!O366)/2)</f>
        <v>49.909036266247575</v>
      </c>
      <c r="S367" s="10">
        <f>R367+IF(AND($B$9=1,Presion_cilindro!N366&gt;$B$15),Presion_cilindro!$B$24*2.5*EXP(-(Presion_cilindro!N366-$B$15)/Presion_cilindro!$B$26)*SIN(2*PI()*(Presion_cilindro!N366-$B$15)/Presion_cilindro!$B$39),0)</f>
        <v>48.776342448283778</v>
      </c>
      <c r="T367" s="9">
        <f>IF(Presion_cilindro!N366&gt;$B$14,1-EXP(-Presion_cilindro!$B$16*((Presion_cilindro!N366-$B$14)/Presion_cilindro!$B$35)^(Presion_cilindro!$B$17+1)),0)</f>
        <v>0</v>
      </c>
      <c r="U367" s="10">
        <f>U366*(Presion_cilindro!O365/Presion_cilindro!O366)^Presion_cilindro!$B$9+10*(Presion_cilindro!$B$9-1)*Presion_cilindro!$B$33*(T367-T366)/((Presion_cilindro!O365+Presion_cilindro!O366)/2)</f>
        <v>15.375305066297368</v>
      </c>
    </row>
    <row r="368" spans="14:21" x14ac:dyDescent="0.25">
      <c r="N368" s="8">
        <f>-Presion_cilindro!N367</f>
        <v>-1.5</v>
      </c>
      <c r="O368" s="9">
        <f>IF(Presion_cilindro!N367&gt;$B$12,1-EXP(-Presion_cilindro!$B$16*((Presion_cilindro!N367-$B$12)/Presion_cilindro!$B$35)^(Presion_cilindro!$B$17+1)),0)</f>
        <v>0.44453773624867643</v>
      </c>
      <c r="P368" s="10">
        <f>P367*(Presion_cilindro!O366/Presion_cilindro!O367)^Presion_cilindro!$B$9+10*(Presion_cilindro!$B$9-1)*Presion_cilindro!$B$33*(O368-O367)/((Presion_cilindro!O366+Presion_cilindro!O367)/2)</f>
        <v>29.667763941568293</v>
      </c>
      <c r="Q368" s="9">
        <f>IF(OR($B$9=0,Presion_cilindro!N367&lt;=$B$15),IF(Presion_cilindro!N367&gt;$B$13,1-EXP(-Presion_cilindro!$B$16*((Presion_cilindro!N367-$B$13)/Presion_cilindro!$B$35)^(Presion_cilindro!$B$17+1)),0),$B$8+(1-$B$8)*(1-EXP(-(Presion_cilindro!N367-$B$15)/Presion_cilindro!$B$23)))</f>
        <v>0.9994423934415626</v>
      </c>
      <c r="R368" s="10">
        <f>R367*(Presion_cilindro!O366/Presion_cilindro!O367)^Presion_cilindro!$B$9+10*(Presion_cilindro!$B$9-1)*Presion_cilindro!$B$33*(Q368-Q367)/((Presion_cilindro!O366+Presion_cilindro!O367)/2)</f>
        <v>49.843116742204089</v>
      </c>
      <c r="S368" s="10">
        <f>R368+IF(AND($B$9=1,Presion_cilindro!N367&gt;$B$15),Presion_cilindro!$B$24*2.5*EXP(-(Presion_cilindro!N367-$B$15)/Presion_cilindro!$B$26)*SIN(2*PI()*(Presion_cilindro!N367-$B$15)/Presion_cilindro!$B$39),0)</f>
        <v>52.899127163037271</v>
      </c>
      <c r="T368" s="9">
        <f>IF(Presion_cilindro!N367&gt;$B$14,1-EXP(-Presion_cilindro!$B$16*((Presion_cilindro!N367-$B$14)/Presion_cilindro!$B$35)^(Presion_cilindro!$B$17+1)),0)</f>
        <v>0</v>
      </c>
      <c r="U368" s="10">
        <f>U367*(Presion_cilindro!O366/Presion_cilindro!O367)^Presion_cilindro!$B$9+10*(Presion_cilindro!$B$9-1)*Presion_cilindro!$B$33*(T368-T367)/((Presion_cilindro!O366+Presion_cilindro!O367)/2)</f>
        <v>15.352831582558787</v>
      </c>
    </row>
    <row r="369" spans="14:21" x14ac:dyDescent="0.25">
      <c r="N369" s="8">
        <f>-Presion_cilindro!N368</f>
        <v>-2</v>
      </c>
      <c r="O369" s="9">
        <f>IF(Presion_cilindro!N368&gt;$B$12,1-EXP(-Presion_cilindro!$B$16*((Presion_cilindro!N368-$B$12)/Presion_cilindro!$B$35)^(Presion_cilindro!$B$17+1)),0)</f>
        <v>0.46473857148100972</v>
      </c>
      <c r="P369" s="10">
        <f>P368*(Presion_cilindro!O367/Presion_cilindro!O368)^Presion_cilindro!$B$9+10*(Presion_cilindro!$B$9-1)*Presion_cilindro!$B$33*(O369-O368)/((Presion_cilindro!O367+Presion_cilindro!O368)/2)</f>
        <v>30.250126864010547</v>
      </c>
      <c r="Q369" s="9">
        <f>IF(OR($B$9=0,Presion_cilindro!N368&lt;=$B$15),IF(Presion_cilindro!N368&gt;$B$13,1-EXP(-Presion_cilindro!$B$16*((Presion_cilindro!N368-$B$13)/Presion_cilindro!$B$35)^(Presion_cilindro!$B$17+1)),0),$B$8+(1-$B$8)*(1-EXP(-(Presion_cilindro!N368-$B$15)/Presion_cilindro!$B$23)))</f>
        <v>0.99960045744189829</v>
      </c>
      <c r="R369" s="10">
        <f>R368*(Presion_cilindro!O367/Presion_cilindro!O368)^Presion_cilindro!$B$9+10*(Presion_cilindro!$B$9-1)*Presion_cilindro!$B$33*(Q369-Q368)/((Presion_cilindro!O367+Presion_cilindro!O368)/2)</f>
        <v>49.746329039627902</v>
      </c>
      <c r="S369" s="10">
        <f>R369+IF(AND($B$9=1,Presion_cilindro!N368&gt;$B$15),Presion_cilindro!$B$24*2.5*EXP(-(Presion_cilindro!N368-$B$15)/Presion_cilindro!$B$26)*SIN(2*PI()*(Presion_cilindro!N368-$B$15)/Presion_cilindro!$B$39),0)</f>
        <v>50.77123278929956</v>
      </c>
      <c r="T369" s="9">
        <f>IF(Presion_cilindro!N368&gt;$B$14,1-EXP(-Presion_cilindro!$B$16*((Presion_cilindro!N368-$B$14)/Presion_cilindro!$B$35)^(Presion_cilindro!$B$17+1)),0)</f>
        <v>0</v>
      </c>
      <c r="U369" s="10">
        <f>U368*(Presion_cilindro!O367/Presion_cilindro!O368)^Presion_cilindro!$B$9+10*(Presion_cilindro!$B$9-1)*Presion_cilindro!$B$33*(T369-T368)/((Presion_cilindro!O367+Presion_cilindro!O368)/2)</f>
        <v>15.321469074977397</v>
      </c>
    </row>
    <row r="370" spans="14:21" x14ac:dyDescent="0.25">
      <c r="N370" s="8">
        <f>-Presion_cilindro!N369</f>
        <v>-2.5</v>
      </c>
      <c r="O370" s="9">
        <f>IF(Presion_cilindro!N369&gt;$B$12,1-EXP(-Presion_cilindro!$B$16*((Presion_cilindro!N369-$B$12)/Presion_cilindro!$B$35)^(Presion_cilindro!$B$17+1)),0)</f>
        <v>0.48499037380497312</v>
      </c>
      <c r="P370" s="10">
        <f>P369*(Presion_cilindro!O368/Presion_cilindro!O369)^Presion_cilindro!$B$9+10*(Presion_cilindro!$B$9-1)*Presion_cilindro!$B$33*(O370-O369)/((Presion_cilindro!O368+Presion_cilindro!O369)/2)</f>
        <v>30.814311535841902</v>
      </c>
      <c r="Q370" s="9">
        <f>IF(OR($B$9=0,Presion_cilindro!N369&lt;=$B$15),IF(Presion_cilindro!N369&gt;$B$13,1-EXP(-Presion_cilindro!$B$16*((Presion_cilindro!N369-$B$13)/Presion_cilindro!$B$35)^(Presion_cilindro!$B$17+1)),0),$B$8+(1-$B$8)*(1-EXP(-(Presion_cilindro!N369-$B$15)/Presion_cilindro!$B$23)))</f>
        <v>0.99971371524721342</v>
      </c>
      <c r="R370" s="10">
        <f>R369*(Presion_cilindro!O368/Presion_cilindro!O369)^Presion_cilindro!$B$9+10*(Presion_cilindro!$B$9-1)*Presion_cilindro!$B$33*(Q370-Q369)/((Presion_cilindro!O368+Presion_cilindro!O369)/2)</f>
        <v>49.619560279105357</v>
      </c>
      <c r="S370" s="10">
        <f>R370+IF(AND($B$9=1,Presion_cilindro!N369&gt;$B$15),Presion_cilindro!$B$24*2.5*EXP(-(Presion_cilindro!N369-$B$15)/Presion_cilindro!$B$26)*SIN(2*PI()*(Presion_cilindro!N369-$B$15)/Presion_cilindro!$B$39),0)</f>
        <v>46.854367700427673</v>
      </c>
      <c r="T370" s="9">
        <f>IF(Presion_cilindro!N369&gt;$B$14,1-EXP(-Presion_cilindro!$B$16*((Presion_cilindro!N369-$B$14)/Presion_cilindro!$B$35)^(Presion_cilindro!$B$17+1)),0)</f>
        <v>0</v>
      </c>
      <c r="U370" s="10">
        <f>U369*(Presion_cilindro!O368/Presion_cilindro!O369)^Presion_cilindro!$B$9+10*(Presion_cilindro!$B$9-1)*Presion_cilindro!$B$33*(T370-T369)/((Presion_cilindro!O368+Presion_cilindro!O369)/2)</f>
        <v>15.281316997206215</v>
      </c>
    </row>
    <row r="371" spans="14:21" x14ac:dyDescent="0.25">
      <c r="N371" s="8">
        <f>-Presion_cilindro!N370</f>
        <v>-3</v>
      </c>
      <c r="O371" s="9">
        <f>IF(Presion_cilindro!N370&gt;$B$12,1-EXP(-Presion_cilindro!$B$16*((Presion_cilindro!N370-$B$12)/Presion_cilindro!$B$35)^(Presion_cilindro!$B$17+1)),0)</f>
        <v>0.50524589453932089</v>
      </c>
      <c r="P371" s="10">
        <f>P370*(Presion_cilindro!O369/Presion_cilindro!O370)^Presion_cilindro!$B$9+10*(Presion_cilindro!$B$9-1)*Presion_cilindro!$B$33*(O371-O370)/((Presion_cilindro!O369+Presion_cilindro!O370)/2)</f>
        <v>31.358047362249479</v>
      </c>
      <c r="Q371" s="9">
        <f>IF(OR($B$9=0,Presion_cilindro!N370&lt;=$B$15),IF(Presion_cilindro!N370&gt;$B$13,1-EXP(-Presion_cilindro!$B$16*((Presion_cilindro!N370-$B$13)/Presion_cilindro!$B$35)^(Presion_cilindro!$B$17+1)),0),$B$8+(1-$B$8)*(1-EXP(-(Presion_cilindro!N370-$B$15)/Presion_cilindro!$B$23)))</f>
        <v>0.99979486801088857</v>
      </c>
      <c r="R371" s="10">
        <f>R370*(Presion_cilindro!O369/Presion_cilindro!O370)^Presion_cilindro!$B$9+10*(Presion_cilindro!$B$9-1)*Presion_cilindro!$B$33*(Q371-Q370)/((Presion_cilindro!O369+Presion_cilindro!O370)/2)</f>
        <v>49.463626968267313</v>
      </c>
      <c r="S371" s="10">
        <f>R371+IF(AND($B$9=1,Presion_cilindro!N370&gt;$B$15),Presion_cilindro!$B$24*2.5*EXP(-(Presion_cilindro!N370-$B$15)/Presion_cilindro!$B$26)*SIN(2*PI()*(Presion_cilindro!N370-$B$15)/Presion_cilindro!$B$39),0)</f>
        <v>48.536255705679039</v>
      </c>
      <c r="T371" s="9">
        <f>IF(Presion_cilindro!N370&gt;$B$14,1-EXP(-Presion_cilindro!$B$16*((Presion_cilindro!N370-$B$14)/Presion_cilindro!$B$35)^(Presion_cilindro!$B$17+1)),0)</f>
        <v>0</v>
      </c>
      <c r="U371" s="10">
        <f>U370*(Presion_cilindro!O369/Presion_cilindro!O370)^Presion_cilindro!$B$9+10*(Presion_cilindro!$B$9-1)*Presion_cilindro!$B$33*(T371-T370)/((Presion_cilindro!O369+Presion_cilindro!O370)/2)</f>
        <v>15.232501923870363</v>
      </c>
    </row>
    <row r="372" spans="14:21" x14ac:dyDescent="0.25">
      <c r="N372" s="8">
        <f>-Presion_cilindro!N371</f>
        <v>-3.5</v>
      </c>
      <c r="O372" s="9">
        <f>IF(Presion_cilindro!N371&gt;$B$12,1-EXP(-Presion_cilindro!$B$16*((Presion_cilindro!N371-$B$12)/Presion_cilindro!$B$35)^(Presion_cilindro!$B$17+1)),0)</f>
        <v>0.52545786235616743</v>
      </c>
      <c r="P372" s="10">
        <f>P371*(Presion_cilindro!O370/Presion_cilindro!O371)^Presion_cilindro!$B$9+10*(Presion_cilindro!$B$9-1)*Presion_cilindro!$B$33*(O372-O371)/((Presion_cilindro!O370+Presion_cilindro!O371)/2)</f>
        <v>31.87914800287562</v>
      </c>
      <c r="Q372" s="9">
        <f>IF(OR($B$9=0,Presion_cilindro!N371&lt;=$B$15),IF(Presion_cilindro!N371&gt;$B$13,1-EXP(-Presion_cilindro!$B$16*((Presion_cilindro!N371-$B$13)/Presion_cilindro!$B$35)^(Presion_cilindro!$B$17+1)),0),$B$8+(1-$B$8)*(1-EXP(-(Presion_cilindro!N371-$B$15)/Presion_cilindro!$B$23)))</f>
        <v>0.99985301650700131</v>
      </c>
      <c r="R372" s="10">
        <f>R371*(Presion_cilindro!O370/Presion_cilindro!O371)^Presion_cilindro!$B$9+10*(Presion_cilindro!$B$9-1)*Presion_cilindro!$B$33*(Q372-Q371)/((Presion_cilindro!O370+Presion_cilindro!O371)/2)</f>
        <v>49.279316440181987</v>
      </c>
      <c r="S372" s="10">
        <f>R372+IF(AND($B$9=1,Presion_cilindro!N371&gt;$B$15),Presion_cilindro!$B$24*2.5*EXP(-(Presion_cilindro!N371-$B$15)/Presion_cilindro!$B$26)*SIN(2*PI()*(Presion_cilindro!N371-$B$15)/Presion_cilindro!$B$39),0)</f>
        <v>51.7813661534449</v>
      </c>
      <c r="T372" s="9">
        <f>IF(Presion_cilindro!N371&gt;$B$14,1-EXP(-Presion_cilindro!$B$16*((Presion_cilindro!N371-$B$14)/Presion_cilindro!$B$35)^(Presion_cilindro!$B$17+1)),0)</f>
        <v>0</v>
      </c>
      <c r="U372" s="10">
        <f>U371*(Presion_cilindro!O370/Presion_cilindro!O371)^Presion_cilindro!$B$9+10*(Presion_cilindro!$B$9-1)*Presion_cilindro!$B$33*(T372-T371)/((Presion_cilindro!O370+Presion_cilindro!O371)/2)</f>
        <v>15.175176604336531</v>
      </c>
    </row>
    <row r="373" spans="14:21" x14ac:dyDescent="0.25">
      <c r="N373" s="8">
        <f>-Presion_cilindro!N372</f>
        <v>-4</v>
      </c>
      <c r="O373" s="9">
        <f>IF(Presion_cilindro!N372&gt;$B$12,1-EXP(-Presion_cilindro!$B$16*((Presion_cilindro!N372-$B$12)/Presion_cilindro!$B$35)^(Presion_cilindro!$B$17+1)),0)</f>
        <v>0.5455792785270176</v>
      </c>
      <c r="P373" s="10">
        <f>P372*(Presion_cilindro!O371/Presion_cilindro!O372)^Presion_cilindro!$B$9+10*(Presion_cilindro!$B$9-1)*Presion_cilindro!$B$33*(O373-O372)/((Presion_cilindro!O371+Presion_cilindro!O372)/2)</f>
        <v>32.37553046618455</v>
      </c>
      <c r="Q373" s="9">
        <f>IF(OR($B$9=0,Presion_cilindro!N372&lt;=$B$15),IF(Presion_cilindro!N372&gt;$B$13,1-EXP(-Presion_cilindro!$B$16*((Presion_cilindro!N372-$B$13)/Presion_cilindro!$B$35)^(Presion_cilindro!$B$17+1)),0),$B$8+(1-$B$8)*(1-EXP(-(Presion_cilindro!N372-$B$15)/Presion_cilindro!$B$23)))</f>
        <v>0.99989468172512896</v>
      </c>
      <c r="R373" s="10">
        <f>R372*(Presion_cilindro!O371/Presion_cilindro!O372)^Presion_cilindro!$B$9+10*(Presion_cilindro!$B$9-1)*Presion_cilindro!$B$33*(Q373-Q372)/((Presion_cilindro!O371+Presion_cilindro!O372)/2)</f>
        <v>49.0674152463261</v>
      </c>
      <c r="S373" s="10">
        <f>R373+IF(AND($B$9=1,Presion_cilindro!N372&gt;$B$15),Presion_cilindro!$B$24*2.5*EXP(-(Presion_cilindro!N372-$B$15)/Presion_cilindro!$B$26)*SIN(2*PI()*(Presion_cilindro!N372-$B$15)/Presion_cilindro!$B$39),0)</f>
        <v>49.90653546512722</v>
      </c>
      <c r="T373" s="9">
        <f>IF(Presion_cilindro!N372&gt;$B$14,1-EXP(-Presion_cilindro!$B$16*((Presion_cilindro!N372-$B$14)/Presion_cilindro!$B$35)^(Presion_cilindro!$B$17+1)),0)</f>
        <v>0</v>
      </c>
      <c r="U373" s="10">
        <f>U372*(Presion_cilindro!O371/Presion_cilindro!O372)^Presion_cilindro!$B$9+10*(Presion_cilindro!$B$9-1)*Presion_cilindro!$B$33*(T373-T372)/((Presion_cilindro!O371+Presion_cilindro!O372)/2)</f>
        <v>15.109518832812094</v>
      </c>
    </row>
    <row r="374" spans="14:21" x14ac:dyDescent="0.25">
      <c r="N374" s="8">
        <f>-Presion_cilindro!N373</f>
        <v>-4.5</v>
      </c>
      <c r="O374" s="9">
        <f>IF(Presion_cilindro!N373&gt;$B$12,1-EXP(-Presion_cilindro!$B$16*((Presion_cilindro!N373-$B$12)/Presion_cilindro!$B$35)^(Presion_cilindro!$B$17+1)),0)</f>
        <v>0.56556371237405412</v>
      </c>
      <c r="P374" s="10">
        <f>P373*(Presion_cilindro!O372/Presion_cilindro!O373)^Presion_cilindro!$B$9+10*(Presion_cilindro!$B$9-1)*Presion_cilindro!$B$33*(O374-O373)/((Presion_cilindro!O372+Presion_cilindro!O373)/2)</f>
        <v>32.845233135445184</v>
      </c>
      <c r="Q374" s="9">
        <f>IF(OR($B$9=0,Presion_cilindro!N373&lt;=$B$15),IF(Presion_cilindro!N373&gt;$B$13,1-EXP(-Presion_cilindro!$B$16*((Presion_cilindro!N373-$B$13)/Presion_cilindro!$B$35)^(Presion_cilindro!$B$17+1)),0),$B$8+(1-$B$8)*(1-EXP(-(Presion_cilindro!N373-$B$15)/Presion_cilindro!$B$23)))</f>
        <v>0.99992453615847932</v>
      </c>
      <c r="R374" s="10">
        <f>R373*(Presion_cilindro!O372/Presion_cilindro!O373)^Presion_cilindro!$B$9+10*(Presion_cilindro!$B$9-1)*Presion_cilindro!$B$33*(Q374-Q373)/((Presion_cilindro!O372+Presion_cilindro!O373)/2)</f>
        <v>48.828728024921837</v>
      </c>
      <c r="S374" s="10">
        <f>R374+IF(AND($B$9=1,Presion_cilindro!N373&gt;$B$15),Presion_cilindro!$B$24*2.5*EXP(-(Presion_cilindro!N373-$B$15)/Presion_cilindro!$B$26)*SIN(2*PI()*(Presion_cilindro!N373-$B$15)/Presion_cilindro!$B$39),0)</f>
        <v>46.56477982257541</v>
      </c>
      <c r="T374" s="9">
        <f>IF(Presion_cilindro!N373&gt;$B$14,1-EXP(-Presion_cilindro!$B$16*((Presion_cilindro!N373-$B$14)/Presion_cilindro!$B$35)^(Presion_cilindro!$B$17+1)),0)</f>
        <v>0</v>
      </c>
      <c r="U374" s="10">
        <f>U373*(Presion_cilindro!O372/Presion_cilindro!O373)^Presion_cilindro!$B$9+10*(Presion_cilindro!$B$9-1)*Presion_cilindro!$B$33*(T374-T373)/((Presion_cilindro!O372+Presion_cilindro!O373)/2)</f>
        <v>15.035730149834523</v>
      </c>
    </row>
    <row r="375" spans="14:21" x14ac:dyDescent="0.25">
      <c r="N375" s="8">
        <f>-Presion_cilindro!N374</f>
        <v>-5</v>
      </c>
      <c r="O375" s="9">
        <f>IF(Presion_cilindro!N374&gt;$B$12,1-EXP(-Presion_cilindro!$B$16*((Presion_cilindro!N374-$B$12)/Presion_cilindro!$B$35)^(Presion_cilindro!$B$17+1)),0)</f>
        <v>0.58536559395317256</v>
      </c>
      <c r="P375" s="10">
        <f>P374*(Presion_cilindro!O373/Presion_cilindro!O374)^Presion_cilindro!$B$9+10*(Presion_cilindro!$B$9-1)*Presion_cilindro!$B$33*(O375-O374)/((Presion_cilindro!O373+Presion_cilindro!O374)/2)</f>
        <v>33.286432473384529</v>
      </c>
      <c r="Q375" s="9">
        <f>IF(OR($B$9=0,Presion_cilindro!N374&lt;=$B$15),IF(Presion_cilindro!N374&gt;$B$13,1-EXP(-Presion_cilindro!$B$16*((Presion_cilindro!N374-$B$13)/Presion_cilindro!$B$35)^(Presion_cilindro!$B$17+1)),0),$B$8+(1-$B$8)*(1-EXP(-(Presion_cilindro!N374-$B$15)/Presion_cilindro!$B$23)))</f>
        <v>0.99994592779473424</v>
      </c>
      <c r="R375" s="10">
        <f>R374*(Presion_cilindro!O373/Presion_cilindro!O374)^Presion_cilindro!$B$9+10*(Presion_cilindro!$B$9-1)*Presion_cilindro!$B$33*(Q375-Q374)/((Presion_cilindro!O373+Presion_cilindro!O374)/2)</f>
        <v>48.564089406162566</v>
      </c>
      <c r="S375" s="10">
        <f>R375+IF(AND($B$9=1,Presion_cilindro!N374&gt;$B$15),Presion_cilindro!$B$24*2.5*EXP(-(Presion_cilindro!N374-$B$15)/Presion_cilindro!$B$26)*SIN(2*PI()*(Presion_cilindro!N374-$B$15)/Presion_cilindro!$B$39),0)</f>
        <v>47.804822033960797</v>
      </c>
      <c r="T375" s="9">
        <f>IF(Presion_cilindro!N374&gt;$B$14,1-EXP(-Presion_cilindro!$B$16*((Presion_cilindro!N374-$B$14)/Presion_cilindro!$B$35)^(Presion_cilindro!$B$17+1)),0)</f>
        <v>0</v>
      </c>
      <c r="U375" s="10">
        <f>U374*(Presion_cilindro!O373/Presion_cilindro!O374)^Presion_cilindro!$B$9+10*(Presion_cilindro!$B$9-1)*Presion_cilindro!$B$33*(T375-T374)/((Presion_cilindro!O373+Presion_cilindro!O374)/2)</f>
        <v>14.954034392170879</v>
      </c>
    </row>
    <row r="376" spans="14:21" x14ac:dyDescent="0.25">
      <c r="N376" s="8">
        <f>-Presion_cilindro!N375</f>
        <v>-5.5</v>
      </c>
      <c r="O376" s="9">
        <f>IF(Presion_cilindro!N375&gt;$B$12,1-EXP(-Presion_cilindro!$B$16*((Presion_cilindro!N375-$B$12)/Presion_cilindro!$B$35)^(Presion_cilindro!$B$17+1)),0)</f>
        <v>0.60494050096455609</v>
      </c>
      <c r="P376" s="10">
        <f>P375*(Presion_cilindro!O374/Presion_cilindro!O375)^Presion_cilindro!$B$9+10*(Presion_cilindro!$B$9-1)*Presion_cilindro!$B$33*(O376-O375)/((Presion_cilindro!O374+Presion_cilindro!O375)/2)</f>
        <v>33.697458175637948</v>
      </c>
      <c r="Q376" s="9">
        <f>IF(OR($B$9=0,Presion_cilindro!N375&lt;=$B$15),IF(Presion_cilindro!N375&gt;$B$13,1-EXP(-Presion_cilindro!$B$16*((Presion_cilindro!N375-$B$13)/Presion_cilindro!$B$35)^(Presion_cilindro!$B$17+1)),0),$B$8+(1-$B$8)*(1-EXP(-(Presion_cilindro!N375-$B$15)/Presion_cilindro!$B$23)))</f>
        <v>0.9999612555718953</v>
      </c>
      <c r="R376" s="10">
        <f>R375*(Presion_cilindro!O374/Presion_cilindro!O375)^Presion_cilindro!$B$9+10*(Presion_cilindro!$B$9-1)*Presion_cilindro!$B$33*(Q376-Q375)/((Presion_cilindro!O374+Presion_cilindro!O375)/2)</f>
        <v>48.274370823315941</v>
      </c>
      <c r="S376" s="10">
        <f>R376+IF(AND($B$9=1,Presion_cilindro!N375&gt;$B$15),Presion_cilindro!$B$24*2.5*EXP(-(Presion_cilindro!N375-$B$15)/Presion_cilindro!$B$26)*SIN(2*PI()*(Presion_cilindro!N375-$B$15)/Presion_cilindro!$B$39),0)</f>
        <v>50.322875869294229</v>
      </c>
      <c r="T376" s="9">
        <f>IF(Presion_cilindro!N375&gt;$B$14,1-EXP(-Presion_cilindro!$B$16*((Presion_cilindro!N375-$B$14)/Presion_cilindro!$B$35)^(Presion_cilindro!$B$17+1)),0)</f>
        <v>0</v>
      </c>
      <c r="U376" s="10">
        <f>U375*(Presion_cilindro!O374/Presion_cilindro!O375)^Presion_cilindro!$B$9+10*(Presion_cilindro!$B$9-1)*Presion_cilindro!$B$33*(T376-T375)/((Presion_cilindro!O374+Presion_cilindro!O375)/2)</f>
        <v>14.864676109755628</v>
      </c>
    </row>
    <row r="377" spans="14:21" x14ac:dyDescent="0.25">
      <c r="N377" s="8">
        <f>-Presion_cilindro!N376</f>
        <v>-6</v>
      </c>
      <c r="O377" s="9">
        <f>IF(Presion_cilindro!N376&gt;$B$12,1-EXP(-Presion_cilindro!$B$16*((Presion_cilindro!N376-$B$12)/Presion_cilindro!$B$35)^(Presion_cilindro!$B$17+1)),0)</f>
        <v>0.62424543689904621</v>
      </c>
      <c r="P377" s="10">
        <f>P376*(Presion_cilindro!O375/Presion_cilindro!O376)^Presion_cilindro!$B$9+10*(Presion_cilindro!$B$9-1)*Presion_cilindro!$B$33*(O377-O376)/((Presion_cilindro!O375+Presion_cilindro!O376)/2)</f>
        <v>34.076806570726625</v>
      </c>
      <c r="Q377" s="9">
        <f>IF(OR($B$9=0,Presion_cilindro!N376&lt;=$B$15),IF(Presion_cilindro!N376&gt;$B$13,1-EXP(-Presion_cilindro!$B$16*((Presion_cilindro!N376-$B$13)/Presion_cilindro!$B$35)^(Presion_cilindro!$B$17+1)),0),$B$8+(1-$B$8)*(1-EXP(-(Presion_cilindro!N376-$B$15)/Presion_cilindro!$B$23)))</f>
        <v>0.99997223840415272</v>
      </c>
      <c r="R377" s="10">
        <f>R376*(Presion_cilindro!O375/Presion_cilindro!O376)^Presion_cilindro!$B$9+10*(Presion_cilindro!$B$9-1)*Presion_cilindro!$B$33*(Q377-Q376)/((Presion_cilindro!O375+Presion_cilindro!O376)/2)</f>
        <v>47.960483598708812</v>
      </c>
      <c r="S377" s="10">
        <f>R377+IF(AND($B$9=1,Presion_cilindro!N376&gt;$B$15),Presion_cilindro!$B$24*2.5*EXP(-(Presion_cilindro!N376-$B$15)/Presion_cilindro!$B$26)*SIN(2*PI()*(Presion_cilindro!N376-$B$15)/Presion_cilindro!$B$39),0)</f>
        <v>48.647497127370819</v>
      </c>
      <c r="T377" s="9">
        <f>IF(Presion_cilindro!N376&gt;$B$14,1-EXP(-Presion_cilindro!$B$16*((Presion_cilindro!N376-$B$14)/Presion_cilindro!$B$35)^(Presion_cilindro!$B$17+1)),0)</f>
        <v>0</v>
      </c>
      <c r="U377" s="10">
        <f>U376*(Presion_cilindro!O375/Presion_cilindro!O376)^Presion_cilindro!$B$9+10*(Presion_cilindro!$B$9-1)*Presion_cilindro!$B$33*(T377-T376)/((Presion_cilindro!O375+Presion_cilindro!O376)/2)</f>
        <v>14.767918869536345</v>
      </c>
    </row>
    <row r="378" spans="14:21" x14ac:dyDescent="0.25">
      <c r="N378" s="8">
        <f>-Presion_cilindro!N377</f>
        <v>-6.5</v>
      </c>
      <c r="O378" s="9">
        <f>IF(Presion_cilindro!N377&gt;$B$12,1-EXP(-Presion_cilindro!$B$16*((Presion_cilindro!N377-$B$12)/Presion_cilindro!$B$35)^(Presion_cilindro!$B$17+1)),0)</f>
        <v>0.6432390974854334</v>
      </c>
      <c r="P378" s="10">
        <f>P377*(Presion_cilindro!O376/Presion_cilindro!O377)^Presion_cilindro!$B$9+10*(Presion_cilindro!$B$9-1)*Presion_cilindro!$B$33*(O378-O377)/((Presion_cilindro!O376+Presion_cilindro!O377)/2)</f>
        <v>34.423152095716375</v>
      </c>
      <c r="Q378" s="9">
        <f>IF(OR($B$9=0,Presion_cilindro!N377&lt;=$B$15),IF(Presion_cilindro!N377&gt;$B$13,1-EXP(-Presion_cilindro!$B$16*((Presion_cilindro!N377-$B$13)/Presion_cilindro!$B$35)^(Presion_cilindro!$B$17+1)),0),$B$8+(1-$B$8)*(1-EXP(-(Presion_cilindro!N377-$B$15)/Presion_cilindro!$B$23)))</f>
        <v>0.99998010794734393</v>
      </c>
      <c r="R378" s="10">
        <f>R377*(Presion_cilindro!O376/Presion_cilindro!O377)^Presion_cilindro!$B$9+10*(Presion_cilindro!$B$9-1)*Presion_cilindro!$B$33*(Q378-Q377)/((Presion_cilindro!O376+Presion_cilindro!O377)/2)</f>
        <v>47.62337931244938</v>
      </c>
      <c r="S378" s="10">
        <f>R378+IF(AND($B$9=1,Presion_cilindro!N377&gt;$B$15),Presion_cilindro!$B$24*2.5*EXP(-(Presion_cilindro!N377-$B$15)/Presion_cilindro!$B$26)*SIN(2*PI()*(Presion_cilindro!N377-$B$15)/Presion_cilindro!$B$39),0)</f>
        <v>45.769815295812748</v>
      </c>
      <c r="T378" s="9">
        <f>IF(Presion_cilindro!N377&gt;$B$14,1-EXP(-Presion_cilindro!$B$16*((Presion_cilindro!N377-$B$14)/Presion_cilindro!$B$35)^(Presion_cilindro!$B$17+1)),0)</f>
        <v>0</v>
      </c>
      <c r="U378" s="10">
        <f>U377*(Presion_cilindro!O376/Presion_cilindro!O377)^Presion_cilindro!$B$9+10*(Presion_cilindro!$B$9-1)*Presion_cilindro!$B$33*(T378-T377)/((Presion_cilindro!O376+Presion_cilindro!O377)/2)</f>
        <v>14.664043466953865</v>
      </c>
    </row>
    <row r="379" spans="14:21" x14ac:dyDescent="0.25">
      <c r="N379" s="8">
        <f>-Presion_cilindro!N378</f>
        <v>-7</v>
      </c>
      <c r="O379" s="9">
        <f>IF(Presion_cilindro!N378&gt;$B$12,1-EXP(-Presion_cilindro!$B$16*((Presion_cilindro!N378-$B$12)/Presion_cilindro!$B$35)^(Presion_cilindro!$B$17+1)),0)</f>
        <v>0.66188212260538637</v>
      </c>
      <c r="P379" s="10">
        <f>P378*(Presion_cilindro!O377/Presion_cilindro!O378)^Presion_cilindro!$B$9+10*(Presion_cilindro!$B$9-1)*Presion_cilindro!$B$33*(O379-O378)/((Presion_cilindro!O377+Presion_cilindro!O378)/2)</f>
        <v>34.735356711153884</v>
      </c>
      <c r="Q379" s="9">
        <f>IF(OR($B$9=0,Presion_cilindro!N378&lt;=$B$15),IF(Presion_cilindro!N378&gt;$B$13,1-EXP(-Presion_cilindro!$B$16*((Presion_cilindro!N378-$B$13)/Presion_cilindro!$B$35)^(Presion_cilindro!$B$17+1)),0),$B$8+(1-$B$8)*(1-EXP(-(Presion_cilindro!N378-$B$15)/Presion_cilindro!$B$23)))</f>
        <v>0.99998574672144036</v>
      </c>
      <c r="R379" s="10">
        <f>R378*(Presion_cilindro!O377/Presion_cilindro!O378)^Presion_cilindro!$B$9+10*(Presion_cilindro!$B$9-1)*Presion_cilindro!$B$33*(Q379-Q378)/((Presion_cilindro!O377+Presion_cilindro!O378)/2)</f>
        <v>47.264048200584568</v>
      </c>
      <c r="S379" s="10">
        <f>R379+IF(AND($B$9=1,Presion_cilindro!N378&gt;$B$15),Presion_cilindro!$B$24*2.5*EXP(-(Presion_cilindro!N378-$B$15)/Presion_cilindro!$B$26)*SIN(2*PI()*(Presion_cilindro!N378-$B$15)/Presion_cilindro!$B$39),0)</f>
        <v>46.642412653154274</v>
      </c>
      <c r="T379" s="9">
        <f>IF(Presion_cilindro!N378&gt;$B$14,1-EXP(-Presion_cilindro!$B$16*((Presion_cilindro!N378-$B$14)/Presion_cilindro!$B$35)^(Presion_cilindro!$B$17+1)),0)</f>
        <v>0</v>
      </c>
      <c r="U379" s="10">
        <f>U378*(Presion_cilindro!O377/Presion_cilindro!O378)^Presion_cilindro!$B$9+10*(Presion_cilindro!$B$9-1)*Presion_cilindro!$B$33*(T379-T378)/((Presion_cilindro!O377+Presion_cilindro!O378)/2)</f>
        <v>14.553346066252972</v>
      </c>
    </row>
    <row r="380" spans="14:21" x14ac:dyDescent="0.25">
      <c r="N380" s="8">
        <f>-Presion_cilindro!N379</f>
        <v>-7.5</v>
      </c>
      <c r="O380" s="9">
        <f>IF(Presion_cilindro!N379&gt;$B$12,1-EXP(-Presion_cilindro!$B$16*((Presion_cilindro!N379-$B$12)/Presion_cilindro!$B$35)^(Presion_cilindro!$B$17+1)),0)</f>
        <v>0.68013733098858187</v>
      </c>
      <c r="P380" s="10">
        <f>P379*(Presion_cilindro!O378/Presion_cilindro!O379)^Presion_cilindro!$B$9+10*(Presion_cilindro!$B$9-1)*Presion_cilindro!$B$33*(O380-O379)/((Presion_cilindro!O378+Presion_cilindro!O379)/2)</f>
        <v>35.012477155482351</v>
      </c>
      <c r="Q380" s="9">
        <f>IF(OR($B$9=0,Presion_cilindro!N379&lt;=$B$15),IF(Presion_cilindro!N379&gt;$B$13,1-EXP(-Presion_cilindro!$B$16*((Presion_cilindro!N379-$B$13)/Presion_cilindro!$B$35)^(Presion_cilindro!$B$17+1)),0),$B$8+(1-$B$8)*(1-EXP(-(Presion_cilindro!N379-$B$15)/Presion_cilindro!$B$23)))</f>
        <v>0.99998978707963371</v>
      </c>
      <c r="R380" s="10">
        <f>R379*(Presion_cilindro!O378/Presion_cilindro!O379)^Presion_cilindro!$B$9+10*(Presion_cilindro!$B$9-1)*Presion_cilindro!$B$33*(Q380-Q379)/((Presion_cilindro!O378+Presion_cilindro!O379)/2)</f>
        <v>46.883516140167458</v>
      </c>
      <c r="S380" s="10">
        <f>R380+IF(AND($B$9=1,Presion_cilindro!N379&gt;$B$15),Presion_cilindro!$B$24*2.5*EXP(-(Presion_cilindro!N379-$B$15)/Presion_cilindro!$B$26)*SIN(2*PI()*(Presion_cilindro!N379-$B$15)/Presion_cilindro!$B$39),0)</f>
        <v>48.560690219145307</v>
      </c>
      <c r="T380" s="9">
        <f>IF(Presion_cilindro!N379&gt;$B$14,1-EXP(-Presion_cilindro!$B$16*((Presion_cilindro!N379-$B$14)/Presion_cilindro!$B$35)^(Presion_cilindro!$B$17+1)),0)</f>
        <v>0</v>
      </c>
      <c r="U380" s="10">
        <f>U379*(Presion_cilindro!O378/Presion_cilindro!O379)^Presion_cilindro!$B$9+10*(Presion_cilindro!$B$9-1)*Presion_cilindro!$B$33*(T380-T379)/((Presion_cilindro!O378+Presion_cilindro!O379)/2)</f>
        <v>14.436136290913094</v>
      </c>
    </row>
    <row r="381" spans="14:21" x14ac:dyDescent="0.25">
      <c r="N381" s="8">
        <f>-Presion_cilindro!N380</f>
        <v>-8</v>
      </c>
      <c r="O381" s="9">
        <f>IF(Presion_cilindro!N380&gt;$B$12,1-EXP(-Presion_cilindro!$B$16*((Presion_cilindro!N380-$B$12)/Presion_cilindro!$B$35)^(Presion_cilindro!$B$17+1)),0)</f>
        <v>0.69796993518930806</v>
      </c>
      <c r="P381" s="10">
        <f>P380*(Presion_cilindro!O379/Presion_cilindro!O380)^Presion_cilindro!$B$9+10*(Presion_cilindro!$B$9-1)*Presion_cilindro!$B$33*(O381-O380)/((Presion_cilindro!O379+Presion_cilindro!O380)/2)</f>
        <v>35.25376997700446</v>
      </c>
      <c r="Q381" s="9">
        <f>IF(OR($B$9=0,Presion_cilindro!N380&lt;=$B$15),IF(Presion_cilindro!N380&gt;$B$13,1-EXP(-Presion_cilindro!$B$16*((Presion_cilindro!N380-$B$13)/Presion_cilindro!$B$35)^(Presion_cilindro!$B$17+1)),0),$B$8+(1-$B$8)*(1-EXP(-(Presion_cilindro!N380-$B$15)/Presion_cilindro!$B$23)))</f>
        <v>0.99999268212278514</v>
      </c>
      <c r="R381" s="10">
        <f>R380*(Presion_cilindro!O379/Presion_cilindro!O380)^Presion_cilindro!$B$9+10*(Presion_cilindro!$B$9-1)*Presion_cilindro!$B$33*(Q381-Q380)/((Presion_cilindro!O379+Presion_cilindro!O380)/2)</f>
        <v>46.482840641151149</v>
      </c>
      <c r="S381" s="10">
        <f>R381+IF(AND($B$9=1,Presion_cilindro!N380&gt;$B$15),Presion_cilindro!$B$24*2.5*EXP(-(Presion_cilindro!N380-$B$15)/Presion_cilindro!$B$26)*SIN(2*PI()*(Presion_cilindro!N380-$B$15)/Presion_cilindro!$B$39),0)</f>
        <v>47.045319744847355</v>
      </c>
      <c r="T381" s="9">
        <f>IF(Presion_cilindro!N380&gt;$B$14,1-EXP(-Presion_cilindro!$B$16*((Presion_cilindro!N380-$B$14)/Presion_cilindro!$B$35)^(Presion_cilindro!$B$17+1)),0)</f>
        <v>0</v>
      </c>
      <c r="U381" s="10">
        <f>U380*(Presion_cilindro!O379/Presion_cilindro!O380)^Presion_cilindro!$B$9+10*(Presion_cilindro!$B$9-1)*Presion_cilindro!$B$33*(T381-T380)/((Presion_cilindro!O379+Presion_cilindro!O380)/2)</f>
        <v>14.312735285220519</v>
      </c>
    </row>
    <row r="382" spans="14:21" x14ac:dyDescent="0.25">
      <c r="N382" s="8">
        <f>-Presion_cilindro!N381</f>
        <v>-8.5</v>
      </c>
      <c r="O382" s="9">
        <f>IF(Presion_cilindro!N381&gt;$B$12,1-EXP(-Presion_cilindro!$B$16*((Presion_cilindro!N381-$B$12)/Presion_cilindro!$B$35)^(Presion_cilindro!$B$17+1)),0)</f>
        <v>0.71534773457509981</v>
      </c>
      <c r="P382" s="10">
        <f>P381*(Presion_cilindro!O380/Presion_cilindro!O381)^Presion_cilindro!$B$9+10*(Presion_cilindro!$B$9-1)*Presion_cilindro!$B$33*(O382-O381)/((Presion_cilindro!O380+Presion_cilindro!O381)/2)</f>
        <v>35.458694319673178</v>
      </c>
      <c r="Q382" s="9">
        <f>IF(OR($B$9=0,Presion_cilindro!N381&lt;=$B$15),IF(Presion_cilindro!N381&gt;$B$13,1-EXP(-Presion_cilindro!$B$16*((Presion_cilindro!N381-$B$13)/Presion_cilindro!$B$35)^(Presion_cilindro!$B$17+1)),0),$B$8+(1-$B$8)*(1-EXP(-(Presion_cilindro!N381-$B$15)/Presion_cilindro!$B$23)))</f>
        <v>0.99999475651184855</v>
      </c>
      <c r="R382" s="10">
        <f>R381*(Presion_cilindro!O380/Presion_cilindro!O381)^Presion_cilindro!$B$9+10*(Presion_cilindro!$B$9-1)*Presion_cilindro!$B$33*(Q382-Q381)/((Presion_cilindro!O380+Presion_cilindro!O381)/2)</f>
        <v>46.06310616451529</v>
      </c>
      <c r="S382" s="10">
        <f>R382+IF(AND($B$9=1,Presion_cilindro!N381&gt;$B$15),Presion_cilindro!$B$24*2.5*EXP(-(Presion_cilindro!N381-$B$15)/Presion_cilindro!$B$26)*SIN(2*PI()*(Presion_cilindro!N381-$B$15)/Presion_cilindro!$B$39),0)</f>
        <v>44.545536301296131</v>
      </c>
      <c r="T382" s="9">
        <f>IF(Presion_cilindro!N381&gt;$B$14,1-EXP(-Presion_cilindro!$B$16*((Presion_cilindro!N381-$B$14)/Presion_cilindro!$B$35)^(Presion_cilindro!$B$17+1)),0)</f>
        <v>0</v>
      </c>
      <c r="U382" s="10">
        <f>U381*(Presion_cilindro!O380/Presion_cilindro!O381)^Presion_cilindro!$B$9+10*(Presion_cilindro!$B$9-1)*Presion_cilindro!$B$33*(T382-T381)/((Presion_cilindro!O380+Presion_cilindro!O381)/2)</f>
        <v>14.183473767397123</v>
      </c>
    </row>
    <row r="383" spans="14:21" x14ac:dyDescent="0.25">
      <c r="N383" s="8">
        <f>-Presion_cilindro!N382</f>
        <v>-9</v>
      </c>
      <c r="O383" s="9">
        <f>IF(Presion_cilindro!N382&gt;$B$12,1-EXP(-Presion_cilindro!$B$16*((Presion_cilindro!N382-$B$12)/Presion_cilindro!$B$35)^(Presion_cilindro!$B$17+1)),0)</f>
        <v>0.73224128432471147</v>
      </c>
      <c r="P383" s="10">
        <f>P382*(Presion_cilindro!O381/Presion_cilindro!O382)^Presion_cilindro!$B$9+10*(Presion_cilindro!$B$9-1)*Presion_cilindro!$B$33*(O383-O382)/((Presion_cilindro!O381+Presion_cilindro!O382)/2)</f>
        <v>35.626912476672672</v>
      </c>
      <c r="Q383" s="9">
        <f>IF(OR($B$9=0,Presion_cilindro!N382&lt;=$B$15),IF(Presion_cilindro!N382&gt;$B$13,1-EXP(-Presion_cilindro!$B$16*((Presion_cilindro!N382-$B$13)/Presion_cilindro!$B$35)^(Presion_cilindro!$B$17+1)),0),$B$8+(1-$B$8)*(1-EXP(-(Presion_cilindro!N382-$B$15)/Presion_cilindro!$B$23)))</f>
        <v>0.99999624287656297</v>
      </c>
      <c r="R383" s="10">
        <f>R382*(Presion_cilindro!O381/Presion_cilindro!O382)^Presion_cilindro!$B$9+10*(Presion_cilindro!$B$9-1)*Presion_cilindro!$B$33*(Q383-Q382)/((Presion_cilindro!O381+Presion_cilindro!O382)/2)</f>
        <v>45.625419012069543</v>
      </c>
      <c r="S383" s="10">
        <f>R383+IF(AND($B$9=1,Presion_cilindro!N382&gt;$B$15),Presion_cilindro!$B$24*2.5*EXP(-(Presion_cilindro!N382-$B$15)/Presion_cilindro!$B$26)*SIN(2*PI()*(Presion_cilindro!N382-$B$15)/Presion_cilindro!$B$39),0)</f>
        <v>45.116466872181896</v>
      </c>
      <c r="T383" s="9">
        <f>IF(Presion_cilindro!N382&gt;$B$14,1-EXP(-Presion_cilindro!$B$16*((Presion_cilindro!N382-$B$14)/Presion_cilindro!$B$35)^(Presion_cilindro!$B$17+1)),0)</f>
        <v>0</v>
      </c>
      <c r="U383" s="10">
        <f>U382*(Presion_cilindro!O381/Presion_cilindro!O382)^Presion_cilindro!$B$9+10*(Presion_cilindro!$B$9-1)*Presion_cilindro!$B$33*(T383-T382)/((Presion_cilindro!O381+Presion_cilindro!O382)/2)</f>
        <v>14.048690093791173</v>
      </c>
    </row>
    <row r="384" spans="14:21" x14ac:dyDescent="0.25">
      <c r="N384" s="8">
        <f>-Presion_cilindro!N383</f>
        <v>-9.5</v>
      </c>
      <c r="O384" s="9">
        <f>IF(Presion_cilindro!N383&gt;$B$12,1-EXP(-Presion_cilindro!$B$16*((Presion_cilindro!N383-$B$12)/Presion_cilindro!$B$35)^(Presion_cilindro!$B$17+1)),0)</f>
        <v>0.74862403873294425</v>
      </c>
      <c r="P384" s="10">
        <f>P383*(Presion_cilindro!O382/Presion_cilindro!O383)^Presion_cilindro!$B$9+10*(Presion_cilindro!$B$9-1)*Presion_cilindro!$B$33*(O384-O383)/((Presion_cilindro!O382+Presion_cilindro!O383)/2)</f>
        <v>35.75828826205646</v>
      </c>
      <c r="Q384" s="9">
        <f>IF(OR($B$9=0,Presion_cilindro!N383&lt;=$B$15),IF(Presion_cilindro!N383&gt;$B$13,1-EXP(-Presion_cilindro!$B$16*((Presion_cilindro!N383-$B$13)/Presion_cilindro!$B$35)^(Presion_cilindro!$B$17+1)),0),$B$8+(1-$B$8)*(1-EXP(-(Presion_cilindro!N383-$B$15)/Presion_cilindro!$B$23)))</f>
        <v>0.99999730790341967</v>
      </c>
      <c r="R384" s="10">
        <f>R383*(Presion_cilindro!O382/Presion_cilindro!O383)^Presion_cilindro!$B$9+10*(Presion_cilindro!$B$9-1)*Presion_cilindro!$B$33*(Q384-Q383)/((Presion_cilindro!O382+Presion_cilindro!O383)/2)</f>
        <v>45.170901978409901</v>
      </c>
      <c r="S384" s="10">
        <f>R384+IF(AND($B$9=1,Presion_cilindro!N383&gt;$B$15),Presion_cilindro!$B$24*2.5*EXP(-(Presion_cilindro!N383-$B$15)/Presion_cilindro!$B$26)*SIN(2*PI()*(Presion_cilindro!N383-$B$15)/Presion_cilindro!$B$39),0)</f>
        <v>46.544055975134306</v>
      </c>
      <c r="T384" s="9">
        <f>IF(Presion_cilindro!N383&gt;$B$14,1-EXP(-Presion_cilindro!$B$16*((Presion_cilindro!N383-$B$14)/Presion_cilindro!$B$35)^(Presion_cilindro!$B$17+1)),0)</f>
        <v>0</v>
      </c>
      <c r="U384" s="10">
        <f>U383*(Presion_cilindro!O382/Presion_cilindro!O383)^Presion_cilindro!$B$9+10*(Presion_cilindro!$B$9-1)*Presion_cilindro!$B$33*(T384-T383)/((Presion_cilindro!O382+Presion_cilindro!O383)/2)</f>
        <v>13.908728352459098</v>
      </c>
    </row>
    <row r="385" spans="14:21" x14ac:dyDescent="0.25">
      <c r="N385" s="8">
        <f>-Presion_cilindro!N384</f>
        <v>-10</v>
      </c>
      <c r="O385" s="9">
        <f>IF(Presion_cilindro!N384&gt;$B$12,1-EXP(-Presion_cilindro!$B$16*((Presion_cilindro!N384-$B$12)/Presion_cilindro!$B$35)^(Presion_cilindro!$B$17+1)),0)</f>
        <v>0.76447246744880615</v>
      </c>
      <c r="P385" s="10">
        <f>P384*(Presion_cilindro!O383/Presion_cilindro!O384)^Presion_cilindro!$B$9+10*(Presion_cilindro!$B$9-1)*Presion_cilindro!$B$33*(O385-O384)/((Presion_cilindro!O383+Presion_cilindro!O384)/2)</f>
        <v>35.852883284859594</v>
      </c>
      <c r="Q385" s="9">
        <f>IF(OR($B$9=0,Presion_cilindro!N384&lt;=$B$15),IF(Presion_cilindro!N384&gt;$B$13,1-EXP(-Presion_cilindro!$B$16*((Presion_cilindro!N384-$B$13)/Presion_cilindro!$B$35)^(Presion_cilindro!$B$17+1)),0),$B$8+(1-$B$8)*(1-EXP(-(Presion_cilindro!N384-$B$15)/Presion_cilindro!$B$23)))</f>
        <v>0.99999807102850902</v>
      </c>
      <c r="R385" s="10">
        <f>R384*(Presion_cilindro!O383/Presion_cilindro!O384)^Presion_cilindro!$B$9+10*(Presion_cilindro!$B$9-1)*Presion_cilindro!$B$33*(Q385-Q384)/((Presion_cilindro!O383+Presion_cilindro!O384)/2)</f>
        <v>44.700688914115389</v>
      </c>
      <c r="S385" s="10">
        <f>R385+IF(AND($B$9=1,Presion_cilindro!N384&gt;$B$15),Presion_cilindro!$B$24*2.5*EXP(-(Presion_cilindro!N384-$B$15)/Presion_cilindro!$B$26)*SIN(2*PI()*(Presion_cilindro!N384-$B$15)/Presion_cilindro!$B$39),0)</f>
        <v>45.161207854275212</v>
      </c>
      <c r="T385" s="9">
        <f>IF(Presion_cilindro!N384&gt;$B$14,1-EXP(-Presion_cilindro!$B$16*((Presion_cilindro!N384-$B$14)/Presion_cilindro!$B$35)^(Presion_cilindro!$B$17+1)),0)</f>
        <v>0</v>
      </c>
      <c r="U385" s="10">
        <f>U384*(Presion_cilindro!O383/Presion_cilindro!O384)^Presion_cilindro!$B$9+10*(Presion_cilindro!$B$9-1)*Presion_cilindro!$B$33*(T385-T384)/((Presion_cilindro!O383+Presion_cilindro!O384)/2)</f>
        <v>13.763936503061696</v>
      </c>
    </row>
    <row r="386" spans="14:21" x14ac:dyDescent="0.25">
      <c r="N386" s="8">
        <f>-Presion_cilindro!N385</f>
        <v>-10.5</v>
      </c>
      <c r="O386" s="9">
        <f>IF(Presion_cilindro!N385&gt;$B$12,1-EXP(-Presion_cilindro!$B$16*((Presion_cilindro!N385-$B$12)/Presion_cilindro!$B$35)^(Presion_cilindro!$B$17+1)),0)</f>
        <v>0.77976614362576824</v>
      </c>
      <c r="P386" s="10">
        <f>P385*(Presion_cilindro!O384/Presion_cilindro!O385)^Presion_cilindro!$B$9+10*(Presion_cilindro!$B$9-1)*Presion_cilindro!$B$33*(O386-O385)/((Presion_cilindro!O384+Presion_cilindro!O385)/2)</f>
        <v>35.910951241424492</v>
      </c>
      <c r="Q386" s="9">
        <f>IF(OR($B$9=0,Presion_cilindro!N385&lt;=$B$15),IF(Presion_cilindro!N385&gt;$B$13,1-EXP(-Presion_cilindro!$B$16*((Presion_cilindro!N385-$B$13)/Presion_cilindro!$B$35)^(Presion_cilindro!$B$17+1)),0),$B$8+(1-$B$8)*(1-EXP(-(Presion_cilindro!N385-$B$15)/Presion_cilindro!$B$23)))</f>
        <v>0.99999861783152955</v>
      </c>
      <c r="R386" s="10">
        <f>R385*(Presion_cilindro!O384/Presion_cilindro!O385)^Presion_cilindro!$B$9+10*(Presion_cilindro!$B$9-1)*Presion_cilindro!$B$33*(Q386-Q385)/((Presion_cilindro!O384+Presion_cilindro!O385)/2)</f>
        <v>44.215919317624284</v>
      </c>
      <c r="S386" s="10">
        <f>R386+IF(AND($B$9=1,Presion_cilindro!N385&gt;$B$15),Presion_cilindro!$B$24*2.5*EXP(-(Presion_cilindro!N385-$B$15)/Presion_cilindro!$B$26)*SIN(2*PI()*(Presion_cilindro!N385-$B$15)/Presion_cilindro!$B$39),0)</f>
        <v>42.973438200662407</v>
      </c>
      <c r="T386" s="9">
        <f>IF(Presion_cilindro!N385&gt;$B$14,1-EXP(-Presion_cilindro!$B$16*((Presion_cilindro!N385-$B$14)/Presion_cilindro!$B$35)^(Presion_cilindro!$B$17+1)),0)</f>
        <v>0</v>
      </c>
      <c r="U386" s="10">
        <f>U385*(Presion_cilindro!O384/Presion_cilindro!O385)^Presion_cilindro!$B$9+10*(Presion_cilindro!$B$9-1)*Presion_cilindro!$B$33*(T386-T385)/((Presion_cilindro!O384+Presion_cilindro!O385)/2)</f>
        <v>13.614664578413281</v>
      </c>
    </row>
    <row r="387" spans="14:21" x14ac:dyDescent="0.25">
      <c r="N387" s="8">
        <f>-Presion_cilindro!N386</f>
        <v>-11</v>
      </c>
      <c r="O387" s="9">
        <f>IF(Presion_cilindro!N386&gt;$B$12,1-EXP(-Presion_cilindro!$B$16*((Presion_cilindro!N386-$B$12)/Presion_cilindro!$B$35)^(Presion_cilindro!$B$17+1)),0)</f>
        <v>0.7944878033325049</v>
      </c>
      <c r="P387" s="10">
        <f>P386*(Presion_cilindro!O385/Presion_cilindro!O386)^Presion_cilindro!$B$9+10*(Presion_cilindro!$B$9-1)*Presion_cilindro!$B$33*(O387-O386)/((Presion_cilindro!O385+Presion_cilindro!O386)/2)</f>
        <v>35.932930369584973</v>
      </c>
      <c r="Q387" s="9">
        <f>IF(OR($B$9=0,Presion_cilindro!N386&lt;=$B$15),IF(Presion_cilindro!N386&gt;$B$13,1-EXP(-Presion_cilindro!$B$16*((Presion_cilindro!N386-$B$13)/Presion_cilindro!$B$35)^(Presion_cilindro!$B$17+1)),0),$B$8+(1-$B$8)*(1-EXP(-(Presion_cilindro!N386-$B$15)/Presion_cilindro!$B$23)))</f>
        <v>0.99999900963301447</v>
      </c>
      <c r="R387" s="10">
        <f>R386*(Presion_cilindro!O385/Presion_cilindro!O386)^Presion_cilindro!$B$9+10*(Presion_cilindro!$B$9-1)*Presion_cilindro!$B$33*(Q387-Q386)/((Presion_cilindro!O385+Presion_cilindro!O386)/2)</f>
        <v>43.717733048566672</v>
      </c>
      <c r="S387" s="10">
        <f>R387+IF(AND($B$9=1,Presion_cilindro!N386&gt;$B$15),Presion_cilindro!$B$24*2.5*EXP(-(Presion_cilindro!N386-$B$15)/Presion_cilindro!$B$26)*SIN(2*PI()*(Presion_cilindro!N386-$B$15)/Presion_cilindro!$B$39),0)</f>
        <v>43.301038279795804</v>
      </c>
      <c r="T387" s="9">
        <f>IF(Presion_cilindro!N386&gt;$B$14,1-EXP(-Presion_cilindro!$B$16*((Presion_cilindro!N386-$B$14)/Presion_cilindro!$B$35)^(Presion_cilindro!$B$17+1)),0)</f>
        <v>0</v>
      </c>
      <c r="U387" s="10">
        <f>U386*(Presion_cilindro!O385/Presion_cilindro!O386)^Presion_cilindro!$B$9+10*(Presion_cilindro!$B$9-1)*Presion_cilindro!$B$33*(T387-T386)/((Presion_cilindro!O385+Presion_cilindro!O386)/2)</f>
        <v>13.461262961297821</v>
      </c>
    </row>
    <row r="388" spans="14:21" x14ac:dyDescent="0.25">
      <c r="N388" s="8">
        <f>-Presion_cilindro!N387</f>
        <v>-11.5</v>
      </c>
      <c r="O388" s="9">
        <f>IF(Presion_cilindro!N387&gt;$B$12,1-EXP(-Presion_cilindro!$B$16*((Presion_cilindro!N387-$B$12)/Presion_cilindro!$B$35)^(Presion_cilindro!$B$17+1)),0)</f>
        <v>0.80862337595302891</v>
      </c>
      <c r="P388" s="10">
        <f>P387*(Presion_cilindro!O386/Presion_cilindro!O387)^Presion_cilindro!$B$9+10*(Presion_cilindro!$B$9-1)*Presion_cilindro!$B$33*(O388-O387)/((Presion_cilindro!O386+Presion_cilindro!O387)/2)</f>
        <v>35.919434232377235</v>
      </c>
      <c r="Q388" s="9">
        <f>IF(OR($B$9=0,Presion_cilindro!N387&lt;=$B$15),IF(Presion_cilindro!N387&gt;$B$13,1-EXP(-Presion_cilindro!$B$16*((Presion_cilindro!N387-$B$13)/Presion_cilindro!$B$35)^(Presion_cilindro!$B$17+1)),0),$B$8+(1-$B$8)*(1-EXP(-(Presion_cilindro!N387-$B$15)/Presion_cilindro!$B$23)))</f>
        <v>0.99999929037104585</v>
      </c>
      <c r="R388" s="10">
        <f>R387*(Presion_cilindro!O386/Presion_cilindro!O387)^Presion_cilindro!$B$9+10*(Presion_cilindro!$B$9-1)*Presion_cilindro!$B$33*(Q388-Q387)/((Presion_cilindro!O386+Presion_cilindro!O387)/2)</f>
        <v>43.207265235719269</v>
      </c>
      <c r="S388" s="10">
        <f>R388+IF(AND($B$9=1,Presion_cilindro!N387&gt;$B$15),Presion_cilindro!$B$24*2.5*EXP(-(Presion_cilindro!N387-$B$15)/Presion_cilindro!$B$26)*SIN(2*PI()*(Presion_cilindro!N387-$B$15)/Presion_cilindro!$B$39),0)</f>
        <v>44.331508641549483</v>
      </c>
      <c r="T388" s="9">
        <f>IF(Presion_cilindro!N387&gt;$B$14,1-EXP(-Presion_cilindro!$B$16*((Presion_cilindro!N387-$B$14)/Presion_cilindro!$B$35)^(Presion_cilindro!$B$17+1)),0)</f>
        <v>0</v>
      </c>
      <c r="U388" s="10">
        <f>U387*(Presion_cilindro!O386/Presion_cilindro!O387)^Presion_cilindro!$B$9+10*(Presion_cilindro!$B$9-1)*Presion_cilindro!$B$33*(T388-T387)/((Presion_cilindro!O386+Presion_cilindro!O387)/2)</f>
        <v>13.304080748347879</v>
      </c>
    </row>
    <row r="389" spans="14:21" x14ac:dyDescent="0.25">
      <c r="N389" s="8">
        <f>-Presion_cilindro!N388</f>
        <v>-12</v>
      </c>
      <c r="O389" s="9">
        <f>IF(Presion_cilindro!N388&gt;$B$12,1-EXP(-Presion_cilindro!$B$16*((Presion_cilindro!N388-$B$12)/Presion_cilindro!$B$35)^(Presion_cilindro!$B$17+1)),0)</f>
        <v>0.82216198568980636</v>
      </c>
      <c r="P389" s="10">
        <f>P388*(Presion_cilindro!O387/Presion_cilindro!O388)^Presion_cilindro!$B$9+10*(Presion_cilindro!$B$9-1)*Presion_cilindro!$B$33*(O389-O388)/((Presion_cilindro!O387+Presion_cilindro!O388)/2)</f>
        <v>35.871241018750744</v>
      </c>
      <c r="Q389" s="9">
        <f>IF(OR($B$9=0,Presion_cilindro!N388&lt;=$B$15),IF(Presion_cilindro!N388&gt;$B$13,1-EXP(-Presion_cilindro!$B$16*((Presion_cilindro!N388-$B$13)/Presion_cilindro!$B$35)^(Presion_cilindro!$B$17+1)),0),$B$8+(1-$B$8)*(1-EXP(-(Presion_cilindro!N388-$B$15)/Presion_cilindro!$B$23)))</f>
        <v>0.99999949152863543</v>
      </c>
      <c r="R389" s="10">
        <f>R388*(Presion_cilindro!O387/Presion_cilindro!O388)^Presion_cilindro!$B$9+10*(Presion_cilindro!$B$9-1)*Presion_cilindro!$B$33*(Q389-Q388)/((Presion_cilindro!O387+Presion_cilindro!O388)/2)</f>
        <v>42.685641436834786</v>
      </c>
      <c r="S389" s="10">
        <f>R389+IF(AND($B$9=1,Presion_cilindro!N388&gt;$B$15),Presion_cilindro!$B$24*2.5*EXP(-(Presion_cilindro!N388-$B$15)/Presion_cilindro!$B$26)*SIN(2*PI()*(Presion_cilindro!N388-$B$15)/Presion_cilindro!$B$39),0)</f>
        <v>43.062682455518512</v>
      </c>
      <c r="T389" s="9">
        <f>IF(Presion_cilindro!N388&gt;$B$14,1-EXP(-Presion_cilindro!$B$16*((Presion_cilindro!N388-$B$14)/Presion_cilindro!$B$35)^(Presion_cilindro!$B$17+1)),0)</f>
        <v>0</v>
      </c>
      <c r="U389" s="10">
        <f>U388*(Presion_cilindro!O387/Presion_cilindro!O388)^Presion_cilindro!$B$9+10*(Presion_cilindro!$B$9-1)*Presion_cilindro!$B$33*(T389-T388)/((Presion_cilindro!O387+Presion_cilindro!O388)/2)</f>
        <v>13.143464210914832</v>
      </c>
    </row>
    <row r="390" spans="14:21" x14ac:dyDescent="0.25">
      <c r="N390" s="8">
        <f>-Presion_cilindro!N389</f>
        <v>-12.5</v>
      </c>
      <c r="O390" s="9">
        <f>IF(Presion_cilindro!N389&gt;$B$12,1-EXP(-Presion_cilindro!$B$16*((Presion_cilindro!N389-$B$12)/Presion_cilindro!$B$35)^(Presion_cilindro!$B$17+1)),0)</f>
        <v>0.83509592466532956</v>
      </c>
      <c r="P390" s="10">
        <f>P389*(Presion_cilindro!O388/Presion_cilindro!O389)^Presion_cilindro!$B$9+10*(Presion_cilindro!$B$9-1)*Presion_cilindro!$B$33*(O390-O389)/((Presion_cilindro!O388+Presion_cilindro!O389)/2)</f>
        <v>35.789281564107725</v>
      </c>
      <c r="Q390" s="9">
        <f>IF(OR($B$9=0,Presion_cilindro!N389&lt;=$B$15),IF(Presion_cilindro!N389&gt;$B$13,1-EXP(-Presion_cilindro!$B$16*((Presion_cilindro!N389-$B$13)/Presion_cilindro!$B$35)^(Presion_cilindro!$B$17+1)),0),$B$8+(1-$B$8)*(1-EXP(-(Presion_cilindro!N389-$B$15)/Presion_cilindro!$B$23)))</f>
        <v>0.9999996356643468</v>
      </c>
      <c r="R390" s="10">
        <f>R389*(Presion_cilindro!O388/Presion_cilindro!O389)^Presion_cilindro!$B$9+10*(Presion_cilindro!$B$9-1)*Presion_cilindro!$B$33*(Q390-Q389)/((Presion_cilindro!O388+Presion_cilindro!O389)/2)</f>
        <v>42.153973094419584</v>
      </c>
      <c r="S390" s="10">
        <f>R390+IF(AND($B$9=1,Presion_cilindro!N389&gt;$B$15),Presion_cilindro!$B$24*2.5*EXP(-(Presion_cilindro!N389-$B$15)/Presion_cilindro!$B$26)*SIN(2*PI()*(Presion_cilindro!N389-$B$15)/Presion_cilindro!$B$39),0)</f>
        <v>41.136715593844215</v>
      </c>
      <c r="T390" s="9">
        <f>IF(Presion_cilindro!N389&gt;$B$14,1-EXP(-Presion_cilindro!$B$16*((Presion_cilindro!N389-$B$14)/Presion_cilindro!$B$35)^(Presion_cilindro!$B$17+1)),0)</f>
        <v>0</v>
      </c>
      <c r="U390" s="10">
        <f>U389*(Presion_cilindro!O388/Presion_cilindro!O389)^Presion_cilindro!$B$9+10*(Presion_cilindro!$B$9-1)*Presion_cilindro!$B$33*(T390-T389)/((Presion_cilindro!O388+Presion_cilindro!O389)/2)</f>
        <v>12.97975536097953</v>
      </c>
    </row>
    <row r="391" spans="14:21" x14ac:dyDescent="0.25">
      <c r="N391" s="8">
        <f>-Presion_cilindro!N390</f>
        <v>-13</v>
      </c>
      <c r="O391" s="9">
        <f>IF(Presion_cilindro!N390&gt;$B$12,1-EXP(-Presion_cilindro!$B$16*((Presion_cilindro!N390-$B$12)/Presion_cilindro!$B$35)^(Presion_cilindro!$B$17+1)),0)</f>
        <v>0.84742059848984419</v>
      </c>
      <c r="P391" s="10">
        <f>P390*(Presion_cilindro!O389/Presion_cilindro!O390)^Presion_cilindro!$B$9+10*(Presion_cilindro!$B$9-1)*Presion_cilindro!$B$33*(O391-O390)/((Presion_cilindro!O389+Presion_cilindro!O390)/2)</f>
        <v>35.674626304316718</v>
      </c>
      <c r="Q391" s="9">
        <f>IF(OR($B$9=0,Presion_cilindro!N390&lt;=$B$15),IF(Presion_cilindro!N390&gt;$B$13,1-EXP(-Presion_cilindro!$B$16*((Presion_cilindro!N390-$B$13)/Presion_cilindro!$B$35)^(Presion_cilindro!$B$17+1)),0),$B$8+(1-$B$8)*(1-EXP(-(Presion_cilindro!N390-$B$15)/Presion_cilindro!$B$23)))</f>
        <v>0.99999973894209693</v>
      </c>
      <c r="R391" s="10">
        <f>R390*(Presion_cilindro!O389/Presion_cilindro!O390)^Presion_cilindro!$B$9+10*(Presion_cilindro!$B$9-1)*Presion_cilindro!$B$33*(Q391-Q390)/((Presion_cilindro!O389+Presion_cilindro!O390)/2)</f>
        <v>41.613353320440886</v>
      </c>
      <c r="S391" s="10">
        <f>R391+IF(AND($B$9=1,Presion_cilindro!N390&gt;$B$15),Presion_cilindro!$B$24*2.5*EXP(-(Presion_cilindro!N390-$B$15)/Presion_cilindro!$B$26)*SIN(2*PI()*(Presion_cilindro!N390-$B$15)/Presion_cilindro!$B$39),0)</f>
        <v>41.272192498601456</v>
      </c>
      <c r="T391" s="9">
        <f>IF(Presion_cilindro!N390&gt;$B$14,1-EXP(-Presion_cilindro!$B$16*((Presion_cilindro!N390-$B$14)/Presion_cilindro!$B$35)^(Presion_cilindro!$B$17+1)),0)</f>
        <v>0</v>
      </c>
      <c r="U391" s="10">
        <f>U390*(Presion_cilindro!O389/Presion_cilindro!O390)^Presion_cilindro!$B$9+10*(Presion_cilindro!$B$9-1)*Presion_cilindro!$B$33*(T391-T390)/((Presion_cilindro!O389+Presion_cilindro!O390)/2)</f>
        <v>12.813290628301045</v>
      </c>
    </row>
    <row r="392" spans="14:21" x14ac:dyDescent="0.25">
      <c r="N392" s="8">
        <f>-Presion_cilindro!N391</f>
        <v>-13.5</v>
      </c>
      <c r="O392" s="9">
        <f>IF(Presion_cilindro!N391&gt;$B$12,1-EXP(-Presion_cilindro!$B$16*((Presion_cilindro!N391-$B$12)/Presion_cilindro!$B$35)^(Presion_cilindro!$B$17+1)),0)</f>
        <v>0.85913444551866291</v>
      </c>
      <c r="P392" s="10">
        <f>P391*(Presion_cilindro!O390/Presion_cilindro!O391)^Presion_cilindro!$B$9+10*(Presion_cilindro!$B$9-1)*Presion_cilindro!$B$33*(O392-O391)/((Presion_cilindro!O390+Presion_cilindro!O391)/2)</f>
        <v>35.528471383133081</v>
      </c>
      <c r="Q392" s="9">
        <f>IF(OR($B$9=0,Presion_cilindro!N391&lt;=$B$15),IF(Presion_cilindro!N391&gt;$B$13,1-EXP(-Presion_cilindro!$B$16*((Presion_cilindro!N391-$B$13)/Presion_cilindro!$B$35)^(Presion_cilindro!$B$17+1)),0),$B$8+(1-$B$8)*(1-EXP(-(Presion_cilindro!N391-$B$15)/Presion_cilindro!$B$23)))</f>
        <v>0.99999981294383855</v>
      </c>
      <c r="R392" s="10">
        <f>R391*(Presion_cilindro!O390/Presion_cilindro!O391)^Presion_cilindro!$B$9+10*(Presion_cilindro!$B$9-1)*Presion_cilindro!$B$33*(Q392-Q391)/((Presion_cilindro!O390+Presion_cilindro!O391)/2)</f>
        <v>41.064853033473007</v>
      </c>
      <c r="S392" s="10">
        <f>R392+IF(AND($B$9=1,Presion_cilindro!N391&gt;$B$15),Presion_cilindro!$B$24*2.5*EXP(-(Presion_cilindro!N391-$B$15)/Presion_cilindro!$B$26)*SIN(2*PI()*(Presion_cilindro!N391-$B$15)/Presion_cilindro!$B$39),0)</f>
        <v>41.985305683771337</v>
      </c>
      <c r="T392" s="9">
        <f>IF(Presion_cilindro!N391&gt;$B$14,1-EXP(-Presion_cilindro!$B$16*((Presion_cilindro!N391-$B$14)/Presion_cilindro!$B$35)^(Presion_cilindro!$B$17+1)),0)</f>
        <v>0</v>
      </c>
      <c r="U392" s="10">
        <f>U391*(Presion_cilindro!O390/Presion_cilindro!O391)^Presion_cilindro!$B$9+10*(Presion_cilindro!$B$9-1)*Presion_cilindro!$B$33*(T392-T391)/((Presion_cilindro!O390+Presion_cilindro!O391)/2)</f>
        <v>12.64439965320703</v>
      </c>
    </row>
    <row r="393" spans="14:21" x14ac:dyDescent="0.25">
      <c r="N393" s="8">
        <f>-Presion_cilindro!N392</f>
        <v>-14</v>
      </c>
      <c r="O393" s="9">
        <f>IF(Presion_cilindro!N392&gt;$B$12,1-EXP(-Presion_cilindro!$B$16*((Presion_cilindro!N392-$B$12)/Presion_cilindro!$B$35)^(Presion_cilindro!$B$17+1)),0)</f>
        <v>0.87023883135533775</v>
      </c>
      <c r="P393" s="10">
        <f>P392*(Presion_cilindro!O391/Presion_cilindro!O392)^Presion_cilindro!$B$9+10*(Presion_cilindro!$B$9-1)*Presion_cilindro!$B$33*(O393-O392)/((Presion_cilindro!O391+Presion_cilindro!O392)/2)</f>
        <v>35.352124134849788</v>
      </c>
      <c r="Q393" s="9">
        <f>IF(OR($B$9=0,Presion_cilindro!N392&lt;=$B$15),IF(Presion_cilindro!N392&gt;$B$13,1-EXP(-Presion_cilindro!$B$16*((Presion_cilindro!N392-$B$13)/Presion_cilindro!$B$35)^(Presion_cilindro!$B$17+1)),0),$B$8+(1-$B$8)*(1-EXP(-(Presion_cilindro!N392-$B$15)/Presion_cilindro!$B$23)))</f>
        <v>0.99999986596840351</v>
      </c>
      <c r="R393" s="10">
        <f>R392*(Presion_cilindro!O391/Presion_cilindro!O392)^Presion_cilindro!$B$9+10*(Presion_cilindro!$B$9-1)*Presion_cilindro!$B$33*(Q393-Q392)/((Presion_cilindro!O391+Presion_cilindro!O392)/2)</f>
        <v>40.509517463635198</v>
      </c>
      <c r="S393" s="10">
        <f>R393+IF(AND($B$9=1,Presion_cilindro!N392&gt;$B$15),Presion_cilindro!$B$24*2.5*EXP(-(Presion_cilindro!N392-$B$15)/Presion_cilindro!$B$26)*SIN(2*PI()*(Presion_cilindro!N392-$B$15)/Presion_cilindro!$B$39),0)</f>
        <v>40.818212540803415</v>
      </c>
      <c r="T393" s="9">
        <f>IF(Presion_cilindro!N392&gt;$B$14,1-EXP(-Presion_cilindro!$B$16*((Presion_cilindro!N392-$B$14)/Presion_cilindro!$B$35)^(Presion_cilindro!$B$17+1)),0)</f>
        <v>0</v>
      </c>
      <c r="U393" s="10">
        <f>U392*(Presion_cilindro!O391/Presion_cilindro!O392)^Presion_cilindro!$B$9+10*(Presion_cilindro!$B$9-1)*Presion_cilindro!$B$33*(T393-T392)/((Presion_cilindro!O391+Presion_cilindro!O392)/2)</f>
        <v>12.473404197722736</v>
      </c>
    </row>
    <row r="394" spans="14:21" x14ac:dyDescent="0.25">
      <c r="N394" s="8">
        <f>-Presion_cilindro!N393</f>
        <v>-14.5</v>
      </c>
      <c r="O394" s="9">
        <f>IF(Presion_cilindro!N393&gt;$B$12,1-EXP(-Presion_cilindro!$B$16*((Presion_cilindro!N393-$B$12)/Presion_cilindro!$B$35)^(Presion_cilindro!$B$17+1)),0)</f>
        <v>0.88073792046089161</v>
      </c>
      <c r="P394" s="10">
        <f>P393*(Presion_cilindro!O392/Presion_cilindro!O393)^Presion_cilindro!$B$9+10*(Presion_cilindro!$B$9-1)*Presion_cilindro!$B$33*(O394-O393)/((Presion_cilindro!O392+Presion_cilindro!O393)/2)</f>
        <v>35.146988161720564</v>
      </c>
      <c r="Q394" s="9">
        <f>IF(OR($B$9=0,Presion_cilindro!N393&lt;=$B$15),IF(Presion_cilindro!N393&gt;$B$13,1-EXP(-Presion_cilindro!$B$16*((Presion_cilindro!N393-$B$13)/Presion_cilindro!$B$35)^(Presion_cilindro!$B$17+1)),0),$B$8+(1-$B$8)*(1-EXP(-(Presion_cilindro!N393-$B$15)/Presion_cilindro!$B$23)))</f>
        <v>0.99999990396216454</v>
      </c>
      <c r="R394" s="10">
        <f>R393*(Presion_cilindro!O392/Presion_cilindro!O393)^Presion_cilindro!$B$9+10*(Presion_cilindro!$B$9-1)*Presion_cilindro!$B$33*(Q394-Q393)/((Presion_cilindro!O392+Presion_cilindro!O393)/2)</f>
        <v>39.94836303361987</v>
      </c>
      <c r="S394" s="10">
        <f>R394+IF(AND($B$9=1,Presion_cilindro!N393&gt;$B$15),Presion_cilindro!$B$24*2.5*EXP(-(Presion_cilindro!N393-$B$15)/Presion_cilindro!$B$26)*SIN(2*PI()*(Presion_cilindro!N393-$B$15)/Presion_cilindro!$B$39),0)</f>
        <v>39.115503034099575</v>
      </c>
      <c r="T394" s="9">
        <f>IF(Presion_cilindro!N393&gt;$B$14,1-EXP(-Presion_cilindro!$B$16*((Presion_cilindro!N393-$B$14)/Presion_cilindro!$B$35)^(Presion_cilindro!$B$17+1)),0)</f>
        <v>0</v>
      </c>
      <c r="U394" s="10">
        <f>U393*(Presion_cilindro!O392/Presion_cilindro!O393)^Presion_cilindro!$B$9+10*(Presion_cilindro!$B$9-1)*Presion_cilindro!$B$33*(T394-T393)/((Presion_cilindro!O392+Presion_cilindro!O393)/2)</f>
        <v>12.300617176140848</v>
      </c>
    </row>
    <row r="395" spans="14:21" x14ac:dyDescent="0.25">
      <c r="N395" s="8">
        <f>-Presion_cilindro!N394</f>
        <v>-15</v>
      </c>
      <c r="O395" s="9">
        <f>IF(Presion_cilindro!N394&gt;$B$12,1-EXP(-Presion_cilindro!$B$16*((Presion_cilindro!N394-$B$12)/Presion_cilindro!$B$35)^(Presion_cilindro!$B$17+1)),0)</f>
        <v>0.89063852699895996</v>
      </c>
      <c r="P395" s="10">
        <f>P394*(Presion_cilindro!O393/Presion_cilindro!O394)^Presion_cilindro!$B$9+10*(Presion_cilindro!$B$9-1)*Presion_cilindro!$B$33*(O395-O394)/((Presion_cilindro!O393+Presion_cilindro!O394)/2)</f>
        <v>34.914548219537352</v>
      </c>
      <c r="Q395" s="9">
        <f>IF(OR($B$9=0,Presion_cilindro!N394&lt;=$B$15),IF(Presion_cilindro!N394&gt;$B$13,1-EXP(-Presion_cilindro!$B$16*((Presion_cilindro!N394-$B$13)/Presion_cilindro!$B$35)^(Presion_cilindro!$B$17+1)),0),$B$8+(1-$B$8)*(1-EXP(-(Presion_cilindro!N394-$B$15)/Presion_cilindro!$B$23)))</f>
        <v>0.99999993118588382</v>
      </c>
      <c r="R395" s="10">
        <f>R394*(Presion_cilindro!O393/Presion_cilindro!O394)^Presion_cilindro!$B$9+10*(Presion_cilindro!$B$9-1)*Presion_cilindro!$B$33*(Q395-Q394)/((Presion_cilindro!O393+Presion_cilindro!O394)/2)</f>
        <v>39.382374617993015</v>
      </c>
      <c r="S395" s="10">
        <f>R395+IF(AND($B$9=1,Presion_cilindro!N394&gt;$B$15),Presion_cilindro!$B$24*2.5*EXP(-(Presion_cilindro!N394-$B$15)/Presion_cilindro!$B$26)*SIN(2*PI()*(Presion_cilindro!N394-$B$15)/Presion_cilindro!$B$39),0)</f>
        <v>39.103055761407717</v>
      </c>
      <c r="T395" s="9">
        <f>IF(Presion_cilindro!N394&gt;$B$14,1-EXP(-Presion_cilindro!$B$16*((Presion_cilindro!N394-$B$14)/Presion_cilindro!$B$35)^(Presion_cilindro!$B$17+1)),0)</f>
        <v>0</v>
      </c>
      <c r="U395" s="10">
        <f>U394*(Presion_cilindro!O393/Presion_cilindro!O394)^Presion_cilindro!$B$9+10*(Presion_cilindro!$B$9-1)*Presion_cilindro!$B$33*(T395-T394)/((Presion_cilindro!O393+Presion_cilindro!O394)/2)</f>
        <v>12.126341804664458</v>
      </c>
    </row>
    <row r="396" spans="14:21" x14ac:dyDescent="0.25">
      <c r="N396" s="8">
        <f>-Presion_cilindro!N395</f>
        <v>-15.5</v>
      </c>
      <c r="O396" s="9">
        <f>IF(Presion_cilindro!N395&gt;$B$12,1-EXP(-Presion_cilindro!$B$16*((Presion_cilindro!N395-$B$12)/Presion_cilindro!$B$35)^(Presion_cilindro!$B$17+1)),0)</f>
        <v>0.89994994727744471</v>
      </c>
      <c r="P396" s="10">
        <f>P395*(Presion_cilindro!O394/Presion_cilindro!O395)^Presion_cilindro!$B$9+10*(Presion_cilindro!$B$9-1)*Presion_cilindro!$B$33*(O396-O395)/((Presion_cilindro!O394+Presion_cilindro!O395)/2)</f>
        <v>34.656355115103146</v>
      </c>
      <c r="Q396" s="9">
        <f>IF(OR($B$9=0,Presion_cilindro!N395&lt;=$B$15),IF(Presion_cilindro!N395&gt;$B$13,1-EXP(-Presion_cilindro!$B$16*((Presion_cilindro!N395-$B$13)/Presion_cilindro!$B$35)^(Presion_cilindro!$B$17+1)),0),$B$8+(1-$B$8)*(1-EXP(-(Presion_cilindro!N395-$B$15)/Presion_cilindro!$B$23)))</f>
        <v>0.99999995069253123</v>
      </c>
      <c r="R396" s="10">
        <f>R395*(Presion_cilindro!O394/Presion_cilindro!O395)^Presion_cilindro!$B$9+10*(Presion_cilindro!$B$9-1)*Presion_cilindro!$B$33*(Q396-Q395)/((Presion_cilindro!O394+Presion_cilindro!O395)/2)</f>
        <v>38.812503177686402</v>
      </c>
      <c r="S396" s="10">
        <f>R396+IF(AND($B$9=1,Presion_cilindro!N395&gt;$B$15),Presion_cilindro!$B$24*2.5*EXP(-(Presion_cilindro!N395-$B$15)/Presion_cilindro!$B$26)*SIN(2*PI()*(Presion_cilindro!N395-$B$15)/Presion_cilindro!$B$39),0)</f>
        <v>39.566106069237776</v>
      </c>
      <c r="T396" s="9">
        <f>IF(Presion_cilindro!N395&gt;$B$14,1-EXP(-Presion_cilindro!$B$16*((Presion_cilindro!N395-$B$14)/Presion_cilindro!$B$35)^(Presion_cilindro!$B$17+1)),0)</f>
        <v>0</v>
      </c>
      <c r="U396" s="10">
        <f>U395*(Presion_cilindro!O394/Presion_cilindro!O395)^Presion_cilindro!$B$9+10*(Presion_cilindro!$B$9-1)*Presion_cilindro!$B$33*(T396-T395)/((Presion_cilindro!O394+Presion_cilindro!O395)/2)</f>
        <v>11.950870868431338</v>
      </c>
    </row>
    <row r="397" spans="14:21" x14ac:dyDescent="0.25">
      <c r="N397" s="8">
        <f>-Presion_cilindro!N396</f>
        <v>-16</v>
      </c>
      <c r="O397" s="9">
        <f>IF(Presion_cilindro!N396&gt;$B$12,1-EXP(-Presion_cilindro!$B$16*((Presion_cilindro!N396-$B$12)/Presion_cilindro!$B$35)^(Presion_cilindro!$B$17+1)),0)</f>
        <v>0.90868377633532382</v>
      </c>
      <c r="P397" s="10">
        <f>P396*(Presion_cilindro!O395/Presion_cilindro!O396)^Presion_cilindro!$B$9+10*(Presion_cilindro!$B$9-1)*Presion_cilindro!$B$33*(O397-O396)/((Presion_cilindro!O395+Presion_cilindro!O396)/2)</f>
        <v>34.374010806631702</v>
      </c>
      <c r="Q397" s="9">
        <f>IF(OR($B$9=0,Presion_cilindro!N396&lt;=$B$15),IF(Presion_cilindro!N396&gt;$B$13,1-EXP(-Presion_cilindro!$B$16*((Presion_cilindro!N396-$B$13)/Presion_cilindro!$B$35)^(Presion_cilindro!$B$17+1)),0),$B$8+(1-$B$8)*(1-EXP(-(Presion_cilindro!N396-$B$15)/Presion_cilindro!$B$23)))</f>
        <v>0.99999996466965468</v>
      </c>
      <c r="R397" s="10">
        <f>R396*(Presion_cilindro!O395/Presion_cilindro!O396)^Presion_cilindro!$B$9+10*(Presion_cilindro!$B$9-1)*Presion_cilindro!$B$33*(Q397-Q396)/((Presion_cilindro!O395+Presion_cilindro!O396)/2)</f>
        <v>38.239663762093166</v>
      </c>
      <c r="S397" s="10">
        <f>R397+IF(AND($B$9=1,Presion_cilindro!N396&gt;$B$15),Presion_cilindro!$B$24*2.5*EXP(-(Presion_cilindro!N396-$B$15)/Presion_cilindro!$B$26)*SIN(2*PI()*(Presion_cilindro!N396-$B$15)/Presion_cilindro!$B$39),0)</f>
        <v>38.492401915094561</v>
      </c>
      <c r="T397" s="9">
        <f>IF(Presion_cilindro!N396&gt;$B$14,1-EXP(-Presion_cilindro!$B$16*((Presion_cilindro!N396-$B$14)/Presion_cilindro!$B$35)^(Presion_cilindro!$B$17+1)),0)</f>
        <v>0</v>
      </c>
      <c r="U397" s="10">
        <f>U396*(Presion_cilindro!O395/Presion_cilindro!O396)^Presion_cilindro!$B$9+10*(Presion_cilindro!$B$9-1)*Presion_cilindro!$B$33*(T397-T396)/((Presion_cilindro!O395+Presion_cilindro!O396)/2)</f>
        <v>11.774486103051757</v>
      </c>
    </row>
    <row r="398" spans="14:21" x14ac:dyDescent="0.25">
      <c r="N398" s="8">
        <f>-Presion_cilindro!N397</f>
        <v>-16.5</v>
      </c>
      <c r="O398" s="9">
        <f>IF(Presion_cilindro!N397&gt;$B$12,1-EXP(-Presion_cilindro!$B$16*((Presion_cilindro!N397-$B$12)/Presion_cilindro!$B$35)^(Presion_cilindro!$B$17+1)),0)</f>
        <v>0.9168537113657782</v>
      </c>
      <c r="P398" s="10">
        <f>P397*(Presion_cilindro!O396/Presion_cilindro!O397)^Presion_cilindro!$B$9+10*(Presion_cilindro!$B$9-1)*Presion_cilindro!$B$33*(O398-O397)/((Presion_cilindro!O396+Presion_cilindro!O397)/2)</f>
        <v>34.069153882810411</v>
      </c>
      <c r="Q398" s="9">
        <f>IF(OR($B$9=0,Presion_cilindro!N397&lt;=$B$15),IF(Presion_cilindro!N397&gt;$B$13,1-EXP(-Presion_cilindro!$B$16*((Presion_cilindro!N397-$B$13)/Presion_cilindro!$B$35)^(Presion_cilindro!$B$17+1)),0),$B$8+(1-$B$8)*(1-EXP(-(Presion_cilindro!N397-$B$15)/Presion_cilindro!$B$23)))</f>
        <v>0.99999997468470148</v>
      </c>
      <c r="R398" s="10">
        <f>R397*(Presion_cilindro!O396/Presion_cilindro!O397)^Presion_cilindro!$B$9+10*(Presion_cilindro!$B$9-1)*Presion_cilindro!$B$33*(Q398-Q397)/((Presion_cilindro!O396+Presion_cilindro!O397)/2)</f>
        <v>37.664733867376519</v>
      </c>
      <c r="S398" s="10">
        <f>R398+IF(AND($B$9=1,Presion_cilindro!N397&gt;$B$15),Presion_cilindro!$B$24*2.5*EXP(-(Presion_cilindro!N397-$B$15)/Presion_cilindro!$B$26)*SIN(2*PI()*(Presion_cilindro!N397-$B$15)/Presion_cilindro!$B$39),0)</f>
        <v>36.98284577276074</v>
      </c>
      <c r="T398" s="9">
        <f>IF(Presion_cilindro!N397&gt;$B$14,1-EXP(-Presion_cilindro!$B$16*((Presion_cilindro!N397-$B$14)/Presion_cilindro!$B$35)^(Presion_cilindro!$B$17+1)),0)</f>
        <v>0</v>
      </c>
      <c r="U398" s="10">
        <f>U397*(Presion_cilindro!O396/Presion_cilindro!O397)^Presion_cilindro!$B$9+10*(Presion_cilindro!$B$9-1)*Presion_cilindro!$B$33*(T398-T397)/((Presion_cilindro!O396+Presion_cilindro!O397)/2)</f>
        <v>11.597457686773055</v>
      </c>
    </row>
    <row r="399" spans="14:21" x14ac:dyDescent="0.25">
      <c r="N399" s="8">
        <f>-Presion_cilindro!N398</f>
        <v>-17</v>
      </c>
      <c r="O399" s="9">
        <f>IF(Presion_cilindro!N398&gt;$B$12,1-EXP(-Presion_cilindro!$B$16*((Presion_cilindro!N398-$B$12)/Presion_cilindro!$B$35)^(Presion_cilindro!$B$17+1)),0)</f>
        <v>0.92447534476192761</v>
      </c>
      <c r="P399" s="10">
        <f>P398*(Presion_cilindro!O397/Presion_cilindro!O398)^Presion_cilindro!$B$9+10*(Presion_cilindro!$B$9-1)*Presion_cilindro!$B$33*(O399-O398)/((Presion_cilindro!O397+Presion_cilindro!O398)/2)</f>
        <v>33.743445578869391</v>
      </c>
      <c r="Q399" s="9">
        <f>IF(OR($B$9=0,Presion_cilindro!N398&lt;=$B$15),IF(Presion_cilindro!N398&gt;$B$13,1-EXP(-Presion_cilindro!$B$16*((Presion_cilindro!N398-$B$13)/Presion_cilindro!$B$35)^(Presion_cilindro!$B$17+1)),0),$B$8+(1-$B$8)*(1-EXP(-(Presion_cilindro!N398-$B$15)/Presion_cilindro!$B$23)))</f>
        <v>0.99999998186079586</v>
      </c>
      <c r="R399" s="10">
        <f>R398*(Presion_cilindro!O397/Presion_cilindro!O398)^Presion_cilindro!$B$9+10*(Presion_cilindro!$B$9-1)*Presion_cilindro!$B$33*(Q399-Q398)/((Presion_cilindro!O397+Presion_cilindro!O398)/2)</f>
        <v>37.088552136444058</v>
      </c>
      <c r="S399" s="10">
        <f>R399+IF(AND($B$9=1,Presion_cilindro!N398&gt;$B$15),Presion_cilindro!$B$24*2.5*EXP(-(Presion_cilindro!N398-$B$15)/Presion_cilindro!$B$26)*SIN(2*PI()*(Presion_cilindro!N398-$B$15)/Presion_cilindro!$B$39),0)</f>
        <v>36.859865198643092</v>
      </c>
      <c r="T399" s="9">
        <f>IF(Presion_cilindro!N398&gt;$B$14,1-EXP(-Presion_cilindro!$B$16*((Presion_cilindro!N398-$B$14)/Presion_cilindro!$B$35)^(Presion_cilindro!$B$17+1)),0)</f>
        <v>0</v>
      </c>
      <c r="U399" s="10">
        <f>U398*(Presion_cilindro!O397/Presion_cilindro!O398)^Presion_cilindro!$B$9+10*(Presion_cilindro!$B$9-1)*Presion_cilindro!$B$33*(T399-T398)/((Presion_cilindro!O397+Presion_cilindro!O398)/2)</f>
        <v>11.42004383852068</v>
      </c>
    </row>
    <row r="400" spans="14:21" x14ac:dyDescent="0.25">
      <c r="N400" s="8">
        <f>-Presion_cilindro!N399</f>
        <v>-17.5</v>
      </c>
      <c r="O400" s="9">
        <f>IF(Presion_cilindro!N399&gt;$B$12,1-EXP(-Presion_cilindro!$B$16*((Presion_cilindro!N399-$B$12)/Presion_cilindro!$B$35)^(Presion_cilindro!$B$17+1)),0)</f>
        <v>0.93156594961841876</v>
      </c>
      <c r="P400" s="10">
        <f>P399*(Presion_cilindro!O398/Presion_cilindro!O399)^Presion_cilindro!$B$9+10*(Presion_cilindro!$B$9-1)*Presion_cilindro!$B$33*(O400-O399)/((Presion_cilindro!O398+Presion_cilindro!O399)/2)</f>
        <v>33.398556469019624</v>
      </c>
      <c r="Q400" s="9">
        <f>IF(OR($B$9=0,Presion_cilindro!N399&lt;=$B$15),IF(Presion_cilindro!N399&gt;$B$13,1-EXP(-Presion_cilindro!$B$16*((Presion_cilindro!N399-$B$13)/Presion_cilindro!$B$35)^(Presion_cilindro!$B$17+1)),0),$B$8+(1-$B$8)*(1-EXP(-(Presion_cilindro!N399-$B$15)/Presion_cilindro!$B$23)))</f>
        <v>0.99999998700269233</v>
      </c>
      <c r="R400" s="10">
        <f>R399*(Presion_cilindro!O398/Presion_cilindro!O399)^Presion_cilindro!$B$9+10*(Presion_cilindro!$B$9-1)*Presion_cilindro!$B$33*(Q400-Q399)/((Presion_cilindro!O398+Presion_cilindro!O399)/2)</f>
        <v>36.511917383487571</v>
      </c>
      <c r="S400" s="10">
        <f>R400+IF(AND($B$9=1,Presion_cilindro!N399&gt;$B$15),Presion_cilindro!$B$24*2.5*EXP(-(Presion_cilindro!N399-$B$15)/Presion_cilindro!$B$26)*SIN(2*PI()*(Presion_cilindro!N399-$B$15)/Presion_cilindro!$B$39),0)</f>
        <v>37.128915246409171</v>
      </c>
      <c r="T400" s="9">
        <f>IF(Presion_cilindro!N399&gt;$B$14,1-EXP(-Presion_cilindro!$B$16*((Presion_cilindro!N399-$B$14)/Presion_cilindro!$B$35)^(Presion_cilindro!$B$17+1)),0)</f>
        <v>1.1063397047372803E-6</v>
      </c>
      <c r="U400" s="10">
        <f>U399*(Presion_cilindro!O398/Presion_cilindro!O399)^Presion_cilindro!$B$9+10*(Presion_cilindro!$B$9-1)*Presion_cilindro!$B$33*(T400-T399)/((Presion_cilindro!O398+Presion_cilindro!O399)/2)</f>
        <v>11.242518560639214</v>
      </c>
    </row>
    <row r="401" spans="14:21" x14ac:dyDescent="0.25">
      <c r="N401" s="8">
        <f>-Presion_cilindro!N400</f>
        <v>-18</v>
      </c>
      <c r="O401" s="9">
        <f>IF(Presion_cilindro!N400&gt;$B$12,1-EXP(-Presion_cilindro!$B$16*((Presion_cilindro!N400-$B$12)/Presion_cilindro!$B$35)^(Presion_cilindro!$B$17+1)),0)</f>
        <v>0.93814426052113564</v>
      </c>
      <c r="P401" s="10">
        <f>P400*(Presion_cilindro!O399/Presion_cilindro!O400)^Presion_cilindro!$B$9+10*(Presion_cilindro!$B$9-1)*Presion_cilindro!$B$33*(O401-O400)/((Presion_cilindro!O399+Presion_cilindro!O400)/2)</f>
        <v>33.036153954547643</v>
      </c>
      <c r="Q401" s="9">
        <f>IF(OR($B$9=0,Presion_cilindro!N400&lt;=$B$15),IF(Presion_cilindro!N400&gt;$B$13,1-EXP(-Presion_cilindro!$B$16*((Presion_cilindro!N400-$B$13)/Presion_cilindro!$B$35)^(Presion_cilindro!$B$17+1)),0),$B$8+(1-$B$8)*(1-EXP(-(Presion_cilindro!N400-$B$15)/Presion_cilindro!$B$23)))</f>
        <v>0.99999999068702206</v>
      </c>
      <c r="R401" s="10">
        <f>R400*(Presion_cilindro!O399/Presion_cilindro!O400)^Presion_cilindro!$B$9+10*(Presion_cilindro!$B$9-1)*Presion_cilindro!$B$33*(Q401-Q400)/((Presion_cilindro!O399+Presion_cilindro!O400)/2)</f>
        <v>35.935587923982581</v>
      </c>
      <c r="S401" s="10">
        <f>R401+IF(AND($B$9=1,Presion_cilindro!N400&gt;$B$15),Presion_cilindro!$B$24*2.5*EXP(-(Presion_cilindro!N400-$B$15)/Presion_cilindro!$B$26)*SIN(2*PI()*(Presion_cilindro!N400-$B$15)/Presion_cilindro!$B$39),0)</f>
        <v>36.142512422320955</v>
      </c>
      <c r="T401" s="9">
        <f>IF(Presion_cilindro!N400&gt;$B$14,1-EXP(-Presion_cilindro!$B$16*((Presion_cilindro!N400-$B$14)/Presion_cilindro!$B$35)^(Presion_cilindro!$B$17+1)),0)</f>
        <v>2.0979270382137649E-5</v>
      </c>
      <c r="U401" s="10">
        <f>U400*(Presion_cilindro!O399/Presion_cilindro!O400)^Presion_cilindro!$B$9+10*(Presion_cilindro!$B$9-1)*Presion_cilindro!$B$33*(T401-T400)/((Presion_cilindro!O399+Presion_cilindro!O400)/2)</f>
        <v>11.065556619468065</v>
      </c>
    </row>
    <row r="402" spans="14:21" x14ac:dyDescent="0.25">
      <c r="N402" s="8">
        <f>-Presion_cilindro!N401</f>
        <v>-18.5</v>
      </c>
      <c r="O402" s="9">
        <f>IF(Presion_cilindro!N401&gt;$B$12,1-EXP(-Presion_cilindro!$B$16*((Presion_cilindro!N401-$B$12)/Presion_cilindro!$B$35)^(Presion_cilindro!$B$17+1)),0)</f>
        <v>0.94423025240966141</v>
      </c>
      <c r="P402" s="10">
        <f>P401*(Presion_cilindro!O400/Presion_cilindro!O401)^Presion_cilindro!$B$9+10*(Presion_cilindro!$B$9-1)*Presion_cilindro!$B$33*(O402-O401)/((Presion_cilindro!O400+Presion_cilindro!O401)/2)</f>
        <v>32.657890646180348</v>
      </c>
      <c r="Q402" s="9">
        <f>IF(OR($B$9=0,Presion_cilindro!N401&lt;=$B$15),IF(Presion_cilindro!N401&gt;$B$13,1-EXP(-Presion_cilindro!$B$16*((Presion_cilindro!N401-$B$13)/Presion_cilindro!$B$35)^(Presion_cilindro!$B$17+1)),0),$B$8+(1-$B$8)*(1-EXP(-(Presion_cilindro!N401-$B$15)/Presion_cilindro!$B$23)))</f>
        <v>0.99999999332695977</v>
      </c>
      <c r="R402" s="10">
        <f>R401*(Presion_cilindro!O400/Presion_cilindro!O401)^Presion_cilindro!$B$9+10*(Presion_cilindro!$B$9-1)*Presion_cilindro!$B$33*(Q402-Q401)/((Presion_cilindro!O400+Presion_cilindro!O401)/2)</f>
        <v>35.360281189551706</v>
      </c>
      <c r="S402" s="10">
        <f>R402+IF(AND($B$9=1,Presion_cilindro!N401&gt;$B$15),Presion_cilindro!$B$24*2.5*EXP(-(Presion_cilindro!N401-$B$15)/Presion_cilindro!$B$26)*SIN(2*PI()*(Presion_cilindro!N401-$B$15)/Presion_cilindro!$B$39),0)</f>
        <v>34.801998436332021</v>
      </c>
      <c r="T402" s="9">
        <f>IF(Presion_cilindro!N401&gt;$B$14,1-EXP(-Presion_cilindro!$B$16*((Presion_cilindro!N401-$B$14)/Presion_cilindro!$B$35)^(Presion_cilindro!$B$17+1)),0)</f>
        <v>9.0019269348484698E-5</v>
      </c>
      <c r="U402" s="10">
        <f>U401*(Presion_cilindro!O400/Presion_cilindro!O401)^Presion_cilindro!$B$9+10*(Presion_cilindro!$B$9-1)*Presion_cilindro!$B$33*(T402-T401)/((Presion_cilindro!O400+Presion_cilindro!O401)/2)</f>
        <v>10.890112527211519</v>
      </c>
    </row>
    <row r="403" spans="14:21" x14ac:dyDescent="0.25">
      <c r="N403" s="8">
        <f>-Presion_cilindro!N402</f>
        <v>-19</v>
      </c>
      <c r="O403" s="9">
        <f>IF(Presion_cilindro!N402&gt;$B$12,1-EXP(-Presion_cilindro!$B$16*((Presion_cilindro!N402-$B$12)/Presion_cilindro!$B$35)^(Presion_cilindro!$B$17+1)),0)</f>
        <v>0.94984492020510347</v>
      </c>
      <c r="P403" s="10">
        <f>P402*(Presion_cilindro!O401/Presion_cilindro!O402)^Presion_cilindro!$B$9+10*(Presion_cilindro!$B$9-1)*Presion_cilindro!$B$33*(O403-O402)/((Presion_cilindro!O401+Presion_cilindro!O402)/2)</f>
        <v>32.265393718513032</v>
      </c>
      <c r="Q403" s="9">
        <f>IF(OR($B$9=0,Presion_cilindro!N402&lt;=$B$15),IF(Presion_cilindro!N402&gt;$B$13,1-EXP(-Presion_cilindro!$B$16*((Presion_cilindro!N402-$B$13)/Presion_cilindro!$B$35)^(Presion_cilindro!$B$17+1)),0),$B$8+(1-$B$8)*(1-EXP(-(Presion_cilindro!N402-$B$15)/Presion_cilindro!$B$23)))</f>
        <v>0.99999999521855776</v>
      </c>
      <c r="R403" s="10">
        <f>R402*(Presion_cilindro!O401/Presion_cilindro!O402)^Presion_cilindro!$B$9+10*(Presion_cilindro!$B$9-1)*Presion_cilindro!$B$33*(Q403-Q402)/((Presion_cilindro!O401+Presion_cilindro!O402)/2)</f>
        <v>34.786673606064568</v>
      </c>
      <c r="S403" s="10">
        <f>R403+IF(AND($B$9=1,Presion_cilindro!N402&gt;$B$15),Presion_cilindro!$B$24*2.5*EXP(-(Presion_cilindro!N402-$B$15)/Presion_cilindro!$B$26)*SIN(2*PI()*(Presion_cilindro!N402-$B$15)/Presion_cilindro!$B$39),0)</f>
        <v>34.599440577259692</v>
      </c>
      <c r="T403" s="9">
        <f>IF(Presion_cilindro!N402&gt;$B$14,1-EXP(-Presion_cilindro!$B$16*((Presion_cilindro!N402-$B$14)/Presion_cilindro!$B$35)^(Presion_cilindro!$B$17+1)),0)</f>
        <v>2.3894095746990196E-4</v>
      </c>
      <c r="U403" s="10">
        <f>U402*(Presion_cilindro!O401/Presion_cilindro!O402)^Presion_cilindro!$B$9+10*(Presion_cilindro!$B$9-1)*Presion_cilindro!$B$33*(T403-T402)/((Presion_cilindro!O401+Presion_cilindro!O402)/2)</f>
        <v>10.717096219198277</v>
      </c>
    </row>
    <row r="404" spans="14:21" x14ac:dyDescent="0.25">
      <c r="N404" s="8">
        <f>-Presion_cilindro!N403</f>
        <v>-19.5</v>
      </c>
      <c r="O404" s="9">
        <f>IF(Presion_cilindro!N403&gt;$B$12,1-EXP(-Presion_cilindro!$B$16*((Presion_cilindro!N403-$B$12)/Presion_cilindro!$B$35)^(Presion_cilindro!$B$17+1)),0)</f>
        <v>0.95501006176263181</v>
      </c>
      <c r="P404" s="10">
        <f>P403*(Presion_cilindro!O402/Presion_cilindro!O403)^Presion_cilindro!$B$9+10*(Presion_cilindro!$B$9-1)*Presion_cilindro!$B$33*(O404-O403)/((Presion_cilindro!O402+Presion_cilindro!O403)/2)</f>
        <v>31.860255293750406</v>
      </c>
      <c r="Q404" s="9">
        <f>IF(OR($B$9=0,Presion_cilindro!N403&lt;=$B$15),IF(Presion_cilindro!N403&gt;$B$13,1-EXP(-Presion_cilindro!$B$16*((Presion_cilindro!N403-$B$13)/Presion_cilindro!$B$35)^(Presion_cilindro!$B$17+1)),0),$B$8+(1-$B$8)*(1-EXP(-(Presion_cilindro!N403-$B$15)/Presion_cilindro!$B$23)))</f>
        <v>0.99999999657394689</v>
      </c>
      <c r="R404" s="10">
        <f>R403*(Presion_cilindro!O402/Presion_cilindro!O403)^Presion_cilindro!$B$9+10*(Presion_cilindro!$B$9-1)*Presion_cilindro!$B$33*(Q404-Q403)/((Presion_cilindro!O402+Presion_cilindro!O403)/2)</f>
        <v>34.215400712730442</v>
      </c>
      <c r="S404" s="10">
        <f>R404+IF(AND($B$9=1,Presion_cilindro!N403&gt;$B$15),Presion_cilindro!$B$24*2.5*EXP(-(Presion_cilindro!N403-$B$15)/Presion_cilindro!$B$26)*SIN(2*PI()*(Presion_cilindro!N403-$B$15)/Presion_cilindro!$B$39),0)</f>
        <v>34.720555837687748</v>
      </c>
      <c r="T404" s="9">
        <f>IF(Presion_cilindro!N403&gt;$B$14,1-EXP(-Presion_cilindro!$B$16*((Presion_cilindro!N403-$B$14)/Presion_cilindro!$B$35)^(Presion_cilindro!$B$17+1)),0)</f>
        <v>4.9842547189649089E-4</v>
      </c>
      <c r="U404" s="10">
        <f>U403*(Presion_cilindro!O402/Presion_cilindro!O403)^Presion_cilindro!$B$9+10*(Presion_cilindro!$B$9-1)*Presion_cilindro!$B$33*(T404-T403)/((Presion_cilindro!O402+Presion_cilindro!O403)/2)</f>
        <v>10.54736428391876</v>
      </c>
    </row>
    <row r="405" spans="14:21" x14ac:dyDescent="0.25">
      <c r="N405" s="8">
        <f>-Presion_cilindro!N404</f>
        <v>-20</v>
      </c>
      <c r="O405" s="9">
        <f>IF(Presion_cilindro!N404&gt;$B$12,1-EXP(-Presion_cilindro!$B$16*((Presion_cilindro!N404-$B$12)/Presion_cilindro!$B$35)^(Presion_cilindro!$B$17+1)),0)</f>
        <v>0.95974806653759526</v>
      </c>
      <c r="P405" s="10">
        <f>P404*(Presion_cilindro!O403/Presion_cilindro!O404)^Presion_cilindro!$B$9+10*(Presion_cilindro!$B$9-1)*Presion_cilindro!$B$33*(O405-O404)/((Presion_cilindro!O403+Presion_cilindro!O404)/2)</f>
        <v>31.444023892135338</v>
      </c>
      <c r="Q405" s="9">
        <f>IF(OR($B$9=0,Presion_cilindro!N404&lt;=$B$15),IF(Presion_cilindro!N404&gt;$B$13,1-EXP(-Presion_cilindro!$B$16*((Presion_cilindro!N404-$B$13)/Presion_cilindro!$B$35)^(Presion_cilindro!$B$17+1)),0),$B$8+(1-$B$8)*(1-EXP(-(Presion_cilindro!N404-$B$15)/Presion_cilindro!$B$23)))</f>
        <v>0.9999999975451257</v>
      </c>
      <c r="R405" s="10">
        <f>R404*(Presion_cilindro!O403/Presion_cilindro!O404)^Presion_cilindro!$B$9+10*(Presion_cilindro!$B$9-1)*Presion_cilindro!$B$33*(Q405-Q404)/((Presion_cilindro!O403+Presion_cilindro!O404)/2)</f>
        <v>33.647057499698114</v>
      </c>
      <c r="S405" s="10">
        <f>R405+IF(AND($B$9=1,Presion_cilindro!N404&gt;$B$15),Presion_cilindro!$B$24*2.5*EXP(-(Presion_cilindro!N404-$B$15)/Presion_cilindro!$B$26)*SIN(2*PI()*(Presion_cilindro!N404-$B$15)/Presion_cilindro!$B$39),0)</f>
        <v>33.816472950052969</v>
      </c>
      <c r="T405" s="9">
        <f>IF(Presion_cilindro!N404&gt;$B$14,1-EXP(-Presion_cilindro!$B$16*((Presion_cilindro!N404-$B$14)/Presion_cilindro!$B$35)^(Presion_cilindro!$B$17+1)),0)</f>
        <v>8.9909122810327702E-4</v>
      </c>
      <c r="U405" s="10">
        <f>U404*(Presion_cilindro!O403/Presion_cilindro!O404)^Presion_cilindro!$B$9+10*(Presion_cilindro!$B$9-1)*Presion_cilindro!$B$33*(T405-T404)/((Presion_cilindro!O403+Presion_cilindro!O404)/2)</f>
        <v>10.381719731592254</v>
      </c>
    </row>
    <row r="406" spans="14:21" x14ac:dyDescent="0.25">
      <c r="N406" s="8">
        <f>-Presion_cilindro!N405</f>
        <v>-20.5</v>
      </c>
      <c r="O406" s="9">
        <f>IF(Presion_cilindro!N405&gt;$B$12,1-EXP(-Presion_cilindro!$B$16*((Presion_cilindro!N405-$B$12)/Presion_cilindro!$B$35)^(Presion_cilindro!$B$17+1)),0)</f>
        <v>0.96408171215101068</v>
      </c>
      <c r="P406" s="10">
        <f>P405*(Presion_cilindro!O404/Presion_cilindro!O405)^Presion_cilindro!$B$9+10*(Presion_cilindro!$B$9-1)*Presion_cilindro!$B$33*(O406-O405)/((Presion_cilindro!O404+Presion_cilindro!O405)/2)</f>
        <v>31.018196967557742</v>
      </c>
      <c r="Q406" s="9">
        <f>IF(OR($B$9=0,Presion_cilindro!N405&lt;=$B$15),IF(Presion_cilindro!N405&gt;$B$13,1-EXP(-Presion_cilindro!$B$16*((Presion_cilindro!N405-$B$13)/Presion_cilindro!$B$35)^(Presion_cilindro!$B$17+1)),0),$B$8+(1-$B$8)*(1-EXP(-(Presion_cilindro!N405-$B$15)/Presion_cilindro!$B$23)))</f>
        <v>0.99999999824100572</v>
      </c>
      <c r="R406" s="10">
        <f>R405*(Presion_cilindro!O404/Presion_cilindro!O405)^Presion_cilindro!$B$9+10*(Presion_cilindro!$B$9-1)*Presion_cilindro!$B$33*(Q406-Q405)/((Presion_cilindro!O404+Presion_cilindro!O405)/2)</f>
        <v>33.082198941755884</v>
      </c>
      <c r="S406" s="10">
        <f>R406+IF(AND($B$9=1,Presion_cilindro!N405&gt;$B$15),Presion_cilindro!$B$24*2.5*EXP(-(Presion_cilindro!N405-$B$15)/Presion_cilindro!$B$26)*SIN(2*PI()*(Presion_cilindro!N405-$B$15)/Presion_cilindro!$B$39),0)</f>
        <v>32.625115682781882</v>
      </c>
      <c r="T406" s="9">
        <f>IF(Presion_cilindro!N405&gt;$B$14,1-EXP(-Presion_cilindro!$B$16*((Presion_cilindro!N405-$B$14)/Presion_cilindro!$B$35)^(Presion_cilindro!$B$17+1)),0)</f>
        <v>1.4714553080121817E-3</v>
      </c>
      <c r="U406" s="10">
        <f>U405*(Presion_cilindro!O404/Presion_cilindro!O405)^Presion_cilindro!$B$9+10*(Presion_cilindro!$B$9-1)*Presion_cilindro!$B$33*(T406-T405)/((Presion_cilindro!O404+Presion_cilindro!O405)/2)</f>
        <v>10.220911852905362</v>
      </c>
    </row>
    <row r="407" spans="14:21" x14ac:dyDescent="0.25">
      <c r="N407" s="8">
        <f>-Presion_cilindro!N406</f>
        <v>-21</v>
      </c>
      <c r="O407" s="9">
        <f>IF(Presion_cilindro!N406&gt;$B$12,1-EXP(-Presion_cilindro!$B$16*((Presion_cilindro!N406-$B$12)/Presion_cilindro!$B$35)^(Presion_cilindro!$B$17+1)),0)</f>
        <v>0.96803397080983977</v>
      </c>
      <c r="P407" s="10">
        <f>P406*(Presion_cilindro!O405/Presion_cilindro!O406)^Presion_cilindro!$B$9+10*(Presion_cilindro!$B$9-1)*Presion_cilindro!$B$33*(O407-O406)/((Presion_cilindro!O405+Presion_cilindro!O406)/2)</f>
        <v>30.584214529240707</v>
      </c>
      <c r="Q407" s="9">
        <f>IF(OR($B$9=0,Presion_cilindro!N406&lt;=$B$15),IF(Presion_cilindro!N406&gt;$B$13,1-EXP(-Presion_cilindro!$B$16*((Presion_cilindro!N406-$B$13)/Presion_cilindro!$B$35)^(Presion_cilindro!$B$17+1)),0),$B$8+(1-$B$8)*(1-EXP(-(Presion_cilindro!N406-$B$15)/Presion_cilindro!$B$23)))</f>
        <v>0.99999999873962553</v>
      </c>
      <c r="R407" s="10">
        <f>R406*(Presion_cilindro!O405/Presion_cilindro!O406)^Presion_cilindro!$B$9+10*(Presion_cilindro!$B$9-1)*Presion_cilindro!$B$33*(Q407-Q406)/((Presion_cilindro!O405+Presion_cilindro!O406)/2)</f>
        <v>32.521340706087599</v>
      </c>
      <c r="S407" s="10">
        <f>R407+IF(AND($B$9=1,Presion_cilindro!N406&gt;$B$15),Presion_cilindro!$B$24*2.5*EXP(-(Presion_cilindro!N406-$B$15)/Presion_cilindro!$B$26)*SIN(2*PI()*(Presion_cilindro!N406-$B$15)/Presion_cilindro!$B$39),0)</f>
        <v>32.368047267413104</v>
      </c>
      <c r="T407" s="9">
        <f>IF(Presion_cilindro!N406&gt;$B$14,1-EXP(-Presion_cilindro!$B$16*((Presion_cilindro!N406-$B$14)/Presion_cilindro!$B$35)^(Presion_cilindro!$B$17+1)),0)</f>
        <v>2.2458855446901849E-3</v>
      </c>
      <c r="U407" s="10">
        <f>U406*(Presion_cilindro!O405/Presion_cilindro!O406)^Presion_cilindro!$B$9+10*(Presion_cilindro!$B$9-1)*Presion_cilindro!$B$33*(T407-T406)/((Presion_cilindro!O405+Presion_cilindro!O406)/2)</f>
        <v>10.065636160685548</v>
      </c>
    </row>
    <row r="408" spans="14:21" x14ac:dyDescent="0.25">
      <c r="N408" s="8">
        <f>-Presion_cilindro!N407</f>
        <v>-21.5</v>
      </c>
      <c r="O408" s="9">
        <f>IF(Presion_cilindro!N407&gt;$B$12,1-EXP(-Presion_cilindro!$B$16*((Presion_cilindro!N407-$B$12)/Presion_cilindro!$B$35)^(Presion_cilindro!$B$17+1)),0)</f>
        <v>0.97162782728540253</v>
      </c>
      <c r="P408" s="10">
        <f>P407*(Presion_cilindro!O406/Presion_cilindro!O407)^Presion_cilindro!$B$9+10*(Presion_cilindro!$B$9-1)*Presion_cilindro!$B$33*(O408-O407)/((Presion_cilindro!O406+Presion_cilindro!O407)/2)</f>
        <v>30.143453834315533</v>
      </c>
      <c r="Q408" s="9">
        <f>IF(OR($B$9=0,Presion_cilindro!N407&lt;=$B$15),IF(Presion_cilindro!N407&gt;$B$13,1-EXP(-Presion_cilindro!$B$16*((Presion_cilindro!N407-$B$13)/Presion_cilindro!$B$35)^(Presion_cilindro!$B$17+1)),0),$B$8+(1-$B$8)*(1-EXP(-(Presion_cilindro!N407-$B$15)/Presion_cilindro!$B$23)))</f>
        <v>0.99999999909690218</v>
      </c>
      <c r="R408" s="10">
        <f>R407*(Presion_cilindro!O406/Presion_cilindro!O407)^Presion_cilindro!$B$9+10*(Presion_cilindro!$B$9-1)*Presion_cilindro!$B$33*(Q408-Q407)/((Presion_cilindro!O406+Presion_cilindro!O407)/2)</f>
        <v>31.964960012636631</v>
      </c>
      <c r="S408" s="10">
        <f>R408+IF(AND($B$9=1,Presion_cilindro!N407&gt;$B$15),Presion_cilindro!$B$24*2.5*EXP(-(Presion_cilindro!N407-$B$15)/Presion_cilindro!$B$26)*SIN(2*PI()*(Presion_cilindro!N407-$B$15)/Presion_cilindro!$B$39),0)</f>
        <v>32.378546048514131</v>
      </c>
      <c r="T408" s="9">
        <f>IF(Presion_cilindro!N407&gt;$B$14,1-EXP(-Presion_cilindro!$B$16*((Presion_cilindro!N407-$B$14)/Presion_cilindro!$B$35)^(Presion_cilindro!$B$17+1)),0)</f>
        <v>3.2525434111949636E-3</v>
      </c>
      <c r="U408" s="10">
        <f>U407*(Presion_cilindro!O406/Presion_cilindro!O407)^Presion_cilindro!$B$9+10*(Presion_cilindro!$B$9-1)*Presion_cilindro!$B$33*(T408-T407)/((Presion_cilindro!O406+Presion_cilindro!O407)/2)</f>
        <v>9.9165344079631694</v>
      </c>
    </row>
    <row r="409" spans="14:21" x14ac:dyDescent="0.25">
      <c r="N409" s="8">
        <f>-Presion_cilindro!N408</f>
        <v>-22</v>
      </c>
      <c r="O409" s="9">
        <f>IF(Presion_cilindro!N408&gt;$B$12,1-EXP(-Presion_cilindro!$B$16*((Presion_cilindro!N408-$B$12)/Presion_cilindro!$B$35)^(Presion_cilindro!$B$17+1)),0)</f>
        <v>0.97488610988545654</v>
      </c>
      <c r="P409" s="10">
        <f>P408*(Presion_cilindro!O407/Presion_cilindro!O408)^Presion_cilindro!$B$9+10*(Presion_cilindro!$B$9-1)*Presion_cilindro!$B$33*(O409-O408)/((Presion_cilindro!O407+Presion_cilindro!O408)/2)</f>
        <v>29.697225121705912</v>
      </c>
      <c r="Q409" s="9">
        <f>IF(OR($B$9=0,Presion_cilindro!N408&lt;=$B$15),IF(Presion_cilindro!N408&gt;$B$13,1-EXP(-Presion_cilindro!$B$16*((Presion_cilindro!N408-$B$13)/Presion_cilindro!$B$35)^(Presion_cilindro!$B$17+1)),0),$B$8+(1-$B$8)*(1-EXP(-(Presion_cilindro!N408-$B$15)/Presion_cilindro!$B$23)))</f>
        <v>0.99999999935290218</v>
      </c>
      <c r="R409" s="10">
        <f>R408*(Presion_cilindro!O407/Presion_cilindro!O408)^Presion_cilindro!$B$9+10*(Presion_cilindro!$B$9-1)*Presion_cilindro!$B$33*(Q409-Q408)/((Presion_cilindro!O407+Presion_cilindro!O408)/2)</f>
        <v>31.413496626425296</v>
      </c>
      <c r="S409" s="10">
        <f>R409+IF(AND($B$9=1,Presion_cilindro!N408&gt;$B$15),Presion_cilindro!$B$24*2.5*EXP(-(Presion_cilindro!N408-$B$15)/Presion_cilindro!$B$26)*SIN(2*PI()*(Presion_cilindro!N408-$B$15)/Presion_cilindro!$B$39),0)</f>
        <v>31.552202265677376</v>
      </c>
      <c r="T409" s="9">
        <f>IF(Presion_cilindro!N408&gt;$B$14,1-EXP(-Presion_cilindro!$B$16*((Presion_cilindro!N408-$B$14)/Presion_cilindro!$B$35)^(Presion_cilindro!$B$17+1)),0)</f>
        <v>4.5213178660201692E-3</v>
      </c>
      <c r="U409" s="10">
        <f>U408*(Presion_cilindro!O407/Presion_cilindro!O408)^Presion_cilindro!$B$9+10*(Presion_cilindro!$B$9-1)*Presion_cilindro!$B$33*(T409-T408)/((Presion_cilindro!O407+Presion_cilindro!O408)/2)</f>
        <v>9.7741946767483991</v>
      </c>
    </row>
    <row r="410" spans="14:21" x14ac:dyDescent="0.25">
      <c r="N410" s="8">
        <f>-Presion_cilindro!N409</f>
        <v>-22.5</v>
      </c>
      <c r="O410" s="9">
        <f>IF(Presion_cilindro!N409&gt;$B$12,1-EXP(-Presion_cilindro!$B$16*((Presion_cilindro!N409-$B$12)/Presion_cilindro!$B$35)^(Presion_cilindro!$B$17+1)),0)</f>
        <v>0.97783133557790991</v>
      </c>
      <c r="P410" s="10">
        <f>P409*(Presion_cilindro!O408/Presion_cilindro!O409)^Presion_cilindro!$B$9+10*(Presion_cilindro!$B$9-1)*Presion_cilindro!$B$33*(O410-O409)/((Presion_cilindro!O408+Presion_cilindro!O409)/2)</f>
        <v>29.246768345167009</v>
      </c>
      <c r="Q410" s="9">
        <f>IF(OR($B$9=0,Presion_cilindro!N409&lt;=$B$15),IF(Presion_cilindro!N409&gt;$B$13,1-EXP(-Presion_cilindro!$B$16*((Presion_cilindro!N409-$B$13)/Presion_cilindro!$B$35)^(Presion_cilindro!$B$17+1)),0),$B$8+(1-$B$8)*(1-EXP(-(Presion_cilindro!N409-$B$15)/Presion_cilindro!$B$23)))</f>
        <v>0.99999999953633412</v>
      </c>
      <c r="R410" s="10">
        <f>R409*(Presion_cilindro!O408/Presion_cilindro!O409)^Presion_cilindro!$B$9+10*(Presion_cilindro!$B$9-1)*Presion_cilindro!$B$33*(Q410-Q409)/((Presion_cilindro!O408+Presion_cilindro!O409)/2)</f>
        <v>30.867353962130455</v>
      </c>
      <c r="S410" s="10">
        <f>R410+IF(AND($B$9=1,Presion_cilindro!N409&gt;$B$15),Presion_cilindro!$B$24*2.5*EXP(-(Presion_cilindro!N409-$B$15)/Presion_cilindro!$B$26)*SIN(2*PI()*(Presion_cilindro!N409-$B$15)/Presion_cilindro!$B$39),0)</f>
        <v>30.493125841291331</v>
      </c>
      <c r="T410" s="9">
        <f>IF(Presion_cilindro!N409&gt;$B$14,1-EXP(-Presion_cilindro!$B$16*((Presion_cilindro!N409-$B$14)/Presion_cilindro!$B$35)^(Presion_cilindro!$B$17+1)),0)</f>
        <v>6.0817503600422151E-3</v>
      </c>
      <c r="U410" s="10">
        <f>U409*(Presion_cilindro!O408/Presion_cilindro!O409)^Presion_cilindro!$B$9+10*(Presion_cilindro!$B$9-1)*Presion_cilindro!$B$33*(T410-T409)/((Presion_cilindro!O408+Presion_cilindro!O409)/2)</f>
        <v>9.6391515328653519</v>
      </c>
    </row>
    <row r="411" spans="14:21" x14ac:dyDescent="0.25">
      <c r="N411" s="8">
        <f>-Presion_cilindro!N410</f>
        <v>-23</v>
      </c>
      <c r="O411" s="9">
        <f>IF(Presion_cilindro!N410&gt;$B$12,1-EXP(-Presion_cilindro!$B$16*((Presion_cilindro!N410-$B$12)/Presion_cilindro!$B$35)^(Presion_cilindro!$B$17+1)),0)</f>
        <v>0.98048557014280036</v>
      </c>
      <c r="P411" s="10">
        <f>P410*(Presion_cilindro!O409/Presion_cilindro!O410)^Presion_cilindro!$B$9+10*(Presion_cilindro!$B$9-1)*Presion_cilindro!$B$33*(O411-O410)/((Presion_cilindro!O409+Presion_cilindro!O410)/2)</f>
        <v>28.793250852640508</v>
      </c>
      <c r="Q411" s="9">
        <f>IF(OR($B$9=0,Presion_cilindro!N410&lt;=$B$15),IF(Presion_cilindro!N410&gt;$B$13,1-EXP(-Presion_cilindro!$B$16*((Presion_cilindro!N410-$B$13)/Presion_cilindro!$B$35)^(Presion_cilindro!$B$17+1)),0),$B$8+(1-$B$8)*(1-EXP(-(Presion_cilindro!N410-$B$15)/Presion_cilindro!$B$23)))</f>
        <v>0.99999999966776887</v>
      </c>
      <c r="R411" s="10">
        <f>R410*(Presion_cilindro!O409/Presion_cilindro!O410)^Presion_cilindro!$B$9+10*(Presion_cilindro!$B$9-1)*Presion_cilindro!$B$33*(Q411-Q410)/((Presion_cilindro!O409+Presion_cilindro!O410)/2)</f>
        <v>30.326900282290968</v>
      </c>
      <c r="S411" s="10">
        <f>R411+IF(AND($B$9=1,Presion_cilindro!N410&gt;$B$15),Presion_cilindro!$B$24*2.5*EXP(-(Presion_cilindro!N410-$B$15)/Presion_cilindro!$B$26)*SIN(2*PI()*(Presion_cilindro!N410-$B$15)/Presion_cilindro!$B$39),0)</f>
        <v>30.201394229803089</v>
      </c>
      <c r="T411" s="9">
        <f>IF(Presion_cilindro!N410&gt;$B$14,1-EXP(-Presion_cilindro!$B$16*((Presion_cilindro!N410-$B$14)/Presion_cilindro!$B$35)^(Presion_cilindro!$B$17+1)),0)</f>
        <v>7.9629512696117732E-3</v>
      </c>
      <c r="U411" s="10">
        <f>U410*(Presion_cilindro!O409/Presion_cilindro!O410)^Presion_cilindro!$B$9+10*(Presion_cilindro!$B$9-1)*Presion_cilindro!$B$33*(T411-T410)/((Presion_cilindro!O409+Presion_cilindro!O410)/2)</f>
        <v>9.5118862433066838</v>
      </c>
    </row>
    <row r="412" spans="14:21" x14ac:dyDescent="0.25">
      <c r="N412" s="8">
        <f>-Presion_cilindro!N411</f>
        <v>-23.5</v>
      </c>
      <c r="O412" s="9">
        <f>IF(Presion_cilindro!N411&gt;$B$12,1-EXP(-Presion_cilindro!$B$16*((Presion_cilindro!N411-$B$12)/Presion_cilindro!$B$35)^(Presion_cilindro!$B$17+1)),0)</f>
        <v>0.98287030394983177</v>
      </c>
      <c r="P412" s="10">
        <f>P411*(Presion_cilindro!O410/Presion_cilindro!O411)^Presion_cilindro!$B$9+10*(Presion_cilindro!$B$9-1)*Presion_cilindro!$B$33*(O412-O411)/((Presion_cilindro!O410+Presion_cilindro!O411)/2)</f>
        <v>28.337765950319962</v>
      </c>
      <c r="Q412" s="9">
        <f>IF(OR($B$9=0,Presion_cilindro!N411&lt;=$B$15),IF(Presion_cilindro!N411&gt;$B$13,1-EXP(-Presion_cilindro!$B$16*((Presion_cilindro!N411-$B$13)/Presion_cilindro!$B$35)^(Presion_cilindro!$B$17+1)),0),$B$8+(1-$B$8)*(1-EXP(-(Presion_cilindro!N411-$B$15)/Presion_cilindro!$B$23)))</f>
        <v>0.99999999976194598</v>
      </c>
      <c r="R412" s="10">
        <f>R411*(Presion_cilindro!O410/Presion_cilindro!O411)^Presion_cilindro!$B$9+10*(Presion_cilindro!$B$9-1)*Presion_cilindro!$B$33*(Q412-Q411)/((Presion_cilindro!O410+Presion_cilindro!O411)/2)</f>
        <v>29.792469971687314</v>
      </c>
      <c r="S412" s="10">
        <f>R412+IF(AND($B$9=1,Presion_cilindro!N411&gt;$B$15),Presion_cilindro!$B$24*2.5*EXP(-(Presion_cilindro!N411-$B$15)/Presion_cilindro!$B$26)*SIN(2*PI()*(Presion_cilindro!N411-$B$15)/Presion_cilindro!$B$39),0)</f>
        <v>30.131085578303836</v>
      </c>
      <c r="T412" s="9">
        <f>IF(Presion_cilindro!N411&gt;$B$14,1-EXP(-Presion_cilindro!$B$16*((Presion_cilindro!N411-$B$14)/Presion_cilindro!$B$35)^(Presion_cilindro!$B$17+1)),0)</f>
        <v>1.0193508087048553E-2</v>
      </c>
      <c r="U412" s="10">
        <f>U411*(Presion_cilindro!O410/Presion_cilindro!O411)^Presion_cilindro!$B$9+10*(Presion_cilindro!$B$9-1)*Presion_cilindro!$B$33*(T412-T411)/((Presion_cilindro!O410+Presion_cilindro!O411)/2)</f>
        <v>9.3928270537615397</v>
      </c>
    </row>
    <row r="413" spans="14:21" x14ac:dyDescent="0.25">
      <c r="N413" s="8">
        <f>-Presion_cilindro!N412</f>
        <v>-24</v>
      </c>
      <c r="O413" s="9">
        <f>IF(Presion_cilindro!N412&gt;$B$12,1-EXP(-Presion_cilindro!$B$16*((Presion_cilindro!N412-$B$12)/Presion_cilindro!$B$35)^(Presion_cilindro!$B$17+1)),0)</f>
        <v>0.98500634368684858</v>
      </c>
      <c r="P413" s="10">
        <f>P412*(Presion_cilindro!O411/Presion_cilindro!O412)^Presion_cilindro!$B$9+10*(Presion_cilindro!$B$9-1)*Presion_cilindro!$B$33*(O413-O412)/((Presion_cilindro!O411+Presion_cilindro!O412)/2)</f>
        <v>27.881332282959097</v>
      </c>
      <c r="Q413" s="9">
        <f>IF(OR($B$9=0,Presion_cilindro!N412&lt;=$B$15),IF(Presion_cilindro!N412&gt;$B$13,1-EXP(-Presion_cilindro!$B$16*((Presion_cilindro!N412-$B$13)/Presion_cilindro!$B$35)^(Presion_cilindro!$B$17+1)),0),$B$8+(1-$B$8)*(1-EXP(-(Presion_cilindro!N412-$B$15)/Presion_cilindro!$B$23)))</f>
        <v>0.99999999982942689</v>
      </c>
      <c r="R413" s="10">
        <f>R412*(Presion_cilindro!O411/Presion_cilindro!O412)^Presion_cilindro!$B$9+10*(Presion_cilindro!$B$9-1)*Presion_cilindro!$B$33*(Q413-Q412)/((Presion_cilindro!O411+Presion_cilindro!O412)/2)</f>
        <v>29.264364871663105</v>
      </c>
      <c r="S413" s="10">
        <f>R413+IF(AND($B$9=1,Presion_cilindro!N412&gt;$B$15),Presion_cilindro!$B$24*2.5*EXP(-(Presion_cilindro!N412-$B$15)/Presion_cilindro!$B$26)*SIN(2*PI()*(Presion_cilindro!N412-$B$15)/Presion_cilindro!$B$39),0)</f>
        <v>29.37792744414412</v>
      </c>
      <c r="T413" s="9">
        <f>IF(Presion_cilindro!N412&gt;$B$14,1-EXP(-Presion_cilindro!$B$16*((Presion_cilindro!N412-$B$14)/Presion_cilindro!$B$35)^(Presion_cilindro!$B$17+1)),0)</f>
        <v>1.2801385772809981E-2</v>
      </c>
      <c r="U413" s="10">
        <f>U412*(Presion_cilindro!O411/Presion_cilindro!O412)^Presion_cilindro!$B$9+10*(Presion_cilindro!$B$9-1)*Presion_cilindro!$B$33*(T413-T412)/((Presion_cilindro!O411+Presion_cilindro!O412)/2)</f>
        <v>9.2823495251950678</v>
      </c>
    </row>
    <row r="414" spans="14:21" x14ac:dyDescent="0.25">
      <c r="N414" s="8">
        <f>-Presion_cilindro!N413</f>
        <v>-24.5</v>
      </c>
      <c r="O414" s="9">
        <f>IF(Presion_cilindro!N413&gt;$B$12,1-EXP(-Presion_cilindro!$B$16*((Presion_cilindro!N413-$B$12)/Presion_cilindro!$B$35)^(Presion_cilindro!$B$17+1)),0)</f>
        <v>0.98691372010512068</v>
      </c>
      <c r="P414" s="10">
        <f>P413*(Presion_cilindro!O412/Presion_cilindro!O413)^Presion_cilindro!$B$9+10*(Presion_cilindro!$B$9-1)*Presion_cilindro!$B$33*(O414-O413)/((Presion_cilindro!O412+Presion_cilindro!O413)/2)</f>
        <v>27.424893956934543</v>
      </c>
      <c r="Q414" s="9">
        <f>IF(OR($B$9=0,Presion_cilindro!N413&lt;=$B$15),IF(Presion_cilindro!N413&gt;$B$13,1-EXP(-Presion_cilindro!$B$16*((Presion_cilindro!N413-$B$13)/Presion_cilindro!$B$35)^(Presion_cilindro!$B$17+1)),0),$B$8+(1-$B$8)*(1-EXP(-(Presion_cilindro!N413-$B$15)/Presion_cilindro!$B$23)))</f>
        <v>0.99999999987777899</v>
      </c>
      <c r="R414" s="10">
        <f>R413*(Presion_cilindro!O412/Presion_cilindro!O413)^Presion_cilindro!$B$9+10*(Presion_cilindro!$B$9-1)*Presion_cilindro!$B$33*(Q414-Q413)/((Presion_cilindro!O412+Presion_cilindro!O413)/2)</f>
        <v>28.742855659417007</v>
      </c>
      <c r="S414" s="10">
        <f>R414+IF(AND($B$9=1,Presion_cilindro!N413&gt;$B$15),Presion_cilindro!$B$24*2.5*EXP(-(Presion_cilindro!N413-$B$15)/Presion_cilindro!$B$26)*SIN(2*PI()*(Presion_cilindro!N413-$B$15)/Presion_cilindro!$B$39),0)</f>
        <v>28.436463588219432</v>
      </c>
      <c r="T414" s="9">
        <f>IF(Presion_cilindro!N413&gt;$B$14,1-EXP(-Presion_cilindro!$B$16*((Presion_cilindro!N413-$B$14)/Presion_cilindro!$B$35)^(Presion_cilindro!$B$17+1)),0)</f>
        <v>1.5813819752394043E-2</v>
      </c>
      <c r="U414" s="10">
        <f>U413*(Presion_cilindro!O412/Presion_cilindro!O413)^Presion_cilindro!$B$9+10*(Presion_cilindro!$B$9-1)*Presion_cilindro!$B$33*(T414-T413)/((Presion_cilindro!O412+Presion_cilindro!O413)/2)</f>
        <v>9.1807769295835868</v>
      </c>
    </row>
    <row r="415" spans="14:21" x14ac:dyDescent="0.25">
      <c r="N415" s="8">
        <f>-Presion_cilindro!N414</f>
        <v>-25</v>
      </c>
      <c r="O415" s="9">
        <f>IF(Presion_cilindro!N414&gt;$B$12,1-EXP(-Presion_cilindro!$B$16*((Presion_cilindro!N414-$B$12)/Presion_cilindro!$B$35)^(Presion_cilindro!$B$17+1)),0)</f>
        <v>0.98861161160461963</v>
      </c>
      <c r="P415" s="10">
        <f>P414*(Presion_cilindro!O413/Presion_cilindro!O414)^Presion_cilindro!$B$9+10*(Presion_cilindro!$B$9-1)*Presion_cilindro!$B$33*(O415-O414)/((Presion_cilindro!O413+Presion_cilindro!O414)/2)</f>
        <v>26.969321329316838</v>
      </c>
      <c r="Q415" s="9">
        <f>IF(OR($B$9=0,Presion_cilindro!N414&lt;=$B$15),IF(Presion_cilindro!N414&gt;$B$13,1-EXP(-Presion_cilindro!$B$16*((Presion_cilindro!N414-$B$13)/Presion_cilindro!$B$35)^(Presion_cilindro!$B$17+1)),0),$B$8+(1-$B$8)*(1-EXP(-(Presion_cilindro!N414-$B$15)/Presion_cilindro!$B$23)))</f>
        <v>0.99999999991242483</v>
      </c>
      <c r="R415" s="10">
        <f>R414*(Presion_cilindro!O413/Presion_cilindro!O414)^Presion_cilindro!$B$9+10*(Presion_cilindro!$B$9-1)*Presion_cilindro!$B$33*(Q415-Q414)/((Presion_cilindro!O413+Presion_cilindro!O414)/2)</f>
        <v>28.228183258572027</v>
      </c>
      <c r="S415" s="10">
        <f>R415+IF(AND($B$9=1,Presion_cilindro!N414&gt;$B$15),Presion_cilindro!$B$24*2.5*EXP(-(Presion_cilindro!N414-$B$15)/Presion_cilindro!$B$26)*SIN(2*PI()*(Presion_cilindro!N414-$B$15)/Presion_cilindro!$B$39),0)</f>
        <v>28.125427593702778</v>
      </c>
      <c r="T415" s="9">
        <f>IF(Presion_cilindro!N414&gt;$B$14,1-EXP(-Presion_cilindro!$B$16*((Presion_cilindro!N414-$B$14)/Presion_cilindro!$B$35)^(Presion_cilindro!$B$17+1)),0)</f>
        <v>1.9257202124868256E-2</v>
      </c>
      <c r="U415" s="10">
        <f>U414*(Presion_cilindro!O413/Presion_cilindro!O414)^Presion_cilindro!$B$9+10*(Presion_cilindro!$B$9-1)*Presion_cilindro!$B$33*(T415-T414)/((Presion_cilindro!O413+Presion_cilindro!O414)/2)</f>
        <v>9.0883807061095734</v>
      </c>
    </row>
    <row r="416" spans="14:21" x14ac:dyDescent="0.25">
      <c r="N416" s="8">
        <f>-Presion_cilindro!N415</f>
        <v>-25.5</v>
      </c>
      <c r="O416" s="9">
        <f>IF(Presion_cilindro!N415&gt;$B$12,1-EXP(-Presion_cilindro!$B$16*((Presion_cilindro!N415-$B$12)/Presion_cilindro!$B$35)^(Presion_cilindro!$B$17+1)),0)</f>
        <v>0.99011828326036899</v>
      </c>
      <c r="P416" s="10">
        <f>P415*(Presion_cilindro!O414/Presion_cilindro!O415)^Presion_cilindro!$B$9+10*(Presion_cilindro!$B$9-1)*Presion_cilindro!$B$33*(O416-O415)/((Presion_cilindro!O414+Presion_cilindro!O415)/2)</f>
        <v>26.515412384578411</v>
      </c>
      <c r="Q416" s="9">
        <f>IF(OR($B$9=0,Presion_cilindro!N415&lt;=$B$15),IF(Presion_cilindro!N415&gt;$B$13,1-EXP(-Presion_cilindro!$B$16*((Presion_cilindro!N415-$B$13)/Presion_cilindro!$B$35)^(Presion_cilindro!$B$17+1)),0),$B$8+(1-$B$8)*(1-EXP(-(Presion_cilindro!N415-$B$15)/Presion_cilindro!$B$23)))</f>
        <v>0.99999999993724964</v>
      </c>
      <c r="R416" s="10">
        <f>R415*(Presion_cilindro!O414/Presion_cilindro!O415)^Presion_cilindro!$B$9+10*(Presion_cilindro!$B$9-1)*Presion_cilindro!$B$33*(Q416-Q415)/((Presion_cilindro!O414+Presion_cilindro!O415)/2)</f>
        <v>27.720560268593605</v>
      </c>
      <c r="S416" s="10">
        <f>R416+IF(AND($B$9=1,Presion_cilindro!N415&gt;$B$15),Presion_cilindro!$B$24*2.5*EXP(-(Presion_cilindro!N415-$B$15)/Presion_cilindro!$B$26)*SIN(2*PI()*(Presion_cilindro!N415-$B$15)/Presion_cilindro!$B$39),0)</f>
        <v>27.997795279202709</v>
      </c>
      <c r="T416" s="9">
        <f>IF(Presion_cilindro!N415&gt;$B$14,1-EXP(-Presion_cilindro!$B$16*((Presion_cilindro!N415-$B$14)/Presion_cilindro!$B$35)^(Presion_cilindro!$B$17+1)),0)</f>
        <v>2.315696173793802E-2</v>
      </c>
      <c r="U416" s="10">
        <f>U415*(Presion_cilindro!O414/Presion_cilindro!O415)^Presion_cilindro!$B$9+10*(Presion_cilindro!$B$9-1)*Presion_cilindro!$B$33*(T416-T415)/((Presion_cilindro!O414+Presion_cilindro!O415)/2)</f>
        <v>9.0053809802629399</v>
      </c>
    </row>
    <row r="417" spans="14:21" x14ac:dyDescent="0.25">
      <c r="N417" s="8">
        <f>-Presion_cilindro!N416</f>
        <v>-26</v>
      </c>
      <c r="O417" s="9">
        <f>IF(Presion_cilindro!N416&gt;$B$12,1-EXP(-Presion_cilindro!$B$16*((Presion_cilindro!N416-$B$12)/Presion_cilindro!$B$35)^(Presion_cilindro!$B$17+1)),0)</f>
        <v>0.99145104069249568</v>
      </c>
      <c r="P417" s="10">
        <f>P416*(Presion_cilindro!O415/Presion_cilindro!O416)^Presion_cilindro!$B$9+10*(Presion_cilindro!$B$9-1)*Presion_cilindro!$B$33*(O417-O416)/((Presion_cilindro!O415+Presion_cilindro!O416)/2)</f>
        <v>26.063894620446771</v>
      </c>
      <c r="Q417" s="9">
        <f>IF(OR($B$9=0,Presion_cilindro!N416&lt;=$B$15),IF(Presion_cilindro!N416&gt;$B$13,1-EXP(-Presion_cilindro!$B$16*((Presion_cilindro!N416-$B$13)/Presion_cilindro!$B$35)^(Presion_cilindro!$B$17+1)),0),$B$8+(1-$B$8)*(1-EXP(-(Presion_cilindro!N416-$B$15)/Presion_cilindro!$B$23)))</f>
        <v>0.99999999995503741</v>
      </c>
      <c r="R417" s="10">
        <f>R416*(Presion_cilindro!O415/Presion_cilindro!O416)^Presion_cilindro!$B$9+10*(Presion_cilindro!$B$9-1)*Presion_cilindro!$B$33*(Q417-Q416)/((Presion_cilindro!O415+Presion_cilindro!O416)/2)</f>
        <v>27.220172401875686</v>
      </c>
      <c r="S417" s="10">
        <f>R417+IF(AND($B$9=1,Presion_cilindro!N416&gt;$B$15),Presion_cilindro!$B$24*2.5*EXP(-(Presion_cilindro!N416-$B$15)/Presion_cilindro!$B$26)*SIN(2*PI()*(Presion_cilindro!N416-$B$15)/Presion_cilindro!$B$39),0)</f>
        <v>27.313149572364544</v>
      </c>
      <c r="T417" s="9">
        <f>IF(Presion_cilindro!N416&gt;$B$14,1-EXP(-Presion_cilindro!$B$16*((Presion_cilindro!N416-$B$14)/Presion_cilindro!$B$35)^(Presion_cilindro!$B$17+1)),0)</f>
        <v>2.7537438875685272E-2</v>
      </c>
      <c r="U417" s="10">
        <f>U416*(Presion_cilindro!O415/Presion_cilindro!O416)^Presion_cilindro!$B$9+10*(Presion_cilindro!$B$9-1)*Presion_cilindro!$B$33*(T417-T416)/((Presion_cilindro!O415+Presion_cilindro!O416)/2)</f>
        <v>8.9319471493581748</v>
      </c>
    </row>
    <row r="418" spans="14:21" x14ac:dyDescent="0.25">
      <c r="N418" s="8">
        <f>-Presion_cilindro!N417</f>
        <v>-26.5</v>
      </c>
      <c r="O418" s="9">
        <f>IF(Presion_cilindro!N417&gt;$B$12,1-EXP(-Presion_cilindro!$B$16*((Presion_cilindro!N417-$B$12)/Presion_cilindro!$B$35)^(Presion_cilindro!$B$17+1)),0)</f>
        <v>0.99262619801014651</v>
      </c>
      <c r="P418" s="10">
        <f>P417*(Presion_cilindro!O416/Presion_cilindro!O417)^Presion_cilindro!$B$9+10*(Presion_cilindro!$B$9-1)*Presion_cilindro!$B$33*(O418-O417)/((Presion_cilindro!O416+Presion_cilindro!O417)/2)</f>
        <v>25.615427365628221</v>
      </c>
      <c r="Q418" s="9">
        <f>IF(OR($B$9=0,Presion_cilindro!N417&lt;=$B$15),IF(Presion_cilindro!N417&gt;$B$13,1-EXP(-Presion_cilindro!$B$16*((Presion_cilindro!N417-$B$13)/Presion_cilindro!$B$35)^(Presion_cilindro!$B$17+1)),0),$B$8+(1-$B$8)*(1-EXP(-(Presion_cilindro!N417-$B$15)/Presion_cilindro!$B$23)))</f>
        <v>0.99999999996778288</v>
      </c>
      <c r="R418" s="10">
        <f>R417*(Presion_cilindro!O416/Presion_cilindro!O417)^Presion_cilindro!$B$9+10*(Presion_cilindro!$B$9-1)*Presion_cilindro!$B$33*(Q418-Q417)/((Presion_cilindro!O416+Presion_cilindro!O417)/2)</f>
        <v>26.727179918520694</v>
      </c>
      <c r="S418" s="10">
        <f>R418+IF(AND($B$9=1,Presion_cilindro!N417&gt;$B$15),Presion_cilindro!$B$24*2.5*EXP(-(Presion_cilindro!N417-$B$15)/Presion_cilindro!$B$26)*SIN(2*PI()*(Presion_cilindro!N417-$B$15)/Presion_cilindro!$B$39),0)</f>
        <v>26.476327307331982</v>
      </c>
      <c r="T418" s="9">
        <f>IF(Presion_cilindro!N417&gt;$B$14,1-EXP(-Presion_cilindro!$B$16*((Presion_cilindro!N417-$B$14)/Presion_cilindro!$B$35)^(Presion_cilindro!$B$17+1)),0)</f>
        <v>3.2421755398387653E-2</v>
      </c>
      <c r="U418" s="10">
        <f>U417*(Presion_cilindro!O416/Presion_cilindro!O417)^Presion_cilindro!$B$9+10*(Presion_cilindro!$B$9-1)*Presion_cilindro!$B$33*(T418-T417)/((Presion_cilindro!O416+Presion_cilindro!O417)/2)</f>
        <v>8.8681985389343492</v>
      </c>
    </row>
    <row r="419" spans="14:21" x14ac:dyDescent="0.25">
      <c r="N419" s="8">
        <f>-Presion_cilindro!N418</f>
        <v>-27</v>
      </c>
      <c r="O419" s="9">
        <f>IF(Presion_cilindro!N418&gt;$B$12,1-EXP(-Presion_cilindro!$B$16*((Presion_cilindro!N418-$B$12)/Presion_cilindro!$B$35)^(Presion_cilindro!$B$17+1)),0)</f>
        <v>0.99365905891449324</v>
      </c>
      <c r="P419" s="10">
        <f>P418*(Presion_cilindro!O417/Presion_cilindro!O418)^Presion_cilindro!$B$9+10*(Presion_cilindro!$B$9-1)*Presion_cilindro!$B$33*(O419-O418)/((Presion_cilindro!O417+Presion_cilindro!O418)/2)</f>
        <v>25.170604454518109</v>
      </c>
      <c r="Q419" s="9">
        <f>IF(OR($B$9=0,Presion_cilindro!N418&lt;=$B$15),IF(Presion_cilindro!N418&gt;$B$13,1-EXP(-Presion_cilindro!$B$16*((Presion_cilindro!N418-$B$13)/Presion_cilindro!$B$35)^(Presion_cilindro!$B$17+1)),0),$B$8+(1-$B$8)*(1-EXP(-(Presion_cilindro!N418-$B$15)/Presion_cilindro!$B$23)))</f>
        <v>0.99999999997691547</v>
      </c>
      <c r="R419" s="10">
        <f>R418*(Presion_cilindro!O417/Presion_cilindro!O418)^Presion_cilindro!$B$9+10*(Presion_cilindro!$B$9-1)*Presion_cilindro!$B$33*(Q419-Q418)/((Presion_cilindro!O417+Presion_cilindro!O418)/2)</f>
        <v>26.241719050000818</v>
      </c>
      <c r="S419" s="10">
        <f>R419+IF(AND($B$9=1,Presion_cilindro!N418&gt;$B$15),Presion_cilindro!$B$24*2.5*EXP(-(Presion_cilindro!N418-$B$15)/Presion_cilindro!$B$26)*SIN(2*PI()*(Presion_cilindro!N418-$B$15)/Presion_cilindro!$B$39),0)</f>
        <v>26.157589827119391</v>
      </c>
      <c r="T419" s="9">
        <f>IF(Presion_cilindro!N418&gt;$B$14,1-EXP(-Presion_cilindro!$B$16*((Presion_cilindro!N418-$B$14)/Presion_cilindro!$B$35)^(Presion_cilindro!$B$17+1)),0)</f>
        <v>3.7831681267927242E-2</v>
      </c>
      <c r="U419" s="10">
        <f>U418*(Presion_cilindro!O417/Presion_cilindro!O418)^Presion_cilindro!$B$9+10*(Presion_cilindro!$B$9-1)*Presion_cilindro!$B$33*(T419-T418)/((Presion_cilindro!O417+Presion_cilindro!O418)/2)</f>
        <v>8.8142051353380744</v>
      </c>
    </row>
    <row r="420" spans="14:21" x14ac:dyDescent="0.25">
      <c r="N420" s="8">
        <f>-Presion_cilindro!N419</f>
        <v>-27.5</v>
      </c>
      <c r="O420" s="9">
        <f>IF(Presion_cilindro!N419&gt;$B$12,1-EXP(-Presion_cilindro!$B$16*((Presion_cilindro!N419-$B$12)/Presion_cilindro!$B$35)^(Presion_cilindro!$B$17+1)),0)</f>
        <v>0.99456390992949217</v>
      </c>
      <c r="P420" s="10">
        <f>P419*(Presion_cilindro!O418/Presion_cilindro!O419)^Presion_cilindro!$B$9+10*(Presion_cilindro!$B$9-1)*Presion_cilindro!$B$33*(O420-O419)/((Presion_cilindro!O418+Presion_cilindro!O419)/2)</f>
        <v>24.72995718740059</v>
      </c>
      <c r="Q420" s="9">
        <f>IF(OR($B$9=0,Presion_cilindro!N419&lt;=$B$15),IF(Presion_cilindro!N419&gt;$B$13,1-EXP(-Presion_cilindro!$B$16*((Presion_cilindro!N419-$B$13)/Presion_cilindro!$B$35)^(Presion_cilindro!$B$17+1)),0),$B$8+(1-$B$8)*(1-EXP(-(Presion_cilindro!N419-$B$15)/Presion_cilindro!$B$23)))</f>
        <v>0.99999999998345923</v>
      </c>
      <c r="R420" s="10">
        <f>R419*(Presion_cilindro!O418/Presion_cilindro!O419)^Presion_cilindro!$B$9+10*(Presion_cilindro!$B$9-1)*Presion_cilindro!$B$33*(Q420-Q419)/((Presion_cilindro!O418+Presion_cilindro!O419)/2)</f>
        <v>25.763903403993087</v>
      </c>
      <c r="S420" s="10">
        <f>R420+IF(AND($B$9=1,Presion_cilindro!N419&gt;$B$15),Presion_cilindro!$B$24*2.5*EXP(-(Presion_cilindro!N419-$B$15)/Presion_cilindro!$B$26)*SIN(2*PI()*(Presion_cilindro!N419-$B$15)/Presion_cilindro!$B$39),0)</f>
        <v>25.990884233008661</v>
      </c>
      <c r="T420" s="9">
        <f>IF(Presion_cilindro!N419&gt;$B$14,1-EXP(-Presion_cilindro!$B$16*((Presion_cilindro!N419-$B$14)/Presion_cilindro!$B$35)^(Presion_cilindro!$B$17+1)),0)</f>
        <v>4.3787498485814536E-2</v>
      </c>
      <c r="U420" s="10">
        <f>U419*(Presion_cilindro!O418/Presion_cilindro!O419)^Presion_cilindro!$B$9+10*(Presion_cilindro!$B$9-1)*Presion_cilindro!$B$33*(T420-T419)/((Presion_cilindro!O418+Presion_cilindro!O419)/2)</f>
        <v>8.7699884004790345</v>
      </c>
    </row>
    <row r="421" spans="14:21" x14ac:dyDescent="0.25">
      <c r="N421" s="8">
        <f>-Presion_cilindro!N420</f>
        <v>-28</v>
      </c>
      <c r="O421" s="9">
        <f>IF(Presion_cilindro!N420&gt;$B$12,1-EXP(-Presion_cilindro!$B$16*((Presion_cilindro!N420-$B$12)/Presion_cilindro!$B$35)^(Presion_cilindro!$B$17+1)),0)</f>
        <v>0.99535402464095357</v>
      </c>
      <c r="P421" s="10">
        <f>P420*(Presion_cilindro!O419/Presion_cilindro!O420)^Presion_cilindro!$B$9+10*(Presion_cilindro!$B$9-1)*Presion_cilindro!$B$33*(O421-O420)/((Presion_cilindro!O419+Presion_cilindro!O420)/2)</f>
        <v>24.293957508844937</v>
      </c>
      <c r="Q421" s="9">
        <f>IF(OR($B$9=0,Presion_cilindro!N420&lt;=$B$15),IF(Presion_cilindro!N420&gt;$B$13,1-EXP(-Presion_cilindro!$B$16*((Presion_cilindro!N420-$B$13)/Presion_cilindro!$B$35)^(Presion_cilindro!$B$17+1)),0),$B$8+(1-$B$8)*(1-EXP(-(Presion_cilindro!N420-$B$15)/Presion_cilindro!$B$23)))</f>
        <v>0.99999999998814804</v>
      </c>
      <c r="R421" s="10">
        <f>R420*(Presion_cilindro!O419/Presion_cilindro!O420)^Presion_cilindro!$B$9+10*(Presion_cilindro!$B$9-1)*Presion_cilindro!$B$33*(Q421-Q420)/((Presion_cilindro!O419+Presion_cilindro!O420)/2)</f>
        <v>25.293825343722837</v>
      </c>
      <c r="S421" s="10">
        <f>R421+IF(AND($B$9=1,Presion_cilindro!N420&gt;$B$15),Presion_cilindro!$B$24*2.5*EXP(-(Presion_cilindro!N420-$B$15)/Presion_cilindro!$B$26)*SIN(2*PI()*(Presion_cilindro!N420-$B$15)/Presion_cilindro!$B$39),0)</f>
        <v>25.369948612536238</v>
      </c>
      <c r="T421" s="9">
        <f>IF(Presion_cilindro!N420&gt;$B$14,1-EXP(-Presion_cilindro!$B$16*((Presion_cilindro!N420-$B$14)/Presion_cilindro!$B$35)^(Presion_cilindro!$B$17+1)),0)</f>
        <v>5.0307863562291444E-2</v>
      </c>
      <c r="U421" s="10">
        <f>U420*(Presion_cilindro!O419/Presion_cilindro!O420)^Presion_cilindro!$B$9+10*(Presion_cilindro!$B$9-1)*Presion_cilindro!$B$33*(T421-T420)/((Presion_cilindro!O419+Presion_cilindro!O420)/2)</f>
        <v>8.735522175277616</v>
      </c>
    </row>
    <row r="422" spans="14:21" x14ac:dyDescent="0.25">
      <c r="N422" s="8">
        <f>-Presion_cilindro!N421</f>
        <v>-28.5</v>
      </c>
      <c r="O422" s="9">
        <f>IF(Presion_cilindro!N421&gt;$B$12,1-EXP(-Presion_cilindro!$B$16*((Presion_cilindro!N421-$B$12)/Presion_cilindro!$B$35)^(Presion_cilindro!$B$17+1)),0)</f>
        <v>0.99604167776427099</v>
      </c>
      <c r="P422" s="10">
        <f>P421*(Presion_cilindro!O420/Presion_cilindro!O421)^Presion_cilindro!$B$9+10*(Presion_cilindro!$B$9-1)*Presion_cilindro!$B$33*(O422-O421)/((Presion_cilindro!O420+Presion_cilindro!O421)/2)</f>
        <v>23.863021341854235</v>
      </c>
      <c r="Q422" s="9">
        <f>IF(OR($B$9=0,Presion_cilindro!N421&lt;=$B$15),IF(Presion_cilindro!N421&gt;$B$13,1-EXP(-Presion_cilindro!$B$16*((Presion_cilindro!N421-$B$13)/Presion_cilindro!$B$35)^(Presion_cilindro!$B$17+1)),0),$B$8+(1-$B$8)*(1-EXP(-(Presion_cilindro!N421-$B$15)/Presion_cilindro!$B$23)))</f>
        <v>0.99999999999150768</v>
      </c>
      <c r="R422" s="10">
        <f>R421*(Presion_cilindro!O420/Presion_cilindro!O421)^Presion_cilindro!$B$9+10*(Presion_cilindro!$B$9-1)*Presion_cilindro!$B$33*(Q422-Q421)/((Presion_cilindro!O420+Presion_cilindro!O421)/2)</f>
        <v>24.83155733612681</v>
      </c>
      <c r="S422" s="10">
        <f>R422+IF(AND($B$9=1,Presion_cilindro!N421&gt;$B$15),Presion_cilindro!$B$24*2.5*EXP(-(Presion_cilindro!N421-$B$15)/Presion_cilindro!$B$26)*SIN(2*PI()*(Presion_cilindro!N421-$B$15)/Presion_cilindro!$B$39),0)</f>
        <v>24.626176588856698</v>
      </c>
      <c r="T422" s="9">
        <f>IF(Presion_cilindro!N421&gt;$B$14,1-EXP(-Presion_cilindro!$B$16*((Presion_cilindro!N421-$B$14)/Presion_cilindro!$B$35)^(Presion_cilindro!$B$17+1)),0)</f>
        <v>5.7409669722715995E-2</v>
      </c>
      <c r="U422" s="10">
        <f>U421*(Presion_cilindro!O420/Presion_cilindro!O421)^Presion_cilindro!$B$9+10*(Presion_cilindro!$B$9-1)*Presion_cilindro!$B$33*(T422-T421)/((Presion_cilindro!O420+Presion_cilindro!O421)/2)</f>
        <v>8.7107336786816809</v>
      </c>
    </row>
    <row r="423" spans="14:21" x14ac:dyDescent="0.25">
      <c r="N423" s="8">
        <f>-Presion_cilindro!N422</f>
        <v>-29</v>
      </c>
      <c r="O423" s="9">
        <f>IF(Presion_cilindro!N422&gt;$B$12,1-EXP(-Presion_cilindro!$B$16*((Presion_cilindro!N422-$B$12)/Presion_cilindro!$B$35)^(Presion_cilindro!$B$17+1)),0)</f>
        <v>0.99663816782767234</v>
      </c>
      <c r="P423" s="10">
        <f>P422*(Presion_cilindro!O421/Presion_cilindro!O422)^Presion_cilindro!$B$9+10*(Presion_cilindro!$B$9-1)*Presion_cilindro!$B$33*(O423-O422)/((Presion_cilindro!O421+Presion_cilindro!O422)/2)</f>
        <v>23.437512020644785</v>
      </c>
      <c r="Q423" s="9">
        <f>IF(OR($B$9=0,Presion_cilindro!N422&lt;=$B$15),IF(Presion_cilindro!N422&gt;$B$13,1-EXP(-Presion_cilindro!$B$16*((Presion_cilindro!N422-$B$13)/Presion_cilindro!$B$35)^(Presion_cilindro!$B$17+1)),0),$B$8+(1-$B$8)*(1-EXP(-(Presion_cilindro!N422-$B$15)/Presion_cilindro!$B$23)))</f>
        <v>0.99999999999391498</v>
      </c>
      <c r="R423" s="10">
        <f>R422*(Presion_cilindro!O421/Presion_cilindro!O422)^Presion_cilindro!$B$9+10*(Presion_cilindro!$B$9-1)*Presion_cilindro!$B$33*(Q423-Q422)/((Presion_cilindro!O421+Presion_cilindro!O422)/2)</f>
        <v>24.377153264054233</v>
      </c>
      <c r="S423" s="10">
        <f>R423+IF(AND($B$9=1,Presion_cilindro!N422&gt;$B$15),Presion_cilindro!$B$24*2.5*EXP(-(Presion_cilindro!N422-$B$15)/Presion_cilindro!$B$26)*SIN(2*PI()*(Presion_cilindro!N422-$B$15)/Presion_cilindro!$B$39),0)</f>
        <v>24.308274082048655</v>
      </c>
      <c r="T423" s="9">
        <f>IF(Presion_cilindro!N422&gt;$B$14,1-EXP(-Presion_cilindro!$B$16*((Presion_cilindro!N422-$B$14)/Presion_cilindro!$B$35)^(Presion_cilindro!$B$17+1)),0)</f>
        <v>6.5107910139761693E-2</v>
      </c>
      <c r="U423" s="10">
        <f>U422*(Presion_cilindro!O421/Presion_cilindro!O422)^Presion_cilindro!$B$9+10*(Presion_cilindro!$B$9-1)*Presion_cilindro!$B$33*(T423-T422)/((Presion_cilindro!O421+Presion_cilindro!O422)/2)</f>
        <v>8.6955046093030841</v>
      </c>
    </row>
    <row r="424" spans="14:21" x14ac:dyDescent="0.25">
      <c r="N424" s="8">
        <f>-Presion_cilindro!N423</f>
        <v>-29.5</v>
      </c>
      <c r="O424" s="9">
        <f>IF(Presion_cilindro!N423&gt;$B$12,1-EXP(-Presion_cilindro!$B$16*((Presion_cilindro!N423-$B$12)/Presion_cilindro!$B$35)^(Presion_cilindro!$B$17+1)),0)</f>
        <v>0.99715384724938727</v>
      </c>
      <c r="P424" s="10">
        <f>P423*(Presion_cilindro!O422/Presion_cilindro!O423)^Presion_cilindro!$B$9+10*(Presion_cilindro!$B$9-1)*Presion_cilindro!$B$33*(O424-O423)/((Presion_cilindro!O422+Presion_cilindro!O423)/2)</f>
        <v>23.01774377057065</v>
      </c>
      <c r="Q424" s="9">
        <f>IF(OR($B$9=0,Presion_cilindro!N423&lt;=$B$15),IF(Presion_cilindro!N423&gt;$B$13,1-EXP(-Presion_cilindro!$B$16*((Presion_cilindro!N423-$B$13)/Presion_cilindro!$B$35)^(Presion_cilindro!$B$17+1)),0),$B$8+(1-$B$8)*(1-EXP(-(Presion_cilindro!N423-$B$15)/Presion_cilindro!$B$23)))</f>
        <v>0.99999999999563993</v>
      </c>
      <c r="R424" s="10">
        <f>R423*(Presion_cilindro!O422/Presion_cilindro!O423)^Presion_cilindro!$B$9+10*(Presion_cilindro!$B$9-1)*Presion_cilindro!$B$33*(Q424-Q423)/((Presion_cilindro!O422+Presion_cilindro!O423)/2)</f>
        <v>23.930649698559314</v>
      </c>
      <c r="S424" s="10">
        <f>R424+IF(AND($B$9=1,Presion_cilindro!N423&gt;$B$15),Presion_cilindro!$B$24*2.5*EXP(-(Presion_cilindro!N423-$B$15)/Presion_cilindro!$B$26)*SIN(2*PI()*(Presion_cilindro!N423-$B$15)/Presion_cilindro!$B$39),0)</f>
        <v>24.116485883633498</v>
      </c>
      <c r="T424" s="9">
        <f>IF(Presion_cilindro!N423&gt;$B$14,1-EXP(-Presion_cilindro!$B$16*((Presion_cilindro!N423-$B$14)/Presion_cilindro!$B$35)^(Presion_cilindro!$B$17+1)),0)</f>
        <v>7.3415543555099383E-2</v>
      </c>
      <c r="U424" s="10">
        <f>U423*(Presion_cilindro!O422/Presion_cilindro!O423)^Presion_cilindro!$B$9+10*(Presion_cilindro!$B$9-1)*Presion_cilindro!$B$33*(T424-T423)/((Presion_cilindro!O422+Presion_cilindro!O423)/2)</f>
        <v>8.6896723567055449</v>
      </c>
    </row>
    <row r="425" spans="14:21" x14ac:dyDescent="0.25">
      <c r="N425" s="8">
        <f>-Presion_cilindro!N424</f>
        <v>-30</v>
      </c>
      <c r="O425" s="9">
        <f>IF(Presion_cilindro!N424&gt;$B$12,1-EXP(-Presion_cilindro!$B$16*((Presion_cilindro!N424-$B$12)/Presion_cilindro!$B$35)^(Presion_cilindro!$B$17+1)),0)</f>
        <v>0.99759815860153289</v>
      </c>
      <c r="P425" s="10">
        <f>P424*(Presion_cilindro!O423/Presion_cilindro!O424)^Presion_cilindro!$B$9+10*(Presion_cilindro!$B$9-1)*Presion_cilindro!$B$33*(O425-O424)/((Presion_cilindro!O423+Presion_cilindro!O424)/2)</f>
        <v>22.603985189514507</v>
      </c>
      <c r="Q425" s="9">
        <f>IF(OR($B$9=0,Presion_cilindro!N424&lt;=$B$15),IF(Presion_cilindro!N424&gt;$B$13,1-EXP(-Presion_cilindro!$B$16*((Presion_cilindro!N424-$B$13)/Presion_cilindro!$B$35)^(Presion_cilindro!$B$17+1)),0),$B$8+(1-$B$8)*(1-EXP(-(Presion_cilindro!N424-$B$15)/Presion_cilindro!$B$23)))</f>
        <v>0.99999999999687583</v>
      </c>
      <c r="R425" s="10">
        <f>R424*(Presion_cilindro!O423/Presion_cilindro!O424)^Presion_cilindro!$B$9+10*(Presion_cilindro!$B$9-1)*Presion_cilindro!$B$33*(Q425-Q424)/((Presion_cilindro!O423+Presion_cilindro!O424)/2)</f>
        <v>23.492067128106189</v>
      </c>
      <c r="S425" s="10">
        <f>R425+IF(AND($B$9=1,Presion_cilindro!N424&gt;$B$15),Presion_cilindro!$B$24*2.5*EXP(-(Presion_cilindro!N424-$B$15)/Presion_cilindro!$B$26)*SIN(2*PI()*(Presion_cilindro!N424-$B$15)/Presion_cilindro!$B$39),0)</f>
        <v>23.554391589308544</v>
      </c>
      <c r="T425" s="9">
        <f>IF(Presion_cilindro!N424&gt;$B$14,1-EXP(-Presion_cilindro!$B$16*((Presion_cilindro!N424-$B$14)/Presion_cilindro!$B$35)^(Presion_cilindro!$B$17+1)),0)</f>
        <v>8.2343363720332352E-2</v>
      </c>
      <c r="U425" s="10">
        <f>U424*(Presion_cilindro!O423/Presion_cilindro!O424)^Presion_cilindro!$B$9+10*(Presion_cilindro!$B$9-1)*Presion_cilindro!$B$33*(T425-T424)/((Presion_cilindro!O423+Presion_cilindro!O424)/2)</f>
        <v>8.6930313291595596</v>
      </c>
    </row>
    <row r="426" spans="14:21" x14ac:dyDescent="0.25">
      <c r="N426" s="8">
        <f>-Presion_cilindro!N425</f>
        <v>-30.5</v>
      </c>
      <c r="O426" s="9">
        <f>IF(Presion_cilindro!N425&gt;$B$12,1-EXP(-Presion_cilindro!$B$16*((Presion_cilindro!N425-$B$12)/Presion_cilindro!$B$35)^(Presion_cilindro!$B$17+1)),0)</f>
        <v>0.99797967588832193</v>
      </c>
      <c r="P426" s="10">
        <f>P425*(Presion_cilindro!O424/Presion_cilindro!O425)^Presion_cilindro!$B$9+10*(Presion_cilindro!$B$9-1)*Presion_cilindro!$B$33*(O426-O425)/((Presion_cilindro!O424+Presion_cilindro!O425)/2)</f>
        <v>22.196462690903896</v>
      </c>
      <c r="Q426" s="9">
        <f>IF(OR($B$9=0,Presion_cilindro!N425&lt;=$B$15),IF(Presion_cilindro!N425&gt;$B$13,1-EXP(-Presion_cilindro!$B$16*((Presion_cilindro!N425-$B$13)/Presion_cilindro!$B$35)^(Presion_cilindro!$B$17+1)),0),$B$8+(1-$B$8)*(1-EXP(-(Presion_cilindro!N425-$B$15)/Presion_cilindro!$B$23)))</f>
        <v>0.99999999999776146</v>
      </c>
      <c r="R426" s="10">
        <f>R425*(Presion_cilindro!O424/Presion_cilindro!O425)^Presion_cilindro!$B$9+10*(Presion_cilindro!$B$9-1)*Presion_cilindro!$B$33*(Q426-Q425)/((Presion_cilindro!O424+Presion_cilindro!O425)/2)</f>
        <v>23.061411142202036</v>
      </c>
      <c r="S426" s="10">
        <f>R426+IF(AND($B$9=1,Presion_cilindro!N425&gt;$B$15),Presion_cilindro!$B$24*2.5*EXP(-(Presion_cilindro!N425-$B$15)/Presion_cilindro!$B$26)*SIN(2*PI()*(Presion_cilindro!N425-$B$15)/Presion_cilindro!$B$39),0)</f>
        <v>22.893259608321859</v>
      </c>
      <c r="T426" s="9">
        <f>IF(Presion_cilindro!N425&gt;$B$14,1-EXP(-Presion_cilindro!$B$16*((Presion_cilindro!N425-$B$14)/Presion_cilindro!$B$35)^(Presion_cilindro!$B$17+1)),0)</f>
        <v>9.1899874142160942E-2</v>
      </c>
      <c r="U426" s="10">
        <f>U425*(Presion_cilindro!O424/Presion_cilindro!O425)^Presion_cilindro!$B$9+10*(Presion_cilindro!$B$9-1)*Presion_cilindro!$B$33*(T426-T425)/((Presion_cilindro!O424+Presion_cilindro!O425)/2)</f>
        <v>8.7053344042620697</v>
      </c>
    </row>
    <row r="427" spans="14:21" x14ac:dyDescent="0.25">
      <c r="N427" s="8">
        <f>-Presion_cilindro!N426</f>
        <v>-31</v>
      </c>
      <c r="O427" s="9">
        <f>IF(Presion_cilindro!N426&gt;$B$12,1-EXP(-Presion_cilindro!$B$16*((Presion_cilindro!N426-$B$12)/Presion_cilindro!$B$35)^(Presion_cilindro!$B$17+1)),0)</f>
        <v>0.99830614971863774</v>
      </c>
      <c r="P427" s="10">
        <f>P426*(Presion_cilindro!O425/Presion_cilindro!O426)^Presion_cilindro!$B$9+10*(Presion_cilindro!$B$9-1)*Presion_cilindro!$B$33*(O427-O426)/((Presion_cilindro!O425+Presion_cilindro!O426)/2)</f>
        <v>21.795363874270361</v>
      </c>
      <c r="Q427" s="9">
        <f>IF(OR($B$9=0,Presion_cilindro!N426&lt;=$B$15),IF(Presion_cilindro!N426&gt;$B$13,1-EXP(-Presion_cilindro!$B$16*((Presion_cilindro!N426-$B$13)/Presion_cilindro!$B$35)^(Presion_cilindro!$B$17+1)),0),$B$8+(1-$B$8)*(1-EXP(-(Presion_cilindro!N426-$B$15)/Presion_cilindro!$B$23)))</f>
        <v>0.99999999999839595</v>
      </c>
      <c r="R427" s="10">
        <f>R426*(Presion_cilindro!O425/Presion_cilindro!O426)^Presion_cilindro!$B$9+10*(Presion_cilindro!$B$9-1)*Presion_cilindro!$B$33*(Q427-Q426)/((Presion_cilindro!O425+Presion_cilindro!O426)/2)</f>
        <v>22.638673567604048</v>
      </c>
      <c r="S427" s="10">
        <f>R427+IF(AND($B$9=1,Presion_cilindro!N426&gt;$B$15),Presion_cilindro!$B$24*2.5*EXP(-(Presion_cilindro!N426-$B$15)/Presion_cilindro!$B$26)*SIN(2*PI()*(Presion_cilindro!N426-$B$15)/Presion_cilindro!$B$39),0)</f>
        <v>22.582280063049229</v>
      </c>
      <c r="T427" s="9">
        <f>IF(Presion_cilindro!N426&gt;$B$14,1-EXP(-Presion_cilindro!$B$16*((Presion_cilindro!N426-$B$14)/Presion_cilindro!$B$35)^(Presion_cilindro!$B$17+1)),0)</f>
        <v>0.10209116965919829</v>
      </c>
      <c r="U427" s="10">
        <f>U426*(Presion_cilindro!O425/Presion_cilindro!O426)^Presion_cilindro!$B$9+10*(Presion_cilindro!$B$9-1)*Presion_cilindro!$B$33*(T427-T426)/((Presion_cilindro!O425+Presion_cilindro!O426)/2)</f>
        <v>8.7262945082005192</v>
      </c>
    </row>
    <row r="428" spans="14:21" x14ac:dyDescent="0.25">
      <c r="N428" s="8">
        <f>-Presion_cilindro!N427</f>
        <v>-31.5</v>
      </c>
      <c r="O428" s="9">
        <f>IF(Presion_cilindro!N427&gt;$B$12,1-EXP(-Presion_cilindro!$B$16*((Presion_cilindro!N427-$B$12)/Presion_cilindro!$B$35)^(Presion_cilindro!$B$17+1)),0)</f>
        <v>0.99858455532021828</v>
      </c>
      <c r="P428" s="10">
        <f>P427*(Presion_cilindro!O426/Presion_cilindro!O427)^Presion_cilindro!$B$9+10*(Presion_cilindro!$B$9-1)*Presion_cilindro!$B$33*(O428-O427)/((Presion_cilindro!O426+Presion_cilindro!O427)/2)</f>
        <v>21.400840794840811</v>
      </c>
      <c r="Q428" s="9">
        <f>IF(OR($B$9=0,Presion_cilindro!N427&lt;=$B$15),IF(Presion_cilindro!N427&gt;$B$13,1-EXP(-Presion_cilindro!$B$16*((Presion_cilindro!N427-$B$13)/Presion_cilindro!$B$35)^(Presion_cilindro!$B$17+1)),0),$B$8+(1-$B$8)*(1-EXP(-(Presion_cilindro!N427-$B$15)/Presion_cilindro!$B$23)))</f>
        <v>0.9999999999988507</v>
      </c>
      <c r="R428" s="10">
        <f>R427*(Presion_cilindro!O426/Presion_cilindro!O427)^Presion_cilindro!$B$9+10*(Presion_cilindro!$B$9-1)*Presion_cilindro!$B$33*(Q428-Q427)/((Presion_cilindro!O426+Presion_cilindro!O427)/2)</f>
        <v>22.223833555808117</v>
      </c>
      <c r="S428" s="10">
        <f>R428+IF(AND($B$9=1,Presion_cilindro!N427&gt;$B$15),Presion_cilindro!$B$24*2.5*EXP(-(Presion_cilindro!N427-$B$15)/Presion_cilindro!$B$26)*SIN(2*PI()*(Presion_cilindro!N427-$B$15)/Presion_cilindro!$B$39),0)</f>
        <v>22.375983355563044</v>
      </c>
      <c r="T428" s="9">
        <f>IF(Presion_cilindro!N427&gt;$B$14,1-EXP(-Presion_cilindro!$B$16*((Presion_cilindro!N427-$B$14)/Presion_cilindro!$B$35)^(Presion_cilindro!$B$17+1)),0)</f>
        <v>0.11292082640573153</v>
      </c>
      <c r="U428" s="10">
        <f>U427*(Presion_cilindro!O426/Presion_cilindro!O427)^Presion_cilindro!$B$9+10*(Presion_cilindro!$B$9-1)*Presion_cilindro!$B$33*(T428-T427)/((Presion_cilindro!O426+Presion_cilindro!O427)/2)</f>
        <v>8.7555863286234388</v>
      </c>
    </row>
    <row r="429" spans="14:21" x14ac:dyDescent="0.25">
      <c r="N429" s="8">
        <f>-Presion_cilindro!N428</f>
        <v>-32</v>
      </c>
      <c r="O429" s="9">
        <f>IF(Presion_cilindro!N428&gt;$B$12,1-EXP(-Presion_cilindro!$B$16*((Presion_cilindro!N428-$B$12)/Presion_cilindro!$B$35)^(Presion_cilindro!$B$17+1)),0)</f>
        <v>0.99882114242167308</v>
      </c>
      <c r="P429" s="10">
        <f>P428*(Presion_cilindro!O427/Presion_cilindro!O428)^Presion_cilindro!$B$9+10*(Presion_cilindro!$B$9-1)*Presion_cilindro!$B$33*(O429-O428)/((Presion_cilindro!O427+Presion_cilindro!O428)/2)</f>
        <v>21.013013108957981</v>
      </c>
      <c r="Q429" s="9">
        <f>IF(OR($B$9=0,Presion_cilindro!N428&lt;=$B$15),IF(Presion_cilindro!N428&gt;$B$13,1-EXP(-Presion_cilindro!$B$16*((Presion_cilindro!N428-$B$13)/Presion_cilindro!$B$35)^(Presion_cilindro!$B$17+1)),0),$B$8+(1-$B$8)*(1-EXP(-(Presion_cilindro!N428-$B$15)/Presion_cilindro!$B$23)))</f>
        <v>0.99999999999917644</v>
      </c>
      <c r="R429" s="10">
        <f>R428*(Presion_cilindro!O427/Presion_cilindro!O428)^Presion_cilindro!$B$9+10*(Presion_cilindro!$B$9-1)*Presion_cilindro!$B$33*(Q429-Q428)/((Presion_cilindro!O427+Presion_cilindro!O428)/2)</f>
        <v>21.816858621030001</v>
      </c>
      <c r="S429" s="10">
        <f>R429+IF(AND($B$9=1,Presion_cilindro!N428&gt;$B$15),Presion_cilindro!$B$24*2.5*EXP(-(Presion_cilindro!N428-$B$15)/Presion_cilindro!$B$26)*SIN(2*PI()*(Presion_cilindro!N428-$B$15)/Presion_cilindro!$B$39),0)</f>
        <v>21.867885574085381</v>
      </c>
      <c r="T429" s="9">
        <f>IF(Presion_cilindro!N428&gt;$B$14,1-EXP(-Presion_cilindro!$B$16*((Presion_cilindro!N428-$B$14)/Presion_cilindro!$B$35)^(Presion_cilindro!$B$17+1)),0)</f>
        <v>0.12438980172926639</v>
      </c>
      <c r="U429" s="10">
        <f>U428*(Presion_cilindro!O427/Presion_cilindro!O428)^Presion_cilindro!$B$9+10*(Presion_cilindro!$B$9-1)*Presion_cilindro!$B$33*(T429-T428)/((Presion_cilindro!O427+Presion_cilindro!O428)/2)</f>
        <v>8.7928481650704153</v>
      </c>
    </row>
    <row r="430" spans="14:21" x14ac:dyDescent="0.25">
      <c r="N430" s="8">
        <f>-Presion_cilindro!N429</f>
        <v>-32.5</v>
      </c>
      <c r="O430" s="9">
        <f>IF(Presion_cilindro!N429&gt;$B$12,1-EXP(-Presion_cilindro!$B$16*((Presion_cilindro!N429-$B$12)/Presion_cilindro!$B$35)^(Presion_cilindro!$B$17+1)),0)</f>
        <v>0.99902148611638864</v>
      </c>
      <c r="P430" s="10">
        <f>P429*(Presion_cilindro!O428/Presion_cilindro!O429)^Presion_cilindro!$B$9+10*(Presion_cilindro!$B$9-1)*Presion_cilindro!$B$33*(O430-O429)/((Presion_cilindro!O428+Presion_cilindro!O429)/2)</f>
        <v>20.631971077095468</v>
      </c>
      <c r="Q430" s="9">
        <f>IF(OR($B$9=0,Presion_cilindro!N429&lt;=$B$15),IF(Presion_cilindro!N429&gt;$B$13,1-EXP(-Presion_cilindro!$B$16*((Presion_cilindro!N429-$B$13)/Presion_cilindro!$B$35)^(Presion_cilindro!$B$17+1)),0),$B$8+(1-$B$8)*(1-EXP(-(Presion_cilindro!N429-$B$15)/Presion_cilindro!$B$23)))</f>
        <v>0.99999999999940992</v>
      </c>
      <c r="R430" s="10">
        <f>R429*(Presion_cilindro!O428/Presion_cilindro!O429)^Presion_cilindro!$B$9+10*(Presion_cilindro!$B$9-1)*Presion_cilindro!$B$33*(Q430-Q429)/((Presion_cilindro!O428+Presion_cilindro!O429)/2)</f>
        <v>21.417705628330001</v>
      </c>
      <c r="S430" s="10">
        <f>R430+IF(AND($B$9=1,Presion_cilindro!N429&gt;$B$15),Presion_cilindro!$B$24*2.5*EXP(-(Presion_cilindro!N429-$B$15)/Presion_cilindro!$B$26)*SIN(2*PI()*(Presion_cilindro!N429-$B$15)/Presion_cilindro!$B$39),0)</f>
        <v>21.280034796365065</v>
      </c>
      <c r="T430" s="9">
        <f>IF(Presion_cilindro!N429&gt;$B$14,1-EXP(-Presion_cilindro!$B$16*((Presion_cilindro!N429-$B$14)/Presion_cilindro!$B$35)^(Presion_cilindro!$B$17+1)),0)</f>
        <v>0.13649634562228641</v>
      </c>
      <c r="U430" s="10">
        <f>U429*(Presion_cilindro!O428/Presion_cilindro!O429)^Presion_cilindro!$B$9+10*(Presion_cilindro!$B$9-1)*Presion_cilindro!$B$33*(T430-T429)/((Presion_cilindro!O428+Presion_cilindro!O429)/2)</f>
        <v>8.837683919719213</v>
      </c>
    </row>
    <row r="431" spans="14:21" x14ac:dyDescent="0.25">
      <c r="N431" s="8">
        <f>-Presion_cilindro!N430</f>
        <v>-33</v>
      </c>
      <c r="O431" s="9">
        <f>IF(Presion_cilindro!N430&gt;$B$12,1-EXP(-Presion_cilindro!$B$16*((Presion_cilindro!N430-$B$12)/Presion_cilindro!$B$35)^(Presion_cilindro!$B$17+1)),0)</f>
        <v>0.99919053791621615</v>
      </c>
      <c r="P431" s="10">
        <f>P430*(Presion_cilindro!O429/Presion_cilindro!O430)^Presion_cilindro!$B$9+10*(Presion_cilindro!$B$9-1)*Presion_cilindro!$B$33*(O431-O430)/((Presion_cilindro!O429+Presion_cilindro!O430)/2)</f>
        <v>20.257778410820436</v>
      </c>
      <c r="Q431" s="9">
        <f>IF(OR($B$9=0,Presion_cilindro!N430&lt;=$B$15),IF(Presion_cilindro!N430&gt;$B$13,1-EXP(-Presion_cilindro!$B$16*((Presion_cilindro!N430-$B$13)/Presion_cilindro!$B$35)^(Presion_cilindro!$B$17+1)),0),$B$8+(1-$B$8)*(1-EXP(-(Presion_cilindro!N430-$B$15)/Presion_cilindro!$B$23)))</f>
        <v>0.99999999999957723</v>
      </c>
      <c r="R431" s="10">
        <f>R430*(Presion_cilindro!O429/Presion_cilindro!O430)^Presion_cilindro!$B$9+10*(Presion_cilindro!$B$9-1)*Presion_cilindro!$B$33*(Q431-Q430)/((Presion_cilindro!O429+Presion_cilindro!O430)/2)</f>
        <v>21.026321731922042</v>
      </c>
      <c r="S431" s="10">
        <f>R431+IF(AND($B$9=1,Presion_cilindro!N430&gt;$B$15),Presion_cilindro!$B$24*2.5*EXP(-(Presion_cilindro!N430-$B$15)/Presion_cilindro!$B$26)*SIN(2*PI()*(Presion_cilindro!N430-$B$15)/Presion_cilindro!$B$39),0)</f>
        <v>20.980150635469165</v>
      </c>
      <c r="T431" s="9">
        <f>IF(Presion_cilindro!N430&gt;$B$14,1-EXP(-Presion_cilindro!$B$16*((Presion_cilindro!N430-$B$14)/Presion_cilindro!$B$35)^(Presion_cilindro!$B$17+1)),0)</f>
        <v>0.14923592520282525</v>
      </c>
      <c r="U431" s="10">
        <f>U430*(Presion_cilindro!O429/Presion_cilindro!O430)^Presion_cilindro!$B$9+10*(Presion_cilindro!$B$9-1)*Presion_cilindro!$B$33*(T431-T430)/((Presion_cilindro!O429+Presion_cilindro!O430)/2)</f>
        <v>8.8896652298420182</v>
      </c>
    </row>
    <row r="432" spans="14:21" x14ac:dyDescent="0.25">
      <c r="N432" s="8">
        <f>-Presion_cilindro!N431</f>
        <v>-33.5</v>
      </c>
      <c r="O432" s="9">
        <f>IF(Presion_cilindro!N431&gt;$B$12,1-EXP(-Presion_cilindro!$B$16*((Presion_cilindro!N431-$B$12)/Presion_cilindro!$B$35)^(Presion_cilindro!$B$17+1)),0)</f>
        <v>0.99933267629999656</v>
      </c>
      <c r="P432" s="10">
        <f>P431*(Presion_cilindro!O430/Presion_cilindro!O431)^Presion_cilindro!$B$9+10*(Presion_cilindro!$B$9-1)*Presion_cilindro!$B$33*(O432-O431)/((Presion_cilindro!O430+Presion_cilindro!O431)/2)</f>
        <v>19.89047495421876</v>
      </c>
      <c r="Q432" s="9">
        <f>IF(OR($B$9=0,Presion_cilindro!N431&lt;=$B$15),IF(Presion_cilindro!N431&gt;$B$13,1-EXP(-Presion_cilindro!$B$16*((Presion_cilindro!N431-$B$13)/Presion_cilindro!$B$35)^(Presion_cilindro!$B$17+1)),0),$B$8+(1-$B$8)*(1-EXP(-(Presion_cilindro!N431-$B$15)/Presion_cilindro!$B$23)))</f>
        <v>0.99999999999969702</v>
      </c>
      <c r="R432" s="10">
        <f>R431*(Presion_cilindro!O430/Presion_cilindro!O431)^Presion_cilindro!$B$9+10*(Presion_cilindro!$B$9-1)*Presion_cilindro!$B$33*(Q432-Q431)/((Presion_cilindro!O430+Presion_cilindro!O431)/2)</f>
        <v>20.642645264042152</v>
      </c>
      <c r="S432" s="10">
        <f>R432+IF(AND($B$9=1,Presion_cilindro!N431&gt;$B$15),Presion_cilindro!$B$24*2.5*EXP(-(Presion_cilindro!N431-$B$15)/Presion_cilindro!$B$26)*SIN(2*PI()*(Presion_cilindro!N431-$B$15)/Presion_cilindro!$B$39),0)</f>
        <v>20.767214984176167</v>
      </c>
      <c r="T432" s="9">
        <f>IF(Presion_cilindro!N431&gt;$B$14,1-EXP(-Presion_cilindro!$B$16*((Presion_cilindro!N431-$B$14)/Presion_cilindro!$B$35)^(Presion_cilindro!$B$17+1)),0)</f>
        <v>0.16260116373191502</v>
      </c>
      <c r="U432" s="10">
        <f>U431*(Presion_cilindro!O430/Presion_cilindro!O431)^Presion_cilindro!$B$9+10*(Presion_cilindro!$B$9-1)*Presion_cilindro!$B$33*(T432-T431)/((Presion_cilindro!O430+Presion_cilindro!O431)/2)</f>
        <v>8.9483337418371693</v>
      </c>
    </row>
    <row r="433" spans="14:21" x14ac:dyDescent="0.25">
      <c r="N433" s="8">
        <f>-Presion_cilindro!N432</f>
        <v>-34</v>
      </c>
      <c r="O433" s="9">
        <f>IF(Presion_cilindro!N432&gt;$B$12,1-EXP(-Presion_cilindro!$B$16*((Presion_cilindro!N432-$B$12)/Presion_cilindro!$B$35)^(Presion_cilindro!$B$17+1)),0)</f>
        <v>0.99945175616001047</v>
      </c>
      <c r="P433" s="10">
        <f>P432*(Presion_cilindro!O431/Presion_cilindro!O432)^Presion_cilindro!$B$9+10*(Presion_cilindro!$B$9-1)*Presion_cilindro!$B$33*(O433-O432)/((Presion_cilindro!O431+Presion_cilindro!O432)/2)</f>
        <v>19.53007919401869</v>
      </c>
      <c r="Q433" s="9">
        <f>IF(OR($B$9=0,Presion_cilindro!N432&lt;=$B$15),IF(Presion_cilindro!N432&gt;$B$13,1-EXP(-Presion_cilindro!$B$16*((Presion_cilindro!N432-$B$13)/Presion_cilindro!$B$35)^(Presion_cilindro!$B$17+1)),0),$B$8+(1-$B$8)*(1-EXP(-(Presion_cilindro!N432-$B$15)/Presion_cilindro!$B$23)))</f>
        <v>0.99999999999978295</v>
      </c>
      <c r="R433" s="10">
        <f>R432*(Presion_cilindro!O431/Presion_cilindro!O432)^Presion_cilindro!$B$9+10*(Presion_cilindro!$B$9-1)*Presion_cilindro!$B$33*(Q433-Q432)/((Presion_cilindro!O431+Presion_cilindro!O432)/2)</f>
        <v>20.266606575040655</v>
      </c>
      <c r="S433" s="10">
        <f>R433+IF(AND($B$9=1,Presion_cilindro!N432&gt;$B$15),Presion_cilindro!$B$24*2.5*EXP(-(Presion_cilindro!N432-$B$15)/Presion_cilindro!$B$26)*SIN(2*PI()*(Presion_cilindro!N432-$B$15)/Presion_cilindro!$B$39),0)</f>
        <v>20.308383910742965</v>
      </c>
      <c r="T433" s="9">
        <f>IF(Presion_cilindro!N432&gt;$B$14,1-EXP(-Presion_cilindro!$B$16*((Presion_cilindro!N432-$B$14)/Presion_cilindro!$B$35)^(Presion_cilindro!$B$17+1)),0)</f>
        <v>0.17658179558771447</v>
      </c>
      <c r="U433" s="10">
        <f>U432*(Presion_cilindro!O431/Presion_cilindro!O432)^Presion_cilindro!$B$9+10*(Presion_cilindro!$B$9-1)*Presion_cilindro!$B$33*(T433-T432)/((Presion_cilindro!O431+Presion_cilindro!O432)/2)</f>
        <v>9.0132035250381239</v>
      </c>
    </row>
    <row r="434" spans="14:21" x14ac:dyDescent="0.25">
      <c r="N434" s="8">
        <f>-Presion_cilindro!N433</f>
        <v>-34.5</v>
      </c>
      <c r="O434" s="9">
        <f>IF(Presion_cilindro!N433&gt;$B$12,1-EXP(-Presion_cilindro!$B$16*((Presion_cilindro!N433-$B$12)/Presion_cilindro!$B$35)^(Presion_cilindro!$B$17+1)),0)</f>
        <v>0.99955115664613903</v>
      </c>
      <c r="P434" s="10">
        <f>P433*(Presion_cilindro!O432/Presion_cilindro!O433)^Presion_cilindro!$B$9+10*(Presion_cilindro!$B$9-1)*Presion_cilindro!$B$33*(O434-O433)/((Presion_cilindro!O432+Presion_cilindro!O433)/2)</f>
        <v>19.176590595917148</v>
      </c>
      <c r="Q434" s="9">
        <f>IF(OR($B$9=0,Presion_cilindro!N433&lt;=$B$15),IF(Presion_cilindro!N433&gt;$B$13,1-EXP(-Presion_cilindro!$B$16*((Presion_cilindro!N433-$B$13)/Presion_cilindro!$B$35)^(Presion_cilindro!$B$17+1)),0),$B$8+(1-$B$8)*(1-EXP(-(Presion_cilindro!N433-$B$15)/Presion_cilindro!$B$23)))</f>
        <v>0.99999999999984446</v>
      </c>
      <c r="R434" s="10">
        <f>R433*(Presion_cilindro!O432/Presion_cilindro!O433)^Presion_cilindro!$B$9+10*(Presion_cilindro!$B$9-1)*Presion_cilindro!$B$33*(Q434-Q433)/((Presion_cilindro!O432+Presion_cilindro!O433)/2)</f>
        <v>19.89812882560663</v>
      </c>
      <c r="S434" s="10">
        <f>R434+IF(AND($B$9=1,Presion_cilindro!N433&gt;$B$15),Presion_cilindro!$B$24*2.5*EXP(-(Presion_cilindro!N433-$B$15)/Presion_cilindro!$B$26)*SIN(2*PI()*(Presion_cilindro!N433-$B$15)/Presion_cilindro!$B$39),0)</f>
        <v>19.785413481675107</v>
      </c>
      <c r="T434" s="9">
        <f>IF(Presion_cilindro!N433&gt;$B$14,1-EXP(-Presion_cilindro!$B$16*((Presion_cilindro!N433-$B$14)/Presion_cilindro!$B$35)^(Presion_cilindro!$B$17+1)),0)</f>
        <v>0.19116463852537602</v>
      </c>
      <c r="U434" s="10">
        <f>U433*(Presion_cilindro!O432/Presion_cilindro!O433)^Presion_cilindro!$B$9+10*(Presion_cilindro!$B$9-1)*Presion_cilindro!$B$33*(T434-T433)/((Presion_cilindro!O432+Presion_cilindro!O433)/2)</f>
        <v>9.0837636217162707</v>
      </c>
    </row>
    <row r="435" spans="14:21" x14ac:dyDescent="0.25">
      <c r="N435" s="8">
        <f>-Presion_cilindro!N434</f>
        <v>-35</v>
      </c>
      <c r="O435" s="9">
        <f>IF(Presion_cilindro!N434&gt;$B$12,1-EXP(-Presion_cilindro!$B$16*((Presion_cilindro!N434-$B$12)/Presion_cilindro!$B$35)^(Presion_cilindro!$B$17+1)),0)</f>
        <v>0.9996338270009828</v>
      </c>
      <c r="P435" s="10">
        <f>P434*(Presion_cilindro!O433/Presion_cilindro!O434)^Presion_cilindro!$B$9+10*(Presion_cilindro!$B$9-1)*Presion_cilindro!$B$33*(O435-O434)/((Presion_cilindro!O433+Presion_cilindro!O434)/2)</f>
        <v>18.829991767432585</v>
      </c>
      <c r="Q435" s="9">
        <f>IF(OR($B$9=0,Presion_cilindro!N434&lt;=$B$15),IF(Presion_cilindro!N434&gt;$B$13,1-EXP(-Presion_cilindro!$B$16*((Presion_cilindro!N434-$B$13)/Presion_cilindro!$B$35)^(Presion_cilindro!$B$17+1)),0),$B$8+(1-$B$8)*(1-EXP(-(Presion_cilindro!N434-$B$15)/Presion_cilindro!$B$23)))</f>
        <v>0.99999999999988853</v>
      </c>
      <c r="R435" s="10">
        <f>R434*(Presion_cilindro!O433/Presion_cilindro!O434)^Presion_cilindro!$B$9+10*(Presion_cilindro!$B$9-1)*Presion_cilindro!$B$33*(Q435-Q434)/((Presion_cilindro!O433+Presion_cilindro!O434)/2)</f>
        <v>19.537128732238884</v>
      </c>
      <c r="S435" s="10">
        <f>R435+IF(AND($B$9=1,Presion_cilindro!N434&gt;$B$15),Presion_cilindro!$B$24*2.5*EXP(-(Presion_cilindro!N434-$B$15)/Presion_cilindro!$B$26)*SIN(2*PI()*(Presion_cilindro!N434-$B$15)/Presion_cilindro!$B$39),0)</f>
        <v>19.499327035669584</v>
      </c>
      <c r="T435" s="9">
        <f>IF(Presion_cilindro!N434&gt;$B$14,1-EXP(-Presion_cilindro!$B$16*((Presion_cilindro!N434-$B$14)/Presion_cilindro!$B$35)^(Presion_cilindro!$B$17+1)),0)</f>
        <v>0.20633358443808392</v>
      </c>
      <c r="U435" s="10">
        <f>U434*(Presion_cilindro!O433/Presion_cilindro!O434)^Presion_cilindro!$B$9+10*(Presion_cilindro!$B$9-1)*Presion_cilindro!$B$33*(T435-T434)/((Presion_cilindro!O433+Presion_cilindro!O434)/2)</f>
        <v>9.15948072781371</v>
      </c>
    </row>
    <row r="436" spans="14:21" x14ac:dyDescent="0.25">
      <c r="N436" s="8">
        <f>-Presion_cilindro!N435</f>
        <v>-35.5</v>
      </c>
      <c r="O436" s="9">
        <f>IF(Presion_cilindro!N435&gt;$B$12,1-EXP(-Presion_cilindro!$B$16*((Presion_cilindro!N435-$B$12)/Presion_cilindro!$B$35)^(Presion_cilindro!$B$17+1)),0)</f>
        <v>0.99970233006781528</v>
      </c>
      <c r="P436" s="10">
        <f>P435*(Presion_cilindro!O434/Presion_cilindro!O435)^Presion_cilindro!$B$9+10*(Presion_cilindro!$B$9-1)*Presion_cilindro!$B$33*(O436-O435)/((Presion_cilindro!O434+Presion_cilindro!O435)/2)</f>
        <v>18.490250449989208</v>
      </c>
      <c r="Q436" s="9">
        <f>IF(OR($B$9=0,Presion_cilindro!N435&lt;=$B$15),IF(Presion_cilindro!N435&gt;$B$13,1-EXP(-Presion_cilindro!$B$16*((Presion_cilindro!N435-$B$13)/Presion_cilindro!$B$35)^(Presion_cilindro!$B$17+1)),0),$B$8+(1-$B$8)*(1-EXP(-(Presion_cilindro!N435-$B$15)/Presion_cilindro!$B$23)))</f>
        <v>0.99999999999992017</v>
      </c>
      <c r="R436" s="10">
        <f>R435*(Presion_cilindro!O434/Presion_cilindro!O435)^Presion_cilindro!$B$9+10*(Presion_cilindro!$B$9-1)*Presion_cilindro!$B$33*(Q436-Q435)/((Presion_cilindro!O434+Presion_cilindro!O435)/2)</f>
        <v>19.183517267245541</v>
      </c>
      <c r="S436" s="10">
        <f>R436+IF(AND($B$9=1,Presion_cilindro!N435&gt;$B$15),Presion_cilindro!$B$24*2.5*EXP(-(Presion_cilindro!N435-$B$15)/Presion_cilindro!$B$26)*SIN(2*PI()*(Presion_cilindro!N435-$B$15)/Presion_cilindro!$B$39),0)</f>
        <v>19.285506328021576</v>
      </c>
      <c r="T436" s="9">
        <f>IF(Presion_cilindro!N435&gt;$B$14,1-EXP(-Presion_cilindro!$B$16*((Presion_cilindro!N435-$B$14)/Presion_cilindro!$B$35)^(Presion_cilindro!$B$17+1)),0)</f>
        <v>0.22206960969810607</v>
      </c>
      <c r="U436" s="10">
        <f>U435*(Presion_cilindro!O434/Presion_cilindro!O435)^Presion_cilindro!$B$9+10*(Presion_cilindro!$B$9-1)*Presion_cilindro!$B$33*(T436-T435)/((Presion_cilindro!O434+Presion_cilindro!O435)/2)</f>
        <v>9.2398019969905505</v>
      </c>
    </row>
    <row r="437" spans="14:21" x14ac:dyDescent="0.25">
      <c r="N437" s="8">
        <f>-Presion_cilindro!N436</f>
        <v>-36</v>
      </c>
      <c r="O437" s="9">
        <f>IF(Presion_cilindro!N436&gt;$B$12,1-EXP(-Presion_cilindro!$B$16*((Presion_cilindro!N436-$B$12)/Presion_cilindro!$B$35)^(Presion_cilindro!$B$17+1)),0)</f>
        <v>0.9997588832357619</v>
      </c>
      <c r="P437" s="10">
        <f>P436*(Presion_cilindro!O435/Presion_cilindro!O436)^Presion_cilindro!$B$9+10*(Presion_cilindro!$B$9-1)*Presion_cilindro!$B$33*(O437-O436)/((Presion_cilindro!O435+Presion_cilindro!O436)/2)</f>
        <v>18.157321344902225</v>
      </c>
      <c r="Q437" s="9">
        <f>IF(OR($B$9=0,Presion_cilindro!N436&lt;=$B$15),IF(Presion_cilindro!N436&gt;$B$13,1-EXP(-Presion_cilindro!$B$16*((Presion_cilindro!N436-$B$13)/Presion_cilindro!$B$35)^(Presion_cilindro!$B$17+1)),0),$B$8+(1-$B$8)*(1-EXP(-(Presion_cilindro!N436-$B$15)/Presion_cilindro!$B$23)))</f>
        <v>0.99999999999994271</v>
      </c>
      <c r="R437" s="10">
        <f>R436*(Presion_cilindro!O435/Presion_cilindro!O436)^Presion_cilindro!$B$9+10*(Presion_cilindro!$B$9-1)*Presion_cilindro!$B$33*(Q437-Q436)/((Presion_cilindro!O435+Presion_cilindro!O436)/2)</f>
        <v>18.83720031469133</v>
      </c>
      <c r="S437" s="10">
        <f>R437+IF(AND($B$9=1,Presion_cilindro!N436&gt;$B$15),Presion_cilindro!$B$24*2.5*EXP(-(Presion_cilindro!N436-$B$15)/Presion_cilindro!$B$26)*SIN(2*PI()*(Presion_cilindro!N436-$B$15)/Presion_cilindro!$B$39),0)</f>
        <v>18.871404704212473</v>
      </c>
      <c r="T437" s="9">
        <f>IF(Presion_cilindro!N436&gt;$B$14,1-EXP(-Presion_cilindro!$B$16*((Presion_cilindro!N436-$B$14)/Presion_cilindro!$B$35)^(Presion_cilindro!$B$17+1)),0)</f>
        <v>0.23835080599750624</v>
      </c>
      <c r="U437" s="10">
        <f>U436*(Presion_cilindro!O435/Presion_cilindro!O436)^Presion_cilindro!$B$9+10*(Presion_cilindro!$B$9-1)*Presion_cilindro!$B$33*(T437-T436)/((Presion_cilindro!O435+Presion_cilindro!O436)/2)</f>
        <v>9.3241579585787981</v>
      </c>
    </row>
    <row r="438" spans="14:21" x14ac:dyDescent="0.25">
      <c r="N438" s="8">
        <f>-Presion_cilindro!N437</f>
        <v>-36.5</v>
      </c>
      <c r="O438" s="9">
        <f>IF(Presion_cilindro!N437&gt;$B$12,1-EXP(-Presion_cilindro!$B$16*((Presion_cilindro!N437-$B$12)/Presion_cilindro!$B$35)^(Presion_cilindro!$B$17+1)),0)</f>
        <v>0.99980539666203183</v>
      </c>
      <c r="P438" s="10">
        <f>P437*(Presion_cilindro!O436/Presion_cilindro!O437)^Presion_cilindro!$B$9+10*(Presion_cilindro!$B$9-1)*Presion_cilindro!$B$33*(O438-O437)/((Presion_cilindro!O436+Presion_cilindro!O437)/2)</f>
        <v>17.831147779506029</v>
      </c>
      <c r="Q438" s="9">
        <f>IF(OR($B$9=0,Presion_cilindro!N437&lt;=$B$15),IF(Presion_cilindro!N437&gt;$B$13,1-EXP(-Presion_cilindro!$B$16*((Presion_cilindro!N437-$B$13)/Presion_cilindro!$B$35)^(Presion_cilindro!$B$17+1)),0),$B$8+(1-$B$8)*(1-EXP(-(Presion_cilindro!N437-$B$15)/Presion_cilindro!$B$23)))</f>
        <v>0.99999999999995903</v>
      </c>
      <c r="R438" s="10">
        <f>R437*(Presion_cilindro!O436/Presion_cilindro!O437)^Presion_cilindro!$B$9+10*(Presion_cilindro!$B$9-1)*Presion_cilindro!$B$33*(Q438-Q437)/((Presion_cilindro!O436+Presion_cilindro!O437)/2)</f>
        <v>18.498079283817745</v>
      </c>
      <c r="S438" s="10">
        <f>R438+IF(AND($B$9=1,Presion_cilindro!N437&gt;$B$15),Presion_cilindro!$B$24*2.5*EXP(-(Presion_cilindro!N437-$B$15)/Presion_cilindro!$B$26)*SIN(2*PI()*(Presion_cilindro!N437-$B$15)/Presion_cilindro!$B$39),0)</f>
        <v>18.405795765397244</v>
      </c>
      <c r="T438" s="9">
        <f>IF(Presion_cilindro!N437&gt;$B$14,1-EXP(-Presion_cilindro!$B$16*((Presion_cilindro!N437-$B$14)/Presion_cilindro!$B$35)^(Presion_cilindro!$B$17+1)),0)</f>
        <v>0.25515243242712293</v>
      </c>
      <c r="U438" s="10">
        <f>U437*(Presion_cilindro!O436/Presion_cilindro!O437)^Presion_cilindro!$B$9+10*(Presion_cilindro!$B$9-1)*Presion_cilindro!$B$33*(T438-T437)/((Presion_cilindro!O436+Presion_cilindro!O437)/2)</f>
        <v>9.4119655380307865</v>
      </c>
    </row>
    <row r="439" spans="14:21" x14ac:dyDescent="0.25">
      <c r="N439" s="8">
        <f>-Presion_cilindro!N438</f>
        <v>-37</v>
      </c>
      <c r="O439" s="9">
        <f>IF(Presion_cilindro!N438&gt;$B$12,1-EXP(-Presion_cilindro!$B$16*((Presion_cilindro!N438-$B$12)/Presion_cilindro!$B$35)^(Presion_cilindro!$B$17+1)),0)</f>
        <v>0.99984350867871885</v>
      </c>
      <c r="P439" s="10">
        <f>P438*(Presion_cilindro!O437/Presion_cilindro!O438)^Presion_cilindro!$B$9+10*(Presion_cilindro!$B$9-1)*Presion_cilindro!$B$33*(O439-O438)/((Presion_cilindro!O437+Presion_cilindro!O438)/2)</f>
        <v>17.511663220879896</v>
      </c>
      <c r="Q439" s="9">
        <f>IF(OR($B$9=0,Presion_cilindro!N438&lt;=$B$15),IF(Presion_cilindro!N438&gt;$B$13,1-EXP(-Presion_cilindro!$B$16*((Presion_cilindro!N438-$B$13)/Presion_cilindro!$B$35)^(Presion_cilindro!$B$17+1)),0),$B$8+(1-$B$8)*(1-EXP(-(Presion_cilindro!N438-$B$15)/Presion_cilindro!$B$23)))</f>
        <v>0.99999999999997069</v>
      </c>
      <c r="R439" s="10">
        <f>R438*(Presion_cilindro!O437/Presion_cilindro!O438)^Presion_cilindro!$B$9+10*(Presion_cilindro!$B$9-1)*Presion_cilindro!$B$33*(Q439-Q438)/((Presion_cilindro!O437+Presion_cilindro!O438)/2)</f>
        <v>18.166051681542509</v>
      </c>
      <c r="S439" s="10">
        <f>R439+IF(AND($B$9=1,Presion_cilindro!N438&gt;$B$15),Presion_cilindro!$B$24*2.5*EXP(-(Presion_cilindro!N438-$B$15)/Presion_cilindro!$B$26)*SIN(2*PI()*(Presion_cilindro!N438-$B$15)/Presion_cilindro!$B$39),0)</f>
        <v>18.135102270042701</v>
      </c>
      <c r="T439" s="9">
        <f>IF(Presion_cilindro!N438&gt;$B$14,1-EXP(-Presion_cilindro!$B$16*((Presion_cilindro!N438-$B$14)/Presion_cilindro!$B$35)^(Presion_cilindro!$B$17+1)),0)</f>
        <v>0.27244698933073497</v>
      </c>
      <c r="U439" s="10">
        <f>U438*(Presion_cilindro!O437/Presion_cilindro!O438)^Presion_cilindro!$B$9+10*(Presion_cilindro!$B$9-1)*Presion_cilindro!$B$33*(T439-T438)/((Presion_cilindro!O437+Presion_cilindro!O438)/2)</f>
        <v>9.5026311664673599</v>
      </c>
    </row>
    <row r="440" spans="14:21" x14ac:dyDescent="0.25">
      <c r="N440" s="8">
        <f>-Presion_cilindro!N439</f>
        <v>-37.5</v>
      </c>
      <c r="O440" s="9">
        <f>IF(Presion_cilindro!N439&gt;$B$12,1-EXP(-Presion_cilindro!$B$16*((Presion_cilindro!N439-$B$12)/Presion_cilindro!$B$35)^(Presion_cilindro!$B$17+1)),0)</f>
        <v>0.99987461835125069</v>
      </c>
      <c r="P440" s="10">
        <f>P439*(Presion_cilindro!O438/Presion_cilindro!O439)^Presion_cilindro!$B$9+10*(Presion_cilindro!$B$9-1)*Presion_cilindro!$B$33*(O440-O439)/((Presion_cilindro!O438+Presion_cilindro!O439)/2)</f>
        <v>17.198792645512182</v>
      </c>
      <c r="Q440" s="9">
        <f>IF(OR($B$9=0,Presion_cilindro!N439&lt;=$B$15),IF(Presion_cilindro!N439&gt;$B$13,1-EXP(-Presion_cilindro!$B$16*((Presion_cilindro!N439-$B$13)/Presion_cilindro!$B$35)^(Presion_cilindro!$B$17+1)),0),$B$8+(1-$B$8)*(1-EXP(-(Presion_cilindro!N439-$B$15)/Presion_cilindro!$B$23)))</f>
        <v>0.99999999999997891</v>
      </c>
      <c r="R440" s="10">
        <f>R439*(Presion_cilindro!O438/Presion_cilindro!O439)^Presion_cilindro!$B$9+10*(Presion_cilindro!$B$9-1)*Presion_cilindro!$B$33*(Q440-Q439)/((Presion_cilindro!O438+Presion_cilindro!O439)/2)</f>
        <v>17.8410116457027</v>
      </c>
      <c r="S440" s="10">
        <f>R440+IF(AND($B$9=1,Presion_cilindro!N439&gt;$B$15),Presion_cilindro!$B$24*2.5*EXP(-(Presion_cilindro!N439-$B$15)/Presion_cilindro!$B$26)*SIN(2*PI()*(Presion_cilindro!N439-$B$15)/Presion_cilindro!$B$39),0)</f>
        <v>17.924513226237579</v>
      </c>
      <c r="T440" s="9">
        <f>IF(Presion_cilindro!N439&gt;$B$14,1-EXP(-Presion_cilindro!$B$16*((Presion_cilindro!N439-$B$14)/Presion_cilindro!$B$35)^(Presion_cilindro!$B$17+1)),0)</f>
        <v>0.29020431425069126</v>
      </c>
      <c r="U440" s="10">
        <f>U439*(Presion_cilindro!O438/Presion_cilindro!O439)^Presion_cilindro!$B$9+10*(Presion_cilindro!$B$9-1)*Presion_cilindro!$B$33*(T440-T439)/((Presion_cilindro!O438+Presion_cilindro!O439)/2)</f>
        <v>9.5955539640033862</v>
      </c>
    </row>
    <row r="441" spans="14:21" x14ac:dyDescent="0.25">
      <c r="N441" s="8">
        <f>-Presion_cilindro!N440</f>
        <v>-38</v>
      </c>
      <c r="O441" s="9">
        <f>IF(Presion_cilindro!N440&gt;$B$12,1-EXP(-Presion_cilindro!$B$16*((Presion_cilindro!N440-$B$12)/Presion_cilindro!$B$35)^(Presion_cilindro!$B$17+1)),0)</f>
        <v>0.99989991520685717</v>
      </c>
      <c r="P441" s="10">
        <f>P440*(Presion_cilindro!O439/Presion_cilindro!O440)^Presion_cilindro!$B$9+10*(Presion_cilindro!$B$9-1)*Presion_cilindro!$B$33*(O441-O440)/((Presion_cilindro!O439+Presion_cilindro!O440)/2)</f>
        <v>16.892453773839375</v>
      </c>
      <c r="Q441" s="9">
        <f>IF(OR($B$9=0,Presion_cilindro!N440&lt;=$B$15),IF(Presion_cilindro!N440&gt;$B$13,1-EXP(-Presion_cilindro!$B$16*((Presion_cilindro!N440-$B$13)/Presion_cilindro!$B$35)^(Presion_cilindro!$B$17+1)),0),$B$8+(1-$B$8)*(1-EXP(-(Presion_cilindro!N440-$B$15)/Presion_cilindro!$B$23)))</f>
        <v>0.9999999999999849</v>
      </c>
      <c r="R441" s="10">
        <f>R440*(Presion_cilindro!O439/Presion_cilindro!O440)^Presion_cilindro!$B$9+10*(Presion_cilindro!$B$9-1)*Presion_cilindro!$B$33*(Q441-Q440)/((Presion_cilindro!O439+Presion_cilindro!O440)/2)</f>
        <v>17.522850440742971</v>
      </c>
      <c r="S441" s="10">
        <f>R441+IF(AND($B$9=1,Presion_cilindro!N440&gt;$B$15),Presion_cilindro!$B$24*2.5*EXP(-(Presion_cilindro!N440-$B$15)/Presion_cilindro!$B$26)*SIN(2*PI()*(Presion_cilindro!N440-$B$15)/Presion_cilindro!$B$39),0)</f>
        <v>17.550854626334189</v>
      </c>
      <c r="T441" s="9">
        <f>IF(Presion_cilindro!N440&gt;$B$14,1-EXP(-Presion_cilindro!$B$16*((Presion_cilindro!N440-$B$14)/Presion_cilindro!$B$35)^(Presion_cilindro!$B$17+1)),0)</f>
        <v>0.30839170004378746</v>
      </c>
      <c r="U441" s="10">
        <f>U440*(Presion_cilindro!O439/Presion_cilindro!O440)^Presion_cilindro!$B$9+10*(Presion_cilindro!$B$9-1)*Presion_cilindro!$B$33*(T441-T440)/((Presion_cilindro!O439+Presion_cilindro!O440)/2)</f>
        <v>9.6901289796891401</v>
      </c>
    </row>
    <row r="442" spans="14:21" x14ac:dyDescent="0.25">
      <c r="N442" s="8">
        <f>-Presion_cilindro!N441</f>
        <v>-38.5</v>
      </c>
      <c r="O442" s="9">
        <f>IF(Presion_cilindro!N441&gt;$B$12,1-EXP(-Presion_cilindro!$B$16*((Presion_cilindro!N441-$B$12)/Presion_cilindro!$B$35)^(Presion_cilindro!$B$17+1)),0)</f>
        <v>0.99992040619455846</v>
      </c>
      <c r="P442" s="10">
        <f>P441*(Presion_cilindro!O440/Presion_cilindro!O441)^Presion_cilindro!$B$9+10*(Presion_cilindro!$B$9-1)*Presion_cilindro!$B$33*(O442-O441)/((Presion_cilindro!O440+Presion_cilindro!O441)/2)</f>
        <v>16.592558178938724</v>
      </c>
      <c r="Q442" s="9">
        <f>IF(OR($B$9=0,Presion_cilindro!N441&lt;=$B$15),IF(Presion_cilindro!N441&gt;$B$13,1-EXP(-Presion_cilindro!$B$16*((Presion_cilindro!N441-$B$13)/Presion_cilindro!$B$35)^(Presion_cilindro!$B$17+1)),0),$B$8+(1-$B$8)*(1-EXP(-(Presion_cilindro!N441-$B$15)/Presion_cilindro!$B$23)))</f>
        <v>0.99999999999998923</v>
      </c>
      <c r="R442" s="10">
        <f>R441*(Presion_cilindro!O440/Presion_cilindro!O441)^Presion_cilindro!$B$9+10*(Presion_cilindro!$B$9-1)*Presion_cilindro!$B$33*(Q442-Q441)/((Presion_cilindro!O440+Presion_cilindro!O441)/2)</f>
        <v>17.211456917570178</v>
      </c>
      <c r="S442" s="10">
        <f>R442+IF(AND($B$9=1,Presion_cilindro!N441&gt;$B$15),Presion_cilindro!$B$24*2.5*EXP(-(Presion_cilindro!N441-$B$15)/Presion_cilindro!$B$26)*SIN(2*PI()*(Presion_cilindro!N441-$B$15)/Presion_cilindro!$B$39),0)</f>
        <v>17.135901563037077</v>
      </c>
      <c r="T442" s="9">
        <f>IF(Presion_cilindro!N441&gt;$B$14,1-EXP(-Presion_cilindro!$B$16*((Presion_cilindro!N441-$B$14)/Presion_cilindro!$B$35)^(Presion_cilindro!$B$17+1)),0)</f>
        <v>0.32697403499444577</v>
      </c>
      <c r="U442" s="10">
        <f>U441*(Presion_cilindro!O440/Presion_cilindro!O441)^Presion_cilindro!$B$9+10*(Presion_cilindro!$B$9-1)*Presion_cilindro!$B$33*(T442-T441)/((Presion_cilindro!O440+Presion_cilindro!O441)/2)</f>
        <v>9.7857504691916244</v>
      </c>
    </row>
    <row r="443" spans="14:21" x14ac:dyDescent="0.25">
      <c r="N443" s="8">
        <f>-Presion_cilindro!N442</f>
        <v>-39</v>
      </c>
      <c r="O443" s="9">
        <f>IF(Presion_cilindro!N442&gt;$B$12,1-EXP(-Presion_cilindro!$B$16*((Presion_cilindro!N442-$B$12)/Presion_cilindro!$B$35)^(Presion_cilindro!$B$17+1)),0)</f>
        <v>0.99993693997340016</v>
      </c>
      <c r="P443" s="10">
        <f>P442*(Presion_cilindro!O441/Presion_cilindro!O442)^Presion_cilindro!$B$9+10*(Presion_cilindro!$B$9-1)*Presion_cilindro!$B$33*(O443-O442)/((Presion_cilindro!O441+Presion_cilindro!O442)/2)</f>
        <v>16.29901227877864</v>
      </c>
      <c r="Q443" s="9">
        <f>IF(OR($B$9=0,Presion_cilindro!N442&lt;=$B$15),IF(Presion_cilindro!N442&gt;$B$13,1-EXP(-Presion_cilindro!$B$16*((Presion_cilindro!N442-$B$13)/Presion_cilindro!$B$35)^(Presion_cilindro!$B$17+1)),0),$B$8+(1-$B$8)*(1-EXP(-(Presion_cilindro!N442-$B$15)/Presion_cilindro!$B$23)))</f>
        <v>0.99999999999999223</v>
      </c>
      <c r="R443" s="10">
        <f>R442*(Presion_cilindro!O441/Presion_cilindro!O442)^Presion_cilindro!$B$9+10*(Presion_cilindro!$B$9-1)*Presion_cilindro!$B$33*(Q443-Q442)/((Presion_cilindro!O441+Presion_cilindro!O442)/2)</f>
        <v>16.906717939300854</v>
      </c>
      <c r="S443" s="10">
        <f>R443+IF(AND($B$9=1,Presion_cilindro!N442&gt;$B$15),Presion_cilindro!$B$24*2.5*EXP(-(Presion_cilindro!N442-$B$15)/Presion_cilindro!$B$26)*SIN(2*PI()*(Presion_cilindro!N442-$B$15)/Presion_cilindro!$B$39),0)</f>
        <v>16.881378704316298</v>
      </c>
      <c r="T443" s="9">
        <f>IF(Presion_cilindro!N442&gt;$B$14,1-EXP(-Presion_cilindro!$B$16*((Presion_cilindro!N442-$B$14)/Presion_cilindro!$B$35)^(Presion_cilindro!$B$17+1)),0)</f>
        <v>0.3459139644892929</v>
      </c>
      <c r="U443" s="10">
        <f>U442*(Presion_cilindro!O441/Presion_cilindro!O442)^Presion_cilindro!$B$9+10*(Presion_cilindro!$B$9-1)*Presion_cilindro!$B$33*(T443-T442)/((Presion_cilindro!O441+Presion_cilindro!O442)/2)</f>
        <v>9.881815189783886</v>
      </c>
    </row>
    <row r="444" spans="14:21" x14ac:dyDescent="0.25">
      <c r="N444" s="8">
        <f>-Presion_cilindro!N443</f>
        <v>-39.5</v>
      </c>
      <c r="O444" s="9">
        <f>IF(Presion_cilindro!N443&gt;$B$12,1-EXP(-Presion_cilindro!$B$16*((Presion_cilindro!N443-$B$12)/Presion_cilindro!$B$35)^(Presion_cilindro!$B$17+1)),0)</f>
        <v>0.99995022865344563</v>
      </c>
      <c r="P444" s="10">
        <f>P443*(Presion_cilindro!O442/Presion_cilindro!O443)^Presion_cilindro!$B$9+10*(Presion_cilindro!$B$9-1)*Presion_cilindro!$B$33*(O444-O443)/((Presion_cilindro!O442+Presion_cilindro!O443)/2)</f>
        <v>16.011718221373112</v>
      </c>
      <c r="Q444" s="9">
        <f>IF(OR($B$9=0,Presion_cilindro!N443&lt;=$B$15),IF(Presion_cilindro!N443&gt;$B$13,1-EXP(-Presion_cilindro!$B$16*((Presion_cilindro!N443-$B$13)/Presion_cilindro!$B$35)^(Presion_cilindro!$B$17+1)),0),$B$8+(1-$B$8)*(1-EXP(-(Presion_cilindro!N443-$B$15)/Presion_cilindro!$B$23)))</f>
        <v>0.99999999999999445</v>
      </c>
      <c r="R444" s="10">
        <f>R443*(Presion_cilindro!O442/Presion_cilindro!O443)^Presion_cilindro!$B$9+10*(Presion_cilindro!$B$9-1)*Presion_cilindro!$B$33*(Q444-Q443)/((Presion_cilindro!O442+Presion_cilindro!O443)/2)</f>
        <v>16.608518774618329</v>
      </c>
      <c r="S444" s="10">
        <f>R444+IF(AND($B$9=1,Presion_cilindro!N443&gt;$B$15),Presion_cilindro!$B$24*2.5*EXP(-(Presion_cilindro!N443-$B$15)/Presion_cilindro!$B$26)*SIN(2*PI()*(Presion_cilindro!N443-$B$15)/Presion_cilindro!$B$39),0)</f>
        <v>16.676884086532851</v>
      </c>
      <c r="T444" s="9">
        <f>IF(Presion_cilindro!N443&gt;$B$14,1-EXP(-Presion_cilindro!$B$16*((Presion_cilindro!N443-$B$14)/Presion_cilindro!$B$35)^(Presion_cilindro!$B$17+1)),0)</f>
        <v>0.36517207354650572</v>
      </c>
      <c r="U444" s="10">
        <f>U443*(Presion_cilindro!O442/Presion_cilindro!O443)^Presion_cilindro!$B$9+10*(Presion_cilindro!$B$9-1)*Presion_cilindro!$B$33*(T444-T443)/((Presion_cilindro!O442+Presion_cilindro!O443)/2)</f>
        <v>9.9777256908457215</v>
      </c>
    </row>
    <row r="445" spans="14:21" x14ac:dyDescent="0.25">
      <c r="N445" s="8">
        <f>-Presion_cilindro!N444</f>
        <v>-40</v>
      </c>
      <c r="O445" s="9">
        <f>IF(Presion_cilindro!N444&gt;$B$12,1-EXP(-Presion_cilindro!$B$16*((Presion_cilindro!N444-$B$12)/Presion_cilindro!$B$35)^(Presion_cilindro!$B$17+1)),0)</f>
        <v>0.99996086713490717</v>
      </c>
      <c r="P445" s="10">
        <f>P444*(Presion_cilindro!O443/Presion_cilindro!O444)^Presion_cilindro!$B$9+10*(Presion_cilindro!$B$9-1)*Presion_cilindro!$B$33*(O445-O444)/((Presion_cilindro!O443+Presion_cilindro!O444)/2)</f>
        <v>15.73057467198123</v>
      </c>
      <c r="Q445" s="9">
        <f>IF(OR($B$9=0,Presion_cilindro!N444&lt;=$B$15),IF(Presion_cilindro!N444&gt;$B$13,1-EXP(-Presion_cilindro!$B$16*((Presion_cilindro!N444-$B$13)/Presion_cilindro!$B$35)^(Presion_cilindro!$B$17+1)),0),$B$8+(1-$B$8)*(1-EXP(-(Presion_cilindro!N444-$B$15)/Presion_cilindro!$B$23)))</f>
        <v>0.999999999999996</v>
      </c>
      <c r="R445" s="10">
        <f>R444*(Presion_cilindro!O443/Presion_cilindro!O444)^Presion_cilindro!$B$9+10*(Presion_cilindro!$B$9-1)*Presion_cilindro!$B$33*(Q445-Q444)/((Presion_cilindro!O443+Presion_cilindro!O444)/2)</f>
        <v>16.316743460437348</v>
      </c>
      <c r="S445" s="10">
        <f>R445+IF(AND($B$9=1,Presion_cilindro!N444&gt;$B$15),Presion_cilindro!$B$24*2.5*EXP(-(Presion_cilindro!N444-$B$15)/Presion_cilindro!$B$26)*SIN(2*PI()*(Presion_cilindro!N444-$B$15)/Presion_cilindro!$B$39),0)</f>
        <v>16.339671348395783</v>
      </c>
      <c r="T445" s="9">
        <f>IF(Presion_cilindro!N444&gt;$B$14,1-EXP(-Presion_cilindro!$B$16*((Presion_cilindro!N444-$B$14)/Presion_cilindro!$B$35)^(Presion_cilindro!$B$17+1)),0)</f>
        <v>0.38470708921859809</v>
      </c>
      <c r="U445" s="10">
        <f>U444*(Presion_cilindro!O443/Presion_cilindro!O444)^Presion_cilindro!$B$9+10*(Presion_cilindro!$B$9-1)*Presion_cilindro!$B$33*(T445-T444)/((Presion_cilindro!O443+Presion_cilindro!O444)/2)</f>
        <v>10.072893576939284</v>
      </c>
    </row>
    <row r="446" spans="14:21" x14ac:dyDescent="0.25">
      <c r="N446" s="8">
        <f>-Presion_cilindro!N445</f>
        <v>-40.5</v>
      </c>
      <c r="O446" s="9">
        <f>IF(Presion_cilindro!N445&gt;$B$12,1-EXP(-Presion_cilindro!$B$16*((Presion_cilindro!N445-$B$12)/Presion_cilindro!$B$35)^(Presion_cilindro!$B$17+1)),0)</f>
        <v>0.99996935020541788</v>
      </c>
      <c r="P446" s="10">
        <f>P445*(Presion_cilindro!O444/Presion_cilindro!O445)^Presion_cilindro!$B$9+10*(Presion_cilindro!$B$9-1)*Presion_cilindro!$B$33*(O446-O445)/((Presion_cilindro!O444+Presion_cilindro!O445)/2)</f>
        <v>15.455477511168239</v>
      </c>
      <c r="Q446" s="9">
        <f>IF(OR($B$9=0,Presion_cilindro!N445&lt;=$B$15),IF(Presion_cilindro!N445&gt;$B$13,1-EXP(-Presion_cilindro!$B$16*((Presion_cilindro!N445-$B$13)/Presion_cilindro!$B$35)^(Presion_cilindro!$B$17+1)),0),$B$8+(1-$B$8)*(1-EXP(-(Presion_cilindro!N445-$B$15)/Presion_cilindro!$B$23)))</f>
        <v>0.99999999999999711</v>
      </c>
      <c r="R446" s="10">
        <f>R445*(Presion_cilindro!O444/Presion_cilindro!O445)^Presion_cilindro!$B$9+10*(Presion_cilindro!$B$9-1)*Presion_cilindro!$B$33*(Q446-Q445)/((Presion_cilindro!O444+Presion_cilindro!O445)/2)</f>
        <v>16.031275135544256</v>
      </c>
      <c r="S446" s="10">
        <f>R446+IF(AND($B$9=1,Presion_cilindro!N445&gt;$B$15),Presion_cilindro!$B$24*2.5*EXP(-(Presion_cilindro!N445-$B$15)/Presion_cilindro!$B$26)*SIN(2*PI()*(Presion_cilindro!N445-$B$15)/Presion_cilindro!$B$39),0)</f>
        <v>15.969415643228295</v>
      </c>
      <c r="T446" s="9">
        <f>IF(Presion_cilindro!N445&gt;$B$14,1-EXP(-Presion_cilindro!$B$16*((Presion_cilindro!N445-$B$14)/Presion_cilindro!$B$35)^(Presion_cilindro!$B$17+1)),0)</f>
        <v>0.40447610161281089</v>
      </c>
      <c r="U446" s="10">
        <f>U445*(Presion_cilindro!O444/Presion_cilindro!O445)^Presion_cilindro!$B$9+10*(Presion_cilindro!$B$9-1)*Presion_cilindro!$B$33*(T446-T445)/((Presion_cilindro!O444+Presion_cilindro!O445)/2)</f>
        <v>10.166742719635964</v>
      </c>
    </row>
    <row r="447" spans="14:21" x14ac:dyDescent="0.25">
      <c r="N447" s="8">
        <f>-Presion_cilindro!N446</f>
        <v>-41</v>
      </c>
      <c r="O447" s="9">
        <f>IF(Presion_cilindro!N446&gt;$B$12,1-EXP(-Presion_cilindro!$B$16*((Presion_cilindro!N446-$B$12)/Presion_cilindro!$B$35)^(Presion_cilindro!$B$17+1)),0)</f>
        <v>0.99997608756450773</v>
      </c>
      <c r="P447" s="10">
        <f>P446*(Presion_cilindro!O445/Presion_cilindro!O446)^Presion_cilindro!$B$9+10*(Presion_cilindro!$B$9-1)*Presion_cilindro!$B$33*(O447-O446)/((Presion_cilindro!O445+Presion_cilindro!O446)/2)</f>
        <v>15.186320452130909</v>
      </c>
      <c r="Q447" s="9">
        <f>IF(OR($B$9=0,Presion_cilindro!N446&lt;=$B$15),IF(Presion_cilindro!N446&gt;$B$13,1-EXP(-Presion_cilindro!$B$16*((Presion_cilindro!N446-$B$13)/Presion_cilindro!$B$35)^(Presion_cilindro!$B$17+1)),0),$B$8+(1-$B$8)*(1-EXP(-(Presion_cilindro!N446-$B$15)/Presion_cilindro!$B$23)))</f>
        <v>0.999999999999998</v>
      </c>
      <c r="R447" s="10">
        <f>R446*(Presion_cilindro!O445/Presion_cilindro!O446)^Presion_cilindro!$B$9+10*(Presion_cilindro!$B$9-1)*Presion_cilindro!$B$33*(Q447-Q446)/((Presion_cilindro!O445+Presion_cilindro!O446)/2)</f>
        <v>15.751996346843919</v>
      </c>
      <c r="S447" s="10">
        <f>R447+IF(AND($B$9=1,Presion_cilindro!N446&gt;$B$15),Presion_cilindro!$B$24*2.5*EXP(-(Presion_cilindro!N446-$B$15)/Presion_cilindro!$B$26)*SIN(2*PI()*(Presion_cilindro!N446-$B$15)/Presion_cilindro!$B$39),0)</f>
        <v>15.731250335902592</v>
      </c>
      <c r="T447" s="9">
        <f>IF(Presion_cilindro!N446&gt;$B$14,1-EXP(-Presion_cilindro!$B$16*((Presion_cilindro!N446-$B$14)/Presion_cilindro!$B$35)^(Presion_cilindro!$B$17+1)),0)</f>
        <v>0.42443480200331729</v>
      </c>
      <c r="U447" s="10">
        <f>U446*(Presion_cilindro!O445/Presion_cilindro!O446)^Presion_cilindro!$B$9+10*(Presion_cilindro!$B$9-1)*Presion_cilindro!$B$33*(T447-T446)/((Presion_cilindro!O445+Presion_cilindro!O446)/2)</f>
        <v>10.258712393664489</v>
      </c>
    </row>
    <row r="448" spans="14:21" x14ac:dyDescent="0.25">
      <c r="N448" s="8">
        <f>-Presion_cilindro!N447</f>
        <v>-41.5</v>
      </c>
      <c r="O448" s="9">
        <f>IF(Presion_cilindro!N447&gt;$B$12,1-EXP(-Presion_cilindro!$B$16*((Presion_cilindro!N447-$B$12)/Presion_cilindro!$B$35)^(Presion_cilindro!$B$17+1)),0)</f>
        <v>0.99998141694856557</v>
      </c>
      <c r="P448" s="10">
        <f>P447*(Presion_cilindro!O446/Presion_cilindro!O447)^Presion_cilindro!$B$9+10*(Presion_cilindro!$B$9-1)*Presion_cilindro!$B$33*(O448-O447)/((Presion_cilindro!O446+Presion_cilindro!O447)/2)</f>
        <v>14.922995585211469</v>
      </c>
      <c r="Q448" s="9">
        <f>IF(OR($B$9=0,Presion_cilindro!N447&lt;=$B$15),IF(Presion_cilindro!N447&gt;$B$13,1-EXP(-Presion_cilindro!$B$16*((Presion_cilindro!N447-$B$13)/Presion_cilindro!$B$35)^(Presion_cilindro!$B$17+1)),0),$B$8+(1-$B$8)*(1-EXP(-(Presion_cilindro!N447-$B$15)/Presion_cilindro!$B$23)))</f>
        <v>0.99999999999999856</v>
      </c>
      <c r="R448" s="10">
        <f>R447*(Presion_cilindro!O446/Presion_cilindro!O447)^Presion_cilindro!$B$9+10*(Presion_cilindro!$B$9-1)*Presion_cilindro!$B$33*(Q448-Q447)/((Presion_cilindro!O446+Presion_cilindro!O447)/2)</f>
        <v>15.478789329801574</v>
      </c>
      <c r="S448" s="10">
        <f>R448+IF(AND($B$9=1,Presion_cilindro!N447&gt;$B$15),Presion_cilindro!$B$24*2.5*EXP(-(Presion_cilindro!N447-$B$15)/Presion_cilindro!$B$26)*SIN(2*PI()*(Presion_cilindro!N447-$B$15)/Presion_cilindro!$B$39),0)</f>
        <v>15.534762113109762</v>
      </c>
      <c r="T448" s="9">
        <f>IF(Presion_cilindro!N447&gt;$B$14,1-EXP(-Presion_cilindro!$B$16*((Presion_cilindro!N447-$B$14)/Presion_cilindro!$B$35)^(Presion_cilindro!$B$17+1)),0)</f>
        <v>0.44453773624867643</v>
      </c>
      <c r="U448" s="10">
        <f>U447*(Presion_cilindro!O446/Presion_cilindro!O447)^Presion_cilindro!$B$9+10*(Presion_cilindro!$B$9-1)*Presion_cilindro!$B$33*(T448-T447)/((Presion_cilindro!O446+Presion_cilindro!O447)/2)</f>
        <v>10.34826031264747</v>
      </c>
    </row>
    <row r="449" spans="14:21" x14ac:dyDescent="0.25">
      <c r="N449" s="8">
        <f>-Presion_cilindro!N448</f>
        <v>-42</v>
      </c>
      <c r="O449" s="9">
        <f>IF(Presion_cilindro!N448&gt;$B$12,1-EXP(-Presion_cilindro!$B$16*((Presion_cilindro!N448-$B$12)/Presion_cilindro!$B$35)^(Presion_cilindro!$B$17+1)),0)</f>
        <v>0.99998561552969412</v>
      </c>
      <c r="P449" s="10">
        <f>P448*(Presion_cilindro!O447/Presion_cilindro!O448)^Presion_cilindro!$B$9+10*(Presion_cilindro!$B$9-1)*Presion_cilindro!$B$33*(O449-O448)/((Presion_cilindro!O447+Presion_cilindro!O448)/2)</f>
        <v>14.665393857001613</v>
      </c>
      <c r="Q449" s="9">
        <f>IF(OR($B$9=0,Presion_cilindro!N448&lt;=$B$15),IF(Presion_cilindro!N448&gt;$B$13,1-EXP(-Presion_cilindro!$B$16*((Presion_cilindro!N448-$B$13)/Presion_cilindro!$B$35)^(Presion_cilindro!$B$17+1)),0),$B$8+(1-$B$8)*(1-EXP(-(Presion_cilindro!N448-$B$15)/Presion_cilindro!$B$23)))</f>
        <v>0.99999999999999889</v>
      </c>
      <c r="R449" s="10">
        <f>R448*(Presion_cilindro!O447/Presion_cilindro!O448)^Presion_cilindro!$B$9+10*(Presion_cilindro!$B$9-1)*Presion_cilindro!$B$33*(Q449-Q448)/((Presion_cilindro!O447+Presion_cilindro!O448)/2)</f>
        <v>15.21153626461841</v>
      </c>
      <c r="S449" s="10">
        <f>R449+IF(AND($B$9=1,Presion_cilindro!N448&gt;$B$15),Presion_cilindro!$B$24*2.5*EXP(-(Presion_cilindro!N448-$B$15)/Presion_cilindro!$B$26)*SIN(2*PI()*(Presion_cilindro!N448-$B$15)/Presion_cilindro!$B$39),0)</f>
        <v>15.230308031593106</v>
      </c>
      <c r="T449" s="9">
        <f>IF(Presion_cilindro!N448&gt;$B$14,1-EXP(-Presion_cilindro!$B$16*((Presion_cilindro!N448-$B$14)/Presion_cilindro!$B$35)^(Presion_cilindro!$B$17+1)),0)</f>
        <v>0.46473857148100972</v>
      </c>
      <c r="U449" s="10">
        <f>U448*(Presion_cilindro!O447/Presion_cilindro!O448)^Presion_cilindro!$B$9+10*(Presion_cilindro!$B$9-1)*Presion_cilindro!$B$33*(T449-T448)/((Presion_cilindro!O447+Presion_cilindro!O448)/2)</f>
        <v>10.434865539712115</v>
      </c>
    </row>
    <row r="450" spans="14:21" x14ac:dyDescent="0.25">
      <c r="N450" s="8">
        <f>-Presion_cilindro!N449</f>
        <v>-42.5</v>
      </c>
      <c r="O450" s="9">
        <f>IF(Presion_cilindro!N449&gt;$B$12,1-EXP(-Presion_cilindro!$B$16*((Presion_cilindro!N449-$B$12)/Presion_cilindro!$B$35)^(Presion_cilindro!$B$17+1)),0)</f>
        <v>0.99998890975858257</v>
      </c>
      <c r="P450" s="10">
        <f>P449*(Presion_cilindro!O448/Presion_cilindro!O449)^Presion_cilindro!$B$9+10*(Presion_cilindro!$B$9-1)*Presion_cilindro!$B$33*(O450-O449)/((Presion_cilindro!O448+Presion_cilindro!O449)/2)</f>
        <v>14.413405490893423</v>
      </c>
      <c r="Q450" s="9">
        <f>IF(OR($B$9=0,Presion_cilindro!N449&lt;=$B$15),IF(Presion_cilindro!N449&gt;$B$13,1-EXP(-Presion_cilindro!$B$16*((Presion_cilindro!N449-$B$13)/Presion_cilindro!$B$35)^(Presion_cilindro!$B$17+1)),0),$B$8+(1-$B$8)*(1-EXP(-(Presion_cilindro!N449-$B$15)/Presion_cilindro!$B$23)))</f>
        <v>0.99999999999999922</v>
      </c>
      <c r="R450" s="10">
        <f>R449*(Presion_cilindro!O448/Presion_cilindro!O449)^Presion_cilindro!$B$9+10*(Presion_cilindro!$B$9-1)*Presion_cilindro!$B$33*(Q450-Q449)/((Presion_cilindro!O448+Presion_cilindro!O449)/2)</f>
        <v>14.950119509628406</v>
      </c>
      <c r="S450" s="10">
        <f>R450+IF(AND($B$9=1,Presion_cilindro!N449&gt;$B$15),Presion_cilindro!$B$24*2.5*EXP(-(Presion_cilindro!N449-$B$15)/Presion_cilindro!$B$26)*SIN(2*PI()*(Presion_cilindro!N449-$B$15)/Presion_cilindro!$B$39),0)</f>
        <v>14.899473240899539</v>
      </c>
      <c r="T450" s="9">
        <f>IF(Presion_cilindro!N449&gt;$B$14,1-EXP(-Presion_cilindro!$B$16*((Presion_cilindro!N449-$B$14)/Presion_cilindro!$B$35)^(Presion_cilindro!$B$17+1)),0)</f>
        <v>0.48499037380497312</v>
      </c>
      <c r="U450" s="10">
        <f>U449*(Presion_cilindro!O448/Presion_cilindro!O449)^Presion_cilindro!$B$9+10*(Presion_cilindro!$B$9-1)*Presion_cilindro!$B$33*(T450-T449)/((Presion_cilindro!O448+Presion_cilindro!O449)/2)</f>
        <v>10.518031248617337</v>
      </c>
    </row>
    <row r="451" spans="14:21" x14ac:dyDescent="0.25">
      <c r="N451" s="8">
        <f>-Presion_cilindro!N450</f>
        <v>-43</v>
      </c>
      <c r="O451" s="9">
        <f>IF(Presion_cilindro!N450&gt;$B$12,1-EXP(-Presion_cilindro!$B$16*((Presion_cilindro!N450-$B$12)/Presion_cilindro!$B$35)^(Presion_cilindro!$B$17+1)),0)</f>
        <v>0.99999148381551917</v>
      </c>
      <c r="P451" s="10">
        <f>P450*(Presion_cilindro!O449/Presion_cilindro!O450)^Presion_cilindro!$B$9+10*(Presion_cilindro!$B$9-1)*Presion_cilindro!$B$33*(O451-O450)/((Presion_cilindro!O449+Presion_cilindro!O450)/2)</f>
        <v>14.166920355378206</v>
      </c>
      <c r="Q451" s="9">
        <f>IF(OR($B$9=0,Presion_cilindro!N450&lt;=$B$15),IF(Presion_cilindro!N450&gt;$B$13,1-EXP(-Presion_cilindro!$B$16*((Presion_cilindro!N450-$B$13)/Presion_cilindro!$B$35)^(Presion_cilindro!$B$17+1)),0),$B$8+(1-$B$8)*(1-EXP(-(Presion_cilindro!N450-$B$15)/Presion_cilindro!$B$23)))</f>
        <v>0.99999999999999944</v>
      </c>
      <c r="R451" s="10">
        <f>R450*(Presion_cilindro!O449/Presion_cilindro!O450)^Presion_cilindro!$B$9+10*(Presion_cilindro!$B$9-1)*Presion_cilindro!$B$33*(Q451-Q450)/((Presion_cilindro!O449+Presion_cilindro!O450)/2)</f>
        <v>14.694421813347066</v>
      </c>
      <c r="S451" s="10">
        <f>R451+IF(AND($B$9=1,Presion_cilindro!N450&gt;$B$15),Presion_cilindro!$B$24*2.5*EXP(-(Presion_cilindro!N450-$B$15)/Presion_cilindro!$B$26)*SIN(2*PI()*(Presion_cilindro!N450-$B$15)/Presion_cilindro!$B$39),0)</f>
        <v>14.67743641618571</v>
      </c>
      <c r="T451" s="9">
        <f>IF(Presion_cilindro!N450&gt;$B$14,1-EXP(-Presion_cilindro!$B$16*((Presion_cilindro!N450-$B$14)/Presion_cilindro!$B$35)^(Presion_cilindro!$B$17+1)),0)</f>
        <v>0.50524589453932089</v>
      </c>
      <c r="U451" s="10">
        <f>U450*(Presion_cilindro!O449/Presion_cilindro!O450)^Presion_cilindro!$B$9+10*(Presion_cilindro!$B$9-1)*Presion_cilindro!$B$33*(T451-T450)/((Presion_cilindro!O449+Presion_cilindro!O450)/2)</f>
        <v>10.597287311739176</v>
      </c>
    </row>
    <row r="452" spans="14:21" x14ac:dyDescent="0.25">
      <c r="N452" s="8">
        <f>-Presion_cilindro!N451</f>
        <v>-43.5</v>
      </c>
      <c r="O452" s="9">
        <f>IF(Presion_cilindro!N451&gt;$B$12,1-EXP(-Presion_cilindro!$B$16*((Presion_cilindro!N451-$B$12)/Presion_cilindro!$B$35)^(Presion_cilindro!$B$17+1)),0)</f>
        <v>0.99999348682557188</v>
      </c>
      <c r="P452" s="10">
        <f>P451*(Presion_cilindro!O450/Presion_cilindro!O451)^Presion_cilindro!$B$9+10*(Presion_cilindro!$B$9-1)*Presion_cilindro!$B$33*(O452-O451)/((Presion_cilindro!O450+Presion_cilindro!O451)/2)</f>
        <v>13.925828285846409</v>
      </c>
      <c r="Q452" s="9">
        <f>IF(OR($B$9=0,Presion_cilindro!N451&lt;=$B$15),IF(Presion_cilindro!N451&gt;$B$13,1-EXP(-Presion_cilindro!$B$16*((Presion_cilindro!N451-$B$13)/Presion_cilindro!$B$35)^(Presion_cilindro!$B$17+1)),0),$B$8+(1-$B$8)*(1-EXP(-(Presion_cilindro!N451-$B$15)/Presion_cilindro!$B$23)))</f>
        <v>0.99999999999999956</v>
      </c>
      <c r="R452" s="10">
        <f>R451*(Presion_cilindro!O450/Presion_cilindro!O451)^Presion_cilindro!$B$9+10*(Presion_cilindro!$B$9-1)*Presion_cilindro!$B$33*(Q452-Q451)/((Presion_cilindro!O450+Presion_cilindro!O451)/2)</f>
        <v>14.444326506547007</v>
      </c>
      <c r="S452" s="10">
        <f>R452+IF(AND($B$9=1,Presion_cilindro!N451&gt;$B$15),Presion_cilindro!$B$24*2.5*EXP(-(Presion_cilindro!N451-$B$15)/Presion_cilindro!$B$26)*SIN(2*PI()*(Presion_cilindro!N451-$B$15)/Presion_cilindro!$B$39),0)</f>
        <v>14.490153145576791</v>
      </c>
      <c r="T452" s="9">
        <f>IF(Presion_cilindro!N451&gt;$B$14,1-EXP(-Presion_cilindro!$B$16*((Presion_cilindro!N451-$B$14)/Presion_cilindro!$B$35)^(Presion_cilindro!$B$17+1)),0)</f>
        <v>0.52545786235616743</v>
      </c>
      <c r="U452" s="10">
        <f>U451*(Presion_cilindro!O450/Presion_cilindro!O451)^Presion_cilindro!$B$9+10*(Presion_cilindro!$B$9-1)*Presion_cilindro!$B$33*(T452-T451)/((Presion_cilindro!O450+Presion_cilindro!O451)/2)</f>
        <v>10.672192692306538</v>
      </c>
    </row>
    <row r="453" spans="14:21" x14ac:dyDescent="0.25">
      <c r="N453" s="8">
        <f>-Presion_cilindro!N452</f>
        <v>-44</v>
      </c>
      <c r="O453" s="9">
        <f>IF(Presion_cilindro!N452&gt;$B$12,1-EXP(-Presion_cilindro!$B$16*((Presion_cilindro!N452-$B$12)/Presion_cilindro!$B$35)^(Presion_cilindro!$B$17+1)),0)</f>
        <v>0.9999950389843314</v>
      </c>
      <c r="P453" s="10">
        <f>P452*(Presion_cilindro!O451/Presion_cilindro!O452)^Presion_cilindro!$B$9+10*(Presion_cilindro!$B$9-1)*Presion_cilindro!$B$33*(O453-O452)/((Presion_cilindro!O451+Presion_cilindro!O452)/2)</f>
        <v>13.690019365104755</v>
      </c>
      <c r="Q453" s="9">
        <f>IF(OR($B$9=0,Presion_cilindro!N452&lt;=$B$15),IF(Presion_cilindro!N452&gt;$B$13,1-EXP(-Presion_cilindro!$B$16*((Presion_cilindro!N452-$B$13)/Presion_cilindro!$B$35)^(Presion_cilindro!$B$17+1)),0),$B$8+(1-$B$8)*(1-EXP(-(Presion_cilindro!N452-$B$15)/Presion_cilindro!$B$23)))</f>
        <v>0.99999999999999978</v>
      </c>
      <c r="R453" s="10">
        <f>R452*(Presion_cilindro!O451/Presion_cilindro!O452)^Presion_cilindro!$B$9+10*(Presion_cilindro!$B$9-1)*Presion_cilindro!$B$33*(Q453-Q452)/((Presion_cilindro!O451+Presion_cilindro!O452)/2)</f>
        <v>14.199717675674313</v>
      </c>
      <c r="S453" s="10">
        <f>R453+IF(AND($B$9=1,Presion_cilindro!N452&gt;$B$15),Presion_cilindro!$B$24*2.5*EXP(-(Presion_cilindro!N452-$B$15)/Presion_cilindro!$B$26)*SIN(2*PI()*(Presion_cilindro!N452-$B$15)/Presion_cilindro!$B$39),0)</f>
        <v>14.215086698586109</v>
      </c>
      <c r="T453" s="9">
        <f>IF(Presion_cilindro!N452&gt;$B$14,1-EXP(-Presion_cilindro!$B$16*((Presion_cilindro!N452-$B$14)/Presion_cilindro!$B$35)^(Presion_cilindro!$B$17+1)),0)</f>
        <v>0.5455792785270176</v>
      </c>
      <c r="U453" s="10">
        <f>U452*(Presion_cilindro!O451/Presion_cilindro!O452)^Presion_cilindro!$B$9+10*(Presion_cilindro!$B$9-1)*Presion_cilindro!$B$33*(T453-T452)/((Presion_cilindro!O451+Presion_cilindro!O452)/2)</f>
        <v>10.742337619671343</v>
      </c>
    </row>
    <row r="454" spans="14:21" x14ac:dyDescent="0.25">
      <c r="N454" s="8">
        <f>-Presion_cilindro!N453</f>
        <v>-44.5</v>
      </c>
      <c r="O454" s="9">
        <f>IF(Presion_cilindro!N453&gt;$B$12,1-EXP(-Presion_cilindro!$B$16*((Presion_cilindro!N453-$B$12)/Presion_cilindro!$B$35)^(Presion_cilindro!$B$17+1)),0)</f>
        <v>0.99999623672996063</v>
      </c>
      <c r="P454" s="10">
        <f>P453*(Presion_cilindro!O452/Presion_cilindro!O453)^Presion_cilindro!$B$9+10*(Presion_cilindro!$B$9-1)*Presion_cilindro!$B$33*(O454-O453)/((Presion_cilindro!O452+Presion_cilindro!O453)/2)</f>
        <v>13.459384167316585</v>
      </c>
      <c r="Q454" s="9">
        <f>IF(OR($B$9=0,Presion_cilindro!N453&lt;=$B$15),IF(Presion_cilindro!N453&gt;$B$13,1-EXP(-Presion_cilindro!$B$16*((Presion_cilindro!N453-$B$13)/Presion_cilindro!$B$35)^(Presion_cilindro!$B$17+1)),0),$B$8+(1-$B$8)*(1-EXP(-(Presion_cilindro!N453-$B$15)/Presion_cilindro!$B$23)))</f>
        <v>0.99999999999999978</v>
      </c>
      <c r="R454" s="10">
        <f>R453*(Presion_cilindro!O452/Presion_cilindro!O453)^Presion_cilindro!$B$9+10*(Presion_cilindro!$B$9-1)*Presion_cilindro!$B$33*(Q454-Q453)/((Presion_cilindro!O452+Presion_cilindro!O453)/2)</f>
        <v>13.960480318861951</v>
      </c>
      <c r="S454" s="10">
        <f>R454+IF(AND($B$9=1,Presion_cilindro!N453&gt;$B$15),Presion_cilindro!$B$24*2.5*EXP(-(Presion_cilindro!N453-$B$15)/Presion_cilindro!$B$26)*SIN(2*PI()*(Presion_cilindro!N453-$B$15)/Presion_cilindro!$B$39),0)</f>
        <v>13.919014661124974</v>
      </c>
      <c r="T454" s="9">
        <f>IF(Presion_cilindro!N453&gt;$B$14,1-EXP(-Presion_cilindro!$B$16*((Presion_cilindro!N453-$B$14)/Presion_cilindro!$B$35)^(Presion_cilindro!$B$17+1)),0)</f>
        <v>0.56556371237405412</v>
      </c>
      <c r="U454" s="10">
        <f>U453*(Presion_cilindro!O452/Presion_cilindro!O453)^Presion_cilindro!$B$9+10*(Presion_cilindro!$B$9-1)*Presion_cilindro!$B$33*(T454-T453)/((Presion_cilindro!O452+Presion_cilindro!O453)/2)</f>
        <v>10.807345528127867</v>
      </c>
    </row>
    <row r="455" spans="14:21" x14ac:dyDescent="0.25">
      <c r="N455" s="8">
        <f>-Presion_cilindro!N454</f>
        <v>-45</v>
      </c>
      <c r="O455" s="9">
        <f>IF(Presion_cilindro!N454&gt;$B$12,1-EXP(-Presion_cilindro!$B$16*((Presion_cilindro!N454-$B$12)/Presion_cilindro!$B$35)^(Presion_cilindro!$B$17+1)),0)</f>
        <v>0.99999715708604586</v>
      </c>
      <c r="P455" s="10">
        <f>P454*(Presion_cilindro!O453/Presion_cilindro!O454)^Presion_cilindro!$B$9+10*(Presion_cilindro!$B$9-1)*Presion_cilindro!$B$33*(O455-O454)/((Presion_cilindro!O453+Presion_cilindro!O454)/2)</f>
        <v>13.233813969586238</v>
      </c>
      <c r="Q455" s="9">
        <f>IF(OR($B$9=0,Presion_cilindro!N454&lt;=$B$15),IF(Presion_cilindro!N454&gt;$B$13,1-EXP(-Presion_cilindro!$B$16*((Presion_cilindro!N454-$B$13)/Presion_cilindro!$B$35)^(Presion_cilindro!$B$17+1)),0),$B$8+(1-$B$8)*(1-EXP(-(Presion_cilindro!N454-$B$15)/Presion_cilindro!$B$23)))</f>
        <v>0.99999999999999989</v>
      </c>
      <c r="R455" s="10">
        <f>R454*(Presion_cilindro!O453/Presion_cilindro!O454)^Presion_cilindro!$B$9+10*(Presion_cilindro!$B$9-1)*Presion_cilindro!$B$33*(Q455-Q454)/((Presion_cilindro!O453+Presion_cilindro!O454)/2)</f>
        <v>13.726500485735375</v>
      </c>
      <c r="S455" s="10">
        <f>R455+IF(AND($B$9=1,Presion_cilindro!N454&gt;$B$15),Presion_cilindro!$B$24*2.5*EXP(-(Presion_cilindro!N454-$B$15)/Presion_cilindro!$B$26)*SIN(2*PI()*(Presion_cilindro!N454-$B$15)/Presion_cilindro!$B$39),0)</f>
        <v>13.712594018726129</v>
      </c>
      <c r="T455" s="9">
        <f>IF(Presion_cilindro!N454&gt;$B$14,1-EXP(-Presion_cilindro!$B$16*((Presion_cilindro!N454-$B$14)/Presion_cilindro!$B$35)^(Presion_cilindro!$B$17+1)),0)</f>
        <v>0.58536559395317256</v>
      </c>
      <c r="U455" s="10">
        <f>U454*(Presion_cilindro!O453/Presion_cilindro!O454)^Presion_cilindro!$B$9+10*(Presion_cilindro!$B$9-1)*Presion_cilindro!$B$33*(T455-T454)/((Presion_cilindro!O453+Presion_cilindro!O454)/2)</f>
        <v>10.866874741843336</v>
      </c>
    </row>
    <row r="456" spans="14:21" x14ac:dyDescent="0.25">
      <c r="N456" s="8">
        <f>-Presion_cilindro!N455</f>
        <v>-45.5</v>
      </c>
      <c r="O456" s="9">
        <f>IF(Presion_cilindro!N455&gt;$B$12,1-EXP(-Presion_cilindro!$B$16*((Presion_cilindro!N455-$B$12)/Presion_cilindro!$B$35)^(Presion_cilindro!$B$17+1)),0)</f>
        <v>0.99999786128828227</v>
      </c>
      <c r="P456" s="10">
        <f>P455*(Presion_cilindro!O454/Presion_cilindro!O455)^Presion_cilindro!$B$9+10*(Presion_cilindro!$B$9-1)*Presion_cilindro!$B$33*(O456-O455)/((Presion_cilindro!O454+Presion_cilindro!O455)/2)</f>
        <v>13.013200934957858</v>
      </c>
      <c r="Q456" s="9">
        <f>IF(OR($B$9=0,Presion_cilindro!N455&lt;=$B$15),IF(Presion_cilindro!N455&gt;$B$13,1-EXP(-Presion_cilindro!$B$16*((Presion_cilindro!N455-$B$13)/Presion_cilindro!$B$35)^(Presion_cilindro!$B$17+1)),0),$B$8+(1-$B$8)*(1-EXP(-(Presion_cilindro!N455-$B$15)/Presion_cilindro!$B$23)))</f>
        <v>0.99999999999999989</v>
      </c>
      <c r="R456" s="10">
        <f>R455*(Presion_cilindro!O454/Presion_cilindro!O455)^Presion_cilindro!$B$9+10*(Presion_cilindro!$B$9-1)*Presion_cilindro!$B$33*(Q456-Q455)/((Presion_cilindro!O454+Presion_cilindro!O455)/2)</f>
        <v>13.497665402146945</v>
      </c>
      <c r="S456" s="10">
        <f>R456+IF(AND($B$9=1,Presion_cilindro!N455&gt;$B$15),Presion_cilindro!$B$24*2.5*EXP(-(Presion_cilindro!N455-$B$15)/Presion_cilindro!$B$26)*SIN(2*PI()*(Presion_cilindro!N455-$B$15)/Presion_cilindro!$B$39),0)</f>
        <v>13.535185080830832</v>
      </c>
      <c r="T456" s="9">
        <f>IF(Presion_cilindro!N455&gt;$B$14,1-EXP(-Presion_cilindro!$B$16*((Presion_cilindro!N455-$B$14)/Presion_cilindro!$B$35)^(Presion_cilindro!$B$17+1)),0)</f>
        <v>0.60494050096455609</v>
      </c>
      <c r="U456" s="10">
        <f>U455*(Presion_cilindro!O454/Presion_cilindro!O455)^Presion_cilindro!$B$9+10*(Presion_cilindro!$B$9-1)*Presion_cilindro!$B$33*(T456-T455)/((Presion_cilindro!O454+Presion_cilindro!O455)/2)</f>
        <v>10.920619890808506</v>
      </c>
    </row>
    <row r="457" spans="14:21" x14ac:dyDescent="0.25">
      <c r="N457" s="8">
        <f>-Presion_cilindro!N456</f>
        <v>-46</v>
      </c>
      <c r="O457" s="9">
        <f>IF(Presion_cilindro!N456&gt;$B$12,1-EXP(-Presion_cilindro!$B$16*((Presion_cilindro!N456-$B$12)/Presion_cilindro!$B$35)^(Presion_cilindro!$B$17+1)),0)</f>
        <v>0.99999839779664268</v>
      </c>
      <c r="P457" s="10">
        <f>P456*(Presion_cilindro!O455/Presion_cilindro!O456)^Presion_cilindro!$B$9+10*(Presion_cilindro!$B$9-1)*Presion_cilindro!$B$33*(O457-O456)/((Presion_cilindro!O455+Presion_cilindro!O456)/2)</f>
        <v>12.797438270181381</v>
      </c>
      <c r="Q457" s="9">
        <f>IF(OR($B$9=0,Presion_cilindro!N456&lt;=$B$15),IF(Presion_cilindro!N456&gt;$B$13,1-EXP(-Presion_cilindro!$B$16*((Presion_cilindro!N456-$B$13)/Presion_cilindro!$B$35)^(Presion_cilindro!$B$17+1)),0),$B$8+(1-$B$8)*(1-EXP(-(Presion_cilindro!N456-$B$15)/Presion_cilindro!$B$23)))</f>
        <v>1</v>
      </c>
      <c r="R457" s="10">
        <f>R456*(Presion_cilindro!O455/Presion_cilindro!O456)^Presion_cilindro!$B$9+10*(Presion_cilindro!$B$9-1)*Presion_cilindro!$B$33*(Q457-Q456)/((Presion_cilindro!O455+Presion_cilindro!O456)/2)</f>
        <v>13.273863580916316</v>
      </c>
      <c r="S457" s="10">
        <f>R457+IF(AND($B$9=1,Presion_cilindro!N456&gt;$B$15),Presion_cilindro!$B$24*2.5*EXP(-(Presion_cilindro!N456-$B$15)/Presion_cilindro!$B$26)*SIN(2*PI()*(Presion_cilindro!N456-$B$15)/Presion_cilindro!$B$39),0)</f>
        <v>13.286446672618965</v>
      </c>
      <c r="T457" s="9">
        <f>IF(Presion_cilindro!N456&gt;$B$14,1-EXP(-Presion_cilindro!$B$16*((Presion_cilindro!N456-$B$14)/Presion_cilindro!$B$35)^(Presion_cilindro!$B$17+1)),0)</f>
        <v>0.62424543689904621</v>
      </c>
      <c r="U457" s="10">
        <f>U456*(Presion_cilindro!O455/Presion_cilindro!O456)^Presion_cilindro!$B$9+10*(Presion_cilindro!$B$9-1)*Presion_cilindro!$B$33*(T457-T456)/((Presion_cilindro!O455+Presion_cilindro!O456)/2)</f>
        <v>10.96831304533038</v>
      </c>
    </row>
    <row r="458" spans="14:21" x14ac:dyDescent="0.25">
      <c r="N458" s="8">
        <f>-Presion_cilindro!N457</f>
        <v>-46.5</v>
      </c>
      <c r="O458" s="9">
        <f>IF(Presion_cilindro!N457&gt;$B$12,1-EXP(-Presion_cilindro!$B$16*((Presion_cilindro!N457-$B$12)/Presion_cilindro!$B$35)^(Presion_cilindro!$B$17+1)),0)</f>
        <v>0.99999880478362591</v>
      </c>
      <c r="P458" s="10">
        <f>P457*(Presion_cilindro!O456/Presion_cilindro!O457)^Presion_cilindro!$B$9+10*(Presion_cilindro!$B$9-1)*Presion_cilindro!$B$33*(O458-O457)/((Presion_cilindro!O456+Presion_cilindro!O457)/2)</f>
        <v>12.586420361218142</v>
      </c>
      <c r="Q458" s="9">
        <f>IF(OR($B$9=0,Presion_cilindro!N457&lt;=$B$15),IF(Presion_cilindro!N457&gt;$B$13,1-EXP(-Presion_cilindro!$B$16*((Presion_cilindro!N457-$B$13)/Presion_cilindro!$B$35)^(Presion_cilindro!$B$17+1)),0),$B$8+(1-$B$8)*(1-EXP(-(Presion_cilindro!N457-$B$15)/Presion_cilindro!$B$23)))</f>
        <v>1</v>
      </c>
      <c r="R458" s="10">
        <f>R457*(Presion_cilindro!O456/Presion_cilindro!O457)^Presion_cilindro!$B$9+10*(Presion_cilindro!$B$9-1)*Presion_cilindro!$B$33*(Q458-Q457)/((Presion_cilindro!O456+Presion_cilindro!O457)/2)</f>
        <v>13.054984919597096</v>
      </c>
      <c r="S458" s="10">
        <f>R458+IF(AND($B$9=1,Presion_cilindro!N457&gt;$B$15),Presion_cilindro!$B$24*2.5*EXP(-(Presion_cilindro!N457-$B$15)/Presion_cilindro!$B$26)*SIN(2*PI()*(Presion_cilindro!N457-$B$15)/Presion_cilindro!$B$39),0)</f>
        <v>13.021035710411228</v>
      </c>
      <c r="T458" s="9">
        <f>IF(Presion_cilindro!N457&gt;$B$14,1-EXP(-Presion_cilindro!$B$16*((Presion_cilindro!N457-$B$14)/Presion_cilindro!$B$35)^(Presion_cilindro!$B$17+1)),0)</f>
        <v>0.6432390974854334</v>
      </c>
      <c r="U458" s="10">
        <f>U457*(Presion_cilindro!O456/Presion_cilindro!O457)^Presion_cilindro!$B$9+10*(Presion_cilindro!$B$9-1)*Presion_cilindro!$B$33*(T458-T457)/((Presion_cilindro!O456+Presion_cilindro!O457)/2)</f>
        <v>11.009724559438638</v>
      </c>
    </row>
    <row r="459" spans="14:21" x14ac:dyDescent="0.25">
      <c r="N459" s="8">
        <f>-Presion_cilindro!N458</f>
        <v>-47</v>
      </c>
      <c r="O459" s="9">
        <f>IF(Presion_cilindro!N458&gt;$B$12,1-EXP(-Presion_cilindro!$B$16*((Presion_cilindro!N458-$B$12)/Presion_cilindro!$B$35)^(Presion_cilindro!$B$17+1)),0)</f>
        <v>0.99999911217863346</v>
      </c>
      <c r="P459" s="10">
        <f>P458*(Presion_cilindro!O457/Presion_cilindro!O458)^Presion_cilindro!$B$9+10*(Presion_cilindro!$B$9-1)*Presion_cilindro!$B$33*(O459-O458)/((Presion_cilindro!O457+Presion_cilindro!O458)/2)</f>
        <v>12.380042889111989</v>
      </c>
      <c r="Q459" s="9">
        <f>IF(OR($B$9=0,Presion_cilindro!N458&lt;=$B$15),IF(Presion_cilindro!N458&gt;$B$13,1-EXP(-Presion_cilindro!$B$16*((Presion_cilindro!N458-$B$13)/Presion_cilindro!$B$35)^(Presion_cilindro!$B$17+1)),0),$B$8+(1-$B$8)*(1-EXP(-(Presion_cilindro!N458-$B$15)/Presion_cilindro!$B$23)))</f>
        <v>1</v>
      </c>
      <c r="R459" s="10">
        <f>R458*(Presion_cilindro!O457/Presion_cilindro!O458)^Presion_cilindro!$B$9+10*(Presion_cilindro!$B$9-1)*Presion_cilindro!$B$33*(Q459-Q458)/((Presion_cilindro!O457+Presion_cilindro!O458)/2)</f>
        <v>12.840920786233127</v>
      </c>
      <c r="S459" s="10">
        <f>R459+IF(AND($B$9=1,Presion_cilindro!N458&gt;$B$15),Presion_cilindro!$B$24*2.5*EXP(-(Presion_cilindro!N458-$B$15)/Presion_cilindro!$B$26)*SIN(2*PI()*(Presion_cilindro!N458-$B$15)/Presion_cilindro!$B$39),0)</f>
        <v>12.829535134025994</v>
      </c>
      <c r="T459" s="9">
        <f>IF(Presion_cilindro!N458&gt;$B$14,1-EXP(-Presion_cilindro!$B$16*((Presion_cilindro!N458-$B$14)/Presion_cilindro!$B$35)^(Presion_cilindro!$B$17+1)),0)</f>
        <v>0.66188212260538637</v>
      </c>
      <c r="U459" s="10">
        <f>U458*(Presion_cilindro!O457/Presion_cilindro!O458)^Presion_cilindro!$B$9+10*(Presion_cilindro!$B$9-1)*Presion_cilindro!$B$33*(T459-T458)/((Presion_cilindro!O457+Presion_cilindro!O458)/2)</f>
        <v>11.044663616619596</v>
      </c>
    </row>
    <row r="460" spans="14:21" x14ac:dyDescent="0.25">
      <c r="N460" s="8">
        <f>-Presion_cilindro!N459</f>
        <v>-47.5</v>
      </c>
      <c r="O460" s="9">
        <f>IF(Presion_cilindro!N459&gt;$B$12,1-EXP(-Presion_cilindro!$B$16*((Presion_cilindro!N459-$B$12)/Presion_cilindro!$B$35)^(Presion_cilindro!$B$17+1)),0)</f>
        <v>0.9999993433386335</v>
      </c>
      <c r="P460" s="10">
        <f>P459*(Presion_cilindro!O458/Presion_cilindro!O459)^Presion_cilindro!$B$9+10*(Presion_cilindro!$B$9-1)*Presion_cilindro!$B$33*(O460-O459)/((Presion_cilindro!O458+Presion_cilindro!O459)/2)</f>
        <v>12.178202928541296</v>
      </c>
      <c r="Q460" s="9">
        <f>IF(OR($B$9=0,Presion_cilindro!N459&lt;=$B$15),IF(Presion_cilindro!N459&gt;$B$13,1-EXP(-Presion_cilindro!$B$16*((Presion_cilindro!N459-$B$13)/Presion_cilindro!$B$35)^(Presion_cilindro!$B$17+1)),0),$B$8+(1-$B$8)*(1-EXP(-(Presion_cilindro!N459-$B$15)/Presion_cilindro!$B$23)))</f>
        <v>1</v>
      </c>
      <c r="R460" s="10">
        <f>R459*(Presion_cilindro!O458/Presion_cilindro!O459)^Presion_cilindro!$B$9+10*(Presion_cilindro!$B$9-1)*Presion_cilindro!$B$33*(Q460-Q459)/((Presion_cilindro!O458+Presion_cilindro!O459)/2)</f>
        <v>12.631564094013394</v>
      </c>
      <c r="S460" s="10">
        <f>R460+IF(AND($B$9=1,Presion_cilindro!N459&gt;$B$15),Presion_cilindro!$B$24*2.5*EXP(-(Presion_cilindro!N459-$B$15)/Presion_cilindro!$B$26)*SIN(2*PI()*(Presion_cilindro!N459-$B$15)/Presion_cilindro!$B$39),0)</f>
        <v>12.662282608797497</v>
      </c>
      <c r="T460" s="9">
        <f>IF(Presion_cilindro!N459&gt;$B$14,1-EXP(-Presion_cilindro!$B$16*((Presion_cilindro!N459-$B$14)/Presion_cilindro!$B$35)^(Presion_cilindro!$B$17+1)),0)</f>
        <v>0.68013733098858187</v>
      </c>
      <c r="U460" s="10">
        <f>U459*(Presion_cilindro!O458/Presion_cilindro!O459)^Presion_cilindro!$B$9+10*(Presion_cilindro!$B$9-1)*Presion_cilindro!$B$33*(T460-T459)/((Presion_cilindro!O458+Presion_cilindro!O459)/2)</f>
        <v>11.072978474484769</v>
      </c>
    </row>
    <row r="461" spans="14:21" x14ac:dyDescent="0.25">
      <c r="N461" s="8">
        <f>-Presion_cilindro!N460</f>
        <v>-48</v>
      </c>
      <c r="O461" s="9">
        <f>IF(Presion_cilindro!N460&gt;$B$12,1-EXP(-Presion_cilindro!$B$16*((Presion_cilindro!N460-$B$12)/Presion_cilindro!$B$35)^(Presion_cilindro!$B$17+1)),0)</f>
        <v>0.99999951640610674</v>
      </c>
      <c r="P461" s="10">
        <f>P460*(Presion_cilindro!O459/Presion_cilindro!O460)^Presion_cilindro!$B$9+10*(Presion_cilindro!$B$9-1)*Presion_cilindro!$B$33*(O461-O460)/((Presion_cilindro!O459+Presion_cilindro!O460)/2)</f>
        <v>11.980799031088489</v>
      </c>
      <c r="Q461" s="9">
        <f>IF(OR($B$9=0,Presion_cilindro!N460&lt;=$B$15),IF(Presion_cilindro!N460&gt;$B$13,1-EXP(-Presion_cilindro!$B$16*((Presion_cilindro!N460-$B$13)/Presion_cilindro!$B$35)^(Presion_cilindro!$B$17+1)),0),$B$8+(1-$B$8)*(1-EXP(-(Presion_cilindro!N460-$B$15)/Presion_cilindro!$B$23)))</f>
        <v>1</v>
      </c>
      <c r="R461" s="10">
        <f>R460*(Presion_cilindro!O459/Presion_cilindro!O460)^Presion_cilindro!$B$9+10*(Presion_cilindro!$B$9-1)*Presion_cilindro!$B$33*(Q461-Q460)/((Presion_cilindro!O459+Presion_cilindro!O460)/2)</f>
        <v>12.426809365681075</v>
      </c>
      <c r="S461" s="10">
        <f>R461+IF(AND($B$9=1,Presion_cilindro!N460&gt;$B$15),Presion_cilindro!$B$24*2.5*EXP(-(Presion_cilindro!N460-$B$15)/Presion_cilindro!$B$26)*SIN(2*PI()*(Presion_cilindro!N460-$B$15)/Presion_cilindro!$B$39),0)</f>
        <v>12.437111529826835</v>
      </c>
      <c r="T461" s="9">
        <f>IF(Presion_cilindro!N460&gt;$B$14,1-EXP(-Presion_cilindro!$B$16*((Presion_cilindro!N460-$B$14)/Presion_cilindro!$B$35)^(Presion_cilindro!$B$17+1)),0)</f>
        <v>0.69796993518930806</v>
      </c>
      <c r="U461" s="10">
        <f>U460*(Presion_cilindro!O459/Presion_cilindro!O460)^Presion_cilindro!$B$9+10*(Presion_cilindro!$B$9-1)*Presion_cilindro!$B$33*(T461-T460)/((Presion_cilindro!O459+Presion_cilindro!O460)/2)</f>
        <v>11.094556408274856</v>
      </c>
    </row>
    <row r="462" spans="14:21" x14ac:dyDescent="0.25">
      <c r="N462" s="8">
        <f>-Presion_cilindro!N461</f>
        <v>-48.5</v>
      </c>
      <c r="O462" s="9">
        <f>IF(Presion_cilindro!N461&gt;$B$12,1-EXP(-Presion_cilindro!$B$16*((Presion_cilindro!N461-$B$12)/Presion_cilindro!$B$35)^(Presion_cilindro!$B$17+1)),0)</f>
        <v>0.999999645406907</v>
      </c>
      <c r="P462" s="10">
        <f>P461*(Presion_cilindro!O460/Presion_cilindro!O461)^Presion_cilindro!$B$9+10*(Presion_cilindro!$B$9-1)*Presion_cilindro!$B$33*(O462-O461)/((Presion_cilindro!O460+Presion_cilindro!O461)/2)</f>
        <v>11.787731295017448</v>
      </c>
      <c r="Q462" s="9">
        <f>IF(OR($B$9=0,Presion_cilindro!N461&lt;=$B$15),IF(Presion_cilindro!N461&gt;$B$13,1-EXP(-Presion_cilindro!$B$16*((Presion_cilindro!N461-$B$13)/Presion_cilindro!$B$35)^(Presion_cilindro!$B$17+1)),0),$B$8+(1-$B$8)*(1-EXP(-(Presion_cilindro!N461-$B$15)/Presion_cilindro!$B$23)))</f>
        <v>1</v>
      </c>
      <c r="R462" s="10">
        <f>R461*(Presion_cilindro!O460/Presion_cilindro!O461)^Presion_cilindro!$B$9+10*(Presion_cilindro!$B$9-1)*Presion_cilindro!$B$33*(Q462-Q461)/((Presion_cilindro!O460+Presion_cilindro!O461)/2)</f>
        <v>12.226552788501722</v>
      </c>
      <c r="S462" s="10">
        <f>R462+IF(AND($B$9=1,Presion_cilindro!N461&gt;$B$15),Presion_cilindro!$B$24*2.5*EXP(-(Presion_cilindro!N461-$B$15)/Presion_cilindro!$B$26)*SIN(2*PI()*(Presion_cilindro!N461-$B$15)/Presion_cilindro!$B$39),0)</f>
        <v>12.198757526898575</v>
      </c>
      <c r="T462" s="9">
        <f>IF(Presion_cilindro!N461&gt;$B$14,1-EXP(-Presion_cilindro!$B$16*((Presion_cilindro!N461-$B$14)/Presion_cilindro!$B$35)^(Presion_cilindro!$B$17+1)),0)</f>
        <v>0.71534773457509981</v>
      </c>
      <c r="U462" s="10">
        <f>U461*(Presion_cilindro!O460/Presion_cilindro!O461)^Presion_cilindro!$B$9+10*(Presion_cilindro!$B$9-1)*Presion_cilindro!$B$33*(T462-T461)/((Presion_cilindro!O460+Presion_cilindro!O461)/2)</f>
        <v>11.10932335644428</v>
      </c>
    </row>
    <row r="463" spans="14:21" x14ac:dyDescent="0.25">
      <c r="N463" s="8">
        <f>-Presion_cilindro!N462</f>
        <v>-49</v>
      </c>
      <c r="O463" s="9">
        <f>IF(Presion_cilindro!N462&gt;$B$12,1-EXP(-Presion_cilindro!$B$16*((Presion_cilindro!N462-$B$12)/Presion_cilindro!$B$35)^(Presion_cilindro!$B$17+1)),0)</f>
        <v>0.99999974113310719</v>
      </c>
      <c r="P463" s="10">
        <f>P462*(Presion_cilindro!O461/Presion_cilindro!O462)^Presion_cilindro!$B$9+10*(Presion_cilindro!$B$9-1)*Presion_cilindro!$B$33*(O463-O462)/((Presion_cilindro!O461+Presion_cilindro!O462)/2)</f>
        <v>11.598901423130007</v>
      </c>
      <c r="Q463" s="9">
        <f>IF(OR($B$9=0,Presion_cilindro!N462&lt;=$B$15),IF(Presion_cilindro!N462&gt;$B$13,1-EXP(-Presion_cilindro!$B$16*((Presion_cilindro!N462-$B$13)/Presion_cilindro!$B$35)^(Presion_cilindro!$B$17+1)),0),$B$8+(1-$B$8)*(1-EXP(-(Presion_cilindro!N462-$B$15)/Presion_cilindro!$B$23)))</f>
        <v>1</v>
      </c>
      <c r="R463" s="10">
        <f>R462*(Presion_cilindro!O461/Presion_cilindro!O462)^Presion_cilindro!$B$9+10*(Presion_cilindro!$B$9-1)*Presion_cilindro!$B$33*(Q463-Q462)/((Presion_cilindro!O461+Presion_cilindro!O462)/2)</f>
        <v>12.030692260545505</v>
      </c>
      <c r="S463" s="10">
        <f>R463+IF(AND($B$9=1,Presion_cilindro!N462&gt;$B$15),Presion_cilindro!$B$24*2.5*EXP(-(Presion_cilindro!N462-$B$15)/Presion_cilindro!$B$26)*SIN(2*PI()*(Presion_cilindro!N462-$B$15)/Presion_cilindro!$B$39),0)</f>
        <v>12.021370476939675</v>
      </c>
      <c r="T463" s="9">
        <f>IF(Presion_cilindro!N462&gt;$B$14,1-EXP(-Presion_cilindro!$B$16*((Presion_cilindro!N462-$B$14)/Presion_cilindro!$B$35)^(Presion_cilindro!$B$17+1)),0)</f>
        <v>0.73224128432471147</v>
      </c>
      <c r="U463" s="10">
        <f>U462*(Presion_cilindro!O461/Presion_cilindro!O462)^Presion_cilindro!$B$9+10*(Presion_cilindro!$B$9-1)*Presion_cilindro!$B$33*(T463-T462)/((Presion_cilindro!O461+Presion_cilindro!O462)/2)</f>
        <v>11.117243274910457</v>
      </c>
    </row>
    <row r="464" spans="14:21" x14ac:dyDescent="0.25">
      <c r="N464" s="8">
        <f>-Presion_cilindro!N463</f>
        <v>-49.5</v>
      </c>
      <c r="O464" s="9">
        <f>IF(Presion_cilindro!N463&gt;$B$12,1-EXP(-Presion_cilindro!$B$16*((Presion_cilindro!N463-$B$12)/Presion_cilindro!$B$35)^(Presion_cilindro!$B$17+1)),0)</f>
        <v>0.99999981184915265</v>
      </c>
      <c r="P464" s="10">
        <f>P463*(Presion_cilindro!O462/Presion_cilindro!O463)^Presion_cilindro!$B$9+10*(Presion_cilindro!$B$9-1)*Presion_cilindro!$B$33*(O464-O463)/((Presion_cilindro!O462+Presion_cilindro!O463)/2)</f>
        <v>11.414212770081532</v>
      </c>
      <c r="Q464" s="9">
        <f>IF(OR($B$9=0,Presion_cilindro!N463&lt;=$B$15),IF(Presion_cilindro!N463&gt;$B$13,1-EXP(-Presion_cilindro!$B$16*((Presion_cilindro!N463-$B$13)/Presion_cilindro!$B$35)^(Presion_cilindro!$B$17+1)),0),$B$8+(1-$B$8)*(1-EXP(-(Presion_cilindro!N463-$B$15)/Presion_cilindro!$B$23)))</f>
        <v>1</v>
      </c>
      <c r="R464" s="10">
        <f>R463*(Presion_cilindro!O462/Presion_cilindro!O463)^Presion_cilindro!$B$9+10*(Presion_cilindro!$B$9-1)*Presion_cilindro!$B$33*(Q464-Q463)/((Presion_cilindro!O462+Presion_cilindro!O463)/2)</f>
        <v>11.839127428991905</v>
      </c>
      <c r="S464" s="10">
        <f>R464+IF(AND($B$9=1,Presion_cilindro!N463&gt;$B$15),Presion_cilindro!$B$24*2.5*EXP(-(Presion_cilindro!N463-$B$15)/Presion_cilindro!$B$26)*SIN(2*PI()*(Presion_cilindro!N463-$B$15)/Presion_cilindro!$B$39),0)</f>
        <v>11.864277621734532</v>
      </c>
      <c r="T464" s="9">
        <f>IF(Presion_cilindro!N463&gt;$B$14,1-EXP(-Presion_cilindro!$B$16*((Presion_cilindro!N463-$B$14)/Presion_cilindro!$B$35)^(Presion_cilindro!$B$17+1)),0)</f>
        <v>0.74862403873294425</v>
      </c>
      <c r="U464" s="10">
        <f>U463*(Presion_cilindro!O462/Presion_cilindro!O463)^Presion_cilindro!$B$9+10*(Presion_cilindro!$B$9-1)*Presion_cilindro!$B$33*(T464-T463)/((Presion_cilindro!O462+Presion_cilindro!O463)/2)</f>
        <v>11.118317209833139</v>
      </c>
    </row>
    <row r="465" spans="14:21" x14ac:dyDescent="0.25">
      <c r="N465" s="8">
        <f>-Presion_cilindro!N464</f>
        <v>-50</v>
      </c>
      <c r="O465" s="9">
        <f>IF(Presion_cilindro!N464&gt;$B$12,1-EXP(-Presion_cilindro!$B$16*((Presion_cilindro!N464-$B$12)/Presion_cilindro!$B$35)^(Presion_cilindro!$B$17+1)),0)</f>
        <v>0.99999986385367334</v>
      </c>
      <c r="P465" s="10">
        <f>P464*(Presion_cilindro!O463/Presion_cilindro!O464)^Presion_cilindro!$B$9+10*(Presion_cilindro!$B$9-1)*Presion_cilindro!$B$33*(O465-O464)/((Presion_cilindro!O463+Presion_cilindro!O464)/2)</f>
        <v>11.233570380366951</v>
      </c>
      <c r="Q465" s="9">
        <f>IF(OR($B$9=0,Presion_cilindro!N464&lt;=$B$15),IF(Presion_cilindro!N464&gt;$B$13,1-EXP(-Presion_cilindro!$B$16*((Presion_cilindro!N464-$B$13)/Presion_cilindro!$B$35)^(Presion_cilindro!$B$17+1)),0),$B$8+(1-$B$8)*(1-EXP(-(Presion_cilindro!N464-$B$15)/Presion_cilindro!$B$23)))</f>
        <v>1</v>
      </c>
      <c r="R465" s="10">
        <f>R464*(Presion_cilindro!O463/Presion_cilindro!O464)^Presion_cilindro!$B$9+10*(Presion_cilindro!$B$9-1)*Presion_cilindro!$B$33*(Q465-Q464)/((Presion_cilindro!O463+Presion_cilindro!O464)/2)</f>
        <v>11.651759721119536</v>
      </c>
      <c r="S465" s="10">
        <f>R465+IF(AND($B$9=1,Presion_cilindro!N464&gt;$B$15),Presion_cilindro!$B$24*2.5*EXP(-(Presion_cilindro!N464-$B$15)/Presion_cilindro!$B$26)*SIN(2*PI()*(Presion_cilindro!N464-$B$15)/Presion_cilindro!$B$39),0)</f>
        <v>11.660194419728926</v>
      </c>
      <c r="T465" s="9">
        <f>IF(Presion_cilindro!N464&gt;$B$14,1-EXP(-Presion_cilindro!$B$16*((Presion_cilindro!N464-$B$14)/Presion_cilindro!$B$35)^(Presion_cilindro!$B$17+1)),0)</f>
        <v>0.76447246744880615</v>
      </c>
      <c r="U465" s="10">
        <f>U464*(Presion_cilindro!O463/Presion_cilindro!O464)^Presion_cilindro!$B$9+10*(Presion_cilindro!$B$9-1)*Presion_cilindro!$B$33*(T465-T464)/((Presion_cilindro!O463+Presion_cilindro!O464)/2)</f>
        <v>11.112582101955592</v>
      </c>
    </row>
    <row r="466" spans="14:21" x14ac:dyDescent="0.25">
      <c r="N466" s="8">
        <f>-Presion_cilindro!N465</f>
        <v>-50.5</v>
      </c>
      <c r="O466" s="9">
        <f>IF(Presion_cilindro!N465&gt;$B$12,1-EXP(-Presion_cilindro!$B$16*((Presion_cilindro!N465-$B$12)/Presion_cilindro!$B$35)^(Presion_cilindro!$B$17+1)),0)</f>
        <v>0.99999990192407484</v>
      </c>
      <c r="P466" s="10">
        <f>P465*(Presion_cilindro!O464/Presion_cilindro!O465)^Presion_cilindro!$B$9+10*(Presion_cilindro!$B$9-1)*Presion_cilindro!$B$33*(O466-O465)/((Presion_cilindro!O464+Presion_cilindro!O465)/2)</f>
        <v>11.056881018042384</v>
      </c>
      <c r="Q466" s="9">
        <f>IF(OR($B$9=0,Presion_cilindro!N465&lt;=$B$15),IF(Presion_cilindro!N465&gt;$B$13,1-EXP(-Presion_cilindro!$B$16*((Presion_cilindro!N465-$B$13)/Presion_cilindro!$B$35)^(Presion_cilindro!$B$17+1)),0),$B$8+(1-$B$8)*(1-EXP(-(Presion_cilindro!N465-$B$15)/Presion_cilindro!$B$23)))</f>
        <v>1</v>
      </c>
      <c r="R466" s="10">
        <f>R465*(Presion_cilindro!O464/Presion_cilindro!O465)^Presion_cilindro!$B$9+10*(Presion_cilindro!$B$9-1)*Presion_cilindro!$B$33*(Q466-Q465)/((Presion_cilindro!O464+Presion_cilindro!O465)/2)</f>
        <v>11.468492368601142</v>
      </c>
      <c r="S466" s="10">
        <f>R466+IF(AND($B$9=1,Presion_cilindro!N465&gt;$B$15),Presion_cilindro!$B$24*2.5*EXP(-(Presion_cilindro!N465-$B$15)/Presion_cilindro!$B$26)*SIN(2*PI()*(Presion_cilindro!N465-$B$15)/Presion_cilindro!$B$39),0)</f>
        <v>11.445735533136798</v>
      </c>
      <c r="T466" s="9">
        <f>IF(Presion_cilindro!N465&gt;$B$14,1-EXP(-Presion_cilindro!$B$16*((Presion_cilindro!N465-$B$14)/Presion_cilindro!$B$35)^(Presion_cilindro!$B$17+1)),0)</f>
        <v>0.77976614362576824</v>
      </c>
      <c r="U466" s="10">
        <f>U465*(Presion_cilindro!O464/Presion_cilindro!O465)^Presion_cilindro!$B$9+10*(Presion_cilindro!$B$9-1)*Presion_cilindro!$B$33*(T466-T465)/((Presion_cilindro!O464+Presion_cilindro!O465)/2)</f>
        <v>11.100109338539511</v>
      </c>
    </row>
    <row r="467" spans="14:21" x14ac:dyDescent="0.25">
      <c r="N467" s="8">
        <f>-Presion_cilindro!N466</f>
        <v>-51</v>
      </c>
      <c r="O467" s="9">
        <f>IF(Presion_cilindro!N466&gt;$B$12,1-EXP(-Presion_cilindro!$B$16*((Presion_cilindro!N466-$B$12)/Presion_cilindro!$B$35)^(Presion_cilindro!$B$17+1)),0)</f>
        <v>0.99999992966649065</v>
      </c>
      <c r="P467" s="10">
        <f>P466*(Presion_cilindro!O465/Presion_cilindro!O466)^Presion_cilindro!$B$9+10*(Presion_cilindro!$B$9-1)*Presion_cilindro!$B$33*(O467-O466)/((Presion_cilindro!O465+Presion_cilindro!O466)/2)</f>
        <v>10.884053189119314</v>
      </c>
      <c r="Q467" s="9">
        <f>IF(OR($B$9=0,Presion_cilindro!N466&lt;=$B$15),IF(Presion_cilindro!N466&gt;$B$13,1-EXP(-Presion_cilindro!$B$16*((Presion_cilindro!N466-$B$13)/Presion_cilindro!$B$35)^(Presion_cilindro!$B$17+1)),0),$B$8+(1-$B$8)*(1-EXP(-(Presion_cilindro!N466-$B$15)/Presion_cilindro!$B$23)))</f>
        <v>1</v>
      </c>
      <c r="R467" s="10">
        <f>R466*(Presion_cilindro!O465/Presion_cilindro!O466)^Presion_cilindro!$B$9+10*(Presion_cilindro!$B$9-1)*Presion_cilindro!$B$33*(Q467-Q466)/((Presion_cilindro!O465+Presion_cilindro!O466)/2)</f>
        <v>11.289230425682252</v>
      </c>
      <c r="S467" s="10">
        <f>R467+IF(AND($B$9=1,Presion_cilindro!N466&gt;$B$15),Presion_cilindro!$B$24*2.5*EXP(-(Presion_cilindro!N466-$B$15)/Presion_cilindro!$B$26)*SIN(2*PI()*(Presion_cilindro!N466-$B$15)/Presion_cilindro!$B$39),0)</f>
        <v>11.28159839477062</v>
      </c>
      <c r="T467" s="9">
        <f>IF(Presion_cilindro!N466&gt;$B$14,1-EXP(-Presion_cilindro!$B$16*((Presion_cilindro!N466-$B$14)/Presion_cilindro!$B$35)^(Presion_cilindro!$B$17+1)),0)</f>
        <v>0.7944878033325049</v>
      </c>
      <c r="U467" s="10">
        <f>U466*(Presion_cilindro!O465/Presion_cilindro!O466)^Presion_cilindro!$B$9+10*(Presion_cilindro!$B$9-1)*Presion_cilindro!$B$33*(T467-T466)/((Presion_cilindro!O465+Presion_cilindro!O466)/2)</f>
        <v>11.081003071706139</v>
      </c>
    </row>
    <row r="468" spans="14:21" x14ac:dyDescent="0.25">
      <c r="N468" s="8">
        <f>-Presion_cilindro!N467</f>
        <v>-51.5</v>
      </c>
      <c r="O468" s="9">
        <f>IF(Presion_cilindro!N467&gt;$B$12,1-EXP(-Presion_cilindro!$B$16*((Presion_cilindro!N467-$B$12)/Presion_cilindro!$B$35)^(Presion_cilindro!$B$17+1)),0)</f>
        <v>0.9999999497897708</v>
      </c>
      <c r="P468" s="10">
        <f>P467*(Presion_cilindro!O466/Presion_cilindro!O467)^Presion_cilindro!$B$9+10*(Presion_cilindro!$B$9-1)*Presion_cilindro!$B$33*(O468-O467)/((Presion_cilindro!O466+Presion_cilindro!O467)/2)</f>
        <v>10.714997157457699</v>
      </c>
      <c r="Q468" s="9">
        <f>IF(OR($B$9=0,Presion_cilindro!N467&lt;=$B$15),IF(Presion_cilindro!N467&gt;$B$13,1-EXP(-Presion_cilindro!$B$16*((Presion_cilindro!N467-$B$13)/Presion_cilindro!$B$35)^(Presion_cilindro!$B$17+1)),0),$B$8+(1-$B$8)*(1-EXP(-(Presion_cilindro!N467-$B$15)/Presion_cilindro!$B$23)))</f>
        <v>1</v>
      </c>
      <c r="R468" s="10">
        <f>R467*(Presion_cilindro!O466/Presion_cilindro!O467)^Presion_cilindro!$B$9+10*(Presion_cilindro!$B$9-1)*Presion_cilindro!$B$33*(Q468-Q467)/((Presion_cilindro!O466+Presion_cilindro!O467)/2)</f>
        <v>11.11388078178339</v>
      </c>
      <c r="S468" s="10">
        <f>R468+IF(AND($B$9=1,Presion_cilindro!N467&gt;$B$15),Presion_cilindro!$B$24*2.5*EXP(-(Presion_cilindro!N467-$B$15)/Presion_cilindro!$B$26)*SIN(2*PI()*(Presion_cilindro!N467-$B$15)/Presion_cilindro!$B$39),0)</f>
        <v>11.134472018027617</v>
      </c>
      <c r="T468" s="9">
        <f>IF(Presion_cilindro!N467&gt;$B$14,1-EXP(-Presion_cilindro!$B$16*((Presion_cilindro!N467-$B$14)/Presion_cilindro!$B$35)^(Presion_cilindro!$B$17+1)),0)</f>
        <v>0.80862337595302891</v>
      </c>
      <c r="U468" s="10">
        <f>U467*(Presion_cilindro!O466/Presion_cilindro!O467)^Presion_cilindro!$B$9+10*(Presion_cilindro!$B$9-1)*Presion_cilindro!$B$33*(T468-T467)/((Presion_cilindro!O466+Presion_cilindro!O467)/2)</f>
        <v>11.055398324511723</v>
      </c>
    </row>
    <row r="469" spans="14:21" x14ac:dyDescent="0.25">
      <c r="N469" s="8">
        <f>-Presion_cilindro!N468</f>
        <v>-52</v>
      </c>
      <c r="O469" s="9">
        <f>IF(Presion_cilindro!N468&gt;$B$12,1-EXP(-Presion_cilindro!$B$16*((Presion_cilindro!N468-$B$12)/Presion_cilindro!$B$35)^(Presion_cilindro!$B$17+1)),0)</f>
        <v>0.99999996431885219</v>
      </c>
      <c r="P469" s="10">
        <f>P468*(Presion_cilindro!O467/Presion_cilindro!O468)^Presion_cilindro!$B$9+10*(Presion_cilindro!$B$9-1)*Presion_cilindro!$B$33*(O469-O468)/((Presion_cilindro!O467+Presion_cilindro!O468)/2)</f>
        <v>10.549624954888108</v>
      </c>
      <c r="Q469" s="9">
        <f>IF(OR($B$9=0,Presion_cilindro!N468&lt;=$B$15),IF(Presion_cilindro!N468&gt;$B$13,1-EXP(-Presion_cilindro!$B$16*((Presion_cilindro!N468-$B$13)/Presion_cilindro!$B$35)^(Presion_cilindro!$B$17+1)),0),$B$8+(1-$B$8)*(1-EXP(-(Presion_cilindro!N468-$B$15)/Presion_cilindro!$B$23)))</f>
        <v>1</v>
      </c>
      <c r="R469" s="10">
        <f>R468*(Presion_cilindro!O467/Presion_cilindro!O468)^Presion_cilindro!$B$9+10*(Presion_cilindro!$B$9-1)*Presion_cilindro!$B$33*(Q469-Q468)/((Presion_cilindro!O467+Presion_cilindro!O468)/2)</f>
        <v>10.942352169028711</v>
      </c>
      <c r="S469" s="10">
        <f>R469+IF(AND($B$9=1,Presion_cilindro!N468&gt;$B$15),Presion_cilindro!$B$24*2.5*EXP(-(Presion_cilindro!N468-$B$15)/Presion_cilindro!$B$26)*SIN(2*PI()*(Presion_cilindro!N468-$B$15)/Presion_cilindro!$B$39),0)</f>
        <v>10.949257916173162</v>
      </c>
      <c r="T469" s="9">
        <f>IF(Presion_cilindro!N468&gt;$B$14,1-EXP(-Presion_cilindro!$B$16*((Presion_cilindro!N468-$B$14)/Presion_cilindro!$B$35)^(Presion_cilindro!$B$17+1)),0)</f>
        <v>0.82216198568980636</v>
      </c>
      <c r="U469" s="10">
        <f>U468*(Presion_cilindro!O467/Presion_cilindro!O468)^Presion_cilindro!$B$9+10*(Presion_cilindro!$B$9-1)*Presion_cilindro!$B$33*(T469-T468)/((Presion_cilindro!O467+Presion_cilindro!O468)/2)</f>
        <v>11.023458908291593</v>
      </c>
    </row>
    <row r="470" spans="14:21" x14ac:dyDescent="0.25">
      <c r="N470" s="8">
        <f>-Presion_cilindro!N469</f>
        <v>-52.5</v>
      </c>
      <c r="O470" s="9">
        <f>IF(Presion_cilindro!N469&gt;$B$12,1-EXP(-Presion_cilindro!$B$16*((Presion_cilindro!N469-$B$12)/Presion_cilindro!$B$35)^(Presion_cilindro!$B$17+1)),0)</f>
        <v>0.99999997476003333</v>
      </c>
      <c r="P470" s="10">
        <f>P469*(Presion_cilindro!O468/Presion_cilindro!O469)^Presion_cilindro!$B$9+10*(Presion_cilindro!$B$9-1)*Presion_cilindro!$B$33*(O470-O469)/((Presion_cilindro!O468+Presion_cilindro!O469)/2)</f>
        <v>10.387850386209212</v>
      </c>
      <c r="Q470" s="9">
        <f>IF(OR($B$9=0,Presion_cilindro!N469&lt;=$B$15),IF(Presion_cilindro!N469&gt;$B$13,1-EXP(-Presion_cilindro!$B$16*((Presion_cilindro!N469-$B$13)/Presion_cilindro!$B$35)^(Presion_cilindro!$B$17+1)),0),$B$8+(1-$B$8)*(1-EXP(-(Presion_cilindro!N469-$B$15)/Presion_cilindro!$B$23)))</f>
        <v>1</v>
      </c>
      <c r="R470" s="10">
        <f>R469*(Presion_cilindro!O468/Presion_cilindro!O469)^Presion_cilindro!$B$9+10*(Presion_cilindro!$B$9-1)*Presion_cilindro!$B$33*(Q470-Q469)/((Presion_cilindro!O468+Presion_cilindro!O469)/2)</f>
        <v>10.774555165168685</v>
      </c>
      <c r="S470" s="10">
        <f>R470+IF(AND($B$9=1,Presion_cilindro!N469&gt;$B$15),Presion_cilindro!$B$24*2.5*EXP(-(Presion_cilindro!N469-$B$15)/Presion_cilindro!$B$26)*SIN(2*PI()*(Presion_cilindro!N469-$B$15)/Presion_cilindro!$B$39),0)</f>
        <v>10.755923444131291</v>
      </c>
      <c r="T470" s="9">
        <f>IF(Presion_cilindro!N469&gt;$B$14,1-EXP(-Presion_cilindro!$B$16*((Presion_cilindro!N469-$B$14)/Presion_cilindro!$B$35)^(Presion_cilindro!$B$17+1)),0)</f>
        <v>0.83509592466532956</v>
      </c>
      <c r="U470" s="10">
        <f>U469*(Presion_cilindro!O468/Presion_cilindro!O469)^Presion_cilindro!$B$9+10*(Presion_cilindro!$B$9-1)*Presion_cilindro!$B$33*(T470-T469)/((Presion_cilindro!O468+Presion_cilindro!O469)/2)</f>
        <v>10.985375176666897</v>
      </c>
    </row>
    <row r="471" spans="14:21" x14ac:dyDescent="0.25">
      <c r="N471" s="8">
        <f>-Presion_cilindro!N470</f>
        <v>-53</v>
      </c>
      <c r="O471" s="9">
        <f>IF(Presion_cilindro!N470&gt;$B$12,1-EXP(-Presion_cilindro!$B$16*((Presion_cilindro!N470-$B$12)/Presion_cilindro!$B$35)^(Presion_cilindro!$B$17+1)),0)</f>
        <v>0.99999998222830955</v>
      </c>
      <c r="P471" s="10">
        <f>P470*(Presion_cilindro!O469/Presion_cilindro!O470)^Presion_cilindro!$B$9+10*(Presion_cilindro!$B$9-1)*Presion_cilindro!$B$33*(O471-O470)/((Presion_cilindro!O469+Presion_cilindro!O470)/2)</f>
        <v>10.22958902963471</v>
      </c>
      <c r="Q471" s="9">
        <f>IF(OR($B$9=0,Presion_cilindro!N470&lt;=$B$15),IF(Presion_cilindro!N470&gt;$B$13,1-EXP(-Presion_cilindro!$B$16*((Presion_cilindro!N470-$B$13)/Presion_cilindro!$B$35)^(Presion_cilindro!$B$17+1)),0),$B$8+(1-$B$8)*(1-EXP(-(Presion_cilindro!N470-$B$15)/Presion_cilindro!$B$23)))</f>
        <v>1</v>
      </c>
      <c r="R471" s="10">
        <f>R470*(Presion_cilindro!O469/Presion_cilindro!O470)^Presion_cilindro!$B$9+10*(Presion_cilindro!$B$9-1)*Presion_cilindro!$B$33*(Q471-Q470)/((Presion_cilindro!O469+Presion_cilindro!O470)/2)</f>
        <v>10.610402192331625</v>
      </c>
      <c r="S471" s="10">
        <f>R471+IF(AND($B$9=1,Presion_cilindro!N470&gt;$B$15),Presion_cilindro!$B$24*2.5*EXP(-(Presion_cilindro!N470-$B$15)/Presion_cilindro!$B$26)*SIN(2*PI()*(Presion_cilindro!N470-$B$15)/Presion_cilindro!$B$39),0)</f>
        <v>10.60415361391583</v>
      </c>
      <c r="T471" s="9">
        <f>IF(Presion_cilindro!N470&gt;$B$14,1-EXP(-Presion_cilindro!$B$16*((Presion_cilindro!N470-$B$14)/Presion_cilindro!$B$35)^(Presion_cilindro!$B$17+1)),0)</f>
        <v>0.84742059848984419</v>
      </c>
      <c r="U471" s="10">
        <f>U470*(Presion_cilindro!O469/Presion_cilindro!O470)^Presion_cilindro!$B$9+10*(Presion_cilindro!$B$9-1)*Presion_cilindro!$B$33*(T471-T470)/((Presion_cilindro!O469+Presion_cilindro!O470)/2)</f>
        <v>10.941361643091126</v>
      </c>
    </row>
    <row r="472" spans="14:21" x14ac:dyDescent="0.25">
      <c r="N472" s="8">
        <f>-Presion_cilindro!N471</f>
        <v>-53.5</v>
      </c>
      <c r="O472" s="9">
        <f>IF(Presion_cilindro!N471&gt;$B$12,1-EXP(-Presion_cilindro!$B$16*((Presion_cilindro!N471-$B$12)/Presion_cilindro!$B$35)^(Presion_cilindro!$B$17+1)),0)</f>
        <v>0.99999998754495334</v>
      </c>
      <c r="P472" s="10">
        <f>P471*(Presion_cilindro!O470/Presion_cilindro!O471)^Presion_cilindro!$B$9+10*(Presion_cilindro!$B$9-1)*Presion_cilindro!$B$33*(O472-O471)/((Presion_cilindro!O470+Presion_cilindro!O471)/2)</f>
        <v>10.074758233200905</v>
      </c>
      <c r="Q472" s="9">
        <f>IF(OR($B$9=0,Presion_cilindro!N471&lt;=$B$15),IF(Presion_cilindro!N471&gt;$B$13,1-EXP(-Presion_cilindro!$B$16*((Presion_cilindro!N471-$B$13)/Presion_cilindro!$B$35)^(Presion_cilindro!$B$17+1)),0),$B$8+(1-$B$8)*(1-EXP(-(Presion_cilindro!N471-$B$15)/Presion_cilindro!$B$23)))</f>
        <v>1</v>
      </c>
      <c r="R472" s="10">
        <f>R471*(Presion_cilindro!O470/Presion_cilindro!O471)^Presion_cilindro!$B$9+10*(Presion_cilindro!$B$9-1)*Presion_cilindro!$B$33*(Q472-Q471)/((Presion_cilindro!O470+Presion_cilindro!O471)/2)</f>
        <v>10.449807512007702</v>
      </c>
      <c r="S472" s="10">
        <f>R472+IF(AND($B$9=1,Presion_cilindro!N471&gt;$B$15),Presion_cilindro!$B$24*2.5*EXP(-(Presion_cilindro!N471-$B$15)/Presion_cilindro!$B$26)*SIN(2*PI()*(Presion_cilindro!N471-$B$15)/Presion_cilindro!$B$39),0)</f>
        <v>10.466666190364744</v>
      </c>
      <c r="T472" s="9">
        <f>IF(Presion_cilindro!N471&gt;$B$14,1-EXP(-Presion_cilindro!$B$16*((Presion_cilindro!N471-$B$14)/Presion_cilindro!$B$35)^(Presion_cilindro!$B$17+1)),0)</f>
        <v>0.85913444551866291</v>
      </c>
      <c r="U472" s="10">
        <f>U471*(Presion_cilindro!O470/Presion_cilindro!O471)^Presion_cilindro!$B$9+10*(Presion_cilindro!$B$9-1)*Presion_cilindro!$B$33*(T472-T471)/((Presion_cilindro!O470+Presion_cilindro!O471)/2)</f>
        <v>10.891654489895725</v>
      </c>
    </row>
    <row r="473" spans="14:21" x14ac:dyDescent="0.25">
      <c r="N473" s="8">
        <f>-Presion_cilindro!N472</f>
        <v>-54</v>
      </c>
      <c r="O473" s="9">
        <f>IF(Presion_cilindro!N472&gt;$B$12,1-EXP(-Presion_cilindro!$B$16*((Presion_cilindro!N472-$B$12)/Presion_cilindro!$B$35)^(Presion_cilindro!$B$17+1)),0)</f>
        <v>0.99999999131189043</v>
      </c>
      <c r="P473" s="10">
        <f>P472*(Presion_cilindro!O471/Presion_cilindro!O472)^Presion_cilindro!$B$9+10*(Presion_cilindro!$B$9-1)*Presion_cilindro!$B$33*(O473-O472)/((Presion_cilindro!O471+Presion_cilindro!O472)/2)</f>
        <v>9.923277107591236</v>
      </c>
      <c r="Q473" s="9">
        <f>IF(OR($B$9=0,Presion_cilindro!N472&lt;=$B$15),IF(Presion_cilindro!N472&gt;$B$13,1-EXP(-Presion_cilindro!$B$16*((Presion_cilindro!N472-$B$13)/Presion_cilindro!$B$35)^(Presion_cilindro!$B$17+1)),0),$B$8+(1-$B$8)*(1-EXP(-(Presion_cilindro!N472-$B$15)/Presion_cilindro!$B$23)))</f>
        <v>1</v>
      </c>
      <c r="R473" s="10">
        <f>R472*(Presion_cilindro!O471/Presion_cilindro!O472)^Presion_cilindro!$B$9+10*(Presion_cilindro!$B$9-1)*Presion_cilindro!$B$33*(Q473-Q472)/((Presion_cilindro!O471+Presion_cilindro!O472)/2)</f>
        <v>10.292687216639614</v>
      </c>
      <c r="S473" s="10">
        <f>R473+IF(AND($B$9=1,Presion_cilindro!N472&gt;$B$15),Presion_cilindro!$B$24*2.5*EXP(-(Presion_cilindro!N472-$B$15)/Presion_cilindro!$B$26)*SIN(2*PI()*(Presion_cilindro!N472-$B$15)/Presion_cilindro!$B$39),0)</f>
        <v>10.298341164199757</v>
      </c>
      <c r="T473" s="9">
        <f>IF(Presion_cilindro!N472&gt;$B$14,1-EXP(-Presion_cilindro!$B$16*((Presion_cilindro!N472-$B$14)/Presion_cilindro!$B$35)^(Presion_cilindro!$B$17+1)),0)</f>
        <v>0.87023883135533775</v>
      </c>
      <c r="U473" s="10">
        <f>U472*(Presion_cilindro!O471/Presion_cilindro!O472)^Presion_cilindro!$B$9+10*(Presion_cilindro!$B$9-1)*Presion_cilindro!$B$33*(T473-T472)/((Presion_cilindro!O471+Presion_cilindro!O472)/2)</f>
        <v>10.83650899745958</v>
      </c>
    </row>
    <row r="474" spans="14:21" x14ac:dyDescent="0.25">
      <c r="N474" s="8">
        <f>-Presion_cilindro!N473</f>
        <v>-54.5</v>
      </c>
      <c r="O474" s="9">
        <f>IF(Presion_cilindro!N473&gt;$B$12,1-EXP(-Presion_cilindro!$B$16*((Presion_cilindro!N473-$B$12)/Presion_cilindro!$B$35)^(Presion_cilindro!$B$17+1)),0)</f>
        <v>0.99999999396808548</v>
      </c>
      <c r="P474" s="10">
        <f>P473*(Presion_cilindro!O472/Presion_cilindro!O473)^Presion_cilindro!$B$9+10*(Presion_cilindro!$B$9-1)*Presion_cilindro!$B$33*(O474-O473)/((Presion_cilindro!O472+Presion_cilindro!O473)/2)</f>
        <v>9.7750665157861683</v>
      </c>
      <c r="Q474" s="9">
        <f>IF(OR($B$9=0,Presion_cilindro!N473&lt;=$B$15),IF(Presion_cilindro!N473&gt;$B$13,1-EXP(-Presion_cilindro!$B$16*((Presion_cilindro!N473-$B$13)/Presion_cilindro!$B$35)^(Presion_cilindro!$B$17+1)),0),$B$8+(1-$B$8)*(1-EXP(-(Presion_cilindro!N473-$B$15)/Presion_cilindro!$B$23)))</f>
        <v>1</v>
      </c>
      <c r="R474" s="10">
        <f>R473*(Presion_cilindro!O472/Presion_cilindro!O473)^Presion_cilindro!$B$9+10*(Presion_cilindro!$B$9-1)*Presion_cilindro!$B$33*(Q474-Q473)/((Presion_cilindro!O472+Presion_cilindro!O473)/2)</f>
        <v>10.138959218166319</v>
      </c>
      <c r="S474" s="10">
        <f>R474+IF(AND($B$9=1,Presion_cilindro!N473&gt;$B$15),Presion_cilindro!$B$24*2.5*EXP(-(Presion_cilindro!N473-$B$15)/Presion_cilindro!$B$26)*SIN(2*PI()*(Presion_cilindro!N473-$B$15)/Presion_cilindro!$B$39),0)</f>
        <v>10.123704855170233</v>
      </c>
      <c r="T474" s="9">
        <f>IF(Presion_cilindro!N473&gt;$B$14,1-EXP(-Presion_cilindro!$B$16*((Presion_cilindro!N473-$B$14)/Presion_cilindro!$B$35)^(Presion_cilindro!$B$17+1)),0)</f>
        <v>0.88073792046089161</v>
      </c>
      <c r="U474" s="10">
        <f>U473*(Presion_cilindro!O472/Presion_cilindro!O473)^Presion_cilindro!$B$9+10*(Presion_cilindro!$B$9-1)*Presion_cilindro!$B$33*(T474-T473)/((Presion_cilindro!O472+Presion_cilindro!O473)/2)</f>
        <v>10.776196922368426</v>
      </c>
    </row>
    <row r="475" spans="14:21" x14ac:dyDescent="0.25">
      <c r="N475" s="8">
        <f>-Presion_cilindro!N474</f>
        <v>-55</v>
      </c>
      <c r="O475" s="9">
        <f>IF(Presion_cilindro!N474&gt;$B$12,1-EXP(-Presion_cilindro!$B$16*((Presion_cilindro!N474-$B$12)/Presion_cilindro!$B$35)^(Presion_cilindro!$B$17+1)),0)</f>
        <v>0.99999999583205779</v>
      </c>
      <c r="P475" s="10">
        <f>P474*(Presion_cilindro!O473/Presion_cilindro!O474)^Presion_cilindro!$B$9+10*(Presion_cilindro!$B$9-1)*Presion_cilindro!$B$33*(O475-O474)/((Presion_cilindro!O473+Presion_cilindro!O474)/2)</f>
        <v>9.6300490599054367</v>
      </c>
      <c r="Q475" s="9">
        <f>IF(OR($B$9=0,Presion_cilindro!N474&lt;=$B$15),IF(Presion_cilindro!N474&gt;$B$13,1-EXP(-Presion_cilindro!$B$16*((Presion_cilindro!N474-$B$13)/Presion_cilindro!$B$35)^(Presion_cilindro!$B$17+1)),0),$B$8+(1-$B$8)*(1-EXP(-(Presion_cilindro!N474-$B$15)/Presion_cilindro!$B$23)))</f>
        <v>1</v>
      </c>
      <c r="R475" s="10">
        <f>R474*(Presion_cilindro!O473/Presion_cilindro!O474)^Presion_cilindro!$B$9+10*(Presion_cilindro!$B$9-1)*Presion_cilindro!$B$33*(Q475-Q474)/((Presion_cilindro!O473+Presion_cilindro!O474)/2)</f>
        <v>9.9885432338407263</v>
      </c>
      <c r="S475" s="10">
        <f>R475+IF(AND($B$9=1,Presion_cilindro!N474&gt;$B$15),Presion_cilindro!$B$24*2.5*EXP(-(Presion_cilindro!N474-$B$15)/Presion_cilindro!$B$26)*SIN(2*PI()*(Presion_cilindro!N474-$B$15)/Presion_cilindro!$B$39),0)</f>
        <v>9.9834273305286949</v>
      </c>
      <c r="T475" s="9">
        <f>IF(Presion_cilindro!N474&gt;$B$14,1-EXP(-Presion_cilindro!$B$16*((Presion_cilindro!N474-$B$14)/Presion_cilindro!$B$35)^(Presion_cilindro!$B$17+1)),0)</f>
        <v>0.89063852699895996</v>
      </c>
      <c r="U475" s="10">
        <f>U474*(Presion_cilindro!O473/Presion_cilindro!O474)^Presion_cilindro!$B$9+10*(Presion_cilindro!$B$9-1)*Presion_cilindro!$B$33*(T475-T474)/((Presion_cilindro!O473+Presion_cilindro!O474)/2)</f>
        <v>10.711003853248391</v>
      </c>
    </row>
    <row r="476" spans="14:21" x14ac:dyDescent="0.25">
      <c r="N476" s="8">
        <f>-Presion_cilindro!N475</f>
        <v>-55.5</v>
      </c>
      <c r="O476" s="9">
        <f>IF(Presion_cilindro!N475&gt;$B$12,1-EXP(-Presion_cilindro!$B$16*((Presion_cilindro!N475-$B$12)/Presion_cilindro!$B$35)^(Presion_cilindro!$B$17+1)),0)</f>
        <v>0.99999999713376719</v>
      </c>
      <c r="P476" s="10">
        <f>P475*(Presion_cilindro!O474/Presion_cilindro!O475)^Presion_cilindro!$B$9+10*(Presion_cilindro!$B$9-1)*Presion_cilindro!$B$33*(O476-O475)/((Presion_cilindro!O474+Presion_cilindro!O475)/2)</f>
        <v>9.4881490655724292</v>
      </c>
      <c r="Q476" s="9">
        <f>IF(OR($B$9=0,Presion_cilindro!N475&lt;=$B$15),IF(Presion_cilindro!N475&gt;$B$13,1-EXP(-Presion_cilindro!$B$16*((Presion_cilindro!N475-$B$13)/Presion_cilindro!$B$35)^(Presion_cilindro!$B$17+1)),0),$B$8+(1-$B$8)*(1-EXP(-(Presion_cilindro!N475-$B$15)/Presion_cilindro!$B$23)))</f>
        <v>1</v>
      </c>
      <c r="R476" s="10">
        <f>R475*(Presion_cilindro!O474/Presion_cilindro!O475)^Presion_cilindro!$B$9+10*(Presion_cilindro!$B$9-1)*Presion_cilindro!$B$33*(Q476-Q475)/((Presion_cilindro!O474+Presion_cilindro!O475)/2)</f>
        <v>9.8413607696174079</v>
      </c>
      <c r="S476" s="10">
        <f>R476+IF(AND($B$9=1,Presion_cilindro!N475&gt;$B$15),Presion_cilindro!$B$24*2.5*EXP(-(Presion_cilindro!N475-$B$15)/Presion_cilindro!$B$26)*SIN(2*PI()*(Presion_cilindro!N475-$B$15)/Presion_cilindro!$B$39),0)</f>
        <v>9.8551634880445693</v>
      </c>
      <c r="T476" s="9">
        <f>IF(Presion_cilindro!N475&gt;$B$14,1-EXP(-Presion_cilindro!$B$16*((Presion_cilindro!N475-$B$14)/Presion_cilindro!$B$35)^(Presion_cilindro!$B$17+1)),0)</f>
        <v>0.89994994727744471</v>
      </c>
      <c r="U476" s="10">
        <f>U475*(Presion_cilindro!O474/Presion_cilindro!O475)^Presion_cilindro!$B$9+10*(Presion_cilindro!$B$9-1)*Presion_cilindro!$B$33*(T476-T475)/((Presion_cilindro!O474+Presion_cilindro!O475)/2)</f>
        <v>10.641226572360729</v>
      </c>
    </row>
    <row r="477" spans="14:21" x14ac:dyDescent="0.25">
      <c r="N477" s="8">
        <f>-Presion_cilindro!N476</f>
        <v>-56</v>
      </c>
      <c r="O477" s="9">
        <f>IF(Presion_cilindro!N476&gt;$B$12,1-EXP(-Presion_cilindro!$B$16*((Presion_cilindro!N476-$B$12)/Presion_cilindro!$B$35)^(Presion_cilindro!$B$17+1)),0)</f>
        <v>0.99999999803839679</v>
      </c>
      <c r="P477" s="10">
        <f>P476*(Presion_cilindro!O475/Presion_cilindro!O476)^Presion_cilindro!$B$9+10*(Presion_cilindro!$B$9-1)*Presion_cilindro!$B$33*(O477-O476)/((Presion_cilindro!O475+Presion_cilindro!O476)/2)</f>
        <v>9.3492925640982829</v>
      </c>
      <c r="Q477" s="9">
        <f>IF(OR($B$9=0,Presion_cilindro!N476&lt;=$B$15),IF(Presion_cilindro!N476&gt;$B$13,1-EXP(-Presion_cilindro!$B$16*((Presion_cilindro!N476-$B$13)/Presion_cilindro!$B$35)^(Presion_cilindro!$B$17+1)),0),$B$8+(1-$B$8)*(1-EXP(-(Presion_cilindro!N476-$B$15)/Presion_cilindro!$B$23)))</f>
        <v>1</v>
      </c>
      <c r="R477" s="10">
        <f>R476*(Presion_cilindro!O475/Presion_cilindro!O476)^Presion_cilindro!$B$9+10*(Presion_cilindro!$B$9-1)*Presion_cilindro!$B$33*(Q477-Q476)/((Presion_cilindro!O475+Presion_cilindro!O476)/2)</f>
        <v>9.6973351013837767</v>
      </c>
      <c r="S477" s="10">
        <f>R477+IF(AND($B$9=1,Presion_cilindro!N476&gt;$B$15),Presion_cilindro!$B$24*2.5*EXP(-(Presion_cilindro!N476-$B$15)/Presion_cilindro!$B$26)*SIN(2*PI()*(Presion_cilindro!N476-$B$15)/Presion_cilindro!$B$39),0)</f>
        <v>9.7019641621275561</v>
      </c>
      <c r="T477" s="9">
        <f>IF(Presion_cilindro!N476&gt;$B$14,1-EXP(-Presion_cilindro!$B$16*((Presion_cilindro!N476-$B$14)/Presion_cilindro!$B$35)^(Presion_cilindro!$B$17+1)),0)</f>
        <v>0.90868377633532382</v>
      </c>
      <c r="U477" s="10">
        <f>U476*(Presion_cilindro!O475/Presion_cilindro!O476)^Presion_cilindro!$B$9+10*(Presion_cilindro!$B$9-1)*Presion_cilindro!$B$33*(T477-T476)/((Presion_cilindro!O475+Presion_cilindro!O476)/2)</f>
        <v>10.567170450050661</v>
      </c>
    </row>
    <row r="478" spans="14:21" x14ac:dyDescent="0.25">
      <c r="N478" s="8">
        <f>-Presion_cilindro!N477</f>
        <v>-56.5</v>
      </c>
      <c r="O478" s="9">
        <f>IF(Presion_cilindro!N477&gt;$B$12,1-EXP(-Presion_cilindro!$B$16*((Presion_cilindro!N477-$B$12)/Presion_cilindro!$B$35)^(Presion_cilindro!$B$17+1)),0)</f>
        <v>0.99999999866399703</v>
      </c>
      <c r="P478" s="10">
        <f>P477*(Presion_cilindro!O476/Presion_cilindro!O477)^Presion_cilindro!$B$9+10*(Presion_cilindro!$B$9-1)*Presion_cilindro!$B$33*(O478-O477)/((Presion_cilindro!O476+Presion_cilindro!O477)/2)</f>
        <v>9.2134072727548748</v>
      </c>
      <c r="Q478" s="9">
        <f>IF(OR($B$9=0,Presion_cilindro!N477&lt;=$B$15),IF(Presion_cilindro!N477&gt;$B$13,1-EXP(-Presion_cilindro!$B$16*((Presion_cilindro!N477-$B$13)/Presion_cilindro!$B$35)^(Presion_cilindro!$B$17+1)),0),$B$8+(1-$B$8)*(1-EXP(-(Presion_cilindro!N477-$B$15)/Presion_cilindro!$B$23)))</f>
        <v>1</v>
      </c>
      <c r="R478" s="10">
        <f>R477*(Presion_cilindro!O476/Presion_cilindro!O477)^Presion_cilindro!$B$9+10*(Presion_cilindro!$B$9-1)*Presion_cilindro!$B$33*(Q478-Q477)/((Presion_cilindro!O476+Presion_cilindro!O477)/2)</f>
        <v>9.5563912542871456</v>
      </c>
      <c r="S478" s="10">
        <f>R478+IF(AND($B$9=1,Presion_cilindro!N477&gt;$B$15),Presion_cilindro!$B$24*2.5*EXP(-(Presion_cilindro!N477-$B$15)/Presion_cilindro!$B$26)*SIN(2*PI()*(Presion_cilindro!N477-$B$15)/Presion_cilindro!$B$39),0)</f>
        <v>9.5439020381836368</v>
      </c>
      <c r="T478" s="9">
        <f>IF(Presion_cilindro!N477&gt;$B$14,1-EXP(-Presion_cilindro!$B$16*((Presion_cilindro!N477-$B$14)/Presion_cilindro!$B$35)^(Presion_cilindro!$B$17+1)),0)</f>
        <v>0.9168537113657782</v>
      </c>
      <c r="U478" s="10">
        <f>U477*(Presion_cilindro!O476/Presion_cilindro!O477)^Presion_cilindro!$B$9+10*(Presion_cilindro!$B$9-1)*Presion_cilindro!$B$33*(T478-T477)/((Presion_cilindro!O476+Presion_cilindro!O477)/2)</f>
        <v>10.489146897776669</v>
      </c>
    </row>
    <row r="479" spans="14:21" x14ac:dyDescent="0.25">
      <c r="N479" s="8">
        <f>-Presion_cilindro!N478</f>
        <v>-57</v>
      </c>
      <c r="O479" s="9">
        <f>IF(Presion_cilindro!N478&gt;$B$12,1-EXP(-Presion_cilindro!$B$16*((Presion_cilindro!N478-$B$12)/Presion_cilindro!$B$35)^(Presion_cilindro!$B$17+1)),0)</f>
        <v>0.9999999990945031</v>
      </c>
      <c r="P479" s="10">
        <f>P478*(Presion_cilindro!O477/Presion_cilindro!O478)^Presion_cilindro!$B$9+10*(Presion_cilindro!$B$9-1)*Presion_cilindro!$B$33*(O479-O478)/((Presion_cilindro!O477+Presion_cilindro!O478)/2)</f>
        <v>9.0804225733796713</v>
      </c>
      <c r="Q479" s="9">
        <f>IF(OR($B$9=0,Presion_cilindro!N478&lt;=$B$15),IF(Presion_cilindro!N478&gt;$B$13,1-EXP(-Presion_cilindro!$B$16*((Presion_cilindro!N478-$B$13)/Presion_cilindro!$B$35)^(Presion_cilindro!$B$17+1)),0),$B$8+(1-$B$8)*(1-EXP(-(Presion_cilindro!N478-$B$15)/Presion_cilindro!$B$23)))</f>
        <v>1</v>
      </c>
      <c r="R479" s="10">
        <f>R478*(Presion_cilindro!O477/Presion_cilindro!O478)^Presion_cilindro!$B$9+10*(Presion_cilindro!$B$9-1)*Presion_cilindro!$B$33*(Q479-Q478)/((Presion_cilindro!O477+Presion_cilindro!O478)/2)</f>
        <v>9.4184559803894192</v>
      </c>
      <c r="S479" s="10">
        <f>R479+IF(AND($B$9=1,Presion_cilindro!N478&gt;$B$15),Presion_cilindro!$B$24*2.5*EXP(-(Presion_cilindro!N478-$B$15)/Presion_cilindro!$B$26)*SIN(2*PI()*(Presion_cilindro!N478-$B$15)/Presion_cilindro!$B$39),0)</f>
        <v>9.414267433018086</v>
      </c>
      <c r="T479" s="9">
        <f>IF(Presion_cilindro!N478&gt;$B$14,1-EXP(-Presion_cilindro!$B$16*((Presion_cilindro!N478-$B$14)/Presion_cilindro!$B$35)^(Presion_cilindro!$B$17+1)),0)</f>
        <v>0.92447534476192761</v>
      </c>
      <c r="U479" s="10">
        <f>U478*(Presion_cilindro!O477/Presion_cilindro!O478)^Presion_cilindro!$B$9+10*(Presion_cilindro!$B$9-1)*Presion_cilindro!$B$33*(T479-T478)/((Presion_cilindro!O477+Presion_cilindro!O478)/2)</f>
        <v>10.407470903737901</v>
      </c>
    </row>
    <row r="480" spans="14:21" x14ac:dyDescent="0.25">
      <c r="N480" s="8">
        <f>-Presion_cilindro!N479</f>
        <v>-57.5</v>
      </c>
      <c r="O480" s="9">
        <f>IF(Presion_cilindro!N479&gt;$B$12,1-EXP(-Presion_cilindro!$B$16*((Presion_cilindro!N479-$B$12)/Presion_cilindro!$B$35)^(Presion_cilindro!$B$17+1)),0)</f>
        <v>0.99999999938928819</v>
      </c>
      <c r="P480" s="10">
        <f>P479*(Presion_cilindro!O478/Presion_cilindro!O479)^Presion_cilindro!$B$9+10*(Presion_cilindro!$B$9-1)*Presion_cilindro!$B$33*(O480-O479)/((Presion_cilindro!O478+Presion_cilindro!O479)/2)</f>
        <v>8.9502694895333601</v>
      </c>
      <c r="Q480" s="9">
        <f>IF(OR($B$9=0,Presion_cilindro!N479&lt;=$B$15),IF(Presion_cilindro!N479&gt;$B$13,1-EXP(-Presion_cilindro!$B$16*((Presion_cilindro!N479-$B$13)/Presion_cilindro!$B$35)^(Presion_cilindro!$B$17+1)),0),$B$8+(1-$B$8)*(1-EXP(-(Presion_cilindro!N479-$B$15)/Presion_cilindro!$B$23)))</f>
        <v>1</v>
      </c>
      <c r="R480" s="10">
        <f>R479*(Presion_cilindro!O478/Presion_cilindro!O479)^Presion_cilindro!$B$9+10*(Presion_cilindro!$B$9-1)*Presion_cilindro!$B$33*(Q480-Q479)/((Presion_cilindro!O478+Presion_cilindro!O479)/2)</f>
        <v>9.2834577348633154</v>
      </c>
      <c r="S480" s="10">
        <f>R480+IF(AND($B$9=1,Presion_cilindro!N479&gt;$B$15),Presion_cilindro!$B$24*2.5*EXP(-(Presion_cilindro!N479-$B$15)/Presion_cilindro!$B$26)*SIN(2*PI()*(Presion_cilindro!N479-$B$15)/Presion_cilindro!$B$39),0)</f>
        <v>9.2947584449157077</v>
      </c>
      <c r="T480" s="9">
        <f>IF(Presion_cilindro!N479&gt;$B$14,1-EXP(-Presion_cilindro!$B$16*((Presion_cilindro!N479-$B$14)/Presion_cilindro!$B$35)^(Presion_cilindro!$B$17+1)),0)</f>
        <v>0.93156594961841876</v>
      </c>
      <c r="U480" s="10">
        <f>U479*(Presion_cilindro!O478/Presion_cilindro!O479)^Presion_cilindro!$B$9+10*(Presion_cilindro!$B$9-1)*Presion_cilindro!$B$33*(T480-T479)/((Presion_cilindro!O478+Presion_cilindro!O479)/2)</f>
        <v>10.322458673107272</v>
      </c>
    </row>
    <row r="481" spans="14:21" x14ac:dyDescent="0.25">
      <c r="N481" s="8">
        <f>-Presion_cilindro!N480</f>
        <v>-58</v>
      </c>
      <c r="O481" s="9">
        <f>IF(Presion_cilindro!N480&gt;$B$12,1-EXP(-Presion_cilindro!$B$16*((Presion_cilindro!N480-$B$12)/Presion_cilindro!$B$35)^(Presion_cilindro!$B$17+1)),0)</f>
        <v>0.99999999959013364</v>
      </c>
      <c r="P481" s="10">
        <f>P480*(Presion_cilindro!O479/Presion_cilindro!O480)^Presion_cilindro!$B$9+10*(Presion_cilindro!$B$9-1)*Presion_cilindro!$B$33*(O481-O480)/((Presion_cilindro!O479+Presion_cilindro!O480)/2)</f>
        <v>8.8228806624100731</v>
      </c>
      <c r="Q481" s="9">
        <f>IF(OR($B$9=0,Presion_cilindro!N480&lt;=$B$15),IF(Presion_cilindro!N480&gt;$B$13,1-EXP(-Presion_cilindro!$B$16*((Presion_cilindro!N480-$B$13)/Presion_cilindro!$B$35)^(Presion_cilindro!$B$17+1)),0),$B$8+(1-$B$8)*(1-EXP(-(Presion_cilindro!N480-$B$15)/Presion_cilindro!$B$23)))</f>
        <v>1</v>
      </c>
      <c r="R481" s="10">
        <f>R480*(Presion_cilindro!O479/Presion_cilindro!O480)^Presion_cilindro!$B$9+10*(Presion_cilindro!$B$9-1)*Presion_cilindro!$B$33*(Q481-Q480)/((Presion_cilindro!O479+Presion_cilindro!O480)/2)</f>
        <v>9.151326650925979</v>
      </c>
      <c r="S481" s="10">
        <f>R481+IF(AND($B$9=1,Presion_cilindro!N480&gt;$B$15),Presion_cilindro!$B$24*2.5*EXP(-(Presion_cilindro!N480-$B$15)/Presion_cilindro!$B$26)*SIN(2*PI()*(Presion_cilindro!N480-$B$15)/Presion_cilindro!$B$39),0)</f>
        <v>9.1551166053147774</v>
      </c>
      <c r="T481" s="9">
        <f>IF(Presion_cilindro!N480&gt;$B$14,1-EXP(-Presion_cilindro!$B$16*((Presion_cilindro!N480-$B$14)/Presion_cilindro!$B$35)^(Presion_cilindro!$B$17+1)),0)</f>
        <v>0.93814426052113564</v>
      </c>
      <c r="U481" s="10">
        <f>U480*(Presion_cilindro!O479/Presion_cilindro!O480)^Presion_cilindro!$B$9+10*(Presion_cilindro!$B$9-1)*Presion_cilindro!$B$33*(T481-T480)/((Presion_cilindro!O479+Presion_cilindro!O480)/2)</f>
        <v>10.234425392606747</v>
      </c>
    </row>
    <row r="482" spans="14:21" x14ac:dyDescent="0.25">
      <c r="N482" s="8">
        <f>-Presion_cilindro!N481</f>
        <v>-58.5</v>
      </c>
      <c r="O482" s="9">
        <f>IF(Presion_cilindro!N481&gt;$B$12,1-EXP(-Presion_cilindro!$B$16*((Presion_cilindro!N481-$B$12)/Presion_cilindro!$B$35)^(Presion_cilindro!$B$17+1)),0)</f>
        <v>0.9999999997262895</v>
      </c>
      <c r="P482" s="10">
        <f>P481*(Presion_cilindro!O480/Presion_cilindro!O481)^Presion_cilindro!$B$9+10*(Presion_cilindro!$B$9-1)*Presion_cilindro!$B$33*(O482-O481)/((Presion_cilindro!O480+Presion_cilindro!O481)/2)</f>
        <v>8.6981903256821287</v>
      </c>
      <c r="Q482" s="9">
        <f>IF(OR($B$9=0,Presion_cilindro!N481&lt;=$B$15),IF(Presion_cilindro!N481&gt;$B$13,1-EXP(-Presion_cilindro!$B$16*((Presion_cilindro!N481-$B$13)/Presion_cilindro!$B$35)^(Presion_cilindro!$B$17+1)),0),$B$8+(1-$B$8)*(1-EXP(-(Presion_cilindro!N481-$B$15)/Presion_cilindro!$B$23)))</f>
        <v>1</v>
      </c>
      <c r="R482" s="10">
        <f>R481*(Presion_cilindro!O480/Presion_cilindro!O481)^Presion_cilindro!$B$9+10*(Presion_cilindro!$B$9-1)*Presion_cilindro!$B$33*(Q482-Q481)/((Presion_cilindro!O480+Presion_cilindro!O481)/2)</f>
        <v>9.0219945136901813</v>
      </c>
      <c r="S482" s="10">
        <f>R482+IF(AND($B$9=1,Presion_cilindro!N481&gt;$B$15),Presion_cilindro!$B$24*2.5*EXP(-(Presion_cilindro!N481-$B$15)/Presion_cilindro!$B$26)*SIN(2*PI()*(Presion_cilindro!N481-$B$15)/Presion_cilindro!$B$39),0)</f>
        <v>9.0117692083844005</v>
      </c>
      <c r="T482" s="9">
        <f>IF(Presion_cilindro!N481&gt;$B$14,1-EXP(-Presion_cilindro!$B$16*((Presion_cilindro!N481-$B$14)/Presion_cilindro!$B$35)^(Presion_cilindro!$B$17+1)),0)</f>
        <v>0.94423025240966141</v>
      </c>
      <c r="U482" s="10">
        <f>U481*(Presion_cilindro!O480/Presion_cilindro!O481)^Presion_cilindro!$B$9+10*(Presion_cilindro!$B$9-1)*Presion_cilindro!$B$33*(T482-T481)/((Presion_cilindro!O480+Presion_cilindro!O481)/2)</f>
        <v>10.143683136679172</v>
      </c>
    </row>
    <row r="483" spans="14:21" x14ac:dyDescent="0.25">
      <c r="N483" s="8">
        <f>-Presion_cilindro!N482</f>
        <v>-59</v>
      </c>
      <c r="O483" s="9">
        <f>IF(Presion_cilindro!N482&gt;$B$12,1-EXP(-Presion_cilindro!$B$16*((Presion_cilindro!N482-$B$12)/Presion_cilindro!$B$35)^(Presion_cilindro!$B$17+1)),0)</f>
        <v>0.99999999981812615</v>
      </c>
      <c r="P483" s="10">
        <f>P482*(Presion_cilindro!O481/Presion_cilindro!O482)^Presion_cilindro!$B$9+10*(Presion_cilindro!$B$9-1)*Presion_cilindro!$B$33*(O483-O482)/((Presion_cilindro!O481+Presion_cilindro!O482)/2)</f>
        <v>8.5761342794439468</v>
      </c>
      <c r="Q483" s="9">
        <f>IF(OR($B$9=0,Presion_cilindro!N482&lt;=$B$15),IF(Presion_cilindro!N482&gt;$B$13,1-EXP(-Presion_cilindro!$B$16*((Presion_cilindro!N482-$B$13)/Presion_cilindro!$B$35)^(Presion_cilindro!$B$17+1)),0),$B$8+(1-$B$8)*(1-EXP(-(Presion_cilindro!N482-$B$15)/Presion_cilindro!$B$23)))</f>
        <v>1</v>
      </c>
      <c r="R483" s="10">
        <f>R482*(Presion_cilindro!O481/Presion_cilindro!O482)^Presion_cilindro!$B$9+10*(Presion_cilindro!$B$9-1)*Presion_cilindro!$B$33*(Q483-Q482)/((Presion_cilindro!O481+Presion_cilindro!O482)/2)</f>
        <v>8.8953947330976657</v>
      </c>
      <c r="S483" s="10">
        <f>R483+IF(AND($B$9=1,Presion_cilindro!N482&gt;$B$15),Presion_cilindro!$B$24*2.5*EXP(-(Presion_cilindro!N482-$B$15)/Presion_cilindro!$B$26)*SIN(2*PI()*(Presion_cilindro!N482-$B$15)/Presion_cilindro!$B$39),0)</f>
        <v>8.8919654405540314</v>
      </c>
      <c r="T483" s="9">
        <f>IF(Presion_cilindro!N482&gt;$B$14,1-EXP(-Presion_cilindro!$B$16*((Presion_cilindro!N482-$B$14)/Presion_cilindro!$B$35)^(Presion_cilindro!$B$17+1)),0)</f>
        <v>0.94984492020510347</v>
      </c>
      <c r="U483" s="10">
        <f>U482*(Presion_cilindro!O481/Presion_cilindro!O482)^Presion_cilindro!$B$9+10*(Presion_cilindro!$B$9-1)*Presion_cilindro!$B$33*(T483-T482)/((Presion_cilindro!O481+Presion_cilindro!O482)/2)</f>
        <v>10.050538929866466</v>
      </c>
    </row>
    <row r="484" spans="14:21" x14ac:dyDescent="0.25">
      <c r="N484" s="8">
        <f>-Presion_cilindro!N483</f>
        <v>-59.5</v>
      </c>
      <c r="O484" s="9">
        <f>IF(Presion_cilindro!N483&gt;$B$12,1-EXP(-Presion_cilindro!$B$16*((Presion_cilindro!N483-$B$12)/Presion_cilindro!$B$35)^(Presion_cilindro!$B$17+1)),0)</f>
        <v>0.9999999998797553</v>
      </c>
      <c r="P484" s="10">
        <f>P483*(Presion_cilindro!O482/Presion_cilindro!O483)^Presion_cilindro!$B$9+10*(Presion_cilindro!$B$9-1)*Presion_cilindro!$B$33*(O484-O483)/((Presion_cilindro!O482+Presion_cilindro!O483)/2)</f>
        <v>8.4566498634052749</v>
      </c>
      <c r="Q484" s="9">
        <f>IF(OR($B$9=0,Presion_cilindro!N483&lt;=$B$15),IF(Presion_cilindro!N483&gt;$B$13,1-EXP(-Presion_cilindro!$B$16*((Presion_cilindro!N483-$B$13)/Presion_cilindro!$B$35)^(Presion_cilindro!$B$17+1)),0),$B$8+(1-$B$8)*(1-EXP(-(Presion_cilindro!N483-$B$15)/Presion_cilindro!$B$23)))</f>
        <v>1</v>
      </c>
      <c r="R484" s="10">
        <f>R483*(Presion_cilindro!O482/Presion_cilindro!O483)^Presion_cilindro!$B$9+10*(Presion_cilindro!$B$9-1)*Presion_cilindro!$B$33*(Q484-Q483)/((Presion_cilindro!O482+Presion_cilindro!O483)/2)</f>
        <v>8.771462316085719</v>
      </c>
      <c r="S484" s="10">
        <f>R484+IF(AND($B$9=1,Presion_cilindro!N483&gt;$B$15),Presion_cilindro!$B$24*2.5*EXP(-(Presion_cilindro!N483-$B$15)/Presion_cilindro!$B$26)*SIN(2*PI()*(Presion_cilindro!N483-$B$15)/Presion_cilindro!$B$39),0)</f>
        <v>8.7807145549372301</v>
      </c>
      <c r="T484" s="9">
        <f>IF(Presion_cilindro!N483&gt;$B$14,1-EXP(-Presion_cilindro!$B$16*((Presion_cilindro!N483-$B$14)/Presion_cilindro!$B$35)^(Presion_cilindro!$B$17+1)),0)</f>
        <v>0.95501006176263181</v>
      </c>
      <c r="U484" s="10">
        <f>U483*(Presion_cilindro!O482/Presion_cilindro!O483)^Presion_cilindro!$B$9+10*(Presion_cilindro!$B$9-1)*Presion_cilindro!$B$33*(T484-T483)/((Presion_cilindro!O482+Presion_cilindro!O483)/2)</f>
        <v>9.9552929772513394</v>
      </c>
    </row>
    <row r="485" spans="14:21" x14ac:dyDescent="0.25">
      <c r="N485" s="8">
        <f>-Presion_cilindro!N484</f>
        <v>-60</v>
      </c>
      <c r="O485" s="9">
        <f>IF(Presion_cilindro!N484&gt;$B$12,1-EXP(-Presion_cilindro!$B$16*((Presion_cilindro!N484-$B$12)/Presion_cilindro!$B$35)^(Presion_cilindro!$B$17+1)),0)</f>
        <v>0.99999999992090216</v>
      </c>
      <c r="P485" s="10">
        <f>P484*(Presion_cilindro!O483/Presion_cilindro!O484)^Presion_cilindro!$B$9+10*(Presion_cilindro!$B$9-1)*Presion_cilindro!$B$33*(O485-O484)/((Presion_cilindro!O483+Presion_cilindro!O484)/2)</f>
        <v>8.339675929469605</v>
      </c>
      <c r="Q485" s="9">
        <f>IF(OR($B$9=0,Presion_cilindro!N484&lt;=$B$15),IF(Presion_cilindro!N484&gt;$B$13,1-EXP(-Presion_cilindro!$B$16*((Presion_cilindro!N484-$B$13)/Presion_cilindro!$B$35)^(Presion_cilindro!$B$17+1)),0),$B$8+(1-$B$8)*(1-EXP(-(Presion_cilindro!N484-$B$15)/Presion_cilindro!$B$23)))</f>
        <v>1</v>
      </c>
      <c r="R485" s="10">
        <f>R484*(Presion_cilindro!O483/Presion_cilindro!O484)^Presion_cilindro!$B$9+10*(Presion_cilindro!$B$9-1)*Presion_cilindro!$B$33*(Q485-Q484)/((Presion_cilindro!O483+Presion_cilindro!O484)/2)</f>
        <v>8.6501338381245656</v>
      </c>
      <c r="S485" s="10">
        <f>R485+IF(AND($B$9=1,Presion_cilindro!N484&gt;$B$15),Presion_cilindro!$B$24*2.5*EXP(-(Presion_cilindro!N484-$B$15)/Presion_cilindro!$B$26)*SIN(2*PI()*(Presion_cilindro!N484-$B$15)/Presion_cilindro!$B$39),0)</f>
        <v>8.6532367903354377</v>
      </c>
      <c r="T485" s="9">
        <f>IF(Presion_cilindro!N484&gt;$B$14,1-EXP(-Presion_cilindro!$B$16*((Presion_cilindro!N484-$B$14)/Presion_cilindro!$B$35)^(Presion_cilindro!$B$17+1)),0)</f>
        <v>0.95974806653759526</v>
      </c>
      <c r="U485" s="10">
        <f>U484*(Presion_cilindro!O483/Presion_cilindro!O484)^Presion_cilindro!$B$9+10*(Presion_cilindro!$B$9-1)*Presion_cilindro!$B$33*(T485-T484)/((Presion_cilindro!O483+Presion_cilindro!O484)/2)</f>
        <v>9.8582370720100556</v>
      </c>
    </row>
    <row r="486" spans="14:21" x14ac:dyDescent="0.25">
      <c r="N486" s="8">
        <f>-Presion_cilindro!N485</f>
        <v>-60.5</v>
      </c>
      <c r="O486" s="9">
        <f>IF(Presion_cilindro!N485&gt;$B$12,1-EXP(-Presion_cilindro!$B$16*((Presion_cilindro!N485-$B$12)/Presion_cilindro!$B$35)^(Presion_cilindro!$B$17+1)),0)</f>
        <v>0.99999999994823308</v>
      </c>
      <c r="P486" s="10">
        <f>P485*(Presion_cilindro!O484/Presion_cilindro!O485)^Presion_cilindro!$B$9+10*(Presion_cilindro!$B$9-1)*Presion_cilindro!$B$33*(O486-O485)/((Presion_cilindro!O484+Presion_cilindro!O485)/2)</f>
        <v>8.225152813821353</v>
      </c>
      <c r="Q486" s="9">
        <f>IF(OR($B$9=0,Presion_cilindro!N485&lt;=$B$15),IF(Presion_cilindro!N485&gt;$B$13,1-EXP(-Presion_cilindro!$B$16*((Presion_cilindro!N485-$B$13)/Presion_cilindro!$B$35)^(Presion_cilindro!$B$17+1)),0),$B$8+(1-$B$8)*(1-EXP(-(Presion_cilindro!N485-$B$15)/Presion_cilindro!$B$23)))</f>
        <v>1</v>
      </c>
      <c r="R486" s="10">
        <f>R485*(Presion_cilindro!O484/Presion_cilindro!O485)^Presion_cilindro!$B$9+10*(Presion_cilindro!$B$9-1)*Presion_cilindro!$B$33*(Q486-Q485)/((Presion_cilindro!O484+Presion_cilindro!O485)/2)</f>
        <v>8.5313474142513108</v>
      </c>
      <c r="S486" s="10">
        <f>R486+IF(AND($B$9=1,Presion_cilindro!N485&gt;$B$15),Presion_cilindro!$B$24*2.5*EXP(-(Presion_cilindro!N485-$B$15)/Presion_cilindro!$B$26)*SIN(2*PI()*(Presion_cilindro!N485-$B$15)/Presion_cilindro!$B$39),0)</f>
        <v>8.5229756423378564</v>
      </c>
      <c r="T486" s="9">
        <f>IF(Presion_cilindro!N485&gt;$B$14,1-EXP(-Presion_cilindro!$B$16*((Presion_cilindro!N485-$B$14)/Presion_cilindro!$B$35)^(Presion_cilindro!$B$17+1)),0)</f>
        <v>0.96408171215101068</v>
      </c>
      <c r="U486" s="10">
        <f>U485*(Presion_cilindro!O484/Presion_cilindro!O485)^Presion_cilindro!$B$9+10*(Presion_cilindro!$B$9-1)*Presion_cilindro!$B$33*(T486-T485)/((Presion_cilindro!O484+Presion_cilindro!O485)/2)</f>
        <v>9.7596531863110432</v>
      </c>
    </row>
    <row r="487" spans="14:21" x14ac:dyDescent="0.25">
      <c r="N487" s="8">
        <f>-Presion_cilindro!N486</f>
        <v>-61</v>
      </c>
      <c r="O487" s="9">
        <f>IF(Presion_cilindro!N486&gt;$B$12,1-EXP(-Presion_cilindro!$B$16*((Presion_cilindro!N486-$B$12)/Presion_cilindro!$B$35)^(Presion_cilindro!$B$17+1)),0)</f>
        <v>0.99999999996629318</v>
      </c>
      <c r="P487" s="10">
        <f>P486*(Presion_cilindro!O485/Presion_cilindro!O486)^Presion_cilindro!$B$9+10*(Presion_cilindro!$B$9-1)*Presion_cilindro!$B$33*(O487-O486)/((Presion_cilindro!O485+Presion_cilindro!O486)/2)</f>
        <v>8.1130223086337914</v>
      </c>
      <c r="Q487" s="9">
        <f>IF(OR($B$9=0,Presion_cilindro!N486&lt;=$B$15),IF(Presion_cilindro!N486&gt;$B$13,1-EXP(-Presion_cilindro!$B$16*((Presion_cilindro!N486-$B$13)/Presion_cilindro!$B$35)^(Presion_cilindro!$B$17+1)),0),$B$8+(1-$B$8)*(1-EXP(-(Presion_cilindro!N486-$B$15)/Presion_cilindro!$B$23)))</f>
        <v>1</v>
      </c>
      <c r="R487" s="10">
        <f>R486*(Presion_cilindro!O485/Presion_cilindro!O486)^Presion_cilindro!$B$9+10*(Presion_cilindro!$B$9-1)*Presion_cilindro!$B$33*(Q487-Q486)/((Presion_cilindro!O485+Presion_cilindro!O486)/2)</f>
        <v>8.4150426697148024</v>
      </c>
      <c r="S487" s="10">
        <f>R487+IF(AND($B$9=1,Presion_cilindro!N486&gt;$B$15),Presion_cilindro!$B$24*2.5*EXP(-(Presion_cilindro!N486-$B$15)/Presion_cilindro!$B$26)*SIN(2*PI()*(Presion_cilindro!N486-$B$15)/Presion_cilindro!$B$39),0)</f>
        <v>8.4122350024480284</v>
      </c>
      <c r="T487" s="9">
        <f>IF(Presion_cilindro!N486&gt;$B$14,1-EXP(-Presion_cilindro!$B$16*((Presion_cilindro!N486-$B$14)/Presion_cilindro!$B$35)^(Presion_cilindro!$B$17+1)),0)</f>
        <v>0.96803397080983977</v>
      </c>
      <c r="U487" s="10">
        <f>U486*(Presion_cilindro!O485/Presion_cilindro!O486)^Presion_cilindro!$B$9+10*(Presion_cilindro!$B$9-1)*Presion_cilindro!$B$33*(T487-T486)/((Presion_cilindro!O485+Presion_cilindro!O486)/2)</f>
        <v>9.6598122490278708</v>
      </c>
    </row>
    <row r="488" spans="14:21" x14ac:dyDescent="0.25">
      <c r="N488" s="8">
        <f>-Presion_cilindro!N487</f>
        <v>-61.5</v>
      </c>
      <c r="O488" s="9">
        <f>IF(Presion_cilindro!N487&gt;$B$12,1-EXP(-Presion_cilindro!$B$16*((Presion_cilindro!N487-$B$12)/Presion_cilindro!$B$35)^(Presion_cilindro!$B$17+1)),0)</f>
        <v>0.99999999997816535</v>
      </c>
      <c r="P488" s="10">
        <f>P487*(Presion_cilindro!O486/Presion_cilindro!O487)^Presion_cilindro!$B$9+10*(Presion_cilindro!$B$9-1)*Presion_cilindro!$B$33*(O488-O487)/((Presion_cilindro!O486+Presion_cilindro!O487)/2)</f>
        <v>8.0032276334991739</v>
      </c>
      <c r="Q488" s="9">
        <f>IF(OR($B$9=0,Presion_cilindro!N487&lt;=$B$15),IF(Presion_cilindro!N487&gt;$B$13,1-EXP(-Presion_cilindro!$B$16*((Presion_cilindro!N487-$B$13)/Presion_cilindro!$B$35)^(Presion_cilindro!$B$17+1)),0),$B$8+(1-$B$8)*(1-EXP(-(Presion_cilindro!N487-$B$15)/Presion_cilindro!$B$23)))</f>
        <v>1</v>
      </c>
      <c r="R488" s="10">
        <f>R487*(Presion_cilindro!O486/Presion_cilindro!O487)^Presion_cilindro!$B$9+10*(Presion_cilindro!$B$9-1)*Presion_cilindro!$B$33*(Q488-Q487)/((Presion_cilindro!O486+Presion_cilindro!O487)/2)</f>
        <v>8.3011607103353864</v>
      </c>
      <c r="S488" s="10">
        <f>R488+IF(AND($B$9=1,Presion_cilindro!N487&gt;$B$15),Presion_cilindro!$B$24*2.5*EXP(-(Presion_cilindro!N487-$B$15)/Presion_cilindro!$B$26)*SIN(2*PI()*(Presion_cilindro!N487-$B$15)/Presion_cilindro!$B$39),0)</f>
        <v>8.3087358028179423</v>
      </c>
      <c r="T488" s="9">
        <f>IF(Presion_cilindro!N487&gt;$B$14,1-EXP(-Presion_cilindro!$B$16*((Presion_cilindro!N487-$B$14)/Presion_cilindro!$B$35)^(Presion_cilindro!$B$17+1)),0)</f>
        <v>0.97162782728540253</v>
      </c>
      <c r="U488" s="10">
        <f>U487*(Presion_cilindro!O486/Presion_cilindro!O487)^Presion_cilindro!$B$9+10*(Presion_cilindro!$B$9-1)*Presion_cilindro!$B$33*(T488-T487)/((Presion_cilindro!O486+Presion_cilindro!O487)/2)</f>
        <v>9.5589731110633416</v>
      </c>
    </row>
    <row r="489" spans="14:21" x14ac:dyDescent="0.25">
      <c r="N489" s="8">
        <f>-Presion_cilindro!N488</f>
        <v>-62</v>
      </c>
      <c r="O489" s="9">
        <f>IF(Presion_cilindro!N488&gt;$B$12,1-EXP(-Presion_cilindro!$B$16*((Presion_cilindro!N488-$B$12)/Presion_cilindro!$B$35)^(Presion_cilindro!$B$17+1)),0)</f>
        <v>0.99999999998592903</v>
      </c>
      <c r="P489" s="10">
        <f>P488*(Presion_cilindro!O487/Presion_cilindro!O488)^Presion_cilindro!$B$9+10*(Presion_cilindro!$B$9-1)*Presion_cilindro!$B$33*(O489-O488)/((Presion_cilindro!O487+Presion_cilindro!O488)/2)</f>
        <v>7.8957134066730896</v>
      </c>
      <c r="Q489" s="9">
        <f>IF(OR($B$9=0,Presion_cilindro!N488&lt;=$B$15),IF(Presion_cilindro!N488&gt;$B$13,1-EXP(-Presion_cilindro!$B$16*((Presion_cilindro!N488-$B$13)/Presion_cilindro!$B$35)^(Presion_cilindro!$B$17+1)),0),$B$8+(1-$B$8)*(1-EXP(-(Presion_cilindro!N488-$B$15)/Presion_cilindro!$B$23)))</f>
        <v>1</v>
      </c>
      <c r="R489" s="10">
        <f>R488*(Presion_cilindro!O487/Presion_cilindro!O488)^Presion_cilindro!$B$9+10*(Presion_cilindro!$B$9-1)*Presion_cilindro!$B$33*(Q489-Q488)/((Presion_cilindro!O487+Presion_cilindro!O488)/2)</f>
        <v>8.1896440926740812</v>
      </c>
      <c r="S489" s="10">
        <f>R489+IF(AND($B$9=1,Presion_cilindro!N488&gt;$B$15),Presion_cilindro!$B$24*2.5*EXP(-(Presion_cilindro!N488-$B$15)/Presion_cilindro!$B$26)*SIN(2*PI()*(Presion_cilindro!N488-$B$15)/Presion_cilindro!$B$39),0)</f>
        <v>8.1921845750744531</v>
      </c>
      <c r="T489" s="9">
        <f>IF(Presion_cilindro!N488&gt;$B$14,1-EXP(-Presion_cilindro!$B$16*((Presion_cilindro!N488-$B$14)/Presion_cilindro!$B$35)^(Presion_cilindro!$B$17+1)),0)</f>
        <v>0.97488610988545654</v>
      </c>
      <c r="U489" s="10">
        <f>U488*(Presion_cilindro!O487/Presion_cilindro!O488)^Presion_cilindro!$B$9+10*(Presion_cilindro!$B$9-1)*Presion_cilindro!$B$33*(T489-T488)/((Presion_cilindro!O487+Presion_cilindro!O488)/2)</f>
        <v>9.457381696547758</v>
      </c>
    </row>
    <row r="490" spans="14:21" x14ac:dyDescent="0.25">
      <c r="N490" s="8">
        <f>-Presion_cilindro!N489</f>
        <v>-62.5</v>
      </c>
      <c r="O490" s="9">
        <f>IF(Presion_cilindro!N489&gt;$B$12,1-EXP(-Presion_cilindro!$B$16*((Presion_cilindro!N489-$B$12)/Presion_cilindro!$B$35)^(Presion_cilindro!$B$17+1)),0)</f>
        <v>0.99999999999097933</v>
      </c>
      <c r="P490" s="10">
        <f>P489*(Presion_cilindro!O488/Presion_cilindro!O489)^Presion_cilindro!$B$9+10*(Presion_cilindro!$B$9-1)*Presion_cilindro!$B$33*(O490-O489)/((Presion_cilindro!O488+Presion_cilindro!O489)/2)</f>
        <v>7.7904256162156118</v>
      </c>
      <c r="Q490" s="9">
        <f>IF(OR($B$9=0,Presion_cilindro!N489&lt;=$B$15),IF(Presion_cilindro!N489&gt;$B$13,1-EXP(-Presion_cilindro!$B$16*((Presion_cilindro!N489-$B$13)/Presion_cilindro!$B$35)^(Presion_cilindro!$B$17+1)),0),$B$8+(1-$B$8)*(1-EXP(-(Presion_cilindro!N489-$B$15)/Presion_cilindro!$B$23)))</f>
        <v>1</v>
      </c>
      <c r="R490" s="10">
        <f>R489*(Presion_cilindro!O488/Presion_cilindro!O489)^Presion_cilindro!$B$9+10*(Presion_cilindro!$B$9-1)*Presion_cilindro!$B$33*(Q490-Q489)/((Presion_cilindro!O488+Presion_cilindro!O489)/2)</f>
        <v>8.0804367940962116</v>
      </c>
      <c r="S490" s="10">
        <f>R490+IF(AND($B$9=1,Presion_cilindro!N489&gt;$B$15),Presion_cilindro!$B$24*2.5*EXP(-(Presion_cilindro!N489-$B$15)/Presion_cilindro!$B$26)*SIN(2*PI()*(Presion_cilindro!N489-$B$15)/Presion_cilindro!$B$39),0)</f>
        <v>8.0735825669729131</v>
      </c>
      <c r="T490" s="9">
        <f>IF(Presion_cilindro!N489&gt;$B$14,1-EXP(-Presion_cilindro!$B$16*((Presion_cilindro!N489-$B$14)/Presion_cilindro!$B$35)^(Presion_cilindro!$B$17+1)),0)</f>
        <v>0.97783133557790991</v>
      </c>
      <c r="U490" s="10">
        <f>U489*(Presion_cilindro!O488/Presion_cilindro!O489)^Presion_cilindro!$B$9+10*(Presion_cilindro!$B$9-1)*Presion_cilindro!$B$33*(T490-T489)/((Presion_cilindro!O488+Presion_cilindro!O489)/2)</f>
        <v>9.3552703358165807</v>
      </c>
    </row>
    <row r="491" spans="14:21" x14ac:dyDescent="0.25">
      <c r="N491" s="8">
        <f>-Presion_cilindro!N490</f>
        <v>-63</v>
      </c>
      <c r="O491" s="9">
        <f>IF(Presion_cilindro!N490&gt;$B$12,1-EXP(-Presion_cilindro!$B$16*((Presion_cilindro!N490-$B$12)/Presion_cilindro!$B$35)^(Presion_cilindro!$B$17+1)),0)</f>
        <v>0.99999999999424727</v>
      </c>
      <c r="P491" s="10">
        <f>P490*(Presion_cilindro!O489/Presion_cilindro!O490)^Presion_cilindro!$B$9+10*(Presion_cilindro!$B$9-1)*Presion_cilindro!$B$33*(O491-O490)/((Presion_cilindro!O489+Presion_cilindro!O490)/2)</f>
        <v>7.6873115911046321</v>
      </c>
      <c r="Q491" s="9">
        <f>IF(OR($B$9=0,Presion_cilindro!N490&lt;=$B$15),IF(Presion_cilindro!N490&gt;$B$13,1-EXP(-Presion_cilindro!$B$16*((Presion_cilindro!N490-$B$13)/Presion_cilindro!$B$35)^(Presion_cilindro!$B$17+1)),0),$B$8+(1-$B$8)*(1-EXP(-(Presion_cilindro!N490-$B$15)/Presion_cilindro!$B$23)))</f>
        <v>1</v>
      </c>
      <c r="R491" s="10">
        <f>R490*(Presion_cilindro!O489/Presion_cilindro!O490)^Presion_cilindro!$B$9+10*(Presion_cilindro!$B$9-1)*Presion_cilindro!$B$33*(Q491-Q490)/((Presion_cilindro!O489+Presion_cilindro!O490)/2)</f>
        <v>7.9734841828071881</v>
      </c>
      <c r="S491" s="10">
        <f>R491+IF(AND($B$9=1,Presion_cilindro!N490&gt;$B$15),Presion_cilindro!$B$24*2.5*EXP(-(Presion_cilindro!N490-$B$15)/Presion_cilindro!$B$26)*SIN(2*PI()*(Presion_cilindro!N490-$B$15)/Presion_cilindro!$B$39),0)</f>
        <v>7.9711854592714699</v>
      </c>
      <c r="T491" s="9">
        <f>IF(Presion_cilindro!N490&gt;$B$14,1-EXP(-Presion_cilindro!$B$16*((Presion_cilindro!N490-$B$14)/Presion_cilindro!$B$35)^(Presion_cilindro!$B$17+1)),0)</f>
        <v>0.98048557014280036</v>
      </c>
      <c r="U491" s="10">
        <f>U490*(Presion_cilindro!O489/Presion_cilindro!O490)^Presion_cilindro!$B$9+10*(Presion_cilindro!$B$9-1)*Presion_cilindro!$B$33*(T491-T490)/((Presion_cilindro!O489+Presion_cilindro!O490)/2)</f>
        <v>9.2528572739265087</v>
      </c>
    </row>
    <row r="492" spans="14:21" x14ac:dyDescent="0.25">
      <c r="N492" s="8">
        <f>-Presion_cilindro!N491</f>
        <v>-63.5</v>
      </c>
      <c r="O492" s="9">
        <f>IF(Presion_cilindro!N491&gt;$B$12,1-EXP(-Presion_cilindro!$B$16*((Presion_cilindro!N491-$B$12)/Presion_cilindro!$B$35)^(Presion_cilindro!$B$17+1)),0)</f>
        <v>0.99999999999635059</v>
      </c>
      <c r="P492" s="10">
        <f>P491*(Presion_cilindro!O490/Presion_cilindro!O491)^Presion_cilindro!$B$9+10*(Presion_cilindro!$B$9-1)*Presion_cilindro!$B$33*(O492-O491)/((Presion_cilindro!O490+Presion_cilindro!O491)/2)</f>
        <v>7.5863199723881154</v>
      </c>
      <c r="Q492" s="9">
        <f>IF(OR($B$9=0,Presion_cilindro!N491&lt;=$B$15),IF(Presion_cilindro!N491&gt;$B$13,1-EXP(-Presion_cilindro!$B$16*((Presion_cilindro!N491-$B$13)/Presion_cilindro!$B$35)^(Presion_cilindro!$B$17+1)),0),$B$8+(1-$B$8)*(1-EXP(-(Presion_cilindro!N491-$B$15)/Presion_cilindro!$B$23)))</f>
        <v>1</v>
      </c>
      <c r="R492" s="10">
        <f>R491*(Presion_cilindro!O490/Presion_cilindro!O491)^Presion_cilindro!$B$9+10*(Presion_cilindro!$B$9-1)*Presion_cilindro!$B$33*(Q492-Q491)/((Presion_cilindro!O490+Presion_cilindro!O491)/2)</f>
        <v>7.868732987929385</v>
      </c>
      <c r="S492" s="10">
        <f>R492+IF(AND($B$9=1,Presion_cilindro!N491&gt;$B$15),Presion_cilindro!$B$24*2.5*EXP(-(Presion_cilindro!N491-$B$15)/Presion_cilindro!$B$26)*SIN(2*PI()*(Presion_cilindro!N491-$B$15)/Presion_cilindro!$B$39),0)</f>
        <v>7.8749349491022631</v>
      </c>
      <c r="T492" s="9">
        <f>IF(Presion_cilindro!N491&gt;$B$14,1-EXP(-Presion_cilindro!$B$16*((Presion_cilindro!N491-$B$14)/Presion_cilindro!$B$35)^(Presion_cilindro!$B$17+1)),0)</f>
        <v>0.98287030394983177</v>
      </c>
      <c r="U492" s="10">
        <f>U491*(Presion_cilindro!O490/Presion_cilindro!O491)^Presion_cilindro!$B$9+10*(Presion_cilindro!$B$9-1)*Presion_cilindro!$B$33*(T492-T491)/((Presion_cilindro!O490+Presion_cilindro!O491)/2)</f>
        <v>9.1503463465574928</v>
      </c>
    </row>
    <row r="493" spans="14:21" x14ac:dyDescent="0.25">
      <c r="N493" s="8">
        <f>-Presion_cilindro!N492</f>
        <v>-64</v>
      </c>
      <c r="O493" s="9">
        <f>IF(Presion_cilindro!N492&gt;$B$12,1-EXP(-Presion_cilindro!$B$16*((Presion_cilindro!N492-$B$12)/Presion_cilindro!$B$35)^(Presion_cilindro!$B$17+1)),0)</f>
        <v>0.99999999999769718</v>
      </c>
      <c r="P493" s="10">
        <f>P492*(Presion_cilindro!O491/Presion_cilindro!O492)^Presion_cilindro!$B$9+10*(Presion_cilindro!$B$9-1)*Presion_cilindro!$B$33*(O493-O492)/((Presion_cilindro!O491+Presion_cilindro!O492)/2)</f>
        <v>7.487400684436313</v>
      </c>
      <c r="Q493" s="9">
        <f>IF(OR($B$9=0,Presion_cilindro!N492&lt;=$B$15),IF(Presion_cilindro!N492&gt;$B$13,1-EXP(-Presion_cilindro!$B$16*((Presion_cilindro!N492-$B$13)/Presion_cilindro!$B$35)^(Presion_cilindro!$B$17+1)),0),$B$8+(1-$B$8)*(1-EXP(-(Presion_cilindro!N492-$B$15)/Presion_cilindro!$B$23)))</f>
        <v>1</v>
      </c>
      <c r="R493" s="10">
        <f>R492*(Presion_cilindro!O491/Presion_cilindro!O492)^Presion_cilindro!$B$9+10*(Presion_cilindro!$B$9-1)*Presion_cilindro!$B$33*(Q493-Q492)/((Presion_cilindro!O491+Presion_cilindro!O492)/2)</f>
        <v>7.7661312696831653</v>
      </c>
      <c r="S493" s="10">
        <f>R493+IF(AND($B$9=1,Presion_cilindro!N492&gt;$B$15),Presion_cilindro!$B$24*2.5*EXP(-(Presion_cilindro!N492-$B$15)/Presion_cilindro!$B$26)*SIN(2*PI()*(Presion_cilindro!N492-$B$15)/Presion_cilindro!$B$39),0)</f>
        <v>7.7682112407520032</v>
      </c>
      <c r="T493" s="9">
        <f>IF(Presion_cilindro!N492&gt;$B$14,1-EXP(-Presion_cilindro!$B$16*((Presion_cilindro!N492-$B$14)/Presion_cilindro!$B$35)^(Presion_cilindro!$B$17+1)),0)</f>
        <v>0.98500634368684858</v>
      </c>
      <c r="U493" s="10">
        <f>U492*(Presion_cilindro!O491/Presion_cilindro!O492)^Presion_cilindro!$B$9+10*(Presion_cilindro!$B$9-1)*Presion_cilindro!$B$33*(T493-T492)/((Presion_cilindro!O491+Presion_cilindro!O492)/2)</f>
        <v>9.047926813497142</v>
      </c>
    </row>
    <row r="494" spans="14:21" x14ac:dyDescent="0.25">
      <c r="N494" s="8">
        <f>-Presion_cilindro!N493</f>
        <v>-64.5</v>
      </c>
      <c r="O494" s="9">
        <f>IF(Presion_cilindro!N493&gt;$B$12,1-EXP(-Presion_cilindro!$B$16*((Presion_cilindro!N493-$B$12)/Presion_cilindro!$B$35)^(Presion_cilindro!$B$17+1)),0)</f>
        <v>0.9999999999985546</v>
      </c>
      <c r="P494" s="10">
        <f>P493*(Presion_cilindro!O492/Presion_cilindro!O493)^Presion_cilindro!$B$9+10*(Presion_cilindro!$B$9-1)*Presion_cilindro!$B$33*(O494-O493)/((Presion_cilindro!O492+Presion_cilindro!O493)/2)</f>
        <v>7.3905049063476342</v>
      </c>
      <c r="Q494" s="9">
        <f>IF(OR($B$9=0,Presion_cilindro!N493&lt;=$B$15),IF(Presion_cilindro!N493&gt;$B$13,1-EXP(-Presion_cilindro!$B$16*((Presion_cilindro!N493-$B$13)/Presion_cilindro!$B$35)^(Presion_cilindro!$B$17+1)),0),$B$8+(1-$B$8)*(1-EXP(-(Presion_cilindro!N493-$B$15)/Presion_cilindro!$B$23)))</f>
        <v>1</v>
      </c>
      <c r="R494" s="10">
        <f>R493*(Presion_cilindro!O492/Presion_cilindro!O493)^Presion_cilindro!$B$9+10*(Presion_cilindro!$B$9-1)*Presion_cilindro!$B$33*(Q494-Q493)/((Presion_cilindro!O492+Presion_cilindro!O493)/2)</f>
        <v>7.6656283897276278</v>
      </c>
      <c r="S494" s="10">
        <f>R494+IF(AND($B$9=1,Presion_cilindro!N493&gt;$B$15),Presion_cilindro!$B$24*2.5*EXP(-(Presion_cilindro!N493-$B$15)/Presion_cilindro!$B$26)*SIN(2*PI()*(Presion_cilindro!N493-$B$15)/Presion_cilindro!$B$39),0)</f>
        <v>7.6600166231932016</v>
      </c>
      <c r="T494" s="9">
        <f>IF(Presion_cilindro!N493&gt;$B$14,1-EXP(-Presion_cilindro!$B$16*((Presion_cilindro!N493-$B$14)/Presion_cilindro!$B$35)^(Presion_cilindro!$B$17+1)),0)</f>
        <v>0.98691372010512068</v>
      </c>
      <c r="U494" s="10">
        <f>U493*(Presion_cilindro!O492/Presion_cilindro!O493)^Presion_cilindro!$B$9+10*(Presion_cilindro!$B$9-1)*Presion_cilindro!$B$33*(T494-T493)/((Presion_cilindro!O492+Presion_cilindro!O493)/2)</f>
        <v>8.9457733385224554</v>
      </c>
    </row>
    <row r="495" spans="14:21" x14ac:dyDescent="0.25">
      <c r="N495" s="8">
        <f>-Presion_cilindro!N494</f>
        <v>-65</v>
      </c>
      <c r="O495" s="9">
        <f>IF(Presion_cilindro!N494&gt;$B$12,1-EXP(-Presion_cilindro!$B$16*((Presion_cilindro!N494-$B$12)/Presion_cilindro!$B$35)^(Presion_cilindro!$B$17+1)),0)</f>
        <v>0.99999999999909761</v>
      </c>
      <c r="P495" s="10">
        <f>P494*(Presion_cilindro!O493/Presion_cilindro!O494)^Presion_cilindro!$B$9+10*(Presion_cilindro!$B$9-1)*Presion_cilindro!$B$33*(O495-O494)/((Presion_cilindro!O493+Presion_cilindro!O494)/2)</f>
        <v>7.2955850435568239</v>
      </c>
      <c r="Q495" s="9">
        <f>IF(OR($B$9=0,Presion_cilindro!N494&lt;=$B$15),IF(Presion_cilindro!N494&gt;$B$13,1-EXP(-Presion_cilindro!$B$16*((Presion_cilindro!N494-$B$13)/Presion_cilindro!$B$35)^(Presion_cilindro!$B$17+1)),0),$B$8+(1-$B$8)*(1-EXP(-(Presion_cilindro!N494-$B$15)/Presion_cilindro!$B$23)))</f>
        <v>1</v>
      </c>
      <c r="R495" s="10">
        <f>R494*(Presion_cilindro!O493/Presion_cilindro!O494)^Presion_cilindro!$B$9+10*(Presion_cilindro!$B$9-1)*Presion_cilindro!$B$33*(Q495-Q494)/((Presion_cilindro!O493+Presion_cilindro!O494)/2)</f>
        <v>7.5671749817114016</v>
      </c>
      <c r="S495" s="10">
        <f>R495+IF(AND($B$9=1,Presion_cilindro!N494&gt;$B$15),Presion_cilindro!$B$24*2.5*EXP(-(Presion_cilindro!N494-$B$15)/Presion_cilindro!$B$26)*SIN(2*PI()*(Presion_cilindro!N494-$B$15)/Presion_cilindro!$B$39),0)</f>
        <v>7.565292946059885</v>
      </c>
      <c r="T495" s="9">
        <f>IF(Presion_cilindro!N494&gt;$B$14,1-EXP(-Presion_cilindro!$B$16*((Presion_cilindro!N494-$B$14)/Presion_cilindro!$B$35)^(Presion_cilindro!$B$17+1)),0)</f>
        <v>0.98861161160461963</v>
      </c>
      <c r="U495" s="10">
        <f>U494*(Presion_cilindro!O493/Presion_cilindro!O494)^Presion_cilindro!$B$9+10*(Presion_cilindro!$B$9-1)*Presion_cilindro!$B$33*(T495-T494)/((Presion_cilindro!O493+Presion_cilindro!O494)/2)</f>
        <v>8.8440461033936426</v>
      </c>
    </row>
    <row r="496" spans="14:21" x14ac:dyDescent="0.25">
      <c r="N496" s="8">
        <f>-Presion_cilindro!N495</f>
        <v>-65.5</v>
      </c>
      <c r="O496" s="9">
        <f>IF(Presion_cilindro!N495&gt;$B$12,1-EXP(-Presion_cilindro!$B$16*((Presion_cilindro!N495-$B$12)/Presion_cilindro!$B$35)^(Presion_cilindro!$B$17+1)),0)</f>
        <v>0.99999999999943967</v>
      </c>
      <c r="P496" s="10">
        <f>P495*(Presion_cilindro!O494/Presion_cilindro!O495)^Presion_cilindro!$B$9+10*(Presion_cilindro!$B$9-1)*Presion_cilindro!$B$33*(O496-O495)/((Presion_cilindro!O494+Presion_cilindro!O495)/2)</f>
        <v>7.2025946996883272</v>
      </c>
      <c r="Q496" s="9">
        <f>IF(OR($B$9=0,Presion_cilindro!N495&lt;=$B$15),IF(Presion_cilindro!N495&gt;$B$13,1-EXP(-Presion_cilindro!$B$16*((Presion_cilindro!N495-$B$13)/Presion_cilindro!$B$35)^(Presion_cilindro!$B$17+1)),0),$B$8+(1-$B$8)*(1-EXP(-(Presion_cilindro!N495-$B$15)/Presion_cilindro!$B$23)))</f>
        <v>1</v>
      </c>
      <c r="R496" s="10">
        <f>R495*(Presion_cilindro!O494/Presion_cilindro!O495)^Presion_cilindro!$B$9+10*(Presion_cilindro!$B$9-1)*Presion_cilindro!$B$33*(Q496-Q495)/((Presion_cilindro!O494+Presion_cilindro!O495)/2)</f>
        <v>7.4707229220779166</v>
      </c>
      <c r="S496" s="10">
        <f>R496+IF(AND($B$9=1,Presion_cilindro!N495&gt;$B$15),Presion_cilindro!$B$24*2.5*EXP(-(Presion_cilindro!N495-$B$15)/Presion_cilindro!$B$26)*SIN(2*PI()*(Presion_cilindro!N495-$B$15)/Presion_cilindro!$B$39),0)</f>
        <v>7.4758006584195469</v>
      </c>
      <c r="T496" s="9">
        <f>IF(Presion_cilindro!N495&gt;$B$14,1-EXP(-Presion_cilindro!$B$16*((Presion_cilindro!N495-$B$14)/Presion_cilindro!$B$35)^(Presion_cilindro!$B$17+1)),0)</f>
        <v>0.99011828326036899</v>
      </c>
      <c r="U496" s="10">
        <f>U495*(Presion_cilindro!O494/Presion_cilindro!O495)^Presion_cilindro!$B$9+10*(Presion_cilindro!$B$9-1)*Presion_cilindro!$B$33*(T496-T495)/((Presion_cilindro!O494+Presion_cilindro!O495)/2)</f>
        <v>8.7428910428541631</v>
      </c>
    </row>
    <row r="497" spans="14:21" x14ac:dyDescent="0.25">
      <c r="N497" s="8">
        <f>-Presion_cilindro!N496</f>
        <v>-66</v>
      </c>
      <c r="O497" s="9">
        <f>IF(Presion_cilindro!N496&gt;$B$12,1-EXP(-Presion_cilindro!$B$16*((Presion_cilindro!N496-$B$12)/Presion_cilindro!$B$35)^(Presion_cilindro!$B$17+1)),0)</f>
        <v>0.99999999999965394</v>
      </c>
      <c r="P497" s="10">
        <f>P496*(Presion_cilindro!O495/Presion_cilindro!O496)^Presion_cilindro!$B$9+10*(Presion_cilindro!$B$9-1)*Presion_cilindro!$B$33*(O497-O496)/((Presion_cilindro!O495+Presion_cilindro!O496)/2)</f>
        <v>7.1114886486928386</v>
      </c>
      <c r="Q497" s="9">
        <f>IF(OR($B$9=0,Presion_cilindro!N496&lt;=$B$15),IF(Presion_cilindro!N496&gt;$B$13,1-EXP(-Presion_cilindro!$B$16*((Presion_cilindro!N496-$B$13)/Presion_cilindro!$B$35)^(Presion_cilindro!$B$17+1)),0),$B$8+(1-$B$8)*(1-EXP(-(Presion_cilindro!N496-$B$15)/Presion_cilindro!$B$23)))</f>
        <v>1</v>
      </c>
      <c r="R497" s="10">
        <f>R496*(Presion_cilindro!O495/Presion_cilindro!O496)^Presion_cilindro!$B$9+10*(Presion_cilindro!$B$9-1)*Presion_cilindro!$B$33*(Q497-Q496)/((Presion_cilindro!O495+Presion_cilindro!O496)/2)</f>
        <v>7.376225301164494</v>
      </c>
      <c r="S497" s="10">
        <f>R497+IF(AND($B$9=1,Presion_cilindro!N496&gt;$B$15),Presion_cilindro!$B$24*2.5*EXP(-(Presion_cilindro!N496-$B$15)/Presion_cilindro!$B$26)*SIN(2*PI()*(Presion_cilindro!N496-$B$15)/Presion_cilindro!$B$39),0)</f>
        <v>7.3779282374440642</v>
      </c>
      <c r="T497" s="9">
        <f>IF(Presion_cilindro!N496&gt;$B$14,1-EXP(-Presion_cilindro!$B$16*((Presion_cilindro!N496-$B$14)/Presion_cilindro!$B$35)^(Presion_cilindro!$B$17+1)),0)</f>
        <v>0.99145104069249568</v>
      </c>
      <c r="U497" s="10">
        <f>U496*(Presion_cilindro!O495/Presion_cilindro!O496)^Presion_cilindro!$B$9+10*(Presion_cilindro!$B$9-1)*Presion_cilindro!$B$33*(T497-T496)/((Presion_cilindro!O495+Presion_cilindro!O496)/2)</f>
        <v>8.6424401869864589</v>
      </c>
    </row>
    <row r="498" spans="14:21" x14ac:dyDescent="0.25">
      <c r="N498" s="8">
        <f>-Presion_cilindro!N497</f>
        <v>-66.5</v>
      </c>
      <c r="O498" s="9">
        <f>IF(Presion_cilindro!N497&gt;$B$12,1-EXP(-Presion_cilindro!$B$16*((Presion_cilindro!N497-$B$12)/Presion_cilindro!$B$35)^(Presion_cilindro!$B$17+1)),0)</f>
        <v>0.9999999999997875</v>
      </c>
      <c r="P498" s="10">
        <f>P497*(Presion_cilindro!O496/Presion_cilindro!O497)^Presion_cilindro!$B$9+10*(Presion_cilindro!$B$9-1)*Presion_cilindro!$B$33*(O498-O497)/((Presion_cilindro!O496+Presion_cilindro!O497)/2)</f>
        <v>7.0222228073008708</v>
      </c>
      <c r="Q498" s="9">
        <f>IF(OR($B$9=0,Presion_cilindro!N497&lt;=$B$15),IF(Presion_cilindro!N497&gt;$B$13,1-EXP(-Presion_cilindro!$B$16*((Presion_cilindro!N497-$B$13)/Presion_cilindro!$B$35)^(Presion_cilindro!$B$17+1)),0),$B$8+(1-$B$8)*(1-EXP(-(Presion_cilindro!N497-$B$15)/Presion_cilindro!$B$23)))</f>
        <v>1</v>
      </c>
      <c r="R498" s="10">
        <f>R497*(Presion_cilindro!O496/Presion_cilindro!O497)^Presion_cilindro!$B$9+10*(Presion_cilindro!$B$9-1)*Presion_cilindro!$B$33*(Q498-Q497)/((Presion_cilindro!O496+Presion_cilindro!O497)/2)</f>
        <v>7.2836363946303297</v>
      </c>
      <c r="S498" s="10">
        <f>R498+IF(AND($B$9=1,Presion_cilindro!N497&gt;$B$15),Presion_cilindro!$B$24*2.5*EXP(-(Presion_cilindro!N497-$B$15)/Presion_cilindro!$B$26)*SIN(2*PI()*(Presion_cilindro!N497-$B$15)/Presion_cilindro!$B$39),0)</f>
        <v>7.2790418687895011</v>
      </c>
      <c r="T498" s="9">
        <f>IF(Presion_cilindro!N497&gt;$B$14,1-EXP(-Presion_cilindro!$B$16*((Presion_cilindro!N497-$B$14)/Presion_cilindro!$B$35)^(Presion_cilindro!$B$17+1)),0)</f>
        <v>0.99262619801014651</v>
      </c>
      <c r="U498" s="10">
        <f>U497*(Presion_cilindro!O496/Presion_cilindro!O497)^Presion_cilindro!$B$9+10*(Presion_cilindro!$B$9-1)*Presion_cilindro!$B$33*(T498-T497)/((Presion_cilindro!O496+Presion_cilindro!O497)/2)</f>
        <v>8.5428120969942292</v>
      </c>
    </row>
    <row r="499" spans="14:21" x14ac:dyDescent="0.25">
      <c r="N499" s="8">
        <f>-Presion_cilindro!N498</f>
        <v>-67</v>
      </c>
      <c r="O499" s="9">
        <f>IF(Presion_cilindro!N498&gt;$B$12,1-EXP(-Presion_cilindro!$B$16*((Presion_cilindro!N498-$B$12)/Presion_cilindro!$B$35)^(Presion_cilindro!$B$17+1)),0)</f>
        <v>0.99999999999987021</v>
      </c>
      <c r="P499" s="10">
        <f>P498*(Presion_cilindro!O497/Presion_cilindro!O498)^Presion_cilindro!$B$9+10*(Presion_cilindro!$B$9-1)*Presion_cilindro!$B$33*(O499-O498)/((Presion_cilindro!O497+Presion_cilindro!O498)/2)</f>
        <v>6.9347542078226061</v>
      </c>
      <c r="Q499" s="9">
        <f>IF(OR($B$9=0,Presion_cilindro!N498&lt;=$B$15),IF(Presion_cilindro!N498&gt;$B$13,1-EXP(-Presion_cilindro!$B$16*((Presion_cilindro!N498-$B$13)/Presion_cilindro!$B$35)^(Presion_cilindro!$B$17+1)),0),$B$8+(1-$B$8)*(1-EXP(-(Presion_cilindro!N498-$B$15)/Presion_cilindro!$B$23)))</f>
        <v>1</v>
      </c>
      <c r="R499" s="10">
        <f>R498*(Presion_cilindro!O497/Presion_cilindro!O498)^Presion_cilindro!$B$9+10*(Presion_cilindro!$B$9-1)*Presion_cilindro!$B$33*(Q499-Q498)/((Presion_cilindro!O497+Presion_cilindro!O498)/2)</f>
        <v>7.1929116352436919</v>
      </c>
      <c r="S499" s="10">
        <f>R499+IF(AND($B$9=1,Presion_cilindro!N498&gt;$B$15),Presion_cilindro!$B$24*2.5*EXP(-(Presion_cilindro!N498-$B$15)/Presion_cilindro!$B$26)*SIN(2*PI()*(Presion_cilindro!N498-$B$15)/Presion_cilindro!$B$39),0)</f>
        <v>7.1913707547774059</v>
      </c>
      <c r="T499" s="9">
        <f>IF(Presion_cilindro!N498&gt;$B$14,1-EXP(-Presion_cilindro!$B$16*((Presion_cilindro!N498-$B$14)/Presion_cilindro!$B$35)^(Presion_cilindro!$B$17+1)),0)</f>
        <v>0.99365905891449324</v>
      </c>
      <c r="U499" s="10">
        <f>U498*(Presion_cilindro!O497/Presion_cilindro!O498)^Presion_cilindro!$B$9+10*(Presion_cilindro!$B$9-1)*Presion_cilindro!$B$33*(T499-T498)/((Presion_cilindro!O497+Presion_cilindro!O498)/2)</f>
        <v>8.4441123804521503</v>
      </c>
    </row>
    <row r="500" spans="14:21" x14ac:dyDescent="0.25">
      <c r="N500" s="8">
        <f>-Presion_cilindro!N499</f>
        <v>-67.5</v>
      </c>
      <c r="O500" s="9">
        <f>IF(Presion_cilindro!N499&gt;$B$12,1-EXP(-Presion_cilindro!$B$16*((Presion_cilindro!N499-$B$12)/Presion_cilindro!$B$35)^(Presion_cilindro!$B$17+1)),0)</f>
        <v>0.99999999999992117</v>
      </c>
      <c r="P500" s="10">
        <f>P499*(Presion_cilindro!O498/Presion_cilindro!O499)^Presion_cilindro!$B$9+10*(Presion_cilindro!$B$9-1)*Presion_cilindro!$B$33*(O500-O499)/((Presion_cilindro!O498+Presion_cilindro!O499)/2)</f>
        <v>6.8490409713199307</v>
      </c>
      <c r="Q500" s="9">
        <f>IF(OR($B$9=0,Presion_cilindro!N499&lt;=$B$15),IF(Presion_cilindro!N499&gt;$B$13,1-EXP(-Presion_cilindro!$B$16*((Presion_cilindro!N499-$B$13)/Presion_cilindro!$B$35)^(Presion_cilindro!$B$17+1)),0),$B$8+(1-$B$8)*(1-EXP(-(Presion_cilindro!N499-$B$15)/Presion_cilindro!$B$23)))</f>
        <v>1</v>
      </c>
      <c r="R500" s="10">
        <f>R499*(Presion_cilindro!O498/Presion_cilindro!O499)^Presion_cilindro!$B$9+10*(Presion_cilindro!$B$9-1)*Presion_cilindro!$B$33*(Q500-Q499)/((Presion_cilindro!O498+Presion_cilindro!O499)/2)</f>
        <v>7.1040075850551885</v>
      </c>
      <c r="S500" s="10">
        <f>R500+IF(AND($B$9=1,Presion_cilindro!N499&gt;$B$15),Presion_cilindro!$B$24*2.5*EXP(-(Presion_cilindro!N499-$B$15)/Presion_cilindro!$B$26)*SIN(2*PI()*(Presion_cilindro!N499-$B$15)/Presion_cilindro!$B$39),0)</f>
        <v>7.1081648839541032</v>
      </c>
      <c r="T500" s="9">
        <f>IF(Presion_cilindro!N499&gt;$B$14,1-EXP(-Presion_cilindro!$B$16*((Presion_cilindro!N499-$B$14)/Presion_cilindro!$B$35)^(Presion_cilindro!$B$17+1)),0)</f>
        <v>0.99456390992949217</v>
      </c>
      <c r="U500" s="10">
        <f>U499*(Presion_cilindro!O498/Presion_cilindro!O499)^Presion_cilindro!$B$9+10*(Presion_cilindro!$B$9-1)*Presion_cilindro!$B$33*(T500-T499)/((Presion_cilindro!O498+Presion_cilindro!O499)/2)</f>
        <v>8.3464342722656006</v>
      </c>
    </row>
    <row r="501" spans="14:21" x14ac:dyDescent="0.25">
      <c r="N501" s="8">
        <f>-Presion_cilindro!N500</f>
        <v>-68</v>
      </c>
      <c r="O501" s="9">
        <f>IF(Presion_cilindro!N500&gt;$B$12,1-EXP(-Presion_cilindro!$B$16*((Presion_cilindro!N500-$B$12)/Presion_cilindro!$B$35)^(Presion_cilindro!$B$17+1)),0)</f>
        <v>0.99999999999995237</v>
      </c>
      <c r="P501" s="10">
        <f>P500*(Presion_cilindro!O499/Presion_cilindro!O500)^Presion_cilindro!$B$9+10*(Presion_cilindro!$B$9-1)*Presion_cilindro!$B$33*(O501-O500)/((Presion_cilindro!O499+Presion_cilindro!O500)/2)</f>
        <v>6.7650422811726729</v>
      </c>
      <c r="Q501" s="9">
        <f>IF(OR($B$9=0,Presion_cilindro!N500&lt;=$B$15),IF(Presion_cilindro!N500&gt;$B$13,1-EXP(-Presion_cilindro!$B$16*((Presion_cilindro!N500-$B$13)/Presion_cilindro!$B$35)^(Presion_cilindro!$B$17+1)),0),$B$8+(1-$B$8)*(1-EXP(-(Presion_cilindro!N500-$B$15)/Presion_cilindro!$B$23)))</f>
        <v>1</v>
      </c>
      <c r="R501" s="10">
        <f>R500*(Presion_cilindro!O499/Presion_cilindro!O500)^Presion_cilindro!$B$9+10*(Presion_cilindro!$B$9-1)*Presion_cilindro!$B$33*(Q501-Q500)/((Presion_cilindro!O499+Presion_cilindro!O500)/2)</f>
        <v>7.0168819079799292</v>
      </c>
      <c r="S501" s="10">
        <f>R501+IF(AND($B$9=1,Presion_cilindro!N500&gt;$B$15),Presion_cilindro!$B$24*2.5*EXP(-(Presion_cilindro!N500-$B$15)/Presion_cilindro!$B$26)*SIN(2*PI()*(Presion_cilindro!N500-$B$15)/Presion_cilindro!$B$39),0)</f>
        <v>7.0182761542825451</v>
      </c>
      <c r="T501" s="9">
        <f>IF(Presion_cilindro!N500&gt;$B$14,1-EXP(-Presion_cilindro!$B$16*((Presion_cilindro!N500-$B$14)/Presion_cilindro!$B$35)^(Presion_cilindro!$B$17+1)),0)</f>
        <v>0.99535402464095357</v>
      </c>
      <c r="U501" s="10">
        <f>U500*(Presion_cilindro!O499/Presion_cilindro!O500)^Presion_cilindro!$B$9+10*(Presion_cilindro!$B$9-1)*Presion_cilindro!$B$33*(T501-T500)/((Presion_cilindro!O499+Presion_cilindro!O500)/2)</f>
        <v>8.2498592679907397</v>
      </c>
    </row>
    <row r="502" spans="14:21" x14ac:dyDescent="0.25">
      <c r="N502" s="8">
        <f>-Presion_cilindro!N501</f>
        <v>-68.5</v>
      </c>
      <c r="O502" s="9">
        <f>IF(Presion_cilindro!N501&gt;$B$12,1-EXP(-Presion_cilindro!$B$16*((Presion_cilindro!N501-$B$12)/Presion_cilindro!$B$35)^(Presion_cilindro!$B$17+1)),0)</f>
        <v>0.99999999999997136</v>
      </c>
      <c r="P502" s="10">
        <f>P501*(Presion_cilindro!O500/Presion_cilindro!O501)^Presion_cilindro!$B$9+10*(Presion_cilindro!$B$9-1)*Presion_cilindro!$B$33*(O502-O501)/((Presion_cilindro!O500+Presion_cilindro!O501)/2)</f>
        <v>6.6827183570583335</v>
      </c>
      <c r="Q502" s="9">
        <f>IF(OR($B$9=0,Presion_cilindro!N501&lt;=$B$15),IF(Presion_cilindro!N501&gt;$B$13,1-EXP(-Presion_cilindro!$B$16*((Presion_cilindro!N501-$B$13)/Presion_cilindro!$B$35)^(Presion_cilindro!$B$17+1)),0),$B$8+(1-$B$8)*(1-EXP(-(Presion_cilindro!N501-$B$15)/Presion_cilindro!$B$23)))</f>
        <v>1</v>
      </c>
      <c r="R502" s="10">
        <f>R501*(Presion_cilindro!O500/Presion_cilindro!O501)^Presion_cilindro!$B$9+10*(Presion_cilindro!$B$9-1)*Presion_cilindro!$B$33*(Q502-Q501)/((Presion_cilindro!O500+Presion_cilindro!O501)/2)</f>
        <v>6.9314933428085883</v>
      </c>
      <c r="S502" s="10">
        <f>R502+IF(AND($B$9=1,Presion_cilindro!N501&gt;$B$15),Presion_cilindro!$B$24*2.5*EXP(-(Presion_cilindro!N501-$B$15)/Presion_cilindro!$B$26)*SIN(2*PI()*(Presion_cilindro!N501-$B$15)/Presion_cilindro!$B$39),0)</f>
        <v>6.9277316632068908</v>
      </c>
      <c r="T502" s="9">
        <f>IF(Presion_cilindro!N501&gt;$B$14,1-EXP(-Presion_cilindro!$B$16*((Presion_cilindro!N501-$B$14)/Presion_cilindro!$B$35)^(Presion_cilindro!$B$17+1)),0)</f>
        <v>0.99604167776427099</v>
      </c>
      <c r="U502" s="10">
        <f>U501*(Presion_cilindro!O500/Presion_cilindro!O501)^Presion_cilindro!$B$9+10*(Presion_cilindro!$B$9-1)*Presion_cilindro!$B$33*(T502-T501)/((Presion_cilindro!O500+Presion_cilindro!O501)/2)</f>
        <v>8.1544577967556204</v>
      </c>
    </row>
    <row r="503" spans="14:21" x14ac:dyDescent="0.25">
      <c r="N503" s="8">
        <f>-Presion_cilindro!N502</f>
        <v>-69</v>
      </c>
      <c r="O503" s="9">
        <f>IF(Presion_cilindro!N502&gt;$B$12,1-EXP(-Presion_cilindro!$B$16*((Presion_cilindro!N502-$B$12)/Presion_cilindro!$B$35)^(Presion_cilindro!$B$17+1)),0)</f>
        <v>0.9999999999999829</v>
      </c>
      <c r="P503" s="10">
        <f>P502*(Presion_cilindro!O501/Presion_cilindro!O502)^Presion_cilindro!$B$9+10*(Presion_cilindro!$B$9-1)*Presion_cilindro!$B$33*(O503-O502)/((Presion_cilindro!O501+Presion_cilindro!O502)/2)</f>
        <v>6.6020304293613501</v>
      </c>
      <c r="Q503" s="9">
        <f>IF(OR($B$9=0,Presion_cilindro!N502&lt;=$B$15),IF(Presion_cilindro!N502&gt;$B$13,1-EXP(-Presion_cilindro!$B$16*((Presion_cilindro!N502-$B$13)/Presion_cilindro!$B$35)^(Presion_cilindro!$B$17+1)),0),$B$8+(1-$B$8)*(1-EXP(-(Presion_cilindro!N502-$B$15)/Presion_cilindro!$B$23)))</f>
        <v>1</v>
      </c>
      <c r="R503" s="10">
        <f>R502*(Presion_cilindro!O501/Presion_cilindro!O502)^Presion_cilindro!$B$9+10*(Presion_cilindro!$B$9-1)*Presion_cilindro!$B$33*(Q503-Q502)/((Presion_cilindro!O501+Presion_cilindro!O502)/2)</f>
        <v>6.847801676664</v>
      </c>
      <c r="S503" s="10">
        <f>R503+IF(AND($B$9=1,Presion_cilindro!N502&gt;$B$15),Presion_cilindro!$B$24*2.5*EXP(-(Presion_cilindro!N502-$B$15)/Presion_cilindro!$B$26)*SIN(2*PI()*(Presion_cilindro!N502-$B$15)/Presion_cilindro!$B$39),0)</f>
        <v>6.8465401104394346</v>
      </c>
      <c r="T503" s="9">
        <f>IF(Presion_cilindro!N502&gt;$B$14,1-EXP(-Presion_cilindro!$B$16*((Presion_cilindro!N502-$B$14)/Presion_cilindro!$B$35)^(Presion_cilindro!$B$17+1)),0)</f>
        <v>0.99663816782767234</v>
      </c>
      <c r="U503" s="10">
        <f>U502*(Presion_cilindro!O501/Presion_cilindro!O502)^Presion_cilindro!$B$9+10*(Presion_cilindro!$B$9-1)*Presion_cilindro!$B$33*(T503-T502)/((Presion_cilindro!O501+Presion_cilindro!O502)/2)</f>
        <v>8.0602899217665023</v>
      </c>
    </row>
    <row r="504" spans="14:21" x14ac:dyDescent="0.25">
      <c r="N504" s="8">
        <f>-Presion_cilindro!N503</f>
        <v>-69.5</v>
      </c>
      <c r="O504" s="9">
        <f>IF(Presion_cilindro!N503&gt;$B$12,1-EXP(-Presion_cilindro!$B$16*((Presion_cilindro!N503-$B$12)/Presion_cilindro!$B$35)^(Presion_cilindro!$B$17+1)),0)</f>
        <v>0.99999999999998979</v>
      </c>
      <c r="P504" s="10">
        <f>P503*(Presion_cilindro!O502/Presion_cilindro!O503)^Presion_cilindro!$B$9+10*(Presion_cilindro!$B$9-1)*Presion_cilindro!$B$33*(O504-O503)/((Presion_cilindro!O502+Presion_cilindro!O503)/2)</f>
        <v>6.5229407140256113</v>
      </c>
      <c r="Q504" s="9">
        <f>IF(OR($B$9=0,Presion_cilindro!N503&lt;=$B$15),IF(Presion_cilindro!N503&gt;$B$13,1-EXP(-Presion_cilindro!$B$16*((Presion_cilindro!N503-$B$13)/Presion_cilindro!$B$35)^(Presion_cilindro!$B$17+1)),0),$B$8+(1-$B$8)*(1-EXP(-(Presion_cilindro!N503-$B$15)/Presion_cilindro!$B$23)))</f>
        <v>1</v>
      </c>
      <c r="R504" s="10">
        <f>R503*(Presion_cilindro!O502/Presion_cilindro!O503)^Presion_cilindro!$B$9+10*(Presion_cilindro!$B$9-1)*Presion_cilindro!$B$33*(Q504-Q503)/((Presion_cilindro!O502+Presion_cilindro!O503)/2)</f>
        <v>6.7657677189175072</v>
      </c>
      <c r="S504" s="10">
        <f>R504+IF(AND($B$9=1,Presion_cilindro!N503&gt;$B$15),Presion_cilindro!$B$24*2.5*EXP(-(Presion_cilindro!N503-$B$15)/Presion_cilindro!$B$26)*SIN(2*PI()*(Presion_cilindro!N503-$B$15)/Presion_cilindro!$B$39),0)</f>
        <v>6.7691714273757855</v>
      </c>
      <c r="T504" s="9">
        <f>IF(Presion_cilindro!N503&gt;$B$14,1-EXP(-Presion_cilindro!$B$16*((Presion_cilindro!N503-$B$14)/Presion_cilindro!$B$35)^(Presion_cilindro!$B$17+1)),0)</f>
        <v>0.99715384724938727</v>
      </c>
      <c r="U504" s="10">
        <f>U503*(Presion_cilindro!O502/Presion_cilindro!O503)^Presion_cilindro!$B$9+10*(Presion_cilindro!$B$9-1)*Presion_cilindro!$B$33*(T504-T503)/((Presion_cilindro!O502+Presion_cilindro!O503)/2)</f>
        <v>7.9674060572532719</v>
      </c>
    </row>
    <row r="505" spans="14:21" x14ac:dyDescent="0.25">
      <c r="N505" s="8">
        <f>-Presion_cilindro!N504</f>
        <v>-70</v>
      </c>
      <c r="O505" s="9">
        <f>IF(Presion_cilindro!N504&gt;$B$12,1-EXP(-Presion_cilindro!$B$16*((Presion_cilindro!N504-$B$12)/Presion_cilindro!$B$35)^(Presion_cilindro!$B$17+1)),0)</f>
        <v>0.999999999999994</v>
      </c>
      <c r="P505" s="10">
        <f>P504*(Presion_cilindro!O503/Presion_cilindro!O504)^Presion_cilindro!$B$9+10*(Presion_cilindro!$B$9-1)*Presion_cilindro!$B$33*(O505-O504)/((Presion_cilindro!O503+Presion_cilindro!O504)/2)</f>
        <v>6.4454123878612046</v>
      </c>
      <c r="Q505" s="9">
        <f>IF(OR($B$9=0,Presion_cilindro!N504&lt;=$B$15),IF(Presion_cilindro!N504&gt;$B$13,1-EXP(-Presion_cilindro!$B$16*((Presion_cilindro!N504-$B$13)/Presion_cilindro!$B$35)^(Presion_cilindro!$B$17+1)),0),$B$8+(1-$B$8)*(1-EXP(-(Presion_cilindro!N504-$B$15)/Presion_cilindro!$B$23)))</f>
        <v>1</v>
      </c>
      <c r="R505" s="10">
        <f>R504*(Presion_cilindro!O503/Presion_cilindro!O504)^Presion_cilindro!$B$9+10*(Presion_cilindro!$B$9-1)*Presion_cilindro!$B$33*(Q505-Q504)/((Presion_cilindro!O503+Presion_cilindro!O504)/2)</f>
        <v>6.6853532755764551</v>
      </c>
      <c r="S505" s="10">
        <f>R505+IF(AND($B$9=1,Presion_cilindro!N504&gt;$B$15),Presion_cilindro!$B$24*2.5*EXP(-(Presion_cilindro!N504-$B$15)/Presion_cilindro!$B$26)*SIN(2*PI()*(Presion_cilindro!N504-$B$15)/Presion_cilindro!$B$39),0)</f>
        <v>6.686494787901772</v>
      </c>
      <c r="T505" s="9">
        <f>IF(Presion_cilindro!N504&gt;$B$14,1-EXP(-Presion_cilindro!$B$16*((Presion_cilindro!N504-$B$14)/Presion_cilindro!$B$35)^(Presion_cilindro!$B$17+1)),0)</f>
        <v>0.99759815860153289</v>
      </c>
      <c r="U505" s="10">
        <f>U504*(Presion_cilindro!O503/Presion_cilindro!O504)^Presion_cilindro!$B$9+10*(Presion_cilindro!$B$9-1)*Presion_cilindro!$B$33*(T505-T504)/((Presion_cilindro!O503+Presion_cilindro!O504)/2)</f>
        <v>7.8758476916737017</v>
      </c>
    </row>
    <row r="506" spans="14:21" x14ac:dyDescent="0.25">
      <c r="N506" s="8">
        <f>-Presion_cilindro!N505</f>
        <v>-70.5</v>
      </c>
      <c r="O506" s="9">
        <f>IF(Presion_cilindro!N505&gt;$B$12,1-EXP(-Presion_cilindro!$B$16*((Presion_cilindro!N505-$B$12)/Presion_cilindro!$B$35)^(Presion_cilindro!$B$17+1)),0)</f>
        <v>0.99999999999999645</v>
      </c>
      <c r="P506" s="10">
        <f>P505*(Presion_cilindro!O504/Presion_cilindro!O505)^Presion_cilindro!$B$9+10*(Presion_cilindro!$B$9-1)*Presion_cilindro!$B$33*(O506-O505)/((Presion_cilindro!O504+Presion_cilindro!O505)/2)</f>
        <v>6.3694095643145312</v>
      </c>
      <c r="Q506" s="9">
        <f>IF(OR($B$9=0,Presion_cilindro!N505&lt;=$B$15),IF(Presion_cilindro!N505&gt;$B$13,1-EXP(-Presion_cilindro!$B$16*((Presion_cilindro!N505-$B$13)/Presion_cilindro!$B$35)^(Presion_cilindro!$B$17+1)),0),$B$8+(1-$B$8)*(1-EXP(-(Presion_cilindro!N505-$B$15)/Presion_cilindro!$B$23)))</f>
        <v>1</v>
      </c>
      <c r="R506" s="10">
        <f>R505*(Presion_cilindro!O504/Presion_cilindro!O505)^Presion_cilindro!$B$9+10*(Presion_cilindro!$B$9-1)*Presion_cilindro!$B$33*(Q506-Q505)/((Presion_cilindro!O504+Presion_cilindro!O505)/2)</f>
        <v>6.6065211241523114</v>
      </c>
      <c r="S506" s="10">
        <f>R506+IF(AND($B$9=1,Presion_cilindro!N505&gt;$B$15),Presion_cilindro!$B$24*2.5*EXP(-(Presion_cilindro!N505-$B$15)/Presion_cilindro!$B$26)*SIN(2*PI()*(Presion_cilindro!N505-$B$15)/Presion_cilindro!$B$39),0)</f>
        <v>6.6034413213791749</v>
      </c>
      <c r="T506" s="9">
        <f>IF(Presion_cilindro!N505&gt;$B$14,1-EXP(-Presion_cilindro!$B$16*((Presion_cilindro!N505-$B$14)/Presion_cilindro!$B$35)^(Presion_cilindro!$B$17+1)),0)</f>
        <v>0.99797967588832193</v>
      </c>
      <c r="U506" s="10">
        <f>U505*(Presion_cilindro!O504/Presion_cilindro!O505)^Presion_cilindro!$B$9+10*(Presion_cilindro!$B$9-1)*Presion_cilindro!$B$33*(T506-T505)/((Presion_cilindro!O504+Presion_cilindro!O505)/2)</f>
        <v>7.7856481080315838</v>
      </c>
    </row>
    <row r="507" spans="14:21" x14ac:dyDescent="0.25">
      <c r="N507" s="8">
        <f>-Presion_cilindro!N506</f>
        <v>-71</v>
      </c>
      <c r="O507" s="9">
        <f>IF(Presion_cilindro!N506&gt;$B$12,1-EXP(-Presion_cilindro!$B$16*((Presion_cilindro!N506-$B$12)/Presion_cilindro!$B$35)^(Presion_cilindro!$B$17+1)),0)</f>
        <v>0.99999999999999789</v>
      </c>
      <c r="P507" s="10">
        <f>P506*(Presion_cilindro!O505/Presion_cilindro!O506)^Presion_cilindro!$B$9+10*(Presion_cilindro!$B$9-1)*Presion_cilindro!$B$33*(O507-O506)/((Presion_cilindro!O505+Presion_cilindro!O506)/2)</f>
        <v>6.2948972697086498</v>
      </c>
      <c r="Q507" s="9">
        <f>IF(OR($B$9=0,Presion_cilindro!N506&lt;=$B$15),IF(Presion_cilindro!N506&gt;$B$13,1-EXP(-Presion_cilindro!$B$16*((Presion_cilindro!N506-$B$13)/Presion_cilindro!$B$35)^(Presion_cilindro!$B$17+1)),0),$B$8+(1-$B$8)*(1-EXP(-(Presion_cilindro!N506-$B$15)/Presion_cilindro!$B$23)))</f>
        <v>1</v>
      </c>
      <c r="R507" s="10">
        <f>R506*(Presion_cilindro!O505/Presion_cilindro!O506)^Presion_cilindro!$B$9+10*(Presion_cilindro!$B$9-1)*Presion_cilindro!$B$33*(Q507-Q506)/((Presion_cilindro!O505+Presion_cilindro!O506)/2)</f>
        <v>6.5292349890165102</v>
      </c>
      <c r="S507" s="10">
        <f>R507+IF(AND($B$9=1,Presion_cilindro!N506&gt;$B$15),Presion_cilindro!$B$24*2.5*EXP(-(Presion_cilindro!N506-$B$15)/Presion_cilindro!$B$26)*SIN(2*PI()*(Presion_cilindro!N506-$B$15)/Presion_cilindro!$B$39),0)</f>
        <v>6.5282021059514141</v>
      </c>
      <c r="T507" s="9">
        <f>IF(Presion_cilindro!N506&gt;$B$14,1-EXP(-Presion_cilindro!$B$16*((Presion_cilindro!N506-$B$14)/Presion_cilindro!$B$35)^(Presion_cilindro!$B$17+1)),0)</f>
        <v>0.99830614971863774</v>
      </c>
      <c r="U507" s="10">
        <f>U506*(Presion_cilindro!O505/Presion_cilindro!O506)^Presion_cilindro!$B$9+10*(Presion_cilindro!$B$9-1)*Presion_cilindro!$B$33*(T507-T506)/((Presion_cilindro!O505+Presion_cilindro!O506)/2)</f>
        <v>7.6968330932398636</v>
      </c>
    </row>
    <row r="508" spans="14:21" x14ac:dyDescent="0.25">
      <c r="N508" s="8">
        <f>-Presion_cilindro!N507</f>
        <v>-71.5</v>
      </c>
      <c r="O508" s="9">
        <f>IF(Presion_cilindro!N507&gt;$B$12,1-EXP(-Presion_cilindro!$B$16*((Presion_cilindro!N507-$B$12)/Presion_cilindro!$B$35)^(Presion_cilindro!$B$17+1)),0)</f>
        <v>0.99999999999999878</v>
      </c>
      <c r="P508" s="10">
        <f>P507*(Presion_cilindro!O506/Presion_cilindro!O507)^Presion_cilindro!$B$9+10*(Presion_cilindro!$B$9-1)*Presion_cilindro!$B$33*(O508-O507)/((Presion_cilindro!O506+Presion_cilindro!O507)/2)</f>
        <v>6.2218414199591949</v>
      </c>
      <c r="Q508" s="9">
        <f>IF(OR($B$9=0,Presion_cilindro!N507&lt;=$B$15),IF(Presion_cilindro!N507&gt;$B$13,1-EXP(-Presion_cilindro!$B$16*((Presion_cilindro!N507-$B$13)/Presion_cilindro!$B$35)^(Presion_cilindro!$B$17+1)),0),$B$8+(1-$B$8)*(1-EXP(-(Presion_cilindro!N507-$B$15)/Presion_cilindro!$B$23)))</f>
        <v>1</v>
      </c>
      <c r="R508" s="10">
        <f>R507*(Presion_cilindro!O506/Presion_cilindro!O507)^Presion_cilindro!$B$9+10*(Presion_cilindro!$B$9-1)*Presion_cilindro!$B$33*(Q508-Q507)/((Presion_cilindro!O506+Presion_cilindro!O507)/2)</f>
        <v>6.4534595172495832</v>
      </c>
      <c r="S508" s="10">
        <f>R508+IF(AND($B$9=1,Presion_cilindro!N507&gt;$B$15),Presion_cilindro!$B$24*2.5*EXP(-(Presion_cilindro!N507-$B$15)/Presion_cilindro!$B$26)*SIN(2*PI()*(Presion_cilindro!N507-$B$15)/Presion_cilindro!$B$39),0)</f>
        <v>6.4562462380388874</v>
      </c>
      <c r="T508" s="9">
        <f>IF(Presion_cilindro!N507&gt;$B$14,1-EXP(-Presion_cilindro!$B$16*((Presion_cilindro!N507-$B$14)/Presion_cilindro!$B$35)^(Presion_cilindro!$B$17+1)),0)</f>
        <v>0.99858455532021828</v>
      </c>
      <c r="U508" s="10">
        <f>U507*(Presion_cilindro!O506/Presion_cilindro!O507)^Presion_cilindro!$B$9+10*(Presion_cilindro!$B$9-1)*Presion_cilindro!$B$33*(T508-T507)/((Presion_cilindro!O506+Presion_cilindro!O507)/2)</f>
        <v>7.6094216295532542</v>
      </c>
    </row>
    <row r="509" spans="14:21" x14ac:dyDescent="0.25">
      <c r="N509" s="8">
        <f>-Presion_cilindro!N508</f>
        <v>-72</v>
      </c>
      <c r="O509" s="9">
        <f>IF(Presion_cilindro!N508&gt;$B$12,1-EXP(-Presion_cilindro!$B$16*((Presion_cilindro!N508-$B$12)/Presion_cilindro!$B$35)^(Presion_cilindro!$B$17+1)),0)</f>
        <v>0.99999999999999933</v>
      </c>
      <c r="P509" s="10">
        <f>P508*(Presion_cilindro!O507/Presion_cilindro!O508)^Presion_cilindro!$B$9+10*(Presion_cilindro!$B$9-1)*Presion_cilindro!$B$33*(O509-O508)/((Presion_cilindro!O507+Presion_cilindro!O508)/2)</f>
        <v>6.1502087977693156</v>
      </c>
      <c r="Q509" s="9">
        <f>IF(OR($B$9=0,Presion_cilindro!N508&lt;=$B$15),IF(Presion_cilindro!N508&gt;$B$13,1-EXP(-Presion_cilindro!$B$16*((Presion_cilindro!N508-$B$13)/Presion_cilindro!$B$35)^(Presion_cilindro!$B$17+1)),0),$B$8+(1-$B$8)*(1-EXP(-(Presion_cilindro!N508-$B$15)/Presion_cilindro!$B$23)))</f>
        <v>1</v>
      </c>
      <c r="R509" s="10">
        <f>R508*(Presion_cilindro!O507/Presion_cilindro!O508)^Presion_cilindro!$B$9+10*(Presion_cilindro!$B$9-1)*Presion_cilindro!$B$33*(Q509-Q508)/((Presion_cilindro!O507+Presion_cilindro!O508)/2)</f>
        <v>6.3791602549871458</v>
      </c>
      <c r="S509" s="10">
        <f>R509+IF(AND($B$9=1,Presion_cilindro!N508&gt;$B$15),Presion_cilindro!$B$24*2.5*EXP(-(Presion_cilindro!N508-$B$15)/Presion_cilindro!$B$26)*SIN(2*PI()*(Presion_cilindro!N508-$B$15)/Presion_cilindro!$B$39),0)</f>
        <v>6.3800948462329004</v>
      </c>
      <c r="T509" s="9">
        <f>IF(Presion_cilindro!N508&gt;$B$14,1-EXP(-Presion_cilindro!$B$16*((Presion_cilindro!N508-$B$14)/Presion_cilindro!$B$35)^(Presion_cilindro!$B$17+1)),0)</f>
        <v>0.99882114242167308</v>
      </c>
      <c r="U509" s="10">
        <f>U508*(Presion_cilindro!O507/Presion_cilindro!O508)^Presion_cilindro!$B$9+10*(Presion_cilindro!$B$9-1)*Presion_cilindro!$B$33*(T509-T508)/((Presion_cilindro!O507+Presion_cilindro!O508)/2)</f>
        <v>7.5234265621806475</v>
      </c>
    </row>
    <row r="510" spans="14:21" x14ac:dyDescent="0.25">
      <c r="N510" s="8">
        <f>-Presion_cilindro!N509</f>
        <v>-72.5</v>
      </c>
      <c r="O510" s="9">
        <f>IF(Presion_cilindro!N509&gt;$B$12,1-EXP(-Presion_cilindro!$B$16*((Presion_cilindro!N509-$B$12)/Presion_cilindro!$B$35)^(Presion_cilindro!$B$17+1)),0)</f>
        <v>0.99999999999999956</v>
      </c>
      <c r="P510" s="10">
        <f>P509*(Presion_cilindro!O508/Presion_cilindro!O509)^Presion_cilindro!$B$9+10*(Presion_cilindro!$B$9-1)*Presion_cilindro!$B$33*(O510-O509)/((Presion_cilindro!O508+Presion_cilindro!O509)/2)</f>
        <v>6.0799670303057249</v>
      </c>
      <c r="Q510" s="9">
        <f>IF(OR($B$9=0,Presion_cilindro!N509&lt;=$B$15),IF(Presion_cilindro!N509&gt;$B$13,1-EXP(-Presion_cilindro!$B$16*((Presion_cilindro!N509-$B$13)/Presion_cilindro!$B$35)^(Presion_cilindro!$B$17+1)),0),$B$8+(1-$B$8)*(1-EXP(-(Presion_cilindro!N509-$B$15)/Presion_cilindro!$B$23)))</f>
        <v>1</v>
      </c>
      <c r="R510" s="10">
        <f>R509*(Presion_cilindro!O508/Presion_cilindro!O509)^Presion_cilindro!$B$9+10*(Presion_cilindro!$B$9-1)*Presion_cilindro!$B$33*(Q510-Q509)/((Presion_cilindro!O508+Presion_cilindro!O509)/2)</f>
        <v>6.3063036242648982</v>
      </c>
      <c r="S510" s="10">
        <f>R510+IF(AND($B$9=1,Presion_cilindro!N509&gt;$B$15),Presion_cilindro!$B$24*2.5*EXP(-(Presion_cilindro!N509-$B$15)/Presion_cilindro!$B$26)*SIN(2*PI()*(Presion_cilindro!N509-$B$15)/Presion_cilindro!$B$39),0)</f>
        <v>6.3037820950211172</v>
      </c>
      <c r="T510" s="9">
        <f>IF(Presion_cilindro!N509&gt;$B$14,1-EXP(-Presion_cilindro!$B$16*((Presion_cilindro!N509-$B$14)/Presion_cilindro!$B$35)^(Presion_cilindro!$B$17+1)),0)</f>
        <v>0.99902148611638864</v>
      </c>
      <c r="U510" s="10">
        <f>U509*(Presion_cilindro!O508/Presion_cilindro!O509)^Presion_cilindro!$B$9+10*(Presion_cilindro!$B$9-1)*Presion_cilindro!$B$33*(T510-T509)/((Presion_cilindro!O508+Presion_cilindro!O509)/2)</f>
        <v>7.4388552382468927</v>
      </c>
    </row>
    <row r="511" spans="14:21" x14ac:dyDescent="0.25">
      <c r="N511" s="8">
        <f>-Presion_cilindro!N510</f>
        <v>-73</v>
      </c>
      <c r="O511" s="9">
        <f>IF(Presion_cilindro!N510&gt;$B$12,1-EXP(-Presion_cilindro!$B$16*((Presion_cilindro!N510-$B$12)/Presion_cilindro!$B$35)^(Presion_cilindro!$B$17+1)),0)</f>
        <v>0.99999999999999978</v>
      </c>
      <c r="P511" s="10">
        <f>P510*(Presion_cilindro!O509/Presion_cilindro!O510)^Presion_cilindro!$B$9+10*(Presion_cilindro!$B$9-1)*Presion_cilindro!$B$33*(O511-O510)/((Presion_cilindro!O509+Presion_cilindro!O510)/2)</f>
        <v>6.0110845673567859</v>
      </c>
      <c r="Q511" s="9">
        <f>IF(OR($B$9=0,Presion_cilindro!N510&lt;=$B$15),IF(Presion_cilindro!N510&gt;$B$13,1-EXP(-Presion_cilindro!$B$16*((Presion_cilindro!N510-$B$13)/Presion_cilindro!$B$35)^(Presion_cilindro!$B$17+1)),0),$B$8+(1-$B$8)*(1-EXP(-(Presion_cilindro!N510-$B$15)/Presion_cilindro!$B$23)))</f>
        <v>1</v>
      </c>
      <c r="R511" s="10">
        <f>R510*(Presion_cilindro!O509/Presion_cilindro!O510)^Presion_cilindro!$B$9+10*(Presion_cilindro!$B$9-1)*Presion_cilindro!$B$33*(Q511-Q510)/((Presion_cilindro!O509+Presion_cilindro!O510)/2)</f>
        <v>6.2348569003636083</v>
      </c>
      <c r="S511" s="10">
        <f>R511+IF(AND($B$9=1,Presion_cilindro!N510&gt;$B$15),Presion_cilindro!$B$24*2.5*EXP(-(Presion_cilindro!N510-$B$15)/Presion_cilindro!$B$26)*SIN(2*PI()*(Presion_cilindro!N510-$B$15)/Presion_cilindro!$B$39),0)</f>
        <v>6.2340112472338802</v>
      </c>
      <c r="T511" s="9">
        <f>IF(Presion_cilindro!N510&gt;$B$14,1-EXP(-Presion_cilindro!$B$16*((Presion_cilindro!N510-$B$14)/Presion_cilindro!$B$35)^(Presion_cilindro!$B$17+1)),0)</f>
        <v>0.99919053791621615</v>
      </c>
      <c r="U511" s="10">
        <f>U510*(Presion_cilindro!O509/Presion_cilindro!O510)^Presion_cilindro!$B$9+10*(Presion_cilindro!$B$9-1)*Presion_cilindro!$B$33*(T511-T510)/((Presion_cilindro!O509+Presion_cilindro!O510)/2)</f>
        <v>7.3557101132879961</v>
      </c>
    </row>
    <row r="512" spans="14:21" x14ac:dyDescent="0.25">
      <c r="N512" s="8">
        <f>-Presion_cilindro!N511</f>
        <v>-73.5</v>
      </c>
      <c r="O512" s="9">
        <f>IF(Presion_cilindro!N511&gt;$B$12,1-EXP(-Presion_cilindro!$B$16*((Presion_cilindro!N511-$B$12)/Presion_cilindro!$B$35)^(Presion_cilindro!$B$17+1)),0)</f>
        <v>0.99999999999999989</v>
      </c>
      <c r="P512" s="10">
        <f>P511*(Presion_cilindro!O510/Presion_cilindro!O511)^Presion_cilindro!$B$9+10*(Presion_cilindro!$B$9-1)*Presion_cilindro!$B$33*(O512-O511)/((Presion_cilindro!O510+Presion_cilindro!O511)/2)</f>
        <v>5.9435306599720183</v>
      </c>
      <c r="Q512" s="9">
        <f>IF(OR($B$9=0,Presion_cilindro!N511&lt;=$B$15),IF(Presion_cilindro!N511&gt;$B$13,1-EXP(-Presion_cilindro!$B$16*((Presion_cilindro!N511-$B$13)/Presion_cilindro!$B$35)^(Presion_cilindro!$B$17+1)),0),$B$8+(1-$B$8)*(1-EXP(-(Presion_cilindro!N511-$B$15)/Presion_cilindro!$B$23)))</f>
        <v>1</v>
      </c>
      <c r="R512" s="10">
        <f>R511*(Presion_cilindro!O510/Presion_cilindro!O511)^Presion_cilindro!$B$9+10*(Presion_cilindro!$B$9-1)*Presion_cilindro!$B$33*(Q512-Q511)/((Presion_cilindro!O510+Presion_cilindro!O511)/2)</f>
        <v>6.1647881896534455</v>
      </c>
      <c r="S512" s="10">
        <f>R512+IF(AND($B$9=1,Presion_cilindro!N511&gt;$B$15),Presion_cilindro!$B$24*2.5*EXP(-(Presion_cilindro!N511-$B$15)/Presion_cilindro!$B$26)*SIN(2*PI()*(Presion_cilindro!N511-$B$15)/Presion_cilindro!$B$39),0)</f>
        <v>6.1670697636638909</v>
      </c>
      <c r="T512" s="9">
        <f>IF(Presion_cilindro!N511&gt;$B$14,1-EXP(-Presion_cilindro!$B$16*((Presion_cilindro!N511-$B$14)/Presion_cilindro!$B$35)^(Presion_cilindro!$B$17+1)),0)</f>
        <v>0.99933267629999656</v>
      </c>
      <c r="U512" s="10">
        <f>U511*(Presion_cilindro!O510/Presion_cilindro!O511)^Presion_cilindro!$B$9+10*(Presion_cilindro!$B$9-1)*Presion_cilindro!$B$33*(T512-T511)/((Presion_cilindro!O510+Presion_cilindro!O511)/2)</f>
        <v>7.2739893224180667</v>
      </c>
    </row>
    <row r="513" spans="14:21" x14ac:dyDescent="0.25">
      <c r="N513" s="8">
        <f>-Presion_cilindro!N512</f>
        <v>-74</v>
      </c>
      <c r="O513" s="9">
        <f>IF(Presion_cilindro!N512&gt;$B$12,1-EXP(-Presion_cilindro!$B$16*((Presion_cilindro!N512-$B$12)/Presion_cilindro!$B$35)^(Presion_cilindro!$B$17+1)),0)</f>
        <v>0.99999999999999989</v>
      </c>
      <c r="P513" s="10">
        <f>P512*(Presion_cilindro!O511/Presion_cilindro!O512)^Presion_cilindro!$B$9+10*(Presion_cilindro!$B$9-1)*Presion_cilindro!$B$33*(O513-O512)/((Presion_cilindro!O511+Presion_cilindro!O512)/2)</f>
        <v>5.8772753395816553</v>
      </c>
      <c r="Q513" s="9">
        <f>IF(OR($B$9=0,Presion_cilindro!N512&lt;=$B$15),IF(Presion_cilindro!N512&gt;$B$13,1-EXP(-Presion_cilindro!$B$16*((Presion_cilindro!N512-$B$13)/Presion_cilindro!$B$35)^(Presion_cilindro!$B$17+1)),0),$B$8+(1-$B$8)*(1-EXP(-(Presion_cilindro!N512-$B$15)/Presion_cilindro!$B$23)))</f>
        <v>1</v>
      </c>
      <c r="R513" s="10">
        <f>R512*(Presion_cilindro!O511/Presion_cilindro!O512)^Presion_cilindro!$B$9+10*(Presion_cilindro!$B$9-1)*Presion_cilindro!$B$33*(Q513-Q512)/((Presion_cilindro!O511+Presion_cilindro!O512)/2)</f>
        <v>6.096066407936223</v>
      </c>
      <c r="S513" s="10">
        <f>R513+IF(AND($B$9=1,Presion_cilindro!N512&gt;$B$15),Presion_cilindro!$B$24*2.5*EXP(-(Presion_cilindro!N512-$B$15)/Presion_cilindro!$B$26)*SIN(2*PI()*(Presion_cilindro!N512-$B$15)/Presion_cilindro!$B$39),0)</f>
        <v>6.0968315865306799</v>
      </c>
      <c r="T513" s="9">
        <f>IF(Presion_cilindro!N512&gt;$B$14,1-EXP(-Presion_cilindro!$B$16*((Presion_cilindro!N512-$B$14)/Presion_cilindro!$B$35)^(Presion_cilindro!$B$17+1)),0)</f>
        <v>0.99945175616001047</v>
      </c>
      <c r="U513" s="10">
        <f>U512*(Presion_cilindro!O511/Presion_cilindro!O512)^Presion_cilindro!$B$9+10*(Presion_cilindro!$B$9-1)*Presion_cilindro!$B$33*(T513-T512)/((Presion_cilindro!O511+Presion_cilindro!O512)/2)</f>
        <v>7.1936872141902297</v>
      </c>
    </row>
    <row r="514" spans="14:21" x14ac:dyDescent="0.25">
      <c r="N514" s="8">
        <f>-Presion_cilindro!N513</f>
        <v>-74.5</v>
      </c>
      <c r="O514" s="9">
        <f>IF(Presion_cilindro!N513&gt;$B$12,1-EXP(-Presion_cilindro!$B$16*((Presion_cilindro!N513-$B$12)/Presion_cilindro!$B$35)^(Presion_cilindro!$B$17+1)),0)</f>
        <v>1</v>
      </c>
      <c r="P514" s="10">
        <f>P513*(Presion_cilindro!O512/Presion_cilindro!O513)^Presion_cilindro!$B$9+10*(Presion_cilindro!$B$9-1)*Presion_cilindro!$B$33*(O514-O513)/((Presion_cilindro!O512+Presion_cilindro!O513)/2)</f>
        <v>5.8122893975937604</v>
      </c>
      <c r="Q514" s="9">
        <f>IF(OR($B$9=0,Presion_cilindro!N513&lt;=$B$15),IF(Presion_cilindro!N513&gt;$B$13,1-EXP(-Presion_cilindro!$B$16*((Presion_cilindro!N513-$B$13)/Presion_cilindro!$B$35)^(Presion_cilindro!$B$17+1)),0),$B$8+(1-$B$8)*(1-EXP(-(Presion_cilindro!N513-$B$15)/Presion_cilindro!$B$23)))</f>
        <v>1</v>
      </c>
      <c r="R514" s="10">
        <f>R513*(Presion_cilindro!O512/Presion_cilindro!O513)^Presion_cilindro!$B$9+10*(Presion_cilindro!$B$9-1)*Presion_cilindro!$B$33*(Q514-Q513)/((Presion_cilindro!O512+Presion_cilindro!O513)/2)</f>
        <v>6.0286612592829867</v>
      </c>
      <c r="S514" s="10">
        <f>R514+IF(AND($B$9=1,Presion_cilindro!N513&gt;$B$15),Presion_cilindro!$B$24*2.5*EXP(-(Presion_cilindro!N513-$B$15)/Presion_cilindro!$B$26)*SIN(2*PI()*(Presion_cilindro!N513-$B$15)/Presion_cilindro!$B$39),0)</f>
        <v>6.0265968057463173</v>
      </c>
      <c r="T514" s="9">
        <f>IF(Presion_cilindro!N513&gt;$B$14,1-EXP(-Presion_cilindro!$B$16*((Presion_cilindro!N513-$B$14)/Presion_cilindro!$B$35)^(Presion_cilindro!$B$17+1)),0)</f>
        <v>0.99955115664613903</v>
      </c>
      <c r="U514" s="10">
        <f>U513*(Presion_cilindro!O512/Presion_cilindro!O513)^Presion_cilindro!$B$9+10*(Presion_cilindro!$B$9-1)*Presion_cilindro!$B$33*(T514-T513)/((Presion_cilindro!O512+Presion_cilindro!O513)/2)</f>
        <v>7.1147948459771015</v>
      </c>
    </row>
    <row r="515" spans="14:21" x14ac:dyDescent="0.25">
      <c r="N515" s="8">
        <f>-Presion_cilindro!N514</f>
        <v>-75</v>
      </c>
      <c r="O515" s="9">
        <f>IF(Presion_cilindro!N514&gt;$B$12,1-EXP(-Presion_cilindro!$B$16*((Presion_cilindro!N514-$B$12)/Presion_cilindro!$B$35)^(Presion_cilindro!$B$17+1)),0)</f>
        <v>1</v>
      </c>
      <c r="P515" s="10">
        <f>P514*(Presion_cilindro!O513/Presion_cilindro!O514)^Presion_cilindro!$B$9+10*(Presion_cilindro!$B$9-1)*Presion_cilindro!$B$33*(O515-O514)/((Presion_cilindro!O513+Presion_cilindro!O514)/2)</f>
        <v>5.7485443654656363</v>
      </c>
      <c r="Q515" s="9">
        <f>IF(OR($B$9=0,Presion_cilindro!N514&lt;=$B$15),IF(Presion_cilindro!N514&gt;$B$13,1-EXP(-Presion_cilindro!$B$16*((Presion_cilindro!N514-$B$13)/Presion_cilindro!$B$35)^(Presion_cilindro!$B$17+1)),0),$B$8+(1-$B$8)*(1-EXP(-(Presion_cilindro!N514-$B$15)/Presion_cilindro!$B$23)))</f>
        <v>1</v>
      </c>
      <c r="R515" s="10">
        <f>R514*(Presion_cilindro!O513/Presion_cilindro!O514)^Presion_cilindro!$B$9+10*(Presion_cilindro!$B$9-1)*Presion_cilindro!$B$33*(Q515-Q514)/((Presion_cilindro!O513+Presion_cilindro!O514)/2)</f>
        <v>5.962543215363552</v>
      </c>
      <c r="S515" s="10">
        <f>R515+IF(AND($B$9=1,Presion_cilindro!N514&gt;$B$15),Presion_cilindro!$B$24*2.5*EXP(-(Presion_cilindro!N514-$B$15)/Presion_cilindro!$B$26)*SIN(2*PI()*(Presion_cilindro!N514-$B$15)/Presion_cilindro!$B$39),0)</f>
        <v>5.9618508531398069</v>
      </c>
      <c r="T515" s="9">
        <f>IF(Presion_cilindro!N514&gt;$B$14,1-EXP(-Presion_cilindro!$B$16*((Presion_cilindro!N514-$B$14)/Presion_cilindro!$B$35)^(Presion_cilindro!$B$17+1)),0)</f>
        <v>0.9996338270009828</v>
      </c>
      <c r="U515" s="10">
        <f>U514*(Presion_cilindro!O513/Presion_cilindro!O514)^Presion_cilindro!$B$9+10*(Presion_cilindro!$B$9-1)*Presion_cilindro!$B$33*(T515-T514)/((Presion_cilindro!O513+Presion_cilindro!O514)/2)</f>
        <v>7.0373004404142572</v>
      </c>
    </row>
    <row r="516" spans="14:21" x14ac:dyDescent="0.25">
      <c r="N516" s="8">
        <f>-Presion_cilindro!N515</f>
        <v>-75.5</v>
      </c>
      <c r="O516" s="9">
        <f>IF(Presion_cilindro!N515&gt;$B$12,1-EXP(-Presion_cilindro!$B$16*((Presion_cilindro!N515-$B$12)/Presion_cilindro!$B$35)^(Presion_cilindro!$B$17+1)),0)</f>
        <v>1</v>
      </c>
      <c r="P516" s="10">
        <f>P515*(Presion_cilindro!O514/Presion_cilindro!O515)^Presion_cilindro!$B$9+10*(Presion_cilindro!$B$9-1)*Presion_cilindro!$B$33*(O516-O515)/((Presion_cilindro!O514+Presion_cilindro!O515)/2)</f>
        <v>5.6860124952454179</v>
      </c>
      <c r="Q516" s="9">
        <f>IF(OR($B$9=0,Presion_cilindro!N515&lt;=$B$15),IF(Presion_cilindro!N515&gt;$B$13,1-EXP(-Presion_cilindro!$B$16*((Presion_cilindro!N515-$B$13)/Presion_cilindro!$B$35)^(Presion_cilindro!$B$17+1)),0),$B$8+(1-$B$8)*(1-EXP(-(Presion_cilindro!N515-$B$15)/Presion_cilindro!$B$23)))</f>
        <v>1</v>
      </c>
      <c r="R516" s="10">
        <f>R515*(Presion_cilindro!O514/Presion_cilindro!O515)^Presion_cilindro!$B$9+10*(Presion_cilindro!$B$9-1)*Presion_cilindro!$B$33*(Q516-Q515)/((Presion_cilindro!O514+Presion_cilindro!O515)/2)</f>
        <v>5.8976834952637214</v>
      </c>
      <c r="S516" s="10">
        <f>R516+IF(AND($B$9=1,Presion_cilindro!N515&gt;$B$15),Presion_cilindro!$B$24*2.5*EXP(-(Presion_cilindro!N515-$B$15)/Presion_cilindro!$B$26)*SIN(2*PI()*(Presion_cilindro!N515-$B$15)/Presion_cilindro!$B$39),0)</f>
        <v>5.899551490071496</v>
      </c>
      <c r="T516" s="9">
        <f>IF(Presion_cilindro!N515&gt;$B$14,1-EXP(-Presion_cilindro!$B$16*((Presion_cilindro!N515-$B$14)/Presion_cilindro!$B$35)^(Presion_cilindro!$B$17+1)),0)</f>
        <v>0.99970233006781528</v>
      </c>
      <c r="U516" s="10">
        <f>U515*(Presion_cilindro!O514/Presion_cilindro!O515)^Presion_cilindro!$B$9+10*(Presion_cilindro!$B$9-1)*Presion_cilindro!$B$33*(T516-T515)/((Presion_cilindro!O514+Presion_cilindro!O515)/2)</f>
        <v>6.9611898030788018</v>
      </c>
    </row>
    <row r="517" spans="14:21" x14ac:dyDescent="0.25">
      <c r="N517" s="8">
        <f>-Presion_cilindro!N516</f>
        <v>-76</v>
      </c>
      <c r="O517" s="9">
        <f>IF(Presion_cilindro!N516&gt;$B$12,1-EXP(-Presion_cilindro!$B$16*((Presion_cilindro!N516-$B$12)/Presion_cilindro!$B$35)^(Presion_cilindro!$B$17+1)),0)</f>
        <v>1</v>
      </c>
      <c r="P517" s="10">
        <f>P516*(Presion_cilindro!O515/Presion_cilindro!O516)^Presion_cilindro!$B$9+10*(Presion_cilindro!$B$9-1)*Presion_cilindro!$B$33*(O517-O516)/((Presion_cilindro!O515+Presion_cilindro!O516)/2)</f>
        <v>5.6246667405791166</v>
      </c>
      <c r="Q517" s="9">
        <f>IF(OR($B$9=0,Presion_cilindro!N516&lt;=$B$15),IF(Presion_cilindro!N516&gt;$B$13,1-EXP(-Presion_cilindro!$B$16*((Presion_cilindro!N516-$B$13)/Presion_cilindro!$B$35)^(Presion_cilindro!$B$17+1)),0),$B$8+(1-$B$8)*(1-EXP(-(Presion_cilindro!N516-$B$15)/Presion_cilindro!$B$23)))</f>
        <v>1</v>
      </c>
      <c r="R517" s="10">
        <f>R516*(Presion_cilindro!O515/Presion_cilindro!O516)^Presion_cilindro!$B$9+10*(Presion_cilindro!$B$9-1)*Presion_cilindro!$B$33*(Q517-Q516)/((Presion_cilindro!O515+Presion_cilindro!O516)/2)</f>
        <v>5.8340540457852912</v>
      </c>
      <c r="S517" s="10">
        <f>R517+IF(AND($B$9=1,Presion_cilindro!N516&gt;$B$15),Presion_cilindro!$B$24*2.5*EXP(-(Presion_cilindro!N516-$B$15)/Presion_cilindro!$B$26)*SIN(2*PI()*(Presion_cilindro!N516-$B$15)/Presion_cilindro!$B$39),0)</f>
        <v>5.8346805210321699</v>
      </c>
      <c r="T517" s="9">
        <f>IF(Presion_cilindro!N516&gt;$B$14,1-EXP(-Presion_cilindro!$B$16*((Presion_cilindro!N516-$B$14)/Presion_cilindro!$B$35)^(Presion_cilindro!$B$17+1)),0)</f>
        <v>0.9997588832357619</v>
      </c>
      <c r="U517" s="10">
        <f>U516*(Presion_cilindro!O515/Presion_cilindro!O516)^Presion_cilindro!$B$9+10*(Presion_cilindro!$B$9-1)*Presion_cilindro!$B$33*(T517-T516)/((Presion_cilindro!O515+Presion_cilindro!O516)/2)</f>
        <v>6.8864467021142728</v>
      </c>
    </row>
    <row r="518" spans="14:21" x14ac:dyDescent="0.25">
      <c r="N518" s="8">
        <f>-Presion_cilindro!N517</f>
        <v>-76.5</v>
      </c>
      <c r="O518" s="9">
        <f>IF(Presion_cilindro!N517&gt;$B$12,1-EXP(-Presion_cilindro!$B$16*((Presion_cilindro!N517-$B$12)/Presion_cilindro!$B$35)^(Presion_cilindro!$B$17+1)),0)</f>
        <v>1</v>
      </c>
      <c r="P518" s="10">
        <f>P517*(Presion_cilindro!O516/Presion_cilindro!O517)^Presion_cilindro!$B$9+10*(Presion_cilindro!$B$9-1)*Presion_cilindro!$B$33*(O518-O517)/((Presion_cilindro!O516+Presion_cilindro!O517)/2)</f>
        <v>5.5644807381778785</v>
      </c>
      <c r="Q518" s="9">
        <f>IF(OR($B$9=0,Presion_cilindro!N517&lt;=$B$15),IF(Presion_cilindro!N517&gt;$B$13,1-EXP(-Presion_cilindro!$B$16*((Presion_cilindro!N517-$B$13)/Presion_cilindro!$B$35)^(Presion_cilindro!$B$17+1)),0),$B$8+(1-$B$8)*(1-EXP(-(Presion_cilindro!N517-$B$15)/Presion_cilindro!$B$23)))</f>
        <v>1</v>
      </c>
      <c r="R518" s="10">
        <f>R517*(Presion_cilindro!O516/Presion_cilindro!O517)^Presion_cilindro!$B$9+10*(Presion_cilindro!$B$9-1)*Presion_cilindro!$B$33*(Q518-Q517)/((Presion_cilindro!O516+Presion_cilindro!O517)/2)</f>
        <v>5.771627522223393</v>
      </c>
      <c r="S518" s="10">
        <f>R518+IF(AND($B$9=1,Presion_cilindro!N517&gt;$B$15),Presion_cilindro!$B$24*2.5*EXP(-(Presion_cilindro!N517-$B$15)/Presion_cilindro!$B$26)*SIN(2*PI()*(Presion_cilindro!N517-$B$15)/Presion_cilindro!$B$39),0)</f>
        <v>5.7699372906246209</v>
      </c>
      <c r="T518" s="9">
        <f>IF(Presion_cilindro!N517&gt;$B$14,1-EXP(-Presion_cilindro!$B$16*((Presion_cilindro!N517-$B$14)/Presion_cilindro!$B$35)^(Presion_cilindro!$B$17+1)),0)</f>
        <v>0.99980539666203183</v>
      </c>
      <c r="U518" s="10">
        <f>U517*(Presion_cilindro!O516/Presion_cilindro!O517)^Presion_cilindro!$B$9+10*(Presion_cilindro!$B$9-1)*Presion_cilindro!$B$33*(T518-T517)/((Presion_cilindro!O516+Presion_cilindro!O517)/2)</f>
        <v>6.8130532109638349</v>
      </c>
    </row>
    <row r="519" spans="14:21" x14ac:dyDescent="0.25">
      <c r="N519" s="8">
        <f>-Presion_cilindro!N518</f>
        <v>-77</v>
      </c>
      <c r="O519" s="9">
        <f>IF(Presion_cilindro!N518&gt;$B$12,1-EXP(-Presion_cilindro!$B$16*((Presion_cilindro!N518-$B$12)/Presion_cilindro!$B$35)^(Presion_cilindro!$B$17+1)),0)</f>
        <v>1</v>
      </c>
      <c r="P519" s="10">
        <f>P518*(Presion_cilindro!O517/Presion_cilindro!O518)^Presion_cilindro!$B$9+10*(Presion_cilindro!$B$9-1)*Presion_cilindro!$B$33*(O519-O518)/((Presion_cilindro!O517+Presion_cilindro!O518)/2)</f>
        <v>5.5054287897395087</v>
      </c>
      <c r="Q519" s="9">
        <f>IF(OR($B$9=0,Presion_cilindro!N518&lt;=$B$15),IF(Presion_cilindro!N518&gt;$B$13,1-EXP(-Presion_cilindro!$B$16*((Presion_cilindro!N518-$B$13)/Presion_cilindro!$B$35)^(Presion_cilindro!$B$17+1)),0),$B$8+(1-$B$8)*(1-EXP(-(Presion_cilindro!N518-$B$15)/Presion_cilindro!$B$23)))</f>
        <v>1</v>
      </c>
      <c r="R519" s="10">
        <f>R518*(Presion_cilindro!O517/Presion_cilindro!O518)^Presion_cilindro!$B$9+10*(Presion_cilindro!$B$9-1)*Presion_cilindro!$B$33*(Q519-Q518)/((Presion_cilindro!O517+Presion_cilindro!O518)/2)</f>
        <v>5.7103772696150212</v>
      </c>
      <c r="S519" s="10">
        <f>R519+IF(AND($B$9=1,Presion_cilindro!N518&gt;$B$15),Presion_cilindro!$B$24*2.5*EXP(-(Presion_cilindro!N518-$B$15)/Presion_cilindro!$B$26)*SIN(2*PI()*(Presion_cilindro!N518-$B$15)/Presion_cilindro!$B$39),0)</f>
        <v>5.7098104113701718</v>
      </c>
      <c r="T519" s="9">
        <f>IF(Presion_cilindro!N518&gt;$B$14,1-EXP(-Presion_cilindro!$B$16*((Presion_cilindro!N518-$B$14)/Presion_cilindro!$B$35)^(Presion_cilindro!$B$17+1)),0)</f>
        <v>0.99984350867871885</v>
      </c>
      <c r="U519" s="10">
        <f>U518*(Presion_cilindro!O517/Presion_cilindro!O518)^Presion_cilindro!$B$9+10*(Presion_cilindro!$B$9-1)*Presion_cilindro!$B$33*(T519-T518)/((Presion_cilindro!O517+Presion_cilindro!O518)/2)</f>
        <v>6.7409900157390874</v>
      </c>
    </row>
    <row r="520" spans="14:21" x14ac:dyDescent="0.25">
      <c r="N520" s="8">
        <f>-Presion_cilindro!N519</f>
        <v>-77.5</v>
      </c>
      <c r="O520" s="9">
        <f>IF(Presion_cilindro!N519&gt;$B$12,1-EXP(-Presion_cilindro!$B$16*((Presion_cilindro!N519-$B$12)/Presion_cilindro!$B$35)^(Presion_cilindro!$B$17+1)),0)</f>
        <v>1</v>
      </c>
      <c r="P520" s="10">
        <f>P519*(Presion_cilindro!O518/Presion_cilindro!O519)^Presion_cilindro!$B$9+10*(Presion_cilindro!$B$9-1)*Presion_cilindro!$B$33*(O520-O519)/((Presion_cilindro!O518+Presion_cilindro!O519)/2)</f>
        <v>5.4474858443180079</v>
      </c>
      <c r="Q520" s="9">
        <f>IF(OR($B$9=0,Presion_cilindro!N519&lt;=$B$15),IF(Presion_cilindro!N519&gt;$B$13,1-EXP(-Presion_cilindro!$B$16*((Presion_cilindro!N519-$B$13)/Presion_cilindro!$B$35)^(Presion_cilindro!$B$17+1)),0),$B$8+(1-$B$8)*(1-EXP(-(Presion_cilindro!N519-$B$15)/Presion_cilindro!$B$23)))</f>
        <v>1</v>
      </c>
      <c r="R520" s="10">
        <f>R519*(Presion_cilindro!O518/Presion_cilindro!O519)^Presion_cilindro!$B$9+10*(Presion_cilindro!$B$9-1)*Presion_cilindro!$B$33*(Q520-Q519)/((Presion_cilindro!O518+Presion_cilindro!O519)/2)</f>
        <v>5.6502773044522465</v>
      </c>
      <c r="S520" s="10">
        <f>R520+IF(AND($B$9=1,Presion_cilindro!N519&gt;$B$15),Presion_cilindro!$B$24*2.5*EXP(-(Presion_cilindro!N519-$B$15)/Presion_cilindro!$B$26)*SIN(2*PI()*(Presion_cilindro!N519-$B$15)/Presion_cilindro!$B$39),0)</f>
        <v>5.6518066892479624</v>
      </c>
      <c r="T520" s="9">
        <f>IF(Presion_cilindro!N519&gt;$B$14,1-EXP(-Presion_cilindro!$B$16*((Presion_cilindro!N519-$B$14)/Presion_cilindro!$B$35)^(Presion_cilindro!$B$17+1)),0)</f>
        <v>0.99987461835125069</v>
      </c>
      <c r="U520" s="10">
        <f>U519*(Presion_cilindro!O518/Presion_cilindro!O519)^Presion_cilindro!$B$9+10*(Presion_cilindro!$B$9-1)*Presion_cilindro!$B$33*(T520-T519)/((Presion_cilindro!O518+Presion_cilindro!O519)/2)</f>
        <v>6.6702366890371021</v>
      </c>
    </row>
    <row r="521" spans="14:21" x14ac:dyDescent="0.25">
      <c r="N521" s="8">
        <f>-Presion_cilindro!N520</f>
        <v>-78</v>
      </c>
      <c r="O521" s="9">
        <f>IF(Presion_cilindro!N520&gt;$B$12,1-EXP(-Presion_cilindro!$B$16*((Presion_cilindro!N520-$B$12)/Presion_cilindro!$B$35)^(Presion_cilindro!$B$17+1)),0)</f>
        <v>1</v>
      </c>
      <c r="P521" s="10">
        <f>P520*(Presion_cilindro!O519/Presion_cilindro!O520)^Presion_cilindro!$B$9+10*(Presion_cilindro!$B$9-1)*Presion_cilindro!$B$33*(O521-O520)/((Presion_cilindro!O519+Presion_cilindro!O520)/2)</f>
        <v>5.3906274811344872</v>
      </c>
      <c r="Q521" s="9">
        <f>IF(OR($B$9=0,Presion_cilindro!N520&lt;=$B$15),IF(Presion_cilindro!N520&gt;$B$13,1-EXP(-Presion_cilindro!$B$16*((Presion_cilindro!N520-$B$13)/Presion_cilindro!$B$35)^(Presion_cilindro!$B$17+1)),0),$B$8+(1-$B$8)*(1-EXP(-(Presion_cilindro!N520-$B$15)/Presion_cilindro!$B$23)))</f>
        <v>1</v>
      </c>
      <c r="R521" s="10">
        <f>R520*(Presion_cilindro!O519/Presion_cilindro!O520)^Presion_cilindro!$B$9+10*(Presion_cilindro!$B$9-1)*Presion_cilindro!$B$33*(Q521-Q520)/((Presion_cilindro!O519+Presion_cilindro!O520)/2)</f>
        <v>5.5913022968532378</v>
      </c>
      <c r="S521" s="10">
        <f>R521+IF(AND($B$9=1,Presion_cilindro!N520&gt;$B$15),Presion_cilindro!$B$24*2.5*EXP(-(Presion_cilindro!N520-$B$15)/Presion_cilindro!$B$26)*SIN(2*PI()*(Presion_cilindro!N520-$B$15)/Presion_cilindro!$B$39),0)</f>
        <v>5.5918152114038993</v>
      </c>
      <c r="T521" s="9">
        <f>IF(Presion_cilindro!N520&gt;$B$14,1-EXP(-Presion_cilindro!$B$16*((Presion_cilindro!N520-$B$14)/Presion_cilindro!$B$35)^(Presion_cilindro!$B$17+1)),0)</f>
        <v>0.99989991520685717</v>
      </c>
      <c r="U521" s="10">
        <f>U520*(Presion_cilindro!O519/Presion_cilindro!O520)^Presion_cilindro!$B$9+10*(Presion_cilindro!$B$9-1)*Presion_cilindro!$B$33*(T521-T520)/((Presion_cilindro!O519+Presion_cilindro!O520)/2)</f>
        <v>6.6007719322289811</v>
      </c>
    </row>
    <row r="522" spans="14:21" x14ac:dyDescent="0.25">
      <c r="N522" s="8">
        <f>-Presion_cilindro!N521</f>
        <v>-78.5</v>
      </c>
      <c r="O522" s="9">
        <f>IF(Presion_cilindro!N521&gt;$B$12,1-EXP(-Presion_cilindro!$B$16*((Presion_cilindro!N521-$B$12)/Presion_cilindro!$B$35)^(Presion_cilindro!$B$17+1)),0)</f>
        <v>1</v>
      </c>
      <c r="P522" s="10">
        <f>P521*(Presion_cilindro!O520/Presion_cilindro!O521)^Presion_cilindro!$B$9+10*(Presion_cilindro!$B$9-1)*Presion_cilindro!$B$33*(O522-O521)/((Presion_cilindro!O520+Presion_cilindro!O521)/2)</f>
        <v>5.3348298928224045</v>
      </c>
      <c r="Q522" s="9">
        <f>IF(OR($B$9=0,Presion_cilindro!N521&lt;=$B$15),IF(Presion_cilindro!N521&gt;$B$13,1-EXP(-Presion_cilindro!$B$16*((Presion_cilindro!N521-$B$13)/Presion_cilindro!$B$35)^(Presion_cilindro!$B$17+1)),0),$B$8+(1-$B$8)*(1-EXP(-(Presion_cilindro!N521-$B$15)/Presion_cilindro!$B$23)))</f>
        <v>1</v>
      </c>
      <c r="R522" s="10">
        <f>R521*(Presion_cilindro!O520/Presion_cilindro!O521)^Presion_cilindro!$B$9+10*(Presion_cilindro!$B$9-1)*Presion_cilindro!$B$33*(Q522-Q521)/((Presion_cilindro!O520+Presion_cilindro!O521)/2)</f>
        <v>5.5334275531837749</v>
      </c>
      <c r="S522" s="10">
        <f>R522+IF(AND($B$9=1,Presion_cilindro!N521&gt;$B$15),Presion_cilindro!$B$24*2.5*EXP(-(Presion_cilindro!N521-$B$15)/Presion_cilindro!$B$26)*SIN(2*PI()*(Presion_cilindro!N521-$B$15)/Presion_cilindro!$B$39),0)</f>
        <v>5.5320437085940366</v>
      </c>
      <c r="T522" s="9">
        <f>IF(Presion_cilindro!N521&gt;$B$14,1-EXP(-Presion_cilindro!$B$16*((Presion_cilindro!N521-$B$14)/Presion_cilindro!$B$35)^(Presion_cilindro!$B$17+1)),0)</f>
        <v>0.99992040619455846</v>
      </c>
      <c r="U522" s="10">
        <f>U521*(Presion_cilindro!O520/Presion_cilindro!O521)^Presion_cilindro!$B$9+10*(Presion_cilindro!$B$9-1)*Presion_cilindro!$B$33*(T522-T521)/((Presion_cilindro!O520+Presion_cilindro!O521)/2)</f>
        <v>6.5325737883861494</v>
      </c>
    </row>
    <row r="523" spans="14:21" x14ac:dyDescent="0.25">
      <c r="N523" s="8">
        <f>-Presion_cilindro!N522</f>
        <v>-79</v>
      </c>
      <c r="O523" s="9">
        <f>IF(Presion_cilindro!N522&gt;$B$12,1-EXP(-Presion_cilindro!$B$16*((Presion_cilindro!N522-$B$12)/Presion_cilindro!$B$35)^(Presion_cilindro!$B$17+1)),0)</f>
        <v>1</v>
      </c>
      <c r="P523" s="10">
        <f>P522*(Presion_cilindro!O521/Presion_cilindro!O522)^Presion_cilindro!$B$9+10*(Presion_cilindro!$B$9-1)*Presion_cilindro!$B$33*(O523-O522)/((Presion_cilindro!O521+Presion_cilindro!O522)/2)</f>
        <v>5.2800698690997718</v>
      </c>
      <c r="Q523" s="9">
        <f>IF(OR($B$9=0,Presion_cilindro!N522&lt;=$B$15),IF(Presion_cilindro!N522&gt;$B$13,1-EXP(-Presion_cilindro!$B$16*((Presion_cilindro!N522-$B$13)/Presion_cilindro!$B$35)^(Presion_cilindro!$B$17+1)),0),$B$8+(1-$B$8)*(1-EXP(-(Presion_cilindro!N522-$B$15)/Presion_cilindro!$B$23)))</f>
        <v>1</v>
      </c>
      <c r="R523" s="10">
        <f>R522*(Presion_cilindro!O521/Presion_cilindro!O522)^Presion_cilindro!$B$9+10*(Presion_cilindro!$B$9-1)*Presion_cilindro!$B$33*(Q523-Q522)/((Presion_cilindro!O521+Presion_cilindro!O522)/2)</f>
        <v>5.4766289991216315</v>
      </c>
      <c r="S523" s="10">
        <f>R523+IF(AND($B$9=1,Presion_cilindro!N522&gt;$B$15),Presion_cilindro!$B$24*2.5*EXP(-(Presion_cilindro!N522-$B$15)/Presion_cilindro!$B$26)*SIN(2*PI()*(Presion_cilindro!N522-$B$15)/Presion_cilindro!$B$39),0)</f>
        <v>5.4761648948439374</v>
      </c>
      <c r="T523" s="9">
        <f>IF(Presion_cilindro!N522&gt;$B$14,1-EXP(-Presion_cilindro!$B$16*((Presion_cilindro!N522-$B$14)/Presion_cilindro!$B$35)^(Presion_cilindro!$B$17+1)),0)</f>
        <v>0.99993693997340016</v>
      </c>
      <c r="U523" s="10">
        <f>U522*(Presion_cilindro!O521/Presion_cilindro!O522)^Presion_cilindro!$B$9+10*(Presion_cilindro!$B$9-1)*Presion_cilindro!$B$33*(T523-T522)/((Presion_cilindro!O521+Presion_cilindro!O522)/2)</f>
        <v>6.4656198280932147</v>
      </c>
    </row>
    <row r="524" spans="14:21" x14ac:dyDescent="0.25">
      <c r="N524" s="8">
        <f>-Presion_cilindro!N523</f>
        <v>-79.5</v>
      </c>
      <c r="O524" s="9">
        <f>IF(Presion_cilindro!N523&gt;$B$12,1-EXP(-Presion_cilindro!$B$16*((Presion_cilindro!N523-$B$12)/Presion_cilindro!$B$35)^(Presion_cilindro!$B$17+1)),0)</f>
        <v>1</v>
      </c>
      <c r="P524" s="10">
        <f>P523*(Presion_cilindro!O522/Presion_cilindro!O523)^Presion_cilindro!$B$9+10*(Presion_cilindro!$B$9-1)*Presion_cilindro!$B$33*(O524-O523)/((Presion_cilindro!O522+Presion_cilindro!O523)/2)</f>
        <v>5.2263247808609341</v>
      </c>
      <c r="Q524" s="9">
        <f>IF(OR($B$9=0,Presion_cilindro!N523&lt;=$B$15),IF(Presion_cilindro!N523&gt;$B$13,1-EXP(-Presion_cilindro!$B$16*((Presion_cilindro!N523-$B$13)/Presion_cilindro!$B$35)^(Presion_cilindro!$B$17+1)),0),$B$8+(1-$B$8)*(1-EXP(-(Presion_cilindro!N523-$B$15)/Presion_cilindro!$B$23)))</f>
        <v>1</v>
      </c>
      <c r="R524" s="10">
        <f>R523*(Presion_cilindro!O522/Presion_cilindro!O523)^Presion_cilindro!$B$9+10*(Presion_cilindro!$B$9-1)*Presion_cilindro!$B$33*(Q524-Q523)/((Presion_cilindro!O522+Presion_cilindro!O523)/2)</f>
        <v>5.42088316315614</v>
      </c>
      <c r="S524" s="10">
        <f>R524+IF(AND($B$9=1,Presion_cilindro!N523&gt;$B$15),Presion_cilindro!$B$24*2.5*EXP(-(Presion_cilindro!N523-$B$15)/Presion_cilindro!$B$26)*SIN(2*PI()*(Presion_cilindro!N523-$B$15)/Presion_cilindro!$B$39),0)</f>
        <v>5.4221353175216818</v>
      </c>
      <c r="T524" s="9">
        <f>IF(Presion_cilindro!N523&gt;$B$14,1-EXP(-Presion_cilindro!$B$16*((Presion_cilindro!N523-$B$14)/Presion_cilindro!$B$35)^(Presion_cilindro!$B$17+1)),0)</f>
        <v>0.99995022865344563</v>
      </c>
      <c r="U524" s="10">
        <f>U523*(Presion_cilindro!O522/Presion_cilindro!O523)^Presion_cilindro!$B$9+10*(Presion_cilindro!$B$9-1)*Presion_cilindro!$B$33*(T524-T523)/((Presion_cilindro!O522+Presion_cilindro!O523)/2)</f>
        <v>6.3998873104265206</v>
      </c>
    </row>
    <row r="525" spans="14:21" x14ac:dyDescent="0.25">
      <c r="N525" s="8">
        <f>-Presion_cilindro!N524</f>
        <v>-80</v>
      </c>
      <c r="O525" s="9">
        <f>IF(Presion_cilindro!N524&gt;$B$12,1-EXP(-Presion_cilindro!$B$16*((Presion_cilindro!N524-$B$12)/Presion_cilindro!$B$35)^(Presion_cilindro!$B$17+1)),0)</f>
        <v>1</v>
      </c>
      <c r="P525" s="10">
        <f>P524*(Presion_cilindro!O523/Presion_cilindro!O524)^Presion_cilindro!$B$9+10*(Presion_cilindro!$B$9-1)*Presion_cilindro!$B$33*(O525-O524)/((Presion_cilindro!O523+Presion_cilindro!O524)/2)</f>
        <v>5.1735725646800894</v>
      </c>
      <c r="Q525" s="9">
        <f>IF(OR($B$9=0,Presion_cilindro!N524&lt;=$B$15),IF(Presion_cilindro!N524&gt;$B$13,1-EXP(-Presion_cilindro!$B$16*((Presion_cilindro!N524-$B$13)/Presion_cilindro!$B$35)^(Presion_cilindro!$B$17+1)),0),$B$8+(1-$B$8)*(1-EXP(-(Presion_cilindro!N524-$B$15)/Presion_cilindro!$B$23)))</f>
        <v>1</v>
      </c>
      <c r="R525" s="10">
        <f>R524*(Presion_cilindro!O523/Presion_cilindro!O524)^Presion_cilindro!$B$9+10*(Presion_cilindro!$B$9-1)*Presion_cilindro!$B$33*(Q525-Q524)/((Presion_cilindro!O523+Presion_cilindro!O524)/2)</f>
        <v>5.3661671605148324</v>
      </c>
      <c r="S525" s="10">
        <f>R525+IF(AND($B$9=1,Presion_cilindro!N524&gt;$B$15),Presion_cilindro!$B$24*2.5*EXP(-(Presion_cilindro!N524-$B$15)/Presion_cilindro!$B$26)*SIN(2*PI()*(Presion_cilindro!N524-$B$15)/Presion_cilindro!$B$39),0)</f>
        <v>5.3665870994311602</v>
      </c>
      <c r="T525" s="9">
        <f>IF(Presion_cilindro!N524&gt;$B$14,1-EXP(-Presion_cilindro!$B$16*((Presion_cilindro!N524-$B$14)/Presion_cilindro!$B$35)^(Presion_cilindro!$B$17+1)),0)</f>
        <v>0.99996086713490717</v>
      </c>
      <c r="U525" s="10">
        <f>U524*(Presion_cilindro!O523/Presion_cilindro!O524)^Presion_cilindro!$B$9+10*(Presion_cilindro!$B$9-1)*Presion_cilindro!$B$33*(T525-T524)/((Presion_cilindro!O523+Presion_cilindro!O524)/2)</f>
        <v>6.3353533213623008</v>
      </c>
    </row>
    <row r="526" spans="14:21" x14ac:dyDescent="0.25">
      <c r="N526" s="8">
        <f>-Presion_cilindro!N525</f>
        <v>-80.5</v>
      </c>
      <c r="O526" s="9">
        <f>IF(Presion_cilindro!N525&gt;$B$12,1-EXP(-Presion_cilindro!$B$16*((Presion_cilindro!N525-$B$12)/Presion_cilindro!$B$35)^(Presion_cilindro!$B$17+1)),0)</f>
        <v>1</v>
      </c>
      <c r="P526" s="10">
        <f>P525*(Presion_cilindro!O524/Presion_cilindro!O525)^Presion_cilindro!$B$9+10*(Presion_cilindro!$B$9-1)*Presion_cilindro!$B$33*(O526-O525)/((Presion_cilindro!O524+Presion_cilindro!O525)/2)</f>
        <v>5.1217917077186597</v>
      </c>
      <c r="Q526" s="9">
        <f>IF(OR($B$9=0,Presion_cilindro!N525&lt;=$B$15),IF(Presion_cilindro!N525&gt;$B$13,1-EXP(-Presion_cilindro!$B$16*((Presion_cilindro!N525-$B$13)/Presion_cilindro!$B$35)^(Presion_cilindro!$B$17+1)),0),$B$8+(1-$B$8)*(1-EXP(-(Presion_cilindro!N525-$B$15)/Presion_cilindro!$B$23)))</f>
        <v>1</v>
      </c>
      <c r="R526" s="10">
        <f>R525*(Presion_cilindro!O524/Presion_cilindro!O525)^Presion_cilindro!$B$9+10*(Presion_cilindro!$B$9-1)*Presion_cilindro!$B$33*(Q526-Q525)/((Presion_cilindro!O524+Presion_cilindro!O525)/2)</f>
        <v>5.3124586775089657</v>
      </c>
      <c r="S526" s="10">
        <f>R526+IF(AND($B$9=1,Presion_cilindro!N525&gt;$B$15),Presion_cilindro!$B$24*2.5*EXP(-(Presion_cilindro!N525-$B$15)/Presion_cilindro!$B$26)*SIN(2*PI()*(Presion_cilindro!N525-$B$15)/Presion_cilindro!$B$39),0)</f>
        <v>5.311325681385866</v>
      </c>
      <c r="T526" s="9">
        <f>IF(Presion_cilindro!N525&gt;$B$14,1-EXP(-Presion_cilindro!$B$16*((Presion_cilindro!N525-$B$14)/Presion_cilindro!$B$35)^(Presion_cilindro!$B$17+1)),0)</f>
        <v>0.99996935020541788</v>
      </c>
      <c r="U526" s="10">
        <f>U525*(Presion_cilindro!O524/Presion_cilindro!O525)^Presion_cilindro!$B$9+10*(Presion_cilindro!$B$9-1)*Presion_cilindro!$B$33*(T526-T525)/((Presion_cilindro!O524+Presion_cilindro!O525)/2)</f>
        <v>6.271994891826191</v>
      </c>
    </row>
    <row r="527" spans="14:21" x14ac:dyDescent="0.25">
      <c r="N527" s="8">
        <f>-Presion_cilindro!N526</f>
        <v>-81</v>
      </c>
      <c r="O527" s="9">
        <f>IF(Presion_cilindro!N526&gt;$B$12,1-EXP(-Presion_cilindro!$B$16*((Presion_cilindro!N526-$B$12)/Presion_cilindro!$B$35)^(Presion_cilindro!$B$17+1)),0)</f>
        <v>1</v>
      </c>
      <c r="P527" s="10">
        <f>P526*(Presion_cilindro!O525/Presion_cilindro!O526)^Presion_cilindro!$B$9+10*(Presion_cilindro!$B$9-1)*Presion_cilindro!$B$33*(O527-O526)/((Presion_cilindro!O525+Presion_cilindro!O526)/2)</f>
        <v>5.0709612330285969</v>
      </c>
      <c r="Q527" s="9">
        <f>IF(OR($B$9=0,Presion_cilindro!N526&lt;=$B$15),IF(Presion_cilindro!N526&gt;$B$13,1-EXP(-Presion_cilindro!$B$16*((Presion_cilindro!N526-$B$13)/Presion_cilindro!$B$35)^(Presion_cilindro!$B$17+1)),0),$B$8+(1-$B$8)*(1-EXP(-(Presion_cilindro!N526-$B$15)/Presion_cilindro!$B$23)))</f>
        <v>1</v>
      </c>
      <c r="R527" s="10">
        <f>R526*(Presion_cilindro!O525/Presion_cilindro!O526)^Presion_cilindro!$B$9+10*(Presion_cilindro!$B$9-1)*Presion_cilindro!$B$33*(Q527-Q526)/((Presion_cilindro!O525+Presion_cilindro!O526)/2)</f>
        <v>5.2597359562897141</v>
      </c>
      <c r="S527" s="10">
        <f>R527+IF(AND($B$9=1,Presion_cilindro!N526&gt;$B$15),Presion_cilindro!$B$24*2.5*EXP(-(Presion_cilindro!N526-$B$15)/Presion_cilindro!$B$26)*SIN(2*PI()*(Presion_cilindro!N526-$B$15)/Presion_cilindro!$B$39),0)</f>
        <v>5.2593559798449308</v>
      </c>
      <c r="T527" s="9">
        <f>IF(Presion_cilindro!N526&gt;$B$14,1-EXP(-Presion_cilindro!$B$16*((Presion_cilindro!N526-$B$14)/Presion_cilindro!$B$35)^(Presion_cilindro!$B$17+1)),0)</f>
        <v>0.99997608756450773</v>
      </c>
      <c r="U527" s="10">
        <f>U526*(Presion_cilindro!O525/Presion_cilindro!O526)^Presion_cilindro!$B$9+10*(Presion_cilindro!$B$9-1)*Presion_cilindro!$B$33*(T527-T526)/((Presion_cilindro!O525+Presion_cilindro!O526)/2)</f>
        <v>6.2097890975135295</v>
      </c>
    </row>
    <row r="528" spans="14:21" x14ac:dyDescent="0.25">
      <c r="N528" s="8">
        <f>-Presion_cilindro!N527</f>
        <v>-81.5</v>
      </c>
      <c r="O528" s="9">
        <f>IF(Presion_cilindro!N527&gt;$B$12,1-EXP(-Presion_cilindro!$B$16*((Presion_cilindro!N527-$B$12)/Presion_cilindro!$B$35)^(Presion_cilindro!$B$17+1)),0)</f>
        <v>1</v>
      </c>
      <c r="P528" s="10">
        <f>P527*(Presion_cilindro!O526/Presion_cilindro!O527)^Presion_cilindro!$B$9+10*(Presion_cilindro!$B$9-1)*Presion_cilindro!$B$33*(O528-O527)/((Presion_cilindro!O526+Presion_cilindro!O527)/2)</f>
        <v>5.0210606852434463</v>
      </c>
      <c r="Q528" s="9">
        <f>IF(OR($B$9=0,Presion_cilindro!N527&lt;=$B$15),IF(Presion_cilindro!N527&gt;$B$13,1-EXP(-Presion_cilindro!$B$16*((Presion_cilindro!N527-$B$13)/Presion_cilindro!$B$35)^(Presion_cilindro!$B$17+1)),0),$B$8+(1-$B$8)*(1-EXP(-(Presion_cilindro!N527-$B$15)/Presion_cilindro!$B$23)))</f>
        <v>1</v>
      </c>
      <c r="R528" s="10">
        <f>R527*(Presion_cilindro!O526/Presion_cilindro!O527)^Presion_cilindro!$B$9+10*(Presion_cilindro!$B$9-1)*Presion_cilindro!$B$33*(Q528-Q527)/((Presion_cilindro!O526+Presion_cilindro!O527)/2)</f>
        <v>5.2079777800065647</v>
      </c>
      <c r="S528" s="10">
        <f>R528+IF(AND($B$9=1,Presion_cilindro!N527&gt;$B$15),Presion_cilindro!$B$24*2.5*EXP(-(Presion_cilindro!N527-$B$15)/Presion_cilindro!$B$26)*SIN(2*PI()*(Presion_cilindro!N527-$B$15)/Presion_cilindro!$B$39),0)</f>
        <v>5.2090029572932348</v>
      </c>
      <c r="T528" s="9">
        <f>IF(Presion_cilindro!N527&gt;$B$14,1-EXP(-Presion_cilindro!$B$16*((Presion_cilindro!N527-$B$14)/Presion_cilindro!$B$35)^(Presion_cilindro!$B$17+1)),0)</f>
        <v>0.99998141694856557</v>
      </c>
      <c r="U528" s="10">
        <f>U527*(Presion_cilindro!O526/Presion_cilindro!O527)^Presion_cilindro!$B$9+10*(Presion_cilindro!$B$9-1)*Presion_cilindro!$B$33*(T528-T527)/((Presion_cilindro!O526+Presion_cilindro!O527)/2)</f>
        <v>6.148713142503853</v>
      </c>
    </row>
    <row r="529" spans="14:21" x14ac:dyDescent="0.25">
      <c r="N529" s="8">
        <f>-Presion_cilindro!N528</f>
        <v>-82</v>
      </c>
      <c r="O529" s="9">
        <f>IF(Presion_cilindro!N528&gt;$B$12,1-EXP(-Presion_cilindro!$B$16*((Presion_cilindro!N528-$B$12)/Presion_cilindro!$B$35)^(Presion_cilindro!$B$17+1)),0)</f>
        <v>1</v>
      </c>
      <c r="P529" s="10">
        <f>P528*(Presion_cilindro!O527/Presion_cilindro!O528)^Presion_cilindro!$B$9+10*(Presion_cilindro!$B$9-1)*Presion_cilindro!$B$33*(O529-O528)/((Presion_cilindro!O527+Presion_cilindro!O528)/2)</f>
        <v>4.9720701166490695</v>
      </c>
      <c r="Q529" s="9">
        <f>IF(OR($B$9=0,Presion_cilindro!N528&lt;=$B$15),IF(Presion_cilindro!N528&gt;$B$13,1-EXP(-Presion_cilindro!$B$16*((Presion_cilindro!N528-$B$13)/Presion_cilindro!$B$35)^(Presion_cilindro!$B$17+1)),0),$B$8+(1-$B$8)*(1-EXP(-(Presion_cilindro!N528-$B$15)/Presion_cilindro!$B$23)))</f>
        <v>1</v>
      </c>
      <c r="R529" s="10">
        <f>R528*(Presion_cilindro!O527/Presion_cilindro!O528)^Presion_cilindro!$B$9+10*(Presion_cilindro!$B$9-1)*Presion_cilindro!$B$33*(Q529-Q528)/((Presion_cilindro!O527+Presion_cilindro!O528)/2)</f>
        <v>5.1571634583594985</v>
      </c>
      <c r="S529" s="10">
        <f>R529+IF(AND($B$9=1,Presion_cilindro!N528&gt;$B$15),Presion_cilindro!$B$24*2.5*EXP(-(Presion_cilindro!N528-$B$15)/Presion_cilindro!$B$26)*SIN(2*PI()*(Presion_cilindro!N528-$B$15)/Presion_cilindro!$B$39),0)</f>
        <v>5.1575072752647104</v>
      </c>
      <c r="T529" s="9">
        <f>IF(Presion_cilindro!N528&gt;$B$14,1-EXP(-Presion_cilindro!$B$16*((Presion_cilindro!N528-$B$14)/Presion_cilindro!$B$35)^(Presion_cilindro!$B$17+1)),0)</f>
        <v>0.99998561552969412</v>
      </c>
      <c r="U529" s="10">
        <f>U528*(Presion_cilindro!O527/Presion_cilindro!O528)^Presion_cilindro!$B$9+10*(Presion_cilindro!$B$9-1)*Presion_cilindro!$B$33*(T529-T528)/((Presion_cilindro!O527+Presion_cilindro!O528)/2)</f>
        <v>6.0887444285701271</v>
      </c>
    </row>
    <row r="530" spans="14:21" x14ac:dyDescent="0.25">
      <c r="N530" s="8">
        <f>-Presion_cilindro!N529</f>
        <v>-82.5</v>
      </c>
      <c r="O530" s="9">
        <f>IF(Presion_cilindro!N529&gt;$B$12,1-EXP(-Presion_cilindro!$B$16*((Presion_cilindro!N529-$B$12)/Presion_cilindro!$B$35)^(Presion_cilindro!$B$17+1)),0)</f>
        <v>1</v>
      </c>
      <c r="P530" s="10">
        <f>P529*(Presion_cilindro!O528/Presion_cilindro!O529)^Presion_cilindro!$B$9+10*(Presion_cilindro!$B$9-1)*Presion_cilindro!$B$33*(O530-O529)/((Presion_cilindro!O528+Presion_cilindro!O529)/2)</f>
        <v>4.9239700736257888</v>
      </c>
      <c r="Q530" s="9">
        <f>IF(OR($B$9=0,Presion_cilindro!N529&lt;=$B$15),IF(Presion_cilindro!N529&gt;$B$13,1-EXP(-Presion_cilindro!$B$16*((Presion_cilindro!N529-$B$13)/Presion_cilindro!$B$35)^(Presion_cilindro!$B$17+1)),0),$B$8+(1-$B$8)*(1-EXP(-(Presion_cilindro!N529-$B$15)/Presion_cilindro!$B$23)))</f>
        <v>1</v>
      </c>
      <c r="R530" s="10">
        <f>R529*(Presion_cilindro!O528/Presion_cilindro!O529)^Presion_cilindro!$B$9+10*(Presion_cilindro!$B$9-1)*Presion_cilindro!$B$33*(Q530-Q529)/((Presion_cilindro!O528+Presion_cilindro!O529)/2)</f>
        <v>5.1072728135364196</v>
      </c>
      <c r="S530" s="10">
        <f>R530+IF(AND($B$9=1,Presion_cilindro!N529&gt;$B$15),Presion_cilindro!$B$24*2.5*EXP(-(Presion_cilindro!N529-$B$15)/Presion_cilindro!$B$26)*SIN(2*PI()*(Presion_cilindro!N529-$B$15)/Presion_cilindro!$B$39),0)</f>
        <v>5.1063451947673197</v>
      </c>
      <c r="T530" s="9">
        <f>IF(Presion_cilindro!N529&gt;$B$14,1-EXP(-Presion_cilindro!$B$16*((Presion_cilindro!N529-$B$14)/Presion_cilindro!$B$35)^(Presion_cilindro!$B$17+1)),0)</f>
        <v>0.99998890975858257</v>
      </c>
      <c r="U530" s="10">
        <f>U529*(Presion_cilindro!O528/Presion_cilindro!O529)^Presion_cilindro!$B$9+10*(Presion_cilindro!$B$9-1)*Presion_cilindro!$B$33*(T530-T529)/((Presion_cilindro!O528+Presion_cilindro!O529)/2)</f>
        <v>6.0298606119484495</v>
      </c>
    </row>
    <row r="531" spans="14:21" x14ac:dyDescent="0.25">
      <c r="N531" s="8">
        <f>-Presion_cilindro!N530</f>
        <v>-83</v>
      </c>
      <c r="O531" s="9">
        <f>IF(Presion_cilindro!N530&gt;$B$12,1-EXP(-Presion_cilindro!$B$16*((Presion_cilindro!N530-$B$12)/Presion_cilindro!$B$35)^(Presion_cilindro!$B$17+1)),0)</f>
        <v>1</v>
      </c>
      <c r="P531" s="10">
        <f>P530*(Presion_cilindro!O529/Presion_cilindro!O530)^Presion_cilindro!$B$9+10*(Presion_cilindro!$B$9-1)*Presion_cilindro!$B$33*(O531-O530)/((Presion_cilindro!O529+Presion_cilindro!O530)/2)</f>
        <v>4.8767415834537875</v>
      </c>
      <c r="Q531" s="9">
        <f>IF(OR($B$9=0,Presion_cilindro!N530&lt;=$B$15),IF(Presion_cilindro!N530&gt;$B$13,1-EXP(-Presion_cilindro!$B$16*((Presion_cilindro!N530-$B$13)/Presion_cilindro!$B$35)^(Presion_cilindro!$B$17+1)),0),$B$8+(1-$B$8)*(1-EXP(-(Presion_cilindro!N530-$B$15)/Presion_cilindro!$B$23)))</f>
        <v>1</v>
      </c>
      <c r="R531" s="10">
        <f>R530*(Presion_cilindro!O529/Presion_cilindro!O530)^Presion_cilindro!$B$9+10*(Presion_cilindro!$B$9-1)*Presion_cilindro!$B$33*(Q531-Q530)/((Presion_cilindro!O529+Presion_cilindro!O530)/2)</f>
        <v>5.0582861665273695</v>
      </c>
      <c r="S531" s="10">
        <f>R531+IF(AND($B$9=1,Presion_cilindro!N530&gt;$B$15),Presion_cilindro!$B$24*2.5*EXP(-(Presion_cilindro!N530-$B$15)/Presion_cilindro!$B$26)*SIN(2*PI()*(Presion_cilindro!N530-$B$15)/Presion_cilindro!$B$39),0)</f>
        <v>5.0579750681265807</v>
      </c>
      <c r="T531" s="9">
        <f>IF(Presion_cilindro!N530&gt;$B$14,1-EXP(-Presion_cilindro!$B$16*((Presion_cilindro!N530-$B$14)/Presion_cilindro!$B$35)^(Presion_cilindro!$B$17+1)),0)</f>
        <v>0.99999148381551917</v>
      </c>
      <c r="U531" s="10">
        <f>U530*(Presion_cilindro!O529/Presion_cilindro!O530)^Presion_cilindro!$B$9+10*(Presion_cilindro!$B$9-1)*Presion_cilindro!$B$33*(T531-T530)/((Presion_cilindro!O529+Presion_cilindro!O530)/2)</f>
        <v>5.9720396491925278</v>
      </c>
    </row>
    <row r="532" spans="14:21" x14ac:dyDescent="0.25">
      <c r="N532" s="8">
        <f>-Presion_cilindro!N531</f>
        <v>-83.5</v>
      </c>
      <c r="O532" s="9">
        <f>IF(Presion_cilindro!N531&gt;$B$12,1-EXP(-Presion_cilindro!$B$16*((Presion_cilindro!N531-$B$12)/Presion_cilindro!$B$35)^(Presion_cilindro!$B$17+1)),0)</f>
        <v>1</v>
      </c>
      <c r="P532" s="10">
        <f>P531*(Presion_cilindro!O530/Presion_cilindro!O531)^Presion_cilindro!$B$9+10*(Presion_cilindro!$B$9-1)*Presion_cilindro!$B$33*(O532-O531)/((Presion_cilindro!O530+Presion_cilindro!O531)/2)</f>
        <v>4.8303661414735926</v>
      </c>
      <c r="Q532" s="9">
        <f>IF(OR($B$9=0,Presion_cilindro!N531&lt;=$B$15),IF(Presion_cilindro!N531&gt;$B$13,1-EXP(-Presion_cilindro!$B$16*((Presion_cilindro!N531-$B$13)/Presion_cilindro!$B$35)^(Presion_cilindro!$B$17+1)),0),$B$8+(1-$B$8)*(1-EXP(-(Presion_cilindro!N531-$B$15)/Presion_cilindro!$B$23)))</f>
        <v>1</v>
      </c>
      <c r="R532" s="10">
        <f>R531*(Presion_cilindro!O530/Presion_cilindro!O531)^Presion_cilindro!$B$9+10*(Presion_cilindro!$B$9-1)*Presion_cilindro!$B$33*(Q532-Q531)/((Presion_cilindro!O530+Presion_cilindro!O531)/2)</f>
        <v>5.0101843238070343</v>
      </c>
      <c r="S532" s="10">
        <f>R532+IF(AND($B$9=1,Presion_cilindro!N531&gt;$B$15),Presion_cilindro!$B$24*2.5*EXP(-(Presion_cilindro!N531-$B$15)/Presion_cilindro!$B$26)*SIN(2*PI()*(Presion_cilindro!N531-$B$15)/Presion_cilindro!$B$39),0)</f>
        <v>5.0110236679789883</v>
      </c>
      <c r="T532" s="9">
        <f>IF(Presion_cilindro!N531&gt;$B$14,1-EXP(-Presion_cilindro!$B$16*((Presion_cilindro!N531-$B$14)/Presion_cilindro!$B$35)^(Presion_cilindro!$B$17+1)),0)</f>
        <v>0.99999348682557188</v>
      </c>
      <c r="U532" s="10">
        <f>U531*(Presion_cilindro!O530/Presion_cilindro!O531)^Presion_cilindro!$B$9+10*(Presion_cilindro!$B$9-1)*Presion_cilindro!$B$33*(T532-T531)/((Presion_cilindro!O530+Presion_cilindro!O531)/2)</f>
        <v>5.9152598335931224</v>
      </c>
    </row>
    <row r="533" spans="14:21" x14ac:dyDescent="0.25">
      <c r="N533" s="8">
        <f>-Presion_cilindro!N532</f>
        <v>-84</v>
      </c>
      <c r="O533" s="9">
        <f>IF(Presion_cilindro!N532&gt;$B$12,1-EXP(-Presion_cilindro!$B$16*((Presion_cilindro!N532-$B$12)/Presion_cilindro!$B$35)^(Presion_cilindro!$B$17+1)),0)</f>
        <v>1</v>
      </c>
      <c r="P533" s="10">
        <f>P532*(Presion_cilindro!O531/Presion_cilindro!O532)^Presion_cilindro!$B$9+10*(Presion_cilindro!$B$9-1)*Presion_cilindro!$B$33*(O533-O532)/((Presion_cilindro!O531+Presion_cilindro!O532)/2)</f>
        <v>4.7848256985933828</v>
      </c>
      <c r="Q533" s="9">
        <f>IF(OR($B$9=0,Presion_cilindro!N532&lt;=$B$15),IF(Presion_cilindro!N532&gt;$B$13,1-EXP(-Presion_cilindro!$B$16*((Presion_cilindro!N532-$B$13)/Presion_cilindro!$B$35)^(Presion_cilindro!$B$17+1)),0),$B$8+(1-$B$8)*(1-EXP(-(Presion_cilindro!N532-$B$15)/Presion_cilindro!$B$23)))</f>
        <v>1</v>
      </c>
      <c r="R533" s="10">
        <f>R532*(Presion_cilindro!O531/Presion_cilindro!O532)^Presion_cilindro!$B$9+10*(Presion_cilindro!$B$9-1)*Presion_cilindro!$B$33*(Q533-Q532)/((Presion_cilindro!O531+Presion_cilindro!O532)/2)</f>
        <v>4.9629485643769948</v>
      </c>
      <c r="S533" s="10">
        <f>R533+IF(AND($B$9=1,Presion_cilindro!N532&gt;$B$15),Presion_cilindro!$B$24*2.5*EXP(-(Presion_cilindro!N532-$B$15)/Presion_cilindro!$B$26)*SIN(2*PI()*(Presion_cilindro!N532-$B$15)/Presion_cilindro!$B$39),0)</f>
        <v>4.96323005785072</v>
      </c>
      <c r="T533" s="9">
        <f>IF(Presion_cilindro!N532&gt;$B$14,1-EXP(-Presion_cilindro!$B$16*((Presion_cilindro!N532-$B$14)/Presion_cilindro!$B$35)^(Presion_cilindro!$B$17+1)),0)</f>
        <v>0.9999950389843314</v>
      </c>
      <c r="U533" s="10">
        <f>U532*(Presion_cilindro!O531/Presion_cilindro!O532)^Presion_cilindro!$B$9+10*(Presion_cilindro!$B$9-1)*Presion_cilindro!$B$33*(T533-T532)/((Presion_cilindro!O531+Presion_cilindro!O532)/2)</f>
        <v>5.8594998234991698</v>
      </c>
    </row>
    <row r="534" spans="14:21" x14ac:dyDescent="0.25">
      <c r="N534" s="8">
        <f>-Presion_cilindro!N533</f>
        <v>-84.5</v>
      </c>
      <c r="O534" s="9">
        <f>IF(Presion_cilindro!N533&gt;$B$12,1-EXP(-Presion_cilindro!$B$16*((Presion_cilindro!N533-$B$12)/Presion_cilindro!$B$35)^(Presion_cilindro!$B$17+1)),0)</f>
        <v>1</v>
      </c>
      <c r="P534" s="10">
        <f>P533*(Presion_cilindro!O532/Presion_cilindro!O533)^Presion_cilindro!$B$9+10*(Presion_cilindro!$B$9-1)*Presion_cilindro!$B$33*(O534-O533)/((Presion_cilindro!O532+Presion_cilindro!O533)/2)</f>
        <v>4.740102649135129</v>
      </c>
      <c r="Q534" s="9">
        <f>IF(OR($B$9=0,Presion_cilindro!N533&lt;=$B$15),IF(Presion_cilindro!N533&gt;$B$13,1-EXP(-Presion_cilindro!$B$16*((Presion_cilindro!N533-$B$13)/Presion_cilindro!$B$35)^(Presion_cilindro!$B$17+1)),0),$B$8+(1-$B$8)*(1-EXP(-(Presion_cilindro!N533-$B$15)/Presion_cilindro!$B$23)))</f>
        <v>1</v>
      </c>
      <c r="R534" s="10">
        <f>R533*(Presion_cilindro!O532/Presion_cilindro!O533)^Presion_cilindro!$B$9+10*(Presion_cilindro!$B$9-1)*Presion_cilindro!$B$33*(Q534-Q533)/((Presion_cilindro!O532+Presion_cilindro!O533)/2)</f>
        <v>4.9165606271594173</v>
      </c>
      <c r="S534" s="10">
        <f>R534+IF(AND($B$9=1,Presion_cilindro!N533&gt;$B$15),Presion_cilindro!$B$24*2.5*EXP(-(Presion_cilindro!N533-$B$15)/Presion_cilindro!$B$26)*SIN(2*PI()*(Presion_cilindro!N533-$B$15)/Presion_cilindro!$B$39),0)</f>
        <v>4.9158011571460234</v>
      </c>
      <c r="T534" s="9">
        <f>IF(Presion_cilindro!N533&gt;$B$14,1-EXP(-Presion_cilindro!$B$16*((Presion_cilindro!N533-$B$14)/Presion_cilindro!$B$35)^(Presion_cilindro!$B$17+1)),0)</f>
        <v>0.99999623672996063</v>
      </c>
      <c r="U534" s="10">
        <f>U533*(Presion_cilindro!O532/Presion_cilindro!O533)^Presion_cilindro!$B$9+10*(Presion_cilindro!$B$9-1)*Presion_cilindro!$B$33*(T534-T533)/((Presion_cilindro!O532+Presion_cilindro!O533)/2)</f>
        <v>5.8047386637379592</v>
      </c>
    </row>
    <row r="535" spans="14:21" x14ac:dyDescent="0.25">
      <c r="N535" s="8">
        <f>-Presion_cilindro!N534</f>
        <v>-85</v>
      </c>
      <c r="O535" s="9">
        <f>IF(Presion_cilindro!N534&gt;$B$12,1-EXP(-Presion_cilindro!$B$16*((Presion_cilindro!N534-$B$12)/Presion_cilindro!$B$35)^(Presion_cilindro!$B$17+1)),0)</f>
        <v>1</v>
      </c>
      <c r="P535" s="10">
        <f>P534*(Presion_cilindro!O533/Presion_cilindro!O534)^Presion_cilindro!$B$9+10*(Presion_cilindro!$B$9-1)*Presion_cilindro!$B$33*(O535-O534)/((Presion_cilindro!O533+Presion_cilindro!O534)/2)</f>
        <v>4.6961798190114132</v>
      </c>
      <c r="Q535" s="9">
        <f>IF(OR($B$9=0,Presion_cilindro!N534&lt;=$B$15),IF(Presion_cilindro!N534&gt;$B$13,1-EXP(-Presion_cilindro!$B$16*((Presion_cilindro!N534-$B$13)/Presion_cilindro!$B$35)^(Presion_cilindro!$B$17+1)),0),$B$8+(1-$B$8)*(1-EXP(-(Presion_cilindro!N534-$B$15)/Presion_cilindro!$B$23)))</f>
        <v>1</v>
      </c>
      <c r="R535" s="10">
        <f>R534*(Presion_cilindro!O533/Presion_cilindro!O534)^Presion_cilindro!$B$9+10*(Presion_cilindro!$B$9-1)*Presion_cilindro!$B$33*(Q535-Q534)/((Presion_cilindro!O533+Presion_cilindro!O534)/2)</f>
        <v>4.8710026987337374</v>
      </c>
      <c r="S535" s="10">
        <f>R535+IF(AND($B$9=1,Presion_cilindro!N534&gt;$B$15),Presion_cilindro!$B$24*2.5*EXP(-(Presion_cilindro!N534-$B$15)/Presion_cilindro!$B$26)*SIN(2*PI()*(Presion_cilindro!N534-$B$15)/Presion_cilindro!$B$39),0)</f>
        <v>4.8707479929057778</v>
      </c>
      <c r="T535" s="9">
        <f>IF(Presion_cilindro!N534&gt;$B$14,1-EXP(-Presion_cilindro!$B$16*((Presion_cilindro!N534-$B$14)/Presion_cilindro!$B$35)^(Presion_cilindro!$B$17+1)),0)</f>
        <v>0.99999715708604586</v>
      </c>
      <c r="U535" s="10">
        <f>U534*(Presion_cilindro!O533/Presion_cilindro!O534)^Presion_cilindro!$B$9+10*(Presion_cilindro!$B$9-1)*Presion_cilindro!$B$33*(T535-T534)/((Presion_cilindro!O533+Presion_cilindro!O534)/2)</f>
        <v>5.7509558011976933</v>
      </c>
    </row>
    <row r="536" spans="14:21" x14ac:dyDescent="0.25">
      <c r="N536" s="8">
        <f>-Presion_cilindro!N535</f>
        <v>-85.5</v>
      </c>
      <c r="O536" s="9">
        <f>IF(Presion_cilindro!N535&gt;$B$12,1-EXP(-Presion_cilindro!$B$16*((Presion_cilindro!N535-$B$12)/Presion_cilindro!$B$35)^(Presion_cilindro!$B$17+1)),0)</f>
        <v>1</v>
      </c>
      <c r="P536" s="10">
        <f>P535*(Presion_cilindro!O534/Presion_cilindro!O535)^Presion_cilindro!$B$9+10*(Presion_cilindro!$B$9-1)*Presion_cilindro!$B$33*(O536-O535)/((Presion_cilindro!O534+Presion_cilindro!O535)/2)</f>
        <v>4.6530404542249313</v>
      </c>
      <c r="Q536" s="9">
        <f>IF(OR($B$9=0,Presion_cilindro!N535&lt;=$B$15),IF(Presion_cilindro!N535&gt;$B$13,1-EXP(-Presion_cilindro!$B$16*((Presion_cilindro!N535-$B$13)/Presion_cilindro!$B$35)^(Presion_cilindro!$B$17+1)),0),$B$8+(1-$B$8)*(1-EXP(-(Presion_cilindro!N535-$B$15)/Presion_cilindro!$B$23)))</f>
        <v>1</v>
      </c>
      <c r="R536" s="10">
        <f>R535*(Presion_cilindro!O534/Presion_cilindro!O535)^Presion_cilindro!$B$9+10*(Presion_cilindro!$B$9-1)*Presion_cilindro!$B$33*(Q536-Q535)/((Presion_cilindro!O534+Presion_cilindro!O535)/2)</f>
        <v>4.8262574014080384</v>
      </c>
      <c r="S536" s="10">
        <f>R536+IF(AND($B$9=1,Presion_cilindro!N535&gt;$B$15),Presion_cilindro!$B$24*2.5*EXP(-(Presion_cilindro!N535-$B$15)/Presion_cilindro!$B$26)*SIN(2*PI()*(Presion_cilindro!N535-$B$15)/Presion_cilindro!$B$39),0)</f>
        <v>4.826944598294034</v>
      </c>
      <c r="T536" s="9">
        <f>IF(Presion_cilindro!N535&gt;$B$14,1-EXP(-Presion_cilindro!$B$16*((Presion_cilindro!N535-$B$14)/Presion_cilindro!$B$35)^(Presion_cilindro!$B$17+1)),0)</f>
        <v>0.99999786128828227</v>
      </c>
      <c r="U536" s="10">
        <f>U535*(Presion_cilindro!O534/Presion_cilindro!O535)^Presion_cilindro!$B$9+10*(Presion_cilindro!$B$9-1)*Presion_cilindro!$B$33*(T536-T535)/((Presion_cilindro!O534+Presion_cilindro!O535)/2)</f>
        <v>5.6981310955096447</v>
      </c>
    </row>
    <row r="537" spans="14:21" x14ac:dyDescent="0.25">
      <c r="N537" s="8">
        <f>-Presion_cilindro!N536</f>
        <v>-86</v>
      </c>
      <c r="O537" s="9">
        <f>IF(Presion_cilindro!N536&gt;$B$12,1-EXP(-Presion_cilindro!$B$16*((Presion_cilindro!N536-$B$12)/Presion_cilindro!$B$35)^(Presion_cilindro!$B$17+1)),0)</f>
        <v>1</v>
      </c>
      <c r="P537" s="10">
        <f>P536*(Presion_cilindro!O535/Presion_cilindro!O536)^Presion_cilindro!$B$9+10*(Presion_cilindro!$B$9-1)*Presion_cilindro!$B$33*(O537-O536)/((Presion_cilindro!O535+Presion_cilindro!O536)/2)</f>
        <v>4.6106682096828617</v>
      </c>
      <c r="Q537" s="9">
        <f>IF(OR($B$9=0,Presion_cilindro!N536&lt;=$B$15),IF(Presion_cilindro!N536&gt;$B$13,1-EXP(-Presion_cilindro!$B$16*((Presion_cilindro!N536-$B$13)/Presion_cilindro!$B$35)^(Presion_cilindro!$B$17+1)),0),$B$8+(1-$B$8)*(1-EXP(-(Presion_cilindro!N536-$B$15)/Presion_cilindro!$B$23)))</f>
        <v>1</v>
      </c>
      <c r="R537" s="10">
        <f>R536*(Presion_cilindro!O535/Presion_cilindro!O536)^Presion_cilindro!$B$9+10*(Presion_cilindro!$B$9-1)*Presion_cilindro!$B$33*(Q537-Q536)/((Presion_cilindro!O535+Presion_cilindro!O536)/2)</f>
        <v>4.782307781617015</v>
      </c>
      <c r="S537" s="10">
        <f>R537+IF(AND($B$9=1,Presion_cilindro!N536&gt;$B$15),Presion_cilindro!$B$24*2.5*EXP(-(Presion_cilindro!N536-$B$15)/Presion_cilindro!$B$26)*SIN(2*PI()*(Presion_cilindro!N536-$B$15)/Presion_cilindro!$B$39),0)</f>
        <v>4.7825382489807442</v>
      </c>
      <c r="T537" s="9">
        <f>IF(Presion_cilindro!N536&gt;$B$14,1-EXP(-Presion_cilindro!$B$16*((Presion_cilindro!N536-$B$14)/Presion_cilindro!$B$35)^(Presion_cilindro!$B$17+1)),0)</f>
        <v>0.99999839779664268</v>
      </c>
      <c r="U537" s="10">
        <f>U536*(Presion_cilindro!O535/Presion_cilindro!O536)^Presion_cilindro!$B$9+10*(Presion_cilindro!$B$9-1)*Presion_cilindro!$B$33*(T537-T536)/((Presion_cilindro!O535+Presion_cilindro!O536)/2)</f>
        <v>5.6462448256496494</v>
      </c>
    </row>
    <row r="538" spans="14:21" x14ac:dyDescent="0.25">
      <c r="N538" s="8">
        <f>-Presion_cilindro!N537</f>
        <v>-86.5</v>
      </c>
      <c r="O538" s="9">
        <f>IF(Presion_cilindro!N537&gt;$B$12,1-EXP(-Presion_cilindro!$B$16*((Presion_cilindro!N537-$B$12)/Presion_cilindro!$B$35)^(Presion_cilindro!$B$17+1)),0)</f>
        <v>1</v>
      </c>
      <c r="P538" s="10">
        <f>P537*(Presion_cilindro!O536/Presion_cilindro!O537)^Presion_cilindro!$B$9+10*(Presion_cilindro!$B$9-1)*Presion_cilindro!$B$33*(O538-O537)/((Presion_cilindro!O536+Presion_cilindro!O537)/2)</f>
        <v>4.5690471383181608</v>
      </c>
      <c r="Q538" s="9">
        <f>IF(OR($B$9=0,Presion_cilindro!N537&lt;=$B$15),IF(Presion_cilindro!N537&gt;$B$13,1-EXP(-Presion_cilindro!$B$16*((Presion_cilindro!N537-$B$13)/Presion_cilindro!$B$35)^(Presion_cilindro!$B$17+1)),0),$B$8+(1-$B$8)*(1-EXP(-(Presion_cilindro!N537-$B$15)/Presion_cilindro!$B$23)))</f>
        <v>1</v>
      </c>
      <c r="R538" s="10">
        <f>R537*(Presion_cilindro!O536/Presion_cilindro!O537)^Presion_cilindro!$B$9+10*(Presion_cilindro!$B$9-1)*Presion_cilindro!$B$33*(Q538-Q537)/((Presion_cilindro!O536+Presion_cilindro!O537)/2)</f>
        <v>4.739137298638294</v>
      </c>
      <c r="S538" s="10">
        <f>R538+IF(AND($B$9=1,Presion_cilindro!N537&gt;$B$15),Presion_cilindro!$B$24*2.5*EXP(-(Presion_cilindro!N537-$B$15)/Presion_cilindro!$B$26)*SIN(2*PI()*(Presion_cilindro!N537-$B$15)/Presion_cilindro!$B$39),0)</f>
        <v>4.7385154971822878</v>
      </c>
      <c r="T538" s="9">
        <f>IF(Presion_cilindro!N537&gt;$B$14,1-EXP(-Presion_cilindro!$B$16*((Presion_cilindro!N537-$B$14)/Presion_cilindro!$B$35)^(Presion_cilindro!$B$17+1)),0)</f>
        <v>0.99999880478362591</v>
      </c>
      <c r="U538" s="10">
        <f>U537*(Presion_cilindro!O536/Presion_cilindro!O537)^Presion_cilindro!$B$9+10*(Presion_cilindro!$B$9-1)*Presion_cilindro!$B$33*(T538-T537)/((Presion_cilindro!O536+Presion_cilindro!O537)/2)</f>
        <v>5.5952776931703179</v>
      </c>
    </row>
    <row r="539" spans="14:21" x14ac:dyDescent="0.25">
      <c r="N539" s="8">
        <f>-Presion_cilindro!N538</f>
        <v>-87</v>
      </c>
      <c r="O539" s="9">
        <f>IF(Presion_cilindro!N538&gt;$B$12,1-EXP(-Presion_cilindro!$B$16*((Presion_cilindro!N538-$B$12)/Presion_cilindro!$B$35)^(Presion_cilindro!$B$17+1)),0)</f>
        <v>1</v>
      </c>
      <c r="P539" s="10">
        <f>P538*(Presion_cilindro!O537/Presion_cilindro!O538)^Presion_cilindro!$B$9+10*(Presion_cilindro!$B$9-1)*Presion_cilindro!$B$33*(O539-O538)/((Presion_cilindro!O537+Presion_cilindro!O538)/2)</f>
        <v>4.5281616805101867</v>
      </c>
      <c r="Q539" s="9">
        <f>IF(OR($B$9=0,Presion_cilindro!N538&lt;=$B$15),IF(Presion_cilindro!N538&gt;$B$13,1-EXP(-Presion_cilindro!$B$16*((Presion_cilindro!N538-$B$13)/Presion_cilindro!$B$35)^(Presion_cilindro!$B$17+1)),0),$B$8+(1-$B$8)*(1-EXP(-(Presion_cilindro!N538-$B$15)/Presion_cilindro!$B$23)))</f>
        <v>1</v>
      </c>
      <c r="R539" s="10">
        <f>R538*(Presion_cilindro!O537/Presion_cilindro!O538)^Presion_cilindro!$B$9+10*(Presion_cilindro!$B$9-1)*Presion_cilindro!$B$33*(Q539-Q538)/((Presion_cilindro!O537+Presion_cilindro!O538)/2)</f>
        <v>4.6967298136192195</v>
      </c>
      <c r="S539" s="10">
        <f>R539+IF(AND($B$9=1,Presion_cilindro!N538&gt;$B$15),Presion_cilindro!$B$24*2.5*EXP(-(Presion_cilindro!N538-$B$15)/Presion_cilindro!$B$26)*SIN(2*PI()*(Presion_cilindro!N538-$B$15)/Presion_cilindro!$B$39),0)</f>
        <v>4.6965212781248811</v>
      </c>
      <c r="T539" s="9">
        <f>IF(Presion_cilindro!N538&gt;$B$14,1-EXP(-Presion_cilindro!$B$16*((Presion_cilindro!N538-$B$14)/Presion_cilindro!$B$35)^(Presion_cilindro!$B$17+1)),0)</f>
        <v>0.99999911217863346</v>
      </c>
      <c r="U539" s="10">
        <f>U538*(Presion_cilindro!O537/Presion_cilindro!O538)^Presion_cilindro!$B$9+10*(Presion_cilindro!$B$9-1)*Presion_cilindro!$B$33*(T539-T538)/((Presion_cilindro!O537+Presion_cilindro!O538)/2)</f>
        <v>5.5452108226771308</v>
      </c>
    </row>
    <row r="540" spans="14:21" x14ac:dyDescent="0.25">
      <c r="N540" s="8">
        <f>-Presion_cilindro!N539</f>
        <v>-87.5</v>
      </c>
      <c r="O540" s="9">
        <f>IF(Presion_cilindro!N539&gt;$B$12,1-EXP(-Presion_cilindro!$B$16*((Presion_cilindro!N539-$B$12)/Presion_cilindro!$B$35)^(Presion_cilindro!$B$17+1)),0)</f>
        <v>1</v>
      </c>
      <c r="P540" s="10">
        <f>P539*(Presion_cilindro!O538/Presion_cilindro!O539)^Presion_cilindro!$B$9+10*(Presion_cilindro!$B$9-1)*Presion_cilindro!$B$33*(O540-O539)/((Presion_cilindro!O538+Presion_cilindro!O539)/2)</f>
        <v>4.4879966537969675</v>
      </c>
      <c r="Q540" s="9">
        <f>IF(OR($B$9=0,Presion_cilindro!N539&lt;=$B$15),IF(Presion_cilindro!N539&gt;$B$13,1-EXP(-Presion_cilindro!$B$16*((Presion_cilindro!N539-$B$13)/Presion_cilindro!$B$35)^(Presion_cilindro!$B$17+1)),0),$B$8+(1-$B$8)*(1-EXP(-(Presion_cilindro!N539-$B$15)/Presion_cilindro!$B$23)))</f>
        <v>1</v>
      </c>
      <c r="R540" s="10">
        <f>R539*(Presion_cilindro!O538/Presion_cilindro!O539)^Presion_cilindro!$B$9+10*(Presion_cilindro!$B$9-1)*Presion_cilindro!$B$33*(Q540-Q539)/((Presion_cilindro!O538+Presion_cilindro!O539)/2)</f>
        <v>4.6550695789061489</v>
      </c>
      <c r="S540" s="10">
        <f>R540+IF(AND($B$9=1,Presion_cilindro!N539&gt;$B$15),Presion_cilindro!$B$24*2.5*EXP(-(Presion_cilindro!N539-$B$15)/Presion_cilindro!$B$26)*SIN(2*PI()*(Presion_cilindro!N539-$B$15)/Presion_cilindro!$B$39),0)</f>
        <v>4.6556322081301325</v>
      </c>
      <c r="T540" s="9">
        <f>IF(Presion_cilindro!N539&gt;$B$14,1-EXP(-Presion_cilindro!$B$16*((Presion_cilindro!N539-$B$14)/Presion_cilindro!$B$35)^(Presion_cilindro!$B$17+1)),0)</f>
        <v>0.9999993433386335</v>
      </c>
      <c r="U540" s="10">
        <f>U539*(Presion_cilindro!O538/Presion_cilindro!O539)^Presion_cilindro!$B$9+10*(Presion_cilindro!$B$9-1)*Presion_cilindro!$B$33*(T540-T539)/((Presion_cilindro!O538+Presion_cilindro!O539)/2)</f>
        <v>5.4960257600728255</v>
      </c>
    </row>
    <row r="541" spans="14:21" x14ac:dyDescent="0.25">
      <c r="N541" s="8">
        <f>-Presion_cilindro!N540</f>
        <v>-88</v>
      </c>
      <c r="O541" s="9">
        <f>IF(Presion_cilindro!N540&gt;$B$12,1-EXP(-Presion_cilindro!$B$16*((Presion_cilindro!N540-$B$12)/Presion_cilindro!$B$35)^(Presion_cilindro!$B$17+1)),0)</f>
        <v>1</v>
      </c>
      <c r="P541" s="10">
        <f>P540*(Presion_cilindro!O539/Presion_cilindro!O540)^Presion_cilindro!$B$9+10*(Presion_cilindro!$B$9-1)*Presion_cilindro!$B$33*(O541-O540)/((Presion_cilindro!O539+Presion_cilindro!O540)/2)</f>
        <v>4.4485372428716685</v>
      </c>
      <c r="Q541" s="9">
        <f>IF(OR($B$9=0,Presion_cilindro!N540&lt;=$B$15),IF(Presion_cilindro!N540&gt;$B$13,1-EXP(-Presion_cilindro!$B$16*((Presion_cilindro!N540-$B$13)/Presion_cilindro!$B$35)^(Presion_cilindro!$B$17+1)),0),$B$8+(1-$B$8)*(1-EXP(-(Presion_cilindro!N540-$B$15)/Presion_cilindro!$B$23)))</f>
        <v>1</v>
      </c>
      <c r="R541" s="10">
        <f>R540*(Presion_cilindro!O539/Presion_cilindro!O540)^Presion_cilindro!$B$9+10*(Presion_cilindro!$B$9-1)*Presion_cilindro!$B$33*(Q541-Q540)/((Presion_cilindro!O539+Presion_cilindro!O540)/2)</f>
        <v>4.614141227668517</v>
      </c>
      <c r="S541" s="10">
        <f>R541+IF(AND($B$9=1,Presion_cilindro!N540&gt;$B$15),Presion_cilindro!$B$24*2.5*EXP(-(Presion_cilindro!N540-$B$15)/Presion_cilindro!$B$26)*SIN(2*PI()*(Presion_cilindro!N540-$B$15)/Presion_cilindro!$B$39),0)</f>
        <v>4.6143299183867832</v>
      </c>
      <c r="T541" s="9">
        <f>IF(Presion_cilindro!N540&gt;$B$14,1-EXP(-Presion_cilindro!$B$16*((Presion_cilindro!N540-$B$14)/Presion_cilindro!$B$35)^(Presion_cilindro!$B$17+1)),0)</f>
        <v>0.99999951640610674</v>
      </c>
      <c r="U541" s="10">
        <f>U540*(Presion_cilindro!O539/Presion_cilindro!O540)^Presion_cilindro!$B$9+10*(Presion_cilindro!$B$9-1)*Presion_cilindro!$B$33*(T541-T540)/((Presion_cilindro!O539+Presion_cilindro!O540)/2)</f>
        <v>5.4477044690155019</v>
      </c>
    </row>
    <row r="542" spans="14:21" x14ac:dyDescent="0.25">
      <c r="N542" s="8">
        <f>-Presion_cilindro!N541</f>
        <v>-88.5</v>
      </c>
      <c r="O542" s="9">
        <f>IF(Presion_cilindro!N541&gt;$B$12,1-EXP(-Presion_cilindro!$B$16*((Presion_cilindro!N541-$B$12)/Presion_cilindro!$B$35)^(Presion_cilindro!$B$17+1)),0)</f>
        <v>1</v>
      </c>
      <c r="P542" s="10">
        <f>P541*(Presion_cilindro!O540/Presion_cilindro!O541)^Presion_cilindro!$B$9+10*(Presion_cilindro!$B$9-1)*Presion_cilindro!$B$33*(O542-O541)/((Presion_cilindro!O540+Presion_cilindro!O541)/2)</f>
        <v>4.4097689898558867</v>
      </c>
      <c r="Q542" s="9">
        <f>IF(OR($B$9=0,Presion_cilindro!N541&lt;=$B$15),IF(Presion_cilindro!N541&gt;$B$13,1-EXP(-Presion_cilindro!$B$16*((Presion_cilindro!N541-$B$13)/Presion_cilindro!$B$35)^(Presion_cilindro!$B$17+1)),0),$B$8+(1-$B$8)*(1-EXP(-(Presion_cilindro!N541-$B$15)/Presion_cilindro!$B$23)))</f>
        <v>1</v>
      </c>
      <c r="R542" s="10">
        <f>R541*(Presion_cilindro!O540/Presion_cilindro!O541)^Presion_cilindro!$B$9+10*(Presion_cilindro!$B$9-1)*Presion_cilindro!$B$33*(Q542-Q541)/((Presion_cilindro!O540+Presion_cilindro!O541)/2)</f>
        <v>4.5739297638100442</v>
      </c>
      <c r="S542" s="10">
        <f>R542+IF(AND($B$9=1,Presion_cilindro!N541&gt;$B$15),Presion_cilindro!$B$24*2.5*EXP(-(Presion_cilindro!N541-$B$15)/Presion_cilindro!$B$26)*SIN(2*PI()*(Presion_cilindro!N541-$B$15)/Presion_cilindro!$B$39),0)</f>
        <v>4.5734206758357034</v>
      </c>
      <c r="T542" s="9">
        <f>IF(Presion_cilindro!N541&gt;$B$14,1-EXP(-Presion_cilindro!$B$16*((Presion_cilindro!N541-$B$14)/Presion_cilindro!$B$35)^(Presion_cilindro!$B$17+1)),0)</f>
        <v>0.999999645406907</v>
      </c>
      <c r="U542" s="10">
        <f>U541*(Presion_cilindro!O540/Presion_cilindro!O541)^Presion_cilindro!$B$9+10*(Presion_cilindro!$B$9-1)*Presion_cilindro!$B$33*(T542-T541)/((Presion_cilindro!O540+Presion_cilindro!O541)/2)</f>
        <v>5.4002293259660581</v>
      </c>
    </row>
    <row r="543" spans="14:21" x14ac:dyDescent="0.25">
      <c r="N543" s="8">
        <f>-Presion_cilindro!N542</f>
        <v>-89</v>
      </c>
      <c r="O543" s="9">
        <f>IF(Presion_cilindro!N542&gt;$B$12,1-EXP(-Presion_cilindro!$B$16*((Presion_cilindro!N542-$B$12)/Presion_cilindro!$B$35)^(Presion_cilindro!$B$17+1)),0)</f>
        <v>1</v>
      </c>
      <c r="P543" s="10">
        <f>P542*(Presion_cilindro!O541/Presion_cilindro!O542)^Presion_cilindro!$B$9+10*(Presion_cilindro!$B$9-1)*Presion_cilindro!$B$33*(O543-O542)/((Presion_cilindro!O541+Presion_cilindro!O542)/2)</f>
        <v>4.371677784842511</v>
      </c>
      <c r="Q543" s="9">
        <f>IF(OR($B$9=0,Presion_cilindro!N542&lt;=$B$15),IF(Presion_cilindro!N542&gt;$B$13,1-EXP(-Presion_cilindro!$B$16*((Presion_cilindro!N542-$B$13)/Presion_cilindro!$B$35)^(Presion_cilindro!$B$17+1)),0),$B$8+(1-$B$8)*(1-EXP(-(Presion_cilindro!N542-$B$15)/Presion_cilindro!$B$23)))</f>
        <v>1</v>
      </c>
      <c r="R543" s="10">
        <f>R542*(Presion_cilindro!O541/Presion_cilindro!O542)^Presion_cilindro!$B$9+10*(Presion_cilindro!$B$9-1)*Presion_cilindro!$B$33*(Q543-Q542)/((Presion_cilindro!O541+Presion_cilindro!O542)/2)</f>
        <v>4.5344205521595349</v>
      </c>
      <c r="S543" s="10">
        <f>R543+IF(AND($B$9=1,Presion_cilindro!N542&gt;$B$15),Presion_cilindro!$B$24*2.5*EXP(-(Presion_cilindro!N542-$B$15)/Presion_cilindro!$B$26)*SIN(2*PI()*(Presion_cilindro!N542-$B$15)/Presion_cilindro!$B$39),0)</f>
        <v>4.5342498177372113</v>
      </c>
      <c r="T543" s="9">
        <f>IF(Presion_cilindro!N542&gt;$B$14,1-EXP(-Presion_cilindro!$B$16*((Presion_cilindro!N542-$B$14)/Presion_cilindro!$B$35)^(Presion_cilindro!$B$17+1)),0)</f>
        <v>0.99999974113310719</v>
      </c>
      <c r="U543" s="10">
        <f>U542*(Presion_cilindro!O541/Presion_cilindro!O542)^Presion_cilindro!$B$9+10*(Presion_cilindro!$B$9-1)*Presion_cilindro!$B$33*(T543-T542)/((Presion_cilindro!O541+Presion_cilindro!O542)/2)</f>
        <v>5.3535831141393198</v>
      </c>
    </row>
    <row r="544" spans="14:21" x14ac:dyDescent="0.25">
      <c r="N544" s="8">
        <f>-Presion_cilindro!N543</f>
        <v>-89.5</v>
      </c>
      <c r="O544" s="9">
        <f>IF(Presion_cilindro!N543&gt;$B$12,1-EXP(-Presion_cilindro!$B$16*((Presion_cilindro!N543-$B$12)/Presion_cilindro!$B$35)^(Presion_cilindro!$B$17+1)),0)</f>
        <v>1</v>
      </c>
      <c r="P544" s="10">
        <f>P543*(Presion_cilindro!O542/Presion_cilindro!O543)^Presion_cilindro!$B$9+10*(Presion_cilindro!$B$9-1)*Presion_cilindro!$B$33*(O544-O543)/((Presion_cilindro!O542+Presion_cilindro!O543)/2)</f>
        <v>4.3342498567011223</v>
      </c>
      <c r="Q544" s="9">
        <f>IF(OR($B$9=0,Presion_cilindro!N543&lt;=$B$15),IF(Presion_cilindro!N543&gt;$B$13,1-EXP(-Presion_cilindro!$B$16*((Presion_cilindro!N543-$B$13)/Presion_cilindro!$B$35)^(Presion_cilindro!$B$17+1)),0),$B$8+(1-$B$8)*(1-EXP(-(Presion_cilindro!N543-$B$15)/Presion_cilindro!$B$23)))</f>
        <v>1</v>
      </c>
      <c r="R544" s="10">
        <f>R543*(Presion_cilindro!O542/Presion_cilindro!O543)^Presion_cilindro!$B$9+10*(Presion_cilindro!$B$9-1)*Presion_cilindro!$B$33*(Q544-Q543)/((Presion_cilindro!O542+Presion_cilindro!O543)/2)</f>
        <v>4.4955993089339943</v>
      </c>
      <c r="S544" s="10">
        <f>R544+IF(AND($B$9=1,Presion_cilindro!N543&gt;$B$15),Presion_cilindro!$B$24*2.5*EXP(-(Presion_cilindro!N543-$B$15)/Presion_cilindro!$B$26)*SIN(2*PI()*(Presion_cilindro!N543-$B$15)/Presion_cilindro!$B$39),0)</f>
        <v>4.4960599507822501</v>
      </c>
      <c r="T544" s="9">
        <f>IF(Presion_cilindro!N543&gt;$B$14,1-EXP(-Presion_cilindro!$B$16*((Presion_cilindro!N543-$B$14)/Presion_cilindro!$B$35)^(Presion_cilindro!$B$17+1)),0)</f>
        <v>0.99999981184915265</v>
      </c>
      <c r="U544" s="10">
        <f>U543*(Presion_cilindro!O542/Presion_cilindro!O543)^Presion_cilindro!$B$9+10*(Presion_cilindro!$B$9-1)*Presion_cilindro!$B$33*(T544-T543)/((Presion_cilindro!O542+Presion_cilindro!O543)/2)</f>
        <v>5.3077490166202708</v>
      </c>
    </row>
    <row r="545" spans="14:21" x14ac:dyDescent="0.25">
      <c r="N545" s="8">
        <f>-Presion_cilindro!N544</f>
        <v>-90</v>
      </c>
      <c r="O545" s="9">
        <f>IF(Presion_cilindro!N544&gt;$B$12,1-EXP(-Presion_cilindro!$B$16*((Presion_cilindro!N544-$B$12)/Presion_cilindro!$B$35)^(Presion_cilindro!$B$17+1)),0)</f>
        <v>1</v>
      </c>
      <c r="P545" s="10">
        <f>P544*(Presion_cilindro!O543/Presion_cilindro!O544)^Presion_cilindro!$B$9+10*(Presion_cilindro!$B$9-1)*Presion_cilindro!$B$33*(O545-O544)/((Presion_cilindro!O543+Presion_cilindro!O544)/2)</f>
        <v>4.297471764138824</v>
      </c>
      <c r="Q545" s="9">
        <f>IF(OR($B$9=0,Presion_cilindro!N544&lt;=$B$15),IF(Presion_cilindro!N544&gt;$B$13,1-EXP(-Presion_cilindro!$B$16*((Presion_cilindro!N544-$B$13)/Presion_cilindro!$B$35)^(Presion_cilindro!$B$17+1)),0),$B$8+(1-$B$8)*(1-EXP(-(Presion_cilindro!N544-$B$15)/Presion_cilindro!$B$23)))</f>
        <v>1</v>
      </c>
      <c r="R545" s="10">
        <f>R544*(Presion_cilindro!O543/Presion_cilindro!O544)^Presion_cilindro!$B$9+10*(Presion_cilindro!$B$9-1)*Presion_cilindro!$B$33*(Q545-Q544)/((Presion_cilindro!O543+Presion_cilindro!O544)/2)</f>
        <v>4.4574520924666858</v>
      </c>
      <c r="S545" s="10">
        <f>R545+IF(AND($B$9=1,Presion_cilindro!N544&gt;$B$15),Presion_cilindro!$B$24*2.5*EXP(-(Presion_cilindro!N544-$B$15)/Presion_cilindro!$B$26)*SIN(2*PI()*(Presion_cilindro!N544-$B$15)/Presion_cilindro!$B$39),0)</f>
        <v>4.4576065793605508</v>
      </c>
      <c r="T545" s="9">
        <f>IF(Presion_cilindro!N544&gt;$B$14,1-EXP(-Presion_cilindro!$B$16*((Presion_cilindro!N544-$B$14)/Presion_cilindro!$B$35)^(Presion_cilindro!$B$17+1)),0)</f>
        <v>0.99999986385367334</v>
      </c>
      <c r="U545" s="10">
        <f>U544*(Presion_cilindro!O543/Presion_cilindro!O544)^Presion_cilindro!$B$9+10*(Presion_cilindro!$B$9-1)*Presion_cilindro!$B$33*(T545-T544)/((Presion_cilindro!O543+Presion_cilindro!O544)/2)</f>
        <v>5.2627106088607585</v>
      </c>
    </row>
    <row r="546" spans="14:21" x14ac:dyDescent="0.25">
      <c r="N546" s="8">
        <f>-Presion_cilindro!N545</f>
        <v>-90.5</v>
      </c>
      <c r="O546" s="9">
        <f>IF(Presion_cilindro!N545&gt;$B$12,1-EXP(-Presion_cilindro!$B$16*((Presion_cilindro!N545-$B$12)/Presion_cilindro!$B$35)^(Presion_cilindro!$B$17+1)),0)</f>
        <v>1</v>
      </c>
      <c r="P546" s="10">
        <f>P545*(Presion_cilindro!O544/Presion_cilindro!O545)^Presion_cilindro!$B$9+10*(Presion_cilindro!$B$9-1)*Presion_cilindro!$B$33*(O546-O545)/((Presion_cilindro!O544+Presion_cilindro!O545)/2)</f>
        <v>4.261330387009818</v>
      </c>
      <c r="Q546" s="9">
        <f>IF(OR($B$9=0,Presion_cilindro!N545&lt;=$B$15),IF(Presion_cilindro!N545&gt;$B$13,1-EXP(-Presion_cilindro!$B$16*((Presion_cilindro!N545-$B$13)/Presion_cilindro!$B$35)^(Presion_cilindro!$B$17+1)),0),$B$8+(1-$B$8)*(1-EXP(-(Presion_cilindro!N545-$B$15)/Presion_cilindro!$B$23)))</f>
        <v>1</v>
      </c>
      <c r="R546" s="10">
        <f>R545*(Presion_cilindro!O544/Presion_cilindro!O545)^Presion_cilindro!$B$9+10*(Presion_cilindro!$B$9-1)*Presion_cilindro!$B$33*(Q546-Q545)/((Presion_cilindro!O544+Presion_cilindro!O545)/2)</f>
        <v>4.4199652941931902</v>
      </c>
      <c r="S546" s="10">
        <f>R546+IF(AND($B$9=1,Presion_cilindro!N545&gt;$B$15),Presion_cilindro!$B$24*2.5*EXP(-(Presion_cilindro!N545-$B$15)/Presion_cilindro!$B$26)*SIN(2*PI()*(Presion_cilindro!N545-$B$15)/Presion_cilindro!$B$39),0)</f>
        <v>4.4195484882125751</v>
      </c>
      <c r="T546" s="9">
        <f>IF(Presion_cilindro!N545&gt;$B$14,1-EXP(-Presion_cilindro!$B$16*((Presion_cilindro!N545-$B$14)/Presion_cilindro!$B$35)^(Presion_cilindro!$B$17+1)),0)</f>
        <v>0.99999990192407484</v>
      </c>
      <c r="U546" s="10">
        <f>U545*(Presion_cilindro!O544/Presion_cilindro!O545)^Presion_cilindro!$B$9+10*(Presion_cilindro!$B$9-1)*Presion_cilindro!$B$33*(T546-T545)/((Presion_cilindro!O544+Presion_cilindro!O545)/2)</f>
        <v>5.2184518507332758</v>
      </c>
    </row>
    <row r="547" spans="14:21" x14ac:dyDescent="0.25">
      <c r="N547" s="8">
        <f>-Presion_cilindro!N546</f>
        <v>-91</v>
      </c>
      <c r="O547" s="9">
        <f>IF(Presion_cilindro!N546&gt;$B$12,1-EXP(-Presion_cilindro!$B$16*((Presion_cilindro!N546-$B$12)/Presion_cilindro!$B$35)^(Presion_cilindro!$B$17+1)),0)</f>
        <v>1</v>
      </c>
      <c r="P547" s="10">
        <f>P546*(Presion_cilindro!O545/Presion_cilindro!O546)^Presion_cilindro!$B$9+10*(Presion_cilindro!$B$9-1)*Presion_cilindro!$B$33*(O547-O546)/((Presion_cilindro!O545+Presion_cilindro!O546)/2)</f>
        <v>4.2258129178669224</v>
      </c>
      <c r="Q547" s="9">
        <f>IF(OR($B$9=0,Presion_cilindro!N546&lt;=$B$15),IF(Presion_cilindro!N546&gt;$B$13,1-EXP(-Presion_cilindro!$B$16*((Presion_cilindro!N546-$B$13)/Presion_cilindro!$B$35)^(Presion_cilindro!$B$17+1)),0),$B$8+(1-$B$8)*(1-EXP(-(Presion_cilindro!N546-$B$15)/Presion_cilindro!$B$23)))</f>
        <v>1</v>
      </c>
      <c r="R547" s="10">
        <f>R546*(Presion_cilindro!O545/Presion_cilindro!O546)^Presion_cilindro!$B$9+10*(Presion_cilindro!$B$9-1)*Presion_cilindro!$B$33*(Q547-Q546)/((Presion_cilindro!O545+Presion_cilindro!O546)/2)</f>
        <v>4.3831256298884158</v>
      </c>
      <c r="S547" s="10">
        <f>R547+IF(AND($B$9=1,Presion_cilindro!N546&gt;$B$15),Presion_cilindro!$B$24*2.5*EXP(-(Presion_cilindro!N546-$B$15)/Presion_cilindro!$B$26)*SIN(2*PI()*(Presion_cilindro!N546-$B$15)/Presion_cilindro!$B$39),0)</f>
        <v>4.3829858443662504</v>
      </c>
      <c r="T547" s="9">
        <f>IF(Presion_cilindro!N546&gt;$B$14,1-EXP(-Presion_cilindro!$B$16*((Presion_cilindro!N546-$B$14)/Presion_cilindro!$B$35)^(Presion_cilindro!$B$17+1)),0)</f>
        <v>0.99999992966649065</v>
      </c>
      <c r="U547" s="10">
        <f>U546*(Presion_cilindro!O545/Presion_cilindro!O546)^Presion_cilindro!$B$9+10*(Presion_cilindro!$B$9-1)*Presion_cilindro!$B$33*(T547-T546)/((Presion_cilindro!O545+Presion_cilindro!O546)/2)</f>
        <v>5.1749570782849768</v>
      </c>
    </row>
    <row r="548" spans="14:21" x14ac:dyDescent="0.25">
      <c r="N548" s="8">
        <f>-Presion_cilindro!N547</f>
        <v>-91.5</v>
      </c>
      <c r="O548" s="9">
        <f>IF(Presion_cilindro!N547&gt;$B$12,1-EXP(-Presion_cilindro!$B$16*((Presion_cilindro!N547-$B$12)/Presion_cilindro!$B$35)^(Presion_cilindro!$B$17+1)),0)</f>
        <v>1</v>
      </c>
      <c r="P548" s="10">
        <f>P547*(Presion_cilindro!O546/Presion_cilindro!O547)^Presion_cilindro!$B$9+10*(Presion_cilindro!$B$9-1)*Presion_cilindro!$B$33*(O548-O547)/((Presion_cilindro!O546+Presion_cilindro!O547)/2)</f>
        <v>4.1909068537485332</v>
      </c>
      <c r="Q548" s="9">
        <f>IF(OR($B$9=0,Presion_cilindro!N547&lt;=$B$15),IF(Presion_cilindro!N547&gt;$B$13,1-EXP(-Presion_cilindro!$B$16*((Presion_cilindro!N547-$B$13)/Presion_cilindro!$B$35)^(Presion_cilindro!$B$17+1)),0),$B$8+(1-$B$8)*(1-EXP(-(Presion_cilindro!N547-$B$15)/Presion_cilindro!$B$23)))</f>
        <v>1</v>
      </c>
      <c r="R548" s="10">
        <f>R547*(Presion_cilindro!O546/Presion_cilindro!O547)^Presion_cilindro!$B$9+10*(Presion_cilindro!$B$9-1)*Presion_cilindro!$B$33*(Q548-Q547)/((Presion_cilindro!O546+Presion_cilindro!O547)/2)</f>
        <v>4.3469201311478169</v>
      </c>
      <c r="S548" s="10">
        <f>R548+IF(AND($B$9=1,Presion_cilindro!N547&gt;$B$15),Presion_cilindro!$B$24*2.5*EXP(-(Presion_cilindro!N547-$B$15)/Presion_cilindro!$B$26)*SIN(2*PI()*(Presion_cilindro!N547-$B$15)/Presion_cilindro!$B$39),0)</f>
        <v>4.3472972727951387</v>
      </c>
      <c r="T548" s="9">
        <f>IF(Presion_cilindro!N547&gt;$B$14,1-EXP(-Presion_cilindro!$B$16*((Presion_cilindro!N547-$B$14)/Presion_cilindro!$B$35)^(Presion_cilindro!$B$17+1)),0)</f>
        <v>0.9999999497897708</v>
      </c>
      <c r="U548" s="10">
        <f>U547*(Presion_cilindro!O546/Presion_cilindro!O547)^Presion_cilindro!$B$9+10*(Presion_cilindro!$B$9-1)*Presion_cilindro!$B$33*(T548-T547)/((Presion_cilindro!O546+Presion_cilindro!O547)/2)</f>
        <v>5.1322109953073403</v>
      </c>
    </row>
    <row r="549" spans="14:21" x14ac:dyDescent="0.25">
      <c r="N549" s="8">
        <f>-Presion_cilindro!N548</f>
        <v>-92</v>
      </c>
      <c r="O549" s="9">
        <f>IF(Presion_cilindro!N548&gt;$B$12,1-EXP(-Presion_cilindro!$B$16*((Presion_cilindro!N548-$B$12)/Presion_cilindro!$B$35)^(Presion_cilindro!$B$17+1)),0)</f>
        <v>1</v>
      </c>
      <c r="P549" s="10">
        <f>P548*(Presion_cilindro!O547/Presion_cilindro!O548)^Presion_cilindro!$B$9+10*(Presion_cilindro!$B$9-1)*Presion_cilindro!$B$33*(O549-O548)/((Presion_cilindro!O547+Presion_cilindro!O548)/2)</f>
        <v>4.1565999881945714</v>
      </c>
      <c r="Q549" s="9">
        <f>IF(OR($B$9=0,Presion_cilindro!N548&lt;=$B$15),IF(Presion_cilindro!N548&gt;$B$13,1-EXP(-Presion_cilindro!$B$16*((Presion_cilindro!N548-$B$13)/Presion_cilindro!$B$35)^(Presion_cilindro!$B$17+1)),0),$B$8+(1-$B$8)*(1-EXP(-(Presion_cilindro!N548-$B$15)/Presion_cilindro!$B$23)))</f>
        <v>1</v>
      </c>
      <c r="R549" s="10">
        <f>R548*(Presion_cilindro!O547/Presion_cilindro!O548)^Presion_cilindro!$B$9+10*(Presion_cilindro!$B$9-1)*Presion_cilindro!$B$33*(Q549-Q548)/((Presion_cilindro!O547+Presion_cilindro!O548)/2)</f>
        <v>4.3113361371061192</v>
      </c>
      <c r="S549" s="10">
        <f>R549+IF(AND($B$9=1,Presion_cilindro!N548&gt;$B$15),Presion_cilindro!$B$24*2.5*EXP(-(Presion_cilindro!N548-$B$15)/Presion_cilindro!$B$26)*SIN(2*PI()*(Presion_cilindro!N548-$B$15)/Presion_cilindro!$B$39),0)</f>
        <v>4.3114626202770738</v>
      </c>
      <c r="T549" s="9">
        <f>IF(Presion_cilindro!N548&gt;$B$14,1-EXP(-Presion_cilindro!$B$16*((Presion_cilindro!N548-$B$14)/Presion_cilindro!$B$35)^(Presion_cilindro!$B$17+1)),0)</f>
        <v>0.99999996431885219</v>
      </c>
      <c r="U549" s="10">
        <f>U548*(Presion_cilindro!O547/Presion_cilindro!O548)^Presion_cilindro!$B$9+10*(Presion_cilindro!$B$9-1)*Presion_cilindro!$B$33*(T549-T548)/((Presion_cilindro!O547+Presion_cilindro!O548)/2)</f>
        <v>5.0901986648134887</v>
      </c>
    </row>
    <row r="550" spans="14:21" x14ac:dyDescent="0.25">
      <c r="N550" s="8">
        <f>-Presion_cilindro!N549</f>
        <v>-92.5</v>
      </c>
      <c r="O550" s="9">
        <f>IF(Presion_cilindro!N549&gt;$B$12,1-EXP(-Presion_cilindro!$B$16*((Presion_cilindro!N549-$B$12)/Presion_cilindro!$B$35)^(Presion_cilindro!$B$17+1)),0)</f>
        <v>1</v>
      </c>
      <c r="P550" s="10">
        <f>P549*(Presion_cilindro!O548/Presion_cilindro!O549)^Presion_cilindro!$B$9+10*(Presion_cilindro!$B$9-1)*Presion_cilindro!$B$33*(O550-O549)/((Presion_cilindro!O548+Presion_cilindro!O549)/2)</f>
        <v>4.1228804034852091</v>
      </c>
      <c r="Q550" s="9">
        <f>IF(OR($B$9=0,Presion_cilindro!N549&lt;=$B$15),IF(Presion_cilindro!N549&gt;$B$13,1-EXP(-Presion_cilindro!$B$16*((Presion_cilindro!N549-$B$13)/Presion_cilindro!$B$35)^(Presion_cilindro!$B$17+1)),0),$B$8+(1-$B$8)*(1-EXP(-(Presion_cilindro!N549-$B$15)/Presion_cilindro!$B$23)))</f>
        <v>1</v>
      </c>
      <c r="R550" s="10">
        <f>R549*(Presion_cilindro!O548/Presion_cilindro!O549)^Presion_cilindro!$B$9+10*(Presion_cilindro!$B$9-1)*Presion_cilindro!$B$33*(Q550-Q549)/((Presion_cilindro!O548+Presion_cilindro!O549)/2)</f>
        <v>4.2763612863871234</v>
      </c>
      <c r="S550" s="10">
        <f>R550+IF(AND($B$9=1,Presion_cilindro!N549&gt;$B$15),Presion_cilindro!$B$24*2.5*EXP(-(Presion_cilindro!N549-$B$15)/Presion_cilindro!$B$26)*SIN(2*PI()*(Presion_cilindro!N549-$B$15)/Presion_cilindro!$B$39),0)</f>
        <v>4.2760200345127268</v>
      </c>
      <c r="T550" s="9">
        <f>IF(Presion_cilindro!N549&gt;$B$14,1-EXP(-Presion_cilindro!$B$16*((Presion_cilindro!N549-$B$14)/Presion_cilindro!$B$35)^(Presion_cilindro!$B$17+1)),0)</f>
        <v>0.99999997476003333</v>
      </c>
      <c r="U550" s="10">
        <f>U549*(Presion_cilindro!O548/Presion_cilindro!O549)^Presion_cilindro!$B$9+10*(Presion_cilindro!$B$9-1)*Presion_cilindro!$B$33*(T550-T549)/((Presion_cilindro!O548+Presion_cilindro!O549)/2)</f>
        <v>5.0489055004959589</v>
      </c>
    </row>
    <row r="551" spans="14:21" x14ac:dyDescent="0.25">
      <c r="N551" s="8">
        <f>-Presion_cilindro!N550</f>
        <v>-93</v>
      </c>
      <c r="O551" s="9">
        <f>IF(Presion_cilindro!N550&gt;$B$12,1-EXP(-Presion_cilindro!$B$16*((Presion_cilindro!N550-$B$12)/Presion_cilindro!$B$35)^(Presion_cilindro!$B$17+1)),0)</f>
        <v>1</v>
      </c>
      <c r="P551" s="10">
        <f>P550*(Presion_cilindro!O549/Presion_cilindro!O550)^Presion_cilindro!$B$9+10*(Presion_cilindro!$B$9-1)*Presion_cilindro!$B$33*(O551-O550)/((Presion_cilindro!O549+Presion_cilindro!O550)/2)</f>
        <v>4.0897364630961581</v>
      </c>
      <c r="Q551" s="9">
        <f>IF(OR($B$9=0,Presion_cilindro!N550&lt;=$B$15),IF(Presion_cilindro!N550&gt;$B$13,1-EXP(-Presion_cilindro!$B$16*((Presion_cilindro!N550-$B$13)/Presion_cilindro!$B$35)^(Presion_cilindro!$B$17+1)),0),$B$8+(1-$B$8)*(1-EXP(-(Presion_cilindro!N550-$B$15)/Presion_cilindro!$B$23)))</f>
        <v>1</v>
      </c>
      <c r="R551" s="10">
        <f>R550*(Presion_cilindro!O549/Presion_cilindro!O550)^Presion_cilindro!$B$9+10*(Presion_cilindro!$B$9-1)*Presion_cilindro!$B$33*(Q551-Q550)/((Presion_cilindro!O549+Presion_cilindro!O550)/2)</f>
        <v>4.2419835092781275</v>
      </c>
      <c r="S551" s="10">
        <f>R551+IF(AND($B$9=1,Presion_cilindro!N550&gt;$B$15),Presion_cilindro!$B$24*2.5*EXP(-(Presion_cilindro!N550-$B$15)/Presion_cilindro!$B$26)*SIN(2*PI()*(Presion_cilindro!N550-$B$15)/Presion_cilindro!$B$39),0)</f>
        <v>4.2418690625722961</v>
      </c>
      <c r="T551" s="9">
        <f>IF(Presion_cilindro!N550&gt;$B$14,1-EXP(-Presion_cilindro!$B$16*((Presion_cilindro!N550-$B$14)/Presion_cilindro!$B$35)^(Presion_cilindro!$B$17+1)),0)</f>
        <v>0.99999998222830955</v>
      </c>
      <c r="U551" s="10">
        <f>U550*(Presion_cilindro!O549/Presion_cilindro!O550)^Presion_cilindro!$B$9+10*(Presion_cilindro!$B$9-1)*Presion_cilindro!$B$33*(T551-T550)/((Presion_cilindro!O549+Presion_cilindro!O550)/2)</f>
        <v>5.008317258221628</v>
      </c>
    </row>
    <row r="552" spans="14:21" x14ac:dyDescent="0.25">
      <c r="N552" s="8">
        <f>-Presion_cilindro!N551</f>
        <v>-93.5</v>
      </c>
      <c r="O552" s="9">
        <f>IF(Presion_cilindro!N551&gt;$B$12,1-EXP(-Presion_cilindro!$B$16*((Presion_cilindro!N551-$B$12)/Presion_cilindro!$B$35)^(Presion_cilindro!$B$17+1)),0)</f>
        <v>1</v>
      </c>
      <c r="P552" s="10">
        <f>P551*(Presion_cilindro!O550/Presion_cilindro!O551)^Presion_cilindro!$B$9+10*(Presion_cilindro!$B$9-1)*Presion_cilindro!$B$33*(O552-O551)/((Presion_cilindro!O550+Presion_cilindro!O551)/2)</f>
        <v>4.057156804364598</v>
      </c>
      <c r="Q552" s="9">
        <f>IF(OR($B$9=0,Presion_cilindro!N551&lt;=$B$15),IF(Presion_cilindro!N551&gt;$B$13,1-EXP(-Presion_cilindro!$B$16*((Presion_cilindro!N551-$B$13)/Presion_cilindro!$B$35)^(Presion_cilindro!$B$17+1)),0),$B$8+(1-$B$8)*(1-EXP(-(Presion_cilindro!N551-$B$15)/Presion_cilindro!$B$23)))</f>
        <v>1</v>
      </c>
      <c r="R552" s="10">
        <f>R551*(Presion_cilindro!O550/Presion_cilindro!O551)^Presion_cilindro!$B$9+10*(Presion_cilindro!$B$9-1)*Presion_cilindro!$B$33*(Q552-Q551)/((Presion_cilindro!O550+Presion_cilindro!O551)/2)</f>
        <v>4.2081910201228334</v>
      </c>
      <c r="S552" s="10">
        <f>R552+IF(AND($B$9=1,Presion_cilindro!N551&gt;$B$15),Presion_cilindro!$B$24*2.5*EXP(-(Presion_cilindro!N551-$B$15)/Presion_cilindro!$B$26)*SIN(2*PI()*(Presion_cilindro!N551-$B$15)/Presion_cilindro!$B$39),0)</f>
        <v>4.2084997975877627</v>
      </c>
      <c r="T552" s="9">
        <f>IF(Presion_cilindro!N551&gt;$B$14,1-EXP(-Presion_cilindro!$B$16*((Presion_cilindro!N551-$B$14)/Presion_cilindro!$B$35)^(Presion_cilindro!$B$17+1)),0)</f>
        <v>0.99999998754495334</v>
      </c>
      <c r="U552" s="10">
        <f>U551*(Presion_cilindro!O550/Presion_cilindro!O551)^Presion_cilindro!$B$9+10*(Presion_cilindro!$B$9-1)*Presion_cilindro!$B$33*(T552-T551)/((Presion_cilindro!O550+Presion_cilindro!O551)/2)</f>
        <v>4.9684200276076851</v>
      </c>
    </row>
    <row r="553" spans="14:21" x14ac:dyDescent="0.25">
      <c r="N553" s="8">
        <f>-Presion_cilindro!N552</f>
        <v>-94</v>
      </c>
      <c r="O553" s="9">
        <f>IF(Presion_cilindro!N552&gt;$B$12,1-EXP(-Presion_cilindro!$B$16*((Presion_cilindro!N552-$B$12)/Presion_cilindro!$B$35)^(Presion_cilindro!$B$17+1)),0)</f>
        <v>1</v>
      </c>
      <c r="P553" s="10">
        <f>P552*(Presion_cilindro!O551/Presion_cilindro!O552)^Presion_cilindro!$B$9+10*(Presion_cilindro!$B$9-1)*Presion_cilindro!$B$33*(O553-O552)/((Presion_cilindro!O551+Presion_cilindro!O552)/2)</f>
        <v>4.0251303313598852</v>
      </c>
      <c r="Q553" s="9">
        <f>IF(OR($B$9=0,Presion_cilindro!N552&lt;=$B$15),IF(Presion_cilindro!N552&gt;$B$13,1-EXP(-Presion_cilindro!$B$16*((Presion_cilindro!N552-$B$13)/Presion_cilindro!$B$35)^(Presion_cilindro!$B$17+1)),0),$B$8+(1-$B$8)*(1-EXP(-(Presion_cilindro!N552-$B$15)/Presion_cilindro!$B$23)))</f>
        <v>1</v>
      </c>
      <c r="R553" s="10">
        <f>R552*(Presion_cilindro!O551/Presion_cilindro!O552)^Presion_cilindro!$B$9+10*(Presion_cilindro!$B$9-1)*Presion_cilindro!$B$33*(Q553-Q552)/((Presion_cilindro!O551+Presion_cilindro!O552)/2)</f>
        <v>4.1749723099266554</v>
      </c>
      <c r="S553" s="10">
        <f>R553+IF(AND($B$9=1,Presion_cilindro!N552&gt;$B$15),Presion_cilindro!$B$24*2.5*EXP(-(Presion_cilindro!N552-$B$15)/Presion_cilindro!$B$26)*SIN(2*PI()*(Presion_cilindro!N552-$B$15)/Presion_cilindro!$B$39),0)</f>
        <v>4.1750758655884628</v>
      </c>
      <c r="T553" s="9">
        <f>IF(Presion_cilindro!N552&gt;$B$14,1-EXP(-Presion_cilindro!$B$16*((Presion_cilindro!N552-$B$14)/Presion_cilindro!$B$35)^(Presion_cilindro!$B$17+1)),0)</f>
        <v>0.99999999131189043</v>
      </c>
      <c r="U553" s="10">
        <f>U552*(Presion_cilindro!O551/Presion_cilindro!O552)^Presion_cilindro!$B$9+10*(Presion_cilindro!$B$9-1)*Presion_cilindro!$B$33*(T553-T552)/((Presion_cilindro!O551+Presion_cilindro!O552)/2)</f>
        <v>4.929200223711903</v>
      </c>
    </row>
    <row r="554" spans="14:21" x14ac:dyDescent="0.25">
      <c r="N554" s="8">
        <f>-Presion_cilindro!N553</f>
        <v>-94.5</v>
      </c>
      <c r="O554" s="9">
        <f>IF(Presion_cilindro!N553&gt;$B$12,1-EXP(-Presion_cilindro!$B$16*((Presion_cilindro!N553-$B$12)/Presion_cilindro!$B$35)^(Presion_cilindro!$B$17+1)),0)</f>
        <v>1</v>
      </c>
      <c r="P554" s="10">
        <f>P553*(Presion_cilindro!O552/Presion_cilindro!O553)^Presion_cilindro!$B$9+10*(Presion_cilindro!$B$9-1)*Presion_cilindro!$B$33*(O554-O553)/((Presion_cilindro!O552+Presion_cilindro!O553)/2)</f>
        <v>3.9936462079532906</v>
      </c>
      <c r="Q554" s="9">
        <f>IF(OR($B$9=0,Presion_cilindro!N553&lt;=$B$15),IF(Presion_cilindro!N553&gt;$B$13,1-EXP(-Presion_cilindro!$B$16*((Presion_cilindro!N553-$B$13)/Presion_cilindro!$B$35)^(Presion_cilindro!$B$17+1)),0),$B$8+(1-$B$8)*(1-EXP(-(Presion_cilindro!N553-$B$15)/Presion_cilindro!$B$23)))</f>
        <v>1</v>
      </c>
      <c r="R554" s="10">
        <f>R553*(Presion_cilindro!O552/Presion_cilindro!O553)^Presion_cilindro!$B$9+10*(Presion_cilindro!$B$9-1)*Presion_cilindro!$B$33*(Q554-Q553)/((Presion_cilindro!O552+Presion_cilindro!O553)/2)</f>
        <v>4.142316139168468</v>
      </c>
      <c r="S554" s="10">
        <f>R554+IF(AND($B$9=1,Presion_cilindro!N553&gt;$B$15),Presion_cilindro!$B$24*2.5*EXP(-(Presion_cilindro!N553-$B$15)/Presion_cilindro!$B$26)*SIN(2*PI()*(Presion_cilindro!N553-$B$15)/Presion_cilindro!$B$39),0)</f>
        <v>4.1420367457643543</v>
      </c>
      <c r="T554" s="9">
        <f>IF(Presion_cilindro!N553&gt;$B$14,1-EXP(-Presion_cilindro!$B$16*((Presion_cilindro!N553-$B$14)/Presion_cilindro!$B$35)^(Presion_cilindro!$B$17+1)),0)</f>
        <v>0.99999999396808548</v>
      </c>
      <c r="U554" s="10">
        <f>U553*(Presion_cilindro!O552/Presion_cilindro!O553)^Presion_cilindro!$B$9+10*(Presion_cilindro!$B$9-1)*Presion_cilindro!$B$33*(T554-T553)/((Presion_cilindro!O552+Presion_cilindro!O553)/2)</f>
        <v>4.8906445788619255</v>
      </c>
    </row>
    <row r="555" spans="14:21" x14ac:dyDescent="0.25">
      <c r="N555" s="8">
        <f>-Presion_cilindro!N554</f>
        <v>-95</v>
      </c>
      <c r="O555" s="9">
        <f>IF(Presion_cilindro!N554&gt;$B$12,1-EXP(-Presion_cilindro!$B$16*((Presion_cilindro!N554-$B$12)/Presion_cilindro!$B$35)^(Presion_cilindro!$B$17+1)),0)</f>
        <v>1</v>
      </c>
      <c r="P555" s="10">
        <f>P554*(Presion_cilindro!O553/Presion_cilindro!O554)^Presion_cilindro!$B$9+10*(Presion_cilindro!$B$9-1)*Presion_cilindro!$B$33*(O555-O554)/((Presion_cilindro!O553+Presion_cilindro!O554)/2)</f>
        <v>3.9626938510812475</v>
      </c>
      <c r="Q555" s="9">
        <f>IF(OR($B$9=0,Presion_cilindro!N554&lt;=$B$15),IF(Presion_cilindro!N554&gt;$B$13,1-EXP(-Presion_cilindro!$B$16*((Presion_cilindro!N554-$B$13)/Presion_cilindro!$B$35)^(Presion_cilindro!$B$17+1)),0),$B$8+(1-$B$8)*(1-EXP(-(Presion_cilindro!N554-$B$15)/Presion_cilindro!$B$23)))</f>
        <v>1</v>
      </c>
      <c r="R555" s="10">
        <f>R554*(Presion_cilindro!O553/Presion_cilindro!O554)^Presion_cilindro!$B$9+10*(Presion_cilindro!$B$9-1)*Presion_cilindro!$B$33*(Q555-Q554)/((Presion_cilindro!O553+Presion_cilindro!O554)/2)</f>
        <v>4.1102115308130687</v>
      </c>
      <c r="S555" s="10">
        <f>R555+IF(AND($B$9=1,Presion_cilindro!N554&gt;$B$15),Presion_cilindro!$B$24*2.5*EXP(-(Presion_cilindro!N554-$B$15)/Presion_cilindro!$B$26)*SIN(2*PI()*(Presion_cilindro!N554-$B$15)/Presion_cilindro!$B$39),0)</f>
        <v>4.1101178297754162</v>
      </c>
      <c r="T555" s="9">
        <f>IF(Presion_cilindro!N554&gt;$B$14,1-EXP(-Presion_cilindro!$B$16*((Presion_cilindro!N554-$B$14)/Presion_cilindro!$B$35)^(Presion_cilindro!$B$17+1)),0)</f>
        <v>0.99999999583205779</v>
      </c>
      <c r="U555" s="10">
        <f>U554*(Presion_cilindro!O553/Presion_cilindro!O554)^Presion_cilindro!$B$9+10*(Presion_cilindro!$B$9-1)*Presion_cilindro!$B$33*(T555-T554)/((Presion_cilindro!O553+Presion_cilindro!O554)/2)</f>
        <v>4.8527401346416248</v>
      </c>
    </row>
    <row r="556" spans="14:21" x14ac:dyDescent="0.25">
      <c r="N556" s="8">
        <f>-Presion_cilindro!N555</f>
        <v>-95.5</v>
      </c>
      <c r="O556" s="9">
        <f>IF(Presion_cilindro!N555&gt;$B$12,1-EXP(-Presion_cilindro!$B$16*((Presion_cilindro!N555-$B$12)/Presion_cilindro!$B$35)^(Presion_cilindro!$B$17+1)),0)</f>
        <v>1</v>
      </c>
      <c r="P556" s="10">
        <f>P555*(Presion_cilindro!O554/Presion_cilindro!O555)^Presion_cilindro!$B$9+10*(Presion_cilindro!$B$9-1)*Presion_cilindro!$B$33*(O556-O555)/((Presion_cilindro!O554+Presion_cilindro!O555)/2)</f>
        <v>3.9322629241966736</v>
      </c>
      <c r="Q556" s="9">
        <f>IF(OR($B$9=0,Presion_cilindro!N555&lt;=$B$15),IF(Presion_cilindro!N555&gt;$B$13,1-EXP(-Presion_cilindro!$B$16*((Presion_cilindro!N555-$B$13)/Presion_cilindro!$B$35)^(Presion_cilindro!$B$17+1)),0),$B$8+(1-$B$8)*(1-EXP(-(Presion_cilindro!N555-$B$15)/Presion_cilindro!$B$23)))</f>
        <v>1</v>
      </c>
      <c r="R556" s="10">
        <f>R555*(Presion_cilindro!O554/Presion_cilindro!O555)^Presion_cilindro!$B$9+10*(Presion_cilindro!$B$9-1)*Presion_cilindro!$B$33*(Q556-Q555)/((Presion_cilindro!O554+Presion_cilindro!O555)/2)</f>
        <v>4.0786477635187124</v>
      </c>
      <c r="S556" s="10">
        <f>R556+IF(AND($B$9=1,Presion_cilindro!N555&gt;$B$15),Presion_cilindro!$B$24*2.5*EXP(-(Presion_cilindro!N555-$B$15)/Presion_cilindro!$B$26)*SIN(2*PI()*(Presion_cilindro!N555-$B$15)/Presion_cilindro!$B$39),0)</f>
        <v>4.078900569125107</v>
      </c>
      <c r="T556" s="9">
        <f>IF(Presion_cilindro!N555&gt;$B$14,1-EXP(-Presion_cilindro!$B$16*((Presion_cilindro!N555-$B$14)/Presion_cilindro!$B$35)^(Presion_cilindro!$B$17+1)),0)</f>
        <v>0.99999999713376719</v>
      </c>
      <c r="U556" s="10">
        <f>U555*(Presion_cilindro!O554/Presion_cilindro!O555)^Presion_cilindro!$B$9+10*(Presion_cilindro!$B$9-1)*Presion_cilindro!$B$33*(T556-T555)/((Presion_cilindro!O554+Presion_cilindro!O555)/2)</f>
        <v>4.8154742340471515</v>
      </c>
    </row>
    <row r="557" spans="14:21" x14ac:dyDescent="0.25">
      <c r="N557" s="8">
        <f>-Presion_cilindro!N556</f>
        <v>-96</v>
      </c>
      <c r="O557" s="9">
        <f>IF(Presion_cilindro!N556&gt;$B$12,1-EXP(-Presion_cilindro!$B$16*((Presion_cilindro!N556-$B$12)/Presion_cilindro!$B$35)^(Presion_cilindro!$B$17+1)),0)</f>
        <v>1</v>
      </c>
      <c r="P557" s="10">
        <f>P556*(Presion_cilindro!O555/Presion_cilindro!O556)^Presion_cilindro!$B$9+10*(Presion_cilindro!$B$9-1)*Presion_cilindro!$B$33*(O557-O556)/((Presion_cilindro!O555+Presion_cilindro!O556)/2)</f>
        <v>3.9023433309030282</v>
      </c>
      <c r="Q557" s="9">
        <f>IF(OR($B$9=0,Presion_cilindro!N556&lt;=$B$15),IF(Presion_cilindro!N556&gt;$B$13,1-EXP(-Presion_cilindro!$B$16*((Presion_cilindro!N556-$B$13)/Presion_cilindro!$B$35)^(Presion_cilindro!$B$17+1)),0),$B$8+(1-$B$8)*(1-EXP(-(Presion_cilindro!N556-$B$15)/Presion_cilindro!$B$23)))</f>
        <v>1</v>
      </c>
      <c r="R557" s="10">
        <f>R556*(Presion_cilindro!O555/Presion_cilindro!O556)^Presion_cilindro!$B$9+10*(Presion_cilindro!$B$9-1)*Presion_cilindro!$B$33*(Q557-Q556)/((Presion_cilindro!O555+Presion_cilindro!O556)/2)</f>
        <v>4.047614365034188</v>
      </c>
      <c r="S557" s="10">
        <f>R557+IF(AND($B$9=1,Presion_cilindro!N556&gt;$B$15),Presion_cilindro!$B$24*2.5*EXP(-(Presion_cilindro!N556-$B$15)/Presion_cilindro!$B$26)*SIN(2*PI()*(Presion_cilindro!N556-$B$15)/Presion_cilindro!$B$39),0)</f>
        <v>4.0476991492391647</v>
      </c>
      <c r="T557" s="9">
        <f>IF(Presion_cilindro!N556&gt;$B$14,1-EXP(-Presion_cilindro!$B$16*((Presion_cilindro!N556-$B$14)/Presion_cilindro!$B$35)^(Presion_cilindro!$B$17+1)),0)</f>
        <v>0.99999999803839679</v>
      </c>
      <c r="U557" s="10">
        <f>U556*(Presion_cilindro!O555/Presion_cilindro!O556)^Presion_cilindro!$B$9+10*(Presion_cilindro!$B$9-1)*Presion_cilindro!$B$33*(T557-T556)/((Presion_cilindro!O555+Presion_cilindro!O556)/2)</f>
        <v>4.7788345138210069</v>
      </c>
    </row>
    <row r="558" spans="14:21" x14ac:dyDescent="0.25">
      <c r="N558" s="8">
        <f>-Presion_cilindro!N557</f>
        <v>-96.5</v>
      </c>
      <c r="O558" s="9">
        <f>IF(Presion_cilindro!N557&gt;$B$12,1-EXP(-Presion_cilindro!$B$16*((Presion_cilindro!N557-$B$12)/Presion_cilindro!$B$35)^(Presion_cilindro!$B$17+1)),0)</f>
        <v>1</v>
      </c>
      <c r="P558" s="10">
        <f>P557*(Presion_cilindro!O556/Presion_cilindro!O557)^Presion_cilindro!$B$9+10*(Presion_cilindro!$B$9-1)*Presion_cilindro!$B$33*(O558-O557)/((Presion_cilindro!O556+Presion_cilindro!O557)/2)</f>
        <v>3.8729252087660031</v>
      </c>
      <c r="Q558" s="9">
        <f>IF(OR($B$9=0,Presion_cilindro!N557&lt;=$B$15),IF(Presion_cilindro!N557&gt;$B$13,1-EXP(-Presion_cilindro!$B$16*((Presion_cilindro!N557-$B$13)/Presion_cilindro!$B$35)^(Presion_cilindro!$B$17+1)),0),$B$8+(1-$B$8)*(1-EXP(-(Presion_cilindro!N557-$B$15)/Presion_cilindro!$B$23)))</f>
        <v>1</v>
      </c>
      <c r="R558" s="10">
        <f>R557*(Presion_cilindro!O556/Presion_cilindro!O557)^Presion_cilindro!$B$9+10*(Presion_cilindro!$B$9-1)*Presion_cilindro!$B$33*(Q558-Q557)/((Presion_cilindro!O556+Presion_cilindro!O557)/2)</f>
        <v>4.0171011057801387</v>
      </c>
      <c r="S558" s="10">
        <f>R558+IF(AND($B$9=1,Presion_cilindro!N557&gt;$B$15),Presion_cilindro!$B$24*2.5*EXP(-(Presion_cilindro!N557-$B$15)/Presion_cilindro!$B$26)*SIN(2*PI()*(Presion_cilindro!N557-$B$15)/Presion_cilindro!$B$39),0)</f>
        <v>4.0168723578079835</v>
      </c>
      <c r="T558" s="9">
        <f>IF(Presion_cilindro!N557&gt;$B$14,1-EXP(-Presion_cilindro!$B$16*((Presion_cilindro!N557-$B$14)/Presion_cilindro!$B$35)^(Presion_cilindro!$B$17+1)),0)</f>
        <v>0.99999999866399703</v>
      </c>
      <c r="U558" s="10">
        <f>U557*(Presion_cilindro!O556/Presion_cilindro!O557)^Presion_cilindro!$B$9+10*(Presion_cilindro!$B$9-1)*Presion_cilindro!$B$33*(T558-T557)/((Presion_cilindro!O556+Presion_cilindro!O557)/2)</f>
        <v>4.7428088969692999</v>
      </c>
    </row>
    <row r="559" spans="14:21" x14ac:dyDescent="0.25">
      <c r="N559" s="8">
        <f>-Presion_cilindro!N558</f>
        <v>-97</v>
      </c>
      <c r="O559" s="9">
        <f>IF(Presion_cilindro!N558&gt;$B$12,1-EXP(-Presion_cilindro!$B$16*((Presion_cilindro!N558-$B$12)/Presion_cilindro!$B$35)^(Presion_cilindro!$B$17+1)),0)</f>
        <v>1</v>
      </c>
      <c r="P559" s="10">
        <f>P558*(Presion_cilindro!O557/Presion_cilindro!O558)^Presion_cilindro!$B$9+10*(Presion_cilindro!$B$9-1)*Presion_cilindro!$B$33*(O559-O558)/((Presion_cilindro!O557+Presion_cilindro!O558)/2)</f>
        <v>3.8439989232977649</v>
      </c>
      <c r="Q559" s="9">
        <f>IF(OR($B$9=0,Presion_cilindro!N558&lt;=$B$15),IF(Presion_cilindro!N558&gt;$B$13,1-EXP(-Presion_cilindro!$B$16*((Presion_cilindro!N558-$B$13)/Presion_cilindro!$B$35)^(Presion_cilindro!$B$17+1)),0),$B$8+(1-$B$8)*(1-EXP(-(Presion_cilindro!N558-$B$15)/Presion_cilindro!$B$23)))</f>
        <v>1</v>
      </c>
      <c r="R559" s="10">
        <f>R558*(Presion_cilindro!O557/Presion_cilindro!O558)^Presion_cilindro!$B$9+10*(Presion_cilindro!$B$9-1)*Presion_cilindro!$B$33*(Q559-Q558)/((Presion_cilindro!O557+Presion_cilindro!O558)/2)</f>
        <v>3.987097992609359</v>
      </c>
      <c r="S559" s="10">
        <f>R559+IF(AND($B$9=1,Presion_cilindro!N558&gt;$B$15),Presion_cilindro!$B$24*2.5*EXP(-(Presion_cilindro!N558-$B$15)/Presion_cilindro!$B$26)*SIN(2*PI()*(Presion_cilindro!N558-$B$15)/Presion_cilindro!$B$39),0)</f>
        <v>3.9870212766882371</v>
      </c>
      <c r="T559" s="9">
        <f>IF(Presion_cilindro!N558&gt;$B$14,1-EXP(-Presion_cilindro!$B$16*((Presion_cilindro!N558-$B$14)/Presion_cilindro!$B$35)^(Presion_cilindro!$B$17+1)),0)</f>
        <v>0.9999999990945031</v>
      </c>
      <c r="U559" s="10">
        <f>U558*(Presion_cilindro!O557/Presion_cilindro!O558)^Presion_cilindro!$B$9+10*(Presion_cilindro!$B$9-1)*Presion_cilindro!$B$33*(T559-T558)/((Presion_cilindro!O557+Presion_cilindro!O558)/2)</f>
        <v>4.7073855854646869</v>
      </c>
    </row>
    <row r="560" spans="14:21" x14ac:dyDescent="0.25">
      <c r="N560" s="8">
        <f>-Presion_cilindro!N559</f>
        <v>-97.5</v>
      </c>
      <c r="O560" s="9">
        <f>IF(Presion_cilindro!N559&gt;$B$12,1-EXP(-Presion_cilindro!$B$16*((Presion_cilindro!N559-$B$12)/Presion_cilindro!$B$35)^(Presion_cilindro!$B$17+1)),0)</f>
        <v>1</v>
      </c>
      <c r="P560" s="10">
        <f>P559*(Presion_cilindro!O558/Presion_cilindro!O559)^Presion_cilindro!$B$9+10*(Presion_cilindro!$B$9-1)*Presion_cilindro!$B$33*(O560-O559)/((Presion_cilindro!O558+Presion_cilindro!O559)/2)</f>
        <v>3.8155550621088903</v>
      </c>
      <c r="Q560" s="9">
        <f>IF(OR($B$9=0,Presion_cilindro!N559&lt;=$B$15),IF(Presion_cilindro!N559&gt;$B$13,1-EXP(-Presion_cilindro!$B$16*((Presion_cilindro!N559-$B$13)/Presion_cilindro!$B$35)^(Presion_cilindro!$B$17+1)),0),$B$8+(1-$B$8)*(1-EXP(-(Presion_cilindro!N559-$B$15)/Presion_cilindro!$B$23)))</f>
        <v>1</v>
      </c>
      <c r="R560" s="10">
        <f>R559*(Presion_cilindro!O558/Presion_cilindro!O559)^Presion_cilindro!$B$9+10*(Presion_cilindro!$B$9-1)*Presion_cilindro!$B$33*(Q560-Q559)/((Presion_cilindro!O558+Presion_cilindro!O559)/2)</f>
        <v>3.9575952627410249</v>
      </c>
      <c r="S560" s="10">
        <f>R560+IF(AND($B$9=1,Presion_cilindro!N559&gt;$B$15),Presion_cilindro!$B$24*2.5*EXP(-(Presion_cilindro!N559-$B$15)/Presion_cilindro!$B$26)*SIN(2*PI()*(Presion_cilindro!N559-$B$15)/Presion_cilindro!$B$39),0)</f>
        <v>3.9578022424655308</v>
      </c>
      <c r="T560" s="9">
        <f>IF(Presion_cilindro!N559&gt;$B$14,1-EXP(-Presion_cilindro!$B$16*((Presion_cilindro!N559-$B$14)/Presion_cilindro!$B$35)^(Presion_cilindro!$B$17+1)),0)</f>
        <v>0.99999999938928819</v>
      </c>
      <c r="U560" s="10">
        <f>U559*(Presion_cilindro!O558/Presion_cilindro!O559)^Presion_cilindro!$B$9+10*(Presion_cilindro!$B$9-1)*Presion_cilindro!$B$33*(T560-T559)/((Presion_cilindro!O558+Presion_cilindro!O559)/2)</f>
        <v>4.672553053135645</v>
      </c>
    </row>
    <row r="561" spans="14:21" x14ac:dyDescent="0.25">
      <c r="N561" s="8">
        <f>-Presion_cilindro!N560</f>
        <v>-98</v>
      </c>
      <c r="O561" s="9">
        <f>IF(Presion_cilindro!N560&gt;$B$12,1-EXP(-Presion_cilindro!$B$16*((Presion_cilindro!N560-$B$12)/Presion_cilindro!$B$35)^(Presion_cilindro!$B$17+1)),0)</f>
        <v>1</v>
      </c>
      <c r="P561" s="10">
        <f>P560*(Presion_cilindro!O559/Presion_cilindro!O560)^Presion_cilindro!$B$9+10*(Presion_cilindro!$B$9-1)*Presion_cilindro!$B$33*(O561-O560)/((Presion_cilindro!O559+Presion_cilindro!O560)/2)</f>
        <v>3.7875844292232328</v>
      </c>
      <c r="Q561" s="9">
        <f>IF(OR($B$9=0,Presion_cilindro!N560&lt;=$B$15),IF(Presion_cilindro!N560&gt;$B$13,1-EXP(-Presion_cilindro!$B$16*((Presion_cilindro!N560-$B$13)/Presion_cilindro!$B$35)^(Presion_cilindro!$B$17+1)),0),$B$8+(1-$B$8)*(1-EXP(-(Presion_cilindro!N560-$B$15)/Presion_cilindro!$B$23)))</f>
        <v>1</v>
      </c>
      <c r="R561" s="10">
        <f>R560*(Presion_cilindro!O559/Presion_cilindro!O560)^Presion_cilindro!$B$9+10*(Presion_cilindro!$B$9-1)*Presion_cilindro!$B$33*(Q561-Q560)/((Presion_cilindro!O559+Presion_cilindro!O560)/2)</f>
        <v>3.928583377863923</v>
      </c>
      <c r="S561" s="10">
        <f>R561+IF(AND($B$9=1,Presion_cilindro!N560&gt;$B$15),Presion_cilindro!$B$24*2.5*EXP(-(Presion_cilindro!N560-$B$15)/Presion_cilindro!$B$26)*SIN(2*PI()*(Presion_cilindro!N560-$B$15)/Presion_cilindro!$B$39),0)</f>
        <v>3.9286527932999129</v>
      </c>
      <c r="T561" s="9">
        <f>IF(Presion_cilindro!N560&gt;$B$14,1-EXP(-Presion_cilindro!$B$16*((Presion_cilindro!N560-$B$14)/Presion_cilindro!$B$35)^(Presion_cilindro!$B$17+1)),0)</f>
        <v>0.99999999959013364</v>
      </c>
      <c r="U561" s="10">
        <f>U560*(Presion_cilindro!O559/Presion_cilindro!O560)^Presion_cilindro!$B$9+10*(Presion_cilindro!$B$9-1)*Presion_cilindro!$B$33*(T561-T560)/((Presion_cilindro!O559+Presion_cilindro!O560)/2)</f>
        <v>4.6383000387412237</v>
      </c>
    </row>
    <row r="562" spans="14:21" x14ac:dyDescent="0.25">
      <c r="N562" s="8">
        <f>-Presion_cilindro!N561</f>
        <v>-98.5</v>
      </c>
      <c r="O562" s="9">
        <f>IF(Presion_cilindro!N561&gt;$B$12,1-EXP(-Presion_cilindro!$B$16*((Presion_cilindro!N561-$B$12)/Presion_cilindro!$B$35)^(Presion_cilindro!$B$17+1)),0)</f>
        <v>1</v>
      </c>
      <c r="P562" s="10">
        <f>P561*(Presion_cilindro!O560/Presion_cilindro!O561)^Presion_cilindro!$B$9+10*(Presion_cilindro!$B$9-1)*Presion_cilindro!$B$33*(O562-O561)/((Presion_cilindro!O560+Presion_cilindro!O561)/2)</f>
        <v>3.7600780395510047</v>
      </c>
      <c r="Q562" s="9">
        <f>IF(OR($B$9=0,Presion_cilindro!N561&lt;=$B$15),IF(Presion_cilindro!N561&gt;$B$13,1-EXP(-Presion_cilindro!$B$16*((Presion_cilindro!N561-$B$13)/Presion_cilindro!$B$35)^(Presion_cilindro!$B$17+1)),0),$B$8+(1-$B$8)*(1-EXP(-(Presion_cilindro!N561-$B$15)/Presion_cilindro!$B$23)))</f>
        <v>1</v>
      </c>
      <c r="R562" s="10">
        <f>R561*(Presion_cilindro!O560/Presion_cilindro!O561)^Presion_cilindro!$B$9+10*(Presion_cilindro!$B$9-1)*Presion_cilindro!$B$33*(Q562-Q561)/((Presion_cilindro!O560+Presion_cilindro!O561)/2)</f>
        <v>3.900053018403784</v>
      </c>
      <c r="S562" s="10">
        <f>R562+IF(AND($B$9=1,Presion_cilindro!N561&gt;$B$15),Presion_cilindro!$B$24*2.5*EXP(-(Presion_cilindro!N561-$B$15)/Presion_cilindro!$B$26)*SIN(2*PI()*(Presion_cilindro!N561-$B$15)/Presion_cilindro!$B$39),0)</f>
        <v>3.8998657354042763</v>
      </c>
      <c r="T562" s="9">
        <f>IF(Presion_cilindro!N561&gt;$B$14,1-EXP(-Presion_cilindro!$B$16*((Presion_cilindro!N561-$B$14)/Presion_cilindro!$B$35)^(Presion_cilindro!$B$17+1)),0)</f>
        <v>0.9999999997262895</v>
      </c>
      <c r="U562" s="10">
        <f>U561*(Presion_cilindro!O560/Presion_cilindro!O561)^Presion_cilindro!$B$9+10*(Presion_cilindro!$B$9-1)*Presion_cilindro!$B$33*(T562-T561)/((Presion_cilindro!O560+Presion_cilindro!O561)/2)</f>
        <v>4.6046155392292549</v>
      </c>
    </row>
    <row r="563" spans="14:21" x14ac:dyDescent="0.25">
      <c r="N563" s="8">
        <f>-Presion_cilindro!N562</f>
        <v>-99</v>
      </c>
      <c r="O563" s="9">
        <f>IF(Presion_cilindro!N562&gt;$B$12,1-EXP(-Presion_cilindro!$B$16*((Presion_cilindro!N562-$B$12)/Presion_cilindro!$B$35)^(Presion_cilindro!$B$17+1)),0)</f>
        <v>1</v>
      </c>
      <c r="P563" s="10">
        <f>P562*(Presion_cilindro!O561/Presion_cilindro!O562)^Presion_cilindro!$B$9+10*(Presion_cilindro!$B$9-1)*Presion_cilindro!$B$33*(O563-O562)/((Presion_cilindro!O561+Presion_cilindro!O562)/2)</f>
        <v>3.7330271135156754</v>
      </c>
      <c r="Q563" s="9">
        <f>IF(OR($B$9=0,Presion_cilindro!N562&lt;=$B$15),IF(Presion_cilindro!N562&gt;$B$13,1-EXP(-Presion_cilindro!$B$16*((Presion_cilindro!N562-$B$13)/Presion_cilindro!$B$35)^(Presion_cilindro!$B$17+1)),0),$B$8+(1-$B$8)*(1-EXP(-(Presion_cilindro!N562-$B$15)/Presion_cilindro!$B$23)))</f>
        <v>1</v>
      </c>
      <c r="R563" s="10">
        <f>R562*(Presion_cilindro!O561/Presion_cilindro!O562)^Presion_cilindro!$B$9+10*(Presion_cilindro!$B$9-1)*Presion_cilindro!$B$33*(Q563-Q562)/((Presion_cilindro!O561+Presion_cilindro!O562)/2)</f>
        <v>3.8719950779501593</v>
      </c>
      <c r="S563" s="10">
        <f>R563+IF(AND($B$9=1,Presion_cilindro!N562&gt;$B$15),Presion_cilindro!$B$24*2.5*EXP(-(Presion_cilindro!N562-$B$15)/Presion_cilindro!$B$26)*SIN(2*PI()*(Presion_cilindro!N562-$B$15)/Presion_cilindro!$B$39),0)</f>
        <v>3.8719322682662862</v>
      </c>
      <c r="T563" s="9">
        <f>IF(Presion_cilindro!N562&gt;$B$14,1-EXP(-Presion_cilindro!$B$16*((Presion_cilindro!N562-$B$14)/Presion_cilindro!$B$35)^(Presion_cilindro!$B$17+1)),0)</f>
        <v>0.99999999981812615</v>
      </c>
      <c r="U563" s="10">
        <f>U562*(Presion_cilindro!O561/Presion_cilindro!O562)^Presion_cilindro!$B$9+10*(Presion_cilindro!$B$9-1)*Presion_cilindro!$B$33*(T563-T562)/((Presion_cilindro!O561+Presion_cilindro!O562)/2)</f>
        <v>4.5714888031753915</v>
      </c>
    </row>
    <row r="564" spans="14:21" x14ac:dyDescent="0.25">
      <c r="N564" s="8">
        <f>-Presion_cilindro!N563</f>
        <v>-99.5</v>
      </c>
      <c r="O564" s="9">
        <f>IF(Presion_cilindro!N563&gt;$B$12,1-EXP(-Presion_cilindro!$B$16*((Presion_cilindro!N563-$B$12)/Presion_cilindro!$B$35)^(Presion_cilindro!$B$17+1)),0)</f>
        <v>1</v>
      </c>
      <c r="P564" s="10">
        <f>P563*(Presion_cilindro!O562/Presion_cilindro!O563)^Presion_cilindro!$B$9+10*(Presion_cilindro!$B$9-1)*Presion_cilindro!$B$33*(O564-O563)/((Presion_cilindro!O562+Presion_cilindro!O563)/2)</f>
        <v>3.7064230718301778</v>
      </c>
      <c r="Q564" s="9">
        <f>IF(OR($B$9=0,Presion_cilindro!N563&lt;=$B$15),IF(Presion_cilindro!N563&gt;$B$13,1-EXP(-Presion_cilindro!$B$16*((Presion_cilindro!N563-$B$13)/Presion_cilindro!$B$35)^(Presion_cilindro!$B$17+1)),0),$B$8+(1-$B$8)*(1-EXP(-(Presion_cilindro!N563-$B$15)/Presion_cilindro!$B$23)))</f>
        <v>1</v>
      </c>
      <c r="R564" s="10">
        <f>R563*(Presion_cilindro!O562/Presion_cilindro!O563)^Presion_cilindro!$B$9+10*(Presion_cilindro!$B$9-1)*Presion_cilindro!$B$33*(Q564-Q563)/((Presion_cilindro!O562+Presion_cilindro!O563)/2)</f>
        <v>3.8444006578381624</v>
      </c>
      <c r="S564" s="10">
        <f>R564+IF(AND($B$9=1,Presion_cilindro!N563&gt;$B$15),Presion_cilindro!$B$24*2.5*EXP(-(Presion_cilindro!N563-$B$15)/Presion_cilindro!$B$26)*SIN(2*PI()*(Presion_cilindro!N563-$B$15)/Presion_cilindro!$B$39),0)</f>
        <v>3.8445701185038792</v>
      </c>
      <c r="T564" s="9">
        <f>IF(Presion_cilindro!N563&gt;$B$14,1-EXP(-Presion_cilindro!$B$16*((Presion_cilindro!N563-$B$14)/Presion_cilindro!$B$35)^(Presion_cilindro!$B$17+1)),0)</f>
        <v>0.9999999998797553</v>
      </c>
      <c r="U564" s="10">
        <f>U563*(Presion_cilindro!O562/Presion_cilindro!O563)^Presion_cilindro!$B$9+10*(Presion_cilindro!$B$9-1)*Presion_cilindro!$B$33*(T564-T563)/((Presion_cilindro!O562+Presion_cilindro!O563)/2)</f>
        <v>4.5389093243995351</v>
      </c>
    </row>
    <row r="565" spans="14:21" x14ac:dyDescent="0.25">
      <c r="N565" s="8">
        <f>-Presion_cilindro!N564</f>
        <v>-100</v>
      </c>
      <c r="O565" s="9">
        <f>IF(Presion_cilindro!N564&gt;$B$12,1-EXP(-Presion_cilindro!$B$16*((Presion_cilindro!N564-$B$12)/Presion_cilindro!$B$35)^(Presion_cilindro!$B$17+1)),0)</f>
        <v>1</v>
      </c>
      <c r="P565" s="10">
        <f>P564*(Presion_cilindro!O563/Presion_cilindro!O564)^Presion_cilindro!$B$9+10*(Presion_cilindro!$B$9-1)*Presion_cilindro!$B$33*(O565-O564)/((Presion_cilindro!O563+Presion_cilindro!O564)/2)</f>
        <v>3.6802575304182192</v>
      </c>
      <c r="Q565" s="9">
        <f>IF(OR($B$9=0,Presion_cilindro!N564&lt;=$B$15),IF(Presion_cilindro!N564&gt;$B$13,1-EXP(-Presion_cilindro!$B$16*((Presion_cilindro!N564-$B$13)/Presion_cilindro!$B$35)^(Presion_cilindro!$B$17+1)),0),$B$8+(1-$B$8)*(1-EXP(-(Presion_cilindro!N564-$B$15)/Presion_cilindro!$B$23)))</f>
        <v>1</v>
      </c>
      <c r="R565" s="10">
        <f>R564*(Presion_cilindro!O563/Presion_cilindro!O564)^Presion_cilindro!$B$9+10*(Presion_cilindro!$B$9-1)*Presion_cilindro!$B$33*(Q565-Q564)/((Presion_cilindro!O563+Presion_cilindro!O564)/2)</f>
        <v>3.8172610618807168</v>
      </c>
      <c r="S565" s="10">
        <f>R565+IF(AND($B$9=1,Presion_cilindro!N564&gt;$B$15),Presion_cilindro!$B$24*2.5*EXP(-(Presion_cilindro!N564-$B$15)/Presion_cilindro!$B$26)*SIN(2*PI()*(Presion_cilindro!N564-$B$15)/Presion_cilindro!$B$39),0)</f>
        <v>3.8173178944329003</v>
      </c>
      <c r="T565" s="9">
        <f>IF(Presion_cilindro!N564&gt;$B$14,1-EXP(-Presion_cilindro!$B$16*((Presion_cilindro!N564-$B$14)/Presion_cilindro!$B$35)^(Presion_cilindro!$B$17+1)),0)</f>
        <v>0.99999999992090216</v>
      </c>
      <c r="U565" s="10">
        <f>U564*(Presion_cilindro!O563/Presion_cilindro!O564)^Presion_cilindro!$B$9+10*(Presion_cilindro!$B$9-1)*Presion_cilindro!$B$33*(T565-T564)/((Presion_cilindro!O563+Presion_cilindro!O564)/2)</f>
        <v>4.5068668357560133</v>
      </c>
    </row>
    <row r="566" spans="14:21" x14ac:dyDescent="0.25">
      <c r="N566" s="8">
        <f>-Presion_cilindro!N565</f>
        <v>-100.5</v>
      </c>
      <c r="O566" s="9">
        <f>IF(Presion_cilindro!N565&gt;$B$12,1-EXP(-Presion_cilindro!$B$16*((Presion_cilindro!N565-$B$12)/Presion_cilindro!$B$35)^(Presion_cilindro!$B$17+1)),0)</f>
        <v>1</v>
      </c>
      <c r="P566" s="10">
        <f>P565*(Presion_cilindro!O564/Presion_cilindro!O565)^Presion_cilindro!$B$9+10*(Presion_cilindro!$B$9-1)*Presion_cilindro!$B$33*(O566-O565)/((Presion_cilindro!O564+Presion_cilindro!O565)/2)</f>
        <v>3.6545222954765046</v>
      </c>
      <c r="Q566" s="9">
        <f>IF(OR($B$9=0,Presion_cilindro!N565&lt;=$B$15),IF(Presion_cilindro!N565&gt;$B$13,1-EXP(-Presion_cilindro!$B$16*((Presion_cilindro!N565-$B$13)/Presion_cilindro!$B$35)^(Presion_cilindro!$B$17+1)),0),$B$8+(1-$B$8)*(1-EXP(-(Presion_cilindro!N565-$B$15)/Presion_cilindro!$B$23)))</f>
        <v>1</v>
      </c>
      <c r="R566" s="10">
        <f>R565*(Presion_cilindro!O564/Presion_cilindro!O565)^Presion_cilindro!$B$9+10*(Presion_cilindro!$B$9-1)*Presion_cilindro!$B$33*(Q566-Q565)/((Presion_cilindro!O564+Presion_cilindro!O565)/2)</f>
        <v>3.7905677912469642</v>
      </c>
      <c r="S566" s="10">
        <f>R566+IF(AND($B$9=1,Presion_cilindro!N565&gt;$B$15),Presion_cilindro!$B$24*2.5*EXP(-(Presion_cilindro!N565-$B$15)/Presion_cilindro!$B$26)*SIN(2*PI()*(Presion_cilindro!N565-$B$15)/Presion_cilindro!$B$39),0)</f>
        <v>3.7904144568957387</v>
      </c>
      <c r="T566" s="9">
        <f>IF(Presion_cilindro!N565&gt;$B$14,1-EXP(-Presion_cilindro!$B$16*((Presion_cilindro!N565-$B$14)/Presion_cilindro!$B$35)^(Presion_cilindro!$B$17+1)),0)</f>
        <v>0.99999999994823308</v>
      </c>
      <c r="U566" s="10">
        <f>U565*(Presion_cilindro!O564/Presion_cilindro!O565)^Presion_cilindro!$B$9+10*(Presion_cilindro!$B$9-1)*Presion_cilindro!$B$33*(T566-T565)/((Presion_cilindro!O564+Presion_cilindro!O565)/2)</f>
        <v>4.4753513030934995</v>
      </c>
    </row>
    <row r="567" spans="14:21" x14ac:dyDescent="0.25">
      <c r="N567" s="8">
        <f>-Presion_cilindro!N566</f>
        <v>-101</v>
      </c>
      <c r="O567" s="9">
        <f>IF(Presion_cilindro!N566&gt;$B$12,1-EXP(-Presion_cilindro!$B$16*((Presion_cilindro!N566-$B$12)/Presion_cilindro!$B$35)^(Presion_cilindro!$B$17+1)),0)</f>
        <v>1</v>
      </c>
      <c r="P567" s="10">
        <f>P566*(Presion_cilindro!O565/Presion_cilindro!O566)^Presion_cilindro!$B$9+10*(Presion_cilindro!$B$9-1)*Presion_cilindro!$B$33*(O567-O566)/((Presion_cilindro!O565+Presion_cilindro!O566)/2)</f>
        <v>3.6292093586738523</v>
      </c>
      <c r="Q567" s="9">
        <f>IF(OR($B$9=0,Presion_cilindro!N566&lt;=$B$15),IF(Presion_cilindro!N566&gt;$B$13,1-EXP(-Presion_cilindro!$B$16*((Presion_cilindro!N566-$B$13)/Presion_cilindro!$B$35)^(Presion_cilindro!$B$17+1)),0),$B$8+(1-$B$8)*(1-EXP(-(Presion_cilindro!N566-$B$15)/Presion_cilindro!$B$23)))</f>
        <v>1</v>
      </c>
      <c r="R567" s="10">
        <f>R566*(Presion_cilindro!O565/Presion_cilindro!O566)^Presion_cilindro!$B$9+10*(Presion_cilindro!$B$9-1)*Presion_cilindro!$B$33*(Q567-Q566)/((Presion_cilindro!O565+Presion_cilindro!O566)/2)</f>
        <v>3.7643125394826584</v>
      </c>
      <c r="S567" s="10">
        <f>R567+IF(AND($B$9=1,Presion_cilindro!N566&gt;$B$15),Presion_cilindro!$B$24*2.5*EXP(-(Presion_cilindro!N566-$B$15)/Presion_cilindro!$B$26)*SIN(2*PI()*(Presion_cilindro!N566-$B$15)/Presion_cilindro!$B$39),0)</f>
        <v>3.7642611152628804</v>
      </c>
      <c r="T567" s="9">
        <f>IF(Presion_cilindro!N566&gt;$B$14,1-EXP(-Presion_cilindro!$B$16*((Presion_cilindro!N566-$B$14)/Presion_cilindro!$B$35)^(Presion_cilindro!$B$17+1)),0)</f>
        <v>0.99999999996629318</v>
      </c>
      <c r="U567" s="10">
        <f>U566*(Presion_cilindro!O565/Presion_cilindro!O566)^Presion_cilindro!$B$9+10*(Presion_cilindro!$B$9-1)*Presion_cilindro!$B$33*(T567-T566)/((Presion_cilindro!O565+Presion_cilindro!O566)/2)</f>
        <v>4.4443529193805364</v>
      </c>
    </row>
    <row r="568" spans="14:21" x14ac:dyDescent="0.25">
      <c r="N568" s="8">
        <f>-Presion_cilindro!N567</f>
        <v>-101.5</v>
      </c>
      <c r="O568" s="9">
        <f>IF(Presion_cilindro!N567&gt;$B$12,1-EXP(-Presion_cilindro!$B$16*((Presion_cilindro!N567-$B$12)/Presion_cilindro!$B$35)^(Presion_cilindro!$B$17+1)),0)</f>
        <v>1</v>
      </c>
      <c r="P568" s="10">
        <f>P567*(Presion_cilindro!O566/Presion_cilindro!O567)^Presion_cilindro!$B$9+10*(Presion_cilindro!$B$9-1)*Presion_cilindro!$B$33*(O568-O567)/((Presion_cilindro!O566+Presion_cilindro!O567)/2)</f>
        <v>3.6043108924832139</v>
      </c>
      <c r="Q568" s="9">
        <f>IF(OR($B$9=0,Presion_cilindro!N567&lt;=$B$15),IF(Presion_cilindro!N567&gt;$B$13,1-EXP(-Presion_cilindro!$B$16*((Presion_cilindro!N567-$B$13)/Presion_cilindro!$B$35)^(Presion_cilindro!$B$17+1)),0),$B$8+(1-$B$8)*(1-EXP(-(Presion_cilindro!N567-$B$15)/Presion_cilindro!$B$23)))</f>
        <v>1</v>
      </c>
      <c r="R568" s="10">
        <f>R567*(Presion_cilindro!O566/Presion_cilindro!O567)^Presion_cilindro!$B$9+10*(Presion_cilindro!$B$9-1)*Presion_cilindro!$B$33*(Q568-Q567)/((Presion_cilindro!O566+Presion_cilindro!O567)/2)</f>
        <v>3.7384871876684125</v>
      </c>
      <c r="S568" s="10">
        <f>R568+IF(AND($B$9=1,Presion_cilindro!N567&gt;$B$15),Presion_cilindro!$B$24*2.5*EXP(-(Presion_cilindro!N567-$B$15)/Presion_cilindro!$B$26)*SIN(2*PI()*(Presion_cilindro!N567-$B$15)/Presion_cilindro!$B$39),0)</f>
        <v>3.7386259303268718</v>
      </c>
      <c r="T568" s="9">
        <f>IF(Presion_cilindro!N567&gt;$B$14,1-EXP(-Presion_cilindro!$B$16*((Presion_cilindro!N567-$B$14)/Presion_cilindro!$B$35)^(Presion_cilindro!$B$17+1)),0)</f>
        <v>0.99999999997816535</v>
      </c>
      <c r="U568" s="10">
        <f>U567*(Presion_cilindro!O566/Presion_cilindro!O567)^Presion_cilindro!$B$9+10*(Presion_cilindro!$B$9-1)*Presion_cilindro!$B$33*(T568-T567)/((Presion_cilindro!O566+Presion_cilindro!O567)/2)</f>
        <v>4.4138620989924027</v>
      </c>
    </row>
    <row r="569" spans="14:21" x14ac:dyDescent="0.25">
      <c r="N569" s="8">
        <f>-Presion_cilindro!N568</f>
        <v>-102</v>
      </c>
      <c r="O569" s="9">
        <f>IF(Presion_cilindro!N568&gt;$B$12,1-EXP(-Presion_cilindro!$B$16*((Presion_cilindro!N568-$B$12)/Presion_cilindro!$B$35)^(Presion_cilindro!$B$17+1)),0)</f>
        <v>1</v>
      </c>
      <c r="P569" s="10">
        <f>P568*(Presion_cilindro!O567/Presion_cilindro!O568)^Presion_cilindro!$B$9+10*(Presion_cilindro!$B$9-1)*Presion_cilindro!$B$33*(O569-O568)/((Presion_cilindro!O567+Presion_cilindro!O568)/2)</f>
        <v>3.579819245642879</v>
      </c>
      <c r="Q569" s="9">
        <f>IF(OR($B$9=0,Presion_cilindro!N568&lt;=$B$15),IF(Presion_cilindro!N568&gt;$B$13,1-EXP(-Presion_cilindro!$B$16*((Presion_cilindro!N568-$B$13)/Presion_cilindro!$B$35)^(Presion_cilindro!$B$17+1)),0),$B$8+(1-$B$8)*(1-EXP(-(Presion_cilindro!N568-$B$15)/Presion_cilindro!$B$23)))</f>
        <v>1</v>
      </c>
      <c r="R569" s="10">
        <f>R568*(Presion_cilindro!O567/Presion_cilindro!O568)^Presion_cilindro!$B$9+10*(Presion_cilindro!$B$9-1)*Presion_cilindro!$B$33*(Q569-Q568)/((Presion_cilindro!O567+Presion_cilindro!O568)/2)</f>
        <v>3.7130837997119395</v>
      </c>
      <c r="S569" s="10">
        <f>R569+IF(AND($B$9=1,Presion_cilindro!N568&gt;$B$15),Presion_cilindro!$B$24*2.5*EXP(-(Presion_cilindro!N568-$B$15)/Presion_cilindro!$B$26)*SIN(2*PI()*(Presion_cilindro!N568-$B$15)/Presion_cilindro!$B$39),0)</f>
        <v>3.7131303302701877</v>
      </c>
      <c r="T569" s="9">
        <f>IF(Presion_cilindro!N568&gt;$B$14,1-EXP(-Presion_cilindro!$B$16*((Presion_cilindro!N568-$B$14)/Presion_cilindro!$B$35)^(Presion_cilindro!$B$17+1)),0)</f>
        <v>0.99999999998592903</v>
      </c>
      <c r="U569" s="10">
        <f>U568*(Presion_cilindro!O567/Presion_cilindro!O568)^Presion_cilindro!$B$9+10*(Presion_cilindro!$B$9-1)*Presion_cilindro!$B$33*(T569-T568)/((Presion_cilindro!O567+Presion_cilindro!O568)/2)</f>
        <v>4.3838694721551503</v>
      </c>
    </row>
    <row r="570" spans="14:21" x14ac:dyDescent="0.25">
      <c r="N570" s="8">
        <f>-Presion_cilindro!N569</f>
        <v>-102.5</v>
      </c>
      <c r="O570" s="9">
        <f>IF(Presion_cilindro!N569&gt;$B$12,1-EXP(-Presion_cilindro!$B$16*((Presion_cilindro!N569-$B$12)/Presion_cilindro!$B$35)^(Presion_cilindro!$B$17+1)),0)</f>
        <v>1</v>
      </c>
      <c r="P570" s="10">
        <f>P569*(Presion_cilindro!O568/Presion_cilindro!O569)^Presion_cilindro!$B$9+10*(Presion_cilindro!$B$9-1)*Presion_cilindro!$B$33*(O570-O569)/((Presion_cilindro!O568+Presion_cilindro!O569)/2)</f>
        <v>3.5557269387430379</v>
      </c>
      <c r="Q570" s="9">
        <f>IF(OR($B$9=0,Presion_cilindro!N569&lt;=$B$15),IF(Presion_cilindro!N569&gt;$B$13,1-EXP(-Presion_cilindro!$B$16*((Presion_cilindro!N569-$B$13)/Presion_cilindro!$B$35)^(Presion_cilindro!$B$17+1)),0),$B$8+(1-$B$8)*(1-EXP(-(Presion_cilindro!N569-$B$15)/Presion_cilindro!$B$23)))</f>
        <v>1</v>
      </c>
      <c r="R570" s="10">
        <f>R569*(Presion_cilindro!O568/Presion_cilindro!O569)^Presion_cilindro!$B$9+10*(Presion_cilindro!$B$9-1)*Presion_cilindro!$B$33*(Q570-Q569)/((Presion_cilindro!O568+Presion_cilindro!O569)/2)</f>
        <v>3.688094617770318</v>
      </c>
      <c r="S570" s="10">
        <f>R570+IF(AND($B$9=1,Presion_cilindro!N569&gt;$B$15),Presion_cilindro!$B$24*2.5*EXP(-(Presion_cilindro!N569-$B$15)/Presion_cilindro!$B$26)*SIN(2*PI()*(Presion_cilindro!N569-$B$15)/Presion_cilindro!$B$39),0)</f>
        <v>3.6879690782214665</v>
      </c>
      <c r="T570" s="9">
        <f>IF(Presion_cilindro!N569&gt;$B$14,1-EXP(-Presion_cilindro!$B$16*((Presion_cilindro!N569-$B$14)/Presion_cilindro!$B$35)^(Presion_cilindro!$B$17+1)),0)</f>
        <v>0.99999999999097933</v>
      </c>
      <c r="U570" s="10">
        <f>U569*(Presion_cilindro!O568/Presion_cilindro!O569)^Presion_cilindro!$B$9+10*(Presion_cilindro!$B$9-1)*Presion_cilindro!$B$33*(T570-T569)/((Presion_cilindro!O568+Presion_cilindro!O569)/2)</f>
        <v>4.3543658795424589</v>
      </c>
    </row>
    <row r="571" spans="14:21" x14ac:dyDescent="0.25">
      <c r="N571" s="8">
        <f>-Presion_cilindro!N570</f>
        <v>-103</v>
      </c>
      <c r="O571" s="9">
        <f>IF(Presion_cilindro!N570&gt;$B$12,1-EXP(-Presion_cilindro!$B$16*((Presion_cilindro!N570-$B$12)/Presion_cilindro!$B$35)^(Presion_cilindro!$B$17+1)),0)</f>
        <v>1</v>
      </c>
      <c r="P571" s="10">
        <f>P570*(Presion_cilindro!O569/Presion_cilindro!O570)^Presion_cilindro!$B$9+10*(Presion_cilindro!$B$9-1)*Presion_cilindro!$B$33*(O571-O570)/((Presion_cilindro!O569+Presion_cilindro!O570)/2)</f>
        <v>3.5320266599341448</v>
      </c>
      <c r="Q571" s="9">
        <f>IF(OR($B$9=0,Presion_cilindro!N570&lt;=$B$15),IF(Presion_cilindro!N570&gt;$B$13,1-EXP(-Presion_cilindro!$B$16*((Presion_cilindro!N570-$B$13)/Presion_cilindro!$B$35)^(Presion_cilindro!$B$17+1)),0),$B$8+(1-$B$8)*(1-EXP(-(Presion_cilindro!N570-$B$15)/Presion_cilindro!$B$23)))</f>
        <v>1</v>
      </c>
      <c r="R571" s="10">
        <f>R570*(Presion_cilindro!O569/Presion_cilindro!O570)^Presion_cilindro!$B$9+10*(Presion_cilindro!$B$9-1)*Presion_cilindro!$B$33*(Q571-Q570)/((Presion_cilindro!O569+Presion_cilindro!O570)/2)</f>
        <v>3.6635120577985911</v>
      </c>
      <c r="S571" s="10">
        <f>R571+IF(AND($B$9=1,Presion_cilindro!N570&gt;$B$15),Presion_cilindro!$B$24*2.5*EXP(-(Presion_cilindro!N570-$B$15)/Presion_cilindro!$B$26)*SIN(2*PI()*(Presion_cilindro!N570-$B$15)/Presion_cilindro!$B$39),0)</f>
        <v>3.6634699552084058</v>
      </c>
      <c r="T571" s="9">
        <f>IF(Presion_cilindro!N570&gt;$B$14,1-EXP(-Presion_cilindro!$B$16*((Presion_cilindro!N570-$B$14)/Presion_cilindro!$B$35)^(Presion_cilindro!$B$17+1)),0)</f>
        <v>0.99999999999424727</v>
      </c>
      <c r="U571" s="10">
        <f>U570*(Presion_cilindro!O569/Presion_cilindro!O570)^Presion_cilindro!$B$9+10*(Presion_cilindro!$B$9-1)*Presion_cilindro!$B$33*(T571-T570)/((Presion_cilindro!O569+Presion_cilindro!O570)/2)</f>
        <v>4.3253423670211459</v>
      </c>
    </row>
    <row r="572" spans="14:21" x14ac:dyDescent="0.25">
      <c r="N572" s="8">
        <f>-Presion_cilindro!N571</f>
        <v>-103.5</v>
      </c>
      <c r="O572" s="9">
        <f>IF(Presion_cilindro!N571&gt;$B$12,1-EXP(-Presion_cilindro!$B$16*((Presion_cilindro!N571-$B$12)/Presion_cilindro!$B$35)^(Presion_cilindro!$B$17+1)),0)</f>
        <v>1</v>
      </c>
      <c r="P572" s="10">
        <f>P571*(Presion_cilindro!O570/Presion_cilindro!O571)^Presion_cilindro!$B$9+10*(Presion_cilindro!$B$9-1)*Presion_cilindro!$B$33*(O572-O571)/((Presion_cilindro!O570+Presion_cilindro!O571)/2)</f>
        <v>3.5087112607536217</v>
      </c>
      <c r="Q572" s="9">
        <f>IF(OR($B$9=0,Presion_cilindro!N571&lt;=$B$15),IF(Presion_cilindro!N571&gt;$B$13,1-EXP(-Presion_cilindro!$B$16*((Presion_cilindro!N571-$B$13)/Presion_cilindro!$B$35)^(Presion_cilindro!$B$17+1)),0),$B$8+(1-$B$8)*(1-EXP(-(Presion_cilindro!N571-$B$15)/Presion_cilindro!$B$23)))</f>
        <v>1</v>
      </c>
      <c r="R572" s="10">
        <f>R571*(Presion_cilindro!O570/Presion_cilindro!O571)^Presion_cilindro!$B$9+10*(Presion_cilindro!$B$9-1)*Presion_cilindro!$B$33*(Q572-Q571)/((Presion_cilindro!O570+Presion_cilindro!O571)/2)</f>
        <v>3.6393287052211147</v>
      </c>
      <c r="S572" s="10">
        <f>R572+IF(AND($B$9=1,Presion_cilindro!N571&gt;$B$15),Presion_cilindro!$B$24*2.5*EXP(-(Presion_cilindro!N571-$B$15)/Presion_cilindro!$B$26)*SIN(2*PI()*(Presion_cilindro!N571-$B$15)/Presion_cilindro!$B$39),0)</f>
        <v>3.6394422981023591</v>
      </c>
      <c r="T572" s="9">
        <f>IF(Presion_cilindro!N571&gt;$B$14,1-EXP(-Presion_cilindro!$B$16*((Presion_cilindro!N571-$B$14)/Presion_cilindro!$B$35)^(Presion_cilindro!$B$17+1)),0)</f>
        <v>0.99999999999635059</v>
      </c>
      <c r="U572" s="10">
        <f>U571*(Presion_cilindro!O570/Presion_cilindro!O571)^Presion_cilindro!$B$9+10*(Presion_cilindro!$B$9-1)*Presion_cilindro!$B$33*(T572-T571)/((Presion_cilindro!O570+Presion_cilindro!O571)/2)</f>
        <v>4.2967901805412572</v>
      </c>
    </row>
    <row r="573" spans="14:21" x14ac:dyDescent="0.25">
      <c r="N573" s="8">
        <f>-Presion_cilindro!N572</f>
        <v>-104</v>
      </c>
      <c r="O573" s="9">
        <f>IF(Presion_cilindro!N572&gt;$B$12,1-EXP(-Presion_cilindro!$B$16*((Presion_cilindro!N572-$B$12)/Presion_cilindro!$B$35)^(Presion_cilindro!$B$17+1)),0)</f>
        <v>1</v>
      </c>
      <c r="P573" s="10">
        <f>P572*(Presion_cilindro!O571/Presion_cilindro!O572)^Presion_cilindro!$B$9+10*(Presion_cilindro!$B$9-1)*Presion_cilindro!$B$33*(O573-O572)/((Presion_cilindro!O571+Presion_cilindro!O572)/2)</f>
        <v>3.4857737520673724</v>
      </c>
      <c r="Q573" s="9">
        <f>IF(OR($B$9=0,Presion_cilindro!N572&lt;=$B$15),IF(Presion_cilindro!N572&gt;$B$13,1-EXP(-Presion_cilindro!$B$16*((Presion_cilindro!N572-$B$13)/Presion_cilindro!$B$35)^(Presion_cilindro!$B$17+1)),0),$B$8+(1-$B$8)*(1-EXP(-(Presion_cilindro!N572-$B$15)/Presion_cilindro!$B$23)))</f>
        <v>1</v>
      </c>
      <c r="R573" s="10">
        <f>R572*(Presion_cilindro!O571/Presion_cilindro!O572)^Presion_cilindro!$B$9+10*(Presion_cilindro!$B$9-1)*Presion_cilindro!$B$33*(Q573-Q572)/((Presion_cilindro!O571+Presion_cilindro!O572)/2)</f>
        <v>3.6155373107219857</v>
      </c>
      <c r="S573" s="10">
        <f>R573+IF(AND($B$9=1,Presion_cilindro!N572&gt;$B$15),Presion_cilindro!$B$24*2.5*EXP(-(Presion_cilindro!N572-$B$15)/Presion_cilindro!$B$26)*SIN(2*PI()*(Presion_cilindro!N572-$B$15)/Presion_cilindro!$B$39),0)</f>
        <v>3.6155754067209815</v>
      </c>
      <c r="T573" s="9">
        <f>IF(Presion_cilindro!N572&gt;$B$14,1-EXP(-Presion_cilindro!$B$16*((Presion_cilindro!N572-$B$14)/Presion_cilindro!$B$35)^(Presion_cilindro!$B$17+1)),0)</f>
        <v>0.99999999999769718</v>
      </c>
      <c r="U573" s="10">
        <f>U572*(Presion_cilindro!O571/Presion_cilindro!O572)^Presion_cilindro!$B$9+10*(Presion_cilindro!$B$9-1)*Presion_cilindro!$B$33*(T573-T572)/((Presion_cilindro!O571+Presion_cilindro!O572)/2)</f>
        <v>4.2687007611665182</v>
      </c>
    </row>
    <row r="574" spans="14:21" x14ac:dyDescent="0.25">
      <c r="N574" s="8">
        <f>-Presion_cilindro!N573</f>
        <v>-104.5</v>
      </c>
      <c r="O574" s="9">
        <f>IF(Presion_cilindro!N573&gt;$B$12,1-EXP(-Presion_cilindro!$B$16*((Presion_cilindro!N573-$B$12)/Presion_cilindro!$B$35)^(Presion_cilindro!$B$17+1)),0)</f>
        <v>1</v>
      </c>
      <c r="P574" s="10">
        <f>P573*(Presion_cilindro!O572/Presion_cilindro!O573)^Presion_cilindro!$B$9+10*(Presion_cilindro!$B$9-1)*Presion_cilindro!$B$33*(O574-O573)/((Presion_cilindro!O572+Presion_cilindro!O573)/2)</f>
        <v>3.4632073001229324</v>
      </c>
      <c r="Q574" s="9">
        <f>IF(OR($B$9=0,Presion_cilindro!N573&lt;=$B$15),IF(Presion_cilindro!N573&gt;$B$13,1-EXP(-Presion_cilindro!$B$16*((Presion_cilindro!N573-$B$13)/Presion_cilindro!$B$35)^(Presion_cilindro!$B$17+1)),0),$B$8+(1-$B$8)*(1-EXP(-(Presion_cilindro!N573-$B$15)/Presion_cilindro!$B$23)))</f>
        <v>1</v>
      </c>
      <c r="R574" s="10">
        <f>R573*(Presion_cilindro!O572/Presion_cilindro!O573)^Presion_cilindro!$B$9+10*(Presion_cilindro!$B$9-1)*Presion_cilindro!$B$33*(Q574-Q573)/((Presion_cilindro!O572+Presion_cilindro!O573)/2)</f>
        <v>3.592130786151265</v>
      </c>
      <c r="S574" s="10">
        <f>R574+IF(AND($B$9=1,Presion_cilindro!N573&gt;$B$15),Presion_cilindro!$B$24*2.5*EXP(-(Presion_cilindro!N573-$B$15)/Presion_cilindro!$B$26)*SIN(2*PI()*(Presion_cilindro!N573-$B$15)/Presion_cilindro!$B$39),0)</f>
        <v>3.5920280030618925</v>
      </c>
      <c r="T574" s="9">
        <f>IF(Presion_cilindro!N573&gt;$B$14,1-EXP(-Presion_cilindro!$B$16*((Presion_cilindro!N573-$B$14)/Presion_cilindro!$B$35)^(Presion_cilindro!$B$17+1)),0)</f>
        <v>0.9999999999985546</v>
      </c>
      <c r="U574" s="10">
        <f>U573*(Presion_cilindro!O572/Presion_cilindro!O573)^Presion_cilindro!$B$9+10*(Presion_cilindro!$B$9-1)*Presion_cilindro!$B$33*(T574-T573)/((Presion_cilindro!O572+Presion_cilindro!O573)/2)</f>
        <v>4.2410657402413294</v>
      </c>
    </row>
    <row r="575" spans="14:21" x14ac:dyDescent="0.25">
      <c r="N575" s="8">
        <f>-Presion_cilindro!N574</f>
        <v>-105</v>
      </c>
      <c r="O575" s="9">
        <f>IF(Presion_cilindro!N574&gt;$B$12,1-EXP(-Presion_cilindro!$B$16*((Presion_cilindro!N574-$B$12)/Presion_cilindro!$B$35)^(Presion_cilindro!$B$17+1)),0)</f>
        <v>1</v>
      </c>
      <c r="P575" s="10">
        <f>P574*(Presion_cilindro!O573/Presion_cilindro!O574)^Presion_cilindro!$B$9+10*(Presion_cilindro!$B$9-1)*Presion_cilindro!$B$33*(O575-O574)/((Presion_cilindro!O573+Presion_cilindro!O574)/2)</f>
        <v>3.4410052227109276</v>
      </c>
      <c r="Q575" s="9">
        <f>IF(OR($B$9=0,Presion_cilindro!N574&lt;=$B$15),IF(Presion_cilindro!N574&gt;$B$13,1-EXP(-Presion_cilindro!$B$16*((Presion_cilindro!N574-$B$13)/Presion_cilindro!$B$35)^(Presion_cilindro!$B$17+1)),0),$B$8+(1-$B$8)*(1-EXP(-(Presion_cilindro!N574-$B$15)/Presion_cilindro!$B$23)))</f>
        <v>1</v>
      </c>
      <c r="R575" s="10">
        <f>R574*(Presion_cilindro!O573/Presion_cilindro!O574)^Presion_cilindro!$B$9+10*(Presion_cilindro!$B$9-1)*Presion_cilindro!$B$33*(Q575-Q574)/((Presion_cilindro!O573+Presion_cilindro!O574)/2)</f>
        <v>3.5691022005435409</v>
      </c>
      <c r="S575" s="10">
        <f>R575+IF(AND($B$9=1,Presion_cilindro!N574&gt;$B$15),Presion_cilindro!$B$24*2.5*EXP(-(Presion_cilindro!N574-$B$15)/Presion_cilindro!$B$26)*SIN(2*PI()*(Presion_cilindro!N574-$B$15)/Presion_cilindro!$B$39),0)</f>
        <v>3.5690677298581721</v>
      </c>
      <c r="T575" s="9">
        <f>IF(Presion_cilindro!N574&gt;$B$14,1-EXP(-Presion_cilindro!$B$16*((Presion_cilindro!N574-$B$14)/Presion_cilindro!$B$35)^(Presion_cilindro!$B$17+1)),0)</f>
        <v>0.99999999999909761</v>
      </c>
      <c r="U575" s="10">
        <f>U574*(Presion_cilindro!O573/Presion_cilindro!O574)^Presion_cilindro!$B$9+10*(Presion_cilindro!$B$9-1)*Presion_cilindro!$B$33*(T575-T574)/((Presion_cilindro!O573+Presion_cilindro!O574)/2)</f>
        <v>4.2138769346902931</v>
      </c>
    </row>
    <row r="576" spans="14:21" x14ac:dyDescent="0.25">
      <c r="N576" s="8">
        <f>-Presion_cilindro!N575</f>
        <v>-105.5</v>
      </c>
      <c r="O576" s="9">
        <f>IF(Presion_cilindro!N575&gt;$B$12,1-EXP(-Presion_cilindro!$B$16*((Presion_cilindro!N575-$B$12)/Presion_cilindro!$B$35)^(Presion_cilindro!$B$17+1)),0)</f>
        <v>1</v>
      </c>
      <c r="P576" s="10">
        <f>P575*(Presion_cilindro!O574/Presion_cilindro!O575)^Presion_cilindro!$B$9+10*(Presion_cilindro!$B$9-1)*Presion_cilindro!$B$33*(O576-O575)/((Presion_cilindro!O574+Presion_cilindro!O575)/2)</f>
        <v>3.419160985431803</v>
      </c>
      <c r="Q576" s="9">
        <f>IF(OR($B$9=0,Presion_cilindro!N575&lt;=$B$15),IF(Presion_cilindro!N575&gt;$B$13,1-EXP(-Presion_cilindro!$B$16*((Presion_cilindro!N575-$B$13)/Presion_cilindro!$B$35)^(Presion_cilindro!$B$17+1)),0),$B$8+(1-$B$8)*(1-EXP(-(Presion_cilindro!N575-$B$15)/Presion_cilindro!$B$23)))</f>
        <v>1</v>
      </c>
      <c r="R576" s="10">
        <f>R575*(Presion_cilindro!O574/Presion_cilindro!O575)^Presion_cilindro!$B$9+10*(Presion_cilindro!$B$9-1)*Presion_cilindro!$B$33*(Q576-Q575)/((Presion_cilindro!O574+Presion_cilindro!O575)/2)</f>
        <v>3.5464447762456794</v>
      </c>
      <c r="S576" s="10">
        <f>R576+IF(AND($B$9=1,Presion_cilindro!N575&gt;$B$15),Presion_cilindro!$B$24*2.5*EXP(-(Presion_cilindro!N575-$B$15)/Presion_cilindro!$B$26)*SIN(2*PI()*(Presion_cilindro!N575-$B$15)/Presion_cilindro!$B$39),0)</f>
        <v>3.5465377782308849</v>
      </c>
      <c r="T576" s="9">
        <f>IF(Presion_cilindro!N575&gt;$B$14,1-EXP(-Presion_cilindro!$B$16*((Presion_cilindro!N575-$B$14)/Presion_cilindro!$B$35)^(Presion_cilindro!$B$17+1)),0)</f>
        <v>0.99999999999943967</v>
      </c>
      <c r="U576" s="10">
        <f>U575*(Presion_cilindro!O574/Presion_cilindro!O575)^Presion_cilindro!$B$9+10*(Presion_cilindro!$B$9-1)*Presion_cilindro!$B$33*(T576-T575)/((Presion_cilindro!O574+Presion_cilindro!O575)/2)</f>
        <v>4.1871263424465717</v>
      </c>
    </row>
    <row r="577" spans="14:21" x14ac:dyDescent="0.25">
      <c r="N577" s="8">
        <f>-Presion_cilindro!N576</f>
        <v>-106</v>
      </c>
      <c r="O577" s="9">
        <f>IF(Presion_cilindro!N576&gt;$B$12,1-EXP(-Presion_cilindro!$B$16*((Presion_cilindro!N576-$B$12)/Presion_cilindro!$B$35)^(Presion_cilindro!$B$17+1)),0)</f>
        <v>1</v>
      </c>
      <c r="P577" s="10">
        <f>P576*(Presion_cilindro!O575/Presion_cilindro!O576)^Presion_cilindro!$B$9+10*(Presion_cilindro!$B$9-1)*Presion_cilindro!$B$33*(O577-O576)/((Presion_cilindro!O575+Presion_cilindro!O576)/2)</f>
        <v>3.3976681980647361</v>
      </c>
      <c r="Q577" s="9">
        <f>IF(OR($B$9=0,Presion_cilindro!N576&lt;=$B$15),IF(Presion_cilindro!N576&gt;$B$13,1-EXP(-Presion_cilindro!$B$16*((Presion_cilindro!N576-$B$13)/Presion_cilindro!$B$35)^(Presion_cilindro!$B$17+1)),0),$B$8+(1-$B$8)*(1-EXP(-(Presion_cilindro!N576-$B$15)/Presion_cilindro!$B$23)))</f>
        <v>1</v>
      </c>
      <c r="R577" s="10">
        <f>R576*(Presion_cilindro!O575/Presion_cilindro!O576)^Presion_cilindro!$B$9+10*(Presion_cilindro!$B$9-1)*Presion_cilindro!$B$33*(Q577-Q576)/((Presion_cilindro!O575+Presion_cilindro!O576)/2)</f>
        <v>3.5241518851505655</v>
      </c>
      <c r="S577" s="10">
        <f>R577+IF(AND($B$9=1,Presion_cilindro!N576&gt;$B$15),Presion_cilindro!$B$24*2.5*EXP(-(Presion_cilindro!N576-$B$15)/Presion_cilindro!$B$26)*SIN(2*PI()*(Presion_cilindro!N576-$B$15)/Presion_cilindro!$B$39),0)</f>
        <v>3.5241830755165129</v>
      </c>
      <c r="T577" s="9">
        <f>IF(Presion_cilindro!N576&gt;$B$14,1-EXP(-Presion_cilindro!$B$16*((Presion_cilindro!N576-$B$14)/Presion_cilindro!$B$35)^(Presion_cilindro!$B$17+1)),0)</f>
        <v>0.99999999999965394</v>
      </c>
      <c r="U577" s="10">
        <f>U576*(Presion_cilindro!O575/Presion_cilindro!O576)^Presion_cilindro!$B$9+10*(Presion_cilindro!$B$9-1)*Presion_cilindro!$B$33*(T577-T576)/((Presion_cilindro!O575+Presion_cilindro!O576)/2)</f>
        <v>4.1608061380053378</v>
      </c>
    </row>
    <row r="578" spans="14:21" x14ac:dyDescent="0.25">
      <c r="N578" s="8">
        <f>-Presion_cilindro!N577</f>
        <v>-106.5</v>
      </c>
      <c r="O578" s="9">
        <f>IF(Presion_cilindro!N577&gt;$B$12,1-EXP(-Presion_cilindro!$B$16*((Presion_cilindro!N577-$B$12)/Presion_cilindro!$B$35)^(Presion_cilindro!$B$17+1)),0)</f>
        <v>1</v>
      </c>
      <c r="P578" s="10">
        <f>P577*(Presion_cilindro!O576/Presion_cilindro!O577)^Presion_cilindro!$B$9+10*(Presion_cilindro!$B$9-1)*Presion_cilindro!$B$33*(O578-O577)/((Presion_cilindro!O576+Presion_cilindro!O577)/2)</f>
        <v>3.3765206110357924</v>
      </c>
      <c r="Q578" s="9">
        <f>IF(OR($B$9=0,Presion_cilindro!N577&lt;=$B$15),IF(Presion_cilindro!N577&gt;$B$13,1-EXP(-Presion_cilindro!$B$16*((Presion_cilindro!N577-$B$13)/Presion_cilindro!$B$35)^(Presion_cilindro!$B$17+1)),0),$B$8+(1-$B$8)*(1-EXP(-(Presion_cilindro!N577-$B$15)/Presion_cilindro!$B$23)))</f>
        <v>1</v>
      </c>
      <c r="R578" s="10">
        <f>R577*(Presion_cilindro!O576/Presion_cilindro!O577)^Presion_cilindro!$B$9+10*(Presion_cilindro!$B$9-1)*Presion_cilindro!$B$33*(Q578-Q577)/((Presion_cilindro!O576+Presion_cilindro!O577)/2)</f>
        <v>3.5022170450337797</v>
      </c>
      <c r="S578" s="10">
        <f>R578+IF(AND($B$9=1,Presion_cilindro!N577&gt;$B$15),Presion_cilindro!$B$24*2.5*EXP(-(Presion_cilindro!N577-$B$15)/Presion_cilindro!$B$26)*SIN(2*PI()*(Presion_cilindro!N577-$B$15)/Presion_cilindro!$B$39),0)</f>
        <v>3.5021328933576141</v>
      </c>
      <c r="T578" s="9">
        <f>IF(Presion_cilindro!N577&gt;$B$14,1-EXP(-Presion_cilindro!$B$16*((Presion_cilindro!N577-$B$14)/Presion_cilindro!$B$35)^(Presion_cilindro!$B$17+1)),0)</f>
        <v>0.9999999999997875</v>
      </c>
      <c r="U578" s="10">
        <f>U577*(Presion_cilindro!O576/Presion_cilindro!O577)^Presion_cilindro!$B$9+10*(Presion_cilindro!$B$9-1)*Presion_cilindro!$B$33*(T578-T577)/((Presion_cilindro!O576+Presion_cilindro!O577)/2)</f>
        <v>4.134908668098717</v>
      </c>
    </row>
    <row r="579" spans="14:21" x14ac:dyDescent="0.25">
      <c r="N579" s="8">
        <f>-Presion_cilindro!N578</f>
        <v>-107</v>
      </c>
      <c r="O579" s="9">
        <f>IF(Presion_cilindro!N578&gt;$B$12,1-EXP(-Presion_cilindro!$B$16*((Presion_cilindro!N578-$B$12)/Presion_cilindro!$B$35)^(Presion_cilindro!$B$17+1)),0)</f>
        <v>1</v>
      </c>
      <c r="P579" s="10">
        <f>P578*(Presion_cilindro!O577/Presion_cilindro!O578)^Presion_cilindro!$B$9+10*(Presion_cilindro!$B$9-1)*Presion_cilindro!$B$33*(O579-O578)/((Presion_cilindro!O577+Presion_cilindro!O578)/2)</f>
        <v>3.3557121119825228</v>
      </c>
      <c r="Q579" s="9">
        <f>IF(OR($B$9=0,Presion_cilindro!N578&lt;=$B$15),IF(Presion_cilindro!N578&gt;$B$13,1-EXP(-Presion_cilindro!$B$16*((Presion_cilindro!N578-$B$13)/Presion_cilindro!$B$35)^(Presion_cilindro!$B$17+1)),0),$B$8+(1-$B$8)*(1-EXP(-(Presion_cilindro!N578-$B$15)/Presion_cilindro!$B$23)))</f>
        <v>1</v>
      </c>
      <c r="R579" s="10">
        <f>R578*(Presion_cilindro!O577/Presion_cilindro!O578)^Presion_cilindro!$B$9+10*(Presion_cilindro!$B$9-1)*Presion_cilindro!$B$33*(Q579-Q578)/((Presion_cilindro!O577+Presion_cilindro!O578)/2)</f>
        <v>3.4806339159903072</v>
      </c>
      <c r="S579" s="10">
        <f>R579+IF(AND($B$9=1,Presion_cilindro!N578&gt;$B$15),Presion_cilindro!$B$24*2.5*EXP(-(Presion_cilindro!N578-$B$15)/Presion_cilindro!$B$26)*SIN(2*PI()*(Presion_cilindro!N578-$B$15)/Presion_cilindro!$B$39),0)</f>
        <v>3.4806056937801162</v>
      </c>
      <c r="T579" s="9">
        <f>IF(Presion_cilindro!N578&gt;$B$14,1-EXP(-Presion_cilindro!$B$16*((Presion_cilindro!N578-$B$14)/Presion_cilindro!$B$35)^(Presion_cilindro!$B$17+1)),0)</f>
        <v>0.99999999999987021</v>
      </c>
      <c r="U579" s="10">
        <f>U578*(Presion_cilindro!O577/Presion_cilindro!O578)^Presion_cilindro!$B$9+10*(Presion_cilindro!$B$9-1)*Presion_cilindro!$B$33*(T579-T578)/((Presion_cilindro!O577+Presion_cilindro!O578)/2)</f>
        <v>4.1094264474888185</v>
      </c>
    </row>
    <row r="580" spans="14:21" x14ac:dyDescent="0.25">
      <c r="N580" s="8">
        <f>-Presion_cilindro!N579</f>
        <v>-107.5</v>
      </c>
      <c r="O580" s="9">
        <f>IF(Presion_cilindro!N579&gt;$B$12,1-EXP(-Presion_cilindro!$B$16*((Presion_cilindro!N579-$B$12)/Presion_cilindro!$B$35)^(Presion_cilindro!$B$17+1)),0)</f>
        <v>1</v>
      </c>
      <c r="P580" s="10">
        <f>P579*(Presion_cilindro!O578/Presion_cilindro!O579)^Presion_cilindro!$B$9+10*(Presion_cilindro!$B$9-1)*Presion_cilindro!$B$33*(O580-O579)/((Presion_cilindro!O578+Presion_cilindro!O579)/2)</f>
        <v>3.335236722412136</v>
      </c>
      <c r="Q580" s="9">
        <f>IF(OR($B$9=0,Presion_cilindro!N579&lt;=$B$15),IF(Presion_cilindro!N579&gt;$B$13,1-EXP(-Presion_cilindro!$B$16*((Presion_cilindro!N579-$B$13)/Presion_cilindro!$B$35)^(Presion_cilindro!$B$17+1)),0),$B$8+(1-$B$8)*(1-EXP(-(Presion_cilindro!N579-$B$15)/Presion_cilindro!$B$23)))</f>
        <v>1</v>
      </c>
      <c r="R580" s="10">
        <f>R579*(Presion_cilindro!O578/Presion_cilindro!O579)^Presion_cilindro!$B$9+10*(Presion_cilindro!$B$9-1)*Presion_cilindro!$B$33*(Q580-Q579)/((Presion_cilindro!O578+Presion_cilindro!O579)/2)</f>
        <v>3.459396296968305</v>
      </c>
      <c r="S580" s="10">
        <f>R580+IF(AND($B$9=1,Presion_cilindro!N579&gt;$B$15),Presion_cilindro!$B$24*2.5*EXP(-(Presion_cilindro!N579-$B$15)/Presion_cilindro!$B$26)*SIN(2*PI()*(Presion_cilindro!N579-$B$15)/Presion_cilindro!$B$39),0)</f>
        <v>3.4594724405536899</v>
      </c>
      <c r="T580" s="9">
        <f>IF(Presion_cilindro!N579&gt;$B$14,1-EXP(-Presion_cilindro!$B$16*((Presion_cilindro!N579-$B$14)/Presion_cilindro!$B$35)^(Presion_cilindro!$B$17+1)),0)</f>
        <v>0.99999999999992117</v>
      </c>
      <c r="U580" s="10">
        <f>U579*(Presion_cilindro!O578/Presion_cilindro!O579)^Presion_cilindro!$B$9+10*(Presion_cilindro!$B$9-1)*Presion_cilindro!$B$33*(T580-T579)/((Presion_cilindro!O578+Presion_cilindro!O579)/2)</f>
        <v>4.0843521548753374</v>
      </c>
    </row>
    <row r="581" spans="14:21" x14ac:dyDescent="0.25">
      <c r="N581" s="8">
        <f>-Presion_cilindro!N580</f>
        <v>-108</v>
      </c>
      <c r="O581" s="9">
        <f>IF(Presion_cilindro!N580&gt;$B$12,1-EXP(-Presion_cilindro!$B$16*((Presion_cilindro!N580-$B$12)/Presion_cilindro!$B$35)^(Presion_cilindro!$B$17+1)),0)</f>
        <v>1</v>
      </c>
      <c r="P581" s="10">
        <f>P580*(Presion_cilindro!O579/Presion_cilindro!O580)^Presion_cilindro!$B$9+10*(Presion_cilindro!$B$9-1)*Presion_cilindro!$B$33*(O581-O580)/((Presion_cilindro!O579+Presion_cilindro!O580)/2)</f>
        <v>3.3150885944506365</v>
      </c>
      <c r="Q581" s="9">
        <f>IF(OR($B$9=0,Presion_cilindro!N580&lt;=$B$15),IF(Presion_cilindro!N580&gt;$B$13,1-EXP(-Presion_cilindro!$B$16*((Presion_cilindro!N580-$B$13)/Presion_cilindro!$B$35)^(Presion_cilindro!$B$17+1)),0),$B$8+(1-$B$8)*(1-EXP(-(Presion_cilindro!N580-$B$15)/Presion_cilindro!$B$23)))</f>
        <v>1</v>
      </c>
      <c r="R581" s="10">
        <f>R580*(Presion_cilindro!O579/Presion_cilindro!O580)^Presion_cilindro!$B$9+10*(Presion_cilindro!$B$9-1)*Presion_cilindro!$B$33*(Q581-Q580)/((Presion_cilindro!O579+Presion_cilindro!O580)/2)</f>
        <v>3.4384981223972222</v>
      </c>
      <c r="S581" s="10">
        <f>R581+IF(AND($B$9=1,Presion_cilindro!N580&gt;$B$15),Presion_cilindro!$B$24*2.5*EXP(-(Presion_cilindro!N580-$B$15)/Presion_cilindro!$B$26)*SIN(2*PI()*(Presion_cilindro!N580-$B$15)/Presion_cilindro!$B$39),0)</f>
        <v>3.4385236589090229</v>
      </c>
      <c r="T581" s="9">
        <f>IF(Presion_cilindro!N580&gt;$B$14,1-EXP(-Presion_cilindro!$B$16*((Presion_cilindro!N580-$B$14)/Presion_cilindro!$B$35)^(Presion_cilindro!$B$17+1)),0)</f>
        <v>0.99999999999995237</v>
      </c>
      <c r="U581" s="10">
        <f>U580*(Presion_cilindro!O579/Presion_cilindro!O580)^Presion_cilindro!$B$9+10*(Presion_cilindro!$B$9-1)*Presion_cilindro!$B$33*(T581-T580)/((Presion_cilindro!O579+Presion_cilindro!O580)/2)</f>
        <v>4.0596786289145488</v>
      </c>
    </row>
    <row r="582" spans="14:21" x14ac:dyDescent="0.25">
      <c r="N582" s="8">
        <f>-Presion_cilindro!N581</f>
        <v>-108.5</v>
      </c>
      <c r="O582" s="9">
        <f>IF(Presion_cilindro!N581&gt;$B$12,1-EXP(-Presion_cilindro!$B$16*((Presion_cilindro!N581-$B$12)/Presion_cilindro!$B$35)^(Presion_cilindro!$B$17+1)),0)</f>
        <v>1</v>
      </c>
      <c r="P582" s="10">
        <f>P581*(Presion_cilindro!O580/Presion_cilindro!O581)^Presion_cilindro!$B$9+10*(Presion_cilindro!$B$9-1)*Presion_cilindro!$B$33*(O582-O581)/((Presion_cilindro!O580+Presion_cilindro!O581)/2)</f>
        <v>3.2952620076802428</v>
      </c>
      <c r="Q582" s="9">
        <f>IF(OR($B$9=0,Presion_cilindro!N581&lt;=$B$15),IF(Presion_cilindro!N581&gt;$B$13,1-EXP(-Presion_cilindro!$B$16*((Presion_cilindro!N581-$B$13)/Presion_cilindro!$B$35)^(Presion_cilindro!$B$17+1)),0),$B$8+(1-$B$8)*(1-EXP(-(Presion_cilindro!N581-$B$15)/Presion_cilindro!$B$23)))</f>
        <v>1</v>
      </c>
      <c r="R582" s="10">
        <f>R581*(Presion_cilindro!O580/Presion_cilindro!O581)^Presion_cilindro!$B$9+10*(Presion_cilindro!$B$9-1)*Presion_cilindro!$B$33*(Q582-Q581)/((Presion_cilindro!O580+Presion_cilindro!O581)/2)</f>
        <v>3.4179334589074846</v>
      </c>
      <c r="S582" s="10">
        <f>R582+IF(AND($B$9=1,Presion_cilindro!N581&gt;$B$15),Presion_cilindro!$B$24*2.5*EXP(-(Presion_cilindro!N581-$B$15)/Presion_cilindro!$B$26)*SIN(2*PI()*(Presion_cilindro!N581-$B$15)/Presion_cilindro!$B$39),0)</f>
        <v>3.4178645613422849</v>
      </c>
      <c r="T582" s="9">
        <f>IF(Presion_cilindro!N581&gt;$B$14,1-EXP(-Presion_cilindro!$B$16*((Presion_cilindro!N581-$B$14)/Presion_cilindro!$B$35)^(Presion_cilindro!$B$17+1)),0)</f>
        <v>0.99999999999997136</v>
      </c>
      <c r="U582" s="10">
        <f>U581*(Presion_cilindro!O580/Presion_cilindro!O581)^Presion_cilindro!$B$9+10*(Presion_cilindro!$B$9-1)*Presion_cilindro!$B$33*(T582-T581)/((Presion_cilindro!O580+Presion_cilindro!O581)/2)</f>
        <v>4.0353988643463987</v>
      </c>
    </row>
    <row r="583" spans="14:21" x14ac:dyDescent="0.25">
      <c r="N583" s="8">
        <f>-Presion_cilindro!N582</f>
        <v>-109</v>
      </c>
      <c r="O583" s="9">
        <f>IF(Presion_cilindro!N582&gt;$B$12,1-EXP(-Presion_cilindro!$B$16*((Presion_cilindro!N582-$B$12)/Presion_cilindro!$B$35)^(Presion_cilindro!$B$17+1)),0)</f>
        <v>1</v>
      </c>
      <c r="P583" s="10">
        <f>P582*(Presion_cilindro!O581/Presion_cilindro!O582)^Presion_cilindro!$B$9+10*(Presion_cilindro!$B$9-1)*Presion_cilindro!$B$33*(O583-O582)/((Presion_cilindro!O581+Presion_cilindro!O582)/2)</f>
        <v>3.2757513660626092</v>
      </c>
      <c r="Q583" s="9">
        <f>IF(OR($B$9=0,Presion_cilindro!N582&lt;=$B$15),IF(Presion_cilindro!N582&gt;$B$13,1-EXP(-Presion_cilindro!$B$16*((Presion_cilindro!N582-$B$13)/Presion_cilindro!$B$35)^(Presion_cilindro!$B$17+1)),0),$B$8+(1-$B$8)*(1-EXP(-(Presion_cilindro!N582-$B$15)/Presion_cilindro!$B$23)))</f>
        <v>1</v>
      </c>
      <c r="R583" s="10">
        <f>R582*(Presion_cilindro!O581/Presion_cilindro!O582)^Presion_cilindro!$B$9+10*(Presion_cilindro!$B$9-1)*Presion_cilindro!$B$33*(Q583-Q582)/((Presion_cilindro!O581+Presion_cilindro!O582)/2)</f>
        <v>3.3976965021391794</v>
      </c>
      <c r="S583" s="10">
        <f>R583+IF(AND($B$9=1,Presion_cilindro!N582&gt;$B$15),Presion_cilindro!$B$24*2.5*EXP(-(Presion_cilindro!N582-$B$15)/Presion_cilindro!$B$26)*SIN(2*PI()*(Presion_cilindro!N582-$B$15)/Presion_cilindro!$B$39),0)</f>
        <v>3.397673395747776</v>
      </c>
      <c r="T583" s="9">
        <f>IF(Presion_cilindro!N582&gt;$B$14,1-EXP(-Presion_cilindro!$B$16*((Presion_cilindro!N582-$B$14)/Presion_cilindro!$B$35)^(Presion_cilindro!$B$17+1)),0)</f>
        <v>0.9999999999999829</v>
      </c>
      <c r="U583" s="10">
        <f>U582*(Presion_cilindro!O581/Presion_cilindro!O582)^Presion_cilindro!$B$9+10*(Presion_cilindro!$B$9-1)*Presion_cilindro!$B$33*(T583-T582)/((Presion_cilindro!O581+Presion_cilindro!O582)/2)</f>
        <v>4.0115060082266716</v>
      </c>
    </row>
    <row r="584" spans="14:21" x14ac:dyDescent="0.25">
      <c r="N584" s="8">
        <f>-Presion_cilindro!N583</f>
        <v>-109.5</v>
      </c>
      <c r="O584" s="9">
        <f>IF(Presion_cilindro!N583&gt;$B$12,1-EXP(-Presion_cilindro!$B$16*((Presion_cilindro!N583-$B$12)/Presion_cilindro!$B$35)^(Presion_cilindro!$B$17+1)),0)</f>
        <v>1</v>
      </c>
      <c r="P584" s="10">
        <f>P583*(Presion_cilindro!O582/Presion_cilindro!O583)^Presion_cilindro!$B$9+10*(Presion_cilindro!$B$9-1)*Presion_cilindro!$B$33*(O584-O583)/((Presion_cilindro!O582+Presion_cilindro!O583)/2)</f>
        <v>3.2565511949453358</v>
      </c>
      <c r="Q584" s="9">
        <f>IF(OR($B$9=0,Presion_cilindro!N583&lt;=$B$15),IF(Presion_cilindro!N583&gt;$B$13,1-EXP(-Presion_cilindro!$B$16*((Presion_cilindro!N583-$B$13)/Presion_cilindro!$B$35)^(Presion_cilindro!$B$17+1)),0),$B$8+(1-$B$8)*(1-EXP(-(Presion_cilindro!N583-$B$15)/Presion_cilindro!$B$23)))</f>
        <v>1</v>
      </c>
      <c r="R584" s="10">
        <f>R583*(Presion_cilindro!O582/Presion_cilindro!O583)^Presion_cilindro!$B$9+10*(Presion_cilindro!$B$9-1)*Presion_cilindro!$B$33*(Q584-Q583)/((Presion_cilindro!O582+Presion_cilindro!O583)/2)</f>
        <v>3.3777815736371282</v>
      </c>
      <c r="S584" s="10">
        <f>R584+IF(AND($B$9=1,Presion_cilindro!N583&gt;$B$15),Presion_cilindro!$B$24*2.5*EXP(-(Presion_cilindro!N583-$B$15)/Presion_cilindro!$B$26)*SIN(2*PI()*(Presion_cilindro!N583-$B$15)/Presion_cilindro!$B$39),0)</f>
        <v>3.3778439147321326</v>
      </c>
      <c r="T584" s="9">
        <f>IF(Presion_cilindro!N583&gt;$B$14,1-EXP(-Presion_cilindro!$B$16*((Presion_cilindro!N583-$B$14)/Presion_cilindro!$B$35)^(Presion_cilindro!$B$17+1)),0)</f>
        <v>0.99999999999998979</v>
      </c>
      <c r="U584" s="10">
        <f>U583*(Presion_cilindro!O582/Presion_cilindro!O583)^Presion_cilindro!$B$9+10*(Presion_cilindro!$B$9-1)*Presion_cilindro!$B$33*(T584-T583)/((Presion_cilindro!O582+Presion_cilindro!O583)/2)</f>
        <v>3.9879933562611454</v>
      </c>
    </row>
    <row r="585" spans="14:21" x14ac:dyDescent="0.25">
      <c r="N585" s="8">
        <f>-Presion_cilindro!N584</f>
        <v>-110</v>
      </c>
      <c r="O585" s="9">
        <f>IF(Presion_cilindro!N584&gt;$B$12,1-EXP(-Presion_cilindro!$B$16*((Presion_cilindro!N584-$B$12)/Presion_cilindro!$B$35)^(Presion_cilindro!$B$17+1)),0)</f>
        <v>1</v>
      </c>
      <c r="P585" s="10">
        <f>P584*(Presion_cilindro!O583/Presion_cilindro!O584)^Presion_cilindro!$B$9+10*(Presion_cilindro!$B$9-1)*Presion_cilindro!$B$33*(O585-O584)/((Presion_cilindro!O583+Presion_cilindro!O584)/2)</f>
        <v>3.2376561381494127</v>
      </c>
      <c r="Q585" s="9">
        <f>IF(OR($B$9=0,Presion_cilindro!N584&lt;=$B$15),IF(Presion_cilindro!N584&gt;$B$13,1-EXP(-Presion_cilindro!$B$16*((Presion_cilindro!N584-$B$13)/Presion_cilindro!$B$35)^(Presion_cilindro!$B$17+1)),0),$B$8+(1-$B$8)*(1-EXP(-(Presion_cilindro!N584-$B$15)/Presion_cilindro!$B$23)))</f>
        <v>1</v>
      </c>
      <c r="R585" s="10">
        <f>R584*(Presion_cilindro!O583/Presion_cilindro!O584)^Presion_cilindro!$B$9+10*(Presion_cilindro!$B$9-1)*Presion_cilindro!$B$33*(Q585-Q584)/((Presion_cilindro!O583+Presion_cilindro!O584)/2)</f>
        <v>3.3581831178299049</v>
      </c>
      <c r="S585" s="10">
        <f>R585+IF(AND($B$9=1,Presion_cilindro!N584&gt;$B$15),Presion_cilindro!$B$24*2.5*EXP(-(Presion_cilindro!N584-$B$15)/Presion_cilindro!$B$26)*SIN(2*PI()*(Presion_cilindro!N584-$B$15)/Presion_cilindro!$B$39),0)</f>
        <v>3.3582040253574426</v>
      </c>
      <c r="T585" s="9">
        <f>IF(Presion_cilindro!N584&gt;$B$14,1-EXP(-Presion_cilindro!$B$16*((Presion_cilindro!N584-$B$14)/Presion_cilindro!$B$35)^(Presion_cilindro!$B$17+1)),0)</f>
        <v>0.999999999999994</v>
      </c>
      <c r="U585" s="10">
        <f>U584*(Presion_cilindro!O583/Presion_cilindro!O584)^Presion_cilindro!$B$9+10*(Presion_cilindro!$B$9-1)*Presion_cilindro!$B$33*(T585-T584)/((Presion_cilindro!O583+Presion_cilindro!O584)/2)</f>
        <v>3.9648543492388635</v>
      </c>
    </row>
    <row r="586" spans="14:21" x14ac:dyDescent="0.25">
      <c r="N586" s="8">
        <f>-Presion_cilindro!N585</f>
        <v>-110.5</v>
      </c>
      <c r="O586" s="9">
        <f>IF(Presion_cilindro!N585&gt;$B$12,1-EXP(-Presion_cilindro!$B$16*((Presion_cilindro!N585-$B$12)/Presion_cilindro!$B$35)^(Presion_cilindro!$B$17+1)),0)</f>
        <v>1</v>
      </c>
      <c r="P586" s="10">
        <f>P585*(Presion_cilindro!O584/Presion_cilindro!O585)^Presion_cilindro!$B$9+10*(Presion_cilindro!$B$9-1)*Presion_cilindro!$B$33*(O586-O585)/((Presion_cilindro!O584+Presion_cilindro!O585)/2)</f>
        <v>3.2190609551352387</v>
      </c>
      <c r="Q586" s="9">
        <f>IF(OR($B$9=0,Presion_cilindro!N585&lt;=$B$15),IF(Presion_cilindro!N585&gt;$B$13,1-EXP(-Presion_cilindro!$B$16*((Presion_cilindro!N585-$B$13)/Presion_cilindro!$B$35)^(Presion_cilindro!$B$17+1)),0),$B$8+(1-$B$8)*(1-EXP(-(Presion_cilindro!N585-$B$15)/Presion_cilindro!$B$23)))</f>
        <v>1</v>
      </c>
      <c r="R586" s="10">
        <f>R585*(Presion_cilindro!O584/Presion_cilindro!O585)^Presion_cilindro!$B$9+10*(Presion_cilindro!$B$9-1)*Presion_cilindro!$B$33*(Q586-Q585)/((Presion_cilindro!O584+Presion_cilindro!O585)/2)</f>
        <v>3.3388956990903567</v>
      </c>
      <c r="S586" s="10">
        <f>R586+IF(AND($B$9=1,Presion_cilindro!N585&gt;$B$15),Presion_cilindro!$B$24*2.5*EXP(-(Presion_cilindro!N585-$B$15)/Presion_cilindro!$B$26)*SIN(2*PI()*(Presion_cilindro!N585-$B$15)/Presion_cilindro!$B$39),0)</f>
        <v>3.3388392905349153</v>
      </c>
      <c r="T586" s="9">
        <f>IF(Presion_cilindro!N585&gt;$B$14,1-EXP(-Presion_cilindro!$B$16*((Presion_cilindro!N585-$B$14)/Presion_cilindro!$B$35)^(Presion_cilindro!$B$17+1)),0)</f>
        <v>0.99999999999999645</v>
      </c>
      <c r="U586" s="10">
        <f>U585*(Presion_cilindro!O584/Presion_cilindro!O585)^Presion_cilindro!$B$9+10*(Presion_cilindro!$B$9-1)*Presion_cilindro!$B$33*(T586-T585)/((Presion_cilindro!O584+Presion_cilindro!O585)/2)</f>
        <v>3.942082569561622</v>
      </c>
    </row>
    <row r="587" spans="14:21" x14ac:dyDescent="0.25">
      <c r="N587" s="8">
        <f>-Presion_cilindro!N586</f>
        <v>-111</v>
      </c>
      <c r="O587" s="9">
        <f>IF(Presion_cilindro!N586&gt;$B$12,1-EXP(-Presion_cilindro!$B$16*((Presion_cilindro!N586-$B$12)/Presion_cilindro!$B$35)^(Presion_cilindro!$B$17+1)),0)</f>
        <v>1</v>
      </c>
      <c r="P587" s="10">
        <f>P586*(Presion_cilindro!O585/Presion_cilindro!O586)^Presion_cilindro!$B$9+10*(Presion_cilindro!$B$9-1)*Presion_cilindro!$B$33*(O587-O586)/((Presion_cilindro!O585+Presion_cilindro!O586)/2)</f>
        <v>3.2007605182450227</v>
      </c>
      <c r="Q587" s="9">
        <f>IF(OR($B$9=0,Presion_cilindro!N586&lt;=$B$15),IF(Presion_cilindro!N586&gt;$B$13,1-EXP(-Presion_cilindro!$B$16*((Presion_cilindro!N586-$B$13)/Presion_cilindro!$B$35)^(Presion_cilindro!$B$17+1)),0),$B$8+(1-$B$8)*(1-EXP(-(Presion_cilindro!N586-$B$15)/Presion_cilindro!$B$23)))</f>
        <v>1</v>
      </c>
      <c r="R587" s="10">
        <f>R586*(Presion_cilindro!O585/Presion_cilindro!O586)^Presion_cilindro!$B$9+10*(Presion_cilindro!$B$9-1)*Presion_cilindro!$B$33*(Q587-Q586)/((Presion_cilindro!O585+Presion_cilindro!O586)/2)</f>
        <v>3.3199139988753479</v>
      </c>
      <c r="S587" s="10">
        <f>R587+IF(AND($B$9=1,Presion_cilindro!N586&gt;$B$15),Presion_cilindro!$B$24*2.5*EXP(-(Presion_cilindro!N586-$B$15)/Presion_cilindro!$B$26)*SIN(2*PI()*(Presion_cilindro!N586-$B$15)/Presion_cilindro!$B$39),0)</f>
        <v>3.3198950809621133</v>
      </c>
      <c r="T587" s="9">
        <f>IF(Presion_cilindro!N586&gt;$B$14,1-EXP(-Presion_cilindro!$B$16*((Presion_cilindro!N586-$B$14)/Presion_cilindro!$B$35)^(Presion_cilindro!$B$17+1)),0)</f>
        <v>0.99999999999999789</v>
      </c>
      <c r="U587" s="10">
        <f>U586*(Presion_cilindro!O585/Presion_cilindro!O586)^Presion_cilindro!$B$9+10*(Presion_cilindro!$B$9-1)*Presion_cilindro!$B$33*(T587-T586)/((Presion_cilindro!O585+Presion_cilindro!O586)/2)</f>
        <v>3.9196717378670005</v>
      </c>
    </row>
    <row r="588" spans="14:21" x14ac:dyDescent="0.25">
      <c r="N588" s="8">
        <f>-Presion_cilindro!N587</f>
        <v>-111.5</v>
      </c>
      <c r="O588" s="9">
        <f>IF(Presion_cilindro!N587&gt;$B$12,1-EXP(-Presion_cilindro!$B$16*((Presion_cilindro!N587-$B$12)/Presion_cilindro!$B$35)^(Presion_cilindro!$B$17+1)),0)</f>
        <v>1</v>
      </c>
      <c r="P588" s="10">
        <f>P587*(Presion_cilindro!O586/Presion_cilindro!O587)^Presion_cilindro!$B$9+10*(Presion_cilindro!$B$9-1)*Presion_cilindro!$B$33*(O588-O587)/((Presion_cilindro!O586+Presion_cilindro!O587)/2)</f>
        <v>3.182749810019303</v>
      </c>
      <c r="Q588" s="9">
        <f>IF(OR($B$9=0,Presion_cilindro!N587&lt;=$B$15),IF(Presion_cilindro!N587&gt;$B$13,1-EXP(-Presion_cilindro!$B$16*((Presion_cilindro!N587-$B$13)/Presion_cilindro!$B$35)^(Presion_cilindro!$B$17+1)),0),$B$8+(1-$B$8)*(1-EXP(-(Presion_cilindro!N587-$B$15)/Presion_cilindro!$B$23)))</f>
        <v>1</v>
      </c>
      <c r="R588" s="10">
        <f>R587*(Presion_cilindro!O586/Presion_cilindro!O587)^Presion_cilindro!$B$9+10*(Presion_cilindro!$B$9-1)*Presion_cilindro!$B$33*(Q588-Q587)/((Presion_cilindro!O586+Presion_cilindro!O587)/2)</f>
        <v>3.3012328129423838</v>
      </c>
      <c r="S588" s="10">
        <f>R588+IF(AND($B$9=1,Presion_cilindro!N587&gt;$B$15),Presion_cilindro!$B$24*2.5*EXP(-(Presion_cilindro!N587-$B$15)/Presion_cilindro!$B$26)*SIN(2*PI()*(Presion_cilindro!N587-$B$15)/Presion_cilindro!$B$39),0)</f>
        <v>3.3012838535140445</v>
      </c>
      <c r="T588" s="9">
        <f>IF(Presion_cilindro!N587&gt;$B$14,1-EXP(-Presion_cilindro!$B$16*((Presion_cilindro!N587-$B$14)/Presion_cilindro!$B$35)^(Presion_cilindro!$B$17+1)),0)</f>
        <v>0.99999999999999878</v>
      </c>
      <c r="U588" s="10">
        <f>U587*(Presion_cilindro!O586/Presion_cilindro!O587)^Presion_cilindro!$B$9+10*(Presion_cilindro!$B$9-1)*Presion_cilindro!$B$33*(T588-T587)/((Presion_cilindro!O586+Presion_cilindro!O587)/2)</f>
        <v>3.897615709742154</v>
      </c>
    </row>
    <row r="589" spans="14:21" x14ac:dyDescent="0.25">
      <c r="N589" s="8">
        <f>-Presion_cilindro!N588</f>
        <v>-112</v>
      </c>
      <c r="O589" s="9">
        <f>IF(Presion_cilindro!N588&gt;$B$12,1-EXP(-Presion_cilindro!$B$16*((Presion_cilindro!N588-$B$12)/Presion_cilindro!$B$35)^(Presion_cilindro!$B$17+1)),0)</f>
        <v>1</v>
      </c>
      <c r="P589" s="10">
        <f>P588*(Presion_cilindro!O587/Presion_cilindro!O588)^Presion_cilindro!$B$9+10*(Presion_cilindro!$B$9-1)*Presion_cilindro!$B$33*(O589-O588)/((Presion_cilindro!O587+Presion_cilindro!O588)/2)</f>
        <v>3.1650239205855297</v>
      </c>
      <c r="Q589" s="9">
        <f>IF(OR($B$9=0,Presion_cilindro!N588&lt;=$B$15),IF(Presion_cilindro!N588&gt;$B$13,1-EXP(-Presion_cilindro!$B$16*((Presion_cilindro!N588-$B$13)/Presion_cilindro!$B$35)^(Presion_cilindro!$B$17+1)),0),$B$8+(1-$B$8)*(1-EXP(-(Presion_cilindro!N588-$B$15)/Presion_cilindro!$B$23)))</f>
        <v>1</v>
      </c>
      <c r="R589" s="10">
        <f>R588*(Presion_cilindro!O587/Presion_cilindro!O588)^Presion_cilindro!$B$9+10*(Presion_cilindro!$B$9-1)*Presion_cilindro!$B$33*(Q589-Q588)/((Presion_cilindro!O587+Presion_cilindro!O588)/2)</f>
        <v>3.2828470486409773</v>
      </c>
      <c r="S589" s="10">
        <f>R589+IF(AND($B$9=1,Presion_cilindro!N588&gt;$B$15),Presion_cilindro!$B$24*2.5*EXP(-(Presion_cilindro!N588-$B$15)/Presion_cilindro!$B$26)*SIN(2*PI()*(Presion_cilindro!N588-$B$15)/Presion_cilindro!$B$39),0)</f>
        <v>3.282864166276743</v>
      </c>
      <c r="T589" s="9">
        <f>IF(Presion_cilindro!N588&gt;$B$14,1-EXP(-Presion_cilindro!$B$16*((Presion_cilindro!N588-$B$14)/Presion_cilindro!$B$35)^(Presion_cilindro!$B$17+1)),0)</f>
        <v>0.99999999999999933</v>
      </c>
      <c r="U589" s="10">
        <f>U588*(Presion_cilindro!O587/Presion_cilindro!O588)^Presion_cilindro!$B$9+10*(Presion_cilindro!$B$9-1)*Presion_cilindro!$B$33*(T589-T588)/((Presion_cilindro!O587+Presion_cilindro!O588)/2)</f>
        <v>3.8759084725258548</v>
      </c>
    </row>
    <row r="590" spans="14:21" x14ac:dyDescent="0.25">
      <c r="N590" s="8">
        <f>-Presion_cilindro!N589</f>
        <v>-112.5</v>
      </c>
      <c r="O590" s="9">
        <f>IF(Presion_cilindro!N589&gt;$B$12,1-EXP(-Presion_cilindro!$B$16*((Presion_cilindro!N589-$B$12)/Presion_cilindro!$B$35)^(Presion_cilindro!$B$17+1)),0)</f>
        <v>1</v>
      </c>
      <c r="P590" s="10">
        <f>P589*(Presion_cilindro!O588/Presion_cilindro!O589)^Presion_cilindro!$B$9+10*(Presion_cilindro!$B$9-1)*Presion_cilindro!$B$33*(O590-O589)/((Presion_cilindro!O588+Presion_cilindro!O589)/2)</f>
        <v>3.1475780451166222</v>
      </c>
      <c r="Q590" s="9">
        <f>IF(OR($B$9=0,Presion_cilindro!N589&lt;=$B$15),IF(Presion_cilindro!N589&gt;$B$13,1-EXP(-Presion_cilindro!$B$16*((Presion_cilindro!N589-$B$13)/Presion_cilindro!$B$35)^(Presion_cilindro!$B$17+1)),0),$B$8+(1-$B$8)*(1-EXP(-(Presion_cilindro!N589-$B$15)/Presion_cilindro!$B$23)))</f>
        <v>1</v>
      </c>
      <c r="R590" s="10">
        <f>R589*(Presion_cilindro!O588/Presion_cilindro!O589)^Presion_cilindro!$B$9+10*(Presion_cilindro!$B$9-1)*Presion_cilindro!$B$33*(Q590-Q589)/((Presion_cilindro!O588+Presion_cilindro!O589)/2)</f>
        <v>3.2647517222765985</v>
      </c>
      <c r="S590" s="10">
        <f>R590+IF(AND($B$9=1,Presion_cilindro!N589&gt;$B$15),Presion_cilindro!$B$24*2.5*EXP(-(Presion_cilindro!N589-$B$15)/Presion_cilindro!$B$26)*SIN(2*PI()*(Presion_cilindro!N589-$B$15)/Presion_cilindro!$B$39),0)</f>
        <v>3.2647055388575219</v>
      </c>
      <c r="T590" s="9">
        <f>IF(Presion_cilindro!N589&gt;$B$14,1-EXP(-Presion_cilindro!$B$16*((Presion_cilindro!N589-$B$14)/Presion_cilindro!$B$35)^(Presion_cilindro!$B$17+1)),0)</f>
        <v>0.99999999999999956</v>
      </c>
      <c r="U590" s="10">
        <f>U589*(Presion_cilindro!O588/Presion_cilindro!O589)^Presion_cilindro!$B$9+10*(Presion_cilindro!$B$9-1)*Presion_cilindro!$B$33*(T590-T589)/((Presion_cilindro!O588+Presion_cilindro!O589)/2)</f>
        <v>3.8545441421962257</v>
      </c>
    </row>
    <row r="591" spans="14:21" x14ac:dyDescent="0.25">
      <c r="N591" s="8">
        <f>-Presion_cilindro!N590</f>
        <v>-113</v>
      </c>
      <c r="O591" s="9">
        <f>IF(Presion_cilindro!N590&gt;$B$12,1-EXP(-Presion_cilindro!$B$16*((Presion_cilindro!N590-$B$12)/Presion_cilindro!$B$35)^(Presion_cilindro!$B$17+1)),0)</f>
        <v>1</v>
      </c>
      <c r="P591" s="10">
        <f>P590*(Presion_cilindro!O589/Presion_cilindro!O590)^Presion_cilindro!$B$9+10*(Presion_cilindro!$B$9-1)*Presion_cilindro!$B$33*(O591-O590)/((Presion_cilindro!O589+Presion_cilindro!O590)/2)</f>
        <v>3.1304074813575076</v>
      </c>
      <c r="Q591" s="9">
        <f>IF(OR($B$9=0,Presion_cilindro!N590&lt;=$B$15),IF(Presion_cilindro!N590&gt;$B$13,1-EXP(-Presion_cilindro!$B$16*((Presion_cilindro!N590-$B$13)/Presion_cilindro!$B$35)^(Presion_cilindro!$B$17+1)),0),$B$8+(1-$B$8)*(1-EXP(-(Presion_cilindro!N590-$B$15)/Presion_cilindro!$B$23)))</f>
        <v>1</v>
      </c>
      <c r="R591" s="10">
        <f>R590*(Presion_cilindro!O589/Presion_cilindro!O590)^Presion_cilindro!$B$9+10*(Presion_cilindro!$B$9-1)*Presion_cilindro!$B$33*(Q591-Q590)/((Presion_cilindro!O589+Presion_cilindro!O590)/2)</f>
        <v>3.2469419565451334</v>
      </c>
      <c r="S591" s="10">
        <f>R591+IF(AND($B$9=1,Presion_cilindro!N590&gt;$B$15),Presion_cilindro!$B$24*2.5*EXP(-(Presion_cilindro!N590-$B$15)/Presion_cilindro!$B$26)*SIN(2*PI()*(Presion_cilindro!N590-$B$15)/Presion_cilindro!$B$39),0)</f>
        <v>3.2469264678677843</v>
      </c>
      <c r="T591" s="9">
        <f>IF(Presion_cilindro!N590&gt;$B$14,1-EXP(-Presion_cilindro!$B$16*((Presion_cilindro!N590-$B$14)/Presion_cilindro!$B$35)^(Presion_cilindro!$B$17+1)),0)</f>
        <v>0.99999999999999978</v>
      </c>
      <c r="U591" s="10">
        <f>U590*(Presion_cilindro!O589/Presion_cilindro!O590)^Presion_cilindro!$B$9+10*(Presion_cilindro!$B$9-1)*Presion_cilindro!$B$33*(T591-T590)/((Presion_cilindro!O589+Presion_cilindro!O590)/2)</f>
        <v>3.8335169603417256</v>
      </c>
    </row>
    <row r="592" spans="14:21" x14ac:dyDescent="0.25">
      <c r="N592" s="8">
        <f>-Presion_cilindro!N591</f>
        <v>-113.5</v>
      </c>
      <c r="O592" s="9">
        <f>IF(Presion_cilindro!N591&gt;$B$12,1-EXP(-Presion_cilindro!$B$16*((Presion_cilindro!N591-$B$12)/Presion_cilindro!$B$35)^(Presion_cilindro!$B$17+1)),0)</f>
        <v>1</v>
      </c>
      <c r="P592" s="10">
        <f>P591*(Presion_cilindro!O590/Presion_cilindro!O591)^Presion_cilindro!$B$9+10*(Presion_cilindro!$B$9-1)*Presion_cilindro!$B$33*(O592-O591)/((Presion_cilindro!O590+Presion_cilindro!O591)/2)</f>
        <v>3.1135076272177082</v>
      </c>
      <c r="Q592" s="9">
        <f>IF(OR($B$9=0,Presion_cilindro!N591&lt;=$B$15),IF(Presion_cilindro!N591&gt;$B$13,1-EXP(-Presion_cilindro!$B$16*((Presion_cilindro!N591-$B$13)/Presion_cilindro!$B$35)^(Presion_cilindro!$B$17+1)),0),$B$8+(1-$B$8)*(1-EXP(-(Presion_cilindro!N591-$B$15)/Presion_cilindro!$B$23)))</f>
        <v>1</v>
      </c>
      <c r="R592" s="10">
        <f>R591*(Presion_cilindro!O590/Presion_cilindro!O591)^Presion_cilindro!$B$9+10*(Presion_cilindro!$B$9-1)*Presion_cilindro!$B$33*(Q592-Q591)/((Presion_cilindro!O590+Presion_cilindro!O591)/2)</f>
        <v>3.2294129780358527</v>
      </c>
      <c r="S592" s="10">
        <f>R592+IF(AND($B$9=1,Presion_cilindro!N591&gt;$B$15),Presion_cilindro!$B$24*2.5*EXP(-(Presion_cilindro!N591-$B$15)/Presion_cilindro!$B$26)*SIN(2*PI()*(Presion_cilindro!N591-$B$15)/Presion_cilindro!$B$39),0)</f>
        <v>3.2294547665215259</v>
      </c>
      <c r="T592" s="9">
        <f>IF(Presion_cilindro!N591&gt;$B$14,1-EXP(-Presion_cilindro!$B$16*((Presion_cilindro!N591-$B$14)/Presion_cilindro!$B$35)^(Presion_cilindro!$B$17+1)),0)</f>
        <v>0.99999999999999989</v>
      </c>
      <c r="U592" s="10">
        <f>U591*(Presion_cilindro!O590/Presion_cilindro!O591)^Presion_cilindro!$B$9+10*(Presion_cilindro!$B$9-1)*Presion_cilindro!$B$33*(T592-T591)/((Presion_cilindro!O590+Presion_cilindro!O591)/2)</f>
        <v>3.8128212912130133</v>
      </c>
    </row>
    <row r="593" spans="14:21" x14ac:dyDescent="0.25">
      <c r="N593" s="8">
        <f>-Presion_cilindro!N592</f>
        <v>-114</v>
      </c>
      <c r="O593" s="9">
        <f>IF(Presion_cilindro!N592&gt;$B$12,1-EXP(-Presion_cilindro!$B$16*((Presion_cilindro!N592-$B$12)/Presion_cilindro!$B$35)^(Presion_cilindro!$B$17+1)),0)</f>
        <v>1</v>
      </c>
      <c r="P593" s="10">
        <f>P592*(Presion_cilindro!O591/Presion_cilindro!O592)^Presion_cilindro!$B$9+10*(Presion_cilindro!$B$9-1)*Presion_cilindro!$B$33*(O593-O592)/((Presion_cilindro!O591+Presion_cilindro!O592)/2)</f>
        <v>3.0968739784280852</v>
      </c>
      <c r="Q593" s="9">
        <f>IF(OR($B$9=0,Presion_cilindro!N592&lt;=$B$15),IF(Presion_cilindro!N592&gt;$B$13,1-EXP(-Presion_cilindro!$B$16*((Presion_cilindro!N592-$B$13)/Presion_cilindro!$B$35)^(Presion_cilindro!$B$17+1)),0),$B$8+(1-$B$8)*(1-EXP(-(Presion_cilindro!N592-$B$15)/Presion_cilindro!$B$23)))</f>
        <v>1</v>
      </c>
      <c r="R593" s="10">
        <f>R592*(Presion_cilindro!O591/Presion_cilindro!O592)^Presion_cilindro!$B$9+10*(Presion_cilindro!$B$9-1)*Presion_cilindro!$B$33*(Q593-Q592)/((Presion_cilindro!O591+Presion_cilindro!O592)/2)</f>
        <v>3.2121601148009225</v>
      </c>
      <c r="S593" s="10">
        <f>R593+IF(AND($B$9=1,Presion_cilindro!N592&gt;$B$15),Presion_cilindro!$B$24*2.5*EXP(-(Presion_cilindro!N592-$B$15)/Presion_cilindro!$B$26)*SIN(2*PI()*(Presion_cilindro!N592-$B$15)/Presion_cilindro!$B$39),0)</f>
        <v>3.212174129535744</v>
      </c>
      <c r="T593" s="9">
        <f>IF(Presion_cilindro!N592&gt;$B$14,1-EXP(-Presion_cilindro!$B$16*((Presion_cilindro!N592-$B$14)/Presion_cilindro!$B$35)^(Presion_cilindro!$B$17+1)),0)</f>
        <v>0.99999999999999989</v>
      </c>
      <c r="U593" s="10">
        <f>U592*(Presion_cilindro!O591/Presion_cilindro!O592)^Presion_cilindro!$B$9+10*(Presion_cilindro!$B$9-1)*Presion_cilindro!$B$33*(T593-T592)/((Presion_cilindro!O591+Presion_cilindro!O592)/2)</f>
        <v>3.792451618853383</v>
      </c>
    </row>
    <row r="594" spans="14:21" x14ac:dyDescent="0.25">
      <c r="N594" s="8">
        <f>-Presion_cilindro!N593</f>
        <v>-114.5</v>
      </c>
      <c r="O594" s="9">
        <f>IF(Presion_cilindro!N593&gt;$B$12,1-EXP(-Presion_cilindro!$B$16*((Presion_cilindro!N593-$B$12)/Presion_cilindro!$B$35)^(Presion_cilindro!$B$17+1)),0)</f>
        <v>1</v>
      </c>
      <c r="P594" s="10">
        <f>P593*(Presion_cilindro!O592/Presion_cilindro!O593)^Presion_cilindro!$B$9+10*(Presion_cilindro!$B$9-1)*Presion_cilindro!$B$33*(O594-O593)/((Presion_cilindro!O592+Presion_cilindro!O593)/2)</f>
        <v>3.0805021262599404</v>
      </c>
      <c r="Q594" s="9">
        <f>IF(OR($B$9=0,Presion_cilindro!N593&lt;=$B$15),IF(Presion_cilindro!N593&gt;$B$13,1-EXP(-Presion_cilindro!$B$16*((Presion_cilindro!N593-$B$13)/Presion_cilindro!$B$35)^(Presion_cilindro!$B$17+1)),0),$B$8+(1-$B$8)*(1-EXP(-(Presion_cilindro!N593-$B$15)/Presion_cilindro!$B$23)))</f>
        <v>1</v>
      </c>
      <c r="R594" s="10">
        <f>R593*(Presion_cilindro!O592/Presion_cilindro!O593)^Presion_cilindro!$B$9+10*(Presion_cilindro!$B$9-1)*Presion_cilindro!$B$33*(Q594-Q593)/((Presion_cilindro!O592+Presion_cilindro!O593)/2)</f>
        <v>3.1951787939895975</v>
      </c>
      <c r="S594" s="10">
        <f>R594+IF(AND($B$9=1,Presion_cilindro!N593&gt;$B$15),Presion_cilindro!$B$24*2.5*EXP(-(Presion_cilindro!N593-$B$15)/Presion_cilindro!$B$26)*SIN(2*PI()*(Presion_cilindro!N593-$B$15)/Presion_cilindro!$B$39),0)</f>
        <v>3.1951409822041175</v>
      </c>
      <c r="T594" s="9">
        <f>IF(Presion_cilindro!N593&gt;$B$14,1-EXP(-Presion_cilindro!$B$16*((Presion_cilindro!N593-$B$14)/Presion_cilindro!$B$35)^(Presion_cilindro!$B$17+1)),0)</f>
        <v>1</v>
      </c>
      <c r="U594" s="10">
        <f>U593*(Presion_cilindro!O592/Presion_cilindro!O593)^Presion_cilindro!$B$9+10*(Presion_cilindro!$B$9-1)*Presion_cilindro!$B$33*(T594-T593)/((Presion_cilindro!O592+Presion_cilindro!O593)/2)</f>
        <v>3.7724025443055633</v>
      </c>
    </row>
    <row r="595" spans="14:21" x14ac:dyDescent="0.25">
      <c r="N595" s="8">
        <f>-Presion_cilindro!N594</f>
        <v>-115</v>
      </c>
      <c r="O595" s="9">
        <f>IF(Presion_cilindro!N594&gt;$B$12,1-EXP(-Presion_cilindro!$B$16*((Presion_cilindro!N594-$B$12)/Presion_cilindro!$B$35)^(Presion_cilindro!$B$17+1)),0)</f>
        <v>1</v>
      </c>
      <c r="P595" s="10">
        <f>P594*(Presion_cilindro!O593/Presion_cilindro!O594)^Presion_cilindro!$B$9+10*(Presion_cilindro!$B$9-1)*Presion_cilindro!$B$33*(O595-O594)/((Presion_cilindro!O593+Presion_cilindro!O594)/2)</f>
        <v>3.0643877553046703</v>
      </c>
      <c r="Q595" s="9">
        <f>IF(OR($B$9=0,Presion_cilindro!N594&lt;=$B$15),IF(Presion_cilindro!N594&gt;$B$13,1-EXP(-Presion_cilindro!$B$16*((Presion_cilindro!N594-$B$13)/Presion_cilindro!$B$35)^(Presion_cilindro!$B$17+1)),0),$B$8+(1-$B$8)*(1-EXP(-(Presion_cilindro!N594-$B$15)/Presion_cilindro!$B$23)))</f>
        <v>1</v>
      </c>
      <c r="R595" s="10">
        <f>R594*(Presion_cilindro!O593/Presion_cilindro!O594)^Presion_cilindro!$B$9+10*(Presion_cilindro!$B$9-1)*Presion_cilindro!$B$33*(Q595-Q594)/((Presion_cilindro!O593+Presion_cilindro!O594)/2)</f>
        <v>3.1784645395452182</v>
      </c>
      <c r="S595" s="10">
        <f>R595+IF(AND($B$9=1,Presion_cilindro!N594&gt;$B$15),Presion_cilindro!$B$24*2.5*EXP(-(Presion_cilindro!N594-$B$15)/Presion_cilindro!$B$26)*SIN(2*PI()*(Presion_cilindro!N594-$B$15)/Presion_cilindro!$B$39),0)</f>
        <v>3.178451858488748</v>
      </c>
      <c r="T595" s="9">
        <f>IF(Presion_cilindro!N594&gt;$B$14,1-EXP(-Presion_cilindro!$B$16*((Presion_cilindro!N594-$B$14)/Presion_cilindro!$B$35)^(Presion_cilindro!$B$17+1)),0)</f>
        <v>1</v>
      </c>
      <c r="U595" s="10">
        <f>U594*(Presion_cilindro!O593/Presion_cilindro!O594)^Presion_cilindro!$B$9+10*(Presion_cilindro!$B$9-1)*Presion_cilindro!$B$33*(T595-T594)/((Presion_cilindro!O593+Presion_cilindro!O594)/2)</f>
        <v>3.7526687828926635</v>
      </c>
    </row>
    <row r="596" spans="14:21" x14ac:dyDescent="0.25">
      <c r="N596" s="8">
        <f>-Presion_cilindro!N595</f>
        <v>-115.5</v>
      </c>
      <c r="O596" s="9">
        <f>IF(Presion_cilindro!N595&gt;$B$12,1-EXP(-Presion_cilindro!$B$16*((Presion_cilindro!N595-$B$12)/Presion_cilindro!$B$35)^(Presion_cilindro!$B$17+1)),0)</f>
        <v>1</v>
      </c>
      <c r="P596" s="10">
        <f>P595*(Presion_cilindro!O594/Presion_cilindro!O595)^Presion_cilindro!$B$9+10*(Presion_cilindro!$B$9-1)*Presion_cilindro!$B$33*(O596-O595)/((Presion_cilindro!O594+Presion_cilindro!O595)/2)</f>
        <v>3.0485266413122929</v>
      </c>
      <c r="Q596" s="9">
        <f>IF(OR($B$9=0,Presion_cilindro!N595&lt;=$B$15),IF(Presion_cilindro!N595&gt;$B$13,1-EXP(-Presion_cilindro!$B$16*((Presion_cilindro!N595-$B$13)/Presion_cilindro!$B$35)^(Presion_cilindro!$B$17+1)),0),$B$8+(1-$B$8)*(1-EXP(-(Presion_cilindro!N595-$B$15)/Presion_cilindro!$B$23)))</f>
        <v>1</v>
      </c>
      <c r="R596" s="10">
        <f>R595*(Presion_cilindro!O594/Presion_cilindro!O595)^Presion_cilindro!$B$9+10*(Presion_cilindro!$B$9-1)*Presion_cilindro!$B$33*(Q596-Q595)/((Presion_cilindro!O594+Presion_cilindro!O595)/2)</f>
        <v>3.1620129699632726</v>
      </c>
      <c r="S596" s="10">
        <f>R596+IF(AND($B$9=1,Presion_cilindro!N595&gt;$B$15),Presion_cilindro!$B$24*2.5*EXP(-(Presion_cilindro!N595-$B$15)/Presion_cilindro!$B$26)*SIN(2*PI()*(Presion_cilindro!N595-$B$15)/Presion_cilindro!$B$39),0)</f>
        <v>3.1620471834816177</v>
      </c>
      <c r="T596" s="9">
        <f>IF(Presion_cilindro!N595&gt;$B$14,1-EXP(-Presion_cilindro!$B$16*((Presion_cilindro!N595-$B$14)/Presion_cilindro!$B$35)^(Presion_cilindro!$B$17+1)),0)</f>
        <v>1</v>
      </c>
      <c r="U596" s="10">
        <f>U595*(Presion_cilindro!O594/Presion_cilindro!O595)^Presion_cilindro!$B$9+10*(Presion_cilindro!$B$9-1)*Presion_cilindro!$B$33*(T596-T595)/((Presion_cilindro!O594+Presion_cilindro!O595)/2)</f>
        <v>3.7332451615712228</v>
      </c>
    </row>
    <row r="597" spans="14:21" x14ac:dyDescent="0.25">
      <c r="N597" s="8">
        <f>-Presion_cilindro!N596</f>
        <v>-116</v>
      </c>
      <c r="O597" s="9">
        <f>IF(Presion_cilindro!N596&gt;$B$12,1-EXP(-Presion_cilindro!$B$16*((Presion_cilindro!N596-$B$12)/Presion_cilindro!$B$35)^(Presion_cilindro!$B$17+1)),0)</f>
        <v>1</v>
      </c>
      <c r="P597" s="10">
        <f>P596*(Presion_cilindro!O595/Presion_cilindro!O596)^Presion_cilindro!$B$9+10*(Presion_cilindro!$B$9-1)*Presion_cilindro!$B$33*(O597-O596)/((Presion_cilindro!O595+Presion_cilindro!O596)/2)</f>
        <v>3.0329146490871417</v>
      </c>
      <c r="Q597" s="9">
        <f>IF(OR($B$9=0,Presion_cilindro!N596&lt;=$B$15),IF(Presion_cilindro!N596&gt;$B$13,1-EXP(-Presion_cilindro!$B$16*((Presion_cilindro!N596-$B$13)/Presion_cilindro!$B$35)^(Presion_cilindro!$B$17+1)),0),$B$8+(1-$B$8)*(1-EXP(-(Presion_cilindro!N596-$B$15)/Presion_cilindro!$B$23)))</f>
        <v>1</v>
      </c>
      <c r="R597" s="10">
        <f>R596*(Presion_cilindro!O595/Presion_cilindro!O596)^Presion_cilindro!$B$9+10*(Presion_cilindro!$B$9-1)*Presion_cilindro!$B$33*(Q597-Q596)/((Presion_cilindro!O595+Presion_cilindro!O596)/2)</f>
        <v>3.1458197961087566</v>
      </c>
      <c r="S597" s="10">
        <f>R597+IF(AND($B$9=1,Presion_cilindro!N596&gt;$B$15),Presion_cilindro!$B$24*2.5*EXP(-(Presion_cilindro!N596-$B$15)/Presion_cilindro!$B$26)*SIN(2*PI()*(Presion_cilindro!N596-$B$15)/Presion_cilindro!$B$39),0)</f>
        <v>3.1458312704031512</v>
      </c>
      <c r="T597" s="9">
        <f>IF(Presion_cilindro!N596&gt;$B$14,1-EXP(-Presion_cilindro!$B$16*((Presion_cilindro!N596-$B$14)/Presion_cilindro!$B$35)^(Presion_cilindro!$B$17+1)),0)</f>
        <v>1</v>
      </c>
      <c r="U597" s="10">
        <f>U596*(Presion_cilindro!O595/Presion_cilindro!O596)^Presion_cilindro!$B$9+10*(Presion_cilindro!$B$9-1)*Presion_cilindro!$B$33*(T597-T596)/((Presion_cilindro!O595+Presion_cilindro!O596)/2)</f>
        <v>3.7141266163542639</v>
      </c>
    </row>
    <row r="598" spans="14:21" x14ac:dyDescent="0.25">
      <c r="N598" s="8">
        <f>-Presion_cilindro!N597</f>
        <v>-116.5</v>
      </c>
      <c r="O598" s="9">
        <f>IF(Presion_cilindro!N597&gt;$B$12,1-EXP(-Presion_cilindro!$B$16*((Presion_cilindro!N597-$B$12)/Presion_cilindro!$B$35)^(Presion_cilindro!$B$17+1)),0)</f>
        <v>1</v>
      </c>
      <c r="P598" s="10">
        <f>P597*(Presion_cilindro!O596/Presion_cilindro!O597)^Presion_cilindro!$B$9+10*(Presion_cilindro!$B$9-1)*Presion_cilindro!$B$33*(O598-O597)/((Presion_cilindro!O596+Presion_cilindro!O597)/2)</f>
        <v>3.017547730439166</v>
      </c>
      <c r="Q598" s="9">
        <f>IF(OR($B$9=0,Presion_cilindro!N597&lt;=$B$15),IF(Presion_cilindro!N597&gt;$B$13,1-EXP(-Presion_cilindro!$B$16*((Presion_cilindro!N597-$B$13)/Presion_cilindro!$B$35)^(Presion_cilindro!$B$17+1)),0),$B$8+(1-$B$8)*(1-EXP(-(Presion_cilindro!N597-$B$15)/Presion_cilindro!$B$23)))</f>
        <v>1</v>
      </c>
      <c r="R598" s="10">
        <f>R597*(Presion_cilindro!O596/Presion_cilindro!O597)^Presion_cilindro!$B$9+10*(Presion_cilindro!$B$9-1)*Presion_cilindro!$B$33*(Q598-Q597)/((Presion_cilindro!O596+Presion_cilindro!O597)/2)</f>
        <v>3.1298808190912055</v>
      </c>
      <c r="S598" s="10">
        <f>R598+IF(AND($B$9=1,Presion_cilindro!N597&gt;$B$15),Presion_cilindro!$B$24*2.5*EXP(-(Presion_cilindro!N597-$B$15)/Presion_cilindro!$B$26)*SIN(2*PI()*(Presion_cilindro!N597-$B$15)/Presion_cilindro!$B$39),0)</f>
        <v>3.1298498614196042</v>
      </c>
      <c r="T598" s="9">
        <f>IF(Presion_cilindro!N597&gt;$B$14,1-EXP(-Presion_cilindro!$B$16*((Presion_cilindro!N597-$B$14)/Presion_cilindro!$B$35)^(Presion_cilindro!$B$17+1)),0)</f>
        <v>1</v>
      </c>
      <c r="U598" s="10">
        <f>U597*(Presion_cilindro!O596/Presion_cilindro!O597)^Presion_cilindro!$B$9+10*(Presion_cilindro!$B$9-1)*Presion_cilindro!$B$33*(T598-T597)/((Presion_cilindro!O596+Presion_cilindro!O597)/2)</f>
        <v>3.6953081898024402</v>
      </c>
    </row>
    <row r="599" spans="14:21" x14ac:dyDescent="0.25">
      <c r="N599" s="8">
        <f>-Presion_cilindro!N598</f>
        <v>-117</v>
      </c>
      <c r="O599" s="9">
        <f>IF(Presion_cilindro!N598&gt;$B$12,1-EXP(-Presion_cilindro!$B$16*((Presion_cilindro!N598-$B$12)/Presion_cilindro!$B$35)^(Presion_cilindro!$B$17+1)),0)</f>
        <v>1</v>
      </c>
      <c r="P599" s="10">
        <f>P598*(Presion_cilindro!O597/Presion_cilindro!O598)^Presion_cilindro!$B$9+10*(Presion_cilindro!$B$9-1)*Presion_cilindro!$B$33*(O599-O598)/((Presion_cilindro!O597+Presion_cilindro!O598)/2)</f>
        <v>3.002421922189189</v>
      </c>
      <c r="Q599" s="9">
        <f>IF(OR($B$9=0,Presion_cilindro!N598&lt;=$B$15),IF(Presion_cilindro!N598&gt;$B$13,1-EXP(-Presion_cilindro!$B$16*((Presion_cilindro!N598-$B$13)/Presion_cilindro!$B$35)^(Presion_cilindro!$B$17+1)),0),$B$8+(1-$B$8)*(1-EXP(-(Presion_cilindro!N598-$B$15)/Presion_cilindro!$B$23)))</f>
        <v>1</v>
      </c>
      <c r="R599" s="10">
        <f>R598*(Presion_cilindro!O597/Presion_cilindro!O598)^Presion_cilindro!$B$9+10*(Presion_cilindro!$B$9-1)*Presion_cilindro!$B$33*(Q599-Q598)/((Presion_cilindro!O597+Presion_cilindro!O598)/2)</f>
        <v>3.1141919281956953</v>
      </c>
      <c r="S599" s="10">
        <f>R599+IF(AND($B$9=1,Presion_cilindro!N598&gt;$B$15),Presion_cilindro!$B$24*2.5*EXP(-(Presion_cilindro!N598-$B$15)/Presion_cilindro!$B$26)*SIN(2*PI()*(Presion_cilindro!N598-$B$15)/Presion_cilindro!$B$39),0)</f>
        <v>3.1141815458247817</v>
      </c>
      <c r="T599" s="9">
        <f>IF(Presion_cilindro!N598&gt;$B$14,1-EXP(-Presion_cilindro!$B$16*((Presion_cilindro!N598-$B$14)/Presion_cilindro!$B$35)^(Presion_cilindro!$B$17+1)),0)</f>
        <v>1</v>
      </c>
      <c r="U599" s="10">
        <f>U598*(Presion_cilindro!O597/Presion_cilindro!O598)^Presion_cilindro!$B$9+10*(Presion_cilindro!$B$9-1)*Presion_cilindro!$B$33*(T599-T598)/((Presion_cilindro!O597+Presion_cilindro!O598)/2)</f>
        <v>3.6767850285812633</v>
      </c>
    </row>
    <row r="600" spans="14:21" x14ac:dyDescent="0.25">
      <c r="N600" s="8">
        <f>-Presion_cilindro!N599</f>
        <v>-117.5</v>
      </c>
      <c r="O600" s="9">
        <f>IF(Presion_cilindro!N599&gt;$B$12,1-EXP(-Presion_cilindro!$B$16*((Presion_cilindro!N599-$B$12)/Presion_cilindro!$B$35)^(Presion_cilindro!$B$17+1)),0)</f>
        <v>1</v>
      </c>
      <c r="P600" s="10">
        <f>P599*(Presion_cilindro!O598/Presion_cilindro!O599)^Presion_cilindro!$B$9+10*(Presion_cilindro!$B$9-1)*Presion_cilindro!$B$33*(O600-O599)/((Presion_cilindro!O598+Presion_cilindro!O599)/2)</f>
        <v>2.9875333442266925</v>
      </c>
      <c r="Q600" s="9">
        <f>IF(OR($B$9=0,Presion_cilindro!N599&lt;=$B$15),IF(Presion_cilindro!N599&gt;$B$13,1-EXP(-Presion_cilindro!$B$16*((Presion_cilindro!N599-$B$13)/Presion_cilindro!$B$35)^(Presion_cilindro!$B$17+1)),0),$B$8+(1-$B$8)*(1-EXP(-(Presion_cilindro!N599-$B$15)/Presion_cilindro!$B$23)))</f>
        <v>1</v>
      </c>
      <c r="R600" s="10">
        <f>R599*(Presion_cilindro!O598/Presion_cilindro!O599)^Presion_cilindro!$B$9+10*(Presion_cilindro!$B$9-1)*Presion_cilindro!$B$33*(Q600-Q599)/((Presion_cilindro!O598+Presion_cilindro!O599)/2)</f>
        <v>3.0987490988683266</v>
      </c>
      <c r="S600" s="10">
        <f>R600+IF(AND($B$9=1,Presion_cilindro!N599&gt;$B$15),Presion_cilindro!$B$24*2.5*EXP(-(Presion_cilindro!N599-$B$15)/Presion_cilindro!$B$26)*SIN(2*PI()*(Presion_cilindro!N599-$B$15)/Presion_cilindro!$B$39),0)</f>
        <v>3.0987771105279669</v>
      </c>
      <c r="T600" s="9">
        <f>IF(Presion_cilindro!N599&gt;$B$14,1-EXP(-Presion_cilindro!$B$16*((Presion_cilindro!N599-$B$14)/Presion_cilindro!$B$35)^(Presion_cilindro!$B$17+1)),0)</f>
        <v>1</v>
      </c>
      <c r="U600" s="10">
        <f>U599*(Presion_cilindro!O598/Presion_cilindro!O599)^Presion_cilindro!$B$9+10*(Presion_cilindro!$B$9-1)*Presion_cilindro!$B$33*(T600-T599)/((Presion_cilindro!O598+Presion_cilindro!O599)/2)</f>
        <v>3.6585523810826541</v>
      </c>
    </row>
    <row r="601" spans="14:21" x14ac:dyDescent="0.25">
      <c r="N601" s="8">
        <f>-Presion_cilindro!N600</f>
        <v>-118</v>
      </c>
      <c r="O601" s="9">
        <f>IF(Presion_cilindro!N600&gt;$B$12,1-EXP(-Presion_cilindro!$B$16*((Presion_cilindro!N600-$B$12)/Presion_cilindro!$B$35)^(Presion_cilindro!$B$17+1)),0)</f>
        <v>1</v>
      </c>
      <c r="P601" s="10">
        <f>P600*(Presion_cilindro!O599/Presion_cilindro!O600)^Presion_cilindro!$B$9+10*(Presion_cilindro!$B$9-1)*Presion_cilindro!$B$33*(O601-O600)/((Presion_cilindro!O599+Presion_cilindro!O600)/2)</f>
        <v>2.9728781976185794</v>
      </c>
      <c r="Q601" s="9">
        <f>IF(OR($B$9=0,Presion_cilindro!N600&lt;=$B$15),IF(Presion_cilindro!N600&gt;$B$13,1-EXP(-Presion_cilindro!$B$16*((Presion_cilindro!N600-$B$13)/Presion_cilindro!$B$35)^(Presion_cilindro!$B$17+1)),0),$B$8+(1-$B$8)*(1-EXP(-(Presion_cilindro!N600-$B$15)/Presion_cilindro!$B$23)))</f>
        <v>1</v>
      </c>
      <c r="R601" s="10">
        <f>R600*(Presion_cilindro!O599/Presion_cilindro!O600)^Presion_cilindro!$B$9+10*(Presion_cilindro!$B$9-1)*Presion_cilindro!$B$33*(Q601-Q600)/((Presion_cilindro!O599+Presion_cilindro!O600)/2)</f>
        <v>3.0835483907545806</v>
      </c>
      <c r="S601" s="10">
        <f>R601+IF(AND($B$9=1,Presion_cilindro!N600&gt;$B$15),Presion_cilindro!$B$24*2.5*EXP(-(Presion_cilindro!N600-$B$15)/Presion_cilindro!$B$26)*SIN(2*PI()*(Presion_cilindro!N600-$B$15)/Presion_cilindro!$B$39),0)</f>
        <v>3.0835577851122715</v>
      </c>
      <c r="T601" s="9">
        <f>IF(Presion_cilindro!N600&gt;$B$14,1-EXP(-Presion_cilindro!$B$16*((Presion_cilindro!N600-$B$14)/Presion_cilindro!$B$35)^(Presion_cilindro!$B$17+1)),0)</f>
        <v>1</v>
      </c>
      <c r="U601" s="10">
        <f>U600*(Presion_cilindro!O599/Presion_cilindro!O600)^Presion_cilindro!$B$9+10*(Presion_cilindro!$B$9-1)*Presion_cilindro!$B$33*(T601-T600)/((Presion_cilindro!O599+Presion_cilindro!O600)/2)</f>
        <v>3.6406055951089211</v>
      </c>
    </row>
    <row r="602" spans="14:21" x14ac:dyDescent="0.25">
      <c r="N602" s="8">
        <f>-Presion_cilindro!N601</f>
        <v>-118.5</v>
      </c>
      <c r="O602" s="9">
        <f>IF(Presion_cilindro!N601&gt;$B$12,1-EXP(-Presion_cilindro!$B$16*((Presion_cilindro!N601-$B$12)/Presion_cilindro!$B$35)^(Presion_cilindro!$B$17+1)),0)</f>
        <v>1</v>
      </c>
      <c r="P602" s="10">
        <f>P601*(Presion_cilindro!O600/Presion_cilindro!O601)^Presion_cilindro!$B$9+10*(Presion_cilindro!$B$9-1)*Presion_cilindro!$B$33*(O602-O601)/((Presion_cilindro!O600+Presion_cilindro!O601)/2)</f>
        <v>2.9584527627675312</v>
      </c>
      <c r="Q602" s="9">
        <f>IF(OR($B$9=0,Presion_cilindro!N601&lt;=$B$15),IF(Presion_cilindro!N601&gt;$B$13,1-EXP(-Presion_cilindro!$B$16*((Presion_cilindro!N601-$B$13)/Presion_cilindro!$B$35)^(Presion_cilindro!$B$17+1)),0),$B$8+(1-$B$8)*(1-EXP(-(Presion_cilindro!N601-$B$15)/Presion_cilindro!$B$23)))</f>
        <v>1</v>
      </c>
      <c r="R602" s="10">
        <f>R601*(Presion_cilindro!O600/Presion_cilindro!O601)^Presion_cilindro!$B$9+10*(Presion_cilindro!$B$9-1)*Presion_cilindro!$B$33*(Q602-Q601)/((Presion_cilindro!O600+Presion_cilindro!O601)/2)</f>
        <v>3.0685859457891205</v>
      </c>
      <c r="S602" s="10">
        <f>R602+IF(AND($B$9=1,Presion_cilindro!N601&gt;$B$15),Presion_cilindro!$B$24*2.5*EXP(-(Presion_cilindro!N601-$B$15)/Presion_cilindro!$B$26)*SIN(2*PI()*(Presion_cilindro!N601-$B$15)/Presion_cilindro!$B$39),0)</f>
        <v>3.0685605997913368</v>
      </c>
      <c r="T602" s="9">
        <f>IF(Presion_cilindro!N601&gt;$B$14,1-EXP(-Presion_cilindro!$B$16*((Presion_cilindro!N601-$B$14)/Presion_cilindro!$B$35)^(Presion_cilindro!$B$17+1)),0)</f>
        <v>1</v>
      </c>
      <c r="U602" s="10">
        <f>U601*(Presion_cilindro!O600/Presion_cilindro!O601)^Presion_cilindro!$B$9+10*(Presion_cilindro!$B$9-1)*Presion_cilindro!$B$33*(T602-T601)/((Presion_cilindro!O600+Presion_cilindro!O601)/2)</f>
        <v>3.6229401156174728</v>
      </c>
    </row>
    <row r="603" spans="14:21" x14ac:dyDescent="0.25">
      <c r="N603" s="8">
        <f>-Presion_cilindro!N602</f>
        <v>-119</v>
      </c>
      <c r="O603" s="9">
        <f>IF(Presion_cilindro!N602&gt;$B$12,1-EXP(-Presion_cilindro!$B$16*((Presion_cilindro!N602-$B$12)/Presion_cilindro!$B$35)^(Presion_cilindro!$B$17+1)),0)</f>
        <v>1</v>
      </c>
      <c r="P603" s="10">
        <f>P602*(Presion_cilindro!O601/Presion_cilindro!O602)^Presion_cilindro!$B$9+10*(Presion_cilindro!$B$9-1)*Presion_cilindro!$B$33*(O603-O602)/((Presion_cilindro!O601+Presion_cilindro!O602)/2)</f>
        <v>2.9442533976185303</v>
      </c>
      <c r="Q603" s="9">
        <f>IF(OR($B$9=0,Presion_cilindro!N602&lt;=$B$15),IF(Presion_cilindro!N602&gt;$B$13,1-EXP(-Presion_cilindro!$B$16*((Presion_cilindro!N602-$B$13)/Presion_cilindro!$B$35)^(Presion_cilindro!$B$17+1)),0),$B$8+(1-$B$8)*(1-EXP(-(Presion_cilindro!N602-$B$15)/Presion_cilindro!$B$23)))</f>
        <v>1</v>
      </c>
      <c r="R603" s="10">
        <f>R602*(Presion_cilindro!O601/Presion_cilindro!O602)^Presion_cilindro!$B$9+10*(Presion_cilindro!$B$9-1)*Presion_cilindro!$B$33*(Q603-Q602)/((Presion_cilindro!O601+Presion_cilindro!O602)/2)</f>
        <v>3.0538579863355473</v>
      </c>
      <c r="S603" s="10">
        <f>R603+IF(AND($B$9=1,Presion_cilindro!N602&gt;$B$15),Presion_cilindro!$B$24*2.5*EXP(-(Presion_cilindro!N602-$B$15)/Presion_cilindro!$B$26)*SIN(2*PI()*(Presion_cilindro!N602-$B$15)/Presion_cilindro!$B$39),0)</f>
        <v>3.0538494859691903</v>
      </c>
      <c r="T603" s="9">
        <f>IF(Presion_cilindro!N602&gt;$B$14,1-EXP(-Presion_cilindro!$B$16*((Presion_cilindro!N602-$B$14)/Presion_cilindro!$B$35)^(Presion_cilindro!$B$17+1)),0)</f>
        <v>1</v>
      </c>
      <c r="U603" s="10">
        <f>U602*(Presion_cilindro!O601/Presion_cilindro!O602)^Presion_cilindro!$B$9+10*(Presion_cilindro!$B$9-1)*Presion_cilindro!$B$33*(T603-T602)/((Presion_cilindro!O601+Presion_cilindro!O602)/2)</f>
        <v>3.6055514825245139</v>
      </c>
    </row>
    <row r="604" spans="14:21" x14ac:dyDescent="0.25">
      <c r="N604" s="8">
        <f>-Presion_cilindro!N603</f>
        <v>-119.5</v>
      </c>
      <c r="O604" s="9">
        <f>IF(Presion_cilindro!N603&gt;$B$12,1-EXP(-Presion_cilindro!$B$16*((Presion_cilindro!N603-$B$12)/Presion_cilindro!$B$35)^(Presion_cilindro!$B$17+1)),0)</f>
        <v>1</v>
      </c>
      <c r="P604" s="10">
        <f>P603*(Presion_cilindro!O602/Presion_cilindro!O603)^Presion_cilindro!$B$9+10*(Presion_cilindro!$B$9-1)*Presion_cilindro!$B$33*(O604-O603)/((Presion_cilindro!O602+Presion_cilindro!O603)/2)</f>
        <v>2.9302765359122382</v>
      </c>
      <c r="Q604" s="9">
        <f>IF(OR($B$9=0,Presion_cilindro!N603&lt;=$B$15),IF(Presion_cilindro!N603&gt;$B$13,1-EXP(-Presion_cilindro!$B$16*((Presion_cilindro!N603-$B$13)/Presion_cilindro!$B$35)^(Presion_cilindro!$B$17+1)),0),$B$8+(1-$B$8)*(1-EXP(-(Presion_cilindro!N603-$B$15)/Presion_cilindro!$B$23)))</f>
        <v>1</v>
      </c>
      <c r="R604" s="10">
        <f>R603*(Presion_cilindro!O602/Presion_cilindro!O603)^Presion_cilindro!$B$9+10*(Presion_cilindro!$B$9-1)*Presion_cilindro!$B$33*(Q604-Q603)/((Presion_cilindro!O602+Presion_cilindro!O603)/2)</f>
        <v>3.0393608133747581</v>
      </c>
      <c r="S604" s="10">
        <f>R604+IF(AND($B$9=1,Presion_cilindro!N603&gt;$B$15),Presion_cilindro!$B$24*2.5*EXP(-(Presion_cilindro!N603-$B$15)/Presion_cilindro!$B$26)*SIN(2*PI()*(Presion_cilindro!N603-$B$15)/Presion_cilindro!$B$39),0)</f>
        <v>3.0393837473819501</v>
      </c>
      <c r="T604" s="9">
        <f>IF(Presion_cilindro!N603&gt;$B$14,1-EXP(-Presion_cilindro!$B$16*((Presion_cilindro!N603-$B$14)/Presion_cilindro!$B$35)^(Presion_cilindro!$B$17+1)),0)</f>
        <v>1</v>
      </c>
      <c r="U604" s="10">
        <f>U603*(Presion_cilindro!O602/Presion_cilindro!O603)^Presion_cilindro!$B$9+10*(Presion_cilindro!$B$9-1)*Presion_cilindro!$B$33*(T604-T603)/((Presion_cilindro!O602+Presion_cilindro!O603)/2)</f>
        <v>3.5884353285661206</v>
      </c>
    </row>
    <row r="605" spans="14:21" x14ac:dyDescent="0.25">
      <c r="N605" s="8">
        <f>-Presion_cilindro!N604</f>
        <v>-120</v>
      </c>
      <c r="O605" s="9">
        <f>IF(Presion_cilindro!N604&gt;$B$12,1-EXP(-Presion_cilindro!$B$16*((Presion_cilindro!N604-$B$12)/Presion_cilindro!$B$35)^(Presion_cilindro!$B$17+1)),0)</f>
        <v>1</v>
      </c>
      <c r="P605" s="10">
        <f>P604*(Presion_cilindro!O603/Presion_cilindro!O604)^Presion_cilindro!$B$9+10*(Presion_cilindro!$B$9-1)*Presion_cilindro!$B$33*(O605-O604)/((Presion_cilindro!O603+Presion_cilindro!O604)/2)</f>
        <v>2.9165186854839007</v>
      </c>
      <c r="Q605" s="9">
        <f>IF(OR($B$9=0,Presion_cilindro!N604&lt;=$B$15),IF(Presion_cilindro!N604&gt;$B$13,1-EXP(-Presion_cilindro!$B$16*((Presion_cilindro!N604-$B$13)/Presion_cilindro!$B$35)^(Presion_cilindro!$B$17+1)),0),$B$8+(1-$B$8)*(1-EXP(-(Presion_cilindro!N604-$B$15)/Presion_cilindro!$B$23)))</f>
        <v>1</v>
      </c>
      <c r="R605" s="10">
        <f>R604*(Presion_cilindro!O603/Presion_cilindro!O604)^Presion_cilindro!$B$9+10*(Presion_cilindro!$B$9-1)*Presion_cilindro!$B$33*(Q605-Q604)/((Presion_cilindro!O603+Presion_cilindro!O604)/2)</f>
        <v>3.0250908047405241</v>
      </c>
      <c r="S605" s="10">
        <f>R605+IF(AND($B$9=1,Presion_cilindro!N604&gt;$B$15),Presion_cilindro!$B$24*2.5*EXP(-(Presion_cilindro!N604-$B$15)/Presion_cilindro!$B$26)*SIN(2*PI()*(Presion_cilindro!N604-$B$15)/Presion_cilindro!$B$39),0)</f>
        <v>3.0250984961900707</v>
      </c>
      <c r="T605" s="9">
        <f>IF(Presion_cilindro!N604&gt;$B$14,1-EXP(-Presion_cilindro!$B$16*((Presion_cilindro!N604-$B$14)/Presion_cilindro!$B$35)^(Presion_cilindro!$B$17+1)),0)</f>
        <v>1</v>
      </c>
      <c r="U605" s="10">
        <f>U604*(Presion_cilindro!O603/Presion_cilindro!O604)^Presion_cilindro!$B$9+10*(Presion_cilindro!$B$9-1)*Presion_cilindro!$B$33*(T605-T604)/((Presion_cilindro!O603+Presion_cilindro!O604)/2)</f>
        <v>3.5715873772150699</v>
      </c>
    </row>
    <row r="606" spans="14:21" x14ac:dyDescent="0.25">
      <c r="N606" s="8">
        <f>-Presion_cilindro!N605</f>
        <v>-120.5</v>
      </c>
      <c r="O606" s="9">
        <f>IF(Presion_cilindro!N605&gt;$B$12,1-EXP(-Presion_cilindro!$B$16*((Presion_cilindro!N605-$B$12)/Presion_cilindro!$B$35)^(Presion_cilindro!$B$17+1)),0)</f>
        <v>1</v>
      </c>
      <c r="P606" s="10">
        <f>P605*(Presion_cilindro!O604/Presion_cilindro!O605)^Presion_cilindro!$B$9+10*(Presion_cilindro!$B$9-1)*Presion_cilindro!$B$33*(O606-O605)/((Presion_cilindro!O604+Presion_cilindro!O605)/2)</f>
        <v>2.9029764266064992</v>
      </c>
      <c r="Q606" s="9">
        <f>IF(OR($B$9=0,Presion_cilindro!N605&lt;=$B$15),IF(Presion_cilindro!N605&gt;$B$13,1-EXP(-Presion_cilindro!$B$16*((Presion_cilindro!N605-$B$13)/Presion_cilindro!$B$35)^(Presion_cilindro!$B$17+1)),0),$B$8+(1-$B$8)*(1-EXP(-(Presion_cilindro!N605-$B$15)/Presion_cilindro!$B$23)))</f>
        <v>1</v>
      </c>
      <c r="R606" s="10">
        <f>R605*(Presion_cilindro!O604/Presion_cilindro!O605)^Presion_cilindro!$B$9+10*(Presion_cilindro!$B$9-1)*Presion_cilindro!$B$33*(Q606-Q605)/((Presion_cilindro!O604+Presion_cilindro!O605)/2)</f>
        <v>3.0110444134009651</v>
      </c>
      <c r="S606" s="10">
        <f>R606+IF(AND($B$9=1,Presion_cilindro!N605&gt;$B$15),Presion_cilindro!$B$24*2.5*EXP(-(Presion_cilindro!N605-$B$15)/Presion_cilindro!$B$26)*SIN(2*PI()*(Presion_cilindro!N605-$B$15)/Presion_cilindro!$B$39),0)</f>
        <v>3.0110236618531121</v>
      </c>
      <c r="T606" s="9">
        <f>IF(Presion_cilindro!N605&gt;$B$14,1-EXP(-Presion_cilindro!$B$16*((Presion_cilindro!N605-$B$14)/Presion_cilindro!$B$35)^(Presion_cilindro!$B$17+1)),0)</f>
        <v>1</v>
      </c>
      <c r="U606" s="10">
        <f>U605*(Presion_cilindro!O604/Presion_cilindro!O605)^Presion_cilindro!$B$9+10*(Presion_cilindro!$B$9-1)*Presion_cilindro!$B$33*(T606-T605)/((Presion_cilindro!O604+Presion_cilindro!O605)/2)</f>
        <v>3.5550034406518516</v>
      </c>
    </row>
    <row r="607" spans="14:21" x14ac:dyDescent="0.25">
      <c r="N607" s="8">
        <f>-Presion_cilindro!N606</f>
        <v>-121</v>
      </c>
      <c r="O607" s="9">
        <f>IF(Presion_cilindro!N606&gt;$B$12,1-EXP(-Presion_cilindro!$B$16*((Presion_cilindro!N606-$B$12)/Presion_cilindro!$B$35)^(Presion_cilindro!$B$17+1)),0)</f>
        <v>1</v>
      </c>
      <c r="P607" s="10">
        <f>P606*(Presion_cilindro!O605/Presion_cilindro!O606)^Presion_cilindro!$B$9+10*(Presion_cilindro!$B$9-1)*Presion_cilindro!$B$33*(O607-O606)/((Presion_cilindro!O605+Presion_cilindro!O606)/2)</f>
        <v>2.8896464103769612</v>
      </c>
      <c r="Q607" s="9">
        <f>IF(OR($B$9=0,Presion_cilindro!N606&lt;=$B$15),IF(Presion_cilindro!N606&gt;$B$13,1-EXP(-Presion_cilindro!$B$16*((Presion_cilindro!N606-$B$13)/Presion_cilindro!$B$35)^(Presion_cilindro!$B$17+1)),0),$B$8+(1-$B$8)*(1-EXP(-(Presion_cilindro!N606-$B$15)/Presion_cilindro!$B$23)))</f>
        <v>1</v>
      </c>
      <c r="R607" s="10">
        <f>R606*(Presion_cilindro!O605/Presion_cilindro!O606)^Presion_cilindro!$B$9+10*(Presion_cilindro!$B$9-1)*Presion_cilindro!$B$33*(Q607-Q606)/((Presion_cilindro!O605+Presion_cilindro!O606)/2)</f>
        <v>2.9972181657846817</v>
      </c>
      <c r="S607" s="10">
        <f>R607+IF(AND($B$9=1,Presion_cilindro!N606&gt;$B$15),Presion_cilindro!$B$24*2.5*EXP(-(Presion_cilindro!N606-$B$15)/Presion_cilindro!$B$26)*SIN(2*PI()*(Presion_cilindro!N606-$B$15)/Presion_cilindro!$B$39),0)</f>
        <v>2.9972112062733327</v>
      </c>
      <c r="T607" s="9">
        <f>IF(Presion_cilindro!N606&gt;$B$14,1-EXP(-Presion_cilindro!$B$16*((Presion_cilindro!N606-$B$14)/Presion_cilindro!$B$35)^(Presion_cilindro!$B$17+1)),0)</f>
        <v>1</v>
      </c>
      <c r="U607" s="10">
        <f>U606*(Presion_cilindro!O605/Presion_cilindro!O606)^Presion_cilindro!$B$9+10*(Presion_cilindro!$B$9-1)*Presion_cilindro!$B$33*(T607-T606)/((Presion_cilindro!O605+Presion_cilindro!O606)/2)</f>
        <v>3.5386794177884111</v>
      </c>
    </row>
    <row r="608" spans="14:21" x14ac:dyDescent="0.25">
      <c r="N608" s="8">
        <f>-Presion_cilindro!N607</f>
        <v>-121.5</v>
      </c>
      <c r="O608" s="9">
        <f>IF(Presion_cilindro!N607&gt;$B$12,1-EXP(-Presion_cilindro!$B$16*((Presion_cilindro!N607-$B$12)/Presion_cilindro!$B$35)^(Presion_cilindro!$B$17+1)),0)</f>
        <v>1</v>
      </c>
      <c r="P608" s="10">
        <f>P607*(Presion_cilindro!O606/Presion_cilindro!O607)^Presion_cilindro!$B$9+10*(Presion_cilindro!$B$9-1)*Presion_cilindro!$B$33*(O608-O607)/((Presion_cilindro!O606+Presion_cilindro!O607)/2)</f>
        <v>2.8765253571441693</v>
      </c>
      <c r="Q608" s="9">
        <f>IF(OR($B$9=0,Presion_cilindro!N607&lt;=$B$15),IF(Presion_cilindro!N607&gt;$B$13,1-EXP(-Presion_cilindro!$B$16*((Presion_cilindro!N607-$B$13)/Presion_cilindro!$B$35)^(Presion_cilindro!$B$17+1)),0),$B$8+(1-$B$8)*(1-EXP(-(Presion_cilindro!N607-$B$15)/Presion_cilindro!$B$23)))</f>
        <v>1</v>
      </c>
      <c r="R608" s="10">
        <f>R607*(Presion_cilindro!O606/Presion_cilindro!O607)^Presion_cilindro!$B$9+10*(Presion_cilindro!$B$9-1)*Presion_cilindro!$B$33*(Q608-Q607)/((Presion_cilindro!O606+Presion_cilindro!O607)/2)</f>
        <v>2.9836086601502463</v>
      </c>
      <c r="S608" s="10">
        <f>R608+IF(AND($B$9=1,Presion_cilindro!N607&gt;$B$15),Presion_cilindro!$B$24*2.5*EXP(-(Presion_cilindro!N607-$B$15)/Presion_cilindro!$B$26)*SIN(2*PI()*(Presion_cilindro!N607-$B$15)/Presion_cilindro!$B$39),0)</f>
        <v>2.9836274369272258</v>
      </c>
      <c r="T608" s="9">
        <f>IF(Presion_cilindro!N607&gt;$B$14,1-EXP(-Presion_cilindro!$B$16*((Presion_cilindro!N607-$B$14)/Presion_cilindro!$B$35)^(Presion_cilindro!$B$17+1)),0)</f>
        <v>1</v>
      </c>
      <c r="U608" s="10">
        <f>U607*(Presion_cilindro!O606/Presion_cilindro!O607)^Presion_cilindro!$B$9+10*(Presion_cilindro!$B$9-1)*Presion_cilindro!$B$33*(T608-T607)/((Presion_cilindro!O606+Presion_cilindro!O607)/2)</f>
        <v>3.5226112923430803</v>
      </c>
    </row>
    <row r="609" spans="14:21" x14ac:dyDescent="0.25">
      <c r="N609" s="8">
        <f>-Presion_cilindro!N608</f>
        <v>-122</v>
      </c>
      <c r="O609" s="9">
        <f>IF(Presion_cilindro!N608&gt;$B$12,1-EXP(-Presion_cilindro!$B$16*((Presion_cilindro!N608-$B$12)/Presion_cilindro!$B$35)^(Presion_cilindro!$B$17+1)),0)</f>
        <v>1</v>
      </c>
      <c r="P609" s="10">
        <f>P608*(Presion_cilindro!O607/Presion_cilindro!O608)^Presion_cilindro!$B$9+10*(Presion_cilindro!$B$9-1)*Presion_cilindro!$B$33*(O609-O608)/((Presion_cilindro!O607+Presion_cilindro!O608)/2)</f>
        <v>2.8636100549776962</v>
      </c>
      <c r="Q609" s="9">
        <f>IF(OR($B$9=0,Presion_cilindro!N608&lt;=$B$15),IF(Presion_cilindro!N608&gt;$B$13,1-EXP(-Presion_cilindro!$B$16*((Presion_cilindro!N608-$B$13)/Presion_cilindro!$B$35)^(Presion_cilindro!$B$17+1)),0),$B$8+(1-$B$8)*(1-EXP(-(Presion_cilindro!N608-$B$15)/Presion_cilindro!$B$23)))</f>
        <v>1</v>
      </c>
      <c r="R609" s="10">
        <f>R608*(Presion_cilindro!O607/Presion_cilindro!O608)^Presion_cilindro!$B$9+10*(Presion_cilindro!$B$9-1)*Presion_cilindro!$B$33*(Q609-Q608)/((Presion_cilindro!O607+Presion_cilindro!O608)/2)</f>
        <v>2.9702125649979325</v>
      </c>
      <c r="S609" s="10">
        <f>R609+IF(AND($B$9=1,Presion_cilindro!N608&gt;$B$15),Presion_cilindro!$B$24*2.5*EXP(-(Presion_cilindro!N608-$B$15)/Presion_cilindro!$B$26)*SIN(2*PI()*(Presion_cilindro!N608-$B$15)/Presion_cilindro!$B$39),0)</f>
        <v>2.9702188622242121</v>
      </c>
      <c r="T609" s="9">
        <f>IF(Presion_cilindro!N608&gt;$B$14,1-EXP(-Presion_cilindro!$B$16*((Presion_cilindro!N608-$B$14)/Presion_cilindro!$B$35)^(Presion_cilindro!$B$17+1)),0)</f>
        <v>1</v>
      </c>
      <c r="U609" s="10">
        <f>U608*(Presion_cilindro!O607/Presion_cilindro!O608)^Presion_cilindro!$B$9+10*(Presion_cilindro!$B$9-1)*Presion_cilindro!$B$33*(T609-T608)/((Presion_cilindro!O607+Presion_cilindro!O608)/2)</f>
        <v>3.5067951309653793</v>
      </c>
    </row>
    <row r="610" spans="14:21" x14ac:dyDescent="0.25">
      <c r="N610" s="8">
        <f>-Presion_cilindro!N609</f>
        <v>-122.5</v>
      </c>
      <c r="O610" s="9">
        <f>IF(Presion_cilindro!N609&gt;$B$12,1-EXP(-Presion_cilindro!$B$16*((Presion_cilindro!N609-$B$12)/Presion_cilindro!$B$35)^(Presion_cilindro!$B$17+1)),0)</f>
        <v>1</v>
      </c>
      <c r="P610" s="10">
        <f>P609*(Presion_cilindro!O608/Presion_cilindro!O609)^Presion_cilindro!$B$9+10*(Presion_cilindro!$B$9-1)*Presion_cilindro!$B$33*(O610-O609)/((Presion_cilindro!O608+Presion_cilindro!O609)/2)</f>
        <v>2.8508973581760375</v>
      </c>
      <c r="Q610" s="9">
        <f>IF(OR($B$9=0,Presion_cilindro!N609&lt;=$B$15),IF(Presion_cilindro!N609&gt;$B$13,1-EXP(-Presion_cilindro!$B$16*((Presion_cilindro!N609-$B$13)/Presion_cilindro!$B$35)^(Presion_cilindro!$B$17+1)),0),$B$8+(1-$B$8)*(1-EXP(-(Presion_cilindro!N609-$B$15)/Presion_cilindro!$B$23)))</f>
        <v>1</v>
      </c>
      <c r="R610" s="10">
        <f>R609*(Presion_cilindro!O608/Presion_cilindro!O609)^Presion_cilindro!$B$9+10*(Presion_cilindro!$B$9-1)*Presion_cilindro!$B$33*(Q610-Q609)/((Presion_cilindro!O608+Presion_cilindro!O609)/2)</f>
        <v>2.9570266175224162</v>
      </c>
      <c r="S610" s="10">
        <f>R610+IF(AND($B$9=1,Presion_cilindro!N609&gt;$B$15),Presion_cilindro!$B$24*2.5*EXP(-(Presion_cilindro!N609-$B$15)/Presion_cilindro!$B$26)*SIN(2*PI()*(Presion_cilindro!N609-$B$15)/Presion_cilindro!$B$39),0)</f>
        <v>2.957009627592015</v>
      </c>
      <c r="T610" s="9">
        <f>IF(Presion_cilindro!N609&gt;$B$14,1-EXP(-Presion_cilindro!$B$16*((Presion_cilindro!N609-$B$14)/Presion_cilindro!$B$35)^(Presion_cilindro!$B$17+1)),0)</f>
        <v>1</v>
      </c>
      <c r="U610" s="10">
        <f>U609*(Presion_cilindro!O608/Presion_cilindro!O609)^Presion_cilindro!$B$9+10*(Presion_cilindro!$B$9-1)*Presion_cilindro!$B$33*(T610-T609)/((Presion_cilindro!O608+Presion_cilindro!O609)/2)</f>
        <v>3.4912270814091895</v>
      </c>
    </row>
    <row r="611" spans="14:21" x14ac:dyDescent="0.25">
      <c r="N611" s="8">
        <f>-Presion_cilindro!N610</f>
        <v>-123</v>
      </c>
      <c r="O611" s="9">
        <f>IF(Presion_cilindro!N610&gt;$B$12,1-EXP(-Presion_cilindro!$B$16*((Presion_cilindro!N610-$B$12)/Presion_cilindro!$B$35)^(Presion_cilindro!$B$17+1)),0)</f>
        <v>1</v>
      </c>
      <c r="P611" s="10">
        <f>P610*(Presion_cilindro!O609/Presion_cilindro!O610)^Presion_cilindro!$B$9+10*(Presion_cilindro!$B$9-1)*Presion_cilindro!$B$33*(O611-O610)/((Presion_cilindro!O609+Presion_cilindro!O610)/2)</f>
        <v>2.8383841858133625</v>
      </c>
      <c r="Q611" s="9">
        <f>IF(OR($B$9=0,Presion_cilindro!N610&lt;=$B$15),IF(Presion_cilindro!N610&gt;$B$13,1-EXP(-Presion_cilindro!$B$16*((Presion_cilindro!N610-$B$13)/Presion_cilindro!$B$35)^(Presion_cilindro!$B$17+1)),0),$B$8+(1-$B$8)*(1-EXP(-(Presion_cilindro!N610-$B$15)/Presion_cilindro!$B$23)))</f>
        <v>1</v>
      </c>
      <c r="R611" s="10">
        <f>R610*(Presion_cilindro!O609/Presion_cilindro!O610)^Presion_cilindro!$B$9+10*(Presion_cilindro!$B$9-1)*Presion_cilindro!$B$33*(Q611-Q610)/((Presion_cilindro!O609+Presion_cilindro!O610)/2)</f>
        <v>2.9440476221054261</v>
      </c>
      <c r="S611" s="10">
        <f>R611+IF(AND($B$9=1,Presion_cilindro!N610&gt;$B$15),Presion_cilindro!$B$24*2.5*EXP(-(Presion_cilindro!N610-$B$15)/Presion_cilindro!$B$26)*SIN(2*PI()*(Presion_cilindro!N610-$B$15)/Presion_cilindro!$B$39),0)</f>
        <v>2.9440419241394586</v>
      </c>
      <c r="T611" s="9">
        <f>IF(Presion_cilindro!N610&gt;$B$14,1-EXP(-Presion_cilindro!$B$16*((Presion_cilindro!N610-$B$14)/Presion_cilindro!$B$35)^(Presion_cilindro!$B$17+1)),0)</f>
        <v>1</v>
      </c>
      <c r="U611" s="10">
        <f>U610*(Presion_cilindro!O609/Presion_cilindro!O610)^Presion_cilindro!$B$9+10*(Presion_cilindro!$B$9-1)*Presion_cilindro!$B$33*(T611-T610)/((Presion_cilindro!O609+Presion_cilindro!O610)/2)</f>
        <v>3.4759033707530955</v>
      </c>
    </row>
    <row r="612" spans="14:21" x14ac:dyDescent="0.25">
      <c r="N612" s="8">
        <f>-Presion_cilindro!N611</f>
        <v>-123.5</v>
      </c>
      <c r="O612" s="9">
        <f>IF(Presion_cilindro!N611&gt;$B$12,1-EXP(-Presion_cilindro!$B$16*((Presion_cilindro!N611-$B$12)/Presion_cilindro!$B$35)^(Presion_cilindro!$B$17+1)),0)</f>
        <v>1</v>
      </c>
      <c r="P612" s="10">
        <f>P611*(Presion_cilindro!O610/Presion_cilindro!O611)^Presion_cilindro!$B$9+10*(Presion_cilindro!$B$9-1)*Presion_cilindro!$B$33*(O612-O611)/((Presion_cilindro!O610+Presion_cilindro!O611)/2)</f>
        <v>2.8260675203236252</v>
      </c>
      <c r="Q612" s="9">
        <f>IF(OR($B$9=0,Presion_cilindro!N611&lt;=$B$15),IF(Presion_cilindro!N611&gt;$B$13,1-EXP(-Presion_cilindro!$B$16*((Presion_cilindro!N611-$B$13)/Presion_cilindro!$B$35)^(Presion_cilindro!$B$17+1)),0),$B$8+(1-$B$8)*(1-EXP(-(Presion_cilindro!N611-$B$15)/Presion_cilindro!$B$23)))</f>
        <v>1</v>
      </c>
      <c r="R612" s="10">
        <f>R611*(Presion_cilindro!O610/Presion_cilindro!O611)^Presion_cilindro!$B$9+10*(Presion_cilindro!$B$9-1)*Presion_cilindro!$B$33*(Q612-Q611)/((Presion_cilindro!O610+Presion_cilindro!O611)/2)</f>
        <v>2.9312724488471456</v>
      </c>
      <c r="S612" s="10">
        <f>R612+IF(AND($B$9=1,Presion_cilindro!N611&gt;$B$15),Presion_cilindro!$B$24*2.5*EXP(-(Presion_cilindro!N611-$B$15)/Presion_cilindro!$B$26)*SIN(2*PI()*(Presion_cilindro!N611-$B$15)/Presion_cilindro!$B$39),0)</f>
        <v>2.9312878219719023</v>
      </c>
      <c r="T612" s="9">
        <f>IF(Presion_cilindro!N611&gt;$B$14,1-EXP(-Presion_cilindro!$B$16*((Presion_cilindro!N611-$B$14)/Presion_cilindro!$B$35)^(Presion_cilindro!$B$17+1)),0)</f>
        <v>1</v>
      </c>
      <c r="U612" s="10">
        <f>U611*(Presion_cilindro!O610/Presion_cilindro!O611)^Presion_cilindro!$B$9+10*(Presion_cilindro!$B$9-1)*Presion_cilindro!$B$33*(T612-T611)/((Presion_cilindro!O610+Presion_cilindro!O611)/2)</f>
        <v>3.4608203036664782</v>
      </c>
    </row>
    <row r="613" spans="14:21" x14ac:dyDescent="0.25">
      <c r="N613" s="8">
        <f>-Presion_cilindro!N612</f>
        <v>-124</v>
      </c>
      <c r="O613" s="9">
        <f>IF(Presion_cilindro!N612&gt;$B$12,1-EXP(-Presion_cilindro!$B$16*((Presion_cilindro!N612-$B$12)/Presion_cilindro!$B$35)^(Presion_cilindro!$B$17+1)),0)</f>
        <v>1</v>
      </c>
      <c r="P613" s="10">
        <f>P612*(Presion_cilindro!O611/Presion_cilindro!O612)^Presion_cilindro!$B$9+10*(Presion_cilindro!$B$9-1)*Presion_cilindro!$B$33*(O613-O612)/((Presion_cilindro!O611+Presion_cilindro!O612)/2)</f>
        <v>2.8139444061210783</v>
      </c>
      <c r="Q613" s="9">
        <f>IF(OR($B$9=0,Presion_cilindro!N612&lt;=$B$15),IF(Presion_cilindro!N612&gt;$B$13,1-EXP(-Presion_cilindro!$B$16*((Presion_cilindro!N612-$B$13)/Presion_cilindro!$B$35)^(Presion_cilindro!$B$17+1)),0),$B$8+(1-$B$8)*(1-EXP(-(Presion_cilindro!N612-$B$15)/Presion_cilindro!$B$23)))</f>
        <v>1</v>
      </c>
      <c r="R613" s="10">
        <f>R612*(Presion_cilindro!O611/Presion_cilindro!O612)^Presion_cilindro!$B$9+10*(Presion_cilindro!$B$9-1)*Presion_cilindro!$B$33*(Q613-Q612)/((Presion_cilindro!O611+Presion_cilindro!O612)/2)</f>
        <v>2.9186980321353739</v>
      </c>
      <c r="S613" s="10">
        <f>R613+IF(AND($B$9=1,Presion_cilindro!N612&gt;$B$15),Presion_cilindro!$B$24*2.5*EXP(-(Presion_cilindro!N612-$B$15)/Presion_cilindro!$B$26)*SIN(2*PI()*(Presion_cilindro!N612-$B$15)/Presion_cilindro!$B$39),0)</f>
        <v>2.9187031878681884</v>
      </c>
      <c r="T613" s="9">
        <f>IF(Presion_cilindro!N612&gt;$B$14,1-EXP(-Presion_cilindro!$B$16*((Presion_cilindro!N612-$B$14)/Presion_cilindro!$B$35)^(Presion_cilindro!$B$17+1)),0)</f>
        <v>1</v>
      </c>
      <c r="U613" s="10">
        <f>U612*(Presion_cilindro!O611/Presion_cilindro!O612)^Presion_cilindro!$B$9+10*(Presion_cilindro!$B$9-1)*Presion_cilindro!$B$33*(T613-T612)/((Presion_cilindro!O611+Presion_cilindro!O612)/2)</f>
        <v>3.4459742607201878</v>
      </c>
    </row>
    <row r="614" spans="14:21" x14ac:dyDescent="0.25">
      <c r="N614" s="8">
        <f>-Presion_cilindro!N613</f>
        <v>-124.5</v>
      </c>
      <c r="O614" s="9">
        <f>IF(Presion_cilindro!N613&gt;$B$12,1-EXP(-Presion_cilindro!$B$16*((Presion_cilindro!N613-$B$12)/Presion_cilindro!$B$35)^(Presion_cilindro!$B$17+1)),0)</f>
        <v>1</v>
      </c>
      <c r="P614" s="10">
        <f>P613*(Presion_cilindro!O612/Presion_cilindro!O613)^Presion_cilindro!$B$9+10*(Presion_cilindro!$B$9-1)*Presion_cilindro!$B$33*(O614-O613)/((Presion_cilindro!O612+Presion_cilindro!O613)/2)</f>
        <v>2.8020119482561645</v>
      </c>
      <c r="Q614" s="9">
        <f>IF(OR($B$9=0,Presion_cilindro!N613&lt;=$B$15),IF(Presion_cilindro!N613&gt;$B$13,1-EXP(-Presion_cilindro!$B$16*((Presion_cilindro!N613-$B$13)/Presion_cilindro!$B$35)^(Presion_cilindro!$B$17+1)),0),$B$8+(1-$B$8)*(1-EXP(-(Presion_cilindro!N613-$B$15)/Presion_cilindro!$B$23)))</f>
        <v>1</v>
      </c>
      <c r="R614" s="10">
        <f>R613*(Presion_cilindro!O612/Presion_cilindro!O613)^Presion_cilindro!$B$9+10*(Presion_cilindro!$B$9-1)*Presion_cilindro!$B$33*(Q614-Q613)/((Presion_cilindro!O612+Presion_cilindro!O613)/2)</f>
        <v>2.9063213692513798</v>
      </c>
      <c r="S614" s="10">
        <f>R614+IF(AND($B$9=1,Presion_cilindro!N613&gt;$B$15),Presion_cilindro!$B$24*2.5*EXP(-(Presion_cilindro!N613-$B$15)/Presion_cilindro!$B$26)*SIN(2*PI()*(Presion_cilindro!N613-$B$15)/Presion_cilindro!$B$39),0)</f>
        <v>2.9063074590728677</v>
      </c>
      <c r="T614" s="9">
        <f>IF(Presion_cilindro!N613&gt;$B$14,1-EXP(-Presion_cilindro!$B$16*((Presion_cilindro!N613-$B$14)/Presion_cilindro!$B$35)^(Presion_cilindro!$B$17+1)),0)</f>
        <v>1</v>
      </c>
      <c r="U614" s="10">
        <f>U613*(Presion_cilindro!O612/Presion_cilindro!O613)^Presion_cilindro!$B$9+10*(Presion_cilindro!$B$9-1)*Presion_cilindro!$B$33*(T614-T613)/((Presion_cilindro!O612+Presion_cilindro!O613)/2)</f>
        <v>3.4313616967405385</v>
      </c>
    </row>
    <row r="615" spans="14:21" x14ac:dyDescent="0.25">
      <c r="N615" s="8">
        <f>-Presion_cilindro!N614</f>
        <v>-125</v>
      </c>
      <c r="O615" s="9">
        <f>IF(Presion_cilindro!N614&gt;$B$12,1-EXP(-Presion_cilindro!$B$16*((Presion_cilindro!N614-$B$12)/Presion_cilindro!$B$35)^(Presion_cilindro!$B$17+1)),0)</f>
        <v>1</v>
      </c>
      <c r="P615" s="10">
        <f>P614*(Presion_cilindro!O613/Presion_cilindro!O614)^Presion_cilindro!$B$9+10*(Presion_cilindro!$B$9-1)*Presion_cilindro!$B$33*(O615-O614)/((Presion_cilindro!O613+Presion_cilindro!O614)/2)</f>
        <v>2.7902673111058136</v>
      </c>
      <c r="Q615" s="9">
        <f>IF(OR($B$9=0,Presion_cilindro!N614&lt;=$B$15),IF(Presion_cilindro!N614&gt;$B$13,1-EXP(-Presion_cilindro!$B$16*((Presion_cilindro!N614-$B$13)/Presion_cilindro!$B$35)^(Presion_cilindro!$B$17+1)),0),$B$8+(1-$B$8)*(1-EXP(-(Presion_cilindro!N614-$B$15)/Presion_cilindro!$B$23)))</f>
        <v>1</v>
      </c>
      <c r="R615" s="10">
        <f>R614*(Presion_cilindro!O613/Presion_cilindro!O614)^Presion_cilindro!$B$9+10*(Presion_cilindro!$B$9-1)*Presion_cilindro!$B$33*(Q615-Q614)/((Presion_cilindro!O613+Presion_cilindro!O614)/2)</f>
        <v>2.8941395190114436</v>
      </c>
      <c r="S615" s="10">
        <f>R615+IF(AND($B$9=1,Presion_cilindro!N614&gt;$B$15),Presion_cilindro!$B$24*2.5*EXP(-(Presion_cilindro!N614-$B$15)/Presion_cilindro!$B$26)*SIN(2*PI()*(Presion_cilindro!N614-$B$15)/Presion_cilindro!$B$39),0)</f>
        <v>2.894134853911476</v>
      </c>
      <c r="T615" s="9">
        <f>IF(Presion_cilindro!N614&gt;$B$14,1-EXP(-Presion_cilindro!$B$16*((Presion_cilindro!N614-$B$14)/Presion_cilindro!$B$35)^(Presion_cilindro!$B$17+1)),0)</f>
        <v>1</v>
      </c>
      <c r="U615" s="10">
        <f>U614*(Presion_cilindro!O613/Presion_cilindro!O614)^Presion_cilindro!$B$9+10*(Presion_cilindro!$B$9-1)*Presion_cilindro!$B$33*(T615-T614)/((Presion_cilindro!O613+Presion_cilindro!O614)/2)</f>
        <v>3.4169791392054392</v>
      </c>
    </row>
    <row r="616" spans="14:21" x14ac:dyDescent="0.25">
      <c r="N616" s="8">
        <f>-Presion_cilindro!N615</f>
        <v>-125.5</v>
      </c>
      <c r="O616" s="9">
        <f>IF(Presion_cilindro!N615&gt;$B$12,1-EXP(-Presion_cilindro!$B$16*((Presion_cilindro!N615-$B$12)/Presion_cilindro!$B$35)^(Presion_cilindro!$B$17+1)),0)</f>
        <v>1</v>
      </c>
      <c r="P616" s="10">
        <f>P615*(Presion_cilindro!O614/Presion_cilindro!O615)^Presion_cilindro!$B$9+10*(Presion_cilindro!$B$9-1)*Presion_cilindro!$B$33*(O616-O615)/((Presion_cilindro!O614+Presion_cilindro!O615)/2)</f>
        <v>2.778707717097233</v>
      </c>
      <c r="Q616" s="9">
        <f>IF(OR($B$9=0,Presion_cilindro!N615&lt;=$B$15),IF(Presion_cilindro!N615&gt;$B$13,1-EXP(-Presion_cilindro!$B$16*((Presion_cilindro!N615-$B$13)/Presion_cilindro!$B$35)^(Presion_cilindro!$B$17+1)),0),$B$8+(1-$B$8)*(1-EXP(-(Presion_cilindro!N615-$B$15)/Presion_cilindro!$B$23)))</f>
        <v>1</v>
      </c>
      <c r="R616" s="10">
        <f>R615*(Presion_cilindro!O614/Presion_cilindro!O615)^Presion_cilindro!$B$9+10*(Presion_cilindro!$B$9-1)*Presion_cilindro!$B$33*(Q616-Q615)/((Presion_cilindro!O614+Presion_cilindro!O615)/2)</f>
        <v>2.8821496004431388</v>
      </c>
      <c r="S616" s="10">
        <f>R616+IF(AND($B$9=1,Presion_cilindro!N615&gt;$B$15),Presion_cilindro!$B$24*2.5*EXP(-(Presion_cilindro!N615-$B$15)/Presion_cilindro!$B$26)*SIN(2*PI()*(Presion_cilindro!N615-$B$15)/Presion_cilindro!$B$39),0)</f>
        <v>2.8821621868931482</v>
      </c>
      <c r="T616" s="9">
        <f>IF(Presion_cilindro!N615&gt;$B$14,1-EXP(-Presion_cilindro!$B$16*((Presion_cilindro!N615-$B$14)/Presion_cilindro!$B$35)^(Presion_cilindro!$B$17+1)),0)</f>
        <v>1</v>
      </c>
      <c r="U616" s="10">
        <f>U615*(Presion_cilindro!O614/Presion_cilindro!O615)^Presion_cilindro!$B$9+10*(Presion_cilindro!$B$9-1)*Presion_cilindro!$B$33*(T616-T615)/((Presion_cilindro!O614+Presion_cilindro!O615)/2)</f>
        <v>3.4028231866815388</v>
      </c>
    </row>
    <row r="617" spans="14:21" x14ac:dyDescent="0.25">
      <c r="N617" s="8">
        <f>-Presion_cilindro!N616</f>
        <v>-126</v>
      </c>
      <c r="O617" s="9">
        <f>IF(Presion_cilindro!N616&gt;$B$12,1-EXP(-Presion_cilindro!$B$16*((Presion_cilindro!N616-$B$12)/Presion_cilindro!$B$35)^(Presion_cilindro!$B$17+1)),0)</f>
        <v>1</v>
      </c>
      <c r="P617" s="10">
        <f>P616*(Presion_cilindro!O615/Presion_cilindro!O616)^Presion_cilindro!$B$9+10*(Presion_cilindro!$B$9-1)*Presion_cilindro!$B$33*(O617-O616)/((Presion_cilindro!O615+Presion_cilindro!O616)/2)</f>
        <v>2.767330445464244</v>
      </c>
      <c r="Q617" s="9">
        <f>IF(OR($B$9=0,Presion_cilindro!N616&lt;=$B$15),IF(Presion_cilindro!N616&gt;$B$13,1-EXP(-Presion_cilindro!$B$16*((Presion_cilindro!N616-$B$13)/Presion_cilindro!$B$35)^(Presion_cilindro!$B$17+1)),0),$B$8+(1-$B$8)*(1-EXP(-(Presion_cilindro!N616-$B$15)/Presion_cilindro!$B$23)))</f>
        <v>1</v>
      </c>
      <c r="R617" s="10">
        <f>R616*(Presion_cilindro!O615/Presion_cilindro!O616)^Presion_cilindro!$B$9+10*(Presion_cilindro!$B$9-1)*Presion_cilindro!$B$33*(Q617-Q616)/((Presion_cilindro!O615+Presion_cilindro!O616)/2)</f>
        <v>2.8703487914953714</v>
      </c>
      <c r="S617" s="10">
        <f>R617+IF(AND($B$9=1,Presion_cilindro!N616&gt;$B$15),Presion_cilindro!$B$24*2.5*EXP(-(Presion_cilindro!N616-$B$15)/Presion_cilindro!$B$26)*SIN(2*PI()*(Presion_cilindro!N616-$B$15)/Presion_cilindro!$B$39),0)</f>
        <v>2.8703530126523811</v>
      </c>
      <c r="T617" s="9">
        <f>IF(Presion_cilindro!N616&gt;$B$14,1-EXP(-Presion_cilindro!$B$16*((Presion_cilindro!N616-$B$14)/Presion_cilindro!$B$35)^(Presion_cilindro!$B$17+1)),0)</f>
        <v>1</v>
      </c>
      <c r="U617" s="10">
        <f>U616*(Presion_cilindro!O615/Presion_cilindro!O616)^Presion_cilindro!$B$9+10*(Presion_cilindro!$B$9-1)*Presion_cilindro!$B$33*(T617-T616)/((Presion_cilindro!O615+Presion_cilindro!O616)/2)</f>
        <v>3.388890507301229</v>
      </c>
    </row>
    <row r="618" spans="14:21" x14ac:dyDescent="0.25">
      <c r="N618" s="8">
        <f>-Presion_cilindro!N617</f>
        <v>-126.5</v>
      </c>
      <c r="O618" s="9">
        <f>IF(Presion_cilindro!N617&gt;$B$12,1-EXP(-Presion_cilindro!$B$16*((Presion_cilindro!N617-$B$12)/Presion_cilindro!$B$35)^(Presion_cilindro!$B$17+1)),0)</f>
        <v>1</v>
      </c>
      <c r="P618" s="10">
        <f>P617*(Presion_cilindro!O616/Presion_cilindro!O617)^Presion_cilindro!$B$9+10*(Presion_cilindro!$B$9-1)*Presion_cilindro!$B$33*(O618-O617)/((Presion_cilindro!O616+Presion_cilindro!O617)/2)</f>
        <v>2.7561328310353188</v>
      </c>
      <c r="Q618" s="9">
        <f>IF(OR($B$9=0,Presion_cilindro!N617&lt;=$B$15),IF(Presion_cilindro!N617&gt;$B$13,1-EXP(-Presion_cilindro!$B$16*((Presion_cilindro!N617-$B$13)/Presion_cilindro!$B$35)^(Presion_cilindro!$B$17+1)),0),$B$8+(1-$B$8)*(1-EXP(-(Presion_cilindro!N617-$B$15)/Presion_cilindro!$B$23)))</f>
        <v>1</v>
      </c>
      <c r="R618" s="10">
        <f>R617*(Presion_cilindro!O616/Presion_cilindro!O617)^Presion_cilindro!$B$9+10*(Presion_cilindro!$B$9-1)*Presion_cilindro!$B$33*(Q618-Q617)/((Presion_cilindro!O616+Presion_cilindro!O617)/2)</f>
        <v>2.8587343277812978</v>
      </c>
      <c r="S618" s="10">
        <f>R618+IF(AND($B$9=1,Presion_cilindro!N617&gt;$B$15),Presion_cilindro!$B$24*2.5*EXP(-(Presion_cilindro!N617-$B$15)/Presion_cilindro!$B$26)*SIN(2*PI()*(Presion_cilindro!N617-$B$15)/Presion_cilindro!$B$39),0)</f>
        <v>2.8587229390903692</v>
      </c>
      <c r="T618" s="9">
        <f>IF(Presion_cilindro!N617&gt;$B$14,1-EXP(-Presion_cilindro!$B$16*((Presion_cilindro!N617-$B$14)/Presion_cilindro!$B$35)^(Presion_cilindro!$B$17+1)),0)</f>
        <v>1</v>
      </c>
      <c r="U618" s="10">
        <f>U617*(Presion_cilindro!O616/Presion_cilindro!O617)^Presion_cilindro!$B$9+10*(Presion_cilindro!$B$9-1)*Presion_cilindro!$B$33*(T618-T617)/((Presion_cilindro!O616+Presion_cilindro!O617)/2)</f>
        <v>3.3751778372784638</v>
      </c>
    </row>
    <row r="619" spans="14:21" x14ac:dyDescent="0.25">
      <c r="N619" s="8">
        <f>-Presion_cilindro!N618</f>
        <v>-127</v>
      </c>
      <c r="O619" s="9">
        <f>IF(Presion_cilindro!N618&gt;$B$12,1-EXP(-Presion_cilindro!$B$16*((Presion_cilindro!N618-$B$12)/Presion_cilindro!$B$35)^(Presion_cilindro!$B$17+1)),0)</f>
        <v>1</v>
      </c>
      <c r="P619" s="10">
        <f>P618*(Presion_cilindro!O617/Presion_cilindro!O618)^Presion_cilindro!$B$9+10*(Presion_cilindro!$B$9-1)*Presion_cilindro!$B$33*(O619-O618)/((Presion_cilindro!O617+Presion_cilindro!O618)/2)</f>
        <v>2.7451122630524343</v>
      </c>
      <c r="Q619" s="9">
        <f>IF(OR($B$9=0,Presion_cilindro!N618&lt;=$B$15),IF(Presion_cilindro!N618&gt;$B$13,1-EXP(-Presion_cilindro!$B$16*((Presion_cilindro!N618-$B$13)/Presion_cilindro!$B$35)^(Presion_cilindro!$B$17+1)),0),$B$8+(1-$B$8)*(1-EXP(-(Presion_cilindro!N618-$B$15)/Presion_cilindro!$B$23)))</f>
        <v>1</v>
      </c>
      <c r="R619" s="10">
        <f>R618*(Presion_cilindro!O617/Presion_cilindro!O618)^Presion_cilindro!$B$9+10*(Presion_cilindro!$B$9-1)*Presion_cilindro!$B$33*(Q619-Q618)/((Presion_cilindro!O617+Presion_cilindro!O618)/2)</f>
        <v>2.8473035013532098</v>
      </c>
      <c r="S619" s="10">
        <f>R619+IF(AND($B$9=1,Presion_cilindro!N618&gt;$B$15),Presion_cilindro!$B$24*2.5*EXP(-(Presion_cilindro!N618-$B$15)/Presion_cilindro!$B$26)*SIN(2*PI()*(Presion_cilindro!N618-$B$15)/Presion_cilindro!$B$39),0)</f>
        <v>2.8472996818923999</v>
      </c>
      <c r="T619" s="9">
        <f>IF(Presion_cilindro!N618&gt;$B$14,1-EXP(-Presion_cilindro!$B$16*((Presion_cilindro!N618-$B$14)/Presion_cilindro!$B$35)^(Presion_cilindro!$B$17+1)),0)</f>
        <v>1</v>
      </c>
      <c r="U619" s="10">
        <f>U618*(Presion_cilindro!O617/Presion_cilindro!O618)^Presion_cilindro!$B$9+10*(Presion_cilindro!$B$9-1)*Presion_cilindro!$B$33*(T619-T618)/((Presion_cilindro!O617+Presion_cilindro!O618)/2)</f>
        <v>3.3616819794623223</v>
      </c>
    </row>
    <row r="620" spans="14:21" x14ac:dyDescent="0.25">
      <c r="N620" s="8">
        <f>-Presion_cilindro!N619</f>
        <v>-127.5</v>
      </c>
      <c r="O620" s="9">
        <f>IF(Presion_cilindro!N619&gt;$B$12,1-EXP(-Presion_cilindro!$B$16*((Presion_cilindro!N619-$B$12)/Presion_cilindro!$B$35)^(Presion_cilindro!$B$17+1)),0)</f>
        <v>1</v>
      </c>
      <c r="P620" s="10">
        <f>P619*(Presion_cilindro!O618/Presion_cilindro!O619)^Presion_cilindro!$B$9+10*(Presion_cilindro!$B$9-1)*Presion_cilindro!$B$33*(O620-O619)/((Presion_cilindro!O618+Presion_cilindro!O619)/2)</f>
        <v>2.7342661840199303</v>
      </c>
      <c r="Q620" s="9">
        <f>IF(OR($B$9=0,Presion_cilindro!N619&lt;=$B$15),IF(Presion_cilindro!N619&gt;$B$13,1-EXP(-Presion_cilindro!$B$16*((Presion_cilindro!N619-$B$13)/Presion_cilindro!$B$35)^(Presion_cilindro!$B$17+1)),0),$B$8+(1-$B$8)*(1-EXP(-(Presion_cilindro!N619-$B$15)/Presion_cilindro!$B$23)))</f>
        <v>1</v>
      </c>
      <c r="R620" s="10">
        <f>R619*(Presion_cilindro!O618/Presion_cilindro!O619)^Presion_cilindro!$B$9+10*(Presion_cilindro!$B$9-1)*Presion_cilindro!$B$33*(Q620-Q619)/((Presion_cilindro!O618+Presion_cilindro!O619)/2)</f>
        <v>2.8360536595085404</v>
      </c>
      <c r="S620" s="10">
        <f>R620+IF(AND($B$9=1,Presion_cilindro!N619&gt;$B$15),Presion_cilindro!$B$24*2.5*EXP(-(Presion_cilindro!N619-$B$15)/Presion_cilindro!$B$26)*SIN(2*PI()*(Presion_cilindro!N619-$B$15)/Presion_cilindro!$B$39),0)</f>
        <v>2.8360639644222352</v>
      </c>
      <c r="T620" s="9">
        <f>IF(Presion_cilindro!N619&gt;$B$14,1-EXP(-Presion_cilindro!$B$16*((Presion_cilindro!N619-$B$14)/Presion_cilindro!$B$35)^(Presion_cilindro!$B$17+1)),0)</f>
        <v>1</v>
      </c>
      <c r="U620" s="10">
        <f>U619*(Presion_cilindro!O618/Presion_cilindro!O619)^Presion_cilindro!$B$9+10*(Presion_cilindro!$B$9-1)*Presion_cilindro!$B$33*(T620-T619)/((Presion_cilindro!O618+Presion_cilindro!O619)/2)</f>
        <v>3.3483998019273131</v>
      </c>
    </row>
    <row r="621" spans="14:21" x14ac:dyDescent="0.25">
      <c r="N621" s="8">
        <f>-Presion_cilindro!N620</f>
        <v>-128</v>
      </c>
      <c r="O621" s="9">
        <f>IF(Presion_cilindro!N620&gt;$B$12,1-EXP(-Presion_cilindro!$B$16*((Presion_cilindro!N620-$B$12)/Presion_cilindro!$B$35)^(Presion_cilindro!$B$17+1)),0)</f>
        <v>1</v>
      </c>
      <c r="P621" s="10">
        <f>P620*(Presion_cilindro!O619/Presion_cilindro!O620)^Presion_cilindro!$B$9+10*(Presion_cilindro!$B$9-1)*Presion_cilindro!$B$33*(O621-O620)/((Presion_cilindro!O619+Presion_cilindro!O620)/2)</f>
        <v>2.7235920885825369</v>
      </c>
      <c r="Q621" s="9">
        <f>IF(OR($B$9=0,Presion_cilindro!N620&lt;=$B$15),IF(Presion_cilindro!N620&gt;$B$13,1-EXP(-Presion_cilindro!$B$16*((Presion_cilindro!N620-$B$13)/Presion_cilindro!$B$35)^(Presion_cilindro!$B$17+1)),0),$B$8+(1-$B$8)*(1-EXP(-(Presion_cilindro!N620-$B$15)/Presion_cilindro!$B$23)))</f>
        <v>1</v>
      </c>
      <c r="R621" s="10">
        <f>R620*(Presion_cilindro!O619/Presion_cilindro!O620)^Presion_cilindro!$B$9+10*(Presion_cilindro!$B$9-1)*Presion_cilindro!$B$33*(Q621-Q620)/((Presion_cilindro!O619+Presion_cilindro!O620)/2)</f>
        <v>2.8249822036261225</v>
      </c>
      <c r="S621" s="10">
        <f>R621+IF(AND($B$9=1,Presion_cilindro!N620&gt;$B$15),Presion_cilindro!$B$24*2.5*EXP(-(Presion_cilindro!N620-$B$15)/Presion_cilindro!$B$26)*SIN(2*PI()*(Presion_cilindro!N620-$B$15)/Presion_cilindro!$B$39),0)</f>
        <v>2.8249856596171798</v>
      </c>
      <c r="T621" s="9">
        <f>IF(Presion_cilindro!N620&gt;$B$14,1-EXP(-Presion_cilindro!$B$16*((Presion_cilindro!N620-$B$14)/Presion_cilindro!$B$35)^(Presion_cilindro!$B$17+1)),0)</f>
        <v>1</v>
      </c>
      <c r="U621" s="10">
        <f>U620*(Presion_cilindro!O619/Presion_cilindro!O620)^Presion_cilindro!$B$9+10*(Presion_cilindro!$B$9-1)*Presion_cilindro!$B$33*(T621-T620)/((Presion_cilindro!O619+Presion_cilindro!O620)/2)</f>
        <v>3.3353282365993993</v>
      </c>
    </row>
    <row r="622" spans="14:21" x14ac:dyDescent="0.25">
      <c r="N622" s="8">
        <f>-Presion_cilindro!N621</f>
        <v>-128.5</v>
      </c>
      <c r="O622" s="9">
        <f>IF(Presion_cilindro!N621&gt;$B$12,1-EXP(-Presion_cilindro!$B$16*((Presion_cilindro!N621-$B$12)/Presion_cilindro!$B$35)^(Presion_cilindro!$B$17+1)),0)</f>
        <v>1</v>
      </c>
      <c r="P622" s="10">
        <f>P621*(Presion_cilindro!O620/Presion_cilindro!O621)^Presion_cilindro!$B$9+10*(Presion_cilindro!$B$9-1)*Presion_cilindro!$B$33*(O622-O621)/((Presion_cilindro!O620+Presion_cilindro!O621)/2)</f>
        <v>2.7130875224318309</v>
      </c>
      <c r="Q622" s="9">
        <f>IF(OR($B$9=0,Presion_cilindro!N621&lt;=$B$15),IF(Presion_cilindro!N621&gt;$B$13,1-EXP(-Presion_cilindro!$B$16*((Presion_cilindro!N621-$B$13)/Presion_cilindro!$B$35)^(Presion_cilindro!$B$17+1)),0),$B$8+(1-$B$8)*(1-EXP(-(Presion_cilindro!N621-$B$15)/Presion_cilindro!$B$23)))</f>
        <v>1</v>
      </c>
      <c r="R622" s="10">
        <f>R621*(Presion_cilindro!O620/Presion_cilindro!O621)^Presion_cilindro!$B$9+10*(Presion_cilindro!$B$9-1)*Presion_cilindro!$B$33*(Q622-Q621)/((Presion_cilindro!O620+Presion_cilindro!O621)/2)</f>
        <v>2.8140865880319379</v>
      </c>
      <c r="S622" s="10">
        <f>R622+IF(AND($B$9=1,Presion_cilindro!N621&gt;$B$15),Presion_cilindro!$B$24*2.5*EXP(-(Presion_cilindro!N621-$B$15)/Presion_cilindro!$B$26)*SIN(2*PI()*(Presion_cilindro!N621-$B$15)/Presion_cilindro!$B$39),0)</f>
        <v>2.8140772637604372</v>
      </c>
      <c r="T622" s="9">
        <f>IF(Presion_cilindro!N621&gt;$B$14,1-EXP(-Presion_cilindro!$B$16*((Presion_cilindro!N621-$B$14)/Presion_cilindro!$B$35)^(Presion_cilindro!$B$17+1)),0)</f>
        <v>1</v>
      </c>
      <c r="U622" s="10">
        <f>U621*(Presion_cilindro!O620/Presion_cilindro!O621)^Presion_cilindro!$B$9+10*(Presion_cilindro!$B$9-1)*Presion_cilindro!$B$33*(T622-T621)/((Presion_cilindro!O620+Presion_cilindro!O621)/2)</f>
        <v>3.3224642779168381</v>
      </c>
    </row>
    <row r="623" spans="14:21" x14ac:dyDescent="0.25">
      <c r="N623" s="8">
        <f>-Presion_cilindro!N622</f>
        <v>-129</v>
      </c>
      <c r="O623" s="9">
        <f>IF(Presion_cilindro!N622&gt;$B$12,1-EXP(-Presion_cilindro!$B$16*((Presion_cilindro!N622-$B$12)/Presion_cilindro!$B$35)^(Presion_cilindro!$B$17+1)),0)</f>
        <v>1</v>
      </c>
      <c r="P623" s="10">
        <f>P622*(Presion_cilindro!O621/Presion_cilindro!O622)^Presion_cilindro!$B$9+10*(Presion_cilindro!$B$9-1)*Presion_cilindro!$B$33*(O623-O622)/((Presion_cilindro!O621+Presion_cilindro!O622)/2)</f>
        <v>2.7027500812403153</v>
      </c>
      <c r="Q623" s="9">
        <f>IF(OR($B$9=0,Presion_cilindro!N622&lt;=$B$15),IF(Presion_cilindro!N622&gt;$B$13,1-EXP(-Presion_cilindro!$B$16*((Presion_cilindro!N622-$B$13)/Presion_cilindro!$B$35)^(Presion_cilindro!$B$17+1)),0),$B$8+(1-$B$8)*(1-EXP(-(Presion_cilindro!N622-$B$15)/Presion_cilindro!$B$23)))</f>
        <v>1</v>
      </c>
      <c r="R623" s="10">
        <f>R622*(Presion_cilindro!O621/Presion_cilindro!O622)^Presion_cilindro!$B$9+10*(Presion_cilindro!$B$9-1)*Presion_cilindro!$B$33*(Q623-Q622)/((Presion_cilindro!O621+Presion_cilindro!O622)/2)</f>
        <v>2.803364318893514</v>
      </c>
      <c r="S623" s="10">
        <f>R623+IF(AND($B$9=1,Presion_cilindro!N622&gt;$B$15),Presion_cilindro!$B$24*2.5*EXP(-(Presion_cilindro!N622-$B$15)/Presion_cilindro!$B$26)*SIN(2*PI()*(Presion_cilindro!N622-$B$15)/Presion_cilindro!$B$39),0)</f>
        <v>2.8033611917834889</v>
      </c>
      <c r="T623" s="9">
        <f>IF(Presion_cilindro!N622&gt;$B$14,1-EXP(-Presion_cilindro!$B$16*((Presion_cilindro!N622-$B$14)/Presion_cilindro!$B$35)^(Presion_cilindro!$B$17+1)),0)</f>
        <v>1</v>
      </c>
      <c r="U623" s="10">
        <f>U622*(Presion_cilindro!O621/Presion_cilindro!O622)^Presion_cilindro!$B$9+10*(Presion_cilindro!$B$9-1)*Presion_cilindro!$B$33*(T623-T622)/((Presion_cilindro!O621+Presion_cilindro!O622)/2)</f>
        <v>3.3098049815248469</v>
      </c>
    </row>
    <row r="624" spans="14:21" x14ac:dyDescent="0.25">
      <c r="N624" s="8">
        <f>-Presion_cilindro!N623</f>
        <v>-129.5</v>
      </c>
      <c r="O624" s="9">
        <f>IF(Presion_cilindro!N623&gt;$B$12,1-EXP(-Presion_cilindro!$B$16*((Presion_cilindro!N623-$B$12)/Presion_cilindro!$B$35)^(Presion_cilindro!$B$17+1)),0)</f>
        <v>1</v>
      </c>
      <c r="P624" s="10">
        <f>P623*(Presion_cilindro!O622/Presion_cilindro!O623)^Presion_cilindro!$B$9+10*(Presion_cilindro!$B$9-1)*Presion_cilindro!$B$33*(O624-O623)/((Presion_cilindro!O622+Presion_cilindro!O623)/2)</f>
        <v>2.6925774096224186</v>
      </c>
      <c r="Q624" s="9">
        <f>IF(OR($B$9=0,Presion_cilindro!N623&lt;=$B$15),IF(Presion_cilindro!N623&gt;$B$13,1-EXP(-Presion_cilindro!$B$16*((Presion_cilindro!N623-$B$13)/Presion_cilindro!$B$35)^(Presion_cilindro!$B$17+1)),0),$B$8+(1-$B$8)*(1-EXP(-(Presion_cilindro!N623-$B$15)/Presion_cilindro!$B$23)))</f>
        <v>1</v>
      </c>
      <c r="R624" s="10">
        <f>R623*(Presion_cilindro!O622/Presion_cilindro!O623)^Presion_cilindro!$B$9+10*(Presion_cilindro!$B$9-1)*Presion_cilindro!$B$33*(Q624-Q623)/((Presion_cilindro!O622+Presion_cilindro!O623)/2)</f>
        <v>2.7928129531422474</v>
      </c>
      <c r="S624" s="10">
        <f>R624+IF(AND($B$9=1,Presion_cilindro!N623&gt;$B$15),Presion_cilindro!$B$24*2.5*EXP(-(Presion_cilindro!N623-$B$15)/Presion_cilindro!$B$26)*SIN(2*PI()*(Presion_cilindro!N623-$B$15)/Presion_cilindro!$B$39),0)</f>
        <v>2.7928213900919969</v>
      </c>
      <c r="T624" s="9">
        <f>IF(Presion_cilindro!N623&gt;$B$14,1-EXP(-Presion_cilindro!$B$16*((Presion_cilindro!N623-$B$14)/Presion_cilindro!$B$35)^(Presion_cilindro!$B$17+1)),0)</f>
        <v>1</v>
      </c>
      <c r="U624" s="10">
        <f>U623*(Presion_cilindro!O622/Presion_cilindro!O623)^Presion_cilindro!$B$9+10*(Presion_cilindro!$B$9-1)*Presion_cilindro!$B$33*(T624-T623)/((Presion_cilindro!O622+Presion_cilindro!O623)/2)</f>
        <v>3.2973474630032382</v>
      </c>
    </row>
    <row r="625" spans="14:21" x14ac:dyDescent="0.25">
      <c r="N625" s="8">
        <f>-Presion_cilindro!N624</f>
        <v>-130</v>
      </c>
      <c r="O625" s="9">
        <f>IF(Presion_cilindro!N624&gt;$B$12,1-EXP(-Presion_cilindro!$B$16*((Presion_cilindro!N624-$B$12)/Presion_cilindro!$B$35)^(Presion_cilindro!$B$17+1)),0)</f>
        <v>1</v>
      </c>
      <c r="P625" s="10">
        <f>P624*(Presion_cilindro!O623/Presion_cilindro!O624)^Presion_cilindro!$B$9+10*(Presion_cilindro!$B$9-1)*Presion_cilindro!$B$33*(O625-O624)/((Presion_cilindro!O623+Presion_cilindro!O624)/2)</f>
        <v>2.6825672001216785</v>
      </c>
      <c r="Q625" s="9">
        <f>IF(OR($B$9=0,Presion_cilindro!N624&lt;=$B$15),IF(Presion_cilindro!N624&gt;$B$13,1-EXP(-Presion_cilindro!$B$16*((Presion_cilindro!N624-$B$13)/Presion_cilindro!$B$35)^(Presion_cilindro!$B$17+1)),0),$B$8+(1-$B$8)*(1-EXP(-(Presion_cilindro!N624-$B$15)/Presion_cilindro!$B$23)))</f>
        <v>1</v>
      </c>
      <c r="R625" s="10">
        <f>R624*(Presion_cilindro!O623/Presion_cilindro!O624)^Presion_cilindro!$B$9+10*(Presion_cilindro!$B$9-1)*Presion_cilindro!$B$33*(Q625-Q624)/((Presion_cilindro!O623+Presion_cilindro!O624)/2)</f>
        <v>2.7824300974228811</v>
      </c>
      <c r="S625" s="10">
        <f>R625+IF(AND($B$9=1,Presion_cilindro!N624&gt;$B$15),Presion_cilindro!$B$24*2.5*EXP(-(Presion_cilindro!N624-$B$15)/Presion_cilindro!$B$26)*SIN(2*PI()*(Presion_cilindro!N624-$B$15)/Presion_cilindro!$B$39),0)</f>
        <v>2.782432926949042</v>
      </c>
      <c r="T625" s="9">
        <f>IF(Presion_cilindro!N624&gt;$B$14,1-EXP(-Presion_cilindro!$B$16*((Presion_cilindro!N624-$B$14)/Presion_cilindro!$B$35)^(Presion_cilindro!$B$17+1)),0)</f>
        <v>1</v>
      </c>
      <c r="U625" s="10">
        <f>U624*(Presion_cilindro!O623/Presion_cilindro!O624)^Presion_cilindro!$B$9+10*(Presion_cilindro!$B$9-1)*Presion_cilindro!$B$33*(T625-T624)/((Presion_cilindro!O623+Presion_cilindro!O624)/2)</f>
        <v>3.2850888966261156</v>
      </c>
    </row>
    <row r="626" spans="14:21" x14ac:dyDescent="0.25">
      <c r="N626" s="8">
        <f>-Presion_cilindro!N625</f>
        <v>-130.5</v>
      </c>
      <c r="O626" s="9">
        <f>IF(Presion_cilindro!N625&gt;$B$12,1-EXP(-Presion_cilindro!$B$16*((Presion_cilindro!N625-$B$12)/Presion_cilindro!$B$35)^(Presion_cilindro!$B$17+1)),0)</f>
        <v>1</v>
      </c>
      <c r="P626" s="10">
        <f>P625*(Presion_cilindro!O624/Presion_cilindro!O625)^Presion_cilindro!$B$9+10*(Presion_cilindro!$B$9-1)*Presion_cilindro!$B$33*(O626-O625)/((Presion_cilindro!O624+Presion_cilindro!O625)/2)</f>
        <v>2.6727171922234207</v>
      </c>
      <c r="Q626" s="9">
        <f>IF(OR($B$9=0,Presion_cilindro!N625&lt;=$B$15),IF(Presion_cilindro!N625&gt;$B$13,1-EXP(-Presion_cilindro!$B$16*((Presion_cilindro!N625-$B$13)/Presion_cilindro!$B$35)^(Presion_cilindro!$B$17+1)),0),$B$8+(1-$B$8)*(1-EXP(-(Presion_cilindro!N625-$B$15)/Presion_cilindro!$B$23)))</f>
        <v>1</v>
      </c>
      <c r="R626" s="10">
        <f>R625*(Presion_cilindro!O624/Presion_cilindro!O625)^Presion_cilindro!$B$9+10*(Presion_cilindro!$B$9-1)*Presion_cilindro!$B$33*(Q626-Q625)/((Presion_cilindro!O624+Presion_cilindro!O625)/2)</f>
        <v>2.7722134070694309</v>
      </c>
      <c r="S626" s="10">
        <f>R626+IF(AND($B$9=1,Presion_cilindro!N625&gt;$B$15),Presion_cilindro!$B$24*2.5*EXP(-(Presion_cilindro!N625-$B$15)/Presion_cilindro!$B$26)*SIN(2*PI()*(Presion_cilindro!N625-$B$15)/Presion_cilindro!$B$39),0)</f>
        <v>2.7722057730016032</v>
      </c>
      <c r="T626" s="9">
        <f>IF(Presion_cilindro!N625&gt;$B$14,1-EXP(-Presion_cilindro!$B$16*((Presion_cilindro!N625-$B$14)/Presion_cilindro!$B$35)^(Presion_cilindro!$B$17+1)),0)</f>
        <v>1</v>
      </c>
      <c r="U626" s="10">
        <f>U625*(Presion_cilindro!O624/Presion_cilindro!O625)^Presion_cilindro!$B$9+10*(Presion_cilindro!$B$9-1)*Presion_cilindro!$B$33*(T626-T625)/((Presion_cilindro!O624+Presion_cilindro!O625)/2)</f>
        <v>3.2730265141527974</v>
      </c>
    </row>
    <row r="627" spans="14:21" x14ac:dyDescent="0.25">
      <c r="N627" s="8">
        <f>-Presion_cilindro!N626</f>
        <v>-131</v>
      </c>
      <c r="O627" s="9">
        <f>IF(Presion_cilindro!N626&gt;$B$12,1-EXP(-Presion_cilindro!$B$16*((Presion_cilindro!N626-$B$12)/Presion_cilindro!$B$35)^(Presion_cilindro!$B$17+1)),0)</f>
        <v>1</v>
      </c>
      <c r="P627" s="10">
        <f>P626*(Presion_cilindro!O625/Presion_cilindro!O626)^Presion_cilindro!$B$9+10*(Presion_cilindro!$B$9-1)*Presion_cilindro!$B$33*(O627-O626)/((Presion_cilindro!O625+Presion_cilindro!O626)/2)</f>
        <v>2.6630251713922695</v>
      </c>
      <c r="Q627" s="9">
        <f>IF(OR($B$9=0,Presion_cilindro!N626&lt;=$B$15),IF(Presion_cilindro!N626&gt;$B$13,1-EXP(-Presion_cilindro!$B$16*((Presion_cilindro!N626-$B$13)/Presion_cilindro!$B$35)^(Presion_cilindro!$B$17+1)),0),$B$8+(1-$B$8)*(1-EXP(-(Presion_cilindro!N626-$B$15)/Presion_cilindro!$B$23)))</f>
        <v>1</v>
      </c>
      <c r="R627" s="10">
        <f>R626*(Presion_cilindro!O625/Presion_cilindro!O626)^Presion_cilindro!$B$9+10*(Presion_cilindro!$B$9-1)*Presion_cilindro!$B$33*(Q627-Q626)/((Presion_cilindro!O625+Presion_cilindro!O626)/2)</f>
        <v>2.762160585106864</v>
      </c>
      <c r="S627" s="10">
        <f>R627+IF(AND($B$9=1,Presion_cilindro!N626&gt;$B$15),Presion_cilindro!$B$24*2.5*EXP(-(Presion_cilindro!N626-$B$15)/Presion_cilindro!$B$26)*SIN(2*PI()*(Presion_cilindro!N626-$B$15)/Presion_cilindro!$B$39),0)</f>
        <v>2.7621580248457183</v>
      </c>
      <c r="T627" s="9">
        <f>IF(Presion_cilindro!N626&gt;$B$14,1-EXP(-Presion_cilindro!$B$16*((Presion_cilindro!N626-$B$14)/Presion_cilindro!$B$35)^(Presion_cilindro!$B$17+1)),0)</f>
        <v>1</v>
      </c>
      <c r="U627" s="10">
        <f>U626*(Presion_cilindro!O625/Presion_cilindro!O626)^Presion_cilindro!$B$9+10*(Presion_cilindro!$B$9-1)*Presion_cilindro!$B$33*(T627-T626)/((Presion_cilindro!O625+Presion_cilindro!O626)/2)</f>
        <v>3.261157603649143</v>
      </c>
    </row>
    <row r="628" spans="14:21" x14ac:dyDescent="0.25">
      <c r="N628" s="8">
        <f>-Presion_cilindro!N627</f>
        <v>-131.5</v>
      </c>
      <c r="O628" s="9">
        <f>IF(Presion_cilindro!N627&gt;$B$12,1-EXP(-Presion_cilindro!$B$16*((Presion_cilindro!N627-$B$12)/Presion_cilindro!$B$35)^(Presion_cilindro!$B$17+1)),0)</f>
        <v>1</v>
      </c>
      <c r="P628" s="10">
        <f>P627*(Presion_cilindro!O626/Presion_cilindro!O627)^Presion_cilindro!$B$9+10*(Presion_cilindro!$B$9-1)*Presion_cilindro!$B$33*(O628-O627)/((Presion_cilindro!O626+Presion_cilindro!O627)/2)</f>
        <v>2.6534889681338067</v>
      </c>
      <c r="Q628" s="9">
        <f>IF(OR($B$9=0,Presion_cilindro!N627&lt;=$B$15),IF(Presion_cilindro!N627&gt;$B$13,1-EXP(-Presion_cilindro!$B$16*((Presion_cilindro!N627-$B$13)/Presion_cilindro!$B$35)^(Presion_cilindro!$B$17+1)),0),$B$8+(1-$B$8)*(1-EXP(-(Presion_cilindro!N627-$B$15)/Presion_cilindro!$B$23)))</f>
        <v>1</v>
      </c>
      <c r="R628" s="10">
        <f>R627*(Presion_cilindro!O626/Presion_cilindro!O627)^Presion_cilindro!$B$9+10*(Presion_cilindro!$B$9-1)*Presion_cilindro!$B$33*(Q628-Q627)/((Presion_cilindro!O626+Presion_cilindro!O627)/2)</f>
        <v>2.7522693812778285</v>
      </c>
      <c r="S628" s="10">
        <f>R628+IF(AND($B$9=1,Presion_cilindro!N627&gt;$B$15),Presion_cilindro!$B$24*2.5*EXP(-(Presion_cilindro!N627-$B$15)/Presion_cilindro!$B$26)*SIN(2*PI()*(Presion_cilindro!N627-$B$15)/Presion_cilindro!$B$39),0)</f>
        <v>2.7522762888680505</v>
      </c>
      <c r="T628" s="9">
        <f>IF(Presion_cilindro!N627&gt;$B$14,1-EXP(-Presion_cilindro!$B$16*((Presion_cilindro!N627-$B$14)/Presion_cilindro!$B$35)^(Presion_cilindro!$B$17+1)),0)</f>
        <v>1</v>
      </c>
      <c r="U628" s="10">
        <f>U627*(Presion_cilindro!O626/Presion_cilindro!O627)^Presion_cilindro!$B$9+10*(Presion_cilindro!$B$9-1)*Presion_cilindro!$B$33*(T628-T627)/((Presion_cilindro!O626+Presion_cilindro!O627)/2)</f>
        <v>3.2494795083384553</v>
      </c>
    </row>
    <row r="629" spans="14:21" x14ac:dyDescent="0.25">
      <c r="N629" s="8">
        <f>-Presion_cilindro!N628</f>
        <v>-132</v>
      </c>
      <c r="O629" s="9">
        <f>IF(Presion_cilindro!N628&gt;$B$12,1-EXP(-Presion_cilindro!$B$16*((Presion_cilindro!N628-$B$12)/Presion_cilindro!$B$35)^(Presion_cilindro!$B$17+1)),0)</f>
        <v>1</v>
      </c>
      <c r="P629" s="10">
        <f>P628*(Presion_cilindro!O627/Presion_cilindro!O628)^Presion_cilindro!$B$9+10*(Presion_cilindro!$B$9-1)*Presion_cilindro!$B$33*(O629-O628)/((Presion_cilindro!O627+Presion_cilindro!O628)/2)</f>
        <v>2.6441064570797912</v>
      </c>
      <c r="Q629" s="9">
        <f>IF(OR($B$9=0,Presion_cilindro!N628&lt;=$B$15),IF(Presion_cilindro!N628&gt;$B$13,1-EXP(-Presion_cilindro!$B$16*((Presion_cilindro!N628-$B$13)/Presion_cilindro!$B$35)^(Presion_cilindro!$B$17+1)),0),$B$8+(1-$B$8)*(1-EXP(-(Presion_cilindro!N628-$B$15)/Presion_cilindro!$B$23)))</f>
        <v>1</v>
      </c>
      <c r="R629" s="10">
        <f>R628*(Presion_cilindro!O627/Presion_cilindro!O628)^Presion_cilindro!$B$9+10*(Presion_cilindro!$B$9-1)*Presion_cilindro!$B$33*(Q629-Q628)/((Presion_cilindro!O627+Presion_cilindro!O628)/2)</f>
        <v>2.7425375910938166</v>
      </c>
      <c r="S629" s="10">
        <f>R629+IF(AND($B$9=1,Presion_cilindro!N628&gt;$B$15),Presion_cilindro!$B$24*2.5*EXP(-(Presion_cilindro!N628-$B$15)/Presion_cilindro!$B$26)*SIN(2*PI()*(Presion_cilindro!N628-$B$15)/Presion_cilindro!$B$39),0)</f>
        <v>2.7425399077139012</v>
      </c>
      <c r="T629" s="9">
        <f>IF(Presion_cilindro!N628&gt;$B$14,1-EXP(-Presion_cilindro!$B$16*((Presion_cilindro!N628-$B$14)/Presion_cilindro!$B$35)^(Presion_cilindro!$B$17+1)),0)</f>
        <v>1</v>
      </c>
      <c r="U629" s="10">
        <f>U628*(Presion_cilindro!O627/Presion_cilindro!O628)^Presion_cilindro!$B$9+10*(Presion_cilindro!$B$9-1)*Presion_cilindro!$B$33*(T629-T628)/((Presion_cilindro!O627+Presion_cilindro!O628)/2)</f>
        <v>3.2379896254812355</v>
      </c>
    </row>
    <row r="630" spans="14:21" x14ac:dyDescent="0.25">
      <c r="N630" s="8">
        <f>-Presion_cilindro!N629</f>
        <v>-132.5</v>
      </c>
      <c r="O630" s="9">
        <f>IF(Presion_cilindro!N629&gt;$B$12,1-EXP(-Presion_cilindro!$B$16*((Presion_cilindro!N629-$B$12)/Presion_cilindro!$B$35)^(Presion_cilindro!$B$17+1)),0)</f>
        <v>1</v>
      </c>
      <c r="P630" s="10">
        <f>P629*(Presion_cilindro!O628/Presion_cilindro!O629)^Presion_cilindro!$B$9+10*(Presion_cilindro!$B$9-1)*Presion_cilindro!$B$33*(O630-O629)/((Presion_cilindro!O628+Presion_cilindro!O629)/2)</f>
        <v>2.6348755560962585</v>
      </c>
      <c r="Q630" s="9">
        <f>IF(OR($B$9=0,Presion_cilindro!N629&lt;=$B$15),IF(Presion_cilindro!N629&gt;$B$13,1-EXP(-Presion_cilindro!$B$16*((Presion_cilindro!N629-$B$13)/Presion_cilindro!$B$35)^(Presion_cilindro!$B$17+1)),0),$B$8+(1-$B$8)*(1-EXP(-(Presion_cilindro!N629-$B$15)/Presion_cilindro!$B$23)))</f>
        <v>1</v>
      </c>
      <c r="R630" s="10">
        <f>R629*(Presion_cilindro!O628/Presion_cilindro!O629)^Presion_cilindro!$B$9+10*(Presion_cilindro!$B$9-1)*Presion_cilindro!$B$33*(Q630-Q629)/((Presion_cilindro!O628+Presion_cilindro!O629)/2)</f>
        <v>2.7329630549100643</v>
      </c>
      <c r="S630" s="10">
        <f>R630+IF(AND($B$9=1,Presion_cilindro!N629&gt;$B$15),Presion_cilindro!$B$24*2.5*EXP(-(Presion_cilindro!N629-$B$15)/Presion_cilindro!$B$26)*SIN(2*PI()*(Presion_cilindro!N629-$B$15)/Presion_cilindro!$B$39),0)</f>
        <v>2.7329568046639627</v>
      </c>
      <c r="T630" s="9">
        <f>IF(Presion_cilindro!N629&gt;$B$14,1-EXP(-Presion_cilindro!$B$16*((Presion_cilindro!N629-$B$14)/Presion_cilindro!$B$35)^(Presion_cilindro!$B$17+1)),0)</f>
        <v>1</v>
      </c>
      <c r="U630" s="10">
        <f>U629*(Presion_cilindro!O628/Presion_cilindro!O629)^Presion_cilindro!$B$9+10*(Presion_cilindro!$B$9-1)*Presion_cilindro!$B$33*(T630-T629)/((Presion_cilindro!O628+Presion_cilindro!O629)/2)</f>
        <v>3.2266854052829559</v>
      </c>
    </row>
    <row r="631" spans="14:21" x14ac:dyDescent="0.25">
      <c r="N631" s="8">
        <f>-Presion_cilindro!N630</f>
        <v>-133</v>
      </c>
      <c r="O631" s="9">
        <f>IF(Presion_cilindro!N630&gt;$B$12,1-EXP(-Presion_cilindro!$B$16*((Presion_cilindro!N630-$B$12)/Presion_cilindro!$B$35)^(Presion_cilindro!$B$17+1)),0)</f>
        <v>1</v>
      </c>
      <c r="P631" s="10">
        <f>P630*(Presion_cilindro!O629/Presion_cilindro!O630)^Presion_cilindro!$B$9+10*(Presion_cilindro!$B$9-1)*Presion_cilindro!$B$33*(O631-O630)/((Presion_cilindro!O629+Presion_cilindro!O630)/2)</f>
        <v>2.6257942254139714</v>
      </c>
      <c r="Q631" s="9">
        <f>IF(OR($B$9=0,Presion_cilindro!N630&lt;=$B$15),IF(Presion_cilindro!N630&gt;$B$13,1-EXP(-Presion_cilindro!$B$16*((Presion_cilindro!N630-$B$13)/Presion_cilindro!$B$35)^(Presion_cilindro!$B$17+1)),0),$B$8+(1-$B$8)*(1-EXP(-(Presion_cilindro!N630-$B$15)/Presion_cilindro!$B$23)))</f>
        <v>1</v>
      </c>
      <c r="R631" s="10">
        <f>R630*(Presion_cilindro!O629/Presion_cilindro!O630)^Presion_cilindro!$B$9+10*(Presion_cilindro!$B$9-1)*Presion_cilindro!$B$33*(Q631-Q630)/((Presion_cilindro!O629+Presion_cilindro!O630)/2)</f>
        <v>2.7235436570236295</v>
      </c>
      <c r="S631" s="10">
        <f>R631+IF(AND($B$9=1,Presion_cilindro!N630&gt;$B$15),Presion_cilindro!$B$24*2.5*EXP(-(Presion_cilindro!N630-$B$15)/Presion_cilindro!$B$26)*SIN(2*PI()*(Presion_cilindro!N630-$B$15)/Presion_cilindro!$B$39),0)</f>
        <v>2.7235415608590934</v>
      </c>
      <c r="T631" s="9">
        <f>IF(Presion_cilindro!N630&gt;$B$14,1-EXP(-Presion_cilindro!$B$16*((Presion_cilindro!N630-$B$14)/Presion_cilindro!$B$35)^(Presion_cilindro!$B$17+1)),0)</f>
        <v>1</v>
      </c>
      <c r="U631" s="10">
        <f>U630*(Presion_cilindro!O629/Presion_cilindro!O630)^Presion_cilindro!$B$9+10*(Presion_cilindro!$B$9-1)*Presion_cilindro!$B$33*(T631-T630)/((Presion_cilindro!O629+Presion_cilindro!O630)/2)</f>
        <v>3.215564349829203</v>
      </c>
    </row>
    <row r="632" spans="14:21" x14ac:dyDescent="0.25">
      <c r="N632" s="8">
        <f>-Presion_cilindro!N631</f>
        <v>-133.5</v>
      </c>
      <c r="O632" s="9">
        <f>IF(Presion_cilindro!N631&gt;$B$12,1-EXP(-Presion_cilindro!$B$16*((Presion_cilindro!N631-$B$12)/Presion_cilindro!$B$35)^(Presion_cilindro!$B$17+1)),0)</f>
        <v>1</v>
      </c>
      <c r="P632" s="10">
        <f>P631*(Presion_cilindro!O630/Presion_cilindro!O631)^Presion_cilindro!$B$9+10*(Presion_cilindro!$B$9-1)*Presion_cilindro!$B$33*(O632-O631)/((Presion_cilindro!O630+Presion_cilindro!O631)/2)</f>
        <v>2.6168604667805795</v>
      </c>
      <c r="Q632" s="9">
        <f>IF(OR($B$9=0,Presion_cilindro!N631&lt;=$B$15),IF(Presion_cilindro!N631&gt;$B$13,1-EXP(-Presion_cilindro!$B$16*((Presion_cilindro!N631-$B$13)/Presion_cilindro!$B$35)^(Presion_cilindro!$B$17+1)),0),$B$8+(1-$B$8)*(1-EXP(-(Presion_cilindro!N631-$B$15)/Presion_cilindro!$B$23)))</f>
        <v>1</v>
      </c>
      <c r="R632" s="10">
        <f>R631*(Presion_cilindro!O630/Presion_cilindro!O631)^Presion_cilindro!$B$9+10*(Presion_cilindro!$B$9-1)*Presion_cilindro!$B$33*(Q632-Q631)/((Presion_cilindro!O630+Presion_cilindro!O631)/2)</f>
        <v>2.71427732479399</v>
      </c>
      <c r="S632" s="10">
        <f>R632+IF(AND($B$9=1,Presion_cilindro!N631&gt;$B$15),Presion_cilindro!$B$24*2.5*EXP(-(Presion_cilindro!N631-$B$15)/Presion_cilindro!$B$26)*SIN(2*PI()*(Presion_cilindro!N631-$B$15)/Presion_cilindro!$B$39),0)</f>
        <v>2.7142829802505344</v>
      </c>
      <c r="T632" s="9">
        <f>IF(Presion_cilindro!N631&gt;$B$14,1-EXP(-Presion_cilindro!$B$16*((Presion_cilindro!N631-$B$14)/Presion_cilindro!$B$35)^(Presion_cilindro!$B$17+1)),0)</f>
        <v>1</v>
      </c>
      <c r="U632" s="10">
        <f>U631*(Presion_cilindro!O630/Presion_cilindro!O631)^Presion_cilindro!$B$9+10*(Presion_cilindro!$B$9-1)*Presion_cilindro!$B$33*(T632-T631)/((Presion_cilindro!O630+Presion_cilindro!O631)/2)</f>
        <v>3.2046240120474083</v>
      </c>
    </row>
    <row r="633" spans="14:21" x14ac:dyDescent="0.25">
      <c r="N633" s="8">
        <f>-Presion_cilindro!N632</f>
        <v>-134</v>
      </c>
      <c r="O633" s="9">
        <f>IF(Presion_cilindro!N632&gt;$B$12,1-EXP(-Presion_cilindro!$B$16*((Presion_cilindro!N632-$B$12)/Presion_cilindro!$B$35)^(Presion_cilindro!$B$17+1)),0)</f>
        <v>1</v>
      </c>
      <c r="P633" s="10">
        <f>P632*(Presion_cilindro!O631/Presion_cilindro!O632)^Presion_cilindro!$B$9+10*(Presion_cilindro!$B$9-1)*Presion_cilindro!$B$33*(O633-O632)/((Presion_cilindro!O631+Presion_cilindro!O632)/2)</f>
        <v>2.6080723226339702</v>
      </c>
      <c r="Q633" s="9">
        <f>IF(OR($B$9=0,Presion_cilindro!N632&lt;=$B$15),IF(Presion_cilindro!N632&gt;$B$13,1-EXP(-Presion_cilindro!$B$16*((Presion_cilindro!N632-$B$13)/Presion_cilindro!$B$35)^(Presion_cilindro!$B$17+1)),0),$B$8+(1-$B$8)*(1-EXP(-(Presion_cilindro!N632-$B$15)/Presion_cilindro!$B$23)))</f>
        <v>1</v>
      </c>
      <c r="R633" s="10">
        <f>R632*(Presion_cilindro!O631/Presion_cilindro!O632)^Presion_cilindro!$B$9+10*(Presion_cilindro!$B$9-1)*Presion_cilindro!$B$33*(Q633-Q632)/((Presion_cilindro!O631+Presion_cilindro!O632)/2)</f>
        <v>2.7051620277856219</v>
      </c>
      <c r="S633" s="10">
        <f>R633+IF(AND($B$9=1,Presion_cilindro!N632&gt;$B$15),Presion_cilindro!$B$24*2.5*EXP(-(Presion_cilindro!N632-$B$15)/Presion_cilindro!$B$26)*SIN(2*PI()*(Presion_cilindro!N632-$B$15)/Presion_cilindro!$B$39),0)</f>
        <v>2.7051639244737284</v>
      </c>
      <c r="T633" s="9">
        <f>IF(Presion_cilindro!N632&gt;$B$14,1-EXP(-Presion_cilindro!$B$16*((Presion_cilindro!N632-$B$14)/Presion_cilindro!$B$35)^(Presion_cilindro!$B$17+1)),0)</f>
        <v>1</v>
      </c>
      <c r="U633" s="10">
        <f>U632*(Presion_cilindro!O631/Presion_cilindro!O632)^Presion_cilindro!$B$9+10*(Presion_cilindro!$B$9-1)*Presion_cilindro!$B$33*(T633-T632)/((Presion_cilindro!O631+Presion_cilindro!O632)/2)</f>
        <v>3.1938619946945286</v>
      </c>
    </row>
    <row r="634" spans="14:21" x14ac:dyDescent="0.25">
      <c r="N634" s="8">
        <f>-Presion_cilindro!N633</f>
        <v>-134.5</v>
      </c>
      <c r="O634" s="9">
        <f>IF(Presion_cilindro!N633&gt;$B$12,1-EXP(-Presion_cilindro!$B$16*((Presion_cilindro!N633-$B$12)/Presion_cilindro!$B$35)^(Presion_cilindro!$B$17+1)),0)</f>
        <v>1</v>
      </c>
      <c r="P634" s="10">
        <f>P633*(Presion_cilindro!O632/Presion_cilindro!O633)^Presion_cilindro!$B$9+10*(Presion_cilindro!$B$9-1)*Presion_cilindro!$B$33*(O634-O633)/((Presion_cilindro!O632+Presion_cilindro!O633)/2)</f>
        <v>2.5994278752962376</v>
      </c>
      <c r="Q634" s="9">
        <f>IF(OR($B$9=0,Presion_cilindro!N633&lt;=$B$15),IF(Presion_cilindro!N633&gt;$B$13,1-EXP(-Presion_cilindro!$B$16*((Presion_cilindro!N633-$B$13)/Presion_cilindro!$B$35)^(Presion_cilindro!$B$17+1)),0),$B$8+(1-$B$8)*(1-EXP(-(Presion_cilindro!N633-$B$15)/Presion_cilindro!$B$23)))</f>
        <v>1</v>
      </c>
      <c r="R634" s="10">
        <f>R633*(Presion_cilindro!O632/Presion_cilindro!O633)^Presion_cilindro!$B$9+10*(Presion_cilindro!$B$9-1)*Presion_cilindro!$B$33*(Q634-Q633)/((Presion_cilindro!O632+Presion_cilindro!O633)/2)</f>
        <v>2.6961957769319609</v>
      </c>
      <c r="S634" s="10">
        <f>R634+IF(AND($B$9=1,Presion_cilindro!N633&gt;$B$15),Presion_cilindro!$B$24*2.5*EXP(-(Presion_cilindro!N633-$B$15)/Presion_cilindro!$B$26)*SIN(2*PI()*(Presion_cilindro!N633-$B$15)/Presion_cilindro!$B$39),0)</f>
        <v>2.6961906596632632</v>
      </c>
      <c r="T634" s="9">
        <f>IF(Presion_cilindro!N633&gt;$B$14,1-EXP(-Presion_cilindro!$B$16*((Presion_cilindro!N633-$B$14)/Presion_cilindro!$B$35)^(Presion_cilindro!$B$17+1)),0)</f>
        <v>1</v>
      </c>
      <c r="U634" s="10">
        <f>U633*(Presion_cilindro!O632/Presion_cilindro!O633)^Presion_cilindro!$B$9+10*(Presion_cilindro!$B$9-1)*Presion_cilindro!$B$33*(T634-T633)/((Presion_cilindro!O632+Presion_cilindro!O633)/2)</f>
        <v>3.1832759493699729</v>
      </c>
    </row>
    <row r="635" spans="14:21" x14ac:dyDescent="0.25">
      <c r="N635" s="8">
        <f>-Presion_cilindro!N634</f>
        <v>-135</v>
      </c>
      <c r="O635" s="9">
        <f>IF(Presion_cilindro!N634&gt;$B$12,1-EXP(-Presion_cilindro!$B$16*((Presion_cilindro!N634-$B$12)/Presion_cilindro!$B$35)^(Presion_cilindro!$B$17+1)),0)</f>
        <v>1</v>
      </c>
      <c r="P635" s="10">
        <f>P634*(Presion_cilindro!O633/Presion_cilindro!O634)^Presion_cilindro!$B$9+10*(Presion_cilindro!$B$9-1)*Presion_cilindro!$B$33*(O635-O634)/((Presion_cilindro!O633+Presion_cilindro!O634)/2)</f>
        <v>2.5909252461877403</v>
      </c>
      <c r="Q635" s="9">
        <f>IF(OR($B$9=0,Presion_cilindro!N634&lt;=$B$15),IF(Presion_cilindro!N634&gt;$B$13,1-EXP(-Presion_cilindro!$B$16*((Presion_cilindro!N634-$B$13)/Presion_cilindro!$B$35)^(Presion_cilindro!$B$17+1)),0),$B$8+(1-$B$8)*(1-EXP(-(Presion_cilindro!N634-$B$15)/Presion_cilindro!$B$23)))</f>
        <v>1</v>
      </c>
      <c r="R635" s="10">
        <f>R634*(Presion_cilindro!O633/Presion_cilindro!O634)^Presion_cilindro!$B$9+10*(Presion_cilindro!$B$9-1)*Presion_cilindro!$B$33*(Q635-Q634)/((Presion_cilindro!O633+Presion_cilindro!O634)/2)</f>
        <v>2.6873766237202039</v>
      </c>
      <c r="S635" s="10">
        <f>R635+IF(AND($B$9=1,Presion_cilindro!N634&gt;$B$15),Presion_cilindro!$B$24*2.5*EXP(-(Presion_cilindro!N634-$B$15)/Presion_cilindro!$B$26)*SIN(2*PI()*(Presion_cilindro!N634-$B$15)/Presion_cilindro!$B$39),0)</f>
        <v>2.6873749075258346</v>
      </c>
      <c r="T635" s="9">
        <f>IF(Presion_cilindro!N634&gt;$B$14,1-EXP(-Presion_cilindro!$B$16*((Presion_cilindro!N634-$B$14)/Presion_cilindro!$B$35)^(Presion_cilindro!$B$17+1)),0)</f>
        <v>1</v>
      </c>
      <c r="U635" s="10">
        <f>U634*(Presion_cilindro!O633/Presion_cilindro!O634)^Presion_cilindro!$B$9+10*(Presion_cilindro!$B$9-1)*Presion_cilindro!$B$33*(T635-T634)/((Presion_cilindro!O633+Presion_cilindro!O634)/2)</f>
        <v>3.1728635755531354</v>
      </c>
    </row>
    <row r="636" spans="14:21" x14ac:dyDescent="0.25">
      <c r="N636" s="8">
        <f>-Presion_cilindro!N635</f>
        <v>-135.5</v>
      </c>
      <c r="O636" s="9">
        <f>IF(Presion_cilindro!N635&gt;$B$12,1-EXP(-Presion_cilindro!$B$16*((Presion_cilindro!N635-$B$12)/Presion_cilindro!$B$35)^(Presion_cilindro!$B$17+1)),0)</f>
        <v>1</v>
      </c>
      <c r="P636" s="10">
        <f>P635*(Presion_cilindro!O634/Presion_cilindro!O635)^Presion_cilindro!$B$9+10*(Presion_cilindro!$B$9-1)*Presion_cilindro!$B$33*(O636-O635)/((Presion_cilindro!O634+Presion_cilindro!O635)/2)</f>
        <v>2.5825625950607507</v>
      </c>
      <c r="Q636" s="9">
        <f>IF(OR($B$9=0,Presion_cilindro!N635&lt;=$B$15),IF(Presion_cilindro!N635&gt;$B$13,1-EXP(-Presion_cilindro!$B$16*((Presion_cilindro!N635-$B$13)/Presion_cilindro!$B$35)^(Presion_cilindro!$B$17+1)),0),$B$8+(1-$B$8)*(1-EXP(-(Presion_cilindro!N635-$B$15)/Presion_cilindro!$B$23)))</f>
        <v>1</v>
      </c>
      <c r="R636" s="10">
        <f>R635*(Presion_cilindro!O634/Presion_cilindro!O635)^Presion_cilindro!$B$9+10*(Presion_cilindro!$B$9-1)*Presion_cilindro!$B$33*(Q636-Q635)/((Presion_cilindro!O634+Presion_cilindro!O635)/2)</f>
        <v>2.6787026593964294</v>
      </c>
      <c r="S636" s="10">
        <f>R636+IF(AND($B$9=1,Presion_cilindro!N635&gt;$B$15),Presion_cilindro!$B$24*2.5*EXP(-(Presion_cilindro!N635-$B$15)/Presion_cilindro!$B$26)*SIN(2*PI()*(Presion_cilindro!N635-$B$15)/Presion_cilindro!$B$39),0)</f>
        <v>2.6787072896926252</v>
      </c>
      <c r="T636" s="9">
        <f>IF(Presion_cilindro!N635&gt;$B$14,1-EXP(-Presion_cilindro!$B$16*((Presion_cilindro!N635-$B$14)/Presion_cilindro!$B$35)^(Presion_cilindro!$B$17+1)),0)</f>
        <v>1</v>
      </c>
      <c r="U636" s="10">
        <f>U635*(Presion_cilindro!O634/Presion_cilindro!O635)^Presion_cilindro!$B$9+10*(Presion_cilindro!$B$9-1)*Presion_cilindro!$B$33*(T636-T635)/((Presion_cilindro!O634+Presion_cilindro!O635)/2)</f>
        <v>3.1626226196649152</v>
      </c>
    </row>
    <row r="637" spans="14:21" x14ac:dyDescent="0.25">
      <c r="N637" s="8">
        <f>-Presion_cilindro!N636</f>
        <v>-136</v>
      </c>
      <c r="O637" s="9">
        <f>IF(Presion_cilindro!N636&gt;$B$12,1-EXP(-Presion_cilindro!$B$16*((Presion_cilindro!N636-$B$12)/Presion_cilindro!$B$35)^(Presion_cilindro!$B$17+1)),0)</f>
        <v>1</v>
      </c>
      <c r="P637" s="10">
        <f>P636*(Presion_cilindro!O635/Presion_cilindro!O636)^Presion_cilindro!$B$9+10*(Presion_cilindro!$B$9-1)*Presion_cilindro!$B$33*(O637-O636)/((Presion_cilindro!O635+Presion_cilindro!O636)/2)</f>
        <v>2.5743381192521637</v>
      </c>
      <c r="Q637" s="9">
        <f>IF(OR($B$9=0,Presion_cilindro!N636&lt;=$B$15),IF(Presion_cilindro!N636&gt;$B$13,1-EXP(-Presion_cilindro!$B$16*((Presion_cilindro!N636-$B$13)/Presion_cilindro!$B$35)^(Presion_cilindro!$B$17+1)),0),$B$8+(1-$B$8)*(1-EXP(-(Presion_cilindro!N636-$B$15)/Presion_cilindro!$B$23)))</f>
        <v>1</v>
      </c>
      <c r="R637" s="10">
        <f>R636*(Presion_cilindro!O635/Presion_cilindro!O636)^Presion_cilindro!$B$9+10*(Presion_cilindro!$B$9-1)*Presion_cilindro!$B$33*(Q637-Q636)/((Presion_cilindro!O635+Presion_cilindro!O636)/2)</f>
        <v>2.6701720141904861</v>
      </c>
      <c r="S637" s="10">
        <f>R637+IF(AND($B$9=1,Presion_cilindro!N636&gt;$B$15),Presion_cilindro!$B$24*2.5*EXP(-(Presion_cilindro!N636-$B$15)/Presion_cilindro!$B$26)*SIN(2*PI()*(Presion_cilindro!N636-$B$15)/Presion_cilindro!$B$39),0)</f>
        <v>2.6701735670673679</v>
      </c>
      <c r="T637" s="9">
        <f>IF(Presion_cilindro!N636&gt;$B$14,1-EXP(-Presion_cilindro!$B$16*((Presion_cilindro!N636-$B$14)/Presion_cilindro!$B$35)^(Presion_cilindro!$B$17+1)),0)</f>
        <v>1</v>
      </c>
      <c r="U637" s="10">
        <f>U636*(Presion_cilindro!O635/Presion_cilindro!O636)^Presion_cilindro!$B$9+10*(Presion_cilindro!$B$9-1)*Presion_cilindro!$B$33*(T637-T636)/((Presion_cilindro!O635+Presion_cilindro!O636)/2)</f>
        <v>3.1525508741525816</v>
      </c>
    </row>
    <row r="638" spans="14:21" x14ac:dyDescent="0.25">
      <c r="N638" s="8">
        <f>-Presion_cilindro!N637</f>
        <v>-136.5</v>
      </c>
      <c r="O638" s="9">
        <f>IF(Presion_cilindro!N637&gt;$B$12,1-EXP(-Presion_cilindro!$B$16*((Presion_cilindro!N637-$B$12)/Presion_cilindro!$B$35)^(Presion_cilindro!$B$17+1)),0)</f>
        <v>1</v>
      </c>
      <c r="P638" s="10">
        <f>P637*(Presion_cilindro!O636/Presion_cilindro!O637)^Presion_cilindro!$B$9+10*(Presion_cilindro!$B$9-1)*Presion_cilindro!$B$33*(O638-O637)/((Presion_cilindro!O636+Presion_cilindro!O637)/2)</f>
        <v>2.5662500529548127</v>
      </c>
      <c r="Q638" s="9">
        <f>IF(OR($B$9=0,Presion_cilindro!N637&lt;=$B$15),IF(Presion_cilindro!N637&gt;$B$13,1-EXP(-Presion_cilindro!$B$16*((Presion_cilindro!N637-$B$13)/Presion_cilindro!$B$35)^(Presion_cilindro!$B$17+1)),0),$B$8+(1-$B$8)*(1-EXP(-(Presion_cilindro!N637-$B$15)/Presion_cilindro!$B$23)))</f>
        <v>1</v>
      </c>
      <c r="R638" s="10">
        <f>R637*(Presion_cilindro!O636/Presion_cilindro!O637)^Presion_cilindro!$B$9+10*(Presion_cilindro!$B$9-1)*Presion_cilindro!$B$33*(Q638-Q637)/((Presion_cilindro!O636+Presion_cilindro!O637)/2)</f>
        <v>2.6617828565601829</v>
      </c>
      <c r="S638" s="10">
        <f>R638+IF(AND($B$9=1,Presion_cilindro!N637&gt;$B$15),Presion_cilindro!$B$24*2.5*EXP(-(Presion_cilindro!N637-$B$15)/Presion_cilindro!$B$26)*SIN(2*PI()*(Presion_cilindro!N637-$B$15)/Presion_cilindro!$B$39),0)</f>
        <v>2.6617786668949281</v>
      </c>
      <c r="T638" s="9">
        <f>IF(Presion_cilindro!N637&gt;$B$14,1-EXP(-Presion_cilindro!$B$16*((Presion_cilindro!N637-$B$14)/Presion_cilindro!$B$35)^(Presion_cilindro!$B$17+1)),0)</f>
        <v>1</v>
      </c>
      <c r="U638" s="10">
        <f>U637*(Presion_cilindro!O636/Presion_cilindro!O637)^Presion_cilindro!$B$9+10*(Presion_cilindro!$B$9-1)*Presion_cilindro!$B$33*(T638-T637)/((Presion_cilindro!O636+Presion_cilindro!O637)/2)</f>
        <v>3.142646176597419</v>
      </c>
    </row>
    <row r="639" spans="14:21" x14ac:dyDescent="0.25">
      <c r="N639" s="8">
        <f>-Presion_cilindro!N638</f>
        <v>-137</v>
      </c>
      <c r="O639" s="9">
        <f>IF(Presion_cilindro!N638&gt;$B$12,1-EXP(-Presion_cilindro!$B$16*((Presion_cilindro!N638-$B$12)/Presion_cilindro!$B$35)^(Presion_cilindro!$B$17+1)),0)</f>
        <v>1</v>
      </c>
      <c r="P639" s="10">
        <f>P638*(Presion_cilindro!O637/Presion_cilindro!O638)^Presion_cilindro!$B$9+10*(Presion_cilindro!$B$9-1)*Presion_cilindro!$B$33*(O639-O638)/((Presion_cilindro!O637+Presion_cilindro!O638)/2)</f>
        <v>2.558296666506902</v>
      </c>
      <c r="Q639" s="9">
        <f>IF(OR($B$9=0,Presion_cilindro!N638&lt;=$B$15),IF(Presion_cilindro!N638&gt;$B$13,1-EXP(-Presion_cilindro!$B$16*((Presion_cilindro!N638-$B$13)/Presion_cilindro!$B$35)^(Presion_cilindro!$B$17+1)),0),$B$8+(1-$B$8)*(1-EXP(-(Presion_cilindro!N638-$B$15)/Presion_cilindro!$B$23)))</f>
        <v>1</v>
      </c>
      <c r="R639" s="10">
        <f>R638*(Presion_cilindro!O637/Presion_cilindro!O638)^Presion_cilindro!$B$9+10*(Presion_cilindro!$B$9-1)*Presion_cilindro!$B$33*(Q639-Q638)/((Presion_cilindro!O637+Presion_cilindro!O638)/2)</f>
        <v>2.6535333924542703</v>
      </c>
      <c r="S639" s="10">
        <f>R639+IF(AND($B$9=1,Presion_cilindro!N638&gt;$B$15),Presion_cilindro!$B$24*2.5*EXP(-(Presion_cilindro!N638-$B$15)/Presion_cilindro!$B$26)*SIN(2*PI()*(Presion_cilindro!N638-$B$15)/Presion_cilindro!$B$39),0)</f>
        <v>2.653531987353162</v>
      </c>
      <c r="T639" s="9">
        <f>IF(Presion_cilindro!N638&gt;$B$14,1-EXP(-Presion_cilindro!$B$16*((Presion_cilindro!N638-$B$14)/Presion_cilindro!$B$35)^(Presion_cilindro!$B$17+1)),0)</f>
        <v>1</v>
      </c>
      <c r="U639" s="10">
        <f>U638*(Presion_cilindro!O637/Presion_cilindro!O638)^Presion_cilindro!$B$9+10*(Presion_cilindro!$B$9-1)*Presion_cilindro!$B$33*(T639-T638)/((Presion_cilindro!O637+Presion_cilindro!O638)/2)</f>
        <v>3.1329064088445655</v>
      </c>
    </row>
    <row r="640" spans="14:21" x14ac:dyDescent="0.25">
      <c r="N640" s="8">
        <f>-Presion_cilindro!N639</f>
        <v>-137.5</v>
      </c>
      <c r="O640" s="9">
        <f>IF(Presion_cilindro!N639&gt;$B$12,1-EXP(-Presion_cilindro!$B$16*((Presion_cilindro!N639-$B$12)/Presion_cilindro!$B$35)^(Presion_cilindro!$B$17+1)),0)</f>
        <v>1</v>
      </c>
      <c r="P640" s="10">
        <f>P639*(Presion_cilindro!O638/Presion_cilindro!O639)^Presion_cilindro!$B$9+10*(Presion_cilindro!$B$9-1)*Presion_cilindro!$B$33*(O640-O639)/((Presion_cilindro!O638+Presion_cilindro!O639)/2)</f>
        <v>2.5504762656990905</v>
      </c>
      <c r="Q640" s="9">
        <f>IF(OR($B$9=0,Presion_cilindro!N639&lt;=$B$15),IF(Presion_cilindro!N639&gt;$B$13,1-EXP(-Presion_cilindro!$B$16*((Presion_cilindro!N639-$B$13)/Presion_cilindro!$B$35)^(Presion_cilindro!$B$17+1)),0),$B$8+(1-$B$8)*(1-EXP(-(Presion_cilindro!N639-$B$15)/Presion_cilindro!$B$23)))</f>
        <v>1</v>
      </c>
      <c r="R640" s="10">
        <f>R639*(Presion_cilindro!O638/Presion_cilindro!O639)^Presion_cilindro!$B$9+10*(Presion_cilindro!$B$9-1)*Presion_cilindro!$B$33*(Q640-Q639)/((Presion_cilindro!O638+Presion_cilindro!O639)/2)</f>
        <v>2.645421864593728</v>
      </c>
      <c r="S640" s="10">
        <f>R640+IF(AND($B$9=1,Presion_cilindro!N639&gt;$B$15),Presion_cilindro!$B$24*2.5*EXP(-(Presion_cilindro!N639-$B$15)/Presion_cilindro!$B$26)*SIN(2*PI()*(Presion_cilindro!N639-$B$15)/Presion_cilindro!$B$39),0)</f>
        <v>2.6454256555596194</v>
      </c>
      <c r="T640" s="9">
        <f>IF(Presion_cilindro!N639&gt;$B$14,1-EXP(-Presion_cilindro!$B$16*((Presion_cilindro!N639-$B$14)/Presion_cilindro!$B$35)^(Presion_cilindro!$B$17+1)),0)</f>
        <v>1</v>
      </c>
      <c r="U640" s="10">
        <f>U639*(Presion_cilindro!O638/Presion_cilindro!O639)^Presion_cilindro!$B$9+10*(Presion_cilindro!$B$9-1)*Presion_cilindro!$B$33*(T640-T639)/((Presion_cilindro!O638+Presion_cilindro!O639)/2)</f>
        <v>3.1233294961544598</v>
      </c>
    </row>
    <row r="641" spans="14:21" x14ac:dyDescent="0.25">
      <c r="N641" s="8">
        <f>-Presion_cilindro!N640</f>
        <v>-138</v>
      </c>
      <c r="O641" s="9">
        <f>IF(Presion_cilindro!N640&gt;$B$12,1-EXP(-Presion_cilindro!$B$16*((Presion_cilindro!N640-$B$12)/Presion_cilindro!$B$35)^(Presion_cilindro!$B$17+1)),0)</f>
        <v>1</v>
      </c>
      <c r="P641" s="10">
        <f>P640*(Presion_cilindro!O639/Presion_cilindro!O640)^Presion_cilindro!$B$9+10*(Presion_cilindro!$B$9-1)*Presion_cilindro!$B$33*(O641-O640)/((Presion_cilindro!O639+Presion_cilindro!O640)/2)</f>
        <v>2.5427871910988045</v>
      </c>
      <c r="Q641" s="9">
        <f>IF(OR($B$9=0,Presion_cilindro!N640&lt;=$B$15),IF(Presion_cilindro!N640&gt;$B$13,1-EXP(-Presion_cilindro!$B$16*((Presion_cilindro!N640-$B$13)/Presion_cilindro!$B$35)^(Presion_cilindro!$B$17+1)),0),$B$8+(1-$B$8)*(1-EXP(-(Presion_cilindro!N640-$B$15)/Presion_cilindro!$B$23)))</f>
        <v>1</v>
      </c>
      <c r="R641" s="10">
        <f>R640*(Presion_cilindro!O639/Presion_cilindro!O640)^Presion_cilindro!$B$9+10*(Presion_cilindro!$B$9-1)*Presion_cilindro!$B$33*(Q641-Q640)/((Presion_cilindro!O639+Presion_cilindro!O640)/2)</f>
        <v>2.6374465517709234</v>
      </c>
      <c r="S641" s="10">
        <f>R641+IF(AND($B$9=1,Presion_cilindro!N640&gt;$B$15),Presion_cilindro!$B$24*2.5*EXP(-(Presion_cilindro!N640-$B$15)/Presion_cilindro!$B$26)*SIN(2*PI()*(Presion_cilindro!N640-$B$15)/Presion_cilindro!$B$39),0)</f>
        <v>2.6374478231589822</v>
      </c>
      <c r="T641" s="9">
        <f>IF(Presion_cilindro!N640&gt;$B$14,1-EXP(-Presion_cilindro!$B$16*((Presion_cilindro!N640-$B$14)/Presion_cilindro!$B$35)^(Presion_cilindro!$B$17+1)),0)</f>
        <v>1</v>
      </c>
      <c r="U641" s="10">
        <f>U640*(Presion_cilindro!O639/Presion_cilindro!O640)^Presion_cilindro!$B$9+10*(Presion_cilindro!$B$9-1)*Presion_cilindro!$B$33*(T641-T640)/((Presion_cilindro!O639+Presion_cilindro!O640)/2)</f>
        <v>3.1139134063753917</v>
      </c>
    </row>
    <row r="642" spans="14:21" x14ac:dyDescent="0.25">
      <c r="N642" s="8">
        <f>-Presion_cilindro!N641</f>
        <v>-138.5</v>
      </c>
      <c r="O642" s="9">
        <f>IF(Presion_cilindro!N641&gt;$B$12,1-EXP(-Presion_cilindro!$B$16*((Presion_cilindro!N641-$B$12)/Presion_cilindro!$B$35)^(Presion_cilindro!$B$17+1)),0)</f>
        <v>1</v>
      </c>
      <c r="P642" s="10">
        <f>P641*(Presion_cilindro!O640/Presion_cilindro!O641)^Presion_cilindro!$B$9+10*(Presion_cilindro!$B$9-1)*Presion_cilindro!$B$33*(O642-O641)/((Presion_cilindro!O640+Presion_cilindro!O641)/2)</f>
        <v>2.5352278173913376</v>
      </c>
      <c r="Q642" s="9">
        <f>IF(OR($B$9=0,Presion_cilindro!N641&lt;=$B$15),IF(Presion_cilindro!N641&gt;$B$13,1-EXP(-Presion_cilindro!$B$16*((Presion_cilindro!N641-$B$13)/Presion_cilindro!$B$35)^(Presion_cilindro!$B$17+1)),0),$B$8+(1-$B$8)*(1-EXP(-(Presion_cilindro!N641-$B$15)/Presion_cilindro!$B$23)))</f>
        <v>1</v>
      </c>
      <c r="R642" s="10">
        <f>R641*(Presion_cilindro!O640/Presion_cilindro!O641)^Presion_cilindro!$B$9+10*(Presion_cilindro!$B$9-1)*Presion_cilindro!$B$33*(Q642-Q641)/((Presion_cilindro!O640+Presion_cilindro!O641)/2)</f>
        <v>2.6296057681661851</v>
      </c>
      <c r="S642" s="10">
        <f>R642+IF(AND($B$9=1,Presion_cilindro!N641&gt;$B$15),Presion_cilindro!$B$24*2.5*EXP(-(Presion_cilindro!N641-$B$15)/Presion_cilindro!$B$26)*SIN(2*PI()*(Presion_cilindro!N641-$B$15)/Presion_cilindro!$B$39),0)</f>
        <v>2.6296023379583962</v>
      </c>
      <c r="T642" s="9">
        <f>IF(Presion_cilindro!N641&gt;$B$14,1-EXP(-Presion_cilindro!$B$16*((Presion_cilindro!N641-$B$14)/Presion_cilindro!$B$35)^(Presion_cilindro!$B$17+1)),0)</f>
        <v>1</v>
      </c>
      <c r="U642" s="10">
        <f>U641*(Presion_cilindro!O640/Presion_cilindro!O641)^Presion_cilindro!$B$9+10*(Presion_cilindro!$B$9-1)*Presion_cilindro!$B$33*(T642-T641)/((Presion_cilindro!O640+Presion_cilindro!O641)/2)</f>
        <v>3.1046561491366091</v>
      </c>
    </row>
    <row r="643" spans="14:21" x14ac:dyDescent="0.25">
      <c r="N643" s="8">
        <f>-Presion_cilindro!N642</f>
        <v>-139</v>
      </c>
      <c r="O643" s="9">
        <f>IF(Presion_cilindro!N642&gt;$B$12,1-EXP(-Presion_cilindro!$B$16*((Presion_cilindro!N642-$B$12)/Presion_cilindro!$B$35)^(Presion_cilindro!$B$17+1)),0)</f>
        <v>1</v>
      </c>
      <c r="P643" s="10">
        <f>P642*(Presion_cilindro!O641/Presion_cilindro!O642)^Presion_cilindro!$B$9+10*(Presion_cilindro!$B$9-1)*Presion_cilindro!$B$33*(O643-O642)/((Presion_cilindro!O641+Presion_cilindro!O642)/2)</f>
        <v>2.5277965527373016</v>
      </c>
      <c r="Q643" s="9">
        <f>IF(OR($B$9=0,Presion_cilindro!N642&lt;=$B$15),IF(Presion_cilindro!N642&gt;$B$13,1-EXP(-Presion_cilindro!$B$16*((Presion_cilindro!N642-$B$13)/Presion_cilindro!$B$35)^(Presion_cilindro!$B$17+1)),0),$B$8+(1-$B$8)*(1-EXP(-(Presion_cilindro!N642-$B$15)/Presion_cilindro!$B$23)))</f>
        <v>1</v>
      </c>
      <c r="R643" s="10">
        <f>R642*(Presion_cilindro!O641/Presion_cilindro!O642)^Presion_cilindro!$B$9+10*(Presion_cilindro!$B$9-1)*Presion_cilindro!$B$33*(Q643-Q642)/((Presion_cilindro!O641+Presion_cilindro!O642)/2)</f>
        <v>2.6218978626813323</v>
      </c>
      <c r="S643" s="10">
        <f>R643+IF(AND($B$9=1,Presion_cilindro!N642&gt;$B$15),Presion_cilindro!$B$24*2.5*EXP(-(Presion_cilindro!N642-$B$15)/Presion_cilindro!$B$26)*SIN(2*PI()*(Presion_cilindro!N642-$B$15)/Presion_cilindro!$B$39),0)</f>
        <v>2.6218967122818437</v>
      </c>
      <c r="T643" s="9">
        <f>IF(Presion_cilindro!N642&gt;$B$14,1-EXP(-Presion_cilindro!$B$16*((Presion_cilindro!N642-$B$14)/Presion_cilindro!$B$35)^(Presion_cilindro!$B$17+1)),0)</f>
        <v>1</v>
      </c>
      <c r="U643" s="10">
        <f>U642*(Presion_cilindro!O641/Presion_cilindro!O642)^Presion_cilindro!$B$9+10*(Presion_cilindro!$B$9-1)*Presion_cilindro!$B$33*(T643-T642)/((Presion_cilindro!O641+Presion_cilindro!O642)/2)</f>
        <v>3.0955557750614484</v>
      </c>
    </row>
    <row r="644" spans="14:21" x14ac:dyDescent="0.25">
      <c r="N644" s="8">
        <f>-Presion_cilindro!N643</f>
        <v>-139.5</v>
      </c>
      <c r="O644" s="9">
        <f>IF(Presion_cilindro!N643&gt;$B$12,1-EXP(-Presion_cilindro!$B$16*((Presion_cilindro!N643-$B$12)/Presion_cilindro!$B$35)^(Presion_cilindro!$B$17+1)),0)</f>
        <v>1</v>
      </c>
      <c r="P644" s="10">
        <f>P643*(Presion_cilindro!O642/Presion_cilindro!O643)^Presion_cilindro!$B$9+10*(Presion_cilindro!$B$9-1)*Presion_cilindro!$B$33*(O644-O643)/((Presion_cilindro!O642+Presion_cilindro!O643)/2)</f>
        <v>2.520491838146055</v>
      </c>
      <c r="Q644" s="9">
        <f>IF(OR($B$9=0,Presion_cilindro!N643&lt;=$B$15),IF(Presion_cilindro!N643&gt;$B$13,1-EXP(-Presion_cilindro!$B$16*((Presion_cilindro!N643-$B$13)/Presion_cilindro!$B$35)^(Presion_cilindro!$B$17+1)),0),$B$8+(1-$B$8)*(1-EXP(-(Presion_cilindro!N643-$B$15)/Presion_cilindro!$B$23)))</f>
        <v>1</v>
      </c>
      <c r="R644" s="10">
        <f>R643*(Presion_cilindro!O642/Presion_cilindro!O643)^Presion_cilindro!$B$9+10*(Presion_cilindro!$B$9-1)*Presion_cilindro!$B$33*(Q644-Q643)/((Presion_cilindro!O642+Presion_cilindro!O643)/2)</f>
        <v>2.6143212182897786</v>
      </c>
      <c r="S644" s="10">
        <f>R644+IF(AND($B$9=1,Presion_cilindro!N643&gt;$B$15),Presion_cilindro!$B$24*2.5*EXP(-(Presion_cilindro!N643-$B$15)/Presion_cilindro!$B$26)*SIN(2*PI()*(Presion_cilindro!N643-$B$15)/Presion_cilindro!$B$39),0)</f>
        <v>2.6143243220701375</v>
      </c>
      <c r="T644" s="9">
        <f>IF(Presion_cilindro!N643&gt;$B$14,1-EXP(-Presion_cilindro!$B$16*((Presion_cilindro!N643-$B$14)/Presion_cilindro!$B$35)^(Presion_cilindro!$B$17+1)),0)</f>
        <v>1</v>
      </c>
      <c r="U644" s="10">
        <f>U643*(Presion_cilindro!O642/Presion_cilindro!O643)^Presion_cilindro!$B$9+10*(Presion_cilindro!$B$9-1)*Presion_cilindro!$B$33*(T644-T643)/((Presion_cilindro!O642+Presion_cilindro!O643)/2)</f>
        <v>3.0866103750000304</v>
      </c>
    </row>
    <row r="645" spans="14:21" x14ac:dyDescent="0.25">
      <c r="N645" s="8">
        <f>-Presion_cilindro!N644</f>
        <v>-140</v>
      </c>
      <c r="O645" s="9">
        <f>IF(Presion_cilindro!N644&gt;$B$12,1-EXP(-Presion_cilindro!$B$16*((Presion_cilindro!N644-$B$12)/Presion_cilindro!$B$35)^(Presion_cilindro!$B$17+1)),0)</f>
        <v>1</v>
      </c>
      <c r="P645" s="10">
        <f>P644*(Presion_cilindro!O643/Presion_cilindro!O644)^Presion_cilindro!$B$9+10*(Presion_cilindro!$B$9-1)*Presion_cilindro!$B$33*(O645-O644)/((Presion_cilindro!O643+Presion_cilindro!O644)/2)</f>
        <v>2.5133121468646773</v>
      </c>
      <c r="Q645" s="9">
        <f>IF(OR($B$9=0,Presion_cilindro!N644&lt;=$B$15),IF(Presion_cilindro!N644&gt;$B$13,1-EXP(-Presion_cilindro!$B$16*((Presion_cilindro!N644-$B$13)/Presion_cilindro!$B$35)^(Presion_cilindro!$B$17+1)),0),$B$8+(1-$B$8)*(1-EXP(-(Presion_cilindro!N644-$B$15)/Presion_cilindro!$B$23)))</f>
        <v>1</v>
      </c>
      <c r="R645" s="10">
        <f>R644*(Presion_cilindro!O643/Presion_cilindro!O644)^Presion_cilindro!$B$9+10*(Presion_cilindro!$B$9-1)*Presion_cilindro!$B$33*(Q645-Q644)/((Presion_cilindro!O643+Presion_cilindro!O644)/2)</f>
        <v>2.6068742514027594</v>
      </c>
      <c r="S645" s="10">
        <f>R645+IF(AND($B$9=1,Presion_cilindro!N644&gt;$B$15),Presion_cilindro!$B$24*2.5*EXP(-(Presion_cilindro!N644-$B$15)/Presion_cilindro!$B$26)*SIN(2*PI()*(Presion_cilindro!N644-$B$15)/Presion_cilindro!$B$39),0)</f>
        <v>2.6068752923272624</v>
      </c>
      <c r="T645" s="9">
        <f>IF(Presion_cilindro!N644&gt;$B$14,1-EXP(-Presion_cilindro!$B$16*((Presion_cilindro!N644-$B$14)/Presion_cilindro!$B$35)^(Presion_cilindro!$B$17+1)),0)</f>
        <v>1</v>
      </c>
      <c r="U645" s="10">
        <f>U644*(Presion_cilindro!O643/Presion_cilindro!O644)^Presion_cilindro!$B$9+10*(Presion_cilindro!$B$9-1)*Presion_cilindro!$B$33*(T645-T644)/((Presion_cilindro!O643+Presion_cilindro!O644)/2)</f>
        <v>3.0778180792809939</v>
      </c>
    </row>
    <row r="646" spans="14:21" x14ac:dyDescent="0.25">
      <c r="N646" s="8">
        <f>-Presion_cilindro!N645</f>
        <v>-140.5</v>
      </c>
      <c r="O646" s="9">
        <f>IF(Presion_cilindro!N645&gt;$B$12,1-EXP(-Presion_cilindro!$B$16*((Presion_cilindro!N645-$B$12)/Presion_cilindro!$B$35)^(Presion_cilindro!$B$17+1)),0)</f>
        <v>1</v>
      </c>
      <c r="P646" s="10">
        <f>P645*(Presion_cilindro!O644/Presion_cilindro!O645)^Presion_cilindro!$B$9+10*(Presion_cilindro!$B$9-1)*Presion_cilindro!$B$33*(O646-O645)/((Presion_cilindro!O644+Presion_cilindro!O645)/2)</f>
        <v>2.5062559837821485</v>
      </c>
      <c r="Q646" s="9">
        <f>IF(OR($B$9=0,Presion_cilindro!N645&lt;=$B$15),IF(Presion_cilindro!N645&gt;$B$13,1-EXP(-Presion_cilindro!$B$16*((Presion_cilindro!N645-$B$13)/Presion_cilindro!$B$35)^(Presion_cilindro!$B$17+1)),0),$B$8+(1-$B$8)*(1-EXP(-(Presion_cilindro!N645-$B$15)/Presion_cilindro!$B$23)))</f>
        <v>1</v>
      </c>
      <c r="R646" s="10">
        <f>R645*(Presion_cilindro!O644/Presion_cilindro!O645)^Presion_cilindro!$B$9+10*(Presion_cilindro!$B$9-1)*Presion_cilindro!$B$33*(Q646-Q645)/((Presion_cilindro!O644+Presion_cilindro!O645)/2)</f>
        <v>2.5995554112513322</v>
      </c>
      <c r="S646" s="10">
        <f>R646+IF(AND($B$9=1,Presion_cilindro!N645&gt;$B$15),Presion_cilindro!$B$24*2.5*EXP(-(Presion_cilindro!N645-$B$15)/Presion_cilindro!$B$26)*SIN(2*PI()*(Presion_cilindro!N645-$B$15)/Presion_cilindro!$B$39),0)</f>
        <v>2.5995526028347258</v>
      </c>
      <c r="T646" s="9">
        <f>IF(Presion_cilindro!N645&gt;$B$14,1-EXP(-Presion_cilindro!$B$16*((Presion_cilindro!N645-$B$14)/Presion_cilindro!$B$35)^(Presion_cilindro!$B$17+1)),0)</f>
        <v>1</v>
      </c>
      <c r="U646" s="10">
        <f>U645*(Presion_cilindro!O644/Presion_cilindro!O645)^Presion_cilindro!$B$9+10*(Presion_cilindro!$B$9-1)*Presion_cilindro!$B$33*(T646-T645)/((Presion_cilindro!O644+Presion_cilindro!O645)/2)</f>
        <v>3.0691770569818519</v>
      </c>
    </row>
    <row r="647" spans="14:21" x14ac:dyDescent="0.25">
      <c r="N647" s="8">
        <f>-Presion_cilindro!N646</f>
        <v>-141</v>
      </c>
      <c r="O647" s="9">
        <f>IF(Presion_cilindro!N646&gt;$B$12,1-EXP(-Presion_cilindro!$B$16*((Presion_cilindro!N646-$B$12)/Presion_cilindro!$B$35)^(Presion_cilindro!$B$17+1)),0)</f>
        <v>1</v>
      </c>
      <c r="P647" s="10">
        <f>P646*(Presion_cilindro!O645/Presion_cilindro!O646)^Presion_cilindro!$B$9+10*(Presion_cilindro!$B$9-1)*Presion_cilindro!$B$33*(O647-O646)/((Presion_cilindro!O645+Presion_cilindro!O646)/2)</f>
        <v>2.4993218848483165</v>
      </c>
      <c r="Q647" s="9">
        <f>IF(OR($B$9=0,Presion_cilindro!N646&lt;=$B$15),IF(Presion_cilindro!N646&gt;$B$13,1-EXP(-Presion_cilindro!$B$16*((Presion_cilindro!N646-$B$13)/Presion_cilindro!$B$35)^(Presion_cilindro!$B$17+1)),0),$B$8+(1-$B$8)*(1-EXP(-(Presion_cilindro!N646-$B$15)/Presion_cilindro!$B$23)))</f>
        <v>1</v>
      </c>
      <c r="R647" s="10">
        <f>R646*(Presion_cilindro!O645/Presion_cilindro!O646)^Presion_cilindro!$B$9+10*(Presion_cilindro!$B$9-1)*Presion_cilindro!$B$33*(Q647-Q646)/((Presion_cilindro!O645+Presion_cilindro!O646)/2)</f>
        <v>2.592363179283713</v>
      </c>
      <c r="S647" s="10">
        <f>R647+IF(AND($B$9=1,Presion_cilindro!N646&gt;$B$15),Presion_cilindro!$B$24*2.5*EXP(-(Presion_cilindro!N646-$B$15)/Presion_cilindro!$B$26)*SIN(2*PI()*(Presion_cilindro!N646-$B$15)/Presion_cilindro!$B$39),0)</f>
        <v>2.5923622374162734</v>
      </c>
      <c r="T647" s="9">
        <f>IF(Presion_cilindro!N646&gt;$B$14,1-EXP(-Presion_cilindro!$B$16*((Presion_cilindro!N646-$B$14)/Presion_cilindro!$B$35)^(Presion_cilindro!$B$17+1)),0)</f>
        <v>1</v>
      </c>
      <c r="U647" s="10">
        <f>U646*(Presion_cilindro!O645/Presion_cilindro!O646)^Presion_cilindro!$B$9+10*(Presion_cilindro!$B$9-1)*Presion_cilindro!$B$33*(T647-T646)/((Presion_cilindro!O645+Presion_cilindro!O646)/2)</f>
        <v>3.0606855152174535</v>
      </c>
    </row>
    <row r="648" spans="14:21" x14ac:dyDescent="0.25">
      <c r="N648" s="8">
        <f>-Presion_cilindro!N647</f>
        <v>-141.5</v>
      </c>
      <c r="O648" s="9">
        <f>IF(Presion_cilindro!N647&gt;$B$12,1-EXP(-Presion_cilindro!$B$16*((Presion_cilindro!N647-$B$12)/Presion_cilindro!$B$35)^(Presion_cilindro!$B$17+1)),0)</f>
        <v>1</v>
      </c>
      <c r="P648" s="10">
        <f>P647*(Presion_cilindro!O646/Presion_cilindro!O647)^Presion_cilindro!$B$9+10*(Presion_cilindro!$B$9-1)*Presion_cilindro!$B$33*(O648-O647)/((Presion_cilindro!O646+Presion_cilindro!O647)/2)</f>
        <v>2.4925084165073166</v>
      </c>
      <c r="Q648" s="9">
        <f>IF(OR($B$9=0,Presion_cilindro!N647&lt;=$B$15),IF(Presion_cilindro!N647&gt;$B$13,1-EXP(-Presion_cilindro!$B$16*((Presion_cilindro!N647-$B$13)/Presion_cilindro!$B$35)^(Presion_cilindro!$B$17+1)),0),$B$8+(1-$B$8)*(1-EXP(-(Presion_cilindro!N647-$B$15)/Presion_cilindro!$B$23)))</f>
        <v>1</v>
      </c>
      <c r="R648" s="10">
        <f>R647*(Presion_cilindro!O646/Presion_cilindro!O647)^Presion_cilindro!$B$9+10*(Presion_cilindro!$B$9-1)*Presion_cilindro!$B$33*(Q648-Q647)/((Presion_cilindro!O646+Presion_cilindro!O647)/2)</f>
        <v>2.5852960685776041</v>
      </c>
      <c r="S648" s="10">
        <f>R648+IF(AND($B$9=1,Presion_cilindro!N647&gt;$B$15),Presion_cilindro!$B$24*2.5*EXP(-(Presion_cilindro!N647-$B$15)/Presion_cilindro!$B$26)*SIN(2*PI()*(Presion_cilindro!N647-$B$15)/Presion_cilindro!$B$39),0)</f>
        <v>2.585298609738035</v>
      </c>
      <c r="T648" s="9">
        <f>IF(Presion_cilindro!N647&gt;$B$14,1-EXP(-Presion_cilindro!$B$16*((Presion_cilindro!N647-$B$14)/Presion_cilindro!$B$35)^(Presion_cilindro!$B$17+1)),0)</f>
        <v>1</v>
      </c>
      <c r="U648" s="10">
        <f>U647*(Presion_cilindro!O646/Presion_cilindro!O647)^Presion_cilindro!$B$9+10*(Presion_cilindro!$B$9-1)*Presion_cilindro!$B$33*(T648-T647)/((Presion_cilindro!O646+Presion_cilindro!O647)/2)</f>
        <v>3.0523416984461469</v>
      </c>
    </row>
    <row r="649" spans="14:21" x14ac:dyDescent="0.25">
      <c r="N649" s="8">
        <f>-Presion_cilindro!N648</f>
        <v>-142</v>
      </c>
      <c r="O649" s="9">
        <f>IF(Presion_cilindro!N648&gt;$B$12,1-EXP(-Presion_cilindro!$B$16*((Presion_cilindro!N648-$B$12)/Presion_cilindro!$B$35)^(Presion_cilindro!$B$17+1)),0)</f>
        <v>1</v>
      </c>
      <c r="P649" s="10">
        <f>P648*(Presion_cilindro!O647/Presion_cilindro!O648)^Presion_cilindro!$B$9+10*(Presion_cilindro!$B$9-1)*Presion_cilindro!$B$33*(O649-O648)/((Presion_cilindro!O647+Presion_cilindro!O648)/2)</f>
        <v>2.4858141751450957</v>
      </c>
      <c r="Q649" s="9">
        <f>IF(OR($B$9=0,Presion_cilindro!N648&lt;=$B$15),IF(Presion_cilindro!N648&gt;$B$13,1-EXP(-Presion_cilindro!$B$16*((Presion_cilindro!N648-$B$13)/Presion_cilindro!$B$35)^(Presion_cilindro!$B$17+1)),0),$B$8+(1-$B$8)*(1-EXP(-(Presion_cilindro!N648-$B$15)/Presion_cilindro!$B$23)))</f>
        <v>1</v>
      </c>
      <c r="R649" s="10">
        <f>R648*(Presion_cilindro!O647/Presion_cilindro!O648)^Presion_cilindro!$B$9+10*(Presion_cilindro!$B$9-1)*Presion_cilindro!$B$33*(Q649-Q648)/((Presion_cilindro!O647+Presion_cilindro!O648)/2)</f>
        <v>2.5783526232671523</v>
      </c>
      <c r="S649" s="10">
        <f>R649+IF(AND($B$9=1,Presion_cilindro!N648&gt;$B$15),Presion_cilindro!$B$24*2.5*EXP(-(Presion_cilindro!N648-$B$15)/Presion_cilindro!$B$26)*SIN(2*PI()*(Presion_cilindro!N648-$B$15)/Presion_cilindro!$B$39),0)</f>
        <v>2.5783534755040547</v>
      </c>
      <c r="T649" s="9">
        <f>IF(Presion_cilindro!N648&gt;$B$14,1-EXP(-Presion_cilindro!$B$16*((Presion_cilindro!N648-$B$14)/Presion_cilindro!$B$35)^(Presion_cilindro!$B$17+1)),0)</f>
        <v>1</v>
      </c>
      <c r="U649" s="10">
        <f>U648*(Presion_cilindro!O647/Presion_cilindro!O648)^Presion_cilindro!$B$9+10*(Presion_cilindro!$B$9-1)*Presion_cilindro!$B$33*(T649-T648)/((Presion_cilindro!O647+Presion_cilindro!O648)/2)</f>
        <v>3.0441438877932137</v>
      </c>
    </row>
    <row r="650" spans="14:21" x14ac:dyDescent="0.25">
      <c r="N650" s="8">
        <f>-Presion_cilindro!N649</f>
        <v>-142.5</v>
      </c>
      <c r="O650" s="9">
        <f>IF(Presion_cilindro!N649&gt;$B$12,1-EXP(-Presion_cilindro!$B$16*((Presion_cilindro!N649-$B$12)/Presion_cilindro!$B$35)^(Presion_cilindro!$B$17+1)),0)</f>
        <v>1</v>
      </c>
      <c r="P650" s="10">
        <f>P649*(Presion_cilindro!O648/Presion_cilindro!O649)^Presion_cilindro!$B$9+10*(Presion_cilindro!$B$9-1)*Presion_cilindro!$B$33*(O650-O649)/((Presion_cilindro!O648+Presion_cilindro!O649)/2)</f>
        <v>2.4792377865506845</v>
      </c>
      <c r="Q650" s="9">
        <f>IF(OR($B$9=0,Presion_cilindro!N649&lt;=$B$15),IF(Presion_cilindro!N649&gt;$B$13,1-EXP(-Presion_cilindro!$B$16*((Presion_cilindro!N649-$B$13)/Presion_cilindro!$B$35)^(Presion_cilindro!$B$17+1)),0),$B$8+(1-$B$8)*(1-EXP(-(Presion_cilindro!N649-$B$15)/Presion_cilindro!$B$23)))</f>
        <v>1</v>
      </c>
      <c r="R650" s="10">
        <f>R649*(Presion_cilindro!O648/Presion_cilindro!O649)^Presion_cilindro!$B$9+10*(Presion_cilindro!$B$9-1)*Presion_cilindro!$B$33*(Q650-Q649)/((Presion_cilindro!O648+Presion_cilindro!O649)/2)</f>
        <v>2.5715314179841653</v>
      </c>
      <c r="S650" s="10">
        <f>R650+IF(AND($B$9=1,Presion_cilindro!N649&gt;$B$15),Presion_cilindro!$B$24*2.5*EXP(-(Presion_cilindro!N649-$B$15)/Presion_cilindro!$B$26)*SIN(2*PI()*(Presion_cilindro!N649-$B$15)/Presion_cilindro!$B$39),0)</f>
        <v>2.5715291186471223</v>
      </c>
      <c r="T650" s="9">
        <f>IF(Presion_cilindro!N649&gt;$B$14,1-EXP(-Presion_cilindro!$B$16*((Presion_cilindro!N649-$B$14)/Presion_cilindro!$B$35)^(Presion_cilindro!$B$17+1)),0)</f>
        <v>1</v>
      </c>
      <c r="U650" s="10">
        <f>U649*(Presion_cilindro!O648/Presion_cilindro!O649)^Presion_cilindro!$B$9+10*(Presion_cilindro!$B$9-1)*Presion_cilindro!$B$33*(T650-T649)/((Presion_cilindro!O648+Presion_cilindro!O649)/2)</f>
        <v>3.0360904003911391</v>
      </c>
    </row>
    <row r="651" spans="14:21" x14ac:dyDescent="0.25">
      <c r="N651" s="8">
        <f>-Presion_cilindro!N650</f>
        <v>-143</v>
      </c>
      <c r="O651" s="9">
        <f>IF(Presion_cilindro!N650&gt;$B$12,1-EXP(-Presion_cilindro!$B$16*((Presion_cilindro!N650-$B$12)/Presion_cilindro!$B$35)^(Presion_cilindro!$B$17+1)),0)</f>
        <v>1</v>
      </c>
      <c r="P651" s="10">
        <f>P650*(Presion_cilindro!O649/Presion_cilindro!O650)^Presion_cilindro!$B$9+10*(Presion_cilindro!$B$9-1)*Presion_cilindro!$B$33*(O651-O650)/((Presion_cilindro!O649+Presion_cilindro!O650)/2)</f>
        <v>2.4727779053908971</v>
      </c>
      <c r="Q651" s="9">
        <f>IF(OR($B$9=0,Presion_cilindro!N650&lt;=$B$15),IF(Presion_cilindro!N650&gt;$B$13,1-EXP(-Presion_cilindro!$B$16*((Presion_cilindro!N650-$B$13)/Presion_cilindro!$B$35)^(Presion_cilindro!$B$17+1)),0),$B$8+(1-$B$8)*(1-EXP(-(Presion_cilindro!N650-$B$15)/Presion_cilindro!$B$23)))</f>
        <v>1</v>
      </c>
      <c r="R651" s="10">
        <f>R650*(Presion_cilindro!O649/Presion_cilindro!O650)^Presion_cilindro!$B$9+10*(Presion_cilindro!$B$9-1)*Presion_cilindro!$B$33*(Q651-Q650)/((Presion_cilindro!O649+Presion_cilindro!O650)/2)</f>
        <v>2.5648310573132558</v>
      </c>
      <c r="S651" s="10">
        <f>R651+IF(AND($B$9=1,Presion_cilindro!N650&gt;$B$15),Presion_cilindro!$B$24*2.5*EXP(-(Presion_cilindro!N650-$B$15)/Presion_cilindro!$B$26)*SIN(2*PI()*(Presion_cilindro!N650-$B$15)/Presion_cilindro!$B$39),0)</f>
        <v>2.5648302861774175</v>
      </c>
      <c r="T651" s="9">
        <f>IF(Presion_cilindro!N650&gt;$B$14,1-EXP(-Presion_cilindro!$B$16*((Presion_cilindro!N650-$B$14)/Presion_cilindro!$B$35)^(Presion_cilindro!$B$17+1)),0)</f>
        <v>1</v>
      </c>
      <c r="U651" s="10">
        <f>U650*(Presion_cilindro!O649/Presion_cilindro!O650)^Presion_cilindro!$B$9+10*(Presion_cilindro!$B$9-1)*Presion_cilindro!$B$33*(T651-T650)/((Presion_cilindro!O649+Presion_cilindro!O650)/2)</f>
        <v>3.0281795887363261</v>
      </c>
    </row>
    <row r="652" spans="14:21" x14ac:dyDescent="0.25">
      <c r="N652" s="8">
        <f>-Presion_cilindro!N651</f>
        <v>-143.5</v>
      </c>
      <c r="O652" s="9">
        <f>IF(Presion_cilindro!N651&gt;$B$12,1-EXP(-Presion_cilindro!$B$16*((Presion_cilindro!N651-$B$12)/Presion_cilindro!$B$35)^(Presion_cilindro!$B$17+1)),0)</f>
        <v>1</v>
      </c>
      <c r="P652" s="10">
        <f>P651*(Presion_cilindro!O650/Presion_cilindro!O651)^Presion_cilindro!$B$9+10*(Presion_cilindro!$B$9-1)*Presion_cilindro!$B$33*(O652-O651)/((Presion_cilindro!O650+Presion_cilindro!O651)/2)</f>
        <v>2.4664332146981347</v>
      </c>
      <c r="Q652" s="9">
        <f>IF(OR($B$9=0,Presion_cilindro!N651&lt;=$B$15),IF(Presion_cilindro!N651&gt;$B$13,1-EXP(-Presion_cilindro!$B$16*((Presion_cilindro!N651-$B$13)/Presion_cilindro!$B$35)^(Presion_cilindro!$B$17+1)),0),$B$8+(1-$B$8)*(1-EXP(-(Presion_cilindro!N651-$B$15)/Presion_cilindro!$B$23)))</f>
        <v>1</v>
      </c>
      <c r="R652" s="10">
        <f>R651*(Presion_cilindro!O650/Presion_cilindro!O651)^Presion_cilindro!$B$9+10*(Presion_cilindro!$B$9-1)*Presion_cilindro!$B$33*(Q652-Q651)/((Presion_cilindro!O650+Presion_cilindro!O651)/2)</f>
        <v>2.5582501752605786</v>
      </c>
      <c r="S652" s="10">
        <f>R652+IF(AND($B$9=1,Presion_cilindro!N651&gt;$B$15),Presion_cilindro!$B$24*2.5*EXP(-(Presion_cilindro!N651-$B$15)/Presion_cilindro!$B$26)*SIN(2*PI()*(Presion_cilindro!N651-$B$15)/Presion_cilindro!$B$39),0)</f>
        <v>2.5582522557867717</v>
      </c>
      <c r="T652" s="9">
        <f>IF(Presion_cilindro!N651&gt;$B$14,1-EXP(-Presion_cilindro!$B$16*((Presion_cilindro!N651-$B$14)/Presion_cilindro!$B$35)^(Presion_cilindro!$B$17+1)),0)</f>
        <v>1</v>
      </c>
      <c r="U652" s="10">
        <f>U651*(Presion_cilindro!O650/Presion_cilindro!O651)^Presion_cilindro!$B$9+10*(Presion_cilindro!$B$9-1)*Presion_cilindro!$B$33*(T652-T651)/((Presion_cilindro!O650+Presion_cilindro!O651)/2)</f>
        <v>3.0204098400618569</v>
      </c>
    </row>
    <row r="653" spans="14:21" x14ac:dyDescent="0.25">
      <c r="N653" s="8">
        <f>-Presion_cilindro!N652</f>
        <v>-144</v>
      </c>
      <c r="O653" s="9">
        <f>IF(Presion_cilindro!N652&gt;$B$12,1-EXP(-Presion_cilindro!$B$16*((Presion_cilindro!N652-$B$12)/Presion_cilindro!$B$35)^(Presion_cilindro!$B$17+1)),0)</f>
        <v>1</v>
      </c>
      <c r="P653" s="10">
        <f>P652*(Presion_cilindro!O651/Presion_cilindro!O652)^Presion_cilindro!$B$9+10*(Presion_cilindro!$B$9-1)*Presion_cilindro!$B$33*(O653-O652)/((Presion_cilindro!O651+Presion_cilindro!O652)/2)</f>
        <v>2.4602024253709773</v>
      </c>
      <c r="Q653" s="9">
        <f>IF(OR($B$9=0,Presion_cilindro!N652&lt;=$B$15),IF(Presion_cilindro!N652&gt;$B$13,1-EXP(-Presion_cilindro!$B$16*((Presion_cilindro!N652-$B$13)/Presion_cilindro!$B$35)^(Presion_cilindro!$B$17+1)),0),$B$8+(1-$B$8)*(1-EXP(-(Presion_cilindro!N652-$B$15)/Presion_cilindro!$B$23)))</f>
        <v>1</v>
      </c>
      <c r="R653" s="10">
        <f>R652*(Presion_cilindro!O651/Presion_cilindro!O652)^Presion_cilindro!$B$9+10*(Presion_cilindro!$B$9-1)*Presion_cilindro!$B$33*(Q653-Q652)/((Presion_cilindro!O651+Presion_cilindro!O652)/2)</f>
        <v>2.5517874347358314</v>
      </c>
      <c r="S653" s="10">
        <f>R653+IF(AND($B$9=1,Presion_cilindro!N652&gt;$B$15),Presion_cilindro!$B$24*2.5*EXP(-(Presion_cilindro!N652-$B$15)/Presion_cilindro!$B$26)*SIN(2*PI()*(Presion_cilindro!N652-$B$15)/Presion_cilindro!$B$39),0)</f>
        <v>2.551788132488392</v>
      </c>
      <c r="T653" s="9">
        <f>IF(Presion_cilindro!N652&gt;$B$14,1-EXP(-Presion_cilindro!$B$16*((Presion_cilindro!N652-$B$14)/Presion_cilindro!$B$35)^(Presion_cilindro!$B$17+1)),0)</f>
        <v>1</v>
      </c>
      <c r="U653" s="10">
        <f>U652*(Presion_cilindro!O651/Presion_cilindro!O652)^Presion_cilindro!$B$9+10*(Presion_cilindro!$B$9-1)*Presion_cilindro!$B$33*(T653-T652)/((Presion_cilindro!O651+Presion_cilindro!O652)/2)</f>
        <v>3.0127795757259128</v>
      </c>
    </row>
    <row r="654" spans="14:21" x14ac:dyDescent="0.25">
      <c r="N654" s="8">
        <f>-Presion_cilindro!N653</f>
        <v>-144.5</v>
      </c>
      <c r="O654" s="9">
        <f>IF(Presion_cilindro!N653&gt;$B$12,1-EXP(-Presion_cilindro!$B$16*((Presion_cilindro!N653-$B$12)/Presion_cilindro!$B$35)^(Presion_cilindro!$B$17+1)),0)</f>
        <v>1</v>
      </c>
      <c r="P654" s="10">
        <f>P653*(Presion_cilindro!O652/Presion_cilindro!O653)^Presion_cilindro!$B$9+10*(Presion_cilindro!$B$9-1)*Presion_cilindro!$B$33*(O654-O653)/((Presion_cilindro!O652+Presion_cilindro!O653)/2)</f>
        <v>2.4540842756872756</v>
      </c>
      <c r="Q654" s="9">
        <f>IF(OR($B$9=0,Presion_cilindro!N653&lt;=$B$15),IF(Presion_cilindro!N653&gt;$B$13,1-EXP(-Presion_cilindro!$B$16*((Presion_cilindro!N653-$B$13)/Presion_cilindro!$B$35)^(Presion_cilindro!$B$17+1)),0),$B$8+(1-$B$8)*(1-EXP(-(Presion_cilindro!N653-$B$15)/Presion_cilindro!$B$23)))</f>
        <v>1</v>
      </c>
      <c r="R654" s="10">
        <f>R653*(Presion_cilindro!O652/Presion_cilindro!O653)^Presion_cilindro!$B$9+10*(Presion_cilindro!$B$9-1)*Presion_cilindro!$B$33*(Q654-Q653)/((Presion_cilindro!O652+Presion_cilindro!O653)/2)</f>
        <v>2.5454415270472195</v>
      </c>
      <c r="S654" s="10">
        <f>R654+IF(AND($B$9=1,Presion_cilindro!N653&gt;$B$15),Presion_cilindro!$B$24*2.5*EXP(-(Presion_cilindro!N653-$B$15)/Presion_cilindro!$B$26)*SIN(2*PI()*(Presion_cilindro!N653-$B$15)/Presion_cilindro!$B$39),0)</f>
        <v>2.5454396445092708</v>
      </c>
      <c r="T654" s="9">
        <f>IF(Presion_cilindro!N653&gt;$B$14,1-EXP(-Presion_cilindro!$B$16*((Presion_cilindro!N653-$B$14)/Presion_cilindro!$B$35)^(Presion_cilindro!$B$17+1)),0)</f>
        <v>1</v>
      </c>
      <c r="U654" s="10">
        <f>U653*(Presion_cilindro!O652/Presion_cilindro!O653)^Presion_cilindro!$B$9+10*(Presion_cilindro!$B$9-1)*Presion_cilindro!$B$33*(T654-T653)/((Presion_cilindro!O652+Presion_cilindro!O653)/2)</f>
        <v>3.0052872506155062</v>
      </c>
    </row>
    <row r="655" spans="14:21" x14ac:dyDescent="0.25">
      <c r="N655" s="8">
        <f>-Presion_cilindro!N654</f>
        <v>-145</v>
      </c>
      <c r="O655" s="9">
        <f>IF(Presion_cilindro!N654&gt;$B$12,1-EXP(-Presion_cilindro!$B$16*((Presion_cilindro!N654-$B$12)/Presion_cilindro!$B$35)^(Presion_cilindro!$B$17+1)),0)</f>
        <v>1</v>
      </c>
      <c r="P655" s="10">
        <f>P654*(Presion_cilindro!O653/Presion_cilindro!O654)^Presion_cilindro!$B$9+10*(Presion_cilindro!$B$9-1)*Presion_cilindro!$B$33*(O655-O654)/((Presion_cilindro!O653+Presion_cilindro!O654)/2)</f>
        <v>2.4480775308294218</v>
      </c>
      <c r="Q655" s="9">
        <f>IF(OR($B$9=0,Presion_cilindro!N654&lt;=$B$15),IF(Presion_cilindro!N654&gt;$B$13,1-EXP(-Presion_cilindro!$B$16*((Presion_cilindro!N654-$B$13)/Presion_cilindro!$B$35)^(Presion_cilindro!$B$17+1)),0),$B$8+(1-$B$8)*(1-EXP(-(Presion_cilindro!N654-$B$15)/Presion_cilindro!$B$23)))</f>
        <v>1</v>
      </c>
      <c r="R655" s="10">
        <f>R654*(Presion_cilindro!O653/Presion_cilindro!O654)^Presion_cilindro!$B$9+10*(Presion_cilindro!$B$9-1)*Presion_cilindro!$B$33*(Q655-Q654)/((Presion_cilindro!O653+Presion_cilindro!O654)/2)</f>
        <v>2.5392111714090553</v>
      </c>
      <c r="S655" s="10">
        <f>R655+IF(AND($B$9=1,Presion_cilindro!N654&gt;$B$15),Presion_cilindro!$B$24*2.5*EXP(-(Presion_cilindro!N654-$B$15)/Presion_cilindro!$B$26)*SIN(2*PI()*(Presion_cilindro!N654-$B$15)/Presion_cilindro!$B$39),0)</f>
        <v>2.53921054005643</v>
      </c>
      <c r="T655" s="9">
        <f>IF(Presion_cilindro!N654&gt;$B$14,1-EXP(-Presion_cilindro!$B$16*((Presion_cilindro!N654-$B$14)/Presion_cilindro!$B$35)^(Presion_cilindro!$B$17+1)),0)</f>
        <v>1</v>
      </c>
      <c r="U655" s="10">
        <f>U654*(Presion_cilindro!O653/Presion_cilindro!O654)^Presion_cilindro!$B$9+10*(Presion_cilindro!$B$9-1)*Presion_cilindro!$B$33*(T655-T654)/((Presion_cilindro!O653+Presion_cilindro!O654)/2)</f>
        <v>2.9979313525651214</v>
      </c>
    </row>
    <row r="656" spans="14:21" x14ac:dyDescent="0.25">
      <c r="N656" s="8">
        <f>-Presion_cilindro!N655</f>
        <v>-145.5</v>
      </c>
      <c r="O656" s="9">
        <f>IF(Presion_cilindro!N655&gt;$B$12,1-EXP(-Presion_cilindro!$B$16*((Presion_cilindro!N655-$B$12)/Presion_cilindro!$B$35)^(Presion_cilindro!$B$17+1)),0)</f>
        <v>1</v>
      </c>
      <c r="P656" s="10">
        <f>P655*(Presion_cilindro!O654/Presion_cilindro!O655)^Presion_cilindro!$B$9+10*(Presion_cilindro!$B$9-1)*Presion_cilindro!$B$33*(O656-O655)/((Presion_cilindro!O654+Presion_cilindro!O655)/2)</f>
        <v>2.4421809824215504</v>
      </c>
      <c r="Q656" s="9">
        <f>IF(OR($B$9=0,Presion_cilindro!N655&lt;=$B$15),IF(Presion_cilindro!N655&gt;$B$13,1-EXP(-Presion_cilindro!$B$16*((Presion_cilindro!N655-$B$13)/Presion_cilindro!$B$35)^(Presion_cilindro!$B$17+1)),0),$B$8+(1-$B$8)*(1-EXP(-(Presion_cilindro!N655-$B$15)/Presion_cilindro!$B$23)))</f>
        <v>1</v>
      </c>
      <c r="R656" s="10">
        <f>R655*(Presion_cilindro!O654/Presion_cilindro!O655)^Presion_cilindro!$B$9+10*(Presion_cilindro!$B$9-1)*Presion_cilindro!$B$33*(Q656-Q655)/((Presion_cilindro!O654+Presion_cilindro!O655)/2)</f>
        <v>2.5330951144617297</v>
      </c>
      <c r="S656" s="10">
        <f>R656+IF(AND($B$9=1,Presion_cilindro!N655&gt;$B$15),Presion_cilindro!$B$24*2.5*EXP(-(Presion_cilindro!N655-$B$15)/Presion_cilindro!$B$26)*SIN(2*PI()*(Presion_cilindro!N655-$B$15)/Presion_cilindro!$B$39),0)</f>
        <v>2.5330968178525066</v>
      </c>
      <c r="T656" s="9">
        <f>IF(Presion_cilindro!N655&gt;$B$14,1-EXP(-Presion_cilindro!$B$16*((Presion_cilindro!N655-$B$14)/Presion_cilindro!$B$35)^(Presion_cilindro!$B$17+1)),0)</f>
        <v>1</v>
      </c>
      <c r="U656" s="10">
        <f>U655*(Presion_cilindro!O654/Presion_cilindro!O655)^Presion_cilindro!$B$9+10*(Presion_cilindro!$B$9-1)*Presion_cilindro!$B$33*(T656-T655)/((Presion_cilindro!O654+Presion_cilindro!O655)/2)</f>
        <v>2.9907104017899693</v>
      </c>
    </row>
    <row r="657" spans="14:21" x14ac:dyDescent="0.25">
      <c r="N657" s="8">
        <f>-Presion_cilindro!N656</f>
        <v>-146</v>
      </c>
      <c r="O657" s="9">
        <f>IF(Presion_cilindro!N656&gt;$B$12,1-EXP(-Presion_cilindro!$B$16*((Presion_cilindro!N656-$B$12)/Presion_cilindro!$B$35)^(Presion_cilindro!$B$17+1)),0)</f>
        <v>1</v>
      </c>
      <c r="P657" s="10">
        <f>P656*(Presion_cilindro!O655/Presion_cilindro!O656)^Presion_cilindro!$B$9+10*(Presion_cilindro!$B$9-1)*Presion_cilindro!$B$33*(O657-O656)/((Presion_cilindro!O655+Presion_cilindro!O656)/2)</f>
        <v>2.4363934480783525</v>
      </c>
      <c r="Q657" s="9">
        <f>IF(OR($B$9=0,Presion_cilindro!N656&lt;=$B$15),IF(Presion_cilindro!N656&gt;$B$13,1-EXP(-Presion_cilindro!$B$16*((Presion_cilindro!N656-$B$13)/Presion_cilindro!$B$35)^(Presion_cilindro!$B$17+1)),0),$B$8+(1-$B$8)*(1-EXP(-(Presion_cilindro!N656-$B$15)/Presion_cilindro!$B$23)))</f>
        <v>1</v>
      </c>
      <c r="R657" s="10">
        <f>R656*(Presion_cilindro!O655/Presion_cilindro!O656)^Presion_cilindro!$B$9+10*(Presion_cilindro!$B$9-1)*Presion_cilindro!$B$33*(Q657-Q656)/((Presion_cilindro!O655+Presion_cilindro!O656)/2)</f>
        <v>2.5270921298037305</v>
      </c>
      <c r="S657" s="10">
        <f>R657+IF(AND($B$9=1,Presion_cilindro!N656&gt;$B$15),Presion_cilindro!$B$24*2.5*EXP(-(Presion_cilindro!N656-$B$15)/Presion_cilindro!$B$26)*SIN(2*PI()*(Presion_cilindro!N656-$B$15)/Presion_cilindro!$B$39),0)</f>
        <v>2.52709270107521</v>
      </c>
      <c r="T657" s="9">
        <f>IF(Presion_cilindro!N656&gt;$B$14,1-EXP(-Presion_cilindro!$B$16*((Presion_cilindro!N656-$B$14)/Presion_cilindro!$B$35)^(Presion_cilindro!$B$17+1)),0)</f>
        <v>1</v>
      </c>
      <c r="U657" s="10">
        <f>U656*(Presion_cilindro!O655/Presion_cilindro!O656)^Presion_cilindro!$B$9+10*(Presion_cilindro!$B$9-1)*Presion_cilindro!$B$33*(T657-T656)/((Presion_cilindro!O655+Presion_cilindro!O656)/2)</f>
        <v>2.9836229503334617</v>
      </c>
    </row>
    <row r="658" spans="14:21" x14ac:dyDescent="0.25">
      <c r="N658" s="8">
        <f>-Presion_cilindro!N657</f>
        <v>-146.5</v>
      </c>
      <c r="O658" s="9">
        <f>IF(Presion_cilindro!N657&gt;$B$12,1-EXP(-Presion_cilindro!$B$16*((Presion_cilindro!N657-$B$12)/Presion_cilindro!$B$35)^(Presion_cilindro!$B$17+1)),0)</f>
        <v>1</v>
      </c>
      <c r="P658" s="10">
        <f>P657*(Presion_cilindro!O656/Presion_cilindro!O657)^Presion_cilindro!$B$9+10*(Presion_cilindro!$B$9-1)*Presion_cilindro!$B$33*(O658-O657)/((Presion_cilindro!O656+Presion_cilindro!O657)/2)</f>
        <v>2.4307137709652697</v>
      </c>
      <c r="Q658" s="9">
        <f>IF(OR($B$9=0,Presion_cilindro!N657&lt;=$B$15),IF(Presion_cilindro!N657&gt;$B$13,1-EXP(-Presion_cilindro!$B$16*((Presion_cilindro!N657-$B$13)/Presion_cilindro!$B$35)^(Presion_cilindro!$B$17+1)),0),$B$8+(1-$B$8)*(1-EXP(-(Presion_cilindro!N657-$B$15)/Presion_cilindro!$B$23)))</f>
        <v>1</v>
      </c>
      <c r="R658" s="10">
        <f>R657*(Presion_cilindro!O656/Presion_cilindro!O657)^Presion_cilindro!$B$9+10*(Presion_cilindro!$B$9-1)*Presion_cilindro!$B$33*(Q658-Q657)/((Presion_cilindro!O656+Presion_cilindro!O657)/2)</f>
        <v>2.5212010175354642</v>
      </c>
      <c r="S658" s="10">
        <f>R658+IF(AND($B$9=1,Presion_cilindro!N657&gt;$B$15),Presion_cilindro!$B$24*2.5*EXP(-(Presion_cilindro!N657-$B$15)/Presion_cilindro!$B$26)*SIN(2*PI()*(Presion_cilindro!N657-$B$15)/Presion_cilindro!$B$39),0)</f>
        <v>2.5211994762437517</v>
      </c>
      <c r="T658" s="9">
        <f>IF(Presion_cilindro!N657&gt;$B$14,1-EXP(-Presion_cilindro!$B$16*((Presion_cilindro!N657-$B$14)/Presion_cilindro!$B$35)^(Presion_cilindro!$B$17+1)),0)</f>
        <v>1</v>
      </c>
      <c r="U658" s="10">
        <f>U657*(Presion_cilindro!O656/Presion_cilindro!O657)^Presion_cilindro!$B$9+10*(Presion_cilindro!$B$9-1)*Presion_cilindro!$B$33*(T658-T657)/((Presion_cilindro!O656+Presion_cilindro!O657)/2)</f>
        <v>2.976667581528623</v>
      </c>
    </row>
    <row r="659" spans="14:21" x14ac:dyDescent="0.25">
      <c r="N659" s="8">
        <f>-Presion_cilindro!N658</f>
        <v>-147</v>
      </c>
      <c r="O659" s="9">
        <f>IF(Presion_cilindro!N658&gt;$B$12,1-EXP(-Presion_cilindro!$B$16*((Presion_cilindro!N658-$B$12)/Presion_cilindro!$B$35)^(Presion_cilindro!$B$17+1)),0)</f>
        <v>1</v>
      </c>
      <c r="P659" s="10">
        <f>P658*(Presion_cilindro!O657/Presion_cilindro!O658)^Presion_cilindro!$B$9+10*(Presion_cilindro!$B$9-1)*Presion_cilindro!$B$33*(O659-O658)/((Presion_cilindro!O657+Presion_cilindro!O658)/2)</f>
        <v>2.4251408193697874</v>
      </c>
      <c r="Q659" s="9">
        <f>IF(OR($B$9=0,Presion_cilindro!N658&lt;=$B$15),IF(Presion_cilindro!N658&gt;$B$13,1-EXP(-Presion_cilindro!$B$16*((Presion_cilindro!N658-$B$13)/Presion_cilindro!$B$35)^(Presion_cilindro!$B$17+1)),0),$B$8+(1-$B$8)*(1-EXP(-(Presion_cilindro!N658-$B$15)/Presion_cilindro!$B$23)))</f>
        <v>1</v>
      </c>
      <c r="R659" s="10">
        <f>R658*(Presion_cilindro!O657/Presion_cilindro!O658)^Presion_cilindro!$B$9+10*(Presion_cilindro!$B$9-1)*Presion_cilindro!$B$33*(Q659-Q658)/((Presion_cilindro!O657+Presion_cilindro!O658)/2)</f>
        <v>2.5154206038145897</v>
      </c>
      <c r="S659" s="10">
        <f>R659+IF(AND($B$9=1,Presion_cilindro!N658&gt;$B$15),Presion_cilindro!$B$24*2.5*EXP(-(Presion_cilindro!N658-$B$15)/Presion_cilindro!$B$26)*SIN(2*PI()*(Presion_cilindro!N658-$B$15)/Presion_cilindro!$B$39),0)</f>
        <v>2.5154200869067793</v>
      </c>
      <c r="T659" s="9">
        <f>IF(Presion_cilindro!N658&gt;$B$14,1-EXP(-Presion_cilindro!$B$16*((Presion_cilindro!N658-$B$14)/Presion_cilindro!$B$35)^(Presion_cilindro!$B$17+1)),0)</f>
        <v>1</v>
      </c>
      <c r="U659" s="10">
        <f>U658*(Presion_cilindro!O657/Presion_cilindro!O658)^Presion_cilindro!$B$9+10*(Presion_cilindro!$B$9-1)*Presion_cilindro!$B$33*(T659-T658)/((Presion_cilindro!O657+Presion_cilindro!O658)/2)</f>
        <v>2.9698429094730923</v>
      </c>
    </row>
    <row r="660" spans="14:21" x14ac:dyDescent="0.25">
      <c r="N660" s="8">
        <f>-Presion_cilindro!N659</f>
        <v>-147.5</v>
      </c>
      <c r="O660" s="9">
        <f>IF(Presion_cilindro!N659&gt;$B$12,1-EXP(-Presion_cilindro!$B$16*((Presion_cilindro!N659-$B$12)/Presion_cilindro!$B$35)^(Presion_cilindro!$B$17+1)),0)</f>
        <v>1</v>
      </c>
      <c r="P660" s="10">
        <f>P659*(Presion_cilindro!O658/Presion_cilindro!O659)^Presion_cilindro!$B$9+10*(Presion_cilindro!$B$9-1)*Presion_cilindro!$B$33*(O660-O659)/((Presion_cilindro!O658+Presion_cilindro!O659)/2)</f>
        <v>2.4196734862835663</v>
      </c>
      <c r="Q660" s="9">
        <f>IF(OR($B$9=0,Presion_cilindro!N659&lt;=$B$15),IF(Presion_cilindro!N659&gt;$B$13,1-EXP(-Presion_cilindro!$B$16*((Presion_cilindro!N659-$B$13)/Presion_cilindro!$B$35)^(Presion_cilindro!$B$17+1)),0),$B$8+(1-$B$8)*(1-EXP(-(Presion_cilindro!N659-$B$15)/Presion_cilindro!$B$23)))</f>
        <v>1</v>
      </c>
      <c r="R660" s="10">
        <f>R659*(Presion_cilindro!O658/Presion_cilindro!O659)^Presion_cilindro!$B$9+10*(Presion_cilindro!$B$9-1)*Presion_cilindro!$B$33*(Q660-Q659)/((Presion_cilindro!O658+Presion_cilindro!O659)/2)</f>
        <v>2.5097497404225941</v>
      </c>
      <c r="S660" s="10">
        <f>R660+IF(AND($B$9=1,Presion_cilindro!N659&gt;$B$15),Presion_cilindro!$B$24*2.5*EXP(-(Presion_cilindro!N659-$B$15)/Presion_cilindro!$B$26)*SIN(2*PI()*(Presion_cilindro!N659-$B$15)/Presion_cilindro!$B$39),0)</f>
        <v>2.5097511350410078</v>
      </c>
      <c r="T660" s="9">
        <f>IF(Presion_cilindro!N659&gt;$B$14,1-EXP(-Presion_cilindro!$B$16*((Presion_cilindro!N659-$B$14)/Presion_cilindro!$B$35)^(Presion_cilindro!$B$17+1)),0)</f>
        <v>1</v>
      </c>
      <c r="U660" s="10">
        <f>U659*(Presion_cilindro!O658/Presion_cilindro!O659)^Presion_cilindro!$B$9+10*(Presion_cilindro!$B$9-1)*Presion_cilindro!$B$33*(T660-T659)/((Presion_cilindro!O658+Presion_cilindro!O659)/2)</f>
        <v>2.9631475785173991</v>
      </c>
    </row>
    <row r="661" spans="14:21" x14ac:dyDescent="0.25">
      <c r="N661" s="8">
        <f>-Presion_cilindro!N660</f>
        <v>-148</v>
      </c>
      <c r="O661" s="9">
        <f>IF(Presion_cilindro!N660&gt;$B$12,1-EXP(-Presion_cilindro!$B$16*((Presion_cilindro!N660-$B$12)/Presion_cilindro!$B$35)^(Presion_cilindro!$B$17+1)),0)</f>
        <v>1</v>
      </c>
      <c r="P661" s="10">
        <f>P660*(Presion_cilindro!O659/Presion_cilindro!O660)^Presion_cilindro!$B$9+10*(Presion_cilindro!$B$9-1)*Presion_cilindro!$B$33*(O661-O660)/((Presion_cilindro!O659+Presion_cilindro!O660)/2)</f>
        <v>2.4143106889952031</v>
      </c>
      <c r="Q661" s="9">
        <f>IF(OR($B$9=0,Presion_cilindro!N660&lt;=$B$15),IF(Presion_cilindro!N660&gt;$B$13,1-EXP(-Presion_cilindro!$B$16*((Presion_cilindro!N660-$B$13)/Presion_cilindro!$B$35)^(Presion_cilindro!$B$17+1)),0),$B$8+(1-$B$8)*(1-EXP(-(Presion_cilindro!N660-$B$15)/Presion_cilindro!$B$23)))</f>
        <v>1</v>
      </c>
      <c r="R661" s="10">
        <f>R660*(Presion_cilindro!O659/Presion_cilindro!O660)^Presion_cilindro!$B$9+10*(Presion_cilindro!$B$9-1)*Presion_cilindro!$B$33*(Q661-Q660)/((Presion_cilindro!O659+Presion_cilindro!O660)/2)</f>
        <v>2.5041873043423934</v>
      </c>
      <c r="S661" s="10">
        <f>R661+IF(AND($B$9=1,Presion_cilindro!N660&gt;$B$15),Presion_cilindro!$B$24*2.5*EXP(-(Presion_cilindro!N660-$B$15)/Presion_cilindro!$B$26)*SIN(2*PI()*(Presion_cilindro!N660-$B$15)/Presion_cilindro!$B$39),0)</f>
        <v>2.5041877720599222</v>
      </c>
      <c r="T661" s="9">
        <f>IF(Presion_cilindro!N660&gt;$B$14,1-EXP(-Presion_cilindro!$B$16*((Presion_cilindro!N660-$B$14)/Presion_cilindro!$B$35)^(Presion_cilindro!$B$17+1)),0)</f>
        <v>1</v>
      </c>
      <c r="U661" s="10">
        <f>U660*(Presion_cilindro!O659/Presion_cilindro!O660)^Presion_cilindro!$B$9+10*(Presion_cilindro!$B$9-1)*Presion_cilindro!$B$33*(T661-T660)/((Presion_cilindro!O659+Presion_cilindro!O660)/2)</f>
        <v>2.9565802627662561</v>
      </c>
    </row>
    <row r="662" spans="14:21" x14ac:dyDescent="0.25">
      <c r="N662" s="8">
        <f>-Presion_cilindro!N661</f>
        <v>-148.5</v>
      </c>
      <c r="O662" s="9">
        <f>IF(Presion_cilindro!N661&gt;$B$12,1-EXP(-Presion_cilindro!$B$16*((Presion_cilindro!N661-$B$12)/Presion_cilindro!$B$35)^(Presion_cilindro!$B$17+1)),0)</f>
        <v>1</v>
      </c>
      <c r="P662" s="10">
        <f>P661*(Presion_cilindro!O660/Presion_cilindro!O661)^Presion_cilindro!$B$9+10*(Presion_cilindro!$B$9-1)*Presion_cilindro!$B$33*(O662-O661)/((Presion_cilindro!O660+Presion_cilindro!O661)/2)</f>
        <v>2.4090513686933317</v>
      </c>
      <c r="Q662" s="9">
        <f>IF(OR($B$9=0,Presion_cilindro!N661&lt;=$B$15),IF(Presion_cilindro!N661&gt;$B$13,1-EXP(-Presion_cilindro!$B$16*((Presion_cilindro!N661-$B$13)/Presion_cilindro!$B$35)^(Presion_cilindro!$B$17+1)),0),$B$8+(1-$B$8)*(1-EXP(-(Presion_cilindro!N661-$B$15)/Presion_cilindro!$B$23)))</f>
        <v>1</v>
      </c>
      <c r="R662" s="10">
        <f>R661*(Presion_cilindro!O660/Presion_cilindro!O661)^Presion_cilindro!$B$9+10*(Presion_cilindro!$B$9-1)*Presion_cilindro!$B$33*(Q662-Q661)/((Presion_cilindro!O660+Presion_cilindro!O661)/2)</f>
        <v>2.4987321973466581</v>
      </c>
      <c r="S662" s="10">
        <f>R662+IF(AND($B$9=1,Presion_cilindro!N661&gt;$B$15),Presion_cilindro!$B$24*2.5*EXP(-(Presion_cilindro!N661-$B$15)/Presion_cilindro!$B$26)*SIN(2*PI()*(Presion_cilindro!N661-$B$15)/Presion_cilindro!$B$39),0)</f>
        <v>2.4987309354437337</v>
      </c>
      <c r="T662" s="9">
        <f>IF(Presion_cilindro!N661&gt;$B$14,1-EXP(-Presion_cilindro!$B$16*((Presion_cilindro!N661-$B$14)/Presion_cilindro!$B$35)^(Presion_cilindro!$B$17+1)),0)</f>
        <v>1</v>
      </c>
      <c r="U662" s="10">
        <f>U661*(Presion_cilindro!O660/Presion_cilindro!O661)^Presion_cilindro!$B$9+10*(Presion_cilindro!$B$9-1)*Presion_cilindro!$B$33*(T662-T661)/((Presion_cilindro!O660+Presion_cilindro!O661)/2)</f>
        <v>2.9501396655925136</v>
      </c>
    </row>
    <row r="663" spans="14:21" x14ac:dyDescent="0.25">
      <c r="N663" s="8">
        <f>-Presion_cilindro!N662</f>
        <v>-149</v>
      </c>
      <c r="O663" s="9">
        <f>IF(Presion_cilindro!N662&gt;$B$12,1-EXP(-Presion_cilindro!$B$16*((Presion_cilindro!N662-$B$12)/Presion_cilindro!$B$35)^(Presion_cilindro!$B$17+1)),0)</f>
        <v>1</v>
      </c>
      <c r="P663" s="10">
        <f>P662*(Presion_cilindro!O661/Presion_cilindro!O662)^Presion_cilindro!$B$9+10*(Presion_cilindro!$B$9-1)*Presion_cilindro!$B$33*(O663-O662)/((Presion_cilindro!O661+Presion_cilindro!O662)/2)</f>
        <v>2.4038944900798715</v>
      </c>
      <c r="Q663" s="9">
        <f>IF(OR($B$9=0,Presion_cilindro!N662&lt;=$B$15),IF(Presion_cilindro!N662&gt;$B$13,1-EXP(-Presion_cilindro!$B$16*((Presion_cilindro!N662-$B$13)/Presion_cilindro!$B$35)^(Presion_cilindro!$B$17+1)),0),$B$8+(1-$B$8)*(1-EXP(-(Presion_cilindro!N662-$B$15)/Presion_cilindro!$B$23)))</f>
        <v>1</v>
      </c>
      <c r="R663" s="10">
        <f>R662*(Presion_cilindro!O661/Presion_cilindro!O662)^Presion_cilindro!$B$9+10*(Presion_cilindro!$B$9-1)*Presion_cilindro!$B$33*(Q663-Q662)/((Presion_cilindro!O661+Presion_cilindro!O662)/2)</f>
        <v>2.4933833455966639</v>
      </c>
      <c r="S663" s="10">
        <f>R663+IF(AND($B$9=1,Presion_cilindro!N662&gt;$B$15),Presion_cilindro!$B$24*2.5*EXP(-(Presion_cilindro!N662-$B$15)/Presion_cilindro!$B$26)*SIN(2*PI()*(Presion_cilindro!N662-$B$15)/Presion_cilindro!$B$39),0)</f>
        <v>2.493382922388343</v>
      </c>
      <c r="T663" s="9">
        <f>IF(Presion_cilindro!N662&gt;$B$14,1-EXP(-Presion_cilindro!$B$16*((Presion_cilindro!N662-$B$14)/Presion_cilindro!$B$35)^(Presion_cilindro!$B$17+1)),0)</f>
        <v>1</v>
      </c>
      <c r="U663" s="10">
        <f>U662*(Presion_cilindro!O661/Presion_cilindro!O662)^Presion_cilindro!$B$9+10*(Presion_cilindro!$B$9-1)*Presion_cilindro!$B$33*(T663-T662)/((Presion_cilindro!O661+Presion_cilindro!O662)/2)</f>
        <v>2.9438245191635413</v>
      </c>
    </row>
    <row r="664" spans="14:21" x14ac:dyDescent="0.25">
      <c r="N664" s="8">
        <f>-Presion_cilindro!N663</f>
        <v>-149.5</v>
      </c>
      <c r="O664" s="9">
        <f>IF(Presion_cilindro!N663&gt;$B$12,1-EXP(-Presion_cilindro!$B$16*((Presion_cilindro!N663-$B$12)/Presion_cilindro!$B$35)^(Presion_cilindro!$B$17+1)),0)</f>
        <v>1</v>
      </c>
      <c r="P664" s="10">
        <f>P663*(Presion_cilindro!O662/Presion_cilindro!O663)^Presion_cilindro!$B$9+10*(Presion_cilindro!$B$9-1)*Presion_cilindro!$B$33*(O664-O663)/((Presion_cilindro!O662+Presion_cilindro!O663)/2)</f>
        <v>2.3988390409931837</v>
      </c>
      <c r="Q664" s="9">
        <f>IF(OR($B$9=0,Presion_cilindro!N663&lt;=$B$15),IF(Presion_cilindro!N663&gt;$B$13,1-EXP(-Presion_cilindro!$B$16*((Presion_cilindro!N663-$B$13)/Presion_cilindro!$B$35)^(Presion_cilindro!$B$17+1)),0),$B$8+(1-$B$8)*(1-EXP(-(Presion_cilindro!N663-$B$15)/Presion_cilindro!$B$23)))</f>
        <v>1</v>
      </c>
      <c r="R664" s="10">
        <f>R663*(Presion_cilindro!O662/Presion_cilindro!O663)^Presion_cilindro!$B$9+10*(Presion_cilindro!$B$9-1)*Presion_cilindro!$B$33*(Q664-Q663)/((Presion_cilindro!O662+Presion_cilindro!O663)/2)</f>
        <v>2.4881396992514198</v>
      </c>
      <c r="S664" s="10">
        <f>R664+IF(AND($B$9=1,Presion_cilindro!N663&gt;$B$15),Presion_cilindro!$B$24*2.5*EXP(-(Presion_cilindro!N663-$B$15)/Presion_cilindro!$B$26)*SIN(2*PI()*(Presion_cilindro!N663-$B$15)/Presion_cilindro!$B$39),0)</f>
        <v>2.4881408410684038</v>
      </c>
      <c r="T664" s="9">
        <f>IF(Presion_cilindro!N663&gt;$B$14,1-EXP(-Presion_cilindro!$B$16*((Presion_cilindro!N663-$B$14)/Presion_cilindro!$B$35)^(Presion_cilindro!$B$17+1)),0)</f>
        <v>1</v>
      </c>
      <c r="U664" s="10">
        <f>U663*(Presion_cilindro!O662/Presion_cilindro!O663)^Presion_cilindro!$B$9+10*(Presion_cilindro!$B$9-1)*Presion_cilindro!$B$33*(T664-T663)/((Presion_cilindro!O662+Presion_cilindro!O663)/2)</f>
        <v>2.9376335839797427</v>
      </c>
    </row>
    <row r="665" spans="14:21" x14ac:dyDescent="0.25">
      <c r="N665" s="8">
        <f>-Presion_cilindro!N664</f>
        <v>-150</v>
      </c>
      <c r="O665" s="9">
        <f>IF(Presion_cilindro!N664&gt;$B$12,1-EXP(-Presion_cilindro!$B$16*((Presion_cilindro!N664-$B$12)/Presion_cilindro!$B$35)^(Presion_cilindro!$B$17+1)),0)</f>
        <v>1</v>
      </c>
      <c r="P665" s="10">
        <f>P664*(Presion_cilindro!O663/Presion_cilindro!O664)^Presion_cilindro!$B$9+10*(Presion_cilindro!$B$9-1)*Presion_cilindro!$B$33*(O665-O664)/((Presion_cilindro!O663+Presion_cilindro!O664)/2)</f>
        <v>2.393884032040912</v>
      </c>
      <c r="Q665" s="9">
        <f>IF(OR($B$9=0,Presion_cilindro!N664&lt;=$B$15),IF(Presion_cilindro!N664&gt;$B$13,1-EXP(-Presion_cilindro!$B$16*((Presion_cilindro!N664-$B$13)/Presion_cilindro!$B$35)^(Presion_cilindro!$B$17+1)),0),$B$8+(1-$B$8)*(1-EXP(-(Presion_cilindro!N664-$B$15)/Presion_cilindro!$B$23)))</f>
        <v>1</v>
      </c>
      <c r="R665" s="10">
        <f>R664*(Presion_cilindro!O663/Presion_cilindro!O664)^Presion_cilindro!$B$9+10*(Presion_cilindro!$B$9-1)*Presion_cilindro!$B$33*(Q665-Q664)/((Presion_cilindro!O663+Presion_cilindro!O664)/2)</f>
        <v>2.4830002320868414</v>
      </c>
      <c r="S665" s="10">
        <f>R665+IF(AND($B$9=1,Presion_cilindro!N664&gt;$B$15),Presion_cilindro!$B$24*2.5*EXP(-(Presion_cilindro!N664-$B$15)/Presion_cilindro!$B$26)*SIN(2*PI()*(Presion_cilindro!N664-$B$15)/Presion_cilindro!$B$39),0)</f>
        <v>2.4830006150215658</v>
      </c>
      <c r="T665" s="9">
        <f>IF(Presion_cilindro!N664&gt;$B$14,1-EXP(-Presion_cilindro!$B$16*((Presion_cilindro!N664-$B$14)/Presion_cilindro!$B$35)^(Presion_cilindro!$B$17+1)),0)</f>
        <v>1</v>
      </c>
      <c r="U665" s="10">
        <f>U664*(Presion_cilindro!O663/Presion_cilindro!O664)^Presion_cilindro!$B$9+10*(Presion_cilindro!$B$9-1)*Presion_cilindro!$B$33*(T665-T664)/((Presion_cilindro!O663+Presion_cilindro!O664)/2)</f>
        <v>2.9315656484249311</v>
      </c>
    </row>
    <row r="666" spans="14:21" x14ac:dyDescent="0.25">
      <c r="N666" s="8">
        <f>-Presion_cilindro!N665</f>
        <v>-150.5</v>
      </c>
      <c r="O666" s="9">
        <f>IF(Presion_cilindro!N665&gt;$B$12,1-EXP(-Presion_cilindro!$B$16*((Presion_cilindro!N665-$B$12)/Presion_cilindro!$B$35)^(Presion_cilindro!$B$17+1)),0)</f>
        <v>1</v>
      </c>
      <c r="P666" s="10">
        <f>P665*(Presion_cilindro!O664/Presion_cilindro!O665)^Presion_cilindro!$B$9+10*(Presion_cilindro!$B$9-1)*Presion_cilindro!$B$33*(O666-O665)/((Presion_cilindro!O664+Presion_cilindro!O665)/2)</f>
        <v>2.3890284962423154</v>
      </c>
      <c r="Q666" s="9">
        <f>IF(OR($B$9=0,Presion_cilindro!N665&lt;=$B$15),IF(Presion_cilindro!N665&gt;$B$13,1-EXP(-Presion_cilindro!$B$16*((Presion_cilindro!N665-$B$13)/Presion_cilindro!$B$35)^(Presion_cilindro!$B$17+1)),0),$B$8+(1-$B$8)*(1-EXP(-(Presion_cilindro!N665-$B$15)/Presion_cilindro!$B$23)))</f>
        <v>1</v>
      </c>
      <c r="R666" s="10">
        <f>R665*(Presion_cilindro!O664/Presion_cilindro!O665)^Presion_cilindro!$B$9+10*(Presion_cilindro!$B$9-1)*Presion_cilindro!$B$33*(Q666-Q665)/((Presion_cilindro!O664+Presion_cilindro!O665)/2)</f>
        <v>2.4779639411247674</v>
      </c>
      <c r="S666" s="10">
        <f>R666+IF(AND($B$9=1,Presion_cilindro!N665&gt;$B$15),Presion_cilindro!$B$24*2.5*EXP(-(Presion_cilindro!N665-$B$15)/Presion_cilindro!$B$26)*SIN(2*PI()*(Presion_cilindro!N665-$B$15)/Presion_cilindro!$B$39),0)</f>
        <v>2.4779629079660355</v>
      </c>
      <c r="T666" s="9">
        <f>IF(Presion_cilindro!N665&gt;$B$14,1-EXP(-Presion_cilindro!$B$16*((Presion_cilindro!N665-$B$14)/Presion_cilindro!$B$35)^(Presion_cilindro!$B$17+1)),0)</f>
        <v>1</v>
      </c>
      <c r="U666" s="10">
        <f>U665*(Presion_cilindro!O664/Presion_cilindro!O665)^Presion_cilindro!$B$9+10*(Presion_cilindro!$B$9-1)*Presion_cilindro!$B$33*(T666-T665)/((Presion_cilindro!O664+Presion_cilindro!O665)/2)</f>
        <v>2.9256195283283248</v>
      </c>
    </row>
    <row r="667" spans="14:21" x14ac:dyDescent="0.25">
      <c r="N667" s="8">
        <f>-Presion_cilindro!N666</f>
        <v>-151</v>
      </c>
      <c r="O667" s="9">
        <f>IF(Presion_cilindro!N666&gt;$B$12,1-EXP(-Presion_cilindro!$B$16*((Presion_cilindro!N666-$B$12)/Presion_cilindro!$B$35)^(Presion_cilindro!$B$17+1)),0)</f>
        <v>1</v>
      </c>
      <c r="P667" s="10">
        <f>P666*(Presion_cilindro!O665/Presion_cilindro!O666)^Presion_cilindro!$B$9+10*(Presion_cilindro!$B$9-1)*Presion_cilindro!$B$33*(O667-O666)/((Presion_cilindro!O665+Presion_cilindro!O666)/2)</f>
        <v>2.3842714886798566</v>
      </c>
      <c r="Q667" s="9">
        <f>IF(OR($B$9=0,Presion_cilindro!N666&lt;=$B$15),IF(Presion_cilindro!N666&gt;$B$13,1-EXP(-Presion_cilindro!$B$16*((Presion_cilindro!N666-$B$13)/Presion_cilindro!$B$35)^(Presion_cilindro!$B$17+1)),0),$B$8+(1-$B$8)*(1-EXP(-(Presion_cilindro!N666-$B$15)/Presion_cilindro!$B$23)))</f>
        <v>1</v>
      </c>
      <c r="R667" s="10">
        <f>R666*(Presion_cilindro!O665/Presion_cilindro!O666)^Presion_cilindro!$B$9+10*(Presion_cilindro!$B$9-1)*Presion_cilindro!$B$33*(Q667-Q666)/((Presion_cilindro!O665+Presion_cilindro!O666)/2)</f>
        <v>2.4730298462715785</v>
      </c>
      <c r="S667" s="10">
        <f>R667+IF(AND($B$9=1,Presion_cilindro!N666&gt;$B$15),Presion_cilindro!$B$24*2.5*EXP(-(Presion_cilindro!N666-$B$15)/Presion_cilindro!$B$26)*SIN(2*PI()*(Presion_cilindro!N666-$B$15)/Presion_cilindro!$B$39),0)</f>
        <v>2.473029499777911</v>
      </c>
      <c r="T667" s="9">
        <f>IF(Presion_cilindro!N666&gt;$B$14,1-EXP(-Presion_cilindro!$B$16*((Presion_cilindro!N666-$B$14)/Presion_cilindro!$B$35)^(Presion_cilindro!$B$17+1)),0)</f>
        <v>1</v>
      </c>
      <c r="U667" s="10">
        <f>U666*(Presion_cilindro!O665/Presion_cilindro!O666)^Presion_cilindro!$B$9+10*(Presion_cilindro!$B$9-1)*Presion_cilindro!$B$33*(T667-T666)/((Presion_cilindro!O665+Presion_cilindro!O666)/2)</f>
        <v>2.9197940665378836</v>
      </c>
    </row>
    <row r="668" spans="14:21" x14ac:dyDescent="0.25">
      <c r="N668" s="8">
        <f>-Presion_cilindro!N667</f>
        <v>-151.5</v>
      </c>
      <c r="O668" s="9">
        <f>IF(Presion_cilindro!N667&gt;$B$12,1-EXP(-Presion_cilindro!$B$16*((Presion_cilindro!N667-$B$12)/Presion_cilindro!$B$35)^(Presion_cilindro!$B$17+1)),0)</f>
        <v>1</v>
      </c>
      <c r="P668" s="10">
        <f>P667*(Presion_cilindro!O666/Presion_cilindro!O667)^Presion_cilindro!$B$9+10*(Presion_cilindro!$B$9-1)*Presion_cilindro!$B$33*(O668-O667)/((Presion_cilindro!O666+Presion_cilindro!O667)/2)</f>
        <v>2.3796120861598853</v>
      </c>
      <c r="Q668" s="9">
        <f>IF(OR($B$9=0,Presion_cilindro!N667&lt;=$B$15),IF(Presion_cilindro!N667&gt;$B$13,1-EXP(-Presion_cilindro!$B$16*((Presion_cilindro!N667-$B$13)/Presion_cilindro!$B$35)^(Presion_cilindro!$B$17+1)),0),$B$8+(1-$B$8)*(1-EXP(-(Presion_cilindro!N667-$B$15)/Presion_cilindro!$B$23)))</f>
        <v>1</v>
      </c>
      <c r="R668" s="10">
        <f>R667*(Presion_cilindro!O666/Presion_cilindro!O667)^Presion_cilindro!$B$9+10*(Presion_cilindro!$B$9-1)*Presion_cilindro!$B$33*(Q668-Q667)/((Presion_cilindro!O666+Presion_cilindro!O667)/2)</f>
        <v>2.4681969899662497</v>
      </c>
      <c r="S668" s="10">
        <f>R668+IF(AND($B$9=1,Presion_cilindro!N667&gt;$B$15),Presion_cilindro!$B$24*2.5*EXP(-(Presion_cilindro!N667-$B$15)/Presion_cilindro!$B$26)*SIN(2*PI()*(Presion_cilindro!N667-$B$15)/Presion_cilindro!$B$39),0)</f>
        <v>2.4681979248069288</v>
      </c>
      <c r="T668" s="9">
        <f>IF(Presion_cilindro!N667&gt;$B$14,1-EXP(-Presion_cilindro!$B$16*((Presion_cilindro!N667-$B$14)/Presion_cilindro!$B$35)^(Presion_cilindro!$B$17+1)),0)</f>
        <v>1</v>
      </c>
      <c r="U668" s="10">
        <f>U667*(Presion_cilindro!O666/Presion_cilindro!O667)^Presion_cilindro!$B$9+10*(Presion_cilindro!$B$9-1)*Presion_cilindro!$B$33*(T668-T667)/((Presion_cilindro!O666+Presion_cilindro!O667)/2)</f>
        <v>2.9140881325047769</v>
      </c>
    </row>
    <row r="669" spans="14:21" x14ac:dyDescent="0.25">
      <c r="N669" s="8">
        <f>-Presion_cilindro!N668</f>
        <v>-152</v>
      </c>
      <c r="O669" s="9">
        <f>IF(Presion_cilindro!N668&gt;$B$12,1-EXP(-Presion_cilindro!$B$16*((Presion_cilindro!N668-$B$12)/Presion_cilindro!$B$35)^(Presion_cilindro!$B$17+1)),0)</f>
        <v>1</v>
      </c>
      <c r="P669" s="10">
        <f>P668*(Presion_cilindro!O667/Presion_cilindro!O668)^Presion_cilindro!$B$9+10*(Presion_cilindro!$B$9-1)*Presion_cilindro!$B$33*(O669-O668)/((Presion_cilindro!O667+Presion_cilindro!O668)/2)</f>
        <v>2.3750493868821754</v>
      </c>
      <c r="Q669" s="9">
        <f>IF(OR($B$9=0,Presion_cilindro!N668&lt;=$B$15),IF(Presion_cilindro!N668&gt;$B$13,1-EXP(-Presion_cilindro!$B$16*((Presion_cilindro!N668-$B$13)/Presion_cilindro!$B$35)^(Presion_cilindro!$B$17+1)),0),$B$8+(1-$B$8)*(1-EXP(-(Presion_cilindro!N668-$B$15)/Presion_cilindro!$B$23)))</f>
        <v>1</v>
      </c>
      <c r="R669" s="10">
        <f>R668*(Presion_cilindro!O667/Presion_cilindro!O668)^Presion_cilindro!$B$9+10*(Presion_cilindro!$B$9-1)*Presion_cilindro!$B$33*(Q669-Q668)/((Presion_cilindro!O667+Presion_cilindro!O668)/2)</f>
        <v>2.4634644368375849</v>
      </c>
      <c r="S669" s="10">
        <f>R669+IF(AND($B$9=1,Presion_cilindro!N668&gt;$B$15),Presion_cilindro!$B$24*2.5*EXP(-(Presion_cilindro!N668-$B$15)/Presion_cilindro!$B$26)*SIN(2*PI()*(Presion_cilindro!N668-$B$15)/Presion_cilindro!$B$39),0)</f>
        <v>2.4634647503580203</v>
      </c>
      <c r="T669" s="9">
        <f>IF(Presion_cilindro!N668&gt;$B$14,1-EXP(-Presion_cilindro!$B$16*((Presion_cilindro!N668-$B$14)/Presion_cilindro!$B$35)^(Presion_cilindro!$B$17+1)),0)</f>
        <v>1</v>
      </c>
      <c r="U669" s="10">
        <f>U668*(Presion_cilindro!O667/Presion_cilindro!O668)^Presion_cilindro!$B$9+10*(Presion_cilindro!$B$9-1)*Presion_cilindro!$B$33*(T669-T668)/((Presion_cilindro!O667+Presion_cilindro!O668)/2)</f>
        <v>2.9085006218786988</v>
      </c>
    </row>
    <row r="670" spans="14:21" x14ac:dyDescent="0.25">
      <c r="N670" s="8">
        <f>-Presion_cilindro!N669</f>
        <v>-152.5</v>
      </c>
      <c r="O670" s="9">
        <f>IF(Presion_cilindro!N669&gt;$B$12,1-EXP(-Presion_cilindro!$B$16*((Presion_cilindro!N669-$B$12)/Presion_cilindro!$B$35)^(Presion_cilindro!$B$17+1)),0)</f>
        <v>1</v>
      </c>
      <c r="P670" s="10">
        <f>P669*(Presion_cilindro!O668/Presion_cilindro!O669)^Presion_cilindro!$B$9+10*(Presion_cilindro!$B$9-1)*Presion_cilindro!$B$33*(O670-O669)/((Presion_cilindro!O668+Presion_cilindro!O669)/2)</f>
        <v>2.370582510118191</v>
      </c>
      <c r="Q670" s="9">
        <f>IF(OR($B$9=0,Presion_cilindro!N669&lt;=$B$15),IF(Presion_cilindro!N669&gt;$B$13,1-EXP(-Presion_cilindro!$B$16*((Presion_cilindro!N669-$B$13)/Presion_cilindro!$B$35)^(Presion_cilindro!$B$17+1)),0),$B$8+(1-$B$8)*(1-EXP(-(Presion_cilindro!N669-$B$15)/Presion_cilindro!$B$23)))</f>
        <v>1</v>
      </c>
      <c r="R670" s="10">
        <f>R669*(Presion_cilindro!O668/Presion_cilindro!O669)^Presion_cilindro!$B$9+10*(Presion_cilindro!$B$9-1)*Presion_cilindro!$B$33*(Q670-Q669)/((Presion_cilindro!O668+Presion_cilindro!O669)/2)</f>
        <v>2.4588312733705053</v>
      </c>
      <c r="S670" s="10">
        <f>R670+IF(AND($B$9=1,Presion_cilindro!N669&gt;$B$15),Presion_cilindro!$B$24*2.5*EXP(-(Presion_cilindro!N669-$B$15)/Presion_cilindro!$B$26)*SIN(2*PI()*(Presion_cilindro!N669-$B$15)/Presion_cilindro!$B$39),0)</f>
        <v>2.4588304274916788</v>
      </c>
      <c r="T670" s="9">
        <f>IF(Presion_cilindro!N669&gt;$B$14,1-EXP(-Presion_cilindro!$B$16*((Presion_cilindro!N669-$B$14)/Presion_cilindro!$B$35)^(Presion_cilindro!$B$17+1)),0)</f>
        <v>1</v>
      </c>
      <c r="U670" s="10">
        <f>U669*(Presion_cilindro!O668/Presion_cilindro!O669)^Presion_cilindro!$B$9+10*(Presion_cilindro!$B$9-1)*Presion_cilindro!$B$33*(T670-T669)/((Presion_cilindro!O668+Presion_cilindro!O669)/2)</f>
        <v>2.9030304561138682</v>
      </c>
    </row>
    <row r="671" spans="14:21" x14ac:dyDescent="0.25">
      <c r="N671" s="8">
        <f>-Presion_cilindro!N670</f>
        <v>-153</v>
      </c>
      <c r="O671" s="9">
        <f>IF(Presion_cilindro!N670&gt;$B$12,1-EXP(-Presion_cilindro!$B$16*((Presion_cilindro!N670-$B$12)/Presion_cilindro!$B$35)^(Presion_cilindro!$B$17+1)),0)</f>
        <v>1</v>
      </c>
      <c r="P671" s="10">
        <f>P670*(Presion_cilindro!O669/Presion_cilindro!O670)^Presion_cilindro!$B$9+10*(Presion_cilindro!$B$9-1)*Presion_cilindro!$B$33*(O671-O670)/((Presion_cilindro!O669+Presion_cilindro!O670)/2)</f>
        <v>2.3662105958978281</v>
      </c>
      <c r="Q671" s="9">
        <f>IF(OR($B$9=0,Presion_cilindro!N670&lt;=$B$15),IF(Presion_cilindro!N670&gt;$B$13,1-EXP(-Presion_cilindro!$B$16*((Presion_cilindro!N670-$B$13)/Presion_cilindro!$B$35)^(Presion_cilindro!$B$17+1)),0),$B$8+(1-$B$8)*(1-EXP(-(Presion_cilindro!N670-$B$15)/Presion_cilindro!$B$23)))</f>
        <v>1</v>
      </c>
      <c r="R671" s="10">
        <f>R670*(Presion_cilindro!O669/Presion_cilindro!O670)^Presion_cilindro!$B$9+10*(Presion_cilindro!$B$9-1)*Presion_cilindro!$B$33*(Q671-Q670)/((Presion_cilindro!O669+Presion_cilindro!O670)/2)</f>
        <v>2.454296607581131</v>
      </c>
      <c r="S671" s="10">
        <f>R671+IF(AND($B$9=1,Presion_cilindro!N670&gt;$B$15),Presion_cilindro!$B$24*2.5*EXP(-(Presion_cilindro!N670-$B$15)/Presion_cilindro!$B$26)*SIN(2*PI()*(Presion_cilindro!N670-$B$15)/Presion_cilindro!$B$39),0)</f>
        <v>2.4542963238961097</v>
      </c>
      <c r="T671" s="9">
        <f>IF(Presion_cilindro!N670&gt;$B$14,1-EXP(-Presion_cilindro!$B$16*((Presion_cilindro!N670-$B$14)/Presion_cilindro!$B$35)^(Presion_cilindro!$B$17+1)),0)</f>
        <v>1</v>
      </c>
      <c r="U671" s="10">
        <f>U670*(Presion_cilindro!O669/Presion_cilindro!O670)^Presion_cilindro!$B$9+10*(Presion_cilindro!$B$9-1)*Presion_cilindro!$B$33*(T671-T670)/((Presion_cilindro!O669+Presion_cilindro!O670)/2)</f>
        <v>2.8976765820854133</v>
      </c>
    </row>
    <row r="672" spans="14:21" x14ac:dyDescent="0.25">
      <c r="N672" s="8">
        <f>-Presion_cilindro!N671</f>
        <v>-153.5</v>
      </c>
      <c r="O672" s="9">
        <f>IF(Presion_cilindro!N671&gt;$B$12,1-EXP(-Presion_cilindro!$B$16*((Presion_cilindro!N671-$B$12)/Presion_cilindro!$B$35)^(Presion_cilindro!$B$17+1)),0)</f>
        <v>1</v>
      </c>
      <c r="P672" s="10">
        <f>P671*(Presion_cilindro!O670/Presion_cilindro!O671)^Presion_cilindro!$B$9+10*(Presion_cilindro!$B$9-1)*Presion_cilindro!$B$33*(O672-O671)/((Presion_cilindro!O670+Presion_cilindro!O671)/2)</f>
        <v>2.3619328047045172</v>
      </c>
      <c r="Q672" s="9">
        <f>IF(OR($B$9=0,Presion_cilindro!N671&lt;=$B$15),IF(Presion_cilindro!N671&gt;$B$13,1-EXP(-Presion_cilindro!$B$16*((Presion_cilindro!N671-$B$13)/Presion_cilindro!$B$35)^(Presion_cilindro!$B$17+1)),0),$B$8+(1-$B$8)*(1-EXP(-(Presion_cilindro!N671-$B$15)/Presion_cilindro!$B$23)))</f>
        <v>1</v>
      </c>
      <c r="R672" s="10">
        <f>R671*(Presion_cilindro!O670/Presion_cilindro!O671)^Presion_cilindro!$B$9+10*(Presion_cilindro!$B$9-1)*Presion_cilindro!$B$33*(Q672-Q671)/((Presion_cilindro!O670+Presion_cilindro!O671)/2)</f>
        <v>2.449859568700532</v>
      </c>
      <c r="S672" s="10">
        <f>R672+IF(AND($B$9=1,Presion_cilindro!N671&gt;$B$15),Presion_cilindro!$B$24*2.5*EXP(-(Presion_cilindro!N671-$B$15)/Presion_cilindro!$B$26)*SIN(2*PI()*(Presion_cilindro!N671-$B$15)/Presion_cilindro!$B$39),0)</f>
        <v>2.4498603340833451</v>
      </c>
      <c r="T672" s="9">
        <f>IF(Presion_cilindro!N671&gt;$B$14,1-EXP(-Presion_cilindro!$B$16*((Presion_cilindro!N671-$B$14)/Presion_cilindro!$B$35)^(Presion_cilindro!$B$17+1)),0)</f>
        <v>1</v>
      </c>
      <c r="U672" s="10">
        <f>U671*(Presion_cilindro!O670/Presion_cilindro!O671)^Presion_cilindro!$B$9+10*(Presion_cilindro!$B$9-1)*Presion_cilindro!$B$33*(T672-T671)/((Presion_cilindro!O670+Presion_cilindro!O671)/2)</f>
        <v>2.8924379717159905</v>
      </c>
    </row>
    <row r="673" spans="14:21" x14ac:dyDescent="0.25">
      <c r="N673" s="8">
        <f>-Presion_cilindro!N672</f>
        <v>-154</v>
      </c>
      <c r="O673" s="9">
        <f>IF(Presion_cilindro!N672&gt;$B$12,1-EXP(-Presion_cilindro!$B$16*((Presion_cilindro!N672-$B$12)/Presion_cilindro!$B$35)^(Presion_cilindro!$B$17+1)),0)</f>
        <v>1</v>
      </c>
      <c r="P673" s="10">
        <f>P672*(Presion_cilindro!O671/Presion_cilindro!O672)^Presion_cilindro!$B$9+10*(Presion_cilindro!$B$9-1)*Presion_cilindro!$B$33*(O673-O672)/((Presion_cilindro!O671+Presion_cilindro!O672)/2)</f>
        <v>2.3577483171784692</v>
      </c>
      <c r="Q673" s="9">
        <f>IF(OR($B$9=0,Presion_cilindro!N672&lt;=$B$15),IF(Presion_cilindro!N672&gt;$B$13,1-EXP(-Presion_cilindro!$B$16*((Presion_cilindro!N672-$B$13)/Presion_cilindro!$B$35)^(Presion_cilindro!$B$17+1)),0),$B$8+(1-$B$8)*(1-EXP(-(Presion_cilindro!N672-$B$15)/Presion_cilindro!$B$23)))</f>
        <v>1</v>
      </c>
      <c r="R673" s="10">
        <f>R672*(Presion_cilindro!O671/Presion_cilindro!O672)^Presion_cilindro!$B$9+10*(Presion_cilindro!$B$9-1)*Presion_cilindro!$B$33*(Q673-Q672)/((Presion_cilindro!O671+Presion_cilindro!O672)/2)</f>
        <v>2.4455193068669279</v>
      </c>
      <c r="S673" s="10">
        <f>R673+IF(AND($B$9=1,Presion_cilindro!N672&gt;$B$15),Presion_cilindro!$B$24*2.5*EXP(-(Presion_cilindro!N672-$B$15)/Presion_cilindro!$B$26)*SIN(2*PI()*(Presion_cilindro!N672-$B$15)/Presion_cilindro!$B$39),0)</f>
        <v>2.4455195635557501</v>
      </c>
      <c r="T673" s="9">
        <f>IF(Presion_cilindro!N672&gt;$B$14,1-EXP(-Presion_cilindro!$B$16*((Presion_cilindro!N672-$B$14)/Presion_cilindro!$B$35)^(Presion_cilindro!$B$17+1)),0)</f>
        <v>1</v>
      </c>
      <c r="U673" s="10">
        <f>U672*(Presion_cilindro!O671/Presion_cilindro!O672)^Presion_cilindro!$B$9+10*(Presion_cilindro!$B$9-1)*Presion_cilindro!$B$33*(T673-T672)/((Presion_cilindro!O671+Presion_cilindro!O672)/2)</f>
        <v>2.8873136216123783</v>
      </c>
    </row>
    <row r="674" spans="14:21" x14ac:dyDescent="0.25">
      <c r="N674" s="8">
        <f>-Presion_cilindro!N673</f>
        <v>-154.5</v>
      </c>
      <c r="O674" s="9">
        <f>IF(Presion_cilindro!N673&gt;$B$12,1-EXP(-Presion_cilindro!$B$16*((Presion_cilindro!N673-$B$12)/Presion_cilindro!$B$35)^(Presion_cilindro!$B$17+1)),0)</f>
        <v>1</v>
      </c>
      <c r="P674" s="10">
        <f>P673*(Presion_cilindro!O672/Presion_cilindro!O673)^Presion_cilindro!$B$9+10*(Presion_cilindro!$B$9-1)*Presion_cilindro!$B$33*(O674-O673)/((Presion_cilindro!O672+Presion_cilindro!O673)/2)</f>
        <v>2.3536563338279382</v>
      </c>
      <c r="Q674" s="9">
        <f>IF(OR($B$9=0,Presion_cilindro!N673&lt;=$B$15),IF(Presion_cilindro!N673&gt;$B$13,1-EXP(-Presion_cilindro!$B$16*((Presion_cilindro!N673-$B$13)/Presion_cilindro!$B$35)^(Presion_cilindro!$B$17+1)),0),$B$8+(1-$B$8)*(1-EXP(-(Presion_cilindro!N673-$B$15)/Presion_cilindro!$B$23)))</f>
        <v>1</v>
      </c>
      <c r="R674" s="10">
        <f>R673*(Presion_cilindro!O672/Presion_cilindro!O673)^Presion_cilindro!$B$9+10*(Presion_cilindro!$B$9-1)*Presion_cilindro!$B$33*(Q674-Q673)/((Presion_cilindro!O672+Presion_cilindro!O673)/2)</f>
        <v>2.4412749928262008</v>
      </c>
      <c r="S674" s="10">
        <f>R674+IF(AND($B$9=1,Presion_cilindro!N673&gt;$B$15),Presion_cilindro!$B$24*2.5*EXP(-(Presion_cilindro!N673-$B$15)/Presion_cilindro!$B$26)*SIN(2*PI()*(Presion_cilindro!N673-$B$15)/Presion_cilindro!$B$39),0)</f>
        <v>2.4412743002791921</v>
      </c>
      <c r="T674" s="9">
        <f>IF(Presion_cilindro!N673&gt;$B$14,1-EXP(-Presion_cilindro!$B$16*((Presion_cilindro!N673-$B$14)/Presion_cilindro!$B$35)^(Presion_cilindro!$B$17+1)),0)</f>
        <v>1</v>
      </c>
      <c r="U674" s="10">
        <f>U673*(Presion_cilindro!O672/Presion_cilindro!O673)^Presion_cilindro!$B$9+10*(Presion_cilindro!$B$9-1)*Presion_cilindro!$B$33*(T674-T673)/((Presion_cilindro!O672+Presion_cilindro!O673)/2)</f>
        <v>2.8823025527118871</v>
      </c>
    </row>
    <row r="675" spans="14:21" x14ac:dyDescent="0.25">
      <c r="N675" s="8">
        <f>-Presion_cilindro!N674</f>
        <v>-155</v>
      </c>
      <c r="O675" s="9">
        <f>IF(Presion_cilindro!N674&gt;$B$12,1-EXP(-Presion_cilindro!$B$16*((Presion_cilindro!N674-$B$12)/Presion_cilindro!$B$35)^(Presion_cilindro!$B$17+1)),0)</f>
        <v>1</v>
      </c>
      <c r="P675" s="10">
        <f>P674*(Presion_cilindro!O673/Presion_cilindro!O674)^Presion_cilindro!$B$9+10*(Presion_cilindro!$B$9-1)*Presion_cilindro!$B$33*(O675-O674)/((Presion_cilindro!O673+Presion_cilindro!O674)/2)</f>
        <v>2.3496560747483053</v>
      </c>
      <c r="Q675" s="9">
        <f>IF(OR($B$9=0,Presion_cilindro!N674&lt;=$B$15),IF(Presion_cilindro!N674&gt;$B$13,1-EXP(-Presion_cilindro!$B$16*((Presion_cilindro!N674-$B$13)/Presion_cilindro!$B$35)^(Presion_cilindro!$B$17+1)),0),$B$8+(1-$B$8)*(1-EXP(-(Presion_cilindro!N674-$B$15)/Presion_cilindro!$B$23)))</f>
        <v>1</v>
      </c>
      <c r="R675" s="10">
        <f>R674*(Presion_cilindro!O673/Presion_cilindro!O674)^Presion_cilindro!$B$9+10*(Presion_cilindro!$B$9-1)*Presion_cilindro!$B$33*(Q675-Q674)/((Presion_cilindro!O673+Presion_cilindro!O674)/2)</f>
        <v>2.4371258176405224</v>
      </c>
      <c r="S675" s="10">
        <f>R675+IF(AND($B$9=1,Presion_cilindro!N674&gt;$B$15),Presion_cilindro!$B$24*2.5*EXP(-(Presion_cilindro!N674-$B$15)/Presion_cilindro!$B$26)*SIN(2*PI()*(Presion_cilindro!N674-$B$15)/Presion_cilindro!$B$39),0)</f>
        <v>2.4371255853788711</v>
      </c>
      <c r="T675" s="9">
        <f>IF(Presion_cilindro!N674&gt;$B$14,1-EXP(-Presion_cilindro!$B$16*((Presion_cilindro!N674-$B$14)/Presion_cilindro!$B$35)^(Presion_cilindro!$B$17+1)),0)</f>
        <v>1</v>
      </c>
      <c r="U675" s="10">
        <f>U674*(Presion_cilindro!O673/Presion_cilindro!O674)^Presion_cilindro!$B$9+10*(Presion_cilindro!$B$9-1)*Presion_cilindro!$B$33*(T675-T674)/((Presion_cilindro!O673+Presion_cilindro!O674)/2)</f>
        <v>2.8774038099383477</v>
      </c>
    </row>
    <row r="676" spans="14:21" x14ac:dyDescent="0.25">
      <c r="N676" s="8">
        <f>-Presion_cilindro!N675</f>
        <v>-155.5</v>
      </c>
      <c r="O676" s="9">
        <f>IF(Presion_cilindro!N675&gt;$B$12,1-EXP(-Presion_cilindro!$B$16*((Presion_cilindro!N675-$B$12)/Presion_cilindro!$B$35)^(Presion_cilindro!$B$17+1)),0)</f>
        <v>1</v>
      </c>
      <c r="P676" s="10">
        <f>P675*(Presion_cilindro!O674/Presion_cilindro!O675)^Presion_cilindro!$B$9+10*(Presion_cilindro!$B$9-1)*Presion_cilindro!$B$33*(O676-O675)/((Presion_cilindro!O674+Presion_cilindro!O675)/2)</f>
        <v>2.3457467793488496</v>
      </c>
      <c r="Q676" s="9">
        <f>IF(OR($B$9=0,Presion_cilindro!N675&lt;=$B$15),IF(Presion_cilindro!N675&gt;$B$13,1-EXP(-Presion_cilindro!$B$16*((Presion_cilindro!N675-$B$13)/Presion_cilindro!$B$35)^(Presion_cilindro!$B$17+1)),0),$B$8+(1-$B$8)*(1-EXP(-(Presion_cilindro!N675-$B$15)/Presion_cilindro!$B$23)))</f>
        <v>1</v>
      </c>
      <c r="R676" s="10">
        <f>R675*(Presion_cilindro!O674/Presion_cilindro!O675)^Presion_cilindro!$B$9+10*(Presion_cilindro!$B$9-1)*Presion_cilindro!$B$33*(Q676-Q675)/((Presion_cilindro!O674+Presion_cilindro!O675)/2)</f>
        <v>2.4330709924049536</v>
      </c>
      <c r="S676" s="10">
        <f>R676+IF(AND($B$9=1,Presion_cilindro!N675&gt;$B$15),Presion_cilindro!$B$24*2.5*EXP(-(Presion_cilindro!N675-$B$15)/Presion_cilindro!$B$26)*SIN(2*PI()*(Presion_cilindro!N675-$B$15)/Presion_cilindro!$B$39),0)</f>
        <v>2.4330716190474009</v>
      </c>
      <c r="T676" s="9">
        <f>IF(Presion_cilindro!N675&gt;$B$14,1-EXP(-Presion_cilindro!$B$16*((Presion_cilindro!N675-$B$14)/Presion_cilindro!$B$35)^(Presion_cilindro!$B$17+1)),0)</f>
        <v>1</v>
      </c>
      <c r="U676" s="10">
        <f>U675*(Presion_cilindro!O674/Presion_cilindro!O675)^Presion_cilindro!$B$9+10*(Presion_cilindro!$B$9-1)*Presion_cilindro!$B$33*(T676-T675)/((Presion_cilindro!O674+Presion_cilindro!O675)/2)</f>
        <v>2.8726164618675138</v>
      </c>
    </row>
    <row r="677" spans="14:21" x14ac:dyDescent="0.25">
      <c r="N677" s="8">
        <f>-Presion_cilindro!N676</f>
        <v>-156</v>
      </c>
      <c r="O677" s="9">
        <f>IF(Presion_cilindro!N676&gt;$B$12,1-EXP(-Presion_cilindro!$B$16*((Presion_cilindro!N676-$B$12)/Presion_cilindro!$B$35)^(Presion_cilindro!$B$17+1)),0)</f>
        <v>1</v>
      </c>
      <c r="P677" s="10">
        <f>P676*(Presion_cilindro!O675/Presion_cilindro!O676)^Presion_cilindro!$B$9+10*(Presion_cilindro!$B$9-1)*Presion_cilindro!$B$33*(O677-O676)/((Presion_cilindro!O675+Presion_cilindro!O676)/2)</f>
        <v>2.3419277060870516</v>
      </c>
      <c r="Q677" s="9">
        <f>IF(OR($B$9=0,Presion_cilindro!N676&lt;=$B$15),IF(Presion_cilindro!N676&gt;$B$13,1-EXP(-Presion_cilindro!$B$16*((Presion_cilindro!N676-$B$13)/Presion_cilindro!$B$35)^(Presion_cilindro!$B$17+1)),0),$B$8+(1-$B$8)*(1-EXP(-(Presion_cilindro!N676-$B$15)/Presion_cilindro!$B$23)))</f>
        <v>1</v>
      </c>
      <c r="R677" s="10">
        <f>R676*(Presion_cilindro!O675/Presion_cilindro!O676)^Presion_cilindro!$B$9+10*(Presion_cilindro!$B$9-1)*Presion_cilindro!$B$33*(Q677-Q676)/((Presion_cilindro!O675+Presion_cilindro!O676)/2)</f>
        <v>2.4291097479718569</v>
      </c>
      <c r="S677" s="10">
        <f>R677+IF(AND($B$9=1,Presion_cilindro!N676&gt;$B$15),Presion_cilindro!$B$24*2.5*EXP(-(Presion_cilindro!N676-$B$15)/Presion_cilindro!$B$26)*SIN(2*PI()*(Presion_cilindro!N676-$B$15)/Presion_cilindro!$B$39),0)</f>
        <v>2.4291099581308897</v>
      </c>
      <c r="T677" s="9">
        <f>IF(Presion_cilindro!N676&gt;$B$14,1-EXP(-Presion_cilindro!$B$16*((Presion_cilindro!N676-$B$14)/Presion_cilindro!$B$35)^(Presion_cilindro!$B$17+1)),0)</f>
        <v>1</v>
      </c>
      <c r="U677" s="10">
        <f>U676*(Presion_cilindro!O675/Presion_cilindro!O676)^Presion_cilindro!$B$9+10*(Presion_cilindro!$B$9-1)*Presion_cilindro!$B$33*(T677-T676)/((Presion_cilindro!O675+Presion_cilindro!O676)/2)</f>
        <v>2.867939600401689</v>
      </c>
    </row>
    <row r="678" spans="14:21" x14ac:dyDescent="0.25">
      <c r="N678" s="8">
        <f>-Presion_cilindro!N677</f>
        <v>-156.5</v>
      </c>
      <c r="O678" s="9">
        <f>IF(Presion_cilindro!N677&gt;$B$12,1-EXP(-Presion_cilindro!$B$16*((Presion_cilindro!N677-$B$12)/Presion_cilindro!$B$35)^(Presion_cilindro!$B$17+1)),0)</f>
        <v>1</v>
      </c>
      <c r="P678" s="10">
        <f>P677*(Presion_cilindro!O676/Presion_cilindro!O677)^Presion_cilindro!$B$9+10*(Presion_cilindro!$B$9-1)*Presion_cilindro!$B$33*(O678-O677)/((Presion_cilindro!O676+Presion_cilindro!O677)/2)</f>
        <v>2.338198132210263</v>
      </c>
      <c r="Q678" s="9">
        <f>IF(OR($B$9=0,Presion_cilindro!N677&lt;=$B$15),IF(Presion_cilindro!N677&gt;$B$13,1-EXP(-Presion_cilindro!$B$16*((Presion_cilindro!N677-$B$13)/Presion_cilindro!$B$35)^(Presion_cilindro!$B$17+1)),0),$B$8+(1-$B$8)*(1-EXP(-(Presion_cilindro!N677-$B$15)/Presion_cilindro!$B$23)))</f>
        <v>1</v>
      </c>
      <c r="R678" s="10">
        <f>R677*(Presion_cilindro!O676/Presion_cilindro!O677)^Presion_cilindro!$B$9+10*(Presion_cilindro!$B$9-1)*Presion_cilindro!$B$33*(Q678-Q677)/((Presion_cilindro!O676+Presion_cilindro!O677)/2)</f>
        <v>2.4252413346829491</v>
      </c>
      <c r="S678" s="10">
        <f>R678+IF(AND($B$9=1,Presion_cilindro!N677&gt;$B$15),Presion_cilindro!$B$24*2.5*EXP(-(Presion_cilindro!N677-$B$15)/Presion_cilindro!$B$26)*SIN(2*PI()*(Presion_cilindro!N677-$B$15)/Presion_cilindro!$B$39),0)</f>
        <v>2.4252407676734151</v>
      </c>
      <c r="T678" s="9">
        <f>IF(Presion_cilindro!N677&gt;$B$14,1-EXP(-Presion_cilindro!$B$16*((Presion_cilindro!N677-$B$14)/Presion_cilindro!$B$35)^(Presion_cilindro!$B$17+1)),0)</f>
        <v>1</v>
      </c>
      <c r="U678" s="10">
        <f>U677*(Presion_cilindro!O676/Presion_cilindro!O677)^Presion_cilindro!$B$9+10*(Presion_cilindro!$B$9-1)*Presion_cilindro!$B$33*(T678-T677)/((Presion_cilindro!O676+Presion_cilindro!O677)/2)</f>
        <v>2.8633723404533722</v>
      </c>
    </row>
    <row r="679" spans="14:21" x14ac:dyDescent="0.25">
      <c r="N679" s="8">
        <f>-Presion_cilindro!N678</f>
        <v>-157</v>
      </c>
      <c r="O679" s="9">
        <f>IF(Presion_cilindro!N678&gt;$B$12,1-EXP(-Presion_cilindro!$B$16*((Presion_cilindro!N678-$B$12)/Presion_cilindro!$B$35)^(Presion_cilindro!$B$17+1)),0)</f>
        <v>1</v>
      </c>
      <c r="P679" s="10">
        <f>P678*(Presion_cilindro!O677/Presion_cilindro!O678)^Presion_cilindro!$B$9+10*(Presion_cilindro!$B$9-1)*Presion_cilindro!$B$33*(O679-O678)/((Presion_cilindro!O677+Presion_cilindro!O678)/2)</f>
        <v>2.334557353504648</v>
      </c>
      <c r="Q679" s="9">
        <f>IF(OR($B$9=0,Presion_cilindro!N678&lt;=$B$15),IF(Presion_cilindro!N678&gt;$B$13,1-EXP(-Presion_cilindro!$B$16*((Presion_cilindro!N678-$B$13)/Presion_cilindro!$B$35)^(Presion_cilindro!$B$17+1)),0),$B$8+(1-$B$8)*(1-EXP(-(Presion_cilindro!N678-$B$15)/Presion_cilindro!$B$23)))</f>
        <v>1</v>
      </c>
      <c r="R679" s="10">
        <f>R678*(Presion_cilindro!O677/Presion_cilindro!O678)^Presion_cilindro!$B$9+10*(Presion_cilindro!$B$9-1)*Presion_cilindro!$B$33*(Q679-Q678)/((Presion_cilindro!O677+Presion_cilindro!O678)/2)</f>
        <v>2.4214650221088969</v>
      </c>
      <c r="S679" s="10">
        <f>R679+IF(AND($B$9=1,Presion_cilindro!N678&gt;$B$15),Presion_cilindro!$B$24*2.5*EXP(-(Presion_cilindro!N678-$B$15)/Presion_cilindro!$B$26)*SIN(2*PI()*(Presion_cilindro!N678-$B$15)/Presion_cilindro!$B$39),0)</f>
        <v>2.4214648319491405</v>
      </c>
      <c r="T679" s="9">
        <f>IF(Presion_cilindro!N678&gt;$B$14,1-EXP(-Presion_cilindro!$B$16*((Presion_cilindro!N678-$B$14)/Presion_cilindro!$B$35)^(Presion_cilindro!$B$17+1)),0)</f>
        <v>1</v>
      </c>
      <c r="U679" s="10">
        <f>U678*(Presion_cilindro!O677/Presion_cilindro!O678)^Presion_cilindro!$B$9+10*(Presion_cilindro!$B$9-1)*Presion_cilindro!$B$33*(T679-T678)/((Presion_cilindro!O677+Presion_cilindro!O678)/2)</f>
        <v>2.8589138196378094</v>
      </c>
    </row>
    <row r="680" spans="14:21" x14ac:dyDescent="0.25">
      <c r="N680" s="8">
        <f>-Presion_cilindro!N679</f>
        <v>-157.5</v>
      </c>
      <c r="O680" s="9">
        <f>IF(Presion_cilindro!N679&gt;$B$12,1-EXP(-Presion_cilindro!$B$16*((Presion_cilindro!N679-$B$12)/Presion_cilindro!$B$35)^(Presion_cilindro!$B$17+1)),0)</f>
        <v>1</v>
      </c>
      <c r="P680" s="10">
        <f>P679*(Presion_cilindro!O678/Presion_cilindro!O679)^Presion_cilindro!$B$9+10*(Presion_cilindro!$B$9-1)*Presion_cilindro!$B$33*(O680-O679)/((Presion_cilindro!O678+Presion_cilindro!O679)/2)</f>
        <v>2.3310046840511922</v>
      </c>
      <c r="Q680" s="9">
        <f>IF(OR($B$9=0,Presion_cilindro!N679&lt;=$B$15),IF(Presion_cilindro!N679&gt;$B$13,1-EXP(-Presion_cilindro!$B$16*((Presion_cilindro!N679-$B$13)/Presion_cilindro!$B$35)^(Presion_cilindro!$B$17+1)),0),$B$8+(1-$B$8)*(1-EXP(-(Presion_cilindro!N679-$B$15)/Presion_cilindro!$B$23)))</f>
        <v>1</v>
      </c>
      <c r="R680" s="10">
        <f>R679*(Presion_cilindro!O678/Presion_cilindro!O679)^Presion_cilindro!$B$9+10*(Presion_cilindro!$B$9-1)*Presion_cilindro!$B$33*(Q680-Q679)/((Presion_cilindro!O678+Presion_cilindro!O679)/2)</f>
        <v>2.4177800987962428</v>
      </c>
      <c r="S680" s="10">
        <f>R680+IF(AND($B$9=1,Presion_cilindro!N679&gt;$B$15),Presion_cilindro!$B$24*2.5*EXP(-(Presion_cilindro!N679-$B$15)/Presion_cilindro!$B$26)*SIN(2*PI()*(Presion_cilindro!N679-$B$15)/Presion_cilindro!$B$39),0)</f>
        <v>2.4177806118476854</v>
      </c>
      <c r="T680" s="9">
        <f>IF(Presion_cilindro!N679&gt;$B$14,1-EXP(-Presion_cilindro!$B$16*((Presion_cilindro!N679-$B$14)/Presion_cilindro!$B$35)^(Presion_cilindro!$B$17+1)),0)</f>
        <v>1</v>
      </c>
      <c r="U680" s="10">
        <f>U679*(Presion_cilindro!O678/Presion_cilindro!O679)^Presion_cilindro!$B$9+10*(Presion_cilindro!$B$9-1)*Presion_cilindro!$B$33*(T680-T679)/((Presion_cilindro!O678+Presion_cilindro!O679)/2)</f>
        <v>2.854563197974203</v>
      </c>
    </row>
    <row r="681" spans="14:21" x14ac:dyDescent="0.25">
      <c r="N681" s="8">
        <f>-Presion_cilindro!N680</f>
        <v>-158</v>
      </c>
      <c r="O681" s="9">
        <f>IF(Presion_cilindro!N680&gt;$B$12,1-EXP(-Presion_cilindro!$B$16*((Presion_cilindro!N680-$B$12)/Presion_cilindro!$B$35)^(Presion_cilindro!$B$17+1)),0)</f>
        <v>1</v>
      </c>
      <c r="P681" s="10">
        <f>P680*(Presion_cilindro!O679/Presion_cilindro!O680)^Presion_cilindro!$B$9+10*(Presion_cilindro!$B$9-1)*Presion_cilindro!$B$33*(O681-O680)/((Presion_cilindro!O679+Presion_cilindro!O680)/2)</f>
        <v>2.3275394559887088</v>
      </c>
      <c r="Q681" s="9">
        <f>IF(OR($B$9=0,Presion_cilindro!N680&lt;=$B$15),IF(Presion_cilindro!N680&gt;$B$13,1-EXP(-Presion_cilindro!$B$16*((Presion_cilindro!N680-$B$13)/Presion_cilindro!$B$35)^(Presion_cilindro!$B$17+1)),0),$B$8+(1-$B$8)*(1-EXP(-(Presion_cilindro!N680-$B$15)/Presion_cilindro!$B$23)))</f>
        <v>1</v>
      </c>
      <c r="R681" s="10">
        <f>R680*(Presion_cilindro!O679/Presion_cilindro!O680)^Presion_cilindro!$B$9+10*(Presion_cilindro!$B$9-1)*Presion_cilindro!$B$33*(Q681-Q680)/((Presion_cilindro!O679+Presion_cilindro!O680)/2)</f>
        <v>2.4141858720215881</v>
      </c>
      <c r="S681" s="10">
        <f>R681+IF(AND($B$9=1,Presion_cilindro!N680&gt;$B$15),Presion_cilindro!$B$24*2.5*EXP(-(Presion_cilindro!N680-$B$15)/Presion_cilindro!$B$26)*SIN(2*PI()*(Presion_cilindro!N680-$B$15)/Presion_cilindro!$B$39),0)</f>
        <v>2.4141860440852509</v>
      </c>
      <c r="T681" s="9">
        <f>IF(Presion_cilindro!N680&gt;$B$14,1-EXP(-Presion_cilindro!$B$16*((Presion_cilindro!N680-$B$14)/Presion_cilindro!$B$35)^(Presion_cilindro!$B$17+1)),0)</f>
        <v>1</v>
      </c>
      <c r="U681" s="10">
        <f>U680*(Presion_cilindro!O679/Presion_cilindro!O680)^Presion_cilindro!$B$9+10*(Presion_cilindro!$B$9-1)*Presion_cilindro!$B$33*(T681-T680)/((Presion_cilindro!O679+Presion_cilindro!O680)/2)</f>
        <v>2.8503196575954846</v>
      </c>
    </row>
    <row r="682" spans="14:21" x14ac:dyDescent="0.25">
      <c r="N682" s="8">
        <f>-Presion_cilindro!N681</f>
        <v>-158.5</v>
      </c>
      <c r="O682" s="9">
        <f>IF(Presion_cilindro!N681&gt;$B$12,1-EXP(-Presion_cilindro!$B$16*((Presion_cilindro!N681-$B$12)/Presion_cilindro!$B$35)^(Presion_cilindro!$B$17+1)),0)</f>
        <v>1</v>
      </c>
      <c r="P682" s="10">
        <f>P681*(Presion_cilindro!O680/Presion_cilindro!O681)^Presion_cilindro!$B$9+10*(Presion_cilindro!$B$9-1)*Presion_cilindro!$B$33*(O682-O681)/((Presion_cilindro!O680+Presion_cilindro!O681)/2)</f>
        <v>2.3241610192836681</v>
      </c>
      <c r="Q682" s="9">
        <f>IF(OR($B$9=0,Presion_cilindro!N681&lt;=$B$15),IF(Presion_cilindro!N681&gt;$B$13,1-EXP(-Presion_cilindro!$B$16*((Presion_cilindro!N681-$B$13)/Presion_cilindro!$B$35)^(Presion_cilindro!$B$17+1)),0),$B$8+(1-$B$8)*(1-EXP(-(Presion_cilindro!N681-$B$15)/Presion_cilindro!$B$23)))</f>
        <v>1</v>
      </c>
      <c r="R682" s="10">
        <f>R681*(Presion_cilindro!O680/Presion_cilindro!O681)^Presion_cilindro!$B$9+10*(Presion_cilindro!$B$9-1)*Presion_cilindro!$B$33*(Q682-Q681)/((Presion_cilindro!O680+Presion_cilindro!O681)/2)</f>
        <v>2.4106816675528546</v>
      </c>
      <c r="S682" s="10">
        <f>R682+IF(AND($B$9=1,Presion_cilindro!N681&gt;$B$15),Presion_cilindro!$B$24*2.5*EXP(-(Presion_cilindro!N681-$B$15)/Presion_cilindro!$B$26)*SIN(2*PI()*(Presion_cilindro!N681-$B$15)/Presion_cilindro!$B$39),0)</f>
        <v>2.410681203324712</v>
      </c>
      <c r="T682" s="9">
        <f>IF(Presion_cilindro!N681&gt;$B$14,1-EXP(-Presion_cilindro!$B$16*((Presion_cilindro!N681-$B$14)/Presion_cilindro!$B$35)^(Presion_cilindro!$B$17+1)),0)</f>
        <v>1</v>
      </c>
      <c r="U682" s="10">
        <f>U681*(Presion_cilindro!O680/Presion_cilindro!O681)^Presion_cilindro!$B$9+10*(Presion_cilindro!$B$9-1)*Presion_cilindro!$B$33*(T682-T681)/((Presion_cilindro!O680+Presion_cilindro!O681)/2)</f>
        <v>2.8461824024664497</v>
      </c>
    </row>
    <row r="683" spans="14:21" x14ac:dyDescent="0.25">
      <c r="N683" s="8">
        <f>-Presion_cilindro!N682</f>
        <v>-159</v>
      </c>
      <c r="O683" s="9">
        <f>IF(Presion_cilindro!N682&gt;$B$12,1-EXP(-Presion_cilindro!$B$16*((Presion_cilindro!N682-$B$12)/Presion_cilindro!$B$35)^(Presion_cilindro!$B$17+1)),0)</f>
        <v>1</v>
      </c>
      <c r="P683" s="10">
        <f>P682*(Presion_cilindro!O681/Presion_cilindro!O682)^Presion_cilindro!$B$9+10*(Presion_cilindro!$B$9-1)*Presion_cilindro!$B$33*(O683-O682)/((Presion_cilindro!O681+Presion_cilindro!O682)/2)</f>
        <v>2.3208687415067555</v>
      </c>
      <c r="Q683" s="9">
        <f>IF(OR($B$9=0,Presion_cilindro!N682&lt;=$B$15),IF(Presion_cilindro!N682&gt;$B$13,1-EXP(-Presion_cilindro!$B$16*((Presion_cilindro!N682-$B$13)/Presion_cilindro!$B$35)^(Presion_cilindro!$B$17+1)),0),$B$8+(1-$B$8)*(1-EXP(-(Presion_cilindro!N682-$B$15)/Presion_cilindro!$B$23)))</f>
        <v>1</v>
      </c>
      <c r="R683" s="10">
        <f>R682*(Presion_cilindro!O681/Presion_cilindro!O682)^Presion_cilindro!$B$9+10*(Presion_cilindro!$B$9-1)*Presion_cilindro!$B$33*(Q683-Q682)/((Presion_cilindro!O681+Presion_cilindro!O682)/2)</f>
        <v>2.4072668294175257</v>
      </c>
      <c r="S683" s="10">
        <f>R683+IF(AND($B$9=1,Presion_cilindro!N682&gt;$B$15),Presion_cilindro!$B$24*2.5*EXP(-(Presion_cilindro!N682-$B$15)/Presion_cilindro!$B$26)*SIN(2*PI()*(Presion_cilindro!N682-$B$15)/Presion_cilindro!$B$39),0)</f>
        <v>2.4072666737278849</v>
      </c>
      <c r="T683" s="9">
        <f>IF(Presion_cilindro!N682&gt;$B$14,1-EXP(-Presion_cilindro!$B$16*((Presion_cilindro!N682-$B$14)/Presion_cilindro!$B$35)^(Presion_cilindro!$B$17+1)),0)</f>
        <v>1</v>
      </c>
      <c r="U683" s="10">
        <f>U682*(Presion_cilindro!O681/Presion_cilindro!O682)^Presion_cilindro!$B$9+10*(Presion_cilindro!$B$9-1)*Presion_cilindro!$B$33*(T683-T682)/((Presion_cilindro!O681+Presion_cilindro!O682)/2)</f>
        <v>2.8421506581101279</v>
      </c>
    </row>
    <row r="684" spans="14:21" x14ac:dyDescent="0.25">
      <c r="N684" s="8">
        <f>-Presion_cilindro!N683</f>
        <v>-159.5</v>
      </c>
      <c r="O684" s="9">
        <f>IF(Presion_cilindro!N683&gt;$B$12,1-EXP(-Presion_cilindro!$B$16*((Presion_cilindro!N683-$B$12)/Presion_cilindro!$B$35)^(Presion_cilindro!$B$17+1)),0)</f>
        <v>1</v>
      </c>
      <c r="P684" s="10">
        <f>P683*(Presion_cilindro!O682/Presion_cilindro!O683)^Presion_cilindro!$B$9+10*(Presion_cilindro!$B$9-1)*Presion_cilindro!$B$33*(O684-O683)/((Presion_cilindro!O682+Presion_cilindro!O683)/2)</f>
        <v>2.3176620076160206</v>
      </c>
      <c r="Q684" s="9">
        <f>IF(OR($B$9=0,Presion_cilindro!N683&lt;=$B$15),IF(Presion_cilindro!N683&gt;$B$13,1-EXP(-Presion_cilindro!$B$16*((Presion_cilindro!N683-$B$13)/Presion_cilindro!$B$35)^(Presion_cilindro!$B$17+1)),0),$B$8+(1-$B$8)*(1-EXP(-(Presion_cilindro!N683-$B$15)/Presion_cilindro!$B$23)))</f>
        <v>1</v>
      </c>
      <c r="R684" s="10">
        <f>R683*(Presion_cilindro!O682/Presion_cilindro!O683)^Presion_cilindro!$B$9+10*(Presion_cilindro!$B$9-1)*Presion_cilindro!$B$33*(Q684-Q683)/((Presion_cilindro!O682+Presion_cilindro!O683)/2)</f>
        <v>2.4039407196777205</v>
      </c>
      <c r="S684" s="10">
        <f>R684+IF(AND($B$9=1,Presion_cilindro!N683&gt;$B$15),Presion_cilindro!$B$24*2.5*EXP(-(Presion_cilindro!N683-$B$15)/Presion_cilindro!$B$26)*SIN(2*PI()*(Presion_cilindro!N683-$B$15)/Presion_cilindro!$B$39),0)</f>
        <v>2.4039411397287145</v>
      </c>
      <c r="T684" s="9">
        <f>IF(Presion_cilindro!N683&gt;$B$14,1-EXP(-Presion_cilindro!$B$16*((Presion_cilindro!N683-$B$14)/Presion_cilindro!$B$35)^(Presion_cilindro!$B$17+1)),0)</f>
        <v>1</v>
      </c>
      <c r="U684" s="10">
        <f>U683*(Presion_cilindro!O682/Presion_cilindro!O683)^Presion_cilindro!$B$9+10*(Presion_cilindro!$B$9-1)*Presion_cilindro!$B$33*(T684-T683)/((Presion_cilindro!O682+Presion_cilindro!O683)/2)</f>
        <v>2.8382236713422251</v>
      </c>
    </row>
    <row r="685" spans="14:21" x14ac:dyDescent="0.25">
      <c r="N685" s="8">
        <f>-Presion_cilindro!N684</f>
        <v>-160</v>
      </c>
      <c r="O685" s="9">
        <f>IF(Presion_cilindro!N684&gt;$B$12,1-EXP(-Presion_cilindro!$B$16*((Presion_cilindro!N684-$B$12)/Presion_cilindro!$B$35)^(Presion_cilindro!$B$17+1)),0)</f>
        <v>1</v>
      </c>
      <c r="P685" s="10">
        <f>P684*(Presion_cilindro!O683/Presion_cilindro!O684)^Presion_cilindro!$B$9+10*(Presion_cilindro!$B$9-1)*Presion_cilindro!$B$33*(O685-O684)/((Presion_cilindro!O683+Presion_cilindro!O684)/2)</f>
        <v>2.3145402197464988</v>
      </c>
      <c r="Q685" s="9">
        <f>IF(OR($B$9=0,Presion_cilindro!N684&lt;=$B$15),IF(Presion_cilindro!N684&gt;$B$13,1-EXP(-Presion_cilindro!$B$16*((Presion_cilindro!N684-$B$13)/Presion_cilindro!$B$35)^(Presion_cilindro!$B$17+1)),0),$B$8+(1-$B$8)*(1-EXP(-(Presion_cilindro!N684-$B$15)/Presion_cilindro!$B$23)))</f>
        <v>1</v>
      </c>
      <c r="R685" s="10">
        <f>R684*(Presion_cilindro!O683/Presion_cilindro!O684)^Presion_cilindro!$B$9+10*(Presion_cilindro!$B$9-1)*Presion_cilindro!$B$33*(Q685-Q684)/((Presion_cilindro!O683+Presion_cilindro!O684)/2)</f>
        <v>2.4007027182119853</v>
      </c>
      <c r="S685" s="10">
        <f>R685+IF(AND($B$9=1,Presion_cilindro!N684&gt;$B$15),Presion_cilindro!$B$24*2.5*EXP(-(Presion_cilindro!N684-$B$15)/Presion_cilindro!$B$26)*SIN(2*PI()*(Presion_cilindro!N684-$B$15)/Presion_cilindro!$B$39),0)</f>
        <v>2.4007028590857979</v>
      </c>
      <c r="T685" s="9">
        <f>IF(Presion_cilindro!N684&gt;$B$14,1-EXP(-Presion_cilindro!$B$16*((Presion_cilindro!N684-$B$14)/Presion_cilindro!$B$35)^(Presion_cilindro!$B$17+1)),0)</f>
        <v>1</v>
      </c>
      <c r="U685" s="10">
        <f>U684*(Presion_cilindro!O683/Presion_cilindro!O684)^Presion_cilindro!$B$9+10*(Presion_cilindro!$B$9-1)*Presion_cilindro!$B$33*(T685-T684)/((Presion_cilindro!O683+Presion_cilindro!O684)/2)</f>
        <v>2.8344007100134938</v>
      </c>
    </row>
    <row r="686" spans="14:21" x14ac:dyDescent="0.25">
      <c r="N686" s="8">
        <f>-Presion_cilindro!N685</f>
        <v>-160.5</v>
      </c>
      <c r="O686" s="9">
        <f>IF(Presion_cilindro!N685&gt;$B$12,1-EXP(-Presion_cilindro!$B$16*((Presion_cilindro!N685-$B$12)/Presion_cilindro!$B$35)^(Presion_cilindro!$B$17+1)),0)</f>
        <v>1</v>
      </c>
      <c r="P686" s="10">
        <f>P685*(Presion_cilindro!O684/Presion_cilindro!O685)^Presion_cilindro!$B$9+10*(Presion_cilindro!$B$9-1)*Presion_cilindro!$B$33*(O686-O685)/((Presion_cilindro!O684+Presion_cilindro!O685)/2)</f>
        <v>2.3115027970062032</v>
      </c>
      <c r="Q686" s="9">
        <f>IF(OR($B$9=0,Presion_cilindro!N685&lt;=$B$15),IF(Presion_cilindro!N685&gt;$B$13,1-EXP(-Presion_cilindro!$B$16*((Presion_cilindro!N685-$B$13)/Presion_cilindro!$B$35)^(Presion_cilindro!$B$17+1)),0),$B$8+(1-$B$8)*(1-EXP(-(Presion_cilindro!N685-$B$15)/Presion_cilindro!$B$23)))</f>
        <v>1</v>
      </c>
      <c r="R686" s="10">
        <f>R685*(Presion_cilindro!O684/Presion_cilindro!O685)^Presion_cilindro!$B$9+10*(Presion_cilindro!$B$9-1)*Presion_cilindro!$B$33*(Q686-Q685)/((Presion_cilindro!O684+Presion_cilindro!O685)/2)</f>
        <v>2.3975522225036907</v>
      </c>
      <c r="S686" s="10">
        <f>R686+IF(AND($B$9=1,Presion_cilindro!N685&gt;$B$15),Presion_cilindro!$B$24*2.5*EXP(-(Presion_cilindro!N685-$B$15)/Presion_cilindro!$B$26)*SIN(2*PI()*(Presion_cilindro!N685-$B$15)/Presion_cilindro!$B$39),0)</f>
        <v>2.397551842425834</v>
      </c>
      <c r="T686" s="9">
        <f>IF(Presion_cilindro!N685&gt;$B$14,1-EXP(-Presion_cilindro!$B$16*((Presion_cilindro!N685-$B$14)/Presion_cilindro!$B$35)^(Presion_cilindro!$B$17+1)),0)</f>
        <v>1</v>
      </c>
      <c r="U686" s="10">
        <f>U685*(Presion_cilindro!O684/Presion_cilindro!O685)^Presion_cilindro!$B$9+10*(Presion_cilindro!$B$9-1)*Presion_cilindro!$B$33*(T686-T685)/((Presion_cilindro!O684+Presion_cilindro!O685)/2)</f>
        <v>2.8306810627599028</v>
      </c>
    </row>
    <row r="687" spans="14:21" x14ac:dyDescent="0.25">
      <c r="N687" s="8">
        <f>-Presion_cilindro!N686</f>
        <v>-161</v>
      </c>
      <c r="O687" s="9">
        <f>IF(Presion_cilindro!N686&gt;$B$12,1-EXP(-Presion_cilindro!$B$16*((Presion_cilindro!N686-$B$12)/Presion_cilindro!$B$35)^(Presion_cilindro!$B$17+1)),0)</f>
        <v>1</v>
      </c>
      <c r="P687" s="10">
        <f>P686*(Presion_cilindro!O685/Presion_cilindro!O686)^Presion_cilindro!$B$9+10*(Presion_cilindro!$B$9-1)*Presion_cilindro!$B$33*(O687-O686)/((Presion_cilindro!O685+Presion_cilindro!O686)/2)</f>
        <v>2.3085491752783827</v>
      </c>
      <c r="Q687" s="9">
        <f>IF(OR($B$9=0,Presion_cilindro!N686&lt;=$B$15),IF(Presion_cilindro!N686&gt;$B$13,1-EXP(-Presion_cilindro!$B$16*((Presion_cilindro!N686-$B$13)/Presion_cilindro!$B$35)^(Presion_cilindro!$B$17+1)),0),$B$8+(1-$B$8)*(1-EXP(-(Presion_cilindro!N686-$B$15)/Presion_cilindro!$B$23)))</f>
        <v>1</v>
      </c>
      <c r="R687" s="10">
        <f>R686*(Presion_cilindro!O685/Presion_cilindro!O686)^Presion_cilindro!$B$9+10*(Presion_cilindro!$B$9-1)*Presion_cilindro!$B$33*(Q687-Q686)/((Presion_cilindro!O685+Presion_cilindro!O686)/2)</f>
        <v>2.3944886474359284</v>
      </c>
      <c r="S687" s="10">
        <f>R687+IF(AND($B$9=1,Presion_cilindro!N686&gt;$B$15),Presion_cilindro!$B$24*2.5*EXP(-(Presion_cilindro!N686-$B$15)/Presion_cilindro!$B$26)*SIN(2*PI()*(Presion_cilindro!N686-$B$15)/Presion_cilindro!$B$39),0)</f>
        <v>2.3944885199680317</v>
      </c>
      <c r="T687" s="9">
        <f>IF(Presion_cilindro!N686&gt;$B$14,1-EXP(-Presion_cilindro!$B$16*((Presion_cilindro!N686-$B$14)/Presion_cilindro!$B$35)^(Presion_cilindro!$B$17+1)),0)</f>
        <v>1</v>
      </c>
      <c r="U687" s="10">
        <f>U686*(Presion_cilindro!O685/Presion_cilindro!O686)^Presion_cilindro!$B$9+10*(Presion_cilindro!$B$9-1)*Presion_cilindro!$B$33*(T687-T686)/((Presion_cilindro!O685+Presion_cilindro!O686)/2)</f>
        <v>2.8270640387604828</v>
      </c>
    </row>
    <row r="688" spans="14:21" x14ac:dyDescent="0.25">
      <c r="N688" s="8">
        <f>-Presion_cilindro!N687</f>
        <v>-161.5</v>
      </c>
      <c r="O688" s="9">
        <f>IF(Presion_cilindro!N687&gt;$B$12,1-EXP(-Presion_cilindro!$B$16*((Presion_cilindro!N687-$B$12)/Presion_cilindro!$B$35)^(Presion_cilindro!$B$17+1)),0)</f>
        <v>1</v>
      </c>
      <c r="P688" s="10">
        <f>P687*(Presion_cilindro!O686/Presion_cilindro!O687)^Presion_cilindro!$B$9+10*(Presion_cilindro!$B$9-1)*Presion_cilindro!$B$33*(O688-O687)/((Presion_cilindro!O686+Presion_cilindro!O687)/2)</f>
        <v>2.3056788070299068</v>
      </c>
      <c r="Q688" s="9">
        <f>IF(OR($B$9=0,Presion_cilindro!N687&lt;=$B$15),IF(Presion_cilindro!N687&gt;$B$13,1-EXP(-Presion_cilindro!$B$16*((Presion_cilindro!N687-$B$13)/Presion_cilindro!$B$35)^(Presion_cilindro!$B$17+1)),0),$B$8+(1-$B$8)*(1-EXP(-(Presion_cilindro!N687-$B$15)/Presion_cilindro!$B$23)))</f>
        <v>1</v>
      </c>
      <c r="R688" s="10">
        <f>R687*(Presion_cilindro!O686/Presion_cilindro!O687)^Presion_cilindro!$B$9+10*(Presion_cilindro!$B$9-1)*Presion_cilindro!$B$33*(Q688-Q687)/((Presion_cilindro!O686+Presion_cilindro!O687)/2)</f>
        <v>2.3915114250927623</v>
      </c>
      <c r="S688" s="10">
        <f>R688+IF(AND($B$9=1,Presion_cilindro!N687&gt;$B$15),Presion_cilindro!$B$24*2.5*EXP(-(Presion_cilindro!N687-$B$15)/Presion_cilindro!$B$26)*SIN(2*PI()*(Presion_cilindro!N687-$B$15)/Presion_cilindro!$B$39),0)</f>
        <v>2.3915117690014287</v>
      </c>
      <c r="T688" s="9">
        <f>IF(Presion_cilindro!N687&gt;$B$14,1-EXP(-Presion_cilindro!$B$16*((Presion_cilindro!N687-$B$14)/Presion_cilindro!$B$35)^(Presion_cilindro!$B$17+1)),0)</f>
        <v>1</v>
      </c>
      <c r="U688" s="10">
        <f>U687*(Presion_cilindro!O686/Presion_cilindro!O687)^Presion_cilindro!$B$9+10*(Presion_cilindro!$B$9-1)*Presion_cilindro!$B$33*(T688-T687)/((Presion_cilindro!O686+Presion_cilindro!O687)/2)</f>
        <v>2.823548967502671</v>
      </c>
    </row>
    <row r="689" spans="14:21" x14ac:dyDescent="0.25">
      <c r="N689" s="8">
        <f>-Presion_cilindro!N688</f>
        <v>-162</v>
      </c>
      <c r="O689" s="9">
        <f>IF(Presion_cilindro!N688&gt;$B$12,1-EXP(-Presion_cilindro!$B$16*((Presion_cilindro!N688-$B$12)/Presion_cilindro!$B$35)^(Presion_cilindro!$B$17+1)),0)</f>
        <v>1</v>
      </c>
      <c r="P689" s="10">
        <f>P688*(Presion_cilindro!O687/Presion_cilindro!O688)^Presion_cilindro!$B$9+10*(Presion_cilindro!$B$9-1)*Presion_cilindro!$B$33*(O689-O688)/((Presion_cilindro!O687+Presion_cilindro!O688)/2)</f>
        <v>2.3028911611257192</v>
      </c>
      <c r="Q689" s="9">
        <f>IF(OR($B$9=0,Presion_cilindro!N688&lt;=$B$15),IF(Presion_cilindro!N688&gt;$B$13,1-EXP(-Presion_cilindro!$B$16*((Presion_cilindro!N688-$B$13)/Presion_cilindro!$B$35)^(Presion_cilindro!$B$17+1)),0),$B$8+(1-$B$8)*(1-EXP(-(Presion_cilindro!N688-$B$15)/Presion_cilindro!$B$23)))</f>
        <v>1</v>
      </c>
      <c r="R689" s="10">
        <f>R688*(Presion_cilindro!O687/Presion_cilindro!O688)^Presion_cilindro!$B$9+10*(Presion_cilindro!$B$9-1)*Presion_cilindro!$B$33*(Q689-Q688)/((Presion_cilindro!O687+Presion_cilindro!O688)/2)</f>
        <v>2.3886200045667763</v>
      </c>
      <c r="S689" s="10">
        <f>R689+IF(AND($B$9=1,Presion_cilindro!N688&gt;$B$15),Presion_cilindro!$B$24*2.5*EXP(-(Presion_cilindro!N688-$B$15)/Presion_cilindro!$B$26)*SIN(2*PI()*(Presion_cilindro!N688-$B$15)/Presion_cilindro!$B$39),0)</f>
        <v>2.3886201199044987</v>
      </c>
      <c r="T689" s="9">
        <f>IF(Presion_cilindro!N688&gt;$B$14,1-EXP(-Presion_cilindro!$B$16*((Presion_cilindro!N688-$B$14)/Presion_cilindro!$B$35)^(Presion_cilindro!$B$17+1)),0)</f>
        <v>1</v>
      </c>
      <c r="U689" s="10">
        <f>U688*(Presion_cilindro!O687/Presion_cilindro!O688)^Presion_cilindro!$B$9+10*(Presion_cilindro!$B$9-1)*Presion_cilindro!$B$33*(T689-T688)/((Presion_cilindro!O687+Presion_cilindro!O688)/2)</f>
        <v>2.8201351985550911</v>
      </c>
    </row>
    <row r="690" spans="14:21" x14ac:dyDescent="0.25">
      <c r="N690" s="8">
        <f>-Presion_cilindro!N689</f>
        <v>-162.5</v>
      </c>
      <c r="O690" s="9">
        <f>IF(Presion_cilindro!N689&gt;$B$12,1-EXP(-Presion_cilindro!$B$16*((Presion_cilindro!N689-$B$12)/Presion_cilindro!$B$35)^(Presion_cilindro!$B$17+1)),0)</f>
        <v>1</v>
      </c>
      <c r="P690" s="10">
        <f>P689*(Presion_cilindro!O688/Presion_cilindro!O689)^Presion_cilindro!$B$9+10*(Presion_cilindro!$B$9-1)*Presion_cilindro!$B$33*(O690-O689)/((Presion_cilindro!O688+Presion_cilindro!O689)/2)</f>
        <v>2.3001857226492395</v>
      </c>
      <c r="Q690" s="9">
        <f>IF(OR($B$9=0,Presion_cilindro!N689&lt;=$B$15),IF(Presion_cilindro!N689&gt;$B$13,1-EXP(-Presion_cilindro!$B$16*((Presion_cilindro!N689-$B$13)/Presion_cilindro!$B$35)^(Presion_cilindro!$B$17+1)),0),$B$8+(1-$B$8)*(1-EXP(-(Presion_cilindro!N689-$B$15)/Presion_cilindro!$B$23)))</f>
        <v>1</v>
      </c>
      <c r="R690" s="10">
        <f>R689*(Presion_cilindro!O688/Presion_cilindro!O689)^Presion_cilindro!$B$9+10*(Presion_cilindro!$B$9-1)*Presion_cilindro!$B$33*(Q690-Q689)/((Presion_cilindro!O688+Presion_cilindro!O689)/2)</f>
        <v>2.385813851772788</v>
      </c>
      <c r="S690" s="10">
        <f>R690+IF(AND($B$9=1,Presion_cilindro!N689&gt;$B$15),Presion_cilindro!$B$24*2.5*EXP(-(Presion_cilindro!N689-$B$15)/Presion_cilindro!$B$26)*SIN(2*PI()*(Presion_cilindro!N689-$B$15)/Presion_cilindro!$B$39),0)</f>
        <v>2.3858135405913581</v>
      </c>
      <c r="T690" s="9">
        <f>IF(Presion_cilindro!N689&gt;$B$14,1-EXP(-Presion_cilindro!$B$16*((Presion_cilindro!N689-$B$14)/Presion_cilindro!$B$35)^(Presion_cilindro!$B$17+1)),0)</f>
        <v>1</v>
      </c>
      <c r="U690" s="10">
        <f>U689*(Presion_cilindro!O688/Presion_cilindro!O689)^Presion_cilindro!$B$9+10*(Presion_cilindro!$B$9-1)*Presion_cilindro!$B$33*(T690-T689)/((Presion_cilindro!O688+Presion_cilindro!O689)/2)</f>
        <v>2.8168221013476158</v>
      </c>
    </row>
    <row r="691" spans="14:21" x14ac:dyDescent="0.25">
      <c r="N691" s="8">
        <f>-Presion_cilindro!N690</f>
        <v>-163</v>
      </c>
      <c r="O691" s="9">
        <f>IF(Presion_cilindro!N690&gt;$B$12,1-EXP(-Presion_cilindro!$B$16*((Presion_cilindro!N690-$B$12)/Presion_cilindro!$B$35)^(Presion_cilindro!$B$17+1)),0)</f>
        <v>1</v>
      </c>
      <c r="P691" s="10">
        <f>P690*(Presion_cilindro!O689/Presion_cilindro!O690)^Presion_cilindro!$B$9+10*(Presion_cilindro!$B$9-1)*Presion_cilindro!$B$33*(O691-O690)/((Presion_cilindro!O689+Presion_cilindro!O690)/2)</f>
        <v>2.2975619927286051</v>
      </c>
      <c r="Q691" s="9">
        <f>IF(OR($B$9=0,Presion_cilindro!N690&lt;=$B$15),IF(Presion_cilindro!N690&gt;$B$13,1-EXP(-Presion_cilindro!$B$16*((Presion_cilindro!N690-$B$13)/Presion_cilindro!$B$35)^(Presion_cilindro!$B$17+1)),0),$B$8+(1-$B$8)*(1-EXP(-(Presion_cilindro!N690-$B$15)/Presion_cilindro!$B$23)))</f>
        <v>1</v>
      </c>
      <c r="R691" s="10">
        <f>R690*(Presion_cilindro!O689/Presion_cilindro!O690)^Presion_cilindro!$B$9+10*(Presion_cilindro!$B$9-1)*Presion_cilindro!$B$33*(Q691-Q690)/((Presion_cilindro!O689+Presion_cilindro!O690)/2)</f>
        <v>2.383092449267624</v>
      </c>
      <c r="S691" s="10">
        <f>R691+IF(AND($B$9=1,Presion_cilindro!N690&gt;$B$15),Presion_cilindro!$B$24*2.5*EXP(-(Presion_cilindro!N690-$B$15)/Presion_cilindro!$B$26)*SIN(2*PI()*(Presion_cilindro!N690-$B$15)/Presion_cilindro!$B$39),0)</f>
        <v>2.3830923449057368</v>
      </c>
      <c r="T691" s="9">
        <f>IF(Presion_cilindro!N690&gt;$B$14,1-EXP(-Presion_cilindro!$B$16*((Presion_cilindro!N690-$B$14)/Presion_cilindro!$B$35)^(Presion_cilindro!$B$17+1)),0)</f>
        <v>1</v>
      </c>
      <c r="U691" s="10">
        <f>U690*(Presion_cilindro!O689/Presion_cilindro!O690)^Presion_cilindro!$B$9+10*(Presion_cilindro!$B$9-1)*Presion_cilindro!$B$33*(T691-T690)/((Presion_cilindro!O689+Presion_cilindro!O690)/2)</f>
        <v>2.8136090649585812</v>
      </c>
    </row>
    <row r="692" spans="14:21" x14ac:dyDescent="0.25">
      <c r="N692" s="8">
        <f>-Presion_cilindro!N691</f>
        <v>-163.5</v>
      </c>
      <c r="O692" s="9">
        <f>IF(Presion_cilindro!N691&gt;$B$12,1-EXP(-Presion_cilindro!$B$16*((Presion_cilindro!N691-$B$12)/Presion_cilindro!$B$35)^(Presion_cilindro!$B$17+1)),0)</f>
        <v>1</v>
      </c>
      <c r="P692" s="10">
        <f>P691*(Presion_cilindro!O690/Presion_cilindro!O691)^Presion_cilindro!$B$9+10*(Presion_cilindro!$B$9-1)*Presion_cilindro!$B$33*(O692-O691)/((Presion_cilindro!O690+Presion_cilindro!O691)/2)</f>
        <v>2.2950194883686912</v>
      </c>
      <c r="Q692" s="9">
        <f>IF(OR($B$9=0,Presion_cilindro!N691&lt;=$B$15),IF(Presion_cilindro!N691&gt;$B$13,1-EXP(-Presion_cilindro!$B$16*((Presion_cilindro!N691-$B$13)/Presion_cilindro!$B$35)^(Presion_cilindro!$B$17+1)),0),$B$8+(1-$B$8)*(1-EXP(-(Presion_cilindro!N691-$B$15)/Presion_cilindro!$B$23)))</f>
        <v>1</v>
      </c>
      <c r="R692" s="10">
        <f>R691*(Presion_cilindro!O690/Presion_cilindro!O691)^Presion_cilindro!$B$9+10*(Presion_cilindro!$B$9-1)*Presion_cilindro!$B$33*(Q692-Q691)/((Presion_cilindro!O690+Presion_cilindro!O691)/2)</f>
        <v>2.3804552960758856</v>
      </c>
      <c r="S692" s="10">
        <f>R692+IF(AND($B$9=1,Presion_cilindro!N691&gt;$B$15),Presion_cilindro!$B$24*2.5*EXP(-(Presion_cilindro!N691-$B$15)/Presion_cilindro!$B$26)*SIN(2*PI()*(Presion_cilindro!N691-$B$15)/Presion_cilindro!$B$39),0)</f>
        <v>2.3804555776444873</v>
      </c>
      <c r="T692" s="9">
        <f>IF(Presion_cilindro!N691&gt;$B$14,1-EXP(-Presion_cilindro!$B$16*((Presion_cilindro!N691-$B$14)/Presion_cilindro!$B$35)^(Presion_cilindro!$B$17+1)),0)</f>
        <v>1</v>
      </c>
      <c r="U692" s="10">
        <f>U691*(Presion_cilindro!O690/Presion_cilindro!O691)^Presion_cilindro!$B$9+10*(Presion_cilindro!$B$9-1)*Presion_cilindro!$B$33*(T692-T691)/((Presion_cilindro!O690+Presion_cilindro!O691)/2)</f>
        <v>2.8104954979090779</v>
      </c>
    </row>
    <row r="693" spans="14:21" x14ac:dyDescent="0.25">
      <c r="N693" s="8">
        <f>-Presion_cilindro!N692</f>
        <v>-164</v>
      </c>
      <c r="O693" s="9">
        <f>IF(Presion_cilindro!N692&gt;$B$12,1-EXP(-Presion_cilindro!$B$16*((Presion_cilindro!N692-$B$12)/Presion_cilindro!$B$35)^(Presion_cilindro!$B$17+1)),0)</f>
        <v>1</v>
      </c>
      <c r="P693" s="10">
        <f>P692*(Presion_cilindro!O691/Presion_cilindro!O692)^Presion_cilindro!$B$9+10*(Presion_cilindro!$B$9-1)*Presion_cilindro!$B$33*(O693-O692)/((Presion_cilindro!O691+Presion_cilindro!O692)/2)</f>
        <v>2.2925577422887966</v>
      </c>
      <c r="Q693" s="9">
        <f>IF(OR($B$9=0,Presion_cilindro!N692&lt;=$B$15),IF(Presion_cilindro!N692&gt;$B$13,1-EXP(-Presion_cilindro!$B$16*((Presion_cilindro!N692-$B$13)/Presion_cilindro!$B$35)^(Presion_cilindro!$B$17+1)),0),$B$8+(1-$B$8)*(1-EXP(-(Presion_cilindro!N692-$B$15)/Presion_cilindro!$B$23)))</f>
        <v>1</v>
      </c>
      <c r="R693" s="10">
        <f>R692*(Presion_cilindro!O691/Presion_cilindro!O692)^Presion_cilindro!$B$9+10*(Presion_cilindro!$B$9-1)*Presion_cilindro!$B$33*(Q693-Q692)/((Presion_cilindro!O691+Presion_cilindro!O692)/2)</f>
        <v>2.377901907521593</v>
      </c>
      <c r="S693" s="10">
        <f>R693+IF(AND($B$9=1,Presion_cilindro!N692&gt;$B$15),Presion_cilindro!$B$24*2.5*EXP(-(Presion_cilindro!N692-$B$15)/Presion_cilindro!$B$26)*SIN(2*PI()*(Presion_cilindro!N692-$B$15)/Presion_cilindro!$B$39),0)</f>
        <v>2.3779020019521333</v>
      </c>
      <c r="T693" s="9">
        <f>IF(Presion_cilindro!N692&gt;$B$14,1-EXP(-Presion_cilindro!$B$16*((Presion_cilindro!N692-$B$14)/Presion_cilindro!$B$35)^(Presion_cilindro!$B$17+1)),0)</f>
        <v>1</v>
      </c>
      <c r="U693" s="10">
        <f>U692*(Presion_cilindro!O691/Presion_cilindro!O692)^Presion_cilindro!$B$9+10*(Presion_cilindro!$B$9-1)*Presion_cilindro!$B$33*(T693-T692)/((Presion_cilindro!O691+Presion_cilindro!O692)/2)</f>
        <v>2.8074808279641807</v>
      </c>
    </row>
    <row r="694" spans="14:21" x14ac:dyDescent="0.25">
      <c r="N694" s="8">
        <f>-Presion_cilindro!N693</f>
        <v>-164.5</v>
      </c>
      <c r="O694" s="9">
        <f>IF(Presion_cilindro!N693&gt;$B$12,1-EXP(-Presion_cilindro!$B$16*((Presion_cilindro!N693-$B$12)/Presion_cilindro!$B$35)^(Presion_cilindro!$B$17+1)),0)</f>
        <v>1</v>
      </c>
      <c r="P694" s="10">
        <f>P693*(Presion_cilindro!O692/Presion_cilindro!O693)^Presion_cilindro!$B$9+10*(Presion_cilindro!$B$9-1)*Presion_cilindro!$B$33*(O694-O693)/((Presion_cilindro!O692+Presion_cilindro!O693)/2)</f>
        <v>2.290176302765929</v>
      </c>
      <c r="Q694" s="9">
        <f>IF(OR($B$9=0,Presion_cilindro!N693&lt;=$B$15),IF(Presion_cilindro!N693&gt;$B$13,1-EXP(-Presion_cilindro!$B$16*((Presion_cilindro!N693-$B$13)/Presion_cilindro!$B$35)^(Presion_cilindro!$B$17+1)),0),$B$8+(1-$B$8)*(1-EXP(-(Presion_cilindro!N693-$B$15)/Presion_cilindro!$B$23)))</f>
        <v>1</v>
      </c>
      <c r="R694" s="10">
        <f>R693*(Presion_cilindro!O692/Presion_cilindro!O693)^Presion_cilindro!$B$9+10*(Presion_cilindro!$B$9-1)*Presion_cilindro!$B$33*(Q694-Q693)/((Presion_cilindro!O692+Presion_cilindro!O693)/2)</f>
        <v>2.3754318150656353</v>
      </c>
      <c r="S694" s="10">
        <f>R694+IF(AND($B$9=1,Presion_cilindro!N693&gt;$B$15),Presion_cilindro!$B$24*2.5*EXP(-(Presion_cilindro!N693-$B$15)/Presion_cilindro!$B$26)*SIN(2*PI()*(Presion_cilindro!N693-$B$15)/Presion_cilindro!$B$39),0)</f>
        <v>2.3754315602918288</v>
      </c>
      <c r="T694" s="9">
        <f>IF(Presion_cilindro!N693&gt;$B$14,1-EXP(-Presion_cilindro!$B$16*((Presion_cilindro!N693-$B$14)/Presion_cilindro!$B$35)^(Presion_cilindro!$B$17+1)),0)</f>
        <v>1</v>
      </c>
      <c r="U694" s="10">
        <f>U693*(Presion_cilindro!O692/Presion_cilindro!O693)^Presion_cilindro!$B$9+10*(Presion_cilindro!$B$9-1)*Presion_cilindro!$B$33*(T694-T693)/((Presion_cilindro!O692+Presion_cilindro!O693)/2)</f>
        <v>2.8045645019410324</v>
      </c>
    </row>
    <row r="695" spans="14:21" x14ac:dyDescent="0.25">
      <c r="N695" s="8">
        <f>-Presion_cilindro!N694</f>
        <v>-165</v>
      </c>
      <c r="O695" s="9">
        <f>IF(Presion_cilindro!N694&gt;$B$12,1-EXP(-Presion_cilindro!$B$16*((Presion_cilindro!N694-$B$12)/Presion_cilindro!$B$35)^(Presion_cilindro!$B$17+1)),0)</f>
        <v>1</v>
      </c>
      <c r="P695" s="10">
        <f>P694*(Presion_cilindro!O693/Presion_cilindro!O694)^Presion_cilindro!$B$9+10*(Presion_cilindro!$B$9-1)*Presion_cilindro!$B$33*(O695-O694)/((Presion_cilindro!O693+Presion_cilindro!O694)/2)</f>
        <v>2.2878747334835783</v>
      </c>
      <c r="Q695" s="9">
        <f>IF(OR($B$9=0,Presion_cilindro!N694&lt;=$B$15),IF(Presion_cilindro!N694&gt;$B$13,1-EXP(-Presion_cilindro!$B$16*((Presion_cilindro!N694-$B$13)/Presion_cilindro!$B$35)^(Presion_cilindro!$B$17+1)),0),$B$8+(1-$B$8)*(1-EXP(-(Presion_cilindro!N694-$B$15)/Presion_cilindro!$B$23)))</f>
        <v>1</v>
      </c>
      <c r="R695" s="10">
        <f>R694*(Presion_cilindro!O693/Presion_cilindro!O694)^Presion_cilindro!$B$9+10*(Presion_cilindro!$B$9-1)*Presion_cilindro!$B$33*(Q695-Q694)/((Presion_cilindro!O693+Presion_cilindro!O694)/2)</f>
        <v>2.3730445661489159</v>
      </c>
      <c r="S695" s="10">
        <f>R695+IF(AND($B$9=1,Presion_cilindro!N694&gt;$B$15),Presion_cilindro!$B$24*2.5*EXP(-(Presion_cilindro!N694-$B$15)/Presion_cilindro!$B$26)*SIN(2*PI()*(Presion_cilindro!N694-$B$15)/Presion_cilindro!$B$39),0)</f>
        <v>2.3730444807046296</v>
      </c>
      <c r="T695" s="9">
        <f>IF(Presion_cilindro!N694&gt;$B$14,1-EXP(-Presion_cilindro!$B$16*((Presion_cilindro!N694-$B$14)/Presion_cilindro!$B$35)^(Presion_cilindro!$B$17+1)),0)</f>
        <v>1</v>
      </c>
      <c r="U695" s="10">
        <f>U694*(Presion_cilindro!O693/Presion_cilindro!O694)^Presion_cilindro!$B$9+10*(Presion_cilindro!$B$9-1)*Presion_cilindro!$B$33*(T695-T694)/((Presion_cilindro!O693+Presion_cilindro!O694)/2)</f>
        <v>2.8017459855236528</v>
      </c>
    </row>
    <row r="696" spans="14:21" x14ac:dyDescent="0.25">
      <c r="N696" s="8">
        <f>-Presion_cilindro!N695</f>
        <v>-165.5</v>
      </c>
      <c r="O696" s="9">
        <f>IF(Presion_cilindro!N695&gt;$B$12,1-EXP(-Presion_cilindro!$B$16*((Presion_cilindro!N695-$B$12)/Presion_cilindro!$B$35)^(Presion_cilindro!$B$17+1)),0)</f>
        <v>1</v>
      </c>
      <c r="P696" s="10">
        <f>P695*(Presion_cilindro!O694/Presion_cilindro!O695)^Presion_cilindro!$B$9+10*(Presion_cilindro!$B$9-1)*Presion_cilindro!$B$33*(O696-O695)/((Presion_cilindro!O694+Presion_cilindro!O695)/2)</f>
        <v>2.2856526133859378</v>
      </c>
      <c r="Q696" s="9">
        <f>IF(OR($B$9=0,Presion_cilindro!N695&lt;=$B$15),IF(Presion_cilindro!N695&gt;$B$13,1-EXP(-Presion_cilindro!$B$16*((Presion_cilindro!N695-$B$13)/Presion_cilindro!$B$35)^(Presion_cilindro!$B$17+1)),0),$B$8+(1-$B$8)*(1-EXP(-(Presion_cilindro!N695-$B$15)/Presion_cilindro!$B$23)))</f>
        <v>1</v>
      </c>
      <c r="R696" s="10">
        <f>R695*(Presion_cilindro!O694/Presion_cilindro!O695)^Presion_cilindro!$B$9+10*(Presion_cilindro!$B$9-1)*Presion_cilindro!$B$33*(Q696-Q695)/((Presion_cilindro!O694+Presion_cilindro!O695)/2)</f>
        <v>2.3707397240411461</v>
      </c>
      <c r="S696" s="10">
        <f>R696+IF(AND($B$9=1,Presion_cilindro!N695&gt;$B$15),Presion_cilindro!$B$24*2.5*EXP(-(Presion_cilindro!N695-$B$15)/Presion_cilindro!$B$26)*SIN(2*PI()*(Presion_cilindro!N695-$B$15)/Presion_cilindro!$B$39),0)</f>
        <v>2.3707399545700194</v>
      </c>
      <c r="T696" s="9">
        <f>IF(Presion_cilindro!N695&gt;$B$14,1-EXP(-Presion_cilindro!$B$16*((Presion_cilindro!N695-$B$14)/Presion_cilindro!$B$35)^(Presion_cilindro!$B$17+1)),0)</f>
        <v>1</v>
      </c>
      <c r="U696" s="10">
        <f>U695*(Presion_cilindro!O694/Presion_cilindro!O695)^Presion_cilindro!$B$9+10*(Presion_cilindro!$B$9-1)*Presion_cilindro!$B$33*(T696-T695)/((Presion_cilindro!O694+Presion_cilindro!O695)/2)</f>
        <v>2.7990247630844176</v>
      </c>
    </row>
    <row r="697" spans="14:21" x14ac:dyDescent="0.25">
      <c r="N697" s="8">
        <f>-Presion_cilindro!N696</f>
        <v>-166</v>
      </c>
      <c r="O697" s="9">
        <f>IF(Presion_cilindro!N696&gt;$B$12,1-EXP(-Presion_cilindro!$B$16*((Presion_cilindro!N696-$B$12)/Presion_cilindro!$B$35)^(Presion_cilindro!$B$17+1)),0)</f>
        <v>1</v>
      </c>
      <c r="P697" s="10">
        <f>P696*(Presion_cilindro!O695/Presion_cilindro!O696)^Presion_cilindro!$B$9+10*(Presion_cilindro!$B$9-1)*Presion_cilindro!$B$33*(O697-O696)/((Presion_cilindro!O695+Presion_cilindro!O696)/2)</f>
        <v>2.2835095365374714</v>
      </c>
      <c r="Q697" s="9">
        <f>IF(OR($B$9=0,Presion_cilindro!N696&lt;=$B$15),IF(Presion_cilindro!N696&gt;$B$13,1-EXP(-Presion_cilindro!$B$16*((Presion_cilindro!N696-$B$13)/Presion_cilindro!$B$35)^(Presion_cilindro!$B$17+1)),0),$B$8+(1-$B$8)*(1-EXP(-(Presion_cilindro!N696-$B$15)/Presion_cilindro!$B$23)))</f>
        <v>1</v>
      </c>
      <c r="R697" s="10">
        <f>R696*(Presion_cilindro!O695/Presion_cilindro!O696)^Presion_cilindro!$B$9+10*(Presion_cilindro!$B$9-1)*Presion_cilindro!$B$33*(Q697-Q696)/((Presion_cilindro!O695+Presion_cilindro!O696)/2)</f>
        <v>2.3685168676951829</v>
      </c>
      <c r="S697" s="10">
        <f>R697+IF(AND($B$9=1,Presion_cilindro!N696&gt;$B$15),Presion_cilindro!$B$24*2.5*EXP(-(Presion_cilindro!N696-$B$15)/Presion_cilindro!$B$26)*SIN(2*PI()*(Presion_cilindro!N696-$B$15)/Presion_cilindro!$B$39),0)</f>
        <v>2.3685169450083703</v>
      </c>
      <c r="T697" s="9">
        <f>IF(Presion_cilindro!N696&gt;$B$14,1-EXP(-Presion_cilindro!$B$16*((Presion_cilindro!N696-$B$14)/Presion_cilindro!$B$35)^(Presion_cilindro!$B$17+1)),0)</f>
        <v>1</v>
      </c>
      <c r="U697" s="10">
        <f>U696*(Presion_cilindro!O695/Presion_cilindro!O696)^Presion_cilindro!$B$9+10*(Presion_cilindro!$B$9-1)*Presion_cilindro!$B$33*(T697-T696)/((Presion_cilindro!O695+Presion_cilindro!O696)/2)</f>
        <v>2.7964003375120803</v>
      </c>
    </row>
    <row r="698" spans="14:21" x14ac:dyDescent="0.25">
      <c r="N698" s="8">
        <f>-Presion_cilindro!N697</f>
        <v>-166.5</v>
      </c>
      <c r="O698" s="9">
        <f>IF(Presion_cilindro!N697&gt;$B$12,1-EXP(-Presion_cilindro!$B$16*((Presion_cilindro!N697-$B$12)/Presion_cilindro!$B$35)^(Presion_cilindro!$B$17+1)),0)</f>
        <v>1</v>
      </c>
      <c r="P698" s="10">
        <f>P697*(Presion_cilindro!O696/Presion_cilindro!O697)^Presion_cilindro!$B$9+10*(Presion_cilindro!$B$9-1)*Presion_cilindro!$B$33*(O698-O697)/((Presion_cilindro!O696+Presion_cilindro!O697)/2)</f>
        <v>2.2814451119877477</v>
      </c>
      <c r="Q698" s="9">
        <f>IF(OR($B$9=0,Presion_cilindro!N697&lt;=$B$15),IF(Presion_cilindro!N697&gt;$B$13,1-EXP(-Presion_cilindro!$B$16*((Presion_cilindro!N697-$B$13)/Presion_cilindro!$B$35)^(Presion_cilindro!$B$17+1)),0),$B$8+(1-$B$8)*(1-EXP(-(Presion_cilindro!N697-$B$15)/Presion_cilindro!$B$23)))</f>
        <v>1</v>
      </c>
      <c r="R698" s="10">
        <f>R697*(Presion_cilindro!O696/Presion_cilindro!O697)^Presion_cilindro!$B$9+10*(Presion_cilindro!$B$9-1)*Presion_cilindro!$B$33*(Q698-Q697)/((Presion_cilindro!O696+Presion_cilindro!O697)/2)</f>
        <v>2.3663755916068339</v>
      </c>
      <c r="S698" s="10">
        <f>R698+IF(AND($B$9=1,Presion_cilindro!N697&gt;$B$15),Presion_cilindro!$B$24*2.5*EXP(-(Presion_cilindro!N697-$B$15)/Presion_cilindro!$B$26)*SIN(2*PI()*(Presion_cilindro!N697-$B$15)/Presion_cilindro!$B$39),0)</f>
        <v>2.3663753830156833</v>
      </c>
      <c r="T698" s="9">
        <f>IF(Presion_cilindro!N697&gt;$B$14,1-EXP(-Presion_cilindro!$B$16*((Presion_cilindro!N697-$B$14)/Presion_cilindro!$B$35)^(Presion_cilindro!$B$17+1)),0)</f>
        <v>1</v>
      </c>
      <c r="U698" s="10">
        <f>U697*(Presion_cilindro!O696/Presion_cilindro!O697)^Presion_cilindro!$B$9+10*(Presion_cilindro!$B$9-1)*Presion_cilindro!$B$33*(T698-T697)/((Presion_cilindro!O696+Presion_cilindro!O697)/2)</f>
        <v>2.79387223004625</v>
      </c>
    </row>
    <row r="699" spans="14:21" x14ac:dyDescent="0.25">
      <c r="N699" s="8">
        <f>-Presion_cilindro!N698</f>
        <v>-167</v>
      </c>
      <c r="O699" s="9">
        <f>IF(Presion_cilindro!N698&gt;$B$12,1-EXP(-Presion_cilindro!$B$16*((Presion_cilindro!N698-$B$12)/Presion_cilindro!$B$35)^(Presion_cilindro!$B$17+1)),0)</f>
        <v>1</v>
      </c>
      <c r="P699" s="10">
        <f>P698*(Presion_cilindro!O697/Presion_cilindro!O698)^Presion_cilindro!$B$9+10*(Presion_cilindro!$B$9-1)*Presion_cilindro!$B$33*(O699-O698)/((Presion_cilindro!O697+Presion_cilindro!O698)/2)</f>
        <v>2.2794589636415004</v>
      </c>
      <c r="Q699" s="9">
        <f>IF(OR($B$9=0,Presion_cilindro!N698&lt;=$B$15),IF(Presion_cilindro!N698&gt;$B$13,1-EXP(-Presion_cilindro!$B$16*((Presion_cilindro!N698-$B$13)/Presion_cilindro!$B$35)^(Presion_cilindro!$B$17+1)),0),$B$8+(1-$B$8)*(1-EXP(-(Presion_cilindro!N698-$B$15)/Presion_cilindro!$B$23)))</f>
        <v>1</v>
      </c>
      <c r="R699" s="10">
        <f>R698*(Presion_cilindro!O697/Presion_cilindro!O698)^Presion_cilindro!$B$9+10*(Presion_cilindro!$B$9-1)*Presion_cilindro!$B$33*(Q699-Q698)/((Presion_cilindro!O697+Presion_cilindro!O698)/2)</f>
        <v>2.3643155056800791</v>
      </c>
      <c r="S699" s="10">
        <f>R699+IF(AND($B$9=1,Presion_cilindro!N698&gt;$B$15),Presion_cilindro!$B$24*2.5*EXP(-(Presion_cilindro!N698-$B$15)/Presion_cilindro!$B$26)*SIN(2*PI()*(Presion_cilindro!N698-$B$15)/Presion_cilindro!$B$39),0)</f>
        <v>2.364315435724214</v>
      </c>
      <c r="T699" s="9">
        <f>IF(Presion_cilindro!N698&gt;$B$14,1-EXP(-Presion_cilindro!$B$16*((Presion_cilindro!N698-$B$14)/Presion_cilindro!$B$35)^(Presion_cilindro!$B$17+1)),0)</f>
        <v>1</v>
      </c>
      <c r="U699" s="10">
        <f>U698*(Presion_cilindro!O697/Presion_cilindro!O698)^Presion_cilindro!$B$9+10*(Presion_cilindro!$B$9-1)*Presion_cilindro!$B$33*(T699-T698)/((Presion_cilindro!O697+Presion_cilindro!O698)/2)</f>
        <v>2.7914399801182657</v>
      </c>
    </row>
    <row r="700" spans="14:21" x14ac:dyDescent="0.25">
      <c r="N700" s="8">
        <f>-Presion_cilindro!N699</f>
        <v>-167.5</v>
      </c>
      <c r="O700" s="9">
        <f>IF(Presion_cilindro!N699&gt;$B$12,1-EXP(-Presion_cilindro!$B$16*((Presion_cilindro!N699-$B$12)/Presion_cilindro!$B$35)^(Presion_cilindro!$B$17+1)),0)</f>
        <v>1</v>
      </c>
      <c r="P700" s="10">
        <f>P699*(Presion_cilindro!O698/Presion_cilindro!O699)^Presion_cilindro!$B$9+10*(Presion_cilindro!$B$9-1)*Presion_cilindro!$B$33*(O700-O699)/((Presion_cilindro!O698+Presion_cilindro!O699)/2)</f>
        <v>2.2775507301338189</v>
      </c>
      <c r="Q700" s="9">
        <f>IF(OR($B$9=0,Presion_cilindro!N699&lt;=$B$15),IF(Presion_cilindro!N699&gt;$B$13,1-EXP(-Presion_cilindro!$B$16*((Presion_cilindro!N699-$B$13)/Presion_cilindro!$B$35)^(Presion_cilindro!$B$17+1)),0),$B$8+(1-$B$8)*(1-EXP(-(Presion_cilindro!N699-$B$15)/Presion_cilindro!$B$23)))</f>
        <v>1</v>
      </c>
      <c r="R700" s="10">
        <f>R699*(Presion_cilindro!O698/Presion_cilindro!O699)^Presion_cilindro!$B$9+10*(Presion_cilindro!$B$9-1)*Presion_cilindro!$B$33*(Q700-Q699)/((Presion_cilindro!O698+Presion_cilindro!O699)/2)</f>
        <v>2.3623362350976151</v>
      </c>
      <c r="S700" s="10">
        <f>R700+IF(AND($B$9=1,Presion_cilindro!N699&gt;$B$15),Presion_cilindro!$B$24*2.5*EXP(-(Presion_cilindro!N699-$B$15)/Presion_cilindro!$B$26)*SIN(2*PI()*(Presion_cilindro!N699-$B$15)/Presion_cilindro!$B$39),0)</f>
        <v>2.362336423838693</v>
      </c>
      <c r="T700" s="9">
        <f>IF(Presion_cilindro!N699&gt;$B$14,1-EXP(-Presion_cilindro!$B$16*((Presion_cilindro!N699-$B$14)/Presion_cilindro!$B$35)^(Presion_cilindro!$B$17+1)),0)</f>
        <v>1</v>
      </c>
      <c r="U700" s="10">
        <f>U699*(Presion_cilindro!O698/Presion_cilindro!O699)^Presion_cilindro!$B$9+10*(Presion_cilindro!$B$9-1)*Presion_cilindro!$B$33*(T700-T699)/((Presion_cilindro!O698+Presion_cilindro!O699)/2)</f>
        <v>2.7891031451983541</v>
      </c>
    </row>
    <row r="701" spans="14:21" x14ac:dyDescent="0.25">
      <c r="N701" s="8">
        <f>-Presion_cilindro!N700</f>
        <v>-168</v>
      </c>
      <c r="O701" s="9">
        <f>IF(Presion_cilindro!N700&gt;$B$12,1-EXP(-Presion_cilindro!$B$16*((Presion_cilindro!N700-$B$12)/Presion_cilindro!$B$35)^(Presion_cilindro!$B$17+1)),0)</f>
        <v>1</v>
      </c>
      <c r="P701" s="10">
        <f>P700*(Presion_cilindro!O699/Presion_cilindro!O700)^Presion_cilindro!$B$9+10*(Presion_cilindro!$B$9-1)*Presion_cilindro!$B$33*(O701-O700)/((Presion_cilindro!O699+Presion_cilindro!O700)/2)</f>
        <v>2.2757200647104185</v>
      </c>
      <c r="Q701" s="9">
        <f>IF(OR($B$9=0,Presion_cilindro!N700&lt;=$B$15),IF(Presion_cilindro!N700&gt;$B$13,1-EXP(-Presion_cilindro!$B$16*((Presion_cilindro!N700-$B$13)/Presion_cilindro!$B$35)^(Presion_cilindro!$B$17+1)),0),$B$8+(1-$B$8)*(1-EXP(-(Presion_cilindro!N700-$B$15)/Presion_cilindro!$B$23)))</f>
        <v>1</v>
      </c>
      <c r="R701" s="10">
        <f>R700*(Presion_cilindro!O699/Presion_cilindro!O700)^Presion_cilindro!$B$9+10*(Presion_cilindro!$B$9-1)*Presion_cilindro!$B$33*(Q701-Q700)/((Presion_cilindro!O699+Presion_cilindro!O700)/2)</f>
        <v>2.3604374201966691</v>
      </c>
      <c r="S701" s="10">
        <f>R701+IF(AND($B$9=1,Presion_cilindro!N700&gt;$B$15),Presion_cilindro!$B$24*2.5*EXP(-(Presion_cilindro!N700-$B$15)/Presion_cilindro!$B$26)*SIN(2*PI()*(Presion_cilindro!N700-$B$15)/Presion_cilindro!$B$39),0)</f>
        <v>2.3604374834953532</v>
      </c>
      <c r="T701" s="9">
        <f>IF(Presion_cilindro!N700&gt;$B$14,1-EXP(-Presion_cilindro!$B$16*((Presion_cilindro!N700-$B$14)/Presion_cilindro!$B$35)^(Presion_cilindro!$B$17+1)),0)</f>
        <v>1</v>
      </c>
      <c r="U701" s="10">
        <f>U700*(Presion_cilindro!O699/Presion_cilindro!O700)^Presion_cilindro!$B$9+10*(Presion_cilindro!$B$9-1)*Presion_cilindro!$B$33*(T701-T700)/((Presion_cilindro!O699+Presion_cilindro!O700)/2)</f>
        <v>2.7868613006490071</v>
      </c>
    </row>
    <row r="702" spans="14:21" x14ac:dyDescent="0.25">
      <c r="N702" s="8">
        <f>-Presion_cilindro!N701</f>
        <v>-168.5</v>
      </c>
      <c r="O702" s="9">
        <f>IF(Presion_cilindro!N701&gt;$B$12,1-EXP(-Presion_cilindro!$B$16*((Presion_cilindro!N701-$B$12)/Presion_cilindro!$B$35)^(Presion_cilindro!$B$17+1)),0)</f>
        <v>1</v>
      </c>
      <c r="P702" s="10">
        <f>P701*(Presion_cilindro!O700/Presion_cilindro!O701)^Presion_cilindro!$B$9+10*(Presion_cilindro!$B$9-1)*Presion_cilindro!$B$33*(O702-O701)/((Presion_cilindro!O700+Presion_cilindro!O701)/2)</f>
        <v>2.2739666351129268</v>
      </c>
      <c r="Q702" s="9">
        <f>IF(OR($B$9=0,Presion_cilindro!N701&lt;=$B$15),IF(Presion_cilindro!N701&gt;$B$13,1-EXP(-Presion_cilindro!$B$16*((Presion_cilindro!N701-$B$13)/Presion_cilindro!$B$35)^(Presion_cilindro!$B$17+1)),0),$B$8+(1-$B$8)*(1-EXP(-(Presion_cilindro!N701-$B$15)/Presion_cilindro!$B$23)))</f>
        <v>1</v>
      </c>
      <c r="R702" s="10">
        <f>R701*(Presion_cilindro!O700/Presion_cilindro!O701)^Presion_cilindro!$B$9+10*(Presion_cilindro!$B$9-1)*Presion_cilindro!$B$33*(Q702-Q701)/((Presion_cilindro!O700+Presion_cilindro!O701)/2)</f>
        <v>2.3586187163500134</v>
      </c>
      <c r="S702" s="10">
        <f>R702+IF(AND($B$9=1,Presion_cilindro!N701&gt;$B$15),Presion_cilindro!$B$24*2.5*EXP(-(Presion_cilindro!N701-$B$15)/Presion_cilindro!$B$26)*SIN(2*PI()*(Presion_cilindro!N701-$B$15)/Presion_cilindro!$B$39),0)</f>
        <v>2.3586185455700237</v>
      </c>
      <c r="T702" s="9">
        <f>IF(Presion_cilindro!N701&gt;$B$14,1-EXP(-Presion_cilindro!$B$16*((Presion_cilindro!N701-$B$14)/Presion_cilindro!$B$35)^(Presion_cilindro!$B$17+1)),0)</f>
        <v>1</v>
      </c>
      <c r="U702" s="10">
        <f>U701*(Presion_cilindro!O700/Presion_cilindro!O701)^Presion_cilindro!$B$9+10*(Presion_cilindro!$B$9-1)*Presion_cilindro!$B$33*(T702-T701)/((Presion_cilindro!O700+Presion_cilindro!O701)/2)</f>
        <v>2.7847140395845034</v>
      </c>
    </row>
    <row r="703" spans="14:21" x14ac:dyDescent="0.25">
      <c r="N703" s="8">
        <f>-Presion_cilindro!N702</f>
        <v>-169</v>
      </c>
      <c r="O703" s="9">
        <f>IF(Presion_cilindro!N702&gt;$B$12,1-EXP(-Presion_cilindro!$B$16*((Presion_cilindro!N702-$B$12)/Presion_cilindro!$B$35)^(Presion_cilindro!$B$17+1)),0)</f>
        <v>1</v>
      </c>
      <c r="P703" s="10">
        <f>P702*(Presion_cilindro!O701/Presion_cilindro!O702)^Presion_cilindro!$B$9+10*(Presion_cilindro!$B$9-1)*Presion_cilindro!$B$33*(O703-O702)/((Presion_cilindro!O701+Presion_cilindro!O702)/2)</f>
        <v>2.2722901234691273</v>
      </c>
      <c r="Q703" s="9">
        <f>IF(OR($B$9=0,Presion_cilindro!N702&lt;=$B$15),IF(Presion_cilindro!N702&gt;$B$13,1-EXP(-Presion_cilindro!$B$16*((Presion_cilindro!N702-$B$13)/Presion_cilindro!$B$35)^(Presion_cilindro!$B$17+1)),0),$B$8+(1-$B$8)*(1-EXP(-(Presion_cilindro!N702-$B$15)/Presion_cilindro!$B$23)))</f>
        <v>1</v>
      </c>
      <c r="R703" s="10">
        <f>R702*(Presion_cilindro!O701/Presion_cilindro!O702)^Presion_cilindro!$B$9+10*(Presion_cilindro!$B$9-1)*Presion_cilindro!$B$33*(Q703-Q702)/((Presion_cilindro!O701+Presion_cilindro!O702)/2)</f>
        <v>2.3568797938521251</v>
      </c>
      <c r="S703" s="10">
        <f>R703+IF(AND($B$9=1,Presion_cilindro!N702&gt;$B$15),Presion_cilindro!$B$24*2.5*EXP(-(Presion_cilindro!N702-$B$15)/Presion_cilindro!$B$26)*SIN(2*PI()*(Presion_cilindro!N702-$B$15)/Presion_cilindro!$B$39),0)</f>
        <v>2.356879736577107</v>
      </c>
      <c r="T703" s="9">
        <f>IF(Presion_cilindro!N702&gt;$B$14,1-EXP(-Presion_cilindro!$B$16*((Presion_cilindro!N702-$B$14)/Presion_cilindro!$B$35)^(Presion_cilindro!$B$17+1)),0)</f>
        <v>1</v>
      </c>
      <c r="U703" s="10">
        <f>U702*(Presion_cilindro!O701/Presion_cilindro!O702)^Presion_cilindro!$B$9+10*(Presion_cilindro!$B$9-1)*Presion_cilindro!$B$33*(T703-T702)/((Presion_cilindro!O701+Presion_cilindro!O702)/2)</f>
        <v>2.7826609727365001</v>
      </c>
    </row>
    <row r="704" spans="14:21" x14ac:dyDescent="0.25">
      <c r="N704" s="8">
        <f>-Presion_cilindro!N703</f>
        <v>-169.5</v>
      </c>
      <c r="O704" s="9">
        <f>IF(Presion_cilindro!N703&gt;$B$12,1-EXP(-Presion_cilindro!$B$16*((Presion_cilindro!N703-$B$12)/Presion_cilindro!$B$35)^(Presion_cilindro!$B$17+1)),0)</f>
        <v>1</v>
      </c>
      <c r="P704" s="10">
        <f>P703*(Presion_cilindro!O702/Presion_cilindro!O703)^Presion_cilindro!$B$9+10*(Presion_cilindro!$B$9-1)*Presion_cilindro!$B$33*(O704-O703)/((Presion_cilindro!O702+Presion_cilindro!O703)/2)</f>
        <v>2.2706902261880932</v>
      </c>
      <c r="Q704" s="9">
        <f>IF(OR($B$9=0,Presion_cilindro!N703&lt;=$B$15),IF(Presion_cilindro!N703&gt;$B$13,1-EXP(-Presion_cilindro!$B$16*((Presion_cilindro!N703-$B$13)/Presion_cilindro!$B$35)^(Presion_cilindro!$B$17+1)),0),$B$8+(1-$B$8)*(1-EXP(-(Presion_cilindro!N703-$B$15)/Presion_cilindro!$B$23)))</f>
        <v>1</v>
      </c>
      <c r="R704" s="10">
        <f>R703*(Presion_cilindro!O702/Presion_cilindro!O703)^Presion_cilindro!$B$9+10*(Presion_cilindro!$B$9-1)*Presion_cilindro!$B$33*(Q704-Q703)/((Presion_cilindro!O702+Presion_cilindro!O703)/2)</f>
        <v>2.3552203378104153</v>
      </c>
      <c r="S704" s="10">
        <f>R704+IF(AND($B$9=1,Presion_cilindro!N703&gt;$B$15),Presion_cilindro!$B$24*2.5*EXP(-(Presion_cilindro!N703-$B$15)/Presion_cilindro!$B$26)*SIN(2*PI()*(Presion_cilindro!N703-$B$15)/Presion_cilindro!$B$39),0)</f>
        <v>2.3552204923385403</v>
      </c>
      <c r="T704" s="9">
        <f>IF(Presion_cilindro!N703&gt;$B$14,1-EXP(-Presion_cilindro!$B$16*((Presion_cilindro!N703-$B$14)/Presion_cilindro!$B$35)^(Presion_cilindro!$B$17+1)),0)</f>
        <v>1</v>
      </c>
      <c r="U704" s="10">
        <f>U703*(Presion_cilindro!O702/Presion_cilindro!O703)^Presion_cilindro!$B$9+10*(Presion_cilindro!$B$9-1)*Presion_cilindro!$B$33*(T704-T703)/((Presion_cilindro!O702+Presion_cilindro!O703)/2)</f>
        <v>2.7807017283256132</v>
      </c>
    </row>
    <row r="705" spans="14:21" x14ac:dyDescent="0.25">
      <c r="N705" s="8">
        <f>-Presion_cilindro!N704</f>
        <v>-170</v>
      </c>
      <c r="O705" s="9">
        <f>IF(Presion_cilindro!N704&gt;$B$12,1-EXP(-Presion_cilindro!$B$16*((Presion_cilindro!N704-$B$12)/Presion_cilindro!$B$35)^(Presion_cilindro!$B$17+1)),0)</f>
        <v>1</v>
      </c>
      <c r="P705" s="10">
        <f>P704*(Presion_cilindro!O703/Presion_cilindro!O704)^Presion_cilindro!$B$9+10*(Presion_cilindro!$B$9-1)*Presion_cilindro!$B$33*(O705-O704)/((Presion_cilindro!O703+Presion_cilindro!O704)/2)</f>
        <v>2.269166653860184</v>
      </c>
      <c r="Q705" s="9">
        <f>IF(OR($B$9=0,Presion_cilindro!N704&lt;=$B$15),IF(Presion_cilindro!N704&gt;$B$13,1-EXP(-Presion_cilindro!$B$16*((Presion_cilindro!N704-$B$13)/Presion_cilindro!$B$35)^(Presion_cilindro!$B$17+1)),0),$B$8+(1-$B$8)*(1-EXP(-(Presion_cilindro!N704-$B$15)/Presion_cilindro!$B$23)))</f>
        <v>1</v>
      </c>
      <c r="R705" s="10">
        <f>R704*(Presion_cilindro!O703/Presion_cilindro!O704)^Presion_cilindro!$B$9+10*(Presion_cilindro!$B$9-1)*Presion_cilindro!$B$33*(Q705-Q704)/((Presion_cilindro!O703+Presion_cilindro!O704)/2)</f>
        <v>2.3536400480415014</v>
      </c>
      <c r="S705" s="10">
        <f>R705+IF(AND($B$9=1,Presion_cilindro!N704&gt;$B$15),Presion_cilindro!$B$24*2.5*EXP(-(Presion_cilindro!N704-$B$15)/Presion_cilindro!$B$26)*SIN(2*PI()*(Presion_cilindro!N704-$B$15)/Presion_cilindro!$B$39),0)</f>
        <v>2.3536400998660807</v>
      </c>
      <c r="T705" s="9">
        <f>IF(Presion_cilindro!N704&gt;$B$14,1-EXP(-Presion_cilindro!$B$16*((Presion_cilindro!N704-$B$14)/Presion_cilindro!$B$35)^(Presion_cilindro!$B$17+1)),0)</f>
        <v>1</v>
      </c>
      <c r="U705" s="10">
        <f>U704*(Presion_cilindro!O703/Presion_cilindro!O704)^Presion_cilindro!$B$9+10*(Presion_cilindro!$B$9-1)*Presion_cilindro!$B$33*(T705-T704)/((Presion_cilindro!O703+Presion_cilindro!O704)/2)</f>
        <v>2.7788359519389507</v>
      </c>
    </row>
    <row r="706" spans="14:21" x14ac:dyDescent="0.25">
      <c r="N706" s="8">
        <f>-Presion_cilindro!N705</f>
        <v>-170.5</v>
      </c>
      <c r="O706" s="9">
        <f>IF(Presion_cilindro!N705&gt;$B$12,1-EXP(-Presion_cilindro!$B$16*((Presion_cilindro!N705-$B$12)/Presion_cilindro!$B$35)^(Presion_cilindro!$B$17+1)),0)</f>
        <v>1</v>
      </c>
      <c r="P706" s="10">
        <f>P705*(Presion_cilindro!O704/Presion_cilindro!O705)^Presion_cilindro!$B$9+10*(Presion_cilindro!$B$9-1)*Presion_cilindro!$B$33*(O706-O705)/((Presion_cilindro!O704+Presion_cilindro!O705)/2)</f>
        <v>2.2677191311618206</v>
      </c>
      <c r="Q706" s="9">
        <f>IF(OR($B$9=0,Presion_cilindro!N705&lt;=$B$15),IF(Presion_cilindro!N705&gt;$B$13,1-EXP(-Presion_cilindro!$B$16*((Presion_cilindro!N705-$B$13)/Presion_cilindro!$B$35)^(Presion_cilindro!$B$17+1)),0),$B$8+(1-$B$8)*(1-EXP(-(Presion_cilindro!N705-$B$15)/Presion_cilindro!$B$23)))</f>
        <v>1</v>
      </c>
      <c r="R706" s="10">
        <f>R705*(Presion_cilindro!O704/Presion_cilindro!O705)^Presion_cilindro!$B$9+10*(Presion_cilindro!$B$9-1)*Presion_cilindro!$B$33*(Q706-Q705)/((Presion_cilindro!O704+Presion_cilindro!O705)/2)</f>
        <v>2.3521386389724399</v>
      </c>
      <c r="S706" s="10">
        <f>R706+IF(AND($B$9=1,Presion_cilindro!N705&gt;$B$15),Presion_cilindro!$B$24*2.5*EXP(-(Presion_cilindro!N705-$B$15)/Presion_cilindro!$B$26)*SIN(2*PI()*(Presion_cilindro!N705-$B$15)/Presion_cilindro!$B$39),0)</f>
        <v>2.3521384991496102</v>
      </c>
      <c r="T706" s="9">
        <f>IF(Presion_cilindro!N705&gt;$B$14,1-EXP(-Presion_cilindro!$B$16*((Presion_cilindro!N705-$B$14)/Presion_cilindro!$B$35)^(Presion_cilindro!$B$17+1)),0)</f>
        <v>1</v>
      </c>
      <c r="U706" s="10">
        <f>U705*(Presion_cilindro!O704/Presion_cilindro!O705)^Presion_cilindro!$B$9+10*(Presion_cilindro!$B$9-1)*Presion_cilindro!$B$33*(T706-T705)/((Presion_cilindro!O704+Presion_cilindro!O705)/2)</f>
        <v>2.7770633064135031</v>
      </c>
    </row>
    <row r="707" spans="14:21" x14ac:dyDescent="0.25">
      <c r="N707" s="8">
        <f>-Presion_cilindro!N706</f>
        <v>-171</v>
      </c>
      <c r="O707" s="9">
        <f>IF(Presion_cilindro!N706&gt;$B$12,1-EXP(-Presion_cilindro!$B$16*((Presion_cilindro!N706-$B$12)/Presion_cilindro!$B$35)^(Presion_cilindro!$B$17+1)),0)</f>
        <v>1</v>
      </c>
      <c r="P707" s="10">
        <f>P706*(Presion_cilindro!O705/Presion_cilindro!O706)^Presion_cilindro!$B$9+10*(Presion_cilindro!$B$9-1)*Presion_cilindro!$B$33*(O707-O706)/((Presion_cilindro!O705+Presion_cilindro!O706)/2)</f>
        <v>2.2663473967650121</v>
      </c>
      <c r="Q707" s="9">
        <f>IF(OR($B$9=0,Presion_cilindro!N706&lt;=$B$15),IF(Presion_cilindro!N706&gt;$B$13,1-EXP(-Presion_cilindro!$B$16*((Presion_cilindro!N706-$B$13)/Presion_cilindro!$B$35)^(Presion_cilindro!$B$17+1)),0),$B$8+(1-$B$8)*(1-EXP(-(Presion_cilindro!N706-$B$15)/Presion_cilindro!$B$23)))</f>
        <v>1</v>
      </c>
      <c r="R707" s="10">
        <f>R706*(Presion_cilindro!O705/Presion_cilindro!O706)^Presion_cilindro!$B$9+10*(Presion_cilindro!$B$9-1)*Presion_cilindro!$B$33*(Q707-Q706)/((Presion_cilindro!O705+Presion_cilindro!O706)/2)</f>
        <v>2.3507158395468837</v>
      </c>
      <c r="S707" s="10">
        <f>R707+IF(AND($B$9=1,Presion_cilindro!N706&gt;$B$15),Presion_cilindro!$B$24*2.5*EXP(-(Presion_cilindro!N706-$B$15)/Presion_cilindro!$B$26)*SIN(2*PI()*(Presion_cilindro!N706-$B$15)/Presion_cilindro!$B$39),0)</f>
        <v>2.3507157926540652</v>
      </c>
      <c r="T707" s="9">
        <f>IF(Presion_cilindro!N706&gt;$B$14,1-EXP(-Presion_cilindro!$B$16*((Presion_cilindro!N706-$B$14)/Presion_cilindro!$B$35)^(Presion_cilindro!$B$17+1)),0)</f>
        <v>1</v>
      </c>
      <c r="U707" s="10">
        <f>U706*(Presion_cilindro!O705/Presion_cilindro!O706)^Presion_cilindro!$B$9+10*(Presion_cilindro!$B$9-1)*Presion_cilindro!$B$33*(T707-T706)/((Presion_cilindro!O705+Presion_cilindro!O706)/2)</f>
        <v>2.7753834717253465</v>
      </c>
    </row>
    <row r="708" spans="14:21" x14ac:dyDescent="0.25">
      <c r="N708" s="8">
        <f>-Presion_cilindro!N707</f>
        <v>-171.5</v>
      </c>
      <c r="O708" s="9">
        <f>IF(Presion_cilindro!N707&gt;$B$12,1-EXP(-Presion_cilindro!$B$16*((Presion_cilindro!N707-$B$12)/Presion_cilindro!$B$35)^(Presion_cilindro!$B$17+1)),0)</f>
        <v>1</v>
      </c>
      <c r="P708" s="10">
        <f>P707*(Presion_cilindro!O706/Presion_cilindro!O707)^Presion_cilindro!$B$9+10*(Presion_cilindro!$B$9-1)*Presion_cilindro!$B$33*(O708-O707)/((Presion_cilindro!O706+Presion_cilindro!O707)/2)</f>
        <v>2.2650512032515868</v>
      </c>
      <c r="Q708" s="9">
        <f>IF(OR($B$9=0,Presion_cilindro!N707&lt;=$B$15),IF(Presion_cilindro!N707&gt;$B$13,1-EXP(-Presion_cilindro!$B$16*((Presion_cilindro!N707-$B$13)/Presion_cilindro!$B$35)^(Presion_cilindro!$B$17+1)),0),$B$8+(1-$B$8)*(1-EXP(-(Presion_cilindro!N707-$B$15)/Presion_cilindro!$B$23)))</f>
        <v>1</v>
      </c>
      <c r="R708" s="10">
        <f>R707*(Presion_cilindro!O706/Presion_cilindro!O707)^Presion_cilindro!$B$9+10*(Presion_cilindro!$B$9-1)*Presion_cilindro!$B$33*(Q708-Q707)/((Presion_cilindro!O706+Presion_cilindro!O707)/2)</f>
        <v>2.3493713931361189</v>
      </c>
      <c r="S708" s="10">
        <f>R708+IF(AND($B$9=1,Presion_cilindro!N707&gt;$B$15),Presion_cilindro!$B$24*2.5*EXP(-(Presion_cilindro!N707-$B$15)/Presion_cilindro!$B$26)*SIN(2*PI()*(Presion_cilindro!N707-$B$15)/Presion_cilindro!$B$39),0)</f>
        <v>2.3493715196530469</v>
      </c>
      <c r="T708" s="9">
        <f>IF(Presion_cilindro!N707&gt;$B$14,1-EXP(-Presion_cilindro!$B$16*((Presion_cilindro!N707-$B$14)/Presion_cilindro!$B$35)^(Presion_cilindro!$B$17+1)),0)</f>
        <v>1</v>
      </c>
      <c r="U708" s="10">
        <f>U707*(Presion_cilindro!O706/Presion_cilindro!O707)^Presion_cilindro!$B$9+10*(Presion_cilindro!$B$9-1)*Presion_cilindro!$B$33*(T708-T707)/((Presion_cilindro!O706+Presion_cilindro!O707)/2)</f>
        <v>2.77379614488461</v>
      </c>
    </row>
    <row r="709" spans="14:21" x14ac:dyDescent="0.25">
      <c r="N709" s="8">
        <f>-Presion_cilindro!N708</f>
        <v>-172</v>
      </c>
      <c r="O709" s="9">
        <f>IF(Presion_cilindro!N708&gt;$B$12,1-EXP(-Presion_cilindro!$B$16*((Presion_cilindro!N708-$B$12)/Presion_cilindro!$B$35)^(Presion_cilindro!$B$17+1)),0)</f>
        <v>1</v>
      </c>
      <c r="P709" s="10">
        <f>P708*(Presion_cilindro!O707/Presion_cilindro!O708)^Presion_cilindro!$B$9+10*(Presion_cilindro!$B$9-1)*Presion_cilindro!$B$33*(O709-O708)/((Presion_cilindro!O707+Presion_cilindro!O708)/2)</f>
        <v>2.2638303170320748</v>
      </c>
      <c r="Q709" s="9">
        <f>IF(OR($B$9=0,Presion_cilindro!N708&lt;=$B$15),IF(Presion_cilindro!N708&gt;$B$13,1-EXP(-Presion_cilindro!$B$16*((Presion_cilindro!N708-$B$13)/Presion_cilindro!$B$35)^(Presion_cilindro!$B$17+1)),0),$B$8+(1-$B$8)*(1-EXP(-(Presion_cilindro!N708-$B$15)/Presion_cilindro!$B$23)))</f>
        <v>1</v>
      </c>
      <c r="R709" s="10">
        <f>R708*(Presion_cilindro!O707/Presion_cilindro!O708)^Presion_cilindro!$B$9+10*(Presion_cilindro!$B$9-1)*Presion_cilindro!$B$33*(Q709-Q708)/((Presion_cilindro!O707+Presion_cilindro!O708)/2)</f>
        <v>2.3481050574549305</v>
      </c>
      <c r="S709" s="10">
        <f>R709+IF(AND($B$9=1,Presion_cilindro!N708&gt;$B$15),Presion_cilindro!$B$24*2.5*EXP(-(Presion_cilindro!N708-$B$15)/Presion_cilindro!$B$26)*SIN(2*PI()*(Presion_cilindro!N708-$B$15)/Presion_cilindro!$B$39),0)</f>
        <v>2.3481050998853075</v>
      </c>
      <c r="T709" s="9">
        <f>IF(Presion_cilindro!N708&gt;$B$14,1-EXP(-Presion_cilindro!$B$16*((Presion_cilindro!N708-$B$14)/Presion_cilindro!$B$35)^(Presion_cilindro!$B$17+1)),0)</f>
        <v>1</v>
      </c>
      <c r="U709" s="10">
        <f>U708*(Presion_cilindro!O707/Presion_cilindro!O708)^Presion_cilindro!$B$9+10*(Presion_cilindro!$B$9-1)*Presion_cilindro!$B$33*(T709-T708)/((Presion_cilindro!O707+Presion_cilindro!O708)/2)</f>
        <v>2.7723010398361394</v>
      </c>
    </row>
    <row r="710" spans="14:21" x14ac:dyDescent="0.25">
      <c r="N710" s="8">
        <f>-Presion_cilindro!N709</f>
        <v>-172.5</v>
      </c>
      <c r="O710" s="9">
        <f>IF(Presion_cilindro!N709&gt;$B$12,1-EXP(-Presion_cilindro!$B$16*((Presion_cilindro!N709-$B$12)/Presion_cilindro!$B$35)^(Presion_cilindro!$B$17+1)),0)</f>
        <v>1</v>
      </c>
      <c r="P710" s="10">
        <f>P709*(Presion_cilindro!O708/Presion_cilindro!O709)^Presion_cilindro!$B$9+10*(Presion_cilindro!$B$9-1)*Presion_cilindro!$B$33*(O710-O709)/((Presion_cilindro!O708+Presion_cilindro!O709)/2)</f>
        <v>2.2626845182692006</v>
      </c>
      <c r="Q710" s="9">
        <f>IF(OR($B$9=0,Presion_cilindro!N709&lt;=$B$15),IF(Presion_cilindro!N709&gt;$B$13,1-EXP(-Presion_cilindro!$B$16*((Presion_cilindro!N709-$B$13)/Presion_cilindro!$B$35)^(Presion_cilindro!$B$17+1)),0),$B$8+(1-$B$8)*(1-EXP(-(Presion_cilindro!N709-$B$15)/Presion_cilindro!$B$23)))</f>
        <v>1</v>
      </c>
      <c r="R710" s="10">
        <f>R709*(Presion_cilindro!O708/Presion_cilindro!O709)^Presion_cilindro!$B$9+10*(Presion_cilindro!$B$9-1)*Presion_cilindro!$B$33*(Q710-Q709)/((Presion_cilindro!O708+Presion_cilindro!O709)/2)</f>
        <v>2.3469166044822458</v>
      </c>
      <c r="S710" s="10">
        <f>R710+IF(AND($B$9=1,Presion_cilindro!N709&gt;$B$15),Presion_cilindro!$B$24*2.5*EXP(-(Presion_cilindro!N709-$B$15)/Presion_cilindro!$B$26)*SIN(2*PI()*(Presion_cilindro!N709-$B$15)/Presion_cilindro!$B$39),0)</f>
        <v>2.3469164900049955</v>
      </c>
      <c r="T710" s="9">
        <f>IF(Presion_cilindro!N709&gt;$B$14,1-EXP(-Presion_cilindro!$B$16*((Presion_cilindro!N709-$B$14)/Presion_cilindro!$B$35)^(Presion_cilindro!$B$17+1)),0)</f>
        <v>1</v>
      </c>
      <c r="U710" s="10">
        <f>U709*(Presion_cilindro!O708/Presion_cilindro!O709)^Presion_cilindro!$B$9+10*(Presion_cilindro!$B$9-1)*Presion_cilindro!$B$33*(T710-T709)/((Presion_cilindro!O708+Presion_cilindro!O709)/2)</f>
        <v>2.7708978873658063</v>
      </c>
    </row>
    <row r="711" spans="14:21" x14ac:dyDescent="0.25">
      <c r="N711" s="8">
        <f>-Presion_cilindro!N710</f>
        <v>-173</v>
      </c>
      <c r="O711" s="9">
        <f>IF(Presion_cilindro!N710&gt;$B$12,1-EXP(-Presion_cilindro!$B$16*((Presion_cilindro!N710-$B$12)/Presion_cilindro!$B$35)^(Presion_cilindro!$B$17+1)),0)</f>
        <v>1</v>
      </c>
      <c r="P711" s="10">
        <f>P710*(Presion_cilindro!O709/Presion_cilindro!O710)^Presion_cilindro!$B$9+10*(Presion_cilindro!$B$9-1)*Presion_cilindro!$B$33*(O711-O710)/((Presion_cilindro!O709+Presion_cilindro!O710)/2)</f>
        <v>2.2616136008059624</v>
      </c>
      <c r="Q711" s="9">
        <f>IF(OR($B$9=0,Presion_cilindro!N710&lt;=$B$15),IF(Presion_cilindro!N710&gt;$B$13,1-EXP(-Presion_cilindro!$B$16*((Presion_cilindro!N710-$B$13)/Presion_cilindro!$B$35)^(Presion_cilindro!$B$17+1)),0),$B$8+(1-$B$8)*(1-EXP(-(Presion_cilindro!N710-$B$15)/Presion_cilindro!$B$23)))</f>
        <v>1</v>
      </c>
      <c r="R711" s="10">
        <f>R710*(Presion_cilindro!O709/Presion_cilindro!O710)^Presion_cilindro!$B$9+10*(Presion_cilindro!$B$9-1)*Presion_cilindro!$B$33*(Q711-Q710)/((Presion_cilindro!O709+Presion_cilindro!O710)/2)</f>
        <v>2.3458058203865355</v>
      </c>
      <c r="S711" s="10">
        <f>R711+IF(AND($B$9=1,Presion_cilindro!N710&gt;$B$15),Presion_cilindro!$B$24*2.5*EXP(-(Presion_cilindro!N710-$B$15)/Presion_cilindro!$B$26)*SIN(2*PI()*(Presion_cilindro!N710-$B$15)/Presion_cilindro!$B$39),0)</f>
        <v>2.3458057819939429</v>
      </c>
      <c r="T711" s="9">
        <f>IF(Presion_cilindro!N710&gt;$B$14,1-EXP(-Presion_cilindro!$B$16*((Presion_cilindro!N710-$B$14)/Presion_cilindro!$B$35)^(Presion_cilindro!$B$17+1)),0)</f>
        <v>1</v>
      </c>
      <c r="U711" s="10">
        <f>U710*(Presion_cilindro!O709/Presion_cilindro!O710)^Presion_cilindro!$B$9+10*(Presion_cilindro!$B$9-1)*Presion_cilindro!$B$33*(T711-T710)/((Presion_cilindro!O709+Presion_cilindro!O710)/2)</f>
        <v>2.7695864350124313</v>
      </c>
    </row>
    <row r="712" spans="14:21" x14ac:dyDescent="0.25">
      <c r="N712" s="8">
        <f>-Presion_cilindro!N711</f>
        <v>-173.5</v>
      </c>
      <c r="O712" s="9">
        <f>IF(Presion_cilindro!N711&gt;$B$12,1-EXP(-Presion_cilindro!$B$16*((Presion_cilindro!N711-$B$12)/Presion_cilindro!$B$35)^(Presion_cilindro!$B$17+1)),0)</f>
        <v>1</v>
      </c>
      <c r="P712" s="10">
        <f>P711*(Presion_cilindro!O710/Presion_cilindro!O711)^Presion_cilindro!$B$9+10*(Presion_cilindro!$B$9-1)*Presion_cilindro!$B$33*(O712-O711)/((Presion_cilindro!O710+Presion_cilindro!O711)/2)</f>
        <v>2.2606173720982423</v>
      </c>
      <c r="Q712" s="9">
        <f>IF(OR($B$9=0,Presion_cilindro!N711&lt;=$B$15),IF(Presion_cilindro!N711&gt;$B$13,1-EXP(-Presion_cilindro!$B$16*((Presion_cilindro!N711-$B$13)/Presion_cilindro!$B$35)^(Presion_cilindro!$B$17+1)),0),$B$8+(1-$B$8)*(1-EXP(-(Presion_cilindro!N711-$B$15)/Presion_cilindro!$B$23)))</f>
        <v>1</v>
      </c>
      <c r="R712" s="10">
        <f>R711*(Presion_cilindro!O710/Presion_cilindro!O711)^Presion_cilindro!$B$9+10*(Presion_cilindro!$B$9-1)*Presion_cilindro!$B$33*(Q712-Q711)/((Presion_cilindro!O710+Presion_cilindro!O711)/2)</f>
        <v>2.3447725054559156</v>
      </c>
      <c r="S712" s="10">
        <f>R712+IF(AND($B$9=1,Presion_cilindro!N711&gt;$B$15),Presion_cilindro!$B$24*2.5*EXP(-(Presion_cilindro!N711-$B$15)/Presion_cilindro!$B$26)*SIN(2*PI()*(Presion_cilindro!N711-$B$15)/Presion_cilindro!$B$39),0)</f>
        <v>2.3447726090392154</v>
      </c>
      <c r="T712" s="9">
        <f>IF(Presion_cilindro!N711&gt;$B$14,1-EXP(-Presion_cilindro!$B$16*((Presion_cilindro!N711-$B$14)/Presion_cilindro!$B$35)^(Presion_cilindro!$B$17+1)),0)</f>
        <v>1</v>
      </c>
      <c r="U712" s="10">
        <f>U711*(Presion_cilindro!O710/Presion_cilindro!O711)^Presion_cilindro!$B$9+10*(Presion_cilindro!$B$9-1)*Presion_cilindro!$B$33*(T712-T711)/((Presion_cilindro!O710+Presion_cilindro!O711)/2)</f>
        <v>2.7683664469852598</v>
      </c>
    </row>
    <row r="713" spans="14:21" x14ac:dyDescent="0.25">
      <c r="N713" s="8">
        <f>-Presion_cilindro!N712</f>
        <v>-174</v>
      </c>
      <c r="O713" s="9">
        <f>IF(Presion_cilindro!N712&gt;$B$12,1-EXP(-Presion_cilindro!$B$16*((Presion_cilindro!N712-$B$12)/Presion_cilindro!$B$35)^(Presion_cilindro!$B$17+1)),0)</f>
        <v>1</v>
      </c>
      <c r="P713" s="10">
        <f>P712*(Presion_cilindro!O711/Presion_cilindro!O712)^Presion_cilindro!$B$9+10*(Presion_cilindro!$B$9-1)*Presion_cilindro!$B$33*(O713-O712)/((Presion_cilindro!O711+Presion_cilindro!O712)/2)</f>
        <v>2.259695653151927</v>
      </c>
      <c r="Q713" s="9">
        <f>IF(OR($B$9=0,Presion_cilindro!N712&lt;=$B$15),IF(Presion_cilindro!N712&gt;$B$13,1-EXP(-Presion_cilindro!$B$16*((Presion_cilindro!N712-$B$13)/Presion_cilindro!$B$35)^(Presion_cilindro!$B$17+1)),0),$B$8+(1-$B$8)*(1-EXP(-(Presion_cilindro!N712-$B$15)/Presion_cilindro!$B$23)))</f>
        <v>1</v>
      </c>
      <c r="R713" s="10">
        <f>R712*(Presion_cilindro!O711/Presion_cilindro!O712)^Presion_cilindro!$B$9+10*(Presion_cilindro!$B$9-1)*Presion_cilindro!$B$33*(Q713-Q712)/((Presion_cilindro!O711+Presion_cilindro!O712)/2)</f>
        <v>2.3438164740329279</v>
      </c>
      <c r="S713" s="10">
        <f>R713+IF(AND($B$9=1,Presion_cilindro!N712&gt;$B$15),Presion_cilindro!$B$24*2.5*EXP(-(Presion_cilindro!N712-$B$15)/Presion_cilindro!$B$26)*SIN(2*PI()*(Presion_cilindro!N712-$B$15)/Presion_cilindro!$B$39),0)</f>
        <v>2.3438165087719822</v>
      </c>
      <c r="T713" s="9">
        <f>IF(Presion_cilindro!N712&gt;$B$14,1-EXP(-Presion_cilindro!$B$16*((Presion_cilindro!N712-$B$14)/Presion_cilindro!$B$35)^(Presion_cilindro!$B$17+1)),0)</f>
        <v>1</v>
      </c>
      <c r="U713" s="10">
        <f>U712*(Presion_cilindro!O711/Presion_cilindro!O712)^Presion_cilindro!$B$9+10*(Presion_cilindro!$B$9-1)*Presion_cilindro!$B$33*(T713-T712)/((Presion_cilindro!O711+Presion_cilindro!O712)/2)</f>
        <v>2.76723770408696</v>
      </c>
    </row>
    <row r="714" spans="14:21" x14ac:dyDescent="0.25">
      <c r="N714" s="8">
        <f>-Presion_cilindro!N713</f>
        <v>-174.5</v>
      </c>
      <c r="O714" s="9">
        <f>IF(Presion_cilindro!N713&gt;$B$12,1-EXP(-Presion_cilindro!$B$16*((Presion_cilindro!N713-$B$12)/Presion_cilindro!$B$35)^(Presion_cilindro!$B$17+1)),0)</f>
        <v>1</v>
      </c>
      <c r="P714" s="10">
        <f>P713*(Presion_cilindro!O712/Presion_cilindro!O713)^Presion_cilindro!$B$9+10*(Presion_cilindro!$B$9-1)*Presion_cilindro!$B$33*(O714-O713)/((Presion_cilindro!O712+Presion_cilindro!O713)/2)</f>
        <v>2.2588482784644963</v>
      </c>
      <c r="Q714" s="9">
        <f>IF(OR($B$9=0,Presion_cilindro!N713&lt;=$B$15),IF(Presion_cilindro!N713&gt;$B$13,1-EXP(-Presion_cilindro!$B$16*((Presion_cilindro!N713-$B$13)/Presion_cilindro!$B$35)^(Presion_cilindro!$B$17+1)),0),$B$8+(1-$B$8)*(1-EXP(-(Presion_cilindro!N713-$B$15)/Presion_cilindro!$B$23)))</f>
        <v>1</v>
      </c>
      <c r="R714" s="10">
        <f>R713*(Presion_cilindro!O712/Presion_cilindro!O713)^Presion_cilindro!$B$9+10*(Presion_cilindro!$B$9-1)*Presion_cilindro!$B$33*(Q714-Q713)/((Presion_cilindro!O712+Presion_cilindro!O713)/2)</f>
        <v>2.3429375544539535</v>
      </c>
      <c r="S714" s="10">
        <f>R714+IF(AND($B$9=1,Presion_cilindro!N713&gt;$B$15),Presion_cilindro!$B$24*2.5*EXP(-(Presion_cilindro!N713-$B$15)/Presion_cilindro!$B$26)*SIN(2*PI()*(Presion_cilindro!N713-$B$15)/Presion_cilindro!$B$39),0)</f>
        <v>2.3429374607279079</v>
      </c>
      <c r="T714" s="9">
        <f>IF(Presion_cilindro!N713&gt;$B$14,1-EXP(-Presion_cilindro!$B$16*((Presion_cilindro!N713-$B$14)/Presion_cilindro!$B$35)^(Presion_cilindro!$B$17+1)),0)</f>
        <v>1</v>
      </c>
      <c r="U714" s="10">
        <f>U713*(Presion_cilindro!O712/Presion_cilindro!O713)^Presion_cilindro!$B$9+10*(Presion_cilindro!$B$9-1)*Presion_cilindro!$B$33*(T714-T713)/((Presion_cilindro!O712+Presion_cilindro!O713)/2)</f>
        <v>2.7662000036420897</v>
      </c>
    </row>
    <row r="715" spans="14:21" x14ac:dyDescent="0.25">
      <c r="N715" s="8">
        <f>-Presion_cilindro!N714</f>
        <v>-175</v>
      </c>
      <c r="O715" s="9">
        <f>IF(Presion_cilindro!N714&gt;$B$12,1-EXP(-Presion_cilindro!$B$16*((Presion_cilindro!N714-$B$12)/Presion_cilindro!$B$35)^(Presion_cilindro!$B$17+1)),0)</f>
        <v>1</v>
      </c>
      <c r="P715" s="10">
        <f>P714*(Presion_cilindro!O713/Presion_cilindro!O714)^Presion_cilindro!$B$9+10*(Presion_cilindro!$B$9-1)*Presion_cilindro!$B$33*(O715-O714)/((Presion_cilindro!O713+Presion_cilindro!O714)/2)</f>
        <v>2.2580750959710616</v>
      </c>
      <c r="Q715" s="9">
        <f>IF(OR($B$9=0,Presion_cilindro!N714&lt;=$B$15),IF(Presion_cilindro!N714&gt;$B$13,1-EXP(-Presion_cilindro!$B$16*((Presion_cilindro!N714-$B$13)/Presion_cilindro!$B$35)^(Presion_cilindro!$B$17+1)),0),$B$8+(1-$B$8)*(1-EXP(-(Presion_cilindro!N714-$B$15)/Presion_cilindro!$B$23)))</f>
        <v>1</v>
      </c>
      <c r="R715" s="10">
        <f>R714*(Presion_cilindro!O713/Presion_cilindro!O714)^Presion_cilindro!$B$9+10*(Presion_cilindro!$B$9-1)*Presion_cilindro!$B$33*(Q715-Q714)/((Presion_cilindro!O713+Presion_cilindro!O714)/2)</f>
        <v>2.3421355889932429</v>
      </c>
      <c r="S715" s="10">
        <f>R715+IF(AND($B$9=1,Presion_cilindro!N714&gt;$B$15),Presion_cilindro!$B$24*2.5*EXP(-(Presion_cilindro!N714-$B$15)/Presion_cilindro!$B$26)*SIN(2*PI()*(Presion_cilindro!N714-$B$15)/Presion_cilindro!$B$39),0)</f>
        <v>2.3421355575600464</v>
      </c>
      <c r="T715" s="9">
        <f>IF(Presion_cilindro!N714&gt;$B$14,1-EXP(-Presion_cilindro!$B$16*((Presion_cilindro!N714-$B$14)/Presion_cilindro!$B$35)^(Presion_cilindro!$B$17+1)),0)</f>
        <v>1</v>
      </c>
      <c r="U715" s="10">
        <f>U714*(Presion_cilindro!O713/Presion_cilindro!O714)^Presion_cilindro!$B$9+10*(Presion_cilindro!$B$9-1)*Presion_cilindro!$B$33*(T715-T714)/((Presion_cilindro!O713+Presion_cilindro!O714)/2)</f>
        <v>2.7652531594310172</v>
      </c>
    </row>
    <row r="716" spans="14:21" x14ac:dyDescent="0.25">
      <c r="N716" s="8">
        <f>-Presion_cilindro!N715</f>
        <v>-175.5</v>
      </c>
      <c r="O716" s="9">
        <f>IF(Presion_cilindro!N715&gt;$B$12,1-EXP(-Presion_cilindro!$B$16*((Presion_cilindro!N715-$B$12)/Presion_cilindro!$B$35)^(Presion_cilindro!$B$17+1)),0)</f>
        <v>1</v>
      </c>
      <c r="P716" s="10">
        <f>P715*(Presion_cilindro!O714/Presion_cilindro!O715)^Presion_cilindro!$B$9+10*(Presion_cilindro!$B$9-1)*Presion_cilindro!$B$33*(O716-O715)/((Presion_cilindro!O714+Presion_cilindro!O715)/2)</f>
        <v>2.2573759669948137</v>
      </c>
      <c r="Q716" s="9">
        <f>IF(OR($B$9=0,Presion_cilindro!N715&lt;=$B$15),IF(Presion_cilindro!N715&gt;$B$13,1-EXP(-Presion_cilindro!$B$16*((Presion_cilindro!N715-$B$13)/Presion_cilindro!$B$35)^(Presion_cilindro!$B$17+1)),0),$B$8+(1-$B$8)*(1-EXP(-(Presion_cilindro!N715-$B$15)/Presion_cilindro!$B$23)))</f>
        <v>1</v>
      </c>
      <c r="R716" s="10">
        <f>R715*(Presion_cilindro!O714/Presion_cilindro!O715)^Presion_cilindro!$B$9+10*(Presion_cilindro!$B$9-1)*Presion_cilindro!$B$33*(Q716-Q715)/((Presion_cilindro!O714+Presion_cilindro!O715)/2)</f>
        <v>2.3414104338115185</v>
      </c>
      <c r="S716" s="10">
        <f>R716+IF(AND($B$9=1,Presion_cilindro!N715&gt;$B$15),Presion_cilindro!$B$24*2.5*EXP(-(Presion_cilindro!N715-$B$15)/Presion_cilindro!$B$26)*SIN(2*PI()*(Presion_cilindro!N715-$B$15)/Presion_cilindro!$B$39),0)</f>
        <v>2.3414105186183516</v>
      </c>
      <c r="T716" s="9">
        <f>IF(Presion_cilindro!N715&gt;$B$14,1-EXP(-Presion_cilindro!$B$16*((Presion_cilindro!N715-$B$14)/Presion_cilindro!$B$35)^(Presion_cilindro!$B$17+1)),0)</f>
        <v>1</v>
      </c>
      <c r="U716" s="10">
        <f>U715*(Presion_cilindro!O714/Presion_cilindro!O715)^Presion_cilindro!$B$9+10*(Presion_cilindro!$B$9-1)*Presion_cilindro!$B$33*(T716-T715)/((Presion_cilindro!O714+Presion_cilindro!O715)/2)</f>
        <v>2.7643970016292383</v>
      </c>
    </row>
    <row r="717" spans="14:21" x14ac:dyDescent="0.25">
      <c r="N717" s="8">
        <f>-Presion_cilindro!N716</f>
        <v>-176</v>
      </c>
      <c r="O717" s="9">
        <f>IF(Presion_cilindro!N716&gt;$B$12,1-EXP(-Presion_cilindro!$B$16*((Presion_cilindro!N716-$B$12)/Presion_cilindro!$B$35)^(Presion_cilindro!$B$17+1)),0)</f>
        <v>1</v>
      </c>
      <c r="P717" s="10">
        <f>P716*(Presion_cilindro!O715/Presion_cilindro!O716)^Presion_cilindro!$B$9+10*(Presion_cilindro!$B$9-1)*Presion_cilindro!$B$33*(O717-O716)/((Presion_cilindro!O715+Presion_cilindro!O716)/2)</f>
        <v>2.256750766201872</v>
      </c>
      <c r="Q717" s="9">
        <f>IF(OR($B$9=0,Presion_cilindro!N716&lt;=$B$15),IF(Presion_cilindro!N716&gt;$B$13,1-EXP(-Presion_cilindro!$B$16*((Presion_cilindro!N716-$B$13)/Presion_cilindro!$B$35)^(Presion_cilindro!$B$17+1)),0),$B$8+(1-$B$8)*(1-EXP(-(Presion_cilindro!N716-$B$15)/Presion_cilindro!$B$23)))</f>
        <v>1</v>
      </c>
      <c r="R717" s="10">
        <f>R716*(Presion_cilindro!O715/Presion_cilindro!O716)^Presion_cilindro!$B$9+10*(Presion_cilindro!$B$9-1)*Presion_cilindro!$B$33*(Q717-Q716)/((Presion_cilindro!O715+Presion_cilindro!O716)/2)</f>
        <v>2.3407619589091433</v>
      </c>
      <c r="S717" s="10">
        <f>R717+IF(AND($B$9=1,Presion_cilindro!N716&gt;$B$15),Presion_cilindro!$B$24*2.5*EXP(-(Presion_cilindro!N716-$B$15)/Presion_cilindro!$B$26)*SIN(2*PI()*(Presion_cilindro!N716-$B$15)/Presion_cilindro!$B$39),0)</f>
        <v>2.3407619873510757</v>
      </c>
      <c r="T717" s="9">
        <f>IF(Presion_cilindro!N716&gt;$B$14,1-EXP(-Presion_cilindro!$B$16*((Presion_cilindro!N716-$B$14)/Presion_cilindro!$B$35)^(Presion_cilindro!$B$17+1)),0)</f>
        <v>1</v>
      </c>
      <c r="U717" s="10">
        <f>U716*(Presion_cilindro!O715/Presion_cilindro!O716)^Presion_cilindro!$B$9+10*(Presion_cilindro!$B$9-1)*Presion_cilindro!$B$33*(T717-T716)/((Presion_cilindro!O715+Presion_cilindro!O716)/2)</f>
        <v>2.7636313767520826</v>
      </c>
    </row>
    <row r="718" spans="14:21" x14ac:dyDescent="0.25">
      <c r="N718" s="8">
        <f>-Presion_cilindro!N717</f>
        <v>-176.5</v>
      </c>
      <c r="O718" s="9">
        <f>IF(Presion_cilindro!N717&gt;$B$12,1-EXP(-Presion_cilindro!$B$16*((Presion_cilindro!N717-$B$12)/Presion_cilindro!$B$35)^(Presion_cilindro!$B$17+1)),0)</f>
        <v>1</v>
      </c>
      <c r="P718" s="10">
        <f>P717*(Presion_cilindro!O716/Presion_cilindro!O717)^Presion_cilindro!$B$9+10*(Presion_cilindro!$B$9-1)*Presion_cilindro!$B$33*(O718-O717)/((Presion_cilindro!O716+Presion_cilindro!O717)/2)</f>
        <v>2.2561993815604953</v>
      </c>
      <c r="Q718" s="9">
        <f>IF(OR($B$9=0,Presion_cilindro!N717&lt;=$B$15),IF(Presion_cilindro!N717&gt;$B$13,1-EXP(-Presion_cilindro!$B$16*((Presion_cilindro!N717-$B$13)/Presion_cilindro!$B$35)^(Presion_cilindro!$B$17+1)),0),$B$8+(1-$B$8)*(1-EXP(-(Presion_cilindro!N717-$B$15)/Presion_cilindro!$B$23)))</f>
        <v>1</v>
      </c>
      <c r="R718" s="10">
        <f>R717*(Presion_cilindro!O716/Presion_cilindro!O717)^Presion_cilindro!$B$9+10*(Presion_cilindro!$B$9-1)*Presion_cilindro!$B$33*(Q718-Q717)/((Presion_cilindro!O716+Presion_cilindro!O717)/2)</f>
        <v>2.340190048083814</v>
      </c>
      <c r="S718" s="10">
        <f>R718+IF(AND($B$9=1,Presion_cilindro!N717&gt;$B$15),Presion_cilindro!$B$24*2.5*EXP(-(Presion_cilindro!N717-$B$15)/Presion_cilindro!$B$26)*SIN(2*PI()*(Presion_cilindro!N717-$B$15)/Presion_cilindro!$B$39),0)</f>
        <v>2.3401899713474181</v>
      </c>
      <c r="T718" s="9">
        <f>IF(Presion_cilindro!N717&gt;$B$14,1-EXP(-Presion_cilindro!$B$16*((Presion_cilindro!N717-$B$14)/Presion_cilindro!$B$35)^(Presion_cilindro!$B$17+1)),0)</f>
        <v>1</v>
      </c>
      <c r="U718" s="10">
        <f>U717*(Presion_cilindro!O716/Presion_cilindro!O717)^Presion_cilindro!$B$9+10*(Presion_cilindro!$B$9-1)*Presion_cilindro!$B$33*(T718-T717)/((Presion_cilindro!O716+Presion_cilindro!O717)/2)</f>
        <v>2.7629561476047666</v>
      </c>
    </row>
    <row r="719" spans="14:21" x14ac:dyDescent="0.25">
      <c r="N719" s="8">
        <f>-Presion_cilindro!N718</f>
        <v>-177</v>
      </c>
      <c r="O719" s="9">
        <f>IF(Presion_cilindro!N718&gt;$B$12,1-EXP(-Presion_cilindro!$B$16*((Presion_cilindro!N718-$B$12)/Presion_cilindro!$B$35)^(Presion_cilindro!$B$17+1)),0)</f>
        <v>1</v>
      </c>
      <c r="P719" s="10">
        <f>P718*(Presion_cilindro!O717/Presion_cilindro!O718)^Presion_cilindro!$B$9+10*(Presion_cilindro!$B$9-1)*Presion_cilindro!$B$33*(O719-O718)/((Presion_cilindro!O717+Presion_cilindro!O718)/2)</f>
        <v>2.255721714304638</v>
      </c>
      <c r="Q719" s="9">
        <f>IF(OR($B$9=0,Presion_cilindro!N718&lt;=$B$15),IF(Presion_cilindro!N718&gt;$B$13,1-EXP(-Presion_cilindro!$B$16*((Presion_cilindro!N718-$B$13)/Presion_cilindro!$B$35)^(Presion_cilindro!$B$17+1)),0),$B$8+(1-$B$8)*(1-EXP(-(Presion_cilindro!N718-$B$15)/Presion_cilindro!$B$23)))</f>
        <v>1</v>
      </c>
      <c r="R719" s="10">
        <f>R718*(Presion_cilindro!O717/Presion_cilindro!O718)^Presion_cilindro!$B$9+10*(Presion_cilindro!$B$9-1)*Presion_cilindro!$B$33*(Q719-Q718)/((Presion_cilindro!O717+Presion_cilindro!O718)/2)</f>
        <v>2.3396945988927591</v>
      </c>
      <c r="S719" s="10">
        <f>R719+IF(AND($B$9=1,Presion_cilindro!N718&gt;$B$15),Presion_cilindro!$B$24*2.5*EXP(-(Presion_cilindro!N718-$B$15)/Presion_cilindro!$B$26)*SIN(2*PI()*(Presion_cilindro!N718-$B$15)/Presion_cilindro!$B$39),0)</f>
        <v>2.3396945731574346</v>
      </c>
      <c r="T719" s="9">
        <f>IF(Presion_cilindro!N718&gt;$B$14,1-EXP(-Presion_cilindro!$B$16*((Presion_cilindro!N718-$B$14)/Presion_cilindro!$B$35)^(Presion_cilindro!$B$17+1)),0)</f>
        <v>1</v>
      </c>
      <c r="U719" s="10">
        <f>U718*(Presion_cilindro!O717/Presion_cilindro!O718)^Presion_cilindro!$B$9+10*(Presion_cilindro!$B$9-1)*Presion_cilindro!$B$33*(T719-T718)/((Presion_cilindro!O717+Presion_cilindro!O718)/2)</f>
        <v>2.7623711932377608</v>
      </c>
    </row>
    <row r="720" spans="14:21" x14ac:dyDescent="0.25">
      <c r="N720" s="8">
        <f>-Presion_cilindro!N719</f>
        <v>-177.5</v>
      </c>
      <c r="O720" s="9">
        <f>IF(Presion_cilindro!N719&gt;$B$12,1-EXP(-Presion_cilindro!$B$16*((Presion_cilindro!N719-$B$12)/Presion_cilindro!$B$35)^(Presion_cilindro!$B$17+1)),0)</f>
        <v>1</v>
      </c>
      <c r="P720" s="10">
        <f>P719*(Presion_cilindro!O718/Presion_cilindro!O719)^Presion_cilindro!$B$9+10*(Presion_cilindro!$B$9-1)*Presion_cilindro!$B$33*(O720-O719)/((Presion_cilindro!O718+Presion_cilindro!O719)/2)</f>
        <v>2.2553176789018488</v>
      </c>
      <c r="Q720" s="9">
        <f>IF(OR($B$9=0,Presion_cilindro!N719&lt;=$B$15),IF(Presion_cilindro!N719&gt;$B$13,1-EXP(-Presion_cilindro!$B$16*((Presion_cilindro!N719-$B$13)/Presion_cilindro!$B$35)^(Presion_cilindro!$B$17+1)),0),$B$8+(1-$B$8)*(1-EXP(-(Presion_cilindro!N719-$B$15)/Presion_cilindro!$B$23)))</f>
        <v>1</v>
      </c>
      <c r="R720" s="10">
        <f>R719*(Presion_cilindro!O718/Presion_cilindro!O719)^Presion_cilindro!$B$9+10*(Presion_cilindro!$B$9-1)*Presion_cilindro!$B$33*(Q720-Q719)/((Presion_cilindro!O718+Presion_cilindro!O719)/2)</f>
        <v>2.3392755226194439</v>
      </c>
      <c r="S720" s="10">
        <f>R720+IF(AND($B$9=1,Presion_cilindro!N719&gt;$B$15),Presion_cilindro!$B$24*2.5*EXP(-(Presion_cilindro!N719-$B$15)/Presion_cilindro!$B$26)*SIN(2*PI()*(Presion_cilindro!N719-$B$15)/Presion_cilindro!$B$39),0)</f>
        <v>2.3392755920534061</v>
      </c>
      <c r="T720" s="9">
        <f>IF(Presion_cilindro!N719&gt;$B$14,1-EXP(-Presion_cilindro!$B$16*((Presion_cilindro!N719-$B$14)/Presion_cilindro!$B$35)^(Presion_cilindro!$B$17+1)),0)</f>
        <v>1</v>
      </c>
      <c r="U720" s="10">
        <f>U719*(Presion_cilindro!O718/Presion_cilindro!O719)^Presion_cilindro!$B$9+10*(Presion_cilindro!$B$9-1)*Presion_cilindro!$B$33*(T720-T719)/((Presion_cilindro!O718+Presion_cilindro!O719)/2)</f>
        <v>2.7618764089074799</v>
      </c>
    </row>
    <row r="721" spans="14:21" x14ac:dyDescent="0.25">
      <c r="N721" s="8">
        <f>-Presion_cilindro!N720</f>
        <v>-178</v>
      </c>
      <c r="O721" s="9">
        <f>IF(Presion_cilindro!N720&gt;$B$12,1-EXP(-Presion_cilindro!$B$16*((Presion_cilindro!N720-$B$12)/Presion_cilindro!$B$35)^(Presion_cilindro!$B$17+1)),0)</f>
        <v>1</v>
      </c>
      <c r="P721" s="10">
        <f>P720*(Presion_cilindro!O719/Presion_cilindro!O720)^Presion_cilindro!$B$9+10*(Presion_cilindro!$B$9-1)*Presion_cilindro!$B$33*(O721-O720)/((Presion_cilindro!O719+Presion_cilindro!O720)/2)</f>
        <v>2.2549872030254687</v>
      </c>
      <c r="Q721" s="9">
        <f>IF(OR($B$9=0,Presion_cilindro!N720&lt;=$B$15),IF(Presion_cilindro!N720&gt;$B$13,1-EXP(-Presion_cilindro!$B$16*((Presion_cilindro!N720-$B$13)/Presion_cilindro!$B$35)^(Presion_cilindro!$B$17+1)),0),$B$8+(1-$B$8)*(1-EXP(-(Presion_cilindro!N720-$B$15)/Presion_cilindro!$B$23)))</f>
        <v>1</v>
      </c>
      <c r="R721" s="10">
        <f>R720*(Presion_cilindro!O719/Presion_cilindro!O720)^Presion_cilindro!$B$9+10*(Presion_cilindro!$B$9-1)*Presion_cilindro!$B$33*(Q721-Q720)/((Presion_cilindro!O719+Presion_cilindro!O720)/2)</f>
        <v>2.3389327442447323</v>
      </c>
      <c r="S721" s="10">
        <f>R721+IF(AND($B$9=1,Presion_cilindro!N720&gt;$B$15),Presion_cilindro!$B$24*2.5*EXP(-(Presion_cilindro!N720-$B$15)/Presion_cilindro!$B$26)*SIN(2*PI()*(Presion_cilindro!N720-$B$15)/Presion_cilindro!$B$39),0)</f>
        <v>2.3389327675310168</v>
      </c>
      <c r="T721" s="9">
        <f>IF(Presion_cilindro!N720&gt;$B$14,1-EXP(-Presion_cilindro!$B$16*((Presion_cilindro!N720-$B$14)/Presion_cilindro!$B$35)^(Presion_cilindro!$B$17+1)),0)</f>
        <v>1</v>
      </c>
      <c r="U721" s="10">
        <f>U720*(Presion_cilindro!O719/Presion_cilindro!O720)^Presion_cilindro!$B$9+10*(Presion_cilindro!$B$9-1)*Presion_cilindro!$B$33*(T721-T720)/((Presion_cilindro!O719+Presion_cilindro!O720)/2)</f>
        <v>2.761471706042236</v>
      </c>
    </row>
    <row r="722" spans="14:21" x14ac:dyDescent="0.25">
      <c r="N722" s="8">
        <f>-Presion_cilindro!N721</f>
        <v>-178.5</v>
      </c>
      <c r="O722" s="9">
        <f>IF(Presion_cilindro!N721&gt;$B$12,1-EXP(-Presion_cilindro!$B$16*((Presion_cilindro!N721-$B$12)/Presion_cilindro!$B$35)^(Presion_cilindro!$B$17+1)),0)</f>
        <v>1</v>
      </c>
      <c r="P722" s="10">
        <f>P721*(Presion_cilindro!O720/Presion_cilindro!O721)^Presion_cilindro!$B$9+10*(Presion_cilindro!$B$9-1)*Presion_cilindro!$B$33*(O722-O721)/((Presion_cilindro!O720+Presion_cilindro!O721)/2)</f>
        <v>2.2547302275311387</v>
      </c>
      <c r="Q722" s="9">
        <f>IF(OR($B$9=0,Presion_cilindro!N721&lt;=$B$15),IF(Presion_cilindro!N721&gt;$B$13,1-EXP(-Presion_cilindro!$B$16*((Presion_cilindro!N721-$B$13)/Presion_cilindro!$B$35)^(Presion_cilindro!$B$17+1)),0),$B$8+(1-$B$8)*(1-EXP(-(Presion_cilindro!N721-$B$15)/Presion_cilindro!$B$23)))</f>
        <v>1</v>
      </c>
      <c r="R722" s="10">
        <f>R721*(Presion_cilindro!O720/Presion_cilindro!O721)^Presion_cilindro!$B$9+10*(Presion_cilindro!$B$9-1)*Presion_cilindro!$B$33*(Q722-Q721)/((Presion_cilindro!O720+Presion_cilindro!O721)/2)</f>
        <v>2.3386662024225213</v>
      </c>
      <c r="S722" s="10">
        <f>R722+IF(AND($B$9=1,Presion_cilindro!N721&gt;$B$15),Presion_cilindro!$B$24*2.5*EXP(-(Presion_cilindro!N721-$B$15)/Presion_cilindro!$B$26)*SIN(2*PI()*(Presion_cilindro!N721-$B$15)/Presion_cilindro!$B$39),0)</f>
        <v>2.3386661395960742</v>
      </c>
      <c r="T722" s="9">
        <f>IF(Presion_cilindro!N721&gt;$B$14,1-EXP(-Presion_cilindro!$B$16*((Presion_cilindro!N721-$B$14)/Presion_cilindro!$B$35)^(Presion_cilindro!$B$17+1)),0)</f>
        <v>1</v>
      </c>
      <c r="U722" s="10">
        <f>U721*(Presion_cilindro!O720/Presion_cilindro!O721)^Presion_cilindro!$B$9+10*(Presion_cilindro!$B$9-1)*Presion_cilindro!$B$33*(T722-T721)/((Presion_cilindro!O720+Presion_cilindro!O721)/2)</f>
        <v>2.7611570122134701</v>
      </c>
    </row>
    <row r="723" spans="14:21" x14ac:dyDescent="0.25">
      <c r="N723" s="8">
        <f>-Presion_cilindro!N722</f>
        <v>-179</v>
      </c>
      <c r="O723" s="9">
        <f>IF(Presion_cilindro!N722&gt;$B$12,1-EXP(-Presion_cilindro!$B$16*((Presion_cilindro!N722-$B$12)/Presion_cilindro!$B$35)^(Presion_cilindro!$B$17+1)),0)</f>
        <v>1</v>
      </c>
      <c r="P723" s="10">
        <f>P722*(Presion_cilindro!O721/Presion_cilindro!O722)^Presion_cilindro!$B$9+10*(Presion_cilindro!$B$9-1)*Presion_cilindro!$B$33*(O723-O722)/((Presion_cilindro!O721+Presion_cilindro!O722)/2)</f>
        <v>2.2545467064375924</v>
      </c>
      <c r="Q723" s="9">
        <f>IF(OR($B$9=0,Presion_cilindro!N722&lt;=$B$15),IF(Presion_cilindro!N722&gt;$B$13,1-EXP(-Presion_cilindro!$B$16*((Presion_cilindro!N722-$B$13)/Presion_cilindro!$B$35)^(Presion_cilindro!$B$17+1)),0),$B$8+(1-$B$8)*(1-EXP(-(Presion_cilindro!N722-$B$15)/Presion_cilindro!$B$23)))</f>
        <v>1</v>
      </c>
      <c r="R723" s="10">
        <f>R722*(Presion_cilindro!O721/Presion_cilindro!O722)^Presion_cilindro!$B$9+10*(Presion_cilindro!$B$9-1)*Presion_cilindro!$B$33*(Q723-Q722)/((Presion_cilindro!O721+Presion_cilindro!O722)/2)</f>
        <v>2.3384758494598175</v>
      </c>
      <c r="S723" s="10">
        <f>R723+IF(AND($B$9=1,Presion_cilindro!N722&gt;$B$15),Presion_cilindro!$B$24*2.5*EXP(-(Presion_cilindro!N722-$B$15)/Presion_cilindro!$B$26)*SIN(2*PI()*(Presion_cilindro!N722-$B$15)/Presion_cilindro!$B$39),0)</f>
        <v>2.338475828389516</v>
      </c>
      <c r="T723" s="9">
        <f>IF(Presion_cilindro!N722&gt;$B$14,1-EXP(-Presion_cilindro!$B$16*((Presion_cilindro!N722-$B$14)/Presion_cilindro!$B$35)^(Presion_cilindro!$B$17+1)),0)</f>
        <v>1</v>
      </c>
      <c r="U723" s="10">
        <f>U722*(Presion_cilindro!O721/Presion_cilindro!O722)^Presion_cilindro!$B$9+10*(Presion_cilindro!$B$9-1)*Presion_cilindro!$B$33*(T723-T722)/((Presion_cilindro!O721+Presion_cilindro!O722)/2)</f>
        <v>2.7609322711122299</v>
      </c>
    </row>
    <row r="724" spans="14:21" x14ac:dyDescent="0.25">
      <c r="N724" s="8">
        <f>-Presion_cilindro!N723</f>
        <v>-179.5</v>
      </c>
      <c r="O724" s="9">
        <f>IF(Presion_cilindro!N723&gt;$B$12,1-EXP(-Presion_cilindro!$B$16*((Presion_cilindro!N723-$B$12)/Presion_cilindro!$B$35)^(Presion_cilindro!$B$17+1)),0)</f>
        <v>1</v>
      </c>
      <c r="P724" s="10">
        <f>P723*(Presion_cilindro!O722/Presion_cilindro!O723)^Presion_cilindro!$B$9+10*(Presion_cilindro!$B$9-1)*Presion_cilindro!$B$33*(O724-O723)/((Presion_cilindro!O722+Presion_cilindro!O723)/2)</f>
        <v>2.2544366069117223</v>
      </c>
      <c r="Q724" s="9">
        <f>IF(OR($B$9=0,Presion_cilindro!N723&lt;=$B$15),IF(Presion_cilindro!N723&gt;$B$13,1-EXP(-Presion_cilindro!$B$16*((Presion_cilindro!N723-$B$13)/Presion_cilindro!$B$35)^(Presion_cilindro!$B$17+1)),0),$B$8+(1-$B$8)*(1-EXP(-(Presion_cilindro!N723-$B$15)/Presion_cilindro!$B$23)))</f>
        <v>1</v>
      </c>
      <c r="R724" s="10">
        <f>R723*(Presion_cilindro!O722/Presion_cilindro!O723)^Presion_cilindro!$B$9+10*(Presion_cilindro!$B$9-1)*Presion_cilindro!$B$33*(Q724-Q723)/((Presion_cilindro!O722+Presion_cilindro!O723)/2)</f>
        <v>2.338361651301248</v>
      </c>
      <c r="S724" s="10">
        <f>R724+IF(AND($B$9=1,Presion_cilindro!N723&gt;$B$15),Presion_cilindro!$B$24*2.5*EXP(-(Presion_cilindro!N723-$B$15)/Presion_cilindro!$B$26)*SIN(2*PI()*(Presion_cilindro!N723-$B$15)/Presion_cilindro!$B$39),0)</f>
        <v>2.3383617081489683</v>
      </c>
      <c r="T724" s="9">
        <f>IF(Presion_cilindro!N723&gt;$B$14,1-EXP(-Presion_cilindro!$B$16*((Presion_cilindro!N723-$B$14)/Presion_cilindro!$B$35)^(Presion_cilindro!$B$17+1)),0)</f>
        <v>1</v>
      </c>
      <c r="U724" s="10">
        <f>U723*(Presion_cilindro!O722/Presion_cilindro!O723)^Presion_cilindro!$B$9+10*(Presion_cilindro!$B$9-1)*Presion_cilindro!$B$33*(T724-T723)/((Presion_cilindro!O722+Presion_cilindro!O723)/2)</f>
        <v>2.7607974425308832</v>
      </c>
    </row>
    <row r="725" spans="14:21" x14ac:dyDescent="0.25">
      <c r="N725" s="8">
        <f>-Presion_cilindro!N724</f>
        <v>-180</v>
      </c>
      <c r="O725" s="9">
        <f>IF(Presion_cilindro!N724&gt;$B$12,1-EXP(-Presion_cilindro!$B$16*((Presion_cilindro!N724-$B$12)/Presion_cilindro!$B$35)^(Presion_cilindro!$B$17+1)),0)</f>
        <v>1</v>
      </c>
      <c r="P725" s="10">
        <f>P724*(Presion_cilindro!O723/Presion_cilindro!O724)^Presion_cilindro!$B$9+10*(Presion_cilindro!$B$9-1)*Presion_cilindro!$B$33*(O725-O724)/((Presion_cilindro!O723+Presion_cilindro!O724)/2)</f>
        <v>2.2543999092579297</v>
      </c>
      <c r="Q725" s="9">
        <f>IF(OR($B$9=0,Presion_cilindro!N724&lt;=$B$15),IF(Presion_cilindro!N724&gt;$B$13,1-EXP(-Presion_cilindro!$B$16*((Presion_cilindro!N724-$B$13)/Presion_cilindro!$B$35)^(Presion_cilindro!$B$17+1)),0),$B$8+(1-$B$8)*(1-EXP(-(Presion_cilindro!N724-$B$15)/Presion_cilindro!$B$23)))</f>
        <v>1</v>
      </c>
      <c r="R725" s="10">
        <f>R724*(Presion_cilindro!O723/Presion_cilindro!O724)^Presion_cilindro!$B$9+10*(Presion_cilindro!$B$9-1)*Presion_cilindro!$B$33*(Q725-Q724)/((Presion_cilindro!O723+Presion_cilindro!O724)/2)</f>
        <v>2.3383235875180137</v>
      </c>
      <c r="S725" s="10">
        <f>R725+IF(AND($B$9=1,Presion_cilindro!N724&gt;$B$15),Presion_cilindro!$B$24*2.5*EXP(-(Presion_cilindro!N724-$B$15)/Presion_cilindro!$B$26)*SIN(2*PI()*(Presion_cilindro!N724-$B$15)/Presion_cilindro!$B$39),0)</f>
        <v>2.3383236065832111</v>
      </c>
      <c r="T725" s="9">
        <f>IF(Presion_cilindro!N724&gt;$B$14,1-EXP(-Presion_cilindro!$B$16*((Presion_cilindro!N724-$B$14)/Presion_cilindro!$B$35)^(Presion_cilindro!$B$17+1)),0)</f>
        <v>1</v>
      </c>
      <c r="U725" s="10">
        <f>U724*(Presion_cilindro!O723/Presion_cilindro!O724)^Presion_cilindro!$B$9+10*(Presion_cilindro!$B$9-1)*Presion_cilindro!$B$33*(T725-T724)/((Presion_cilindro!O723+Presion_cilindro!O724)/2)</f>
        <v>2.7607525023500741</v>
      </c>
    </row>
  </sheetData>
  <mergeCells count="3">
    <mergeCell ref="A1:K1"/>
    <mergeCell ref="A2:K2"/>
    <mergeCell ref="A25:C25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2"/>
  <sheetViews>
    <sheetView showGridLines="0" zoomScale="55" zoomScaleNormal="55" workbookViewId="0">
      <pane xSplit="1" ySplit="3" topLeftCell="B706" activePane="bottomRight" state="frozen"/>
      <selection pane="topRight" activeCell="B1" sqref="B1"/>
      <selection pane="bottomLeft" activeCell="A4" sqref="A4"/>
      <selection pane="bottomRight" sqref="A1:P1"/>
    </sheetView>
  </sheetViews>
  <sheetFormatPr baseColWidth="10" defaultColWidth="8.7109375" defaultRowHeight="15" x14ac:dyDescent="0.25"/>
  <cols>
    <col min="1" max="1" width="34" customWidth="1"/>
    <col min="2" max="14" width="10" customWidth="1"/>
  </cols>
  <sheetData>
    <row r="1" spans="1:16" ht="25.5" customHeight="1" x14ac:dyDescent="0.25">
      <c r="A1" s="4" t="s">
        <v>108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57.75" customHeight="1" x14ac:dyDescent="0.25">
      <c r="A2" s="3" t="s">
        <v>109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spans="1:16" x14ac:dyDescent="0.25">
      <c r="A4" s="5" t="s">
        <v>110</v>
      </c>
      <c r="B4" s="23">
        <v>0</v>
      </c>
      <c r="C4" s="23">
        <v>5</v>
      </c>
      <c r="D4" s="23">
        <v>10</v>
      </c>
      <c r="E4" s="23">
        <v>15</v>
      </c>
      <c r="F4" s="23">
        <v>20</v>
      </c>
      <c r="G4" s="23">
        <v>25</v>
      </c>
      <c r="H4" s="23">
        <v>30</v>
      </c>
      <c r="I4" s="23">
        <v>35</v>
      </c>
      <c r="J4" s="23">
        <v>40</v>
      </c>
      <c r="K4" s="23">
        <v>45</v>
      </c>
      <c r="L4" s="23">
        <v>50</v>
      </c>
      <c r="M4" s="23">
        <v>55</v>
      </c>
      <c r="N4" s="23">
        <v>60</v>
      </c>
    </row>
    <row r="5" spans="1:16" x14ac:dyDescent="0.25">
      <c r="A5" s="5" t="s">
        <v>111</v>
      </c>
      <c r="B5" s="24">
        <f>SUMPRODUCT((B12:B731+B13:B732)/2,Presion_cilindro!O5:O724-Presion_cilindro!O4:O723)/10</f>
        <v>164.46776123659427</v>
      </c>
      <c r="C5" s="24">
        <f>SUMPRODUCT((C12:C731+C13:C732)/2,Presion_cilindro!O5:O724-Presion_cilindro!O4:O723)/10</f>
        <v>174.13879901607822</v>
      </c>
      <c r="D5" s="24">
        <f>SUMPRODUCT((D12:D731+D13:D732)/2,Presion_cilindro!O5:O724-Presion_cilindro!O4:O723)/10</f>
        <v>182.99880592350223</v>
      </c>
      <c r="E5" s="24">
        <f>SUMPRODUCT((E12:E731+E13:E732)/2,Presion_cilindro!O5:O724-Presion_cilindro!O4:O723)/10</f>
        <v>190.67907796686185</v>
      </c>
      <c r="F5" s="24">
        <f>SUMPRODUCT((F12:F731+F13:F732)/2,Presion_cilindro!O5:O724-Presion_cilindro!O4:O723)/10</f>
        <v>196.79807095394449</v>
      </c>
      <c r="G5" s="24">
        <f>SUMPRODUCT((G12:G731+G13:G732)/2,Presion_cilindro!O5:O724-Presion_cilindro!O4:O723)/10</f>
        <v>201.01094653874003</v>
      </c>
      <c r="H5" s="24">
        <f>SUMPRODUCT((H12:H731+H13:H732)/2,Presion_cilindro!O5:O724-Presion_cilindro!O4:O723)/10</f>
        <v>203.0652916043303</v>
      </c>
      <c r="I5" s="24">
        <f>SUMPRODUCT((I12:I731+I13:I732)/2,Presion_cilindro!O5:O724-Presion_cilindro!O4:O723)/10</f>
        <v>202.84630050913754</v>
      </c>
      <c r="J5" s="24">
        <f>SUMPRODUCT((J12:J731+J13:J732)/2,Presion_cilindro!O5:O724-Presion_cilindro!O4:O723)/10</f>
        <v>200.3961313560188</v>
      </c>
      <c r="K5" s="24">
        <f>SUMPRODUCT((K12:K731+K13:K732)/2,Presion_cilindro!O5:O724-Presion_cilindro!O4:O723)/10</f>
        <v>195.90122446348821</v>
      </c>
      <c r="L5" s="24">
        <f>SUMPRODUCT((L12:L731+L13:L732)/2,Presion_cilindro!O5:O724-Presion_cilindro!O4:O723)/10</f>
        <v>189.65340649511731</v>
      </c>
      <c r="M5" s="24">
        <f>SUMPRODUCT((M12:M731+M13:M732)/2,Presion_cilindro!O5:O724-Presion_cilindro!O4:O723)/10</f>
        <v>181.99904945959904</v>
      </c>
      <c r="N5" s="24">
        <f>SUMPRODUCT((N12:N731+N13:N732)/2,Presion_cilindro!O5:O724-Presion_cilindro!O4:O723)/10</f>
        <v>173.29155570359418</v>
      </c>
    </row>
    <row r="6" spans="1:16" x14ac:dyDescent="0.25">
      <c r="A6" s="5" t="s">
        <v>112</v>
      </c>
      <c r="B6" s="25">
        <f>B5/Presion_cilindro!$B$29*10</f>
        <v>4.5318312292350402</v>
      </c>
      <c r="C6" s="25">
        <f>C5/Presion_cilindro!$B$29*10</f>
        <v>4.7983120927103409</v>
      </c>
      <c r="D6" s="25">
        <f>D5/Presion_cilindro!$B$29*10</f>
        <v>5.0424453848060589</v>
      </c>
      <c r="E6" s="25">
        <f>E5/Presion_cilindro!$B$29*10</f>
        <v>5.2540716417297393</v>
      </c>
      <c r="F6" s="25">
        <f>F5/Presion_cilindro!$B$29*10</f>
        <v>5.4226775940564087</v>
      </c>
      <c r="G6" s="25">
        <f>G5/Presion_cilindro!$B$29*10</f>
        <v>5.5387613845604546</v>
      </c>
      <c r="H6" s="25">
        <f>H5/Presion_cilindro!$B$29*10</f>
        <v>5.5953678894089895</v>
      </c>
      <c r="I6" s="25">
        <f>I5/Presion_cilindro!$B$29*10</f>
        <v>5.5893336935480065</v>
      </c>
      <c r="J6" s="25">
        <f>J5/Presion_cilindro!$B$29*10</f>
        <v>5.5218204435254767</v>
      </c>
      <c r="K6" s="25">
        <f>K5/Presion_cilindro!$B$29*10</f>
        <v>5.3979654139749105</v>
      </c>
      <c r="L6" s="25">
        <f>L5/Presion_cilindro!$B$29*10</f>
        <v>5.2258097503314556</v>
      </c>
      <c r="M6" s="25">
        <f>M5/Presion_cilindro!$B$29*10</f>
        <v>5.0148975691692401</v>
      </c>
      <c r="N6" s="25">
        <f>N5/Presion_cilindro!$B$29*10</f>
        <v>4.7749667046938269</v>
      </c>
    </row>
    <row r="7" spans="1:16" x14ac:dyDescent="0.25">
      <c r="A7" s="5" t="s">
        <v>113</v>
      </c>
      <c r="B7" s="24">
        <f t="shared" ref="B7:N7" si="0">MAX(B12:B732)</f>
        <v>15.393327044416075</v>
      </c>
      <c r="C7" s="24">
        <f t="shared" si="0"/>
        <v>17.265191716698062</v>
      </c>
      <c r="D7" s="24">
        <f t="shared" si="0"/>
        <v>20.256946585956268</v>
      </c>
      <c r="E7" s="24">
        <f t="shared" si="0"/>
        <v>23.738908458969743</v>
      </c>
      <c r="F7" s="24">
        <f t="shared" si="0"/>
        <v>27.623485227452989</v>
      </c>
      <c r="G7" s="24">
        <f t="shared" si="0"/>
        <v>31.755334241627974</v>
      </c>
      <c r="H7" s="24">
        <f t="shared" si="0"/>
        <v>35.932930369584973</v>
      </c>
      <c r="I7" s="24">
        <f t="shared" si="0"/>
        <v>39.915379981219118</v>
      </c>
      <c r="J7" s="24">
        <f t="shared" si="0"/>
        <v>43.491131656963638</v>
      </c>
      <c r="K7" s="24">
        <f t="shared" si="0"/>
        <v>46.510799873102727</v>
      </c>
      <c r="L7" s="24">
        <f t="shared" si="0"/>
        <v>48.945192278766676</v>
      </c>
      <c r="M7" s="24">
        <f t="shared" si="0"/>
        <v>50.920097058932299</v>
      </c>
      <c r="N7" s="24">
        <f t="shared" si="0"/>
        <v>52.655515705645485</v>
      </c>
    </row>
    <row r="8" spans="1:16" x14ac:dyDescent="0.25">
      <c r="A8" s="5" t="s">
        <v>114</v>
      </c>
      <c r="B8" s="24">
        <f t="shared" ref="B8:N8" si="1">INDEX($A$12:$A$732,MATCH(B7,B12:B732,0))</f>
        <v>0</v>
      </c>
      <c r="C8" s="24">
        <f t="shared" si="1"/>
        <v>32</v>
      </c>
      <c r="D8" s="24">
        <f t="shared" si="1"/>
        <v>27</v>
      </c>
      <c r="E8" s="24">
        <f t="shared" si="1"/>
        <v>22</v>
      </c>
      <c r="F8" s="24">
        <f t="shared" si="1"/>
        <v>18</v>
      </c>
      <c r="G8" s="24">
        <f t="shared" si="1"/>
        <v>14.5</v>
      </c>
      <c r="H8" s="24">
        <f t="shared" si="1"/>
        <v>11</v>
      </c>
      <c r="I8" s="24">
        <f t="shared" si="1"/>
        <v>8</v>
      </c>
      <c r="J8" s="24">
        <f t="shared" si="1"/>
        <v>5.5</v>
      </c>
      <c r="K8" s="24">
        <f t="shared" si="1"/>
        <v>3.5</v>
      </c>
      <c r="L8" s="24">
        <f t="shared" si="1"/>
        <v>2</v>
      </c>
      <c r="M8" s="24">
        <f t="shared" si="1"/>
        <v>0.5</v>
      </c>
      <c r="N8" s="24">
        <f t="shared" si="1"/>
        <v>0</v>
      </c>
    </row>
    <row r="9" spans="1:16" x14ac:dyDescent="0.25">
      <c r="A9" s="5" t="s">
        <v>115</v>
      </c>
      <c r="B9" s="26">
        <f>INDEX(B4:N4,MATCH(MAX(B5:N5),B5:N5,0))</f>
        <v>30</v>
      </c>
      <c r="C9" t="s">
        <v>36</v>
      </c>
    </row>
    <row r="11" spans="1:16" ht="43.5" customHeight="1" x14ac:dyDescent="0.25">
      <c r="A11" s="6" t="s">
        <v>3</v>
      </c>
      <c r="B11" s="6" t="s">
        <v>116</v>
      </c>
      <c r="C11" s="6" t="s">
        <v>117</v>
      </c>
      <c r="D11" s="6" t="s">
        <v>118</v>
      </c>
      <c r="E11" s="6" t="s">
        <v>119</v>
      </c>
      <c r="F11" s="6" t="s">
        <v>120</v>
      </c>
      <c r="G11" s="6" t="s">
        <v>121</v>
      </c>
      <c r="H11" s="6" t="s">
        <v>122</v>
      </c>
      <c r="I11" s="6" t="s">
        <v>123</v>
      </c>
      <c r="J11" s="6" t="s">
        <v>124</v>
      </c>
      <c r="K11" s="6" t="s">
        <v>125</v>
      </c>
      <c r="L11" s="6" t="s">
        <v>126</v>
      </c>
      <c r="M11" s="6" t="s">
        <v>127</v>
      </c>
      <c r="N11" s="6" t="s">
        <v>128</v>
      </c>
    </row>
    <row r="12" spans="1:16" x14ac:dyDescent="0.25">
      <c r="A12" s="21">
        <f>Presion_cilindro!N4</f>
        <v>-180</v>
      </c>
      <c r="B12" s="27">
        <f>Presion_cilindro!$B$32</f>
        <v>0.72</v>
      </c>
      <c r="C12" s="27">
        <f>Presion_cilindro!$B$32</f>
        <v>0.72</v>
      </c>
      <c r="D12" s="27">
        <f>Presion_cilindro!$B$32</f>
        <v>0.72</v>
      </c>
      <c r="E12" s="27">
        <f>Presion_cilindro!$B$32</f>
        <v>0.72</v>
      </c>
      <c r="F12" s="27">
        <f>Presion_cilindro!$B$32</f>
        <v>0.72</v>
      </c>
      <c r="G12" s="27">
        <f>Presion_cilindro!$B$32</f>
        <v>0.72</v>
      </c>
      <c r="H12" s="27">
        <f>Presion_cilindro!$B$32</f>
        <v>0.72</v>
      </c>
      <c r="I12" s="27">
        <f>Presion_cilindro!$B$32</f>
        <v>0.72</v>
      </c>
      <c r="J12" s="27">
        <f>Presion_cilindro!$B$32</f>
        <v>0.72</v>
      </c>
      <c r="K12" s="27">
        <f>Presion_cilindro!$B$32</f>
        <v>0.72</v>
      </c>
      <c r="L12" s="27">
        <f>Presion_cilindro!$B$32</f>
        <v>0.72</v>
      </c>
      <c r="M12" s="27">
        <f>Presion_cilindro!$B$32</f>
        <v>0.72</v>
      </c>
      <c r="N12" s="27">
        <f>Presion_cilindro!$B$32</f>
        <v>0.72</v>
      </c>
    </row>
    <row r="13" spans="1:16" x14ac:dyDescent="0.25">
      <c r="A13" s="21">
        <f>Presion_cilindro!N5</f>
        <v>-179.5</v>
      </c>
      <c r="B13" s="27">
        <f>B12*(Presion_cilindro!O4/Presion_cilindro!O5)^Presion_cilindro!$B$9+10*(Presion_cilindro!$B$9-1)*Presion_cilindro!$B$33*(IF(Presion_cilindro!N5&gt;(-B$4+Presion_cilindro!$B$34),1-EXP(-Presion_cilindro!$B$16*((Presion_cilindro!N5-(-B$4+Presion_cilindro!$B$34))/Presion_cilindro!$B$35)^(Presion_cilindro!$B$17+1)),0)-IF(Presion_cilindro!N4&gt;(-B$4+Presion_cilindro!$B$34),1-EXP(-Presion_cilindro!$B$16*((Presion_cilindro!N4-(-B$4+Presion_cilindro!$B$34))/Presion_cilindro!$B$35)^(Presion_cilindro!$B$17+1)),0))/((Presion_cilindro!O4+Presion_cilindro!O5)/2)</f>
        <v>0.72001172032992988</v>
      </c>
      <c r="C13" s="27">
        <f>C12*(Presion_cilindro!O4/Presion_cilindro!O5)^Presion_cilindro!$B$9+10*(Presion_cilindro!$B$9-1)*Presion_cilindro!$B$33*(IF(Presion_cilindro!N5&gt;(-C$4+Presion_cilindro!$B$34),1-EXP(-Presion_cilindro!$B$16*((Presion_cilindro!N5-(-C$4+Presion_cilindro!$B$34))/Presion_cilindro!$B$35)^(Presion_cilindro!$B$17+1)),0)-IF(Presion_cilindro!N4&gt;(-C$4+Presion_cilindro!$B$34),1-EXP(-Presion_cilindro!$B$16*((Presion_cilindro!N4-(-C$4+Presion_cilindro!$B$34))/Presion_cilindro!$B$35)^(Presion_cilindro!$B$17+1)),0))/((Presion_cilindro!O4+Presion_cilindro!O5)/2)</f>
        <v>0.72001172032992988</v>
      </c>
      <c r="D13" s="27">
        <f>D12*(Presion_cilindro!O4/Presion_cilindro!O5)^Presion_cilindro!$B$9+10*(Presion_cilindro!$B$9-1)*Presion_cilindro!$B$33*(IF(Presion_cilindro!N5&gt;(-D$4+Presion_cilindro!$B$34),1-EXP(-Presion_cilindro!$B$16*((Presion_cilindro!N5-(-D$4+Presion_cilindro!$B$34))/Presion_cilindro!$B$35)^(Presion_cilindro!$B$17+1)),0)-IF(Presion_cilindro!N4&gt;(-D$4+Presion_cilindro!$B$34),1-EXP(-Presion_cilindro!$B$16*((Presion_cilindro!N4-(-D$4+Presion_cilindro!$B$34))/Presion_cilindro!$B$35)^(Presion_cilindro!$B$17+1)),0))/((Presion_cilindro!O4+Presion_cilindro!O5)/2)</f>
        <v>0.72001172032992988</v>
      </c>
      <c r="E13" s="27">
        <f>E12*(Presion_cilindro!O4/Presion_cilindro!O5)^Presion_cilindro!$B$9+10*(Presion_cilindro!$B$9-1)*Presion_cilindro!$B$33*(IF(Presion_cilindro!N5&gt;(-E$4+Presion_cilindro!$B$34),1-EXP(-Presion_cilindro!$B$16*((Presion_cilindro!N5-(-E$4+Presion_cilindro!$B$34))/Presion_cilindro!$B$35)^(Presion_cilindro!$B$17+1)),0)-IF(Presion_cilindro!N4&gt;(-E$4+Presion_cilindro!$B$34),1-EXP(-Presion_cilindro!$B$16*((Presion_cilindro!N4-(-E$4+Presion_cilindro!$B$34))/Presion_cilindro!$B$35)^(Presion_cilindro!$B$17+1)),0))/((Presion_cilindro!O4+Presion_cilindro!O5)/2)</f>
        <v>0.72001172032992988</v>
      </c>
      <c r="F13" s="27">
        <f>F12*(Presion_cilindro!O4/Presion_cilindro!O5)^Presion_cilindro!$B$9+10*(Presion_cilindro!$B$9-1)*Presion_cilindro!$B$33*(IF(Presion_cilindro!N5&gt;(-F$4+Presion_cilindro!$B$34),1-EXP(-Presion_cilindro!$B$16*((Presion_cilindro!N5-(-F$4+Presion_cilindro!$B$34))/Presion_cilindro!$B$35)^(Presion_cilindro!$B$17+1)),0)-IF(Presion_cilindro!N4&gt;(-F$4+Presion_cilindro!$B$34),1-EXP(-Presion_cilindro!$B$16*((Presion_cilindro!N4-(-F$4+Presion_cilindro!$B$34))/Presion_cilindro!$B$35)^(Presion_cilindro!$B$17+1)),0))/((Presion_cilindro!O4+Presion_cilindro!O5)/2)</f>
        <v>0.72001172032992988</v>
      </c>
      <c r="G13" s="27">
        <f>G12*(Presion_cilindro!O4/Presion_cilindro!O5)^Presion_cilindro!$B$9+10*(Presion_cilindro!$B$9-1)*Presion_cilindro!$B$33*(IF(Presion_cilindro!N5&gt;(-G$4+Presion_cilindro!$B$34),1-EXP(-Presion_cilindro!$B$16*((Presion_cilindro!N5-(-G$4+Presion_cilindro!$B$34))/Presion_cilindro!$B$35)^(Presion_cilindro!$B$17+1)),0)-IF(Presion_cilindro!N4&gt;(-G$4+Presion_cilindro!$B$34),1-EXP(-Presion_cilindro!$B$16*((Presion_cilindro!N4-(-G$4+Presion_cilindro!$B$34))/Presion_cilindro!$B$35)^(Presion_cilindro!$B$17+1)),0))/((Presion_cilindro!O4+Presion_cilindro!O5)/2)</f>
        <v>0.72001172032992988</v>
      </c>
      <c r="H13" s="27">
        <f>H12*(Presion_cilindro!O4/Presion_cilindro!O5)^Presion_cilindro!$B$9+10*(Presion_cilindro!$B$9-1)*Presion_cilindro!$B$33*(IF(Presion_cilindro!N5&gt;(-H$4+Presion_cilindro!$B$34),1-EXP(-Presion_cilindro!$B$16*((Presion_cilindro!N5-(-H$4+Presion_cilindro!$B$34))/Presion_cilindro!$B$35)^(Presion_cilindro!$B$17+1)),0)-IF(Presion_cilindro!N4&gt;(-H$4+Presion_cilindro!$B$34),1-EXP(-Presion_cilindro!$B$16*((Presion_cilindro!N4-(-H$4+Presion_cilindro!$B$34))/Presion_cilindro!$B$35)^(Presion_cilindro!$B$17+1)),0))/((Presion_cilindro!O4+Presion_cilindro!O5)/2)</f>
        <v>0.72001172032992988</v>
      </c>
      <c r="I13" s="27">
        <f>I12*(Presion_cilindro!O4/Presion_cilindro!O5)^Presion_cilindro!$B$9+10*(Presion_cilindro!$B$9-1)*Presion_cilindro!$B$33*(IF(Presion_cilindro!N5&gt;(-I$4+Presion_cilindro!$B$34),1-EXP(-Presion_cilindro!$B$16*((Presion_cilindro!N5-(-I$4+Presion_cilindro!$B$34))/Presion_cilindro!$B$35)^(Presion_cilindro!$B$17+1)),0)-IF(Presion_cilindro!N4&gt;(-I$4+Presion_cilindro!$B$34),1-EXP(-Presion_cilindro!$B$16*((Presion_cilindro!N4-(-I$4+Presion_cilindro!$B$34))/Presion_cilindro!$B$35)^(Presion_cilindro!$B$17+1)),0))/((Presion_cilindro!O4+Presion_cilindro!O5)/2)</f>
        <v>0.72001172032992988</v>
      </c>
      <c r="J13" s="27">
        <f>J12*(Presion_cilindro!O4/Presion_cilindro!O5)^Presion_cilindro!$B$9+10*(Presion_cilindro!$B$9-1)*Presion_cilindro!$B$33*(IF(Presion_cilindro!N5&gt;(-J$4+Presion_cilindro!$B$34),1-EXP(-Presion_cilindro!$B$16*((Presion_cilindro!N5-(-J$4+Presion_cilindro!$B$34))/Presion_cilindro!$B$35)^(Presion_cilindro!$B$17+1)),0)-IF(Presion_cilindro!N4&gt;(-J$4+Presion_cilindro!$B$34),1-EXP(-Presion_cilindro!$B$16*((Presion_cilindro!N4-(-J$4+Presion_cilindro!$B$34))/Presion_cilindro!$B$35)^(Presion_cilindro!$B$17+1)),0))/((Presion_cilindro!O4+Presion_cilindro!O5)/2)</f>
        <v>0.72001172032992988</v>
      </c>
      <c r="K13" s="27">
        <f>K12*(Presion_cilindro!O4/Presion_cilindro!O5)^Presion_cilindro!$B$9+10*(Presion_cilindro!$B$9-1)*Presion_cilindro!$B$33*(IF(Presion_cilindro!N5&gt;(-K$4+Presion_cilindro!$B$34),1-EXP(-Presion_cilindro!$B$16*((Presion_cilindro!N5-(-K$4+Presion_cilindro!$B$34))/Presion_cilindro!$B$35)^(Presion_cilindro!$B$17+1)),0)-IF(Presion_cilindro!N4&gt;(-K$4+Presion_cilindro!$B$34),1-EXP(-Presion_cilindro!$B$16*((Presion_cilindro!N4-(-K$4+Presion_cilindro!$B$34))/Presion_cilindro!$B$35)^(Presion_cilindro!$B$17+1)),0))/((Presion_cilindro!O4+Presion_cilindro!O5)/2)</f>
        <v>0.72001172032992988</v>
      </c>
      <c r="L13" s="27">
        <f>L12*(Presion_cilindro!O4/Presion_cilindro!O5)^Presion_cilindro!$B$9+10*(Presion_cilindro!$B$9-1)*Presion_cilindro!$B$33*(IF(Presion_cilindro!N5&gt;(-L$4+Presion_cilindro!$B$34),1-EXP(-Presion_cilindro!$B$16*((Presion_cilindro!N5-(-L$4+Presion_cilindro!$B$34))/Presion_cilindro!$B$35)^(Presion_cilindro!$B$17+1)),0)-IF(Presion_cilindro!N4&gt;(-L$4+Presion_cilindro!$B$34),1-EXP(-Presion_cilindro!$B$16*((Presion_cilindro!N4-(-L$4+Presion_cilindro!$B$34))/Presion_cilindro!$B$35)^(Presion_cilindro!$B$17+1)),0))/((Presion_cilindro!O4+Presion_cilindro!O5)/2)</f>
        <v>0.72001172032992988</v>
      </c>
      <c r="M13" s="27">
        <f>M12*(Presion_cilindro!O4/Presion_cilindro!O5)^Presion_cilindro!$B$9+10*(Presion_cilindro!$B$9-1)*Presion_cilindro!$B$33*(IF(Presion_cilindro!N5&gt;(-M$4+Presion_cilindro!$B$34),1-EXP(-Presion_cilindro!$B$16*((Presion_cilindro!N5-(-M$4+Presion_cilindro!$B$34))/Presion_cilindro!$B$35)^(Presion_cilindro!$B$17+1)),0)-IF(Presion_cilindro!N4&gt;(-M$4+Presion_cilindro!$B$34),1-EXP(-Presion_cilindro!$B$16*((Presion_cilindro!N4-(-M$4+Presion_cilindro!$B$34))/Presion_cilindro!$B$35)^(Presion_cilindro!$B$17+1)),0))/((Presion_cilindro!O4+Presion_cilindro!O5)/2)</f>
        <v>0.72001172032992988</v>
      </c>
      <c r="N13" s="27">
        <f>N12*(Presion_cilindro!O4/Presion_cilindro!O5)^Presion_cilindro!$B$9+10*(Presion_cilindro!$B$9-1)*Presion_cilindro!$B$33*(IF(Presion_cilindro!N5&gt;(-N$4+Presion_cilindro!$B$34),1-EXP(-Presion_cilindro!$B$16*((Presion_cilindro!N5-(-N$4+Presion_cilindro!$B$34))/Presion_cilindro!$B$35)^(Presion_cilindro!$B$17+1)),0)-IF(Presion_cilindro!N4&gt;(-N$4+Presion_cilindro!$B$34),1-EXP(-Presion_cilindro!$B$16*((Presion_cilindro!N4-(-N$4+Presion_cilindro!$B$34))/Presion_cilindro!$B$35)^(Presion_cilindro!$B$17+1)),0))/((Presion_cilindro!O4+Presion_cilindro!O5)/2)</f>
        <v>0.72001172032992988</v>
      </c>
    </row>
    <row r="14" spans="1:16" x14ac:dyDescent="0.25">
      <c r="A14" s="21">
        <f>Presion_cilindro!N6</f>
        <v>-179</v>
      </c>
      <c r="B14" s="27">
        <f>B13*(Presion_cilindro!O5/Presion_cilindro!O6)^Presion_cilindro!$B$9+10*(Presion_cilindro!$B$9-1)*Presion_cilindro!$B$33*(IF(Presion_cilindro!N6&gt;(-B$4+Presion_cilindro!$B$34),1-EXP(-Presion_cilindro!$B$16*((Presion_cilindro!N6-(-B$4+Presion_cilindro!$B$34))/Presion_cilindro!$B$35)^(Presion_cilindro!$B$17+1)),0)-IF(Presion_cilindro!N5&gt;(-B$4+Presion_cilindro!$B$34),1-EXP(-Presion_cilindro!$B$16*((Presion_cilindro!N5-(-B$4+Presion_cilindro!$B$34))/Presion_cilindro!$B$35)^(Presion_cilindro!$B$17+1)),0))/((Presion_cilindro!O5+Presion_cilindro!O6)/2)</f>
        <v>0.72004688341625767</v>
      </c>
      <c r="C14" s="27">
        <f>C13*(Presion_cilindro!O5/Presion_cilindro!O6)^Presion_cilindro!$B$9+10*(Presion_cilindro!$B$9-1)*Presion_cilindro!$B$33*(IF(Presion_cilindro!N6&gt;(-C$4+Presion_cilindro!$B$34),1-EXP(-Presion_cilindro!$B$16*((Presion_cilindro!N6-(-C$4+Presion_cilindro!$B$34))/Presion_cilindro!$B$35)^(Presion_cilindro!$B$17+1)),0)-IF(Presion_cilindro!N5&gt;(-C$4+Presion_cilindro!$B$34),1-EXP(-Presion_cilindro!$B$16*((Presion_cilindro!N5-(-C$4+Presion_cilindro!$B$34))/Presion_cilindro!$B$35)^(Presion_cilindro!$B$17+1)),0))/((Presion_cilindro!O5+Presion_cilindro!O6)/2)</f>
        <v>0.72004688341625767</v>
      </c>
      <c r="D14" s="27">
        <f>D13*(Presion_cilindro!O5/Presion_cilindro!O6)^Presion_cilindro!$B$9+10*(Presion_cilindro!$B$9-1)*Presion_cilindro!$B$33*(IF(Presion_cilindro!N6&gt;(-D$4+Presion_cilindro!$B$34),1-EXP(-Presion_cilindro!$B$16*((Presion_cilindro!N6-(-D$4+Presion_cilindro!$B$34))/Presion_cilindro!$B$35)^(Presion_cilindro!$B$17+1)),0)-IF(Presion_cilindro!N5&gt;(-D$4+Presion_cilindro!$B$34),1-EXP(-Presion_cilindro!$B$16*((Presion_cilindro!N5-(-D$4+Presion_cilindro!$B$34))/Presion_cilindro!$B$35)^(Presion_cilindro!$B$17+1)),0))/((Presion_cilindro!O5+Presion_cilindro!O6)/2)</f>
        <v>0.72004688341625767</v>
      </c>
      <c r="E14" s="27">
        <f>E13*(Presion_cilindro!O5/Presion_cilindro!O6)^Presion_cilindro!$B$9+10*(Presion_cilindro!$B$9-1)*Presion_cilindro!$B$33*(IF(Presion_cilindro!N6&gt;(-E$4+Presion_cilindro!$B$34),1-EXP(-Presion_cilindro!$B$16*((Presion_cilindro!N6-(-E$4+Presion_cilindro!$B$34))/Presion_cilindro!$B$35)^(Presion_cilindro!$B$17+1)),0)-IF(Presion_cilindro!N5&gt;(-E$4+Presion_cilindro!$B$34),1-EXP(-Presion_cilindro!$B$16*((Presion_cilindro!N5-(-E$4+Presion_cilindro!$B$34))/Presion_cilindro!$B$35)^(Presion_cilindro!$B$17+1)),0))/((Presion_cilindro!O5+Presion_cilindro!O6)/2)</f>
        <v>0.72004688341625767</v>
      </c>
      <c r="F14" s="27">
        <f>F13*(Presion_cilindro!O5/Presion_cilindro!O6)^Presion_cilindro!$B$9+10*(Presion_cilindro!$B$9-1)*Presion_cilindro!$B$33*(IF(Presion_cilindro!N6&gt;(-F$4+Presion_cilindro!$B$34),1-EXP(-Presion_cilindro!$B$16*((Presion_cilindro!N6-(-F$4+Presion_cilindro!$B$34))/Presion_cilindro!$B$35)^(Presion_cilindro!$B$17+1)),0)-IF(Presion_cilindro!N5&gt;(-F$4+Presion_cilindro!$B$34),1-EXP(-Presion_cilindro!$B$16*((Presion_cilindro!N5-(-F$4+Presion_cilindro!$B$34))/Presion_cilindro!$B$35)^(Presion_cilindro!$B$17+1)),0))/((Presion_cilindro!O5+Presion_cilindro!O6)/2)</f>
        <v>0.72004688341625767</v>
      </c>
      <c r="G14" s="27">
        <f>G13*(Presion_cilindro!O5/Presion_cilindro!O6)^Presion_cilindro!$B$9+10*(Presion_cilindro!$B$9-1)*Presion_cilindro!$B$33*(IF(Presion_cilindro!N6&gt;(-G$4+Presion_cilindro!$B$34),1-EXP(-Presion_cilindro!$B$16*((Presion_cilindro!N6-(-G$4+Presion_cilindro!$B$34))/Presion_cilindro!$B$35)^(Presion_cilindro!$B$17+1)),0)-IF(Presion_cilindro!N5&gt;(-G$4+Presion_cilindro!$B$34),1-EXP(-Presion_cilindro!$B$16*((Presion_cilindro!N5-(-G$4+Presion_cilindro!$B$34))/Presion_cilindro!$B$35)^(Presion_cilindro!$B$17+1)),0))/((Presion_cilindro!O5+Presion_cilindro!O6)/2)</f>
        <v>0.72004688341625767</v>
      </c>
      <c r="H14" s="27">
        <f>H13*(Presion_cilindro!O5/Presion_cilindro!O6)^Presion_cilindro!$B$9+10*(Presion_cilindro!$B$9-1)*Presion_cilindro!$B$33*(IF(Presion_cilindro!N6&gt;(-H$4+Presion_cilindro!$B$34),1-EXP(-Presion_cilindro!$B$16*((Presion_cilindro!N6-(-H$4+Presion_cilindro!$B$34))/Presion_cilindro!$B$35)^(Presion_cilindro!$B$17+1)),0)-IF(Presion_cilindro!N5&gt;(-H$4+Presion_cilindro!$B$34),1-EXP(-Presion_cilindro!$B$16*((Presion_cilindro!N5-(-H$4+Presion_cilindro!$B$34))/Presion_cilindro!$B$35)^(Presion_cilindro!$B$17+1)),0))/((Presion_cilindro!O5+Presion_cilindro!O6)/2)</f>
        <v>0.72004688341625767</v>
      </c>
      <c r="I14" s="27">
        <f>I13*(Presion_cilindro!O5/Presion_cilindro!O6)^Presion_cilindro!$B$9+10*(Presion_cilindro!$B$9-1)*Presion_cilindro!$B$33*(IF(Presion_cilindro!N6&gt;(-I$4+Presion_cilindro!$B$34),1-EXP(-Presion_cilindro!$B$16*((Presion_cilindro!N6-(-I$4+Presion_cilindro!$B$34))/Presion_cilindro!$B$35)^(Presion_cilindro!$B$17+1)),0)-IF(Presion_cilindro!N5&gt;(-I$4+Presion_cilindro!$B$34),1-EXP(-Presion_cilindro!$B$16*((Presion_cilindro!N5-(-I$4+Presion_cilindro!$B$34))/Presion_cilindro!$B$35)^(Presion_cilindro!$B$17+1)),0))/((Presion_cilindro!O5+Presion_cilindro!O6)/2)</f>
        <v>0.72004688341625767</v>
      </c>
      <c r="J14" s="27">
        <f>J13*(Presion_cilindro!O5/Presion_cilindro!O6)^Presion_cilindro!$B$9+10*(Presion_cilindro!$B$9-1)*Presion_cilindro!$B$33*(IF(Presion_cilindro!N6&gt;(-J$4+Presion_cilindro!$B$34),1-EXP(-Presion_cilindro!$B$16*((Presion_cilindro!N6-(-J$4+Presion_cilindro!$B$34))/Presion_cilindro!$B$35)^(Presion_cilindro!$B$17+1)),0)-IF(Presion_cilindro!N5&gt;(-J$4+Presion_cilindro!$B$34),1-EXP(-Presion_cilindro!$B$16*((Presion_cilindro!N5-(-J$4+Presion_cilindro!$B$34))/Presion_cilindro!$B$35)^(Presion_cilindro!$B$17+1)),0))/((Presion_cilindro!O5+Presion_cilindro!O6)/2)</f>
        <v>0.72004688341625767</v>
      </c>
      <c r="K14" s="27">
        <f>K13*(Presion_cilindro!O5/Presion_cilindro!O6)^Presion_cilindro!$B$9+10*(Presion_cilindro!$B$9-1)*Presion_cilindro!$B$33*(IF(Presion_cilindro!N6&gt;(-K$4+Presion_cilindro!$B$34),1-EXP(-Presion_cilindro!$B$16*((Presion_cilindro!N6-(-K$4+Presion_cilindro!$B$34))/Presion_cilindro!$B$35)^(Presion_cilindro!$B$17+1)),0)-IF(Presion_cilindro!N5&gt;(-K$4+Presion_cilindro!$B$34),1-EXP(-Presion_cilindro!$B$16*((Presion_cilindro!N5-(-K$4+Presion_cilindro!$B$34))/Presion_cilindro!$B$35)^(Presion_cilindro!$B$17+1)),0))/((Presion_cilindro!O5+Presion_cilindro!O6)/2)</f>
        <v>0.72004688341625767</v>
      </c>
      <c r="L14" s="27">
        <f>L13*(Presion_cilindro!O5/Presion_cilindro!O6)^Presion_cilindro!$B$9+10*(Presion_cilindro!$B$9-1)*Presion_cilindro!$B$33*(IF(Presion_cilindro!N6&gt;(-L$4+Presion_cilindro!$B$34),1-EXP(-Presion_cilindro!$B$16*((Presion_cilindro!N6-(-L$4+Presion_cilindro!$B$34))/Presion_cilindro!$B$35)^(Presion_cilindro!$B$17+1)),0)-IF(Presion_cilindro!N5&gt;(-L$4+Presion_cilindro!$B$34),1-EXP(-Presion_cilindro!$B$16*((Presion_cilindro!N5-(-L$4+Presion_cilindro!$B$34))/Presion_cilindro!$B$35)^(Presion_cilindro!$B$17+1)),0))/((Presion_cilindro!O5+Presion_cilindro!O6)/2)</f>
        <v>0.72004688341625767</v>
      </c>
      <c r="M14" s="27">
        <f>M13*(Presion_cilindro!O5/Presion_cilindro!O6)^Presion_cilindro!$B$9+10*(Presion_cilindro!$B$9-1)*Presion_cilindro!$B$33*(IF(Presion_cilindro!N6&gt;(-M$4+Presion_cilindro!$B$34),1-EXP(-Presion_cilindro!$B$16*((Presion_cilindro!N6-(-M$4+Presion_cilindro!$B$34))/Presion_cilindro!$B$35)^(Presion_cilindro!$B$17+1)),0)-IF(Presion_cilindro!N5&gt;(-M$4+Presion_cilindro!$B$34),1-EXP(-Presion_cilindro!$B$16*((Presion_cilindro!N5-(-M$4+Presion_cilindro!$B$34))/Presion_cilindro!$B$35)^(Presion_cilindro!$B$17+1)),0))/((Presion_cilindro!O5+Presion_cilindro!O6)/2)</f>
        <v>0.72004688341625767</v>
      </c>
      <c r="N14" s="27">
        <f>N13*(Presion_cilindro!O5/Presion_cilindro!O6)^Presion_cilindro!$B$9+10*(Presion_cilindro!$B$9-1)*Presion_cilindro!$B$33*(IF(Presion_cilindro!N6&gt;(-N$4+Presion_cilindro!$B$34),1-EXP(-Presion_cilindro!$B$16*((Presion_cilindro!N6-(-N$4+Presion_cilindro!$B$34))/Presion_cilindro!$B$35)^(Presion_cilindro!$B$17+1)),0)-IF(Presion_cilindro!N5&gt;(-N$4+Presion_cilindro!$B$34),1-EXP(-Presion_cilindro!$B$16*((Presion_cilindro!N5-(-N$4+Presion_cilindro!$B$34))/Presion_cilindro!$B$35)^(Presion_cilindro!$B$17+1)),0))/((Presion_cilindro!O5+Presion_cilindro!O6)/2)</f>
        <v>0.72004688341625767</v>
      </c>
    </row>
    <row r="15" spans="1:16" x14ac:dyDescent="0.25">
      <c r="A15" s="21">
        <f>Presion_cilindro!N7</f>
        <v>-178.5</v>
      </c>
      <c r="B15" s="27">
        <f>B14*(Presion_cilindro!O6/Presion_cilindro!O7)^Presion_cilindro!$B$9+10*(Presion_cilindro!$B$9-1)*Presion_cilindro!$B$33*(IF(Presion_cilindro!N7&gt;(-B$4+Presion_cilindro!$B$34),1-EXP(-Presion_cilindro!$B$16*((Presion_cilindro!N7-(-B$4+Presion_cilindro!$B$34))/Presion_cilindro!$B$35)^(Presion_cilindro!$B$17+1)),0)-IF(Presion_cilindro!N6&gt;(-B$4+Presion_cilindro!$B$34),1-EXP(-Presion_cilindro!$B$16*((Presion_cilindro!N6-(-B$4+Presion_cilindro!$B$34))/Presion_cilindro!$B$35)^(Presion_cilindro!$B$17+1)),0))/((Presion_cilindro!O6+Presion_cilindro!O7)/2)</f>
        <v>0.72010549554927406</v>
      </c>
      <c r="C15" s="27">
        <f>C14*(Presion_cilindro!O6/Presion_cilindro!O7)^Presion_cilindro!$B$9+10*(Presion_cilindro!$B$9-1)*Presion_cilindro!$B$33*(IF(Presion_cilindro!N7&gt;(-C$4+Presion_cilindro!$B$34),1-EXP(-Presion_cilindro!$B$16*((Presion_cilindro!N7-(-C$4+Presion_cilindro!$B$34))/Presion_cilindro!$B$35)^(Presion_cilindro!$B$17+1)),0)-IF(Presion_cilindro!N6&gt;(-C$4+Presion_cilindro!$B$34),1-EXP(-Presion_cilindro!$B$16*((Presion_cilindro!N6-(-C$4+Presion_cilindro!$B$34))/Presion_cilindro!$B$35)^(Presion_cilindro!$B$17+1)),0))/((Presion_cilindro!O6+Presion_cilindro!O7)/2)</f>
        <v>0.72010549554927406</v>
      </c>
      <c r="D15" s="27">
        <f>D14*(Presion_cilindro!O6/Presion_cilindro!O7)^Presion_cilindro!$B$9+10*(Presion_cilindro!$B$9-1)*Presion_cilindro!$B$33*(IF(Presion_cilindro!N7&gt;(-D$4+Presion_cilindro!$B$34),1-EXP(-Presion_cilindro!$B$16*((Presion_cilindro!N7-(-D$4+Presion_cilindro!$B$34))/Presion_cilindro!$B$35)^(Presion_cilindro!$B$17+1)),0)-IF(Presion_cilindro!N6&gt;(-D$4+Presion_cilindro!$B$34),1-EXP(-Presion_cilindro!$B$16*((Presion_cilindro!N6-(-D$4+Presion_cilindro!$B$34))/Presion_cilindro!$B$35)^(Presion_cilindro!$B$17+1)),0))/((Presion_cilindro!O6+Presion_cilindro!O7)/2)</f>
        <v>0.72010549554927406</v>
      </c>
      <c r="E15" s="27">
        <f>E14*(Presion_cilindro!O6/Presion_cilindro!O7)^Presion_cilindro!$B$9+10*(Presion_cilindro!$B$9-1)*Presion_cilindro!$B$33*(IF(Presion_cilindro!N7&gt;(-E$4+Presion_cilindro!$B$34),1-EXP(-Presion_cilindro!$B$16*((Presion_cilindro!N7-(-E$4+Presion_cilindro!$B$34))/Presion_cilindro!$B$35)^(Presion_cilindro!$B$17+1)),0)-IF(Presion_cilindro!N6&gt;(-E$4+Presion_cilindro!$B$34),1-EXP(-Presion_cilindro!$B$16*((Presion_cilindro!N6-(-E$4+Presion_cilindro!$B$34))/Presion_cilindro!$B$35)^(Presion_cilindro!$B$17+1)),0))/((Presion_cilindro!O6+Presion_cilindro!O7)/2)</f>
        <v>0.72010549554927406</v>
      </c>
      <c r="F15" s="27">
        <f>F14*(Presion_cilindro!O6/Presion_cilindro!O7)^Presion_cilindro!$B$9+10*(Presion_cilindro!$B$9-1)*Presion_cilindro!$B$33*(IF(Presion_cilindro!N7&gt;(-F$4+Presion_cilindro!$B$34),1-EXP(-Presion_cilindro!$B$16*((Presion_cilindro!N7-(-F$4+Presion_cilindro!$B$34))/Presion_cilindro!$B$35)^(Presion_cilindro!$B$17+1)),0)-IF(Presion_cilindro!N6&gt;(-F$4+Presion_cilindro!$B$34),1-EXP(-Presion_cilindro!$B$16*((Presion_cilindro!N6-(-F$4+Presion_cilindro!$B$34))/Presion_cilindro!$B$35)^(Presion_cilindro!$B$17+1)),0))/((Presion_cilindro!O6+Presion_cilindro!O7)/2)</f>
        <v>0.72010549554927406</v>
      </c>
      <c r="G15" s="27">
        <f>G14*(Presion_cilindro!O6/Presion_cilindro!O7)^Presion_cilindro!$B$9+10*(Presion_cilindro!$B$9-1)*Presion_cilindro!$B$33*(IF(Presion_cilindro!N7&gt;(-G$4+Presion_cilindro!$B$34),1-EXP(-Presion_cilindro!$B$16*((Presion_cilindro!N7-(-G$4+Presion_cilindro!$B$34))/Presion_cilindro!$B$35)^(Presion_cilindro!$B$17+1)),0)-IF(Presion_cilindro!N6&gt;(-G$4+Presion_cilindro!$B$34),1-EXP(-Presion_cilindro!$B$16*((Presion_cilindro!N6-(-G$4+Presion_cilindro!$B$34))/Presion_cilindro!$B$35)^(Presion_cilindro!$B$17+1)),0))/((Presion_cilindro!O6+Presion_cilindro!O7)/2)</f>
        <v>0.72010549554927406</v>
      </c>
      <c r="H15" s="27">
        <f>H14*(Presion_cilindro!O6/Presion_cilindro!O7)^Presion_cilindro!$B$9+10*(Presion_cilindro!$B$9-1)*Presion_cilindro!$B$33*(IF(Presion_cilindro!N7&gt;(-H$4+Presion_cilindro!$B$34),1-EXP(-Presion_cilindro!$B$16*((Presion_cilindro!N7-(-H$4+Presion_cilindro!$B$34))/Presion_cilindro!$B$35)^(Presion_cilindro!$B$17+1)),0)-IF(Presion_cilindro!N6&gt;(-H$4+Presion_cilindro!$B$34),1-EXP(-Presion_cilindro!$B$16*((Presion_cilindro!N6-(-H$4+Presion_cilindro!$B$34))/Presion_cilindro!$B$35)^(Presion_cilindro!$B$17+1)),0))/((Presion_cilindro!O6+Presion_cilindro!O7)/2)</f>
        <v>0.72010549554927406</v>
      </c>
      <c r="I15" s="27">
        <f>I14*(Presion_cilindro!O6/Presion_cilindro!O7)^Presion_cilindro!$B$9+10*(Presion_cilindro!$B$9-1)*Presion_cilindro!$B$33*(IF(Presion_cilindro!N7&gt;(-I$4+Presion_cilindro!$B$34),1-EXP(-Presion_cilindro!$B$16*((Presion_cilindro!N7-(-I$4+Presion_cilindro!$B$34))/Presion_cilindro!$B$35)^(Presion_cilindro!$B$17+1)),0)-IF(Presion_cilindro!N6&gt;(-I$4+Presion_cilindro!$B$34),1-EXP(-Presion_cilindro!$B$16*((Presion_cilindro!N6-(-I$4+Presion_cilindro!$B$34))/Presion_cilindro!$B$35)^(Presion_cilindro!$B$17+1)),0))/((Presion_cilindro!O6+Presion_cilindro!O7)/2)</f>
        <v>0.72010549554927406</v>
      </c>
      <c r="J15" s="27">
        <f>J14*(Presion_cilindro!O6/Presion_cilindro!O7)^Presion_cilindro!$B$9+10*(Presion_cilindro!$B$9-1)*Presion_cilindro!$B$33*(IF(Presion_cilindro!N7&gt;(-J$4+Presion_cilindro!$B$34),1-EXP(-Presion_cilindro!$B$16*((Presion_cilindro!N7-(-J$4+Presion_cilindro!$B$34))/Presion_cilindro!$B$35)^(Presion_cilindro!$B$17+1)),0)-IF(Presion_cilindro!N6&gt;(-J$4+Presion_cilindro!$B$34),1-EXP(-Presion_cilindro!$B$16*((Presion_cilindro!N6-(-J$4+Presion_cilindro!$B$34))/Presion_cilindro!$B$35)^(Presion_cilindro!$B$17+1)),0))/((Presion_cilindro!O6+Presion_cilindro!O7)/2)</f>
        <v>0.72010549554927406</v>
      </c>
      <c r="K15" s="27">
        <f>K14*(Presion_cilindro!O6/Presion_cilindro!O7)^Presion_cilindro!$B$9+10*(Presion_cilindro!$B$9-1)*Presion_cilindro!$B$33*(IF(Presion_cilindro!N7&gt;(-K$4+Presion_cilindro!$B$34),1-EXP(-Presion_cilindro!$B$16*((Presion_cilindro!N7-(-K$4+Presion_cilindro!$B$34))/Presion_cilindro!$B$35)^(Presion_cilindro!$B$17+1)),0)-IF(Presion_cilindro!N6&gt;(-K$4+Presion_cilindro!$B$34),1-EXP(-Presion_cilindro!$B$16*((Presion_cilindro!N6-(-K$4+Presion_cilindro!$B$34))/Presion_cilindro!$B$35)^(Presion_cilindro!$B$17+1)),0))/((Presion_cilindro!O6+Presion_cilindro!O7)/2)</f>
        <v>0.72010549554927406</v>
      </c>
      <c r="L15" s="27">
        <f>L14*(Presion_cilindro!O6/Presion_cilindro!O7)^Presion_cilindro!$B$9+10*(Presion_cilindro!$B$9-1)*Presion_cilindro!$B$33*(IF(Presion_cilindro!N7&gt;(-L$4+Presion_cilindro!$B$34),1-EXP(-Presion_cilindro!$B$16*((Presion_cilindro!N7-(-L$4+Presion_cilindro!$B$34))/Presion_cilindro!$B$35)^(Presion_cilindro!$B$17+1)),0)-IF(Presion_cilindro!N6&gt;(-L$4+Presion_cilindro!$B$34),1-EXP(-Presion_cilindro!$B$16*((Presion_cilindro!N6-(-L$4+Presion_cilindro!$B$34))/Presion_cilindro!$B$35)^(Presion_cilindro!$B$17+1)),0))/((Presion_cilindro!O6+Presion_cilindro!O7)/2)</f>
        <v>0.72010549554927406</v>
      </c>
      <c r="M15" s="27">
        <f>M14*(Presion_cilindro!O6/Presion_cilindro!O7)^Presion_cilindro!$B$9+10*(Presion_cilindro!$B$9-1)*Presion_cilindro!$B$33*(IF(Presion_cilindro!N7&gt;(-M$4+Presion_cilindro!$B$34),1-EXP(-Presion_cilindro!$B$16*((Presion_cilindro!N7-(-M$4+Presion_cilindro!$B$34))/Presion_cilindro!$B$35)^(Presion_cilindro!$B$17+1)),0)-IF(Presion_cilindro!N6&gt;(-M$4+Presion_cilindro!$B$34),1-EXP(-Presion_cilindro!$B$16*((Presion_cilindro!N6-(-M$4+Presion_cilindro!$B$34))/Presion_cilindro!$B$35)^(Presion_cilindro!$B$17+1)),0))/((Presion_cilindro!O6+Presion_cilindro!O7)/2)</f>
        <v>0.72010549554927406</v>
      </c>
      <c r="N15" s="27">
        <f>N14*(Presion_cilindro!O6/Presion_cilindro!O7)^Presion_cilindro!$B$9+10*(Presion_cilindro!$B$9-1)*Presion_cilindro!$B$33*(IF(Presion_cilindro!N7&gt;(-N$4+Presion_cilindro!$B$34),1-EXP(-Presion_cilindro!$B$16*((Presion_cilindro!N7-(-N$4+Presion_cilindro!$B$34))/Presion_cilindro!$B$35)^(Presion_cilindro!$B$17+1)),0)-IF(Presion_cilindro!N6&gt;(-N$4+Presion_cilindro!$B$34),1-EXP(-Presion_cilindro!$B$16*((Presion_cilindro!N6-(-N$4+Presion_cilindro!$B$34))/Presion_cilindro!$B$35)^(Presion_cilindro!$B$17+1)),0))/((Presion_cilindro!O6+Presion_cilindro!O7)/2)</f>
        <v>0.72010549554927406</v>
      </c>
    </row>
    <row r="16" spans="1:16" x14ac:dyDescent="0.25">
      <c r="A16" s="21">
        <f>Presion_cilindro!N8</f>
        <v>-178</v>
      </c>
      <c r="B16" s="27">
        <f>B15*(Presion_cilindro!O7/Presion_cilindro!O8)^Presion_cilindro!$B$9+10*(Presion_cilindro!$B$9-1)*Presion_cilindro!$B$33*(IF(Presion_cilindro!N8&gt;(-B$4+Presion_cilindro!$B$34),1-EXP(-Presion_cilindro!$B$16*((Presion_cilindro!N8-(-B$4+Presion_cilindro!$B$34))/Presion_cilindro!$B$35)^(Presion_cilindro!$B$17+1)),0)-IF(Presion_cilindro!N7&gt;(-B$4+Presion_cilindro!$B$34),1-EXP(-Presion_cilindro!$B$16*((Presion_cilindro!N7-(-B$4+Presion_cilindro!$B$34))/Presion_cilindro!$B$35)^(Presion_cilindro!$B$17+1)),0))/((Presion_cilindro!O7+Presion_cilindro!O8)/2)</f>
        <v>0.72018756721506749</v>
      </c>
      <c r="C16" s="27">
        <f>C15*(Presion_cilindro!O7/Presion_cilindro!O8)^Presion_cilindro!$B$9+10*(Presion_cilindro!$B$9-1)*Presion_cilindro!$B$33*(IF(Presion_cilindro!N8&gt;(-C$4+Presion_cilindro!$B$34),1-EXP(-Presion_cilindro!$B$16*((Presion_cilindro!N8-(-C$4+Presion_cilindro!$B$34))/Presion_cilindro!$B$35)^(Presion_cilindro!$B$17+1)),0)-IF(Presion_cilindro!N7&gt;(-C$4+Presion_cilindro!$B$34),1-EXP(-Presion_cilindro!$B$16*((Presion_cilindro!N7-(-C$4+Presion_cilindro!$B$34))/Presion_cilindro!$B$35)^(Presion_cilindro!$B$17+1)),0))/((Presion_cilindro!O7+Presion_cilindro!O8)/2)</f>
        <v>0.72018756721506749</v>
      </c>
      <c r="D16" s="27">
        <f>D15*(Presion_cilindro!O7/Presion_cilindro!O8)^Presion_cilindro!$B$9+10*(Presion_cilindro!$B$9-1)*Presion_cilindro!$B$33*(IF(Presion_cilindro!N8&gt;(-D$4+Presion_cilindro!$B$34),1-EXP(-Presion_cilindro!$B$16*((Presion_cilindro!N8-(-D$4+Presion_cilindro!$B$34))/Presion_cilindro!$B$35)^(Presion_cilindro!$B$17+1)),0)-IF(Presion_cilindro!N7&gt;(-D$4+Presion_cilindro!$B$34),1-EXP(-Presion_cilindro!$B$16*((Presion_cilindro!N7-(-D$4+Presion_cilindro!$B$34))/Presion_cilindro!$B$35)^(Presion_cilindro!$B$17+1)),0))/((Presion_cilindro!O7+Presion_cilindro!O8)/2)</f>
        <v>0.72018756721506749</v>
      </c>
      <c r="E16" s="27">
        <f>E15*(Presion_cilindro!O7/Presion_cilindro!O8)^Presion_cilindro!$B$9+10*(Presion_cilindro!$B$9-1)*Presion_cilindro!$B$33*(IF(Presion_cilindro!N8&gt;(-E$4+Presion_cilindro!$B$34),1-EXP(-Presion_cilindro!$B$16*((Presion_cilindro!N8-(-E$4+Presion_cilindro!$B$34))/Presion_cilindro!$B$35)^(Presion_cilindro!$B$17+1)),0)-IF(Presion_cilindro!N7&gt;(-E$4+Presion_cilindro!$B$34),1-EXP(-Presion_cilindro!$B$16*((Presion_cilindro!N7-(-E$4+Presion_cilindro!$B$34))/Presion_cilindro!$B$35)^(Presion_cilindro!$B$17+1)),0))/((Presion_cilindro!O7+Presion_cilindro!O8)/2)</f>
        <v>0.72018756721506749</v>
      </c>
      <c r="F16" s="27">
        <f>F15*(Presion_cilindro!O7/Presion_cilindro!O8)^Presion_cilindro!$B$9+10*(Presion_cilindro!$B$9-1)*Presion_cilindro!$B$33*(IF(Presion_cilindro!N8&gt;(-F$4+Presion_cilindro!$B$34),1-EXP(-Presion_cilindro!$B$16*((Presion_cilindro!N8-(-F$4+Presion_cilindro!$B$34))/Presion_cilindro!$B$35)^(Presion_cilindro!$B$17+1)),0)-IF(Presion_cilindro!N7&gt;(-F$4+Presion_cilindro!$B$34),1-EXP(-Presion_cilindro!$B$16*((Presion_cilindro!N7-(-F$4+Presion_cilindro!$B$34))/Presion_cilindro!$B$35)^(Presion_cilindro!$B$17+1)),0))/((Presion_cilindro!O7+Presion_cilindro!O8)/2)</f>
        <v>0.72018756721506749</v>
      </c>
      <c r="G16" s="27">
        <f>G15*(Presion_cilindro!O7/Presion_cilindro!O8)^Presion_cilindro!$B$9+10*(Presion_cilindro!$B$9-1)*Presion_cilindro!$B$33*(IF(Presion_cilindro!N8&gt;(-G$4+Presion_cilindro!$B$34),1-EXP(-Presion_cilindro!$B$16*((Presion_cilindro!N8-(-G$4+Presion_cilindro!$B$34))/Presion_cilindro!$B$35)^(Presion_cilindro!$B$17+1)),0)-IF(Presion_cilindro!N7&gt;(-G$4+Presion_cilindro!$B$34),1-EXP(-Presion_cilindro!$B$16*((Presion_cilindro!N7-(-G$4+Presion_cilindro!$B$34))/Presion_cilindro!$B$35)^(Presion_cilindro!$B$17+1)),0))/((Presion_cilindro!O7+Presion_cilindro!O8)/2)</f>
        <v>0.72018756721506749</v>
      </c>
      <c r="H16" s="27">
        <f>H15*(Presion_cilindro!O7/Presion_cilindro!O8)^Presion_cilindro!$B$9+10*(Presion_cilindro!$B$9-1)*Presion_cilindro!$B$33*(IF(Presion_cilindro!N8&gt;(-H$4+Presion_cilindro!$B$34),1-EXP(-Presion_cilindro!$B$16*((Presion_cilindro!N8-(-H$4+Presion_cilindro!$B$34))/Presion_cilindro!$B$35)^(Presion_cilindro!$B$17+1)),0)-IF(Presion_cilindro!N7&gt;(-H$4+Presion_cilindro!$B$34),1-EXP(-Presion_cilindro!$B$16*((Presion_cilindro!N7-(-H$4+Presion_cilindro!$B$34))/Presion_cilindro!$B$35)^(Presion_cilindro!$B$17+1)),0))/((Presion_cilindro!O7+Presion_cilindro!O8)/2)</f>
        <v>0.72018756721506749</v>
      </c>
      <c r="I16" s="27">
        <f>I15*(Presion_cilindro!O7/Presion_cilindro!O8)^Presion_cilindro!$B$9+10*(Presion_cilindro!$B$9-1)*Presion_cilindro!$B$33*(IF(Presion_cilindro!N8&gt;(-I$4+Presion_cilindro!$B$34),1-EXP(-Presion_cilindro!$B$16*((Presion_cilindro!N8-(-I$4+Presion_cilindro!$B$34))/Presion_cilindro!$B$35)^(Presion_cilindro!$B$17+1)),0)-IF(Presion_cilindro!N7&gt;(-I$4+Presion_cilindro!$B$34),1-EXP(-Presion_cilindro!$B$16*((Presion_cilindro!N7-(-I$4+Presion_cilindro!$B$34))/Presion_cilindro!$B$35)^(Presion_cilindro!$B$17+1)),0))/((Presion_cilindro!O7+Presion_cilindro!O8)/2)</f>
        <v>0.72018756721506749</v>
      </c>
      <c r="J16" s="27">
        <f>J15*(Presion_cilindro!O7/Presion_cilindro!O8)^Presion_cilindro!$B$9+10*(Presion_cilindro!$B$9-1)*Presion_cilindro!$B$33*(IF(Presion_cilindro!N8&gt;(-J$4+Presion_cilindro!$B$34),1-EXP(-Presion_cilindro!$B$16*((Presion_cilindro!N8-(-J$4+Presion_cilindro!$B$34))/Presion_cilindro!$B$35)^(Presion_cilindro!$B$17+1)),0)-IF(Presion_cilindro!N7&gt;(-J$4+Presion_cilindro!$B$34),1-EXP(-Presion_cilindro!$B$16*((Presion_cilindro!N7-(-J$4+Presion_cilindro!$B$34))/Presion_cilindro!$B$35)^(Presion_cilindro!$B$17+1)),0))/((Presion_cilindro!O7+Presion_cilindro!O8)/2)</f>
        <v>0.72018756721506749</v>
      </c>
      <c r="K16" s="27">
        <f>K15*(Presion_cilindro!O7/Presion_cilindro!O8)^Presion_cilindro!$B$9+10*(Presion_cilindro!$B$9-1)*Presion_cilindro!$B$33*(IF(Presion_cilindro!N8&gt;(-K$4+Presion_cilindro!$B$34),1-EXP(-Presion_cilindro!$B$16*((Presion_cilindro!N8-(-K$4+Presion_cilindro!$B$34))/Presion_cilindro!$B$35)^(Presion_cilindro!$B$17+1)),0)-IF(Presion_cilindro!N7&gt;(-K$4+Presion_cilindro!$B$34),1-EXP(-Presion_cilindro!$B$16*((Presion_cilindro!N7-(-K$4+Presion_cilindro!$B$34))/Presion_cilindro!$B$35)^(Presion_cilindro!$B$17+1)),0))/((Presion_cilindro!O7+Presion_cilindro!O8)/2)</f>
        <v>0.72018756721506749</v>
      </c>
      <c r="L16" s="27">
        <f>L15*(Presion_cilindro!O7/Presion_cilindro!O8)^Presion_cilindro!$B$9+10*(Presion_cilindro!$B$9-1)*Presion_cilindro!$B$33*(IF(Presion_cilindro!N8&gt;(-L$4+Presion_cilindro!$B$34),1-EXP(-Presion_cilindro!$B$16*((Presion_cilindro!N8-(-L$4+Presion_cilindro!$B$34))/Presion_cilindro!$B$35)^(Presion_cilindro!$B$17+1)),0)-IF(Presion_cilindro!N7&gt;(-L$4+Presion_cilindro!$B$34),1-EXP(-Presion_cilindro!$B$16*((Presion_cilindro!N7-(-L$4+Presion_cilindro!$B$34))/Presion_cilindro!$B$35)^(Presion_cilindro!$B$17+1)),0))/((Presion_cilindro!O7+Presion_cilindro!O8)/2)</f>
        <v>0.72018756721506749</v>
      </c>
      <c r="M16" s="27">
        <f>M15*(Presion_cilindro!O7/Presion_cilindro!O8)^Presion_cilindro!$B$9+10*(Presion_cilindro!$B$9-1)*Presion_cilindro!$B$33*(IF(Presion_cilindro!N8&gt;(-M$4+Presion_cilindro!$B$34),1-EXP(-Presion_cilindro!$B$16*((Presion_cilindro!N8-(-M$4+Presion_cilindro!$B$34))/Presion_cilindro!$B$35)^(Presion_cilindro!$B$17+1)),0)-IF(Presion_cilindro!N7&gt;(-M$4+Presion_cilindro!$B$34),1-EXP(-Presion_cilindro!$B$16*((Presion_cilindro!N7-(-M$4+Presion_cilindro!$B$34))/Presion_cilindro!$B$35)^(Presion_cilindro!$B$17+1)),0))/((Presion_cilindro!O7+Presion_cilindro!O8)/2)</f>
        <v>0.72018756721506749</v>
      </c>
      <c r="N16" s="27">
        <f>N15*(Presion_cilindro!O7/Presion_cilindro!O8)^Presion_cilindro!$B$9+10*(Presion_cilindro!$B$9-1)*Presion_cilindro!$B$33*(IF(Presion_cilindro!N8&gt;(-N$4+Presion_cilindro!$B$34),1-EXP(-Presion_cilindro!$B$16*((Presion_cilindro!N8-(-N$4+Presion_cilindro!$B$34))/Presion_cilindro!$B$35)^(Presion_cilindro!$B$17+1)),0)-IF(Presion_cilindro!N7&gt;(-N$4+Presion_cilindro!$B$34),1-EXP(-Presion_cilindro!$B$16*((Presion_cilindro!N7-(-N$4+Presion_cilindro!$B$34))/Presion_cilindro!$B$35)^(Presion_cilindro!$B$17+1)),0))/((Presion_cilindro!O7+Presion_cilindro!O8)/2)</f>
        <v>0.72018756721506749</v>
      </c>
    </row>
    <row r="17" spans="1:14" x14ac:dyDescent="0.25">
      <c r="A17" s="21">
        <f>Presion_cilindro!N9</f>
        <v>-177.5</v>
      </c>
      <c r="B17" s="27">
        <f>B16*(Presion_cilindro!O8/Presion_cilindro!O9)^Presion_cilindro!$B$9+10*(Presion_cilindro!$B$9-1)*Presion_cilindro!$B$33*(IF(Presion_cilindro!N9&gt;(-B$4+Presion_cilindro!$B$34),1-EXP(-Presion_cilindro!$B$16*((Presion_cilindro!N9-(-B$4+Presion_cilindro!$B$34))/Presion_cilindro!$B$35)^(Presion_cilindro!$B$17+1)),0)-IF(Presion_cilindro!N8&gt;(-B$4+Presion_cilindro!$B$34),1-EXP(-Presion_cilindro!$B$16*((Presion_cilindro!N8-(-B$4+Presion_cilindro!$B$34))/Presion_cilindro!$B$35)^(Presion_cilindro!$B$17+1)),0))/((Presion_cilindro!O8+Presion_cilindro!O9)/2)</f>
        <v>0.72029311309892619</v>
      </c>
      <c r="C17" s="27">
        <f>C16*(Presion_cilindro!O8/Presion_cilindro!O9)^Presion_cilindro!$B$9+10*(Presion_cilindro!$B$9-1)*Presion_cilindro!$B$33*(IF(Presion_cilindro!N9&gt;(-C$4+Presion_cilindro!$B$34),1-EXP(-Presion_cilindro!$B$16*((Presion_cilindro!N9-(-C$4+Presion_cilindro!$B$34))/Presion_cilindro!$B$35)^(Presion_cilindro!$B$17+1)),0)-IF(Presion_cilindro!N8&gt;(-C$4+Presion_cilindro!$B$34),1-EXP(-Presion_cilindro!$B$16*((Presion_cilindro!N8-(-C$4+Presion_cilindro!$B$34))/Presion_cilindro!$B$35)^(Presion_cilindro!$B$17+1)),0))/((Presion_cilindro!O8+Presion_cilindro!O9)/2)</f>
        <v>0.72029311309892619</v>
      </c>
      <c r="D17" s="27">
        <f>D16*(Presion_cilindro!O8/Presion_cilindro!O9)^Presion_cilindro!$B$9+10*(Presion_cilindro!$B$9-1)*Presion_cilindro!$B$33*(IF(Presion_cilindro!N9&gt;(-D$4+Presion_cilindro!$B$34),1-EXP(-Presion_cilindro!$B$16*((Presion_cilindro!N9-(-D$4+Presion_cilindro!$B$34))/Presion_cilindro!$B$35)^(Presion_cilindro!$B$17+1)),0)-IF(Presion_cilindro!N8&gt;(-D$4+Presion_cilindro!$B$34),1-EXP(-Presion_cilindro!$B$16*((Presion_cilindro!N8-(-D$4+Presion_cilindro!$B$34))/Presion_cilindro!$B$35)^(Presion_cilindro!$B$17+1)),0))/((Presion_cilindro!O8+Presion_cilindro!O9)/2)</f>
        <v>0.72029311309892619</v>
      </c>
      <c r="E17" s="27">
        <f>E16*(Presion_cilindro!O8/Presion_cilindro!O9)^Presion_cilindro!$B$9+10*(Presion_cilindro!$B$9-1)*Presion_cilindro!$B$33*(IF(Presion_cilindro!N9&gt;(-E$4+Presion_cilindro!$B$34),1-EXP(-Presion_cilindro!$B$16*((Presion_cilindro!N9-(-E$4+Presion_cilindro!$B$34))/Presion_cilindro!$B$35)^(Presion_cilindro!$B$17+1)),0)-IF(Presion_cilindro!N8&gt;(-E$4+Presion_cilindro!$B$34),1-EXP(-Presion_cilindro!$B$16*((Presion_cilindro!N8-(-E$4+Presion_cilindro!$B$34))/Presion_cilindro!$B$35)^(Presion_cilindro!$B$17+1)),0))/((Presion_cilindro!O8+Presion_cilindro!O9)/2)</f>
        <v>0.72029311309892619</v>
      </c>
      <c r="F17" s="27">
        <f>F16*(Presion_cilindro!O8/Presion_cilindro!O9)^Presion_cilindro!$B$9+10*(Presion_cilindro!$B$9-1)*Presion_cilindro!$B$33*(IF(Presion_cilindro!N9&gt;(-F$4+Presion_cilindro!$B$34),1-EXP(-Presion_cilindro!$B$16*((Presion_cilindro!N9-(-F$4+Presion_cilindro!$B$34))/Presion_cilindro!$B$35)^(Presion_cilindro!$B$17+1)),0)-IF(Presion_cilindro!N8&gt;(-F$4+Presion_cilindro!$B$34),1-EXP(-Presion_cilindro!$B$16*((Presion_cilindro!N8-(-F$4+Presion_cilindro!$B$34))/Presion_cilindro!$B$35)^(Presion_cilindro!$B$17+1)),0))/((Presion_cilindro!O8+Presion_cilindro!O9)/2)</f>
        <v>0.72029311309892619</v>
      </c>
      <c r="G17" s="27">
        <f>G16*(Presion_cilindro!O8/Presion_cilindro!O9)^Presion_cilindro!$B$9+10*(Presion_cilindro!$B$9-1)*Presion_cilindro!$B$33*(IF(Presion_cilindro!N9&gt;(-G$4+Presion_cilindro!$B$34),1-EXP(-Presion_cilindro!$B$16*((Presion_cilindro!N9-(-G$4+Presion_cilindro!$B$34))/Presion_cilindro!$B$35)^(Presion_cilindro!$B$17+1)),0)-IF(Presion_cilindro!N8&gt;(-G$4+Presion_cilindro!$B$34),1-EXP(-Presion_cilindro!$B$16*((Presion_cilindro!N8-(-G$4+Presion_cilindro!$B$34))/Presion_cilindro!$B$35)^(Presion_cilindro!$B$17+1)),0))/((Presion_cilindro!O8+Presion_cilindro!O9)/2)</f>
        <v>0.72029311309892619</v>
      </c>
      <c r="H17" s="27">
        <f>H16*(Presion_cilindro!O8/Presion_cilindro!O9)^Presion_cilindro!$B$9+10*(Presion_cilindro!$B$9-1)*Presion_cilindro!$B$33*(IF(Presion_cilindro!N9&gt;(-H$4+Presion_cilindro!$B$34),1-EXP(-Presion_cilindro!$B$16*((Presion_cilindro!N9-(-H$4+Presion_cilindro!$B$34))/Presion_cilindro!$B$35)^(Presion_cilindro!$B$17+1)),0)-IF(Presion_cilindro!N8&gt;(-H$4+Presion_cilindro!$B$34),1-EXP(-Presion_cilindro!$B$16*((Presion_cilindro!N8-(-H$4+Presion_cilindro!$B$34))/Presion_cilindro!$B$35)^(Presion_cilindro!$B$17+1)),0))/((Presion_cilindro!O8+Presion_cilindro!O9)/2)</f>
        <v>0.72029311309892619</v>
      </c>
      <c r="I17" s="27">
        <f>I16*(Presion_cilindro!O8/Presion_cilindro!O9)^Presion_cilindro!$B$9+10*(Presion_cilindro!$B$9-1)*Presion_cilindro!$B$33*(IF(Presion_cilindro!N9&gt;(-I$4+Presion_cilindro!$B$34),1-EXP(-Presion_cilindro!$B$16*((Presion_cilindro!N9-(-I$4+Presion_cilindro!$B$34))/Presion_cilindro!$B$35)^(Presion_cilindro!$B$17+1)),0)-IF(Presion_cilindro!N8&gt;(-I$4+Presion_cilindro!$B$34),1-EXP(-Presion_cilindro!$B$16*((Presion_cilindro!N8-(-I$4+Presion_cilindro!$B$34))/Presion_cilindro!$B$35)^(Presion_cilindro!$B$17+1)),0))/((Presion_cilindro!O8+Presion_cilindro!O9)/2)</f>
        <v>0.72029311309892619</v>
      </c>
      <c r="J17" s="27">
        <f>J16*(Presion_cilindro!O8/Presion_cilindro!O9)^Presion_cilindro!$B$9+10*(Presion_cilindro!$B$9-1)*Presion_cilindro!$B$33*(IF(Presion_cilindro!N9&gt;(-J$4+Presion_cilindro!$B$34),1-EXP(-Presion_cilindro!$B$16*((Presion_cilindro!N9-(-J$4+Presion_cilindro!$B$34))/Presion_cilindro!$B$35)^(Presion_cilindro!$B$17+1)),0)-IF(Presion_cilindro!N8&gt;(-J$4+Presion_cilindro!$B$34),1-EXP(-Presion_cilindro!$B$16*((Presion_cilindro!N8-(-J$4+Presion_cilindro!$B$34))/Presion_cilindro!$B$35)^(Presion_cilindro!$B$17+1)),0))/((Presion_cilindro!O8+Presion_cilindro!O9)/2)</f>
        <v>0.72029311309892619</v>
      </c>
      <c r="K17" s="27">
        <f>K16*(Presion_cilindro!O8/Presion_cilindro!O9)^Presion_cilindro!$B$9+10*(Presion_cilindro!$B$9-1)*Presion_cilindro!$B$33*(IF(Presion_cilindro!N9&gt;(-K$4+Presion_cilindro!$B$34),1-EXP(-Presion_cilindro!$B$16*((Presion_cilindro!N9-(-K$4+Presion_cilindro!$B$34))/Presion_cilindro!$B$35)^(Presion_cilindro!$B$17+1)),0)-IF(Presion_cilindro!N8&gt;(-K$4+Presion_cilindro!$B$34),1-EXP(-Presion_cilindro!$B$16*((Presion_cilindro!N8-(-K$4+Presion_cilindro!$B$34))/Presion_cilindro!$B$35)^(Presion_cilindro!$B$17+1)),0))/((Presion_cilindro!O8+Presion_cilindro!O9)/2)</f>
        <v>0.72029311309892619</v>
      </c>
      <c r="L17" s="27">
        <f>L16*(Presion_cilindro!O8/Presion_cilindro!O9)^Presion_cilindro!$B$9+10*(Presion_cilindro!$B$9-1)*Presion_cilindro!$B$33*(IF(Presion_cilindro!N9&gt;(-L$4+Presion_cilindro!$B$34),1-EXP(-Presion_cilindro!$B$16*((Presion_cilindro!N9-(-L$4+Presion_cilindro!$B$34))/Presion_cilindro!$B$35)^(Presion_cilindro!$B$17+1)),0)-IF(Presion_cilindro!N8&gt;(-L$4+Presion_cilindro!$B$34),1-EXP(-Presion_cilindro!$B$16*((Presion_cilindro!N8-(-L$4+Presion_cilindro!$B$34))/Presion_cilindro!$B$35)^(Presion_cilindro!$B$17+1)),0))/((Presion_cilindro!O8+Presion_cilindro!O9)/2)</f>
        <v>0.72029311309892619</v>
      </c>
      <c r="M17" s="27">
        <f>M16*(Presion_cilindro!O8/Presion_cilindro!O9)^Presion_cilindro!$B$9+10*(Presion_cilindro!$B$9-1)*Presion_cilindro!$B$33*(IF(Presion_cilindro!N9&gt;(-M$4+Presion_cilindro!$B$34),1-EXP(-Presion_cilindro!$B$16*((Presion_cilindro!N9-(-M$4+Presion_cilindro!$B$34))/Presion_cilindro!$B$35)^(Presion_cilindro!$B$17+1)),0)-IF(Presion_cilindro!N8&gt;(-M$4+Presion_cilindro!$B$34),1-EXP(-Presion_cilindro!$B$16*((Presion_cilindro!N8-(-M$4+Presion_cilindro!$B$34))/Presion_cilindro!$B$35)^(Presion_cilindro!$B$17+1)),0))/((Presion_cilindro!O8+Presion_cilindro!O9)/2)</f>
        <v>0.72029311309892619</v>
      </c>
      <c r="N17" s="27">
        <f>N16*(Presion_cilindro!O8/Presion_cilindro!O9)^Presion_cilindro!$B$9+10*(Presion_cilindro!$B$9-1)*Presion_cilindro!$B$33*(IF(Presion_cilindro!N9&gt;(-N$4+Presion_cilindro!$B$34),1-EXP(-Presion_cilindro!$B$16*((Presion_cilindro!N9-(-N$4+Presion_cilindro!$B$34))/Presion_cilindro!$B$35)^(Presion_cilindro!$B$17+1)),0)-IF(Presion_cilindro!N8&gt;(-N$4+Presion_cilindro!$B$34),1-EXP(-Presion_cilindro!$B$16*((Presion_cilindro!N8-(-N$4+Presion_cilindro!$B$34))/Presion_cilindro!$B$35)^(Presion_cilindro!$B$17+1)),0))/((Presion_cilindro!O8+Presion_cilindro!O9)/2)</f>
        <v>0.72029311309892619</v>
      </c>
    </row>
    <row r="18" spans="1:14" x14ac:dyDescent="0.25">
      <c r="A18" s="21">
        <f>Presion_cilindro!N10</f>
        <v>-177</v>
      </c>
      <c r="B18" s="27">
        <f>B17*(Presion_cilindro!O9/Presion_cilindro!O10)^Presion_cilindro!$B$9+10*(Presion_cilindro!$B$9-1)*Presion_cilindro!$B$33*(IF(Presion_cilindro!N10&gt;(-B$4+Presion_cilindro!$B$34),1-EXP(-Presion_cilindro!$B$16*((Presion_cilindro!N10-(-B$4+Presion_cilindro!$B$34))/Presion_cilindro!$B$35)^(Presion_cilindro!$B$17+1)),0)-IF(Presion_cilindro!N9&gt;(-B$4+Presion_cilindro!$B$34),1-EXP(-Presion_cilindro!$B$16*((Presion_cilindro!N9-(-B$4+Presion_cilindro!$B$34))/Presion_cilindro!$B$35)^(Presion_cilindro!$B$17+1)),0))/((Presion_cilindro!O9+Presion_cilindro!O10)/2)</f>
        <v>0.72042215209010663</v>
      </c>
      <c r="C18" s="27">
        <f>C17*(Presion_cilindro!O9/Presion_cilindro!O10)^Presion_cilindro!$B$9+10*(Presion_cilindro!$B$9-1)*Presion_cilindro!$B$33*(IF(Presion_cilindro!N10&gt;(-C$4+Presion_cilindro!$B$34),1-EXP(-Presion_cilindro!$B$16*((Presion_cilindro!N10-(-C$4+Presion_cilindro!$B$34))/Presion_cilindro!$B$35)^(Presion_cilindro!$B$17+1)),0)-IF(Presion_cilindro!N9&gt;(-C$4+Presion_cilindro!$B$34),1-EXP(-Presion_cilindro!$B$16*((Presion_cilindro!N9-(-C$4+Presion_cilindro!$B$34))/Presion_cilindro!$B$35)^(Presion_cilindro!$B$17+1)),0))/((Presion_cilindro!O9+Presion_cilindro!O10)/2)</f>
        <v>0.72042215209010663</v>
      </c>
      <c r="D18" s="27">
        <f>D17*(Presion_cilindro!O9/Presion_cilindro!O10)^Presion_cilindro!$B$9+10*(Presion_cilindro!$B$9-1)*Presion_cilindro!$B$33*(IF(Presion_cilindro!N10&gt;(-D$4+Presion_cilindro!$B$34),1-EXP(-Presion_cilindro!$B$16*((Presion_cilindro!N10-(-D$4+Presion_cilindro!$B$34))/Presion_cilindro!$B$35)^(Presion_cilindro!$B$17+1)),0)-IF(Presion_cilindro!N9&gt;(-D$4+Presion_cilindro!$B$34),1-EXP(-Presion_cilindro!$B$16*((Presion_cilindro!N9-(-D$4+Presion_cilindro!$B$34))/Presion_cilindro!$B$35)^(Presion_cilindro!$B$17+1)),0))/((Presion_cilindro!O9+Presion_cilindro!O10)/2)</f>
        <v>0.72042215209010663</v>
      </c>
      <c r="E18" s="27">
        <f>E17*(Presion_cilindro!O9/Presion_cilindro!O10)^Presion_cilindro!$B$9+10*(Presion_cilindro!$B$9-1)*Presion_cilindro!$B$33*(IF(Presion_cilindro!N10&gt;(-E$4+Presion_cilindro!$B$34),1-EXP(-Presion_cilindro!$B$16*((Presion_cilindro!N10-(-E$4+Presion_cilindro!$B$34))/Presion_cilindro!$B$35)^(Presion_cilindro!$B$17+1)),0)-IF(Presion_cilindro!N9&gt;(-E$4+Presion_cilindro!$B$34),1-EXP(-Presion_cilindro!$B$16*((Presion_cilindro!N9-(-E$4+Presion_cilindro!$B$34))/Presion_cilindro!$B$35)^(Presion_cilindro!$B$17+1)),0))/((Presion_cilindro!O9+Presion_cilindro!O10)/2)</f>
        <v>0.72042215209010663</v>
      </c>
      <c r="F18" s="27">
        <f>F17*(Presion_cilindro!O9/Presion_cilindro!O10)^Presion_cilindro!$B$9+10*(Presion_cilindro!$B$9-1)*Presion_cilindro!$B$33*(IF(Presion_cilindro!N10&gt;(-F$4+Presion_cilindro!$B$34),1-EXP(-Presion_cilindro!$B$16*((Presion_cilindro!N10-(-F$4+Presion_cilindro!$B$34))/Presion_cilindro!$B$35)^(Presion_cilindro!$B$17+1)),0)-IF(Presion_cilindro!N9&gt;(-F$4+Presion_cilindro!$B$34),1-EXP(-Presion_cilindro!$B$16*((Presion_cilindro!N9-(-F$4+Presion_cilindro!$B$34))/Presion_cilindro!$B$35)^(Presion_cilindro!$B$17+1)),0))/((Presion_cilindro!O9+Presion_cilindro!O10)/2)</f>
        <v>0.72042215209010663</v>
      </c>
      <c r="G18" s="27">
        <f>G17*(Presion_cilindro!O9/Presion_cilindro!O10)^Presion_cilindro!$B$9+10*(Presion_cilindro!$B$9-1)*Presion_cilindro!$B$33*(IF(Presion_cilindro!N10&gt;(-G$4+Presion_cilindro!$B$34),1-EXP(-Presion_cilindro!$B$16*((Presion_cilindro!N10-(-G$4+Presion_cilindro!$B$34))/Presion_cilindro!$B$35)^(Presion_cilindro!$B$17+1)),0)-IF(Presion_cilindro!N9&gt;(-G$4+Presion_cilindro!$B$34),1-EXP(-Presion_cilindro!$B$16*((Presion_cilindro!N9-(-G$4+Presion_cilindro!$B$34))/Presion_cilindro!$B$35)^(Presion_cilindro!$B$17+1)),0))/((Presion_cilindro!O9+Presion_cilindro!O10)/2)</f>
        <v>0.72042215209010663</v>
      </c>
      <c r="H18" s="27">
        <f>H17*(Presion_cilindro!O9/Presion_cilindro!O10)^Presion_cilindro!$B$9+10*(Presion_cilindro!$B$9-1)*Presion_cilindro!$B$33*(IF(Presion_cilindro!N10&gt;(-H$4+Presion_cilindro!$B$34),1-EXP(-Presion_cilindro!$B$16*((Presion_cilindro!N10-(-H$4+Presion_cilindro!$B$34))/Presion_cilindro!$B$35)^(Presion_cilindro!$B$17+1)),0)-IF(Presion_cilindro!N9&gt;(-H$4+Presion_cilindro!$B$34),1-EXP(-Presion_cilindro!$B$16*((Presion_cilindro!N9-(-H$4+Presion_cilindro!$B$34))/Presion_cilindro!$B$35)^(Presion_cilindro!$B$17+1)),0))/((Presion_cilindro!O9+Presion_cilindro!O10)/2)</f>
        <v>0.72042215209010663</v>
      </c>
      <c r="I18" s="27">
        <f>I17*(Presion_cilindro!O9/Presion_cilindro!O10)^Presion_cilindro!$B$9+10*(Presion_cilindro!$B$9-1)*Presion_cilindro!$B$33*(IF(Presion_cilindro!N10&gt;(-I$4+Presion_cilindro!$B$34),1-EXP(-Presion_cilindro!$B$16*((Presion_cilindro!N10-(-I$4+Presion_cilindro!$B$34))/Presion_cilindro!$B$35)^(Presion_cilindro!$B$17+1)),0)-IF(Presion_cilindro!N9&gt;(-I$4+Presion_cilindro!$B$34),1-EXP(-Presion_cilindro!$B$16*((Presion_cilindro!N9-(-I$4+Presion_cilindro!$B$34))/Presion_cilindro!$B$35)^(Presion_cilindro!$B$17+1)),0))/((Presion_cilindro!O9+Presion_cilindro!O10)/2)</f>
        <v>0.72042215209010663</v>
      </c>
      <c r="J18" s="27">
        <f>J17*(Presion_cilindro!O9/Presion_cilindro!O10)^Presion_cilindro!$B$9+10*(Presion_cilindro!$B$9-1)*Presion_cilindro!$B$33*(IF(Presion_cilindro!N10&gt;(-J$4+Presion_cilindro!$B$34),1-EXP(-Presion_cilindro!$B$16*((Presion_cilindro!N10-(-J$4+Presion_cilindro!$B$34))/Presion_cilindro!$B$35)^(Presion_cilindro!$B$17+1)),0)-IF(Presion_cilindro!N9&gt;(-J$4+Presion_cilindro!$B$34),1-EXP(-Presion_cilindro!$B$16*((Presion_cilindro!N9-(-J$4+Presion_cilindro!$B$34))/Presion_cilindro!$B$35)^(Presion_cilindro!$B$17+1)),0))/((Presion_cilindro!O9+Presion_cilindro!O10)/2)</f>
        <v>0.72042215209010663</v>
      </c>
      <c r="K18" s="27">
        <f>K17*(Presion_cilindro!O9/Presion_cilindro!O10)^Presion_cilindro!$B$9+10*(Presion_cilindro!$B$9-1)*Presion_cilindro!$B$33*(IF(Presion_cilindro!N10&gt;(-K$4+Presion_cilindro!$B$34),1-EXP(-Presion_cilindro!$B$16*((Presion_cilindro!N10-(-K$4+Presion_cilindro!$B$34))/Presion_cilindro!$B$35)^(Presion_cilindro!$B$17+1)),0)-IF(Presion_cilindro!N9&gt;(-K$4+Presion_cilindro!$B$34),1-EXP(-Presion_cilindro!$B$16*((Presion_cilindro!N9-(-K$4+Presion_cilindro!$B$34))/Presion_cilindro!$B$35)^(Presion_cilindro!$B$17+1)),0))/((Presion_cilindro!O9+Presion_cilindro!O10)/2)</f>
        <v>0.72042215209010663</v>
      </c>
      <c r="L18" s="27">
        <f>L17*(Presion_cilindro!O9/Presion_cilindro!O10)^Presion_cilindro!$B$9+10*(Presion_cilindro!$B$9-1)*Presion_cilindro!$B$33*(IF(Presion_cilindro!N10&gt;(-L$4+Presion_cilindro!$B$34),1-EXP(-Presion_cilindro!$B$16*((Presion_cilindro!N10-(-L$4+Presion_cilindro!$B$34))/Presion_cilindro!$B$35)^(Presion_cilindro!$B$17+1)),0)-IF(Presion_cilindro!N9&gt;(-L$4+Presion_cilindro!$B$34),1-EXP(-Presion_cilindro!$B$16*((Presion_cilindro!N9-(-L$4+Presion_cilindro!$B$34))/Presion_cilindro!$B$35)^(Presion_cilindro!$B$17+1)),0))/((Presion_cilindro!O9+Presion_cilindro!O10)/2)</f>
        <v>0.72042215209010663</v>
      </c>
      <c r="M18" s="27">
        <f>M17*(Presion_cilindro!O9/Presion_cilindro!O10)^Presion_cilindro!$B$9+10*(Presion_cilindro!$B$9-1)*Presion_cilindro!$B$33*(IF(Presion_cilindro!N10&gt;(-M$4+Presion_cilindro!$B$34),1-EXP(-Presion_cilindro!$B$16*((Presion_cilindro!N10-(-M$4+Presion_cilindro!$B$34))/Presion_cilindro!$B$35)^(Presion_cilindro!$B$17+1)),0)-IF(Presion_cilindro!N9&gt;(-M$4+Presion_cilindro!$B$34),1-EXP(-Presion_cilindro!$B$16*((Presion_cilindro!N9-(-M$4+Presion_cilindro!$B$34))/Presion_cilindro!$B$35)^(Presion_cilindro!$B$17+1)),0))/((Presion_cilindro!O9+Presion_cilindro!O10)/2)</f>
        <v>0.72042215209010663</v>
      </c>
      <c r="N18" s="27">
        <f>N17*(Presion_cilindro!O9/Presion_cilindro!O10)^Presion_cilindro!$B$9+10*(Presion_cilindro!$B$9-1)*Presion_cilindro!$B$33*(IF(Presion_cilindro!N10&gt;(-N$4+Presion_cilindro!$B$34),1-EXP(-Presion_cilindro!$B$16*((Presion_cilindro!N10-(-N$4+Presion_cilindro!$B$34))/Presion_cilindro!$B$35)^(Presion_cilindro!$B$17+1)),0)-IF(Presion_cilindro!N9&gt;(-N$4+Presion_cilindro!$B$34),1-EXP(-Presion_cilindro!$B$16*((Presion_cilindro!N9-(-N$4+Presion_cilindro!$B$34))/Presion_cilindro!$B$35)^(Presion_cilindro!$B$17+1)),0))/((Presion_cilindro!O9+Presion_cilindro!O10)/2)</f>
        <v>0.72042215209010663</v>
      </c>
    </row>
    <row r="19" spans="1:14" x14ac:dyDescent="0.25">
      <c r="A19" s="21">
        <f>Presion_cilindro!N11</f>
        <v>-176.5</v>
      </c>
      <c r="B19" s="27">
        <f>B18*(Presion_cilindro!O10/Presion_cilindro!O11)^Presion_cilindro!$B$9+10*(Presion_cilindro!$B$9-1)*Presion_cilindro!$B$33*(IF(Presion_cilindro!N11&gt;(-B$4+Presion_cilindro!$B$34),1-EXP(-Presion_cilindro!$B$16*((Presion_cilindro!N11-(-B$4+Presion_cilindro!$B$34))/Presion_cilindro!$B$35)^(Presion_cilindro!$B$17+1)),0)-IF(Presion_cilindro!N10&gt;(-B$4+Presion_cilindro!$B$34),1-EXP(-Presion_cilindro!$B$16*((Presion_cilindro!N10-(-B$4+Presion_cilindro!$B$34))/Presion_cilindro!$B$35)^(Presion_cilindro!$B$17+1)),0))/((Presion_cilindro!O10+Presion_cilindro!O11)/2)</f>
        <v>0.7205747072879688</v>
      </c>
      <c r="C19" s="27">
        <f>C18*(Presion_cilindro!O10/Presion_cilindro!O11)^Presion_cilindro!$B$9+10*(Presion_cilindro!$B$9-1)*Presion_cilindro!$B$33*(IF(Presion_cilindro!N11&gt;(-C$4+Presion_cilindro!$B$34),1-EXP(-Presion_cilindro!$B$16*((Presion_cilindro!N11-(-C$4+Presion_cilindro!$B$34))/Presion_cilindro!$B$35)^(Presion_cilindro!$B$17+1)),0)-IF(Presion_cilindro!N10&gt;(-C$4+Presion_cilindro!$B$34),1-EXP(-Presion_cilindro!$B$16*((Presion_cilindro!N10-(-C$4+Presion_cilindro!$B$34))/Presion_cilindro!$B$35)^(Presion_cilindro!$B$17+1)),0))/((Presion_cilindro!O10+Presion_cilindro!O11)/2)</f>
        <v>0.7205747072879688</v>
      </c>
      <c r="D19" s="27">
        <f>D18*(Presion_cilindro!O10/Presion_cilindro!O11)^Presion_cilindro!$B$9+10*(Presion_cilindro!$B$9-1)*Presion_cilindro!$B$33*(IF(Presion_cilindro!N11&gt;(-D$4+Presion_cilindro!$B$34),1-EXP(-Presion_cilindro!$B$16*((Presion_cilindro!N11-(-D$4+Presion_cilindro!$B$34))/Presion_cilindro!$B$35)^(Presion_cilindro!$B$17+1)),0)-IF(Presion_cilindro!N10&gt;(-D$4+Presion_cilindro!$B$34),1-EXP(-Presion_cilindro!$B$16*((Presion_cilindro!N10-(-D$4+Presion_cilindro!$B$34))/Presion_cilindro!$B$35)^(Presion_cilindro!$B$17+1)),0))/((Presion_cilindro!O10+Presion_cilindro!O11)/2)</f>
        <v>0.7205747072879688</v>
      </c>
      <c r="E19" s="27">
        <f>E18*(Presion_cilindro!O10/Presion_cilindro!O11)^Presion_cilindro!$B$9+10*(Presion_cilindro!$B$9-1)*Presion_cilindro!$B$33*(IF(Presion_cilindro!N11&gt;(-E$4+Presion_cilindro!$B$34),1-EXP(-Presion_cilindro!$B$16*((Presion_cilindro!N11-(-E$4+Presion_cilindro!$B$34))/Presion_cilindro!$B$35)^(Presion_cilindro!$B$17+1)),0)-IF(Presion_cilindro!N10&gt;(-E$4+Presion_cilindro!$B$34),1-EXP(-Presion_cilindro!$B$16*((Presion_cilindro!N10-(-E$4+Presion_cilindro!$B$34))/Presion_cilindro!$B$35)^(Presion_cilindro!$B$17+1)),0))/((Presion_cilindro!O10+Presion_cilindro!O11)/2)</f>
        <v>0.7205747072879688</v>
      </c>
      <c r="F19" s="27">
        <f>F18*(Presion_cilindro!O10/Presion_cilindro!O11)^Presion_cilindro!$B$9+10*(Presion_cilindro!$B$9-1)*Presion_cilindro!$B$33*(IF(Presion_cilindro!N11&gt;(-F$4+Presion_cilindro!$B$34),1-EXP(-Presion_cilindro!$B$16*((Presion_cilindro!N11-(-F$4+Presion_cilindro!$B$34))/Presion_cilindro!$B$35)^(Presion_cilindro!$B$17+1)),0)-IF(Presion_cilindro!N10&gt;(-F$4+Presion_cilindro!$B$34),1-EXP(-Presion_cilindro!$B$16*((Presion_cilindro!N10-(-F$4+Presion_cilindro!$B$34))/Presion_cilindro!$B$35)^(Presion_cilindro!$B$17+1)),0))/((Presion_cilindro!O10+Presion_cilindro!O11)/2)</f>
        <v>0.7205747072879688</v>
      </c>
      <c r="G19" s="27">
        <f>G18*(Presion_cilindro!O10/Presion_cilindro!O11)^Presion_cilindro!$B$9+10*(Presion_cilindro!$B$9-1)*Presion_cilindro!$B$33*(IF(Presion_cilindro!N11&gt;(-G$4+Presion_cilindro!$B$34),1-EXP(-Presion_cilindro!$B$16*((Presion_cilindro!N11-(-G$4+Presion_cilindro!$B$34))/Presion_cilindro!$B$35)^(Presion_cilindro!$B$17+1)),0)-IF(Presion_cilindro!N10&gt;(-G$4+Presion_cilindro!$B$34),1-EXP(-Presion_cilindro!$B$16*((Presion_cilindro!N10-(-G$4+Presion_cilindro!$B$34))/Presion_cilindro!$B$35)^(Presion_cilindro!$B$17+1)),0))/((Presion_cilindro!O10+Presion_cilindro!O11)/2)</f>
        <v>0.7205747072879688</v>
      </c>
      <c r="H19" s="27">
        <f>H18*(Presion_cilindro!O10/Presion_cilindro!O11)^Presion_cilindro!$B$9+10*(Presion_cilindro!$B$9-1)*Presion_cilindro!$B$33*(IF(Presion_cilindro!N11&gt;(-H$4+Presion_cilindro!$B$34),1-EXP(-Presion_cilindro!$B$16*((Presion_cilindro!N11-(-H$4+Presion_cilindro!$B$34))/Presion_cilindro!$B$35)^(Presion_cilindro!$B$17+1)),0)-IF(Presion_cilindro!N10&gt;(-H$4+Presion_cilindro!$B$34),1-EXP(-Presion_cilindro!$B$16*((Presion_cilindro!N10-(-H$4+Presion_cilindro!$B$34))/Presion_cilindro!$B$35)^(Presion_cilindro!$B$17+1)),0))/((Presion_cilindro!O10+Presion_cilindro!O11)/2)</f>
        <v>0.7205747072879688</v>
      </c>
      <c r="I19" s="27">
        <f>I18*(Presion_cilindro!O10/Presion_cilindro!O11)^Presion_cilindro!$B$9+10*(Presion_cilindro!$B$9-1)*Presion_cilindro!$B$33*(IF(Presion_cilindro!N11&gt;(-I$4+Presion_cilindro!$B$34),1-EXP(-Presion_cilindro!$B$16*((Presion_cilindro!N11-(-I$4+Presion_cilindro!$B$34))/Presion_cilindro!$B$35)^(Presion_cilindro!$B$17+1)),0)-IF(Presion_cilindro!N10&gt;(-I$4+Presion_cilindro!$B$34),1-EXP(-Presion_cilindro!$B$16*((Presion_cilindro!N10-(-I$4+Presion_cilindro!$B$34))/Presion_cilindro!$B$35)^(Presion_cilindro!$B$17+1)),0))/((Presion_cilindro!O10+Presion_cilindro!O11)/2)</f>
        <v>0.7205747072879688</v>
      </c>
      <c r="J19" s="27">
        <f>J18*(Presion_cilindro!O10/Presion_cilindro!O11)^Presion_cilindro!$B$9+10*(Presion_cilindro!$B$9-1)*Presion_cilindro!$B$33*(IF(Presion_cilindro!N11&gt;(-J$4+Presion_cilindro!$B$34),1-EXP(-Presion_cilindro!$B$16*((Presion_cilindro!N11-(-J$4+Presion_cilindro!$B$34))/Presion_cilindro!$B$35)^(Presion_cilindro!$B$17+1)),0)-IF(Presion_cilindro!N10&gt;(-J$4+Presion_cilindro!$B$34),1-EXP(-Presion_cilindro!$B$16*((Presion_cilindro!N10-(-J$4+Presion_cilindro!$B$34))/Presion_cilindro!$B$35)^(Presion_cilindro!$B$17+1)),0))/((Presion_cilindro!O10+Presion_cilindro!O11)/2)</f>
        <v>0.7205747072879688</v>
      </c>
      <c r="K19" s="27">
        <f>K18*(Presion_cilindro!O10/Presion_cilindro!O11)^Presion_cilindro!$B$9+10*(Presion_cilindro!$B$9-1)*Presion_cilindro!$B$33*(IF(Presion_cilindro!N11&gt;(-K$4+Presion_cilindro!$B$34),1-EXP(-Presion_cilindro!$B$16*((Presion_cilindro!N11-(-K$4+Presion_cilindro!$B$34))/Presion_cilindro!$B$35)^(Presion_cilindro!$B$17+1)),0)-IF(Presion_cilindro!N10&gt;(-K$4+Presion_cilindro!$B$34),1-EXP(-Presion_cilindro!$B$16*((Presion_cilindro!N10-(-K$4+Presion_cilindro!$B$34))/Presion_cilindro!$B$35)^(Presion_cilindro!$B$17+1)),0))/((Presion_cilindro!O10+Presion_cilindro!O11)/2)</f>
        <v>0.7205747072879688</v>
      </c>
      <c r="L19" s="27">
        <f>L18*(Presion_cilindro!O10/Presion_cilindro!O11)^Presion_cilindro!$B$9+10*(Presion_cilindro!$B$9-1)*Presion_cilindro!$B$33*(IF(Presion_cilindro!N11&gt;(-L$4+Presion_cilindro!$B$34),1-EXP(-Presion_cilindro!$B$16*((Presion_cilindro!N11-(-L$4+Presion_cilindro!$B$34))/Presion_cilindro!$B$35)^(Presion_cilindro!$B$17+1)),0)-IF(Presion_cilindro!N10&gt;(-L$4+Presion_cilindro!$B$34),1-EXP(-Presion_cilindro!$B$16*((Presion_cilindro!N10-(-L$4+Presion_cilindro!$B$34))/Presion_cilindro!$B$35)^(Presion_cilindro!$B$17+1)),0))/((Presion_cilindro!O10+Presion_cilindro!O11)/2)</f>
        <v>0.7205747072879688</v>
      </c>
      <c r="M19" s="27">
        <f>M18*(Presion_cilindro!O10/Presion_cilindro!O11)^Presion_cilindro!$B$9+10*(Presion_cilindro!$B$9-1)*Presion_cilindro!$B$33*(IF(Presion_cilindro!N11&gt;(-M$4+Presion_cilindro!$B$34),1-EXP(-Presion_cilindro!$B$16*((Presion_cilindro!N11-(-M$4+Presion_cilindro!$B$34))/Presion_cilindro!$B$35)^(Presion_cilindro!$B$17+1)),0)-IF(Presion_cilindro!N10&gt;(-M$4+Presion_cilindro!$B$34),1-EXP(-Presion_cilindro!$B$16*((Presion_cilindro!N10-(-M$4+Presion_cilindro!$B$34))/Presion_cilindro!$B$35)^(Presion_cilindro!$B$17+1)),0))/((Presion_cilindro!O10+Presion_cilindro!O11)/2)</f>
        <v>0.7205747072879688</v>
      </c>
      <c r="N19" s="27">
        <f>N18*(Presion_cilindro!O10/Presion_cilindro!O11)^Presion_cilindro!$B$9+10*(Presion_cilindro!$B$9-1)*Presion_cilindro!$B$33*(IF(Presion_cilindro!N11&gt;(-N$4+Presion_cilindro!$B$34),1-EXP(-Presion_cilindro!$B$16*((Presion_cilindro!N11-(-N$4+Presion_cilindro!$B$34))/Presion_cilindro!$B$35)^(Presion_cilindro!$B$17+1)),0)-IF(Presion_cilindro!N10&gt;(-N$4+Presion_cilindro!$B$34),1-EXP(-Presion_cilindro!$B$16*((Presion_cilindro!N10-(-N$4+Presion_cilindro!$B$34))/Presion_cilindro!$B$35)^(Presion_cilindro!$B$17+1)),0))/((Presion_cilindro!O10+Presion_cilindro!O11)/2)</f>
        <v>0.7205747072879688</v>
      </c>
    </row>
    <row r="20" spans="1:14" x14ac:dyDescent="0.25">
      <c r="A20" s="21">
        <f>Presion_cilindro!N12</f>
        <v>-176</v>
      </c>
      <c r="B20" s="27">
        <f>B19*(Presion_cilindro!O11/Presion_cilindro!O12)^Presion_cilindro!$B$9+10*(Presion_cilindro!$B$9-1)*Presion_cilindro!$B$33*(IF(Presion_cilindro!N12&gt;(-B$4+Presion_cilindro!$B$34),1-EXP(-Presion_cilindro!$B$16*((Presion_cilindro!N12-(-B$4+Presion_cilindro!$B$34))/Presion_cilindro!$B$35)^(Presion_cilindro!$B$17+1)),0)-IF(Presion_cilindro!N11&gt;(-B$4+Presion_cilindro!$B$34),1-EXP(-Presion_cilindro!$B$16*((Presion_cilindro!N11-(-B$4+Presion_cilindro!$B$34))/Presion_cilindro!$B$35)^(Presion_cilindro!$B$17+1)),0))/((Presion_cilindro!O11+Presion_cilindro!O12)/2)</f>
        <v>0.72075080600947805</v>
      </c>
      <c r="C20" s="27">
        <f>C19*(Presion_cilindro!O11/Presion_cilindro!O12)^Presion_cilindro!$B$9+10*(Presion_cilindro!$B$9-1)*Presion_cilindro!$B$33*(IF(Presion_cilindro!N12&gt;(-C$4+Presion_cilindro!$B$34),1-EXP(-Presion_cilindro!$B$16*((Presion_cilindro!N12-(-C$4+Presion_cilindro!$B$34))/Presion_cilindro!$B$35)^(Presion_cilindro!$B$17+1)),0)-IF(Presion_cilindro!N11&gt;(-C$4+Presion_cilindro!$B$34),1-EXP(-Presion_cilindro!$B$16*((Presion_cilindro!N11-(-C$4+Presion_cilindro!$B$34))/Presion_cilindro!$B$35)^(Presion_cilindro!$B$17+1)),0))/((Presion_cilindro!O11+Presion_cilindro!O12)/2)</f>
        <v>0.72075080600947805</v>
      </c>
      <c r="D20" s="27">
        <f>D19*(Presion_cilindro!O11/Presion_cilindro!O12)^Presion_cilindro!$B$9+10*(Presion_cilindro!$B$9-1)*Presion_cilindro!$B$33*(IF(Presion_cilindro!N12&gt;(-D$4+Presion_cilindro!$B$34),1-EXP(-Presion_cilindro!$B$16*((Presion_cilindro!N12-(-D$4+Presion_cilindro!$B$34))/Presion_cilindro!$B$35)^(Presion_cilindro!$B$17+1)),0)-IF(Presion_cilindro!N11&gt;(-D$4+Presion_cilindro!$B$34),1-EXP(-Presion_cilindro!$B$16*((Presion_cilindro!N11-(-D$4+Presion_cilindro!$B$34))/Presion_cilindro!$B$35)^(Presion_cilindro!$B$17+1)),0))/((Presion_cilindro!O11+Presion_cilindro!O12)/2)</f>
        <v>0.72075080600947805</v>
      </c>
      <c r="E20" s="27">
        <f>E19*(Presion_cilindro!O11/Presion_cilindro!O12)^Presion_cilindro!$B$9+10*(Presion_cilindro!$B$9-1)*Presion_cilindro!$B$33*(IF(Presion_cilindro!N12&gt;(-E$4+Presion_cilindro!$B$34),1-EXP(-Presion_cilindro!$B$16*((Presion_cilindro!N12-(-E$4+Presion_cilindro!$B$34))/Presion_cilindro!$B$35)^(Presion_cilindro!$B$17+1)),0)-IF(Presion_cilindro!N11&gt;(-E$4+Presion_cilindro!$B$34),1-EXP(-Presion_cilindro!$B$16*((Presion_cilindro!N11-(-E$4+Presion_cilindro!$B$34))/Presion_cilindro!$B$35)^(Presion_cilindro!$B$17+1)),0))/((Presion_cilindro!O11+Presion_cilindro!O12)/2)</f>
        <v>0.72075080600947805</v>
      </c>
      <c r="F20" s="27">
        <f>F19*(Presion_cilindro!O11/Presion_cilindro!O12)^Presion_cilindro!$B$9+10*(Presion_cilindro!$B$9-1)*Presion_cilindro!$B$33*(IF(Presion_cilindro!N12&gt;(-F$4+Presion_cilindro!$B$34),1-EXP(-Presion_cilindro!$B$16*((Presion_cilindro!N12-(-F$4+Presion_cilindro!$B$34))/Presion_cilindro!$B$35)^(Presion_cilindro!$B$17+1)),0)-IF(Presion_cilindro!N11&gt;(-F$4+Presion_cilindro!$B$34),1-EXP(-Presion_cilindro!$B$16*((Presion_cilindro!N11-(-F$4+Presion_cilindro!$B$34))/Presion_cilindro!$B$35)^(Presion_cilindro!$B$17+1)),0))/((Presion_cilindro!O11+Presion_cilindro!O12)/2)</f>
        <v>0.72075080600947805</v>
      </c>
      <c r="G20" s="27">
        <f>G19*(Presion_cilindro!O11/Presion_cilindro!O12)^Presion_cilindro!$B$9+10*(Presion_cilindro!$B$9-1)*Presion_cilindro!$B$33*(IF(Presion_cilindro!N12&gt;(-G$4+Presion_cilindro!$B$34),1-EXP(-Presion_cilindro!$B$16*((Presion_cilindro!N12-(-G$4+Presion_cilindro!$B$34))/Presion_cilindro!$B$35)^(Presion_cilindro!$B$17+1)),0)-IF(Presion_cilindro!N11&gt;(-G$4+Presion_cilindro!$B$34),1-EXP(-Presion_cilindro!$B$16*((Presion_cilindro!N11-(-G$4+Presion_cilindro!$B$34))/Presion_cilindro!$B$35)^(Presion_cilindro!$B$17+1)),0))/((Presion_cilindro!O11+Presion_cilindro!O12)/2)</f>
        <v>0.72075080600947805</v>
      </c>
      <c r="H20" s="27">
        <f>H19*(Presion_cilindro!O11/Presion_cilindro!O12)^Presion_cilindro!$B$9+10*(Presion_cilindro!$B$9-1)*Presion_cilindro!$B$33*(IF(Presion_cilindro!N12&gt;(-H$4+Presion_cilindro!$B$34),1-EXP(-Presion_cilindro!$B$16*((Presion_cilindro!N12-(-H$4+Presion_cilindro!$B$34))/Presion_cilindro!$B$35)^(Presion_cilindro!$B$17+1)),0)-IF(Presion_cilindro!N11&gt;(-H$4+Presion_cilindro!$B$34),1-EXP(-Presion_cilindro!$B$16*((Presion_cilindro!N11-(-H$4+Presion_cilindro!$B$34))/Presion_cilindro!$B$35)^(Presion_cilindro!$B$17+1)),0))/((Presion_cilindro!O11+Presion_cilindro!O12)/2)</f>
        <v>0.72075080600947805</v>
      </c>
      <c r="I20" s="27">
        <f>I19*(Presion_cilindro!O11/Presion_cilindro!O12)^Presion_cilindro!$B$9+10*(Presion_cilindro!$B$9-1)*Presion_cilindro!$B$33*(IF(Presion_cilindro!N12&gt;(-I$4+Presion_cilindro!$B$34),1-EXP(-Presion_cilindro!$B$16*((Presion_cilindro!N12-(-I$4+Presion_cilindro!$B$34))/Presion_cilindro!$B$35)^(Presion_cilindro!$B$17+1)),0)-IF(Presion_cilindro!N11&gt;(-I$4+Presion_cilindro!$B$34),1-EXP(-Presion_cilindro!$B$16*((Presion_cilindro!N11-(-I$4+Presion_cilindro!$B$34))/Presion_cilindro!$B$35)^(Presion_cilindro!$B$17+1)),0))/((Presion_cilindro!O11+Presion_cilindro!O12)/2)</f>
        <v>0.72075080600947805</v>
      </c>
      <c r="J20" s="27">
        <f>J19*(Presion_cilindro!O11/Presion_cilindro!O12)^Presion_cilindro!$B$9+10*(Presion_cilindro!$B$9-1)*Presion_cilindro!$B$33*(IF(Presion_cilindro!N12&gt;(-J$4+Presion_cilindro!$B$34),1-EXP(-Presion_cilindro!$B$16*((Presion_cilindro!N12-(-J$4+Presion_cilindro!$B$34))/Presion_cilindro!$B$35)^(Presion_cilindro!$B$17+1)),0)-IF(Presion_cilindro!N11&gt;(-J$4+Presion_cilindro!$B$34),1-EXP(-Presion_cilindro!$B$16*((Presion_cilindro!N11-(-J$4+Presion_cilindro!$B$34))/Presion_cilindro!$B$35)^(Presion_cilindro!$B$17+1)),0))/((Presion_cilindro!O11+Presion_cilindro!O12)/2)</f>
        <v>0.72075080600947805</v>
      </c>
      <c r="K20" s="27">
        <f>K19*(Presion_cilindro!O11/Presion_cilindro!O12)^Presion_cilindro!$B$9+10*(Presion_cilindro!$B$9-1)*Presion_cilindro!$B$33*(IF(Presion_cilindro!N12&gt;(-K$4+Presion_cilindro!$B$34),1-EXP(-Presion_cilindro!$B$16*((Presion_cilindro!N12-(-K$4+Presion_cilindro!$B$34))/Presion_cilindro!$B$35)^(Presion_cilindro!$B$17+1)),0)-IF(Presion_cilindro!N11&gt;(-K$4+Presion_cilindro!$B$34),1-EXP(-Presion_cilindro!$B$16*((Presion_cilindro!N11-(-K$4+Presion_cilindro!$B$34))/Presion_cilindro!$B$35)^(Presion_cilindro!$B$17+1)),0))/((Presion_cilindro!O11+Presion_cilindro!O12)/2)</f>
        <v>0.72075080600947805</v>
      </c>
      <c r="L20" s="27">
        <f>L19*(Presion_cilindro!O11/Presion_cilindro!O12)^Presion_cilindro!$B$9+10*(Presion_cilindro!$B$9-1)*Presion_cilindro!$B$33*(IF(Presion_cilindro!N12&gt;(-L$4+Presion_cilindro!$B$34),1-EXP(-Presion_cilindro!$B$16*((Presion_cilindro!N12-(-L$4+Presion_cilindro!$B$34))/Presion_cilindro!$B$35)^(Presion_cilindro!$B$17+1)),0)-IF(Presion_cilindro!N11&gt;(-L$4+Presion_cilindro!$B$34),1-EXP(-Presion_cilindro!$B$16*((Presion_cilindro!N11-(-L$4+Presion_cilindro!$B$34))/Presion_cilindro!$B$35)^(Presion_cilindro!$B$17+1)),0))/((Presion_cilindro!O11+Presion_cilindro!O12)/2)</f>
        <v>0.72075080600947805</v>
      </c>
      <c r="M20" s="27">
        <f>M19*(Presion_cilindro!O11/Presion_cilindro!O12)^Presion_cilindro!$B$9+10*(Presion_cilindro!$B$9-1)*Presion_cilindro!$B$33*(IF(Presion_cilindro!N12&gt;(-M$4+Presion_cilindro!$B$34),1-EXP(-Presion_cilindro!$B$16*((Presion_cilindro!N12-(-M$4+Presion_cilindro!$B$34))/Presion_cilindro!$B$35)^(Presion_cilindro!$B$17+1)),0)-IF(Presion_cilindro!N11&gt;(-M$4+Presion_cilindro!$B$34),1-EXP(-Presion_cilindro!$B$16*((Presion_cilindro!N11-(-M$4+Presion_cilindro!$B$34))/Presion_cilindro!$B$35)^(Presion_cilindro!$B$17+1)),0))/((Presion_cilindro!O11+Presion_cilindro!O12)/2)</f>
        <v>0.72075080600947805</v>
      </c>
      <c r="N20" s="27">
        <f>N19*(Presion_cilindro!O11/Presion_cilindro!O12)^Presion_cilindro!$B$9+10*(Presion_cilindro!$B$9-1)*Presion_cilindro!$B$33*(IF(Presion_cilindro!N12&gt;(-N$4+Presion_cilindro!$B$34),1-EXP(-Presion_cilindro!$B$16*((Presion_cilindro!N12-(-N$4+Presion_cilindro!$B$34))/Presion_cilindro!$B$35)^(Presion_cilindro!$B$17+1)),0)-IF(Presion_cilindro!N11&gt;(-N$4+Presion_cilindro!$B$34),1-EXP(-Presion_cilindro!$B$16*((Presion_cilindro!N11-(-N$4+Presion_cilindro!$B$34))/Presion_cilindro!$B$35)^(Presion_cilindro!$B$17+1)),0))/((Presion_cilindro!O11+Presion_cilindro!O12)/2)</f>
        <v>0.72075080600947805</v>
      </c>
    </row>
    <row r="21" spans="1:14" x14ac:dyDescent="0.25">
      <c r="A21" s="21">
        <f>Presion_cilindro!N13</f>
        <v>-175.5</v>
      </c>
      <c r="B21" s="27">
        <f>B20*(Presion_cilindro!O12/Presion_cilindro!O13)^Presion_cilindro!$B$9+10*(Presion_cilindro!$B$9-1)*Presion_cilindro!$B$33*(IF(Presion_cilindro!N13&gt;(-B$4+Presion_cilindro!$B$34),1-EXP(-Presion_cilindro!$B$16*((Presion_cilindro!N13-(-B$4+Presion_cilindro!$B$34))/Presion_cilindro!$B$35)^(Presion_cilindro!$B$17+1)),0)-IF(Presion_cilindro!N12&gt;(-B$4+Presion_cilindro!$B$34),1-EXP(-Presion_cilindro!$B$16*((Presion_cilindro!N12-(-B$4+Presion_cilindro!$B$34))/Presion_cilindro!$B$35)^(Presion_cilindro!$B$17+1)),0))/((Presion_cilindro!O12+Presion_cilindro!O13)/2)</f>
        <v>0.72095047979808546</v>
      </c>
      <c r="C21" s="27">
        <f>C20*(Presion_cilindro!O12/Presion_cilindro!O13)^Presion_cilindro!$B$9+10*(Presion_cilindro!$B$9-1)*Presion_cilindro!$B$33*(IF(Presion_cilindro!N13&gt;(-C$4+Presion_cilindro!$B$34),1-EXP(-Presion_cilindro!$B$16*((Presion_cilindro!N13-(-C$4+Presion_cilindro!$B$34))/Presion_cilindro!$B$35)^(Presion_cilindro!$B$17+1)),0)-IF(Presion_cilindro!N12&gt;(-C$4+Presion_cilindro!$B$34),1-EXP(-Presion_cilindro!$B$16*((Presion_cilindro!N12-(-C$4+Presion_cilindro!$B$34))/Presion_cilindro!$B$35)^(Presion_cilindro!$B$17+1)),0))/((Presion_cilindro!O12+Presion_cilindro!O13)/2)</f>
        <v>0.72095047979808546</v>
      </c>
      <c r="D21" s="27">
        <f>D20*(Presion_cilindro!O12/Presion_cilindro!O13)^Presion_cilindro!$B$9+10*(Presion_cilindro!$B$9-1)*Presion_cilindro!$B$33*(IF(Presion_cilindro!N13&gt;(-D$4+Presion_cilindro!$B$34),1-EXP(-Presion_cilindro!$B$16*((Presion_cilindro!N13-(-D$4+Presion_cilindro!$B$34))/Presion_cilindro!$B$35)^(Presion_cilindro!$B$17+1)),0)-IF(Presion_cilindro!N12&gt;(-D$4+Presion_cilindro!$B$34),1-EXP(-Presion_cilindro!$B$16*((Presion_cilindro!N12-(-D$4+Presion_cilindro!$B$34))/Presion_cilindro!$B$35)^(Presion_cilindro!$B$17+1)),0))/((Presion_cilindro!O12+Presion_cilindro!O13)/2)</f>
        <v>0.72095047979808546</v>
      </c>
      <c r="E21" s="27">
        <f>E20*(Presion_cilindro!O12/Presion_cilindro!O13)^Presion_cilindro!$B$9+10*(Presion_cilindro!$B$9-1)*Presion_cilindro!$B$33*(IF(Presion_cilindro!N13&gt;(-E$4+Presion_cilindro!$B$34),1-EXP(-Presion_cilindro!$B$16*((Presion_cilindro!N13-(-E$4+Presion_cilindro!$B$34))/Presion_cilindro!$B$35)^(Presion_cilindro!$B$17+1)),0)-IF(Presion_cilindro!N12&gt;(-E$4+Presion_cilindro!$B$34),1-EXP(-Presion_cilindro!$B$16*((Presion_cilindro!N12-(-E$4+Presion_cilindro!$B$34))/Presion_cilindro!$B$35)^(Presion_cilindro!$B$17+1)),0))/((Presion_cilindro!O12+Presion_cilindro!O13)/2)</f>
        <v>0.72095047979808546</v>
      </c>
      <c r="F21" s="27">
        <f>F20*(Presion_cilindro!O12/Presion_cilindro!O13)^Presion_cilindro!$B$9+10*(Presion_cilindro!$B$9-1)*Presion_cilindro!$B$33*(IF(Presion_cilindro!N13&gt;(-F$4+Presion_cilindro!$B$34),1-EXP(-Presion_cilindro!$B$16*((Presion_cilindro!N13-(-F$4+Presion_cilindro!$B$34))/Presion_cilindro!$B$35)^(Presion_cilindro!$B$17+1)),0)-IF(Presion_cilindro!N12&gt;(-F$4+Presion_cilindro!$B$34),1-EXP(-Presion_cilindro!$B$16*((Presion_cilindro!N12-(-F$4+Presion_cilindro!$B$34))/Presion_cilindro!$B$35)^(Presion_cilindro!$B$17+1)),0))/((Presion_cilindro!O12+Presion_cilindro!O13)/2)</f>
        <v>0.72095047979808546</v>
      </c>
      <c r="G21" s="27">
        <f>G20*(Presion_cilindro!O12/Presion_cilindro!O13)^Presion_cilindro!$B$9+10*(Presion_cilindro!$B$9-1)*Presion_cilindro!$B$33*(IF(Presion_cilindro!N13&gt;(-G$4+Presion_cilindro!$B$34),1-EXP(-Presion_cilindro!$B$16*((Presion_cilindro!N13-(-G$4+Presion_cilindro!$B$34))/Presion_cilindro!$B$35)^(Presion_cilindro!$B$17+1)),0)-IF(Presion_cilindro!N12&gt;(-G$4+Presion_cilindro!$B$34),1-EXP(-Presion_cilindro!$B$16*((Presion_cilindro!N12-(-G$4+Presion_cilindro!$B$34))/Presion_cilindro!$B$35)^(Presion_cilindro!$B$17+1)),0))/((Presion_cilindro!O12+Presion_cilindro!O13)/2)</f>
        <v>0.72095047979808546</v>
      </c>
      <c r="H21" s="27">
        <f>H20*(Presion_cilindro!O12/Presion_cilindro!O13)^Presion_cilindro!$B$9+10*(Presion_cilindro!$B$9-1)*Presion_cilindro!$B$33*(IF(Presion_cilindro!N13&gt;(-H$4+Presion_cilindro!$B$34),1-EXP(-Presion_cilindro!$B$16*((Presion_cilindro!N13-(-H$4+Presion_cilindro!$B$34))/Presion_cilindro!$B$35)^(Presion_cilindro!$B$17+1)),0)-IF(Presion_cilindro!N12&gt;(-H$4+Presion_cilindro!$B$34),1-EXP(-Presion_cilindro!$B$16*((Presion_cilindro!N12-(-H$4+Presion_cilindro!$B$34))/Presion_cilindro!$B$35)^(Presion_cilindro!$B$17+1)),0))/((Presion_cilindro!O12+Presion_cilindro!O13)/2)</f>
        <v>0.72095047979808546</v>
      </c>
      <c r="I21" s="27">
        <f>I20*(Presion_cilindro!O12/Presion_cilindro!O13)^Presion_cilindro!$B$9+10*(Presion_cilindro!$B$9-1)*Presion_cilindro!$B$33*(IF(Presion_cilindro!N13&gt;(-I$4+Presion_cilindro!$B$34),1-EXP(-Presion_cilindro!$B$16*((Presion_cilindro!N13-(-I$4+Presion_cilindro!$B$34))/Presion_cilindro!$B$35)^(Presion_cilindro!$B$17+1)),0)-IF(Presion_cilindro!N12&gt;(-I$4+Presion_cilindro!$B$34),1-EXP(-Presion_cilindro!$B$16*((Presion_cilindro!N12-(-I$4+Presion_cilindro!$B$34))/Presion_cilindro!$B$35)^(Presion_cilindro!$B$17+1)),0))/((Presion_cilindro!O12+Presion_cilindro!O13)/2)</f>
        <v>0.72095047979808546</v>
      </c>
      <c r="J21" s="27">
        <f>J20*(Presion_cilindro!O12/Presion_cilindro!O13)^Presion_cilindro!$B$9+10*(Presion_cilindro!$B$9-1)*Presion_cilindro!$B$33*(IF(Presion_cilindro!N13&gt;(-J$4+Presion_cilindro!$B$34),1-EXP(-Presion_cilindro!$B$16*((Presion_cilindro!N13-(-J$4+Presion_cilindro!$B$34))/Presion_cilindro!$B$35)^(Presion_cilindro!$B$17+1)),0)-IF(Presion_cilindro!N12&gt;(-J$4+Presion_cilindro!$B$34),1-EXP(-Presion_cilindro!$B$16*((Presion_cilindro!N12-(-J$4+Presion_cilindro!$B$34))/Presion_cilindro!$B$35)^(Presion_cilindro!$B$17+1)),0))/((Presion_cilindro!O12+Presion_cilindro!O13)/2)</f>
        <v>0.72095047979808546</v>
      </c>
      <c r="K21" s="27">
        <f>K20*(Presion_cilindro!O12/Presion_cilindro!O13)^Presion_cilindro!$B$9+10*(Presion_cilindro!$B$9-1)*Presion_cilindro!$B$33*(IF(Presion_cilindro!N13&gt;(-K$4+Presion_cilindro!$B$34),1-EXP(-Presion_cilindro!$B$16*((Presion_cilindro!N13-(-K$4+Presion_cilindro!$B$34))/Presion_cilindro!$B$35)^(Presion_cilindro!$B$17+1)),0)-IF(Presion_cilindro!N12&gt;(-K$4+Presion_cilindro!$B$34),1-EXP(-Presion_cilindro!$B$16*((Presion_cilindro!N12-(-K$4+Presion_cilindro!$B$34))/Presion_cilindro!$B$35)^(Presion_cilindro!$B$17+1)),0))/((Presion_cilindro!O12+Presion_cilindro!O13)/2)</f>
        <v>0.72095047979808546</v>
      </c>
      <c r="L21" s="27">
        <f>L20*(Presion_cilindro!O12/Presion_cilindro!O13)^Presion_cilindro!$B$9+10*(Presion_cilindro!$B$9-1)*Presion_cilindro!$B$33*(IF(Presion_cilindro!N13&gt;(-L$4+Presion_cilindro!$B$34),1-EXP(-Presion_cilindro!$B$16*((Presion_cilindro!N13-(-L$4+Presion_cilindro!$B$34))/Presion_cilindro!$B$35)^(Presion_cilindro!$B$17+1)),0)-IF(Presion_cilindro!N12&gt;(-L$4+Presion_cilindro!$B$34),1-EXP(-Presion_cilindro!$B$16*((Presion_cilindro!N12-(-L$4+Presion_cilindro!$B$34))/Presion_cilindro!$B$35)^(Presion_cilindro!$B$17+1)),0))/((Presion_cilindro!O12+Presion_cilindro!O13)/2)</f>
        <v>0.72095047979808546</v>
      </c>
      <c r="M21" s="27">
        <f>M20*(Presion_cilindro!O12/Presion_cilindro!O13)^Presion_cilindro!$B$9+10*(Presion_cilindro!$B$9-1)*Presion_cilindro!$B$33*(IF(Presion_cilindro!N13&gt;(-M$4+Presion_cilindro!$B$34),1-EXP(-Presion_cilindro!$B$16*((Presion_cilindro!N13-(-M$4+Presion_cilindro!$B$34))/Presion_cilindro!$B$35)^(Presion_cilindro!$B$17+1)),0)-IF(Presion_cilindro!N12&gt;(-M$4+Presion_cilindro!$B$34),1-EXP(-Presion_cilindro!$B$16*((Presion_cilindro!N12-(-M$4+Presion_cilindro!$B$34))/Presion_cilindro!$B$35)^(Presion_cilindro!$B$17+1)),0))/((Presion_cilindro!O12+Presion_cilindro!O13)/2)</f>
        <v>0.72095047979808546</v>
      </c>
      <c r="N21" s="27">
        <f>N20*(Presion_cilindro!O12/Presion_cilindro!O13)^Presion_cilindro!$B$9+10*(Presion_cilindro!$B$9-1)*Presion_cilindro!$B$33*(IF(Presion_cilindro!N13&gt;(-N$4+Presion_cilindro!$B$34),1-EXP(-Presion_cilindro!$B$16*((Presion_cilindro!N13-(-N$4+Presion_cilindro!$B$34))/Presion_cilindro!$B$35)^(Presion_cilindro!$B$17+1)),0)-IF(Presion_cilindro!N12&gt;(-N$4+Presion_cilindro!$B$34),1-EXP(-Presion_cilindro!$B$16*((Presion_cilindro!N12-(-N$4+Presion_cilindro!$B$34))/Presion_cilindro!$B$35)^(Presion_cilindro!$B$17+1)),0))/((Presion_cilindro!O12+Presion_cilindro!O13)/2)</f>
        <v>0.72095047979808546</v>
      </c>
    </row>
    <row r="22" spans="1:14" x14ac:dyDescent="0.25">
      <c r="A22" s="21">
        <f>Presion_cilindro!N14</f>
        <v>-175</v>
      </c>
      <c r="B22" s="27">
        <f>B21*(Presion_cilindro!O13/Presion_cilindro!O14)^Presion_cilindro!$B$9+10*(Presion_cilindro!$B$9-1)*Presion_cilindro!$B$33*(IF(Presion_cilindro!N14&gt;(-B$4+Presion_cilindro!$B$34),1-EXP(-Presion_cilindro!$B$16*((Presion_cilindro!N14-(-B$4+Presion_cilindro!$B$34))/Presion_cilindro!$B$35)^(Presion_cilindro!$B$17+1)),0)-IF(Presion_cilindro!N13&gt;(-B$4+Presion_cilindro!$B$34),1-EXP(-Presion_cilindro!$B$16*((Presion_cilindro!N13-(-B$4+Presion_cilindro!$B$34))/Presion_cilindro!$B$35)^(Presion_cilindro!$B$17+1)),0))/((Presion_cilindro!O13+Presion_cilindro!O14)/2)</f>
        <v>0.7211737644339794</v>
      </c>
      <c r="C22" s="27">
        <f>C21*(Presion_cilindro!O13/Presion_cilindro!O14)^Presion_cilindro!$B$9+10*(Presion_cilindro!$B$9-1)*Presion_cilindro!$B$33*(IF(Presion_cilindro!N14&gt;(-C$4+Presion_cilindro!$B$34),1-EXP(-Presion_cilindro!$B$16*((Presion_cilindro!N14-(-C$4+Presion_cilindro!$B$34))/Presion_cilindro!$B$35)^(Presion_cilindro!$B$17+1)),0)-IF(Presion_cilindro!N13&gt;(-C$4+Presion_cilindro!$B$34),1-EXP(-Presion_cilindro!$B$16*((Presion_cilindro!N13-(-C$4+Presion_cilindro!$B$34))/Presion_cilindro!$B$35)^(Presion_cilindro!$B$17+1)),0))/((Presion_cilindro!O13+Presion_cilindro!O14)/2)</f>
        <v>0.7211737644339794</v>
      </c>
      <c r="D22" s="27">
        <f>D21*(Presion_cilindro!O13/Presion_cilindro!O14)^Presion_cilindro!$B$9+10*(Presion_cilindro!$B$9-1)*Presion_cilindro!$B$33*(IF(Presion_cilindro!N14&gt;(-D$4+Presion_cilindro!$B$34),1-EXP(-Presion_cilindro!$B$16*((Presion_cilindro!N14-(-D$4+Presion_cilindro!$B$34))/Presion_cilindro!$B$35)^(Presion_cilindro!$B$17+1)),0)-IF(Presion_cilindro!N13&gt;(-D$4+Presion_cilindro!$B$34),1-EXP(-Presion_cilindro!$B$16*((Presion_cilindro!N13-(-D$4+Presion_cilindro!$B$34))/Presion_cilindro!$B$35)^(Presion_cilindro!$B$17+1)),0))/((Presion_cilindro!O13+Presion_cilindro!O14)/2)</f>
        <v>0.7211737644339794</v>
      </c>
      <c r="E22" s="27">
        <f>E21*(Presion_cilindro!O13/Presion_cilindro!O14)^Presion_cilindro!$B$9+10*(Presion_cilindro!$B$9-1)*Presion_cilindro!$B$33*(IF(Presion_cilindro!N14&gt;(-E$4+Presion_cilindro!$B$34),1-EXP(-Presion_cilindro!$B$16*((Presion_cilindro!N14-(-E$4+Presion_cilindro!$B$34))/Presion_cilindro!$B$35)^(Presion_cilindro!$B$17+1)),0)-IF(Presion_cilindro!N13&gt;(-E$4+Presion_cilindro!$B$34),1-EXP(-Presion_cilindro!$B$16*((Presion_cilindro!N13-(-E$4+Presion_cilindro!$B$34))/Presion_cilindro!$B$35)^(Presion_cilindro!$B$17+1)),0))/((Presion_cilindro!O13+Presion_cilindro!O14)/2)</f>
        <v>0.7211737644339794</v>
      </c>
      <c r="F22" s="27">
        <f>F21*(Presion_cilindro!O13/Presion_cilindro!O14)^Presion_cilindro!$B$9+10*(Presion_cilindro!$B$9-1)*Presion_cilindro!$B$33*(IF(Presion_cilindro!N14&gt;(-F$4+Presion_cilindro!$B$34),1-EXP(-Presion_cilindro!$B$16*((Presion_cilindro!N14-(-F$4+Presion_cilindro!$B$34))/Presion_cilindro!$B$35)^(Presion_cilindro!$B$17+1)),0)-IF(Presion_cilindro!N13&gt;(-F$4+Presion_cilindro!$B$34),1-EXP(-Presion_cilindro!$B$16*((Presion_cilindro!N13-(-F$4+Presion_cilindro!$B$34))/Presion_cilindro!$B$35)^(Presion_cilindro!$B$17+1)),0))/((Presion_cilindro!O13+Presion_cilindro!O14)/2)</f>
        <v>0.7211737644339794</v>
      </c>
      <c r="G22" s="27">
        <f>G21*(Presion_cilindro!O13/Presion_cilindro!O14)^Presion_cilindro!$B$9+10*(Presion_cilindro!$B$9-1)*Presion_cilindro!$B$33*(IF(Presion_cilindro!N14&gt;(-G$4+Presion_cilindro!$B$34),1-EXP(-Presion_cilindro!$B$16*((Presion_cilindro!N14-(-G$4+Presion_cilindro!$B$34))/Presion_cilindro!$B$35)^(Presion_cilindro!$B$17+1)),0)-IF(Presion_cilindro!N13&gt;(-G$4+Presion_cilindro!$B$34),1-EXP(-Presion_cilindro!$B$16*((Presion_cilindro!N13-(-G$4+Presion_cilindro!$B$34))/Presion_cilindro!$B$35)^(Presion_cilindro!$B$17+1)),0))/((Presion_cilindro!O13+Presion_cilindro!O14)/2)</f>
        <v>0.7211737644339794</v>
      </c>
      <c r="H22" s="27">
        <f>H21*(Presion_cilindro!O13/Presion_cilindro!O14)^Presion_cilindro!$B$9+10*(Presion_cilindro!$B$9-1)*Presion_cilindro!$B$33*(IF(Presion_cilindro!N14&gt;(-H$4+Presion_cilindro!$B$34),1-EXP(-Presion_cilindro!$B$16*((Presion_cilindro!N14-(-H$4+Presion_cilindro!$B$34))/Presion_cilindro!$B$35)^(Presion_cilindro!$B$17+1)),0)-IF(Presion_cilindro!N13&gt;(-H$4+Presion_cilindro!$B$34),1-EXP(-Presion_cilindro!$B$16*((Presion_cilindro!N13-(-H$4+Presion_cilindro!$B$34))/Presion_cilindro!$B$35)^(Presion_cilindro!$B$17+1)),0))/((Presion_cilindro!O13+Presion_cilindro!O14)/2)</f>
        <v>0.7211737644339794</v>
      </c>
      <c r="I22" s="27">
        <f>I21*(Presion_cilindro!O13/Presion_cilindro!O14)^Presion_cilindro!$B$9+10*(Presion_cilindro!$B$9-1)*Presion_cilindro!$B$33*(IF(Presion_cilindro!N14&gt;(-I$4+Presion_cilindro!$B$34),1-EXP(-Presion_cilindro!$B$16*((Presion_cilindro!N14-(-I$4+Presion_cilindro!$B$34))/Presion_cilindro!$B$35)^(Presion_cilindro!$B$17+1)),0)-IF(Presion_cilindro!N13&gt;(-I$4+Presion_cilindro!$B$34),1-EXP(-Presion_cilindro!$B$16*((Presion_cilindro!N13-(-I$4+Presion_cilindro!$B$34))/Presion_cilindro!$B$35)^(Presion_cilindro!$B$17+1)),0))/((Presion_cilindro!O13+Presion_cilindro!O14)/2)</f>
        <v>0.7211737644339794</v>
      </c>
      <c r="J22" s="27">
        <f>J21*(Presion_cilindro!O13/Presion_cilindro!O14)^Presion_cilindro!$B$9+10*(Presion_cilindro!$B$9-1)*Presion_cilindro!$B$33*(IF(Presion_cilindro!N14&gt;(-J$4+Presion_cilindro!$B$34),1-EXP(-Presion_cilindro!$B$16*((Presion_cilindro!N14-(-J$4+Presion_cilindro!$B$34))/Presion_cilindro!$B$35)^(Presion_cilindro!$B$17+1)),0)-IF(Presion_cilindro!N13&gt;(-J$4+Presion_cilindro!$B$34),1-EXP(-Presion_cilindro!$B$16*((Presion_cilindro!N13-(-J$4+Presion_cilindro!$B$34))/Presion_cilindro!$B$35)^(Presion_cilindro!$B$17+1)),0))/((Presion_cilindro!O13+Presion_cilindro!O14)/2)</f>
        <v>0.7211737644339794</v>
      </c>
      <c r="K22" s="27">
        <f>K21*(Presion_cilindro!O13/Presion_cilindro!O14)^Presion_cilindro!$B$9+10*(Presion_cilindro!$B$9-1)*Presion_cilindro!$B$33*(IF(Presion_cilindro!N14&gt;(-K$4+Presion_cilindro!$B$34),1-EXP(-Presion_cilindro!$B$16*((Presion_cilindro!N14-(-K$4+Presion_cilindro!$B$34))/Presion_cilindro!$B$35)^(Presion_cilindro!$B$17+1)),0)-IF(Presion_cilindro!N13&gt;(-K$4+Presion_cilindro!$B$34),1-EXP(-Presion_cilindro!$B$16*((Presion_cilindro!N13-(-K$4+Presion_cilindro!$B$34))/Presion_cilindro!$B$35)^(Presion_cilindro!$B$17+1)),0))/((Presion_cilindro!O13+Presion_cilindro!O14)/2)</f>
        <v>0.7211737644339794</v>
      </c>
      <c r="L22" s="27">
        <f>L21*(Presion_cilindro!O13/Presion_cilindro!O14)^Presion_cilindro!$B$9+10*(Presion_cilindro!$B$9-1)*Presion_cilindro!$B$33*(IF(Presion_cilindro!N14&gt;(-L$4+Presion_cilindro!$B$34),1-EXP(-Presion_cilindro!$B$16*((Presion_cilindro!N14-(-L$4+Presion_cilindro!$B$34))/Presion_cilindro!$B$35)^(Presion_cilindro!$B$17+1)),0)-IF(Presion_cilindro!N13&gt;(-L$4+Presion_cilindro!$B$34),1-EXP(-Presion_cilindro!$B$16*((Presion_cilindro!N13-(-L$4+Presion_cilindro!$B$34))/Presion_cilindro!$B$35)^(Presion_cilindro!$B$17+1)),0))/((Presion_cilindro!O13+Presion_cilindro!O14)/2)</f>
        <v>0.7211737644339794</v>
      </c>
      <c r="M22" s="27">
        <f>M21*(Presion_cilindro!O13/Presion_cilindro!O14)^Presion_cilindro!$B$9+10*(Presion_cilindro!$B$9-1)*Presion_cilindro!$B$33*(IF(Presion_cilindro!N14&gt;(-M$4+Presion_cilindro!$B$34),1-EXP(-Presion_cilindro!$B$16*((Presion_cilindro!N14-(-M$4+Presion_cilindro!$B$34))/Presion_cilindro!$B$35)^(Presion_cilindro!$B$17+1)),0)-IF(Presion_cilindro!N13&gt;(-M$4+Presion_cilindro!$B$34),1-EXP(-Presion_cilindro!$B$16*((Presion_cilindro!N13-(-M$4+Presion_cilindro!$B$34))/Presion_cilindro!$B$35)^(Presion_cilindro!$B$17+1)),0))/((Presion_cilindro!O13+Presion_cilindro!O14)/2)</f>
        <v>0.7211737644339794</v>
      </c>
      <c r="N22" s="27">
        <f>N21*(Presion_cilindro!O13/Presion_cilindro!O14)^Presion_cilindro!$B$9+10*(Presion_cilindro!$B$9-1)*Presion_cilindro!$B$33*(IF(Presion_cilindro!N14&gt;(-N$4+Presion_cilindro!$B$34),1-EXP(-Presion_cilindro!$B$16*((Presion_cilindro!N14-(-N$4+Presion_cilindro!$B$34))/Presion_cilindro!$B$35)^(Presion_cilindro!$B$17+1)),0)-IF(Presion_cilindro!N13&gt;(-N$4+Presion_cilindro!$B$34),1-EXP(-Presion_cilindro!$B$16*((Presion_cilindro!N13-(-N$4+Presion_cilindro!$B$34))/Presion_cilindro!$B$35)^(Presion_cilindro!$B$17+1)),0))/((Presion_cilindro!O13+Presion_cilindro!O14)/2)</f>
        <v>0.7211737644339794</v>
      </c>
    </row>
    <row r="23" spans="1:14" x14ac:dyDescent="0.25">
      <c r="A23" s="21">
        <f>Presion_cilindro!N15</f>
        <v>-174.5</v>
      </c>
      <c r="B23" s="27">
        <f>B22*(Presion_cilindro!O14/Presion_cilindro!O15)^Presion_cilindro!$B$9+10*(Presion_cilindro!$B$9-1)*Presion_cilindro!$B$33*(IF(Presion_cilindro!N15&gt;(-B$4+Presion_cilindro!$B$34),1-EXP(-Presion_cilindro!$B$16*((Presion_cilindro!N15-(-B$4+Presion_cilindro!$B$34))/Presion_cilindro!$B$35)^(Presion_cilindro!$B$17+1)),0)-IF(Presion_cilindro!N14&gt;(-B$4+Presion_cilindro!$B$34),1-EXP(-Presion_cilindro!$B$16*((Presion_cilindro!N14-(-B$4+Presion_cilindro!$B$34))/Presion_cilindro!$B$35)^(Presion_cilindro!$B$17+1)),0))/((Presion_cilindro!O14+Presion_cilindro!O15)/2)</f>
        <v>0.72142069994572555</v>
      </c>
      <c r="C23" s="27">
        <f>C22*(Presion_cilindro!O14/Presion_cilindro!O15)^Presion_cilindro!$B$9+10*(Presion_cilindro!$B$9-1)*Presion_cilindro!$B$33*(IF(Presion_cilindro!N15&gt;(-C$4+Presion_cilindro!$B$34),1-EXP(-Presion_cilindro!$B$16*((Presion_cilindro!N15-(-C$4+Presion_cilindro!$B$34))/Presion_cilindro!$B$35)^(Presion_cilindro!$B$17+1)),0)-IF(Presion_cilindro!N14&gt;(-C$4+Presion_cilindro!$B$34),1-EXP(-Presion_cilindro!$B$16*((Presion_cilindro!N14-(-C$4+Presion_cilindro!$B$34))/Presion_cilindro!$B$35)^(Presion_cilindro!$B$17+1)),0))/((Presion_cilindro!O14+Presion_cilindro!O15)/2)</f>
        <v>0.72142069994572555</v>
      </c>
      <c r="D23" s="27">
        <f>D22*(Presion_cilindro!O14/Presion_cilindro!O15)^Presion_cilindro!$B$9+10*(Presion_cilindro!$B$9-1)*Presion_cilindro!$B$33*(IF(Presion_cilindro!N15&gt;(-D$4+Presion_cilindro!$B$34),1-EXP(-Presion_cilindro!$B$16*((Presion_cilindro!N15-(-D$4+Presion_cilindro!$B$34))/Presion_cilindro!$B$35)^(Presion_cilindro!$B$17+1)),0)-IF(Presion_cilindro!N14&gt;(-D$4+Presion_cilindro!$B$34),1-EXP(-Presion_cilindro!$B$16*((Presion_cilindro!N14-(-D$4+Presion_cilindro!$B$34))/Presion_cilindro!$B$35)^(Presion_cilindro!$B$17+1)),0))/((Presion_cilindro!O14+Presion_cilindro!O15)/2)</f>
        <v>0.72142069994572555</v>
      </c>
      <c r="E23" s="27">
        <f>E22*(Presion_cilindro!O14/Presion_cilindro!O15)^Presion_cilindro!$B$9+10*(Presion_cilindro!$B$9-1)*Presion_cilindro!$B$33*(IF(Presion_cilindro!N15&gt;(-E$4+Presion_cilindro!$B$34),1-EXP(-Presion_cilindro!$B$16*((Presion_cilindro!N15-(-E$4+Presion_cilindro!$B$34))/Presion_cilindro!$B$35)^(Presion_cilindro!$B$17+1)),0)-IF(Presion_cilindro!N14&gt;(-E$4+Presion_cilindro!$B$34),1-EXP(-Presion_cilindro!$B$16*((Presion_cilindro!N14-(-E$4+Presion_cilindro!$B$34))/Presion_cilindro!$B$35)^(Presion_cilindro!$B$17+1)),0))/((Presion_cilindro!O14+Presion_cilindro!O15)/2)</f>
        <v>0.72142069994572555</v>
      </c>
      <c r="F23" s="27">
        <f>F22*(Presion_cilindro!O14/Presion_cilindro!O15)^Presion_cilindro!$B$9+10*(Presion_cilindro!$B$9-1)*Presion_cilindro!$B$33*(IF(Presion_cilindro!N15&gt;(-F$4+Presion_cilindro!$B$34),1-EXP(-Presion_cilindro!$B$16*((Presion_cilindro!N15-(-F$4+Presion_cilindro!$B$34))/Presion_cilindro!$B$35)^(Presion_cilindro!$B$17+1)),0)-IF(Presion_cilindro!N14&gt;(-F$4+Presion_cilindro!$B$34),1-EXP(-Presion_cilindro!$B$16*((Presion_cilindro!N14-(-F$4+Presion_cilindro!$B$34))/Presion_cilindro!$B$35)^(Presion_cilindro!$B$17+1)),0))/((Presion_cilindro!O14+Presion_cilindro!O15)/2)</f>
        <v>0.72142069994572555</v>
      </c>
      <c r="G23" s="27">
        <f>G22*(Presion_cilindro!O14/Presion_cilindro!O15)^Presion_cilindro!$B$9+10*(Presion_cilindro!$B$9-1)*Presion_cilindro!$B$33*(IF(Presion_cilindro!N15&gt;(-G$4+Presion_cilindro!$B$34),1-EXP(-Presion_cilindro!$B$16*((Presion_cilindro!N15-(-G$4+Presion_cilindro!$B$34))/Presion_cilindro!$B$35)^(Presion_cilindro!$B$17+1)),0)-IF(Presion_cilindro!N14&gt;(-G$4+Presion_cilindro!$B$34),1-EXP(-Presion_cilindro!$B$16*((Presion_cilindro!N14-(-G$4+Presion_cilindro!$B$34))/Presion_cilindro!$B$35)^(Presion_cilindro!$B$17+1)),0))/((Presion_cilindro!O14+Presion_cilindro!O15)/2)</f>
        <v>0.72142069994572555</v>
      </c>
      <c r="H23" s="27">
        <f>H22*(Presion_cilindro!O14/Presion_cilindro!O15)^Presion_cilindro!$B$9+10*(Presion_cilindro!$B$9-1)*Presion_cilindro!$B$33*(IF(Presion_cilindro!N15&gt;(-H$4+Presion_cilindro!$B$34),1-EXP(-Presion_cilindro!$B$16*((Presion_cilindro!N15-(-H$4+Presion_cilindro!$B$34))/Presion_cilindro!$B$35)^(Presion_cilindro!$B$17+1)),0)-IF(Presion_cilindro!N14&gt;(-H$4+Presion_cilindro!$B$34),1-EXP(-Presion_cilindro!$B$16*((Presion_cilindro!N14-(-H$4+Presion_cilindro!$B$34))/Presion_cilindro!$B$35)^(Presion_cilindro!$B$17+1)),0))/((Presion_cilindro!O14+Presion_cilindro!O15)/2)</f>
        <v>0.72142069994572555</v>
      </c>
      <c r="I23" s="27">
        <f>I22*(Presion_cilindro!O14/Presion_cilindro!O15)^Presion_cilindro!$B$9+10*(Presion_cilindro!$B$9-1)*Presion_cilindro!$B$33*(IF(Presion_cilindro!N15&gt;(-I$4+Presion_cilindro!$B$34),1-EXP(-Presion_cilindro!$B$16*((Presion_cilindro!N15-(-I$4+Presion_cilindro!$B$34))/Presion_cilindro!$B$35)^(Presion_cilindro!$B$17+1)),0)-IF(Presion_cilindro!N14&gt;(-I$4+Presion_cilindro!$B$34),1-EXP(-Presion_cilindro!$B$16*((Presion_cilindro!N14-(-I$4+Presion_cilindro!$B$34))/Presion_cilindro!$B$35)^(Presion_cilindro!$B$17+1)),0))/((Presion_cilindro!O14+Presion_cilindro!O15)/2)</f>
        <v>0.72142069994572555</v>
      </c>
      <c r="J23" s="27">
        <f>J22*(Presion_cilindro!O14/Presion_cilindro!O15)^Presion_cilindro!$B$9+10*(Presion_cilindro!$B$9-1)*Presion_cilindro!$B$33*(IF(Presion_cilindro!N15&gt;(-J$4+Presion_cilindro!$B$34),1-EXP(-Presion_cilindro!$B$16*((Presion_cilindro!N15-(-J$4+Presion_cilindro!$B$34))/Presion_cilindro!$B$35)^(Presion_cilindro!$B$17+1)),0)-IF(Presion_cilindro!N14&gt;(-J$4+Presion_cilindro!$B$34),1-EXP(-Presion_cilindro!$B$16*((Presion_cilindro!N14-(-J$4+Presion_cilindro!$B$34))/Presion_cilindro!$B$35)^(Presion_cilindro!$B$17+1)),0))/((Presion_cilindro!O14+Presion_cilindro!O15)/2)</f>
        <v>0.72142069994572555</v>
      </c>
      <c r="K23" s="27">
        <f>K22*(Presion_cilindro!O14/Presion_cilindro!O15)^Presion_cilindro!$B$9+10*(Presion_cilindro!$B$9-1)*Presion_cilindro!$B$33*(IF(Presion_cilindro!N15&gt;(-K$4+Presion_cilindro!$B$34),1-EXP(-Presion_cilindro!$B$16*((Presion_cilindro!N15-(-K$4+Presion_cilindro!$B$34))/Presion_cilindro!$B$35)^(Presion_cilindro!$B$17+1)),0)-IF(Presion_cilindro!N14&gt;(-K$4+Presion_cilindro!$B$34),1-EXP(-Presion_cilindro!$B$16*((Presion_cilindro!N14-(-K$4+Presion_cilindro!$B$34))/Presion_cilindro!$B$35)^(Presion_cilindro!$B$17+1)),0))/((Presion_cilindro!O14+Presion_cilindro!O15)/2)</f>
        <v>0.72142069994572555</v>
      </c>
      <c r="L23" s="27">
        <f>L22*(Presion_cilindro!O14/Presion_cilindro!O15)^Presion_cilindro!$B$9+10*(Presion_cilindro!$B$9-1)*Presion_cilindro!$B$33*(IF(Presion_cilindro!N15&gt;(-L$4+Presion_cilindro!$B$34),1-EXP(-Presion_cilindro!$B$16*((Presion_cilindro!N15-(-L$4+Presion_cilindro!$B$34))/Presion_cilindro!$B$35)^(Presion_cilindro!$B$17+1)),0)-IF(Presion_cilindro!N14&gt;(-L$4+Presion_cilindro!$B$34),1-EXP(-Presion_cilindro!$B$16*((Presion_cilindro!N14-(-L$4+Presion_cilindro!$B$34))/Presion_cilindro!$B$35)^(Presion_cilindro!$B$17+1)),0))/((Presion_cilindro!O14+Presion_cilindro!O15)/2)</f>
        <v>0.72142069994572555</v>
      </c>
      <c r="M23" s="27">
        <f>M22*(Presion_cilindro!O14/Presion_cilindro!O15)^Presion_cilindro!$B$9+10*(Presion_cilindro!$B$9-1)*Presion_cilindro!$B$33*(IF(Presion_cilindro!N15&gt;(-M$4+Presion_cilindro!$B$34),1-EXP(-Presion_cilindro!$B$16*((Presion_cilindro!N15-(-M$4+Presion_cilindro!$B$34))/Presion_cilindro!$B$35)^(Presion_cilindro!$B$17+1)),0)-IF(Presion_cilindro!N14&gt;(-M$4+Presion_cilindro!$B$34),1-EXP(-Presion_cilindro!$B$16*((Presion_cilindro!N14-(-M$4+Presion_cilindro!$B$34))/Presion_cilindro!$B$35)^(Presion_cilindro!$B$17+1)),0))/((Presion_cilindro!O14+Presion_cilindro!O15)/2)</f>
        <v>0.72142069994572555</v>
      </c>
      <c r="N23" s="27">
        <f>N22*(Presion_cilindro!O14/Presion_cilindro!O15)^Presion_cilindro!$B$9+10*(Presion_cilindro!$B$9-1)*Presion_cilindro!$B$33*(IF(Presion_cilindro!N15&gt;(-N$4+Presion_cilindro!$B$34),1-EXP(-Presion_cilindro!$B$16*((Presion_cilindro!N15-(-N$4+Presion_cilindro!$B$34))/Presion_cilindro!$B$35)^(Presion_cilindro!$B$17+1)),0)-IF(Presion_cilindro!N14&gt;(-N$4+Presion_cilindro!$B$34),1-EXP(-Presion_cilindro!$B$16*((Presion_cilindro!N14-(-N$4+Presion_cilindro!$B$34))/Presion_cilindro!$B$35)^(Presion_cilindro!$B$17+1)),0))/((Presion_cilindro!O14+Presion_cilindro!O15)/2)</f>
        <v>0.72142069994572555</v>
      </c>
    </row>
    <row r="24" spans="1:14" x14ac:dyDescent="0.25">
      <c r="A24" s="21">
        <f>Presion_cilindro!N16</f>
        <v>-174</v>
      </c>
      <c r="B24" s="27">
        <f>B23*(Presion_cilindro!O15/Presion_cilindro!O16)^Presion_cilindro!$B$9+10*(Presion_cilindro!$B$9-1)*Presion_cilindro!$B$33*(IF(Presion_cilindro!N16&gt;(-B$4+Presion_cilindro!$B$34),1-EXP(-Presion_cilindro!$B$16*((Presion_cilindro!N16-(-B$4+Presion_cilindro!$B$34))/Presion_cilindro!$B$35)^(Presion_cilindro!$B$17+1)),0)-IF(Presion_cilindro!N15&gt;(-B$4+Presion_cilindro!$B$34),1-EXP(-Presion_cilindro!$B$16*((Presion_cilindro!N15-(-B$4+Presion_cilindro!$B$34))/Presion_cilindro!$B$35)^(Presion_cilindro!$B$17+1)),0))/((Presion_cilindro!O15+Presion_cilindro!O16)/2)</f>
        <v>0.72169133062329271</v>
      </c>
      <c r="C24" s="27">
        <f>C23*(Presion_cilindro!O15/Presion_cilindro!O16)^Presion_cilindro!$B$9+10*(Presion_cilindro!$B$9-1)*Presion_cilindro!$B$33*(IF(Presion_cilindro!N16&gt;(-C$4+Presion_cilindro!$B$34),1-EXP(-Presion_cilindro!$B$16*((Presion_cilindro!N16-(-C$4+Presion_cilindro!$B$34))/Presion_cilindro!$B$35)^(Presion_cilindro!$B$17+1)),0)-IF(Presion_cilindro!N15&gt;(-C$4+Presion_cilindro!$B$34),1-EXP(-Presion_cilindro!$B$16*((Presion_cilindro!N15-(-C$4+Presion_cilindro!$B$34))/Presion_cilindro!$B$35)^(Presion_cilindro!$B$17+1)),0))/((Presion_cilindro!O15+Presion_cilindro!O16)/2)</f>
        <v>0.72169133062329271</v>
      </c>
      <c r="D24" s="27">
        <f>D23*(Presion_cilindro!O15/Presion_cilindro!O16)^Presion_cilindro!$B$9+10*(Presion_cilindro!$B$9-1)*Presion_cilindro!$B$33*(IF(Presion_cilindro!N16&gt;(-D$4+Presion_cilindro!$B$34),1-EXP(-Presion_cilindro!$B$16*((Presion_cilindro!N16-(-D$4+Presion_cilindro!$B$34))/Presion_cilindro!$B$35)^(Presion_cilindro!$B$17+1)),0)-IF(Presion_cilindro!N15&gt;(-D$4+Presion_cilindro!$B$34),1-EXP(-Presion_cilindro!$B$16*((Presion_cilindro!N15-(-D$4+Presion_cilindro!$B$34))/Presion_cilindro!$B$35)^(Presion_cilindro!$B$17+1)),0))/((Presion_cilindro!O15+Presion_cilindro!O16)/2)</f>
        <v>0.72169133062329271</v>
      </c>
      <c r="E24" s="27">
        <f>E23*(Presion_cilindro!O15/Presion_cilindro!O16)^Presion_cilindro!$B$9+10*(Presion_cilindro!$B$9-1)*Presion_cilindro!$B$33*(IF(Presion_cilindro!N16&gt;(-E$4+Presion_cilindro!$B$34),1-EXP(-Presion_cilindro!$B$16*((Presion_cilindro!N16-(-E$4+Presion_cilindro!$B$34))/Presion_cilindro!$B$35)^(Presion_cilindro!$B$17+1)),0)-IF(Presion_cilindro!N15&gt;(-E$4+Presion_cilindro!$B$34),1-EXP(-Presion_cilindro!$B$16*((Presion_cilindro!N15-(-E$4+Presion_cilindro!$B$34))/Presion_cilindro!$B$35)^(Presion_cilindro!$B$17+1)),0))/((Presion_cilindro!O15+Presion_cilindro!O16)/2)</f>
        <v>0.72169133062329271</v>
      </c>
      <c r="F24" s="27">
        <f>F23*(Presion_cilindro!O15/Presion_cilindro!O16)^Presion_cilindro!$B$9+10*(Presion_cilindro!$B$9-1)*Presion_cilindro!$B$33*(IF(Presion_cilindro!N16&gt;(-F$4+Presion_cilindro!$B$34),1-EXP(-Presion_cilindro!$B$16*((Presion_cilindro!N16-(-F$4+Presion_cilindro!$B$34))/Presion_cilindro!$B$35)^(Presion_cilindro!$B$17+1)),0)-IF(Presion_cilindro!N15&gt;(-F$4+Presion_cilindro!$B$34),1-EXP(-Presion_cilindro!$B$16*((Presion_cilindro!N15-(-F$4+Presion_cilindro!$B$34))/Presion_cilindro!$B$35)^(Presion_cilindro!$B$17+1)),0))/((Presion_cilindro!O15+Presion_cilindro!O16)/2)</f>
        <v>0.72169133062329271</v>
      </c>
      <c r="G24" s="27">
        <f>G23*(Presion_cilindro!O15/Presion_cilindro!O16)^Presion_cilindro!$B$9+10*(Presion_cilindro!$B$9-1)*Presion_cilindro!$B$33*(IF(Presion_cilindro!N16&gt;(-G$4+Presion_cilindro!$B$34),1-EXP(-Presion_cilindro!$B$16*((Presion_cilindro!N16-(-G$4+Presion_cilindro!$B$34))/Presion_cilindro!$B$35)^(Presion_cilindro!$B$17+1)),0)-IF(Presion_cilindro!N15&gt;(-G$4+Presion_cilindro!$B$34),1-EXP(-Presion_cilindro!$B$16*((Presion_cilindro!N15-(-G$4+Presion_cilindro!$B$34))/Presion_cilindro!$B$35)^(Presion_cilindro!$B$17+1)),0))/((Presion_cilindro!O15+Presion_cilindro!O16)/2)</f>
        <v>0.72169133062329271</v>
      </c>
      <c r="H24" s="27">
        <f>H23*(Presion_cilindro!O15/Presion_cilindro!O16)^Presion_cilindro!$B$9+10*(Presion_cilindro!$B$9-1)*Presion_cilindro!$B$33*(IF(Presion_cilindro!N16&gt;(-H$4+Presion_cilindro!$B$34),1-EXP(-Presion_cilindro!$B$16*((Presion_cilindro!N16-(-H$4+Presion_cilindro!$B$34))/Presion_cilindro!$B$35)^(Presion_cilindro!$B$17+1)),0)-IF(Presion_cilindro!N15&gt;(-H$4+Presion_cilindro!$B$34),1-EXP(-Presion_cilindro!$B$16*((Presion_cilindro!N15-(-H$4+Presion_cilindro!$B$34))/Presion_cilindro!$B$35)^(Presion_cilindro!$B$17+1)),0))/((Presion_cilindro!O15+Presion_cilindro!O16)/2)</f>
        <v>0.72169133062329271</v>
      </c>
      <c r="I24" s="27">
        <f>I23*(Presion_cilindro!O15/Presion_cilindro!O16)^Presion_cilindro!$B$9+10*(Presion_cilindro!$B$9-1)*Presion_cilindro!$B$33*(IF(Presion_cilindro!N16&gt;(-I$4+Presion_cilindro!$B$34),1-EXP(-Presion_cilindro!$B$16*((Presion_cilindro!N16-(-I$4+Presion_cilindro!$B$34))/Presion_cilindro!$B$35)^(Presion_cilindro!$B$17+1)),0)-IF(Presion_cilindro!N15&gt;(-I$4+Presion_cilindro!$B$34),1-EXP(-Presion_cilindro!$B$16*((Presion_cilindro!N15-(-I$4+Presion_cilindro!$B$34))/Presion_cilindro!$B$35)^(Presion_cilindro!$B$17+1)),0))/((Presion_cilindro!O15+Presion_cilindro!O16)/2)</f>
        <v>0.72169133062329271</v>
      </c>
      <c r="J24" s="27">
        <f>J23*(Presion_cilindro!O15/Presion_cilindro!O16)^Presion_cilindro!$B$9+10*(Presion_cilindro!$B$9-1)*Presion_cilindro!$B$33*(IF(Presion_cilindro!N16&gt;(-J$4+Presion_cilindro!$B$34),1-EXP(-Presion_cilindro!$B$16*((Presion_cilindro!N16-(-J$4+Presion_cilindro!$B$34))/Presion_cilindro!$B$35)^(Presion_cilindro!$B$17+1)),0)-IF(Presion_cilindro!N15&gt;(-J$4+Presion_cilindro!$B$34),1-EXP(-Presion_cilindro!$B$16*((Presion_cilindro!N15-(-J$4+Presion_cilindro!$B$34))/Presion_cilindro!$B$35)^(Presion_cilindro!$B$17+1)),0))/((Presion_cilindro!O15+Presion_cilindro!O16)/2)</f>
        <v>0.72169133062329271</v>
      </c>
      <c r="K24" s="27">
        <f>K23*(Presion_cilindro!O15/Presion_cilindro!O16)^Presion_cilindro!$B$9+10*(Presion_cilindro!$B$9-1)*Presion_cilindro!$B$33*(IF(Presion_cilindro!N16&gt;(-K$4+Presion_cilindro!$B$34),1-EXP(-Presion_cilindro!$B$16*((Presion_cilindro!N16-(-K$4+Presion_cilindro!$B$34))/Presion_cilindro!$B$35)^(Presion_cilindro!$B$17+1)),0)-IF(Presion_cilindro!N15&gt;(-K$4+Presion_cilindro!$B$34),1-EXP(-Presion_cilindro!$B$16*((Presion_cilindro!N15-(-K$4+Presion_cilindro!$B$34))/Presion_cilindro!$B$35)^(Presion_cilindro!$B$17+1)),0))/((Presion_cilindro!O15+Presion_cilindro!O16)/2)</f>
        <v>0.72169133062329271</v>
      </c>
      <c r="L24" s="27">
        <f>L23*(Presion_cilindro!O15/Presion_cilindro!O16)^Presion_cilindro!$B$9+10*(Presion_cilindro!$B$9-1)*Presion_cilindro!$B$33*(IF(Presion_cilindro!N16&gt;(-L$4+Presion_cilindro!$B$34),1-EXP(-Presion_cilindro!$B$16*((Presion_cilindro!N16-(-L$4+Presion_cilindro!$B$34))/Presion_cilindro!$B$35)^(Presion_cilindro!$B$17+1)),0)-IF(Presion_cilindro!N15&gt;(-L$4+Presion_cilindro!$B$34),1-EXP(-Presion_cilindro!$B$16*((Presion_cilindro!N15-(-L$4+Presion_cilindro!$B$34))/Presion_cilindro!$B$35)^(Presion_cilindro!$B$17+1)),0))/((Presion_cilindro!O15+Presion_cilindro!O16)/2)</f>
        <v>0.72169133062329271</v>
      </c>
      <c r="M24" s="27">
        <f>M23*(Presion_cilindro!O15/Presion_cilindro!O16)^Presion_cilindro!$B$9+10*(Presion_cilindro!$B$9-1)*Presion_cilindro!$B$33*(IF(Presion_cilindro!N16&gt;(-M$4+Presion_cilindro!$B$34),1-EXP(-Presion_cilindro!$B$16*((Presion_cilindro!N16-(-M$4+Presion_cilindro!$B$34))/Presion_cilindro!$B$35)^(Presion_cilindro!$B$17+1)),0)-IF(Presion_cilindro!N15&gt;(-M$4+Presion_cilindro!$B$34),1-EXP(-Presion_cilindro!$B$16*((Presion_cilindro!N15-(-M$4+Presion_cilindro!$B$34))/Presion_cilindro!$B$35)^(Presion_cilindro!$B$17+1)),0))/((Presion_cilindro!O15+Presion_cilindro!O16)/2)</f>
        <v>0.72169133062329271</v>
      </c>
      <c r="N24" s="27">
        <f>N23*(Presion_cilindro!O15/Presion_cilindro!O16)^Presion_cilindro!$B$9+10*(Presion_cilindro!$B$9-1)*Presion_cilindro!$B$33*(IF(Presion_cilindro!N16&gt;(-N$4+Presion_cilindro!$B$34),1-EXP(-Presion_cilindro!$B$16*((Presion_cilindro!N16-(-N$4+Presion_cilindro!$B$34))/Presion_cilindro!$B$35)^(Presion_cilindro!$B$17+1)),0)-IF(Presion_cilindro!N15&gt;(-N$4+Presion_cilindro!$B$34),1-EXP(-Presion_cilindro!$B$16*((Presion_cilindro!N15-(-N$4+Presion_cilindro!$B$34))/Presion_cilindro!$B$35)^(Presion_cilindro!$B$17+1)),0))/((Presion_cilindro!O15+Presion_cilindro!O16)/2)</f>
        <v>0.72169133062329271</v>
      </c>
    </row>
    <row r="25" spans="1:14" x14ac:dyDescent="0.25">
      <c r="A25" s="21">
        <f>Presion_cilindro!N17</f>
        <v>-173.5</v>
      </c>
      <c r="B25" s="27">
        <f>B24*(Presion_cilindro!O16/Presion_cilindro!O17)^Presion_cilindro!$B$9+10*(Presion_cilindro!$B$9-1)*Presion_cilindro!$B$33*(IF(Presion_cilindro!N17&gt;(-B$4+Presion_cilindro!$B$34),1-EXP(-Presion_cilindro!$B$16*((Presion_cilindro!N17-(-B$4+Presion_cilindro!$B$34))/Presion_cilindro!$B$35)^(Presion_cilindro!$B$17+1)),0)-IF(Presion_cilindro!N16&gt;(-B$4+Presion_cilindro!$B$34),1-EXP(-Presion_cilindro!$B$16*((Presion_cilindro!N16-(-B$4+Presion_cilindro!$B$34))/Presion_cilindro!$B$35)^(Presion_cilindro!$B$17+1)),0))/((Presion_cilindro!O16+Presion_cilindro!O17)/2)</f>
        <v>0.72198570503247428</v>
      </c>
      <c r="C25" s="27">
        <f>C24*(Presion_cilindro!O16/Presion_cilindro!O17)^Presion_cilindro!$B$9+10*(Presion_cilindro!$B$9-1)*Presion_cilindro!$B$33*(IF(Presion_cilindro!N17&gt;(-C$4+Presion_cilindro!$B$34),1-EXP(-Presion_cilindro!$B$16*((Presion_cilindro!N17-(-C$4+Presion_cilindro!$B$34))/Presion_cilindro!$B$35)^(Presion_cilindro!$B$17+1)),0)-IF(Presion_cilindro!N16&gt;(-C$4+Presion_cilindro!$B$34),1-EXP(-Presion_cilindro!$B$16*((Presion_cilindro!N16-(-C$4+Presion_cilindro!$B$34))/Presion_cilindro!$B$35)^(Presion_cilindro!$B$17+1)),0))/((Presion_cilindro!O16+Presion_cilindro!O17)/2)</f>
        <v>0.72198570503247428</v>
      </c>
      <c r="D25" s="27">
        <f>D24*(Presion_cilindro!O16/Presion_cilindro!O17)^Presion_cilindro!$B$9+10*(Presion_cilindro!$B$9-1)*Presion_cilindro!$B$33*(IF(Presion_cilindro!N17&gt;(-D$4+Presion_cilindro!$B$34),1-EXP(-Presion_cilindro!$B$16*((Presion_cilindro!N17-(-D$4+Presion_cilindro!$B$34))/Presion_cilindro!$B$35)^(Presion_cilindro!$B$17+1)),0)-IF(Presion_cilindro!N16&gt;(-D$4+Presion_cilindro!$B$34),1-EXP(-Presion_cilindro!$B$16*((Presion_cilindro!N16-(-D$4+Presion_cilindro!$B$34))/Presion_cilindro!$B$35)^(Presion_cilindro!$B$17+1)),0))/((Presion_cilindro!O16+Presion_cilindro!O17)/2)</f>
        <v>0.72198570503247428</v>
      </c>
      <c r="E25" s="27">
        <f>E24*(Presion_cilindro!O16/Presion_cilindro!O17)^Presion_cilindro!$B$9+10*(Presion_cilindro!$B$9-1)*Presion_cilindro!$B$33*(IF(Presion_cilindro!N17&gt;(-E$4+Presion_cilindro!$B$34),1-EXP(-Presion_cilindro!$B$16*((Presion_cilindro!N17-(-E$4+Presion_cilindro!$B$34))/Presion_cilindro!$B$35)^(Presion_cilindro!$B$17+1)),0)-IF(Presion_cilindro!N16&gt;(-E$4+Presion_cilindro!$B$34),1-EXP(-Presion_cilindro!$B$16*((Presion_cilindro!N16-(-E$4+Presion_cilindro!$B$34))/Presion_cilindro!$B$35)^(Presion_cilindro!$B$17+1)),0))/((Presion_cilindro!O16+Presion_cilindro!O17)/2)</f>
        <v>0.72198570503247428</v>
      </c>
      <c r="F25" s="27">
        <f>F24*(Presion_cilindro!O16/Presion_cilindro!O17)^Presion_cilindro!$B$9+10*(Presion_cilindro!$B$9-1)*Presion_cilindro!$B$33*(IF(Presion_cilindro!N17&gt;(-F$4+Presion_cilindro!$B$34),1-EXP(-Presion_cilindro!$B$16*((Presion_cilindro!N17-(-F$4+Presion_cilindro!$B$34))/Presion_cilindro!$B$35)^(Presion_cilindro!$B$17+1)),0)-IF(Presion_cilindro!N16&gt;(-F$4+Presion_cilindro!$B$34),1-EXP(-Presion_cilindro!$B$16*((Presion_cilindro!N16-(-F$4+Presion_cilindro!$B$34))/Presion_cilindro!$B$35)^(Presion_cilindro!$B$17+1)),0))/((Presion_cilindro!O16+Presion_cilindro!O17)/2)</f>
        <v>0.72198570503247428</v>
      </c>
      <c r="G25" s="27">
        <f>G24*(Presion_cilindro!O16/Presion_cilindro!O17)^Presion_cilindro!$B$9+10*(Presion_cilindro!$B$9-1)*Presion_cilindro!$B$33*(IF(Presion_cilindro!N17&gt;(-G$4+Presion_cilindro!$B$34),1-EXP(-Presion_cilindro!$B$16*((Presion_cilindro!N17-(-G$4+Presion_cilindro!$B$34))/Presion_cilindro!$B$35)^(Presion_cilindro!$B$17+1)),0)-IF(Presion_cilindro!N16&gt;(-G$4+Presion_cilindro!$B$34),1-EXP(-Presion_cilindro!$B$16*((Presion_cilindro!N16-(-G$4+Presion_cilindro!$B$34))/Presion_cilindro!$B$35)^(Presion_cilindro!$B$17+1)),0))/((Presion_cilindro!O16+Presion_cilindro!O17)/2)</f>
        <v>0.72198570503247428</v>
      </c>
      <c r="H25" s="27">
        <f>H24*(Presion_cilindro!O16/Presion_cilindro!O17)^Presion_cilindro!$B$9+10*(Presion_cilindro!$B$9-1)*Presion_cilindro!$B$33*(IF(Presion_cilindro!N17&gt;(-H$4+Presion_cilindro!$B$34),1-EXP(-Presion_cilindro!$B$16*((Presion_cilindro!N17-(-H$4+Presion_cilindro!$B$34))/Presion_cilindro!$B$35)^(Presion_cilindro!$B$17+1)),0)-IF(Presion_cilindro!N16&gt;(-H$4+Presion_cilindro!$B$34),1-EXP(-Presion_cilindro!$B$16*((Presion_cilindro!N16-(-H$4+Presion_cilindro!$B$34))/Presion_cilindro!$B$35)^(Presion_cilindro!$B$17+1)),0))/((Presion_cilindro!O16+Presion_cilindro!O17)/2)</f>
        <v>0.72198570503247428</v>
      </c>
      <c r="I25" s="27">
        <f>I24*(Presion_cilindro!O16/Presion_cilindro!O17)^Presion_cilindro!$B$9+10*(Presion_cilindro!$B$9-1)*Presion_cilindro!$B$33*(IF(Presion_cilindro!N17&gt;(-I$4+Presion_cilindro!$B$34),1-EXP(-Presion_cilindro!$B$16*((Presion_cilindro!N17-(-I$4+Presion_cilindro!$B$34))/Presion_cilindro!$B$35)^(Presion_cilindro!$B$17+1)),0)-IF(Presion_cilindro!N16&gt;(-I$4+Presion_cilindro!$B$34),1-EXP(-Presion_cilindro!$B$16*((Presion_cilindro!N16-(-I$4+Presion_cilindro!$B$34))/Presion_cilindro!$B$35)^(Presion_cilindro!$B$17+1)),0))/((Presion_cilindro!O16+Presion_cilindro!O17)/2)</f>
        <v>0.72198570503247428</v>
      </c>
      <c r="J25" s="27">
        <f>J24*(Presion_cilindro!O16/Presion_cilindro!O17)^Presion_cilindro!$B$9+10*(Presion_cilindro!$B$9-1)*Presion_cilindro!$B$33*(IF(Presion_cilindro!N17&gt;(-J$4+Presion_cilindro!$B$34),1-EXP(-Presion_cilindro!$B$16*((Presion_cilindro!N17-(-J$4+Presion_cilindro!$B$34))/Presion_cilindro!$B$35)^(Presion_cilindro!$B$17+1)),0)-IF(Presion_cilindro!N16&gt;(-J$4+Presion_cilindro!$B$34),1-EXP(-Presion_cilindro!$B$16*((Presion_cilindro!N16-(-J$4+Presion_cilindro!$B$34))/Presion_cilindro!$B$35)^(Presion_cilindro!$B$17+1)),0))/((Presion_cilindro!O16+Presion_cilindro!O17)/2)</f>
        <v>0.72198570503247428</v>
      </c>
      <c r="K25" s="27">
        <f>K24*(Presion_cilindro!O16/Presion_cilindro!O17)^Presion_cilindro!$B$9+10*(Presion_cilindro!$B$9-1)*Presion_cilindro!$B$33*(IF(Presion_cilindro!N17&gt;(-K$4+Presion_cilindro!$B$34),1-EXP(-Presion_cilindro!$B$16*((Presion_cilindro!N17-(-K$4+Presion_cilindro!$B$34))/Presion_cilindro!$B$35)^(Presion_cilindro!$B$17+1)),0)-IF(Presion_cilindro!N16&gt;(-K$4+Presion_cilindro!$B$34),1-EXP(-Presion_cilindro!$B$16*((Presion_cilindro!N16-(-K$4+Presion_cilindro!$B$34))/Presion_cilindro!$B$35)^(Presion_cilindro!$B$17+1)),0))/((Presion_cilindro!O16+Presion_cilindro!O17)/2)</f>
        <v>0.72198570503247428</v>
      </c>
      <c r="L25" s="27">
        <f>L24*(Presion_cilindro!O16/Presion_cilindro!O17)^Presion_cilindro!$B$9+10*(Presion_cilindro!$B$9-1)*Presion_cilindro!$B$33*(IF(Presion_cilindro!N17&gt;(-L$4+Presion_cilindro!$B$34),1-EXP(-Presion_cilindro!$B$16*((Presion_cilindro!N17-(-L$4+Presion_cilindro!$B$34))/Presion_cilindro!$B$35)^(Presion_cilindro!$B$17+1)),0)-IF(Presion_cilindro!N16&gt;(-L$4+Presion_cilindro!$B$34),1-EXP(-Presion_cilindro!$B$16*((Presion_cilindro!N16-(-L$4+Presion_cilindro!$B$34))/Presion_cilindro!$B$35)^(Presion_cilindro!$B$17+1)),0))/((Presion_cilindro!O16+Presion_cilindro!O17)/2)</f>
        <v>0.72198570503247428</v>
      </c>
      <c r="M25" s="27">
        <f>M24*(Presion_cilindro!O16/Presion_cilindro!O17)^Presion_cilindro!$B$9+10*(Presion_cilindro!$B$9-1)*Presion_cilindro!$B$33*(IF(Presion_cilindro!N17&gt;(-M$4+Presion_cilindro!$B$34),1-EXP(-Presion_cilindro!$B$16*((Presion_cilindro!N17-(-M$4+Presion_cilindro!$B$34))/Presion_cilindro!$B$35)^(Presion_cilindro!$B$17+1)),0)-IF(Presion_cilindro!N16&gt;(-M$4+Presion_cilindro!$B$34),1-EXP(-Presion_cilindro!$B$16*((Presion_cilindro!N16-(-M$4+Presion_cilindro!$B$34))/Presion_cilindro!$B$35)^(Presion_cilindro!$B$17+1)),0))/((Presion_cilindro!O16+Presion_cilindro!O17)/2)</f>
        <v>0.72198570503247428</v>
      </c>
      <c r="N25" s="27">
        <f>N24*(Presion_cilindro!O16/Presion_cilindro!O17)^Presion_cilindro!$B$9+10*(Presion_cilindro!$B$9-1)*Presion_cilindro!$B$33*(IF(Presion_cilindro!N17&gt;(-N$4+Presion_cilindro!$B$34),1-EXP(-Presion_cilindro!$B$16*((Presion_cilindro!N17-(-N$4+Presion_cilindro!$B$34))/Presion_cilindro!$B$35)^(Presion_cilindro!$B$17+1)),0)-IF(Presion_cilindro!N16&gt;(-N$4+Presion_cilindro!$B$34),1-EXP(-Presion_cilindro!$B$16*((Presion_cilindro!N16-(-N$4+Presion_cilindro!$B$34))/Presion_cilindro!$B$35)^(Presion_cilindro!$B$17+1)),0))/((Presion_cilindro!O16+Presion_cilindro!O17)/2)</f>
        <v>0.72198570503247428</v>
      </c>
    </row>
    <row r="26" spans="1:14" x14ac:dyDescent="0.25">
      <c r="A26" s="21">
        <f>Presion_cilindro!N18</f>
        <v>-173</v>
      </c>
      <c r="B26" s="27">
        <f>B25*(Presion_cilindro!O17/Presion_cilindro!O18)^Presion_cilindro!$B$9+10*(Presion_cilindro!$B$9-1)*Presion_cilindro!$B$33*(IF(Presion_cilindro!N18&gt;(-B$4+Presion_cilindro!$B$34),1-EXP(-Presion_cilindro!$B$16*((Presion_cilindro!N18-(-B$4+Presion_cilindro!$B$34))/Presion_cilindro!$B$35)^(Presion_cilindro!$B$17+1)),0)-IF(Presion_cilindro!N17&gt;(-B$4+Presion_cilindro!$B$34),1-EXP(-Presion_cilindro!$B$16*((Presion_cilindro!N17-(-B$4+Presion_cilindro!$B$34))/Presion_cilindro!$B$35)^(Presion_cilindro!$B$17+1)),0))/((Presion_cilindro!O17+Presion_cilindro!O18)/2)</f>
        <v>0.72230387603071322</v>
      </c>
      <c r="C26" s="27">
        <f>C25*(Presion_cilindro!O17/Presion_cilindro!O18)^Presion_cilindro!$B$9+10*(Presion_cilindro!$B$9-1)*Presion_cilindro!$B$33*(IF(Presion_cilindro!N18&gt;(-C$4+Presion_cilindro!$B$34),1-EXP(-Presion_cilindro!$B$16*((Presion_cilindro!N18-(-C$4+Presion_cilindro!$B$34))/Presion_cilindro!$B$35)^(Presion_cilindro!$B$17+1)),0)-IF(Presion_cilindro!N17&gt;(-C$4+Presion_cilindro!$B$34),1-EXP(-Presion_cilindro!$B$16*((Presion_cilindro!N17-(-C$4+Presion_cilindro!$B$34))/Presion_cilindro!$B$35)^(Presion_cilindro!$B$17+1)),0))/((Presion_cilindro!O17+Presion_cilindro!O18)/2)</f>
        <v>0.72230387603071322</v>
      </c>
      <c r="D26" s="27">
        <f>D25*(Presion_cilindro!O17/Presion_cilindro!O18)^Presion_cilindro!$B$9+10*(Presion_cilindro!$B$9-1)*Presion_cilindro!$B$33*(IF(Presion_cilindro!N18&gt;(-D$4+Presion_cilindro!$B$34),1-EXP(-Presion_cilindro!$B$16*((Presion_cilindro!N18-(-D$4+Presion_cilindro!$B$34))/Presion_cilindro!$B$35)^(Presion_cilindro!$B$17+1)),0)-IF(Presion_cilindro!N17&gt;(-D$4+Presion_cilindro!$B$34),1-EXP(-Presion_cilindro!$B$16*((Presion_cilindro!N17-(-D$4+Presion_cilindro!$B$34))/Presion_cilindro!$B$35)^(Presion_cilindro!$B$17+1)),0))/((Presion_cilindro!O17+Presion_cilindro!O18)/2)</f>
        <v>0.72230387603071322</v>
      </c>
      <c r="E26" s="27">
        <f>E25*(Presion_cilindro!O17/Presion_cilindro!O18)^Presion_cilindro!$B$9+10*(Presion_cilindro!$B$9-1)*Presion_cilindro!$B$33*(IF(Presion_cilindro!N18&gt;(-E$4+Presion_cilindro!$B$34),1-EXP(-Presion_cilindro!$B$16*((Presion_cilindro!N18-(-E$4+Presion_cilindro!$B$34))/Presion_cilindro!$B$35)^(Presion_cilindro!$B$17+1)),0)-IF(Presion_cilindro!N17&gt;(-E$4+Presion_cilindro!$B$34),1-EXP(-Presion_cilindro!$B$16*((Presion_cilindro!N17-(-E$4+Presion_cilindro!$B$34))/Presion_cilindro!$B$35)^(Presion_cilindro!$B$17+1)),0))/((Presion_cilindro!O17+Presion_cilindro!O18)/2)</f>
        <v>0.72230387603071322</v>
      </c>
      <c r="F26" s="27">
        <f>F25*(Presion_cilindro!O17/Presion_cilindro!O18)^Presion_cilindro!$B$9+10*(Presion_cilindro!$B$9-1)*Presion_cilindro!$B$33*(IF(Presion_cilindro!N18&gt;(-F$4+Presion_cilindro!$B$34),1-EXP(-Presion_cilindro!$B$16*((Presion_cilindro!N18-(-F$4+Presion_cilindro!$B$34))/Presion_cilindro!$B$35)^(Presion_cilindro!$B$17+1)),0)-IF(Presion_cilindro!N17&gt;(-F$4+Presion_cilindro!$B$34),1-EXP(-Presion_cilindro!$B$16*((Presion_cilindro!N17-(-F$4+Presion_cilindro!$B$34))/Presion_cilindro!$B$35)^(Presion_cilindro!$B$17+1)),0))/((Presion_cilindro!O17+Presion_cilindro!O18)/2)</f>
        <v>0.72230387603071322</v>
      </c>
      <c r="G26" s="27">
        <f>G25*(Presion_cilindro!O17/Presion_cilindro!O18)^Presion_cilindro!$B$9+10*(Presion_cilindro!$B$9-1)*Presion_cilindro!$B$33*(IF(Presion_cilindro!N18&gt;(-G$4+Presion_cilindro!$B$34),1-EXP(-Presion_cilindro!$B$16*((Presion_cilindro!N18-(-G$4+Presion_cilindro!$B$34))/Presion_cilindro!$B$35)^(Presion_cilindro!$B$17+1)),0)-IF(Presion_cilindro!N17&gt;(-G$4+Presion_cilindro!$B$34),1-EXP(-Presion_cilindro!$B$16*((Presion_cilindro!N17-(-G$4+Presion_cilindro!$B$34))/Presion_cilindro!$B$35)^(Presion_cilindro!$B$17+1)),0))/((Presion_cilindro!O17+Presion_cilindro!O18)/2)</f>
        <v>0.72230387603071322</v>
      </c>
      <c r="H26" s="27">
        <f>H25*(Presion_cilindro!O17/Presion_cilindro!O18)^Presion_cilindro!$B$9+10*(Presion_cilindro!$B$9-1)*Presion_cilindro!$B$33*(IF(Presion_cilindro!N18&gt;(-H$4+Presion_cilindro!$B$34),1-EXP(-Presion_cilindro!$B$16*((Presion_cilindro!N18-(-H$4+Presion_cilindro!$B$34))/Presion_cilindro!$B$35)^(Presion_cilindro!$B$17+1)),0)-IF(Presion_cilindro!N17&gt;(-H$4+Presion_cilindro!$B$34),1-EXP(-Presion_cilindro!$B$16*((Presion_cilindro!N17-(-H$4+Presion_cilindro!$B$34))/Presion_cilindro!$B$35)^(Presion_cilindro!$B$17+1)),0))/((Presion_cilindro!O17+Presion_cilindro!O18)/2)</f>
        <v>0.72230387603071322</v>
      </c>
      <c r="I26" s="27">
        <f>I25*(Presion_cilindro!O17/Presion_cilindro!O18)^Presion_cilindro!$B$9+10*(Presion_cilindro!$B$9-1)*Presion_cilindro!$B$33*(IF(Presion_cilindro!N18&gt;(-I$4+Presion_cilindro!$B$34),1-EXP(-Presion_cilindro!$B$16*((Presion_cilindro!N18-(-I$4+Presion_cilindro!$B$34))/Presion_cilindro!$B$35)^(Presion_cilindro!$B$17+1)),0)-IF(Presion_cilindro!N17&gt;(-I$4+Presion_cilindro!$B$34),1-EXP(-Presion_cilindro!$B$16*((Presion_cilindro!N17-(-I$4+Presion_cilindro!$B$34))/Presion_cilindro!$B$35)^(Presion_cilindro!$B$17+1)),0))/((Presion_cilindro!O17+Presion_cilindro!O18)/2)</f>
        <v>0.72230387603071322</v>
      </c>
      <c r="J26" s="27">
        <f>J25*(Presion_cilindro!O17/Presion_cilindro!O18)^Presion_cilindro!$B$9+10*(Presion_cilindro!$B$9-1)*Presion_cilindro!$B$33*(IF(Presion_cilindro!N18&gt;(-J$4+Presion_cilindro!$B$34),1-EXP(-Presion_cilindro!$B$16*((Presion_cilindro!N18-(-J$4+Presion_cilindro!$B$34))/Presion_cilindro!$B$35)^(Presion_cilindro!$B$17+1)),0)-IF(Presion_cilindro!N17&gt;(-J$4+Presion_cilindro!$B$34),1-EXP(-Presion_cilindro!$B$16*((Presion_cilindro!N17-(-J$4+Presion_cilindro!$B$34))/Presion_cilindro!$B$35)^(Presion_cilindro!$B$17+1)),0))/((Presion_cilindro!O17+Presion_cilindro!O18)/2)</f>
        <v>0.72230387603071322</v>
      </c>
      <c r="K26" s="27">
        <f>K25*(Presion_cilindro!O17/Presion_cilindro!O18)^Presion_cilindro!$B$9+10*(Presion_cilindro!$B$9-1)*Presion_cilindro!$B$33*(IF(Presion_cilindro!N18&gt;(-K$4+Presion_cilindro!$B$34),1-EXP(-Presion_cilindro!$B$16*((Presion_cilindro!N18-(-K$4+Presion_cilindro!$B$34))/Presion_cilindro!$B$35)^(Presion_cilindro!$B$17+1)),0)-IF(Presion_cilindro!N17&gt;(-K$4+Presion_cilindro!$B$34),1-EXP(-Presion_cilindro!$B$16*((Presion_cilindro!N17-(-K$4+Presion_cilindro!$B$34))/Presion_cilindro!$B$35)^(Presion_cilindro!$B$17+1)),0))/((Presion_cilindro!O17+Presion_cilindro!O18)/2)</f>
        <v>0.72230387603071322</v>
      </c>
      <c r="L26" s="27">
        <f>L25*(Presion_cilindro!O17/Presion_cilindro!O18)^Presion_cilindro!$B$9+10*(Presion_cilindro!$B$9-1)*Presion_cilindro!$B$33*(IF(Presion_cilindro!N18&gt;(-L$4+Presion_cilindro!$B$34),1-EXP(-Presion_cilindro!$B$16*((Presion_cilindro!N18-(-L$4+Presion_cilindro!$B$34))/Presion_cilindro!$B$35)^(Presion_cilindro!$B$17+1)),0)-IF(Presion_cilindro!N17&gt;(-L$4+Presion_cilindro!$B$34),1-EXP(-Presion_cilindro!$B$16*((Presion_cilindro!N17-(-L$4+Presion_cilindro!$B$34))/Presion_cilindro!$B$35)^(Presion_cilindro!$B$17+1)),0))/((Presion_cilindro!O17+Presion_cilindro!O18)/2)</f>
        <v>0.72230387603071322</v>
      </c>
      <c r="M26" s="27">
        <f>M25*(Presion_cilindro!O17/Presion_cilindro!O18)^Presion_cilindro!$B$9+10*(Presion_cilindro!$B$9-1)*Presion_cilindro!$B$33*(IF(Presion_cilindro!N18&gt;(-M$4+Presion_cilindro!$B$34),1-EXP(-Presion_cilindro!$B$16*((Presion_cilindro!N18-(-M$4+Presion_cilindro!$B$34))/Presion_cilindro!$B$35)^(Presion_cilindro!$B$17+1)),0)-IF(Presion_cilindro!N17&gt;(-M$4+Presion_cilindro!$B$34),1-EXP(-Presion_cilindro!$B$16*((Presion_cilindro!N17-(-M$4+Presion_cilindro!$B$34))/Presion_cilindro!$B$35)^(Presion_cilindro!$B$17+1)),0))/((Presion_cilindro!O17+Presion_cilindro!O18)/2)</f>
        <v>0.72230387603071322</v>
      </c>
      <c r="N26" s="27">
        <f>N25*(Presion_cilindro!O17/Presion_cilindro!O18)^Presion_cilindro!$B$9+10*(Presion_cilindro!$B$9-1)*Presion_cilindro!$B$33*(IF(Presion_cilindro!N18&gt;(-N$4+Presion_cilindro!$B$34),1-EXP(-Presion_cilindro!$B$16*((Presion_cilindro!N18-(-N$4+Presion_cilindro!$B$34))/Presion_cilindro!$B$35)^(Presion_cilindro!$B$17+1)),0)-IF(Presion_cilindro!N17&gt;(-N$4+Presion_cilindro!$B$34),1-EXP(-Presion_cilindro!$B$16*((Presion_cilindro!N17-(-N$4+Presion_cilindro!$B$34))/Presion_cilindro!$B$35)^(Presion_cilindro!$B$17+1)),0))/((Presion_cilindro!O17+Presion_cilindro!O18)/2)</f>
        <v>0.72230387603071322</v>
      </c>
    </row>
    <row r="27" spans="1:14" x14ac:dyDescent="0.25">
      <c r="A27" s="21">
        <f>Presion_cilindro!N19</f>
        <v>-172.5</v>
      </c>
      <c r="B27" s="27">
        <f>B26*(Presion_cilindro!O18/Presion_cilindro!O19)^Presion_cilindro!$B$9+10*(Presion_cilindro!$B$9-1)*Presion_cilindro!$B$33*(IF(Presion_cilindro!N19&gt;(-B$4+Presion_cilindro!$B$34),1-EXP(-Presion_cilindro!$B$16*((Presion_cilindro!N19-(-B$4+Presion_cilindro!$B$34))/Presion_cilindro!$B$35)^(Presion_cilindro!$B$17+1)),0)-IF(Presion_cilindro!N18&gt;(-B$4+Presion_cilindro!$B$34),1-EXP(-Presion_cilindro!$B$16*((Presion_cilindro!N18-(-B$4+Presion_cilindro!$B$34))/Presion_cilindro!$B$35)^(Presion_cilindro!$B$17+1)),0))/((Presion_cilindro!O18+Presion_cilindro!O19)/2)</f>
        <v>0.72264590078433621</v>
      </c>
      <c r="C27" s="27">
        <f>C26*(Presion_cilindro!O18/Presion_cilindro!O19)^Presion_cilindro!$B$9+10*(Presion_cilindro!$B$9-1)*Presion_cilindro!$B$33*(IF(Presion_cilindro!N19&gt;(-C$4+Presion_cilindro!$B$34),1-EXP(-Presion_cilindro!$B$16*((Presion_cilindro!N19-(-C$4+Presion_cilindro!$B$34))/Presion_cilindro!$B$35)^(Presion_cilindro!$B$17+1)),0)-IF(Presion_cilindro!N18&gt;(-C$4+Presion_cilindro!$B$34),1-EXP(-Presion_cilindro!$B$16*((Presion_cilindro!N18-(-C$4+Presion_cilindro!$B$34))/Presion_cilindro!$B$35)^(Presion_cilindro!$B$17+1)),0))/((Presion_cilindro!O18+Presion_cilindro!O19)/2)</f>
        <v>0.72264590078433621</v>
      </c>
      <c r="D27" s="27">
        <f>D26*(Presion_cilindro!O18/Presion_cilindro!O19)^Presion_cilindro!$B$9+10*(Presion_cilindro!$B$9-1)*Presion_cilindro!$B$33*(IF(Presion_cilindro!N19&gt;(-D$4+Presion_cilindro!$B$34),1-EXP(-Presion_cilindro!$B$16*((Presion_cilindro!N19-(-D$4+Presion_cilindro!$B$34))/Presion_cilindro!$B$35)^(Presion_cilindro!$B$17+1)),0)-IF(Presion_cilindro!N18&gt;(-D$4+Presion_cilindro!$B$34),1-EXP(-Presion_cilindro!$B$16*((Presion_cilindro!N18-(-D$4+Presion_cilindro!$B$34))/Presion_cilindro!$B$35)^(Presion_cilindro!$B$17+1)),0))/((Presion_cilindro!O18+Presion_cilindro!O19)/2)</f>
        <v>0.72264590078433621</v>
      </c>
      <c r="E27" s="27">
        <f>E26*(Presion_cilindro!O18/Presion_cilindro!O19)^Presion_cilindro!$B$9+10*(Presion_cilindro!$B$9-1)*Presion_cilindro!$B$33*(IF(Presion_cilindro!N19&gt;(-E$4+Presion_cilindro!$B$34),1-EXP(-Presion_cilindro!$B$16*((Presion_cilindro!N19-(-E$4+Presion_cilindro!$B$34))/Presion_cilindro!$B$35)^(Presion_cilindro!$B$17+1)),0)-IF(Presion_cilindro!N18&gt;(-E$4+Presion_cilindro!$B$34),1-EXP(-Presion_cilindro!$B$16*((Presion_cilindro!N18-(-E$4+Presion_cilindro!$B$34))/Presion_cilindro!$B$35)^(Presion_cilindro!$B$17+1)),0))/((Presion_cilindro!O18+Presion_cilindro!O19)/2)</f>
        <v>0.72264590078433621</v>
      </c>
      <c r="F27" s="27">
        <f>F26*(Presion_cilindro!O18/Presion_cilindro!O19)^Presion_cilindro!$B$9+10*(Presion_cilindro!$B$9-1)*Presion_cilindro!$B$33*(IF(Presion_cilindro!N19&gt;(-F$4+Presion_cilindro!$B$34),1-EXP(-Presion_cilindro!$B$16*((Presion_cilindro!N19-(-F$4+Presion_cilindro!$B$34))/Presion_cilindro!$B$35)^(Presion_cilindro!$B$17+1)),0)-IF(Presion_cilindro!N18&gt;(-F$4+Presion_cilindro!$B$34),1-EXP(-Presion_cilindro!$B$16*((Presion_cilindro!N18-(-F$4+Presion_cilindro!$B$34))/Presion_cilindro!$B$35)^(Presion_cilindro!$B$17+1)),0))/((Presion_cilindro!O18+Presion_cilindro!O19)/2)</f>
        <v>0.72264590078433621</v>
      </c>
      <c r="G27" s="27">
        <f>G26*(Presion_cilindro!O18/Presion_cilindro!O19)^Presion_cilindro!$B$9+10*(Presion_cilindro!$B$9-1)*Presion_cilindro!$B$33*(IF(Presion_cilindro!N19&gt;(-G$4+Presion_cilindro!$B$34),1-EXP(-Presion_cilindro!$B$16*((Presion_cilindro!N19-(-G$4+Presion_cilindro!$B$34))/Presion_cilindro!$B$35)^(Presion_cilindro!$B$17+1)),0)-IF(Presion_cilindro!N18&gt;(-G$4+Presion_cilindro!$B$34),1-EXP(-Presion_cilindro!$B$16*((Presion_cilindro!N18-(-G$4+Presion_cilindro!$B$34))/Presion_cilindro!$B$35)^(Presion_cilindro!$B$17+1)),0))/((Presion_cilindro!O18+Presion_cilindro!O19)/2)</f>
        <v>0.72264590078433621</v>
      </c>
      <c r="H27" s="27">
        <f>H26*(Presion_cilindro!O18/Presion_cilindro!O19)^Presion_cilindro!$B$9+10*(Presion_cilindro!$B$9-1)*Presion_cilindro!$B$33*(IF(Presion_cilindro!N19&gt;(-H$4+Presion_cilindro!$B$34),1-EXP(-Presion_cilindro!$B$16*((Presion_cilindro!N19-(-H$4+Presion_cilindro!$B$34))/Presion_cilindro!$B$35)^(Presion_cilindro!$B$17+1)),0)-IF(Presion_cilindro!N18&gt;(-H$4+Presion_cilindro!$B$34),1-EXP(-Presion_cilindro!$B$16*((Presion_cilindro!N18-(-H$4+Presion_cilindro!$B$34))/Presion_cilindro!$B$35)^(Presion_cilindro!$B$17+1)),0))/((Presion_cilindro!O18+Presion_cilindro!O19)/2)</f>
        <v>0.72264590078433621</v>
      </c>
      <c r="I27" s="27">
        <f>I26*(Presion_cilindro!O18/Presion_cilindro!O19)^Presion_cilindro!$B$9+10*(Presion_cilindro!$B$9-1)*Presion_cilindro!$B$33*(IF(Presion_cilindro!N19&gt;(-I$4+Presion_cilindro!$B$34),1-EXP(-Presion_cilindro!$B$16*((Presion_cilindro!N19-(-I$4+Presion_cilindro!$B$34))/Presion_cilindro!$B$35)^(Presion_cilindro!$B$17+1)),0)-IF(Presion_cilindro!N18&gt;(-I$4+Presion_cilindro!$B$34),1-EXP(-Presion_cilindro!$B$16*((Presion_cilindro!N18-(-I$4+Presion_cilindro!$B$34))/Presion_cilindro!$B$35)^(Presion_cilindro!$B$17+1)),0))/((Presion_cilindro!O18+Presion_cilindro!O19)/2)</f>
        <v>0.72264590078433621</v>
      </c>
      <c r="J27" s="27">
        <f>J26*(Presion_cilindro!O18/Presion_cilindro!O19)^Presion_cilindro!$B$9+10*(Presion_cilindro!$B$9-1)*Presion_cilindro!$B$33*(IF(Presion_cilindro!N19&gt;(-J$4+Presion_cilindro!$B$34),1-EXP(-Presion_cilindro!$B$16*((Presion_cilindro!N19-(-J$4+Presion_cilindro!$B$34))/Presion_cilindro!$B$35)^(Presion_cilindro!$B$17+1)),0)-IF(Presion_cilindro!N18&gt;(-J$4+Presion_cilindro!$B$34),1-EXP(-Presion_cilindro!$B$16*((Presion_cilindro!N18-(-J$4+Presion_cilindro!$B$34))/Presion_cilindro!$B$35)^(Presion_cilindro!$B$17+1)),0))/((Presion_cilindro!O18+Presion_cilindro!O19)/2)</f>
        <v>0.72264590078433621</v>
      </c>
      <c r="K27" s="27">
        <f>K26*(Presion_cilindro!O18/Presion_cilindro!O19)^Presion_cilindro!$B$9+10*(Presion_cilindro!$B$9-1)*Presion_cilindro!$B$33*(IF(Presion_cilindro!N19&gt;(-K$4+Presion_cilindro!$B$34),1-EXP(-Presion_cilindro!$B$16*((Presion_cilindro!N19-(-K$4+Presion_cilindro!$B$34))/Presion_cilindro!$B$35)^(Presion_cilindro!$B$17+1)),0)-IF(Presion_cilindro!N18&gt;(-K$4+Presion_cilindro!$B$34),1-EXP(-Presion_cilindro!$B$16*((Presion_cilindro!N18-(-K$4+Presion_cilindro!$B$34))/Presion_cilindro!$B$35)^(Presion_cilindro!$B$17+1)),0))/((Presion_cilindro!O18+Presion_cilindro!O19)/2)</f>
        <v>0.72264590078433621</v>
      </c>
      <c r="L27" s="27">
        <f>L26*(Presion_cilindro!O18/Presion_cilindro!O19)^Presion_cilindro!$B$9+10*(Presion_cilindro!$B$9-1)*Presion_cilindro!$B$33*(IF(Presion_cilindro!N19&gt;(-L$4+Presion_cilindro!$B$34),1-EXP(-Presion_cilindro!$B$16*((Presion_cilindro!N19-(-L$4+Presion_cilindro!$B$34))/Presion_cilindro!$B$35)^(Presion_cilindro!$B$17+1)),0)-IF(Presion_cilindro!N18&gt;(-L$4+Presion_cilindro!$B$34),1-EXP(-Presion_cilindro!$B$16*((Presion_cilindro!N18-(-L$4+Presion_cilindro!$B$34))/Presion_cilindro!$B$35)^(Presion_cilindro!$B$17+1)),0))/((Presion_cilindro!O18+Presion_cilindro!O19)/2)</f>
        <v>0.72264590078433621</v>
      </c>
      <c r="M27" s="27">
        <f>M26*(Presion_cilindro!O18/Presion_cilindro!O19)^Presion_cilindro!$B$9+10*(Presion_cilindro!$B$9-1)*Presion_cilindro!$B$33*(IF(Presion_cilindro!N19&gt;(-M$4+Presion_cilindro!$B$34),1-EXP(-Presion_cilindro!$B$16*((Presion_cilindro!N19-(-M$4+Presion_cilindro!$B$34))/Presion_cilindro!$B$35)^(Presion_cilindro!$B$17+1)),0)-IF(Presion_cilindro!N18&gt;(-M$4+Presion_cilindro!$B$34),1-EXP(-Presion_cilindro!$B$16*((Presion_cilindro!N18-(-M$4+Presion_cilindro!$B$34))/Presion_cilindro!$B$35)^(Presion_cilindro!$B$17+1)),0))/((Presion_cilindro!O18+Presion_cilindro!O19)/2)</f>
        <v>0.72264590078433621</v>
      </c>
      <c r="N27" s="27">
        <f>N26*(Presion_cilindro!O18/Presion_cilindro!O19)^Presion_cilindro!$B$9+10*(Presion_cilindro!$B$9-1)*Presion_cilindro!$B$33*(IF(Presion_cilindro!N19&gt;(-N$4+Presion_cilindro!$B$34),1-EXP(-Presion_cilindro!$B$16*((Presion_cilindro!N19-(-N$4+Presion_cilindro!$B$34))/Presion_cilindro!$B$35)^(Presion_cilindro!$B$17+1)),0)-IF(Presion_cilindro!N18&gt;(-N$4+Presion_cilindro!$B$34),1-EXP(-Presion_cilindro!$B$16*((Presion_cilindro!N18-(-N$4+Presion_cilindro!$B$34))/Presion_cilindro!$B$35)^(Presion_cilindro!$B$17+1)),0))/((Presion_cilindro!O18+Presion_cilindro!O19)/2)</f>
        <v>0.72264590078433621</v>
      </c>
    </row>
    <row r="28" spans="1:14" x14ac:dyDescent="0.25">
      <c r="A28" s="21">
        <f>Presion_cilindro!N20</f>
        <v>-172</v>
      </c>
      <c r="B28" s="27">
        <f>B27*(Presion_cilindro!O19/Presion_cilindro!O20)^Presion_cilindro!$B$9+10*(Presion_cilindro!$B$9-1)*Presion_cilindro!$B$33*(IF(Presion_cilindro!N20&gt;(-B$4+Presion_cilindro!$B$34),1-EXP(-Presion_cilindro!$B$16*((Presion_cilindro!N20-(-B$4+Presion_cilindro!$B$34))/Presion_cilindro!$B$35)^(Presion_cilindro!$B$17+1)),0)-IF(Presion_cilindro!N19&gt;(-B$4+Presion_cilindro!$B$34),1-EXP(-Presion_cilindro!$B$16*((Presion_cilindro!N19-(-B$4+Presion_cilindro!$B$34))/Presion_cilindro!$B$35)^(Presion_cilindro!$B$17+1)),0))/((Presion_cilindro!O19+Presion_cilindro!O20)/2)</f>
        <v>0.72301184078720859</v>
      </c>
      <c r="C28" s="27">
        <f>C27*(Presion_cilindro!O19/Presion_cilindro!O20)^Presion_cilindro!$B$9+10*(Presion_cilindro!$B$9-1)*Presion_cilindro!$B$33*(IF(Presion_cilindro!N20&gt;(-C$4+Presion_cilindro!$B$34),1-EXP(-Presion_cilindro!$B$16*((Presion_cilindro!N20-(-C$4+Presion_cilindro!$B$34))/Presion_cilindro!$B$35)^(Presion_cilindro!$B$17+1)),0)-IF(Presion_cilindro!N19&gt;(-C$4+Presion_cilindro!$B$34),1-EXP(-Presion_cilindro!$B$16*((Presion_cilindro!N19-(-C$4+Presion_cilindro!$B$34))/Presion_cilindro!$B$35)^(Presion_cilindro!$B$17+1)),0))/((Presion_cilindro!O19+Presion_cilindro!O20)/2)</f>
        <v>0.72301184078720859</v>
      </c>
      <c r="D28" s="27">
        <f>D27*(Presion_cilindro!O19/Presion_cilindro!O20)^Presion_cilindro!$B$9+10*(Presion_cilindro!$B$9-1)*Presion_cilindro!$B$33*(IF(Presion_cilindro!N20&gt;(-D$4+Presion_cilindro!$B$34),1-EXP(-Presion_cilindro!$B$16*((Presion_cilindro!N20-(-D$4+Presion_cilindro!$B$34))/Presion_cilindro!$B$35)^(Presion_cilindro!$B$17+1)),0)-IF(Presion_cilindro!N19&gt;(-D$4+Presion_cilindro!$B$34),1-EXP(-Presion_cilindro!$B$16*((Presion_cilindro!N19-(-D$4+Presion_cilindro!$B$34))/Presion_cilindro!$B$35)^(Presion_cilindro!$B$17+1)),0))/((Presion_cilindro!O19+Presion_cilindro!O20)/2)</f>
        <v>0.72301184078720859</v>
      </c>
      <c r="E28" s="27">
        <f>E27*(Presion_cilindro!O19/Presion_cilindro!O20)^Presion_cilindro!$B$9+10*(Presion_cilindro!$B$9-1)*Presion_cilindro!$B$33*(IF(Presion_cilindro!N20&gt;(-E$4+Presion_cilindro!$B$34),1-EXP(-Presion_cilindro!$B$16*((Presion_cilindro!N20-(-E$4+Presion_cilindro!$B$34))/Presion_cilindro!$B$35)^(Presion_cilindro!$B$17+1)),0)-IF(Presion_cilindro!N19&gt;(-E$4+Presion_cilindro!$B$34),1-EXP(-Presion_cilindro!$B$16*((Presion_cilindro!N19-(-E$4+Presion_cilindro!$B$34))/Presion_cilindro!$B$35)^(Presion_cilindro!$B$17+1)),0))/((Presion_cilindro!O19+Presion_cilindro!O20)/2)</f>
        <v>0.72301184078720859</v>
      </c>
      <c r="F28" s="27">
        <f>F27*(Presion_cilindro!O19/Presion_cilindro!O20)^Presion_cilindro!$B$9+10*(Presion_cilindro!$B$9-1)*Presion_cilindro!$B$33*(IF(Presion_cilindro!N20&gt;(-F$4+Presion_cilindro!$B$34),1-EXP(-Presion_cilindro!$B$16*((Presion_cilindro!N20-(-F$4+Presion_cilindro!$B$34))/Presion_cilindro!$B$35)^(Presion_cilindro!$B$17+1)),0)-IF(Presion_cilindro!N19&gt;(-F$4+Presion_cilindro!$B$34),1-EXP(-Presion_cilindro!$B$16*((Presion_cilindro!N19-(-F$4+Presion_cilindro!$B$34))/Presion_cilindro!$B$35)^(Presion_cilindro!$B$17+1)),0))/((Presion_cilindro!O19+Presion_cilindro!O20)/2)</f>
        <v>0.72301184078720859</v>
      </c>
      <c r="G28" s="27">
        <f>G27*(Presion_cilindro!O19/Presion_cilindro!O20)^Presion_cilindro!$B$9+10*(Presion_cilindro!$B$9-1)*Presion_cilindro!$B$33*(IF(Presion_cilindro!N20&gt;(-G$4+Presion_cilindro!$B$34),1-EXP(-Presion_cilindro!$B$16*((Presion_cilindro!N20-(-G$4+Presion_cilindro!$B$34))/Presion_cilindro!$B$35)^(Presion_cilindro!$B$17+1)),0)-IF(Presion_cilindro!N19&gt;(-G$4+Presion_cilindro!$B$34),1-EXP(-Presion_cilindro!$B$16*((Presion_cilindro!N19-(-G$4+Presion_cilindro!$B$34))/Presion_cilindro!$B$35)^(Presion_cilindro!$B$17+1)),0))/((Presion_cilindro!O19+Presion_cilindro!O20)/2)</f>
        <v>0.72301184078720859</v>
      </c>
      <c r="H28" s="27">
        <f>H27*(Presion_cilindro!O19/Presion_cilindro!O20)^Presion_cilindro!$B$9+10*(Presion_cilindro!$B$9-1)*Presion_cilindro!$B$33*(IF(Presion_cilindro!N20&gt;(-H$4+Presion_cilindro!$B$34),1-EXP(-Presion_cilindro!$B$16*((Presion_cilindro!N20-(-H$4+Presion_cilindro!$B$34))/Presion_cilindro!$B$35)^(Presion_cilindro!$B$17+1)),0)-IF(Presion_cilindro!N19&gt;(-H$4+Presion_cilindro!$B$34),1-EXP(-Presion_cilindro!$B$16*((Presion_cilindro!N19-(-H$4+Presion_cilindro!$B$34))/Presion_cilindro!$B$35)^(Presion_cilindro!$B$17+1)),0))/((Presion_cilindro!O19+Presion_cilindro!O20)/2)</f>
        <v>0.72301184078720859</v>
      </c>
      <c r="I28" s="27">
        <f>I27*(Presion_cilindro!O19/Presion_cilindro!O20)^Presion_cilindro!$B$9+10*(Presion_cilindro!$B$9-1)*Presion_cilindro!$B$33*(IF(Presion_cilindro!N20&gt;(-I$4+Presion_cilindro!$B$34),1-EXP(-Presion_cilindro!$B$16*((Presion_cilindro!N20-(-I$4+Presion_cilindro!$B$34))/Presion_cilindro!$B$35)^(Presion_cilindro!$B$17+1)),0)-IF(Presion_cilindro!N19&gt;(-I$4+Presion_cilindro!$B$34),1-EXP(-Presion_cilindro!$B$16*((Presion_cilindro!N19-(-I$4+Presion_cilindro!$B$34))/Presion_cilindro!$B$35)^(Presion_cilindro!$B$17+1)),0))/((Presion_cilindro!O19+Presion_cilindro!O20)/2)</f>
        <v>0.72301184078720859</v>
      </c>
      <c r="J28" s="27">
        <f>J27*(Presion_cilindro!O19/Presion_cilindro!O20)^Presion_cilindro!$B$9+10*(Presion_cilindro!$B$9-1)*Presion_cilindro!$B$33*(IF(Presion_cilindro!N20&gt;(-J$4+Presion_cilindro!$B$34),1-EXP(-Presion_cilindro!$B$16*((Presion_cilindro!N20-(-J$4+Presion_cilindro!$B$34))/Presion_cilindro!$B$35)^(Presion_cilindro!$B$17+1)),0)-IF(Presion_cilindro!N19&gt;(-J$4+Presion_cilindro!$B$34),1-EXP(-Presion_cilindro!$B$16*((Presion_cilindro!N19-(-J$4+Presion_cilindro!$B$34))/Presion_cilindro!$B$35)^(Presion_cilindro!$B$17+1)),0))/((Presion_cilindro!O19+Presion_cilindro!O20)/2)</f>
        <v>0.72301184078720859</v>
      </c>
      <c r="K28" s="27">
        <f>K27*(Presion_cilindro!O19/Presion_cilindro!O20)^Presion_cilindro!$B$9+10*(Presion_cilindro!$B$9-1)*Presion_cilindro!$B$33*(IF(Presion_cilindro!N20&gt;(-K$4+Presion_cilindro!$B$34),1-EXP(-Presion_cilindro!$B$16*((Presion_cilindro!N20-(-K$4+Presion_cilindro!$B$34))/Presion_cilindro!$B$35)^(Presion_cilindro!$B$17+1)),0)-IF(Presion_cilindro!N19&gt;(-K$4+Presion_cilindro!$B$34),1-EXP(-Presion_cilindro!$B$16*((Presion_cilindro!N19-(-K$4+Presion_cilindro!$B$34))/Presion_cilindro!$B$35)^(Presion_cilindro!$B$17+1)),0))/((Presion_cilindro!O19+Presion_cilindro!O20)/2)</f>
        <v>0.72301184078720859</v>
      </c>
      <c r="L28" s="27">
        <f>L27*(Presion_cilindro!O19/Presion_cilindro!O20)^Presion_cilindro!$B$9+10*(Presion_cilindro!$B$9-1)*Presion_cilindro!$B$33*(IF(Presion_cilindro!N20&gt;(-L$4+Presion_cilindro!$B$34),1-EXP(-Presion_cilindro!$B$16*((Presion_cilindro!N20-(-L$4+Presion_cilindro!$B$34))/Presion_cilindro!$B$35)^(Presion_cilindro!$B$17+1)),0)-IF(Presion_cilindro!N19&gt;(-L$4+Presion_cilindro!$B$34),1-EXP(-Presion_cilindro!$B$16*((Presion_cilindro!N19-(-L$4+Presion_cilindro!$B$34))/Presion_cilindro!$B$35)^(Presion_cilindro!$B$17+1)),0))/((Presion_cilindro!O19+Presion_cilindro!O20)/2)</f>
        <v>0.72301184078720859</v>
      </c>
      <c r="M28" s="27">
        <f>M27*(Presion_cilindro!O19/Presion_cilindro!O20)^Presion_cilindro!$B$9+10*(Presion_cilindro!$B$9-1)*Presion_cilindro!$B$33*(IF(Presion_cilindro!N20&gt;(-M$4+Presion_cilindro!$B$34),1-EXP(-Presion_cilindro!$B$16*((Presion_cilindro!N20-(-M$4+Presion_cilindro!$B$34))/Presion_cilindro!$B$35)^(Presion_cilindro!$B$17+1)),0)-IF(Presion_cilindro!N19&gt;(-M$4+Presion_cilindro!$B$34),1-EXP(-Presion_cilindro!$B$16*((Presion_cilindro!N19-(-M$4+Presion_cilindro!$B$34))/Presion_cilindro!$B$35)^(Presion_cilindro!$B$17+1)),0))/((Presion_cilindro!O19+Presion_cilindro!O20)/2)</f>
        <v>0.72301184078720859</v>
      </c>
      <c r="N28" s="27">
        <f>N27*(Presion_cilindro!O19/Presion_cilindro!O20)^Presion_cilindro!$B$9+10*(Presion_cilindro!$B$9-1)*Presion_cilindro!$B$33*(IF(Presion_cilindro!N20&gt;(-N$4+Presion_cilindro!$B$34),1-EXP(-Presion_cilindro!$B$16*((Presion_cilindro!N20-(-N$4+Presion_cilindro!$B$34))/Presion_cilindro!$B$35)^(Presion_cilindro!$B$17+1)),0)-IF(Presion_cilindro!N19&gt;(-N$4+Presion_cilindro!$B$34),1-EXP(-Presion_cilindro!$B$16*((Presion_cilindro!N19-(-N$4+Presion_cilindro!$B$34))/Presion_cilindro!$B$35)^(Presion_cilindro!$B$17+1)),0))/((Presion_cilindro!O19+Presion_cilindro!O20)/2)</f>
        <v>0.72301184078720859</v>
      </c>
    </row>
    <row r="29" spans="1:14" x14ac:dyDescent="0.25">
      <c r="A29" s="21">
        <f>Presion_cilindro!N21</f>
        <v>-171.5</v>
      </c>
      <c r="B29" s="27">
        <f>B28*(Presion_cilindro!O20/Presion_cilindro!O21)^Presion_cilindro!$B$9+10*(Presion_cilindro!$B$9-1)*Presion_cilindro!$B$33*(IF(Presion_cilindro!N21&gt;(-B$4+Presion_cilindro!$B$34),1-EXP(-Presion_cilindro!$B$16*((Presion_cilindro!N21-(-B$4+Presion_cilindro!$B$34))/Presion_cilindro!$B$35)^(Presion_cilindro!$B$17+1)),0)-IF(Presion_cilindro!N20&gt;(-B$4+Presion_cilindro!$B$34),1-EXP(-Presion_cilindro!$B$16*((Presion_cilindro!N20-(-B$4+Presion_cilindro!$B$34))/Presion_cilindro!$B$35)^(Presion_cilindro!$B$17+1)),0))/((Presion_cilindro!O20+Presion_cilindro!O21)/2)</f>
        <v>0.72340176188081706</v>
      </c>
      <c r="C29" s="27">
        <f>C28*(Presion_cilindro!O20/Presion_cilindro!O21)^Presion_cilindro!$B$9+10*(Presion_cilindro!$B$9-1)*Presion_cilindro!$B$33*(IF(Presion_cilindro!N21&gt;(-C$4+Presion_cilindro!$B$34),1-EXP(-Presion_cilindro!$B$16*((Presion_cilindro!N21-(-C$4+Presion_cilindro!$B$34))/Presion_cilindro!$B$35)^(Presion_cilindro!$B$17+1)),0)-IF(Presion_cilindro!N20&gt;(-C$4+Presion_cilindro!$B$34),1-EXP(-Presion_cilindro!$B$16*((Presion_cilindro!N20-(-C$4+Presion_cilindro!$B$34))/Presion_cilindro!$B$35)^(Presion_cilindro!$B$17+1)),0))/((Presion_cilindro!O20+Presion_cilindro!O21)/2)</f>
        <v>0.72340176188081706</v>
      </c>
      <c r="D29" s="27">
        <f>D28*(Presion_cilindro!O20/Presion_cilindro!O21)^Presion_cilindro!$B$9+10*(Presion_cilindro!$B$9-1)*Presion_cilindro!$B$33*(IF(Presion_cilindro!N21&gt;(-D$4+Presion_cilindro!$B$34),1-EXP(-Presion_cilindro!$B$16*((Presion_cilindro!N21-(-D$4+Presion_cilindro!$B$34))/Presion_cilindro!$B$35)^(Presion_cilindro!$B$17+1)),0)-IF(Presion_cilindro!N20&gt;(-D$4+Presion_cilindro!$B$34),1-EXP(-Presion_cilindro!$B$16*((Presion_cilindro!N20-(-D$4+Presion_cilindro!$B$34))/Presion_cilindro!$B$35)^(Presion_cilindro!$B$17+1)),0))/((Presion_cilindro!O20+Presion_cilindro!O21)/2)</f>
        <v>0.72340176188081706</v>
      </c>
      <c r="E29" s="27">
        <f>E28*(Presion_cilindro!O20/Presion_cilindro!O21)^Presion_cilindro!$B$9+10*(Presion_cilindro!$B$9-1)*Presion_cilindro!$B$33*(IF(Presion_cilindro!N21&gt;(-E$4+Presion_cilindro!$B$34),1-EXP(-Presion_cilindro!$B$16*((Presion_cilindro!N21-(-E$4+Presion_cilindro!$B$34))/Presion_cilindro!$B$35)^(Presion_cilindro!$B$17+1)),0)-IF(Presion_cilindro!N20&gt;(-E$4+Presion_cilindro!$B$34),1-EXP(-Presion_cilindro!$B$16*((Presion_cilindro!N20-(-E$4+Presion_cilindro!$B$34))/Presion_cilindro!$B$35)^(Presion_cilindro!$B$17+1)),0))/((Presion_cilindro!O20+Presion_cilindro!O21)/2)</f>
        <v>0.72340176188081706</v>
      </c>
      <c r="F29" s="27">
        <f>F28*(Presion_cilindro!O20/Presion_cilindro!O21)^Presion_cilindro!$B$9+10*(Presion_cilindro!$B$9-1)*Presion_cilindro!$B$33*(IF(Presion_cilindro!N21&gt;(-F$4+Presion_cilindro!$B$34),1-EXP(-Presion_cilindro!$B$16*((Presion_cilindro!N21-(-F$4+Presion_cilindro!$B$34))/Presion_cilindro!$B$35)^(Presion_cilindro!$B$17+1)),0)-IF(Presion_cilindro!N20&gt;(-F$4+Presion_cilindro!$B$34),1-EXP(-Presion_cilindro!$B$16*((Presion_cilindro!N20-(-F$4+Presion_cilindro!$B$34))/Presion_cilindro!$B$35)^(Presion_cilindro!$B$17+1)),0))/((Presion_cilindro!O20+Presion_cilindro!O21)/2)</f>
        <v>0.72340176188081706</v>
      </c>
      <c r="G29" s="27">
        <f>G28*(Presion_cilindro!O20/Presion_cilindro!O21)^Presion_cilindro!$B$9+10*(Presion_cilindro!$B$9-1)*Presion_cilindro!$B$33*(IF(Presion_cilindro!N21&gt;(-G$4+Presion_cilindro!$B$34),1-EXP(-Presion_cilindro!$B$16*((Presion_cilindro!N21-(-G$4+Presion_cilindro!$B$34))/Presion_cilindro!$B$35)^(Presion_cilindro!$B$17+1)),0)-IF(Presion_cilindro!N20&gt;(-G$4+Presion_cilindro!$B$34),1-EXP(-Presion_cilindro!$B$16*((Presion_cilindro!N20-(-G$4+Presion_cilindro!$B$34))/Presion_cilindro!$B$35)^(Presion_cilindro!$B$17+1)),0))/((Presion_cilindro!O20+Presion_cilindro!O21)/2)</f>
        <v>0.72340176188081706</v>
      </c>
      <c r="H29" s="27">
        <f>H28*(Presion_cilindro!O20/Presion_cilindro!O21)^Presion_cilindro!$B$9+10*(Presion_cilindro!$B$9-1)*Presion_cilindro!$B$33*(IF(Presion_cilindro!N21&gt;(-H$4+Presion_cilindro!$B$34),1-EXP(-Presion_cilindro!$B$16*((Presion_cilindro!N21-(-H$4+Presion_cilindro!$B$34))/Presion_cilindro!$B$35)^(Presion_cilindro!$B$17+1)),0)-IF(Presion_cilindro!N20&gt;(-H$4+Presion_cilindro!$B$34),1-EXP(-Presion_cilindro!$B$16*((Presion_cilindro!N20-(-H$4+Presion_cilindro!$B$34))/Presion_cilindro!$B$35)^(Presion_cilindro!$B$17+1)),0))/((Presion_cilindro!O20+Presion_cilindro!O21)/2)</f>
        <v>0.72340176188081706</v>
      </c>
      <c r="I29" s="27">
        <f>I28*(Presion_cilindro!O20/Presion_cilindro!O21)^Presion_cilindro!$B$9+10*(Presion_cilindro!$B$9-1)*Presion_cilindro!$B$33*(IF(Presion_cilindro!N21&gt;(-I$4+Presion_cilindro!$B$34),1-EXP(-Presion_cilindro!$B$16*((Presion_cilindro!N21-(-I$4+Presion_cilindro!$B$34))/Presion_cilindro!$B$35)^(Presion_cilindro!$B$17+1)),0)-IF(Presion_cilindro!N20&gt;(-I$4+Presion_cilindro!$B$34),1-EXP(-Presion_cilindro!$B$16*((Presion_cilindro!N20-(-I$4+Presion_cilindro!$B$34))/Presion_cilindro!$B$35)^(Presion_cilindro!$B$17+1)),0))/((Presion_cilindro!O20+Presion_cilindro!O21)/2)</f>
        <v>0.72340176188081706</v>
      </c>
      <c r="J29" s="27">
        <f>J28*(Presion_cilindro!O20/Presion_cilindro!O21)^Presion_cilindro!$B$9+10*(Presion_cilindro!$B$9-1)*Presion_cilindro!$B$33*(IF(Presion_cilindro!N21&gt;(-J$4+Presion_cilindro!$B$34),1-EXP(-Presion_cilindro!$B$16*((Presion_cilindro!N21-(-J$4+Presion_cilindro!$B$34))/Presion_cilindro!$B$35)^(Presion_cilindro!$B$17+1)),0)-IF(Presion_cilindro!N20&gt;(-J$4+Presion_cilindro!$B$34),1-EXP(-Presion_cilindro!$B$16*((Presion_cilindro!N20-(-J$4+Presion_cilindro!$B$34))/Presion_cilindro!$B$35)^(Presion_cilindro!$B$17+1)),0))/((Presion_cilindro!O20+Presion_cilindro!O21)/2)</f>
        <v>0.72340176188081706</v>
      </c>
      <c r="K29" s="27">
        <f>K28*(Presion_cilindro!O20/Presion_cilindro!O21)^Presion_cilindro!$B$9+10*(Presion_cilindro!$B$9-1)*Presion_cilindro!$B$33*(IF(Presion_cilindro!N21&gt;(-K$4+Presion_cilindro!$B$34),1-EXP(-Presion_cilindro!$B$16*((Presion_cilindro!N21-(-K$4+Presion_cilindro!$B$34))/Presion_cilindro!$B$35)^(Presion_cilindro!$B$17+1)),0)-IF(Presion_cilindro!N20&gt;(-K$4+Presion_cilindro!$B$34),1-EXP(-Presion_cilindro!$B$16*((Presion_cilindro!N20-(-K$4+Presion_cilindro!$B$34))/Presion_cilindro!$B$35)^(Presion_cilindro!$B$17+1)),0))/((Presion_cilindro!O20+Presion_cilindro!O21)/2)</f>
        <v>0.72340176188081706</v>
      </c>
      <c r="L29" s="27">
        <f>L28*(Presion_cilindro!O20/Presion_cilindro!O21)^Presion_cilindro!$B$9+10*(Presion_cilindro!$B$9-1)*Presion_cilindro!$B$33*(IF(Presion_cilindro!N21&gt;(-L$4+Presion_cilindro!$B$34),1-EXP(-Presion_cilindro!$B$16*((Presion_cilindro!N21-(-L$4+Presion_cilindro!$B$34))/Presion_cilindro!$B$35)^(Presion_cilindro!$B$17+1)),0)-IF(Presion_cilindro!N20&gt;(-L$4+Presion_cilindro!$B$34),1-EXP(-Presion_cilindro!$B$16*((Presion_cilindro!N20-(-L$4+Presion_cilindro!$B$34))/Presion_cilindro!$B$35)^(Presion_cilindro!$B$17+1)),0))/((Presion_cilindro!O20+Presion_cilindro!O21)/2)</f>
        <v>0.72340176188081706</v>
      </c>
      <c r="M29" s="27">
        <f>M28*(Presion_cilindro!O20/Presion_cilindro!O21)^Presion_cilindro!$B$9+10*(Presion_cilindro!$B$9-1)*Presion_cilindro!$B$33*(IF(Presion_cilindro!N21&gt;(-M$4+Presion_cilindro!$B$34),1-EXP(-Presion_cilindro!$B$16*((Presion_cilindro!N21-(-M$4+Presion_cilindro!$B$34))/Presion_cilindro!$B$35)^(Presion_cilindro!$B$17+1)),0)-IF(Presion_cilindro!N20&gt;(-M$4+Presion_cilindro!$B$34),1-EXP(-Presion_cilindro!$B$16*((Presion_cilindro!N20-(-M$4+Presion_cilindro!$B$34))/Presion_cilindro!$B$35)^(Presion_cilindro!$B$17+1)),0))/((Presion_cilindro!O20+Presion_cilindro!O21)/2)</f>
        <v>0.72340176188081706</v>
      </c>
      <c r="N29" s="27">
        <f>N28*(Presion_cilindro!O20/Presion_cilindro!O21)^Presion_cilindro!$B$9+10*(Presion_cilindro!$B$9-1)*Presion_cilindro!$B$33*(IF(Presion_cilindro!N21&gt;(-N$4+Presion_cilindro!$B$34),1-EXP(-Presion_cilindro!$B$16*((Presion_cilindro!N21-(-N$4+Presion_cilindro!$B$34))/Presion_cilindro!$B$35)^(Presion_cilindro!$B$17+1)),0)-IF(Presion_cilindro!N20&gt;(-N$4+Presion_cilindro!$B$34),1-EXP(-Presion_cilindro!$B$16*((Presion_cilindro!N20-(-N$4+Presion_cilindro!$B$34))/Presion_cilindro!$B$35)^(Presion_cilindro!$B$17+1)),0))/((Presion_cilindro!O20+Presion_cilindro!O21)/2)</f>
        <v>0.72340176188081706</v>
      </c>
    </row>
    <row r="30" spans="1:14" x14ac:dyDescent="0.25">
      <c r="A30" s="21">
        <f>Presion_cilindro!N22</f>
        <v>-171</v>
      </c>
      <c r="B30" s="27">
        <f>B29*(Presion_cilindro!O21/Presion_cilindro!O22)^Presion_cilindro!$B$9+10*(Presion_cilindro!$B$9-1)*Presion_cilindro!$B$33*(IF(Presion_cilindro!N22&gt;(-B$4+Presion_cilindro!$B$34),1-EXP(-Presion_cilindro!$B$16*((Presion_cilindro!N22-(-B$4+Presion_cilindro!$B$34))/Presion_cilindro!$B$35)^(Presion_cilindro!$B$17+1)),0)-IF(Presion_cilindro!N21&gt;(-B$4+Presion_cilindro!$B$34),1-EXP(-Presion_cilindro!$B$16*((Presion_cilindro!N21-(-B$4+Presion_cilindro!$B$34))/Presion_cilindro!$B$35)^(Presion_cilindro!$B$17+1)),0))/((Presion_cilindro!O21+Presion_cilindro!O22)/2)</f>
        <v>0.72381573427579171</v>
      </c>
      <c r="C30" s="27">
        <f>C29*(Presion_cilindro!O21/Presion_cilindro!O22)^Presion_cilindro!$B$9+10*(Presion_cilindro!$B$9-1)*Presion_cilindro!$B$33*(IF(Presion_cilindro!N22&gt;(-C$4+Presion_cilindro!$B$34),1-EXP(-Presion_cilindro!$B$16*((Presion_cilindro!N22-(-C$4+Presion_cilindro!$B$34))/Presion_cilindro!$B$35)^(Presion_cilindro!$B$17+1)),0)-IF(Presion_cilindro!N21&gt;(-C$4+Presion_cilindro!$B$34),1-EXP(-Presion_cilindro!$B$16*((Presion_cilindro!N21-(-C$4+Presion_cilindro!$B$34))/Presion_cilindro!$B$35)^(Presion_cilindro!$B$17+1)),0))/((Presion_cilindro!O21+Presion_cilindro!O22)/2)</f>
        <v>0.72381573427579171</v>
      </c>
      <c r="D30" s="27">
        <f>D29*(Presion_cilindro!O21/Presion_cilindro!O22)^Presion_cilindro!$B$9+10*(Presion_cilindro!$B$9-1)*Presion_cilindro!$B$33*(IF(Presion_cilindro!N22&gt;(-D$4+Presion_cilindro!$B$34),1-EXP(-Presion_cilindro!$B$16*((Presion_cilindro!N22-(-D$4+Presion_cilindro!$B$34))/Presion_cilindro!$B$35)^(Presion_cilindro!$B$17+1)),0)-IF(Presion_cilindro!N21&gt;(-D$4+Presion_cilindro!$B$34),1-EXP(-Presion_cilindro!$B$16*((Presion_cilindro!N21-(-D$4+Presion_cilindro!$B$34))/Presion_cilindro!$B$35)^(Presion_cilindro!$B$17+1)),0))/((Presion_cilindro!O21+Presion_cilindro!O22)/2)</f>
        <v>0.72381573427579171</v>
      </c>
      <c r="E30" s="27">
        <f>E29*(Presion_cilindro!O21/Presion_cilindro!O22)^Presion_cilindro!$B$9+10*(Presion_cilindro!$B$9-1)*Presion_cilindro!$B$33*(IF(Presion_cilindro!N22&gt;(-E$4+Presion_cilindro!$B$34),1-EXP(-Presion_cilindro!$B$16*((Presion_cilindro!N22-(-E$4+Presion_cilindro!$B$34))/Presion_cilindro!$B$35)^(Presion_cilindro!$B$17+1)),0)-IF(Presion_cilindro!N21&gt;(-E$4+Presion_cilindro!$B$34),1-EXP(-Presion_cilindro!$B$16*((Presion_cilindro!N21-(-E$4+Presion_cilindro!$B$34))/Presion_cilindro!$B$35)^(Presion_cilindro!$B$17+1)),0))/((Presion_cilindro!O21+Presion_cilindro!O22)/2)</f>
        <v>0.72381573427579171</v>
      </c>
      <c r="F30" s="27">
        <f>F29*(Presion_cilindro!O21/Presion_cilindro!O22)^Presion_cilindro!$B$9+10*(Presion_cilindro!$B$9-1)*Presion_cilindro!$B$33*(IF(Presion_cilindro!N22&gt;(-F$4+Presion_cilindro!$B$34),1-EXP(-Presion_cilindro!$B$16*((Presion_cilindro!N22-(-F$4+Presion_cilindro!$B$34))/Presion_cilindro!$B$35)^(Presion_cilindro!$B$17+1)),0)-IF(Presion_cilindro!N21&gt;(-F$4+Presion_cilindro!$B$34),1-EXP(-Presion_cilindro!$B$16*((Presion_cilindro!N21-(-F$4+Presion_cilindro!$B$34))/Presion_cilindro!$B$35)^(Presion_cilindro!$B$17+1)),0))/((Presion_cilindro!O21+Presion_cilindro!O22)/2)</f>
        <v>0.72381573427579171</v>
      </c>
      <c r="G30" s="27">
        <f>G29*(Presion_cilindro!O21/Presion_cilindro!O22)^Presion_cilindro!$B$9+10*(Presion_cilindro!$B$9-1)*Presion_cilindro!$B$33*(IF(Presion_cilindro!N22&gt;(-G$4+Presion_cilindro!$B$34),1-EXP(-Presion_cilindro!$B$16*((Presion_cilindro!N22-(-G$4+Presion_cilindro!$B$34))/Presion_cilindro!$B$35)^(Presion_cilindro!$B$17+1)),0)-IF(Presion_cilindro!N21&gt;(-G$4+Presion_cilindro!$B$34),1-EXP(-Presion_cilindro!$B$16*((Presion_cilindro!N21-(-G$4+Presion_cilindro!$B$34))/Presion_cilindro!$B$35)^(Presion_cilindro!$B$17+1)),0))/((Presion_cilindro!O21+Presion_cilindro!O22)/2)</f>
        <v>0.72381573427579171</v>
      </c>
      <c r="H30" s="27">
        <f>H29*(Presion_cilindro!O21/Presion_cilindro!O22)^Presion_cilindro!$B$9+10*(Presion_cilindro!$B$9-1)*Presion_cilindro!$B$33*(IF(Presion_cilindro!N22&gt;(-H$4+Presion_cilindro!$B$34),1-EXP(-Presion_cilindro!$B$16*((Presion_cilindro!N22-(-H$4+Presion_cilindro!$B$34))/Presion_cilindro!$B$35)^(Presion_cilindro!$B$17+1)),0)-IF(Presion_cilindro!N21&gt;(-H$4+Presion_cilindro!$B$34),1-EXP(-Presion_cilindro!$B$16*((Presion_cilindro!N21-(-H$4+Presion_cilindro!$B$34))/Presion_cilindro!$B$35)^(Presion_cilindro!$B$17+1)),0))/((Presion_cilindro!O21+Presion_cilindro!O22)/2)</f>
        <v>0.72381573427579171</v>
      </c>
      <c r="I30" s="27">
        <f>I29*(Presion_cilindro!O21/Presion_cilindro!O22)^Presion_cilindro!$B$9+10*(Presion_cilindro!$B$9-1)*Presion_cilindro!$B$33*(IF(Presion_cilindro!N22&gt;(-I$4+Presion_cilindro!$B$34),1-EXP(-Presion_cilindro!$B$16*((Presion_cilindro!N22-(-I$4+Presion_cilindro!$B$34))/Presion_cilindro!$B$35)^(Presion_cilindro!$B$17+1)),0)-IF(Presion_cilindro!N21&gt;(-I$4+Presion_cilindro!$B$34),1-EXP(-Presion_cilindro!$B$16*((Presion_cilindro!N21-(-I$4+Presion_cilindro!$B$34))/Presion_cilindro!$B$35)^(Presion_cilindro!$B$17+1)),0))/((Presion_cilindro!O21+Presion_cilindro!O22)/2)</f>
        <v>0.72381573427579171</v>
      </c>
      <c r="J30" s="27">
        <f>J29*(Presion_cilindro!O21/Presion_cilindro!O22)^Presion_cilindro!$B$9+10*(Presion_cilindro!$B$9-1)*Presion_cilindro!$B$33*(IF(Presion_cilindro!N22&gt;(-J$4+Presion_cilindro!$B$34),1-EXP(-Presion_cilindro!$B$16*((Presion_cilindro!N22-(-J$4+Presion_cilindro!$B$34))/Presion_cilindro!$B$35)^(Presion_cilindro!$B$17+1)),0)-IF(Presion_cilindro!N21&gt;(-J$4+Presion_cilindro!$B$34),1-EXP(-Presion_cilindro!$B$16*((Presion_cilindro!N21-(-J$4+Presion_cilindro!$B$34))/Presion_cilindro!$B$35)^(Presion_cilindro!$B$17+1)),0))/((Presion_cilindro!O21+Presion_cilindro!O22)/2)</f>
        <v>0.72381573427579171</v>
      </c>
      <c r="K30" s="27">
        <f>K29*(Presion_cilindro!O21/Presion_cilindro!O22)^Presion_cilindro!$B$9+10*(Presion_cilindro!$B$9-1)*Presion_cilindro!$B$33*(IF(Presion_cilindro!N22&gt;(-K$4+Presion_cilindro!$B$34),1-EXP(-Presion_cilindro!$B$16*((Presion_cilindro!N22-(-K$4+Presion_cilindro!$B$34))/Presion_cilindro!$B$35)^(Presion_cilindro!$B$17+1)),0)-IF(Presion_cilindro!N21&gt;(-K$4+Presion_cilindro!$B$34),1-EXP(-Presion_cilindro!$B$16*((Presion_cilindro!N21-(-K$4+Presion_cilindro!$B$34))/Presion_cilindro!$B$35)^(Presion_cilindro!$B$17+1)),0))/((Presion_cilindro!O21+Presion_cilindro!O22)/2)</f>
        <v>0.72381573427579171</v>
      </c>
      <c r="L30" s="27">
        <f>L29*(Presion_cilindro!O21/Presion_cilindro!O22)^Presion_cilindro!$B$9+10*(Presion_cilindro!$B$9-1)*Presion_cilindro!$B$33*(IF(Presion_cilindro!N22&gt;(-L$4+Presion_cilindro!$B$34),1-EXP(-Presion_cilindro!$B$16*((Presion_cilindro!N22-(-L$4+Presion_cilindro!$B$34))/Presion_cilindro!$B$35)^(Presion_cilindro!$B$17+1)),0)-IF(Presion_cilindro!N21&gt;(-L$4+Presion_cilindro!$B$34),1-EXP(-Presion_cilindro!$B$16*((Presion_cilindro!N21-(-L$4+Presion_cilindro!$B$34))/Presion_cilindro!$B$35)^(Presion_cilindro!$B$17+1)),0))/((Presion_cilindro!O21+Presion_cilindro!O22)/2)</f>
        <v>0.72381573427579171</v>
      </c>
      <c r="M30" s="27">
        <f>M29*(Presion_cilindro!O21/Presion_cilindro!O22)^Presion_cilindro!$B$9+10*(Presion_cilindro!$B$9-1)*Presion_cilindro!$B$33*(IF(Presion_cilindro!N22&gt;(-M$4+Presion_cilindro!$B$34),1-EXP(-Presion_cilindro!$B$16*((Presion_cilindro!N22-(-M$4+Presion_cilindro!$B$34))/Presion_cilindro!$B$35)^(Presion_cilindro!$B$17+1)),0)-IF(Presion_cilindro!N21&gt;(-M$4+Presion_cilindro!$B$34),1-EXP(-Presion_cilindro!$B$16*((Presion_cilindro!N21-(-M$4+Presion_cilindro!$B$34))/Presion_cilindro!$B$35)^(Presion_cilindro!$B$17+1)),0))/((Presion_cilindro!O21+Presion_cilindro!O22)/2)</f>
        <v>0.72381573427579171</v>
      </c>
      <c r="N30" s="27">
        <f>N29*(Presion_cilindro!O21/Presion_cilindro!O22)^Presion_cilindro!$B$9+10*(Presion_cilindro!$B$9-1)*Presion_cilindro!$B$33*(IF(Presion_cilindro!N22&gt;(-N$4+Presion_cilindro!$B$34),1-EXP(-Presion_cilindro!$B$16*((Presion_cilindro!N22-(-N$4+Presion_cilindro!$B$34))/Presion_cilindro!$B$35)^(Presion_cilindro!$B$17+1)),0)-IF(Presion_cilindro!N21&gt;(-N$4+Presion_cilindro!$B$34),1-EXP(-Presion_cilindro!$B$16*((Presion_cilindro!N21-(-N$4+Presion_cilindro!$B$34))/Presion_cilindro!$B$35)^(Presion_cilindro!$B$17+1)),0))/((Presion_cilindro!O21+Presion_cilindro!O22)/2)</f>
        <v>0.72381573427579171</v>
      </c>
    </row>
    <row r="31" spans="1:14" x14ac:dyDescent="0.25">
      <c r="A31" s="21">
        <f>Presion_cilindro!N23</f>
        <v>-170.5</v>
      </c>
      <c r="B31" s="27">
        <f>B30*(Presion_cilindro!O22/Presion_cilindro!O23)^Presion_cilindro!$B$9+10*(Presion_cilindro!$B$9-1)*Presion_cilindro!$B$33*(IF(Presion_cilindro!N23&gt;(-B$4+Presion_cilindro!$B$34),1-EXP(-Presion_cilindro!$B$16*((Presion_cilindro!N23-(-B$4+Presion_cilindro!$B$34))/Presion_cilindro!$B$35)^(Presion_cilindro!$B$17+1)),0)-IF(Presion_cilindro!N22&gt;(-B$4+Presion_cilindro!$B$34),1-EXP(-Presion_cilindro!$B$16*((Presion_cilindro!N22-(-B$4+Presion_cilindro!$B$34))/Presion_cilindro!$B$35)^(Presion_cilindro!$B$17+1)),0))/((Presion_cilindro!O22+Presion_cilindro!O23)/2)</f>
        <v>0.72425383257487619</v>
      </c>
      <c r="C31" s="27">
        <f>C30*(Presion_cilindro!O22/Presion_cilindro!O23)^Presion_cilindro!$B$9+10*(Presion_cilindro!$B$9-1)*Presion_cilindro!$B$33*(IF(Presion_cilindro!N23&gt;(-C$4+Presion_cilindro!$B$34),1-EXP(-Presion_cilindro!$B$16*((Presion_cilindro!N23-(-C$4+Presion_cilindro!$B$34))/Presion_cilindro!$B$35)^(Presion_cilindro!$B$17+1)),0)-IF(Presion_cilindro!N22&gt;(-C$4+Presion_cilindro!$B$34),1-EXP(-Presion_cilindro!$B$16*((Presion_cilindro!N22-(-C$4+Presion_cilindro!$B$34))/Presion_cilindro!$B$35)^(Presion_cilindro!$B$17+1)),0))/((Presion_cilindro!O22+Presion_cilindro!O23)/2)</f>
        <v>0.72425383257487619</v>
      </c>
      <c r="D31" s="27">
        <f>D30*(Presion_cilindro!O22/Presion_cilindro!O23)^Presion_cilindro!$B$9+10*(Presion_cilindro!$B$9-1)*Presion_cilindro!$B$33*(IF(Presion_cilindro!N23&gt;(-D$4+Presion_cilindro!$B$34),1-EXP(-Presion_cilindro!$B$16*((Presion_cilindro!N23-(-D$4+Presion_cilindro!$B$34))/Presion_cilindro!$B$35)^(Presion_cilindro!$B$17+1)),0)-IF(Presion_cilindro!N22&gt;(-D$4+Presion_cilindro!$B$34),1-EXP(-Presion_cilindro!$B$16*((Presion_cilindro!N22-(-D$4+Presion_cilindro!$B$34))/Presion_cilindro!$B$35)^(Presion_cilindro!$B$17+1)),0))/((Presion_cilindro!O22+Presion_cilindro!O23)/2)</f>
        <v>0.72425383257487619</v>
      </c>
      <c r="E31" s="27">
        <f>E30*(Presion_cilindro!O22/Presion_cilindro!O23)^Presion_cilindro!$B$9+10*(Presion_cilindro!$B$9-1)*Presion_cilindro!$B$33*(IF(Presion_cilindro!N23&gt;(-E$4+Presion_cilindro!$B$34),1-EXP(-Presion_cilindro!$B$16*((Presion_cilindro!N23-(-E$4+Presion_cilindro!$B$34))/Presion_cilindro!$B$35)^(Presion_cilindro!$B$17+1)),0)-IF(Presion_cilindro!N22&gt;(-E$4+Presion_cilindro!$B$34),1-EXP(-Presion_cilindro!$B$16*((Presion_cilindro!N22-(-E$4+Presion_cilindro!$B$34))/Presion_cilindro!$B$35)^(Presion_cilindro!$B$17+1)),0))/((Presion_cilindro!O22+Presion_cilindro!O23)/2)</f>
        <v>0.72425383257487619</v>
      </c>
      <c r="F31" s="27">
        <f>F30*(Presion_cilindro!O22/Presion_cilindro!O23)^Presion_cilindro!$B$9+10*(Presion_cilindro!$B$9-1)*Presion_cilindro!$B$33*(IF(Presion_cilindro!N23&gt;(-F$4+Presion_cilindro!$B$34),1-EXP(-Presion_cilindro!$B$16*((Presion_cilindro!N23-(-F$4+Presion_cilindro!$B$34))/Presion_cilindro!$B$35)^(Presion_cilindro!$B$17+1)),0)-IF(Presion_cilindro!N22&gt;(-F$4+Presion_cilindro!$B$34),1-EXP(-Presion_cilindro!$B$16*((Presion_cilindro!N22-(-F$4+Presion_cilindro!$B$34))/Presion_cilindro!$B$35)^(Presion_cilindro!$B$17+1)),0))/((Presion_cilindro!O22+Presion_cilindro!O23)/2)</f>
        <v>0.72425383257487619</v>
      </c>
      <c r="G31" s="27">
        <f>G30*(Presion_cilindro!O22/Presion_cilindro!O23)^Presion_cilindro!$B$9+10*(Presion_cilindro!$B$9-1)*Presion_cilindro!$B$33*(IF(Presion_cilindro!N23&gt;(-G$4+Presion_cilindro!$B$34),1-EXP(-Presion_cilindro!$B$16*((Presion_cilindro!N23-(-G$4+Presion_cilindro!$B$34))/Presion_cilindro!$B$35)^(Presion_cilindro!$B$17+1)),0)-IF(Presion_cilindro!N22&gt;(-G$4+Presion_cilindro!$B$34),1-EXP(-Presion_cilindro!$B$16*((Presion_cilindro!N22-(-G$4+Presion_cilindro!$B$34))/Presion_cilindro!$B$35)^(Presion_cilindro!$B$17+1)),0))/((Presion_cilindro!O22+Presion_cilindro!O23)/2)</f>
        <v>0.72425383257487619</v>
      </c>
      <c r="H31" s="27">
        <f>H30*(Presion_cilindro!O22/Presion_cilindro!O23)^Presion_cilindro!$B$9+10*(Presion_cilindro!$B$9-1)*Presion_cilindro!$B$33*(IF(Presion_cilindro!N23&gt;(-H$4+Presion_cilindro!$B$34),1-EXP(-Presion_cilindro!$B$16*((Presion_cilindro!N23-(-H$4+Presion_cilindro!$B$34))/Presion_cilindro!$B$35)^(Presion_cilindro!$B$17+1)),0)-IF(Presion_cilindro!N22&gt;(-H$4+Presion_cilindro!$B$34),1-EXP(-Presion_cilindro!$B$16*((Presion_cilindro!N22-(-H$4+Presion_cilindro!$B$34))/Presion_cilindro!$B$35)^(Presion_cilindro!$B$17+1)),0))/((Presion_cilindro!O22+Presion_cilindro!O23)/2)</f>
        <v>0.72425383257487619</v>
      </c>
      <c r="I31" s="27">
        <f>I30*(Presion_cilindro!O22/Presion_cilindro!O23)^Presion_cilindro!$B$9+10*(Presion_cilindro!$B$9-1)*Presion_cilindro!$B$33*(IF(Presion_cilindro!N23&gt;(-I$4+Presion_cilindro!$B$34),1-EXP(-Presion_cilindro!$B$16*((Presion_cilindro!N23-(-I$4+Presion_cilindro!$B$34))/Presion_cilindro!$B$35)^(Presion_cilindro!$B$17+1)),0)-IF(Presion_cilindro!N22&gt;(-I$4+Presion_cilindro!$B$34),1-EXP(-Presion_cilindro!$B$16*((Presion_cilindro!N22-(-I$4+Presion_cilindro!$B$34))/Presion_cilindro!$B$35)^(Presion_cilindro!$B$17+1)),0))/((Presion_cilindro!O22+Presion_cilindro!O23)/2)</f>
        <v>0.72425383257487619</v>
      </c>
      <c r="J31" s="27">
        <f>J30*(Presion_cilindro!O22/Presion_cilindro!O23)^Presion_cilindro!$B$9+10*(Presion_cilindro!$B$9-1)*Presion_cilindro!$B$33*(IF(Presion_cilindro!N23&gt;(-J$4+Presion_cilindro!$B$34),1-EXP(-Presion_cilindro!$B$16*((Presion_cilindro!N23-(-J$4+Presion_cilindro!$B$34))/Presion_cilindro!$B$35)^(Presion_cilindro!$B$17+1)),0)-IF(Presion_cilindro!N22&gt;(-J$4+Presion_cilindro!$B$34),1-EXP(-Presion_cilindro!$B$16*((Presion_cilindro!N22-(-J$4+Presion_cilindro!$B$34))/Presion_cilindro!$B$35)^(Presion_cilindro!$B$17+1)),0))/((Presion_cilindro!O22+Presion_cilindro!O23)/2)</f>
        <v>0.72425383257487619</v>
      </c>
      <c r="K31" s="27">
        <f>K30*(Presion_cilindro!O22/Presion_cilindro!O23)^Presion_cilindro!$B$9+10*(Presion_cilindro!$B$9-1)*Presion_cilindro!$B$33*(IF(Presion_cilindro!N23&gt;(-K$4+Presion_cilindro!$B$34),1-EXP(-Presion_cilindro!$B$16*((Presion_cilindro!N23-(-K$4+Presion_cilindro!$B$34))/Presion_cilindro!$B$35)^(Presion_cilindro!$B$17+1)),0)-IF(Presion_cilindro!N22&gt;(-K$4+Presion_cilindro!$B$34),1-EXP(-Presion_cilindro!$B$16*((Presion_cilindro!N22-(-K$4+Presion_cilindro!$B$34))/Presion_cilindro!$B$35)^(Presion_cilindro!$B$17+1)),0))/((Presion_cilindro!O22+Presion_cilindro!O23)/2)</f>
        <v>0.72425383257487619</v>
      </c>
      <c r="L31" s="27">
        <f>L30*(Presion_cilindro!O22/Presion_cilindro!O23)^Presion_cilindro!$B$9+10*(Presion_cilindro!$B$9-1)*Presion_cilindro!$B$33*(IF(Presion_cilindro!N23&gt;(-L$4+Presion_cilindro!$B$34),1-EXP(-Presion_cilindro!$B$16*((Presion_cilindro!N23-(-L$4+Presion_cilindro!$B$34))/Presion_cilindro!$B$35)^(Presion_cilindro!$B$17+1)),0)-IF(Presion_cilindro!N22&gt;(-L$4+Presion_cilindro!$B$34),1-EXP(-Presion_cilindro!$B$16*((Presion_cilindro!N22-(-L$4+Presion_cilindro!$B$34))/Presion_cilindro!$B$35)^(Presion_cilindro!$B$17+1)),0))/((Presion_cilindro!O22+Presion_cilindro!O23)/2)</f>
        <v>0.72425383257487619</v>
      </c>
      <c r="M31" s="27">
        <f>M30*(Presion_cilindro!O22/Presion_cilindro!O23)^Presion_cilindro!$B$9+10*(Presion_cilindro!$B$9-1)*Presion_cilindro!$B$33*(IF(Presion_cilindro!N23&gt;(-M$4+Presion_cilindro!$B$34),1-EXP(-Presion_cilindro!$B$16*((Presion_cilindro!N23-(-M$4+Presion_cilindro!$B$34))/Presion_cilindro!$B$35)^(Presion_cilindro!$B$17+1)),0)-IF(Presion_cilindro!N22&gt;(-M$4+Presion_cilindro!$B$34),1-EXP(-Presion_cilindro!$B$16*((Presion_cilindro!N22-(-M$4+Presion_cilindro!$B$34))/Presion_cilindro!$B$35)^(Presion_cilindro!$B$17+1)),0))/((Presion_cilindro!O22+Presion_cilindro!O23)/2)</f>
        <v>0.72425383257487619</v>
      </c>
      <c r="N31" s="27">
        <f>N30*(Presion_cilindro!O22/Presion_cilindro!O23)^Presion_cilindro!$B$9+10*(Presion_cilindro!$B$9-1)*Presion_cilindro!$B$33*(IF(Presion_cilindro!N23&gt;(-N$4+Presion_cilindro!$B$34),1-EXP(-Presion_cilindro!$B$16*((Presion_cilindro!N23-(-N$4+Presion_cilindro!$B$34))/Presion_cilindro!$B$35)^(Presion_cilindro!$B$17+1)),0)-IF(Presion_cilindro!N22&gt;(-N$4+Presion_cilindro!$B$34),1-EXP(-Presion_cilindro!$B$16*((Presion_cilindro!N22-(-N$4+Presion_cilindro!$B$34))/Presion_cilindro!$B$35)^(Presion_cilindro!$B$17+1)),0))/((Presion_cilindro!O22+Presion_cilindro!O23)/2)</f>
        <v>0.72425383257487619</v>
      </c>
    </row>
    <row r="32" spans="1:14" x14ac:dyDescent="0.25">
      <c r="A32" s="21">
        <f>Presion_cilindro!N24</f>
        <v>-170</v>
      </c>
      <c r="B32" s="27">
        <f>B31*(Presion_cilindro!O23/Presion_cilindro!O24)^Presion_cilindro!$B$9+10*(Presion_cilindro!$B$9-1)*Presion_cilindro!$B$33*(IF(Presion_cilindro!N24&gt;(-B$4+Presion_cilindro!$B$34),1-EXP(-Presion_cilindro!$B$16*((Presion_cilindro!N24-(-B$4+Presion_cilindro!$B$34))/Presion_cilindro!$B$35)^(Presion_cilindro!$B$17+1)),0)-IF(Presion_cilindro!N23&gt;(-B$4+Presion_cilindro!$B$34),1-EXP(-Presion_cilindro!$B$16*((Presion_cilindro!N23-(-B$4+Presion_cilindro!$B$34))/Presion_cilindro!$B$35)^(Presion_cilindro!$B$17+1)),0))/((Presion_cilindro!O23+Presion_cilindro!O24)/2)</f>
        <v>0.72471613579736194</v>
      </c>
      <c r="C32" s="27">
        <f>C31*(Presion_cilindro!O23/Presion_cilindro!O24)^Presion_cilindro!$B$9+10*(Presion_cilindro!$B$9-1)*Presion_cilindro!$B$33*(IF(Presion_cilindro!N24&gt;(-C$4+Presion_cilindro!$B$34),1-EXP(-Presion_cilindro!$B$16*((Presion_cilindro!N24-(-C$4+Presion_cilindro!$B$34))/Presion_cilindro!$B$35)^(Presion_cilindro!$B$17+1)),0)-IF(Presion_cilindro!N23&gt;(-C$4+Presion_cilindro!$B$34),1-EXP(-Presion_cilindro!$B$16*((Presion_cilindro!N23-(-C$4+Presion_cilindro!$B$34))/Presion_cilindro!$B$35)^(Presion_cilindro!$B$17+1)),0))/((Presion_cilindro!O23+Presion_cilindro!O24)/2)</f>
        <v>0.72471613579736194</v>
      </c>
      <c r="D32" s="27">
        <f>D31*(Presion_cilindro!O23/Presion_cilindro!O24)^Presion_cilindro!$B$9+10*(Presion_cilindro!$B$9-1)*Presion_cilindro!$B$33*(IF(Presion_cilindro!N24&gt;(-D$4+Presion_cilindro!$B$34),1-EXP(-Presion_cilindro!$B$16*((Presion_cilindro!N24-(-D$4+Presion_cilindro!$B$34))/Presion_cilindro!$B$35)^(Presion_cilindro!$B$17+1)),0)-IF(Presion_cilindro!N23&gt;(-D$4+Presion_cilindro!$B$34),1-EXP(-Presion_cilindro!$B$16*((Presion_cilindro!N23-(-D$4+Presion_cilindro!$B$34))/Presion_cilindro!$B$35)^(Presion_cilindro!$B$17+1)),0))/((Presion_cilindro!O23+Presion_cilindro!O24)/2)</f>
        <v>0.72471613579736194</v>
      </c>
      <c r="E32" s="27">
        <f>E31*(Presion_cilindro!O23/Presion_cilindro!O24)^Presion_cilindro!$B$9+10*(Presion_cilindro!$B$9-1)*Presion_cilindro!$B$33*(IF(Presion_cilindro!N24&gt;(-E$4+Presion_cilindro!$B$34),1-EXP(-Presion_cilindro!$B$16*((Presion_cilindro!N24-(-E$4+Presion_cilindro!$B$34))/Presion_cilindro!$B$35)^(Presion_cilindro!$B$17+1)),0)-IF(Presion_cilindro!N23&gt;(-E$4+Presion_cilindro!$B$34),1-EXP(-Presion_cilindro!$B$16*((Presion_cilindro!N23-(-E$4+Presion_cilindro!$B$34))/Presion_cilindro!$B$35)^(Presion_cilindro!$B$17+1)),0))/((Presion_cilindro!O23+Presion_cilindro!O24)/2)</f>
        <v>0.72471613579736194</v>
      </c>
      <c r="F32" s="27">
        <f>F31*(Presion_cilindro!O23/Presion_cilindro!O24)^Presion_cilindro!$B$9+10*(Presion_cilindro!$B$9-1)*Presion_cilindro!$B$33*(IF(Presion_cilindro!N24&gt;(-F$4+Presion_cilindro!$B$34),1-EXP(-Presion_cilindro!$B$16*((Presion_cilindro!N24-(-F$4+Presion_cilindro!$B$34))/Presion_cilindro!$B$35)^(Presion_cilindro!$B$17+1)),0)-IF(Presion_cilindro!N23&gt;(-F$4+Presion_cilindro!$B$34),1-EXP(-Presion_cilindro!$B$16*((Presion_cilindro!N23-(-F$4+Presion_cilindro!$B$34))/Presion_cilindro!$B$35)^(Presion_cilindro!$B$17+1)),0))/((Presion_cilindro!O23+Presion_cilindro!O24)/2)</f>
        <v>0.72471613579736194</v>
      </c>
      <c r="G32" s="27">
        <f>G31*(Presion_cilindro!O23/Presion_cilindro!O24)^Presion_cilindro!$B$9+10*(Presion_cilindro!$B$9-1)*Presion_cilindro!$B$33*(IF(Presion_cilindro!N24&gt;(-G$4+Presion_cilindro!$B$34),1-EXP(-Presion_cilindro!$B$16*((Presion_cilindro!N24-(-G$4+Presion_cilindro!$B$34))/Presion_cilindro!$B$35)^(Presion_cilindro!$B$17+1)),0)-IF(Presion_cilindro!N23&gt;(-G$4+Presion_cilindro!$B$34),1-EXP(-Presion_cilindro!$B$16*((Presion_cilindro!N23-(-G$4+Presion_cilindro!$B$34))/Presion_cilindro!$B$35)^(Presion_cilindro!$B$17+1)),0))/((Presion_cilindro!O23+Presion_cilindro!O24)/2)</f>
        <v>0.72471613579736194</v>
      </c>
      <c r="H32" s="27">
        <f>H31*(Presion_cilindro!O23/Presion_cilindro!O24)^Presion_cilindro!$B$9+10*(Presion_cilindro!$B$9-1)*Presion_cilindro!$B$33*(IF(Presion_cilindro!N24&gt;(-H$4+Presion_cilindro!$B$34),1-EXP(-Presion_cilindro!$B$16*((Presion_cilindro!N24-(-H$4+Presion_cilindro!$B$34))/Presion_cilindro!$B$35)^(Presion_cilindro!$B$17+1)),0)-IF(Presion_cilindro!N23&gt;(-H$4+Presion_cilindro!$B$34),1-EXP(-Presion_cilindro!$B$16*((Presion_cilindro!N23-(-H$4+Presion_cilindro!$B$34))/Presion_cilindro!$B$35)^(Presion_cilindro!$B$17+1)),0))/((Presion_cilindro!O23+Presion_cilindro!O24)/2)</f>
        <v>0.72471613579736194</v>
      </c>
      <c r="I32" s="27">
        <f>I31*(Presion_cilindro!O23/Presion_cilindro!O24)^Presion_cilindro!$B$9+10*(Presion_cilindro!$B$9-1)*Presion_cilindro!$B$33*(IF(Presion_cilindro!N24&gt;(-I$4+Presion_cilindro!$B$34),1-EXP(-Presion_cilindro!$B$16*((Presion_cilindro!N24-(-I$4+Presion_cilindro!$B$34))/Presion_cilindro!$B$35)^(Presion_cilindro!$B$17+1)),0)-IF(Presion_cilindro!N23&gt;(-I$4+Presion_cilindro!$B$34),1-EXP(-Presion_cilindro!$B$16*((Presion_cilindro!N23-(-I$4+Presion_cilindro!$B$34))/Presion_cilindro!$B$35)^(Presion_cilindro!$B$17+1)),0))/((Presion_cilindro!O23+Presion_cilindro!O24)/2)</f>
        <v>0.72471613579736194</v>
      </c>
      <c r="J32" s="27">
        <f>J31*(Presion_cilindro!O23/Presion_cilindro!O24)^Presion_cilindro!$B$9+10*(Presion_cilindro!$B$9-1)*Presion_cilindro!$B$33*(IF(Presion_cilindro!N24&gt;(-J$4+Presion_cilindro!$B$34),1-EXP(-Presion_cilindro!$B$16*((Presion_cilindro!N24-(-J$4+Presion_cilindro!$B$34))/Presion_cilindro!$B$35)^(Presion_cilindro!$B$17+1)),0)-IF(Presion_cilindro!N23&gt;(-J$4+Presion_cilindro!$B$34),1-EXP(-Presion_cilindro!$B$16*((Presion_cilindro!N23-(-J$4+Presion_cilindro!$B$34))/Presion_cilindro!$B$35)^(Presion_cilindro!$B$17+1)),0))/((Presion_cilindro!O23+Presion_cilindro!O24)/2)</f>
        <v>0.72471613579736194</v>
      </c>
      <c r="K32" s="27">
        <f>K31*(Presion_cilindro!O23/Presion_cilindro!O24)^Presion_cilindro!$B$9+10*(Presion_cilindro!$B$9-1)*Presion_cilindro!$B$33*(IF(Presion_cilindro!N24&gt;(-K$4+Presion_cilindro!$B$34),1-EXP(-Presion_cilindro!$B$16*((Presion_cilindro!N24-(-K$4+Presion_cilindro!$B$34))/Presion_cilindro!$B$35)^(Presion_cilindro!$B$17+1)),0)-IF(Presion_cilindro!N23&gt;(-K$4+Presion_cilindro!$B$34),1-EXP(-Presion_cilindro!$B$16*((Presion_cilindro!N23-(-K$4+Presion_cilindro!$B$34))/Presion_cilindro!$B$35)^(Presion_cilindro!$B$17+1)),0))/((Presion_cilindro!O23+Presion_cilindro!O24)/2)</f>
        <v>0.72471613579736194</v>
      </c>
      <c r="L32" s="27">
        <f>L31*(Presion_cilindro!O23/Presion_cilindro!O24)^Presion_cilindro!$B$9+10*(Presion_cilindro!$B$9-1)*Presion_cilindro!$B$33*(IF(Presion_cilindro!N24&gt;(-L$4+Presion_cilindro!$B$34),1-EXP(-Presion_cilindro!$B$16*((Presion_cilindro!N24-(-L$4+Presion_cilindro!$B$34))/Presion_cilindro!$B$35)^(Presion_cilindro!$B$17+1)),0)-IF(Presion_cilindro!N23&gt;(-L$4+Presion_cilindro!$B$34),1-EXP(-Presion_cilindro!$B$16*((Presion_cilindro!N23-(-L$4+Presion_cilindro!$B$34))/Presion_cilindro!$B$35)^(Presion_cilindro!$B$17+1)),0))/((Presion_cilindro!O23+Presion_cilindro!O24)/2)</f>
        <v>0.72471613579736194</v>
      </c>
      <c r="M32" s="27">
        <f>M31*(Presion_cilindro!O23/Presion_cilindro!O24)^Presion_cilindro!$B$9+10*(Presion_cilindro!$B$9-1)*Presion_cilindro!$B$33*(IF(Presion_cilindro!N24&gt;(-M$4+Presion_cilindro!$B$34),1-EXP(-Presion_cilindro!$B$16*((Presion_cilindro!N24-(-M$4+Presion_cilindro!$B$34))/Presion_cilindro!$B$35)^(Presion_cilindro!$B$17+1)),0)-IF(Presion_cilindro!N23&gt;(-M$4+Presion_cilindro!$B$34),1-EXP(-Presion_cilindro!$B$16*((Presion_cilindro!N23-(-M$4+Presion_cilindro!$B$34))/Presion_cilindro!$B$35)^(Presion_cilindro!$B$17+1)),0))/((Presion_cilindro!O23+Presion_cilindro!O24)/2)</f>
        <v>0.72471613579736194</v>
      </c>
      <c r="N32" s="27">
        <f>N31*(Presion_cilindro!O23/Presion_cilindro!O24)^Presion_cilindro!$B$9+10*(Presion_cilindro!$B$9-1)*Presion_cilindro!$B$33*(IF(Presion_cilindro!N24&gt;(-N$4+Presion_cilindro!$B$34),1-EXP(-Presion_cilindro!$B$16*((Presion_cilindro!N24-(-N$4+Presion_cilindro!$B$34))/Presion_cilindro!$B$35)^(Presion_cilindro!$B$17+1)),0)-IF(Presion_cilindro!N23&gt;(-N$4+Presion_cilindro!$B$34),1-EXP(-Presion_cilindro!$B$16*((Presion_cilindro!N23-(-N$4+Presion_cilindro!$B$34))/Presion_cilindro!$B$35)^(Presion_cilindro!$B$17+1)),0))/((Presion_cilindro!O23+Presion_cilindro!O24)/2)</f>
        <v>0.72471613579736194</v>
      </c>
    </row>
    <row r="33" spans="1:14" x14ac:dyDescent="0.25">
      <c r="A33" s="21">
        <f>Presion_cilindro!N25</f>
        <v>-169.5</v>
      </c>
      <c r="B33" s="27">
        <f>B32*(Presion_cilindro!O24/Presion_cilindro!O25)^Presion_cilindro!$B$9+10*(Presion_cilindro!$B$9-1)*Presion_cilindro!$B$33*(IF(Presion_cilindro!N25&gt;(-B$4+Presion_cilindro!$B$34),1-EXP(-Presion_cilindro!$B$16*((Presion_cilindro!N25-(-B$4+Presion_cilindro!$B$34))/Presion_cilindro!$B$35)^(Presion_cilindro!$B$17+1)),0)-IF(Presion_cilindro!N24&gt;(-B$4+Presion_cilindro!$B$34),1-EXP(-Presion_cilindro!$B$16*((Presion_cilindro!N24-(-B$4+Presion_cilindro!$B$34))/Presion_cilindro!$B$35)^(Presion_cilindro!$B$17+1)),0))/((Presion_cilindro!O24+Presion_cilindro!O25)/2)</f>
        <v>0.72520272740499558</v>
      </c>
      <c r="C33" s="27">
        <f>C32*(Presion_cilindro!O24/Presion_cilindro!O25)^Presion_cilindro!$B$9+10*(Presion_cilindro!$B$9-1)*Presion_cilindro!$B$33*(IF(Presion_cilindro!N25&gt;(-C$4+Presion_cilindro!$B$34),1-EXP(-Presion_cilindro!$B$16*((Presion_cilindro!N25-(-C$4+Presion_cilindro!$B$34))/Presion_cilindro!$B$35)^(Presion_cilindro!$B$17+1)),0)-IF(Presion_cilindro!N24&gt;(-C$4+Presion_cilindro!$B$34),1-EXP(-Presion_cilindro!$B$16*((Presion_cilindro!N24-(-C$4+Presion_cilindro!$B$34))/Presion_cilindro!$B$35)^(Presion_cilindro!$B$17+1)),0))/((Presion_cilindro!O24+Presion_cilindro!O25)/2)</f>
        <v>0.72520272740499558</v>
      </c>
      <c r="D33" s="27">
        <f>D32*(Presion_cilindro!O24/Presion_cilindro!O25)^Presion_cilindro!$B$9+10*(Presion_cilindro!$B$9-1)*Presion_cilindro!$B$33*(IF(Presion_cilindro!N25&gt;(-D$4+Presion_cilindro!$B$34),1-EXP(-Presion_cilindro!$B$16*((Presion_cilindro!N25-(-D$4+Presion_cilindro!$B$34))/Presion_cilindro!$B$35)^(Presion_cilindro!$B$17+1)),0)-IF(Presion_cilindro!N24&gt;(-D$4+Presion_cilindro!$B$34),1-EXP(-Presion_cilindro!$B$16*((Presion_cilindro!N24-(-D$4+Presion_cilindro!$B$34))/Presion_cilindro!$B$35)^(Presion_cilindro!$B$17+1)),0))/((Presion_cilindro!O24+Presion_cilindro!O25)/2)</f>
        <v>0.72520272740499558</v>
      </c>
      <c r="E33" s="27">
        <f>E32*(Presion_cilindro!O24/Presion_cilindro!O25)^Presion_cilindro!$B$9+10*(Presion_cilindro!$B$9-1)*Presion_cilindro!$B$33*(IF(Presion_cilindro!N25&gt;(-E$4+Presion_cilindro!$B$34),1-EXP(-Presion_cilindro!$B$16*((Presion_cilindro!N25-(-E$4+Presion_cilindro!$B$34))/Presion_cilindro!$B$35)^(Presion_cilindro!$B$17+1)),0)-IF(Presion_cilindro!N24&gt;(-E$4+Presion_cilindro!$B$34),1-EXP(-Presion_cilindro!$B$16*((Presion_cilindro!N24-(-E$4+Presion_cilindro!$B$34))/Presion_cilindro!$B$35)^(Presion_cilindro!$B$17+1)),0))/((Presion_cilindro!O24+Presion_cilindro!O25)/2)</f>
        <v>0.72520272740499558</v>
      </c>
      <c r="F33" s="27">
        <f>F32*(Presion_cilindro!O24/Presion_cilindro!O25)^Presion_cilindro!$B$9+10*(Presion_cilindro!$B$9-1)*Presion_cilindro!$B$33*(IF(Presion_cilindro!N25&gt;(-F$4+Presion_cilindro!$B$34),1-EXP(-Presion_cilindro!$B$16*((Presion_cilindro!N25-(-F$4+Presion_cilindro!$B$34))/Presion_cilindro!$B$35)^(Presion_cilindro!$B$17+1)),0)-IF(Presion_cilindro!N24&gt;(-F$4+Presion_cilindro!$B$34),1-EXP(-Presion_cilindro!$B$16*((Presion_cilindro!N24-(-F$4+Presion_cilindro!$B$34))/Presion_cilindro!$B$35)^(Presion_cilindro!$B$17+1)),0))/((Presion_cilindro!O24+Presion_cilindro!O25)/2)</f>
        <v>0.72520272740499558</v>
      </c>
      <c r="G33" s="27">
        <f>G32*(Presion_cilindro!O24/Presion_cilindro!O25)^Presion_cilindro!$B$9+10*(Presion_cilindro!$B$9-1)*Presion_cilindro!$B$33*(IF(Presion_cilindro!N25&gt;(-G$4+Presion_cilindro!$B$34),1-EXP(-Presion_cilindro!$B$16*((Presion_cilindro!N25-(-G$4+Presion_cilindro!$B$34))/Presion_cilindro!$B$35)^(Presion_cilindro!$B$17+1)),0)-IF(Presion_cilindro!N24&gt;(-G$4+Presion_cilindro!$B$34),1-EXP(-Presion_cilindro!$B$16*((Presion_cilindro!N24-(-G$4+Presion_cilindro!$B$34))/Presion_cilindro!$B$35)^(Presion_cilindro!$B$17+1)),0))/((Presion_cilindro!O24+Presion_cilindro!O25)/2)</f>
        <v>0.72520272740499558</v>
      </c>
      <c r="H33" s="27">
        <f>H32*(Presion_cilindro!O24/Presion_cilindro!O25)^Presion_cilindro!$B$9+10*(Presion_cilindro!$B$9-1)*Presion_cilindro!$B$33*(IF(Presion_cilindro!N25&gt;(-H$4+Presion_cilindro!$B$34),1-EXP(-Presion_cilindro!$B$16*((Presion_cilindro!N25-(-H$4+Presion_cilindro!$B$34))/Presion_cilindro!$B$35)^(Presion_cilindro!$B$17+1)),0)-IF(Presion_cilindro!N24&gt;(-H$4+Presion_cilindro!$B$34),1-EXP(-Presion_cilindro!$B$16*((Presion_cilindro!N24-(-H$4+Presion_cilindro!$B$34))/Presion_cilindro!$B$35)^(Presion_cilindro!$B$17+1)),0))/((Presion_cilindro!O24+Presion_cilindro!O25)/2)</f>
        <v>0.72520272740499558</v>
      </c>
      <c r="I33" s="27">
        <f>I32*(Presion_cilindro!O24/Presion_cilindro!O25)^Presion_cilindro!$B$9+10*(Presion_cilindro!$B$9-1)*Presion_cilindro!$B$33*(IF(Presion_cilindro!N25&gt;(-I$4+Presion_cilindro!$B$34),1-EXP(-Presion_cilindro!$B$16*((Presion_cilindro!N25-(-I$4+Presion_cilindro!$B$34))/Presion_cilindro!$B$35)^(Presion_cilindro!$B$17+1)),0)-IF(Presion_cilindro!N24&gt;(-I$4+Presion_cilindro!$B$34),1-EXP(-Presion_cilindro!$B$16*((Presion_cilindro!N24-(-I$4+Presion_cilindro!$B$34))/Presion_cilindro!$B$35)^(Presion_cilindro!$B$17+1)),0))/((Presion_cilindro!O24+Presion_cilindro!O25)/2)</f>
        <v>0.72520272740499558</v>
      </c>
      <c r="J33" s="27">
        <f>J32*(Presion_cilindro!O24/Presion_cilindro!O25)^Presion_cilindro!$B$9+10*(Presion_cilindro!$B$9-1)*Presion_cilindro!$B$33*(IF(Presion_cilindro!N25&gt;(-J$4+Presion_cilindro!$B$34),1-EXP(-Presion_cilindro!$B$16*((Presion_cilindro!N25-(-J$4+Presion_cilindro!$B$34))/Presion_cilindro!$B$35)^(Presion_cilindro!$B$17+1)),0)-IF(Presion_cilindro!N24&gt;(-J$4+Presion_cilindro!$B$34),1-EXP(-Presion_cilindro!$B$16*((Presion_cilindro!N24-(-J$4+Presion_cilindro!$B$34))/Presion_cilindro!$B$35)^(Presion_cilindro!$B$17+1)),0))/((Presion_cilindro!O24+Presion_cilindro!O25)/2)</f>
        <v>0.72520272740499558</v>
      </c>
      <c r="K33" s="27">
        <f>K32*(Presion_cilindro!O24/Presion_cilindro!O25)^Presion_cilindro!$B$9+10*(Presion_cilindro!$B$9-1)*Presion_cilindro!$B$33*(IF(Presion_cilindro!N25&gt;(-K$4+Presion_cilindro!$B$34),1-EXP(-Presion_cilindro!$B$16*((Presion_cilindro!N25-(-K$4+Presion_cilindro!$B$34))/Presion_cilindro!$B$35)^(Presion_cilindro!$B$17+1)),0)-IF(Presion_cilindro!N24&gt;(-K$4+Presion_cilindro!$B$34),1-EXP(-Presion_cilindro!$B$16*((Presion_cilindro!N24-(-K$4+Presion_cilindro!$B$34))/Presion_cilindro!$B$35)^(Presion_cilindro!$B$17+1)),0))/((Presion_cilindro!O24+Presion_cilindro!O25)/2)</f>
        <v>0.72520272740499558</v>
      </c>
      <c r="L33" s="27">
        <f>L32*(Presion_cilindro!O24/Presion_cilindro!O25)^Presion_cilindro!$B$9+10*(Presion_cilindro!$B$9-1)*Presion_cilindro!$B$33*(IF(Presion_cilindro!N25&gt;(-L$4+Presion_cilindro!$B$34),1-EXP(-Presion_cilindro!$B$16*((Presion_cilindro!N25-(-L$4+Presion_cilindro!$B$34))/Presion_cilindro!$B$35)^(Presion_cilindro!$B$17+1)),0)-IF(Presion_cilindro!N24&gt;(-L$4+Presion_cilindro!$B$34),1-EXP(-Presion_cilindro!$B$16*((Presion_cilindro!N24-(-L$4+Presion_cilindro!$B$34))/Presion_cilindro!$B$35)^(Presion_cilindro!$B$17+1)),0))/((Presion_cilindro!O24+Presion_cilindro!O25)/2)</f>
        <v>0.72520272740499558</v>
      </c>
      <c r="M33" s="27">
        <f>M32*(Presion_cilindro!O24/Presion_cilindro!O25)^Presion_cilindro!$B$9+10*(Presion_cilindro!$B$9-1)*Presion_cilindro!$B$33*(IF(Presion_cilindro!N25&gt;(-M$4+Presion_cilindro!$B$34),1-EXP(-Presion_cilindro!$B$16*((Presion_cilindro!N25-(-M$4+Presion_cilindro!$B$34))/Presion_cilindro!$B$35)^(Presion_cilindro!$B$17+1)),0)-IF(Presion_cilindro!N24&gt;(-M$4+Presion_cilindro!$B$34),1-EXP(-Presion_cilindro!$B$16*((Presion_cilindro!N24-(-M$4+Presion_cilindro!$B$34))/Presion_cilindro!$B$35)^(Presion_cilindro!$B$17+1)),0))/((Presion_cilindro!O24+Presion_cilindro!O25)/2)</f>
        <v>0.72520272740499558</v>
      </c>
      <c r="N33" s="27">
        <f>N32*(Presion_cilindro!O24/Presion_cilindro!O25)^Presion_cilindro!$B$9+10*(Presion_cilindro!$B$9-1)*Presion_cilindro!$B$33*(IF(Presion_cilindro!N25&gt;(-N$4+Presion_cilindro!$B$34),1-EXP(-Presion_cilindro!$B$16*((Presion_cilindro!N25-(-N$4+Presion_cilindro!$B$34))/Presion_cilindro!$B$35)^(Presion_cilindro!$B$17+1)),0)-IF(Presion_cilindro!N24&gt;(-N$4+Presion_cilindro!$B$34),1-EXP(-Presion_cilindro!$B$16*((Presion_cilindro!N24-(-N$4+Presion_cilindro!$B$34))/Presion_cilindro!$B$35)^(Presion_cilindro!$B$17+1)),0))/((Presion_cilindro!O24+Presion_cilindro!O25)/2)</f>
        <v>0.72520272740499558</v>
      </c>
    </row>
    <row r="34" spans="1:14" x14ac:dyDescent="0.25">
      <c r="A34" s="21">
        <f>Presion_cilindro!N26</f>
        <v>-169</v>
      </c>
      <c r="B34" s="27">
        <f>B33*(Presion_cilindro!O25/Presion_cilindro!O26)^Presion_cilindro!$B$9+10*(Presion_cilindro!$B$9-1)*Presion_cilindro!$B$33*(IF(Presion_cilindro!N26&gt;(-B$4+Presion_cilindro!$B$34),1-EXP(-Presion_cilindro!$B$16*((Presion_cilindro!N26-(-B$4+Presion_cilindro!$B$34))/Presion_cilindro!$B$35)^(Presion_cilindro!$B$17+1)),0)-IF(Presion_cilindro!N25&gt;(-B$4+Presion_cilindro!$B$34),1-EXP(-Presion_cilindro!$B$16*((Presion_cilindro!N25-(-B$4+Presion_cilindro!$B$34))/Presion_cilindro!$B$35)^(Presion_cilindro!$B$17+1)),0))/((Presion_cilindro!O25+Presion_cilindro!O26)/2)</f>
        <v>0.72571369532937036</v>
      </c>
      <c r="C34" s="27">
        <f>C33*(Presion_cilindro!O25/Presion_cilindro!O26)^Presion_cilindro!$B$9+10*(Presion_cilindro!$B$9-1)*Presion_cilindro!$B$33*(IF(Presion_cilindro!N26&gt;(-C$4+Presion_cilindro!$B$34),1-EXP(-Presion_cilindro!$B$16*((Presion_cilindro!N26-(-C$4+Presion_cilindro!$B$34))/Presion_cilindro!$B$35)^(Presion_cilindro!$B$17+1)),0)-IF(Presion_cilindro!N25&gt;(-C$4+Presion_cilindro!$B$34),1-EXP(-Presion_cilindro!$B$16*((Presion_cilindro!N25-(-C$4+Presion_cilindro!$B$34))/Presion_cilindro!$B$35)^(Presion_cilindro!$B$17+1)),0))/((Presion_cilindro!O25+Presion_cilindro!O26)/2)</f>
        <v>0.72571369532937036</v>
      </c>
      <c r="D34" s="27">
        <f>D33*(Presion_cilindro!O25/Presion_cilindro!O26)^Presion_cilindro!$B$9+10*(Presion_cilindro!$B$9-1)*Presion_cilindro!$B$33*(IF(Presion_cilindro!N26&gt;(-D$4+Presion_cilindro!$B$34),1-EXP(-Presion_cilindro!$B$16*((Presion_cilindro!N26-(-D$4+Presion_cilindro!$B$34))/Presion_cilindro!$B$35)^(Presion_cilindro!$B$17+1)),0)-IF(Presion_cilindro!N25&gt;(-D$4+Presion_cilindro!$B$34),1-EXP(-Presion_cilindro!$B$16*((Presion_cilindro!N25-(-D$4+Presion_cilindro!$B$34))/Presion_cilindro!$B$35)^(Presion_cilindro!$B$17+1)),0))/((Presion_cilindro!O25+Presion_cilindro!O26)/2)</f>
        <v>0.72571369532937036</v>
      </c>
      <c r="E34" s="27">
        <f>E33*(Presion_cilindro!O25/Presion_cilindro!O26)^Presion_cilindro!$B$9+10*(Presion_cilindro!$B$9-1)*Presion_cilindro!$B$33*(IF(Presion_cilindro!N26&gt;(-E$4+Presion_cilindro!$B$34),1-EXP(-Presion_cilindro!$B$16*((Presion_cilindro!N26-(-E$4+Presion_cilindro!$B$34))/Presion_cilindro!$B$35)^(Presion_cilindro!$B$17+1)),0)-IF(Presion_cilindro!N25&gt;(-E$4+Presion_cilindro!$B$34),1-EXP(-Presion_cilindro!$B$16*((Presion_cilindro!N25-(-E$4+Presion_cilindro!$B$34))/Presion_cilindro!$B$35)^(Presion_cilindro!$B$17+1)),0))/((Presion_cilindro!O25+Presion_cilindro!O26)/2)</f>
        <v>0.72571369532937036</v>
      </c>
      <c r="F34" s="27">
        <f>F33*(Presion_cilindro!O25/Presion_cilindro!O26)^Presion_cilindro!$B$9+10*(Presion_cilindro!$B$9-1)*Presion_cilindro!$B$33*(IF(Presion_cilindro!N26&gt;(-F$4+Presion_cilindro!$B$34),1-EXP(-Presion_cilindro!$B$16*((Presion_cilindro!N26-(-F$4+Presion_cilindro!$B$34))/Presion_cilindro!$B$35)^(Presion_cilindro!$B$17+1)),0)-IF(Presion_cilindro!N25&gt;(-F$4+Presion_cilindro!$B$34),1-EXP(-Presion_cilindro!$B$16*((Presion_cilindro!N25-(-F$4+Presion_cilindro!$B$34))/Presion_cilindro!$B$35)^(Presion_cilindro!$B$17+1)),0))/((Presion_cilindro!O25+Presion_cilindro!O26)/2)</f>
        <v>0.72571369532937036</v>
      </c>
      <c r="G34" s="27">
        <f>G33*(Presion_cilindro!O25/Presion_cilindro!O26)^Presion_cilindro!$B$9+10*(Presion_cilindro!$B$9-1)*Presion_cilindro!$B$33*(IF(Presion_cilindro!N26&gt;(-G$4+Presion_cilindro!$B$34),1-EXP(-Presion_cilindro!$B$16*((Presion_cilindro!N26-(-G$4+Presion_cilindro!$B$34))/Presion_cilindro!$B$35)^(Presion_cilindro!$B$17+1)),0)-IF(Presion_cilindro!N25&gt;(-G$4+Presion_cilindro!$B$34),1-EXP(-Presion_cilindro!$B$16*((Presion_cilindro!N25-(-G$4+Presion_cilindro!$B$34))/Presion_cilindro!$B$35)^(Presion_cilindro!$B$17+1)),0))/((Presion_cilindro!O25+Presion_cilindro!O26)/2)</f>
        <v>0.72571369532937036</v>
      </c>
      <c r="H34" s="27">
        <f>H33*(Presion_cilindro!O25/Presion_cilindro!O26)^Presion_cilindro!$B$9+10*(Presion_cilindro!$B$9-1)*Presion_cilindro!$B$33*(IF(Presion_cilindro!N26&gt;(-H$4+Presion_cilindro!$B$34),1-EXP(-Presion_cilindro!$B$16*((Presion_cilindro!N26-(-H$4+Presion_cilindro!$B$34))/Presion_cilindro!$B$35)^(Presion_cilindro!$B$17+1)),0)-IF(Presion_cilindro!N25&gt;(-H$4+Presion_cilindro!$B$34),1-EXP(-Presion_cilindro!$B$16*((Presion_cilindro!N25-(-H$4+Presion_cilindro!$B$34))/Presion_cilindro!$B$35)^(Presion_cilindro!$B$17+1)),0))/((Presion_cilindro!O25+Presion_cilindro!O26)/2)</f>
        <v>0.72571369532937036</v>
      </c>
      <c r="I34" s="27">
        <f>I33*(Presion_cilindro!O25/Presion_cilindro!O26)^Presion_cilindro!$B$9+10*(Presion_cilindro!$B$9-1)*Presion_cilindro!$B$33*(IF(Presion_cilindro!N26&gt;(-I$4+Presion_cilindro!$B$34),1-EXP(-Presion_cilindro!$B$16*((Presion_cilindro!N26-(-I$4+Presion_cilindro!$B$34))/Presion_cilindro!$B$35)^(Presion_cilindro!$B$17+1)),0)-IF(Presion_cilindro!N25&gt;(-I$4+Presion_cilindro!$B$34),1-EXP(-Presion_cilindro!$B$16*((Presion_cilindro!N25-(-I$4+Presion_cilindro!$B$34))/Presion_cilindro!$B$35)^(Presion_cilindro!$B$17+1)),0))/((Presion_cilindro!O25+Presion_cilindro!O26)/2)</f>
        <v>0.72571369532937036</v>
      </c>
      <c r="J34" s="27">
        <f>J33*(Presion_cilindro!O25/Presion_cilindro!O26)^Presion_cilindro!$B$9+10*(Presion_cilindro!$B$9-1)*Presion_cilindro!$B$33*(IF(Presion_cilindro!N26&gt;(-J$4+Presion_cilindro!$B$34),1-EXP(-Presion_cilindro!$B$16*((Presion_cilindro!N26-(-J$4+Presion_cilindro!$B$34))/Presion_cilindro!$B$35)^(Presion_cilindro!$B$17+1)),0)-IF(Presion_cilindro!N25&gt;(-J$4+Presion_cilindro!$B$34),1-EXP(-Presion_cilindro!$B$16*((Presion_cilindro!N25-(-J$4+Presion_cilindro!$B$34))/Presion_cilindro!$B$35)^(Presion_cilindro!$B$17+1)),0))/((Presion_cilindro!O25+Presion_cilindro!O26)/2)</f>
        <v>0.72571369532937036</v>
      </c>
      <c r="K34" s="27">
        <f>K33*(Presion_cilindro!O25/Presion_cilindro!O26)^Presion_cilindro!$B$9+10*(Presion_cilindro!$B$9-1)*Presion_cilindro!$B$33*(IF(Presion_cilindro!N26&gt;(-K$4+Presion_cilindro!$B$34),1-EXP(-Presion_cilindro!$B$16*((Presion_cilindro!N26-(-K$4+Presion_cilindro!$B$34))/Presion_cilindro!$B$35)^(Presion_cilindro!$B$17+1)),0)-IF(Presion_cilindro!N25&gt;(-K$4+Presion_cilindro!$B$34),1-EXP(-Presion_cilindro!$B$16*((Presion_cilindro!N25-(-K$4+Presion_cilindro!$B$34))/Presion_cilindro!$B$35)^(Presion_cilindro!$B$17+1)),0))/((Presion_cilindro!O25+Presion_cilindro!O26)/2)</f>
        <v>0.72571369532937036</v>
      </c>
      <c r="L34" s="27">
        <f>L33*(Presion_cilindro!O25/Presion_cilindro!O26)^Presion_cilindro!$B$9+10*(Presion_cilindro!$B$9-1)*Presion_cilindro!$B$33*(IF(Presion_cilindro!N26&gt;(-L$4+Presion_cilindro!$B$34),1-EXP(-Presion_cilindro!$B$16*((Presion_cilindro!N26-(-L$4+Presion_cilindro!$B$34))/Presion_cilindro!$B$35)^(Presion_cilindro!$B$17+1)),0)-IF(Presion_cilindro!N25&gt;(-L$4+Presion_cilindro!$B$34),1-EXP(-Presion_cilindro!$B$16*((Presion_cilindro!N25-(-L$4+Presion_cilindro!$B$34))/Presion_cilindro!$B$35)^(Presion_cilindro!$B$17+1)),0))/((Presion_cilindro!O25+Presion_cilindro!O26)/2)</f>
        <v>0.72571369532937036</v>
      </c>
      <c r="M34" s="27">
        <f>M33*(Presion_cilindro!O25/Presion_cilindro!O26)^Presion_cilindro!$B$9+10*(Presion_cilindro!$B$9-1)*Presion_cilindro!$B$33*(IF(Presion_cilindro!N26&gt;(-M$4+Presion_cilindro!$B$34),1-EXP(-Presion_cilindro!$B$16*((Presion_cilindro!N26-(-M$4+Presion_cilindro!$B$34))/Presion_cilindro!$B$35)^(Presion_cilindro!$B$17+1)),0)-IF(Presion_cilindro!N25&gt;(-M$4+Presion_cilindro!$B$34),1-EXP(-Presion_cilindro!$B$16*((Presion_cilindro!N25-(-M$4+Presion_cilindro!$B$34))/Presion_cilindro!$B$35)^(Presion_cilindro!$B$17+1)),0))/((Presion_cilindro!O25+Presion_cilindro!O26)/2)</f>
        <v>0.72571369532937036</v>
      </c>
      <c r="N34" s="27">
        <f>N33*(Presion_cilindro!O25/Presion_cilindro!O26)^Presion_cilindro!$B$9+10*(Presion_cilindro!$B$9-1)*Presion_cilindro!$B$33*(IF(Presion_cilindro!N26&gt;(-N$4+Presion_cilindro!$B$34),1-EXP(-Presion_cilindro!$B$16*((Presion_cilindro!N26-(-N$4+Presion_cilindro!$B$34))/Presion_cilindro!$B$35)^(Presion_cilindro!$B$17+1)),0)-IF(Presion_cilindro!N25&gt;(-N$4+Presion_cilindro!$B$34),1-EXP(-Presion_cilindro!$B$16*((Presion_cilindro!N25-(-N$4+Presion_cilindro!$B$34))/Presion_cilindro!$B$35)^(Presion_cilindro!$B$17+1)),0))/((Presion_cilindro!O25+Presion_cilindro!O26)/2)</f>
        <v>0.72571369532937036</v>
      </c>
    </row>
    <row r="35" spans="1:14" x14ac:dyDescent="0.25">
      <c r="A35" s="21">
        <f>Presion_cilindro!N27</f>
        <v>-168.5</v>
      </c>
      <c r="B35" s="27">
        <f>B34*(Presion_cilindro!O26/Presion_cilindro!O27)^Presion_cilindro!$B$9+10*(Presion_cilindro!$B$9-1)*Presion_cilindro!$B$33*(IF(Presion_cilindro!N27&gt;(-B$4+Presion_cilindro!$B$34),1-EXP(-Presion_cilindro!$B$16*((Presion_cilindro!N27-(-B$4+Presion_cilindro!$B$34))/Presion_cilindro!$B$35)^(Presion_cilindro!$B$17+1)),0)-IF(Presion_cilindro!N26&gt;(-B$4+Presion_cilindro!$B$34),1-EXP(-Presion_cilindro!$B$16*((Presion_cilindro!N26-(-B$4+Presion_cilindro!$B$34))/Presion_cilindro!$B$35)^(Presion_cilindro!$B$17+1)),0))/((Presion_cilindro!O26+Presion_cilindro!O27)/2)</f>
        <v>0.72624913200082286</v>
      </c>
      <c r="C35" s="27">
        <f>C34*(Presion_cilindro!O26/Presion_cilindro!O27)^Presion_cilindro!$B$9+10*(Presion_cilindro!$B$9-1)*Presion_cilindro!$B$33*(IF(Presion_cilindro!N27&gt;(-C$4+Presion_cilindro!$B$34),1-EXP(-Presion_cilindro!$B$16*((Presion_cilindro!N27-(-C$4+Presion_cilindro!$B$34))/Presion_cilindro!$B$35)^(Presion_cilindro!$B$17+1)),0)-IF(Presion_cilindro!N26&gt;(-C$4+Presion_cilindro!$B$34),1-EXP(-Presion_cilindro!$B$16*((Presion_cilindro!N26-(-C$4+Presion_cilindro!$B$34))/Presion_cilindro!$B$35)^(Presion_cilindro!$B$17+1)),0))/((Presion_cilindro!O26+Presion_cilindro!O27)/2)</f>
        <v>0.72624913200082286</v>
      </c>
      <c r="D35" s="27">
        <f>D34*(Presion_cilindro!O26/Presion_cilindro!O27)^Presion_cilindro!$B$9+10*(Presion_cilindro!$B$9-1)*Presion_cilindro!$B$33*(IF(Presion_cilindro!N27&gt;(-D$4+Presion_cilindro!$B$34),1-EXP(-Presion_cilindro!$B$16*((Presion_cilindro!N27-(-D$4+Presion_cilindro!$B$34))/Presion_cilindro!$B$35)^(Presion_cilindro!$B$17+1)),0)-IF(Presion_cilindro!N26&gt;(-D$4+Presion_cilindro!$B$34),1-EXP(-Presion_cilindro!$B$16*((Presion_cilindro!N26-(-D$4+Presion_cilindro!$B$34))/Presion_cilindro!$B$35)^(Presion_cilindro!$B$17+1)),0))/((Presion_cilindro!O26+Presion_cilindro!O27)/2)</f>
        <v>0.72624913200082286</v>
      </c>
      <c r="E35" s="27">
        <f>E34*(Presion_cilindro!O26/Presion_cilindro!O27)^Presion_cilindro!$B$9+10*(Presion_cilindro!$B$9-1)*Presion_cilindro!$B$33*(IF(Presion_cilindro!N27&gt;(-E$4+Presion_cilindro!$B$34),1-EXP(-Presion_cilindro!$B$16*((Presion_cilindro!N27-(-E$4+Presion_cilindro!$B$34))/Presion_cilindro!$B$35)^(Presion_cilindro!$B$17+1)),0)-IF(Presion_cilindro!N26&gt;(-E$4+Presion_cilindro!$B$34),1-EXP(-Presion_cilindro!$B$16*((Presion_cilindro!N26-(-E$4+Presion_cilindro!$B$34))/Presion_cilindro!$B$35)^(Presion_cilindro!$B$17+1)),0))/((Presion_cilindro!O26+Presion_cilindro!O27)/2)</f>
        <v>0.72624913200082286</v>
      </c>
      <c r="F35" s="27">
        <f>F34*(Presion_cilindro!O26/Presion_cilindro!O27)^Presion_cilindro!$B$9+10*(Presion_cilindro!$B$9-1)*Presion_cilindro!$B$33*(IF(Presion_cilindro!N27&gt;(-F$4+Presion_cilindro!$B$34),1-EXP(-Presion_cilindro!$B$16*((Presion_cilindro!N27-(-F$4+Presion_cilindro!$B$34))/Presion_cilindro!$B$35)^(Presion_cilindro!$B$17+1)),0)-IF(Presion_cilindro!N26&gt;(-F$4+Presion_cilindro!$B$34),1-EXP(-Presion_cilindro!$B$16*((Presion_cilindro!N26-(-F$4+Presion_cilindro!$B$34))/Presion_cilindro!$B$35)^(Presion_cilindro!$B$17+1)),0))/((Presion_cilindro!O26+Presion_cilindro!O27)/2)</f>
        <v>0.72624913200082286</v>
      </c>
      <c r="G35" s="27">
        <f>G34*(Presion_cilindro!O26/Presion_cilindro!O27)^Presion_cilindro!$B$9+10*(Presion_cilindro!$B$9-1)*Presion_cilindro!$B$33*(IF(Presion_cilindro!N27&gt;(-G$4+Presion_cilindro!$B$34),1-EXP(-Presion_cilindro!$B$16*((Presion_cilindro!N27-(-G$4+Presion_cilindro!$B$34))/Presion_cilindro!$B$35)^(Presion_cilindro!$B$17+1)),0)-IF(Presion_cilindro!N26&gt;(-G$4+Presion_cilindro!$B$34),1-EXP(-Presion_cilindro!$B$16*((Presion_cilindro!N26-(-G$4+Presion_cilindro!$B$34))/Presion_cilindro!$B$35)^(Presion_cilindro!$B$17+1)),0))/((Presion_cilindro!O26+Presion_cilindro!O27)/2)</f>
        <v>0.72624913200082286</v>
      </c>
      <c r="H35" s="27">
        <f>H34*(Presion_cilindro!O26/Presion_cilindro!O27)^Presion_cilindro!$B$9+10*(Presion_cilindro!$B$9-1)*Presion_cilindro!$B$33*(IF(Presion_cilindro!N27&gt;(-H$4+Presion_cilindro!$B$34),1-EXP(-Presion_cilindro!$B$16*((Presion_cilindro!N27-(-H$4+Presion_cilindro!$B$34))/Presion_cilindro!$B$35)^(Presion_cilindro!$B$17+1)),0)-IF(Presion_cilindro!N26&gt;(-H$4+Presion_cilindro!$B$34),1-EXP(-Presion_cilindro!$B$16*((Presion_cilindro!N26-(-H$4+Presion_cilindro!$B$34))/Presion_cilindro!$B$35)^(Presion_cilindro!$B$17+1)),0))/((Presion_cilindro!O26+Presion_cilindro!O27)/2)</f>
        <v>0.72624913200082286</v>
      </c>
      <c r="I35" s="27">
        <f>I34*(Presion_cilindro!O26/Presion_cilindro!O27)^Presion_cilindro!$B$9+10*(Presion_cilindro!$B$9-1)*Presion_cilindro!$B$33*(IF(Presion_cilindro!N27&gt;(-I$4+Presion_cilindro!$B$34),1-EXP(-Presion_cilindro!$B$16*((Presion_cilindro!N27-(-I$4+Presion_cilindro!$B$34))/Presion_cilindro!$B$35)^(Presion_cilindro!$B$17+1)),0)-IF(Presion_cilindro!N26&gt;(-I$4+Presion_cilindro!$B$34),1-EXP(-Presion_cilindro!$B$16*((Presion_cilindro!N26-(-I$4+Presion_cilindro!$B$34))/Presion_cilindro!$B$35)^(Presion_cilindro!$B$17+1)),0))/((Presion_cilindro!O26+Presion_cilindro!O27)/2)</f>
        <v>0.72624913200082286</v>
      </c>
      <c r="J35" s="27">
        <f>J34*(Presion_cilindro!O26/Presion_cilindro!O27)^Presion_cilindro!$B$9+10*(Presion_cilindro!$B$9-1)*Presion_cilindro!$B$33*(IF(Presion_cilindro!N27&gt;(-J$4+Presion_cilindro!$B$34),1-EXP(-Presion_cilindro!$B$16*((Presion_cilindro!N27-(-J$4+Presion_cilindro!$B$34))/Presion_cilindro!$B$35)^(Presion_cilindro!$B$17+1)),0)-IF(Presion_cilindro!N26&gt;(-J$4+Presion_cilindro!$B$34),1-EXP(-Presion_cilindro!$B$16*((Presion_cilindro!N26-(-J$4+Presion_cilindro!$B$34))/Presion_cilindro!$B$35)^(Presion_cilindro!$B$17+1)),0))/((Presion_cilindro!O26+Presion_cilindro!O27)/2)</f>
        <v>0.72624913200082286</v>
      </c>
      <c r="K35" s="27">
        <f>K34*(Presion_cilindro!O26/Presion_cilindro!O27)^Presion_cilindro!$B$9+10*(Presion_cilindro!$B$9-1)*Presion_cilindro!$B$33*(IF(Presion_cilindro!N27&gt;(-K$4+Presion_cilindro!$B$34),1-EXP(-Presion_cilindro!$B$16*((Presion_cilindro!N27-(-K$4+Presion_cilindro!$B$34))/Presion_cilindro!$B$35)^(Presion_cilindro!$B$17+1)),0)-IF(Presion_cilindro!N26&gt;(-K$4+Presion_cilindro!$B$34),1-EXP(-Presion_cilindro!$B$16*((Presion_cilindro!N26-(-K$4+Presion_cilindro!$B$34))/Presion_cilindro!$B$35)^(Presion_cilindro!$B$17+1)),0))/((Presion_cilindro!O26+Presion_cilindro!O27)/2)</f>
        <v>0.72624913200082286</v>
      </c>
      <c r="L35" s="27">
        <f>L34*(Presion_cilindro!O26/Presion_cilindro!O27)^Presion_cilindro!$B$9+10*(Presion_cilindro!$B$9-1)*Presion_cilindro!$B$33*(IF(Presion_cilindro!N27&gt;(-L$4+Presion_cilindro!$B$34),1-EXP(-Presion_cilindro!$B$16*((Presion_cilindro!N27-(-L$4+Presion_cilindro!$B$34))/Presion_cilindro!$B$35)^(Presion_cilindro!$B$17+1)),0)-IF(Presion_cilindro!N26&gt;(-L$4+Presion_cilindro!$B$34),1-EXP(-Presion_cilindro!$B$16*((Presion_cilindro!N26-(-L$4+Presion_cilindro!$B$34))/Presion_cilindro!$B$35)^(Presion_cilindro!$B$17+1)),0))/((Presion_cilindro!O26+Presion_cilindro!O27)/2)</f>
        <v>0.72624913200082286</v>
      </c>
      <c r="M35" s="27">
        <f>M34*(Presion_cilindro!O26/Presion_cilindro!O27)^Presion_cilindro!$B$9+10*(Presion_cilindro!$B$9-1)*Presion_cilindro!$B$33*(IF(Presion_cilindro!N27&gt;(-M$4+Presion_cilindro!$B$34),1-EXP(-Presion_cilindro!$B$16*((Presion_cilindro!N27-(-M$4+Presion_cilindro!$B$34))/Presion_cilindro!$B$35)^(Presion_cilindro!$B$17+1)),0)-IF(Presion_cilindro!N26&gt;(-M$4+Presion_cilindro!$B$34),1-EXP(-Presion_cilindro!$B$16*((Presion_cilindro!N26-(-M$4+Presion_cilindro!$B$34))/Presion_cilindro!$B$35)^(Presion_cilindro!$B$17+1)),0))/((Presion_cilindro!O26+Presion_cilindro!O27)/2)</f>
        <v>0.72624913200082286</v>
      </c>
      <c r="N35" s="27">
        <f>N34*(Presion_cilindro!O26/Presion_cilindro!O27)^Presion_cilindro!$B$9+10*(Presion_cilindro!$B$9-1)*Presion_cilindro!$B$33*(IF(Presion_cilindro!N27&gt;(-N$4+Presion_cilindro!$B$34),1-EXP(-Presion_cilindro!$B$16*((Presion_cilindro!N27-(-N$4+Presion_cilindro!$B$34))/Presion_cilindro!$B$35)^(Presion_cilindro!$B$17+1)),0)-IF(Presion_cilindro!N26&gt;(-N$4+Presion_cilindro!$B$34),1-EXP(-Presion_cilindro!$B$16*((Presion_cilindro!N26-(-N$4+Presion_cilindro!$B$34))/Presion_cilindro!$B$35)^(Presion_cilindro!$B$17+1)),0))/((Presion_cilindro!O26+Presion_cilindro!O27)/2)</f>
        <v>0.72624913200082286</v>
      </c>
    </row>
    <row r="36" spans="1:14" x14ac:dyDescent="0.25">
      <c r="A36" s="21">
        <f>Presion_cilindro!N28</f>
        <v>-168</v>
      </c>
      <c r="B36" s="27">
        <f>B35*(Presion_cilindro!O27/Presion_cilindro!O28)^Presion_cilindro!$B$9+10*(Presion_cilindro!$B$9-1)*Presion_cilindro!$B$33*(IF(Presion_cilindro!N28&gt;(-B$4+Presion_cilindro!$B$34),1-EXP(-Presion_cilindro!$B$16*((Presion_cilindro!N28-(-B$4+Presion_cilindro!$B$34))/Presion_cilindro!$B$35)^(Presion_cilindro!$B$17+1)),0)-IF(Presion_cilindro!N27&gt;(-B$4+Presion_cilindro!$B$34),1-EXP(-Presion_cilindro!$B$16*((Presion_cilindro!N27-(-B$4+Presion_cilindro!$B$34))/Presion_cilindro!$B$35)^(Presion_cilindro!$B$17+1)),0))/((Presion_cilindro!O27+Presion_cilindro!O28)/2)</f>
        <v>0.72680913437884365</v>
      </c>
      <c r="C36" s="27">
        <f>C35*(Presion_cilindro!O27/Presion_cilindro!O28)^Presion_cilindro!$B$9+10*(Presion_cilindro!$B$9-1)*Presion_cilindro!$B$33*(IF(Presion_cilindro!N28&gt;(-C$4+Presion_cilindro!$B$34),1-EXP(-Presion_cilindro!$B$16*((Presion_cilindro!N28-(-C$4+Presion_cilindro!$B$34))/Presion_cilindro!$B$35)^(Presion_cilindro!$B$17+1)),0)-IF(Presion_cilindro!N27&gt;(-C$4+Presion_cilindro!$B$34),1-EXP(-Presion_cilindro!$B$16*((Presion_cilindro!N27-(-C$4+Presion_cilindro!$B$34))/Presion_cilindro!$B$35)^(Presion_cilindro!$B$17+1)),0))/((Presion_cilindro!O27+Presion_cilindro!O28)/2)</f>
        <v>0.72680913437884365</v>
      </c>
      <c r="D36" s="27">
        <f>D35*(Presion_cilindro!O27/Presion_cilindro!O28)^Presion_cilindro!$B$9+10*(Presion_cilindro!$B$9-1)*Presion_cilindro!$B$33*(IF(Presion_cilindro!N28&gt;(-D$4+Presion_cilindro!$B$34),1-EXP(-Presion_cilindro!$B$16*((Presion_cilindro!N28-(-D$4+Presion_cilindro!$B$34))/Presion_cilindro!$B$35)^(Presion_cilindro!$B$17+1)),0)-IF(Presion_cilindro!N27&gt;(-D$4+Presion_cilindro!$B$34),1-EXP(-Presion_cilindro!$B$16*((Presion_cilindro!N27-(-D$4+Presion_cilindro!$B$34))/Presion_cilindro!$B$35)^(Presion_cilindro!$B$17+1)),0))/((Presion_cilindro!O27+Presion_cilindro!O28)/2)</f>
        <v>0.72680913437884365</v>
      </c>
      <c r="E36" s="27">
        <f>E35*(Presion_cilindro!O27/Presion_cilindro!O28)^Presion_cilindro!$B$9+10*(Presion_cilindro!$B$9-1)*Presion_cilindro!$B$33*(IF(Presion_cilindro!N28&gt;(-E$4+Presion_cilindro!$B$34),1-EXP(-Presion_cilindro!$B$16*((Presion_cilindro!N28-(-E$4+Presion_cilindro!$B$34))/Presion_cilindro!$B$35)^(Presion_cilindro!$B$17+1)),0)-IF(Presion_cilindro!N27&gt;(-E$4+Presion_cilindro!$B$34),1-EXP(-Presion_cilindro!$B$16*((Presion_cilindro!N27-(-E$4+Presion_cilindro!$B$34))/Presion_cilindro!$B$35)^(Presion_cilindro!$B$17+1)),0))/((Presion_cilindro!O27+Presion_cilindro!O28)/2)</f>
        <v>0.72680913437884365</v>
      </c>
      <c r="F36" s="27">
        <f>F35*(Presion_cilindro!O27/Presion_cilindro!O28)^Presion_cilindro!$B$9+10*(Presion_cilindro!$B$9-1)*Presion_cilindro!$B$33*(IF(Presion_cilindro!N28&gt;(-F$4+Presion_cilindro!$B$34),1-EXP(-Presion_cilindro!$B$16*((Presion_cilindro!N28-(-F$4+Presion_cilindro!$B$34))/Presion_cilindro!$B$35)^(Presion_cilindro!$B$17+1)),0)-IF(Presion_cilindro!N27&gt;(-F$4+Presion_cilindro!$B$34),1-EXP(-Presion_cilindro!$B$16*((Presion_cilindro!N27-(-F$4+Presion_cilindro!$B$34))/Presion_cilindro!$B$35)^(Presion_cilindro!$B$17+1)),0))/((Presion_cilindro!O27+Presion_cilindro!O28)/2)</f>
        <v>0.72680913437884365</v>
      </c>
      <c r="G36" s="27">
        <f>G35*(Presion_cilindro!O27/Presion_cilindro!O28)^Presion_cilindro!$B$9+10*(Presion_cilindro!$B$9-1)*Presion_cilindro!$B$33*(IF(Presion_cilindro!N28&gt;(-G$4+Presion_cilindro!$B$34),1-EXP(-Presion_cilindro!$B$16*((Presion_cilindro!N28-(-G$4+Presion_cilindro!$B$34))/Presion_cilindro!$B$35)^(Presion_cilindro!$B$17+1)),0)-IF(Presion_cilindro!N27&gt;(-G$4+Presion_cilindro!$B$34),1-EXP(-Presion_cilindro!$B$16*((Presion_cilindro!N27-(-G$4+Presion_cilindro!$B$34))/Presion_cilindro!$B$35)^(Presion_cilindro!$B$17+1)),0))/((Presion_cilindro!O27+Presion_cilindro!O28)/2)</f>
        <v>0.72680913437884365</v>
      </c>
      <c r="H36" s="27">
        <f>H35*(Presion_cilindro!O27/Presion_cilindro!O28)^Presion_cilindro!$B$9+10*(Presion_cilindro!$B$9-1)*Presion_cilindro!$B$33*(IF(Presion_cilindro!N28&gt;(-H$4+Presion_cilindro!$B$34),1-EXP(-Presion_cilindro!$B$16*((Presion_cilindro!N28-(-H$4+Presion_cilindro!$B$34))/Presion_cilindro!$B$35)^(Presion_cilindro!$B$17+1)),0)-IF(Presion_cilindro!N27&gt;(-H$4+Presion_cilindro!$B$34),1-EXP(-Presion_cilindro!$B$16*((Presion_cilindro!N27-(-H$4+Presion_cilindro!$B$34))/Presion_cilindro!$B$35)^(Presion_cilindro!$B$17+1)),0))/((Presion_cilindro!O27+Presion_cilindro!O28)/2)</f>
        <v>0.72680913437884365</v>
      </c>
      <c r="I36" s="27">
        <f>I35*(Presion_cilindro!O27/Presion_cilindro!O28)^Presion_cilindro!$B$9+10*(Presion_cilindro!$B$9-1)*Presion_cilindro!$B$33*(IF(Presion_cilindro!N28&gt;(-I$4+Presion_cilindro!$B$34),1-EXP(-Presion_cilindro!$B$16*((Presion_cilindro!N28-(-I$4+Presion_cilindro!$B$34))/Presion_cilindro!$B$35)^(Presion_cilindro!$B$17+1)),0)-IF(Presion_cilindro!N27&gt;(-I$4+Presion_cilindro!$B$34),1-EXP(-Presion_cilindro!$B$16*((Presion_cilindro!N27-(-I$4+Presion_cilindro!$B$34))/Presion_cilindro!$B$35)^(Presion_cilindro!$B$17+1)),0))/((Presion_cilindro!O27+Presion_cilindro!O28)/2)</f>
        <v>0.72680913437884365</v>
      </c>
      <c r="J36" s="27">
        <f>J35*(Presion_cilindro!O27/Presion_cilindro!O28)^Presion_cilindro!$B$9+10*(Presion_cilindro!$B$9-1)*Presion_cilindro!$B$33*(IF(Presion_cilindro!N28&gt;(-J$4+Presion_cilindro!$B$34),1-EXP(-Presion_cilindro!$B$16*((Presion_cilindro!N28-(-J$4+Presion_cilindro!$B$34))/Presion_cilindro!$B$35)^(Presion_cilindro!$B$17+1)),0)-IF(Presion_cilindro!N27&gt;(-J$4+Presion_cilindro!$B$34),1-EXP(-Presion_cilindro!$B$16*((Presion_cilindro!N27-(-J$4+Presion_cilindro!$B$34))/Presion_cilindro!$B$35)^(Presion_cilindro!$B$17+1)),0))/((Presion_cilindro!O27+Presion_cilindro!O28)/2)</f>
        <v>0.72680913437884365</v>
      </c>
      <c r="K36" s="27">
        <f>K35*(Presion_cilindro!O27/Presion_cilindro!O28)^Presion_cilindro!$B$9+10*(Presion_cilindro!$B$9-1)*Presion_cilindro!$B$33*(IF(Presion_cilindro!N28&gt;(-K$4+Presion_cilindro!$B$34),1-EXP(-Presion_cilindro!$B$16*((Presion_cilindro!N28-(-K$4+Presion_cilindro!$B$34))/Presion_cilindro!$B$35)^(Presion_cilindro!$B$17+1)),0)-IF(Presion_cilindro!N27&gt;(-K$4+Presion_cilindro!$B$34),1-EXP(-Presion_cilindro!$B$16*((Presion_cilindro!N27-(-K$4+Presion_cilindro!$B$34))/Presion_cilindro!$B$35)^(Presion_cilindro!$B$17+1)),0))/((Presion_cilindro!O27+Presion_cilindro!O28)/2)</f>
        <v>0.72680913437884365</v>
      </c>
      <c r="L36" s="27">
        <f>L35*(Presion_cilindro!O27/Presion_cilindro!O28)^Presion_cilindro!$B$9+10*(Presion_cilindro!$B$9-1)*Presion_cilindro!$B$33*(IF(Presion_cilindro!N28&gt;(-L$4+Presion_cilindro!$B$34),1-EXP(-Presion_cilindro!$B$16*((Presion_cilindro!N28-(-L$4+Presion_cilindro!$B$34))/Presion_cilindro!$B$35)^(Presion_cilindro!$B$17+1)),0)-IF(Presion_cilindro!N27&gt;(-L$4+Presion_cilindro!$B$34),1-EXP(-Presion_cilindro!$B$16*((Presion_cilindro!N27-(-L$4+Presion_cilindro!$B$34))/Presion_cilindro!$B$35)^(Presion_cilindro!$B$17+1)),0))/((Presion_cilindro!O27+Presion_cilindro!O28)/2)</f>
        <v>0.72680913437884365</v>
      </c>
      <c r="M36" s="27">
        <f>M35*(Presion_cilindro!O27/Presion_cilindro!O28)^Presion_cilindro!$B$9+10*(Presion_cilindro!$B$9-1)*Presion_cilindro!$B$33*(IF(Presion_cilindro!N28&gt;(-M$4+Presion_cilindro!$B$34),1-EXP(-Presion_cilindro!$B$16*((Presion_cilindro!N28-(-M$4+Presion_cilindro!$B$34))/Presion_cilindro!$B$35)^(Presion_cilindro!$B$17+1)),0)-IF(Presion_cilindro!N27&gt;(-M$4+Presion_cilindro!$B$34),1-EXP(-Presion_cilindro!$B$16*((Presion_cilindro!N27-(-M$4+Presion_cilindro!$B$34))/Presion_cilindro!$B$35)^(Presion_cilindro!$B$17+1)),0))/((Presion_cilindro!O27+Presion_cilindro!O28)/2)</f>
        <v>0.72680913437884365</v>
      </c>
      <c r="N36" s="27">
        <f>N35*(Presion_cilindro!O27/Presion_cilindro!O28)^Presion_cilindro!$B$9+10*(Presion_cilindro!$B$9-1)*Presion_cilindro!$B$33*(IF(Presion_cilindro!N28&gt;(-N$4+Presion_cilindro!$B$34),1-EXP(-Presion_cilindro!$B$16*((Presion_cilindro!N28-(-N$4+Presion_cilindro!$B$34))/Presion_cilindro!$B$35)^(Presion_cilindro!$B$17+1)),0)-IF(Presion_cilindro!N27&gt;(-N$4+Presion_cilindro!$B$34),1-EXP(-Presion_cilindro!$B$16*((Presion_cilindro!N27-(-N$4+Presion_cilindro!$B$34))/Presion_cilindro!$B$35)^(Presion_cilindro!$B$17+1)),0))/((Presion_cilindro!O27+Presion_cilindro!O28)/2)</f>
        <v>0.72680913437884365</v>
      </c>
    </row>
    <row r="37" spans="1:14" x14ac:dyDescent="0.25">
      <c r="A37" s="21">
        <f>Presion_cilindro!N29</f>
        <v>-167.5</v>
      </c>
      <c r="B37" s="27">
        <f>B36*(Presion_cilindro!O28/Presion_cilindro!O29)^Presion_cilindro!$B$9+10*(Presion_cilindro!$B$9-1)*Presion_cilindro!$B$33*(IF(Presion_cilindro!N29&gt;(-B$4+Presion_cilindro!$B$34),1-EXP(-Presion_cilindro!$B$16*((Presion_cilindro!N29-(-B$4+Presion_cilindro!$B$34))/Presion_cilindro!$B$35)^(Presion_cilindro!$B$17+1)),0)-IF(Presion_cilindro!N28&gt;(-B$4+Presion_cilindro!$B$34),1-EXP(-Presion_cilindro!$B$16*((Presion_cilindro!N28-(-B$4+Presion_cilindro!$B$34))/Presion_cilindro!$B$35)^(Presion_cilindro!$B$17+1)),0))/((Presion_cilindro!O28+Presion_cilindro!O29)/2)</f>
        <v>0.72739380398401676</v>
      </c>
      <c r="C37" s="27">
        <f>C36*(Presion_cilindro!O28/Presion_cilindro!O29)^Presion_cilindro!$B$9+10*(Presion_cilindro!$B$9-1)*Presion_cilindro!$B$33*(IF(Presion_cilindro!N29&gt;(-C$4+Presion_cilindro!$B$34),1-EXP(-Presion_cilindro!$B$16*((Presion_cilindro!N29-(-C$4+Presion_cilindro!$B$34))/Presion_cilindro!$B$35)^(Presion_cilindro!$B$17+1)),0)-IF(Presion_cilindro!N28&gt;(-C$4+Presion_cilindro!$B$34),1-EXP(-Presion_cilindro!$B$16*((Presion_cilindro!N28-(-C$4+Presion_cilindro!$B$34))/Presion_cilindro!$B$35)^(Presion_cilindro!$B$17+1)),0))/((Presion_cilindro!O28+Presion_cilindro!O29)/2)</f>
        <v>0.72739380398401676</v>
      </c>
      <c r="D37" s="27">
        <f>D36*(Presion_cilindro!O28/Presion_cilindro!O29)^Presion_cilindro!$B$9+10*(Presion_cilindro!$B$9-1)*Presion_cilindro!$B$33*(IF(Presion_cilindro!N29&gt;(-D$4+Presion_cilindro!$B$34),1-EXP(-Presion_cilindro!$B$16*((Presion_cilindro!N29-(-D$4+Presion_cilindro!$B$34))/Presion_cilindro!$B$35)^(Presion_cilindro!$B$17+1)),0)-IF(Presion_cilindro!N28&gt;(-D$4+Presion_cilindro!$B$34),1-EXP(-Presion_cilindro!$B$16*((Presion_cilindro!N28-(-D$4+Presion_cilindro!$B$34))/Presion_cilindro!$B$35)^(Presion_cilindro!$B$17+1)),0))/((Presion_cilindro!O28+Presion_cilindro!O29)/2)</f>
        <v>0.72739380398401676</v>
      </c>
      <c r="E37" s="27">
        <f>E36*(Presion_cilindro!O28/Presion_cilindro!O29)^Presion_cilindro!$B$9+10*(Presion_cilindro!$B$9-1)*Presion_cilindro!$B$33*(IF(Presion_cilindro!N29&gt;(-E$4+Presion_cilindro!$B$34),1-EXP(-Presion_cilindro!$B$16*((Presion_cilindro!N29-(-E$4+Presion_cilindro!$B$34))/Presion_cilindro!$B$35)^(Presion_cilindro!$B$17+1)),0)-IF(Presion_cilindro!N28&gt;(-E$4+Presion_cilindro!$B$34),1-EXP(-Presion_cilindro!$B$16*((Presion_cilindro!N28-(-E$4+Presion_cilindro!$B$34))/Presion_cilindro!$B$35)^(Presion_cilindro!$B$17+1)),0))/((Presion_cilindro!O28+Presion_cilindro!O29)/2)</f>
        <v>0.72739380398401676</v>
      </c>
      <c r="F37" s="27">
        <f>F36*(Presion_cilindro!O28/Presion_cilindro!O29)^Presion_cilindro!$B$9+10*(Presion_cilindro!$B$9-1)*Presion_cilindro!$B$33*(IF(Presion_cilindro!N29&gt;(-F$4+Presion_cilindro!$B$34),1-EXP(-Presion_cilindro!$B$16*((Presion_cilindro!N29-(-F$4+Presion_cilindro!$B$34))/Presion_cilindro!$B$35)^(Presion_cilindro!$B$17+1)),0)-IF(Presion_cilindro!N28&gt;(-F$4+Presion_cilindro!$B$34),1-EXP(-Presion_cilindro!$B$16*((Presion_cilindro!N28-(-F$4+Presion_cilindro!$B$34))/Presion_cilindro!$B$35)^(Presion_cilindro!$B$17+1)),0))/((Presion_cilindro!O28+Presion_cilindro!O29)/2)</f>
        <v>0.72739380398401676</v>
      </c>
      <c r="G37" s="27">
        <f>G36*(Presion_cilindro!O28/Presion_cilindro!O29)^Presion_cilindro!$B$9+10*(Presion_cilindro!$B$9-1)*Presion_cilindro!$B$33*(IF(Presion_cilindro!N29&gt;(-G$4+Presion_cilindro!$B$34),1-EXP(-Presion_cilindro!$B$16*((Presion_cilindro!N29-(-G$4+Presion_cilindro!$B$34))/Presion_cilindro!$B$35)^(Presion_cilindro!$B$17+1)),0)-IF(Presion_cilindro!N28&gt;(-G$4+Presion_cilindro!$B$34),1-EXP(-Presion_cilindro!$B$16*((Presion_cilindro!N28-(-G$4+Presion_cilindro!$B$34))/Presion_cilindro!$B$35)^(Presion_cilindro!$B$17+1)),0))/((Presion_cilindro!O28+Presion_cilindro!O29)/2)</f>
        <v>0.72739380398401676</v>
      </c>
      <c r="H37" s="27">
        <f>H36*(Presion_cilindro!O28/Presion_cilindro!O29)^Presion_cilindro!$B$9+10*(Presion_cilindro!$B$9-1)*Presion_cilindro!$B$33*(IF(Presion_cilindro!N29&gt;(-H$4+Presion_cilindro!$B$34),1-EXP(-Presion_cilindro!$B$16*((Presion_cilindro!N29-(-H$4+Presion_cilindro!$B$34))/Presion_cilindro!$B$35)^(Presion_cilindro!$B$17+1)),0)-IF(Presion_cilindro!N28&gt;(-H$4+Presion_cilindro!$B$34),1-EXP(-Presion_cilindro!$B$16*((Presion_cilindro!N28-(-H$4+Presion_cilindro!$B$34))/Presion_cilindro!$B$35)^(Presion_cilindro!$B$17+1)),0))/((Presion_cilindro!O28+Presion_cilindro!O29)/2)</f>
        <v>0.72739380398401676</v>
      </c>
      <c r="I37" s="27">
        <f>I36*(Presion_cilindro!O28/Presion_cilindro!O29)^Presion_cilindro!$B$9+10*(Presion_cilindro!$B$9-1)*Presion_cilindro!$B$33*(IF(Presion_cilindro!N29&gt;(-I$4+Presion_cilindro!$B$34),1-EXP(-Presion_cilindro!$B$16*((Presion_cilindro!N29-(-I$4+Presion_cilindro!$B$34))/Presion_cilindro!$B$35)^(Presion_cilindro!$B$17+1)),0)-IF(Presion_cilindro!N28&gt;(-I$4+Presion_cilindro!$B$34),1-EXP(-Presion_cilindro!$B$16*((Presion_cilindro!N28-(-I$4+Presion_cilindro!$B$34))/Presion_cilindro!$B$35)^(Presion_cilindro!$B$17+1)),0))/((Presion_cilindro!O28+Presion_cilindro!O29)/2)</f>
        <v>0.72739380398401676</v>
      </c>
      <c r="J37" s="27">
        <f>J36*(Presion_cilindro!O28/Presion_cilindro!O29)^Presion_cilindro!$B$9+10*(Presion_cilindro!$B$9-1)*Presion_cilindro!$B$33*(IF(Presion_cilindro!N29&gt;(-J$4+Presion_cilindro!$B$34),1-EXP(-Presion_cilindro!$B$16*((Presion_cilindro!N29-(-J$4+Presion_cilindro!$B$34))/Presion_cilindro!$B$35)^(Presion_cilindro!$B$17+1)),0)-IF(Presion_cilindro!N28&gt;(-J$4+Presion_cilindro!$B$34),1-EXP(-Presion_cilindro!$B$16*((Presion_cilindro!N28-(-J$4+Presion_cilindro!$B$34))/Presion_cilindro!$B$35)^(Presion_cilindro!$B$17+1)),0))/((Presion_cilindro!O28+Presion_cilindro!O29)/2)</f>
        <v>0.72739380398401676</v>
      </c>
      <c r="K37" s="27">
        <f>K36*(Presion_cilindro!O28/Presion_cilindro!O29)^Presion_cilindro!$B$9+10*(Presion_cilindro!$B$9-1)*Presion_cilindro!$B$33*(IF(Presion_cilindro!N29&gt;(-K$4+Presion_cilindro!$B$34),1-EXP(-Presion_cilindro!$B$16*((Presion_cilindro!N29-(-K$4+Presion_cilindro!$B$34))/Presion_cilindro!$B$35)^(Presion_cilindro!$B$17+1)),0)-IF(Presion_cilindro!N28&gt;(-K$4+Presion_cilindro!$B$34),1-EXP(-Presion_cilindro!$B$16*((Presion_cilindro!N28-(-K$4+Presion_cilindro!$B$34))/Presion_cilindro!$B$35)^(Presion_cilindro!$B$17+1)),0))/((Presion_cilindro!O28+Presion_cilindro!O29)/2)</f>
        <v>0.72739380398401676</v>
      </c>
      <c r="L37" s="27">
        <f>L36*(Presion_cilindro!O28/Presion_cilindro!O29)^Presion_cilindro!$B$9+10*(Presion_cilindro!$B$9-1)*Presion_cilindro!$B$33*(IF(Presion_cilindro!N29&gt;(-L$4+Presion_cilindro!$B$34),1-EXP(-Presion_cilindro!$B$16*((Presion_cilindro!N29-(-L$4+Presion_cilindro!$B$34))/Presion_cilindro!$B$35)^(Presion_cilindro!$B$17+1)),0)-IF(Presion_cilindro!N28&gt;(-L$4+Presion_cilindro!$B$34),1-EXP(-Presion_cilindro!$B$16*((Presion_cilindro!N28-(-L$4+Presion_cilindro!$B$34))/Presion_cilindro!$B$35)^(Presion_cilindro!$B$17+1)),0))/((Presion_cilindro!O28+Presion_cilindro!O29)/2)</f>
        <v>0.72739380398401676</v>
      </c>
      <c r="M37" s="27">
        <f>M36*(Presion_cilindro!O28/Presion_cilindro!O29)^Presion_cilindro!$B$9+10*(Presion_cilindro!$B$9-1)*Presion_cilindro!$B$33*(IF(Presion_cilindro!N29&gt;(-M$4+Presion_cilindro!$B$34),1-EXP(-Presion_cilindro!$B$16*((Presion_cilindro!N29-(-M$4+Presion_cilindro!$B$34))/Presion_cilindro!$B$35)^(Presion_cilindro!$B$17+1)),0)-IF(Presion_cilindro!N28&gt;(-M$4+Presion_cilindro!$B$34),1-EXP(-Presion_cilindro!$B$16*((Presion_cilindro!N28-(-M$4+Presion_cilindro!$B$34))/Presion_cilindro!$B$35)^(Presion_cilindro!$B$17+1)),0))/((Presion_cilindro!O28+Presion_cilindro!O29)/2)</f>
        <v>0.72739380398401676</v>
      </c>
      <c r="N37" s="27">
        <f>N36*(Presion_cilindro!O28/Presion_cilindro!O29)^Presion_cilindro!$B$9+10*(Presion_cilindro!$B$9-1)*Presion_cilindro!$B$33*(IF(Presion_cilindro!N29&gt;(-N$4+Presion_cilindro!$B$34),1-EXP(-Presion_cilindro!$B$16*((Presion_cilindro!N29-(-N$4+Presion_cilindro!$B$34))/Presion_cilindro!$B$35)^(Presion_cilindro!$B$17+1)),0)-IF(Presion_cilindro!N28&gt;(-N$4+Presion_cilindro!$B$34),1-EXP(-Presion_cilindro!$B$16*((Presion_cilindro!N28-(-N$4+Presion_cilindro!$B$34))/Presion_cilindro!$B$35)^(Presion_cilindro!$B$17+1)),0))/((Presion_cilindro!O28+Presion_cilindro!O29)/2)</f>
        <v>0.72739380398401676</v>
      </c>
    </row>
    <row r="38" spans="1:14" x14ac:dyDescent="0.25">
      <c r="A38" s="21">
        <f>Presion_cilindro!N30</f>
        <v>-167</v>
      </c>
      <c r="B38" s="27">
        <f>B37*(Presion_cilindro!O29/Presion_cilindro!O30)^Presion_cilindro!$B$9+10*(Presion_cilindro!$B$9-1)*Presion_cilindro!$B$33*(IF(Presion_cilindro!N30&gt;(-B$4+Presion_cilindro!$B$34),1-EXP(-Presion_cilindro!$B$16*((Presion_cilindro!N30-(-B$4+Presion_cilindro!$B$34))/Presion_cilindro!$B$35)^(Presion_cilindro!$B$17+1)),0)-IF(Presion_cilindro!N29&gt;(-B$4+Presion_cilindro!$B$34),1-EXP(-Presion_cilindro!$B$16*((Presion_cilindro!N29-(-B$4+Presion_cilindro!$B$34))/Presion_cilindro!$B$35)^(Presion_cilindro!$B$17+1)),0))/((Presion_cilindro!O29+Presion_cilindro!O30)/2)</f>
        <v>0.72800324693151175</v>
      </c>
      <c r="C38" s="27">
        <f>C37*(Presion_cilindro!O29/Presion_cilindro!O30)^Presion_cilindro!$B$9+10*(Presion_cilindro!$B$9-1)*Presion_cilindro!$B$33*(IF(Presion_cilindro!N30&gt;(-C$4+Presion_cilindro!$B$34),1-EXP(-Presion_cilindro!$B$16*((Presion_cilindro!N30-(-C$4+Presion_cilindro!$B$34))/Presion_cilindro!$B$35)^(Presion_cilindro!$B$17+1)),0)-IF(Presion_cilindro!N29&gt;(-C$4+Presion_cilindro!$B$34),1-EXP(-Presion_cilindro!$B$16*((Presion_cilindro!N29-(-C$4+Presion_cilindro!$B$34))/Presion_cilindro!$B$35)^(Presion_cilindro!$B$17+1)),0))/((Presion_cilindro!O29+Presion_cilindro!O30)/2)</f>
        <v>0.72800324693151175</v>
      </c>
      <c r="D38" s="27">
        <f>D37*(Presion_cilindro!O29/Presion_cilindro!O30)^Presion_cilindro!$B$9+10*(Presion_cilindro!$B$9-1)*Presion_cilindro!$B$33*(IF(Presion_cilindro!N30&gt;(-D$4+Presion_cilindro!$B$34),1-EXP(-Presion_cilindro!$B$16*((Presion_cilindro!N30-(-D$4+Presion_cilindro!$B$34))/Presion_cilindro!$B$35)^(Presion_cilindro!$B$17+1)),0)-IF(Presion_cilindro!N29&gt;(-D$4+Presion_cilindro!$B$34),1-EXP(-Presion_cilindro!$B$16*((Presion_cilindro!N29-(-D$4+Presion_cilindro!$B$34))/Presion_cilindro!$B$35)^(Presion_cilindro!$B$17+1)),0))/((Presion_cilindro!O29+Presion_cilindro!O30)/2)</f>
        <v>0.72800324693151175</v>
      </c>
      <c r="E38" s="27">
        <f>E37*(Presion_cilindro!O29/Presion_cilindro!O30)^Presion_cilindro!$B$9+10*(Presion_cilindro!$B$9-1)*Presion_cilindro!$B$33*(IF(Presion_cilindro!N30&gt;(-E$4+Presion_cilindro!$B$34),1-EXP(-Presion_cilindro!$B$16*((Presion_cilindro!N30-(-E$4+Presion_cilindro!$B$34))/Presion_cilindro!$B$35)^(Presion_cilindro!$B$17+1)),0)-IF(Presion_cilindro!N29&gt;(-E$4+Presion_cilindro!$B$34),1-EXP(-Presion_cilindro!$B$16*((Presion_cilindro!N29-(-E$4+Presion_cilindro!$B$34))/Presion_cilindro!$B$35)^(Presion_cilindro!$B$17+1)),0))/((Presion_cilindro!O29+Presion_cilindro!O30)/2)</f>
        <v>0.72800324693151175</v>
      </c>
      <c r="F38" s="27">
        <f>F37*(Presion_cilindro!O29/Presion_cilindro!O30)^Presion_cilindro!$B$9+10*(Presion_cilindro!$B$9-1)*Presion_cilindro!$B$33*(IF(Presion_cilindro!N30&gt;(-F$4+Presion_cilindro!$B$34),1-EXP(-Presion_cilindro!$B$16*((Presion_cilindro!N30-(-F$4+Presion_cilindro!$B$34))/Presion_cilindro!$B$35)^(Presion_cilindro!$B$17+1)),0)-IF(Presion_cilindro!N29&gt;(-F$4+Presion_cilindro!$B$34),1-EXP(-Presion_cilindro!$B$16*((Presion_cilindro!N29-(-F$4+Presion_cilindro!$B$34))/Presion_cilindro!$B$35)^(Presion_cilindro!$B$17+1)),0))/((Presion_cilindro!O29+Presion_cilindro!O30)/2)</f>
        <v>0.72800324693151175</v>
      </c>
      <c r="G38" s="27">
        <f>G37*(Presion_cilindro!O29/Presion_cilindro!O30)^Presion_cilindro!$B$9+10*(Presion_cilindro!$B$9-1)*Presion_cilindro!$B$33*(IF(Presion_cilindro!N30&gt;(-G$4+Presion_cilindro!$B$34),1-EXP(-Presion_cilindro!$B$16*((Presion_cilindro!N30-(-G$4+Presion_cilindro!$B$34))/Presion_cilindro!$B$35)^(Presion_cilindro!$B$17+1)),0)-IF(Presion_cilindro!N29&gt;(-G$4+Presion_cilindro!$B$34),1-EXP(-Presion_cilindro!$B$16*((Presion_cilindro!N29-(-G$4+Presion_cilindro!$B$34))/Presion_cilindro!$B$35)^(Presion_cilindro!$B$17+1)),0))/((Presion_cilindro!O29+Presion_cilindro!O30)/2)</f>
        <v>0.72800324693151175</v>
      </c>
      <c r="H38" s="27">
        <f>H37*(Presion_cilindro!O29/Presion_cilindro!O30)^Presion_cilindro!$B$9+10*(Presion_cilindro!$B$9-1)*Presion_cilindro!$B$33*(IF(Presion_cilindro!N30&gt;(-H$4+Presion_cilindro!$B$34),1-EXP(-Presion_cilindro!$B$16*((Presion_cilindro!N30-(-H$4+Presion_cilindro!$B$34))/Presion_cilindro!$B$35)^(Presion_cilindro!$B$17+1)),0)-IF(Presion_cilindro!N29&gt;(-H$4+Presion_cilindro!$B$34),1-EXP(-Presion_cilindro!$B$16*((Presion_cilindro!N29-(-H$4+Presion_cilindro!$B$34))/Presion_cilindro!$B$35)^(Presion_cilindro!$B$17+1)),0))/((Presion_cilindro!O29+Presion_cilindro!O30)/2)</f>
        <v>0.72800324693151175</v>
      </c>
      <c r="I38" s="27">
        <f>I37*(Presion_cilindro!O29/Presion_cilindro!O30)^Presion_cilindro!$B$9+10*(Presion_cilindro!$B$9-1)*Presion_cilindro!$B$33*(IF(Presion_cilindro!N30&gt;(-I$4+Presion_cilindro!$B$34),1-EXP(-Presion_cilindro!$B$16*((Presion_cilindro!N30-(-I$4+Presion_cilindro!$B$34))/Presion_cilindro!$B$35)^(Presion_cilindro!$B$17+1)),0)-IF(Presion_cilindro!N29&gt;(-I$4+Presion_cilindro!$B$34),1-EXP(-Presion_cilindro!$B$16*((Presion_cilindro!N29-(-I$4+Presion_cilindro!$B$34))/Presion_cilindro!$B$35)^(Presion_cilindro!$B$17+1)),0))/((Presion_cilindro!O29+Presion_cilindro!O30)/2)</f>
        <v>0.72800324693151175</v>
      </c>
      <c r="J38" s="27">
        <f>J37*(Presion_cilindro!O29/Presion_cilindro!O30)^Presion_cilindro!$B$9+10*(Presion_cilindro!$B$9-1)*Presion_cilindro!$B$33*(IF(Presion_cilindro!N30&gt;(-J$4+Presion_cilindro!$B$34),1-EXP(-Presion_cilindro!$B$16*((Presion_cilindro!N30-(-J$4+Presion_cilindro!$B$34))/Presion_cilindro!$B$35)^(Presion_cilindro!$B$17+1)),0)-IF(Presion_cilindro!N29&gt;(-J$4+Presion_cilindro!$B$34),1-EXP(-Presion_cilindro!$B$16*((Presion_cilindro!N29-(-J$4+Presion_cilindro!$B$34))/Presion_cilindro!$B$35)^(Presion_cilindro!$B$17+1)),0))/((Presion_cilindro!O29+Presion_cilindro!O30)/2)</f>
        <v>0.72800324693151175</v>
      </c>
      <c r="K38" s="27">
        <f>K37*(Presion_cilindro!O29/Presion_cilindro!O30)^Presion_cilindro!$B$9+10*(Presion_cilindro!$B$9-1)*Presion_cilindro!$B$33*(IF(Presion_cilindro!N30&gt;(-K$4+Presion_cilindro!$B$34),1-EXP(-Presion_cilindro!$B$16*((Presion_cilindro!N30-(-K$4+Presion_cilindro!$B$34))/Presion_cilindro!$B$35)^(Presion_cilindro!$B$17+1)),0)-IF(Presion_cilindro!N29&gt;(-K$4+Presion_cilindro!$B$34),1-EXP(-Presion_cilindro!$B$16*((Presion_cilindro!N29-(-K$4+Presion_cilindro!$B$34))/Presion_cilindro!$B$35)^(Presion_cilindro!$B$17+1)),0))/((Presion_cilindro!O29+Presion_cilindro!O30)/2)</f>
        <v>0.72800324693151175</v>
      </c>
      <c r="L38" s="27">
        <f>L37*(Presion_cilindro!O29/Presion_cilindro!O30)^Presion_cilindro!$B$9+10*(Presion_cilindro!$B$9-1)*Presion_cilindro!$B$33*(IF(Presion_cilindro!N30&gt;(-L$4+Presion_cilindro!$B$34),1-EXP(-Presion_cilindro!$B$16*((Presion_cilindro!N30-(-L$4+Presion_cilindro!$B$34))/Presion_cilindro!$B$35)^(Presion_cilindro!$B$17+1)),0)-IF(Presion_cilindro!N29&gt;(-L$4+Presion_cilindro!$B$34),1-EXP(-Presion_cilindro!$B$16*((Presion_cilindro!N29-(-L$4+Presion_cilindro!$B$34))/Presion_cilindro!$B$35)^(Presion_cilindro!$B$17+1)),0))/((Presion_cilindro!O29+Presion_cilindro!O30)/2)</f>
        <v>0.72800324693151175</v>
      </c>
      <c r="M38" s="27">
        <f>M37*(Presion_cilindro!O29/Presion_cilindro!O30)^Presion_cilindro!$B$9+10*(Presion_cilindro!$B$9-1)*Presion_cilindro!$B$33*(IF(Presion_cilindro!N30&gt;(-M$4+Presion_cilindro!$B$34),1-EXP(-Presion_cilindro!$B$16*((Presion_cilindro!N30-(-M$4+Presion_cilindro!$B$34))/Presion_cilindro!$B$35)^(Presion_cilindro!$B$17+1)),0)-IF(Presion_cilindro!N29&gt;(-M$4+Presion_cilindro!$B$34),1-EXP(-Presion_cilindro!$B$16*((Presion_cilindro!N29-(-M$4+Presion_cilindro!$B$34))/Presion_cilindro!$B$35)^(Presion_cilindro!$B$17+1)),0))/((Presion_cilindro!O29+Presion_cilindro!O30)/2)</f>
        <v>0.72800324693151175</v>
      </c>
      <c r="N38" s="27">
        <f>N37*(Presion_cilindro!O29/Presion_cilindro!O30)^Presion_cilindro!$B$9+10*(Presion_cilindro!$B$9-1)*Presion_cilindro!$B$33*(IF(Presion_cilindro!N30&gt;(-N$4+Presion_cilindro!$B$34),1-EXP(-Presion_cilindro!$B$16*((Presion_cilindro!N30-(-N$4+Presion_cilindro!$B$34))/Presion_cilindro!$B$35)^(Presion_cilindro!$B$17+1)),0)-IF(Presion_cilindro!N29&gt;(-N$4+Presion_cilindro!$B$34),1-EXP(-Presion_cilindro!$B$16*((Presion_cilindro!N29-(-N$4+Presion_cilindro!$B$34))/Presion_cilindro!$B$35)^(Presion_cilindro!$B$17+1)),0))/((Presion_cilindro!O29+Presion_cilindro!O30)/2)</f>
        <v>0.72800324693151175</v>
      </c>
    </row>
    <row r="39" spans="1:14" x14ac:dyDescent="0.25">
      <c r="A39" s="21">
        <f>Presion_cilindro!N31</f>
        <v>-166.5</v>
      </c>
      <c r="B39" s="27">
        <f>B38*(Presion_cilindro!O30/Presion_cilindro!O31)^Presion_cilindro!$B$9+10*(Presion_cilindro!$B$9-1)*Presion_cilindro!$B$33*(IF(Presion_cilindro!N31&gt;(-B$4+Presion_cilindro!$B$34),1-EXP(-Presion_cilindro!$B$16*((Presion_cilindro!N31-(-B$4+Presion_cilindro!$B$34))/Presion_cilindro!$B$35)^(Presion_cilindro!$B$17+1)),0)-IF(Presion_cilindro!N30&gt;(-B$4+Presion_cilindro!$B$34),1-EXP(-Presion_cilindro!$B$16*((Presion_cilindro!N30-(-B$4+Presion_cilindro!$B$34))/Presion_cilindro!$B$35)^(Presion_cilindro!$B$17+1)),0))/((Presion_cilindro!O30+Presion_cilindro!O31)/2)</f>
        <v>0.7286375739661366</v>
      </c>
      <c r="C39" s="27">
        <f>C38*(Presion_cilindro!O30/Presion_cilindro!O31)^Presion_cilindro!$B$9+10*(Presion_cilindro!$B$9-1)*Presion_cilindro!$B$33*(IF(Presion_cilindro!N31&gt;(-C$4+Presion_cilindro!$B$34),1-EXP(-Presion_cilindro!$B$16*((Presion_cilindro!N31-(-C$4+Presion_cilindro!$B$34))/Presion_cilindro!$B$35)^(Presion_cilindro!$B$17+1)),0)-IF(Presion_cilindro!N30&gt;(-C$4+Presion_cilindro!$B$34),1-EXP(-Presion_cilindro!$B$16*((Presion_cilindro!N30-(-C$4+Presion_cilindro!$B$34))/Presion_cilindro!$B$35)^(Presion_cilindro!$B$17+1)),0))/((Presion_cilindro!O30+Presion_cilindro!O31)/2)</f>
        <v>0.7286375739661366</v>
      </c>
      <c r="D39" s="27">
        <f>D38*(Presion_cilindro!O30/Presion_cilindro!O31)^Presion_cilindro!$B$9+10*(Presion_cilindro!$B$9-1)*Presion_cilindro!$B$33*(IF(Presion_cilindro!N31&gt;(-D$4+Presion_cilindro!$B$34),1-EXP(-Presion_cilindro!$B$16*((Presion_cilindro!N31-(-D$4+Presion_cilindro!$B$34))/Presion_cilindro!$B$35)^(Presion_cilindro!$B$17+1)),0)-IF(Presion_cilindro!N30&gt;(-D$4+Presion_cilindro!$B$34),1-EXP(-Presion_cilindro!$B$16*((Presion_cilindro!N30-(-D$4+Presion_cilindro!$B$34))/Presion_cilindro!$B$35)^(Presion_cilindro!$B$17+1)),0))/((Presion_cilindro!O30+Presion_cilindro!O31)/2)</f>
        <v>0.7286375739661366</v>
      </c>
      <c r="E39" s="27">
        <f>E38*(Presion_cilindro!O30/Presion_cilindro!O31)^Presion_cilindro!$B$9+10*(Presion_cilindro!$B$9-1)*Presion_cilindro!$B$33*(IF(Presion_cilindro!N31&gt;(-E$4+Presion_cilindro!$B$34),1-EXP(-Presion_cilindro!$B$16*((Presion_cilindro!N31-(-E$4+Presion_cilindro!$B$34))/Presion_cilindro!$B$35)^(Presion_cilindro!$B$17+1)),0)-IF(Presion_cilindro!N30&gt;(-E$4+Presion_cilindro!$B$34),1-EXP(-Presion_cilindro!$B$16*((Presion_cilindro!N30-(-E$4+Presion_cilindro!$B$34))/Presion_cilindro!$B$35)^(Presion_cilindro!$B$17+1)),0))/((Presion_cilindro!O30+Presion_cilindro!O31)/2)</f>
        <v>0.7286375739661366</v>
      </c>
      <c r="F39" s="27">
        <f>F38*(Presion_cilindro!O30/Presion_cilindro!O31)^Presion_cilindro!$B$9+10*(Presion_cilindro!$B$9-1)*Presion_cilindro!$B$33*(IF(Presion_cilindro!N31&gt;(-F$4+Presion_cilindro!$B$34),1-EXP(-Presion_cilindro!$B$16*((Presion_cilindro!N31-(-F$4+Presion_cilindro!$B$34))/Presion_cilindro!$B$35)^(Presion_cilindro!$B$17+1)),0)-IF(Presion_cilindro!N30&gt;(-F$4+Presion_cilindro!$B$34),1-EXP(-Presion_cilindro!$B$16*((Presion_cilindro!N30-(-F$4+Presion_cilindro!$B$34))/Presion_cilindro!$B$35)^(Presion_cilindro!$B$17+1)),0))/((Presion_cilindro!O30+Presion_cilindro!O31)/2)</f>
        <v>0.7286375739661366</v>
      </c>
      <c r="G39" s="27">
        <f>G38*(Presion_cilindro!O30/Presion_cilindro!O31)^Presion_cilindro!$B$9+10*(Presion_cilindro!$B$9-1)*Presion_cilindro!$B$33*(IF(Presion_cilindro!N31&gt;(-G$4+Presion_cilindro!$B$34),1-EXP(-Presion_cilindro!$B$16*((Presion_cilindro!N31-(-G$4+Presion_cilindro!$B$34))/Presion_cilindro!$B$35)^(Presion_cilindro!$B$17+1)),0)-IF(Presion_cilindro!N30&gt;(-G$4+Presion_cilindro!$B$34),1-EXP(-Presion_cilindro!$B$16*((Presion_cilindro!N30-(-G$4+Presion_cilindro!$B$34))/Presion_cilindro!$B$35)^(Presion_cilindro!$B$17+1)),0))/((Presion_cilindro!O30+Presion_cilindro!O31)/2)</f>
        <v>0.7286375739661366</v>
      </c>
      <c r="H39" s="27">
        <f>H38*(Presion_cilindro!O30/Presion_cilindro!O31)^Presion_cilindro!$B$9+10*(Presion_cilindro!$B$9-1)*Presion_cilindro!$B$33*(IF(Presion_cilindro!N31&gt;(-H$4+Presion_cilindro!$B$34),1-EXP(-Presion_cilindro!$B$16*((Presion_cilindro!N31-(-H$4+Presion_cilindro!$B$34))/Presion_cilindro!$B$35)^(Presion_cilindro!$B$17+1)),0)-IF(Presion_cilindro!N30&gt;(-H$4+Presion_cilindro!$B$34),1-EXP(-Presion_cilindro!$B$16*((Presion_cilindro!N30-(-H$4+Presion_cilindro!$B$34))/Presion_cilindro!$B$35)^(Presion_cilindro!$B$17+1)),0))/((Presion_cilindro!O30+Presion_cilindro!O31)/2)</f>
        <v>0.7286375739661366</v>
      </c>
      <c r="I39" s="27">
        <f>I38*(Presion_cilindro!O30/Presion_cilindro!O31)^Presion_cilindro!$B$9+10*(Presion_cilindro!$B$9-1)*Presion_cilindro!$B$33*(IF(Presion_cilindro!N31&gt;(-I$4+Presion_cilindro!$B$34),1-EXP(-Presion_cilindro!$B$16*((Presion_cilindro!N31-(-I$4+Presion_cilindro!$B$34))/Presion_cilindro!$B$35)^(Presion_cilindro!$B$17+1)),0)-IF(Presion_cilindro!N30&gt;(-I$4+Presion_cilindro!$B$34),1-EXP(-Presion_cilindro!$B$16*((Presion_cilindro!N30-(-I$4+Presion_cilindro!$B$34))/Presion_cilindro!$B$35)^(Presion_cilindro!$B$17+1)),0))/((Presion_cilindro!O30+Presion_cilindro!O31)/2)</f>
        <v>0.7286375739661366</v>
      </c>
      <c r="J39" s="27">
        <f>J38*(Presion_cilindro!O30/Presion_cilindro!O31)^Presion_cilindro!$B$9+10*(Presion_cilindro!$B$9-1)*Presion_cilindro!$B$33*(IF(Presion_cilindro!N31&gt;(-J$4+Presion_cilindro!$B$34),1-EXP(-Presion_cilindro!$B$16*((Presion_cilindro!N31-(-J$4+Presion_cilindro!$B$34))/Presion_cilindro!$B$35)^(Presion_cilindro!$B$17+1)),0)-IF(Presion_cilindro!N30&gt;(-J$4+Presion_cilindro!$B$34),1-EXP(-Presion_cilindro!$B$16*((Presion_cilindro!N30-(-J$4+Presion_cilindro!$B$34))/Presion_cilindro!$B$35)^(Presion_cilindro!$B$17+1)),0))/((Presion_cilindro!O30+Presion_cilindro!O31)/2)</f>
        <v>0.7286375739661366</v>
      </c>
      <c r="K39" s="27">
        <f>K38*(Presion_cilindro!O30/Presion_cilindro!O31)^Presion_cilindro!$B$9+10*(Presion_cilindro!$B$9-1)*Presion_cilindro!$B$33*(IF(Presion_cilindro!N31&gt;(-K$4+Presion_cilindro!$B$34),1-EXP(-Presion_cilindro!$B$16*((Presion_cilindro!N31-(-K$4+Presion_cilindro!$B$34))/Presion_cilindro!$B$35)^(Presion_cilindro!$B$17+1)),0)-IF(Presion_cilindro!N30&gt;(-K$4+Presion_cilindro!$B$34),1-EXP(-Presion_cilindro!$B$16*((Presion_cilindro!N30-(-K$4+Presion_cilindro!$B$34))/Presion_cilindro!$B$35)^(Presion_cilindro!$B$17+1)),0))/((Presion_cilindro!O30+Presion_cilindro!O31)/2)</f>
        <v>0.7286375739661366</v>
      </c>
      <c r="L39" s="27">
        <f>L38*(Presion_cilindro!O30/Presion_cilindro!O31)^Presion_cilindro!$B$9+10*(Presion_cilindro!$B$9-1)*Presion_cilindro!$B$33*(IF(Presion_cilindro!N31&gt;(-L$4+Presion_cilindro!$B$34),1-EXP(-Presion_cilindro!$B$16*((Presion_cilindro!N31-(-L$4+Presion_cilindro!$B$34))/Presion_cilindro!$B$35)^(Presion_cilindro!$B$17+1)),0)-IF(Presion_cilindro!N30&gt;(-L$4+Presion_cilindro!$B$34),1-EXP(-Presion_cilindro!$B$16*((Presion_cilindro!N30-(-L$4+Presion_cilindro!$B$34))/Presion_cilindro!$B$35)^(Presion_cilindro!$B$17+1)),0))/((Presion_cilindro!O30+Presion_cilindro!O31)/2)</f>
        <v>0.7286375739661366</v>
      </c>
      <c r="M39" s="27">
        <f>M38*(Presion_cilindro!O30/Presion_cilindro!O31)^Presion_cilindro!$B$9+10*(Presion_cilindro!$B$9-1)*Presion_cilindro!$B$33*(IF(Presion_cilindro!N31&gt;(-M$4+Presion_cilindro!$B$34),1-EXP(-Presion_cilindro!$B$16*((Presion_cilindro!N31-(-M$4+Presion_cilindro!$B$34))/Presion_cilindro!$B$35)^(Presion_cilindro!$B$17+1)),0)-IF(Presion_cilindro!N30&gt;(-M$4+Presion_cilindro!$B$34),1-EXP(-Presion_cilindro!$B$16*((Presion_cilindro!N30-(-M$4+Presion_cilindro!$B$34))/Presion_cilindro!$B$35)^(Presion_cilindro!$B$17+1)),0))/((Presion_cilindro!O30+Presion_cilindro!O31)/2)</f>
        <v>0.7286375739661366</v>
      </c>
      <c r="N39" s="27">
        <f>N38*(Presion_cilindro!O30/Presion_cilindro!O31)^Presion_cilindro!$B$9+10*(Presion_cilindro!$B$9-1)*Presion_cilindro!$B$33*(IF(Presion_cilindro!N31&gt;(-N$4+Presion_cilindro!$B$34),1-EXP(-Presion_cilindro!$B$16*((Presion_cilindro!N31-(-N$4+Presion_cilindro!$B$34))/Presion_cilindro!$B$35)^(Presion_cilindro!$B$17+1)),0)-IF(Presion_cilindro!N30&gt;(-N$4+Presion_cilindro!$B$34),1-EXP(-Presion_cilindro!$B$16*((Presion_cilindro!N30-(-N$4+Presion_cilindro!$B$34))/Presion_cilindro!$B$35)^(Presion_cilindro!$B$17+1)),0))/((Presion_cilindro!O30+Presion_cilindro!O31)/2)</f>
        <v>0.7286375739661366</v>
      </c>
    </row>
    <row r="40" spans="1:14" x14ac:dyDescent="0.25">
      <c r="A40" s="21">
        <f>Presion_cilindro!N32</f>
        <v>-166</v>
      </c>
      <c r="B40" s="27">
        <f>B39*(Presion_cilindro!O31/Presion_cilindro!O32)^Presion_cilindro!$B$9+10*(Presion_cilindro!$B$9-1)*Presion_cilindro!$B$33*(IF(Presion_cilindro!N32&gt;(-B$4+Presion_cilindro!$B$34),1-EXP(-Presion_cilindro!$B$16*((Presion_cilindro!N32-(-B$4+Presion_cilindro!$B$34))/Presion_cilindro!$B$35)^(Presion_cilindro!$B$17+1)),0)-IF(Presion_cilindro!N31&gt;(-B$4+Presion_cilindro!$B$34),1-EXP(-Presion_cilindro!$B$16*((Presion_cilindro!N31-(-B$4+Presion_cilindro!$B$34))/Presion_cilindro!$B$35)^(Presion_cilindro!$B$17+1)),0))/((Presion_cilindro!O31+Presion_cilindro!O32)/2)</f>
        <v>0.72929690049897455</v>
      </c>
      <c r="C40" s="27">
        <f>C39*(Presion_cilindro!O31/Presion_cilindro!O32)^Presion_cilindro!$B$9+10*(Presion_cilindro!$B$9-1)*Presion_cilindro!$B$33*(IF(Presion_cilindro!N32&gt;(-C$4+Presion_cilindro!$B$34),1-EXP(-Presion_cilindro!$B$16*((Presion_cilindro!N32-(-C$4+Presion_cilindro!$B$34))/Presion_cilindro!$B$35)^(Presion_cilindro!$B$17+1)),0)-IF(Presion_cilindro!N31&gt;(-C$4+Presion_cilindro!$B$34),1-EXP(-Presion_cilindro!$B$16*((Presion_cilindro!N31-(-C$4+Presion_cilindro!$B$34))/Presion_cilindro!$B$35)^(Presion_cilindro!$B$17+1)),0))/((Presion_cilindro!O31+Presion_cilindro!O32)/2)</f>
        <v>0.72929690049897455</v>
      </c>
      <c r="D40" s="27">
        <f>D39*(Presion_cilindro!O31/Presion_cilindro!O32)^Presion_cilindro!$B$9+10*(Presion_cilindro!$B$9-1)*Presion_cilindro!$B$33*(IF(Presion_cilindro!N32&gt;(-D$4+Presion_cilindro!$B$34),1-EXP(-Presion_cilindro!$B$16*((Presion_cilindro!N32-(-D$4+Presion_cilindro!$B$34))/Presion_cilindro!$B$35)^(Presion_cilindro!$B$17+1)),0)-IF(Presion_cilindro!N31&gt;(-D$4+Presion_cilindro!$B$34),1-EXP(-Presion_cilindro!$B$16*((Presion_cilindro!N31-(-D$4+Presion_cilindro!$B$34))/Presion_cilindro!$B$35)^(Presion_cilindro!$B$17+1)),0))/((Presion_cilindro!O31+Presion_cilindro!O32)/2)</f>
        <v>0.72929690049897455</v>
      </c>
      <c r="E40" s="27">
        <f>E39*(Presion_cilindro!O31/Presion_cilindro!O32)^Presion_cilindro!$B$9+10*(Presion_cilindro!$B$9-1)*Presion_cilindro!$B$33*(IF(Presion_cilindro!N32&gt;(-E$4+Presion_cilindro!$B$34),1-EXP(-Presion_cilindro!$B$16*((Presion_cilindro!N32-(-E$4+Presion_cilindro!$B$34))/Presion_cilindro!$B$35)^(Presion_cilindro!$B$17+1)),0)-IF(Presion_cilindro!N31&gt;(-E$4+Presion_cilindro!$B$34),1-EXP(-Presion_cilindro!$B$16*((Presion_cilindro!N31-(-E$4+Presion_cilindro!$B$34))/Presion_cilindro!$B$35)^(Presion_cilindro!$B$17+1)),0))/((Presion_cilindro!O31+Presion_cilindro!O32)/2)</f>
        <v>0.72929690049897455</v>
      </c>
      <c r="F40" s="27">
        <f>F39*(Presion_cilindro!O31/Presion_cilindro!O32)^Presion_cilindro!$B$9+10*(Presion_cilindro!$B$9-1)*Presion_cilindro!$B$33*(IF(Presion_cilindro!N32&gt;(-F$4+Presion_cilindro!$B$34),1-EXP(-Presion_cilindro!$B$16*((Presion_cilindro!N32-(-F$4+Presion_cilindro!$B$34))/Presion_cilindro!$B$35)^(Presion_cilindro!$B$17+1)),0)-IF(Presion_cilindro!N31&gt;(-F$4+Presion_cilindro!$B$34),1-EXP(-Presion_cilindro!$B$16*((Presion_cilindro!N31-(-F$4+Presion_cilindro!$B$34))/Presion_cilindro!$B$35)^(Presion_cilindro!$B$17+1)),0))/((Presion_cilindro!O31+Presion_cilindro!O32)/2)</f>
        <v>0.72929690049897455</v>
      </c>
      <c r="G40" s="27">
        <f>G39*(Presion_cilindro!O31/Presion_cilindro!O32)^Presion_cilindro!$B$9+10*(Presion_cilindro!$B$9-1)*Presion_cilindro!$B$33*(IF(Presion_cilindro!N32&gt;(-G$4+Presion_cilindro!$B$34),1-EXP(-Presion_cilindro!$B$16*((Presion_cilindro!N32-(-G$4+Presion_cilindro!$B$34))/Presion_cilindro!$B$35)^(Presion_cilindro!$B$17+1)),0)-IF(Presion_cilindro!N31&gt;(-G$4+Presion_cilindro!$B$34),1-EXP(-Presion_cilindro!$B$16*((Presion_cilindro!N31-(-G$4+Presion_cilindro!$B$34))/Presion_cilindro!$B$35)^(Presion_cilindro!$B$17+1)),0))/((Presion_cilindro!O31+Presion_cilindro!O32)/2)</f>
        <v>0.72929690049897455</v>
      </c>
      <c r="H40" s="27">
        <f>H39*(Presion_cilindro!O31/Presion_cilindro!O32)^Presion_cilindro!$B$9+10*(Presion_cilindro!$B$9-1)*Presion_cilindro!$B$33*(IF(Presion_cilindro!N32&gt;(-H$4+Presion_cilindro!$B$34),1-EXP(-Presion_cilindro!$B$16*((Presion_cilindro!N32-(-H$4+Presion_cilindro!$B$34))/Presion_cilindro!$B$35)^(Presion_cilindro!$B$17+1)),0)-IF(Presion_cilindro!N31&gt;(-H$4+Presion_cilindro!$B$34),1-EXP(-Presion_cilindro!$B$16*((Presion_cilindro!N31-(-H$4+Presion_cilindro!$B$34))/Presion_cilindro!$B$35)^(Presion_cilindro!$B$17+1)),0))/((Presion_cilindro!O31+Presion_cilindro!O32)/2)</f>
        <v>0.72929690049897455</v>
      </c>
      <c r="I40" s="27">
        <f>I39*(Presion_cilindro!O31/Presion_cilindro!O32)^Presion_cilindro!$B$9+10*(Presion_cilindro!$B$9-1)*Presion_cilindro!$B$33*(IF(Presion_cilindro!N32&gt;(-I$4+Presion_cilindro!$B$34),1-EXP(-Presion_cilindro!$B$16*((Presion_cilindro!N32-(-I$4+Presion_cilindro!$B$34))/Presion_cilindro!$B$35)^(Presion_cilindro!$B$17+1)),0)-IF(Presion_cilindro!N31&gt;(-I$4+Presion_cilindro!$B$34),1-EXP(-Presion_cilindro!$B$16*((Presion_cilindro!N31-(-I$4+Presion_cilindro!$B$34))/Presion_cilindro!$B$35)^(Presion_cilindro!$B$17+1)),0))/((Presion_cilindro!O31+Presion_cilindro!O32)/2)</f>
        <v>0.72929690049897455</v>
      </c>
      <c r="J40" s="27">
        <f>J39*(Presion_cilindro!O31/Presion_cilindro!O32)^Presion_cilindro!$B$9+10*(Presion_cilindro!$B$9-1)*Presion_cilindro!$B$33*(IF(Presion_cilindro!N32&gt;(-J$4+Presion_cilindro!$B$34),1-EXP(-Presion_cilindro!$B$16*((Presion_cilindro!N32-(-J$4+Presion_cilindro!$B$34))/Presion_cilindro!$B$35)^(Presion_cilindro!$B$17+1)),0)-IF(Presion_cilindro!N31&gt;(-J$4+Presion_cilindro!$B$34),1-EXP(-Presion_cilindro!$B$16*((Presion_cilindro!N31-(-J$4+Presion_cilindro!$B$34))/Presion_cilindro!$B$35)^(Presion_cilindro!$B$17+1)),0))/((Presion_cilindro!O31+Presion_cilindro!O32)/2)</f>
        <v>0.72929690049897455</v>
      </c>
      <c r="K40" s="27">
        <f>K39*(Presion_cilindro!O31/Presion_cilindro!O32)^Presion_cilindro!$B$9+10*(Presion_cilindro!$B$9-1)*Presion_cilindro!$B$33*(IF(Presion_cilindro!N32&gt;(-K$4+Presion_cilindro!$B$34),1-EXP(-Presion_cilindro!$B$16*((Presion_cilindro!N32-(-K$4+Presion_cilindro!$B$34))/Presion_cilindro!$B$35)^(Presion_cilindro!$B$17+1)),0)-IF(Presion_cilindro!N31&gt;(-K$4+Presion_cilindro!$B$34),1-EXP(-Presion_cilindro!$B$16*((Presion_cilindro!N31-(-K$4+Presion_cilindro!$B$34))/Presion_cilindro!$B$35)^(Presion_cilindro!$B$17+1)),0))/((Presion_cilindro!O31+Presion_cilindro!O32)/2)</f>
        <v>0.72929690049897455</v>
      </c>
      <c r="L40" s="27">
        <f>L39*(Presion_cilindro!O31/Presion_cilindro!O32)^Presion_cilindro!$B$9+10*(Presion_cilindro!$B$9-1)*Presion_cilindro!$B$33*(IF(Presion_cilindro!N32&gt;(-L$4+Presion_cilindro!$B$34),1-EXP(-Presion_cilindro!$B$16*((Presion_cilindro!N32-(-L$4+Presion_cilindro!$B$34))/Presion_cilindro!$B$35)^(Presion_cilindro!$B$17+1)),0)-IF(Presion_cilindro!N31&gt;(-L$4+Presion_cilindro!$B$34),1-EXP(-Presion_cilindro!$B$16*((Presion_cilindro!N31-(-L$4+Presion_cilindro!$B$34))/Presion_cilindro!$B$35)^(Presion_cilindro!$B$17+1)),0))/((Presion_cilindro!O31+Presion_cilindro!O32)/2)</f>
        <v>0.72929690049897455</v>
      </c>
      <c r="M40" s="27">
        <f>M39*(Presion_cilindro!O31/Presion_cilindro!O32)^Presion_cilindro!$B$9+10*(Presion_cilindro!$B$9-1)*Presion_cilindro!$B$33*(IF(Presion_cilindro!N32&gt;(-M$4+Presion_cilindro!$B$34),1-EXP(-Presion_cilindro!$B$16*((Presion_cilindro!N32-(-M$4+Presion_cilindro!$B$34))/Presion_cilindro!$B$35)^(Presion_cilindro!$B$17+1)),0)-IF(Presion_cilindro!N31&gt;(-M$4+Presion_cilindro!$B$34),1-EXP(-Presion_cilindro!$B$16*((Presion_cilindro!N31-(-M$4+Presion_cilindro!$B$34))/Presion_cilindro!$B$35)^(Presion_cilindro!$B$17+1)),0))/((Presion_cilindro!O31+Presion_cilindro!O32)/2)</f>
        <v>0.72929690049897455</v>
      </c>
      <c r="N40" s="27">
        <f>N39*(Presion_cilindro!O31/Presion_cilindro!O32)^Presion_cilindro!$B$9+10*(Presion_cilindro!$B$9-1)*Presion_cilindro!$B$33*(IF(Presion_cilindro!N32&gt;(-N$4+Presion_cilindro!$B$34),1-EXP(-Presion_cilindro!$B$16*((Presion_cilindro!N32-(-N$4+Presion_cilindro!$B$34))/Presion_cilindro!$B$35)^(Presion_cilindro!$B$17+1)),0)-IF(Presion_cilindro!N31&gt;(-N$4+Presion_cilindro!$B$34),1-EXP(-Presion_cilindro!$B$16*((Presion_cilindro!N31-(-N$4+Presion_cilindro!$B$34))/Presion_cilindro!$B$35)^(Presion_cilindro!$B$17+1)),0))/((Presion_cilindro!O31+Presion_cilindro!O32)/2)</f>
        <v>0.72929690049897455</v>
      </c>
    </row>
    <row r="41" spans="1:14" x14ac:dyDescent="0.25">
      <c r="A41" s="21">
        <f>Presion_cilindro!N33</f>
        <v>-165.5</v>
      </c>
      <c r="B41" s="27">
        <f>B40*(Presion_cilindro!O32/Presion_cilindro!O33)^Presion_cilindro!$B$9+10*(Presion_cilindro!$B$9-1)*Presion_cilindro!$B$33*(IF(Presion_cilindro!N33&gt;(-B$4+Presion_cilindro!$B$34),1-EXP(-Presion_cilindro!$B$16*((Presion_cilindro!N33-(-B$4+Presion_cilindro!$B$34))/Presion_cilindro!$B$35)^(Presion_cilindro!$B$17+1)),0)-IF(Presion_cilindro!N32&gt;(-B$4+Presion_cilindro!$B$34),1-EXP(-Presion_cilindro!$B$16*((Presion_cilindro!N32-(-B$4+Presion_cilindro!$B$34))/Presion_cilindro!$B$35)^(Presion_cilindro!$B$17+1)),0))/((Presion_cilindro!O32+Presion_cilindro!O33)/2)</f>
        <v>0.72998134664562275</v>
      </c>
      <c r="C41" s="27">
        <f>C40*(Presion_cilindro!O32/Presion_cilindro!O33)^Presion_cilindro!$B$9+10*(Presion_cilindro!$B$9-1)*Presion_cilindro!$B$33*(IF(Presion_cilindro!N33&gt;(-C$4+Presion_cilindro!$B$34),1-EXP(-Presion_cilindro!$B$16*((Presion_cilindro!N33-(-C$4+Presion_cilindro!$B$34))/Presion_cilindro!$B$35)^(Presion_cilindro!$B$17+1)),0)-IF(Presion_cilindro!N32&gt;(-C$4+Presion_cilindro!$B$34),1-EXP(-Presion_cilindro!$B$16*((Presion_cilindro!N32-(-C$4+Presion_cilindro!$B$34))/Presion_cilindro!$B$35)^(Presion_cilindro!$B$17+1)),0))/((Presion_cilindro!O32+Presion_cilindro!O33)/2)</f>
        <v>0.72998134664562275</v>
      </c>
      <c r="D41" s="27">
        <f>D40*(Presion_cilindro!O32/Presion_cilindro!O33)^Presion_cilindro!$B$9+10*(Presion_cilindro!$B$9-1)*Presion_cilindro!$B$33*(IF(Presion_cilindro!N33&gt;(-D$4+Presion_cilindro!$B$34),1-EXP(-Presion_cilindro!$B$16*((Presion_cilindro!N33-(-D$4+Presion_cilindro!$B$34))/Presion_cilindro!$B$35)^(Presion_cilindro!$B$17+1)),0)-IF(Presion_cilindro!N32&gt;(-D$4+Presion_cilindro!$B$34),1-EXP(-Presion_cilindro!$B$16*((Presion_cilindro!N32-(-D$4+Presion_cilindro!$B$34))/Presion_cilindro!$B$35)^(Presion_cilindro!$B$17+1)),0))/((Presion_cilindro!O32+Presion_cilindro!O33)/2)</f>
        <v>0.72998134664562275</v>
      </c>
      <c r="E41" s="27">
        <f>E40*(Presion_cilindro!O32/Presion_cilindro!O33)^Presion_cilindro!$B$9+10*(Presion_cilindro!$B$9-1)*Presion_cilindro!$B$33*(IF(Presion_cilindro!N33&gt;(-E$4+Presion_cilindro!$B$34),1-EXP(-Presion_cilindro!$B$16*((Presion_cilindro!N33-(-E$4+Presion_cilindro!$B$34))/Presion_cilindro!$B$35)^(Presion_cilindro!$B$17+1)),0)-IF(Presion_cilindro!N32&gt;(-E$4+Presion_cilindro!$B$34),1-EXP(-Presion_cilindro!$B$16*((Presion_cilindro!N32-(-E$4+Presion_cilindro!$B$34))/Presion_cilindro!$B$35)^(Presion_cilindro!$B$17+1)),0))/((Presion_cilindro!O32+Presion_cilindro!O33)/2)</f>
        <v>0.72998134664562275</v>
      </c>
      <c r="F41" s="27">
        <f>F40*(Presion_cilindro!O32/Presion_cilindro!O33)^Presion_cilindro!$B$9+10*(Presion_cilindro!$B$9-1)*Presion_cilindro!$B$33*(IF(Presion_cilindro!N33&gt;(-F$4+Presion_cilindro!$B$34),1-EXP(-Presion_cilindro!$B$16*((Presion_cilindro!N33-(-F$4+Presion_cilindro!$B$34))/Presion_cilindro!$B$35)^(Presion_cilindro!$B$17+1)),0)-IF(Presion_cilindro!N32&gt;(-F$4+Presion_cilindro!$B$34),1-EXP(-Presion_cilindro!$B$16*((Presion_cilindro!N32-(-F$4+Presion_cilindro!$B$34))/Presion_cilindro!$B$35)^(Presion_cilindro!$B$17+1)),0))/((Presion_cilindro!O32+Presion_cilindro!O33)/2)</f>
        <v>0.72998134664562275</v>
      </c>
      <c r="G41" s="27">
        <f>G40*(Presion_cilindro!O32/Presion_cilindro!O33)^Presion_cilindro!$B$9+10*(Presion_cilindro!$B$9-1)*Presion_cilindro!$B$33*(IF(Presion_cilindro!N33&gt;(-G$4+Presion_cilindro!$B$34),1-EXP(-Presion_cilindro!$B$16*((Presion_cilindro!N33-(-G$4+Presion_cilindro!$B$34))/Presion_cilindro!$B$35)^(Presion_cilindro!$B$17+1)),0)-IF(Presion_cilindro!N32&gt;(-G$4+Presion_cilindro!$B$34),1-EXP(-Presion_cilindro!$B$16*((Presion_cilindro!N32-(-G$4+Presion_cilindro!$B$34))/Presion_cilindro!$B$35)^(Presion_cilindro!$B$17+1)),0))/((Presion_cilindro!O32+Presion_cilindro!O33)/2)</f>
        <v>0.72998134664562275</v>
      </c>
      <c r="H41" s="27">
        <f>H40*(Presion_cilindro!O32/Presion_cilindro!O33)^Presion_cilindro!$B$9+10*(Presion_cilindro!$B$9-1)*Presion_cilindro!$B$33*(IF(Presion_cilindro!N33&gt;(-H$4+Presion_cilindro!$B$34),1-EXP(-Presion_cilindro!$B$16*((Presion_cilindro!N33-(-H$4+Presion_cilindro!$B$34))/Presion_cilindro!$B$35)^(Presion_cilindro!$B$17+1)),0)-IF(Presion_cilindro!N32&gt;(-H$4+Presion_cilindro!$B$34),1-EXP(-Presion_cilindro!$B$16*((Presion_cilindro!N32-(-H$4+Presion_cilindro!$B$34))/Presion_cilindro!$B$35)^(Presion_cilindro!$B$17+1)),0))/((Presion_cilindro!O32+Presion_cilindro!O33)/2)</f>
        <v>0.72998134664562275</v>
      </c>
      <c r="I41" s="27">
        <f>I40*(Presion_cilindro!O32/Presion_cilindro!O33)^Presion_cilindro!$B$9+10*(Presion_cilindro!$B$9-1)*Presion_cilindro!$B$33*(IF(Presion_cilindro!N33&gt;(-I$4+Presion_cilindro!$B$34),1-EXP(-Presion_cilindro!$B$16*((Presion_cilindro!N33-(-I$4+Presion_cilindro!$B$34))/Presion_cilindro!$B$35)^(Presion_cilindro!$B$17+1)),0)-IF(Presion_cilindro!N32&gt;(-I$4+Presion_cilindro!$B$34),1-EXP(-Presion_cilindro!$B$16*((Presion_cilindro!N32-(-I$4+Presion_cilindro!$B$34))/Presion_cilindro!$B$35)^(Presion_cilindro!$B$17+1)),0))/((Presion_cilindro!O32+Presion_cilindro!O33)/2)</f>
        <v>0.72998134664562275</v>
      </c>
      <c r="J41" s="27">
        <f>J40*(Presion_cilindro!O32/Presion_cilindro!O33)^Presion_cilindro!$B$9+10*(Presion_cilindro!$B$9-1)*Presion_cilindro!$B$33*(IF(Presion_cilindro!N33&gt;(-J$4+Presion_cilindro!$B$34),1-EXP(-Presion_cilindro!$B$16*((Presion_cilindro!N33-(-J$4+Presion_cilindro!$B$34))/Presion_cilindro!$B$35)^(Presion_cilindro!$B$17+1)),0)-IF(Presion_cilindro!N32&gt;(-J$4+Presion_cilindro!$B$34),1-EXP(-Presion_cilindro!$B$16*((Presion_cilindro!N32-(-J$4+Presion_cilindro!$B$34))/Presion_cilindro!$B$35)^(Presion_cilindro!$B$17+1)),0))/((Presion_cilindro!O32+Presion_cilindro!O33)/2)</f>
        <v>0.72998134664562275</v>
      </c>
      <c r="K41" s="27">
        <f>K40*(Presion_cilindro!O32/Presion_cilindro!O33)^Presion_cilindro!$B$9+10*(Presion_cilindro!$B$9-1)*Presion_cilindro!$B$33*(IF(Presion_cilindro!N33&gt;(-K$4+Presion_cilindro!$B$34),1-EXP(-Presion_cilindro!$B$16*((Presion_cilindro!N33-(-K$4+Presion_cilindro!$B$34))/Presion_cilindro!$B$35)^(Presion_cilindro!$B$17+1)),0)-IF(Presion_cilindro!N32&gt;(-K$4+Presion_cilindro!$B$34),1-EXP(-Presion_cilindro!$B$16*((Presion_cilindro!N32-(-K$4+Presion_cilindro!$B$34))/Presion_cilindro!$B$35)^(Presion_cilindro!$B$17+1)),0))/((Presion_cilindro!O32+Presion_cilindro!O33)/2)</f>
        <v>0.72998134664562275</v>
      </c>
      <c r="L41" s="27">
        <f>L40*(Presion_cilindro!O32/Presion_cilindro!O33)^Presion_cilindro!$B$9+10*(Presion_cilindro!$B$9-1)*Presion_cilindro!$B$33*(IF(Presion_cilindro!N33&gt;(-L$4+Presion_cilindro!$B$34),1-EXP(-Presion_cilindro!$B$16*((Presion_cilindro!N33-(-L$4+Presion_cilindro!$B$34))/Presion_cilindro!$B$35)^(Presion_cilindro!$B$17+1)),0)-IF(Presion_cilindro!N32&gt;(-L$4+Presion_cilindro!$B$34),1-EXP(-Presion_cilindro!$B$16*((Presion_cilindro!N32-(-L$4+Presion_cilindro!$B$34))/Presion_cilindro!$B$35)^(Presion_cilindro!$B$17+1)),0))/((Presion_cilindro!O32+Presion_cilindro!O33)/2)</f>
        <v>0.72998134664562275</v>
      </c>
      <c r="M41" s="27">
        <f>M40*(Presion_cilindro!O32/Presion_cilindro!O33)^Presion_cilindro!$B$9+10*(Presion_cilindro!$B$9-1)*Presion_cilindro!$B$33*(IF(Presion_cilindro!N33&gt;(-M$4+Presion_cilindro!$B$34),1-EXP(-Presion_cilindro!$B$16*((Presion_cilindro!N33-(-M$4+Presion_cilindro!$B$34))/Presion_cilindro!$B$35)^(Presion_cilindro!$B$17+1)),0)-IF(Presion_cilindro!N32&gt;(-M$4+Presion_cilindro!$B$34),1-EXP(-Presion_cilindro!$B$16*((Presion_cilindro!N32-(-M$4+Presion_cilindro!$B$34))/Presion_cilindro!$B$35)^(Presion_cilindro!$B$17+1)),0))/((Presion_cilindro!O32+Presion_cilindro!O33)/2)</f>
        <v>0.72998134664562275</v>
      </c>
      <c r="N41" s="27">
        <f>N40*(Presion_cilindro!O32/Presion_cilindro!O33)^Presion_cilindro!$B$9+10*(Presion_cilindro!$B$9-1)*Presion_cilindro!$B$33*(IF(Presion_cilindro!N33&gt;(-N$4+Presion_cilindro!$B$34),1-EXP(-Presion_cilindro!$B$16*((Presion_cilindro!N33-(-N$4+Presion_cilindro!$B$34))/Presion_cilindro!$B$35)^(Presion_cilindro!$B$17+1)),0)-IF(Presion_cilindro!N32&gt;(-N$4+Presion_cilindro!$B$34),1-EXP(-Presion_cilindro!$B$16*((Presion_cilindro!N32-(-N$4+Presion_cilindro!$B$34))/Presion_cilindro!$B$35)^(Presion_cilindro!$B$17+1)),0))/((Presion_cilindro!O32+Presion_cilindro!O33)/2)</f>
        <v>0.72998134664562275</v>
      </c>
    </row>
    <row r="42" spans="1:14" x14ac:dyDescent="0.25">
      <c r="A42" s="21">
        <f>Presion_cilindro!N34</f>
        <v>-165</v>
      </c>
      <c r="B42" s="27">
        <f>B41*(Presion_cilindro!O33/Presion_cilindro!O34)^Presion_cilindro!$B$9+10*(Presion_cilindro!$B$9-1)*Presion_cilindro!$B$33*(IF(Presion_cilindro!N34&gt;(-B$4+Presion_cilindro!$B$34),1-EXP(-Presion_cilindro!$B$16*((Presion_cilindro!N34-(-B$4+Presion_cilindro!$B$34))/Presion_cilindro!$B$35)^(Presion_cilindro!$B$17+1)),0)-IF(Presion_cilindro!N33&gt;(-B$4+Presion_cilindro!$B$34),1-EXP(-Presion_cilindro!$B$16*((Presion_cilindro!N33-(-B$4+Presion_cilindro!$B$34))/Presion_cilindro!$B$35)^(Presion_cilindro!$B$17+1)),0))/((Presion_cilindro!O33+Presion_cilindro!O34)/2)</f>
        <v>0.73069103726605378</v>
      </c>
      <c r="C42" s="27">
        <f>C41*(Presion_cilindro!O33/Presion_cilindro!O34)^Presion_cilindro!$B$9+10*(Presion_cilindro!$B$9-1)*Presion_cilindro!$B$33*(IF(Presion_cilindro!N34&gt;(-C$4+Presion_cilindro!$B$34),1-EXP(-Presion_cilindro!$B$16*((Presion_cilindro!N34-(-C$4+Presion_cilindro!$B$34))/Presion_cilindro!$B$35)^(Presion_cilindro!$B$17+1)),0)-IF(Presion_cilindro!N33&gt;(-C$4+Presion_cilindro!$B$34),1-EXP(-Presion_cilindro!$B$16*((Presion_cilindro!N33-(-C$4+Presion_cilindro!$B$34))/Presion_cilindro!$B$35)^(Presion_cilindro!$B$17+1)),0))/((Presion_cilindro!O33+Presion_cilindro!O34)/2)</f>
        <v>0.73069103726605378</v>
      </c>
      <c r="D42" s="27">
        <f>D41*(Presion_cilindro!O33/Presion_cilindro!O34)^Presion_cilindro!$B$9+10*(Presion_cilindro!$B$9-1)*Presion_cilindro!$B$33*(IF(Presion_cilindro!N34&gt;(-D$4+Presion_cilindro!$B$34),1-EXP(-Presion_cilindro!$B$16*((Presion_cilindro!N34-(-D$4+Presion_cilindro!$B$34))/Presion_cilindro!$B$35)^(Presion_cilindro!$B$17+1)),0)-IF(Presion_cilindro!N33&gt;(-D$4+Presion_cilindro!$B$34),1-EXP(-Presion_cilindro!$B$16*((Presion_cilindro!N33-(-D$4+Presion_cilindro!$B$34))/Presion_cilindro!$B$35)^(Presion_cilindro!$B$17+1)),0))/((Presion_cilindro!O33+Presion_cilindro!O34)/2)</f>
        <v>0.73069103726605378</v>
      </c>
      <c r="E42" s="27">
        <f>E41*(Presion_cilindro!O33/Presion_cilindro!O34)^Presion_cilindro!$B$9+10*(Presion_cilindro!$B$9-1)*Presion_cilindro!$B$33*(IF(Presion_cilindro!N34&gt;(-E$4+Presion_cilindro!$B$34),1-EXP(-Presion_cilindro!$B$16*((Presion_cilindro!N34-(-E$4+Presion_cilindro!$B$34))/Presion_cilindro!$B$35)^(Presion_cilindro!$B$17+1)),0)-IF(Presion_cilindro!N33&gt;(-E$4+Presion_cilindro!$B$34),1-EXP(-Presion_cilindro!$B$16*((Presion_cilindro!N33-(-E$4+Presion_cilindro!$B$34))/Presion_cilindro!$B$35)^(Presion_cilindro!$B$17+1)),0))/((Presion_cilindro!O33+Presion_cilindro!O34)/2)</f>
        <v>0.73069103726605378</v>
      </c>
      <c r="F42" s="27">
        <f>F41*(Presion_cilindro!O33/Presion_cilindro!O34)^Presion_cilindro!$B$9+10*(Presion_cilindro!$B$9-1)*Presion_cilindro!$B$33*(IF(Presion_cilindro!N34&gt;(-F$4+Presion_cilindro!$B$34),1-EXP(-Presion_cilindro!$B$16*((Presion_cilindro!N34-(-F$4+Presion_cilindro!$B$34))/Presion_cilindro!$B$35)^(Presion_cilindro!$B$17+1)),0)-IF(Presion_cilindro!N33&gt;(-F$4+Presion_cilindro!$B$34),1-EXP(-Presion_cilindro!$B$16*((Presion_cilindro!N33-(-F$4+Presion_cilindro!$B$34))/Presion_cilindro!$B$35)^(Presion_cilindro!$B$17+1)),0))/((Presion_cilindro!O33+Presion_cilindro!O34)/2)</f>
        <v>0.73069103726605378</v>
      </c>
      <c r="G42" s="27">
        <f>G41*(Presion_cilindro!O33/Presion_cilindro!O34)^Presion_cilindro!$B$9+10*(Presion_cilindro!$B$9-1)*Presion_cilindro!$B$33*(IF(Presion_cilindro!N34&gt;(-G$4+Presion_cilindro!$B$34),1-EXP(-Presion_cilindro!$B$16*((Presion_cilindro!N34-(-G$4+Presion_cilindro!$B$34))/Presion_cilindro!$B$35)^(Presion_cilindro!$B$17+1)),0)-IF(Presion_cilindro!N33&gt;(-G$4+Presion_cilindro!$B$34),1-EXP(-Presion_cilindro!$B$16*((Presion_cilindro!N33-(-G$4+Presion_cilindro!$B$34))/Presion_cilindro!$B$35)^(Presion_cilindro!$B$17+1)),0))/((Presion_cilindro!O33+Presion_cilindro!O34)/2)</f>
        <v>0.73069103726605378</v>
      </c>
      <c r="H42" s="27">
        <f>H41*(Presion_cilindro!O33/Presion_cilindro!O34)^Presion_cilindro!$B$9+10*(Presion_cilindro!$B$9-1)*Presion_cilindro!$B$33*(IF(Presion_cilindro!N34&gt;(-H$4+Presion_cilindro!$B$34),1-EXP(-Presion_cilindro!$B$16*((Presion_cilindro!N34-(-H$4+Presion_cilindro!$B$34))/Presion_cilindro!$B$35)^(Presion_cilindro!$B$17+1)),0)-IF(Presion_cilindro!N33&gt;(-H$4+Presion_cilindro!$B$34),1-EXP(-Presion_cilindro!$B$16*((Presion_cilindro!N33-(-H$4+Presion_cilindro!$B$34))/Presion_cilindro!$B$35)^(Presion_cilindro!$B$17+1)),0))/((Presion_cilindro!O33+Presion_cilindro!O34)/2)</f>
        <v>0.73069103726605378</v>
      </c>
      <c r="I42" s="27">
        <f>I41*(Presion_cilindro!O33/Presion_cilindro!O34)^Presion_cilindro!$B$9+10*(Presion_cilindro!$B$9-1)*Presion_cilindro!$B$33*(IF(Presion_cilindro!N34&gt;(-I$4+Presion_cilindro!$B$34),1-EXP(-Presion_cilindro!$B$16*((Presion_cilindro!N34-(-I$4+Presion_cilindro!$B$34))/Presion_cilindro!$B$35)^(Presion_cilindro!$B$17+1)),0)-IF(Presion_cilindro!N33&gt;(-I$4+Presion_cilindro!$B$34),1-EXP(-Presion_cilindro!$B$16*((Presion_cilindro!N33-(-I$4+Presion_cilindro!$B$34))/Presion_cilindro!$B$35)^(Presion_cilindro!$B$17+1)),0))/((Presion_cilindro!O33+Presion_cilindro!O34)/2)</f>
        <v>0.73069103726605378</v>
      </c>
      <c r="J42" s="27">
        <f>J41*(Presion_cilindro!O33/Presion_cilindro!O34)^Presion_cilindro!$B$9+10*(Presion_cilindro!$B$9-1)*Presion_cilindro!$B$33*(IF(Presion_cilindro!N34&gt;(-J$4+Presion_cilindro!$B$34),1-EXP(-Presion_cilindro!$B$16*((Presion_cilindro!N34-(-J$4+Presion_cilindro!$B$34))/Presion_cilindro!$B$35)^(Presion_cilindro!$B$17+1)),0)-IF(Presion_cilindro!N33&gt;(-J$4+Presion_cilindro!$B$34),1-EXP(-Presion_cilindro!$B$16*((Presion_cilindro!N33-(-J$4+Presion_cilindro!$B$34))/Presion_cilindro!$B$35)^(Presion_cilindro!$B$17+1)),0))/((Presion_cilindro!O33+Presion_cilindro!O34)/2)</f>
        <v>0.73069103726605378</v>
      </c>
      <c r="K42" s="27">
        <f>K41*(Presion_cilindro!O33/Presion_cilindro!O34)^Presion_cilindro!$B$9+10*(Presion_cilindro!$B$9-1)*Presion_cilindro!$B$33*(IF(Presion_cilindro!N34&gt;(-K$4+Presion_cilindro!$B$34),1-EXP(-Presion_cilindro!$B$16*((Presion_cilindro!N34-(-K$4+Presion_cilindro!$B$34))/Presion_cilindro!$B$35)^(Presion_cilindro!$B$17+1)),0)-IF(Presion_cilindro!N33&gt;(-K$4+Presion_cilindro!$B$34),1-EXP(-Presion_cilindro!$B$16*((Presion_cilindro!N33-(-K$4+Presion_cilindro!$B$34))/Presion_cilindro!$B$35)^(Presion_cilindro!$B$17+1)),0))/((Presion_cilindro!O33+Presion_cilindro!O34)/2)</f>
        <v>0.73069103726605378</v>
      </c>
      <c r="L42" s="27">
        <f>L41*(Presion_cilindro!O33/Presion_cilindro!O34)^Presion_cilindro!$B$9+10*(Presion_cilindro!$B$9-1)*Presion_cilindro!$B$33*(IF(Presion_cilindro!N34&gt;(-L$4+Presion_cilindro!$B$34),1-EXP(-Presion_cilindro!$B$16*((Presion_cilindro!N34-(-L$4+Presion_cilindro!$B$34))/Presion_cilindro!$B$35)^(Presion_cilindro!$B$17+1)),0)-IF(Presion_cilindro!N33&gt;(-L$4+Presion_cilindro!$B$34),1-EXP(-Presion_cilindro!$B$16*((Presion_cilindro!N33-(-L$4+Presion_cilindro!$B$34))/Presion_cilindro!$B$35)^(Presion_cilindro!$B$17+1)),0))/((Presion_cilindro!O33+Presion_cilindro!O34)/2)</f>
        <v>0.73069103726605378</v>
      </c>
      <c r="M42" s="27">
        <f>M41*(Presion_cilindro!O33/Presion_cilindro!O34)^Presion_cilindro!$B$9+10*(Presion_cilindro!$B$9-1)*Presion_cilindro!$B$33*(IF(Presion_cilindro!N34&gt;(-M$4+Presion_cilindro!$B$34),1-EXP(-Presion_cilindro!$B$16*((Presion_cilindro!N34-(-M$4+Presion_cilindro!$B$34))/Presion_cilindro!$B$35)^(Presion_cilindro!$B$17+1)),0)-IF(Presion_cilindro!N33&gt;(-M$4+Presion_cilindro!$B$34),1-EXP(-Presion_cilindro!$B$16*((Presion_cilindro!N33-(-M$4+Presion_cilindro!$B$34))/Presion_cilindro!$B$35)^(Presion_cilindro!$B$17+1)),0))/((Presion_cilindro!O33+Presion_cilindro!O34)/2)</f>
        <v>0.73069103726605378</v>
      </c>
      <c r="N42" s="27">
        <f>N41*(Presion_cilindro!O33/Presion_cilindro!O34)^Presion_cilindro!$B$9+10*(Presion_cilindro!$B$9-1)*Presion_cilindro!$B$33*(IF(Presion_cilindro!N34&gt;(-N$4+Presion_cilindro!$B$34),1-EXP(-Presion_cilindro!$B$16*((Presion_cilindro!N34-(-N$4+Presion_cilindro!$B$34))/Presion_cilindro!$B$35)^(Presion_cilindro!$B$17+1)),0)-IF(Presion_cilindro!N33&gt;(-N$4+Presion_cilindro!$B$34),1-EXP(-Presion_cilindro!$B$16*((Presion_cilindro!N33-(-N$4+Presion_cilindro!$B$34))/Presion_cilindro!$B$35)^(Presion_cilindro!$B$17+1)),0))/((Presion_cilindro!O33+Presion_cilindro!O34)/2)</f>
        <v>0.73069103726605378</v>
      </c>
    </row>
    <row r="43" spans="1:14" x14ac:dyDescent="0.25">
      <c r="A43" s="21">
        <f>Presion_cilindro!N35</f>
        <v>-164.5</v>
      </c>
      <c r="B43" s="27">
        <f>B42*(Presion_cilindro!O34/Presion_cilindro!O35)^Presion_cilindro!$B$9+10*(Presion_cilindro!$B$9-1)*Presion_cilindro!$B$33*(IF(Presion_cilindro!N35&gt;(-B$4+Presion_cilindro!$B$34),1-EXP(-Presion_cilindro!$B$16*((Presion_cilindro!N35-(-B$4+Presion_cilindro!$B$34))/Presion_cilindro!$B$35)^(Presion_cilindro!$B$17+1)),0)-IF(Presion_cilindro!N34&gt;(-B$4+Presion_cilindro!$B$34),1-EXP(-Presion_cilindro!$B$16*((Presion_cilindro!N34-(-B$4+Presion_cilindro!$B$34))/Presion_cilindro!$B$35)^(Presion_cilindro!$B$17+1)),0))/((Presion_cilindro!O34+Presion_cilindro!O35)/2)</f>
        <v>0.7314261020061148</v>
      </c>
      <c r="C43" s="27">
        <f>C42*(Presion_cilindro!O34/Presion_cilindro!O35)^Presion_cilindro!$B$9+10*(Presion_cilindro!$B$9-1)*Presion_cilindro!$B$33*(IF(Presion_cilindro!N35&gt;(-C$4+Presion_cilindro!$B$34),1-EXP(-Presion_cilindro!$B$16*((Presion_cilindro!N35-(-C$4+Presion_cilindro!$B$34))/Presion_cilindro!$B$35)^(Presion_cilindro!$B$17+1)),0)-IF(Presion_cilindro!N34&gt;(-C$4+Presion_cilindro!$B$34),1-EXP(-Presion_cilindro!$B$16*((Presion_cilindro!N34-(-C$4+Presion_cilindro!$B$34))/Presion_cilindro!$B$35)^(Presion_cilindro!$B$17+1)),0))/((Presion_cilindro!O34+Presion_cilindro!O35)/2)</f>
        <v>0.7314261020061148</v>
      </c>
      <c r="D43" s="27">
        <f>D42*(Presion_cilindro!O34/Presion_cilindro!O35)^Presion_cilindro!$B$9+10*(Presion_cilindro!$B$9-1)*Presion_cilindro!$B$33*(IF(Presion_cilindro!N35&gt;(-D$4+Presion_cilindro!$B$34),1-EXP(-Presion_cilindro!$B$16*((Presion_cilindro!N35-(-D$4+Presion_cilindro!$B$34))/Presion_cilindro!$B$35)^(Presion_cilindro!$B$17+1)),0)-IF(Presion_cilindro!N34&gt;(-D$4+Presion_cilindro!$B$34),1-EXP(-Presion_cilindro!$B$16*((Presion_cilindro!N34-(-D$4+Presion_cilindro!$B$34))/Presion_cilindro!$B$35)^(Presion_cilindro!$B$17+1)),0))/((Presion_cilindro!O34+Presion_cilindro!O35)/2)</f>
        <v>0.7314261020061148</v>
      </c>
      <c r="E43" s="27">
        <f>E42*(Presion_cilindro!O34/Presion_cilindro!O35)^Presion_cilindro!$B$9+10*(Presion_cilindro!$B$9-1)*Presion_cilindro!$B$33*(IF(Presion_cilindro!N35&gt;(-E$4+Presion_cilindro!$B$34),1-EXP(-Presion_cilindro!$B$16*((Presion_cilindro!N35-(-E$4+Presion_cilindro!$B$34))/Presion_cilindro!$B$35)^(Presion_cilindro!$B$17+1)),0)-IF(Presion_cilindro!N34&gt;(-E$4+Presion_cilindro!$B$34),1-EXP(-Presion_cilindro!$B$16*((Presion_cilindro!N34-(-E$4+Presion_cilindro!$B$34))/Presion_cilindro!$B$35)^(Presion_cilindro!$B$17+1)),0))/((Presion_cilindro!O34+Presion_cilindro!O35)/2)</f>
        <v>0.7314261020061148</v>
      </c>
      <c r="F43" s="27">
        <f>F42*(Presion_cilindro!O34/Presion_cilindro!O35)^Presion_cilindro!$B$9+10*(Presion_cilindro!$B$9-1)*Presion_cilindro!$B$33*(IF(Presion_cilindro!N35&gt;(-F$4+Presion_cilindro!$B$34),1-EXP(-Presion_cilindro!$B$16*((Presion_cilindro!N35-(-F$4+Presion_cilindro!$B$34))/Presion_cilindro!$B$35)^(Presion_cilindro!$B$17+1)),0)-IF(Presion_cilindro!N34&gt;(-F$4+Presion_cilindro!$B$34),1-EXP(-Presion_cilindro!$B$16*((Presion_cilindro!N34-(-F$4+Presion_cilindro!$B$34))/Presion_cilindro!$B$35)^(Presion_cilindro!$B$17+1)),0))/((Presion_cilindro!O34+Presion_cilindro!O35)/2)</f>
        <v>0.7314261020061148</v>
      </c>
      <c r="G43" s="27">
        <f>G42*(Presion_cilindro!O34/Presion_cilindro!O35)^Presion_cilindro!$B$9+10*(Presion_cilindro!$B$9-1)*Presion_cilindro!$B$33*(IF(Presion_cilindro!N35&gt;(-G$4+Presion_cilindro!$B$34),1-EXP(-Presion_cilindro!$B$16*((Presion_cilindro!N35-(-G$4+Presion_cilindro!$B$34))/Presion_cilindro!$B$35)^(Presion_cilindro!$B$17+1)),0)-IF(Presion_cilindro!N34&gt;(-G$4+Presion_cilindro!$B$34),1-EXP(-Presion_cilindro!$B$16*((Presion_cilindro!N34-(-G$4+Presion_cilindro!$B$34))/Presion_cilindro!$B$35)^(Presion_cilindro!$B$17+1)),0))/((Presion_cilindro!O34+Presion_cilindro!O35)/2)</f>
        <v>0.7314261020061148</v>
      </c>
      <c r="H43" s="27">
        <f>H42*(Presion_cilindro!O34/Presion_cilindro!O35)^Presion_cilindro!$B$9+10*(Presion_cilindro!$B$9-1)*Presion_cilindro!$B$33*(IF(Presion_cilindro!N35&gt;(-H$4+Presion_cilindro!$B$34),1-EXP(-Presion_cilindro!$B$16*((Presion_cilindro!N35-(-H$4+Presion_cilindro!$B$34))/Presion_cilindro!$B$35)^(Presion_cilindro!$B$17+1)),0)-IF(Presion_cilindro!N34&gt;(-H$4+Presion_cilindro!$B$34),1-EXP(-Presion_cilindro!$B$16*((Presion_cilindro!N34-(-H$4+Presion_cilindro!$B$34))/Presion_cilindro!$B$35)^(Presion_cilindro!$B$17+1)),0))/((Presion_cilindro!O34+Presion_cilindro!O35)/2)</f>
        <v>0.7314261020061148</v>
      </c>
      <c r="I43" s="27">
        <f>I42*(Presion_cilindro!O34/Presion_cilindro!O35)^Presion_cilindro!$B$9+10*(Presion_cilindro!$B$9-1)*Presion_cilindro!$B$33*(IF(Presion_cilindro!N35&gt;(-I$4+Presion_cilindro!$B$34),1-EXP(-Presion_cilindro!$B$16*((Presion_cilindro!N35-(-I$4+Presion_cilindro!$B$34))/Presion_cilindro!$B$35)^(Presion_cilindro!$B$17+1)),0)-IF(Presion_cilindro!N34&gt;(-I$4+Presion_cilindro!$B$34),1-EXP(-Presion_cilindro!$B$16*((Presion_cilindro!N34-(-I$4+Presion_cilindro!$B$34))/Presion_cilindro!$B$35)^(Presion_cilindro!$B$17+1)),0))/((Presion_cilindro!O34+Presion_cilindro!O35)/2)</f>
        <v>0.7314261020061148</v>
      </c>
      <c r="J43" s="27">
        <f>J42*(Presion_cilindro!O34/Presion_cilindro!O35)^Presion_cilindro!$B$9+10*(Presion_cilindro!$B$9-1)*Presion_cilindro!$B$33*(IF(Presion_cilindro!N35&gt;(-J$4+Presion_cilindro!$B$34),1-EXP(-Presion_cilindro!$B$16*((Presion_cilindro!N35-(-J$4+Presion_cilindro!$B$34))/Presion_cilindro!$B$35)^(Presion_cilindro!$B$17+1)),0)-IF(Presion_cilindro!N34&gt;(-J$4+Presion_cilindro!$B$34),1-EXP(-Presion_cilindro!$B$16*((Presion_cilindro!N34-(-J$4+Presion_cilindro!$B$34))/Presion_cilindro!$B$35)^(Presion_cilindro!$B$17+1)),0))/((Presion_cilindro!O34+Presion_cilindro!O35)/2)</f>
        <v>0.7314261020061148</v>
      </c>
      <c r="K43" s="27">
        <f>K42*(Presion_cilindro!O34/Presion_cilindro!O35)^Presion_cilindro!$B$9+10*(Presion_cilindro!$B$9-1)*Presion_cilindro!$B$33*(IF(Presion_cilindro!N35&gt;(-K$4+Presion_cilindro!$B$34),1-EXP(-Presion_cilindro!$B$16*((Presion_cilindro!N35-(-K$4+Presion_cilindro!$B$34))/Presion_cilindro!$B$35)^(Presion_cilindro!$B$17+1)),0)-IF(Presion_cilindro!N34&gt;(-K$4+Presion_cilindro!$B$34),1-EXP(-Presion_cilindro!$B$16*((Presion_cilindro!N34-(-K$4+Presion_cilindro!$B$34))/Presion_cilindro!$B$35)^(Presion_cilindro!$B$17+1)),0))/((Presion_cilindro!O34+Presion_cilindro!O35)/2)</f>
        <v>0.7314261020061148</v>
      </c>
      <c r="L43" s="27">
        <f>L42*(Presion_cilindro!O34/Presion_cilindro!O35)^Presion_cilindro!$B$9+10*(Presion_cilindro!$B$9-1)*Presion_cilindro!$B$33*(IF(Presion_cilindro!N35&gt;(-L$4+Presion_cilindro!$B$34),1-EXP(-Presion_cilindro!$B$16*((Presion_cilindro!N35-(-L$4+Presion_cilindro!$B$34))/Presion_cilindro!$B$35)^(Presion_cilindro!$B$17+1)),0)-IF(Presion_cilindro!N34&gt;(-L$4+Presion_cilindro!$B$34),1-EXP(-Presion_cilindro!$B$16*((Presion_cilindro!N34-(-L$4+Presion_cilindro!$B$34))/Presion_cilindro!$B$35)^(Presion_cilindro!$B$17+1)),0))/((Presion_cilindro!O34+Presion_cilindro!O35)/2)</f>
        <v>0.7314261020061148</v>
      </c>
      <c r="M43" s="27">
        <f>M42*(Presion_cilindro!O34/Presion_cilindro!O35)^Presion_cilindro!$B$9+10*(Presion_cilindro!$B$9-1)*Presion_cilindro!$B$33*(IF(Presion_cilindro!N35&gt;(-M$4+Presion_cilindro!$B$34),1-EXP(-Presion_cilindro!$B$16*((Presion_cilindro!N35-(-M$4+Presion_cilindro!$B$34))/Presion_cilindro!$B$35)^(Presion_cilindro!$B$17+1)),0)-IF(Presion_cilindro!N34&gt;(-M$4+Presion_cilindro!$B$34),1-EXP(-Presion_cilindro!$B$16*((Presion_cilindro!N34-(-M$4+Presion_cilindro!$B$34))/Presion_cilindro!$B$35)^(Presion_cilindro!$B$17+1)),0))/((Presion_cilindro!O34+Presion_cilindro!O35)/2)</f>
        <v>0.7314261020061148</v>
      </c>
      <c r="N43" s="27">
        <f>N42*(Presion_cilindro!O34/Presion_cilindro!O35)^Presion_cilindro!$B$9+10*(Presion_cilindro!$B$9-1)*Presion_cilindro!$B$33*(IF(Presion_cilindro!N35&gt;(-N$4+Presion_cilindro!$B$34),1-EXP(-Presion_cilindro!$B$16*((Presion_cilindro!N35-(-N$4+Presion_cilindro!$B$34))/Presion_cilindro!$B$35)^(Presion_cilindro!$B$17+1)),0)-IF(Presion_cilindro!N34&gt;(-N$4+Presion_cilindro!$B$34),1-EXP(-Presion_cilindro!$B$16*((Presion_cilindro!N34-(-N$4+Presion_cilindro!$B$34))/Presion_cilindro!$B$35)^(Presion_cilindro!$B$17+1)),0))/((Presion_cilindro!O34+Presion_cilindro!O35)/2)</f>
        <v>0.7314261020061148</v>
      </c>
    </row>
    <row r="44" spans="1:14" x14ac:dyDescent="0.25">
      <c r="A44" s="21">
        <f>Presion_cilindro!N36</f>
        <v>-164</v>
      </c>
      <c r="B44" s="27">
        <f>B43*(Presion_cilindro!O35/Presion_cilindro!O36)^Presion_cilindro!$B$9+10*(Presion_cilindro!$B$9-1)*Presion_cilindro!$B$33*(IF(Presion_cilindro!N36&gt;(-B$4+Presion_cilindro!$B$34),1-EXP(-Presion_cilindro!$B$16*((Presion_cilindro!N36-(-B$4+Presion_cilindro!$B$34))/Presion_cilindro!$B$35)^(Presion_cilindro!$B$17+1)),0)-IF(Presion_cilindro!N35&gt;(-B$4+Presion_cilindro!$B$34),1-EXP(-Presion_cilindro!$B$16*((Presion_cilindro!N35-(-B$4+Presion_cilindro!$B$34))/Presion_cilindro!$B$35)^(Presion_cilindro!$B$17+1)),0))/((Presion_cilindro!O35+Presion_cilindro!O36)/2)</f>
        <v>0.73218667534069659</v>
      </c>
      <c r="C44" s="27">
        <f>C43*(Presion_cilindro!O35/Presion_cilindro!O36)^Presion_cilindro!$B$9+10*(Presion_cilindro!$B$9-1)*Presion_cilindro!$B$33*(IF(Presion_cilindro!N36&gt;(-C$4+Presion_cilindro!$B$34),1-EXP(-Presion_cilindro!$B$16*((Presion_cilindro!N36-(-C$4+Presion_cilindro!$B$34))/Presion_cilindro!$B$35)^(Presion_cilindro!$B$17+1)),0)-IF(Presion_cilindro!N35&gt;(-C$4+Presion_cilindro!$B$34),1-EXP(-Presion_cilindro!$B$16*((Presion_cilindro!N35-(-C$4+Presion_cilindro!$B$34))/Presion_cilindro!$B$35)^(Presion_cilindro!$B$17+1)),0))/((Presion_cilindro!O35+Presion_cilindro!O36)/2)</f>
        <v>0.73218667534069659</v>
      </c>
      <c r="D44" s="27">
        <f>D43*(Presion_cilindro!O35/Presion_cilindro!O36)^Presion_cilindro!$B$9+10*(Presion_cilindro!$B$9-1)*Presion_cilindro!$B$33*(IF(Presion_cilindro!N36&gt;(-D$4+Presion_cilindro!$B$34),1-EXP(-Presion_cilindro!$B$16*((Presion_cilindro!N36-(-D$4+Presion_cilindro!$B$34))/Presion_cilindro!$B$35)^(Presion_cilindro!$B$17+1)),0)-IF(Presion_cilindro!N35&gt;(-D$4+Presion_cilindro!$B$34),1-EXP(-Presion_cilindro!$B$16*((Presion_cilindro!N35-(-D$4+Presion_cilindro!$B$34))/Presion_cilindro!$B$35)^(Presion_cilindro!$B$17+1)),0))/((Presion_cilindro!O35+Presion_cilindro!O36)/2)</f>
        <v>0.73218667534069659</v>
      </c>
      <c r="E44" s="27">
        <f>E43*(Presion_cilindro!O35/Presion_cilindro!O36)^Presion_cilindro!$B$9+10*(Presion_cilindro!$B$9-1)*Presion_cilindro!$B$33*(IF(Presion_cilindro!N36&gt;(-E$4+Presion_cilindro!$B$34),1-EXP(-Presion_cilindro!$B$16*((Presion_cilindro!N36-(-E$4+Presion_cilindro!$B$34))/Presion_cilindro!$B$35)^(Presion_cilindro!$B$17+1)),0)-IF(Presion_cilindro!N35&gt;(-E$4+Presion_cilindro!$B$34),1-EXP(-Presion_cilindro!$B$16*((Presion_cilindro!N35-(-E$4+Presion_cilindro!$B$34))/Presion_cilindro!$B$35)^(Presion_cilindro!$B$17+1)),0))/((Presion_cilindro!O35+Presion_cilindro!O36)/2)</f>
        <v>0.73218667534069659</v>
      </c>
      <c r="F44" s="27">
        <f>F43*(Presion_cilindro!O35/Presion_cilindro!O36)^Presion_cilindro!$B$9+10*(Presion_cilindro!$B$9-1)*Presion_cilindro!$B$33*(IF(Presion_cilindro!N36&gt;(-F$4+Presion_cilindro!$B$34),1-EXP(-Presion_cilindro!$B$16*((Presion_cilindro!N36-(-F$4+Presion_cilindro!$B$34))/Presion_cilindro!$B$35)^(Presion_cilindro!$B$17+1)),0)-IF(Presion_cilindro!N35&gt;(-F$4+Presion_cilindro!$B$34),1-EXP(-Presion_cilindro!$B$16*((Presion_cilindro!N35-(-F$4+Presion_cilindro!$B$34))/Presion_cilindro!$B$35)^(Presion_cilindro!$B$17+1)),0))/((Presion_cilindro!O35+Presion_cilindro!O36)/2)</f>
        <v>0.73218667534069659</v>
      </c>
      <c r="G44" s="27">
        <f>G43*(Presion_cilindro!O35/Presion_cilindro!O36)^Presion_cilindro!$B$9+10*(Presion_cilindro!$B$9-1)*Presion_cilindro!$B$33*(IF(Presion_cilindro!N36&gt;(-G$4+Presion_cilindro!$B$34),1-EXP(-Presion_cilindro!$B$16*((Presion_cilindro!N36-(-G$4+Presion_cilindro!$B$34))/Presion_cilindro!$B$35)^(Presion_cilindro!$B$17+1)),0)-IF(Presion_cilindro!N35&gt;(-G$4+Presion_cilindro!$B$34),1-EXP(-Presion_cilindro!$B$16*((Presion_cilindro!N35-(-G$4+Presion_cilindro!$B$34))/Presion_cilindro!$B$35)^(Presion_cilindro!$B$17+1)),0))/((Presion_cilindro!O35+Presion_cilindro!O36)/2)</f>
        <v>0.73218667534069659</v>
      </c>
      <c r="H44" s="27">
        <f>H43*(Presion_cilindro!O35/Presion_cilindro!O36)^Presion_cilindro!$B$9+10*(Presion_cilindro!$B$9-1)*Presion_cilindro!$B$33*(IF(Presion_cilindro!N36&gt;(-H$4+Presion_cilindro!$B$34),1-EXP(-Presion_cilindro!$B$16*((Presion_cilindro!N36-(-H$4+Presion_cilindro!$B$34))/Presion_cilindro!$B$35)^(Presion_cilindro!$B$17+1)),0)-IF(Presion_cilindro!N35&gt;(-H$4+Presion_cilindro!$B$34),1-EXP(-Presion_cilindro!$B$16*((Presion_cilindro!N35-(-H$4+Presion_cilindro!$B$34))/Presion_cilindro!$B$35)^(Presion_cilindro!$B$17+1)),0))/((Presion_cilindro!O35+Presion_cilindro!O36)/2)</f>
        <v>0.73218667534069659</v>
      </c>
      <c r="I44" s="27">
        <f>I43*(Presion_cilindro!O35/Presion_cilindro!O36)^Presion_cilindro!$B$9+10*(Presion_cilindro!$B$9-1)*Presion_cilindro!$B$33*(IF(Presion_cilindro!N36&gt;(-I$4+Presion_cilindro!$B$34),1-EXP(-Presion_cilindro!$B$16*((Presion_cilindro!N36-(-I$4+Presion_cilindro!$B$34))/Presion_cilindro!$B$35)^(Presion_cilindro!$B$17+1)),0)-IF(Presion_cilindro!N35&gt;(-I$4+Presion_cilindro!$B$34),1-EXP(-Presion_cilindro!$B$16*((Presion_cilindro!N35-(-I$4+Presion_cilindro!$B$34))/Presion_cilindro!$B$35)^(Presion_cilindro!$B$17+1)),0))/((Presion_cilindro!O35+Presion_cilindro!O36)/2)</f>
        <v>0.73218667534069659</v>
      </c>
      <c r="J44" s="27">
        <f>J43*(Presion_cilindro!O35/Presion_cilindro!O36)^Presion_cilindro!$B$9+10*(Presion_cilindro!$B$9-1)*Presion_cilindro!$B$33*(IF(Presion_cilindro!N36&gt;(-J$4+Presion_cilindro!$B$34),1-EXP(-Presion_cilindro!$B$16*((Presion_cilindro!N36-(-J$4+Presion_cilindro!$B$34))/Presion_cilindro!$B$35)^(Presion_cilindro!$B$17+1)),0)-IF(Presion_cilindro!N35&gt;(-J$4+Presion_cilindro!$B$34),1-EXP(-Presion_cilindro!$B$16*((Presion_cilindro!N35-(-J$4+Presion_cilindro!$B$34))/Presion_cilindro!$B$35)^(Presion_cilindro!$B$17+1)),0))/((Presion_cilindro!O35+Presion_cilindro!O36)/2)</f>
        <v>0.73218667534069659</v>
      </c>
      <c r="K44" s="27">
        <f>K43*(Presion_cilindro!O35/Presion_cilindro!O36)^Presion_cilindro!$B$9+10*(Presion_cilindro!$B$9-1)*Presion_cilindro!$B$33*(IF(Presion_cilindro!N36&gt;(-K$4+Presion_cilindro!$B$34),1-EXP(-Presion_cilindro!$B$16*((Presion_cilindro!N36-(-K$4+Presion_cilindro!$B$34))/Presion_cilindro!$B$35)^(Presion_cilindro!$B$17+1)),0)-IF(Presion_cilindro!N35&gt;(-K$4+Presion_cilindro!$B$34),1-EXP(-Presion_cilindro!$B$16*((Presion_cilindro!N35-(-K$4+Presion_cilindro!$B$34))/Presion_cilindro!$B$35)^(Presion_cilindro!$B$17+1)),0))/((Presion_cilindro!O35+Presion_cilindro!O36)/2)</f>
        <v>0.73218667534069659</v>
      </c>
      <c r="L44" s="27">
        <f>L43*(Presion_cilindro!O35/Presion_cilindro!O36)^Presion_cilindro!$B$9+10*(Presion_cilindro!$B$9-1)*Presion_cilindro!$B$33*(IF(Presion_cilindro!N36&gt;(-L$4+Presion_cilindro!$B$34),1-EXP(-Presion_cilindro!$B$16*((Presion_cilindro!N36-(-L$4+Presion_cilindro!$B$34))/Presion_cilindro!$B$35)^(Presion_cilindro!$B$17+1)),0)-IF(Presion_cilindro!N35&gt;(-L$4+Presion_cilindro!$B$34),1-EXP(-Presion_cilindro!$B$16*((Presion_cilindro!N35-(-L$4+Presion_cilindro!$B$34))/Presion_cilindro!$B$35)^(Presion_cilindro!$B$17+1)),0))/((Presion_cilindro!O35+Presion_cilindro!O36)/2)</f>
        <v>0.73218667534069659</v>
      </c>
      <c r="M44" s="27">
        <f>M43*(Presion_cilindro!O35/Presion_cilindro!O36)^Presion_cilindro!$B$9+10*(Presion_cilindro!$B$9-1)*Presion_cilindro!$B$33*(IF(Presion_cilindro!N36&gt;(-M$4+Presion_cilindro!$B$34),1-EXP(-Presion_cilindro!$B$16*((Presion_cilindro!N36-(-M$4+Presion_cilindro!$B$34))/Presion_cilindro!$B$35)^(Presion_cilindro!$B$17+1)),0)-IF(Presion_cilindro!N35&gt;(-M$4+Presion_cilindro!$B$34),1-EXP(-Presion_cilindro!$B$16*((Presion_cilindro!N35-(-M$4+Presion_cilindro!$B$34))/Presion_cilindro!$B$35)^(Presion_cilindro!$B$17+1)),0))/((Presion_cilindro!O35+Presion_cilindro!O36)/2)</f>
        <v>0.73218667534069659</v>
      </c>
      <c r="N44" s="27">
        <f>N43*(Presion_cilindro!O35/Presion_cilindro!O36)^Presion_cilindro!$B$9+10*(Presion_cilindro!$B$9-1)*Presion_cilindro!$B$33*(IF(Presion_cilindro!N36&gt;(-N$4+Presion_cilindro!$B$34),1-EXP(-Presion_cilindro!$B$16*((Presion_cilindro!N36-(-N$4+Presion_cilindro!$B$34))/Presion_cilindro!$B$35)^(Presion_cilindro!$B$17+1)),0)-IF(Presion_cilindro!N35&gt;(-N$4+Presion_cilindro!$B$34),1-EXP(-Presion_cilindro!$B$16*((Presion_cilindro!N35-(-N$4+Presion_cilindro!$B$34))/Presion_cilindro!$B$35)^(Presion_cilindro!$B$17+1)),0))/((Presion_cilindro!O35+Presion_cilindro!O36)/2)</f>
        <v>0.73218667534069659</v>
      </c>
    </row>
    <row r="45" spans="1:14" x14ac:dyDescent="0.25">
      <c r="A45" s="21">
        <f>Presion_cilindro!N37</f>
        <v>-163.5</v>
      </c>
      <c r="B45" s="27">
        <f>B44*(Presion_cilindro!O36/Presion_cilindro!O37)^Presion_cilindro!$B$9+10*(Presion_cilindro!$B$9-1)*Presion_cilindro!$B$33*(IF(Presion_cilindro!N37&gt;(-B$4+Presion_cilindro!$B$34),1-EXP(-Presion_cilindro!$B$16*((Presion_cilindro!N37-(-B$4+Presion_cilindro!$B$34))/Presion_cilindro!$B$35)^(Presion_cilindro!$B$17+1)),0)-IF(Presion_cilindro!N36&gt;(-B$4+Presion_cilindro!$B$34),1-EXP(-Presion_cilindro!$B$16*((Presion_cilindro!N36-(-B$4+Presion_cilindro!$B$34))/Presion_cilindro!$B$35)^(Presion_cilindro!$B$17+1)),0))/((Presion_cilindro!O36+Presion_cilindro!O37)/2)</f>
        <v>0.732972896618583</v>
      </c>
      <c r="C45" s="27">
        <f>C44*(Presion_cilindro!O36/Presion_cilindro!O37)^Presion_cilindro!$B$9+10*(Presion_cilindro!$B$9-1)*Presion_cilindro!$B$33*(IF(Presion_cilindro!N37&gt;(-C$4+Presion_cilindro!$B$34),1-EXP(-Presion_cilindro!$B$16*((Presion_cilindro!N37-(-C$4+Presion_cilindro!$B$34))/Presion_cilindro!$B$35)^(Presion_cilindro!$B$17+1)),0)-IF(Presion_cilindro!N36&gt;(-C$4+Presion_cilindro!$B$34),1-EXP(-Presion_cilindro!$B$16*((Presion_cilindro!N36-(-C$4+Presion_cilindro!$B$34))/Presion_cilindro!$B$35)^(Presion_cilindro!$B$17+1)),0))/((Presion_cilindro!O36+Presion_cilindro!O37)/2)</f>
        <v>0.732972896618583</v>
      </c>
      <c r="D45" s="27">
        <f>D44*(Presion_cilindro!O36/Presion_cilindro!O37)^Presion_cilindro!$B$9+10*(Presion_cilindro!$B$9-1)*Presion_cilindro!$B$33*(IF(Presion_cilindro!N37&gt;(-D$4+Presion_cilindro!$B$34),1-EXP(-Presion_cilindro!$B$16*((Presion_cilindro!N37-(-D$4+Presion_cilindro!$B$34))/Presion_cilindro!$B$35)^(Presion_cilindro!$B$17+1)),0)-IF(Presion_cilindro!N36&gt;(-D$4+Presion_cilindro!$B$34),1-EXP(-Presion_cilindro!$B$16*((Presion_cilindro!N36-(-D$4+Presion_cilindro!$B$34))/Presion_cilindro!$B$35)^(Presion_cilindro!$B$17+1)),0))/((Presion_cilindro!O36+Presion_cilindro!O37)/2)</f>
        <v>0.732972896618583</v>
      </c>
      <c r="E45" s="27">
        <f>E44*(Presion_cilindro!O36/Presion_cilindro!O37)^Presion_cilindro!$B$9+10*(Presion_cilindro!$B$9-1)*Presion_cilindro!$B$33*(IF(Presion_cilindro!N37&gt;(-E$4+Presion_cilindro!$B$34),1-EXP(-Presion_cilindro!$B$16*((Presion_cilindro!N37-(-E$4+Presion_cilindro!$B$34))/Presion_cilindro!$B$35)^(Presion_cilindro!$B$17+1)),0)-IF(Presion_cilindro!N36&gt;(-E$4+Presion_cilindro!$B$34),1-EXP(-Presion_cilindro!$B$16*((Presion_cilindro!N36-(-E$4+Presion_cilindro!$B$34))/Presion_cilindro!$B$35)^(Presion_cilindro!$B$17+1)),0))/((Presion_cilindro!O36+Presion_cilindro!O37)/2)</f>
        <v>0.732972896618583</v>
      </c>
      <c r="F45" s="27">
        <f>F44*(Presion_cilindro!O36/Presion_cilindro!O37)^Presion_cilindro!$B$9+10*(Presion_cilindro!$B$9-1)*Presion_cilindro!$B$33*(IF(Presion_cilindro!N37&gt;(-F$4+Presion_cilindro!$B$34),1-EXP(-Presion_cilindro!$B$16*((Presion_cilindro!N37-(-F$4+Presion_cilindro!$B$34))/Presion_cilindro!$B$35)^(Presion_cilindro!$B$17+1)),0)-IF(Presion_cilindro!N36&gt;(-F$4+Presion_cilindro!$B$34),1-EXP(-Presion_cilindro!$B$16*((Presion_cilindro!N36-(-F$4+Presion_cilindro!$B$34))/Presion_cilindro!$B$35)^(Presion_cilindro!$B$17+1)),0))/((Presion_cilindro!O36+Presion_cilindro!O37)/2)</f>
        <v>0.732972896618583</v>
      </c>
      <c r="G45" s="27">
        <f>G44*(Presion_cilindro!O36/Presion_cilindro!O37)^Presion_cilindro!$B$9+10*(Presion_cilindro!$B$9-1)*Presion_cilindro!$B$33*(IF(Presion_cilindro!N37&gt;(-G$4+Presion_cilindro!$B$34),1-EXP(-Presion_cilindro!$B$16*((Presion_cilindro!N37-(-G$4+Presion_cilindro!$B$34))/Presion_cilindro!$B$35)^(Presion_cilindro!$B$17+1)),0)-IF(Presion_cilindro!N36&gt;(-G$4+Presion_cilindro!$B$34),1-EXP(-Presion_cilindro!$B$16*((Presion_cilindro!N36-(-G$4+Presion_cilindro!$B$34))/Presion_cilindro!$B$35)^(Presion_cilindro!$B$17+1)),0))/((Presion_cilindro!O36+Presion_cilindro!O37)/2)</f>
        <v>0.732972896618583</v>
      </c>
      <c r="H45" s="27">
        <f>H44*(Presion_cilindro!O36/Presion_cilindro!O37)^Presion_cilindro!$B$9+10*(Presion_cilindro!$B$9-1)*Presion_cilindro!$B$33*(IF(Presion_cilindro!N37&gt;(-H$4+Presion_cilindro!$B$34),1-EXP(-Presion_cilindro!$B$16*((Presion_cilindro!N37-(-H$4+Presion_cilindro!$B$34))/Presion_cilindro!$B$35)^(Presion_cilindro!$B$17+1)),0)-IF(Presion_cilindro!N36&gt;(-H$4+Presion_cilindro!$B$34),1-EXP(-Presion_cilindro!$B$16*((Presion_cilindro!N36-(-H$4+Presion_cilindro!$B$34))/Presion_cilindro!$B$35)^(Presion_cilindro!$B$17+1)),0))/((Presion_cilindro!O36+Presion_cilindro!O37)/2)</f>
        <v>0.732972896618583</v>
      </c>
      <c r="I45" s="27">
        <f>I44*(Presion_cilindro!O36/Presion_cilindro!O37)^Presion_cilindro!$B$9+10*(Presion_cilindro!$B$9-1)*Presion_cilindro!$B$33*(IF(Presion_cilindro!N37&gt;(-I$4+Presion_cilindro!$B$34),1-EXP(-Presion_cilindro!$B$16*((Presion_cilindro!N37-(-I$4+Presion_cilindro!$B$34))/Presion_cilindro!$B$35)^(Presion_cilindro!$B$17+1)),0)-IF(Presion_cilindro!N36&gt;(-I$4+Presion_cilindro!$B$34),1-EXP(-Presion_cilindro!$B$16*((Presion_cilindro!N36-(-I$4+Presion_cilindro!$B$34))/Presion_cilindro!$B$35)^(Presion_cilindro!$B$17+1)),0))/((Presion_cilindro!O36+Presion_cilindro!O37)/2)</f>
        <v>0.732972896618583</v>
      </c>
      <c r="J45" s="27">
        <f>J44*(Presion_cilindro!O36/Presion_cilindro!O37)^Presion_cilindro!$B$9+10*(Presion_cilindro!$B$9-1)*Presion_cilindro!$B$33*(IF(Presion_cilindro!N37&gt;(-J$4+Presion_cilindro!$B$34),1-EXP(-Presion_cilindro!$B$16*((Presion_cilindro!N37-(-J$4+Presion_cilindro!$B$34))/Presion_cilindro!$B$35)^(Presion_cilindro!$B$17+1)),0)-IF(Presion_cilindro!N36&gt;(-J$4+Presion_cilindro!$B$34),1-EXP(-Presion_cilindro!$B$16*((Presion_cilindro!N36-(-J$4+Presion_cilindro!$B$34))/Presion_cilindro!$B$35)^(Presion_cilindro!$B$17+1)),0))/((Presion_cilindro!O36+Presion_cilindro!O37)/2)</f>
        <v>0.732972896618583</v>
      </c>
      <c r="K45" s="27">
        <f>K44*(Presion_cilindro!O36/Presion_cilindro!O37)^Presion_cilindro!$B$9+10*(Presion_cilindro!$B$9-1)*Presion_cilindro!$B$33*(IF(Presion_cilindro!N37&gt;(-K$4+Presion_cilindro!$B$34),1-EXP(-Presion_cilindro!$B$16*((Presion_cilindro!N37-(-K$4+Presion_cilindro!$B$34))/Presion_cilindro!$B$35)^(Presion_cilindro!$B$17+1)),0)-IF(Presion_cilindro!N36&gt;(-K$4+Presion_cilindro!$B$34),1-EXP(-Presion_cilindro!$B$16*((Presion_cilindro!N36-(-K$4+Presion_cilindro!$B$34))/Presion_cilindro!$B$35)^(Presion_cilindro!$B$17+1)),0))/((Presion_cilindro!O36+Presion_cilindro!O37)/2)</f>
        <v>0.732972896618583</v>
      </c>
      <c r="L45" s="27">
        <f>L44*(Presion_cilindro!O36/Presion_cilindro!O37)^Presion_cilindro!$B$9+10*(Presion_cilindro!$B$9-1)*Presion_cilindro!$B$33*(IF(Presion_cilindro!N37&gt;(-L$4+Presion_cilindro!$B$34),1-EXP(-Presion_cilindro!$B$16*((Presion_cilindro!N37-(-L$4+Presion_cilindro!$B$34))/Presion_cilindro!$B$35)^(Presion_cilindro!$B$17+1)),0)-IF(Presion_cilindro!N36&gt;(-L$4+Presion_cilindro!$B$34),1-EXP(-Presion_cilindro!$B$16*((Presion_cilindro!N36-(-L$4+Presion_cilindro!$B$34))/Presion_cilindro!$B$35)^(Presion_cilindro!$B$17+1)),0))/((Presion_cilindro!O36+Presion_cilindro!O37)/2)</f>
        <v>0.732972896618583</v>
      </c>
      <c r="M45" s="27">
        <f>M44*(Presion_cilindro!O36/Presion_cilindro!O37)^Presion_cilindro!$B$9+10*(Presion_cilindro!$B$9-1)*Presion_cilindro!$B$33*(IF(Presion_cilindro!N37&gt;(-M$4+Presion_cilindro!$B$34),1-EXP(-Presion_cilindro!$B$16*((Presion_cilindro!N37-(-M$4+Presion_cilindro!$B$34))/Presion_cilindro!$B$35)^(Presion_cilindro!$B$17+1)),0)-IF(Presion_cilindro!N36&gt;(-M$4+Presion_cilindro!$B$34),1-EXP(-Presion_cilindro!$B$16*((Presion_cilindro!N36-(-M$4+Presion_cilindro!$B$34))/Presion_cilindro!$B$35)^(Presion_cilindro!$B$17+1)),0))/((Presion_cilindro!O36+Presion_cilindro!O37)/2)</f>
        <v>0.732972896618583</v>
      </c>
      <c r="N45" s="27">
        <f>N44*(Presion_cilindro!O36/Presion_cilindro!O37)^Presion_cilindro!$B$9+10*(Presion_cilindro!$B$9-1)*Presion_cilindro!$B$33*(IF(Presion_cilindro!N37&gt;(-N$4+Presion_cilindro!$B$34),1-EXP(-Presion_cilindro!$B$16*((Presion_cilindro!N37-(-N$4+Presion_cilindro!$B$34))/Presion_cilindro!$B$35)^(Presion_cilindro!$B$17+1)),0)-IF(Presion_cilindro!N36&gt;(-N$4+Presion_cilindro!$B$34),1-EXP(-Presion_cilindro!$B$16*((Presion_cilindro!N36-(-N$4+Presion_cilindro!$B$34))/Presion_cilindro!$B$35)^(Presion_cilindro!$B$17+1)),0))/((Presion_cilindro!O36+Presion_cilindro!O37)/2)</f>
        <v>0.732972896618583</v>
      </c>
    </row>
    <row r="46" spans="1:14" x14ac:dyDescent="0.25">
      <c r="A46" s="21">
        <f>Presion_cilindro!N38</f>
        <v>-163</v>
      </c>
      <c r="B46" s="27">
        <f>B45*(Presion_cilindro!O37/Presion_cilindro!O38)^Presion_cilindro!$B$9+10*(Presion_cilindro!$B$9-1)*Presion_cilindro!$B$33*(IF(Presion_cilindro!N38&gt;(-B$4+Presion_cilindro!$B$34),1-EXP(-Presion_cilindro!$B$16*((Presion_cilindro!N38-(-B$4+Presion_cilindro!$B$34))/Presion_cilindro!$B$35)^(Presion_cilindro!$B$17+1)),0)-IF(Presion_cilindro!N37&gt;(-B$4+Presion_cilindro!$B$34),1-EXP(-Presion_cilindro!$B$16*((Presion_cilindro!N37-(-B$4+Presion_cilindro!$B$34))/Presion_cilindro!$B$35)^(Presion_cilindro!$B$17+1)),0))/((Presion_cilindro!O37+Presion_cilindro!O38)/2)</f>
        <v>0.73378491010901159</v>
      </c>
      <c r="C46" s="27">
        <f>C45*(Presion_cilindro!O37/Presion_cilindro!O38)^Presion_cilindro!$B$9+10*(Presion_cilindro!$B$9-1)*Presion_cilindro!$B$33*(IF(Presion_cilindro!N38&gt;(-C$4+Presion_cilindro!$B$34),1-EXP(-Presion_cilindro!$B$16*((Presion_cilindro!N38-(-C$4+Presion_cilindro!$B$34))/Presion_cilindro!$B$35)^(Presion_cilindro!$B$17+1)),0)-IF(Presion_cilindro!N37&gt;(-C$4+Presion_cilindro!$B$34),1-EXP(-Presion_cilindro!$B$16*((Presion_cilindro!N37-(-C$4+Presion_cilindro!$B$34))/Presion_cilindro!$B$35)^(Presion_cilindro!$B$17+1)),0))/((Presion_cilindro!O37+Presion_cilindro!O38)/2)</f>
        <v>0.73378491010901159</v>
      </c>
      <c r="D46" s="27">
        <f>D45*(Presion_cilindro!O37/Presion_cilindro!O38)^Presion_cilindro!$B$9+10*(Presion_cilindro!$B$9-1)*Presion_cilindro!$B$33*(IF(Presion_cilindro!N38&gt;(-D$4+Presion_cilindro!$B$34),1-EXP(-Presion_cilindro!$B$16*((Presion_cilindro!N38-(-D$4+Presion_cilindro!$B$34))/Presion_cilindro!$B$35)^(Presion_cilindro!$B$17+1)),0)-IF(Presion_cilindro!N37&gt;(-D$4+Presion_cilindro!$B$34),1-EXP(-Presion_cilindro!$B$16*((Presion_cilindro!N37-(-D$4+Presion_cilindro!$B$34))/Presion_cilindro!$B$35)^(Presion_cilindro!$B$17+1)),0))/((Presion_cilindro!O37+Presion_cilindro!O38)/2)</f>
        <v>0.73378491010901159</v>
      </c>
      <c r="E46" s="27">
        <f>E45*(Presion_cilindro!O37/Presion_cilindro!O38)^Presion_cilindro!$B$9+10*(Presion_cilindro!$B$9-1)*Presion_cilindro!$B$33*(IF(Presion_cilindro!N38&gt;(-E$4+Presion_cilindro!$B$34),1-EXP(-Presion_cilindro!$B$16*((Presion_cilindro!N38-(-E$4+Presion_cilindro!$B$34))/Presion_cilindro!$B$35)^(Presion_cilindro!$B$17+1)),0)-IF(Presion_cilindro!N37&gt;(-E$4+Presion_cilindro!$B$34),1-EXP(-Presion_cilindro!$B$16*((Presion_cilindro!N37-(-E$4+Presion_cilindro!$B$34))/Presion_cilindro!$B$35)^(Presion_cilindro!$B$17+1)),0))/((Presion_cilindro!O37+Presion_cilindro!O38)/2)</f>
        <v>0.73378491010901159</v>
      </c>
      <c r="F46" s="27">
        <f>F45*(Presion_cilindro!O37/Presion_cilindro!O38)^Presion_cilindro!$B$9+10*(Presion_cilindro!$B$9-1)*Presion_cilindro!$B$33*(IF(Presion_cilindro!N38&gt;(-F$4+Presion_cilindro!$B$34),1-EXP(-Presion_cilindro!$B$16*((Presion_cilindro!N38-(-F$4+Presion_cilindro!$B$34))/Presion_cilindro!$B$35)^(Presion_cilindro!$B$17+1)),0)-IF(Presion_cilindro!N37&gt;(-F$4+Presion_cilindro!$B$34),1-EXP(-Presion_cilindro!$B$16*((Presion_cilindro!N37-(-F$4+Presion_cilindro!$B$34))/Presion_cilindro!$B$35)^(Presion_cilindro!$B$17+1)),0))/((Presion_cilindro!O37+Presion_cilindro!O38)/2)</f>
        <v>0.73378491010901159</v>
      </c>
      <c r="G46" s="27">
        <f>G45*(Presion_cilindro!O37/Presion_cilindro!O38)^Presion_cilindro!$B$9+10*(Presion_cilindro!$B$9-1)*Presion_cilindro!$B$33*(IF(Presion_cilindro!N38&gt;(-G$4+Presion_cilindro!$B$34),1-EXP(-Presion_cilindro!$B$16*((Presion_cilindro!N38-(-G$4+Presion_cilindro!$B$34))/Presion_cilindro!$B$35)^(Presion_cilindro!$B$17+1)),0)-IF(Presion_cilindro!N37&gt;(-G$4+Presion_cilindro!$B$34),1-EXP(-Presion_cilindro!$B$16*((Presion_cilindro!N37-(-G$4+Presion_cilindro!$B$34))/Presion_cilindro!$B$35)^(Presion_cilindro!$B$17+1)),0))/((Presion_cilindro!O37+Presion_cilindro!O38)/2)</f>
        <v>0.73378491010901159</v>
      </c>
      <c r="H46" s="27">
        <f>H45*(Presion_cilindro!O37/Presion_cilindro!O38)^Presion_cilindro!$B$9+10*(Presion_cilindro!$B$9-1)*Presion_cilindro!$B$33*(IF(Presion_cilindro!N38&gt;(-H$4+Presion_cilindro!$B$34),1-EXP(-Presion_cilindro!$B$16*((Presion_cilindro!N38-(-H$4+Presion_cilindro!$B$34))/Presion_cilindro!$B$35)^(Presion_cilindro!$B$17+1)),0)-IF(Presion_cilindro!N37&gt;(-H$4+Presion_cilindro!$B$34),1-EXP(-Presion_cilindro!$B$16*((Presion_cilindro!N37-(-H$4+Presion_cilindro!$B$34))/Presion_cilindro!$B$35)^(Presion_cilindro!$B$17+1)),0))/((Presion_cilindro!O37+Presion_cilindro!O38)/2)</f>
        <v>0.73378491010901159</v>
      </c>
      <c r="I46" s="27">
        <f>I45*(Presion_cilindro!O37/Presion_cilindro!O38)^Presion_cilindro!$B$9+10*(Presion_cilindro!$B$9-1)*Presion_cilindro!$B$33*(IF(Presion_cilindro!N38&gt;(-I$4+Presion_cilindro!$B$34),1-EXP(-Presion_cilindro!$B$16*((Presion_cilindro!N38-(-I$4+Presion_cilindro!$B$34))/Presion_cilindro!$B$35)^(Presion_cilindro!$B$17+1)),0)-IF(Presion_cilindro!N37&gt;(-I$4+Presion_cilindro!$B$34),1-EXP(-Presion_cilindro!$B$16*((Presion_cilindro!N37-(-I$4+Presion_cilindro!$B$34))/Presion_cilindro!$B$35)^(Presion_cilindro!$B$17+1)),0))/((Presion_cilindro!O37+Presion_cilindro!O38)/2)</f>
        <v>0.73378491010901159</v>
      </c>
      <c r="J46" s="27">
        <f>J45*(Presion_cilindro!O37/Presion_cilindro!O38)^Presion_cilindro!$B$9+10*(Presion_cilindro!$B$9-1)*Presion_cilindro!$B$33*(IF(Presion_cilindro!N38&gt;(-J$4+Presion_cilindro!$B$34),1-EXP(-Presion_cilindro!$B$16*((Presion_cilindro!N38-(-J$4+Presion_cilindro!$B$34))/Presion_cilindro!$B$35)^(Presion_cilindro!$B$17+1)),0)-IF(Presion_cilindro!N37&gt;(-J$4+Presion_cilindro!$B$34),1-EXP(-Presion_cilindro!$B$16*((Presion_cilindro!N37-(-J$4+Presion_cilindro!$B$34))/Presion_cilindro!$B$35)^(Presion_cilindro!$B$17+1)),0))/((Presion_cilindro!O37+Presion_cilindro!O38)/2)</f>
        <v>0.73378491010901159</v>
      </c>
      <c r="K46" s="27">
        <f>K45*(Presion_cilindro!O37/Presion_cilindro!O38)^Presion_cilindro!$B$9+10*(Presion_cilindro!$B$9-1)*Presion_cilindro!$B$33*(IF(Presion_cilindro!N38&gt;(-K$4+Presion_cilindro!$B$34),1-EXP(-Presion_cilindro!$B$16*((Presion_cilindro!N38-(-K$4+Presion_cilindro!$B$34))/Presion_cilindro!$B$35)^(Presion_cilindro!$B$17+1)),0)-IF(Presion_cilindro!N37&gt;(-K$4+Presion_cilindro!$B$34),1-EXP(-Presion_cilindro!$B$16*((Presion_cilindro!N37-(-K$4+Presion_cilindro!$B$34))/Presion_cilindro!$B$35)^(Presion_cilindro!$B$17+1)),0))/((Presion_cilindro!O37+Presion_cilindro!O38)/2)</f>
        <v>0.73378491010901159</v>
      </c>
      <c r="L46" s="27">
        <f>L45*(Presion_cilindro!O37/Presion_cilindro!O38)^Presion_cilindro!$B$9+10*(Presion_cilindro!$B$9-1)*Presion_cilindro!$B$33*(IF(Presion_cilindro!N38&gt;(-L$4+Presion_cilindro!$B$34),1-EXP(-Presion_cilindro!$B$16*((Presion_cilindro!N38-(-L$4+Presion_cilindro!$B$34))/Presion_cilindro!$B$35)^(Presion_cilindro!$B$17+1)),0)-IF(Presion_cilindro!N37&gt;(-L$4+Presion_cilindro!$B$34),1-EXP(-Presion_cilindro!$B$16*((Presion_cilindro!N37-(-L$4+Presion_cilindro!$B$34))/Presion_cilindro!$B$35)^(Presion_cilindro!$B$17+1)),0))/((Presion_cilindro!O37+Presion_cilindro!O38)/2)</f>
        <v>0.73378491010901159</v>
      </c>
      <c r="M46" s="27">
        <f>M45*(Presion_cilindro!O37/Presion_cilindro!O38)^Presion_cilindro!$B$9+10*(Presion_cilindro!$B$9-1)*Presion_cilindro!$B$33*(IF(Presion_cilindro!N38&gt;(-M$4+Presion_cilindro!$B$34),1-EXP(-Presion_cilindro!$B$16*((Presion_cilindro!N38-(-M$4+Presion_cilindro!$B$34))/Presion_cilindro!$B$35)^(Presion_cilindro!$B$17+1)),0)-IF(Presion_cilindro!N37&gt;(-M$4+Presion_cilindro!$B$34),1-EXP(-Presion_cilindro!$B$16*((Presion_cilindro!N37-(-M$4+Presion_cilindro!$B$34))/Presion_cilindro!$B$35)^(Presion_cilindro!$B$17+1)),0))/((Presion_cilindro!O37+Presion_cilindro!O38)/2)</f>
        <v>0.73378491010901159</v>
      </c>
      <c r="N46" s="27">
        <f>N45*(Presion_cilindro!O37/Presion_cilindro!O38)^Presion_cilindro!$B$9+10*(Presion_cilindro!$B$9-1)*Presion_cilindro!$B$33*(IF(Presion_cilindro!N38&gt;(-N$4+Presion_cilindro!$B$34),1-EXP(-Presion_cilindro!$B$16*((Presion_cilindro!N38-(-N$4+Presion_cilindro!$B$34))/Presion_cilindro!$B$35)^(Presion_cilindro!$B$17+1)),0)-IF(Presion_cilindro!N37&gt;(-N$4+Presion_cilindro!$B$34),1-EXP(-Presion_cilindro!$B$16*((Presion_cilindro!N37-(-N$4+Presion_cilindro!$B$34))/Presion_cilindro!$B$35)^(Presion_cilindro!$B$17+1)),0))/((Presion_cilindro!O37+Presion_cilindro!O38)/2)</f>
        <v>0.73378491010901159</v>
      </c>
    </row>
    <row r="47" spans="1:14" x14ac:dyDescent="0.25">
      <c r="A47" s="21">
        <f>Presion_cilindro!N39</f>
        <v>-162.5</v>
      </c>
      <c r="B47" s="27">
        <f>B46*(Presion_cilindro!O38/Presion_cilindro!O39)^Presion_cilindro!$B$9+10*(Presion_cilindro!$B$9-1)*Presion_cilindro!$B$33*(IF(Presion_cilindro!N39&gt;(-B$4+Presion_cilindro!$B$34),1-EXP(-Presion_cilindro!$B$16*((Presion_cilindro!N39-(-B$4+Presion_cilindro!$B$34))/Presion_cilindro!$B$35)^(Presion_cilindro!$B$17+1)),0)-IF(Presion_cilindro!N38&gt;(-B$4+Presion_cilindro!$B$34),1-EXP(-Presion_cilindro!$B$16*((Presion_cilindro!N38-(-B$4+Presion_cilindro!$B$34))/Presion_cilindro!$B$35)^(Presion_cilindro!$B$17+1)),0))/((Presion_cilindro!O38+Presion_cilindro!O39)/2)</f>
        <v>0.73462286504996899</v>
      </c>
      <c r="C47" s="27">
        <f>C46*(Presion_cilindro!O38/Presion_cilindro!O39)^Presion_cilindro!$B$9+10*(Presion_cilindro!$B$9-1)*Presion_cilindro!$B$33*(IF(Presion_cilindro!N39&gt;(-C$4+Presion_cilindro!$B$34),1-EXP(-Presion_cilindro!$B$16*((Presion_cilindro!N39-(-C$4+Presion_cilindro!$B$34))/Presion_cilindro!$B$35)^(Presion_cilindro!$B$17+1)),0)-IF(Presion_cilindro!N38&gt;(-C$4+Presion_cilindro!$B$34),1-EXP(-Presion_cilindro!$B$16*((Presion_cilindro!N38-(-C$4+Presion_cilindro!$B$34))/Presion_cilindro!$B$35)^(Presion_cilindro!$B$17+1)),0))/((Presion_cilindro!O38+Presion_cilindro!O39)/2)</f>
        <v>0.73462286504996899</v>
      </c>
      <c r="D47" s="27">
        <f>D46*(Presion_cilindro!O38/Presion_cilindro!O39)^Presion_cilindro!$B$9+10*(Presion_cilindro!$B$9-1)*Presion_cilindro!$B$33*(IF(Presion_cilindro!N39&gt;(-D$4+Presion_cilindro!$B$34),1-EXP(-Presion_cilindro!$B$16*((Presion_cilindro!N39-(-D$4+Presion_cilindro!$B$34))/Presion_cilindro!$B$35)^(Presion_cilindro!$B$17+1)),0)-IF(Presion_cilindro!N38&gt;(-D$4+Presion_cilindro!$B$34),1-EXP(-Presion_cilindro!$B$16*((Presion_cilindro!N38-(-D$4+Presion_cilindro!$B$34))/Presion_cilindro!$B$35)^(Presion_cilindro!$B$17+1)),0))/((Presion_cilindro!O38+Presion_cilindro!O39)/2)</f>
        <v>0.73462286504996899</v>
      </c>
      <c r="E47" s="27">
        <f>E46*(Presion_cilindro!O38/Presion_cilindro!O39)^Presion_cilindro!$B$9+10*(Presion_cilindro!$B$9-1)*Presion_cilindro!$B$33*(IF(Presion_cilindro!N39&gt;(-E$4+Presion_cilindro!$B$34),1-EXP(-Presion_cilindro!$B$16*((Presion_cilindro!N39-(-E$4+Presion_cilindro!$B$34))/Presion_cilindro!$B$35)^(Presion_cilindro!$B$17+1)),0)-IF(Presion_cilindro!N38&gt;(-E$4+Presion_cilindro!$B$34),1-EXP(-Presion_cilindro!$B$16*((Presion_cilindro!N38-(-E$4+Presion_cilindro!$B$34))/Presion_cilindro!$B$35)^(Presion_cilindro!$B$17+1)),0))/((Presion_cilindro!O38+Presion_cilindro!O39)/2)</f>
        <v>0.73462286504996899</v>
      </c>
      <c r="F47" s="27">
        <f>F46*(Presion_cilindro!O38/Presion_cilindro!O39)^Presion_cilindro!$B$9+10*(Presion_cilindro!$B$9-1)*Presion_cilindro!$B$33*(IF(Presion_cilindro!N39&gt;(-F$4+Presion_cilindro!$B$34),1-EXP(-Presion_cilindro!$B$16*((Presion_cilindro!N39-(-F$4+Presion_cilindro!$B$34))/Presion_cilindro!$B$35)^(Presion_cilindro!$B$17+1)),0)-IF(Presion_cilindro!N38&gt;(-F$4+Presion_cilindro!$B$34),1-EXP(-Presion_cilindro!$B$16*((Presion_cilindro!N38-(-F$4+Presion_cilindro!$B$34))/Presion_cilindro!$B$35)^(Presion_cilindro!$B$17+1)),0))/((Presion_cilindro!O38+Presion_cilindro!O39)/2)</f>
        <v>0.73462286504996899</v>
      </c>
      <c r="G47" s="27">
        <f>G46*(Presion_cilindro!O38/Presion_cilindro!O39)^Presion_cilindro!$B$9+10*(Presion_cilindro!$B$9-1)*Presion_cilindro!$B$33*(IF(Presion_cilindro!N39&gt;(-G$4+Presion_cilindro!$B$34),1-EXP(-Presion_cilindro!$B$16*((Presion_cilindro!N39-(-G$4+Presion_cilindro!$B$34))/Presion_cilindro!$B$35)^(Presion_cilindro!$B$17+1)),0)-IF(Presion_cilindro!N38&gt;(-G$4+Presion_cilindro!$B$34),1-EXP(-Presion_cilindro!$B$16*((Presion_cilindro!N38-(-G$4+Presion_cilindro!$B$34))/Presion_cilindro!$B$35)^(Presion_cilindro!$B$17+1)),0))/((Presion_cilindro!O38+Presion_cilindro!O39)/2)</f>
        <v>0.73462286504996899</v>
      </c>
      <c r="H47" s="27">
        <f>H46*(Presion_cilindro!O38/Presion_cilindro!O39)^Presion_cilindro!$B$9+10*(Presion_cilindro!$B$9-1)*Presion_cilindro!$B$33*(IF(Presion_cilindro!N39&gt;(-H$4+Presion_cilindro!$B$34),1-EXP(-Presion_cilindro!$B$16*((Presion_cilindro!N39-(-H$4+Presion_cilindro!$B$34))/Presion_cilindro!$B$35)^(Presion_cilindro!$B$17+1)),0)-IF(Presion_cilindro!N38&gt;(-H$4+Presion_cilindro!$B$34),1-EXP(-Presion_cilindro!$B$16*((Presion_cilindro!N38-(-H$4+Presion_cilindro!$B$34))/Presion_cilindro!$B$35)^(Presion_cilindro!$B$17+1)),0))/((Presion_cilindro!O38+Presion_cilindro!O39)/2)</f>
        <v>0.73462286504996899</v>
      </c>
      <c r="I47" s="27">
        <f>I46*(Presion_cilindro!O38/Presion_cilindro!O39)^Presion_cilindro!$B$9+10*(Presion_cilindro!$B$9-1)*Presion_cilindro!$B$33*(IF(Presion_cilindro!N39&gt;(-I$4+Presion_cilindro!$B$34),1-EXP(-Presion_cilindro!$B$16*((Presion_cilindro!N39-(-I$4+Presion_cilindro!$B$34))/Presion_cilindro!$B$35)^(Presion_cilindro!$B$17+1)),0)-IF(Presion_cilindro!N38&gt;(-I$4+Presion_cilindro!$B$34),1-EXP(-Presion_cilindro!$B$16*((Presion_cilindro!N38-(-I$4+Presion_cilindro!$B$34))/Presion_cilindro!$B$35)^(Presion_cilindro!$B$17+1)),0))/((Presion_cilindro!O38+Presion_cilindro!O39)/2)</f>
        <v>0.73462286504996899</v>
      </c>
      <c r="J47" s="27">
        <f>J46*(Presion_cilindro!O38/Presion_cilindro!O39)^Presion_cilindro!$B$9+10*(Presion_cilindro!$B$9-1)*Presion_cilindro!$B$33*(IF(Presion_cilindro!N39&gt;(-J$4+Presion_cilindro!$B$34),1-EXP(-Presion_cilindro!$B$16*((Presion_cilindro!N39-(-J$4+Presion_cilindro!$B$34))/Presion_cilindro!$B$35)^(Presion_cilindro!$B$17+1)),0)-IF(Presion_cilindro!N38&gt;(-J$4+Presion_cilindro!$B$34),1-EXP(-Presion_cilindro!$B$16*((Presion_cilindro!N38-(-J$4+Presion_cilindro!$B$34))/Presion_cilindro!$B$35)^(Presion_cilindro!$B$17+1)),0))/((Presion_cilindro!O38+Presion_cilindro!O39)/2)</f>
        <v>0.73462286504996899</v>
      </c>
      <c r="K47" s="27">
        <f>K46*(Presion_cilindro!O38/Presion_cilindro!O39)^Presion_cilindro!$B$9+10*(Presion_cilindro!$B$9-1)*Presion_cilindro!$B$33*(IF(Presion_cilindro!N39&gt;(-K$4+Presion_cilindro!$B$34),1-EXP(-Presion_cilindro!$B$16*((Presion_cilindro!N39-(-K$4+Presion_cilindro!$B$34))/Presion_cilindro!$B$35)^(Presion_cilindro!$B$17+1)),0)-IF(Presion_cilindro!N38&gt;(-K$4+Presion_cilindro!$B$34),1-EXP(-Presion_cilindro!$B$16*((Presion_cilindro!N38-(-K$4+Presion_cilindro!$B$34))/Presion_cilindro!$B$35)^(Presion_cilindro!$B$17+1)),0))/((Presion_cilindro!O38+Presion_cilindro!O39)/2)</f>
        <v>0.73462286504996899</v>
      </c>
      <c r="L47" s="27">
        <f>L46*(Presion_cilindro!O38/Presion_cilindro!O39)^Presion_cilindro!$B$9+10*(Presion_cilindro!$B$9-1)*Presion_cilindro!$B$33*(IF(Presion_cilindro!N39&gt;(-L$4+Presion_cilindro!$B$34),1-EXP(-Presion_cilindro!$B$16*((Presion_cilindro!N39-(-L$4+Presion_cilindro!$B$34))/Presion_cilindro!$B$35)^(Presion_cilindro!$B$17+1)),0)-IF(Presion_cilindro!N38&gt;(-L$4+Presion_cilindro!$B$34),1-EXP(-Presion_cilindro!$B$16*((Presion_cilindro!N38-(-L$4+Presion_cilindro!$B$34))/Presion_cilindro!$B$35)^(Presion_cilindro!$B$17+1)),0))/((Presion_cilindro!O38+Presion_cilindro!O39)/2)</f>
        <v>0.73462286504996899</v>
      </c>
      <c r="M47" s="27">
        <f>M46*(Presion_cilindro!O38/Presion_cilindro!O39)^Presion_cilindro!$B$9+10*(Presion_cilindro!$B$9-1)*Presion_cilindro!$B$33*(IF(Presion_cilindro!N39&gt;(-M$4+Presion_cilindro!$B$34),1-EXP(-Presion_cilindro!$B$16*((Presion_cilindro!N39-(-M$4+Presion_cilindro!$B$34))/Presion_cilindro!$B$35)^(Presion_cilindro!$B$17+1)),0)-IF(Presion_cilindro!N38&gt;(-M$4+Presion_cilindro!$B$34),1-EXP(-Presion_cilindro!$B$16*((Presion_cilindro!N38-(-M$4+Presion_cilindro!$B$34))/Presion_cilindro!$B$35)^(Presion_cilindro!$B$17+1)),0))/((Presion_cilindro!O38+Presion_cilindro!O39)/2)</f>
        <v>0.73462286504996899</v>
      </c>
      <c r="N47" s="27">
        <f>N46*(Presion_cilindro!O38/Presion_cilindro!O39)^Presion_cilindro!$B$9+10*(Presion_cilindro!$B$9-1)*Presion_cilindro!$B$33*(IF(Presion_cilindro!N39&gt;(-N$4+Presion_cilindro!$B$34),1-EXP(-Presion_cilindro!$B$16*((Presion_cilindro!N39-(-N$4+Presion_cilindro!$B$34))/Presion_cilindro!$B$35)^(Presion_cilindro!$B$17+1)),0)-IF(Presion_cilindro!N38&gt;(-N$4+Presion_cilindro!$B$34),1-EXP(-Presion_cilindro!$B$16*((Presion_cilindro!N38-(-N$4+Presion_cilindro!$B$34))/Presion_cilindro!$B$35)^(Presion_cilindro!$B$17+1)),0))/((Presion_cilindro!O38+Presion_cilindro!O39)/2)</f>
        <v>0.73462286504996899</v>
      </c>
    </row>
    <row r="48" spans="1:14" x14ac:dyDescent="0.25">
      <c r="A48" s="21">
        <f>Presion_cilindro!N40</f>
        <v>-162</v>
      </c>
      <c r="B48" s="27">
        <f>B47*(Presion_cilindro!O39/Presion_cilindro!O40)^Presion_cilindro!$B$9+10*(Presion_cilindro!$B$9-1)*Presion_cilindro!$B$33*(IF(Presion_cilindro!N40&gt;(-B$4+Presion_cilindro!$B$34),1-EXP(-Presion_cilindro!$B$16*((Presion_cilindro!N40-(-B$4+Presion_cilindro!$B$34))/Presion_cilindro!$B$35)^(Presion_cilindro!$B$17+1)),0)-IF(Presion_cilindro!N39&gt;(-B$4+Presion_cilindro!$B$34),1-EXP(-Presion_cilindro!$B$16*((Presion_cilindro!N39-(-B$4+Presion_cilindro!$B$34))/Presion_cilindro!$B$35)^(Presion_cilindro!$B$17+1)),0))/((Presion_cilindro!O39+Presion_cilindro!O40)/2)</f>
        <v>0.73548691569824398</v>
      </c>
      <c r="C48" s="27">
        <f>C47*(Presion_cilindro!O39/Presion_cilindro!O40)^Presion_cilindro!$B$9+10*(Presion_cilindro!$B$9-1)*Presion_cilindro!$B$33*(IF(Presion_cilindro!N40&gt;(-C$4+Presion_cilindro!$B$34),1-EXP(-Presion_cilindro!$B$16*((Presion_cilindro!N40-(-C$4+Presion_cilindro!$B$34))/Presion_cilindro!$B$35)^(Presion_cilindro!$B$17+1)),0)-IF(Presion_cilindro!N39&gt;(-C$4+Presion_cilindro!$B$34),1-EXP(-Presion_cilindro!$B$16*((Presion_cilindro!N39-(-C$4+Presion_cilindro!$B$34))/Presion_cilindro!$B$35)^(Presion_cilindro!$B$17+1)),0))/((Presion_cilindro!O39+Presion_cilindro!O40)/2)</f>
        <v>0.73548691569824398</v>
      </c>
      <c r="D48" s="27">
        <f>D47*(Presion_cilindro!O39/Presion_cilindro!O40)^Presion_cilindro!$B$9+10*(Presion_cilindro!$B$9-1)*Presion_cilindro!$B$33*(IF(Presion_cilindro!N40&gt;(-D$4+Presion_cilindro!$B$34),1-EXP(-Presion_cilindro!$B$16*((Presion_cilindro!N40-(-D$4+Presion_cilindro!$B$34))/Presion_cilindro!$B$35)^(Presion_cilindro!$B$17+1)),0)-IF(Presion_cilindro!N39&gt;(-D$4+Presion_cilindro!$B$34),1-EXP(-Presion_cilindro!$B$16*((Presion_cilindro!N39-(-D$4+Presion_cilindro!$B$34))/Presion_cilindro!$B$35)^(Presion_cilindro!$B$17+1)),0))/((Presion_cilindro!O39+Presion_cilindro!O40)/2)</f>
        <v>0.73548691569824398</v>
      </c>
      <c r="E48" s="27">
        <f>E47*(Presion_cilindro!O39/Presion_cilindro!O40)^Presion_cilindro!$B$9+10*(Presion_cilindro!$B$9-1)*Presion_cilindro!$B$33*(IF(Presion_cilindro!N40&gt;(-E$4+Presion_cilindro!$B$34),1-EXP(-Presion_cilindro!$B$16*((Presion_cilindro!N40-(-E$4+Presion_cilindro!$B$34))/Presion_cilindro!$B$35)^(Presion_cilindro!$B$17+1)),0)-IF(Presion_cilindro!N39&gt;(-E$4+Presion_cilindro!$B$34),1-EXP(-Presion_cilindro!$B$16*((Presion_cilindro!N39-(-E$4+Presion_cilindro!$B$34))/Presion_cilindro!$B$35)^(Presion_cilindro!$B$17+1)),0))/((Presion_cilindro!O39+Presion_cilindro!O40)/2)</f>
        <v>0.73548691569824398</v>
      </c>
      <c r="F48" s="27">
        <f>F47*(Presion_cilindro!O39/Presion_cilindro!O40)^Presion_cilindro!$B$9+10*(Presion_cilindro!$B$9-1)*Presion_cilindro!$B$33*(IF(Presion_cilindro!N40&gt;(-F$4+Presion_cilindro!$B$34),1-EXP(-Presion_cilindro!$B$16*((Presion_cilindro!N40-(-F$4+Presion_cilindro!$B$34))/Presion_cilindro!$B$35)^(Presion_cilindro!$B$17+1)),0)-IF(Presion_cilindro!N39&gt;(-F$4+Presion_cilindro!$B$34),1-EXP(-Presion_cilindro!$B$16*((Presion_cilindro!N39-(-F$4+Presion_cilindro!$B$34))/Presion_cilindro!$B$35)^(Presion_cilindro!$B$17+1)),0))/((Presion_cilindro!O39+Presion_cilindro!O40)/2)</f>
        <v>0.73548691569824398</v>
      </c>
      <c r="G48" s="27">
        <f>G47*(Presion_cilindro!O39/Presion_cilindro!O40)^Presion_cilindro!$B$9+10*(Presion_cilindro!$B$9-1)*Presion_cilindro!$B$33*(IF(Presion_cilindro!N40&gt;(-G$4+Presion_cilindro!$B$34),1-EXP(-Presion_cilindro!$B$16*((Presion_cilindro!N40-(-G$4+Presion_cilindro!$B$34))/Presion_cilindro!$B$35)^(Presion_cilindro!$B$17+1)),0)-IF(Presion_cilindro!N39&gt;(-G$4+Presion_cilindro!$B$34),1-EXP(-Presion_cilindro!$B$16*((Presion_cilindro!N39-(-G$4+Presion_cilindro!$B$34))/Presion_cilindro!$B$35)^(Presion_cilindro!$B$17+1)),0))/((Presion_cilindro!O39+Presion_cilindro!O40)/2)</f>
        <v>0.73548691569824398</v>
      </c>
      <c r="H48" s="27">
        <f>H47*(Presion_cilindro!O39/Presion_cilindro!O40)^Presion_cilindro!$B$9+10*(Presion_cilindro!$B$9-1)*Presion_cilindro!$B$33*(IF(Presion_cilindro!N40&gt;(-H$4+Presion_cilindro!$B$34),1-EXP(-Presion_cilindro!$B$16*((Presion_cilindro!N40-(-H$4+Presion_cilindro!$B$34))/Presion_cilindro!$B$35)^(Presion_cilindro!$B$17+1)),0)-IF(Presion_cilindro!N39&gt;(-H$4+Presion_cilindro!$B$34),1-EXP(-Presion_cilindro!$B$16*((Presion_cilindro!N39-(-H$4+Presion_cilindro!$B$34))/Presion_cilindro!$B$35)^(Presion_cilindro!$B$17+1)),0))/((Presion_cilindro!O39+Presion_cilindro!O40)/2)</f>
        <v>0.73548691569824398</v>
      </c>
      <c r="I48" s="27">
        <f>I47*(Presion_cilindro!O39/Presion_cilindro!O40)^Presion_cilindro!$B$9+10*(Presion_cilindro!$B$9-1)*Presion_cilindro!$B$33*(IF(Presion_cilindro!N40&gt;(-I$4+Presion_cilindro!$B$34),1-EXP(-Presion_cilindro!$B$16*((Presion_cilindro!N40-(-I$4+Presion_cilindro!$B$34))/Presion_cilindro!$B$35)^(Presion_cilindro!$B$17+1)),0)-IF(Presion_cilindro!N39&gt;(-I$4+Presion_cilindro!$B$34),1-EXP(-Presion_cilindro!$B$16*((Presion_cilindro!N39-(-I$4+Presion_cilindro!$B$34))/Presion_cilindro!$B$35)^(Presion_cilindro!$B$17+1)),0))/((Presion_cilindro!O39+Presion_cilindro!O40)/2)</f>
        <v>0.73548691569824398</v>
      </c>
      <c r="J48" s="27">
        <f>J47*(Presion_cilindro!O39/Presion_cilindro!O40)^Presion_cilindro!$B$9+10*(Presion_cilindro!$B$9-1)*Presion_cilindro!$B$33*(IF(Presion_cilindro!N40&gt;(-J$4+Presion_cilindro!$B$34),1-EXP(-Presion_cilindro!$B$16*((Presion_cilindro!N40-(-J$4+Presion_cilindro!$B$34))/Presion_cilindro!$B$35)^(Presion_cilindro!$B$17+1)),0)-IF(Presion_cilindro!N39&gt;(-J$4+Presion_cilindro!$B$34),1-EXP(-Presion_cilindro!$B$16*((Presion_cilindro!N39-(-J$4+Presion_cilindro!$B$34))/Presion_cilindro!$B$35)^(Presion_cilindro!$B$17+1)),0))/((Presion_cilindro!O39+Presion_cilindro!O40)/2)</f>
        <v>0.73548691569824398</v>
      </c>
      <c r="K48" s="27">
        <f>K47*(Presion_cilindro!O39/Presion_cilindro!O40)^Presion_cilindro!$B$9+10*(Presion_cilindro!$B$9-1)*Presion_cilindro!$B$33*(IF(Presion_cilindro!N40&gt;(-K$4+Presion_cilindro!$B$34),1-EXP(-Presion_cilindro!$B$16*((Presion_cilindro!N40-(-K$4+Presion_cilindro!$B$34))/Presion_cilindro!$B$35)^(Presion_cilindro!$B$17+1)),0)-IF(Presion_cilindro!N39&gt;(-K$4+Presion_cilindro!$B$34),1-EXP(-Presion_cilindro!$B$16*((Presion_cilindro!N39-(-K$4+Presion_cilindro!$B$34))/Presion_cilindro!$B$35)^(Presion_cilindro!$B$17+1)),0))/((Presion_cilindro!O39+Presion_cilindro!O40)/2)</f>
        <v>0.73548691569824398</v>
      </c>
      <c r="L48" s="27">
        <f>L47*(Presion_cilindro!O39/Presion_cilindro!O40)^Presion_cilindro!$B$9+10*(Presion_cilindro!$B$9-1)*Presion_cilindro!$B$33*(IF(Presion_cilindro!N40&gt;(-L$4+Presion_cilindro!$B$34),1-EXP(-Presion_cilindro!$B$16*((Presion_cilindro!N40-(-L$4+Presion_cilindro!$B$34))/Presion_cilindro!$B$35)^(Presion_cilindro!$B$17+1)),0)-IF(Presion_cilindro!N39&gt;(-L$4+Presion_cilindro!$B$34),1-EXP(-Presion_cilindro!$B$16*((Presion_cilindro!N39-(-L$4+Presion_cilindro!$B$34))/Presion_cilindro!$B$35)^(Presion_cilindro!$B$17+1)),0))/((Presion_cilindro!O39+Presion_cilindro!O40)/2)</f>
        <v>0.73548691569824398</v>
      </c>
      <c r="M48" s="27">
        <f>M47*(Presion_cilindro!O39/Presion_cilindro!O40)^Presion_cilindro!$B$9+10*(Presion_cilindro!$B$9-1)*Presion_cilindro!$B$33*(IF(Presion_cilindro!N40&gt;(-M$4+Presion_cilindro!$B$34),1-EXP(-Presion_cilindro!$B$16*((Presion_cilindro!N40-(-M$4+Presion_cilindro!$B$34))/Presion_cilindro!$B$35)^(Presion_cilindro!$B$17+1)),0)-IF(Presion_cilindro!N39&gt;(-M$4+Presion_cilindro!$B$34),1-EXP(-Presion_cilindro!$B$16*((Presion_cilindro!N39-(-M$4+Presion_cilindro!$B$34))/Presion_cilindro!$B$35)^(Presion_cilindro!$B$17+1)),0))/((Presion_cilindro!O39+Presion_cilindro!O40)/2)</f>
        <v>0.73548691569824398</v>
      </c>
      <c r="N48" s="27">
        <f>N47*(Presion_cilindro!O39/Presion_cilindro!O40)^Presion_cilindro!$B$9+10*(Presion_cilindro!$B$9-1)*Presion_cilindro!$B$33*(IF(Presion_cilindro!N40&gt;(-N$4+Presion_cilindro!$B$34),1-EXP(-Presion_cilindro!$B$16*((Presion_cilindro!N40-(-N$4+Presion_cilindro!$B$34))/Presion_cilindro!$B$35)^(Presion_cilindro!$B$17+1)),0)-IF(Presion_cilindro!N39&gt;(-N$4+Presion_cilindro!$B$34),1-EXP(-Presion_cilindro!$B$16*((Presion_cilindro!N39-(-N$4+Presion_cilindro!$B$34))/Presion_cilindro!$B$35)^(Presion_cilindro!$B$17+1)),0))/((Presion_cilindro!O39+Presion_cilindro!O40)/2)</f>
        <v>0.73548691569824398</v>
      </c>
    </row>
    <row r="49" spans="1:14" x14ac:dyDescent="0.25">
      <c r="A49" s="21">
        <f>Presion_cilindro!N41</f>
        <v>-161.5</v>
      </c>
      <c r="B49" s="27">
        <f>B48*(Presion_cilindro!O40/Presion_cilindro!O41)^Presion_cilindro!$B$9+10*(Presion_cilindro!$B$9-1)*Presion_cilindro!$B$33*(IF(Presion_cilindro!N41&gt;(-B$4+Presion_cilindro!$B$34),1-EXP(-Presion_cilindro!$B$16*((Presion_cilindro!N41-(-B$4+Presion_cilindro!$B$34))/Presion_cilindro!$B$35)^(Presion_cilindro!$B$17+1)),0)-IF(Presion_cilindro!N40&gt;(-B$4+Presion_cilindro!$B$34),1-EXP(-Presion_cilindro!$B$16*((Presion_cilindro!N40-(-B$4+Presion_cilindro!$B$34))/Presion_cilindro!$B$35)^(Presion_cilindro!$B$17+1)),0))/((Presion_cilindro!O40+Presion_cilindro!O41)/2)</f>
        <v>0.73637722138126505</v>
      </c>
      <c r="C49" s="27">
        <f>C48*(Presion_cilindro!O40/Presion_cilindro!O41)^Presion_cilindro!$B$9+10*(Presion_cilindro!$B$9-1)*Presion_cilindro!$B$33*(IF(Presion_cilindro!N41&gt;(-C$4+Presion_cilindro!$B$34),1-EXP(-Presion_cilindro!$B$16*((Presion_cilindro!N41-(-C$4+Presion_cilindro!$B$34))/Presion_cilindro!$B$35)^(Presion_cilindro!$B$17+1)),0)-IF(Presion_cilindro!N40&gt;(-C$4+Presion_cilindro!$B$34),1-EXP(-Presion_cilindro!$B$16*((Presion_cilindro!N40-(-C$4+Presion_cilindro!$B$34))/Presion_cilindro!$B$35)^(Presion_cilindro!$B$17+1)),0))/((Presion_cilindro!O40+Presion_cilindro!O41)/2)</f>
        <v>0.73637722138126505</v>
      </c>
      <c r="D49" s="27">
        <f>D48*(Presion_cilindro!O40/Presion_cilindro!O41)^Presion_cilindro!$B$9+10*(Presion_cilindro!$B$9-1)*Presion_cilindro!$B$33*(IF(Presion_cilindro!N41&gt;(-D$4+Presion_cilindro!$B$34),1-EXP(-Presion_cilindro!$B$16*((Presion_cilindro!N41-(-D$4+Presion_cilindro!$B$34))/Presion_cilindro!$B$35)^(Presion_cilindro!$B$17+1)),0)-IF(Presion_cilindro!N40&gt;(-D$4+Presion_cilindro!$B$34),1-EXP(-Presion_cilindro!$B$16*((Presion_cilindro!N40-(-D$4+Presion_cilindro!$B$34))/Presion_cilindro!$B$35)^(Presion_cilindro!$B$17+1)),0))/((Presion_cilindro!O40+Presion_cilindro!O41)/2)</f>
        <v>0.73637722138126505</v>
      </c>
      <c r="E49" s="27">
        <f>E48*(Presion_cilindro!O40/Presion_cilindro!O41)^Presion_cilindro!$B$9+10*(Presion_cilindro!$B$9-1)*Presion_cilindro!$B$33*(IF(Presion_cilindro!N41&gt;(-E$4+Presion_cilindro!$B$34),1-EXP(-Presion_cilindro!$B$16*((Presion_cilindro!N41-(-E$4+Presion_cilindro!$B$34))/Presion_cilindro!$B$35)^(Presion_cilindro!$B$17+1)),0)-IF(Presion_cilindro!N40&gt;(-E$4+Presion_cilindro!$B$34),1-EXP(-Presion_cilindro!$B$16*((Presion_cilindro!N40-(-E$4+Presion_cilindro!$B$34))/Presion_cilindro!$B$35)^(Presion_cilindro!$B$17+1)),0))/((Presion_cilindro!O40+Presion_cilindro!O41)/2)</f>
        <v>0.73637722138126505</v>
      </c>
      <c r="F49" s="27">
        <f>F48*(Presion_cilindro!O40/Presion_cilindro!O41)^Presion_cilindro!$B$9+10*(Presion_cilindro!$B$9-1)*Presion_cilindro!$B$33*(IF(Presion_cilindro!N41&gt;(-F$4+Presion_cilindro!$B$34),1-EXP(-Presion_cilindro!$B$16*((Presion_cilindro!N41-(-F$4+Presion_cilindro!$B$34))/Presion_cilindro!$B$35)^(Presion_cilindro!$B$17+1)),0)-IF(Presion_cilindro!N40&gt;(-F$4+Presion_cilindro!$B$34),1-EXP(-Presion_cilindro!$B$16*((Presion_cilindro!N40-(-F$4+Presion_cilindro!$B$34))/Presion_cilindro!$B$35)^(Presion_cilindro!$B$17+1)),0))/((Presion_cilindro!O40+Presion_cilindro!O41)/2)</f>
        <v>0.73637722138126505</v>
      </c>
      <c r="G49" s="27">
        <f>G48*(Presion_cilindro!O40/Presion_cilindro!O41)^Presion_cilindro!$B$9+10*(Presion_cilindro!$B$9-1)*Presion_cilindro!$B$33*(IF(Presion_cilindro!N41&gt;(-G$4+Presion_cilindro!$B$34),1-EXP(-Presion_cilindro!$B$16*((Presion_cilindro!N41-(-G$4+Presion_cilindro!$B$34))/Presion_cilindro!$B$35)^(Presion_cilindro!$B$17+1)),0)-IF(Presion_cilindro!N40&gt;(-G$4+Presion_cilindro!$B$34),1-EXP(-Presion_cilindro!$B$16*((Presion_cilindro!N40-(-G$4+Presion_cilindro!$B$34))/Presion_cilindro!$B$35)^(Presion_cilindro!$B$17+1)),0))/((Presion_cilindro!O40+Presion_cilindro!O41)/2)</f>
        <v>0.73637722138126505</v>
      </c>
      <c r="H49" s="27">
        <f>H48*(Presion_cilindro!O40/Presion_cilindro!O41)^Presion_cilindro!$B$9+10*(Presion_cilindro!$B$9-1)*Presion_cilindro!$B$33*(IF(Presion_cilindro!N41&gt;(-H$4+Presion_cilindro!$B$34),1-EXP(-Presion_cilindro!$B$16*((Presion_cilindro!N41-(-H$4+Presion_cilindro!$B$34))/Presion_cilindro!$B$35)^(Presion_cilindro!$B$17+1)),0)-IF(Presion_cilindro!N40&gt;(-H$4+Presion_cilindro!$B$34),1-EXP(-Presion_cilindro!$B$16*((Presion_cilindro!N40-(-H$4+Presion_cilindro!$B$34))/Presion_cilindro!$B$35)^(Presion_cilindro!$B$17+1)),0))/((Presion_cilindro!O40+Presion_cilindro!O41)/2)</f>
        <v>0.73637722138126505</v>
      </c>
      <c r="I49" s="27">
        <f>I48*(Presion_cilindro!O40/Presion_cilindro!O41)^Presion_cilindro!$B$9+10*(Presion_cilindro!$B$9-1)*Presion_cilindro!$B$33*(IF(Presion_cilindro!N41&gt;(-I$4+Presion_cilindro!$B$34),1-EXP(-Presion_cilindro!$B$16*((Presion_cilindro!N41-(-I$4+Presion_cilindro!$B$34))/Presion_cilindro!$B$35)^(Presion_cilindro!$B$17+1)),0)-IF(Presion_cilindro!N40&gt;(-I$4+Presion_cilindro!$B$34),1-EXP(-Presion_cilindro!$B$16*((Presion_cilindro!N40-(-I$4+Presion_cilindro!$B$34))/Presion_cilindro!$B$35)^(Presion_cilindro!$B$17+1)),0))/((Presion_cilindro!O40+Presion_cilindro!O41)/2)</f>
        <v>0.73637722138126505</v>
      </c>
      <c r="J49" s="27">
        <f>J48*(Presion_cilindro!O40/Presion_cilindro!O41)^Presion_cilindro!$B$9+10*(Presion_cilindro!$B$9-1)*Presion_cilindro!$B$33*(IF(Presion_cilindro!N41&gt;(-J$4+Presion_cilindro!$B$34),1-EXP(-Presion_cilindro!$B$16*((Presion_cilindro!N41-(-J$4+Presion_cilindro!$B$34))/Presion_cilindro!$B$35)^(Presion_cilindro!$B$17+1)),0)-IF(Presion_cilindro!N40&gt;(-J$4+Presion_cilindro!$B$34),1-EXP(-Presion_cilindro!$B$16*((Presion_cilindro!N40-(-J$4+Presion_cilindro!$B$34))/Presion_cilindro!$B$35)^(Presion_cilindro!$B$17+1)),0))/((Presion_cilindro!O40+Presion_cilindro!O41)/2)</f>
        <v>0.73637722138126505</v>
      </c>
      <c r="K49" s="27">
        <f>K48*(Presion_cilindro!O40/Presion_cilindro!O41)^Presion_cilindro!$B$9+10*(Presion_cilindro!$B$9-1)*Presion_cilindro!$B$33*(IF(Presion_cilindro!N41&gt;(-K$4+Presion_cilindro!$B$34),1-EXP(-Presion_cilindro!$B$16*((Presion_cilindro!N41-(-K$4+Presion_cilindro!$B$34))/Presion_cilindro!$B$35)^(Presion_cilindro!$B$17+1)),0)-IF(Presion_cilindro!N40&gt;(-K$4+Presion_cilindro!$B$34),1-EXP(-Presion_cilindro!$B$16*((Presion_cilindro!N40-(-K$4+Presion_cilindro!$B$34))/Presion_cilindro!$B$35)^(Presion_cilindro!$B$17+1)),0))/((Presion_cilindro!O40+Presion_cilindro!O41)/2)</f>
        <v>0.73637722138126505</v>
      </c>
      <c r="L49" s="27">
        <f>L48*(Presion_cilindro!O40/Presion_cilindro!O41)^Presion_cilindro!$B$9+10*(Presion_cilindro!$B$9-1)*Presion_cilindro!$B$33*(IF(Presion_cilindro!N41&gt;(-L$4+Presion_cilindro!$B$34),1-EXP(-Presion_cilindro!$B$16*((Presion_cilindro!N41-(-L$4+Presion_cilindro!$B$34))/Presion_cilindro!$B$35)^(Presion_cilindro!$B$17+1)),0)-IF(Presion_cilindro!N40&gt;(-L$4+Presion_cilindro!$B$34),1-EXP(-Presion_cilindro!$B$16*((Presion_cilindro!N40-(-L$4+Presion_cilindro!$B$34))/Presion_cilindro!$B$35)^(Presion_cilindro!$B$17+1)),0))/((Presion_cilindro!O40+Presion_cilindro!O41)/2)</f>
        <v>0.73637722138126505</v>
      </c>
      <c r="M49" s="27">
        <f>M48*(Presion_cilindro!O40/Presion_cilindro!O41)^Presion_cilindro!$B$9+10*(Presion_cilindro!$B$9-1)*Presion_cilindro!$B$33*(IF(Presion_cilindro!N41&gt;(-M$4+Presion_cilindro!$B$34),1-EXP(-Presion_cilindro!$B$16*((Presion_cilindro!N41-(-M$4+Presion_cilindro!$B$34))/Presion_cilindro!$B$35)^(Presion_cilindro!$B$17+1)),0)-IF(Presion_cilindro!N40&gt;(-M$4+Presion_cilindro!$B$34),1-EXP(-Presion_cilindro!$B$16*((Presion_cilindro!N40-(-M$4+Presion_cilindro!$B$34))/Presion_cilindro!$B$35)^(Presion_cilindro!$B$17+1)),0))/((Presion_cilindro!O40+Presion_cilindro!O41)/2)</f>
        <v>0.73637722138126505</v>
      </c>
      <c r="N49" s="27">
        <f>N48*(Presion_cilindro!O40/Presion_cilindro!O41)^Presion_cilindro!$B$9+10*(Presion_cilindro!$B$9-1)*Presion_cilindro!$B$33*(IF(Presion_cilindro!N41&gt;(-N$4+Presion_cilindro!$B$34),1-EXP(-Presion_cilindro!$B$16*((Presion_cilindro!N41-(-N$4+Presion_cilindro!$B$34))/Presion_cilindro!$B$35)^(Presion_cilindro!$B$17+1)),0)-IF(Presion_cilindro!N40&gt;(-N$4+Presion_cilindro!$B$34),1-EXP(-Presion_cilindro!$B$16*((Presion_cilindro!N40-(-N$4+Presion_cilindro!$B$34))/Presion_cilindro!$B$35)^(Presion_cilindro!$B$17+1)),0))/((Presion_cilindro!O40+Presion_cilindro!O41)/2)</f>
        <v>0.73637722138126505</v>
      </c>
    </row>
    <row r="50" spans="1:14" x14ac:dyDescent="0.25">
      <c r="A50" s="21">
        <f>Presion_cilindro!N42</f>
        <v>-161</v>
      </c>
      <c r="B50" s="27">
        <f>B49*(Presion_cilindro!O41/Presion_cilindro!O42)^Presion_cilindro!$B$9+10*(Presion_cilindro!$B$9-1)*Presion_cilindro!$B$33*(IF(Presion_cilindro!N42&gt;(-B$4+Presion_cilindro!$B$34),1-EXP(-Presion_cilindro!$B$16*((Presion_cilindro!N42-(-B$4+Presion_cilindro!$B$34))/Presion_cilindro!$B$35)^(Presion_cilindro!$B$17+1)),0)-IF(Presion_cilindro!N41&gt;(-B$4+Presion_cilindro!$B$34),1-EXP(-Presion_cilindro!$B$16*((Presion_cilindro!N41-(-B$4+Presion_cilindro!$B$34))/Presion_cilindro!$B$35)^(Presion_cilindro!$B$17+1)),0))/((Presion_cilindro!O41+Presion_cilindro!O42)/2)</f>
        <v>0.73729394655075065</v>
      </c>
      <c r="C50" s="27">
        <f>C49*(Presion_cilindro!O41/Presion_cilindro!O42)^Presion_cilindro!$B$9+10*(Presion_cilindro!$B$9-1)*Presion_cilindro!$B$33*(IF(Presion_cilindro!N42&gt;(-C$4+Presion_cilindro!$B$34),1-EXP(-Presion_cilindro!$B$16*((Presion_cilindro!N42-(-C$4+Presion_cilindro!$B$34))/Presion_cilindro!$B$35)^(Presion_cilindro!$B$17+1)),0)-IF(Presion_cilindro!N41&gt;(-C$4+Presion_cilindro!$B$34),1-EXP(-Presion_cilindro!$B$16*((Presion_cilindro!N41-(-C$4+Presion_cilindro!$B$34))/Presion_cilindro!$B$35)^(Presion_cilindro!$B$17+1)),0))/((Presion_cilindro!O41+Presion_cilindro!O42)/2)</f>
        <v>0.73729394655075065</v>
      </c>
      <c r="D50" s="27">
        <f>D49*(Presion_cilindro!O41/Presion_cilindro!O42)^Presion_cilindro!$B$9+10*(Presion_cilindro!$B$9-1)*Presion_cilindro!$B$33*(IF(Presion_cilindro!N42&gt;(-D$4+Presion_cilindro!$B$34),1-EXP(-Presion_cilindro!$B$16*((Presion_cilindro!N42-(-D$4+Presion_cilindro!$B$34))/Presion_cilindro!$B$35)^(Presion_cilindro!$B$17+1)),0)-IF(Presion_cilindro!N41&gt;(-D$4+Presion_cilindro!$B$34),1-EXP(-Presion_cilindro!$B$16*((Presion_cilindro!N41-(-D$4+Presion_cilindro!$B$34))/Presion_cilindro!$B$35)^(Presion_cilindro!$B$17+1)),0))/((Presion_cilindro!O41+Presion_cilindro!O42)/2)</f>
        <v>0.73729394655075065</v>
      </c>
      <c r="E50" s="27">
        <f>E49*(Presion_cilindro!O41/Presion_cilindro!O42)^Presion_cilindro!$B$9+10*(Presion_cilindro!$B$9-1)*Presion_cilindro!$B$33*(IF(Presion_cilindro!N42&gt;(-E$4+Presion_cilindro!$B$34),1-EXP(-Presion_cilindro!$B$16*((Presion_cilindro!N42-(-E$4+Presion_cilindro!$B$34))/Presion_cilindro!$B$35)^(Presion_cilindro!$B$17+1)),0)-IF(Presion_cilindro!N41&gt;(-E$4+Presion_cilindro!$B$34),1-EXP(-Presion_cilindro!$B$16*((Presion_cilindro!N41-(-E$4+Presion_cilindro!$B$34))/Presion_cilindro!$B$35)^(Presion_cilindro!$B$17+1)),0))/((Presion_cilindro!O41+Presion_cilindro!O42)/2)</f>
        <v>0.73729394655075065</v>
      </c>
      <c r="F50" s="27">
        <f>F49*(Presion_cilindro!O41/Presion_cilindro!O42)^Presion_cilindro!$B$9+10*(Presion_cilindro!$B$9-1)*Presion_cilindro!$B$33*(IF(Presion_cilindro!N42&gt;(-F$4+Presion_cilindro!$B$34),1-EXP(-Presion_cilindro!$B$16*((Presion_cilindro!N42-(-F$4+Presion_cilindro!$B$34))/Presion_cilindro!$B$35)^(Presion_cilindro!$B$17+1)),0)-IF(Presion_cilindro!N41&gt;(-F$4+Presion_cilindro!$B$34),1-EXP(-Presion_cilindro!$B$16*((Presion_cilindro!N41-(-F$4+Presion_cilindro!$B$34))/Presion_cilindro!$B$35)^(Presion_cilindro!$B$17+1)),0))/((Presion_cilindro!O41+Presion_cilindro!O42)/2)</f>
        <v>0.73729394655075065</v>
      </c>
      <c r="G50" s="27">
        <f>G49*(Presion_cilindro!O41/Presion_cilindro!O42)^Presion_cilindro!$B$9+10*(Presion_cilindro!$B$9-1)*Presion_cilindro!$B$33*(IF(Presion_cilindro!N42&gt;(-G$4+Presion_cilindro!$B$34),1-EXP(-Presion_cilindro!$B$16*((Presion_cilindro!N42-(-G$4+Presion_cilindro!$B$34))/Presion_cilindro!$B$35)^(Presion_cilindro!$B$17+1)),0)-IF(Presion_cilindro!N41&gt;(-G$4+Presion_cilindro!$B$34),1-EXP(-Presion_cilindro!$B$16*((Presion_cilindro!N41-(-G$4+Presion_cilindro!$B$34))/Presion_cilindro!$B$35)^(Presion_cilindro!$B$17+1)),0))/((Presion_cilindro!O41+Presion_cilindro!O42)/2)</f>
        <v>0.73729394655075065</v>
      </c>
      <c r="H50" s="27">
        <f>H49*(Presion_cilindro!O41/Presion_cilindro!O42)^Presion_cilindro!$B$9+10*(Presion_cilindro!$B$9-1)*Presion_cilindro!$B$33*(IF(Presion_cilindro!N42&gt;(-H$4+Presion_cilindro!$B$34),1-EXP(-Presion_cilindro!$B$16*((Presion_cilindro!N42-(-H$4+Presion_cilindro!$B$34))/Presion_cilindro!$B$35)^(Presion_cilindro!$B$17+1)),0)-IF(Presion_cilindro!N41&gt;(-H$4+Presion_cilindro!$B$34),1-EXP(-Presion_cilindro!$B$16*((Presion_cilindro!N41-(-H$4+Presion_cilindro!$B$34))/Presion_cilindro!$B$35)^(Presion_cilindro!$B$17+1)),0))/((Presion_cilindro!O41+Presion_cilindro!O42)/2)</f>
        <v>0.73729394655075065</v>
      </c>
      <c r="I50" s="27">
        <f>I49*(Presion_cilindro!O41/Presion_cilindro!O42)^Presion_cilindro!$B$9+10*(Presion_cilindro!$B$9-1)*Presion_cilindro!$B$33*(IF(Presion_cilindro!N42&gt;(-I$4+Presion_cilindro!$B$34),1-EXP(-Presion_cilindro!$B$16*((Presion_cilindro!N42-(-I$4+Presion_cilindro!$B$34))/Presion_cilindro!$B$35)^(Presion_cilindro!$B$17+1)),0)-IF(Presion_cilindro!N41&gt;(-I$4+Presion_cilindro!$B$34),1-EXP(-Presion_cilindro!$B$16*((Presion_cilindro!N41-(-I$4+Presion_cilindro!$B$34))/Presion_cilindro!$B$35)^(Presion_cilindro!$B$17+1)),0))/((Presion_cilindro!O41+Presion_cilindro!O42)/2)</f>
        <v>0.73729394655075065</v>
      </c>
      <c r="J50" s="27">
        <f>J49*(Presion_cilindro!O41/Presion_cilindro!O42)^Presion_cilindro!$B$9+10*(Presion_cilindro!$B$9-1)*Presion_cilindro!$B$33*(IF(Presion_cilindro!N42&gt;(-J$4+Presion_cilindro!$B$34),1-EXP(-Presion_cilindro!$B$16*((Presion_cilindro!N42-(-J$4+Presion_cilindro!$B$34))/Presion_cilindro!$B$35)^(Presion_cilindro!$B$17+1)),0)-IF(Presion_cilindro!N41&gt;(-J$4+Presion_cilindro!$B$34),1-EXP(-Presion_cilindro!$B$16*((Presion_cilindro!N41-(-J$4+Presion_cilindro!$B$34))/Presion_cilindro!$B$35)^(Presion_cilindro!$B$17+1)),0))/((Presion_cilindro!O41+Presion_cilindro!O42)/2)</f>
        <v>0.73729394655075065</v>
      </c>
      <c r="K50" s="27">
        <f>K49*(Presion_cilindro!O41/Presion_cilindro!O42)^Presion_cilindro!$B$9+10*(Presion_cilindro!$B$9-1)*Presion_cilindro!$B$33*(IF(Presion_cilindro!N42&gt;(-K$4+Presion_cilindro!$B$34),1-EXP(-Presion_cilindro!$B$16*((Presion_cilindro!N42-(-K$4+Presion_cilindro!$B$34))/Presion_cilindro!$B$35)^(Presion_cilindro!$B$17+1)),0)-IF(Presion_cilindro!N41&gt;(-K$4+Presion_cilindro!$B$34),1-EXP(-Presion_cilindro!$B$16*((Presion_cilindro!N41-(-K$4+Presion_cilindro!$B$34))/Presion_cilindro!$B$35)^(Presion_cilindro!$B$17+1)),0))/((Presion_cilindro!O41+Presion_cilindro!O42)/2)</f>
        <v>0.73729394655075065</v>
      </c>
      <c r="L50" s="27">
        <f>L49*(Presion_cilindro!O41/Presion_cilindro!O42)^Presion_cilindro!$B$9+10*(Presion_cilindro!$B$9-1)*Presion_cilindro!$B$33*(IF(Presion_cilindro!N42&gt;(-L$4+Presion_cilindro!$B$34),1-EXP(-Presion_cilindro!$B$16*((Presion_cilindro!N42-(-L$4+Presion_cilindro!$B$34))/Presion_cilindro!$B$35)^(Presion_cilindro!$B$17+1)),0)-IF(Presion_cilindro!N41&gt;(-L$4+Presion_cilindro!$B$34),1-EXP(-Presion_cilindro!$B$16*((Presion_cilindro!N41-(-L$4+Presion_cilindro!$B$34))/Presion_cilindro!$B$35)^(Presion_cilindro!$B$17+1)),0))/((Presion_cilindro!O41+Presion_cilindro!O42)/2)</f>
        <v>0.73729394655075065</v>
      </c>
      <c r="M50" s="27">
        <f>M49*(Presion_cilindro!O41/Presion_cilindro!O42)^Presion_cilindro!$B$9+10*(Presion_cilindro!$B$9-1)*Presion_cilindro!$B$33*(IF(Presion_cilindro!N42&gt;(-M$4+Presion_cilindro!$B$34),1-EXP(-Presion_cilindro!$B$16*((Presion_cilindro!N42-(-M$4+Presion_cilindro!$B$34))/Presion_cilindro!$B$35)^(Presion_cilindro!$B$17+1)),0)-IF(Presion_cilindro!N41&gt;(-M$4+Presion_cilindro!$B$34),1-EXP(-Presion_cilindro!$B$16*((Presion_cilindro!N41-(-M$4+Presion_cilindro!$B$34))/Presion_cilindro!$B$35)^(Presion_cilindro!$B$17+1)),0))/((Presion_cilindro!O41+Presion_cilindro!O42)/2)</f>
        <v>0.73729394655075065</v>
      </c>
      <c r="N50" s="27">
        <f>N49*(Presion_cilindro!O41/Presion_cilindro!O42)^Presion_cilindro!$B$9+10*(Presion_cilindro!$B$9-1)*Presion_cilindro!$B$33*(IF(Presion_cilindro!N42&gt;(-N$4+Presion_cilindro!$B$34),1-EXP(-Presion_cilindro!$B$16*((Presion_cilindro!N42-(-N$4+Presion_cilindro!$B$34))/Presion_cilindro!$B$35)^(Presion_cilindro!$B$17+1)),0)-IF(Presion_cilindro!N41&gt;(-N$4+Presion_cilindro!$B$34),1-EXP(-Presion_cilindro!$B$16*((Presion_cilindro!N41-(-N$4+Presion_cilindro!$B$34))/Presion_cilindro!$B$35)^(Presion_cilindro!$B$17+1)),0))/((Presion_cilindro!O41+Presion_cilindro!O42)/2)</f>
        <v>0.73729394655075065</v>
      </c>
    </row>
    <row r="51" spans="1:14" x14ac:dyDescent="0.25">
      <c r="A51" s="21">
        <f>Presion_cilindro!N43</f>
        <v>-160.5</v>
      </c>
      <c r="B51" s="27">
        <f>B50*(Presion_cilindro!O42/Presion_cilindro!O43)^Presion_cilindro!$B$9+10*(Presion_cilindro!$B$9-1)*Presion_cilindro!$B$33*(IF(Presion_cilindro!N43&gt;(-B$4+Presion_cilindro!$B$34),1-EXP(-Presion_cilindro!$B$16*((Presion_cilindro!N43-(-B$4+Presion_cilindro!$B$34))/Presion_cilindro!$B$35)^(Presion_cilindro!$B$17+1)),0)-IF(Presion_cilindro!N42&gt;(-B$4+Presion_cilindro!$B$34),1-EXP(-Presion_cilindro!$B$16*((Presion_cilindro!N42-(-B$4+Presion_cilindro!$B$34))/Presion_cilindro!$B$35)^(Presion_cilindro!$B$17+1)),0))/((Presion_cilindro!O42+Presion_cilindro!O43)/2)</f>
        <v>0.73823726083820129</v>
      </c>
      <c r="C51" s="27">
        <f>C50*(Presion_cilindro!O42/Presion_cilindro!O43)^Presion_cilindro!$B$9+10*(Presion_cilindro!$B$9-1)*Presion_cilindro!$B$33*(IF(Presion_cilindro!N43&gt;(-C$4+Presion_cilindro!$B$34),1-EXP(-Presion_cilindro!$B$16*((Presion_cilindro!N43-(-C$4+Presion_cilindro!$B$34))/Presion_cilindro!$B$35)^(Presion_cilindro!$B$17+1)),0)-IF(Presion_cilindro!N42&gt;(-C$4+Presion_cilindro!$B$34),1-EXP(-Presion_cilindro!$B$16*((Presion_cilindro!N42-(-C$4+Presion_cilindro!$B$34))/Presion_cilindro!$B$35)^(Presion_cilindro!$B$17+1)),0))/((Presion_cilindro!O42+Presion_cilindro!O43)/2)</f>
        <v>0.73823726083820129</v>
      </c>
      <c r="D51" s="27">
        <f>D50*(Presion_cilindro!O42/Presion_cilindro!O43)^Presion_cilindro!$B$9+10*(Presion_cilindro!$B$9-1)*Presion_cilindro!$B$33*(IF(Presion_cilindro!N43&gt;(-D$4+Presion_cilindro!$B$34),1-EXP(-Presion_cilindro!$B$16*((Presion_cilindro!N43-(-D$4+Presion_cilindro!$B$34))/Presion_cilindro!$B$35)^(Presion_cilindro!$B$17+1)),0)-IF(Presion_cilindro!N42&gt;(-D$4+Presion_cilindro!$B$34),1-EXP(-Presion_cilindro!$B$16*((Presion_cilindro!N42-(-D$4+Presion_cilindro!$B$34))/Presion_cilindro!$B$35)^(Presion_cilindro!$B$17+1)),0))/((Presion_cilindro!O42+Presion_cilindro!O43)/2)</f>
        <v>0.73823726083820129</v>
      </c>
      <c r="E51" s="27">
        <f>E50*(Presion_cilindro!O42/Presion_cilindro!O43)^Presion_cilindro!$B$9+10*(Presion_cilindro!$B$9-1)*Presion_cilindro!$B$33*(IF(Presion_cilindro!N43&gt;(-E$4+Presion_cilindro!$B$34),1-EXP(-Presion_cilindro!$B$16*((Presion_cilindro!N43-(-E$4+Presion_cilindro!$B$34))/Presion_cilindro!$B$35)^(Presion_cilindro!$B$17+1)),0)-IF(Presion_cilindro!N42&gt;(-E$4+Presion_cilindro!$B$34),1-EXP(-Presion_cilindro!$B$16*((Presion_cilindro!N42-(-E$4+Presion_cilindro!$B$34))/Presion_cilindro!$B$35)^(Presion_cilindro!$B$17+1)),0))/((Presion_cilindro!O42+Presion_cilindro!O43)/2)</f>
        <v>0.73823726083820129</v>
      </c>
      <c r="F51" s="27">
        <f>F50*(Presion_cilindro!O42/Presion_cilindro!O43)^Presion_cilindro!$B$9+10*(Presion_cilindro!$B$9-1)*Presion_cilindro!$B$33*(IF(Presion_cilindro!N43&gt;(-F$4+Presion_cilindro!$B$34),1-EXP(-Presion_cilindro!$B$16*((Presion_cilindro!N43-(-F$4+Presion_cilindro!$B$34))/Presion_cilindro!$B$35)^(Presion_cilindro!$B$17+1)),0)-IF(Presion_cilindro!N42&gt;(-F$4+Presion_cilindro!$B$34),1-EXP(-Presion_cilindro!$B$16*((Presion_cilindro!N42-(-F$4+Presion_cilindro!$B$34))/Presion_cilindro!$B$35)^(Presion_cilindro!$B$17+1)),0))/((Presion_cilindro!O42+Presion_cilindro!O43)/2)</f>
        <v>0.73823726083820129</v>
      </c>
      <c r="G51" s="27">
        <f>G50*(Presion_cilindro!O42/Presion_cilindro!O43)^Presion_cilindro!$B$9+10*(Presion_cilindro!$B$9-1)*Presion_cilindro!$B$33*(IF(Presion_cilindro!N43&gt;(-G$4+Presion_cilindro!$B$34),1-EXP(-Presion_cilindro!$B$16*((Presion_cilindro!N43-(-G$4+Presion_cilindro!$B$34))/Presion_cilindro!$B$35)^(Presion_cilindro!$B$17+1)),0)-IF(Presion_cilindro!N42&gt;(-G$4+Presion_cilindro!$B$34),1-EXP(-Presion_cilindro!$B$16*((Presion_cilindro!N42-(-G$4+Presion_cilindro!$B$34))/Presion_cilindro!$B$35)^(Presion_cilindro!$B$17+1)),0))/((Presion_cilindro!O42+Presion_cilindro!O43)/2)</f>
        <v>0.73823726083820129</v>
      </c>
      <c r="H51" s="27">
        <f>H50*(Presion_cilindro!O42/Presion_cilindro!O43)^Presion_cilindro!$B$9+10*(Presion_cilindro!$B$9-1)*Presion_cilindro!$B$33*(IF(Presion_cilindro!N43&gt;(-H$4+Presion_cilindro!$B$34),1-EXP(-Presion_cilindro!$B$16*((Presion_cilindro!N43-(-H$4+Presion_cilindro!$B$34))/Presion_cilindro!$B$35)^(Presion_cilindro!$B$17+1)),0)-IF(Presion_cilindro!N42&gt;(-H$4+Presion_cilindro!$B$34),1-EXP(-Presion_cilindro!$B$16*((Presion_cilindro!N42-(-H$4+Presion_cilindro!$B$34))/Presion_cilindro!$B$35)^(Presion_cilindro!$B$17+1)),0))/((Presion_cilindro!O42+Presion_cilindro!O43)/2)</f>
        <v>0.73823726083820129</v>
      </c>
      <c r="I51" s="27">
        <f>I50*(Presion_cilindro!O42/Presion_cilindro!O43)^Presion_cilindro!$B$9+10*(Presion_cilindro!$B$9-1)*Presion_cilindro!$B$33*(IF(Presion_cilindro!N43&gt;(-I$4+Presion_cilindro!$B$34),1-EXP(-Presion_cilindro!$B$16*((Presion_cilindro!N43-(-I$4+Presion_cilindro!$B$34))/Presion_cilindro!$B$35)^(Presion_cilindro!$B$17+1)),0)-IF(Presion_cilindro!N42&gt;(-I$4+Presion_cilindro!$B$34),1-EXP(-Presion_cilindro!$B$16*((Presion_cilindro!N42-(-I$4+Presion_cilindro!$B$34))/Presion_cilindro!$B$35)^(Presion_cilindro!$B$17+1)),0))/((Presion_cilindro!O42+Presion_cilindro!O43)/2)</f>
        <v>0.73823726083820129</v>
      </c>
      <c r="J51" s="27">
        <f>J50*(Presion_cilindro!O42/Presion_cilindro!O43)^Presion_cilindro!$B$9+10*(Presion_cilindro!$B$9-1)*Presion_cilindro!$B$33*(IF(Presion_cilindro!N43&gt;(-J$4+Presion_cilindro!$B$34),1-EXP(-Presion_cilindro!$B$16*((Presion_cilindro!N43-(-J$4+Presion_cilindro!$B$34))/Presion_cilindro!$B$35)^(Presion_cilindro!$B$17+1)),0)-IF(Presion_cilindro!N42&gt;(-J$4+Presion_cilindro!$B$34),1-EXP(-Presion_cilindro!$B$16*((Presion_cilindro!N42-(-J$4+Presion_cilindro!$B$34))/Presion_cilindro!$B$35)^(Presion_cilindro!$B$17+1)),0))/((Presion_cilindro!O42+Presion_cilindro!O43)/2)</f>
        <v>0.73823726083820129</v>
      </c>
      <c r="K51" s="27">
        <f>K50*(Presion_cilindro!O42/Presion_cilindro!O43)^Presion_cilindro!$B$9+10*(Presion_cilindro!$B$9-1)*Presion_cilindro!$B$33*(IF(Presion_cilindro!N43&gt;(-K$4+Presion_cilindro!$B$34),1-EXP(-Presion_cilindro!$B$16*((Presion_cilindro!N43-(-K$4+Presion_cilindro!$B$34))/Presion_cilindro!$B$35)^(Presion_cilindro!$B$17+1)),0)-IF(Presion_cilindro!N42&gt;(-K$4+Presion_cilindro!$B$34),1-EXP(-Presion_cilindro!$B$16*((Presion_cilindro!N42-(-K$4+Presion_cilindro!$B$34))/Presion_cilindro!$B$35)^(Presion_cilindro!$B$17+1)),0))/((Presion_cilindro!O42+Presion_cilindro!O43)/2)</f>
        <v>0.73823726083820129</v>
      </c>
      <c r="L51" s="27">
        <f>L50*(Presion_cilindro!O42/Presion_cilindro!O43)^Presion_cilindro!$B$9+10*(Presion_cilindro!$B$9-1)*Presion_cilindro!$B$33*(IF(Presion_cilindro!N43&gt;(-L$4+Presion_cilindro!$B$34),1-EXP(-Presion_cilindro!$B$16*((Presion_cilindro!N43-(-L$4+Presion_cilindro!$B$34))/Presion_cilindro!$B$35)^(Presion_cilindro!$B$17+1)),0)-IF(Presion_cilindro!N42&gt;(-L$4+Presion_cilindro!$B$34),1-EXP(-Presion_cilindro!$B$16*((Presion_cilindro!N42-(-L$4+Presion_cilindro!$B$34))/Presion_cilindro!$B$35)^(Presion_cilindro!$B$17+1)),0))/((Presion_cilindro!O42+Presion_cilindro!O43)/2)</f>
        <v>0.73823726083820129</v>
      </c>
      <c r="M51" s="27">
        <f>M50*(Presion_cilindro!O42/Presion_cilindro!O43)^Presion_cilindro!$B$9+10*(Presion_cilindro!$B$9-1)*Presion_cilindro!$B$33*(IF(Presion_cilindro!N43&gt;(-M$4+Presion_cilindro!$B$34),1-EXP(-Presion_cilindro!$B$16*((Presion_cilindro!N43-(-M$4+Presion_cilindro!$B$34))/Presion_cilindro!$B$35)^(Presion_cilindro!$B$17+1)),0)-IF(Presion_cilindro!N42&gt;(-M$4+Presion_cilindro!$B$34),1-EXP(-Presion_cilindro!$B$16*((Presion_cilindro!N42-(-M$4+Presion_cilindro!$B$34))/Presion_cilindro!$B$35)^(Presion_cilindro!$B$17+1)),0))/((Presion_cilindro!O42+Presion_cilindro!O43)/2)</f>
        <v>0.73823726083820129</v>
      </c>
      <c r="N51" s="27">
        <f>N50*(Presion_cilindro!O42/Presion_cilindro!O43)^Presion_cilindro!$B$9+10*(Presion_cilindro!$B$9-1)*Presion_cilindro!$B$33*(IF(Presion_cilindro!N43&gt;(-N$4+Presion_cilindro!$B$34),1-EXP(-Presion_cilindro!$B$16*((Presion_cilindro!N43-(-N$4+Presion_cilindro!$B$34))/Presion_cilindro!$B$35)^(Presion_cilindro!$B$17+1)),0)-IF(Presion_cilindro!N42&gt;(-N$4+Presion_cilindro!$B$34),1-EXP(-Presion_cilindro!$B$16*((Presion_cilindro!N42-(-N$4+Presion_cilindro!$B$34))/Presion_cilindro!$B$35)^(Presion_cilindro!$B$17+1)),0))/((Presion_cilindro!O42+Presion_cilindro!O43)/2)</f>
        <v>0.73823726083820129</v>
      </c>
    </row>
    <row r="52" spans="1:14" x14ac:dyDescent="0.25">
      <c r="A52" s="21">
        <f>Presion_cilindro!N44</f>
        <v>-160</v>
      </c>
      <c r="B52" s="27">
        <f>B51*(Presion_cilindro!O43/Presion_cilindro!O44)^Presion_cilindro!$B$9+10*(Presion_cilindro!$B$9-1)*Presion_cilindro!$B$33*(IF(Presion_cilindro!N44&gt;(-B$4+Presion_cilindro!$B$34),1-EXP(-Presion_cilindro!$B$16*((Presion_cilindro!N44-(-B$4+Presion_cilindro!$B$34))/Presion_cilindro!$B$35)^(Presion_cilindro!$B$17+1)),0)-IF(Presion_cilindro!N43&gt;(-B$4+Presion_cilindro!$B$34),1-EXP(-Presion_cilindro!$B$16*((Presion_cilindro!N43-(-B$4+Presion_cilindro!$B$34))/Presion_cilindro!$B$35)^(Presion_cilindro!$B$17+1)),0))/((Presion_cilindro!O43+Presion_cilindro!O44)/2)</f>
        <v>0.73920733911226078</v>
      </c>
      <c r="C52" s="27">
        <f>C51*(Presion_cilindro!O43/Presion_cilindro!O44)^Presion_cilindro!$B$9+10*(Presion_cilindro!$B$9-1)*Presion_cilindro!$B$33*(IF(Presion_cilindro!N44&gt;(-C$4+Presion_cilindro!$B$34),1-EXP(-Presion_cilindro!$B$16*((Presion_cilindro!N44-(-C$4+Presion_cilindro!$B$34))/Presion_cilindro!$B$35)^(Presion_cilindro!$B$17+1)),0)-IF(Presion_cilindro!N43&gt;(-C$4+Presion_cilindro!$B$34),1-EXP(-Presion_cilindro!$B$16*((Presion_cilindro!N43-(-C$4+Presion_cilindro!$B$34))/Presion_cilindro!$B$35)^(Presion_cilindro!$B$17+1)),0))/((Presion_cilindro!O43+Presion_cilindro!O44)/2)</f>
        <v>0.73920733911226078</v>
      </c>
      <c r="D52" s="27">
        <f>D51*(Presion_cilindro!O43/Presion_cilindro!O44)^Presion_cilindro!$B$9+10*(Presion_cilindro!$B$9-1)*Presion_cilindro!$B$33*(IF(Presion_cilindro!N44&gt;(-D$4+Presion_cilindro!$B$34),1-EXP(-Presion_cilindro!$B$16*((Presion_cilindro!N44-(-D$4+Presion_cilindro!$B$34))/Presion_cilindro!$B$35)^(Presion_cilindro!$B$17+1)),0)-IF(Presion_cilindro!N43&gt;(-D$4+Presion_cilindro!$B$34),1-EXP(-Presion_cilindro!$B$16*((Presion_cilindro!N43-(-D$4+Presion_cilindro!$B$34))/Presion_cilindro!$B$35)^(Presion_cilindro!$B$17+1)),0))/((Presion_cilindro!O43+Presion_cilindro!O44)/2)</f>
        <v>0.73920733911226078</v>
      </c>
      <c r="E52" s="27">
        <f>E51*(Presion_cilindro!O43/Presion_cilindro!O44)^Presion_cilindro!$B$9+10*(Presion_cilindro!$B$9-1)*Presion_cilindro!$B$33*(IF(Presion_cilindro!N44&gt;(-E$4+Presion_cilindro!$B$34),1-EXP(-Presion_cilindro!$B$16*((Presion_cilindro!N44-(-E$4+Presion_cilindro!$B$34))/Presion_cilindro!$B$35)^(Presion_cilindro!$B$17+1)),0)-IF(Presion_cilindro!N43&gt;(-E$4+Presion_cilindro!$B$34),1-EXP(-Presion_cilindro!$B$16*((Presion_cilindro!N43-(-E$4+Presion_cilindro!$B$34))/Presion_cilindro!$B$35)^(Presion_cilindro!$B$17+1)),0))/((Presion_cilindro!O43+Presion_cilindro!O44)/2)</f>
        <v>0.73920733911226078</v>
      </c>
      <c r="F52" s="27">
        <f>F51*(Presion_cilindro!O43/Presion_cilindro!O44)^Presion_cilindro!$B$9+10*(Presion_cilindro!$B$9-1)*Presion_cilindro!$B$33*(IF(Presion_cilindro!N44&gt;(-F$4+Presion_cilindro!$B$34),1-EXP(-Presion_cilindro!$B$16*((Presion_cilindro!N44-(-F$4+Presion_cilindro!$B$34))/Presion_cilindro!$B$35)^(Presion_cilindro!$B$17+1)),0)-IF(Presion_cilindro!N43&gt;(-F$4+Presion_cilindro!$B$34),1-EXP(-Presion_cilindro!$B$16*((Presion_cilindro!N43-(-F$4+Presion_cilindro!$B$34))/Presion_cilindro!$B$35)^(Presion_cilindro!$B$17+1)),0))/((Presion_cilindro!O43+Presion_cilindro!O44)/2)</f>
        <v>0.73920733911226078</v>
      </c>
      <c r="G52" s="27">
        <f>G51*(Presion_cilindro!O43/Presion_cilindro!O44)^Presion_cilindro!$B$9+10*(Presion_cilindro!$B$9-1)*Presion_cilindro!$B$33*(IF(Presion_cilindro!N44&gt;(-G$4+Presion_cilindro!$B$34),1-EXP(-Presion_cilindro!$B$16*((Presion_cilindro!N44-(-G$4+Presion_cilindro!$B$34))/Presion_cilindro!$B$35)^(Presion_cilindro!$B$17+1)),0)-IF(Presion_cilindro!N43&gt;(-G$4+Presion_cilindro!$B$34),1-EXP(-Presion_cilindro!$B$16*((Presion_cilindro!N43-(-G$4+Presion_cilindro!$B$34))/Presion_cilindro!$B$35)^(Presion_cilindro!$B$17+1)),0))/((Presion_cilindro!O43+Presion_cilindro!O44)/2)</f>
        <v>0.73920733911226078</v>
      </c>
      <c r="H52" s="27">
        <f>H51*(Presion_cilindro!O43/Presion_cilindro!O44)^Presion_cilindro!$B$9+10*(Presion_cilindro!$B$9-1)*Presion_cilindro!$B$33*(IF(Presion_cilindro!N44&gt;(-H$4+Presion_cilindro!$B$34),1-EXP(-Presion_cilindro!$B$16*((Presion_cilindro!N44-(-H$4+Presion_cilindro!$B$34))/Presion_cilindro!$B$35)^(Presion_cilindro!$B$17+1)),0)-IF(Presion_cilindro!N43&gt;(-H$4+Presion_cilindro!$B$34),1-EXP(-Presion_cilindro!$B$16*((Presion_cilindro!N43-(-H$4+Presion_cilindro!$B$34))/Presion_cilindro!$B$35)^(Presion_cilindro!$B$17+1)),0))/((Presion_cilindro!O43+Presion_cilindro!O44)/2)</f>
        <v>0.73920733911226078</v>
      </c>
      <c r="I52" s="27">
        <f>I51*(Presion_cilindro!O43/Presion_cilindro!O44)^Presion_cilindro!$B$9+10*(Presion_cilindro!$B$9-1)*Presion_cilindro!$B$33*(IF(Presion_cilindro!N44&gt;(-I$4+Presion_cilindro!$B$34),1-EXP(-Presion_cilindro!$B$16*((Presion_cilindro!N44-(-I$4+Presion_cilindro!$B$34))/Presion_cilindro!$B$35)^(Presion_cilindro!$B$17+1)),0)-IF(Presion_cilindro!N43&gt;(-I$4+Presion_cilindro!$B$34),1-EXP(-Presion_cilindro!$B$16*((Presion_cilindro!N43-(-I$4+Presion_cilindro!$B$34))/Presion_cilindro!$B$35)^(Presion_cilindro!$B$17+1)),0))/((Presion_cilindro!O43+Presion_cilindro!O44)/2)</f>
        <v>0.73920733911226078</v>
      </c>
      <c r="J52" s="27">
        <f>J51*(Presion_cilindro!O43/Presion_cilindro!O44)^Presion_cilindro!$B$9+10*(Presion_cilindro!$B$9-1)*Presion_cilindro!$B$33*(IF(Presion_cilindro!N44&gt;(-J$4+Presion_cilindro!$B$34),1-EXP(-Presion_cilindro!$B$16*((Presion_cilindro!N44-(-J$4+Presion_cilindro!$B$34))/Presion_cilindro!$B$35)^(Presion_cilindro!$B$17+1)),0)-IF(Presion_cilindro!N43&gt;(-J$4+Presion_cilindro!$B$34),1-EXP(-Presion_cilindro!$B$16*((Presion_cilindro!N43-(-J$4+Presion_cilindro!$B$34))/Presion_cilindro!$B$35)^(Presion_cilindro!$B$17+1)),0))/((Presion_cilindro!O43+Presion_cilindro!O44)/2)</f>
        <v>0.73920733911226078</v>
      </c>
      <c r="K52" s="27">
        <f>K51*(Presion_cilindro!O43/Presion_cilindro!O44)^Presion_cilindro!$B$9+10*(Presion_cilindro!$B$9-1)*Presion_cilindro!$B$33*(IF(Presion_cilindro!N44&gt;(-K$4+Presion_cilindro!$B$34),1-EXP(-Presion_cilindro!$B$16*((Presion_cilindro!N44-(-K$4+Presion_cilindro!$B$34))/Presion_cilindro!$B$35)^(Presion_cilindro!$B$17+1)),0)-IF(Presion_cilindro!N43&gt;(-K$4+Presion_cilindro!$B$34),1-EXP(-Presion_cilindro!$B$16*((Presion_cilindro!N43-(-K$4+Presion_cilindro!$B$34))/Presion_cilindro!$B$35)^(Presion_cilindro!$B$17+1)),0))/((Presion_cilindro!O43+Presion_cilindro!O44)/2)</f>
        <v>0.73920733911226078</v>
      </c>
      <c r="L52" s="27">
        <f>L51*(Presion_cilindro!O43/Presion_cilindro!O44)^Presion_cilindro!$B$9+10*(Presion_cilindro!$B$9-1)*Presion_cilindro!$B$33*(IF(Presion_cilindro!N44&gt;(-L$4+Presion_cilindro!$B$34),1-EXP(-Presion_cilindro!$B$16*((Presion_cilindro!N44-(-L$4+Presion_cilindro!$B$34))/Presion_cilindro!$B$35)^(Presion_cilindro!$B$17+1)),0)-IF(Presion_cilindro!N43&gt;(-L$4+Presion_cilindro!$B$34),1-EXP(-Presion_cilindro!$B$16*((Presion_cilindro!N43-(-L$4+Presion_cilindro!$B$34))/Presion_cilindro!$B$35)^(Presion_cilindro!$B$17+1)),0))/((Presion_cilindro!O43+Presion_cilindro!O44)/2)</f>
        <v>0.73920733911226078</v>
      </c>
      <c r="M52" s="27">
        <f>M51*(Presion_cilindro!O43/Presion_cilindro!O44)^Presion_cilindro!$B$9+10*(Presion_cilindro!$B$9-1)*Presion_cilindro!$B$33*(IF(Presion_cilindro!N44&gt;(-M$4+Presion_cilindro!$B$34),1-EXP(-Presion_cilindro!$B$16*((Presion_cilindro!N44-(-M$4+Presion_cilindro!$B$34))/Presion_cilindro!$B$35)^(Presion_cilindro!$B$17+1)),0)-IF(Presion_cilindro!N43&gt;(-M$4+Presion_cilindro!$B$34),1-EXP(-Presion_cilindro!$B$16*((Presion_cilindro!N43-(-M$4+Presion_cilindro!$B$34))/Presion_cilindro!$B$35)^(Presion_cilindro!$B$17+1)),0))/((Presion_cilindro!O43+Presion_cilindro!O44)/2)</f>
        <v>0.73920733911226078</v>
      </c>
      <c r="N52" s="27">
        <f>N51*(Presion_cilindro!O43/Presion_cilindro!O44)^Presion_cilindro!$B$9+10*(Presion_cilindro!$B$9-1)*Presion_cilindro!$B$33*(IF(Presion_cilindro!N44&gt;(-N$4+Presion_cilindro!$B$34),1-EXP(-Presion_cilindro!$B$16*((Presion_cilindro!N44-(-N$4+Presion_cilindro!$B$34))/Presion_cilindro!$B$35)^(Presion_cilindro!$B$17+1)),0)-IF(Presion_cilindro!N43&gt;(-N$4+Presion_cilindro!$B$34),1-EXP(-Presion_cilindro!$B$16*((Presion_cilindro!N43-(-N$4+Presion_cilindro!$B$34))/Presion_cilindro!$B$35)^(Presion_cilindro!$B$17+1)),0))/((Presion_cilindro!O43+Presion_cilindro!O44)/2)</f>
        <v>0.73920733911226078</v>
      </c>
    </row>
    <row r="53" spans="1:14" x14ac:dyDescent="0.25">
      <c r="A53" s="21">
        <f>Presion_cilindro!N45</f>
        <v>-159.5</v>
      </c>
      <c r="B53" s="27">
        <f>B52*(Presion_cilindro!O44/Presion_cilindro!O45)^Presion_cilindro!$B$9+10*(Presion_cilindro!$B$9-1)*Presion_cilindro!$B$33*(IF(Presion_cilindro!N45&gt;(-B$4+Presion_cilindro!$B$34),1-EXP(-Presion_cilindro!$B$16*((Presion_cilindro!N45-(-B$4+Presion_cilindro!$B$34))/Presion_cilindro!$B$35)^(Presion_cilindro!$B$17+1)),0)-IF(Presion_cilindro!N44&gt;(-B$4+Presion_cilindro!$B$34),1-EXP(-Presion_cilindro!$B$16*((Presion_cilindro!N44-(-B$4+Presion_cilindro!$B$34))/Presion_cilindro!$B$35)^(Presion_cilindro!$B$17+1)),0))/((Presion_cilindro!O44+Presion_cilindro!O45)/2)</f>
        <v>0.74020436153797375</v>
      </c>
      <c r="C53" s="27">
        <f>C52*(Presion_cilindro!O44/Presion_cilindro!O45)^Presion_cilindro!$B$9+10*(Presion_cilindro!$B$9-1)*Presion_cilindro!$B$33*(IF(Presion_cilindro!N45&gt;(-C$4+Presion_cilindro!$B$34),1-EXP(-Presion_cilindro!$B$16*((Presion_cilindro!N45-(-C$4+Presion_cilindro!$B$34))/Presion_cilindro!$B$35)^(Presion_cilindro!$B$17+1)),0)-IF(Presion_cilindro!N44&gt;(-C$4+Presion_cilindro!$B$34),1-EXP(-Presion_cilindro!$B$16*((Presion_cilindro!N44-(-C$4+Presion_cilindro!$B$34))/Presion_cilindro!$B$35)^(Presion_cilindro!$B$17+1)),0))/((Presion_cilindro!O44+Presion_cilindro!O45)/2)</f>
        <v>0.74020436153797375</v>
      </c>
      <c r="D53" s="27">
        <f>D52*(Presion_cilindro!O44/Presion_cilindro!O45)^Presion_cilindro!$B$9+10*(Presion_cilindro!$B$9-1)*Presion_cilindro!$B$33*(IF(Presion_cilindro!N45&gt;(-D$4+Presion_cilindro!$B$34),1-EXP(-Presion_cilindro!$B$16*((Presion_cilindro!N45-(-D$4+Presion_cilindro!$B$34))/Presion_cilindro!$B$35)^(Presion_cilindro!$B$17+1)),0)-IF(Presion_cilindro!N44&gt;(-D$4+Presion_cilindro!$B$34),1-EXP(-Presion_cilindro!$B$16*((Presion_cilindro!N44-(-D$4+Presion_cilindro!$B$34))/Presion_cilindro!$B$35)^(Presion_cilindro!$B$17+1)),0))/((Presion_cilindro!O44+Presion_cilindro!O45)/2)</f>
        <v>0.74020436153797375</v>
      </c>
      <c r="E53" s="27">
        <f>E52*(Presion_cilindro!O44/Presion_cilindro!O45)^Presion_cilindro!$B$9+10*(Presion_cilindro!$B$9-1)*Presion_cilindro!$B$33*(IF(Presion_cilindro!N45&gt;(-E$4+Presion_cilindro!$B$34),1-EXP(-Presion_cilindro!$B$16*((Presion_cilindro!N45-(-E$4+Presion_cilindro!$B$34))/Presion_cilindro!$B$35)^(Presion_cilindro!$B$17+1)),0)-IF(Presion_cilindro!N44&gt;(-E$4+Presion_cilindro!$B$34),1-EXP(-Presion_cilindro!$B$16*((Presion_cilindro!N44-(-E$4+Presion_cilindro!$B$34))/Presion_cilindro!$B$35)^(Presion_cilindro!$B$17+1)),0))/((Presion_cilindro!O44+Presion_cilindro!O45)/2)</f>
        <v>0.74020436153797375</v>
      </c>
      <c r="F53" s="27">
        <f>F52*(Presion_cilindro!O44/Presion_cilindro!O45)^Presion_cilindro!$B$9+10*(Presion_cilindro!$B$9-1)*Presion_cilindro!$B$33*(IF(Presion_cilindro!N45&gt;(-F$4+Presion_cilindro!$B$34),1-EXP(-Presion_cilindro!$B$16*((Presion_cilindro!N45-(-F$4+Presion_cilindro!$B$34))/Presion_cilindro!$B$35)^(Presion_cilindro!$B$17+1)),0)-IF(Presion_cilindro!N44&gt;(-F$4+Presion_cilindro!$B$34),1-EXP(-Presion_cilindro!$B$16*((Presion_cilindro!N44-(-F$4+Presion_cilindro!$B$34))/Presion_cilindro!$B$35)^(Presion_cilindro!$B$17+1)),0))/((Presion_cilindro!O44+Presion_cilindro!O45)/2)</f>
        <v>0.74020436153797375</v>
      </c>
      <c r="G53" s="27">
        <f>G52*(Presion_cilindro!O44/Presion_cilindro!O45)^Presion_cilindro!$B$9+10*(Presion_cilindro!$B$9-1)*Presion_cilindro!$B$33*(IF(Presion_cilindro!N45&gt;(-G$4+Presion_cilindro!$B$34),1-EXP(-Presion_cilindro!$B$16*((Presion_cilindro!N45-(-G$4+Presion_cilindro!$B$34))/Presion_cilindro!$B$35)^(Presion_cilindro!$B$17+1)),0)-IF(Presion_cilindro!N44&gt;(-G$4+Presion_cilindro!$B$34),1-EXP(-Presion_cilindro!$B$16*((Presion_cilindro!N44-(-G$4+Presion_cilindro!$B$34))/Presion_cilindro!$B$35)^(Presion_cilindro!$B$17+1)),0))/((Presion_cilindro!O44+Presion_cilindro!O45)/2)</f>
        <v>0.74020436153797375</v>
      </c>
      <c r="H53" s="27">
        <f>H52*(Presion_cilindro!O44/Presion_cilindro!O45)^Presion_cilindro!$B$9+10*(Presion_cilindro!$B$9-1)*Presion_cilindro!$B$33*(IF(Presion_cilindro!N45&gt;(-H$4+Presion_cilindro!$B$34),1-EXP(-Presion_cilindro!$B$16*((Presion_cilindro!N45-(-H$4+Presion_cilindro!$B$34))/Presion_cilindro!$B$35)^(Presion_cilindro!$B$17+1)),0)-IF(Presion_cilindro!N44&gt;(-H$4+Presion_cilindro!$B$34),1-EXP(-Presion_cilindro!$B$16*((Presion_cilindro!N44-(-H$4+Presion_cilindro!$B$34))/Presion_cilindro!$B$35)^(Presion_cilindro!$B$17+1)),0))/((Presion_cilindro!O44+Presion_cilindro!O45)/2)</f>
        <v>0.74020436153797375</v>
      </c>
      <c r="I53" s="27">
        <f>I52*(Presion_cilindro!O44/Presion_cilindro!O45)^Presion_cilindro!$B$9+10*(Presion_cilindro!$B$9-1)*Presion_cilindro!$B$33*(IF(Presion_cilindro!N45&gt;(-I$4+Presion_cilindro!$B$34),1-EXP(-Presion_cilindro!$B$16*((Presion_cilindro!N45-(-I$4+Presion_cilindro!$B$34))/Presion_cilindro!$B$35)^(Presion_cilindro!$B$17+1)),0)-IF(Presion_cilindro!N44&gt;(-I$4+Presion_cilindro!$B$34),1-EXP(-Presion_cilindro!$B$16*((Presion_cilindro!N44-(-I$4+Presion_cilindro!$B$34))/Presion_cilindro!$B$35)^(Presion_cilindro!$B$17+1)),0))/((Presion_cilindro!O44+Presion_cilindro!O45)/2)</f>
        <v>0.74020436153797375</v>
      </c>
      <c r="J53" s="27">
        <f>J52*(Presion_cilindro!O44/Presion_cilindro!O45)^Presion_cilindro!$B$9+10*(Presion_cilindro!$B$9-1)*Presion_cilindro!$B$33*(IF(Presion_cilindro!N45&gt;(-J$4+Presion_cilindro!$B$34),1-EXP(-Presion_cilindro!$B$16*((Presion_cilindro!N45-(-J$4+Presion_cilindro!$B$34))/Presion_cilindro!$B$35)^(Presion_cilindro!$B$17+1)),0)-IF(Presion_cilindro!N44&gt;(-J$4+Presion_cilindro!$B$34),1-EXP(-Presion_cilindro!$B$16*((Presion_cilindro!N44-(-J$4+Presion_cilindro!$B$34))/Presion_cilindro!$B$35)^(Presion_cilindro!$B$17+1)),0))/((Presion_cilindro!O44+Presion_cilindro!O45)/2)</f>
        <v>0.74020436153797375</v>
      </c>
      <c r="K53" s="27">
        <f>K52*(Presion_cilindro!O44/Presion_cilindro!O45)^Presion_cilindro!$B$9+10*(Presion_cilindro!$B$9-1)*Presion_cilindro!$B$33*(IF(Presion_cilindro!N45&gt;(-K$4+Presion_cilindro!$B$34),1-EXP(-Presion_cilindro!$B$16*((Presion_cilindro!N45-(-K$4+Presion_cilindro!$B$34))/Presion_cilindro!$B$35)^(Presion_cilindro!$B$17+1)),0)-IF(Presion_cilindro!N44&gt;(-K$4+Presion_cilindro!$B$34),1-EXP(-Presion_cilindro!$B$16*((Presion_cilindro!N44-(-K$4+Presion_cilindro!$B$34))/Presion_cilindro!$B$35)^(Presion_cilindro!$B$17+1)),0))/((Presion_cilindro!O44+Presion_cilindro!O45)/2)</f>
        <v>0.74020436153797375</v>
      </c>
      <c r="L53" s="27">
        <f>L52*(Presion_cilindro!O44/Presion_cilindro!O45)^Presion_cilindro!$B$9+10*(Presion_cilindro!$B$9-1)*Presion_cilindro!$B$33*(IF(Presion_cilindro!N45&gt;(-L$4+Presion_cilindro!$B$34),1-EXP(-Presion_cilindro!$B$16*((Presion_cilindro!N45-(-L$4+Presion_cilindro!$B$34))/Presion_cilindro!$B$35)^(Presion_cilindro!$B$17+1)),0)-IF(Presion_cilindro!N44&gt;(-L$4+Presion_cilindro!$B$34),1-EXP(-Presion_cilindro!$B$16*((Presion_cilindro!N44-(-L$4+Presion_cilindro!$B$34))/Presion_cilindro!$B$35)^(Presion_cilindro!$B$17+1)),0))/((Presion_cilindro!O44+Presion_cilindro!O45)/2)</f>
        <v>0.74020436153797375</v>
      </c>
      <c r="M53" s="27">
        <f>M52*(Presion_cilindro!O44/Presion_cilindro!O45)^Presion_cilindro!$B$9+10*(Presion_cilindro!$B$9-1)*Presion_cilindro!$B$33*(IF(Presion_cilindro!N45&gt;(-M$4+Presion_cilindro!$B$34),1-EXP(-Presion_cilindro!$B$16*((Presion_cilindro!N45-(-M$4+Presion_cilindro!$B$34))/Presion_cilindro!$B$35)^(Presion_cilindro!$B$17+1)),0)-IF(Presion_cilindro!N44&gt;(-M$4+Presion_cilindro!$B$34),1-EXP(-Presion_cilindro!$B$16*((Presion_cilindro!N44-(-M$4+Presion_cilindro!$B$34))/Presion_cilindro!$B$35)^(Presion_cilindro!$B$17+1)),0))/((Presion_cilindro!O44+Presion_cilindro!O45)/2)</f>
        <v>0.74020436153797375</v>
      </c>
      <c r="N53" s="27">
        <f>N52*(Presion_cilindro!O44/Presion_cilindro!O45)^Presion_cilindro!$B$9+10*(Presion_cilindro!$B$9-1)*Presion_cilindro!$B$33*(IF(Presion_cilindro!N45&gt;(-N$4+Presion_cilindro!$B$34),1-EXP(-Presion_cilindro!$B$16*((Presion_cilindro!N45-(-N$4+Presion_cilindro!$B$34))/Presion_cilindro!$B$35)^(Presion_cilindro!$B$17+1)),0)-IF(Presion_cilindro!N44&gt;(-N$4+Presion_cilindro!$B$34),1-EXP(-Presion_cilindro!$B$16*((Presion_cilindro!N44-(-N$4+Presion_cilindro!$B$34))/Presion_cilindro!$B$35)^(Presion_cilindro!$B$17+1)),0))/((Presion_cilindro!O44+Presion_cilindro!O45)/2)</f>
        <v>0.74020436153797375</v>
      </c>
    </row>
    <row r="54" spans="1:14" x14ac:dyDescent="0.25">
      <c r="A54" s="21">
        <f>Presion_cilindro!N46</f>
        <v>-159</v>
      </c>
      <c r="B54" s="27">
        <f>B53*(Presion_cilindro!O45/Presion_cilindro!O46)^Presion_cilindro!$B$9+10*(Presion_cilindro!$B$9-1)*Presion_cilindro!$B$33*(IF(Presion_cilindro!N46&gt;(-B$4+Presion_cilindro!$B$34),1-EXP(-Presion_cilindro!$B$16*((Presion_cilindro!N46-(-B$4+Presion_cilindro!$B$34))/Presion_cilindro!$B$35)^(Presion_cilindro!$B$17+1)),0)-IF(Presion_cilindro!N45&gt;(-B$4+Presion_cilindro!$B$34),1-EXP(-Presion_cilindro!$B$16*((Presion_cilindro!N45-(-B$4+Presion_cilindro!$B$34))/Presion_cilindro!$B$35)^(Presion_cilindro!$B$17+1)),0))/((Presion_cilindro!O45+Presion_cilindro!O46)/2)</f>
        <v>0.7412285136379837</v>
      </c>
      <c r="C54" s="27">
        <f>C53*(Presion_cilindro!O45/Presion_cilindro!O46)^Presion_cilindro!$B$9+10*(Presion_cilindro!$B$9-1)*Presion_cilindro!$B$33*(IF(Presion_cilindro!N46&gt;(-C$4+Presion_cilindro!$B$34),1-EXP(-Presion_cilindro!$B$16*((Presion_cilindro!N46-(-C$4+Presion_cilindro!$B$34))/Presion_cilindro!$B$35)^(Presion_cilindro!$B$17+1)),0)-IF(Presion_cilindro!N45&gt;(-C$4+Presion_cilindro!$B$34),1-EXP(-Presion_cilindro!$B$16*((Presion_cilindro!N45-(-C$4+Presion_cilindro!$B$34))/Presion_cilindro!$B$35)^(Presion_cilindro!$B$17+1)),0))/((Presion_cilindro!O45+Presion_cilindro!O46)/2)</f>
        <v>0.7412285136379837</v>
      </c>
      <c r="D54" s="27">
        <f>D53*(Presion_cilindro!O45/Presion_cilindro!O46)^Presion_cilindro!$B$9+10*(Presion_cilindro!$B$9-1)*Presion_cilindro!$B$33*(IF(Presion_cilindro!N46&gt;(-D$4+Presion_cilindro!$B$34),1-EXP(-Presion_cilindro!$B$16*((Presion_cilindro!N46-(-D$4+Presion_cilindro!$B$34))/Presion_cilindro!$B$35)^(Presion_cilindro!$B$17+1)),0)-IF(Presion_cilindro!N45&gt;(-D$4+Presion_cilindro!$B$34),1-EXP(-Presion_cilindro!$B$16*((Presion_cilindro!N45-(-D$4+Presion_cilindro!$B$34))/Presion_cilindro!$B$35)^(Presion_cilindro!$B$17+1)),0))/((Presion_cilindro!O45+Presion_cilindro!O46)/2)</f>
        <v>0.7412285136379837</v>
      </c>
      <c r="E54" s="27">
        <f>E53*(Presion_cilindro!O45/Presion_cilindro!O46)^Presion_cilindro!$B$9+10*(Presion_cilindro!$B$9-1)*Presion_cilindro!$B$33*(IF(Presion_cilindro!N46&gt;(-E$4+Presion_cilindro!$B$34),1-EXP(-Presion_cilindro!$B$16*((Presion_cilindro!N46-(-E$4+Presion_cilindro!$B$34))/Presion_cilindro!$B$35)^(Presion_cilindro!$B$17+1)),0)-IF(Presion_cilindro!N45&gt;(-E$4+Presion_cilindro!$B$34),1-EXP(-Presion_cilindro!$B$16*((Presion_cilindro!N45-(-E$4+Presion_cilindro!$B$34))/Presion_cilindro!$B$35)^(Presion_cilindro!$B$17+1)),0))/((Presion_cilindro!O45+Presion_cilindro!O46)/2)</f>
        <v>0.7412285136379837</v>
      </c>
      <c r="F54" s="27">
        <f>F53*(Presion_cilindro!O45/Presion_cilindro!O46)^Presion_cilindro!$B$9+10*(Presion_cilindro!$B$9-1)*Presion_cilindro!$B$33*(IF(Presion_cilindro!N46&gt;(-F$4+Presion_cilindro!$B$34),1-EXP(-Presion_cilindro!$B$16*((Presion_cilindro!N46-(-F$4+Presion_cilindro!$B$34))/Presion_cilindro!$B$35)^(Presion_cilindro!$B$17+1)),0)-IF(Presion_cilindro!N45&gt;(-F$4+Presion_cilindro!$B$34),1-EXP(-Presion_cilindro!$B$16*((Presion_cilindro!N45-(-F$4+Presion_cilindro!$B$34))/Presion_cilindro!$B$35)^(Presion_cilindro!$B$17+1)),0))/((Presion_cilindro!O45+Presion_cilindro!O46)/2)</f>
        <v>0.7412285136379837</v>
      </c>
      <c r="G54" s="27">
        <f>G53*(Presion_cilindro!O45/Presion_cilindro!O46)^Presion_cilindro!$B$9+10*(Presion_cilindro!$B$9-1)*Presion_cilindro!$B$33*(IF(Presion_cilindro!N46&gt;(-G$4+Presion_cilindro!$B$34),1-EXP(-Presion_cilindro!$B$16*((Presion_cilindro!N46-(-G$4+Presion_cilindro!$B$34))/Presion_cilindro!$B$35)^(Presion_cilindro!$B$17+1)),0)-IF(Presion_cilindro!N45&gt;(-G$4+Presion_cilindro!$B$34),1-EXP(-Presion_cilindro!$B$16*((Presion_cilindro!N45-(-G$4+Presion_cilindro!$B$34))/Presion_cilindro!$B$35)^(Presion_cilindro!$B$17+1)),0))/((Presion_cilindro!O45+Presion_cilindro!O46)/2)</f>
        <v>0.7412285136379837</v>
      </c>
      <c r="H54" s="27">
        <f>H53*(Presion_cilindro!O45/Presion_cilindro!O46)^Presion_cilindro!$B$9+10*(Presion_cilindro!$B$9-1)*Presion_cilindro!$B$33*(IF(Presion_cilindro!N46&gt;(-H$4+Presion_cilindro!$B$34),1-EXP(-Presion_cilindro!$B$16*((Presion_cilindro!N46-(-H$4+Presion_cilindro!$B$34))/Presion_cilindro!$B$35)^(Presion_cilindro!$B$17+1)),0)-IF(Presion_cilindro!N45&gt;(-H$4+Presion_cilindro!$B$34),1-EXP(-Presion_cilindro!$B$16*((Presion_cilindro!N45-(-H$4+Presion_cilindro!$B$34))/Presion_cilindro!$B$35)^(Presion_cilindro!$B$17+1)),0))/((Presion_cilindro!O45+Presion_cilindro!O46)/2)</f>
        <v>0.7412285136379837</v>
      </c>
      <c r="I54" s="27">
        <f>I53*(Presion_cilindro!O45/Presion_cilindro!O46)^Presion_cilindro!$B$9+10*(Presion_cilindro!$B$9-1)*Presion_cilindro!$B$33*(IF(Presion_cilindro!N46&gt;(-I$4+Presion_cilindro!$B$34),1-EXP(-Presion_cilindro!$B$16*((Presion_cilindro!N46-(-I$4+Presion_cilindro!$B$34))/Presion_cilindro!$B$35)^(Presion_cilindro!$B$17+1)),0)-IF(Presion_cilindro!N45&gt;(-I$4+Presion_cilindro!$B$34),1-EXP(-Presion_cilindro!$B$16*((Presion_cilindro!N45-(-I$4+Presion_cilindro!$B$34))/Presion_cilindro!$B$35)^(Presion_cilindro!$B$17+1)),0))/((Presion_cilindro!O45+Presion_cilindro!O46)/2)</f>
        <v>0.7412285136379837</v>
      </c>
      <c r="J54" s="27">
        <f>J53*(Presion_cilindro!O45/Presion_cilindro!O46)^Presion_cilindro!$B$9+10*(Presion_cilindro!$B$9-1)*Presion_cilindro!$B$33*(IF(Presion_cilindro!N46&gt;(-J$4+Presion_cilindro!$B$34),1-EXP(-Presion_cilindro!$B$16*((Presion_cilindro!N46-(-J$4+Presion_cilindro!$B$34))/Presion_cilindro!$B$35)^(Presion_cilindro!$B$17+1)),0)-IF(Presion_cilindro!N45&gt;(-J$4+Presion_cilindro!$B$34),1-EXP(-Presion_cilindro!$B$16*((Presion_cilindro!N45-(-J$4+Presion_cilindro!$B$34))/Presion_cilindro!$B$35)^(Presion_cilindro!$B$17+1)),0))/((Presion_cilindro!O45+Presion_cilindro!O46)/2)</f>
        <v>0.7412285136379837</v>
      </c>
      <c r="K54" s="27">
        <f>K53*(Presion_cilindro!O45/Presion_cilindro!O46)^Presion_cilindro!$B$9+10*(Presion_cilindro!$B$9-1)*Presion_cilindro!$B$33*(IF(Presion_cilindro!N46&gt;(-K$4+Presion_cilindro!$B$34),1-EXP(-Presion_cilindro!$B$16*((Presion_cilindro!N46-(-K$4+Presion_cilindro!$B$34))/Presion_cilindro!$B$35)^(Presion_cilindro!$B$17+1)),0)-IF(Presion_cilindro!N45&gt;(-K$4+Presion_cilindro!$B$34),1-EXP(-Presion_cilindro!$B$16*((Presion_cilindro!N45-(-K$4+Presion_cilindro!$B$34))/Presion_cilindro!$B$35)^(Presion_cilindro!$B$17+1)),0))/((Presion_cilindro!O45+Presion_cilindro!O46)/2)</f>
        <v>0.7412285136379837</v>
      </c>
      <c r="L54" s="27">
        <f>L53*(Presion_cilindro!O45/Presion_cilindro!O46)^Presion_cilindro!$B$9+10*(Presion_cilindro!$B$9-1)*Presion_cilindro!$B$33*(IF(Presion_cilindro!N46&gt;(-L$4+Presion_cilindro!$B$34),1-EXP(-Presion_cilindro!$B$16*((Presion_cilindro!N46-(-L$4+Presion_cilindro!$B$34))/Presion_cilindro!$B$35)^(Presion_cilindro!$B$17+1)),0)-IF(Presion_cilindro!N45&gt;(-L$4+Presion_cilindro!$B$34),1-EXP(-Presion_cilindro!$B$16*((Presion_cilindro!N45-(-L$4+Presion_cilindro!$B$34))/Presion_cilindro!$B$35)^(Presion_cilindro!$B$17+1)),0))/((Presion_cilindro!O45+Presion_cilindro!O46)/2)</f>
        <v>0.7412285136379837</v>
      </c>
      <c r="M54" s="27">
        <f>M53*(Presion_cilindro!O45/Presion_cilindro!O46)^Presion_cilindro!$B$9+10*(Presion_cilindro!$B$9-1)*Presion_cilindro!$B$33*(IF(Presion_cilindro!N46&gt;(-M$4+Presion_cilindro!$B$34),1-EXP(-Presion_cilindro!$B$16*((Presion_cilindro!N46-(-M$4+Presion_cilindro!$B$34))/Presion_cilindro!$B$35)^(Presion_cilindro!$B$17+1)),0)-IF(Presion_cilindro!N45&gt;(-M$4+Presion_cilindro!$B$34),1-EXP(-Presion_cilindro!$B$16*((Presion_cilindro!N45-(-M$4+Presion_cilindro!$B$34))/Presion_cilindro!$B$35)^(Presion_cilindro!$B$17+1)),0))/((Presion_cilindro!O45+Presion_cilindro!O46)/2)</f>
        <v>0.7412285136379837</v>
      </c>
      <c r="N54" s="27">
        <f>N53*(Presion_cilindro!O45/Presion_cilindro!O46)^Presion_cilindro!$B$9+10*(Presion_cilindro!$B$9-1)*Presion_cilindro!$B$33*(IF(Presion_cilindro!N46&gt;(-N$4+Presion_cilindro!$B$34),1-EXP(-Presion_cilindro!$B$16*((Presion_cilindro!N46-(-N$4+Presion_cilindro!$B$34))/Presion_cilindro!$B$35)^(Presion_cilindro!$B$17+1)),0)-IF(Presion_cilindro!N45&gt;(-N$4+Presion_cilindro!$B$34),1-EXP(-Presion_cilindro!$B$16*((Presion_cilindro!N45-(-N$4+Presion_cilindro!$B$34))/Presion_cilindro!$B$35)^(Presion_cilindro!$B$17+1)),0))/((Presion_cilindro!O45+Presion_cilindro!O46)/2)</f>
        <v>0.7412285136379837</v>
      </c>
    </row>
    <row r="55" spans="1:14" x14ac:dyDescent="0.25">
      <c r="A55" s="21">
        <f>Presion_cilindro!N47</f>
        <v>-158.5</v>
      </c>
      <c r="B55" s="27">
        <f>B54*(Presion_cilindro!O46/Presion_cilindro!O47)^Presion_cilindro!$B$9+10*(Presion_cilindro!$B$9-1)*Presion_cilindro!$B$33*(IF(Presion_cilindro!N47&gt;(-B$4+Presion_cilindro!$B$34),1-EXP(-Presion_cilindro!$B$16*((Presion_cilindro!N47-(-B$4+Presion_cilindro!$B$34))/Presion_cilindro!$B$35)^(Presion_cilindro!$B$17+1)),0)-IF(Presion_cilindro!N46&gt;(-B$4+Presion_cilindro!$B$34),1-EXP(-Presion_cilindro!$B$16*((Presion_cilindro!N46-(-B$4+Presion_cilindro!$B$34))/Presion_cilindro!$B$35)^(Presion_cilindro!$B$17+1)),0))/((Presion_cilindro!O46+Presion_cilindro!O47)/2)</f>
        <v>0.74227998635568693</v>
      </c>
      <c r="C55" s="27">
        <f>C54*(Presion_cilindro!O46/Presion_cilindro!O47)^Presion_cilindro!$B$9+10*(Presion_cilindro!$B$9-1)*Presion_cilindro!$B$33*(IF(Presion_cilindro!N47&gt;(-C$4+Presion_cilindro!$B$34),1-EXP(-Presion_cilindro!$B$16*((Presion_cilindro!N47-(-C$4+Presion_cilindro!$B$34))/Presion_cilindro!$B$35)^(Presion_cilindro!$B$17+1)),0)-IF(Presion_cilindro!N46&gt;(-C$4+Presion_cilindro!$B$34),1-EXP(-Presion_cilindro!$B$16*((Presion_cilindro!N46-(-C$4+Presion_cilindro!$B$34))/Presion_cilindro!$B$35)^(Presion_cilindro!$B$17+1)),0))/((Presion_cilindro!O46+Presion_cilindro!O47)/2)</f>
        <v>0.74227998635568693</v>
      </c>
      <c r="D55" s="27">
        <f>D54*(Presion_cilindro!O46/Presion_cilindro!O47)^Presion_cilindro!$B$9+10*(Presion_cilindro!$B$9-1)*Presion_cilindro!$B$33*(IF(Presion_cilindro!N47&gt;(-D$4+Presion_cilindro!$B$34),1-EXP(-Presion_cilindro!$B$16*((Presion_cilindro!N47-(-D$4+Presion_cilindro!$B$34))/Presion_cilindro!$B$35)^(Presion_cilindro!$B$17+1)),0)-IF(Presion_cilindro!N46&gt;(-D$4+Presion_cilindro!$B$34),1-EXP(-Presion_cilindro!$B$16*((Presion_cilindro!N46-(-D$4+Presion_cilindro!$B$34))/Presion_cilindro!$B$35)^(Presion_cilindro!$B$17+1)),0))/((Presion_cilindro!O46+Presion_cilindro!O47)/2)</f>
        <v>0.74227998635568693</v>
      </c>
      <c r="E55" s="27">
        <f>E54*(Presion_cilindro!O46/Presion_cilindro!O47)^Presion_cilindro!$B$9+10*(Presion_cilindro!$B$9-1)*Presion_cilindro!$B$33*(IF(Presion_cilindro!N47&gt;(-E$4+Presion_cilindro!$B$34),1-EXP(-Presion_cilindro!$B$16*((Presion_cilindro!N47-(-E$4+Presion_cilindro!$B$34))/Presion_cilindro!$B$35)^(Presion_cilindro!$B$17+1)),0)-IF(Presion_cilindro!N46&gt;(-E$4+Presion_cilindro!$B$34),1-EXP(-Presion_cilindro!$B$16*((Presion_cilindro!N46-(-E$4+Presion_cilindro!$B$34))/Presion_cilindro!$B$35)^(Presion_cilindro!$B$17+1)),0))/((Presion_cilindro!O46+Presion_cilindro!O47)/2)</f>
        <v>0.74227998635568693</v>
      </c>
      <c r="F55" s="27">
        <f>F54*(Presion_cilindro!O46/Presion_cilindro!O47)^Presion_cilindro!$B$9+10*(Presion_cilindro!$B$9-1)*Presion_cilindro!$B$33*(IF(Presion_cilindro!N47&gt;(-F$4+Presion_cilindro!$B$34),1-EXP(-Presion_cilindro!$B$16*((Presion_cilindro!N47-(-F$4+Presion_cilindro!$B$34))/Presion_cilindro!$B$35)^(Presion_cilindro!$B$17+1)),0)-IF(Presion_cilindro!N46&gt;(-F$4+Presion_cilindro!$B$34),1-EXP(-Presion_cilindro!$B$16*((Presion_cilindro!N46-(-F$4+Presion_cilindro!$B$34))/Presion_cilindro!$B$35)^(Presion_cilindro!$B$17+1)),0))/((Presion_cilindro!O46+Presion_cilindro!O47)/2)</f>
        <v>0.74227998635568693</v>
      </c>
      <c r="G55" s="27">
        <f>G54*(Presion_cilindro!O46/Presion_cilindro!O47)^Presion_cilindro!$B$9+10*(Presion_cilindro!$B$9-1)*Presion_cilindro!$B$33*(IF(Presion_cilindro!N47&gt;(-G$4+Presion_cilindro!$B$34),1-EXP(-Presion_cilindro!$B$16*((Presion_cilindro!N47-(-G$4+Presion_cilindro!$B$34))/Presion_cilindro!$B$35)^(Presion_cilindro!$B$17+1)),0)-IF(Presion_cilindro!N46&gt;(-G$4+Presion_cilindro!$B$34),1-EXP(-Presion_cilindro!$B$16*((Presion_cilindro!N46-(-G$4+Presion_cilindro!$B$34))/Presion_cilindro!$B$35)^(Presion_cilindro!$B$17+1)),0))/((Presion_cilindro!O46+Presion_cilindro!O47)/2)</f>
        <v>0.74227998635568693</v>
      </c>
      <c r="H55" s="27">
        <f>H54*(Presion_cilindro!O46/Presion_cilindro!O47)^Presion_cilindro!$B$9+10*(Presion_cilindro!$B$9-1)*Presion_cilindro!$B$33*(IF(Presion_cilindro!N47&gt;(-H$4+Presion_cilindro!$B$34),1-EXP(-Presion_cilindro!$B$16*((Presion_cilindro!N47-(-H$4+Presion_cilindro!$B$34))/Presion_cilindro!$B$35)^(Presion_cilindro!$B$17+1)),0)-IF(Presion_cilindro!N46&gt;(-H$4+Presion_cilindro!$B$34),1-EXP(-Presion_cilindro!$B$16*((Presion_cilindro!N46-(-H$4+Presion_cilindro!$B$34))/Presion_cilindro!$B$35)^(Presion_cilindro!$B$17+1)),0))/((Presion_cilindro!O46+Presion_cilindro!O47)/2)</f>
        <v>0.74227998635568693</v>
      </c>
      <c r="I55" s="27">
        <f>I54*(Presion_cilindro!O46/Presion_cilindro!O47)^Presion_cilindro!$B$9+10*(Presion_cilindro!$B$9-1)*Presion_cilindro!$B$33*(IF(Presion_cilindro!N47&gt;(-I$4+Presion_cilindro!$B$34),1-EXP(-Presion_cilindro!$B$16*((Presion_cilindro!N47-(-I$4+Presion_cilindro!$B$34))/Presion_cilindro!$B$35)^(Presion_cilindro!$B$17+1)),0)-IF(Presion_cilindro!N46&gt;(-I$4+Presion_cilindro!$B$34),1-EXP(-Presion_cilindro!$B$16*((Presion_cilindro!N46-(-I$4+Presion_cilindro!$B$34))/Presion_cilindro!$B$35)^(Presion_cilindro!$B$17+1)),0))/((Presion_cilindro!O46+Presion_cilindro!O47)/2)</f>
        <v>0.74227998635568693</v>
      </c>
      <c r="J55" s="27">
        <f>J54*(Presion_cilindro!O46/Presion_cilindro!O47)^Presion_cilindro!$B$9+10*(Presion_cilindro!$B$9-1)*Presion_cilindro!$B$33*(IF(Presion_cilindro!N47&gt;(-J$4+Presion_cilindro!$B$34),1-EXP(-Presion_cilindro!$B$16*((Presion_cilindro!N47-(-J$4+Presion_cilindro!$B$34))/Presion_cilindro!$B$35)^(Presion_cilindro!$B$17+1)),0)-IF(Presion_cilindro!N46&gt;(-J$4+Presion_cilindro!$B$34),1-EXP(-Presion_cilindro!$B$16*((Presion_cilindro!N46-(-J$4+Presion_cilindro!$B$34))/Presion_cilindro!$B$35)^(Presion_cilindro!$B$17+1)),0))/((Presion_cilindro!O46+Presion_cilindro!O47)/2)</f>
        <v>0.74227998635568693</v>
      </c>
      <c r="K55" s="27">
        <f>K54*(Presion_cilindro!O46/Presion_cilindro!O47)^Presion_cilindro!$B$9+10*(Presion_cilindro!$B$9-1)*Presion_cilindro!$B$33*(IF(Presion_cilindro!N47&gt;(-K$4+Presion_cilindro!$B$34),1-EXP(-Presion_cilindro!$B$16*((Presion_cilindro!N47-(-K$4+Presion_cilindro!$B$34))/Presion_cilindro!$B$35)^(Presion_cilindro!$B$17+1)),0)-IF(Presion_cilindro!N46&gt;(-K$4+Presion_cilindro!$B$34),1-EXP(-Presion_cilindro!$B$16*((Presion_cilindro!N46-(-K$4+Presion_cilindro!$B$34))/Presion_cilindro!$B$35)^(Presion_cilindro!$B$17+1)),0))/((Presion_cilindro!O46+Presion_cilindro!O47)/2)</f>
        <v>0.74227998635568693</v>
      </c>
      <c r="L55" s="27">
        <f>L54*(Presion_cilindro!O46/Presion_cilindro!O47)^Presion_cilindro!$B$9+10*(Presion_cilindro!$B$9-1)*Presion_cilindro!$B$33*(IF(Presion_cilindro!N47&gt;(-L$4+Presion_cilindro!$B$34),1-EXP(-Presion_cilindro!$B$16*((Presion_cilindro!N47-(-L$4+Presion_cilindro!$B$34))/Presion_cilindro!$B$35)^(Presion_cilindro!$B$17+1)),0)-IF(Presion_cilindro!N46&gt;(-L$4+Presion_cilindro!$B$34),1-EXP(-Presion_cilindro!$B$16*((Presion_cilindro!N46-(-L$4+Presion_cilindro!$B$34))/Presion_cilindro!$B$35)^(Presion_cilindro!$B$17+1)),0))/((Presion_cilindro!O46+Presion_cilindro!O47)/2)</f>
        <v>0.74227998635568693</v>
      </c>
      <c r="M55" s="27">
        <f>M54*(Presion_cilindro!O46/Presion_cilindro!O47)^Presion_cilindro!$B$9+10*(Presion_cilindro!$B$9-1)*Presion_cilindro!$B$33*(IF(Presion_cilindro!N47&gt;(-M$4+Presion_cilindro!$B$34),1-EXP(-Presion_cilindro!$B$16*((Presion_cilindro!N47-(-M$4+Presion_cilindro!$B$34))/Presion_cilindro!$B$35)^(Presion_cilindro!$B$17+1)),0)-IF(Presion_cilindro!N46&gt;(-M$4+Presion_cilindro!$B$34),1-EXP(-Presion_cilindro!$B$16*((Presion_cilindro!N46-(-M$4+Presion_cilindro!$B$34))/Presion_cilindro!$B$35)^(Presion_cilindro!$B$17+1)),0))/((Presion_cilindro!O46+Presion_cilindro!O47)/2)</f>
        <v>0.74227998635568693</v>
      </c>
      <c r="N55" s="27">
        <f>N54*(Presion_cilindro!O46/Presion_cilindro!O47)^Presion_cilindro!$B$9+10*(Presion_cilindro!$B$9-1)*Presion_cilindro!$B$33*(IF(Presion_cilindro!N47&gt;(-N$4+Presion_cilindro!$B$34),1-EXP(-Presion_cilindro!$B$16*((Presion_cilindro!N47-(-N$4+Presion_cilindro!$B$34))/Presion_cilindro!$B$35)^(Presion_cilindro!$B$17+1)),0)-IF(Presion_cilindro!N46&gt;(-N$4+Presion_cilindro!$B$34),1-EXP(-Presion_cilindro!$B$16*((Presion_cilindro!N46-(-N$4+Presion_cilindro!$B$34))/Presion_cilindro!$B$35)^(Presion_cilindro!$B$17+1)),0))/((Presion_cilindro!O46+Presion_cilindro!O47)/2)</f>
        <v>0.74227998635568693</v>
      </c>
    </row>
    <row r="56" spans="1:14" x14ac:dyDescent="0.25">
      <c r="A56" s="21">
        <f>Presion_cilindro!N48</f>
        <v>-158</v>
      </c>
      <c r="B56" s="27">
        <f>B55*(Presion_cilindro!O47/Presion_cilindro!O48)^Presion_cilindro!$B$9+10*(Presion_cilindro!$B$9-1)*Presion_cilindro!$B$33*(IF(Presion_cilindro!N48&gt;(-B$4+Presion_cilindro!$B$34),1-EXP(-Presion_cilindro!$B$16*((Presion_cilindro!N48-(-B$4+Presion_cilindro!$B$34))/Presion_cilindro!$B$35)^(Presion_cilindro!$B$17+1)),0)-IF(Presion_cilindro!N47&gt;(-B$4+Presion_cilindro!$B$34),1-EXP(-Presion_cilindro!$B$16*((Presion_cilindro!N47-(-B$4+Presion_cilindro!$B$34))/Presion_cilindro!$B$35)^(Presion_cilindro!$B$17+1)),0))/((Presion_cilindro!O47+Presion_cilindro!O48)/2)</f>
        <v>0.74335897612038671</v>
      </c>
      <c r="C56" s="27">
        <f>C55*(Presion_cilindro!O47/Presion_cilindro!O48)^Presion_cilindro!$B$9+10*(Presion_cilindro!$B$9-1)*Presion_cilindro!$B$33*(IF(Presion_cilindro!N48&gt;(-C$4+Presion_cilindro!$B$34),1-EXP(-Presion_cilindro!$B$16*((Presion_cilindro!N48-(-C$4+Presion_cilindro!$B$34))/Presion_cilindro!$B$35)^(Presion_cilindro!$B$17+1)),0)-IF(Presion_cilindro!N47&gt;(-C$4+Presion_cilindro!$B$34),1-EXP(-Presion_cilindro!$B$16*((Presion_cilindro!N47-(-C$4+Presion_cilindro!$B$34))/Presion_cilindro!$B$35)^(Presion_cilindro!$B$17+1)),0))/((Presion_cilindro!O47+Presion_cilindro!O48)/2)</f>
        <v>0.74335897612038671</v>
      </c>
      <c r="D56" s="27">
        <f>D55*(Presion_cilindro!O47/Presion_cilindro!O48)^Presion_cilindro!$B$9+10*(Presion_cilindro!$B$9-1)*Presion_cilindro!$B$33*(IF(Presion_cilindro!N48&gt;(-D$4+Presion_cilindro!$B$34),1-EXP(-Presion_cilindro!$B$16*((Presion_cilindro!N48-(-D$4+Presion_cilindro!$B$34))/Presion_cilindro!$B$35)^(Presion_cilindro!$B$17+1)),0)-IF(Presion_cilindro!N47&gt;(-D$4+Presion_cilindro!$B$34),1-EXP(-Presion_cilindro!$B$16*((Presion_cilindro!N47-(-D$4+Presion_cilindro!$B$34))/Presion_cilindro!$B$35)^(Presion_cilindro!$B$17+1)),0))/((Presion_cilindro!O47+Presion_cilindro!O48)/2)</f>
        <v>0.74335897612038671</v>
      </c>
      <c r="E56" s="27">
        <f>E55*(Presion_cilindro!O47/Presion_cilindro!O48)^Presion_cilindro!$B$9+10*(Presion_cilindro!$B$9-1)*Presion_cilindro!$B$33*(IF(Presion_cilindro!N48&gt;(-E$4+Presion_cilindro!$B$34),1-EXP(-Presion_cilindro!$B$16*((Presion_cilindro!N48-(-E$4+Presion_cilindro!$B$34))/Presion_cilindro!$B$35)^(Presion_cilindro!$B$17+1)),0)-IF(Presion_cilindro!N47&gt;(-E$4+Presion_cilindro!$B$34),1-EXP(-Presion_cilindro!$B$16*((Presion_cilindro!N47-(-E$4+Presion_cilindro!$B$34))/Presion_cilindro!$B$35)^(Presion_cilindro!$B$17+1)),0))/((Presion_cilindro!O47+Presion_cilindro!O48)/2)</f>
        <v>0.74335897612038671</v>
      </c>
      <c r="F56" s="27">
        <f>F55*(Presion_cilindro!O47/Presion_cilindro!O48)^Presion_cilindro!$B$9+10*(Presion_cilindro!$B$9-1)*Presion_cilindro!$B$33*(IF(Presion_cilindro!N48&gt;(-F$4+Presion_cilindro!$B$34),1-EXP(-Presion_cilindro!$B$16*((Presion_cilindro!N48-(-F$4+Presion_cilindro!$B$34))/Presion_cilindro!$B$35)^(Presion_cilindro!$B$17+1)),0)-IF(Presion_cilindro!N47&gt;(-F$4+Presion_cilindro!$B$34),1-EXP(-Presion_cilindro!$B$16*((Presion_cilindro!N47-(-F$4+Presion_cilindro!$B$34))/Presion_cilindro!$B$35)^(Presion_cilindro!$B$17+1)),0))/((Presion_cilindro!O47+Presion_cilindro!O48)/2)</f>
        <v>0.74335897612038671</v>
      </c>
      <c r="G56" s="27">
        <f>G55*(Presion_cilindro!O47/Presion_cilindro!O48)^Presion_cilindro!$B$9+10*(Presion_cilindro!$B$9-1)*Presion_cilindro!$B$33*(IF(Presion_cilindro!N48&gt;(-G$4+Presion_cilindro!$B$34),1-EXP(-Presion_cilindro!$B$16*((Presion_cilindro!N48-(-G$4+Presion_cilindro!$B$34))/Presion_cilindro!$B$35)^(Presion_cilindro!$B$17+1)),0)-IF(Presion_cilindro!N47&gt;(-G$4+Presion_cilindro!$B$34),1-EXP(-Presion_cilindro!$B$16*((Presion_cilindro!N47-(-G$4+Presion_cilindro!$B$34))/Presion_cilindro!$B$35)^(Presion_cilindro!$B$17+1)),0))/((Presion_cilindro!O47+Presion_cilindro!O48)/2)</f>
        <v>0.74335897612038671</v>
      </c>
      <c r="H56" s="27">
        <f>H55*(Presion_cilindro!O47/Presion_cilindro!O48)^Presion_cilindro!$B$9+10*(Presion_cilindro!$B$9-1)*Presion_cilindro!$B$33*(IF(Presion_cilindro!N48&gt;(-H$4+Presion_cilindro!$B$34),1-EXP(-Presion_cilindro!$B$16*((Presion_cilindro!N48-(-H$4+Presion_cilindro!$B$34))/Presion_cilindro!$B$35)^(Presion_cilindro!$B$17+1)),0)-IF(Presion_cilindro!N47&gt;(-H$4+Presion_cilindro!$B$34),1-EXP(-Presion_cilindro!$B$16*((Presion_cilindro!N47-(-H$4+Presion_cilindro!$B$34))/Presion_cilindro!$B$35)^(Presion_cilindro!$B$17+1)),0))/((Presion_cilindro!O47+Presion_cilindro!O48)/2)</f>
        <v>0.74335897612038671</v>
      </c>
      <c r="I56" s="27">
        <f>I55*(Presion_cilindro!O47/Presion_cilindro!O48)^Presion_cilindro!$B$9+10*(Presion_cilindro!$B$9-1)*Presion_cilindro!$B$33*(IF(Presion_cilindro!N48&gt;(-I$4+Presion_cilindro!$B$34),1-EXP(-Presion_cilindro!$B$16*((Presion_cilindro!N48-(-I$4+Presion_cilindro!$B$34))/Presion_cilindro!$B$35)^(Presion_cilindro!$B$17+1)),0)-IF(Presion_cilindro!N47&gt;(-I$4+Presion_cilindro!$B$34),1-EXP(-Presion_cilindro!$B$16*((Presion_cilindro!N47-(-I$4+Presion_cilindro!$B$34))/Presion_cilindro!$B$35)^(Presion_cilindro!$B$17+1)),0))/((Presion_cilindro!O47+Presion_cilindro!O48)/2)</f>
        <v>0.74335897612038671</v>
      </c>
      <c r="J56" s="27">
        <f>J55*(Presion_cilindro!O47/Presion_cilindro!O48)^Presion_cilindro!$B$9+10*(Presion_cilindro!$B$9-1)*Presion_cilindro!$B$33*(IF(Presion_cilindro!N48&gt;(-J$4+Presion_cilindro!$B$34),1-EXP(-Presion_cilindro!$B$16*((Presion_cilindro!N48-(-J$4+Presion_cilindro!$B$34))/Presion_cilindro!$B$35)^(Presion_cilindro!$B$17+1)),0)-IF(Presion_cilindro!N47&gt;(-J$4+Presion_cilindro!$B$34),1-EXP(-Presion_cilindro!$B$16*((Presion_cilindro!N47-(-J$4+Presion_cilindro!$B$34))/Presion_cilindro!$B$35)^(Presion_cilindro!$B$17+1)),0))/((Presion_cilindro!O47+Presion_cilindro!O48)/2)</f>
        <v>0.74335897612038671</v>
      </c>
      <c r="K56" s="27">
        <f>K55*(Presion_cilindro!O47/Presion_cilindro!O48)^Presion_cilindro!$B$9+10*(Presion_cilindro!$B$9-1)*Presion_cilindro!$B$33*(IF(Presion_cilindro!N48&gt;(-K$4+Presion_cilindro!$B$34),1-EXP(-Presion_cilindro!$B$16*((Presion_cilindro!N48-(-K$4+Presion_cilindro!$B$34))/Presion_cilindro!$B$35)^(Presion_cilindro!$B$17+1)),0)-IF(Presion_cilindro!N47&gt;(-K$4+Presion_cilindro!$B$34),1-EXP(-Presion_cilindro!$B$16*((Presion_cilindro!N47-(-K$4+Presion_cilindro!$B$34))/Presion_cilindro!$B$35)^(Presion_cilindro!$B$17+1)),0))/((Presion_cilindro!O47+Presion_cilindro!O48)/2)</f>
        <v>0.74335897612038671</v>
      </c>
      <c r="L56" s="27">
        <f>L55*(Presion_cilindro!O47/Presion_cilindro!O48)^Presion_cilindro!$B$9+10*(Presion_cilindro!$B$9-1)*Presion_cilindro!$B$33*(IF(Presion_cilindro!N48&gt;(-L$4+Presion_cilindro!$B$34),1-EXP(-Presion_cilindro!$B$16*((Presion_cilindro!N48-(-L$4+Presion_cilindro!$B$34))/Presion_cilindro!$B$35)^(Presion_cilindro!$B$17+1)),0)-IF(Presion_cilindro!N47&gt;(-L$4+Presion_cilindro!$B$34),1-EXP(-Presion_cilindro!$B$16*((Presion_cilindro!N47-(-L$4+Presion_cilindro!$B$34))/Presion_cilindro!$B$35)^(Presion_cilindro!$B$17+1)),0))/((Presion_cilindro!O47+Presion_cilindro!O48)/2)</f>
        <v>0.74335897612038671</v>
      </c>
      <c r="M56" s="27">
        <f>M55*(Presion_cilindro!O47/Presion_cilindro!O48)^Presion_cilindro!$B$9+10*(Presion_cilindro!$B$9-1)*Presion_cilindro!$B$33*(IF(Presion_cilindro!N48&gt;(-M$4+Presion_cilindro!$B$34),1-EXP(-Presion_cilindro!$B$16*((Presion_cilindro!N48-(-M$4+Presion_cilindro!$B$34))/Presion_cilindro!$B$35)^(Presion_cilindro!$B$17+1)),0)-IF(Presion_cilindro!N47&gt;(-M$4+Presion_cilindro!$B$34),1-EXP(-Presion_cilindro!$B$16*((Presion_cilindro!N47-(-M$4+Presion_cilindro!$B$34))/Presion_cilindro!$B$35)^(Presion_cilindro!$B$17+1)),0))/((Presion_cilindro!O47+Presion_cilindro!O48)/2)</f>
        <v>0.74335897612038671</v>
      </c>
      <c r="N56" s="27">
        <f>N55*(Presion_cilindro!O47/Presion_cilindro!O48)^Presion_cilindro!$B$9+10*(Presion_cilindro!$B$9-1)*Presion_cilindro!$B$33*(IF(Presion_cilindro!N48&gt;(-N$4+Presion_cilindro!$B$34),1-EXP(-Presion_cilindro!$B$16*((Presion_cilindro!N48-(-N$4+Presion_cilindro!$B$34))/Presion_cilindro!$B$35)^(Presion_cilindro!$B$17+1)),0)-IF(Presion_cilindro!N47&gt;(-N$4+Presion_cilindro!$B$34),1-EXP(-Presion_cilindro!$B$16*((Presion_cilindro!N47-(-N$4+Presion_cilindro!$B$34))/Presion_cilindro!$B$35)^(Presion_cilindro!$B$17+1)),0))/((Presion_cilindro!O47+Presion_cilindro!O48)/2)</f>
        <v>0.74335897612038671</v>
      </c>
    </row>
    <row r="57" spans="1:14" x14ac:dyDescent="0.25">
      <c r="A57" s="21">
        <f>Presion_cilindro!N49</f>
        <v>-157.5</v>
      </c>
      <c r="B57" s="27">
        <f>B56*(Presion_cilindro!O48/Presion_cilindro!O49)^Presion_cilindro!$B$9+10*(Presion_cilindro!$B$9-1)*Presion_cilindro!$B$33*(IF(Presion_cilindro!N49&gt;(-B$4+Presion_cilindro!$B$34),1-EXP(-Presion_cilindro!$B$16*((Presion_cilindro!N49-(-B$4+Presion_cilindro!$B$34))/Presion_cilindro!$B$35)^(Presion_cilindro!$B$17+1)),0)-IF(Presion_cilindro!N48&gt;(-B$4+Presion_cilindro!$B$34),1-EXP(-Presion_cilindro!$B$16*((Presion_cilindro!N48-(-B$4+Presion_cilindro!$B$34))/Presion_cilindro!$B$35)^(Presion_cilindro!$B$17+1)),0))/((Presion_cilindro!O48+Presion_cilindro!O49)/2)</f>
        <v>0.74446568491448406</v>
      </c>
      <c r="C57" s="27">
        <f>C56*(Presion_cilindro!O48/Presion_cilindro!O49)^Presion_cilindro!$B$9+10*(Presion_cilindro!$B$9-1)*Presion_cilindro!$B$33*(IF(Presion_cilindro!N49&gt;(-C$4+Presion_cilindro!$B$34),1-EXP(-Presion_cilindro!$B$16*((Presion_cilindro!N49-(-C$4+Presion_cilindro!$B$34))/Presion_cilindro!$B$35)^(Presion_cilindro!$B$17+1)),0)-IF(Presion_cilindro!N48&gt;(-C$4+Presion_cilindro!$B$34),1-EXP(-Presion_cilindro!$B$16*((Presion_cilindro!N48-(-C$4+Presion_cilindro!$B$34))/Presion_cilindro!$B$35)^(Presion_cilindro!$B$17+1)),0))/((Presion_cilindro!O48+Presion_cilindro!O49)/2)</f>
        <v>0.74446568491448406</v>
      </c>
      <c r="D57" s="27">
        <f>D56*(Presion_cilindro!O48/Presion_cilindro!O49)^Presion_cilindro!$B$9+10*(Presion_cilindro!$B$9-1)*Presion_cilindro!$B$33*(IF(Presion_cilindro!N49&gt;(-D$4+Presion_cilindro!$B$34),1-EXP(-Presion_cilindro!$B$16*((Presion_cilindro!N49-(-D$4+Presion_cilindro!$B$34))/Presion_cilindro!$B$35)^(Presion_cilindro!$B$17+1)),0)-IF(Presion_cilindro!N48&gt;(-D$4+Presion_cilindro!$B$34),1-EXP(-Presion_cilindro!$B$16*((Presion_cilindro!N48-(-D$4+Presion_cilindro!$B$34))/Presion_cilindro!$B$35)^(Presion_cilindro!$B$17+1)),0))/((Presion_cilindro!O48+Presion_cilindro!O49)/2)</f>
        <v>0.74446568491448406</v>
      </c>
      <c r="E57" s="27">
        <f>E56*(Presion_cilindro!O48/Presion_cilindro!O49)^Presion_cilindro!$B$9+10*(Presion_cilindro!$B$9-1)*Presion_cilindro!$B$33*(IF(Presion_cilindro!N49&gt;(-E$4+Presion_cilindro!$B$34),1-EXP(-Presion_cilindro!$B$16*((Presion_cilindro!N49-(-E$4+Presion_cilindro!$B$34))/Presion_cilindro!$B$35)^(Presion_cilindro!$B$17+1)),0)-IF(Presion_cilindro!N48&gt;(-E$4+Presion_cilindro!$B$34),1-EXP(-Presion_cilindro!$B$16*((Presion_cilindro!N48-(-E$4+Presion_cilindro!$B$34))/Presion_cilindro!$B$35)^(Presion_cilindro!$B$17+1)),0))/((Presion_cilindro!O48+Presion_cilindro!O49)/2)</f>
        <v>0.74446568491448406</v>
      </c>
      <c r="F57" s="27">
        <f>F56*(Presion_cilindro!O48/Presion_cilindro!O49)^Presion_cilindro!$B$9+10*(Presion_cilindro!$B$9-1)*Presion_cilindro!$B$33*(IF(Presion_cilindro!N49&gt;(-F$4+Presion_cilindro!$B$34),1-EXP(-Presion_cilindro!$B$16*((Presion_cilindro!N49-(-F$4+Presion_cilindro!$B$34))/Presion_cilindro!$B$35)^(Presion_cilindro!$B$17+1)),0)-IF(Presion_cilindro!N48&gt;(-F$4+Presion_cilindro!$B$34),1-EXP(-Presion_cilindro!$B$16*((Presion_cilindro!N48-(-F$4+Presion_cilindro!$B$34))/Presion_cilindro!$B$35)^(Presion_cilindro!$B$17+1)),0))/((Presion_cilindro!O48+Presion_cilindro!O49)/2)</f>
        <v>0.74446568491448406</v>
      </c>
      <c r="G57" s="27">
        <f>G56*(Presion_cilindro!O48/Presion_cilindro!O49)^Presion_cilindro!$B$9+10*(Presion_cilindro!$B$9-1)*Presion_cilindro!$B$33*(IF(Presion_cilindro!N49&gt;(-G$4+Presion_cilindro!$B$34),1-EXP(-Presion_cilindro!$B$16*((Presion_cilindro!N49-(-G$4+Presion_cilindro!$B$34))/Presion_cilindro!$B$35)^(Presion_cilindro!$B$17+1)),0)-IF(Presion_cilindro!N48&gt;(-G$4+Presion_cilindro!$B$34),1-EXP(-Presion_cilindro!$B$16*((Presion_cilindro!N48-(-G$4+Presion_cilindro!$B$34))/Presion_cilindro!$B$35)^(Presion_cilindro!$B$17+1)),0))/((Presion_cilindro!O48+Presion_cilindro!O49)/2)</f>
        <v>0.74446568491448406</v>
      </c>
      <c r="H57" s="27">
        <f>H56*(Presion_cilindro!O48/Presion_cilindro!O49)^Presion_cilindro!$B$9+10*(Presion_cilindro!$B$9-1)*Presion_cilindro!$B$33*(IF(Presion_cilindro!N49&gt;(-H$4+Presion_cilindro!$B$34),1-EXP(-Presion_cilindro!$B$16*((Presion_cilindro!N49-(-H$4+Presion_cilindro!$B$34))/Presion_cilindro!$B$35)^(Presion_cilindro!$B$17+1)),0)-IF(Presion_cilindro!N48&gt;(-H$4+Presion_cilindro!$B$34),1-EXP(-Presion_cilindro!$B$16*((Presion_cilindro!N48-(-H$4+Presion_cilindro!$B$34))/Presion_cilindro!$B$35)^(Presion_cilindro!$B$17+1)),0))/((Presion_cilindro!O48+Presion_cilindro!O49)/2)</f>
        <v>0.74446568491448406</v>
      </c>
      <c r="I57" s="27">
        <f>I56*(Presion_cilindro!O48/Presion_cilindro!O49)^Presion_cilindro!$B$9+10*(Presion_cilindro!$B$9-1)*Presion_cilindro!$B$33*(IF(Presion_cilindro!N49&gt;(-I$4+Presion_cilindro!$B$34),1-EXP(-Presion_cilindro!$B$16*((Presion_cilindro!N49-(-I$4+Presion_cilindro!$B$34))/Presion_cilindro!$B$35)^(Presion_cilindro!$B$17+1)),0)-IF(Presion_cilindro!N48&gt;(-I$4+Presion_cilindro!$B$34),1-EXP(-Presion_cilindro!$B$16*((Presion_cilindro!N48-(-I$4+Presion_cilindro!$B$34))/Presion_cilindro!$B$35)^(Presion_cilindro!$B$17+1)),0))/((Presion_cilindro!O48+Presion_cilindro!O49)/2)</f>
        <v>0.74446568491448406</v>
      </c>
      <c r="J57" s="27">
        <f>J56*(Presion_cilindro!O48/Presion_cilindro!O49)^Presion_cilindro!$B$9+10*(Presion_cilindro!$B$9-1)*Presion_cilindro!$B$33*(IF(Presion_cilindro!N49&gt;(-J$4+Presion_cilindro!$B$34),1-EXP(-Presion_cilindro!$B$16*((Presion_cilindro!N49-(-J$4+Presion_cilindro!$B$34))/Presion_cilindro!$B$35)^(Presion_cilindro!$B$17+1)),0)-IF(Presion_cilindro!N48&gt;(-J$4+Presion_cilindro!$B$34),1-EXP(-Presion_cilindro!$B$16*((Presion_cilindro!N48-(-J$4+Presion_cilindro!$B$34))/Presion_cilindro!$B$35)^(Presion_cilindro!$B$17+1)),0))/((Presion_cilindro!O48+Presion_cilindro!O49)/2)</f>
        <v>0.74446568491448406</v>
      </c>
      <c r="K57" s="27">
        <f>K56*(Presion_cilindro!O48/Presion_cilindro!O49)^Presion_cilindro!$B$9+10*(Presion_cilindro!$B$9-1)*Presion_cilindro!$B$33*(IF(Presion_cilindro!N49&gt;(-K$4+Presion_cilindro!$B$34),1-EXP(-Presion_cilindro!$B$16*((Presion_cilindro!N49-(-K$4+Presion_cilindro!$B$34))/Presion_cilindro!$B$35)^(Presion_cilindro!$B$17+1)),0)-IF(Presion_cilindro!N48&gt;(-K$4+Presion_cilindro!$B$34),1-EXP(-Presion_cilindro!$B$16*((Presion_cilindro!N48-(-K$4+Presion_cilindro!$B$34))/Presion_cilindro!$B$35)^(Presion_cilindro!$B$17+1)),0))/((Presion_cilindro!O48+Presion_cilindro!O49)/2)</f>
        <v>0.74446568491448406</v>
      </c>
      <c r="L57" s="27">
        <f>L56*(Presion_cilindro!O48/Presion_cilindro!O49)^Presion_cilindro!$B$9+10*(Presion_cilindro!$B$9-1)*Presion_cilindro!$B$33*(IF(Presion_cilindro!N49&gt;(-L$4+Presion_cilindro!$B$34),1-EXP(-Presion_cilindro!$B$16*((Presion_cilindro!N49-(-L$4+Presion_cilindro!$B$34))/Presion_cilindro!$B$35)^(Presion_cilindro!$B$17+1)),0)-IF(Presion_cilindro!N48&gt;(-L$4+Presion_cilindro!$B$34),1-EXP(-Presion_cilindro!$B$16*((Presion_cilindro!N48-(-L$4+Presion_cilindro!$B$34))/Presion_cilindro!$B$35)^(Presion_cilindro!$B$17+1)),0))/((Presion_cilindro!O48+Presion_cilindro!O49)/2)</f>
        <v>0.74446568491448406</v>
      </c>
      <c r="M57" s="27">
        <f>M56*(Presion_cilindro!O48/Presion_cilindro!O49)^Presion_cilindro!$B$9+10*(Presion_cilindro!$B$9-1)*Presion_cilindro!$B$33*(IF(Presion_cilindro!N49&gt;(-M$4+Presion_cilindro!$B$34),1-EXP(-Presion_cilindro!$B$16*((Presion_cilindro!N49-(-M$4+Presion_cilindro!$B$34))/Presion_cilindro!$B$35)^(Presion_cilindro!$B$17+1)),0)-IF(Presion_cilindro!N48&gt;(-M$4+Presion_cilindro!$B$34),1-EXP(-Presion_cilindro!$B$16*((Presion_cilindro!N48-(-M$4+Presion_cilindro!$B$34))/Presion_cilindro!$B$35)^(Presion_cilindro!$B$17+1)),0))/((Presion_cilindro!O48+Presion_cilindro!O49)/2)</f>
        <v>0.74446568491448406</v>
      </c>
      <c r="N57" s="27">
        <f>N56*(Presion_cilindro!O48/Presion_cilindro!O49)^Presion_cilindro!$B$9+10*(Presion_cilindro!$B$9-1)*Presion_cilindro!$B$33*(IF(Presion_cilindro!N49&gt;(-N$4+Presion_cilindro!$B$34),1-EXP(-Presion_cilindro!$B$16*((Presion_cilindro!N49-(-N$4+Presion_cilindro!$B$34))/Presion_cilindro!$B$35)^(Presion_cilindro!$B$17+1)),0)-IF(Presion_cilindro!N48&gt;(-N$4+Presion_cilindro!$B$34),1-EXP(-Presion_cilindro!$B$16*((Presion_cilindro!N48-(-N$4+Presion_cilindro!$B$34))/Presion_cilindro!$B$35)^(Presion_cilindro!$B$17+1)),0))/((Presion_cilindro!O48+Presion_cilindro!O49)/2)</f>
        <v>0.74446568491448406</v>
      </c>
    </row>
    <row r="58" spans="1:14" x14ac:dyDescent="0.25">
      <c r="A58" s="21">
        <f>Presion_cilindro!N50</f>
        <v>-157</v>
      </c>
      <c r="B58" s="27">
        <f>B57*(Presion_cilindro!O49/Presion_cilindro!O50)^Presion_cilindro!$B$9+10*(Presion_cilindro!$B$9-1)*Presion_cilindro!$B$33*(IF(Presion_cilindro!N50&gt;(-B$4+Presion_cilindro!$B$34),1-EXP(-Presion_cilindro!$B$16*((Presion_cilindro!N50-(-B$4+Presion_cilindro!$B$34))/Presion_cilindro!$B$35)^(Presion_cilindro!$B$17+1)),0)-IF(Presion_cilindro!N49&gt;(-B$4+Presion_cilindro!$B$34),1-EXP(-Presion_cilindro!$B$16*((Presion_cilindro!N49-(-B$4+Presion_cilindro!$B$34))/Presion_cilindro!$B$35)^(Presion_cilindro!$B$17+1)),0))/((Presion_cilindro!O49+Presion_cilindro!O50)/2)</f>
        <v>0.74560032034273427</v>
      </c>
      <c r="C58" s="27">
        <f>C57*(Presion_cilindro!O49/Presion_cilindro!O50)^Presion_cilindro!$B$9+10*(Presion_cilindro!$B$9-1)*Presion_cilindro!$B$33*(IF(Presion_cilindro!N50&gt;(-C$4+Presion_cilindro!$B$34),1-EXP(-Presion_cilindro!$B$16*((Presion_cilindro!N50-(-C$4+Presion_cilindro!$B$34))/Presion_cilindro!$B$35)^(Presion_cilindro!$B$17+1)),0)-IF(Presion_cilindro!N49&gt;(-C$4+Presion_cilindro!$B$34),1-EXP(-Presion_cilindro!$B$16*((Presion_cilindro!N49-(-C$4+Presion_cilindro!$B$34))/Presion_cilindro!$B$35)^(Presion_cilindro!$B$17+1)),0))/((Presion_cilindro!O49+Presion_cilindro!O50)/2)</f>
        <v>0.74560032034273427</v>
      </c>
      <c r="D58" s="27">
        <f>D57*(Presion_cilindro!O49/Presion_cilindro!O50)^Presion_cilindro!$B$9+10*(Presion_cilindro!$B$9-1)*Presion_cilindro!$B$33*(IF(Presion_cilindro!N50&gt;(-D$4+Presion_cilindro!$B$34),1-EXP(-Presion_cilindro!$B$16*((Presion_cilindro!N50-(-D$4+Presion_cilindro!$B$34))/Presion_cilindro!$B$35)^(Presion_cilindro!$B$17+1)),0)-IF(Presion_cilindro!N49&gt;(-D$4+Presion_cilindro!$B$34),1-EXP(-Presion_cilindro!$B$16*((Presion_cilindro!N49-(-D$4+Presion_cilindro!$B$34))/Presion_cilindro!$B$35)^(Presion_cilindro!$B$17+1)),0))/((Presion_cilindro!O49+Presion_cilindro!O50)/2)</f>
        <v>0.74560032034273427</v>
      </c>
      <c r="E58" s="27">
        <f>E57*(Presion_cilindro!O49/Presion_cilindro!O50)^Presion_cilindro!$B$9+10*(Presion_cilindro!$B$9-1)*Presion_cilindro!$B$33*(IF(Presion_cilindro!N50&gt;(-E$4+Presion_cilindro!$B$34),1-EXP(-Presion_cilindro!$B$16*((Presion_cilindro!N50-(-E$4+Presion_cilindro!$B$34))/Presion_cilindro!$B$35)^(Presion_cilindro!$B$17+1)),0)-IF(Presion_cilindro!N49&gt;(-E$4+Presion_cilindro!$B$34),1-EXP(-Presion_cilindro!$B$16*((Presion_cilindro!N49-(-E$4+Presion_cilindro!$B$34))/Presion_cilindro!$B$35)^(Presion_cilindro!$B$17+1)),0))/((Presion_cilindro!O49+Presion_cilindro!O50)/2)</f>
        <v>0.74560032034273427</v>
      </c>
      <c r="F58" s="27">
        <f>F57*(Presion_cilindro!O49/Presion_cilindro!O50)^Presion_cilindro!$B$9+10*(Presion_cilindro!$B$9-1)*Presion_cilindro!$B$33*(IF(Presion_cilindro!N50&gt;(-F$4+Presion_cilindro!$B$34),1-EXP(-Presion_cilindro!$B$16*((Presion_cilindro!N50-(-F$4+Presion_cilindro!$B$34))/Presion_cilindro!$B$35)^(Presion_cilindro!$B$17+1)),0)-IF(Presion_cilindro!N49&gt;(-F$4+Presion_cilindro!$B$34),1-EXP(-Presion_cilindro!$B$16*((Presion_cilindro!N49-(-F$4+Presion_cilindro!$B$34))/Presion_cilindro!$B$35)^(Presion_cilindro!$B$17+1)),0))/((Presion_cilindro!O49+Presion_cilindro!O50)/2)</f>
        <v>0.74560032034273427</v>
      </c>
      <c r="G58" s="27">
        <f>G57*(Presion_cilindro!O49/Presion_cilindro!O50)^Presion_cilindro!$B$9+10*(Presion_cilindro!$B$9-1)*Presion_cilindro!$B$33*(IF(Presion_cilindro!N50&gt;(-G$4+Presion_cilindro!$B$34),1-EXP(-Presion_cilindro!$B$16*((Presion_cilindro!N50-(-G$4+Presion_cilindro!$B$34))/Presion_cilindro!$B$35)^(Presion_cilindro!$B$17+1)),0)-IF(Presion_cilindro!N49&gt;(-G$4+Presion_cilindro!$B$34),1-EXP(-Presion_cilindro!$B$16*((Presion_cilindro!N49-(-G$4+Presion_cilindro!$B$34))/Presion_cilindro!$B$35)^(Presion_cilindro!$B$17+1)),0))/((Presion_cilindro!O49+Presion_cilindro!O50)/2)</f>
        <v>0.74560032034273427</v>
      </c>
      <c r="H58" s="27">
        <f>H57*(Presion_cilindro!O49/Presion_cilindro!O50)^Presion_cilindro!$B$9+10*(Presion_cilindro!$B$9-1)*Presion_cilindro!$B$33*(IF(Presion_cilindro!N50&gt;(-H$4+Presion_cilindro!$B$34),1-EXP(-Presion_cilindro!$B$16*((Presion_cilindro!N50-(-H$4+Presion_cilindro!$B$34))/Presion_cilindro!$B$35)^(Presion_cilindro!$B$17+1)),0)-IF(Presion_cilindro!N49&gt;(-H$4+Presion_cilindro!$B$34),1-EXP(-Presion_cilindro!$B$16*((Presion_cilindro!N49-(-H$4+Presion_cilindro!$B$34))/Presion_cilindro!$B$35)^(Presion_cilindro!$B$17+1)),0))/((Presion_cilindro!O49+Presion_cilindro!O50)/2)</f>
        <v>0.74560032034273427</v>
      </c>
      <c r="I58" s="27">
        <f>I57*(Presion_cilindro!O49/Presion_cilindro!O50)^Presion_cilindro!$B$9+10*(Presion_cilindro!$B$9-1)*Presion_cilindro!$B$33*(IF(Presion_cilindro!N50&gt;(-I$4+Presion_cilindro!$B$34),1-EXP(-Presion_cilindro!$B$16*((Presion_cilindro!N50-(-I$4+Presion_cilindro!$B$34))/Presion_cilindro!$B$35)^(Presion_cilindro!$B$17+1)),0)-IF(Presion_cilindro!N49&gt;(-I$4+Presion_cilindro!$B$34),1-EXP(-Presion_cilindro!$B$16*((Presion_cilindro!N49-(-I$4+Presion_cilindro!$B$34))/Presion_cilindro!$B$35)^(Presion_cilindro!$B$17+1)),0))/((Presion_cilindro!O49+Presion_cilindro!O50)/2)</f>
        <v>0.74560032034273427</v>
      </c>
      <c r="J58" s="27">
        <f>J57*(Presion_cilindro!O49/Presion_cilindro!O50)^Presion_cilindro!$B$9+10*(Presion_cilindro!$B$9-1)*Presion_cilindro!$B$33*(IF(Presion_cilindro!N50&gt;(-J$4+Presion_cilindro!$B$34),1-EXP(-Presion_cilindro!$B$16*((Presion_cilindro!N50-(-J$4+Presion_cilindro!$B$34))/Presion_cilindro!$B$35)^(Presion_cilindro!$B$17+1)),0)-IF(Presion_cilindro!N49&gt;(-J$4+Presion_cilindro!$B$34),1-EXP(-Presion_cilindro!$B$16*((Presion_cilindro!N49-(-J$4+Presion_cilindro!$B$34))/Presion_cilindro!$B$35)^(Presion_cilindro!$B$17+1)),0))/((Presion_cilindro!O49+Presion_cilindro!O50)/2)</f>
        <v>0.74560032034273427</v>
      </c>
      <c r="K58" s="27">
        <f>K57*(Presion_cilindro!O49/Presion_cilindro!O50)^Presion_cilindro!$B$9+10*(Presion_cilindro!$B$9-1)*Presion_cilindro!$B$33*(IF(Presion_cilindro!N50&gt;(-K$4+Presion_cilindro!$B$34),1-EXP(-Presion_cilindro!$B$16*((Presion_cilindro!N50-(-K$4+Presion_cilindro!$B$34))/Presion_cilindro!$B$35)^(Presion_cilindro!$B$17+1)),0)-IF(Presion_cilindro!N49&gt;(-K$4+Presion_cilindro!$B$34),1-EXP(-Presion_cilindro!$B$16*((Presion_cilindro!N49-(-K$4+Presion_cilindro!$B$34))/Presion_cilindro!$B$35)^(Presion_cilindro!$B$17+1)),0))/((Presion_cilindro!O49+Presion_cilindro!O50)/2)</f>
        <v>0.74560032034273427</v>
      </c>
      <c r="L58" s="27">
        <f>L57*(Presion_cilindro!O49/Presion_cilindro!O50)^Presion_cilindro!$B$9+10*(Presion_cilindro!$B$9-1)*Presion_cilindro!$B$33*(IF(Presion_cilindro!N50&gt;(-L$4+Presion_cilindro!$B$34),1-EXP(-Presion_cilindro!$B$16*((Presion_cilindro!N50-(-L$4+Presion_cilindro!$B$34))/Presion_cilindro!$B$35)^(Presion_cilindro!$B$17+1)),0)-IF(Presion_cilindro!N49&gt;(-L$4+Presion_cilindro!$B$34),1-EXP(-Presion_cilindro!$B$16*((Presion_cilindro!N49-(-L$4+Presion_cilindro!$B$34))/Presion_cilindro!$B$35)^(Presion_cilindro!$B$17+1)),0))/((Presion_cilindro!O49+Presion_cilindro!O50)/2)</f>
        <v>0.74560032034273427</v>
      </c>
      <c r="M58" s="27">
        <f>M57*(Presion_cilindro!O49/Presion_cilindro!O50)^Presion_cilindro!$B$9+10*(Presion_cilindro!$B$9-1)*Presion_cilindro!$B$33*(IF(Presion_cilindro!N50&gt;(-M$4+Presion_cilindro!$B$34),1-EXP(-Presion_cilindro!$B$16*((Presion_cilindro!N50-(-M$4+Presion_cilindro!$B$34))/Presion_cilindro!$B$35)^(Presion_cilindro!$B$17+1)),0)-IF(Presion_cilindro!N49&gt;(-M$4+Presion_cilindro!$B$34),1-EXP(-Presion_cilindro!$B$16*((Presion_cilindro!N49-(-M$4+Presion_cilindro!$B$34))/Presion_cilindro!$B$35)^(Presion_cilindro!$B$17+1)),0))/((Presion_cilindro!O49+Presion_cilindro!O50)/2)</f>
        <v>0.74560032034273427</v>
      </c>
      <c r="N58" s="27">
        <f>N57*(Presion_cilindro!O49/Presion_cilindro!O50)^Presion_cilindro!$B$9+10*(Presion_cilindro!$B$9-1)*Presion_cilindro!$B$33*(IF(Presion_cilindro!N50&gt;(-N$4+Presion_cilindro!$B$34),1-EXP(-Presion_cilindro!$B$16*((Presion_cilindro!N50-(-N$4+Presion_cilindro!$B$34))/Presion_cilindro!$B$35)^(Presion_cilindro!$B$17+1)),0)-IF(Presion_cilindro!N49&gt;(-N$4+Presion_cilindro!$B$34),1-EXP(-Presion_cilindro!$B$16*((Presion_cilindro!N49-(-N$4+Presion_cilindro!$B$34))/Presion_cilindro!$B$35)^(Presion_cilindro!$B$17+1)),0))/((Presion_cilindro!O49+Presion_cilindro!O50)/2)</f>
        <v>0.74560032034273427</v>
      </c>
    </row>
    <row r="59" spans="1:14" x14ac:dyDescent="0.25">
      <c r="A59" s="21">
        <f>Presion_cilindro!N51</f>
        <v>-156.5</v>
      </c>
      <c r="B59" s="27">
        <f>B58*(Presion_cilindro!O50/Presion_cilindro!O51)^Presion_cilindro!$B$9+10*(Presion_cilindro!$B$9-1)*Presion_cilindro!$B$33*(IF(Presion_cilindro!N51&gt;(-B$4+Presion_cilindro!$B$34),1-EXP(-Presion_cilindro!$B$16*((Presion_cilindro!N51-(-B$4+Presion_cilindro!$B$34))/Presion_cilindro!$B$35)^(Presion_cilindro!$B$17+1)),0)-IF(Presion_cilindro!N50&gt;(-B$4+Presion_cilindro!$B$34),1-EXP(-Presion_cilindro!$B$16*((Presion_cilindro!N50-(-B$4+Presion_cilindro!$B$34))/Presion_cilindro!$B$35)^(Presion_cilindro!$B$17+1)),0))/((Presion_cilindro!O50+Presion_cilindro!O51)/2)</f>
        <v>0.74676309570360877</v>
      </c>
      <c r="C59" s="27">
        <f>C58*(Presion_cilindro!O50/Presion_cilindro!O51)^Presion_cilindro!$B$9+10*(Presion_cilindro!$B$9-1)*Presion_cilindro!$B$33*(IF(Presion_cilindro!N51&gt;(-C$4+Presion_cilindro!$B$34),1-EXP(-Presion_cilindro!$B$16*((Presion_cilindro!N51-(-C$4+Presion_cilindro!$B$34))/Presion_cilindro!$B$35)^(Presion_cilindro!$B$17+1)),0)-IF(Presion_cilindro!N50&gt;(-C$4+Presion_cilindro!$B$34),1-EXP(-Presion_cilindro!$B$16*((Presion_cilindro!N50-(-C$4+Presion_cilindro!$B$34))/Presion_cilindro!$B$35)^(Presion_cilindro!$B$17+1)),0))/((Presion_cilindro!O50+Presion_cilindro!O51)/2)</f>
        <v>0.74676309570360877</v>
      </c>
      <c r="D59" s="27">
        <f>D58*(Presion_cilindro!O50/Presion_cilindro!O51)^Presion_cilindro!$B$9+10*(Presion_cilindro!$B$9-1)*Presion_cilindro!$B$33*(IF(Presion_cilindro!N51&gt;(-D$4+Presion_cilindro!$B$34),1-EXP(-Presion_cilindro!$B$16*((Presion_cilindro!N51-(-D$4+Presion_cilindro!$B$34))/Presion_cilindro!$B$35)^(Presion_cilindro!$B$17+1)),0)-IF(Presion_cilindro!N50&gt;(-D$4+Presion_cilindro!$B$34),1-EXP(-Presion_cilindro!$B$16*((Presion_cilindro!N50-(-D$4+Presion_cilindro!$B$34))/Presion_cilindro!$B$35)^(Presion_cilindro!$B$17+1)),0))/((Presion_cilindro!O50+Presion_cilindro!O51)/2)</f>
        <v>0.74676309570360877</v>
      </c>
      <c r="E59" s="27">
        <f>E58*(Presion_cilindro!O50/Presion_cilindro!O51)^Presion_cilindro!$B$9+10*(Presion_cilindro!$B$9-1)*Presion_cilindro!$B$33*(IF(Presion_cilindro!N51&gt;(-E$4+Presion_cilindro!$B$34),1-EXP(-Presion_cilindro!$B$16*((Presion_cilindro!N51-(-E$4+Presion_cilindro!$B$34))/Presion_cilindro!$B$35)^(Presion_cilindro!$B$17+1)),0)-IF(Presion_cilindro!N50&gt;(-E$4+Presion_cilindro!$B$34),1-EXP(-Presion_cilindro!$B$16*((Presion_cilindro!N50-(-E$4+Presion_cilindro!$B$34))/Presion_cilindro!$B$35)^(Presion_cilindro!$B$17+1)),0))/((Presion_cilindro!O50+Presion_cilindro!O51)/2)</f>
        <v>0.74676309570360877</v>
      </c>
      <c r="F59" s="27">
        <f>F58*(Presion_cilindro!O50/Presion_cilindro!O51)^Presion_cilindro!$B$9+10*(Presion_cilindro!$B$9-1)*Presion_cilindro!$B$33*(IF(Presion_cilindro!N51&gt;(-F$4+Presion_cilindro!$B$34),1-EXP(-Presion_cilindro!$B$16*((Presion_cilindro!N51-(-F$4+Presion_cilindro!$B$34))/Presion_cilindro!$B$35)^(Presion_cilindro!$B$17+1)),0)-IF(Presion_cilindro!N50&gt;(-F$4+Presion_cilindro!$B$34),1-EXP(-Presion_cilindro!$B$16*((Presion_cilindro!N50-(-F$4+Presion_cilindro!$B$34))/Presion_cilindro!$B$35)^(Presion_cilindro!$B$17+1)),0))/((Presion_cilindro!O50+Presion_cilindro!O51)/2)</f>
        <v>0.74676309570360877</v>
      </c>
      <c r="G59" s="27">
        <f>G58*(Presion_cilindro!O50/Presion_cilindro!O51)^Presion_cilindro!$B$9+10*(Presion_cilindro!$B$9-1)*Presion_cilindro!$B$33*(IF(Presion_cilindro!N51&gt;(-G$4+Presion_cilindro!$B$34),1-EXP(-Presion_cilindro!$B$16*((Presion_cilindro!N51-(-G$4+Presion_cilindro!$B$34))/Presion_cilindro!$B$35)^(Presion_cilindro!$B$17+1)),0)-IF(Presion_cilindro!N50&gt;(-G$4+Presion_cilindro!$B$34),1-EXP(-Presion_cilindro!$B$16*((Presion_cilindro!N50-(-G$4+Presion_cilindro!$B$34))/Presion_cilindro!$B$35)^(Presion_cilindro!$B$17+1)),0))/((Presion_cilindro!O50+Presion_cilindro!O51)/2)</f>
        <v>0.74676309570360877</v>
      </c>
      <c r="H59" s="27">
        <f>H58*(Presion_cilindro!O50/Presion_cilindro!O51)^Presion_cilindro!$B$9+10*(Presion_cilindro!$B$9-1)*Presion_cilindro!$B$33*(IF(Presion_cilindro!N51&gt;(-H$4+Presion_cilindro!$B$34),1-EXP(-Presion_cilindro!$B$16*((Presion_cilindro!N51-(-H$4+Presion_cilindro!$B$34))/Presion_cilindro!$B$35)^(Presion_cilindro!$B$17+1)),0)-IF(Presion_cilindro!N50&gt;(-H$4+Presion_cilindro!$B$34),1-EXP(-Presion_cilindro!$B$16*((Presion_cilindro!N50-(-H$4+Presion_cilindro!$B$34))/Presion_cilindro!$B$35)^(Presion_cilindro!$B$17+1)),0))/((Presion_cilindro!O50+Presion_cilindro!O51)/2)</f>
        <v>0.74676309570360877</v>
      </c>
      <c r="I59" s="27">
        <f>I58*(Presion_cilindro!O50/Presion_cilindro!O51)^Presion_cilindro!$B$9+10*(Presion_cilindro!$B$9-1)*Presion_cilindro!$B$33*(IF(Presion_cilindro!N51&gt;(-I$4+Presion_cilindro!$B$34),1-EXP(-Presion_cilindro!$B$16*((Presion_cilindro!N51-(-I$4+Presion_cilindro!$B$34))/Presion_cilindro!$B$35)^(Presion_cilindro!$B$17+1)),0)-IF(Presion_cilindro!N50&gt;(-I$4+Presion_cilindro!$B$34),1-EXP(-Presion_cilindro!$B$16*((Presion_cilindro!N50-(-I$4+Presion_cilindro!$B$34))/Presion_cilindro!$B$35)^(Presion_cilindro!$B$17+1)),0))/((Presion_cilindro!O50+Presion_cilindro!O51)/2)</f>
        <v>0.74676309570360877</v>
      </c>
      <c r="J59" s="27">
        <f>J58*(Presion_cilindro!O50/Presion_cilindro!O51)^Presion_cilindro!$B$9+10*(Presion_cilindro!$B$9-1)*Presion_cilindro!$B$33*(IF(Presion_cilindro!N51&gt;(-J$4+Presion_cilindro!$B$34),1-EXP(-Presion_cilindro!$B$16*((Presion_cilindro!N51-(-J$4+Presion_cilindro!$B$34))/Presion_cilindro!$B$35)^(Presion_cilindro!$B$17+1)),0)-IF(Presion_cilindro!N50&gt;(-J$4+Presion_cilindro!$B$34),1-EXP(-Presion_cilindro!$B$16*((Presion_cilindro!N50-(-J$4+Presion_cilindro!$B$34))/Presion_cilindro!$B$35)^(Presion_cilindro!$B$17+1)),0))/((Presion_cilindro!O50+Presion_cilindro!O51)/2)</f>
        <v>0.74676309570360877</v>
      </c>
      <c r="K59" s="27">
        <f>K58*(Presion_cilindro!O50/Presion_cilindro!O51)^Presion_cilindro!$B$9+10*(Presion_cilindro!$B$9-1)*Presion_cilindro!$B$33*(IF(Presion_cilindro!N51&gt;(-K$4+Presion_cilindro!$B$34),1-EXP(-Presion_cilindro!$B$16*((Presion_cilindro!N51-(-K$4+Presion_cilindro!$B$34))/Presion_cilindro!$B$35)^(Presion_cilindro!$B$17+1)),0)-IF(Presion_cilindro!N50&gt;(-K$4+Presion_cilindro!$B$34),1-EXP(-Presion_cilindro!$B$16*((Presion_cilindro!N50-(-K$4+Presion_cilindro!$B$34))/Presion_cilindro!$B$35)^(Presion_cilindro!$B$17+1)),0))/((Presion_cilindro!O50+Presion_cilindro!O51)/2)</f>
        <v>0.74676309570360877</v>
      </c>
      <c r="L59" s="27">
        <f>L58*(Presion_cilindro!O50/Presion_cilindro!O51)^Presion_cilindro!$B$9+10*(Presion_cilindro!$B$9-1)*Presion_cilindro!$B$33*(IF(Presion_cilindro!N51&gt;(-L$4+Presion_cilindro!$B$34),1-EXP(-Presion_cilindro!$B$16*((Presion_cilindro!N51-(-L$4+Presion_cilindro!$B$34))/Presion_cilindro!$B$35)^(Presion_cilindro!$B$17+1)),0)-IF(Presion_cilindro!N50&gt;(-L$4+Presion_cilindro!$B$34),1-EXP(-Presion_cilindro!$B$16*((Presion_cilindro!N50-(-L$4+Presion_cilindro!$B$34))/Presion_cilindro!$B$35)^(Presion_cilindro!$B$17+1)),0))/((Presion_cilindro!O50+Presion_cilindro!O51)/2)</f>
        <v>0.74676309570360877</v>
      </c>
      <c r="M59" s="27">
        <f>M58*(Presion_cilindro!O50/Presion_cilindro!O51)^Presion_cilindro!$B$9+10*(Presion_cilindro!$B$9-1)*Presion_cilindro!$B$33*(IF(Presion_cilindro!N51&gt;(-M$4+Presion_cilindro!$B$34),1-EXP(-Presion_cilindro!$B$16*((Presion_cilindro!N51-(-M$4+Presion_cilindro!$B$34))/Presion_cilindro!$B$35)^(Presion_cilindro!$B$17+1)),0)-IF(Presion_cilindro!N50&gt;(-M$4+Presion_cilindro!$B$34),1-EXP(-Presion_cilindro!$B$16*((Presion_cilindro!N50-(-M$4+Presion_cilindro!$B$34))/Presion_cilindro!$B$35)^(Presion_cilindro!$B$17+1)),0))/((Presion_cilindro!O50+Presion_cilindro!O51)/2)</f>
        <v>0.74676309570360877</v>
      </c>
      <c r="N59" s="27">
        <f>N58*(Presion_cilindro!O50/Presion_cilindro!O51)^Presion_cilindro!$B$9+10*(Presion_cilindro!$B$9-1)*Presion_cilindro!$B$33*(IF(Presion_cilindro!N51&gt;(-N$4+Presion_cilindro!$B$34),1-EXP(-Presion_cilindro!$B$16*((Presion_cilindro!N51-(-N$4+Presion_cilindro!$B$34))/Presion_cilindro!$B$35)^(Presion_cilindro!$B$17+1)),0)-IF(Presion_cilindro!N50&gt;(-N$4+Presion_cilindro!$B$34),1-EXP(-Presion_cilindro!$B$16*((Presion_cilindro!N50-(-N$4+Presion_cilindro!$B$34))/Presion_cilindro!$B$35)^(Presion_cilindro!$B$17+1)),0))/((Presion_cilindro!O50+Presion_cilindro!O51)/2)</f>
        <v>0.74676309570360877</v>
      </c>
    </row>
    <row r="60" spans="1:14" x14ac:dyDescent="0.25">
      <c r="A60" s="21">
        <f>Presion_cilindro!N52</f>
        <v>-156</v>
      </c>
      <c r="B60" s="27">
        <f>B59*(Presion_cilindro!O51/Presion_cilindro!O52)^Presion_cilindro!$B$9+10*(Presion_cilindro!$B$9-1)*Presion_cilindro!$B$33*(IF(Presion_cilindro!N52&gt;(-B$4+Presion_cilindro!$B$34),1-EXP(-Presion_cilindro!$B$16*((Presion_cilindro!N52-(-B$4+Presion_cilindro!$B$34))/Presion_cilindro!$B$35)^(Presion_cilindro!$B$17+1)),0)-IF(Presion_cilindro!N51&gt;(-B$4+Presion_cilindro!$B$34),1-EXP(-Presion_cilindro!$B$16*((Presion_cilindro!N51-(-B$4+Presion_cilindro!$B$34))/Presion_cilindro!$B$35)^(Presion_cilindro!$B$17+1)),0))/((Presion_cilindro!O51+Presion_cilindro!O52)/2)</f>
        <v>0.7479542300628057</v>
      </c>
      <c r="C60" s="27">
        <f>C59*(Presion_cilindro!O51/Presion_cilindro!O52)^Presion_cilindro!$B$9+10*(Presion_cilindro!$B$9-1)*Presion_cilindro!$B$33*(IF(Presion_cilindro!N52&gt;(-C$4+Presion_cilindro!$B$34),1-EXP(-Presion_cilindro!$B$16*((Presion_cilindro!N52-(-C$4+Presion_cilindro!$B$34))/Presion_cilindro!$B$35)^(Presion_cilindro!$B$17+1)),0)-IF(Presion_cilindro!N51&gt;(-C$4+Presion_cilindro!$B$34),1-EXP(-Presion_cilindro!$B$16*((Presion_cilindro!N51-(-C$4+Presion_cilindro!$B$34))/Presion_cilindro!$B$35)^(Presion_cilindro!$B$17+1)),0))/((Presion_cilindro!O51+Presion_cilindro!O52)/2)</f>
        <v>0.7479542300628057</v>
      </c>
      <c r="D60" s="27">
        <f>D59*(Presion_cilindro!O51/Presion_cilindro!O52)^Presion_cilindro!$B$9+10*(Presion_cilindro!$B$9-1)*Presion_cilindro!$B$33*(IF(Presion_cilindro!N52&gt;(-D$4+Presion_cilindro!$B$34),1-EXP(-Presion_cilindro!$B$16*((Presion_cilindro!N52-(-D$4+Presion_cilindro!$B$34))/Presion_cilindro!$B$35)^(Presion_cilindro!$B$17+1)),0)-IF(Presion_cilindro!N51&gt;(-D$4+Presion_cilindro!$B$34),1-EXP(-Presion_cilindro!$B$16*((Presion_cilindro!N51-(-D$4+Presion_cilindro!$B$34))/Presion_cilindro!$B$35)^(Presion_cilindro!$B$17+1)),0))/((Presion_cilindro!O51+Presion_cilindro!O52)/2)</f>
        <v>0.7479542300628057</v>
      </c>
      <c r="E60" s="27">
        <f>E59*(Presion_cilindro!O51/Presion_cilindro!O52)^Presion_cilindro!$B$9+10*(Presion_cilindro!$B$9-1)*Presion_cilindro!$B$33*(IF(Presion_cilindro!N52&gt;(-E$4+Presion_cilindro!$B$34),1-EXP(-Presion_cilindro!$B$16*((Presion_cilindro!N52-(-E$4+Presion_cilindro!$B$34))/Presion_cilindro!$B$35)^(Presion_cilindro!$B$17+1)),0)-IF(Presion_cilindro!N51&gt;(-E$4+Presion_cilindro!$B$34),1-EXP(-Presion_cilindro!$B$16*((Presion_cilindro!N51-(-E$4+Presion_cilindro!$B$34))/Presion_cilindro!$B$35)^(Presion_cilindro!$B$17+1)),0))/((Presion_cilindro!O51+Presion_cilindro!O52)/2)</f>
        <v>0.7479542300628057</v>
      </c>
      <c r="F60" s="27">
        <f>F59*(Presion_cilindro!O51/Presion_cilindro!O52)^Presion_cilindro!$B$9+10*(Presion_cilindro!$B$9-1)*Presion_cilindro!$B$33*(IF(Presion_cilindro!N52&gt;(-F$4+Presion_cilindro!$B$34),1-EXP(-Presion_cilindro!$B$16*((Presion_cilindro!N52-(-F$4+Presion_cilindro!$B$34))/Presion_cilindro!$B$35)^(Presion_cilindro!$B$17+1)),0)-IF(Presion_cilindro!N51&gt;(-F$4+Presion_cilindro!$B$34),1-EXP(-Presion_cilindro!$B$16*((Presion_cilindro!N51-(-F$4+Presion_cilindro!$B$34))/Presion_cilindro!$B$35)^(Presion_cilindro!$B$17+1)),0))/((Presion_cilindro!O51+Presion_cilindro!O52)/2)</f>
        <v>0.7479542300628057</v>
      </c>
      <c r="G60" s="27">
        <f>G59*(Presion_cilindro!O51/Presion_cilindro!O52)^Presion_cilindro!$B$9+10*(Presion_cilindro!$B$9-1)*Presion_cilindro!$B$33*(IF(Presion_cilindro!N52&gt;(-G$4+Presion_cilindro!$B$34),1-EXP(-Presion_cilindro!$B$16*((Presion_cilindro!N52-(-G$4+Presion_cilindro!$B$34))/Presion_cilindro!$B$35)^(Presion_cilindro!$B$17+1)),0)-IF(Presion_cilindro!N51&gt;(-G$4+Presion_cilindro!$B$34),1-EXP(-Presion_cilindro!$B$16*((Presion_cilindro!N51-(-G$4+Presion_cilindro!$B$34))/Presion_cilindro!$B$35)^(Presion_cilindro!$B$17+1)),0))/((Presion_cilindro!O51+Presion_cilindro!O52)/2)</f>
        <v>0.7479542300628057</v>
      </c>
      <c r="H60" s="27">
        <f>H59*(Presion_cilindro!O51/Presion_cilindro!O52)^Presion_cilindro!$B$9+10*(Presion_cilindro!$B$9-1)*Presion_cilindro!$B$33*(IF(Presion_cilindro!N52&gt;(-H$4+Presion_cilindro!$B$34),1-EXP(-Presion_cilindro!$B$16*((Presion_cilindro!N52-(-H$4+Presion_cilindro!$B$34))/Presion_cilindro!$B$35)^(Presion_cilindro!$B$17+1)),0)-IF(Presion_cilindro!N51&gt;(-H$4+Presion_cilindro!$B$34),1-EXP(-Presion_cilindro!$B$16*((Presion_cilindro!N51-(-H$4+Presion_cilindro!$B$34))/Presion_cilindro!$B$35)^(Presion_cilindro!$B$17+1)),0))/((Presion_cilindro!O51+Presion_cilindro!O52)/2)</f>
        <v>0.7479542300628057</v>
      </c>
      <c r="I60" s="27">
        <f>I59*(Presion_cilindro!O51/Presion_cilindro!O52)^Presion_cilindro!$B$9+10*(Presion_cilindro!$B$9-1)*Presion_cilindro!$B$33*(IF(Presion_cilindro!N52&gt;(-I$4+Presion_cilindro!$B$34),1-EXP(-Presion_cilindro!$B$16*((Presion_cilindro!N52-(-I$4+Presion_cilindro!$B$34))/Presion_cilindro!$B$35)^(Presion_cilindro!$B$17+1)),0)-IF(Presion_cilindro!N51&gt;(-I$4+Presion_cilindro!$B$34),1-EXP(-Presion_cilindro!$B$16*((Presion_cilindro!N51-(-I$4+Presion_cilindro!$B$34))/Presion_cilindro!$B$35)^(Presion_cilindro!$B$17+1)),0))/((Presion_cilindro!O51+Presion_cilindro!O52)/2)</f>
        <v>0.7479542300628057</v>
      </c>
      <c r="J60" s="27">
        <f>J59*(Presion_cilindro!O51/Presion_cilindro!O52)^Presion_cilindro!$B$9+10*(Presion_cilindro!$B$9-1)*Presion_cilindro!$B$33*(IF(Presion_cilindro!N52&gt;(-J$4+Presion_cilindro!$B$34),1-EXP(-Presion_cilindro!$B$16*((Presion_cilindro!N52-(-J$4+Presion_cilindro!$B$34))/Presion_cilindro!$B$35)^(Presion_cilindro!$B$17+1)),0)-IF(Presion_cilindro!N51&gt;(-J$4+Presion_cilindro!$B$34),1-EXP(-Presion_cilindro!$B$16*((Presion_cilindro!N51-(-J$4+Presion_cilindro!$B$34))/Presion_cilindro!$B$35)^(Presion_cilindro!$B$17+1)),0))/((Presion_cilindro!O51+Presion_cilindro!O52)/2)</f>
        <v>0.7479542300628057</v>
      </c>
      <c r="K60" s="27">
        <f>K59*(Presion_cilindro!O51/Presion_cilindro!O52)^Presion_cilindro!$B$9+10*(Presion_cilindro!$B$9-1)*Presion_cilindro!$B$33*(IF(Presion_cilindro!N52&gt;(-K$4+Presion_cilindro!$B$34),1-EXP(-Presion_cilindro!$B$16*((Presion_cilindro!N52-(-K$4+Presion_cilindro!$B$34))/Presion_cilindro!$B$35)^(Presion_cilindro!$B$17+1)),0)-IF(Presion_cilindro!N51&gt;(-K$4+Presion_cilindro!$B$34),1-EXP(-Presion_cilindro!$B$16*((Presion_cilindro!N51-(-K$4+Presion_cilindro!$B$34))/Presion_cilindro!$B$35)^(Presion_cilindro!$B$17+1)),0))/((Presion_cilindro!O51+Presion_cilindro!O52)/2)</f>
        <v>0.7479542300628057</v>
      </c>
      <c r="L60" s="27">
        <f>L59*(Presion_cilindro!O51/Presion_cilindro!O52)^Presion_cilindro!$B$9+10*(Presion_cilindro!$B$9-1)*Presion_cilindro!$B$33*(IF(Presion_cilindro!N52&gt;(-L$4+Presion_cilindro!$B$34),1-EXP(-Presion_cilindro!$B$16*((Presion_cilindro!N52-(-L$4+Presion_cilindro!$B$34))/Presion_cilindro!$B$35)^(Presion_cilindro!$B$17+1)),0)-IF(Presion_cilindro!N51&gt;(-L$4+Presion_cilindro!$B$34),1-EXP(-Presion_cilindro!$B$16*((Presion_cilindro!N51-(-L$4+Presion_cilindro!$B$34))/Presion_cilindro!$B$35)^(Presion_cilindro!$B$17+1)),0))/((Presion_cilindro!O51+Presion_cilindro!O52)/2)</f>
        <v>0.7479542300628057</v>
      </c>
      <c r="M60" s="27">
        <f>M59*(Presion_cilindro!O51/Presion_cilindro!O52)^Presion_cilindro!$B$9+10*(Presion_cilindro!$B$9-1)*Presion_cilindro!$B$33*(IF(Presion_cilindro!N52&gt;(-M$4+Presion_cilindro!$B$34),1-EXP(-Presion_cilindro!$B$16*((Presion_cilindro!N52-(-M$4+Presion_cilindro!$B$34))/Presion_cilindro!$B$35)^(Presion_cilindro!$B$17+1)),0)-IF(Presion_cilindro!N51&gt;(-M$4+Presion_cilindro!$B$34),1-EXP(-Presion_cilindro!$B$16*((Presion_cilindro!N51-(-M$4+Presion_cilindro!$B$34))/Presion_cilindro!$B$35)^(Presion_cilindro!$B$17+1)),0))/((Presion_cilindro!O51+Presion_cilindro!O52)/2)</f>
        <v>0.7479542300628057</v>
      </c>
      <c r="N60" s="27">
        <f>N59*(Presion_cilindro!O51/Presion_cilindro!O52)^Presion_cilindro!$B$9+10*(Presion_cilindro!$B$9-1)*Presion_cilindro!$B$33*(IF(Presion_cilindro!N52&gt;(-N$4+Presion_cilindro!$B$34),1-EXP(-Presion_cilindro!$B$16*((Presion_cilindro!N52-(-N$4+Presion_cilindro!$B$34))/Presion_cilindro!$B$35)^(Presion_cilindro!$B$17+1)),0)-IF(Presion_cilindro!N51&gt;(-N$4+Presion_cilindro!$B$34),1-EXP(-Presion_cilindro!$B$16*((Presion_cilindro!N51-(-N$4+Presion_cilindro!$B$34))/Presion_cilindro!$B$35)^(Presion_cilindro!$B$17+1)),0))/((Presion_cilindro!O51+Presion_cilindro!O52)/2)</f>
        <v>0.7479542300628057</v>
      </c>
    </row>
    <row r="61" spans="1:14" x14ac:dyDescent="0.25">
      <c r="A61" s="21">
        <f>Presion_cilindro!N53</f>
        <v>-155.5</v>
      </c>
      <c r="B61" s="27">
        <f>B60*(Presion_cilindro!O52/Presion_cilindro!O53)^Presion_cilindro!$B$9+10*(Presion_cilindro!$B$9-1)*Presion_cilindro!$B$33*(IF(Presion_cilindro!N53&gt;(-B$4+Presion_cilindro!$B$34),1-EXP(-Presion_cilindro!$B$16*((Presion_cilindro!N53-(-B$4+Presion_cilindro!$B$34))/Presion_cilindro!$B$35)^(Presion_cilindro!$B$17+1)),0)-IF(Presion_cilindro!N52&gt;(-B$4+Presion_cilindro!$B$34),1-EXP(-Presion_cilindro!$B$16*((Presion_cilindro!N52-(-B$4+Presion_cilindro!$B$34))/Presion_cilindro!$B$35)^(Presion_cilindro!$B$17+1)),0))/((Presion_cilindro!O52+Presion_cilindro!O53)/2)</f>
        <v>0.74917394832894058</v>
      </c>
      <c r="C61" s="27">
        <f>C60*(Presion_cilindro!O52/Presion_cilindro!O53)^Presion_cilindro!$B$9+10*(Presion_cilindro!$B$9-1)*Presion_cilindro!$B$33*(IF(Presion_cilindro!N53&gt;(-C$4+Presion_cilindro!$B$34),1-EXP(-Presion_cilindro!$B$16*((Presion_cilindro!N53-(-C$4+Presion_cilindro!$B$34))/Presion_cilindro!$B$35)^(Presion_cilindro!$B$17+1)),0)-IF(Presion_cilindro!N52&gt;(-C$4+Presion_cilindro!$B$34),1-EXP(-Presion_cilindro!$B$16*((Presion_cilindro!N52-(-C$4+Presion_cilindro!$B$34))/Presion_cilindro!$B$35)^(Presion_cilindro!$B$17+1)),0))/((Presion_cilindro!O52+Presion_cilindro!O53)/2)</f>
        <v>0.74917394832894058</v>
      </c>
      <c r="D61" s="27">
        <f>D60*(Presion_cilindro!O52/Presion_cilindro!O53)^Presion_cilindro!$B$9+10*(Presion_cilindro!$B$9-1)*Presion_cilindro!$B$33*(IF(Presion_cilindro!N53&gt;(-D$4+Presion_cilindro!$B$34),1-EXP(-Presion_cilindro!$B$16*((Presion_cilindro!N53-(-D$4+Presion_cilindro!$B$34))/Presion_cilindro!$B$35)^(Presion_cilindro!$B$17+1)),0)-IF(Presion_cilindro!N52&gt;(-D$4+Presion_cilindro!$B$34),1-EXP(-Presion_cilindro!$B$16*((Presion_cilindro!N52-(-D$4+Presion_cilindro!$B$34))/Presion_cilindro!$B$35)^(Presion_cilindro!$B$17+1)),0))/((Presion_cilindro!O52+Presion_cilindro!O53)/2)</f>
        <v>0.74917394832894058</v>
      </c>
      <c r="E61" s="27">
        <f>E60*(Presion_cilindro!O52/Presion_cilindro!O53)^Presion_cilindro!$B$9+10*(Presion_cilindro!$B$9-1)*Presion_cilindro!$B$33*(IF(Presion_cilindro!N53&gt;(-E$4+Presion_cilindro!$B$34),1-EXP(-Presion_cilindro!$B$16*((Presion_cilindro!N53-(-E$4+Presion_cilindro!$B$34))/Presion_cilindro!$B$35)^(Presion_cilindro!$B$17+1)),0)-IF(Presion_cilindro!N52&gt;(-E$4+Presion_cilindro!$B$34),1-EXP(-Presion_cilindro!$B$16*((Presion_cilindro!N52-(-E$4+Presion_cilindro!$B$34))/Presion_cilindro!$B$35)^(Presion_cilindro!$B$17+1)),0))/((Presion_cilindro!O52+Presion_cilindro!O53)/2)</f>
        <v>0.74917394832894058</v>
      </c>
      <c r="F61" s="27">
        <f>F60*(Presion_cilindro!O52/Presion_cilindro!O53)^Presion_cilindro!$B$9+10*(Presion_cilindro!$B$9-1)*Presion_cilindro!$B$33*(IF(Presion_cilindro!N53&gt;(-F$4+Presion_cilindro!$B$34),1-EXP(-Presion_cilindro!$B$16*((Presion_cilindro!N53-(-F$4+Presion_cilindro!$B$34))/Presion_cilindro!$B$35)^(Presion_cilindro!$B$17+1)),0)-IF(Presion_cilindro!N52&gt;(-F$4+Presion_cilindro!$B$34),1-EXP(-Presion_cilindro!$B$16*((Presion_cilindro!N52-(-F$4+Presion_cilindro!$B$34))/Presion_cilindro!$B$35)^(Presion_cilindro!$B$17+1)),0))/((Presion_cilindro!O52+Presion_cilindro!O53)/2)</f>
        <v>0.74917394832894058</v>
      </c>
      <c r="G61" s="27">
        <f>G60*(Presion_cilindro!O52/Presion_cilindro!O53)^Presion_cilindro!$B$9+10*(Presion_cilindro!$B$9-1)*Presion_cilindro!$B$33*(IF(Presion_cilindro!N53&gt;(-G$4+Presion_cilindro!$B$34),1-EXP(-Presion_cilindro!$B$16*((Presion_cilindro!N53-(-G$4+Presion_cilindro!$B$34))/Presion_cilindro!$B$35)^(Presion_cilindro!$B$17+1)),0)-IF(Presion_cilindro!N52&gt;(-G$4+Presion_cilindro!$B$34),1-EXP(-Presion_cilindro!$B$16*((Presion_cilindro!N52-(-G$4+Presion_cilindro!$B$34))/Presion_cilindro!$B$35)^(Presion_cilindro!$B$17+1)),0))/((Presion_cilindro!O52+Presion_cilindro!O53)/2)</f>
        <v>0.74917394832894058</v>
      </c>
      <c r="H61" s="27">
        <f>H60*(Presion_cilindro!O52/Presion_cilindro!O53)^Presion_cilindro!$B$9+10*(Presion_cilindro!$B$9-1)*Presion_cilindro!$B$33*(IF(Presion_cilindro!N53&gt;(-H$4+Presion_cilindro!$B$34),1-EXP(-Presion_cilindro!$B$16*((Presion_cilindro!N53-(-H$4+Presion_cilindro!$B$34))/Presion_cilindro!$B$35)^(Presion_cilindro!$B$17+1)),0)-IF(Presion_cilindro!N52&gt;(-H$4+Presion_cilindro!$B$34),1-EXP(-Presion_cilindro!$B$16*((Presion_cilindro!N52-(-H$4+Presion_cilindro!$B$34))/Presion_cilindro!$B$35)^(Presion_cilindro!$B$17+1)),0))/((Presion_cilindro!O52+Presion_cilindro!O53)/2)</f>
        <v>0.74917394832894058</v>
      </c>
      <c r="I61" s="27">
        <f>I60*(Presion_cilindro!O52/Presion_cilindro!O53)^Presion_cilindro!$B$9+10*(Presion_cilindro!$B$9-1)*Presion_cilindro!$B$33*(IF(Presion_cilindro!N53&gt;(-I$4+Presion_cilindro!$B$34),1-EXP(-Presion_cilindro!$B$16*((Presion_cilindro!N53-(-I$4+Presion_cilindro!$B$34))/Presion_cilindro!$B$35)^(Presion_cilindro!$B$17+1)),0)-IF(Presion_cilindro!N52&gt;(-I$4+Presion_cilindro!$B$34),1-EXP(-Presion_cilindro!$B$16*((Presion_cilindro!N52-(-I$4+Presion_cilindro!$B$34))/Presion_cilindro!$B$35)^(Presion_cilindro!$B$17+1)),0))/((Presion_cilindro!O52+Presion_cilindro!O53)/2)</f>
        <v>0.74917394832894058</v>
      </c>
      <c r="J61" s="27">
        <f>J60*(Presion_cilindro!O52/Presion_cilindro!O53)^Presion_cilindro!$B$9+10*(Presion_cilindro!$B$9-1)*Presion_cilindro!$B$33*(IF(Presion_cilindro!N53&gt;(-J$4+Presion_cilindro!$B$34),1-EXP(-Presion_cilindro!$B$16*((Presion_cilindro!N53-(-J$4+Presion_cilindro!$B$34))/Presion_cilindro!$B$35)^(Presion_cilindro!$B$17+1)),0)-IF(Presion_cilindro!N52&gt;(-J$4+Presion_cilindro!$B$34),1-EXP(-Presion_cilindro!$B$16*((Presion_cilindro!N52-(-J$4+Presion_cilindro!$B$34))/Presion_cilindro!$B$35)^(Presion_cilindro!$B$17+1)),0))/((Presion_cilindro!O52+Presion_cilindro!O53)/2)</f>
        <v>0.74917394832894058</v>
      </c>
      <c r="K61" s="27">
        <f>K60*(Presion_cilindro!O52/Presion_cilindro!O53)^Presion_cilindro!$B$9+10*(Presion_cilindro!$B$9-1)*Presion_cilindro!$B$33*(IF(Presion_cilindro!N53&gt;(-K$4+Presion_cilindro!$B$34),1-EXP(-Presion_cilindro!$B$16*((Presion_cilindro!N53-(-K$4+Presion_cilindro!$B$34))/Presion_cilindro!$B$35)^(Presion_cilindro!$B$17+1)),0)-IF(Presion_cilindro!N52&gt;(-K$4+Presion_cilindro!$B$34),1-EXP(-Presion_cilindro!$B$16*((Presion_cilindro!N52-(-K$4+Presion_cilindro!$B$34))/Presion_cilindro!$B$35)^(Presion_cilindro!$B$17+1)),0))/((Presion_cilindro!O52+Presion_cilindro!O53)/2)</f>
        <v>0.74917394832894058</v>
      </c>
      <c r="L61" s="27">
        <f>L60*(Presion_cilindro!O52/Presion_cilindro!O53)^Presion_cilindro!$B$9+10*(Presion_cilindro!$B$9-1)*Presion_cilindro!$B$33*(IF(Presion_cilindro!N53&gt;(-L$4+Presion_cilindro!$B$34),1-EXP(-Presion_cilindro!$B$16*((Presion_cilindro!N53-(-L$4+Presion_cilindro!$B$34))/Presion_cilindro!$B$35)^(Presion_cilindro!$B$17+1)),0)-IF(Presion_cilindro!N52&gt;(-L$4+Presion_cilindro!$B$34),1-EXP(-Presion_cilindro!$B$16*((Presion_cilindro!N52-(-L$4+Presion_cilindro!$B$34))/Presion_cilindro!$B$35)^(Presion_cilindro!$B$17+1)),0))/((Presion_cilindro!O52+Presion_cilindro!O53)/2)</f>
        <v>0.74917394832894058</v>
      </c>
      <c r="M61" s="27">
        <f>M60*(Presion_cilindro!O52/Presion_cilindro!O53)^Presion_cilindro!$B$9+10*(Presion_cilindro!$B$9-1)*Presion_cilindro!$B$33*(IF(Presion_cilindro!N53&gt;(-M$4+Presion_cilindro!$B$34),1-EXP(-Presion_cilindro!$B$16*((Presion_cilindro!N53-(-M$4+Presion_cilindro!$B$34))/Presion_cilindro!$B$35)^(Presion_cilindro!$B$17+1)),0)-IF(Presion_cilindro!N52&gt;(-M$4+Presion_cilindro!$B$34),1-EXP(-Presion_cilindro!$B$16*((Presion_cilindro!N52-(-M$4+Presion_cilindro!$B$34))/Presion_cilindro!$B$35)^(Presion_cilindro!$B$17+1)),0))/((Presion_cilindro!O52+Presion_cilindro!O53)/2)</f>
        <v>0.74917394832894058</v>
      </c>
      <c r="N61" s="27">
        <f>N60*(Presion_cilindro!O52/Presion_cilindro!O53)^Presion_cilindro!$B$9+10*(Presion_cilindro!$B$9-1)*Presion_cilindro!$B$33*(IF(Presion_cilindro!N53&gt;(-N$4+Presion_cilindro!$B$34),1-EXP(-Presion_cilindro!$B$16*((Presion_cilindro!N53-(-N$4+Presion_cilindro!$B$34))/Presion_cilindro!$B$35)^(Presion_cilindro!$B$17+1)),0)-IF(Presion_cilindro!N52&gt;(-N$4+Presion_cilindro!$B$34),1-EXP(-Presion_cilindro!$B$16*((Presion_cilindro!N52-(-N$4+Presion_cilindro!$B$34))/Presion_cilindro!$B$35)^(Presion_cilindro!$B$17+1)),0))/((Presion_cilindro!O52+Presion_cilindro!O53)/2)</f>
        <v>0.74917394832894058</v>
      </c>
    </row>
    <row r="62" spans="1:14" x14ac:dyDescent="0.25">
      <c r="A62" s="21">
        <f>Presion_cilindro!N54</f>
        <v>-155</v>
      </c>
      <c r="B62" s="27">
        <f>B61*(Presion_cilindro!O53/Presion_cilindro!O54)^Presion_cilindro!$B$9+10*(Presion_cilindro!$B$9-1)*Presion_cilindro!$B$33*(IF(Presion_cilindro!N54&gt;(-B$4+Presion_cilindro!$B$34),1-EXP(-Presion_cilindro!$B$16*((Presion_cilindro!N54-(-B$4+Presion_cilindro!$B$34))/Presion_cilindro!$B$35)^(Presion_cilindro!$B$17+1)),0)-IF(Presion_cilindro!N53&gt;(-B$4+Presion_cilindro!$B$34),1-EXP(-Presion_cilindro!$B$16*((Presion_cilindro!N53-(-B$4+Presion_cilindro!$B$34))/Presion_cilindro!$B$35)^(Presion_cilindro!$B$17+1)),0))/((Presion_cilindro!O53+Presion_cilindro!O54)/2)</f>
        <v>0.75042248133147016</v>
      </c>
      <c r="C62" s="27">
        <f>C61*(Presion_cilindro!O53/Presion_cilindro!O54)^Presion_cilindro!$B$9+10*(Presion_cilindro!$B$9-1)*Presion_cilindro!$B$33*(IF(Presion_cilindro!N54&gt;(-C$4+Presion_cilindro!$B$34),1-EXP(-Presion_cilindro!$B$16*((Presion_cilindro!N54-(-C$4+Presion_cilindro!$B$34))/Presion_cilindro!$B$35)^(Presion_cilindro!$B$17+1)),0)-IF(Presion_cilindro!N53&gt;(-C$4+Presion_cilindro!$B$34),1-EXP(-Presion_cilindro!$B$16*((Presion_cilindro!N53-(-C$4+Presion_cilindro!$B$34))/Presion_cilindro!$B$35)^(Presion_cilindro!$B$17+1)),0))/((Presion_cilindro!O53+Presion_cilindro!O54)/2)</f>
        <v>0.75042248133147016</v>
      </c>
      <c r="D62" s="27">
        <f>D61*(Presion_cilindro!O53/Presion_cilindro!O54)^Presion_cilindro!$B$9+10*(Presion_cilindro!$B$9-1)*Presion_cilindro!$B$33*(IF(Presion_cilindro!N54&gt;(-D$4+Presion_cilindro!$B$34),1-EXP(-Presion_cilindro!$B$16*((Presion_cilindro!N54-(-D$4+Presion_cilindro!$B$34))/Presion_cilindro!$B$35)^(Presion_cilindro!$B$17+1)),0)-IF(Presion_cilindro!N53&gt;(-D$4+Presion_cilindro!$B$34),1-EXP(-Presion_cilindro!$B$16*((Presion_cilindro!N53-(-D$4+Presion_cilindro!$B$34))/Presion_cilindro!$B$35)^(Presion_cilindro!$B$17+1)),0))/((Presion_cilindro!O53+Presion_cilindro!O54)/2)</f>
        <v>0.75042248133147016</v>
      </c>
      <c r="E62" s="27">
        <f>E61*(Presion_cilindro!O53/Presion_cilindro!O54)^Presion_cilindro!$B$9+10*(Presion_cilindro!$B$9-1)*Presion_cilindro!$B$33*(IF(Presion_cilindro!N54&gt;(-E$4+Presion_cilindro!$B$34),1-EXP(-Presion_cilindro!$B$16*((Presion_cilindro!N54-(-E$4+Presion_cilindro!$B$34))/Presion_cilindro!$B$35)^(Presion_cilindro!$B$17+1)),0)-IF(Presion_cilindro!N53&gt;(-E$4+Presion_cilindro!$B$34),1-EXP(-Presion_cilindro!$B$16*((Presion_cilindro!N53-(-E$4+Presion_cilindro!$B$34))/Presion_cilindro!$B$35)^(Presion_cilindro!$B$17+1)),0))/((Presion_cilindro!O53+Presion_cilindro!O54)/2)</f>
        <v>0.75042248133147016</v>
      </c>
      <c r="F62" s="27">
        <f>F61*(Presion_cilindro!O53/Presion_cilindro!O54)^Presion_cilindro!$B$9+10*(Presion_cilindro!$B$9-1)*Presion_cilindro!$B$33*(IF(Presion_cilindro!N54&gt;(-F$4+Presion_cilindro!$B$34),1-EXP(-Presion_cilindro!$B$16*((Presion_cilindro!N54-(-F$4+Presion_cilindro!$B$34))/Presion_cilindro!$B$35)^(Presion_cilindro!$B$17+1)),0)-IF(Presion_cilindro!N53&gt;(-F$4+Presion_cilindro!$B$34),1-EXP(-Presion_cilindro!$B$16*((Presion_cilindro!N53-(-F$4+Presion_cilindro!$B$34))/Presion_cilindro!$B$35)^(Presion_cilindro!$B$17+1)),0))/((Presion_cilindro!O53+Presion_cilindro!O54)/2)</f>
        <v>0.75042248133147016</v>
      </c>
      <c r="G62" s="27">
        <f>G61*(Presion_cilindro!O53/Presion_cilindro!O54)^Presion_cilindro!$B$9+10*(Presion_cilindro!$B$9-1)*Presion_cilindro!$B$33*(IF(Presion_cilindro!N54&gt;(-G$4+Presion_cilindro!$B$34),1-EXP(-Presion_cilindro!$B$16*((Presion_cilindro!N54-(-G$4+Presion_cilindro!$B$34))/Presion_cilindro!$B$35)^(Presion_cilindro!$B$17+1)),0)-IF(Presion_cilindro!N53&gt;(-G$4+Presion_cilindro!$B$34),1-EXP(-Presion_cilindro!$B$16*((Presion_cilindro!N53-(-G$4+Presion_cilindro!$B$34))/Presion_cilindro!$B$35)^(Presion_cilindro!$B$17+1)),0))/((Presion_cilindro!O53+Presion_cilindro!O54)/2)</f>
        <v>0.75042248133147016</v>
      </c>
      <c r="H62" s="27">
        <f>H61*(Presion_cilindro!O53/Presion_cilindro!O54)^Presion_cilindro!$B$9+10*(Presion_cilindro!$B$9-1)*Presion_cilindro!$B$33*(IF(Presion_cilindro!N54&gt;(-H$4+Presion_cilindro!$B$34),1-EXP(-Presion_cilindro!$B$16*((Presion_cilindro!N54-(-H$4+Presion_cilindro!$B$34))/Presion_cilindro!$B$35)^(Presion_cilindro!$B$17+1)),0)-IF(Presion_cilindro!N53&gt;(-H$4+Presion_cilindro!$B$34),1-EXP(-Presion_cilindro!$B$16*((Presion_cilindro!N53-(-H$4+Presion_cilindro!$B$34))/Presion_cilindro!$B$35)^(Presion_cilindro!$B$17+1)),0))/((Presion_cilindro!O53+Presion_cilindro!O54)/2)</f>
        <v>0.75042248133147016</v>
      </c>
      <c r="I62" s="27">
        <f>I61*(Presion_cilindro!O53/Presion_cilindro!O54)^Presion_cilindro!$B$9+10*(Presion_cilindro!$B$9-1)*Presion_cilindro!$B$33*(IF(Presion_cilindro!N54&gt;(-I$4+Presion_cilindro!$B$34),1-EXP(-Presion_cilindro!$B$16*((Presion_cilindro!N54-(-I$4+Presion_cilindro!$B$34))/Presion_cilindro!$B$35)^(Presion_cilindro!$B$17+1)),0)-IF(Presion_cilindro!N53&gt;(-I$4+Presion_cilindro!$B$34),1-EXP(-Presion_cilindro!$B$16*((Presion_cilindro!N53-(-I$4+Presion_cilindro!$B$34))/Presion_cilindro!$B$35)^(Presion_cilindro!$B$17+1)),0))/((Presion_cilindro!O53+Presion_cilindro!O54)/2)</f>
        <v>0.75042248133147016</v>
      </c>
      <c r="J62" s="27">
        <f>J61*(Presion_cilindro!O53/Presion_cilindro!O54)^Presion_cilindro!$B$9+10*(Presion_cilindro!$B$9-1)*Presion_cilindro!$B$33*(IF(Presion_cilindro!N54&gt;(-J$4+Presion_cilindro!$B$34),1-EXP(-Presion_cilindro!$B$16*((Presion_cilindro!N54-(-J$4+Presion_cilindro!$B$34))/Presion_cilindro!$B$35)^(Presion_cilindro!$B$17+1)),0)-IF(Presion_cilindro!N53&gt;(-J$4+Presion_cilindro!$B$34),1-EXP(-Presion_cilindro!$B$16*((Presion_cilindro!N53-(-J$4+Presion_cilindro!$B$34))/Presion_cilindro!$B$35)^(Presion_cilindro!$B$17+1)),0))/((Presion_cilindro!O53+Presion_cilindro!O54)/2)</f>
        <v>0.75042248133147016</v>
      </c>
      <c r="K62" s="27">
        <f>K61*(Presion_cilindro!O53/Presion_cilindro!O54)^Presion_cilindro!$B$9+10*(Presion_cilindro!$B$9-1)*Presion_cilindro!$B$33*(IF(Presion_cilindro!N54&gt;(-K$4+Presion_cilindro!$B$34),1-EXP(-Presion_cilindro!$B$16*((Presion_cilindro!N54-(-K$4+Presion_cilindro!$B$34))/Presion_cilindro!$B$35)^(Presion_cilindro!$B$17+1)),0)-IF(Presion_cilindro!N53&gt;(-K$4+Presion_cilindro!$B$34),1-EXP(-Presion_cilindro!$B$16*((Presion_cilindro!N53-(-K$4+Presion_cilindro!$B$34))/Presion_cilindro!$B$35)^(Presion_cilindro!$B$17+1)),0))/((Presion_cilindro!O53+Presion_cilindro!O54)/2)</f>
        <v>0.75042248133147016</v>
      </c>
      <c r="L62" s="27">
        <f>L61*(Presion_cilindro!O53/Presion_cilindro!O54)^Presion_cilindro!$B$9+10*(Presion_cilindro!$B$9-1)*Presion_cilindro!$B$33*(IF(Presion_cilindro!N54&gt;(-L$4+Presion_cilindro!$B$34),1-EXP(-Presion_cilindro!$B$16*((Presion_cilindro!N54-(-L$4+Presion_cilindro!$B$34))/Presion_cilindro!$B$35)^(Presion_cilindro!$B$17+1)),0)-IF(Presion_cilindro!N53&gt;(-L$4+Presion_cilindro!$B$34),1-EXP(-Presion_cilindro!$B$16*((Presion_cilindro!N53-(-L$4+Presion_cilindro!$B$34))/Presion_cilindro!$B$35)^(Presion_cilindro!$B$17+1)),0))/((Presion_cilindro!O53+Presion_cilindro!O54)/2)</f>
        <v>0.75042248133147016</v>
      </c>
      <c r="M62" s="27">
        <f>M61*(Presion_cilindro!O53/Presion_cilindro!O54)^Presion_cilindro!$B$9+10*(Presion_cilindro!$B$9-1)*Presion_cilindro!$B$33*(IF(Presion_cilindro!N54&gt;(-M$4+Presion_cilindro!$B$34),1-EXP(-Presion_cilindro!$B$16*((Presion_cilindro!N54-(-M$4+Presion_cilindro!$B$34))/Presion_cilindro!$B$35)^(Presion_cilindro!$B$17+1)),0)-IF(Presion_cilindro!N53&gt;(-M$4+Presion_cilindro!$B$34),1-EXP(-Presion_cilindro!$B$16*((Presion_cilindro!N53-(-M$4+Presion_cilindro!$B$34))/Presion_cilindro!$B$35)^(Presion_cilindro!$B$17+1)),0))/((Presion_cilindro!O53+Presion_cilindro!O54)/2)</f>
        <v>0.75042248133147016</v>
      </c>
      <c r="N62" s="27">
        <f>N61*(Presion_cilindro!O53/Presion_cilindro!O54)^Presion_cilindro!$B$9+10*(Presion_cilindro!$B$9-1)*Presion_cilindro!$B$33*(IF(Presion_cilindro!N54&gt;(-N$4+Presion_cilindro!$B$34),1-EXP(-Presion_cilindro!$B$16*((Presion_cilindro!N54-(-N$4+Presion_cilindro!$B$34))/Presion_cilindro!$B$35)^(Presion_cilindro!$B$17+1)),0)-IF(Presion_cilindro!N53&gt;(-N$4+Presion_cilindro!$B$34),1-EXP(-Presion_cilindro!$B$16*((Presion_cilindro!N53-(-N$4+Presion_cilindro!$B$34))/Presion_cilindro!$B$35)^(Presion_cilindro!$B$17+1)),0))/((Presion_cilindro!O53+Presion_cilindro!O54)/2)</f>
        <v>0.75042248133147016</v>
      </c>
    </row>
    <row r="63" spans="1:14" x14ac:dyDescent="0.25">
      <c r="A63" s="21">
        <f>Presion_cilindro!N55</f>
        <v>-154.5</v>
      </c>
      <c r="B63" s="27">
        <f>B62*(Presion_cilindro!O54/Presion_cilindro!O55)^Presion_cilindro!$B$9+10*(Presion_cilindro!$B$9-1)*Presion_cilindro!$B$33*(IF(Presion_cilindro!N55&gt;(-B$4+Presion_cilindro!$B$34),1-EXP(-Presion_cilindro!$B$16*((Presion_cilindro!N55-(-B$4+Presion_cilindro!$B$34))/Presion_cilindro!$B$35)^(Presion_cilindro!$B$17+1)),0)-IF(Presion_cilindro!N54&gt;(-B$4+Presion_cilindro!$B$34),1-EXP(-Presion_cilindro!$B$16*((Presion_cilindro!N54-(-B$4+Presion_cilindro!$B$34))/Presion_cilindro!$B$35)^(Presion_cilindro!$B$17+1)),0))/((Presion_cilindro!O54+Presion_cilindro!O55)/2)</f>
        <v>0.75170006590087524</v>
      </c>
      <c r="C63" s="27">
        <f>C62*(Presion_cilindro!O54/Presion_cilindro!O55)^Presion_cilindro!$B$9+10*(Presion_cilindro!$B$9-1)*Presion_cilindro!$B$33*(IF(Presion_cilindro!N55&gt;(-C$4+Presion_cilindro!$B$34),1-EXP(-Presion_cilindro!$B$16*((Presion_cilindro!N55-(-C$4+Presion_cilindro!$B$34))/Presion_cilindro!$B$35)^(Presion_cilindro!$B$17+1)),0)-IF(Presion_cilindro!N54&gt;(-C$4+Presion_cilindro!$B$34),1-EXP(-Presion_cilindro!$B$16*((Presion_cilindro!N54-(-C$4+Presion_cilindro!$B$34))/Presion_cilindro!$B$35)^(Presion_cilindro!$B$17+1)),0))/((Presion_cilindro!O54+Presion_cilindro!O55)/2)</f>
        <v>0.75170006590087524</v>
      </c>
      <c r="D63" s="27">
        <f>D62*(Presion_cilindro!O54/Presion_cilindro!O55)^Presion_cilindro!$B$9+10*(Presion_cilindro!$B$9-1)*Presion_cilindro!$B$33*(IF(Presion_cilindro!N55&gt;(-D$4+Presion_cilindro!$B$34),1-EXP(-Presion_cilindro!$B$16*((Presion_cilindro!N55-(-D$4+Presion_cilindro!$B$34))/Presion_cilindro!$B$35)^(Presion_cilindro!$B$17+1)),0)-IF(Presion_cilindro!N54&gt;(-D$4+Presion_cilindro!$B$34),1-EXP(-Presion_cilindro!$B$16*((Presion_cilindro!N54-(-D$4+Presion_cilindro!$B$34))/Presion_cilindro!$B$35)^(Presion_cilindro!$B$17+1)),0))/((Presion_cilindro!O54+Presion_cilindro!O55)/2)</f>
        <v>0.75170006590087524</v>
      </c>
      <c r="E63" s="27">
        <f>E62*(Presion_cilindro!O54/Presion_cilindro!O55)^Presion_cilindro!$B$9+10*(Presion_cilindro!$B$9-1)*Presion_cilindro!$B$33*(IF(Presion_cilindro!N55&gt;(-E$4+Presion_cilindro!$B$34),1-EXP(-Presion_cilindro!$B$16*((Presion_cilindro!N55-(-E$4+Presion_cilindro!$B$34))/Presion_cilindro!$B$35)^(Presion_cilindro!$B$17+1)),0)-IF(Presion_cilindro!N54&gt;(-E$4+Presion_cilindro!$B$34),1-EXP(-Presion_cilindro!$B$16*((Presion_cilindro!N54-(-E$4+Presion_cilindro!$B$34))/Presion_cilindro!$B$35)^(Presion_cilindro!$B$17+1)),0))/((Presion_cilindro!O54+Presion_cilindro!O55)/2)</f>
        <v>0.75170006590087524</v>
      </c>
      <c r="F63" s="27">
        <f>F62*(Presion_cilindro!O54/Presion_cilindro!O55)^Presion_cilindro!$B$9+10*(Presion_cilindro!$B$9-1)*Presion_cilindro!$B$33*(IF(Presion_cilindro!N55&gt;(-F$4+Presion_cilindro!$B$34),1-EXP(-Presion_cilindro!$B$16*((Presion_cilindro!N55-(-F$4+Presion_cilindro!$B$34))/Presion_cilindro!$B$35)^(Presion_cilindro!$B$17+1)),0)-IF(Presion_cilindro!N54&gt;(-F$4+Presion_cilindro!$B$34),1-EXP(-Presion_cilindro!$B$16*((Presion_cilindro!N54-(-F$4+Presion_cilindro!$B$34))/Presion_cilindro!$B$35)^(Presion_cilindro!$B$17+1)),0))/((Presion_cilindro!O54+Presion_cilindro!O55)/2)</f>
        <v>0.75170006590087524</v>
      </c>
      <c r="G63" s="27">
        <f>G62*(Presion_cilindro!O54/Presion_cilindro!O55)^Presion_cilindro!$B$9+10*(Presion_cilindro!$B$9-1)*Presion_cilindro!$B$33*(IF(Presion_cilindro!N55&gt;(-G$4+Presion_cilindro!$B$34),1-EXP(-Presion_cilindro!$B$16*((Presion_cilindro!N55-(-G$4+Presion_cilindro!$B$34))/Presion_cilindro!$B$35)^(Presion_cilindro!$B$17+1)),0)-IF(Presion_cilindro!N54&gt;(-G$4+Presion_cilindro!$B$34),1-EXP(-Presion_cilindro!$B$16*((Presion_cilindro!N54-(-G$4+Presion_cilindro!$B$34))/Presion_cilindro!$B$35)^(Presion_cilindro!$B$17+1)),0))/((Presion_cilindro!O54+Presion_cilindro!O55)/2)</f>
        <v>0.75170006590087524</v>
      </c>
      <c r="H63" s="27">
        <f>H62*(Presion_cilindro!O54/Presion_cilindro!O55)^Presion_cilindro!$B$9+10*(Presion_cilindro!$B$9-1)*Presion_cilindro!$B$33*(IF(Presion_cilindro!N55&gt;(-H$4+Presion_cilindro!$B$34),1-EXP(-Presion_cilindro!$B$16*((Presion_cilindro!N55-(-H$4+Presion_cilindro!$B$34))/Presion_cilindro!$B$35)^(Presion_cilindro!$B$17+1)),0)-IF(Presion_cilindro!N54&gt;(-H$4+Presion_cilindro!$B$34),1-EXP(-Presion_cilindro!$B$16*((Presion_cilindro!N54-(-H$4+Presion_cilindro!$B$34))/Presion_cilindro!$B$35)^(Presion_cilindro!$B$17+1)),0))/((Presion_cilindro!O54+Presion_cilindro!O55)/2)</f>
        <v>0.75170006590087524</v>
      </c>
      <c r="I63" s="27">
        <f>I62*(Presion_cilindro!O54/Presion_cilindro!O55)^Presion_cilindro!$B$9+10*(Presion_cilindro!$B$9-1)*Presion_cilindro!$B$33*(IF(Presion_cilindro!N55&gt;(-I$4+Presion_cilindro!$B$34),1-EXP(-Presion_cilindro!$B$16*((Presion_cilindro!N55-(-I$4+Presion_cilindro!$B$34))/Presion_cilindro!$B$35)^(Presion_cilindro!$B$17+1)),0)-IF(Presion_cilindro!N54&gt;(-I$4+Presion_cilindro!$B$34),1-EXP(-Presion_cilindro!$B$16*((Presion_cilindro!N54-(-I$4+Presion_cilindro!$B$34))/Presion_cilindro!$B$35)^(Presion_cilindro!$B$17+1)),0))/((Presion_cilindro!O54+Presion_cilindro!O55)/2)</f>
        <v>0.75170006590087524</v>
      </c>
      <c r="J63" s="27">
        <f>J62*(Presion_cilindro!O54/Presion_cilindro!O55)^Presion_cilindro!$B$9+10*(Presion_cilindro!$B$9-1)*Presion_cilindro!$B$33*(IF(Presion_cilindro!N55&gt;(-J$4+Presion_cilindro!$B$34),1-EXP(-Presion_cilindro!$B$16*((Presion_cilindro!N55-(-J$4+Presion_cilindro!$B$34))/Presion_cilindro!$B$35)^(Presion_cilindro!$B$17+1)),0)-IF(Presion_cilindro!N54&gt;(-J$4+Presion_cilindro!$B$34),1-EXP(-Presion_cilindro!$B$16*((Presion_cilindro!N54-(-J$4+Presion_cilindro!$B$34))/Presion_cilindro!$B$35)^(Presion_cilindro!$B$17+1)),0))/((Presion_cilindro!O54+Presion_cilindro!O55)/2)</f>
        <v>0.75170006590087524</v>
      </c>
      <c r="K63" s="27">
        <f>K62*(Presion_cilindro!O54/Presion_cilindro!O55)^Presion_cilindro!$B$9+10*(Presion_cilindro!$B$9-1)*Presion_cilindro!$B$33*(IF(Presion_cilindro!N55&gt;(-K$4+Presion_cilindro!$B$34),1-EXP(-Presion_cilindro!$B$16*((Presion_cilindro!N55-(-K$4+Presion_cilindro!$B$34))/Presion_cilindro!$B$35)^(Presion_cilindro!$B$17+1)),0)-IF(Presion_cilindro!N54&gt;(-K$4+Presion_cilindro!$B$34),1-EXP(-Presion_cilindro!$B$16*((Presion_cilindro!N54-(-K$4+Presion_cilindro!$B$34))/Presion_cilindro!$B$35)^(Presion_cilindro!$B$17+1)),0))/((Presion_cilindro!O54+Presion_cilindro!O55)/2)</f>
        <v>0.75170006590087524</v>
      </c>
      <c r="L63" s="27">
        <f>L62*(Presion_cilindro!O54/Presion_cilindro!O55)^Presion_cilindro!$B$9+10*(Presion_cilindro!$B$9-1)*Presion_cilindro!$B$33*(IF(Presion_cilindro!N55&gt;(-L$4+Presion_cilindro!$B$34),1-EXP(-Presion_cilindro!$B$16*((Presion_cilindro!N55-(-L$4+Presion_cilindro!$B$34))/Presion_cilindro!$B$35)^(Presion_cilindro!$B$17+1)),0)-IF(Presion_cilindro!N54&gt;(-L$4+Presion_cilindro!$B$34),1-EXP(-Presion_cilindro!$B$16*((Presion_cilindro!N54-(-L$4+Presion_cilindro!$B$34))/Presion_cilindro!$B$35)^(Presion_cilindro!$B$17+1)),0))/((Presion_cilindro!O54+Presion_cilindro!O55)/2)</f>
        <v>0.75170006590087524</v>
      </c>
      <c r="M63" s="27">
        <f>M62*(Presion_cilindro!O54/Presion_cilindro!O55)^Presion_cilindro!$B$9+10*(Presion_cilindro!$B$9-1)*Presion_cilindro!$B$33*(IF(Presion_cilindro!N55&gt;(-M$4+Presion_cilindro!$B$34),1-EXP(-Presion_cilindro!$B$16*((Presion_cilindro!N55-(-M$4+Presion_cilindro!$B$34))/Presion_cilindro!$B$35)^(Presion_cilindro!$B$17+1)),0)-IF(Presion_cilindro!N54&gt;(-M$4+Presion_cilindro!$B$34),1-EXP(-Presion_cilindro!$B$16*((Presion_cilindro!N54-(-M$4+Presion_cilindro!$B$34))/Presion_cilindro!$B$35)^(Presion_cilindro!$B$17+1)),0))/((Presion_cilindro!O54+Presion_cilindro!O55)/2)</f>
        <v>0.75170006590087524</v>
      </c>
      <c r="N63" s="27">
        <f>N62*(Presion_cilindro!O54/Presion_cilindro!O55)^Presion_cilindro!$B$9+10*(Presion_cilindro!$B$9-1)*Presion_cilindro!$B$33*(IF(Presion_cilindro!N55&gt;(-N$4+Presion_cilindro!$B$34),1-EXP(-Presion_cilindro!$B$16*((Presion_cilindro!N55-(-N$4+Presion_cilindro!$B$34))/Presion_cilindro!$B$35)^(Presion_cilindro!$B$17+1)),0)-IF(Presion_cilindro!N54&gt;(-N$4+Presion_cilindro!$B$34),1-EXP(-Presion_cilindro!$B$16*((Presion_cilindro!N54-(-N$4+Presion_cilindro!$B$34))/Presion_cilindro!$B$35)^(Presion_cilindro!$B$17+1)),0))/((Presion_cilindro!O54+Presion_cilindro!O55)/2)</f>
        <v>0.75170006590087524</v>
      </c>
    </row>
    <row r="64" spans="1:14" x14ac:dyDescent="0.25">
      <c r="A64" s="21">
        <f>Presion_cilindro!N56</f>
        <v>-154</v>
      </c>
      <c r="B64" s="27">
        <f>B63*(Presion_cilindro!O55/Presion_cilindro!O56)^Presion_cilindro!$B$9+10*(Presion_cilindro!$B$9-1)*Presion_cilindro!$B$33*(IF(Presion_cilindro!N56&gt;(-B$4+Presion_cilindro!$B$34),1-EXP(-Presion_cilindro!$B$16*((Presion_cilindro!N56-(-B$4+Presion_cilindro!$B$34))/Presion_cilindro!$B$35)^(Presion_cilindro!$B$17+1)),0)-IF(Presion_cilindro!N55&gt;(-B$4+Presion_cilindro!$B$34),1-EXP(-Presion_cilindro!$B$16*((Presion_cilindro!N55-(-B$4+Presion_cilindro!$B$34))/Presion_cilindro!$B$35)^(Presion_cilindro!$B$17+1)),0))/((Presion_cilindro!O55+Presion_cilindro!O56)/2)</f>
        <v>0.75300694495116416</v>
      </c>
      <c r="C64" s="27">
        <f>C63*(Presion_cilindro!O55/Presion_cilindro!O56)^Presion_cilindro!$B$9+10*(Presion_cilindro!$B$9-1)*Presion_cilindro!$B$33*(IF(Presion_cilindro!N56&gt;(-C$4+Presion_cilindro!$B$34),1-EXP(-Presion_cilindro!$B$16*((Presion_cilindro!N56-(-C$4+Presion_cilindro!$B$34))/Presion_cilindro!$B$35)^(Presion_cilindro!$B$17+1)),0)-IF(Presion_cilindro!N55&gt;(-C$4+Presion_cilindro!$B$34),1-EXP(-Presion_cilindro!$B$16*((Presion_cilindro!N55-(-C$4+Presion_cilindro!$B$34))/Presion_cilindro!$B$35)^(Presion_cilindro!$B$17+1)),0))/((Presion_cilindro!O55+Presion_cilindro!O56)/2)</f>
        <v>0.75300694495116416</v>
      </c>
      <c r="D64" s="27">
        <f>D63*(Presion_cilindro!O55/Presion_cilindro!O56)^Presion_cilindro!$B$9+10*(Presion_cilindro!$B$9-1)*Presion_cilindro!$B$33*(IF(Presion_cilindro!N56&gt;(-D$4+Presion_cilindro!$B$34),1-EXP(-Presion_cilindro!$B$16*((Presion_cilindro!N56-(-D$4+Presion_cilindro!$B$34))/Presion_cilindro!$B$35)^(Presion_cilindro!$B$17+1)),0)-IF(Presion_cilindro!N55&gt;(-D$4+Presion_cilindro!$B$34),1-EXP(-Presion_cilindro!$B$16*((Presion_cilindro!N55-(-D$4+Presion_cilindro!$B$34))/Presion_cilindro!$B$35)^(Presion_cilindro!$B$17+1)),0))/((Presion_cilindro!O55+Presion_cilindro!O56)/2)</f>
        <v>0.75300694495116416</v>
      </c>
      <c r="E64" s="27">
        <f>E63*(Presion_cilindro!O55/Presion_cilindro!O56)^Presion_cilindro!$B$9+10*(Presion_cilindro!$B$9-1)*Presion_cilindro!$B$33*(IF(Presion_cilindro!N56&gt;(-E$4+Presion_cilindro!$B$34),1-EXP(-Presion_cilindro!$B$16*((Presion_cilindro!N56-(-E$4+Presion_cilindro!$B$34))/Presion_cilindro!$B$35)^(Presion_cilindro!$B$17+1)),0)-IF(Presion_cilindro!N55&gt;(-E$4+Presion_cilindro!$B$34),1-EXP(-Presion_cilindro!$B$16*((Presion_cilindro!N55-(-E$4+Presion_cilindro!$B$34))/Presion_cilindro!$B$35)^(Presion_cilindro!$B$17+1)),0))/((Presion_cilindro!O55+Presion_cilindro!O56)/2)</f>
        <v>0.75300694495116416</v>
      </c>
      <c r="F64" s="27">
        <f>F63*(Presion_cilindro!O55/Presion_cilindro!O56)^Presion_cilindro!$B$9+10*(Presion_cilindro!$B$9-1)*Presion_cilindro!$B$33*(IF(Presion_cilindro!N56&gt;(-F$4+Presion_cilindro!$B$34),1-EXP(-Presion_cilindro!$B$16*((Presion_cilindro!N56-(-F$4+Presion_cilindro!$B$34))/Presion_cilindro!$B$35)^(Presion_cilindro!$B$17+1)),0)-IF(Presion_cilindro!N55&gt;(-F$4+Presion_cilindro!$B$34),1-EXP(-Presion_cilindro!$B$16*((Presion_cilindro!N55-(-F$4+Presion_cilindro!$B$34))/Presion_cilindro!$B$35)^(Presion_cilindro!$B$17+1)),0))/((Presion_cilindro!O55+Presion_cilindro!O56)/2)</f>
        <v>0.75300694495116416</v>
      </c>
      <c r="G64" s="27">
        <f>G63*(Presion_cilindro!O55/Presion_cilindro!O56)^Presion_cilindro!$B$9+10*(Presion_cilindro!$B$9-1)*Presion_cilindro!$B$33*(IF(Presion_cilindro!N56&gt;(-G$4+Presion_cilindro!$B$34),1-EXP(-Presion_cilindro!$B$16*((Presion_cilindro!N56-(-G$4+Presion_cilindro!$B$34))/Presion_cilindro!$B$35)^(Presion_cilindro!$B$17+1)),0)-IF(Presion_cilindro!N55&gt;(-G$4+Presion_cilindro!$B$34),1-EXP(-Presion_cilindro!$B$16*((Presion_cilindro!N55-(-G$4+Presion_cilindro!$B$34))/Presion_cilindro!$B$35)^(Presion_cilindro!$B$17+1)),0))/((Presion_cilindro!O55+Presion_cilindro!O56)/2)</f>
        <v>0.75300694495116416</v>
      </c>
      <c r="H64" s="27">
        <f>H63*(Presion_cilindro!O55/Presion_cilindro!O56)^Presion_cilindro!$B$9+10*(Presion_cilindro!$B$9-1)*Presion_cilindro!$B$33*(IF(Presion_cilindro!N56&gt;(-H$4+Presion_cilindro!$B$34),1-EXP(-Presion_cilindro!$B$16*((Presion_cilindro!N56-(-H$4+Presion_cilindro!$B$34))/Presion_cilindro!$B$35)^(Presion_cilindro!$B$17+1)),0)-IF(Presion_cilindro!N55&gt;(-H$4+Presion_cilindro!$B$34),1-EXP(-Presion_cilindro!$B$16*((Presion_cilindro!N55-(-H$4+Presion_cilindro!$B$34))/Presion_cilindro!$B$35)^(Presion_cilindro!$B$17+1)),0))/((Presion_cilindro!O55+Presion_cilindro!O56)/2)</f>
        <v>0.75300694495116416</v>
      </c>
      <c r="I64" s="27">
        <f>I63*(Presion_cilindro!O55/Presion_cilindro!O56)^Presion_cilindro!$B$9+10*(Presion_cilindro!$B$9-1)*Presion_cilindro!$B$33*(IF(Presion_cilindro!N56&gt;(-I$4+Presion_cilindro!$B$34),1-EXP(-Presion_cilindro!$B$16*((Presion_cilindro!N56-(-I$4+Presion_cilindro!$B$34))/Presion_cilindro!$B$35)^(Presion_cilindro!$B$17+1)),0)-IF(Presion_cilindro!N55&gt;(-I$4+Presion_cilindro!$B$34),1-EXP(-Presion_cilindro!$B$16*((Presion_cilindro!N55-(-I$4+Presion_cilindro!$B$34))/Presion_cilindro!$B$35)^(Presion_cilindro!$B$17+1)),0))/((Presion_cilindro!O55+Presion_cilindro!O56)/2)</f>
        <v>0.75300694495116416</v>
      </c>
      <c r="J64" s="27">
        <f>J63*(Presion_cilindro!O55/Presion_cilindro!O56)^Presion_cilindro!$B$9+10*(Presion_cilindro!$B$9-1)*Presion_cilindro!$B$33*(IF(Presion_cilindro!N56&gt;(-J$4+Presion_cilindro!$B$34),1-EXP(-Presion_cilindro!$B$16*((Presion_cilindro!N56-(-J$4+Presion_cilindro!$B$34))/Presion_cilindro!$B$35)^(Presion_cilindro!$B$17+1)),0)-IF(Presion_cilindro!N55&gt;(-J$4+Presion_cilindro!$B$34),1-EXP(-Presion_cilindro!$B$16*((Presion_cilindro!N55-(-J$4+Presion_cilindro!$B$34))/Presion_cilindro!$B$35)^(Presion_cilindro!$B$17+1)),0))/((Presion_cilindro!O55+Presion_cilindro!O56)/2)</f>
        <v>0.75300694495116416</v>
      </c>
      <c r="K64" s="27">
        <f>K63*(Presion_cilindro!O55/Presion_cilindro!O56)^Presion_cilindro!$B$9+10*(Presion_cilindro!$B$9-1)*Presion_cilindro!$B$33*(IF(Presion_cilindro!N56&gt;(-K$4+Presion_cilindro!$B$34),1-EXP(-Presion_cilindro!$B$16*((Presion_cilindro!N56-(-K$4+Presion_cilindro!$B$34))/Presion_cilindro!$B$35)^(Presion_cilindro!$B$17+1)),0)-IF(Presion_cilindro!N55&gt;(-K$4+Presion_cilindro!$B$34),1-EXP(-Presion_cilindro!$B$16*((Presion_cilindro!N55-(-K$4+Presion_cilindro!$B$34))/Presion_cilindro!$B$35)^(Presion_cilindro!$B$17+1)),0))/((Presion_cilindro!O55+Presion_cilindro!O56)/2)</f>
        <v>0.75300694495116416</v>
      </c>
      <c r="L64" s="27">
        <f>L63*(Presion_cilindro!O55/Presion_cilindro!O56)^Presion_cilindro!$B$9+10*(Presion_cilindro!$B$9-1)*Presion_cilindro!$B$33*(IF(Presion_cilindro!N56&gt;(-L$4+Presion_cilindro!$B$34),1-EXP(-Presion_cilindro!$B$16*((Presion_cilindro!N56-(-L$4+Presion_cilindro!$B$34))/Presion_cilindro!$B$35)^(Presion_cilindro!$B$17+1)),0)-IF(Presion_cilindro!N55&gt;(-L$4+Presion_cilindro!$B$34),1-EXP(-Presion_cilindro!$B$16*((Presion_cilindro!N55-(-L$4+Presion_cilindro!$B$34))/Presion_cilindro!$B$35)^(Presion_cilindro!$B$17+1)),0))/((Presion_cilindro!O55+Presion_cilindro!O56)/2)</f>
        <v>0.75300694495116416</v>
      </c>
      <c r="M64" s="27">
        <f>M63*(Presion_cilindro!O55/Presion_cilindro!O56)^Presion_cilindro!$B$9+10*(Presion_cilindro!$B$9-1)*Presion_cilindro!$B$33*(IF(Presion_cilindro!N56&gt;(-M$4+Presion_cilindro!$B$34),1-EXP(-Presion_cilindro!$B$16*((Presion_cilindro!N56-(-M$4+Presion_cilindro!$B$34))/Presion_cilindro!$B$35)^(Presion_cilindro!$B$17+1)),0)-IF(Presion_cilindro!N55&gt;(-M$4+Presion_cilindro!$B$34),1-EXP(-Presion_cilindro!$B$16*((Presion_cilindro!N55-(-M$4+Presion_cilindro!$B$34))/Presion_cilindro!$B$35)^(Presion_cilindro!$B$17+1)),0))/((Presion_cilindro!O55+Presion_cilindro!O56)/2)</f>
        <v>0.75300694495116416</v>
      </c>
      <c r="N64" s="27">
        <f>N63*(Presion_cilindro!O55/Presion_cilindro!O56)^Presion_cilindro!$B$9+10*(Presion_cilindro!$B$9-1)*Presion_cilindro!$B$33*(IF(Presion_cilindro!N56&gt;(-N$4+Presion_cilindro!$B$34),1-EXP(-Presion_cilindro!$B$16*((Presion_cilindro!N56-(-N$4+Presion_cilindro!$B$34))/Presion_cilindro!$B$35)^(Presion_cilindro!$B$17+1)),0)-IF(Presion_cilindro!N55&gt;(-N$4+Presion_cilindro!$B$34),1-EXP(-Presion_cilindro!$B$16*((Presion_cilindro!N55-(-N$4+Presion_cilindro!$B$34))/Presion_cilindro!$B$35)^(Presion_cilindro!$B$17+1)),0))/((Presion_cilindro!O55+Presion_cilindro!O56)/2)</f>
        <v>0.75300694495116416</v>
      </c>
    </row>
    <row r="65" spans="1:14" x14ac:dyDescent="0.25">
      <c r="A65" s="21">
        <f>Presion_cilindro!N57</f>
        <v>-153.5</v>
      </c>
      <c r="B65" s="27">
        <f>B64*(Presion_cilindro!O56/Presion_cilindro!O57)^Presion_cilindro!$B$9+10*(Presion_cilindro!$B$9-1)*Presion_cilindro!$B$33*(IF(Presion_cilindro!N57&gt;(-B$4+Presion_cilindro!$B$34),1-EXP(-Presion_cilindro!$B$16*((Presion_cilindro!N57-(-B$4+Presion_cilindro!$B$34))/Presion_cilindro!$B$35)^(Presion_cilindro!$B$17+1)),0)-IF(Presion_cilindro!N56&gt;(-B$4+Presion_cilindro!$B$34),1-EXP(-Presion_cilindro!$B$16*((Presion_cilindro!N56-(-B$4+Presion_cilindro!$B$34))/Presion_cilindro!$B$35)^(Presion_cilindro!$B$17+1)),0))/((Presion_cilindro!O56+Presion_cilindro!O57)/2)</f>
        <v>0.75434336756473064</v>
      </c>
      <c r="C65" s="27">
        <f>C64*(Presion_cilindro!O56/Presion_cilindro!O57)^Presion_cilindro!$B$9+10*(Presion_cilindro!$B$9-1)*Presion_cilindro!$B$33*(IF(Presion_cilindro!N57&gt;(-C$4+Presion_cilindro!$B$34),1-EXP(-Presion_cilindro!$B$16*((Presion_cilindro!N57-(-C$4+Presion_cilindro!$B$34))/Presion_cilindro!$B$35)^(Presion_cilindro!$B$17+1)),0)-IF(Presion_cilindro!N56&gt;(-C$4+Presion_cilindro!$B$34),1-EXP(-Presion_cilindro!$B$16*((Presion_cilindro!N56-(-C$4+Presion_cilindro!$B$34))/Presion_cilindro!$B$35)^(Presion_cilindro!$B$17+1)),0))/((Presion_cilindro!O56+Presion_cilindro!O57)/2)</f>
        <v>0.75434336756473064</v>
      </c>
      <c r="D65" s="27">
        <f>D64*(Presion_cilindro!O56/Presion_cilindro!O57)^Presion_cilindro!$B$9+10*(Presion_cilindro!$B$9-1)*Presion_cilindro!$B$33*(IF(Presion_cilindro!N57&gt;(-D$4+Presion_cilindro!$B$34),1-EXP(-Presion_cilindro!$B$16*((Presion_cilindro!N57-(-D$4+Presion_cilindro!$B$34))/Presion_cilindro!$B$35)^(Presion_cilindro!$B$17+1)),0)-IF(Presion_cilindro!N56&gt;(-D$4+Presion_cilindro!$B$34),1-EXP(-Presion_cilindro!$B$16*((Presion_cilindro!N56-(-D$4+Presion_cilindro!$B$34))/Presion_cilindro!$B$35)^(Presion_cilindro!$B$17+1)),0))/((Presion_cilindro!O56+Presion_cilindro!O57)/2)</f>
        <v>0.75434336756473064</v>
      </c>
      <c r="E65" s="27">
        <f>E64*(Presion_cilindro!O56/Presion_cilindro!O57)^Presion_cilindro!$B$9+10*(Presion_cilindro!$B$9-1)*Presion_cilindro!$B$33*(IF(Presion_cilindro!N57&gt;(-E$4+Presion_cilindro!$B$34),1-EXP(-Presion_cilindro!$B$16*((Presion_cilindro!N57-(-E$4+Presion_cilindro!$B$34))/Presion_cilindro!$B$35)^(Presion_cilindro!$B$17+1)),0)-IF(Presion_cilindro!N56&gt;(-E$4+Presion_cilindro!$B$34),1-EXP(-Presion_cilindro!$B$16*((Presion_cilindro!N56-(-E$4+Presion_cilindro!$B$34))/Presion_cilindro!$B$35)^(Presion_cilindro!$B$17+1)),0))/((Presion_cilindro!O56+Presion_cilindro!O57)/2)</f>
        <v>0.75434336756473064</v>
      </c>
      <c r="F65" s="27">
        <f>F64*(Presion_cilindro!O56/Presion_cilindro!O57)^Presion_cilindro!$B$9+10*(Presion_cilindro!$B$9-1)*Presion_cilindro!$B$33*(IF(Presion_cilindro!N57&gt;(-F$4+Presion_cilindro!$B$34),1-EXP(-Presion_cilindro!$B$16*((Presion_cilindro!N57-(-F$4+Presion_cilindro!$B$34))/Presion_cilindro!$B$35)^(Presion_cilindro!$B$17+1)),0)-IF(Presion_cilindro!N56&gt;(-F$4+Presion_cilindro!$B$34),1-EXP(-Presion_cilindro!$B$16*((Presion_cilindro!N56-(-F$4+Presion_cilindro!$B$34))/Presion_cilindro!$B$35)^(Presion_cilindro!$B$17+1)),0))/((Presion_cilindro!O56+Presion_cilindro!O57)/2)</f>
        <v>0.75434336756473064</v>
      </c>
      <c r="G65" s="27">
        <f>G64*(Presion_cilindro!O56/Presion_cilindro!O57)^Presion_cilindro!$B$9+10*(Presion_cilindro!$B$9-1)*Presion_cilindro!$B$33*(IF(Presion_cilindro!N57&gt;(-G$4+Presion_cilindro!$B$34),1-EXP(-Presion_cilindro!$B$16*((Presion_cilindro!N57-(-G$4+Presion_cilindro!$B$34))/Presion_cilindro!$B$35)^(Presion_cilindro!$B$17+1)),0)-IF(Presion_cilindro!N56&gt;(-G$4+Presion_cilindro!$B$34),1-EXP(-Presion_cilindro!$B$16*((Presion_cilindro!N56-(-G$4+Presion_cilindro!$B$34))/Presion_cilindro!$B$35)^(Presion_cilindro!$B$17+1)),0))/((Presion_cilindro!O56+Presion_cilindro!O57)/2)</f>
        <v>0.75434336756473064</v>
      </c>
      <c r="H65" s="27">
        <f>H64*(Presion_cilindro!O56/Presion_cilindro!O57)^Presion_cilindro!$B$9+10*(Presion_cilindro!$B$9-1)*Presion_cilindro!$B$33*(IF(Presion_cilindro!N57&gt;(-H$4+Presion_cilindro!$B$34),1-EXP(-Presion_cilindro!$B$16*((Presion_cilindro!N57-(-H$4+Presion_cilindro!$B$34))/Presion_cilindro!$B$35)^(Presion_cilindro!$B$17+1)),0)-IF(Presion_cilindro!N56&gt;(-H$4+Presion_cilindro!$B$34),1-EXP(-Presion_cilindro!$B$16*((Presion_cilindro!N56-(-H$4+Presion_cilindro!$B$34))/Presion_cilindro!$B$35)^(Presion_cilindro!$B$17+1)),0))/((Presion_cilindro!O56+Presion_cilindro!O57)/2)</f>
        <v>0.75434336756473064</v>
      </c>
      <c r="I65" s="27">
        <f>I64*(Presion_cilindro!O56/Presion_cilindro!O57)^Presion_cilindro!$B$9+10*(Presion_cilindro!$B$9-1)*Presion_cilindro!$B$33*(IF(Presion_cilindro!N57&gt;(-I$4+Presion_cilindro!$B$34),1-EXP(-Presion_cilindro!$B$16*((Presion_cilindro!N57-(-I$4+Presion_cilindro!$B$34))/Presion_cilindro!$B$35)^(Presion_cilindro!$B$17+1)),0)-IF(Presion_cilindro!N56&gt;(-I$4+Presion_cilindro!$B$34),1-EXP(-Presion_cilindro!$B$16*((Presion_cilindro!N56-(-I$4+Presion_cilindro!$B$34))/Presion_cilindro!$B$35)^(Presion_cilindro!$B$17+1)),0))/((Presion_cilindro!O56+Presion_cilindro!O57)/2)</f>
        <v>0.75434336756473064</v>
      </c>
      <c r="J65" s="27">
        <f>J64*(Presion_cilindro!O56/Presion_cilindro!O57)^Presion_cilindro!$B$9+10*(Presion_cilindro!$B$9-1)*Presion_cilindro!$B$33*(IF(Presion_cilindro!N57&gt;(-J$4+Presion_cilindro!$B$34),1-EXP(-Presion_cilindro!$B$16*((Presion_cilindro!N57-(-J$4+Presion_cilindro!$B$34))/Presion_cilindro!$B$35)^(Presion_cilindro!$B$17+1)),0)-IF(Presion_cilindro!N56&gt;(-J$4+Presion_cilindro!$B$34),1-EXP(-Presion_cilindro!$B$16*((Presion_cilindro!N56-(-J$4+Presion_cilindro!$B$34))/Presion_cilindro!$B$35)^(Presion_cilindro!$B$17+1)),0))/((Presion_cilindro!O56+Presion_cilindro!O57)/2)</f>
        <v>0.75434336756473064</v>
      </c>
      <c r="K65" s="27">
        <f>K64*(Presion_cilindro!O56/Presion_cilindro!O57)^Presion_cilindro!$B$9+10*(Presion_cilindro!$B$9-1)*Presion_cilindro!$B$33*(IF(Presion_cilindro!N57&gt;(-K$4+Presion_cilindro!$B$34),1-EXP(-Presion_cilindro!$B$16*((Presion_cilindro!N57-(-K$4+Presion_cilindro!$B$34))/Presion_cilindro!$B$35)^(Presion_cilindro!$B$17+1)),0)-IF(Presion_cilindro!N56&gt;(-K$4+Presion_cilindro!$B$34),1-EXP(-Presion_cilindro!$B$16*((Presion_cilindro!N56-(-K$4+Presion_cilindro!$B$34))/Presion_cilindro!$B$35)^(Presion_cilindro!$B$17+1)),0))/((Presion_cilindro!O56+Presion_cilindro!O57)/2)</f>
        <v>0.75434336756473064</v>
      </c>
      <c r="L65" s="27">
        <f>L64*(Presion_cilindro!O56/Presion_cilindro!O57)^Presion_cilindro!$B$9+10*(Presion_cilindro!$B$9-1)*Presion_cilindro!$B$33*(IF(Presion_cilindro!N57&gt;(-L$4+Presion_cilindro!$B$34),1-EXP(-Presion_cilindro!$B$16*((Presion_cilindro!N57-(-L$4+Presion_cilindro!$B$34))/Presion_cilindro!$B$35)^(Presion_cilindro!$B$17+1)),0)-IF(Presion_cilindro!N56&gt;(-L$4+Presion_cilindro!$B$34),1-EXP(-Presion_cilindro!$B$16*((Presion_cilindro!N56-(-L$4+Presion_cilindro!$B$34))/Presion_cilindro!$B$35)^(Presion_cilindro!$B$17+1)),0))/((Presion_cilindro!O56+Presion_cilindro!O57)/2)</f>
        <v>0.75434336756473064</v>
      </c>
      <c r="M65" s="27">
        <f>M64*(Presion_cilindro!O56/Presion_cilindro!O57)^Presion_cilindro!$B$9+10*(Presion_cilindro!$B$9-1)*Presion_cilindro!$B$33*(IF(Presion_cilindro!N57&gt;(-M$4+Presion_cilindro!$B$34),1-EXP(-Presion_cilindro!$B$16*((Presion_cilindro!N57-(-M$4+Presion_cilindro!$B$34))/Presion_cilindro!$B$35)^(Presion_cilindro!$B$17+1)),0)-IF(Presion_cilindro!N56&gt;(-M$4+Presion_cilindro!$B$34),1-EXP(-Presion_cilindro!$B$16*((Presion_cilindro!N56-(-M$4+Presion_cilindro!$B$34))/Presion_cilindro!$B$35)^(Presion_cilindro!$B$17+1)),0))/((Presion_cilindro!O56+Presion_cilindro!O57)/2)</f>
        <v>0.75434336756473064</v>
      </c>
      <c r="N65" s="27">
        <f>N64*(Presion_cilindro!O56/Presion_cilindro!O57)^Presion_cilindro!$B$9+10*(Presion_cilindro!$B$9-1)*Presion_cilindro!$B$33*(IF(Presion_cilindro!N57&gt;(-N$4+Presion_cilindro!$B$34),1-EXP(-Presion_cilindro!$B$16*((Presion_cilindro!N57-(-N$4+Presion_cilindro!$B$34))/Presion_cilindro!$B$35)^(Presion_cilindro!$B$17+1)),0)-IF(Presion_cilindro!N56&gt;(-N$4+Presion_cilindro!$B$34),1-EXP(-Presion_cilindro!$B$16*((Presion_cilindro!N56-(-N$4+Presion_cilindro!$B$34))/Presion_cilindro!$B$35)^(Presion_cilindro!$B$17+1)),0))/((Presion_cilindro!O56+Presion_cilindro!O57)/2)</f>
        <v>0.75434336756473064</v>
      </c>
    </row>
    <row r="66" spans="1:14" x14ac:dyDescent="0.25">
      <c r="A66" s="21">
        <f>Presion_cilindro!N58</f>
        <v>-153</v>
      </c>
      <c r="B66" s="27">
        <f>B65*(Presion_cilindro!O57/Presion_cilindro!O58)^Presion_cilindro!$B$9+10*(Presion_cilindro!$B$9-1)*Presion_cilindro!$B$33*(IF(Presion_cilindro!N58&gt;(-B$4+Presion_cilindro!$B$34),1-EXP(-Presion_cilindro!$B$16*((Presion_cilindro!N58-(-B$4+Presion_cilindro!$B$34))/Presion_cilindro!$B$35)^(Presion_cilindro!$B$17+1)),0)-IF(Presion_cilindro!N57&gt;(-B$4+Presion_cilindro!$B$34),1-EXP(-Presion_cilindro!$B$16*((Presion_cilindro!N57-(-B$4+Presion_cilindro!$B$34))/Presion_cilindro!$B$35)^(Presion_cilindro!$B$17+1)),0))/((Presion_cilindro!O57+Presion_cilindro!O58)/2)</f>
        <v>0.75570958907961627</v>
      </c>
      <c r="C66" s="27">
        <f>C65*(Presion_cilindro!O57/Presion_cilindro!O58)^Presion_cilindro!$B$9+10*(Presion_cilindro!$B$9-1)*Presion_cilindro!$B$33*(IF(Presion_cilindro!N58&gt;(-C$4+Presion_cilindro!$B$34),1-EXP(-Presion_cilindro!$B$16*((Presion_cilindro!N58-(-C$4+Presion_cilindro!$B$34))/Presion_cilindro!$B$35)^(Presion_cilindro!$B$17+1)),0)-IF(Presion_cilindro!N57&gt;(-C$4+Presion_cilindro!$B$34),1-EXP(-Presion_cilindro!$B$16*((Presion_cilindro!N57-(-C$4+Presion_cilindro!$B$34))/Presion_cilindro!$B$35)^(Presion_cilindro!$B$17+1)),0))/((Presion_cilindro!O57+Presion_cilindro!O58)/2)</f>
        <v>0.75570958907961627</v>
      </c>
      <c r="D66" s="27">
        <f>D65*(Presion_cilindro!O57/Presion_cilindro!O58)^Presion_cilindro!$B$9+10*(Presion_cilindro!$B$9-1)*Presion_cilindro!$B$33*(IF(Presion_cilindro!N58&gt;(-D$4+Presion_cilindro!$B$34),1-EXP(-Presion_cilindro!$B$16*((Presion_cilindro!N58-(-D$4+Presion_cilindro!$B$34))/Presion_cilindro!$B$35)^(Presion_cilindro!$B$17+1)),0)-IF(Presion_cilindro!N57&gt;(-D$4+Presion_cilindro!$B$34),1-EXP(-Presion_cilindro!$B$16*((Presion_cilindro!N57-(-D$4+Presion_cilindro!$B$34))/Presion_cilindro!$B$35)^(Presion_cilindro!$B$17+1)),0))/((Presion_cilindro!O57+Presion_cilindro!O58)/2)</f>
        <v>0.75570958907961627</v>
      </c>
      <c r="E66" s="27">
        <f>E65*(Presion_cilindro!O57/Presion_cilindro!O58)^Presion_cilindro!$B$9+10*(Presion_cilindro!$B$9-1)*Presion_cilindro!$B$33*(IF(Presion_cilindro!N58&gt;(-E$4+Presion_cilindro!$B$34),1-EXP(-Presion_cilindro!$B$16*((Presion_cilindro!N58-(-E$4+Presion_cilindro!$B$34))/Presion_cilindro!$B$35)^(Presion_cilindro!$B$17+1)),0)-IF(Presion_cilindro!N57&gt;(-E$4+Presion_cilindro!$B$34),1-EXP(-Presion_cilindro!$B$16*((Presion_cilindro!N57-(-E$4+Presion_cilindro!$B$34))/Presion_cilindro!$B$35)^(Presion_cilindro!$B$17+1)),0))/((Presion_cilindro!O57+Presion_cilindro!O58)/2)</f>
        <v>0.75570958907961627</v>
      </c>
      <c r="F66" s="27">
        <f>F65*(Presion_cilindro!O57/Presion_cilindro!O58)^Presion_cilindro!$B$9+10*(Presion_cilindro!$B$9-1)*Presion_cilindro!$B$33*(IF(Presion_cilindro!N58&gt;(-F$4+Presion_cilindro!$B$34),1-EXP(-Presion_cilindro!$B$16*((Presion_cilindro!N58-(-F$4+Presion_cilindro!$B$34))/Presion_cilindro!$B$35)^(Presion_cilindro!$B$17+1)),0)-IF(Presion_cilindro!N57&gt;(-F$4+Presion_cilindro!$B$34),1-EXP(-Presion_cilindro!$B$16*((Presion_cilindro!N57-(-F$4+Presion_cilindro!$B$34))/Presion_cilindro!$B$35)^(Presion_cilindro!$B$17+1)),0))/((Presion_cilindro!O57+Presion_cilindro!O58)/2)</f>
        <v>0.75570958907961627</v>
      </c>
      <c r="G66" s="27">
        <f>G65*(Presion_cilindro!O57/Presion_cilindro!O58)^Presion_cilindro!$B$9+10*(Presion_cilindro!$B$9-1)*Presion_cilindro!$B$33*(IF(Presion_cilindro!N58&gt;(-G$4+Presion_cilindro!$B$34),1-EXP(-Presion_cilindro!$B$16*((Presion_cilindro!N58-(-G$4+Presion_cilindro!$B$34))/Presion_cilindro!$B$35)^(Presion_cilindro!$B$17+1)),0)-IF(Presion_cilindro!N57&gt;(-G$4+Presion_cilindro!$B$34),1-EXP(-Presion_cilindro!$B$16*((Presion_cilindro!N57-(-G$4+Presion_cilindro!$B$34))/Presion_cilindro!$B$35)^(Presion_cilindro!$B$17+1)),0))/((Presion_cilindro!O57+Presion_cilindro!O58)/2)</f>
        <v>0.75570958907961627</v>
      </c>
      <c r="H66" s="27">
        <f>H65*(Presion_cilindro!O57/Presion_cilindro!O58)^Presion_cilindro!$B$9+10*(Presion_cilindro!$B$9-1)*Presion_cilindro!$B$33*(IF(Presion_cilindro!N58&gt;(-H$4+Presion_cilindro!$B$34),1-EXP(-Presion_cilindro!$B$16*((Presion_cilindro!N58-(-H$4+Presion_cilindro!$B$34))/Presion_cilindro!$B$35)^(Presion_cilindro!$B$17+1)),0)-IF(Presion_cilindro!N57&gt;(-H$4+Presion_cilindro!$B$34),1-EXP(-Presion_cilindro!$B$16*((Presion_cilindro!N57-(-H$4+Presion_cilindro!$B$34))/Presion_cilindro!$B$35)^(Presion_cilindro!$B$17+1)),0))/((Presion_cilindro!O57+Presion_cilindro!O58)/2)</f>
        <v>0.75570958907961627</v>
      </c>
      <c r="I66" s="27">
        <f>I65*(Presion_cilindro!O57/Presion_cilindro!O58)^Presion_cilindro!$B$9+10*(Presion_cilindro!$B$9-1)*Presion_cilindro!$B$33*(IF(Presion_cilindro!N58&gt;(-I$4+Presion_cilindro!$B$34),1-EXP(-Presion_cilindro!$B$16*((Presion_cilindro!N58-(-I$4+Presion_cilindro!$B$34))/Presion_cilindro!$B$35)^(Presion_cilindro!$B$17+1)),0)-IF(Presion_cilindro!N57&gt;(-I$4+Presion_cilindro!$B$34),1-EXP(-Presion_cilindro!$B$16*((Presion_cilindro!N57-(-I$4+Presion_cilindro!$B$34))/Presion_cilindro!$B$35)^(Presion_cilindro!$B$17+1)),0))/((Presion_cilindro!O57+Presion_cilindro!O58)/2)</f>
        <v>0.75570958907961627</v>
      </c>
      <c r="J66" s="27">
        <f>J65*(Presion_cilindro!O57/Presion_cilindro!O58)^Presion_cilindro!$B$9+10*(Presion_cilindro!$B$9-1)*Presion_cilindro!$B$33*(IF(Presion_cilindro!N58&gt;(-J$4+Presion_cilindro!$B$34),1-EXP(-Presion_cilindro!$B$16*((Presion_cilindro!N58-(-J$4+Presion_cilindro!$B$34))/Presion_cilindro!$B$35)^(Presion_cilindro!$B$17+1)),0)-IF(Presion_cilindro!N57&gt;(-J$4+Presion_cilindro!$B$34),1-EXP(-Presion_cilindro!$B$16*((Presion_cilindro!N57-(-J$4+Presion_cilindro!$B$34))/Presion_cilindro!$B$35)^(Presion_cilindro!$B$17+1)),0))/((Presion_cilindro!O57+Presion_cilindro!O58)/2)</f>
        <v>0.75570958907961627</v>
      </c>
      <c r="K66" s="27">
        <f>K65*(Presion_cilindro!O57/Presion_cilindro!O58)^Presion_cilindro!$B$9+10*(Presion_cilindro!$B$9-1)*Presion_cilindro!$B$33*(IF(Presion_cilindro!N58&gt;(-K$4+Presion_cilindro!$B$34),1-EXP(-Presion_cilindro!$B$16*((Presion_cilindro!N58-(-K$4+Presion_cilindro!$B$34))/Presion_cilindro!$B$35)^(Presion_cilindro!$B$17+1)),0)-IF(Presion_cilindro!N57&gt;(-K$4+Presion_cilindro!$B$34),1-EXP(-Presion_cilindro!$B$16*((Presion_cilindro!N57-(-K$4+Presion_cilindro!$B$34))/Presion_cilindro!$B$35)^(Presion_cilindro!$B$17+1)),0))/((Presion_cilindro!O57+Presion_cilindro!O58)/2)</f>
        <v>0.75570958907961627</v>
      </c>
      <c r="L66" s="27">
        <f>L65*(Presion_cilindro!O57/Presion_cilindro!O58)^Presion_cilindro!$B$9+10*(Presion_cilindro!$B$9-1)*Presion_cilindro!$B$33*(IF(Presion_cilindro!N58&gt;(-L$4+Presion_cilindro!$B$34),1-EXP(-Presion_cilindro!$B$16*((Presion_cilindro!N58-(-L$4+Presion_cilindro!$B$34))/Presion_cilindro!$B$35)^(Presion_cilindro!$B$17+1)),0)-IF(Presion_cilindro!N57&gt;(-L$4+Presion_cilindro!$B$34),1-EXP(-Presion_cilindro!$B$16*((Presion_cilindro!N57-(-L$4+Presion_cilindro!$B$34))/Presion_cilindro!$B$35)^(Presion_cilindro!$B$17+1)),0))/((Presion_cilindro!O57+Presion_cilindro!O58)/2)</f>
        <v>0.75570958907961627</v>
      </c>
      <c r="M66" s="27">
        <f>M65*(Presion_cilindro!O57/Presion_cilindro!O58)^Presion_cilindro!$B$9+10*(Presion_cilindro!$B$9-1)*Presion_cilindro!$B$33*(IF(Presion_cilindro!N58&gt;(-M$4+Presion_cilindro!$B$34),1-EXP(-Presion_cilindro!$B$16*((Presion_cilindro!N58-(-M$4+Presion_cilindro!$B$34))/Presion_cilindro!$B$35)^(Presion_cilindro!$B$17+1)),0)-IF(Presion_cilindro!N57&gt;(-M$4+Presion_cilindro!$B$34),1-EXP(-Presion_cilindro!$B$16*((Presion_cilindro!N57-(-M$4+Presion_cilindro!$B$34))/Presion_cilindro!$B$35)^(Presion_cilindro!$B$17+1)),0))/((Presion_cilindro!O57+Presion_cilindro!O58)/2)</f>
        <v>0.75570958907961627</v>
      </c>
      <c r="N66" s="27">
        <f>N65*(Presion_cilindro!O57/Presion_cilindro!O58)^Presion_cilindro!$B$9+10*(Presion_cilindro!$B$9-1)*Presion_cilindro!$B$33*(IF(Presion_cilindro!N58&gt;(-N$4+Presion_cilindro!$B$34),1-EXP(-Presion_cilindro!$B$16*((Presion_cilindro!N58-(-N$4+Presion_cilindro!$B$34))/Presion_cilindro!$B$35)^(Presion_cilindro!$B$17+1)),0)-IF(Presion_cilindro!N57&gt;(-N$4+Presion_cilindro!$B$34),1-EXP(-Presion_cilindro!$B$16*((Presion_cilindro!N57-(-N$4+Presion_cilindro!$B$34))/Presion_cilindro!$B$35)^(Presion_cilindro!$B$17+1)),0))/((Presion_cilindro!O57+Presion_cilindro!O58)/2)</f>
        <v>0.75570958907961627</v>
      </c>
    </row>
    <row r="67" spans="1:14" x14ac:dyDescent="0.25">
      <c r="A67" s="21">
        <f>Presion_cilindro!N59</f>
        <v>-152.5</v>
      </c>
      <c r="B67" s="27">
        <f>B66*(Presion_cilindro!O58/Presion_cilindro!O59)^Presion_cilindro!$B$9+10*(Presion_cilindro!$B$9-1)*Presion_cilindro!$B$33*(IF(Presion_cilindro!N59&gt;(-B$4+Presion_cilindro!$B$34),1-EXP(-Presion_cilindro!$B$16*((Presion_cilindro!N59-(-B$4+Presion_cilindro!$B$34))/Presion_cilindro!$B$35)^(Presion_cilindro!$B$17+1)),0)-IF(Presion_cilindro!N58&gt;(-B$4+Presion_cilindro!$B$34),1-EXP(-Presion_cilindro!$B$16*((Presion_cilindro!N58-(-B$4+Presion_cilindro!$B$34))/Presion_cilindro!$B$35)^(Presion_cilindro!$B$17+1)),0))/((Presion_cilindro!O58+Presion_cilindro!O59)/2)</f>
        <v>0.75710587117922712</v>
      </c>
      <c r="C67" s="27">
        <f>C66*(Presion_cilindro!O58/Presion_cilindro!O59)^Presion_cilindro!$B$9+10*(Presion_cilindro!$B$9-1)*Presion_cilindro!$B$33*(IF(Presion_cilindro!N59&gt;(-C$4+Presion_cilindro!$B$34),1-EXP(-Presion_cilindro!$B$16*((Presion_cilindro!N59-(-C$4+Presion_cilindro!$B$34))/Presion_cilindro!$B$35)^(Presion_cilindro!$B$17+1)),0)-IF(Presion_cilindro!N58&gt;(-C$4+Presion_cilindro!$B$34),1-EXP(-Presion_cilindro!$B$16*((Presion_cilindro!N58-(-C$4+Presion_cilindro!$B$34))/Presion_cilindro!$B$35)^(Presion_cilindro!$B$17+1)),0))/((Presion_cilindro!O58+Presion_cilindro!O59)/2)</f>
        <v>0.75710587117922712</v>
      </c>
      <c r="D67" s="27">
        <f>D66*(Presion_cilindro!O58/Presion_cilindro!O59)^Presion_cilindro!$B$9+10*(Presion_cilindro!$B$9-1)*Presion_cilindro!$B$33*(IF(Presion_cilindro!N59&gt;(-D$4+Presion_cilindro!$B$34),1-EXP(-Presion_cilindro!$B$16*((Presion_cilindro!N59-(-D$4+Presion_cilindro!$B$34))/Presion_cilindro!$B$35)^(Presion_cilindro!$B$17+1)),0)-IF(Presion_cilindro!N58&gt;(-D$4+Presion_cilindro!$B$34),1-EXP(-Presion_cilindro!$B$16*((Presion_cilindro!N58-(-D$4+Presion_cilindro!$B$34))/Presion_cilindro!$B$35)^(Presion_cilindro!$B$17+1)),0))/((Presion_cilindro!O58+Presion_cilindro!O59)/2)</f>
        <v>0.75710587117922712</v>
      </c>
      <c r="E67" s="27">
        <f>E66*(Presion_cilindro!O58/Presion_cilindro!O59)^Presion_cilindro!$B$9+10*(Presion_cilindro!$B$9-1)*Presion_cilindro!$B$33*(IF(Presion_cilindro!N59&gt;(-E$4+Presion_cilindro!$B$34),1-EXP(-Presion_cilindro!$B$16*((Presion_cilindro!N59-(-E$4+Presion_cilindro!$B$34))/Presion_cilindro!$B$35)^(Presion_cilindro!$B$17+1)),0)-IF(Presion_cilindro!N58&gt;(-E$4+Presion_cilindro!$B$34),1-EXP(-Presion_cilindro!$B$16*((Presion_cilindro!N58-(-E$4+Presion_cilindro!$B$34))/Presion_cilindro!$B$35)^(Presion_cilindro!$B$17+1)),0))/((Presion_cilindro!O58+Presion_cilindro!O59)/2)</f>
        <v>0.75710587117922712</v>
      </c>
      <c r="F67" s="27">
        <f>F66*(Presion_cilindro!O58/Presion_cilindro!O59)^Presion_cilindro!$B$9+10*(Presion_cilindro!$B$9-1)*Presion_cilindro!$B$33*(IF(Presion_cilindro!N59&gt;(-F$4+Presion_cilindro!$B$34),1-EXP(-Presion_cilindro!$B$16*((Presion_cilindro!N59-(-F$4+Presion_cilindro!$B$34))/Presion_cilindro!$B$35)^(Presion_cilindro!$B$17+1)),0)-IF(Presion_cilindro!N58&gt;(-F$4+Presion_cilindro!$B$34),1-EXP(-Presion_cilindro!$B$16*((Presion_cilindro!N58-(-F$4+Presion_cilindro!$B$34))/Presion_cilindro!$B$35)^(Presion_cilindro!$B$17+1)),0))/((Presion_cilindro!O58+Presion_cilindro!O59)/2)</f>
        <v>0.75710587117922712</v>
      </c>
      <c r="G67" s="27">
        <f>G66*(Presion_cilindro!O58/Presion_cilindro!O59)^Presion_cilindro!$B$9+10*(Presion_cilindro!$B$9-1)*Presion_cilindro!$B$33*(IF(Presion_cilindro!N59&gt;(-G$4+Presion_cilindro!$B$34),1-EXP(-Presion_cilindro!$B$16*((Presion_cilindro!N59-(-G$4+Presion_cilindro!$B$34))/Presion_cilindro!$B$35)^(Presion_cilindro!$B$17+1)),0)-IF(Presion_cilindro!N58&gt;(-G$4+Presion_cilindro!$B$34),1-EXP(-Presion_cilindro!$B$16*((Presion_cilindro!N58-(-G$4+Presion_cilindro!$B$34))/Presion_cilindro!$B$35)^(Presion_cilindro!$B$17+1)),0))/((Presion_cilindro!O58+Presion_cilindro!O59)/2)</f>
        <v>0.75710587117922712</v>
      </c>
      <c r="H67" s="27">
        <f>H66*(Presion_cilindro!O58/Presion_cilindro!O59)^Presion_cilindro!$B$9+10*(Presion_cilindro!$B$9-1)*Presion_cilindro!$B$33*(IF(Presion_cilindro!N59&gt;(-H$4+Presion_cilindro!$B$34),1-EXP(-Presion_cilindro!$B$16*((Presion_cilindro!N59-(-H$4+Presion_cilindro!$B$34))/Presion_cilindro!$B$35)^(Presion_cilindro!$B$17+1)),0)-IF(Presion_cilindro!N58&gt;(-H$4+Presion_cilindro!$B$34),1-EXP(-Presion_cilindro!$B$16*((Presion_cilindro!N58-(-H$4+Presion_cilindro!$B$34))/Presion_cilindro!$B$35)^(Presion_cilindro!$B$17+1)),0))/((Presion_cilindro!O58+Presion_cilindro!O59)/2)</f>
        <v>0.75710587117922712</v>
      </c>
      <c r="I67" s="27">
        <f>I66*(Presion_cilindro!O58/Presion_cilindro!O59)^Presion_cilindro!$B$9+10*(Presion_cilindro!$B$9-1)*Presion_cilindro!$B$33*(IF(Presion_cilindro!N59&gt;(-I$4+Presion_cilindro!$B$34),1-EXP(-Presion_cilindro!$B$16*((Presion_cilindro!N59-(-I$4+Presion_cilindro!$B$34))/Presion_cilindro!$B$35)^(Presion_cilindro!$B$17+1)),0)-IF(Presion_cilindro!N58&gt;(-I$4+Presion_cilindro!$B$34),1-EXP(-Presion_cilindro!$B$16*((Presion_cilindro!N58-(-I$4+Presion_cilindro!$B$34))/Presion_cilindro!$B$35)^(Presion_cilindro!$B$17+1)),0))/((Presion_cilindro!O58+Presion_cilindro!O59)/2)</f>
        <v>0.75710587117922712</v>
      </c>
      <c r="J67" s="27">
        <f>J66*(Presion_cilindro!O58/Presion_cilindro!O59)^Presion_cilindro!$B$9+10*(Presion_cilindro!$B$9-1)*Presion_cilindro!$B$33*(IF(Presion_cilindro!N59&gt;(-J$4+Presion_cilindro!$B$34),1-EXP(-Presion_cilindro!$B$16*((Presion_cilindro!N59-(-J$4+Presion_cilindro!$B$34))/Presion_cilindro!$B$35)^(Presion_cilindro!$B$17+1)),0)-IF(Presion_cilindro!N58&gt;(-J$4+Presion_cilindro!$B$34),1-EXP(-Presion_cilindro!$B$16*((Presion_cilindro!N58-(-J$4+Presion_cilindro!$B$34))/Presion_cilindro!$B$35)^(Presion_cilindro!$B$17+1)),0))/((Presion_cilindro!O58+Presion_cilindro!O59)/2)</f>
        <v>0.75710587117922712</v>
      </c>
      <c r="K67" s="27">
        <f>K66*(Presion_cilindro!O58/Presion_cilindro!O59)^Presion_cilindro!$B$9+10*(Presion_cilindro!$B$9-1)*Presion_cilindro!$B$33*(IF(Presion_cilindro!N59&gt;(-K$4+Presion_cilindro!$B$34),1-EXP(-Presion_cilindro!$B$16*((Presion_cilindro!N59-(-K$4+Presion_cilindro!$B$34))/Presion_cilindro!$B$35)^(Presion_cilindro!$B$17+1)),0)-IF(Presion_cilindro!N58&gt;(-K$4+Presion_cilindro!$B$34),1-EXP(-Presion_cilindro!$B$16*((Presion_cilindro!N58-(-K$4+Presion_cilindro!$B$34))/Presion_cilindro!$B$35)^(Presion_cilindro!$B$17+1)),0))/((Presion_cilindro!O58+Presion_cilindro!O59)/2)</f>
        <v>0.75710587117922712</v>
      </c>
      <c r="L67" s="27">
        <f>L66*(Presion_cilindro!O58/Presion_cilindro!O59)^Presion_cilindro!$B$9+10*(Presion_cilindro!$B$9-1)*Presion_cilindro!$B$33*(IF(Presion_cilindro!N59&gt;(-L$4+Presion_cilindro!$B$34),1-EXP(-Presion_cilindro!$B$16*((Presion_cilindro!N59-(-L$4+Presion_cilindro!$B$34))/Presion_cilindro!$B$35)^(Presion_cilindro!$B$17+1)),0)-IF(Presion_cilindro!N58&gt;(-L$4+Presion_cilindro!$B$34),1-EXP(-Presion_cilindro!$B$16*((Presion_cilindro!N58-(-L$4+Presion_cilindro!$B$34))/Presion_cilindro!$B$35)^(Presion_cilindro!$B$17+1)),0))/((Presion_cilindro!O58+Presion_cilindro!O59)/2)</f>
        <v>0.75710587117922712</v>
      </c>
      <c r="M67" s="27">
        <f>M66*(Presion_cilindro!O58/Presion_cilindro!O59)^Presion_cilindro!$B$9+10*(Presion_cilindro!$B$9-1)*Presion_cilindro!$B$33*(IF(Presion_cilindro!N59&gt;(-M$4+Presion_cilindro!$B$34),1-EXP(-Presion_cilindro!$B$16*((Presion_cilindro!N59-(-M$4+Presion_cilindro!$B$34))/Presion_cilindro!$B$35)^(Presion_cilindro!$B$17+1)),0)-IF(Presion_cilindro!N58&gt;(-M$4+Presion_cilindro!$B$34),1-EXP(-Presion_cilindro!$B$16*((Presion_cilindro!N58-(-M$4+Presion_cilindro!$B$34))/Presion_cilindro!$B$35)^(Presion_cilindro!$B$17+1)),0))/((Presion_cilindro!O58+Presion_cilindro!O59)/2)</f>
        <v>0.75710587117922712</v>
      </c>
      <c r="N67" s="27">
        <f>N66*(Presion_cilindro!O58/Presion_cilindro!O59)^Presion_cilindro!$B$9+10*(Presion_cilindro!$B$9-1)*Presion_cilindro!$B$33*(IF(Presion_cilindro!N59&gt;(-N$4+Presion_cilindro!$B$34),1-EXP(-Presion_cilindro!$B$16*((Presion_cilindro!N59-(-N$4+Presion_cilindro!$B$34))/Presion_cilindro!$B$35)^(Presion_cilindro!$B$17+1)),0)-IF(Presion_cilindro!N58&gt;(-N$4+Presion_cilindro!$B$34),1-EXP(-Presion_cilindro!$B$16*((Presion_cilindro!N58-(-N$4+Presion_cilindro!$B$34))/Presion_cilindro!$B$35)^(Presion_cilindro!$B$17+1)),0))/((Presion_cilindro!O58+Presion_cilindro!O59)/2)</f>
        <v>0.75710587117922712</v>
      </c>
    </row>
    <row r="68" spans="1:14" x14ac:dyDescent="0.25">
      <c r="A68" s="21">
        <f>Presion_cilindro!N60</f>
        <v>-152</v>
      </c>
      <c r="B68" s="27">
        <f>B67*(Presion_cilindro!O59/Presion_cilindro!O60)^Presion_cilindro!$B$9+10*(Presion_cilindro!$B$9-1)*Presion_cilindro!$B$33*(IF(Presion_cilindro!N60&gt;(-B$4+Presion_cilindro!$B$34),1-EXP(-Presion_cilindro!$B$16*((Presion_cilindro!N60-(-B$4+Presion_cilindro!$B$34))/Presion_cilindro!$B$35)^(Presion_cilindro!$B$17+1)),0)-IF(Presion_cilindro!N59&gt;(-B$4+Presion_cilindro!$B$34),1-EXP(-Presion_cilindro!$B$16*((Presion_cilindro!N59-(-B$4+Presion_cilindro!$B$34))/Presion_cilindro!$B$35)^(Presion_cilindro!$B$17+1)),0))/((Presion_cilindro!O59+Presion_cilindro!O60)/2)</f>
        <v>0.75853248198455114</v>
      </c>
      <c r="C68" s="27">
        <f>C67*(Presion_cilindro!O59/Presion_cilindro!O60)^Presion_cilindro!$B$9+10*(Presion_cilindro!$B$9-1)*Presion_cilindro!$B$33*(IF(Presion_cilindro!N60&gt;(-C$4+Presion_cilindro!$B$34),1-EXP(-Presion_cilindro!$B$16*((Presion_cilindro!N60-(-C$4+Presion_cilindro!$B$34))/Presion_cilindro!$B$35)^(Presion_cilindro!$B$17+1)),0)-IF(Presion_cilindro!N59&gt;(-C$4+Presion_cilindro!$B$34),1-EXP(-Presion_cilindro!$B$16*((Presion_cilindro!N59-(-C$4+Presion_cilindro!$B$34))/Presion_cilindro!$B$35)^(Presion_cilindro!$B$17+1)),0))/((Presion_cilindro!O59+Presion_cilindro!O60)/2)</f>
        <v>0.75853248198455114</v>
      </c>
      <c r="D68" s="27">
        <f>D67*(Presion_cilindro!O59/Presion_cilindro!O60)^Presion_cilindro!$B$9+10*(Presion_cilindro!$B$9-1)*Presion_cilindro!$B$33*(IF(Presion_cilindro!N60&gt;(-D$4+Presion_cilindro!$B$34),1-EXP(-Presion_cilindro!$B$16*((Presion_cilindro!N60-(-D$4+Presion_cilindro!$B$34))/Presion_cilindro!$B$35)^(Presion_cilindro!$B$17+1)),0)-IF(Presion_cilindro!N59&gt;(-D$4+Presion_cilindro!$B$34),1-EXP(-Presion_cilindro!$B$16*((Presion_cilindro!N59-(-D$4+Presion_cilindro!$B$34))/Presion_cilindro!$B$35)^(Presion_cilindro!$B$17+1)),0))/((Presion_cilindro!O59+Presion_cilindro!O60)/2)</f>
        <v>0.75853248198455114</v>
      </c>
      <c r="E68" s="27">
        <f>E67*(Presion_cilindro!O59/Presion_cilindro!O60)^Presion_cilindro!$B$9+10*(Presion_cilindro!$B$9-1)*Presion_cilindro!$B$33*(IF(Presion_cilindro!N60&gt;(-E$4+Presion_cilindro!$B$34),1-EXP(-Presion_cilindro!$B$16*((Presion_cilindro!N60-(-E$4+Presion_cilindro!$B$34))/Presion_cilindro!$B$35)^(Presion_cilindro!$B$17+1)),0)-IF(Presion_cilindro!N59&gt;(-E$4+Presion_cilindro!$B$34),1-EXP(-Presion_cilindro!$B$16*((Presion_cilindro!N59-(-E$4+Presion_cilindro!$B$34))/Presion_cilindro!$B$35)^(Presion_cilindro!$B$17+1)),0))/((Presion_cilindro!O59+Presion_cilindro!O60)/2)</f>
        <v>0.75853248198455114</v>
      </c>
      <c r="F68" s="27">
        <f>F67*(Presion_cilindro!O59/Presion_cilindro!O60)^Presion_cilindro!$B$9+10*(Presion_cilindro!$B$9-1)*Presion_cilindro!$B$33*(IF(Presion_cilindro!N60&gt;(-F$4+Presion_cilindro!$B$34),1-EXP(-Presion_cilindro!$B$16*((Presion_cilindro!N60-(-F$4+Presion_cilindro!$B$34))/Presion_cilindro!$B$35)^(Presion_cilindro!$B$17+1)),0)-IF(Presion_cilindro!N59&gt;(-F$4+Presion_cilindro!$B$34),1-EXP(-Presion_cilindro!$B$16*((Presion_cilindro!N59-(-F$4+Presion_cilindro!$B$34))/Presion_cilindro!$B$35)^(Presion_cilindro!$B$17+1)),0))/((Presion_cilindro!O59+Presion_cilindro!O60)/2)</f>
        <v>0.75853248198455114</v>
      </c>
      <c r="G68" s="27">
        <f>G67*(Presion_cilindro!O59/Presion_cilindro!O60)^Presion_cilindro!$B$9+10*(Presion_cilindro!$B$9-1)*Presion_cilindro!$B$33*(IF(Presion_cilindro!N60&gt;(-G$4+Presion_cilindro!$B$34),1-EXP(-Presion_cilindro!$B$16*((Presion_cilindro!N60-(-G$4+Presion_cilindro!$B$34))/Presion_cilindro!$B$35)^(Presion_cilindro!$B$17+1)),0)-IF(Presion_cilindro!N59&gt;(-G$4+Presion_cilindro!$B$34),1-EXP(-Presion_cilindro!$B$16*((Presion_cilindro!N59-(-G$4+Presion_cilindro!$B$34))/Presion_cilindro!$B$35)^(Presion_cilindro!$B$17+1)),0))/((Presion_cilindro!O59+Presion_cilindro!O60)/2)</f>
        <v>0.75853248198455114</v>
      </c>
      <c r="H68" s="27">
        <f>H67*(Presion_cilindro!O59/Presion_cilindro!O60)^Presion_cilindro!$B$9+10*(Presion_cilindro!$B$9-1)*Presion_cilindro!$B$33*(IF(Presion_cilindro!N60&gt;(-H$4+Presion_cilindro!$B$34),1-EXP(-Presion_cilindro!$B$16*((Presion_cilindro!N60-(-H$4+Presion_cilindro!$B$34))/Presion_cilindro!$B$35)^(Presion_cilindro!$B$17+1)),0)-IF(Presion_cilindro!N59&gt;(-H$4+Presion_cilindro!$B$34),1-EXP(-Presion_cilindro!$B$16*((Presion_cilindro!N59-(-H$4+Presion_cilindro!$B$34))/Presion_cilindro!$B$35)^(Presion_cilindro!$B$17+1)),0))/((Presion_cilindro!O59+Presion_cilindro!O60)/2)</f>
        <v>0.75853248198455114</v>
      </c>
      <c r="I68" s="27">
        <f>I67*(Presion_cilindro!O59/Presion_cilindro!O60)^Presion_cilindro!$B$9+10*(Presion_cilindro!$B$9-1)*Presion_cilindro!$B$33*(IF(Presion_cilindro!N60&gt;(-I$4+Presion_cilindro!$B$34),1-EXP(-Presion_cilindro!$B$16*((Presion_cilindro!N60-(-I$4+Presion_cilindro!$B$34))/Presion_cilindro!$B$35)^(Presion_cilindro!$B$17+1)),0)-IF(Presion_cilindro!N59&gt;(-I$4+Presion_cilindro!$B$34),1-EXP(-Presion_cilindro!$B$16*((Presion_cilindro!N59-(-I$4+Presion_cilindro!$B$34))/Presion_cilindro!$B$35)^(Presion_cilindro!$B$17+1)),0))/((Presion_cilindro!O59+Presion_cilindro!O60)/2)</f>
        <v>0.75853248198455114</v>
      </c>
      <c r="J68" s="27">
        <f>J67*(Presion_cilindro!O59/Presion_cilindro!O60)^Presion_cilindro!$B$9+10*(Presion_cilindro!$B$9-1)*Presion_cilindro!$B$33*(IF(Presion_cilindro!N60&gt;(-J$4+Presion_cilindro!$B$34),1-EXP(-Presion_cilindro!$B$16*((Presion_cilindro!N60-(-J$4+Presion_cilindro!$B$34))/Presion_cilindro!$B$35)^(Presion_cilindro!$B$17+1)),0)-IF(Presion_cilindro!N59&gt;(-J$4+Presion_cilindro!$B$34),1-EXP(-Presion_cilindro!$B$16*((Presion_cilindro!N59-(-J$4+Presion_cilindro!$B$34))/Presion_cilindro!$B$35)^(Presion_cilindro!$B$17+1)),0))/((Presion_cilindro!O59+Presion_cilindro!O60)/2)</f>
        <v>0.75853248198455114</v>
      </c>
      <c r="K68" s="27">
        <f>K67*(Presion_cilindro!O59/Presion_cilindro!O60)^Presion_cilindro!$B$9+10*(Presion_cilindro!$B$9-1)*Presion_cilindro!$B$33*(IF(Presion_cilindro!N60&gt;(-K$4+Presion_cilindro!$B$34),1-EXP(-Presion_cilindro!$B$16*((Presion_cilindro!N60-(-K$4+Presion_cilindro!$B$34))/Presion_cilindro!$B$35)^(Presion_cilindro!$B$17+1)),0)-IF(Presion_cilindro!N59&gt;(-K$4+Presion_cilindro!$B$34),1-EXP(-Presion_cilindro!$B$16*((Presion_cilindro!N59-(-K$4+Presion_cilindro!$B$34))/Presion_cilindro!$B$35)^(Presion_cilindro!$B$17+1)),0))/((Presion_cilindro!O59+Presion_cilindro!O60)/2)</f>
        <v>0.75853248198455114</v>
      </c>
      <c r="L68" s="27">
        <f>L67*(Presion_cilindro!O59/Presion_cilindro!O60)^Presion_cilindro!$B$9+10*(Presion_cilindro!$B$9-1)*Presion_cilindro!$B$33*(IF(Presion_cilindro!N60&gt;(-L$4+Presion_cilindro!$B$34),1-EXP(-Presion_cilindro!$B$16*((Presion_cilindro!N60-(-L$4+Presion_cilindro!$B$34))/Presion_cilindro!$B$35)^(Presion_cilindro!$B$17+1)),0)-IF(Presion_cilindro!N59&gt;(-L$4+Presion_cilindro!$B$34),1-EXP(-Presion_cilindro!$B$16*((Presion_cilindro!N59-(-L$4+Presion_cilindro!$B$34))/Presion_cilindro!$B$35)^(Presion_cilindro!$B$17+1)),0))/((Presion_cilindro!O59+Presion_cilindro!O60)/2)</f>
        <v>0.75853248198455114</v>
      </c>
      <c r="M68" s="27">
        <f>M67*(Presion_cilindro!O59/Presion_cilindro!O60)^Presion_cilindro!$B$9+10*(Presion_cilindro!$B$9-1)*Presion_cilindro!$B$33*(IF(Presion_cilindro!N60&gt;(-M$4+Presion_cilindro!$B$34),1-EXP(-Presion_cilindro!$B$16*((Presion_cilindro!N60-(-M$4+Presion_cilindro!$B$34))/Presion_cilindro!$B$35)^(Presion_cilindro!$B$17+1)),0)-IF(Presion_cilindro!N59&gt;(-M$4+Presion_cilindro!$B$34),1-EXP(-Presion_cilindro!$B$16*((Presion_cilindro!N59-(-M$4+Presion_cilindro!$B$34))/Presion_cilindro!$B$35)^(Presion_cilindro!$B$17+1)),0))/((Presion_cilindro!O59+Presion_cilindro!O60)/2)</f>
        <v>0.75853248198455114</v>
      </c>
      <c r="N68" s="27">
        <f>N67*(Presion_cilindro!O59/Presion_cilindro!O60)^Presion_cilindro!$B$9+10*(Presion_cilindro!$B$9-1)*Presion_cilindro!$B$33*(IF(Presion_cilindro!N60&gt;(-N$4+Presion_cilindro!$B$34),1-EXP(-Presion_cilindro!$B$16*((Presion_cilindro!N60-(-N$4+Presion_cilindro!$B$34))/Presion_cilindro!$B$35)^(Presion_cilindro!$B$17+1)),0)-IF(Presion_cilindro!N59&gt;(-N$4+Presion_cilindro!$B$34),1-EXP(-Presion_cilindro!$B$16*((Presion_cilindro!N59-(-N$4+Presion_cilindro!$B$34))/Presion_cilindro!$B$35)^(Presion_cilindro!$B$17+1)),0))/((Presion_cilindro!O59+Presion_cilindro!O60)/2)</f>
        <v>0.75853248198455114</v>
      </c>
    </row>
    <row r="69" spans="1:14" x14ac:dyDescent="0.25">
      <c r="A69" s="21">
        <f>Presion_cilindro!N61</f>
        <v>-151.5</v>
      </c>
      <c r="B69" s="27">
        <f>B68*(Presion_cilindro!O60/Presion_cilindro!O61)^Presion_cilindro!$B$9+10*(Presion_cilindro!$B$9-1)*Presion_cilindro!$B$33*(IF(Presion_cilindro!N61&gt;(-B$4+Presion_cilindro!$B$34),1-EXP(-Presion_cilindro!$B$16*((Presion_cilindro!N61-(-B$4+Presion_cilindro!$B$34))/Presion_cilindro!$B$35)^(Presion_cilindro!$B$17+1)),0)-IF(Presion_cilindro!N60&gt;(-B$4+Presion_cilindro!$B$34),1-EXP(-Presion_cilindro!$B$16*((Presion_cilindro!N60-(-B$4+Presion_cilindro!$B$34))/Presion_cilindro!$B$35)^(Presion_cilindro!$B$17+1)),0))/((Presion_cilindro!O60+Presion_cilindro!O61)/2)</f>
        <v>0.75998969614893253</v>
      </c>
      <c r="C69" s="27">
        <f>C68*(Presion_cilindro!O60/Presion_cilindro!O61)^Presion_cilindro!$B$9+10*(Presion_cilindro!$B$9-1)*Presion_cilindro!$B$33*(IF(Presion_cilindro!N61&gt;(-C$4+Presion_cilindro!$B$34),1-EXP(-Presion_cilindro!$B$16*((Presion_cilindro!N61-(-C$4+Presion_cilindro!$B$34))/Presion_cilindro!$B$35)^(Presion_cilindro!$B$17+1)),0)-IF(Presion_cilindro!N60&gt;(-C$4+Presion_cilindro!$B$34),1-EXP(-Presion_cilindro!$B$16*((Presion_cilindro!N60-(-C$4+Presion_cilindro!$B$34))/Presion_cilindro!$B$35)^(Presion_cilindro!$B$17+1)),0))/((Presion_cilindro!O60+Presion_cilindro!O61)/2)</f>
        <v>0.75998969614893253</v>
      </c>
      <c r="D69" s="27">
        <f>D68*(Presion_cilindro!O60/Presion_cilindro!O61)^Presion_cilindro!$B$9+10*(Presion_cilindro!$B$9-1)*Presion_cilindro!$B$33*(IF(Presion_cilindro!N61&gt;(-D$4+Presion_cilindro!$B$34),1-EXP(-Presion_cilindro!$B$16*((Presion_cilindro!N61-(-D$4+Presion_cilindro!$B$34))/Presion_cilindro!$B$35)^(Presion_cilindro!$B$17+1)),0)-IF(Presion_cilindro!N60&gt;(-D$4+Presion_cilindro!$B$34),1-EXP(-Presion_cilindro!$B$16*((Presion_cilindro!N60-(-D$4+Presion_cilindro!$B$34))/Presion_cilindro!$B$35)^(Presion_cilindro!$B$17+1)),0))/((Presion_cilindro!O60+Presion_cilindro!O61)/2)</f>
        <v>0.75998969614893253</v>
      </c>
      <c r="E69" s="27">
        <f>E68*(Presion_cilindro!O60/Presion_cilindro!O61)^Presion_cilindro!$B$9+10*(Presion_cilindro!$B$9-1)*Presion_cilindro!$B$33*(IF(Presion_cilindro!N61&gt;(-E$4+Presion_cilindro!$B$34),1-EXP(-Presion_cilindro!$B$16*((Presion_cilindro!N61-(-E$4+Presion_cilindro!$B$34))/Presion_cilindro!$B$35)^(Presion_cilindro!$B$17+1)),0)-IF(Presion_cilindro!N60&gt;(-E$4+Presion_cilindro!$B$34),1-EXP(-Presion_cilindro!$B$16*((Presion_cilindro!N60-(-E$4+Presion_cilindro!$B$34))/Presion_cilindro!$B$35)^(Presion_cilindro!$B$17+1)),0))/((Presion_cilindro!O60+Presion_cilindro!O61)/2)</f>
        <v>0.75998969614893253</v>
      </c>
      <c r="F69" s="27">
        <f>F68*(Presion_cilindro!O60/Presion_cilindro!O61)^Presion_cilindro!$B$9+10*(Presion_cilindro!$B$9-1)*Presion_cilindro!$B$33*(IF(Presion_cilindro!N61&gt;(-F$4+Presion_cilindro!$B$34),1-EXP(-Presion_cilindro!$B$16*((Presion_cilindro!N61-(-F$4+Presion_cilindro!$B$34))/Presion_cilindro!$B$35)^(Presion_cilindro!$B$17+1)),0)-IF(Presion_cilindro!N60&gt;(-F$4+Presion_cilindro!$B$34),1-EXP(-Presion_cilindro!$B$16*((Presion_cilindro!N60-(-F$4+Presion_cilindro!$B$34))/Presion_cilindro!$B$35)^(Presion_cilindro!$B$17+1)),0))/((Presion_cilindro!O60+Presion_cilindro!O61)/2)</f>
        <v>0.75998969614893253</v>
      </c>
      <c r="G69" s="27">
        <f>G68*(Presion_cilindro!O60/Presion_cilindro!O61)^Presion_cilindro!$B$9+10*(Presion_cilindro!$B$9-1)*Presion_cilindro!$B$33*(IF(Presion_cilindro!N61&gt;(-G$4+Presion_cilindro!$B$34),1-EXP(-Presion_cilindro!$B$16*((Presion_cilindro!N61-(-G$4+Presion_cilindro!$B$34))/Presion_cilindro!$B$35)^(Presion_cilindro!$B$17+1)),0)-IF(Presion_cilindro!N60&gt;(-G$4+Presion_cilindro!$B$34),1-EXP(-Presion_cilindro!$B$16*((Presion_cilindro!N60-(-G$4+Presion_cilindro!$B$34))/Presion_cilindro!$B$35)^(Presion_cilindro!$B$17+1)),0))/((Presion_cilindro!O60+Presion_cilindro!O61)/2)</f>
        <v>0.75998969614893253</v>
      </c>
      <c r="H69" s="27">
        <f>H68*(Presion_cilindro!O60/Presion_cilindro!O61)^Presion_cilindro!$B$9+10*(Presion_cilindro!$B$9-1)*Presion_cilindro!$B$33*(IF(Presion_cilindro!N61&gt;(-H$4+Presion_cilindro!$B$34),1-EXP(-Presion_cilindro!$B$16*((Presion_cilindro!N61-(-H$4+Presion_cilindro!$B$34))/Presion_cilindro!$B$35)^(Presion_cilindro!$B$17+1)),0)-IF(Presion_cilindro!N60&gt;(-H$4+Presion_cilindro!$B$34),1-EXP(-Presion_cilindro!$B$16*((Presion_cilindro!N60-(-H$4+Presion_cilindro!$B$34))/Presion_cilindro!$B$35)^(Presion_cilindro!$B$17+1)),0))/((Presion_cilindro!O60+Presion_cilindro!O61)/2)</f>
        <v>0.75998969614893253</v>
      </c>
      <c r="I69" s="27">
        <f>I68*(Presion_cilindro!O60/Presion_cilindro!O61)^Presion_cilindro!$B$9+10*(Presion_cilindro!$B$9-1)*Presion_cilindro!$B$33*(IF(Presion_cilindro!N61&gt;(-I$4+Presion_cilindro!$B$34),1-EXP(-Presion_cilindro!$B$16*((Presion_cilindro!N61-(-I$4+Presion_cilindro!$B$34))/Presion_cilindro!$B$35)^(Presion_cilindro!$B$17+1)),0)-IF(Presion_cilindro!N60&gt;(-I$4+Presion_cilindro!$B$34),1-EXP(-Presion_cilindro!$B$16*((Presion_cilindro!N60-(-I$4+Presion_cilindro!$B$34))/Presion_cilindro!$B$35)^(Presion_cilindro!$B$17+1)),0))/((Presion_cilindro!O60+Presion_cilindro!O61)/2)</f>
        <v>0.75998969614893253</v>
      </c>
      <c r="J69" s="27">
        <f>J68*(Presion_cilindro!O60/Presion_cilindro!O61)^Presion_cilindro!$B$9+10*(Presion_cilindro!$B$9-1)*Presion_cilindro!$B$33*(IF(Presion_cilindro!N61&gt;(-J$4+Presion_cilindro!$B$34),1-EXP(-Presion_cilindro!$B$16*((Presion_cilindro!N61-(-J$4+Presion_cilindro!$B$34))/Presion_cilindro!$B$35)^(Presion_cilindro!$B$17+1)),0)-IF(Presion_cilindro!N60&gt;(-J$4+Presion_cilindro!$B$34),1-EXP(-Presion_cilindro!$B$16*((Presion_cilindro!N60-(-J$4+Presion_cilindro!$B$34))/Presion_cilindro!$B$35)^(Presion_cilindro!$B$17+1)),0))/((Presion_cilindro!O60+Presion_cilindro!O61)/2)</f>
        <v>0.75998969614893253</v>
      </c>
      <c r="K69" s="27">
        <f>K68*(Presion_cilindro!O60/Presion_cilindro!O61)^Presion_cilindro!$B$9+10*(Presion_cilindro!$B$9-1)*Presion_cilindro!$B$33*(IF(Presion_cilindro!N61&gt;(-K$4+Presion_cilindro!$B$34),1-EXP(-Presion_cilindro!$B$16*((Presion_cilindro!N61-(-K$4+Presion_cilindro!$B$34))/Presion_cilindro!$B$35)^(Presion_cilindro!$B$17+1)),0)-IF(Presion_cilindro!N60&gt;(-K$4+Presion_cilindro!$B$34),1-EXP(-Presion_cilindro!$B$16*((Presion_cilindro!N60-(-K$4+Presion_cilindro!$B$34))/Presion_cilindro!$B$35)^(Presion_cilindro!$B$17+1)),0))/((Presion_cilindro!O60+Presion_cilindro!O61)/2)</f>
        <v>0.75998969614893253</v>
      </c>
      <c r="L69" s="27">
        <f>L68*(Presion_cilindro!O60/Presion_cilindro!O61)^Presion_cilindro!$B$9+10*(Presion_cilindro!$B$9-1)*Presion_cilindro!$B$33*(IF(Presion_cilindro!N61&gt;(-L$4+Presion_cilindro!$B$34),1-EXP(-Presion_cilindro!$B$16*((Presion_cilindro!N61-(-L$4+Presion_cilindro!$B$34))/Presion_cilindro!$B$35)^(Presion_cilindro!$B$17+1)),0)-IF(Presion_cilindro!N60&gt;(-L$4+Presion_cilindro!$B$34),1-EXP(-Presion_cilindro!$B$16*((Presion_cilindro!N60-(-L$4+Presion_cilindro!$B$34))/Presion_cilindro!$B$35)^(Presion_cilindro!$B$17+1)),0))/((Presion_cilindro!O60+Presion_cilindro!O61)/2)</f>
        <v>0.75998969614893253</v>
      </c>
      <c r="M69" s="27">
        <f>M68*(Presion_cilindro!O60/Presion_cilindro!O61)^Presion_cilindro!$B$9+10*(Presion_cilindro!$B$9-1)*Presion_cilindro!$B$33*(IF(Presion_cilindro!N61&gt;(-M$4+Presion_cilindro!$B$34),1-EXP(-Presion_cilindro!$B$16*((Presion_cilindro!N61-(-M$4+Presion_cilindro!$B$34))/Presion_cilindro!$B$35)^(Presion_cilindro!$B$17+1)),0)-IF(Presion_cilindro!N60&gt;(-M$4+Presion_cilindro!$B$34),1-EXP(-Presion_cilindro!$B$16*((Presion_cilindro!N60-(-M$4+Presion_cilindro!$B$34))/Presion_cilindro!$B$35)^(Presion_cilindro!$B$17+1)),0))/((Presion_cilindro!O60+Presion_cilindro!O61)/2)</f>
        <v>0.75998969614893253</v>
      </c>
      <c r="N69" s="27">
        <f>N68*(Presion_cilindro!O60/Presion_cilindro!O61)^Presion_cilindro!$B$9+10*(Presion_cilindro!$B$9-1)*Presion_cilindro!$B$33*(IF(Presion_cilindro!N61&gt;(-N$4+Presion_cilindro!$B$34),1-EXP(-Presion_cilindro!$B$16*((Presion_cilindro!N61-(-N$4+Presion_cilindro!$B$34))/Presion_cilindro!$B$35)^(Presion_cilindro!$B$17+1)),0)-IF(Presion_cilindro!N60&gt;(-N$4+Presion_cilindro!$B$34),1-EXP(-Presion_cilindro!$B$16*((Presion_cilindro!N60-(-N$4+Presion_cilindro!$B$34))/Presion_cilindro!$B$35)^(Presion_cilindro!$B$17+1)),0))/((Presion_cilindro!O60+Presion_cilindro!O61)/2)</f>
        <v>0.75998969614893253</v>
      </c>
    </row>
    <row r="70" spans="1:14" x14ac:dyDescent="0.25">
      <c r="A70" s="21">
        <f>Presion_cilindro!N62</f>
        <v>-151</v>
      </c>
      <c r="B70" s="27">
        <f>B69*(Presion_cilindro!O61/Presion_cilindro!O62)^Presion_cilindro!$B$9+10*(Presion_cilindro!$B$9-1)*Presion_cilindro!$B$33*(IF(Presion_cilindro!N62&gt;(-B$4+Presion_cilindro!$B$34),1-EXP(-Presion_cilindro!$B$16*((Presion_cilindro!N62-(-B$4+Presion_cilindro!$B$34))/Presion_cilindro!$B$35)^(Presion_cilindro!$B$17+1)),0)-IF(Presion_cilindro!N61&gt;(-B$4+Presion_cilindro!$B$34),1-EXP(-Presion_cilindro!$B$16*((Presion_cilindro!N61-(-B$4+Presion_cilindro!$B$34))/Presion_cilindro!$B$35)^(Presion_cilindro!$B$17+1)),0))/((Presion_cilindro!O61+Presion_cilindro!O62)/2)</f>
        <v>0.76147779495544987</v>
      </c>
      <c r="C70" s="27">
        <f>C69*(Presion_cilindro!O61/Presion_cilindro!O62)^Presion_cilindro!$B$9+10*(Presion_cilindro!$B$9-1)*Presion_cilindro!$B$33*(IF(Presion_cilindro!N62&gt;(-C$4+Presion_cilindro!$B$34),1-EXP(-Presion_cilindro!$B$16*((Presion_cilindro!N62-(-C$4+Presion_cilindro!$B$34))/Presion_cilindro!$B$35)^(Presion_cilindro!$B$17+1)),0)-IF(Presion_cilindro!N61&gt;(-C$4+Presion_cilindro!$B$34),1-EXP(-Presion_cilindro!$B$16*((Presion_cilindro!N61-(-C$4+Presion_cilindro!$B$34))/Presion_cilindro!$B$35)^(Presion_cilindro!$B$17+1)),0))/((Presion_cilindro!O61+Presion_cilindro!O62)/2)</f>
        <v>0.76147779495544987</v>
      </c>
      <c r="D70" s="27">
        <f>D69*(Presion_cilindro!O61/Presion_cilindro!O62)^Presion_cilindro!$B$9+10*(Presion_cilindro!$B$9-1)*Presion_cilindro!$B$33*(IF(Presion_cilindro!N62&gt;(-D$4+Presion_cilindro!$B$34),1-EXP(-Presion_cilindro!$B$16*((Presion_cilindro!N62-(-D$4+Presion_cilindro!$B$34))/Presion_cilindro!$B$35)^(Presion_cilindro!$B$17+1)),0)-IF(Presion_cilindro!N61&gt;(-D$4+Presion_cilindro!$B$34),1-EXP(-Presion_cilindro!$B$16*((Presion_cilindro!N61-(-D$4+Presion_cilindro!$B$34))/Presion_cilindro!$B$35)^(Presion_cilindro!$B$17+1)),0))/((Presion_cilindro!O61+Presion_cilindro!O62)/2)</f>
        <v>0.76147779495544987</v>
      </c>
      <c r="E70" s="27">
        <f>E69*(Presion_cilindro!O61/Presion_cilindro!O62)^Presion_cilindro!$B$9+10*(Presion_cilindro!$B$9-1)*Presion_cilindro!$B$33*(IF(Presion_cilindro!N62&gt;(-E$4+Presion_cilindro!$B$34),1-EXP(-Presion_cilindro!$B$16*((Presion_cilindro!N62-(-E$4+Presion_cilindro!$B$34))/Presion_cilindro!$B$35)^(Presion_cilindro!$B$17+1)),0)-IF(Presion_cilindro!N61&gt;(-E$4+Presion_cilindro!$B$34),1-EXP(-Presion_cilindro!$B$16*((Presion_cilindro!N61-(-E$4+Presion_cilindro!$B$34))/Presion_cilindro!$B$35)^(Presion_cilindro!$B$17+1)),0))/((Presion_cilindro!O61+Presion_cilindro!O62)/2)</f>
        <v>0.76147779495544987</v>
      </c>
      <c r="F70" s="27">
        <f>F69*(Presion_cilindro!O61/Presion_cilindro!O62)^Presion_cilindro!$B$9+10*(Presion_cilindro!$B$9-1)*Presion_cilindro!$B$33*(IF(Presion_cilindro!N62&gt;(-F$4+Presion_cilindro!$B$34),1-EXP(-Presion_cilindro!$B$16*((Presion_cilindro!N62-(-F$4+Presion_cilindro!$B$34))/Presion_cilindro!$B$35)^(Presion_cilindro!$B$17+1)),0)-IF(Presion_cilindro!N61&gt;(-F$4+Presion_cilindro!$B$34),1-EXP(-Presion_cilindro!$B$16*((Presion_cilindro!N61-(-F$4+Presion_cilindro!$B$34))/Presion_cilindro!$B$35)^(Presion_cilindro!$B$17+1)),0))/((Presion_cilindro!O61+Presion_cilindro!O62)/2)</f>
        <v>0.76147779495544987</v>
      </c>
      <c r="G70" s="27">
        <f>G69*(Presion_cilindro!O61/Presion_cilindro!O62)^Presion_cilindro!$B$9+10*(Presion_cilindro!$B$9-1)*Presion_cilindro!$B$33*(IF(Presion_cilindro!N62&gt;(-G$4+Presion_cilindro!$B$34),1-EXP(-Presion_cilindro!$B$16*((Presion_cilindro!N62-(-G$4+Presion_cilindro!$B$34))/Presion_cilindro!$B$35)^(Presion_cilindro!$B$17+1)),0)-IF(Presion_cilindro!N61&gt;(-G$4+Presion_cilindro!$B$34),1-EXP(-Presion_cilindro!$B$16*((Presion_cilindro!N61-(-G$4+Presion_cilindro!$B$34))/Presion_cilindro!$B$35)^(Presion_cilindro!$B$17+1)),0))/((Presion_cilindro!O61+Presion_cilindro!O62)/2)</f>
        <v>0.76147779495544987</v>
      </c>
      <c r="H70" s="27">
        <f>H69*(Presion_cilindro!O61/Presion_cilindro!O62)^Presion_cilindro!$B$9+10*(Presion_cilindro!$B$9-1)*Presion_cilindro!$B$33*(IF(Presion_cilindro!N62&gt;(-H$4+Presion_cilindro!$B$34),1-EXP(-Presion_cilindro!$B$16*((Presion_cilindro!N62-(-H$4+Presion_cilindro!$B$34))/Presion_cilindro!$B$35)^(Presion_cilindro!$B$17+1)),0)-IF(Presion_cilindro!N61&gt;(-H$4+Presion_cilindro!$B$34),1-EXP(-Presion_cilindro!$B$16*((Presion_cilindro!N61-(-H$4+Presion_cilindro!$B$34))/Presion_cilindro!$B$35)^(Presion_cilindro!$B$17+1)),0))/((Presion_cilindro!O61+Presion_cilindro!O62)/2)</f>
        <v>0.76147779495544987</v>
      </c>
      <c r="I70" s="27">
        <f>I69*(Presion_cilindro!O61/Presion_cilindro!O62)^Presion_cilindro!$B$9+10*(Presion_cilindro!$B$9-1)*Presion_cilindro!$B$33*(IF(Presion_cilindro!N62&gt;(-I$4+Presion_cilindro!$B$34),1-EXP(-Presion_cilindro!$B$16*((Presion_cilindro!N62-(-I$4+Presion_cilindro!$B$34))/Presion_cilindro!$B$35)^(Presion_cilindro!$B$17+1)),0)-IF(Presion_cilindro!N61&gt;(-I$4+Presion_cilindro!$B$34),1-EXP(-Presion_cilindro!$B$16*((Presion_cilindro!N61-(-I$4+Presion_cilindro!$B$34))/Presion_cilindro!$B$35)^(Presion_cilindro!$B$17+1)),0))/((Presion_cilindro!O61+Presion_cilindro!O62)/2)</f>
        <v>0.76147779495544987</v>
      </c>
      <c r="J70" s="27">
        <f>J69*(Presion_cilindro!O61/Presion_cilindro!O62)^Presion_cilindro!$B$9+10*(Presion_cilindro!$B$9-1)*Presion_cilindro!$B$33*(IF(Presion_cilindro!N62&gt;(-J$4+Presion_cilindro!$B$34),1-EXP(-Presion_cilindro!$B$16*((Presion_cilindro!N62-(-J$4+Presion_cilindro!$B$34))/Presion_cilindro!$B$35)^(Presion_cilindro!$B$17+1)),0)-IF(Presion_cilindro!N61&gt;(-J$4+Presion_cilindro!$B$34),1-EXP(-Presion_cilindro!$B$16*((Presion_cilindro!N61-(-J$4+Presion_cilindro!$B$34))/Presion_cilindro!$B$35)^(Presion_cilindro!$B$17+1)),0))/((Presion_cilindro!O61+Presion_cilindro!O62)/2)</f>
        <v>0.76147779495544987</v>
      </c>
      <c r="K70" s="27">
        <f>K69*(Presion_cilindro!O61/Presion_cilindro!O62)^Presion_cilindro!$B$9+10*(Presion_cilindro!$B$9-1)*Presion_cilindro!$B$33*(IF(Presion_cilindro!N62&gt;(-K$4+Presion_cilindro!$B$34),1-EXP(-Presion_cilindro!$B$16*((Presion_cilindro!N62-(-K$4+Presion_cilindro!$B$34))/Presion_cilindro!$B$35)^(Presion_cilindro!$B$17+1)),0)-IF(Presion_cilindro!N61&gt;(-K$4+Presion_cilindro!$B$34),1-EXP(-Presion_cilindro!$B$16*((Presion_cilindro!N61-(-K$4+Presion_cilindro!$B$34))/Presion_cilindro!$B$35)^(Presion_cilindro!$B$17+1)),0))/((Presion_cilindro!O61+Presion_cilindro!O62)/2)</f>
        <v>0.76147779495544987</v>
      </c>
      <c r="L70" s="27">
        <f>L69*(Presion_cilindro!O61/Presion_cilindro!O62)^Presion_cilindro!$B$9+10*(Presion_cilindro!$B$9-1)*Presion_cilindro!$B$33*(IF(Presion_cilindro!N62&gt;(-L$4+Presion_cilindro!$B$34),1-EXP(-Presion_cilindro!$B$16*((Presion_cilindro!N62-(-L$4+Presion_cilindro!$B$34))/Presion_cilindro!$B$35)^(Presion_cilindro!$B$17+1)),0)-IF(Presion_cilindro!N61&gt;(-L$4+Presion_cilindro!$B$34),1-EXP(-Presion_cilindro!$B$16*((Presion_cilindro!N61-(-L$4+Presion_cilindro!$B$34))/Presion_cilindro!$B$35)^(Presion_cilindro!$B$17+1)),0))/((Presion_cilindro!O61+Presion_cilindro!O62)/2)</f>
        <v>0.76147779495544987</v>
      </c>
      <c r="M70" s="27">
        <f>M69*(Presion_cilindro!O61/Presion_cilindro!O62)^Presion_cilindro!$B$9+10*(Presion_cilindro!$B$9-1)*Presion_cilindro!$B$33*(IF(Presion_cilindro!N62&gt;(-M$4+Presion_cilindro!$B$34),1-EXP(-Presion_cilindro!$B$16*((Presion_cilindro!N62-(-M$4+Presion_cilindro!$B$34))/Presion_cilindro!$B$35)^(Presion_cilindro!$B$17+1)),0)-IF(Presion_cilindro!N61&gt;(-M$4+Presion_cilindro!$B$34),1-EXP(-Presion_cilindro!$B$16*((Presion_cilindro!N61-(-M$4+Presion_cilindro!$B$34))/Presion_cilindro!$B$35)^(Presion_cilindro!$B$17+1)),0))/((Presion_cilindro!O61+Presion_cilindro!O62)/2)</f>
        <v>0.76147779495544987</v>
      </c>
      <c r="N70" s="27">
        <f>N69*(Presion_cilindro!O61/Presion_cilindro!O62)^Presion_cilindro!$B$9+10*(Presion_cilindro!$B$9-1)*Presion_cilindro!$B$33*(IF(Presion_cilindro!N62&gt;(-N$4+Presion_cilindro!$B$34),1-EXP(-Presion_cilindro!$B$16*((Presion_cilindro!N62-(-N$4+Presion_cilindro!$B$34))/Presion_cilindro!$B$35)^(Presion_cilindro!$B$17+1)),0)-IF(Presion_cilindro!N61&gt;(-N$4+Presion_cilindro!$B$34),1-EXP(-Presion_cilindro!$B$16*((Presion_cilindro!N61-(-N$4+Presion_cilindro!$B$34))/Presion_cilindro!$B$35)^(Presion_cilindro!$B$17+1)),0))/((Presion_cilindro!O61+Presion_cilindro!O62)/2)</f>
        <v>0.76147779495544987</v>
      </c>
    </row>
    <row r="71" spans="1:14" x14ac:dyDescent="0.25">
      <c r="A71" s="21">
        <f>Presion_cilindro!N63</f>
        <v>-150.5</v>
      </c>
      <c r="B71" s="27">
        <f>B70*(Presion_cilindro!O62/Presion_cilindro!O63)^Presion_cilindro!$B$9+10*(Presion_cilindro!$B$9-1)*Presion_cilindro!$B$33*(IF(Presion_cilindro!N63&gt;(-B$4+Presion_cilindro!$B$34),1-EXP(-Presion_cilindro!$B$16*((Presion_cilindro!N63-(-B$4+Presion_cilindro!$B$34))/Presion_cilindro!$B$35)^(Presion_cilindro!$B$17+1)),0)-IF(Presion_cilindro!N62&gt;(-B$4+Presion_cilindro!$B$34),1-EXP(-Presion_cilindro!$B$16*((Presion_cilindro!N62-(-B$4+Presion_cilindro!$B$34))/Presion_cilindro!$B$35)^(Presion_cilindro!$B$17+1)),0))/((Presion_cilindro!O62+Presion_cilindro!O63)/2)</f>
        <v>0.76299706641696152</v>
      </c>
      <c r="C71" s="27">
        <f>C70*(Presion_cilindro!O62/Presion_cilindro!O63)^Presion_cilindro!$B$9+10*(Presion_cilindro!$B$9-1)*Presion_cilindro!$B$33*(IF(Presion_cilindro!N63&gt;(-C$4+Presion_cilindro!$B$34),1-EXP(-Presion_cilindro!$B$16*((Presion_cilindro!N63-(-C$4+Presion_cilindro!$B$34))/Presion_cilindro!$B$35)^(Presion_cilindro!$B$17+1)),0)-IF(Presion_cilindro!N62&gt;(-C$4+Presion_cilindro!$B$34),1-EXP(-Presion_cilindro!$B$16*((Presion_cilindro!N62-(-C$4+Presion_cilindro!$B$34))/Presion_cilindro!$B$35)^(Presion_cilindro!$B$17+1)),0))/((Presion_cilindro!O62+Presion_cilindro!O63)/2)</f>
        <v>0.76299706641696152</v>
      </c>
      <c r="D71" s="27">
        <f>D70*(Presion_cilindro!O62/Presion_cilindro!O63)^Presion_cilindro!$B$9+10*(Presion_cilindro!$B$9-1)*Presion_cilindro!$B$33*(IF(Presion_cilindro!N63&gt;(-D$4+Presion_cilindro!$B$34),1-EXP(-Presion_cilindro!$B$16*((Presion_cilindro!N63-(-D$4+Presion_cilindro!$B$34))/Presion_cilindro!$B$35)^(Presion_cilindro!$B$17+1)),0)-IF(Presion_cilindro!N62&gt;(-D$4+Presion_cilindro!$B$34),1-EXP(-Presion_cilindro!$B$16*((Presion_cilindro!N62-(-D$4+Presion_cilindro!$B$34))/Presion_cilindro!$B$35)^(Presion_cilindro!$B$17+1)),0))/((Presion_cilindro!O62+Presion_cilindro!O63)/2)</f>
        <v>0.76299706641696152</v>
      </c>
      <c r="E71" s="27">
        <f>E70*(Presion_cilindro!O62/Presion_cilindro!O63)^Presion_cilindro!$B$9+10*(Presion_cilindro!$B$9-1)*Presion_cilindro!$B$33*(IF(Presion_cilindro!N63&gt;(-E$4+Presion_cilindro!$B$34),1-EXP(-Presion_cilindro!$B$16*((Presion_cilindro!N63-(-E$4+Presion_cilindro!$B$34))/Presion_cilindro!$B$35)^(Presion_cilindro!$B$17+1)),0)-IF(Presion_cilindro!N62&gt;(-E$4+Presion_cilindro!$B$34),1-EXP(-Presion_cilindro!$B$16*((Presion_cilindro!N62-(-E$4+Presion_cilindro!$B$34))/Presion_cilindro!$B$35)^(Presion_cilindro!$B$17+1)),0))/((Presion_cilindro!O62+Presion_cilindro!O63)/2)</f>
        <v>0.76299706641696152</v>
      </c>
      <c r="F71" s="27">
        <f>F70*(Presion_cilindro!O62/Presion_cilindro!O63)^Presion_cilindro!$B$9+10*(Presion_cilindro!$B$9-1)*Presion_cilindro!$B$33*(IF(Presion_cilindro!N63&gt;(-F$4+Presion_cilindro!$B$34),1-EXP(-Presion_cilindro!$B$16*((Presion_cilindro!N63-(-F$4+Presion_cilindro!$B$34))/Presion_cilindro!$B$35)^(Presion_cilindro!$B$17+1)),0)-IF(Presion_cilindro!N62&gt;(-F$4+Presion_cilindro!$B$34),1-EXP(-Presion_cilindro!$B$16*((Presion_cilindro!N62-(-F$4+Presion_cilindro!$B$34))/Presion_cilindro!$B$35)^(Presion_cilindro!$B$17+1)),0))/((Presion_cilindro!O62+Presion_cilindro!O63)/2)</f>
        <v>0.76299706641696152</v>
      </c>
      <c r="G71" s="27">
        <f>G70*(Presion_cilindro!O62/Presion_cilindro!O63)^Presion_cilindro!$B$9+10*(Presion_cilindro!$B$9-1)*Presion_cilindro!$B$33*(IF(Presion_cilindro!N63&gt;(-G$4+Presion_cilindro!$B$34),1-EXP(-Presion_cilindro!$B$16*((Presion_cilindro!N63-(-G$4+Presion_cilindro!$B$34))/Presion_cilindro!$B$35)^(Presion_cilindro!$B$17+1)),0)-IF(Presion_cilindro!N62&gt;(-G$4+Presion_cilindro!$B$34),1-EXP(-Presion_cilindro!$B$16*((Presion_cilindro!N62-(-G$4+Presion_cilindro!$B$34))/Presion_cilindro!$B$35)^(Presion_cilindro!$B$17+1)),0))/((Presion_cilindro!O62+Presion_cilindro!O63)/2)</f>
        <v>0.76299706641696152</v>
      </c>
      <c r="H71" s="27">
        <f>H70*(Presion_cilindro!O62/Presion_cilindro!O63)^Presion_cilindro!$B$9+10*(Presion_cilindro!$B$9-1)*Presion_cilindro!$B$33*(IF(Presion_cilindro!N63&gt;(-H$4+Presion_cilindro!$B$34),1-EXP(-Presion_cilindro!$B$16*((Presion_cilindro!N63-(-H$4+Presion_cilindro!$B$34))/Presion_cilindro!$B$35)^(Presion_cilindro!$B$17+1)),0)-IF(Presion_cilindro!N62&gt;(-H$4+Presion_cilindro!$B$34),1-EXP(-Presion_cilindro!$B$16*((Presion_cilindro!N62-(-H$4+Presion_cilindro!$B$34))/Presion_cilindro!$B$35)^(Presion_cilindro!$B$17+1)),0))/((Presion_cilindro!O62+Presion_cilindro!O63)/2)</f>
        <v>0.76299706641696152</v>
      </c>
      <c r="I71" s="27">
        <f>I70*(Presion_cilindro!O62/Presion_cilindro!O63)^Presion_cilindro!$B$9+10*(Presion_cilindro!$B$9-1)*Presion_cilindro!$B$33*(IF(Presion_cilindro!N63&gt;(-I$4+Presion_cilindro!$B$34),1-EXP(-Presion_cilindro!$B$16*((Presion_cilindro!N63-(-I$4+Presion_cilindro!$B$34))/Presion_cilindro!$B$35)^(Presion_cilindro!$B$17+1)),0)-IF(Presion_cilindro!N62&gt;(-I$4+Presion_cilindro!$B$34),1-EXP(-Presion_cilindro!$B$16*((Presion_cilindro!N62-(-I$4+Presion_cilindro!$B$34))/Presion_cilindro!$B$35)^(Presion_cilindro!$B$17+1)),0))/((Presion_cilindro!O62+Presion_cilindro!O63)/2)</f>
        <v>0.76299706641696152</v>
      </c>
      <c r="J71" s="27">
        <f>J70*(Presion_cilindro!O62/Presion_cilindro!O63)^Presion_cilindro!$B$9+10*(Presion_cilindro!$B$9-1)*Presion_cilindro!$B$33*(IF(Presion_cilindro!N63&gt;(-J$4+Presion_cilindro!$B$34),1-EXP(-Presion_cilindro!$B$16*((Presion_cilindro!N63-(-J$4+Presion_cilindro!$B$34))/Presion_cilindro!$B$35)^(Presion_cilindro!$B$17+1)),0)-IF(Presion_cilindro!N62&gt;(-J$4+Presion_cilindro!$B$34),1-EXP(-Presion_cilindro!$B$16*((Presion_cilindro!N62-(-J$4+Presion_cilindro!$B$34))/Presion_cilindro!$B$35)^(Presion_cilindro!$B$17+1)),0))/((Presion_cilindro!O62+Presion_cilindro!O63)/2)</f>
        <v>0.76299706641696152</v>
      </c>
      <c r="K71" s="27">
        <f>K70*(Presion_cilindro!O62/Presion_cilindro!O63)^Presion_cilindro!$B$9+10*(Presion_cilindro!$B$9-1)*Presion_cilindro!$B$33*(IF(Presion_cilindro!N63&gt;(-K$4+Presion_cilindro!$B$34),1-EXP(-Presion_cilindro!$B$16*((Presion_cilindro!N63-(-K$4+Presion_cilindro!$B$34))/Presion_cilindro!$B$35)^(Presion_cilindro!$B$17+1)),0)-IF(Presion_cilindro!N62&gt;(-K$4+Presion_cilindro!$B$34),1-EXP(-Presion_cilindro!$B$16*((Presion_cilindro!N62-(-K$4+Presion_cilindro!$B$34))/Presion_cilindro!$B$35)^(Presion_cilindro!$B$17+1)),0))/((Presion_cilindro!O62+Presion_cilindro!O63)/2)</f>
        <v>0.76299706641696152</v>
      </c>
      <c r="L71" s="27">
        <f>L70*(Presion_cilindro!O62/Presion_cilindro!O63)^Presion_cilindro!$B$9+10*(Presion_cilindro!$B$9-1)*Presion_cilindro!$B$33*(IF(Presion_cilindro!N63&gt;(-L$4+Presion_cilindro!$B$34),1-EXP(-Presion_cilindro!$B$16*((Presion_cilindro!N63-(-L$4+Presion_cilindro!$B$34))/Presion_cilindro!$B$35)^(Presion_cilindro!$B$17+1)),0)-IF(Presion_cilindro!N62&gt;(-L$4+Presion_cilindro!$B$34),1-EXP(-Presion_cilindro!$B$16*((Presion_cilindro!N62-(-L$4+Presion_cilindro!$B$34))/Presion_cilindro!$B$35)^(Presion_cilindro!$B$17+1)),0))/((Presion_cilindro!O62+Presion_cilindro!O63)/2)</f>
        <v>0.76299706641696152</v>
      </c>
      <c r="M71" s="27">
        <f>M70*(Presion_cilindro!O62/Presion_cilindro!O63)^Presion_cilindro!$B$9+10*(Presion_cilindro!$B$9-1)*Presion_cilindro!$B$33*(IF(Presion_cilindro!N63&gt;(-M$4+Presion_cilindro!$B$34),1-EXP(-Presion_cilindro!$B$16*((Presion_cilindro!N63-(-M$4+Presion_cilindro!$B$34))/Presion_cilindro!$B$35)^(Presion_cilindro!$B$17+1)),0)-IF(Presion_cilindro!N62&gt;(-M$4+Presion_cilindro!$B$34),1-EXP(-Presion_cilindro!$B$16*((Presion_cilindro!N62-(-M$4+Presion_cilindro!$B$34))/Presion_cilindro!$B$35)^(Presion_cilindro!$B$17+1)),0))/((Presion_cilindro!O62+Presion_cilindro!O63)/2)</f>
        <v>0.76299706641696152</v>
      </c>
      <c r="N71" s="27">
        <f>N70*(Presion_cilindro!O62/Presion_cilindro!O63)^Presion_cilindro!$B$9+10*(Presion_cilindro!$B$9-1)*Presion_cilindro!$B$33*(IF(Presion_cilindro!N63&gt;(-N$4+Presion_cilindro!$B$34),1-EXP(-Presion_cilindro!$B$16*((Presion_cilindro!N63-(-N$4+Presion_cilindro!$B$34))/Presion_cilindro!$B$35)^(Presion_cilindro!$B$17+1)),0)-IF(Presion_cilindro!N62&gt;(-N$4+Presion_cilindro!$B$34),1-EXP(-Presion_cilindro!$B$16*((Presion_cilindro!N62-(-N$4+Presion_cilindro!$B$34))/Presion_cilindro!$B$35)^(Presion_cilindro!$B$17+1)),0))/((Presion_cilindro!O62+Presion_cilindro!O63)/2)</f>
        <v>0.76299706641696152</v>
      </c>
    </row>
    <row r="72" spans="1:14" x14ac:dyDescent="0.25">
      <c r="A72" s="21">
        <f>Presion_cilindro!N64</f>
        <v>-150</v>
      </c>
      <c r="B72" s="27">
        <f>B71*(Presion_cilindro!O63/Presion_cilindro!O64)^Presion_cilindro!$B$9+10*(Presion_cilindro!$B$9-1)*Presion_cilindro!$B$33*(IF(Presion_cilindro!N64&gt;(-B$4+Presion_cilindro!$B$34),1-EXP(-Presion_cilindro!$B$16*((Presion_cilindro!N64-(-B$4+Presion_cilindro!$B$34))/Presion_cilindro!$B$35)^(Presion_cilindro!$B$17+1)),0)-IF(Presion_cilindro!N63&gt;(-B$4+Presion_cilindro!$B$34),1-EXP(-Presion_cilindro!$B$16*((Presion_cilindro!N63-(-B$4+Presion_cilindro!$B$34))/Presion_cilindro!$B$35)^(Presion_cilindro!$B$17+1)),0))/((Presion_cilindro!O63+Presion_cilindro!O64)/2)</f>
        <v>0.76454780537886136</v>
      </c>
      <c r="C72" s="27">
        <f>C71*(Presion_cilindro!O63/Presion_cilindro!O64)^Presion_cilindro!$B$9+10*(Presion_cilindro!$B$9-1)*Presion_cilindro!$B$33*(IF(Presion_cilindro!N64&gt;(-C$4+Presion_cilindro!$B$34),1-EXP(-Presion_cilindro!$B$16*((Presion_cilindro!N64-(-C$4+Presion_cilindro!$B$34))/Presion_cilindro!$B$35)^(Presion_cilindro!$B$17+1)),0)-IF(Presion_cilindro!N63&gt;(-C$4+Presion_cilindro!$B$34),1-EXP(-Presion_cilindro!$B$16*((Presion_cilindro!N63-(-C$4+Presion_cilindro!$B$34))/Presion_cilindro!$B$35)^(Presion_cilindro!$B$17+1)),0))/((Presion_cilindro!O63+Presion_cilindro!O64)/2)</f>
        <v>0.76454780537886136</v>
      </c>
      <c r="D72" s="27">
        <f>D71*(Presion_cilindro!O63/Presion_cilindro!O64)^Presion_cilindro!$B$9+10*(Presion_cilindro!$B$9-1)*Presion_cilindro!$B$33*(IF(Presion_cilindro!N64&gt;(-D$4+Presion_cilindro!$B$34),1-EXP(-Presion_cilindro!$B$16*((Presion_cilindro!N64-(-D$4+Presion_cilindro!$B$34))/Presion_cilindro!$B$35)^(Presion_cilindro!$B$17+1)),0)-IF(Presion_cilindro!N63&gt;(-D$4+Presion_cilindro!$B$34),1-EXP(-Presion_cilindro!$B$16*((Presion_cilindro!N63-(-D$4+Presion_cilindro!$B$34))/Presion_cilindro!$B$35)^(Presion_cilindro!$B$17+1)),0))/((Presion_cilindro!O63+Presion_cilindro!O64)/2)</f>
        <v>0.76454780537886136</v>
      </c>
      <c r="E72" s="27">
        <f>E71*(Presion_cilindro!O63/Presion_cilindro!O64)^Presion_cilindro!$B$9+10*(Presion_cilindro!$B$9-1)*Presion_cilindro!$B$33*(IF(Presion_cilindro!N64&gt;(-E$4+Presion_cilindro!$B$34),1-EXP(-Presion_cilindro!$B$16*((Presion_cilindro!N64-(-E$4+Presion_cilindro!$B$34))/Presion_cilindro!$B$35)^(Presion_cilindro!$B$17+1)),0)-IF(Presion_cilindro!N63&gt;(-E$4+Presion_cilindro!$B$34),1-EXP(-Presion_cilindro!$B$16*((Presion_cilindro!N63-(-E$4+Presion_cilindro!$B$34))/Presion_cilindro!$B$35)^(Presion_cilindro!$B$17+1)),0))/((Presion_cilindro!O63+Presion_cilindro!O64)/2)</f>
        <v>0.76454780537886136</v>
      </c>
      <c r="F72" s="27">
        <f>F71*(Presion_cilindro!O63/Presion_cilindro!O64)^Presion_cilindro!$B$9+10*(Presion_cilindro!$B$9-1)*Presion_cilindro!$B$33*(IF(Presion_cilindro!N64&gt;(-F$4+Presion_cilindro!$B$34),1-EXP(-Presion_cilindro!$B$16*((Presion_cilindro!N64-(-F$4+Presion_cilindro!$B$34))/Presion_cilindro!$B$35)^(Presion_cilindro!$B$17+1)),0)-IF(Presion_cilindro!N63&gt;(-F$4+Presion_cilindro!$B$34),1-EXP(-Presion_cilindro!$B$16*((Presion_cilindro!N63-(-F$4+Presion_cilindro!$B$34))/Presion_cilindro!$B$35)^(Presion_cilindro!$B$17+1)),0))/((Presion_cilindro!O63+Presion_cilindro!O64)/2)</f>
        <v>0.76454780537886136</v>
      </c>
      <c r="G72" s="27">
        <f>G71*(Presion_cilindro!O63/Presion_cilindro!O64)^Presion_cilindro!$B$9+10*(Presion_cilindro!$B$9-1)*Presion_cilindro!$B$33*(IF(Presion_cilindro!N64&gt;(-G$4+Presion_cilindro!$B$34),1-EXP(-Presion_cilindro!$B$16*((Presion_cilindro!N64-(-G$4+Presion_cilindro!$B$34))/Presion_cilindro!$B$35)^(Presion_cilindro!$B$17+1)),0)-IF(Presion_cilindro!N63&gt;(-G$4+Presion_cilindro!$B$34),1-EXP(-Presion_cilindro!$B$16*((Presion_cilindro!N63-(-G$4+Presion_cilindro!$B$34))/Presion_cilindro!$B$35)^(Presion_cilindro!$B$17+1)),0))/((Presion_cilindro!O63+Presion_cilindro!O64)/2)</f>
        <v>0.76454780537886136</v>
      </c>
      <c r="H72" s="27">
        <f>H71*(Presion_cilindro!O63/Presion_cilindro!O64)^Presion_cilindro!$B$9+10*(Presion_cilindro!$B$9-1)*Presion_cilindro!$B$33*(IF(Presion_cilindro!N64&gt;(-H$4+Presion_cilindro!$B$34),1-EXP(-Presion_cilindro!$B$16*((Presion_cilindro!N64-(-H$4+Presion_cilindro!$B$34))/Presion_cilindro!$B$35)^(Presion_cilindro!$B$17+1)),0)-IF(Presion_cilindro!N63&gt;(-H$4+Presion_cilindro!$B$34),1-EXP(-Presion_cilindro!$B$16*((Presion_cilindro!N63-(-H$4+Presion_cilindro!$B$34))/Presion_cilindro!$B$35)^(Presion_cilindro!$B$17+1)),0))/((Presion_cilindro!O63+Presion_cilindro!O64)/2)</f>
        <v>0.76454780537886136</v>
      </c>
      <c r="I72" s="27">
        <f>I71*(Presion_cilindro!O63/Presion_cilindro!O64)^Presion_cilindro!$B$9+10*(Presion_cilindro!$B$9-1)*Presion_cilindro!$B$33*(IF(Presion_cilindro!N64&gt;(-I$4+Presion_cilindro!$B$34),1-EXP(-Presion_cilindro!$B$16*((Presion_cilindro!N64-(-I$4+Presion_cilindro!$B$34))/Presion_cilindro!$B$35)^(Presion_cilindro!$B$17+1)),0)-IF(Presion_cilindro!N63&gt;(-I$4+Presion_cilindro!$B$34),1-EXP(-Presion_cilindro!$B$16*((Presion_cilindro!N63-(-I$4+Presion_cilindro!$B$34))/Presion_cilindro!$B$35)^(Presion_cilindro!$B$17+1)),0))/((Presion_cilindro!O63+Presion_cilindro!O64)/2)</f>
        <v>0.76454780537886136</v>
      </c>
      <c r="J72" s="27">
        <f>J71*(Presion_cilindro!O63/Presion_cilindro!O64)^Presion_cilindro!$B$9+10*(Presion_cilindro!$B$9-1)*Presion_cilindro!$B$33*(IF(Presion_cilindro!N64&gt;(-J$4+Presion_cilindro!$B$34),1-EXP(-Presion_cilindro!$B$16*((Presion_cilindro!N64-(-J$4+Presion_cilindro!$B$34))/Presion_cilindro!$B$35)^(Presion_cilindro!$B$17+1)),0)-IF(Presion_cilindro!N63&gt;(-J$4+Presion_cilindro!$B$34),1-EXP(-Presion_cilindro!$B$16*((Presion_cilindro!N63-(-J$4+Presion_cilindro!$B$34))/Presion_cilindro!$B$35)^(Presion_cilindro!$B$17+1)),0))/((Presion_cilindro!O63+Presion_cilindro!O64)/2)</f>
        <v>0.76454780537886136</v>
      </c>
      <c r="K72" s="27">
        <f>K71*(Presion_cilindro!O63/Presion_cilindro!O64)^Presion_cilindro!$B$9+10*(Presion_cilindro!$B$9-1)*Presion_cilindro!$B$33*(IF(Presion_cilindro!N64&gt;(-K$4+Presion_cilindro!$B$34),1-EXP(-Presion_cilindro!$B$16*((Presion_cilindro!N64-(-K$4+Presion_cilindro!$B$34))/Presion_cilindro!$B$35)^(Presion_cilindro!$B$17+1)),0)-IF(Presion_cilindro!N63&gt;(-K$4+Presion_cilindro!$B$34),1-EXP(-Presion_cilindro!$B$16*((Presion_cilindro!N63-(-K$4+Presion_cilindro!$B$34))/Presion_cilindro!$B$35)^(Presion_cilindro!$B$17+1)),0))/((Presion_cilindro!O63+Presion_cilindro!O64)/2)</f>
        <v>0.76454780537886136</v>
      </c>
      <c r="L72" s="27">
        <f>L71*(Presion_cilindro!O63/Presion_cilindro!O64)^Presion_cilindro!$B$9+10*(Presion_cilindro!$B$9-1)*Presion_cilindro!$B$33*(IF(Presion_cilindro!N64&gt;(-L$4+Presion_cilindro!$B$34),1-EXP(-Presion_cilindro!$B$16*((Presion_cilindro!N64-(-L$4+Presion_cilindro!$B$34))/Presion_cilindro!$B$35)^(Presion_cilindro!$B$17+1)),0)-IF(Presion_cilindro!N63&gt;(-L$4+Presion_cilindro!$B$34),1-EXP(-Presion_cilindro!$B$16*((Presion_cilindro!N63-(-L$4+Presion_cilindro!$B$34))/Presion_cilindro!$B$35)^(Presion_cilindro!$B$17+1)),0))/((Presion_cilindro!O63+Presion_cilindro!O64)/2)</f>
        <v>0.76454780537886136</v>
      </c>
      <c r="M72" s="27">
        <f>M71*(Presion_cilindro!O63/Presion_cilindro!O64)^Presion_cilindro!$B$9+10*(Presion_cilindro!$B$9-1)*Presion_cilindro!$B$33*(IF(Presion_cilindro!N64&gt;(-M$4+Presion_cilindro!$B$34),1-EXP(-Presion_cilindro!$B$16*((Presion_cilindro!N64-(-M$4+Presion_cilindro!$B$34))/Presion_cilindro!$B$35)^(Presion_cilindro!$B$17+1)),0)-IF(Presion_cilindro!N63&gt;(-M$4+Presion_cilindro!$B$34),1-EXP(-Presion_cilindro!$B$16*((Presion_cilindro!N63-(-M$4+Presion_cilindro!$B$34))/Presion_cilindro!$B$35)^(Presion_cilindro!$B$17+1)),0))/((Presion_cilindro!O63+Presion_cilindro!O64)/2)</f>
        <v>0.76454780537886136</v>
      </c>
      <c r="N72" s="27">
        <f>N71*(Presion_cilindro!O63/Presion_cilindro!O64)^Presion_cilindro!$B$9+10*(Presion_cilindro!$B$9-1)*Presion_cilindro!$B$33*(IF(Presion_cilindro!N64&gt;(-N$4+Presion_cilindro!$B$34),1-EXP(-Presion_cilindro!$B$16*((Presion_cilindro!N64-(-N$4+Presion_cilindro!$B$34))/Presion_cilindro!$B$35)^(Presion_cilindro!$B$17+1)),0)-IF(Presion_cilindro!N63&gt;(-N$4+Presion_cilindro!$B$34),1-EXP(-Presion_cilindro!$B$16*((Presion_cilindro!N63-(-N$4+Presion_cilindro!$B$34))/Presion_cilindro!$B$35)^(Presion_cilindro!$B$17+1)),0))/((Presion_cilindro!O63+Presion_cilindro!O64)/2)</f>
        <v>0.76454780537886136</v>
      </c>
    </row>
    <row r="73" spans="1:14" x14ac:dyDescent="0.25">
      <c r="A73" s="21">
        <f>Presion_cilindro!N65</f>
        <v>-149.5</v>
      </c>
      <c r="B73" s="27">
        <f>B72*(Presion_cilindro!O64/Presion_cilindro!O65)^Presion_cilindro!$B$9+10*(Presion_cilindro!$B$9-1)*Presion_cilindro!$B$33*(IF(Presion_cilindro!N65&gt;(-B$4+Presion_cilindro!$B$34),1-EXP(-Presion_cilindro!$B$16*((Presion_cilindro!N65-(-B$4+Presion_cilindro!$B$34))/Presion_cilindro!$B$35)^(Presion_cilindro!$B$17+1)),0)-IF(Presion_cilindro!N64&gt;(-B$4+Presion_cilindro!$B$34),1-EXP(-Presion_cilindro!$B$16*((Presion_cilindro!N64-(-B$4+Presion_cilindro!$B$34))/Presion_cilindro!$B$35)^(Presion_cilindro!$B$17+1)),0))/((Presion_cilindro!O64+Presion_cilindro!O65)/2)</f>
        <v>0.76613031362461881</v>
      </c>
      <c r="C73" s="27">
        <f>C72*(Presion_cilindro!O64/Presion_cilindro!O65)^Presion_cilindro!$B$9+10*(Presion_cilindro!$B$9-1)*Presion_cilindro!$B$33*(IF(Presion_cilindro!N65&gt;(-C$4+Presion_cilindro!$B$34),1-EXP(-Presion_cilindro!$B$16*((Presion_cilindro!N65-(-C$4+Presion_cilindro!$B$34))/Presion_cilindro!$B$35)^(Presion_cilindro!$B$17+1)),0)-IF(Presion_cilindro!N64&gt;(-C$4+Presion_cilindro!$B$34),1-EXP(-Presion_cilindro!$B$16*((Presion_cilindro!N64-(-C$4+Presion_cilindro!$B$34))/Presion_cilindro!$B$35)^(Presion_cilindro!$B$17+1)),0))/((Presion_cilindro!O64+Presion_cilindro!O65)/2)</f>
        <v>0.76613031362461881</v>
      </c>
      <c r="D73" s="27">
        <f>D72*(Presion_cilindro!O64/Presion_cilindro!O65)^Presion_cilindro!$B$9+10*(Presion_cilindro!$B$9-1)*Presion_cilindro!$B$33*(IF(Presion_cilindro!N65&gt;(-D$4+Presion_cilindro!$B$34),1-EXP(-Presion_cilindro!$B$16*((Presion_cilindro!N65-(-D$4+Presion_cilindro!$B$34))/Presion_cilindro!$B$35)^(Presion_cilindro!$B$17+1)),0)-IF(Presion_cilindro!N64&gt;(-D$4+Presion_cilindro!$B$34),1-EXP(-Presion_cilindro!$B$16*((Presion_cilindro!N64-(-D$4+Presion_cilindro!$B$34))/Presion_cilindro!$B$35)^(Presion_cilindro!$B$17+1)),0))/((Presion_cilindro!O64+Presion_cilindro!O65)/2)</f>
        <v>0.76613031362461881</v>
      </c>
      <c r="E73" s="27">
        <f>E72*(Presion_cilindro!O64/Presion_cilindro!O65)^Presion_cilindro!$B$9+10*(Presion_cilindro!$B$9-1)*Presion_cilindro!$B$33*(IF(Presion_cilindro!N65&gt;(-E$4+Presion_cilindro!$B$34),1-EXP(-Presion_cilindro!$B$16*((Presion_cilindro!N65-(-E$4+Presion_cilindro!$B$34))/Presion_cilindro!$B$35)^(Presion_cilindro!$B$17+1)),0)-IF(Presion_cilindro!N64&gt;(-E$4+Presion_cilindro!$B$34),1-EXP(-Presion_cilindro!$B$16*((Presion_cilindro!N64-(-E$4+Presion_cilindro!$B$34))/Presion_cilindro!$B$35)^(Presion_cilindro!$B$17+1)),0))/((Presion_cilindro!O64+Presion_cilindro!O65)/2)</f>
        <v>0.76613031362461881</v>
      </c>
      <c r="F73" s="27">
        <f>F72*(Presion_cilindro!O64/Presion_cilindro!O65)^Presion_cilindro!$B$9+10*(Presion_cilindro!$B$9-1)*Presion_cilindro!$B$33*(IF(Presion_cilindro!N65&gt;(-F$4+Presion_cilindro!$B$34),1-EXP(-Presion_cilindro!$B$16*((Presion_cilindro!N65-(-F$4+Presion_cilindro!$B$34))/Presion_cilindro!$B$35)^(Presion_cilindro!$B$17+1)),0)-IF(Presion_cilindro!N64&gt;(-F$4+Presion_cilindro!$B$34),1-EXP(-Presion_cilindro!$B$16*((Presion_cilindro!N64-(-F$4+Presion_cilindro!$B$34))/Presion_cilindro!$B$35)^(Presion_cilindro!$B$17+1)),0))/((Presion_cilindro!O64+Presion_cilindro!O65)/2)</f>
        <v>0.76613031362461881</v>
      </c>
      <c r="G73" s="27">
        <f>G72*(Presion_cilindro!O64/Presion_cilindro!O65)^Presion_cilindro!$B$9+10*(Presion_cilindro!$B$9-1)*Presion_cilindro!$B$33*(IF(Presion_cilindro!N65&gt;(-G$4+Presion_cilindro!$B$34),1-EXP(-Presion_cilindro!$B$16*((Presion_cilindro!N65-(-G$4+Presion_cilindro!$B$34))/Presion_cilindro!$B$35)^(Presion_cilindro!$B$17+1)),0)-IF(Presion_cilindro!N64&gt;(-G$4+Presion_cilindro!$B$34),1-EXP(-Presion_cilindro!$B$16*((Presion_cilindro!N64-(-G$4+Presion_cilindro!$B$34))/Presion_cilindro!$B$35)^(Presion_cilindro!$B$17+1)),0))/((Presion_cilindro!O64+Presion_cilindro!O65)/2)</f>
        <v>0.76613031362461881</v>
      </c>
      <c r="H73" s="27">
        <f>H72*(Presion_cilindro!O64/Presion_cilindro!O65)^Presion_cilindro!$B$9+10*(Presion_cilindro!$B$9-1)*Presion_cilindro!$B$33*(IF(Presion_cilindro!N65&gt;(-H$4+Presion_cilindro!$B$34),1-EXP(-Presion_cilindro!$B$16*((Presion_cilindro!N65-(-H$4+Presion_cilindro!$B$34))/Presion_cilindro!$B$35)^(Presion_cilindro!$B$17+1)),0)-IF(Presion_cilindro!N64&gt;(-H$4+Presion_cilindro!$B$34),1-EXP(-Presion_cilindro!$B$16*((Presion_cilindro!N64-(-H$4+Presion_cilindro!$B$34))/Presion_cilindro!$B$35)^(Presion_cilindro!$B$17+1)),0))/((Presion_cilindro!O64+Presion_cilindro!O65)/2)</f>
        <v>0.76613031362461881</v>
      </c>
      <c r="I73" s="27">
        <f>I72*(Presion_cilindro!O64/Presion_cilindro!O65)^Presion_cilindro!$B$9+10*(Presion_cilindro!$B$9-1)*Presion_cilindro!$B$33*(IF(Presion_cilindro!N65&gt;(-I$4+Presion_cilindro!$B$34),1-EXP(-Presion_cilindro!$B$16*((Presion_cilindro!N65-(-I$4+Presion_cilindro!$B$34))/Presion_cilindro!$B$35)^(Presion_cilindro!$B$17+1)),0)-IF(Presion_cilindro!N64&gt;(-I$4+Presion_cilindro!$B$34),1-EXP(-Presion_cilindro!$B$16*((Presion_cilindro!N64-(-I$4+Presion_cilindro!$B$34))/Presion_cilindro!$B$35)^(Presion_cilindro!$B$17+1)),0))/((Presion_cilindro!O64+Presion_cilindro!O65)/2)</f>
        <v>0.76613031362461881</v>
      </c>
      <c r="J73" s="27">
        <f>J72*(Presion_cilindro!O64/Presion_cilindro!O65)^Presion_cilindro!$B$9+10*(Presion_cilindro!$B$9-1)*Presion_cilindro!$B$33*(IF(Presion_cilindro!N65&gt;(-J$4+Presion_cilindro!$B$34),1-EXP(-Presion_cilindro!$B$16*((Presion_cilindro!N65-(-J$4+Presion_cilindro!$B$34))/Presion_cilindro!$B$35)^(Presion_cilindro!$B$17+1)),0)-IF(Presion_cilindro!N64&gt;(-J$4+Presion_cilindro!$B$34),1-EXP(-Presion_cilindro!$B$16*((Presion_cilindro!N64-(-J$4+Presion_cilindro!$B$34))/Presion_cilindro!$B$35)^(Presion_cilindro!$B$17+1)),0))/((Presion_cilindro!O64+Presion_cilindro!O65)/2)</f>
        <v>0.76613031362461881</v>
      </c>
      <c r="K73" s="27">
        <f>K72*(Presion_cilindro!O64/Presion_cilindro!O65)^Presion_cilindro!$B$9+10*(Presion_cilindro!$B$9-1)*Presion_cilindro!$B$33*(IF(Presion_cilindro!N65&gt;(-K$4+Presion_cilindro!$B$34),1-EXP(-Presion_cilindro!$B$16*((Presion_cilindro!N65-(-K$4+Presion_cilindro!$B$34))/Presion_cilindro!$B$35)^(Presion_cilindro!$B$17+1)),0)-IF(Presion_cilindro!N64&gt;(-K$4+Presion_cilindro!$B$34),1-EXP(-Presion_cilindro!$B$16*((Presion_cilindro!N64-(-K$4+Presion_cilindro!$B$34))/Presion_cilindro!$B$35)^(Presion_cilindro!$B$17+1)),0))/((Presion_cilindro!O64+Presion_cilindro!O65)/2)</f>
        <v>0.76613031362461881</v>
      </c>
      <c r="L73" s="27">
        <f>L72*(Presion_cilindro!O64/Presion_cilindro!O65)^Presion_cilindro!$B$9+10*(Presion_cilindro!$B$9-1)*Presion_cilindro!$B$33*(IF(Presion_cilindro!N65&gt;(-L$4+Presion_cilindro!$B$34),1-EXP(-Presion_cilindro!$B$16*((Presion_cilindro!N65-(-L$4+Presion_cilindro!$B$34))/Presion_cilindro!$B$35)^(Presion_cilindro!$B$17+1)),0)-IF(Presion_cilindro!N64&gt;(-L$4+Presion_cilindro!$B$34),1-EXP(-Presion_cilindro!$B$16*((Presion_cilindro!N64-(-L$4+Presion_cilindro!$B$34))/Presion_cilindro!$B$35)^(Presion_cilindro!$B$17+1)),0))/((Presion_cilindro!O64+Presion_cilindro!O65)/2)</f>
        <v>0.76613031362461881</v>
      </c>
      <c r="M73" s="27">
        <f>M72*(Presion_cilindro!O64/Presion_cilindro!O65)^Presion_cilindro!$B$9+10*(Presion_cilindro!$B$9-1)*Presion_cilindro!$B$33*(IF(Presion_cilindro!N65&gt;(-M$4+Presion_cilindro!$B$34),1-EXP(-Presion_cilindro!$B$16*((Presion_cilindro!N65-(-M$4+Presion_cilindro!$B$34))/Presion_cilindro!$B$35)^(Presion_cilindro!$B$17+1)),0)-IF(Presion_cilindro!N64&gt;(-M$4+Presion_cilindro!$B$34),1-EXP(-Presion_cilindro!$B$16*((Presion_cilindro!N64-(-M$4+Presion_cilindro!$B$34))/Presion_cilindro!$B$35)^(Presion_cilindro!$B$17+1)),0))/((Presion_cilindro!O64+Presion_cilindro!O65)/2)</f>
        <v>0.76613031362461881</v>
      </c>
      <c r="N73" s="27">
        <f>N72*(Presion_cilindro!O64/Presion_cilindro!O65)^Presion_cilindro!$B$9+10*(Presion_cilindro!$B$9-1)*Presion_cilindro!$B$33*(IF(Presion_cilindro!N65&gt;(-N$4+Presion_cilindro!$B$34),1-EXP(-Presion_cilindro!$B$16*((Presion_cilindro!N65-(-N$4+Presion_cilindro!$B$34))/Presion_cilindro!$B$35)^(Presion_cilindro!$B$17+1)),0)-IF(Presion_cilindro!N64&gt;(-N$4+Presion_cilindro!$B$34),1-EXP(-Presion_cilindro!$B$16*((Presion_cilindro!N64-(-N$4+Presion_cilindro!$B$34))/Presion_cilindro!$B$35)^(Presion_cilindro!$B$17+1)),0))/((Presion_cilindro!O64+Presion_cilindro!O65)/2)</f>
        <v>0.76613031362461881</v>
      </c>
    </row>
    <row r="74" spans="1:14" x14ac:dyDescent="0.25">
      <c r="A74" s="21">
        <f>Presion_cilindro!N66</f>
        <v>-149</v>
      </c>
      <c r="B74" s="27">
        <f>B73*(Presion_cilindro!O65/Presion_cilindro!O66)^Presion_cilindro!$B$9+10*(Presion_cilindro!$B$9-1)*Presion_cilindro!$B$33*(IF(Presion_cilindro!N66&gt;(-B$4+Presion_cilindro!$B$34),1-EXP(-Presion_cilindro!$B$16*((Presion_cilindro!N66-(-B$4+Presion_cilindro!$B$34))/Presion_cilindro!$B$35)^(Presion_cilindro!$B$17+1)),0)-IF(Presion_cilindro!N65&gt;(-B$4+Presion_cilindro!$B$34),1-EXP(-Presion_cilindro!$B$16*((Presion_cilindro!N65-(-B$4+Presion_cilindro!$B$34))/Presion_cilindro!$B$35)^(Presion_cilindro!$B$17+1)),0))/((Presion_cilindro!O65+Presion_cilindro!O66)/2)</f>
        <v>0.76774489998414963</v>
      </c>
      <c r="C74" s="27">
        <f>C73*(Presion_cilindro!O65/Presion_cilindro!O66)^Presion_cilindro!$B$9+10*(Presion_cilindro!$B$9-1)*Presion_cilindro!$B$33*(IF(Presion_cilindro!N66&gt;(-C$4+Presion_cilindro!$B$34),1-EXP(-Presion_cilindro!$B$16*((Presion_cilindro!N66-(-C$4+Presion_cilindro!$B$34))/Presion_cilindro!$B$35)^(Presion_cilindro!$B$17+1)),0)-IF(Presion_cilindro!N65&gt;(-C$4+Presion_cilindro!$B$34),1-EXP(-Presion_cilindro!$B$16*((Presion_cilindro!N65-(-C$4+Presion_cilindro!$B$34))/Presion_cilindro!$B$35)^(Presion_cilindro!$B$17+1)),0))/((Presion_cilindro!O65+Presion_cilindro!O66)/2)</f>
        <v>0.76774489998414963</v>
      </c>
      <c r="D74" s="27">
        <f>D73*(Presion_cilindro!O65/Presion_cilindro!O66)^Presion_cilindro!$B$9+10*(Presion_cilindro!$B$9-1)*Presion_cilindro!$B$33*(IF(Presion_cilindro!N66&gt;(-D$4+Presion_cilindro!$B$34),1-EXP(-Presion_cilindro!$B$16*((Presion_cilindro!N66-(-D$4+Presion_cilindro!$B$34))/Presion_cilindro!$B$35)^(Presion_cilindro!$B$17+1)),0)-IF(Presion_cilindro!N65&gt;(-D$4+Presion_cilindro!$B$34),1-EXP(-Presion_cilindro!$B$16*((Presion_cilindro!N65-(-D$4+Presion_cilindro!$B$34))/Presion_cilindro!$B$35)^(Presion_cilindro!$B$17+1)),0))/((Presion_cilindro!O65+Presion_cilindro!O66)/2)</f>
        <v>0.76774489998414963</v>
      </c>
      <c r="E74" s="27">
        <f>E73*(Presion_cilindro!O65/Presion_cilindro!O66)^Presion_cilindro!$B$9+10*(Presion_cilindro!$B$9-1)*Presion_cilindro!$B$33*(IF(Presion_cilindro!N66&gt;(-E$4+Presion_cilindro!$B$34),1-EXP(-Presion_cilindro!$B$16*((Presion_cilindro!N66-(-E$4+Presion_cilindro!$B$34))/Presion_cilindro!$B$35)^(Presion_cilindro!$B$17+1)),0)-IF(Presion_cilindro!N65&gt;(-E$4+Presion_cilindro!$B$34),1-EXP(-Presion_cilindro!$B$16*((Presion_cilindro!N65-(-E$4+Presion_cilindro!$B$34))/Presion_cilindro!$B$35)^(Presion_cilindro!$B$17+1)),0))/((Presion_cilindro!O65+Presion_cilindro!O66)/2)</f>
        <v>0.76774489998414963</v>
      </c>
      <c r="F74" s="27">
        <f>F73*(Presion_cilindro!O65/Presion_cilindro!O66)^Presion_cilindro!$B$9+10*(Presion_cilindro!$B$9-1)*Presion_cilindro!$B$33*(IF(Presion_cilindro!N66&gt;(-F$4+Presion_cilindro!$B$34),1-EXP(-Presion_cilindro!$B$16*((Presion_cilindro!N66-(-F$4+Presion_cilindro!$B$34))/Presion_cilindro!$B$35)^(Presion_cilindro!$B$17+1)),0)-IF(Presion_cilindro!N65&gt;(-F$4+Presion_cilindro!$B$34),1-EXP(-Presion_cilindro!$B$16*((Presion_cilindro!N65-(-F$4+Presion_cilindro!$B$34))/Presion_cilindro!$B$35)^(Presion_cilindro!$B$17+1)),0))/((Presion_cilindro!O65+Presion_cilindro!O66)/2)</f>
        <v>0.76774489998414963</v>
      </c>
      <c r="G74" s="27">
        <f>G73*(Presion_cilindro!O65/Presion_cilindro!O66)^Presion_cilindro!$B$9+10*(Presion_cilindro!$B$9-1)*Presion_cilindro!$B$33*(IF(Presion_cilindro!N66&gt;(-G$4+Presion_cilindro!$B$34),1-EXP(-Presion_cilindro!$B$16*((Presion_cilindro!N66-(-G$4+Presion_cilindro!$B$34))/Presion_cilindro!$B$35)^(Presion_cilindro!$B$17+1)),0)-IF(Presion_cilindro!N65&gt;(-G$4+Presion_cilindro!$B$34),1-EXP(-Presion_cilindro!$B$16*((Presion_cilindro!N65-(-G$4+Presion_cilindro!$B$34))/Presion_cilindro!$B$35)^(Presion_cilindro!$B$17+1)),0))/((Presion_cilindro!O65+Presion_cilindro!O66)/2)</f>
        <v>0.76774489998414963</v>
      </c>
      <c r="H74" s="27">
        <f>H73*(Presion_cilindro!O65/Presion_cilindro!O66)^Presion_cilindro!$B$9+10*(Presion_cilindro!$B$9-1)*Presion_cilindro!$B$33*(IF(Presion_cilindro!N66&gt;(-H$4+Presion_cilindro!$B$34),1-EXP(-Presion_cilindro!$B$16*((Presion_cilindro!N66-(-H$4+Presion_cilindro!$B$34))/Presion_cilindro!$B$35)^(Presion_cilindro!$B$17+1)),0)-IF(Presion_cilindro!N65&gt;(-H$4+Presion_cilindro!$B$34),1-EXP(-Presion_cilindro!$B$16*((Presion_cilindro!N65-(-H$4+Presion_cilindro!$B$34))/Presion_cilindro!$B$35)^(Presion_cilindro!$B$17+1)),0))/((Presion_cilindro!O65+Presion_cilindro!O66)/2)</f>
        <v>0.76774489998414963</v>
      </c>
      <c r="I74" s="27">
        <f>I73*(Presion_cilindro!O65/Presion_cilindro!O66)^Presion_cilindro!$B$9+10*(Presion_cilindro!$B$9-1)*Presion_cilindro!$B$33*(IF(Presion_cilindro!N66&gt;(-I$4+Presion_cilindro!$B$34),1-EXP(-Presion_cilindro!$B$16*((Presion_cilindro!N66-(-I$4+Presion_cilindro!$B$34))/Presion_cilindro!$B$35)^(Presion_cilindro!$B$17+1)),0)-IF(Presion_cilindro!N65&gt;(-I$4+Presion_cilindro!$B$34),1-EXP(-Presion_cilindro!$B$16*((Presion_cilindro!N65-(-I$4+Presion_cilindro!$B$34))/Presion_cilindro!$B$35)^(Presion_cilindro!$B$17+1)),0))/((Presion_cilindro!O65+Presion_cilindro!O66)/2)</f>
        <v>0.76774489998414963</v>
      </c>
      <c r="J74" s="27">
        <f>J73*(Presion_cilindro!O65/Presion_cilindro!O66)^Presion_cilindro!$B$9+10*(Presion_cilindro!$B$9-1)*Presion_cilindro!$B$33*(IF(Presion_cilindro!N66&gt;(-J$4+Presion_cilindro!$B$34),1-EXP(-Presion_cilindro!$B$16*((Presion_cilindro!N66-(-J$4+Presion_cilindro!$B$34))/Presion_cilindro!$B$35)^(Presion_cilindro!$B$17+1)),0)-IF(Presion_cilindro!N65&gt;(-J$4+Presion_cilindro!$B$34),1-EXP(-Presion_cilindro!$B$16*((Presion_cilindro!N65-(-J$4+Presion_cilindro!$B$34))/Presion_cilindro!$B$35)^(Presion_cilindro!$B$17+1)),0))/((Presion_cilindro!O65+Presion_cilindro!O66)/2)</f>
        <v>0.76774489998414963</v>
      </c>
      <c r="K74" s="27">
        <f>K73*(Presion_cilindro!O65/Presion_cilindro!O66)^Presion_cilindro!$B$9+10*(Presion_cilindro!$B$9-1)*Presion_cilindro!$B$33*(IF(Presion_cilindro!N66&gt;(-K$4+Presion_cilindro!$B$34),1-EXP(-Presion_cilindro!$B$16*((Presion_cilindro!N66-(-K$4+Presion_cilindro!$B$34))/Presion_cilindro!$B$35)^(Presion_cilindro!$B$17+1)),0)-IF(Presion_cilindro!N65&gt;(-K$4+Presion_cilindro!$B$34),1-EXP(-Presion_cilindro!$B$16*((Presion_cilindro!N65-(-K$4+Presion_cilindro!$B$34))/Presion_cilindro!$B$35)^(Presion_cilindro!$B$17+1)),0))/((Presion_cilindro!O65+Presion_cilindro!O66)/2)</f>
        <v>0.76774489998414963</v>
      </c>
      <c r="L74" s="27">
        <f>L73*(Presion_cilindro!O65/Presion_cilindro!O66)^Presion_cilindro!$B$9+10*(Presion_cilindro!$B$9-1)*Presion_cilindro!$B$33*(IF(Presion_cilindro!N66&gt;(-L$4+Presion_cilindro!$B$34),1-EXP(-Presion_cilindro!$B$16*((Presion_cilindro!N66-(-L$4+Presion_cilindro!$B$34))/Presion_cilindro!$B$35)^(Presion_cilindro!$B$17+1)),0)-IF(Presion_cilindro!N65&gt;(-L$4+Presion_cilindro!$B$34),1-EXP(-Presion_cilindro!$B$16*((Presion_cilindro!N65-(-L$4+Presion_cilindro!$B$34))/Presion_cilindro!$B$35)^(Presion_cilindro!$B$17+1)),0))/((Presion_cilindro!O65+Presion_cilindro!O66)/2)</f>
        <v>0.76774489998414963</v>
      </c>
      <c r="M74" s="27">
        <f>M73*(Presion_cilindro!O65/Presion_cilindro!O66)^Presion_cilindro!$B$9+10*(Presion_cilindro!$B$9-1)*Presion_cilindro!$B$33*(IF(Presion_cilindro!N66&gt;(-M$4+Presion_cilindro!$B$34),1-EXP(-Presion_cilindro!$B$16*((Presion_cilindro!N66-(-M$4+Presion_cilindro!$B$34))/Presion_cilindro!$B$35)^(Presion_cilindro!$B$17+1)),0)-IF(Presion_cilindro!N65&gt;(-M$4+Presion_cilindro!$B$34),1-EXP(-Presion_cilindro!$B$16*((Presion_cilindro!N65-(-M$4+Presion_cilindro!$B$34))/Presion_cilindro!$B$35)^(Presion_cilindro!$B$17+1)),0))/((Presion_cilindro!O65+Presion_cilindro!O66)/2)</f>
        <v>0.76774489998414963</v>
      </c>
      <c r="N74" s="27">
        <f>N73*(Presion_cilindro!O65/Presion_cilindro!O66)^Presion_cilindro!$B$9+10*(Presion_cilindro!$B$9-1)*Presion_cilindro!$B$33*(IF(Presion_cilindro!N66&gt;(-N$4+Presion_cilindro!$B$34),1-EXP(-Presion_cilindro!$B$16*((Presion_cilindro!N66-(-N$4+Presion_cilindro!$B$34))/Presion_cilindro!$B$35)^(Presion_cilindro!$B$17+1)),0)-IF(Presion_cilindro!N65&gt;(-N$4+Presion_cilindro!$B$34),1-EXP(-Presion_cilindro!$B$16*((Presion_cilindro!N65-(-N$4+Presion_cilindro!$B$34))/Presion_cilindro!$B$35)^(Presion_cilindro!$B$17+1)),0))/((Presion_cilindro!O65+Presion_cilindro!O66)/2)</f>
        <v>0.76774489998414963</v>
      </c>
    </row>
    <row r="75" spans="1:14" x14ac:dyDescent="0.25">
      <c r="A75" s="21">
        <f>Presion_cilindro!N67</f>
        <v>-148.5</v>
      </c>
      <c r="B75" s="27">
        <f>B74*(Presion_cilindro!O66/Presion_cilindro!O67)^Presion_cilindro!$B$9+10*(Presion_cilindro!$B$9-1)*Presion_cilindro!$B$33*(IF(Presion_cilindro!N67&gt;(-B$4+Presion_cilindro!$B$34),1-EXP(-Presion_cilindro!$B$16*((Presion_cilindro!N67-(-B$4+Presion_cilindro!$B$34))/Presion_cilindro!$B$35)^(Presion_cilindro!$B$17+1)),0)-IF(Presion_cilindro!N66&gt;(-B$4+Presion_cilindro!$B$34),1-EXP(-Presion_cilindro!$B$16*((Presion_cilindro!N66-(-B$4+Presion_cilindro!$B$34))/Presion_cilindro!$B$35)^(Presion_cilindro!$B$17+1)),0))/((Presion_cilindro!O66+Presion_cilindro!O67)/2)</f>
        <v>0.76939188044508899</v>
      </c>
      <c r="C75" s="27">
        <f>C74*(Presion_cilindro!O66/Presion_cilindro!O67)^Presion_cilindro!$B$9+10*(Presion_cilindro!$B$9-1)*Presion_cilindro!$B$33*(IF(Presion_cilindro!N67&gt;(-C$4+Presion_cilindro!$B$34),1-EXP(-Presion_cilindro!$B$16*((Presion_cilindro!N67-(-C$4+Presion_cilindro!$B$34))/Presion_cilindro!$B$35)^(Presion_cilindro!$B$17+1)),0)-IF(Presion_cilindro!N66&gt;(-C$4+Presion_cilindro!$B$34),1-EXP(-Presion_cilindro!$B$16*((Presion_cilindro!N66-(-C$4+Presion_cilindro!$B$34))/Presion_cilindro!$B$35)^(Presion_cilindro!$B$17+1)),0))/((Presion_cilindro!O66+Presion_cilindro!O67)/2)</f>
        <v>0.76939188044508899</v>
      </c>
      <c r="D75" s="27">
        <f>D74*(Presion_cilindro!O66/Presion_cilindro!O67)^Presion_cilindro!$B$9+10*(Presion_cilindro!$B$9-1)*Presion_cilindro!$B$33*(IF(Presion_cilindro!N67&gt;(-D$4+Presion_cilindro!$B$34),1-EXP(-Presion_cilindro!$B$16*((Presion_cilindro!N67-(-D$4+Presion_cilindro!$B$34))/Presion_cilindro!$B$35)^(Presion_cilindro!$B$17+1)),0)-IF(Presion_cilindro!N66&gt;(-D$4+Presion_cilindro!$B$34),1-EXP(-Presion_cilindro!$B$16*((Presion_cilindro!N66-(-D$4+Presion_cilindro!$B$34))/Presion_cilindro!$B$35)^(Presion_cilindro!$B$17+1)),0))/((Presion_cilindro!O66+Presion_cilindro!O67)/2)</f>
        <v>0.76939188044508899</v>
      </c>
      <c r="E75" s="27">
        <f>E74*(Presion_cilindro!O66/Presion_cilindro!O67)^Presion_cilindro!$B$9+10*(Presion_cilindro!$B$9-1)*Presion_cilindro!$B$33*(IF(Presion_cilindro!N67&gt;(-E$4+Presion_cilindro!$B$34),1-EXP(-Presion_cilindro!$B$16*((Presion_cilindro!N67-(-E$4+Presion_cilindro!$B$34))/Presion_cilindro!$B$35)^(Presion_cilindro!$B$17+1)),0)-IF(Presion_cilindro!N66&gt;(-E$4+Presion_cilindro!$B$34),1-EXP(-Presion_cilindro!$B$16*((Presion_cilindro!N66-(-E$4+Presion_cilindro!$B$34))/Presion_cilindro!$B$35)^(Presion_cilindro!$B$17+1)),0))/((Presion_cilindro!O66+Presion_cilindro!O67)/2)</f>
        <v>0.76939188044508899</v>
      </c>
      <c r="F75" s="27">
        <f>F74*(Presion_cilindro!O66/Presion_cilindro!O67)^Presion_cilindro!$B$9+10*(Presion_cilindro!$B$9-1)*Presion_cilindro!$B$33*(IF(Presion_cilindro!N67&gt;(-F$4+Presion_cilindro!$B$34),1-EXP(-Presion_cilindro!$B$16*((Presion_cilindro!N67-(-F$4+Presion_cilindro!$B$34))/Presion_cilindro!$B$35)^(Presion_cilindro!$B$17+1)),0)-IF(Presion_cilindro!N66&gt;(-F$4+Presion_cilindro!$B$34),1-EXP(-Presion_cilindro!$B$16*((Presion_cilindro!N66-(-F$4+Presion_cilindro!$B$34))/Presion_cilindro!$B$35)^(Presion_cilindro!$B$17+1)),0))/((Presion_cilindro!O66+Presion_cilindro!O67)/2)</f>
        <v>0.76939188044508899</v>
      </c>
      <c r="G75" s="27">
        <f>G74*(Presion_cilindro!O66/Presion_cilindro!O67)^Presion_cilindro!$B$9+10*(Presion_cilindro!$B$9-1)*Presion_cilindro!$B$33*(IF(Presion_cilindro!N67&gt;(-G$4+Presion_cilindro!$B$34),1-EXP(-Presion_cilindro!$B$16*((Presion_cilindro!N67-(-G$4+Presion_cilindro!$B$34))/Presion_cilindro!$B$35)^(Presion_cilindro!$B$17+1)),0)-IF(Presion_cilindro!N66&gt;(-G$4+Presion_cilindro!$B$34),1-EXP(-Presion_cilindro!$B$16*((Presion_cilindro!N66-(-G$4+Presion_cilindro!$B$34))/Presion_cilindro!$B$35)^(Presion_cilindro!$B$17+1)),0))/((Presion_cilindro!O66+Presion_cilindro!O67)/2)</f>
        <v>0.76939188044508899</v>
      </c>
      <c r="H75" s="27">
        <f>H74*(Presion_cilindro!O66/Presion_cilindro!O67)^Presion_cilindro!$B$9+10*(Presion_cilindro!$B$9-1)*Presion_cilindro!$B$33*(IF(Presion_cilindro!N67&gt;(-H$4+Presion_cilindro!$B$34),1-EXP(-Presion_cilindro!$B$16*((Presion_cilindro!N67-(-H$4+Presion_cilindro!$B$34))/Presion_cilindro!$B$35)^(Presion_cilindro!$B$17+1)),0)-IF(Presion_cilindro!N66&gt;(-H$4+Presion_cilindro!$B$34),1-EXP(-Presion_cilindro!$B$16*((Presion_cilindro!N66-(-H$4+Presion_cilindro!$B$34))/Presion_cilindro!$B$35)^(Presion_cilindro!$B$17+1)),0))/((Presion_cilindro!O66+Presion_cilindro!O67)/2)</f>
        <v>0.76939188044508899</v>
      </c>
      <c r="I75" s="27">
        <f>I74*(Presion_cilindro!O66/Presion_cilindro!O67)^Presion_cilindro!$B$9+10*(Presion_cilindro!$B$9-1)*Presion_cilindro!$B$33*(IF(Presion_cilindro!N67&gt;(-I$4+Presion_cilindro!$B$34),1-EXP(-Presion_cilindro!$B$16*((Presion_cilindro!N67-(-I$4+Presion_cilindro!$B$34))/Presion_cilindro!$B$35)^(Presion_cilindro!$B$17+1)),0)-IF(Presion_cilindro!N66&gt;(-I$4+Presion_cilindro!$B$34),1-EXP(-Presion_cilindro!$B$16*((Presion_cilindro!N66-(-I$4+Presion_cilindro!$B$34))/Presion_cilindro!$B$35)^(Presion_cilindro!$B$17+1)),0))/((Presion_cilindro!O66+Presion_cilindro!O67)/2)</f>
        <v>0.76939188044508899</v>
      </c>
      <c r="J75" s="27">
        <f>J74*(Presion_cilindro!O66/Presion_cilindro!O67)^Presion_cilindro!$B$9+10*(Presion_cilindro!$B$9-1)*Presion_cilindro!$B$33*(IF(Presion_cilindro!N67&gt;(-J$4+Presion_cilindro!$B$34),1-EXP(-Presion_cilindro!$B$16*((Presion_cilindro!N67-(-J$4+Presion_cilindro!$B$34))/Presion_cilindro!$B$35)^(Presion_cilindro!$B$17+1)),0)-IF(Presion_cilindro!N66&gt;(-J$4+Presion_cilindro!$B$34),1-EXP(-Presion_cilindro!$B$16*((Presion_cilindro!N66-(-J$4+Presion_cilindro!$B$34))/Presion_cilindro!$B$35)^(Presion_cilindro!$B$17+1)),0))/((Presion_cilindro!O66+Presion_cilindro!O67)/2)</f>
        <v>0.76939188044508899</v>
      </c>
      <c r="K75" s="27">
        <f>K74*(Presion_cilindro!O66/Presion_cilindro!O67)^Presion_cilindro!$B$9+10*(Presion_cilindro!$B$9-1)*Presion_cilindro!$B$33*(IF(Presion_cilindro!N67&gt;(-K$4+Presion_cilindro!$B$34),1-EXP(-Presion_cilindro!$B$16*((Presion_cilindro!N67-(-K$4+Presion_cilindro!$B$34))/Presion_cilindro!$B$35)^(Presion_cilindro!$B$17+1)),0)-IF(Presion_cilindro!N66&gt;(-K$4+Presion_cilindro!$B$34),1-EXP(-Presion_cilindro!$B$16*((Presion_cilindro!N66-(-K$4+Presion_cilindro!$B$34))/Presion_cilindro!$B$35)^(Presion_cilindro!$B$17+1)),0))/((Presion_cilindro!O66+Presion_cilindro!O67)/2)</f>
        <v>0.76939188044508899</v>
      </c>
      <c r="L75" s="27">
        <f>L74*(Presion_cilindro!O66/Presion_cilindro!O67)^Presion_cilindro!$B$9+10*(Presion_cilindro!$B$9-1)*Presion_cilindro!$B$33*(IF(Presion_cilindro!N67&gt;(-L$4+Presion_cilindro!$B$34),1-EXP(-Presion_cilindro!$B$16*((Presion_cilindro!N67-(-L$4+Presion_cilindro!$B$34))/Presion_cilindro!$B$35)^(Presion_cilindro!$B$17+1)),0)-IF(Presion_cilindro!N66&gt;(-L$4+Presion_cilindro!$B$34),1-EXP(-Presion_cilindro!$B$16*((Presion_cilindro!N66-(-L$4+Presion_cilindro!$B$34))/Presion_cilindro!$B$35)^(Presion_cilindro!$B$17+1)),0))/((Presion_cilindro!O66+Presion_cilindro!O67)/2)</f>
        <v>0.76939188044508899</v>
      </c>
      <c r="M75" s="27">
        <f>M74*(Presion_cilindro!O66/Presion_cilindro!O67)^Presion_cilindro!$B$9+10*(Presion_cilindro!$B$9-1)*Presion_cilindro!$B$33*(IF(Presion_cilindro!N67&gt;(-M$4+Presion_cilindro!$B$34),1-EXP(-Presion_cilindro!$B$16*((Presion_cilindro!N67-(-M$4+Presion_cilindro!$B$34))/Presion_cilindro!$B$35)^(Presion_cilindro!$B$17+1)),0)-IF(Presion_cilindro!N66&gt;(-M$4+Presion_cilindro!$B$34),1-EXP(-Presion_cilindro!$B$16*((Presion_cilindro!N66-(-M$4+Presion_cilindro!$B$34))/Presion_cilindro!$B$35)^(Presion_cilindro!$B$17+1)),0))/((Presion_cilindro!O66+Presion_cilindro!O67)/2)</f>
        <v>0.76939188044508899</v>
      </c>
      <c r="N75" s="27">
        <f>N74*(Presion_cilindro!O66/Presion_cilindro!O67)^Presion_cilindro!$B$9+10*(Presion_cilindro!$B$9-1)*Presion_cilindro!$B$33*(IF(Presion_cilindro!N67&gt;(-N$4+Presion_cilindro!$B$34),1-EXP(-Presion_cilindro!$B$16*((Presion_cilindro!N67-(-N$4+Presion_cilindro!$B$34))/Presion_cilindro!$B$35)^(Presion_cilindro!$B$17+1)),0)-IF(Presion_cilindro!N66&gt;(-N$4+Presion_cilindro!$B$34),1-EXP(-Presion_cilindro!$B$16*((Presion_cilindro!N66-(-N$4+Presion_cilindro!$B$34))/Presion_cilindro!$B$35)^(Presion_cilindro!$B$17+1)),0))/((Presion_cilindro!O66+Presion_cilindro!O67)/2)</f>
        <v>0.76939188044508899</v>
      </c>
    </row>
    <row r="76" spans="1:14" x14ac:dyDescent="0.25">
      <c r="A76" s="21">
        <f>Presion_cilindro!N68</f>
        <v>-148</v>
      </c>
      <c r="B76" s="27">
        <f>B75*(Presion_cilindro!O67/Presion_cilindro!O68)^Presion_cilindro!$B$9+10*(Presion_cilindro!$B$9-1)*Presion_cilindro!$B$33*(IF(Presion_cilindro!N68&gt;(-B$4+Presion_cilindro!$B$34),1-EXP(-Presion_cilindro!$B$16*((Presion_cilindro!N68-(-B$4+Presion_cilindro!$B$34))/Presion_cilindro!$B$35)^(Presion_cilindro!$B$17+1)),0)-IF(Presion_cilindro!N67&gt;(-B$4+Presion_cilindro!$B$34),1-EXP(-Presion_cilindro!$B$16*((Presion_cilindro!N67-(-B$4+Presion_cilindro!$B$34))/Presion_cilindro!$B$35)^(Presion_cilindro!$B$17+1)),0))/((Presion_cilindro!O67+Presion_cilindro!O68)/2)</f>
        <v>0.77107157826702233</v>
      </c>
      <c r="C76" s="27">
        <f>C75*(Presion_cilindro!O67/Presion_cilindro!O68)^Presion_cilindro!$B$9+10*(Presion_cilindro!$B$9-1)*Presion_cilindro!$B$33*(IF(Presion_cilindro!N68&gt;(-C$4+Presion_cilindro!$B$34),1-EXP(-Presion_cilindro!$B$16*((Presion_cilindro!N68-(-C$4+Presion_cilindro!$B$34))/Presion_cilindro!$B$35)^(Presion_cilindro!$B$17+1)),0)-IF(Presion_cilindro!N67&gt;(-C$4+Presion_cilindro!$B$34),1-EXP(-Presion_cilindro!$B$16*((Presion_cilindro!N67-(-C$4+Presion_cilindro!$B$34))/Presion_cilindro!$B$35)^(Presion_cilindro!$B$17+1)),0))/((Presion_cilindro!O67+Presion_cilindro!O68)/2)</f>
        <v>0.77107157826702233</v>
      </c>
      <c r="D76" s="27">
        <f>D75*(Presion_cilindro!O67/Presion_cilindro!O68)^Presion_cilindro!$B$9+10*(Presion_cilindro!$B$9-1)*Presion_cilindro!$B$33*(IF(Presion_cilindro!N68&gt;(-D$4+Presion_cilindro!$B$34),1-EXP(-Presion_cilindro!$B$16*((Presion_cilindro!N68-(-D$4+Presion_cilindro!$B$34))/Presion_cilindro!$B$35)^(Presion_cilindro!$B$17+1)),0)-IF(Presion_cilindro!N67&gt;(-D$4+Presion_cilindro!$B$34),1-EXP(-Presion_cilindro!$B$16*((Presion_cilindro!N67-(-D$4+Presion_cilindro!$B$34))/Presion_cilindro!$B$35)^(Presion_cilindro!$B$17+1)),0))/((Presion_cilindro!O67+Presion_cilindro!O68)/2)</f>
        <v>0.77107157826702233</v>
      </c>
      <c r="E76" s="27">
        <f>E75*(Presion_cilindro!O67/Presion_cilindro!O68)^Presion_cilindro!$B$9+10*(Presion_cilindro!$B$9-1)*Presion_cilindro!$B$33*(IF(Presion_cilindro!N68&gt;(-E$4+Presion_cilindro!$B$34),1-EXP(-Presion_cilindro!$B$16*((Presion_cilindro!N68-(-E$4+Presion_cilindro!$B$34))/Presion_cilindro!$B$35)^(Presion_cilindro!$B$17+1)),0)-IF(Presion_cilindro!N67&gt;(-E$4+Presion_cilindro!$B$34),1-EXP(-Presion_cilindro!$B$16*((Presion_cilindro!N67-(-E$4+Presion_cilindro!$B$34))/Presion_cilindro!$B$35)^(Presion_cilindro!$B$17+1)),0))/((Presion_cilindro!O67+Presion_cilindro!O68)/2)</f>
        <v>0.77107157826702233</v>
      </c>
      <c r="F76" s="27">
        <f>F75*(Presion_cilindro!O67/Presion_cilindro!O68)^Presion_cilindro!$B$9+10*(Presion_cilindro!$B$9-1)*Presion_cilindro!$B$33*(IF(Presion_cilindro!N68&gt;(-F$4+Presion_cilindro!$B$34),1-EXP(-Presion_cilindro!$B$16*((Presion_cilindro!N68-(-F$4+Presion_cilindro!$B$34))/Presion_cilindro!$B$35)^(Presion_cilindro!$B$17+1)),0)-IF(Presion_cilindro!N67&gt;(-F$4+Presion_cilindro!$B$34),1-EXP(-Presion_cilindro!$B$16*((Presion_cilindro!N67-(-F$4+Presion_cilindro!$B$34))/Presion_cilindro!$B$35)^(Presion_cilindro!$B$17+1)),0))/((Presion_cilindro!O67+Presion_cilindro!O68)/2)</f>
        <v>0.77107157826702233</v>
      </c>
      <c r="G76" s="27">
        <f>G75*(Presion_cilindro!O67/Presion_cilindro!O68)^Presion_cilindro!$B$9+10*(Presion_cilindro!$B$9-1)*Presion_cilindro!$B$33*(IF(Presion_cilindro!N68&gt;(-G$4+Presion_cilindro!$B$34),1-EXP(-Presion_cilindro!$B$16*((Presion_cilindro!N68-(-G$4+Presion_cilindro!$B$34))/Presion_cilindro!$B$35)^(Presion_cilindro!$B$17+1)),0)-IF(Presion_cilindro!N67&gt;(-G$4+Presion_cilindro!$B$34),1-EXP(-Presion_cilindro!$B$16*((Presion_cilindro!N67-(-G$4+Presion_cilindro!$B$34))/Presion_cilindro!$B$35)^(Presion_cilindro!$B$17+1)),0))/((Presion_cilindro!O67+Presion_cilindro!O68)/2)</f>
        <v>0.77107157826702233</v>
      </c>
      <c r="H76" s="27">
        <f>H75*(Presion_cilindro!O67/Presion_cilindro!O68)^Presion_cilindro!$B$9+10*(Presion_cilindro!$B$9-1)*Presion_cilindro!$B$33*(IF(Presion_cilindro!N68&gt;(-H$4+Presion_cilindro!$B$34),1-EXP(-Presion_cilindro!$B$16*((Presion_cilindro!N68-(-H$4+Presion_cilindro!$B$34))/Presion_cilindro!$B$35)^(Presion_cilindro!$B$17+1)),0)-IF(Presion_cilindro!N67&gt;(-H$4+Presion_cilindro!$B$34),1-EXP(-Presion_cilindro!$B$16*((Presion_cilindro!N67-(-H$4+Presion_cilindro!$B$34))/Presion_cilindro!$B$35)^(Presion_cilindro!$B$17+1)),0))/((Presion_cilindro!O67+Presion_cilindro!O68)/2)</f>
        <v>0.77107157826702233</v>
      </c>
      <c r="I76" s="27">
        <f>I75*(Presion_cilindro!O67/Presion_cilindro!O68)^Presion_cilindro!$B$9+10*(Presion_cilindro!$B$9-1)*Presion_cilindro!$B$33*(IF(Presion_cilindro!N68&gt;(-I$4+Presion_cilindro!$B$34),1-EXP(-Presion_cilindro!$B$16*((Presion_cilindro!N68-(-I$4+Presion_cilindro!$B$34))/Presion_cilindro!$B$35)^(Presion_cilindro!$B$17+1)),0)-IF(Presion_cilindro!N67&gt;(-I$4+Presion_cilindro!$B$34),1-EXP(-Presion_cilindro!$B$16*((Presion_cilindro!N67-(-I$4+Presion_cilindro!$B$34))/Presion_cilindro!$B$35)^(Presion_cilindro!$B$17+1)),0))/((Presion_cilindro!O67+Presion_cilindro!O68)/2)</f>
        <v>0.77107157826702233</v>
      </c>
      <c r="J76" s="27">
        <f>J75*(Presion_cilindro!O67/Presion_cilindro!O68)^Presion_cilindro!$B$9+10*(Presion_cilindro!$B$9-1)*Presion_cilindro!$B$33*(IF(Presion_cilindro!N68&gt;(-J$4+Presion_cilindro!$B$34),1-EXP(-Presion_cilindro!$B$16*((Presion_cilindro!N68-(-J$4+Presion_cilindro!$B$34))/Presion_cilindro!$B$35)^(Presion_cilindro!$B$17+1)),0)-IF(Presion_cilindro!N67&gt;(-J$4+Presion_cilindro!$B$34),1-EXP(-Presion_cilindro!$B$16*((Presion_cilindro!N67-(-J$4+Presion_cilindro!$B$34))/Presion_cilindro!$B$35)^(Presion_cilindro!$B$17+1)),0))/((Presion_cilindro!O67+Presion_cilindro!O68)/2)</f>
        <v>0.77107157826702233</v>
      </c>
      <c r="K76" s="27">
        <f>K75*(Presion_cilindro!O67/Presion_cilindro!O68)^Presion_cilindro!$B$9+10*(Presion_cilindro!$B$9-1)*Presion_cilindro!$B$33*(IF(Presion_cilindro!N68&gt;(-K$4+Presion_cilindro!$B$34),1-EXP(-Presion_cilindro!$B$16*((Presion_cilindro!N68-(-K$4+Presion_cilindro!$B$34))/Presion_cilindro!$B$35)^(Presion_cilindro!$B$17+1)),0)-IF(Presion_cilindro!N67&gt;(-K$4+Presion_cilindro!$B$34),1-EXP(-Presion_cilindro!$B$16*((Presion_cilindro!N67-(-K$4+Presion_cilindro!$B$34))/Presion_cilindro!$B$35)^(Presion_cilindro!$B$17+1)),0))/((Presion_cilindro!O67+Presion_cilindro!O68)/2)</f>
        <v>0.77107157826702233</v>
      </c>
      <c r="L76" s="27">
        <f>L75*(Presion_cilindro!O67/Presion_cilindro!O68)^Presion_cilindro!$B$9+10*(Presion_cilindro!$B$9-1)*Presion_cilindro!$B$33*(IF(Presion_cilindro!N68&gt;(-L$4+Presion_cilindro!$B$34),1-EXP(-Presion_cilindro!$B$16*((Presion_cilindro!N68-(-L$4+Presion_cilindro!$B$34))/Presion_cilindro!$B$35)^(Presion_cilindro!$B$17+1)),0)-IF(Presion_cilindro!N67&gt;(-L$4+Presion_cilindro!$B$34),1-EXP(-Presion_cilindro!$B$16*((Presion_cilindro!N67-(-L$4+Presion_cilindro!$B$34))/Presion_cilindro!$B$35)^(Presion_cilindro!$B$17+1)),0))/((Presion_cilindro!O67+Presion_cilindro!O68)/2)</f>
        <v>0.77107157826702233</v>
      </c>
      <c r="M76" s="27">
        <f>M75*(Presion_cilindro!O67/Presion_cilindro!O68)^Presion_cilindro!$B$9+10*(Presion_cilindro!$B$9-1)*Presion_cilindro!$B$33*(IF(Presion_cilindro!N68&gt;(-M$4+Presion_cilindro!$B$34),1-EXP(-Presion_cilindro!$B$16*((Presion_cilindro!N68-(-M$4+Presion_cilindro!$B$34))/Presion_cilindro!$B$35)^(Presion_cilindro!$B$17+1)),0)-IF(Presion_cilindro!N67&gt;(-M$4+Presion_cilindro!$B$34),1-EXP(-Presion_cilindro!$B$16*((Presion_cilindro!N67-(-M$4+Presion_cilindro!$B$34))/Presion_cilindro!$B$35)^(Presion_cilindro!$B$17+1)),0))/((Presion_cilindro!O67+Presion_cilindro!O68)/2)</f>
        <v>0.77107157826702233</v>
      </c>
      <c r="N76" s="27">
        <f>N75*(Presion_cilindro!O67/Presion_cilindro!O68)^Presion_cilindro!$B$9+10*(Presion_cilindro!$B$9-1)*Presion_cilindro!$B$33*(IF(Presion_cilindro!N68&gt;(-N$4+Presion_cilindro!$B$34),1-EXP(-Presion_cilindro!$B$16*((Presion_cilindro!N68-(-N$4+Presion_cilindro!$B$34))/Presion_cilindro!$B$35)^(Presion_cilindro!$B$17+1)),0)-IF(Presion_cilindro!N67&gt;(-N$4+Presion_cilindro!$B$34),1-EXP(-Presion_cilindro!$B$16*((Presion_cilindro!N67-(-N$4+Presion_cilindro!$B$34))/Presion_cilindro!$B$35)^(Presion_cilindro!$B$17+1)),0))/((Presion_cilindro!O67+Presion_cilindro!O68)/2)</f>
        <v>0.77107157826702233</v>
      </c>
    </row>
    <row r="77" spans="1:14" x14ac:dyDescent="0.25">
      <c r="A77" s="21">
        <f>Presion_cilindro!N69</f>
        <v>-147.5</v>
      </c>
      <c r="B77" s="27">
        <f>B76*(Presion_cilindro!O68/Presion_cilindro!O69)^Presion_cilindro!$B$9+10*(Presion_cilindro!$B$9-1)*Presion_cilindro!$B$33*(IF(Presion_cilindro!N69&gt;(-B$4+Presion_cilindro!$B$34),1-EXP(-Presion_cilindro!$B$16*((Presion_cilindro!N69-(-B$4+Presion_cilindro!$B$34))/Presion_cilindro!$B$35)^(Presion_cilindro!$B$17+1)),0)-IF(Presion_cilindro!N68&gt;(-B$4+Presion_cilindro!$B$34),1-EXP(-Presion_cilindro!$B$16*((Presion_cilindro!N68-(-B$4+Presion_cilindro!$B$34))/Presion_cilindro!$B$35)^(Presion_cilindro!$B$17+1)),0))/((Presion_cilindro!O68+Presion_cilindro!O69)/2)</f>
        <v>0.77278432409874676</v>
      </c>
      <c r="C77" s="27">
        <f>C76*(Presion_cilindro!O68/Presion_cilindro!O69)^Presion_cilindro!$B$9+10*(Presion_cilindro!$B$9-1)*Presion_cilindro!$B$33*(IF(Presion_cilindro!N69&gt;(-C$4+Presion_cilindro!$B$34),1-EXP(-Presion_cilindro!$B$16*((Presion_cilindro!N69-(-C$4+Presion_cilindro!$B$34))/Presion_cilindro!$B$35)^(Presion_cilindro!$B$17+1)),0)-IF(Presion_cilindro!N68&gt;(-C$4+Presion_cilindro!$B$34),1-EXP(-Presion_cilindro!$B$16*((Presion_cilindro!N68-(-C$4+Presion_cilindro!$B$34))/Presion_cilindro!$B$35)^(Presion_cilindro!$B$17+1)),0))/((Presion_cilindro!O68+Presion_cilindro!O69)/2)</f>
        <v>0.77278432409874676</v>
      </c>
      <c r="D77" s="27">
        <f>D76*(Presion_cilindro!O68/Presion_cilindro!O69)^Presion_cilindro!$B$9+10*(Presion_cilindro!$B$9-1)*Presion_cilindro!$B$33*(IF(Presion_cilindro!N69&gt;(-D$4+Presion_cilindro!$B$34),1-EXP(-Presion_cilindro!$B$16*((Presion_cilindro!N69-(-D$4+Presion_cilindro!$B$34))/Presion_cilindro!$B$35)^(Presion_cilindro!$B$17+1)),0)-IF(Presion_cilindro!N68&gt;(-D$4+Presion_cilindro!$B$34),1-EXP(-Presion_cilindro!$B$16*((Presion_cilindro!N68-(-D$4+Presion_cilindro!$B$34))/Presion_cilindro!$B$35)^(Presion_cilindro!$B$17+1)),0))/((Presion_cilindro!O68+Presion_cilindro!O69)/2)</f>
        <v>0.77278432409874676</v>
      </c>
      <c r="E77" s="27">
        <f>E76*(Presion_cilindro!O68/Presion_cilindro!O69)^Presion_cilindro!$B$9+10*(Presion_cilindro!$B$9-1)*Presion_cilindro!$B$33*(IF(Presion_cilindro!N69&gt;(-E$4+Presion_cilindro!$B$34),1-EXP(-Presion_cilindro!$B$16*((Presion_cilindro!N69-(-E$4+Presion_cilindro!$B$34))/Presion_cilindro!$B$35)^(Presion_cilindro!$B$17+1)),0)-IF(Presion_cilindro!N68&gt;(-E$4+Presion_cilindro!$B$34),1-EXP(-Presion_cilindro!$B$16*((Presion_cilindro!N68-(-E$4+Presion_cilindro!$B$34))/Presion_cilindro!$B$35)^(Presion_cilindro!$B$17+1)),0))/((Presion_cilindro!O68+Presion_cilindro!O69)/2)</f>
        <v>0.77278432409874676</v>
      </c>
      <c r="F77" s="27">
        <f>F76*(Presion_cilindro!O68/Presion_cilindro!O69)^Presion_cilindro!$B$9+10*(Presion_cilindro!$B$9-1)*Presion_cilindro!$B$33*(IF(Presion_cilindro!N69&gt;(-F$4+Presion_cilindro!$B$34),1-EXP(-Presion_cilindro!$B$16*((Presion_cilindro!N69-(-F$4+Presion_cilindro!$B$34))/Presion_cilindro!$B$35)^(Presion_cilindro!$B$17+1)),0)-IF(Presion_cilindro!N68&gt;(-F$4+Presion_cilindro!$B$34),1-EXP(-Presion_cilindro!$B$16*((Presion_cilindro!N68-(-F$4+Presion_cilindro!$B$34))/Presion_cilindro!$B$35)^(Presion_cilindro!$B$17+1)),0))/((Presion_cilindro!O68+Presion_cilindro!O69)/2)</f>
        <v>0.77278432409874676</v>
      </c>
      <c r="G77" s="27">
        <f>G76*(Presion_cilindro!O68/Presion_cilindro!O69)^Presion_cilindro!$B$9+10*(Presion_cilindro!$B$9-1)*Presion_cilindro!$B$33*(IF(Presion_cilindro!N69&gt;(-G$4+Presion_cilindro!$B$34),1-EXP(-Presion_cilindro!$B$16*((Presion_cilindro!N69-(-G$4+Presion_cilindro!$B$34))/Presion_cilindro!$B$35)^(Presion_cilindro!$B$17+1)),0)-IF(Presion_cilindro!N68&gt;(-G$4+Presion_cilindro!$B$34),1-EXP(-Presion_cilindro!$B$16*((Presion_cilindro!N68-(-G$4+Presion_cilindro!$B$34))/Presion_cilindro!$B$35)^(Presion_cilindro!$B$17+1)),0))/((Presion_cilindro!O68+Presion_cilindro!O69)/2)</f>
        <v>0.77278432409874676</v>
      </c>
      <c r="H77" s="27">
        <f>H76*(Presion_cilindro!O68/Presion_cilindro!O69)^Presion_cilindro!$B$9+10*(Presion_cilindro!$B$9-1)*Presion_cilindro!$B$33*(IF(Presion_cilindro!N69&gt;(-H$4+Presion_cilindro!$B$34),1-EXP(-Presion_cilindro!$B$16*((Presion_cilindro!N69-(-H$4+Presion_cilindro!$B$34))/Presion_cilindro!$B$35)^(Presion_cilindro!$B$17+1)),0)-IF(Presion_cilindro!N68&gt;(-H$4+Presion_cilindro!$B$34),1-EXP(-Presion_cilindro!$B$16*((Presion_cilindro!N68-(-H$4+Presion_cilindro!$B$34))/Presion_cilindro!$B$35)^(Presion_cilindro!$B$17+1)),0))/((Presion_cilindro!O68+Presion_cilindro!O69)/2)</f>
        <v>0.77278432409874676</v>
      </c>
      <c r="I77" s="27">
        <f>I76*(Presion_cilindro!O68/Presion_cilindro!O69)^Presion_cilindro!$B$9+10*(Presion_cilindro!$B$9-1)*Presion_cilindro!$B$33*(IF(Presion_cilindro!N69&gt;(-I$4+Presion_cilindro!$B$34),1-EXP(-Presion_cilindro!$B$16*((Presion_cilindro!N69-(-I$4+Presion_cilindro!$B$34))/Presion_cilindro!$B$35)^(Presion_cilindro!$B$17+1)),0)-IF(Presion_cilindro!N68&gt;(-I$4+Presion_cilindro!$B$34),1-EXP(-Presion_cilindro!$B$16*((Presion_cilindro!N68-(-I$4+Presion_cilindro!$B$34))/Presion_cilindro!$B$35)^(Presion_cilindro!$B$17+1)),0))/((Presion_cilindro!O68+Presion_cilindro!O69)/2)</f>
        <v>0.77278432409874676</v>
      </c>
      <c r="J77" s="27">
        <f>J76*(Presion_cilindro!O68/Presion_cilindro!O69)^Presion_cilindro!$B$9+10*(Presion_cilindro!$B$9-1)*Presion_cilindro!$B$33*(IF(Presion_cilindro!N69&gt;(-J$4+Presion_cilindro!$B$34),1-EXP(-Presion_cilindro!$B$16*((Presion_cilindro!N69-(-J$4+Presion_cilindro!$B$34))/Presion_cilindro!$B$35)^(Presion_cilindro!$B$17+1)),0)-IF(Presion_cilindro!N68&gt;(-J$4+Presion_cilindro!$B$34),1-EXP(-Presion_cilindro!$B$16*((Presion_cilindro!N68-(-J$4+Presion_cilindro!$B$34))/Presion_cilindro!$B$35)^(Presion_cilindro!$B$17+1)),0))/((Presion_cilindro!O68+Presion_cilindro!O69)/2)</f>
        <v>0.77278432409874676</v>
      </c>
      <c r="K77" s="27">
        <f>K76*(Presion_cilindro!O68/Presion_cilindro!O69)^Presion_cilindro!$B$9+10*(Presion_cilindro!$B$9-1)*Presion_cilindro!$B$33*(IF(Presion_cilindro!N69&gt;(-K$4+Presion_cilindro!$B$34),1-EXP(-Presion_cilindro!$B$16*((Presion_cilindro!N69-(-K$4+Presion_cilindro!$B$34))/Presion_cilindro!$B$35)^(Presion_cilindro!$B$17+1)),0)-IF(Presion_cilindro!N68&gt;(-K$4+Presion_cilindro!$B$34),1-EXP(-Presion_cilindro!$B$16*((Presion_cilindro!N68-(-K$4+Presion_cilindro!$B$34))/Presion_cilindro!$B$35)^(Presion_cilindro!$B$17+1)),0))/((Presion_cilindro!O68+Presion_cilindro!O69)/2)</f>
        <v>0.77278432409874676</v>
      </c>
      <c r="L77" s="27">
        <f>L76*(Presion_cilindro!O68/Presion_cilindro!O69)^Presion_cilindro!$B$9+10*(Presion_cilindro!$B$9-1)*Presion_cilindro!$B$33*(IF(Presion_cilindro!N69&gt;(-L$4+Presion_cilindro!$B$34),1-EXP(-Presion_cilindro!$B$16*((Presion_cilindro!N69-(-L$4+Presion_cilindro!$B$34))/Presion_cilindro!$B$35)^(Presion_cilindro!$B$17+1)),0)-IF(Presion_cilindro!N68&gt;(-L$4+Presion_cilindro!$B$34),1-EXP(-Presion_cilindro!$B$16*((Presion_cilindro!N68-(-L$4+Presion_cilindro!$B$34))/Presion_cilindro!$B$35)^(Presion_cilindro!$B$17+1)),0))/((Presion_cilindro!O68+Presion_cilindro!O69)/2)</f>
        <v>0.77278432409874676</v>
      </c>
      <c r="M77" s="27">
        <f>M76*(Presion_cilindro!O68/Presion_cilindro!O69)^Presion_cilindro!$B$9+10*(Presion_cilindro!$B$9-1)*Presion_cilindro!$B$33*(IF(Presion_cilindro!N69&gt;(-M$4+Presion_cilindro!$B$34),1-EXP(-Presion_cilindro!$B$16*((Presion_cilindro!N69-(-M$4+Presion_cilindro!$B$34))/Presion_cilindro!$B$35)^(Presion_cilindro!$B$17+1)),0)-IF(Presion_cilindro!N68&gt;(-M$4+Presion_cilindro!$B$34),1-EXP(-Presion_cilindro!$B$16*((Presion_cilindro!N68-(-M$4+Presion_cilindro!$B$34))/Presion_cilindro!$B$35)^(Presion_cilindro!$B$17+1)),0))/((Presion_cilindro!O68+Presion_cilindro!O69)/2)</f>
        <v>0.77278432409874676</v>
      </c>
      <c r="N77" s="27">
        <f>N76*(Presion_cilindro!O68/Presion_cilindro!O69)^Presion_cilindro!$B$9+10*(Presion_cilindro!$B$9-1)*Presion_cilindro!$B$33*(IF(Presion_cilindro!N69&gt;(-N$4+Presion_cilindro!$B$34),1-EXP(-Presion_cilindro!$B$16*((Presion_cilindro!N69-(-N$4+Presion_cilindro!$B$34))/Presion_cilindro!$B$35)^(Presion_cilindro!$B$17+1)),0)-IF(Presion_cilindro!N68&gt;(-N$4+Presion_cilindro!$B$34),1-EXP(-Presion_cilindro!$B$16*((Presion_cilindro!N68-(-N$4+Presion_cilindro!$B$34))/Presion_cilindro!$B$35)^(Presion_cilindro!$B$17+1)),0))/((Presion_cilindro!O68+Presion_cilindro!O69)/2)</f>
        <v>0.77278432409874676</v>
      </c>
    </row>
    <row r="78" spans="1:14" x14ac:dyDescent="0.25">
      <c r="A78" s="21">
        <f>Presion_cilindro!N70</f>
        <v>-147</v>
      </c>
      <c r="B78" s="27">
        <f>B77*(Presion_cilindro!O69/Presion_cilindro!O70)^Presion_cilindro!$B$9+10*(Presion_cilindro!$B$9-1)*Presion_cilindro!$B$33*(IF(Presion_cilindro!N70&gt;(-B$4+Presion_cilindro!$B$34),1-EXP(-Presion_cilindro!$B$16*((Presion_cilindro!N70-(-B$4+Presion_cilindro!$B$34))/Presion_cilindro!$B$35)^(Presion_cilindro!$B$17+1)),0)-IF(Presion_cilindro!N69&gt;(-B$4+Presion_cilindro!$B$34),1-EXP(-Presion_cilindro!$B$16*((Presion_cilindro!N69-(-B$4+Presion_cilindro!$B$34))/Presion_cilindro!$B$35)^(Presion_cilindro!$B$17+1)),0))/((Presion_cilindro!O69+Presion_cilindro!O70)/2)</f>
        <v>0.77453045609862559</v>
      </c>
      <c r="C78" s="27">
        <f>C77*(Presion_cilindro!O69/Presion_cilindro!O70)^Presion_cilindro!$B$9+10*(Presion_cilindro!$B$9-1)*Presion_cilindro!$B$33*(IF(Presion_cilindro!N70&gt;(-C$4+Presion_cilindro!$B$34),1-EXP(-Presion_cilindro!$B$16*((Presion_cilindro!N70-(-C$4+Presion_cilindro!$B$34))/Presion_cilindro!$B$35)^(Presion_cilindro!$B$17+1)),0)-IF(Presion_cilindro!N69&gt;(-C$4+Presion_cilindro!$B$34),1-EXP(-Presion_cilindro!$B$16*((Presion_cilindro!N69-(-C$4+Presion_cilindro!$B$34))/Presion_cilindro!$B$35)^(Presion_cilindro!$B$17+1)),0))/((Presion_cilindro!O69+Presion_cilindro!O70)/2)</f>
        <v>0.77453045609862559</v>
      </c>
      <c r="D78" s="27">
        <f>D77*(Presion_cilindro!O69/Presion_cilindro!O70)^Presion_cilindro!$B$9+10*(Presion_cilindro!$B$9-1)*Presion_cilindro!$B$33*(IF(Presion_cilindro!N70&gt;(-D$4+Presion_cilindro!$B$34),1-EXP(-Presion_cilindro!$B$16*((Presion_cilindro!N70-(-D$4+Presion_cilindro!$B$34))/Presion_cilindro!$B$35)^(Presion_cilindro!$B$17+1)),0)-IF(Presion_cilindro!N69&gt;(-D$4+Presion_cilindro!$B$34),1-EXP(-Presion_cilindro!$B$16*((Presion_cilindro!N69-(-D$4+Presion_cilindro!$B$34))/Presion_cilindro!$B$35)^(Presion_cilindro!$B$17+1)),0))/((Presion_cilindro!O69+Presion_cilindro!O70)/2)</f>
        <v>0.77453045609862559</v>
      </c>
      <c r="E78" s="27">
        <f>E77*(Presion_cilindro!O69/Presion_cilindro!O70)^Presion_cilindro!$B$9+10*(Presion_cilindro!$B$9-1)*Presion_cilindro!$B$33*(IF(Presion_cilindro!N70&gt;(-E$4+Presion_cilindro!$B$34),1-EXP(-Presion_cilindro!$B$16*((Presion_cilindro!N70-(-E$4+Presion_cilindro!$B$34))/Presion_cilindro!$B$35)^(Presion_cilindro!$B$17+1)),0)-IF(Presion_cilindro!N69&gt;(-E$4+Presion_cilindro!$B$34),1-EXP(-Presion_cilindro!$B$16*((Presion_cilindro!N69-(-E$4+Presion_cilindro!$B$34))/Presion_cilindro!$B$35)^(Presion_cilindro!$B$17+1)),0))/((Presion_cilindro!O69+Presion_cilindro!O70)/2)</f>
        <v>0.77453045609862559</v>
      </c>
      <c r="F78" s="27">
        <f>F77*(Presion_cilindro!O69/Presion_cilindro!O70)^Presion_cilindro!$B$9+10*(Presion_cilindro!$B$9-1)*Presion_cilindro!$B$33*(IF(Presion_cilindro!N70&gt;(-F$4+Presion_cilindro!$B$34),1-EXP(-Presion_cilindro!$B$16*((Presion_cilindro!N70-(-F$4+Presion_cilindro!$B$34))/Presion_cilindro!$B$35)^(Presion_cilindro!$B$17+1)),0)-IF(Presion_cilindro!N69&gt;(-F$4+Presion_cilindro!$B$34),1-EXP(-Presion_cilindro!$B$16*((Presion_cilindro!N69-(-F$4+Presion_cilindro!$B$34))/Presion_cilindro!$B$35)^(Presion_cilindro!$B$17+1)),0))/((Presion_cilindro!O69+Presion_cilindro!O70)/2)</f>
        <v>0.77453045609862559</v>
      </c>
      <c r="G78" s="27">
        <f>G77*(Presion_cilindro!O69/Presion_cilindro!O70)^Presion_cilindro!$B$9+10*(Presion_cilindro!$B$9-1)*Presion_cilindro!$B$33*(IF(Presion_cilindro!N70&gt;(-G$4+Presion_cilindro!$B$34),1-EXP(-Presion_cilindro!$B$16*((Presion_cilindro!N70-(-G$4+Presion_cilindro!$B$34))/Presion_cilindro!$B$35)^(Presion_cilindro!$B$17+1)),0)-IF(Presion_cilindro!N69&gt;(-G$4+Presion_cilindro!$B$34),1-EXP(-Presion_cilindro!$B$16*((Presion_cilindro!N69-(-G$4+Presion_cilindro!$B$34))/Presion_cilindro!$B$35)^(Presion_cilindro!$B$17+1)),0))/((Presion_cilindro!O69+Presion_cilindro!O70)/2)</f>
        <v>0.77453045609862559</v>
      </c>
      <c r="H78" s="27">
        <f>H77*(Presion_cilindro!O69/Presion_cilindro!O70)^Presion_cilindro!$B$9+10*(Presion_cilindro!$B$9-1)*Presion_cilindro!$B$33*(IF(Presion_cilindro!N70&gt;(-H$4+Presion_cilindro!$B$34),1-EXP(-Presion_cilindro!$B$16*((Presion_cilindro!N70-(-H$4+Presion_cilindro!$B$34))/Presion_cilindro!$B$35)^(Presion_cilindro!$B$17+1)),0)-IF(Presion_cilindro!N69&gt;(-H$4+Presion_cilindro!$B$34),1-EXP(-Presion_cilindro!$B$16*((Presion_cilindro!N69-(-H$4+Presion_cilindro!$B$34))/Presion_cilindro!$B$35)^(Presion_cilindro!$B$17+1)),0))/((Presion_cilindro!O69+Presion_cilindro!O70)/2)</f>
        <v>0.77453045609862559</v>
      </c>
      <c r="I78" s="27">
        <f>I77*(Presion_cilindro!O69/Presion_cilindro!O70)^Presion_cilindro!$B$9+10*(Presion_cilindro!$B$9-1)*Presion_cilindro!$B$33*(IF(Presion_cilindro!N70&gt;(-I$4+Presion_cilindro!$B$34),1-EXP(-Presion_cilindro!$B$16*((Presion_cilindro!N70-(-I$4+Presion_cilindro!$B$34))/Presion_cilindro!$B$35)^(Presion_cilindro!$B$17+1)),0)-IF(Presion_cilindro!N69&gt;(-I$4+Presion_cilindro!$B$34),1-EXP(-Presion_cilindro!$B$16*((Presion_cilindro!N69-(-I$4+Presion_cilindro!$B$34))/Presion_cilindro!$B$35)^(Presion_cilindro!$B$17+1)),0))/((Presion_cilindro!O69+Presion_cilindro!O70)/2)</f>
        <v>0.77453045609862559</v>
      </c>
      <c r="J78" s="27">
        <f>J77*(Presion_cilindro!O69/Presion_cilindro!O70)^Presion_cilindro!$B$9+10*(Presion_cilindro!$B$9-1)*Presion_cilindro!$B$33*(IF(Presion_cilindro!N70&gt;(-J$4+Presion_cilindro!$B$34),1-EXP(-Presion_cilindro!$B$16*((Presion_cilindro!N70-(-J$4+Presion_cilindro!$B$34))/Presion_cilindro!$B$35)^(Presion_cilindro!$B$17+1)),0)-IF(Presion_cilindro!N69&gt;(-J$4+Presion_cilindro!$B$34),1-EXP(-Presion_cilindro!$B$16*((Presion_cilindro!N69-(-J$4+Presion_cilindro!$B$34))/Presion_cilindro!$B$35)^(Presion_cilindro!$B$17+1)),0))/((Presion_cilindro!O69+Presion_cilindro!O70)/2)</f>
        <v>0.77453045609862559</v>
      </c>
      <c r="K78" s="27">
        <f>K77*(Presion_cilindro!O69/Presion_cilindro!O70)^Presion_cilindro!$B$9+10*(Presion_cilindro!$B$9-1)*Presion_cilindro!$B$33*(IF(Presion_cilindro!N70&gt;(-K$4+Presion_cilindro!$B$34),1-EXP(-Presion_cilindro!$B$16*((Presion_cilindro!N70-(-K$4+Presion_cilindro!$B$34))/Presion_cilindro!$B$35)^(Presion_cilindro!$B$17+1)),0)-IF(Presion_cilindro!N69&gt;(-K$4+Presion_cilindro!$B$34),1-EXP(-Presion_cilindro!$B$16*((Presion_cilindro!N69-(-K$4+Presion_cilindro!$B$34))/Presion_cilindro!$B$35)^(Presion_cilindro!$B$17+1)),0))/((Presion_cilindro!O69+Presion_cilindro!O70)/2)</f>
        <v>0.77453045609862559</v>
      </c>
      <c r="L78" s="27">
        <f>L77*(Presion_cilindro!O69/Presion_cilindro!O70)^Presion_cilindro!$B$9+10*(Presion_cilindro!$B$9-1)*Presion_cilindro!$B$33*(IF(Presion_cilindro!N70&gt;(-L$4+Presion_cilindro!$B$34),1-EXP(-Presion_cilindro!$B$16*((Presion_cilindro!N70-(-L$4+Presion_cilindro!$B$34))/Presion_cilindro!$B$35)^(Presion_cilindro!$B$17+1)),0)-IF(Presion_cilindro!N69&gt;(-L$4+Presion_cilindro!$B$34),1-EXP(-Presion_cilindro!$B$16*((Presion_cilindro!N69-(-L$4+Presion_cilindro!$B$34))/Presion_cilindro!$B$35)^(Presion_cilindro!$B$17+1)),0))/((Presion_cilindro!O69+Presion_cilindro!O70)/2)</f>
        <v>0.77453045609862559</v>
      </c>
      <c r="M78" s="27">
        <f>M77*(Presion_cilindro!O69/Presion_cilindro!O70)^Presion_cilindro!$B$9+10*(Presion_cilindro!$B$9-1)*Presion_cilindro!$B$33*(IF(Presion_cilindro!N70&gt;(-M$4+Presion_cilindro!$B$34),1-EXP(-Presion_cilindro!$B$16*((Presion_cilindro!N70-(-M$4+Presion_cilindro!$B$34))/Presion_cilindro!$B$35)^(Presion_cilindro!$B$17+1)),0)-IF(Presion_cilindro!N69&gt;(-M$4+Presion_cilindro!$B$34),1-EXP(-Presion_cilindro!$B$16*((Presion_cilindro!N69-(-M$4+Presion_cilindro!$B$34))/Presion_cilindro!$B$35)^(Presion_cilindro!$B$17+1)),0))/((Presion_cilindro!O69+Presion_cilindro!O70)/2)</f>
        <v>0.77453045609862559</v>
      </c>
      <c r="N78" s="27">
        <f>N77*(Presion_cilindro!O69/Presion_cilindro!O70)^Presion_cilindro!$B$9+10*(Presion_cilindro!$B$9-1)*Presion_cilindro!$B$33*(IF(Presion_cilindro!N70&gt;(-N$4+Presion_cilindro!$B$34),1-EXP(-Presion_cilindro!$B$16*((Presion_cilindro!N70-(-N$4+Presion_cilindro!$B$34))/Presion_cilindro!$B$35)^(Presion_cilindro!$B$17+1)),0)-IF(Presion_cilindro!N69&gt;(-N$4+Presion_cilindro!$B$34),1-EXP(-Presion_cilindro!$B$16*((Presion_cilindro!N69-(-N$4+Presion_cilindro!$B$34))/Presion_cilindro!$B$35)^(Presion_cilindro!$B$17+1)),0))/((Presion_cilindro!O69+Presion_cilindro!O70)/2)</f>
        <v>0.77453045609862559</v>
      </c>
    </row>
    <row r="79" spans="1:14" x14ac:dyDescent="0.25">
      <c r="A79" s="21">
        <f>Presion_cilindro!N71</f>
        <v>-146.5</v>
      </c>
      <c r="B79" s="27">
        <f>B78*(Presion_cilindro!O70/Presion_cilindro!O71)^Presion_cilindro!$B$9+10*(Presion_cilindro!$B$9-1)*Presion_cilindro!$B$33*(IF(Presion_cilindro!N71&gt;(-B$4+Presion_cilindro!$B$34),1-EXP(-Presion_cilindro!$B$16*((Presion_cilindro!N71-(-B$4+Presion_cilindro!$B$34))/Presion_cilindro!$B$35)^(Presion_cilindro!$B$17+1)),0)-IF(Presion_cilindro!N70&gt;(-B$4+Presion_cilindro!$B$34),1-EXP(-Presion_cilindro!$B$16*((Presion_cilindro!N70-(-B$4+Presion_cilindro!$B$34))/Presion_cilindro!$B$35)^(Presion_cilindro!$B$17+1)),0))/((Presion_cilindro!O70+Presion_cilindro!O71)/2)</f>
        <v>0.77631032005810752</v>
      </c>
      <c r="C79" s="27">
        <f>C78*(Presion_cilindro!O70/Presion_cilindro!O71)^Presion_cilindro!$B$9+10*(Presion_cilindro!$B$9-1)*Presion_cilindro!$B$33*(IF(Presion_cilindro!N71&gt;(-C$4+Presion_cilindro!$B$34),1-EXP(-Presion_cilindro!$B$16*((Presion_cilindro!N71-(-C$4+Presion_cilindro!$B$34))/Presion_cilindro!$B$35)^(Presion_cilindro!$B$17+1)),0)-IF(Presion_cilindro!N70&gt;(-C$4+Presion_cilindro!$B$34),1-EXP(-Presion_cilindro!$B$16*((Presion_cilindro!N70-(-C$4+Presion_cilindro!$B$34))/Presion_cilindro!$B$35)^(Presion_cilindro!$B$17+1)),0))/((Presion_cilindro!O70+Presion_cilindro!O71)/2)</f>
        <v>0.77631032005810752</v>
      </c>
      <c r="D79" s="27">
        <f>D78*(Presion_cilindro!O70/Presion_cilindro!O71)^Presion_cilindro!$B$9+10*(Presion_cilindro!$B$9-1)*Presion_cilindro!$B$33*(IF(Presion_cilindro!N71&gt;(-D$4+Presion_cilindro!$B$34),1-EXP(-Presion_cilindro!$B$16*((Presion_cilindro!N71-(-D$4+Presion_cilindro!$B$34))/Presion_cilindro!$B$35)^(Presion_cilindro!$B$17+1)),0)-IF(Presion_cilindro!N70&gt;(-D$4+Presion_cilindro!$B$34),1-EXP(-Presion_cilindro!$B$16*((Presion_cilindro!N70-(-D$4+Presion_cilindro!$B$34))/Presion_cilindro!$B$35)^(Presion_cilindro!$B$17+1)),0))/((Presion_cilindro!O70+Presion_cilindro!O71)/2)</f>
        <v>0.77631032005810752</v>
      </c>
      <c r="E79" s="27">
        <f>E78*(Presion_cilindro!O70/Presion_cilindro!O71)^Presion_cilindro!$B$9+10*(Presion_cilindro!$B$9-1)*Presion_cilindro!$B$33*(IF(Presion_cilindro!N71&gt;(-E$4+Presion_cilindro!$B$34),1-EXP(-Presion_cilindro!$B$16*((Presion_cilindro!N71-(-E$4+Presion_cilindro!$B$34))/Presion_cilindro!$B$35)^(Presion_cilindro!$B$17+1)),0)-IF(Presion_cilindro!N70&gt;(-E$4+Presion_cilindro!$B$34),1-EXP(-Presion_cilindro!$B$16*((Presion_cilindro!N70-(-E$4+Presion_cilindro!$B$34))/Presion_cilindro!$B$35)^(Presion_cilindro!$B$17+1)),0))/((Presion_cilindro!O70+Presion_cilindro!O71)/2)</f>
        <v>0.77631032005810752</v>
      </c>
      <c r="F79" s="27">
        <f>F78*(Presion_cilindro!O70/Presion_cilindro!O71)^Presion_cilindro!$B$9+10*(Presion_cilindro!$B$9-1)*Presion_cilindro!$B$33*(IF(Presion_cilindro!N71&gt;(-F$4+Presion_cilindro!$B$34),1-EXP(-Presion_cilindro!$B$16*((Presion_cilindro!N71-(-F$4+Presion_cilindro!$B$34))/Presion_cilindro!$B$35)^(Presion_cilindro!$B$17+1)),0)-IF(Presion_cilindro!N70&gt;(-F$4+Presion_cilindro!$B$34),1-EXP(-Presion_cilindro!$B$16*((Presion_cilindro!N70-(-F$4+Presion_cilindro!$B$34))/Presion_cilindro!$B$35)^(Presion_cilindro!$B$17+1)),0))/((Presion_cilindro!O70+Presion_cilindro!O71)/2)</f>
        <v>0.77631032005810752</v>
      </c>
      <c r="G79" s="27">
        <f>G78*(Presion_cilindro!O70/Presion_cilindro!O71)^Presion_cilindro!$B$9+10*(Presion_cilindro!$B$9-1)*Presion_cilindro!$B$33*(IF(Presion_cilindro!N71&gt;(-G$4+Presion_cilindro!$B$34),1-EXP(-Presion_cilindro!$B$16*((Presion_cilindro!N71-(-G$4+Presion_cilindro!$B$34))/Presion_cilindro!$B$35)^(Presion_cilindro!$B$17+1)),0)-IF(Presion_cilindro!N70&gt;(-G$4+Presion_cilindro!$B$34),1-EXP(-Presion_cilindro!$B$16*((Presion_cilindro!N70-(-G$4+Presion_cilindro!$B$34))/Presion_cilindro!$B$35)^(Presion_cilindro!$B$17+1)),0))/((Presion_cilindro!O70+Presion_cilindro!O71)/2)</f>
        <v>0.77631032005810752</v>
      </c>
      <c r="H79" s="27">
        <f>H78*(Presion_cilindro!O70/Presion_cilindro!O71)^Presion_cilindro!$B$9+10*(Presion_cilindro!$B$9-1)*Presion_cilindro!$B$33*(IF(Presion_cilindro!N71&gt;(-H$4+Presion_cilindro!$B$34),1-EXP(-Presion_cilindro!$B$16*((Presion_cilindro!N71-(-H$4+Presion_cilindro!$B$34))/Presion_cilindro!$B$35)^(Presion_cilindro!$B$17+1)),0)-IF(Presion_cilindro!N70&gt;(-H$4+Presion_cilindro!$B$34),1-EXP(-Presion_cilindro!$B$16*((Presion_cilindro!N70-(-H$4+Presion_cilindro!$B$34))/Presion_cilindro!$B$35)^(Presion_cilindro!$B$17+1)),0))/((Presion_cilindro!O70+Presion_cilindro!O71)/2)</f>
        <v>0.77631032005810752</v>
      </c>
      <c r="I79" s="27">
        <f>I78*(Presion_cilindro!O70/Presion_cilindro!O71)^Presion_cilindro!$B$9+10*(Presion_cilindro!$B$9-1)*Presion_cilindro!$B$33*(IF(Presion_cilindro!N71&gt;(-I$4+Presion_cilindro!$B$34),1-EXP(-Presion_cilindro!$B$16*((Presion_cilindro!N71-(-I$4+Presion_cilindro!$B$34))/Presion_cilindro!$B$35)^(Presion_cilindro!$B$17+1)),0)-IF(Presion_cilindro!N70&gt;(-I$4+Presion_cilindro!$B$34),1-EXP(-Presion_cilindro!$B$16*((Presion_cilindro!N70-(-I$4+Presion_cilindro!$B$34))/Presion_cilindro!$B$35)^(Presion_cilindro!$B$17+1)),0))/((Presion_cilindro!O70+Presion_cilindro!O71)/2)</f>
        <v>0.77631032005810752</v>
      </c>
      <c r="J79" s="27">
        <f>J78*(Presion_cilindro!O70/Presion_cilindro!O71)^Presion_cilindro!$B$9+10*(Presion_cilindro!$B$9-1)*Presion_cilindro!$B$33*(IF(Presion_cilindro!N71&gt;(-J$4+Presion_cilindro!$B$34),1-EXP(-Presion_cilindro!$B$16*((Presion_cilindro!N71-(-J$4+Presion_cilindro!$B$34))/Presion_cilindro!$B$35)^(Presion_cilindro!$B$17+1)),0)-IF(Presion_cilindro!N70&gt;(-J$4+Presion_cilindro!$B$34),1-EXP(-Presion_cilindro!$B$16*((Presion_cilindro!N70-(-J$4+Presion_cilindro!$B$34))/Presion_cilindro!$B$35)^(Presion_cilindro!$B$17+1)),0))/((Presion_cilindro!O70+Presion_cilindro!O71)/2)</f>
        <v>0.77631032005810752</v>
      </c>
      <c r="K79" s="27">
        <f>K78*(Presion_cilindro!O70/Presion_cilindro!O71)^Presion_cilindro!$B$9+10*(Presion_cilindro!$B$9-1)*Presion_cilindro!$B$33*(IF(Presion_cilindro!N71&gt;(-K$4+Presion_cilindro!$B$34),1-EXP(-Presion_cilindro!$B$16*((Presion_cilindro!N71-(-K$4+Presion_cilindro!$B$34))/Presion_cilindro!$B$35)^(Presion_cilindro!$B$17+1)),0)-IF(Presion_cilindro!N70&gt;(-K$4+Presion_cilindro!$B$34),1-EXP(-Presion_cilindro!$B$16*((Presion_cilindro!N70-(-K$4+Presion_cilindro!$B$34))/Presion_cilindro!$B$35)^(Presion_cilindro!$B$17+1)),0))/((Presion_cilindro!O70+Presion_cilindro!O71)/2)</f>
        <v>0.77631032005810752</v>
      </c>
      <c r="L79" s="27">
        <f>L78*(Presion_cilindro!O70/Presion_cilindro!O71)^Presion_cilindro!$B$9+10*(Presion_cilindro!$B$9-1)*Presion_cilindro!$B$33*(IF(Presion_cilindro!N71&gt;(-L$4+Presion_cilindro!$B$34),1-EXP(-Presion_cilindro!$B$16*((Presion_cilindro!N71-(-L$4+Presion_cilindro!$B$34))/Presion_cilindro!$B$35)^(Presion_cilindro!$B$17+1)),0)-IF(Presion_cilindro!N70&gt;(-L$4+Presion_cilindro!$B$34),1-EXP(-Presion_cilindro!$B$16*((Presion_cilindro!N70-(-L$4+Presion_cilindro!$B$34))/Presion_cilindro!$B$35)^(Presion_cilindro!$B$17+1)),0))/((Presion_cilindro!O70+Presion_cilindro!O71)/2)</f>
        <v>0.77631032005810752</v>
      </c>
      <c r="M79" s="27">
        <f>M78*(Presion_cilindro!O70/Presion_cilindro!O71)^Presion_cilindro!$B$9+10*(Presion_cilindro!$B$9-1)*Presion_cilindro!$B$33*(IF(Presion_cilindro!N71&gt;(-M$4+Presion_cilindro!$B$34),1-EXP(-Presion_cilindro!$B$16*((Presion_cilindro!N71-(-M$4+Presion_cilindro!$B$34))/Presion_cilindro!$B$35)^(Presion_cilindro!$B$17+1)),0)-IF(Presion_cilindro!N70&gt;(-M$4+Presion_cilindro!$B$34),1-EXP(-Presion_cilindro!$B$16*((Presion_cilindro!N70-(-M$4+Presion_cilindro!$B$34))/Presion_cilindro!$B$35)^(Presion_cilindro!$B$17+1)),0))/((Presion_cilindro!O70+Presion_cilindro!O71)/2)</f>
        <v>0.77631032005810752</v>
      </c>
      <c r="N79" s="27">
        <f>N78*(Presion_cilindro!O70/Presion_cilindro!O71)^Presion_cilindro!$B$9+10*(Presion_cilindro!$B$9-1)*Presion_cilindro!$B$33*(IF(Presion_cilindro!N71&gt;(-N$4+Presion_cilindro!$B$34),1-EXP(-Presion_cilindro!$B$16*((Presion_cilindro!N71-(-N$4+Presion_cilindro!$B$34))/Presion_cilindro!$B$35)^(Presion_cilindro!$B$17+1)),0)-IF(Presion_cilindro!N70&gt;(-N$4+Presion_cilindro!$B$34),1-EXP(-Presion_cilindro!$B$16*((Presion_cilindro!N70-(-N$4+Presion_cilindro!$B$34))/Presion_cilindro!$B$35)^(Presion_cilindro!$B$17+1)),0))/((Presion_cilindro!O70+Presion_cilindro!O71)/2)</f>
        <v>0.77631032005810752</v>
      </c>
    </row>
    <row r="80" spans="1:14" x14ac:dyDescent="0.25">
      <c r="A80" s="21">
        <f>Presion_cilindro!N72</f>
        <v>-146</v>
      </c>
      <c r="B80" s="27">
        <f>B79*(Presion_cilindro!O71/Presion_cilindro!O72)^Presion_cilindro!$B$9+10*(Presion_cilindro!$B$9-1)*Presion_cilindro!$B$33*(IF(Presion_cilindro!N72&gt;(-B$4+Presion_cilindro!$B$34),1-EXP(-Presion_cilindro!$B$16*((Presion_cilindro!N72-(-B$4+Presion_cilindro!$B$34))/Presion_cilindro!$B$35)^(Presion_cilindro!$B$17+1)),0)-IF(Presion_cilindro!N71&gt;(-B$4+Presion_cilindro!$B$34),1-EXP(-Presion_cilindro!$B$16*((Presion_cilindro!N71-(-B$4+Presion_cilindro!$B$34))/Presion_cilindro!$B$35)^(Presion_cilindro!$B$17+1)),0))/((Presion_cilindro!O71+Presion_cilindro!O72)/2)</f>
        <v>0.7781242695284859</v>
      </c>
      <c r="C80" s="27">
        <f>C79*(Presion_cilindro!O71/Presion_cilindro!O72)^Presion_cilindro!$B$9+10*(Presion_cilindro!$B$9-1)*Presion_cilindro!$B$33*(IF(Presion_cilindro!N72&gt;(-C$4+Presion_cilindro!$B$34),1-EXP(-Presion_cilindro!$B$16*((Presion_cilindro!N72-(-C$4+Presion_cilindro!$B$34))/Presion_cilindro!$B$35)^(Presion_cilindro!$B$17+1)),0)-IF(Presion_cilindro!N71&gt;(-C$4+Presion_cilindro!$B$34),1-EXP(-Presion_cilindro!$B$16*((Presion_cilindro!N71-(-C$4+Presion_cilindro!$B$34))/Presion_cilindro!$B$35)^(Presion_cilindro!$B$17+1)),0))/((Presion_cilindro!O71+Presion_cilindro!O72)/2)</f>
        <v>0.7781242695284859</v>
      </c>
      <c r="D80" s="27">
        <f>D79*(Presion_cilindro!O71/Presion_cilindro!O72)^Presion_cilindro!$B$9+10*(Presion_cilindro!$B$9-1)*Presion_cilindro!$B$33*(IF(Presion_cilindro!N72&gt;(-D$4+Presion_cilindro!$B$34),1-EXP(-Presion_cilindro!$B$16*((Presion_cilindro!N72-(-D$4+Presion_cilindro!$B$34))/Presion_cilindro!$B$35)^(Presion_cilindro!$B$17+1)),0)-IF(Presion_cilindro!N71&gt;(-D$4+Presion_cilindro!$B$34),1-EXP(-Presion_cilindro!$B$16*((Presion_cilindro!N71-(-D$4+Presion_cilindro!$B$34))/Presion_cilindro!$B$35)^(Presion_cilindro!$B$17+1)),0))/((Presion_cilindro!O71+Presion_cilindro!O72)/2)</f>
        <v>0.7781242695284859</v>
      </c>
      <c r="E80" s="27">
        <f>E79*(Presion_cilindro!O71/Presion_cilindro!O72)^Presion_cilindro!$B$9+10*(Presion_cilindro!$B$9-1)*Presion_cilindro!$B$33*(IF(Presion_cilindro!N72&gt;(-E$4+Presion_cilindro!$B$34),1-EXP(-Presion_cilindro!$B$16*((Presion_cilindro!N72-(-E$4+Presion_cilindro!$B$34))/Presion_cilindro!$B$35)^(Presion_cilindro!$B$17+1)),0)-IF(Presion_cilindro!N71&gt;(-E$4+Presion_cilindro!$B$34),1-EXP(-Presion_cilindro!$B$16*((Presion_cilindro!N71-(-E$4+Presion_cilindro!$B$34))/Presion_cilindro!$B$35)^(Presion_cilindro!$B$17+1)),0))/((Presion_cilindro!O71+Presion_cilindro!O72)/2)</f>
        <v>0.7781242695284859</v>
      </c>
      <c r="F80" s="27">
        <f>F79*(Presion_cilindro!O71/Presion_cilindro!O72)^Presion_cilindro!$B$9+10*(Presion_cilindro!$B$9-1)*Presion_cilindro!$B$33*(IF(Presion_cilindro!N72&gt;(-F$4+Presion_cilindro!$B$34),1-EXP(-Presion_cilindro!$B$16*((Presion_cilindro!N72-(-F$4+Presion_cilindro!$B$34))/Presion_cilindro!$B$35)^(Presion_cilindro!$B$17+1)),0)-IF(Presion_cilindro!N71&gt;(-F$4+Presion_cilindro!$B$34),1-EXP(-Presion_cilindro!$B$16*((Presion_cilindro!N71-(-F$4+Presion_cilindro!$B$34))/Presion_cilindro!$B$35)^(Presion_cilindro!$B$17+1)),0))/((Presion_cilindro!O71+Presion_cilindro!O72)/2)</f>
        <v>0.7781242695284859</v>
      </c>
      <c r="G80" s="27">
        <f>G79*(Presion_cilindro!O71/Presion_cilindro!O72)^Presion_cilindro!$B$9+10*(Presion_cilindro!$B$9-1)*Presion_cilindro!$B$33*(IF(Presion_cilindro!N72&gt;(-G$4+Presion_cilindro!$B$34),1-EXP(-Presion_cilindro!$B$16*((Presion_cilindro!N72-(-G$4+Presion_cilindro!$B$34))/Presion_cilindro!$B$35)^(Presion_cilindro!$B$17+1)),0)-IF(Presion_cilindro!N71&gt;(-G$4+Presion_cilindro!$B$34),1-EXP(-Presion_cilindro!$B$16*((Presion_cilindro!N71-(-G$4+Presion_cilindro!$B$34))/Presion_cilindro!$B$35)^(Presion_cilindro!$B$17+1)),0))/((Presion_cilindro!O71+Presion_cilindro!O72)/2)</f>
        <v>0.7781242695284859</v>
      </c>
      <c r="H80" s="27">
        <f>H79*(Presion_cilindro!O71/Presion_cilindro!O72)^Presion_cilindro!$B$9+10*(Presion_cilindro!$B$9-1)*Presion_cilindro!$B$33*(IF(Presion_cilindro!N72&gt;(-H$4+Presion_cilindro!$B$34),1-EXP(-Presion_cilindro!$B$16*((Presion_cilindro!N72-(-H$4+Presion_cilindro!$B$34))/Presion_cilindro!$B$35)^(Presion_cilindro!$B$17+1)),0)-IF(Presion_cilindro!N71&gt;(-H$4+Presion_cilindro!$B$34),1-EXP(-Presion_cilindro!$B$16*((Presion_cilindro!N71-(-H$4+Presion_cilindro!$B$34))/Presion_cilindro!$B$35)^(Presion_cilindro!$B$17+1)),0))/((Presion_cilindro!O71+Presion_cilindro!O72)/2)</f>
        <v>0.7781242695284859</v>
      </c>
      <c r="I80" s="27">
        <f>I79*(Presion_cilindro!O71/Presion_cilindro!O72)^Presion_cilindro!$B$9+10*(Presion_cilindro!$B$9-1)*Presion_cilindro!$B$33*(IF(Presion_cilindro!N72&gt;(-I$4+Presion_cilindro!$B$34),1-EXP(-Presion_cilindro!$B$16*((Presion_cilindro!N72-(-I$4+Presion_cilindro!$B$34))/Presion_cilindro!$B$35)^(Presion_cilindro!$B$17+1)),0)-IF(Presion_cilindro!N71&gt;(-I$4+Presion_cilindro!$B$34),1-EXP(-Presion_cilindro!$B$16*((Presion_cilindro!N71-(-I$4+Presion_cilindro!$B$34))/Presion_cilindro!$B$35)^(Presion_cilindro!$B$17+1)),0))/((Presion_cilindro!O71+Presion_cilindro!O72)/2)</f>
        <v>0.7781242695284859</v>
      </c>
      <c r="J80" s="27">
        <f>J79*(Presion_cilindro!O71/Presion_cilindro!O72)^Presion_cilindro!$B$9+10*(Presion_cilindro!$B$9-1)*Presion_cilindro!$B$33*(IF(Presion_cilindro!N72&gt;(-J$4+Presion_cilindro!$B$34),1-EXP(-Presion_cilindro!$B$16*((Presion_cilindro!N72-(-J$4+Presion_cilindro!$B$34))/Presion_cilindro!$B$35)^(Presion_cilindro!$B$17+1)),0)-IF(Presion_cilindro!N71&gt;(-J$4+Presion_cilindro!$B$34),1-EXP(-Presion_cilindro!$B$16*((Presion_cilindro!N71-(-J$4+Presion_cilindro!$B$34))/Presion_cilindro!$B$35)^(Presion_cilindro!$B$17+1)),0))/((Presion_cilindro!O71+Presion_cilindro!O72)/2)</f>
        <v>0.7781242695284859</v>
      </c>
      <c r="K80" s="27">
        <f>K79*(Presion_cilindro!O71/Presion_cilindro!O72)^Presion_cilindro!$B$9+10*(Presion_cilindro!$B$9-1)*Presion_cilindro!$B$33*(IF(Presion_cilindro!N72&gt;(-K$4+Presion_cilindro!$B$34),1-EXP(-Presion_cilindro!$B$16*((Presion_cilindro!N72-(-K$4+Presion_cilindro!$B$34))/Presion_cilindro!$B$35)^(Presion_cilindro!$B$17+1)),0)-IF(Presion_cilindro!N71&gt;(-K$4+Presion_cilindro!$B$34),1-EXP(-Presion_cilindro!$B$16*((Presion_cilindro!N71-(-K$4+Presion_cilindro!$B$34))/Presion_cilindro!$B$35)^(Presion_cilindro!$B$17+1)),0))/((Presion_cilindro!O71+Presion_cilindro!O72)/2)</f>
        <v>0.7781242695284859</v>
      </c>
      <c r="L80" s="27">
        <f>L79*(Presion_cilindro!O71/Presion_cilindro!O72)^Presion_cilindro!$B$9+10*(Presion_cilindro!$B$9-1)*Presion_cilindro!$B$33*(IF(Presion_cilindro!N72&gt;(-L$4+Presion_cilindro!$B$34),1-EXP(-Presion_cilindro!$B$16*((Presion_cilindro!N72-(-L$4+Presion_cilindro!$B$34))/Presion_cilindro!$B$35)^(Presion_cilindro!$B$17+1)),0)-IF(Presion_cilindro!N71&gt;(-L$4+Presion_cilindro!$B$34),1-EXP(-Presion_cilindro!$B$16*((Presion_cilindro!N71-(-L$4+Presion_cilindro!$B$34))/Presion_cilindro!$B$35)^(Presion_cilindro!$B$17+1)),0))/((Presion_cilindro!O71+Presion_cilindro!O72)/2)</f>
        <v>0.7781242695284859</v>
      </c>
      <c r="M80" s="27">
        <f>M79*(Presion_cilindro!O71/Presion_cilindro!O72)^Presion_cilindro!$B$9+10*(Presion_cilindro!$B$9-1)*Presion_cilindro!$B$33*(IF(Presion_cilindro!N72&gt;(-M$4+Presion_cilindro!$B$34),1-EXP(-Presion_cilindro!$B$16*((Presion_cilindro!N72-(-M$4+Presion_cilindro!$B$34))/Presion_cilindro!$B$35)^(Presion_cilindro!$B$17+1)),0)-IF(Presion_cilindro!N71&gt;(-M$4+Presion_cilindro!$B$34),1-EXP(-Presion_cilindro!$B$16*((Presion_cilindro!N71-(-M$4+Presion_cilindro!$B$34))/Presion_cilindro!$B$35)^(Presion_cilindro!$B$17+1)),0))/((Presion_cilindro!O71+Presion_cilindro!O72)/2)</f>
        <v>0.7781242695284859</v>
      </c>
      <c r="N80" s="27">
        <f>N79*(Presion_cilindro!O71/Presion_cilindro!O72)^Presion_cilindro!$B$9+10*(Presion_cilindro!$B$9-1)*Presion_cilindro!$B$33*(IF(Presion_cilindro!N72&gt;(-N$4+Presion_cilindro!$B$34),1-EXP(-Presion_cilindro!$B$16*((Presion_cilindro!N72-(-N$4+Presion_cilindro!$B$34))/Presion_cilindro!$B$35)^(Presion_cilindro!$B$17+1)),0)-IF(Presion_cilindro!N71&gt;(-N$4+Presion_cilindro!$B$34),1-EXP(-Presion_cilindro!$B$16*((Presion_cilindro!N71-(-N$4+Presion_cilindro!$B$34))/Presion_cilindro!$B$35)^(Presion_cilindro!$B$17+1)),0))/((Presion_cilindro!O71+Presion_cilindro!O72)/2)</f>
        <v>0.7781242695284859</v>
      </c>
    </row>
    <row r="81" spans="1:14" x14ac:dyDescent="0.25">
      <c r="A81" s="21">
        <f>Presion_cilindro!N73</f>
        <v>-145.5</v>
      </c>
      <c r="B81" s="27">
        <f>B80*(Presion_cilindro!O72/Presion_cilindro!O73)^Presion_cilindro!$B$9+10*(Presion_cilindro!$B$9-1)*Presion_cilindro!$B$33*(IF(Presion_cilindro!N73&gt;(-B$4+Presion_cilindro!$B$34),1-EXP(-Presion_cilindro!$B$16*((Presion_cilindro!N73-(-B$4+Presion_cilindro!$B$34))/Presion_cilindro!$B$35)^(Presion_cilindro!$B$17+1)),0)-IF(Presion_cilindro!N72&gt;(-B$4+Presion_cilindro!$B$34),1-EXP(-Presion_cilindro!$B$16*((Presion_cilindro!N72-(-B$4+Presion_cilindro!$B$34))/Presion_cilindro!$B$35)^(Presion_cilindro!$B$17+1)),0))/((Presion_cilindro!O72+Presion_cilindro!O73)/2)</f>
        <v>0.77997266595096193</v>
      </c>
      <c r="C81" s="27">
        <f>C80*(Presion_cilindro!O72/Presion_cilindro!O73)^Presion_cilindro!$B$9+10*(Presion_cilindro!$B$9-1)*Presion_cilindro!$B$33*(IF(Presion_cilindro!N73&gt;(-C$4+Presion_cilindro!$B$34),1-EXP(-Presion_cilindro!$B$16*((Presion_cilindro!N73-(-C$4+Presion_cilindro!$B$34))/Presion_cilindro!$B$35)^(Presion_cilindro!$B$17+1)),0)-IF(Presion_cilindro!N72&gt;(-C$4+Presion_cilindro!$B$34),1-EXP(-Presion_cilindro!$B$16*((Presion_cilindro!N72-(-C$4+Presion_cilindro!$B$34))/Presion_cilindro!$B$35)^(Presion_cilindro!$B$17+1)),0))/((Presion_cilindro!O72+Presion_cilindro!O73)/2)</f>
        <v>0.77997266595096193</v>
      </c>
      <c r="D81" s="27">
        <f>D80*(Presion_cilindro!O72/Presion_cilindro!O73)^Presion_cilindro!$B$9+10*(Presion_cilindro!$B$9-1)*Presion_cilindro!$B$33*(IF(Presion_cilindro!N73&gt;(-D$4+Presion_cilindro!$B$34),1-EXP(-Presion_cilindro!$B$16*((Presion_cilindro!N73-(-D$4+Presion_cilindro!$B$34))/Presion_cilindro!$B$35)^(Presion_cilindro!$B$17+1)),0)-IF(Presion_cilindro!N72&gt;(-D$4+Presion_cilindro!$B$34),1-EXP(-Presion_cilindro!$B$16*((Presion_cilindro!N72-(-D$4+Presion_cilindro!$B$34))/Presion_cilindro!$B$35)^(Presion_cilindro!$B$17+1)),0))/((Presion_cilindro!O72+Presion_cilindro!O73)/2)</f>
        <v>0.77997266595096193</v>
      </c>
      <c r="E81" s="27">
        <f>E80*(Presion_cilindro!O72/Presion_cilindro!O73)^Presion_cilindro!$B$9+10*(Presion_cilindro!$B$9-1)*Presion_cilindro!$B$33*(IF(Presion_cilindro!N73&gt;(-E$4+Presion_cilindro!$B$34),1-EXP(-Presion_cilindro!$B$16*((Presion_cilindro!N73-(-E$4+Presion_cilindro!$B$34))/Presion_cilindro!$B$35)^(Presion_cilindro!$B$17+1)),0)-IF(Presion_cilindro!N72&gt;(-E$4+Presion_cilindro!$B$34),1-EXP(-Presion_cilindro!$B$16*((Presion_cilindro!N72-(-E$4+Presion_cilindro!$B$34))/Presion_cilindro!$B$35)^(Presion_cilindro!$B$17+1)),0))/((Presion_cilindro!O72+Presion_cilindro!O73)/2)</f>
        <v>0.77997266595096193</v>
      </c>
      <c r="F81" s="27">
        <f>F80*(Presion_cilindro!O72/Presion_cilindro!O73)^Presion_cilindro!$B$9+10*(Presion_cilindro!$B$9-1)*Presion_cilindro!$B$33*(IF(Presion_cilindro!N73&gt;(-F$4+Presion_cilindro!$B$34),1-EXP(-Presion_cilindro!$B$16*((Presion_cilindro!N73-(-F$4+Presion_cilindro!$B$34))/Presion_cilindro!$B$35)^(Presion_cilindro!$B$17+1)),0)-IF(Presion_cilindro!N72&gt;(-F$4+Presion_cilindro!$B$34),1-EXP(-Presion_cilindro!$B$16*((Presion_cilindro!N72-(-F$4+Presion_cilindro!$B$34))/Presion_cilindro!$B$35)^(Presion_cilindro!$B$17+1)),0))/((Presion_cilindro!O72+Presion_cilindro!O73)/2)</f>
        <v>0.77997266595096193</v>
      </c>
      <c r="G81" s="27">
        <f>G80*(Presion_cilindro!O72/Presion_cilindro!O73)^Presion_cilindro!$B$9+10*(Presion_cilindro!$B$9-1)*Presion_cilindro!$B$33*(IF(Presion_cilindro!N73&gt;(-G$4+Presion_cilindro!$B$34),1-EXP(-Presion_cilindro!$B$16*((Presion_cilindro!N73-(-G$4+Presion_cilindro!$B$34))/Presion_cilindro!$B$35)^(Presion_cilindro!$B$17+1)),0)-IF(Presion_cilindro!N72&gt;(-G$4+Presion_cilindro!$B$34),1-EXP(-Presion_cilindro!$B$16*((Presion_cilindro!N72-(-G$4+Presion_cilindro!$B$34))/Presion_cilindro!$B$35)^(Presion_cilindro!$B$17+1)),0))/((Presion_cilindro!O72+Presion_cilindro!O73)/2)</f>
        <v>0.77997266595096193</v>
      </c>
      <c r="H81" s="27">
        <f>H80*(Presion_cilindro!O72/Presion_cilindro!O73)^Presion_cilindro!$B$9+10*(Presion_cilindro!$B$9-1)*Presion_cilindro!$B$33*(IF(Presion_cilindro!N73&gt;(-H$4+Presion_cilindro!$B$34),1-EXP(-Presion_cilindro!$B$16*((Presion_cilindro!N73-(-H$4+Presion_cilindro!$B$34))/Presion_cilindro!$B$35)^(Presion_cilindro!$B$17+1)),0)-IF(Presion_cilindro!N72&gt;(-H$4+Presion_cilindro!$B$34),1-EXP(-Presion_cilindro!$B$16*((Presion_cilindro!N72-(-H$4+Presion_cilindro!$B$34))/Presion_cilindro!$B$35)^(Presion_cilindro!$B$17+1)),0))/((Presion_cilindro!O72+Presion_cilindro!O73)/2)</f>
        <v>0.77997266595096193</v>
      </c>
      <c r="I81" s="27">
        <f>I80*(Presion_cilindro!O72/Presion_cilindro!O73)^Presion_cilindro!$B$9+10*(Presion_cilindro!$B$9-1)*Presion_cilindro!$B$33*(IF(Presion_cilindro!N73&gt;(-I$4+Presion_cilindro!$B$34),1-EXP(-Presion_cilindro!$B$16*((Presion_cilindro!N73-(-I$4+Presion_cilindro!$B$34))/Presion_cilindro!$B$35)^(Presion_cilindro!$B$17+1)),0)-IF(Presion_cilindro!N72&gt;(-I$4+Presion_cilindro!$B$34),1-EXP(-Presion_cilindro!$B$16*((Presion_cilindro!N72-(-I$4+Presion_cilindro!$B$34))/Presion_cilindro!$B$35)^(Presion_cilindro!$B$17+1)),0))/((Presion_cilindro!O72+Presion_cilindro!O73)/2)</f>
        <v>0.77997266595096193</v>
      </c>
      <c r="J81" s="27">
        <f>J80*(Presion_cilindro!O72/Presion_cilindro!O73)^Presion_cilindro!$B$9+10*(Presion_cilindro!$B$9-1)*Presion_cilindro!$B$33*(IF(Presion_cilindro!N73&gt;(-J$4+Presion_cilindro!$B$34),1-EXP(-Presion_cilindro!$B$16*((Presion_cilindro!N73-(-J$4+Presion_cilindro!$B$34))/Presion_cilindro!$B$35)^(Presion_cilindro!$B$17+1)),0)-IF(Presion_cilindro!N72&gt;(-J$4+Presion_cilindro!$B$34),1-EXP(-Presion_cilindro!$B$16*((Presion_cilindro!N72-(-J$4+Presion_cilindro!$B$34))/Presion_cilindro!$B$35)^(Presion_cilindro!$B$17+1)),0))/((Presion_cilindro!O72+Presion_cilindro!O73)/2)</f>
        <v>0.77997266595096193</v>
      </c>
      <c r="K81" s="27">
        <f>K80*(Presion_cilindro!O72/Presion_cilindro!O73)^Presion_cilindro!$B$9+10*(Presion_cilindro!$B$9-1)*Presion_cilindro!$B$33*(IF(Presion_cilindro!N73&gt;(-K$4+Presion_cilindro!$B$34),1-EXP(-Presion_cilindro!$B$16*((Presion_cilindro!N73-(-K$4+Presion_cilindro!$B$34))/Presion_cilindro!$B$35)^(Presion_cilindro!$B$17+1)),0)-IF(Presion_cilindro!N72&gt;(-K$4+Presion_cilindro!$B$34),1-EXP(-Presion_cilindro!$B$16*((Presion_cilindro!N72-(-K$4+Presion_cilindro!$B$34))/Presion_cilindro!$B$35)^(Presion_cilindro!$B$17+1)),0))/((Presion_cilindro!O72+Presion_cilindro!O73)/2)</f>
        <v>0.77997266595096193</v>
      </c>
      <c r="L81" s="27">
        <f>L80*(Presion_cilindro!O72/Presion_cilindro!O73)^Presion_cilindro!$B$9+10*(Presion_cilindro!$B$9-1)*Presion_cilindro!$B$33*(IF(Presion_cilindro!N73&gt;(-L$4+Presion_cilindro!$B$34),1-EXP(-Presion_cilindro!$B$16*((Presion_cilindro!N73-(-L$4+Presion_cilindro!$B$34))/Presion_cilindro!$B$35)^(Presion_cilindro!$B$17+1)),0)-IF(Presion_cilindro!N72&gt;(-L$4+Presion_cilindro!$B$34),1-EXP(-Presion_cilindro!$B$16*((Presion_cilindro!N72-(-L$4+Presion_cilindro!$B$34))/Presion_cilindro!$B$35)^(Presion_cilindro!$B$17+1)),0))/((Presion_cilindro!O72+Presion_cilindro!O73)/2)</f>
        <v>0.77997266595096193</v>
      </c>
      <c r="M81" s="27">
        <f>M80*(Presion_cilindro!O72/Presion_cilindro!O73)^Presion_cilindro!$B$9+10*(Presion_cilindro!$B$9-1)*Presion_cilindro!$B$33*(IF(Presion_cilindro!N73&gt;(-M$4+Presion_cilindro!$B$34),1-EXP(-Presion_cilindro!$B$16*((Presion_cilindro!N73-(-M$4+Presion_cilindro!$B$34))/Presion_cilindro!$B$35)^(Presion_cilindro!$B$17+1)),0)-IF(Presion_cilindro!N72&gt;(-M$4+Presion_cilindro!$B$34),1-EXP(-Presion_cilindro!$B$16*((Presion_cilindro!N72-(-M$4+Presion_cilindro!$B$34))/Presion_cilindro!$B$35)^(Presion_cilindro!$B$17+1)),0))/((Presion_cilindro!O72+Presion_cilindro!O73)/2)</f>
        <v>0.77997266595096193</v>
      </c>
      <c r="N81" s="27">
        <f>N80*(Presion_cilindro!O72/Presion_cilindro!O73)^Presion_cilindro!$B$9+10*(Presion_cilindro!$B$9-1)*Presion_cilindro!$B$33*(IF(Presion_cilindro!N73&gt;(-N$4+Presion_cilindro!$B$34),1-EXP(-Presion_cilindro!$B$16*((Presion_cilindro!N73-(-N$4+Presion_cilindro!$B$34))/Presion_cilindro!$B$35)^(Presion_cilindro!$B$17+1)),0)-IF(Presion_cilindro!N72&gt;(-N$4+Presion_cilindro!$B$34),1-EXP(-Presion_cilindro!$B$16*((Presion_cilindro!N72-(-N$4+Presion_cilindro!$B$34))/Presion_cilindro!$B$35)^(Presion_cilindro!$B$17+1)),0))/((Presion_cilindro!O72+Presion_cilindro!O73)/2)</f>
        <v>0.77997266595096193</v>
      </c>
    </row>
    <row r="82" spans="1:14" x14ac:dyDescent="0.25">
      <c r="A82" s="21">
        <f>Presion_cilindro!N74</f>
        <v>-145</v>
      </c>
      <c r="B82" s="27">
        <f>B81*(Presion_cilindro!O73/Presion_cilindro!O74)^Presion_cilindro!$B$9+10*(Presion_cilindro!$B$9-1)*Presion_cilindro!$B$33*(IF(Presion_cilindro!N74&gt;(-B$4+Presion_cilindro!$B$34),1-EXP(-Presion_cilindro!$B$16*((Presion_cilindro!N74-(-B$4+Presion_cilindro!$B$34))/Presion_cilindro!$B$35)^(Presion_cilindro!$B$17+1)),0)-IF(Presion_cilindro!N73&gt;(-B$4+Presion_cilindro!$B$34),1-EXP(-Presion_cilindro!$B$16*((Presion_cilindro!N73-(-B$4+Presion_cilindro!$B$34))/Presion_cilindro!$B$35)^(Presion_cilindro!$B$17+1)),0))/((Presion_cilindro!O73+Presion_cilindro!O74)/2)</f>
        <v>0.78185587879010066</v>
      </c>
      <c r="C82" s="27">
        <f>C81*(Presion_cilindro!O73/Presion_cilindro!O74)^Presion_cilindro!$B$9+10*(Presion_cilindro!$B$9-1)*Presion_cilindro!$B$33*(IF(Presion_cilindro!N74&gt;(-C$4+Presion_cilindro!$B$34),1-EXP(-Presion_cilindro!$B$16*((Presion_cilindro!N74-(-C$4+Presion_cilindro!$B$34))/Presion_cilindro!$B$35)^(Presion_cilindro!$B$17+1)),0)-IF(Presion_cilindro!N73&gt;(-C$4+Presion_cilindro!$B$34),1-EXP(-Presion_cilindro!$B$16*((Presion_cilindro!N73-(-C$4+Presion_cilindro!$B$34))/Presion_cilindro!$B$35)^(Presion_cilindro!$B$17+1)),0))/((Presion_cilindro!O73+Presion_cilindro!O74)/2)</f>
        <v>0.78185587879010066</v>
      </c>
      <c r="D82" s="27">
        <f>D81*(Presion_cilindro!O73/Presion_cilindro!O74)^Presion_cilindro!$B$9+10*(Presion_cilindro!$B$9-1)*Presion_cilindro!$B$33*(IF(Presion_cilindro!N74&gt;(-D$4+Presion_cilindro!$B$34),1-EXP(-Presion_cilindro!$B$16*((Presion_cilindro!N74-(-D$4+Presion_cilindro!$B$34))/Presion_cilindro!$B$35)^(Presion_cilindro!$B$17+1)),0)-IF(Presion_cilindro!N73&gt;(-D$4+Presion_cilindro!$B$34),1-EXP(-Presion_cilindro!$B$16*((Presion_cilindro!N73-(-D$4+Presion_cilindro!$B$34))/Presion_cilindro!$B$35)^(Presion_cilindro!$B$17+1)),0))/((Presion_cilindro!O73+Presion_cilindro!O74)/2)</f>
        <v>0.78185587879010066</v>
      </c>
      <c r="E82" s="27">
        <f>E81*(Presion_cilindro!O73/Presion_cilindro!O74)^Presion_cilindro!$B$9+10*(Presion_cilindro!$B$9-1)*Presion_cilindro!$B$33*(IF(Presion_cilindro!N74&gt;(-E$4+Presion_cilindro!$B$34),1-EXP(-Presion_cilindro!$B$16*((Presion_cilindro!N74-(-E$4+Presion_cilindro!$B$34))/Presion_cilindro!$B$35)^(Presion_cilindro!$B$17+1)),0)-IF(Presion_cilindro!N73&gt;(-E$4+Presion_cilindro!$B$34),1-EXP(-Presion_cilindro!$B$16*((Presion_cilindro!N73-(-E$4+Presion_cilindro!$B$34))/Presion_cilindro!$B$35)^(Presion_cilindro!$B$17+1)),0))/((Presion_cilindro!O73+Presion_cilindro!O74)/2)</f>
        <v>0.78185587879010066</v>
      </c>
      <c r="F82" s="27">
        <f>F81*(Presion_cilindro!O73/Presion_cilindro!O74)^Presion_cilindro!$B$9+10*(Presion_cilindro!$B$9-1)*Presion_cilindro!$B$33*(IF(Presion_cilindro!N74&gt;(-F$4+Presion_cilindro!$B$34),1-EXP(-Presion_cilindro!$B$16*((Presion_cilindro!N74-(-F$4+Presion_cilindro!$B$34))/Presion_cilindro!$B$35)^(Presion_cilindro!$B$17+1)),0)-IF(Presion_cilindro!N73&gt;(-F$4+Presion_cilindro!$B$34),1-EXP(-Presion_cilindro!$B$16*((Presion_cilindro!N73-(-F$4+Presion_cilindro!$B$34))/Presion_cilindro!$B$35)^(Presion_cilindro!$B$17+1)),0))/((Presion_cilindro!O73+Presion_cilindro!O74)/2)</f>
        <v>0.78185587879010066</v>
      </c>
      <c r="G82" s="27">
        <f>G81*(Presion_cilindro!O73/Presion_cilindro!O74)^Presion_cilindro!$B$9+10*(Presion_cilindro!$B$9-1)*Presion_cilindro!$B$33*(IF(Presion_cilindro!N74&gt;(-G$4+Presion_cilindro!$B$34),1-EXP(-Presion_cilindro!$B$16*((Presion_cilindro!N74-(-G$4+Presion_cilindro!$B$34))/Presion_cilindro!$B$35)^(Presion_cilindro!$B$17+1)),0)-IF(Presion_cilindro!N73&gt;(-G$4+Presion_cilindro!$B$34),1-EXP(-Presion_cilindro!$B$16*((Presion_cilindro!N73-(-G$4+Presion_cilindro!$B$34))/Presion_cilindro!$B$35)^(Presion_cilindro!$B$17+1)),0))/((Presion_cilindro!O73+Presion_cilindro!O74)/2)</f>
        <v>0.78185587879010066</v>
      </c>
      <c r="H82" s="27">
        <f>H81*(Presion_cilindro!O73/Presion_cilindro!O74)^Presion_cilindro!$B$9+10*(Presion_cilindro!$B$9-1)*Presion_cilindro!$B$33*(IF(Presion_cilindro!N74&gt;(-H$4+Presion_cilindro!$B$34),1-EXP(-Presion_cilindro!$B$16*((Presion_cilindro!N74-(-H$4+Presion_cilindro!$B$34))/Presion_cilindro!$B$35)^(Presion_cilindro!$B$17+1)),0)-IF(Presion_cilindro!N73&gt;(-H$4+Presion_cilindro!$B$34),1-EXP(-Presion_cilindro!$B$16*((Presion_cilindro!N73-(-H$4+Presion_cilindro!$B$34))/Presion_cilindro!$B$35)^(Presion_cilindro!$B$17+1)),0))/((Presion_cilindro!O73+Presion_cilindro!O74)/2)</f>
        <v>0.78185587879010066</v>
      </c>
      <c r="I82" s="27">
        <f>I81*(Presion_cilindro!O73/Presion_cilindro!O74)^Presion_cilindro!$B$9+10*(Presion_cilindro!$B$9-1)*Presion_cilindro!$B$33*(IF(Presion_cilindro!N74&gt;(-I$4+Presion_cilindro!$B$34),1-EXP(-Presion_cilindro!$B$16*((Presion_cilindro!N74-(-I$4+Presion_cilindro!$B$34))/Presion_cilindro!$B$35)^(Presion_cilindro!$B$17+1)),0)-IF(Presion_cilindro!N73&gt;(-I$4+Presion_cilindro!$B$34),1-EXP(-Presion_cilindro!$B$16*((Presion_cilindro!N73-(-I$4+Presion_cilindro!$B$34))/Presion_cilindro!$B$35)^(Presion_cilindro!$B$17+1)),0))/((Presion_cilindro!O73+Presion_cilindro!O74)/2)</f>
        <v>0.78185587879010066</v>
      </c>
      <c r="J82" s="27">
        <f>J81*(Presion_cilindro!O73/Presion_cilindro!O74)^Presion_cilindro!$B$9+10*(Presion_cilindro!$B$9-1)*Presion_cilindro!$B$33*(IF(Presion_cilindro!N74&gt;(-J$4+Presion_cilindro!$B$34),1-EXP(-Presion_cilindro!$B$16*((Presion_cilindro!N74-(-J$4+Presion_cilindro!$B$34))/Presion_cilindro!$B$35)^(Presion_cilindro!$B$17+1)),0)-IF(Presion_cilindro!N73&gt;(-J$4+Presion_cilindro!$B$34),1-EXP(-Presion_cilindro!$B$16*((Presion_cilindro!N73-(-J$4+Presion_cilindro!$B$34))/Presion_cilindro!$B$35)^(Presion_cilindro!$B$17+1)),0))/((Presion_cilindro!O73+Presion_cilindro!O74)/2)</f>
        <v>0.78185587879010066</v>
      </c>
      <c r="K82" s="27">
        <f>K81*(Presion_cilindro!O73/Presion_cilindro!O74)^Presion_cilindro!$B$9+10*(Presion_cilindro!$B$9-1)*Presion_cilindro!$B$33*(IF(Presion_cilindro!N74&gt;(-K$4+Presion_cilindro!$B$34),1-EXP(-Presion_cilindro!$B$16*((Presion_cilindro!N74-(-K$4+Presion_cilindro!$B$34))/Presion_cilindro!$B$35)^(Presion_cilindro!$B$17+1)),0)-IF(Presion_cilindro!N73&gt;(-K$4+Presion_cilindro!$B$34),1-EXP(-Presion_cilindro!$B$16*((Presion_cilindro!N73-(-K$4+Presion_cilindro!$B$34))/Presion_cilindro!$B$35)^(Presion_cilindro!$B$17+1)),0))/((Presion_cilindro!O73+Presion_cilindro!O74)/2)</f>
        <v>0.78185587879010066</v>
      </c>
      <c r="L82" s="27">
        <f>L81*(Presion_cilindro!O73/Presion_cilindro!O74)^Presion_cilindro!$B$9+10*(Presion_cilindro!$B$9-1)*Presion_cilindro!$B$33*(IF(Presion_cilindro!N74&gt;(-L$4+Presion_cilindro!$B$34),1-EXP(-Presion_cilindro!$B$16*((Presion_cilindro!N74-(-L$4+Presion_cilindro!$B$34))/Presion_cilindro!$B$35)^(Presion_cilindro!$B$17+1)),0)-IF(Presion_cilindro!N73&gt;(-L$4+Presion_cilindro!$B$34),1-EXP(-Presion_cilindro!$B$16*((Presion_cilindro!N73-(-L$4+Presion_cilindro!$B$34))/Presion_cilindro!$B$35)^(Presion_cilindro!$B$17+1)),0))/((Presion_cilindro!O73+Presion_cilindro!O74)/2)</f>
        <v>0.78185587879010066</v>
      </c>
      <c r="M82" s="27">
        <f>M81*(Presion_cilindro!O73/Presion_cilindro!O74)^Presion_cilindro!$B$9+10*(Presion_cilindro!$B$9-1)*Presion_cilindro!$B$33*(IF(Presion_cilindro!N74&gt;(-M$4+Presion_cilindro!$B$34),1-EXP(-Presion_cilindro!$B$16*((Presion_cilindro!N74-(-M$4+Presion_cilindro!$B$34))/Presion_cilindro!$B$35)^(Presion_cilindro!$B$17+1)),0)-IF(Presion_cilindro!N73&gt;(-M$4+Presion_cilindro!$B$34),1-EXP(-Presion_cilindro!$B$16*((Presion_cilindro!N73-(-M$4+Presion_cilindro!$B$34))/Presion_cilindro!$B$35)^(Presion_cilindro!$B$17+1)),0))/((Presion_cilindro!O73+Presion_cilindro!O74)/2)</f>
        <v>0.78185587879010066</v>
      </c>
      <c r="N82" s="27">
        <f>N81*(Presion_cilindro!O73/Presion_cilindro!O74)^Presion_cilindro!$B$9+10*(Presion_cilindro!$B$9-1)*Presion_cilindro!$B$33*(IF(Presion_cilindro!N74&gt;(-N$4+Presion_cilindro!$B$34),1-EXP(-Presion_cilindro!$B$16*((Presion_cilindro!N74-(-N$4+Presion_cilindro!$B$34))/Presion_cilindro!$B$35)^(Presion_cilindro!$B$17+1)),0)-IF(Presion_cilindro!N73&gt;(-N$4+Presion_cilindro!$B$34),1-EXP(-Presion_cilindro!$B$16*((Presion_cilindro!N73-(-N$4+Presion_cilindro!$B$34))/Presion_cilindro!$B$35)^(Presion_cilindro!$B$17+1)),0))/((Presion_cilindro!O73+Presion_cilindro!O74)/2)</f>
        <v>0.78185587879010066</v>
      </c>
    </row>
    <row r="83" spans="1:14" x14ac:dyDescent="0.25">
      <c r="A83" s="21">
        <f>Presion_cilindro!N75</f>
        <v>-144.5</v>
      </c>
      <c r="B83" s="27">
        <f>B82*(Presion_cilindro!O74/Presion_cilindro!O75)^Presion_cilindro!$B$9+10*(Presion_cilindro!$B$9-1)*Presion_cilindro!$B$33*(IF(Presion_cilindro!N75&gt;(-B$4+Presion_cilindro!$B$34),1-EXP(-Presion_cilindro!$B$16*((Presion_cilindro!N75-(-B$4+Presion_cilindro!$B$34))/Presion_cilindro!$B$35)^(Presion_cilindro!$B$17+1)),0)-IF(Presion_cilindro!N74&gt;(-B$4+Presion_cilindro!$B$34),1-EXP(-Presion_cilindro!$B$16*((Presion_cilindro!N74-(-B$4+Presion_cilindro!$B$34))/Presion_cilindro!$B$35)^(Presion_cilindro!$B$17+1)),0))/((Presion_cilindro!O74+Presion_cilindro!O75)/2)</f>
        <v>0.78377428567074958</v>
      </c>
      <c r="C83" s="27">
        <f>C82*(Presion_cilindro!O74/Presion_cilindro!O75)^Presion_cilindro!$B$9+10*(Presion_cilindro!$B$9-1)*Presion_cilindro!$B$33*(IF(Presion_cilindro!N75&gt;(-C$4+Presion_cilindro!$B$34),1-EXP(-Presion_cilindro!$B$16*((Presion_cilindro!N75-(-C$4+Presion_cilindro!$B$34))/Presion_cilindro!$B$35)^(Presion_cilindro!$B$17+1)),0)-IF(Presion_cilindro!N74&gt;(-C$4+Presion_cilindro!$B$34),1-EXP(-Presion_cilindro!$B$16*((Presion_cilindro!N74-(-C$4+Presion_cilindro!$B$34))/Presion_cilindro!$B$35)^(Presion_cilindro!$B$17+1)),0))/((Presion_cilindro!O74+Presion_cilindro!O75)/2)</f>
        <v>0.78377428567074958</v>
      </c>
      <c r="D83" s="27">
        <f>D82*(Presion_cilindro!O74/Presion_cilindro!O75)^Presion_cilindro!$B$9+10*(Presion_cilindro!$B$9-1)*Presion_cilindro!$B$33*(IF(Presion_cilindro!N75&gt;(-D$4+Presion_cilindro!$B$34),1-EXP(-Presion_cilindro!$B$16*((Presion_cilindro!N75-(-D$4+Presion_cilindro!$B$34))/Presion_cilindro!$B$35)^(Presion_cilindro!$B$17+1)),0)-IF(Presion_cilindro!N74&gt;(-D$4+Presion_cilindro!$B$34),1-EXP(-Presion_cilindro!$B$16*((Presion_cilindro!N74-(-D$4+Presion_cilindro!$B$34))/Presion_cilindro!$B$35)^(Presion_cilindro!$B$17+1)),0))/((Presion_cilindro!O74+Presion_cilindro!O75)/2)</f>
        <v>0.78377428567074958</v>
      </c>
      <c r="E83" s="27">
        <f>E82*(Presion_cilindro!O74/Presion_cilindro!O75)^Presion_cilindro!$B$9+10*(Presion_cilindro!$B$9-1)*Presion_cilindro!$B$33*(IF(Presion_cilindro!N75&gt;(-E$4+Presion_cilindro!$B$34),1-EXP(-Presion_cilindro!$B$16*((Presion_cilindro!N75-(-E$4+Presion_cilindro!$B$34))/Presion_cilindro!$B$35)^(Presion_cilindro!$B$17+1)),0)-IF(Presion_cilindro!N74&gt;(-E$4+Presion_cilindro!$B$34),1-EXP(-Presion_cilindro!$B$16*((Presion_cilindro!N74-(-E$4+Presion_cilindro!$B$34))/Presion_cilindro!$B$35)^(Presion_cilindro!$B$17+1)),0))/((Presion_cilindro!O74+Presion_cilindro!O75)/2)</f>
        <v>0.78377428567074958</v>
      </c>
      <c r="F83" s="27">
        <f>F82*(Presion_cilindro!O74/Presion_cilindro!O75)^Presion_cilindro!$B$9+10*(Presion_cilindro!$B$9-1)*Presion_cilindro!$B$33*(IF(Presion_cilindro!N75&gt;(-F$4+Presion_cilindro!$B$34),1-EXP(-Presion_cilindro!$B$16*((Presion_cilindro!N75-(-F$4+Presion_cilindro!$B$34))/Presion_cilindro!$B$35)^(Presion_cilindro!$B$17+1)),0)-IF(Presion_cilindro!N74&gt;(-F$4+Presion_cilindro!$B$34),1-EXP(-Presion_cilindro!$B$16*((Presion_cilindro!N74-(-F$4+Presion_cilindro!$B$34))/Presion_cilindro!$B$35)^(Presion_cilindro!$B$17+1)),0))/((Presion_cilindro!O74+Presion_cilindro!O75)/2)</f>
        <v>0.78377428567074958</v>
      </c>
      <c r="G83" s="27">
        <f>G82*(Presion_cilindro!O74/Presion_cilindro!O75)^Presion_cilindro!$B$9+10*(Presion_cilindro!$B$9-1)*Presion_cilindro!$B$33*(IF(Presion_cilindro!N75&gt;(-G$4+Presion_cilindro!$B$34),1-EXP(-Presion_cilindro!$B$16*((Presion_cilindro!N75-(-G$4+Presion_cilindro!$B$34))/Presion_cilindro!$B$35)^(Presion_cilindro!$B$17+1)),0)-IF(Presion_cilindro!N74&gt;(-G$4+Presion_cilindro!$B$34),1-EXP(-Presion_cilindro!$B$16*((Presion_cilindro!N74-(-G$4+Presion_cilindro!$B$34))/Presion_cilindro!$B$35)^(Presion_cilindro!$B$17+1)),0))/((Presion_cilindro!O74+Presion_cilindro!O75)/2)</f>
        <v>0.78377428567074958</v>
      </c>
      <c r="H83" s="27">
        <f>H82*(Presion_cilindro!O74/Presion_cilindro!O75)^Presion_cilindro!$B$9+10*(Presion_cilindro!$B$9-1)*Presion_cilindro!$B$33*(IF(Presion_cilindro!N75&gt;(-H$4+Presion_cilindro!$B$34),1-EXP(-Presion_cilindro!$B$16*((Presion_cilindro!N75-(-H$4+Presion_cilindro!$B$34))/Presion_cilindro!$B$35)^(Presion_cilindro!$B$17+1)),0)-IF(Presion_cilindro!N74&gt;(-H$4+Presion_cilindro!$B$34),1-EXP(-Presion_cilindro!$B$16*((Presion_cilindro!N74-(-H$4+Presion_cilindro!$B$34))/Presion_cilindro!$B$35)^(Presion_cilindro!$B$17+1)),0))/((Presion_cilindro!O74+Presion_cilindro!O75)/2)</f>
        <v>0.78377428567074958</v>
      </c>
      <c r="I83" s="27">
        <f>I82*(Presion_cilindro!O74/Presion_cilindro!O75)^Presion_cilindro!$B$9+10*(Presion_cilindro!$B$9-1)*Presion_cilindro!$B$33*(IF(Presion_cilindro!N75&gt;(-I$4+Presion_cilindro!$B$34),1-EXP(-Presion_cilindro!$B$16*((Presion_cilindro!N75-(-I$4+Presion_cilindro!$B$34))/Presion_cilindro!$B$35)^(Presion_cilindro!$B$17+1)),0)-IF(Presion_cilindro!N74&gt;(-I$4+Presion_cilindro!$B$34),1-EXP(-Presion_cilindro!$B$16*((Presion_cilindro!N74-(-I$4+Presion_cilindro!$B$34))/Presion_cilindro!$B$35)^(Presion_cilindro!$B$17+1)),0))/((Presion_cilindro!O74+Presion_cilindro!O75)/2)</f>
        <v>0.78377428567074958</v>
      </c>
      <c r="J83" s="27">
        <f>J82*(Presion_cilindro!O74/Presion_cilindro!O75)^Presion_cilindro!$B$9+10*(Presion_cilindro!$B$9-1)*Presion_cilindro!$B$33*(IF(Presion_cilindro!N75&gt;(-J$4+Presion_cilindro!$B$34),1-EXP(-Presion_cilindro!$B$16*((Presion_cilindro!N75-(-J$4+Presion_cilindro!$B$34))/Presion_cilindro!$B$35)^(Presion_cilindro!$B$17+1)),0)-IF(Presion_cilindro!N74&gt;(-J$4+Presion_cilindro!$B$34),1-EXP(-Presion_cilindro!$B$16*((Presion_cilindro!N74-(-J$4+Presion_cilindro!$B$34))/Presion_cilindro!$B$35)^(Presion_cilindro!$B$17+1)),0))/((Presion_cilindro!O74+Presion_cilindro!O75)/2)</f>
        <v>0.78377428567074958</v>
      </c>
      <c r="K83" s="27">
        <f>K82*(Presion_cilindro!O74/Presion_cilindro!O75)^Presion_cilindro!$B$9+10*(Presion_cilindro!$B$9-1)*Presion_cilindro!$B$33*(IF(Presion_cilindro!N75&gt;(-K$4+Presion_cilindro!$B$34),1-EXP(-Presion_cilindro!$B$16*((Presion_cilindro!N75-(-K$4+Presion_cilindro!$B$34))/Presion_cilindro!$B$35)^(Presion_cilindro!$B$17+1)),0)-IF(Presion_cilindro!N74&gt;(-K$4+Presion_cilindro!$B$34),1-EXP(-Presion_cilindro!$B$16*((Presion_cilindro!N74-(-K$4+Presion_cilindro!$B$34))/Presion_cilindro!$B$35)^(Presion_cilindro!$B$17+1)),0))/((Presion_cilindro!O74+Presion_cilindro!O75)/2)</f>
        <v>0.78377428567074958</v>
      </c>
      <c r="L83" s="27">
        <f>L82*(Presion_cilindro!O74/Presion_cilindro!O75)^Presion_cilindro!$B$9+10*(Presion_cilindro!$B$9-1)*Presion_cilindro!$B$33*(IF(Presion_cilindro!N75&gt;(-L$4+Presion_cilindro!$B$34),1-EXP(-Presion_cilindro!$B$16*((Presion_cilindro!N75-(-L$4+Presion_cilindro!$B$34))/Presion_cilindro!$B$35)^(Presion_cilindro!$B$17+1)),0)-IF(Presion_cilindro!N74&gt;(-L$4+Presion_cilindro!$B$34),1-EXP(-Presion_cilindro!$B$16*((Presion_cilindro!N74-(-L$4+Presion_cilindro!$B$34))/Presion_cilindro!$B$35)^(Presion_cilindro!$B$17+1)),0))/((Presion_cilindro!O74+Presion_cilindro!O75)/2)</f>
        <v>0.78377428567074958</v>
      </c>
      <c r="M83" s="27">
        <f>M82*(Presion_cilindro!O74/Presion_cilindro!O75)^Presion_cilindro!$B$9+10*(Presion_cilindro!$B$9-1)*Presion_cilindro!$B$33*(IF(Presion_cilindro!N75&gt;(-M$4+Presion_cilindro!$B$34),1-EXP(-Presion_cilindro!$B$16*((Presion_cilindro!N75-(-M$4+Presion_cilindro!$B$34))/Presion_cilindro!$B$35)^(Presion_cilindro!$B$17+1)),0)-IF(Presion_cilindro!N74&gt;(-M$4+Presion_cilindro!$B$34),1-EXP(-Presion_cilindro!$B$16*((Presion_cilindro!N74-(-M$4+Presion_cilindro!$B$34))/Presion_cilindro!$B$35)^(Presion_cilindro!$B$17+1)),0))/((Presion_cilindro!O74+Presion_cilindro!O75)/2)</f>
        <v>0.78377428567074958</v>
      </c>
      <c r="N83" s="27">
        <f>N82*(Presion_cilindro!O74/Presion_cilindro!O75)^Presion_cilindro!$B$9+10*(Presion_cilindro!$B$9-1)*Presion_cilindro!$B$33*(IF(Presion_cilindro!N75&gt;(-N$4+Presion_cilindro!$B$34),1-EXP(-Presion_cilindro!$B$16*((Presion_cilindro!N75-(-N$4+Presion_cilindro!$B$34))/Presion_cilindro!$B$35)^(Presion_cilindro!$B$17+1)),0)-IF(Presion_cilindro!N74&gt;(-N$4+Presion_cilindro!$B$34),1-EXP(-Presion_cilindro!$B$16*((Presion_cilindro!N74-(-N$4+Presion_cilindro!$B$34))/Presion_cilindro!$B$35)^(Presion_cilindro!$B$17+1)),0))/((Presion_cilindro!O74+Presion_cilindro!O75)/2)</f>
        <v>0.78377428567074958</v>
      </c>
    </row>
    <row r="84" spans="1:14" x14ac:dyDescent="0.25">
      <c r="A84" s="21">
        <f>Presion_cilindro!N76</f>
        <v>-144</v>
      </c>
      <c r="B84" s="27">
        <f>B83*(Presion_cilindro!O75/Presion_cilindro!O76)^Presion_cilindro!$B$9+10*(Presion_cilindro!$B$9-1)*Presion_cilindro!$B$33*(IF(Presion_cilindro!N76&gt;(-B$4+Presion_cilindro!$B$34),1-EXP(-Presion_cilindro!$B$16*((Presion_cilindro!N76-(-B$4+Presion_cilindro!$B$34))/Presion_cilindro!$B$35)^(Presion_cilindro!$B$17+1)),0)-IF(Presion_cilindro!N75&gt;(-B$4+Presion_cilindro!$B$34),1-EXP(-Presion_cilindro!$B$16*((Presion_cilindro!N75-(-B$4+Presion_cilindro!$B$34))/Presion_cilindro!$B$35)^(Presion_cilindro!$B$17+1)),0))/((Presion_cilindro!O75+Presion_cilindro!O76)/2)</f>
        <v>0.78572827251850252</v>
      </c>
      <c r="C84" s="27">
        <f>C83*(Presion_cilindro!O75/Presion_cilindro!O76)^Presion_cilindro!$B$9+10*(Presion_cilindro!$B$9-1)*Presion_cilindro!$B$33*(IF(Presion_cilindro!N76&gt;(-C$4+Presion_cilindro!$B$34),1-EXP(-Presion_cilindro!$B$16*((Presion_cilindro!N76-(-C$4+Presion_cilindro!$B$34))/Presion_cilindro!$B$35)^(Presion_cilindro!$B$17+1)),0)-IF(Presion_cilindro!N75&gt;(-C$4+Presion_cilindro!$B$34),1-EXP(-Presion_cilindro!$B$16*((Presion_cilindro!N75-(-C$4+Presion_cilindro!$B$34))/Presion_cilindro!$B$35)^(Presion_cilindro!$B$17+1)),0))/((Presion_cilindro!O75+Presion_cilindro!O76)/2)</f>
        <v>0.78572827251850252</v>
      </c>
      <c r="D84" s="27">
        <f>D83*(Presion_cilindro!O75/Presion_cilindro!O76)^Presion_cilindro!$B$9+10*(Presion_cilindro!$B$9-1)*Presion_cilindro!$B$33*(IF(Presion_cilindro!N76&gt;(-D$4+Presion_cilindro!$B$34),1-EXP(-Presion_cilindro!$B$16*((Presion_cilindro!N76-(-D$4+Presion_cilindro!$B$34))/Presion_cilindro!$B$35)^(Presion_cilindro!$B$17+1)),0)-IF(Presion_cilindro!N75&gt;(-D$4+Presion_cilindro!$B$34),1-EXP(-Presion_cilindro!$B$16*((Presion_cilindro!N75-(-D$4+Presion_cilindro!$B$34))/Presion_cilindro!$B$35)^(Presion_cilindro!$B$17+1)),0))/((Presion_cilindro!O75+Presion_cilindro!O76)/2)</f>
        <v>0.78572827251850252</v>
      </c>
      <c r="E84" s="27">
        <f>E83*(Presion_cilindro!O75/Presion_cilindro!O76)^Presion_cilindro!$B$9+10*(Presion_cilindro!$B$9-1)*Presion_cilindro!$B$33*(IF(Presion_cilindro!N76&gt;(-E$4+Presion_cilindro!$B$34),1-EXP(-Presion_cilindro!$B$16*((Presion_cilindro!N76-(-E$4+Presion_cilindro!$B$34))/Presion_cilindro!$B$35)^(Presion_cilindro!$B$17+1)),0)-IF(Presion_cilindro!N75&gt;(-E$4+Presion_cilindro!$B$34),1-EXP(-Presion_cilindro!$B$16*((Presion_cilindro!N75-(-E$4+Presion_cilindro!$B$34))/Presion_cilindro!$B$35)^(Presion_cilindro!$B$17+1)),0))/((Presion_cilindro!O75+Presion_cilindro!O76)/2)</f>
        <v>0.78572827251850252</v>
      </c>
      <c r="F84" s="27">
        <f>F83*(Presion_cilindro!O75/Presion_cilindro!O76)^Presion_cilindro!$B$9+10*(Presion_cilindro!$B$9-1)*Presion_cilindro!$B$33*(IF(Presion_cilindro!N76&gt;(-F$4+Presion_cilindro!$B$34),1-EXP(-Presion_cilindro!$B$16*((Presion_cilindro!N76-(-F$4+Presion_cilindro!$B$34))/Presion_cilindro!$B$35)^(Presion_cilindro!$B$17+1)),0)-IF(Presion_cilindro!N75&gt;(-F$4+Presion_cilindro!$B$34),1-EXP(-Presion_cilindro!$B$16*((Presion_cilindro!N75-(-F$4+Presion_cilindro!$B$34))/Presion_cilindro!$B$35)^(Presion_cilindro!$B$17+1)),0))/((Presion_cilindro!O75+Presion_cilindro!O76)/2)</f>
        <v>0.78572827251850252</v>
      </c>
      <c r="G84" s="27">
        <f>G83*(Presion_cilindro!O75/Presion_cilindro!O76)^Presion_cilindro!$B$9+10*(Presion_cilindro!$B$9-1)*Presion_cilindro!$B$33*(IF(Presion_cilindro!N76&gt;(-G$4+Presion_cilindro!$B$34),1-EXP(-Presion_cilindro!$B$16*((Presion_cilindro!N76-(-G$4+Presion_cilindro!$B$34))/Presion_cilindro!$B$35)^(Presion_cilindro!$B$17+1)),0)-IF(Presion_cilindro!N75&gt;(-G$4+Presion_cilindro!$B$34),1-EXP(-Presion_cilindro!$B$16*((Presion_cilindro!N75-(-G$4+Presion_cilindro!$B$34))/Presion_cilindro!$B$35)^(Presion_cilindro!$B$17+1)),0))/((Presion_cilindro!O75+Presion_cilindro!O76)/2)</f>
        <v>0.78572827251850252</v>
      </c>
      <c r="H84" s="27">
        <f>H83*(Presion_cilindro!O75/Presion_cilindro!O76)^Presion_cilindro!$B$9+10*(Presion_cilindro!$B$9-1)*Presion_cilindro!$B$33*(IF(Presion_cilindro!N76&gt;(-H$4+Presion_cilindro!$B$34),1-EXP(-Presion_cilindro!$B$16*((Presion_cilindro!N76-(-H$4+Presion_cilindro!$B$34))/Presion_cilindro!$B$35)^(Presion_cilindro!$B$17+1)),0)-IF(Presion_cilindro!N75&gt;(-H$4+Presion_cilindro!$B$34),1-EXP(-Presion_cilindro!$B$16*((Presion_cilindro!N75-(-H$4+Presion_cilindro!$B$34))/Presion_cilindro!$B$35)^(Presion_cilindro!$B$17+1)),0))/((Presion_cilindro!O75+Presion_cilindro!O76)/2)</f>
        <v>0.78572827251850252</v>
      </c>
      <c r="I84" s="27">
        <f>I83*(Presion_cilindro!O75/Presion_cilindro!O76)^Presion_cilindro!$B$9+10*(Presion_cilindro!$B$9-1)*Presion_cilindro!$B$33*(IF(Presion_cilindro!N76&gt;(-I$4+Presion_cilindro!$B$34),1-EXP(-Presion_cilindro!$B$16*((Presion_cilindro!N76-(-I$4+Presion_cilindro!$B$34))/Presion_cilindro!$B$35)^(Presion_cilindro!$B$17+1)),0)-IF(Presion_cilindro!N75&gt;(-I$4+Presion_cilindro!$B$34),1-EXP(-Presion_cilindro!$B$16*((Presion_cilindro!N75-(-I$4+Presion_cilindro!$B$34))/Presion_cilindro!$B$35)^(Presion_cilindro!$B$17+1)),0))/((Presion_cilindro!O75+Presion_cilindro!O76)/2)</f>
        <v>0.78572827251850252</v>
      </c>
      <c r="J84" s="27">
        <f>J83*(Presion_cilindro!O75/Presion_cilindro!O76)^Presion_cilindro!$B$9+10*(Presion_cilindro!$B$9-1)*Presion_cilindro!$B$33*(IF(Presion_cilindro!N76&gt;(-J$4+Presion_cilindro!$B$34),1-EXP(-Presion_cilindro!$B$16*((Presion_cilindro!N76-(-J$4+Presion_cilindro!$B$34))/Presion_cilindro!$B$35)^(Presion_cilindro!$B$17+1)),0)-IF(Presion_cilindro!N75&gt;(-J$4+Presion_cilindro!$B$34),1-EXP(-Presion_cilindro!$B$16*((Presion_cilindro!N75-(-J$4+Presion_cilindro!$B$34))/Presion_cilindro!$B$35)^(Presion_cilindro!$B$17+1)),0))/((Presion_cilindro!O75+Presion_cilindro!O76)/2)</f>
        <v>0.78572827251850252</v>
      </c>
      <c r="K84" s="27">
        <f>K83*(Presion_cilindro!O75/Presion_cilindro!O76)^Presion_cilindro!$B$9+10*(Presion_cilindro!$B$9-1)*Presion_cilindro!$B$33*(IF(Presion_cilindro!N76&gt;(-K$4+Presion_cilindro!$B$34),1-EXP(-Presion_cilindro!$B$16*((Presion_cilindro!N76-(-K$4+Presion_cilindro!$B$34))/Presion_cilindro!$B$35)^(Presion_cilindro!$B$17+1)),0)-IF(Presion_cilindro!N75&gt;(-K$4+Presion_cilindro!$B$34),1-EXP(-Presion_cilindro!$B$16*((Presion_cilindro!N75-(-K$4+Presion_cilindro!$B$34))/Presion_cilindro!$B$35)^(Presion_cilindro!$B$17+1)),0))/((Presion_cilindro!O75+Presion_cilindro!O76)/2)</f>
        <v>0.78572827251850252</v>
      </c>
      <c r="L84" s="27">
        <f>L83*(Presion_cilindro!O75/Presion_cilindro!O76)^Presion_cilindro!$B$9+10*(Presion_cilindro!$B$9-1)*Presion_cilindro!$B$33*(IF(Presion_cilindro!N76&gt;(-L$4+Presion_cilindro!$B$34),1-EXP(-Presion_cilindro!$B$16*((Presion_cilindro!N76-(-L$4+Presion_cilindro!$B$34))/Presion_cilindro!$B$35)^(Presion_cilindro!$B$17+1)),0)-IF(Presion_cilindro!N75&gt;(-L$4+Presion_cilindro!$B$34),1-EXP(-Presion_cilindro!$B$16*((Presion_cilindro!N75-(-L$4+Presion_cilindro!$B$34))/Presion_cilindro!$B$35)^(Presion_cilindro!$B$17+1)),0))/((Presion_cilindro!O75+Presion_cilindro!O76)/2)</f>
        <v>0.78572827251850252</v>
      </c>
      <c r="M84" s="27">
        <f>M83*(Presion_cilindro!O75/Presion_cilindro!O76)^Presion_cilindro!$B$9+10*(Presion_cilindro!$B$9-1)*Presion_cilindro!$B$33*(IF(Presion_cilindro!N76&gt;(-M$4+Presion_cilindro!$B$34),1-EXP(-Presion_cilindro!$B$16*((Presion_cilindro!N76-(-M$4+Presion_cilindro!$B$34))/Presion_cilindro!$B$35)^(Presion_cilindro!$B$17+1)),0)-IF(Presion_cilindro!N75&gt;(-M$4+Presion_cilindro!$B$34),1-EXP(-Presion_cilindro!$B$16*((Presion_cilindro!N75-(-M$4+Presion_cilindro!$B$34))/Presion_cilindro!$B$35)^(Presion_cilindro!$B$17+1)),0))/((Presion_cilindro!O75+Presion_cilindro!O76)/2)</f>
        <v>0.78572827251850252</v>
      </c>
      <c r="N84" s="27">
        <f>N83*(Presion_cilindro!O75/Presion_cilindro!O76)^Presion_cilindro!$B$9+10*(Presion_cilindro!$B$9-1)*Presion_cilindro!$B$33*(IF(Presion_cilindro!N76&gt;(-N$4+Presion_cilindro!$B$34),1-EXP(-Presion_cilindro!$B$16*((Presion_cilindro!N76-(-N$4+Presion_cilindro!$B$34))/Presion_cilindro!$B$35)^(Presion_cilindro!$B$17+1)),0)-IF(Presion_cilindro!N75&gt;(-N$4+Presion_cilindro!$B$34),1-EXP(-Presion_cilindro!$B$16*((Presion_cilindro!N75-(-N$4+Presion_cilindro!$B$34))/Presion_cilindro!$B$35)^(Presion_cilindro!$B$17+1)),0))/((Presion_cilindro!O75+Presion_cilindro!O76)/2)</f>
        <v>0.78572827251850252</v>
      </c>
    </row>
    <row r="85" spans="1:14" x14ac:dyDescent="0.25">
      <c r="A85" s="21">
        <f>Presion_cilindro!N77</f>
        <v>-143.5</v>
      </c>
      <c r="B85" s="27">
        <f>B84*(Presion_cilindro!O76/Presion_cilindro!O77)^Presion_cilindro!$B$9+10*(Presion_cilindro!$B$9-1)*Presion_cilindro!$B$33*(IF(Presion_cilindro!N77&gt;(-B$4+Presion_cilindro!$B$34),1-EXP(-Presion_cilindro!$B$16*((Presion_cilindro!N77-(-B$4+Presion_cilindro!$B$34))/Presion_cilindro!$B$35)^(Presion_cilindro!$B$17+1)),0)-IF(Presion_cilindro!N76&gt;(-B$4+Presion_cilindro!$B$34),1-EXP(-Presion_cilindro!$B$16*((Presion_cilindro!N76-(-B$4+Presion_cilindro!$B$34))/Presion_cilindro!$B$35)^(Presion_cilindro!$B$17+1)),0))/((Presion_cilindro!O76+Presion_cilindro!O77)/2)</f>
        <v>0.78771823370379646</v>
      </c>
      <c r="C85" s="27">
        <f>C84*(Presion_cilindro!O76/Presion_cilindro!O77)^Presion_cilindro!$B$9+10*(Presion_cilindro!$B$9-1)*Presion_cilindro!$B$33*(IF(Presion_cilindro!N77&gt;(-C$4+Presion_cilindro!$B$34),1-EXP(-Presion_cilindro!$B$16*((Presion_cilindro!N77-(-C$4+Presion_cilindro!$B$34))/Presion_cilindro!$B$35)^(Presion_cilindro!$B$17+1)),0)-IF(Presion_cilindro!N76&gt;(-C$4+Presion_cilindro!$B$34),1-EXP(-Presion_cilindro!$B$16*((Presion_cilindro!N76-(-C$4+Presion_cilindro!$B$34))/Presion_cilindro!$B$35)^(Presion_cilindro!$B$17+1)),0))/((Presion_cilindro!O76+Presion_cilindro!O77)/2)</f>
        <v>0.78771823370379646</v>
      </c>
      <c r="D85" s="27">
        <f>D84*(Presion_cilindro!O76/Presion_cilindro!O77)^Presion_cilindro!$B$9+10*(Presion_cilindro!$B$9-1)*Presion_cilindro!$B$33*(IF(Presion_cilindro!N77&gt;(-D$4+Presion_cilindro!$B$34),1-EXP(-Presion_cilindro!$B$16*((Presion_cilindro!N77-(-D$4+Presion_cilindro!$B$34))/Presion_cilindro!$B$35)^(Presion_cilindro!$B$17+1)),0)-IF(Presion_cilindro!N76&gt;(-D$4+Presion_cilindro!$B$34),1-EXP(-Presion_cilindro!$B$16*((Presion_cilindro!N76-(-D$4+Presion_cilindro!$B$34))/Presion_cilindro!$B$35)^(Presion_cilindro!$B$17+1)),0))/((Presion_cilindro!O76+Presion_cilindro!O77)/2)</f>
        <v>0.78771823370379646</v>
      </c>
      <c r="E85" s="27">
        <f>E84*(Presion_cilindro!O76/Presion_cilindro!O77)^Presion_cilindro!$B$9+10*(Presion_cilindro!$B$9-1)*Presion_cilindro!$B$33*(IF(Presion_cilindro!N77&gt;(-E$4+Presion_cilindro!$B$34),1-EXP(-Presion_cilindro!$B$16*((Presion_cilindro!N77-(-E$4+Presion_cilindro!$B$34))/Presion_cilindro!$B$35)^(Presion_cilindro!$B$17+1)),0)-IF(Presion_cilindro!N76&gt;(-E$4+Presion_cilindro!$B$34),1-EXP(-Presion_cilindro!$B$16*((Presion_cilindro!N76-(-E$4+Presion_cilindro!$B$34))/Presion_cilindro!$B$35)^(Presion_cilindro!$B$17+1)),0))/((Presion_cilindro!O76+Presion_cilindro!O77)/2)</f>
        <v>0.78771823370379646</v>
      </c>
      <c r="F85" s="27">
        <f>F84*(Presion_cilindro!O76/Presion_cilindro!O77)^Presion_cilindro!$B$9+10*(Presion_cilindro!$B$9-1)*Presion_cilindro!$B$33*(IF(Presion_cilindro!N77&gt;(-F$4+Presion_cilindro!$B$34),1-EXP(-Presion_cilindro!$B$16*((Presion_cilindro!N77-(-F$4+Presion_cilindro!$B$34))/Presion_cilindro!$B$35)^(Presion_cilindro!$B$17+1)),0)-IF(Presion_cilindro!N76&gt;(-F$4+Presion_cilindro!$B$34),1-EXP(-Presion_cilindro!$B$16*((Presion_cilindro!N76-(-F$4+Presion_cilindro!$B$34))/Presion_cilindro!$B$35)^(Presion_cilindro!$B$17+1)),0))/((Presion_cilindro!O76+Presion_cilindro!O77)/2)</f>
        <v>0.78771823370379646</v>
      </c>
      <c r="G85" s="27">
        <f>G84*(Presion_cilindro!O76/Presion_cilindro!O77)^Presion_cilindro!$B$9+10*(Presion_cilindro!$B$9-1)*Presion_cilindro!$B$33*(IF(Presion_cilindro!N77&gt;(-G$4+Presion_cilindro!$B$34),1-EXP(-Presion_cilindro!$B$16*((Presion_cilindro!N77-(-G$4+Presion_cilindro!$B$34))/Presion_cilindro!$B$35)^(Presion_cilindro!$B$17+1)),0)-IF(Presion_cilindro!N76&gt;(-G$4+Presion_cilindro!$B$34),1-EXP(-Presion_cilindro!$B$16*((Presion_cilindro!N76-(-G$4+Presion_cilindro!$B$34))/Presion_cilindro!$B$35)^(Presion_cilindro!$B$17+1)),0))/((Presion_cilindro!O76+Presion_cilindro!O77)/2)</f>
        <v>0.78771823370379646</v>
      </c>
      <c r="H85" s="27">
        <f>H84*(Presion_cilindro!O76/Presion_cilindro!O77)^Presion_cilindro!$B$9+10*(Presion_cilindro!$B$9-1)*Presion_cilindro!$B$33*(IF(Presion_cilindro!N77&gt;(-H$4+Presion_cilindro!$B$34),1-EXP(-Presion_cilindro!$B$16*((Presion_cilindro!N77-(-H$4+Presion_cilindro!$B$34))/Presion_cilindro!$B$35)^(Presion_cilindro!$B$17+1)),0)-IF(Presion_cilindro!N76&gt;(-H$4+Presion_cilindro!$B$34),1-EXP(-Presion_cilindro!$B$16*((Presion_cilindro!N76-(-H$4+Presion_cilindro!$B$34))/Presion_cilindro!$B$35)^(Presion_cilindro!$B$17+1)),0))/((Presion_cilindro!O76+Presion_cilindro!O77)/2)</f>
        <v>0.78771823370379646</v>
      </c>
      <c r="I85" s="27">
        <f>I84*(Presion_cilindro!O76/Presion_cilindro!O77)^Presion_cilindro!$B$9+10*(Presion_cilindro!$B$9-1)*Presion_cilindro!$B$33*(IF(Presion_cilindro!N77&gt;(-I$4+Presion_cilindro!$B$34),1-EXP(-Presion_cilindro!$B$16*((Presion_cilindro!N77-(-I$4+Presion_cilindro!$B$34))/Presion_cilindro!$B$35)^(Presion_cilindro!$B$17+1)),0)-IF(Presion_cilindro!N76&gt;(-I$4+Presion_cilindro!$B$34),1-EXP(-Presion_cilindro!$B$16*((Presion_cilindro!N76-(-I$4+Presion_cilindro!$B$34))/Presion_cilindro!$B$35)^(Presion_cilindro!$B$17+1)),0))/((Presion_cilindro!O76+Presion_cilindro!O77)/2)</f>
        <v>0.78771823370379646</v>
      </c>
      <c r="J85" s="27">
        <f>J84*(Presion_cilindro!O76/Presion_cilindro!O77)^Presion_cilindro!$B$9+10*(Presion_cilindro!$B$9-1)*Presion_cilindro!$B$33*(IF(Presion_cilindro!N77&gt;(-J$4+Presion_cilindro!$B$34),1-EXP(-Presion_cilindro!$B$16*((Presion_cilindro!N77-(-J$4+Presion_cilindro!$B$34))/Presion_cilindro!$B$35)^(Presion_cilindro!$B$17+1)),0)-IF(Presion_cilindro!N76&gt;(-J$4+Presion_cilindro!$B$34),1-EXP(-Presion_cilindro!$B$16*((Presion_cilindro!N76-(-J$4+Presion_cilindro!$B$34))/Presion_cilindro!$B$35)^(Presion_cilindro!$B$17+1)),0))/((Presion_cilindro!O76+Presion_cilindro!O77)/2)</f>
        <v>0.78771823370379646</v>
      </c>
      <c r="K85" s="27">
        <f>K84*(Presion_cilindro!O76/Presion_cilindro!O77)^Presion_cilindro!$B$9+10*(Presion_cilindro!$B$9-1)*Presion_cilindro!$B$33*(IF(Presion_cilindro!N77&gt;(-K$4+Presion_cilindro!$B$34),1-EXP(-Presion_cilindro!$B$16*((Presion_cilindro!N77-(-K$4+Presion_cilindro!$B$34))/Presion_cilindro!$B$35)^(Presion_cilindro!$B$17+1)),0)-IF(Presion_cilindro!N76&gt;(-K$4+Presion_cilindro!$B$34),1-EXP(-Presion_cilindro!$B$16*((Presion_cilindro!N76-(-K$4+Presion_cilindro!$B$34))/Presion_cilindro!$B$35)^(Presion_cilindro!$B$17+1)),0))/((Presion_cilindro!O76+Presion_cilindro!O77)/2)</f>
        <v>0.78771823370379646</v>
      </c>
      <c r="L85" s="27">
        <f>L84*(Presion_cilindro!O76/Presion_cilindro!O77)^Presion_cilindro!$B$9+10*(Presion_cilindro!$B$9-1)*Presion_cilindro!$B$33*(IF(Presion_cilindro!N77&gt;(-L$4+Presion_cilindro!$B$34),1-EXP(-Presion_cilindro!$B$16*((Presion_cilindro!N77-(-L$4+Presion_cilindro!$B$34))/Presion_cilindro!$B$35)^(Presion_cilindro!$B$17+1)),0)-IF(Presion_cilindro!N76&gt;(-L$4+Presion_cilindro!$B$34),1-EXP(-Presion_cilindro!$B$16*((Presion_cilindro!N76-(-L$4+Presion_cilindro!$B$34))/Presion_cilindro!$B$35)^(Presion_cilindro!$B$17+1)),0))/((Presion_cilindro!O76+Presion_cilindro!O77)/2)</f>
        <v>0.78771823370379646</v>
      </c>
      <c r="M85" s="27">
        <f>M84*(Presion_cilindro!O76/Presion_cilindro!O77)^Presion_cilindro!$B$9+10*(Presion_cilindro!$B$9-1)*Presion_cilindro!$B$33*(IF(Presion_cilindro!N77&gt;(-M$4+Presion_cilindro!$B$34),1-EXP(-Presion_cilindro!$B$16*((Presion_cilindro!N77-(-M$4+Presion_cilindro!$B$34))/Presion_cilindro!$B$35)^(Presion_cilindro!$B$17+1)),0)-IF(Presion_cilindro!N76&gt;(-M$4+Presion_cilindro!$B$34),1-EXP(-Presion_cilindro!$B$16*((Presion_cilindro!N76-(-M$4+Presion_cilindro!$B$34))/Presion_cilindro!$B$35)^(Presion_cilindro!$B$17+1)),0))/((Presion_cilindro!O76+Presion_cilindro!O77)/2)</f>
        <v>0.78771823370379646</v>
      </c>
      <c r="N85" s="27">
        <f>N84*(Presion_cilindro!O76/Presion_cilindro!O77)^Presion_cilindro!$B$9+10*(Presion_cilindro!$B$9-1)*Presion_cilindro!$B$33*(IF(Presion_cilindro!N77&gt;(-N$4+Presion_cilindro!$B$34),1-EXP(-Presion_cilindro!$B$16*((Presion_cilindro!N77-(-N$4+Presion_cilindro!$B$34))/Presion_cilindro!$B$35)^(Presion_cilindro!$B$17+1)),0)-IF(Presion_cilindro!N76&gt;(-N$4+Presion_cilindro!$B$34),1-EXP(-Presion_cilindro!$B$16*((Presion_cilindro!N76-(-N$4+Presion_cilindro!$B$34))/Presion_cilindro!$B$35)^(Presion_cilindro!$B$17+1)),0))/((Presion_cilindro!O76+Presion_cilindro!O77)/2)</f>
        <v>0.78771823370379646</v>
      </c>
    </row>
    <row r="86" spans="1:14" x14ac:dyDescent="0.25">
      <c r="A86" s="21">
        <f>Presion_cilindro!N78</f>
        <v>-143</v>
      </c>
      <c r="B86" s="27">
        <f>B85*(Presion_cilindro!O77/Presion_cilindro!O78)^Presion_cilindro!$B$9+10*(Presion_cilindro!$B$9-1)*Presion_cilindro!$B$33*(IF(Presion_cilindro!N78&gt;(-B$4+Presion_cilindro!$B$34),1-EXP(-Presion_cilindro!$B$16*((Presion_cilindro!N78-(-B$4+Presion_cilindro!$B$34))/Presion_cilindro!$B$35)^(Presion_cilindro!$B$17+1)),0)-IF(Presion_cilindro!N77&gt;(-B$4+Presion_cilindro!$B$34),1-EXP(-Presion_cilindro!$B$16*((Presion_cilindro!N77-(-B$4+Presion_cilindro!$B$34))/Presion_cilindro!$B$35)^(Presion_cilindro!$B$17+1)),0))/((Presion_cilindro!O77+Presion_cilindro!O78)/2)</f>
        <v>0.7897445721897185</v>
      </c>
      <c r="C86" s="27">
        <f>C85*(Presion_cilindro!O77/Presion_cilindro!O78)^Presion_cilindro!$B$9+10*(Presion_cilindro!$B$9-1)*Presion_cilindro!$B$33*(IF(Presion_cilindro!N78&gt;(-C$4+Presion_cilindro!$B$34),1-EXP(-Presion_cilindro!$B$16*((Presion_cilindro!N78-(-C$4+Presion_cilindro!$B$34))/Presion_cilindro!$B$35)^(Presion_cilindro!$B$17+1)),0)-IF(Presion_cilindro!N77&gt;(-C$4+Presion_cilindro!$B$34),1-EXP(-Presion_cilindro!$B$16*((Presion_cilindro!N77-(-C$4+Presion_cilindro!$B$34))/Presion_cilindro!$B$35)^(Presion_cilindro!$B$17+1)),0))/((Presion_cilindro!O77+Presion_cilindro!O78)/2)</f>
        <v>0.7897445721897185</v>
      </c>
      <c r="D86" s="27">
        <f>D85*(Presion_cilindro!O77/Presion_cilindro!O78)^Presion_cilindro!$B$9+10*(Presion_cilindro!$B$9-1)*Presion_cilindro!$B$33*(IF(Presion_cilindro!N78&gt;(-D$4+Presion_cilindro!$B$34),1-EXP(-Presion_cilindro!$B$16*((Presion_cilindro!N78-(-D$4+Presion_cilindro!$B$34))/Presion_cilindro!$B$35)^(Presion_cilindro!$B$17+1)),0)-IF(Presion_cilindro!N77&gt;(-D$4+Presion_cilindro!$B$34),1-EXP(-Presion_cilindro!$B$16*((Presion_cilindro!N77-(-D$4+Presion_cilindro!$B$34))/Presion_cilindro!$B$35)^(Presion_cilindro!$B$17+1)),0))/((Presion_cilindro!O77+Presion_cilindro!O78)/2)</f>
        <v>0.7897445721897185</v>
      </c>
      <c r="E86" s="27">
        <f>E85*(Presion_cilindro!O77/Presion_cilindro!O78)^Presion_cilindro!$B$9+10*(Presion_cilindro!$B$9-1)*Presion_cilindro!$B$33*(IF(Presion_cilindro!N78&gt;(-E$4+Presion_cilindro!$B$34),1-EXP(-Presion_cilindro!$B$16*((Presion_cilindro!N78-(-E$4+Presion_cilindro!$B$34))/Presion_cilindro!$B$35)^(Presion_cilindro!$B$17+1)),0)-IF(Presion_cilindro!N77&gt;(-E$4+Presion_cilindro!$B$34),1-EXP(-Presion_cilindro!$B$16*((Presion_cilindro!N77-(-E$4+Presion_cilindro!$B$34))/Presion_cilindro!$B$35)^(Presion_cilindro!$B$17+1)),0))/((Presion_cilindro!O77+Presion_cilindro!O78)/2)</f>
        <v>0.7897445721897185</v>
      </c>
      <c r="F86" s="27">
        <f>F85*(Presion_cilindro!O77/Presion_cilindro!O78)^Presion_cilindro!$B$9+10*(Presion_cilindro!$B$9-1)*Presion_cilindro!$B$33*(IF(Presion_cilindro!N78&gt;(-F$4+Presion_cilindro!$B$34),1-EXP(-Presion_cilindro!$B$16*((Presion_cilindro!N78-(-F$4+Presion_cilindro!$B$34))/Presion_cilindro!$B$35)^(Presion_cilindro!$B$17+1)),0)-IF(Presion_cilindro!N77&gt;(-F$4+Presion_cilindro!$B$34),1-EXP(-Presion_cilindro!$B$16*((Presion_cilindro!N77-(-F$4+Presion_cilindro!$B$34))/Presion_cilindro!$B$35)^(Presion_cilindro!$B$17+1)),0))/((Presion_cilindro!O77+Presion_cilindro!O78)/2)</f>
        <v>0.7897445721897185</v>
      </c>
      <c r="G86" s="27">
        <f>G85*(Presion_cilindro!O77/Presion_cilindro!O78)^Presion_cilindro!$B$9+10*(Presion_cilindro!$B$9-1)*Presion_cilindro!$B$33*(IF(Presion_cilindro!N78&gt;(-G$4+Presion_cilindro!$B$34),1-EXP(-Presion_cilindro!$B$16*((Presion_cilindro!N78-(-G$4+Presion_cilindro!$B$34))/Presion_cilindro!$B$35)^(Presion_cilindro!$B$17+1)),0)-IF(Presion_cilindro!N77&gt;(-G$4+Presion_cilindro!$B$34),1-EXP(-Presion_cilindro!$B$16*((Presion_cilindro!N77-(-G$4+Presion_cilindro!$B$34))/Presion_cilindro!$B$35)^(Presion_cilindro!$B$17+1)),0))/((Presion_cilindro!O77+Presion_cilindro!O78)/2)</f>
        <v>0.7897445721897185</v>
      </c>
      <c r="H86" s="27">
        <f>H85*(Presion_cilindro!O77/Presion_cilindro!O78)^Presion_cilindro!$B$9+10*(Presion_cilindro!$B$9-1)*Presion_cilindro!$B$33*(IF(Presion_cilindro!N78&gt;(-H$4+Presion_cilindro!$B$34),1-EXP(-Presion_cilindro!$B$16*((Presion_cilindro!N78-(-H$4+Presion_cilindro!$B$34))/Presion_cilindro!$B$35)^(Presion_cilindro!$B$17+1)),0)-IF(Presion_cilindro!N77&gt;(-H$4+Presion_cilindro!$B$34),1-EXP(-Presion_cilindro!$B$16*((Presion_cilindro!N77-(-H$4+Presion_cilindro!$B$34))/Presion_cilindro!$B$35)^(Presion_cilindro!$B$17+1)),0))/((Presion_cilindro!O77+Presion_cilindro!O78)/2)</f>
        <v>0.7897445721897185</v>
      </c>
      <c r="I86" s="27">
        <f>I85*(Presion_cilindro!O77/Presion_cilindro!O78)^Presion_cilindro!$B$9+10*(Presion_cilindro!$B$9-1)*Presion_cilindro!$B$33*(IF(Presion_cilindro!N78&gt;(-I$4+Presion_cilindro!$B$34),1-EXP(-Presion_cilindro!$B$16*((Presion_cilindro!N78-(-I$4+Presion_cilindro!$B$34))/Presion_cilindro!$B$35)^(Presion_cilindro!$B$17+1)),0)-IF(Presion_cilindro!N77&gt;(-I$4+Presion_cilindro!$B$34),1-EXP(-Presion_cilindro!$B$16*((Presion_cilindro!N77-(-I$4+Presion_cilindro!$B$34))/Presion_cilindro!$B$35)^(Presion_cilindro!$B$17+1)),0))/((Presion_cilindro!O77+Presion_cilindro!O78)/2)</f>
        <v>0.7897445721897185</v>
      </c>
      <c r="J86" s="27">
        <f>J85*(Presion_cilindro!O77/Presion_cilindro!O78)^Presion_cilindro!$B$9+10*(Presion_cilindro!$B$9-1)*Presion_cilindro!$B$33*(IF(Presion_cilindro!N78&gt;(-J$4+Presion_cilindro!$B$34),1-EXP(-Presion_cilindro!$B$16*((Presion_cilindro!N78-(-J$4+Presion_cilindro!$B$34))/Presion_cilindro!$B$35)^(Presion_cilindro!$B$17+1)),0)-IF(Presion_cilindro!N77&gt;(-J$4+Presion_cilindro!$B$34),1-EXP(-Presion_cilindro!$B$16*((Presion_cilindro!N77-(-J$4+Presion_cilindro!$B$34))/Presion_cilindro!$B$35)^(Presion_cilindro!$B$17+1)),0))/((Presion_cilindro!O77+Presion_cilindro!O78)/2)</f>
        <v>0.7897445721897185</v>
      </c>
      <c r="K86" s="27">
        <f>K85*(Presion_cilindro!O77/Presion_cilindro!O78)^Presion_cilindro!$B$9+10*(Presion_cilindro!$B$9-1)*Presion_cilindro!$B$33*(IF(Presion_cilindro!N78&gt;(-K$4+Presion_cilindro!$B$34),1-EXP(-Presion_cilindro!$B$16*((Presion_cilindro!N78-(-K$4+Presion_cilindro!$B$34))/Presion_cilindro!$B$35)^(Presion_cilindro!$B$17+1)),0)-IF(Presion_cilindro!N77&gt;(-K$4+Presion_cilindro!$B$34),1-EXP(-Presion_cilindro!$B$16*((Presion_cilindro!N77-(-K$4+Presion_cilindro!$B$34))/Presion_cilindro!$B$35)^(Presion_cilindro!$B$17+1)),0))/((Presion_cilindro!O77+Presion_cilindro!O78)/2)</f>
        <v>0.7897445721897185</v>
      </c>
      <c r="L86" s="27">
        <f>L85*(Presion_cilindro!O77/Presion_cilindro!O78)^Presion_cilindro!$B$9+10*(Presion_cilindro!$B$9-1)*Presion_cilindro!$B$33*(IF(Presion_cilindro!N78&gt;(-L$4+Presion_cilindro!$B$34),1-EXP(-Presion_cilindro!$B$16*((Presion_cilindro!N78-(-L$4+Presion_cilindro!$B$34))/Presion_cilindro!$B$35)^(Presion_cilindro!$B$17+1)),0)-IF(Presion_cilindro!N77&gt;(-L$4+Presion_cilindro!$B$34),1-EXP(-Presion_cilindro!$B$16*((Presion_cilindro!N77-(-L$4+Presion_cilindro!$B$34))/Presion_cilindro!$B$35)^(Presion_cilindro!$B$17+1)),0))/((Presion_cilindro!O77+Presion_cilindro!O78)/2)</f>
        <v>0.7897445721897185</v>
      </c>
      <c r="M86" s="27">
        <f>M85*(Presion_cilindro!O77/Presion_cilindro!O78)^Presion_cilindro!$B$9+10*(Presion_cilindro!$B$9-1)*Presion_cilindro!$B$33*(IF(Presion_cilindro!N78&gt;(-M$4+Presion_cilindro!$B$34),1-EXP(-Presion_cilindro!$B$16*((Presion_cilindro!N78-(-M$4+Presion_cilindro!$B$34))/Presion_cilindro!$B$35)^(Presion_cilindro!$B$17+1)),0)-IF(Presion_cilindro!N77&gt;(-M$4+Presion_cilindro!$B$34),1-EXP(-Presion_cilindro!$B$16*((Presion_cilindro!N77-(-M$4+Presion_cilindro!$B$34))/Presion_cilindro!$B$35)^(Presion_cilindro!$B$17+1)),0))/((Presion_cilindro!O77+Presion_cilindro!O78)/2)</f>
        <v>0.7897445721897185</v>
      </c>
      <c r="N86" s="27">
        <f>N85*(Presion_cilindro!O77/Presion_cilindro!O78)^Presion_cilindro!$B$9+10*(Presion_cilindro!$B$9-1)*Presion_cilindro!$B$33*(IF(Presion_cilindro!N78&gt;(-N$4+Presion_cilindro!$B$34),1-EXP(-Presion_cilindro!$B$16*((Presion_cilindro!N78-(-N$4+Presion_cilindro!$B$34))/Presion_cilindro!$B$35)^(Presion_cilindro!$B$17+1)),0)-IF(Presion_cilindro!N77&gt;(-N$4+Presion_cilindro!$B$34),1-EXP(-Presion_cilindro!$B$16*((Presion_cilindro!N77-(-N$4+Presion_cilindro!$B$34))/Presion_cilindro!$B$35)^(Presion_cilindro!$B$17+1)),0))/((Presion_cilindro!O77+Presion_cilindro!O78)/2)</f>
        <v>0.7897445721897185</v>
      </c>
    </row>
    <row r="87" spans="1:14" x14ac:dyDescent="0.25">
      <c r="A87" s="21">
        <f>Presion_cilindro!N79</f>
        <v>-142.5</v>
      </c>
      <c r="B87" s="27">
        <f>B86*(Presion_cilindro!O78/Presion_cilindro!O79)^Presion_cilindro!$B$9+10*(Presion_cilindro!$B$9-1)*Presion_cilindro!$B$33*(IF(Presion_cilindro!N79&gt;(-B$4+Presion_cilindro!$B$34),1-EXP(-Presion_cilindro!$B$16*((Presion_cilindro!N79-(-B$4+Presion_cilindro!$B$34))/Presion_cilindro!$B$35)^(Presion_cilindro!$B$17+1)),0)-IF(Presion_cilindro!N78&gt;(-B$4+Presion_cilindro!$B$34),1-EXP(-Presion_cilindro!$B$16*((Presion_cilindro!N78-(-B$4+Presion_cilindro!$B$34))/Presion_cilindro!$B$35)^(Presion_cilindro!$B$17+1)),0))/((Presion_cilindro!O78+Presion_cilindro!O79)/2)</f>
        <v>0.79180769968362352</v>
      </c>
      <c r="C87" s="27">
        <f>C86*(Presion_cilindro!O78/Presion_cilindro!O79)^Presion_cilindro!$B$9+10*(Presion_cilindro!$B$9-1)*Presion_cilindro!$B$33*(IF(Presion_cilindro!N79&gt;(-C$4+Presion_cilindro!$B$34),1-EXP(-Presion_cilindro!$B$16*((Presion_cilindro!N79-(-C$4+Presion_cilindro!$B$34))/Presion_cilindro!$B$35)^(Presion_cilindro!$B$17+1)),0)-IF(Presion_cilindro!N78&gt;(-C$4+Presion_cilindro!$B$34),1-EXP(-Presion_cilindro!$B$16*((Presion_cilindro!N78-(-C$4+Presion_cilindro!$B$34))/Presion_cilindro!$B$35)^(Presion_cilindro!$B$17+1)),0))/((Presion_cilindro!O78+Presion_cilindro!O79)/2)</f>
        <v>0.79180769968362352</v>
      </c>
      <c r="D87" s="27">
        <f>D86*(Presion_cilindro!O78/Presion_cilindro!O79)^Presion_cilindro!$B$9+10*(Presion_cilindro!$B$9-1)*Presion_cilindro!$B$33*(IF(Presion_cilindro!N79&gt;(-D$4+Presion_cilindro!$B$34),1-EXP(-Presion_cilindro!$B$16*((Presion_cilindro!N79-(-D$4+Presion_cilindro!$B$34))/Presion_cilindro!$B$35)^(Presion_cilindro!$B$17+1)),0)-IF(Presion_cilindro!N78&gt;(-D$4+Presion_cilindro!$B$34),1-EXP(-Presion_cilindro!$B$16*((Presion_cilindro!N78-(-D$4+Presion_cilindro!$B$34))/Presion_cilindro!$B$35)^(Presion_cilindro!$B$17+1)),0))/((Presion_cilindro!O78+Presion_cilindro!O79)/2)</f>
        <v>0.79180769968362352</v>
      </c>
      <c r="E87" s="27">
        <f>E86*(Presion_cilindro!O78/Presion_cilindro!O79)^Presion_cilindro!$B$9+10*(Presion_cilindro!$B$9-1)*Presion_cilindro!$B$33*(IF(Presion_cilindro!N79&gt;(-E$4+Presion_cilindro!$B$34),1-EXP(-Presion_cilindro!$B$16*((Presion_cilindro!N79-(-E$4+Presion_cilindro!$B$34))/Presion_cilindro!$B$35)^(Presion_cilindro!$B$17+1)),0)-IF(Presion_cilindro!N78&gt;(-E$4+Presion_cilindro!$B$34),1-EXP(-Presion_cilindro!$B$16*((Presion_cilindro!N78-(-E$4+Presion_cilindro!$B$34))/Presion_cilindro!$B$35)^(Presion_cilindro!$B$17+1)),0))/((Presion_cilindro!O78+Presion_cilindro!O79)/2)</f>
        <v>0.79180769968362352</v>
      </c>
      <c r="F87" s="27">
        <f>F86*(Presion_cilindro!O78/Presion_cilindro!O79)^Presion_cilindro!$B$9+10*(Presion_cilindro!$B$9-1)*Presion_cilindro!$B$33*(IF(Presion_cilindro!N79&gt;(-F$4+Presion_cilindro!$B$34),1-EXP(-Presion_cilindro!$B$16*((Presion_cilindro!N79-(-F$4+Presion_cilindro!$B$34))/Presion_cilindro!$B$35)^(Presion_cilindro!$B$17+1)),0)-IF(Presion_cilindro!N78&gt;(-F$4+Presion_cilindro!$B$34),1-EXP(-Presion_cilindro!$B$16*((Presion_cilindro!N78-(-F$4+Presion_cilindro!$B$34))/Presion_cilindro!$B$35)^(Presion_cilindro!$B$17+1)),0))/((Presion_cilindro!O78+Presion_cilindro!O79)/2)</f>
        <v>0.79180769968362352</v>
      </c>
      <c r="G87" s="27">
        <f>G86*(Presion_cilindro!O78/Presion_cilindro!O79)^Presion_cilindro!$B$9+10*(Presion_cilindro!$B$9-1)*Presion_cilindro!$B$33*(IF(Presion_cilindro!N79&gt;(-G$4+Presion_cilindro!$B$34),1-EXP(-Presion_cilindro!$B$16*((Presion_cilindro!N79-(-G$4+Presion_cilindro!$B$34))/Presion_cilindro!$B$35)^(Presion_cilindro!$B$17+1)),0)-IF(Presion_cilindro!N78&gt;(-G$4+Presion_cilindro!$B$34),1-EXP(-Presion_cilindro!$B$16*((Presion_cilindro!N78-(-G$4+Presion_cilindro!$B$34))/Presion_cilindro!$B$35)^(Presion_cilindro!$B$17+1)),0))/((Presion_cilindro!O78+Presion_cilindro!O79)/2)</f>
        <v>0.79180769968362352</v>
      </c>
      <c r="H87" s="27">
        <f>H86*(Presion_cilindro!O78/Presion_cilindro!O79)^Presion_cilindro!$B$9+10*(Presion_cilindro!$B$9-1)*Presion_cilindro!$B$33*(IF(Presion_cilindro!N79&gt;(-H$4+Presion_cilindro!$B$34),1-EXP(-Presion_cilindro!$B$16*((Presion_cilindro!N79-(-H$4+Presion_cilindro!$B$34))/Presion_cilindro!$B$35)^(Presion_cilindro!$B$17+1)),0)-IF(Presion_cilindro!N78&gt;(-H$4+Presion_cilindro!$B$34),1-EXP(-Presion_cilindro!$B$16*((Presion_cilindro!N78-(-H$4+Presion_cilindro!$B$34))/Presion_cilindro!$B$35)^(Presion_cilindro!$B$17+1)),0))/((Presion_cilindro!O78+Presion_cilindro!O79)/2)</f>
        <v>0.79180769968362352</v>
      </c>
      <c r="I87" s="27">
        <f>I86*(Presion_cilindro!O78/Presion_cilindro!O79)^Presion_cilindro!$B$9+10*(Presion_cilindro!$B$9-1)*Presion_cilindro!$B$33*(IF(Presion_cilindro!N79&gt;(-I$4+Presion_cilindro!$B$34),1-EXP(-Presion_cilindro!$B$16*((Presion_cilindro!N79-(-I$4+Presion_cilindro!$B$34))/Presion_cilindro!$B$35)^(Presion_cilindro!$B$17+1)),0)-IF(Presion_cilindro!N78&gt;(-I$4+Presion_cilindro!$B$34),1-EXP(-Presion_cilindro!$B$16*((Presion_cilindro!N78-(-I$4+Presion_cilindro!$B$34))/Presion_cilindro!$B$35)^(Presion_cilindro!$B$17+1)),0))/((Presion_cilindro!O78+Presion_cilindro!O79)/2)</f>
        <v>0.79180769968362352</v>
      </c>
      <c r="J87" s="27">
        <f>J86*(Presion_cilindro!O78/Presion_cilindro!O79)^Presion_cilindro!$B$9+10*(Presion_cilindro!$B$9-1)*Presion_cilindro!$B$33*(IF(Presion_cilindro!N79&gt;(-J$4+Presion_cilindro!$B$34),1-EXP(-Presion_cilindro!$B$16*((Presion_cilindro!N79-(-J$4+Presion_cilindro!$B$34))/Presion_cilindro!$B$35)^(Presion_cilindro!$B$17+1)),0)-IF(Presion_cilindro!N78&gt;(-J$4+Presion_cilindro!$B$34),1-EXP(-Presion_cilindro!$B$16*((Presion_cilindro!N78-(-J$4+Presion_cilindro!$B$34))/Presion_cilindro!$B$35)^(Presion_cilindro!$B$17+1)),0))/((Presion_cilindro!O78+Presion_cilindro!O79)/2)</f>
        <v>0.79180769968362352</v>
      </c>
      <c r="K87" s="27">
        <f>K86*(Presion_cilindro!O78/Presion_cilindro!O79)^Presion_cilindro!$B$9+10*(Presion_cilindro!$B$9-1)*Presion_cilindro!$B$33*(IF(Presion_cilindro!N79&gt;(-K$4+Presion_cilindro!$B$34),1-EXP(-Presion_cilindro!$B$16*((Presion_cilindro!N79-(-K$4+Presion_cilindro!$B$34))/Presion_cilindro!$B$35)^(Presion_cilindro!$B$17+1)),0)-IF(Presion_cilindro!N78&gt;(-K$4+Presion_cilindro!$B$34),1-EXP(-Presion_cilindro!$B$16*((Presion_cilindro!N78-(-K$4+Presion_cilindro!$B$34))/Presion_cilindro!$B$35)^(Presion_cilindro!$B$17+1)),0))/((Presion_cilindro!O78+Presion_cilindro!O79)/2)</f>
        <v>0.79180769968362352</v>
      </c>
      <c r="L87" s="27">
        <f>L86*(Presion_cilindro!O78/Presion_cilindro!O79)^Presion_cilindro!$B$9+10*(Presion_cilindro!$B$9-1)*Presion_cilindro!$B$33*(IF(Presion_cilindro!N79&gt;(-L$4+Presion_cilindro!$B$34),1-EXP(-Presion_cilindro!$B$16*((Presion_cilindro!N79-(-L$4+Presion_cilindro!$B$34))/Presion_cilindro!$B$35)^(Presion_cilindro!$B$17+1)),0)-IF(Presion_cilindro!N78&gt;(-L$4+Presion_cilindro!$B$34),1-EXP(-Presion_cilindro!$B$16*((Presion_cilindro!N78-(-L$4+Presion_cilindro!$B$34))/Presion_cilindro!$B$35)^(Presion_cilindro!$B$17+1)),0))/((Presion_cilindro!O78+Presion_cilindro!O79)/2)</f>
        <v>0.79180769968362352</v>
      </c>
      <c r="M87" s="27">
        <f>M86*(Presion_cilindro!O78/Presion_cilindro!O79)^Presion_cilindro!$B$9+10*(Presion_cilindro!$B$9-1)*Presion_cilindro!$B$33*(IF(Presion_cilindro!N79&gt;(-M$4+Presion_cilindro!$B$34),1-EXP(-Presion_cilindro!$B$16*((Presion_cilindro!N79-(-M$4+Presion_cilindro!$B$34))/Presion_cilindro!$B$35)^(Presion_cilindro!$B$17+1)),0)-IF(Presion_cilindro!N78&gt;(-M$4+Presion_cilindro!$B$34),1-EXP(-Presion_cilindro!$B$16*((Presion_cilindro!N78-(-M$4+Presion_cilindro!$B$34))/Presion_cilindro!$B$35)^(Presion_cilindro!$B$17+1)),0))/((Presion_cilindro!O78+Presion_cilindro!O79)/2)</f>
        <v>0.79180769968362352</v>
      </c>
      <c r="N87" s="27">
        <f>N86*(Presion_cilindro!O78/Presion_cilindro!O79)^Presion_cilindro!$B$9+10*(Presion_cilindro!$B$9-1)*Presion_cilindro!$B$33*(IF(Presion_cilindro!N79&gt;(-N$4+Presion_cilindro!$B$34),1-EXP(-Presion_cilindro!$B$16*((Presion_cilindro!N79-(-N$4+Presion_cilindro!$B$34))/Presion_cilindro!$B$35)^(Presion_cilindro!$B$17+1)),0)-IF(Presion_cilindro!N78&gt;(-N$4+Presion_cilindro!$B$34),1-EXP(-Presion_cilindro!$B$16*((Presion_cilindro!N78-(-N$4+Presion_cilindro!$B$34))/Presion_cilindro!$B$35)^(Presion_cilindro!$B$17+1)),0))/((Presion_cilindro!O78+Presion_cilindro!O79)/2)</f>
        <v>0.79180769968362352</v>
      </c>
    </row>
    <row r="88" spans="1:14" x14ac:dyDescent="0.25">
      <c r="A88" s="21">
        <f>Presion_cilindro!N80</f>
        <v>-142</v>
      </c>
      <c r="B88" s="27">
        <f>B87*(Presion_cilindro!O79/Presion_cilindro!O80)^Presion_cilindro!$B$9+10*(Presion_cilindro!$B$9-1)*Presion_cilindro!$B$33*(IF(Presion_cilindro!N80&gt;(-B$4+Presion_cilindro!$B$34),1-EXP(-Presion_cilindro!$B$16*((Presion_cilindro!N80-(-B$4+Presion_cilindro!$B$34))/Presion_cilindro!$B$35)^(Presion_cilindro!$B$17+1)),0)-IF(Presion_cilindro!N79&gt;(-B$4+Presion_cilindro!$B$34),1-EXP(-Presion_cilindro!$B$16*((Presion_cilindro!N79-(-B$4+Presion_cilindro!$B$34))/Presion_cilindro!$B$35)^(Presion_cilindro!$B$17+1)),0))/((Presion_cilindro!O79+Presion_cilindro!O80)/2)</f>
        <v>0.7939080367926391</v>
      </c>
      <c r="C88" s="27">
        <f>C87*(Presion_cilindro!O79/Presion_cilindro!O80)^Presion_cilindro!$B$9+10*(Presion_cilindro!$B$9-1)*Presion_cilindro!$B$33*(IF(Presion_cilindro!N80&gt;(-C$4+Presion_cilindro!$B$34),1-EXP(-Presion_cilindro!$B$16*((Presion_cilindro!N80-(-C$4+Presion_cilindro!$B$34))/Presion_cilindro!$B$35)^(Presion_cilindro!$B$17+1)),0)-IF(Presion_cilindro!N79&gt;(-C$4+Presion_cilindro!$B$34),1-EXP(-Presion_cilindro!$B$16*((Presion_cilindro!N79-(-C$4+Presion_cilindro!$B$34))/Presion_cilindro!$B$35)^(Presion_cilindro!$B$17+1)),0))/((Presion_cilindro!O79+Presion_cilindro!O80)/2)</f>
        <v>0.7939080367926391</v>
      </c>
      <c r="D88" s="27">
        <f>D87*(Presion_cilindro!O79/Presion_cilindro!O80)^Presion_cilindro!$B$9+10*(Presion_cilindro!$B$9-1)*Presion_cilindro!$B$33*(IF(Presion_cilindro!N80&gt;(-D$4+Presion_cilindro!$B$34),1-EXP(-Presion_cilindro!$B$16*((Presion_cilindro!N80-(-D$4+Presion_cilindro!$B$34))/Presion_cilindro!$B$35)^(Presion_cilindro!$B$17+1)),0)-IF(Presion_cilindro!N79&gt;(-D$4+Presion_cilindro!$B$34),1-EXP(-Presion_cilindro!$B$16*((Presion_cilindro!N79-(-D$4+Presion_cilindro!$B$34))/Presion_cilindro!$B$35)^(Presion_cilindro!$B$17+1)),0))/((Presion_cilindro!O79+Presion_cilindro!O80)/2)</f>
        <v>0.7939080367926391</v>
      </c>
      <c r="E88" s="27">
        <f>E87*(Presion_cilindro!O79/Presion_cilindro!O80)^Presion_cilindro!$B$9+10*(Presion_cilindro!$B$9-1)*Presion_cilindro!$B$33*(IF(Presion_cilindro!N80&gt;(-E$4+Presion_cilindro!$B$34),1-EXP(-Presion_cilindro!$B$16*((Presion_cilindro!N80-(-E$4+Presion_cilindro!$B$34))/Presion_cilindro!$B$35)^(Presion_cilindro!$B$17+1)),0)-IF(Presion_cilindro!N79&gt;(-E$4+Presion_cilindro!$B$34),1-EXP(-Presion_cilindro!$B$16*((Presion_cilindro!N79-(-E$4+Presion_cilindro!$B$34))/Presion_cilindro!$B$35)^(Presion_cilindro!$B$17+1)),0))/((Presion_cilindro!O79+Presion_cilindro!O80)/2)</f>
        <v>0.7939080367926391</v>
      </c>
      <c r="F88" s="27">
        <f>F87*(Presion_cilindro!O79/Presion_cilindro!O80)^Presion_cilindro!$B$9+10*(Presion_cilindro!$B$9-1)*Presion_cilindro!$B$33*(IF(Presion_cilindro!N80&gt;(-F$4+Presion_cilindro!$B$34),1-EXP(-Presion_cilindro!$B$16*((Presion_cilindro!N80-(-F$4+Presion_cilindro!$B$34))/Presion_cilindro!$B$35)^(Presion_cilindro!$B$17+1)),0)-IF(Presion_cilindro!N79&gt;(-F$4+Presion_cilindro!$B$34),1-EXP(-Presion_cilindro!$B$16*((Presion_cilindro!N79-(-F$4+Presion_cilindro!$B$34))/Presion_cilindro!$B$35)^(Presion_cilindro!$B$17+1)),0))/((Presion_cilindro!O79+Presion_cilindro!O80)/2)</f>
        <v>0.7939080367926391</v>
      </c>
      <c r="G88" s="27">
        <f>G87*(Presion_cilindro!O79/Presion_cilindro!O80)^Presion_cilindro!$B$9+10*(Presion_cilindro!$B$9-1)*Presion_cilindro!$B$33*(IF(Presion_cilindro!N80&gt;(-G$4+Presion_cilindro!$B$34),1-EXP(-Presion_cilindro!$B$16*((Presion_cilindro!N80-(-G$4+Presion_cilindro!$B$34))/Presion_cilindro!$B$35)^(Presion_cilindro!$B$17+1)),0)-IF(Presion_cilindro!N79&gt;(-G$4+Presion_cilindro!$B$34),1-EXP(-Presion_cilindro!$B$16*((Presion_cilindro!N79-(-G$4+Presion_cilindro!$B$34))/Presion_cilindro!$B$35)^(Presion_cilindro!$B$17+1)),0))/((Presion_cilindro!O79+Presion_cilindro!O80)/2)</f>
        <v>0.7939080367926391</v>
      </c>
      <c r="H88" s="27">
        <f>H87*(Presion_cilindro!O79/Presion_cilindro!O80)^Presion_cilindro!$B$9+10*(Presion_cilindro!$B$9-1)*Presion_cilindro!$B$33*(IF(Presion_cilindro!N80&gt;(-H$4+Presion_cilindro!$B$34),1-EXP(-Presion_cilindro!$B$16*((Presion_cilindro!N80-(-H$4+Presion_cilindro!$B$34))/Presion_cilindro!$B$35)^(Presion_cilindro!$B$17+1)),0)-IF(Presion_cilindro!N79&gt;(-H$4+Presion_cilindro!$B$34),1-EXP(-Presion_cilindro!$B$16*((Presion_cilindro!N79-(-H$4+Presion_cilindro!$B$34))/Presion_cilindro!$B$35)^(Presion_cilindro!$B$17+1)),0))/((Presion_cilindro!O79+Presion_cilindro!O80)/2)</f>
        <v>0.7939080367926391</v>
      </c>
      <c r="I88" s="27">
        <f>I87*(Presion_cilindro!O79/Presion_cilindro!O80)^Presion_cilindro!$B$9+10*(Presion_cilindro!$B$9-1)*Presion_cilindro!$B$33*(IF(Presion_cilindro!N80&gt;(-I$4+Presion_cilindro!$B$34),1-EXP(-Presion_cilindro!$B$16*((Presion_cilindro!N80-(-I$4+Presion_cilindro!$B$34))/Presion_cilindro!$B$35)^(Presion_cilindro!$B$17+1)),0)-IF(Presion_cilindro!N79&gt;(-I$4+Presion_cilindro!$B$34),1-EXP(-Presion_cilindro!$B$16*((Presion_cilindro!N79-(-I$4+Presion_cilindro!$B$34))/Presion_cilindro!$B$35)^(Presion_cilindro!$B$17+1)),0))/((Presion_cilindro!O79+Presion_cilindro!O80)/2)</f>
        <v>0.7939080367926391</v>
      </c>
      <c r="J88" s="27">
        <f>J87*(Presion_cilindro!O79/Presion_cilindro!O80)^Presion_cilindro!$B$9+10*(Presion_cilindro!$B$9-1)*Presion_cilindro!$B$33*(IF(Presion_cilindro!N80&gt;(-J$4+Presion_cilindro!$B$34),1-EXP(-Presion_cilindro!$B$16*((Presion_cilindro!N80-(-J$4+Presion_cilindro!$B$34))/Presion_cilindro!$B$35)^(Presion_cilindro!$B$17+1)),0)-IF(Presion_cilindro!N79&gt;(-J$4+Presion_cilindro!$B$34),1-EXP(-Presion_cilindro!$B$16*((Presion_cilindro!N79-(-J$4+Presion_cilindro!$B$34))/Presion_cilindro!$B$35)^(Presion_cilindro!$B$17+1)),0))/((Presion_cilindro!O79+Presion_cilindro!O80)/2)</f>
        <v>0.7939080367926391</v>
      </c>
      <c r="K88" s="27">
        <f>K87*(Presion_cilindro!O79/Presion_cilindro!O80)^Presion_cilindro!$B$9+10*(Presion_cilindro!$B$9-1)*Presion_cilindro!$B$33*(IF(Presion_cilindro!N80&gt;(-K$4+Presion_cilindro!$B$34),1-EXP(-Presion_cilindro!$B$16*((Presion_cilindro!N80-(-K$4+Presion_cilindro!$B$34))/Presion_cilindro!$B$35)^(Presion_cilindro!$B$17+1)),0)-IF(Presion_cilindro!N79&gt;(-K$4+Presion_cilindro!$B$34),1-EXP(-Presion_cilindro!$B$16*((Presion_cilindro!N79-(-K$4+Presion_cilindro!$B$34))/Presion_cilindro!$B$35)^(Presion_cilindro!$B$17+1)),0))/((Presion_cilindro!O79+Presion_cilindro!O80)/2)</f>
        <v>0.7939080367926391</v>
      </c>
      <c r="L88" s="27">
        <f>L87*(Presion_cilindro!O79/Presion_cilindro!O80)^Presion_cilindro!$B$9+10*(Presion_cilindro!$B$9-1)*Presion_cilindro!$B$33*(IF(Presion_cilindro!N80&gt;(-L$4+Presion_cilindro!$B$34),1-EXP(-Presion_cilindro!$B$16*((Presion_cilindro!N80-(-L$4+Presion_cilindro!$B$34))/Presion_cilindro!$B$35)^(Presion_cilindro!$B$17+1)),0)-IF(Presion_cilindro!N79&gt;(-L$4+Presion_cilindro!$B$34),1-EXP(-Presion_cilindro!$B$16*((Presion_cilindro!N79-(-L$4+Presion_cilindro!$B$34))/Presion_cilindro!$B$35)^(Presion_cilindro!$B$17+1)),0))/((Presion_cilindro!O79+Presion_cilindro!O80)/2)</f>
        <v>0.7939080367926391</v>
      </c>
      <c r="M88" s="27">
        <f>M87*(Presion_cilindro!O79/Presion_cilindro!O80)^Presion_cilindro!$B$9+10*(Presion_cilindro!$B$9-1)*Presion_cilindro!$B$33*(IF(Presion_cilindro!N80&gt;(-M$4+Presion_cilindro!$B$34),1-EXP(-Presion_cilindro!$B$16*((Presion_cilindro!N80-(-M$4+Presion_cilindro!$B$34))/Presion_cilindro!$B$35)^(Presion_cilindro!$B$17+1)),0)-IF(Presion_cilindro!N79&gt;(-M$4+Presion_cilindro!$B$34),1-EXP(-Presion_cilindro!$B$16*((Presion_cilindro!N79-(-M$4+Presion_cilindro!$B$34))/Presion_cilindro!$B$35)^(Presion_cilindro!$B$17+1)),0))/((Presion_cilindro!O79+Presion_cilindro!O80)/2)</f>
        <v>0.7939080367926391</v>
      </c>
      <c r="N88" s="27">
        <f>N87*(Presion_cilindro!O79/Presion_cilindro!O80)^Presion_cilindro!$B$9+10*(Presion_cilindro!$B$9-1)*Presion_cilindro!$B$33*(IF(Presion_cilindro!N80&gt;(-N$4+Presion_cilindro!$B$34),1-EXP(-Presion_cilindro!$B$16*((Presion_cilindro!N80-(-N$4+Presion_cilindro!$B$34))/Presion_cilindro!$B$35)^(Presion_cilindro!$B$17+1)),0)-IF(Presion_cilindro!N79&gt;(-N$4+Presion_cilindro!$B$34),1-EXP(-Presion_cilindro!$B$16*((Presion_cilindro!N79-(-N$4+Presion_cilindro!$B$34))/Presion_cilindro!$B$35)^(Presion_cilindro!$B$17+1)),0))/((Presion_cilindro!O79+Presion_cilindro!O80)/2)</f>
        <v>0.7939080367926391</v>
      </c>
    </row>
    <row r="89" spans="1:14" x14ac:dyDescent="0.25">
      <c r="A89" s="21">
        <f>Presion_cilindro!N81</f>
        <v>-141.5</v>
      </c>
      <c r="B89" s="27">
        <f>B88*(Presion_cilindro!O80/Presion_cilindro!O81)^Presion_cilindro!$B$9+10*(Presion_cilindro!$B$9-1)*Presion_cilindro!$B$33*(IF(Presion_cilindro!N81&gt;(-B$4+Presion_cilindro!$B$34),1-EXP(-Presion_cilindro!$B$16*((Presion_cilindro!N81-(-B$4+Presion_cilindro!$B$34))/Presion_cilindro!$B$35)^(Presion_cilindro!$B$17+1)),0)-IF(Presion_cilindro!N80&gt;(-B$4+Presion_cilindro!$B$34),1-EXP(-Presion_cilindro!$B$16*((Presion_cilindro!N80-(-B$4+Presion_cilindro!$B$34))/Presion_cilindro!$B$35)^(Presion_cilindro!$B$17+1)),0))/((Presion_cilindro!O80+Presion_cilindro!O81)/2)</f>
        <v>0.7960460131831657</v>
      </c>
      <c r="C89" s="27">
        <f>C88*(Presion_cilindro!O80/Presion_cilindro!O81)^Presion_cilindro!$B$9+10*(Presion_cilindro!$B$9-1)*Presion_cilindro!$B$33*(IF(Presion_cilindro!N81&gt;(-C$4+Presion_cilindro!$B$34),1-EXP(-Presion_cilindro!$B$16*((Presion_cilindro!N81-(-C$4+Presion_cilindro!$B$34))/Presion_cilindro!$B$35)^(Presion_cilindro!$B$17+1)),0)-IF(Presion_cilindro!N80&gt;(-C$4+Presion_cilindro!$B$34),1-EXP(-Presion_cilindro!$B$16*((Presion_cilindro!N80-(-C$4+Presion_cilindro!$B$34))/Presion_cilindro!$B$35)^(Presion_cilindro!$B$17+1)),0))/((Presion_cilindro!O80+Presion_cilindro!O81)/2)</f>
        <v>0.7960460131831657</v>
      </c>
      <c r="D89" s="27">
        <f>D88*(Presion_cilindro!O80/Presion_cilindro!O81)^Presion_cilindro!$B$9+10*(Presion_cilindro!$B$9-1)*Presion_cilindro!$B$33*(IF(Presion_cilindro!N81&gt;(-D$4+Presion_cilindro!$B$34),1-EXP(-Presion_cilindro!$B$16*((Presion_cilindro!N81-(-D$4+Presion_cilindro!$B$34))/Presion_cilindro!$B$35)^(Presion_cilindro!$B$17+1)),0)-IF(Presion_cilindro!N80&gt;(-D$4+Presion_cilindro!$B$34),1-EXP(-Presion_cilindro!$B$16*((Presion_cilindro!N80-(-D$4+Presion_cilindro!$B$34))/Presion_cilindro!$B$35)^(Presion_cilindro!$B$17+1)),0))/((Presion_cilindro!O80+Presion_cilindro!O81)/2)</f>
        <v>0.7960460131831657</v>
      </c>
      <c r="E89" s="27">
        <f>E88*(Presion_cilindro!O80/Presion_cilindro!O81)^Presion_cilindro!$B$9+10*(Presion_cilindro!$B$9-1)*Presion_cilindro!$B$33*(IF(Presion_cilindro!N81&gt;(-E$4+Presion_cilindro!$B$34),1-EXP(-Presion_cilindro!$B$16*((Presion_cilindro!N81-(-E$4+Presion_cilindro!$B$34))/Presion_cilindro!$B$35)^(Presion_cilindro!$B$17+1)),0)-IF(Presion_cilindro!N80&gt;(-E$4+Presion_cilindro!$B$34),1-EXP(-Presion_cilindro!$B$16*((Presion_cilindro!N80-(-E$4+Presion_cilindro!$B$34))/Presion_cilindro!$B$35)^(Presion_cilindro!$B$17+1)),0))/((Presion_cilindro!O80+Presion_cilindro!O81)/2)</f>
        <v>0.7960460131831657</v>
      </c>
      <c r="F89" s="27">
        <f>F88*(Presion_cilindro!O80/Presion_cilindro!O81)^Presion_cilindro!$B$9+10*(Presion_cilindro!$B$9-1)*Presion_cilindro!$B$33*(IF(Presion_cilindro!N81&gt;(-F$4+Presion_cilindro!$B$34),1-EXP(-Presion_cilindro!$B$16*((Presion_cilindro!N81-(-F$4+Presion_cilindro!$B$34))/Presion_cilindro!$B$35)^(Presion_cilindro!$B$17+1)),0)-IF(Presion_cilindro!N80&gt;(-F$4+Presion_cilindro!$B$34),1-EXP(-Presion_cilindro!$B$16*((Presion_cilindro!N80-(-F$4+Presion_cilindro!$B$34))/Presion_cilindro!$B$35)^(Presion_cilindro!$B$17+1)),0))/((Presion_cilindro!O80+Presion_cilindro!O81)/2)</f>
        <v>0.7960460131831657</v>
      </c>
      <c r="G89" s="27">
        <f>G88*(Presion_cilindro!O80/Presion_cilindro!O81)^Presion_cilindro!$B$9+10*(Presion_cilindro!$B$9-1)*Presion_cilindro!$B$33*(IF(Presion_cilindro!N81&gt;(-G$4+Presion_cilindro!$B$34),1-EXP(-Presion_cilindro!$B$16*((Presion_cilindro!N81-(-G$4+Presion_cilindro!$B$34))/Presion_cilindro!$B$35)^(Presion_cilindro!$B$17+1)),0)-IF(Presion_cilindro!N80&gt;(-G$4+Presion_cilindro!$B$34),1-EXP(-Presion_cilindro!$B$16*((Presion_cilindro!N80-(-G$4+Presion_cilindro!$B$34))/Presion_cilindro!$B$35)^(Presion_cilindro!$B$17+1)),0))/((Presion_cilindro!O80+Presion_cilindro!O81)/2)</f>
        <v>0.7960460131831657</v>
      </c>
      <c r="H89" s="27">
        <f>H88*(Presion_cilindro!O80/Presion_cilindro!O81)^Presion_cilindro!$B$9+10*(Presion_cilindro!$B$9-1)*Presion_cilindro!$B$33*(IF(Presion_cilindro!N81&gt;(-H$4+Presion_cilindro!$B$34),1-EXP(-Presion_cilindro!$B$16*((Presion_cilindro!N81-(-H$4+Presion_cilindro!$B$34))/Presion_cilindro!$B$35)^(Presion_cilindro!$B$17+1)),0)-IF(Presion_cilindro!N80&gt;(-H$4+Presion_cilindro!$B$34),1-EXP(-Presion_cilindro!$B$16*((Presion_cilindro!N80-(-H$4+Presion_cilindro!$B$34))/Presion_cilindro!$B$35)^(Presion_cilindro!$B$17+1)),0))/((Presion_cilindro!O80+Presion_cilindro!O81)/2)</f>
        <v>0.7960460131831657</v>
      </c>
      <c r="I89" s="27">
        <f>I88*(Presion_cilindro!O80/Presion_cilindro!O81)^Presion_cilindro!$B$9+10*(Presion_cilindro!$B$9-1)*Presion_cilindro!$B$33*(IF(Presion_cilindro!N81&gt;(-I$4+Presion_cilindro!$B$34),1-EXP(-Presion_cilindro!$B$16*((Presion_cilindro!N81-(-I$4+Presion_cilindro!$B$34))/Presion_cilindro!$B$35)^(Presion_cilindro!$B$17+1)),0)-IF(Presion_cilindro!N80&gt;(-I$4+Presion_cilindro!$B$34),1-EXP(-Presion_cilindro!$B$16*((Presion_cilindro!N80-(-I$4+Presion_cilindro!$B$34))/Presion_cilindro!$B$35)^(Presion_cilindro!$B$17+1)),0))/((Presion_cilindro!O80+Presion_cilindro!O81)/2)</f>
        <v>0.7960460131831657</v>
      </c>
      <c r="J89" s="27">
        <f>J88*(Presion_cilindro!O80/Presion_cilindro!O81)^Presion_cilindro!$B$9+10*(Presion_cilindro!$B$9-1)*Presion_cilindro!$B$33*(IF(Presion_cilindro!N81&gt;(-J$4+Presion_cilindro!$B$34),1-EXP(-Presion_cilindro!$B$16*((Presion_cilindro!N81-(-J$4+Presion_cilindro!$B$34))/Presion_cilindro!$B$35)^(Presion_cilindro!$B$17+1)),0)-IF(Presion_cilindro!N80&gt;(-J$4+Presion_cilindro!$B$34),1-EXP(-Presion_cilindro!$B$16*((Presion_cilindro!N80-(-J$4+Presion_cilindro!$B$34))/Presion_cilindro!$B$35)^(Presion_cilindro!$B$17+1)),0))/((Presion_cilindro!O80+Presion_cilindro!O81)/2)</f>
        <v>0.7960460131831657</v>
      </c>
      <c r="K89" s="27">
        <f>K88*(Presion_cilindro!O80/Presion_cilindro!O81)^Presion_cilindro!$B$9+10*(Presion_cilindro!$B$9-1)*Presion_cilindro!$B$33*(IF(Presion_cilindro!N81&gt;(-K$4+Presion_cilindro!$B$34),1-EXP(-Presion_cilindro!$B$16*((Presion_cilindro!N81-(-K$4+Presion_cilindro!$B$34))/Presion_cilindro!$B$35)^(Presion_cilindro!$B$17+1)),0)-IF(Presion_cilindro!N80&gt;(-K$4+Presion_cilindro!$B$34),1-EXP(-Presion_cilindro!$B$16*((Presion_cilindro!N80-(-K$4+Presion_cilindro!$B$34))/Presion_cilindro!$B$35)^(Presion_cilindro!$B$17+1)),0))/((Presion_cilindro!O80+Presion_cilindro!O81)/2)</f>
        <v>0.7960460131831657</v>
      </c>
      <c r="L89" s="27">
        <f>L88*(Presion_cilindro!O80/Presion_cilindro!O81)^Presion_cilindro!$B$9+10*(Presion_cilindro!$B$9-1)*Presion_cilindro!$B$33*(IF(Presion_cilindro!N81&gt;(-L$4+Presion_cilindro!$B$34),1-EXP(-Presion_cilindro!$B$16*((Presion_cilindro!N81-(-L$4+Presion_cilindro!$B$34))/Presion_cilindro!$B$35)^(Presion_cilindro!$B$17+1)),0)-IF(Presion_cilindro!N80&gt;(-L$4+Presion_cilindro!$B$34),1-EXP(-Presion_cilindro!$B$16*((Presion_cilindro!N80-(-L$4+Presion_cilindro!$B$34))/Presion_cilindro!$B$35)^(Presion_cilindro!$B$17+1)),0))/((Presion_cilindro!O80+Presion_cilindro!O81)/2)</f>
        <v>0.7960460131831657</v>
      </c>
      <c r="M89" s="27">
        <f>M88*(Presion_cilindro!O80/Presion_cilindro!O81)^Presion_cilindro!$B$9+10*(Presion_cilindro!$B$9-1)*Presion_cilindro!$B$33*(IF(Presion_cilindro!N81&gt;(-M$4+Presion_cilindro!$B$34),1-EXP(-Presion_cilindro!$B$16*((Presion_cilindro!N81-(-M$4+Presion_cilindro!$B$34))/Presion_cilindro!$B$35)^(Presion_cilindro!$B$17+1)),0)-IF(Presion_cilindro!N80&gt;(-M$4+Presion_cilindro!$B$34),1-EXP(-Presion_cilindro!$B$16*((Presion_cilindro!N80-(-M$4+Presion_cilindro!$B$34))/Presion_cilindro!$B$35)^(Presion_cilindro!$B$17+1)),0))/((Presion_cilindro!O80+Presion_cilindro!O81)/2)</f>
        <v>0.7960460131831657</v>
      </c>
      <c r="N89" s="27">
        <f>N88*(Presion_cilindro!O80/Presion_cilindro!O81)^Presion_cilindro!$B$9+10*(Presion_cilindro!$B$9-1)*Presion_cilindro!$B$33*(IF(Presion_cilindro!N81&gt;(-N$4+Presion_cilindro!$B$34),1-EXP(-Presion_cilindro!$B$16*((Presion_cilindro!N81-(-N$4+Presion_cilindro!$B$34))/Presion_cilindro!$B$35)^(Presion_cilindro!$B$17+1)),0)-IF(Presion_cilindro!N80&gt;(-N$4+Presion_cilindro!$B$34),1-EXP(-Presion_cilindro!$B$16*((Presion_cilindro!N80-(-N$4+Presion_cilindro!$B$34))/Presion_cilindro!$B$35)^(Presion_cilindro!$B$17+1)),0))/((Presion_cilindro!O80+Presion_cilindro!O81)/2)</f>
        <v>0.7960460131831657</v>
      </c>
    </row>
    <row r="90" spans="1:14" x14ac:dyDescent="0.25">
      <c r="A90" s="21">
        <f>Presion_cilindro!N82</f>
        <v>-141</v>
      </c>
      <c r="B90" s="27">
        <f>B89*(Presion_cilindro!O81/Presion_cilindro!O82)^Presion_cilindro!$B$9+10*(Presion_cilindro!$B$9-1)*Presion_cilindro!$B$33*(IF(Presion_cilindro!N82&gt;(-B$4+Presion_cilindro!$B$34),1-EXP(-Presion_cilindro!$B$16*((Presion_cilindro!N82-(-B$4+Presion_cilindro!$B$34))/Presion_cilindro!$B$35)^(Presion_cilindro!$B$17+1)),0)-IF(Presion_cilindro!N81&gt;(-B$4+Presion_cilindro!$B$34),1-EXP(-Presion_cilindro!$B$16*((Presion_cilindro!N81-(-B$4+Presion_cilindro!$B$34))/Presion_cilindro!$B$35)^(Presion_cilindro!$B$17+1)),0))/((Presion_cilindro!O81+Presion_cilindro!O82)/2)</f>
        <v>0.79822206774445914</v>
      </c>
      <c r="C90" s="27">
        <f>C89*(Presion_cilindro!O81/Presion_cilindro!O82)^Presion_cilindro!$B$9+10*(Presion_cilindro!$B$9-1)*Presion_cilindro!$B$33*(IF(Presion_cilindro!N82&gt;(-C$4+Presion_cilindro!$B$34),1-EXP(-Presion_cilindro!$B$16*((Presion_cilindro!N82-(-C$4+Presion_cilindro!$B$34))/Presion_cilindro!$B$35)^(Presion_cilindro!$B$17+1)),0)-IF(Presion_cilindro!N81&gt;(-C$4+Presion_cilindro!$B$34),1-EXP(-Presion_cilindro!$B$16*((Presion_cilindro!N81-(-C$4+Presion_cilindro!$B$34))/Presion_cilindro!$B$35)^(Presion_cilindro!$B$17+1)),0))/((Presion_cilindro!O81+Presion_cilindro!O82)/2)</f>
        <v>0.79822206774445914</v>
      </c>
      <c r="D90" s="27">
        <f>D89*(Presion_cilindro!O81/Presion_cilindro!O82)^Presion_cilindro!$B$9+10*(Presion_cilindro!$B$9-1)*Presion_cilindro!$B$33*(IF(Presion_cilindro!N82&gt;(-D$4+Presion_cilindro!$B$34),1-EXP(-Presion_cilindro!$B$16*((Presion_cilindro!N82-(-D$4+Presion_cilindro!$B$34))/Presion_cilindro!$B$35)^(Presion_cilindro!$B$17+1)),0)-IF(Presion_cilindro!N81&gt;(-D$4+Presion_cilindro!$B$34),1-EXP(-Presion_cilindro!$B$16*((Presion_cilindro!N81-(-D$4+Presion_cilindro!$B$34))/Presion_cilindro!$B$35)^(Presion_cilindro!$B$17+1)),0))/((Presion_cilindro!O81+Presion_cilindro!O82)/2)</f>
        <v>0.79822206774445914</v>
      </c>
      <c r="E90" s="27">
        <f>E89*(Presion_cilindro!O81/Presion_cilindro!O82)^Presion_cilindro!$B$9+10*(Presion_cilindro!$B$9-1)*Presion_cilindro!$B$33*(IF(Presion_cilindro!N82&gt;(-E$4+Presion_cilindro!$B$34),1-EXP(-Presion_cilindro!$B$16*((Presion_cilindro!N82-(-E$4+Presion_cilindro!$B$34))/Presion_cilindro!$B$35)^(Presion_cilindro!$B$17+1)),0)-IF(Presion_cilindro!N81&gt;(-E$4+Presion_cilindro!$B$34),1-EXP(-Presion_cilindro!$B$16*((Presion_cilindro!N81-(-E$4+Presion_cilindro!$B$34))/Presion_cilindro!$B$35)^(Presion_cilindro!$B$17+1)),0))/((Presion_cilindro!O81+Presion_cilindro!O82)/2)</f>
        <v>0.79822206774445914</v>
      </c>
      <c r="F90" s="27">
        <f>F89*(Presion_cilindro!O81/Presion_cilindro!O82)^Presion_cilindro!$B$9+10*(Presion_cilindro!$B$9-1)*Presion_cilindro!$B$33*(IF(Presion_cilindro!N82&gt;(-F$4+Presion_cilindro!$B$34),1-EXP(-Presion_cilindro!$B$16*((Presion_cilindro!N82-(-F$4+Presion_cilindro!$B$34))/Presion_cilindro!$B$35)^(Presion_cilindro!$B$17+1)),0)-IF(Presion_cilindro!N81&gt;(-F$4+Presion_cilindro!$B$34),1-EXP(-Presion_cilindro!$B$16*((Presion_cilindro!N81-(-F$4+Presion_cilindro!$B$34))/Presion_cilindro!$B$35)^(Presion_cilindro!$B$17+1)),0))/((Presion_cilindro!O81+Presion_cilindro!O82)/2)</f>
        <v>0.79822206774445914</v>
      </c>
      <c r="G90" s="27">
        <f>G89*(Presion_cilindro!O81/Presion_cilindro!O82)^Presion_cilindro!$B$9+10*(Presion_cilindro!$B$9-1)*Presion_cilindro!$B$33*(IF(Presion_cilindro!N82&gt;(-G$4+Presion_cilindro!$B$34),1-EXP(-Presion_cilindro!$B$16*((Presion_cilindro!N82-(-G$4+Presion_cilindro!$B$34))/Presion_cilindro!$B$35)^(Presion_cilindro!$B$17+1)),0)-IF(Presion_cilindro!N81&gt;(-G$4+Presion_cilindro!$B$34),1-EXP(-Presion_cilindro!$B$16*((Presion_cilindro!N81-(-G$4+Presion_cilindro!$B$34))/Presion_cilindro!$B$35)^(Presion_cilindro!$B$17+1)),0))/((Presion_cilindro!O81+Presion_cilindro!O82)/2)</f>
        <v>0.79822206774445914</v>
      </c>
      <c r="H90" s="27">
        <f>H89*(Presion_cilindro!O81/Presion_cilindro!O82)^Presion_cilindro!$B$9+10*(Presion_cilindro!$B$9-1)*Presion_cilindro!$B$33*(IF(Presion_cilindro!N82&gt;(-H$4+Presion_cilindro!$B$34),1-EXP(-Presion_cilindro!$B$16*((Presion_cilindro!N82-(-H$4+Presion_cilindro!$B$34))/Presion_cilindro!$B$35)^(Presion_cilindro!$B$17+1)),0)-IF(Presion_cilindro!N81&gt;(-H$4+Presion_cilindro!$B$34),1-EXP(-Presion_cilindro!$B$16*((Presion_cilindro!N81-(-H$4+Presion_cilindro!$B$34))/Presion_cilindro!$B$35)^(Presion_cilindro!$B$17+1)),0))/((Presion_cilindro!O81+Presion_cilindro!O82)/2)</f>
        <v>0.79822206774445914</v>
      </c>
      <c r="I90" s="27">
        <f>I89*(Presion_cilindro!O81/Presion_cilindro!O82)^Presion_cilindro!$B$9+10*(Presion_cilindro!$B$9-1)*Presion_cilindro!$B$33*(IF(Presion_cilindro!N82&gt;(-I$4+Presion_cilindro!$B$34),1-EXP(-Presion_cilindro!$B$16*((Presion_cilindro!N82-(-I$4+Presion_cilindro!$B$34))/Presion_cilindro!$B$35)^(Presion_cilindro!$B$17+1)),0)-IF(Presion_cilindro!N81&gt;(-I$4+Presion_cilindro!$B$34),1-EXP(-Presion_cilindro!$B$16*((Presion_cilindro!N81-(-I$4+Presion_cilindro!$B$34))/Presion_cilindro!$B$35)^(Presion_cilindro!$B$17+1)),0))/((Presion_cilindro!O81+Presion_cilindro!O82)/2)</f>
        <v>0.79822206774445914</v>
      </c>
      <c r="J90" s="27">
        <f>J89*(Presion_cilindro!O81/Presion_cilindro!O82)^Presion_cilindro!$B$9+10*(Presion_cilindro!$B$9-1)*Presion_cilindro!$B$33*(IF(Presion_cilindro!N82&gt;(-J$4+Presion_cilindro!$B$34),1-EXP(-Presion_cilindro!$B$16*((Presion_cilindro!N82-(-J$4+Presion_cilindro!$B$34))/Presion_cilindro!$B$35)^(Presion_cilindro!$B$17+1)),0)-IF(Presion_cilindro!N81&gt;(-J$4+Presion_cilindro!$B$34),1-EXP(-Presion_cilindro!$B$16*((Presion_cilindro!N81-(-J$4+Presion_cilindro!$B$34))/Presion_cilindro!$B$35)^(Presion_cilindro!$B$17+1)),0))/((Presion_cilindro!O81+Presion_cilindro!O82)/2)</f>
        <v>0.79822206774445914</v>
      </c>
      <c r="K90" s="27">
        <f>K89*(Presion_cilindro!O81/Presion_cilindro!O82)^Presion_cilindro!$B$9+10*(Presion_cilindro!$B$9-1)*Presion_cilindro!$B$33*(IF(Presion_cilindro!N82&gt;(-K$4+Presion_cilindro!$B$34),1-EXP(-Presion_cilindro!$B$16*((Presion_cilindro!N82-(-K$4+Presion_cilindro!$B$34))/Presion_cilindro!$B$35)^(Presion_cilindro!$B$17+1)),0)-IF(Presion_cilindro!N81&gt;(-K$4+Presion_cilindro!$B$34),1-EXP(-Presion_cilindro!$B$16*((Presion_cilindro!N81-(-K$4+Presion_cilindro!$B$34))/Presion_cilindro!$B$35)^(Presion_cilindro!$B$17+1)),0))/((Presion_cilindro!O81+Presion_cilindro!O82)/2)</f>
        <v>0.79822206774445914</v>
      </c>
      <c r="L90" s="27">
        <f>L89*(Presion_cilindro!O81/Presion_cilindro!O82)^Presion_cilindro!$B$9+10*(Presion_cilindro!$B$9-1)*Presion_cilindro!$B$33*(IF(Presion_cilindro!N82&gt;(-L$4+Presion_cilindro!$B$34),1-EXP(-Presion_cilindro!$B$16*((Presion_cilindro!N82-(-L$4+Presion_cilindro!$B$34))/Presion_cilindro!$B$35)^(Presion_cilindro!$B$17+1)),0)-IF(Presion_cilindro!N81&gt;(-L$4+Presion_cilindro!$B$34),1-EXP(-Presion_cilindro!$B$16*((Presion_cilindro!N81-(-L$4+Presion_cilindro!$B$34))/Presion_cilindro!$B$35)^(Presion_cilindro!$B$17+1)),0))/((Presion_cilindro!O81+Presion_cilindro!O82)/2)</f>
        <v>0.79822206774445914</v>
      </c>
      <c r="M90" s="27">
        <f>M89*(Presion_cilindro!O81/Presion_cilindro!O82)^Presion_cilindro!$B$9+10*(Presion_cilindro!$B$9-1)*Presion_cilindro!$B$33*(IF(Presion_cilindro!N82&gt;(-M$4+Presion_cilindro!$B$34),1-EXP(-Presion_cilindro!$B$16*((Presion_cilindro!N82-(-M$4+Presion_cilindro!$B$34))/Presion_cilindro!$B$35)^(Presion_cilindro!$B$17+1)),0)-IF(Presion_cilindro!N81&gt;(-M$4+Presion_cilindro!$B$34),1-EXP(-Presion_cilindro!$B$16*((Presion_cilindro!N81-(-M$4+Presion_cilindro!$B$34))/Presion_cilindro!$B$35)^(Presion_cilindro!$B$17+1)),0))/((Presion_cilindro!O81+Presion_cilindro!O82)/2)</f>
        <v>0.79822206774445914</v>
      </c>
      <c r="N90" s="27">
        <f>N89*(Presion_cilindro!O81/Presion_cilindro!O82)^Presion_cilindro!$B$9+10*(Presion_cilindro!$B$9-1)*Presion_cilindro!$B$33*(IF(Presion_cilindro!N82&gt;(-N$4+Presion_cilindro!$B$34),1-EXP(-Presion_cilindro!$B$16*((Presion_cilindro!N82-(-N$4+Presion_cilindro!$B$34))/Presion_cilindro!$B$35)^(Presion_cilindro!$B$17+1)),0)-IF(Presion_cilindro!N81&gt;(-N$4+Presion_cilindro!$B$34),1-EXP(-Presion_cilindro!$B$16*((Presion_cilindro!N81-(-N$4+Presion_cilindro!$B$34))/Presion_cilindro!$B$35)^(Presion_cilindro!$B$17+1)),0))/((Presion_cilindro!O81+Presion_cilindro!O82)/2)</f>
        <v>0.79822206774445914</v>
      </c>
    </row>
    <row r="91" spans="1:14" x14ac:dyDescent="0.25">
      <c r="A91" s="21">
        <f>Presion_cilindro!N83</f>
        <v>-140.5</v>
      </c>
      <c r="B91" s="27">
        <f>B90*(Presion_cilindro!O82/Presion_cilindro!O83)^Presion_cilindro!$B$9+10*(Presion_cilindro!$B$9-1)*Presion_cilindro!$B$33*(IF(Presion_cilindro!N83&gt;(-B$4+Presion_cilindro!$B$34),1-EXP(-Presion_cilindro!$B$16*((Presion_cilindro!N83-(-B$4+Presion_cilindro!$B$34))/Presion_cilindro!$B$35)^(Presion_cilindro!$B$17+1)),0)-IF(Presion_cilindro!N82&gt;(-B$4+Presion_cilindro!$B$34),1-EXP(-Presion_cilindro!$B$16*((Presion_cilindro!N82-(-B$4+Presion_cilindro!$B$34))/Presion_cilindro!$B$35)^(Presion_cilindro!$B$17+1)),0))/((Presion_cilindro!O82+Presion_cilindro!O83)/2)</f>
        <v>0.80043664875639786</v>
      </c>
      <c r="C91" s="27">
        <f>C90*(Presion_cilindro!O82/Presion_cilindro!O83)^Presion_cilindro!$B$9+10*(Presion_cilindro!$B$9-1)*Presion_cilindro!$B$33*(IF(Presion_cilindro!N83&gt;(-C$4+Presion_cilindro!$B$34),1-EXP(-Presion_cilindro!$B$16*((Presion_cilindro!N83-(-C$4+Presion_cilindro!$B$34))/Presion_cilindro!$B$35)^(Presion_cilindro!$B$17+1)),0)-IF(Presion_cilindro!N82&gt;(-C$4+Presion_cilindro!$B$34),1-EXP(-Presion_cilindro!$B$16*((Presion_cilindro!N82-(-C$4+Presion_cilindro!$B$34))/Presion_cilindro!$B$35)^(Presion_cilindro!$B$17+1)),0))/((Presion_cilindro!O82+Presion_cilindro!O83)/2)</f>
        <v>0.80043664875639786</v>
      </c>
      <c r="D91" s="27">
        <f>D90*(Presion_cilindro!O82/Presion_cilindro!O83)^Presion_cilindro!$B$9+10*(Presion_cilindro!$B$9-1)*Presion_cilindro!$B$33*(IF(Presion_cilindro!N83&gt;(-D$4+Presion_cilindro!$B$34),1-EXP(-Presion_cilindro!$B$16*((Presion_cilindro!N83-(-D$4+Presion_cilindro!$B$34))/Presion_cilindro!$B$35)^(Presion_cilindro!$B$17+1)),0)-IF(Presion_cilindro!N82&gt;(-D$4+Presion_cilindro!$B$34),1-EXP(-Presion_cilindro!$B$16*((Presion_cilindro!N82-(-D$4+Presion_cilindro!$B$34))/Presion_cilindro!$B$35)^(Presion_cilindro!$B$17+1)),0))/((Presion_cilindro!O82+Presion_cilindro!O83)/2)</f>
        <v>0.80043664875639786</v>
      </c>
      <c r="E91" s="27">
        <f>E90*(Presion_cilindro!O82/Presion_cilindro!O83)^Presion_cilindro!$B$9+10*(Presion_cilindro!$B$9-1)*Presion_cilindro!$B$33*(IF(Presion_cilindro!N83&gt;(-E$4+Presion_cilindro!$B$34),1-EXP(-Presion_cilindro!$B$16*((Presion_cilindro!N83-(-E$4+Presion_cilindro!$B$34))/Presion_cilindro!$B$35)^(Presion_cilindro!$B$17+1)),0)-IF(Presion_cilindro!N82&gt;(-E$4+Presion_cilindro!$B$34),1-EXP(-Presion_cilindro!$B$16*((Presion_cilindro!N82-(-E$4+Presion_cilindro!$B$34))/Presion_cilindro!$B$35)^(Presion_cilindro!$B$17+1)),0))/((Presion_cilindro!O82+Presion_cilindro!O83)/2)</f>
        <v>0.80043664875639786</v>
      </c>
      <c r="F91" s="27">
        <f>F90*(Presion_cilindro!O82/Presion_cilindro!O83)^Presion_cilindro!$B$9+10*(Presion_cilindro!$B$9-1)*Presion_cilindro!$B$33*(IF(Presion_cilindro!N83&gt;(-F$4+Presion_cilindro!$B$34),1-EXP(-Presion_cilindro!$B$16*((Presion_cilindro!N83-(-F$4+Presion_cilindro!$B$34))/Presion_cilindro!$B$35)^(Presion_cilindro!$B$17+1)),0)-IF(Presion_cilindro!N82&gt;(-F$4+Presion_cilindro!$B$34),1-EXP(-Presion_cilindro!$B$16*((Presion_cilindro!N82-(-F$4+Presion_cilindro!$B$34))/Presion_cilindro!$B$35)^(Presion_cilindro!$B$17+1)),0))/((Presion_cilindro!O82+Presion_cilindro!O83)/2)</f>
        <v>0.80043664875639786</v>
      </c>
      <c r="G91" s="27">
        <f>G90*(Presion_cilindro!O82/Presion_cilindro!O83)^Presion_cilindro!$B$9+10*(Presion_cilindro!$B$9-1)*Presion_cilindro!$B$33*(IF(Presion_cilindro!N83&gt;(-G$4+Presion_cilindro!$B$34),1-EXP(-Presion_cilindro!$B$16*((Presion_cilindro!N83-(-G$4+Presion_cilindro!$B$34))/Presion_cilindro!$B$35)^(Presion_cilindro!$B$17+1)),0)-IF(Presion_cilindro!N82&gt;(-G$4+Presion_cilindro!$B$34),1-EXP(-Presion_cilindro!$B$16*((Presion_cilindro!N82-(-G$4+Presion_cilindro!$B$34))/Presion_cilindro!$B$35)^(Presion_cilindro!$B$17+1)),0))/((Presion_cilindro!O82+Presion_cilindro!O83)/2)</f>
        <v>0.80043664875639786</v>
      </c>
      <c r="H91" s="27">
        <f>H90*(Presion_cilindro!O82/Presion_cilindro!O83)^Presion_cilindro!$B$9+10*(Presion_cilindro!$B$9-1)*Presion_cilindro!$B$33*(IF(Presion_cilindro!N83&gt;(-H$4+Presion_cilindro!$B$34),1-EXP(-Presion_cilindro!$B$16*((Presion_cilindro!N83-(-H$4+Presion_cilindro!$B$34))/Presion_cilindro!$B$35)^(Presion_cilindro!$B$17+1)),0)-IF(Presion_cilindro!N82&gt;(-H$4+Presion_cilindro!$B$34),1-EXP(-Presion_cilindro!$B$16*((Presion_cilindro!N82-(-H$4+Presion_cilindro!$B$34))/Presion_cilindro!$B$35)^(Presion_cilindro!$B$17+1)),0))/((Presion_cilindro!O82+Presion_cilindro!O83)/2)</f>
        <v>0.80043664875639786</v>
      </c>
      <c r="I91" s="27">
        <f>I90*(Presion_cilindro!O82/Presion_cilindro!O83)^Presion_cilindro!$B$9+10*(Presion_cilindro!$B$9-1)*Presion_cilindro!$B$33*(IF(Presion_cilindro!N83&gt;(-I$4+Presion_cilindro!$B$34),1-EXP(-Presion_cilindro!$B$16*((Presion_cilindro!N83-(-I$4+Presion_cilindro!$B$34))/Presion_cilindro!$B$35)^(Presion_cilindro!$B$17+1)),0)-IF(Presion_cilindro!N82&gt;(-I$4+Presion_cilindro!$B$34),1-EXP(-Presion_cilindro!$B$16*((Presion_cilindro!N82-(-I$4+Presion_cilindro!$B$34))/Presion_cilindro!$B$35)^(Presion_cilindro!$B$17+1)),0))/((Presion_cilindro!O82+Presion_cilindro!O83)/2)</f>
        <v>0.80043664875639786</v>
      </c>
      <c r="J91" s="27">
        <f>J90*(Presion_cilindro!O82/Presion_cilindro!O83)^Presion_cilindro!$B$9+10*(Presion_cilindro!$B$9-1)*Presion_cilindro!$B$33*(IF(Presion_cilindro!N83&gt;(-J$4+Presion_cilindro!$B$34),1-EXP(-Presion_cilindro!$B$16*((Presion_cilindro!N83-(-J$4+Presion_cilindro!$B$34))/Presion_cilindro!$B$35)^(Presion_cilindro!$B$17+1)),0)-IF(Presion_cilindro!N82&gt;(-J$4+Presion_cilindro!$B$34),1-EXP(-Presion_cilindro!$B$16*((Presion_cilindro!N82-(-J$4+Presion_cilindro!$B$34))/Presion_cilindro!$B$35)^(Presion_cilindro!$B$17+1)),0))/((Presion_cilindro!O82+Presion_cilindro!O83)/2)</f>
        <v>0.80043664875639786</v>
      </c>
      <c r="K91" s="27">
        <f>K90*(Presion_cilindro!O82/Presion_cilindro!O83)^Presion_cilindro!$B$9+10*(Presion_cilindro!$B$9-1)*Presion_cilindro!$B$33*(IF(Presion_cilindro!N83&gt;(-K$4+Presion_cilindro!$B$34),1-EXP(-Presion_cilindro!$B$16*((Presion_cilindro!N83-(-K$4+Presion_cilindro!$B$34))/Presion_cilindro!$B$35)^(Presion_cilindro!$B$17+1)),0)-IF(Presion_cilindro!N82&gt;(-K$4+Presion_cilindro!$B$34),1-EXP(-Presion_cilindro!$B$16*((Presion_cilindro!N82-(-K$4+Presion_cilindro!$B$34))/Presion_cilindro!$B$35)^(Presion_cilindro!$B$17+1)),0))/((Presion_cilindro!O82+Presion_cilindro!O83)/2)</f>
        <v>0.80043664875639786</v>
      </c>
      <c r="L91" s="27">
        <f>L90*(Presion_cilindro!O82/Presion_cilindro!O83)^Presion_cilindro!$B$9+10*(Presion_cilindro!$B$9-1)*Presion_cilindro!$B$33*(IF(Presion_cilindro!N83&gt;(-L$4+Presion_cilindro!$B$34),1-EXP(-Presion_cilindro!$B$16*((Presion_cilindro!N83-(-L$4+Presion_cilindro!$B$34))/Presion_cilindro!$B$35)^(Presion_cilindro!$B$17+1)),0)-IF(Presion_cilindro!N82&gt;(-L$4+Presion_cilindro!$B$34),1-EXP(-Presion_cilindro!$B$16*((Presion_cilindro!N82-(-L$4+Presion_cilindro!$B$34))/Presion_cilindro!$B$35)^(Presion_cilindro!$B$17+1)),0))/((Presion_cilindro!O82+Presion_cilindro!O83)/2)</f>
        <v>0.80043664875639786</v>
      </c>
      <c r="M91" s="27">
        <f>M90*(Presion_cilindro!O82/Presion_cilindro!O83)^Presion_cilindro!$B$9+10*(Presion_cilindro!$B$9-1)*Presion_cilindro!$B$33*(IF(Presion_cilindro!N83&gt;(-M$4+Presion_cilindro!$B$34),1-EXP(-Presion_cilindro!$B$16*((Presion_cilindro!N83-(-M$4+Presion_cilindro!$B$34))/Presion_cilindro!$B$35)^(Presion_cilindro!$B$17+1)),0)-IF(Presion_cilindro!N82&gt;(-M$4+Presion_cilindro!$B$34),1-EXP(-Presion_cilindro!$B$16*((Presion_cilindro!N82-(-M$4+Presion_cilindro!$B$34))/Presion_cilindro!$B$35)^(Presion_cilindro!$B$17+1)),0))/((Presion_cilindro!O82+Presion_cilindro!O83)/2)</f>
        <v>0.80043664875639786</v>
      </c>
      <c r="N91" s="27">
        <f>N90*(Presion_cilindro!O82/Presion_cilindro!O83)^Presion_cilindro!$B$9+10*(Presion_cilindro!$B$9-1)*Presion_cilindro!$B$33*(IF(Presion_cilindro!N83&gt;(-N$4+Presion_cilindro!$B$34),1-EXP(-Presion_cilindro!$B$16*((Presion_cilindro!N83-(-N$4+Presion_cilindro!$B$34))/Presion_cilindro!$B$35)^(Presion_cilindro!$B$17+1)),0)-IF(Presion_cilindro!N82&gt;(-N$4+Presion_cilindro!$B$34),1-EXP(-Presion_cilindro!$B$16*((Presion_cilindro!N82-(-N$4+Presion_cilindro!$B$34))/Presion_cilindro!$B$35)^(Presion_cilindro!$B$17+1)),0))/((Presion_cilindro!O82+Presion_cilindro!O83)/2)</f>
        <v>0.80043664875639786</v>
      </c>
    </row>
    <row r="92" spans="1:14" x14ac:dyDescent="0.25">
      <c r="A92" s="21">
        <f>Presion_cilindro!N84</f>
        <v>-140</v>
      </c>
      <c r="B92" s="27">
        <f>B91*(Presion_cilindro!O83/Presion_cilindro!O84)^Presion_cilindro!$B$9+10*(Presion_cilindro!$B$9-1)*Presion_cilindro!$B$33*(IF(Presion_cilindro!N84&gt;(-B$4+Presion_cilindro!$B$34),1-EXP(-Presion_cilindro!$B$16*((Presion_cilindro!N84-(-B$4+Presion_cilindro!$B$34))/Presion_cilindro!$B$35)^(Presion_cilindro!$B$17+1)),0)-IF(Presion_cilindro!N83&gt;(-B$4+Presion_cilindro!$B$34),1-EXP(-Presion_cilindro!$B$16*((Presion_cilindro!N83-(-B$4+Presion_cilindro!$B$34))/Presion_cilindro!$B$35)^(Presion_cilindro!$B$17+1)),0))/((Presion_cilindro!O83+Presion_cilindro!O84)/2)</f>
        <v>0.80269021406154073</v>
      </c>
      <c r="C92" s="27">
        <f>C91*(Presion_cilindro!O83/Presion_cilindro!O84)^Presion_cilindro!$B$9+10*(Presion_cilindro!$B$9-1)*Presion_cilindro!$B$33*(IF(Presion_cilindro!N84&gt;(-C$4+Presion_cilindro!$B$34),1-EXP(-Presion_cilindro!$B$16*((Presion_cilindro!N84-(-C$4+Presion_cilindro!$B$34))/Presion_cilindro!$B$35)^(Presion_cilindro!$B$17+1)),0)-IF(Presion_cilindro!N83&gt;(-C$4+Presion_cilindro!$B$34),1-EXP(-Presion_cilindro!$B$16*((Presion_cilindro!N83-(-C$4+Presion_cilindro!$B$34))/Presion_cilindro!$B$35)^(Presion_cilindro!$B$17+1)),0))/((Presion_cilindro!O83+Presion_cilindro!O84)/2)</f>
        <v>0.80269021406154073</v>
      </c>
      <c r="D92" s="27">
        <f>D91*(Presion_cilindro!O83/Presion_cilindro!O84)^Presion_cilindro!$B$9+10*(Presion_cilindro!$B$9-1)*Presion_cilindro!$B$33*(IF(Presion_cilindro!N84&gt;(-D$4+Presion_cilindro!$B$34),1-EXP(-Presion_cilindro!$B$16*((Presion_cilindro!N84-(-D$4+Presion_cilindro!$B$34))/Presion_cilindro!$B$35)^(Presion_cilindro!$B$17+1)),0)-IF(Presion_cilindro!N83&gt;(-D$4+Presion_cilindro!$B$34),1-EXP(-Presion_cilindro!$B$16*((Presion_cilindro!N83-(-D$4+Presion_cilindro!$B$34))/Presion_cilindro!$B$35)^(Presion_cilindro!$B$17+1)),0))/((Presion_cilindro!O83+Presion_cilindro!O84)/2)</f>
        <v>0.80269021406154073</v>
      </c>
      <c r="E92" s="27">
        <f>E91*(Presion_cilindro!O83/Presion_cilindro!O84)^Presion_cilindro!$B$9+10*(Presion_cilindro!$B$9-1)*Presion_cilindro!$B$33*(IF(Presion_cilindro!N84&gt;(-E$4+Presion_cilindro!$B$34),1-EXP(-Presion_cilindro!$B$16*((Presion_cilindro!N84-(-E$4+Presion_cilindro!$B$34))/Presion_cilindro!$B$35)^(Presion_cilindro!$B$17+1)),0)-IF(Presion_cilindro!N83&gt;(-E$4+Presion_cilindro!$B$34),1-EXP(-Presion_cilindro!$B$16*((Presion_cilindro!N83-(-E$4+Presion_cilindro!$B$34))/Presion_cilindro!$B$35)^(Presion_cilindro!$B$17+1)),0))/((Presion_cilindro!O83+Presion_cilindro!O84)/2)</f>
        <v>0.80269021406154073</v>
      </c>
      <c r="F92" s="27">
        <f>F91*(Presion_cilindro!O83/Presion_cilindro!O84)^Presion_cilindro!$B$9+10*(Presion_cilindro!$B$9-1)*Presion_cilindro!$B$33*(IF(Presion_cilindro!N84&gt;(-F$4+Presion_cilindro!$B$34),1-EXP(-Presion_cilindro!$B$16*((Presion_cilindro!N84-(-F$4+Presion_cilindro!$B$34))/Presion_cilindro!$B$35)^(Presion_cilindro!$B$17+1)),0)-IF(Presion_cilindro!N83&gt;(-F$4+Presion_cilindro!$B$34),1-EXP(-Presion_cilindro!$B$16*((Presion_cilindro!N83-(-F$4+Presion_cilindro!$B$34))/Presion_cilindro!$B$35)^(Presion_cilindro!$B$17+1)),0))/((Presion_cilindro!O83+Presion_cilindro!O84)/2)</f>
        <v>0.80269021406154073</v>
      </c>
      <c r="G92" s="27">
        <f>G91*(Presion_cilindro!O83/Presion_cilindro!O84)^Presion_cilindro!$B$9+10*(Presion_cilindro!$B$9-1)*Presion_cilindro!$B$33*(IF(Presion_cilindro!N84&gt;(-G$4+Presion_cilindro!$B$34),1-EXP(-Presion_cilindro!$B$16*((Presion_cilindro!N84-(-G$4+Presion_cilindro!$B$34))/Presion_cilindro!$B$35)^(Presion_cilindro!$B$17+1)),0)-IF(Presion_cilindro!N83&gt;(-G$4+Presion_cilindro!$B$34),1-EXP(-Presion_cilindro!$B$16*((Presion_cilindro!N83-(-G$4+Presion_cilindro!$B$34))/Presion_cilindro!$B$35)^(Presion_cilindro!$B$17+1)),0))/((Presion_cilindro!O83+Presion_cilindro!O84)/2)</f>
        <v>0.80269021406154073</v>
      </c>
      <c r="H92" s="27">
        <f>H91*(Presion_cilindro!O83/Presion_cilindro!O84)^Presion_cilindro!$B$9+10*(Presion_cilindro!$B$9-1)*Presion_cilindro!$B$33*(IF(Presion_cilindro!N84&gt;(-H$4+Presion_cilindro!$B$34),1-EXP(-Presion_cilindro!$B$16*((Presion_cilindro!N84-(-H$4+Presion_cilindro!$B$34))/Presion_cilindro!$B$35)^(Presion_cilindro!$B$17+1)),0)-IF(Presion_cilindro!N83&gt;(-H$4+Presion_cilindro!$B$34),1-EXP(-Presion_cilindro!$B$16*((Presion_cilindro!N83-(-H$4+Presion_cilindro!$B$34))/Presion_cilindro!$B$35)^(Presion_cilindro!$B$17+1)),0))/((Presion_cilindro!O83+Presion_cilindro!O84)/2)</f>
        <v>0.80269021406154073</v>
      </c>
      <c r="I92" s="27">
        <f>I91*(Presion_cilindro!O83/Presion_cilindro!O84)^Presion_cilindro!$B$9+10*(Presion_cilindro!$B$9-1)*Presion_cilindro!$B$33*(IF(Presion_cilindro!N84&gt;(-I$4+Presion_cilindro!$B$34),1-EXP(-Presion_cilindro!$B$16*((Presion_cilindro!N84-(-I$4+Presion_cilindro!$B$34))/Presion_cilindro!$B$35)^(Presion_cilindro!$B$17+1)),0)-IF(Presion_cilindro!N83&gt;(-I$4+Presion_cilindro!$B$34),1-EXP(-Presion_cilindro!$B$16*((Presion_cilindro!N83-(-I$4+Presion_cilindro!$B$34))/Presion_cilindro!$B$35)^(Presion_cilindro!$B$17+1)),0))/((Presion_cilindro!O83+Presion_cilindro!O84)/2)</f>
        <v>0.80269021406154073</v>
      </c>
      <c r="J92" s="27">
        <f>J91*(Presion_cilindro!O83/Presion_cilindro!O84)^Presion_cilindro!$B$9+10*(Presion_cilindro!$B$9-1)*Presion_cilindro!$B$33*(IF(Presion_cilindro!N84&gt;(-J$4+Presion_cilindro!$B$34),1-EXP(-Presion_cilindro!$B$16*((Presion_cilindro!N84-(-J$4+Presion_cilindro!$B$34))/Presion_cilindro!$B$35)^(Presion_cilindro!$B$17+1)),0)-IF(Presion_cilindro!N83&gt;(-J$4+Presion_cilindro!$B$34),1-EXP(-Presion_cilindro!$B$16*((Presion_cilindro!N83-(-J$4+Presion_cilindro!$B$34))/Presion_cilindro!$B$35)^(Presion_cilindro!$B$17+1)),0))/((Presion_cilindro!O83+Presion_cilindro!O84)/2)</f>
        <v>0.80269021406154073</v>
      </c>
      <c r="K92" s="27">
        <f>K91*(Presion_cilindro!O83/Presion_cilindro!O84)^Presion_cilindro!$B$9+10*(Presion_cilindro!$B$9-1)*Presion_cilindro!$B$33*(IF(Presion_cilindro!N84&gt;(-K$4+Presion_cilindro!$B$34),1-EXP(-Presion_cilindro!$B$16*((Presion_cilindro!N84-(-K$4+Presion_cilindro!$B$34))/Presion_cilindro!$B$35)^(Presion_cilindro!$B$17+1)),0)-IF(Presion_cilindro!N83&gt;(-K$4+Presion_cilindro!$B$34),1-EXP(-Presion_cilindro!$B$16*((Presion_cilindro!N83-(-K$4+Presion_cilindro!$B$34))/Presion_cilindro!$B$35)^(Presion_cilindro!$B$17+1)),0))/((Presion_cilindro!O83+Presion_cilindro!O84)/2)</f>
        <v>0.80269021406154073</v>
      </c>
      <c r="L92" s="27">
        <f>L91*(Presion_cilindro!O83/Presion_cilindro!O84)^Presion_cilindro!$B$9+10*(Presion_cilindro!$B$9-1)*Presion_cilindro!$B$33*(IF(Presion_cilindro!N84&gt;(-L$4+Presion_cilindro!$B$34),1-EXP(-Presion_cilindro!$B$16*((Presion_cilindro!N84-(-L$4+Presion_cilindro!$B$34))/Presion_cilindro!$B$35)^(Presion_cilindro!$B$17+1)),0)-IF(Presion_cilindro!N83&gt;(-L$4+Presion_cilindro!$B$34),1-EXP(-Presion_cilindro!$B$16*((Presion_cilindro!N83-(-L$4+Presion_cilindro!$B$34))/Presion_cilindro!$B$35)^(Presion_cilindro!$B$17+1)),0))/((Presion_cilindro!O83+Presion_cilindro!O84)/2)</f>
        <v>0.80269021406154073</v>
      </c>
      <c r="M92" s="27">
        <f>M91*(Presion_cilindro!O83/Presion_cilindro!O84)^Presion_cilindro!$B$9+10*(Presion_cilindro!$B$9-1)*Presion_cilindro!$B$33*(IF(Presion_cilindro!N84&gt;(-M$4+Presion_cilindro!$B$34),1-EXP(-Presion_cilindro!$B$16*((Presion_cilindro!N84-(-M$4+Presion_cilindro!$B$34))/Presion_cilindro!$B$35)^(Presion_cilindro!$B$17+1)),0)-IF(Presion_cilindro!N83&gt;(-M$4+Presion_cilindro!$B$34),1-EXP(-Presion_cilindro!$B$16*((Presion_cilindro!N83-(-M$4+Presion_cilindro!$B$34))/Presion_cilindro!$B$35)^(Presion_cilindro!$B$17+1)),0))/((Presion_cilindro!O83+Presion_cilindro!O84)/2)</f>
        <v>0.80269021406154073</v>
      </c>
      <c r="N92" s="27">
        <f>N91*(Presion_cilindro!O83/Presion_cilindro!O84)^Presion_cilindro!$B$9+10*(Presion_cilindro!$B$9-1)*Presion_cilindro!$B$33*(IF(Presion_cilindro!N84&gt;(-N$4+Presion_cilindro!$B$34),1-EXP(-Presion_cilindro!$B$16*((Presion_cilindro!N84-(-N$4+Presion_cilindro!$B$34))/Presion_cilindro!$B$35)^(Presion_cilindro!$B$17+1)),0)-IF(Presion_cilindro!N83&gt;(-N$4+Presion_cilindro!$B$34),1-EXP(-Presion_cilindro!$B$16*((Presion_cilindro!N83-(-N$4+Presion_cilindro!$B$34))/Presion_cilindro!$B$35)^(Presion_cilindro!$B$17+1)),0))/((Presion_cilindro!O83+Presion_cilindro!O84)/2)</f>
        <v>0.80269021406154073</v>
      </c>
    </row>
    <row r="93" spans="1:14" x14ac:dyDescent="0.25">
      <c r="A93" s="21">
        <f>Presion_cilindro!N85</f>
        <v>-139.5</v>
      </c>
      <c r="B93" s="27">
        <f>B92*(Presion_cilindro!O84/Presion_cilindro!O85)^Presion_cilindro!$B$9+10*(Presion_cilindro!$B$9-1)*Presion_cilindro!$B$33*(IF(Presion_cilindro!N85&gt;(-B$4+Presion_cilindro!$B$34),1-EXP(-Presion_cilindro!$B$16*((Presion_cilindro!N85-(-B$4+Presion_cilindro!$B$34))/Presion_cilindro!$B$35)^(Presion_cilindro!$B$17+1)),0)-IF(Presion_cilindro!N84&gt;(-B$4+Presion_cilindro!$B$34),1-EXP(-Presion_cilindro!$B$16*((Presion_cilindro!N84-(-B$4+Presion_cilindro!$B$34))/Presion_cilindro!$B$35)^(Presion_cilindro!$B$17+1)),0))/((Presion_cilindro!O84+Presion_cilindro!O85)/2)</f>
        <v>0.80498323124157312</v>
      </c>
      <c r="C93" s="27">
        <f>C92*(Presion_cilindro!O84/Presion_cilindro!O85)^Presion_cilindro!$B$9+10*(Presion_cilindro!$B$9-1)*Presion_cilindro!$B$33*(IF(Presion_cilindro!N85&gt;(-C$4+Presion_cilindro!$B$34),1-EXP(-Presion_cilindro!$B$16*((Presion_cilindro!N85-(-C$4+Presion_cilindro!$B$34))/Presion_cilindro!$B$35)^(Presion_cilindro!$B$17+1)),0)-IF(Presion_cilindro!N84&gt;(-C$4+Presion_cilindro!$B$34),1-EXP(-Presion_cilindro!$B$16*((Presion_cilindro!N84-(-C$4+Presion_cilindro!$B$34))/Presion_cilindro!$B$35)^(Presion_cilindro!$B$17+1)),0))/((Presion_cilindro!O84+Presion_cilindro!O85)/2)</f>
        <v>0.80498323124157312</v>
      </c>
      <c r="D93" s="27">
        <f>D92*(Presion_cilindro!O84/Presion_cilindro!O85)^Presion_cilindro!$B$9+10*(Presion_cilindro!$B$9-1)*Presion_cilindro!$B$33*(IF(Presion_cilindro!N85&gt;(-D$4+Presion_cilindro!$B$34),1-EXP(-Presion_cilindro!$B$16*((Presion_cilindro!N85-(-D$4+Presion_cilindro!$B$34))/Presion_cilindro!$B$35)^(Presion_cilindro!$B$17+1)),0)-IF(Presion_cilindro!N84&gt;(-D$4+Presion_cilindro!$B$34),1-EXP(-Presion_cilindro!$B$16*((Presion_cilindro!N84-(-D$4+Presion_cilindro!$B$34))/Presion_cilindro!$B$35)^(Presion_cilindro!$B$17+1)),0))/((Presion_cilindro!O84+Presion_cilindro!O85)/2)</f>
        <v>0.80498323124157312</v>
      </c>
      <c r="E93" s="27">
        <f>E92*(Presion_cilindro!O84/Presion_cilindro!O85)^Presion_cilindro!$B$9+10*(Presion_cilindro!$B$9-1)*Presion_cilindro!$B$33*(IF(Presion_cilindro!N85&gt;(-E$4+Presion_cilindro!$B$34),1-EXP(-Presion_cilindro!$B$16*((Presion_cilindro!N85-(-E$4+Presion_cilindro!$B$34))/Presion_cilindro!$B$35)^(Presion_cilindro!$B$17+1)),0)-IF(Presion_cilindro!N84&gt;(-E$4+Presion_cilindro!$B$34),1-EXP(-Presion_cilindro!$B$16*((Presion_cilindro!N84-(-E$4+Presion_cilindro!$B$34))/Presion_cilindro!$B$35)^(Presion_cilindro!$B$17+1)),0))/((Presion_cilindro!O84+Presion_cilindro!O85)/2)</f>
        <v>0.80498323124157312</v>
      </c>
      <c r="F93" s="27">
        <f>F92*(Presion_cilindro!O84/Presion_cilindro!O85)^Presion_cilindro!$B$9+10*(Presion_cilindro!$B$9-1)*Presion_cilindro!$B$33*(IF(Presion_cilindro!N85&gt;(-F$4+Presion_cilindro!$B$34),1-EXP(-Presion_cilindro!$B$16*((Presion_cilindro!N85-(-F$4+Presion_cilindro!$B$34))/Presion_cilindro!$B$35)^(Presion_cilindro!$B$17+1)),0)-IF(Presion_cilindro!N84&gt;(-F$4+Presion_cilindro!$B$34),1-EXP(-Presion_cilindro!$B$16*((Presion_cilindro!N84-(-F$4+Presion_cilindro!$B$34))/Presion_cilindro!$B$35)^(Presion_cilindro!$B$17+1)),0))/((Presion_cilindro!O84+Presion_cilindro!O85)/2)</f>
        <v>0.80498323124157312</v>
      </c>
      <c r="G93" s="27">
        <f>G92*(Presion_cilindro!O84/Presion_cilindro!O85)^Presion_cilindro!$B$9+10*(Presion_cilindro!$B$9-1)*Presion_cilindro!$B$33*(IF(Presion_cilindro!N85&gt;(-G$4+Presion_cilindro!$B$34),1-EXP(-Presion_cilindro!$B$16*((Presion_cilindro!N85-(-G$4+Presion_cilindro!$B$34))/Presion_cilindro!$B$35)^(Presion_cilindro!$B$17+1)),0)-IF(Presion_cilindro!N84&gt;(-G$4+Presion_cilindro!$B$34),1-EXP(-Presion_cilindro!$B$16*((Presion_cilindro!N84-(-G$4+Presion_cilindro!$B$34))/Presion_cilindro!$B$35)^(Presion_cilindro!$B$17+1)),0))/((Presion_cilindro!O84+Presion_cilindro!O85)/2)</f>
        <v>0.80498323124157312</v>
      </c>
      <c r="H93" s="27">
        <f>H92*(Presion_cilindro!O84/Presion_cilindro!O85)^Presion_cilindro!$B$9+10*(Presion_cilindro!$B$9-1)*Presion_cilindro!$B$33*(IF(Presion_cilindro!N85&gt;(-H$4+Presion_cilindro!$B$34),1-EXP(-Presion_cilindro!$B$16*((Presion_cilindro!N85-(-H$4+Presion_cilindro!$B$34))/Presion_cilindro!$B$35)^(Presion_cilindro!$B$17+1)),0)-IF(Presion_cilindro!N84&gt;(-H$4+Presion_cilindro!$B$34),1-EXP(-Presion_cilindro!$B$16*((Presion_cilindro!N84-(-H$4+Presion_cilindro!$B$34))/Presion_cilindro!$B$35)^(Presion_cilindro!$B$17+1)),0))/((Presion_cilindro!O84+Presion_cilindro!O85)/2)</f>
        <v>0.80498323124157312</v>
      </c>
      <c r="I93" s="27">
        <f>I92*(Presion_cilindro!O84/Presion_cilindro!O85)^Presion_cilindro!$B$9+10*(Presion_cilindro!$B$9-1)*Presion_cilindro!$B$33*(IF(Presion_cilindro!N85&gt;(-I$4+Presion_cilindro!$B$34),1-EXP(-Presion_cilindro!$B$16*((Presion_cilindro!N85-(-I$4+Presion_cilindro!$B$34))/Presion_cilindro!$B$35)^(Presion_cilindro!$B$17+1)),0)-IF(Presion_cilindro!N84&gt;(-I$4+Presion_cilindro!$B$34),1-EXP(-Presion_cilindro!$B$16*((Presion_cilindro!N84-(-I$4+Presion_cilindro!$B$34))/Presion_cilindro!$B$35)^(Presion_cilindro!$B$17+1)),0))/((Presion_cilindro!O84+Presion_cilindro!O85)/2)</f>
        <v>0.80498323124157312</v>
      </c>
      <c r="J93" s="27">
        <f>J92*(Presion_cilindro!O84/Presion_cilindro!O85)^Presion_cilindro!$B$9+10*(Presion_cilindro!$B$9-1)*Presion_cilindro!$B$33*(IF(Presion_cilindro!N85&gt;(-J$4+Presion_cilindro!$B$34),1-EXP(-Presion_cilindro!$B$16*((Presion_cilindro!N85-(-J$4+Presion_cilindro!$B$34))/Presion_cilindro!$B$35)^(Presion_cilindro!$B$17+1)),0)-IF(Presion_cilindro!N84&gt;(-J$4+Presion_cilindro!$B$34),1-EXP(-Presion_cilindro!$B$16*((Presion_cilindro!N84-(-J$4+Presion_cilindro!$B$34))/Presion_cilindro!$B$35)^(Presion_cilindro!$B$17+1)),0))/((Presion_cilindro!O84+Presion_cilindro!O85)/2)</f>
        <v>0.80498323124157312</v>
      </c>
      <c r="K93" s="27">
        <f>K92*(Presion_cilindro!O84/Presion_cilindro!O85)^Presion_cilindro!$B$9+10*(Presion_cilindro!$B$9-1)*Presion_cilindro!$B$33*(IF(Presion_cilindro!N85&gt;(-K$4+Presion_cilindro!$B$34),1-EXP(-Presion_cilindro!$B$16*((Presion_cilindro!N85-(-K$4+Presion_cilindro!$B$34))/Presion_cilindro!$B$35)^(Presion_cilindro!$B$17+1)),0)-IF(Presion_cilindro!N84&gt;(-K$4+Presion_cilindro!$B$34),1-EXP(-Presion_cilindro!$B$16*((Presion_cilindro!N84-(-K$4+Presion_cilindro!$B$34))/Presion_cilindro!$B$35)^(Presion_cilindro!$B$17+1)),0))/((Presion_cilindro!O84+Presion_cilindro!O85)/2)</f>
        <v>0.80498323124157312</v>
      </c>
      <c r="L93" s="27">
        <f>L92*(Presion_cilindro!O84/Presion_cilindro!O85)^Presion_cilindro!$B$9+10*(Presion_cilindro!$B$9-1)*Presion_cilindro!$B$33*(IF(Presion_cilindro!N85&gt;(-L$4+Presion_cilindro!$B$34),1-EXP(-Presion_cilindro!$B$16*((Presion_cilindro!N85-(-L$4+Presion_cilindro!$B$34))/Presion_cilindro!$B$35)^(Presion_cilindro!$B$17+1)),0)-IF(Presion_cilindro!N84&gt;(-L$4+Presion_cilindro!$B$34),1-EXP(-Presion_cilindro!$B$16*((Presion_cilindro!N84-(-L$4+Presion_cilindro!$B$34))/Presion_cilindro!$B$35)^(Presion_cilindro!$B$17+1)),0))/((Presion_cilindro!O84+Presion_cilindro!O85)/2)</f>
        <v>0.80498323124157312</v>
      </c>
      <c r="M93" s="27">
        <f>M92*(Presion_cilindro!O84/Presion_cilindro!O85)^Presion_cilindro!$B$9+10*(Presion_cilindro!$B$9-1)*Presion_cilindro!$B$33*(IF(Presion_cilindro!N85&gt;(-M$4+Presion_cilindro!$B$34),1-EXP(-Presion_cilindro!$B$16*((Presion_cilindro!N85-(-M$4+Presion_cilindro!$B$34))/Presion_cilindro!$B$35)^(Presion_cilindro!$B$17+1)),0)-IF(Presion_cilindro!N84&gt;(-M$4+Presion_cilindro!$B$34),1-EXP(-Presion_cilindro!$B$16*((Presion_cilindro!N84-(-M$4+Presion_cilindro!$B$34))/Presion_cilindro!$B$35)^(Presion_cilindro!$B$17+1)),0))/((Presion_cilindro!O84+Presion_cilindro!O85)/2)</f>
        <v>0.80498323124157312</v>
      </c>
      <c r="N93" s="27">
        <f>N92*(Presion_cilindro!O84/Presion_cilindro!O85)^Presion_cilindro!$B$9+10*(Presion_cilindro!$B$9-1)*Presion_cilindro!$B$33*(IF(Presion_cilindro!N85&gt;(-N$4+Presion_cilindro!$B$34),1-EXP(-Presion_cilindro!$B$16*((Presion_cilindro!N85-(-N$4+Presion_cilindro!$B$34))/Presion_cilindro!$B$35)^(Presion_cilindro!$B$17+1)),0)-IF(Presion_cilindro!N84&gt;(-N$4+Presion_cilindro!$B$34),1-EXP(-Presion_cilindro!$B$16*((Presion_cilindro!N84-(-N$4+Presion_cilindro!$B$34))/Presion_cilindro!$B$35)^(Presion_cilindro!$B$17+1)),0))/((Presion_cilindro!O84+Presion_cilindro!O85)/2)</f>
        <v>0.80498323124157312</v>
      </c>
    </row>
    <row r="94" spans="1:14" x14ac:dyDescent="0.25">
      <c r="A94" s="21">
        <f>Presion_cilindro!N86</f>
        <v>-139</v>
      </c>
      <c r="B94" s="27">
        <f>B93*(Presion_cilindro!O85/Presion_cilindro!O86)^Presion_cilindro!$B$9+10*(Presion_cilindro!$B$9-1)*Presion_cilindro!$B$33*(IF(Presion_cilindro!N86&gt;(-B$4+Presion_cilindro!$B$34),1-EXP(-Presion_cilindro!$B$16*((Presion_cilindro!N86-(-B$4+Presion_cilindro!$B$34))/Presion_cilindro!$B$35)^(Presion_cilindro!$B$17+1)),0)-IF(Presion_cilindro!N85&gt;(-B$4+Presion_cilindro!$B$34),1-EXP(-Presion_cilindro!$B$16*((Presion_cilindro!N85-(-B$4+Presion_cilindro!$B$34))/Presion_cilindro!$B$35)^(Presion_cilindro!$B$17+1)),0))/((Presion_cilindro!O85+Presion_cilindro!O86)/2)</f>
        <v>0.80731617779825948</v>
      </c>
      <c r="C94" s="27">
        <f>C93*(Presion_cilindro!O85/Presion_cilindro!O86)^Presion_cilindro!$B$9+10*(Presion_cilindro!$B$9-1)*Presion_cilindro!$B$33*(IF(Presion_cilindro!N86&gt;(-C$4+Presion_cilindro!$B$34),1-EXP(-Presion_cilindro!$B$16*((Presion_cilindro!N86-(-C$4+Presion_cilindro!$B$34))/Presion_cilindro!$B$35)^(Presion_cilindro!$B$17+1)),0)-IF(Presion_cilindro!N85&gt;(-C$4+Presion_cilindro!$B$34),1-EXP(-Presion_cilindro!$B$16*((Presion_cilindro!N85-(-C$4+Presion_cilindro!$B$34))/Presion_cilindro!$B$35)^(Presion_cilindro!$B$17+1)),0))/((Presion_cilindro!O85+Presion_cilindro!O86)/2)</f>
        <v>0.80731617779825948</v>
      </c>
      <c r="D94" s="27">
        <f>D93*(Presion_cilindro!O85/Presion_cilindro!O86)^Presion_cilindro!$B$9+10*(Presion_cilindro!$B$9-1)*Presion_cilindro!$B$33*(IF(Presion_cilindro!N86&gt;(-D$4+Presion_cilindro!$B$34),1-EXP(-Presion_cilindro!$B$16*((Presion_cilindro!N86-(-D$4+Presion_cilindro!$B$34))/Presion_cilindro!$B$35)^(Presion_cilindro!$B$17+1)),0)-IF(Presion_cilindro!N85&gt;(-D$4+Presion_cilindro!$B$34),1-EXP(-Presion_cilindro!$B$16*((Presion_cilindro!N85-(-D$4+Presion_cilindro!$B$34))/Presion_cilindro!$B$35)^(Presion_cilindro!$B$17+1)),0))/((Presion_cilindro!O85+Presion_cilindro!O86)/2)</f>
        <v>0.80731617779825948</v>
      </c>
      <c r="E94" s="27">
        <f>E93*(Presion_cilindro!O85/Presion_cilindro!O86)^Presion_cilindro!$B$9+10*(Presion_cilindro!$B$9-1)*Presion_cilindro!$B$33*(IF(Presion_cilindro!N86&gt;(-E$4+Presion_cilindro!$B$34),1-EXP(-Presion_cilindro!$B$16*((Presion_cilindro!N86-(-E$4+Presion_cilindro!$B$34))/Presion_cilindro!$B$35)^(Presion_cilindro!$B$17+1)),0)-IF(Presion_cilindro!N85&gt;(-E$4+Presion_cilindro!$B$34),1-EXP(-Presion_cilindro!$B$16*((Presion_cilindro!N85-(-E$4+Presion_cilindro!$B$34))/Presion_cilindro!$B$35)^(Presion_cilindro!$B$17+1)),0))/((Presion_cilindro!O85+Presion_cilindro!O86)/2)</f>
        <v>0.80731617779825948</v>
      </c>
      <c r="F94" s="27">
        <f>F93*(Presion_cilindro!O85/Presion_cilindro!O86)^Presion_cilindro!$B$9+10*(Presion_cilindro!$B$9-1)*Presion_cilindro!$B$33*(IF(Presion_cilindro!N86&gt;(-F$4+Presion_cilindro!$B$34),1-EXP(-Presion_cilindro!$B$16*((Presion_cilindro!N86-(-F$4+Presion_cilindro!$B$34))/Presion_cilindro!$B$35)^(Presion_cilindro!$B$17+1)),0)-IF(Presion_cilindro!N85&gt;(-F$4+Presion_cilindro!$B$34),1-EXP(-Presion_cilindro!$B$16*((Presion_cilindro!N85-(-F$4+Presion_cilindro!$B$34))/Presion_cilindro!$B$35)^(Presion_cilindro!$B$17+1)),0))/((Presion_cilindro!O85+Presion_cilindro!O86)/2)</f>
        <v>0.80731617779825948</v>
      </c>
      <c r="G94" s="27">
        <f>G93*(Presion_cilindro!O85/Presion_cilindro!O86)^Presion_cilindro!$B$9+10*(Presion_cilindro!$B$9-1)*Presion_cilindro!$B$33*(IF(Presion_cilindro!N86&gt;(-G$4+Presion_cilindro!$B$34),1-EXP(-Presion_cilindro!$B$16*((Presion_cilindro!N86-(-G$4+Presion_cilindro!$B$34))/Presion_cilindro!$B$35)^(Presion_cilindro!$B$17+1)),0)-IF(Presion_cilindro!N85&gt;(-G$4+Presion_cilindro!$B$34),1-EXP(-Presion_cilindro!$B$16*((Presion_cilindro!N85-(-G$4+Presion_cilindro!$B$34))/Presion_cilindro!$B$35)^(Presion_cilindro!$B$17+1)),0))/((Presion_cilindro!O85+Presion_cilindro!O86)/2)</f>
        <v>0.80731617779825948</v>
      </c>
      <c r="H94" s="27">
        <f>H93*(Presion_cilindro!O85/Presion_cilindro!O86)^Presion_cilindro!$B$9+10*(Presion_cilindro!$B$9-1)*Presion_cilindro!$B$33*(IF(Presion_cilindro!N86&gt;(-H$4+Presion_cilindro!$B$34),1-EXP(-Presion_cilindro!$B$16*((Presion_cilindro!N86-(-H$4+Presion_cilindro!$B$34))/Presion_cilindro!$B$35)^(Presion_cilindro!$B$17+1)),0)-IF(Presion_cilindro!N85&gt;(-H$4+Presion_cilindro!$B$34),1-EXP(-Presion_cilindro!$B$16*((Presion_cilindro!N85-(-H$4+Presion_cilindro!$B$34))/Presion_cilindro!$B$35)^(Presion_cilindro!$B$17+1)),0))/((Presion_cilindro!O85+Presion_cilindro!O86)/2)</f>
        <v>0.80731617779825948</v>
      </c>
      <c r="I94" s="27">
        <f>I93*(Presion_cilindro!O85/Presion_cilindro!O86)^Presion_cilindro!$B$9+10*(Presion_cilindro!$B$9-1)*Presion_cilindro!$B$33*(IF(Presion_cilindro!N86&gt;(-I$4+Presion_cilindro!$B$34),1-EXP(-Presion_cilindro!$B$16*((Presion_cilindro!N86-(-I$4+Presion_cilindro!$B$34))/Presion_cilindro!$B$35)^(Presion_cilindro!$B$17+1)),0)-IF(Presion_cilindro!N85&gt;(-I$4+Presion_cilindro!$B$34),1-EXP(-Presion_cilindro!$B$16*((Presion_cilindro!N85-(-I$4+Presion_cilindro!$B$34))/Presion_cilindro!$B$35)^(Presion_cilindro!$B$17+1)),0))/((Presion_cilindro!O85+Presion_cilindro!O86)/2)</f>
        <v>0.80731617779825948</v>
      </c>
      <c r="J94" s="27">
        <f>J93*(Presion_cilindro!O85/Presion_cilindro!O86)^Presion_cilindro!$B$9+10*(Presion_cilindro!$B$9-1)*Presion_cilindro!$B$33*(IF(Presion_cilindro!N86&gt;(-J$4+Presion_cilindro!$B$34),1-EXP(-Presion_cilindro!$B$16*((Presion_cilindro!N86-(-J$4+Presion_cilindro!$B$34))/Presion_cilindro!$B$35)^(Presion_cilindro!$B$17+1)),0)-IF(Presion_cilindro!N85&gt;(-J$4+Presion_cilindro!$B$34),1-EXP(-Presion_cilindro!$B$16*((Presion_cilindro!N85-(-J$4+Presion_cilindro!$B$34))/Presion_cilindro!$B$35)^(Presion_cilindro!$B$17+1)),0))/((Presion_cilindro!O85+Presion_cilindro!O86)/2)</f>
        <v>0.80731617779825948</v>
      </c>
      <c r="K94" s="27">
        <f>K93*(Presion_cilindro!O85/Presion_cilindro!O86)^Presion_cilindro!$B$9+10*(Presion_cilindro!$B$9-1)*Presion_cilindro!$B$33*(IF(Presion_cilindro!N86&gt;(-K$4+Presion_cilindro!$B$34),1-EXP(-Presion_cilindro!$B$16*((Presion_cilindro!N86-(-K$4+Presion_cilindro!$B$34))/Presion_cilindro!$B$35)^(Presion_cilindro!$B$17+1)),0)-IF(Presion_cilindro!N85&gt;(-K$4+Presion_cilindro!$B$34),1-EXP(-Presion_cilindro!$B$16*((Presion_cilindro!N85-(-K$4+Presion_cilindro!$B$34))/Presion_cilindro!$B$35)^(Presion_cilindro!$B$17+1)),0))/((Presion_cilindro!O85+Presion_cilindro!O86)/2)</f>
        <v>0.80731617779825948</v>
      </c>
      <c r="L94" s="27">
        <f>L93*(Presion_cilindro!O85/Presion_cilindro!O86)^Presion_cilindro!$B$9+10*(Presion_cilindro!$B$9-1)*Presion_cilindro!$B$33*(IF(Presion_cilindro!N86&gt;(-L$4+Presion_cilindro!$B$34),1-EXP(-Presion_cilindro!$B$16*((Presion_cilindro!N86-(-L$4+Presion_cilindro!$B$34))/Presion_cilindro!$B$35)^(Presion_cilindro!$B$17+1)),0)-IF(Presion_cilindro!N85&gt;(-L$4+Presion_cilindro!$B$34),1-EXP(-Presion_cilindro!$B$16*((Presion_cilindro!N85-(-L$4+Presion_cilindro!$B$34))/Presion_cilindro!$B$35)^(Presion_cilindro!$B$17+1)),0))/((Presion_cilindro!O85+Presion_cilindro!O86)/2)</f>
        <v>0.80731617779825948</v>
      </c>
      <c r="M94" s="27">
        <f>M93*(Presion_cilindro!O85/Presion_cilindro!O86)^Presion_cilindro!$B$9+10*(Presion_cilindro!$B$9-1)*Presion_cilindro!$B$33*(IF(Presion_cilindro!N86&gt;(-M$4+Presion_cilindro!$B$34),1-EXP(-Presion_cilindro!$B$16*((Presion_cilindro!N86-(-M$4+Presion_cilindro!$B$34))/Presion_cilindro!$B$35)^(Presion_cilindro!$B$17+1)),0)-IF(Presion_cilindro!N85&gt;(-M$4+Presion_cilindro!$B$34),1-EXP(-Presion_cilindro!$B$16*((Presion_cilindro!N85-(-M$4+Presion_cilindro!$B$34))/Presion_cilindro!$B$35)^(Presion_cilindro!$B$17+1)),0))/((Presion_cilindro!O85+Presion_cilindro!O86)/2)</f>
        <v>0.80731617779825948</v>
      </c>
      <c r="N94" s="27">
        <f>N93*(Presion_cilindro!O85/Presion_cilindro!O86)^Presion_cilindro!$B$9+10*(Presion_cilindro!$B$9-1)*Presion_cilindro!$B$33*(IF(Presion_cilindro!N86&gt;(-N$4+Presion_cilindro!$B$34),1-EXP(-Presion_cilindro!$B$16*((Presion_cilindro!N86-(-N$4+Presion_cilindro!$B$34))/Presion_cilindro!$B$35)^(Presion_cilindro!$B$17+1)),0)-IF(Presion_cilindro!N85&gt;(-N$4+Presion_cilindro!$B$34),1-EXP(-Presion_cilindro!$B$16*((Presion_cilindro!N85-(-N$4+Presion_cilindro!$B$34))/Presion_cilindro!$B$35)^(Presion_cilindro!$B$17+1)),0))/((Presion_cilindro!O85+Presion_cilindro!O86)/2)</f>
        <v>0.80731617779825948</v>
      </c>
    </row>
    <row r="95" spans="1:14" x14ac:dyDescent="0.25">
      <c r="A95" s="21">
        <f>Presion_cilindro!N87</f>
        <v>-138.5</v>
      </c>
      <c r="B95" s="27">
        <f>B94*(Presion_cilindro!O86/Presion_cilindro!O87)^Presion_cilindro!$B$9+10*(Presion_cilindro!$B$9-1)*Presion_cilindro!$B$33*(IF(Presion_cilindro!N87&gt;(-B$4+Presion_cilindro!$B$34),1-EXP(-Presion_cilindro!$B$16*((Presion_cilindro!N87-(-B$4+Presion_cilindro!$B$34))/Presion_cilindro!$B$35)^(Presion_cilindro!$B$17+1)),0)-IF(Presion_cilindro!N86&gt;(-B$4+Presion_cilindro!$B$34),1-EXP(-Presion_cilindro!$B$16*((Presion_cilindro!N86-(-B$4+Presion_cilindro!$B$34))/Presion_cilindro!$B$35)^(Presion_cilindro!$B$17+1)),0))/((Presion_cilindro!O86+Presion_cilindro!O87)/2)</f>
        <v>0.80968954133901072</v>
      </c>
      <c r="C95" s="27">
        <f>C94*(Presion_cilindro!O86/Presion_cilindro!O87)^Presion_cilindro!$B$9+10*(Presion_cilindro!$B$9-1)*Presion_cilindro!$B$33*(IF(Presion_cilindro!N87&gt;(-C$4+Presion_cilindro!$B$34),1-EXP(-Presion_cilindro!$B$16*((Presion_cilindro!N87-(-C$4+Presion_cilindro!$B$34))/Presion_cilindro!$B$35)^(Presion_cilindro!$B$17+1)),0)-IF(Presion_cilindro!N86&gt;(-C$4+Presion_cilindro!$B$34),1-EXP(-Presion_cilindro!$B$16*((Presion_cilindro!N86-(-C$4+Presion_cilindro!$B$34))/Presion_cilindro!$B$35)^(Presion_cilindro!$B$17+1)),0))/((Presion_cilindro!O86+Presion_cilindro!O87)/2)</f>
        <v>0.80968954133901072</v>
      </c>
      <c r="D95" s="27">
        <f>D94*(Presion_cilindro!O86/Presion_cilindro!O87)^Presion_cilindro!$B$9+10*(Presion_cilindro!$B$9-1)*Presion_cilindro!$B$33*(IF(Presion_cilindro!N87&gt;(-D$4+Presion_cilindro!$B$34),1-EXP(-Presion_cilindro!$B$16*((Presion_cilindro!N87-(-D$4+Presion_cilindro!$B$34))/Presion_cilindro!$B$35)^(Presion_cilindro!$B$17+1)),0)-IF(Presion_cilindro!N86&gt;(-D$4+Presion_cilindro!$B$34),1-EXP(-Presion_cilindro!$B$16*((Presion_cilindro!N86-(-D$4+Presion_cilindro!$B$34))/Presion_cilindro!$B$35)^(Presion_cilindro!$B$17+1)),0))/((Presion_cilindro!O86+Presion_cilindro!O87)/2)</f>
        <v>0.80968954133901072</v>
      </c>
      <c r="E95" s="27">
        <f>E94*(Presion_cilindro!O86/Presion_cilindro!O87)^Presion_cilindro!$B$9+10*(Presion_cilindro!$B$9-1)*Presion_cilindro!$B$33*(IF(Presion_cilindro!N87&gt;(-E$4+Presion_cilindro!$B$34),1-EXP(-Presion_cilindro!$B$16*((Presion_cilindro!N87-(-E$4+Presion_cilindro!$B$34))/Presion_cilindro!$B$35)^(Presion_cilindro!$B$17+1)),0)-IF(Presion_cilindro!N86&gt;(-E$4+Presion_cilindro!$B$34),1-EXP(-Presion_cilindro!$B$16*((Presion_cilindro!N86-(-E$4+Presion_cilindro!$B$34))/Presion_cilindro!$B$35)^(Presion_cilindro!$B$17+1)),0))/((Presion_cilindro!O86+Presion_cilindro!O87)/2)</f>
        <v>0.80968954133901072</v>
      </c>
      <c r="F95" s="27">
        <f>F94*(Presion_cilindro!O86/Presion_cilindro!O87)^Presion_cilindro!$B$9+10*(Presion_cilindro!$B$9-1)*Presion_cilindro!$B$33*(IF(Presion_cilindro!N87&gt;(-F$4+Presion_cilindro!$B$34),1-EXP(-Presion_cilindro!$B$16*((Presion_cilindro!N87-(-F$4+Presion_cilindro!$B$34))/Presion_cilindro!$B$35)^(Presion_cilindro!$B$17+1)),0)-IF(Presion_cilindro!N86&gt;(-F$4+Presion_cilindro!$B$34),1-EXP(-Presion_cilindro!$B$16*((Presion_cilindro!N86-(-F$4+Presion_cilindro!$B$34))/Presion_cilindro!$B$35)^(Presion_cilindro!$B$17+1)),0))/((Presion_cilindro!O86+Presion_cilindro!O87)/2)</f>
        <v>0.80968954133901072</v>
      </c>
      <c r="G95" s="27">
        <f>G94*(Presion_cilindro!O86/Presion_cilindro!O87)^Presion_cilindro!$B$9+10*(Presion_cilindro!$B$9-1)*Presion_cilindro!$B$33*(IF(Presion_cilindro!N87&gt;(-G$4+Presion_cilindro!$B$34),1-EXP(-Presion_cilindro!$B$16*((Presion_cilindro!N87-(-G$4+Presion_cilindro!$B$34))/Presion_cilindro!$B$35)^(Presion_cilindro!$B$17+1)),0)-IF(Presion_cilindro!N86&gt;(-G$4+Presion_cilindro!$B$34),1-EXP(-Presion_cilindro!$B$16*((Presion_cilindro!N86-(-G$4+Presion_cilindro!$B$34))/Presion_cilindro!$B$35)^(Presion_cilindro!$B$17+1)),0))/((Presion_cilindro!O86+Presion_cilindro!O87)/2)</f>
        <v>0.80968954133901072</v>
      </c>
      <c r="H95" s="27">
        <f>H94*(Presion_cilindro!O86/Presion_cilindro!O87)^Presion_cilindro!$B$9+10*(Presion_cilindro!$B$9-1)*Presion_cilindro!$B$33*(IF(Presion_cilindro!N87&gt;(-H$4+Presion_cilindro!$B$34),1-EXP(-Presion_cilindro!$B$16*((Presion_cilindro!N87-(-H$4+Presion_cilindro!$B$34))/Presion_cilindro!$B$35)^(Presion_cilindro!$B$17+1)),0)-IF(Presion_cilindro!N86&gt;(-H$4+Presion_cilindro!$B$34),1-EXP(-Presion_cilindro!$B$16*((Presion_cilindro!N86-(-H$4+Presion_cilindro!$B$34))/Presion_cilindro!$B$35)^(Presion_cilindro!$B$17+1)),0))/((Presion_cilindro!O86+Presion_cilindro!O87)/2)</f>
        <v>0.80968954133901072</v>
      </c>
      <c r="I95" s="27">
        <f>I94*(Presion_cilindro!O86/Presion_cilindro!O87)^Presion_cilindro!$B$9+10*(Presion_cilindro!$B$9-1)*Presion_cilindro!$B$33*(IF(Presion_cilindro!N87&gt;(-I$4+Presion_cilindro!$B$34),1-EXP(-Presion_cilindro!$B$16*((Presion_cilindro!N87-(-I$4+Presion_cilindro!$B$34))/Presion_cilindro!$B$35)^(Presion_cilindro!$B$17+1)),0)-IF(Presion_cilindro!N86&gt;(-I$4+Presion_cilindro!$B$34),1-EXP(-Presion_cilindro!$B$16*((Presion_cilindro!N86-(-I$4+Presion_cilindro!$B$34))/Presion_cilindro!$B$35)^(Presion_cilindro!$B$17+1)),0))/((Presion_cilindro!O86+Presion_cilindro!O87)/2)</f>
        <v>0.80968954133901072</v>
      </c>
      <c r="J95" s="27">
        <f>J94*(Presion_cilindro!O86/Presion_cilindro!O87)^Presion_cilindro!$B$9+10*(Presion_cilindro!$B$9-1)*Presion_cilindro!$B$33*(IF(Presion_cilindro!N87&gt;(-J$4+Presion_cilindro!$B$34),1-EXP(-Presion_cilindro!$B$16*((Presion_cilindro!N87-(-J$4+Presion_cilindro!$B$34))/Presion_cilindro!$B$35)^(Presion_cilindro!$B$17+1)),0)-IF(Presion_cilindro!N86&gt;(-J$4+Presion_cilindro!$B$34),1-EXP(-Presion_cilindro!$B$16*((Presion_cilindro!N86-(-J$4+Presion_cilindro!$B$34))/Presion_cilindro!$B$35)^(Presion_cilindro!$B$17+1)),0))/((Presion_cilindro!O86+Presion_cilindro!O87)/2)</f>
        <v>0.80968954133901072</v>
      </c>
      <c r="K95" s="27">
        <f>K94*(Presion_cilindro!O86/Presion_cilindro!O87)^Presion_cilindro!$B$9+10*(Presion_cilindro!$B$9-1)*Presion_cilindro!$B$33*(IF(Presion_cilindro!N87&gt;(-K$4+Presion_cilindro!$B$34),1-EXP(-Presion_cilindro!$B$16*((Presion_cilindro!N87-(-K$4+Presion_cilindro!$B$34))/Presion_cilindro!$B$35)^(Presion_cilindro!$B$17+1)),0)-IF(Presion_cilindro!N86&gt;(-K$4+Presion_cilindro!$B$34),1-EXP(-Presion_cilindro!$B$16*((Presion_cilindro!N86-(-K$4+Presion_cilindro!$B$34))/Presion_cilindro!$B$35)^(Presion_cilindro!$B$17+1)),0))/((Presion_cilindro!O86+Presion_cilindro!O87)/2)</f>
        <v>0.80968954133901072</v>
      </c>
      <c r="L95" s="27">
        <f>L94*(Presion_cilindro!O86/Presion_cilindro!O87)^Presion_cilindro!$B$9+10*(Presion_cilindro!$B$9-1)*Presion_cilindro!$B$33*(IF(Presion_cilindro!N87&gt;(-L$4+Presion_cilindro!$B$34),1-EXP(-Presion_cilindro!$B$16*((Presion_cilindro!N87-(-L$4+Presion_cilindro!$B$34))/Presion_cilindro!$B$35)^(Presion_cilindro!$B$17+1)),0)-IF(Presion_cilindro!N86&gt;(-L$4+Presion_cilindro!$B$34),1-EXP(-Presion_cilindro!$B$16*((Presion_cilindro!N86-(-L$4+Presion_cilindro!$B$34))/Presion_cilindro!$B$35)^(Presion_cilindro!$B$17+1)),0))/((Presion_cilindro!O86+Presion_cilindro!O87)/2)</f>
        <v>0.80968954133901072</v>
      </c>
      <c r="M95" s="27">
        <f>M94*(Presion_cilindro!O86/Presion_cilindro!O87)^Presion_cilindro!$B$9+10*(Presion_cilindro!$B$9-1)*Presion_cilindro!$B$33*(IF(Presion_cilindro!N87&gt;(-M$4+Presion_cilindro!$B$34),1-EXP(-Presion_cilindro!$B$16*((Presion_cilindro!N87-(-M$4+Presion_cilindro!$B$34))/Presion_cilindro!$B$35)^(Presion_cilindro!$B$17+1)),0)-IF(Presion_cilindro!N86&gt;(-M$4+Presion_cilindro!$B$34),1-EXP(-Presion_cilindro!$B$16*((Presion_cilindro!N86-(-M$4+Presion_cilindro!$B$34))/Presion_cilindro!$B$35)^(Presion_cilindro!$B$17+1)),0))/((Presion_cilindro!O86+Presion_cilindro!O87)/2)</f>
        <v>0.80968954133901072</v>
      </c>
      <c r="N95" s="27">
        <f>N94*(Presion_cilindro!O86/Presion_cilindro!O87)^Presion_cilindro!$B$9+10*(Presion_cilindro!$B$9-1)*Presion_cilindro!$B$33*(IF(Presion_cilindro!N87&gt;(-N$4+Presion_cilindro!$B$34),1-EXP(-Presion_cilindro!$B$16*((Presion_cilindro!N87-(-N$4+Presion_cilindro!$B$34))/Presion_cilindro!$B$35)^(Presion_cilindro!$B$17+1)),0)-IF(Presion_cilindro!N86&gt;(-N$4+Presion_cilindro!$B$34),1-EXP(-Presion_cilindro!$B$16*((Presion_cilindro!N86-(-N$4+Presion_cilindro!$B$34))/Presion_cilindro!$B$35)^(Presion_cilindro!$B$17+1)),0))/((Presion_cilindro!O86+Presion_cilindro!O87)/2)</f>
        <v>0.80968954133901072</v>
      </c>
    </row>
    <row r="96" spans="1:14" x14ac:dyDescent="0.25">
      <c r="A96" s="21">
        <f>Presion_cilindro!N88</f>
        <v>-138</v>
      </c>
      <c r="B96" s="27">
        <f>B95*(Presion_cilindro!O87/Presion_cilindro!O88)^Presion_cilindro!$B$9+10*(Presion_cilindro!$B$9-1)*Presion_cilindro!$B$33*(IF(Presion_cilindro!N88&gt;(-B$4+Presion_cilindro!$B$34),1-EXP(-Presion_cilindro!$B$16*((Presion_cilindro!N88-(-B$4+Presion_cilindro!$B$34))/Presion_cilindro!$B$35)^(Presion_cilindro!$B$17+1)),0)-IF(Presion_cilindro!N87&gt;(-B$4+Presion_cilindro!$B$34),1-EXP(-Presion_cilindro!$B$16*((Presion_cilindro!N87-(-B$4+Presion_cilindro!$B$34))/Presion_cilindro!$B$35)^(Presion_cilindro!$B$17+1)),0))/((Presion_cilindro!O87+Presion_cilindro!O88)/2)</f>
        <v>0.81210381976717461</v>
      </c>
      <c r="C96" s="27">
        <f>C95*(Presion_cilindro!O87/Presion_cilindro!O88)^Presion_cilindro!$B$9+10*(Presion_cilindro!$B$9-1)*Presion_cilindro!$B$33*(IF(Presion_cilindro!N88&gt;(-C$4+Presion_cilindro!$B$34),1-EXP(-Presion_cilindro!$B$16*((Presion_cilindro!N88-(-C$4+Presion_cilindro!$B$34))/Presion_cilindro!$B$35)^(Presion_cilindro!$B$17+1)),0)-IF(Presion_cilindro!N87&gt;(-C$4+Presion_cilindro!$B$34),1-EXP(-Presion_cilindro!$B$16*((Presion_cilindro!N87-(-C$4+Presion_cilindro!$B$34))/Presion_cilindro!$B$35)^(Presion_cilindro!$B$17+1)),0))/((Presion_cilindro!O87+Presion_cilindro!O88)/2)</f>
        <v>0.81210381976717461</v>
      </c>
      <c r="D96" s="27">
        <f>D95*(Presion_cilindro!O87/Presion_cilindro!O88)^Presion_cilindro!$B$9+10*(Presion_cilindro!$B$9-1)*Presion_cilindro!$B$33*(IF(Presion_cilindro!N88&gt;(-D$4+Presion_cilindro!$B$34),1-EXP(-Presion_cilindro!$B$16*((Presion_cilindro!N88-(-D$4+Presion_cilindro!$B$34))/Presion_cilindro!$B$35)^(Presion_cilindro!$B$17+1)),0)-IF(Presion_cilindro!N87&gt;(-D$4+Presion_cilindro!$B$34),1-EXP(-Presion_cilindro!$B$16*((Presion_cilindro!N87-(-D$4+Presion_cilindro!$B$34))/Presion_cilindro!$B$35)^(Presion_cilindro!$B$17+1)),0))/((Presion_cilindro!O87+Presion_cilindro!O88)/2)</f>
        <v>0.81210381976717461</v>
      </c>
      <c r="E96" s="27">
        <f>E95*(Presion_cilindro!O87/Presion_cilindro!O88)^Presion_cilindro!$B$9+10*(Presion_cilindro!$B$9-1)*Presion_cilindro!$B$33*(IF(Presion_cilindro!N88&gt;(-E$4+Presion_cilindro!$B$34),1-EXP(-Presion_cilindro!$B$16*((Presion_cilindro!N88-(-E$4+Presion_cilindro!$B$34))/Presion_cilindro!$B$35)^(Presion_cilindro!$B$17+1)),0)-IF(Presion_cilindro!N87&gt;(-E$4+Presion_cilindro!$B$34),1-EXP(-Presion_cilindro!$B$16*((Presion_cilindro!N87-(-E$4+Presion_cilindro!$B$34))/Presion_cilindro!$B$35)^(Presion_cilindro!$B$17+1)),0))/((Presion_cilindro!O87+Presion_cilindro!O88)/2)</f>
        <v>0.81210381976717461</v>
      </c>
      <c r="F96" s="27">
        <f>F95*(Presion_cilindro!O87/Presion_cilindro!O88)^Presion_cilindro!$B$9+10*(Presion_cilindro!$B$9-1)*Presion_cilindro!$B$33*(IF(Presion_cilindro!N88&gt;(-F$4+Presion_cilindro!$B$34),1-EXP(-Presion_cilindro!$B$16*((Presion_cilindro!N88-(-F$4+Presion_cilindro!$B$34))/Presion_cilindro!$B$35)^(Presion_cilindro!$B$17+1)),0)-IF(Presion_cilindro!N87&gt;(-F$4+Presion_cilindro!$B$34),1-EXP(-Presion_cilindro!$B$16*((Presion_cilindro!N87-(-F$4+Presion_cilindro!$B$34))/Presion_cilindro!$B$35)^(Presion_cilindro!$B$17+1)),0))/((Presion_cilindro!O87+Presion_cilindro!O88)/2)</f>
        <v>0.81210381976717461</v>
      </c>
      <c r="G96" s="27">
        <f>G95*(Presion_cilindro!O87/Presion_cilindro!O88)^Presion_cilindro!$B$9+10*(Presion_cilindro!$B$9-1)*Presion_cilindro!$B$33*(IF(Presion_cilindro!N88&gt;(-G$4+Presion_cilindro!$B$34),1-EXP(-Presion_cilindro!$B$16*((Presion_cilindro!N88-(-G$4+Presion_cilindro!$B$34))/Presion_cilindro!$B$35)^(Presion_cilindro!$B$17+1)),0)-IF(Presion_cilindro!N87&gt;(-G$4+Presion_cilindro!$B$34),1-EXP(-Presion_cilindro!$B$16*((Presion_cilindro!N87-(-G$4+Presion_cilindro!$B$34))/Presion_cilindro!$B$35)^(Presion_cilindro!$B$17+1)),0))/((Presion_cilindro!O87+Presion_cilindro!O88)/2)</f>
        <v>0.81210381976717461</v>
      </c>
      <c r="H96" s="27">
        <f>H95*(Presion_cilindro!O87/Presion_cilindro!O88)^Presion_cilindro!$B$9+10*(Presion_cilindro!$B$9-1)*Presion_cilindro!$B$33*(IF(Presion_cilindro!N88&gt;(-H$4+Presion_cilindro!$B$34),1-EXP(-Presion_cilindro!$B$16*((Presion_cilindro!N88-(-H$4+Presion_cilindro!$B$34))/Presion_cilindro!$B$35)^(Presion_cilindro!$B$17+1)),0)-IF(Presion_cilindro!N87&gt;(-H$4+Presion_cilindro!$B$34),1-EXP(-Presion_cilindro!$B$16*((Presion_cilindro!N87-(-H$4+Presion_cilindro!$B$34))/Presion_cilindro!$B$35)^(Presion_cilindro!$B$17+1)),0))/((Presion_cilindro!O87+Presion_cilindro!O88)/2)</f>
        <v>0.81210381976717461</v>
      </c>
      <c r="I96" s="27">
        <f>I95*(Presion_cilindro!O87/Presion_cilindro!O88)^Presion_cilindro!$B$9+10*(Presion_cilindro!$B$9-1)*Presion_cilindro!$B$33*(IF(Presion_cilindro!N88&gt;(-I$4+Presion_cilindro!$B$34),1-EXP(-Presion_cilindro!$B$16*((Presion_cilindro!N88-(-I$4+Presion_cilindro!$B$34))/Presion_cilindro!$B$35)^(Presion_cilindro!$B$17+1)),0)-IF(Presion_cilindro!N87&gt;(-I$4+Presion_cilindro!$B$34),1-EXP(-Presion_cilindro!$B$16*((Presion_cilindro!N87-(-I$4+Presion_cilindro!$B$34))/Presion_cilindro!$B$35)^(Presion_cilindro!$B$17+1)),0))/((Presion_cilindro!O87+Presion_cilindro!O88)/2)</f>
        <v>0.81210381976717461</v>
      </c>
      <c r="J96" s="27">
        <f>J95*(Presion_cilindro!O87/Presion_cilindro!O88)^Presion_cilindro!$B$9+10*(Presion_cilindro!$B$9-1)*Presion_cilindro!$B$33*(IF(Presion_cilindro!N88&gt;(-J$4+Presion_cilindro!$B$34),1-EXP(-Presion_cilindro!$B$16*((Presion_cilindro!N88-(-J$4+Presion_cilindro!$B$34))/Presion_cilindro!$B$35)^(Presion_cilindro!$B$17+1)),0)-IF(Presion_cilindro!N87&gt;(-J$4+Presion_cilindro!$B$34),1-EXP(-Presion_cilindro!$B$16*((Presion_cilindro!N87-(-J$4+Presion_cilindro!$B$34))/Presion_cilindro!$B$35)^(Presion_cilindro!$B$17+1)),0))/((Presion_cilindro!O87+Presion_cilindro!O88)/2)</f>
        <v>0.81210381976717461</v>
      </c>
      <c r="K96" s="27">
        <f>K95*(Presion_cilindro!O87/Presion_cilindro!O88)^Presion_cilindro!$B$9+10*(Presion_cilindro!$B$9-1)*Presion_cilindro!$B$33*(IF(Presion_cilindro!N88&gt;(-K$4+Presion_cilindro!$B$34),1-EXP(-Presion_cilindro!$B$16*((Presion_cilindro!N88-(-K$4+Presion_cilindro!$B$34))/Presion_cilindro!$B$35)^(Presion_cilindro!$B$17+1)),0)-IF(Presion_cilindro!N87&gt;(-K$4+Presion_cilindro!$B$34),1-EXP(-Presion_cilindro!$B$16*((Presion_cilindro!N87-(-K$4+Presion_cilindro!$B$34))/Presion_cilindro!$B$35)^(Presion_cilindro!$B$17+1)),0))/((Presion_cilindro!O87+Presion_cilindro!O88)/2)</f>
        <v>0.81210381976717461</v>
      </c>
      <c r="L96" s="27">
        <f>L95*(Presion_cilindro!O87/Presion_cilindro!O88)^Presion_cilindro!$B$9+10*(Presion_cilindro!$B$9-1)*Presion_cilindro!$B$33*(IF(Presion_cilindro!N88&gt;(-L$4+Presion_cilindro!$B$34),1-EXP(-Presion_cilindro!$B$16*((Presion_cilindro!N88-(-L$4+Presion_cilindro!$B$34))/Presion_cilindro!$B$35)^(Presion_cilindro!$B$17+1)),0)-IF(Presion_cilindro!N87&gt;(-L$4+Presion_cilindro!$B$34),1-EXP(-Presion_cilindro!$B$16*((Presion_cilindro!N87-(-L$4+Presion_cilindro!$B$34))/Presion_cilindro!$B$35)^(Presion_cilindro!$B$17+1)),0))/((Presion_cilindro!O87+Presion_cilindro!O88)/2)</f>
        <v>0.81210381976717461</v>
      </c>
      <c r="M96" s="27">
        <f>M95*(Presion_cilindro!O87/Presion_cilindro!O88)^Presion_cilindro!$B$9+10*(Presion_cilindro!$B$9-1)*Presion_cilindro!$B$33*(IF(Presion_cilindro!N88&gt;(-M$4+Presion_cilindro!$B$34),1-EXP(-Presion_cilindro!$B$16*((Presion_cilindro!N88-(-M$4+Presion_cilindro!$B$34))/Presion_cilindro!$B$35)^(Presion_cilindro!$B$17+1)),0)-IF(Presion_cilindro!N87&gt;(-M$4+Presion_cilindro!$B$34),1-EXP(-Presion_cilindro!$B$16*((Presion_cilindro!N87-(-M$4+Presion_cilindro!$B$34))/Presion_cilindro!$B$35)^(Presion_cilindro!$B$17+1)),0))/((Presion_cilindro!O87+Presion_cilindro!O88)/2)</f>
        <v>0.81210381976717461</v>
      </c>
      <c r="N96" s="27">
        <f>N95*(Presion_cilindro!O87/Presion_cilindro!O88)^Presion_cilindro!$B$9+10*(Presion_cilindro!$B$9-1)*Presion_cilindro!$B$33*(IF(Presion_cilindro!N88&gt;(-N$4+Presion_cilindro!$B$34),1-EXP(-Presion_cilindro!$B$16*((Presion_cilindro!N88-(-N$4+Presion_cilindro!$B$34))/Presion_cilindro!$B$35)^(Presion_cilindro!$B$17+1)),0)-IF(Presion_cilindro!N87&gt;(-N$4+Presion_cilindro!$B$34),1-EXP(-Presion_cilindro!$B$16*((Presion_cilindro!N87-(-N$4+Presion_cilindro!$B$34))/Presion_cilindro!$B$35)^(Presion_cilindro!$B$17+1)),0))/((Presion_cilindro!O87+Presion_cilindro!O88)/2)</f>
        <v>0.81210381976717461</v>
      </c>
    </row>
    <row r="97" spans="1:14" x14ac:dyDescent="0.25">
      <c r="A97" s="21">
        <f>Presion_cilindro!N89</f>
        <v>-137.5</v>
      </c>
      <c r="B97" s="27">
        <f>B96*(Presion_cilindro!O88/Presion_cilindro!O89)^Presion_cilindro!$B$9+10*(Presion_cilindro!$B$9-1)*Presion_cilindro!$B$33*(IF(Presion_cilindro!N89&gt;(-B$4+Presion_cilindro!$B$34),1-EXP(-Presion_cilindro!$B$16*((Presion_cilindro!N89-(-B$4+Presion_cilindro!$B$34))/Presion_cilindro!$B$35)^(Presion_cilindro!$B$17+1)),0)-IF(Presion_cilindro!N88&gt;(-B$4+Presion_cilindro!$B$34),1-EXP(-Presion_cilindro!$B$16*((Presion_cilindro!N88-(-B$4+Presion_cilindro!$B$34))/Presion_cilindro!$B$35)^(Presion_cilindro!$B$17+1)),0))/((Presion_cilindro!O88+Presion_cilindro!O89)/2)</f>
        <v>0.81455952147718225</v>
      </c>
      <c r="C97" s="27">
        <f>C96*(Presion_cilindro!O88/Presion_cilindro!O89)^Presion_cilindro!$B$9+10*(Presion_cilindro!$B$9-1)*Presion_cilindro!$B$33*(IF(Presion_cilindro!N89&gt;(-C$4+Presion_cilindro!$B$34),1-EXP(-Presion_cilindro!$B$16*((Presion_cilindro!N89-(-C$4+Presion_cilindro!$B$34))/Presion_cilindro!$B$35)^(Presion_cilindro!$B$17+1)),0)-IF(Presion_cilindro!N88&gt;(-C$4+Presion_cilindro!$B$34),1-EXP(-Presion_cilindro!$B$16*((Presion_cilindro!N88-(-C$4+Presion_cilindro!$B$34))/Presion_cilindro!$B$35)^(Presion_cilindro!$B$17+1)),0))/((Presion_cilindro!O88+Presion_cilindro!O89)/2)</f>
        <v>0.81455952147718225</v>
      </c>
      <c r="D97" s="27">
        <f>D96*(Presion_cilindro!O88/Presion_cilindro!O89)^Presion_cilindro!$B$9+10*(Presion_cilindro!$B$9-1)*Presion_cilindro!$B$33*(IF(Presion_cilindro!N89&gt;(-D$4+Presion_cilindro!$B$34),1-EXP(-Presion_cilindro!$B$16*((Presion_cilindro!N89-(-D$4+Presion_cilindro!$B$34))/Presion_cilindro!$B$35)^(Presion_cilindro!$B$17+1)),0)-IF(Presion_cilindro!N88&gt;(-D$4+Presion_cilindro!$B$34),1-EXP(-Presion_cilindro!$B$16*((Presion_cilindro!N88-(-D$4+Presion_cilindro!$B$34))/Presion_cilindro!$B$35)^(Presion_cilindro!$B$17+1)),0))/((Presion_cilindro!O88+Presion_cilindro!O89)/2)</f>
        <v>0.81455952147718225</v>
      </c>
      <c r="E97" s="27">
        <f>E96*(Presion_cilindro!O88/Presion_cilindro!O89)^Presion_cilindro!$B$9+10*(Presion_cilindro!$B$9-1)*Presion_cilindro!$B$33*(IF(Presion_cilindro!N89&gt;(-E$4+Presion_cilindro!$B$34),1-EXP(-Presion_cilindro!$B$16*((Presion_cilindro!N89-(-E$4+Presion_cilindro!$B$34))/Presion_cilindro!$B$35)^(Presion_cilindro!$B$17+1)),0)-IF(Presion_cilindro!N88&gt;(-E$4+Presion_cilindro!$B$34),1-EXP(-Presion_cilindro!$B$16*((Presion_cilindro!N88-(-E$4+Presion_cilindro!$B$34))/Presion_cilindro!$B$35)^(Presion_cilindro!$B$17+1)),0))/((Presion_cilindro!O88+Presion_cilindro!O89)/2)</f>
        <v>0.81455952147718225</v>
      </c>
      <c r="F97" s="27">
        <f>F96*(Presion_cilindro!O88/Presion_cilindro!O89)^Presion_cilindro!$B$9+10*(Presion_cilindro!$B$9-1)*Presion_cilindro!$B$33*(IF(Presion_cilindro!N89&gt;(-F$4+Presion_cilindro!$B$34),1-EXP(-Presion_cilindro!$B$16*((Presion_cilindro!N89-(-F$4+Presion_cilindro!$B$34))/Presion_cilindro!$B$35)^(Presion_cilindro!$B$17+1)),0)-IF(Presion_cilindro!N88&gt;(-F$4+Presion_cilindro!$B$34),1-EXP(-Presion_cilindro!$B$16*((Presion_cilindro!N88-(-F$4+Presion_cilindro!$B$34))/Presion_cilindro!$B$35)^(Presion_cilindro!$B$17+1)),0))/((Presion_cilindro!O88+Presion_cilindro!O89)/2)</f>
        <v>0.81455952147718225</v>
      </c>
      <c r="G97" s="27">
        <f>G96*(Presion_cilindro!O88/Presion_cilindro!O89)^Presion_cilindro!$B$9+10*(Presion_cilindro!$B$9-1)*Presion_cilindro!$B$33*(IF(Presion_cilindro!N89&gt;(-G$4+Presion_cilindro!$B$34),1-EXP(-Presion_cilindro!$B$16*((Presion_cilindro!N89-(-G$4+Presion_cilindro!$B$34))/Presion_cilindro!$B$35)^(Presion_cilindro!$B$17+1)),0)-IF(Presion_cilindro!N88&gt;(-G$4+Presion_cilindro!$B$34),1-EXP(-Presion_cilindro!$B$16*((Presion_cilindro!N88-(-G$4+Presion_cilindro!$B$34))/Presion_cilindro!$B$35)^(Presion_cilindro!$B$17+1)),0))/((Presion_cilindro!O88+Presion_cilindro!O89)/2)</f>
        <v>0.81455952147718225</v>
      </c>
      <c r="H97" s="27">
        <f>H96*(Presion_cilindro!O88/Presion_cilindro!O89)^Presion_cilindro!$B$9+10*(Presion_cilindro!$B$9-1)*Presion_cilindro!$B$33*(IF(Presion_cilindro!N89&gt;(-H$4+Presion_cilindro!$B$34),1-EXP(-Presion_cilindro!$B$16*((Presion_cilindro!N89-(-H$4+Presion_cilindro!$B$34))/Presion_cilindro!$B$35)^(Presion_cilindro!$B$17+1)),0)-IF(Presion_cilindro!N88&gt;(-H$4+Presion_cilindro!$B$34),1-EXP(-Presion_cilindro!$B$16*((Presion_cilindro!N88-(-H$4+Presion_cilindro!$B$34))/Presion_cilindro!$B$35)^(Presion_cilindro!$B$17+1)),0))/((Presion_cilindro!O88+Presion_cilindro!O89)/2)</f>
        <v>0.81455952147718225</v>
      </c>
      <c r="I97" s="27">
        <f>I96*(Presion_cilindro!O88/Presion_cilindro!O89)^Presion_cilindro!$B$9+10*(Presion_cilindro!$B$9-1)*Presion_cilindro!$B$33*(IF(Presion_cilindro!N89&gt;(-I$4+Presion_cilindro!$B$34),1-EXP(-Presion_cilindro!$B$16*((Presion_cilindro!N89-(-I$4+Presion_cilindro!$B$34))/Presion_cilindro!$B$35)^(Presion_cilindro!$B$17+1)),0)-IF(Presion_cilindro!N88&gt;(-I$4+Presion_cilindro!$B$34),1-EXP(-Presion_cilindro!$B$16*((Presion_cilindro!N88-(-I$4+Presion_cilindro!$B$34))/Presion_cilindro!$B$35)^(Presion_cilindro!$B$17+1)),0))/((Presion_cilindro!O88+Presion_cilindro!O89)/2)</f>
        <v>0.81455952147718225</v>
      </c>
      <c r="J97" s="27">
        <f>J96*(Presion_cilindro!O88/Presion_cilindro!O89)^Presion_cilindro!$B$9+10*(Presion_cilindro!$B$9-1)*Presion_cilindro!$B$33*(IF(Presion_cilindro!N89&gt;(-J$4+Presion_cilindro!$B$34),1-EXP(-Presion_cilindro!$B$16*((Presion_cilindro!N89-(-J$4+Presion_cilindro!$B$34))/Presion_cilindro!$B$35)^(Presion_cilindro!$B$17+1)),0)-IF(Presion_cilindro!N88&gt;(-J$4+Presion_cilindro!$B$34),1-EXP(-Presion_cilindro!$B$16*((Presion_cilindro!N88-(-J$4+Presion_cilindro!$B$34))/Presion_cilindro!$B$35)^(Presion_cilindro!$B$17+1)),0))/((Presion_cilindro!O88+Presion_cilindro!O89)/2)</f>
        <v>0.81455952147718225</v>
      </c>
      <c r="K97" s="27">
        <f>K96*(Presion_cilindro!O88/Presion_cilindro!O89)^Presion_cilindro!$B$9+10*(Presion_cilindro!$B$9-1)*Presion_cilindro!$B$33*(IF(Presion_cilindro!N89&gt;(-K$4+Presion_cilindro!$B$34),1-EXP(-Presion_cilindro!$B$16*((Presion_cilindro!N89-(-K$4+Presion_cilindro!$B$34))/Presion_cilindro!$B$35)^(Presion_cilindro!$B$17+1)),0)-IF(Presion_cilindro!N88&gt;(-K$4+Presion_cilindro!$B$34),1-EXP(-Presion_cilindro!$B$16*((Presion_cilindro!N88-(-K$4+Presion_cilindro!$B$34))/Presion_cilindro!$B$35)^(Presion_cilindro!$B$17+1)),0))/((Presion_cilindro!O88+Presion_cilindro!O89)/2)</f>
        <v>0.81455952147718225</v>
      </c>
      <c r="L97" s="27">
        <f>L96*(Presion_cilindro!O88/Presion_cilindro!O89)^Presion_cilindro!$B$9+10*(Presion_cilindro!$B$9-1)*Presion_cilindro!$B$33*(IF(Presion_cilindro!N89&gt;(-L$4+Presion_cilindro!$B$34),1-EXP(-Presion_cilindro!$B$16*((Presion_cilindro!N89-(-L$4+Presion_cilindro!$B$34))/Presion_cilindro!$B$35)^(Presion_cilindro!$B$17+1)),0)-IF(Presion_cilindro!N88&gt;(-L$4+Presion_cilindro!$B$34),1-EXP(-Presion_cilindro!$B$16*((Presion_cilindro!N88-(-L$4+Presion_cilindro!$B$34))/Presion_cilindro!$B$35)^(Presion_cilindro!$B$17+1)),0))/((Presion_cilindro!O88+Presion_cilindro!O89)/2)</f>
        <v>0.81455952147718225</v>
      </c>
      <c r="M97" s="27">
        <f>M96*(Presion_cilindro!O88/Presion_cilindro!O89)^Presion_cilindro!$B$9+10*(Presion_cilindro!$B$9-1)*Presion_cilindro!$B$33*(IF(Presion_cilindro!N89&gt;(-M$4+Presion_cilindro!$B$34),1-EXP(-Presion_cilindro!$B$16*((Presion_cilindro!N89-(-M$4+Presion_cilindro!$B$34))/Presion_cilindro!$B$35)^(Presion_cilindro!$B$17+1)),0)-IF(Presion_cilindro!N88&gt;(-M$4+Presion_cilindro!$B$34),1-EXP(-Presion_cilindro!$B$16*((Presion_cilindro!N88-(-M$4+Presion_cilindro!$B$34))/Presion_cilindro!$B$35)^(Presion_cilindro!$B$17+1)),0))/((Presion_cilindro!O88+Presion_cilindro!O89)/2)</f>
        <v>0.81455952147718225</v>
      </c>
      <c r="N97" s="27">
        <f>N96*(Presion_cilindro!O88/Presion_cilindro!O89)^Presion_cilindro!$B$9+10*(Presion_cilindro!$B$9-1)*Presion_cilindro!$B$33*(IF(Presion_cilindro!N89&gt;(-N$4+Presion_cilindro!$B$34),1-EXP(-Presion_cilindro!$B$16*((Presion_cilindro!N89-(-N$4+Presion_cilindro!$B$34))/Presion_cilindro!$B$35)^(Presion_cilindro!$B$17+1)),0)-IF(Presion_cilindro!N88&gt;(-N$4+Presion_cilindro!$B$34),1-EXP(-Presion_cilindro!$B$16*((Presion_cilindro!N88-(-N$4+Presion_cilindro!$B$34))/Presion_cilindro!$B$35)^(Presion_cilindro!$B$17+1)),0))/((Presion_cilindro!O88+Presion_cilindro!O89)/2)</f>
        <v>0.81455952147718225</v>
      </c>
    </row>
    <row r="98" spans="1:14" x14ac:dyDescent="0.25">
      <c r="A98" s="21">
        <f>Presion_cilindro!N90</f>
        <v>-137</v>
      </c>
      <c r="B98" s="27">
        <f>B97*(Presion_cilindro!O89/Presion_cilindro!O90)^Presion_cilindro!$B$9+10*(Presion_cilindro!$B$9-1)*Presion_cilindro!$B$33*(IF(Presion_cilindro!N90&gt;(-B$4+Presion_cilindro!$B$34),1-EXP(-Presion_cilindro!$B$16*((Presion_cilindro!N90-(-B$4+Presion_cilindro!$B$34))/Presion_cilindro!$B$35)^(Presion_cilindro!$B$17+1)),0)-IF(Presion_cilindro!N89&gt;(-B$4+Presion_cilindro!$B$34),1-EXP(-Presion_cilindro!$B$16*((Presion_cilindro!N89-(-B$4+Presion_cilindro!$B$34))/Presion_cilindro!$B$35)^(Presion_cilindro!$B$17+1)),0))/((Presion_cilindro!O89+Presion_cilindro!O90)/2)</f>
        <v>0.81705716555466013</v>
      </c>
      <c r="C98" s="27">
        <f>C97*(Presion_cilindro!O89/Presion_cilindro!O90)^Presion_cilindro!$B$9+10*(Presion_cilindro!$B$9-1)*Presion_cilindro!$B$33*(IF(Presion_cilindro!N90&gt;(-C$4+Presion_cilindro!$B$34),1-EXP(-Presion_cilindro!$B$16*((Presion_cilindro!N90-(-C$4+Presion_cilindro!$B$34))/Presion_cilindro!$B$35)^(Presion_cilindro!$B$17+1)),0)-IF(Presion_cilindro!N89&gt;(-C$4+Presion_cilindro!$B$34),1-EXP(-Presion_cilindro!$B$16*((Presion_cilindro!N89-(-C$4+Presion_cilindro!$B$34))/Presion_cilindro!$B$35)^(Presion_cilindro!$B$17+1)),0))/((Presion_cilindro!O89+Presion_cilindro!O90)/2)</f>
        <v>0.81705716555466013</v>
      </c>
      <c r="D98" s="27">
        <f>D97*(Presion_cilindro!O89/Presion_cilindro!O90)^Presion_cilindro!$B$9+10*(Presion_cilindro!$B$9-1)*Presion_cilindro!$B$33*(IF(Presion_cilindro!N90&gt;(-D$4+Presion_cilindro!$B$34),1-EXP(-Presion_cilindro!$B$16*((Presion_cilindro!N90-(-D$4+Presion_cilindro!$B$34))/Presion_cilindro!$B$35)^(Presion_cilindro!$B$17+1)),0)-IF(Presion_cilindro!N89&gt;(-D$4+Presion_cilindro!$B$34),1-EXP(-Presion_cilindro!$B$16*((Presion_cilindro!N89-(-D$4+Presion_cilindro!$B$34))/Presion_cilindro!$B$35)^(Presion_cilindro!$B$17+1)),0))/((Presion_cilindro!O89+Presion_cilindro!O90)/2)</f>
        <v>0.81705716555466013</v>
      </c>
      <c r="E98" s="27">
        <f>E97*(Presion_cilindro!O89/Presion_cilindro!O90)^Presion_cilindro!$B$9+10*(Presion_cilindro!$B$9-1)*Presion_cilindro!$B$33*(IF(Presion_cilindro!N90&gt;(-E$4+Presion_cilindro!$B$34),1-EXP(-Presion_cilindro!$B$16*((Presion_cilindro!N90-(-E$4+Presion_cilindro!$B$34))/Presion_cilindro!$B$35)^(Presion_cilindro!$B$17+1)),0)-IF(Presion_cilindro!N89&gt;(-E$4+Presion_cilindro!$B$34),1-EXP(-Presion_cilindro!$B$16*((Presion_cilindro!N89-(-E$4+Presion_cilindro!$B$34))/Presion_cilindro!$B$35)^(Presion_cilindro!$B$17+1)),0))/((Presion_cilindro!O89+Presion_cilindro!O90)/2)</f>
        <v>0.81705716555466013</v>
      </c>
      <c r="F98" s="27">
        <f>F97*(Presion_cilindro!O89/Presion_cilindro!O90)^Presion_cilindro!$B$9+10*(Presion_cilindro!$B$9-1)*Presion_cilindro!$B$33*(IF(Presion_cilindro!N90&gt;(-F$4+Presion_cilindro!$B$34),1-EXP(-Presion_cilindro!$B$16*((Presion_cilindro!N90-(-F$4+Presion_cilindro!$B$34))/Presion_cilindro!$B$35)^(Presion_cilindro!$B$17+1)),0)-IF(Presion_cilindro!N89&gt;(-F$4+Presion_cilindro!$B$34),1-EXP(-Presion_cilindro!$B$16*((Presion_cilindro!N89-(-F$4+Presion_cilindro!$B$34))/Presion_cilindro!$B$35)^(Presion_cilindro!$B$17+1)),0))/((Presion_cilindro!O89+Presion_cilindro!O90)/2)</f>
        <v>0.81705716555466013</v>
      </c>
      <c r="G98" s="27">
        <f>G97*(Presion_cilindro!O89/Presion_cilindro!O90)^Presion_cilindro!$B$9+10*(Presion_cilindro!$B$9-1)*Presion_cilindro!$B$33*(IF(Presion_cilindro!N90&gt;(-G$4+Presion_cilindro!$B$34),1-EXP(-Presion_cilindro!$B$16*((Presion_cilindro!N90-(-G$4+Presion_cilindro!$B$34))/Presion_cilindro!$B$35)^(Presion_cilindro!$B$17+1)),0)-IF(Presion_cilindro!N89&gt;(-G$4+Presion_cilindro!$B$34),1-EXP(-Presion_cilindro!$B$16*((Presion_cilindro!N89-(-G$4+Presion_cilindro!$B$34))/Presion_cilindro!$B$35)^(Presion_cilindro!$B$17+1)),0))/((Presion_cilindro!O89+Presion_cilindro!O90)/2)</f>
        <v>0.81705716555466013</v>
      </c>
      <c r="H98" s="27">
        <f>H97*(Presion_cilindro!O89/Presion_cilindro!O90)^Presion_cilindro!$B$9+10*(Presion_cilindro!$B$9-1)*Presion_cilindro!$B$33*(IF(Presion_cilindro!N90&gt;(-H$4+Presion_cilindro!$B$34),1-EXP(-Presion_cilindro!$B$16*((Presion_cilindro!N90-(-H$4+Presion_cilindro!$B$34))/Presion_cilindro!$B$35)^(Presion_cilindro!$B$17+1)),0)-IF(Presion_cilindro!N89&gt;(-H$4+Presion_cilindro!$B$34),1-EXP(-Presion_cilindro!$B$16*((Presion_cilindro!N89-(-H$4+Presion_cilindro!$B$34))/Presion_cilindro!$B$35)^(Presion_cilindro!$B$17+1)),0))/((Presion_cilindro!O89+Presion_cilindro!O90)/2)</f>
        <v>0.81705716555466013</v>
      </c>
      <c r="I98" s="27">
        <f>I97*(Presion_cilindro!O89/Presion_cilindro!O90)^Presion_cilindro!$B$9+10*(Presion_cilindro!$B$9-1)*Presion_cilindro!$B$33*(IF(Presion_cilindro!N90&gt;(-I$4+Presion_cilindro!$B$34),1-EXP(-Presion_cilindro!$B$16*((Presion_cilindro!N90-(-I$4+Presion_cilindro!$B$34))/Presion_cilindro!$B$35)^(Presion_cilindro!$B$17+1)),0)-IF(Presion_cilindro!N89&gt;(-I$4+Presion_cilindro!$B$34),1-EXP(-Presion_cilindro!$B$16*((Presion_cilindro!N89-(-I$4+Presion_cilindro!$B$34))/Presion_cilindro!$B$35)^(Presion_cilindro!$B$17+1)),0))/((Presion_cilindro!O89+Presion_cilindro!O90)/2)</f>
        <v>0.81705716555466013</v>
      </c>
      <c r="J98" s="27">
        <f>J97*(Presion_cilindro!O89/Presion_cilindro!O90)^Presion_cilindro!$B$9+10*(Presion_cilindro!$B$9-1)*Presion_cilindro!$B$33*(IF(Presion_cilindro!N90&gt;(-J$4+Presion_cilindro!$B$34),1-EXP(-Presion_cilindro!$B$16*((Presion_cilindro!N90-(-J$4+Presion_cilindro!$B$34))/Presion_cilindro!$B$35)^(Presion_cilindro!$B$17+1)),0)-IF(Presion_cilindro!N89&gt;(-J$4+Presion_cilindro!$B$34),1-EXP(-Presion_cilindro!$B$16*((Presion_cilindro!N89-(-J$4+Presion_cilindro!$B$34))/Presion_cilindro!$B$35)^(Presion_cilindro!$B$17+1)),0))/((Presion_cilindro!O89+Presion_cilindro!O90)/2)</f>
        <v>0.81705716555466013</v>
      </c>
      <c r="K98" s="27">
        <f>K97*(Presion_cilindro!O89/Presion_cilindro!O90)^Presion_cilindro!$B$9+10*(Presion_cilindro!$B$9-1)*Presion_cilindro!$B$33*(IF(Presion_cilindro!N90&gt;(-K$4+Presion_cilindro!$B$34),1-EXP(-Presion_cilindro!$B$16*((Presion_cilindro!N90-(-K$4+Presion_cilindro!$B$34))/Presion_cilindro!$B$35)^(Presion_cilindro!$B$17+1)),0)-IF(Presion_cilindro!N89&gt;(-K$4+Presion_cilindro!$B$34),1-EXP(-Presion_cilindro!$B$16*((Presion_cilindro!N89-(-K$4+Presion_cilindro!$B$34))/Presion_cilindro!$B$35)^(Presion_cilindro!$B$17+1)),0))/((Presion_cilindro!O89+Presion_cilindro!O90)/2)</f>
        <v>0.81705716555466013</v>
      </c>
      <c r="L98" s="27">
        <f>L97*(Presion_cilindro!O89/Presion_cilindro!O90)^Presion_cilindro!$B$9+10*(Presion_cilindro!$B$9-1)*Presion_cilindro!$B$33*(IF(Presion_cilindro!N90&gt;(-L$4+Presion_cilindro!$B$34),1-EXP(-Presion_cilindro!$B$16*((Presion_cilindro!N90-(-L$4+Presion_cilindro!$B$34))/Presion_cilindro!$B$35)^(Presion_cilindro!$B$17+1)),0)-IF(Presion_cilindro!N89&gt;(-L$4+Presion_cilindro!$B$34),1-EXP(-Presion_cilindro!$B$16*((Presion_cilindro!N89-(-L$4+Presion_cilindro!$B$34))/Presion_cilindro!$B$35)^(Presion_cilindro!$B$17+1)),0))/((Presion_cilindro!O89+Presion_cilindro!O90)/2)</f>
        <v>0.81705716555466013</v>
      </c>
      <c r="M98" s="27">
        <f>M97*(Presion_cilindro!O89/Presion_cilindro!O90)^Presion_cilindro!$B$9+10*(Presion_cilindro!$B$9-1)*Presion_cilindro!$B$33*(IF(Presion_cilindro!N90&gt;(-M$4+Presion_cilindro!$B$34),1-EXP(-Presion_cilindro!$B$16*((Presion_cilindro!N90-(-M$4+Presion_cilindro!$B$34))/Presion_cilindro!$B$35)^(Presion_cilindro!$B$17+1)),0)-IF(Presion_cilindro!N89&gt;(-M$4+Presion_cilindro!$B$34),1-EXP(-Presion_cilindro!$B$16*((Presion_cilindro!N89-(-M$4+Presion_cilindro!$B$34))/Presion_cilindro!$B$35)^(Presion_cilindro!$B$17+1)),0))/((Presion_cilindro!O89+Presion_cilindro!O90)/2)</f>
        <v>0.81705716555466013</v>
      </c>
      <c r="N98" s="27">
        <f>N97*(Presion_cilindro!O89/Presion_cilindro!O90)^Presion_cilindro!$B$9+10*(Presion_cilindro!$B$9-1)*Presion_cilindro!$B$33*(IF(Presion_cilindro!N90&gt;(-N$4+Presion_cilindro!$B$34),1-EXP(-Presion_cilindro!$B$16*((Presion_cilindro!N90-(-N$4+Presion_cilindro!$B$34))/Presion_cilindro!$B$35)^(Presion_cilindro!$B$17+1)),0)-IF(Presion_cilindro!N89&gt;(-N$4+Presion_cilindro!$B$34),1-EXP(-Presion_cilindro!$B$16*((Presion_cilindro!N89-(-N$4+Presion_cilindro!$B$34))/Presion_cilindro!$B$35)^(Presion_cilindro!$B$17+1)),0))/((Presion_cilindro!O89+Presion_cilindro!O90)/2)</f>
        <v>0.81705716555466013</v>
      </c>
    </row>
    <row r="99" spans="1:14" x14ac:dyDescent="0.25">
      <c r="A99" s="21">
        <f>Presion_cilindro!N91</f>
        <v>-136.5</v>
      </c>
      <c r="B99" s="27">
        <f>B98*(Presion_cilindro!O90/Presion_cilindro!O91)^Presion_cilindro!$B$9+10*(Presion_cilindro!$B$9-1)*Presion_cilindro!$B$33*(IF(Presion_cilindro!N91&gt;(-B$4+Presion_cilindro!$B$34),1-EXP(-Presion_cilindro!$B$16*((Presion_cilindro!N91-(-B$4+Presion_cilindro!$B$34))/Presion_cilindro!$B$35)^(Presion_cilindro!$B$17+1)),0)-IF(Presion_cilindro!N90&gt;(-B$4+Presion_cilindro!$B$34),1-EXP(-Presion_cilindro!$B$16*((Presion_cilindro!N90-(-B$4+Presion_cilindro!$B$34))/Presion_cilindro!$B$35)^(Presion_cilindro!$B$17+1)),0))/((Presion_cilindro!O90+Presion_cilindro!O91)/2)</f>
        <v>0.81959728198164328</v>
      </c>
      <c r="C99" s="27">
        <f>C98*(Presion_cilindro!O90/Presion_cilindro!O91)^Presion_cilindro!$B$9+10*(Presion_cilindro!$B$9-1)*Presion_cilindro!$B$33*(IF(Presion_cilindro!N91&gt;(-C$4+Presion_cilindro!$B$34),1-EXP(-Presion_cilindro!$B$16*((Presion_cilindro!N91-(-C$4+Presion_cilindro!$B$34))/Presion_cilindro!$B$35)^(Presion_cilindro!$B$17+1)),0)-IF(Presion_cilindro!N90&gt;(-C$4+Presion_cilindro!$B$34),1-EXP(-Presion_cilindro!$B$16*((Presion_cilindro!N90-(-C$4+Presion_cilindro!$B$34))/Presion_cilindro!$B$35)^(Presion_cilindro!$B$17+1)),0))/((Presion_cilindro!O90+Presion_cilindro!O91)/2)</f>
        <v>0.81959728198164328</v>
      </c>
      <c r="D99" s="27">
        <f>D98*(Presion_cilindro!O90/Presion_cilindro!O91)^Presion_cilindro!$B$9+10*(Presion_cilindro!$B$9-1)*Presion_cilindro!$B$33*(IF(Presion_cilindro!N91&gt;(-D$4+Presion_cilindro!$B$34),1-EXP(-Presion_cilindro!$B$16*((Presion_cilindro!N91-(-D$4+Presion_cilindro!$B$34))/Presion_cilindro!$B$35)^(Presion_cilindro!$B$17+1)),0)-IF(Presion_cilindro!N90&gt;(-D$4+Presion_cilindro!$B$34),1-EXP(-Presion_cilindro!$B$16*((Presion_cilindro!N90-(-D$4+Presion_cilindro!$B$34))/Presion_cilindro!$B$35)^(Presion_cilindro!$B$17+1)),0))/((Presion_cilindro!O90+Presion_cilindro!O91)/2)</f>
        <v>0.81959728198164328</v>
      </c>
      <c r="E99" s="27">
        <f>E98*(Presion_cilindro!O90/Presion_cilindro!O91)^Presion_cilindro!$B$9+10*(Presion_cilindro!$B$9-1)*Presion_cilindro!$B$33*(IF(Presion_cilindro!N91&gt;(-E$4+Presion_cilindro!$B$34),1-EXP(-Presion_cilindro!$B$16*((Presion_cilindro!N91-(-E$4+Presion_cilindro!$B$34))/Presion_cilindro!$B$35)^(Presion_cilindro!$B$17+1)),0)-IF(Presion_cilindro!N90&gt;(-E$4+Presion_cilindro!$B$34),1-EXP(-Presion_cilindro!$B$16*((Presion_cilindro!N90-(-E$4+Presion_cilindro!$B$34))/Presion_cilindro!$B$35)^(Presion_cilindro!$B$17+1)),0))/((Presion_cilindro!O90+Presion_cilindro!O91)/2)</f>
        <v>0.81959728198164328</v>
      </c>
      <c r="F99" s="27">
        <f>F98*(Presion_cilindro!O90/Presion_cilindro!O91)^Presion_cilindro!$B$9+10*(Presion_cilindro!$B$9-1)*Presion_cilindro!$B$33*(IF(Presion_cilindro!N91&gt;(-F$4+Presion_cilindro!$B$34),1-EXP(-Presion_cilindro!$B$16*((Presion_cilindro!N91-(-F$4+Presion_cilindro!$B$34))/Presion_cilindro!$B$35)^(Presion_cilindro!$B$17+1)),0)-IF(Presion_cilindro!N90&gt;(-F$4+Presion_cilindro!$B$34),1-EXP(-Presion_cilindro!$B$16*((Presion_cilindro!N90-(-F$4+Presion_cilindro!$B$34))/Presion_cilindro!$B$35)^(Presion_cilindro!$B$17+1)),0))/((Presion_cilindro!O90+Presion_cilindro!O91)/2)</f>
        <v>0.81959728198164328</v>
      </c>
      <c r="G99" s="27">
        <f>G98*(Presion_cilindro!O90/Presion_cilindro!O91)^Presion_cilindro!$B$9+10*(Presion_cilindro!$B$9-1)*Presion_cilindro!$B$33*(IF(Presion_cilindro!N91&gt;(-G$4+Presion_cilindro!$B$34),1-EXP(-Presion_cilindro!$B$16*((Presion_cilindro!N91-(-G$4+Presion_cilindro!$B$34))/Presion_cilindro!$B$35)^(Presion_cilindro!$B$17+1)),0)-IF(Presion_cilindro!N90&gt;(-G$4+Presion_cilindro!$B$34),1-EXP(-Presion_cilindro!$B$16*((Presion_cilindro!N90-(-G$4+Presion_cilindro!$B$34))/Presion_cilindro!$B$35)^(Presion_cilindro!$B$17+1)),0))/((Presion_cilindro!O90+Presion_cilindro!O91)/2)</f>
        <v>0.81959728198164328</v>
      </c>
      <c r="H99" s="27">
        <f>H98*(Presion_cilindro!O90/Presion_cilindro!O91)^Presion_cilindro!$B$9+10*(Presion_cilindro!$B$9-1)*Presion_cilindro!$B$33*(IF(Presion_cilindro!N91&gt;(-H$4+Presion_cilindro!$B$34),1-EXP(-Presion_cilindro!$B$16*((Presion_cilindro!N91-(-H$4+Presion_cilindro!$B$34))/Presion_cilindro!$B$35)^(Presion_cilindro!$B$17+1)),0)-IF(Presion_cilindro!N90&gt;(-H$4+Presion_cilindro!$B$34),1-EXP(-Presion_cilindro!$B$16*((Presion_cilindro!N90-(-H$4+Presion_cilindro!$B$34))/Presion_cilindro!$B$35)^(Presion_cilindro!$B$17+1)),0))/((Presion_cilindro!O90+Presion_cilindro!O91)/2)</f>
        <v>0.81959728198164328</v>
      </c>
      <c r="I99" s="27">
        <f>I98*(Presion_cilindro!O90/Presion_cilindro!O91)^Presion_cilindro!$B$9+10*(Presion_cilindro!$B$9-1)*Presion_cilindro!$B$33*(IF(Presion_cilindro!N91&gt;(-I$4+Presion_cilindro!$B$34),1-EXP(-Presion_cilindro!$B$16*((Presion_cilindro!N91-(-I$4+Presion_cilindro!$B$34))/Presion_cilindro!$B$35)^(Presion_cilindro!$B$17+1)),0)-IF(Presion_cilindro!N90&gt;(-I$4+Presion_cilindro!$B$34),1-EXP(-Presion_cilindro!$B$16*((Presion_cilindro!N90-(-I$4+Presion_cilindro!$B$34))/Presion_cilindro!$B$35)^(Presion_cilindro!$B$17+1)),0))/((Presion_cilindro!O90+Presion_cilindro!O91)/2)</f>
        <v>0.81959728198164328</v>
      </c>
      <c r="J99" s="27">
        <f>J98*(Presion_cilindro!O90/Presion_cilindro!O91)^Presion_cilindro!$B$9+10*(Presion_cilindro!$B$9-1)*Presion_cilindro!$B$33*(IF(Presion_cilindro!N91&gt;(-J$4+Presion_cilindro!$B$34),1-EXP(-Presion_cilindro!$B$16*((Presion_cilindro!N91-(-J$4+Presion_cilindro!$B$34))/Presion_cilindro!$B$35)^(Presion_cilindro!$B$17+1)),0)-IF(Presion_cilindro!N90&gt;(-J$4+Presion_cilindro!$B$34),1-EXP(-Presion_cilindro!$B$16*((Presion_cilindro!N90-(-J$4+Presion_cilindro!$B$34))/Presion_cilindro!$B$35)^(Presion_cilindro!$B$17+1)),0))/((Presion_cilindro!O90+Presion_cilindro!O91)/2)</f>
        <v>0.81959728198164328</v>
      </c>
      <c r="K99" s="27">
        <f>K98*(Presion_cilindro!O90/Presion_cilindro!O91)^Presion_cilindro!$B$9+10*(Presion_cilindro!$B$9-1)*Presion_cilindro!$B$33*(IF(Presion_cilindro!N91&gt;(-K$4+Presion_cilindro!$B$34),1-EXP(-Presion_cilindro!$B$16*((Presion_cilindro!N91-(-K$4+Presion_cilindro!$B$34))/Presion_cilindro!$B$35)^(Presion_cilindro!$B$17+1)),0)-IF(Presion_cilindro!N90&gt;(-K$4+Presion_cilindro!$B$34),1-EXP(-Presion_cilindro!$B$16*((Presion_cilindro!N90-(-K$4+Presion_cilindro!$B$34))/Presion_cilindro!$B$35)^(Presion_cilindro!$B$17+1)),0))/((Presion_cilindro!O90+Presion_cilindro!O91)/2)</f>
        <v>0.81959728198164328</v>
      </c>
      <c r="L99" s="27">
        <f>L98*(Presion_cilindro!O90/Presion_cilindro!O91)^Presion_cilindro!$B$9+10*(Presion_cilindro!$B$9-1)*Presion_cilindro!$B$33*(IF(Presion_cilindro!N91&gt;(-L$4+Presion_cilindro!$B$34),1-EXP(-Presion_cilindro!$B$16*((Presion_cilindro!N91-(-L$4+Presion_cilindro!$B$34))/Presion_cilindro!$B$35)^(Presion_cilindro!$B$17+1)),0)-IF(Presion_cilindro!N90&gt;(-L$4+Presion_cilindro!$B$34),1-EXP(-Presion_cilindro!$B$16*((Presion_cilindro!N90-(-L$4+Presion_cilindro!$B$34))/Presion_cilindro!$B$35)^(Presion_cilindro!$B$17+1)),0))/((Presion_cilindro!O90+Presion_cilindro!O91)/2)</f>
        <v>0.81959728198164328</v>
      </c>
      <c r="M99" s="27">
        <f>M98*(Presion_cilindro!O90/Presion_cilindro!O91)^Presion_cilindro!$B$9+10*(Presion_cilindro!$B$9-1)*Presion_cilindro!$B$33*(IF(Presion_cilindro!N91&gt;(-M$4+Presion_cilindro!$B$34),1-EXP(-Presion_cilindro!$B$16*((Presion_cilindro!N91-(-M$4+Presion_cilindro!$B$34))/Presion_cilindro!$B$35)^(Presion_cilindro!$B$17+1)),0)-IF(Presion_cilindro!N90&gt;(-M$4+Presion_cilindro!$B$34),1-EXP(-Presion_cilindro!$B$16*((Presion_cilindro!N90-(-M$4+Presion_cilindro!$B$34))/Presion_cilindro!$B$35)^(Presion_cilindro!$B$17+1)),0))/((Presion_cilindro!O90+Presion_cilindro!O91)/2)</f>
        <v>0.81959728198164328</v>
      </c>
      <c r="N99" s="27">
        <f>N98*(Presion_cilindro!O90/Presion_cilindro!O91)^Presion_cilindro!$B$9+10*(Presion_cilindro!$B$9-1)*Presion_cilindro!$B$33*(IF(Presion_cilindro!N91&gt;(-N$4+Presion_cilindro!$B$34),1-EXP(-Presion_cilindro!$B$16*((Presion_cilindro!N91-(-N$4+Presion_cilindro!$B$34))/Presion_cilindro!$B$35)^(Presion_cilindro!$B$17+1)),0)-IF(Presion_cilindro!N90&gt;(-N$4+Presion_cilindro!$B$34),1-EXP(-Presion_cilindro!$B$16*((Presion_cilindro!N90-(-N$4+Presion_cilindro!$B$34))/Presion_cilindro!$B$35)^(Presion_cilindro!$B$17+1)),0))/((Presion_cilindro!O90+Presion_cilindro!O91)/2)</f>
        <v>0.81959728198164328</v>
      </c>
    </row>
    <row r="100" spans="1:14" x14ac:dyDescent="0.25">
      <c r="A100" s="21">
        <f>Presion_cilindro!N92</f>
        <v>-136</v>
      </c>
      <c r="B100" s="27">
        <f>B99*(Presion_cilindro!O91/Presion_cilindro!O92)^Presion_cilindro!$B$9+10*(Presion_cilindro!$B$9-1)*Presion_cilindro!$B$33*(IF(Presion_cilindro!N92&gt;(-B$4+Presion_cilindro!$B$34),1-EXP(-Presion_cilindro!$B$16*((Presion_cilindro!N92-(-B$4+Presion_cilindro!$B$34))/Presion_cilindro!$B$35)^(Presion_cilindro!$B$17+1)),0)-IF(Presion_cilindro!N91&gt;(-B$4+Presion_cilindro!$B$34),1-EXP(-Presion_cilindro!$B$16*((Presion_cilindro!N91-(-B$4+Presion_cilindro!$B$34))/Presion_cilindro!$B$35)^(Presion_cilindro!$B$17+1)),0))/((Presion_cilindro!O91+Presion_cilindro!O92)/2)</f>
        <v>0.82218041184701385</v>
      </c>
      <c r="C100" s="27">
        <f>C99*(Presion_cilindro!O91/Presion_cilindro!O92)^Presion_cilindro!$B$9+10*(Presion_cilindro!$B$9-1)*Presion_cilindro!$B$33*(IF(Presion_cilindro!N92&gt;(-C$4+Presion_cilindro!$B$34),1-EXP(-Presion_cilindro!$B$16*((Presion_cilindro!N92-(-C$4+Presion_cilindro!$B$34))/Presion_cilindro!$B$35)^(Presion_cilindro!$B$17+1)),0)-IF(Presion_cilindro!N91&gt;(-C$4+Presion_cilindro!$B$34),1-EXP(-Presion_cilindro!$B$16*((Presion_cilindro!N91-(-C$4+Presion_cilindro!$B$34))/Presion_cilindro!$B$35)^(Presion_cilindro!$B$17+1)),0))/((Presion_cilindro!O91+Presion_cilindro!O92)/2)</f>
        <v>0.82218041184701385</v>
      </c>
      <c r="D100" s="27">
        <f>D99*(Presion_cilindro!O91/Presion_cilindro!O92)^Presion_cilindro!$B$9+10*(Presion_cilindro!$B$9-1)*Presion_cilindro!$B$33*(IF(Presion_cilindro!N92&gt;(-D$4+Presion_cilindro!$B$34),1-EXP(-Presion_cilindro!$B$16*((Presion_cilindro!N92-(-D$4+Presion_cilindro!$B$34))/Presion_cilindro!$B$35)^(Presion_cilindro!$B$17+1)),0)-IF(Presion_cilindro!N91&gt;(-D$4+Presion_cilindro!$B$34),1-EXP(-Presion_cilindro!$B$16*((Presion_cilindro!N91-(-D$4+Presion_cilindro!$B$34))/Presion_cilindro!$B$35)^(Presion_cilindro!$B$17+1)),0))/((Presion_cilindro!O91+Presion_cilindro!O92)/2)</f>
        <v>0.82218041184701385</v>
      </c>
      <c r="E100" s="27">
        <f>E99*(Presion_cilindro!O91/Presion_cilindro!O92)^Presion_cilindro!$B$9+10*(Presion_cilindro!$B$9-1)*Presion_cilindro!$B$33*(IF(Presion_cilindro!N92&gt;(-E$4+Presion_cilindro!$B$34),1-EXP(-Presion_cilindro!$B$16*((Presion_cilindro!N92-(-E$4+Presion_cilindro!$B$34))/Presion_cilindro!$B$35)^(Presion_cilindro!$B$17+1)),0)-IF(Presion_cilindro!N91&gt;(-E$4+Presion_cilindro!$B$34),1-EXP(-Presion_cilindro!$B$16*((Presion_cilindro!N91-(-E$4+Presion_cilindro!$B$34))/Presion_cilindro!$B$35)^(Presion_cilindro!$B$17+1)),0))/((Presion_cilindro!O91+Presion_cilindro!O92)/2)</f>
        <v>0.82218041184701385</v>
      </c>
      <c r="F100" s="27">
        <f>F99*(Presion_cilindro!O91/Presion_cilindro!O92)^Presion_cilindro!$B$9+10*(Presion_cilindro!$B$9-1)*Presion_cilindro!$B$33*(IF(Presion_cilindro!N92&gt;(-F$4+Presion_cilindro!$B$34),1-EXP(-Presion_cilindro!$B$16*((Presion_cilindro!N92-(-F$4+Presion_cilindro!$B$34))/Presion_cilindro!$B$35)^(Presion_cilindro!$B$17+1)),0)-IF(Presion_cilindro!N91&gt;(-F$4+Presion_cilindro!$B$34),1-EXP(-Presion_cilindro!$B$16*((Presion_cilindro!N91-(-F$4+Presion_cilindro!$B$34))/Presion_cilindro!$B$35)^(Presion_cilindro!$B$17+1)),0))/((Presion_cilindro!O91+Presion_cilindro!O92)/2)</f>
        <v>0.82218041184701385</v>
      </c>
      <c r="G100" s="27">
        <f>G99*(Presion_cilindro!O91/Presion_cilindro!O92)^Presion_cilindro!$B$9+10*(Presion_cilindro!$B$9-1)*Presion_cilindro!$B$33*(IF(Presion_cilindro!N92&gt;(-G$4+Presion_cilindro!$B$34),1-EXP(-Presion_cilindro!$B$16*((Presion_cilindro!N92-(-G$4+Presion_cilindro!$B$34))/Presion_cilindro!$B$35)^(Presion_cilindro!$B$17+1)),0)-IF(Presion_cilindro!N91&gt;(-G$4+Presion_cilindro!$B$34),1-EXP(-Presion_cilindro!$B$16*((Presion_cilindro!N91-(-G$4+Presion_cilindro!$B$34))/Presion_cilindro!$B$35)^(Presion_cilindro!$B$17+1)),0))/((Presion_cilindro!O91+Presion_cilindro!O92)/2)</f>
        <v>0.82218041184701385</v>
      </c>
      <c r="H100" s="27">
        <f>H99*(Presion_cilindro!O91/Presion_cilindro!O92)^Presion_cilindro!$B$9+10*(Presion_cilindro!$B$9-1)*Presion_cilindro!$B$33*(IF(Presion_cilindro!N92&gt;(-H$4+Presion_cilindro!$B$34),1-EXP(-Presion_cilindro!$B$16*((Presion_cilindro!N92-(-H$4+Presion_cilindro!$B$34))/Presion_cilindro!$B$35)^(Presion_cilindro!$B$17+1)),0)-IF(Presion_cilindro!N91&gt;(-H$4+Presion_cilindro!$B$34),1-EXP(-Presion_cilindro!$B$16*((Presion_cilindro!N91-(-H$4+Presion_cilindro!$B$34))/Presion_cilindro!$B$35)^(Presion_cilindro!$B$17+1)),0))/((Presion_cilindro!O91+Presion_cilindro!O92)/2)</f>
        <v>0.82218041184701385</v>
      </c>
      <c r="I100" s="27">
        <f>I99*(Presion_cilindro!O91/Presion_cilindro!O92)^Presion_cilindro!$B$9+10*(Presion_cilindro!$B$9-1)*Presion_cilindro!$B$33*(IF(Presion_cilindro!N92&gt;(-I$4+Presion_cilindro!$B$34),1-EXP(-Presion_cilindro!$B$16*((Presion_cilindro!N92-(-I$4+Presion_cilindro!$B$34))/Presion_cilindro!$B$35)^(Presion_cilindro!$B$17+1)),0)-IF(Presion_cilindro!N91&gt;(-I$4+Presion_cilindro!$B$34),1-EXP(-Presion_cilindro!$B$16*((Presion_cilindro!N91-(-I$4+Presion_cilindro!$B$34))/Presion_cilindro!$B$35)^(Presion_cilindro!$B$17+1)),0))/((Presion_cilindro!O91+Presion_cilindro!O92)/2)</f>
        <v>0.82218041184701385</v>
      </c>
      <c r="J100" s="27">
        <f>J99*(Presion_cilindro!O91/Presion_cilindro!O92)^Presion_cilindro!$B$9+10*(Presion_cilindro!$B$9-1)*Presion_cilindro!$B$33*(IF(Presion_cilindro!N92&gt;(-J$4+Presion_cilindro!$B$34),1-EXP(-Presion_cilindro!$B$16*((Presion_cilindro!N92-(-J$4+Presion_cilindro!$B$34))/Presion_cilindro!$B$35)^(Presion_cilindro!$B$17+1)),0)-IF(Presion_cilindro!N91&gt;(-J$4+Presion_cilindro!$B$34),1-EXP(-Presion_cilindro!$B$16*((Presion_cilindro!N91-(-J$4+Presion_cilindro!$B$34))/Presion_cilindro!$B$35)^(Presion_cilindro!$B$17+1)),0))/((Presion_cilindro!O91+Presion_cilindro!O92)/2)</f>
        <v>0.82218041184701385</v>
      </c>
      <c r="K100" s="27">
        <f>K99*(Presion_cilindro!O91/Presion_cilindro!O92)^Presion_cilindro!$B$9+10*(Presion_cilindro!$B$9-1)*Presion_cilindro!$B$33*(IF(Presion_cilindro!N92&gt;(-K$4+Presion_cilindro!$B$34),1-EXP(-Presion_cilindro!$B$16*((Presion_cilindro!N92-(-K$4+Presion_cilindro!$B$34))/Presion_cilindro!$B$35)^(Presion_cilindro!$B$17+1)),0)-IF(Presion_cilindro!N91&gt;(-K$4+Presion_cilindro!$B$34),1-EXP(-Presion_cilindro!$B$16*((Presion_cilindro!N91-(-K$4+Presion_cilindro!$B$34))/Presion_cilindro!$B$35)^(Presion_cilindro!$B$17+1)),0))/((Presion_cilindro!O91+Presion_cilindro!O92)/2)</f>
        <v>0.82218041184701385</v>
      </c>
      <c r="L100" s="27">
        <f>L99*(Presion_cilindro!O91/Presion_cilindro!O92)^Presion_cilindro!$B$9+10*(Presion_cilindro!$B$9-1)*Presion_cilindro!$B$33*(IF(Presion_cilindro!N92&gt;(-L$4+Presion_cilindro!$B$34),1-EXP(-Presion_cilindro!$B$16*((Presion_cilindro!N92-(-L$4+Presion_cilindro!$B$34))/Presion_cilindro!$B$35)^(Presion_cilindro!$B$17+1)),0)-IF(Presion_cilindro!N91&gt;(-L$4+Presion_cilindro!$B$34),1-EXP(-Presion_cilindro!$B$16*((Presion_cilindro!N91-(-L$4+Presion_cilindro!$B$34))/Presion_cilindro!$B$35)^(Presion_cilindro!$B$17+1)),0))/((Presion_cilindro!O91+Presion_cilindro!O92)/2)</f>
        <v>0.82218041184701385</v>
      </c>
      <c r="M100" s="27">
        <f>M99*(Presion_cilindro!O91/Presion_cilindro!O92)^Presion_cilindro!$B$9+10*(Presion_cilindro!$B$9-1)*Presion_cilindro!$B$33*(IF(Presion_cilindro!N92&gt;(-M$4+Presion_cilindro!$B$34),1-EXP(-Presion_cilindro!$B$16*((Presion_cilindro!N92-(-M$4+Presion_cilindro!$B$34))/Presion_cilindro!$B$35)^(Presion_cilindro!$B$17+1)),0)-IF(Presion_cilindro!N91&gt;(-M$4+Presion_cilindro!$B$34),1-EXP(-Presion_cilindro!$B$16*((Presion_cilindro!N91-(-M$4+Presion_cilindro!$B$34))/Presion_cilindro!$B$35)^(Presion_cilindro!$B$17+1)),0))/((Presion_cilindro!O91+Presion_cilindro!O92)/2)</f>
        <v>0.82218041184701385</v>
      </c>
      <c r="N100" s="27">
        <f>N99*(Presion_cilindro!O91/Presion_cilindro!O92)^Presion_cilindro!$B$9+10*(Presion_cilindro!$B$9-1)*Presion_cilindro!$B$33*(IF(Presion_cilindro!N92&gt;(-N$4+Presion_cilindro!$B$34),1-EXP(-Presion_cilindro!$B$16*((Presion_cilindro!N92-(-N$4+Presion_cilindro!$B$34))/Presion_cilindro!$B$35)^(Presion_cilindro!$B$17+1)),0)-IF(Presion_cilindro!N91&gt;(-N$4+Presion_cilindro!$B$34),1-EXP(-Presion_cilindro!$B$16*((Presion_cilindro!N91-(-N$4+Presion_cilindro!$B$34))/Presion_cilindro!$B$35)^(Presion_cilindro!$B$17+1)),0))/((Presion_cilindro!O91+Presion_cilindro!O92)/2)</f>
        <v>0.82218041184701385</v>
      </c>
    </row>
    <row r="101" spans="1:14" x14ac:dyDescent="0.25">
      <c r="A101" s="21">
        <f>Presion_cilindro!N93</f>
        <v>-135.5</v>
      </c>
      <c r="B101" s="27">
        <f>B100*(Presion_cilindro!O92/Presion_cilindro!O93)^Presion_cilindro!$B$9+10*(Presion_cilindro!$B$9-1)*Presion_cilindro!$B$33*(IF(Presion_cilindro!N93&gt;(-B$4+Presion_cilindro!$B$34),1-EXP(-Presion_cilindro!$B$16*((Presion_cilindro!N93-(-B$4+Presion_cilindro!$B$34))/Presion_cilindro!$B$35)^(Presion_cilindro!$B$17+1)),0)-IF(Presion_cilindro!N92&gt;(-B$4+Presion_cilindro!$B$34),1-EXP(-Presion_cilindro!$B$16*((Presion_cilindro!N92-(-B$4+Presion_cilindro!$B$34))/Presion_cilindro!$B$35)^(Presion_cilindro!$B$17+1)),0))/((Presion_cilindro!O92+Presion_cilindro!O93)/2)</f>
        <v>0.82480710756229703</v>
      </c>
      <c r="C101" s="27">
        <f>C100*(Presion_cilindro!O92/Presion_cilindro!O93)^Presion_cilindro!$B$9+10*(Presion_cilindro!$B$9-1)*Presion_cilindro!$B$33*(IF(Presion_cilindro!N93&gt;(-C$4+Presion_cilindro!$B$34),1-EXP(-Presion_cilindro!$B$16*((Presion_cilindro!N93-(-C$4+Presion_cilindro!$B$34))/Presion_cilindro!$B$35)^(Presion_cilindro!$B$17+1)),0)-IF(Presion_cilindro!N92&gt;(-C$4+Presion_cilindro!$B$34),1-EXP(-Presion_cilindro!$B$16*((Presion_cilindro!N92-(-C$4+Presion_cilindro!$B$34))/Presion_cilindro!$B$35)^(Presion_cilindro!$B$17+1)),0))/((Presion_cilindro!O92+Presion_cilindro!O93)/2)</f>
        <v>0.82480710756229703</v>
      </c>
      <c r="D101" s="27">
        <f>D100*(Presion_cilindro!O92/Presion_cilindro!O93)^Presion_cilindro!$B$9+10*(Presion_cilindro!$B$9-1)*Presion_cilindro!$B$33*(IF(Presion_cilindro!N93&gt;(-D$4+Presion_cilindro!$B$34),1-EXP(-Presion_cilindro!$B$16*((Presion_cilindro!N93-(-D$4+Presion_cilindro!$B$34))/Presion_cilindro!$B$35)^(Presion_cilindro!$B$17+1)),0)-IF(Presion_cilindro!N92&gt;(-D$4+Presion_cilindro!$B$34),1-EXP(-Presion_cilindro!$B$16*((Presion_cilindro!N92-(-D$4+Presion_cilindro!$B$34))/Presion_cilindro!$B$35)^(Presion_cilindro!$B$17+1)),0))/((Presion_cilindro!O92+Presion_cilindro!O93)/2)</f>
        <v>0.82480710756229703</v>
      </c>
      <c r="E101" s="27">
        <f>E100*(Presion_cilindro!O92/Presion_cilindro!O93)^Presion_cilindro!$B$9+10*(Presion_cilindro!$B$9-1)*Presion_cilindro!$B$33*(IF(Presion_cilindro!N93&gt;(-E$4+Presion_cilindro!$B$34),1-EXP(-Presion_cilindro!$B$16*((Presion_cilindro!N93-(-E$4+Presion_cilindro!$B$34))/Presion_cilindro!$B$35)^(Presion_cilindro!$B$17+1)),0)-IF(Presion_cilindro!N92&gt;(-E$4+Presion_cilindro!$B$34),1-EXP(-Presion_cilindro!$B$16*((Presion_cilindro!N92-(-E$4+Presion_cilindro!$B$34))/Presion_cilindro!$B$35)^(Presion_cilindro!$B$17+1)),0))/((Presion_cilindro!O92+Presion_cilindro!O93)/2)</f>
        <v>0.82480710756229703</v>
      </c>
      <c r="F101" s="27">
        <f>F100*(Presion_cilindro!O92/Presion_cilindro!O93)^Presion_cilindro!$B$9+10*(Presion_cilindro!$B$9-1)*Presion_cilindro!$B$33*(IF(Presion_cilindro!N93&gt;(-F$4+Presion_cilindro!$B$34),1-EXP(-Presion_cilindro!$B$16*((Presion_cilindro!N93-(-F$4+Presion_cilindro!$B$34))/Presion_cilindro!$B$35)^(Presion_cilindro!$B$17+1)),0)-IF(Presion_cilindro!N92&gt;(-F$4+Presion_cilindro!$B$34),1-EXP(-Presion_cilindro!$B$16*((Presion_cilindro!N92-(-F$4+Presion_cilindro!$B$34))/Presion_cilindro!$B$35)^(Presion_cilindro!$B$17+1)),0))/((Presion_cilindro!O92+Presion_cilindro!O93)/2)</f>
        <v>0.82480710756229703</v>
      </c>
      <c r="G101" s="27">
        <f>G100*(Presion_cilindro!O92/Presion_cilindro!O93)^Presion_cilindro!$B$9+10*(Presion_cilindro!$B$9-1)*Presion_cilindro!$B$33*(IF(Presion_cilindro!N93&gt;(-G$4+Presion_cilindro!$B$34),1-EXP(-Presion_cilindro!$B$16*((Presion_cilindro!N93-(-G$4+Presion_cilindro!$B$34))/Presion_cilindro!$B$35)^(Presion_cilindro!$B$17+1)),0)-IF(Presion_cilindro!N92&gt;(-G$4+Presion_cilindro!$B$34),1-EXP(-Presion_cilindro!$B$16*((Presion_cilindro!N92-(-G$4+Presion_cilindro!$B$34))/Presion_cilindro!$B$35)^(Presion_cilindro!$B$17+1)),0))/((Presion_cilindro!O92+Presion_cilindro!O93)/2)</f>
        <v>0.82480710756229703</v>
      </c>
      <c r="H101" s="27">
        <f>H100*(Presion_cilindro!O92/Presion_cilindro!O93)^Presion_cilindro!$B$9+10*(Presion_cilindro!$B$9-1)*Presion_cilindro!$B$33*(IF(Presion_cilindro!N93&gt;(-H$4+Presion_cilindro!$B$34),1-EXP(-Presion_cilindro!$B$16*((Presion_cilindro!N93-(-H$4+Presion_cilindro!$B$34))/Presion_cilindro!$B$35)^(Presion_cilindro!$B$17+1)),0)-IF(Presion_cilindro!N92&gt;(-H$4+Presion_cilindro!$B$34),1-EXP(-Presion_cilindro!$B$16*((Presion_cilindro!N92-(-H$4+Presion_cilindro!$B$34))/Presion_cilindro!$B$35)^(Presion_cilindro!$B$17+1)),0))/((Presion_cilindro!O92+Presion_cilindro!O93)/2)</f>
        <v>0.82480710756229703</v>
      </c>
      <c r="I101" s="27">
        <f>I100*(Presion_cilindro!O92/Presion_cilindro!O93)^Presion_cilindro!$B$9+10*(Presion_cilindro!$B$9-1)*Presion_cilindro!$B$33*(IF(Presion_cilindro!N93&gt;(-I$4+Presion_cilindro!$B$34),1-EXP(-Presion_cilindro!$B$16*((Presion_cilindro!N93-(-I$4+Presion_cilindro!$B$34))/Presion_cilindro!$B$35)^(Presion_cilindro!$B$17+1)),0)-IF(Presion_cilindro!N92&gt;(-I$4+Presion_cilindro!$B$34),1-EXP(-Presion_cilindro!$B$16*((Presion_cilindro!N92-(-I$4+Presion_cilindro!$B$34))/Presion_cilindro!$B$35)^(Presion_cilindro!$B$17+1)),0))/((Presion_cilindro!O92+Presion_cilindro!O93)/2)</f>
        <v>0.82480710756229703</v>
      </c>
      <c r="J101" s="27">
        <f>J100*(Presion_cilindro!O92/Presion_cilindro!O93)^Presion_cilindro!$B$9+10*(Presion_cilindro!$B$9-1)*Presion_cilindro!$B$33*(IF(Presion_cilindro!N93&gt;(-J$4+Presion_cilindro!$B$34),1-EXP(-Presion_cilindro!$B$16*((Presion_cilindro!N93-(-J$4+Presion_cilindro!$B$34))/Presion_cilindro!$B$35)^(Presion_cilindro!$B$17+1)),0)-IF(Presion_cilindro!N92&gt;(-J$4+Presion_cilindro!$B$34),1-EXP(-Presion_cilindro!$B$16*((Presion_cilindro!N92-(-J$4+Presion_cilindro!$B$34))/Presion_cilindro!$B$35)^(Presion_cilindro!$B$17+1)),0))/((Presion_cilindro!O92+Presion_cilindro!O93)/2)</f>
        <v>0.82480710756229703</v>
      </c>
      <c r="K101" s="27">
        <f>K100*(Presion_cilindro!O92/Presion_cilindro!O93)^Presion_cilindro!$B$9+10*(Presion_cilindro!$B$9-1)*Presion_cilindro!$B$33*(IF(Presion_cilindro!N93&gt;(-K$4+Presion_cilindro!$B$34),1-EXP(-Presion_cilindro!$B$16*((Presion_cilindro!N93-(-K$4+Presion_cilindro!$B$34))/Presion_cilindro!$B$35)^(Presion_cilindro!$B$17+1)),0)-IF(Presion_cilindro!N92&gt;(-K$4+Presion_cilindro!$B$34),1-EXP(-Presion_cilindro!$B$16*((Presion_cilindro!N92-(-K$4+Presion_cilindro!$B$34))/Presion_cilindro!$B$35)^(Presion_cilindro!$B$17+1)),0))/((Presion_cilindro!O92+Presion_cilindro!O93)/2)</f>
        <v>0.82480710756229703</v>
      </c>
      <c r="L101" s="27">
        <f>L100*(Presion_cilindro!O92/Presion_cilindro!O93)^Presion_cilindro!$B$9+10*(Presion_cilindro!$B$9-1)*Presion_cilindro!$B$33*(IF(Presion_cilindro!N93&gt;(-L$4+Presion_cilindro!$B$34),1-EXP(-Presion_cilindro!$B$16*((Presion_cilindro!N93-(-L$4+Presion_cilindro!$B$34))/Presion_cilindro!$B$35)^(Presion_cilindro!$B$17+1)),0)-IF(Presion_cilindro!N92&gt;(-L$4+Presion_cilindro!$B$34),1-EXP(-Presion_cilindro!$B$16*((Presion_cilindro!N92-(-L$4+Presion_cilindro!$B$34))/Presion_cilindro!$B$35)^(Presion_cilindro!$B$17+1)),0))/((Presion_cilindro!O92+Presion_cilindro!O93)/2)</f>
        <v>0.82480710756229703</v>
      </c>
      <c r="M101" s="27">
        <f>M100*(Presion_cilindro!O92/Presion_cilindro!O93)^Presion_cilindro!$B$9+10*(Presion_cilindro!$B$9-1)*Presion_cilindro!$B$33*(IF(Presion_cilindro!N93&gt;(-M$4+Presion_cilindro!$B$34),1-EXP(-Presion_cilindro!$B$16*((Presion_cilindro!N93-(-M$4+Presion_cilindro!$B$34))/Presion_cilindro!$B$35)^(Presion_cilindro!$B$17+1)),0)-IF(Presion_cilindro!N92&gt;(-M$4+Presion_cilindro!$B$34),1-EXP(-Presion_cilindro!$B$16*((Presion_cilindro!N92-(-M$4+Presion_cilindro!$B$34))/Presion_cilindro!$B$35)^(Presion_cilindro!$B$17+1)),0))/((Presion_cilindro!O92+Presion_cilindro!O93)/2)</f>
        <v>0.82480710756229703</v>
      </c>
      <c r="N101" s="27">
        <f>N100*(Presion_cilindro!O92/Presion_cilindro!O93)^Presion_cilindro!$B$9+10*(Presion_cilindro!$B$9-1)*Presion_cilindro!$B$33*(IF(Presion_cilindro!N93&gt;(-N$4+Presion_cilindro!$B$34),1-EXP(-Presion_cilindro!$B$16*((Presion_cilindro!N93-(-N$4+Presion_cilindro!$B$34))/Presion_cilindro!$B$35)^(Presion_cilindro!$B$17+1)),0)-IF(Presion_cilindro!N92&gt;(-N$4+Presion_cilindro!$B$34),1-EXP(-Presion_cilindro!$B$16*((Presion_cilindro!N92-(-N$4+Presion_cilindro!$B$34))/Presion_cilindro!$B$35)^(Presion_cilindro!$B$17+1)),0))/((Presion_cilindro!O92+Presion_cilindro!O93)/2)</f>
        <v>0.82480710756229703</v>
      </c>
    </row>
    <row r="102" spans="1:14" x14ac:dyDescent="0.25">
      <c r="A102" s="21">
        <f>Presion_cilindro!N94</f>
        <v>-135</v>
      </c>
      <c r="B102" s="27">
        <f>B101*(Presion_cilindro!O93/Presion_cilindro!O94)^Presion_cilindro!$B$9+10*(Presion_cilindro!$B$9-1)*Presion_cilindro!$B$33*(IF(Presion_cilindro!N94&gt;(-B$4+Presion_cilindro!$B$34),1-EXP(-Presion_cilindro!$B$16*((Presion_cilindro!N94-(-B$4+Presion_cilindro!$B$34))/Presion_cilindro!$B$35)^(Presion_cilindro!$B$17+1)),0)-IF(Presion_cilindro!N93&gt;(-B$4+Presion_cilindro!$B$34),1-EXP(-Presion_cilindro!$B$16*((Presion_cilindro!N93-(-B$4+Presion_cilindro!$B$34))/Presion_cilindro!$B$35)^(Presion_cilindro!$B$17+1)),0))/((Presion_cilindro!O93+Presion_cilindro!O94)/2)</f>
        <v>0.8274779330829628</v>
      </c>
      <c r="C102" s="27">
        <f>C101*(Presion_cilindro!O93/Presion_cilindro!O94)^Presion_cilindro!$B$9+10*(Presion_cilindro!$B$9-1)*Presion_cilindro!$B$33*(IF(Presion_cilindro!N94&gt;(-C$4+Presion_cilindro!$B$34),1-EXP(-Presion_cilindro!$B$16*((Presion_cilindro!N94-(-C$4+Presion_cilindro!$B$34))/Presion_cilindro!$B$35)^(Presion_cilindro!$B$17+1)),0)-IF(Presion_cilindro!N93&gt;(-C$4+Presion_cilindro!$B$34),1-EXP(-Presion_cilindro!$B$16*((Presion_cilindro!N93-(-C$4+Presion_cilindro!$B$34))/Presion_cilindro!$B$35)^(Presion_cilindro!$B$17+1)),0))/((Presion_cilindro!O93+Presion_cilindro!O94)/2)</f>
        <v>0.8274779330829628</v>
      </c>
      <c r="D102" s="27">
        <f>D101*(Presion_cilindro!O93/Presion_cilindro!O94)^Presion_cilindro!$B$9+10*(Presion_cilindro!$B$9-1)*Presion_cilindro!$B$33*(IF(Presion_cilindro!N94&gt;(-D$4+Presion_cilindro!$B$34),1-EXP(-Presion_cilindro!$B$16*((Presion_cilindro!N94-(-D$4+Presion_cilindro!$B$34))/Presion_cilindro!$B$35)^(Presion_cilindro!$B$17+1)),0)-IF(Presion_cilindro!N93&gt;(-D$4+Presion_cilindro!$B$34),1-EXP(-Presion_cilindro!$B$16*((Presion_cilindro!N93-(-D$4+Presion_cilindro!$B$34))/Presion_cilindro!$B$35)^(Presion_cilindro!$B$17+1)),0))/((Presion_cilindro!O93+Presion_cilindro!O94)/2)</f>
        <v>0.8274779330829628</v>
      </c>
      <c r="E102" s="27">
        <f>E101*(Presion_cilindro!O93/Presion_cilindro!O94)^Presion_cilindro!$B$9+10*(Presion_cilindro!$B$9-1)*Presion_cilindro!$B$33*(IF(Presion_cilindro!N94&gt;(-E$4+Presion_cilindro!$B$34),1-EXP(-Presion_cilindro!$B$16*((Presion_cilindro!N94-(-E$4+Presion_cilindro!$B$34))/Presion_cilindro!$B$35)^(Presion_cilindro!$B$17+1)),0)-IF(Presion_cilindro!N93&gt;(-E$4+Presion_cilindro!$B$34),1-EXP(-Presion_cilindro!$B$16*((Presion_cilindro!N93-(-E$4+Presion_cilindro!$B$34))/Presion_cilindro!$B$35)^(Presion_cilindro!$B$17+1)),0))/((Presion_cilindro!O93+Presion_cilindro!O94)/2)</f>
        <v>0.8274779330829628</v>
      </c>
      <c r="F102" s="27">
        <f>F101*(Presion_cilindro!O93/Presion_cilindro!O94)^Presion_cilindro!$B$9+10*(Presion_cilindro!$B$9-1)*Presion_cilindro!$B$33*(IF(Presion_cilindro!N94&gt;(-F$4+Presion_cilindro!$B$34),1-EXP(-Presion_cilindro!$B$16*((Presion_cilindro!N94-(-F$4+Presion_cilindro!$B$34))/Presion_cilindro!$B$35)^(Presion_cilindro!$B$17+1)),0)-IF(Presion_cilindro!N93&gt;(-F$4+Presion_cilindro!$B$34),1-EXP(-Presion_cilindro!$B$16*((Presion_cilindro!N93-(-F$4+Presion_cilindro!$B$34))/Presion_cilindro!$B$35)^(Presion_cilindro!$B$17+1)),0))/((Presion_cilindro!O93+Presion_cilindro!O94)/2)</f>
        <v>0.8274779330829628</v>
      </c>
      <c r="G102" s="27">
        <f>G101*(Presion_cilindro!O93/Presion_cilindro!O94)^Presion_cilindro!$B$9+10*(Presion_cilindro!$B$9-1)*Presion_cilindro!$B$33*(IF(Presion_cilindro!N94&gt;(-G$4+Presion_cilindro!$B$34),1-EXP(-Presion_cilindro!$B$16*((Presion_cilindro!N94-(-G$4+Presion_cilindro!$B$34))/Presion_cilindro!$B$35)^(Presion_cilindro!$B$17+1)),0)-IF(Presion_cilindro!N93&gt;(-G$4+Presion_cilindro!$B$34),1-EXP(-Presion_cilindro!$B$16*((Presion_cilindro!N93-(-G$4+Presion_cilindro!$B$34))/Presion_cilindro!$B$35)^(Presion_cilindro!$B$17+1)),0))/((Presion_cilindro!O93+Presion_cilindro!O94)/2)</f>
        <v>0.8274779330829628</v>
      </c>
      <c r="H102" s="27">
        <f>H101*(Presion_cilindro!O93/Presion_cilindro!O94)^Presion_cilindro!$B$9+10*(Presion_cilindro!$B$9-1)*Presion_cilindro!$B$33*(IF(Presion_cilindro!N94&gt;(-H$4+Presion_cilindro!$B$34),1-EXP(-Presion_cilindro!$B$16*((Presion_cilindro!N94-(-H$4+Presion_cilindro!$B$34))/Presion_cilindro!$B$35)^(Presion_cilindro!$B$17+1)),0)-IF(Presion_cilindro!N93&gt;(-H$4+Presion_cilindro!$B$34),1-EXP(-Presion_cilindro!$B$16*((Presion_cilindro!N93-(-H$4+Presion_cilindro!$B$34))/Presion_cilindro!$B$35)^(Presion_cilindro!$B$17+1)),0))/((Presion_cilindro!O93+Presion_cilindro!O94)/2)</f>
        <v>0.8274779330829628</v>
      </c>
      <c r="I102" s="27">
        <f>I101*(Presion_cilindro!O93/Presion_cilindro!O94)^Presion_cilindro!$B$9+10*(Presion_cilindro!$B$9-1)*Presion_cilindro!$B$33*(IF(Presion_cilindro!N94&gt;(-I$4+Presion_cilindro!$B$34),1-EXP(-Presion_cilindro!$B$16*((Presion_cilindro!N94-(-I$4+Presion_cilindro!$B$34))/Presion_cilindro!$B$35)^(Presion_cilindro!$B$17+1)),0)-IF(Presion_cilindro!N93&gt;(-I$4+Presion_cilindro!$B$34),1-EXP(-Presion_cilindro!$B$16*((Presion_cilindro!N93-(-I$4+Presion_cilindro!$B$34))/Presion_cilindro!$B$35)^(Presion_cilindro!$B$17+1)),0))/((Presion_cilindro!O93+Presion_cilindro!O94)/2)</f>
        <v>0.8274779330829628</v>
      </c>
      <c r="J102" s="27">
        <f>J101*(Presion_cilindro!O93/Presion_cilindro!O94)^Presion_cilindro!$B$9+10*(Presion_cilindro!$B$9-1)*Presion_cilindro!$B$33*(IF(Presion_cilindro!N94&gt;(-J$4+Presion_cilindro!$B$34),1-EXP(-Presion_cilindro!$B$16*((Presion_cilindro!N94-(-J$4+Presion_cilindro!$B$34))/Presion_cilindro!$B$35)^(Presion_cilindro!$B$17+1)),0)-IF(Presion_cilindro!N93&gt;(-J$4+Presion_cilindro!$B$34),1-EXP(-Presion_cilindro!$B$16*((Presion_cilindro!N93-(-J$4+Presion_cilindro!$B$34))/Presion_cilindro!$B$35)^(Presion_cilindro!$B$17+1)),0))/((Presion_cilindro!O93+Presion_cilindro!O94)/2)</f>
        <v>0.8274779330829628</v>
      </c>
      <c r="K102" s="27">
        <f>K101*(Presion_cilindro!O93/Presion_cilindro!O94)^Presion_cilindro!$B$9+10*(Presion_cilindro!$B$9-1)*Presion_cilindro!$B$33*(IF(Presion_cilindro!N94&gt;(-K$4+Presion_cilindro!$B$34),1-EXP(-Presion_cilindro!$B$16*((Presion_cilindro!N94-(-K$4+Presion_cilindro!$B$34))/Presion_cilindro!$B$35)^(Presion_cilindro!$B$17+1)),0)-IF(Presion_cilindro!N93&gt;(-K$4+Presion_cilindro!$B$34),1-EXP(-Presion_cilindro!$B$16*((Presion_cilindro!N93-(-K$4+Presion_cilindro!$B$34))/Presion_cilindro!$B$35)^(Presion_cilindro!$B$17+1)),0))/((Presion_cilindro!O93+Presion_cilindro!O94)/2)</f>
        <v>0.8274779330829628</v>
      </c>
      <c r="L102" s="27">
        <f>L101*(Presion_cilindro!O93/Presion_cilindro!O94)^Presion_cilindro!$B$9+10*(Presion_cilindro!$B$9-1)*Presion_cilindro!$B$33*(IF(Presion_cilindro!N94&gt;(-L$4+Presion_cilindro!$B$34),1-EXP(-Presion_cilindro!$B$16*((Presion_cilindro!N94-(-L$4+Presion_cilindro!$B$34))/Presion_cilindro!$B$35)^(Presion_cilindro!$B$17+1)),0)-IF(Presion_cilindro!N93&gt;(-L$4+Presion_cilindro!$B$34),1-EXP(-Presion_cilindro!$B$16*((Presion_cilindro!N93-(-L$4+Presion_cilindro!$B$34))/Presion_cilindro!$B$35)^(Presion_cilindro!$B$17+1)),0))/((Presion_cilindro!O93+Presion_cilindro!O94)/2)</f>
        <v>0.8274779330829628</v>
      </c>
      <c r="M102" s="27">
        <f>M101*(Presion_cilindro!O93/Presion_cilindro!O94)^Presion_cilindro!$B$9+10*(Presion_cilindro!$B$9-1)*Presion_cilindro!$B$33*(IF(Presion_cilindro!N94&gt;(-M$4+Presion_cilindro!$B$34),1-EXP(-Presion_cilindro!$B$16*((Presion_cilindro!N94-(-M$4+Presion_cilindro!$B$34))/Presion_cilindro!$B$35)^(Presion_cilindro!$B$17+1)),0)-IF(Presion_cilindro!N93&gt;(-M$4+Presion_cilindro!$B$34),1-EXP(-Presion_cilindro!$B$16*((Presion_cilindro!N93-(-M$4+Presion_cilindro!$B$34))/Presion_cilindro!$B$35)^(Presion_cilindro!$B$17+1)),0))/((Presion_cilindro!O93+Presion_cilindro!O94)/2)</f>
        <v>0.8274779330829628</v>
      </c>
      <c r="N102" s="27">
        <f>N101*(Presion_cilindro!O93/Presion_cilindro!O94)^Presion_cilindro!$B$9+10*(Presion_cilindro!$B$9-1)*Presion_cilindro!$B$33*(IF(Presion_cilindro!N94&gt;(-N$4+Presion_cilindro!$B$34),1-EXP(-Presion_cilindro!$B$16*((Presion_cilindro!N94-(-N$4+Presion_cilindro!$B$34))/Presion_cilindro!$B$35)^(Presion_cilindro!$B$17+1)),0)-IF(Presion_cilindro!N93&gt;(-N$4+Presion_cilindro!$B$34),1-EXP(-Presion_cilindro!$B$16*((Presion_cilindro!N93-(-N$4+Presion_cilindro!$B$34))/Presion_cilindro!$B$35)^(Presion_cilindro!$B$17+1)),0))/((Presion_cilindro!O93+Presion_cilindro!O94)/2)</f>
        <v>0.8274779330829628</v>
      </c>
    </row>
    <row r="103" spans="1:14" x14ac:dyDescent="0.25">
      <c r="A103" s="21">
        <f>Presion_cilindro!N95</f>
        <v>-134.5</v>
      </c>
      <c r="B103" s="27">
        <f>B102*(Presion_cilindro!O94/Presion_cilindro!O95)^Presion_cilindro!$B$9+10*(Presion_cilindro!$B$9-1)*Presion_cilindro!$B$33*(IF(Presion_cilindro!N95&gt;(-B$4+Presion_cilindro!$B$34),1-EXP(-Presion_cilindro!$B$16*((Presion_cilindro!N95-(-B$4+Presion_cilindro!$B$34))/Presion_cilindro!$B$35)^(Presion_cilindro!$B$17+1)),0)-IF(Presion_cilindro!N94&gt;(-B$4+Presion_cilindro!$B$34),1-EXP(-Presion_cilindro!$B$16*((Presion_cilindro!N94-(-B$4+Presion_cilindro!$B$34))/Presion_cilindro!$B$35)^(Presion_cilindro!$B$17+1)),0))/((Presion_cilindro!O94+Presion_cilindro!O95)/2)</f>
        <v>0.83019346413536299</v>
      </c>
      <c r="C103" s="27">
        <f>C102*(Presion_cilindro!O94/Presion_cilindro!O95)^Presion_cilindro!$B$9+10*(Presion_cilindro!$B$9-1)*Presion_cilindro!$B$33*(IF(Presion_cilindro!N95&gt;(-C$4+Presion_cilindro!$B$34),1-EXP(-Presion_cilindro!$B$16*((Presion_cilindro!N95-(-C$4+Presion_cilindro!$B$34))/Presion_cilindro!$B$35)^(Presion_cilindro!$B$17+1)),0)-IF(Presion_cilindro!N94&gt;(-C$4+Presion_cilindro!$B$34),1-EXP(-Presion_cilindro!$B$16*((Presion_cilindro!N94-(-C$4+Presion_cilindro!$B$34))/Presion_cilindro!$B$35)^(Presion_cilindro!$B$17+1)),0))/((Presion_cilindro!O94+Presion_cilindro!O95)/2)</f>
        <v>0.83019346413536299</v>
      </c>
      <c r="D103" s="27">
        <f>D102*(Presion_cilindro!O94/Presion_cilindro!O95)^Presion_cilindro!$B$9+10*(Presion_cilindro!$B$9-1)*Presion_cilindro!$B$33*(IF(Presion_cilindro!N95&gt;(-D$4+Presion_cilindro!$B$34),1-EXP(-Presion_cilindro!$B$16*((Presion_cilindro!N95-(-D$4+Presion_cilindro!$B$34))/Presion_cilindro!$B$35)^(Presion_cilindro!$B$17+1)),0)-IF(Presion_cilindro!N94&gt;(-D$4+Presion_cilindro!$B$34),1-EXP(-Presion_cilindro!$B$16*((Presion_cilindro!N94-(-D$4+Presion_cilindro!$B$34))/Presion_cilindro!$B$35)^(Presion_cilindro!$B$17+1)),0))/((Presion_cilindro!O94+Presion_cilindro!O95)/2)</f>
        <v>0.83019346413536299</v>
      </c>
      <c r="E103" s="27">
        <f>E102*(Presion_cilindro!O94/Presion_cilindro!O95)^Presion_cilindro!$B$9+10*(Presion_cilindro!$B$9-1)*Presion_cilindro!$B$33*(IF(Presion_cilindro!N95&gt;(-E$4+Presion_cilindro!$B$34),1-EXP(-Presion_cilindro!$B$16*((Presion_cilindro!N95-(-E$4+Presion_cilindro!$B$34))/Presion_cilindro!$B$35)^(Presion_cilindro!$B$17+1)),0)-IF(Presion_cilindro!N94&gt;(-E$4+Presion_cilindro!$B$34),1-EXP(-Presion_cilindro!$B$16*((Presion_cilindro!N94-(-E$4+Presion_cilindro!$B$34))/Presion_cilindro!$B$35)^(Presion_cilindro!$B$17+1)),0))/((Presion_cilindro!O94+Presion_cilindro!O95)/2)</f>
        <v>0.83019346413536299</v>
      </c>
      <c r="F103" s="27">
        <f>F102*(Presion_cilindro!O94/Presion_cilindro!O95)^Presion_cilindro!$B$9+10*(Presion_cilindro!$B$9-1)*Presion_cilindro!$B$33*(IF(Presion_cilindro!N95&gt;(-F$4+Presion_cilindro!$B$34),1-EXP(-Presion_cilindro!$B$16*((Presion_cilindro!N95-(-F$4+Presion_cilindro!$B$34))/Presion_cilindro!$B$35)^(Presion_cilindro!$B$17+1)),0)-IF(Presion_cilindro!N94&gt;(-F$4+Presion_cilindro!$B$34),1-EXP(-Presion_cilindro!$B$16*((Presion_cilindro!N94-(-F$4+Presion_cilindro!$B$34))/Presion_cilindro!$B$35)^(Presion_cilindro!$B$17+1)),0))/((Presion_cilindro!O94+Presion_cilindro!O95)/2)</f>
        <v>0.83019346413536299</v>
      </c>
      <c r="G103" s="27">
        <f>G102*(Presion_cilindro!O94/Presion_cilindro!O95)^Presion_cilindro!$B$9+10*(Presion_cilindro!$B$9-1)*Presion_cilindro!$B$33*(IF(Presion_cilindro!N95&gt;(-G$4+Presion_cilindro!$B$34),1-EXP(-Presion_cilindro!$B$16*((Presion_cilindro!N95-(-G$4+Presion_cilindro!$B$34))/Presion_cilindro!$B$35)^(Presion_cilindro!$B$17+1)),0)-IF(Presion_cilindro!N94&gt;(-G$4+Presion_cilindro!$B$34),1-EXP(-Presion_cilindro!$B$16*((Presion_cilindro!N94-(-G$4+Presion_cilindro!$B$34))/Presion_cilindro!$B$35)^(Presion_cilindro!$B$17+1)),0))/((Presion_cilindro!O94+Presion_cilindro!O95)/2)</f>
        <v>0.83019346413536299</v>
      </c>
      <c r="H103" s="27">
        <f>H102*(Presion_cilindro!O94/Presion_cilindro!O95)^Presion_cilindro!$B$9+10*(Presion_cilindro!$B$9-1)*Presion_cilindro!$B$33*(IF(Presion_cilindro!N95&gt;(-H$4+Presion_cilindro!$B$34),1-EXP(-Presion_cilindro!$B$16*((Presion_cilindro!N95-(-H$4+Presion_cilindro!$B$34))/Presion_cilindro!$B$35)^(Presion_cilindro!$B$17+1)),0)-IF(Presion_cilindro!N94&gt;(-H$4+Presion_cilindro!$B$34),1-EXP(-Presion_cilindro!$B$16*((Presion_cilindro!N94-(-H$4+Presion_cilindro!$B$34))/Presion_cilindro!$B$35)^(Presion_cilindro!$B$17+1)),0))/((Presion_cilindro!O94+Presion_cilindro!O95)/2)</f>
        <v>0.83019346413536299</v>
      </c>
      <c r="I103" s="27">
        <f>I102*(Presion_cilindro!O94/Presion_cilindro!O95)^Presion_cilindro!$B$9+10*(Presion_cilindro!$B$9-1)*Presion_cilindro!$B$33*(IF(Presion_cilindro!N95&gt;(-I$4+Presion_cilindro!$B$34),1-EXP(-Presion_cilindro!$B$16*((Presion_cilindro!N95-(-I$4+Presion_cilindro!$B$34))/Presion_cilindro!$B$35)^(Presion_cilindro!$B$17+1)),0)-IF(Presion_cilindro!N94&gt;(-I$4+Presion_cilindro!$B$34),1-EXP(-Presion_cilindro!$B$16*((Presion_cilindro!N94-(-I$4+Presion_cilindro!$B$34))/Presion_cilindro!$B$35)^(Presion_cilindro!$B$17+1)),0))/((Presion_cilindro!O94+Presion_cilindro!O95)/2)</f>
        <v>0.83019346413536299</v>
      </c>
      <c r="J103" s="27">
        <f>J102*(Presion_cilindro!O94/Presion_cilindro!O95)^Presion_cilindro!$B$9+10*(Presion_cilindro!$B$9-1)*Presion_cilindro!$B$33*(IF(Presion_cilindro!N95&gt;(-J$4+Presion_cilindro!$B$34),1-EXP(-Presion_cilindro!$B$16*((Presion_cilindro!N95-(-J$4+Presion_cilindro!$B$34))/Presion_cilindro!$B$35)^(Presion_cilindro!$B$17+1)),0)-IF(Presion_cilindro!N94&gt;(-J$4+Presion_cilindro!$B$34),1-EXP(-Presion_cilindro!$B$16*((Presion_cilindro!N94-(-J$4+Presion_cilindro!$B$34))/Presion_cilindro!$B$35)^(Presion_cilindro!$B$17+1)),0))/((Presion_cilindro!O94+Presion_cilindro!O95)/2)</f>
        <v>0.83019346413536299</v>
      </c>
      <c r="K103" s="27">
        <f>K102*(Presion_cilindro!O94/Presion_cilindro!O95)^Presion_cilindro!$B$9+10*(Presion_cilindro!$B$9-1)*Presion_cilindro!$B$33*(IF(Presion_cilindro!N95&gt;(-K$4+Presion_cilindro!$B$34),1-EXP(-Presion_cilindro!$B$16*((Presion_cilindro!N95-(-K$4+Presion_cilindro!$B$34))/Presion_cilindro!$B$35)^(Presion_cilindro!$B$17+1)),0)-IF(Presion_cilindro!N94&gt;(-K$4+Presion_cilindro!$B$34),1-EXP(-Presion_cilindro!$B$16*((Presion_cilindro!N94-(-K$4+Presion_cilindro!$B$34))/Presion_cilindro!$B$35)^(Presion_cilindro!$B$17+1)),0))/((Presion_cilindro!O94+Presion_cilindro!O95)/2)</f>
        <v>0.83019346413536299</v>
      </c>
      <c r="L103" s="27">
        <f>L102*(Presion_cilindro!O94/Presion_cilindro!O95)^Presion_cilindro!$B$9+10*(Presion_cilindro!$B$9-1)*Presion_cilindro!$B$33*(IF(Presion_cilindro!N95&gt;(-L$4+Presion_cilindro!$B$34),1-EXP(-Presion_cilindro!$B$16*((Presion_cilindro!N95-(-L$4+Presion_cilindro!$B$34))/Presion_cilindro!$B$35)^(Presion_cilindro!$B$17+1)),0)-IF(Presion_cilindro!N94&gt;(-L$4+Presion_cilindro!$B$34),1-EXP(-Presion_cilindro!$B$16*((Presion_cilindro!N94-(-L$4+Presion_cilindro!$B$34))/Presion_cilindro!$B$35)^(Presion_cilindro!$B$17+1)),0))/((Presion_cilindro!O94+Presion_cilindro!O95)/2)</f>
        <v>0.83019346413536299</v>
      </c>
      <c r="M103" s="27">
        <f>M102*(Presion_cilindro!O94/Presion_cilindro!O95)^Presion_cilindro!$B$9+10*(Presion_cilindro!$B$9-1)*Presion_cilindro!$B$33*(IF(Presion_cilindro!N95&gt;(-M$4+Presion_cilindro!$B$34),1-EXP(-Presion_cilindro!$B$16*((Presion_cilindro!N95-(-M$4+Presion_cilindro!$B$34))/Presion_cilindro!$B$35)^(Presion_cilindro!$B$17+1)),0)-IF(Presion_cilindro!N94&gt;(-M$4+Presion_cilindro!$B$34),1-EXP(-Presion_cilindro!$B$16*((Presion_cilindro!N94-(-M$4+Presion_cilindro!$B$34))/Presion_cilindro!$B$35)^(Presion_cilindro!$B$17+1)),0))/((Presion_cilindro!O94+Presion_cilindro!O95)/2)</f>
        <v>0.83019346413536299</v>
      </c>
      <c r="N103" s="27">
        <f>N102*(Presion_cilindro!O94/Presion_cilindro!O95)^Presion_cilindro!$B$9+10*(Presion_cilindro!$B$9-1)*Presion_cilindro!$B$33*(IF(Presion_cilindro!N95&gt;(-N$4+Presion_cilindro!$B$34),1-EXP(-Presion_cilindro!$B$16*((Presion_cilindro!N95-(-N$4+Presion_cilindro!$B$34))/Presion_cilindro!$B$35)^(Presion_cilindro!$B$17+1)),0)-IF(Presion_cilindro!N94&gt;(-N$4+Presion_cilindro!$B$34),1-EXP(-Presion_cilindro!$B$16*((Presion_cilindro!N94-(-N$4+Presion_cilindro!$B$34))/Presion_cilindro!$B$35)^(Presion_cilindro!$B$17+1)),0))/((Presion_cilindro!O94+Presion_cilindro!O95)/2)</f>
        <v>0.83019346413536299</v>
      </c>
    </row>
    <row r="104" spans="1:14" x14ac:dyDescent="0.25">
      <c r="A104" s="21">
        <f>Presion_cilindro!N96</f>
        <v>-134</v>
      </c>
      <c r="B104" s="27">
        <f>B103*(Presion_cilindro!O95/Presion_cilindro!O96)^Presion_cilindro!$B$9+10*(Presion_cilindro!$B$9-1)*Presion_cilindro!$B$33*(IF(Presion_cilindro!N96&gt;(-B$4+Presion_cilindro!$B$34),1-EXP(-Presion_cilindro!$B$16*((Presion_cilindro!N96-(-B$4+Presion_cilindro!$B$34))/Presion_cilindro!$B$35)^(Presion_cilindro!$B$17+1)),0)-IF(Presion_cilindro!N95&gt;(-B$4+Presion_cilindro!$B$34),1-EXP(-Presion_cilindro!$B$16*((Presion_cilindro!N95-(-B$4+Presion_cilindro!$B$34))/Presion_cilindro!$B$35)^(Presion_cilindro!$B$17+1)),0))/((Presion_cilindro!O95+Presion_cilindro!O96)/2)</f>
        <v>0.83295428844945574</v>
      </c>
      <c r="C104" s="27">
        <f>C103*(Presion_cilindro!O95/Presion_cilindro!O96)^Presion_cilindro!$B$9+10*(Presion_cilindro!$B$9-1)*Presion_cilindro!$B$33*(IF(Presion_cilindro!N96&gt;(-C$4+Presion_cilindro!$B$34),1-EXP(-Presion_cilindro!$B$16*((Presion_cilindro!N96-(-C$4+Presion_cilindro!$B$34))/Presion_cilindro!$B$35)^(Presion_cilindro!$B$17+1)),0)-IF(Presion_cilindro!N95&gt;(-C$4+Presion_cilindro!$B$34),1-EXP(-Presion_cilindro!$B$16*((Presion_cilindro!N95-(-C$4+Presion_cilindro!$B$34))/Presion_cilindro!$B$35)^(Presion_cilindro!$B$17+1)),0))/((Presion_cilindro!O95+Presion_cilindro!O96)/2)</f>
        <v>0.83295428844945574</v>
      </c>
      <c r="D104" s="27">
        <f>D103*(Presion_cilindro!O95/Presion_cilindro!O96)^Presion_cilindro!$B$9+10*(Presion_cilindro!$B$9-1)*Presion_cilindro!$B$33*(IF(Presion_cilindro!N96&gt;(-D$4+Presion_cilindro!$B$34),1-EXP(-Presion_cilindro!$B$16*((Presion_cilindro!N96-(-D$4+Presion_cilindro!$B$34))/Presion_cilindro!$B$35)^(Presion_cilindro!$B$17+1)),0)-IF(Presion_cilindro!N95&gt;(-D$4+Presion_cilindro!$B$34),1-EXP(-Presion_cilindro!$B$16*((Presion_cilindro!N95-(-D$4+Presion_cilindro!$B$34))/Presion_cilindro!$B$35)^(Presion_cilindro!$B$17+1)),0))/((Presion_cilindro!O95+Presion_cilindro!O96)/2)</f>
        <v>0.83295428844945574</v>
      </c>
      <c r="E104" s="27">
        <f>E103*(Presion_cilindro!O95/Presion_cilindro!O96)^Presion_cilindro!$B$9+10*(Presion_cilindro!$B$9-1)*Presion_cilindro!$B$33*(IF(Presion_cilindro!N96&gt;(-E$4+Presion_cilindro!$B$34),1-EXP(-Presion_cilindro!$B$16*((Presion_cilindro!N96-(-E$4+Presion_cilindro!$B$34))/Presion_cilindro!$B$35)^(Presion_cilindro!$B$17+1)),0)-IF(Presion_cilindro!N95&gt;(-E$4+Presion_cilindro!$B$34),1-EXP(-Presion_cilindro!$B$16*((Presion_cilindro!N95-(-E$4+Presion_cilindro!$B$34))/Presion_cilindro!$B$35)^(Presion_cilindro!$B$17+1)),0))/((Presion_cilindro!O95+Presion_cilindro!O96)/2)</f>
        <v>0.83295428844945574</v>
      </c>
      <c r="F104" s="27">
        <f>F103*(Presion_cilindro!O95/Presion_cilindro!O96)^Presion_cilindro!$B$9+10*(Presion_cilindro!$B$9-1)*Presion_cilindro!$B$33*(IF(Presion_cilindro!N96&gt;(-F$4+Presion_cilindro!$B$34),1-EXP(-Presion_cilindro!$B$16*((Presion_cilindro!N96-(-F$4+Presion_cilindro!$B$34))/Presion_cilindro!$B$35)^(Presion_cilindro!$B$17+1)),0)-IF(Presion_cilindro!N95&gt;(-F$4+Presion_cilindro!$B$34),1-EXP(-Presion_cilindro!$B$16*((Presion_cilindro!N95-(-F$4+Presion_cilindro!$B$34))/Presion_cilindro!$B$35)^(Presion_cilindro!$B$17+1)),0))/((Presion_cilindro!O95+Presion_cilindro!O96)/2)</f>
        <v>0.83295428844945574</v>
      </c>
      <c r="G104" s="27">
        <f>G103*(Presion_cilindro!O95/Presion_cilindro!O96)^Presion_cilindro!$B$9+10*(Presion_cilindro!$B$9-1)*Presion_cilindro!$B$33*(IF(Presion_cilindro!N96&gt;(-G$4+Presion_cilindro!$B$34),1-EXP(-Presion_cilindro!$B$16*((Presion_cilindro!N96-(-G$4+Presion_cilindro!$B$34))/Presion_cilindro!$B$35)^(Presion_cilindro!$B$17+1)),0)-IF(Presion_cilindro!N95&gt;(-G$4+Presion_cilindro!$B$34),1-EXP(-Presion_cilindro!$B$16*((Presion_cilindro!N95-(-G$4+Presion_cilindro!$B$34))/Presion_cilindro!$B$35)^(Presion_cilindro!$B$17+1)),0))/((Presion_cilindro!O95+Presion_cilindro!O96)/2)</f>
        <v>0.83295428844945574</v>
      </c>
      <c r="H104" s="27">
        <f>H103*(Presion_cilindro!O95/Presion_cilindro!O96)^Presion_cilindro!$B$9+10*(Presion_cilindro!$B$9-1)*Presion_cilindro!$B$33*(IF(Presion_cilindro!N96&gt;(-H$4+Presion_cilindro!$B$34),1-EXP(-Presion_cilindro!$B$16*((Presion_cilindro!N96-(-H$4+Presion_cilindro!$B$34))/Presion_cilindro!$B$35)^(Presion_cilindro!$B$17+1)),0)-IF(Presion_cilindro!N95&gt;(-H$4+Presion_cilindro!$B$34),1-EXP(-Presion_cilindro!$B$16*((Presion_cilindro!N95-(-H$4+Presion_cilindro!$B$34))/Presion_cilindro!$B$35)^(Presion_cilindro!$B$17+1)),0))/((Presion_cilindro!O95+Presion_cilindro!O96)/2)</f>
        <v>0.83295428844945574</v>
      </c>
      <c r="I104" s="27">
        <f>I103*(Presion_cilindro!O95/Presion_cilindro!O96)^Presion_cilindro!$B$9+10*(Presion_cilindro!$B$9-1)*Presion_cilindro!$B$33*(IF(Presion_cilindro!N96&gt;(-I$4+Presion_cilindro!$B$34),1-EXP(-Presion_cilindro!$B$16*((Presion_cilindro!N96-(-I$4+Presion_cilindro!$B$34))/Presion_cilindro!$B$35)^(Presion_cilindro!$B$17+1)),0)-IF(Presion_cilindro!N95&gt;(-I$4+Presion_cilindro!$B$34),1-EXP(-Presion_cilindro!$B$16*((Presion_cilindro!N95-(-I$4+Presion_cilindro!$B$34))/Presion_cilindro!$B$35)^(Presion_cilindro!$B$17+1)),0))/((Presion_cilindro!O95+Presion_cilindro!O96)/2)</f>
        <v>0.83295428844945574</v>
      </c>
      <c r="J104" s="27">
        <f>J103*(Presion_cilindro!O95/Presion_cilindro!O96)^Presion_cilindro!$B$9+10*(Presion_cilindro!$B$9-1)*Presion_cilindro!$B$33*(IF(Presion_cilindro!N96&gt;(-J$4+Presion_cilindro!$B$34),1-EXP(-Presion_cilindro!$B$16*((Presion_cilindro!N96-(-J$4+Presion_cilindro!$B$34))/Presion_cilindro!$B$35)^(Presion_cilindro!$B$17+1)),0)-IF(Presion_cilindro!N95&gt;(-J$4+Presion_cilindro!$B$34),1-EXP(-Presion_cilindro!$B$16*((Presion_cilindro!N95-(-J$4+Presion_cilindro!$B$34))/Presion_cilindro!$B$35)^(Presion_cilindro!$B$17+1)),0))/((Presion_cilindro!O95+Presion_cilindro!O96)/2)</f>
        <v>0.83295428844945574</v>
      </c>
      <c r="K104" s="27">
        <f>K103*(Presion_cilindro!O95/Presion_cilindro!O96)^Presion_cilindro!$B$9+10*(Presion_cilindro!$B$9-1)*Presion_cilindro!$B$33*(IF(Presion_cilindro!N96&gt;(-K$4+Presion_cilindro!$B$34),1-EXP(-Presion_cilindro!$B$16*((Presion_cilindro!N96-(-K$4+Presion_cilindro!$B$34))/Presion_cilindro!$B$35)^(Presion_cilindro!$B$17+1)),0)-IF(Presion_cilindro!N95&gt;(-K$4+Presion_cilindro!$B$34),1-EXP(-Presion_cilindro!$B$16*((Presion_cilindro!N95-(-K$4+Presion_cilindro!$B$34))/Presion_cilindro!$B$35)^(Presion_cilindro!$B$17+1)),0))/((Presion_cilindro!O95+Presion_cilindro!O96)/2)</f>
        <v>0.83295428844945574</v>
      </c>
      <c r="L104" s="27">
        <f>L103*(Presion_cilindro!O95/Presion_cilindro!O96)^Presion_cilindro!$B$9+10*(Presion_cilindro!$B$9-1)*Presion_cilindro!$B$33*(IF(Presion_cilindro!N96&gt;(-L$4+Presion_cilindro!$B$34),1-EXP(-Presion_cilindro!$B$16*((Presion_cilindro!N96-(-L$4+Presion_cilindro!$B$34))/Presion_cilindro!$B$35)^(Presion_cilindro!$B$17+1)),0)-IF(Presion_cilindro!N95&gt;(-L$4+Presion_cilindro!$B$34),1-EXP(-Presion_cilindro!$B$16*((Presion_cilindro!N95-(-L$4+Presion_cilindro!$B$34))/Presion_cilindro!$B$35)^(Presion_cilindro!$B$17+1)),0))/((Presion_cilindro!O95+Presion_cilindro!O96)/2)</f>
        <v>0.83295428844945574</v>
      </c>
      <c r="M104" s="27">
        <f>M103*(Presion_cilindro!O95/Presion_cilindro!O96)^Presion_cilindro!$B$9+10*(Presion_cilindro!$B$9-1)*Presion_cilindro!$B$33*(IF(Presion_cilindro!N96&gt;(-M$4+Presion_cilindro!$B$34),1-EXP(-Presion_cilindro!$B$16*((Presion_cilindro!N96-(-M$4+Presion_cilindro!$B$34))/Presion_cilindro!$B$35)^(Presion_cilindro!$B$17+1)),0)-IF(Presion_cilindro!N95&gt;(-M$4+Presion_cilindro!$B$34),1-EXP(-Presion_cilindro!$B$16*((Presion_cilindro!N95-(-M$4+Presion_cilindro!$B$34))/Presion_cilindro!$B$35)^(Presion_cilindro!$B$17+1)),0))/((Presion_cilindro!O95+Presion_cilindro!O96)/2)</f>
        <v>0.83295428844945574</v>
      </c>
      <c r="N104" s="27">
        <f>N103*(Presion_cilindro!O95/Presion_cilindro!O96)^Presion_cilindro!$B$9+10*(Presion_cilindro!$B$9-1)*Presion_cilindro!$B$33*(IF(Presion_cilindro!N96&gt;(-N$4+Presion_cilindro!$B$34),1-EXP(-Presion_cilindro!$B$16*((Presion_cilindro!N96-(-N$4+Presion_cilindro!$B$34))/Presion_cilindro!$B$35)^(Presion_cilindro!$B$17+1)),0)-IF(Presion_cilindro!N95&gt;(-N$4+Presion_cilindro!$B$34),1-EXP(-Presion_cilindro!$B$16*((Presion_cilindro!N95-(-N$4+Presion_cilindro!$B$34))/Presion_cilindro!$B$35)^(Presion_cilindro!$B$17+1)),0))/((Presion_cilindro!O95+Presion_cilindro!O96)/2)</f>
        <v>0.83295428844945574</v>
      </c>
    </row>
    <row r="105" spans="1:14" x14ac:dyDescent="0.25">
      <c r="A105" s="21">
        <f>Presion_cilindro!N97</f>
        <v>-133.5</v>
      </c>
      <c r="B105" s="27">
        <f>B104*(Presion_cilindro!O96/Presion_cilindro!O97)^Presion_cilindro!$B$9+10*(Presion_cilindro!$B$9-1)*Presion_cilindro!$B$33*(IF(Presion_cilindro!N97&gt;(-B$4+Presion_cilindro!$B$34),1-EXP(-Presion_cilindro!$B$16*((Presion_cilindro!N97-(-B$4+Presion_cilindro!$B$34))/Presion_cilindro!$B$35)^(Presion_cilindro!$B$17+1)),0)-IF(Presion_cilindro!N96&gt;(-B$4+Presion_cilindro!$B$34),1-EXP(-Presion_cilindro!$B$16*((Presion_cilindro!N96-(-B$4+Presion_cilindro!$B$34))/Presion_cilindro!$B$35)^(Presion_cilindro!$B$17+1)),0))/((Presion_cilindro!O96+Presion_cilindro!O97)/2)</f>
        <v>0.83576100599747127</v>
      </c>
      <c r="C105" s="27">
        <f>C104*(Presion_cilindro!O96/Presion_cilindro!O97)^Presion_cilindro!$B$9+10*(Presion_cilindro!$B$9-1)*Presion_cilindro!$B$33*(IF(Presion_cilindro!N97&gt;(-C$4+Presion_cilindro!$B$34),1-EXP(-Presion_cilindro!$B$16*((Presion_cilindro!N97-(-C$4+Presion_cilindro!$B$34))/Presion_cilindro!$B$35)^(Presion_cilindro!$B$17+1)),0)-IF(Presion_cilindro!N96&gt;(-C$4+Presion_cilindro!$B$34),1-EXP(-Presion_cilindro!$B$16*((Presion_cilindro!N96-(-C$4+Presion_cilindro!$B$34))/Presion_cilindro!$B$35)^(Presion_cilindro!$B$17+1)),0))/((Presion_cilindro!O96+Presion_cilindro!O97)/2)</f>
        <v>0.83576100599747127</v>
      </c>
      <c r="D105" s="27">
        <f>D104*(Presion_cilindro!O96/Presion_cilindro!O97)^Presion_cilindro!$B$9+10*(Presion_cilindro!$B$9-1)*Presion_cilindro!$B$33*(IF(Presion_cilindro!N97&gt;(-D$4+Presion_cilindro!$B$34),1-EXP(-Presion_cilindro!$B$16*((Presion_cilindro!N97-(-D$4+Presion_cilindro!$B$34))/Presion_cilindro!$B$35)^(Presion_cilindro!$B$17+1)),0)-IF(Presion_cilindro!N96&gt;(-D$4+Presion_cilindro!$B$34),1-EXP(-Presion_cilindro!$B$16*((Presion_cilindro!N96-(-D$4+Presion_cilindro!$B$34))/Presion_cilindro!$B$35)^(Presion_cilindro!$B$17+1)),0))/((Presion_cilindro!O96+Presion_cilindro!O97)/2)</f>
        <v>0.83576100599747127</v>
      </c>
      <c r="E105" s="27">
        <f>E104*(Presion_cilindro!O96/Presion_cilindro!O97)^Presion_cilindro!$B$9+10*(Presion_cilindro!$B$9-1)*Presion_cilindro!$B$33*(IF(Presion_cilindro!N97&gt;(-E$4+Presion_cilindro!$B$34),1-EXP(-Presion_cilindro!$B$16*((Presion_cilindro!N97-(-E$4+Presion_cilindro!$B$34))/Presion_cilindro!$B$35)^(Presion_cilindro!$B$17+1)),0)-IF(Presion_cilindro!N96&gt;(-E$4+Presion_cilindro!$B$34),1-EXP(-Presion_cilindro!$B$16*((Presion_cilindro!N96-(-E$4+Presion_cilindro!$B$34))/Presion_cilindro!$B$35)^(Presion_cilindro!$B$17+1)),0))/((Presion_cilindro!O96+Presion_cilindro!O97)/2)</f>
        <v>0.83576100599747127</v>
      </c>
      <c r="F105" s="27">
        <f>F104*(Presion_cilindro!O96/Presion_cilindro!O97)^Presion_cilindro!$B$9+10*(Presion_cilindro!$B$9-1)*Presion_cilindro!$B$33*(IF(Presion_cilindro!N97&gt;(-F$4+Presion_cilindro!$B$34),1-EXP(-Presion_cilindro!$B$16*((Presion_cilindro!N97-(-F$4+Presion_cilindro!$B$34))/Presion_cilindro!$B$35)^(Presion_cilindro!$B$17+1)),0)-IF(Presion_cilindro!N96&gt;(-F$4+Presion_cilindro!$B$34),1-EXP(-Presion_cilindro!$B$16*((Presion_cilindro!N96-(-F$4+Presion_cilindro!$B$34))/Presion_cilindro!$B$35)^(Presion_cilindro!$B$17+1)),0))/((Presion_cilindro!O96+Presion_cilindro!O97)/2)</f>
        <v>0.83576100599747127</v>
      </c>
      <c r="G105" s="27">
        <f>G104*(Presion_cilindro!O96/Presion_cilindro!O97)^Presion_cilindro!$B$9+10*(Presion_cilindro!$B$9-1)*Presion_cilindro!$B$33*(IF(Presion_cilindro!N97&gt;(-G$4+Presion_cilindro!$B$34),1-EXP(-Presion_cilindro!$B$16*((Presion_cilindro!N97-(-G$4+Presion_cilindro!$B$34))/Presion_cilindro!$B$35)^(Presion_cilindro!$B$17+1)),0)-IF(Presion_cilindro!N96&gt;(-G$4+Presion_cilindro!$B$34),1-EXP(-Presion_cilindro!$B$16*((Presion_cilindro!N96-(-G$4+Presion_cilindro!$B$34))/Presion_cilindro!$B$35)^(Presion_cilindro!$B$17+1)),0))/((Presion_cilindro!O96+Presion_cilindro!O97)/2)</f>
        <v>0.83576100599747127</v>
      </c>
      <c r="H105" s="27">
        <f>H104*(Presion_cilindro!O96/Presion_cilindro!O97)^Presion_cilindro!$B$9+10*(Presion_cilindro!$B$9-1)*Presion_cilindro!$B$33*(IF(Presion_cilindro!N97&gt;(-H$4+Presion_cilindro!$B$34),1-EXP(-Presion_cilindro!$B$16*((Presion_cilindro!N97-(-H$4+Presion_cilindro!$B$34))/Presion_cilindro!$B$35)^(Presion_cilindro!$B$17+1)),0)-IF(Presion_cilindro!N96&gt;(-H$4+Presion_cilindro!$B$34),1-EXP(-Presion_cilindro!$B$16*((Presion_cilindro!N96-(-H$4+Presion_cilindro!$B$34))/Presion_cilindro!$B$35)^(Presion_cilindro!$B$17+1)),0))/((Presion_cilindro!O96+Presion_cilindro!O97)/2)</f>
        <v>0.83576100599747127</v>
      </c>
      <c r="I105" s="27">
        <f>I104*(Presion_cilindro!O96/Presion_cilindro!O97)^Presion_cilindro!$B$9+10*(Presion_cilindro!$B$9-1)*Presion_cilindro!$B$33*(IF(Presion_cilindro!N97&gt;(-I$4+Presion_cilindro!$B$34),1-EXP(-Presion_cilindro!$B$16*((Presion_cilindro!N97-(-I$4+Presion_cilindro!$B$34))/Presion_cilindro!$B$35)^(Presion_cilindro!$B$17+1)),0)-IF(Presion_cilindro!N96&gt;(-I$4+Presion_cilindro!$B$34),1-EXP(-Presion_cilindro!$B$16*((Presion_cilindro!N96-(-I$4+Presion_cilindro!$B$34))/Presion_cilindro!$B$35)^(Presion_cilindro!$B$17+1)),0))/((Presion_cilindro!O96+Presion_cilindro!O97)/2)</f>
        <v>0.83576100599747127</v>
      </c>
      <c r="J105" s="27">
        <f>J104*(Presion_cilindro!O96/Presion_cilindro!O97)^Presion_cilindro!$B$9+10*(Presion_cilindro!$B$9-1)*Presion_cilindro!$B$33*(IF(Presion_cilindro!N97&gt;(-J$4+Presion_cilindro!$B$34),1-EXP(-Presion_cilindro!$B$16*((Presion_cilindro!N97-(-J$4+Presion_cilindro!$B$34))/Presion_cilindro!$B$35)^(Presion_cilindro!$B$17+1)),0)-IF(Presion_cilindro!N96&gt;(-J$4+Presion_cilindro!$B$34),1-EXP(-Presion_cilindro!$B$16*((Presion_cilindro!N96-(-J$4+Presion_cilindro!$B$34))/Presion_cilindro!$B$35)^(Presion_cilindro!$B$17+1)),0))/((Presion_cilindro!O96+Presion_cilindro!O97)/2)</f>
        <v>0.83576100599747127</v>
      </c>
      <c r="K105" s="27">
        <f>K104*(Presion_cilindro!O96/Presion_cilindro!O97)^Presion_cilindro!$B$9+10*(Presion_cilindro!$B$9-1)*Presion_cilindro!$B$33*(IF(Presion_cilindro!N97&gt;(-K$4+Presion_cilindro!$B$34),1-EXP(-Presion_cilindro!$B$16*((Presion_cilindro!N97-(-K$4+Presion_cilindro!$B$34))/Presion_cilindro!$B$35)^(Presion_cilindro!$B$17+1)),0)-IF(Presion_cilindro!N96&gt;(-K$4+Presion_cilindro!$B$34),1-EXP(-Presion_cilindro!$B$16*((Presion_cilindro!N96-(-K$4+Presion_cilindro!$B$34))/Presion_cilindro!$B$35)^(Presion_cilindro!$B$17+1)),0))/((Presion_cilindro!O96+Presion_cilindro!O97)/2)</f>
        <v>0.83576100599747127</v>
      </c>
      <c r="L105" s="27">
        <f>L104*(Presion_cilindro!O96/Presion_cilindro!O97)^Presion_cilindro!$B$9+10*(Presion_cilindro!$B$9-1)*Presion_cilindro!$B$33*(IF(Presion_cilindro!N97&gt;(-L$4+Presion_cilindro!$B$34),1-EXP(-Presion_cilindro!$B$16*((Presion_cilindro!N97-(-L$4+Presion_cilindro!$B$34))/Presion_cilindro!$B$35)^(Presion_cilindro!$B$17+1)),0)-IF(Presion_cilindro!N96&gt;(-L$4+Presion_cilindro!$B$34),1-EXP(-Presion_cilindro!$B$16*((Presion_cilindro!N96-(-L$4+Presion_cilindro!$B$34))/Presion_cilindro!$B$35)^(Presion_cilindro!$B$17+1)),0))/((Presion_cilindro!O96+Presion_cilindro!O97)/2)</f>
        <v>0.83576100599747127</v>
      </c>
      <c r="M105" s="27">
        <f>M104*(Presion_cilindro!O96/Presion_cilindro!O97)^Presion_cilindro!$B$9+10*(Presion_cilindro!$B$9-1)*Presion_cilindro!$B$33*(IF(Presion_cilindro!N97&gt;(-M$4+Presion_cilindro!$B$34),1-EXP(-Presion_cilindro!$B$16*((Presion_cilindro!N97-(-M$4+Presion_cilindro!$B$34))/Presion_cilindro!$B$35)^(Presion_cilindro!$B$17+1)),0)-IF(Presion_cilindro!N96&gt;(-M$4+Presion_cilindro!$B$34),1-EXP(-Presion_cilindro!$B$16*((Presion_cilindro!N96-(-M$4+Presion_cilindro!$B$34))/Presion_cilindro!$B$35)^(Presion_cilindro!$B$17+1)),0))/((Presion_cilindro!O96+Presion_cilindro!O97)/2)</f>
        <v>0.83576100599747127</v>
      </c>
      <c r="N105" s="27">
        <f>N104*(Presion_cilindro!O96/Presion_cilindro!O97)^Presion_cilindro!$B$9+10*(Presion_cilindro!$B$9-1)*Presion_cilindro!$B$33*(IF(Presion_cilindro!N97&gt;(-N$4+Presion_cilindro!$B$34),1-EXP(-Presion_cilindro!$B$16*((Presion_cilindro!N97-(-N$4+Presion_cilindro!$B$34))/Presion_cilindro!$B$35)^(Presion_cilindro!$B$17+1)),0)-IF(Presion_cilindro!N96&gt;(-N$4+Presion_cilindro!$B$34),1-EXP(-Presion_cilindro!$B$16*((Presion_cilindro!N96-(-N$4+Presion_cilindro!$B$34))/Presion_cilindro!$B$35)^(Presion_cilindro!$B$17+1)),0))/((Presion_cilindro!O96+Presion_cilindro!O97)/2)</f>
        <v>0.83576100599747127</v>
      </c>
    </row>
    <row r="106" spans="1:14" x14ac:dyDescent="0.25">
      <c r="A106" s="21">
        <f>Presion_cilindro!N98</f>
        <v>-133</v>
      </c>
      <c r="B106" s="27">
        <f>B105*(Presion_cilindro!O97/Presion_cilindro!O98)^Presion_cilindro!$B$9+10*(Presion_cilindro!$B$9-1)*Presion_cilindro!$B$33*(IF(Presion_cilindro!N98&gt;(-B$4+Presion_cilindro!$B$34),1-EXP(-Presion_cilindro!$B$16*((Presion_cilindro!N98-(-B$4+Presion_cilindro!$B$34))/Presion_cilindro!$B$35)^(Presion_cilindro!$B$17+1)),0)-IF(Presion_cilindro!N97&gt;(-B$4+Presion_cilindro!$B$34),1-EXP(-Presion_cilindro!$B$16*((Presion_cilindro!N97-(-B$4+Presion_cilindro!$B$34))/Presion_cilindro!$B$35)^(Presion_cilindro!$B$17+1)),0))/((Presion_cilindro!O97+Presion_cilindro!O98)/2)</f>
        <v>0.83861422923866613</v>
      </c>
      <c r="C106" s="27">
        <f>C105*(Presion_cilindro!O97/Presion_cilindro!O98)^Presion_cilindro!$B$9+10*(Presion_cilindro!$B$9-1)*Presion_cilindro!$B$33*(IF(Presion_cilindro!N98&gt;(-C$4+Presion_cilindro!$B$34),1-EXP(-Presion_cilindro!$B$16*((Presion_cilindro!N98-(-C$4+Presion_cilindro!$B$34))/Presion_cilindro!$B$35)^(Presion_cilindro!$B$17+1)),0)-IF(Presion_cilindro!N97&gt;(-C$4+Presion_cilindro!$B$34),1-EXP(-Presion_cilindro!$B$16*((Presion_cilindro!N97-(-C$4+Presion_cilindro!$B$34))/Presion_cilindro!$B$35)^(Presion_cilindro!$B$17+1)),0))/((Presion_cilindro!O97+Presion_cilindro!O98)/2)</f>
        <v>0.83861422923866613</v>
      </c>
      <c r="D106" s="27">
        <f>D105*(Presion_cilindro!O97/Presion_cilindro!O98)^Presion_cilindro!$B$9+10*(Presion_cilindro!$B$9-1)*Presion_cilindro!$B$33*(IF(Presion_cilindro!N98&gt;(-D$4+Presion_cilindro!$B$34),1-EXP(-Presion_cilindro!$B$16*((Presion_cilindro!N98-(-D$4+Presion_cilindro!$B$34))/Presion_cilindro!$B$35)^(Presion_cilindro!$B$17+1)),0)-IF(Presion_cilindro!N97&gt;(-D$4+Presion_cilindro!$B$34),1-EXP(-Presion_cilindro!$B$16*((Presion_cilindro!N97-(-D$4+Presion_cilindro!$B$34))/Presion_cilindro!$B$35)^(Presion_cilindro!$B$17+1)),0))/((Presion_cilindro!O97+Presion_cilindro!O98)/2)</f>
        <v>0.83861422923866613</v>
      </c>
      <c r="E106" s="27">
        <f>E105*(Presion_cilindro!O97/Presion_cilindro!O98)^Presion_cilindro!$B$9+10*(Presion_cilindro!$B$9-1)*Presion_cilindro!$B$33*(IF(Presion_cilindro!N98&gt;(-E$4+Presion_cilindro!$B$34),1-EXP(-Presion_cilindro!$B$16*((Presion_cilindro!N98-(-E$4+Presion_cilindro!$B$34))/Presion_cilindro!$B$35)^(Presion_cilindro!$B$17+1)),0)-IF(Presion_cilindro!N97&gt;(-E$4+Presion_cilindro!$B$34),1-EXP(-Presion_cilindro!$B$16*((Presion_cilindro!N97-(-E$4+Presion_cilindro!$B$34))/Presion_cilindro!$B$35)^(Presion_cilindro!$B$17+1)),0))/((Presion_cilindro!O97+Presion_cilindro!O98)/2)</f>
        <v>0.83861422923866613</v>
      </c>
      <c r="F106" s="27">
        <f>F105*(Presion_cilindro!O97/Presion_cilindro!O98)^Presion_cilindro!$B$9+10*(Presion_cilindro!$B$9-1)*Presion_cilindro!$B$33*(IF(Presion_cilindro!N98&gt;(-F$4+Presion_cilindro!$B$34),1-EXP(-Presion_cilindro!$B$16*((Presion_cilindro!N98-(-F$4+Presion_cilindro!$B$34))/Presion_cilindro!$B$35)^(Presion_cilindro!$B$17+1)),0)-IF(Presion_cilindro!N97&gt;(-F$4+Presion_cilindro!$B$34),1-EXP(-Presion_cilindro!$B$16*((Presion_cilindro!N97-(-F$4+Presion_cilindro!$B$34))/Presion_cilindro!$B$35)^(Presion_cilindro!$B$17+1)),0))/((Presion_cilindro!O97+Presion_cilindro!O98)/2)</f>
        <v>0.83861422923866613</v>
      </c>
      <c r="G106" s="27">
        <f>G105*(Presion_cilindro!O97/Presion_cilindro!O98)^Presion_cilindro!$B$9+10*(Presion_cilindro!$B$9-1)*Presion_cilindro!$B$33*(IF(Presion_cilindro!N98&gt;(-G$4+Presion_cilindro!$B$34),1-EXP(-Presion_cilindro!$B$16*((Presion_cilindro!N98-(-G$4+Presion_cilindro!$B$34))/Presion_cilindro!$B$35)^(Presion_cilindro!$B$17+1)),0)-IF(Presion_cilindro!N97&gt;(-G$4+Presion_cilindro!$B$34),1-EXP(-Presion_cilindro!$B$16*((Presion_cilindro!N97-(-G$4+Presion_cilindro!$B$34))/Presion_cilindro!$B$35)^(Presion_cilindro!$B$17+1)),0))/((Presion_cilindro!O97+Presion_cilindro!O98)/2)</f>
        <v>0.83861422923866613</v>
      </c>
      <c r="H106" s="27">
        <f>H105*(Presion_cilindro!O97/Presion_cilindro!O98)^Presion_cilindro!$B$9+10*(Presion_cilindro!$B$9-1)*Presion_cilindro!$B$33*(IF(Presion_cilindro!N98&gt;(-H$4+Presion_cilindro!$B$34),1-EXP(-Presion_cilindro!$B$16*((Presion_cilindro!N98-(-H$4+Presion_cilindro!$B$34))/Presion_cilindro!$B$35)^(Presion_cilindro!$B$17+1)),0)-IF(Presion_cilindro!N97&gt;(-H$4+Presion_cilindro!$B$34),1-EXP(-Presion_cilindro!$B$16*((Presion_cilindro!N97-(-H$4+Presion_cilindro!$B$34))/Presion_cilindro!$B$35)^(Presion_cilindro!$B$17+1)),0))/((Presion_cilindro!O97+Presion_cilindro!O98)/2)</f>
        <v>0.83861422923866613</v>
      </c>
      <c r="I106" s="27">
        <f>I105*(Presion_cilindro!O97/Presion_cilindro!O98)^Presion_cilindro!$B$9+10*(Presion_cilindro!$B$9-1)*Presion_cilindro!$B$33*(IF(Presion_cilindro!N98&gt;(-I$4+Presion_cilindro!$B$34),1-EXP(-Presion_cilindro!$B$16*((Presion_cilindro!N98-(-I$4+Presion_cilindro!$B$34))/Presion_cilindro!$B$35)^(Presion_cilindro!$B$17+1)),0)-IF(Presion_cilindro!N97&gt;(-I$4+Presion_cilindro!$B$34),1-EXP(-Presion_cilindro!$B$16*((Presion_cilindro!N97-(-I$4+Presion_cilindro!$B$34))/Presion_cilindro!$B$35)^(Presion_cilindro!$B$17+1)),0))/((Presion_cilindro!O97+Presion_cilindro!O98)/2)</f>
        <v>0.83861422923866613</v>
      </c>
      <c r="J106" s="27">
        <f>J105*(Presion_cilindro!O97/Presion_cilindro!O98)^Presion_cilindro!$B$9+10*(Presion_cilindro!$B$9-1)*Presion_cilindro!$B$33*(IF(Presion_cilindro!N98&gt;(-J$4+Presion_cilindro!$B$34),1-EXP(-Presion_cilindro!$B$16*((Presion_cilindro!N98-(-J$4+Presion_cilindro!$B$34))/Presion_cilindro!$B$35)^(Presion_cilindro!$B$17+1)),0)-IF(Presion_cilindro!N97&gt;(-J$4+Presion_cilindro!$B$34),1-EXP(-Presion_cilindro!$B$16*((Presion_cilindro!N97-(-J$4+Presion_cilindro!$B$34))/Presion_cilindro!$B$35)^(Presion_cilindro!$B$17+1)),0))/((Presion_cilindro!O97+Presion_cilindro!O98)/2)</f>
        <v>0.83861422923866613</v>
      </c>
      <c r="K106" s="27">
        <f>K105*(Presion_cilindro!O97/Presion_cilindro!O98)^Presion_cilindro!$B$9+10*(Presion_cilindro!$B$9-1)*Presion_cilindro!$B$33*(IF(Presion_cilindro!N98&gt;(-K$4+Presion_cilindro!$B$34),1-EXP(-Presion_cilindro!$B$16*((Presion_cilindro!N98-(-K$4+Presion_cilindro!$B$34))/Presion_cilindro!$B$35)^(Presion_cilindro!$B$17+1)),0)-IF(Presion_cilindro!N97&gt;(-K$4+Presion_cilindro!$B$34),1-EXP(-Presion_cilindro!$B$16*((Presion_cilindro!N97-(-K$4+Presion_cilindro!$B$34))/Presion_cilindro!$B$35)^(Presion_cilindro!$B$17+1)),0))/((Presion_cilindro!O97+Presion_cilindro!O98)/2)</f>
        <v>0.83861422923866613</v>
      </c>
      <c r="L106" s="27">
        <f>L105*(Presion_cilindro!O97/Presion_cilindro!O98)^Presion_cilindro!$B$9+10*(Presion_cilindro!$B$9-1)*Presion_cilindro!$B$33*(IF(Presion_cilindro!N98&gt;(-L$4+Presion_cilindro!$B$34),1-EXP(-Presion_cilindro!$B$16*((Presion_cilindro!N98-(-L$4+Presion_cilindro!$B$34))/Presion_cilindro!$B$35)^(Presion_cilindro!$B$17+1)),0)-IF(Presion_cilindro!N97&gt;(-L$4+Presion_cilindro!$B$34),1-EXP(-Presion_cilindro!$B$16*((Presion_cilindro!N97-(-L$4+Presion_cilindro!$B$34))/Presion_cilindro!$B$35)^(Presion_cilindro!$B$17+1)),0))/((Presion_cilindro!O97+Presion_cilindro!O98)/2)</f>
        <v>0.83861422923866613</v>
      </c>
      <c r="M106" s="27">
        <f>M105*(Presion_cilindro!O97/Presion_cilindro!O98)^Presion_cilindro!$B$9+10*(Presion_cilindro!$B$9-1)*Presion_cilindro!$B$33*(IF(Presion_cilindro!N98&gt;(-M$4+Presion_cilindro!$B$34),1-EXP(-Presion_cilindro!$B$16*((Presion_cilindro!N98-(-M$4+Presion_cilindro!$B$34))/Presion_cilindro!$B$35)^(Presion_cilindro!$B$17+1)),0)-IF(Presion_cilindro!N97&gt;(-M$4+Presion_cilindro!$B$34),1-EXP(-Presion_cilindro!$B$16*((Presion_cilindro!N97-(-M$4+Presion_cilindro!$B$34))/Presion_cilindro!$B$35)^(Presion_cilindro!$B$17+1)),0))/((Presion_cilindro!O97+Presion_cilindro!O98)/2)</f>
        <v>0.83861422923866613</v>
      </c>
      <c r="N106" s="27">
        <f>N105*(Presion_cilindro!O97/Presion_cilindro!O98)^Presion_cilindro!$B$9+10*(Presion_cilindro!$B$9-1)*Presion_cilindro!$B$33*(IF(Presion_cilindro!N98&gt;(-N$4+Presion_cilindro!$B$34),1-EXP(-Presion_cilindro!$B$16*((Presion_cilindro!N98-(-N$4+Presion_cilindro!$B$34))/Presion_cilindro!$B$35)^(Presion_cilindro!$B$17+1)),0)-IF(Presion_cilindro!N97&gt;(-N$4+Presion_cilindro!$B$34),1-EXP(-Presion_cilindro!$B$16*((Presion_cilindro!N97-(-N$4+Presion_cilindro!$B$34))/Presion_cilindro!$B$35)^(Presion_cilindro!$B$17+1)),0))/((Presion_cilindro!O97+Presion_cilindro!O98)/2)</f>
        <v>0.83861422923866613</v>
      </c>
    </row>
    <row r="107" spans="1:14" x14ac:dyDescent="0.25">
      <c r="A107" s="21">
        <f>Presion_cilindro!N99</f>
        <v>-132.5</v>
      </c>
      <c r="B107" s="27">
        <f>B106*(Presion_cilindro!O98/Presion_cilindro!O99)^Presion_cilindro!$B$9+10*(Presion_cilindro!$B$9-1)*Presion_cilindro!$B$33*(IF(Presion_cilindro!N99&gt;(-B$4+Presion_cilindro!$B$34),1-EXP(-Presion_cilindro!$B$16*((Presion_cilindro!N99-(-B$4+Presion_cilindro!$B$34))/Presion_cilindro!$B$35)^(Presion_cilindro!$B$17+1)),0)-IF(Presion_cilindro!N98&gt;(-B$4+Presion_cilindro!$B$34),1-EXP(-Presion_cilindro!$B$16*((Presion_cilindro!N98-(-B$4+Presion_cilindro!$B$34))/Presion_cilindro!$B$35)^(Presion_cilindro!$B$17+1)),0))/((Presion_cilindro!O98+Presion_cilindro!O99)/2)</f>
        <v>0.84151458337033336</v>
      </c>
      <c r="C107" s="27">
        <f>C106*(Presion_cilindro!O98/Presion_cilindro!O99)^Presion_cilindro!$B$9+10*(Presion_cilindro!$B$9-1)*Presion_cilindro!$B$33*(IF(Presion_cilindro!N99&gt;(-C$4+Presion_cilindro!$B$34),1-EXP(-Presion_cilindro!$B$16*((Presion_cilindro!N99-(-C$4+Presion_cilindro!$B$34))/Presion_cilindro!$B$35)^(Presion_cilindro!$B$17+1)),0)-IF(Presion_cilindro!N98&gt;(-C$4+Presion_cilindro!$B$34),1-EXP(-Presion_cilindro!$B$16*((Presion_cilindro!N98-(-C$4+Presion_cilindro!$B$34))/Presion_cilindro!$B$35)^(Presion_cilindro!$B$17+1)),0))/((Presion_cilindro!O98+Presion_cilindro!O99)/2)</f>
        <v>0.84151458337033336</v>
      </c>
      <c r="D107" s="27">
        <f>D106*(Presion_cilindro!O98/Presion_cilindro!O99)^Presion_cilindro!$B$9+10*(Presion_cilindro!$B$9-1)*Presion_cilindro!$B$33*(IF(Presion_cilindro!N99&gt;(-D$4+Presion_cilindro!$B$34),1-EXP(-Presion_cilindro!$B$16*((Presion_cilindro!N99-(-D$4+Presion_cilindro!$B$34))/Presion_cilindro!$B$35)^(Presion_cilindro!$B$17+1)),0)-IF(Presion_cilindro!N98&gt;(-D$4+Presion_cilindro!$B$34),1-EXP(-Presion_cilindro!$B$16*((Presion_cilindro!N98-(-D$4+Presion_cilindro!$B$34))/Presion_cilindro!$B$35)^(Presion_cilindro!$B$17+1)),0))/((Presion_cilindro!O98+Presion_cilindro!O99)/2)</f>
        <v>0.84151458337033336</v>
      </c>
      <c r="E107" s="27">
        <f>E106*(Presion_cilindro!O98/Presion_cilindro!O99)^Presion_cilindro!$B$9+10*(Presion_cilindro!$B$9-1)*Presion_cilindro!$B$33*(IF(Presion_cilindro!N99&gt;(-E$4+Presion_cilindro!$B$34),1-EXP(-Presion_cilindro!$B$16*((Presion_cilindro!N99-(-E$4+Presion_cilindro!$B$34))/Presion_cilindro!$B$35)^(Presion_cilindro!$B$17+1)),0)-IF(Presion_cilindro!N98&gt;(-E$4+Presion_cilindro!$B$34),1-EXP(-Presion_cilindro!$B$16*((Presion_cilindro!N98-(-E$4+Presion_cilindro!$B$34))/Presion_cilindro!$B$35)^(Presion_cilindro!$B$17+1)),0))/((Presion_cilindro!O98+Presion_cilindro!O99)/2)</f>
        <v>0.84151458337033336</v>
      </c>
      <c r="F107" s="27">
        <f>F106*(Presion_cilindro!O98/Presion_cilindro!O99)^Presion_cilindro!$B$9+10*(Presion_cilindro!$B$9-1)*Presion_cilindro!$B$33*(IF(Presion_cilindro!N99&gt;(-F$4+Presion_cilindro!$B$34),1-EXP(-Presion_cilindro!$B$16*((Presion_cilindro!N99-(-F$4+Presion_cilindro!$B$34))/Presion_cilindro!$B$35)^(Presion_cilindro!$B$17+1)),0)-IF(Presion_cilindro!N98&gt;(-F$4+Presion_cilindro!$B$34),1-EXP(-Presion_cilindro!$B$16*((Presion_cilindro!N98-(-F$4+Presion_cilindro!$B$34))/Presion_cilindro!$B$35)^(Presion_cilindro!$B$17+1)),0))/((Presion_cilindro!O98+Presion_cilindro!O99)/2)</f>
        <v>0.84151458337033336</v>
      </c>
      <c r="G107" s="27">
        <f>G106*(Presion_cilindro!O98/Presion_cilindro!O99)^Presion_cilindro!$B$9+10*(Presion_cilindro!$B$9-1)*Presion_cilindro!$B$33*(IF(Presion_cilindro!N99&gt;(-G$4+Presion_cilindro!$B$34),1-EXP(-Presion_cilindro!$B$16*((Presion_cilindro!N99-(-G$4+Presion_cilindro!$B$34))/Presion_cilindro!$B$35)^(Presion_cilindro!$B$17+1)),0)-IF(Presion_cilindro!N98&gt;(-G$4+Presion_cilindro!$B$34),1-EXP(-Presion_cilindro!$B$16*((Presion_cilindro!N98-(-G$4+Presion_cilindro!$B$34))/Presion_cilindro!$B$35)^(Presion_cilindro!$B$17+1)),0))/((Presion_cilindro!O98+Presion_cilindro!O99)/2)</f>
        <v>0.84151458337033336</v>
      </c>
      <c r="H107" s="27">
        <f>H106*(Presion_cilindro!O98/Presion_cilindro!O99)^Presion_cilindro!$B$9+10*(Presion_cilindro!$B$9-1)*Presion_cilindro!$B$33*(IF(Presion_cilindro!N99&gt;(-H$4+Presion_cilindro!$B$34),1-EXP(-Presion_cilindro!$B$16*((Presion_cilindro!N99-(-H$4+Presion_cilindro!$B$34))/Presion_cilindro!$B$35)^(Presion_cilindro!$B$17+1)),0)-IF(Presion_cilindro!N98&gt;(-H$4+Presion_cilindro!$B$34),1-EXP(-Presion_cilindro!$B$16*((Presion_cilindro!N98-(-H$4+Presion_cilindro!$B$34))/Presion_cilindro!$B$35)^(Presion_cilindro!$B$17+1)),0))/((Presion_cilindro!O98+Presion_cilindro!O99)/2)</f>
        <v>0.84151458337033336</v>
      </c>
      <c r="I107" s="27">
        <f>I106*(Presion_cilindro!O98/Presion_cilindro!O99)^Presion_cilindro!$B$9+10*(Presion_cilindro!$B$9-1)*Presion_cilindro!$B$33*(IF(Presion_cilindro!N99&gt;(-I$4+Presion_cilindro!$B$34),1-EXP(-Presion_cilindro!$B$16*((Presion_cilindro!N99-(-I$4+Presion_cilindro!$B$34))/Presion_cilindro!$B$35)^(Presion_cilindro!$B$17+1)),0)-IF(Presion_cilindro!N98&gt;(-I$4+Presion_cilindro!$B$34),1-EXP(-Presion_cilindro!$B$16*((Presion_cilindro!N98-(-I$4+Presion_cilindro!$B$34))/Presion_cilindro!$B$35)^(Presion_cilindro!$B$17+1)),0))/((Presion_cilindro!O98+Presion_cilindro!O99)/2)</f>
        <v>0.84151458337033336</v>
      </c>
      <c r="J107" s="27">
        <f>J106*(Presion_cilindro!O98/Presion_cilindro!O99)^Presion_cilindro!$B$9+10*(Presion_cilindro!$B$9-1)*Presion_cilindro!$B$33*(IF(Presion_cilindro!N99&gt;(-J$4+Presion_cilindro!$B$34),1-EXP(-Presion_cilindro!$B$16*((Presion_cilindro!N99-(-J$4+Presion_cilindro!$B$34))/Presion_cilindro!$B$35)^(Presion_cilindro!$B$17+1)),0)-IF(Presion_cilindro!N98&gt;(-J$4+Presion_cilindro!$B$34),1-EXP(-Presion_cilindro!$B$16*((Presion_cilindro!N98-(-J$4+Presion_cilindro!$B$34))/Presion_cilindro!$B$35)^(Presion_cilindro!$B$17+1)),0))/((Presion_cilindro!O98+Presion_cilindro!O99)/2)</f>
        <v>0.84151458337033336</v>
      </c>
      <c r="K107" s="27">
        <f>K106*(Presion_cilindro!O98/Presion_cilindro!O99)^Presion_cilindro!$B$9+10*(Presion_cilindro!$B$9-1)*Presion_cilindro!$B$33*(IF(Presion_cilindro!N99&gt;(-K$4+Presion_cilindro!$B$34),1-EXP(-Presion_cilindro!$B$16*((Presion_cilindro!N99-(-K$4+Presion_cilindro!$B$34))/Presion_cilindro!$B$35)^(Presion_cilindro!$B$17+1)),0)-IF(Presion_cilindro!N98&gt;(-K$4+Presion_cilindro!$B$34),1-EXP(-Presion_cilindro!$B$16*((Presion_cilindro!N98-(-K$4+Presion_cilindro!$B$34))/Presion_cilindro!$B$35)^(Presion_cilindro!$B$17+1)),0))/((Presion_cilindro!O98+Presion_cilindro!O99)/2)</f>
        <v>0.84151458337033336</v>
      </c>
      <c r="L107" s="27">
        <f>L106*(Presion_cilindro!O98/Presion_cilindro!O99)^Presion_cilindro!$B$9+10*(Presion_cilindro!$B$9-1)*Presion_cilindro!$B$33*(IF(Presion_cilindro!N99&gt;(-L$4+Presion_cilindro!$B$34),1-EXP(-Presion_cilindro!$B$16*((Presion_cilindro!N99-(-L$4+Presion_cilindro!$B$34))/Presion_cilindro!$B$35)^(Presion_cilindro!$B$17+1)),0)-IF(Presion_cilindro!N98&gt;(-L$4+Presion_cilindro!$B$34),1-EXP(-Presion_cilindro!$B$16*((Presion_cilindro!N98-(-L$4+Presion_cilindro!$B$34))/Presion_cilindro!$B$35)^(Presion_cilindro!$B$17+1)),0))/((Presion_cilindro!O98+Presion_cilindro!O99)/2)</f>
        <v>0.84151458337033336</v>
      </c>
      <c r="M107" s="27">
        <f>M106*(Presion_cilindro!O98/Presion_cilindro!O99)^Presion_cilindro!$B$9+10*(Presion_cilindro!$B$9-1)*Presion_cilindro!$B$33*(IF(Presion_cilindro!N99&gt;(-M$4+Presion_cilindro!$B$34),1-EXP(-Presion_cilindro!$B$16*((Presion_cilindro!N99-(-M$4+Presion_cilindro!$B$34))/Presion_cilindro!$B$35)^(Presion_cilindro!$B$17+1)),0)-IF(Presion_cilindro!N98&gt;(-M$4+Presion_cilindro!$B$34),1-EXP(-Presion_cilindro!$B$16*((Presion_cilindro!N98-(-M$4+Presion_cilindro!$B$34))/Presion_cilindro!$B$35)^(Presion_cilindro!$B$17+1)),0))/((Presion_cilindro!O98+Presion_cilindro!O99)/2)</f>
        <v>0.84151458337033336</v>
      </c>
      <c r="N107" s="27">
        <f>N106*(Presion_cilindro!O98/Presion_cilindro!O99)^Presion_cilindro!$B$9+10*(Presion_cilindro!$B$9-1)*Presion_cilindro!$B$33*(IF(Presion_cilindro!N99&gt;(-N$4+Presion_cilindro!$B$34),1-EXP(-Presion_cilindro!$B$16*((Presion_cilindro!N99-(-N$4+Presion_cilindro!$B$34))/Presion_cilindro!$B$35)^(Presion_cilindro!$B$17+1)),0)-IF(Presion_cilindro!N98&gt;(-N$4+Presion_cilindro!$B$34),1-EXP(-Presion_cilindro!$B$16*((Presion_cilindro!N98-(-N$4+Presion_cilindro!$B$34))/Presion_cilindro!$B$35)^(Presion_cilindro!$B$17+1)),0))/((Presion_cilindro!O98+Presion_cilindro!O99)/2)</f>
        <v>0.84151458337033336</v>
      </c>
    </row>
    <row r="108" spans="1:14" x14ac:dyDescent="0.25">
      <c r="A108" s="21">
        <f>Presion_cilindro!N100</f>
        <v>-132</v>
      </c>
      <c r="B108" s="27">
        <f>B107*(Presion_cilindro!O99/Presion_cilindro!O100)^Presion_cilindro!$B$9+10*(Presion_cilindro!$B$9-1)*Presion_cilindro!$B$33*(IF(Presion_cilindro!N100&gt;(-B$4+Presion_cilindro!$B$34),1-EXP(-Presion_cilindro!$B$16*((Presion_cilindro!N100-(-B$4+Presion_cilindro!$B$34))/Presion_cilindro!$B$35)^(Presion_cilindro!$B$17+1)),0)-IF(Presion_cilindro!N99&gt;(-B$4+Presion_cilindro!$B$34),1-EXP(-Presion_cilindro!$B$16*((Presion_cilindro!N99-(-B$4+Presion_cilindro!$B$34))/Presion_cilindro!$B$35)^(Presion_cilindro!$B$17+1)),0))/((Presion_cilindro!O99+Presion_cilindro!O100)/2)</f>
        <v>0.84446270658522959</v>
      </c>
      <c r="C108" s="27">
        <f>C107*(Presion_cilindro!O99/Presion_cilindro!O100)^Presion_cilindro!$B$9+10*(Presion_cilindro!$B$9-1)*Presion_cilindro!$B$33*(IF(Presion_cilindro!N100&gt;(-C$4+Presion_cilindro!$B$34),1-EXP(-Presion_cilindro!$B$16*((Presion_cilindro!N100-(-C$4+Presion_cilindro!$B$34))/Presion_cilindro!$B$35)^(Presion_cilindro!$B$17+1)),0)-IF(Presion_cilindro!N99&gt;(-C$4+Presion_cilindro!$B$34),1-EXP(-Presion_cilindro!$B$16*((Presion_cilindro!N99-(-C$4+Presion_cilindro!$B$34))/Presion_cilindro!$B$35)^(Presion_cilindro!$B$17+1)),0))/((Presion_cilindro!O99+Presion_cilindro!O100)/2)</f>
        <v>0.84446270658522959</v>
      </c>
      <c r="D108" s="27">
        <f>D107*(Presion_cilindro!O99/Presion_cilindro!O100)^Presion_cilindro!$B$9+10*(Presion_cilindro!$B$9-1)*Presion_cilindro!$B$33*(IF(Presion_cilindro!N100&gt;(-D$4+Presion_cilindro!$B$34),1-EXP(-Presion_cilindro!$B$16*((Presion_cilindro!N100-(-D$4+Presion_cilindro!$B$34))/Presion_cilindro!$B$35)^(Presion_cilindro!$B$17+1)),0)-IF(Presion_cilindro!N99&gt;(-D$4+Presion_cilindro!$B$34),1-EXP(-Presion_cilindro!$B$16*((Presion_cilindro!N99-(-D$4+Presion_cilindro!$B$34))/Presion_cilindro!$B$35)^(Presion_cilindro!$B$17+1)),0))/((Presion_cilindro!O99+Presion_cilindro!O100)/2)</f>
        <v>0.84446270658522959</v>
      </c>
      <c r="E108" s="27">
        <f>E107*(Presion_cilindro!O99/Presion_cilindro!O100)^Presion_cilindro!$B$9+10*(Presion_cilindro!$B$9-1)*Presion_cilindro!$B$33*(IF(Presion_cilindro!N100&gt;(-E$4+Presion_cilindro!$B$34),1-EXP(-Presion_cilindro!$B$16*((Presion_cilindro!N100-(-E$4+Presion_cilindro!$B$34))/Presion_cilindro!$B$35)^(Presion_cilindro!$B$17+1)),0)-IF(Presion_cilindro!N99&gt;(-E$4+Presion_cilindro!$B$34),1-EXP(-Presion_cilindro!$B$16*((Presion_cilindro!N99-(-E$4+Presion_cilindro!$B$34))/Presion_cilindro!$B$35)^(Presion_cilindro!$B$17+1)),0))/((Presion_cilindro!O99+Presion_cilindro!O100)/2)</f>
        <v>0.84446270658522959</v>
      </c>
      <c r="F108" s="27">
        <f>F107*(Presion_cilindro!O99/Presion_cilindro!O100)^Presion_cilindro!$B$9+10*(Presion_cilindro!$B$9-1)*Presion_cilindro!$B$33*(IF(Presion_cilindro!N100&gt;(-F$4+Presion_cilindro!$B$34),1-EXP(-Presion_cilindro!$B$16*((Presion_cilindro!N100-(-F$4+Presion_cilindro!$B$34))/Presion_cilindro!$B$35)^(Presion_cilindro!$B$17+1)),0)-IF(Presion_cilindro!N99&gt;(-F$4+Presion_cilindro!$B$34),1-EXP(-Presion_cilindro!$B$16*((Presion_cilindro!N99-(-F$4+Presion_cilindro!$B$34))/Presion_cilindro!$B$35)^(Presion_cilindro!$B$17+1)),0))/((Presion_cilindro!O99+Presion_cilindro!O100)/2)</f>
        <v>0.84446270658522959</v>
      </c>
      <c r="G108" s="27">
        <f>G107*(Presion_cilindro!O99/Presion_cilindro!O100)^Presion_cilindro!$B$9+10*(Presion_cilindro!$B$9-1)*Presion_cilindro!$B$33*(IF(Presion_cilindro!N100&gt;(-G$4+Presion_cilindro!$B$34),1-EXP(-Presion_cilindro!$B$16*((Presion_cilindro!N100-(-G$4+Presion_cilindro!$B$34))/Presion_cilindro!$B$35)^(Presion_cilindro!$B$17+1)),0)-IF(Presion_cilindro!N99&gt;(-G$4+Presion_cilindro!$B$34),1-EXP(-Presion_cilindro!$B$16*((Presion_cilindro!N99-(-G$4+Presion_cilindro!$B$34))/Presion_cilindro!$B$35)^(Presion_cilindro!$B$17+1)),0))/((Presion_cilindro!O99+Presion_cilindro!O100)/2)</f>
        <v>0.84446270658522959</v>
      </c>
      <c r="H108" s="27">
        <f>H107*(Presion_cilindro!O99/Presion_cilindro!O100)^Presion_cilindro!$B$9+10*(Presion_cilindro!$B$9-1)*Presion_cilindro!$B$33*(IF(Presion_cilindro!N100&gt;(-H$4+Presion_cilindro!$B$34),1-EXP(-Presion_cilindro!$B$16*((Presion_cilindro!N100-(-H$4+Presion_cilindro!$B$34))/Presion_cilindro!$B$35)^(Presion_cilindro!$B$17+1)),0)-IF(Presion_cilindro!N99&gt;(-H$4+Presion_cilindro!$B$34),1-EXP(-Presion_cilindro!$B$16*((Presion_cilindro!N99-(-H$4+Presion_cilindro!$B$34))/Presion_cilindro!$B$35)^(Presion_cilindro!$B$17+1)),0))/((Presion_cilindro!O99+Presion_cilindro!O100)/2)</f>
        <v>0.84446270658522959</v>
      </c>
      <c r="I108" s="27">
        <f>I107*(Presion_cilindro!O99/Presion_cilindro!O100)^Presion_cilindro!$B$9+10*(Presion_cilindro!$B$9-1)*Presion_cilindro!$B$33*(IF(Presion_cilindro!N100&gt;(-I$4+Presion_cilindro!$B$34),1-EXP(-Presion_cilindro!$B$16*((Presion_cilindro!N100-(-I$4+Presion_cilindro!$B$34))/Presion_cilindro!$B$35)^(Presion_cilindro!$B$17+1)),0)-IF(Presion_cilindro!N99&gt;(-I$4+Presion_cilindro!$B$34),1-EXP(-Presion_cilindro!$B$16*((Presion_cilindro!N99-(-I$4+Presion_cilindro!$B$34))/Presion_cilindro!$B$35)^(Presion_cilindro!$B$17+1)),0))/((Presion_cilindro!O99+Presion_cilindro!O100)/2)</f>
        <v>0.84446270658522959</v>
      </c>
      <c r="J108" s="27">
        <f>J107*(Presion_cilindro!O99/Presion_cilindro!O100)^Presion_cilindro!$B$9+10*(Presion_cilindro!$B$9-1)*Presion_cilindro!$B$33*(IF(Presion_cilindro!N100&gt;(-J$4+Presion_cilindro!$B$34),1-EXP(-Presion_cilindro!$B$16*((Presion_cilindro!N100-(-J$4+Presion_cilindro!$B$34))/Presion_cilindro!$B$35)^(Presion_cilindro!$B$17+1)),0)-IF(Presion_cilindro!N99&gt;(-J$4+Presion_cilindro!$B$34),1-EXP(-Presion_cilindro!$B$16*((Presion_cilindro!N99-(-J$4+Presion_cilindro!$B$34))/Presion_cilindro!$B$35)^(Presion_cilindro!$B$17+1)),0))/((Presion_cilindro!O99+Presion_cilindro!O100)/2)</f>
        <v>0.84446270658522959</v>
      </c>
      <c r="K108" s="27">
        <f>K107*(Presion_cilindro!O99/Presion_cilindro!O100)^Presion_cilindro!$B$9+10*(Presion_cilindro!$B$9-1)*Presion_cilindro!$B$33*(IF(Presion_cilindro!N100&gt;(-K$4+Presion_cilindro!$B$34),1-EXP(-Presion_cilindro!$B$16*((Presion_cilindro!N100-(-K$4+Presion_cilindro!$B$34))/Presion_cilindro!$B$35)^(Presion_cilindro!$B$17+1)),0)-IF(Presion_cilindro!N99&gt;(-K$4+Presion_cilindro!$B$34),1-EXP(-Presion_cilindro!$B$16*((Presion_cilindro!N99-(-K$4+Presion_cilindro!$B$34))/Presion_cilindro!$B$35)^(Presion_cilindro!$B$17+1)),0))/((Presion_cilindro!O99+Presion_cilindro!O100)/2)</f>
        <v>0.84446270658522959</v>
      </c>
      <c r="L108" s="27">
        <f>L107*(Presion_cilindro!O99/Presion_cilindro!O100)^Presion_cilindro!$B$9+10*(Presion_cilindro!$B$9-1)*Presion_cilindro!$B$33*(IF(Presion_cilindro!N100&gt;(-L$4+Presion_cilindro!$B$34),1-EXP(-Presion_cilindro!$B$16*((Presion_cilindro!N100-(-L$4+Presion_cilindro!$B$34))/Presion_cilindro!$B$35)^(Presion_cilindro!$B$17+1)),0)-IF(Presion_cilindro!N99&gt;(-L$4+Presion_cilindro!$B$34),1-EXP(-Presion_cilindro!$B$16*((Presion_cilindro!N99-(-L$4+Presion_cilindro!$B$34))/Presion_cilindro!$B$35)^(Presion_cilindro!$B$17+1)),0))/((Presion_cilindro!O99+Presion_cilindro!O100)/2)</f>
        <v>0.84446270658522959</v>
      </c>
      <c r="M108" s="27">
        <f>M107*(Presion_cilindro!O99/Presion_cilindro!O100)^Presion_cilindro!$B$9+10*(Presion_cilindro!$B$9-1)*Presion_cilindro!$B$33*(IF(Presion_cilindro!N100&gt;(-M$4+Presion_cilindro!$B$34),1-EXP(-Presion_cilindro!$B$16*((Presion_cilindro!N100-(-M$4+Presion_cilindro!$B$34))/Presion_cilindro!$B$35)^(Presion_cilindro!$B$17+1)),0)-IF(Presion_cilindro!N99&gt;(-M$4+Presion_cilindro!$B$34),1-EXP(-Presion_cilindro!$B$16*((Presion_cilindro!N99-(-M$4+Presion_cilindro!$B$34))/Presion_cilindro!$B$35)^(Presion_cilindro!$B$17+1)),0))/((Presion_cilindro!O99+Presion_cilindro!O100)/2)</f>
        <v>0.84446270658522959</v>
      </c>
      <c r="N108" s="27">
        <f>N107*(Presion_cilindro!O99/Presion_cilindro!O100)^Presion_cilindro!$B$9+10*(Presion_cilindro!$B$9-1)*Presion_cilindro!$B$33*(IF(Presion_cilindro!N100&gt;(-N$4+Presion_cilindro!$B$34),1-EXP(-Presion_cilindro!$B$16*((Presion_cilindro!N100-(-N$4+Presion_cilindro!$B$34))/Presion_cilindro!$B$35)^(Presion_cilindro!$B$17+1)),0)-IF(Presion_cilindro!N99&gt;(-N$4+Presion_cilindro!$B$34),1-EXP(-Presion_cilindro!$B$16*((Presion_cilindro!N99-(-N$4+Presion_cilindro!$B$34))/Presion_cilindro!$B$35)^(Presion_cilindro!$B$17+1)),0))/((Presion_cilindro!O99+Presion_cilindro!O100)/2)</f>
        <v>0.84446270658522959</v>
      </c>
    </row>
    <row r="109" spans="1:14" x14ac:dyDescent="0.25">
      <c r="A109" s="21">
        <f>Presion_cilindro!N101</f>
        <v>-131.5</v>
      </c>
      <c r="B109" s="27">
        <f>B108*(Presion_cilindro!O100/Presion_cilindro!O101)^Presion_cilindro!$B$9+10*(Presion_cilindro!$B$9-1)*Presion_cilindro!$B$33*(IF(Presion_cilindro!N101&gt;(-B$4+Presion_cilindro!$B$34),1-EXP(-Presion_cilindro!$B$16*((Presion_cilindro!N101-(-B$4+Presion_cilindro!$B$34))/Presion_cilindro!$B$35)^(Presion_cilindro!$B$17+1)),0)-IF(Presion_cilindro!N100&gt;(-B$4+Presion_cilindro!$B$34),1-EXP(-Presion_cilindro!$B$16*((Presion_cilindro!N100-(-B$4+Presion_cilindro!$B$34))/Presion_cilindro!$B$35)^(Presion_cilindro!$B$17+1)),0))/((Presion_cilindro!O100+Presion_cilindro!O101)/2)</f>
        <v>0.84745925033558611</v>
      </c>
      <c r="C109" s="27">
        <f>C108*(Presion_cilindro!O100/Presion_cilindro!O101)^Presion_cilindro!$B$9+10*(Presion_cilindro!$B$9-1)*Presion_cilindro!$B$33*(IF(Presion_cilindro!N101&gt;(-C$4+Presion_cilindro!$B$34),1-EXP(-Presion_cilindro!$B$16*((Presion_cilindro!N101-(-C$4+Presion_cilindro!$B$34))/Presion_cilindro!$B$35)^(Presion_cilindro!$B$17+1)),0)-IF(Presion_cilindro!N100&gt;(-C$4+Presion_cilindro!$B$34),1-EXP(-Presion_cilindro!$B$16*((Presion_cilindro!N100-(-C$4+Presion_cilindro!$B$34))/Presion_cilindro!$B$35)^(Presion_cilindro!$B$17+1)),0))/((Presion_cilindro!O100+Presion_cilindro!O101)/2)</f>
        <v>0.84745925033558611</v>
      </c>
      <c r="D109" s="27">
        <f>D108*(Presion_cilindro!O100/Presion_cilindro!O101)^Presion_cilindro!$B$9+10*(Presion_cilindro!$B$9-1)*Presion_cilindro!$B$33*(IF(Presion_cilindro!N101&gt;(-D$4+Presion_cilindro!$B$34),1-EXP(-Presion_cilindro!$B$16*((Presion_cilindro!N101-(-D$4+Presion_cilindro!$B$34))/Presion_cilindro!$B$35)^(Presion_cilindro!$B$17+1)),0)-IF(Presion_cilindro!N100&gt;(-D$4+Presion_cilindro!$B$34),1-EXP(-Presion_cilindro!$B$16*((Presion_cilindro!N100-(-D$4+Presion_cilindro!$B$34))/Presion_cilindro!$B$35)^(Presion_cilindro!$B$17+1)),0))/((Presion_cilindro!O100+Presion_cilindro!O101)/2)</f>
        <v>0.84745925033558611</v>
      </c>
      <c r="E109" s="27">
        <f>E108*(Presion_cilindro!O100/Presion_cilindro!O101)^Presion_cilindro!$B$9+10*(Presion_cilindro!$B$9-1)*Presion_cilindro!$B$33*(IF(Presion_cilindro!N101&gt;(-E$4+Presion_cilindro!$B$34),1-EXP(-Presion_cilindro!$B$16*((Presion_cilindro!N101-(-E$4+Presion_cilindro!$B$34))/Presion_cilindro!$B$35)^(Presion_cilindro!$B$17+1)),0)-IF(Presion_cilindro!N100&gt;(-E$4+Presion_cilindro!$B$34),1-EXP(-Presion_cilindro!$B$16*((Presion_cilindro!N100-(-E$4+Presion_cilindro!$B$34))/Presion_cilindro!$B$35)^(Presion_cilindro!$B$17+1)),0))/((Presion_cilindro!O100+Presion_cilindro!O101)/2)</f>
        <v>0.84745925033558611</v>
      </c>
      <c r="F109" s="27">
        <f>F108*(Presion_cilindro!O100/Presion_cilindro!O101)^Presion_cilindro!$B$9+10*(Presion_cilindro!$B$9-1)*Presion_cilindro!$B$33*(IF(Presion_cilindro!N101&gt;(-F$4+Presion_cilindro!$B$34),1-EXP(-Presion_cilindro!$B$16*((Presion_cilindro!N101-(-F$4+Presion_cilindro!$B$34))/Presion_cilindro!$B$35)^(Presion_cilindro!$B$17+1)),0)-IF(Presion_cilindro!N100&gt;(-F$4+Presion_cilindro!$B$34),1-EXP(-Presion_cilindro!$B$16*((Presion_cilindro!N100-(-F$4+Presion_cilindro!$B$34))/Presion_cilindro!$B$35)^(Presion_cilindro!$B$17+1)),0))/((Presion_cilindro!O100+Presion_cilindro!O101)/2)</f>
        <v>0.84745925033558611</v>
      </c>
      <c r="G109" s="27">
        <f>G108*(Presion_cilindro!O100/Presion_cilindro!O101)^Presion_cilindro!$B$9+10*(Presion_cilindro!$B$9-1)*Presion_cilindro!$B$33*(IF(Presion_cilindro!N101&gt;(-G$4+Presion_cilindro!$B$34),1-EXP(-Presion_cilindro!$B$16*((Presion_cilindro!N101-(-G$4+Presion_cilindro!$B$34))/Presion_cilindro!$B$35)^(Presion_cilindro!$B$17+1)),0)-IF(Presion_cilindro!N100&gt;(-G$4+Presion_cilindro!$B$34),1-EXP(-Presion_cilindro!$B$16*((Presion_cilindro!N100-(-G$4+Presion_cilindro!$B$34))/Presion_cilindro!$B$35)^(Presion_cilindro!$B$17+1)),0))/((Presion_cilindro!O100+Presion_cilindro!O101)/2)</f>
        <v>0.84745925033558611</v>
      </c>
      <c r="H109" s="27">
        <f>H108*(Presion_cilindro!O100/Presion_cilindro!O101)^Presion_cilindro!$B$9+10*(Presion_cilindro!$B$9-1)*Presion_cilindro!$B$33*(IF(Presion_cilindro!N101&gt;(-H$4+Presion_cilindro!$B$34),1-EXP(-Presion_cilindro!$B$16*((Presion_cilindro!N101-(-H$4+Presion_cilindro!$B$34))/Presion_cilindro!$B$35)^(Presion_cilindro!$B$17+1)),0)-IF(Presion_cilindro!N100&gt;(-H$4+Presion_cilindro!$B$34),1-EXP(-Presion_cilindro!$B$16*((Presion_cilindro!N100-(-H$4+Presion_cilindro!$B$34))/Presion_cilindro!$B$35)^(Presion_cilindro!$B$17+1)),0))/((Presion_cilindro!O100+Presion_cilindro!O101)/2)</f>
        <v>0.84745925033558611</v>
      </c>
      <c r="I109" s="27">
        <f>I108*(Presion_cilindro!O100/Presion_cilindro!O101)^Presion_cilindro!$B$9+10*(Presion_cilindro!$B$9-1)*Presion_cilindro!$B$33*(IF(Presion_cilindro!N101&gt;(-I$4+Presion_cilindro!$B$34),1-EXP(-Presion_cilindro!$B$16*((Presion_cilindro!N101-(-I$4+Presion_cilindro!$B$34))/Presion_cilindro!$B$35)^(Presion_cilindro!$B$17+1)),0)-IF(Presion_cilindro!N100&gt;(-I$4+Presion_cilindro!$B$34),1-EXP(-Presion_cilindro!$B$16*((Presion_cilindro!N100-(-I$4+Presion_cilindro!$B$34))/Presion_cilindro!$B$35)^(Presion_cilindro!$B$17+1)),0))/((Presion_cilindro!O100+Presion_cilindro!O101)/2)</f>
        <v>0.84745925033558611</v>
      </c>
      <c r="J109" s="27">
        <f>J108*(Presion_cilindro!O100/Presion_cilindro!O101)^Presion_cilindro!$B$9+10*(Presion_cilindro!$B$9-1)*Presion_cilindro!$B$33*(IF(Presion_cilindro!N101&gt;(-J$4+Presion_cilindro!$B$34),1-EXP(-Presion_cilindro!$B$16*((Presion_cilindro!N101-(-J$4+Presion_cilindro!$B$34))/Presion_cilindro!$B$35)^(Presion_cilindro!$B$17+1)),0)-IF(Presion_cilindro!N100&gt;(-J$4+Presion_cilindro!$B$34),1-EXP(-Presion_cilindro!$B$16*((Presion_cilindro!N100-(-J$4+Presion_cilindro!$B$34))/Presion_cilindro!$B$35)^(Presion_cilindro!$B$17+1)),0))/((Presion_cilindro!O100+Presion_cilindro!O101)/2)</f>
        <v>0.84745925033558611</v>
      </c>
      <c r="K109" s="27">
        <f>K108*(Presion_cilindro!O100/Presion_cilindro!O101)^Presion_cilindro!$B$9+10*(Presion_cilindro!$B$9-1)*Presion_cilindro!$B$33*(IF(Presion_cilindro!N101&gt;(-K$4+Presion_cilindro!$B$34),1-EXP(-Presion_cilindro!$B$16*((Presion_cilindro!N101-(-K$4+Presion_cilindro!$B$34))/Presion_cilindro!$B$35)^(Presion_cilindro!$B$17+1)),0)-IF(Presion_cilindro!N100&gt;(-K$4+Presion_cilindro!$B$34),1-EXP(-Presion_cilindro!$B$16*((Presion_cilindro!N100-(-K$4+Presion_cilindro!$B$34))/Presion_cilindro!$B$35)^(Presion_cilindro!$B$17+1)),0))/((Presion_cilindro!O100+Presion_cilindro!O101)/2)</f>
        <v>0.84745925033558611</v>
      </c>
      <c r="L109" s="27">
        <f>L108*(Presion_cilindro!O100/Presion_cilindro!O101)^Presion_cilindro!$B$9+10*(Presion_cilindro!$B$9-1)*Presion_cilindro!$B$33*(IF(Presion_cilindro!N101&gt;(-L$4+Presion_cilindro!$B$34),1-EXP(-Presion_cilindro!$B$16*((Presion_cilindro!N101-(-L$4+Presion_cilindro!$B$34))/Presion_cilindro!$B$35)^(Presion_cilindro!$B$17+1)),0)-IF(Presion_cilindro!N100&gt;(-L$4+Presion_cilindro!$B$34),1-EXP(-Presion_cilindro!$B$16*((Presion_cilindro!N100-(-L$4+Presion_cilindro!$B$34))/Presion_cilindro!$B$35)^(Presion_cilindro!$B$17+1)),0))/((Presion_cilindro!O100+Presion_cilindro!O101)/2)</f>
        <v>0.84745925033558611</v>
      </c>
      <c r="M109" s="27">
        <f>M108*(Presion_cilindro!O100/Presion_cilindro!O101)^Presion_cilindro!$B$9+10*(Presion_cilindro!$B$9-1)*Presion_cilindro!$B$33*(IF(Presion_cilindro!N101&gt;(-M$4+Presion_cilindro!$B$34),1-EXP(-Presion_cilindro!$B$16*((Presion_cilindro!N101-(-M$4+Presion_cilindro!$B$34))/Presion_cilindro!$B$35)^(Presion_cilindro!$B$17+1)),0)-IF(Presion_cilindro!N100&gt;(-M$4+Presion_cilindro!$B$34),1-EXP(-Presion_cilindro!$B$16*((Presion_cilindro!N100-(-M$4+Presion_cilindro!$B$34))/Presion_cilindro!$B$35)^(Presion_cilindro!$B$17+1)),0))/((Presion_cilindro!O100+Presion_cilindro!O101)/2)</f>
        <v>0.84745925033558611</v>
      </c>
      <c r="N109" s="27">
        <f>N108*(Presion_cilindro!O100/Presion_cilindro!O101)^Presion_cilindro!$B$9+10*(Presion_cilindro!$B$9-1)*Presion_cilindro!$B$33*(IF(Presion_cilindro!N101&gt;(-N$4+Presion_cilindro!$B$34),1-EXP(-Presion_cilindro!$B$16*((Presion_cilindro!N101-(-N$4+Presion_cilindro!$B$34))/Presion_cilindro!$B$35)^(Presion_cilindro!$B$17+1)),0)-IF(Presion_cilindro!N100&gt;(-N$4+Presion_cilindro!$B$34),1-EXP(-Presion_cilindro!$B$16*((Presion_cilindro!N100-(-N$4+Presion_cilindro!$B$34))/Presion_cilindro!$B$35)^(Presion_cilindro!$B$17+1)),0))/((Presion_cilindro!O100+Presion_cilindro!O101)/2)</f>
        <v>0.84745925033558611</v>
      </c>
    </row>
    <row r="110" spans="1:14" x14ac:dyDescent="0.25">
      <c r="A110" s="21">
        <f>Presion_cilindro!N102</f>
        <v>-131</v>
      </c>
      <c r="B110" s="27">
        <f>B109*(Presion_cilindro!O101/Presion_cilindro!O102)^Presion_cilindro!$B$9+10*(Presion_cilindro!$B$9-1)*Presion_cilindro!$B$33*(IF(Presion_cilindro!N102&gt;(-B$4+Presion_cilindro!$B$34),1-EXP(-Presion_cilindro!$B$16*((Presion_cilindro!N102-(-B$4+Presion_cilindro!$B$34))/Presion_cilindro!$B$35)^(Presion_cilindro!$B$17+1)),0)-IF(Presion_cilindro!N101&gt;(-B$4+Presion_cilindro!$B$34),1-EXP(-Presion_cilindro!$B$16*((Presion_cilindro!N101-(-B$4+Presion_cilindro!$B$34))/Presion_cilindro!$B$35)^(Presion_cilindro!$B$17+1)),0))/((Presion_cilindro!O101+Presion_cilindro!O102)/2)</f>
        <v>0.8505048796038881</v>
      </c>
      <c r="C110" s="27">
        <f>C109*(Presion_cilindro!O101/Presion_cilindro!O102)^Presion_cilindro!$B$9+10*(Presion_cilindro!$B$9-1)*Presion_cilindro!$B$33*(IF(Presion_cilindro!N102&gt;(-C$4+Presion_cilindro!$B$34),1-EXP(-Presion_cilindro!$B$16*((Presion_cilindro!N102-(-C$4+Presion_cilindro!$B$34))/Presion_cilindro!$B$35)^(Presion_cilindro!$B$17+1)),0)-IF(Presion_cilindro!N101&gt;(-C$4+Presion_cilindro!$B$34),1-EXP(-Presion_cilindro!$B$16*((Presion_cilindro!N101-(-C$4+Presion_cilindro!$B$34))/Presion_cilindro!$B$35)^(Presion_cilindro!$B$17+1)),0))/((Presion_cilindro!O101+Presion_cilindro!O102)/2)</f>
        <v>0.8505048796038881</v>
      </c>
      <c r="D110" s="27">
        <f>D109*(Presion_cilindro!O101/Presion_cilindro!O102)^Presion_cilindro!$B$9+10*(Presion_cilindro!$B$9-1)*Presion_cilindro!$B$33*(IF(Presion_cilindro!N102&gt;(-D$4+Presion_cilindro!$B$34),1-EXP(-Presion_cilindro!$B$16*((Presion_cilindro!N102-(-D$4+Presion_cilindro!$B$34))/Presion_cilindro!$B$35)^(Presion_cilindro!$B$17+1)),0)-IF(Presion_cilindro!N101&gt;(-D$4+Presion_cilindro!$B$34),1-EXP(-Presion_cilindro!$B$16*((Presion_cilindro!N101-(-D$4+Presion_cilindro!$B$34))/Presion_cilindro!$B$35)^(Presion_cilindro!$B$17+1)),0))/((Presion_cilindro!O101+Presion_cilindro!O102)/2)</f>
        <v>0.8505048796038881</v>
      </c>
      <c r="E110" s="27">
        <f>E109*(Presion_cilindro!O101/Presion_cilindro!O102)^Presion_cilindro!$B$9+10*(Presion_cilindro!$B$9-1)*Presion_cilindro!$B$33*(IF(Presion_cilindro!N102&gt;(-E$4+Presion_cilindro!$B$34),1-EXP(-Presion_cilindro!$B$16*((Presion_cilindro!N102-(-E$4+Presion_cilindro!$B$34))/Presion_cilindro!$B$35)^(Presion_cilindro!$B$17+1)),0)-IF(Presion_cilindro!N101&gt;(-E$4+Presion_cilindro!$B$34),1-EXP(-Presion_cilindro!$B$16*((Presion_cilindro!N101-(-E$4+Presion_cilindro!$B$34))/Presion_cilindro!$B$35)^(Presion_cilindro!$B$17+1)),0))/((Presion_cilindro!O101+Presion_cilindro!O102)/2)</f>
        <v>0.8505048796038881</v>
      </c>
      <c r="F110" s="27">
        <f>F109*(Presion_cilindro!O101/Presion_cilindro!O102)^Presion_cilindro!$B$9+10*(Presion_cilindro!$B$9-1)*Presion_cilindro!$B$33*(IF(Presion_cilindro!N102&gt;(-F$4+Presion_cilindro!$B$34),1-EXP(-Presion_cilindro!$B$16*((Presion_cilindro!N102-(-F$4+Presion_cilindro!$B$34))/Presion_cilindro!$B$35)^(Presion_cilindro!$B$17+1)),0)-IF(Presion_cilindro!N101&gt;(-F$4+Presion_cilindro!$B$34),1-EXP(-Presion_cilindro!$B$16*((Presion_cilindro!N101-(-F$4+Presion_cilindro!$B$34))/Presion_cilindro!$B$35)^(Presion_cilindro!$B$17+1)),0))/((Presion_cilindro!O101+Presion_cilindro!O102)/2)</f>
        <v>0.8505048796038881</v>
      </c>
      <c r="G110" s="27">
        <f>G109*(Presion_cilindro!O101/Presion_cilindro!O102)^Presion_cilindro!$B$9+10*(Presion_cilindro!$B$9-1)*Presion_cilindro!$B$33*(IF(Presion_cilindro!N102&gt;(-G$4+Presion_cilindro!$B$34),1-EXP(-Presion_cilindro!$B$16*((Presion_cilindro!N102-(-G$4+Presion_cilindro!$B$34))/Presion_cilindro!$B$35)^(Presion_cilindro!$B$17+1)),0)-IF(Presion_cilindro!N101&gt;(-G$4+Presion_cilindro!$B$34),1-EXP(-Presion_cilindro!$B$16*((Presion_cilindro!N101-(-G$4+Presion_cilindro!$B$34))/Presion_cilindro!$B$35)^(Presion_cilindro!$B$17+1)),0))/((Presion_cilindro!O101+Presion_cilindro!O102)/2)</f>
        <v>0.8505048796038881</v>
      </c>
      <c r="H110" s="27">
        <f>H109*(Presion_cilindro!O101/Presion_cilindro!O102)^Presion_cilindro!$B$9+10*(Presion_cilindro!$B$9-1)*Presion_cilindro!$B$33*(IF(Presion_cilindro!N102&gt;(-H$4+Presion_cilindro!$B$34),1-EXP(-Presion_cilindro!$B$16*((Presion_cilindro!N102-(-H$4+Presion_cilindro!$B$34))/Presion_cilindro!$B$35)^(Presion_cilindro!$B$17+1)),0)-IF(Presion_cilindro!N101&gt;(-H$4+Presion_cilindro!$B$34),1-EXP(-Presion_cilindro!$B$16*((Presion_cilindro!N101-(-H$4+Presion_cilindro!$B$34))/Presion_cilindro!$B$35)^(Presion_cilindro!$B$17+1)),0))/((Presion_cilindro!O101+Presion_cilindro!O102)/2)</f>
        <v>0.8505048796038881</v>
      </c>
      <c r="I110" s="27">
        <f>I109*(Presion_cilindro!O101/Presion_cilindro!O102)^Presion_cilindro!$B$9+10*(Presion_cilindro!$B$9-1)*Presion_cilindro!$B$33*(IF(Presion_cilindro!N102&gt;(-I$4+Presion_cilindro!$B$34),1-EXP(-Presion_cilindro!$B$16*((Presion_cilindro!N102-(-I$4+Presion_cilindro!$B$34))/Presion_cilindro!$B$35)^(Presion_cilindro!$B$17+1)),0)-IF(Presion_cilindro!N101&gt;(-I$4+Presion_cilindro!$B$34),1-EXP(-Presion_cilindro!$B$16*((Presion_cilindro!N101-(-I$4+Presion_cilindro!$B$34))/Presion_cilindro!$B$35)^(Presion_cilindro!$B$17+1)),0))/((Presion_cilindro!O101+Presion_cilindro!O102)/2)</f>
        <v>0.8505048796038881</v>
      </c>
      <c r="J110" s="27">
        <f>J109*(Presion_cilindro!O101/Presion_cilindro!O102)^Presion_cilindro!$B$9+10*(Presion_cilindro!$B$9-1)*Presion_cilindro!$B$33*(IF(Presion_cilindro!N102&gt;(-J$4+Presion_cilindro!$B$34),1-EXP(-Presion_cilindro!$B$16*((Presion_cilindro!N102-(-J$4+Presion_cilindro!$B$34))/Presion_cilindro!$B$35)^(Presion_cilindro!$B$17+1)),0)-IF(Presion_cilindro!N101&gt;(-J$4+Presion_cilindro!$B$34),1-EXP(-Presion_cilindro!$B$16*((Presion_cilindro!N101-(-J$4+Presion_cilindro!$B$34))/Presion_cilindro!$B$35)^(Presion_cilindro!$B$17+1)),0))/((Presion_cilindro!O101+Presion_cilindro!O102)/2)</f>
        <v>0.8505048796038881</v>
      </c>
      <c r="K110" s="27">
        <f>K109*(Presion_cilindro!O101/Presion_cilindro!O102)^Presion_cilindro!$B$9+10*(Presion_cilindro!$B$9-1)*Presion_cilindro!$B$33*(IF(Presion_cilindro!N102&gt;(-K$4+Presion_cilindro!$B$34),1-EXP(-Presion_cilindro!$B$16*((Presion_cilindro!N102-(-K$4+Presion_cilindro!$B$34))/Presion_cilindro!$B$35)^(Presion_cilindro!$B$17+1)),0)-IF(Presion_cilindro!N101&gt;(-K$4+Presion_cilindro!$B$34),1-EXP(-Presion_cilindro!$B$16*((Presion_cilindro!N101-(-K$4+Presion_cilindro!$B$34))/Presion_cilindro!$B$35)^(Presion_cilindro!$B$17+1)),0))/((Presion_cilindro!O101+Presion_cilindro!O102)/2)</f>
        <v>0.8505048796038881</v>
      </c>
      <c r="L110" s="27">
        <f>L109*(Presion_cilindro!O101/Presion_cilindro!O102)^Presion_cilindro!$B$9+10*(Presion_cilindro!$B$9-1)*Presion_cilindro!$B$33*(IF(Presion_cilindro!N102&gt;(-L$4+Presion_cilindro!$B$34),1-EXP(-Presion_cilindro!$B$16*((Presion_cilindro!N102-(-L$4+Presion_cilindro!$B$34))/Presion_cilindro!$B$35)^(Presion_cilindro!$B$17+1)),0)-IF(Presion_cilindro!N101&gt;(-L$4+Presion_cilindro!$B$34),1-EXP(-Presion_cilindro!$B$16*((Presion_cilindro!N101-(-L$4+Presion_cilindro!$B$34))/Presion_cilindro!$B$35)^(Presion_cilindro!$B$17+1)),0))/((Presion_cilindro!O101+Presion_cilindro!O102)/2)</f>
        <v>0.8505048796038881</v>
      </c>
      <c r="M110" s="27">
        <f>M109*(Presion_cilindro!O101/Presion_cilindro!O102)^Presion_cilindro!$B$9+10*(Presion_cilindro!$B$9-1)*Presion_cilindro!$B$33*(IF(Presion_cilindro!N102&gt;(-M$4+Presion_cilindro!$B$34),1-EXP(-Presion_cilindro!$B$16*((Presion_cilindro!N102-(-M$4+Presion_cilindro!$B$34))/Presion_cilindro!$B$35)^(Presion_cilindro!$B$17+1)),0)-IF(Presion_cilindro!N101&gt;(-M$4+Presion_cilindro!$B$34),1-EXP(-Presion_cilindro!$B$16*((Presion_cilindro!N101-(-M$4+Presion_cilindro!$B$34))/Presion_cilindro!$B$35)^(Presion_cilindro!$B$17+1)),0))/((Presion_cilindro!O101+Presion_cilindro!O102)/2)</f>
        <v>0.8505048796038881</v>
      </c>
      <c r="N110" s="27">
        <f>N109*(Presion_cilindro!O101/Presion_cilindro!O102)^Presion_cilindro!$B$9+10*(Presion_cilindro!$B$9-1)*Presion_cilindro!$B$33*(IF(Presion_cilindro!N102&gt;(-N$4+Presion_cilindro!$B$34),1-EXP(-Presion_cilindro!$B$16*((Presion_cilindro!N102-(-N$4+Presion_cilindro!$B$34))/Presion_cilindro!$B$35)^(Presion_cilindro!$B$17+1)),0)-IF(Presion_cilindro!N101&gt;(-N$4+Presion_cilindro!$B$34),1-EXP(-Presion_cilindro!$B$16*((Presion_cilindro!N101-(-N$4+Presion_cilindro!$B$34))/Presion_cilindro!$B$35)^(Presion_cilindro!$B$17+1)),0))/((Presion_cilindro!O101+Presion_cilindro!O102)/2)</f>
        <v>0.8505048796038881</v>
      </c>
    </row>
    <row r="111" spans="1:14" x14ac:dyDescent="0.25">
      <c r="A111" s="21">
        <f>Presion_cilindro!N103</f>
        <v>-130.5</v>
      </c>
      <c r="B111" s="27">
        <f>B110*(Presion_cilindro!O102/Presion_cilindro!O103)^Presion_cilindro!$B$9+10*(Presion_cilindro!$B$9-1)*Presion_cilindro!$B$33*(IF(Presion_cilindro!N103&gt;(-B$4+Presion_cilindro!$B$34),1-EXP(-Presion_cilindro!$B$16*((Presion_cilindro!N103-(-B$4+Presion_cilindro!$B$34))/Presion_cilindro!$B$35)^(Presion_cilindro!$B$17+1)),0)-IF(Presion_cilindro!N102&gt;(-B$4+Presion_cilindro!$B$34),1-EXP(-Presion_cilindro!$B$16*((Presion_cilindro!N102-(-B$4+Presion_cilindro!$B$34))/Presion_cilindro!$B$35)^(Presion_cilindro!$B$17+1)),0))/((Presion_cilindro!O102+Presion_cilindro!O103)/2)</f>
        <v>0.85360027318058762</v>
      </c>
      <c r="C111" s="27">
        <f>C110*(Presion_cilindro!O102/Presion_cilindro!O103)^Presion_cilindro!$B$9+10*(Presion_cilindro!$B$9-1)*Presion_cilindro!$B$33*(IF(Presion_cilindro!N103&gt;(-C$4+Presion_cilindro!$B$34),1-EXP(-Presion_cilindro!$B$16*((Presion_cilindro!N103-(-C$4+Presion_cilindro!$B$34))/Presion_cilindro!$B$35)^(Presion_cilindro!$B$17+1)),0)-IF(Presion_cilindro!N102&gt;(-C$4+Presion_cilindro!$B$34),1-EXP(-Presion_cilindro!$B$16*((Presion_cilindro!N102-(-C$4+Presion_cilindro!$B$34))/Presion_cilindro!$B$35)^(Presion_cilindro!$B$17+1)),0))/((Presion_cilindro!O102+Presion_cilindro!O103)/2)</f>
        <v>0.85360027318058762</v>
      </c>
      <c r="D111" s="27">
        <f>D110*(Presion_cilindro!O102/Presion_cilindro!O103)^Presion_cilindro!$B$9+10*(Presion_cilindro!$B$9-1)*Presion_cilindro!$B$33*(IF(Presion_cilindro!N103&gt;(-D$4+Presion_cilindro!$B$34),1-EXP(-Presion_cilindro!$B$16*((Presion_cilindro!N103-(-D$4+Presion_cilindro!$B$34))/Presion_cilindro!$B$35)^(Presion_cilindro!$B$17+1)),0)-IF(Presion_cilindro!N102&gt;(-D$4+Presion_cilindro!$B$34),1-EXP(-Presion_cilindro!$B$16*((Presion_cilindro!N102-(-D$4+Presion_cilindro!$B$34))/Presion_cilindro!$B$35)^(Presion_cilindro!$B$17+1)),0))/((Presion_cilindro!O102+Presion_cilindro!O103)/2)</f>
        <v>0.85360027318058762</v>
      </c>
      <c r="E111" s="27">
        <f>E110*(Presion_cilindro!O102/Presion_cilindro!O103)^Presion_cilindro!$B$9+10*(Presion_cilindro!$B$9-1)*Presion_cilindro!$B$33*(IF(Presion_cilindro!N103&gt;(-E$4+Presion_cilindro!$B$34),1-EXP(-Presion_cilindro!$B$16*((Presion_cilindro!N103-(-E$4+Presion_cilindro!$B$34))/Presion_cilindro!$B$35)^(Presion_cilindro!$B$17+1)),0)-IF(Presion_cilindro!N102&gt;(-E$4+Presion_cilindro!$B$34),1-EXP(-Presion_cilindro!$B$16*((Presion_cilindro!N102-(-E$4+Presion_cilindro!$B$34))/Presion_cilindro!$B$35)^(Presion_cilindro!$B$17+1)),0))/((Presion_cilindro!O102+Presion_cilindro!O103)/2)</f>
        <v>0.85360027318058762</v>
      </c>
      <c r="F111" s="27">
        <f>F110*(Presion_cilindro!O102/Presion_cilindro!O103)^Presion_cilindro!$B$9+10*(Presion_cilindro!$B$9-1)*Presion_cilindro!$B$33*(IF(Presion_cilindro!N103&gt;(-F$4+Presion_cilindro!$B$34),1-EXP(-Presion_cilindro!$B$16*((Presion_cilindro!N103-(-F$4+Presion_cilindro!$B$34))/Presion_cilindro!$B$35)^(Presion_cilindro!$B$17+1)),0)-IF(Presion_cilindro!N102&gt;(-F$4+Presion_cilindro!$B$34),1-EXP(-Presion_cilindro!$B$16*((Presion_cilindro!N102-(-F$4+Presion_cilindro!$B$34))/Presion_cilindro!$B$35)^(Presion_cilindro!$B$17+1)),0))/((Presion_cilindro!O102+Presion_cilindro!O103)/2)</f>
        <v>0.85360027318058762</v>
      </c>
      <c r="G111" s="27">
        <f>G110*(Presion_cilindro!O102/Presion_cilindro!O103)^Presion_cilindro!$B$9+10*(Presion_cilindro!$B$9-1)*Presion_cilindro!$B$33*(IF(Presion_cilindro!N103&gt;(-G$4+Presion_cilindro!$B$34),1-EXP(-Presion_cilindro!$B$16*((Presion_cilindro!N103-(-G$4+Presion_cilindro!$B$34))/Presion_cilindro!$B$35)^(Presion_cilindro!$B$17+1)),0)-IF(Presion_cilindro!N102&gt;(-G$4+Presion_cilindro!$B$34),1-EXP(-Presion_cilindro!$B$16*((Presion_cilindro!N102-(-G$4+Presion_cilindro!$B$34))/Presion_cilindro!$B$35)^(Presion_cilindro!$B$17+1)),0))/((Presion_cilindro!O102+Presion_cilindro!O103)/2)</f>
        <v>0.85360027318058762</v>
      </c>
      <c r="H111" s="27">
        <f>H110*(Presion_cilindro!O102/Presion_cilindro!O103)^Presion_cilindro!$B$9+10*(Presion_cilindro!$B$9-1)*Presion_cilindro!$B$33*(IF(Presion_cilindro!N103&gt;(-H$4+Presion_cilindro!$B$34),1-EXP(-Presion_cilindro!$B$16*((Presion_cilindro!N103-(-H$4+Presion_cilindro!$B$34))/Presion_cilindro!$B$35)^(Presion_cilindro!$B$17+1)),0)-IF(Presion_cilindro!N102&gt;(-H$4+Presion_cilindro!$B$34),1-EXP(-Presion_cilindro!$B$16*((Presion_cilindro!N102-(-H$4+Presion_cilindro!$B$34))/Presion_cilindro!$B$35)^(Presion_cilindro!$B$17+1)),0))/((Presion_cilindro!O102+Presion_cilindro!O103)/2)</f>
        <v>0.85360027318058762</v>
      </c>
      <c r="I111" s="27">
        <f>I110*(Presion_cilindro!O102/Presion_cilindro!O103)^Presion_cilindro!$B$9+10*(Presion_cilindro!$B$9-1)*Presion_cilindro!$B$33*(IF(Presion_cilindro!N103&gt;(-I$4+Presion_cilindro!$B$34),1-EXP(-Presion_cilindro!$B$16*((Presion_cilindro!N103-(-I$4+Presion_cilindro!$B$34))/Presion_cilindro!$B$35)^(Presion_cilindro!$B$17+1)),0)-IF(Presion_cilindro!N102&gt;(-I$4+Presion_cilindro!$B$34),1-EXP(-Presion_cilindro!$B$16*((Presion_cilindro!N102-(-I$4+Presion_cilindro!$B$34))/Presion_cilindro!$B$35)^(Presion_cilindro!$B$17+1)),0))/((Presion_cilindro!O102+Presion_cilindro!O103)/2)</f>
        <v>0.85360027318058762</v>
      </c>
      <c r="J111" s="27">
        <f>J110*(Presion_cilindro!O102/Presion_cilindro!O103)^Presion_cilindro!$B$9+10*(Presion_cilindro!$B$9-1)*Presion_cilindro!$B$33*(IF(Presion_cilindro!N103&gt;(-J$4+Presion_cilindro!$B$34),1-EXP(-Presion_cilindro!$B$16*((Presion_cilindro!N103-(-J$4+Presion_cilindro!$B$34))/Presion_cilindro!$B$35)^(Presion_cilindro!$B$17+1)),0)-IF(Presion_cilindro!N102&gt;(-J$4+Presion_cilindro!$B$34),1-EXP(-Presion_cilindro!$B$16*((Presion_cilindro!N102-(-J$4+Presion_cilindro!$B$34))/Presion_cilindro!$B$35)^(Presion_cilindro!$B$17+1)),0))/((Presion_cilindro!O102+Presion_cilindro!O103)/2)</f>
        <v>0.85360027318058762</v>
      </c>
      <c r="K111" s="27">
        <f>K110*(Presion_cilindro!O102/Presion_cilindro!O103)^Presion_cilindro!$B$9+10*(Presion_cilindro!$B$9-1)*Presion_cilindro!$B$33*(IF(Presion_cilindro!N103&gt;(-K$4+Presion_cilindro!$B$34),1-EXP(-Presion_cilindro!$B$16*((Presion_cilindro!N103-(-K$4+Presion_cilindro!$B$34))/Presion_cilindro!$B$35)^(Presion_cilindro!$B$17+1)),0)-IF(Presion_cilindro!N102&gt;(-K$4+Presion_cilindro!$B$34),1-EXP(-Presion_cilindro!$B$16*((Presion_cilindro!N102-(-K$4+Presion_cilindro!$B$34))/Presion_cilindro!$B$35)^(Presion_cilindro!$B$17+1)),0))/((Presion_cilindro!O102+Presion_cilindro!O103)/2)</f>
        <v>0.85360027318058762</v>
      </c>
      <c r="L111" s="27">
        <f>L110*(Presion_cilindro!O102/Presion_cilindro!O103)^Presion_cilindro!$B$9+10*(Presion_cilindro!$B$9-1)*Presion_cilindro!$B$33*(IF(Presion_cilindro!N103&gt;(-L$4+Presion_cilindro!$B$34),1-EXP(-Presion_cilindro!$B$16*((Presion_cilindro!N103-(-L$4+Presion_cilindro!$B$34))/Presion_cilindro!$B$35)^(Presion_cilindro!$B$17+1)),0)-IF(Presion_cilindro!N102&gt;(-L$4+Presion_cilindro!$B$34),1-EXP(-Presion_cilindro!$B$16*((Presion_cilindro!N102-(-L$4+Presion_cilindro!$B$34))/Presion_cilindro!$B$35)^(Presion_cilindro!$B$17+1)),0))/((Presion_cilindro!O102+Presion_cilindro!O103)/2)</f>
        <v>0.85360027318058762</v>
      </c>
      <c r="M111" s="27">
        <f>M110*(Presion_cilindro!O102/Presion_cilindro!O103)^Presion_cilindro!$B$9+10*(Presion_cilindro!$B$9-1)*Presion_cilindro!$B$33*(IF(Presion_cilindro!N103&gt;(-M$4+Presion_cilindro!$B$34),1-EXP(-Presion_cilindro!$B$16*((Presion_cilindro!N103-(-M$4+Presion_cilindro!$B$34))/Presion_cilindro!$B$35)^(Presion_cilindro!$B$17+1)),0)-IF(Presion_cilindro!N102&gt;(-M$4+Presion_cilindro!$B$34),1-EXP(-Presion_cilindro!$B$16*((Presion_cilindro!N102-(-M$4+Presion_cilindro!$B$34))/Presion_cilindro!$B$35)^(Presion_cilindro!$B$17+1)),0))/((Presion_cilindro!O102+Presion_cilindro!O103)/2)</f>
        <v>0.85360027318058762</v>
      </c>
      <c r="N111" s="27">
        <f>N110*(Presion_cilindro!O102/Presion_cilindro!O103)^Presion_cilindro!$B$9+10*(Presion_cilindro!$B$9-1)*Presion_cilindro!$B$33*(IF(Presion_cilindro!N103&gt;(-N$4+Presion_cilindro!$B$34),1-EXP(-Presion_cilindro!$B$16*((Presion_cilindro!N103-(-N$4+Presion_cilindro!$B$34))/Presion_cilindro!$B$35)^(Presion_cilindro!$B$17+1)),0)-IF(Presion_cilindro!N102&gt;(-N$4+Presion_cilindro!$B$34),1-EXP(-Presion_cilindro!$B$16*((Presion_cilindro!N102-(-N$4+Presion_cilindro!$B$34))/Presion_cilindro!$B$35)^(Presion_cilindro!$B$17+1)),0))/((Presion_cilindro!O102+Presion_cilindro!O103)/2)</f>
        <v>0.85360027318058762</v>
      </c>
    </row>
    <row r="112" spans="1:14" x14ac:dyDescent="0.25">
      <c r="A112" s="21">
        <f>Presion_cilindro!N104</f>
        <v>-130</v>
      </c>
      <c r="B112" s="27">
        <f>B111*(Presion_cilindro!O103/Presion_cilindro!O104)^Presion_cilindro!$B$9+10*(Presion_cilindro!$B$9-1)*Presion_cilindro!$B$33*(IF(Presion_cilindro!N104&gt;(-B$4+Presion_cilindro!$B$34),1-EXP(-Presion_cilindro!$B$16*((Presion_cilindro!N104-(-B$4+Presion_cilindro!$B$34))/Presion_cilindro!$B$35)^(Presion_cilindro!$B$17+1)),0)-IF(Presion_cilindro!N103&gt;(-B$4+Presion_cilindro!$B$34),1-EXP(-Presion_cilindro!$B$16*((Presion_cilindro!N103-(-B$4+Presion_cilindro!$B$34))/Presion_cilindro!$B$35)^(Presion_cilindro!$B$17+1)),0))/((Presion_cilindro!O103+Presion_cilindro!O104)/2)</f>
        <v>0.85674612394895477</v>
      </c>
      <c r="C112" s="27">
        <f>C111*(Presion_cilindro!O103/Presion_cilindro!O104)^Presion_cilindro!$B$9+10*(Presion_cilindro!$B$9-1)*Presion_cilindro!$B$33*(IF(Presion_cilindro!N104&gt;(-C$4+Presion_cilindro!$B$34),1-EXP(-Presion_cilindro!$B$16*((Presion_cilindro!N104-(-C$4+Presion_cilindro!$B$34))/Presion_cilindro!$B$35)^(Presion_cilindro!$B$17+1)),0)-IF(Presion_cilindro!N103&gt;(-C$4+Presion_cilindro!$B$34),1-EXP(-Presion_cilindro!$B$16*((Presion_cilindro!N103-(-C$4+Presion_cilindro!$B$34))/Presion_cilindro!$B$35)^(Presion_cilindro!$B$17+1)),0))/((Presion_cilindro!O103+Presion_cilindro!O104)/2)</f>
        <v>0.85674612394895477</v>
      </c>
      <c r="D112" s="27">
        <f>D111*(Presion_cilindro!O103/Presion_cilindro!O104)^Presion_cilindro!$B$9+10*(Presion_cilindro!$B$9-1)*Presion_cilindro!$B$33*(IF(Presion_cilindro!N104&gt;(-D$4+Presion_cilindro!$B$34),1-EXP(-Presion_cilindro!$B$16*((Presion_cilindro!N104-(-D$4+Presion_cilindro!$B$34))/Presion_cilindro!$B$35)^(Presion_cilindro!$B$17+1)),0)-IF(Presion_cilindro!N103&gt;(-D$4+Presion_cilindro!$B$34),1-EXP(-Presion_cilindro!$B$16*((Presion_cilindro!N103-(-D$4+Presion_cilindro!$B$34))/Presion_cilindro!$B$35)^(Presion_cilindro!$B$17+1)),0))/((Presion_cilindro!O103+Presion_cilindro!O104)/2)</f>
        <v>0.85674612394895477</v>
      </c>
      <c r="E112" s="27">
        <f>E111*(Presion_cilindro!O103/Presion_cilindro!O104)^Presion_cilindro!$B$9+10*(Presion_cilindro!$B$9-1)*Presion_cilindro!$B$33*(IF(Presion_cilindro!N104&gt;(-E$4+Presion_cilindro!$B$34),1-EXP(-Presion_cilindro!$B$16*((Presion_cilindro!N104-(-E$4+Presion_cilindro!$B$34))/Presion_cilindro!$B$35)^(Presion_cilindro!$B$17+1)),0)-IF(Presion_cilindro!N103&gt;(-E$4+Presion_cilindro!$B$34),1-EXP(-Presion_cilindro!$B$16*((Presion_cilindro!N103-(-E$4+Presion_cilindro!$B$34))/Presion_cilindro!$B$35)^(Presion_cilindro!$B$17+1)),0))/((Presion_cilindro!O103+Presion_cilindro!O104)/2)</f>
        <v>0.85674612394895477</v>
      </c>
      <c r="F112" s="27">
        <f>F111*(Presion_cilindro!O103/Presion_cilindro!O104)^Presion_cilindro!$B$9+10*(Presion_cilindro!$B$9-1)*Presion_cilindro!$B$33*(IF(Presion_cilindro!N104&gt;(-F$4+Presion_cilindro!$B$34),1-EXP(-Presion_cilindro!$B$16*((Presion_cilindro!N104-(-F$4+Presion_cilindro!$B$34))/Presion_cilindro!$B$35)^(Presion_cilindro!$B$17+1)),0)-IF(Presion_cilindro!N103&gt;(-F$4+Presion_cilindro!$B$34),1-EXP(-Presion_cilindro!$B$16*((Presion_cilindro!N103-(-F$4+Presion_cilindro!$B$34))/Presion_cilindro!$B$35)^(Presion_cilindro!$B$17+1)),0))/((Presion_cilindro!O103+Presion_cilindro!O104)/2)</f>
        <v>0.85674612394895477</v>
      </c>
      <c r="G112" s="27">
        <f>G111*(Presion_cilindro!O103/Presion_cilindro!O104)^Presion_cilindro!$B$9+10*(Presion_cilindro!$B$9-1)*Presion_cilindro!$B$33*(IF(Presion_cilindro!N104&gt;(-G$4+Presion_cilindro!$B$34),1-EXP(-Presion_cilindro!$B$16*((Presion_cilindro!N104-(-G$4+Presion_cilindro!$B$34))/Presion_cilindro!$B$35)^(Presion_cilindro!$B$17+1)),0)-IF(Presion_cilindro!N103&gt;(-G$4+Presion_cilindro!$B$34),1-EXP(-Presion_cilindro!$B$16*((Presion_cilindro!N103-(-G$4+Presion_cilindro!$B$34))/Presion_cilindro!$B$35)^(Presion_cilindro!$B$17+1)),0))/((Presion_cilindro!O103+Presion_cilindro!O104)/2)</f>
        <v>0.85674612394895477</v>
      </c>
      <c r="H112" s="27">
        <f>H111*(Presion_cilindro!O103/Presion_cilindro!O104)^Presion_cilindro!$B$9+10*(Presion_cilindro!$B$9-1)*Presion_cilindro!$B$33*(IF(Presion_cilindro!N104&gt;(-H$4+Presion_cilindro!$B$34),1-EXP(-Presion_cilindro!$B$16*((Presion_cilindro!N104-(-H$4+Presion_cilindro!$B$34))/Presion_cilindro!$B$35)^(Presion_cilindro!$B$17+1)),0)-IF(Presion_cilindro!N103&gt;(-H$4+Presion_cilindro!$B$34),1-EXP(-Presion_cilindro!$B$16*((Presion_cilindro!N103-(-H$4+Presion_cilindro!$B$34))/Presion_cilindro!$B$35)^(Presion_cilindro!$B$17+1)),0))/((Presion_cilindro!O103+Presion_cilindro!O104)/2)</f>
        <v>0.85674612394895477</v>
      </c>
      <c r="I112" s="27">
        <f>I111*(Presion_cilindro!O103/Presion_cilindro!O104)^Presion_cilindro!$B$9+10*(Presion_cilindro!$B$9-1)*Presion_cilindro!$B$33*(IF(Presion_cilindro!N104&gt;(-I$4+Presion_cilindro!$B$34),1-EXP(-Presion_cilindro!$B$16*((Presion_cilindro!N104-(-I$4+Presion_cilindro!$B$34))/Presion_cilindro!$B$35)^(Presion_cilindro!$B$17+1)),0)-IF(Presion_cilindro!N103&gt;(-I$4+Presion_cilindro!$B$34),1-EXP(-Presion_cilindro!$B$16*((Presion_cilindro!N103-(-I$4+Presion_cilindro!$B$34))/Presion_cilindro!$B$35)^(Presion_cilindro!$B$17+1)),0))/((Presion_cilindro!O103+Presion_cilindro!O104)/2)</f>
        <v>0.85674612394895477</v>
      </c>
      <c r="J112" s="27">
        <f>J111*(Presion_cilindro!O103/Presion_cilindro!O104)^Presion_cilindro!$B$9+10*(Presion_cilindro!$B$9-1)*Presion_cilindro!$B$33*(IF(Presion_cilindro!N104&gt;(-J$4+Presion_cilindro!$B$34),1-EXP(-Presion_cilindro!$B$16*((Presion_cilindro!N104-(-J$4+Presion_cilindro!$B$34))/Presion_cilindro!$B$35)^(Presion_cilindro!$B$17+1)),0)-IF(Presion_cilindro!N103&gt;(-J$4+Presion_cilindro!$B$34),1-EXP(-Presion_cilindro!$B$16*((Presion_cilindro!N103-(-J$4+Presion_cilindro!$B$34))/Presion_cilindro!$B$35)^(Presion_cilindro!$B$17+1)),0))/((Presion_cilindro!O103+Presion_cilindro!O104)/2)</f>
        <v>0.85674612394895477</v>
      </c>
      <c r="K112" s="27">
        <f>K111*(Presion_cilindro!O103/Presion_cilindro!O104)^Presion_cilindro!$B$9+10*(Presion_cilindro!$B$9-1)*Presion_cilindro!$B$33*(IF(Presion_cilindro!N104&gt;(-K$4+Presion_cilindro!$B$34),1-EXP(-Presion_cilindro!$B$16*((Presion_cilindro!N104-(-K$4+Presion_cilindro!$B$34))/Presion_cilindro!$B$35)^(Presion_cilindro!$B$17+1)),0)-IF(Presion_cilindro!N103&gt;(-K$4+Presion_cilindro!$B$34),1-EXP(-Presion_cilindro!$B$16*((Presion_cilindro!N103-(-K$4+Presion_cilindro!$B$34))/Presion_cilindro!$B$35)^(Presion_cilindro!$B$17+1)),0))/((Presion_cilindro!O103+Presion_cilindro!O104)/2)</f>
        <v>0.85674612394895477</v>
      </c>
      <c r="L112" s="27">
        <f>L111*(Presion_cilindro!O103/Presion_cilindro!O104)^Presion_cilindro!$B$9+10*(Presion_cilindro!$B$9-1)*Presion_cilindro!$B$33*(IF(Presion_cilindro!N104&gt;(-L$4+Presion_cilindro!$B$34),1-EXP(-Presion_cilindro!$B$16*((Presion_cilindro!N104-(-L$4+Presion_cilindro!$B$34))/Presion_cilindro!$B$35)^(Presion_cilindro!$B$17+1)),0)-IF(Presion_cilindro!N103&gt;(-L$4+Presion_cilindro!$B$34),1-EXP(-Presion_cilindro!$B$16*((Presion_cilindro!N103-(-L$4+Presion_cilindro!$B$34))/Presion_cilindro!$B$35)^(Presion_cilindro!$B$17+1)),0))/((Presion_cilindro!O103+Presion_cilindro!O104)/2)</f>
        <v>0.85674612394895477</v>
      </c>
      <c r="M112" s="27">
        <f>M111*(Presion_cilindro!O103/Presion_cilindro!O104)^Presion_cilindro!$B$9+10*(Presion_cilindro!$B$9-1)*Presion_cilindro!$B$33*(IF(Presion_cilindro!N104&gt;(-M$4+Presion_cilindro!$B$34),1-EXP(-Presion_cilindro!$B$16*((Presion_cilindro!N104-(-M$4+Presion_cilindro!$B$34))/Presion_cilindro!$B$35)^(Presion_cilindro!$B$17+1)),0)-IF(Presion_cilindro!N103&gt;(-M$4+Presion_cilindro!$B$34),1-EXP(-Presion_cilindro!$B$16*((Presion_cilindro!N103-(-M$4+Presion_cilindro!$B$34))/Presion_cilindro!$B$35)^(Presion_cilindro!$B$17+1)),0))/((Presion_cilindro!O103+Presion_cilindro!O104)/2)</f>
        <v>0.85674612394895477</v>
      </c>
      <c r="N112" s="27">
        <f>N111*(Presion_cilindro!O103/Presion_cilindro!O104)^Presion_cilindro!$B$9+10*(Presion_cilindro!$B$9-1)*Presion_cilindro!$B$33*(IF(Presion_cilindro!N104&gt;(-N$4+Presion_cilindro!$B$34),1-EXP(-Presion_cilindro!$B$16*((Presion_cilindro!N104-(-N$4+Presion_cilindro!$B$34))/Presion_cilindro!$B$35)^(Presion_cilindro!$B$17+1)),0)-IF(Presion_cilindro!N103&gt;(-N$4+Presion_cilindro!$B$34),1-EXP(-Presion_cilindro!$B$16*((Presion_cilindro!N103-(-N$4+Presion_cilindro!$B$34))/Presion_cilindro!$B$35)^(Presion_cilindro!$B$17+1)),0))/((Presion_cilindro!O103+Presion_cilindro!O104)/2)</f>
        <v>0.85674612394895477</v>
      </c>
    </row>
    <row r="113" spans="1:14" x14ac:dyDescent="0.25">
      <c r="A113" s="21">
        <f>Presion_cilindro!N105</f>
        <v>-129.5</v>
      </c>
      <c r="B113" s="27">
        <f>B112*(Presion_cilindro!O104/Presion_cilindro!O105)^Presion_cilindro!$B$9+10*(Presion_cilindro!$B$9-1)*Presion_cilindro!$B$33*(IF(Presion_cilindro!N105&gt;(-B$4+Presion_cilindro!$B$34),1-EXP(-Presion_cilindro!$B$16*((Presion_cilindro!N105-(-B$4+Presion_cilindro!$B$34))/Presion_cilindro!$B$35)^(Presion_cilindro!$B$17+1)),0)-IF(Presion_cilindro!N104&gt;(-B$4+Presion_cilindro!$B$34),1-EXP(-Presion_cilindro!$B$16*((Presion_cilindro!N104-(-B$4+Presion_cilindro!$B$34))/Presion_cilindro!$B$35)^(Presion_cilindro!$B$17+1)),0))/((Presion_cilindro!O104+Presion_cilindro!O105)/2)</f>
        <v>0.85994313917723564</v>
      </c>
      <c r="C113" s="27">
        <f>C112*(Presion_cilindro!O104/Presion_cilindro!O105)^Presion_cilindro!$B$9+10*(Presion_cilindro!$B$9-1)*Presion_cilindro!$B$33*(IF(Presion_cilindro!N105&gt;(-C$4+Presion_cilindro!$B$34),1-EXP(-Presion_cilindro!$B$16*((Presion_cilindro!N105-(-C$4+Presion_cilindro!$B$34))/Presion_cilindro!$B$35)^(Presion_cilindro!$B$17+1)),0)-IF(Presion_cilindro!N104&gt;(-C$4+Presion_cilindro!$B$34),1-EXP(-Presion_cilindro!$B$16*((Presion_cilindro!N104-(-C$4+Presion_cilindro!$B$34))/Presion_cilindro!$B$35)^(Presion_cilindro!$B$17+1)),0))/((Presion_cilindro!O104+Presion_cilindro!O105)/2)</f>
        <v>0.85994313917723564</v>
      </c>
      <c r="D113" s="27">
        <f>D112*(Presion_cilindro!O104/Presion_cilindro!O105)^Presion_cilindro!$B$9+10*(Presion_cilindro!$B$9-1)*Presion_cilindro!$B$33*(IF(Presion_cilindro!N105&gt;(-D$4+Presion_cilindro!$B$34),1-EXP(-Presion_cilindro!$B$16*((Presion_cilindro!N105-(-D$4+Presion_cilindro!$B$34))/Presion_cilindro!$B$35)^(Presion_cilindro!$B$17+1)),0)-IF(Presion_cilindro!N104&gt;(-D$4+Presion_cilindro!$B$34),1-EXP(-Presion_cilindro!$B$16*((Presion_cilindro!N104-(-D$4+Presion_cilindro!$B$34))/Presion_cilindro!$B$35)^(Presion_cilindro!$B$17+1)),0))/((Presion_cilindro!O104+Presion_cilindro!O105)/2)</f>
        <v>0.85994313917723564</v>
      </c>
      <c r="E113" s="27">
        <f>E112*(Presion_cilindro!O104/Presion_cilindro!O105)^Presion_cilindro!$B$9+10*(Presion_cilindro!$B$9-1)*Presion_cilindro!$B$33*(IF(Presion_cilindro!N105&gt;(-E$4+Presion_cilindro!$B$34),1-EXP(-Presion_cilindro!$B$16*((Presion_cilindro!N105-(-E$4+Presion_cilindro!$B$34))/Presion_cilindro!$B$35)^(Presion_cilindro!$B$17+1)),0)-IF(Presion_cilindro!N104&gt;(-E$4+Presion_cilindro!$B$34),1-EXP(-Presion_cilindro!$B$16*((Presion_cilindro!N104-(-E$4+Presion_cilindro!$B$34))/Presion_cilindro!$B$35)^(Presion_cilindro!$B$17+1)),0))/((Presion_cilindro!O104+Presion_cilindro!O105)/2)</f>
        <v>0.85994313917723564</v>
      </c>
      <c r="F113" s="27">
        <f>F112*(Presion_cilindro!O104/Presion_cilindro!O105)^Presion_cilindro!$B$9+10*(Presion_cilindro!$B$9-1)*Presion_cilindro!$B$33*(IF(Presion_cilindro!N105&gt;(-F$4+Presion_cilindro!$B$34),1-EXP(-Presion_cilindro!$B$16*((Presion_cilindro!N105-(-F$4+Presion_cilindro!$B$34))/Presion_cilindro!$B$35)^(Presion_cilindro!$B$17+1)),0)-IF(Presion_cilindro!N104&gt;(-F$4+Presion_cilindro!$B$34),1-EXP(-Presion_cilindro!$B$16*((Presion_cilindro!N104-(-F$4+Presion_cilindro!$B$34))/Presion_cilindro!$B$35)^(Presion_cilindro!$B$17+1)),0))/((Presion_cilindro!O104+Presion_cilindro!O105)/2)</f>
        <v>0.85994313917723564</v>
      </c>
      <c r="G113" s="27">
        <f>G112*(Presion_cilindro!O104/Presion_cilindro!O105)^Presion_cilindro!$B$9+10*(Presion_cilindro!$B$9-1)*Presion_cilindro!$B$33*(IF(Presion_cilindro!N105&gt;(-G$4+Presion_cilindro!$B$34),1-EXP(-Presion_cilindro!$B$16*((Presion_cilindro!N105-(-G$4+Presion_cilindro!$B$34))/Presion_cilindro!$B$35)^(Presion_cilindro!$B$17+1)),0)-IF(Presion_cilindro!N104&gt;(-G$4+Presion_cilindro!$B$34),1-EXP(-Presion_cilindro!$B$16*((Presion_cilindro!N104-(-G$4+Presion_cilindro!$B$34))/Presion_cilindro!$B$35)^(Presion_cilindro!$B$17+1)),0))/((Presion_cilindro!O104+Presion_cilindro!O105)/2)</f>
        <v>0.85994313917723564</v>
      </c>
      <c r="H113" s="27">
        <f>H112*(Presion_cilindro!O104/Presion_cilindro!O105)^Presion_cilindro!$B$9+10*(Presion_cilindro!$B$9-1)*Presion_cilindro!$B$33*(IF(Presion_cilindro!N105&gt;(-H$4+Presion_cilindro!$B$34),1-EXP(-Presion_cilindro!$B$16*((Presion_cilindro!N105-(-H$4+Presion_cilindro!$B$34))/Presion_cilindro!$B$35)^(Presion_cilindro!$B$17+1)),0)-IF(Presion_cilindro!N104&gt;(-H$4+Presion_cilindro!$B$34),1-EXP(-Presion_cilindro!$B$16*((Presion_cilindro!N104-(-H$4+Presion_cilindro!$B$34))/Presion_cilindro!$B$35)^(Presion_cilindro!$B$17+1)),0))/((Presion_cilindro!O104+Presion_cilindro!O105)/2)</f>
        <v>0.85994313917723564</v>
      </c>
      <c r="I113" s="27">
        <f>I112*(Presion_cilindro!O104/Presion_cilindro!O105)^Presion_cilindro!$B$9+10*(Presion_cilindro!$B$9-1)*Presion_cilindro!$B$33*(IF(Presion_cilindro!N105&gt;(-I$4+Presion_cilindro!$B$34),1-EXP(-Presion_cilindro!$B$16*((Presion_cilindro!N105-(-I$4+Presion_cilindro!$B$34))/Presion_cilindro!$B$35)^(Presion_cilindro!$B$17+1)),0)-IF(Presion_cilindro!N104&gt;(-I$4+Presion_cilindro!$B$34),1-EXP(-Presion_cilindro!$B$16*((Presion_cilindro!N104-(-I$4+Presion_cilindro!$B$34))/Presion_cilindro!$B$35)^(Presion_cilindro!$B$17+1)),0))/((Presion_cilindro!O104+Presion_cilindro!O105)/2)</f>
        <v>0.85994313917723564</v>
      </c>
      <c r="J113" s="27">
        <f>J112*(Presion_cilindro!O104/Presion_cilindro!O105)^Presion_cilindro!$B$9+10*(Presion_cilindro!$B$9-1)*Presion_cilindro!$B$33*(IF(Presion_cilindro!N105&gt;(-J$4+Presion_cilindro!$B$34),1-EXP(-Presion_cilindro!$B$16*((Presion_cilindro!N105-(-J$4+Presion_cilindro!$B$34))/Presion_cilindro!$B$35)^(Presion_cilindro!$B$17+1)),0)-IF(Presion_cilindro!N104&gt;(-J$4+Presion_cilindro!$B$34),1-EXP(-Presion_cilindro!$B$16*((Presion_cilindro!N104-(-J$4+Presion_cilindro!$B$34))/Presion_cilindro!$B$35)^(Presion_cilindro!$B$17+1)),0))/((Presion_cilindro!O104+Presion_cilindro!O105)/2)</f>
        <v>0.85994313917723564</v>
      </c>
      <c r="K113" s="27">
        <f>K112*(Presion_cilindro!O104/Presion_cilindro!O105)^Presion_cilindro!$B$9+10*(Presion_cilindro!$B$9-1)*Presion_cilindro!$B$33*(IF(Presion_cilindro!N105&gt;(-K$4+Presion_cilindro!$B$34),1-EXP(-Presion_cilindro!$B$16*((Presion_cilindro!N105-(-K$4+Presion_cilindro!$B$34))/Presion_cilindro!$B$35)^(Presion_cilindro!$B$17+1)),0)-IF(Presion_cilindro!N104&gt;(-K$4+Presion_cilindro!$B$34),1-EXP(-Presion_cilindro!$B$16*((Presion_cilindro!N104-(-K$4+Presion_cilindro!$B$34))/Presion_cilindro!$B$35)^(Presion_cilindro!$B$17+1)),0))/((Presion_cilindro!O104+Presion_cilindro!O105)/2)</f>
        <v>0.85994313917723564</v>
      </c>
      <c r="L113" s="27">
        <f>L112*(Presion_cilindro!O104/Presion_cilindro!O105)^Presion_cilindro!$B$9+10*(Presion_cilindro!$B$9-1)*Presion_cilindro!$B$33*(IF(Presion_cilindro!N105&gt;(-L$4+Presion_cilindro!$B$34),1-EXP(-Presion_cilindro!$B$16*((Presion_cilindro!N105-(-L$4+Presion_cilindro!$B$34))/Presion_cilindro!$B$35)^(Presion_cilindro!$B$17+1)),0)-IF(Presion_cilindro!N104&gt;(-L$4+Presion_cilindro!$B$34),1-EXP(-Presion_cilindro!$B$16*((Presion_cilindro!N104-(-L$4+Presion_cilindro!$B$34))/Presion_cilindro!$B$35)^(Presion_cilindro!$B$17+1)),0))/((Presion_cilindro!O104+Presion_cilindro!O105)/2)</f>
        <v>0.85994313917723564</v>
      </c>
      <c r="M113" s="27">
        <f>M112*(Presion_cilindro!O104/Presion_cilindro!O105)^Presion_cilindro!$B$9+10*(Presion_cilindro!$B$9-1)*Presion_cilindro!$B$33*(IF(Presion_cilindro!N105&gt;(-M$4+Presion_cilindro!$B$34),1-EXP(-Presion_cilindro!$B$16*((Presion_cilindro!N105-(-M$4+Presion_cilindro!$B$34))/Presion_cilindro!$B$35)^(Presion_cilindro!$B$17+1)),0)-IF(Presion_cilindro!N104&gt;(-M$4+Presion_cilindro!$B$34),1-EXP(-Presion_cilindro!$B$16*((Presion_cilindro!N104-(-M$4+Presion_cilindro!$B$34))/Presion_cilindro!$B$35)^(Presion_cilindro!$B$17+1)),0))/((Presion_cilindro!O104+Presion_cilindro!O105)/2)</f>
        <v>0.85994313917723564</v>
      </c>
      <c r="N113" s="27">
        <f>N112*(Presion_cilindro!O104/Presion_cilindro!O105)^Presion_cilindro!$B$9+10*(Presion_cilindro!$B$9-1)*Presion_cilindro!$B$33*(IF(Presion_cilindro!N105&gt;(-N$4+Presion_cilindro!$B$34),1-EXP(-Presion_cilindro!$B$16*((Presion_cilindro!N105-(-N$4+Presion_cilindro!$B$34))/Presion_cilindro!$B$35)^(Presion_cilindro!$B$17+1)),0)-IF(Presion_cilindro!N104&gt;(-N$4+Presion_cilindro!$B$34),1-EXP(-Presion_cilindro!$B$16*((Presion_cilindro!N104-(-N$4+Presion_cilindro!$B$34))/Presion_cilindro!$B$35)^(Presion_cilindro!$B$17+1)),0))/((Presion_cilindro!O104+Presion_cilindro!O105)/2)</f>
        <v>0.85994313917723564</v>
      </c>
    </row>
    <row r="114" spans="1:14" x14ac:dyDescent="0.25">
      <c r="A114" s="21">
        <f>Presion_cilindro!N106</f>
        <v>-129</v>
      </c>
      <c r="B114" s="27">
        <f>B113*(Presion_cilindro!O105/Presion_cilindro!O106)^Presion_cilindro!$B$9+10*(Presion_cilindro!$B$9-1)*Presion_cilindro!$B$33*(IF(Presion_cilindro!N106&gt;(-B$4+Presion_cilindro!$B$34),1-EXP(-Presion_cilindro!$B$16*((Presion_cilindro!N106-(-B$4+Presion_cilindro!$B$34))/Presion_cilindro!$B$35)^(Presion_cilindro!$B$17+1)),0)-IF(Presion_cilindro!N105&gt;(-B$4+Presion_cilindro!$B$34),1-EXP(-Presion_cilindro!$B$16*((Presion_cilindro!N105-(-B$4+Presion_cilindro!$B$34))/Presion_cilindro!$B$35)^(Presion_cilindro!$B$17+1)),0))/((Presion_cilindro!O105+Presion_cilindro!O106)/2)</f>
        <v>0.86319204081833656</v>
      </c>
      <c r="C114" s="27">
        <f>C113*(Presion_cilindro!O105/Presion_cilindro!O106)^Presion_cilindro!$B$9+10*(Presion_cilindro!$B$9-1)*Presion_cilindro!$B$33*(IF(Presion_cilindro!N106&gt;(-C$4+Presion_cilindro!$B$34),1-EXP(-Presion_cilindro!$B$16*((Presion_cilindro!N106-(-C$4+Presion_cilindro!$B$34))/Presion_cilindro!$B$35)^(Presion_cilindro!$B$17+1)),0)-IF(Presion_cilindro!N105&gt;(-C$4+Presion_cilindro!$B$34),1-EXP(-Presion_cilindro!$B$16*((Presion_cilindro!N105-(-C$4+Presion_cilindro!$B$34))/Presion_cilindro!$B$35)^(Presion_cilindro!$B$17+1)),0))/((Presion_cilindro!O105+Presion_cilindro!O106)/2)</f>
        <v>0.86319204081833656</v>
      </c>
      <c r="D114" s="27">
        <f>D113*(Presion_cilindro!O105/Presion_cilindro!O106)^Presion_cilindro!$B$9+10*(Presion_cilindro!$B$9-1)*Presion_cilindro!$B$33*(IF(Presion_cilindro!N106&gt;(-D$4+Presion_cilindro!$B$34),1-EXP(-Presion_cilindro!$B$16*((Presion_cilindro!N106-(-D$4+Presion_cilindro!$B$34))/Presion_cilindro!$B$35)^(Presion_cilindro!$B$17+1)),0)-IF(Presion_cilindro!N105&gt;(-D$4+Presion_cilindro!$B$34),1-EXP(-Presion_cilindro!$B$16*((Presion_cilindro!N105-(-D$4+Presion_cilindro!$B$34))/Presion_cilindro!$B$35)^(Presion_cilindro!$B$17+1)),0))/((Presion_cilindro!O105+Presion_cilindro!O106)/2)</f>
        <v>0.86319204081833656</v>
      </c>
      <c r="E114" s="27">
        <f>E113*(Presion_cilindro!O105/Presion_cilindro!O106)^Presion_cilindro!$B$9+10*(Presion_cilindro!$B$9-1)*Presion_cilindro!$B$33*(IF(Presion_cilindro!N106&gt;(-E$4+Presion_cilindro!$B$34),1-EXP(-Presion_cilindro!$B$16*((Presion_cilindro!N106-(-E$4+Presion_cilindro!$B$34))/Presion_cilindro!$B$35)^(Presion_cilindro!$B$17+1)),0)-IF(Presion_cilindro!N105&gt;(-E$4+Presion_cilindro!$B$34),1-EXP(-Presion_cilindro!$B$16*((Presion_cilindro!N105-(-E$4+Presion_cilindro!$B$34))/Presion_cilindro!$B$35)^(Presion_cilindro!$B$17+1)),0))/((Presion_cilindro!O105+Presion_cilindro!O106)/2)</f>
        <v>0.86319204081833656</v>
      </c>
      <c r="F114" s="27">
        <f>F113*(Presion_cilindro!O105/Presion_cilindro!O106)^Presion_cilindro!$B$9+10*(Presion_cilindro!$B$9-1)*Presion_cilindro!$B$33*(IF(Presion_cilindro!N106&gt;(-F$4+Presion_cilindro!$B$34),1-EXP(-Presion_cilindro!$B$16*((Presion_cilindro!N106-(-F$4+Presion_cilindro!$B$34))/Presion_cilindro!$B$35)^(Presion_cilindro!$B$17+1)),0)-IF(Presion_cilindro!N105&gt;(-F$4+Presion_cilindro!$B$34),1-EXP(-Presion_cilindro!$B$16*((Presion_cilindro!N105-(-F$4+Presion_cilindro!$B$34))/Presion_cilindro!$B$35)^(Presion_cilindro!$B$17+1)),0))/((Presion_cilindro!O105+Presion_cilindro!O106)/2)</f>
        <v>0.86319204081833656</v>
      </c>
      <c r="G114" s="27">
        <f>G113*(Presion_cilindro!O105/Presion_cilindro!O106)^Presion_cilindro!$B$9+10*(Presion_cilindro!$B$9-1)*Presion_cilindro!$B$33*(IF(Presion_cilindro!N106&gt;(-G$4+Presion_cilindro!$B$34),1-EXP(-Presion_cilindro!$B$16*((Presion_cilindro!N106-(-G$4+Presion_cilindro!$B$34))/Presion_cilindro!$B$35)^(Presion_cilindro!$B$17+1)),0)-IF(Presion_cilindro!N105&gt;(-G$4+Presion_cilindro!$B$34),1-EXP(-Presion_cilindro!$B$16*((Presion_cilindro!N105-(-G$4+Presion_cilindro!$B$34))/Presion_cilindro!$B$35)^(Presion_cilindro!$B$17+1)),0))/((Presion_cilindro!O105+Presion_cilindro!O106)/2)</f>
        <v>0.86319204081833656</v>
      </c>
      <c r="H114" s="27">
        <f>H113*(Presion_cilindro!O105/Presion_cilindro!O106)^Presion_cilindro!$B$9+10*(Presion_cilindro!$B$9-1)*Presion_cilindro!$B$33*(IF(Presion_cilindro!N106&gt;(-H$4+Presion_cilindro!$B$34),1-EXP(-Presion_cilindro!$B$16*((Presion_cilindro!N106-(-H$4+Presion_cilindro!$B$34))/Presion_cilindro!$B$35)^(Presion_cilindro!$B$17+1)),0)-IF(Presion_cilindro!N105&gt;(-H$4+Presion_cilindro!$B$34),1-EXP(-Presion_cilindro!$B$16*((Presion_cilindro!N105-(-H$4+Presion_cilindro!$B$34))/Presion_cilindro!$B$35)^(Presion_cilindro!$B$17+1)),0))/((Presion_cilindro!O105+Presion_cilindro!O106)/2)</f>
        <v>0.86319204081833656</v>
      </c>
      <c r="I114" s="27">
        <f>I113*(Presion_cilindro!O105/Presion_cilindro!O106)^Presion_cilindro!$B$9+10*(Presion_cilindro!$B$9-1)*Presion_cilindro!$B$33*(IF(Presion_cilindro!N106&gt;(-I$4+Presion_cilindro!$B$34),1-EXP(-Presion_cilindro!$B$16*((Presion_cilindro!N106-(-I$4+Presion_cilindro!$B$34))/Presion_cilindro!$B$35)^(Presion_cilindro!$B$17+1)),0)-IF(Presion_cilindro!N105&gt;(-I$4+Presion_cilindro!$B$34),1-EXP(-Presion_cilindro!$B$16*((Presion_cilindro!N105-(-I$4+Presion_cilindro!$B$34))/Presion_cilindro!$B$35)^(Presion_cilindro!$B$17+1)),0))/((Presion_cilindro!O105+Presion_cilindro!O106)/2)</f>
        <v>0.86319204081833656</v>
      </c>
      <c r="J114" s="27">
        <f>J113*(Presion_cilindro!O105/Presion_cilindro!O106)^Presion_cilindro!$B$9+10*(Presion_cilindro!$B$9-1)*Presion_cilindro!$B$33*(IF(Presion_cilindro!N106&gt;(-J$4+Presion_cilindro!$B$34),1-EXP(-Presion_cilindro!$B$16*((Presion_cilindro!N106-(-J$4+Presion_cilindro!$B$34))/Presion_cilindro!$B$35)^(Presion_cilindro!$B$17+1)),0)-IF(Presion_cilindro!N105&gt;(-J$4+Presion_cilindro!$B$34),1-EXP(-Presion_cilindro!$B$16*((Presion_cilindro!N105-(-J$4+Presion_cilindro!$B$34))/Presion_cilindro!$B$35)^(Presion_cilindro!$B$17+1)),0))/((Presion_cilindro!O105+Presion_cilindro!O106)/2)</f>
        <v>0.86319204081833656</v>
      </c>
      <c r="K114" s="27">
        <f>K113*(Presion_cilindro!O105/Presion_cilindro!O106)^Presion_cilindro!$B$9+10*(Presion_cilindro!$B$9-1)*Presion_cilindro!$B$33*(IF(Presion_cilindro!N106&gt;(-K$4+Presion_cilindro!$B$34),1-EXP(-Presion_cilindro!$B$16*((Presion_cilindro!N106-(-K$4+Presion_cilindro!$B$34))/Presion_cilindro!$B$35)^(Presion_cilindro!$B$17+1)),0)-IF(Presion_cilindro!N105&gt;(-K$4+Presion_cilindro!$B$34),1-EXP(-Presion_cilindro!$B$16*((Presion_cilindro!N105-(-K$4+Presion_cilindro!$B$34))/Presion_cilindro!$B$35)^(Presion_cilindro!$B$17+1)),0))/((Presion_cilindro!O105+Presion_cilindro!O106)/2)</f>
        <v>0.86319204081833656</v>
      </c>
      <c r="L114" s="27">
        <f>L113*(Presion_cilindro!O105/Presion_cilindro!O106)^Presion_cilindro!$B$9+10*(Presion_cilindro!$B$9-1)*Presion_cilindro!$B$33*(IF(Presion_cilindro!N106&gt;(-L$4+Presion_cilindro!$B$34),1-EXP(-Presion_cilindro!$B$16*((Presion_cilindro!N106-(-L$4+Presion_cilindro!$B$34))/Presion_cilindro!$B$35)^(Presion_cilindro!$B$17+1)),0)-IF(Presion_cilindro!N105&gt;(-L$4+Presion_cilindro!$B$34),1-EXP(-Presion_cilindro!$B$16*((Presion_cilindro!N105-(-L$4+Presion_cilindro!$B$34))/Presion_cilindro!$B$35)^(Presion_cilindro!$B$17+1)),0))/((Presion_cilindro!O105+Presion_cilindro!O106)/2)</f>
        <v>0.86319204081833656</v>
      </c>
      <c r="M114" s="27">
        <f>M113*(Presion_cilindro!O105/Presion_cilindro!O106)^Presion_cilindro!$B$9+10*(Presion_cilindro!$B$9-1)*Presion_cilindro!$B$33*(IF(Presion_cilindro!N106&gt;(-M$4+Presion_cilindro!$B$34),1-EXP(-Presion_cilindro!$B$16*((Presion_cilindro!N106-(-M$4+Presion_cilindro!$B$34))/Presion_cilindro!$B$35)^(Presion_cilindro!$B$17+1)),0)-IF(Presion_cilindro!N105&gt;(-M$4+Presion_cilindro!$B$34),1-EXP(-Presion_cilindro!$B$16*((Presion_cilindro!N105-(-M$4+Presion_cilindro!$B$34))/Presion_cilindro!$B$35)^(Presion_cilindro!$B$17+1)),0))/((Presion_cilindro!O105+Presion_cilindro!O106)/2)</f>
        <v>0.86319204081833656</v>
      </c>
      <c r="N114" s="27">
        <f>N113*(Presion_cilindro!O105/Presion_cilindro!O106)^Presion_cilindro!$B$9+10*(Presion_cilindro!$B$9-1)*Presion_cilindro!$B$33*(IF(Presion_cilindro!N106&gt;(-N$4+Presion_cilindro!$B$34),1-EXP(-Presion_cilindro!$B$16*((Presion_cilindro!N106-(-N$4+Presion_cilindro!$B$34))/Presion_cilindro!$B$35)^(Presion_cilindro!$B$17+1)),0)-IF(Presion_cilindro!N105&gt;(-N$4+Presion_cilindro!$B$34),1-EXP(-Presion_cilindro!$B$16*((Presion_cilindro!N105-(-N$4+Presion_cilindro!$B$34))/Presion_cilindro!$B$35)^(Presion_cilindro!$B$17+1)),0))/((Presion_cilindro!O105+Presion_cilindro!O106)/2)</f>
        <v>0.86319204081833656</v>
      </c>
    </row>
    <row r="115" spans="1:14" x14ac:dyDescent="0.25">
      <c r="A115" s="21">
        <f>Presion_cilindro!N107</f>
        <v>-128.5</v>
      </c>
      <c r="B115" s="27">
        <f>B114*(Presion_cilindro!O106/Presion_cilindro!O107)^Presion_cilindro!$B$9+10*(Presion_cilindro!$B$9-1)*Presion_cilindro!$B$33*(IF(Presion_cilindro!N107&gt;(-B$4+Presion_cilindro!$B$34),1-EXP(-Presion_cilindro!$B$16*((Presion_cilindro!N107-(-B$4+Presion_cilindro!$B$34))/Presion_cilindro!$B$35)^(Presion_cilindro!$B$17+1)),0)-IF(Presion_cilindro!N106&gt;(-B$4+Presion_cilindro!$B$34),1-EXP(-Presion_cilindro!$B$16*((Presion_cilindro!N106-(-B$4+Presion_cilindro!$B$34))/Presion_cilindro!$B$35)^(Presion_cilindro!$B$17+1)),0))/((Presion_cilindro!O106+Presion_cilindro!O107)/2)</f>
        <v>0.86649356581721804</v>
      </c>
      <c r="C115" s="27">
        <f>C114*(Presion_cilindro!O106/Presion_cilindro!O107)^Presion_cilindro!$B$9+10*(Presion_cilindro!$B$9-1)*Presion_cilindro!$B$33*(IF(Presion_cilindro!N107&gt;(-C$4+Presion_cilindro!$B$34),1-EXP(-Presion_cilindro!$B$16*((Presion_cilindro!N107-(-C$4+Presion_cilindro!$B$34))/Presion_cilindro!$B$35)^(Presion_cilindro!$B$17+1)),0)-IF(Presion_cilindro!N106&gt;(-C$4+Presion_cilindro!$B$34),1-EXP(-Presion_cilindro!$B$16*((Presion_cilindro!N106-(-C$4+Presion_cilindro!$B$34))/Presion_cilindro!$B$35)^(Presion_cilindro!$B$17+1)),0))/((Presion_cilindro!O106+Presion_cilindro!O107)/2)</f>
        <v>0.86649356581721804</v>
      </c>
      <c r="D115" s="27">
        <f>D114*(Presion_cilindro!O106/Presion_cilindro!O107)^Presion_cilindro!$B$9+10*(Presion_cilindro!$B$9-1)*Presion_cilindro!$B$33*(IF(Presion_cilindro!N107&gt;(-D$4+Presion_cilindro!$B$34),1-EXP(-Presion_cilindro!$B$16*((Presion_cilindro!N107-(-D$4+Presion_cilindro!$B$34))/Presion_cilindro!$B$35)^(Presion_cilindro!$B$17+1)),0)-IF(Presion_cilindro!N106&gt;(-D$4+Presion_cilindro!$B$34),1-EXP(-Presion_cilindro!$B$16*((Presion_cilindro!N106-(-D$4+Presion_cilindro!$B$34))/Presion_cilindro!$B$35)^(Presion_cilindro!$B$17+1)),0))/((Presion_cilindro!O106+Presion_cilindro!O107)/2)</f>
        <v>0.86649356581721804</v>
      </c>
      <c r="E115" s="27">
        <f>E114*(Presion_cilindro!O106/Presion_cilindro!O107)^Presion_cilindro!$B$9+10*(Presion_cilindro!$B$9-1)*Presion_cilindro!$B$33*(IF(Presion_cilindro!N107&gt;(-E$4+Presion_cilindro!$B$34),1-EXP(-Presion_cilindro!$B$16*((Presion_cilindro!N107-(-E$4+Presion_cilindro!$B$34))/Presion_cilindro!$B$35)^(Presion_cilindro!$B$17+1)),0)-IF(Presion_cilindro!N106&gt;(-E$4+Presion_cilindro!$B$34),1-EXP(-Presion_cilindro!$B$16*((Presion_cilindro!N106-(-E$4+Presion_cilindro!$B$34))/Presion_cilindro!$B$35)^(Presion_cilindro!$B$17+1)),0))/((Presion_cilindro!O106+Presion_cilindro!O107)/2)</f>
        <v>0.86649356581721804</v>
      </c>
      <c r="F115" s="27">
        <f>F114*(Presion_cilindro!O106/Presion_cilindro!O107)^Presion_cilindro!$B$9+10*(Presion_cilindro!$B$9-1)*Presion_cilindro!$B$33*(IF(Presion_cilindro!N107&gt;(-F$4+Presion_cilindro!$B$34),1-EXP(-Presion_cilindro!$B$16*((Presion_cilindro!N107-(-F$4+Presion_cilindro!$B$34))/Presion_cilindro!$B$35)^(Presion_cilindro!$B$17+1)),0)-IF(Presion_cilindro!N106&gt;(-F$4+Presion_cilindro!$B$34),1-EXP(-Presion_cilindro!$B$16*((Presion_cilindro!N106-(-F$4+Presion_cilindro!$B$34))/Presion_cilindro!$B$35)^(Presion_cilindro!$B$17+1)),0))/((Presion_cilindro!O106+Presion_cilindro!O107)/2)</f>
        <v>0.86649356581721804</v>
      </c>
      <c r="G115" s="27">
        <f>G114*(Presion_cilindro!O106/Presion_cilindro!O107)^Presion_cilindro!$B$9+10*(Presion_cilindro!$B$9-1)*Presion_cilindro!$B$33*(IF(Presion_cilindro!N107&gt;(-G$4+Presion_cilindro!$B$34),1-EXP(-Presion_cilindro!$B$16*((Presion_cilindro!N107-(-G$4+Presion_cilindro!$B$34))/Presion_cilindro!$B$35)^(Presion_cilindro!$B$17+1)),0)-IF(Presion_cilindro!N106&gt;(-G$4+Presion_cilindro!$B$34),1-EXP(-Presion_cilindro!$B$16*((Presion_cilindro!N106-(-G$4+Presion_cilindro!$B$34))/Presion_cilindro!$B$35)^(Presion_cilindro!$B$17+1)),0))/((Presion_cilindro!O106+Presion_cilindro!O107)/2)</f>
        <v>0.86649356581721804</v>
      </c>
      <c r="H115" s="27">
        <f>H114*(Presion_cilindro!O106/Presion_cilindro!O107)^Presion_cilindro!$B$9+10*(Presion_cilindro!$B$9-1)*Presion_cilindro!$B$33*(IF(Presion_cilindro!N107&gt;(-H$4+Presion_cilindro!$B$34),1-EXP(-Presion_cilindro!$B$16*((Presion_cilindro!N107-(-H$4+Presion_cilindro!$B$34))/Presion_cilindro!$B$35)^(Presion_cilindro!$B$17+1)),0)-IF(Presion_cilindro!N106&gt;(-H$4+Presion_cilindro!$B$34),1-EXP(-Presion_cilindro!$B$16*((Presion_cilindro!N106-(-H$4+Presion_cilindro!$B$34))/Presion_cilindro!$B$35)^(Presion_cilindro!$B$17+1)),0))/((Presion_cilindro!O106+Presion_cilindro!O107)/2)</f>
        <v>0.86649356581721804</v>
      </c>
      <c r="I115" s="27">
        <f>I114*(Presion_cilindro!O106/Presion_cilindro!O107)^Presion_cilindro!$B$9+10*(Presion_cilindro!$B$9-1)*Presion_cilindro!$B$33*(IF(Presion_cilindro!N107&gt;(-I$4+Presion_cilindro!$B$34),1-EXP(-Presion_cilindro!$B$16*((Presion_cilindro!N107-(-I$4+Presion_cilindro!$B$34))/Presion_cilindro!$B$35)^(Presion_cilindro!$B$17+1)),0)-IF(Presion_cilindro!N106&gt;(-I$4+Presion_cilindro!$B$34),1-EXP(-Presion_cilindro!$B$16*((Presion_cilindro!N106-(-I$4+Presion_cilindro!$B$34))/Presion_cilindro!$B$35)^(Presion_cilindro!$B$17+1)),0))/((Presion_cilindro!O106+Presion_cilindro!O107)/2)</f>
        <v>0.86649356581721804</v>
      </c>
      <c r="J115" s="27">
        <f>J114*(Presion_cilindro!O106/Presion_cilindro!O107)^Presion_cilindro!$B$9+10*(Presion_cilindro!$B$9-1)*Presion_cilindro!$B$33*(IF(Presion_cilindro!N107&gt;(-J$4+Presion_cilindro!$B$34),1-EXP(-Presion_cilindro!$B$16*((Presion_cilindro!N107-(-J$4+Presion_cilindro!$B$34))/Presion_cilindro!$B$35)^(Presion_cilindro!$B$17+1)),0)-IF(Presion_cilindro!N106&gt;(-J$4+Presion_cilindro!$B$34),1-EXP(-Presion_cilindro!$B$16*((Presion_cilindro!N106-(-J$4+Presion_cilindro!$B$34))/Presion_cilindro!$B$35)^(Presion_cilindro!$B$17+1)),0))/((Presion_cilindro!O106+Presion_cilindro!O107)/2)</f>
        <v>0.86649356581721804</v>
      </c>
      <c r="K115" s="27">
        <f>K114*(Presion_cilindro!O106/Presion_cilindro!O107)^Presion_cilindro!$B$9+10*(Presion_cilindro!$B$9-1)*Presion_cilindro!$B$33*(IF(Presion_cilindro!N107&gt;(-K$4+Presion_cilindro!$B$34),1-EXP(-Presion_cilindro!$B$16*((Presion_cilindro!N107-(-K$4+Presion_cilindro!$B$34))/Presion_cilindro!$B$35)^(Presion_cilindro!$B$17+1)),0)-IF(Presion_cilindro!N106&gt;(-K$4+Presion_cilindro!$B$34),1-EXP(-Presion_cilindro!$B$16*((Presion_cilindro!N106-(-K$4+Presion_cilindro!$B$34))/Presion_cilindro!$B$35)^(Presion_cilindro!$B$17+1)),0))/((Presion_cilindro!O106+Presion_cilindro!O107)/2)</f>
        <v>0.86649356581721804</v>
      </c>
      <c r="L115" s="27">
        <f>L114*(Presion_cilindro!O106/Presion_cilindro!O107)^Presion_cilindro!$B$9+10*(Presion_cilindro!$B$9-1)*Presion_cilindro!$B$33*(IF(Presion_cilindro!N107&gt;(-L$4+Presion_cilindro!$B$34),1-EXP(-Presion_cilindro!$B$16*((Presion_cilindro!N107-(-L$4+Presion_cilindro!$B$34))/Presion_cilindro!$B$35)^(Presion_cilindro!$B$17+1)),0)-IF(Presion_cilindro!N106&gt;(-L$4+Presion_cilindro!$B$34),1-EXP(-Presion_cilindro!$B$16*((Presion_cilindro!N106-(-L$4+Presion_cilindro!$B$34))/Presion_cilindro!$B$35)^(Presion_cilindro!$B$17+1)),0))/((Presion_cilindro!O106+Presion_cilindro!O107)/2)</f>
        <v>0.86649356581721804</v>
      </c>
      <c r="M115" s="27">
        <f>M114*(Presion_cilindro!O106/Presion_cilindro!O107)^Presion_cilindro!$B$9+10*(Presion_cilindro!$B$9-1)*Presion_cilindro!$B$33*(IF(Presion_cilindro!N107&gt;(-M$4+Presion_cilindro!$B$34),1-EXP(-Presion_cilindro!$B$16*((Presion_cilindro!N107-(-M$4+Presion_cilindro!$B$34))/Presion_cilindro!$B$35)^(Presion_cilindro!$B$17+1)),0)-IF(Presion_cilindro!N106&gt;(-M$4+Presion_cilindro!$B$34),1-EXP(-Presion_cilindro!$B$16*((Presion_cilindro!N106-(-M$4+Presion_cilindro!$B$34))/Presion_cilindro!$B$35)^(Presion_cilindro!$B$17+1)),0))/((Presion_cilindro!O106+Presion_cilindro!O107)/2)</f>
        <v>0.86649356581721804</v>
      </c>
      <c r="N115" s="27">
        <f>N114*(Presion_cilindro!O106/Presion_cilindro!O107)^Presion_cilindro!$B$9+10*(Presion_cilindro!$B$9-1)*Presion_cilindro!$B$33*(IF(Presion_cilindro!N107&gt;(-N$4+Presion_cilindro!$B$34),1-EXP(-Presion_cilindro!$B$16*((Presion_cilindro!N107-(-N$4+Presion_cilindro!$B$34))/Presion_cilindro!$B$35)^(Presion_cilindro!$B$17+1)),0)-IF(Presion_cilindro!N106&gt;(-N$4+Presion_cilindro!$B$34),1-EXP(-Presion_cilindro!$B$16*((Presion_cilindro!N106-(-N$4+Presion_cilindro!$B$34))/Presion_cilindro!$B$35)^(Presion_cilindro!$B$17+1)),0))/((Presion_cilindro!O106+Presion_cilindro!O107)/2)</f>
        <v>0.86649356581721804</v>
      </c>
    </row>
    <row r="116" spans="1:14" x14ac:dyDescent="0.25">
      <c r="A116" s="21">
        <f>Presion_cilindro!N108</f>
        <v>-128</v>
      </c>
      <c r="B116" s="27">
        <f>B115*(Presion_cilindro!O107/Presion_cilindro!O108)^Presion_cilindro!$B$9+10*(Presion_cilindro!$B$9-1)*Presion_cilindro!$B$33*(IF(Presion_cilindro!N108&gt;(-B$4+Presion_cilindro!$B$34),1-EXP(-Presion_cilindro!$B$16*((Presion_cilindro!N108-(-B$4+Presion_cilindro!$B$34))/Presion_cilindro!$B$35)^(Presion_cilindro!$B$17+1)),0)-IF(Presion_cilindro!N107&gt;(-B$4+Presion_cilindro!$B$34),1-EXP(-Presion_cilindro!$B$16*((Presion_cilindro!N107-(-B$4+Presion_cilindro!$B$34))/Presion_cilindro!$B$35)^(Presion_cilindro!$B$17+1)),0))/((Presion_cilindro!O107+Presion_cilindro!O108)/2)</f>
        <v>0.86984846642622216</v>
      </c>
      <c r="C116" s="27">
        <f>C115*(Presion_cilindro!O107/Presion_cilindro!O108)^Presion_cilindro!$B$9+10*(Presion_cilindro!$B$9-1)*Presion_cilindro!$B$33*(IF(Presion_cilindro!N108&gt;(-C$4+Presion_cilindro!$B$34),1-EXP(-Presion_cilindro!$B$16*((Presion_cilindro!N108-(-C$4+Presion_cilindro!$B$34))/Presion_cilindro!$B$35)^(Presion_cilindro!$B$17+1)),0)-IF(Presion_cilindro!N107&gt;(-C$4+Presion_cilindro!$B$34),1-EXP(-Presion_cilindro!$B$16*((Presion_cilindro!N107-(-C$4+Presion_cilindro!$B$34))/Presion_cilindro!$B$35)^(Presion_cilindro!$B$17+1)),0))/((Presion_cilindro!O107+Presion_cilindro!O108)/2)</f>
        <v>0.86984846642622216</v>
      </c>
      <c r="D116" s="27">
        <f>D115*(Presion_cilindro!O107/Presion_cilindro!O108)^Presion_cilindro!$B$9+10*(Presion_cilindro!$B$9-1)*Presion_cilindro!$B$33*(IF(Presion_cilindro!N108&gt;(-D$4+Presion_cilindro!$B$34),1-EXP(-Presion_cilindro!$B$16*((Presion_cilindro!N108-(-D$4+Presion_cilindro!$B$34))/Presion_cilindro!$B$35)^(Presion_cilindro!$B$17+1)),0)-IF(Presion_cilindro!N107&gt;(-D$4+Presion_cilindro!$B$34),1-EXP(-Presion_cilindro!$B$16*((Presion_cilindro!N107-(-D$4+Presion_cilindro!$B$34))/Presion_cilindro!$B$35)^(Presion_cilindro!$B$17+1)),0))/((Presion_cilindro!O107+Presion_cilindro!O108)/2)</f>
        <v>0.86984846642622216</v>
      </c>
      <c r="E116" s="27">
        <f>E115*(Presion_cilindro!O107/Presion_cilindro!O108)^Presion_cilindro!$B$9+10*(Presion_cilindro!$B$9-1)*Presion_cilindro!$B$33*(IF(Presion_cilindro!N108&gt;(-E$4+Presion_cilindro!$B$34),1-EXP(-Presion_cilindro!$B$16*((Presion_cilindro!N108-(-E$4+Presion_cilindro!$B$34))/Presion_cilindro!$B$35)^(Presion_cilindro!$B$17+1)),0)-IF(Presion_cilindro!N107&gt;(-E$4+Presion_cilindro!$B$34),1-EXP(-Presion_cilindro!$B$16*((Presion_cilindro!N107-(-E$4+Presion_cilindro!$B$34))/Presion_cilindro!$B$35)^(Presion_cilindro!$B$17+1)),0))/((Presion_cilindro!O107+Presion_cilindro!O108)/2)</f>
        <v>0.86984846642622216</v>
      </c>
      <c r="F116" s="27">
        <f>F115*(Presion_cilindro!O107/Presion_cilindro!O108)^Presion_cilindro!$B$9+10*(Presion_cilindro!$B$9-1)*Presion_cilindro!$B$33*(IF(Presion_cilindro!N108&gt;(-F$4+Presion_cilindro!$B$34),1-EXP(-Presion_cilindro!$B$16*((Presion_cilindro!N108-(-F$4+Presion_cilindro!$B$34))/Presion_cilindro!$B$35)^(Presion_cilindro!$B$17+1)),0)-IF(Presion_cilindro!N107&gt;(-F$4+Presion_cilindro!$B$34),1-EXP(-Presion_cilindro!$B$16*((Presion_cilindro!N107-(-F$4+Presion_cilindro!$B$34))/Presion_cilindro!$B$35)^(Presion_cilindro!$B$17+1)),0))/((Presion_cilindro!O107+Presion_cilindro!O108)/2)</f>
        <v>0.86984846642622216</v>
      </c>
      <c r="G116" s="27">
        <f>G115*(Presion_cilindro!O107/Presion_cilindro!O108)^Presion_cilindro!$B$9+10*(Presion_cilindro!$B$9-1)*Presion_cilindro!$B$33*(IF(Presion_cilindro!N108&gt;(-G$4+Presion_cilindro!$B$34),1-EXP(-Presion_cilindro!$B$16*((Presion_cilindro!N108-(-G$4+Presion_cilindro!$B$34))/Presion_cilindro!$B$35)^(Presion_cilindro!$B$17+1)),0)-IF(Presion_cilindro!N107&gt;(-G$4+Presion_cilindro!$B$34),1-EXP(-Presion_cilindro!$B$16*((Presion_cilindro!N107-(-G$4+Presion_cilindro!$B$34))/Presion_cilindro!$B$35)^(Presion_cilindro!$B$17+1)),0))/((Presion_cilindro!O107+Presion_cilindro!O108)/2)</f>
        <v>0.86984846642622216</v>
      </c>
      <c r="H116" s="27">
        <f>H115*(Presion_cilindro!O107/Presion_cilindro!O108)^Presion_cilindro!$B$9+10*(Presion_cilindro!$B$9-1)*Presion_cilindro!$B$33*(IF(Presion_cilindro!N108&gt;(-H$4+Presion_cilindro!$B$34),1-EXP(-Presion_cilindro!$B$16*((Presion_cilindro!N108-(-H$4+Presion_cilindro!$B$34))/Presion_cilindro!$B$35)^(Presion_cilindro!$B$17+1)),0)-IF(Presion_cilindro!N107&gt;(-H$4+Presion_cilindro!$B$34),1-EXP(-Presion_cilindro!$B$16*((Presion_cilindro!N107-(-H$4+Presion_cilindro!$B$34))/Presion_cilindro!$B$35)^(Presion_cilindro!$B$17+1)),0))/((Presion_cilindro!O107+Presion_cilindro!O108)/2)</f>
        <v>0.86984846642622216</v>
      </c>
      <c r="I116" s="27">
        <f>I115*(Presion_cilindro!O107/Presion_cilindro!O108)^Presion_cilindro!$B$9+10*(Presion_cilindro!$B$9-1)*Presion_cilindro!$B$33*(IF(Presion_cilindro!N108&gt;(-I$4+Presion_cilindro!$B$34),1-EXP(-Presion_cilindro!$B$16*((Presion_cilindro!N108-(-I$4+Presion_cilindro!$B$34))/Presion_cilindro!$B$35)^(Presion_cilindro!$B$17+1)),0)-IF(Presion_cilindro!N107&gt;(-I$4+Presion_cilindro!$B$34),1-EXP(-Presion_cilindro!$B$16*((Presion_cilindro!N107-(-I$4+Presion_cilindro!$B$34))/Presion_cilindro!$B$35)^(Presion_cilindro!$B$17+1)),0))/((Presion_cilindro!O107+Presion_cilindro!O108)/2)</f>
        <v>0.86984846642622216</v>
      </c>
      <c r="J116" s="27">
        <f>J115*(Presion_cilindro!O107/Presion_cilindro!O108)^Presion_cilindro!$B$9+10*(Presion_cilindro!$B$9-1)*Presion_cilindro!$B$33*(IF(Presion_cilindro!N108&gt;(-J$4+Presion_cilindro!$B$34),1-EXP(-Presion_cilindro!$B$16*((Presion_cilindro!N108-(-J$4+Presion_cilindro!$B$34))/Presion_cilindro!$B$35)^(Presion_cilindro!$B$17+1)),0)-IF(Presion_cilindro!N107&gt;(-J$4+Presion_cilindro!$B$34),1-EXP(-Presion_cilindro!$B$16*((Presion_cilindro!N107-(-J$4+Presion_cilindro!$B$34))/Presion_cilindro!$B$35)^(Presion_cilindro!$B$17+1)),0))/((Presion_cilindro!O107+Presion_cilindro!O108)/2)</f>
        <v>0.86984846642622216</v>
      </c>
      <c r="K116" s="27">
        <f>K115*(Presion_cilindro!O107/Presion_cilindro!O108)^Presion_cilindro!$B$9+10*(Presion_cilindro!$B$9-1)*Presion_cilindro!$B$33*(IF(Presion_cilindro!N108&gt;(-K$4+Presion_cilindro!$B$34),1-EXP(-Presion_cilindro!$B$16*((Presion_cilindro!N108-(-K$4+Presion_cilindro!$B$34))/Presion_cilindro!$B$35)^(Presion_cilindro!$B$17+1)),0)-IF(Presion_cilindro!N107&gt;(-K$4+Presion_cilindro!$B$34),1-EXP(-Presion_cilindro!$B$16*((Presion_cilindro!N107-(-K$4+Presion_cilindro!$B$34))/Presion_cilindro!$B$35)^(Presion_cilindro!$B$17+1)),0))/((Presion_cilindro!O107+Presion_cilindro!O108)/2)</f>
        <v>0.86984846642622216</v>
      </c>
      <c r="L116" s="27">
        <f>L115*(Presion_cilindro!O107/Presion_cilindro!O108)^Presion_cilindro!$B$9+10*(Presion_cilindro!$B$9-1)*Presion_cilindro!$B$33*(IF(Presion_cilindro!N108&gt;(-L$4+Presion_cilindro!$B$34),1-EXP(-Presion_cilindro!$B$16*((Presion_cilindro!N108-(-L$4+Presion_cilindro!$B$34))/Presion_cilindro!$B$35)^(Presion_cilindro!$B$17+1)),0)-IF(Presion_cilindro!N107&gt;(-L$4+Presion_cilindro!$B$34),1-EXP(-Presion_cilindro!$B$16*((Presion_cilindro!N107-(-L$4+Presion_cilindro!$B$34))/Presion_cilindro!$B$35)^(Presion_cilindro!$B$17+1)),0))/((Presion_cilindro!O107+Presion_cilindro!O108)/2)</f>
        <v>0.86984846642622216</v>
      </c>
      <c r="M116" s="27">
        <f>M115*(Presion_cilindro!O107/Presion_cilindro!O108)^Presion_cilindro!$B$9+10*(Presion_cilindro!$B$9-1)*Presion_cilindro!$B$33*(IF(Presion_cilindro!N108&gt;(-M$4+Presion_cilindro!$B$34),1-EXP(-Presion_cilindro!$B$16*((Presion_cilindro!N108-(-M$4+Presion_cilindro!$B$34))/Presion_cilindro!$B$35)^(Presion_cilindro!$B$17+1)),0)-IF(Presion_cilindro!N107&gt;(-M$4+Presion_cilindro!$B$34),1-EXP(-Presion_cilindro!$B$16*((Presion_cilindro!N107-(-M$4+Presion_cilindro!$B$34))/Presion_cilindro!$B$35)^(Presion_cilindro!$B$17+1)),0))/((Presion_cilindro!O107+Presion_cilindro!O108)/2)</f>
        <v>0.86984846642622216</v>
      </c>
      <c r="N116" s="27">
        <f>N115*(Presion_cilindro!O107/Presion_cilindro!O108)^Presion_cilindro!$B$9+10*(Presion_cilindro!$B$9-1)*Presion_cilindro!$B$33*(IF(Presion_cilindro!N108&gt;(-N$4+Presion_cilindro!$B$34),1-EXP(-Presion_cilindro!$B$16*((Presion_cilindro!N108-(-N$4+Presion_cilindro!$B$34))/Presion_cilindro!$B$35)^(Presion_cilindro!$B$17+1)),0)-IF(Presion_cilindro!N107&gt;(-N$4+Presion_cilindro!$B$34),1-EXP(-Presion_cilindro!$B$16*((Presion_cilindro!N107-(-N$4+Presion_cilindro!$B$34))/Presion_cilindro!$B$35)^(Presion_cilindro!$B$17+1)),0))/((Presion_cilindro!O107+Presion_cilindro!O108)/2)</f>
        <v>0.86984846642622216</v>
      </c>
    </row>
    <row r="117" spans="1:14" x14ac:dyDescent="0.25">
      <c r="A117" s="21">
        <f>Presion_cilindro!N109</f>
        <v>-127.5</v>
      </c>
      <c r="B117" s="27">
        <f>B116*(Presion_cilindro!O108/Presion_cilindro!O109)^Presion_cilindro!$B$9+10*(Presion_cilindro!$B$9-1)*Presion_cilindro!$B$33*(IF(Presion_cilindro!N109&gt;(-B$4+Presion_cilindro!$B$34),1-EXP(-Presion_cilindro!$B$16*((Presion_cilindro!N109-(-B$4+Presion_cilindro!$B$34))/Presion_cilindro!$B$35)^(Presion_cilindro!$B$17+1)),0)-IF(Presion_cilindro!N108&gt;(-B$4+Presion_cilindro!$B$34),1-EXP(-Presion_cilindro!$B$16*((Presion_cilindro!N108-(-B$4+Presion_cilindro!$B$34))/Presion_cilindro!$B$35)^(Presion_cilindro!$B$17+1)),0))/((Presion_cilindro!O108+Presion_cilindro!O109)/2)</f>
        <v>0.87325751052854073</v>
      </c>
      <c r="C117" s="27">
        <f>C116*(Presion_cilindro!O108/Presion_cilindro!O109)^Presion_cilindro!$B$9+10*(Presion_cilindro!$B$9-1)*Presion_cilindro!$B$33*(IF(Presion_cilindro!N109&gt;(-C$4+Presion_cilindro!$B$34),1-EXP(-Presion_cilindro!$B$16*((Presion_cilindro!N109-(-C$4+Presion_cilindro!$B$34))/Presion_cilindro!$B$35)^(Presion_cilindro!$B$17+1)),0)-IF(Presion_cilindro!N108&gt;(-C$4+Presion_cilindro!$B$34),1-EXP(-Presion_cilindro!$B$16*((Presion_cilindro!N108-(-C$4+Presion_cilindro!$B$34))/Presion_cilindro!$B$35)^(Presion_cilindro!$B$17+1)),0))/((Presion_cilindro!O108+Presion_cilindro!O109)/2)</f>
        <v>0.87325751052854073</v>
      </c>
      <c r="D117" s="27">
        <f>D116*(Presion_cilindro!O108/Presion_cilindro!O109)^Presion_cilindro!$B$9+10*(Presion_cilindro!$B$9-1)*Presion_cilindro!$B$33*(IF(Presion_cilindro!N109&gt;(-D$4+Presion_cilindro!$B$34),1-EXP(-Presion_cilindro!$B$16*((Presion_cilindro!N109-(-D$4+Presion_cilindro!$B$34))/Presion_cilindro!$B$35)^(Presion_cilindro!$B$17+1)),0)-IF(Presion_cilindro!N108&gt;(-D$4+Presion_cilindro!$B$34),1-EXP(-Presion_cilindro!$B$16*((Presion_cilindro!N108-(-D$4+Presion_cilindro!$B$34))/Presion_cilindro!$B$35)^(Presion_cilindro!$B$17+1)),0))/((Presion_cilindro!O108+Presion_cilindro!O109)/2)</f>
        <v>0.87325751052854073</v>
      </c>
      <c r="E117" s="27">
        <f>E116*(Presion_cilindro!O108/Presion_cilindro!O109)^Presion_cilindro!$B$9+10*(Presion_cilindro!$B$9-1)*Presion_cilindro!$B$33*(IF(Presion_cilindro!N109&gt;(-E$4+Presion_cilindro!$B$34),1-EXP(-Presion_cilindro!$B$16*((Presion_cilindro!N109-(-E$4+Presion_cilindro!$B$34))/Presion_cilindro!$B$35)^(Presion_cilindro!$B$17+1)),0)-IF(Presion_cilindro!N108&gt;(-E$4+Presion_cilindro!$B$34),1-EXP(-Presion_cilindro!$B$16*((Presion_cilindro!N108-(-E$4+Presion_cilindro!$B$34))/Presion_cilindro!$B$35)^(Presion_cilindro!$B$17+1)),0))/((Presion_cilindro!O108+Presion_cilindro!O109)/2)</f>
        <v>0.87325751052854073</v>
      </c>
      <c r="F117" s="27">
        <f>F116*(Presion_cilindro!O108/Presion_cilindro!O109)^Presion_cilindro!$B$9+10*(Presion_cilindro!$B$9-1)*Presion_cilindro!$B$33*(IF(Presion_cilindro!N109&gt;(-F$4+Presion_cilindro!$B$34),1-EXP(-Presion_cilindro!$B$16*((Presion_cilindro!N109-(-F$4+Presion_cilindro!$B$34))/Presion_cilindro!$B$35)^(Presion_cilindro!$B$17+1)),0)-IF(Presion_cilindro!N108&gt;(-F$4+Presion_cilindro!$B$34),1-EXP(-Presion_cilindro!$B$16*((Presion_cilindro!N108-(-F$4+Presion_cilindro!$B$34))/Presion_cilindro!$B$35)^(Presion_cilindro!$B$17+1)),0))/((Presion_cilindro!O108+Presion_cilindro!O109)/2)</f>
        <v>0.87325751052854073</v>
      </c>
      <c r="G117" s="27">
        <f>G116*(Presion_cilindro!O108/Presion_cilindro!O109)^Presion_cilindro!$B$9+10*(Presion_cilindro!$B$9-1)*Presion_cilindro!$B$33*(IF(Presion_cilindro!N109&gt;(-G$4+Presion_cilindro!$B$34),1-EXP(-Presion_cilindro!$B$16*((Presion_cilindro!N109-(-G$4+Presion_cilindro!$B$34))/Presion_cilindro!$B$35)^(Presion_cilindro!$B$17+1)),0)-IF(Presion_cilindro!N108&gt;(-G$4+Presion_cilindro!$B$34),1-EXP(-Presion_cilindro!$B$16*((Presion_cilindro!N108-(-G$4+Presion_cilindro!$B$34))/Presion_cilindro!$B$35)^(Presion_cilindro!$B$17+1)),0))/((Presion_cilindro!O108+Presion_cilindro!O109)/2)</f>
        <v>0.87325751052854073</v>
      </c>
      <c r="H117" s="27">
        <f>H116*(Presion_cilindro!O108/Presion_cilindro!O109)^Presion_cilindro!$B$9+10*(Presion_cilindro!$B$9-1)*Presion_cilindro!$B$33*(IF(Presion_cilindro!N109&gt;(-H$4+Presion_cilindro!$B$34),1-EXP(-Presion_cilindro!$B$16*((Presion_cilindro!N109-(-H$4+Presion_cilindro!$B$34))/Presion_cilindro!$B$35)^(Presion_cilindro!$B$17+1)),0)-IF(Presion_cilindro!N108&gt;(-H$4+Presion_cilindro!$B$34),1-EXP(-Presion_cilindro!$B$16*((Presion_cilindro!N108-(-H$4+Presion_cilindro!$B$34))/Presion_cilindro!$B$35)^(Presion_cilindro!$B$17+1)),0))/((Presion_cilindro!O108+Presion_cilindro!O109)/2)</f>
        <v>0.87325751052854073</v>
      </c>
      <c r="I117" s="27">
        <f>I116*(Presion_cilindro!O108/Presion_cilindro!O109)^Presion_cilindro!$B$9+10*(Presion_cilindro!$B$9-1)*Presion_cilindro!$B$33*(IF(Presion_cilindro!N109&gt;(-I$4+Presion_cilindro!$B$34),1-EXP(-Presion_cilindro!$B$16*((Presion_cilindro!N109-(-I$4+Presion_cilindro!$B$34))/Presion_cilindro!$B$35)^(Presion_cilindro!$B$17+1)),0)-IF(Presion_cilindro!N108&gt;(-I$4+Presion_cilindro!$B$34),1-EXP(-Presion_cilindro!$B$16*((Presion_cilindro!N108-(-I$4+Presion_cilindro!$B$34))/Presion_cilindro!$B$35)^(Presion_cilindro!$B$17+1)),0))/((Presion_cilindro!O108+Presion_cilindro!O109)/2)</f>
        <v>0.87325751052854073</v>
      </c>
      <c r="J117" s="27">
        <f>J116*(Presion_cilindro!O108/Presion_cilindro!O109)^Presion_cilindro!$B$9+10*(Presion_cilindro!$B$9-1)*Presion_cilindro!$B$33*(IF(Presion_cilindro!N109&gt;(-J$4+Presion_cilindro!$B$34),1-EXP(-Presion_cilindro!$B$16*((Presion_cilindro!N109-(-J$4+Presion_cilindro!$B$34))/Presion_cilindro!$B$35)^(Presion_cilindro!$B$17+1)),0)-IF(Presion_cilindro!N108&gt;(-J$4+Presion_cilindro!$B$34),1-EXP(-Presion_cilindro!$B$16*((Presion_cilindro!N108-(-J$4+Presion_cilindro!$B$34))/Presion_cilindro!$B$35)^(Presion_cilindro!$B$17+1)),0))/((Presion_cilindro!O108+Presion_cilindro!O109)/2)</f>
        <v>0.87325751052854073</v>
      </c>
      <c r="K117" s="27">
        <f>K116*(Presion_cilindro!O108/Presion_cilindro!O109)^Presion_cilindro!$B$9+10*(Presion_cilindro!$B$9-1)*Presion_cilindro!$B$33*(IF(Presion_cilindro!N109&gt;(-K$4+Presion_cilindro!$B$34),1-EXP(-Presion_cilindro!$B$16*((Presion_cilindro!N109-(-K$4+Presion_cilindro!$B$34))/Presion_cilindro!$B$35)^(Presion_cilindro!$B$17+1)),0)-IF(Presion_cilindro!N108&gt;(-K$4+Presion_cilindro!$B$34),1-EXP(-Presion_cilindro!$B$16*((Presion_cilindro!N108-(-K$4+Presion_cilindro!$B$34))/Presion_cilindro!$B$35)^(Presion_cilindro!$B$17+1)),0))/((Presion_cilindro!O108+Presion_cilindro!O109)/2)</f>
        <v>0.87325751052854073</v>
      </c>
      <c r="L117" s="27">
        <f>L116*(Presion_cilindro!O108/Presion_cilindro!O109)^Presion_cilindro!$B$9+10*(Presion_cilindro!$B$9-1)*Presion_cilindro!$B$33*(IF(Presion_cilindro!N109&gt;(-L$4+Presion_cilindro!$B$34),1-EXP(-Presion_cilindro!$B$16*((Presion_cilindro!N109-(-L$4+Presion_cilindro!$B$34))/Presion_cilindro!$B$35)^(Presion_cilindro!$B$17+1)),0)-IF(Presion_cilindro!N108&gt;(-L$4+Presion_cilindro!$B$34),1-EXP(-Presion_cilindro!$B$16*((Presion_cilindro!N108-(-L$4+Presion_cilindro!$B$34))/Presion_cilindro!$B$35)^(Presion_cilindro!$B$17+1)),0))/((Presion_cilindro!O108+Presion_cilindro!O109)/2)</f>
        <v>0.87325751052854073</v>
      </c>
      <c r="M117" s="27">
        <f>M116*(Presion_cilindro!O108/Presion_cilindro!O109)^Presion_cilindro!$B$9+10*(Presion_cilindro!$B$9-1)*Presion_cilindro!$B$33*(IF(Presion_cilindro!N109&gt;(-M$4+Presion_cilindro!$B$34),1-EXP(-Presion_cilindro!$B$16*((Presion_cilindro!N109-(-M$4+Presion_cilindro!$B$34))/Presion_cilindro!$B$35)^(Presion_cilindro!$B$17+1)),0)-IF(Presion_cilindro!N108&gt;(-M$4+Presion_cilindro!$B$34),1-EXP(-Presion_cilindro!$B$16*((Presion_cilindro!N108-(-M$4+Presion_cilindro!$B$34))/Presion_cilindro!$B$35)^(Presion_cilindro!$B$17+1)),0))/((Presion_cilindro!O108+Presion_cilindro!O109)/2)</f>
        <v>0.87325751052854073</v>
      </c>
      <c r="N117" s="27">
        <f>N116*(Presion_cilindro!O108/Presion_cilindro!O109)^Presion_cilindro!$B$9+10*(Presion_cilindro!$B$9-1)*Presion_cilindro!$B$33*(IF(Presion_cilindro!N109&gt;(-N$4+Presion_cilindro!$B$34),1-EXP(-Presion_cilindro!$B$16*((Presion_cilindro!N109-(-N$4+Presion_cilindro!$B$34))/Presion_cilindro!$B$35)^(Presion_cilindro!$B$17+1)),0)-IF(Presion_cilindro!N108&gt;(-N$4+Presion_cilindro!$B$34),1-EXP(-Presion_cilindro!$B$16*((Presion_cilindro!N108-(-N$4+Presion_cilindro!$B$34))/Presion_cilindro!$B$35)^(Presion_cilindro!$B$17+1)),0))/((Presion_cilindro!O108+Presion_cilindro!O109)/2)</f>
        <v>0.87325751052854073</v>
      </c>
    </row>
    <row r="118" spans="1:14" x14ac:dyDescent="0.25">
      <c r="A118" s="21">
        <f>Presion_cilindro!N110</f>
        <v>-127</v>
      </c>
      <c r="B118" s="27">
        <f>B117*(Presion_cilindro!O109/Presion_cilindro!O110)^Presion_cilindro!$B$9+10*(Presion_cilindro!$B$9-1)*Presion_cilindro!$B$33*(IF(Presion_cilindro!N110&gt;(-B$4+Presion_cilindro!$B$34),1-EXP(-Presion_cilindro!$B$16*((Presion_cilindro!N110-(-B$4+Presion_cilindro!$B$34))/Presion_cilindro!$B$35)^(Presion_cilindro!$B$17+1)),0)-IF(Presion_cilindro!N109&gt;(-B$4+Presion_cilindro!$B$34),1-EXP(-Presion_cilindro!$B$16*((Presion_cilindro!N109-(-B$4+Presion_cilindro!$B$34))/Presion_cilindro!$B$35)^(Presion_cilindro!$B$17+1)),0))/((Presion_cilindro!O109+Presion_cilindro!O110)/2)</f>
        <v>0.87672148197004651</v>
      </c>
      <c r="C118" s="27">
        <f>C117*(Presion_cilindro!O109/Presion_cilindro!O110)^Presion_cilindro!$B$9+10*(Presion_cilindro!$B$9-1)*Presion_cilindro!$B$33*(IF(Presion_cilindro!N110&gt;(-C$4+Presion_cilindro!$B$34),1-EXP(-Presion_cilindro!$B$16*((Presion_cilindro!N110-(-C$4+Presion_cilindro!$B$34))/Presion_cilindro!$B$35)^(Presion_cilindro!$B$17+1)),0)-IF(Presion_cilindro!N109&gt;(-C$4+Presion_cilindro!$B$34),1-EXP(-Presion_cilindro!$B$16*((Presion_cilindro!N109-(-C$4+Presion_cilindro!$B$34))/Presion_cilindro!$B$35)^(Presion_cilindro!$B$17+1)),0))/((Presion_cilindro!O109+Presion_cilindro!O110)/2)</f>
        <v>0.87672148197004651</v>
      </c>
      <c r="D118" s="27">
        <f>D117*(Presion_cilindro!O109/Presion_cilindro!O110)^Presion_cilindro!$B$9+10*(Presion_cilindro!$B$9-1)*Presion_cilindro!$B$33*(IF(Presion_cilindro!N110&gt;(-D$4+Presion_cilindro!$B$34),1-EXP(-Presion_cilindro!$B$16*((Presion_cilindro!N110-(-D$4+Presion_cilindro!$B$34))/Presion_cilindro!$B$35)^(Presion_cilindro!$B$17+1)),0)-IF(Presion_cilindro!N109&gt;(-D$4+Presion_cilindro!$B$34),1-EXP(-Presion_cilindro!$B$16*((Presion_cilindro!N109-(-D$4+Presion_cilindro!$B$34))/Presion_cilindro!$B$35)^(Presion_cilindro!$B$17+1)),0))/((Presion_cilindro!O109+Presion_cilindro!O110)/2)</f>
        <v>0.87672148197004651</v>
      </c>
      <c r="E118" s="27">
        <f>E117*(Presion_cilindro!O109/Presion_cilindro!O110)^Presion_cilindro!$B$9+10*(Presion_cilindro!$B$9-1)*Presion_cilindro!$B$33*(IF(Presion_cilindro!N110&gt;(-E$4+Presion_cilindro!$B$34),1-EXP(-Presion_cilindro!$B$16*((Presion_cilindro!N110-(-E$4+Presion_cilindro!$B$34))/Presion_cilindro!$B$35)^(Presion_cilindro!$B$17+1)),0)-IF(Presion_cilindro!N109&gt;(-E$4+Presion_cilindro!$B$34),1-EXP(-Presion_cilindro!$B$16*((Presion_cilindro!N109-(-E$4+Presion_cilindro!$B$34))/Presion_cilindro!$B$35)^(Presion_cilindro!$B$17+1)),0))/((Presion_cilindro!O109+Presion_cilindro!O110)/2)</f>
        <v>0.87672148197004651</v>
      </c>
      <c r="F118" s="27">
        <f>F117*(Presion_cilindro!O109/Presion_cilindro!O110)^Presion_cilindro!$B$9+10*(Presion_cilindro!$B$9-1)*Presion_cilindro!$B$33*(IF(Presion_cilindro!N110&gt;(-F$4+Presion_cilindro!$B$34),1-EXP(-Presion_cilindro!$B$16*((Presion_cilindro!N110-(-F$4+Presion_cilindro!$B$34))/Presion_cilindro!$B$35)^(Presion_cilindro!$B$17+1)),0)-IF(Presion_cilindro!N109&gt;(-F$4+Presion_cilindro!$B$34),1-EXP(-Presion_cilindro!$B$16*((Presion_cilindro!N109-(-F$4+Presion_cilindro!$B$34))/Presion_cilindro!$B$35)^(Presion_cilindro!$B$17+1)),0))/((Presion_cilindro!O109+Presion_cilindro!O110)/2)</f>
        <v>0.87672148197004651</v>
      </c>
      <c r="G118" s="27">
        <f>G117*(Presion_cilindro!O109/Presion_cilindro!O110)^Presion_cilindro!$B$9+10*(Presion_cilindro!$B$9-1)*Presion_cilindro!$B$33*(IF(Presion_cilindro!N110&gt;(-G$4+Presion_cilindro!$B$34),1-EXP(-Presion_cilindro!$B$16*((Presion_cilindro!N110-(-G$4+Presion_cilindro!$B$34))/Presion_cilindro!$B$35)^(Presion_cilindro!$B$17+1)),0)-IF(Presion_cilindro!N109&gt;(-G$4+Presion_cilindro!$B$34),1-EXP(-Presion_cilindro!$B$16*((Presion_cilindro!N109-(-G$4+Presion_cilindro!$B$34))/Presion_cilindro!$B$35)^(Presion_cilindro!$B$17+1)),0))/((Presion_cilindro!O109+Presion_cilindro!O110)/2)</f>
        <v>0.87672148197004651</v>
      </c>
      <c r="H118" s="27">
        <f>H117*(Presion_cilindro!O109/Presion_cilindro!O110)^Presion_cilindro!$B$9+10*(Presion_cilindro!$B$9-1)*Presion_cilindro!$B$33*(IF(Presion_cilindro!N110&gt;(-H$4+Presion_cilindro!$B$34),1-EXP(-Presion_cilindro!$B$16*((Presion_cilindro!N110-(-H$4+Presion_cilindro!$B$34))/Presion_cilindro!$B$35)^(Presion_cilindro!$B$17+1)),0)-IF(Presion_cilindro!N109&gt;(-H$4+Presion_cilindro!$B$34),1-EXP(-Presion_cilindro!$B$16*((Presion_cilindro!N109-(-H$4+Presion_cilindro!$B$34))/Presion_cilindro!$B$35)^(Presion_cilindro!$B$17+1)),0))/((Presion_cilindro!O109+Presion_cilindro!O110)/2)</f>
        <v>0.87672148197004651</v>
      </c>
      <c r="I118" s="27">
        <f>I117*(Presion_cilindro!O109/Presion_cilindro!O110)^Presion_cilindro!$B$9+10*(Presion_cilindro!$B$9-1)*Presion_cilindro!$B$33*(IF(Presion_cilindro!N110&gt;(-I$4+Presion_cilindro!$B$34),1-EXP(-Presion_cilindro!$B$16*((Presion_cilindro!N110-(-I$4+Presion_cilindro!$B$34))/Presion_cilindro!$B$35)^(Presion_cilindro!$B$17+1)),0)-IF(Presion_cilindro!N109&gt;(-I$4+Presion_cilindro!$B$34),1-EXP(-Presion_cilindro!$B$16*((Presion_cilindro!N109-(-I$4+Presion_cilindro!$B$34))/Presion_cilindro!$B$35)^(Presion_cilindro!$B$17+1)),0))/((Presion_cilindro!O109+Presion_cilindro!O110)/2)</f>
        <v>0.87672148197004651</v>
      </c>
      <c r="J118" s="27">
        <f>J117*(Presion_cilindro!O109/Presion_cilindro!O110)^Presion_cilindro!$B$9+10*(Presion_cilindro!$B$9-1)*Presion_cilindro!$B$33*(IF(Presion_cilindro!N110&gt;(-J$4+Presion_cilindro!$B$34),1-EXP(-Presion_cilindro!$B$16*((Presion_cilindro!N110-(-J$4+Presion_cilindro!$B$34))/Presion_cilindro!$B$35)^(Presion_cilindro!$B$17+1)),0)-IF(Presion_cilindro!N109&gt;(-J$4+Presion_cilindro!$B$34),1-EXP(-Presion_cilindro!$B$16*((Presion_cilindro!N109-(-J$4+Presion_cilindro!$B$34))/Presion_cilindro!$B$35)^(Presion_cilindro!$B$17+1)),0))/((Presion_cilindro!O109+Presion_cilindro!O110)/2)</f>
        <v>0.87672148197004651</v>
      </c>
      <c r="K118" s="27">
        <f>K117*(Presion_cilindro!O109/Presion_cilindro!O110)^Presion_cilindro!$B$9+10*(Presion_cilindro!$B$9-1)*Presion_cilindro!$B$33*(IF(Presion_cilindro!N110&gt;(-K$4+Presion_cilindro!$B$34),1-EXP(-Presion_cilindro!$B$16*((Presion_cilindro!N110-(-K$4+Presion_cilindro!$B$34))/Presion_cilindro!$B$35)^(Presion_cilindro!$B$17+1)),0)-IF(Presion_cilindro!N109&gt;(-K$4+Presion_cilindro!$B$34),1-EXP(-Presion_cilindro!$B$16*((Presion_cilindro!N109-(-K$4+Presion_cilindro!$B$34))/Presion_cilindro!$B$35)^(Presion_cilindro!$B$17+1)),0))/((Presion_cilindro!O109+Presion_cilindro!O110)/2)</f>
        <v>0.87672148197004651</v>
      </c>
      <c r="L118" s="27">
        <f>L117*(Presion_cilindro!O109/Presion_cilindro!O110)^Presion_cilindro!$B$9+10*(Presion_cilindro!$B$9-1)*Presion_cilindro!$B$33*(IF(Presion_cilindro!N110&gt;(-L$4+Presion_cilindro!$B$34),1-EXP(-Presion_cilindro!$B$16*((Presion_cilindro!N110-(-L$4+Presion_cilindro!$B$34))/Presion_cilindro!$B$35)^(Presion_cilindro!$B$17+1)),0)-IF(Presion_cilindro!N109&gt;(-L$4+Presion_cilindro!$B$34),1-EXP(-Presion_cilindro!$B$16*((Presion_cilindro!N109-(-L$4+Presion_cilindro!$B$34))/Presion_cilindro!$B$35)^(Presion_cilindro!$B$17+1)),0))/((Presion_cilindro!O109+Presion_cilindro!O110)/2)</f>
        <v>0.87672148197004651</v>
      </c>
      <c r="M118" s="27">
        <f>M117*(Presion_cilindro!O109/Presion_cilindro!O110)^Presion_cilindro!$B$9+10*(Presion_cilindro!$B$9-1)*Presion_cilindro!$B$33*(IF(Presion_cilindro!N110&gt;(-M$4+Presion_cilindro!$B$34),1-EXP(-Presion_cilindro!$B$16*((Presion_cilindro!N110-(-M$4+Presion_cilindro!$B$34))/Presion_cilindro!$B$35)^(Presion_cilindro!$B$17+1)),0)-IF(Presion_cilindro!N109&gt;(-M$4+Presion_cilindro!$B$34),1-EXP(-Presion_cilindro!$B$16*((Presion_cilindro!N109-(-M$4+Presion_cilindro!$B$34))/Presion_cilindro!$B$35)^(Presion_cilindro!$B$17+1)),0))/((Presion_cilindro!O109+Presion_cilindro!O110)/2)</f>
        <v>0.87672148197004651</v>
      </c>
      <c r="N118" s="27">
        <f>N117*(Presion_cilindro!O109/Presion_cilindro!O110)^Presion_cilindro!$B$9+10*(Presion_cilindro!$B$9-1)*Presion_cilindro!$B$33*(IF(Presion_cilindro!N110&gt;(-N$4+Presion_cilindro!$B$34),1-EXP(-Presion_cilindro!$B$16*((Presion_cilindro!N110-(-N$4+Presion_cilindro!$B$34))/Presion_cilindro!$B$35)^(Presion_cilindro!$B$17+1)),0)-IF(Presion_cilindro!N109&gt;(-N$4+Presion_cilindro!$B$34),1-EXP(-Presion_cilindro!$B$16*((Presion_cilindro!N109-(-N$4+Presion_cilindro!$B$34))/Presion_cilindro!$B$35)^(Presion_cilindro!$B$17+1)),0))/((Presion_cilindro!O109+Presion_cilindro!O110)/2)</f>
        <v>0.87672148197004651</v>
      </c>
    </row>
    <row r="119" spans="1:14" x14ac:dyDescent="0.25">
      <c r="A119" s="21">
        <f>Presion_cilindro!N111</f>
        <v>-126.5</v>
      </c>
      <c r="B119" s="27">
        <f>B118*(Presion_cilindro!O110/Presion_cilindro!O111)^Presion_cilindro!$B$9+10*(Presion_cilindro!$B$9-1)*Presion_cilindro!$B$33*(IF(Presion_cilindro!N111&gt;(-B$4+Presion_cilindro!$B$34),1-EXP(-Presion_cilindro!$B$16*((Presion_cilindro!N111-(-B$4+Presion_cilindro!$B$34))/Presion_cilindro!$B$35)^(Presion_cilindro!$B$17+1)),0)-IF(Presion_cilindro!N110&gt;(-B$4+Presion_cilindro!$B$34),1-EXP(-Presion_cilindro!$B$16*((Presion_cilindro!N110-(-B$4+Presion_cilindro!$B$34))/Presion_cilindro!$B$35)^(Presion_cilindro!$B$17+1)),0))/((Presion_cilindro!O110+Presion_cilindro!O111)/2)</f>
        <v>0.88024118089972236</v>
      </c>
      <c r="C119" s="27">
        <f>C118*(Presion_cilindro!O110/Presion_cilindro!O111)^Presion_cilindro!$B$9+10*(Presion_cilindro!$B$9-1)*Presion_cilindro!$B$33*(IF(Presion_cilindro!N111&gt;(-C$4+Presion_cilindro!$B$34),1-EXP(-Presion_cilindro!$B$16*((Presion_cilindro!N111-(-C$4+Presion_cilindro!$B$34))/Presion_cilindro!$B$35)^(Presion_cilindro!$B$17+1)),0)-IF(Presion_cilindro!N110&gt;(-C$4+Presion_cilindro!$B$34),1-EXP(-Presion_cilindro!$B$16*((Presion_cilindro!N110-(-C$4+Presion_cilindro!$B$34))/Presion_cilindro!$B$35)^(Presion_cilindro!$B$17+1)),0))/((Presion_cilindro!O110+Presion_cilindro!O111)/2)</f>
        <v>0.88024118089972236</v>
      </c>
      <c r="D119" s="27">
        <f>D118*(Presion_cilindro!O110/Presion_cilindro!O111)^Presion_cilindro!$B$9+10*(Presion_cilindro!$B$9-1)*Presion_cilindro!$B$33*(IF(Presion_cilindro!N111&gt;(-D$4+Presion_cilindro!$B$34),1-EXP(-Presion_cilindro!$B$16*((Presion_cilindro!N111-(-D$4+Presion_cilindro!$B$34))/Presion_cilindro!$B$35)^(Presion_cilindro!$B$17+1)),0)-IF(Presion_cilindro!N110&gt;(-D$4+Presion_cilindro!$B$34),1-EXP(-Presion_cilindro!$B$16*((Presion_cilindro!N110-(-D$4+Presion_cilindro!$B$34))/Presion_cilindro!$B$35)^(Presion_cilindro!$B$17+1)),0))/((Presion_cilindro!O110+Presion_cilindro!O111)/2)</f>
        <v>0.88024118089972236</v>
      </c>
      <c r="E119" s="27">
        <f>E118*(Presion_cilindro!O110/Presion_cilindro!O111)^Presion_cilindro!$B$9+10*(Presion_cilindro!$B$9-1)*Presion_cilindro!$B$33*(IF(Presion_cilindro!N111&gt;(-E$4+Presion_cilindro!$B$34),1-EXP(-Presion_cilindro!$B$16*((Presion_cilindro!N111-(-E$4+Presion_cilindro!$B$34))/Presion_cilindro!$B$35)^(Presion_cilindro!$B$17+1)),0)-IF(Presion_cilindro!N110&gt;(-E$4+Presion_cilindro!$B$34),1-EXP(-Presion_cilindro!$B$16*((Presion_cilindro!N110-(-E$4+Presion_cilindro!$B$34))/Presion_cilindro!$B$35)^(Presion_cilindro!$B$17+1)),0))/((Presion_cilindro!O110+Presion_cilindro!O111)/2)</f>
        <v>0.88024118089972236</v>
      </c>
      <c r="F119" s="27">
        <f>F118*(Presion_cilindro!O110/Presion_cilindro!O111)^Presion_cilindro!$B$9+10*(Presion_cilindro!$B$9-1)*Presion_cilindro!$B$33*(IF(Presion_cilindro!N111&gt;(-F$4+Presion_cilindro!$B$34),1-EXP(-Presion_cilindro!$B$16*((Presion_cilindro!N111-(-F$4+Presion_cilindro!$B$34))/Presion_cilindro!$B$35)^(Presion_cilindro!$B$17+1)),0)-IF(Presion_cilindro!N110&gt;(-F$4+Presion_cilindro!$B$34),1-EXP(-Presion_cilindro!$B$16*((Presion_cilindro!N110-(-F$4+Presion_cilindro!$B$34))/Presion_cilindro!$B$35)^(Presion_cilindro!$B$17+1)),0))/((Presion_cilindro!O110+Presion_cilindro!O111)/2)</f>
        <v>0.88024118089972236</v>
      </c>
      <c r="G119" s="27">
        <f>G118*(Presion_cilindro!O110/Presion_cilindro!O111)^Presion_cilindro!$B$9+10*(Presion_cilindro!$B$9-1)*Presion_cilindro!$B$33*(IF(Presion_cilindro!N111&gt;(-G$4+Presion_cilindro!$B$34),1-EXP(-Presion_cilindro!$B$16*((Presion_cilindro!N111-(-G$4+Presion_cilindro!$B$34))/Presion_cilindro!$B$35)^(Presion_cilindro!$B$17+1)),0)-IF(Presion_cilindro!N110&gt;(-G$4+Presion_cilindro!$B$34),1-EXP(-Presion_cilindro!$B$16*((Presion_cilindro!N110-(-G$4+Presion_cilindro!$B$34))/Presion_cilindro!$B$35)^(Presion_cilindro!$B$17+1)),0))/((Presion_cilindro!O110+Presion_cilindro!O111)/2)</f>
        <v>0.88024118089972236</v>
      </c>
      <c r="H119" s="27">
        <f>H118*(Presion_cilindro!O110/Presion_cilindro!O111)^Presion_cilindro!$B$9+10*(Presion_cilindro!$B$9-1)*Presion_cilindro!$B$33*(IF(Presion_cilindro!N111&gt;(-H$4+Presion_cilindro!$B$34),1-EXP(-Presion_cilindro!$B$16*((Presion_cilindro!N111-(-H$4+Presion_cilindro!$B$34))/Presion_cilindro!$B$35)^(Presion_cilindro!$B$17+1)),0)-IF(Presion_cilindro!N110&gt;(-H$4+Presion_cilindro!$B$34),1-EXP(-Presion_cilindro!$B$16*((Presion_cilindro!N110-(-H$4+Presion_cilindro!$B$34))/Presion_cilindro!$B$35)^(Presion_cilindro!$B$17+1)),0))/((Presion_cilindro!O110+Presion_cilindro!O111)/2)</f>
        <v>0.88024118089972236</v>
      </c>
      <c r="I119" s="27">
        <f>I118*(Presion_cilindro!O110/Presion_cilindro!O111)^Presion_cilindro!$B$9+10*(Presion_cilindro!$B$9-1)*Presion_cilindro!$B$33*(IF(Presion_cilindro!N111&gt;(-I$4+Presion_cilindro!$B$34),1-EXP(-Presion_cilindro!$B$16*((Presion_cilindro!N111-(-I$4+Presion_cilindro!$B$34))/Presion_cilindro!$B$35)^(Presion_cilindro!$B$17+1)),0)-IF(Presion_cilindro!N110&gt;(-I$4+Presion_cilindro!$B$34),1-EXP(-Presion_cilindro!$B$16*((Presion_cilindro!N110-(-I$4+Presion_cilindro!$B$34))/Presion_cilindro!$B$35)^(Presion_cilindro!$B$17+1)),0))/((Presion_cilindro!O110+Presion_cilindro!O111)/2)</f>
        <v>0.88024118089972236</v>
      </c>
      <c r="J119" s="27">
        <f>J118*(Presion_cilindro!O110/Presion_cilindro!O111)^Presion_cilindro!$B$9+10*(Presion_cilindro!$B$9-1)*Presion_cilindro!$B$33*(IF(Presion_cilindro!N111&gt;(-J$4+Presion_cilindro!$B$34),1-EXP(-Presion_cilindro!$B$16*((Presion_cilindro!N111-(-J$4+Presion_cilindro!$B$34))/Presion_cilindro!$B$35)^(Presion_cilindro!$B$17+1)),0)-IF(Presion_cilindro!N110&gt;(-J$4+Presion_cilindro!$B$34),1-EXP(-Presion_cilindro!$B$16*((Presion_cilindro!N110-(-J$4+Presion_cilindro!$B$34))/Presion_cilindro!$B$35)^(Presion_cilindro!$B$17+1)),0))/((Presion_cilindro!O110+Presion_cilindro!O111)/2)</f>
        <v>0.88024118089972236</v>
      </c>
      <c r="K119" s="27">
        <f>K118*(Presion_cilindro!O110/Presion_cilindro!O111)^Presion_cilindro!$B$9+10*(Presion_cilindro!$B$9-1)*Presion_cilindro!$B$33*(IF(Presion_cilindro!N111&gt;(-K$4+Presion_cilindro!$B$34),1-EXP(-Presion_cilindro!$B$16*((Presion_cilindro!N111-(-K$4+Presion_cilindro!$B$34))/Presion_cilindro!$B$35)^(Presion_cilindro!$B$17+1)),0)-IF(Presion_cilindro!N110&gt;(-K$4+Presion_cilindro!$B$34),1-EXP(-Presion_cilindro!$B$16*((Presion_cilindro!N110-(-K$4+Presion_cilindro!$B$34))/Presion_cilindro!$B$35)^(Presion_cilindro!$B$17+1)),0))/((Presion_cilindro!O110+Presion_cilindro!O111)/2)</f>
        <v>0.88024118089972236</v>
      </c>
      <c r="L119" s="27">
        <f>L118*(Presion_cilindro!O110/Presion_cilindro!O111)^Presion_cilindro!$B$9+10*(Presion_cilindro!$B$9-1)*Presion_cilindro!$B$33*(IF(Presion_cilindro!N111&gt;(-L$4+Presion_cilindro!$B$34),1-EXP(-Presion_cilindro!$B$16*((Presion_cilindro!N111-(-L$4+Presion_cilindro!$B$34))/Presion_cilindro!$B$35)^(Presion_cilindro!$B$17+1)),0)-IF(Presion_cilindro!N110&gt;(-L$4+Presion_cilindro!$B$34),1-EXP(-Presion_cilindro!$B$16*((Presion_cilindro!N110-(-L$4+Presion_cilindro!$B$34))/Presion_cilindro!$B$35)^(Presion_cilindro!$B$17+1)),0))/((Presion_cilindro!O110+Presion_cilindro!O111)/2)</f>
        <v>0.88024118089972236</v>
      </c>
      <c r="M119" s="27">
        <f>M118*(Presion_cilindro!O110/Presion_cilindro!O111)^Presion_cilindro!$B$9+10*(Presion_cilindro!$B$9-1)*Presion_cilindro!$B$33*(IF(Presion_cilindro!N111&gt;(-M$4+Presion_cilindro!$B$34),1-EXP(-Presion_cilindro!$B$16*((Presion_cilindro!N111-(-M$4+Presion_cilindro!$B$34))/Presion_cilindro!$B$35)^(Presion_cilindro!$B$17+1)),0)-IF(Presion_cilindro!N110&gt;(-M$4+Presion_cilindro!$B$34),1-EXP(-Presion_cilindro!$B$16*((Presion_cilindro!N110-(-M$4+Presion_cilindro!$B$34))/Presion_cilindro!$B$35)^(Presion_cilindro!$B$17+1)),0))/((Presion_cilindro!O110+Presion_cilindro!O111)/2)</f>
        <v>0.88024118089972236</v>
      </c>
      <c r="N119" s="27">
        <f>N118*(Presion_cilindro!O110/Presion_cilindro!O111)^Presion_cilindro!$B$9+10*(Presion_cilindro!$B$9-1)*Presion_cilindro!$B$33*(IF(Presion_cilindro!N111&gt;(-N$4+Presion_cilindro!$B$34),1-EXP(-Presion_cilindro!$B$16*((Presion_cilindro!N111-(-N$4+Presion_cilindro!$B$34))/Presion_cilindro!$B$35)^(Presion_cilindro!$B$17+1)),0)-IF(Presion_cilindro!N110&gt;(-N$4+Presion_cilindro!$B$34),1-EXP(-Presion_cilindro!$B$16*((Presion_cilindro!N110-(-N$4+Presion_cilindro!$B$34))/Presion_cilindro!$B$35)^(Presion_cilindro!$B$17+1)),0))/((Presion_cilindro!O110+Presion_cilindro!O111)/2)</f>
        <v>0.88024118089972236</v>
      </c>
    </row>
    <row r="120" spans="1:14" x14ac:dyDescent="0.25">
      <c r="A120" s="21">
        <f>Presion_cilindro!N112</f>
        <v>-126</v>
      </c>
      <c r="B120" s="27">
        <f>B119*(Presion_cilindro!O111/Presion_cilindro!O112)^Presion_cilindro!$B$9+10*(Presion_cilindro!$B$9-1)*Presion_cilindro!$B$33*(IF(Presion_cilindro!N112&gt;(-B$4+Presion_cilindro!$B$34),1-EXP(-Presion_cilindro!$B$16*((Presion_cilindro!N112-(-B$4+Presion_cilindro!$B$34))/Presion_cilindro!$B$35)^(Presion_cilindro!$B$17+1)),0)-IF(Presion_cilindro!N111&gt;(-B$4+Presion_cilindro!$B$34),1-EXP(-Presion_cilindro!$B$16*((Presion_cilindro!N111-(-B$4+Presion_cilindro!$B$34))/Presion_cilindro!$B$35)^(Presion_cilindro!$B$17+1)),0))/((Presion_cilindro!O111+Presion_cilindro!O112)/2)</f>
        <v>0.88381742411891229</v>
      </c>
      <c r="C120" s="27">
        <f>C119*(Presion_cilindro!O111/Presion_cilindro!O112)^Presion_cilindro!$B$9+10*(Presion_cilindro!$B$9-1)*Presion_cilindro!$B$33*(IF(Presion_cilindro!N112&gt;(-C$4+Presion_cilindro!$B$34),1-EXP(-Presion_cilindro!$B$16*((Presion_cilindro!N112-(-C$4+Presion_cilindro!$B$34))/Presion_cilindro!$B$35)^(Presion_cilindro!$B$17+1)),0)-IF(Presion_cilindro!N111&gt;(-C$4+Presion_cilindro!$B$34),1-EXP(-Presion_cilindro!$B$16*((Presion_cilindro!N111-(-C$4+Presion_cilindro!$B$34))/Presion_cilindro!$B$35)^(Presion_cilindro!$B$17+1)),0))/((Presion_cilindro!O111+Presion_cilindro!O112)/2)</f>
        <v>0.88381742411891229</v>
      </c>
      <c r="D120" s="27">
        <f>D119*(Presion_cilindro!O111/Presion_cilindro!O112)^Presion_cilindro!$B$9+10*(Presion_cilindro!$B$9-1)*Presion_cilindro!$B$33*(IF(Presion_cilindro!N112&gt;(-D$4+Presion_cilindro!$B$34),1-EXP(-Presion_cilindro!$B$16*((Presion_cilindro!N112-(-D$4+Presion_cilindro!$B$34))/Presion_cilindro!$B$35)^(Presion_cilindro!$B$17+1)),0)-IF(Presion_cilindro!N111&gt;(-D$4+Presion_cilindro!$B$34),1-EXP(-Presion_cilindro!$B$16*((Presion_cilindro!N111-(-D$4+Presion_cilindro!$B$34))/Presion_cilindro!$B$35)^(Presion_cilindro!$B$17+1)),0))/((Presion_cilindro!O111+Presion_cilindro!O112)/2)</f>
        <v>0.88381742411891229</v>
      </c>
      <c r="E120" s="27">
        <f>E119*(Presion_cilindro!O111/Presion_cilindro!O112)^Presion_cilindro!$B$9+10*(Presion_cilindro!$B$9-1)*Presion_cilindro!$B$33*(IF(Presion_cilindro!N112&gt;(-E$4+Presion_cilindro!$B$34),1-EXP(-Presion_cilindro!$B$16*((Presion_cilindro!N112-(-E$4+Presion_cilindro!$B$34))/Presion_cilindro!$B$35)^(Presion_cilindro!$B$17+1)),0)-IF(Presion_cilindro!N111&gt;(-E$4+Presion_cilindro!$B$34),1-EXP(-Presion_cilindro!$B$16*((Presion_cilindro!N111-(-E$4+Presion_cilindro!$B$34))/Presion_cilindro!$B$35)^(Presion_cilindro!$B$17+1)),0))/((Presion_cilindro!O111+Presion_cilindro!O112)/2)</f>
        <v>0.88381742411891229</v>
      </c>
      <c r="F120" s="27">
        <f>F119*(Presion_cilindro!O111/Presion_cilindro!O112)^Presion_cilindro!$B$9+10*(Presion_cilindro!$B$9-1)*Presion_cilindro!$B$33*(IF(Presion_cilindro!N112&gt;(-F$4+Presion_cilindro!$B$34),1-EXP(-Presion_cilindro!$B$16*((Presion_cilindro!N112-(-F$4+Presion_cilindro!$B$34))/Presion_cilindro!$B$35)^(Presion_cilindro!$B$17+1)),0)-IF(Presion_cilindro!N111&gt;(-F$4+Presion_cilindro!$B$34),1-EXP(-Presion_cilindro!$B$16*((Presion_cilindro!N111-(-F$4+Presion_cilindro!$B$34))/Presion_cilindro!$B$35)^(Presion_cilindro!$B$17+1)),0))/((Presion_cilindro!O111+Presion_cilindro!O112)/2)</f>
        <v>0.88381742411891229</v>
      </c>
      <c r="G120" s="27">
        <f>G119*(Presion_cilindro!O111/Presion_cilindro!O112)^Presion_cilindro!$B$9+10*(Presion_cilindro!$B$9-1)*Presion_cilindro!$B$33*(IF(Presion_cilindro!N112&gt;(-G$4+Presion_cilindro!$B$34),1-EXP(-Presion_cilindro!$B$16*((Presion_cilindro!N112-(-G$4+Presion_cilindro!$B$34))/Presion_cilindro!$B$35)^(Presion_cilindro!$B$17+1)),0)-IF(Presion_cilindro!N111&gt;(-G$4+Presion_cilindro!$B$34),1-EXP(-Presion_cilindro!$B$16*((Presion_cilindro!N111-(-G$4+Presion_cilindro!$B$34))/Presion_cilindro!$B$35)^(Presion_cilindro!$B$17+1)),0))/((Presion_cilindro!O111+Presion_cilindro!O112)/2)</f>
        <v>0.88381742411891229</v>
      </c>
      <c r="H120" s="27">
        <f>H119*(Presion_cilindro!O111/Presion_cilindro!O112)^Presion_cilindro!$B$9+10*(Presion_cilindro!$B$9-1)*Presion_cilindro!$B$33*(IF(Presion_cilindro!N112&gt;(-H$4+Presion_cilindro!$B$34),1-EXP(-Presion_cilindro!$B$16*((Presion_cilindro!N112-(-H$4+Presion_cilindro!$B$34))/Presion_cilindro!$B$35)^(Presion_cilindro!$B$17+1)),0)-IF(Presion_cilindro!N111&gt;(-H$4+Presion_cilindro!$B$34),1-EXP(-Presion_cilindro!$B$16*((Presion_cilindro!N111-(-H$4+Presion_cilindro!$B$34))/Presion_cilindro!$B$35)^(Presion_cilindro!$B$17+1)),0))/((Presion_cilindro!O111+Presion_cilindro!O112)/2)</f>
        <v>0.88381742411891229</v>
      </c>
      <c r="I120" s="27">
        <f>I119*(Presion_cilindro!O111/Presion_cilindro!O112)^Presion_cilindro!$B$9+10*(Presion_cilindro!$B$9-1)*Presion_cilindro!$B$33*(IF(Presion_cilindro!N112&gt;(-I$4+Presion_cilindro!$B$34),1-EXP(-Presion_cilindro!$B$16*((Presion_cilindro!N112-(-I$4+Presion_cilindro!$B$34))/Presion_cilindro!$B$35)^(Presion_cilindro!$B$17+1)),0)-IF(Presion_cilindro!N111&gt;(-I$4+Presion_cilindro!$B$34),1-EXP(-Presion_cilindro!$B$16*((Presion_cilindro!N111-(-I$4+Presion_cilindro!$B$34))/Presion_cilindro!$B$35)^(Presion_cilindro!$B$17+1)),0))/((Presion_cilindro!O111+Presion_cilindro!O112)/2)</f>
        <v>0.88381742411891229</v>
      </c>
      <c r="J120" s="27">
        <f>J119*(Presion_cilindro!O111/Presion_cilindro!O112)^Presion_cilindro!$B$9+10*(Presion_cilindro!$B$9-1)*Presion_cilindro!$B$33*(IF(Presion_cilindro!N112&gt;(-J$4+Presion_cilindro!$B$34),1-EXP(-Presion_cilindro!$B$16*((Presion_cilindro!N112-(-J$4+Presion_cilindro!$B$34))/Presion_cilindro!$B$35)^(Presion_cilindro!$B$17+1)),0)-IF(Presion_cilindro!N111&gt;(-J$4+Presion_cilindro!$B$34),1-EXP(-Presion_cilindro!$B$16*((Presion_cilindro!N111-(-J$4+Presion_cilindro!$B$34))/Presion_cilindro!$B$35)^(Presion_cilindro!$B$17+1)),0))/((Presion_cilindro!O111+Presion_cilindro!O112)/2)</f>
        <v>0.88381742411891229</v>
      </c>
      <c r="K120" s="27">
        <f>K119*(Presion_cilindro!O111/Presion_cilindro!O112)^Presion_cilindro!$B$9+10*(Presion_cilindro!$B$9-1)*Presion_cilindro!$B$33*(IF(Presion_cilindro!N112&gt;(-K$4+Presion_cilindro!$B$34),1-EXP(-Presion_cilindro!$B$16*((Presion_cilindro!N112-(-K$4+Presion_cilindro!$B$34))/Presion_cilindro!$B$35)^(Presion_cilindro!$B$17+1)),0)-IF(Presion_cilindro!N111&gt;(-K$4+Presion_cilindro!$B$34),1-EXP(-Presion_cilindro!$B$16*((Presion_cilindro!N111-(-K$4+Presion_cilindro!$B$34))/Presion_cilindro!$B$35)^(Presion_cilindro!$B$17+1)),0))/((Presion_cilindro!O111+Presion_cilindro!O112)/2)</f>
        <v>0.88381742411891229</v>
      </c>
      <c r="L120" s="27">
        <f>L119*(Presion_cilindro!O111/Presion_cilindro!O112)^Presion_cilindro!$B$9+10*(Presion_cilindro!$B$9-1)*Presion_cilindro!$B$33*(IF(Presion_cilindro!N112&gt;(-L$4+Presion_cilindro!$B$34),1-EXP(-Presion_cilindro!$B$16*((Presion_cilindro!N112-(-L$4+Presion_cilindro!$B$34))/Presion_cilindro!$B$35)^(Presion_cilindro!$B$17+1)),0)-IF(Presion_cilindro!N111&gt;(-L$4+Presion_cilindro!$B$34),1-EXP(-Presion_cilindro!$B$16*((Presion_cilindro!N111-(-L$4+Presion_cilindro!$B$34))/Presion_cilindro!$B$35)^(Presion_cilindro!$B$17+1)),0))/((Presion_cilindro!O111+Presion_cilindro!O112)/2)</f>
        <v>0.88381742411891229</v>
      </c>
      <c r="M120" s="27">
        <f>M119*(Presion_cilindro!O111/Presion_cilindro!O112)^Presion_cilindro!$B$9+10*(Presion_cilindro!$B$9-1)*Presion_cilindro!$B$33*(IF(Presion_cilindro!N112&gt;(-M$4+Presion_cilindro!$B$34),1-EXP(-Presion_cilindro!$B$16*((Presion_cilindro!N112-(-M$4+Presion_cilindro!$B$34))/Presion_cilindro!$B$35)^(Presion_cilindro!$B$17+1)),0)-IF(Presion_cilindro!N111&gt;(-M$4+Presion_cilindro!$B$34),1-EXP(-Presion_cilindro!$B$16*((Presion_cilindro!N111-(-M$4+Presion_cilindro!$B$34))/Presion_cilindro!$B$35)^(Presion_cilindro!$B$17+1)),0))/((Presion_cilindro!O111+Presion_cilindro!O112)/2)</f>
        <v>0.88381742411891229</v>
      </c>
      <c r="N120" s="27">
        <f>N119*(Presion_cilindro!O111/Presion_cilindro!O112)^Presion_cilindro!$B$9+10*(Presion_cilindro!$B$9-1)*Presion_cilindro!$B$33*(IF(Presion_cilindro!N112&gt;(-N$4+Presion_cilindro!$B$34),1-EXP(-Presion_cilindro!$B$16*((Presion_cilindro!N112-(-N$4+Presion_cilindro!$B$34))/Presion_cilindro!$B$35)^(Presion_cilindro!$B$17+1)),0)-IF(Presion_cilindro!N111&gt;(-N$4+Presion_cilindro!$B$34),1-EXP(-Presion_cilindro!$B$16*((Presion_cilindro!N111-(-N$4+Presion_cilindro!$B$34))/Presion_cilindro!$B$35)^(Presion_cilindro!$B$17+1)),0))/((Presion_cilindro!O111+Presion_cilindro!O112)/2)</f>
        <v>0.88381742411891229</v>
      </c>
    </row>
    <row r="121" spans="1:14" x14ac:dyDescent="0.25">
      <c r="A121" s="21">
        <f>Presion_cilindro!N113</f>
        <v>-125.5</v>
      </c>
      <c r="B121" s="27">
        <f>B120*(Presion_cilindro!O112/Presion_cilindro!O113)^Presion_cilindro!$B$9+10*(Presion_cilindro!$B$9-1)*Presion_cilindro!$B$33*(IF(Presion_cilindro!N113&gt;(-B$4+Presion_cilindro!$B$34),1-EXP(-Presion_cilindro!$B$16*((Presion_cilindro!N113-(-B$4+Presion_cilindro!$B$34))/Presion_cilindro!$B$35)^(Presion_cilindro!$B$17+1)),0)-IF(Presion_cilindro!N112&gt;(-B$4+Presion_cilindro!$B$34),1-EXP(-Presion_cilindro!$B$16*((Presion_cilindro!N112-(-B$4+Presion_cilindro!$B$34))/Presion_cilindro!$B$35)^(Presion_cilindro!$B$17+1)),0))/((Presion_cilindro!O112+Presion_cilindro!O113)/2)</f>
        <v>0.88745104543965125</v>
      </c>
      <c r="C121" s="27">
        <f>C120*(Presion_cilindro!O112/Presion_cilindro!O113)^Presion_cilindro!$B$9+10*(Presion_cilindro!$B$9-1)*Presion_cilindro!$B$33*(IF(Presion_cilindro!N113&gt;(-C$4+Presion_cilindro!$B$34),1-EXP(-Presion_cilindro!$B$16*((Presion_cilindro!N113-(-C$4+Presion_cilindro!$B$34))/Presion_cilindro!$B$35)^(Presion_cilindro!$B$17+1)),0)-IF(Presion_cilindro!N112&gt;(-C$4+Presion_cilindro!$B$34),1-EXP(-Presion_cilindro!$B$16*((Presion_cilindro!N112-(-C$4+Presion_cilindro!$B$34))/Presion_cilindro!$B$35)^(Presion_cilindro!$B$17+1)),0))/((Presion_cilindro!O112+Presion_cilindro!O113)/2)</f>
        <v>0.88745104543965125</v>
      </c>
      <c r="D121" s="27">
        <f>D120*(Presion_cilindro!O112/Presion_cilindro!O113)^Presion_cilindro!$B$9+10*(Presion_cilindro!$B$9-1)*Presion_cilindro!$B$33*(IF(Presion_cilindro!N113&gt;(-D$4+Presion_cilindro!$B$34),1-EXP(-Presion_cilindro!$B$16*((Presion_cilindro!N113-(-D$4+Presion_cilindro!$B$34))/Presion_cilindro!$B$35)^(Presion_cilindro!$B$17+1)),0)-IF(Presion_cilindro!N112&gt;(-D$4+Presion_cilindro!$B$34),1-EXP(-Presion_cilindro!$B$16*((Presion_cilindro!N112-(-D$4+Presion_cilindro!$B$34))/Presion_cilindro!$B$35)^(Presion_cilindro!$B$17+1)),0))/((Presion_cilindro!O112+Presion_cilindro!O113)/2)</f>
        <v>0.88745104543965125</v>
      </c>
      <c r="E121" s="27">
        <f>E120*(Presion_cilindro!O112/Presion_cilindro!O113)^Presion_cilindro!$B$9+10*(Presion_cilindro!$B$9-1)*Presion_cilindro!$B$33*(IF(Presion_cilindro!N113&gt;(-E$4+Presion_cilindro!$B$34),1-EXP(-Presion_cilindro!$B$16*((Presion_cilindro!N113-(-E$4+Presion_cilindro!$B$34))/Presion_cilindro!$B$35)^(Presion_cilindro!$B$17+1)),0)-IF(Presion_cilindro!N112&gt;(-E$4+Presion_cilindro!$B$34),1-EXP(-Presion_cilindro!$B$16*((Presion_cilindro!N112-(-E$4+Presion_cilindro!$B$34))/Presion_cilindro!$B$35)^(Presion_cilindro!$B$17+1)),0))/((Presion_cilindro!O112+Presion_cilindro!O113)/2)</f>
        <v>0.88745104543965125</v>
      </c>
      <c r="F121" s="27">
        <f>F120*(Presion_cilindro!O112/Presion_cilindro!O113)^Presion_cilindro!$B$9+10*(Presion_cilindro!$B$9-1)*Presion_cilindro!$B$33*(IF(Presion_cilindro!N113&gt;(-F$4+Presion_cilindro!$B$34),1-EXP(-Presion_cilindro!$B$16*((Presion_cilindro!N113-(-F$4+Presion_cilindro!$B$34))/Presion_cilindro!$B$35)^(Presion_cilindro!$B$17+1)),0)-IF(Presion_cilindro!N112&gt;(-F$4+Presion_cilindro!$B$34),1-EXP(-Presion_cilindro!$B$16*((Presion_cilindro!N112-(-F$4+Presion_cilindro!$B$34))/Presion_cilindro!$B$35)^(Presion_cilindro!$B$17+1)),0))/((Presion_cilindro!O112+Presion_cilindro!O113)/2)</f>
        <v>0.88745104543965125</v>
      </c>
      <c r="G121" s="27">
        <f>G120*(Presion_cilindro!O112/Presion_cilindro!O113)^Presion_cilindro!$B$9+10*(Presion_cilindro!$B$9-1)*Presion_cilindro!$B$33*(IF(Presion_cilindro!N113&gt;(-G$4+Presion_cilindro!$B$34),1-EXP(-Presion_cilindro!$B$16*((Presion_cilindro!N113-(-G$4+Presion_cilindro!$B$34))/Presion_cilindro!$B$35)^(Presion_cilindro!$B$17+1)),0)-IF(Presion_cilindro!N112&gt;(-G$4+Presion_cilindro!$B$34),1-EXP(-Presion_cilindro!$B$16*((Presion_cilindro!N112-(-G$4+Presion_cilindro!$B$34))/Presion_cilindro!$B$35)^(Presion_cilindro!$B$17+1)),0))/((Presion_cilindro!O112+Presion_cilindro!O113)/2)</f>
        <v>0.88745104543965125</v>
      </c>
      <c r="H121" s="27">
        <f>H120*(Presion_cilindro!O112/Presion_cilindro!O113)^Presion_cilindro!$B$9+10*(Presion_cilindro!$B$9-1)*Presion_cilindro!$B$33*(IF(Presion_cilindro!N113&gt;(-H$4+Presion_cilindro!$B$34),1-EXP(-Presion_cilindro!$B$16*((Presion_cilindro!N113-(-H$4+Presion_cilindro!$B$34))/Presion_cilindro!$B$35)^(Presion_cilindro!$B$17+1)),0)-IF(Presion_cilindro!N112&gt;(-H$4+Presion_cilindro!$B$34),1-EXP(-Presion_cilindro!$B$16*((Presion_cilindro!N112-(-H$4+Presion_cilindro!$B$34))/Presion_cilindro!$B$35)^(Presion_cilindro!$B$17+1)),0))/((Presion_cilindro!O112+Presion_cilindro!O113)/2)</f>
        <v>0.88745104543965125</v>
      </c>
      <c r="I121" s="27">
        <f>I120*(Presion_cilindro!O112/Presion_cilindro!O113)^Presion_cilindro!$B$9+10*(Presion_cilindro!$B$9-1)*Presion_cilindro!$B$33*(IF(Presion_cilindro!N113&gt;(-I$4+Presion_cilindro!$B$34),1-EXP(-Presion_cilindro!$B$16*((Presion_cilindro!N113-(-I$4+Presion_cilindro!$B$34))/Presion_cilindro!$B$35)^(Presion_cilindro!$B$17+1)),0)-IF(Presion_cilindro!N112&gt;(-I$4+Presion_cilindro!$B$34),1-EXP(-Presion_cilindro!$B$16*((Presion_cilindro!N112-(-I$4+Presion_cilindro!$B$34))/Presion_cilindro!$B$35)^(Presion_cilindro!$B$17+1)),0))/((Presion_cilindro!O112+Presion_cilindro!O113)/2)</f>
        <v>0.88745104543965125</v>
      </c>
      <c r="J121" s="27">
        <f>J120*(Presion_cilindro!O112/Presion_cilindro!O113)^Presion_cilindro!$B$9+10*(Presion_cilindro!$B$9-1)*Presion_cilindro!$B$33*(IF(Presion_cilindro!N113&gt;(-J$4+Presion_cilindro!$B$34),1-EXP(-Presion_cilindro!$B$16*((Presion_cilindro!N113-(-J$4+Presion_cilindro!$B$34))/Presion_cilindro!$B$35)^(Presion_cilindro!$B$17+1)),0)-IF(Presion_cilindro!N112&gt;(-J$4+Presion_cilindro!$B$34),1-EXP(-Presion_cilindro!$B$16*((Presion_cilindro!N112-(-J$4+Presion_cilindro!$B$34))/Presion_cilindro!$B$35)^(Presion_cilindro!$B$17+1)),0))/((Presion_cilindro!O112+Presion_cilindro!O113)/2)</f>
        <v>0.88745104543965125</v>
      </c>
      <c r="K121" s="27">
        <f>K120*(Presion_cilindro!O112/Presion_cilindro!O113)^Presion_cilindro!$B$9+10*(Presion_cilindro!$B$9-1)*Presion_cilindro!$B$33*(IF(Presion_cilindro!N113&gt;(-K$4+Presion_cilindro!$B$34),1-EXP(-Presion_cilindro!$B$16*((Presion_cilindro!N113-(-K$4+Presion_cilindro!$B$34))/Presion_cilindro!$B$35)^(Presion_cilindro!$B$17+1)),0)-IF(Presion_cilindro!N112&gt;(-K$4+Presion_cilindro!$B$34),1-EXP(-Presion_cilindro!$B$16*((Presion_cilindro!N112-(-K$4+Presion_cilindro!$B$34))/Presion_cilindro!$B$35)^(Presion_cilindro!$B$17+1)),0))/((Presion_cilindro!O112+Presion_cilindro!O113)/2)</f>
        <v>0.88745104543965125</v>
      </c>
      <c r="L121" s="27">
        <f>L120*(Presion_cilindro!O112/Presion_cilindro!O113)^Presion_cilindro!$B$9+10*(Presion_cilindro!$B$9-1)*Presion_cilindro!$B$33*(IF(Presion_cilindro!N113&gt;(-L$4+Presion_cilindro!$B$34),1-EXP(-Presion_cilindro!$B$16*((Presion_cilindro!N113-(-L$4+Presion_cilindro!$B$34))/Presion_cilindro!$B$35)^(Presion_cilindro!$B$17+1)),0)-IF(Presion_cilindro!N112&gt;(-L$4+Presion_cilindro!$B$34),1-EXP(-Presion_cilindro!$B$16*((Presion_cilindro!N112-(-L$4+Presion_cilindro!$B$34))/Presion_cilindro!$B$35)^(Presion_cilindro!$B$17+1)),0))/((Presion_cilindro!O112+Presion_cilindro!O113)/2)</f>
        <v>0.88745104543965125</v>
      </c>
      <c r="M121" s="27">
        <f>M120*(Presion_cilindro!O112/Presion_cilindro!O113)^Presion_cilindro!$B$9+10*(Presion_cilindro!$B$9-1)*Presion_cilindro!$B$33*(IF(Presion_cilindro!N113&gt;(-M$4+Presion_cilindro!$B$34),1-EXP(-Presion_cilindro!$B$16*((Presion_cilindro!N113-(-M$4+Presion_cilindro!$B$34))/Presion_cilindro!$B$35)^(Presion_cilindro!$B$17+1)),0)-IF(Presion_cilindro!N112&gt;(-M$4+Presion_cilindro!$B$34),1-EXP(-Presion_cilindro!$B$16*((Presion_cilindro!N112-(-M$4+Presion_cilindro!$B$34))/Presion_cilindro!$B$35)^(Presion_cilindro!$B$17+1)),0))/((Presion_cilindro!O112+Presion_cilindro!O113)/2)</f>
        <v>0.88745104543965125</v>
      </c>
      <c r="N121" s="27">
        <f>N120*(Presion_cilindro!O112/Presion_cilindro!O113)^Presion_cilindro!$B$9+10*(Presion_cilindro!$B$9-1)*Presion_cilindro!$B$33*(IF(Presion_cilindro!N113&gt;(-N$4+Presion_cilindro!$B$34),1-EXP(-Presion_cilindro!$B$16*((Presion_cilindro!N113-(-N$4+Presion_cilindro!$B$34))/Presion_cilindro!$B$35)^(Presion_cilindro!$B$17+1)),0)-IF(Presion_cilindro!N112&gt;(-N$4+Presion_cilindro!$B$34),1-EXP(-Presion_cilindro!$B$16*((Presion_cilindro!N112-(-N$4+Presion_cilindro!$B$34))/Presion_cilindro!$B$35)^(Presion_cilindro!$B$17+1)),0))/((Presion_cilindro!O112+Presion_cilindro!O113)/2)</f>
        <v>0.88745104543965125</v>
      </c>
    </row>
    <row r="122" spans="1:14" x14ac:dyDescent="0.25">
      <c r="A122" s="21">
        <f>Presion_cilindro!N114</f>
        <v>-125</v>
      </c>
      <c r="B122" s="27">
        <f>B121*(Presion_cilindro!O113/Presion_cilindro!O114)^Presion_cilindro!$B$9+10*(Presion_cilindro!$B$9-1)*Presion_cilindro!$B$33*(IF(Presion_cilindro!N114&gt;(-B$4+Presion_cilindro!$B$34),1-EXP(-Presion_cilindro!$B$16*((Presion_cilindro!N114-(-B$4+Presion_cilindro!$B$34))/Presion_cilindro!$B$35)^(Presion_cilindro!$B$17+1)),0)-IF(Presion_cilindro!N113&gt;(-B$4+Presion_cilindro!$B$34),1-EXP(-Presion_cilindro!$B$16*((Presion_cilindro!N113-(-B$4+Presion_cilindro!$B$34))/Presion_cilindro!$B$35)^(Presion_cilindro!$B$17+1)),0))/((Presion_cilindro!O113+Presion_cilindro!O114)/2)</f>
        <v>0.89114289605231267</v>
      </c>
      <c r="C122" s="27">
        <f>C121*(Presion_cilindro!O113/Presion_cilindro!O114)^Presion_cilindro!$B$9+10*(Presion_cilindro!$B$9-1)*Presion_cilindro!$B$33*(IF(Presion_cilindro!N114&gt;(-C$4+Presion_cilindro!$B$34),1-EXP(-Presion_cilindro!$B$16*((Presion_cilindro!N114-(-C$4+Presion_cilindro!$B$34))/Presion_cilindro!$B$35)^(Presion_cilindro!$B$17+1)),0)-IF(Presion_cilindro!N113&gt;(-C$4+Presion_cilindro!$B$34),1-EXP(-Presion_cilindro!$B$16*((Presion_cilindro!N113-(-C$4+Presion_cilindro!$B$34))/Presion_cilindro!$B$35)^(Presion_cilindro!$B$17+1)),0))/((Presion_cilindro!O113+Presion_cilindro!O114)/2)</f>
        <v>0.89114289605231267</v>
      </c>
      <c r="D122" s="27">
        <f>D121*(Presion_cilindro!O113/Presion_cilindro!O114)^Presion_cilindro!$B$9+10*(Presion_cilindro!$B$9-1)*Presion_cilindro!$B$33*(IF(Presion_cilindro!N114&gt;(-D$4+Presion_cilindro!$B$34),1-EXP(-Presion_cilindro!$B$16*((Presion_cilindro!N114-(-D$4+Presion_cilindro!$B$34))/Presion_cilindro!$B$35)^(Presion_cilindro!$B$17+1)),0)-IF(Presion_cilindro!N113&gt;(-D$4+Presion_cilindro!$B$34),1-EXP(-Presion_cilindro!$B$16*((Presion_cilindro!N113-(-D$4+Presion_cilindro!$B$34))/Presion_cilindro!$B$35)^(Presion_cilindro!$B$17+1)),0))/((Presion_cilindro!O113+Presion_cilindro!O114)/2)</f>
        <v>0.89114289605231267</v>
      </c>
      <c r="E122" s="27">
        <f>E121*(Presion_cilindro!O113/Presion_cilindro!O114)^Presion_cilindro!$B$9+10*(Presion_cilindro!$B$9-1)*Presion_cilindro!$B$33*(IF(Presion_cilindro!N114&gt;(-E$4+Presion_cilindro!$B$34),1-EXP(-Presion_cilindro!$B$16*((Presion_cilindro!N114-(-E$4+Presion_cilindro!$B$34))/Presion_cilindro!$B$35)^(Presion_cilindro!$B$17+1)),0)-IF(Presion_cilindro!N113&gt;(-E$4+Presion_cilindro!$B$34),1-EXP(-Presion_cilindro!$B$16*((Presion_cilindro!N113-(-E$4+Presion_cilindro!$B$34))/Presion_cilindro!$B$35)^(Presion_cilindro!$B$17+1)),0))/((Presion_cilindro!O113+Presion_cilindro!O114)/2)</f>
        <v>0.89114289605231267</v>
      </c>
      <c r="F122" s="27">
        <f>F121*(Presion_cilindro!O113/Presion_cilindro!O114)^Presion_cilindro!$B$9+10*(Presion_cilindro!$B$9-1)*Presion_cilindro!$B$33*(IF(Presion_cilindro!N114&gt;(-F$4+Presion_cilindro!$B$34),1-EXP(-Presion_cilindro!$B$16*((Presion_cilindro!N114-(-F$4+Presion_cilindro!$B$34))/Presion_cilindro!$B$35)^(Presion_cilindro!$B$17+1)),0)-IF(Presion_cilindro!N113&gt;(-F$4+Presion_cilindro!$B$34),1-EXP(-Presion_cilindro!$B$16*((Presion_cilindro!N113-(-F$4+Presion_cilindro!$B$34))/Presion_cilindro!$B$35)^(Presion_cilindro!$B$17+1)),0))/((Presion_cilindro!O113+Presion_cilindro!O114)/2)</f>
        <v>0.89114289605231267</v>
      </c>
      <c r="G122" s="27">
        <f>G121*(Presion_cilindro!O113/Presion_cilindro!O114)^Presion_cilindro!$B$9+10*(Presion_cilindro!$B$9-1)*Presion_cilindro!$B$33*(IF(Presion_cilindro!N114&gt;(-G$4+Presion_cilindro!$B$34),1-EXP(-Presion_cilindro!$B$16*((Presion_cilindro!N114-(-G$4+Presion_cilindro!$B$34))/Presion_cilindro!$B$35)^(Presion_cilindro!$B$17+1)),0)-IF(Presion_cilindro!N113&gt;(-G$4+Presion_cilindro!$B$34),1-EXP(-Presion_cilindro!$B$16*((Presion_cilindro!N113-(-G$4+Presion_cilindro!$B$34))/Presion_cilindro!$B$35)^(Presion_cilindro!$B$17+1)),0))/((Presion_cilindro!O113+Presion_cilindro!O114)/2)</f>
        <v>0.89114289605231267</v>
      </c>
      <c r="H122" s="27">
        <f>H121*(Presion_cilindro!O113/Presion_cilindro!O114)^Presion_cilindro!$B$9+10*(Presion_cilindro!$B$9-1)*Presion_cilindro!$B$33*(IF(Presion_cilindro!N114&gt;(-H$4+Presion_cilindro!$B$34),1-EXP(-Presion_cilindro!$B$16*((Presion_cilindro!N114-(-H$4+Presion_cilindro!$B$34))/Presion_cilindro!$B$35)^(Presion_cilindro!$B$17+1)),0)-IF(Presion_cilindro!N113&gt;(-H$4+Presion_cilindro!$B$34),1-EXP(-Presion_cilindro!$B$16*((Presion_cilindro!N113-(-H$4+Presion_cilindro!$B$34))/Presion_cilindro!$B$35)^(Presion_cilindro!$B$17+1)),0))/((Presion_cilindro!O113+Presion_cilindro!O114)/2)</f>
        <v>0.89114289605231267</v>
      </c>
      <c r="I122" s="27">
        <f>I121*(Presion_cilindro!O113/Presion_cilindro!O114)^Presion_cilindro!$B$9+10*(Presion_cilindro!$B$9-1)*Presion_cilindro!$B$33*(IF(Presion_cilindro!N114&gt;(-I$4+Presion_cilindro!$B$34),1-EXP(-Presion_cilindro!$B$16*((Presion_cilindro!N114-(-I$4+Presion_cilindro!$B$34))/Presion_cilindro!$B$35)^(Presion_cilindro!$B$17+1)),0)-IF(Presion_cilindro!N113&gt;(-I$4+Presion_cilindro!$B$34),1-EXP(-Presion_cilindro!$B$16*((Presion_cilindro!N113-(-I$4+Presion_cilindro!$B$34))/Presion_cilindro!$B$35)^(Presion_cilindro!$B$17+1)),0))/((Presion_cilindro!O113+Presion_cilindro!O114)/2)</f>
        <v>0.89114289605231267</v>
      </c>
      <c r="J122" s="27">
        <f>J121*(Presion_cilindro!O113/Presion_cilindro!O114)^Presion_cilindro!$B$9+10*(Presion_cilindro!$B$9-1)*Presion_cilindro!$B$33*(IF(Presion_cilindro!N114&gt;(-J$4+Presion_cilindro!$B$34),1-EXP(-Presion_cilindro!$B$16*((Presion_cilindro!N114-(-J$4+Presion_cilindro!$B$34))/Presion_cilindro!$B$35)^(Presion_cilindro!$B$17+1)),0)-IF(Presion_cilindro!N113&gt;(-J$4+Presion_cilindro!$B$34),1-EXP(-Presion_cilindro!$B$16*((Presion_cilindro!N113-(-J$4+Presion_cilindro!$B$34))/Presion_cilindro!$B$35)^(Presion_cilindro!$B$17+1)),0))/((Presion_cilindro!O113+Presion_cilindro!O114)/2)</f>
        <v>0.89114289605231267</v>
      </c>
      <c r="K122" s="27">
        <f>K121*(Presion_cilindro!O113/Presion_cilindro!O114)^Presion_cilindro!$B$9+10*(Presion_cilindro!$B$9-1)*Presion_cilindro!$B$33*(IF(Presion_cilindro!N114&gt;(-K$4+Presion_cilindro!$B$34),1-EXP(-Presion_cilindro!$B$16*((Presion_cilindro!N114-(-K$4+Presion_cilindro!$B$34))/Presion_cilindro!$B$35)^(Presion_cilindro!$B$17+1)),0)-IF(Presion_cilindro!N113&gt;(-K$4+Presion_cilindro!$B$34),1-EXP(-Presion_cilindro!$B$16*((Presion_cilindro!N113-(-K$4+Presion_cilindro!$B$34))/Presion_cilindro!$B$35)^(Presion_cilindro!$B$17+1)),0))/((Presion_cilindro!O113+Presion_cilindro!O114)/2)</f>
        <v>0.89114289605231267</v>
      </c>
      <c r="L122" s="27">
        <f>L121*(Presion_cilindro!O113/Presion_cilindro!O114)^Presion_cilindro!$B$9+10*(Presion_cilindro!$B$9-1)*Presion_cilindro!$B$33*(IF(Presion_cilindro!N114&gt;(-L$4+Presion_cilindro!$B$34),1-EXP(-Presion_cilindro!$B$16*((Presion_cilindro!N114-(-L$4+Presion_cilindro!$B$34))/Presion_cilindro!$B$35)^(Presion_cilindro!$B$17+1)),0)-IF(Presion_cilindro!N113&gt;(-L$4+Presion_cilindro!$B$34),1-EXP(-Presion_cilindro!$B$16*((Presion_cilindro!N113-(-L$4+Presion_cilindro!$B$34))/Presion_cilindro!$B$35)^(Presion_cilindro!$B$17+1)),0))/((Presion_cilindro!O113+Presion_cilindro!O114)/2)</f>
        <v>0.89114289605231267</v>
      </c>
      <c r="M122" s="27">
        <f>M121*(Presion_cilindro!O113/Presion_cilindro!O114)^Presion_cilindro!$B$9+10*(Presion_cilindro!$B$9-1)*Presion_cilindro!$B$33*(IF(Presion_cilindro!N114&gt;(-M$4+Presion_cilindro!$B$34),1-EXP(-Presion_cilindro!$B$16*((Presion_cilindro!N114-(-M$4+Presion_cilindro!$B$34))/Presion_cilindro!$B$35)^(Presion_cilindro!$B$17+1)),0)-IF(Presion_cilindro!N113&gt;(-M$4+Presion_cilindro!$B$34),1-EXP(-Presion_cilindro!$B$16*((Presion_cilindro!N113-(-M$4+Presion_cilindro!$B$34))/Presion_cilindro!$B$35)^(Presion_cilindro!$B$17+1)),0))/((Presion_cilindro!O113+Presion_cilindro!O114)/2)</f>
        <v>0.89114289605231267</v>
      </c>
      <c r="N122" s="27">
        <f>N121*(Presion_cilindro!O113/Presion_cilindro!O114)^Presion_cilindro!$B$9+10*(Presion_cilindro!$B$9-1)*Presion_cilindro!$B$33*(IF(Presion_cilindro!N114&gt;(-N$4+Presion_cilindro!$B$34),1-EXP(-Presion_cilindro!$B$16*((Presion_cilindro!N114-(-N$4+Presion_cilindro!$B$34))/Presion_cilindro!$B$35)^(Presion_cilindro!$B$17+1)),0)-IF(Presion_cilindro!N113&gt;(-N$4+Presion_cilindro!$B$34),1-EXP(-Presion_cilindro!$B$16*((Presion_cilindro!N113-(-N$4+Presion_cilindro!$B$34))/Presion_cilindro!$B$35)^(Presion_cilindro!$B$17+1)),0))/((Presion_cilindro!O113+Presion_cilindro!O114)/2)</f>
        <v>0.89114289605231267</v>
      </c>
    </row>
    <row r="123" spans="1:14" x14ac:dyDescent="0.25">
      <c r="A123" s="21">
        <f>Presion_cilindro!N115</f>
        <v>-124.5</v>
      </c>
      <c r="B123" s="27">
        <f>B122*(Presion_cilindro!O114/Presion_cilindro!O115)^Presion_cilindro!$B$9+10*(Presion_cilindro!$B$9-1)*Presion_cilindro!$B$33*(IF(Presion_cilindro!N115&gt;(-B$4+Presion_cilindro!$B$34),1-EXP(-Presion_cilindro!$B$16*((Presion_cilindro!N115-(-B$4+Presion_cilindro!$B$34))/Presion_cilindro!$B$35)^(Presion_cilindro!$B$17+1)),0)-IF(Presion_cilindro!N114&gt;(-B$4+Presion_cilindro!$B$34),1-EXP(-Presion_cilindro!$B$16*((Presion_cilindro!N114-(-B$4+Presion_cilindro!$B$34))/Presion_cilindro!$B$35)^(Presion_cilindro!$B$17+1)),0))/((Presion_cilindro!O114+Presion_cilindro!O115)/2)</f>
        <v>0.89489384490283674</v>
      </c>
      <c r="C123" s="27">
        <f>C122*(Presion_cilindro!O114/Presion_cilindro!O115)^Presion_cilindro!$B$9+10*(Presion_cilindro!$B$9-1)*Presion_cilindro!$B$33*(IF(Presion_cilindro!N115&gt;(-C$4+Presion_cilindro!$B$34),1-EXP(-Presion_cilindro!$B$16*((Presion_cilindro!N115-(-C$4+Presion_cilindro!$B$34))/Presion_cilindro!$B$35)^(Presion_cilindro!$B$17+1)),0)-IF(Presion_cilindro!N114&gt;(-C$4+Presion_cilindro!$B$34),1-EXP(-Presion_cilindro!$B$16*((Presion_cilindro!N114-(-C$4+Presion_cilindro!$B$34))/Presion_cilindro!$B$35)^(Presion_cilindro!$B$17+1)),0))/((Presion_cilindro!O114+Presion_cilindro!O115)/2)</f>
        <v>0.89489384490283674</v>
      </c>
      <c r="D123" s="27">
        <f>D122*(Presion_cilindro!O114/Presion_cilindro!O115)^Presion_cilindro!$B$9+10*(Presion_cilindro!$B$9-1)*Presion_cilindro!$B$33*(IF(Presion_cilindro!N115&gt;(-D$4+Presion_cilindro!$B$34),1-EXP(-Presion_cilindro!$B$16*((Presion_cilindro!N115-(-D$4+Presion_cilindro!$B$34))/Presion_cilindro!$B$35)^(Presion_cilindro!$B$17+1)),0)-IF(Presion_cilindro!N114&gt;(-D$4+Presion_cilindro!$B$34),1-EXP(-Presion_cilindro!$B$16*((Presion_cilindro!N114-(-D$4+Presion_cilindro!$B$34))/Presion_cilindro!$B$35)^(Presion_cilindro!$B$17+1)),0))/((Presion_cilindro!O114+Presion_cilindro!O115)/2)</f>
        <v>0.89489384490283674</v>
      </c>
      <c r="E123" s="27">
        <f>E122*(Presion_cilindro!O114/Presion_cilindro!O115)^Presion_cilindro!$B$9+10*(Presion_cilindro!$B$9-1)*Presion_cilindro!$B$33*(IF(Presion_cilindro!N115&gt;(-E$4+Presion_cilindro!$B$34),1-EXP(-Presion_cilindro!$B$16*((Presion_cilindro!N115-(-E$4+Presion_cilindro!$B$34))/Presion_cilindro!$B$35)^(Presion_cilindro!$B$17+1)),0)-IF(Presion_cilindro!N114&gt;(-E$4+Presion_cilindro!$B$34),1-EXP(-Presion_cilindro!$B$16*((Presion_cilindro!N114-(-E$4+Presion_cilindro!$B$34))/Presion_cilindro!$B$35)^(Presion_cilindro!$B$17+1)),0))/((Presion_cilindro!O114+Presion_cilindro!O115)/2)</f>
        <v>0.89489384490283674</v>
      </c>
      <c r="F123" s="27">
        <f>F122*(Presion_cilindro!O114/Presion_cilindro!O115)^Presion_cilindro!$B$9+10*(Presion_cilindro!$B$9-1)*Presion_cilindro!$B$33*(IF(Presion_cilindro!N115&gt;(-F$4+Presion_cilindro!$B$34),1-EXP(-Presion_cilindro!$B$16*((Presion_cilindro!N115-(-F$4+Presion_cilindro!$B$34))/Presion_cilindro!$B$35)^(Presion_cilindro!$B$17+1)),0)-IF(Presion_cilindro!N114&gt;(-F$4+Presion_cilindro!$B$34),1-EXP(-Presion_cilindro!$B$16*((Presion_cilindro!N114-(-F$4+Presion_cilindro!$B$34))/Presion_cilindro!$B$35)^(Presion_cilindro!$B$17+1)),0))/((Presion_cilindro!O114+Presion_cilindro!O115)/2)</f>
        <v>0.89489384490283674</v>
      </c>
      <c r="G123" s="27">
        <f>G122*(Presion_cilindro!O114/Presion_cilindro!O115)^Presion_cilindro!$B$9+10*(Presion_cilindro!$B$9-1)*Presion_cilindro!$B$33*(IF(Presion_cilindro!N115&gt;(-G$4+Presion_cilindro!$B$34),1-EXP(-Presion_cilindro!$B$16*((Presion_cilindro!N115-(-G$4+Presion_cilindro!$B$34))/Presion_cilindro!$B$35)^(Presion_cilindro!$B$17+1)),0)-IF(Presion_cilindro!N114&gt;(-G$4+Presion_cilindro!$B$34),1-EXP(-Presion_cilindro!$B$16*((Presion_cilindro!N114-(-G$4+Presion_cilindro!$B$34))/Presion_cilindro!$B$35)^(Presion_cilindro!$B$17+1)),0))/((Presion_cilindro!O114+Presion_cilindro!O115)/2)</f>
        <v>0.89489384490283674</v>
      </c>
      <c r="H123" s="27">
        <f>H122*(Presion_cilindro!O114/Presion_cilindro!O115)^Presion_cilindro!$B$9+10*(Presion_cilindro!$B$9-1)*Presion_cilindro!$B$33*(IF(Presion_cilindro!N115&gt;(-H$4+Presion_cilindro!$B$34),1-EXP(-Presion_cilindro!$B$16*((Presion_cilindro!N115-(-H$4+Presion_cilindro!$B$34))/Presion_cilindro!$B$35)^(Presion_cilindro!$B$17+1)),0)-IF(Presion_cilindro!N114&gt;(-H$4+Presion_cilindro!$B$34),1-EXP(-Presion_cilindro!$B$16*((Presion_cilindro!N114-(-H$4+Presion_cilindro!$B$34))/Presion_cilindro!$B$35)^(Presion_cilindro!$B$17+1)),0))/((Presion_cilindro!O114+Presion_cilindro!O115)/2)</f>
        <v>0.89489384490283674</v>
      </c>
      <c r="I123" s="27">
        <f>I122*(Presion_cilindro!O114/Presion_cilindro!O115)^Presion_cilindro!$B$9+10*(Presion_cilindro!$B$9-1)*Presion_cilindro!$B$33*(IF(Presion_cilindro!N115&gt;(-I$4+Presion_cilindro!$B$34),1-EXP(-Presion_cilindro!$B$16*((Presion_cilindro!N115-(-I$4+Presion_cilindro!$B$34))/Presion_cilindro!$B$35)^(Presion_cilindro!$B$17+1)),0)-IF(Presion_cilindro!N114&gt;(-I$4+Presion_cilindro!$B$34),1-EXP(-Presion_cilindro!$B$16*((Presion_cilindro!N114-(-I$4+Presion_cilindro!$B$34))/Presion_cilindro!$B$35)^(Presion_cilindro!$B$17+1)),0))/((Presion_cilindro!O114+Presion_cilindro!O115)/2)</f>
        <v>0.89489384490283674</v>
      </c>
      <c r="J123" s="27">
        <f>J122*(Presion_cilindro!O114/Presion_cilindro!O115)^Presion_cilindro!$B$9+10*(Presion_cilindro!$B$9-1)*Presion_cilindro!$B$33*(IF(Presion_cilindro!N115&gt;(-J$4+Presion_cilindro!$B$34),1-EXP(-Presion_cilindro!$B$16*((Presion_cilindro!N115-(-J$4+Presion_cilindro!$B$34))/Presion_cilindro!$B$35)^(Presion_cilindro!$B$17+1)),0)-IF(Presion_cilindro!N114&gt;(-J$4+Presion_cilindro!$B$34),1-EXP(-Presion_cilindro!$B$16*((Presion_cilindro!N114-(-J$4+Presion_cilindro!$B$34))/Presion_cilindro!$B$35)^(Presion_cilindro!$B$17+1)),0))/((Presion_cilindro!O114+Presion_cilindro!O115)/2)</f>
        <v>0.89489384490283674</v>
      </c>
      <c r="K123" s="27">
        <f>K122*(Presion_cilindro!O114/Presion_cilindro!O115)^Presion_cilindro!$B$9+10*(Presion_cilindro!$B$9-1)*Presion_cilindro!$B$33*(IF(Presion_cilindro!N115&gt;(-K$4+Presion_cilindro!$B$34),1-EXP(-Presion_cilindro!$B$16*((Presion_cilindro!N115-(-K$4+Presion_cilindro!$B$34))/Presion_cilindro!$B$35)^(Presion_cilindro!$B$17+1)),0)-IF(Presion_cilindro!N114&gt;(-K$4+Presion_cilindro!$B$34),1-EXP(-Presion_cilindro!$B$16*((Presion_cilindro!N114-(-K$4+Presion_cilindro!$B$34))/Presion_cilindro!$B$35)^(Presion_cilindro!$B$17+1)),0))/((Presion_cilindro!O114+Presion_cilindro!O115)/2)</f>
        <v>0.89489384490283674</v>
      </c>
      <c r="L123" s="27">
        <f>L122*(Presion_cilindro!O114/Presion_cilindro!O115)^Presion_cilindro!$B$9+10*(Presion_cilindro!$B$9-1)*Presion_cilindro!$B$33*(IF(Presion_cilindro!N115&gt;(-L$4+Presion_cilindro!$B$34),1-EXP(-Presion_cilindro!$B$16*((Presion_cilindro!N115-(-L$4+Presion_cilindro!$B$34))/Presion_cilindro!$B$35)^(Presion_cilindro!$B$17+1)),0)-IF(Presion_cilindro!N114&gt;(-L$4+Presion_cilindro!$B$34),1-EXP(-Presion_cilindro!$B$16*((Presion_cilindro!N114-(-L$4+Presion_cilindro!$B$34))/Presion_cilindro!$B$35)^(Presion_cilindro!$B$17+1)),0))/((Presion_cilindro!O114+Presion_cilindro!O115)/2)</f>
        <v>0.89489384490283674</v>
      </c>
      <c r="M123" s="27">
        <f>M122*(Presion_cilindro!O114/Presion_cilindro!O115)^Presion_cilindro!$B$9+10*(Presion_cilindro!$B$9-1)*Presion_cilindro!$B$33*(IF(Presion_cilindro!N115&gt;(-M$4+Presion_cilindro!$B$34),1-EXP(-Presion_cilindro!$B$16*((Presion_cilindro!N115-(-M$4+Presion_cilindro!$B$34))/Presion_cilindro!$B$35)^(Presion_cilindro!$B$17+1)),0)-IF(Presion_cilindro!N114&gt;(-M$4+Presion_cilindro!$B$34),1-EXP(-Presion_cilindro!$B$16*((Presion_cilindro!N114-(-M$4+Presion_cilindro!$B$34))/Presion_cilindro!$B$35)^(Presion_cilindro!$B$17+1)),0))/((Presion_cilindro!O114+Presion_cilindro!O115)/2)</f>
        <v>0.89489384490283674</v>
      </c>
      <c r="N123" s="27">
        <f>N122*(Presion_cilindro!O114/Presion_cilindro!O115)^Presion_cilindro!$B$9+10*(Presion_cilindro!$B$9-1)*Presion_cilindro!$B$33*(IF(Presion_cilindro!N115&gt;(-N$4+Presion_cilindro!$B$34),1-EXP(-Presion_cilindro!$B$16*((Presion_cilindro!N115-(-N$4+Presion_cilindro!$B$34))/Presion_cilindro!$B$35)^(Presion_cilindro!$B$17+1)),0)-IF(Presion_cilindro!N114&gt;(-N$4+Presion_cilindro!$B$34),1-EXP(-Presion_cilindro!$B$16*((Presion_cilindro!N114-(-N$4+Presion_cilindro!$B$34))/Presion_cilindro!$B$35)^(Presion_cilindro!$B$17+1)),0))/((Presion_cilindro!O114+Presion_cilindro!O115)/2)</f>
        <v>0.89489384490283674</v>
      </c>
    </row>
    <row r="124" spans="1:14" x14ac:dyDescent="0.25">
      <c r="A124" s="21">
        <f>Presion_cilindro!N116</f>
        <v>-124</v>
      </c>
      <c r="B124" s="27">
        <f>B123*(Presion_cilindro!O115/Presion_cilindro!O116)^Presion_cilindro!$B$9+10*(Presion_cilindro!$B$9-1)*Presion_cilindro!$B$33*(IF(Presion_cilindro!N116&gt;(-B$4+Presion_cilindro!$B$34),1-EXP(-Presion_cilindro!$B$16*((Presion_cilindro!N116-(-B$4+Presion_cilindro!$B$34))/Presion_cilindro!$B$35)^(Presion_cilindro!$B$17+1)),0)-IF(Presion_cilindro!N115&gt;(-B$4+Presion_cilindro!$B$34),1-EXP(-Presion_cilindro!$B$16*((Presion_cilindro!N115-(-B$4+Presion_cilindro!$B$34))/Presion_cilindro!$B$35)^(Presion_cilindro!$B$17+1)),0))/((Presion_cilindro!O115+Presion_cilindro!O116)/2)</f>
        <v>0.89870477907980162</v>
      </c>
      <c r="C124" s="27">
        <f>C123*(Presion_cilindro!O115/Presion_cilindro!O116)^Presion_cilindro!$B$9+10*(Presion_cilindro!$B$9-1)*Presion_cilindro!$B$33*(IF(Presion_cilindro!N116&gt;(-C$4+Presion_cilindro!$B$34),1-EXP(-Presion_cilindro!$B$16*((Presion_cilindro!N116-(-C$4+Presion_cilindro!$B$34))/Presion_cilindro!$B$35)^(Presion_cilindro!$B$17+1)),0)-IF(Presion_cilindro!N115&gt;(-C$4+Presion_cilindro!$B$34),1-EXP(-Presion_cilindro!$B$16*((Presion_cilindro!N115-(-C$4+Presion_cilindro!$B$34))/Presion_cilindro!$B$35)^(Presion_cilindro!$B$17+1)),0))/((Presion_cilindro!O115+Presion_cilindro!O116)/2)</f>
        <v>0.89870477907980162</v>
      </c>
      <c r="D124" s="27">
        <f>D123*(Presion_cilindro!O115/Presion_cilindro!O116)^Presion_cilindro!$B$9+10*(Presion_cilindro!$B$9-1)*Presion_cilindro!$B$33*(IF(Presion_cilindro!N116&gt;(-D$4+Presion_cilindro!$B$34),1-EXP(-Presion_cilindro!$B$16*((Presion_cilindro!N116-(-D$4+Presion_cilindro!$B$34))/Presion_cilindro!$B$35)^(Presion_cilindro!$B$17+1)),0)-IF(Presion_cilindro!N115&gt;(-D$4+Presion_cilindro!$B$34),1-EXP(-Presion_cilindro!$B$16*((Presion_cilindro!N115-(-D$4+Presion_cilindro!$B$34))/Presion_cilindro!$B$35)^(Presion_cilindro!$B$17+1)),0))/((Presion_cilindro!O115+Presion_cilindro!O116)/2)</f>
        <v>0.89870477907980162</v>
      </c>
      <c r="E124" s="27">
        <f>E123*(Presion_cilindro!O115/Presion_cilindro!O116)^Presion_cilindro!$B$9+10*(Presion_cilindro!$B$9-1)*Presion_cilindro!$B$33*(IF(Presion_cilindro!N116&gt;(-E$4+Presion_cilindro!$B$34),1-EXP(-Presion_cilindro!$B$16*((Presion_cilindro!N116-(-E$4+Presion_cilindro!$B$34))/Presion_cilindro!$B$35)^(Presion_cilindro!$B$17+1)),0)-IF(Presion_cilindro!N115&gt;(-E$4+Presion_cilindro!$B$34),1-EXP(-Presion_cilindro!$B$16*((Presion_cilindro!N115-(-E$4+Presion_cilindro!$B$34))/Presion_cilindro!$B$35)^(Presion_cilindro!$B$17+1)),0))/((Presion_cilindro!O115+Presion_cilindro!O116)/2)</f>
        <v>0.89870477907980162</v>
      </c>
      <c r="F124" s="27">
        <f>F123*(Presion_cilindro!O115/Presion_cilindro!O116)^Presion_cilindro!$B$9+10*(Presion_cilindro!$B$9-1)*Presion_cilindro!$B$33*(IF(Presion_cilindro!N116&gt;(-F$4+Presion_cilindro!$B$34),1-EXP(-Presion_cilindro!$B$16*((Presion_cilindro!N116-(-F$4+Presion_cilindro!$B$34))/Presion_cilindro!$B$35)^(Presion_cilindro!$B$17+1)),0)-IF(Presion_cilindro!N115&gt;(-F$4+Presion_cilindro!$B$34),1-EXP(-Presion_cilindro!$B$16*((Presion_cilindro!N115-(-F$4+Presion_cilindro!$B$34))/Presion_cilindro!$B$35)^(Presion_cilindro!$B$17+1)),0))/((Presion_cilindro!O115+Presion_cilindro!O116)/2)</f>
        <v>0.89870477907980162</v>
      </c>
      <c r="G124" s="27">
        <f>G123*(Presion_cilindro!O115/Presion_cilindro!O116)^Presion_cilindro!$B$9+10*(Presion_cilindro!$B$9-1)*Presion_cilindro!$B$33*(IF(Presion_cilindro!N116&gt;(-G$4+Presion_cilindro!$B$34),1-EXP(-Presion_cilindro!$B$16*((Presion_cilindro!N116-(-G$4+Presion_cilindro!$B$34))/Presion_cilindro!$B$35)^(Presion_cilindro!$B$17+1)),0)-IF(Presion_cilindro!N115&gt;(-G$4+Presion_cilindro!$B$34),1-EXP(-Presion_cilindro!$B$16*((Presion_cilindro!N115-(-G$4+Presion_cilindro!$B$34))/Presion_cilindro!$B$35)^(Presion_cilindro!$B$17+1)),0))/((Presion_cilindro!O115+Presion_cilindro!O116)/2)</f>
        <v>0.89870477907980162</v>
      </c>
      <c r="H124" s="27">
        <f>H123*(Presion_cilindro!O115/Presion_cilindro!O116)^Presion_cilindro!$B$9+10*(Presion_cilindro!$B$9-1)*Presion_cilindro!$B$33*(IF(Presion_cilindro!N116&gt;(-H$4+Presion_cilindro!$B$34),1-EXP(-Presion_cilindro!$B$16*((Presion_cilindro!N116-(-H$4+Presion_cilindro!$B$34))/Presion_cilindro!$B$35)^(Presion_cilindro!$B$17+1)),0)-IF(Presion_cilindro!N115&gt;(-H$4+Presion_cilindro!$B$34),1-EXP(-Presion_cilindro!$B$16*((Presion_cilindro!N115-(-H$4+Presion_cilindro!$B$34))/Presion_cilindro!$B$35)^(Presion_cilindro!$B$17+1)),0))/((Presion_cilindro!O115+Presion_cilindro!O116)/2)</f>
        <v>0.89870477907980162</v>
      </c>
      <c r="I124" s="27">
        <f>I123*(Presion_cilindro!O115/Presion_cilindro!O116)^Presion_cilindro!$B$9+10*(Presion_cilindro!$B$9-1)*Presion_cilindro!$B$33*(IF(Presion_cilindro!N116&gt;(-I$4+Presion_cilindro!$B$34),1-EXP(-Presion_cilindro!$B$16*((Presion_cilindro!N116-(-I$4+Presion_cilindro!$B$34))/Presion_cilindro!$B$35)^(Presion_cilindro!$B$17+1)),0)-IF(Presion_cilindro!N115&gt;(-I$4+Presion_cilindro!$B$34),1-EXP(-Presion_cilindro!$B$16*((Presion_cilindro!N115-(-I$4+Presion_cilindro!$B$34))/Presion_cilindro!$B$35)^(Presion_cilindro!$B$17+1)),0))/((Presion_cilindro!O115+Presion_cilindro!O116)/2)</f>
        <v>0.89870477907980162</v>
      </c>
      <c r="J124" s="27">
        <f>J123*(Presion_cilindro!O115/Presion_cilindro!O116)^Presion_cilindro!$B$9+10*(Presion_cilindro!$B$9-1)*Presion_cilindro!$B$33*(IF(Presion_cilindro!N116&gt;(-J$4+Presion_cilindro!$B$34),1-EXP(-Presion_cilindro!$B$16*((Presion_cilindro!N116-(-J$4+Presion_cilindro!$B$34))/Presion_cilindro!$B$35)^(Presion_cilindro!$B$17+1)),0)-IF(Presion_cilindro!N115&gt;(-J$4+Presion_cilindro!$B$34),1-EXP(-Presion_cilindro!$B$16*((Presion_cilindro!N115-(-J$4+Presion_cilindro!$B$34))/Presion_cilindro!$B$35)^(Presion_cilindro!$B$17+1)),0))/((Presion_cilindro!O115+Presion_cilindro!O116)/2)</f>
        <v>0.89870477907980162</v>
      </c>
      <c r="K124" s="27">
        <f>K123*(Presion_cilindro!O115/Presion_cilindro!O116)^Presion_cilindro!$B$9+10*(Presion_cilindro!$B$9-1)*Presion_cilindro!$B$33*(IF(Presion_cilindro!N116&gt;(-K$4+Presion_cilindro!$B$34),1-EXP(-Presion_cilindro!$B$16*((Presion_cilindro!N116-(-K$4+Presion_cilindro!$B$34))/Presion_cilindro!$B$35)^(Presion_cilindro!$B$17+1)),0)-IF(Presion_cilindro!N115&gt;(-K$4+Presion_cilindro!$B$34),1-EXP(-Presion_cilindro!$B$16*((Presion_cilindro!N115-(-K$4+Presion_cilindro!$B$34))/Presion_cilindro!$B$35)^(Presion_cilindro!$B$17+1)),0))/((Presion_cilindro!O115+Presion_cilindro!O116)/2)</f>
        <v>0.89870477907980162</v>
      </c>
      <c r="L124" s="27">
        <f>L123*(Presion_cilindro!O115/Presion_cilindro!O116)^Presion_cilindro!$B$9+10*(Presion_cilindro!$B$9-1)*Presion_cilindro!$B$33*(IF(Presion_cilindro!N116&gt;(-L$4+Presion_cilindro!$B$34),1-EXP(-Presion_cilindro!$B$16*((Presion_cilindro!N116-(-L$4+Presion_cilindro!$B$34))/Presion_cilindro!$B$35)^(Presion_cilindro!$B$17+1)),0)-IF(Presion_cilindro!N115&gt;(-L$4+Presion_cilindro!$B$34),1-EXP(-Presion_cilindro!$B$16*((Presion_cilindro!N115-(-L$4+Presion_cilindro!$B$34))/Presion_cilindro!$B$35)^(Presion_cilindro!$B$17+1)),0))/((Presion_cilindro!O115+Presion_cilindro!O116)/2)</f>
        <v>0.89870477907980162</v>
      </c>
      <c r="M124" s="27">
        <f>M123*(Presion_cilindro!O115/Presion_cilindro!O116)^Presion_cilindro!$B$9+10*(Presion_cilindro!$B$9-1)*Presion_cilindro!$B$33*(IF(Presion_cilindro!N116&gt;(-M$4+Presion_cilindro!$B$34),1-EXP(-Presion_cilindro!$B$16*((Presion_cilindro!N116-(-M$4+Presion_cilindro!$B$34))/Presion_cilindro!$B$35)^(Presion_cilindro!$B$17+1)),0)-IF(Presion_cilindro!N115&gt;(-M$4+Presion_cilindro!$B$34),1-EXP(-Presion_cilindro!$B$16*((Presion_cilindro!N115-(-M$4+Presion_cilindro!$B$34))/Presion_cilindro!$B$35)^(Presion_cilindro!$B$17+1)),0))/((Presion_cilindro!O115+Presion_cilindro!O116)/2)</f>
        <v>0.89870477907980162</v>
      </c>
      <c r="N124" s="27">
        <f>N123*(Presion_cilindro!O115/Presion_cilindro!O116)^Presion_cilindro!$B$9+10*(Presion_cilindro!$B$9-1)*Presion_cilindro!$B$33*(IF(Presion_cilindro!N116&gt;(-N$4+Presion_cilindro!$B$34),1-EXP(-Presion_cilindro!$B$16*((Presion_cilindro!N116-(-N$4+Presion_cilindro!$B$34))/Presion_cilindro!$B$35)^(Presion_cilindro!$B$17+1)),0)-IF(Presion_cilindro!N115&gt;(-N$4+Presion_cilindro!$B$34),1-EXP(-Presion_cilindro!$B$16*((Presion_cilindro!N115-(-N$4+Presion_cilindro!$B$34))/Presion_cilindro!$B$35)^(Presion_cilindro!$B$17+1)),0))/((Presion_cilindro!O115+Presion_cilindro!O116)/2)</f>
        <v>0.89870477907980162</v>
      </c>
    </row>
    <row r="125" spans="1:14" x14ac:dyDescent="0.25">
      <c r="A125" s="21">
        <f>Presion_cilindro!N117</f>
        <v>-123.5</v>
      </c>
      <c r="B125" s="27">
        <f>B124*(Presion_cilindro!O116/Presion_cilindro!O117)^Presion_cilindro!$B$9+10*(Presion_cilindro!$B$9-1)*Presion_cilindro!$B$33*(IF(Presion_cilindro!N117&gt;(-B$4+Presion_cilindro!$B$34),1-EXP(-Presion_cilindro!$B$16*((Presion_cilindro!N117-(-B$4+Presion_cilindro!$B$34))/Presion_cilindro!$B$35)^(Presion_cilindro!$B$17+1)),0)-IF(Presion_cilindro!N116&gt;(-B$4+Presion_cilindro!$B$34),1-EXP(-Presion_cilindro!$B$16*((Presion_cilindro!N116-(-B$4+Presion_cilindro!$B$34))/Presion_cilindro!$B$35)^(Presion_cilindro!$B$17+1)),0))/((Presion_cilindro!O116+Presion_cilindro!O117)/2)</f>
        <v>0.90257660421161989</v>
      </c>
      <c r="C125" s="27">
        <f>C124*(Presion_cilindro!O116/Presion_cilindro!O117)^Presion_cilindro!$B$9+10*(Presion_cilindro!$B$9-1)*Presion_cilindro!$B$33*(IF(Presion_cilindro!N117&gt;(-C$4+Presion_cilindro!$B$34),1-EXP(-Presion_cilindro!$B$16*((Presion_cilindro!N117-(-C$4+Presion_cilindro!$B$34))/Presion_cilindro!$B$35)^(Presion_cilindro!$B$17+1)),0)-IF(Presion_cilindro!N116&gt;(-C$4+Presion_cilindro!$B$34),1-EXP(-Presion_cilindro!$B$16*((Presion_cilindro!N116-(-C$4+Presion_cilindro!$B$34))/Presion_cilindro!$B$35)^(Presion_cilindro!$B$17+1)),0))/((Presion_cilindro!O116+Presion_cilindro!O117)/2)</f>
        <v>0.90257660421161989</v>
      </c>
      <c r="D125" s="27">
        <f>D124*(Presion_cilindro!O116/Presion_cilindro!O117)^Presion_cilindro!$B$9+10*(Presion_cilindro!$B$9-1)*Presion_cilindro!$B$33*(IF(Presion_cilindro!N117&gt;(-D$4+Presion_cilindro!$B$34),1-EXP(-Presion_cilindro!$B$16*((Presion_cilindro!N117-(-D$4+Presion_cilindro!$B$34))/Presion_cilindro!$B$35)^(Presion_cilindro!$B$17+1)),0)-IF(Presion_cilindro!N116&gt;(-D$4+Presion_cilindro!$B$34),1-EXP(-Presion_cilindro!$B$16*((Presion_cilindro!N116-(-D$4+Presion_cilindro!$B$34))/Presion_cilindro!$B$35)^(Presion_cilindro!$B$17+1)),0))/((Presion_cilindro!O116+Presion_cilindro!O117)/2)</f>
        <v>0.90257660421161989</v>
      </c>
      <c r="E125" s="27">
        <f>E124*(Presion_cilindro!O116/Presion_cilindro!O117)^Presion_cilindro!$B$9+10*(Presion_cilindro!$B$9-1)*Presion_cilindro!$B$33*(IF(Presion_cilindro!N117&gt;(-E$4+Presion_cilindro!$B$34),1-EXP(-Presion_cilindro!$B$16*((Presion_cilindro!N117-(-E$4+Presion_cilindro!$B$34))/Presion_cilindro!$B$35)^(Presion_cilindro!$B$17+1)),0)-IF(Presion_cilindro!N116&gt;(-E$4+Presion_cilindro!$B$34),1-EXP(-Presion_cilindro!$B$16*((Presion_cilindro!N116-(-E$4+Presion_cilindro!$B$34))/Presion_cilindro!$B$35)^(Presion_cilindro!$B$17+1)),0))/((Presion_cilindro!O116+Presion_cilindro!O117)/2)</f>
        <v>0.90257660421161989</v>
      </c>
      <c r="F125" s="27">
        <f>F124*(Presion_cilindro!O116/Presion_cilindro!O117)^Presion_cilindro!$B$9+10*(Presion_cilindro!$B$9-1)*Presion_cilindro!$B$33*(IF(Presion_cilindro!N117&gt;(-F$4+Presion_cilindro!$B$34),1-EXP(-Presion_cilindro!$B$16*((Presion_cilindro!N117-(-F$4+Presion_cilindro!$B$34))/Presion_cilindro!$B$35)^(Presion_cilindro!$B$17+1)),0)-IF(Presion_cilindro!N116&gt;(-F$4+Presion_cilindro!$B$34),1-EXP(-Presion_cilindro!$B$16*((Presion_cilindro!N116-(-F$4+Presion_cilindro!$B$34))/Presion_cilindro!$B$35)^(Presion_cilindro!$B$17+1)),0))/((Presion_cilindro!O116+Presion_cilindro!O117)/2)</f>
        <v>0.90257660421161989</v>
      </c>
      <c r="G125" s="27">
        <f>G124*(Presion_cilindro!O116/Presion_cilindro!O117)^Presion_cilindro!$B$9+10*(Presion_cilindro!$B$9-1)*Presion_cilindro!$B$33*(IF(Presion_cilindro!N117&gt;(-G$4+Presion_cilindro!$B$34),1-EXP(-Presion_cilindro!$B$16*((Presion_cilindro!N117-(-G$4+Presion_cilindro!$B$34))/Presion_cilindro!$B$35)^(Presion_cilindro!$B$17+1)),0)-IF(Presion_cilindro!N116&gt;(-G$4+Presion_cilindro!$B$34),1-EXP(-Presion_cilindro!$B$16*((Presion_cilindro!N116-(-G$4+Presion_cilindro!$B$34))/Presion_cilindro!$B$35)^(Presion_cilindro!$B$17+1)),0))/((Presion_cilindro!O116+Presion_cilindro!O117)/2)</f>
        <v>0.90257660421161989</v>
      </c>
      <c r="H125" s="27">
        <f>H124*(Presion_cilindro!O116/Presion_cilindro!O117)^Presion_cilindro!$B$9+10*(Presion_cilindro!$B$9-1)*Presion_cilindro!$B$33*(IF(Presion_cilindro!N117&gt;(-H$4+Presion_cilindro!$B$34),1-EXP(-Presion_cilindro!$B$16*((Presion_cilindro!N117-(-H$4+Presion_cilindro!$B$34))/Presion_cilindro!$B$35)^(Presion_cilindro!$B$17+1)),0)-IF(Presion_cilindro!N116&gt;(-H$4+Presion_cilindro!$B$34),1-EXP(-Presion_cilindro!$B$16*((Presion_cilindro!N116-(-H$4+Presion_cilindro!$B$34))/Presion_cilindro!$B$35)^(Presion_cilindro!$B$17+1)),0))/((Presion_cilindro!O116+Presion_cilindro!O117)/2)</f>
        <v>0.90257660421161989</v>
      </c>
      <c r="I125" s="27">
        <f>I124*(Presion_cilindro!O116/Presion_cilindro!O117)^Presion_cilindro!$B$9+10*(Presion_cilindro!$B$9-1)*Presion_cilindro!$B$33*(IF(Presion_cilindro!N117&gt;(-I$4+Presion_cilindro!$B$34),1-EXP(-Presion_cilindro!$B$16*((Presion_cilindro!N117-(-I$4+Presion_cilindro!$B$34))/Presion_cilindro!$B$35)^(Presion_cilindro!$B$17+1)),0)-IF(Presion_cilindro!N116&gt;(-I$4+Presion_cilindro!$B$34),1-EXP(-Presion_cilindro!$B$16*((Presion_cilindro!N116-(-I$4+Presion_cilindro!$B$34))/Presion_cilindro!$B$35)^(Presion_cilindro!$B$17+1)),0))/((Presion_cilindro!O116+Presion_cilindro!O117)/2)</f>
        <v>0.90257660421161989</v>
      </c>
      <c r="J125" s="27">
        <f>J124*(Presion_cilindro!O116/Presion_cilindro!O117)^Presion_cilindro!$B$9+10*(Presion_cilindro!$B$9-1)*Presion_cilindro!$B$33*(IF(Presion_cilindro!N117&gt;(-J$4+Presion_cilindro!$B$34),1-EXP(-Presion_cilindro!$B$16*((Presion_cilindro!N117-(-J$4+Presion_cilindro!$B$34))/Presion_cilindro!$B$35)^(Presion_cilindro!$B$17+1)),0)-IF(Presion_cilindro!N116&gt;(-J$4+Presion_cilindro!$B$34),1-EXP(-Presion_cilindro!$B$16*((Presion_cilindro!N116-(-J$4+Presion_cilindro!$B$34))/Presion_cilindro!$B$35)^(Presion_cilindro!$B$17+1)),0))/((Presion_cilindro!O116+Presion_cilindro!O117)/2)</f>
        <v>0.90257660421161989</v>
      </c>
      <c r="K125" s="27">
        <f>K124*(Presion_cilindro!O116/Presion_cilindro!O117)^Presion_cilindro!$B$9+10*(Presion_cilindro!$B$9-1)*Presion_cilindro!$B$33*(IF(Presion_cilindro!N117&gt;(-K$4+Presion_cilindro!$B$34),1-EXP(-Presion_cilindro!$B$16*((Presion_cilindro!N117-(-K$4+Presion_cilindro!$B$34))/Presion_cilindro!$B$35)^(Presion_cilindro!$B$17+1)),0)-IF(Presion_cilindro!N116&gt;(-K$4+Presion_cilindro!$B$34),1-EXP(-Presion_cilindro!$B$16*((Presion_cilindro!N116-(-K$4+Presion_cilindro!$B$34))/Presion_cilindro!$B$35)^(Presion_cilindro!$B$17+1)),0))/((Presion_cilindro!O116+Presion_cilindro!O117)/2)</f>
        <v>0.90257660421161989</v>
      </c>
      <c r="L125" s="27">
        <f>L124*(Presion_cilindro!O116/Presion_cilindro!O117)^Presion_cilindro!$B$9+10*(Presion_cilindro!$B$9-1)*Presion_cilindro!$B$33*(IF(Presion_cilindro!N117&gt;(-L$4+Presion_cilindro!$B$34),1-EXP(-Presion_cilindro!$B$16*((Presion_cilindro!N117-(-L$4+Presion_cilindro!$B$34))/Presion_cilindro!$B$35)^(Presion_cilindro!$B$17+1)),0)-IF(Presion_cilindro!N116&gt;(-L$4+Presion_cilindro!$B$34),1-EXP(-Presion_cilindro!$B$16*((Presion_cilindro!N116-(-L$4+Presion_cilindro!$B$34))/Presion_cilindro!$B$35)^(Presion_cilindro!$B$17+1)),0))/((Presion_cilindro!O116+Presion_cilindro!O117)/2)</f>
        <v>0.90257660421161989</v>
      </c>
      <c r="M125" s="27">
        <f>M124*(Presion_cilindro!O116/Presion_cilindro!O117)^Presion_cilindro!$B$9+10*(Presion_cilindro!$B$9-1)*Presion_cilindro!$B$33*(IF(Presion_cilindro!N117&gt;(-M$4+Presion_cilindro!$B$34),1-EXP(-Presion_cilindro!$B$16*((Presion_cilindro!N117-(-M$4+Presion_cilindro!$B$34))/Presion_cilindro!$B$35)^(Presion_cilindro!$B$17+1)),0)-IF(Presion_cilindro!N116&gt;(-M$4+Presion_cilindro!$B$34),1-EXP(-Presion_cilindro!$B$16*((Presion_cilindro!N116-(-M$4+Presion_cilindro!$B$34))/Presion_cilindro!$B$35)^(Presion_cilindro!$B$17+1)),0))/((Presion_cilindro!O116+Presion_cilindro!O117)/2)</f>
        <v>0.90257660421161989</v>
      </c>
      <c r="N125" s="27">
        <f>N124*(Presion_cilindro!O116/Presion_cilindro!O117)^Presion_cilindro!$B$9+10*(Presion_cilindro!$B$9-1)*Presion_cilindro!$B$33*(IF(Presion_cilindro!N117&gt;(-N$4+Presion_cilindro!$B$34),1-EXP(-Presion_cilindro!$B$16*((Presion_cilindro!N117-(-N$4+Presion_cilindro!$B$34))/Presion_cilindro!$B$35)^(Presion_cilindro!$B$17+1)),0)-IF(Presion_cilindro!N116&gt;(-N$4+Presion_cilindro!$B$34),1-EXP(-Presion_cilindro!$B$16*((Presion_cilindro!N116-(-N$4+Presion_cilindro!$B$34))/Presion_cilindro!$B$35)^(Presion_cilindro!$B$17+1)),0))/((Presion_cilindro!O116+Presion_cilindro!O117)/2)</f>
        <v>0.90257660421161989</v>
      </c>
    </row>
    <row r="126" spans="1:14" x14ac:dyDescent="0.25">
      <c r="A126" s="21">
        <f>Presion_cilindro!N118</f>
        <v>-123</v>
      </c>
      <c r="B126" s="27">
        <f>B125*(Presion_cilindro!O117/Presion_cilindro!O118)^Presion_cilindro!$B$9+10*(Presion_cilindro!$B$9-1)*Presion_cilindro!$B$33*(IF(Presion_cilindro!N118&gt;(-B$4+Presion_cilindro!$B$34),1-EXP(-Presion_cilindro!$B$16*((Presion_cilindro!N118-(-B$4+Presion_cilindro!$B$34))/Presion_cilindro!$B$35)^(Presion_cilindro!$B$17+1)),0)-IF(Presion_cilindro!N117&gt;(-B$4+Presion_cilindro!$B$34),1-EXP(-Presion_cilindro!$B$16*((Presion_cilindro!N117-(-B$4+Presion_cilindro!$B$34))/Presion_cilindro!$B$35)^(Presion_cilindro!$B$17+1)),0))/((Presion_cilindro!O117+Presion_cilindro!O118)/2)</f>
        <v>0.90651024487412757</v>
      </c>
      <c r="C126" s="27">
        <f>C125*(Presion_cilindro!O117/Presion_cilindro!O118)^Presion_cilindro!$B$9+10*(Presion_cilindro!$B$9-1)*Presion_cilindro!$B$33*(IF(Presion_cilindro!N118&gt;(-C$4+Presion_cilindro!$B$34),1-EXP(-Presion_cilindro!$B$16*((Presion_cilindro!N118-(-C$4+Presion_cilindro!$B$34))/Presion_cilindro!$B$35)^(Presion_cilindro!$B$17+1)),0)-IF(Presion_cilindro!N117&gt;(-C$4+Presion_cilindro!$B$34),1-EXP(-Presion_cilindro!$B$16*((Presion_cilindro!N117-(-C$4+Presion_cilindro!$B$34))/Presion_cilindro!$B$35)^(Presion_cilindro!$B$17+1)),0))/((Presion_cilindro!O117+Presion_cilindro!O118)/2)</f>
        <v>0.90651024487412757</v>
      </c>
      <c r="D126" s="27">
        <f>D125*(Presion_cilindro!O117/Presion_cilindro!O118)^Presion_cilindro!$B$9+10*(Presion_cilindro!$B$9-1)*Presion_cilindro!$B$33*(IF(Presion_cilindro!N118&gt;(-D$4+Presion_cilindro!$B$34),1-EXP(-Presion_cilindro!$B$16*((Presion_cilindro!N118-(-D$4+Presion_cilindro!$B$34))/Presion_cilindro!$B$35)^(Presion_cilindro!$B$17+1)),0)-IF(Presion_cilindro!N117&gt;(-D$4+Presion_cilindro!$B$34),1-EXP(-Presion_cilindro!$B$16*((Presion_cilindro!N117-(-D$4+Presion_cilindro!$B$34))/Presion_cilindro!$B$35)^(Presion_cilindro!$B$17+1)),0))/((Presion_cilindro!O117+Presion_cilindro!O118)/2)</f>
        <v>0.90651024487412757</v>
      </c>
      <c r="E126" s="27">
        <f>E125*(Presion_cilindro!O117/Presion_cilindro!O118)^Presion_cilindro!$B$9+10*(Presion_cilindro!$B$9-1)*Presion_cilindro!$B$33*(IF(Presion_cilindro!N118&gt;(-E$4+Presion_cilindro!$B$34),1-EXP(-Presion_cilindro!$B$16*((Presion_cilindro!N118-(-E$4+Presion_cilindro!$B$34))/Presion_cilindro!$B$35)^(Presion_cilindro!$B$17+1)),0)-IF(Presion_cilindro!N117&gt;(-E$4+Presion_cilindro!$B$34),1-EXP(-Presion_cilindro!$B$16*((Presion_cilindro!N117-(-E$4+Presion_cilindro!$B$34))/Presion_cilindro!$B$35)^(Presion_cilindro!$B$17+1)),0))/((Presion_cilindro!O117+Presion_cilindro!O118)/2)</f>
        <v>0.90651024487412757</v>
      </c>
      <c r="F126" s="27">
        <f>F125*(Presion_cilindro!O117/Presion_cilindro!O118)^Presion_cilindro!$B$9+10*(Presion_cilindro!$B$9-1)*Presion_cilindro!$B$33*(IF(Presion_cilindro!N118&gt;(-F$4+Presion_cilindro!$B$34),1-EXP(-Presion_cilindro!$B$16*((Presion_cilindro!N118-(-F$4+Presion_cilindro!$B$34))/Presion_cilindro!$B$35)^(Presion_cilindro!$B$17+1)),0)-IF(Presion_cilindro!N117&gt;(-F$4+Presion_cilindro!$B$34),1-EXP(-Presion_cilindro!$B$16*((Presion_cilindro!N117-(-F$4+Presion_cilindro!$B$34))/Presion_cilindro!$B$35)^(Presion_cilindro!$B$17+1)),0))/((Presion_cilindro!O117+Presion_cilindro!O118)/2)</f>
        <v>0.90651024487412757</v>
      </c>
      <c r="G126" s="27">
        <f>G125*(Presion_cilindro!O117/Presion_cilindro!O118)^Presion_cilindro!$B$9+10*(Presion_cilindro!$B$9-1)*Presion_cilindro!$B$33*(IF(Presion_cilindro!N118&gt;(-G$4+Presion_cilindro!$B$34),1-EXP(-Presion_cilindro!$B$16*((Presion_cilindro!N118-(-G$4+Presion_cilindro!$B$34))/Presion_cilindro!$B$35)^(Presion_cilindro!$B$17+1)),0)-IF(Presion_cilindro!N117&gt;(-G$4+Presion_cilindro!$B$34),1-EXP(-Presion_cilindro!$B$16*((Presion_cilindro!N117-(-G$4+Presion_cilindro!$B$34))/Presion_cilindro!$B$35)^(Presion_cilindro!$B$17+1)),0))/((Presion_cilindro!O117+Presion_cilindro!O118)/2)</f>
        <v>0.90651024487412757</v>
      </c>
      <c r="H126" s="27">
        <f>H125*(Presion_cilindro!O117/Presion_cilindro!O118)^Presion_cilindro!$B$9+10*(Presion_cilindro!$B$9-1)*Presion_cilindro!$B$33*(IF(Presion_cilindro!N118&gt;(-H$4+Presion_cilindro!$B$34),1-EXP(-Presion_cilindro!$B$16*((Presion_cilindro!N118-(-H$4+Presion_cilindro!$B$34))/Presion_cilindro!$B$35)^(Presion_cilindro!$B$17+1)),0)-IF(Presion_cilindro!N117&gt;(-H$4+Presion_cilindro!$B$34),1-EXP(-Presion_cilindro!$B$16*((Presion_cilindro!N117-(-H$4+Presion_cilindro!$B$34))/Presion_cilindro!$B$35)^(Presion_cilindro!$B$17+1)),0))/((Presion_cilindro!O117+Presion_cilindro!O118)/2)</f>
        <v>0.90651024487412757</v>
      </c>
      <c r="I126" s="27">
        <f>I125*(Presion_cilindro!O117/Presion_cilindro!O118)^Presion_cilindro!$B$9+10*(Presion_cilindro!$B$9-1)*Presion_cilindro!$B$33*(IF(Presion_cilindro!N118&gt;(-I$4+Presion_cilindro!$B$34),1-EXP(-Presion_cilindro!$B$16*((Presion_cilindro!N118-(-I$4+Presion_cilindro!$B$34))/Presion_cilindro!$B$35)^(Presion_cilindro!$B$17+1)),0)-IF(Presion_cilindro!N117&gt;(-I$4+Presion_cilindro!$B$34),1-EXP(-Presion_cilindro!$B$16*((Presion_cilindro!N117-(-I$4+Presion_cilindro!$B$34))/Presion_cilindro!$B$35)^(Presion_cilindro!$B$17+1)),0))/((Presion_cilindro!O117+Presion_cilindro!O118)/2)</f>
        <v>0.90651024487412757</v>
      </c>
      <c r="J126" s="27">
        <f>J125*(Presion_cilindro!O117/Presion_cilindro!O118)^Presion_cilindro!$B$9+10*(Presion_cilindro!$B$9-1)*Presion_cilindro!$B$33*(IF(Presion_cilindro!N118&gt;(-J$4+Presion_cilindro!$B$34),1-EXP(-Presion_cilindro!$B$16*((Presion_cilindro!N118-(-J$4+Presion_cilindro!$B$34))/Presion_cilindro!$B$35)^(Presion_cilindro!$B$17+1)),0)-IF(Presion_cilindro!N117&gt;(-J$4+Presion_cilindro!$B$34),1-EXP(-Presion_cilindro!$B$16*((Presion_cilindro!N117-(-J$4+Presion_cilindro!$B$34))/Presion_cilindro!$B$35)^(Presion_cilindro!$B$17+1)),0))/((Presion_cilindro!O117+Presion_cilindro!O118)/2)</f>
        <v>0.90651024487412757</v>
      </c>
      <c r="K126" s="27">
        <f>K125*(Presion_cilindro!O117/Presion_cilindro!O118)^Presion_cilindro!$B$9+10*(Presion_cilindro!$B$9-1)*Presion_cilindro!$B$33*(IF(Presion_cilindro!N118&gt;(-K$4+Presion_cilindro!$B$34),1-EXP(-Presion_cilindro!$B$16*((Presion_cilindro!N118-(-K$4+Presion_cilindro!$B$34))/Presion_cilindro!$B$35)^(Presion_cilindro!$B$17+1)),0)-IF(Presion_cilindro!N117&gt;(-K$4+Presion_cilindro!$B$34),1-EXP(-Presion_cilindro!$B$16*((Presion_cilindro!N117-(-K$4+Presion_cilindro!$B$34))/Presion_cilindro!$B$35)^(Presion_cilindro!$B$17+1)),0))/((Presion_cilindro!O117+Presion_cilindro!O118)/2)</f>
        <v>0.90651024487412757</v>
      </c>
      <c r="L126" s="27">
        <f>L125*(Presion_cilindro!O117/Presion_cilindro!O118)^Presion_cilindro!$B$9+10*(Presion_cilindro!$B$9-1)*Presion_cilindro!$B$33*(IF(Presion_cilindro!N118&gt;(-L$4+Presion_cilindro!$B$34),1-EXP(-Presion_cilindro!$B$16*((Presion_cilindro!N118-(-L$4+Presion_cilindro!$B$34))/Presion_cilindro!$B$35)^(Presion_cilindro!$B$17+1)),0)-IF(Presion_cilindro!N117&gt;(-L$4+Presion_cilindro!$B$34),1-EXP(-Presion_cilindro!$B$16*((Presion_cilindro!N117-(-L$4+Presion_cilindro!$B$34))/Presion_cilindro!$B$35)^(Presion_cilindro!$B$17+1)),0))/((Presion_cilindro!O117+Presion_cilindro!O118)/2)</f>
        <v>0.90651024487412757</v>
      </c>
      <c r="M126" s="27">
        <f>M125*(Presion_cilindro!O117/Presion_cilindro!O118)^Presion_cilindro!$B$9+10*(Presion_cilindro!$B$9-1)*Presion_cilindro!$B$33*(IF(Presion_cilindro!N118&gt;(-M$4+Presion_cilindro!$B$34),1-EXP(-Presion_cilindro!$B$16*((Presion_cilindro!N118-(-M$4+Presion_cilindro!$B$34))/Presion_cilindro!$B$35)^(Presion_cilindro!$B$17+1)),0)-IF(Presion_cilindro!N117&gt;(-M$4+Presion_cilindro!$B$34),1-EXP(-Presion_cilindro!$B$16*((Presion_cilindro!N117-(-M$4+Presion_cilindro!$B$34))/Presion_cilindro!$B$35)^(Presion_cilindro!$B$17+1)),0))/((Presion_cilindro!O117+Presion_cilindro!O118)/2)</f>
        <v>0.90651024487412757</v>
      </c>
      <c r="N126" s="27">
        <f>N125*(Presion_cilindro!O117/Presion_cilindro!O118)^Presion_cilindro!$B$9+10*(Presion_cilindro!$B$9-1)*Presion_cilindro!$B$33*(IF(Presion_cilindro!N118&gt;(-N$4+Presion_cilindro!$B$34),1-EXP(-Presion_cilindro!$B$16*((Presion_cilindro!N118-(-N$4+Presion_cilindro!$B$34))/Presion_cilindro!$B$35)^(Presion_cilindro!$B$17+1)),0)-IF(Presion_cilindro!N117&gt;(-N$4+Presion_cilindro!$B$34),1-EXP(-Presion_cilindro!$B$16*((Presion_cilindro!N117-(-N$4+Presion_cilindro!$B$34))/Presion_cilindro!$B$35)^(Presion_cilindro!$B$17+1)),0))/((Presion_cilindro!O117+Presion_cilindro!O118)/2)</f>
        <v>0.90651024487412757</v>
      </c>
    </row>
    <row r="127" spans="1:14" x14ac:dyDescent="0.25">
      <c r="A127" s="21">
        <f>Presion_cilindro!N119</f>
        <v>-122.5</v>
      </c>
      <c r="B127" s="27">
        <f>B126*(Presion_cilindro!O118/Presion_cilindro!O119)^Presion_cilindro!$B$9+10*(Presion_cilindro!$B$9-1)*Presion_cilindro!$B$33*(IF(Presion_cilindro!N119&gt;(-B$4+Presion_cilindro!$B$34),1-EXP(-Presion_cilindro!$B$16*((Presion_cilindro!N119-(-B$4+Presion_cilindro!$B$34))/Presion_cilindro!$B$35)^(Presion_cilindro!$B$17+1)),0)-IF(Presion_cilindro!N118&gt;(-B$4+Presion_cilindro!$B$34),1-EXP(-Presion_cilindro!$B$16*((Presion_cilindro!N118-(-B$4+Presion_cilindro!$B$34))/Presion_cilindro!$B$35)^(Presion_cilindro!$B$17+1)),0))/((Presion_cilindro!O118+Presion_cilindro!O119)/2)</f>
        <v>0.91050664500887191</v>
      </c>
      <c r="C127" s="27">
        <f>C126*(Presion_cilindro!O118/Presion_cilindro!O119)^Presion_cilindro!$B$9+10*(Presion_cilindro!$B$9-1)*Presion_cilindro!$B$33*(IF(Presion_cilindro!N119&gt;(-C$4+Presion_cilindro!$B$34),1-EXP(-Presion_cilindro!$B$16*((Presion_cilindro!N119-(-C$4+Presion_cilindro!$B$34))/Presion_cilindro!$B$35)^(Presion_cilindro!$B$17+1)),0)-IF(Presion_cilindro!N118&gt;(-C$4+Presion_cilindro!$B$34),1-EXP(-Presion_cilindro!$B$16*((Presion_cilindro!N118-(-C$4+Presion_cilindro!$B$34))/Presion_cilindro!$B$35)^(Presion_cilindro!$B$17+1)),0))/((Presion_cilindro!O118+Presion_cilindro!O119)/2)</f>
        <v>0.91050664500887191</v>
      </c>
      <c r="D127" s="27">
        <f>D126*(Presion_cilindro!O118/Presion_cilindro!O119)^Presion_cilindro!$B$9+10*(Presion_cilindro!$B$9-1)*Presion_cilindro!$B$33*(IF(Presion_cilindro!N119&gt;(-D$4+Presion_cilindro!$B$34),1-EXP(-Presion_cilindro!$B$16*((Presion_cilindro!N119-(-D$4+Presion_cilindro!$B$34))/Presion_cilindro!$B$35)^(Presion_cilindro!$B$17+1)),0)-IF(Presion_cilindro!N118&gt;(-D$4+Presion_cilindro!$B$34),1-EXP(-Presion_cilindro!$B$16*((Presion_cilindro!N118-(-D$4+Presion_cilindro!$B$34))/Presion_cilindro!$B$35)^(Presion_cilindro!$B$17+1)),0))/((Presion_cilindro!O118+Presion_cilindro!O119)/2)</f>
        <v>0.91050664500887191</v>
      </c>
      <c r="E127" s="27">
        <f>E126*(Presion_cilindro!O118/Presion_cilindro!O119)^Presion_cilindro!$B$9+10*(Presion_cilindro!$B$9-1)*Presion_cilindro!$B$33*(IF(Presion_cilindro!N119&gt;(-E$4+Presion_cilindro!$B$34),1-EXP(-Presion_cilindro!$B$16*((Presion_cilindro!N119-(-E$4+Presion_cilindro!$B$34))/Presion_cilindro!$B$35)^(Presion_cilindro!$B$17+1)),0)-IF(Presion_cilindro!N118&gt;(-E$4+Presion_cilindro!$B$34),1-EXP(-Presion_cilindro!$B$16*((Presion_cilindro!N118-(-E$4+Presion_cilindro!$B$34))/Presion_cilindro!$B$35)^(Presion_cilindro!$B$17+1)),0))/((Presion_cilindro!O118+Presion_cilindro!O119)/2)</f>
        <v>0.91050664500887191</v>
      </c>
      <c r="F127" s="27">
        <f>F126*(Presion_cilindro!O118/Presion_cilindro!O119)^Presion_cilindro!$B$9+10*(Presion_cilindro!$B$9-1)*Presion_cilindro!$B$33*(IF(Presion_cilindro!N119&gt;(-F$4+Presion_cilindro!$B$34),1-EXP(-Presion_cilindro!$B$16*((Presion_cilindro!N119-(-F$4+Presion_cilindro!$B$34))/Presion_cilindro!$B$35)^(Presion_cilindro!$B$17+1)),0)-IF(Presion_cilindro!N118&gt;(-F$4+Presion_cilindro!$B$34),1-EXP(-Presion_cilindro!$B$16*((Presion_cilindro!N118-(-F$4+Presion_cilindro!$B$34))/Presion_cilindro!$B$35)^(Presion_cilindro!$B$17+1)),0))/((Presion_cilindro!O118+Presion_cilindro!O119)/2)</f>
        <v>0.91050664500887191</v>
      </c>
      <c r="G127" s="27">
        <f>G126*(Presion_cilindro!O118/Presion_cilindro!O119)^Presion_cilindro!$B$9+10*(Presion_cilindro!$B$9-1)*Presion_cilindro!$B$33*(IF(Presion_cilindro!N119&gt;(-G$4+Presion_cilindro!$B$34),1-EXP(-Presion_cilindro!$B$16*((Presion_cilindro!N119-(-G$4+Presion_cilindro!$B$34))/Presion_cilindro!$B$35)^(Presion_cilindro!$B$17+1)),0)-IF(Presion_cilindro!N118&gt;(-G$4+Presion_cilindro!$B$34),1-EXP(-Presion_cilindro!$B$16*((Presion_cilindro!N118-(-G$4+Presion_cilindro!$B$34))/Presion_cilindro!$B$35)^(Presion_cilindro!$B$17+1)),0))/((Presion_cilindro!O118+Presion_cilindro!O119)/2)</f>
        <v>0.91050664500887191</v>
      </c>
      <c r="H127" s="27">
        <f>H126*(Presion_cilindro!O118/Presion_cilindro!O119)^Presion_cilindro!$B$9+10*(Presion_cilindro!$B$9-1)*Presion_cilindro!$B$33*(IF(Presion_cilindro!N119&gt;(-H$4+Presion_cilindro!$B$34),1-EXP(-Presion_cilindro!$B$16*((Presion_cilindro!N119-(-H$4+Presion_cilindro!$B$34))/Presion_cilindro!$B$35)^(Presion_cilindro!$B$17+1)),0)-IF(Presion_cilindro!N118&gt;(-H$4+Presion_cilindro!$B$34),1-EXP(-Presion_cilindro!$B$16*((Presion_cilindro!N118-(-H$4+Presion_cilindro!$B$34))/Presion_cilindro!$B$35)^(Presion_cilindro!$B$17+1)),0))/((Presion_cilindro!O118+Presion_cilindro!O119)/2)</f>
        <v>0.91050664500887191</v>
      </c>
      <c r="I127" s="27">
        <f>I126*(Presion_cilindro!O118/Presion_cilindro!O119)^Presion_cilindro!$B$9+10*(Presion_cilindro!$B$9-1)*Presion_cilindro!$B$33*(IF(Presion_cilindro!N119&gt;(-I$4+Presion_cilindro!$B$34),1-EXP(-Presion_cilindro!$B$16*((Presion_cilindro!N119-(-I$4+Presion_cilindro!$B$34))/Presion_cilindro!$B$35)^(Presion_cilindro!$B$17+1)),0)-IF(Presion_cilindro!N118&gt;(-I$4+Presion_cilindro!$B$34),1-EXP(-Presion_cilindro!$B$16*((Presion_cilindro!N118-(-I$4+Presion_cilindro!$B$34))/Presion_cilindro!$B$35)^(Presion_cilindro!$B$17+1)),0))/((Presion_cilindro!O118+Presion_cilindro!O119)/2)</f>
        <v>0.91050664500887191</v>
      </c>
      <c r="J127" s="27">
        <f>J126*(Presion_cilindro!O118/Presion_cilindro!O119)^Presion_cilindro!$B$9+10*(Presion_cilindro!$B$9-1)*Presion_cilindro!$B$33*(IF(Presion_cilindro!N119&gt;(-J$4+Presion_cilindro!$B$34),1-EXP(-Presion_cilindro!$B$16*((Presion_cilindro!N119-(-J$4+Presion_cilindro!$B$34))/Presion_cilindro!$B$35)^(Presion_cilindro!$B$17+1)),0)-IF(Presion_cilindro!N118&gt;(-J$4+Presion_cilindro!$B$34),1-EXP(-Presion_cilindro!$B$16*((Presion_cilindro!N118-(-J$4+Presion_cilindro!$B$34))/Presion_cilindro!$B$35)^(Presion_cilindro!$B$17+1)),0))/((Presion_cilindro!O118+Presion_cilindro!O119)/2)</f>
        <v>0.91050664500887191</v>
      </c>
      <c r="K127" s="27">
        <f>K126*(Presion_cilindro!O118/Presion_cilindro!O119)^Presion_cilindro!$B$9+10*(Presion_cilindro!$B$9-1)*Presion_cilindro!$B$33*(IF(Presion_cilindro!N119&gt;(-K$4+Presion_cilindro!$B$34),1-EXP(-Presion_cilindro!$B$16*((Presion_cilindro!N119-(-K$4+Presion_cilindro!$B$34))/Presion_cilindro!$B$35)^(Presion_cilindro!$B$17+1)),0)-IF(Presion_cilindro!N118&gt;(-K$4+Presion_cilindro!$B$34),1-EXP(-Presion_cilindro!$B$16*((Presion_cilindro!N118-(-K$4+Presion_cilindro!$B$34))/Presion_cilindro!$B$35)^(Presion_cilindro!$B$17+1)),0))/((Presion_cilindro!O118+Presion_cilindro!O119)/2)</f>
        <v>0.91050664500887191</v>
      </c>
      <c r="L127" s="27">
        <f>L126*(Presion_cilindro!O118/Presion_cilindro!O119)^Presion_cilindro!$B$9+10*(Presion_cilindro!$B$9-1)*Presion_cilindro!$B$33*(IF(Presion_cilindro!N119&gt;(-L$4+Presion_cilindro!$B$34),1-EXP(-Presion_cilindro!$B$16*((Presion_cilindro!N119-(-L$4+Presion_cilindro!$B$34))/Presion_cilindro!$B$35)^(Presion_cilindro!$B$17+1)),0)-IF(Presion_cilindro!N118&gt;(-L$4+Presion_cilindro!$B$34),1-EXP(-Presion_cilindro!$B$16*((Presion_cilindro!N118-(-L$4+Presion_cilindro!$B$34))/Presion_cilindro!$B$35)^(Presion_cilindro!$B$17+1)),0))/((Presion_cilindro!O118+Presion_cilindro!O119)/2)</f>
        <v>0.91050664500887191</v>
      </c>
      <c r="M127" s="27">
        <f>M126*(Presion_cilindro!O118/Presion_cilindro!O119)^Presion_cilindro!$B$9+10*(Presion_cilindro!$B$9-1)*Presion_cilindro!$B$33*(IF(Presion_cilindro!N119&gt;(-M$4+Presion_cilindro!$B$34),1-EXP(-Presion_cilindro!$B$16*((Presion_cilindro!N119-(-M$4+Presion_cilindro!$B$34))/Presion_cilindro!$B$35)^(Presion_cilindro!$B$17+1)),0)-IF(Presion_cilindro!N118&gt;(-M$4+Presion_cilindro!$B$34),1-EXP(-Presion_cilindro!$B$16*((Presion_cilindro!N118-(-M$4+Presion_cilindro!$B$34))/Presion_cilindro!$B$35)^(Presion_cilindro!$B$17+1)),0))/((Presion_cilindro!O118+Presion_cilindro!O119)/2)</f>
        <v>0.91050664500887191</v>
      </c>
      <c r="N127" s="27">
        <f>N126*(Presion_cilindro!O118/Presion_cilindro!O119)^Presion_cilindro!$B$9+10*(Presion_cilindro!$B$9-1)*Presion_cilindro!$B$33*(IF(Presion_cilindro!N119&gt;(-N$4+Presion_cilindro!$B$34),1-EXP(-Presion_cilindro!$B$16*((Presion_cilindro!N119-(-N$4+Presion_cilindro!$B$34))/Presion_cilindro!$B$35)^(Presion_cilindro!$B$17+1)),0)-IF(Presion_cilindro!N118&gt;(-N$4+Presion_cilindro!$B$34),1-EXP(-Presion_cilindro!$B$16*((Presion_cilindro!N118-(-N$4+Presion_cilindro!$B$34))/Presion_cilindro!$B$35)^(Presion_cilindro!$B$17+1)),0))/((Presion_cilindro!O118+Presion_cilindro!O119)/2)</f>
        <v>0.91050664500887191</v>
      </c>
    </row>
    <row r="128" spans="1:14" x14ac:dyDescent="0.25">
      <c r="A128" s="21">
        <f>Presion_cilindro!N120</f>
        <v>-122</v>
      </c>
      <c r="B128" s="27">
        <f>B127*(Presion_cilindro!O119/Presion_cilindro!O120)^Presion_cilindro!$B$9+10*(Presion_cilindro!$B$9-1)*Presion_cilindro!$B$33*(IF(Presion_cilindro!N120&gt;(-B$4+Presion_cilindro!$B$34),1-EXP(-Presion_cilindro!$B$16*((Presion_cilindro!N120-(-B$4+Presion_cilindro!$B$34))/Presion_cilindro!$B$35)^(Presion_cilindro!$B$17+1)),0)-IF(Presion_cilindro!N119&gt;(-B$4+Presion_cilindro!$B$34),1-EXP(-Presion_cilindro!$B$16*((Presion_cilindro!N119-(-B$4+Presion_cilindro!$B$34))/Presion_cilindro!$B$35)^(Presion_cilindro!$B$17+1)),0))/((Presion_cilindro!O119+Presion_cilindro!O120)/2)</f>
        <v>0.91456676835238615</v>
      </c>
      <c r="C128" s="27">
        <f>C127*(Presion_cilindro!O119/Presion_cilindro!O120)^Presion_cilindro!$B$9+10*(Presion_cilindro!$B$9-1)*Presion_cilindro!$B$33*(IF(Presion_cilindro!N120&gt;(-C$4+Presion_cilindro!$B$34),1-EXP(-Presion_cilindro!$B$16*((Presion_cilindro!N120-(-C$4+Presion_cilindro!$B$34))/Presion_cilindro!$B$35)^(Presion_cilindro!$B$17+1)),0)-IF(Presion_cilindro!N119&gt;(-C$4+Presion_cilindro!$B$34),1-EXP(-Presion_cilindro!$B$16*((Presion_cilindro!N119-(-C$4+Presion_cilindro!$B$34))/Presion_cilindro!$B$35)^(Presion_cilindro!$B$17+1)),0))/((Presion_cilindro!O119+Presion_cilindro!O120)/2)</f>
        <v>0.91456676835238615</v>
      </c>
      <c r="D128" s="27">
        <f>D127*(Presion_cilindro!O119/Presion_cilindro!O120)^Presion_cilindro!$B$9+10*(Presion_cilindro!$B$9-1)*Presion_cilindro!$B$33*(IF(Presion_cilindro!N120&gt;(-D$4+Presion_cilindro!$B$34),1-EXP(-Presion_cilindro!$B$16*((Presion_cilindro!N120-(-D$4+Presion_cilindro!$B$34))/Presion_cilindro!$B$35)^(Presion_cilindro!$B$17+1)),0)-IF(Presion_cilindro!N119&gt;(-D$4+Presion_cilindro!$B$34),1-EXP(-Presion_cilindro!$B$16*((Presion_cilindro!N119-(-D$4+Presion_cilindro!$B$34))/Presion_cilindro!$B$35)^(Presion_cilindro!$B$17+1)),0))/((Presion_cilindro!O119+Presion_cilindro!O120)/2)</f>
        <v>0.91456676835238615</v>
      </c>
      <c r="E128" s="27">
        <f>E127*(Presion_cilindro!O119/Presion_cilindro!O120)^Presion_cilindro!$B$9+10*(Presion_cilindro!$B$9-1)*Presion_cilindro!$B$33*(IF(Presion_cilindro!N120&gt;(-E$4+Presion_cilindro!$B$34),1-EXP(-Presion_cilindro!$B$16*((Presion_cilindro!N120-(-E$4+Presion_cilindro!$B$34))/Presion_cilindro!$B$35)^(Presion_cilindro!$B$17+1)),0)-IF(Presion_cilindro!N119&gt;(-E$4+Presion_cilindro!$B$34),1-EXP(-Presion_cilindro!$B$16*((Presion_cilindro!N119-(-E$4+Presion_cilindro!$B$34))/Presion_cilindro!$B$35)^(Presion_cilindro!$B$17+1)),0))/((Presion_cilindro!O119+Presion_cilindro!O120)/2)</f>
        <v>0.91456676835238615</v>
      </c>
      <c r="F128" s="27">
        <f>F127*(Presion_cilindro!O119/Presion_cilindro!O120)^Presion_cilindro!$B$9+10*(Presion_cilindro!$B$9-1)*Presion_cilindro!$B$33*(IF(Presion_cilindro!N120&gt;(-F$4+Presion_cilindro!$B$34),1-EXP(-Presion_cilindro!$B$16*((Presion_cilindro!N120-(-F$4+Presion_cilindro!$B$34))/Presion_cilindro!$B$35)^(Presion_cilindro!$B$17+1)),0)-IF(Presion_cilindro!N119&gt;(-F$4+Presion_cilindro!$B$34),1-EXP(-Presion_cilindro!$B$16*((Presion_cilindro!N119-(-F$4+Presion_cilindro!$B$34))/Presion_cilindro!$B$35)^(Presion_cilindro!$B$17+1)),0))/((Presion_cilindro!O119+Presion_cilindro!O120)/2)</f>
        <v>0.91456676835238615</v>
      </c>
      <c r="G128" s="27">
        <f>G127*(Presion_cilindro!O119/Presion_cilindro!O120)^Presion_cilindro!$B$9+10*(Presion_cilindro!$B$9-1)*Presion_cilindro!$B$33*(IF(Presion_cilindro!N120&gt;(-G$4+Presion_cilindro!$B$34),1-EXP(-Presion_cilindro!$B$16*((Presion_cilindro!N120-(-G$4+Presion_cilindro!$B$34))/Presion_cilindro!$B$35)^(Presion_cilindro!$B$17+1)),0)-IF(Presion_cilindro!N119&gt;(-G$4+Presion_cilindro!$B$34),1-EXP(-Presion_cilindro!$B$16*((Presion_cilindro!N119-(-G$4+Presion_cilindro!$B$34))/Presion_cilindro!$B$35)^(Presion_cilindro!$B$17+1)),0))/((Presion_cilindro!O119+Presion_cilindro!O120)/2)</f>
        <v>0.91456676835238615</v>
      </c>
      <c r="H128" s="27">
        <f>H127*(Presion_cilindro!O119/Presion_cilindro!O120)^Presion_cilindro!$B$9+10*(Presion_cilindro!$B$9-1)*Presion_cilindro!$B$33*(IF(Presion_cilindro!N120&gt;(-H$4+Presion_cilindro!$B$34),1-EXP(-Presion_cilindro!$B$16*((Presion_cilindro!N120-(-H$4+Presion_cilindro!$B$34))/Presion_cilindro!$B$35)^(Presion_cilindro!$B$17+1)),0)-IF(Presion_cilindro!N119&gt;(-H$4+Presion_cilindro!$B$34),1-EXP(-Presion_cilindro!$B$16*((Presion_cilindro!N119-(-H$4+Presion_cilindro!$B$34))/Presion_cilindro!$B$35)^(Presion_cilindro!$B$17+1)),0))/((Presion_cilindro!O119+Presion_cilindro!O120)/2)</f>
        <v>0.91456676835238615</v>
      </c>
      <c r="I128" s="27">
        <f>I127*(Presion_cilindro!O119/Presion_cilindro!O120)^Presion_cilindro!$B$9+10*(Presion_cilindro!$B$9-1)*Presion_cilindro!$B$33*(IF(Presion_cilindro!N120&gt;(-I$4+Presion_cilindro!$B$34),1-EXP(-Presion_cilindro!$B$16*((Presion_cilindro!N120-(-I$4+Presion_cilindro!$B$34))/Presion_cilindro!$B$35)^(Presion_cilindro!$B$17+1)),0)-IF(Presion_cilindro!N119&gt;(-I$4+Presion_cilindro!$B$34),1-EXP(-Presion_cilindro!$B$16*((Presion_cilindro!N119-(-I$4+Presion_cilindro!$B$34))/Presion_cilindro!$B$35)^(Presion_cilindro!$B$17+1)),0))/((Presion_cilindro!O119+Presion_cilindro!O120)/2)</f>
        <v>0.91456676835238615</v>
      </c>
      <c r="J128" s="27">
        <f>J127*(Presion_cilindro!O119/Presion_cilindro!O120)^Presion_cilindro!$B$9+10*(Presion_cilindro!$B$9-1)*Presion_cilindro!$B$33*(IF(Presion_cilindro!N120&gt;(-J$4+Presion_cilindro!$B$34),1-EXP(-Presion_cilindro!$B$16*((Presion_cilindro!N120-(-J$4+Presion_cilindro!$B$34))/Presion_cilindro!$B$35)^(Presion_cilindro!$B$17+1)),0)-IF(Presion_cilindro!N119&gt;(-J$4+Presion_cilindro!$B$34),1-EXP(-Presion_cilindro!$B$16*((Presion_cilindro!N119-(-J$4+Presion_cilindro!$B$34))/Presion_cilindro!$B$35)^(Presion_cilindro!$B$17+1)),0))/((Presion_cilindro!O119+Presion_cilindro!O120)/2)</f>
        <v>0.91456676835238615</v>
      </c>
      <c r="K128" s="27">
        <f>K127*(Presion_cilindro!O119/Presion_cilindro!O120)^Presion_cilindro!$B$9+10*(Presion_cilindro!$B$9-1)*Presion_cilindro!$B$33*(IF(Presion_cilindro!N120&gt;(-K$4+Presion_cilindro!$B$34),1-EXP(-Presion_cilindro!$B$16*((Presion_cilindro!N120-(-K$4+Presion_cilindro!$B$34))/Presion_cilindro!$B$35)^(Presion_cilindro!$B$17+1)),0)-IF(Presion_cilindro!N119&gt;(-K$4+Presion_cilindro!$B$34),1-EXP(-Presion_cilindro!$B$16*((Presion_cilindro!N119-(-K$4+Presion_cilindro!$B$34))/Presion_cilindro!$B$35)^(Presion_cilindro!$B$17+1)),0))/((Presion_cilindro!O119+Presion_cilindro!O120)/2)</f>
        <v>0.91456676835238615</v>
      </c>
      <c r="L128" s="27">
        <f>L127*(Presion_cilindro!O119/Presion_cilindro!O120)^Presion_cilindro!$B$9+10*(Presion_cilindro!$B$9-1)*Presion_cilindro!$B$33*(IF(Presion_cilindro!N120&gt;(-L$4+Presion_cilindro!$B$34),1-EXP(-Presion_cilindro!$B$16*((Presion_cilindro!N120-(-L$4+Presion_cilindro!$B$34))/Presion_cilindro!$B$35)^(Presion_cilindro!$B$17+1)),0)-IF(Presion_cilindro!N119&gt;(-L$4+Presion_cilindro!$B$34),1-EXP(-Presion_cilindro!$B$16*((Presion_cilindro!N119-(-L$4+Presion_cilindro!$B$34))/Presion_cilindro!$B$35)^(Presion_cilindro!$B$17+1)),0))/((Presion_cilindro!O119+Presion_cilindro!O120)/2)</f>
        <v>0.91456676835238615</v>
      </c>
      <c r="M128" s="27">
        <f>M127*(Presion_cilindro!O119/Presion_cilindro!O120)^Presion_cilindro!$B$9+10*(Presion_cilindro!$B$9-1)*Presion_cilindro!$B$33*(IF(Presion_cilindro!N120&gt;(-M$4+Presion_cilindro!$B$34),1-EXP(-Presion_cilindro!$B$16*((Presion_cilindro!N120-(-M$4+Presion_cilindro!$B$34))/Presion_cilindro!$B$35)^(Presion_cilindro!$B$17+1)),0)-IF(Presion_cilindro!N119&gt;(-M$4+Presion_cilindro!$B$34),1-EXP(-Presion_cilindro!$B$16*((Presion_cilindro!N119-(-M$4+Presion_cilindro!$B$34))/Presion_cilindro!$B$35)^(Presion_cilindro!$B$17+1)),0))/((Presion_cilindro!O119+Presion_cilindro!O120)/2)</f>
        <v>0.91456676835238615</v>
      </c>
      <c r="N128" s="27">
        <f>N127*(Presion_cilindro!O119/Presion_cilindro!O120)^Presion_cilindro!$B$9+10*(Presion_cilindro!$B$9-1)*Presion_cilindro!$B$33*(IF(Presion_cilindro!N120&gt;(-N$4+Presion_cilindro!$B$34),1-EXP(-Presion_cilindro!$B$16*((Presion_cilindro!N120-(-N$4+Presion_cilindro!$B$34))/Presion_cilindro!$B$35)^(Presion_cilindro!$B$17+1)),0)-IF(Presion_cilindro!N119&gt;(-N$4+Presion_cilindro!$B$34),1-EXP(-Presion_cilindro!$B$16*((Presion_cilindro!N119-(-N$4+Presion_cilindro!$B$34))/Presion_cilindro!$B$35)^(Presion_cilindro!$B$17+1)),0))/((Presion_cilindro!O119+Presion_cilindro!O120)/2)</f>
        <v>0.91456676835238615</v>
      </c>
    </row>
    <row r="129" spans="1:14" x14ac:dyDescent="0.25">
      <c r="A129" s="21">
        <f>Presion_cilindro!N121</f>
        <v>-121.5</v>
      </c>
      <c r="B129" s="27">
        <f>B128*(Presion_cilindro!O120/Presion_cilindro!O121)^Presion_cilindro!$B$9+10*(Presion_cilindro!$B$9-1)*Presion_cilindro!$B$33*(IF(Presion_cilindro!N121&gt;(-B$4+Presion_cilindro!$B$34),1-EXP(-Presion_cilindro!$B$16*((Presion_cilindro!N121-(-B$4+Presion_cilindro!$B$34))/Presion_cilindro!$B$35)^(Presion_cilindro!$B$17+1)),0)-IF(Presion_cilindro!N120&gt;(-B$4+Presion_cilindro!$B$34),1-EXP(-Presion_cilindro!$B$16*((Presion_cilindro!N120-(-B$4+Presion_cilindro!$B$34))/Presion_cilindro!$B$35)^(Presion_cilindro!$B$17+1)),0))/((Presion_cilindro!O120+Presion_cilindro!O121)/2)</f>
        <v>0.91869159887676355</v>
      </c>
      <c r="C129" s="27">
        <f>C128*(Presion_cilindro!O120/Presion_cilindro!O121)^Presion_cilindro!$B$9+10*(Presion_cilindro!$B$9-1)*Presion_cilindro!$B$33*(IF(Presion_cilindro!N121&gt;(-C$4+Presion_cilindro!$B$34),1-EXP(-Presion_cilindro!$B$16*((Presion_cilindro!N121-(-C$4+Presion_cilindro!$B$34))/Presion_cilindro!$B$35)^(Presion_cilindro!$B$17+1)),0)-IF(Presion_cilindro!N120&gt;(-C$4+Presion_cilindro!$B$34),1-EXP(-Presion_cilindro!$B$16*((Presion_cilindro!N120-(-C$4+Presion_cilindro!$B$34))/Presion_cilindro!$B$35)^(Presion_cilindro!$B$17+1)),0))/((Presion_cilindro!O120+Presion_cilindro!O121)/2)</f>
        <v>0.91869159887676355</v>
      </c>
      <c r="D129" s="27">
        <f>D128*(Presion_cilindro!O120/Presion_cilindro!O121)^Presion_cilindro!$B$9+10*(Presion_cilindro!$B$9-1)*Presion_cilindro!$B$33*(IF(Presion_cilindro!N121&gt;(-D$4+Presion_cilindro!$B$34),1-EXP(-Presion_cilindro!$B$16*((Presion_cilindro!N121-(-D$4+Presion_cilindro!$B$34))/Presion_cilindro!$B$35)^(Presion_cilindro!$B$17+1)),0)-IF(Presion_cilindro!N120&gt;(-D$4+Presion_cilindro!$B$34),1-EXP(-Presion_cilindro!$B$16*((Presion_cilindro!N120-(-D$4+Presion_cilindro!$B$34))/Presion_cilindro!$B$35)^(Presion_cilindro!$B$17+1)),0))/((Presion_cilindro!O120+Presion_cilindro!O121)/2)</f>
        <v>0.91869159887676355</v>
      </c>
      <c r="E129" s="27">
        <f>E128*(Presion_cilindro!O120/Presion_cilindro!O121)^Presion_cilindro!$B$9+10*(Presion_cilindro!$B$9-1)*Presion_cilindro!$B$33*(IF(Presion_cilindro!N121&gt;(-E$4+Presion_cilindro!$B$34),1-EXP(-Presion_cilindro!$B$16*((Presion_cilindro!N121-(-E$4+Presion_cilindro!$B$34))/Presion_cilindro!$B$35)^(Presion_cilindro!$B$17+1)),0)-IF(Presion_cilindro!N120&gt;(-E$4+Presion_cilindro!$B$34),1-EXP(-Presion_cilindro!$B$16*((Presion_cilindro!N120-(-E$4+Presion_cilindro!$B$34))/Presion_cilindro!$B$35)^(Presion_cilindro!$B$17+1)),0))/((Presion_cilindro!O120+Presion_cilindro!O121)/2)</f>
        <v>0.91869159887676355</v>
      </c>
      <c r="F129" s="27">
        <f>F128*(Presion_cilindro!O120/Presion_cilindro!O121)^Presion_cilindro!$B$9+10*(Presion_cilindro!$B$9-1)*Presion_cilindro!$B$33*(IF(Presion_cilindro!N121&gt;(-F$4+Presion_cilindro!$B$34),1-EXP(-Presion_cilindro!$B$16*((Presion_cilindro!N121-(-F$4+Presion_cilindro!$B$34))/Presion_cilindro!$B$35)^(Presion_cilindro!$B$17+1)),0)-IF(Presion_cilindro!N120&gt;(-F$4+Presion_cilindro!$B$34),1-EXP(-Presion_cilindro!$B$16*((Presion_cilindro!N120-(-F$4+Presion_cilindro!$B$34))/Presion_cilindro!$B$35)^(Presion_cilindro!$B$17+1)),0))/((Presion_cilindro!O120+Presion_cilindro!O121)/2)</f>
        <v>0.91869159887676355</v>
      </c>
      <c r="G129" s="27">
        <f>G128*(Presion_cilindro!O120/Presion_cilindro!O121)^Presion_cilindro!$B$9+10*(Presion_cilindro!$B$9-1)*Presion_cilindro!$B$33*(IF(Presion_cilindro!N121&gt;(-G$4+Presion_cilindro!$B$34),1-EXP(-Presion_cilindro!$B$16*((Presion_cilindro!N121-(-G$4+Presion_cilindro!$B$34))/Presion_cilindro!$B$35)^(Presion_cilindro!$B$17+1)),0)-IF(Presion_cilindro!N120&gt;(-G$4+Presion_cilindro!$B$34),1-EXP(-Presion_cilindro!$B$16*((Presion_cilindro!N120-(-G$4+Presion_cilindro!$B$34))/Presion_cilindro!$B$35)^(Presion_cilindro!$B$17+1)),0))/((Presion_cilindro!O120+Presion_cilindro!O121)/2)</f>
        <v>0.91869159887676355</v>
      </c>
      <c r="H129" s="27">
        <f>H128*(Presion_cilindro!O120/Presion_cilindro!O121)^Presion_cilindro!$B$9+10*(Presion_cilindro!$B$9-1)*Presion_cilindro!$B$33*(IF(Presion_cilindro!N121&gt;(-H$4+Presion_cilindro!$B$34),1-EXP(-Presion_cilindro!$B$16*((Presion_cilindro!N121-(-H$4+Presion_cilindro!$B$34))/Presion_cilindro!$B$35)^(Presion_cilindro!$B$17+1)),0)-IF(Presion_cilindro!N120&gt;(-H$4+Presion_cilindro!$B$34),1-EXP(-Presion_cilindro!$B$16*((Presion_cilindro!N120-(-H$4+Presion_cilindro!$B$34))/Presion_cilindro!$B$35)^(Presion_cilindro!$B$17+1)),0))/((Presion_cilindro!O120+Presion_cilindro!O121)/2)</f>
        <v>0.91869159887676355</v>
      </c>
      <c r="I129" s="27">
        <f>I128*(Presion_cilindro!O120/Presion_cilindro!O121)^Presion_cilindro!$B$9+10*(Presion_cilindro!$B$9-1)*Presion_cilindro!$B$33*(IF(Presion_cilindro!N121&gt;(-I$4+Presion_cilindro!$B$34),1-EXP(-Presion_cilindro!$B$16*((Presion_cilindro!N121-(-I$4+Presion_cilindro!$B$34))/Presion_cilindro!$B$35)^(Presion_cilindro!$B$17+1)),0)-IF(Presion_cilindro!N120&gt;(-I$4+Presion_cilindro!$B$34),1-EXP(-Presion_cilindro!$B$16*((Presion_cilindro!N120-(-I$4+Presion_cilindro!$B$34))/Presion_cilindro!$B$35)^(Presion_cilindro!$B$17+1)),0))/((Presion_cilindro!O120+Presion_cilindro!O121)/2)</f>
        <v>0.91869159887676355</v>
      </c>
      <c r="J129" s="27">
        <f>J128*(Presion_cilindro!O120/Presion_cilindro!O121)^Presion_cilindro!$B$9+10*(Presion_cilindro!$B$9-1)*Presion_cilindro!$B$33*(IF(Presion_cilindro!N121&gt;(-J$4+Presion_cilindro!$B$34),1-EXP(-Presion_cilindro!$B$16*((Presion_cilindro!N121-(-J$4+Presion_cilindro!$B$34))/Presion_cilindro!$B$35)^(Presion_cilindro!$B$17+1)),0)-IF(Presion_cilindro!N120&gt;(-J$4+Presion_cilindro!$B$34),1-EXP(-Presion_cilindro!$B$16*((Presion_cilindro!N120-(-J$4+Presion_cilindro!$B$34))/Presion_cilindro!$B$35)^(Presion_cilindro!$B$17+1)),0))/((Presion_cilindro!O120+Presion_cilindro!O121)/2)</f>
        <v>0.91869159887676355</v>
      </c>
      <c r="K129" s="27">
        <f>K128*(Presion_cilindro!O120/Presion_cilindro!O121)^Presion_cilindro!$B$9+10*(Presion_cilindro!$B$9-1)*Presion_cilindro!$B$33*(IF(Presion_cilindro!N121&gt;(-K$4+Presion_cilindro!$B$34),1-EXP(-Presion_cilindro!$B$16*((Presion_cilindro!N121-(-K$4+Presion_cilindro!$B$34))/Presion_cilindro!$B$35)^(Presion_cilindro!$B$17+1)),0)-IF(Presion_cilindro!N120&gt;(-K$4+Presion_cilindro!$B$34),1-EXP(-Presion_cilindro!$B$16*((Presion_cilindro!N120-(-K$4+Presion_cilindro!$B$34))/Presion_cilindro!$B$35)^(Presion_cilindro!$B$17+1)),0))/((Presion_cilindro!O120+Presion_cilindro!O121)/2)</f>
        <v>0.91869159887676355</v>
      </c>
      <c r="L129" s="27">
        <f>L128*(Presion_cilindro!O120/Presion_cilindro!O121)^Presion_cilindro!$B$9+10*(Presion_cilindro!$B$9-1)*Presion_cilindro!$B$33*(IF(Presion_cilindro!N121&gt;(-L$4+Presion_cilindro!$B$34),1-EXP(-Presion_cilindro!$B$16*((Presion_cilindro!N121-(-L$4+Presion_cilindro!$B$34))/Presion_cilindro!$B$35)^(Presion_cilindro!$B$17+1)),0)-IF(Presion_cilindro!N120&gt;(-L$4+Presion_cilindro!$B$34),1-EXP(-Presion_cilindro!$B$16*((Presion_cilindro!N120-(-L$4+Presion_cilindro!$B$34))/Presion_cilindro!$B$35)^(Presion_cilindro!$B$17+1)),0))/((Presion_cilindro!O120+Presion_cilindro!O121)/2)</f>
        <v>0.91869159887676355</v>
      </c>
      <c r="M129" s="27">
        <f>M128*(Presion_cilindro!O120/Presion_cilindro!O121)^Presion_cilindro!$B$9+10*(Presion_cilindro!$B$9-1)*Presion_cilindro!$B$33*(IF(Presion_cilindro!N121&gt;(-M$4+Presion_cilindro!$B$34),1-EXP(-Presion_cilindro!$B$16*((Presion_cilindro!N121-(-M$4+Presion_cilindro!$B$34))/Presion_cilindro!$B$35)^(Presion_cilindro!$B$17+1)),0)-IF(Presion_cilindro!N120&gt;(-M$4+Presion_cilindro!$B$34),1-EXP(-Presion_cilindro!$B$16*((Presion_cilindro!N120-(-M$4+Presion_cilindro!$B$34))/Presion_cilindro!$B$35)^(Presion_cilindro!$B$17+1)),0))/((Presion_cilindro!O120+Presion_cilindro!O121)/2)</f>
        <v>0.91869159887676355</v>
      </c>
      <c r="N129" s="27">
        <f>N128*(Presion_cilindro!O120/Presion_cilindro!O121)^Presion_cilindro!$B$9+10*(Presion_cilindro!$B$9-1)*Presion_cilindro!$B$33*(IF(Presion_cilindro!N121&gt;(-N$4+Presion_cilindro!$B$34),1-EXP(-Presion_cilindro!$B$16*((Presion_cilindro!N121-(-N$4+Presion_cilindro!$B$34))/Presion_cilindro!$B$35)^(Presion_cilindro!$B$17+1)),0)-IF(Presion_cilindro!N120&gt;(-N$4+Presion_cilindro!$B$34),1-EXP(-Presion_cilindro!$B$16*((Presion_cilindro!N120-(-N$4+Presion_cilindro!$B$34))/Presion_cilindro!$B$35)^(Presion_cilindro!$B$17+1)),0))/((Presion_cilindro!O120+Presion_cilindro!O121)/2)</f>
        <v>0.91869159887676355</v>
      </c>
    </row>
    <row r="130" spans="1:14" x14ac:dyDescent="0.25">
      <c r="A130" s="21">
        <f>Presion_cilindro!N122</f>
        <v>-121</v>
      </c>
      <c r="B130" s="27">
        <f>B129*(Presion_cilindro!O121/Presion_cilindro!O122)^Presion_cilindro!$B$9+10*(Presion_cilindro!$B$9-1)*Presion_cilindro!$B$33*(IF(Presion_cilindro!N122&gt;(-B$4+Presion_cilindro!$B$34),1-EXP(-Presion_cilindro!$B$16*((Presion_cilindro!N122-(-B$4+Presion_cilindro!$B$34))/Presion_cilindro!$B$35)^(Presion_cilindro!$B$17+1)),0)-IF(Presion_cilindro!N121&gt;(-B$4+Presion_cilindro!$B$34),1-EXP(-Presion_cilindro!$B$16*((Presion_cilindro!N121-(-B$4+Presion_cilindro!$B$34))/Presion_cilindro!$B$35)^(Presion_cilindro!$B$17+1)),0))/((Presion_cilindro!O121+Presion_cilindro!O122)/2)</f>
        <v>0.92288214124185797</v>
      </c>
      <c r="C130" s="27">
        <f>C129*(Presion_cilindro!O121/Presion_cilindro!O122)^Presion_cilindro!$B$9+10*(Presion_cilindro!$B$9-1)*Presion_cilindro!$B$33*(IF(Presion_cilindro!N122&gt;(-C$4+Presion_cilindro!$B$34),1-EXP(-Presion_cilindro!$B$16*((Presion_cilindro!N122-(-C$4+Presion_cilindro!$B$34))/Presion_cilindro!$B$35)^(Presion_cilindro!$B$17+1)),0)-IF(Presion_cilindro!N121&gt;(-C$4+Presion_cilindro!$B$34),1-EXP(-Presion_cilindro!$B$16*((Presion_cilindro!N121-(-C$4+Presion_cilindro!$B$34))/Presion_cilindro!$B$35)^(Presion_cilindro!$B$17+1)),0))/((Presion_cilindro!O121+Presion_cilindro!O122)/2)</f>
        <v>0.92288214124185797</v>
      </c>
      <c r="D130" s="27">
        <f>D129*(Presion_cilindro!O121/Presion_cilindro!O122)^Presion_cilindro!$B$9+10*(Presion_cilindro!$B$9-1)*Presion_cilindro!$B$33*(IF(Presion_cilindro!N122&gt;(-D$4+Presion_cilindro!$B$34),1-EXP(-Presion_cilindro!$B$16*((Presion_cilindro!N122-(-D$4+Presion_cilindro!$B$34))/Presion_cilindro!$B$35)^(Presion_cilindro!$B$17+1)),0)-IF(Presion_cilindro!N121&gt;(-D$4+Presion_cilindro!$B$34),1-EXP(-Presion_cilindro!$B$16*((Presion_cilindro!N121-(-D$4+Presion_cilindro!$B$34))/Presion_cilindro!$B$35)^(Presion_cilindro!$B$17+1)),0))/((Presion_cilindro!O121+Presion_cilindro!O122)/2)</f>
        <v>0.92288214124185797</v>
      </c>
      <c r="E130" s="27">
        <f>E129*(Presion_cilindro!O121/Presion_cilindro!O122)^Presion_cilindro!$B$9+10*(Presion_cilindro!$B$9-1)*Presion_cilindro!$B$33*(IF(Presion_cilindro!N122&gt;(-E$4+Presion_cilindro!$B$34),1-EXP(-Presion_cilindro!$B$16*((Presion_cilindro!N122-(-E$4+Presion_cilindro!$B$34))/Presion_cilindro!$B$35)^(Presion_cilindro!$B$17+1)),0)-IF(Presion_cilindro!N121&gt;(-E$4+Presion_cilindro!$B$34),1-EXP(-Presion_cilindro!$B$16*((Presion_cilindro!N121-(-E$4+Presion_cilindro!$B$34))/Presion_cilindro!$B$35)^(Presion_cilindro!$B$17+1)),0))/((Presion_cilindro!O121+Presion_cilindro!O122)/2)</f>
        <v>0.92288214124185797</v>
      </c>
      <c r="F130" s="27">
        <f>F129*(Presion_cilindro!O121/Presion_cilindro!O122)^Presion_cilindro!$B$9+10*(Presion_cilindro!$B$9-1)*Presion_cilindro!$B$33*(IF(Presion_cilindro!N122&gt;(-F$4+Presion_cilindro!$B$34),1-EXP(-Presion_cilindro!$B$16*((Presion_cilindro!N122-(-F$4+Presion_cilindro!$B$34))/Presion_cilindro!$B$35)^(Presion_cilindro!$B$17+1)),0)-IF(Presion_cilindro!N121&gt;(-F$4+Presion_cilindro!$B$34),1-EXP(-Presion_cilindro!$B$16*((Presion_cilindro!N121-(-F$4+Presion_cilindro!$B$34))/Presion_cilindro!$B$35)^(Presion_cilindro!$B$17+1)),0))/((Presion_cilindro!O121+Presion_cilindro!O122)/2)</f>
        <v>0.92288214124185797</v>
      </c>
      <c r="G130" s="27">
        <f>G129*(Presion_cilindro!O121/Presion_cilindro!O122)^Presion_cilindro!$B$9+10*(Presion_cilindro!$B$9-1)*Presion_cilindro!$B$33*(IF(Presion_cilindro!N122&gt;(-G$4+Presion_cilindro!$B$34),1-EXP(-Presion_cilindro!$B$16*((Presion_cilindro!N122-(-G$4+Presion_cilindro!$B$34))/Presion_cilindro!$B$35)^(Presion_cilindro!$B$17+1)),0)-IF(Presion_cilindro!N121&gt;(-G$4+Presion_cilindro!$B$34),1-EXP(-Presion_cilindro!$B$16*((Presion_cilindro!N121-(-G$4+Presion_cilindro!$B$34))/Presion_cilindro!$B$35)^(Presion_cilindro!$B$17+1)),0))/((Presion_cilindro!O121+Presion_cilindro!O122)/2)</f>
        <v>0.92288214124185797</v>
      </c>
      <c r="H130" s="27">
        <f>H129*(Presion_cilindro!O121/Presion_cilindro!O122)^Presion_cilindro!$B$9+10*(Presion_cilindro!$B$9-1)*Presion_cilindro!$B$33*(IF(Presion_cilindro!N122&gt;(-H$4+Presion_cilindro!$B$34),1-EXP(-Presion_cilindro!$B$16*((Presion_cilindro!N122-(-H$4+Presion_cilindro!$B$34))/Presion_cilindro!$B$35)^(Presion_cilindro!$B$17+1)),0)-IF(Presion_cilindro!N121&gt;(-H$4+Presion_cilindro!$B$34),1-EXP(-Presion_cilindro!$B$16*((Presion_cilindro!N121-(-H$4+Presion_cilindro!$B$34))/Presion_cilindro!$B$35)^(Presion_cilindro!$B$17+1)),0))/((Presion_cilindro!O121+Presion_cilindro!O122)/2)</f>
        <v>0.92288214124185797</v>
      </c>
      <c r="I130" s="27">
        <f>I129*(Presion_cilindro!O121/Presion_cilindro!O122)^Presion_cilindro!$B$9+10*(Presion_cilindro!$B$9-1)*Presion_cilindro!$B$33*(IF(Presion_cilindro!N122&gt;(-I$4+Presion_cilindro!$B$34),1-EXP(-Presion_cilindro!$B$16*((Presion_cilindro!N122-(-I$4+Presion_cilindro!$B$34))/Presion_cilindro!$B$35)^(Presion_cilindro!$B$17+1)),0)-IF(Presion_cilindro!N121&gt;(-I$4+Presion_cilindro!$B$34),1-EXP(-Presion_cilindro!$B$16*((Presion_cilindro!N121-(-I$4+Presion_cilindro!$B$34))/Presion_cilindro!$B$35)^(Presion_cilindro!$B$17+1)),0))/((Presion_cilindro!O121+Presion_cilindro!O122)/2)</f>
        <v>0.92288214124185797</v>
      </c>
      <c r="J130" s="27">
        <f>J129*(Presion_cilindro!O121/Presion_cilindro!O122)^Presion_cilindro!$B$9+10*(Presion_cilindro!$B$9-1)*Presion_cilindro!$B$33*(IF(Presion_cilindro!N122&gt;(-J$4+Presion_cilindro!$B$34),1-EXP(-Presion_cilindro!$B$16*((Presion_cilindro!N122-(-J$4+Presion_cilindro!$B$34))/Presion_cilindro!$B$35)^(Presion_cilindro!$B$17+1)),0)-IF(Presion_cilindro!N121&gt;(-J$4+Presion_cilindro!$B$34),1-EXP(-Presion_cilindro!$B$16*((Presion_cilindro!N121-(-J$4+Presion_cilindro!$B$34))/Presion_cilindro!$B$35)^(Presion_cilindro!$B$17+1)),0))/((Presion_cilindro!O121+Presion_cilindro!O122)/2)</f>
        <v>0.92288214124185797</v>
      </c>
      <c r="K130" s="27">
        <f>K129*(Presion_cilindro!O121/Presion_cilindro!O122)^Presion_cilindro!$B$9+10*(Presion_cilindro!$B$9-1)*Presion_cilindro!$B$33*(IF(Presion_cilindro!N122&gt;(-K$4+Presion_cilindro!$B$34),1-EXP(-Presion_cilindro!$B$16*((Presion_cilindro!N122-(-K$4+Presion_cilindro!$B$34))/Presion_cilindro!$B$35)^(Presion_cilindro!$B$17+1)),0)-IF(Presion_cilindro!N121&gt;(-K$4+Presion_cilindro!$B$34),1-EXP(-Presion_cilindro!$B$16*((Presion_cilindro!N121-(-K$4+Presion_cilindro!$B$34))/Presion_cilindro!$B$35)^(Presion_cilindro!$B$17+1)),0))/((Presion_cilindro!O121+Presion_cilindro!O122)/2)</f>
        <v>0.92288214124185797</v>
      </c>
      <c r="L130" s="27">
        <f>L129*(Presion_cilindro!O121/Presion_cilindro!O122)^Presion_cilindro!$B$9+10*(Presion_cilindro!$B$9-1)*Presion_cilindro!$B$33*(IF(Presion_cilindro!N122&gt;(-L$4+Presion_cilindro!$B$34),1-EXP(-Presion_cilindro!$B$16*((Presion_cilindro!N122-(-L$4+Presion_cilindro!$B$34))/Presion_cilindro!$B$35)^(Presion_cilindro!$B$17+1)),0)-IF(Presion_cilindro!N121&gt;(-L$4+Presion_cilindro!$B$34),1-EXP(-Presion_cilindro!$B$16*((Presion_cilindro!N121-(-L$4+Presion_cilindro!$B$34))/Presion_cilindro!$B$35)^(Presion_cilindro!$B$17+1)),0))/((Presion_cilindro!O121+Presion_cilindro!O122)/2)</f>
        <v>0.92288214124185797</v>
      </c>
      <c r="M130" s="27">
        <f>M129*(Presion_cilindro!O121/Presion_cilindro!O122)^Presion_cilindro!$B$9+10*(Presion_cilindro!$B$9-1)*Presion_cilindro!$B$33*(IF(Presion_cilindro!N122&gt;(-M$4+Presion_cilindro!$B$34),1-EXP(-Presion_cilindro!$B$16*((Presion_cilindro!N122-(-M$4+Presion_cilindro!$B$34))/Presion_cilindro!$B$35)^(Presion_cilindro!$B$17+1)),0)-IF(Presion_cilindro!N121&gt;(-M$4+Presion_cilindro!$B$34),1-EXP(-Presion_cilindro!$B$16*((Presion_cilindro!N121-(-M$4+Presion_cilindro!$B$34))/Presion_cilindro!$B$35)^(Presion_cilindro!$B$17+1)),0))/((Presion_cilindro!O121+Presion_cilindro!O122)/2)</f>
        <v>0.92288214124185797</v>
      </c>
      <c r="N130" s="27">
        <f>N129*(Presion_cilindro!O121/Presion_cilindro!O122)^Presion_cilindro!$B$9+10*(Presion_cilindro!$B$9-1)*Presion_cilindro!$B$33*(IF(Presion_cilindro!N122&gt;(-N$4+Presion_cilindro!$B$34),1-EXP(-Presion_cilindro!$B$16*((Presion_cilindro!N122-(-N$4+Presion_cilindro!$B$34))/Presion_cilindro!$B$35)^(Presion_cilindro!$B$17+1)),0)-IF(Presion_cilindro!N121&gt;(-N$4+Presion_cilindro!$B$34),1-EXP(-Presion_cilindro!$B$16*((Presion_cilindro!N121-(-N$4+Presion_cilindro!$B$34))/Presion_cilindro!$B$35)^(Presion_cilindro!$B$17+1)),0))/((Presion_cilindro!O121+Presion_cilindro!O122)/2)</f>
        <v>0.92288214124185797</v>
      </c>
    </row>
    <row r="131" spans="1:14" x14ac:dyDescent="0.25">
      <c r="A131" s="21">
        <f>Presion_cilindro!N123</f>
        <v>-120.5</v>
      </c>
      <c r="B131" s="27">
        <f>B130*(Presion_cilindro!O122/Presion_cilindro!O123)^Presion_cilindro!$B$9+10*(Presion_cilindro!$B$9-1)*Presion_cilindro!$B$33*(IF(Presion_cilindro!N123&gt;(-B$4+Presion_cilindro!$B$34),1-EXP(-Presion_cilindro!$B$16*((Presion_cilindro!N123-(-B$4+Presion_cilindro!$B$34))/Presion_cilindro!$B$35)^(Presion_cilindro!$B$17+1)),0)-IF(Presion_cilindro!N122&gt;(-B$4+Presion_cilindro!$B$34),1-EXP(-Presion_cilindro!$B$16*((Presion_cilindro!N122-(-B$4+Presion_cilindro!$B$34))/Presion_cilindro!$B$35)^(Presion_cilindro!$B$17+1)),0))/((Presion_cilindro!O122+Presion_cilindro!O123)/2)</f>
        <v>0.9271394212594154</v>
      </c>
      <c r="C131" s="27">
        <f>C130*(Presion_cilindro!O122/Presion_cilindro!O123)^Presion_cilindro!$B$9+10*(Presion_cilindro!$B$9-1)*Presion_cilindro!$B$33*(IF(Presion_cilindro!N123&gt;(-C$4+Presion_cilindro!$B$34),1-EXP(-Presion_cilindro!$B$16*((Presion_cilindro!N123-(-C$4+Presion_cilindro!$B$34))/Presion_cilindro!$B$35)^(Presion_cilindro!$B$17+1)),0)-IF(Presion_cilindro!N122&gt;(-C$4+Presion_cilindro!$B$34),1-EXP(-Presion_cilindro!$B$16*((Presion_cilindro!N122-(-C$4+Presion_cilindro!$B$34))/Presion_cilindro!$B$35)^(Presion_cilindro!$B$17+1)),0))/((Presion_cilindro!O122+Presion_cilindro!O123)/2)</f>
        <v>0.9271394212594154</v>
      </c>
      <c r="D131" s="27">
        <f>D130*(Presion_cilindro!O122/Presion_cilindro!O123)^Presion_cilindro!$B$9+10*(Presion_cilindro!$B$9-1)*Presion_cilindro!$B$33*(IF(Presion_cilindro!N123&gt;(-D$4+Presion_cilindro!$B$34),1-EXP(-Presion_cilindro!$B$16*((Presion_cilindro!N123-(-D$4+Presion_cilindro!$B$34))/Presion_cilindro!$B$35)^(Presion_cilindro!$B$17+1)),0)-IF(Presion_cilindro!N122&gt;(-D$4+Presion_cilindro!$B$34),1-EXP(-Presion_cilindro!$B$16*((Presion_cilindro!N122-(-D$4+Presion_cilindro!$B$34))/Presion_cilindro!$B$35)^(Presion_cilindro!$B$17+1)),0))/((Presion_cilindro!O122+Presion_cilindro!O123)/2)</f>
        <v>0.9271394212594154</v>
      </c>
      <c r="E131" s="27">
        <f>E130*(Presion_cilindro!O122/Presion_cilindro!O123)^Presion_cilindro!$B$9+10*(Presion_cilindro!$B$9-1)*Presion_cilindro!$B$33*(IF(Presion_cilindro!N123&gt;(-E$4+Presion_cilindro!$B$34),1-EXP(-Presion_cilindro!$B$16*((Presion_cilindro!N123-(-E$4+Presion_cilindro!$B$34))/Presion_cilindro!$B$35)^(Presion_cilindro!$B$17+1)),0)-IF(Presion_cilindro!N122&gt;(-E$4+Presion_cilindro!$B$34),1-EXP(-Presion_cilindro!$B$16*((Presion_cilindro!N122-(-E$4+Presion_cilindro!$B$34))/Presion_cilindro!$B$35)^(Presion_cilindro!$B$17+1)),0))/((Presion_cilindro!O122+Presion_cilindro!O123)/2)</f>
        <v>0.9271394212594154</v>
      </c>
      <c r="F131" s="27">
        <f>F130*(Presion_cilindro!O122/Presion_cilindro!O123)^Presion_cilindro!$B$9+10*(Presion_cilindro!$B$9-1)*Presion_cilindro!$B$33*(IF(Presion_cilindro!N123&gt;(-F$4+Presion_cilindro!$B$34),1-EXP(-Presion_cilindro!$B$16*((Presion_cilindro!N123-(-F$4+Presion_cilindro!$B$34))/Presion_cilindro!$B$35)^(Presion_cilindro!$B$17+1)),0)-IF(Presion_cilindro!N122&gt;(-F$4+Presion_cilindro!$B$34),1-EXP(-Presion_cilindro!$B$16*((Presion_cilindro!N122-(-F$4+Presion_cilindro!$B$34))/Presion_cilindro!$B$35)^(Presion_cilindro!$B$17+1)),0))/((Presion_cilindro!O122+Presion_cilindro!O123)/2)</f>
        <v>0.9271394212594154</v>
      </c>
      <c r="G131" s="27">
        <f>G130*(Presion_cilindro!O122/Presion_cilindro!O123)^Presion_cilindro!$B$9+10*(Presion_cilindro!$B$9-1)*Presion_cilindro!$B$33*(IF(Presion_cilindro!N123&gt;(-G$4+Presion_cilindro!$B$34),1-EXP(-Presion_cilindro!$B$16*((Presion_cilindro!N123-(-G$4+Presion_cilindro!$B$34))/Presion_cilindro!$B$35)^(Presion_cilindro!$B$17+1)),0)-IF(Presion_cilindro!N122&gt;(-G$4+Presion_cilindro!$B$34),1-EXP(-Presion_cilindro!$B$16*((Presion_cilindro!N122-(-G$4+Presion_cilindro!$B$34))/Presion_cilindro!$B$35)^(Presion_cilindro!$B$17+1)),0))/((Presion_cilindro!O122+Presion_cilindro!O123)/2)</f>
        <v>0.9271394212594154</v>
      </c>
      <c r="H131" s="27">
        <f>H130*(Presion_cilindro!O122/Presion_cilindro!O123)^Presion_cilindro!$B$9+10*(Presion_cilindro!$B$9-1)*Presion_cilindro!$B$33*(IF(Presion_cilindro!N123&gt;(-H$4+Presion_cilindro!$B$34),1-EXP(-Presion_cilindro!$B$16*((Presion_cilindro!N123-(-H$4+Presion_cilindro!$B$34))/Presion_cilindro!$B$35)^(Presion_cilindro!$B$17+1)),0)-IF(Presion_cilindro!N122&gt;(-H$4+Presion_cilindro!$B$34),1-EXP(-Presion_cilindro!$B$16*((Presion_cilindro!N122-(-H$4+Presion_cilindro!$B$34))/Presion_cilindro!$B$35)^(Presion_cilindro!$B$17+1)),0))/((Presion_cilindro!O122+Presion_cilindro!O123)/2)</f>
        <v>0.9271394212594154</v>
      </c>
      <c r="I131" s="27">
        <f>I130*(Presion_cilindro!O122/Presion_cilindro!O123)^Presion_cilindro!$B$9+10*(Presion_cilindro!$B$9-1)*Presion_cilindro!$B$33*(IF(Presion_cilindro!N123&gt;(-I$4+Presion_cilindro!$B$34),1-EXP(-Presion_cilindro!$B$16*((Presion_cilindro!N123-(-I$4+Presion_cilindro!$B$34))/Presion_cilindro!$B$35)^(Presion_cilindro!$B$17+1)),0)-IF(Presion_cilindro!N122&gt;(-I$4+Presion_cilindro!$B$34),1-EXP(-Presion_cilindro!$B$16*((Presion_cilindro!N122-(-I$4+Presion_cilindro!$B$34))/Presion_cilindro!$B$35)^(Presion_cilindro!$B$17+1)),0))/((Presion_cilindro!O122+Presion_cilindro!O123)/2)</f>
        <v>0.9271394212594154</v>
      </c>
      <c r="J131" s="27">
        <f>J130*(Presion_cilindro!O122/Presion_cilindro!O123)^Presion_cilindro!$B$9+10*(Presion_cilindro!$B$9-1)*Presion_cilindro!$B$33*(IF(Presion_cilindro!N123&gt;(-J$4+Presion_cilindro!$B$34),1-EXP(-Presion_cilindro!$B$16*((Presion_cilindro!N123-(-J$4+Presion_cilindro!$B$34))/Presion_cilindro!$B$35)^(Presion_cilindro!$B$17+1)),0)-IF(Presion_cilindro!N122&gt;(-J$4+Presion_cilindro!$B$34),1-EXP(-Presion_cilindro!$B$16*((Presion_cilindro!N122-(-J$4+Presion_cilindro!$B$34))/Presion_cilindro!$B$35)^(Presion_cilindro!$B$17+1)),0))/((Presion_cilindro!O122+Presion_cilindro!O123)/2)</f>
        <v>0.9271394212594154</v>
      </c>
      <c r="K131" s="27">
        <f>K130*(Presion_cilindro!O122/Presion_cilindro!O123)^Presion_cilindro!$B$9+10*(Presion_cilindro!$B$9-1)*Presion_cilindro!$B$33*(IF(Presion_cilindro!N123&gt;(-K$4+Presion_cilindro!$B$34),1-EXP(-Presion_cilindro!$B$16*((Presion_cilindro!N123-(-K$4+Presion_cilindro!$B$34))/Presion_cilindro!$B$35)^(Presion_cilindro!$B$17+1)),0)-IF(Presion_cilindro!N122&gt;(-K$4+Presion_cilindro!$B$34),1-EXP(-Presion_cilindro!$B$16*((Presion_cilindro!N122-(-K$4+Presion_cilindro!$B$34))/Presion_cilindro!$B$35)^(Presion_cilindro!$B$17+1)),0))/((Presion_cilindro!O122+Presion_cilindro!O123)/2)</f>
        <v>0.9271394212594154</v>
      </c>
      <c r="L131" s="27">
        <f>L130*(Presion_cilindro!O122/Presion_cilindro!O123)^Presion_cilindro!$B$9+10*(Presion_cilindro!$B$9-1)*Presion_cilindro!$B$33*(IF(Presion_cilindro!N123&gt;(-L$4+Presion_cilindro!$B$34),1-EXP(-Presion_cilindro!$B$16*((Presion_cilindro!N123-(-L$4+Presion_cilindro!$B$34))/Presion_cilindro!$B$35)^(Presion_cilindro!$B$17+1)),0)-IF(Presion_cilindro!N122&gt;(-L$4+Presion_cilindro!$B$34),1-EXP(-Presion_cilindro!$B$16*((Presion_cilindro!N122-(-L$4+Presion_cilindro!$B$34))/Presion_cilindro!$B$35)^(Presion_cilindro!$B$17+1)),0))/((Presion_cilindro!O122+Presion_cilindro!O123)/2)</f>
        <v>0.9271394212594154</v>
      </c>
      <c r="M131" s="27">
        <f>M130*(Presion_cilindro!O122/Presion_cilindro!O123)^Presion_cilindro!$B$9+10*(Presion_cilindro!$B$9-1)*Presion_cilindro!$B$33*(IF(Presion_cilindro!N123&gt;(-M$4+Presion_cilindro!$B$34),1-EXP(-Presion_cilindro!$B$16*((Presion_cilindro!N123-(-M$4+Presion_cilindro!$B$34))/Presion_cilindro!$B$35)^(Presion_cilindro!$B$17+1)),0)-IF(Presion_cilindro!N122&gt;(-M$4+Presion_cilindro!$B$34),1-EXP(-Presion_cilindro!$B$16*((Presion_cilindro!N122-(-M$4+Presion_cilindro!$B$34))/Presion_cilindro!$B$35)^(Presion_cilindro!$B$17+1)),0))/((Presion_cilindro!O122+Presion_cilindro!O123)/2)</f>
        <v>0.9271394212594154</v>
      </c>
      <c r="N131" s="27">
        <f>N130*(Presion_cilindro!O122/Presion_cilindro!O123)^Presion_cilindro!$B$9+10*(Presion_cilindro!$B$9-1)*Presion_cilindro!$B$33*(IF(Presion_cilindro!N123&gt;(-N$4+Presion_cilindro!$B$34),1-EXP(-Presion_cilindro!$B$16*((Presion_cilindro!N123-(-N$4+Presion_cilindro!$B$34))/Presion_cilindro!$B$35)^(Presion_cilindro!$B$17+1)),0)-IF(Presion_cilindro!N122&gt;(-N$4+Presion_cilindro!$B$34),1-EXP(-Presion_cilindro!$B$16*((Presion_cilindro!N122-(-N$4+Presion_cilindro!$B$34))/Presion_cilindro!$B$35)^(Presion_cilindro!$B$17+1)),0))/((Presion_cilindro!O122+Presion_cilindro!O123)/2)</f>
        <v>0.9271394212594154</v>
      </c>
    </row>
    <row r="132" spans="1:14" x14ac:dyDescent="0.25">
      <c r="A132" s="21">
        <f>Presion_cilindro!N124</f>
        <v>-120</v>
      </c>
      <c r="B132" s="27">
        <f>B131*(Presion_cilindro!O123/Presion_cilindro!O124)^Presion_cilindro!$B$9+10*(Presion_cilindro!$B$9-1)*Presion_cilindro!$B$33*(IF(Presion_cilindro!N124&gt;(-B$4+Presion_cilindro!$B$34),1-EXP(-Presion_cilindro!$B$16*((Presion_cilindro!N124-(-B$4+Presion_cilindro!$B$34))/Presion_cilindro!$B$35)^(Presion_cilindro!$B$17+1)),0)-IF(Presion_cilindro!N123&gt;(-B$4+Presion_cilindro!$B$34),1-EXP(-Presion_cilindro!$B$16*((Presion_cilindro!N123-(-B$4+Presion_cilindro!$B$34))/Presion_cilindro!$B$35)^(Presion_cilindro!$B$17+1)),0))/((Presion_cilindro!O123+Presion_cilindro!O124)/2)</f>
        <v>0.93146448636950885</v>
      </c>
      <c r="C132" s="27">
        <f>C131*(Presion_cilindro!O123/Presion_cilindro!O124)^Presion_cilindro!$B$9+10*(Presion_cilindro!$B$9-1)*Presion_cilindro!$B$33*(IF(Presion_cilindro!N124&gt;(-C$4+Presion_cilindro!$B$34),1-EXP(-Presion_cilindro!$B$16*((Presion_cilindro!N124-(-C$4+Presion_cilindro!$B$34))/Presion_cilindro!$B$35)^(Presion_cilindro!$B$17+1)),0)-IF(Presion_cilindro!N123&gt;(-C$4+Presion_cilindro!$B$34),1-EXP(-Presion_cilindro!$B$16*((Presion_cilindro!N123-(-C$4+Presion_cilindro!$B$34))/Presion_cilindro!$B$35)^(Presion_cilindro!$B$17+1)),0))/((Presion_cilindro!O123+Presion_cilindro!O124)/2)</f>
        <v>0.93146448636950885</v>
      </c>
      <c r="D132" s="27">
        <f>D131*(Presion_cilindro!O123/Presion_cilindro!O124)^Presion_cilindro!$B$9+10*(Presion_cilindro!$B$9-1)*Presion_cilindro!$B$33*(IF(Presion_cilindro!N124&gt;(-D$4+Presion_cilindro!$B$34),1-EXP(-Presion_cilindro!$B$16*((Presion_cilindro!N124-(-D$4+Presion_cilindro!$B$34))/Presion_cilindro!$B$35)^(Presion_cilindro!$B$17+1)),0)-IF(Presion_cilindro!N123&gt;(-D$4+Presion_cilindro!$B$34),1-EXP(-Presion_cilindro!$B$16*((Presion_cilindro!N123-(-D$4+Presion_cilindro!$B$34))/Presion_cilindro!$B$35)^(Presion_cilindro!$B$17+1)),0))/((Presion_cilindro!O123+Presion_cilindro!O124)/2)</f>
        <v>0.93146448636950885</v>
      </c>
      <c r="E132" s="27">
        <f>E131*(Presion_cilindro!O123/Presion_cilindro!O124)^Presion_cilindro!$B$9+10*(Presion_cilindro!$B$9-1)*Presion_cilindro!$B$33*(IF(Presion_cilindro!N124&gt;(-E$4+Presion_cilindro!$B$34),1-EXP(-Presion_cilindro!$B$16*((Presion_cilindro!N124-(-E$4+Presion_cilindro!$B$34))/Presion_cilindro!$B$35)^(Presion_cilindro!$B$17+1)),0)-IF(Presion_cilindro!N123&gt;(-E$4+Presion_cilindro!$B$34),1-EXP(-Presion_cilindro!$B$16*((Presion_cilindro!N123-(-E$4+Presion_cilindro!$B$34))/Presion_cilindro!$B$35)^(Presion_cilindro!$B$17+1)),0))/((Presion_cilindro!O123+Presion_cilindro!O124)/2)</f>
        <v>0.93146448636950885</v>
      </c>
      <c r="F132" s="27">
        <f>F131*(Presion_cilindro!O123/Presion_cilindro!O124)^Presion_cilindro!$B$9+10*(Presion_cilindro!$B$9-1)*Presion_cilindro!$B$33*(IF(Presion_cilindro!N124&gt;(-F$4+Presion_cilindro!$B$34),1-EXP(-Presion_cilindro!$B$16*((Presion_cilindro!N124-(-F$4+Presion_cilindro!$B$34))/Presion_cilindro!$B$35)^(Presion_cilindro!$B$17+1)),0)-IF(Presion_cilindro!N123&gt;(-F$4+Presion_cilindro!$B$34),1-EXP(-Presion_cilindro!$B$16*((Presion_cilindro!N123-(-F$4+Presion_cilindro!$B$34))/Presion_cilindro!$B$35)^(Presion_cilindro!$B$17+1)),0))/((Presion_cilindro!O123+Presion_cilindro!O124)/2)</f>
        <v>0.93146448636950885</v>
      </c>
      <c r="G132" s="27">
        <f>G131*(Presion_cilindro!O123/Presion_cilindro!O124)^Presion_cilindro!$B$9+10*(Presion_cilindro!$B$9-1)*Presion_cilindro!$B$33*(IF(Presion_cilindro!N124&gt;(-G$4+Presion_cilindro!$B$34),1-EXP(-Presion_cilindro!$B$16*((Presion_cilindro!N124-(-G$4+Presion_cilindro!$B$34))/Presion_cilindro!$B$35)^(Presion_cilindro!$B$17+1)),0)-IF(Presion_cilindro!N123&gt;(-G$4+Presion_cilindro!$B$34),1-EXP(-Presion_cilindro!$B$16*((Presion_cilindro!N123-(-G$4+Presion_cilindro!$B$34))/Presion_cilindro!$B$35)^(Presion_cilindro!$B$17+1)),0))/((Presion_cilindro!O123+Presion_cilindro!O124)/2)</f>
        <v>0.93146448636950885</v>
      </c>
      <c r="H132" s="27">
        <f>H131*(Presion_cilindro!O123/Presion_cilindro!O124)^Presion_cilindro!$B$9+10*(Presion_cilindro!$B$9-1)*Presion_cilindro!$B$33*(IF(Presion_cilindro!N124&gt;(-H$4+Presion_cilindro!$B$34),1-EXP(-Presion_cilindro!$B$16*((Presion_cilindro!N124-(-H$4+Presion_cilindro!$B$34))/Presion_cilindro!$B$35)^(Presion_cilindro!$B$17+1)),0)-IF(Presion_cilindro!N123&gt;(-H$4+Presion_cilindro!$B$34),1-EXP(-Presion_cilindro!$B$16*((Presion_cilindro!N123-(-H$4+Presion_cilindro!$B$34))/Presion_cilindro!$B$35)^(Presion_cilindro!$B$17+1)),0))/((Presion_cilindro!O123+Presion_cilindro!O124)/2)</f>
        <v>0.93146448636950885</v>
      </c>
      <c r="I132" s="27">
        <f>I131*(Presion_cilindro!O123/Presion_cilindro!O124)^Presion_cilindro!$B$9+10*(Presion_cilindro!$B$9-1)*Presion_cilindro!$B$33*(IF(Presion_cilindro!N124&gt;(-I$4+Presion_cilindro!$B$34),1-EXP(-Presion_cilindro!$B$16*((Presion_cilindro!N124-(-I$4+Presion_cilindro!$B$34))/Presion_cilindro!$B$35)^(Presion_cilindro!$B$17+1)),0)-IF(Presion_cilindro!N123&gt;(-I$4+Presion_cilindro!$B$34),1-EXP(-Presion_cilindro!$B$16*((Presion_cilindro!N123-(-I$4+Presion_cilindro!$B$34))/Presion_cilindro!$B$35)^(Presion_cilindro!$B$17+1)),0))/((Presion_cilindro!O123+Presion_cilindro!O124)/2)</f>
        <v>0.93146448636950885</v>
      </c>
      <c r="J132" s="27">
        <f>J131*(Presion_cilindro!O123/Presion_cilindro!O124)^Presion_cilindro!$B$9+10*(Presion_cilindro!$B$9-1)*Presion_cilindro!$B$33*(IF(Presion_cilindro!N124&gt;(-J$4+Presion_cilindro!$B$34),1-EXP(-Presion_cilindro!$B$16*((Presion_cilindro!N124-(-J$4+Presion_cilindro!$B$34))/Presion_cilindro!$B$35)^(Presion_cilindro!$B$17+1)),0)-IF(Presion_cilindro!N123&gt;(-J$4+Presion_cilindro!$B$34),1-EXP(-Presion_cilindro!$B$16*((Presion_cilindro!N123-(-J$4+Presion_cilindro!$B$34))/Presion_cilindro!$B$35)^(Presion_cilindro!$B$17+1)),0))/((Presion_cilindro!O123+Presion_cilindro!O124)/2)</f>
        <v>0.93146448636950885</v>
      </c>
      <c r="K132" s="27">
        <f>K131*(Presion_cilindro!O123/Presion_cilindro!O124)^Presion_cilindro!$B$9+10*(Presion_cilindro!$B$9-1)*Presion_cilindro!$B$33*(IF(Presion_cilindro!N124&gt;(-K$4+Presion_cilindro!$B$34),1-EXP(-Presion_cilindro!$B$16*((Presion_cilindro!N124-(-K$4+Presion_cilindro!$B$34))/Presion_cilindro!$B$35)^(Presion_cilindro!$B$17+1)),0)-IF(Presion_cilindro!N123&gt;(-K$4+Presion_cilindro!$B$34),1-EXP(-Presion_cilindro!$B$16*((Presion_cilindro!N123-(-K$4+Presion_cilindro!$B$34))/Presion_cilindro!$B$35)^(Presion_cilindro!$B$17+1)),0))/((Presion_cilindro!O123+Presion_cilindro!O124)/2)</f>
        <v>0.93146448636950885</v>
      </c>
      <c r="L132" s="27">
        <f>L131*(Presion_cilindro!O123/Presion_cilindro!O124)^Presion_cilindro!$B$9+10*(Presion_cilindro!$B$9-1)*Presion_cilindro!$B$33*(IF(Presion_cilindro!N124&gt;(-L$4+Presion_cilindro!$B$34),1-EXP(-Presion_cilindro!$B$16*((Presion_cilindro!N124-(-L$4+Presion_cilindro!$B$34))/Presion_cilindro!$B$35)^(Presion_cilindro!$B$17+1)),0)-IF(Presion_cilindro!N123&gt;(-L$4+Presion_cilindro!$B$34),1-EXP(-Presion_cilindro!$B$16*((Presion_cilindro!N123-(-L$4+Presion_cilindro!$B$34))/Presion_cilindro!$B$35)^(Presion_cilindro!$B$17+1)),0))/((Presion_cilindro!O123+Presion_cilindro!O124)/2)</f>
        <v>0.93146448636950885</v>
      </c>
      <c r="M132" s="27">
        <f>M131*(Presion_cilindro!O123/Presion_cilindro!O124)^Presion_cilindro!$B$9+10*(Presion_cilindro!$B$9-1)*Presion_cilindro!$B$33*(IF(Presion_cilindro!N124&gt;(-M$4+Presion_cilindro!$B$34),1-EXP(-Presion_cilindro!$B$16*((Presion_cilindro!N124-(-M$4+Presion_cilindro!$B$34))/Presion_cilindro!$B$35)^(Presion_cilindro!$B$17+1)),0)-IF(Presion_cilindro!N123&gt;(-M$4+Presion_cilindro!$B$34),1-EXP(-Presion_cilindro!$B$16*((Presion_cilindro!N123-(-M$4+Presion_cilindro!$B$34))/Presion_cilindro!$B$35)^(Presion_cilindro!$B$17+1)),0))/((Presion_cilindro!O123+Presion_cilindro!O124)/2)</f>
        <v>0.93146448636950885</v>
      </c>
      <c r="N132" s="27">
        <f>N131*(Presion_cilindro!O123/Presion_cilindro!O124)^Presion_cilindro!$B$9+10*(Presion_cilindro!$B$9-1)*Presion_cilindro!$B$33*(IF(Presion_cilindro!N124&gt;(-N$4+Presion_cilindro!$B$34),1-EXP(-Presion_cilindro!$B$16*((Presion_cilindro!N124-(-N$4+Presion_cilindro!$B$34))/Presion_cilindro!$B$35)^(Presion_cilindro!$B$17+1)),0)-IF(Presion_cilindro!N123&gt;(-N$4+Presion_cilindro!$B$34),1-EXP(-Presion_cilindro!$B$16*((Presion_cilindro!N123-(-N$4+Presion_cilindro!$B$34))/Presion_cilindro!$B$35)^(Presion_cilindro!$B$17+1)),0))/((Presion_cilindro!O123+Presion_cilindro!O124)/2)</f>
        <v>0.93146448636950885</v>
      </c>
    </row>
    <row r="133" spans="1:14" x14ac:dyDescent="0.25">
      <c r="A133" s="21">
        <f>Presion_cilindro!N125</f>
        <v>-119.5</v>
      </c>
      <c r="B133" s="27">
        <f>B132*(Presion_cilindro!O124/Presion_cilindro!O125)^Presion_cilindro!$B$9+10*(Presion_cilindro!$B$9-1)*Presion_cilindro!$B$33*(IF(Presion_cilindro!N125&gt;(-B$4+Presion_cilindro!$B$34),1-EXP(-Presion_cilindro!$B$16*((Presion_cilindro!N125-(-B$4+Presion_cilindro!$B$34))/Presion_cilindro!$B$35)^(Presion_cilindro!$B$17+1)),0)-IF(Presion_cilindro!N124&gt;(-B$4+Presion_cilindro!$B$34),1-EXP(-Presion_cilindro!$B$16*((Presion_cilindro!N124-(-B$4+Presion_cilindro!$B$34))/Presion_cilindro!$B$35)^(Presion_cilindro!$B$17+1)),0))/((Presion_cilindro!O124+Presion_cilindro!O125)/2)</f>
        <v>0.93585840612958549</v>
      </c>
      <c r="C133" s="27">
        <f>C132*(Presion_cilindro!O124/Presion_cilindro!O125)^Presion_cilindro!$B$9+10*(Presion_cilindro!$B$9-1)*Presion_cilindro!$B$33*(IF(Presion_cilindro!N125&gt;(-C$4+Presion_cilindro!$B$34),1-EXP(-Presion_cilindro!$B$16*((Presion_cilindro!N125-(-C$4+Presion_cilindro!$B$34))/Presion_cilindro!$B$35)^(Presion_cilindro!$B$17+1)),0)-IF(Presion_cilindro!N124&gt;(-C$4+Presion_cilindro!$B$34),1-EXP(-Presion_cilindro!$B$16*((Presion_cilindro!N124-(-C$4+Presion_cilindro!$B$34))/Presion_cilindro!$B$35)^(Presion_cilindro!$B$17+1)),0))/((Presion_cilindro!O124+Presion_cilindro!O125)/2)</f>
        <v>0.93585840612958549</v>
      </c>
      <c r="D133" s="27">
        <f>D132*(Presion_cilindro!O124/Presion_cilindro!O125)^Presion_cilindro!$B$9+10*(Presion_cilindro!$B$9-1)*Presion_cilindro!$B$33*(IF(Presion_cilindro!N125&gt;(-D$4+Presion_cilindro!$B$34),1-EXP(-Presion_cilindro!$B$16*((Presion_cilindro!N125-(-D$4+Presion_cilindro!$B$34))/Presion_cilindro!$B$35)^(Presion_cilindro!$B$17+1)),0)-IF(Presion_cilindro!N124&gt;(-D$4+Presion_cilindro!$B$34),1-EXP(-Presion_cilindro!$B$16*((Presion_cilindro!N124-(-D$4+Presion_cilindro!$B$34))/Presion_cilindro!$B$35)^(Presion_cilindro!$B$17+1)),0))/((Presion_cilindro!O124+Presion_cilindro!O125)/2)</f>
        <v>0.93585840612958549</v>
      </c>
      <c r="E133" s="27">
        <f>E132*(Presion_cilindro!O124/Presion_cilindro!O125)^Presion_cilindro!$B$9+10*(Presion_cilindro!$B$9-1)*Presion_cilindro!$B$33*(IF(Presion_cilindro!N125&gt;(-E$4+Presion_cilindro!$B$34),1-EXP(-Presion_cilindro!$B$16*((Presion_cilindro!N125-(-E$4+Presion_cilindro!$B$34))/Presion_cilindro!$B$35)^(Presion_cilindro!$B$17+1)),0)-IF(Presion_cilindro!N124&gt;(-E$4+Presion_cilindro!$B$34),1-EXP(-Presion_cilindro!$B$16*((Presion_cilindro!N124-(-E$4+Presion_cilindro!$B$34))/Presion_cilindro!$B$35)^(Presion_cilindro!$B$17+1)),0))/((Presion_cilindro!O124+Presion_cilindro!O125)/2)</f>
        <v>0.93585840612958549</v>
      </c>
      <c r="F133" s="27">
        <f>F132*(Presion_cilindro!O124/Presion_cilindro!O125)^Presion_cilindro!$B$9+10*(Presion_cilindro!$B$9-1)*Presion_cilindro!$B$33*(IF(Presion_cilindro!N125&gt;(-F$4+Presion_cilindro!$B$34),1-EXP(-Presion_cilindro!$B$16*((Presion_cilindro!N125-(-F$4+Presion_cilindro!$B$34))/Presion_cilindro!$B$35)^(Presion_cilindro!$B$17+1)),0)-IF(Presion_cilindro!N124&gt;(-F$4+Presion_cilindro!$B$34),1-EXP(-Presion_cilindro!$B$16*((Presion_cilindro!N124-(-F$4+Presion_cilindro!$B$34))/Presion_cilindro!$B$35)^(Presion_cilindro!$B$17+1)),0))/((Presion_cilindro!O124+Presion_cilindro!O125)/2)</f>
        <v>0.93585840612958549</v>
      </c>
      <c r="G133" s="27">
        <f>G132*(Presion_cilindro!O124/Presion_cilindro!O125)^Presion_cilindro!$B$9+10*(Presion_cilindro!$B$9-1)*Presion_cilindro!$B$33*(IF(Presion_cilindro!N125&gt;(-G$4+Presion_cilindro!$B$34),1-EXP(-Presion_cilindro!$B$16*((Presion_cilindro!N125-(-G$4+Presion_cilindro!$B$34))/Presion_cilindro!$B$35)^(Presion_cilindro!$B$17+1)),0)-IF(Presion_cilindro!N124&gt;(-G$4+Presion_cilindro!$B$34),1-EXP(-Presion_cilindro!$B$16*((Presion_cilindro!N124-(-G$4+Presion_cilindro!$B$34))/Presion_cilindro!$B$35)^(Presion_cilindro!$B$17+1)),0))/((Presion_cilindro!O124+Presion_cilindro!O125)/2)</f>
        <v>0.93585840612958549</v>
      </c>
      <c r="H133" s="27">
        <f>H132*(Presion_cilindro!O124/Presion_cilindro!O125)^Presion_cilindro!$B$9+10*(Presion_cilindro!$B$9-1)*Presion_cilindro!$B$33*(IF(Presion_cilindro!N125&gt;(-H$4+Presion_cilindro!$B$34),1-EXP(-Presion_cilindro!$B$16*((Presion_cilindro!N125-(-H$4+Presion_cilindro!$B$34))/Presion_cilindro!$B$35)^(Presion_cilindro!$B$17+1)),0)-IF(Presion_cilindro!N124&gt;(-H$4+Presion_cilindro!$B$34),1-EXP(-Presion_cilindro!$B$16*((Presion_cilindro!N124-(-H$4+Presion_cilindro!$B$34))/Presion_cilindro!$B$35)^(Presion_cilindro!$B$17+1)),0))/((Presion_cilindro!O124+Presion_cilindro!O125)/2)</f>
        <v>0.93585840612958549</v>
      </c>
      <c r="I133" s="27">
        <f>I132*(Presion_cilindro!O124/Presion_cilindro!O125)^Presion_cilindro!$B$9+10*(Presion_cilindro!$B$9-1)*Presion_cilindro!$B$33*(IF(Presion_cilindro!N125&gt;(-I$4+Presion_cilindro!$B$34),1-EXP(-Presion_cilindro!$B$16*((Presion_cilindro!N125-(-I$4+Presion_cilindro!$B$34))/Presion_cilindro!$B$35)^(Presion_cilindro!$B$17+1)),0)-IF(Presion_cilindro!N124&gt;(-I$4+Presion_cilindro!$B$34),1-EXP(-Presion_cilindro!$B$16*((Presion_cilindro!N124-(-I$4+Presion_cilindro!$B$34))/Presion_cilindro!$B$35)^(Presion_cilindro!$B$17+1)),0))/((Presion_cilindro!O124+Presion_cilindro!O125)/2)</f>
        <v>0.93585840612958549</v>
      </c>
      <c r="J133" s="27">
        <f>J132*(Presion_cilindro!O124/Presion_cilindro!O125)^Presion_cilindro!$B$9+10*(Presion_cilindro!$B$9-1)*Presion_cilindro!$B$33*(IF(Presion_cilindro!N125&gt;(-J$4+Presion_cilindro!$B$34),1-EXP(-Presion_cilindro!$B$16*((Presion_cilindro!N125-(-J$4+Presion_cilindro!$B$34))/Presion_cilindro!$B$35)^(Presion_cilindro!$B$17+1)),0)-IF(Presion_cilindro!N124&gt;(-J$4+Presion_cilindro!$B$34),1-EXP(-Presion_cilindro!$B$16*((Presion_cilindro!N124-(-J$4+Presion_cilindro!$B$34))/Presion_cilindro!$B$35)^(Presion_cilindro!$B$17+1)),0))/((Presion_cilindro!O124+Presion_cilindro!O125)/2)</f>
        <v>0.93585840612958549</v>
      </c>
      <c r="K133" s="27">
        <f>K132*(Presion_cilindro!O124/Presion_cilindro!O125)^Presion_cilindro!$B$9+10*(Presion_cilindro!$B$9-1)*Presion_cilindro!$B$33*(IF(Presion_cilindro!N125&gt;(-K$4+Presion_cilindro!$B$34),1-EXP(-Presion_cilindro!$B$16*((Presion_cilindro!N125-(-K$4+Presion_cilindro!$B$34))/Presion_cilindro!$B$35)^(Presion_cilindro!$B$17+1)),0)-IF(Presion_cilindro!N124&gt;(-K$4+Presion_cilindro!$B$34),1-EXP(-Presion_cilindro!$B$16*((Presion_cilindro!N124-(-K$4+Presion_cilindro!$B$34))/Presion_cilindro!$B$35)^(Presion_cilindro!$B$17+1)),0))/((Presion_cilindro!O124+Presion_cilindro!O125)/2)</f>
        <v>0.93585840612958549</v>
      </c>
      <c r="L133" s="27">
        <f>L132*(Presion_cilindro!O124/Presion_cilindro!O125)^Presion_cilindro!$B$9+10*(Presion_cilindro!$B$9-1)*Presion_cilindro!$B$33*(IF(Presion_cilindro!N125&gt;(-L$4+Presion_cilindro!$B$34),1-EXP(-Presion_cilindro!$B$16*((Presion_cilindro!N125-(-L$4+Presion_cilindro!$B$34))/Presion_cilindro!$B$35)^(Presion_cilindro!$B$17+1)),0)-IF(Presion_cilindro!N124&gt;(-L$4+Presion_cilindro!$B$34),1-EXP(-Presion_cilindro!$B$16*((Presion_cilindro!N124-(-L$4+Presion_cilindro!$B$34))/Presion_cilindro!$B$35)^(Presion_cilindro!$B$17+1)),0))/((Presion_cilindro!O124+Presion_cilindro!O125)/2)</f>
        <v>0.93585840612958549</v>
      </c>
      <c r="M133" s="27">
        <f>M132*(Presion_cilindro!O124/Presion_cilindro!O125)^Presion_cilindro!$B$9+10*(Presion_cilindro!$B$9-1)*Presion_cilindro!$B$33*(IF(Presion_cilindro!N125&gt;(-M$4+Presion_cilindro!$B$34),1-EXP(-Presion_cilindro!$B$16*((Presion_cilindro!N125-(-M$4+Presion_cilindro!$B$34))/Presion_cilindro!$B$35)^(Presion_cilindro!$B$17+1)),0)-IF(Presion_cilindro!N124&gt;(-M$4+Presion_cilindro!$B$34),1-EXP(-Presion_cilindro!$B$16*((Presion_cilindro!N124-(-M$4+Presion_cilindro!$B$34))/Presion_cilindro!$B$35)^(Presion_cilindro!$B$17+1)),0))/((Presion_cilindro!O124+Presion_cilindro!O125)/2)</f>
        <v>0.93585840612958549</v>
      </c>
      <c r="N133" s="27">
        <f>N132*(Presion_cilindro!O124/Presion_cilindro!O125)^Presion_cilindro!$B$9+10*(Presion_cilindro!$B$9-1)*Presion_cilindro!$B$33*(IF(Presion_cilindro!N125&gt;(-N$4+Presion_cilindro!$B$34),1-EXP(-Presion_cilindro!$B$16*((Presion_cilindro!N125-(-N$4+Presion_cilindro!$B$34))/Presion_cilindro!$B$35)^(Presion_cilindro!$B$17+1)),0)-IF(Presion_cilindro!N124&gt;(-N$4+Presion_cilindro!$B$34),1-EXP(-Presion_cilindro!$B$16*((Presion_cilindro!N124-(-N$4+Presion_cilindro!$B$34))/Presion_cilindro!$B$35)^(Presion_cilindro!$B$17+1)),0))/((Presion_cilindro!O124+Presion_cilindro!O125)/2)</f>
        <v>0.93585840612958549</v>
      </c>
    </row>
    <row r="134" spans="1:14" x14ac:dyDescent="0.25">
      <c r="A134" s="21">
        <f>Presion_cilindro!N126</f>
        <v>-119</v>
      </c>
      <c r="B134" s="27">
        <f>B133*(Presion_cilindro!O125/Presion_cilindro!O126)^Presion_cilindro!$B$9+10*(Presion_cilindro!$B$9-1)*Presion_cilindro!$B$33*(IF(Presion_cilindro!N126&gt;(-B$4+Presion_cilindro!$B$34),1-EXP(-Presion_cilindro!$B$16*((Presion_cilindro!N126-(-B$4+Presion_cilindro!$B$34))/Presion_cilindro!$B$35)^(Presion_cilindro!$B$17+1)),0)-IF(Presion_cilindro!N125&gt;(-B$4+Presion_cilindro!$B$34),1-EXP(-Presion_cilindro!$B$16*((Presion_cilindro!N125-(-B$4+Presion_cilindro!$B$34))/Presion_cilindro!$B$35)^(Presion_cilindro!$B$17+1)),0))/((Presion_cilindro!O125+Presion_cilindro!O126)/2)</f>
        <v>0.94032227271652247</v>
      </c>
      <c r="C134" s="27">
        <f>C133*(Presion_cilindro!O125/Presion_cilindro!O126)^Presion_cilindro!$B$9+10*(Presion_cilindro!$B$9-1)*Presion_cilindro!$B$33*(IF(Presion_cilindro!N126&gt;(-C$4+Presion_cilindro!$B$34),1-EXP(-Presion_cilindro!$B$16*((Presion_cilindro!N126-(-C$4+Presion_cilindro!$B$34))/Presion_cilindro!$B$35)^(Presion_cilindro!$B$17+1)),0)-IF(Presion_cilindro!N125&gt;(-C$4+Presion_cilindro!$B$34),1-EXP(-Presion_cilindro!$B$16*((Presion_cilindro!N125-(-C$4+Presion_cilindro!$B$34))/Presion_cilindro!$B$35)^(Presion_cilindro!$B$17+1)),0))/((Presion_cilindro!O125+Presion_cilindro!O126)/2)</f>
        <v>0.94032227271652247</v>
      </c>
      <c r="D134" s="27">
        <f>D133*(Presion_cilindro!O125/Presion_cilindro!O126)^Presion_cilindro!$B$9+10*(Presion_cilindro!$B$9-1)*Presion_cilindro!$B$33*(IF(Presion_cilindro!N126&gt;(-D$4+Presion_cilindro!$B$34),1-EXP(-Presion_cilindro!$B$16*((Presion_cilindro!N126-(-D$4+Presion_cilindro!$B$34))/Presion_cilindro!$B$35)^(Presion_cilindro!$B$17+1)),0)-IF(Presion_cilindro!N125&gt;(-D$4+Presion_cilindro!$B$34),1-EXP(-Presion_cilindro!$B$16*((Presion_cilindro!N125-(-D$4+Presion_cilindro!$B$34))/Presion_cilindro!$B$35)^(Presion_cilindro!$B$17+1)),0))/((Presion_cilindro!O125+Presion_cilindro!O126)/2)</f>
        <v>0.94032227271652247</v>
      </c>
      <c r="E134" s="27">
        <f>E133*(Presion_cilindro!O125/Presion_cilindro!O126)^Presion_cilindro!$B$9+10*(Presion_cilindro!$B$9-1)*Presion_cilindro!$B$33*(IF(Presion_cilindro!N126&gt;(-E$4+Presion_cilindro!$B$34),1-EXP(-Presion_cilindro!$B$16*((Presion_cilindro!N126-(-E$4+Presion_cilindro!$B$34))/Presion_cilindro!$B$35)^(Presion_cilindro!$B$17+1)),0)-IF(Presion_cilindro!N125&gt;(-E$4+Presion_cilindro!$B$34),1-EXP(-Presion_cilindro!$B$16*((Presion_cilindro!N125-(-E$4+Presion_cilindro!$B$34))/Presion_cilindro!$B$35)^(Presion_cilindro!$B$17+1)),0))/((Presion_cilindro!O125+Presion_cilindro!O126)/2)</f>
        <v>0.94032227271652247</v>
      </c>
      <c r="F134" s="27">
        <f>F133*(Presion_cilindro!O125/Presion_cilindro!O126)^Presion_cilindro!$B$9+10*(Presion_cilindro!$B$9-1)*Presion_cilindro!$B$33*(IF(Presion_cilindro!N126&gt;(-F$4+Presion_cilindro!$B$34),1-EXP(-Presion_cilindro!$B$16*((Presion_cilindro!N126-(-F$4+Presion_cilindro!$B$34))/Presion_cilindro!$B$35)^(Presion_cilindro!$B$17+1)),0)-IF(Presion_cilindro!N125&gt;(-F$4+Presion_cilindro!$B$34),1-EXP(-Presion_cilindro!$B$16*((Presion_cilindro!N125-(-F$4+Presion_cilindro!$B$34))/Presion_cilindro!$B$35)^(Presion_cilindro!$B$17+1)),0))/((Presion_cilindro!O125+Presion_cilindro!O126)/2)</f>
        <v>0.94032227271652247</v>
      </c>
      <c r="G134" s="27">
        <f>G133*(Presion_cilindro!O125/Presion_cilindro!O126)^Presion_cilindro!$B$9+10*(Presion_cilindro!$B$9-1)*Presion_cilindro!$B$33*(IF(Presion_cilindro!N126&gt;(-G$4+Presion_cilindro!$B$34),1-EXP(-Presion_cilindro!$B$16*((Presion_cilindro!N126-(-G$4+Presion_cilindro!$B$34))/Presion_cilindro!$B$35)^(Presion_cilindro!$B$17+1)),0)-IF(Presion_cilindro!N125&gt;(-G$4+Presion_cilindro!$B$34),1-EXP(-Presion_cilindro!$B$16*((Presion_cilindro!N125-(-G$4+Presion_cilindro!$B$34))/Presion_cilindro!$B$35)^(Presion_cilindro!$B$17+1)),0))/((Presion_cilindro!O125+Presion_cilindro!O126)/2)</f>
        <v>0.94032227271652247</v>
      </c>
      <c r="H134" s="27">
        <f>H133*(Presion_cilindro!O125/Presion_cilindro!O126)^Presion_cilindro!$B$9+10*(Presion_cilindro!$B$9-1)*Presion_cilindro!$B$33*(IF(Presion_cilindro!N126&gt;(-H$4+Presion_cilindro!$B$34),1-EXP(-Presion_cilindro!$B$16*((Presion_cilindro!N126-(-H$4+Presion_cilindro!$B$34))/Presion_cilindro!$B$35)^(Presion_cilindro!$B$17+1)),0)-IF(Presion_cilindro!N125&gt;(-H$4+Presion_cilindro!$B$34),1-EXP(-Presion_cilindro!$B$16*((Presion_cilindro!N125-(-H$4+Presion_cilindro!$B$34))/Presion_cilindro!$B$35)^(Presion_cilindro!$B$17+1)),0))/((Presion_cilindro!O125+Presion_cilindro!O126)/2)</f>
        <v>0.94032227271652247</v>
      </c>
      <c r="I134" s="27">
        <f>I133*(Presion_cilindro!O125/Presion_cilindro!O126)^Presion_cilindro!$B$9+10*(Presion_cilindro!$B$9-1)*Presion_cilindro!$B$33*(IF(Presion_cilindro!N126&gt;(-I$4+Presion_cilindro!$B$34),1-EXP(-Presion_cilindro!$B$16*((Presion_cilindro!N126-(-I$4+Presion_cilindro!$B$34))/Presion_cilindro!$B$35)^(Presion_cilindro!$B$17+1)),0)-IF(Presion_cilindro!N125&gt;(-I$4+Presion_cilindro!$B$34),1-EXP(-Presion_cilindro!$B$16*((Presion_cilindro!N125-(-I$4+Presion_cilindro!$B$34))/Presion_cilindro!$B$35)^(Presion_cilindro!$B$17+1)),0))/((Presion_cilindro!O125+Presion_cilindro!O126)/2)</f>
        <v>0.94032227271652247</v>
      </c>
      <c r="J134" s="27">
        <f>J133*(Presion_cilindro!O125/Presion_cilindro!O126)^Presion_cilindro!$B$9+10*(Presion_cilindro!$B$9-1)*Presion_cilindro!$B$33*(IF(Presion_cilindro!N126&gt;(-J$4+Presion_cilindro!$B$34),1-EXP(-Presion_cilindro!$B$16*((Presion_cilindro!N126-(-J$4+Presion_cilindro!$B$34))/Presion_cilindro!$B$35)^(Presion_cilindro!$B$17+1)),0)-IF(Presion_cilindro!N125&gt;(-J$4+Presion_cilindro!$B$34),1-EXP(-Presion_cilindro!$B$16*((Presion_cilindro!N125-(-J$4+Presion_cilindro!$B$34))/Presion_cilindro!$B$35)^(Presion_cilindro!$B$17+1)),0))/((Presion_cilindro!O125+Presion_cilindro!O126)/2)</f>
        <v>0.94032227271652247</v>
      </c>
      <c r="K134" s="27">
        <f>K133*(Presion_cilindro!O125/Presion_cilindro!O126)^Presion_cilindro!$B$9+10*(Presion_cilindro!$B$9-1)*Presion_cilindro!$B$33*(IF(Presion_cilindro!N126&gt;(-K$4+Presion_cilindro!$B$34),1-EXP(-Presion_cilindro!$B$16*((Presion_cilindro!N126-(-K$4+Presion_cilindro!$B$34))/Presion_cilindro!$B$35)^(Presion_cilindro!$B$17+1)),0)-IF(Presion_cilindro!N125&gt;(-K$4+Presion_cilindro!$B$34),1-EXP(-Presion_cilindro!$B$16*((Presion_cilindro!N125-(-K$4+Presion_cilindro!$B$34))/Presion_cilindro!$B$35)^(Presion_cilindro!$B$17+1)),0))/((Presion_cilindro!O125+Presion_cilindro!O126)/2)</f>
        <v>0.94032227271652247</v>
      </c>
      <c r="L134" s="27">
        <f>L133*(Presion_cilindro!O125/Presion_cilindro!O126)^Presion_cilindro!$B$9+10*(Presion_cilindro!$B$9-1)*Presion_cilindro!$B$33*(IF(Presion_cilindro!N126&gt;(-L$4+Presion_cilindro!$B$34),1-EXP(-Presion_cilindro!$B$16*((Presion_cilindro!N126-(-L$4+Presion_cilindro!$B$34))/Presion_cilindro!$B$35)^(Presion_cilindro!$B$17+1)),0)-IF(Presion_cilindro!N125&gt;(-L$4+Presion_cilindro!$B$34),1-EXP(-Presion_cilindro!$B$16*((Presion_cilindro!N125-(-L$4+Presion_cilindro!$B$34))/Presion_cilindro!$B$35)^(Presion_cilindro!$B$17+1)),0))/((Presion_cilindro!O125+Presion_cilindro!O126)/2)</f>
        <v>0.94032227271652247</v>
      </c>
      <c r="M134" s="27">
        <f>M133*(Presion_cilindro!O125/Presion_cilindro!O126)^Presion_cilindro!$B$9+10*(Presion_cilindro!$B$9-1)*Presion_cilindro!$B$33*(IF(Presion_cilindro!N126&gt;(-M$4+Presion_cilindro!$B$34),1-EXP(-Presion_cilindro!$B$16*((Presion_cilindro!N126-(-M$4+Presion_cilindro!$B$34))/Presion_cilindro!$B$35)^(Presion_cilindro!$B$17+1)),0)-IF(Presion_cilindro!N125&gt;(-M$4+Presion_cilindro!$B$34),1-EXP(-Presion_cilindro!$B$16*((Presion_cilindro!N125-(-M$4+Presion_cilindro!$B$34))/Presion_cilindro!$B$35)^(Presion_cilindro!$B$17+1)),0))/((Presion_cilindro!O125+Presion_cilindro!O126)/2)</f>
        <v>0.94032227271652247</v>
      </c>
      <c r="N134" s="27">
        <f>N133*(Presion_cilindro!O125/Presion_cilindro!O126)^Presion_cilindro!$B$9+10*(Presion_cilindro!$B$9-1)*Presion_cilindro!$B$33*(IF(Presion_cilindro!N126&gt;(-N$4+Presion_cilindro!$B$34),1-EXP(-Presion_cilindro!$B$16*((Presion_cilindro!N126-(-N$4+Presion_cilindro!$B$34))/Presion_cilindro!$B$35)^(Presion_cilindro!$B$17+1)),0)-IF(Presion_cilindro!N125&gt;(-N$4+Presion_cilindro!$B$34),1-EXP(-Presion_cilindro!$B$16*((Presion_cilindro!N125-(-N$4+Presion_cilindro!$B$34))/Presion_cilindro!$B$35)^(Presion_cilindro!$B$17+1)),0))/((Presion_cilindro!O125+Presion_cilindro!O126)/2)</f>
        <v>0.94032227271652247</v>
      </c>
    </row>
    <row r="135" spans="1:14" x14ac:dyDescent="0.25">
      <c r="A135" s="21">
        <f>Presion_cilindro!N127</f>
        <v>-118.5</v>
      </c>
      <c r="B135" s="27">
        <f>B134*(Presion_cilindro!O126/Presion_cilindro!O127)^Presion_cilindro!$B$9+10*(Presion_cilindro!$B$9-1)*Presion_cilindro!$B$33*(IF(Presion_cilindro!N127&gt;(-B$4+Presion_cilindro!$B$34),1-EXP(-Presion_cilindro!$B$16*((Presion_cilindro!N127-(-B$4+Presion_cilindro!$B$34))/Presion_cilindro!$B$35)^(Presion_cilindro!$B$17+1)),0)-IF(Presion_cilindro!N126&gt;(-B$4+Presion_cilindro!$B$34),1-EXP(-Presion_cilindro!$B$16*((Presion_cilindro!N126-(-B$4+Presion_cilindro!$B$34))/Presion_cilindro!$B$35)^(Presion_cilindro!$B$17+1)),0))/((Presion_cilindro!O126+Presion_cilindro!O127)/2)</f>
        <v>0.94485720144203222</v>
      </c>
      <c r="C135" s="27">
        <f>C134*(Presion_cilindro!O126/Presion_cilindro!O127)^Presion_cilindro!$B$9+10*(Presion_cilindro!$B$9-1)*Presion_cilindro!$B$33*(IF(Presion_cilindro!N127&gt;(-C$4+Presion_cilindro!$B$34),1-EXP(-Presion_cilindro!$B$16*((Presion_cilindro!N127-(-C$4+Presion_cilindro!$B$34))/Presion_cilindro!$B$35)^(Presion_cilindro!$B$17+1)),0)-IF(Presion_cilindro!N126&gt;(-C$4+Presion_cilindro!$B$34),1-EXP(-Presion_cilindro!$B$16*((Presion_cilindro!N126-(-C$4+Presion_cilindro!$B$34))/Presion_cilindro!$B$35)^(Presion_cilindro!$B$17+1)),0))/((Presion_cilindro!O126+Presion_cilindro!O127)/2)</f>
        <v>0.94485720144203222</v>
      </c>
      <c r="D135" s="27">
        <f>D134*(Presion_cilindro!O126/Presion_cilindro!O127)^Presion_cilindro!$B$9+10*(Presion_cilindro!$B$9-1)*Presion_cilindro!$B$33*(IF(Presion_cilindro!N127&gt;(-D$4+Presion_cilindro!$B$34),1-EXP(-Presion_cilindro!$B$16*((Presion_cilindro!N127-(-D$4+Presion_cilindro!$B$34))/Presion_cilindro!$B$35)^(Presion_cilindro!$B$17+1)),0)-IF(Presion_cilindro!N126&gt;(-D$4+Presion_cilindro!$B$34),1-EXP(-Presion_cilindro!$B$16*((Presion_cilindro!N126-(-D$4+Presion_cilindro!$B$34))/Presion_cilindro!$B$35)^(Presion_cilindro!$B$17+1)),0))/((Presion_cilindro!O126+Presion_cilindro!O127)/2)</f>
        <v>0.94485720144203222</v>
      </c>
      <c r="E135" s="27">
        <f>E134*(Presion_cilindro!O126/Presion_cilindro!O127)^Presion_cilindro!$B$9+10*(Presion_cilindro!$B$9-1)*Presion_cilindro!$B$33*(IF(Presion_cilindro!N127&gt;(-E$4+Presion_cilindro!$B$34),1-EXP(-Presion_cilindro!$B$16*((Presion_cilindro!N127-(-E$4+Presion_cilindro!$B$34))/Presion_cilindro!$B$35)^(Presion_cilindro!$B$17+1)),0)-IF(Presion_cilindro!N126&gt;(-E$4+Presion_cilindro!$B$34),1-EXP(-Presion_cilindro!$B$16*((Presion_cilindro!N126-(-E$4+Presion_cilindro!$B$34))/Presion_cilindro!$B$35)^(Presion_cilindro!$B$17+1)),0))/((Presion_cilindro!O126+Presion_cilindro!O127)/2)</f>
        <v>0.94485720144203222</v>
      </c>
      <c r="F135" s="27">
        <f>F134*(Presion_cilindro!O126/Presion_cilindro!O127)^Presion_cilindro!$B$9+10*(Presion_cilindro!$B$9-1)*Presion_cilindro!$B$33*(IF(Presion_cilindro!N127&gt;(-F$4+Presion_cilindro!$B$34),1-EXP(-Presion_cilindro!$B$16*((Presion_cilindro!N127-(-F$4+Presion_cilindro!$B$34))/Presion_cilindro!$B$35)^(Presion_cilindro!$B$17+1)),0)-IF(Presion_cilindro!N126&gt;(-F$4+Presion_cilindro!$B$34),1-EXP(-Presion_cilindro!$B$16*((Presion_cilindro!N126-(-F$4+Presion_cilindro!$B$34))/Presion_cilindro!$B$35)^(Presion_cilindro!$B$17+1)),0))/((Presion_cilindro!O126+Presion_cilindro!O127)/2)</f>
        <v>0.94485720144203222</v>
      </c>
      <c r="G135" s="27">
        <f>G134*(Presion_cilindro!O126/Presion_cilindro!O127)^Presion_cilindro!$B$9+10*(Presion_cilindro!$B$9-1)*Presion_cilindro!$B$33*(IF(Presion_cilindro!N127&gt;(-G$4+Presion_cilindro!$B$34),1-EXP(-Presion_cilindro!$B$16*((Presion_cilindro!N127-(-G$4+Presion_cilindro!$B$34))/Presion_cilindro!$B$35)^(Presion_cilindro!$B$17+1)),0)-IF(Presion_cilindro!N126&gt;(-G$4+Presion_cilindro!$B$34),1-EXP(-Presion_cilindro!$B$16*((Presion_cilindro!N126-(-G$4+Presion_cilindro!$B$34))/Presion_cilindro!$B$35)^(Presion_cilindro!$B$17+1)),0))/((Presion_cilindro!O126+Presion_cilindro!O127)/2)</f>
        <v>0.94485720144203222</v>
      </c>
      <c r="H135" s="27">
        <f>H134*(Presion_cilindro!O126/Presion_cilindro!O127)^Presion_cilindro!$B$9+10*(Presion_cilindro!$B$9-1)*Presion_cilindro!$B$33*(IF(Presion_cilindro!N127&gt;(-H$4+Presion_cilindro!$B$34),1-EXP(-Presion_cilindro!$B$16*((Presion_cilindro!N127-(-H$4+Presion_cilindro!$B$34))/Presion_cilindro!$B$35)^(Presion_cilindro!$B$17+1)),0)-IF(Presion_cilindro!N126&gt;(-H$4+Presion_cilindro!$B$34),1-EXP(-Presion_cilindro!$B$16*((Presion_cilindro!N126-(-H$4+Presion_cilindro!$B$34))/Presion_cilindro!$B$35)^(Presion_cilindro!$B$17+1)),0))/((Presion_cilindro!O126+Presion_cilindro!O127)/2)</f>
        <v>0.94485720144203222</v>
      </c>
      <c r="I135" s="27">
        <f>I134*(Presion_cilindro!O126/Presion_cilindro!O127)^Presion_cilindro!$B$9+10*(Presion_cilindro!$B$9-1)*Presion_cilindro!$B$33*(IF(Presion_cilindro!N127&gt;(-I$4+Presion_cilindro!$B$34),1-EXP(-Presion_cilindro!$B$16*((Presion_cilindro!N127-(-I$4+Presion_cilindro!$B$34))/Presion_cilindro!$B$35)^(Presion_cilindro!$B$17+1)),0)-IF(Presion_cilindro!N126&gt;(-I$4+Presion_cilindro!$B$34),1-EXP(-Presion_cilindro!$B$16*((Presion_cilindro!N126-(-I$4+Presion_cilindro!$B$34))/Presion_cilindro!$B$35)^(Presion_cilindro!$B$17+1)),0))/((Presion_cilindro!O126+Presion_cilindro!O127)/2)</f>
        <v>0.94485720144203222</v>
      </c>
      <c r="J135" s="27">
        <f>J134*(Presion_cilindro!O126/Presion_cilindro!O127)^Presion_cilindro!$B$9+10*(Presion_cilindro!$B$9-1)*Presion_cilindro!$B$33*(IF(Presion_cilindro!N127&gt;(-J$4+Presion_cilindro!$B$34),1-EXP(-Presion_cilindro!$B$16*((Presion_cilindro!N127-(-J$4+Presion_cilindro!$B$34))/Presion_cilindro!$B$35)^(Presion_cilindro!$B$17+1)),0)-IF(Presion_cilindro!N126&gt;(-J$4+Presion_cilindro!$B$34),1-EXP(-Presion_cilindro!$B$16*((Presion_cilindro!N126-(-J$4+Presion_cilindro!$B$34))/Presion_cilindro!$B$35)^(Presion_cilindro!$B$17+1)),0))/((Presion_cilindro!O126+Presion_cilindro!O127)/2)</f>
        <v>0.94485720144203222</v>
      </c>
      <c r="K135" s="27">
        <f>K134*(Presion_cilindro!O126/Presion_cilindro!O127)^Presion_cilindro!$B$9+10*(Presion_cilindro!$B$9-1)*Presion_cilindro!$B$33*(IF(Presion_cilindro!N127&gt;(-K$4+Presion_cilindro!$B$34),1-EXP(-Presion_cilindro!$B$16*((Presion_cilindro!N127-(-K$4+Presion_cilindro!$B$34))/Presion_cilindro!$B$35)^(Presion_cilindro!$B$17+1)),0)-IF(Presion_cilindro!N126&gt;(-K$4+Presion_cilindro!$B$34),1-EXP(-Presion_cilindro!$B$16*((Presion_cilindro!N126-(-K$4+Presion_cilindro!$B$34))/Presion_cilindro!$B$35)^(Presion_cilindro!$B$17+1)),0))/((Presion_cilindro!O126+Presion_cilindro!O127)/2)</f>
        <v>0.94485720144203222</v>
      </c>
      <c r="L135" s="27">
        <f>L134*(Presion_cilindro!O126/Presion_cilindro!O127)^Presion_cilindro!$B$9+10*(Presion_cilindro!$B$9-1)*Presion_cilindro!$B$33*(IF(Presion_cilindro!N127&gt;(-L$4+Presion_cilindro!$B$34),1-EXP(-Presion_cilindro!$B$16*((Presion_cilindro!N127-(-L$4+Presion_cilindro!$B$34))/Presion_cilindro!$B$35)^(Presion_cilindro!$B$17+1)),0)-IF(Presion_cilindro!N126&gt;(-L$4+Presion_cilindro!$B$34),1-EXP(-Presion_cilindro!$B$16*((Presion_cilindro!N126-(-L$4+Presion_cilindro!$B$34))/Presion_cilindro!$B$35)^(Presion_cilindro!$B$17+1)),0))/((Presion_cilindro!O126+Presion_cilindro!O127)/2)</f>
        <v>0.94485720144203222</v>
      </c>
      <c r="M135" s="27">
        <f>M134*(Presion_cilindro!O126/Presion_cilindro!O127)^Presion_cilindro!$B$9+10*(Presion_cilindro!$B$9-1)*Presion_cilindro!$B$33*(IF(Presion_cilindro!N127&gt;(-M$4+Presion_cilindro!$B$34),1-EXP(-Presion_cilindro!$B$16*((Presion_cilindro!N127-(-M$4+Presion_cilindro!$B$34))/Presion_cilindro!$B$35)^(Presion_cilindro!$B$17+1)),0)-IF(Presion_cilindro!N126&gt;(-M$4+Presion_cilindro!$B$34),1-EXP(-Presion_cilindro!$B$16*((Presion_cilindro!N126-(-M$4+Presion_cilindro!$B$34))/Presion_cilindro!$B$35)^(Presion_cilindro!$B$17+1)),0))/((Presion_cilindro!O126+Presion_cilindro!O127)/2)</f>
        <v>0.94485720144203222</v>
      </c>
      <c r="N135" s="27">
        <f>N134*(Presion_cilindro!O126/Presion_cilindro!O127)^Presion_cilindro!$B$9+10*(Presion_cilindro!$B$9-1)*Presion_cilindro!$B$33*(IF(Presion_cilindro!N127&gt;(-N$4+Presion_cilindro!$B$34),1-EXP(-Presion_cilindro!$B$16*((Presion_cilindro!N127-(-N$4+Presion_cilindro!$B$34))/Presion_cilindro!$B$35)^(Presion_cilindro!$B$17+1)),0)-IF(Presion_cilindro!N126&gt;(-N$4+Presion_cilindro!$B$34),1-EXP(-Presion_cilindro!$B$16*((Presion_cilindro!N126-(-N$4+Presion_cilindro!$B$34))/Presion_cilindro!$B$35)^(Presion_cilindro!$B$17+1)),0))/((Presion_cilindro!O126+Presion_cilindro!O127)/2)</f>
        <v>0.94485720144203222</v>
      </c>
    </row>
    <row r="136" spans="1:14" x14ac:dyDescent="0.25">
      <c r="A136" s="21">
        <f>Presion_cilindro!N128</f>
        <v>-118</v>
      </c>
      <c r="B136" s="27">
        <f>B135*(Presion_cilindro!O127/Presion_cilindro!O128)^Presion_cilindro!$B$9+10*(Presion_cilindro!$B$9-1)*Presion_cilindro!$B$33*(IF(Presion_cilindro!N128&gt;(-B$4+Presion_cilindro!$B$34),1-EXP(-Presion_cilindro!$B$16*((Presion_cilindro!N128-(-B$4+Presion_cilindro!$B$34))/Presion_cilindro!$B$35)^(Presion_cilindro!$B$17+1)),0)-IF(Presion_cilindro!N127&gt;(-B$4+Presion_cilindro!$B$34),1-EXP(-Presion_cilindro!$B$16*((Presion_cilindro!N127-(-B$4+Presion_cilindro!$B$34))/Presion_cilindro!$B$35)^(Presion_cilindro!$B$17+1)),0))/((Presion_cilindro!O127+Presion_cilindro!O128)/2)</f>
        <v>0.94946433128181895</v>
      </c>
      <c r="C136" s="27">
        <f>C135*(Presion_cilindro!O127/Presion_cilindro!O128)^Presion_cilindro!$B$9+10*(Presion_cilindro!$B$9-1)*Presion_cilindro!$B$33*(IF(Presion_cilindro!N128&gt;(-C$4+Presion_cilindro!$B$34),1-EXP(-Presion_cilindro!$B$16*((Presion_cilindro!N128-(-C$4+Presion_cilindro!$B$34))/Presion_cilindro!$B$35)^(Presion_cilindro!$B$17+1)),0)-IF(Presion_cilindro!N127&gt;(-C$4+Presion_cilindro!$B$34),1-EXP(-Presion_cilindro!$B$16*((Presion_cilindro!N127-(-C$4+Presion_cilindro!$B$34))/Presion_cilindro!$B$35)^(Presion_cilindro!$B$17+1)),0))/((Presion_cilindro!O127+Presion_cilindro!O128)/2)</f>
        <v>0.94946433128181895</v>
      </c>
      <c r="D136" s="27">
        <f>D135*(Presion_cilindro!O127/Presion_cilindro!O128)^Presion_cilindro!$B$9+10*(Presion_cilindro!$B$9-1)*Presion_cilindro!$B$33*(IF(Presion_cilindro!N128&gt;(-D$4+Presion_cilindro!$B$34),1-EXP(-Presion_cilindro!$B$16*((Presion_cilindro!N128-(-D$4+Presion_cilindro!$B$34))/Presion_cilindro!$B$35)^(Presion_cilindro!$B$17+1)),0)-IF(Presion_cilindro!N127&gt;(-D$4+Presion_cilindro!$B$34),1-EXP(-Presion_cilindro!$B$16*((Presion_cilindro!N127-(-D$4+Presion_cilindro!$B$34))/Presion_cilindro!$B$35)^(Presion_cilindro!$B$17+1)),0))/((Presion_cilindro!O127+Presion_cilindro!O128)/2)</f>
        <v>0.94946433128181895</v>
      </c>
      <c r="E136" s="27">
        <f>E135*(Presion_cilindro!O127/Presion_cilindro!O128)^Presion_cilindro!$B$9+10*(Presion_cilindro!$B$9-1)*Presion_cilindro!$B$33*(IF(Presion_cilindro!N128&gt;(-E$4+Presion_cilindro!$B$34),1-EXP(-Presion_cilindro!$B$16*((Presion_cilindro!N128-(-E$4+Presion_cilindro!$B$34))/Presion_cilindro!$B$35)^(Presion_cilindro!$B$17+1)),0)-IF(Presion_cilindro!N127&gt;(-E$4+Presion_cilindro!$B$34),1-EXP(-Presion_cilindro!$B$16*((Presion_cilindro!N127-(-E$4+Presion_cilindro!$B$34))/Presion_cilindro!$B$35)^(Presion_cilindro!$B$17+1)),0))/((Presion_cilindro!O127+Presion_cilindro!O128)/2)</f>
        <v>0.94946433128181895</v>
      </c>
      <c r="F136" s="27">
        <f>F135*(Presion_cilindro!O127/Presion_cilindro!O128)^Presion_cilindro!$B$9+10*(Presion_cilindro!$B$9-1)*Presion_cilindro!$B$33*(IF(Presion_cilindro!N128&gt;(-F$4+Presion_cilindro!$B$34),1-EXP(-Presion_cilindro!$B$16*((Presion_cilindro!N128-(-F$4+Presion_cilindro!$B$34))/Presion_cilindro!$B$35)^(Presion_cilindro!$B$17+1)),0)-IF(Presion_cilindro!N127&gt;(-F$4+Presion_cilindro!$B$34),1-EXP(-Presion_cilindro!$B$16*((Presion_cilindro!N127-(-F$4+Presion_cilindro!$B$34))/Presion_cilindro!$B$35)^(Presion_cilindro!$B$17+1)),0))/((Presion_cilindro!O127+Presion_cilindro!O128)/2)</f>
        <v>0.94946433128181895</v>
      </c>
      <c r="G136" s="27">
        <f>G135*(Presion_cilindro!O127/Presion_cilindro!O128)^Presion_cilindro!$B$9+10*(Presion_cilindro!$B$9-1)*Presion_cilindro!$B$33*(IF(Presion_cilindro!N128&gt;(-G$4+Presion_cilindro!$B$34),1-EXP(-Presion_cilindro!$B$16*((Presion_cilindro!N128-(-G$4+Presion_cilindro!$B$34))/Presion_cilindro!$B$35)^(Presion_cilindro!$B$17+1)),0)-IF(Presion_cilindro!N127&gt;(-G$4+Presion_cilindro!$B$34),1-EXP(-Presion_cilindro!$B$16*((Presion_cilindro!N127-(-G$4+Presion_cilindro!$B$34))/Presion_cilindro!$B$35)^(Presion_cilindro!$B$17+1)),0))/((Presion_cilindro!O127+Presion_cilindro!O128)/2)</f>
        <v>0.94946433128181895</v>
      </c>
      <c r="H136" s="27">
        <f>H135*(Presion_cilindro!O127/Presion_cilindro!O128)^Presion_cilindro!$B$9+10*(Presion_cilindro!$B$9-1)*Presion_cilindro!$B$33*(IF(Presion_cilindro!N128&gt;(-H$4+Presion_cilindro!$B$34),1-EXP(-Presion_cilindro!$B$16*((Presion_cilindro!N128-(-H$4+Presion_cilindro!$B$34))/Presion_cilindro!$B$35)^(Presion_cilindro!$B$17+1)),0)-IF(Presion_cilindro!N127&gt;(-H$4+Presion_cilindro!$B$34),1-EXP(-Presion_cilindro!$B$16*((Presion_cilindro!N127-(-H$4+Presion_cilindro!$B$34))/Presion_cilindro!$B$35)^(Presion_cilindro!$B$17+1)),0))/((Presion_cilindro!O127+Presion_cilindro!O128)/2)</f>
        <v>0.94946433128181895</v>
      </c>
      <c r="I136" s="27">
        <f>I135*(Presion_cilindro!O127/Presion_cilindro!O128)^Presion_cilindro!$B$9+10*(Presion_cilindro!$B$9-1)*Presion_cilindro!$B$33*(IF(Presion_cilindro!N128&gt;(-I$4+Presion_cilindro!$B$34),1-EXP(-Presion_cilindro!$B$16*((Presion_cilindro!N128-(-I$4+Presion_cilindro!$B$34))/Presion_cilindro!$B$35)^(Presion_cilindro!$B$17+1)),0)-IF(Presion_cilindro!N127&gt;(-I$4+Presion_cilindro!$B$34),1-EXP(-Presion_cilindro!$B$16*((Presion_cilindro!N127-(-I$4+Presion_cilindro!$B$34))/Presion_cilindro!$B$35)^(Presion_cilindro!$B$17+1)),0))/((Presion_cilindro!O127+Presion_cilindro!O128)/2)</f>
        <v>0.94946433128181895</v>
      </c>
      <c r="J136" s="27">
        <f>J135*(Presion_cilindro!O127/Presion_cilindro!O128)^Presion_cilindro!$B$9+10*(Presion_cilindro!$B$9-1)*Presion_cilindro!$B$33*(IF(Presion_cilindro!N128&gt;(-J$4+Presion_cilindro!$B$34),1-EXP(-Presion_cilindro!$B$16*((Presion_cilindro!N128-(-J$4+Presion_cilindro!$B$34))/Presion_cilindro!$B$35)^(Presion_cilindro!$B$17+1)),0)-IF(Presion_cilindro!N127&gt;(-J$4+Presion_cilindro!$B$34),1-EXP(-Presion_cilindro!$B$16*((Presion_cilindro!N127-(-J$4+Presion_cilindro!$B$34))/Presion_cilindro!$B$35)^(Presion_cilindro!$B$17+1)),0))/((Presion_cilindro!O127+Presion_cilindro!O128)/2)</f>
        <v>0.94946433128181895</v>
      </c>
      <c r="K136" s="27">
        <f>K135*(Presion_cilindro!O127/Presion_cilindro!O128)^Presion_cilindro!$B$9+10*(Presion_cilindro!$B$9-1)*Presion_cilindro!$B$33*(IF(Presion_cilindro!N128&gt;(-K$4+Presion_cilindro!$B$34),1-EXP(-Presion_cilindro!$B$16*((Presion_cilindro!N128-(-K$4+Presion_cilindro!$B$34))/Presion_cilindro!$B$35)^(Presion_cilindro!$B$17+1)),0)-IF(Presion_cilindro!N127&gt;(-K$4+Presion_cilindro!$B$34),1-EXP(-Presion_cilindro!$B$16*((Presion_cilindro!N127-(-K$4+Presion_cilindro!$B$34))/Presion_cilindro!$B$35)^(Presion_cilindro!$B$17+1)),0))/((Presion_cilindro!O127+Presion_cilindro!O128)/2)</f>
        <v>0.94946433128181895</v>
      </c>
      <c r="L136" s="27">
        <f>L135*(Presion_cilindro!O127/Presion_cilindro!O128)^Presion_cilindro!$B$9+10*(Presion_cilindro!$B$9-1)*Presion_cilindro!$B$33*(IF(Presion_cilindro!N128&gt;(-L$4+Presion_cilindro!$B$34),1-EXP(-Presion_cilindro!$B$16*((Presion_cilindro!N128-(-L$4+Presion_cilindro!$B$34))/Presion_cilindro!$B$35)^(Presion_cilindro!$B$17+1)),0)-IF(Presion_cilindro!N127&gt;(-L$4+Presion_cilindro!$B$34),1-EXP(-Presion_cilindro!$B$16*((Presion_cilindro!N127-(-L$4+Presion_cilindro!$B$34))/Presion_cilindro!$B$35)^(Presion_cilindro!$B$17+1)),0))/((Presion_cilindro!O127+Presion_cilindro!O128)/2)</f>
        <v>0.94946433128181895</v>
      </c>
      <c r="M136" s="27">
        <f>M135*(Presion_cilindro!O127/Presion_cilindro!O128)^Presion_cilindro!$B$9+10*(Presion_cilindro!$B$9-1)*Presion_cilindro!$B$33*(IF(Presion_cilindro!N128&gt;(-M$4+Presion_cilindro!$B$34),1-EXP(-Presion_cilindro!$B$16*((Presion_cilindro!N128-(-M$4+Presion_cilindro!$B$34))/Presion_cilindro!$B$35)^(Presion_cilindro!$B$17+1)),0)-IF(Presion_cilindro!N127&gt;(-M$4+Presion_cilindro!$B$34),1-EXP(-Presion_cilindro!$B$16*((Presion_cilindro!N127-(-M$4+Presion_cilindro!$B$34))/Presion_cilindro!$B$35)^(Presion_cilindro!$B$17+1)),0))/((Presion_cilindro!O127+Presion_cilindro!O128)/2)</f>
        <v>0.94946433128181895</v>
      </c>
      <c r="N136" s="27">
        <f>N135*(Presion_cilindro!O127/Presion_cilindro!O128)^Presion_cilindro!$B$9+10*(Presion_cilindro!$B$9-1)*Presion_cilindro!$B$33*(IF(Presion_cilindro!N128&gt;(-N$4+Presion_cilindro!$B$34),1-EXP(-Presion_cilindro!$B$16*((Presion_cilindro!N128-(-N$4+Presion_cilindro!$B$34))/Presion_cilindro!$B$35)^(Presion_cilindro!$B$17+1)),0)-IF(Presion_cilindro!N127&gt;(-N$4+Presion_cilindro!$B$34),1-EXP(-Presion_cilindro!$B$16*((Presion_cilindro!N127-(-N$4+Presion_cilindro!$B$34))/Presion_cilindro!$B$35)^(Presion_cilindro!$B$17+1)),0))/((Presion_cilindro!O127+Presion_cilindro!O128)/2)</f>
        <v>0.94946433128181895</v>
      </c>
    </row>
    <row r="137" spans="1:14" x14ac:dyDescent="0.25">
      <c r="A137" s="21">
        <f>Presion_cilindro!N129</f>
        <v>-117.5</v>
      </c>
      <c r="B137" s="27">
        <f>B136*(Presion_cilindro!O128/Presion_cilindro!O129)^Presion_cilindro!$B$9+10*(Presion_cilindro!$B$9-1)*Presion_cilindro!$B$33*(IF(Presion_cilindro!N129&gt;(-B$4+Presion_cilindro!$B$34),1-EXP(-Presion_cilindro!$B$16*((Presion_cilindro!N129-(-B$4+Presion_cilindro!$B$34))/Presion_cilindro!$B$35)^(Presion_cilindro!$B$17+1)),0)-IF(Presion_cilindro!N128&gt;(-B$4+Presion_cilindro!$B$34),1-EXP(-Presion_cilindro!$B$16*((Presion_cilindro!N128-(-B$4+Presion_cilindro!$B$34))/Presion_cilindro!$B$35)^(Presion_cilindro!$B$17+1)),0))/((Presion_cilindro!O128+Presion_cilindro!O129)/2)</f>
        <v>0.95414482541886614</v>
      </c>
      <c r="C137" s="27">
        <f>C136*(Presion_cilindro!O128/Presion_cilindro!O129)^Presion_cilindro!$B$9+10*(Presion_cilindro!$B$9-1)*Presion_cilindro!$B$33*(IF(Presion_cilindro!N129&gt;(-C$4+Presion_cilindro!$B$34),1-EXP(-Presion_cilindro!$B$16*((Presion_cilindro!N129-(-C$4+Presion_cilindro!$B$34))/Presion_cilindro!$B$35)^(Presion_cilindro!$B$17+1)),0)-IF(Presion_cilindro!N128&gt;(-C$4+Presion_cilindro!$B$34),1-EXP(-Presion_cilindro!$B$16*((Presion_cilindro!N128-(-C$4+Presion_cilindro!$B$34))/Presion_cilindro!$B$35)^(Presion_cilindro!$B$17+1)),0))/((Presion_cilindro!O128+Presion_cilindro!O129)/2)</f>
        <v>0.95414482541886614</v>
      </c>
      <c r="D137" s="27">
        <f>D136*(Presion_cilindro!O128/Presion_cilindro!O129)^Presion_cilindro!$B$9+10*(Presion_cilindro!$B$9-1)*Presion_cilindro!$B$33*(IF(Presion_cilindro!N129&gt;(-D$4+Presion_cilindro!$B$34),1-EXP(-Presion_cilindro!$B$16*((Presion_cilindro!N129-(-D$4+Presion_cilindro!$B$34))/Presion_cilindro!$B$35)^(Presion_cilindro!$B$17+1)),0)-IF(Presion_cilindro!N128&gt;(-D$4+Presion_cilindro!$B$34),1-EXP(-Presion_cilindro!$B$16*((Presion_cilindro!N128-(-D$4+Presion_cilindro!$B$34))/Presion_cilindro!$B$35)^(Presion_cilindro!$B$17+1)),0))/((Presion_cilindro!O128+Presion_cilindro!O129)/2)</f>
        <v>0.95414482541886614</v>
      </c>
      <c r="E137" s="27">
        <f>E136*(Presion_cilindro!O128/Presion_cilindro!O129)^Presion_cilindro!$B$9+10*(Presion_cilindro!$B$9-1)*Presion_cilindro!$B$33*(IF(Presion_cilindro!N129&gt;(-E$4+Presion_cilindro!$B$34),1-EXP(-Presion_cilindro!$B$16*((Presion_cilindro!N129-(-E$4+Presion_cilindro!$B$34))/Presion_cilindro!$B$35)^(Presion_cilindro!$B$17+1)),0)-IF(Presion_cilindro!N128&gt;(-E$4+Presion_cilindro!$B$34),1-EXP(-Presion_cilindro!$B$16*((Presion_cilindro!N128-(-E$4+Presion_cilindro!$B$34))/Presion_cilindro!$B$35)^(Presion_cilindro!$B$17+1)),0))/((Presion_cilindro!O128+Presion_cilindro!O129)/2)</f>
        <v>0.95414482541886614</v>
      </c>
      <c r="F137" s="27">
        <f>F136*(Presion_cilindro!O128/Presion_cilindro!O129)^Presion_cilindro!$B$9+10*(Presion_cilindro!$B$9-1)*Presion_cilindro!$B$33*(IF(Presion_cilindro!N129&gt;(-F$4+Presion_cilindro!$B$34),1-EXP(-Presion_cilindro!$B$16*((Presion_cilindro!N129-(-F$4+Presion_cilindro!$B$34))/Presion_cilindro!$B$35)^(Presion_cilindro!$B$17+1)),0)-IF(Presion_cilindro!N128&gt;(-F$4+Presion_cilindro!$B$34),1-EXP(-Presion_cilindro!$B$16*((Presion_cilindro!N128-(-F$4+Presion_cilindro!$B$34))/Presion_cilindro!$B$35)^(Presion_cilindro!$B$17+1)),0))/((Presion_cilindro!O128+Presion_cilindro!O129)/2)</f>
        <v>0.95414482541886614</v>
      </c>
      <c r="G137" s="27">
        <f>G136*(Presion_cilindro!O128/Presion_cilindro!O129)^Presion_cilindro!$B$9+10*(Presion_cilindro!$B$9-1)*Presion_cilindro!$B$33*(IF(Presion_cilindro!N129&gt;(-G$4+Presion_cilindro!$B$34),1-EXP(-Presion_cilindro!$B$16*((Presion_cilindro!N129-(-G$4+Presion_cilindro!$B$34))/Presion_cilindro!$B$35)^(Presion_cilindro!$B$17+1)),0)-IF(Presion_cilindro!N128&gt;(-G$4+Presion_cilindro!$B$34),1-EXP(-Presion_cilindro!$B$16*((Presion_cilindro!N128-(-G$4+Presion_cilindro!$B$34))/Presion_cilindro!$B$35)^(Presion_cilindro!$B$17+1)),0))/((Presion_cilindro!O128+Presion_cilindro!O129)/2)</f>
        <v>0.95414482541886614</v>
      </c>
      <c r="H137" s="27">
        <f>H136*(Presion_cilindro!O128/Presion_cilindro!O129)^Presion_cilindro!$B$9+10*(Presion_cilindro!$B$9-1)*Presion_cilindro!$B$33*(IF(Presion_cilindro!N129&gt;(-H$4+Presion_cilindro!$B$34),1-EXP(-Presion_cilindro!$B$16*((Presion_cilindro!N129-(-H$4+Presion_cilindro!$B$34))/Presion_cilindro!$B$35)^(Presion_cilindro!$B$17+1)),0)-IF(Presion_cilindro!N128&gt;(-H$4+Presion_cilindro!$B$34),1-EXP(-Presion_cilindro!$B$16*((Presion_cilindro!N128-(-H$4+Presion_cilindro!$B$34))/Presion_cilindro!$B$35)^(Presion_cilindro!$B$17+1)),0))/((Presion_cilindro!O128+Presion_cilindro!O129)/2)</f>
        <v>0.95414482541886614</v>
      </c>
      <c r="I137" s="27">
        <f>I136*(Presion_cilindro!O128/Presion_cilindro!O129)^Presion_cilindro!$B$9+10*(Presion_cilindro!$B$9-1)*Presion_cilindro!$B$33*(IF(Presion_cilindro!N129&gt;(-I$4+Presion_cilindro!$B$34),1-EXP(-Presion_cilindro!$B$16*((Presion_cilindro!N129-(-I$4+Presion_cilindro!$B$34))/Presion_cilindro!$B$35)^(Presion_cilindro!$B$17+1)),0)-IF(Presion_cilindro!N128&gt;(-I$4+Presion_cilindro!$B$34),1-EXP(-Presion_cilindro!$B$16*((Presion_cilindro!N128-(-I$4+Presion_cilindro!$B$34))/Presion_cilindro!$B$35)^(Presion_cilindro!$B$17+1)),0))/((Presion_cilindro!O128+Presion_cilindro!O129)/2)</f>
        <v>0.95414482541886614</v>
      </c>
      <c r="J137" s="27">
        <f>J136*(Presion_cilindro!O128/Presion_cilindro!O129)^Presion_cilindro!$B$9+10*(Presion_cilindro!$B$9-1)*Presion_cilindro!$B$33*(IF(Presion_cilindro!N129&gt;(-J$4+Presion_cilindro!$B$34),1-EXP(-Presion_cilindro!$B$16*((Presion_cilindro!N129-(-J$4+Presion_cilindro!$B$34))/Presion_cilindro!$B$35)^(Presion_cilindro!$B$17+1)),0)-IF(Presion_cilindro!N128&gt;(-J$4+Presion_cilindro!$B$34),1-EXP(-Presion_cilindro!$B$16*((Presion_cilindro!N128-(-J$4+Presion_cilindro!$B$34))/Presion_cilindro!$B$35)^(Presion_cilindro!$B$17+1)),0))/((Presion_cilindro!O128+Presion_cilindro!O129)/2)</f>
        <v>0.95414482541886614</v>
      </c>
      <c r="K137" s="27">
        <f>K136*(Presion_cilindro!O128/Presion_cilindro!O129)^Presion_cilindro!$B$9+10*(Presion_cilindro!$B$9-1)*Presion_cilindro!$B$33*(IF(Presion_cilindro!N129&gt;(-K$4+Presion_cilindro!$B$34),1-EXP(-Presion_cilindro!$B$16*((Presion_cilindro!N129-(-K$4+Presion_cilindro!$B$34))/Presion_cilindro!$B$35)^(Presion_cilindro!$B$17+1)),0)-IF(Presion_cilindro!N128&gt;(-K$4+Presion_cilindro!$B$34),1-EXP(-Presion_cilindro!$B$16*((Presion_cilindro!N128-(-K$4+Presion_cilindro!$B$34))/Presion_cilindro!$B$35)^(Presion_cilindro!$B$17+1)),0))/((Presion_cilindro!O128+Presion_cilindro!O129)/2)</f>
        <v>0.95414482541886614</v>
      </c>
      <c r="L137" s="27">
        <f>L136*(Presion_cilindro!O128/Presion_cilindro!O129)^Presion_cilindro!$B$9+10*(Presion_cilindro!$B$9-1)*Presion_cilindro!$B$33*(IF(Presion_cilindro!N129&gt;(-L$4+Presion_cilindro!$B$34),1-EXP(-Presion_cilindro!$B$16*((Presion_cilindro!N129-(-L$4+Presion_cilindro!$B$34))/Presion_cilindro!$B$35)^(Presion_cilindro!$B$17+1)),0)-IF(Presion_cilindro!N128&gt;(-L$4+Presion_cilindro!$B$34),1-EXP(-Presion_cilindro!$B$16*((Presion_cilindro!N128-(-L$4+Presion_cilindro!$B$34))/Presion_cilindro!$B$35)^(Presion_cilindro!$B$17+1)),0))/((Presion_cilindro!O128+Presion_cilindro!O129)/2)</f>
        <v>0.95414482541886614</v>
      </c>
      <c r="M137" s="27">
        <f>M136*(Presion_cilindro!O128/Presion_cilindro!O129)^Presion_cilindro!$B$9+10*(Presion_cilindro!$B$9-1)*Presion_cilindro!$B$33*(IF(Presion_cilindro!N129&gt;(-M$4+Presion_cilindro!$B$34),1-EXP(-Presion_cilindro!$B$16*((Presion_cilindro!N129-(-M$4+Presion_cilindro!$B$34))/Presion_cilindro!$B$35)^(Presion_cilindro!$B$17+1)),0)-IF(Presion_cilindro!N128&gt;(-M$4+Presion_cilindro!$B$34),1-EXP(-Presion_cilindro!$B$16*((Presion_cilindro!N128-(-M$4+Presion_cilindro!$B$34))/Presion_cilindro!$B$35)^(Presion_cilindro!$B$17+1)),0))/((Presion_cilindro!O128+Presion_cilindro!O129)/2)</f>
        <v>0.95414482541886614</v>
      </c>
      <c r="N137" s="27">
        <f>N136*(Presion_cilindro!O128/Presion_cilindro!O129)^Presion_cilindro!$B$9+10*(Presion_cilindro!$B$9-1)*Presion_cilindro!$B$33*(IF(Presion_cilindro!N129&gt;(-N$4+Presion_cilindro!$B$34),1-EXP(-Presion_cilindro!$B$16*((Presion_cilindro!N129-(-N$4+Presion_cilindro!$B$34))/Presion_cilindro!$B$35)^(Presion_cilindro!$B$17+1)),0)-IF(Presion_cilindro!N128&gt;(-N$4+Presion_cilindro!$B$34),1-EXP(-Presion_cilindro!$B$16*((Presion_cilindro!N128-(-N$4+Presion_cilindro!$B$34))/Presion_cilindro!$B$35)^(Presion_cilindro!$B$17+1)),0))/((Presion_cilindro!O128+Presion_cilindro!O129)/2)</f>
        <v>0.95414482541886614</v>
      </c>
    </row>
    <row r="138" spans="1:14" x14ac:dyDescent="0.25">
      <c r="A138" s="21">
        <f>Presion_cilindro!N130</f>
        <v>-117</v>
      </c>
      <c r="B138" s="27">
        <f>B137*(Presion_cilindro!O129/Presion_cilindro!O130)^Presion_cilindro!$B$9+10*(Presion_cilindro!$B$9-1)*Presion_cilindro!$B$33*(IF(Presion_cilindro!N130&gt;(-B$4+Presion_cilindro!$B$34),1-EXP(-Presion_cilindro!$B$16*((Presion_cilindro!N130-(-B$4+Presion_cilindro!$B$34))/Presion_cilindro!$B$35)^(Presion_cilindro!$B$17+1)),0)-IF(Presion_cilindro!N129&gt;(-B$4+Presion_cilindro!$B$34),1-EXP(-Presion_cilindro!$B$16*((Presion_cilindro!N129-(-B$4+Presion_cilindro!$B$34))/Presion_cilindro!$B$35)^(Presion_cilindro!$B$17+1)),0))/((Presion_cilindro!O129+Presion_cilindro!O130)/2)</f>
        <v>0.95889987180126512</v>
      </c>
      <c r="C138" s="27">
        <f>C137*(Presion_cilindro!O129/Presion_cilindro!O130)^Presion_cilindro!$B$9+10*(Presion_cilindro!$B$9-1)*Presion_cilindro!$B$33*(IF(Presion_cilindro!N130&gt;(-C$4+Presion_cilindro!$B$34),1-EXP(-Presion_cilindro!$B$16*((Presion_cilindro!N130-(-C$4+Presion_cilindro!$B$34))/Presion_cilindro!$B$35)^(Presion_cilindro!$B$17+1)),0)-IF(Presion_cilindro!N129&gt;(-C$4+Presion_cilindro!$B$34),1-EXP(-Presion_cilindro!$B$16*((Presion_cilindro!N129-(-C$4+Presion_cilindro!$B$34))/Presion_cilindro!$B$35)^(Presion_cilindro!$B$17+1)),0))/((Presion_cilindro!O129+Presion_cilindro!O130)/2)</f>
        <v>0.95889987180126512</v>
      </c>
      <c r="D138" s="27">
        <f>D137*(Presion_cilindro!O129/Presion_cilindro!O130)^Presion_cilindro!$B$9+10*(Presion_cilindro!$B$9-1)*Presion_cilindro!$B$33*(IF(Presion_cilindro!N130&gt;(-D$4+Presion_cilindro!$B$34),1-EXP(-Presion_cilindro!$B$16*((Presion_cilindro!N130-(-D$4+Presion_cilindro!$B$34))/Presion_cilindro!$B$35)^(Presion_cilindro!$B$17+1)),0)-IF(Presion_cilindro!N129&gt;(-D$4+Presion_cilindro!$B$34),1-EXP(-Presion_cilindro!$B$16*((Presion_cilindro!N129-(-D$4+Presion_cilindro!$B$34))/Presion_cilindro!$B$35)^(Presion_cilindro!$B$17+1)),0))/((Presion_cilindro!O129+Presion_cilindro!O130)/2)</f>
        <v>0.95889987180126512</v>
      </c>
      <c r="E138" s="27">
        <f>E137*(Presion_cilindro!O129/Presion_cilindro!O130)^Presion_cilindro!$B$9+10*(Presion_cilindro!$B$9-1)*Presion_cilindro!$B$33*(IF(Presion_cilindro!N130&gt;(-E$4+Presion_cilindro!$B$34),1-EXP(-Presion_cilindro!$B$16*((Presion_cilindro!N130-(-E$4+Presion_cilindro!$B$34))/Presion_cilindro!$B$35)^(Presion_cilindro!$B$17+1)),0)-IF(Presion_cilindro!N129&gt;(-E$4+Presion_cilindro!$B$34),1-EXP(-Presion_cilindro!$B$16*((Presion_cilindro!N129-(-E$4+Presion_cilindro!$B$34))/Presion_cilindro!$B$35)^(Presion_cilindro!$B$17+1)),0))/((Presion_cilindro!O129+Presion_cilindro!O130)/2)</f>
        <v>0.95889987180126512</v>
      </c>
      <c r="F138" s="27">
        <f>F137*(Presion_cilindro!O129/Presion_cilindro!O130)^Presion_cilindro!$B$9+10*(Presion_cilindro!$B$9-1)*Presion_cilindro!$B$33*(IF(Presion_cilindro!N130&gt;(-F$4+Presion_cilindro!$B$34),1-EXP(-Presion_cilindro!$B$16*((Presion_cilindro!N130-(-F$4+Presion_cilindro!$B$34))/Presion_cilindro!$B$35)^(Presion_cilindro!$B$17+1)),0)-IF(Presion_cilindro!N129&gt;(-F$4+Presion_cilindro!$B$34),1-EXP(-Presion_cilindro!$B$16*((Presion_cilindro!N129-(-F$4+Presion_cilindro!$B$34))/Presion_cilindro!$B$35)^(Presion_cilindro!$B$17+1)),0))/((Presion_cilindro!O129+Presion_cilindro!O130)/2)</f>
        <v>0.95889987180126512</v>
      </c>
      <c r="G138" s="27">
        <f>G137*(Presion_cilindro!O129/Presion_cilindro!O130)^Presion_cilindro!$B$9+10*(Presion_cilindro!$B$9-1)*Presion_cilindro!$B$33*(IF(Presion_cilindro!N130&gt;(-G$4+Presion_cilindro!$B$34),1-EXP(-Presion_cilindro!$B$16*((Presion_cilindro!N130-(-G$4+Presion_cilindro!$B$34))/Presion_cilindro!$B$35)^(Presion_cilindro!$B$17+1)),0)-IF(Presion_cilindro!N129&gt;(-G$4+Presion_cilindro!$B$34),1-EXP(-Presion_cilindro!$B$16*((Presion_cilindro!N129-(-G$4+Presion_cilindro!$B$34))/Presion_cilindro!$B$35)^(Presion_cilindro!$B$17+1)),0))/((Presion_cilindro!O129+Presion_cilindro!O130)/2)</f>
        <v>0.95889987180126512</v>
      </c>
      <c r="H138" s="27">
        <f>H137*(Presion_cilindro!O129/Presion_cilindro!O130)^Presion_cilindro!$B$9+10*(Presion_cilindro!$B$9-1)*Presion_cilindro!$B$33*(IF(Presion_cilindro!N130&gt;(-H$4+Presion_cilindro!$B$34),1-EXP(-Presion_cilindro!$B$16*((Presion_cilindro!N130-(-H$4+Presion_cilindro!$B$34))/Presion_cilindro!$B$35)^(Presion_cilindro!$B$17+1)),0)-IF(Presion_cilindro!N129&gt;(-H$4+Presion_cilindro!$B$34),1-EXP(-Presion_cilindro!$B$16*((Presion_cilindro!N129-(-H$4+Presion_cilindro!$B$34))/Presion_cilindro!$B$35)^(Presion_cilindro!$B$17+1)),0))/((Presion_cilindro!O129+Presion_cilindro!O130)/2)</f>
        <v>0.95889987180126512</v>
      </c>
      <c r="I138" s="27">
        <f>I137*(Presion_cilindro!O129/Presion_cilindro!O130)^Presion_cilindro!$B$9+10*(Presion_cilindro!$B$9-1)*Presion_cilindro!$B$33*(IF(Presion_cilindro!N130&gt;(-I$4+Presion_cilindro!$B$34),1-EXP(-Presion_cilindro!$B$16*((Presion_cilindro!N130-(-I$4+Presion_cilindro!$B$34))/Presion_cilindro!$B$35)^(Presion_cilindro!$B$17+1)),0)-IF(Presion_cilindro!N129&gt;(-I$4+Presion_cilindro!$B$34),1-EXP(-Presion_cilindro!$B$16*((Presion_cilindro!N129-(-I$4+Presion_cilindro!$B$34))/Presion_cilindro!$B$35)^(Presion_cilindro!$B$17+1)),0))/((Presion_cilindro!O129+Presion_cilindro!O130)/2)</f>
        <v>0.95889987180126512</v>
      </c>
      <c r="J138" s="27">
        <f>J137*(Presion_cilindro!O129/Presion_cilindro!O130)^Presion_cilindro!$B$9+10*(Presion_cilindro!$B$9-1)*Presion_cilindro!$B$33*(IF(Presion_cilindro!N130&gt;(-J$4+Presion_cilindro!$B$34),1-EXP(-Presion_cilindro!$B$16*((Presion_cilindro!N130-(-J$4+Presion_cilindro!$B$34))/Presion_cilindro!$B$35)^(Presion_cilindro!$B$17+1)),0)-IF(Presion_cilindro!N129&gt;(-J$4+Presion_cilindro!$B$34),1-EXP(-Presion_cilindro!$B$16*((Presion_cilindro!N129-(-J$4+Presion_cilindro!$B$34))/Presion_cilindro!$B$35)^(Presion_cilindro!$B$17+1)),0))/((Presion_cilindro!O129+Presion_cilindro!O130)/2)</f>
        <v>0.95889987180126512</v>
      </c>
      <c r="K138" s="27">
        <f>K137*(Presion_cilindro!O129/Presion_cilindro!O130)^Presion_cilindro!$B$9+10*(Presion_cilindro!$B$9-1)*Presion_cilindro!$B$33*(IF(Presion_cilindro!N130&gt;(-K$4+Presion_cilindro!$B$34),1-EXP(-Presion_cilindro!$B$16*((Presion_cilindro!N130-(-K$4+Presion_cilindro!$B$34))/Presion_cilindro!$B$35)^(Presion_cilindro!$B$17+1)),0)-IF(Presion_cilindro!N129&gt;(-K$4+Presion_cilindro!$B$34),1-EXP(-Presion_cilindro!$B$16*((Presion_cilindro!N129-(-K$4+Presion_cilindro!$B$34))/Presion_cilindro!$B$35)^(Presion_cilindro!$B$17+1)),0))/((Presion_cilindro!O129+Presion_cilindro!O130)/2)</f>
        <v>0.95889987180126512</v>
      </c>
      <c r="L138" s="27">
        <f>L137*(Presion_cilindro!O129/Presion_cilindro!O130)^Presion_cilindro!$B$9+10*(Presion_cilindro!$B$9-1)*Presion_cilindro!$B$33*(IF(Presion_cilindro!N130&gt;(-L$4+Presion_cilindro!$B$34),1-EXP(-Presion_cilindro!$B$16*((Presion_cilindro!N130-(-L$4+Presion_cilindro!$B$34))/Presion_cilindro!$B$35)^(Presion_cilindro!$B$17+1)),0)-IF(Presion_cilindro!N129&gt;(-L$4+Presion_cilindro!$B$34),1-EXP(-Presion_cilindro!$B$16*((Presion_cilindro!N129-(-L$4+Presion_cilindro!$B$34))/Presion_cilindro!$B$35)^(Presion_cilindro!$B$17+1)),0))/((Presion_cilindro!O129+Presion_cilindro!O130)/2)</f>
        <v>0.95889987180126512</v>
      </c>
      <c r="M138" s="27">
        <f>M137*(Presion_cilindro!O129/Presion_cilindro!O130)^Presion_cilindro!$B$9+10*(Presion_cilindro!$B$9-1)*Presion_cilindro!$B$33*(IF(Presion_cilindro!N130&gt;(-M$4+Presion_cilindro!$B$34),1-EXP(-Presion_cilindro!$B$16*((Presion_cilindro!N130-(-M$4+Presion_cilindro!$B$34))/Presion_cilindro!$B$35)^(Presion_cilindro!$B$17+1)),0)-IF(Presion_cilindro!N129&gt;(-M$4+Presion_cilindro!$B$34),1-EXP(-Presion_cilindro!$B$16*((Presion_cilindro!N129-(-M$4+Presion_cilindro!$B$34))/Presion_cilindro!$B$35)^(Presion_cilindro!$B$17+1)),0))/((Presion_cilindro!O129+Presion_cilindro!O130)/2)</f>
        <v>0.95889987180126512</v>
      </c>
      <c r="N138" s="27">
        <f>N137*(Presion_cilindro!O129/Presion_cilindro!O130)^Presion_cilindro!$B$9+10*(Presion_cilindro!$B$9-1)*Presion_cilindro!$B$33*(IF(Presion_cilindro!N130&gt;(-N$4+Presion_cilindro!$B$34),1-EXP(-Presion_cilindro!$B$16*((Presion_cilindro!N130-(-N$4+Presion_cilindro!$B$34))/Presion_cilindro!$B$35)^(Presion_cilindro!$B$17+1)),0)-IF(Presion_cilindro!N129&gt;(-N$4+Presion_cilindro!$B$34),1-EXP(-Presion_cilindro!$B$16*((Presion_cilindro!N129-(-N$4+Presion_cilindro!$B$34))/Presion_cilindro!$B$35)^(Presion_cilindro!$B$17+1)),0))/((Presion_cilindro!O129+Presion_cilindro!O130)/2)</f>
        <v>0.95889987180126512</v>
      </c>
    </row>
    <row r="139" spans="1:14" x14ac:dyDescent="0.25">
      <c r="A139" s="21">
        <f>Presion_cilindro!N131</f>
        <v>-116.5</v>
      </c>
      <c r="B139" s="27">
        <f>B138*(Presion_cilindro!O130/Presion_cilindro!O131)^Presion_cilindro!$B$9+10*(Presion_cilindro!$B$9-1)*Presion_cilindro!$B$33*(IF(Presion_cilindro!N131&gt;(-B$4+Presion_cilindro!$B$34),1-EXP(-Presion_cilindro!$B$16*((Presion_cilindro!N131-(-B$4+Presion_cilindro!$B$34))/Presion_cilindro!$B$35)^(Presion_cilindro!$B$17+1)),0)-IF(Presion_cilindro!N130&gt;(-B$4+Presion_cilindro!$B$34),1-EXP(-Presion_cilindro!$B$16*((Presion_cilindro!N130-(-B$4+Presion_cilindro!$B$34))/Presion_cilindro!$B$35)^(Presion_cilindro!$B$17+1)),0))/((Presion_cilindro!O130+Presion_cilindro!O131)/2)</f>
        <v>0.96373068371500781</v>
      </c>
      <c r="C139" s="27">
        <f>C138*(Presion_cilindro!O130/Presion_cilindro!O131)^Presion_cilindro!$B$9+10*(Presion_cilindro!$B$9-1)*Presion_cilindro!$B$33*(IF(Presion_cilindro!N131&gt;(-C$4+Presion_cilindro!$B$34),1-EXP(-Presion_cilindro!$B$16*((Presion_cilindro!N131-(-C$4+Presion_cilindro!$B$34))/Presion_cilindro!$B$35)^(Presion_cilindro!$B$17+1)),0)-IF(Presion_cilindro!N130&gt;(-C$4+Presion_cilindro!$B$34),1-EXP(-Presion_cilindro!$B$16*((Presion_cilindro!N130-(-C$4+Presion_cilindro!$B$34))/Presion_cilindro!$B$35)^(Presion_cilindro!$B$17+1)),0))/((Presion_cilindro!O130+Presion_cilindro!O131)/2)</f>
        <v>0.96373068371500781</v>
      </c>
      <c r="D139" s="27">
        <f>D138*(Presion_cilindro!O130/Presion_cilindro!O131)^Presion_cilindro!$B$9+10*(Presion_cilindro!$B$9-1)*Presion_cilindro!$B$33*(IF(Presion_cilindro!N131&gt;(-D$4+Presion_cilindro!$B$34),1-EXP(-Presion_cilindro!$B$16*((Presion_cilindro!N131-(-D$4+Presion_cilindro!$B$34))/Presion_cilindro!$B$35)^(Presion_cilindro!$B$17+1)),0)-IF(Presion_cilindro!N130&gt;(-D$4+Presion_cilindro!$B$34),1-EXP(-Presion_cilindro!$B$16*((Presion_cilindro!N130-(-D$4+Presion_cilindro!$B$34))/Presion_cilindro!$B$35)^(Presion_cilindro!$B$17+1)),0))/((Presion_cilindro!O130+Presion_cilindro!O131)/2)</f>
        <v>0.96373068371500781</v>
      </c>
      <c r="E139" s="27">
        <f>E138*(Presion_cilindro!O130/Presion_cilindro!O131)^Presion_cilindro!$B$9+10*(Presion_cilindro!$B$9-1)*Presion_cilindro!$B$33*(IF(Presion_cilindro!N131&gt;(-E$4+Presion_cilindro!$B$34),1-EXP(-Presion_cilindro!$B$16*((Presion_cilindro!N131-(-E$4+Presion_cilindro!$B$34))/Presion_cilindro!$B$35)^(Presion_cilindro!$B$17+1)),0)-IF(Presion_cilindro!N130&gt;(-E$4+Presion_cilindro!$B$34),1-EXP(-Presion_cilindro!$B$16*((Presion_cilindro!N130-(-E$4+Presion_cilindro!$B$34))/Presion_cilindro!$B$35)^(Presion_cilindro!$B$17+1)),0))/((Presion_cilindro!O130+Presion_cilindro!O131)/2)</f>
        <v>0.96373068371500781</v>
      </c>
      <c r="F139" s="27">
        <f>F138*(Presion_cilindro!O130/Presion_cilindro!O131)^Presion_cilindro!$B$9+10*(Presion_cilindro!$B$9-1)*Presion_cilindro!$B$33*(IF(Presion_cilindro!N131&gt;(-F$4+Presion_cilindro!$B$34),1-EXP(-Presion_cilindro!$B$16*((Presion_cilindro!N131-(-F$4+Presion_cilindro!$B$34))/Presion_cilindro!$B$35)^(Presion_cilindro!$B$17+1)),0)-IF(Presion_cilindro!N130&gt;(-F$4+Presion_cilindro!$B$34),1-EXP(-Presion_cilindro!$B$16*((Presion_cilindro!N130-(-F$4+Presion_cilindro!$B$34))/Presion_cilindro!$B$35)^(Presion_cilindro!$B$17+1)),0))/((Presion_cilindro!O130+Presion_cilindro!O131)/2)</f>
        <v>0.96373068371500781</v>
      </c>
      <c r="G139" s="27">
        <f>G138*(Presion_cilindro!O130/Presion_cilindro!O131)^Presion_cilindro!$B$9+10*(Presion_cilindro!$B$9-1)*Presion_cilindro!$B$33*(IF(Presion_cilindro!N131&gt;(-G$4+Presion_cilindro!$B$34),1-EXP(-Presion_cilindro!$B$16*((Presion_cilindro!N131-(-G$4+Presion_cilindro!$B$34))/Presion_cilindro!$B$35)^(Presion_cilindro!$B$17+1)),0)-IF(Presion_cilindro!N130&gt;(-G$4+Presion_cilindro!$B$34),1-EXP(-Presion_cilindro!$B$16*((Presion_cilindro!N130-(-G$4+Presion_cilindro!$B$34))/Presion_cilindro!$B$35)^(Presion_cilindro!$B$17+1)),0))/((Presion_cilindro!O130+Presion_cilindro!O131)/2)</f>
        <v>0.96373068371500781</v>
      </c>
      <c r="H139" s="27">
        <f>H138*(Presion_cilindro!O130/Presion_cilindro!O131)^Presion_cilindro!$B$9+10*(Presion_cilindro!$B$9-1)*Presion_cilindro!$B$33*(IF(Presion_cilindro!N131&gt;(-H$4+Presion_cilindro!$B$34),1-EXP(-Presion_cilindro!$B$16*((Presion_cilindro!N131-(-H$4+Presion_cilindro!$B$34))/Presion_cilindro!$B$35)^(Presion_cilindro!$B$17+1)),0)-IF(Presion_cilindro!N130&gt;(-H$4+Presion_cilindro!$B$34),1-EXP(-Presion_cilindro!$B$16*((Presion_cilindro!N130-(-H$4+Presion_cilindro!$B$34))/Presion_cilindro!$B$35)^(Presion_cilindro!$B$17+1)),0))/((Presion_cilindro!O130+Presion_cilindro!O131)/2)</f>
        <v>0.96373068371500781</v>
      </c>
      <c r="I139" s="27">
        <f>I138*(Presion_cilindro!O130/Presion_cilindro!O131)^Presion_cilindro!$B$9+10*(Presion_cilindro!$B$9-1)*Presion_cilindro!$B$33*(IF(Presion_cilindro!N131&gt;(-I$4+Presion_cilindro!$B$34),1-EXP(-Presion_cilindro!$B$16*((Presion_cilindro!N131-(-I$4+Presion_cilindro!$B$34))/Presion_cilindro!$B$35)^(Presion_cilindro!$B$17+1)),0)-IF(Presion_cilindro!N130&gt;(-I$4+Presion_cilindro!$B$34),1-EXP(-Presion_cilindro!$B$16*((Presion_cilindro!N130-(-I$4+Presion_cilindro!$B$34))/Presion_cilindro!$B$35)^(Presion_cilindro!$B$17+1)),0))/((Presion_cilindro!O130+Presion_cilindro!O131)/2)</f>
        <v>0.96373068371500781</v>
      </c>
      <c r="J139" s="27">
        <f>J138*(Presion_cilindro!O130/Presion_cilindro!O131)^Presion_cilindro!$B$9+10*(Presion_cilindro!$B$9-1)*Presion_cilindro!$B$33*(IF(Presion_cilindro!N131&gt;(-J$4+Presion_cilindro!$B$34),1-EXP(-Presion_cilindro!$B$16*((Presion_cilindro!N131-(-J$4+Presion_cilindro!$B$34))/Presion_cilindro!$B$35)^(Presion_cilindro!$B$17+1)),0)-IF(Presion_cilindro!N130&gt;(-J$4+Presion_cilindro!$B$34),1-EXP(-Presion_cilindro!$B$16*((Presion_cilindro!N130-(-J$4+Presion_cilindro!$B$34))/Presion_cilindro!$B$35)^(Presion_cilindro!$B$17+1)),0))/((Presion_cilindro!O130+Presion_cilindro!O131)/2)</f>
        <v>0.96373068371500781</v>
      </c>
      <c r="K139" s="27">
        <f>K138*(Presion_cilindro!O130/Presion_cilindro!O131)^Presion_cilindro!$B$9+10*(Presion_cilindro!$B$9-1)*Presion_cilindro!$B$33*(IF(Presion_cilindro!N131&gt;(-K$4+Presion_cilindro!$B$34),1-EXP(-Presion_cilindro!$B$16*((Presion_cilindro!N131-(-K$4+Presion_cilindro!$B$34))/Presion_cilindro!$B$35)^(Presion_cilindro!$B$17+1)),0)-IF(Presion_cilindro!N130&gt;(-K$4+Presion_cilindro!$B$34),1-EXP(-Presion_cilindro!$B$16*((Presion_cilindro!N130-(-K$4+Presion_cilindro!$B$34))/Presion_cilindro!$B$35)^(Presion_cilindro!$B$17+1)),0))/((Presion_cilindro!O130+Presion_cilindro!O131)/2)</f>
        <v>0.96373068371500781</v>
      </c>
      <c r="L139" s="27">
        <f>L138*(Presion_cilindro!O130/Presion_cilindro!O131)^Presion_cilindro!$B$9+10*(Presion_cilindro!$B$9-1)*Presion_cilindro!$B$33*(IF(Presion_cilindro!N131&gt;(-L$4+Presion_cilindro!$B$34),1-EXP(-Presion_cilindro!$B$16*((Presion_cilindro!N131-(-L$4+Presion_cilindro!$B$34))/Presion_cilindro!$B$35)^(Presion_cilindro!$B$17+1)),0)-IF(Presion_cilindro!N130&gt;(-L$4+Presion_cilindro!$B$34),1-EXP(-Presion_cilindro!$B$16*((Presion_cilindro!N130-(-L$4+Presion_cilindro!$B$34))/Presion_cilindro!$B$35)^(Presion_cilindro!$B$17+1)),0))/((Presion_cilindro!O130+Presion_cilindro!O131)/2)</f>
        <v>0.96373068371500781</v>
      </c>
      <c r="M139" s="27">
        <f>M138*(Presion_cilindro!O130/Presion_cilindro!O131)^Presion_cilindro!$B$9+10*(Presion_cilindro!$B$9-1)*Presion_cilindro!$B$33*(IF(Presion_cilindro!N131&gt;(-M$4+Presion_cilindro!$B$34),1-EXP(-Presion_cilindro!$B$16*((Presion_cilindro!N131-(-M$4+Presion_cilindro!$B$34))/Presion_cilindro!$B$35)^(Presion_cilindro!$B$17+1)),0)-IF(Presion_cilindro!N130&gt;(-M$4+Presion_cilindro!$B$34),1-EXP(-Presion_cilindro!$B$16*((Presion_cilindro!N130-(-M$4+Presion_cilindro!$B$34))/Presion_cilindro!$B$35)^(Presion_cilindro!$B$17+1)),0))/((Presion_cilindro!O130+Presion_cilindro!O131)/2)</f>
        <v>0.96373068371500781</v>
      </c>
      <c r="N139" s="27">
        <f>N138*(Presion_cilindro!O130/Presion_cilindro!O131)^Presion_cilindro!$B$9+10*(Presion_cilindro!$B$9-1)*Presion_cilindro!$B$33*(IF(Presion_cilindro!N131&gt;(-N$4+Presion_cilindro!$B$34),1-EXP(-Presion_cilindro!$B$16*((Presion_cilindro!N131-(-N$4+Presion_cilindro!$B$34))/Presion_cilindro!$B$35)^(Presion_cilindro!$B$17+1)),0)-IF(Presion_cilindro!N130&gt;(-N$4+Presion_cilindro!$B$34),1-EXP(-Presion_cilindro!$B$16*((Presion_cilindro!N130-(-N$4+Presion_cilindro!$B$34))/Presion_cilindro!$B$35)^(Presion_cilindro!$B$17+1)),0))/((Presion_cilindro!O130+Presion_cilindro!O131)/2)</f>
        <v>0.96373068371500781</v>
      </c>
    </row>
    <row r="140" spans="1:14" x14ac:dyDescent="0.25">
      <c r="A140" s="21">
        <f>Presion_cilindro!N132</f>
        <v>-116</v>
      </c>
      <c r="B140" s="27">
        <f>B139*(Presion_cilindro!O131/Presion_cilindro!O132)^Presion_cilindro!$B$9+10*(Presion_cilindro!$B$9-1)*Presion_cilindro!$B$33*(IF(Presion_cilindro!N132&gt;(-B$4+Presion_cilindro!$B$34),1-EXP(-Presion_cilindro!$B$16*((Presion_cilindro!N132-(-B$4+Presion_cilindro!$B$34))/Presion_cilindro!$B$35)^(Presion_cilindro!$B$17+1)),0)-IF(Presion_cilindro!N131&gt;(-B$4+Presion_cilindro!$B$34),1-EXP(-Presion_cilindro!$B$16*((Presion_cilindro!N131-(-B$4+Presion_cilindro!$B$34))/Presion_cilindro!$B$35)^(Presion_cilindro!$B$17+1)),0))/((Presion_cilindro!O131+Presion_cilindro!O132)/2)</f>
        <v>0.9686385003721617</v>
      </c>
      <c r="C140" s="27">
        <f>C139*(Presion_cilindro!O131/Presion_cilindro!O132)^Presion_cilindro!$B$9+10*(Presion_cilindro!$B$9-1)*Presion_cilindro!$B$33*(IF(Presion_cilindro!N132&gt;(-C$4+Presion_cilindro!$B$34),1-EXP(-Presion_cilindro!$B$16*((Presion_cilindro!N132-(-C$4+Presion_cilindro!$B$34))/Presion_cilindro!$B$35)^(Presion_cilindro!$B$17+1)),0)-IF(Presion_cilindro!N131&gt;(-C$4+Presion_cilindro!$B$34),1-EXP(-Presion_cilindro!$B$16*((Presion_cilindro!N131-(-C$4+Presion_cilindro!$B$34))/Presion_cilindro!$B$35)^(Presion_cilindro!$B$17+1)),0))/((Presion_cilindro!O131+Presion_cilindro!O132)/2)</f>
        <v>0.9686385003721617</v>
      </c>
      <c r="D140" s="27">
        <f>D139*(Presion_cilindro!O131/Presion_cilindro!O132)^Presion_cilindro!$B$9+10*(Presion_cilindro!$B$9-1)*Presion_cilindro!$B$33*(IF(Presion_cilindro!N132&gt;(-D$4+Presion_cilindro!$B$34),1-EXP(-Presion_cilindro!$B$16*((Presion_cilindro!N132-(-D$4+Presion_cilindro!$B$34))/Presion_cilindro!$B$35)^(Presion_cilindro!$B$17+1)),0)-IF(Presion_cilindro!N131&gt;(-D$4+Presion_cilindro!$B$34),1-EXP(-Presion_cilindro!$B$16*((Presion_cilindro!N131-(-D$4+Presion_cilindro!$B$34))/Presion_cilindro!$B$35)^(Presion_cilindro!$B$17+1)),0))/((Presion_cilindro!O131+Presion_cilindro!O132)/2)</f>
        <v>0.9686385003721617</v>
      </c>
      <c r="E140" s="27">
        <f>E139*(Presion_cilindro!O131/Presion_cilindro!O132)^Presion_cilindro!$B$9+10*(Presion_cilindro!$B$9-1)*Presion_cilindro!$B$33*(IF(Presion_cilindro!N132&gt;(-E$4+Presion_cilindro!$B$34),1-EXP(-Presion_cilindro!$B$16*((Presion_cilindro!N132-(-E$4+Presion_cilindro!$B$34))/Presion_cilindro!$B$35)^(Presion_cilindro!$B$17+1)),0)-IF(Presion_cilindro!N131&gt;(-E$4+Presion_cilindro!$B$34),1-EXP(-Presion_cilindro!$B$16*((Presion_cilindro!N131-(-E$4+Presion_cilindro!$B$34))/Presion_cilindro!$B$35)^(Presion_cilindro!$B$17+1)),0))/((Presion_cilindro!O131+Presion_cilindro!O132)/2)</f>
        <v>0.9686385003721617</v>
      </c>
      <c r="F140" s="27">
        <f>F139*(Presion_cilindro!O131/Presion_cilindro!O132)^Presion_cilindro!$B$9+10*(Presion_cilindro!$B$9-1)*Presion_cilindro!$B$33*(IF(Presion_cilindro!N132&gt;(-F$4+Presion_cilindro!$B$34),1-EXP(-Presion_cilindro!$B$16*((Presion_cilindro!N132-(-F$4+Presion_cilindro!$B$34))/Presion_cilindro!$B$35)^(Presion_cilindro!$B$17+1)),0)-IF(Presion_cilindro!N131&gt;(-F$4+Presion_cilindro!$B$34),1-EXP(-Presion_cilindro!$B$16*((Presion_cilindro!N131-(-F$4+Presion_cilindro!$B$34))/Presion_cilindro!$B$35)^(Presion_cilindro!$B$17+1)),0))/((Presion_cilindro!O131+Presion_cilindro!O132)/2)</f>
        <v>0.9686385003721617</v>
      </c>
      <c r="G140" s="27">
        <f>G139*(Presion_cilindro!O131/Presion_cilindro!O132)^Presion_cilindro!$B$9+10*(Presion_cilindro!$B$9-1)*Presion_cilindro!$B$33*(IF(Presion_cilindro!N132&gt;(-G$4+Presion_cilindro!$B$34),1-EXP(-Presion_cilindro!$B$16*((Presion_cilindro!N132-(-G$4+Presion_cilindro!$B$34))/Presion_cilindro!$B$35)^(Presion_cilindro!$B$17+1)),0)-IF(Presion_cilindro!N131&gt;(-G$4+Presion_cilindro!$B$34),1-EXP(-Presion_cilindro!$B$16*((Presion_cilindro!N131-(-G$4+Presion_cilindro!$B$34))/Presion_cilindro!$B$35)^(Presion_cilindro!$B$17+1)),0))/((Presion_cilindro!O131+Presion_cilindro!O132)/2)</f>
        <v>0.9686385003721617</v>
      </c>
      <c r="H140" s="27">
        <f>H139*(Presion_cilindro!O131/Presion_cilindro!O132)^Presion_cilindro!$B$9+10*(Presion_cilindro!$B$9-1)*Presion_cilindro!$B$33*(IF(Presion_cilindro!N132&gt;(-H$4+Presion_cilindro!$B$34),1-EXP(-Presion_cilindro!$B$16*((Presion_cilindro!N132-(-H$4+Presion_cilindro!$B$34))/Presion_cilindro!$B$35)^(Presion_cilindro!$B$17+1)),0)-IF(Presion_cilindro!N131&gt;(-H$4+Presion_cilindro!$B$34),1-EXP(-Presion_cilindro!$B$16*((Presion_cilindro!N131-(-H$4+Presion_cilindro!$B$34))/Presion_cilindro!$B$35)^(Presion_cilindro!$B$17+1)),0))/((Presion_cilindro!O131+Presion_cilindro!O132)/2)</f>
        <v>0.9686385003721617</v>
      </c>
      <c r="I140" s="27">
        <f>I139*(Presion_cilindro!O131/Presion_cilindro!O132)^Presion_cilindro!$B$9+10*(Presion_cilindro!$B$9-1)*Presion_cilindro!$B$33*(IF(Presion_cilindro!N132&gt;(-I$4+Presion_cilindro!$B$34),1-EXP(-Presion_cilindro!$B$16*((Presion_cilindro!N132-(-I$4+Presion_cilindro!$B$34))/Presion_cilindro!$B$35)^(Presion_cilindro!$B$17+1)),0)-IF(Presion_cilindro!N131&gt;(-I$4+Presion_cilindro!$B$34),1-EXP(-Presion_cilindro!$B$16*((Presion_cilindro!N131-(-I$4+Presion_cilindro!$B$34))/Presion_cilindro!$B$35)^(Presion_cilindro!$B$17+1)),0))/((Presion_cilindro!O131+Presion_cilindro!O132)/2)</f>
        <v>0.9686385003721617</v>
      </c>
      <c r="J140" s="27">
        <f>J139*(Presion_cilindro!O131/Presion_cilindro!O132)^Presion_cilindro!$B$9+10*(Presion_cilindro!$B$9-1)*Presion_cilindro!$B$33*(IF(Presion_cilindro!N132&gt;(-J$4+Presion_cilindro!$B$34),1-EXP(-Presion_cilindro!$B$16*((Presion_cilindro!N132-(-J$4+Presion_cilindro!$B$34))/Presion_cilindro!$B$35)^(Presion_cilindro!$B$17+1)),0)-IF(Presion_cilindro!N131&gt;(-J$4+Presion_cilindro!$B$34),1-EXP(-Presion_cilindro!$B$16*((Presion_cilindro!N131-(-J$4+Presion_cilindro!$B$34))/Presion_cilindro!$B$35)^(Presion_cilindro!$B$17+1)),0))/((Presion_cilindro!O131+Presion_cilindro!O132)/2)</f>
        <v>0.9686385003721617</v>
      </c>
      <c r="K140" s="27">
        <f>K139*(Presion_cilindro!O131/Presion_cilindro!O132)^Presion_cilindro!$B$9+10*(Presion_cilindro!$B$9-1)*Presion_cilindro!$B$33*(IF(Presion_cilindro!N132&gt;(-K$4+Presion_cilindro!$B$34),1-EXP(-Presion_cilindro!$B$16*((Presion_cilindro!N132-(-K$4+Presion_cilindro!$B$34))/Presion_cilindro!$B$35)^(Presion_cilindro!$B$17+1)),0)-IF(Presion_cilindro!N131&gt;(-K$4+Presion_cilindro!$B$34),1-EXP(-Presion_cilindro!$B$16*((Presion_cilindro!N131-(-K$4+Presion_cilindro!$B$34))/Presion_cilindro!$B$35)^(Presion_cilindro!$B$17+1)),0))/((Presion_cilindro!O131+Presion_cilindro!O132)/2)</f>
        <v>0.9686385003721617</v>
      </c>
      <c r="L140" s="27">
        <f>L139*(Presion_cilindro!O131/Presion_cilindro!O132)^Presion_cilindro!$B$9+10*(Presion_cilindro!$B$9-1)*Presion_cilindro!$B$33*(IF(Presion_cilindro!N132&gt;(-L$4+Presion_cilindro!$B$34),1-EXP(-Presion_cilindro!$B$16*((Presion_cilindro!N132-(-L$4+Presion_cilindro!$B$34))/Presion_cilindro!$B$35)^(Presion_cilindro!$B$17+1)),0)-IF(Presion_cilindro!N131&gt;(-L$4+Presion_cilindro!$B$34),1-EXP(-Presion_cilindro!$B$16*((Presion_cilindro!N131-(-L$4+Presion_cilindro!$B$34))/Presion_cilindro!$B$35)^(Presion_cilindro!$B$17+1)),0))/((Presion_cilindro!O131+Presion_cilindro!O132)/2)</f>
        <v>0.9686385003721617</v>
      </c>
      <c r="M140" s="27">
        <f>M139*(Presion_cilindro!O131/Presion_cilindro!O132)^Presion_cilindro!$B$9+10*(Presion_cilindro!$B$9-1)*Presion_cilindro!$B$33*(IF(Presion_cilindro!N132&gt;(-M$4+Presion_cilindro!$B$34),1-EXP(-Presion_cilindro!$B$16*((Presion_cilindro!N132-(-M$4+Presion_cilindro!$B$34))/Presion_cilindro!$B$35)^(Presion_cilindro!$B$17+1)),0)-IF(Presion_cilindro!N131&gt;(-M$4+Presion_cilindro!$B$34),1-EXP(-Presion_cilindro!$B$16*((Presion_cilindro!N131-(-M$4+Presion_cilindro!$B$34))/Presion_cilindro!$B$35)^(Presion_cilindro!$B$17+1)),0))/((Presion_cilindro!O131+Presion_cilindro!O132)/2)</f>
        <v>0.9686385003721617</v>
      </c>
      <c r="N140" s="27">
        <f>N139*(Presion_cilindro!O131/Presion_cilindro!O132)^Presion_cilindro!$B$9+10*(Presion_cilindro!$B$9-1)*Presion_cilindro!$B$33*(IF(Presion_cilindro!N132&gt;(-N$4+Presion_cilindro!$B$34),1-EXP(-Presion_cilindro!$B$16*((Presion_cilindro!N132-(-N$4+Presion_cilindro!$B$34))/Presion_cilindro!$B$35)^(Presion_cilindro!$B$17+1)),0)-IF(Presion_cilindro!N131&gt;(-N$4+Presion_cilindro!$B$34),1-EXP(-Presion_cilindro!$B$16*((Presion_cilindro!N131-(-N$4+Presion_cilindro!$B$34))/Presion_cilindro!$B$35)^(Presion_cilindro!$B$17+1)),0))/((Presion_cilindro!O131+Presion_cilindro!O132)/2)</f>
        <v>0.9686385003721617</v>
      </c>
    </row>
    <row r="141" spans="1:14" x14ac:dyDescent="0.25">
      <c r="A141" s="21">
        <f>Presion_cilindro!N133</f>
        <v>-115.5</v>
      </c>
      <c r="B141" s="27">
        <f>B140*(Presion_cilindro!O132/Presion_cilindro!O133)^Presion_cilindro!$B$9+10*(Presion_cilindro!$B$9-1)*Presion_cilindro!$B$33*(IF(Presion_cilindro!N133&gt;(-B$4+Presion_cilindro!$B$34),1-EXP(-Presion_cilindro!$B$16*((Presion_cilindro!N133-(-B$4+Presion_cilindro!$B$34))/Presion_cilindro!$B$35)^(Presion_cilindro!$B$17+1)),0)-IF(Presion_cilindro!N132&gt;(-B$4+Presion_cilindro!$B$34),1-EXP(-Presion_cilindro!$B$16*((Presion_cilindro!N132-(-B$4+Presion_cilindro!$B$34))/Presion_cilindro!$B$35)^(Presion_cilindro!$B$17+1)),0))/((Presion_cilindro!O132+Presion_cilindro!O133)/2)</f>
        <v>0.97362458751488556</v>
      </c>
      <c r="C141" s="27">
        <f>C140*(Presion_cilindro!O132/Presion_cilindro!O133)^Presion_cilindro!$B$9+10*(Presion_cilindro!$B$9-1)*Presion_cilindro!$B$33*(IF(Presion_cilindro!N133&gt;(-C$4+Presion_cilindro!$B$34),1-EXP(-Presion_cilindro!$B$16*((Presion_cilindro!N133-(-C$4+Presion_cilindro!$B$34))/Presion_cilindro!$B$35)^(Presion_cilindro!$B$17+1)),0)-IF(Presion_cilindro!N132&gt;(-C$4+Presion_cilindro!$B$34),1-EXP(-Presion_cilindro!$B$16*((Presion_cilindro!N132-(-C$4+Presion_cilindro!$B$34))/Presion_cilindro!$B$35)^(Presion_cilindro!$B$17+1)),0))/((Presion_cilindro!O132+Presion_cilindro!O133)/2)</f>
        <v>0.97362458751488556</v>
      </c>
      <c r="D141" s="27">
        <f>D140*(Presion_cilindro!O132/Presion_cilindro!O133)^Presion_cilindro!$B$9+10*(Presion_cilindro!$B$9-1)*Presion_cilindro!$B$33*(IF(Presion_cilindro!N133&gt;(-D$4+Presion_cilindro!$B$34),1-EXP(-Presion_cilindro!$B$16*((Presion_cilindro!N133-(-D$4+Presion_cilindro!$B$34))/Presion_cilindro!$B$35)^(Presion_cilindro!$B$17+1)),0)-IF(Presion_cilindro!N132&gt;(-D$4+Presion_cilindro!$B$34),1-EXP(-Presion_cilindro!$B$16*((Presion_cilindro!N132-(-D$4+Presion_cilindro!$B$34))/Presion_cilindro!$B$35)^(Presion_cilindro!$B$17+1)),0))/((Presion_cilindro!O132+Presion_cilindro!O133)/2)</f>
        <v>0.97362458751488556</v>
      </c>
      <c r="E141" s="27">
        <f>E140*(Presion_cilindro!O132/Presion_cilindro!O133)^Presion_cilindro!$B$9+10*(Presion_cilindro!$B$9-1)*Presion_cilindro!$B$33*(IF(Presion_cilindro!N133&gt;(-E$4+Presion_cilindro!$B$34),1-EXP(-Presion_cilindro!$B$16*((Presion_cilindro!N133-(-E$4+Presion_cilindro!$B$34))/Presion_cilindro!$B$35)^(Presion_cilindro!$B$17+1)),0)-IF(Presion_cilindro!N132&gt;(-E$4+Presion_cilindro!$B$34),1-EXP(-Presion_cilindro!$B$16*((Presion_cilindro!N132-(-E$4+Presion_cilindro!$B$34))/Presion_cilindro!$B$35)^(Presion_cilindro!$B$17+1)),0))/((Presion_cilindro!O132+Presion_cilindro!O133)/2)</f>
        <v>0.97362458751488556</v>
      </c>
      <c r="F141" s="27">
        <f>F140*(Presion_cilindro!O132/Presion_cilindro!O133)^Presion_cilindro!$B$9+10*(Presion_cilindro!$B$9-1)*Presion_cilindro!$B$33*(IF(Presion_cilindro!N133&gt;(-F$4+Presion_cilindro!$B$34),1-EXP(-Presion_cilindro!$B$16*((Presion_cilindro!N133-(-F$4+Presion_cilindro!$B$34))/Presion_cilindro!$B$35)^(Presion_cilindro!$B$17+1)),0)-IF(Presion_cilindro!N132&gt;(-F$4+Presion_cilindro!$B$34),1-EXP(-Presion_cilindro!$B$16*((Presion_cilindro!N132-(-F$4+Presion_cilindro!$B$34))/Presion_cilindro!$B$35)^(Presion_cilindro!$B$17+1)),0))/((Presion_cilindro!O132+Presion_cilindro!O133)/2)</f>
        <v>0.97362458751488556</v>
      </c>
      <c r="G141" s="27">
        <f>G140*(Presion_cilindro!O132/Presion_cilindro!O133)^Presion_cilindro!$B$9+10*(Presion_cilindro!$B$9-1)*Presion_cilindro!$B$33*(IF(Presion_cilindro!N133&gt;(-G$4+Presion_cilindro!$B$34),1-EXP(-Presion_cilindro!$B$16*((Presion_cilindro!N133-(-G$4+Presion_cilindro!$B$34))/Presion_cilindro!$B$35)^(Presion_cilindro!$B$17+1)),0)-IF(Presion_cilindro!N132&gt;(-G$4+Presion_cilindro!$B$34),1-EXP(-Presion_cilindro!$B$16*((Presion_cilindro!N132-(-G$4+Presion_cilindro!$B$34))/Presion_cilindro!$B$35)^(Presion_cilindro!$B$17+1)),0))/((Presion_cilindro!O132+Presion_cilindro!O133)/2)</f>
        <v>0.97362458751488556</v>
      </c>
      <c r="H141" s="27">
        <f>H140*(Presion_cilindro!O132/Presion_cilindro!O133)^Presion_cilindro!$B$9+10*(Presion_cilindro!$B$9-1)*Presion_cilindro!$B$33*(IF(Presion_cilindro!N133&gt;(-H$4+Presion_cilindro!$B$34),1-EXP(-Presion_cilindro!$B$16*((Presion_cilindro!N133-(-H$4+Presion_cilindro!$B$34))/Presion_cilindro!$B$35)^(Presion_cilindro!$B$17+1)),0)-IF(Presion_cilindro!N132&gt;(-H$4+Presion_cilindro!$B$34),1-EXP(-Presion_cilindro!$B$16*((Presion_cilindro!N132-(-H$4+Presion_cilindro!$B$34))/Presion_cilindro!$B$35)^(Presion_cilindro!$B$17+1)),0))/((Presion_cilindro!O132+Presion_cilindro!O133)/2)</f>
        <v>0.97362458751488556</v>
      </c>
      <c r="I141" s="27">
        <f>I140*(Presion_cilindro!O132/Presion_cilindro!O133)^Presion_cilindro!$B$9+10*(Presion_cilindro!$B$9-1)*Presion_cilindro!$B$33*(IF(Presion_cilindro!N133&gt;(-I$4+Presion_cilindro!$B$34),1-EXP(-Presion_cilindro!$B$16*((Presion_cilindro!N133-(-I$4+Presion_cilindro!$B$34))/Presion_cilindro!$B$35)^(Presion_cilindro!$B$17+1)),0)-IF(Presion_cilindro!N132&gt;(-I$4+Presion_cilindro!$B$34),1-EXP(-Presion_cilindro!$B$16*((Presion_cilindro!N132-(-I$4+Presion_cilindro!$B$34))/Presion_cilindro!$B$35)^(Presion_cilindro!$B$17+1)),0))/((Presion_cilindro!O132+Presion_cilindro!O133)/2)</f>
        <v>0.97362458751488556</v>
      </c>
      <c r="J141" s="27">
        <f>J140*(Presion_cilindro!O132/Presion_cilindro!O133)^Presion_cilindro!$B$9+10*(Presion_cilindro!$B$9-1)*Presion_cilindro!$B$33*(IF(Presion_cilindro!N133&gt;(-J$4+Presion_cilindro!$B$34),1-EXP(-Presion_cilindro!$B$16*((Presion_cilindro!N133-(-J$4+Presion_cilindro!$B$34))/Presion_cilindro!$B$35)^(Presion_cilindro!$B$17+1)),0)-IF(Presion_cilindro!N132&gt;(-J$4+Presion_cilindro!$B$34),1-EXP(-Presion_cilindro!$B$16*((Presion_cilindro!N132-(-J$4+Presion_cilindro!$B$34))/Presion_cilindro!$B$35)^(Presion_cilindro!$B$17+1)),0))/((Presion_cilindro!O132+Presion_cilindro!O133)/2)</f>
        <v>0.97362458751488556</v>
      </c>
      <c r="K141" s="27">
        <f>K140*(Presion_cilindro!O132/Presion_cilindro!O133)^Presion_cilindro!$B$9+10*(Presion_cilindro!$B$9-1)*Presion_cilindro!$B$33*(IF(Presion_cilindro!N133&gt;(-K$4+Presion_cilindro!$B$34),1-EXP(-Presion_cilindro!$B$16*((Presion_cilindro!N133-(-K$4+Presion_cilindro!$B$34))/Presion_cilindro!$B$35)^(Presion_cilindro!$B$17+1)),0)-IF(Presion_cilindro!N132&gt;(-K$4+Presion_cilindro!$B$34),1-EXP(-Presion_cilindro!$B$16*((Presion_cilindro!N132-(-K$4+Presion_cilindro!$B$34))/Presion_cilindro!$B$35)^(Presion_cilindro!$B$17+1)),0))/((Presion_cilindro!O132+Presion_cilindro!O133)/2)</f>
        <v>0.97362458751488556</v>
      </c>
      <c r="L141" s="27">
        <f>L140*(Presion_cilindro!O132/Presion_cilindro!O133)^Presion_cilindro!$B$9+10*(Presion_cilindro!$B$9-1)*Presion_cilindro!$B$33*(IF(Presion_cilindro!N133&gt;(-L$4+Presion_cilindro!$B$34),1-EXP(-Presion_cilindro!$B$16*((Presion_cilindro!N133-(-L$4+Presion_cilindro!$B$34))/Presion_cilindro!$B$35)^(Presion_cilindro!$B$17+1)),0)-IF(Presion_cilindro!N132&gt;(-L$4+Presion_cilindro!$B$34),1-EXP(-Presion_cilindro!$B$16*((Presion_cilindro!N132-(-L$4+Presion_cilindro!$B$34))/Presion_cilindro!$B$35)^(Presion_cilindro!$B$17+1)),0))/((Presion_cilindro!O132+Presion_cilindro!O133)/2)</f>
        <v>0.97362458751488556</v>
      </c>
      <c r="M141" s="27">
        <f>M140*(Presion_cilindro!O132/Presion_cilindro!O133)^Presion_cilindro!$B$9+10*(Presion_cilindro!$B$9-1)*Presion_cilindro!$B$33*(IF(Presion_cilindro!N133&gt;(-M$4+Presion_cilindro!$B$34),1-EXP(-Presion_cilindro!$B$16*((Presion_cilindro!N133-(-M$4+Presion_cilindro!$B$34))/Presion_cilindro!$B$35)^(Presion_cilindro!$B$17+1)),0)-IF(Presion_cilindro!N132&gt;(-M$4+Presion_cilindro!$B$34),1-EXP(-Presion_cilindro!$B$16*((Presion_cilindro!N132-(-M$4+Presion_cilindro!$B$34))/Presion_cilindro!$B$35)^(Presion_cilindro!$B$17+1)),0))/((Presion_cilindro!O132+Presion_cilindro!O133)/2)</f>
        <v>0.97362458751488556</v>
      </c>
      <c r="N141" s="27">
        <f>N140*(Presion_cilindro!O132/Presion_cilindro!O133)^Presion_cilindro!$B$9+10*(Presion_cilindro!$B$9-1)*Presion_cilindro!$B$33*(IF(Presion_cilindro!N133&gt;(-N$4+Presion_cilindro!$B$34),1-EXP(-Presion_cilindro!$B$16*((Presion_cilindro!N133-(-N$4+Presion_cilindro!$B$34))/Presion_cilindro!$B$35)^(Presion_cilindro!$B$17+1)),0)-IF(Presion_cilindro!N132&gt;(-N$4+Presion_cilindro!$B$34),1-EXP(-Presion_cilindro!$B$16*((Presion_cilindro!N132-(-N$4+Presion_cilindro!$B$34))/Presion_cilindro!$B$35)^(Presion_cilindro!$B$17+1)),0))/((Presion_cilindro!O132+Presion_cilindro!O133)/2)</f>
        <v>0.97362458751488556</v>
      </c>
    </row>
    <row r="142" spans="1:14" x14ac:dyDescent="0.25">
      <c r="A142" s="21">
        <f>Presion_cilindro!N134</f>
        <v>-115</v>
      </c>
      <c r="B142" s="27">
        <f>B141*(Presion_cilindro!O133/Presion_cilindro!O134)^Presion_cilindro!$B$9+10*(Presion_cilindro!$B$9-1)*Presion_cilindro!$B$33*(IF(Presion_cilindro!N134&gt;(-B$4+Presion_cilindro!$B$34),1-EXP(-Presion_cilindro!$B$16*((Presion_cilindro!N134-(-B$4+Presion_cilindro!$B$34))/Presion_cilindro!$B$35)^(Presion_cilindro!$B$17+1)),0)-IF(Presion_cilindro!N133&gt;(-B$4+Presion_cilindro!$B$34),1-EXP(-Presion_cilindro!$B$16*((Presion_cilindro!N133-(-B$4+Presion_cilindro!$B$34))/Presion_cilindro!$B$35)^(Presion_cilindro!$B$17+1)),0))/((Presion_cilindro!O133+Presion_cilindro!O134)/2)</f>
        <v>0.97869023803572464</v>
      </c>
      <c r="C142" s="27">
        <f>C141*(Presion_cilindro!O133/Presion_cilindro!O134)^Presion_cilindro!$B$9+10*(Presion_cilindro!$B$9-1)*Presion_cilindro!$B$33*(IF(Presion_cilindro!N134&gt;(-C$4+Presion_cilindro!$B$34),1-EXP(-Presion_cilindro!$B$16*((Presion_cilindro!N134-(-C$4+Presion_cilindro!$B$34))/Presion_cilindro!$B$35)^(Presion_cilindro!$B$17+1)),0)-IF(Presion_cilindro!N133&gt;(-C$4+Presion_cilindro!$B$34),1-EXP(-Presion_cilindro!$B$16*((Presion_cilindro!N133-(-C$4+Presion_cilindro!$B$34))/Presion_cilindro!$B$35)^(Presion_cilindro!$B$17+1)),0))/((Presion_cilindro!O133+Presion_cilindro!O134)/2)</f>
        <v>0.97869023803572464</v>
      </c>
      <c r="D142" s="27">
        <f>D141*(Presion_cilindro!O133/Presion_cilindro!O134)^Presion_cilindro!$B$9+10*(Presion_cilindro!$B$9-1)*Presion_cilindro!$B$33*(IF(Presion_cilindro!N134&gt;(-D$4+Presion_cilindro!$B$34),1-EXP(-Presion_cilindro!$B$16*((Presion_cilindro!N134-(-D$4+Presion_cilindro!$B$34))/Presion_cilindro!$B$35)^(Presion_cilindro!$B$17+1)),0)-IF(Presion_cilindro!N133&gt;(-D$4+Presion_cilindro!$B$34),1-EXP(-Presion_cilindro!$B$16*((Presion_cilindro!N133-(-D$4+Presion_cilindro!$B$34))/Presion_cilindro!$B$35)^(Presion_cilindro!$B$17+1)),0))/((Presion_cilindro!O133+Presion_cilindro!O134)/2)</f>
        <v>0.97869023803572464</v>
      </c>
      <c r="E142" s="27">
        <f>E141*(Presion_cilindro!O133/Presion_cilindro!O134)^Presion_cilindro!$B$9+10*(Presion_cilindro!$B$9-1)*Presion_cilindro!$B$33*(IF(Presion_cilindro!N134&gt;(-E$4+Presion_cilindro!$B$34),1-EXP(-Presion_cilindro!$B$16*((Presion_cilindro!N134-(-E$4+Presion_cilindro!$B$34))/Presion_cilindro!$B$35)^(Presion_cilindro!$B$17+1)),0)-IF(Presion_cilindro!N133&gt;(-E$4+Presion_cilindro!$B$34),1-EXP(-Presion_cilindro!$B$16*((Presion_cilindro!N133-(-E$4+Presion_cilindro!$B$34))/Presion_cilindro!$B$35)^(Presion_cilindro!$B$17+1)),0))/((Presion_cilindro!O133+Presion_cilindro!O134)/2)</f>
        <v>0.97869023803572464</v>
      </c>
      <c r="F142" s="27">
        <f>F141*(Presion_cilindro!O133/Presion_cilindro!O134)^Presion_cilindro!$B$9+10*(Presion_cilindro!$B$9-1)*Presion_cilindro!$B$33*(IF(Presion_cilindro!N134&gt;(-F$4+Presion_cilindro!$B$34),1-EXP(-Presion_cilindro!$B$16*((Presion_cilindro!N134-(-F$4+Presion_cilindro!$B$34))/Presion_cilindro!$B$35)^(Presion_cilindro!$B$17+1)),0)-IF(Presion_cilindro!N133&gt;(-F$4+Presion_cilindro!$B$34),1-EXP(-Presion_cilindro!$B$16*((Presion_cilindro!N133-(-F$4+Presion_cilindro!$B$34))/Presion_cilindro!$B$35)^(Presion_cilindro!$B$17+1)),0))/((Presion_cilindro!O133+Presion_cilindro!O134)/2)</f>
        <v>0.97869023803572464</v>
      </c>
      <c r="G142" s="27">
        <f>G141*(Presion_cilindro!O133/Presion_cilindro!O134)^Presion_cilindro!$B$9+10*(Presion_cilindro!$B$9-1)*Presion_cilindro!$B$33*(IF(Presion_cilindro!N134&gt;(-G$4+Presion_cilindro!$B$34),1-EXP(-Presion_cilindro!$B$16*((Presion_cilindro!N134-(-G$4+Presion_cilindro!$B$34))/Presion_cilindro!$B$35)^(Presion_cilindro!$B$17+1)),0)-IF(Presion_cilindro!N133&gt;(-G$4+Presion_cilindro!$B$34),1-EXP(-Presion_cilindro!$B$16*((Presion_cilindro!N133-(-G$4+Presion_cilindro!$B$34))/Presion_cilindro!$B$35)^(Presion_cilindro!$B$17+1)),0))/((Presion_cilindro!O133+Presion_cilindro!O134)/2)</f>
        <v>0.97869023803572464</v>
      </c>
      <c r="H142" s="27">
        <f>H141*(Presion_cilindro!O133/Presion_cilindro!O134)^Presion_cilindro!$B$9+10*(Presion_cilindro!$B$9-1)*Presion_cilindro!$B$33*(IF(Presion_cilindro!N134&gt;(-H$4+Presion_cilindro!$B$34),1-EXP(-Presion_cilindro!$B$16*((Presion_cilindro!N134-(-H$4+Presion_cilindro!$B$34))/Presion_cilindro!$B$35)^(Presion_cilindro!$B$17+1)),0)-IF(Presion_cilindro!N133&gt;(-H$4+Presion_cilindro!$B$34),1-EXP(-Presion_cilindro!$B$16*((Presion_cilindro!N133-(-H$4+Presion_cilindro!$B$34))/Presion_cilindro!$B$35)^(Presion_cilindro!$B$17+1)),0))/((Presion_cilindro!O133+Presion_cilindro!O134)/2)</f>
        <v>0.97869023803572464</v>
      </c>
      <c r="I142" s="27">
        <f>I141*(Presion_cilindro!O133/Presion_cilindro!O134)^Presion_cilindro!$B$9+10*(Presion_cilindro!$B$9-1)*Presion_cilindro!$B$33*(IF(Presion_cilindro!N134&gt;(-I$4+Presion_cilindro!$B$34),1-EXP(-Presion_cilindro!$B$16*((Presion_cilindro!N134-(-I$4+Presion_cilindro!$B$34))/Presion_cilindro!$B$35)^(Presion_cilindro!$B$17+1)),0)-IF(Presion_cilindro!N133&gt;(-I$4+Presion_cilindro!$B$34),1-EXP(-Presion_cilindro!$B$16*((Presion_cilindro!N133-(-I$4+Presion_cilindro!$B$34))/Presion_cilindro!$B$35)^(Presion_cilindro!$B$17+1)),0))/((Presion_cilindro!O133+Presion_cilindro!O134)/2)</f>
        <v>0.97869023803572464</v>
      </c>
      <c r="J142" s="27">
        <f>J141*(Presion_cilindro!O133/Presion_cilindro!O134)^Presion_cilindro!$B$9+10*(Presion_cilindro!$B$9-1)*Presion_cilindro!$B$33*(IF(Presion_cilindro!N134&gt;(-J$4+Presion_cilindro!$B$34),1-EXP(-Presion_cilindro!$B$16*((Presion_cilindro!N134-(-J$4+Presion_cilindro!$B$34))/Presion_cilindro!$B$35)^(Presion_cilindro!$B$17+1)),0)-IF(Presion_cilindro!N133&gt;(-J$4+Presion_cilindro!$B$34),1-EXP(-Presion_cilindro!$B$16*((Presion_cilindro!N133-(-J$4+Presion_cilindro!$B$34))/Presion_cilindro!$B$35)^(Presion_cilindro!$B$17+1)),0))/((Presion_cilindro!O133+Presion_cilindro!O134)/2)</f>
        <v>0.97869023803572464</v>
      </c>
      <c r="K142" s="27">
        <f>K141*(Presion_cilindro!O133/Presion_cilindro!O134)^Presion_cilindro!$B$9+10*(Presion_cilindro!$B$9-1)*Presion_cilindro!$B$33*(IF(Presion_cilindro!N134&gt;(-K$4+Presion_cilindro!$B$34),1-EXP(-Presion_cilindro!$B$16*((Presion_cilindro!N134-(-K$4+Presion_cilindro!$B$34))/Presion_cilindro!$B$35)^(Presion_cilindro!$B$17+1)),0)-IF(Presion_cilindro!N133&gt;(-K$4+Presion_cilindro!$B$34),1-EXP(-Presion_cilindro!$B$16*((Presion_cilindro!N133-(-K$4+Presion_cilindro!$B$34))/Presion_cilindro!$B$35)^(Presion_cilindro!$B$17+1)),0))/((Presion_cilindro!O133+Presion_cilindro!O134)/2)</f>
        <v>0.97869023803572464</v>
      </c>
      <c r="L142" s="27">
        <f>L141*(Presion_cilindro!O133/Presion_cilindro!O134)^Presion_cilindro!$B$9+10*(Presion_cilindro!$B$9-1)*Presion_cilindro!$B$33*(IF(Presion_cilindro!N134&gt;(-L$4+Presion_cilindro!$B$34),1-EXP(-Presion_cilindro!$B$16*((Presion_cilindro!N134-(-L$4+Presion_cilindro!$B$34))/Presion_cilindro!$B$35)^(Presion_cilindro!$B$17+1)),0)-IF(Presion_cilindro!N133&gt;(-L$4+Presion_cilindro!$B$34),1-EXP(-Presion_cilindro!$B$16*((Presion_cilindro!N133-(-L$4+Presion_cilindro!$B$34))/Presion_cilindro!$B$35)^(Presion_cilindro!$B$17+1)),0))/((Presion_cilindro!O133+Presion_cilindro!O134)/2)</f>
        <v>0.97869023803572464</v>
      </c>
      <c r="M142" s="27">
        <f>M141*(Presion_cilindro!O133/Presion_cilindro!O134)^Presion_cilindro!$B$9+10*(Presion_cilindro!$B$9-1)*Presion_cilindro!$B$33*(IF(Presion_cilindro!N134&gt;(-M$4+Presion_cilindro!$B$34),1-EXP(-Presion_cilindro!$B$16*((Presion_cilindro!N134-(-M$4+Presion_cilindro!$B$34))/Presion_cilindro!$B$35)^(Presion_cilindro!$B$17+1)),0)-IF(Presion_cilindro!N133&gt;(-M$4+Presion_cilindro!$B$34),1-EXP(-Presion_cilindro!$B$16*((Presion_cilindro!N133-(-M$4+Presion_cilindro!$B$34))/Presion_cilindro!$B$35)^(Presion_cilindro!$B$17+1)),0))/((Presion_cilindro!O133+Presion_cilindro!O134)/2)</f>
        <v>0.97869023803572464</v>
      </c>
      <c r="N142" s="27">
        <f>N141*(Presion_cilindro!O133/Presion_cilindro!O134)^Presion_cilindro!$B$9+10*(Presion_cilindro!$B$9-1)*Presion_cilindro!$B$33*(IF(Presion_cilindro!N134&gt;(-N$4+Presion_cilindro!$B$34),1-EXP(-Presion_cilindro!$B$16*((Presion_cilindro!N134-(-N$4+Presion_cilindro!$B$34))/Presion_cilindro!$B$35)^(Presion_cilindro!$B$17+1)),0)-IF(Presion_cilindro!N133&gt;(-N$4+Presion_cilindro!$B$34),1-EXP(-Presion_cilindro!$B$16*((Presion_cilindro!N133-(-N$4+Presion_cilindro!$B$34))/Presion_cilindro!$B$35)^(Presion_cilindro!$B$17+1)),0))/((Presion_cilindro!O133+Presion_cilindro!O134)/2)</f>
        <v>0.97869023803572464</v>
      </c>
    </row>
    <row r="143" spans="1:14" x14ac:dyDescent="0.25">
      <c r="A143" s="21">
        <f>Presion_cilindro!N135</f>
        <v>-114.5</v>
      </c>
      <c r="B143" s="27">
        <f>B142*(Presion_cilindro!O134/Presion_cilindro!O135)^Presion_cilindro!$B$9+10*(Presion_cilindro!$B$9-1)*Presion_cilindro!$B$33*(IF(Presion_cilindro!N135&gt;(-B$4+Presion_cilindro!$B$34),1-EXP(-Presion_cilindro!$B$16*((Presion_cilindro!N135-(-B$4+Presion_cilindro!$B$34))/Presion_cilindro!$B$35)^(Presion_cilindro!$B$17+1)),0)-IF(Presion_cilindro!N134&gt;(-B$4+Presion_cilindro!$B$34),1-EXP(-Presion_cilindro!$B$16*((Presion_cilindro!N134-(-B$4+Presion_cilindro!$B$34))/Presion_cilindro!$B$35)^(Presion_cilindro!$B$17+1)),0))/((Presion_cilindro!O134+Presion_cilindro!O135)/2)</f>
        <v>0.98383677261468194</v>
      </c>
      <c r="C143" s="27">
        <f>C142*(Presion_cilindro!O134/Presion_cilindro!O135)^Presion_cilindro!$B$9+10*(Presion_cilindro!$B$9-1)*Presion_cilindro!$B$33*(IF(Presion_cilindro!N135&gt;(-C$4+Presion_cilindro!$B$34),1-EXP(-Presion_cilindro!$B$16*((Presion_cilindro!N135-(-C$4+Presion_cilindro!$B$34))/Presion_cilindro!$B$35)^(Presion_cilindro!$B$17+1)),0)-IF(Presion_cilindro!N134&gt;(-C$4+Presion_cilindro!$B$34),1-EXP(-Presion_cilindro!$B$16*((Presion_cilindro!N134-(-C$4+Presion_cilindro!$B$34))/Presion_cilindro!$B$35)^(Presion_cilindro!$B$17+1)),0))/((Presion_cilindro!O134+Presion_cilindro!O135)/2)</f>
        <v>0.98383677261468194</v>
      </c>
      <c r="D143" s="27">
        <f>D142*(Presion_cilindro!O134/Presion_cilindro!O135)^Presion_cilindro!$B$9+10*(Presion_cilindro!$B$9-1)*Presion_cilindro!$B$33*(IF(Presion_cilindro!N135&gt;(-D$4+Presion_cilindro!$B$34),1-EXP(-Presion_cilindro!$B$16*((Presion_cilindro!N135-(-D$4+Presion_cilindro!$B$34))/Presion_cilindro!$B$35)^(Presion_cilindro!$B$17+1)),0)-IF(Presion_cilindro!N134&gt;(-D$4+Presion_cilindro!$B$34),1-EXP(-Presion_cilindro!$B$16*((Presion_cilindro!N134-(-D$4+Presion_cilindro!$B$34))/Presion_cilindro!$B$35)^(Presion_cilindro!$B$17+1)),0))/((Presion_cilindro!O134+Presion_cilindro!O135)/2)</f>
        <v>0.98383677261468194</v>
      </c>
      <c r="E143" s="27">
        <f>E142*(Presion_cilindro!O134/Presion_cilindro!O135)^Presion_cilindro!$B$9+10*(Presion_cilindro!$B$9-1)*Presion_cilindro!$B$33*(IF(Presion_cilindro!N135&gt;(-E$4+Presion_cilindro!$B$34),1-EXP(-Presion_cilindro!$B$16*((Presion_cilindro!N135-(-E$4+Presion_cilindro!$B$34))/Presion_cilindro!$B$35)^(Presion_cilindro!$B$17+1)),0)-IF(Presion_cilindro!N134&gt;(-E$4+Presion_cilindro!$B$34),1-EXP(-Presion_cilindro!$B$16*((Presion_cilindro!N134-(-E$4+Presion_cilindro!$B$34))/Presion_cilindro!$B$35)^(Presion_cilindro!$B$17+1)),0))/((Presion_cilindro!O134+Presion_cilindro!O135)/2)</f>
        <v>0.98383677261468194</v>
      </c>
      <c r="F143" s="27">
        <f>F142*(Presion_cilindro!O134/Presion_cilindro!O135)^Presion_cilindro!$B$9+10*(Presion_cilindro!$B$9-1)*Presion_cilindro!$B$33*(IF(Presion_cilindro!N135&gt;(-F$4+Presion_cilindro!$B$34),1-EXP(-Presion_cilindro!$B$16*((Presion_cilindro!N135-(-F$4+Presion_cilindro!$B$34))/Presion_cilindro!$B$35)^(Presion_cilindro!$B$17+1)),0)-IF(Presion_cilindro!N134&gt;(-F$4+Presion_cilindro!$B$34),1-EXP(-Presion_cilindro!$B$16*((Presion_cilindro!N134-(-F$4+Presion_cilindro!$B$34))/Presion_cilindro!$B$35)^(Presion_cilindro!$B$17+1)),0))/((Presion_cilindro!O134+Presion_cilindro!O135)/2)</f>
        <v>0.98383677261468194</v>
      </c>
      <c r="G143" s="27">
        <f>G142*(Presion_cilindro!O134/Presion_cilindro!O135)^Presion_cilindro!$B$9+10*(Presion_cilindro!$B$9-1)*Presion_cilindro!$B$33*(IF(Presion_cilindro!N135&gt;(-G$4+Presion_cilindro!$B$34),1-EXP(-Presion_cilindro!$B$16*((Presion_cilindro!N135-(-G$4+Presion_cilindro!$B$34))/Presion_cilindro!$B$35)^(Presion_cilindro!$B$17+1)),0)-IF(Presion_cilindro!N134&gt;(-G$4+Presion_cilindro!$B$34),1-EXP(-Presion_cilindro!$B$16*((Presion_cilindro!N134-(-G$4+Presion_cilindro!$B$34))/Presion_cilindro!$B$35)^(Presion_cilindro!$B$17+1)),0))/((Presion_cilindro!O134+Presion_cilindro!O135)/2)</f>
        <v>0.98383677261468194</v>
      </c>
      <c r="H143" s="27">
        <f>H142*(Presion_cilindro!O134/Presion_cilindro!O135)^Presion_cilindro!$B$9+10*(Presion_cilindro!$B$9-1)*Presion_cilindro!$B$33*(IF(Presion_cilindro!N135&gt;(-H$4+Presion_cilindro!$B$34),1-EXP(-Presion_cilindro!$B$16*((Presion_cilindro!N135-(-H$4+Presion_cilindro!$B$34))/Presion_cilindro!$B$35)^(Presion_cilindro!$B$17+1)),0)-IF(Presion_cilindro!N134&gt;(-H$4+Presion_cilindro!$B$34),1-EXP(-Presion_cilindro!$B$16*((Presion_cilindro!N134-(-H$4+Presion_cilindro!$B$34))/Presion_cilindro!$B$35)^(Presion_cilindro!$B$17+1)),0))/((Presion_cilindro!O134+Presion_cilindro!O135)/2)</f>
        <v>0.98383677261468194</v>
      </c>
      <c r="I143" s="27">
        <f>I142*(Presion_cilindro!O134/Presion_cilindro!O135)^Presion_cilindro!$B$9+10*(Presion_cilindro!$B$9-1)*Presion_cilindro!$B$33*(IF(Presion_cilindro!N135&gt;(-I$4+Presion_cilindro!$B$34),1-EXP(-Presion_cilindro!$B$16*((Presion_cilindro!N135-(-I$4+Presion_cilindro!$B$34))/Presion_cilindro!$B$35)^(Presion_cilindro!$B$17+1)),0)-IF(Presion_cilindro!N134&gt;(-I$4+Presion_cilindro!$B$34),1-EXP(-Presion_cilindro!$B$16*((Presion_cilindro!N134-(-I$4+Presion_cilindro!$B$34))/Presion_cilindro!$B$35)^(Presion_cilindro!$B$17+1)),0))/((Presion_cilindro!O134+Presion_cilindro!O135)/2)</f>
        <v>0.98383677261468194</v>
      </c>
      <c r="J143" s="27">
        <f>J142*(Presion_cilindro!O134/Presion_cilindro!O135)^Presion_cilindro!$B$9+10*(Presion_cilindro!$B$9-1)*Presion_cilindro!$B$33*(IF(Presion_cilindro!N135&gt;(-J$4+Presion_cilindro!$B$34),1-EXP(-Presion_cilindro!$B$16*((Presion_cilindro!N135-(-J$4+Presion_cilindro!$B$34))/Presion_cilindro!$B$35)^(Presion_cilindro!$B$17+1)),0)-IF(Presion_cilindro!N134&gt;(-J$4+Presion_cilindro!$B$34),1-EXP(-Presion_cilindro!$B$16*((Presion_cilindro!N134-(-J$4+Presion_cilindro!$B$34))/Presion_cilindro!$B$35)^(Presion_cilindro!$B$17+1)),0))/((Presion_cilindro!O134+Presion_cilindro!O135)/2)</f>
        <v>0.98383677261468194</v>
      </c>
      <c r="K143" s="27">
        <f>K142*(Presion_cilindro!O134/Presion_cilindro!O135)^Presion_cilindro!$B$9+10*(Presion_cilindro!$B$9-1)*Presion_cilindro!$B$33*(IF(Presion_cilindro!N135&gt;(-K$4+Presion_cilindro!$B$34),1-EXP(-Presion_cilindro!$B$16*((Presion_cilindro!N135-(-K$4+Presion_cilindro!$B$34))/Presion_cilindro!$B$35)^(Presion_cilindro!$B$17+1)),0)-IF(Presion_cilindro!N134&gt;(-K$4+Presion_cilindro!$B$34),1-EXP(-Presion_cilindro!$B$16*((Presion_cilindro!N134-(-K$4+Presion_cilindro!$B$34))/Presion_cilindro!$B$35)^(Presion_cilindro!$B$17+1)),0))/((Presion_cilindro!O134+Presion_cilindro!O135)/2)</f>
        <v>0.98383677261468194</v>
      </c>
      <c r="L143" s="27">
        <f>L142*(Presion_cilindro!O134/Presion_cilindro!O135)^Presion_cilindro!$B$9+10*(Presion_cilindro!$B$9-1)*Presion_cilindro!$B$33*(IF(Presion_cilindro!N135&gt;(-L$4+Presion_cilindro!$B$34),1-EXP(-Presion_cilindro!$B$16*((Presion_cilindro!N135-(-L$4+Presion_cilindro!$B$34))/Presion_cilindro!$B$35)^(Presion_cilindro!$B$17+1)),0)-IF(Presion_cilindro!N134&gt;(-L$4+Presion_cilindro!$B$34),1-EXP(-Presion_cilindro!$B$16*((Presion_cilindro!N134-(-L$4+Presion_cilindro!$B$34))/Presion_cilindro!$B$35)^(Presion_cilindro!$B$17+1)),0))/((Presion_cilindro!O134+Presion_cilindro!O135)/2)</f>
        <v>0.98383677261468194</v>
      </c>
      <c r="M143" s="27">
        <f>M142*(Presion_cilindro!O134/Presion_cilindro!O135)^Presion_cilindro!$B$9+10*(Presion_cilindro!$B$9-1)*Presion_cilindro!$B$33*(IF(Presion_cilindro!N135&gt;(-M$4+Presion_cilindro!$B$34),1-EXP(-Presion_cilindro!$B$16*((Presion_cilindro!N135-(-M$4+Presion_cilindro!$B$34))/Presion_cilindro!$B$35)^(Presion_cilindro!$B$17+1)),0)-IF(Presion_cilindro!N134&gt;(-M$4+Presion_cilindro!$B$34),1-EXP(-Presion_cilindro!$B$16*((Presion_cilindro!N134-(-M$4+Presion_cilindro!$B$34))/Presion_cilindro!$B$35)^(Presion_cilindro!$B$17+1)),0))/((Presion_cilindro!O134+Presion_cilindro!O135)/2)</f>
        <v>0.98383677261468194</v>
      </c>
      <c r="N143" s="27">
        <f>N142*(Presion_cilindro!O134/Presion_cilindro!O135)^Presion_cilindro!$B$9+10*(Presion_cilindro!$B$9-1)*Presion_cilindro!$B$33*(IF(Presion_cilindro!N135&gt;(-N$4+Presion_cilindro!$B$34),1-EXP(-Presion_cilindro!$B$16*((Presion_cilindro!N135-(-N$4+Presion_cilindro!$B$34))/Presion_cilindro!$B$35)^(Presion_cilindro!$B$17+1)),0)-IF(Presion_cilindro!N134&gt;(-N$4+Presion_cilindro!$B$34),1-EXP(-Presion_cilindro!$B$16*((Presion_cilindro!N134-(-N$4+Presion_cilindro!$B$34))/Presion_cilindro!$B$35)^(Presion_cilindro!$B$17+1)),0))/((Presion_cilindro!O134+Presion_cilindro!O135)/2)</f>
        <v>0.98383677261468194</v>
      </c>
    </row>
    <row r="144" spans="1:14" x14ac:dyDescent="0.25">
      <c r="A144" s="21">
        <f>Presion_cilindro!N136</f>
        <v>-114</v>
      </c>
      <c r="B144" s="27">
        <f>B143*(Presion_cilindro!O135/Presion_cilindro!O136)^Presion_cilindro!$B$9+10*(Presion_cilindro!$B$9-1)*Presion_cilindro!$B$33*(IF(Presion_cilindro!N136&gt;(-B$4+Presion_cilindro!$B$34),1-EXP(-Presion_cilindro!$B$16*((Presion_cilindro!N136-(-B$4+Presion_cilindro!$B$34))/Presion_cilindro!$B$35)^(Presion_cilindro!$B$17+1)),0)-IF(Presion_cilindro!N135&gt;(-B$4+Presion_cilindro!$B$34),1-EXP(-Presion_cilindro!$B$16*((Presion_cilindro!N135-(-B$4+Presion_cilindro!$B$34))/Presion_cilindro!$B$35)^(Presion_cilindro!$B$17+1)),0))/((Presion_cilindro!O135+Presion_cilindro!O136)/2)</f>
        <v>0.9890655403735239</v>
      </c>
      <c r="C144" s="27">
        <f>C143*(Presion_cilindro!O135/Presion_cilindro!O136)^Presion_cilindro!$B$9+10*(Presion_cilindro!$B$9-1)*Presion_cilindro!$B$33*(IF(Presion_cilindro!N136&gt;(-C$4+Presion_cilindro!$B$34),1-EXP(-Presion_cilindro!$B$16*((Presion_cilindro!N136-(-C$4+Presion_cilindro!$B$34))/Presion_cilindro!$B$35)^(Presion_cilindro!$B$17+1)),0)-IF(Presion_cilindro!N135&gt;(-C$4+Presion_cilindro!$B$34),1-EXP(-Presion_cilindro!$B$16*((Presion_cilindro!N135-(-C$4+Presion_cilindro!$B$34))/Presion_cilindro!$B$35)^(Presion_cilindro!$B$17+1)),0))/((Presion_cilindro!O135+Presion_cilindro!O136)/2)</f>
        <v>0.9890655403735239</v>
      </c>
      <c r="D144" s="27">
        <f>D143*(Presion_cilindro!O135/Presion_cilindro!O136)^Presion_cilindro!$B$9+10*(Presion_cilindro!$B$9-1)*Presion_cilindro!$B$33*(IF(Presion_cilindro!N136&gt;(-D$4+Presion_cilindro!$B$34),1-EXP(-Presion_cilindro!$B$16*((Presion_cilindro!N136-(-D$4+Presion_cilindro!$B$34))/Presion_cilindro!$B$35)^(Presion_cilindro!$B$17+1)),0)-IF(Presion_cilindro!N135&gt;(-D$4+Presion_cilindro!$B$34),1-EXP(-Presion_cilindro!$B$16*((Presion_cilindro!N135-(-D$4+Presion_cilindro!$B$34))/Presion_cilindro!$B$35)^(Presion_cilindro!$B$17+1)),0))/((Presion_cilindro!O135+Presion_cilindro!O136)/2)</f>
        <v>0.9890655403735239</v>
      </c>
      <c r="E144" s="27">
        <f>E143*(Presion_cilindro!O135/Presion_cilindro!O136)^Presion_cilindro!$B$9+10*(Presion_cilindro!$B$9-1)*Presion_cilindro!$B$33*(IF(Presion_cilindro!N136&gt;(-E$4+Presion_cilindro!$B$34),1-EXP(-Presion_cilindro!$B$16*((Presion_cilindro!N136-(-E$4+Presion_cilindro!$B$34))/Presion_cilindro!$B$35)^(Presion_cilindro!$B$17+1)),0)-IF(Presion_cilindro!N135&gt;(-E$4+Presion_cilindro!$B$34),1-EXP(-Presion_cilindro!$B$16*((Presion_cilindro!N135-(-E$4+Presion_cilindro!$B$34))/Presion_cilindro!$B$35)^(Presion_cilindro!$B$17+1)),0))/((Presion_cilindro!O135+Presion_cilindro!O136)/2)</f>
        <v>0.9890655403735239</v>
      </c>
      <c r="F144" s="27">
        <f>F143*(Presion_cilindro!O135/Presion_cilindro!O136)^Presion_cilindro!$B$9+10*(Presion_cilindro!$B$9-1)*Presion_cilindro!$B$33*(IF(Presion_cilindro!N136&gt;(-F$4+Presion_cilindro!$B$34),1-EXP(-Presion_cilindro!$B$16*((Presion_cilindro!N136-(-F$4+Presion_cilindro!$B$34))/Presion_cilindro!$B$35)^(Presion_cilindro!$B$17+1)),0)-IF(Presion_cilindro!N135&gt;(-F$4+Presion_cilindro!$B$34),1-EXP(-Presion_cilindro!$B$16*((Presion_cilindro!N135-(-F$4+Presion_cilindro!$B$34))/Presion_cilindro!$B$35)^(Presion_cilindro!$B$17+1)),0))/((Presion_cilindro!O135+Presion_cilindro!O136)/2)</f>
        <v>0.9890655403735239</v>
      </c>
      <c r="G144" s="27">
        <f>G143*(Presion_cilindro!O135/Presion_cilindro!O136)^Presion_cilindro!$B$9+10*(Presion_cilindro!$B$9-1)*Presion_cilindro!$B$33*(IF(Presion_cilindro!N136&gt;(-G$4+Presion_cilindro!$B$34),1-EXP(-Presion_cilindro!$B$16*((Presion_cilindro!N136-(-G$4+Presion_cilindro!$B$34))/Presion_cilindro!$B$35)^(Presion_cilindro!$B$17+1)),0)-IF(Presion_cilindro!N135&gt;(-G$4+Presion_cilindro!$B$34),1-EXP(-Presion_cilindro!$B$16*((Presion_cilindro!N135-(-G$4+Presion_cilindro!$B$34))/Presion_cilindro!$B$35)^(Presion_cilindro!$B$17+1)),0))/((Presion_cilindro!O135+Presion_cilindro!O136)/2)</f>
        <v>0.9890655403735239</v>
      </c>
      <c r="H144" s="27">
        <f>H143*(Presion_cilindro!O135/Presion_cilindro!O136)^Presion_cilindro!$B$9+10*(Presion_cilindro!$B$9-1)*Presion_cilindro!$B$33*(IF(Presion_cilindro!N136&gt;(-H$4+Presion_cilindro!$B$34),1-EXP(-Presion_cilindro!$B$16*((Presion_cilindro!N136-(-H$4+Presion_cilindro!$B$34))/Presion_cilindro!$B$35)^(Presion_cilindro!$B$17+1)),0)-IF(Presion_cilindro!N135&gt;(-H$4+Presion_cilindro!$B$34),1-EXP(-Presion_cilindro!$B$16*((Presion_cilindro!N135-(-H$4+Presion_cilindro!$B$34))/Presion_cilindro!$B$35)^(Presion_cilindro!$B$17+1)),0))/((Presion_cilindro!O135+Presion_cilindro!O136)/2)</f>
        <v>0.9890655403735239</v>
      </c>
      <c r="I144" s="27">
        <f>I143*(Presion_cilindro!O135/Presion_cilindro!O136)^Presion_cilindro!$B$9+10*(Presion_cilindro!$B$9-1)*Presion_cilindro!$B$33*(IF(Presion_cilindro!N136&gt;(-I$4+Presion_cilindro!$B$34),1-EXP(-Presion_cilindro!$B$16*((Presion_cilindro!N136-(-I$4+Presion_cilindro!$B$34))/Presion_cilindro!$B$35)^(Presion_cilindro!$B$17+1)),0)-IF(Presion_cilindro!N135&gt;(-I$4+Presion_cilindro!$B$34),1-EXP(-Presion_cilindro!$B$16*((Presion_cilindro!N135-(-I$4+Presion_cilindro!$B$34))/Presion_cilindro!$B$35)^(Presion_cilindro!$B$17+1)),0))/((Presion_cilindro!O135+Presion_cilindro!O136)/2)</f>
        <v>0.9890655403735239</v>
      </c>
      <c r="J144" s="27">
        <f>J143*(Presion_cilindro!O135/Presion_cilindro!O136)^Presion_cilindro!$B$9+10*(Presion_cilindro!$B$9-1)*Presion_cilindro!$B$33*(IF(Presion_cilindro!N136&gt;(-J$4+Presion_cilindro!$B$34),1-EXP(-Presion_cilindro!$B$16*((Presion_cilindro!N136-(-J$4+Presion_cilindro!$B$34))/Presion_cilindro!$B$35)^(Presion_cilindro!$B$17+1)),0)-IF(Presion_cilindro!N135&gt;(-J$4+Presion_cilindro!$B$34),1-EXP(-Presion_cilindro!$B$16*((Presion_cilindro!N135-(-J$4+Presion_cilindro!$B$34))/Presion_cilindro!$B$35)^(Presion_cilindro!$B$17+1)),0))/((Presion_cilindro!O135+Presion_cilindro!O136)/2)</f>
        <v>0.9890655403735239</v>
      </c>
      <c r="K144" s="27">
        <f>K143*(Presion_cilindro!O135/Presion_cilindro!O136)^Presion_cilindro!$B$9+10*(Presion_cilindro!$B$9-1)*Presion_cilindro!$B$33*(IF(Presion_cilindro!N136&gt;(-K$4+Presion_cilindro!$B$34),1-EXP(-Presion_cilindro!$B$16*((Presion_cilindro!N136-(-K$4+Presion_cilindro!$B$34))/Presion_cilindro!$B$35)^(Presion_cilindro!$B$17+1)),0)-IF(Presion_cilindro!N135&gt;(-K$4+Presion_cilindro!$B$34),1-EXP(-Presion_cilindro!$B$16*((Presion_cilindro!N135-(-K$4+Presion_cilindro!$B$34))/Presion_cilindro!$B$35)^(Presion_cilindro!$B$17+1)),0))/((Presion_cilindro!O135+Presion_cilindro!O136)/2)</f>
        <v>0.9890655403735239</v>
      </c>
      <c r="L144" s="27">
        <f>L143*(Presion_cilindro!O135/Presion_cilindro!O136)^Presion_cilindro!$B$9+10*(Presion_cilindro!$B$9-1)*Presion_cilindro!$B$33*(IF(Presion_cilindro!N136&gt;(-L$4+Presion_cilindro!$B$34),1-EXP(-Presion_cilindro!$B$16*((Presion_cilindro!N136-(-L$4+Presion_cilindro!$B$34))/Presion_cilindro!$B$35)^(Presion_cilindro!$B$17+1)),0)-IF(Presion_cilindro!N135&gt;(-L$4+Presion_cilindro!$B$34),1-EXP(-Presion_cilindro!$B$16*((Presion_cilindro!N135-(-L$4+Presion_cilindro!$B$34))/Presion_cilindro!$B$35)^(Presion_cilindro!$B$17+1)),0))/((Presion_cilindro!O135+Presion_cilindro!O136)/2)</f>
        <v>0.9890655403735239</v>
      </c>
      <c r="M144" s="27">
        <f>M143*(Presion_cilindro!O135/Presion_cilindro!O136)^Presion_cilindro!$B$9+10*(Presion_cilindro!$B$9-1)*Presion_cilindro!$B$33*(IF(Presion_cilindro!N136&gt;(-M$4+Presion_cilindro!$B$34),1-EXP(-Presion_cilindro!$B$16*((Presion_cilindro!N136-(-M$4+Presion_cilindro!$B$34))/Presion_cilindro!$B$35)^(Presion_cilindro!$B$17+1)),0)-IF(Presion_cilindro!N135&gt;(-M$4+Presion_cilindro!$B$34),1-EXP(-Presion_cilindro!$B$16*((Presion_cilindro!N135-(-M$4+Presion_cilindro!$B$34))/Presion_cilindro!$B$35)^(Presion_cilindro!$B$17+1)),0))/((Presion_cilindro!O135+Presion_cilindro!O136)/2)</f>
        <v>0.9890655403735239</v>
      </c>
      <c r="N144" s="27">
        <f>N143*(Presion_cilindro!O135/Presion_cilindro!O136)^Presion_cilindro!$B$9+10*(Presion_cilindro!$B$9-1)*Presion_cilindro!$B$33*(IF(Presion_cilindro!N136&gt;(-N$4+Presion_cilindro!$B$34),1-EXP(-Presion_cilindro!$B$16*((Presion_cilindro!N136-(-N$4+Presion_cilindro!$B$34))/Presion_cilindro!$B$35)^(Presion_cilindro!$B$17+1)),0)-IF(Presion_cilindro!N135&gt;(-N$4+Presion_cilindro!$B$34),1-EXP(-Presion_cilindro!$B$16*((Presion_cilindro!N135-(-N$4+Presion_cilindro!$B$34))/Presion_cilindro!$B$35)^(Presion_cilindro!$B$17+1)),0))/((Presion_cilindro!O135+Presion_cilindro!O136)/2)</f>
        <v>0.9890655403735239</v>
      </c>
    </row>
    <row r="145" spans="1:14" x14ac:dyDescent="0.25">
      <c r="A145" s="21">
        <f>Presion_cilindro!N137</f>
        <v>-113.5</v>
      </c>
      <c r="B145" s="27">
        <f>B144*(Presion_cilindro!O136/Presion_cilindro!O137)^Presion_cilindro!$B$9+10*(Presion_cilindro!$B$9-1)*Presion_cilindro!$B$33*(IF(Presion_cilindro!N137&gt;(-B$4+Presion_cilindro!$B$34),1-EXP(-Presion_cilindro!$B$16*((Presion_cilindro!N137-(-B$4+Presion_cilindro!$B$34))/Presion_cilindro!$B$35)^(Presion_cilindro!$B$17+1)),0)-IF(Presion_cilindro!N136&gt;(-B$4+Presion_cilindro!$B$34),1-EXP(-Presion_cilindro!$B$16*((Presion_cilindro!N136-(-B$4+Presion_cilindro!$B$34))/Presion_cilindro!$B$35)^(Presion_cilindro!$B$17+1)),0))/((Presion_cilindro!O136+Presion_cilindro!O137)/2)</f>
        <v>0.99437791954784316</v>
      </c>
      <c r="C145" s="27">
        <f>C144*(Presion_cilindro!O136/Presion_cilindro!O137)^Presion_cilindro!$B$9+10*(Presion_cilindro!$B$9-1)*Presion_cilindro!$B$33*(IF(Presion_cilindro!N137&gt;(-C$4+Presion_cilindro!$B$34),1-EXP(-Presion_cilindro!$B$16*((Presion_cilindro!N137-(-C$4+Presion_cilindro!$B$34))/Presion_cilindro!$B$35)^(Presion_cilindro!$B$17+1)),0)-IF(Presion_cilindro!N136&gt;(-C$4+Presion_cilindro!$B$34),1-EXP(-Presion_cilindro!$B$16*((Presion_cilindro!N136-(-C$4+Presion_cilindro!$B$34))/Presion_cilindro!$B$35)^(Presion_cilindro!$B$17+1)),0))/((Presion_cilindro!O136+Presion_cilindro!O137)/2)</f>
        <v>0.99437791954784316</v>
      </c>
      <c r="D145" s="27">
        <f>D144*(Presion_cilindro!O136/Presion_cilindro!O137)^Presion_cilindro!$B$9+10*(Presion_cilindro!$B$9-1)*Presion_cilindro!$B$33*(IF(Presion_cilindro!N137&gt;(-D$4+Presion_cilindro!$B$34),1-EXP(-Presion_cilindro!$B$16*((Presion_cilindro!N137-(-D$4+Presion_cilindro!$B$34))/Presion_cilindro!$B$35)^(Presion_cilindro!$B$17+1)),0)-IF(Presion_cilindro!N136&gt;(-D$4+Presion_cilindro!$B$34),1-EXP(-Presion_cilindro!$B$16*((Presion_cilindro!N136-(-D$4+Presion_cilindro!$B$34))/Presion_cilindro!$B$35)^(Presion_cilindro!$B$17+1)),0))/((Presion_cilindro!O136+Presion_cilindro!O137)/2)</f>
        <v>0.99437791954784316</v>
      </c>
      <c r="E145" s="27">
        <f>E144*(Presion_cilindro!O136/Presion_cilindro!O137)^Presion_cilindro!$B$9+10*(Presion_cilindro!$B$9-1)*Presion_cilindro!$B$33*(IF(Presion_cilindro!N137&gt;(-E$4+Presion_cilindro!$B$34),1-EXP(-Presion_cilindro!$B$16*((Presion_cilindro!N137-(-E$4+Presion_cilindro!$B$34))/Presion_cilindro!$B$35)^(Presion_cilindro!$B$17+1)),0)-IF(Presion_cilindro!N136&gt;(-E$4+Presion_cilindro!$B$34),1-EXP(-Presion_cilindro!$B$16*((Presion_cilindro!N136-(-E$4+Presion_cilindro!$B$34))/Presion_cilindro!$B$35)^(Presion_cilindro!$B$17+1)),0))/((Presion_cilindro!O136+Presion_cilindro!O137)/2)</f>
        <v>0.99437791954784316</v>
      </c>
      <c r="F145" s="27">
        <f>F144*(Presion_cilindro!O136/Presion_cilindro!O137)^Presion_cilindro!$B$9+10*(Presion_cilindro!$B$9-1)*Presion_cilindro!$B$33*(IF(Presion_cilindro!N137&gt;(-F$4+Presion_cilindro!$B$34),1-EXP(-Presion_cilindro!$B$16*((Presion_cilindro!N137-(-F$4+Presion_cilindro!$B$34))/Presion_cilindro!$B$35)^(Presion_cilindro!$B$17+1)),0)-IF(Presion_cilindro!N136&gt;(-F$4+Presion_cilindro!$B$34),1-EXP(-Presion_cilindro!$B$16*((Presion_cilindro!N136-(-F$4+Presion_cilindro!$B$34))/Presion_cilindro!$B$35)^(Presion_cilindro!$B$17+1)),0))/((Presion_cilindro!O136+Presion_cilindro!O137)/2)</f>
        <v>0.99437791954784316</v>
      </c>
      <c r="G145" s="27">
        <f>G144*(Presion_cilindro!O136/Presion_cilindro!O137)^Presion_cilindro!$B$9+10*(Presion_cilindro!$B$9-1)*Presion_cilindro!$B$33*(IF(Presion_cilindro!N137&gt;(-G$4+Presion_cilindro!$B$34),1-EXP(-Presion_cilindro!$B$16*((Presion_cilindro!N137-(-G$4+Presion_cilindro!$B$34))/Presion_cilindro!$B$35)^(Presion_cilindro!$B$17+1)),0)-IF(Presion_cilindro!N136&gt;(-G$4+Presion_cilindro!$B$34),1-EXP(-Presion_cilindro!$B$16*((Presion_cilindro!N136-(-G$4+Presion_cilindro!$B$34))/Presion_cilindro!$B$35)^(Presion_cilindro!$B$17+1)),0))/((Presion_cilindro!O136+Presion_cilindro!O137)/2)</f>
        <v>0.99437791954784316</v>
      </c>
      <c r="H145" s="27">
        <f>H144*(Presion_cilindro!O136/Presion_cilindro!O137)^Presion_cilindro!$B$9+10*(Presion_cilindro!$B$9-1)*Presion_cilindro!$B$33*(IF(Presion_cilindro!N137&gt;(-H$4+Presion_cilindro!$B$34),1-EXP(-Presion_cilindro!$B$16*((Presion_cilindro!N137-(-H$4+Presion_cilindro!$B$34))/Presion_cilindro!$B$35)^(Presion_cilindro!$B$17+1)),0)-IF(Presion_cilindro!N136&gt;(-H$4+Presion_cilindro!$B$34),1-EXP(-Presion_cilindro!$B$16*((Presion_cilindro!N136-(-H$4+Presion_cilindro!$B$34))/Presion_cilindro!$B$35)^(Presion_cilindro!$B$17+1)),0))/((Presion_cilindro!O136+Presion_cilindro!O137)/2)</f>
        <v>0.99437791954784316</v>
      </c>
      <c r="I145" s="27">
        <f>I144*(Presion_cilindro!O136/Presion_cilindro!O137)^Presion_cilindro!$B$9+10*(Presion_cilindro!$B$9-1)*Presion_cilindro!$B$33*(IF(Presion_cilindro!N137&gt;(-I$4+Presion_cilindro!$B$34),1-EXP(-Presion_cilindro!$B$16*((Presion_cilindro!N137-(-I$4+Presion_cilindro!$B$34))/Presion_cilindro!$B$35)^(Presion_cilindro!$B$17+1)),0)-IF(Presion_cilindro!N136&gt;(-I$4+Presion_cilindro!$B$34),1-EXP(-Presion_cilindro!$B$16*((Presion_cilindro!N136-(-I$4+Presion_cilindro!$B$34))/Presion_cilindro!$B$35)^(Presion_cilindro!$B$17+1)),0))/((Presion_cilindro!O136+Presion_cilindro!O137)/2)</f>
        <v>0.99437791954784316</v>
      </c>
      <c r="J145" s="27">
        <f>J144*(Presion_cilindro!O136/Presion_cilindro!O137)^Presion_cilindro!$B$9+10*(Presion_cilindro!$B$9-1)*Presion_cilindro!$B$33*(IF(Presion_cilindro!N137&gt;(-J$4+Presion_cilindro!$B$34),1-EXP(-Presion_cilindro!$B$16*((Presion_cilindro!N137-(-J$4+Presion_cilindro!$B$34))/Presion_cilindro!$B$35)^(Presion_cilindro!$B$17+1)),0)-IF(Presion_cilindro!N136&gt;(-J$4+Presion_cilindro!$B$34),1-EXP(-Presion_cilindro!$B$16*((Presion_cilindro!N136-(-J$4+Presion_cilindro!$B$34))/Presion_cilindro!$B$35)^(Presion_cilindro!$B$17+1)),0))/((Presion_cilindro!O136+Presion_cilindro!O137)/2)</f>
        <v>0.99437791954784316</v>
      </c>
      <c r="K145" s="27">
        <f>K144*(Presion_cilindro!O136/Presion_cilindro!O137)^Presion_cilindro!$B$9+10*(Presion_cilindro!$B$9-1)*Presion_cilindro!$B$33*(IF(Presion_cilindro!N137&gt;(-K$4+Presion_cilindro!$B$34),1-EXP(-Presion_cilindro!$B$16*((Presion_cilindro!N137-(-K$4+Presion_cilindro!$B$34))/Presion_cilindro!$B$35)^(Presion_cilindro!$B$17+1)),0)-IF(Presion_cilindro!N136&gt;(-K$4+Presion_cilindro!$B$34),1-EXP(-Presion_cilindro!$B$16*((Presion_cilindro!N136-(-K$4+Presion_cilindro!$B$34))/Presion_cilindro!$B$35)^(Presion_cilindro!$B$17+1)),0))/((Presion_cilindro!O136+Presion_cilindro!O137)/2)</f>
        <v>0.99437791954784316</v>
      </c>
      <c r="L145" s="27">
        <f>L144*(Presion_cilindro!O136/Presion_cilindro!O137)^Presion_cilindro!$B$9+10*(Presion_cilindro!$B$9-1)*Presion_cilindro!$B$33*(IF(Presion_cilindro!N137&gt;(-L$4+Presion_cilindro!$B$34),1-EXP(-Presion_cilindro!$B$16*((Presion_cilindro!N137-(-L$4+Presion_cilindro!$B$34))/Presion_cilindro!$B$35)^(Presion_cilindro!$B$17+1)),0)-IF(Presion_cilindro!N136&gt;(-L$4+Presion_cilindro!$B$34),1-EXP(-Presion_cilindro!$B$16*((Presion_cilindro!N136-(-L$4+Presion_cilindro!$B$34))/Presion_cilindro!$B$35)^(Presion_cilindro!$B$17+1)),0))/((Presion_cilindro!O136+Presion_cilindro!O137)/2)</f>
        <v>0.99437791954784316</v>
      </c>
      <c r="M145" s="27">
        <f>M144*(Presion_cilindro!O136/Presion_cilindro!O137)^Presion_cilindro!$B$9+10*(Presion_cilindro!$B$9-1)*Presion_cilindro!$B$33*(IF(Presion_cilindro!N137&gt;(-M$4+Presion_cilindro!$B$34),1-EXP(-Presion_cilindro!$B$16*((Presion_cilindro!N137-(-M$4+Presion_cilindro!$B$34))/Presion_cilindro!$B$35)^(Presion_cilindro!$B$17+1)),0)-IF(Presion_cilindro!N136&gt;(-M$4+Presion_cilindro!$B$34),1-EXP(-Presion_cilindro!$B$16*((Presion_cilindro!N136-(-M$4+Presion_cilindro!$B$34))/Presion_cilindro!$B$35)^(Presion_cilindro!$B$17+1)),0))/((Presion_cilindro!O136+Presion_cilindro!O137)/2)</f>
        <v>0.99437791954784316</v>
      </c>
      <c r="N145" s="27">
        <f>N144*(Presion_cilindro!O136/Presion_cilindro!O137)^Presion_cilindro!$B$9+10*(Presion_cilindro!$B$9-1)*Presion_cilindro!$B$33*(IF(Presion_cilindro!N137&gt;(-N$4+Presion_cilindro!$B$34),1-EXP(-Presion_cilindro!$B$16*((Presion_cilindro!N137-(-N$4+Presion_cilindro!$B$34))/Presion_cilindro!$B$35)^(Presion_cilindro!$B$17+1)),0)-IF(Presion_cilindro!N136&gt;(-N$4+Presion_cilindro!$B$34),1-EXP(-Presion_cilindro!$B$16*((Presion_cilindro!N136-(-N$4+Presion_cilindro!$B$34))/Presion_cilindro!$B$35)^(Presion_cilindro!$B$17+1)),0))/((Presion_cilindro!O136+Presion_cilindro!O137)/2)</f>
        <v>0.99437791954784316</v>
      </c>
    </row>
    <row r="146" spans="1:14" x14ac:dyDescent="0.25">
      <c r="A146" s="21">
        <f>Presion_cilindro!N138</f>
        <v>-113</v>
      </c>
      <c r="B146" s="27">
        <f>B145*(Presion_cilindro!O137/Presion_cilindro!O138)^Presion_cilindro!$B$9+10*(Presion_cilindro!$B$9-1)*Presion_cilindro!$B$33*(IF(Presion_cilindro!N138&gt;(-B$4+Presion_cilindro!$B$34),1-EXP(-Presion_cilindro!$B$16*((Presion_cilindro!N138-(-B$4+Presion_cilindro!$B$34))/Presion_cilindro!$B$35)^(Presion_cilindro!$B$17+1)),0)-IF(Presion_cilindro!N137&gt;(-B$4+Presion_cilindro!$B$34),1-EXP(-Presion_cilindro!$B$16*((Presion_cilindro!N137-(-B$4+Presion_cilindro!$B$34))/Presion_cilindro!$B$35)^(Presion_cilindro!$B$17+1)),0))/((Presion_cilindro!O137+Presion_cilindro!O138)/2)</f>
        <v>0.99977531817737952</v>
      </c>
      <c r="C146" s="27">
        <f>C145*(Presion_cilindro!O137/Presion_cilindro!O138)^Presion_cilindro!$B$9+10*(Presion_cilindro!$B$9-1)*Presion_cilindro!$B$33*(IF(Presion_cilindro!N138&gt;(-C$4+Presion_cilindro!$B$34),1-EXP(-Presion_cilindro!$B$16*((Presion_cilindro!N138-(-C$4+Presion_cilindro!$B$34))/Presion_cilindro!$B$35)^(Presion_cilindro!$B$17+1)),0)-IF(Presion_cilindro!N137&gt;(-C$4+Presion_cilindro!$B$34),1-EXP(-Presion_cilindro!$B$16*((Presion_cilindro!N137-(-C$4+Presion_cilindro!$B$34))/Presion_cilindro!$B$35)^(Presion_cilindro!$B$17+1)),0))/((Presion_cilindro!O137+Presion_cilindro!O138)/2)</f>
        <v>0.99977531817737952</v>
      </c>
      <c r="D146" s="27">
        <f>D145*(Presion_cilindro!O137/Presion_cilindro!O138)^Presion_cilindro!$B$9+10*(Presion_cilindro!$B$9-1)*Presion_cilindro!$B$33*(IF(Presion_cilindro!N138&gt;(-D$4+Presion_cilindro!$B$34),1-EXP(-Presion_cilindro!$B$16*((Presion_cilindro!N138-(-D$4+Presion_cilindro!$B$34))/Presion_cilindro!$B$35)^(Presion_cilindro!$B$17+1)),0)-IF(Presion_cilindro!N137&gt;(-D$4+Presion_cilindro!$B$34),1-EXP(-Presion_cilindro!$B$16*((Presion_cilindro!N137-(-D$4+Presion_cilindro!$B$34))/Presion_cilindro!$B$35)^(Presion_cilindro!$B$17+1)),0))/((Presion_cilindro!O137+Presion_cilindro!O138)/2)</f>
        <v>0.99977531817737952</v>
      </c>
      <c r="E146" s="27">
        <f>E145*(Presion_cilindro!O137/Presion_cilindro!O138)^Presion_cilindro!$B$9+10*(Presion_cilindro!$B$9-1)*Presion_cilindro!$B$33*(IF(Presion_cilindro!N138&gt;(-E$4+Presion_cilindro!$B$34),1-EXP(-Presion_cilindro!$B$16*((Presion_cilindro!N138-(-E$4+Presion_cilindro!$B$34))/Presion_cilindro!$B$35)^(Presion_cilindro!$B$17+1)),0)-IF(Presion_cilindro!N137&gt;(-E$4+Presion_cilindro!$B$34),1-EXP(-Presion_cilindro!$B$16*((Presion_cilindro!N137-(-E$4+Presion_cilindro!$B$34))/Presion_cilindro!$B$35)^(Presion_cilindro!$B$17+1)),0))/((Presion_cilindro!O137+Presion_cilindro!O138)/2)</f>
        <v>0.99977531817737952</v>
      </c>
      <c r="F146" s="27">
        <f>F145*(Presion_cilindro!O137/Presion_cilindro!O138)^Presion_cilindro!$B$9+10*(Presion_cilindro!$B$9-1)*Presion_cilindro!$B$33*(IF(Presion_cilindro!N138&gt;(-F$4+Presion_cilindro!$B$34),1-EXP(-Presion_cilindro!$B$16*((Presion_cilindro!N138-(-F$4+Presion_cilindro!$B$34))/Presion_cilindro!$B$35)^(Presion_cilindro!$B$17+1)),0)-IF(Presion_cilindro!N137&gt;(-F$4+Presion_cilindro!$B$34),1-EXP(-Presion_cilindro!$B$16*((Presion_cilindro!N137-(-F$4+Presion_cilindro!$B$34))/Presion_cilindro!$B$35)^(Presion_cilindro!$B$17+1)),0))/((Presion_cilindro!O137+Presion_cilindro!O138)/2)</f>
        <v>0.99977531817737952</v>
      </c>
      <c r="G146" s="27">
        <f>G145*(Presion_cilindro!O137/Presion_cilindro!O138)^Presion_cilindro!$B$9+10*(Presion_cilindro!$B$9-1)*Presion_cilindro!$B$33*(IF(Presion_cilindro!N138&gt;(-G$4+Presion_cilindro!$B$34),1-EXP(-Presion_cilindro!$B$16*((Presion_cilindro!N138-(-G$4+Presion_cilindro!$B$34))/Presion_cilindro!$B$35)^(Presion_cilindro!$B$17+1)),0)-IF(Presion_cilindro!N137&gt;(-G$4+Presion_cilindro!$B$34),1-EXP(-Presion_cilindro!$B$16*((Presion_cilindro!N137-(-G$4+Presion_cilindro!$B$34))/Presion_cilindro!$B$35)^(Presion_cilindro!$B$17+1)),0))/((Presion_cilindro!O137+Presion_cilindro!O138)/2)</f>
        <v>0.99977531817737952</v>
      </c>
      <c r="H146" s="27">
        <f>H145*(Presion_cilindro!O137/Presion_cilindro!O138)^Presion_cilindro!$B$9+10*(Presion_cilindro!$B$9-1)*Presion_cilindro!$B$33*(IF(Presion_cilindro!N138&gt;(-H$4+Presion_cilindro!$B$34),1-EXP(-Presion_cilindro!$B$16*((Presion_cilindro!N138-(-H$4+Presion_cilindro!$B$34))/Presion_cilindro!$B$35)^(Presion_cilindro!$B$17+1)),0)-IF(Presion_cilindro!N137&gt;(-H$4+Presion_cilindro!$B$34),1-EXP(-Presion_cilindro!$B$16*((Presion_cilindro!N137-(-H$4+Presion_cilindro!$B$34))/Presion_cilindro!$B$35)^(Presion_cilindro!$B$17+1)),0))/((Presion_cilindro!O137+Presion_cilindro!O138)/2)</f>
        <v>0.99977531817737952</v>
      </c>
      <c r="I146" s="27">
        <f>I145*(Presion_cilindro!O137/Presion_cilindro!O138)^Presion_cilindro!$B$9+10*(Presion_cilindro!$B$9-1)*Presion_cilindro!$B$33*(IF(Presion_cilindro!N138&gt;(-I$4+Presion_cilindro!$B$34),1-EXP(-Presion_cilindro!$B$16*((Presion_cilindro!N138-(-I$4+Presion_cilindro!$B$34))/Presion_cilindro!$B$35)^(Presion_cilindro!$B$17+1)),0)-IF(Presion_cilindro!N137&gt;(-I$4+Presion_cilindro!$B$34),1-EXP(-Presion_cilindro!$B$16*((Presion_cilindro!N137-(-I$4+Presion_cilindro!$B$34))/Presion_cilindro!$B$35)^(Presion_cilindro!$B$17+1)),0))/((Presion_cilindro!O137+Presion_cilindro!O138)/2)</f>
        <v>0.99977531817737952</v>
      </c>
      <c r="J146" s="27">
        <f>J145*(Presion_cilindro!O137/Presion_cilindro!O138)^Presion_cilindro!$B$9+10*(Presion_cilindro!$B$9-1)*Presion_cilindro!$B$33*(IF(Presion_cilindro!N138&gt;(-J$4+Presion_cilindro!$B$34),1-EXP(-Presion_cilindro!$B$16*((Presion_cilindro!N138-(-J$4+Presion_cilindro!$B$34))/Presion_cilindro!$B$35)^(Presion_cilindro!$B$17+1)),0)-IF(Presion_cilindro!N137&gt;(-J$4+Presion_cilindro!$B$34),1-EXP(-Presion_cilindro!$B$16*((Presion_cilindro!N137-(-J$4+Presion_cilindro!$B$34))/Presion_cilindro!$B$35)^(Presion_cilindro!$B$17+1)),0))/((Presion_cilindro!O137+Presion_cilindro!O138)/2)</f>
        <v>0.99977531817737952</v>
      </c>
      <c r="K146" s="27">
        <f>K145*(Presion_cilindro!O137/Presion_cilindro!O138)^Presion_cilindro!$B$9+10*(Presion_cilindro!$B$9-1)*Presion_cilindro!$B$33*(IF(Presion_cilindro!N138&gt;(-K$4+Presion_cilindro!$B$34),1-EXP(-Presion_cilindro!$B$16*((Presion_cilindro!N138-(-K$4+Presion_cilindro!$B$34))/Presion_cilindro!$B$35)^(Presion_cilindro!$B$17+1)),0)-IF(Presion_cilindro!N137&gt;(-K$4+Presion_cilindro!$B$34),1-EXP(-Presion_cilindro!$B$16*((Presion_cilindro!N137-(-K$4+Presion_cilindro!$B$34))/Presion_cilindro!$B$35)^(Presion_cilindro!$B$17+1)),0))/((Presion_cilindro!O137+Presion_cilindro!O138)/2)</f>
        <v>0.99977531817737952</v>
      </c>
      <c r="L146" s="27">
        <f>L145*(Presion_cilindro!O137/Presion_cilindro!O138)^Presion_cilindro!$B$9+10*(Presion_cilindro!$B$9-1)*Presion_cilindro!$B$33*(IF(Presion_cilindro!N138&gt;(-L$4+Presion_cilindro!$B$34),1-EXP(-Presion_cilindro!$B$16*((Presion_cilindro!N138-(-L$4+Presion_cilindro!$B$34))/Presion_cilindro!$B$35)^(Presion_cilindro!$B$17+1)),0)-IF(Presion_cilindro!N137&gt;(-L$4+Presion_cilindro!$B$34),1-EXP(-Presion_cilindro!$B$16*((Presion_cilindro!N137-(-L$4+Presion_cilindro!$B$34))/Presion_cilindro!$B$35)^(Presion_cilindro!$B$17+1)),0))/((Presion_cilindro!O137+Presion_cilindro!O138)/2)</f>
        <v>0.99977531817737952</v>
      </c>
      <c r="M146" s="27">
        <f>M145*(Presion_cilindro!O137/Presion_cilindro!O138)^Presion_cilindro!$B$9+10*(Presion_cilindro!$B$9-1)*Presion_cilindro!$B$33*(IF(Presion_cilindro!N138&gt;(-M$4+Presion_cilindro!$B$34),1-EXP(-Presion_cilindro!$B$16*((Presion_cilindro!N138-(-M$4+Presion_cilindro!$B$34))/Presion_cilindro!$B$35)^(Presion_cilindro!$B$17+1)),0)-IF(Presion_cilindro!N137&gt;(-M$4+Presion_cilindro!$B$34),1-EXP(-Presion_cilindro!$B$16*((Presion_cilindro!N137-(-M$4+Presion_cilindro!$B$34))/Presion_cilindro!$B$35)^(Presion_cilindro!$B$17+1)),0))/((Presion_cilindro!O137+Presion_cilindro!O138)/2)</f>
        <v>0.99977531817737952</v>
      </c>
      <c r="N146" s="27">
        <f>N145*(Presion_cilindro!O137/Presion_cilindro!O138)^Presion_cilindro!$B$9+10*(Presion_cilindro!$B$9-1)*Presion_cilindro!$B$33*(IF(Presion_cilindro!N138&gt;(-N$4+Presion_cilindro!$B$34),1-EXP(-Presion_cilindro!$B$16*((Presion_cilindro!N138-(-N$4+Presion_cilindro!$B$34))/Presion_cilindro!$B$35)^(Presion_cilindro!$B$17+1)),0)-IF(Presion_cilindro!N137&gt;(-N$4+Presion_cilindro!$B$34),1-EXP(-Presion_cilindro!$B$16*((Presion_cilindro!N137-(-N$4+Presion_cilindro!$B$34))/Presion_cilindro!$B$35)^(Presion_cilindro!$B$17+1)),0))/((Presion_cilindro!O137+Presion_cilindro!O138)/2)</f>
        <v>0.99977531817737952</v>
      </c>
    </row>
    <row r="147" spans="1:14" x14ac:dyDescent="0.25">
      <c r="A147" s="21">
        <f>Presion_cilindro!N139</f>
        <v>-112.5</v>
      </c>
      <c r="B147" s="27">
        <f>B146*(Presion_cilindro!O138/Presion_cilindro!O139)^Presion_cilindro!$B$9+10*(Presion_cilindro!$B$9-1)*Presion_cilindro!$B$33*(IF(Presion_cilindro!N139&gt;(-B$4+Presion_cilindro!$B$34),1-EXP(-Presion_cilindro!$B$16*((Presion_cilindro!N139-(-B$4+Presion_cilindro!$B$34))/Presion_cilindro!$B$35)^(Presion_cilindro!$B$17+1)),0)-IF(Presion_cilindro!N138&gt;(-B$4+Presion_cilindro!$B$34),1-EXP(-Presion_cilindro!$B$16*((Presion_cilindro!N138-(-B$4+Presion_cilindro!$B$34))/Presion_cilindro!$B$35)^(Presion_cilindro!$B$17+1)),0))/((Presion_cilindro!O138+Presion_cilindro!O139)/2)</f>
        <v>1.0052591748151454</v>
      </c>
      <c r="C147" s="27">
        <f>C146*(Presion_cilindro!O138/Presion_cilindro!O139)^Presion_cilindro!$B$9+10*(Presion_cilindro!$B$9-1)*Presion_cilindro!$B$33*(IF(Presion_cilindro!N139&gt;(-C$4+Presion_cilindro!$B$34),1-EXP(-Presion_cilindro!$B$16*((Presion_cilindro!N139-(-C$4+Presion_cilindro!$B$34))/Presion_cilindro!$B$35)^(Presion_cilindro!$B$17+1)),0)-IF(Presion_cilindro!N138&gt;(-C$4+Presion_cilindro!$B$34),1-EXP(-Presion_cilindro!$B$16*((Presion_cilindro!N138-(-C$4+Presion_cilindro!$B$34))/Presion_cilindro!$B$35)^(Presion_cilindro!$B$17+1)),0))/((Presion_cilindro!O138+Presion_cilindro!O139)/2)</f>
        <v>1.0052591748151454</v>
      </c>
      <c r="D147" s="27">
        <f>D146*(Presion_cilindro!O138/Presion_cilindro!O139)^Presion_cilindro!$B$9+10*(Presion_cilindro!$B$9-1)*Presion_cilindro!$B$33*(IF(Presion_cilindro!N139&gt;(-D$4+Presion_cilindro!$B$34),1-EXP(-Presion_cilindro!$B$16*((Presion_cilindro!N139-(-D$4+Presion_cilindro!$B$34))/Presion_cilindro!$B$35)^(Presion_cilindro!$B$17+1)),0)-IF(Presion_cilindro!N138&gt;(-D$4+Presion_cilindro!$B$34),1-EXP(-Presion_cilindro!$B$16*((Presion_cilindro!N138-(-D$4+Presion_cilindro!$B$34))/Presion_cilindro!$B$35)^(Presion_cilindro!$B$17+1)),0))/((Presion_cilindro!O138+Presion_cilindro!O139)/2)</f>
        <v>1.0052591748151454</v>
      </c>
      <c r="E147" s="27">
        <f>E146*(Presion_cilindro!O138/Presion_cilindro!O139)^Presion_cilindro!$B$9+10*(Presion_cilindro!$B$9-1)*Presion_cilindro!$B$33*(IF(Presion_cilindro!N139&gt;(-E$4+Presion_cilindro!$B$34),1-EXP(-Presion_cilindro!$B$16*((Presion_cilindro!N139-(-E$4+Presion_cilindro!$B$34))/Presion_cilindro!$B$35)^(Presion_cilindro!$B$17+1)),0)-IF(Presion_cilindro!N138&gt;(-E$4+Presion_cilindro!$B$34),1-EXP(-Presion_cilindro!$B$16*((Presion_cilindro!N138-(-E$4+Presion_cilindro!$B$34))/Presion_cilindro!$B$35)^(Presion_cilindro!$B$17+1)),0))/((Presion_cilindro!O138+Presion_cilindro!O139)/2)</f>
        <v>1.0052591748151454</v>
      </c>
      <c r="F147" s="27">
        <f>F146*(Presion_cilindro!O138/Presion_cilindro!O139)^Presion_cilindro!$B$9+10*(Presion_cilindro!$B$9-1)*Presion_cilindro!$B$33*(IF(Presion_cilindro!N139&gt;(-F$4+Presion_cilindro!$B$34),1-EXP(-Presion_cilindro!$B$16*((Presion_cilindro!N139-(-F$4+Presion_cilindro!$B$34))/Presion_cilindro!$B$35)^(Presion_cilindro!$B$17+1)),0)-IF(Presion_cilindro!N138&gt;(-F$4+Presion_cilindro!$B$34),1-EXP(-Presion_cilindro!$B$16*((Presion_cilindro!N138-(-F$4+Presion_cilindro!$B$34))/Presion_cilindro!$B$35)^(Presion_cilindro!$B$17+1)),0))/((Presion_cilindro!O138+Presion_cilindro!O139)/2)</f>
        <v>1.0052591748151454</v>
      </c>
      <c r="G147" s="27">
        <f>G146*(Presion_cilindro!O138/Presion_cilindro!O139)^Presion_cilindro!$B$9+10*(Presion_cilindro!$B$9-1)*Presion_cilindro!$B$33*(IF(Presion_cilindro!N139&gt;(-G$4+Presion_cilindro!$B$34),1-EXP(-Presion_cilindro!$B$16*((Presion_cilindro!N139-(-G$4+Presion_cilindro!$B$34))/Presion_cilindro!$B$35)^(Presion_cilindro!$B$17+1)),0)-IF(Presion_cilindro!N138&gt;(-G$4+Presion_cilindro!$B$34),1-EXP(-Presion_cilindro!$B$16*((Presion_cilindro!N138-(-G$4+Presion_cilindro!$B$34))/Presion_cilindro!$B$35)^(Presion_cilindro!$B$17+1)),0))/((Presion_cilindro!O138+Presion_cilindro!O139)/2)</f>
        <v>1.0052591748151454</v>
      </c>
      <c r="H147" s="27">
        <f>H146*(Presion_cilindro!O138/Presion_cilindro!O139)^Presion_cilindro!$B$9+10*(Presion_cilindro!$B$9-1)*Presion_cilindro!$B$33*(IF(Presion_cilindro!N139&gt;(-H$4+Presion_cilindro!$B$34),1-EXP(-Presion_cilindro!$B$16*((Presion_cilindro!N139-(-H$4+Presion_cilindro!$B$34))/Presion_cilindro!$B$35)^(Presion_cilindro!$B$17+1)),0)-IF(Presion_cilindro!N138&gt;(-H$4+Presion_cilindro!$B$34),1-EXP(-Presion_cilindro!$B$16*((Presion_cilindro!N138-(-H$4+Presion_cilindro!$B$34))/Presion_cilindro!$B$35)^(Presion_cilindro!$B$17+1)),0))/((Presion_cilindro!O138+Presion_cilindro!O139)/2)</f>
        <v>1.0052591748151454</v>
      </c>
      <c r="I147" s="27">
        <f>I146*(Presion_cilindro!O138/Presion_cilindro!O139)^Presion_cilindro!$B$9+10*(Presion_cilindro!$B$9-1)*Presion_cilindro!$B$33*(IF(Presion_cilindro!N139&gt;(-I$4+Presion_cilindro!$B$34),1-EXP(-Presion_cilindro!$B$16*((Presion_cilindro!N139-(-I$4+Presion_cilindro!$B$34))/Presion_cilindro!$B$35)^(Presion_cilindro!$B$17+1)),0)-IF(Presion_cilindro!N138&gt;(-I$4+Presion_cilindro!$B$34),1-EXP(-Presion_cilindro!$B$16*((Presion_cilindro!N138-(-I$4+Presion_cilindro!$B$34))/Presion_cilindro!$B$35)^(Presion_cilindro!$B$17+1)),0))/((Presion_cilindro!O138+Presion_cilindro!O139)/2)</f>
        <v>1.0052591748151454</v>
      </c>
      <c r="J147" s="27">
        <f>J146*(Presion_cilindro!O138/Presion_cilindro!O139)^Presion_cilindro!$B$9+10*(Presion_cilindro!$B$9-1)*Presion_cilindro!$B$33*(IF(Presion_cilindro!N139&gt;(-J$4+Presion_cilindro!$B$34),1-EXP(-Presion_cilindro!$B$16*((Presion_cilindro!N139-(-J$4+Presion_cilindro!$B$34))/Presion_cilindro!$B$35)^(Presion_cilindro!$B$17+1)),0)-IF(Presion_cilindro!N138&gt;(-J$4+Presion_cilindro!$B$34),1-EXP(-Presion_cilindro!$B$16*((Presion_cilindro!N138-(-J$4+Presion_cilindro!$B$34))/Presion_cilindro!$B$35)^(Presion_cilindro!$B$17+1)),0))/((Presion_cilindro!O138+Presion_cilindro!O139)/2)</f>
        <v>1.0052591748151454</v>
      </c>
      <c r="K147" s="27">
        <f>K146*(Presion_cilindro!O138/Presion_cilindro!O139)^Presion_cilindro!$B$9+10*(Presion_cilindro!$B$9-1)*Presion_cilindro!$B$33*(IF(Presion_cilindro!N139&gt;(-K$4+Presion_cilindro!$B$34),1-EXP(-Presion_cilindro!$B$16*((Presion_cilindro!N139-(-K$4+Presion_cilindro!$B$34))/Presion_cilindro!$B$35)^(Presion_cilindro!$B$17+1)),0)-IF(Presion_cilindro!N138&gt;(-K$4+Presion_cilindro!$B$34),1-EXP(-Presion_cilindro!$B$16*((Presion_cilindro!N138-(-K$4+Presion_cilindro!$B$34))/Presion_cilindro!$B$35)^(Presion_cilindro!$B$17+1)),0))/((Presion_cilindro!O138+Presion_cilindro!O139)/2)</f>
        <v>1.0052591748151454</v>
      </c>
      <c r="L147" s="27">
        <f>L146*(Presion_cilindro!O138/Presion_cilindro!O139)^Presion_cilindro!$B$9+10*(Presion_cilindro!$B$9-1)*Presion_cilindro!$B$33*(IF(Presion_cilindro!N139&gt;(-L$4+Presion_cilindro!$B$34),1-EXP(-Presion_cilindro!$B$16*((Presion_cilindro!N139-(-L$4+Presion_cilindro!$B$34))/Presion_cilindro!$B$35)^(Presion_cilindro!$B$17+1)),0)-IF(Presion_cilindro!N138&gt;(-L$4+Presion_cilindro!$B$34),1-EXP(-Presion_cilindro!$B$16*((Presion_cilindro!N138-(-L$4+Presion_cilindro!$B$34))/Presion_cilindro!$B$35)^(Presion_cilindro!$B$17+1)),0))/((Presion_cilindro!O138+Presion_cilindro!O139)/2)</f>
        <v>1.0052591748151454</v>
      </c>
      <c r="M147" s="27">
        <f>M146*(Presion_cilindro!O138/Presion_cilindro!O139)^Presion_cilindro!$B$9+10*(Presion_cilindro!$B$9-1)*Presion_cilindro!$B$33*(IF(Presion_cilindro!N139&gt;(-M$4+Presion_cilindro!$B$34),1-EXP(-Presion_cilindro!$B$16*((Presion_cilindro!N139-(-M$4+Presion_cilindro!$B$34))/Presion_cilindro!$B$35)^(Presion_cilindro!$B$17+1)),0)-IF(Presion_cilindro!N138&gt;(-M$4+Presion_cilindro!$B$34),1-EXP(-Presion_cilindro!$B$16*((Presion_cilindro!N138-(-M$4+Presion_cilindro!$B$34))/Presion_cilindro!$B$35)^(Presion_cilindro!$B$17+1)),0))/((Presion_cilindro!O138+Presion_cilindro!O139)/2)</f>
        <v>1.0052591748151454</v>
      </c>
      <c r="N147" s="27">
        <f>N146*(Presion_cilindro!O138/Presion_cilindro!O139)^Presion_cilindro!$B$9+10*(Presion_cilindro!$B$9-1)*Presion_cilindro!$B$33*(IF(Presion_cilindro!N139&gt;(-N$4+Presion_cilindro!$B$34),1-EXP(-Presion_cilindro!$B$16*((Presion_cilindro!N139-(-N$4+Presion_cilindro!$B$34))/Presion_cilindro!$B$35)^(Presion_cilindro!$B$17+1)),0)-IF(Presion_cilindro!N138&gt;(-N$4+Presion_cilindro!$B$34),1-EXP(-Presion_cilindro!$B$16*((Presion_cilindro!N138-(-N$4+Presion_cilindro!$B$34))/Presion_cilindro!$B$35)^(Presion_cilindro!$B$17+1)),0))/((Presion_cilindro!O138+Presion_cilindro!O139)/2)</f>
        <v>1.0052591748151454</v>
      </c>
    </row>
    <row r="148" spans="1:14" x14ac:dyDescent="0.25">
      <c r="A148" s="21">
        <f>Presion_cilindro!N140</f>
        <v>-112</v>
      </c>
      <c r="B148" s="27">
        <f>B147*(Presion_cilindro!O139/Presion_cilindro!O140)^Presion_cilindro!$B$9+10*(Presion_cilindro!$B$9-1)*Presion_cilindro!$B$33*(IF(Presion_cilindro!N140&gt;(-B$4+Presion_cilindro!$B$34),1-EXP(-Presion_cilindro!$B$16*((Presion_cilindro!N140-(-B$4+Presion_cilindro!$B$34))/Presion_cilindro!$B$35)^(Presion_cilindro!$B$17+1)),0)-IF(Presion_cilindro!N139&gt;(-B$4+Presion_cilindro!$B$34),1-EXP(-Presion_cilindro!$B$16*((Presion_cilindro!N139-(-B$4+Presion_cilindro!$B$34))/Presion_cilindro!$B$35)^(Presion_cilindro!$B$17+1)),0))/((Presion_cilindro!O139+Presion_cilindro!O140)/2)</f>
        <v>1.0108309592558873</v>
      </c>
      <c r="C148" s="27">
        <f>C147*(Presion_cilindro!O139/Presion_cilindro!O140)^Presion_cilindro!$B$9+10*(Presion_cilindro!$B$9-1)*Presion_cilindro!$B$33*(IF(Presion_cilindro!N140&gt;(-C$4+Presion_cilindro!$B$34),1-EXP(-Presion_cilindro!$B$16*((Presion_cilindro!N140-(-C$4+Presion_cilindro!$B$34))/Presion_cilindro!$B$35)^(Presion_cilindro!$B$17+1)),0)-IF(Presion_cilindro!N139&gt;(-C$4+Presion_cilindro!$B$34),1-EXP(-Presion_cilindro!$B$16*((Presion_cilindro!N139-(-C$4+Presion_cilindro!$B$34))/Presion_cilindro!$B$35)^(Presion_cilindro!$B$17+1)),0))/((Presion_cilindro!O139+Presion_cilindro!O140)/2)</f>
        <v>1.0108309592558873</v>
      </c>
      <c r="D148" s="27">
        <f>D147*(Presion_cilindro!O139/Presion_cilindro!O140)^Presion_cilindro!$B$9+10*(Presion_cilindro!$B$9-1)*Presion_cilindro!$B$33*(IF(Presion_cilindro!N140&gt;(-D$4+Presion_cilindro!$B$34),1-EXP(-Presion_cilindro!$B$16*((Presion_cilindro!N140-(-D$4+Presion_cilindro!$B$34))/Presion_cilindro!$B$35)^(Presion_cilindro!$B$17+1)),0)-IF(Presion_cilindro!N139&gt;(-D$4+Presion_cilindro!$B$34),1-EXP(-Presion_cilindro!$B$16*((Presion_cilindro!N139-(-D$4+Presion_cilindro!$B$34))/Presion_cilindro!$B$35)^(Presion_cilindro!$B$17+1)),0))/((Presion_cilindro!O139+Presion_cilindro!O140)/2)</f>
        <v>1.0108309592558873</v>
      </c>
      <c r="E148" s="27">
        <f>E147*(Presion_cilindro!O139/Presion_cilindro!O140)^Presion_cilindro!$B$9+10*(Presion_cilindro!$B$9-1)*Presion_cilindro!$B$33*(IF(Presion_cilindro!N140&gt;(-E$4+Presion_cilindro!$B$34),1-EXP(-Presion_cilindro!$B$16*((Presion_cilindro!N140-(-E$4+Presion_cilindro!$B$34))/Presion_cilindro!$B$35)^(Presion_cilindro!$B$17+1)),0)-IF(Presion_cilindro!N139&gt;(-E$4+Presion_cilindro!$B$34),1-EXP(-Presion_cilindro!$B$16*((Presion_cilindro!N139-(-E$4+Presion_cilindro!$B$34))/Presion_cilindro!$B$35)^(Presion_cilindro!$B$17+1)),0))/((Presion_cilindro!O139+Presion_cilindro!O140)/2)</f>
        <v>1.0108309592558873</v>
      </c>
      <c r="F148" s="27">
        <f>F147*(Presion_cilindro!O139/Presion_cilindro!O140)^Presion_cilindro!$B$9+10*(Presion_cilindro!$B$9-1)*Presion_cilindro!$B$33*(IF(Presion_cilindro!N140&gt;(-F$4+Presion_cilindro!$B$34),1-EXP(-Presion_cilindro!$B$16*((Presion_cilindro!N140-(-F$4+Presion_cilindro!$B$34))/Presion_cilindro!$B$35)^(Presion_cilindro!$B$17+1)),0)-IF(Presion_cilindro!N139&gt;(-F$4+Presion_cilindro!$B$34),1-EXP(-Presion_cilindro!$B$16*((Presion_cilindro!N139-(-F$4+Presion_cilindro!$B$34))/Presion_cilindro!$B$35)^(Presion_cilindro!$B$17+1)),0))/((Presion_cilindro!O139+Presion_cilindro!O140)/2)</f>
        <v>1.0108309592558873</v>
      </c>
      <c r="G148" s="27">
        <f>G147*(Presion_cilindro!O139/Presion_cilindro!O140)^Presion_cilindro!$B$9+10*(Presion_cilindro!$B$9-1)*Presion_cilindro!$B$33*(IF(Presion_cilindro!N140&gt;(-G$4+Presion_cilindro!$B$34),1-EXP(-Presion_cilindro!$B$16*((Presion_cilindro!N140-(-G$4+Presion_cilindro!$B$34))/Presion_cilindro!$B$35)^(Presion_cilindro!$B$17+1)),0)-IF(Presion_cilindro!N139&gt;(-G$4+Presion_cilindro!$B$34),1-EXP(-Presion_cilindro!$B$16*((Presion_cilindro!N139-(-G$4+Presion_cilindro!$B$34))/Presion_cilindro!$B$35)^(Presion_cilindro!$B$17+1)),0))/((Presion_cilindro!O139+Presion_cilindro!O140)/2)</f>
        <v>1.0108309592558873</v>
      </c>
      <c r="H148" s="27">
        <f>H147*(Presion_cilindro!O139/Presion_cilindro!O140)^Presion_cilindro!$B$9+10*(Presion_cilindro!$B$9-1)*Presion_cilindro!$B$33*(IF(Presion_cilindro!N140&gt;(-H$4+Presion_cilindro!$B$34),1-EXP(-Presion_cilindro!$B$16*((Presion_cilindro!N140-(-H$4+Presion_cilindro!$B$34))/Presion_cilindro!$B$35)^(Presion_cilindro!$B$17+1)),0)-IF(Presion_cilindro!N139&gt;(-H$4+Presion_cilindro!$B$34),1-EXP(-Presion_cilindro!$B$16*((Presion_cilindro!N139-(-H$4+Presion_cilindro!$B$34))/Presion_cilindro!$B$35)^(Presion_cilindro!$B$17+1)),0))/((Presion_cilindro!O139+Presion_cilindro!O140)/2)</f>
        <v>1.0108309592558873</v>
      </c>
      <c r="I148" s="27">
        <f>I147*(Presion_cilindro!O139/Presion_cilindro!O140)^Presion_cilindro!$B$9+10*(Presion_cilindro!$B$9-1)*Presion_cilindro!$B$33*(IF(Presion_cilindro!N140&gt;(-I$4+Presion_cilindro!$B$34),1-EXP(-Presion_cilindro!$B$16*((Presion_cilindro!N140-(-I$4+Presion_cilindro!$B$34))/Presion_cilindro!$B$35)^(Presion_cilindro!$B$17+1)),0)-IF(Presion_cilindro!N139&gt;(-I$4+Presion_cilindro!$B$34),1-EXP(-Presion_cilindro!$B$16*((Presion_cilindro!N139-(-I$4+Presion_cilindro!$B$34))/Presion_cilindro!$B$35)^(Presion_cilindro!$B$17+1)),0))/((Presion_cilindro!O139+Presion_cilindro!O140)/2)</f>
        <v>1.0108309592558873</v>
      </c>
      <c r="J148" s="27">
        <f>J147*(Presion_cilindro!O139/Presion_cilindro!O140)^Presion_cilindro!$B$9+10*(Presion_cilindro!$B$9-1)*Presion_cilindro!$B$33*(IF(Presion_cilindro!N140&gt;(-J$4+Presion_cilindro!$B$34),1-EXP(-Presion_cilindro!$B$16*((Presion_cilindro!N140-(-J$4+Presion_cilindro!$B$34))/Presion_cilindro!$B$35)^(Presion_cilindro!$B$17+1)),0)-IF(Presion_cilindro!N139&gt;(-J$4+Presion_cilindro!$B$34),1-EXP(-Presion_cilindro!$B$16*((Presion_cilindro!N139-(-J$4+Presion_cilindro!$B$34))/Presion_cilindro!$B$35)^(Presion_cilindro!$B$17+1)),0))/((Presion_cilindro!O139+Presion_cilindro!O140)/2)</f>
        <v>1.0108309592558873</v>
      </c>
      <c r="K148" s="27">
        <f>K147*(Presion_cilindro!O139/Presion_cilindro!O140)^Presion_cilindro!$B$9+10*(Presion_cilindro!$B$9-1)*Presion_cilindro!$B$33*(IF(Presion_cilindro!N140&gt;(-K$4+Presion_cilindro!$B$34),1-EXP(-Presion_cilindro!$B$16*((Presion_cilindro!N140-(-K$4+Presion_cilindro!$B$34))/Presion_cilindro!$B$35)^(Presion_cilindro!$B$17+1)),0)-IF(Presion_cilindro!N139&gt;(-K$4+Presion_cilindro!$B$34),1-EXP(-Presion_cilindro!$B$16*((Presion_cilindro!N139-(-K$4+Presion_cilindro!$B$34))/Presion_cilindro!$B$35)^(Presion_cilindro!$B$17+1)),0))/((Presion_cilindro!O139+Presion_cilindro!O140)/2)</f>
        <v>1.0108309592558873</v>
      </c>
      <c r="L148" s="27">
        <f>L147*(Presion_cilindro!O139/Presion_cilindro!O140)^Presion_cilindro!$B$9+10*(Presion_cilindro!$B$9-1)*Presion_cilindro!$B$33*(IF(Presion_cilindro!N140&gt;(-L$4+Presion_cilindro!$B$34),1-EXP(-Presion_cilindro!$B$16*((Presion_cilindro!N140-(-L$4+Presion_cilindro!$B$34))/Presion_cilindro!$B$35)^(Presion_cilindro!$B$17+1)),0)-IF(Presion_cilindro!N139&gt;(-L$4+Presion_cilindro!$B$34),1-EXP(-Presion_cilindro!$B$16*((Presion_cilindro!N139-(-L$4+Presion_cilindro!$B$34))/Presion_cilindro!$B$35)^(Presion_cilindro!$B$17+1)),0))/((Presion_cilindro!O139+Presion_cilindro!O140)/2)</f>
        <v>1.0108309592558873</v>
      </c>
      <c r="M148" s="27">
        <f>M147*(Presion_cilindro!O139/Presion_cilindro!O140)^Presion_cilindro!$B$9+10*(Presion_cilindro!$B$9-1)*Presion_cilindro!$B$33*(IF(Presion_cilindro!N140&gt;(-M$4+Presion_cilindro!$B$34),1-EXP(-Presion_cilindro!$B$16*((Presion_cilindro!N140-(-M$4+Presion_cilindro!$B$34))/Presion_cilindro!$B$35)^(Presion_cilindro!$B$17+1)),0)-IF(Presion_cilindro!N139&gt;(-M$4+Presion_cilindro!$B$34),1-EXP(-Presion_cilindro!$B$16*((Presion_cilindro!N139-(-M$4+Presion_cilindro!$B$34))/Presion_cilindro!$B$35)^(Presion_cilindro!$B$17+1)),0))/((Presion_cilindro!O139+Presion_cilindro!O140)/2)</f>
        <v>1.0108309592558873</v>
      </c>
      <c r="N148" s="27">
        <f>N147*(Presion_cilindro!O139/Presion_cilindro!O140)^Presion_cilindro!$B$9+10*(Presion_cilindro!$B$9-1)*Presion_cilindro!$B$33*(IF(Presion_cilindro!N140&gt;(-N$4+Presion_cilindro!$B$34),1-EXP(-Presion_cilindro!$B$16*((Presion_cilindro!N140-(-N$4+Presion_cilindro!$B$34))/Presion_cilindro!$B$35)^(Presion_cilindro!$B$17+1)),0)-IF(Presion_cilindro!N139&gt;(-N$4+Presion_cilindro!$B$34),1-EXP(-Presion_cilindro!$B$16*((Presion_cilindro!N139-(-N$4+Presion_cilindro!$B$34))/Presion_cilindro!$B$35)^(Presion_cilindro!$B$17+1)),0))/((Presion_cilindro!O139+Presion_cilindro!O140)/2)</f>
        <v>1.0108309592558873</v>
      </c>
    </row>
    <row r="149" spans="1:14" x14ac:dyDescent="0.25">
      <c r="A149" s="21">
        <f>Presion_cilindro!N141</f>
        <v>-111.5</v>
      </c>
      <c r="B149" s="27">
        <f>B148*(Presion_cilindro!O140/Presion_cilindro!O141)^Presion_cilindro!$B$9+10*(Presion_cilindro!$B$9-1)*Presion_cilindro!$B$33*(IF(Presion_cilindro!N141&gt;(-B$4+Presion_cilindro!$B$34),1-EXP(-Presion_cilindro!$B$16*((Presion_cilindro!N141-(-B$4+Presion_cilindro!$B$34))/Presion_cilindro!$B$35)^(Presion_cilindro!$B$17+1)),0)-IF(Presion_cilindro!N140&gt;(-B$4+Presion_cilindro!$B$34),1-EXP(-Presion_cilindro!$B$16*((Presion_cilindro!N140-(-B$4+Presion_cilindro!$B$34))/Presion_cilindro!$B$35)^(Presion_cilindro!$B$17+1)),0))/((Presion_cilindro!O140+Presion_cilindro!O141)/2)</f>
        <v>1.0164921732844656</v>
      </c>
      <c r="C149" s="27">
        <f>C148*(Presion_cilindro!O140/Presion_cilindro!O141)^Presion_cilindro!$B$9+10*(Presion_cilindro!$B$9-1)*Presion_cilindro!$B$33*(IF(Presion_cilindro!N141&gt;(-C$4+Presion_cilindro!$B$34),1-EXP(-Presion_cilindro!$B$16*((Presion_cilindro!N141-(-C$4+Presion_cilindro!$B$34))/Presion_cilindro!$B$35)^(Presion_cilindro!$B$17+1)),0)-IF(Presion_cilindro!N140&gt;(-C$4+Presion_cilindro!$B$34),1-EXP(-Presion_cilindro!$B$16*((Presion_cilindro!N140-(-C$4+Presion_cilindro!$B$34))/Presion_cilindro!$B$35)^(Presion_cilindro!$B$17+1)),0))/((Presion_cilindro!O140+Presion_cilindro!O141)/2)</f>
        <v>1.0164921732844656</v>
      </c>
      <c r="D149" s="27">
        <f>D148*(Presion_cilindro!O140/Presion_cilindro!O141)^Presion_cilindro!$B$9+10*(Presion_cilindro!$B$9-1)*Presion_cilindro!$B$33*(IF(Presion_cilindro!N141&gt;(-D$4+Presion_cilindro!$B$34),1-EXP(-Presion_cilindro!$B$16*((Presion_cilindro!N141-(-D$4+Presion_cilindro!$B$34))/Presion_cilindro!$B$35)^(Presion_cilindro!$B$17+1)),0)-IF(Presion_cilindro!N140&gt;(-D$4+Presion_cilindro!$B$34),1-EXP(-Presion_cilindro!$B$16*((Presion_cilindro!N140-(-D$4+Presion_cilindro!$B$34))/Presion_cilindro!$B$35)^(Presion_cilindro!$B$17+1)),0))/((Presion_cilindro!O140+Presion_cilindro!O141)/2)</f>
        <v>1.0164921732844656</v>
      </c>
      <c r="E149" s="27">
        <f>E148*(Presion_cilindro!O140/Presion_cilindro!O141)^Presion_cilindro!$B$9+10*(Presion_cilindro!$B$9-1)*Presion_cilindro!$B$33*(IF(Presion_cilindro!N141&gt;(-E$4+Presion_cilindro!$B$34),1-EXP(-Presion_cilindro!$B$16*((Presion_cilindro!N141-(-E$4+Presion_cilindro!$B$34))/Presion_cilindro!$B$35)^(Presion_cilindro!$B$17+1)),0)-IF(Presion_cilindro!N140&gt;(-E$4+Presion_cilindro!$B$34),1-EXP(-Presion_cilindro!$B$16*((Presion_cilindro!N140-(-E$4+Presion_cilindro!$B$34))/Presion_cilindro!$B$35)^(Presion_cilindro!$B$17+1)),0))/((Presion_cilindro!O140+Presion_cilindro!O141)/2)</f>
        <v>1.0164921732844656</v>
      </c>
      <c r="F149" s="27">
        <f>F148*(Presion_cilindro!O140/Presion_cilindro!O141)^Presion_cilindro!$B$9+10*(Presion_cilindro!$B$9-1)*Presion_cilindro!$B$33*(IF(Presion_cilindro!N141&gt;(-F$4+Presion_cilindro!$B$34),1-EXP(-Presion_cilindro!$B$16*((Presion_cilindro!N141-(-F$4+Presion_cilindro!$B$34))/Presion_cilindro!$B$35)^(Presion_cilindro!$B$17+1)),0)-IF(Presion_cilindro!N140&gt;(-F$4+Presion_cilindro!$B$34),1-EXP(-Presion_cilindro!$B$16*((Presion_cilindro!N140-(-F$4+Presion_cilindro!$B$34))/Presion_cilindro!$B$35)^(Presion_cilindro!$B$17+1)),0))/((Presion_cilindro!O140+Presion_cilindro!O141)/2)</f>
        <v>1.0164921732844656</v>
      </c>
      <c r="G149" s="27">
        <f>G148*(Presion_cilindro!O140/Presion_cilindro!O141)^Presion_cilindro!$B$9+10*(Presion_cilindro!$B$9-1)*Presion_cilindro!$B$33*(IF(Presion_cilindro!N141&gt;(-G$4+Presion_cilindro!$B$34),1-EXP(-Presion_cilindro!$B$16*((Presion_cilindro!N141-(-G$4+Presion_cilindro!$B$34))/Presion_cilindro!$B$35)^(Presion_cilindro!$B$17+1)),0)-IF(Presion_cilindro!N140&gt;(-G$4+Presion_cilindro!$B$34),1-EXP(-Presion_cilindro!$B$16*((Presion_cilindro!N140-(-G$4+Presion_cilindro!$B$34))/Presion_cilindro!$B$35)^(Presion_cilindro!$B$17+1)),0))/((Presion_cilindro!O140+Presion_cilindro!O141)/2)</f>
        <v>1.0164921732844656</v>
      </c>
      <c r="H149" s="27">
        <f>H148*(Presion_cilindro!O140/Presion_cilindro!O141)^Presion_cilindro!$B$9+10*(Presion_cilindro!$B$9-1)*Presion_cilindro!$B$33*(IF(Presion_cilindro!N141&gt;(-H$4+Presion_cilindro!$B$34),1-EXP(-Presion_cilindro!$B$16*((Presion_cilindro!N141-(-H$4+Presion_cilindro!$B$34))/Presion_cilindro!$B$35)^(Presion_cilindro!$B$17+1)),0)-IF(Presion_cilindro!N140&gt;(-H$4+Presion_cilindro!$B$34),1-EXP(-Presion_cilindro!$B$16*((Presion_cilindro!N140-(-H$4+Presion_cilindro!$B$34))/Presion_cilindro!$B$35)^(Presion_cilindro!$B$17+1)),0))/((Presion_cilindro!O140+Presion_cilindro!O141)/2)</f>
        <v>1.0164921732844656</v>
      </c>
      <c r="I149" s="27">
        <f>I148*(Presion_cilindro!O140/Presion_cilindro!O141)^Presion_cilindro!$B$9+10*(Presion_cilindro!$B$9-1)*Presion_cilindro!$B$33*(IF(Presion_cilindro!N141&gt;(-I$4+Presion_cilindro!$B$34),1-EXP(-Presion_cilindro!$B$16*((Presion_cilindro!N141-(-I$4+Presion_cilindro!$B$34))/Presion_cilindro!$B$35)^(Presion_cilindro!$B$17+1)),0)-IF(Presion_cilindro!N140&gt;(-I$4+Presion_cilindro!$B$34),1-EXP(-Presion_cilindro!$B$16*((Presion_cilindro!N140-(-I$4+Presion_cilindro!$B$34))/Presion_cilindro!$B$35)^(Presion_cilindro!$B$17+1)),0))/((Presion_cilindro!O140+Presion_cilindro!O141)/2)</f>
        <v>1.0164921732844656</v>
      </c>
      <c r="J149" s="27">
        <f>J148*(Presion_cilindro!O140/Presion_cilindro!O141)^Presion_cilindro!$B$9+10*(Presion_cilindro!$B$9-1)*Presion_cilindro!$B$33*(IF(Presion_cilindro!N141&gt;(-J$4+Presion_cilindro!$B$34),1-EXP(-Presion_cilindro!$B$16*((Presion_cilindro!N141-(-J$4+Presion_cilindro!$B$34))/Presion_cilindro!$B$35)^(Presion_cilindro!$B$17+1)),0)-IF(Presion_cilindro!N140&gt;(-J$4+Presion_cilindro!$B$34),1-EXP(-Presion_cilindro!$B$16*((Presion_cilindro!N140-(-J$4+Presion_cilindro!$B$34))/Presion_cilindro!$B$35)^(Presion_cilindro!$B$17+1)),0))/((Presion_cilindro!O140+Presion_cilindro!O141)/2)</f>
        <v>1.0164921732844656</v>
      </c>
      <c r="K149" s="27">
        <f>K148*(Presion_cilindro!O140/Presion_cilindro!O141)^Presion_cilindro!$B$9+10*(Presion_cilindro!$B$9-1)*Presion_cilindro!$B$33*(IF(Presion_cilindro!N141&gt;(-K$4+Presion_cilindro!$B$34),1-EXP(-Presion_cilindro!$B$16*((Presion_cilindro!N141-(-K$4+Presion_cilindro!$B$34))/Presion_cilindro!$B$35)^(Presion_cilindro!$B$17+1)),0)-IF(Presion_cilindro!N140&gt;(-K$4+Presion_cilindro!$B$34),1-EXP(-Presion_cilindro!$B$16*((Presion_cilindro!N140-(-K$4+Presion_cilindro!$B$34))/Presion_cilindro!$B$35)^(Presion_cilindro!$B$17+1)),0))/((Presion_cilindro!O140+Presion_cilindro!O141)/2)</f>
        <v>1.0164921732844656</v>
      </c>
      <c r="L149" s="27">
        <f>L148*(Presion_cilindro!O140/Presion_cilindro!O141)^Presion_cilindro!$B$9+10*(Presion_cilindro!$B$9-1)*Presion_cilindro!$B$33*(IF(Presion_cilindro!N141&gt;(-L$4+Presion_cilindro!$B$34),1-EXP(-Presion_cilindro!$B$16*((Presion_cilindro!N141-(-L$4+Presion_cilindro!$B$34))/Presion_cilindro!$B$35)^(Presion_cilindro!$B$17+1)),0)-IF(Presion_cilindro!N140&gt;(-L$4+Presion_cilindro!$B$34),1-EXP(-Presion_cilindro!$B$16*((Presion_cilindro!N140-(-L$4+Presion_cilindro!$B$34))/Presion_cilindro!$B$35)^(Presion_cilindro!$B$17+1)),0))/((Presion_cilindro!O140+Presion_cilindro!O141)/2)</f>
        <v>1.0164921732844656</v>
      </c>
      <c r="M149" s="27">
        <f>M148*(Presion_cilindro!O140/Presion_cilindro!O141)^Presion_cilindro!$B$9+10*(Presion_cilindro!$B$9-1)*Presion_cilindro!$B$33*(IF(Presion_cilindro!N141&gt;(-M$4+Presion_cilindro!$B$34),1-EXP(-Presion_cilindro!$B$16*((Presion_cilindro!N141-(-M$4+Presion_cilindro!$B$34))/Presion_cilindro!$B$35)^(Presion_cilindro!$B$17+1)),0)-IF(Presion_cilindro!N140&gt;(-M$4+Presion_cilindro!$B$34),1-EXP(-Presion_cilindro!$B$16*((Presion_cilindro!N140-(-M$4+Presion_cilindro!$B$34))/Presion_cilindro!$B$35)^(Presion_cilindro!$B$17+1)),0))/((Presion_cilindro!O140+Presion_cilindro!O141)/2)</f>
        <v>1.0164921732844656</v>
      </c>
      <c r="N149" s="27">
        <f>N148*(Presion_cilindro!O140/Presion_cilindro!O141)^Presion_cilindro!$B$9+10*(Presion_cilindro!$B$9-1)*Presion_cilindro!$B$33*(IF(Presion_cilindro!N141&gt;(-N$4+Presion_cilindro!$B$34),1-EXP(-Presion_cilindro!$B$16*((Presion_cilindro!N141-(-N$4+Presion_cilindro!$B$34))/Presion_cilindro!$B$35)^(Presion_cilindro!$B$17+1)),0)-IF(Presion_cilindro!N140&gt;(-N$4+Presion_cilindro!$B$34),1-EXP(-Presion_cilindro!$B$16*((Presion_cilindro!N140-(-N$4+Presion_cilindro!$B$34))/Presion_cilindro!$B$35)^(Presion_cilindro!$B$17+1)),0))/((Presion_cilindro!O140+Presion_cilindro!O141)/2)</f>
        <v>1.0164921732844656</v>
      </c>
    </row>
    <row r="150" spans="1:14" x14ac:dyDescent="0.25">
      <c r="A150" s="21">
        <f>Presion_cilindro!N142</f>
        <v>-111</v>
      </c>
      <c r="B150" s="27">
        <f>B149*(Presion_cilindro!O141/Presion_cilindro!O142)^Presion_cilindro!$B$9+10*(Presion_cilindro!$B$9-1)*Presion_cilindro!$B$33*(IF(Presion_cilindro!N142&gt;(-B$4+Presion_cilindro!$B$34),1-EXP(-Presion_cilindro!$B$16*((Presion_cilindro!N142-(-B$4+Presion_cilindro!$B$34))/Presion_cilindro!$B$35)^(Presion_cilindro!$B$17+1)),0)-IF(Presion_cilindro!N141&gt;(-B$4+Presion_cilindro!$B$34),1-EXP(-Presion_cilindro!$B$16*((Presion_cilindro!N141-(-B$4+Presion_cilindro!$B$34))/Presion_cilindro!$B$35)^(Presion_cilindro!$B$17+1)),0))/((Presion_cilindro!O141+Presion_cilindro!O142)/2)</f>
        <v>1.0222443514447221</v>
      </c>
      <c r="C150" s="27">
        <f>C149*(Presion_cilindro!O141/Presion_cilindro!O142)^Presion_cilindro!$B$9+10*(Presion_cilindro!$B$9-1)*Presion_cilindro!$B$33*(IF(Presion_cilindro!N142&gt;(-C$4+Presion_cilindro!$B$34),1-EXP(-Presion_cilindro!$B$16*((Presion_cilindro!N142-(-C$4+Presion_cilindro!$B$34))/Presion_cilindro!$B$35)^(Presion_cilindro!$B$17+1)),0)-IF(Presion_cilindro!N141&gt;(-C$4+Presion_cilindro!$B$34),1-EXP(-Presion_cilindro!$B$16*((Presion_cilindro!N141-(-C$4+Presion_cilindro!$B$34))/Presion_cilindro!$B$35)^(Presion_cilindro!$B$17+1)),0))/((Presion_cilindro!O141+Presion_cilindro!O142)/2)</f>
        <v>1.0222443514447221</v>
      </c>
      <c r="D150" s="27">
        <f>D149*(Presion_cilindro!O141/Presion_cilindro!O142)^Presion_cilindro!$B$9+10*(Presion_cilindro!$B$9-1)*Presion_cilindro!$B$33*(IF(Presion_cilindro!N142&gt;(-D$4+Presion_cilindro!$B$34),1-EXP(-Presion_cilindro!$B$16*((Presion_cilindro!N142-(-D$4+Presion_cilindro!$B$34))/Presion_cilindro!$B$35)^(Presion_cilindro!$B$17+1)),0)-IF(Presion_cilindro!N141&gt;(-D$4+Presion_cilindro!$B$34),1-EXP(-Presion_cilindro!$B$16*((Presion_cilindro!N141-(-D$4+Presion_cilindro!$B$34))/Presion_cilindro!$B$35)^(Presion_cilindro!$B$17+1)),0))/((Presion_cilindro!O141+Presion_cilindro!O142)/2)</f>
        <v>1.0222443514447221</v>
      </c>
      <c r="E150" s="27">
        <f>E149*(Presion_cilindro!O141/Presion_cilindro!O142)^Presion_cilindro!$B$9+10*(Presion_cilindro!$B$9-1)*Presion_cilindro!$B$33*(IF(Presion_cilindro!N142&gt;(-E$4+Presion_cilindro!$B$34),1-EXP(-Presion_cilindro!$B$16*((Presion_cilindro!N142-(-E$4+Presion_cilindro!$B$34))/Presion_cilindro!$B$35)^(Presion_cilindro!$B$17+1)),0)-IF(Presion_cilindro!N141&gt;(-E$4+Presion_cilindro!$B$34),1-EXP(-Presion_cilindro!$B$16*((Presion_cilindro!N141-(-E$4+Presion_cilindro!$B$34))/Presion_cilindro!$B$35)^(Presion_cilindro!$B$17+1)),0))/((Presion_cilindro!O141+Presion_cilindro!O142)/2)</f>
        <v>1.0222443514447221</v>
      </c>
      <c r="F150" s="27">
        <f>F149*(Presion_cilindro!O141/Presion_cilindro!O142)^Presion_cilindro!$B$9+10*(Presion_cilindro!$B$9-1)*Presion_cilindro!$B$33*(IF(Presion_cilindro!N142&gt;(-F$4+Presion_cilindro!$B$34),1-EXP(-Presion_cilindro!$B$16*((Presion_cilindro!N142-(-F$4+Presion_cilindro!$B$34))/Presion_cilindro!$B$35)^(Presion_cilindro!$B$17+1)),0)-IF(Presion_cilindro!N141&gt;(-F$4+Presion_cilindro!$B$34),1-EXP(-Presion_cilindro!$B$16*((Presion_cilindro!N141-(-F$4+Presion_cilindro!$B$34))/Presion_cilindro!$B$35)^(Presion_cilindro!$B$17+1)),0))/((Presion_cilindro!O141+Presion_cilindro!O142)/2)</f>
        <v>1.0222443514447221</v>
      </c>
      <c r="G150" s="27">
        <f>G149*(Presion_cilindro!O141/Presion_cilindro!O142)^Presion_cilindro!$B$9+10*(Presion_cilindro!$B$9-1)*Presion_cilindro!$B$33*(IF(Presion_cilindro!N142&gt;(-G$4+Presion_cilindro!$B$34),1-EXP(-Presion_cilindro!$B$16*((Presion_cilindro!N142-(-G$4+Presion_cilindro!$B$34))/Presion_cilindro!$B$35)^(Presion_cilindro!$B$17+1)),0)-IF(Presion_cilindro!N141&gt;(-G$4+Presion_cilindro!$B$34),1-EXP(-Presion_cilindro!$B$16*((Presion_cilindro!N141-(-G$4+Presion_cilindro!$B$34))/Presion_cilindro!$B$35)^(Presion_cilindro!$B$17+1)),0))/((Presion_cilindro!O141+Presion_cilindro!O142)/2)</f>
        <v>1.0222443514447221</v>
      </c>
      <c r="H150" s="27">
        <f>H149*(Presion_cilindro!O141/Presion_cilindro!O142)^Presion_cilindro!$B$9+10*(Presion_cilindro!$B$9-1)*Presion_cilindro!$B$33*(IF(Presion_cilindro!N142&gt;(-H$4+Presion_cilindro!$B$34),1-EXP(-Presion_cilindro!$B$16*((Presion_cilindro!N142-(-H$4+Presion_cilindro!$B$34))/Presion_cilindro!$B$35)^(Presion_cilindro!$B$17+1)),0)-IF(Presion_cilindro!N141&gt;(-H$4+Presion_cilindro!$B$34),1-EXP(-Presion_cilindro!$B$16*((Presion_cilindro!N141-(-H$4+Presion_cilindro!$B$34))/Presion_cilindro!$B$35)^(Presion_cilindro!$B$17+1)),0))/((Presion_cilindro!O141+Presion_cilindro!O142)/2)</f>
        <v>1.0222443514447221</v>
      </c>
      <c r="I150" s="27">
        <f>I149*(Presion_cilindro!O141/Presion_cilindro!O142)^Presion_cilindro!$B$9+10*(Presion_cilindro!$B$9-1)*Presion_cilindro!$B$33*(IF(Presion_cilindro!N142&gt;(-I$4+Presion_cilindro!$B$34),1-EXP(-Presion_cilindro!$B$16*((Presion_cilindro!N142-(-I$4+Presion_cilindro!$B$34))/Presion_cilindro!$B$35)^(Presion_cilindro!$B$17+1)),0)-IF(Presion_cilindro!N141&gt;(-I$4+Presion_cilindro!$B$34),1-EXP(-Presion_cilindro!$B$16*((Presion_cilindro!N141-(-I$4+Presion_cilindro!$B$34))/Presion_cilindro!$B$35)^(Presion_cilindro!$B$17+1)),0))/((Presion_cilindro!O141+Presion_cilindro!O142)/2)</f>
        <v>1.0222443514447221</v>
      </c>
      <c r="J150" s="27">
        <f>J149*(Presion_cilindro!O141/Presion_cilindro!O142)^Presion_cilindro!$B$9+10*(Presion_cilindro!$B$9-1)*Presion_cilindro!$B$33*(IF(Presion_cilindro!N142&gt;(-J$4+Presion_cilindro!$B$34),1-EXP(-Presion_cilindro!$B$16*((Presion_cilindro!N142-(-J$4+Presion_cilindro!$B$34))/Presion_cilindro!$B$35)^(Presion_cilindro!$B$17+1)),0)-IF(Presion_cilindro!N141&gt;(-J$4+Presion_cilindro!$B$34),1-EXP(-Presion_cilindro!$B$16*((Presion_cilindro!N141-(-J$4+Presion_cilindro!$B$34))/Presion_cilindro!$B$35)^(Presion_cilindro!$B$17+1)),0))/((Presion_cilindro!O141+Presion_cilindro!O142)/2)</f>
        <v>1.0222443514447221</v>
      </c>
      <c r="K150" s="27">
        <f>K149*(Presion_cilindro!O141/Presion_cilindro!O142)^Presion_cilindro!$B$9+10*(Presion_cilindro!$B$9-1)*Presion_cilindro!$B$33*(IF(Presion_cilindro!N142&gt;(-K$4+Presion_cilindro!$B$34),1-EXP(-Presion_cilindro!$B$16*((Presion_cilindro!N142-(-K$4+Presion_cilindro!$B$34))/Presion_cilindro!$B$35)^(Presion_cilindro!$B$17+1)),0)-IF(Presion_cilindro!N141&gt;(-K$4+Presion_cilindro!$B$34),1-EXP(-Presion_cilindro!$B$16*((Presion_cilindro!N141-(-K$4+Presion_cilindro!$B$34))/Presion_cilindro!$B$35)^(Presion_cilindro!$B$17+1)),0))/((Presion_cilindro!O141+Presion_cilindro!O142)/2)</f>
        <v>1.0222443514447221</v>
      </c>
      <c r="L150" s="27">
        <f>L149*(Presion_cilindro!O141/Presion_cilindro!O142)^Presion_cilindro!$B$9+10*(Presion_cilindro!$B$9-1)*Presion_cilindro!$B$33*(IF(Presion_cilindro!N142&gt;(-L$4+Presion_cilindro!$B$34),1-EXP(-Presion_cilindro!$B$16*((Presion_cilindro!N142-(-L$4+Presion_cilindro!$B$34))/Presion_cilindro!$B$35)^(Presion_cilindro!$B$17+1)),0)-IF(Presion_cilindro!N141&gt;(-L$4+Presion_cilindro!$B$34),1-EXP(-Presion_cilindro!$B$16*((Presion_cilindro!N141-(-L$4+Presion_cilindro!$B$34))/Presion_cilindro!$B$35)^(Presion_cilindro!$B$17+1)),0))/((Presion_cilindro!O141+Presion_cilindro!O142)/2)</f>
        <v>1.0222443514447221</v>
      </c>
      <c r="M150" s="27">
        <f>M149*(Presion_cilindro!O141/Presion_cilindro!O142)^Presion_cilindro!$B$9+10*(Presion_cilindro!$B$9-1)*Presion_cilindro!$B$33*(IF(Presion_cilindro!N142&gt;(-M$4+Presion_cilindro!$B$34),1-EXP(-Presion_cilindro!$B$16*((Presion_cilindro!N142-(-M$4+Presion_cilindro!$B$34))/Presion_cilindro!$B$35)^(Presion_cilindro!$B$17+1)),0)-IF(Presion_cilindro!N141&gt;(-M$4+Presion_cilindro!$B$34),1-EXP(-Presion_cilindro!$B$16*((Presion_cilindro!N141-(-M$4+Presion_cilindro!$B$34))/Presion_cilindro!$B$35)^(Presion_cilindro!$B$17+1)),0))/((Presion_cilindro!O141+Presion_cilindro!O142)/2)</f>
        <v>1.0222443514447221</v>
      </c>
      <c r="N150" s="27">
        <f>N149*(Presion_cilindro!O141/Presion_cilindro!O142)^Presion_cilindro!$B$9+10*(Presion_cilindro!$B$9-1)*Presion_cilindro!$B$33*(IF(Presion_cilindro!N142&gt;(-N$4+Presion_cilindro!$B$34),1-EXP(-Presion_cilindro!$B$16*((Presion_cilindro!N142-(-N$4+Presion_cilindro!$B$34))/Presion_cilindro!$B$35)^(Presion_cilindro!$B$17+1)),0)-IF(Presion_cilindro!N141&gt;(-N$4+Presion_cilindro!$B$34),1-EXP(-Presion_cilindro!$B$16*((Presion_cilindro!N141-(-N$4+Presion_cilindro!$B$34))/Presion_cilindro!$B$35)^(Presion_cilindro!$B$17+1)),0))/((Presion_cilindro!O141+Presion_cilindro!O142)/2)</f>
        <v>1.0222443514447221</v>
      </c>
    </row>
    <row r="151" spans="1:14" x14ac:dyDescent="0.25">
      <c r="A151" s="21">
        <f>Presion_cilindro!N143</f>
        <v>-110.5</v>
      </c>
      <c r="B151" s="27">
        <f>B150*(Presion_cilindro!O142/Presion_cilindro!O143)^Presion_cilindro!$B$9+10*(Presion_cilindro!$B$9-1)*Presion_cilindro!$B$33*(IF(Presion_cilindro!N143&gt;(-B$4+Presion_cilindro!$B$34),1-EXP(-Presion_cilindro!$B$16*((Presion_cilindro!N143-(-B$4+Presion_cilindro!$B$34))/Presion_cilindro!$B$35)^(Presion_cilindro!$B$17+1)),0)-IF(Presion_cilindro!N142&gt;(-B$4+Presion_cilindro!$B$34),1-EXP(-Presion_cilindro!$B$16*((Presion_cilindro!N142-(-B$4+Presion_cilindro!$B$34))/Presion_cilindro!$B$35)^(Presion_cilindro!$B$17+1)),0))/((Presion_cilindro!O142+Presion_cilindro!O143)/2)</f>
        <v>1.028089061829444</v>
      </c>
      <c r="C151" s="27">
        <f>C150*(Presion_cilindro!O142/Presion_cilindro!O143)^Presion_cilindro!$B$9+10*(Presion_cilindro!$B$9-1)*Presion_cilindro!$B$33*(IF(Presion_cilindro!N143&gt;(-C$4+Presion_cilindro!$B$34),1-EXP(-Presion_cilindro!$B$16*((Presion_cilindro!N143-(-C$4+Presion_cilindro!$B$34))/Presion_cilindro!$B$35)^(Presion_cilindro!$B$17+1)),0)-IF(Presion_cilindro!N142&gt;(-C$4+Presion_cilindro!$B$34),1-EXP(-Presion_cilindro!$B$16*((Presion_cilindro!N142-(-C$4+Presion_cilindro!$B$34))/Presion_cilindro!$B$35)^(Presion_cilindro!$B$17+1)),0))/((Presion_cilindro!O142+Presion_cilindro!O143)/2)</f>
        <v>1.028089061829444</v>
      </c>
      <c r="D151" s="27">
        <f>D150*(Presion_cilindro!O142/Presion_cilindro!O143)^Presion_cilindro!$B$9+10*(Presion_cilindro!$B$9-1)*Presion_cilindro!$B$33*(IF(Presion_cilindro!N143&gt;(-D$4+Presion_cilindro!$B$34),1-EXP(-Presion_cilindro!$B$16*((Presion_cilindro!N143-(-D$4+Presion_cilindro!$B$34))/Presion_cilindro!$B$35)^(Presion_cilindro!$B$17+1)),0)-IF(Presion_cilindro!N142&gt;(-D$4+Presion_cilindro!$B$34),1-EXP(-Presion_cilindro!$B$16*((Presion_cilindro!N142-(-D$4+Presion_cilindro!$B$34))/Presion_cilindro!$B$35)^(Presion_cilindro!$B$17+1)),0))/((Presion_cilindro!O142+Presion_cilindro!O143)/2)</f>
        <v>1.028089061829444</v>
      </c>
      <c r="E151" s="27">
        <f>E150*(Presion_cilindro!O142/Presion_cilindro!O143)^Presion_cilindro!$B$9+10*(Presion_cilindro!$B$9-1)*Presion_cilindro!$B$33*(IF(Presion_cilindro!N143&gt;(-E$4+Presion_cilindro!$B$34),1-EXP(-Presion_cilindro!$B$16*((Presion_cilindro!N143-(-E$4+Presion_cilindro!$B$34))/Presion_cilindro!$B$35)^(Presion_cilindro!$B$17+1)),0)-IF(Presion_cilindro!N142&gt;(-E$4+Presion_cilindro!$B$34),1-EXP(-Presion_cilindro!$B$16*((Presion_cilindro!N142-(-E$4+Presion_cilindro!$B$34))/Presion_cilindro!$B$35)^(Presion_cilindro!$B$17+1)),0))/((Presion_cilindro!O142+Presion_cilindro!O143)/2)</f>
        <v>1.028089061829444</v>
      </c>
      <c r="F151" s="27">
        <f>F150*(Presion_cilindro!O142/Presion_cilindro!O143)^Presion_cilindro!$B$9+10*(Presion_cilindro!$B$9-1)*Presion_cilindro!$B$33*(IF(Presion_cilindro!N143&gt;(-F$4+Presion_cilindro!$B$34),1-EXP(-Presion_cilindro!$B$16*((Presion_cilindro!N143-(-F$4+Presion_cilindro!$B$34))/Presion_cilindro!$B$35)^(Presion_cilindro!$B$17+1)),0)-IF(Presion_cilindro!N142&gt;(-F$4+Presion_cilindro!$B$34),1-EXP(-Presion_cilindro!$B$16*((Presion_cilindro!N142-(-F$4+Presion_cilindro!$B$34))/Presion_cilindro!$B$35)^(Presion_cilindro!$B$17+1)),0))/((Presion_cilindro!O142+Presion_cilindro!O143)/2)</f>
        <v>1.028089061829444</v>
      </c>
      <c r="G151" s="27">
        <f>G150*(Presion_cilindro!O142/Presion_cilindro!O143)^Presion_cilindro!$B$9+10*(Presion_cilindro!$B$9-1)*Presion_cilindro!$B$33*(IF(Presion_cilindro!N143&gt;(-G$4+Presion_cilindro!$B$34),1-EXP(-Presion_cilindro!$B$16*((Presion_cilindro!N143-(-G$4+Presion_cilindro!$B$34))/Presion_cilindro!$B$35)^(Presion_cilindro!$B$17+1)),0)-IF(Presion_cilindro!N142&gt;(-G$4+Presion_cilindro!$B$34),1-EXP(-Presion_cilindro!$B$16*((Presion_cilindro!N142-(-G$4+Presion_cilindro!$B$34))/Presion_cilindro!$B$35)^(Presion_cilindro!$B$17+1)),0))/((Presion_cilindro!O142+Presion_cilindro!O143)/2)</f>
        <v>1.028089061829444</v>
      </c>
      <c r="H151" s="27">
        <f>H150*(Presion_cilindro!O142/Presion_cilindro!O143)^Presion_cilindro!$B$9+10*(Presion_cilindro!$B$9-1)*Presion_cilindro!$B$33*(IF(Presion_cilindro!N143&gt;(-H$4+Presion_cilindro!$B$34),1-EXP(-Presion_cilindro!$B$16*((Presion_cilindro!N143-(-H$4+Presion_cilindro!$B$34))/Presion_cilindro!$B$35)^(Presion_cilindro!$B$17+1)),0)-IF(Presion_cilindro!N142&gt;(-H$4+Presion_cilindro!$B$34),1-EXP(-Presion_cilindro!$B$16*((Presion_cilindro!N142-(-H$4+Presion_cilindro!$B$34))/Presion_cilindro!$B$35)^(Presion_cilindro!$B$17+1)),0))/((Presion_cilindro!O142+Presion_cilindro!O143)/2)</f>
        <v>1.028089061829444</v>
      </c>
      <c r="I151" s="27">
        <f>I150*(Presion_cilindro!O142/Presion_cilindro!O143)^Presion_cilindro!$B$9+10*(Presion_cilindro!$B$9-1)*Presion_cilindro!$B$33*(IF(Presion_cilindro!N143&gt;(-I$4+Presion_cilindro!$B$34),1-EXP(-Presion_cilindro!$B$16*((Presion_cilindro!N143-(-I$4+Presion_cilindro!$B$34))/Presion_cilindro!$B$35)^(Presion_cilindro!$B$17+1)),0)-IF(Presion_cilindro!N142&gt;(-I$4+Presion_cilindro!$B$34),1-EXP(-Presion_cilindro!$B$16*((Presion_cilindro!N142-(-I$4+Presion_cilindro!$B$34))/Presion_cilindro!$B$35)^(Presion_cilindro!$B$17+1)),0))/((Presion_cilindro!O142+Presion_cilindro!O143)/2)</f>
        <v>1.028089061829444</v>
      </c>
      <c r="J151" s="27">
        <f>J150*(Presion_cilindro!O142/Presion_cilindro!O143)^Presion_cilindro!$B$9+10*(Presion_cilindro!$B$9-1)*Presion_cilindro!$B$33*(IF(Presion_cilindro!N143&gt;(-J$4+Presion_cilindro!$B$34),1-EXP(-Presion_cilindro!$B$16*((Presion_cilindro!N143-(-J$4+Presion_cilindro!$B$34))/Presion_cilindro!$B$35)^(Presion_cilindro!$B$17+1)),0)-IF(Presion_cilindro!N142&gt;(-J$4+Presion_cilindro!$B$34),1-EXP(-Presion_cilindro!$B$16*((Presion_cilindro!N142-(-J$4+Presion_cilindro!$B$34))/Presion_cilindro!$B$35)^(Presion_cilindro!$B$17+1)),0))/((Presion_cilindro!O142+Presion_cilindro!O143)/2)</f>
        <v>1.028089061829444</v>
      </c>
      <c r="K151" s="27">
        <f>K150*(Presion_cilindro!O142/Presion_cilindro!O143)^Presion_cilindro!$B$9+10*(Presion_cilindro!$B$9-1)*Presion_cilindro!$B$33*(IF(Presion_cilindro!N143&gt;(-K$4+Presion_cilindro!$B$34),1-EXP(-Presion_cilindro!$B$16*((Presion_cilindro!N143-(-K$4+Presion_cilindro!$B$34))/Presion_cilindro!$B$35)^(Presion_cilindro!$B$17+1)),0)-IF(Presion_cilindro!N142&gt;(-K$4+Presion_cilindro!$B$34),1-EXP(-Presion_cilindro!$B$16*((Presion_cilindro!N142-(-K$4+Presion_cilindro!$B$34))/Presion_cilindro!$B$35)^(Presion_cilindro!$B$17+1)),0))/((Presion_cilindro!O142+Presion_cilindro!O143)/2)</f>
        <v>1.028089061829444</v>
      </c>
      <c r="L151" s="27">
        <f>L150*(Presion_cilindro!O142/Presion_cilindro!O143)^Presion_cilindro!$B$9+10*(Presion_cilindro!$B$9-1)*Presion_cilindro!$B$33*(IF(Presion_cilindro!N143&gt;(-L$4+Presion_cilindro!$B$34),1-EXP(-Presion_cilindro!$B$16*((Presion_cilindro!N143-(-L$4+Presion_cilindro!$B$34))/Presion_cilindro!$B$35)^(Presion_cilindro!$B$17+1)),0)-IF(Presion_cilindro!N142&gt;(-L$4+Presion_cilindro!$B$34),1-EXP(-Presion_cilindro!$B$16*((Presion_cilindro!N142-(-L$4+Presion_cilindro!$B$34))/Presion_cilindro!$B$35)^(Presion_cilindro!$B$17+1)),0))/((Presion_cilindro!O142+Presion_cilindro!O143)/2)</f>
        <v>1.028089061829444</v>
      </c>
      <c r="M151" s="27">
        <f>M150*(Presion_cilindro!O142/Presion_cilindro!O143)^Presion_cilindro!$B$9+10*(Presion_cilindro!$B$9-1)*Presion_cilindro!$B$33*(IF(Presion_cilindro!N143&gt;(-M$4+Presion_cilindro!$B$34),1-EXP(-Presion_cilindro!$B$16*((Presion_cilindro!N143-(-M$4+Presion_cilindro!$B$34))/Presion_cilindro!$B$35)^(Presion_cilindro!$B$17+1)),0)-IF(Presion_cilindro!N142&gt;(-M$4+Presion_cilindro!$B$34),1-EXP(-Presion_cilindro!$B$16*((Presion_cilindro!N142-(-M$4+Presion_cilindro!$B$34))/Presion_cilindro!$B$35)^(Presion_cilindro!$B$17+1)),0))/((Presion_cilindro!O142+Presion_cilindro!O143)/2)</f>
        <v>1.028089061829444</v>
      </c>
      <c r="N151" s="27">
        <f>N150*(Presion_cilindro!O142/Presion_cilindro!O143)^Presion_cilindro!$B$9+10*(Presion_cilindro!$B$9-1)*Presion_cilindro!$B$33*(IF(Presion_cilindro!N143&gt;(-N$4+Presion_cilindro!$B$34),1-EXP(-Presion_cilindro!$B$16*((Presion_cilindro!N143-(-N$4+Presion_cilindro!$B$34))/Presion_cilindro!$B$35)^(Presion_cilindro!$B$17+1)),0)-IF(Presion_cilindro!N142&gt;(-N$4+Presion_cilindro!$B$34),1-EXP(-Presion_cilindro!$B$16*((Presion_cilindro!N142-(-N$4+Presion_cilindro!$B$34))/Presion_cilindro!$B$35)^(Presion_cilindro!$B$17+1)),0))/((Presion_cilindro!O142+Presion_cilindro!O143)/2)</f>
        <v>1.028089061829444</v>
      </c>
    </row>
    <row r="152" spans="1:14" x14ac:dyDescent="0.25">
      <c r="A152" s="21">
        <f>Presion_cilindro!N144</f>
        <v>-110</v>
      </c>
      <c r="B152" s="27">
        <f>B151*(Presion_cilindro!O143/Presion_cilindro!O144)^Presion_cilindro!$B$9+10*(Presion_cilindro!$B$9-1)*Presion_cilindro!$B$33*(IF(Presion_cilindro!N144&gt;(-B$4+Presion_cilindro!$B$34),1-EXP(-Presion_cilindro!$B$16*((Presion_cilindro!N144-(-B$4+Presion_cilindro!$B$34))/Presion_cilindro!$B$35)^(Presion_cilindro!$B$17+1)),0)-IF(Presion_cilindro!N143&gt;(-B$4+Presion_cilindro!$B$34),1-EXP(-Presion_cilindro!$B$16*((Presion_cilindro!N143-(-B$4+Presion_cilindro!$B$34))/Presion_cilindro!$B$35)^(Presion_cilindro!$B$17+1)),0))/((Presion_cilindro!O143+Presion_cilindro!O144)/2)</f>
        <v>1.0340279068920364</v>
      </c>
      <c r="C152" s="27">
        <f>C151*(Presion_cilindro!O143/Presion_cilindro!O144)^Presion_cilindro!$B$9+10*(Presion_cilindro!$B$9-1)*Presion_cilindro!$B$33*(IF(Presion_cilindro!N144&gt;(-C$4+Presion_cilindro!$B$34),1-EXP(-Presion_cilindro!$B$16*((Presion_cilindro!N144-(-C$4+Presion_cilindro!$B$34))/Presion_cilindro!$B$35)^(Presion_cilindro!$B$17+1)),0)-IF(Presion_cilindro!N143&gt;(-C$4+Presion_cilindro!$B$34),1-EXP(-Presion_cilindro!$B$16*((Presion_cilindro!N143-(-C$4+Presion_cilindro!$B$34))/Presion_cilindro!$B$35)^(Presion_cilindro!$B$17+1)),0))/((Presion_cilindro!O143+Presion_cilindro!O144)/2)</f>
        <v>1.0340279068920364</v>
      </c>
      <c r="D152" s="27">
        <f>D151*(Presion_cilindro!O143/Presion_cilindro!O144)^Presion_cilindro!$B$9+10*(Presion_cilindro!$B$9-1)*Presion_cilindro!$B$33*(IF(Presion_cilindro!N144&gt;(-D$4+Presion_cilindro!$B$34),1-EXP(-Presion_cilindro!$B$16*((Presion_cilindro!N144-(-D$4+Presion_cilindro!$B$34))/Presion_cilindro!$B$35)^(Presion_cilindro!$B$17+1)),0)-IF(Presion_cilindro!N143&gt;(-D$4+Presion_cilindro!$B$34),1-EXP(-Presion_cilindro!$B$16*((Presion_cilindro!N143-(-D$4+Presion_cilindro!$B$34))/Presion_cilindro!$B$35)^(Presion_cilindro!$B$17+1)),0))/((Presion_cilindro!O143+Presion_cilindro!O144)/2)</f>
        <v>1.0340279068920364</v>
      </c>
      <c r="E152" s="27">
        <f>E151*(Presion_cilindro!O143/Presion_cilindro!O144)^Presion_cilindro!$B$9+10*(Presion_cilindro!$B$9-1)*Presion_cilindro!$B$33*(IF(Presion_cilindro!N144&gt;(-E$4+Presion_cilindro!$B$34),1-EXP(-Presion_cilindro!$B$16*((Presion_cilindro!N144-(-E$4+Presion_cilindro!$B$34))/Presion_cilindro!$B$35)^(Presion_cilindro!$B$17+1)),0)-IF(Presion_cilindro!N143&gt;(-E$4+Presion_cilindro!$B$34),1-EXP(-Presion_cilindro!$B$16*((Presion_cilindro!N143-(-E$4+Presion_cilindro!$B$34))/Presion_cilindro!$B$35)^(Presion_cilindro!$B$17+1)),0))/((Presion_cilindro!O143+Presion_cilindro!O144)/2)</f>
        <v>1.0340279068920364</v>
      </c>
      <c r="F152" s="27">
        <f>F151*(Presion_cilindro!O143/Presion_cilindro!O144)^Presion_cilindro!$B$9+10*(Presion_cilindro!$B$9-1)*Presion_cilindro!$B$33*(IF(Presion_cilindro!N144&gt;(-F$4+Presion_cilindro!$B$34),1-EXP(-Presion_cilindro!$B$16*((Presion_cilindro!N144-(-F$4+Presion_cilindro!$B$34))/Presion_cilindro!$B$35)^(Presion_cilindro!$B$17+1)),0)-IF(Presion_cilindro!N143&gt;(-F$4+Presion_cilindro!$B$34),1-EXP(-Presion_cilindro!$B$16*((Presion_cilindro!N143-(-F$4+Presion_cilindro!$B$34))/Presion_cilindro!$B$35)^(Presion_cilindro!$B$17+1)),0))/((Presion_cilindro!O143+Presion_cilindro!O144)/2)</f>
        <v>1.0340279068920364</v>
      </c>
      <c r="G152" s="27">
        <f>G151*(Presion_cilindro!O143/Presion_cilindro!O144)^Presion_cilindro!$B$9+10*(Presion_cilindro!$B$9-1)*Presion_cilindro!$B$33*(IF(Presion_cilindro!N144&gt;(-G$4+Presion_cilindro!$B$34),1-EXP(-Presion_cilindro!$B$16*((Presion_cilindro!N144-(-G$4+Presion_cilindro!$B$34))/Presion_cilindro!$B$35)^(Presion_cilindro!$B$17+1)),0)-IF(Presion_cilindro!N143&gt;(-G$4+Presion_cilindro!$B$34),1-EXP(-Presion_cilindro!$B$16*((Presion_cilindro!N143-(-G$4+Presion_cilindro!$B$34))/Presion_cilindro!$B$35)^(Presion_cilindro!$B$17+1)),0))/((Presion_cilindro!O143+Presion_cilindro!O144)/2)</f>
        <v>1.0340279068920364</v>
      </c>
      <c r="H152" s="27">
        <f>H151*(Presion_cilindro!O143/Presion_cilindro!O144)^Presion_cilindro!$B$9+10*(Presion_cilindro!$B$9-1)*Presion_cilindro!$B$33*(IF(Presion_cilindro!N144&gt;(-H$4+Presion_cilindro!$B$34),1-EXP(-Presion_cilindro!$B$16*((Presion_cilindro!N144-(-H$4+Presion_cilindro!$B$34))/Presion_cilindro!$B$35)^(Presion_cilindro!$B$17+1)),0)-IF(Presion_cilindro!N143&gt;(-H$4+Presion_cilindro!$B$34),1-EXP(-Presion_cilindro!$B$16*((Presion_cilindro!N143-(-H$4+Presion_cilindro!$B$34))/Presion_cilindro!$B$35)^(Presion_cilindro!$B$17+1)),0))/((Presion_cilindro!O143+Presion_cilindro!O144)/2)</f>
        <v>1.0340279068920364</v>
      </c>
      <c r="I152" s="27">
        <f>I151*(Presion_cilindro!O143/Presion_cilindro!O144)^Presion_cilindro!$B$9+10*(Presion_cilindro!$B$9-1)*Presion_cilindro!$B$33*(IF(Presion_cilindro!N144&gt;(-I$4+Presion_cilindro!$B$34),1-EXP(-Presion_cilindro!$B$16*((Presion_cilindro!N144-(-I$4+Presion_cilindro!$B$34))/Presion_cilindro!$B$35)^(Presion_cilindro!$B$17+1)),0)-IF(Presion_cilindro!N143&gt;(-I$4+Presion_cilindro!$B$34),1-EXP(-Presion_cilindro!$B$16*((Presion_cilindro!N143-(-I$4+Presion_cilindro!$B$34))/Presion_cilindro!$B$35)^(Presion_cilindro!$B$17+1)),0))/((Presion_cilindro!O143+Presion_cilindro!O144)/2)</f>
        <v>1.0340279068920364</v>
      </c>
      <c r="J152" s="27">
        <f>J151*(Presion_cilindro!O143/Presion_cilindro!O144)^Presion_cilindro!$B$9+10*(Presion_cilindro!$B$9-1)*Presion_cilindro!$B$33*(IF(Presion_cilindro!N144&gt;(-J$4+Presion_cilindro!$B$34),1-EXP(-Presion_cilindro!$B$16*((Presion_cilindro!N144-(-J$4+Presion_cilindro!$B$34))/Presion_cilindro!$B$35)^(Presion_cilindro!$B$17+1)),0)-IF(Presion_cilindro!N143&gt;(-J$4+Presion_cilindro!$B$34),1-EXP(-Presion_cilindro!$B$16*((Presion_cilindro!N143-(-J$4+Presion_cilindro!$B$34))/Presion_cilindro!$B$35)^(Presion_cilindro!$B$17+1)),0))/((Presion_cilindro!O143+Presion_cilindro!O144)/2)</f>
        <v>1.0340279068920364</v>
      </c>
      <c r="K152" s="27">
        <f>K151*(Presion_cilindro!O143/Presion_cilindro!O144)^Presion_cilindro!$B$9+10*(Presion_cilindro!$B$9-1)*Presion_cilindro!$B$33*(IF(Presion_cilindro!N144&gt;(-K$4+Presion_cilindro!$B$34),1-EXP(-Presion_cilindro!$B$16*((Presion_cilindro!N144-(-K$4+Presion_cilindro!$B$34))/Presion_cilindro!$B$35)^(Presion_cilindro!$B$17+1)),0)-IF(Presion_cilindro!N143&gt;(-K$4+Presion_cilindro!$B$34),1-EXP(-Presion_cilindro!$B$16*((Presion_cilindro!N143-(-K$4+Presion_cilindro!$B$34))/Presion_cilindro!$B$35)^(Presion_cilindro!$B$17+1)),0))/((Presion_cilindro!O143+Presion_cilindro!O144)/2)</f>
        <v>1.0340279068920364</v>
      </c>
      <c r="L152" s="27">
        <f>L151*(Presion_cilindro!O143/Presion_cilindro!O144)^Presion_cilindro!$B$9+10*(Presion_cilindro!$B$9-1)*Presion_cilindro!$B$33*(IF(Presion_cilindro!N144&gt;(-L$4+Presion_cilindro!$B$34),1-EXP(-Presion_cilindro!$B$16*((Presion_cilindro!N144-(-L$4+Presion_cilindro!$B$34))/Presion_cilindro!$B$35)^(Presion_cilindro!$B$17+1)),0)-IF(Presion_cilindro!N143&gt;(-L$4+Presion_cilindro!$B$34),1-EXP(-Presion_cilindro!$B$16*((Presion_cilindro!N143-(-L$4+Presion_cilindro!$B$34))/Presion_cilindro!$B$35)^(Presion_cilindro!$B$17+1)),0))/((Presion_cilindro!O143+Presion_cilindro!O144)/2)</f>
        <v>1.0340279068920364</v>
      </c>
      <c r="M152" s="27">
        <f>M151*(Presion_cilindro!O143/Presion_cilindro!O144)^Presion_cilindro!$B$9+10*(Presion_cilindro!$B$9-1)*Presion_cilindro!$B$33*(IF(Presion_cilindro!N144&gt;(-M$4+Presion_cilindro!$B$34),1-EXP(-Presion_cilindro!$B$16*((Presion_cilindro!N144-(-M$4+Presion_cilindro!$B$34))/Presion_cilindro!$B$35)^(Presion_cilindro!$B$17+1)),0)-IF(Presion_cilindro!N143&gt;(-M$4+Presion_cilindro!$B$34),1-EXP(-Presion_cilindro!$B$16*((Presion_cilindro!N143-(-M$4+Presion_cilindro!$B$34))/Presion_cilindro!$B$35)^(Presion_cilindro!$B$17+1)),0))/((Presion_cilindro!O143+Presion_cilindro!O144)/2)</f>
        <v>1.0340279068920364</v>
      </c>
      <c r="N152" s="27">
        <f>N151*(Presion_cilindro!O143/Presion_cilindro!O144)^Presion_cilindro!$B$9+10*(Presion_cilindro!$B$9-1)*Presion_cilindro!$B$33*(IF(Presion_cilindro!N144&gt;(-N$4+Presion_cilindro!$B$34),1-EXP(-Presion_cilindro!$B$16*((Presion_cilindro!N144-(-N$4+Presion_cilindro!$B$34))/Presion_cilindro!$B$35)^(Presion_cilindro!$B$17+1)),0)-IF(Presion_cilindro!N143&gt;(-N$4+Presion_cilindro!$B$34),1-EXP(-Presion_cilindro!$B$16*((Presion_cilindro!N143-(-N$4+Presion_cilindro!$B$34))/Presion_cilindro!$B$35)^(Presion_cilindro!$B$17+1)),0))/((Presion_cilindro!O143+Presion_cilindro!O144)/2)</f>
        <v>1.0340279068920364</v>
      </c>
    </row>
    <row r="153" spans="1:14" x14ac:dyDescent="0.25">
      <c r="A153" s="21">
        <f>Presion_cilindro!N145</f>
        <v>-109.5</v>
      </c>
      <c r="B153" s="27">
        <f>B152*(Presion_cilindro!O144/Presion_cilindro!O145)^Presion_cilindro!$B$9+10*(Presion_cilindro!$B$9-1)*Presion_cilindro!$B$33*(IF(Presion_cilindro!N145&gt;(-B$4+Presion_cilindro!$B$34),1-EXP(-Presion_cilindro!$B$16*((Presion_cilindro!N145-(-B$4+Presion_cilindro!$B$34))/Presion_cilindro!$B$35)^(Presion_cilindro!$B$17+1)),0)-IF(Presion_cilindro!N144&gt;(-B$4+Presion_cilindro!$B$34),1-EXP(-Presion_cilindro!$B$16*((Presion_cilindro!N144-(-B$4+Presion_cilindro!$B$34))/Presion_cilindro!$B$35)^(Presion_cilindro!$B$17+1)),0))/((Presion_cilindro!O144+Presion_cilindro!O145)/2)</f>
        <v>1.040062524280547</v>
      </c>
      <c r="C153" s="27">
        <f>C152*(Presion_cilindro!O144/Presion_cilindro!O145)^Presion_cilindro!$B$9+10*(Presion_cilindro!$B$9-1)*Presion_cilindro!$B$33*(IF(Presion_cilindro!N145&gt;(-C$4+Presion_cilindro!$B$34),1-EXP(-Presion_cilindro!$B$16*((Presion_cilindro!N145-(-C$4+Presion_cilindro!$B$34))/Presion_cilindro!$B$35)^(Presion_cilindro!$B$17+1)),0)-IF(Presion_cilindro!N144&gt;(-C$4+Presion_cilindro!$B$34),1-EXP(-Presion_cilindro!$B$16*((Presion_cilindro!N144-(-C$4+Presion_cilindro!$B$34))/Presion_cilindro!$B$35)^(Presion_cilindro!$B$17+1)),0))/((Presion_cilindro!O144+Presion_cilindro!O145)/2)</f>
        <v>1.040062524280547</v>
      </c>
      <c r="D153" s="27">
        <f>D152*(Presion_cilindro!O144/Presion_cilindro!O145)^Presion_cilindro!$B$9+10*(Presion_cilindro!$B$9-1)*Presion_cilindro!$B$33*(IF(Presion_cilindro!N145&gt;(-D$4+Presion_cilindro!$B$34),1-EXP(-Presion_cilindro!$B$16*((Presion_cilindro!N145-(-D$4+Presion_cilindro!$B$34))/Presion_cilindro!$B$35)^(Presion_cilindro!$B$17+1)),0)-IF(Presion_cilindro!N144&gt;(-D$4+Presion_cilindro!$B$34),1-EXP(-Presion_cilindro!$B$16*((Presion_cilindro!N144-(-D$4+Presion_cilindro!$B$34))/Presion_cilindro!$B$35)^(Presion_cilindro!$B$17+1)),0))/((Presion_cilindro!O144+Presion_cilindro!O145)/2)</f>
        <v>1.040062524280547</v>
      </c>
      <c r="E153" s="27">
        <f>E152*(Presion_cilindro!O144/Presion_cilindro!O145)^Presion_cilindro!$B$9+10*(Presion_cilindro!$B$9-1)*Presion_cilindro!$B$33*(IF(Presion_cilindro!N145&gt;(-E$4+Presion_cilindro!$B$34),1-EXP(-Presion_cilindro!$B$16*((Presion_cilindro!N145-(-E$4+Presion_cilindro!$B$34))/Presion_cilindro!$B$35)^(Presion_cilindro!$B$17+1)),0)-IF(Presion_cilindro!N144&gt;(-E$4+Presion_cilindro!$B$34),1-EXP(-Presion_cilindro!$B$16*((Presion_cilindro!N144-(-E$4+Presion_cilindro!$B$34))/Presion_cilindro!$B$35)^(Presion_cilindro!$B$17+1)),0))/((Presion_cilindro!O144+Presion_cilindro!O145)/2)</f>
        <v>1.040062524280547</v>
      </c>
      <c r="F153" s="27">
        <f>F152*(Presion_cilindro!O144/Presion_cilindro!O145)^Presion_cilindro!$B$9+10*(Presion_cilindro!$B$9-1)*Presion_cilindro!$B$33*(IF(Presion_cilindro!N145&gt;(-F$4+Presion_cilindro!$B$34),1-EXP(-Presion_cilindro!$B$16*((Presion_cilindro!N145-(-F$4+Presion_cilindro!$B$34))/Presion_cilindro!$B$35)^(Presion_cilindro!$B$17+1)),0)-IF(Presion_cilindro!N144&gt;(-F$4+Presion_cilindro!$B$34),1-EXP(-Presion_cilindro!$B$16*((Presion_cilindro!N144-(-F$4+Presion_cilindro!$B$34))/Presion_cilindro!$B$35)^(Presion_cilindro!$B$17+1)),0))/((Presion_cilindro!O144+Presion_cilindro!O145)/2)</f>
        <v>1.040062524280547</v>
      </c>
      <c r="G153" s="27">
        <f>G152*(Presion_cilindro!O144/Presion_cilindro!O145)^Presion_cilindro!$B$9+10*(Presion_cilindro!$B$9-1)*Presion_cilindro!$B$33*(IF(Presion_cilindro!N145&gt;(-G$4+Presion_cilindro!$B$34),1-EXP(-Presion_cilindro!$B$16*((Presion_cilindro!N145-(-G$4+Presion_cilindro!$B$34))/Presion_cilindro!$B$35)^(Presion_cilindro!$B$17+1)),0)-IF(Presion_cilindro!N144&gt;(-G$4+Presion_cilindro!$B$34),1-EXP(-Presion_cilindro!$B$16*((Presion_cilindro!N144-(-G$4+Presion_cilindro!$B$34))/Presion_cilindro!$B$35)^(Presion_cilindro!$B$17+1)),0))/((Presion_cilindro!O144+Presion_cilindro!O145)/2)</f>
        <v>1.040062524280547</v>
      </c>
      <c r="H153" s="27">
        <f>H152*(Presion_cilindro!O144/Presion_cilindro!O145)^Presion_cilindro!$B$9+10*(Presion_cilindro!$B$9-1)*Presion_cilindro!$B$33*(IF(Presion_cilindro!N145&gt;(-H$4+Presion_cilindro!$B$34),1-EXP(-Presion_cilindro!$B$16*((Presion_cilindro!N145-(-H$4+Presion_cilindro!$B$34))/Presion_cilindro!$B$35)^(Presion_cilindro!$B$17+1)),0)-IF(Presion_cilindro!N144&gt;(-H$4+Presion_cilindro!$B$34),1-EXP(-Presion_cilindro!$B$16*((Presion_cilindro!N144-(-H$4+Presion_cilindro!$B$34))/Presion_cilindro!$B$35)^(Presion_cilindro!$B$17+1)),0))/((Presion_cilindro!O144+Presion_cilindro!O145)/2)</f>
        <v>1.040062524280547</v>
      </c>
      <c r="I153" s="27">
        <f>I152*(Presion_cilindro!O144/Presion_cilindro!O145)^Presion_cilindro!$B$9+10*(Presion_cilindro!$B$9-1)*Presion_cilindro!$B$33*(IF(Presion_cilindro!N145&gt;(-I$4+Presion_cilindro!$B$34),1-EXP(-Presion_cilindro!$B$16*((Presion_cilindro!N145-(-I$4+Presion_cilindro!$B$34))/Presion_cilindro!$B$35)^(Presion_cilindro!$B$17+1)),0)-IF(Presion_cilindro!N144&gt;(-I$4+Presion_cilindro!$B$34),1-EXP(-Presion_cilindro!$B$16*((Presion_cilindro!N144-(-I$4+Presion_cilindro!$B$34))/Presion_cilindro!$B$35)^(Presion_cilindro!$B$17+1)),0))/((Presion_cilindro!O144+Presion_cilindro!O145)/2)</f>
        <v>1.040062524280547</v>
      </c>
      <c r="J153" s="27">
        <f>J152*(Presion_cilindro!O144/Presion_cilindro!O145)^Presion_cilindro!$B$9+10*(Presion_cilindro!$B$9-1)*Presion_cilindro!$B$33*(IF(Presion_cilindro!N145&gt;(-J$4+Presion_cilindro!$B$34),1-EXP(-Presion_cilindro!$B$16*((Presion_cilindro!N145-(-J$4+Presion_cilindro!$B$34))/Presion_cilindro!$B$35)^(Presion_cilindro!$B$17+1)),0)-IF(Presion_cilindro!N144&gt;(-J$4+Presion_cilindro!$B$34),1-EXP(-Presion_cilindro!$B$16*((Presion_cilindro!N144-(-J$4+Presion_cilindro!$B$34))/Presion_cilindro!$B$35)^(Presion_cilindro!$B$17+1)),0))/((Presion_cilindro!O144+Presion_cilindro!O145)/2)</f>
        <v>1.040062524280547</v>
      </c>
      <c r="K153" s="27">
        <f>K152*(Presion_cilindro!O144/Presion_cilindro!O145)^Presion_cilindro!$B$9+10*(Presion_cilindro!$B$9-1)*Presion_cilindro!$B$33*(IF(Presion_cilindro!N145&gt;(-K$4+Presion_cilindro!$B$34),1-EXP(-Presion_cilindro!$B$16*((Presion_cilindro!N145-(-K$4+Presion_cilindro!$B$34))/Presion_cilindro!$B$35)^(Presion_cilindro!$B$17+1)),0)-IF(Presion_cilindro!N144&gt;(-K$4+Presion_cilindro!$B$34),1-EXP(-Presion_cilindro!$B$16*((Presion_cilindro!N144-(-K$4+Presion_cilindro!$B$34))/Presion_cilindro!$B$35)^(Presion_cilindro!$B$17+1)),0))/((Presion_cilindro!O144+Presion_cilindro!O145)/2)</f>
        <v>1.040062524280547</v>
      </c>
      <c r="L153" s="27">
        <f>L152*(Presion_cilindro!O144/Presion_cilindro!O145)^Presion_cilindro!$B$9+10*(Presion_cilindro!$B$9-1)*Presion_cilindro!$B$33*(IF(Presion_cilindro!N145&gt;(-L$4+Presion_cilindro!$B$34),1-EXP(-Presion_cilindro!$B$16*((Presion_cilindro!N145-(-L$4+Presion_cilindro!$B$34))/Presion_cilindro!$B$35)^(Presion_cilindro!$B$17+1)),0)-IF(Presion_cilindro!N144&gt;(-L$4+Presion_cilindro!$B$34),1-EXP(-Presion_cilindro!$B$16*((Presion_cilindro!N144-(-L$4+Presion_cilindro!$B$34))/Presion_cilindro!$B$35)^(Presion_cilindro!$B$17+1)),0))/((Presion_cilindro!O144+Presion_cilindro!O145)/2)</f>
        <v>1.040062524280547</v>
      </c>
      <c r="M153" s="27">
        <f>M152*(Presion_cilindro!O144/Presion_cilindro!O145)^Presion_cilindro!$B$9+10*(Presion_cilindro!$B$9-1)*Presion_cilindro!$B$33*(IF(Presion_cilindro!N145&gt;(-M$4+Presion_cilindro!$B$34),1-EXP(-Presion_cilindro!$B$16*((Presion_cilindro!N145-(-M$4+Presion_cilindro!$B$34))/Presion_cilindro!$B$35)^(Presion_cilindro!$B$17+1)),0)-IF(Presion_cilindro!N144&gt;(-M$4+Presion_cilindro!$B$34),1-EXP(-Presion_cilindro!$B$16*((Presion_cilindro!N144-(-M$4+Presion_cilindro!$B$34))/Presion_cilindro!$B$35)^(Presion_cilindro!$B$17+1)),0))/((Presion_cilindro!O144+Presion_cilindro!O145)/2)</f>
        <v>1.040062524280547</v>
      </c>
      <c r="N153" s="27">
        <f>N152*(Presion_cilindro!O144/Presion_cilindro!O145)^Presion_cilindro!$B$9+10*(Presion_cilindro!$B$9-1)*Presion_cilindro!$B$33*(IF(Presion_cilindro!N145&gt;(-N$4+Presion_cilindro!$B$34),1-EXP(-Presion_cilindro!$B$16*((Presion_cilindro!N145-(-N$4+Presion_cilindro!$B$34))/Presion_cilindro!$B$35)^(Presion_cilindro!$B$17+1)),0)-IF(Presion_cilindro!N144&gt;(-N$4+Presion_cilindro!$B$34),1-EXP(-Presion_cilindro!$B$16*((Presion_cilindro!N144-(-N$4+Presion_cilindro!$B$34))/Presion_cilindro!$B$35)^(Presion_cilindro!$B$17+1)),0))/((Presion_cilindro!O144+Presion_cilindro!O145)/2)</f>
        <v>1.040062524280547</v>
      </c>
    </row>
    <row r="154" spans="1:14" x14ac:dyDescent="0.25">
      <c r="A154" s="21">
        <f>Presion_cilindro!N146</f>
        <v>-109</v>
      </c>
      <c r="B154" s="27">
        <f>B153*(Presion_cilindro!O145/Presion_cilindro!O146)^Presion_cilindro!$B$9+10*(Presion_cilindro!$B$9-1)*Presion_cilindro!$B$33*(IF(Presion_cilindro!N146&gt;(-B$4+Presion_cilindro!$B$34),1-EXP(-Presion_cilindro!$B$16*((Presion_cilindro!N146-(-B$4+Presion_cilindro!$B$34))/Presion_cilindro!$B$35)^(Presion_cilindro!$B$17+1)),0)-IF(Presion_cilindro!N145&gt;(-B$4+Presion_cilindro!$B$34),1-EXP(-Presion_cilindro!$B$16*((Presion_cilindro!N145-(-B$4+Presion_cilindro!$B$34))/Presion_cilindro!$B$35)^(Presion_cilindro!$B$17+1)),0))/((Presion_cilindro!O145+Presion_cilindro!O146)/2)</f>
        <v>1.0461945876947027</v>
      </c>
      <c r="C154" s="27">
        <f>C153*(Presion_cilindro!O145/Presion_cilindro!O146)^Presion_cilindro!$B$9+10*(Presion_cilindro!$B$9-1)*Presion_cilindro!$B$33*(IF(Presion_cilindro!N146&gt;(-C$4+Presion_cilindro!$B$34),1-EXP(-Presion_cilindro!$B$16*((Presion_cilindro!N146-(-C$4+Presion_cilindro!$B$34))/Presion_cilindro!$B$35)^(Presion_cilindro!$B$17+1)),0)-IF(Presion_cilindro!N145&gt;(-C$4+Presion_cilindro!$B$34),1-EXP(-Presion_cilindro!$B$16*((Presion_cilindro!N145-(-C$4+Presion_cilindro!$B$34))/Presion_cilindro!$B$35)^(Presion_cilindro!$B$17+1)),0))/((Presion_cilindro!O145+Presion_cilindro!O146)/2)</f>
        <v>1.0461945876947027</v>
      </c>
      <c r="D154" s="27">
        <f>D153*(Presion_cilindro!O145/Presion_cilindro!O146)^Presion_cilindro!$B$9+10*(Presion_cilindro!$B$9-1)*Presion_cilindro!$B$33*(IF(Presion_cilindro!N146&gt;(-D$4+Presion_cilindro!$B$34),1-EXP(-Presion_cilindro!$B$16*((Presion_cilindro!N146-(-D$4+Presion_cilindro!$B$34))/Presion_cilindro!$B$35)^(Presion_cilindro!$B$17+1)),0)-IF(Presion_cilindro!N145&gt;(-D$4+Presion_cilindro!$B$34),1-EXP(-Presion_cilindro!$B$16*((Presion_cilindro!N145-(-D$4+Presion_cilindro!$B$34))/Presion_cilindro!$B$35)^(Presion_cilindro!$B$17+1)),0))/((Presion_cilindro!O145+Presion_cilindro!O146)/2)</f>
        <v>1.0461945876947027</v>
      </c>
      <c r="E154" s="27">
        <f>E153*(Presion_cilindro!O145/Presion_cilindro!O146)^Presion_cilindro!$B$9+10*(Presion_cilindro!$B$9-1)*Presion_cilindro!$B$33*(IF(Presion_cilindro!N146&gt;(-E$4+Presion_cilindro!$B$34),1-EXP(-Presion_cilindro!$B$16*((Presion_cilindro!N146-(-E$4+Presion_cilindro!$B$34))/Presion_cilindro!$B$35)^(Presion_cilindro!$B$17+1)),0)-IF(Presion_cilindro!N145&gt;(-E$4+Presion_cilindro!$B$34),1-EXP(-Presion_cilindro!$B$16*((Presion_cilindro!N145-(-E$4+Presion_cilindro!$B$34))/Presion_cilindro!$B$35)^(Presion_cilindro!$B$17+1)),0))/((Presion_cilindro!O145+Presion_cilindro!O146)/2)</f>
        <v>1.0461945876947027</v>
      </c>
      <c r="F154" s="27">
        <f>F153*(Presion_cilindro!O145/Presion_cilindro!O146)^Presion_cilindro!$B$9+10*(Presion_cilindro!$B$9-1)*Presion_cilindro!$B$33*(IF(Presion_cilindro!N146&gt;(-F$4+Presion_cilindro!$B$34),1-EXP(-Presion_cilindro!$B$16*((Presion_cilindro!N146-(-F$4+Presion_cilindro!$B$34))/Presion_cilindro!$B$35)^(Presion_cilindro!$B$17+1)),0)-IF(Presion_cilindro!N145&gt;(-F$4+Presion_cilindro!$B$34),1-EXP(-Presion_cilindro!$B$16*((Presion_cilindro!N145-(-F$4+Presion_cilindro!$B$34))/Presion_cilindro!$B$35)^(Presion_cilindro!$B$17+1)),0))/((Presion_cilindro!O145+Presion_cilindro!O146)/2)</f>
        <v>1.0461945876947027</v>
      </c>
      <c r="G154" s="27">
        <f>G153*(Presion_cilindro!O145/Presion_cilindro!O146)^Presion_cilindro!$B$9+10*(Presion_cilindro!$B$9-1)*Presion_cilindro!$B$33*(IF(Presion_cilindro!N146&gt;(-G$4+Presion_cilindro!$B$34),1-EXP(-Presion_cilindro!$B$16*((Presion_cilindro!N146-(-G$4+Presion_cilindro!$B$34))/Presion_cilindro!$B$35)^(Presion_cilindro!$B$17+1)),0)-IF(Presion_cilindro!N145&gt;(-G$4+Presion_cilindro!$B$34),1-EXP(-Presion_cilindro!$B$16*((Presion_cilindro!N145-(-G$4+Presion_cilindro!$B$34))/Presion_cilindro!$B$35)^(Presion_cilindro!$B$17+1)),0))/((Presion_cilindro!O145+Presion_cilindro!O146)/2)</f>
        <v>1.0461945876947027</v>
      </c>
      <c r="H154" s="27">
        <f>H153*(Presion_cilindro!O145/Presion_cilindro!O146)^Presion_cilindro!$B$9+10*(Presion_cilindro!$B$9-1)*Presion_cilindro!$B$33*(IF(Presion_cilindro!N146&gt;(-H$4+Presion_cilindro!$B$34),1-EXP(-Presion_cilindro!$B$16*((Presion_cilindro!N146-(-H$4+Presion_cilindro!$B$34))/Presion_cilindro!$B$35)^(Presion_cilindro!$B$17+1)),0)-IF(Presion_cilindro!N145&gt;(-H$4+Presion_cilindro!$B$34),1-EXP(-Presion_cilindro!$B$16*((Presion_cilindro!N145-(-H$4+Presion_cilindro!$B$34))/Presion_cilindro!$B$35)^(Presion_cilindro!$B$17+1)),0))/((Presion_cilindro!O145+Presion_cilindro!O146)/2)</f>
        <v>1.0461945876947027</v>
      </c>
      <c r="I154" s="27">
        <f>I153*(Presion_cilindro!O145/Presion_cilindro!O146)^Presion_cilindro!$B$9+10*(Presion_cilindro!$B$9-1)*Presion_cilindro!$B$33*(IF(Presion_cilindro!N146&gt;(-I$4+Presion_cilindro!$B$34),1-EXP(-Presion_cilindro!$B$16*((Presion_cilindro!N146-(-I$4+Presion_cilindro!$B$34))/Presion_cilindro!$B$35)^(Presion_cilindro!$B$17+1)),0)-IF(Presion_cilindro!N145&gt;(-I$4+Presion_cilindro!$B$34),1-EXP(-Presion_cilindro!$B$16*((Presion_cilindro!N145-(-I$4+Presion_cilindro!$B$34))/Presion_cilindro!$B$35)^(Presion_cilindro!$B$17+1)),0))/((Presion_cilindro!O145+Presion_cilindro!O146)/2)</f>
        <v>1.0461945876947027</v>
      </c>
      <c r="J154" s="27">
        <f>J153*(Presion_cilindro!O145/Presion_cilindro!O146)^Presion_cilindro!$B$9+10*(Presion_cilindro!$B$9-1)*Presion_cilindro!$B$33*(IF(Presion_cilindro!N146&gt;(-J$4+Presion_cilindro!$B$34),1-EXP(-Presion_cilindro!$B$16*((Presion_cilindro!N146-(-J$4+Presion_cilindro!$B$34))/Presion_cilindro!$B$35)^(Presion_cilindro!$B$17+1)),0)-IF(Presion_cilindro!N145&gt;(-J$4+Presion_cilindro!$B$34),1-EXP(-Presion_cilindro!$B$16*((Presion_cilindro!N145-(-J$4+Presion_cilindro!$B$34))/Presion_cilindro!$B$35)^(Presion_cilindro!$B$17+1)),0))/((Presion_cilindro!O145+Presion_cilindro!O146)/2)</f>
        <v>1.0461945876947027</v>
      </c>
      <c r="K154" s="27">
        <f>K153*(Presion_cilindro!O145/Presion_cilindro!O146)^Presion_cilindro!$B$9+10*(Presion_cilindro!$B$9-1)*Presion_cilindro!$B$33*(IF(Presion_cilindro!N146&gt;(-K$4+Presion_cilindro!$B$34),1-EXP(-Presion_cilindro!$B$16*((Presion_cilindro!N146-(-K$4+Presion_cilindro!$B$34))/Presion_cilindro!$B$35)^(Presion_cilindro!$B$17+1)),0)-IF(Presion_cilindro!N145&gt;(-K$4+Presion_cilindro!$B$34),1-EXP(-Presion_cilindro!$B$16*((Presion_cilindro!N145-(-K$4+Presion_cilindro!$B$34))/Presion_cilindro!$B$35)^(Presion_cilindro!$B$17+1)),0))/((Presion_cilindro!O145+Presion_cilindro!O146)/2)</f>
        <v>1.0461945876947027</v>
      </c>
      <c r="L154" s="27">
        <f>L153*(Presion_cilindro!O145/Presion_cilindro!O146)^Presion_cilindro!$B$9+10*(Presion_cilindro!$B$9-1)*Presion_cilindro!$B$33*(IF(Presion_cilindro!N146&gt;(-L$4+Presion_cilindro!$B$34),1-EXP(-Presion_cilindro!$B$16*((Presion_cilindro!N146-(-L$4+Presion_cilindro!$B$34))/Presion_cilindro!$B$35)^(Presion_cilindro!$B$17+1)),0)-IF(Presion_cilindro!N145&gt;(-L$4+Presion_cilindro!$B$34),1-EXP(-Presion_cilindro!$B$16*((Presion_cilindro!N145-(-L$4+Presion_cilindro!$B$34))/Presion_cilindro!$B$35)^(Presion_cilindro!$B$17+1)),0))/((Presion_cilindro!O145+Presion_cilindro!O146)/2)</f>
        <v>1.0461945876947027</v>
      </c>
      <c r="M154" s="27">
        <f>M153*(Presion_cilindro!O145/Presion_cilindro!O146)^Presion_cilindro!$B$9+10*(Presion_cilindro!$B$9-1)*Presion_cilindro!$B$33*(IF(Presion_cilindro!N146&gt;(-M$4+Presion_cilindro!$B$34),1-EXP(-Presion_cilindro!$B$16*((Presion_cilindro!N146-(-M$4+Presion_cilindro!$B$34))/Presion_cilindro!$B$35)^(Presion_cilindro!$B$17+1)),0)-IF(Presion_cilindro!N145&gt;(-M$4+Presion_cilindro!$B$34),1-EXP(-Presion_cilindro!$B$16*((Presion_cilindro!N145-(-M$4+Presion_cilindro!$B$34))/Presion_cilindro!$B$35)^(Presion_cilindro!$B$17+1)),0))/((Presion_cilindro!O145+Presion_cilindro!O146)/2)</f>
        <v>1.0461945876947027</v>
      </c>
      <c r="N154" s="27">
        <f>N153*(Presion_cilindro!O145/Presion_cilindro!O146)^Presion_cilindro!$B$9+10*(Presion_cilindro!$B$9-1)*Presion_cilindro!$B$33*(IF(Presion_cilindro!N146&gt;(-N$4+Presion_cilindro!$B$34),1-EXP(-Presion_cilindro!$B$16*((Presion_cilindro!N146-(-N$4+Presion_cilindro!$B$34))/Presion_cilindro!$B$35)^(Presion_cilindro!$B$17+1)),0)-IF(Presion_cilindro!N145&gt;(-N$4+Presion_cilindro!$B$34),1-EXP(-Presion_cilindro!$B$16*((Presion_cilindro!N145-(-N$4+Presion_cilindro!$B$34))/Presion_cilindro!$B$35)^(Presion_cilindro!$B$17+1)),0))/((Presion_cilindro!O145+Presion_cilindro!O146)/2)</f>
        <v>1.0461945876947027</v>
      </c>
    </row>
    <row r="155" spans="1:14" x14ac:dyDescent="0.25">
      <c r="A155" s="21">
        <f>Presion_cilindro!N147</f>
        <v>-108.5</v>
      </c>
      <c r="B155" s="27">
        <f>B154*(Presion_cilindro!O146/Presion_cilindro!O147)^Presion_cilindro!$B$9+10*(Presion_cilindro!$B$9-1)*Presion_cilindro!$B$33*(IF(Presion_cilindro!N147&gt;(-B$4+Presion_cilindro!$B$34),1-EXP(-Presion_cilindro!$B$16*((Presion_cilindro!N147-(-B$4+Presion_cilindro!$B$34))/Presion_cilindro!$B$35)^(Presion_cilindro!$B$17+1)),0)-IF(Presion_cilindro!N146&gt;(-B$4+Presion_cilindro!$B$34),1-EXP(-Presion_cilindro!$B$16*((Presion_cilindro!N146-(-B$4+Presion_cilindro!$B$34))/Presion_cilindro!$B$35)^(Presion_cilindro!$B$17+1)),0))/((Presion_cilindro!O146+Presion_cilindro!O147)/2)</f>
        <v>1.0524258077666198</v>
      </c>
      <c r="C155" s="27">
        <f>C154*(Presion_cilindro!O146/Presion_cilindro!O147)^Presion_cilindro!$B$9+10*(Presion_cilindro!$B$9-1)*Presion_cilindro!$B$33*(IF(Presion_cilindro!N147&gt;(-C$4+Presion_cilindro!$B$34),1-EXP(-Presion_cilindro!$B$16*((Presion_cilindro!N147-(-C$4+Presion_cilindro!$B$34))/Presion_cilindro!$B$35)^(Presion_cilindro!$B$17+1)),0)-IF(Presion_cilindro!N146&gt;(-C$4+Presion_cilindro!$B$34),1-EXP(-Presion_cilindro!$B$16*((Presion_cilindro!N146-(-C$4+Presion_cilindro!$B$34))/Presion_cilindro!$B$35)^(Presion_cilindro!$B$17+1)),0))/((Presion_cilindro!O146+Presion_cilindro!O147)/2)</f>
        <v>1.0524258077666198</v>
      </c>
      <c r="D155" s="27">
        <f>D154*(Presion_cilindro!O146/Presion_cilindro!O147)^Presion_cilindro!$B$9+10*(Presion_cilindro!$B$9-1)*Presion_cilindro!$B$33*(IF(Presion_cilindro!N147&gt;(-D$4+Presion_cilindro!$B$34),1-EXP(-Presion_cilindro!$B$16*((Presion_cilindro!N147-(-D$4+Presion_cilindro!$B$34))/Presion_cilindro!$B$35)^(Presion_cilindro!$B$17+1)),0)-IF(Presion_cilindro!N146&gt;(-D$4+Presion_cilindro!$B$34),1-EXP(-Presion_cilindro!$B$16*((Presion_cilindro!N146-(-D$4+Presion_cilindro!$B$34))/Presion_cilindro!$B$35)^(Presion_cilindro!$B$17+1)),0))/((Presion_cilindro!O146+Presion_cilindro!O147)/2)</f>
        <v>1.0524258077666198</v>
      </c>
      <c r="E155" s="27">
        <f>E154*(Presion_cilindro!O146/Presion_cilindro!O147)^Presion_cilindro!$B$9+10*(Presion_cilindro!$B$9-1)*Presion_cilindro!$B$33*(IF(Presion_cilindro!N147&gt;(-E$4+Presion_cilindro!$B$34),1-EXP(-Presion_cilindro!$B$16*((Presion_cilindro!N147-(-E$4+Presion_cilindro!$B$34))/Presion_cilindro!$B$35)^(Presion_cilindro!$B$17+1)),0)-IF(Presion_cilindro!N146&gt;(-E$4+Presion_cilindro!$B$34),1-EXP(-Presion_cilindro!$B$16*((Presion_cilindro!N146-(-E$4+Presion_cilindro!$B$34))/Presion_cilindro!$B$35)^(Presion_cilindro!$B$17+1)),0))/((Presion_cilindro!O146+Presion_cilindro!O147)/2)</f>
        <v>1.0524258077666198</v>
      </c>
      <c r="F155" s="27">
        <f>F154*(Presion_cilindro!O146/Presion_cilindro!O147)^Presion_cilindro!$B$9+10*(Presion_cilindro!$B$9-1)*Presion_cilindro!$B$33*(IF(Presion_cilindro!N147&gt;(-F$4+Presion_cilindro!$B$34),1-EXP(-Presion_cilindro!$B$16*((Presion_cilindro!N147-(-F$4+Presion_cilindro!$B$34))/Presion_cilindro!$B$35)^(Presion_cilindro!$B$17+1)),0)-IF(Presion_cilindro!N146&gt;(-F$4+Presion_cilindro!$B$34),1-EXP(-Presion_cilindro!$B$16*((Presion_cilindro!N146-(-F$4+Presion_cilindro!$B$34))/Presion_cilindro!$B$35)^(Presion_cilindro!$B$17+1)),0))/((Presion_cilindro!O146+Presion_cilindro!O147)/2)</f>
        <v>1.0524258077666198</v>
      </c>
      <c r="G155" s="27">
        <f>G154*(Presion_cilindro!O146/Presion_cilindro!O147)^Presion_cilindro!$B$9+10*(Presion_cilindro!$B$9-1)*Presion_cilindro!$B$33*(IF(Presion_cilindro!N147&gt;(-G$4+Presion_cilindro!$B$34),1-EXP(-Presion_cilindro!$B$16*((Presion_cilindro!N147-(-G$4+Presion_cilindro!$B$34))/Presion_cilindro!$B$35)^(Presion_cilindro!$B$17+1)),0)-IF(Presion_cilindro!N146&gt;(-G$4+Presion_cilindro!$B$34),1-EXP(-Presion_cilindro!$B$16*((Presion_cilindro!N146-(-G$4+Presion_cilindro!$B$34))/Presion_cilindro!$B$35)^(Presion_cilindro!$B$17+1)),0))/((Presion_cilindro!O146+Presion_cilindro!O147)/2)</f>
        <v>1.0524258077666198</v>
      </c>
      <c r="H155" s="27">
        <f>H154*(Presion_cilindro!O146/Presion_cilindro!O147)^Presion_cilindro!$B$9+10*(Presion_cilindro!$B$9-1)*Presion_cilindro!$B$33*(IF(Presion_cilindro!N147&gt;(-H$4+Presion_cilindro!$B$34),1-EXP(-Presion_cilindro!$B$16*((Presion_cilindro!N147-(-H$4+Presion_cilindro!$B$34))/Presion_cilindro!$B$35)^(Presion_cilindro!$B$17+1)),0)-IF(Presion_cilindro!N146&gt;(-H$4+Presion_cilindro!$B$34),1-EXP(-Presion_cilindro!$B$16*((Presion_cilindro!N146-(-H$4+Presion_cilindro!$B$34))/Presion_cilindro!$B$35)^(Presion_cilindro!$B$17+1)),0))/((Presion_cilindro!O146+Presion_cilindro!O147)/2)</f>
        <v>1.0524258077666198</v>
      </c>
      <c r="I155" s="27">
        <f>I154*(Presion_cilindro!O146/Presion_cilindro!O147)^Presion_cilindro!$B$9+10*(Presion_cilindro!$B$9-1)*Presion_cilindro!$B$33*(IF(Presion_cilindro!N147&gt;(-I$4+Presion_cilindro!$B$34),1-EXP(-Presion_cilindro!$B$16*((Presion_cilindro!N147-(-I$4+Presion_cilindro!$B$34))/Presion_cilindro!$B$35)^(Presion_cilindro!$B$17+1)),0)-IF(Presion_cilindro!N146&gt;(-I$4+Presion_cilindro!$B$34),1-EXP(-Presion_cilindro!$B$16*((Presion_cilindro!N146-(-I$4+Presion_cilindro!$B$34))/Presion_cilindro!$B$35)^(Presion_cilindro!$B$17+1)),0))/((Presion_cilindro!O146+Presion_cilindro!O147)/2)</f>
        <v>1.0524258077666198</v>
      </c>
      <c r="J155" s="27">
        <f>J154*(Presion_cilindro!O146/Presion_cilindro!O147)^Presion_cilindro!$B$9+10*(Presion_cilindro!$B$9-1)*Presion_cilindro!$B$33*(IF(Presion_cilindro!N147&gt;(-J$4+Presion_cilindro!$B$34),1-EXP(-Presion_cilindro!$B$16*((Presion_cilindro!N147-(-J$4+Presion_cilindro!$B$34))/Presion_cilindro!$B$35)^(Presion_cilindro!$B$17+1)),0)-IF(Presion_cilindro!N146&gt;(-J$4+Presion_cilindro!$B$34),1-EXP(-Presion_cilindro!$B$16*((Presion_cilindro!N146-(-J$4+Presion_cilindro!$B$34))/Presion_cilindro!$B$35)^(Presion_cilindro!$B$17+1)),0))/((Presion_cilindro!O146+Presion_cilindro!O147)/2)</f>
        <v>1.0524258077666198</v>
      </c>
      <c r="K155" s="27">
        <f>K154*(Presion_cilindro!O146/Presion_cilindro!O147)^Presion_cilindro!$B$9+10*(Presion_cilindro!$B$9-1)*Presion_cilindro!$B$33*(IF(Presion_cilindro!N147&gt;(-K$4+Presion_cilindro!$B$34),1-EXP(-Presion_cilindro!$B$16*((Presion_cilindro!N147-(-K$4+Presion_cilindro!$B$34))/Presion_cilindro!$B$35)^(Presion_cilindro!$B$17+1)),0)-IF(Presion_cilindro!N146&gt;(-K$4+Presion_cilindro!$B$34),1-EXP(-Presion_cilindro!$B$16*((Presion_cilindro!N146-(-K$4+Presion_cilindro!$B$34))/Presion_cilindro!$B$35)^(Presion_cilindro!$B$17+1)),0))/((Presion_cilindro!O146+Presion_cilindro!O147)/2)</f>
        <v>1.0524258077666198</v>
      </c>
      <c r="L155" s="27">
        <f>L154*(Presion_cilindro!O146/Presion_cilindro!O147)^Presion_cilindro!$B$9+10*(Presion_cilindro!$B$9-1)*Presion_cilindro!$B$33*(IF(Presion_cilindro!N147&gt;(-L$4+Presion_cilindro!$B$34),1-EXP(-Presion_cilindro!$B$16*((Presion_cilindro!N147-(-L$4+Presion_cilindro!$B$34))/Presion_cilindro!$B$35)^(Presion_cilindro!$B$17+1)),0)-IF(Presion_cilindro!N146&gt;(-L$4+Presion_cilindro!$B$34),1-EXP(-Presion_cilindro!$B$16*((Presion_cilindro!N146-(-L$4+Presion_cilindro!$B$34))/Presion_cilindro!$B$35)^(Presion_cilindro!$B$17+1)),0))/((Presion_cilindro!O146+Presion_cilindro!O147)/2)</f>
        <v>1.0524258077666198</v>
      </c>
      <c r="M155" s="27">
        <f>M154*(Presion_cilindro!O146/Presion_cilindro!O147)^Presion_cilindro!$B$9+10*(Presion_cilindro!$B$9-1)*Presion_cilindro!$B$33*(IF(Presion_cilindro!N147&gt;(-M$4+Presion_cilindro!$B$34),1-EXP(-Presion_cilindro!$B$16*((Presion_cilindro!N147-(-M$4+Presion_cilindro!$B$34))/Presion_cilindro!$B$35)^(Presion_cilindro!$B$17+1)),0)-IF(Presion_cilindro!N146&gt;(-M$4+Presion_cilindro!$B$34),1-EXP(-Presion_cilindro!$B$16*((Presion_cilindro!N146-(-M$4+Presion_cilindro!$B$34))/Presion_cilindro!$B$35)^(Presion_cilindro!$B$17+1)),0))/((Presion_cilindro!O146+Presion_cilindro!O147)/2)</f>
        <v>1.0524258077666198</v>
      </c>
      <c r="N155" s="27">
        <f>N154*(Presion_cilindro!O146/Presion_cilindro!O147)^Presion_cilindro!$B$9+10*(Presion_cilindro!$B$9-1)*Presion_cilindro!$B$33*(IF(Presion_cilindro!N147&gt;(-N$4+Presion_cilindro!$B$34),1-EXP(-Presion_cilindro!$B$16*((Presion_cilindro!N147-(-N$4+Presion_cilindro!$B$34))/Presion_cilindro!$B$35)^(Presion_cilindro!$B$17+1)),0)-IF(Presion_cilindro!N146&gt;(-N$4+Presion_cilindro!$B$34),1-EXP(-Presion_cilindro!$B$16*((Presion_cilindro!N146-(-N$4+Presion_cilindro!$B$34))/Presion_cilindro!$B$35)^(Presion_cilindro!$B$17+1)),0))/((Presion_cilindro!O146+Presion_cilindro!O147)/2)</f>
        <v>1.0524258077666198</v>
      </c>
    </row>
    <row r="156" spans="1:14" x14ac:dyDescent="0.25">
      <c r="A156" s="21">
        <f>Presion_cilindro!N148</f>
        <v>-108</v>
      </c>
      <c r="B156" s="27">
        <f>B155*(Presion_cilindro!O147/Presion_cilindro!O148)^Presion_cilindro!$B$9+10*(Presion_cilindro!$B$9-1)*Presion_cilindro!$B$33*(IF(Presion_cilindro!N148&gt;(-B$4+Presion_cilindro!$B$34),1-EXP(-Presion_cilindro!$B$16*((Presion_cilindro!N148-(-B$4+Presion_cilindro!$B$34))/Presion_cilindro!$B$35)^(Presion_cilindro!$B$17+1)),0)-IF(Presion_cilindro!N147&gt;(-B$4+Presion_cilindro!$B$34),1-EXP(-Presion_cilindro!$B$16*((Presion_cilindro!N147-(-B$4+Presion_cilindro!$B$34))/Presion_cilindro!$B$35)^(Presion_cilindro!$B$17+1)),0))/((Presion_cilindro!O147+Presion_cilindro!O148)/2)</f>
        <v>1.0587579329659074</v>
      </c>
      <c r="C156" s="27">
        <f>C155*(Presion_cilindro!O147/Presion_cilindro!O148)^Presion_cilindro!$B$9+10*(Presion_cilindro!$B$9-1)*Presion_cilindro!$B$33*(IF(Presion_cilindro!N148&gt;(-C$4+Presion_cilindro!$B$34),1-EXP(-Presion_cilindro!$B$16*((Presion_cilindro!N148-(-C$4+Presion_cilindro!$B$34))/Presion_cilindro!$B$35)^(Presion_cilindro!$B$17+1)),0)-IF(Presion_cilindro!N147&gt;(-C$4+Presion_cilindro!$B$34),1-EXP(-Presion_cilindro!$B$16*((Presion_cilindro!N147-(-C$4+Presion_cilindro!$B$34))/Presion_cilindro!$B$35)^(Presion_cilindro!$B$17+1)),0))/((Presion_cilindro!O147+Presion_cilindro!O148)/2)</f>
        <v>1.0587579329659074</v>
      </c>
      <c r="D156" s="27">
        <f>D155*(Presion_cilindro!O147/Presion_cilindro!O148)^Presion_cilindro!$B$9+10*(Presion_cilindro!$B$9-1)*Presion_cilindro!$B$33*(IF(Presion_cilindro!N148&gt;(-D$4+Presion_cilindro!$B$34),1-EXP(-Presion_cilindro!$B$16*((Presion_cilindro!N148-(-D$4+Presion_cilindro!$B$34))/Presion_cilindro!$B$35)^(Presion_cilindro!$B$17+1)),0)-IF(Presion_cilindro!N147&gt;(-D$4+Presion_cilindro!$B$34),1-EXP(-Presion_cilindro!$B$16*((Presion_cilindro!N147-(-D$4+Presion_cilindro!$B$34))/Presion_cilindro!$B$35)^(Presion_cilindro!$B$17+1)),0))/((Presion_cilindro!O147+Presion_cilindro!O148)/2)</f>
        <v>1.0587579329659074</v>
      </c>
      <c r="E156" s="27">
        <f>E155*(Presion_cilindro!O147/Presion_cilindro!O148)^Presion_cilindro!$B$9+10*(Presion_cilindro!$B$9-1)*Presion_cilindro!$B$33*(IF(Presion_cilindro!N148&gt;(-E$4+Presion_cilindro!$B$34),1-EXP(-Presion_cilindro!$B$16*((Presion_cilindro!N148-(-E$4+Presion_cilindro!$B$34))/Presion_cilindro!$B$35)^(Presion_cilindro!$B$17+1)),0)-IF(Presion_cilindro!N147&gt;(-E$4+Presion_cilindro!$B$34),1-EXP(-Presion_cilindro!$B$16*((Presion_cilindro!N147-(-E$4+Presion_cilindro!$B$34))/Presion_cilindro!$B$35)^(Presion_cilindro!$B$17+1)),0))/((Presion_cilindro!O147+Presion_cilindro!O148)/2)</f>
        <v>1.0587579329659074</v>
      </c>
      <c r="F156" s="27">
        <f>F155*(Presion_cilindro!O147/Presion_cilindro!O148)^Presion_cilindro!$B$9+10*(Presion_cilindro!$B$9-1)*Presion_cilindro!$B$33*(IF(Presion_cilindro!N148&gt;(-F$4+Presion_cilindro!$B$34),1-EXP(-Presion_cilindro!$B$16*((Presion_cilindro!N148-(-F$4+Presion_cilindro!$B$34))/Presion_cilindro!$B$35)^(Presion_cilindro!$B$17+1)),0)-IF(Presion_cilindro!N147&gt;(-F$4+Presion_cilindro!$B$34),1-EXP(-Presion_cilindro!$B$16*((Presion_cilindro!N147-(-F$4+Presion_cilindro!$B$34))/Presion_cilindro!$B$35)^(Presion_cilindro!$B$17+1)),0))/((Presion_cilindro!O147+Presion_cilindro!O148)/2)</f>
        <v>1.0587579329659074</v>
      </c>
      <c r="G156" s="27">
        <f>G155*(Presion_cilindro!O147/Presion_cilindro!O148)^Presion_cilindro!$B$9+10*(Presion_cilindro!$B$9-1)*Presion_cilindro!$B$33*(IF(Presion_cilindro!N148&gt;(-G$4+Presion_cilindro!$B$34),1-EXP(-Presion_cilindro!$B$16*((Presion_cilindro!N148-(-G$4+Presion_cilindro!$B$34))/Presion_cilindro!$B$35)^(Presion_cilindro!$B$17+1)),0)-IF(Presion_cilindro!N147&gt;(-G$4+Presion_cilindro!$B$34),1-EXP(-Presion_cilindro!$B$16*((Presion_cilindro!N147-(-G$4+Presion_cilindro!$B$34))/Presion_cilindro!$B$35)^(Presion_cilindro!$B$17+1)),0))/((Presion_cilindro!O147+Presion_cilindro!O148)/2)</f>
        <v>1.0587579329659074</v>
      </c>
      <c r="H156" s="27">
        <f>H155*(Presion_cilindro!O147/Presion_cilindro!O148)^Presion_cilindro!$B$9+10*(Presion_cilindro!$B$9-1)*Presion_cilindro!$B$33*(IF(Presion_cilindro!N148&gt;(-H$4+Presion_cilindro!$B$34),1-EXP(-Presion_cilindro!$B$16*((Presion_cilindro!N148-(-H$4+Presion_cilindro!$B$34))/Presion_cilindro!$B$35)^(Presion_cilindro!$B$17+1)),0)-IF(Presion_cilindro!N147&gt;(-H$4+Presion_cilindro!$B$34),1-EXP(-Presion_cilindro!$B$16*((Presion_cilindro!N147-(-H$4+Presion_cilindro!$B$34))/Presion_cilindro!$B$35)^(Presion_cilindro!$B$17+1)),0))/((Presion_cilindro!O147+Presion_cilindro!O148)/2)</f>
        <v>1.0587579329659074</v>
      </c>
      <c r="I156" s="27">
        <f>I155*(Presion_cilindro!O147/Presion_cilindro!O148)^Presion_cilindro!$B$9+10*(Presion_cilindro!$B$9-1)*Presion_cilindro!$B$33*(IF(Presion_cilindro!N148&gt;(-I$4+Presion_cilindro!$B$34),1-EXP(-Presion_cilindro!$B$16*((Presion_cilindro!N148-(-I$4+Presion_cilindro!$B$34))/Presion_cilindro!$B$35)^(Presion_cilindro!$B$17+1)),0)-IF(Presion_cilindro!N147&gt;(-I$4+Presion_cilindro!$B$34),1-EXP(-Presion_cilindro!$B$16*((Presion_cilindro!N147-(-I$4+Presion_cilindro!$B$34))/Presion_cilindro!$B$35)^(Presion_cilindro!$B$17+1)),0))/((Presion_cilindro!O147+Presion_cilindro!O148)/2)</f>
        <v>1.0587579329659074</v>
      </c>
      <c r="J156" s="27">
        <f>J155*(Presion_cilindro!O147/Presion_cilindro!O148)^Presion_cilindro!$B$9+10*(Presion_cilindro!$B$9-1)*Presion_cilindro!$B$33*(IF(Presion_cilindro!N148&gt;(-J$4+Presion_cilindro!$B$34),1-EXP(-Presion_cilindro!$B$16*((Presion_cilindro!N148-(-J$4+Presion_cilindro!$B$34))/Presion_cilindro!$B$35)^(Presion_cilindro!$B$17+1)),0)-IF(Presion_cilindro!N147&gt;(-J$4+Presion_cilindro!$B$34),1-EXP(-Presion_cilindro!$B$16*((Presion_cilindro!N147-(-J$4+Presion_cilindro!$B$34))/Presion_cilindro!$B$35)^(Presion_cilindro!$B$17+1)),0))/((Presion_cilindro!O147+Presion_cilindro!O148)/2)</f>
        <v>1.0587579329659074</v>
      </c>
      <c r="K156" s="27">
        <f>K155*(Presion_cilindro!O147/Presion_cilindro!O148)^Presion_cilindro!$B$9+10*(Presion_cilindro!$B$9-1)*Presion_cilindro!$B$33*(IF(Presion_cilindro!N148&gt;(-K$4+Presion_cilindro!$B$34),1-EXP(-Presion_cilindro!$B$16*((Presion_cilindro!N148-(-K$4+Presion_cilindro!$B$34))/Presion_cilindro!$B$35)^(Presion_cilindro!$B$17+1)),0)-IF(Presion_cilindro!N147&gt;(-K$4+Presion_cilindro!$B$34),1-EXP(-Presion_cilindro!$B$16*((Presion_cilindro!N147-(-K$4+Presion_cilindro!$B$34))/Presion_cilindro!$B$35)^(Presion_cilindro!$B$17+1)),0))/((Presion_cilindro!O147+Presion_cilindro!O148)/2)</f>
        <v>1.0587579329659074</v>
      </c>
      <c r="L156" s="27">
        <f>L155*(Presion_cilindro!O147/Presion_cilindro!O148)^Presion_cilindro!$B$9+10*(Presion_cilindro!$B$9-1)*Presion_cilindro!$B$33*(IF(Presion_cilindro!N148&gt;(-L$4+Presion_cilindro!$B$34),1-EXP(-Presion_cilindro!$B$16*((Presion_cilindro!N148-(-L$4+Presion_cilindro!$B$34))/Presion_cilindro!$B$35)^(Presion_cilindro!$B$17+1)),0)-IF(Presion_cilindro!N147&gt;(-L$4+Presion_cilindro!$B$34),1-EXP(-Presion_cilindro!$B$16*((Presion_cilindro!N147-(-L$4+Presion_cilindro!$B$34))/Presion_cilindro!$B$35)^(Presion_cilindro!$B$17+1)),0))/((Presion_cilindro!O147+Presion_cilindro!O148)/2)</f>
        <v>1.0587579329659074</v>
      </c>
      <c r="M156" s="27">
        <f>M155*(Presion_cilindro!O147/Presion_cilindro!O148)^Presion_cilindro!$B$9+10*(Presion_cilindro!$B$9-1)*Presion_cilindro!$B$33*(IF(Presion_cilindro!N148&gt;(-M$4+Presion_cilindro!$B$34),1-EXP(-Presion_cilindro!$B$16*((Presion_cilindro!N148-(-M$4+Presion_cilindro!$B$34))/Presion_cilindro!$B$35)^(Presion_cilindro!$B$17+1)),0)-IF(Presion_cilindro!N147&gt;(-M$4+Presion_cilindro!$B$34),1-EXP(-Presion_cilindro!$B$16*((Presion_cilindro!N147-(-M$4+Presion_cilindro!$B$34))/Presion_cilindro!$B$35)^(Presion_cilindro!$B$17+1)),0))/((Presion_cilindro!O147+Presion_cilindro!O148)/2)</f>
        <v>1.0587579329659074</v>
      </c>
      <c r="N156" s="27">
        <f>N155*(Presion_cilindro!O147/Presion_cilindro!O148)^Presion_cilindro!$B$9+10*(Presion_cilindro!$B$9-1)*Presion_cilindro!$B$33*(IF(Presion_cilindro!N148&gt;(-N$4+Presion_cilindro!$B$34),1-EXP(-Presion_cilindro!$B$16*((Presion_cilindro!N148-(-N$4+Presion_cilindro!$B$34))/Presion_cilindro!$B$35)^(Presion_cilindro!$B$17+1)),0)-IF(Presion_cilindro!N147&gt;(-N$4+Presion_cilindro!$B$34),1-EXP(-Presion_cilindro!$B$16*((Presion_cilindro!N147-(-N$4+Presion_cilindro!$B$34))/Presion_cilindro!$B$35)^(Presion_cilindro!$B$17+1)),0))/((Presion_cilindro!O147+Presion_cilindro!O148)/2)</f>
        <v>1.0587579329659074</v>
      </c>
    </row>
    <row r="157" spans="1:14" x14ac:dyDescent="0.25">
      <c r="A157" s="21">
        <f>Presion_cilindro!N149</f>
        <v>-107.5</v>
      </c>
      <c r="B157" s="27">
        <f>B156*(Presion_cilindro!O148/Presion_cilindro!O149)^Presion_cilindro!$B$9+10*(Presion_cilindro!$B$9-1)*Presion_cilindro!$B$33*(IF(Presion_cilindro!N149&gt;(-B$4+Presion_cilindro!$B$34),1-EXP(-Presion_cilindro!$B$16*((Presion_cilindro!N149-(-B$4+Presion_cilindro!$B$34))/Presion_cilindro!$B$35)^(Presion_cilindro!$B$17+1)),0)-IF(Presion_cilindro!N148&gt;(-B$4+Presion_cilindro!$B$34),1-EXP(-Presion_cilindro!$B$16*((Presion_cilindro!N148-(-B$4+Presion_cilindro!$B$34))/Presion_cilindro!$B$35)^(Presion_cilindro!$B$17+1)),0))/((Presion_cilindro!O148+Presion_cilindro!O149)/2)</f>
        <v>1.0651927505298662</v>
      </c>
      <c r="C157" s="27">
        <f>C156*(Presion_cilindro!O148/Presion_cilindro!O149)^Presion_cilindro!$B$9+10*(Presion_cilindro!$B$9-1)*Presion_cilindro!$B$33*(IF(Presion_cilindro!N149&gt;(-C$4+Presion_cilindro!$B$34),1-EXP(-Presion_cilindro!$B$16*((Presion_cilindro!N149-(-C$4+Presion_cilindro!$B$34))/Presion_cilindro!$B$35)^(Presion_cilindro!$B$17+1)),0)-IF(Presion_cilindro!N148&gt;(-C$4+Presion_cilindro!$B$34),1-EXP(-Presion_cilindro!$B$16*((Presion_cilindro!N148-(-C$4+Presion_cilindro!$B$34))/Presion_cilindro!$B$35)^(Presion_cilindro!$B$17+1)),0))/((Presion_cilindro!O148+Presion_cilindro!O149)/2)</f>
        <v>1.0651927505298662</v>
      </c>
      <c r="D157" s="27">
        <f>D156*(Presion_cilindro!O148/Presion_cilindro!O149)^Presion_cilindro!$B$9+10*(Presion_cilindro!$B$9-1)*Presion_cilindro!$B$33*(IF(Presion_cilindro!N149&gt;(-D$4+Presion_cilindro!$B$34),1-EXP(-Presion_cilindro!$B$16*((Presion_cilindro!N149-(-D$4+Presion_cilindro!$B$34))/Presion_cilindro!$B$35)^(Presion_cilindro!$B$17+1)),0)-IF(Presion_cilindro!N148&gt;(-D$4+Presion_cilindro!$B$34),1-EXP(-Presion_cilindro!$B$16*((Presion_cilindro!N148-(-D$4+Presion_cilindro!$B$34))/Presion_cilindro!$B$35)^(Presion_cilindro!$B$17+1)),0))/((Presion_cilindro!O148+Presion_cilindro!O149)/2)</f>
        <v>1.0651927505298662</v>
      </c>
      <c r="E157" s="27">
        <f>E156*(Presion_cilindro!O148/Presion_cilindro!O149)^Presion_cilindro!$B$9+10*(Presion_cilindro!$B$9-1)*Presion_cilindro!$B$33*(IF(Presion_cilindro!N149&gt;(-E$4+Presion_cilindro!$B$34),1-EXP(-Presion_cilindro!$B$16*((Presion_cilindro!N149-(-E$4+Presion_cilindro!$B$34))/Presion_cilindro!$B$35)^(Presion_cilindro!$B$17+1)),0)-IF(Presion_cilindro!N148&gt;(-E$4+Presion_cilindro!$B$34),1-EXP(-Presion_cilindro!$B$16*((Presion_cilindro!N148-(-E$4+Presion_cilindro!$B$34))/Presion_cilindro!$B$35)^(Presion_cilindro!$B$17+1)),0))/((Presion_cilindro!O148+Presion_cilindro!O149)/2)</f>
        <v>1.0651927505298662</v>
      </c>
      <c r="F157" s="27">
        <f>F156*(Presion_cilindro!O148/Presion_cilindro!O149)^Presion_cilindro!$B$9+10*(Presion_cilindro!$B$9-1)*Presion_cilindro!$B$33*(IF(Presion_cilindro!N149&gt;(-F$4+Presion_cilindro!$B$34),1-EXP(-Presion_cilindro!$B$16*((Presion_cilindro!N149-(-F$4+Presion_cilindro!$B$34))/Presion_cilindro!$B$35)^(Presion_cilindro!$B$17+1)),0)-IF(Presion_cilindro!N148&gt;(-F$4+Presion_cilindro!$B$34),1-EXP(-Presion_cilindro!$B$16*((Presion_cilindro!N148-(-F$4+Presion_cilindro!$B$34))/Presion_cilindro!$B$35)^(Presion_cilindro!$B$17+1)),0))/((Presion_cilindro!O148+Presion_cilindro!O149)/2)</f>
        <v>1.0651927505298662</v>
      </c>
      <c r="G157" s="27">
        <f>G156*(Presion_cilindro!O148/Presion_cilindro!O149)^Presion_cilindro!$B$9+10*(Presion_cilindro!$B$9-1)*Presion_cilindro!$B$33*(IF(Presion_cilindro!N149&gt;(-G$4+Presion_cilindro!$B$34),1-EXP(-Presion_cilindro!$B$16*((Presion_cilindro!N149-(-G$4+Presion_cilindro!$B$34))/Presion_cilindro!$B$35)^(Presion_cilindro!$B$17+1)),0)-IF(Presion_cilindro!N148&gt;(-G$4+Presion_cilindro!$B$34),1-EXP(-Presion_cilindro!$B$16*((Presion_cilindro!N148-(-G$4+Presion_cilindro!$B$34))/Presion_cilindro!$B$35)^(Presion_cilindro!$B$17+1)),0))/((Presion_cilindro!O148+Presion_cilindro!O149)/2)</f>
        <v>1.0651927505298662</v>
      </c>
      <c r="H157" s="27">
        <f>H156*(Presion_cilindro!O148/Presion_cilindro!O149)^Presion_cilindro!$B$9+10*(Presion_cilindro!$B$9-1)*Presion_cilindro!$B$33*(IF(Presion_cilindro!N149&gt;(-H$4+Presion_cilindro!$B$34),1-EXP(-Presion_cilindro!$B$16*((Presion_cilindro!N149-(-H$4+Presion_cilindro!$B$34))/Presion_cilindro!$B$35)^(Presion_cilindro!$B$17+1)),0)-IF(Presion_cilindro!N148&gt;(-H$4+Presion_cilindro!$B$34),1-EXP(-Presion_cilindro!$B$16*((Presion_cilindro!N148-(-H$4+Presion_cilindro!$B$34))/Presion_cilindro!$B$35)^(Presion_cilindro!$B$17+1)),0))/((Presion_cilindro!O148+Presion_cilindro!O149)/2)</f>
        <v>1.0651927505298662</v>
      </c>
      <c r="I157" s="27">
        <f>I156*(Presion_cilindro!O148/Presion_cilindro!O149)^Presion_cilindro!$B$9+10*(Presion_cilindro!$B$9-1)*Presion_cilindro!$B$33*(IF(Presion_cilindro!N149&gt;(-I$4+Presion_cilindro!$B$34),1-EXP(-Presion_cilindro!$B$16*((Presion_cilindro!N149-(-I$4+Presion_cilindro!$B$34))/Presion_cilindro!$B$35)^(Presion_cilindro!$B$17+1)),0)-IF(Presion_cilindro!N148&gt;(-I$4+Presion_cilindro!$B$34),1-EXP(-Presion_cilindro!$B$16*((Presion_cilindro!N148-(-I$4+Presion_cilindro!$B$34))/Presion_cilindro!$B$35)^(Presion_cilindro!$B$17+1)),0))/((Presion_cilindro!O148+Presion_cilindro!O149)/2)</f>
        <v>1.0651927505298662</v>
      </c>
      <c r="J157" s="27">
        <f>J156*(Presion_cilindro!O148/Presion_cilindro!O149)^Presion_cilindro!$B$9+10*(Presion_cilindro!$B$9-1)*Presion_cilindro!$B$33*(IF(Presion_cilindro!N149&gt;(-J$4+Presion_cilindro!$B$34),1-EXP(-Presion_cilindro!$B$16*((Presion_cilindro!N149-(-J$4+Presion_cilindro!$B$34))/Presion_cilindro!$B$35)^(Presion_cilindro!$B$17+1)),0)-IF(Presion_cilindro!N148&gt;(-J$4+Presion_cilindro!$B$34),1-EXP(-Presion_cilindro!$B$16*((Presion_cilindro!N148-(-J$4+Presion_cilindro!$B$34))/Presion_cilindro!$B$35)^(Presion_cilindro!$B$17+1)),0))/((Presion_cilindro!O148+Presion_cilindro!O149)/2)</f>
        <v>1.0651927505298662</v>
      </c>
      <c r="K157" s="27">
        <f>K156*(Presion_cilindro!O148/Presion_cilindro!O149)^Presion_cilindro!$B$9+10*(Presion_cilindro!$B$9-1)*Presion_cilindro!$B$33*(IF(Presion_cilindro!N149&gt;(-K$4+Presion_cilindro!$B$34),1-EXP(-Presion_cilindro!$B$16*((Presion_cilindro!N149-(-K$4+Presion_cilindro!$B$34))/Presion_cilindro!$B$35)^(Presion_cilindro!$B$17+1)),0)-IF(Presion_cilindro!N148&gt;(-K$4+Presion_cilindro!$B$34),1-EXP(-Presion_cilindro!$B$16*((Presion_cilindro!N148-(-K$4+Presion_cilindro!$B$34))/Presion_cilindro!$B$35)^(Presion_cilindro!$B$17+1)),0))/((Presion_cilindro!O148+Presion_cilindro!O149)/2)</f>
        <v>1.0651927505298662</v>
      </c>
      <c r="L157" s="27">
        <f>L156*(Presion_cilindro!O148/Presion_cilindro!O149)^Presion_cilindro!$B$9+10*(Presion_cilindro!$B$9-1)*Presion_cilindro!$B$33*(IF(Presion_cilindro!N149&gt;(-L$4+Presion_cilindro!$B$34),1-EXP(-Presion_cilindro!$B$16*((Presion_cilindro!N149-(-L$4+Presion_cilindro!$B$34))/Presion_cilindro!$B$35)^(Presion_cilindro!$B$17+1)),0)-IF(Presion_cilindro!N148&gt;(-L$4+Presion_cilindro!$B$34),1-EXP(-Presion_cilindro!$B$16*((Presion_cilindro!N148-(-L$4+Presion_cilindro!$B$34))/Presion_cilindro!$B$35)^(Presion_cilindro!$B$17+1)),0))/((Presion_cilindro!O148+Presion_cilindro!O149)/2)</f>
        <v>1.0651927505298662</v>
      </c>
      <c r="M157" s="27">
        <f>M156*(Presion_cilindro!O148/Presion_cilindro!O149)^Presion_cilindro!$B$9+10*(Presion_cilindro!$B$9-1)*Presion_cilindro!$B$33*(IF(Presion_cilindro!N149&gt;(-M$4+Presion_cilindro!$B$34),1-EXP(-Presion_cilindro!$B$16*((Presion_cilindro!N149-(-M$4+Presion_cilindro!$B$34))/Presion_cilindro!$B$35)^(Presion_cilindro!$B$17+1)),0)-IF(Presion_cilindro!N148&gt;(-M$4+Presion_cilindro!$B$34),1-EXP(-Presion_cilindro!$B$16*((Presion_cilindro!N148-(-M$4+Presion_cilindro!$B$34))/Presion_cilindro!$B$35)^(Presion_cilindro!$B$17+1)),0))/((Presion_cilindro!O148+Presion_cilindro!O149)/2)</f>
        <v>1.0651927505298662</v>
      </c>
      <c r="N157" s="27">
        <f>N156*(Presion_cilindro!O148/Presion_cilindro!O149)^Presion_cilindro!$B$9+10*(Presion_cilindro!$B$9-1)*Presion_cilindro!$B$33*(IF(Presion_cilindro!N149&gt;(-N$4+Presion_cilindro!$B$34),1-EXP(-Presion_cilindro!$B$16*((Presion_cilindro!N149-(-N$4+Presion_cilindro!$B$34))/Presion_cilindro!$B$35)^(Presion_cilindro!$B$17+1)),0)-IF(Presion_cilindro!N148&gt;(-N$4+Presion_cilindro!$B$34),1-EXP(-Presion_cilindro!$B$16*((Presion_cilindro!N148-(-N$4+Presion_cilindro!$B$34))/Presion_cilindro!$B$35)^(Presion_cilindro!$B$17+1)),0))/((Presion_cilindro!O148+Presion_cilindro!O149)/2)</f>
        <v>1.0651927505298662</v>
      </c>
    </row>
    <row r="158" spans="1:14" x14ac:dyDescent="0.25">
      <c r="A158" s="21">
        <f>Presion_cilindro!N150</f>
        <v>-107</v>
      </c>
      <c r="B158" s="27">
        <f>B157*(Presion_cilindro!O149/Presion_cilindro!O150)^Presion_cilindro!$B$9+10*(Presion_cilindro!$B$9-1)*Presion_cilindro!$B$33*(IF(Presion_cilindro!N150&gt;(-B$4+Presion_cilindro!$B$34),1-EXP(-Presion_cilindro!$B$16*((Presion_cilindro!N150-(-B$4+Presion_cilindro!$B$34))/Presion_cilindro!$B$35)^(Presion_cilindro!$B$17+1)),0)-IF(Presion_cilindro!N149&gt;(-B$4+Presion_cilindro!$B$34),1-EXP(-Presion_cilindro!$B$16*((Presion_cilindro!N149-(-B$4+Presion_cilindro!$B$34))/Presion_cilindro!$B$35)^(Presion_cilindro!$B$17+1)),0))/((Presion_cilindro!O149+Presion_cilindro!O150)/2)</f>
        <v>1.071732087419536</v>
      </c>
      <c r="C158" s="27">
        <f>C157*(Presion_cilindro!O149/Presion_cilindro!O150)^Presion_cilindro!$B$9+10*(Presion_cilindro!$B$9-1)*Presion_cilindro!$B$33*(IF(Presion_cilindro!N150&gt;(-C$4+Presion_cilindro!$B$34),1-EXP(-Presion_cilindro!$B$16*((Presion_cilindro!N150-(-C$4+Presion_cilindro!$B$34))/Presion_cilindro!$B$35)^(Presion_cilindro!$B$17+1)),0)-IF(Presion_cilindro!N149&gt;(-C$4+Presion_cilindro!$B$34),1-EXP(-Presion_cilindro!$B$16*((Presion_cilindro!N149-(-C$4+Presion_cilindro!$B$34))/Presion_cilindro!$B$35)^(Presion_cilindro!$B$17+1)),0))/((Presion_cilindro!O149+Presion_cilindro!O150)/2)</f>
        <v>1.071732087419536</v>
      </c>
      <c r="D158" s="27">
        <f>D157*(Presion_cilindro!O149/Presion_cilindro!O150)^Presion_cilindro!$B$9+10*(Presion_cilindro!$B$9-1)*Presion_cilindro!$B$33*(IF(Presion_cilindro!N150&gt;(-D$4+Presion_cilindro!$B$34),1-EXP(-Presion_cilindro!$B$16*((Presion_cilindro!N150-(-D$4+Presion_cilindro!$B$34))/Presion_cilindro!$B$35)^(Presion_cilindro!$B$17+1)),0)-IF(Presion_cilindro!N149&gt;(-D$4+Presion_cilindro!$B$34),1-EXP(-Presion_cilindro!$B$16*((Presion_cilindro!N149-(-D$4+Presion_cilindro!$B$34))/Presion_cilindro!$B$35)^(Presion_cilindro!$B$17+1)),0))/((Presion_cilindro!O149+Presion_cilindro!O150)/2)</f>
        <v>1.071732087419536</v>
      </c>
      <c r="E158" s="27">
        <f>E157*(Presion_cilindro!O149/Presion_cilindro!O150)^Presion_cilindro!$B$9+10*(Presion_cilindro!$B$9-1)*Presion_cilindro!$B$33*(IF(Presion_cilindro!N150&gt;(-E$4+Presion_cilindro!$B$34),1-EXP(-Presion_cilindro!$B$16*((Presion_cilindro!N150-(-E$4+Presion_cilindro!$B$34))/Presion_cilindro!$B$35)^(Presion_cilindro!$B$17+1)),0)-IF(Presion_cilindro!N149&gt;(-E$4+Presion_cilindro!$B$34),1-EXP(-Presion_cilindro!$B$16*((Presion_cilindro!N149-(-E$4+Presion_cilindro!$B$34))/Presion_cilindro!$B$35)^(Presion_cilindro!$B$17+1)),0))/((Presion_cilindro!O149+Presion_cilindro!O150)/2)</f>
        <v>1.071732087419536</v>
      </c>
      <c r="F158" s="27">
        <f>F157*(Presion_cilindro!O149/Presion_cilindro!O150)^Presion_cilindro!$B$9+10*(Presion_cilindro!$B$9-1)*Presion_cilindro!$B$33*(IF(Presion_cilindro!N150&gt;(-F$4+Presion_cilindro!$B$34),1-EXP(-Presion_cilindro!$B$16*((Presion_cilindro!N150-(-F$4+Presion_cilindro!$B$34))/Presion_cilindro!$B$35)^(Presion_cilindro!$B$17+1)),0)-IF(Presion_cilindro!N149&gt;(-F$4+Presion_cilindro!$B$34),1-EXP(-Presion_cilindro!$B$16*((Presion_cilindro!N149-(-F$4+Presion_cilindro!$B$34))/Presion_cilindro!$B$35)^(Presion_cilindro!$B$17+1)),0))/((Presion_cilindro!O149+Presion_cilindro!O150)/2)</f>
        <v>1.071732087419536</v>
      </c>
      <c r="G158" s="27">
        <f>G157*(Presion_cilindro!O149/Presion_cilindro!O150)^Presion_cilindro!$B$9+10*(Presion_cilindro!$B$9-1)*Presion_cilindro!$B$33*(IF(Presion_cilindro!N150&gt;(-G$4+Presion_cilindro!$B$34),1-EXP(-Presion_cilindro!$B$16*((Presion_cilindro!N150-(-G$4+Presion_cilindro!$B$34))/Presion_cilindro!$B$35)^(Presion_cilindro!$B$17+1)),0)-IF(Presion_cilindro!N149&gt;(-G$4+Presion_cilindro!$B$34),1-EXP(-Presion_cilindro!$B$16*((Presion_cilindro!N149-(-G$4+Presion_cilindro!$B$34))/Presion_cilindro!$B$35)^(Presion_cilindro!$B$17+1)),0))/((Presion_cilindro!O149+Presion_cilindro!O150)/2)</f>
        <v>1.071732087419536</v>
      </c>
      <c r="H158" s="27">
        <f>H157*(Presion_cilindro!O149/Presion_cilindro!O150)^Presion_cilindro!$B$9+10*(Presion_cilindro!$B$9-1)*Presion_cilindro!$B$33*(IF(Presion_cilindro!N150&gt;(-H$4+Presion_cilindro!$B$34),1-EXP(-Presion_cilindro!$B$16*((Presion_cilindro!N150-(-H$4+Presion_cilindro!$B$34))/Presion_cilindro!$B$35)^(Presion_cilindro!$B$17+1)),0)-IF(Presion_cilindro!N149&gt;(-H$4+Presion_cilindro!$B$34),1-EXP(-Presion_cilindro!$B$16*((Presion_cilindro!N149-(-H$4+Presion_cilindro!$B$34))/Presion_cilindro!$B$35)^(Presion_cilindro!$B$17+1)),0))/((Presion_cilindro!O149+Presion_cilindro!O150)/2)</f>
        <v>1.071732087419536</v>
      </c>
      <c r="I158" s="27">
        <f>I157*(Presion_cilindro!O149/Presion_cilindro!O150)^Presion_cilindro!$B$9+10*(Presion_cilindro!$B$9-1)*Presion_cilindro!$B$33*(IF(Presion_cilindro!N150&gt;(-I$4+Presion_cilindro!$B$34),1-EXP(-Presion_cilindro!$B$16*((Presion_cilindro!N150-(-I$4+Presion_cilindro!$B$34))/Presion_cilindro!$B$35)^(Presion_cilindro!$B$17+1)),0)-IF(Presion_cilindro!N149&gt;(-I$4+Presion_cilindro!$B$34),1-EXP(-Presion_cilindro!$B$16*((Presion_cilindro!N149-(-I$4+Presion_cilindro!$B$34))/Presion_cilindro!$B$35)^(Presion_cilindro!$B$17+1)),0))/((Presion_cilindro!O149+Presion_cilindro!O150)/2)</f>
        <v>1.071732087419536</v>
      </c>
      <c r="J158" s="27">
        <f>J157*(Presion_cilindro!O149/Presion_cilindro!O150)^Presion_cilindro!$B$9+10*(Presion_cilindro!$B$9-1)*Presion_cilindro!$B$33*(IF(Presion_cilindro!N150&gt;(-J$4+Presion_cilindro!$B$34),1-EXP(-Presion_cilindro!$B$16*((Presion_cilindro!N150-(-J$4+Presion_cilindro!$B$34))/Presion_cilindro!$B$35)^(Presion_cilindro!$B$17+1)),0)-IF(Presion_cilindro!N149&gt;(-J$4+Presion_cilindro!$B$34),1-EXP(-Presion_cilindro!$B$16*((Presion_cilindro!N149-(-J$4+Presion_cilindro!$B$34))/Presion_cilindro!$B$35)^(Presion_cilindro!$B$17+1)),0))/((Presion_cilindro!O149+Presion_cilindro!O150)/2)</f>
        <v>1.071732087419536</v>
      </c>
      <c r="K158" s="27">
        <f>K157*(Presion_cilindro!O149/Presion_cilindro!O150)^Presion_cilindro!$B$9+10*(Presion_cilindro!$B$9-1)*Presion_cilindro!$B$33*(IF(Presion_cilindro!N150&gt;(-K$4+Presion_cilindro!$B$34),1-EXP(-Presion_cilindro!$B$16*((Presion_cilindro!N150-(-K$4+Presion_cilindro!$B$34))/Presion_cilindro!$B$35)^(Presion_cilindro!$B$17+1)),0)-IF(Presion_cilindro!N149&gt;(-K$4+Presion_cilindro!$B$34),1-EXP(-Presion_cilindro!$B$16*((Presion_cilindro!N149-(-K$4+Presion_cilindro!$B$34))/Presion_cilindro!$B$35)^(Presion_cilindro!$B$17+1)),0))/((Presion_cilindro!O149+Presion_cilindro!O150)/2)</f>
        <v>1.071732087419536</v>
      </c>
      <c r="L158" s="27">
        <f>L157*(Presion_cilindro!O149/Presion_cilindro!O150)^Presion_cilindro!$B$9+10*(Presion_cilindro!$B$9-1)*Presion_cilindro!$B$33*(IF(Presion_cilindro!N150&gt;(-L$4+Presion_cilindro!$B$34),1-EXP(-Presion_cilindro!$B$16*((Presion_cilindro!N150-(-L$4+Presion_cilindro!$B$34))/Presion_cilindro!$B$35)^(Presion_cilindro!$B$17+1)),0)-IF(Presion_cilindro!N149&gt;(-L$4+Presion_cilindro!$B$34),1-EXP(-Presion_cilindro!$B$16*((Presion_cilindro!N149-(-L$4+Presion_cilindro!$B$34))/Presion_cilindro!$B$35)^(Presion_cilindro!$B$17+1)),0))/((Presion_cilindro!O149+Presion_cilindro!O150)/2)</f>
        <v>1.071732087419536</v>
      </c>
      <c r="M158" s="27">
        <f>M157*(Presion_cilindro!O149/Presion_cilindro!O150)^Presion_cilindro!$B$9+10*(Presion_cilindro!$B$9-1)*Presion_cilindro!$B$33*(IF(Presion_cilindro!N150&gt;(-M$4+Presion_cilindro!$B$34),1-EXP(-Presion_cilindro!$B$16*((Presion_cilindro!N150-(-M$4+Presion_cilindro!$B$34))/Presion_cilindro!$B$35)^(Presion_cilindro!$B$17+1)),0)-IF(Presion_cilindro!N149&gt;(-M$4+Presion_cilindro!$B$34),1-EXP(-Presion_cilindro!$B$16*((Presion_cilindro!N149-(-M$4+Presion_cilindro!$B$34))/Presion_cilindro!$B$35)^(Presion_cilindro!$B$17+1)),0))/((Presion_cilindro!O149+Presion_cilindro!O150)/2)</f>
        <v>1.071732087419536</v>
      </c>
      <c r="N158" s="27">
        <f>N157*(Presion_cilindro!O149/Presion_cilindro!O150)^Presion_cilindro!$B$9+10*(Presion_cilindro!$B$9-1)*Presion_cilindro!$B$33*(IF(Presion_cilindro!N150&gt;(-N$4+Presion_cilindro!$B$34),1-EXP(-Presion_cilindro!$B$16*((Presion_cilindro!N150-(-N$4+Presion_cilindro!$B$34))/Presion_cilindro!$B$35)^(Presion_cilindro!$B$17+1)),0)-IF(Presion_cilindro!N149&gt;(-N$4+Presion_cilindro!$B$34),1-EXP(-Presion_cilindro!$B$16*((Presion_cilindro!N149-(-N$4+Presion_cilindro!$B$34))/Presion_cilindro!$B$35)^(Presion_cilindro!$B$17+1)),0))/((Presion_cilindro!O149+Presion_cilindro!O150)/2)</f>
        <v>1.071732087419536</v>
      </c>
    </row>
    <row r="159" spans="1:14" x14ac:dyDescent="0.25">
      <c r="A159" s="21">
        <f>Presion_cilindro!N151</f>
        <v>-106.5</v>
      </c>
      <c r="B159" s="27">
        <f>B158*(Presion_cilindro!O150/Presion_cilindro!O151)^Presion_cilindro!$B$9+10*(Presion_cilindro!$B$9-1)*Presion_cilindro!$B$33*(IF(Presion_cilindro!N151&gt;(-B$4+Presion_cilindro!$B$34),1-EXP(-Presion_cilindro!$B$16*((Presion_cilindro!N151-(-B$4+Presion_cilindro!$B$34))/Presion_cilindro!$B$35)^(Presion_cilindro!$B$17+1)),0)-IF(Presion_cilindro!N150&gt;(-B$4+Presion_cilindro!$B$34),1-EXP(-Presion_cilindro!$B$16*((Presion_cilindro!N150-(-B$4+Presion_cilindro!$B$34))/Presion_cilindro!$B$35)^(Presion_cilindro!$B$17+1)),0))/((Presion_cilindro!O150+Presion_cilindro!O151)/2)</f>
        <v>1.0783778113023432</v>
      </c>
      <c r="C159" s="27">
        <f>C158*(Presion_cilindro!O150/Presion_cilindro!O151)^Presion_cilindro!$B$9+10*(Presion_cilindro!$B$9-1)*Presion_cilindro!$B$33*(IF(Presion_cilindro!N151&gt;(-C$4+Presion_cilindro!$B$34),1-EXP(-Presion_cilindro!$B$16*((Presion_cilindro!N151-(-C$4+Presion_cilindro!$B$34))/Presion_cilindro!$B$35)^(Presion_cilindro!$B$17+1)),0)-IF(Presion_cilindro!N150&gt;(-C$4+Presion_cilindro!$B$34),1-EXP(-Presion_cilindro!$B$16*((Presion_cilindro!N150-(-C$4+Presion_cilindro!$B$34))/Presion_cilindro!$B$35)^(Presion_cilindro!$B$17+1)),0))/((Presion_cilindro!O150+Presion_cilindro!O151)/2)</f>
        <v>1.0783778113023432</v>
      </c>
      <c r="D159" s="27">
        <f>D158*(Presion_cilindro!O150/Presion_cilindro!O151)^Presion_cilindro!$B$9+10*(Presion_cilindro!$B$9-1)*Presion_cilindro!$B$33*(IF(Presion_cilindro!N151&gt;(-D$4+Presion_cilindro!$B$34),1-EXP(-Presion_cilindro!$B$16*((Presion_cilindro!N151-(-D$4+Presion_cilindro!$B$34))/Presion_cilindro!$B$35)^(Presion_cilindro!$B$17+1)),0)-IF(Presion_cilindro!N150&gt;(-D$4+Presion_cilindro!$B$34),1-EXP(-Presion_cilindro!$B$16*((Presion_cilindro!N150-(-D$4+Presion_cilindro!$B$34))/Presion_cilindro!$B$35)^(Presion_cilindro!$B$17+1)),0))/((Presion_cilindro!O150+Presion_cilindro!O151)/2)</f>
        <v>1.0783778113023432</v>
      </c>
      <c r="E159" s="27">
        <f>E158*(Presion_cilindro!O150/Presion_cilindro!O151)^Presion_cilindro!$B$9+10*(Presion_cilindro!$B$9-1)*Presion_cilindro!$B$33*(IF(Presion_cilindro!N151&gt;(-E$4+Presion_cilindro!$B$34),1-EXP(-Presion_cilindro!$B$16*((Presion_cilindro!N151-(-E$4+Presion_cilindro!$B$34))/Presion_cilindro!$B$35)^(Presion_cilindro!$B$17+1)),0)-IF(Presion_cilindro!N150&gt;(-E$4+Presion_cilindro!$B$34),1-EXP(-Presion_cilindro!$B$16*((Presion_cilindro!N150-(-E$4+Presion_cilindro!$B$34))/Presion_cilindro!$B$35)^(Presion_cilindro!$B$17+1)),0))/((Presion_cilindro!O150+Presion_cilindro!O151)/2)</f>
        <v>1.0783778113023432</v>
      </c>
      <c r="F159" s="27">
        <f>F158*(Presion_cilindro!O150/Presion_cilindro!O151)^Presion_cilindro!$B$9+10*(Presion_cilindro!$B$9-1)*Presion_cilindro!$B$33*(IF(Presion_cilindro!N151&gt;(-F$4+Presion_cilindro!$B$34),1-EXP(-Presion_cilindro!$B$16*((Presion_cilindro!N151-(-F$4+Presion_cilindro!$B$34))/Presion_cilindro!$B$35)^(Presion_cilindro!$B$17+1)),0)-IF(Presion_cilindro!N150&gt;(-F$4+Presion_cilindro!$B$34),1-EXP(-Presion_cilindro!$B$16*((Presion_cilindro!N150-(-F$4+Presion_cilindro!$B$34))/Presion_cilindro!$B$35)^(Presion_cilindro!$B$17+1)),0))/((Presion_cilindro!O150+Presion_cilindro!O151)/2)</f>
        <v>1.0783778113023432</v>
      </c>
      <c r="G159" s="27">
        <f>G158*(Presion_cilindro!O150/Presion_cilindro!O151)^Presion_cilindro!$B$9+10*(Presion_cilindro!$B$9-1)*Presion_cilindro!$B$33*(IF(Presion_cilindro!N151&gt;(-G$4+Presion_cilindro!$B$34),1-EXP(-Presion_cilindro!$B$16*((Presion_cilindro!N151-(-G$4+Presion_cilindro!$B$34))/Presion_cilindro!$B$35)^(Presion_cilindro!$B$17+1)),0)-IF(Presion_cilindro!N150&gt;(-G$4+Presion_cilindro!$B$34),1-EXP(-Presion_cilindro!$B$16*((Presion_cilindro!N150-(-G$4+Presion_cilindro!$B$34))/Presion_cilindro!$B$35)^(Presion_cilindro!$B$17+1)),0))/((Presion_cilindro!O150+Presion_cilindro!O151)/2)</f>
        <v>1.0783778113023432</v>
      </c>
      <c r="H159" s="27">
        <f>H158*(Presion_cilindro!O150/Presion_cilindro!O151)^Presion_cilindro!$B$9+10*(Presion_cilindro!$B$9-1)*Presion_cilindro!$B$33*(IF(Presion_cilindro!N151&gt;(-H$4+Presion_cilindro!$B$34),1-EXP(-Presion_cilindro!$B$16*((Presion_cilindro!N151-(-H$4+Presion_cilindro!$B$34))/Presion_cilindro!$B$35)^(Presion_cilindro!$B$17+1)),0)-IF(Presion_cilindro!N150&gt;(-H$4+Presion_cilindro!$B$34),1-EXP(-Presion_cilindro!$B$16*((Presion_cilindro!N150-(-H$4+Presion_cilindro!$B$34))/Presion_cilindro!$B$35)^(Presion_cilindro!$B$17+1)),0))/((Presion_cilindro!O150+Presion_cilindro!O151)/2)</f>
        <v>1.0783778113023432</v>
      </c>
      <c r="I159" s="27">
        <f>I158*(Presion_cilindro!O150/Presion_cilindro!O151)^Presion_cilindro!$B$9+10*(Presion_cilindro!$B$9-1)*Presion_cilindro!$B$33*(IF(Presion_cilindro!N151&gt;(-I$4+Presion_cilindro!$B$34),1-EXP(-Presion_cilindro!$B$16*((Presion_cilindro!N151-(-I$4+Presion_cilindro!$B$34))/Presion_cilindro!$B$35)^(Presion_cilindro!$B$17+1)),0)-IF(Presion_cilindro!N150&gt;(-I$4+Presion_cilindro!$B$34),1-EXP(-Presion_cilindro!$B$16*((Presion_cilindro!N150-(-I$4+Presion_cilindro!$B$34))/Presion_cilindro!$B$35)^(Presion_cilindro!$B$17+1)),0))/((Presion_cilindro!O150+Presion_cilindro!O151)/2)</f>
        <v>1.0783778113023432</v>
      </c>
      <c r="J159" s="27">
        <f>J158*(Presion_cilindro!O150/Presion_cilindro!O151)^Presion_cilindro!$B$9+10*(Presion_cilindro!$B$9-1)*Presion_cilindro!$B$33*(IF(Presion_cilindro!N151&gt;(-J$4+Presion_cilindro!$B$34),1-EXP(-Presion_cilindro!$B$16*((Presion_cilindro!N151-(-J$4+Presion_cilindro!$B$34))/Presion_cilindro!$B$35)^(Presion_cilindro!$B$17+1)),0)-IF(Presion_cilindro!N150&gt;(-J$4+Presion_cilindro!$B$34),1-EXP(-Presion_cilindro!$B$16*((Presion_cilindro!N150-(-J$4+Presion_cilindro!$B$34))/Presion_cilindro!$B$35)^(Presion_cilindro!$B$17+1)),0))/((Presion_cilindro!O150+Presion_cilindro!O151)/2)</f>
        <v>1.0783778113023432</v>
      </c>
      <c r="K159" s="27">
        <f>K158*(Presion_cilindro!O150/Presion_cilindro!O151)^Presion_cilindro!$B$9+10*(Presion_cilindro!$B$9-1)*Presion_cilindro!$B$33*(IF(Presion_cilindro!N151&gt;(-K$4+Presion_cilindro!$B$34),1-EXP(-Presion_cilindro!$B$16*((Presion_cilindro!N151-(-K$4+Presion_cilindro!$B$34))/Presion_cilindro!$B$35)^(Presion_cilindro!$B$17+1)),0)-IF(Presion_cilindro!N150&gt;(-K$4+Presion_cilindro!$B$34),1-EXP(-Presion_cilindro!$B$16*((Presion_cilindro!N150-(-K$4+Presion_cilindro!$B$34))/Presion_cilindro!$B$35)^(Presion_cilindro!$B$17+1)),0))/((Presion_cilindro!O150+Presion_cilindro!O151)/2)</f>
        <v>1.0783778113023432</v>
      </c>
      <c r="L159" s="27">
        <f>L158*(Presion_cilindro!O150/Presion_cilindro!O151)^Presion_cilindro!$B$9+10*(Presion_cilindro!$B$9-1)*Presion_cilindro!$B$33*(IF(Presion_cilindro!N151&gt;(-L$4+Presion_cilindro!$B$34),1-EXP(-Presion_cilindro!$B$16*((Presion_cilindro!N151-(-L$4+Presion_cilindro!$B$34))/Presion_cilindro!$B$35)^(Presion_cilindro!$B$17+1)),0)-IF(Presion_cilindro!N150&gt;(-L$4+Presion_cilindro!$B$34),1-EXP(-Presion_cilindro!$B$16*((Presion_cilindro!N150-(-L$4+Presion_cilindro!$B$34))/Presion_cilindro!$B$35)^(Presion_cilindro!$B$17+1)),0))/((Presion_cilindro!O150+Presion_cilindro!O151)/2)</f>
        <v>1.0783778113023432</v>
      </c>
      <c r="M159" s="27">
        <f>M158*(Presion_cilindro!O150/Presion_cilindro!O151)^Presion_cilindro!$B$9+10*(Presion_cilindro!$B$9-1)*Presion_cilindro!$B$33*(IF(Presion_cilindro!N151&gt;(-M$4+Presion_cilindro!$B$34),1-EXP(-Presion_cilindro!$B$16*((Presion_cilindro!N151-(-M$4+Presion_cilindro!$B$34))/Presion_cilindro!$B$35)^(Presion_cilindro!$B$17+1)),0)-IF(Presion_cilindro!N150&gt;(-M$4+Presion_cilindro!$B$34),1-EXP(-Presion_cilindro!$B$16*((Presion_cilindro!N150-(-M$4+Presion_cilindro!$B$34))/Presion_cilindro!$B$35)^(Presion_cilindro!$B$17+1)),0))/((Presion_cilindro!O150+Presion_cilindro!O151)/2)</f>
        <v>1.0783778113023432</v>
      </c>
      <c r="N159" s="27">
        <f>N158*(Presion_cilindro!O150/Presion_cilindro!O151)^Presion_cilindro!$B$9+10*(Presion_cilindro!$B$9-1)*Presion_cilindro!$B$33*(IF(Presion_cilindro!N151&gt;(-N$4+Presion_cilindro!$B$34),1-EXP(-Presion_cilindro!$B$16*((Presion_cilindro!N151-(-N$4+Presion_cilindro!$B$34))/Presion_cilindro!$B$35)^(Presion_cilindro!$B$17+1)),0)-IF(Presion_cilindro!N150&gt;(-N$4+Presion_cilindro!$B$34),1-EXP(-Presion_cilindro!$B$16*((Presion_cilindro!N150-(-N$4+Presion_cilindro!$B$34))/Presion_cilindro!$B$35)^(Presion_cilindro!$B$17+1)),0))/((Presion_cilindro!O150+Presion_cilindro!O151)/2)</f>
        <v>1.0783778113023432</v>
      </c>
    </row>
    <row r="160" spans="1:14" x14ac:dyDescent="0.25">
      <c r="A160" s="21">
        <f>Presion_cilindro!N152</f>
        <v>-106</v>
      </c>
      <c r="B160" s="27">
        <f>B159*(Presion_cilindro!O151/Presion_cilindro!O152)^Presion_cilindro!$B$9+10*(Presion_cilindro!$B$9-1)*Presion_cilindro!$B$33*(IF(Presion_cilindro!N152&gt;(-B$4+Presion_cilindro!$B$34),1-EXP(-Presion_cilindro!$B$16*((Presion_cilindro!N152-(-B$4+Presion_cilindro!$B$34))/Presion_cilindro!$B$35)^(Presion_cilindro!$B$17+1)),0)-IF(Presion_cilindro!N151&gt;(-B$4+Presion_cilindro!$B$34),1-EXP(-Presion_cilindro!$B$16*((Presion_cilindro!N151-(-B$4+Presion_cilindro!$B$34))/Presion_cilindro!$B$35)^(Presion_cilindro!$B$17+1)),0))/((Presion_cilindro!O151+Presion_cilindro!O152)/2)</f>
        <v>1.0851318315621523</v>
      </c>
      <c r="C160" s="27">
        <f>C159*(Presion_cilindro!O151/Presion_cilindro!O152)^Presion_cilindro!$B$9+10*(Presion_cilindro!$B$9-1)*Presion_cilindro!$B$33*(IF(Presion_cilindro!N152&gt;(-C$4+Presion_cilindro!$B$34),1-EXP(-Presion_cilindro!$B$16*((Presion_cilindro!N152-(-C$4+Presion_cilindro!$B$34))/Presion_cilindro!$B$35)^(Presion_cilindro!$B$17+1)),0)-IF(Presion_cilindro!N151&gt;(-C$4+Presion_cilindro!$B$34),1-EXP(-Presion_cilindro!$B$16*((Presion_cilindro!N151-(-C$4+Presion_cilindro!$B$34))/Presion_cilindro!$B$35)^(Presion_cilindro!$B$17+1)),0))/((Presion_cilindro!O151+Presion_cilindro!O152)/2)</f>
        <v>1.0851318315621523</v>
      </c>
      <c r="D160" s="27">
        <f>D159*(Presion_cilindro!O151/Presion_cilindro!O152)^Presion_cilindro!$B$9+10*(Presion_cilindro!$B$9-1)*Presion_cilindro!$B$33*(IF(Presion_cilindro!N152&gt;(-D$4+Presion_cilindro!$B$34),1-EXP(-Presion_cilindro!$B$16*((Presion_cilindro!N152-(-D$4+Presion_cilindro!$B$34))/Presion_cilindro!$B$35)^(Presion_cilindro!$B$17+1)),0)-IF(Presion_cilindro!N151&gt;(-D$4+Presion_cilindro!$B$34),1-EXP(-Presion_cilindro!$B$16*((Presion_cilindro!N151-(-D$4+Presion_cilindro!$B$34))/Presion_cilindro!$B$35)^(Presion_cilindro!$B$17+1)),0))/((Presion_cilindro!O151+Presion_cilindro!O152)/2)</f>
        <v>1.0851318315621523</v>
      </c>
      <c r="E160" s="27">
        <f>E159*(Presion_cilindro!O151/Presion_cilindro!O152)^Presion_cilindro!$B$9+10*(Presion_cilindro!$B$9-1)*Presion_cilindro!$B$33*(IF(Presion_cilindro!N152&gt;(-E$4+Presion_cilindro!$B$34),1-EXP(-Presion_cilindro!$B$16*((Presion_cilindro!N152-(-E$4+Presion_cilindro!$B$34))/Presion_cilindro!$B$35)^(Presion_cilindro!$B$17+1)),0)-IF(Presion_cilindro!N151&gt;(-E$4+Presion_cilindro!$B$34),1-EXP(-Presion_cilindro!$B$16*((Presion_cilindro!N151-(-E$4+Presion_cilindro!$B$34))/Presion_cilindro!$B$35)^(Presion_cilindro!$B$17+1)),0))/((Presion_cilindro!O151+Presion_cilindro!O152)/2)</f>
        <v>1.0851318315621523</v>
      </c>
      <c r="F160" s="27">
        <f>F159*(Presion_cilindro!O151/Presion_cilindro!O152)^Presion_cilindro!$B$9+10*(Presion_cilindro!$B$9-1)*Presion_cilindro!$B$33*(IF(Presion_cilindro!N152&gt;(-F$4+Presion_cilindro!$B$34),1-EXP(-Presion_cilindro!$B$16*((Presion_cilindro!N152-(-F$4+Presion_cilindro!$B$34))/Presion_cilindro!$B$35)^(Presion_cilindro!$B$17+1)),0)-IF(Presion_cilindro!N151&gt;(-F$4+Presion_cilindro!$B$34),1-EXP(-Presion_cilindro!$B$16*((Presion_cilindro!N151-(-F$4+Presion_cilindro!$B$34))/Presion_cilindro!$B$35)^(Presion_cilindro!$B$17+1)),0))/((Presion_cilindro!O151+Presion_cilindro!O152)/2)</f>
        <v>1.0851318315621523</v>
      </c>
      <c r="G160" s="27">
        <f>G159*(Presion_cilindro!O151/Presion_cilindro!O152)^Presion_cilindro!$B$9+10*(Presion_cilindro!$B$9-1)*Presion_cilindro!$B$33*(IF(Presion_cilindro!N152&gt;(-G$4+Presion_cilindro!$B$34),1-EXP(-Presion_cilindro!$B$16*((Presion_cilindro!N152-(-G$4+Presion_cilindro!$B$34))/Presion_cilindro!$B$35)^(Presion_cilindro!$B$17+1)),0)-IF(Presion_cilindro!N151&gt;(-G$4+Presion_cilindro!$B$34),1-EXP(-Presion_cilindro!$B$16*((Presion_cilindro!N151-(-G$4+Presion_cilindro!$B$34))/Presion_cilindro!$B$35)^(Presion_cilindro!$B$17+1)),0))/((Presion_cilindro!O151+Presion_cilindro!O152)/2)</f>
        <v>1.0851318315621523</v>
      </c>
      <c r="H160" s="27">
        <f>H159*(Presion_cilindro!O151/Presion_cilindro!O152)^Presion_cilindro!$B$9+10*(Presion_cilindro!$B$9-1)*Presion_cilindro!$B$33*(IF(Presion_cilindro!N152&gt;(-H$4+Presion_cilindro!$B$34),1-EXP(-Presion_cilindro!$B$16*((Presion_cilindro!N152-(-H$4+Presion_cilindro!$B$34))/Presion_cilindro!$B$35)^(Presion_cilindro!$B$17+1)),0)-IF(Presion_cilindro!N151&gt;(-H$4+Presion_cilindro!$B$34),1-EXP(-Presion_cilindro!$B$16*((Presion_cilindro!N151-(-H$4+Presion_cilindro!$B$34))/Presion_cilindro!$B$35)^(Presion_cilindro!$B$17+1)),0))/((Presion_cilindro!O151+Presion_cilindro!O152)/2)</f>
        <v>1.0851318315621523</v>
      </c>
      <c r="I160" s="27">
        <f>I159*(Presion_cilindro!O151/Presion_cilindro!O152)^Presion_cilindro!$B$9+10*(Presion_cilindro!$B$9-1)*Presion_cilindro!$B$33*(IF(Presion_cilindro!N152&gt;(-I$4+Presion_cilindro!$B$34),1-EXP(-Presion_cilindro!$B$16*((Presion_cilindro!N152-(-I$4+Presion_cilindro!$B$34))/Presion_cilindro!$B$35)^(Presion_cilindro!$B$17+1)),0)-IF(Presion_cilindro!N151&gt;(-I$4+Presion_cilindro!$B$34),1-EXP(-Presion_cilindro!$B$16*((Presion_cilindro!N151-(-I$4+Presion_cilindro!$B$34))/Presion_cilindro!$B$35)^(Presion_cilindro!$B$17+1)),0))/((Presion_cilindro!O151+Presion_cilindro!O152)/2)</f>
        <v>1.0851318315621523</v>
      </c>
      <c r="J160" s="27">
        <f>J159*(Presion_cilindro!O151/Presion_cilindro!O152)^Presion_cilindro!$B$9+10*(Presion_cilindro!$B$9-1)*Presion_cilindro!$B$33*(IF(Presion_cilindro!N152&gt;(-J$4+Presion_cilindro!$B$34),1-EXP(-Presion_cilindro!$B$16*((Presion_cilindro!N152-(-J$4+Presion_cilindro!$B$34))/Presion_cilindro!$B$35)^(Presion_cilindro!$B$17+1)),0)-IF(Presion_cilindro!N151&gt;(-J$4+Presion_cilindro!$B$34),1-EXP(-Presion_cilindro!$B$16*((Presion_cilindro!N151-(-J$4+Presion_cilindro!$B$34))/Presion_cilindro!$B$35)^(Presion_cilindro!$B$17+1)),0))/((Presion_cilindro!O151+Presion_cilindro!O152)/2)</f>
        <v>1.0851318315621523</v>
      </c>
      <c r="K160" s="27">
        <f>K159*(Presion_cilindro!O151/Presion_cilindro!O152)^Presion_cilindro!$B$9+10*(Presion_cilindro!$B$9-1)*Presion_cilindro!$B$33*(IF(Presion_cilindro!N152&gt;(-K$4+Presion_cilindro!$B$34),1-EXP(-Presion_cilindro!$B$16*((Presion_cilindro!N152-(-K$4+Presion_cilindro!$B$34))/Presion_cilindro!$B$35)^(Presion_cilindro!$B$17+1)),0)-IF(Presion_cilindro!N151&gt;(-K$4+Presion_cilindro!$B$34),1-EXP(-Presion_cilindro!$B$16*((Presion_cilindro!N151-(-K$4+Presion_cilindro!$B$34))/Presion_cilindro!$B$35)^(Presion_cilindro!$B$17+1)),0))/((Presion_cilindro!O151+Presion_cilindro!O152)/2)</f>
        <v>1.0851318315621523</v>
      </c>
      <c r="L160" s="27">
        <f>L159*(Presion_cilindro!O151/Presion_cilindro!O152)^Presion_cilindro!$B$9+10*(Presion_cilindro!$B$9-1)*Presion_cilindro!$B$33*(IF(Presion_cilindro!N152&gt;(-L$4+Presion_cilindro!$B$34),1-EXP(-Presion_cilindro!$B$16*((Presion_cilindro!N152-(-L$4+Presion_cilindro!$B$34))/Presion_cilindro!$B$35)^(Presion_cilindro!$B$17+1)),0)-IF(Presion_cilindro!N151&gt;(-L$4+Presion_cilindro!$B$34),1-EXP(-Presion_cilindro!$B$16*((Presion_cilindro!N151-(-L$4+Presion_cilindro!$B$34))/Presion_cilindro!$B$35)^(Presion_cilindro!$B$17+1)),0))/((Presion_cilindro!O151+Presion_cilindro!O152)/2)</f>
        <v>1.0851318315621523</v>
      </c>
      <c r="M160" s="27">
        <f>M159*(Presion_cilindro!O151/Presion_cilindro!O152)^Presion_cilindro!$B$9+10*(Presion_cilindro!$B$9-1)*Presion_cilindro!$B$33*(IF(Presion_cilindro!N152&gt;(-M$4+Presion_cilindro!$B$34),1-EXP(-Presion_cilindro!$B$16*((Presion_cilindro!N152-(-M$4+Presion_cilindro!$B$34))/Presion_cilindro!$B$35)^(Presion_cilindro!$B$17+1)),0)-IF(Presion_cilindro!N151&gt;(-M$4+Presion_cilindro!$B$34),1-EXP(-Presion_cilindro!$B$16*((Presion_cilindro!N151-(-M$4+Presion_cilindro!$B$34))/Presion_cilindro!$B$35)^(Presion_cilindro!$B$17+1)),0))/((Presion_cilindro!O151+Presion_cilindro!O152)/2)</f>
        <v>1.0851318315621523</v>
      </c>
      <c r="N160" s="27">
        <f>N159*(Presion_cilindro!O151/Presion_cilindro!O152)^Presion_cilindro!$B$9+10*(Presion_cilindro!$B$9-1)*Presion_cilindro!$B$33*(IF(Presion_cilindro!N152&gt;(-N$4+Presion_cilindro!$B$34),1-EXP(-Presion_cilindro!$B$16*((Presion_cilindro!N152-(-N$4+Presion_cilindro!$B$34))/Presion_cilindro!$B$35)^(Presion_cilindro!$B$17+1)),0)-IF(Presion_cilindro!N151&gt;(-N$4+Presion_cilindro!$B$34),1-EXP(-Presion_cilindro!$B$16*((Presion_cilindro!N151-(-N$4+Presion_cilindro!$B$34))/Presion_cilindro!$B$35)^(Presion_cilindro!$B$17+1)),0))/((Presion_cilindro!O151+Presion_cilindro!O152)/2)</f>
        <v>1.0851318315621523</v>
      </c>
    </row>
    <row r="161" spans="1:14" x14ac:dyDescent="0.25">
      <c r="A161" s="21">
        <f>Presion_cilindro!N153</f>
        <v>-105.5</v>
      </c>
      <c r="B161" s="27">
        <f>B160*(Presion_cilindro!O152/Presion_cilindro!O153)^Presion_cilindro!$B$9+10*(Presion_cilindro!$B$9-1)*Presion_cilindro!$B$33*(IF(Presion_cilindro!N153&gt;(-B$4+Presion_cilindro!$B$34),1-EXP(-Presion_cilindro!$B$16*((Presion_cilindro!N153-(-B$4+Presion_cilindro!$B$34))/Presion_cilindro!$B$35)^(Presion_cilindro!$B$17+1)),0)-IF(Presion_cilindro!N152&gt;(-B$4+Presion_cilindro!$B$34),1-EXP(-Presion_cilindro!$B$16*((Presion_cilindro!N152-(-B$4+Presion_cilindro!$B$34))/Presion_cilindro!$B$35)^(Presion_cilindro!$B$17+1)),0))/((Presion_cilindro!O152+Presion_cilindro!O153)/2)</f>
        <v>1.0919961003375098</v>
      </c>
      <c r="C161" s="27">
        <f>C160*(Presion_cilindro!O152/Presion_cilindro!O153)^Presion_cilindro!$B$9+10*(Presion_cilindro!$B$9-1)*Presion_cilindro!$B$33*(IF(Presion_cilindro!N153&gt;(-C$4+Presion_cilindro!$B$34),1-EXP(-Presion_cilindro!$B$16*((Presion_cilindro!N153-(-C$4+Presion_cilindro!$B$34))/Presion_cilindro!$B$35)^(Presion_cilindro!$B$17+1)),0)-IF(Presion_cilindro!N152&gt;(-C$4+Presion_cilindro!$B$34),1-EXP(-Presion_cilindro!$B$16*((Presion_cilindro!N152-(-C$4+Presion_cilindro!$B$34))/Presion_cilindro!$B$35)^(Presion_cilindro!$B$17+1)),0))/((Presion_cilindro!O152+Presion_cilindro!O153)/2)</f>
        <v>1.0919961003375098</v>
      </c>
      <c r="D161" s="27">
        <f>D160*(Presion_cilindro!O152/Presion_cilindro!O153)^Presion_cilindro!$B$9+10*(Presion_cilindro!$B$9-1)*Presion_cilindro!$B$33*(IF(Presion_cilindro!N153&gt;(-D$4+Presion_cilindro!$B$34),1-EXP(-Presion_cilindro!$B$16*((Presion_cilindro!N153-(-D$4+Presion_cilindro!$B$34))/Presion_cilindro!$B$35)^(Presion_cilindro!$B$17+1)),0)-IF(Presion_cilindro!N152&gt;(-D$4+Presion_cilindro!$B$34),1-EXP(-Presion_cilindro!$B$16*((Presion_cilindro!N152-(-D$4+Presion_cilindro!$B$34))/Presion_cilindro!$B$35)^(Presion_cilindro!$B$17+1)),0))/((Presion_cilindro!O152+Presion_cilindro!O153)/2)</f>
        <v>1.0919961003375098</v>
      </c>
      <c r="E161" s="27">
        <f>E160*(Presion_cilindro!O152/Presion_cilindro!O153)^Presion_cilindro!$B$9+10*(Presion_cilindro!$B$9-1)*Presion_cilindro!$B$33*(IF(Presion_cilindro!N153&gt;(-E$4+Presion_cilindro!$B$34),1-EXP(-Presion_cilindro!$B$16*((Presion_cilindro!N153-(-E$4+Presion_cilindro!$B$34))/Presion_cilindro!$B$35)^(Presion_cilindro!$B$17+1)),0)-IF(Presion_cilindro!N152&gt;(-E$4+Presion_cilindro!$B$34),1-EXP(-Presion_cilindro!$B$16*((Presion_cilindro!N152-(-E$4+Presion_cilindro!$B$34))/Presion_cilindro!$B$35)^(Presion_cilindro!$B$17+1)),0))/((Presion_cilindro!O152+Presion_cilindro!O153)/2)</f>
        <v>1.0919961003375098</v>
      </c>
      <c r="F161" s="27">
        <f>F160*(Presion_cilindro!O152/Presion_cilindro!O153)^Presion_cilindro!$B$9+10*(Presion_cilindro!$B$9-1)*Presion_cilindro!$B$33*(IF(Presion_cilindro!N153&gt;(-F$4+Presion_cilindro!$B$34),1-EXP(-Presion_cilindro!$B$16*((Presion_cilindro!N153-(-F$4+Presion_cilindro!$B$34))/Presion_cilindro!$B$35)^(Presion_cilindro!$B$17+1)),0)-IF(Presion_cilindro!N152&gt;(-F$4+Presion_cilindro!$B$34),1-EXP(-Presion_cilindro!$B$16*((Presion_cilindro!N152-(-F$4+Presion_cilindro!$B$34))/Presion_cilindro!$B$35)^(Presion_cilindro!$B$17+1)),0))/((Presion_cilindro!O152+Presion_cilindro!O153)/2)</f>
        <v>1.0919961003375098</v>
      </c>
      <c r="G161" s="27">
        <f>G160*(Presion_cilindro!O152/Presion_cilindro!O153)^Presion_cilindro!$B$9+10*(Presion_cilindro!$B$9-1)*Presion_cilindro!$B$33*(IF(Presion_cilindro!N153&gt;(-G$4+Presion_cilindro!$B$34),1-EXP(-Presion_cilindro!$B$16*((Presion_cilindro!N153-(-G$4+Presion_cilindro!$B$34))/Presion_cilindro!$B$35)^(Presion_cilindro!$B$17+1)),0)-IF(Presion_cilindro!N152&gt;(-G$4+Presion_cilindro!$B$34),1-EXP(-Presion_cilindro!$B$16*((Presion_cilindro!N152-(-G$4+Presion_cilindro!$B$34))/Presion_cilindro!$B$35)^(Presion_cilindro!$B$17+1)),0))/((Presion_cilindro!O152+Presion_cilindro!O153)/2)</f>
        <v>1.0919961003375098</v>
      </c>
      <c r="H161" s="27">
        <f>H160*(Presion_cilindro!O152/Presion_cilindro!O153)^Presion_cilindro!$B$9+10*(Presion_cilindro!$B$9-1)*Presion_cilindro!$B$33*(IF(Presion_cilindro!N153&gt;(-H$4+Presion_cilindro!$B$34),1-EXP(-Presion_cilindro!$B$16*((Presion_cilindro!N153-(-H$4+Presion_cilindro!$B$34))/Presion_cilindro!$B$35)^(Presion_cilindro!$B$17+1)),0)-IF(Presion_cilindro!N152&gt;(-H$4+Presion_cilindro!$B$34),1-EXP(-Presion_cilindro!$B$16*((Presion_cilindro!N152-(-H$4+Presion_cilindro!$B$34))/Presion_cilindro!$B$35)^(Presion_cilindro!$B$17+1)),0))/((Presion_cilindro!O152+Presion_cilindro!O153)/2)</f>
        <v>1.0919961003375098</v>
      </c>
      <c r="I161" s="27">
        <f>I160*(Presion_cilindro!O152/Presion_cilindro!O153)^Presion_cilindro!$B$9+10*(Presion_cilindro!$B$9-1)*Presion_cilindro!$B$33*(IF(Presion_cilindro!N153&gt;(-I$4+Presion_cilindro!$B$34),1-EXP(-Presion_cilindro!$B$16*((Presion_cilindro!N153-(-I$4+Presion_cilindro!$B$34))/Presion_cilindro!$B$35)^(Presion_cilindro!$B$17+1)),0)-IF(Presion_cilindro!N152&gt;(-I$4+Presion_cilindro!$B$34),1-EXP(-Presion_cilindro!$B$16*((Presion_cilindro!N152-(-I$4+Presion_cilindro!$B$34))/Presion_cilindro!$B$35)^(Presion_cilindro!$B$17+1)),0))/((Presion_cilindro!O152+Presion_cilindro!O153)/2)</f>
        <v>1.0919961003375098</v>
      </c>
      <c r="J161" s="27">
        <f>J160*(Presion_cilindro!O152/Presion_cilindro!O153)^Presion_cilindro!$B$9+10*(Presion_cilindro!$B$9-1)*Presion_cilindro!$B$33*(IF(Presion_cilindro!N153&gt;(-J$4+Presion_cilindro!$B$34),1-EXP(-Presion_cilindro!$B$16*((Presion_cilindro!N153-(-J$4+Presion_cilindro!$B$34))/Presion_cilindro!$B$35)^(Presion_cilindro!$B$17+1)),0)-IF(Presion_cilindro!N152&gt;(-J$4+Presion_cilindro!$B$34),1-EXP(-Presion_cilindro!$B$16*((Presion_cilindro!N152-(-J$4+Presion_cilindro!$B$34))/Presion_cilindro!$B$35)^(Presion_cilindro!$B$17+1)),0))/((Presion_cilindro!O152+Presion_cilindro!O153)/2)</f>
        <v>1.0919961003375098</v>
      </c>
      <c r="K161" s="27">
        <f>K160*(Presion_cilindro!O152/Presion_cilindro!O153)^Presion_cilindro!$B$9+10*(Presion_cilindro!$B$9-1)*Presion_cilindro!$B$33*(IF(Presion_cilindro!N153&gt;(-K$4+Presion_cilindro!$B$34),1-EXP(-Presion_cilindro!$B$16*((Presion_cilindro!N153-(-K$4+Presion_cilindro!$B$34))/Presion_cilindro!$B$35)^(Presion_cilindro!$B$17+1)),0)-IF(Presion_cilindro!N152&gt;(-K$4+Presion_cilindro!$B$34),1-EXP(-Presion_cilindro!$B$16*((Presion_cilindro!N152-(-K$4+Presion_cilindro!$B$34))/Presion_cilindro!$B$35)^(Presion_cilindro!$B$17+1)),0))/((Presion_cilindro!O152+Presion_cilindro!O153)/2)</f>
        <v>1.0919961003375098</v>
      </c>
      <c r="L161" s="27">
        <f>L160*(Presion_cilindro!O152/Presion_cilindro!O153)^Presion_cilindro!$B$9+10*(Presion_cilindro!$B$9-1)*Presion_cilindro!$B$33*(IF(Presion_cilindro!N153&gt;(-L$4+Presion_cilindro!$B$34),1-EXP(-Presion_cilindro!$B$16*((Presion_cilindro!N153-(-L$4+Presion_cilindro!$B$34))/Presion_cilindro!$B$35)^(Presion_cilindro!$B$17+1)),0)-IF(Presion_cilindro!N152&gt;(-L$4+Presion_cilindro!$B$34),1-EXP(-Presion_cilindro!$B$16*((Presion_cilindro!N152-(-L$4+Presion_cilindro!$B$34))/Presion_cilindro!$B$35)^(Presion_cilindro!$B$17+1)),0))/((Presion_cilindro!O152+Presion_cilindro!O153)/2)</f>
        <v>1.0919961003375098</v>
      </c>
      <c r="M161" s="27">
        <f>M160*(Presion_cilindro!O152/Presion_cilindro!O153)^Presion_cilindro!$B$9+10*(Presion_cilindro!$B$9-1)*Presion_cilindro!$B$33*(IF(Presion_cilindro!N153&gt;(-M$4+Presion_cilindro!$B$34),1-EXP(-Presion_cilindro!$B$16*((Presion_cilindro!N153-(-M$4+Presion_cilindro!$B$34))/Presion_cilindro!$B$35)^(Presion_cilindro!$B$17+1)),0)-IF(Presion_cilindro!N152&gt;(-M$4+Presion_cilindro!$B$34),1-EXP(-Presion_cilindro!$B$16*((Presion_cilindro!N152-(-M$4+Presion_cilindro!$B$34))/Presion_cilindro!$B$35)^(Presion_cilindro!$B$17+1)),0))/((Presion_cilindro!O152+Presion_cilindro!O153)/2)</f>
        <v>1.0919961003375098</v>
      </c>
      <c r="N161" s="27">
        <f>N160*(Presion_cilindro!O152/Presion_cilindro!O153)^Presion_cilindro!$B$9+10*(Presion_cilindro!$B$9-1)*Presion_cilindro!$B$33*(IF(Presion_cilindro!N153&gt;(-N$4+Presion_cilindro!$B$34),1-EXP(-Presion_cilindro!$B$16*((Presion_cilindro!N153-(-N$4+Presion_cilindro!$B$34))/Presion_cilindro!$B$35)^(Presion_cilindro!$B$17+1)),0)-IF(Presion_cilindro!N152&gt;(-N$4+Presion_cilindro!$B$34),1-EXP(-Presion_cilindro!$B$16*((Presion_cilindro!N152-(-N$4+Presion_cilindro!$B$34))/Presion_cilindro!$B$35)^(Presion_cilindro!$B$17+1)),0))/((Presion_cilindro!O152+Presion_cilindro!O153)/2)</f>
        <v>1.0919961003375098</v>
      </c>
    </row>
    <row r="162" spans="1:14" x14ac:dyDescent="0.25">
      <c r="A162" s="21">
        <f>Presion_cilindro!N154</f>
        <v>-105</v>
      </c>
      <c r="B162" s="27">
        <f>B161*(Presion_cilindro!O153/Presion_cilindro!O154)^Presion_cilindro!$B$9+10*(Presion_cilindro!$B$9-1)*Presion_cilindro!$B$33*(IF(Presion_cilindro!N154&gt;(-B$4+Presion_cilindro!$B$34),1-EXP(-Presion_cilindro!$B$16*((Presion_cilindro!N154-(-B$4+Presion_cilindro!$B$34))/Presion_cilindro!$B$35)^(Presion_cilindro!$B$17+1)),0)-IF(Presion_cilindro!N153&gt;(-B$4+Presion_cilindro!$B$34),1-EXP(-Presion_cilindro!$B$16*((Presion_cilindro!N153-(-B$4+Presion_cilindro!$B$34))/Presion_cilindro!$B$35)^(Presion_cilindro!$B$17+1)),0))/((Presion_cilindro!O153+Presion_cilindro!O154)/2)</f>
        <v>1.0989726135889439</v>
      </c>
      <c r="C162" s="27">
        <f>C161*(Presion_cilindro!O153/Presion_cilindro!O154)^Presion_cilindro!$B$9+10*(Presion_cilindro!$B$9-1)*Presion_cilindro!$B$33*(IF(Presion_cilindro!N154&gt;(-C$4+Presion_cilindro!$B$34),1-EXP(-Presion_cilindro!$B$16*((Presion_cilindro!N154-(-C$4+Presion_cilindro!$B$34))/Presion_cilindro!$B$35)^(Presion_cilindro!$B$17+1)),0)-IF(Presion_cilindro!N153&gt;(-C$4+Presion_cilindro!$B$34),1-EXP(-Presion_cilindro!$B$16*((Presion_cilindro!N153-(-C$4+Presion_cilindro!$B$34))/Presion_cilindro!$B$35)^(Presion_cilindro!$B$17+1)),0))/((Presion_cilindro!O153+Presion_cilindro!O154)/2)</f>
        <v>1.0989726135889439</v>
      </c>
      <c r="D162" s="27">
        <f>D161*(Presion_cilindro!O153/Presion_cilindro!O154)^Presion_cilindro!$B$9+10*(Presion_cilindro!$B$9-1)*Presion_cilindro!$B$33*(IF(Presion_cilindro!N154&gt;(-D$4+Presion_cilindro!$B$34),1-EXP(-Presion_cilindro!$B$16*((Presion_cilindro!N154-(-D$4+Presion_cilindro!$B$34))/Presion_cilindro!$B$35)^(Presion_cilindro!$B$17+1)),0)-IF(Presion_cilindro!N153&gt;(-D$4+Presion_cilindro!$B$34),1-EXP(-Presion_cilindro!$B$16*((Presion_cilindro!N153-(-D$4+Presion_cilindro!$B$34))/Presion_cilindro!$B$35)^(Presion_cilindro!$B$17+1)),0))/((Presion_cilindro!O153+Presion_cilindro!O154)/2)</f>
        <v>1.0989726135889439</v>
      </c>
      <c r="E162" s="27">
        <f>E161*(Presion_cilindro!O153/Presion_cilindro!O154)^Presion_cilindro!$B$9+10*(Presion_cilindro!$B$9-1)*Presion_cilindro!$B$33*(IF(Presion_cilindro!N154&gt;(-E$4+Presion_cilindro!$B$34),1-EXP(-Presion_cilindro!$B$16*((Presion_cilindro!N154-(-E$4+Presion_cilindro!$B$34))/Presion_cilindro!$B$35)^(Presion_cilindro!$B$17+1)),0)-IF(Presion_cilindro!N153&gt;(-E$4+Presion_cilindro!$B$34),1-EXP(-Presion_cilindro!$B$16*((Presion_cilindro!N153-(-E$4+Presion_cilindro!$B$34))/Presion_cilindro!$B$35)^(Presion_cilindro!$B$17+1)),0))/((Presion_cilindro!O153+Presion_cilindro!O154)/2)</f>
        <v>1.0989726135889439</v>
      </c>
      <c r="F162" s="27">
        <f>F161*(Presion_cilindro!O153/Presion_cilindro!O154)^Presion_cilindro!$B$9+10*(Presion_cilindro!$B$9-1)*Presion_cilindro!$B$33*(IF(Presion_cilindro!N154&gt;(-F$4+Presion_cilindro!$B$34),1-EXP(-Presion_cilindro!$B$16*((Presion_cilindro!N154-(-F$4+Presion_cilindro!$B$34))/Presion_cilindro!$B$35)^(Presion_cilindro!$B$17+1)),0)-IF(Presion_cilindro!N153&gt;(-F$4+Presion_cilindro!$B$34),1-EXP(-Presion_cilindro!$B$16*((Presion_cilindro!N153-(-F$4+Presion_cilindro!$B$34))/Presion_cilindro!$B$35)^(Presion_cilindro!$B$17+1)),0))/((Presion_cilindro!O153+Presion_cilindro!O154)/2)</f>
        <v>1.0989726135889439</v>
      </c>
      <c r="G162" s="27">
        <f>G161*(Presion_cilindro!O153/Presion_cilindro!O154)^Presion_cilindro!$B$9+10*(Presion_cilindro!$B$9-1)*Presion_cilindro!$B$33*(IF(Presion_cilindro!N154&gt;(-G$4+Presion_cilindro!$B$34),1-EXP(-Presion_cilindro!$B$16*((Presion_cilindro!N154-(-G$4+Presion_cilindro!$B$34))/Presion_cilindro!$B$35)^(Presion_cilindro!$B$17+1)),0)-IF(Presion_cilindro!N153&gt;(-G$4+Presion_cilindro!$B$34),1-EXP(-Presion_cilindro!$B$16*((Presion_cilindro!N153-(-G$4+Presion_cilindro!$B$34))/Presion_cilindro!$B$35)^(Presion_cilindro!$B$17+1)),0))/((Presion_cilindro!O153+Presion_cilindro!O154)/2)</f>
        <v>1.0989726135889439</v>
      </c>
      <c r="H162" s="27">
        <f>H161*(Presion_cilindro!O153/Presion_cilindro!O154)^Presion_cilindro!$B$9+10*(Presion_cilindro!$B$9-1)*Presion_cilindro!$B$33*(IF(Presion_cilindro!N154&gt;(-H$4+Presion_cilindro!$B$34),1-EXP(-Presion_cilindro!$B$16*((Presion_cilindro!N154-(-H$4+Presion_cilindro!$B$34))/Presion_cilindro!$B$35)^(Presion_cilindro!$B$17+1)),0)-IF(Presion_cilindro!N153&gt;(-H$4+Presion_cilindro!$B$34),1-EXP(-Presion_cilindro!$B$16*((Presion_cilindro!N153-(-H$4+Presion_cilindro!$B$34))/Presion_cilindro!$B$35)^(Presion_cilindro!$B$17+1)),0))/((Presion_cilindro!O153+Presion_cilindro!O154)/2)</f>
        <v>1.0989726135889439</v>
      </c>
      <c r="I162" s="27">
        <f>I161*(Presion_cilindro!O153/Presion_cilindro!O154)^Presion_cilindro!$B$9+10*(Presion_cilindro!$B$9-1)*Presion_cilindro!$B$33*(IF(Presion_cilindro!N154&gt;(-I$4+Presion_cilindro!$B$34),1-EXP(-Presion_cilindro!$B$16*((Presion_cilindro!N154-(-I$4+Presion_cilindro!$B$34))/Presion_cilindro!$B$35)^(Presion_cilindro!$B$17+1)),0)-IF(Presion_cilindro!N153&gt;(-I$4+Presion_cilindro!$B$34),1-EXP(-Presion_cilindro!$B$16*((Presion_cilindro!N153-(-I$4+Presion_cilindro!$B$34))/Presion_cilindro!$B$35)^(Presion_cilindro!$B$17+1)),0))/((Presion_cilindro!O153+Presion_cilindro!O154)/2)</f>
        <v>1.0989726135889439</v>
      </c>
      <c r="J162" s="27">
        <f>J161*(Presion_cilindro!O153/Presion_cilindro!O154)^Presion_cilindro!$B$9+10*(Presion_cilindro!$B$9-1)*Presion_cilindro!$B$33*(IF(Presion_cilindro!N154&gt;(-J$4+Presion_cilindro!$B$34),1-EXP(-Presion_cilindro!$B$16*((Presion_cilindro!N154-(-J$4+Presion_cilindro!$B$34))/Presion_cilindro!$B$35)^(Presion_cilindro!$B$17+1)),0)-IF(Presion_cilindro!N153&gt;(-J$4+Presion_cilindro!$B$34),1-EXP(-Presion_cilindro!$B$16*((Presion_cilindro!N153-(-J$4+Presion_cilindro!$B$34))/Presion_cilindro!$B$35)^(Presion_cilindro!$B$17+1)),0))/((Presion_cilindro!O153+Presion_cilindro!O154)/2)</f>
        <v>1.0989726135889439</v>
      </c>
      <c r="K162" s="27">
        <f>K161*(Presion_cilindro!O153/Presion_cilindro!O154)^Presion_cilindro!$B$9+10*(Presion_cilindro!$B$9-1)*Presion_cilindro!$B$33*(IF(Presion_cilindro!N154&gt;(-K$4+Presion_cilindro!$B$34),1-EXP(-Presion_cilindro!$B$16*((Presion_cilindro!N154-(-K$4+Presion_cilindro!$B$34))/Presion_cilindro!$B$35)^(Presion_cilindro!$B$17+1)),0)-IF(Presion_cilindro!N153&gt;(-K$4+Presion_cilindro!$B$34),1-EXP(-Presion_cilindro!$B$16*((Presion_cilindro!N153-(-K$4+Presion_cilindro!$B$34))/Presion_cilindro!$B$35)^(Presion_cilindro!$B$17+1)),0))/((Presion_cilindro!O153+Presion_cilindro!O154)/2)</f>
        <v>1.0989726135889439</v>
      </c>
      <c r="L162" s="27">
        <f>L161*(Presion_cilindro!O153/Presion_cilindro!O154)^Presion_cilindro!$B$9+10*(Presion_cilindro!$B$9-1)*Presion_cilindro!$B$33*(IF(Presion_cilindro!N154&gt;(-L$4+Presion_cilindro!$B$34),1-EXP(-Presion_cilindro!$B$16*((Presion_cilindro!N154-(-L$4+Presion_cilindro!$B$34))/Presion_cilindro!$B$35)^(Presion_cilindro!$B$17+1)),0)-IF(Presion_cilindro!N153&gt;(-L$4+Presion_cilindro!$B$34),1-EXP(-Presion_cilindro!$B$16*((Presion_cilindro!N153-(-L$4+Presion_cilindro!$B$34))/Presion_cilindro!$B$35)^(Presion_cilindro!$B$17+1)),0))/((Presion_cilindro!O153+Presion_cilindro!O154)/2)</f>
        <v>1.0989726135889439</v>
      </c>
      <c r="M162" s="27">
        <f>M161*(Presion_cilindro!O153/Presion_cilindro!O154)^Presion_cilindro!$B$9+10*(Presion_cilindro!$B$9-1)*Presion_cilindro!$B$33*(IF(Presion_cilindro!N154&gt;(-M$4+Presion_cilindro!$B$34),1-EXP(-Presion_cilindro!$B$16*((Presion_cilindro!N154-(-M$4+Presion_cilindro!$B$34))/Presion_cilindro!$B$35)^(Presion_cilindro!$B$17+1)),0)-IF(Presion_cilindro!N153&gt;(-M$4+Presion_cilindro!$B$34),1-EXP(-Presion_cilindro!$B$16*((Presion_cilindro!N153-(-M$4+Presion_cilindro!$B$34))/Presion_cilindro!$B$35)^(Presion_cilindro!$B$17+1)),0))/((Presion_cilindro!O153+Presion_cilindro!O154)/2)</f>
        <v>1.0989726135889439</v>
      </c>
      <c r="N162" s="27">
        <f>N161*(Presion_cilindro!O153/Presion_cilindro!O154)^Presion_cilindro!$B$9+10*(Presion_cilindro!$B$9-1)*Presion_cilindro!$B$33*(IF(Presion_cilindro!N154&gt;(-N$4+Presion_cilindro!$B$34),1-EXP(-Presion_cilindro!$B$16*((Presion_cilindro!N154-(-N$4+Presion_cilindro!$B$34))/Presion_cilindro!$B$35)^(Presion_cilindro!$B$17+1)),0)-IF(Presion_cilindro!N153&gt;(-N$4+Presion_cilindro!$B$34),1-EXP(-Presion_cilindro!$B$16*((Presion_cilindro!N153-(-N$4+Presion_cilindro!$B$34))/Presion_cilindro!$B$35)^(Presion_cilindro!$B$17+1)),0))/((Presion_cilindro!O153+Presion_cilindro!O154)/2)</f>
        <v>1.0989726135889439</v>
      </c>
    </row>
    <row r="163" spans="1:14" x14ac:dyDescent="0.25">
      <c r="A163" s="21">
        <f>Presion_cilindro!N155</f>
        <v>-104.5</v>
      </c>
      <c r="B163" s="27">
        <f>B162*(Presion_cilindro!O154/Presion_cilindro!O155)^Presion_cilindro!$B$9+10*(Presion_cilindro!$B$9-1)*Presion_cilindro!$B$33*(IF(Presion_cilindro!N155&gt;(-B$4+Presion_cilindro!$B$34),1-EXP(-Presion_cilindro!$B$16*((Presion_cilindro!N155-(-B$4+Presion_cilindro!$B$34))/Presion_cilindro!$B$35)^(Presion_cilindro!$B$17+1)),0)-IF(Presion_cilindro!N154&gt;(-B$4+Presion_cilindro!$B$34),1-EXP(-Presion_cilindro!$B$16*((Presion_cilindro!N154-(-B$4+Presion_cilindro!$B$34))/Presion_cilindro!$B$35)^(Presion_cilindro!$B$17+1)),0))/((Presion_cilindro!O154+Presion_cilindro!O155)/2)</f>
        <v>1.1060634121961466</v>
      </c>
      <c r="C163" s="27">
        <f>C162*(Presion_cilindro!O154/Presion_cilindro!O155)^Presion_cilindro!$B$9+10*(Presion_cilindro!$B$9-1)*Presion_cilindro!$B$33*(IF(Presion_cilindro!N155&gt;(-C$4+Presion_cilindro!$B$34),1-EXP(-Presion_cilindro!$B$16*((Presion_cilindro!N155-(-C$4+Presion_cilindro!$B$34))/Presion_cilindro!$B$35)^(Presion_cilindro!$B$17+1)),0)-IF(Presion_cilindro!N154&gt;(-C$4+Presion_cilindro!$B$34),1-EXP(-Presion_cilindro!$B$16*((Presion_cilindro!N154-(-C$4+Presion_cilindro!$B$34))/Presion_cilindro!$B$35)^(Presion_cilindro!$B$17+1)),0))/((Presion_cilindro!O154+Presion_cilindro!O155)/2)</f>
        <v>1.1060634121961466</v>
      </c>
      <c r="D163" s="27">
        <f>D162*(Presion_cilindro!O154/Presion_cilindro!O155)^Presion_cilindro!$B$9+10*(Presion_cilindro!$B$9-1)*Presion_cilindro!$B$33*(IF(Presion_cilindro!N155&gt;(-D$4+Presion_cilindro!$B$34),1-EXP(-Presion_cilindro!$B$16*((Presion_cilindro!N155-(-D$4+Presion_cilindro!$B$34))/Presion_cilindro!$B$35)^(Presion_cilindro!$B$17+1)),0)-IF(Presion_cilindro!N154&gt;(-D$4+Presion_cilindro!$B$34),1-EXP(-Presion_cilindro!$B$16*((Presion_cilindro!N154-(-D$4+Presion_cilindro!$B$34))/Presion_cilindro!$B$35)^(Presion_cilindro!$B$17+1)),0))/((Presion_cilindro!O154+Presion_cilindro!O155)/2)</f>
        <v>1.1060634121961466</v>
      </c>
      <c r="E163" s="27">
        <f>E162*(Presion_cilindro!O154/Presion_cilindro!O155)^Presion_cilindro!$B$9+10*(Presion_cilindro!$B$9-1)*Presion_cilindro!$B$33*(IF(Presion_cilindro!N155&gt;(-E$4+Presion_cilindro!$B$34),1-EXP(-Presion_cilindro!$B$16*((Presion_cilindro!N155-(-E$4+Presion_cilindro!$B$34))/Presion_cilindro!$B$35)^(Presion_cilindro!$B$17+1)),0)-IF(Presion_cilindro!N154&gt;(-E$4+Presion_cilindro!$B$34),1-EXP(-Presion_cilindro!$B$16*((Presion_cilindro!N154-(-E$4+Presion_cilindro!$B$34))/Presion_cilindro!$B$35)^(Presion_cilindro!$B$17+1)),0))/((Presion_cilindro!O154+Presion_cilindro!O155)/2)</f>
        <v>1.1060634121961466</v>
      </c>
      <c r="F163" s="27">
        <f>F162*(Presion_cilindro!O154/Presion_cilindro!O155)^Presion_cilindro!$B$9+10*(Presion_cilindro!$B$9-1)*Presion_cilindro!$B$33*(IF(Presion_cilindro!N155&gt;(-F$4+Presion_cilindro!$B$34),1-EXP(-Presion_cilindro!$B$16*((Presion_cilindro!N155-(-F$4+Presion_cilindro!$B$34))/Presion_cilindro!$B$35)^(Presion_cilindro!$B$17+1)),0)-IF(Presion_cilindro!N154&gt;(-F$4+Presion_cilindro!$B$34),1-EXP(-Presion_cilindro!$B$16*((Presion_cilindro!N154-(-F$4+Presion_cilindro!$B$34))/Presion_cilindro!$B$35)^(Presion_cilindro!$B$17+1)),0))/((Presion_cilindro!O154+Presion_cilindro!O155)/2)</f>
        <v>1.1060634121961466</v>
      </c>
      <c r="G163" s="27">
        <f>G162*(Presion_cilindro!O154/Presion_cilindro!O155)^Presion_cilindro!$B$9+10*(Presion_cilindro!$B$9-1)*Presion_cilindro!$B$33*(IF(Presion_cilindro!N155&gt;(-G$4+Presion_cilindro!$B$34),1-EXP(-Presion_cilindro!$B$16*((Presion_cilindro!N155-(-G$4+Presion_cilindro!$B$34))/Presion_cilindro!$B$35)^(Presion_cilindro!$B$17+1)),0)-IF(Presion_cilindro!N154&gt;(-G$4+Presion_cilindro!$B$34),1-EXP(-Presion_cilindro!$B$16*((Presion_cilindro!N154-(-G$4+Presion_cilindro!$B$34))/Presion_cilindro!$B$35)^(Presion_cilindro!$B$17+1)),0))/((Presion_cilindro!O154+Presion_cilindro!O155)/2)</f>
        <v>1.1060634121961466</v>
      </c>
      <c r="H163" s="27">
        <f>H162*(Presion_cilindro!O154/Presion_cilindro!O155)^Presion_cilindro!$B$9+10*(Presion_cilindro!$B$9-1)*Presion_cilindro!$B$33*(IF(Presion_cilindro!N155&gt;(-H$4+Presion_cilindro!$B$34),1-EXP(-Presion_cilindro!$B$16*((Presion_cilindro!N155-(-H$4+Presion_cilindro!$B$34))/Presion_cilindro!$B$35)^(Presion_cilindro!$B$17+1)),0)-IF(Presion_cilindro!N154&gt;(-H$4+Presion_cilindro!$B$34),1-EXP(-Presion_cilindro!$B$16*((Presion_cilindro!N154-(-H$4+Presion_cilindro!$B$34))/Presion_cilindro!$B$35)^(Presion_cilindro!$B$17+1)),0))/((Presion_cilindro!O154+Presion_cilindro!O155)/2)</f>
        <v>1.1060634121961466</v>
      </c>
      <c r="I163" s="27">
        <f>I162*(Presion_cilindro!O154/Presion_cilindro!O155)^Presion_cilindro!$B$9+10*(Presion_cilindro!$B$9-1)*Presion_cilindro!$B$33*(IF(Presion_cilindro!N155&gt;(-I$4+Presion_cilindro!$B$34),1-EXP(-Presion_cilindro!$B$16*((Presion_cilindro!N155-(-I$4+Presion_cilindro!$B$34))/Presion_cilindro!$B$35)^(Presion_cilindro!$B$17+1)),0)-IF(Presion_cilindro!N154&gt;(-I$4+Presion_cilindro!$B$34),1-EXP(-Presion_cilindro!$B$16*((Presion_cilindro!N154-(-I$4+Presion_cilindro!$B$34))/Presion_cilindro!$B$35)^(Presion_cilindro!$B$17+1)),0))/((Presion_cilindro!O154+Presion_cilindro!O155)/2)</f>
        <v>1.1060634121961466</v>
      </c>
      <c r="J163" s="27">
        <f>J162*(Presion_cilindro!O154/Presion_cilindro!O155)^Presion_cilindro!$B$9+10*(Presion_cilindro!$B$9-1)*Presion_cilindro!$B$33*(IF(Presion_cilindro!N155&gt;(-J$4+Presion_cilindro!$B$34),1-EXP(-Presion_cilindro!$B$16*((Presion_cilindro!N155-(-J$4+Presion_cilindro!$B$34))/Presion_cilindro!$B$35)^(Presion_cilindro!$B$17+1)),0)-IF(Presion_cilindro!N154&gt;(-J$4+Presion_cilindro!$B$34),1-EXP(-Presion_cilindro!$B$16*((Presion_cilindro!N154-(-J$4+Presion_cilindro!$B$34))/Presion_cilindro!$B$35)^(Presion_cilindro!$B$17+1)),0))/((Presion_cilindro!O154+Presion_cilindro!O155)/2)</f>
        <v>1.1060634121961466</v>
      </c>
      <c r="K163" s="27">
        <f>K162*(Presion_cilindro!O154/Presion_cilindro!O155)^Presion_cilindro!$B$9+10*(Presion_cilindro!$B$9-1)*Presion_cilindro!$B$33*(IF(Presion_cilindro!N155&gt;(-K$4+Presion_cilindro!$B$34),1-EXP(-Presion_cilindro!$B$16*((Presion_cilindro!N155-(-K$4+Presion_cilindro!$B$34))/Presion_cilindro!$B$35)^(Presion_cilindro!$B$17+1)),0)-IF(Presion_cilindro!N154&gt;(-K$4+Presion_cilindro!$B$34),1-EXP(-Presion_cilindro!$B$16*((Presion_cilindro!N154-(-K$4+Presion_cilindro!$B$34))/Presion_cilindro!$B$35)^(Presion_cilindro!$B$17+1)),0))/((Presion_cilindro!O154+Presion_cilindro!O155)/2)</f>
        <v>1.1060634121961466</v>
      </c>
      <c r="L163" s="27">
        <f>L162*(Presion_cilindro!O154/Presion_cilindro!O155)^Presion_cilindro!$B$9+10*(Presion_cilindro!$B$9-1)*Presion_cilindro!$B$33*(IF(Presion_cilindro!N155&gt;(-L$4+Presion_cilindro!$B$34),1-EXP(-Presion_cilindro!$B$16*((Presion_cilindro!N155-(-L$4+Presion_cilindro!$B$34))/Presion_cilindro!$B$35)^(Presion_cilindro!$B$17+1)),0)-IF(Presion_cilindro!N154&gt;(-L$4+Presion_cilindro!$B$34),1-EXP(-Presion_cilindro!$B$16*((Presion_cilindro!N154-(-L$4+Presion_cilindro!$B$34))/Presion_cilindro!$B$35)^(Presion_cilindro!$B$17+1)),0))/((Presion_cilindro!O154+Presion_cilindro!O155)/2)</f>
        <v>1.1060634121961466</v>
      </c>
      <c r="M163" s="27">
        <f>M162*(Presion_cilindro!O154/Presion_cilindro!O155)^Presion_cilindro!$B$9+10*(Presion_cilindro!$B$9-1)*Presion_cilindro!$B$33*(IF(Presion_cilindro!N155&gt;(-M$4+Presion_cilindro!$B$34),1-EXP(-Presion_cilindro!$B$16*((Presion_cilindro!N155-(-M$4+Presion_cilindro!$B$34))/Presion_cilindro!$B$35)^(Presion_cilindro!$B$17+1)),0)-IF(Presion_cilindro!N154&gt;(-M$4+Presion_cilindro!$B$34),1-EXP(-Presion_cilindro!$B$16*((Presion_cilindro!N154-(-M$4+Presion_cilindro!$B$34))/Presion_cilindro!$B$35)^(Presion_cilindro!$B$17+1)),0))/((Presion_cilindro!O154+Presion_cilindro!O155)/2)</f>
        <v>1.1060634121961466</v>
      </c>
      <c r="N163" s="27">
        <f>N162*(Presion_cilindro!O154/Presion_cilindro!O155)^Presion_cilindro!$B$9+10*(Presion_cilindro!$B$9-1)*Presion_cilindro!$B$33*(IF(Presion_cilindro!N155&gt;(-N$4+Presion_cilindro!$B$34),1-EXP(-Presion_cilindro!$B$16*((Presion_cilindro!N155-(-N$4+Presion_cilindro!$B$34))/Presion_cilindro!$B$35)^(Presion_cilindro!$B$17+1)),0)-IF(Presion_cilindro!N154&gt;(-N$4+Presion_cilindro!$B$34),1-EXP(-Presion_cilindro!$B$16*((Presion_cilindro!N154-(-N$4+Presion_cilindro!$B$34))/Presion_cilindro!$B$35)^(Presion_cilindro!$B$17+1)),0))/((Presion_cilindro!O154+Presion_cilindro!O155)/2)</f>
        <v>1.1060634121961466</v>
      </c>
    </row>
    <row r="164" spans="1:14" x14ac:dyDescent="0.25">
      <c r="A164" s="21">
        <f>Presion_cilindro!N156</f>
        <v>-104</v>
      </c>
      <c r="B164" s="27">
        <f>B163*(Presion_cilindro!O155/Presion_cilindro!O156)^Presion_cilindro!$B$9+10*(Presion_cilindro!$B$9-1)*Presion_cilindro!$B$33*(IF(Presion_cilindro!N156&gt;(-B$4+Presion_cilindro!$B$34),1-EXP(-Presion_cilindro!$B$16*((Presion_cilindro!N156-(-B$4+Presion_cilindro!$B$34))/Presion_cilindro!$B$35)^(Presion_cilindro!$B$17+1)),0)-IF(Presion_cilindro!N155&gt;(-B$4+Presion_cilindro!$B$34),1-EXP(-Presion_cilindro!$B$16*((Presion_cilindro!N155-(-B$4+Presion_cilindro!$B$34))/Presion_cilindro!$B$35)^(Presion_cilindro!$B$17+1)),0))/((Presion_cilindro!O155+Presion_cilindro!O156)/2)</f>
        <v>1.1132705830859577</v>
      </c>
      <c r="C164" s="27">
        <f>C163*(Presion_cilindro!O155/Presion_cilindro!O156)^Presion_cilindro!$B$9+10*(Presion_cilindro!$B$9-1)*Presion_cilindro!$B$33*(IF(Presion_cilindro!N156&gt;(-C$4+Presion_cilindro!$B$34),1-EXP(-Presion_cilindro!$B$16*((Presion_cilindro!N156-(-C$4+Presion_cilindro!$B$34))/Presion_cilindro!$B$35)^(Presion_cilindro!$B$17+1)),0)-IF(Presion_cilindro!N155&gt;(-C$4+Presion_cilindro!$B$34),1-EXP(-Presion_cilindro!$B$16*((Presion_cilindro!N155-(-C$4+Presion_cilindro!$B$34))/Presion_cilindro!$B$35)^(Presion_cilindro!$B$17+1)),0))/((Presion_cilindro!O155+Presion_cilindro!O156)/2)</f>
        <v>1.1132705830859577</v>
      </c>
      <c r="D164" s="27">
        <f>D163*(Presion_cilindro!O155/Presion_cilindro!O156)^Presion_cilindro!$B$9+10*(Presion_cilindro!$B$9-1)*Presion_cilindro!$B$33*(IF(Presion_cilindro!N156&gt;(-D$4+Presion_cilindro!$B$34),1-EXP(-Presion_cilindro!$B$16*((Presion_cilindro!N156-(-D$4+Presion_cilindro!$B$34))/Presion_cilindro!$B$35)^(Presion_cilindro!$B$17+1)),0)-IF(Presion_cilindro!N155&gt;(-D$4+Presion_cilindro!$B$34),1-EXP(-Presion_cilindro!$B$16*((Presion_cilindro!N155-(-D$4+Presion_cilindro!$B$34))/Presion_cilindro!$B$35)^(Presion_cilindro!$B$17+1)),0))/((Presion_cilindro!O155+Presion_cilindro!O156)/2)</f>
        <v>1.1132705830859577</v>
      </c>
      <c r="E164" s="27">
        <f>E163*(Presion_cilindro!O155/Presion_cilindro!O156)^Presion_cilindro!$B$9+10*(Presion_cilindro!$B$9-1)*Presion_cilindro!$B$33*(IF(Presion_cilindro!N156&gt;(-E$4+Presion_cilindro!$B$34),1-EXP(-Presion_cilindro!$B$16*((Presion_cilindro!N156-(-E$4+Presion_cilindro!$B$34))/Presion_cilindro!$B$35)^(Presion_cilindro!$B$17+1)),0)-IF(Presion_cilindro!N155&gt;(-E$4+Presion_cilindro!$B$34),1-EXP(-Presion_cilindro!$B$16*((Presion_cilindro!N155-(-E$4+Presion_cilindro!$B$34))/Presion_cilindro!$B$35)^(Presion_cilindro!$B$17+1)),0))/((Presion_cilindro!O155+Presion_cilindro!O156)/2)</f>
        <v>1.1132705830859577</v>
      </c>
      <c r="F164" s="27">
        <f>F163*(Presion_cilindro!O155/Presion_cilindro!O156)^Presion_cilindro!$B$9+10*(Presion_cilindro!$B$9-1)*Presion_cilindro!$B$33*(IF(Presion_cilindro!N156&gt;(-F$4+Presion_cilindro!$B$34),1-EXP(-Presion_cilindro!$B$16*((Presion_cilindro!N156-(-F$4+Presion_cilindro!$B$34))/Presion_cilindro!$B$35)^(Presion_cilindro!$B$17+1)),0)-IF(Presion_cilindro!N155&gt;(-F$4+Presion_cilindro!$B$34),1-EXP(-Presion_cilindro!$B$16*((Presion_cilindro!N155-(-F$4+Presion_cilindro!$B$34))/Presion_cilindro!$B$35)^(Presion_cilindro!$B$17+1)),0))/((Presion_cilindro!O155+Presion_cilindro!O156)/2)</f>
        <v>1.1132705830859577</v>
      </c>
      <c r="G164" s="27">
        <f>G163*(Presion_cilindro!O155/Presion_cilindro!O156)^Presion_cilindro!$B$9+10*(Presion_cilindro!$B$9-1)*Presion_cilindro!$B$33*(IF(Presion_cilindro!N156&gt;(-G$4+Presion_cilindro!$B$34),1-EXP(-Presion_cilindro!$B$16*((Presion_cilindro!N156-(-G$4+Presion_cilindro!$B$34))/Presion_cilindro!$B$35)^(Presion_cilindro!$B$17+1)),0)-IF(Presion_cilindro!N155&gt;(-G$4+Presion_cilindro!$B$34),1-EXP(-Presion_cilindro!$B$16*((Presion_cilindro!N155-(-G$4+Presion_cilindro!$B$34))/Presion_cilindro!$B$35)^(Presion_cilindro!$B$17+1)),0))/((Presion_cilindro!O155+Presion_cilindro!O156)/2)</f>
        <v>1.1132705830859577</v>
      </c>
      <c r="H164" s="27">
        <f>H163*(Presion_cilindro!O155/Presion_cilindro!O156)^Presion_cilindro!$B$9+10*(Presion_cilindro!$B$9-1)*Presion_cilindro!$B$33*(IF(Presion_cilindro!N156&gt;(-H$4+Presion_cilindro!$B$34),1-EXP(-Presion_cilindro!$B$16*((Presion_cilindro!N156-(-H$4+Presion_cilindro!$B$34))/Presion_cilindro!$B$35)^(Presion_cilindro!$B$17+1)),0)-IF(Presion_cilindro!N155&gt;(-H$4+Presion_cilindro!$B$34),1-EXP(-Presion_cilindro!$B$16*((Presion_cilindro!N155-(-H$4+Presion_cilindro!$B$34))/Presion_cilindro!$B$35)^(Presion_cilindro!$B$17+1)),0))/((Presion_cilindro!O155+Presion_cilindro!O156)/2)</f>
        <v>1.1132705830859577</v>
      </c>
      <c r="I164" s="27">
        <f>I163*(Presion_cilindro!O155/Presion_cilindro!O156)^Presion_cilindro!$B$9+10*(Presion_cilindro!$B$9-1)*Presion_cilindro!$B$33*(IF(Presion_cilindro!N156&gt;(-I$4+Presion_cilindro!$B$34),1-EXP(-Presion_cilindro!$B$16*((Presion_cilindro!N156-(-I$4+Presion_cilindro!$B$34))/Presion_cilindro!$B$35)^(Presion_cilindro!$B$17+1)),0)-IF(Presion_cilindro!N155&gt;(-I$4+Presion_cilindro!$B$34),1-EXP(-Presion_cilindro!$B$16*((Presion_cilindro!N155-(-I$4+Presion_cilindro!$B$34))/Presion_cilindro!$B$35)^(Presion_cilindro!$B$17+1)),0))/((Presion_cilindro!O155+Presion_cilindro!O156)/2)</f>
        <v>1.1132705830859577</v>
      </c>
      <c r="J164" s="27">
        <f>J163*(Presion_cilindro!O155/Presion_cilindro!O156)^Presion_cilindro!$B$9+10*(Presion_cilindro!$B$9-1)*Presion_cilindro!$B$33*(IF(Presion_cilindro!N156&gt;(-J$4+Presion_cilindro!$B$34),1-EXP(-Presion_cilindro!$B$16*((Presion_cilindro!N156-(-J$4+Presion_cilindro!$B$34))/Presion_cilindro!$B$35)^(Presion_cilindro!$B$17+1)),0)-IF(Presion_cilindro!N155&gt;(-J$4+Presion_cilindro!$B$34),1-EXP(-Presion_cilindro!$B$16*((Presion_cilindro!N155-(-J$4+Presion_cilindro!$B$34))/Presion_cilindro!$B$35)^(Presion_cilindro!$B$17+1)),0))/((Presion_cilindro!O155+Presion_cilindro!O156)/2)</f>
        <v>1.1132705830859577</v>
      </c>
      <c r="K164" s="27">
        <f>K163*(Presion_cilindro!O155/Presion_cilindro!O156)^Presion_cilindro!$B$9+10*(Presion_cilindro!$B$9-1)*Presion_cilindro!$B$33*(IF(Presion_cilindro!N156&gt;(-K$4+Presion_cilindro!$B$34),1-EXP(-Presion_cilindro!$B$16*((Presion_cilindro!N156-(-K$4+Presion_cilindro!$B$34))/Presion_cilindro!$B$35)^(Presion_cilindro!$B$17+1)),0)-IF(Presion_cilindro!N155&gt;(-K$4+Presion_cilindro!$B$34),1-EXP(-Presion_cilindro!$B$16*((Presion_cilindro!N155-(-K$4+Presion_cilindro!$B$34))/Presion_cilindro!$B$35)^(Presion_cilindro!$B$17+1)),0))/((Presion_cilindro!O155+Presion_cilindro!O156)/2)</f>
        <v>1.1132705830859577</v>
      </c>
      <c r="L164" s="27">
        <f>L163*(Presion_cilindro!O155/Presion_cilindro!O156)^Presion_cilindro!$B$9+10*(Presion_cilindro!$B$9-1)*Presion_cilindro!$B$33*(IF(Presion_cilindro!N156&gt;(-L$4+Presion_cilindro!$B$34),1-EXP(-Presion_cilindro!$B$16*((Presion_cilindro!N156-(-L$4+Presion_cilindro!$B$34))/Presion_cilindro!$B$35)^(Presion_cilindro!$B$17+1)),0)-IF(Presion_cilindro!N155&gt;(-L$4+Presion_cilindro!$B$34),1-EXP(-Presion_cilindro!$B$16*((Presion_cilindro!N155-(-L$4+Presion_cilindro!$B$34))/Presion_cilindro!$B$35)^(Presion_cilindro!$B$17+1)),0))/((Presion_cilindro!O155+Presion_cilindro!O156)/2)</f>
        <v>1.1132705830859577</v>
      </c>
      <c r="M164" s="27">
        <f>M163*(Presion_cilindro!O155/Presion_cilindro!O156)^Presion_cilindro!$B$9+10*(Presion_cilindro!$B$9-1)*Presion_cilindro!$B$33*(IF(Presion_cilindro!N156&gt;(-M$4+Presion_cilindro!$B$34),1-EXP(-Presion_cilindro!$B$16*((Presion_cilindro!N156-(-M$4+Presion_cilindro!$B$34))/Presion_cilindro!$B$35)^(Presion_cilindro!$B$17+1)),0)-IF(Presion_cilindro!N155&gt;(-M$4+Presion_cilindro!$B$34),1-EXP(-Presion_cilindro!$B$16*((Presion_cilindro!N155-(-M$4+Presion_cilindro!$B$34))/Presion_cilindro!$B$35)^(Presion_cilindro!$B$17+1)),0))/((Presion_cilindro!O155+Presion_cilindro!O156)/2)</f>
        <v>1.1132705830859577</v>
      </c>
      <c r="N164" s="27">
        <f>N163*(Presion_cilindro!O155/Presion_cilindro!O156)^Presion_cilindro!$B$9+10*(Presion_cilindro!$B$9-1)*Presion_cilindro!$B$33*(IF(Presion_cilindro!N156&gt;(-N$4+Presion_cilindro!$B$34),1-EXP(-Presion_cilindro!$B$16*((Presion_cilindro!N156-(-N$4+Presion_cilindro!$B$34))/Presion_cilindro!$B$35)^(Presion_cilindro!$B$17+1)),0)-IF(Presion_cilindro!N155&gt;(-N$4+Presion_cilindro!$B$34),1-EXP(-Presion_cilindro!$B$16*((Presion_cilindro!N155-(-N$4+Presion_cilindro!$B$34))/Presion_cilindro!$B$35)^(Presion_cilindro!$B$17+1)),0))/((Presion_cilindro!O155+Presion_cilindro!O156)/2)</f>
        <v>1.1132705830859577</v>
      </c>
    </row>
    <row r="165" spans="1:14" x14ac:dyDescent="0.25">
      <c r="A165" s="21">
        <f>Presion_cilindro!N157</f>
        <v>-103.5</v>
      </c>
      <c r="B165" s="27">
        <f>B164*(Presion_cilindro!O156/Presion_cilindro!O157)^Presion_cilindro!$B$9+10*(Presion_cilindro!$B$9-1)*Presion_cilindro!$B$33*(IF(Presion_cilindro!N157&gt;(-B$4+Presion_cilindro!$B$34),1-EXP(-Presion_cilindro!$B$16*((Presion_cilindro!N157-(-B$4+Presion_cilindro!$B$34))/Presion_cilindro!$B$35)^(Presion_cilindro!$B$17+1)),0)-IF(Presion_cilindro!N156&gt;(-B$4+Presion_cilindro!$B$34),1-EXP(-Presion_cilindro!$B$16*((Presion_cilindro!N156-(-B$4+Presion_cilindro!$B$34))/Presion_cilindro!$B$35)^(Presion_cilindro!$B$17+1)),0))/((Presion_cilindro!O156+Presion_cilindro!O157)/2)</f>
        <v>1.1205962603920467</v>
      </c>
      <c r="C165" s="27">
        <f>C164*(Presion_cilindro!O156/Presion_cilindro!O157)^Presion_cilindro!$B$9+10*(Presion_cilindro!$B$9-1)*Presion_cilindro!$B$33*(IF(Presion_cilindro!N157&gt;(-C$4+Presion_cilindro!$B$34),1-EXP(-Presion_cilindro!$B$16*((Presion_cilindro!N157-(-C$4+Presion_cilindro!$B$34))/Presion_cilindro!$B$35)^(Presion_cilindro!$B$17+1)),0)-IF(Presion_cilindro!N156&gt;(-C$4+Presion_cilindro!$B$34),1-EXP(-Presion_cilindro!$B$16*((Presion_cilindro!N156-(-C$4+Presion_cilindro!$B$34))/Presion_cilindro!$B$35)^(Presion_cilindro!$B$17+1)),0))/((Presion_cilindro!O156+Presion_cilindro!O157)/2)</f>
        <v>1.1205962603920467</v>
      </c>
      <c r="D165" s="27">
        <f>D164*(Presion_cilindro!O156/Presion_cilindro!O157)^Presion_cilindro!$B$9+10*(Presion_cilindro!$B$9-1)*Presion_cilindro!$B$33*(IF(Presion_cilindro!N157&gt;(-D$4+Presion_cilindro!$B$34),1-EXP(-Presion_cilindro!$B$16*((Presion_cilindro!N157-(-D$4+Presion_cilindro!$B$34))/Presion_cilindro!$B$35)^(Presion_cilindro!$B$17+1)),0)-IF(Presion_cilindro!N156&gt;(-D$4+Presion_cilindro!$B$34),1-EXP(-Presion_cilindro!$B$16*((Presion_cilindro!N156-(-D$4+Presion_cilindro!$B$34))/Presion_cilindro!$B$35)^(Presion_cilindro!$B$17+1)),0))/((Presion_cilindro!O156+Presion_cilindro!O157)/2)</f>
        <v>1.1205962603920467</v>
      </c>
      <c r="E165" s="27">
        <f>E164*(Presion_cilindro!O156/Presion_cilindro!O157)^Presion_cilindro!$B$9+10*(Presion_cilindro!$B$9-1)*Presion_cilindro!$B$33*(IF(Presion_cilindro!N157&gt;(-E$4+Presion_cilindro!$B$34),1-EXP(-Presion_cilindro!$B$16*((Presion_cilindro!N157-(-E$4+Presion_cilindro!$B$34))/Presion_cilindro!$B$35)^(Presion_cilindro!$B$17+1)),0)-IF(Presion_cilindro!N156&gt;(-E$4+Presion_cilindro!$B$34),1-EXP(-Presion_cilindro!$B$16*((Presion_cilindro!N156-(-E$4+Presion_cilindro!$B$34))/Presion_cilindro!$B$35)^(Presion_cilindro!$B$17+1)),0))/((Presion_cilindro!O156+Presion_cilindro!O157)/2)</f>
        <v>1.1205962603920467</v>
      </c>
      <c r="F165" s="27">
        <f>F164*(Presion_cilindro!O156/Presion_cilindro!O157)^Presion_cilindro!$B$9+10*(Presion_cilindro!$B$9-1)*Presion_cilindro!$B$33*(IF(Presion_cilindro!N157&gt;(-F$4+Presion_cilindro!$B$34),1-EXP(-Presion_cilindro!$B$16*((Presion_cilindro!N157-(-F$4+Presion_cilindro!$B$34))/Presion_cilindro!$B$35)^(Presion_cilindro!$B$17+1)),0)-IF(Presion_cilindro!N156&gt;(-F$4+Presion_cilindro!$B$34),1-EXP(-Presion_cilindro!$B$16*((Presion_cilindro!N156-(-F$4+Presion_cilindro!$B$34))/Presion_cilindro!$B$35)^(Presion_cilindro!$B$17+1)),0))/((Presion_cilindro!O156+Presion_cilindro!O157)/2)</f>
        <v>1.1205962603920467</v>
      </c>
      <c r="G165" s="27">
        <f>G164*(Presion_cilindro!O156/Presion_cilindro!O157)^Presion_cilindro!$B$9+10*(Presion_cilindro!$B$9-1)*Presion_cilindro!$B$33*(IF(Presion_cilindro!N157&gt;(-G$4+Presion_cilindro!$B$34),1-EXP(-Presion_cilindro!$B$16*((Presion_cilindro!N157-(-G$4+Presion_cilindro!$B$34))/Presion_cilindro!$B$35)^(Presion_cilindro!$B$17+1)),0)-IF(Presion_cilindro!N156&gt;(-G$4+Presion_cilindro!$B$34),1-EXP(-Presion_cilindro!$B$16*((Presion_cilindro!N156-(-G$4+Presion_cilindro!$B$34))/Presion_cilindro!$B$35)^(Presion_cilindro!$B$17+1)),0))/((Presion_cilindro!O156+Presion_cilindro!O157)/2)</f>
        <v>1.1205962603920467</v>
      </c>
      <c r="H165" s="27">
        <f>H164*(Presion_cilindro!O156/Presion_cilindro!O157)^Presion_cilindro!$B$9+10*(Presion_cilindro!$B$9-1)*Presion_cilindro!$B$33*(IF(Presion_cilindro!N157&gt;(-H$4+Presion_cilindro!$B$34),1-EXP(-Presion_cilindro!$B$16*((Presion_cilindro!N157-(-H$4+Presion_cilindro!$B$34))/Presion_cilindro!$B$35)^(Presion_cilindro!$B$17+1)),0)-IF(Presion_cilindro!N156&gt;(-H$4+Presion_cilindro!$B$34),1-EXP(-Presion_cilindro!$B$16*((Presion_cilindro!N156-(-H$4+Presion_cilindro!$B$34))/Presion_cilindro!$B$35)^(Presion_cilindro!$B$17+1)),0))/((Presion_cilindro!O156+Presion_cilindro!O157)/2)</f>
        <v>1.1205962603920467</v>
      </c>
      <c r="I165" s="27">
        <f>I164*(Presion_cilindro!O156/Presion_cilindro!O157)^Presion_cilindro!$B$9+10*(Presion_cilindro!$B$9-1)*Presion_cilindro!$B$33*(IF(Presion_cilindro!N157&gt;(-I$4+Presion_cilindro!$B$34),1-EXP(-Presion_cilindro!$B$16*((Presion_cilindro!N157-(-I$4+Presion_cilindro!$B$34))/Presion_cilindro!$B$35)^(Presion_cilindro!$B$17+1)),0)-IF(Presion_cilindro!N156&gt;(-I$4+Presion_cilindro!$B$34),1-EXP(-Presion_cilindro!$B$16*((Presion_cilindro!N156-(-I$4+Presion_cilindro!$B$34))/Presion_cilindro!$B$35)^(Presion_cilindro!$B$17+1)),0))/((Presion_cilindro!O156+Presion_cilindro!O157)/2)</f>
        <v>1.1205962603920467</v>
      </c>
      <c r="J165" s="27">
        <f>J164*(Presion_cilindro!O156/Presion_cilindro!O157)^Presion_cilindro!$B$9+10*(Presion_cilindro!$B$9-1)*Presion_cilindro!$B$33*(IF(Presion_cilindro!N157&gt;(-J$4+Presion_cilindro!$B$34),1-EXP(-Presion_cilindro!$B$16*((Presion_cilindro!N157-(-J$4+Presion_cilindro!$B$34))/Presion_cilindro!$B$35)^(Presion_cilindro!$B$17+1)),0)-IF(Presion_cilindro!N156&gt;(-J$4+Presion_cilindro!$B$34),1-EXP(-Presion_cilindro!$B$16*((Presion_cilindro!N156-(-J$4+Presion_cilindro!$B$34))/Presion_cilindro!$B$35)^(Presion_cilindro!$B$17+1)),0))/((Presion_cilindro!O156+Presion_cilindro!O157)/2)</f>
        <v>1.1205962603920467</v>
      </c>
      <c r="K165" s="27">
        <f>K164*(Presion_cilindro!O156/Presion_cilindro!O157)^Presion_cilindro!$B$9+10*(Presion_cilindro!$B$9-1)*Presion_cilindro!$B$33*(IF(Presion_cilindro!N157&gt;(-K$4+Presion_cilindro!$B$34),1-EXP(-Presion_cilindro!$B$16*((Presion_cilindro!N157-(-K$4+Presion_cilindro!$B$34))/Presion_cilindro!$B$35)^(Presion_cilindro!$B$17+1)),0)-IF(Presion_cilindro!N156&gt;(-K$4+Presion_cilindro!$B$34),1-EXP(-Presion_cilindro!$B$16*((Presion_cilindro!N156-(-K$4+Presion_cilindro!$B$34))/Presion_cilindro!$B$35)^(Presion_cilindro!$B$17+1)),0))/((Presion_cilindro!O156+Presion_cilindro!O157)/2)</f>
        <v>1.1205962603920467</v>
      </c>
      <c r="L165" s="27">
        <f>L164*(Presion_cilindro!O156/Presion_cilindro!O157)^Presion_cilindro!$B$9+10*(Presion_cilindro!$B$9-1)*Presion_cilindro!$B$33*(IF(Presion_cilindro!N157&gt;(-L$4+Presion_cilindro!$B$34),1-EXP(-Presion_cilindro!$B$16*((Presion_cilindro!N157-(-L$4+Presion_cilindro!$B$34))/Presion_cilindro!$B$35)^(Presion_cilindro!$B$17+1)),0)-IF(Presion_cilindro!N156&gt;(-L$4+Presion_cilindro!$B$34),1-EXP(-Presion_cilindro!$B$16*((Presion_cilindro!N156-(-L$4+Presion_cilindro!$B$34))/Presion_cilindro!$B$35)^(Presion_cilindro!$B$17+1)),0))/((Presion_cilindro!O156+Presion_cilindro!O157)/2)</f>
        <v>1.1205962603920467</v>
      </c>
      <c r="M165" s="27">
        <f>M164*(Presion_cilindro!O156/Presion_cilindro!O157)^Presion_cilindro!$B$9+10*(Presion_cilindro!$B$9-1)*Presion_cilindro!$B$33*(IF(Presion_cilindro!N157&gt;(-M$4+Presion_cilindro!$B$34),1-EXP(-Presion_cilindro!$B$16*((Presion_cilindro!N157-(-M$4+Presion_cilindro!$B$34))/Presion_cilindro!$B$35)^(Presion_cilindro!$B$17+1)),0)-IF(Presion_cilindro!N156&gt;(-M$4+Presion_cilindro!$B$34),1-EXP(-Presion_cilindro!$B$16*((Presion_cilindro!N156-(-M$4+Presion_cilindro!$B$34))/Presion_cilindro!$B$35)^(Presion_cilindro!$B$17+1)),0))/((Presion_cilindro!O156+Presion_cilindro!O157)/2)</f>
        <v>1.1205962603920467</v>
      </c>
      <c r="N165" s="27">
        <f>N164*(Presion_cilindro!O156/Presion_cilindro!O157)^Presion_cilindro!$B$9+10*(Presion_cilindro!$B$9-1)*Presion_cilindro!$B$33*(IF(Presion_cilindro!N157&gt;(-N$4+Presion_cilindro!$B$34),1-EXP(-Presion_cilindro!$B$16*((Presion_cilindro!N157-(-N$4+Presion_cilindro!$B$34))/Presion_cilindro!$B$35)^(Presion_cilindro!$B$17+1)),0)-IF(Presion_cilindro!N156&gt;(-N$4+Presion_cilindro!$B$34),1-EXP(-Presion_cilindro!$B$16*((Presion_cilindro!N156-(-N$4+Presion_cilindro!$B$34))/Presion_cilindro!$B$35)^(Presion_cilindro!$B$17+1)),0))/((Presion_cilindro!O156+Presion_cilindro!O157)/2)</f>
        <v>1.1205962603920467</v>
      </c>
    </row>
    <row r="166" spans="1:14" x14ac:dyDescent="0.25">
      <c r="A166" s="21">
        <f>Presion_cilindro!N158</f>
        <v>-103</v>
      </c>
      <c r="B166" s="27">
        <f>B165*(Presion_cilindro!O157/Presion_cilindro!O158)^Presion_cilindro!$B$9+10*(Presion_cilindro!$B$9-1)*Presion_cilindro!$B$33*(IF(Presion_cilindro!N158&gt;(-B$4+Presion_cilindro!$B$34),1-EXP(-Presion_cilindro!$B$16*((Presion_cilindro!N158-(-B$4+Presion_cilindro!$B$34))/Presion_cilindro!$B$35)^(Presion_cilindro!$B$17+1)),0)-IF(Presion_cilindro!N157&gt;(-B$4+Presion_cilindro!$B$34),1-EXP(-Presion_cilindro!$B$16*((Presion_cilindro!N157-(-B$4+Presion_cilindro!$B$34))/Presion_cilindro!$B$35)^(Presion_cilindro!$B$17+1)),0))/((Presion_cilindro!O157+Presion_cilindro!O158)/2)</f>
        <v>1.1280426266472254</v>
      </c>
      <c r="C166" s="27">
        <f>C165*(Presion_cilindro!O157/Presion_cilindro!O158)^Presion_cilindro!$B$9+10*(Presion_cilindro!$B$9-1)*Presion_cilindro!$B$33*(IF(Presion_cilindro!N158&gt;(-C$4+Presion_cilindro!$B$34),1-EXP(-Presion_cilindro!$B$16*((Presion_cilindro!N158-(-C$4+Presion_cilindro!$B$34))/Presion_cilindro!$B$35)^(Presion_cilindro!$B$17+1)),0)-IF(Presion_cilindro!N157&gt;(-C$4+Presion_cilindro!$B$34),1-EXP(-Presion_cilindro!$B$16*((Presion_cilindro!N157-(-C$4+Presion_cilindro!$B$34))/Presion_cilindro!$B$35)^(Presion_cilindro!$B$17+1)),0))/((Presion_cilindro!O157+Presion_cilindro!O158)/2)</f>
        <v>1.1280426266472254</v>
      </c>
      <c r="D166" s="27">
        <f>D165*(Presion_cilindro!O157/Presion_cilindro!O158)^Presion_cilindro!$B$9+10*(Presion_cilindro!$B$9-1)*Presion_cilindro!$B$33*(IF(Presion_cilindro!N158&gt;(-D$4+Presion_cilindro!$B$34),1-EXP(-Presion_cilindro!$B$16*((Presion_cilindro!N158-(-D$4+Presion_cilindro!$B$34))/Presion_cilindro!$B$35)^(Presion_cilindro!$B$17+1)),0)-IF(Presion_cilindro!N157&gt;(-D$4+Presion_cilindro!$B$34),1-EXP(-Presion_cilindro!$B$16*((Presion_cilindro!N157-(-D$4+Presion_cilindro!$B$34))/Presion_cilindro!$B$35)^(Presion_cilindro!$B$17+1)),0))/((Presion_cilindro!O157+Presion_cilindro!O158)/2)</f>
        <v>1.1280426266472254</v>
      </c>
      <c r="E166" s="27">
        <f>E165*(Presion_cilindro!O157/Presion_cilindro!O158)^Presion_cilindro!$B$9+10*(Presion_cilindro!$B$9-1)*Presion_cilindro!$B$33*(IF(Presion_cilindro!N158&gt;(-E$4+Presion_cilindro!$B$34),1-EXP(-Presion_cilindro!$B$16*((Presion_cilindro!N158-(-E$4+Presion_cilindro!$B$34))/Presion_cilindro!$B$35)^(Presion_cilindro!$B$17+1)),0)-IF(Presion_cilindro!N157&gt;(-E$4+Presion_cilindro!$B$34),1-EXP(-Presion_cilindro!$B$16*((Presion_cilindro!N157-(-E$4+Presion_cilindro!$B$34))/Presion_cilindro!$B$35)^(Presion_cilindro!$B$17+1)),0))/((Presion_cilindro!O157+Presion_cilindro!O158)/2)</f>
        <v>1.1280426266472254</v>
      </c>
      <c r="F166" s="27">
        <f>F165*(Presion_cilindro!O157/Presion_cilindro!O158)^Presion_cilindro!$B$9+10*(Presion_cilindro!$B$9-1)*Presion_cilindro!$B$33*(IF(Presion_cilindro!N158&gt;(-F$4+Presion_cilindro!$B$34),1-EXP(-Presion_cilindro!$B$16*((Presion_cilindro!N158-(-F$4+Presion_cilindro!$B$34))/Presion_cilindro!$B$35)^(Presion_cilindro!$B$17+1)),0)-IF(Presion_cilindro!N157&gt;(-F$4+Presion_cilindro!$B$34),1-EXP(-Presion_cilindro!$B$16*((Presion_cilindro!N157-(-F$4+Presion_cilindro!$B$34))/Presion_cilindro!$B$35)^(Presion_cilindro!$B$17+1)),0))/((Presion_cilindro!O157+Presion_cilindro!O158)/2)</f>
        <v>1.1280426266472254</v>
      </c>
      <c r="G166" s="27">
        <f>G165*(Presion_cilindro!O157/Presion_cilindro!O158)^Presion_cilindro!$B$9+10*(Presion_cilindro!$B$9-1)*Presion_cilindro!$B$33*(IF(Presion_cilindro!N158&gt;(-G$4+Presion_cilindro!$B$34),1-EXP(-Presion_cilindro!$B$16*((Presion_cilindro!N158-(-G$4+Presion_cilindro!$B$34))/Presion_cilindro!$B$35)^(Presion_cilindro!$B$17+1)),0)-IF(Presion_cilindro!N157&gt;(-G$4+Presion_cilindro!$B$34),1-EXP(-Presion_cilindro!$B$16*((Presion_cilindro!N157-(-G$4+Presion_cilindro!$B$34))/Presion_cilindro!$B$35)^(Presion_cilindro!$B$17+1)),0))/((Presion_cilindro!O157+Presion_cilindro!O158)/2)</f>
        <v>1.1280426266472254</v>
      </c>
      <c r="H166" s="27">
        <f>H165*(Presion_cilindro!O157/Presion_cilindro!O158)^Presion_cilindro!$B$9+10*(Presion_cilindro!$B$9-1)*Presion_cilindro!$B$33*(IF(Presion_cilindro!N158&gt;(-H$4+Presion_cilindro!$B$34),1-EXP(-Presion_cilindro!$B$16*((Presion_cilindro!N158-(-H$4+Presion_cilindro!$B$34))/Presion_cilindro!$B$35)^(Presion_cilindro!$B$17+1)),0)-IF(Presion_cilindro!N157&gt;(-H$4+Presion_cilindro!$B$34),1-EXP(-Presion_cilindro!$B$16*((Presion_cilindro!N157-(-H$4+Presion_cilindro!$B$34))/Presion_cilindro!$B$35)^(Presion_cilindro!$B$17+1)),0))/((Presion_cilindro!O157+Presion_cilindro!O158)/2)</f>
        <v>1.1280426266472254</v>
      </c>
      <c r="I166" s="27">
        <f>I165*(Presion_cilindro!O157/Presion_cilindro!O158)^Presion_cilindro!$B$9+10*(Presion_cilindro!$B$9-1)*Presion_cilindro!$B$33*(IF(Presion_cilindro!N158&gt;(-I$4+Presion_cilindro!$B$34),1-EXP(-Presion_cilindro!$B$16*((Presion_cilindro!N158-(-I$4+Presion_cilindro!$B$34))/Presion_cilindro!$B$35)^(Presion_cilindro!$B$17+1)),0)-IF(Presion_cilindro!N157&gt;(-I$4+Presion_cilindro!$B$34),1-EXP(-Presion_cilindro!$B$16*((Presion_cilindro!N157-(-I$4+Presion_cilindro!$B$34))/Presion_cilindro!$B$35)^(Presion_cilindro!$B$17+1)),0))/((Presion_cilindro!O157+Presion_cilindro!O158)/2)</f>
        <v>1.1280426266472254</v>
      </c>
      <c r="J166" s="27">
        <f>J165*(Presion_cilindro!O157/Presion_cilindro!O158)^Presion_cilindro!$B$9+10*(Presion_cilindro!$B$9-1)*Presion_cilindro!$B$33*(IF(Presion_cilindro!N158&gt;(-J$4+Presion_cilindro!$B$34),1-EXP(-Presion_cilindro!$B$16*((Presion_cilindro!N158-(-J$4+Presion_cilindro!$B$34))/Presion_cilindro!$B$35)^(Presion_cilindro!$B$17+1)),0)-IF(Presion_cilindro!N157&gt;(-J$4+Presion_cilindro!$B$34),1-EXP(-Presion_cilindro!$B$16*((Presion_cilindro!N157-(-J$4+Presion_cilindro!$B$34))/Presion_cilindro!$B$35)^(Presion_cilindro!$B$17+1)),0))/((Presion_cilindro!O157+Presion_cilindro!O158)/2)</f>
        <v>1.1280426266472254</v>
      </c>
      <c r="K166" s="27">
        <f>K165*(Presion_cilindro!O157/Presion_cilindro!O158)^Presion_cilindro!$B$9+10*(Presion_cilindro!$B$9-1)*Presion_cilindro!$B$33*(IF(Presion_cilindro!N158&gt;(-K$4+Presion_cilindro!$B$34),1-EXP(-Presion_cilindro!$B$16*((Presion_cilindro!N158-(-K$4+Presion_cilindro!$B$34))/Presion_cilindro!$B$35)^(Presion_cilindro!$B$17+1)),0)-IF(Presion_cilindro!N157&gt;(-K$4+Presion_cilindro!$B$34),1-EXP(-Presion_cilindro!$B$16*((Presion_cilindro!N157-(-K$4+Presion_cilindro!$B$34))/Presion_cilindro!$B$35)^(Presion_cilindro!$B$17+1)),0))/((Presion_cilindro!O157+Presion_cilindro!O158)/2)</f>
        <v>1.1280426266472254</v>
      </c>
      <c r="L166" s="27">
        <f>L165*(Presion_cilindro!O157/Presion_cilindro!O158)^Presion_cilindro!$B$9+10*(Presion_cilindro!$B$9-1)*Presion_cilindro!$B$33*(IF(Presion_cilindro!N158&gt;(-L$4+Presion_cilindro!$B$34),1-EXP(-Presion_cilindro!$B$16*((Presion_cilindro!N158-(-L$4+Presion_cilindro!$B$34))/Presion_cilindro!$B$35)^(Presion_cilindro!$B$17+1)),0)-IF(Presion_cilindro!N157&gt;(-L$4+Presion_cilindro!$B$34),1-EXP(-Presion_cilindro!$B$16*((Presion_cilindro!N157-(-L$4+Presion_cilindro!$B$34))/Presion_cilindro!$B$35)^(Presion_cilindro!$B$17+1)),0))/((Presion_cilindro!O157+Presion_cilindro!O158)/2)</f>
        <v>1.1280426266472254</v>
      </c>
      <c r="M166" s="27">
        <f>M165*(Presion_cilindro!O157/Presion_cilindro!O158)^Presion_cilindro!$B$9+10*(Presion_cilindro!$B$9-1)*Presion_cilindro!$B$33*(IF(Presion_cilindro!N158&gt;(-M$4+Presion_cilindro!$B$34),1-EXP(-Presion_cilindro!$B$16*((Presion_cilindro!N158-(-M$4+Presion_cilindro!$B$34))/Presion_cilindro!$B$35)^(Presion_cilindro!$B$17+1)),0)-IF(Presion_cilindro!N157&gt;(-M$4+Presion_cilindro!$B$34),1-EXP(-Presion_cilindro!$B$16*((Presion_cilindro!N157-(-M$4+Presion_cilindro!$B$34))/Presion_cilindro!$B$35)^(Presion_cilindro!$B$17+1)),0))/((Presion_cilindro!O157+Presion_cilindro!O158)/2)</f>
        <v>1.1280426266472254</v>
      </c>
      <c r="N166" s="27">
        <f>N165*(Presion_cilindro!O157/Presion_cilindro!O158)^Presion_cilindro!$B$9+10*(Presion_cilindro!$B$9-1)*Presion_cilindro!$B$33*(IF(Presion_cilindro!N158&gt;(-N$4+Presion_cilindro!$B$34),1-EXP(-Presion_cilindro!$B$16*((Presion_cilindro!N158-(-N$4+Presion_cilindro!$B$34))/Presion_cilindro!$B$35)^(Presion_cilindro!$B$17+1)),0)-IF(Presion_cilindro!N157&gt;(-N$4+Presion_cilindro!$B$34),1-EXP(-Presion_cilindro!$B$16*((Presion_cilindro!N157-(-N$4+Presion_cilindro!$B$34))/Presion_cilindro!$B$35)^(Presion_cilindro!$B$17+1)),0))/((Presion_cilindro!O157+Presion_cilindro!O158)/2)</f>
        <v>1.1280426266472254</v>
      </c>
    </row>
    <row r="167" spans="1:14" x14ac:dyDescent="0.25">
      <c r="A167" s="21">
        <f>Presion_cilindro!N159</f>
        <v>-102.5</v>
      </c>
      <c r="B167" s="27">
        <f>B166*(Presion_cilindro!O158/Presion_cilindro!O159)^Presion_cilindro!$B$9+10*(Presion_cilindro!$B$9-1)*Presion_cilindro!$B$33*(IF(Presion_cilindro!N159&gt;(-B$4+Presion_cilindro!$B$34),1-EXP(-Presion_cilindro!$B$16*((Presion_cilindro!N159-(-B$4+Presion_cilindro!$B$34))/Presion_cilindro!$B$35)^(Presion_cilindro!$B$17+1)),0)-IF(Presion_cilindro!N158&gt;(-B$4+Presion_cilindro!$B$34),1-EXP(-Presion_cilindro!$B$16*((Presion_cilindro!N158-(-B$4+Presion_cilindro!$B$34))/Presion_cilindro!$B$35)^(Presion_cilindro!$B$17+1)),0))/((Presion_cilindro!O158+Presion_cilindro!O159)/2)</f>
        <v>1.1356119140093863</v>
      </c>
      <c r="C167" s="27">
        <f>C166*(Presion_cilindro!O158/Presion_cilindro!O159)^Presion_cilindro!$B$9+10*(Presion_cilindro!$B$9-1)*Presion_cilindro!$B$33*(IF(Presion_cilindro!N159&gt;(-C$4+Presion_cilindro!$B$34),1-EXP(-Presion_cilindro!$B$16*((Presion_cilindro!N159-(-C$4+Presion_cilindro!$B$34))/Presion_cilindro!$B$35)^(Presion_cilindro!$B$17+1)),0)-IF(Presion_cilindro!N158&gt;(-C$4+Presion_cilindro!$B$34),1-EXP(-Presion_cilindro!$B$16*((Presion_cilindro!N158-(-C$4+Presion_cilindro!$B$34))/Presion_cilindro!$B$35)^(Presion_cilindro!$B$17+1)),0))/((Presion_cilindro!O158+Presion_cilindro!O159)/2)</f>
        <v>1.1356119140093863</v>
      </c>
      <c r="D167" s="27">
        <f>D166*(Presion_cilindro!O158/Presion_cilindro!O159)^Presion_cilindro!$B$9+10*(Presion_cilindro!$B$9-1)*Presion_cilindro!$B$33*(IF(Presion_cilindro!N159&gt;(-D$4+Presion_cilindro!$B$34),1-EXP(-Presion_cilindro!$B$16*((Presion_cilindro!N159-(-D$4+Presion_cilindro!$B$34))/Presion_cilindro!$B$35)^(Presion_cilindro!$B$17+1)),0)-IF(Presion_cilindro!N158&gt;(-D$4+Presion_cilindro!$B$34),1-EXP(-Presion_cilindro!$B$16*((Presion_cilindro!N158-(-D$4+Presion_cilindro!$B$34))/Presion_cilindro!$B$35)^(Presion_cilindro!$B$17+1)),0))/((Presion_cilindro!O158+Presion_cilindro!O159)/2)</f>
        <v>1.1356119140093863</v>
      </c>
      <c r="E167" s="27">
        <f>E166*(Presion_cilindro!O158/Presion_cilindro!O159)^Presion_cilindro!$B$9+10*(Presion_cilindro!$B$9-1)*Presion_cilindro!$B$33*(IF(Presion_cilindro!N159&gt;(-E$4+Presion_cilindro!$B$34),1-EXP(-Presion_cilindro!$B$16*((Presion_cilindro!N159-(-E$4+Presion_cilindro!$B$34))/Presion_cilindro!$B$35)^(Presion_cilindro!$B$17+1)),0)-IF(Presion_cilindro!N158&gt;(-E$4+Presion_cilindro!$B$34),1-EXP(-Presion_cilindro!$B$16*((Presion_cilindro!N158-(-E$4+Presion_cilindro!$B$34))/Presion_cilindro!$B$35)^(Presion_cilindro!$B$17+1)),0))/((Presion_cilindro!O158+Presion_cilindro!O159)/2)</f>
        <v>1.1356119140093863</v>
      </c>
      <c r="F167" s="27">
        <f>F166*(Presion_cilindro!O158/Presion_cilindro!O159)^Presion_cilindro!$B$9+10*(Presion_cilindro!$B$9-1)*Presion_cilindro!$B$33*(IF(Presion_cilindro!N159&gt;(-F$4+Presion_cilindro!$B$34),1-EXP(-Presion_cilindro!$B$16*((Presion_cilindro!N159-(-F$4+Presion_cilindro!$B$34))/Presion_cilindro!$B$35)^(Presion_cilindro!$B$17+1)),0)-IF(Presion_cilindro!N158&gt;(-F$4+Presion_cilindro!$B$34),1-EXP(-Presion_cilindro!$B$16*((Presion_cilindro!N158-(-F$4+Presion_cilindro!$B$34))/Presion_cilindro!$B$35)^(Presion_cilindro!$B$17+1)),0))/((Presion_cilindro!O158+Presion_cilindro!O159)/2)</f>
        <v>1.1356119140093863</v>
      </c>
      <c r="G167" s="27">
        <f>G166*(Presion_cilindro!O158/Presion_cilindro!O159)^Presion_cilindro!$B$9+10*(Presion_cilindro!$B$9-1)*Presion_cilindro!$B$33*(IF(Presion_cilindro!N159&gt;(-G$4+Presion_cilindro!$B$34),1-EXP(-Presion_cilindro!$B$16*((Presion_cilindro!N159-(-G$4+Presion_cilindro!$B$34))/Presion_cilindro!$B$35)^(Presion_cilindro!$B$17+1)),0)-IF(Presion_cilindro!N158&gt;(-G$4+Presion_cilindro!$B$34),1-EXP(-Presion_cilindro!$B$16*((Presion_cilindro!N158-(-G$4+Presion_cilindro!$B$34))/Presion_cilindro!$B$35)^(Presion_cilindro!$B$17+1)),0))/((Presion_cilindro!O158+Presion_cilindro!O159)/2)</f>
        <v>1.1356119140093863</v>
      </c>
      <c r="H167" s="27">
        <f>H166*(Presion_cilindro!O158/Presion_cilindro!O159)^Presion_cilindro!$B$9+10*(Presion_cilindro!$B$9-1)*Presion_cilindro!$B$33*(IF(Presion_cilindro!N159&gt;(-H$4+Presion_cilindro!$B$34),1-EXP(-Presion_cilindro!$B$16*((Presion_cilindro!N159-(-H$4+Presion_cilindro!$B$34))/Presion_cilindro!$B$35)^(Presion_cilindro!$B$17+1)),0)-IF(Presion_cilindro!N158&gt;(-H$4+Presion_cilindro!$B$34),1-EXP(-Presion_cilindro!$B$16*((Presion_cilindro!N158-(-H$4+Presion_cilindro!$B$34))/Presion_cilindro!$B$35)^(Presion_cilindro!$B$17+1)),0))/((Presion_cilindro!O158+Presion_cilindro!O159)/2)</f>
        <v>1.1356119140093863</v>
      </c>
      <c r="I167" s="27">
        <f>I166*(Presion_cilindro!O158/Presion_cilindro!O159)^Presion_cilindro!$B$9+10*(Presion_cilindro!$B$9-1)*Presion_cilindro!$B$33*(IF(Presion_cilindro!N159&gt;(-I$4+Presion_cilindro!$B$34),1-EXP(-Presion_cilindro!$B$16*((Presion_cilindro!N159-(-I$4+Presion_cilindro!$B$34))/Presion_cilindro!$B$35)^(Presion_cilindro!$B$17+1)),0)-IF(Presion_cilindro!N158&gt;(-I$4+Presion_cilindro!$B$34),1-EXP(-Presion_cilindro!$B$16*((Presion_cilindro!N158-(-I$4+Presion_cilindro!$B$34))/Presion_cilindro!$B$35)^(Presion_cilindro!$B$17+1)),0))/((Presion_cilindro!O158+Presion_cilindro!O159)/2)</f>
        <v>1.1356119140093863</v>
      </c>
      <c r="J167" s="27">
        <f>J166*(Presion_cilindro!O158/Presion_cilindro!O159)^Presion_cilindro!$B$9+10*(Presion_cilindro!$B$9-1)*Presion_cilindro!$B$33*(IF(Presion_cilindro!N159&gt;(-J$4+Presion_cilindro!$B$34),1-EXP(-Presion_cilindro!$B$16*((Presion_cilindro!N159-(-J$4+Presion_cilindro!$B$34))/Presion_cilindro!$B$35)^(Presion_cilindro!$B$17+1)),0)-IF(Presion_cilindro!N158&gt;(-J$4+Presion_cilindro!$B$34),1-EXP(-Presion_cilindro!$B$16*((Presion_cilindro!N158-(-J$4+Presion_cilindro!$B$34))/Presion_cilindro!$B$35)^(Presion_cilindro!$B$17+1)),0))/((Presion_cilindro!O158+Presion_cilindro!O159)/2)</f>
        <v>1.1356119140093863</v>
      </c>
      <c r="K167" s="27">
        <f>K166*(Presion_cilindro!O158/Presion_cilindro!O159)^Presion_cilindro!$B$9+10*(Presion_cilindro!$B$9-1)*Presion_cilindro!$B$33*(IF(Presion_cilindro!N159&gt;(-K$4+Presion_cilindro!$B$34),1-EXP(-Presion_cilindro!$B$16*((Presion_cilindro!N159-(-K$4+Presion_cilindro!$B$34))/Presion_cilindro!$B$35)^(Presion_cilindro!$B$17+1)),0)-IF(Presion_cilindro!N158&gt;(-K$4+Presion_cilindro!$B$34),1-EXP(-Presion_cilindro!$B$16*((Presion_cilindro!N158-(-K$4+Presion_cilindro!$B$34))/Presion_cilindro!$B$35)^(Presion_cilindro!$B$17+1)),0))/((Presion_cilindro!O158+Presion_cilindro!O159)/2)</f>
        <v>1.1356119140093863</v>
      </c>
      <c r="L167" s="27">
        <f>L166*(Presion_cilindro!O158/Presion_cilindro!O159)^Presion_cilindro!$B$9+10*(Presion_cilindro!$B$9-1)*Presion_cilindro!$B$33*(IF(Presion_cilindro!N159&gt;(-L$4+Presion_cilindro!$B$34),1-EXP(-Presion_cilindro!$B$16*((Presion_cilindro!N159-(-L$4+Presion_cilindro!$B$34))/Presion_cilindro!$B$35)^(Presion_cilindro!$B$17+1)),0)-IF(Presion_cilindro!N158&gt;(-L$4+Presion_cilindro!$B$34),1-EXP(-Presion_cilindro!$B$16*((Presion_cilindro!N158-(-L$4+Presion_cilindro!$B$34))/Presion_cilindro!$B$35)^(Presion_cilindro!$B$17+1)),0))/((Presion_cilindro!O158+Presion_cilindro!O159)/2)</f>
        <v>1.1356119140093863</v>
      </c>
      <c r="M167" s="27">
        <f>M166*(Presion_cilindro!O158/Presion_cilindro!O159)^Presion_cilindro!$B$9+10*(Presion_cilindro!$B$9-1)*Presion_cilindro!$B$33*(IF(Presion_cilindro!N159&gt;(-M$4+Presion_cilindro!$B$34),1-EXP(-Presion_cilindro!$B$16*((Presion_cilindro!N159-(-M$4+Presion_cilindro!$B$34))/Presion_cilindro!$B$35)^(Presion_cilindro!$B$17+1)),0)-IF(Presion_cilindro!N158&gt;(-M$4+Presion_cilindro!$B$34),1-EXP(-Presion_cilindro!$B$16*((Presion_cilindro!N158-(-M$4+Presion_cilindro!$B$34))/Presion_cilindro!$B$35)^(Presion_cilindro!$B$17+1)),0))/((Presion_cilindro!O158+Presion_cilindro!O159)/2)</f>
        <v>1.1356119140093863</v>
      </c>
      <c r="N167" s="27">
        <f>N166*(Presion_cilindro!O158/Presion_cilindro!O159)^Presion_cilindro!$B$9+10*(Presion_cilindro!$B$9-1)*Presion_cilindro!$B$33*(IF(Presion_cilindro!N159&gt;(-N$4+Presion_cilindro!$B$34),1-EXP(-Presion_cilindro!$B$16*((Presion_cilindro!N159-(-N$4+Presion_cilindro!$B$34))/Presion_cilindro!$B$35)^(Presion_cilindro!$B$17+1)),0)-IF(Presion_cilindro!N158&gt;(-N$4+Presion_cilindro!$B$34),1-EXP(-Presion_cilindro!$B$16*((Presion_cilindro!N158-(-N$4+Presion_cilindro!$B$34))/Presion_cilindro!$B$35)^(Presion_cilindro!$B$17+1)),0))/((Presion_cilindro!O158+Presion_cilindro!O159)/2)</f>
        <v>1.1356119140093863</v>
      </c>
    </row>
    <row r="168" spans="1:14" x14ac:dyDescent="0.25">
      <c r="A168" s="21">
        <f>Presion_cilindro!N160</f>
        <v>-102</v>
      </c>
      <c r="B168" s="27">
        <f>B167*(Presion_cilindro!O159/Presion_cilindro!O160)^Presion_cilindro!$B$9+10*(Presion_cilindro!$B$9-1)*Presion_cilindro!$B$33*(IF(Presion_cilindro!N160&gt;(-B$4+Presion_cilindro!$B$34),1-EXP(-Presion_cilindro!$B$16*((Presion_cilindro!N160-(-B$4+Presion_cilindro!$B$34))/Presion_cilindro!$B$35)^(Presion_cilindro!$B$17+1)),0)-IF(Presion_cilindro!N159&gt;(-B$4+Presion_cilindro!$B$34),1-EXP(-Presion_cilindro!$B$16*((Presion_cilindro!N159-(-B$4+Presion_cilindro!$B$34))/Presion_cilindro!$B$35)^(Presion_cilindro!$B$17+1)),0))/((Presion_cilindro!O159+Presion_cilindro!O160)/2)</f>
        <v>1.1433064055220281</v>
      </c>
      <c r="C168" s="27">
        <f>C167*(Presion_cilindro!O159/Presion_cilindro!O160)^Presion_cilindro!$B$9+10*(Presion_cilindro!$B$9-1)*Presion_cilindro!$B$33*(IF(Presion_cilindro!N160&gt;(-C$4+Presion_cilindro!$B$34),1-EXP(-Presion_cilindro!$B$16*((Presion_cilindro!N160-(-C$4+Presion_cilindro!$B$34))/Presion_cilindro!$B$35)^(Presion_cilindro!$B$17+1)),0)-IF(Presion_cilindro!N159&gt;(-C$4+Presion_cilindro!$B$34),1-EXP(-Presion_cilindro!$B$16*((Presion_cilindro!N159-(-C$4+Presion_cilindro!$B$34))/Presion_cilindro!$B$35)^(Presion_cilindro!$B$17+1)),0))/((Presion_cilindro!O159+Presion_cilindro!O160)/2)</f>
        <v>1.1433064055220281</v>
      </c>
      <c r="D168" s="27">
        <f>D167*(Presion_cilindro!O159/Presion_cilindro!O160)^Presion_cilindro!$B$9+10*(Presion_cilindro!$B$9-1)*Presion_cilindro!$B$33*(IF(Presion_cilindro!N160&gt;(-D$4+Presion_cilindro!$B$34),1-EXP(-Presion_cilindro!$B$16*((Presion_cilindro!N160-(-D$4+Presion_cilindro!$B$34))/Presion_cilindro!$B$35)^(Presion_cilindro!$B$17+1)),0)-IF(Presion_cilindro!N159&gt;(-D$4+Presion_cilindro!$B$34),1-EXP(-Presion_cilindro!$B$16*((Presion_cilindro!N159-(-D$4+Presion_cilindro!$B$34))/Presion_cilindro!$B$35)^(Presion_cilindro!$B$17+1)),0))/((Presion_cilindro!O159+Presion_cilindro!O160)/2)</f>
        <v>1.1433064055220281</v>
      </c>
      <c r="E168" s="27">
        <f>E167*(Presion_cilindro!O159/Presion_cilindro!O160)^Presion_cilindro!$B$9+10*(Presion_cilindro!$B$9-1)*Presion_cilindro!$B$33*(IF(Presion_cilindro!N160&gt;(-E$4+Presion_cilindro!$B$34),1-EXP(-Presion_cilindro!$B$16*((Presion_cilindro!N160-(-E$4+Presion_cilindro!$B$34))/Presion_cilindro!$B$35)^(Presion_cilindro!$B$17+1)),0)-IF(Presion_cilindro!N159&gt;(-E$4+Presion_cilindro!$B$34),1-EXP(-Presion_cilindro!$B$16*((Presion_cilindro!N159-(-E$4+Presion_cilindro!$B$34))/Presion_cilindro!$B$35)^(Presion_cilindro!$B$17+1)),0))/((Presion_cilindro!O159+Presion_cilindro!O160)/2)</f>
        <v>1.1433064055220281</v>
      </c>
      <c r="F168" s="27">
        <f>F167*(Presion_cilindro!O159/Presion_cilindro!O160)^Presion_cilindro!$B$9+10*(Presion_cilindro!$B$9-1)*Presion_cilindro!$B$33*(IF(Presion_cilindro!N160&gt;(-F$4+Presion_cilindro!$B$34),1-EXP(-Presion_cilindro!$B$16*((Presion_cilindro!N160-(-F$4+Presion_cilindro!$B$34))/Presion_cilindro!$B$35)^(Presion_cilindro!$B$17+1)),0)-IF(Presion_cilindro!N159&gt;(-F$4+Presion_cilindro!$B$34),1-EXP(-Presion_cilindro!$B$16*((Presion_cilindro!N159-(-F$4+Presion_cilindro!$B$34))/Presion_cilindro!$B$35)^(Presion_cilindro!$B$17+1)),0))/((Presion_cilindro!O159+Presion_cilindro!O160)/2)</f>
        <v>1.1433064055220281</v>
      </c>
      <c r="G168" s="27">
        <f>G167*(Presion_cilindro!O159/Presion_cilindro!O160)^Presion_cilindro!$B$9+10*(Presion_cilindro!$B$9-1)*Presion_cilindro!$B$33*(IF(Presion_cilindro!N160&gt;(-G$4+Presion_cilindro!$B$34),1-EXP(-Presion_cilindro!$B$16*((Presion_cilindro!N160-(-G$4+Presion_cilindro!$B$34))/Presion_cilindro!$B$35)^(Presion_cilindro!$B$17+1)),0)-IF(Presion_cilindro!N159&gt;(-G$4+Presion_cilindro!$B$34),1-EXP(-Presion_cilindro!$B$16*((Presion_cilindro!N159-(-G$4+Presion_cilindro!$B$34))/Presion_cilindro!$B$35)^(Presion_cilindro!$B$17+1)),0))/((Presion_cilindro!O159+Presion_cilindro!O160)/2)</f>
        <v>1.1433064055220281</v>
      </c>
      <c r="H168" s="27">
        <f>H167*(Presion_cilindro!O159/Presion_cilindro!O160)^Presion_cilindro!$B$9+10*(Presion_cilindro!$B$9-1)*Presion_cilindro!$B$33*(IF(Presion_cilindro!N160&gt;(-H$4+Presion_cilindro!$B$34),1-EXP(-Presion_cilindro!$B$16*((Presion_cilindro!N160-(-H$4+Presion_cilindro!$B$34))/Presion_cilindro!$B$35)^(Presion_cilindro!$B$17+1)),0)-IF(Presion_cilindro!N159&gt;(-H$4+Presion_cilindro!$B$34),1-EXP(-Presion_cilindro!$B$16*((Presion_cilindro!N159-(-H$4+Presion_cilindro!$B$34))/Presion_cilindro!$B$35)^(Presion_cilindro!$B$17+1)),0))/((Presion_cilindro!O159+Presion_cilindro!O160)/2)</f>
        <v>1.1433064055220281</v>
      </c>
      <c r="I168" s="27">
        <f>I167*(Presion_cilindro!O159/Presion_cilindro!O160)^Presion_cilindro!$B$9+10*(Presion_cilindro!$B$9-1)*Presion_cilindro!$B$33*(IF(Presion_cilindro!N160&gt;(-I$4+Presion_cilindro!$B$34),1-EXP(-Presion_cilindro!$B$16*((Presion_cilindro!N160-(-I$4+Presion_cilindro!$B$34))/Presion_cilindro!$B$35)^(Presion_cilindro!$B$17+1)),0)-IF(Presion_cilindro!N159&gt;(-I$4+Presion_cilindro!$B$34),1-EXP(-Presion_cilindro!$B$16*((Presion_cilindro!N159-(-I$4+Presion_cilindro!$B$34))/Presion_cilindro!$B$35)^(Presion_cilindro!$B$17+1)),0))/((Presion_cilindro!O159+Presion_cilindro!O160)/2)</f>
        <v>1.1433064055220281</v>
      </c>
      <c r="J168" s="27">
        <f>J167*(Presion_cilindro!O159/Presion_cilindro!O160)^Presion_cilindro!$B$9+10*(Presion_cilindro!$B$9-1)*Presion_cilindro!$B$33*(IF(Presion_cilindro!N160&gt;(-J$4+Presion_cilindro!$B$34),1-EXP(-Presion_cilindro!$B$16*((Presion_cilindro!N160-(-J$4+Presion_cilindro!$B$34))/Presion_cilindro!$B$35)^(Presion_cilindro!$B$17+1)),0)-IF(Presion_cilindro!N159&gt;(-J$4+Presion_cilindro!$B$34),1-EXP(-Presion_cilindro!$B$16*((Presion_cilindro!N159-(-J$4+Presion_cilindro!$B$34))/Presion_cilindro!$B$35)^(Presion_cilindro!$B$17+1)),0))/((Presion_cilindro!O159+Presion_cilindro!O160)/2)</f>
        <v>1.1433064055220281</v>
      </c>
      <c r="K168" s="27">
        <f>K167*(Presion_cilindro!O159/Presion_cilindro!O160)^Presion_cilindro!$B$9+10*(Presion_cilindro!$B$9-1)*Presion_cilindro!$B$33*(IF(Presion_cilindro!N160&gt;(-K$4+Presion_cilindro!$B$34),1-EXP(-Presion_cilindro!$B$16*((Presion_cilindro!N160-(-K$4+Presion_cilindro!$B$34))/Presion_cilindro!$B$35)^(Presion_cilindro!$B$17+1)),0)-IF(Presion_cilindro!N159&gt;(-K$4+Presion_cilindro!$B$34),1-EXP(-Presion_cilindro!$B$16*((Presion_cilindro!N159-(-K$4+Presion_cilindro!$B$34))/Presion_cilindro!$B$35)^(Presion_cilindro!$B$17+1)),0))/((Presion_cilindro!O159+Presion_cilindro!O160)/2)</f>
        <v>1.1433064055220281</v>
      </c>
      <c r="L168" s="27">
        <f>L167*(Presion_cilindro!O159/Presion_cilindro!O160)^Presion_cilindro!$B$9+10*(Presion_cilindro!$B$9-1)*Presion_cilindro!$B$33*(IF(Presion_cilindro!N160&gt;(-L$4+Presion_cilindro!$B$34),1-EXP(-Presion_cilindro!$B$16*((Presion_cilindro!N160-(-L$4+Presion_cilindro!$B$34))/Presion_cilindro!$B$35)^(Presion_cilindro!$B$17+1)),0)-IF(Presion_cilindro!N159&gt;(-L$4+Presion_cilindro!$B$34),1-EXP(-Presion_cilindro!$B$16*((Presion_cilindro!N159-(-L$4+Presion_cilindro!$B$34))/Presion_cilindro!$B$35)^(Presion_cilindro!$B$17+1)),0))/((Presion_cilindro!O159+Presion_cilindro!O160)/2)</f>
        <v>1.1433064055220281</v>
      </c>
      <c r="M168" s="27">
        <f>M167*(Presion_cilindro!O159/Presion_cilindro!O160)^Presion_cilindro!$B$9+10*(Presion_cilindro!$B$9-1)*Presion_cilindro!$B$33*(IF(Presion_cilindro!N160&gt;(-M$4+Presion_cilindro!$B$34),1-EXP(-Presion_cilindro!$B$16*((Presion_cilindro!N160-(-M$4+Presion_cilindro!$B$34))/Presion_cilindro!$B$35)^(Presion_cilindro!$B$17+1)),0)-IF(Presion_cilindro!N159&gt;(-M$4+Presion_cilindro!$B$34),1-EXP(-Presion_cilindro!$B$16*((Presion_cilindro!N159-(-M$4+Presion_cilindro!$B$34))/Presion_cilindro!$B$35)^(Presion_cilindro!$B$17+1)),0))/((Presion_cilindro!O159+Presion_cilindro!O160)/2)</f>
        <v>1.1433064055220281</v>
      </c>
      <c r="N168" s="27">
        <f>N167*(Presion_cilindro!O159/Presion_cilindro!O160)^Presion_cilindro!$B$9+10*(Presion_cilindro!$B$9-1)*Presion_cilindro!$B$33*(IF(Presion_cilindro!N160&gt;(-N$4+Presion_cilindro!$B$34),1-EXP(-Presion_cilindro!$B$16*((Presion_cilindro!N160-(-N$4+Presion_cilindro!$B$34))/Presion_cilindro!$B$35)^(Presion_cilindro!$B$17+1)),0)-IF(Presion_cilindro!N159&gt;(-N$4+Presion_cilindro!$B$34),1-EXP(-Presion_cilindro!$B$16*((Presion_cilindro!N159-(-N$4+Presion_cilindro!$B$34))/Presion_cilindro!$B$35)^(Presion_cilindro!$B$17+1)),0))/((Presion_cilindro!O159+Presion_cilindro!O160)/2)</f>
        <v>1.1433064055220281</v>
      </c>
    </row>
    <row r="169" spans="1:14" x14ac:dyDescent="0.25">
      <c r="A169" s="21">
        <f>Presion_cilindro!N161</f>
        <v>-101.5</v>
      </c>
      <c r="B169" s="27">
        <f>B168*(Presion_cilindro!O160/Presion_cilindro!O161)^Presion_cilindro!$B$9+10*(Presion_cilindro!$B$9-1)*Presion_cilindro!$B$33*(IF(Presion_cilindro!N161&gt;(-B$4+Presion_cilindro!$B$34),1-EXP(-Presion_cilindro!$B$16*((Presion_cilindro!N161-(-B$4+Presion_cilindro!$B$34))/Presion_cilindro!$B$35)^(Presion_cilindro!$B$17+1)),0)-IF(Presion_cilindro!N160&gt;(-B$4+Presion_cilindro!$B$34),1-EXP(-Presion_cilindro!$B$16*((Presion_cilindro!N160-(-B$4+Presion_cilindro!$B$34))/Presion_cilindro!$B$35)^(Presion_cilindro!$B$17+1)),0))/((Presion_cilindro!O160+Presion_cilindro!O161)/2)</f>
        <v>1.1511284364104371</v>
      </c>
      <c r="C169" s="27">
        <f>C168*(Presion_cilindro!O160/Presion_cilindro!O161)^Presion_cilindro!$B$9+10*(Presion_cilindro!$B$9-1)*Presion_cilindro!$B$33*(IF(Presion_cilindro!N161&gt;(-C$4+Presion_cilindro!$B$34),1-EXP(-Presion_cilindro!$B$16*((Presion_cilindro!N161-(-C$4+Presion_cilindro!$B$34))/Presion_cilindro!$B$35)^(Presion_cilindro!$B$17+1)),0)-IF(Presion_cilindro!N160&gt;(-C$4+Presion_cilindro!$B$34),1-EXP(-Presion_cilindro!$B$16*((Presion_cilindro!N160-(-C$4+Presion_cilindro!$B$34))/Presion_cilindro!$B$35)^(Presion_cilindro!$B$17+1)),0))/((Presion_cilindro!O160+Presion_cilindro!O161)/2)</f>
        <v>1.1511284364104371</v>
      </c>
      <c r="D169" s="27">
        <f>D168*(Presion_cilindro!O160/Presion_cilindro!O161)^Presion_cilindro!$B$9+10*(Presion_cilindro!$B$9-1)*Presion_cilindro!$B$33*(IF(Presion_cilindro!N161&gt;(-D$4+Presion_cilindro!$B$34),1-EXP(-Presion_cilindro!$B$16*((Presion_cilindro!N161-(-D$4+Presion_cilindro!$B$34))/Presion_cilindro!$B$35)^(Presion_cilindro!$B$17+1)),0)-IF(Presion_cilindro!N160&gt;(-D$4+Presion_cilindro!$B$34),1-EXP(-Presion_cilindro!$B$16*((Presion_cilindro!N160-(-D$4+Presion_cilindro!$B$34))/Presion_cilindro!$B$35)^(Presion_cilindro!$B$17+1)),0))/((Presion_cilindro!O160+Presion_cilindro!O161)/2)</f>
        <v>1.1511284364104371</v>
      </c>
      <c r="E169" s="27">
        <f>E168*(Presion_cilindro!O160/Presion_cilindro!O161)^Presion_cilindro!$B$9+10*(Presion_cilindro!$B$9-1)*Presion_cilindro!$B$33*(IF(Presion_cilindro!N161&gt;(-E$4+Presion_cilindro!$B$34),1-EXP(-Presion_cilindro!$B$16*((Presion_cilindro!N161-(-E$4+Presion_cilindro!$B$34))/Presion_cilindro!$B$35)^(Presion_cilindro!$B$17+1)),0)-IF(Presion_cilindro!N160&gt;(-E$4+Presion_cilindro!$B$34),1-EXP(-Presion_cilindro!$B$16*((Presion_cilindro!N160-(-E$4+Presion_cilindro!$B$34))/Presion_cilindro!$B$35)^(Presion_cilindro!$B$17+1)),0))/((Presion_cilindro!O160+Presion_cilindro!O161)/2)</f>
        <v>1.1511284364104371</v>
      </c>
      <c r="F169" s="27">
        <f>F168*(Presion_cilindro!O160/Presion_cilindro!O161)^Presion_cilindro!$B$9+10*(Presion_cilindro!$B$9-1)*Presion_cilindro!$B$33*(IF(Presion_cilindro!N161&gt;(-F$4+Presion_cilindro!$B$34),1-EXP(-Presion_cilindro!$B$16*((Presion_cilindro!N161-(-F$4+Presion_cilindro!$B$34))/Presion_cilindro!$B$35)^(Presion_cilindro!$B$17+1)),0)-IF(Presion_cilindro!N160&gt;(-F$4+Presion_cilindro!$B$34),1-EXP(-Presion_cilindro!$B$16*((Presion_cilindro!N160-(-F$4+Presion_cilindro!$B$34))/Presion_cilindro!$B$35)^(Presion_cilindro!$B$17+1)),0))/((Presion_cilindro!O160+Presion_cilindro!O161)/2)</f>
        <v>1.1511284364104371</v>
      </c>
      <c r="G169" s="27">
        <f>G168*(Presion_cilindro!O160/Presion_cilindro!O161)^Presion_cilindro!$B$9+10*(Presion_cilindro!$B$9-1)*Presion_cilindro!$B$33*(IF(Presion_cilindro!N161&gt;(-G$4+Presion_cilindro!$B$34),1-EXP(-Presion_cilindro!$B$16*((Presion_cilindro!N161-(-G$4+Presion_cilindro!$B$34))/Presion_cilindro!$B$35)^(Presion_cilindro!$B$17+1)),0)-IF(Presion_cilindro!N160&gt;(-G$4+Presion_cilindro!$B$34),1-EXP(-Presion_cilindro!$B$16*((Presion_cilindro!N160-(-G$4+Presion_cilindro!$B$34))/Presion_cilindro!$B$35)^(Presion_cilindro!$B$17+1)),0))/((Presion_cilindro!O160+Presion_cilindro!O161)/2)</f>
        <v>1.1511284364104371</v>
      </c>
      <c r="H169" s="27">
        <f>H168*(Presion_cilindro!O160/Presion_cilindro!O161)^Presion_cilindro!$B$9+10*(Presion_cilindro!$B$9-1)*Presion_cilindro!$B$33*(IF(Presion_cilindro!N161&gt;(-H$4+Presion_cilindro!$B$34),1-EXP(-Presion_cilindro!$B$16*((Presion_cilindro!N161-(-H$4+Presion_cilindro!$B$34))/Presion_cilindro!$B$35)^(Presion_cilindro!$B$17+1)),0)-IF(Presion_cilindro!N160&gt;(-H$4+Presion_cilindro!$B$34),1-EXP(-Presion_cilindro!$B$16*((Presion_cilindro!N160-(-H$4+Presion_cilindro!$B$34))/Presion_cilindro!$B$35)^(Presion_cilindro!$B$17+1)),0))/((Presion_cilindro!O160+Presion_cilindro!O161)/2)</f>
        <v>1.1511284364104371</v>
      </c>
      <c r="I169" s="27">
        <f>I168*(Presion_cilindro!O160/Presion_cilindro!O161)^Presion_cilindro!$B$9+10*(Presion_cilindro!$B$9-1)*Presion_cilindro!$B$33*(IF(Presion_cilindro!N161&gt;(-I$4+Presion_cilindro!$B$34),1-EXP(-Presion_cilindro!$B$16*((Presion_cilindro!N161-(-I$4+Presion_cilindro!$B$34))/Presion_cilindro!$B$35)^(Presion_cilindro!$B$17+1)),0)-IF(Presion_cilindro!N160&gt;(-I$4+Presion_cilindro!$B$34),1-EXP(-Presion_cilindro!$B$16*((Presion_cilindro!N160-(-I$4+Presion_cilindro!$B$34))/Presion_cilindro!$B$35)^(Presion_cilindro!$B$17+1)),0))/((Presion_cilindro!O160+Presion_cilindro!O161)/2)</f>
        <v>1.1511284364104371</v>
      </c>
      <c r="J169" s="27">
        <f>J168*(Presion_cilindro!O160/Presion_cilindro!O161)^Presion_cilindro!$B$9+10*(Presion_cilindro!$B$9-1)*Presion_cilindro!$B$33*(IF(Presion_cilindro!N161&gt;(-J$4+Presion_cilindro!$B$34),1-EXP(-Presion_cilindro!$B$16*((Presion_cilindro!N161-(-J$4+Presion_cilindro!$B$34))/Presion_cilindro!$B$35)^(Presion_cilindro!$B$17+1)),0)-IF(Presion_cilindro!N160&gt;(-J$4+Presion_cilindro!$B$34),1-EXP(-Presion_cilindro!$B$16*((Presion_cilindro!N160-(-J$4+Presion_cilindro!$B$34))/Presion_cilindro!$B$35)^(Presion_cilindro!$B$17+1)),0))/((Presion_cilindro!O160+Presion_cilindro!O161)/2)</f>
        <v>1.1511284364104371</v>
      </c>
      <c r="K169" s="27">
        <f>K168*(Presion_cilindro!O160/Presion_cilindro!O161)^Presion_cilindro!$B$9+10*(Presion_cilindro!$B$9-1)*Presion_cilindro!$B$33*(IF(Presion_cilindro!N161&gt;(-K$4+Presion_cilindro!$B$34),1-EXP(-Presion_cilindro!$B$16*((Presion_cilindro!N161-(-K$4+Presion_cilindro!$B$34))/Presion_cilindro!$B$35)^(Presion_cilindro!$B$17+1)),0)-IF(Presion_cilindro!N160&gt;(-K$4+Presion_cilindro!$B$34),1-EXP(-Presion_cilindro!$B$16*((Presion_cilindro!N160-(-K$4+Presion_cilindro!$B$34))/Presion_cilindro!$B$35)^(Presion_cilindro!$B$17+1)),0))/((Presion_cilindro!O160+Presion_cilindro!O161)/2)</f>
        <v>1.1511284364104371</v>
      </c>
      <c r="L169" s="27">
        <f>L168*(Presion_cilindro!O160/Presion_cilindro!O161)^Presion_cilindro!$B$9+10*(Presion_cilindro!$B$9-1)*Presion_cilindro!$B$33*(IF(Presion_cilindro!N161&gt;(-L$4+Presion_cilindro!$B$34),1-EXP(-Presion_cilindro!$B$16*((Presion_cilindro!N161-(-L$4+Presion_cilindro!$B$34))/Presion_cilindro!$B$35)^(Presion_cilindro!$B$17+1)),0)-IF(Presion_cilindro!N160&gt;(-L$4+Presion_cilindro!$B$34),1-EXP(-Presion_cilindro!$B$16*((Presion_cilindro!N160-(-L$4+Presion_cilindro!$B$34))/Presion_cilindro!$B$35)^(Presion_cilindro!$B$17+1)),0))/((Presion_cilindro!O160+Presion_cilindro!O161)/2)</f>
        <v>1.1511284364104371</v>
      </c>
      <c r="M169" s="27">
        <f>M168*(Presion_cilindro!O160/Presion_cilindro!O161)^Presion_cilindro!$B$9+10*(Presion_cilindro!$B$9-1)*Presion_cilindro!$B$33*(IF(Presion_cilindro!N161&gt;(-M$4+Presion_cilindro!$B$34),1-EXP(-Presion_cilindro!$B$16*((Presion_cilindro!N161-(-M$4+Presion_cilindro!$B$34))/Presion_cilindro!$B$35)^(Presion_cilindro!$B$17+1)),0)-IF(Presion_cilindro!N160&gt;(-M$4+Presion_cilindro!$B$34),1-EXP(-Presion_cilindro!$B$16*((Presion_cilindro!N160-(-M$4+Presion_cilindro!$B$34))/Presion_cilindro!$B$35)^(Presion_cilindro!$B$17+1)),0))/((Presion_cilindro!O160+Presion_cilindro!O161)/2)</f>
        <v>1.1511284364104371</v>
      </c>
      <c r="N169" s="27">
        <f>N168*(Presion_cilindro!O160/Presion_cilindro!O161)^Presion_cilindro!$B$9+10*(Presion_cilindro!$B$9-1)*Presion_cilindro!$B$33*(IF(Presion_cilindro!N161&gt;(-N$4+Presion_cilindro!$B$34),1-EXP(-Presion_cilindro!$B$16*((Presion_cilindro!N161-(-N$4+Presion_cilindro!$B$34))/Presion_cilindro!$B$35)^(Presion_cilindro!$B$17+1)),0)-IF(Presion_cilindro!N160&gt;(-N$4+Presion_cilindro!$B$34),1-EXP(-Presion_cilindro!$B$16*((Presion_cilindro!N160-(-N$4+Presion_cilindro!$B$34))/Presion_cilindro!$B$35)^(Presion_cilindro!$B$17+1)),0))/((Presion_cilindro!O160+Presion_cilindro!O161)/2)</f>
        <v>1.1511284364104371</v>
      </c>
    </row>
    <row r="170" spans="1:14" x14ac:dyDescent="0.25">
      <c r="A170" s="21">
        <f>Presion_cilindro!N162</f>
        <v>-101</v>
      </c>
      <c r="B170" s="27">
        <f>B169*(Presion_cilindro!O161/Presion_cilindro!O162)^Presion_cilindro!$B$9+10*(Presion_cilindro!$B$9-1)*Presion_cilindro!$B$33*(IF(Presion_cilindro!N162&gt;(-B$4+Presion_cilindro!$B$34),1-EXP(-Presion_cilindro!$B$16*((Presion_cilindro!N162-(-B$4+Presion_cilindro!$B$34))/Presion_cilindro!$B$35)^(Presion_cilindro!$B$17+1)),0)-IF(Presion_cilindro!N161&gt;(-B$4+Presion_cilindro!$B$34),1-EXP(-Presion_cilindro!$B$16*((Presion_cilindro!N161-(-B$4+Presion_cilindro!$B$34))/Presion_cilindro!$B$35)^(Presion_cilindro!$B$17+1)),0))/((Presion_cilindro!O161+Presion_cilindro!O162)/2)</f>
        <v>1.1590803954145341</v>
      </c>
      <c r="C170" s="27">
        <f>C169*(Presion_cilindro!O161/Presion_cilindro!O162)^Presion_cilindro!$B$9+10*(Presion_cilindro!$B$9-1)*Presion_cilindro!$B$33*(IF(Presion_cilindro!N162&gt;(-C$4+Presion_cilindro!$B$34),1-EXP(-Presion_cilindro!$B$16*((Presion_cilindro!N162-(-C$4+Presion_cilindro!$B$34))/Presion_cilindro!$B$35)^(Presion_cilindro!$B$17+1)),0)-IF(Presion_cilindro!N161&gt;(-C$4+Presion_cilindro!$B$34),1-EXP(-Presion_cilindro!$B$16*((Presion_cilindro!N161-(-C$4+Presion_cilindro!$B$34))/Presion_cilindro!$B$35)^(Presion_cilindro!$B$17+1)),0))/((Presion_cilindro!O161+Presion_cilindro!O162)/2)</f>
        <v>1.1590803954145341</v>
      </c>
      <c r="D170" s="27">
        <f>D169*(Presion_cilindro!O161/Presion_cilindro!O162)^Presion_cilindro!$B$9+10*(Presion_cilindro!$B$9-1)*Presion_cilindro!$B$33*(IF(Presion_cilindro!N162&gt;(-D$4+Presion_cilindro!$B$34),1-EXP(-Presion_cilindro!$B$16*((Presion_cilindro!N162-(-D$4+Presion_cilindro!$B$34))/Presion_cilindro!$B$35)^(Presion_cilindro!$B$17+1)),0)-IF(Presion_cilindro!N161&gt;(-D$4+Presion_cilindro!$B$34),1-EXP(-Presion_cilindro!$B$16*((Presion_cilindro!N161-(-D$4+Presion_cilindro!$B$34))/Presion_cilindro!$B$35)^(Presion_cilindro!$B$17+1)),0))/((Presion_cilindro!O161+Presion_cilindro!O162)/2)</f>
        <v>1.1590803954145341</v>
      </c>
      <c r="E170" s="27">
        <f>E169*(Presion_cilindro!O161/Presion_cilindro!O162)^Presion_cilindro!$B$9+10*(Presion_cilindro!$B$9-1)*Presion_cilindro!$B$33*(IF(Presion_cilindro!N162&gt;(-E$4+Presion_cilindro!$B$34),1-EXP(-Presion_cilindro!$B$16*((Presion_cilindro!N162-(-E$4+Presion_cilindro!$B$34))/Presion_cilindro!$B$35)^(Presion_cilindro!$B$17+1)),0)-IF(Presion_cilindro!N161&gt;(-E$4+Presion_cilindro!$B$34),1-EXP(-Presion_cilindro!$B$16*((Presion_cilindro!N161-(-E$4+Presion_cilindro!$B$34))/Presion_cilindro!$B$35)^(Presion_cilindro!$B$17+1)),0))/((Presion_cilindro!O161+Presion_cilindro!O162)/2)</f>
        <v>1.1590803954145341</v>
      </c>
      <c r="F170" s="27">
        <f>F169*(Presion_cilindro!O161/Presion_cilindro!O162)^Presion_cilindro!$B$9+10*(Presion_cilindro!$B$9-1)*Presion_cilindro!$B$33*(IF(Presion_cilindro!N162&gt;(-F$4+Presion_cilindro!$B$34),1-EXP(-Presion_cilindro!$B$16*((Presion_cilindro!N162-(-F$4+Presion_cilindro!$B$34))/Presion_cilindro!$B$35)^(Presion_cilindro!$B$17+1)),0)-IF(Presion_cilindro!N161&gt;(-F$4+Presion_cilindro!$B$34),1-EXP(-Presion_cilindro!$B$16*((Presion_cilindro!N161-(-F$4+Presion_cilindro!$B$34))/Presion_cilindro!$B$35)^(Presion_cilindro!$B$17+1)),0))/((Presion_cilindro!O161+Presion_cilindro!O162)/2)</f>
        <v>1.1590803954145341</v>
      </c>
      <c r="G170" s="27">
        <f>G169*(Presion_cilindro!O161/Presion_cilindro!O162)^Presion_cilindro!$B$9+10*(Presion_cilindro!$B$9-1)*Presion_cilindro!$B$33*(IF(Presion_cilindro!N162&gt;(-G$4+Presion_cilindro!$B$34),1-EXP(-Presion_cilindro!$B$16*((Presion_cilindro!N162-(-G$4+Presion_cilindro!$B$34))/Presion_cilindro!$B$35)^(Presion_cilindro!$B$17+1)),0)-IF(Presion_cilindro!N161&gt;(-G$4+Presion_cilindro!$B$34),1-EXP(-Presion_cilindro!$B$16*((Presion_cilindro!N161-(-G$4+Presion_cilindro!$B$34))/Presion_cilindro!$B$35)^(Presion_cilindro!$B$17+1)),0))/((Presion_cilindro!O161+Presion_cilindro!O162)/2)</f>
        <v>1.1590803954145341</v>
      </c>
      <c r="H170" s="27">
        <f>H169*(Presion_cilindro!O161/Presion_cilindro!O162)^Presion_cilindro!$B$9+10*(Presion_cilindro!$B$9-1)*Presion_cilindro!$B$33*(IF(Presion_cilindro!N162&gt;(-H$4+Presion_cilindro!$B$34),1-EXP(-Presion_cilindro!$B$16*((Presion_cilindro!N162-(-H$4+Presion_cilindro!$B$34))/Presion_cilindro!$B$35)^(Presion_cilindro!$B$17+1)),0)-IF(Presion_cilindro!N161&gt;(-H$4+Presion_cilindro!$B$34),1-EXP(-Presion_cilindro!$B$16*((Presion_cilindro!N161-(-H$4+Presion_cilindro!$B$34))/Presion_cilindro!$B$35)^(Presion_cilindro!$B$17+1)),0))/((Presion_cilindro!O161+Presion_cilindro!O162)/2)</f>
        <v>1.1590803954145341</v>
      </c>
      <c r="I170" s="27">
        <f>I169*(Presion_cilindro!O161/Presion_cilindro!O162)^Presion_cilindro!$B$9+10*(Presion_cilindro!$B$9-1)*Presion_cilindro!$B$33*(IF(Presion_cilindro!N162&gt;(-I$4+Presion_cilindro!$B$34),1-EXP(-Presion_cilindro!$B$16*((Presion_cilindro!N162-(-I$4+Presion_cilindro!$B$34))/Presion_cilindro!$B$35)^(Presion_cilindro!$B$17+1)),0)-IF(Presion_cilindro!N161&gt;(-I$4+Presion_cilindro!$B$34),1-EXP(-Presion_cilindro!$B$16*((Presion_cilindro!N161-(-I$4+Presion_cilindro!$B$34))/Presion_cilindro!$B$35)^(Presion_cilindro!$B$17+1)),0))/((Presion_cilindro!O161+Presion_cilindro!O162)/2)</f>
        <v>1.1590803954145341</v>
      </c>
      <c r="J170" s="27">
        <f>J169*(Presion_cilindro!O161/Presion_cilindro!O162)^Presion_cilindro!$B$9+10*(Presion_cilindro!$B$9-1)*Presion_cilindro!$B$33*(IF(Presion_cilindro!N162&gt;(-J$4+Presion_cilindro!$B$34),1-EXP(-Presion_cilindro!$B$16*((Presion_cilindro!N162-(-J$4+Presion_cilindro!$B$34))/Presion_cilindro!$B$35)^(Presion_cilindro!$B$17+1)),0)-IF(Presion_cilindro!N161&gt;(-J$4+Presion_cilindro!$B$34),1-EXP(-Presion_cilindro!$B$16*((Presion_cilindro!N161-(-J$4+Presion_cilindro!$B$34))/Presion_cilindro!$B$35)^(Presion_cilindro!$B$17+1)),0))/((Presion_cilindro!O161+Presion_cilindro!O162)/2)</f>
        <v>1.1590803954145341</v>
      </c>
      <c r="K170" s="27">
        <f>K169*(Presion_cilindro!O161/Presion_cilindro!O162)^Presion_cilindro!$B$9+10*(Presion_cilindro!$B$9-1)*Presion_cilindro!$B$33*(IF(Presion_cilindro!N162&gt;(-K$4+Presion_cilindro!$B$34),1-EXP(-Presion_cilindro!$B$16*((Presion_cilindro!N162-(-K$4+Presion_cilindro!$B$34))/Presion_cilindro!$B$35)^(Presion_cilindro!$B$17+1)),0)-IF(Presion_cilindro!N161&gt;(-K$4+Presion_cilindro!$B$34),1-EXP(-Presion_cilindro!$B$16*((Presion_cilindro!N161-(-K$4+Presion_cilindro!$B$34))/Presion_cilindro!$B$35)^(Presion_cilindro!$B$17+1)),0))/((Presion_cilindro!O161+Presion_cilindro!O162)/2)</f>
        <v>1.1590803954145341</v>
      </c>
      <c r="L170" s="27">
        <f>L169*(Presion_cilindro!O161/Presion_cilindro!O162)^Presion_cilindro!$B$9+10*(Presion_cilindro!$B$9-1)*Presion_cilindro!$B$33*(IF(Presion_cilindro!N162&gt;(-L$4+Presion_cilindro!$B$34),1-EXP(-Presion_cilindro!$B$16*((Presion_cilindro!N162-(-L$4+Presion_cilindro!$B$34))/Presion_cilindro!$B$35)^(Presion_cilindro!$B$17+1)),0)-IF(Presion_cilindro!N161&gt;(-L$4+Presion_cilindro!$B$34),1-EXP(-Presion_cilindro!$B$16*((Presion_cilindro!N161-(-L$4+Presion_cilindro!$B$34))/Presion_cilindro!$B$35)^(Presion_cilindro!$B$17+1)),0))/((Presion_cilindro!O161+Presion_cilindro!O162)/2)</f>
        <v>1.1590803954145341</v>
      </c>
      <c r="M170" s="27">
        <f>M169*(Presion_cilindro!O161/Presion_cilindro!O162)^Presion_cilindro!$B$9+10*(Presion_cilindro!$B$9-1)*Presion_cilindro!$B$33*(IF(Presion_cilindro!N162&gt;(-M$4+Presion_cilindro!$B$34),1-EXP(-Presion_cilindro!$B$16*((Presion_cilindro!N162-(-M$4+Presion_cilindro!$B$34))/Presion_cilindro!$B$35)^(Presion_cilindro!$B$17+1)),0)-IF(Presion_cilindro!N161&gt;(-M$4+Presion_cilindro!$B$34),1-EXP(-Presion_cilindro!$B$16*((Presion_cilindro!N161-(-M$4+Presion_cilindro!$B$34))/Presion_cilindro!$B$35)^(Presion_cilindro!$B$17+1)),0))/((Presion_cilindro!O161+Presion_cilindro!O162)/2)</f>
        <v>1.1590803954145341</v>
      </c>
      <c r="N170" s="27">
        <f>N169*(Presion_cilindro!O161/Presion_cilindro!O162)^Presion_cilindro!$B$9+10*(Presion_cilindro!$B$9-1)*Presion_cilindro!$B$33*(IF(Presion_cilindro!N162&gt;(-N$4+Presion_cilindro!$B$34),1-EXP(-Presion_cilindro!$B$16*((Presion_cilindro!N162-(-N$4+Presion_cilindro!$B$34))/Presion_cilindro!$B$35)^(Presion_cilindro!$B$17+1)),0)-IF(Presion_cilindro!N161&gt;(-N$4+Presion_cilindro!$B$34),1-EXP(-Presion_cilindro!$B$16*((Presion_cilindro!N161-(-N$4+Presion_cilindro!$B$34))/Presion_cilindro!$B$35)^(Presion_cilindro!$B$17+1)),0))/((Presion_cilindro!O161+Presion_cilindro!O162)/2)</f>
        <v>1.1590803954145341</v>
      </c>
    </row>
    <row r="171" spans="1:14" x14ac:dyDescent="0.25">
      <c r="A171" s="21">
        <f>Presion_cilindro!N163</f>
        <v>-100.5</v>
      </c>
      <c r="B171" s="27">
        <f>B170*(Presion_cilindro!O162/Presion_cilindro!O163)^Presion_cilindro!$B$9+10*(Presion_cilindro!$B$9-1)*Presion_cilindro!$B$33*(IF(Presion_cilindro!N163&gt;(-B$4+Presion_cilindro!$B$34),1-EXP(-Presion_cilindro!$B$16*((Presion_cilindro!N163-(-B$4+Presion_cilindro!$B$34))/Presion_cilindro!$B$35)^(Presion_cilindro!$B$17+1)),0)-IF(Presion_cilindro!N162&gt;(-B$4+Presion_cilindro!$B$34),1-EXP(-Presion_cilindro!$B$16*((Presion_cilindro!N162-(-B$4+Presion_cilindro!$B$34))/Presion_cilindro!$B$35)^(Presion_cilindro!$B$17+1)),0))/((Presion_cilindro!O162+Presion_cilindro!O163)/2)</f>
        <v>1.167164726159521</v>
      </c>
      <c r="C171" s="27">
        <f>C170*(Presion_cilindro!O162/Presion_cilindro!O163)^Presion_cilindro!$B$9+10*(Presion_cilindro!$B$9-1)*Presion_cilindro!$B$33*(IF(Presion_cilindro!N163&gt;(-C$4+Presion_cilindro!$B$34),1-EXP(-Presion_cilindro!$B$16*((Presion_cilindro!N163-(-C$4+Presion_cilindro!$B$34))/Presion_cilindro!$B$35)^(Presion_cilindro!$B$17+1)),0)-IF(Presion_cilindro!N162&gt;(-C$4+Presion_cilindro!$B$34),1-EXP(-Presion_cilindro!$B$16*((Presion_cilindro!N162-(-C$4+Presion_cilindro!$B$34))/Presion_cilindro!$B$35)^(Presion_cilindro!$B$17+1)),0))/((Presion_cilindro!O162+Presion_cilindro!O163)/2)</f>
        <v>1.167164726159521</v>
      </c>
      <c r="D171" s="27">
        <f>D170*(Presion_cilindro!O162/Presion_cilindro!O163)^Presion_cilindro!$B$9+10*(Presion_cilindro!$B$9-1)*Presion_cilindro!$B$33*(IF(Presion_cilindro!N163&gt;(-D$4+Presion_cilindro!$B$34),1-EXP(-Presion_cilindro!$B$16*((Presion_cilindro!N163-(-D$4+Presion_cilindro!$B$34))/Presion_cilindro!$B$35)^(Presion_cilindro!$B$17+1)),0)-IF(Presion_cilindro!N162&gt;(-D$4+Presion_cilindro!$B$34),1-EXP(-Presion_cilindro!$B$16*((Presion_cilindro!N162-(-D$4+Presion_cilindro!$B$34))/Presion_cilindro!$B$35)^(Presion_cilindro!$B$17+1)),0))/((Presion_cilindro!O162+Presion_cilindro!O163)/2)</f>
        <v>1.167164726159521</v>
      </c>
      <c r="E171" s="27">
        <f>E170*(Presion_cilindro!O162/Presion_cilindro!O163)^Presion_cilindro!$B$9+10*(Presion_cilindro!$B$9-1)*Presion_cilindro!$B$33*(IF(Presion_cilindro!N163&gt;(-E$4+Presion_cilindro!$B$34),1-EXP(-Presion_cilindro!$B$16*((Presion_cilindro!N163-(-E$4+Presion_cilindro!$B$34))/Presion_cilindro!$B$35)^(Presion_cilindro!$B$17+1)),0)-IF(Presion_cilindro!N162&gt;(-E$4+Presion_cilindro!$B$34),1-EXP(-Presion_cilindro!$B$16*((Presion_cilindro!N162-(-E$4+Presion_cilindro!$B$34))/Presion_cilindro!$B$35)^(Presion_cilindro!$B$17+1)),0))/((Presion_cilindro!O162+Presion_cilindro!O163)/2)</f>
        <v>1.167164726159521</v>
      </c>
      <c r="F171" s="27">
        <f>F170*(Presion_cilindro!O162/Presion_cilindro!O163)^Presion_cilindro!$B$9+10*(Presion_cilindro!$B$9-1)*Presion_cilindro!$B$33*(IF(Presion_cilindro!N163&gt;(-F$4+Presion_cilindro!$B$34),1-EXP(-Presion_cilindro!$B$16*((Presion_cilindro!N163-(-F$4+Presion_cilindro!$B$34))/Presion_cilindro!$B$35)^(Presion_cilindro!$B$17+1)),0)-IF(Presion_cilindro!N162&gt;(-F$4+Presion_cilindro!$B$34),1-EXP(-Presion_cilindro!$B$16*((Presion_cilindro!N162-(-F$4+Presion_cilindro!$B$34))/Presion_cilindro!$B$35)^(Presion_cilindro!$B$17+1)),0))/((Presion_cilindro!O162+Presion_cilindro!O163)/2)</f>
        <v>1.167164726159521</v>
      </c>
      <c r="G171" s="27">
        <f>G170*(Presion_cilindro!O162/Presion_cilindro!O163)^Presion_cilindro!$B$9+10*(Presion_cilindro!$B$9-1)*Presion_cilindro!$B$33*(IF(Presion_cilindro!N163&gt;(-G$4+Presion_cilindro!$B$34),1-EXP(-Presion_cilindro!$B$16*((Presion_cilindro!N163-(-G$4+Presion_cilindro!$B$34))/Presion_cilindro!$B$35)^(Presion_cilindro!$B$17+1)),0)-IF(Presion_cilindro!N162&gt;(-G$4+Presion_cilindro!$B$34),1-EXP(-Presion_cilindro!$B$16*((Presion_cilindro!N162-(-G$4+Presion_cilindro!$B$34))/Presion_cilindro!$B$35)^(Presion_cilindro!$B$17+1)),0))/((Presion_cilindro!O162+Presion_cilindro!O163)/2)</f>
        <v>1.167164726159521</v>
      </c>
      <c r="H171" s="27">
        <f>H170*(Presion_cilindro!O162/Presion_cilindro!O163)^Presion_cilindro!$B$9+10*(Presion_cilindro!$B$9-1)*Presion_cilindro!$B$33*(IF(Presion_cilindro!N163&gt;(-H$4+Presion_cilindro!$B$34),1-EXP(-Presion_cilindro!$B$16*((Presion_cilindro!N163-(-H$4+Presion_cilindro!$B$34))/Presion_cilindro!$B$35)^(Presion_cilindro!$B$17+1)),0)-IF(Presion_cilindro!N162&gt;(-H$4+Presion_cilindro!$B$34),1-EXP(-Presion_cilindro!$B$16*((Presion_cilindro!N162-(-H$4+Presion_cilindro!$B$34))/Presion_cilindro!$B$35)^(Presion_cilindro!$B$17+1)),0))/((Presion_cilindro!O162+Presion_cilindro!O163)/2)</f>
        <v>1.167164726159521</v>
      </c>
      <c r="I171" s="27">
        <f>I170*(Presion_cilindro!O162/Presion_cilindro!O163)^Presion_cilindro!$B$9+10*(Presion_cilindro!$B$9-1)*Presion_cilindro!$B$33*(IF(Presion_cilindro!N163&gt;(-I$4+Presion_cilindro!$B$34),1-EXP(-Presion_cilindro!$B$16*((Presion_cilindro!N163-(-I$4+Presion_cilindro!$B$34))/Presion_cilindro!$B$35)^(Presion_cilindro!$B$17+1)),0)-IF(Presion_cilindro!N162&gt;(-I$4+Presion_cilindro!$B$34),1-EXP(-Presion_cilindro!$B$16*((Presion_cilindro!N162-(-I$4+Presion_cilindro!$B$34))/Presion_cilindro!$B$35)^(Presion_cilindro!$B$17+1)),0))/((Presion_cilindro!O162+Presion_cilindro!O163)/2)</f>
        <v>1.167164726159521</v>
      </c>
      <c r="J171" s="27">
        <f>J170*(Presion_cilindro!O162/Presion_cilindro!O163)^Presion_cilindro!$B$9+10*(Presion_cilindro!$B$9-1)*Presion_cilindro!$B$33*(IF(Presion_cilindro!N163&gt;(-J$4+Presion_cilindro!$B$34),1-EXP(-Presion_cilindro!$B$16*((Presion_cilindro!N163-(-J$4+Presion_cilindro!$B$34))/Presion_cilindro!$B$35)^(Presion_cilindro!$B$17+1)),0)-IF(Presion_cilindro!N162&gt;(-J$4+Presion_cilindro!$B$34),1-EXP(-Presion_cilindro!$B$16*((Presion_cilindro!N162-(-J$4+Presion_cilindro!$B$34))/Presion_cilindro!$B$35)^(Presion_cilindro!$B$17+1)),0))/((Presion_cilindro!O162+Presion_cilindro!O163)/2)</f>
        <v>1.167164726159521</v>
      </c>
      <c r="K171" s="27">
        <f>K170*(Presion_cilindro!O162/Presion_cilindro!O163)^Presion_cilindro!$B$9+10*(Presion_cilindro!$B$9-1)*Presion_cilindro!$B$33*(IF(Presion_cilindro!N163&gt;(-K$4+Presion_cilindro!$B$34),1-EXP(-Presion_cilindro!$B$16*((Presion_cilindro!N163-(-K$4+Presion_cilindro!$B$34))/Presion_cilindro!$B$35)^(Presion_cilindro!$B$17+1)),0)-IF(Presion_cilindro!N162&gt;(-K$4+Presion_cilindro!$B$34),1-EXP(-Presion_cilindro!$B$16*((Presion_cilindro!N162-(-K$4+Presion_cilindro!$B$34))/Presion_cilindro!$B$35)^(Presion_cilindro!$B$17+1)),0))/((Presion_cilindro!O162+Presion_cilindro!O163)/2)</f>
        <v>1.167164726159521</v>
      </c>
      <c r="L171" s="27">
        <f>L170*(Presion_cilindro!O162/Presion_cilindro!O163)^Presion_cilindro!$B$9+10*(Presion_cilindro!$B$9-1)*Presion_cilindro!$B$33*(IF(Presion_cilindro!N163&gt;(-L$4+Presion_cilindro!$B$34),1-EXP(-Presion_cilindro!$B$16*((Presion_cilindro!N163-(-L$4+Presion_cilindro!$B$34))/Presion_cilindro!$B$35)^(Presion_cilindro!$B$17+1)),0)-IF(Presion_cilindro!N162&gt;(-L$4+Presion_cilindro!$B$34),1-EXP(-Presion_cilindro!$B$16*((Presion_cilindro!N162-(-L$4+Presion_cilindro!$B$34))/Presion_cilindro!$B$35)^(Presion_cilindro!$B$17+1)),0))/((Presion_cilindro!O162+Presion_cilindro!O163)/2)</f>
        <v>1.167164726159521</v>
      </c>
      <c r="M171" s="27">
        <f>M170*(Presion_cilindro!O162/Presion_cilindro!O163)^Presion_cilindro!$B$9+10*(Presion_cilindro!$B$9-1)*Presion_cilindro!$B$33*(IF(Presion_cilindro!N163&gt;(-M$4+Presion_cilindro!$B$34),1-EXP(-Presion_cilindro!$B$16*((Presion_cilindro!N163-(-M$4+Presion_cilindro!$B$34))/Presion_cilindro!$B$35)^(Presion_cilindro!$B$17+1)),0)-IF(Presion_cilindro!N162&gt;(-M$4+Presion_cilindro!$B$34),1-EXP(-Presion_cilindro!$B$16*((Presion_cilindro!N162-(-M$4+Presion_cilindro!$B$34))/Presion_cilindro!$B$35)^(Presion_cilindro!$B$17+1)),0))/((Presion_cilindro!O162+Presion_cilindro!O163)/2)</f>
        <v>1.167164726159521</v>
      </c>
      <c r="N171" s="27">
        <f>N170*(Presion_cilindro!O162/Presion_cilindro!O163)^Presion_cilindro!$B$9+10*(Presion_cilindro!$B$9-1)*Presion_cilindro!$B$33*(IF(Presion_cilindro!N163&gt;(-N$4+Presion_cilindro!$B$34),1-EXP(-Presion_cilindro!$B$16*((Presion_cilindro!N163-(-N$4+Presion_cilindro!$B$34))/Presion_cilindro!$B$35)^(Presion_cilindro!$B$17+1)),0)-IF(Presion_cilindro!N162&gt;(-N$4+Presion_cilindro!$B$34),1-EXP(-Presion_cilindro!$B$16*((Presion_cilindro!N162-(-N$4+Presion_cilindro!$B$34))/Presion_cilindro!$B$35)^(Presion_cilindro!$B$17+1)),0))/((Presion_cilindro!O162+Presion_cilindro!O163)/2)</f>
        <v>1.167164726159521</v>
      </c>
    </row>
    <row r="172" spans="1:14" x14ac:dyDescent="0.25">
      <c r="A172" s="21">
        <f>Presion_cilindro!N164</f>
        <v>-100</v>
      </c>
      <c r="B172" s="27">
        <f>B171*(Presion_cilindro!O163/Presion_cilindro!O164)^Presion_cilindro!$B$9+10*(Presion_cilindro!$B$9-1)*Presion_cilindro!$B$33*(IF(Presion_cilindro!N164&gt;(-B$4+Presion_cilindro!$B$34),1-EXP(-Presion_cilindro!$B$16*((Presion_cilindro!N164-(-B$4+Presion_cilindro!$B$34))/Presion_cilindro!$B$35)^(Presion_cilindro!$B$17+1)),0)-IF(Presion_cilindro!N163&gt;(-B$4+Presion_cilindro!$B$34),1-EXP(-Presion_cilindro!$B$16*((Presion_cilindro!N163-(-B$4+Presion_cilindro!$B$34))/Presion_cilindro!$B$35)^(Presion_cilindro!$B$17+1)),0))/((Presion_cilindro!O163+Presion_cilindro!O164)/2)</f>
        <v>1.1753839285654213</v>
      </c>
      <c r="C172" s="27">
        <f>C171*(Presion_cilindro!O163/Presion_cilindro!O164)^Presion_cilindro!$B$9+10*(Presion_cilindro!$B$9-1)*Presion_cilindro!$B$33*(IF(Presion_cilindro!N164&gt;(-C$4+Presion_cilindro!$B$34),1-EXP(-Presion_cilindro!$B$16*((Presion_cilindro!N164-(-C$4+Presion_cilindro!$B$34))/Presion_cilindro!$B$35)^(Presion_cilindro!$B$17+1)),0)-IF(Presion_cilindro!N163&gt;(-C$4+Presion_cilindro!$B$34),1-EXP(-Presion_cilindro!$B$16*((Presion_cilindro!N163-(-C$4+Presion_cilindro!$B$34))/Presion_cilindro!$B$35)^(Presion_cilindro!$B$17+1)),0))/((Presion_cilindro!O163+Presion_cilindro!O164)/2)</f>
        <v>1.1753839285654213</v>
      </c>
      <c r="D172" s="27">
        <f>D171*(Presion_cilindro!O163/Presion_cilindro!O164)^Presion_cilindro!$B$9+10*(Presion_cilindro!$B$9-1)*Presion_cilindro!$B$33*(IF(Presion_cilindro!N164&gt;(-D$4+Presion_cilindro!$B$34),1-EXP(-Presion_cilindro!$B$16*((Presion_cilindro!N164-(-D$4+Presion_cilindro!$B$34))/Presion_cilindro!$B$35)^(Presion_cilindro!$B$17+1)),0)-IF(Presion_cilindro!N163&gt;(-D$4+Presion_cilindro!$B$34),1-EXP(-Presion_cilindro!$B$16*((Presion_cilindro!N163-(-D$4+Presion_cilindro!$B$34))/Presion_cilindro!$B$35)^(Presion_cilindro!$B$17+1)),0))/((Presion_cilindro!O163+Presion_cilindro!O164)/2)</f>
        <v>1.1753839285654213</v>
      </c>
      <c r="E172" s="27">
        <f>E171*(Presion_cilindro!O163/Presion_cilindro!O164)^Presion_cilindro!$B$9+10*(Presion_cilindro!$B$9-1)*Presion_cilindro!$B$33*(IF(Presion_cilindro!N164&gt;(-E$4+Presion_cilindro!$B$34),1-EXP(-Presion_cilindro!$B$16*((Presion_cilindro!N164-(-E$4+Presion_cilindro!$B$34))/Presion_cilindro!$B$35)^(Presion_cilindro!$B$17+1)),0)-IF(Presion_cilindro!N163&gt;(-E$4+Presion_cilindro!$B$34),1-EXP(-Presion_cilindro!$B$16*((Presion_cilindro!N163-(-E$4+Presion_cilindro!$B$34))/Presion_cilindro!$B$35)^(Presion_cilindro!$B$17+1)),0))/((Presion_cilindro!O163+Presion_cilindro!O164)/2)</f>
        <v>1.1753839285654213</v>
      </c>
      <c r="F172" s="27">
        <f>F171*(Presion_cilindro!O163/Presion_cilindro!O164)^Presion_cilindro!$B$9+10*(Presion_cilindro!$B$9-1)*Presion_cilindro!$B$33*(IF(Presion_cilindro!N164&gt;(-F$4+Presion_cilindro!$B$34),1-EXP(-Presion_cilindro!$B$16*((Presion_cilindro!N164-(-F$4+Presion_cilindro!$B$34))/Presion_cilindro!$B$35)^(Presion_cilindro!$B$17+1)),0)-IF(Presion_cilindro!N163&gt;(-F$4+Presion_cilindro!$B$34),1-EXP(-Presion_cilindro!$B$16*((Presion_cilindro!N163-(-F$4+Presion_cilindro!$B$34))/Presion_cilindro!$B$35)^(Presion_cilindro!$B$17+1)),0))/((Presion_cilindro!O163+Presion_cilindro!O164)/2)</f>
        <v>1.1753839285654213</v>
      </c>
      <c r="G172" s="27">
        <f>G171*(Presion_cilindro!O163/Presion_cilindro!O164)^Presion_cilindro!$B$9+10*(Presion_cilindro!$B$9-1)*Presion_cilindro!$B$33*(IF(Presion_cilindro!N164&gt;(-G$4+Presion_cilindro!$B$34),1-EXP(-Presion_cilindro!$B$16*((Presion_cilindro!N164-(-G$4+Presion_cilindro!$B$34))/Presion_cilindro!$B$35)^(Presion_cilindro!$B$17+1)),0)-IF(Presion_cilindro!N163&gt;(-G$4+Presion_cilindro!$B$34),1-EXP(-Presion_cilindro!$B$16*((Presion_cilindro!N163-(-G$4+Presion_cilindro!$B$34))/Presion_cilindro!$B$35)^(Presion_cilindro!$B$17+1)),0))/((Presion_cilindro!O163+Presion_cilindro!O164)/2)</f>
        <v>1.1753839285654213</v>
      </c>
      <c r="H172" s="27">
        <f>H171*(Presion_cilindro!O163/Presion_cilindro!O164)^Presion_cilindro!$B$9+10*(Presion_cilindro!$B$9-1)*Presion_cilindro!$B$33*(IF(Presion_cilindro!N164&gt;(-H$4+Presion_cilindro!$B$34),1-EXP(-Presion_cilindro!$B$16*((Presion_cilindro!N164-(-H$4+Presion_cilindro!$B$34))/Presion_cilindro!$B$35)^(Presion_cilindro!$B$17+1)),0)-IF(Presion_cilindro!N163&gt;(-H$4+Presion_cilindro!$B$34),1-EXP(-Presion_cilindro!$B$16*((Presion_cilindro!N163-(-H$4+Presion_cilindro!$B$34))/Presion_cilindro!$B$35)^(Presion_cilindro!$B$17+1)),0))/((Presion_cilindro!O163+Presion_cilindro!O164)/2)</f>
        <v>1.1753839285654213</v>
      </c>
      <c r="I172" s="27">
        <f>I171*(Presion_cilindro!O163/Presion_cilindro!O164)^Presion_cilindro!$B$9+10*(Presion_cilindro!$B$9-1)*Presion_cilindro!$B$33*(IF(Presion_cilindro!N164&gt;(-I$4+Presion_cilindro!$B$34),1-EXP(-Presion_cilindro!$B$16*((Presion_cilindro!N164-(-I$4+Presion_cilindro!$B$34))/Presion_cilindro!$B$35)^(Presion_cilindro!$B$17+1)),0)-IF(Presion_cilindro!N163&gt;(-I$4+Presion_cilindro!$B$34),1-EXP(-Presion_cilindro!$B$16*((Presion_cilindro!N163-(-I$4+Presion_cilindro!$B$34))/Presion_cilindro!$B$35)^(Presion_cilindro!$B$17+1)),0))/((Presion_cilindro!O163+Presion_cilindro!O164)/2)</f>
        <v>1.1753839285654213</v>
      </c>
      <c r="J172" s="27">
        <f>J171*(Presion_cilindro!O163/Presion_cilindro!O164)^Presion_cilindro!$B$9+10*(Presion_cilindro!$B$9-1)*Presion_cilindro!$B$33*(IF(Presion_cilindro!N164&gt;(-J$4+Presion_cilindro!$B$34),1-EXP(-Presion_cilindro!$B$16*((Presion_cilindro!N164-(-J$4+Presion_cilindro!$B$34))/Presion_cilindro!$B$35)^(Presion_cilindro!$B$17+1)),0)-IF(Presion_cilindro!N163&gt;(-J$4+Presion_cilindro!$B$34),1-EXP(-Presion_cilindro!$B$16*((Presion_cilindro!N163-(-J$4+Presion_cilindro!$B$34))/Presion_cilindro!$B$35)^(Presion_cilindro!$B$17+1)),0))/((Presion_cilindro!O163+Presion_cilindro!O164)/2)</f>
        <v>1.1753839285654213</v>
      </c>
      <c r="K172" s="27">
        <f>K171*(Presion_cilindro!O163/Presion_cilindro!O164)^Presion_cilindro!$B$9+10*(Presion_cilindro!$B$9-1)*Presion_cilindro!$B$33*(IF(Presion_cilindro!N164&gt;(-K$4+Presion_cilindro!$B$34),1-EXP(-Presion_cilindro!$B$16*((Presion_cilindro!N164-(-K$4+Presion_cilindro!$B$34))/Presion_cilindro!$B$35)^(Presion_cilindro!$B$17+1)),0)-IF(Presion_cilindro!N163&gt;(-K$4+Presion_cilindro!$B$34),1-EXP(-Presion_cilindro!$B$16*((Presion_cilindro!N163-(-K$4+Presion_cilindro!$B$34))/Presion_cilindro!$B$35)^(Presion_cilindro!$B$17+1)),0))/((Presion_cilindro!O163+Presion_cilindro!O164)/2)</f>
        <v>1.1753839285654213</v>
      </c>
      <c r="L172" s="27">
        <f>L171*(Presion_cilindro!O163/Presion_cilindro!O164)^Presion_cilindro!$B$9+10*(Presion_cilindro!$B$9-1)*Presion_cilindro!$B$33*(IF(Presion_cilindro!N164&gt;(-L$4+Presion_cilindro!$B$34),1-EXP(-Presion_cilindro!$B$16*((Presion_cilindro!N164-(-L$4+Presion_cilindro!$B$34))/Presion_cilindro!$B$35)^(Presion_cilindro!$B$17+1)),0)-IF(Presion_cilindro!N163&gt;(-L$4+Presion_cilindro!$B$34),1-EXP(-Presion_cilindro!$B$16*((Presion_cilindro!N163-(-L$4+Presion_cilindro!$B$34))/Presion_cilindro!$B$35)^(Presion_cilindro!$B$17+1)),0))/((Presion_cilindro!O163+Presion_cilindro!O164)/2)</f>
        <v>1.1753839285654213</v>
      </c>
      <c r="M172" s="27">
        <f>M171*(Presion_cilindro!O163/Presion_cilindro!O164)^Presion_cilindro!$B$9+10*(Presion_cilindro!$B$9-1)*Presion_cilindro!$B$33*(IF(Presion_cilindro!N164&gt;(-M$4+Presion_cilindro!$B$34),1-EXP(-Presion_cilindro!$B$16*((Presion_cilindro!N164-(-M$4+Presion_cilindro!$B$34))/Presion_cilindro!$B$35)^(Presion_cilindro!$B$17+1)),0)-IF(Presion_cilindro!N163&gt;(-M$4+Presion_cilindro!$B$34),1-EXP(-Presion_cilindro!$B$16*((Presion_cilindro!N163-(-M$4+Presion_cilindro!$B$34))/Presion_cilindro!$B$35)^(Presion_cilindro!$B$17+1)),0))/((Presion_cilindro!O163+Presion_cilindro!O164)/2)</f>
        <v>1.1753839285654213</v>
      </c>
      <c r="N172" s="27">
        <f>N171*(Presion_cilindro!O163/Presion_cilindro!O164)^Presion_cilindro!$B$9+10*(Presion_cilindro!$B$9-1)*Presion_cilindro!$B$33*(IF(Presion_cilindro!N164&gt;(-N$4+Presion_cilindro!$B$34),1-EXP(-Presion_cilindro!$B$16*((Presion_cilindro!N164-(-N$4+Presion_cilindro!$B$34))/Presion_cilindro!$B$35)^(Presion_cilindro!$B$17+1)),0)-IF(Presion_cilindro!N163&gt;(-N$4+Presion_cilindro!$B$34),1-EXP(-Presion_cilindro!$B$16*((Presion_cilindro!N163-(-N$4+Presion_cilindro!$B$34))/Presion_cilindro!$B$35)^(Presion_cilindro!$B$17+1)),0))/((Presion_cilindro!O163+Presion_cilindro!O164)/2)</f>
        <v>1.1753839285654213</v>
      </c>
    </row>
    <row r="173" spans="1:14" x14ac:dyDescent="0.25">
      <c r="A173" s="21">
        <f>Presion_cilindro!N165</f>
        <v>-99.5</v>
      </c>
      <c r="B173" s="27">
        <f>B172*(Presion_cilindro!O164/Presion_cilindro!O165)^Presion_cilindro!$B$9+10*(Presion_cilindro!$B$9-1)*Presion_cilindro!$B$33*(IF(Presion_cilindro!N165&gt;(-B$4+Presion_cilindro!$B$34),1-EXP(-Presion_cilindro!$B$16*((Presion_cilindro!N165-(-B$4+Presion_cilindro!$B$34))/Presion_cilindro!$B$35)^(Presion_cilindro!$B$17+1)),0)-IF(Presion_cilindro!N164&gt;(-B$4+Presion_cilindro!$B$34),1-EXP(-Presion_cilindro!$B$16*((Presion_cilindro!N164-(-B$4+Presion_cilindro!$B$34))/Presion_cilindro!$B$35)^(Presion_cilindro!$B$17+1)),0))/((Presion_cilindro!O164+Presion_cilindro!O165)/2)</f>
        <v>1.1837405602966615</v>
      </c>
      <c r="C173" s="27">
        <f>C172*(Presion_cilindro!O164/Presion_cilindro!O165)^Presion_cilindro!$B$9+10*(Presion_cilindro!$B$9-1)*Presion_cilindro!$B$33*(IF(Presion_cilindro!N165&gt;(-C$4+Presion_cilindro!$B$34),1-EXP(-Presion_cilindro!$B$16*((Presion_cilindro!N165-(-C$4+Presion_cilindro!$B$34))/Presion_cilindro!$B$35)^(Presion_cilindro!$B$17+1)),0)-IF(Presion_cilindro!N164&gt;(-C$4+Presion_cilindro!$B$34),1-EXP(-Presion_cilindro!$B$16*((Presion_cilindro!N164-(-C$4+Presion_cilindro!$B$34))/Presion_cilindro!$B$35)^(Presion_cilindro!$B$17+1)),0))/((Presion_cilindro!O164+Presion_cilindro!O165)/2)</f>
        <v>1.1837405602966615</v>
      </c>
      <c r="D173" s="27">
        <f>D172*(Presion_cilindro!O164/Presion_cilindro!O165)^Presion_cilindro!$B$9+10*(Presion_cilindro!$B$9-1)*Presion_cilindro!$B$33*(IF(Presion_cilindro!N165&gt;(-D$4+Presion_cilindro!$B$34),1-EXP(-Presion_cilindro!$B$16*((Presion_cilindro!N165-(-D$4+Presion_cilindro!$B$34))/Presion_cilindro!$B$35)^(Presion_cilindro!$B$17+1)),0)-IF(Presion_cilindro!N164&gt;(-D$4+Presion_cilindro!$B$34),1-EXP(-Presion_cilindro!$B$16*((Presion_cilindro!N164-(-D$4+Presion_cilindro!$B$34))/Presion_cilindro!$B$35)^(Presion_cilindro!$B$17+1)),0))/((Presion_cilindro!O164+Presion_cilindro!O165)/2)</f>
        <v>1.1837405602966615</v>
      </c>
      <c r="E173" s="27">
        <f>E172*(Presion_cilindro!O164/Presion_cilindro!O165)^Presion_cilindro!$B$9+10*(Presion_cilindro!$B$9-1)*Presion_cilindro!$B$33*(IF(Presion_cilindro!N165&gt;(-E$4+Presion_cilindro!$B$34),1-EXP(-Presion_cilindro!$B$16*((Presion_cilindro!N165-(-E$4+Presion_cilindro!$B$34))/Presion_cilindro!$B$35)^(Presion_cilindro!$B$17+1)),0)-IF(Presion_cilindro!N164&gt;(-E$4+Presion_cilindro!$B$34),1-EXP(-Presion_cilindro!$B$16*((Presion_cilindro!N164-(-E$4+Presion_cilindro!$B$34))/Presion_cilindro!$B$35)^(Presion_cilindro!$B$17+1)),0))/((Presion_cilindro!O164+Presion_cilindro!O165)/2)</f>
        <v>1.1837405602966615</v>
      </c>
      <c r="F173" s="27">
        <f>F172*(Presion_cilindro!O164/Presion_cilindro!O165)^Presion_cilindro!$B$9+10*(Presion_cilindro!$B$9-1)*Presion_cilindro!$B$33*(IF(Presion_cilindro!N165&gt;(-F$4+Presion_cilindro!$B$34),1-EXP(-Presion_cilindro!$B$16*((Presion_cilindro!N165-(-F$4+Presion_cilindro!$B$34))/Presion_cilindro!$B$35)^(Presion_cilindro!$B$17+1)),0)-IF(Presion_cilindro!N164&gt;(-F$4+Presion_cilindro!$B$34),1-EXP(-Presion_cilindro!$B$16*((Presion_cilindro!N164-(-F$4+Presion_cilindro!$B$34))/Presion_cilindro!$B$35)^(Presion_cilindro!$B$17+1)),0))/((Presion_cilindro!O164+Presion_cilindro!O165)/2)</f>
        <v>1.1837405602966615</v>
      </c>
      <c r="G173" s="27">
        <f>G172*(Presion_cilindro!O164/Presion_cilindro!O165)^Presion_cilindro!$B$9+10*(Presion_cilindro!$B$9-1)*Presion_cilindro!$B$33*(IF(Presion_cilindro!N165&gt;(-G$4+Presion_cilindro!$B$34),1-EXP(-Presion_cilindro!$B$16*((Presion_cilindro!N165-(-G$4+Presion_cilindro!$B$34))/Presion_cilindro!$B$35)^(Presion_cilindro!$B$17+1)),0)-IF(Presion_cilindro!N164&gt;(-G$4+Presion_cilindro!$B$34),1-EXP(-Presion_cilindro!$B$16*((Presion_cilindro!N164-(-G$4+Presion_cilindro!$B$34))/Presion_cilindro!$B$35)^(Presion_cilindro!$B$17+1)),0))/((Presion_cilindro!O164+Presion_cilindro!O165)/2)</f>
        <v>1.1837405602966615</v>
      </c>
      <c r="H173" s="27">
        <f>H172*(Presion_cilindro!O164/Presion_cilindro!O165)^Presion_cilindro!$B$9+10*(Presion_cilindro!$B$9-1)*Presion_cilindro!$B$33*(IF(Presion_cilindro!N165&gt;(-H$4+Presion_cilindro!$B$34),1-EXP(-Presion_cilindro!$B$16*((Presion_cilindro!N165-(-H$4+Presion_cilindro!$B$34))/Presion_cilindro!$B$35)^(Presion_cilindro!$B$17+1)),0)-IF(Presion_cilindro!N164&gt;(-H$4+Presion_cilindro!$B$34),1-EXP(-Presion_cilindro!$B$16*((Presion_cilindro!N164-(-H$4+Presion_cilindro!$B$34))/Presion_cilindro!$B$35)^(Presion_cilindro!$B$17+1)),0))/((Presion_cilindro!O164+Presion_cilindro!O165)/2)</f>
        <v>1.1837405602966615</v>
      </c>
      <c r="I173" s="27">
        <f>I172*(Presion_cilindro!O164/Presion_cilindro!O165)^Presion_cilindro!$B$9+10*(Presion_cilindro!$B$9-1)*Presion_cilindro!$B$33*(IF(Presion_cilindro!N165&gt;(-I$4+Presion_cilindro!$B$34),1-EXP(-Presion_cilindro!$B$16*((Presion_cilindro!N165-(-I$4+Presion_cilindro!$B$34))/Presion_cilindro!$B$35)^(Presion_cilindro!$B$17+1)),0)-IF(Presion_cilindro!N164&gt;(-I$4+Presion_cilindro!$B$34),1-EXP(-Presion_cilindro!$B$16*((Presion_cilindro!N164-(-I$4+Presion_cilindro!$B$34))/Presion_cilindro!$B$35)^(Presion_cilindro!$B$17+1)),0))/((Presion_cilindro!O164+Presion_cilindro!O165)/2)</f>
        <v>1.1837405602966615</v>
      </c>
      <c r="J173" s="27">
        <f>J172*(Presion_cilindro!O164/Presion_cilindro!O165)^Presion_cilindro!$B$9+10*(Presion_cilindro!$B$9-1)*Presion_cilindro!$B$33*(IF(Presion_cilindro!N165&gt;(-J$4+Presion_cilindro!$B$34),1-EXP(-Presion_cilindro!$B$16*((Presion_cilindro!N165-(-J$4+Presion_cilindro!$B$34))/Presion_cilindro!$B$35)^(Presion_cilindro!$B$17+1)),0)-IF(Presion_cilindro!N164&gt;(-J$4+Presion_cilindro!$B$34),1-EXP(-Presion_cilindro!$B$16*((Presion_cilindro!N164-(-J$4+Presion_cilindro!$B$34))/Presion_cilindro!$B$35)^(Presion_cilindro!$B$17+1)),0))/((Presion_cilindro!O164+Presion_cilindro!O165)/2)</f>
        <v>1.1837405602966615</v>
      </c>
      <c r="K173" s="27">
        <f>K172*(Presion_cilindro!O164/Presion_cilindro!O165)^Presion_cilindro!$B$9+10*(Presion_cilindro!$B$9-1)*Presion_cilindro!$B$33*(IF(Presion_cilindro!N165&gt;(-K$4+Presion_cilindro!$B$34),1-EXP(-Presion_cilindro!$B$16*((Presion_cilindro!N165-(-K$4+Presion_cilindro!$B$34))/Presion_cilindro!$B$35)^(Presion_cilindro!$B$17+1)),0)-IF(Presion_cilindro!N164&gt;(-K$4+Presion_cilindro!$B$34),1-EXP(-Presion_cilindro!$B$16*((Presion_cilindro!N164-(-K$4+Presion_cilindro!$B$34))/Presion_cilindro!$B$35)^(Presion_cilindro!$B$17+1)),0))/((Presion_cilindro!O164+Presion_cilindro!O165)/2)</f>
        <v>1.1837405602966615</v>
      </c>
      <c r="L173" s="27">
        <f>L172*(Presion_cilindro!O164/Presion_cilindro!O165)^Presion_cilindro!$B$9+10*(Presion_cilindro!$B$9-1)*Presion_cilindro!$B$33*(IF(Presion_cilindro!N165&gt;(-L$4+Presion_cilindro!$B$34),1-EXP(-Presion_cilindro!$B$16*((Presion_cilindro!N165-(-L$4+Presion_cilindro!$B$34))/Presion_cilindro!$B$35)^(Presion_cilindro!$B$17+1)),0)-IF(Presion_cilindro!N164&gt;(-L$4+Presion_cilindro!$B$34),1-EXP(-Presion_cilindro!$B$16*((Presion_cilindro!N164-(-L$4+Presion_cilindro!$B$34))/Presion_cilindro!$B$35)^(Presion_cilindro!$B$17+1)),0))/((Presion_cilindro!O164+Presion_cilindro!O165)/2)</f>
        <v>1.1837405602966615</v>
      </c>
      <c r="M173" s="27">
        <f>M172*(Presion_cilindro!O164/Presion_cilindro!O165)^Presion_cilindro!$B$9+10*(Presion_cilindro!$B$9-1)*Presion_cilindro!$B$33*(IF(Presion_cilindro!N165&gt;(-M$4+Presion_cilindro!$B$34),1-EXP(-Presion_cilindro!$B$16*((Presion_cilindro!N165-(-M$4+Presion_cilindro!$B$34))/Presion_cilindro!$B$35)^(Presion_cilindro!$B$17+1)),0)-IF(Presion_cilindro!N164&gt;(-M$4+Presion_cilindro!$B$34),1-EXP(-Presion_cilindro!$B$16*((Presion_cilindro!N164-(-M$4+Presion_cilindro!$B$34))/Presion_cilindro!$B$35)^(Presion_cilindro!$B$17+1)),0))/((Presion_cilindro!O164+Presion_cilindro!O165)/2)</f>
        <v>1.1837405602966615</v>
      </c>
      <c r="N173" s="27">
        <f>N172*(Presion_cilindro!O164/Presion_cilindro!O165)^Presion_cilindro!$B$9+10*(Presion_cilindro!$B$9-1)*Presion_cilindro!$B$33*(IF(Presion_cilindro!N165&gt;(-N$4+Presion_cilindro!$B$34),1-EXP(-Presion_cilindro!$B$16*((Presion_cilindro!N165-(-N$4+Presion_cilindro!$B$34))/Presion_cilindro!$B$35)^(Presion_cilindro!$B$17+1)),0)-IF(Presion_cilindro!N164&gt;(-N$4+Presion_cilindro!$B$34),1-EXP(-Presion_cilindro!$B$16*((Presion_cilindro!N164-(-N$4+Presion_cilindro!$B$34))/Presion_cilindro!$B$35)^(Presion_cilindro!$B$17+1)),0))/((Presion_cilindro!O164+Presion_cilindro!O165)/2)</f>
        <v>1.1837405602966615</v>
      </c>
    </row>
    <row r="174" spans="1:14" x14ac:dyDescent="0.25">
      <c r="A174" s="21">
        <f>Presion_cilindro!N166</f>
        <v>-99</v>
      </c>
      <c r="B174" s="27">
        <f>B173*(Presion_cilindro!O165/Presion_cilindro!O166)^Presion_cilindro!$B$9+10*(Presion_cilindro!$B$9-1)*Presion_cilindro!$B$33*(IF(Presion_cilindro!N166&gt;(-B$4+Presion_cilindro!$B$34),1-EXP(-Presion_cilindro!$B$16*((Presion_cilindro!N166-(-B$4+Presion_cilindro!$B$34))/Presion_cilindro!$B$35)^(Presion_cilindro!$B$17+1)),0)-IF(Presion_cilindro!N165&gt;(-B$4+Presion_cilindro!$B$34),1-EXP(-Presion_cilindro!$B$16*((Presion_cilindro!N165-(-B$4+Presion_cilindro!$B$34))/Presion_cilindro!$B$35)^(Presion_cilindro!$B$17+1)),0))/((Presion_cilindro!O165+Presion_cilindro!O166)/2)</f>
        <v>1.1922372382529089</v>
      </c>
      <c r="C174" s="27">
        <f>C173*(Presion_cilindro!O165/Presion_cilindro!O166)^Presion_cilindro!$B$9+10*(Presion_cilindro!$B$9-1)*Presion_cilindro!$B$33*(IF(Presion_cilindro!N166&gt;(-C$4+Presion_cilindro!$B$34),1-EXP(-Presion_cilindro!$B$16*((Presion_cilindro!N166-(-C$4+Presion_cilindro!$B$34))/Presion_cilindro!$B$35)^(Presion_cilindro!$B$17+1)),0)-IF(Presion_cilindro!N165&gt;(-C$4+Presion_cilindro!$B$34),1-EXP(-Presion_cilindro!$B$16*((Presion_cilindro!N165-(-C$4+Presion_cilindro!$B$34))/Presion_cilindro!$B$35)^(Presion_cilindro!$B$17+1)),0))/((Presion_cilindro!O165+Presion_cilindro!O166)/2)</f>
        <v>1.1922372382529089</v>
      </c>
      <c r="D174" s="27">
        <f>D173*(Presion_cilindro!O165/Presion_cilindro!O166)^Presion_cilindro!$B$9+10*(Presion_cilindro!$B$9-1)*Presion_cilindro!$B$33*(IF(Presion_cilindro!N166&gt;(-D$4+Presion_cilindro!$B$34),1-EXP(-Presion_cilindro!$B$16*((Presion_cilindro!N166-(-D$4+Presion_cilindro!$B$34))/Presion_cilindro!$B$35)^(Presion_cilindro!$B$17+1)),0)-IF(Presion_cilindro!N165&gt;(-D$4+Presion_cilindro!$B$34),1-EXP(-Presion_cilindro!$B$16*((Presion_cilindro!N165-(-D$4+Presion_cilindro!$B$34))/Presion_cilindro!$B$35)^(Presion_cilindro!$B$17+1)),0))/((Presion_cilindro!O165+Presion_cilindro!O166)/2)</f>
        <v>1.1922372382529089</v>
      </c>
      <c r="E174" s="27">
        <f>E173*(Presion_cilindro!O165/Presion_cilindro!O166)^Presion_cilindro!$B$9+10*(Presion_cilindro!$B$9-1)*Presion_cilindro!$B$33*(IF(Presion_cilindro!N166&gt;(-E$4+Presion_cilindro!$B$34),1-EXP(-Presion_cilindro!$B$16*((Presion_cilindro!N166-(-E$4+Presion_cilindro!$B$34))/Presion_cilindro!$B$35)^(Presion_cilindro!$B$17+1)),0)-IF(Presion_cilindro!N165&gt;(-E$4+Presion_cilindro!$B$34),1-EXP(-Presion_cilindro!$B$16*((Presion_cilindro!N165-(-E$4+Presion_cilindro!$B$34))/Presion_cilindro!$B$35)^(Presion_cilindro!$B$17+1)),0))/((Presion_cilindro!O165+Presion_cilindro!O166)/2)</f>
        <v>1.1922372382529089</v>
      </c>
      <c r="F174" s="27">
        <f>F173*(Presion_cilindro!O165/Presion_cilindro!O166)^Presion_cilindro!$B$9+10*(Presion_cilindro!$B$9-1)*Presion_cilindro!$B$33*(IF(Presion_cilindro!N166&gt;(-F$4+Presion_cilindro!$B$34),1-EXP(-Presion_cilindro!$B$16*((Presion_cilindro!N166-(-F$4+Presion_cilindro!$B$34))/Presion_cilindro!$B$35)^(Presion_cilindro!$B$17+1)),0)-IF(Presion_cilindro!N165&gt;(-F$4+Presion_cilindro!$B$34),1-EXP(-Presion_cilindro!$B$16*((Presion_cilindro!N165-(-F$4+Presion_cilindro!$B$34))/Presion_cilindro!$B$35)^(Presion_cilindro!$B$17+1)),0))/((Presion_cilindro!O165+Presion_cilindro!O166)/2)</f>
        <v>1.1922372382529089</v>
      </c>
      <c r="G174" s="27">
        <f>G173*(Presion_cilindro!O165/Presion_cilindro!O166)^Presion_cilindro!$B$9+10*(Presion_cilindro!$B$9-1)*Presion_cilindro!$B$33*(IF(Presion_cilindro!N166&gt;(-G$4+Presion_cilindro!$B$34),1-EXP(-Presion_cilindro!$B$16*((Presion_cilindro!N166-(-G$4+Presion_cilindro!$B$34))/Presion_cilindro!$B$35)^(Presion_cilindro!$B$17+1)),0)-IF(Presion_cilindro!N165&gt;(-G$4+Presion_cilindro!$B$34),1-EXP(-Presion_cilindro!$B$16*((Presion_cilindro!N165-(-G$4+Presion_cilindro!$B$34))/Presion_cilindro!$B$35)^(Presion_cilindro!$B$17+1)),0))/((Presion_cilindro!O165+Presion_cilindro!O166)/2)</f>
        <v>1.1922372382529089</v>
      </c>
      <c r="H174" s="27">
        <f>H173*(Presion_cilindro!O165/Presion_cilindro!O166)^Presion_cilindro!$B$9+10*(Presion_cilindro!$B$9-1)*Presion_cilindro!$B$33*(IF(Presion_cilindro!N166&gt;(-H$4+Presion_cilindro!$B$34),1-EXP(-Presion_cilindro!$B$16*((Presion_cilindro!N166-(-H$4+Presion_cilindro!$B$34))/Presion_cilindro!$B$35)^(Presion_cilindro!$B$17+1)),0)-IF(Presion_cilindro!N165&gt;(-H$4+Presion_cilindro!$B$34),1-EXP(-Presion_cilindro!$B$16*((Presion_cilindro!N165-(-H$4+Presion_cilindro!$B$34))/Presion_cilindro!$B$35)^(Presion_cilindro!$B$17+1)),0))/((Presion_cilindro!O165+Presion_cilindro!O166)/2)</f>
        <v>1.1922372382529089</v>
      </c>
      <c r="I174" s="27">
        <f>I173*(Presion_cilindro!O165/Presion_cilindro!O166)^Presion_cilindro!$B$9+10*(Presion_cilindro!$B$9-1)*Presion_cilindro!$B$33*(IF(Presion_cilindro!N166&gt;(-I$4+Presion_cilindro!$B$34),1-EXP(-Presion_cilindro!$B$16*((Presion_cilindro!N166-(-I$4+Presion_cilindro!$B$34))/Presion_cilindro!$B$35)^(Presion_cilindro!$B$17+1)),0)-IF(Presion_cilindro!N165&gt;(-I$4+Presion_cilindro!$B$34),1-EXP(-Presion_cilindro!$B$16*((Presion_cilindro!N165-(-I$4+Presion_cilindro!$B$34))/Presion_cilindro!$B$35)^(Presion_cilindro!$B$17+1)),0))/((Presion_cilindro!O165+Presion_cilindro!O166)/2)</f>
        <v>1.1922372382529089</v>
      </c>
      <c r="J174" s="27">
        <f>J173*(Presion_cilindro!O165/Presion_cilindro!O166)^Presion_cilindro!$B$9+10*(Presion_cilindro!$B$9-1)*Presion_cilindro!$B$33*(IF(Presion_cilindro!N166&gt;(-J$4+Presion_cilindro!$B$34),1-EXP(-Presion_cilindro!$B$16*((Presion_cilindro!N166-(-J$4+Presion_cilindro!$B$34))/Presion_cilindro!$B$35)^(Presion_cilindro!$B$17+1)),0)-IF(Presion_cilindro!N165&gt;(-J$4+Presion_cilindro!$B$34),1-EXP(-Presion_cilindro!$B$16*((Presion_cilindro!N165-(-J$4+Presion_cilindro!$B$34))/Presion_cilindro!$B$35)^(Presion_cilindro!$B$17+1)),0))/((Presion_cilindro!O165+Presion_cilindro!O166)/2)</f>
        <v>1.1922372382529089</v>
      </c>
      <c r="K174" s="27">
        <f>K173*(Presion_cilindro!O165/Presion_cilindro!O166)^Presion_cilindro!$B$9+10*(Presion_cilindro!$B$9-1)*Presion_cilindro!$B$33*(IF(Presion_cilindro!N166&gt;(-K$4+Presion_cilindro!$B$34),1-EXP(-Presion_cilindro!$B$16*((Presion_cilindro!N166-(-K$4+Presion_cilindro!$B$34))/Presion_cilindro!$B$35)^(Presion_cilindro!$B$17+1)),0)-IF(Presion_cilindro!N165&gt;(-K$4+Presion_cilindro!$B$34),1-EXP(-Presion_cilindro!$B$16*((Presion_cilindro!N165-(-K$4+Presion_cilindro!$B$34))/Presion_cilindro!$B$35)^(Presion_cilindro!$B$17+1)),0))/((Presion_cilindro!O165+Presion_cilindro!O166)/2)</f>
        <v>1.1922372382529089</v>
      </c>
      <c r="L174" s="27">
        <f>L173*(Presion_cilindro!O165/Presion_cilindro!O166)^Presion_cilindro!$B$9+10*(Presion_cilindro!$B$9-1)*Presion_cilindro!$B$33*(IF(Presion_cilindro!N166&gt;(-L$4+Presion_cilindro!$B$34),1-EXP(-Presion_cilindro!$B$16*((Presion_cilindro!N166-(-L$4+Presion_cilindro!$B$34))/Presion_cilindro!$B$35)^(Presion_cilindro!$B$17+1)),0)-IF(Presion_cilindro!N165&gt;(-L$4+Presion_cilindro!$B$34),1-EXP(-Presion_cilindro!$B$16*((Presion_cilindro!N165-(-L$4+Presion_cilindro!$B$34))/Presion_cilindro!$B$35)^(Presion_cilindro!$B$17+1)),0))/((Presion_cilindro!O165+Presion_cilindro!O166)/2)</f>
        <v>1.1922372382529089</v>
      </c>
      <c r="M174" s="27">
        <f>M173*(Presion_cilindro!O165/Presion_cilindro!O166)^Presion_cilindro!$B$9+10*(Presion_cilindro!$B$9-1)*Presion_cilindro!$B$33*(IF(Presion_cilindro!N166&gt;(-M$4+Presion_cilindro!$B$34),1-EXP(-Presion_cilindro!$B$16*((Presion_cilindro!N166-(-M$4+Presion_cilindro!$B$34))/Presion_cilindro!$B$35)^(Presion_cilindro!$B$17+1)),0)-IF(Presion_cilindro!N165&gt;(-M$4+Presion_cilindro!$B$34),1-EXP(-Presion_cilindro!$B$16*((Presion_cilindro!N165-(-M$4+Presion_cilindro!$B$34))/Presion_cilindro!$B$35)^(Presion_cilindro!$B$17+1)),0))/((Presion_cilindro!O165+Presion_cilindro!O166)/2)</f>
        <v>1.1922372382529089</v>
      </c>
      <c r="N174" s="27">
        <f>N173*(Presion_cilindro!O165/Presion_cilindro!O166)^Presion_cilindro!$B$9+10*(Presion_cilindro!$B$9-1)*Presion_cilindro!$B$33*(IF(Presion_cilindro!N166&gt;(-N$4+Presion_cilindro!$B$34),1-EXP(-Presion_cilindro!$B$16*((Presion_cilindro!N166-(-N$4+Presion_cilindro!$B$34))/Presion_cilindro!$B$35)^(Presion_cilindro!$B$17+1)),0)-IF(Presion_cilindro!N165&gt;(-N$4+Presion_cilindro!$B$34),1-EXP(-Presion_cilindro!$B$16*((Presion_cilindro!N165-(-N$4+Presion_cilindro!$B$34))/Presion_cilindro!$B$35)^(Presion_cilindro!$B$17+1)),0))/((Presion_cilindro!O165+Presion_cilindro!O166)/2)</f>
        <v>1.1922372382529089</v>
      </c>
    </row>
    <row r="175" spans="1:14" x14ac:dyDescent="0.25">
      <c r="A175" s="21">
        <f>Presion_cilindro!N167</f>
        <v>-98.5</v>
      </c>
      <c r="B175" s="27">
        <f>B174*(Presion_cilindro!O166/Presion_cilindro!O167)^Presion_cilindro!$B$9+10*(Presion_cilindro!$B$9-1)*Presion_cilindro!$B$33*(IF(Presion_cilindro!N167&gt;(-B$4+Presion_cilindro!$B$34),1-EXP(-Presion_cilindro!$B$16*((Presion_cilindro!N167-(-B$4+Presion_cilindro!$B$34))/Presion_cilindro!$B$35)^(Presion_cilindro!$B$17+1)),0)-IF(Presion_cilindro!N166&gt;(-B$4+Presion_cilindro!$B$34),1-EXP(-Presion_cilindro!$B$16*((Presion_cilindro!N166-(-B$4+Presion_cilindro!$B$34))/Presion_cilindro!$B$35)^(Presion_cilindro!$B$17+1)),0))/((Presion_cilindro!O166+Presion_cilindro!O167)/2)</f>
        <v>1.2008766401023565</v>
      </c>
      <c r="C175" s="27">
        <f>C174*(Presion_cilindro!O166/Presion_cilindro!O167)^Presion_cilindro!$B$9+10*(Presion_cilindro!$B$9-1)*Presion_cilindro!$B$33*(IF(Presion_cilindro!N167&gt;(-C$4+Presion_cilindro!$B$34),1-EXP(-Presion_cilindro!$B$16*((Presion_cilindro!N167-(-C$4+Presion_cilindro!$B$34))/Presion_cilindro!$B$35)^(Presion_cilindro!$B$17+1)),0)-IF(Presion_cilindro!N166&gt;(-C$4+Presion_cilindro!$B$34),1-EXP(-Presion_cilindro!$B$16*((Presion_cilindro!N166-(-C$4+Presion_cilindro!$B$34))/Presion_cilindro!$B$35)^(Presion_cilindro!$B$17+1)),0))/((Presion_cilindro!O166+Presion_cilindro!O167)/2)</f>
        <v>1.2008766401023565</v>
      </c>
      <c r="D175" s="27">
        <f>D174*(Presion_cilindro!O166/Presion_cilindro!O167)^Presion_cilindro!$B$9+10*(Presion_cilindro!$B$9-1)*Presion_cilindro!$B$33*(IF(Presion_cilindro!N167&gt;(-D$4+Presion_cilindro!$B$34),1-EXP(-Presion_cilindro!$B$16*((Presion_cilindro!N167-(-D$4+Presion_cilindro!$B$34))/Presion_cilindro!$B$35)^(Presion_cilindro!$B$17+1)),0)-IF(Presion_cilindro!N166&gt;(-D$4+Presion_cilindro!$B$34),1-EXP(-Presion_cilindro!$B$16*((Presion_cilindro!N166-(-D$4+Presion_cilindro!$B$34))/Presion_cilindro!$B$35)^(Presion_cilindro!$B$17+1)),0))/((Presion_cilindro!O166+Presion_cilindro!O167)/2)</f>
        <v>1.2008766401023565</v>
      </c>
      <c r="E175" s="27">
        <f>E174*(Presion_cilindro!O166/Presion_cilindro!O167)^Presion_cilindro!$B$9+10*(Presion_cilindro!$B$9-1)*Presion_cilindro!$B$33*(IF(Presion_cilindro!N167&gt;(-E$4+Presion_cilindro!$B$34),1-EXP(-Presion_cilindro!$B$16*((Presion_cilindro!N167-(-E$4+Presion_cilindro!$B$34))/Presion_cilindro!$B$35)^(Presion_cilindro!$B$17+1)),0)-IF(Presion_cilindro!N166&gt;(-E$4+Presion_cilindro!$B$34),1-EXP(-Presion_cilindro!$B$16*((Presion_cilindro!N166-(-E$4+Presion_cilindro!$B$34))/Presion_cilindro!$B$35)^(Presion_cilindro!$B$17+1)),0))/((Presion_cilindro!O166+Presion_cilindro!O167)/2)</f>
        <v>1.2008766401023565</v>
      </c>
      <c r="F175" s="27">
        <f>F174*(Presion_cilindro!O166/Presion_cilindro!O167)^Presion_cilindro!$B$9+10*(Presion_cilindro!$B$9-1)*Presion_cilindro!$B$33*(IF(Presion_cilindro!N167&gt;(-F$4+Presion_cilindro!$B$34),1-EXP(-Presion_cilindro!$B$16*((Presion_cilindro!N167-(-F$4+Presion_cilindro!$B$34))/Presion_cilindro!$B$35)^(Presion_cilindro!$B$17+1)),0)-IF(Presion_cilindro!N166&gt;(-F$4+Presion_cilindro!$B$34),1-EXP(-Presion_cilindro!$B$16*((Presion_cilindro!N166-(-F$4+Presion_cilindro!$B$34))/Presion_cilindro!$B$35)^(Presion_cilindro!$B$17+1)),0))/((Presion_cilindro!O166+Presion_cilindro!O167)/2)</f>
        <v>1.2008766401023565</v>
      </c>
      <c r="G175" s="27">
        <f>G174*(Presion_cilindro!O166/Presion_cilindro!O167)^Presion_cilindro!$B$9+10*(Presion_cilindro!$B$9-1)*Presion_cilindro!$B$33*(IF(Presion_cilindro!N167&gt;(-G$4+Presion_cilindro!$B$34),1-EXP(-Presion_cilindro!$B$16*((Presion_cilindro!N167-(-G$4+Presion_cilindro!$B$34))/Presion_cilindro!$B$35)^(Presion_cilindro!$B$17+1)),0)-IF(Presion_cilindro!N166&gt;(-G$4+Presion_cilindro!$B$34),1-EXP(-Presion_cilindro!$B$16*((Presion_cilindro!N166-(-G$4+Presion_cilindro!$B$34))/Presion_cilindro!$B$35)^(Presion_cilindro!$B$17+1)),0))/((Presion_cilindro!O166+Presion_cilindro!O167)/2)</f>
        <v>1.2008766401023565</v>
      </c>
      <c r="H175" s="27">
        <f>H174*(Presion_cilindro!O166/Presion_cilindro!O167)^Presion_cilindro!$B$9+10*(Presion_cilindro!$B$9-1)*Presion_cilindro!$B$33*(IF(Presion_cilindro!N167&gt;(-H$4+Presion_cilindro!$B$34),1-EXP(-Presion_cilindro!$B$16*((Presion_cilindro!N167-(-H$4+Presion_cilindro!$B$34))/Presion_cilindro!$B$35)^(Presion_cilindro!$B$17+1)),0)-IF(Presion_cilindro!N166&gt;(-H$4+Presion_cilindro!$B$34),1-EXP(-Presion_cilindro!$B$16*((Presion_cilindro!N166-(-H$4+Presion_cilindro!$B$34))/Presion_cilindro!$B$35)^(Presion_cilindro!$B$17+1)),0))/((Presion_cilindro!O166+Presion_cilindro!O167)/2)</f>
        <v>1.2008766401023565</v>
      </c>
      <c r="I175" s="27">
        <f>I174*(Presion_cilindro!O166/Presion_cilindro!O167)^Presion_cilindro!$B$9+10*(Presion_cilindro!$B$9-1)*Presion_cilindro!$B$33*(IF(Presion_cilindro!N167&gt;(-I$4+Presion_cilindro!$B$34),1-EXP(-Presion_cilindro!$B$16*((Presion_cilindro!N167-(-I$4+Presion_cilindro!$B$34))/Presion_cilindro!$B$35)^(Presion_cilindro!$B$17+1)),0)-IF(Presion_cilindro!N166&gt;(-I$4+Presion_cilindro!$B$34),1-EXP(-Presion_cilindro!$B$16*((Presion_cilindro!N166-(-I$4+Presion_cilindro!$B$34))/Presion_cilindro!$B$35)^(Presion_cilindro!$B$17+1)),0))/((Presion_cilindro!O166+Presion_cilindro!O167)/2)</f>
        <v>1.2008766401023565</v>
      </c>
      <c r="J175" s="27">
        <f>J174*(Presion_cilindro!O166/Presion_cilindro!O167)^Presion_cilindro!$B$9+10*(Presion_cilindro!$B$9-1)*Presion_cilindro!$B$33*(IF(Presion_cilindro!N167&gt;(-J$4+Presion_cilindro!$B$34),1-EXP(-Presion_cilindro!$B$16*((Presion_cilindro!N167-(-J$4+Presion_cilindro!$B$34))/Presion_cilindro!$B$35)^(Presion_cilindro!$B$17+1)),0)-IF(Presion_cilindro!N166&gt;(-J$4+Presion_cilindro!$B$34),1-EXP(-Presion_cilindro!$B$16*((Presion_cilindro!N166-(-J$4+Presion_cilindro!$B$34))/Presion_cilindro!$B$35)^(Presion_cilindro!$B$17+1)),0))/((Presion_cilindro!O166+Presion_cilindro!O167)/2)</f>
        <v>1.2008766401023565</v>
      </c>
      <c r="K175" s="27">
        <f>K174*(Presion_cilindro!O166/Presion_cilindro!O167)^Presion_cilindro!$B$9+10*(Presion_cilindro!$B$9-1)*Presion_cilindro!$B$33*(IF(Presion_cilindro!N167&gt;(-K$4+Presion_cilindro!$B$34),1-EXP(-Presion_cilindro!$B$16*((Presion_cilindro!N167-(-K$4+Presion_cilindro!$B$34))/Presion_cilindro!$B$35)^(Presion_cilindro!$B$17+1)),0)-IF(Presion_cilindro!N166&gt;(-K$4+Presion_cilindro!$B$34),1-EXP(-Presion_cilindro!$B$16*((Presion_cilindro!N166-(-K$4+Presion_cilindro!$B$34))/Presion_cilindro!$B$35)^(Presion_cilindro!$B$17+1)),0))/((Presion_cilindro!O166+Presion_cilindro!O167)/2)</f>
        <v>1.2008766401023565</v>
      </c>
      <c r="L175" s="27">
        <f>L174*(Presion_cilindro!O166/Presion_cilindro!O167)^Presion_cilindro!$B$9+10*(Presion_cilindro!$B$9-1)*Presion_cilindro!$B$33*(IF(Presion_cilindro!N167&gt;(-L$4+Presion_cilindro!$B$34),1-EXP(-Presion_cilindro!$B$16*((Presion_cilindro!N167-(-L$4+Presion_cilindro!$B$34))/Presion_cilindro!$B$35)^(Presion_cilindro!$B$17+1)),0)-IF(Presion_cilindro!N166&gt;(-L$4+Presion_cilindro!$B$34),1-EXP(-Presion_cilindro!$B$16*((Presion_cilindro!N166-(-L$4+Presion_cilindro!$B$34))/Presion_cilindro!$B$35)^(Presion_cilindro!$B$17+1)),0))/((Presion_cilindro!O166+Presion_cilindro!O167)/2)</f>
        <v>1.2008766401023565</v>
      </c>
      <c r="M175" s="27">
        <f>M174*(Presion_cilindro!O166/Presion_cilindro!O167)^Presion_cilindro!$B$9+10*(Presion_cilindro!$B$9-1)*Presion_cilindro!$B$33*(IF(Presion_cilindro!N167&gt;(-M$4+Presion_cilindro!$B$34),1-EXP(-Presion_cilindro!$B$16*((Presion_cilindro!N167-(-M$4+Presion_cilindro!$B$34))/Presion_cilindro!$B$35)^(Presion_cilindro!$B$17+1)),0)-IF(Presion_cilindro!N166&gt;(-M$4+Presion_cilindro!$B$34),1-EXP(-Presion_cilindro!$B$16*((Presion_cilindro!N166-(-M$4+Presion_cilindro!$B$34))/Presion_cilindro!$B$35)^(Presion_cilindro!$B$17+1)),0))/((Presion_cilindro!O166+Presion_cilindro!O167)/2)</f>
        <v>1.2008766401023565</v>
      </c>
      <c r="N175" s="27">
        <f>N174*(Presion_cilindro!O166/Presion_cilindro!O167)^Presion_cilindro!$B$9+10*(Presion_cilindro!$B$9-1)*Presion_cilindro!$B$33*(IF(Presion_cilindro!N167&gt;(-N$4+Presion_cilindro!$B$34),1-EXP(-Presion_cilindro!$B$16*((Presion_cilindro!N167-(-N$4+Presion_cilindro!$B$34))/Presion_cilindro!$B$35)^(Presion_cilindro!$B$17+1)),0)-IF(Presion_cilindro!N166&gt;(-N$4+Presion_cilindro!$B$34),1-EXP(-Presion_cilindro!$B$16*((Presion_cilindro!N166-(-N$4+Presion_cilindro!$B$34))/Presion_cilindro!$B$35)^(Presion_cilindro!$B$17+1)),0))/((Presion_cilindro!O166+Presion_cilindro!O167)/2)</f>
        <v>1.2008766401023565</v>
      </c>
    </row>
    <row r="176" spans="1:14" x14ac:dyDescent="0.25">
      <c r="A176" s="21">
        <f>Presion_cilindro!N168</f>
        <v>-98</v>
      </c>
      <c r="B176" s="27">
        <f>B175*(Presion_cilindro!O167/Presion_cilindro!O168)^Presion_cilindro!$B$9+10*(Presion_cilindro!$B$9-1)*Presion_cilindro!$B$33*(IF(Presion_cilindro!N168&gt;(-B$4+Presion_cilindro!$B$34),1-EXP(-Presion_cilindro!$B$16*((Presion_cilindro!N168-(-B$4+Presion_cilindro!$B$34))/Presion_cilindro!$B$35)^(Presion_cilindro!$B$17+1)),0)-IF(Presion_cilindro!N167&gt;(-B$4+Presion_cilindro!$B$34),1-EXP(-Presion_cilindro!$B$16*((Presion_cilindro!N167-(-B$4+Presion_cilindro!$B$34))/Presion_cilindro!$B$35)^(Presion_cilindro!$B$17+1)),0))/((Presion_cilindro!O167+Presion_cilindro!O168)/2)</f>
        <v>1.2096615058587266</v>
      </c>
      <c r="C176" s="27">
        <f>C175*(Presion_cilindro!O167/Presion_cilindro!O168)^Presion_cilindro!$B$9+10*(Presion_cilindro!$B$9-1)*Presion_cilindro!$B$33*(IF(Presion_cilindro!N168&gt;(-C$4+Presion_cilindro!$B$34),1-EXP(-Presion_cilindro!$B$16*((Presion_cilindro!N168-(-C$4+Presion_cilindro!$B$34))/Presion_cilindro!$B$35)^(Presion_cilindro!$B$17+1)),0)-IF(Presion_cilindro!N167&gt;(-C$4+Presion_cilindro!$B$34),1-EXP(-Presion_cilindro!$B$16*((Presion_cilindro!N167-(-C$4+Presion_cilindro!$B$34))/Presion_cilindro!$B$35)^(Presion_cilindro!$B$17+1)),0))/((Presion_cilindro!O167+Presion_cilindro!O168)/2)</f>
        <v>1.2096615058587266</v>
      </c>
      <c r="D176" s="27">
        <f>D175*(Presion_cilindro!O167/Presion_cilindro!O168)^Presion_cilindro!$B$9+10*(Presion_cilindro!$B$9-1)*Presion_cilindro!$B$33*(IF(Presion_cilindro!N168&gt;(-D$4+Presion_cilindro!$B$34),1-EXP(-Presion_cilindro!$B$16*((Presion_cilindro!N168-(-D$4+Presion_cilindro!$B$34))/Presion_cilindro!$B$35)^(Presion_cilindro!$B$17+1)),0)-IF(Presion_cilindro!N167&gt;(-D$4+Presion_cilindro!$B$34),1-EXP(-Presion_cilindro!$B$16*((Presion_cilindro!N167-(-D$4+Presion_cilindro!$B$34))/Presion_cilindro!$B$35)^(Presion_cilindro!$B$17+1)),0))/((Presion_cilindro!O167+Presion_cilindro!O168)/2)</f>
        <v>1.2096615058587266</v>
      </c>
      <c r="E176" s="27">
        <f>E175*(Presion_cilindro!O167/Presion_cilindro!O168)^Presion_cilindro!$B$9+10*(Presion_cilindro!$B$9-1)*Presion_cilindro!$B$33*(IF(Presion_cilindro!N168&gt;(-E$4+Presion_cilindro!$B$34),1-EXP(-Presion_cilindro!$B$16*((Presion_cilindro!N168-(-E$4+Presion_cilindro!$B$34))/Presion_cilindro!$B$35)^(Presion_cilindro!$B$17+1)),0)-IF(Presion_cilindro!N167&gt;(-E$4+Presion_cilindro!$B$34),1-EXP(-Presion_cilindro!$B$16*((Presion_cilindro!N167-(-E$4+Presion_cilindro!$B$34))/Presion_cilindro!$B$35)^(Presion_cilindro!$B$17+1)),0))/((Presion_cilindro!O167+Presion_cilindro!O168)/2)</f>
        <v>1.2096615058587266</v>
      </c>
      <c r="F176" s="27">
        <f>F175*(Presion_cilindro!O167/Presion_cilindro!O168)^Presion_cilindro!$B$9+10*(Presion_cilindro!$B$9-1)*Presion_cilindro!$B$33*(IF(Presion_cilindro!N168&gt;(-F$4+Presion_cilindro!$B$34),1-EXP(-Presion_cilindro!$B$16*((Presion_cilindro!N168-(-F$4+Presion_cilindro!$B$34))/Presion_cilindro!$B$35)^(Presion_cilindro!$B$17+1)),0)-IF(Presion_cilindro!N167&gt;(-F$4+Presion_cilindro!$B$34),1-EXP(-Presion_cilindro!$B$16*((Presion_cilindro!N167-(-F$4+Presion_cilindro!$B$34))/Presion_cilindro!$B$35)^(Presion_cilindro!$B$17+1)),0))/((Presion_cilindro!O167+Presion_cilindro!O168)/2)</f>
        <v>1.2096615058587266</v>
      </c>
      <c r="G176" s="27">
        <f>G175*(Presion_cilindro!O167/Presion_cilindro!O168)^Presion_cilindro!$B$9+10*(Presion_cilindro!$B$9-1)*Presion_cilindro!$B$33*(IF(Presion_cilindro!N168&gt;(-G$4+Presion_cilindro!$B$34),1-EXP(-Presion_cilindro!$B$16*((Presion_cilindro!N168-(-G$4+Presion_cilindro!$B$34))/Presion_cilindro!$B$35)^(Presion_cilindro!$B$17+1)),0)-IF(Presion_cilindro!N167&gt;(-G$4+Presion_cilindro!$B$34),1-EXP(-Presion_cilindro!$B$16*((Presion_cilindro!N167-(-G$4+Presion_cilindro!$B$34))/Presion_cilindro!$B$35)^(Presion_cilindro!$B$17+1)),0))/((Presion_cilindro!O167+Presion_cilindro!O168)/2)</f>
        <v>1.2096615058587266</v>
      </c>
      <c r="H176" s="27">
        <f>H175*(Presion_cilindro!O167/Presion_cilindro!O168)^Presion_cilindro!$B$9+10*(Presion_cilindro!$B$9-1)*Presion_cilindro!$B$33*(IF(Presion_cilindro!N168&gt;(-H$4+Presion_cilindro!$B$34),1-EXP(-Presion_cilindro!$B$16*((Presion_cilindro!N168-(-H$4+Presion_cilindro!$B$34))/Presion_cilindro!$B$35)^(Presion_cilindro!$B$17+1)),0)-IF(Presion_cilindro!N167&gt;(-H$4+Presion_cilindro!$B$34),1-EXP(-Presion_cilindro!$B$16*((Presion_cilindro!N167-(-H$4+Presion_cilindro!$B$34))/Presion_cilindro!$B$35)^(Presion_cilindro!$B$17+1)),0))/((Presion_cilindro!O167+Presion_cilindro!O168)/2)</f>
        <v>1.2096615058587266</v>
      </c>
      <c r="I176" s="27">
        <f>I175*(Presion_cilindro!O167/Presion_cilindro!O168)^Presion_cilindro!$B$9+10*(Presion_cilindro!$B$9-1)*Presion_cilindro!$B$33*(IF(Presion_cilindro!N168&gt;(-I$4+Presion_cilindro!$B$34),1-EXP(-Presion_cilindro!$B$16*((Presion_cilindro!N168-(-I$4+Presion_cilindro!$B$34))/Presion_cilindro!$B$35)^(Presion_cilindro!$B$17+1)),0)-IF(Presion_cilindro!N167&gt;(-I$4+Presion_cilindro!$B$34),1-EXP(-Presion_cilindro!$B$16*((Presion_cilindro!N167-(-I$4+Presion_cilindro!$B$34))/Presion_cilindro!$B$35)^(Presion_cilindro!$B$17+1)),0))/((Presion_cilindro!O167+Presion_cilindro!O168)/2)</f>
        <v>1.2096615058587266</v>
      </c>
      <c r="J176" s="27">
        <f>J175*(Presion_cilindro!O167/Presion_cilindro!O168)^Presion_cilindro!$B$9+10*(Presion_cilindro!$B$9-1)*Presion_cilindro!$B$33*(IF(Presion_cilindro!N168&gt;(-J$4+Presion_cilindro!$B$34),1-EXP(-Presion_cilindro!$B$16*((Presion_cilindro!N168-(-J$4+Presion_cilindro!$B$34))/Presion_cilindro!$B$35)^(Presion_cilindro!$B$17+1)),0)-IF(Presion_cilindro!N167&gt;(-J$4+Presion_cilindro!$B$34),1-EXP(-Presion_cilindro!$B$16*((Presion_cilindro!N167-(-J$4+Presion_cilindro!$B$34))/Presion_cilindro!$B$35)^(Presion_cilindro!$B$17+1)),0))/((Presion_cilindro!O167+Presion_cilindro!O168)/2)</f>
        <v>1.2096615058587266</v>
      </c>
      <c r="K176" s="27">
        <f>K175*(Presion_cilindro!O167/Presion_cilindro!O168)^Presion_cilindro!$B$9+10*(Presion_cilindro!$B$9-1)*Presion_cilindro!$B$33*(IF(Presion_cilindro!N168&gt;(-K$4+Presion_cilindro!$B$34),1-EXP(-Presion_cilindro!$B$16*((Presion_cilindro!N168-(-K$4+Presion_cilindro!$B$34))/Presion_cilindro!$B$35)^(Presion_cilindro!$B$17+1)),0)-IF(Presion_cilindro!N167&gt;(-K$4+Presion_cilindro!$B$34),1-EXP(-Presion_cilindro!$B$16*((Presion_cilindro!N167-(-K$4+Presion_cilindro!$B$34))/Presion_cilindro!$B$35)^(Presion_cilindro!$B$17+1)),0))/((Presion_cilindro!O167+Presion_cilindro!O168)/2)</f>
        <v>1.2096615058587266</v>
      </c>
      <c r="L176" s="27">
        <f>L175*(Presion_cilindro!O167/Presion_cilindro!O168)^Presion_cilindro!$B$9+10*(Presion_cilindro!$B$9-1)*Presion_cilindro!$B$33*(IF(Presion_cilindro!N168&gt;(-L$4+Presion_cilindro!$B$34),1-EXP(-Presion_cilindro!$B$16*((Presion_cilindro!N168-(-L$4+Presion_cilindro!$B$34))/Presion_cilindro!$B$35)^(Presion_cilindro!$B$17+1)),0)-IF(Presion_cilindro!N167&gt;(-L$4+Presion_cilindro!$B$34),1-EXP(-Presion_cilindro!$B$16*((Presion_cilindro!N167-(-L$4+Presion_cilindro!$B$34))/Presion_cilindro!$B$35)^(Presion_cilindro!$B$17+1)),0))/((Presion_cilindro!O167+Presion_cilindro!O168)/2)</f>
        <v>1.2096615058587266</v>
      </c>
      <c r="M176" s="27">
        <f>M175*(Presion_cilindro!O167/Presion_cilindro!O168)^Presion_cilindro!$B$9+10*(Presion_cilindro!$B$9-1)*Presion_cilindro!$B$33*(IF(Presion_cilindro!N168&gt;(-M$4+Presion_cilindro!$B$34),1-EXP(-Presion_cilindro!$B$16*((Presion_cilindro!N168-(-M$4+Presion_cilindro!$B$34))/Presion_cilindro!$B$35)^(Presion_cilindro!$B$17+1)),0)-IF(Presion_cilindro!N167&gt;(-M$4+Presion_cilindro!$B$34),1-EXP(-Presion_cilindro!$B$16*((Presion_cilindro!N167-(-M$4+Presion_cilindro!$B$34))/Presion_cilindro!$B$35)^(Presion_cilindro!$B$17+1)),0))/((Presion_cilindro!O167+Presion_cilindro!O168)/2)</f>
        <v>1.2096615058587266</v>
      </c>
      <c r="N176" s="27">
        <f>N175*(Presion_cilindro!O167/Presion_cilindro!O168)^Presion_cilindro!$B$9+10*(Presion_cilindro!$B$9-1)*Presion_cilindro!$B$33*(IF(Presion_cilindro!N168&gt;(-N$4+Presion_cilindro!$B$34),1-EXP(-Presion_cilindro!$B$16*((Presion_cilindro!N168-(-N$4+Presion_cilindro!$B$34))/Presion_cilindro!$B$35)^(Presion_cilindro!$B$17+1)),0)-IF(Presion_cilindro!N167&gt;(-N$4+Presion_cilindro!$B$34),1-EXP(-Presion_cilindro!$B$16*((Presion_cilindro!N167-(-N$4+Presion_cilindro!$B$34))/Presion_cilindro!$B$35)^(Presion_cilindro!$B$17+1)),0))/((Presion_cilindro!O167+Presion_cilindro!O168)/2)</f>
        <v>1.2096615058587266</v>
      </c>
    </row>
    <row r="177" spans="1:14" x14ac:dyDescent="0.25">
      <c r="A177" s="21">
        <f>Presion_cilindro!N169</f>
        <v>-97.5</v>
      </c>
      <c r="B177" s="27">
        <f>B176*(Presion_cilindro!O168/Presion_cilindro!O169)^Presion_cilindro!$B$9+10*(Presion_cilindro!$B$9-1)*Presion_cilindro!$B$33*(IF(Presion_cilindro!N169&gt;(-B$4+Presion_cilindro!$B$34),1-EXP(-Presion_cilindro!$B$16*((Presion_cilindro!N169-(-B$4+Presion_cilindro!$B$34))/Presion_cilindro!$B$35)^(Presion_cilindro!$B$17+1)),0)-IF(Presion_cilindro!N168&gt;(-B$4+Presion_cilindro!$B$34),1-EXP(-Presion_cilindro!$B$16*((Presion_cilindro!N168-(-B$4+Presion_cilindro!$B$34))/Presion_cilindro!$B$35)^(Presion_cilindro!$B$17+1)),0))/((Presion_cilindro!O168+Presion_cilindro!O169)/2)</f>
        <v>1.2185946395032814</v>
      </c>
      <c r="C177" s="27">
        <f>C176*(Presion_cilindro!O168/Presion_cilindro!O169)^Presion_cilindro!$B$9+10*(Presion_cilindro!$B$9-1)*Presion_cilindro!$B$33*(IF(Presion_cilindro!N169&gt;(-C$4+Presion_cilindro!$B$34),1-EXP(-Presion_cilindro!$B$16*((Presion_cilindro!N169-(-C$4+Presion_cilindro!$B$34))/Presion_cilindro!$B$35)^(Presion_cilindro!$B$17+1)),0)-IF(Presion_cilindro!N168&gt;(-C$4+Presion_cilindro!$B$34),1-EXP(-Presion_cilindro!$B$16*((Presion_cilindro!N168-(-C$4+Presion_cilindro!$B$34))/Presion_cilindro!$B$35)^(Presion_cilindro!$B$17+1)),0))/((Presion_cilindro!O168+Presion_cilindro!O169)/2)</f>
        <v>1.2185946395032814</v>
      </c>
      <c r="D177" s="27">
        <f>D176*(Presion_cilindro!O168/Presion_cilindro!O169)^Presion_cilindro!$B$9+10*(Presion_cilindro!$B$9-1)*Presion_cilindro!$B$33*(IF(Presion_cilindro!N169&gt;(-D$4+Presion_cilindro!$B$34),1-EXP(-Presion_cilindro!$B$16*((Presion_cilindro!N169-(-D$4+Presion_cilindro!$B$34))/Presion_cilindro!$B$35)^(Presion_cilindro!$B$17+1)),0)-IF(Presion_cilindro!N168&gt;(-D$4+Presion_cilindro!$B$34),1-EXP(-Presion_cilindro!$B$16*((Presion_cilindro!N168-(-D$4+Presion_cilindro!$B$34))/Presion_cilindro!$B$35)^(Presion_cilindro!$B$17+1)),0))/((Presion_cilindro!O168+Presion_cilindro!O169)/2)</f>
        <v>1.2185946395032814</v>
      </c>
      <c r="E177" s="27">
        <f>E176*(Presion_cilindro!O168/Presion_cilindro!O169)^Presion_cilindro!$B$9+10*(Presion_cilindro!$B$9-1)*Presion_cilindro!$B$33*(IF(Presion_cilindro!N169&gt;(-E$4+Presion_cilindro!$B$34),1-EXP(-Presion_cilindro!$B$16*((Presion_cilindro!N169-(-E$4+Presion_cilindro!$B$34))/Presion_cilindro!$B$35)^(Presion_cilindro!$B$17+1)),0)-IF(Presion_cilindro!N168&gt;(-E$4+Presion_cilindro!$B$34),1-EXP(-Presion_cilindro!$B$16*((Presion_cilindro!N168-(-E$4+Presion_cilindro!$B$34))/Presion_cilindro!$B$35)^(Presion_cilindro!$B$17+1)),0))/((Presion_cilindro!O168+Presion_cilindro!O169)/2)</f>
        <v>1.2185946395032814</v>
      </c>
      <c r="F177" s="27">
        <f>F176*(Presion_cilindro!O168/Presion_cilindro!O169)^Presion_cilindro!$B$9+10*(Presion_cilindro!$B$9-1)*Presion_cilindro!$B$33*(IF(Presion_cilindro!N169&gt;(-F$4+Presion_cilindro!$B$34),1-EXP(-Presion_cilindro!$B$16*((Presion_cilindro!N169-(-F$4+Presion_cilindro!$B$34))/Presion_cilindro!$B$35)^(Presion_cilindro!$B$17+1)),0)-IF(Presion_cilindro!N168&gt;(-F$4+Presion_cilindro!$B$34),1-EXP(-Presion_cilindro!$B$16*((Presion_cilindro!N168-(-F$4+Presion_cilindro!$B$34))/Presion_cilindro!$B$35)^(Presion_cilindro!$B$17+1)),0))/((Presion_cilindro!O168+Presion_cilindro!O169)/2)</f>
        <v>1.2185946395032814</v>
      </c>
      <c r="G177" s="27">
        <f>G176*(Presion_cilindro!O168/Presion_cilindro!O169)^Presion_cilindro!$B$9+10*(Presion_cilindro!$B$9-1)*Presion_cilindro!$B$33*(IF(Presion_cilindro!N169&gt;(-G$4+Presion_cilindro!$B$34),1-EXP(-Presion_cilindro!$B$16*((Presion_cilindro!N169-(-G$4+Presion_cilindro!$B$34))/Presion_cilindro!$B$35)^(Presion_cilindro!$B$17+1)),0)-IF(Presion_cilindro!N168&gt;(-G$4+Presion_cilindro!$B$34),1-EXP(-Presion_cilindro!$B$16*((Presion_cilindro!N168-(-G$4+Presion_cilindro!$B$34))/Presion_cilindro!$B$35)^(Presion_cilindro!$B$17+1)),0))/((Presion_cilindro!O168+Presion_cilindro!O169)/2)</f>
        <v>1.2185946395032814</v>
      </c>
      <c r="H177" s="27">
        <f>H176*(Presion_cilindro!O168/Presion_cilindro!O169)^Presion_cilindro!$B$9+10*(Presion_cilindro!$B$9-1)*Presion_cilindro!$B$33*(IF(Presion_cilindro!N169&gt;(-H$4+Presion_cilindro!$B$34),1-EXP(-Presion_cilindro!$B$16*((Presion_cilindro!N169-(-H$4+Presion_cilindro!$B$34))/Presion_cilindro!$B$35)^(Presion_cilindro!$B$17+1)),0)-IF(Presion_cilindro!N168&gt;(-H$4+Presion_cilindro!$B$34),1-EXP(-Presion_cilindro!$B$16*((Presion_cilindro!N168-(-H$4+Presion_cilindro!$B$34))/Presion_cilindro!$B$35)^(Presion_cilindro!$B$17+1)),0))/((Presion_cilindro!O168+Presion_cilindro!O169)/2)</f>
        <v>1.2185946395032814</v>
      </c>
      <c r="I177" s="27">
        <f>I176*(Presion_cilindro!O168/Presion_cilindro!O169)^Presion_cilindro!$B$9+10*(Presion_cilindro!$B$9-1)*Presion_cilindro!$B$33*(IF(Presion_cilindro!N169&gt;(-I$4+Presion_cilindro!$B$34),1-EXP(-Presion_cilindro!$B$16*((Presion_cilindro!N169-(-I$4+Presion_cilindro!$B$34))/Presion_cilindro!$B$35)^(Presion_cilindro!$B$17+1)),0)-IF(Presion_cilindro!N168&gt;(-I$4+Presion_cilindro!$B$34),1-EXP(-Presion_cilindro!$B$16*((Presion_cilindro!N168-(-I$4+Presion_cilindro!$B$34))/Presion_cilindro!$B$35)^(Presion_cilindro!$B$17+1)),0))/((Presion_cilindro!O168+Presion_cilindro!O169)/2)</f>
        <v>1.2185946395032814</v>
      </c>
      <c r="J177" s="27">
        <f>J176*(Presion_cilindro!O168/Presion_cilindro!O169)^Presion_cilindro!$B$9+10*(Presion_cilindro!$B$9-1)*Presion_cilindro!$B$33*(IF(Presion_cilindro!N169&gt;(-J$4+Presion_cilindro!$B$34),1-EXP(-Presion_cilindro!$B$16*((Presion_cilindro!N169-(-J$4+Presion_cilindro!$B$34))/Presion_cilindro!$B$35)^(Presion_cilindro!$B$17+1)),0)-IF(Presion_cilindro!N168&gt;(-J$4+Presion_cilindro!$B$34),1-EXP(-Presion_cilindro!$B$16*((Presion_cilindro!N168-(-J$4+Presion_cilindro!$B$34))/Presion_cilindro!$B$35)^(Presion_cilindro!$B$17+1)),0))/((Presion_cilindro!O168+Presion_cilindro!O169)/2)</f>
        <v>1.2185946395032814</v>
      </c>
      <c r="K177" s="27">
        <f>K176*(Presion_cilindro!O168/Presion_cilindro!O169)^Presion_cilindro!$B$9+10*(Presion_cilindro!$B$9-1)*Presion_cilindro!$B$33*(IF(Presion_cilindro!N169&gt;(-K$4+Presion_cilindro!$B$34),1-EXP(-Presion_cilindro!$B$16*((Presion_cilindro!N169-(-K$4+Presion_cilindro!$B$34))/Presion_cilindro!$B$35)^(Presion_cilindro!$B$17+1)),0)-IF(Presion_cilindro!N168&gt;(-K$4+Presion_cilindro!$B$34),1-EXP(-Presion_cilindro!$B$16*((Presion_cilindro!N168-(-K$4+Presion_cilindro!$B$34))/Presion_cilindro!$B$35)^(Presion_cilindro!$B$17+1)),0))/((Presion_cilindro!O168+Presion_cilindro!O169)/2)</f>
        <v>1.2185946395032814</v>
      </c>
      <c r="L177" s="27">
        <f>L176*(Presion_cilindro!O168/Presion_cilindro!O169)^Presion_cilindro!$B$9+10*(Presion_cilindro!$B$9-1)*Presion_cilindro!$B$33*(IF(Presion_cilindro!N169&gt;(-L$4+Presion_cilindro!$B$34),1-EXP(-Presion_cilindro!$B$16*((Presion_cilindro!N169-(-L$4+Presion_cilindro!$B$34))/Presion_cilindro!$B$35)^(Presion_cilindro!$B$17+1)),0)-IF(Presion_cilindro!N168&gt;(-L$4+Presion_cilindro!$B$34),1-EXP(-Presion_cilindro!$B$16*((Presion_cilindro!N168-(-L$4+Presion_cilindro!$B$34))/Presion_cilindro!$B$35)^(Presion_cilindro!$B$17+1)),0))/((Presion_cilindro!O168+Presion_cilindro!O169)/2)</f>
        <v>1.2185946395032814</v>
      </c>
      <c r="M177" s="27">
        <f>M176*(Presion_cilindro!O168/Presion_cilindro!O169)^Presion_cilindro!$B$9+10*(Presion_cilindro!$B$9-1)*Presion_cilindro!$B$33*(IF(Presion_cilindro!N169&gt;(-M$4+Presion_cilindro!$B$34),1-EXP(-Presion_cilindro!$B$16*((Presion_cilindro!N169-(-M$4+Presion_cilindro!$B$34))/Presion_cilindro!$B$35)^(Presion_cilindro!$B$17+1)),0)-IF(Presion_cilindro!N168&gt;(-M$4+Presion_cilindro!$B$34),1-EXP(-Presion_cilindro!$B$16*((Presion_cilindro!N168-(-M$4+Presion_cilindro!$B$34))/Presion_cilindro!$B$35)^(Presion_cilindro!$B$17+1)),0))/((Presion_cilindro!O168+Presion_cilindro!O169)/2)</f>
        <v>1.2185946395032814</v>
      </c>
      <c r="N177" s="27">
        <f>N176*(Presion_cilindro!O168/Presion_cilindro!O169)^Presion_cilindro!$B$9+10*(Presion_cilindro!$B$9-1)*Presion_cilindro!$B$33*(IF(Presion_cilindro!N169&gt;(-N$4+Presion_cilindro!$B$34),1-EXP(-Presion_cilindro!$B$16*((Presion_cilindro!N169-(-N$4+Presion_cilindro!$B$34))/Presion_cilindro!$B$35)^(Presion_cilindro!$B$17+1)),0)-IF(Presion_cilindro!N168&gt;(-N$4+Presion_cilindro!$B$34),1-EXP(-Presion_cilindro!$B$16*((Presion_cilindro!N168-(-N$4+Presion_cilindro!$B$34))/Presion_cilindro!$B$35)^(Presion_cilindro!$B$17+1)),0))/((Presion_cilindro!O168+Presion_cilindro!O169)/2)</f>
        <v>1.2185946395032814</v>
      </c>
    </row>
    <row r="178" spans="1:14" x14ac:dyDescent="0.25">
      <c r="A178" s="21">
        <f>Presion_cilindro!N170</f>
        <v>-97</v>
      </c>
      <c r="B178" s="27">
        <f>B177*(Presion_cilindro!O169/Presion_cilindro!O170)^Presion_cilindro!$B$9+10*(Presion_cilindro!$B$9-1)*Presion_cilindro!$B$33*(IF(Presion_cilindro!N170&gt;(-B$4+Presion_cilindro!$B$34),1-EXP(-Presion_cilindro!$B$16*((Presion_cilindro!N170-(-B$4+Presion_cilindro!$B$34))/Presion_cilindro!$B$35)^(Presion_cilindro!$B$17+1)),0)-IF(Presion_cilindro!N169&gt;(-B$4+Presion_cilindro!$B$34),1-EXP(-Presion_cilindro!$B$16*((Presion_cilindro!N169-(-B$4+Presion_cilindro!$B$34))/Presion_cilindro!$B$35)^(Presion_cilindro!$B$17+1)),0))/((Presion_cilindro!O169+Presion_cilindro!O170)/2)</f>
        <v>1.2276789106531729</v>
      </c>
      <c r="C178" s="27">
        <f>C177*(Presion_cilindro!O169/Presion_cilindro!O170)^Presion_cilindro!$B$9+10*(Presion_cilindro!$B$9-1)*Presion_cilindro!$B$33*(IF(Presion_cilindro!N170&gt;(-C$4+Presion_cilindro!$B$34),1-EXP(-Presion_cilindro!$B$16*((Presion_cilindro!N170-(-C$4+Presion_cilindro!$B$34))/Presion_cilindro!$B$35)^(Presion_cilindro!$B$17+1)),0)-IF(Presion_cilindro!N169&gt;(-C$4+Presion_cilindro!$B$34),1-EXP(-Presion_cilindro!$B$16*((Presion_cilindro!N169-(-C$4+Presion_cilindro!$B$34))/Presion_cilindro!$B$35)^(Presion_cilindro!$B$17+1)),0))/((Presion_cilindro!O169+Presion_cilindro!O170)/2)</f>
        <v>1.2276789106531729</v>
      </c>
      <c r="D178" s="27">
        <f>D177*(Presion_cilindro!O169/Presion_cilindro!O170)^Presion_cilindro!$B$9+10*(Presion_cilindro!$B$9-1)*Presion_cilindro!$B$33*(IF(Presion_cilindro!N170&gt;(-D$4+Presion_cilindro!$B$34),1-EXP(-Presion_cilindro!$B$16*((Presion_cilindro!N170-(-D$4+Presion_cilindro!$B$34))/Presion_cilindro!$B$35)^(Presion_cilindro!$B$17+1)),0)-IF(Presion_cilindro!N169&gt;(-D$4+Presion_cilindro!$B$34),1-EXP(-Presion_cilindro!$B$16*((Presion_cilindro!N169-(-D$4+Presion_cilindro!$B$34))/Presion_cilindro!$B$35)^(Presion_cilindro!$B$17+1)),0))/((Presion_cilindro!O169+Presion_cilindro!O170)/2)</f>
        <v>1.2276789106531729</v>
      </c>
      <c r="E178" s="27">
        <f>E177*(Presion_cilindro!O169/Presion_cilindro!O170)^Presion_cilindro!$B$9+10*(Presion_cilindro!$B$9-1)*Presion_cilindro!$B$33*(IF(Presion_cilindro!N170&gt;(-E$4+Presion_cilindro!$B$34),1-EXP(-Presion_cilindro!$B$16*((Presion_cilindro!N170-(-E$4+Presion_cilindro!$B$34))/Presion_cilindro!$B$35)^(Presion_cilindro!$B$17+1)),0)-IF(Presion_cilindro!N169&gt;(-E$4+Presion_cilindro!$B$34),1-EXP(-Presion_cilindro!$B$16*((Presion_cilindro!N169-(-E$4+Presion_cilindro!$B$34))/Presion_cilindro!$B$35)^(Presion_cilindro!$B$17+1)),0))/((Presion_cilindro!O169+Presion_cilindro!O170)/2)</f>
        <v>1.2276789106531729</v>
      </c>
      <c r="F178" s="27">
        <f>F177*(Presion_cilindro!O169/Presion_cilindro!O170)^Presion_cilindro!$B$9+10*(Presion_cilindro!$B$9-1)*Presion_cilindro!$B$33*(IF(Presion_cilindro!N170&gt;(-F$4+Presion_cilindro!$B$34),1-EXP(-Presion_cilindro!$B$16*((Presion_cilindro!N170-(-F$4+Presion_cilindro!$B$34))/Presion_cilindro!$B$35)^(Presion_cilindro!$B$17+1)),0)-IF(Presion_cilindro!N169&gt;(-F$4+Presion_cilindro!$B$34),1-EXP(-Presion_cilindro!$B$16*((Presion_cilindro!N169-(-F$4+Presion_cilindro!$B$34))/Presion_cilindro!$B$35)^(Presion_cilindro!$B$17+1)),0))/((Presion_cilindro!O169+Presion_cilindro!O170)/2)</f>
        <v>1.2276789106531729</v>
      </c>
      <c r="G178" s="27">
        <f>G177*(Presion_cilindro!O169/Presion_cilindro!O170)^Presion_cilindro!$B$9+10*(Presion_cilindro!$B$9-1)*Presion_cilindro!$B$33*(IF(Presion_cilindro!N170&gt;(-G$4+Presion_cilindro!$B$34),1-EXP(-Presion_cilindro!$B$16*((Presion_cilindro!N170-(-G$4+Presion_cilindro!$B$34))/Presion_cilindro!$B$35)^(Presion_cilindro!$B$17+1)),0)-IF(Presion_cilindro!N169&gt;(-G$4+Presion_cilindro!$B$34),1-EXP(-Presion_cilindro!$B$16*((Presion_cilindro!N169-(-G$4+Presion_cilindro!$B$34))/Presion_cilindro!$B$35)^(Presion_cilindro!$B$17+1)),0))/((Presion_cilindro!O169+Presion_cilindro!O170)/2)</f>
        <v>1.2276789106531729</v>
      </c>
      <c r="H178" s="27">
        <f>H177*(Presion_cilindro!O169/Presion_cilindro!O170)^Presion_cilindro!$B$9+10*(Presion_cilindro!$B$9-1)*Presion_cilindro!$B$33*(IF(Presion_cilindro!N170&gt;(-H$4+Presion_cilindro!$B$34),1-EXP(-Presion_cilindro!$B$16*((Presion_cilindro!N170-(-H$4+Presion_cilindro!$B$34))/Presion_cilindro!$B$35)^(Presion_cilindro!$B$17+1)),0)-IF(Presion_cilindro!N169&gt;(-H$4+Presion_cilindro!$B$34),1-EXP(-Presion_cilindro!$B$16*((Presion_cilindro!N169-(-H$4+Presion_cilindro!$B$34))/Presion_cilindro!$B$35)^(Presion_cilindro!$B$17+1)),0))/((Presion_cilindro!O169+Presion_cilindro!O170)/2)</f>
        <v>1.2276789106531729</v>
      </c>
      <c r="I178" s="27">
        <f>I177*(Presion_cilindro!O169/Presion_cilindro!O170)^Presion_cilindro!$B$9+10*(Presion_cilindro!$B$9-1)*Presion_cilindro!$B$33*(IF(Presion_cilindro!N170&gt;(-I$4+Presion_cilindro!$B$34),1-EXP(-Presion_cilindro!$B$16*((Presion_cilindro!N170-(-I$4+Presion_cilindro!$B$34))/Presion_cilindro!$B$35)^(Presion_cilindro!$B$17+1)),0)-IF(Presion_cilindro!N169&gt;(-I$4+Presion_cilindro!$B$34),1-EXP(-Presion_cilindro!$B$16*((Presion_cilindro!N169-(-I$4+Presion_cilindro!$B$34))/Presion_cilindro!$B$35)^(Presion_cilindro!$B$17+1)),0))/((Presion_cilindro!O169+Presion_cilindro!O170)/2)</f>
        <v>1.2276789106531729</v>
      </c>
      <c r="J178" s="27">
        <f>J177*(Presion_cilindro!O169/Presion_cilindro!O170)^Presion_cilindro!$B$9+10*(Presion_cilindro!$B$9-1)*Presion_cilindro!$B$33*(IF(Presion_cilindro!N170&gt;(-J$4+Presion_cilindro!$B$34),1-EXP(-Presion_cilindro!$B$16*((Presion_cilindro!N170-(-J$4+Presion_cilindro!$B$34))/Presion_cilindro!$B$35)^(Presion_cilindro!$B$17+1)),0)-IF(Presion_cilindro!N169&gt;(-J$4+Presion_cilindro!$B$34),1-EXP(-Presion_cilindro!$B$16*((Presion_cilindro!N169-(-J$4+Presion_cilindro!$B$34))/Presion_cilindro!$B$35)^(Presion_cilindro!$B$17+1)),0))/((Presion_cilindro!O169+Presion_cilindro!O170)/2)</f>
        <v>1.2276789106531729</v>
      </c>
      <c r="K178" s="27">
        <f>K177*(Presion_cilindro!O169/Presion_cilindro!O170)^Presion_cilindro!$B$9+10*(Presion_cilindro!$B$9-1)*Presion_cilindro!$B$33*(IF(Presion_cilindro!N170&gt;(-K$4+Presion_cilindro!$B$34),1-EXP(-Presion_cilindro!$B$16*((Presion_cilindro!N170-(-K$4+Presion_cilindro!$B$34))/Presion_cilindro!$B$35)^(Presion_cilindro!$B$17+1)),0)-IF(Presion_cilindro!N169&gt;(-K$4+Presion_cilindro!$B$34),1-EXP(-Presion_cilindro!$B$16*((Presion_cilindro!N169-(-K$4+Presion_cilindro!$B$34))/Presion_cilindro!$B$35)^(Presion_cilindro!$B$17+1)),0))/((Presion_cilindro!O169+Presion_cilindro!O170)/2)</f>
        <v>1.2276789106531729</v>
      </c>
      <c r="L178" s="27">
        <f>L177*(Presion_cilindro!O169/Presion_cilindro!O170)^Presion_cilindro!$B$9+10*(Presion_cilindro!$B$9-1)*Presion_cilindro!$B$33*(IF(Presion_cilindro!N170&gt;(-L$4+Presion_cilindro!$B$34),1-EXP(-Presion_cilindro!$B$16*((Presion_cilindro!N170-(-L$4+Presion_cilindro!$B$34))/Presion_cilindro!$B$35)^(Presion_cilindro!$B$17+1)),0)-IF(Presion_cilindro!N169&gt;(-L$4+Presion_cilindro!$B$34),1-EXP(-Presion_cilindro!$B$16*((Presion_cilindro!N169-(-L$4+Presion_cilindro!$B$34))/Presion_cilindro!$B$35)^(Presion_cilindro!$B$17+1)),0))/((Presion_cilindro!O169+Presion_cilindro!O170)/2)</f>
        <v>1.2276789106531729</v>
      </c>
      <c r="M178" s="27">
        <f>M177*(Presion_cilindro!O169/Presion_cilindro!O170)^Presion_cilindro!$B$9+10*(Presion_cilindro!$B$9-1)*Presion_cilindro!$B$33*(IF(Presion_cilindro!N170&gt;(-M$4+Presion_cilindro!$B$34),1-EXP(-Presion_cilindro!$B$16*((Presion_cilindro!N170-(-M$4+Presion_cilindro!$B$34))/Presion_cilindro!$B$35)^(Presion_cilindro!$B$17+1)),0)-IF(Presion_cilindro!N169&gt;(-M$4+Presion_cilindro!$B$34),1-EXP(-Presion_cilindro!$B$16*((Presion_cilindro!N169-(-M$4+Presion_cilindro!$B$34))/Presion_cilindro!$B$35)^(Presion_cilindro!$B$17+1)),0))/((Presion_cilindro!O169+Presion_cilindro!O170)/2)</f>
        <v>1.2276789106531729</v>
      </c>
      <c r="N178" s="27">
        <f>N177*(Presion_cilindro!O169/Presion_cilindro!O170)^Presion_cilindro!$B$9+10*(Presion_cilindro!$B$9-1)*Presion_cilindro!$B$33*(IF(Presion_cilindro!N170&gt;(-N$4+Presion_cilindro!$B$34),1-EXP(-Presion_cilindro!$B$16*((Presion_cilindro!N170-(-N$4+Presion_cilindro!$B$34))/Presion_cilindro!$B$35)^(Presion_cilindro!$B$17+1)),0)-IF(Presion_cilindro!N169&gt;(-N$4+Presion_cilindro!$B$34),1-EXP(-Presion_cilindro!$B$16*((Presion_cilindro!N169-(-N$4+Presion_cilindro!$B$34))/Presion_cilindro!$B$35)^(Presion_cilindro!$B$17+1)),0))/((Presion_cilindro!O169+Presion_cilindro!O170)/2)</f>
        <v>1.2276789106531729</v>
      </c>
    </row>
    <row r="179" spans="1:14" x14ac:dyDescent="0.25">
      <c r="A179" s="21">
        <f>Presion_cilindro!N171</f>
        <v>-96.5</v>
      </c>
      <c r="B179" s="27">
        <f>B178*(Presion_cilindro!O170/Presion_cilindro!O171)^Presion_cilindro!$B$9+10*(Presion_cilindro!$B$9-1)*Presion_cilindro!$B$33*(IF(Presion_cilindro!N171&gt;(-B$4+Presion_cilindro!$B$34),1-EXP(-Presion_cilindro!$B$16*((Presion_cilindro!N171-(-B$4+Presion_cilindro!$B$34))/Presion_cilindro!$B$35)^(Presion_cilindro!$B$17+1)),0)-IF(Presion_cilindro!N170&gt;(-B$4+Presion_cilindro!$B$34),1-EXP(-Presion_cilindro!$B$16*((Presion_cilindro!N170-(-B$4+Presion_cilindro!$B$34))/Presion_cilindro!$B$35)^(Presion_cilindro!$B$17+1)),0))/((Presion_cilindro!O170+Presion_cilindro!O171)/2)</f>
        <v>1.2369172562774802</v>
      </c>
      <c r="C179" s="27">
        <f>C178*(Presion_cilindro!O170/Presion_cilindro!O171)^Presion_cilindro!$B$9+10*(Presion_cilindro!$B$9-1)*Presion_cilindro!$B$33*(IF(Presion_cilindro!N171&gt;(-C$4+Presion_cilindro!$B$34),1-EXP(-Presion_cilindro!$B$16*((Presion_cilindro!N171-(-C$4+Presion_cilindro!$B$34))/Presion_cilindro!$B$35)^(Presion_cilindro!$B$17+1)),0)-IF(Presion_cilindro!N170&gt;(-C$4+Presion_cilindro!$B$34),1-EXP(-Presion_cilindro!$B$16*((Presion_cilindro!N170-(-C$4+Presion_cilindro!$B$34))/Presion_cilindro!$B$35)^(Presion_cilindro!$B$17+1)),0))/((Presion_cilindro!O170+Presion_cilindro!O171)/2)</f>
        <v>1.2369172562774802</v>
      </c>
      <c r="D179" s="27">
        <f>D178*(Presion_cilindro!O170/Presion_cilindro!O171)^Presion_cilindro!$B$9+10*(Presion_cilindro!$B$9-1)*Presion_cilindro!$B$33*(IF(Presion_cilindro!N171&gt;(-D$4+Presion_cilindro!$B$34),1-EXP(-Presion_cilindro!$B$16*((Presion_cilindro!N171-(-D$4+Presion_cilindro!$B$34))/Presion_cilindro!$B$35)^(Presion_cilindro!$B$17+1)),0)-IF(Presion_cilindro!N170&gt;(-D$4+Presion_cilindro!$B$34),1-EXP(-Presion_cilindro!$B$16*((Presion_cilindro!N170-(-D$4+Presion_cilindro!$B$34))/Presion_cilindro!$B$35)^(Presion_cilindro!$B$17+1)),0))/((Presion_cilindro!O170+Presion_cilindro!O171)/2)</f>
        <v>1.2369172562774802</v>
      </c>
      <c r="E179" s="27">
        <f>E178*(Presion_cilindro!O170/Presion_cilindro!O171)^Presion_cilindro!$B$9+10*(Presion_cilindro!$B$9-1)*Presion_cilindro!$B$33*(IF(Presion_cilindro!N171&gt;(-E$4+Presion_cilindro!$B$34),1-EXP(-Presion_cilindro!$B$16*((Presion_cilindro!N171-(-E$4+Presion_cilindro!$B$34))/Presion_cilindro!$B$35)^(Presion_cilindro!$B$17+1)),0)-IF(Presion_cilindro!N170&gt;(-E$4+Presion_cilindro!$B$34),1-EXP(-Presion_cilindro!$B$16*((Presion_cilindro!N170-(-E$4+Presion_cilindro!$B$34))/Presion_cilindro!$B$35)^(Presion_cilindro!$B$17+1)),0))/((Presion_cilindro!O170+Presion_cilindro!O171)/2)</f>
        <v>1.2369172562774802</v>
      </c>
      <c r="F179" s="27">
        <f>F178*(Presion_cilindro!O170/Presion_cilindro!O171)^Presion_cilindro!$B$9+10*(Presion_cilindro!$B$9-1)*Presion_cilindro!$B$33*(IF(Presion_cilindro!N171&gt;(-F$4+Presion_cilindro!$B$34),1-EXP(-Presion_cilindro!$B$16*((Presion_cilindro!N171-(-F$4+Presion_cilindro!$B$34))/Presion_cilindro!$B$35)^(Presion_cilindro!$B$17+1)),0)-IF(Presion_cilindro!N170&gt;(-F$4+Presion_cilindro!$B$34),1-EXP(-Presion_cilindro!$B$16*((Presion_cilindro!N170-(-F$4+Presion_cilindro!$B$34))/Presion_cilindro!$B$35)^(Presion_cilindro!$B$17+1)),0))/((Presion_cilindro!O170+Presion_cilindro!O171)/2)</f>
        <v>1.2369172562774802</v>
      </c>
      <c r="G179" s="27">
        <f>G178*(Presion_cilindro!O170/Presion_cilindro!O171)^Presion_cilindro!$B$9+10*(Presion_cilindro!$B$9-1)*Presion_cilindro!$B$33*(IF(Presion_cilindro!N171&gt;(-G$4+Presion_cilindro!$B$34),1-EXP(-Presion_cilindro!$B$16*((Presion_cilindro!N171-(-G$4+Presion_cilindro!$B$34))/Presion_cilindro!$B$35)^(Presion_cilindro!$B$17+1)),0)-IF(Presion_cilindro!N170&gt;(-G$4+Presion_cilindro!$B$34),1-EXP(-Presion_cilindro!$B$16*((Presion_cilindro!N170-(-G$4+Presion_cilindro!$B$34))/Presion_cilindro!$B$35)^(Presion_cilindro!$B$17+1)),0))/((Presion_cilindro!O170+Presion_cilindro!O171)/2)</f>
        <v>1.2369172562774802</v>
      </c>
      <c r="H179" s="27">
        <f>H178*(Presion_cilindro!O170/Presion_cilindro!O171)^Presion_cilindro!$B$9+10*(Presion_cilindro!$B$9-1)*Presion_cilindro!$B$33*(IF(Presion_cilindro!N171&gt;(-H$4+Presion_cilindro!$B$34),1-EXP(-Presion_cilindro!$B$16*((Presion_cilindro!N171-(-H$4+Presion_cilindro!$B$34))/Presion_cilindro!$B$35)^(Presion_cilindro!$B$17+1)),0)-IF(Presion_cilindro!N170&gt;(-H$4+Presion_cilindro!$B$34),1-EXP(-Presion_cilindro!$B$16*((Presion_cilindro!N170-(-H$4+Presion_cilindro!$B$34))/Presion_cilindro!$B$35)^(Presion_cilindro!$B$17+1)),0))/((Presion_cilindro!O170+Presion_cilindro!O171)/2)</f>
        <v>1.2369172562774802</v>
      </c>
      <c r="I179" s="27">
        <f>I178*(Presion_cilindro!O170/Presion_cilindro!O171)^Presion_cilindro!$B$9+10*(Presion_cilindro!$B$9-1)*Presion_cilindro!$B$33*(IF(Presion_cilindro!N171&gt;(-I$4+Presion_cilindro!$B$34),1-EXP(-Presion_cilindro!$B$16*((Presion_cilindro!N171-(-I$4+Presion_cilindro!$B$34))/Presion_cilindro!$B$35)^(Presion_cilindro!$B$17+1)),0)-IF(Presion_cilindro!N170&gt;(-I$4+Presion_cilindro!$B$34),1-EXP(-Presion_cilindro!$B$16*((Presion_cilindro!N170-(-I$4+Presion_cilindro!$B$34))/Presion_cilindro!$B$35)^(Presion_cilindro!$B$17+1)),0))/((Presion_cilindro!O170+Presion_cilindro!O171)/2)</f>
        <v>1.2369172562774802</v>
      </c>
      <c r="J179" s="27">
        <f>J178*(Presion_cilindro!O170/Presion_cilindro!O171)^Presion_cilindro!$B$9+10*(Presion_cilindro!$B$9-1)*Presion_cilindro!$B$33*(IF(Presion_cilindro!N171&gt;(-J$4+Presion_cilindro!$B$34),1-EXP(-Presion_cilindro!$B$16*((Presion_cilindro!N171-(-J$4+Presion_cilindro!$B$34))/Presion_cilindro!$B$35)^(Presion_cilindro!$B$17+1)),0)-IF(Presion_cilindro!N170&gt;(-J$4+Presion_cilindro!$B$34),1-EXP(-Presion_cilindro!$B$16*((Presion_cilindro!N170-(-J$4+Presion_cilindro!$B$34))/Presion_cilindro!$B$35)^(Presion_cilindro!$B$17+1)),0))/((Presion_cilindro!O170+Presion_cilindro!O171)/2)</f>
        <v>1.2369172562774802</v>
      </c>
      <c r="K179" s="27">
        <f>K178*(Presion_cilindro!O170/Presion_cilindro!O171)^Presion_cilindro!$B$9+10*(Presion_cilindro!$B$9-1)*Presion_cilindro!$B$33*(IF(Presion_cilindro!N171&gt;(-K$4+Presion_cilindro!$B$34),1-EXP(-Presion_cilindro!$B$16*((Presion_cilindro!N171-(-K$4+Presion_cilindro!$B$34))/Presion_cilindro!$B$35)^(Presion_cilindro!$B$17+1)),0)-IF(Presion_cilindro!N170&gt;(-K$4+Presion_cilindro!$B$34),1-EXP(-Presion_cilindro!$B$16*((Presion_cilindro!N170-(-K$4+Presion_cilindro!$B$34))/Presion_cilindro!$B$35)^(Presion_cilindro!$B$17+1)),0))/((Presion_cilindro!O170+Presion_cilindro!O171)/2)</f>
        <v>1.2369172562774802</v>
      </c>
      <c r="L179" s="27">
        <f>L178*(Presion_cilindro!O170/Presion_cilindro!O171)^Presion_cilindro!$B$9+10*(Presion_cilindro!$B$9-1)*Presion_cilindro!$B$33*(IF(Presion_cilindro!N171&gt;(-L$4+Presion_cilindro!$B$34),1-EXP(-Presion_cilindro!$B$16*((Presion_cilindro!N171-(-L$4+Presion_cilindro!$B$34))/Presion_cilindro!$B$35)^(Presion_cilindro!$B$17+1)),0)-IF(Presion_cilindro!N170&gt;(-L$4+Presion_cilindro!$B$34),1-EXP(-Presion_cilindro!$B$16*((Presion_cilindro!N170-(-L$4+Presion_cilindro!$B$34))/Presion_cilindro!$B$35)^(Presion_cilindro!$B$17+1)),0))/((Presion_cilindro!O170+Presion_cilindro!O171)/2)</f>
        <v>1.2369172562774802</v>
      </c>
      <c r="M179" s="27">
        <f>M178*(Presion_cilindro!O170/Presion_cilindro!O171)^Presion_cilindro!$B$9+10*(Presion_cilindro!$B$9-1)*Presion_cilindro!$B$33*(IF(Presion_cilindro!N171&gt;(-M$4+Presion_cilindro!$B$34),1-EXP(-Presion_cilindro!$B$16*((Presion_cilindro!N171-(-M$4+Presion_cilindro!$B$34))/Presion_cilindro!$B$35)^(Presion_cilindro!$B$17+1)),0)-IF(Presion_cilindro!N170&gt;(-M$4+Presion_cilindro!$B$34),1-EXP(-Presion_cilindro!$B$16*((Presion_cilindro!N170-(-M$4+Presion_cilindro!$B$34))/Presion_cilindro!$B$35)^(Presion_cilindro!$B$17+1)),0))/((Presion_cilindro!O170+Presion_cilindro!O171)/2)</f>
        <v>1.2369172562774802</v>
      </c>
      <c r="N179" s="27">
        <f>N178*(Presion_cilindro!O170/Presion_cilindro!O171)^Presion_cilindro!$B$9+10*(Presion_cilindro!$B$9-1)*Presion_cilindro!$B$33*(IF(Presion_cilindro!N171&gt;(-N$4+Presion_cilindro!$B$34),1-EXP(-Presion_cilindro!$B$16*((Presion_cilindro!N171-(-N$4+Presion_cilindro!$B$34))/Presion_cilindro!$B$35)^(Presion_cilindro!$B$17+1)),0)-IF(Presion_cilindro!N170&gt;(-N$4+Presion_cilindro!$B$34),1-EXP(-Presion_cilindro!$B$16*((Presion_cilindro!N170-(-N$4+Presion_cilindro!$B$34))/Presion_cilindro!$B$35)^(Presion_cilindro!$B$17+1)),0))/((Presion_cilindro!O170+Presion_cilindro!O171)/2)</f>
        <v>1.2369172562774802</v>
      </c>
    </row>
    <row r="180" spans="1:14" x14ac:dyDescent="0.25">
      <c r="A180" s="21">
        <f>Presion_cilindro!N172</f>
        <v>-96</v>
      </c>
      <c r="B180" s="27">
        <f>B179*(Presion_cilindro!O171/Presion_cilindro!O172)^Presion_cilindro!$B$9+10*(Presion_cilindro!$B$9-1)*Presion_cilindro!$B$33*(IF(Presion_cilindro!N172&gt;(-B$4+Presion_cilindro!$B$34),1-EXP(-Presion_cilindro!$B$16*((Presion_cilindro!N172-(-B$4+Presion_cilindro!$B$34))/Presion_cilindro!$B$35)^(Presion_cilindro!$B$17+1)),0)-IF(Presion_cilindro!N171&gt;(-B$4+Presion_cilindro!$B$34),1-EXP(-Presion_cilindro!$B$16*((Presion_cilindro!N171-(-B$4+Presion_cilindro!$B$34))/Presion_cilindro!$B$35)^(Presion_cilindro!$B$17+1)),0))/((Presion_cilindro!O171+Presion_cilindro!O172)/2)</f>
        <v>1.2463126824623711</v>
      </c>
      <c r="C180" s="27">
        <f>C179*(Presion_cilindro!O171/Presion_cilindro!O172)^Presion_cilindro!$B$9+10*(Presion_cilindro!$B$9-1)*Presion_cilindro!$B$33*(IF(Presion_cilindro!N172&gt;(-C$4+Presion_cilindro!$B$34),1-EXP(-Presion_cilindro!$B$16*((Presion_cilindro!N172-(-C$4+Presion_cilindro!$B$34))/Presion_cilindro!$B$35)^(Presion_cilindro!$B$17+1)),0)-IF(Presion_cilindro!N171&gt;(-C$4+Presion_cilindro!$B$34),1-EXP(-Presion_cilindro!$B$16*((Presion_cilindro!N171-(-C$4+Presion_cilindro!$B$34))/Presion_cilindro!$B$35)^(Presion_cilindro!$B$17+1)),0))/((Presion_cilindro!O171+Presion_cilindro!O172)/2)</f>
        <v>1.2463126824623711</v>
      </c>
      <c r="D180" s="27">
        <f>D179*(Presion_cilindro!O171/Presion_cilindro!O172)^Presion_cilindro!$B$9+10*(Presion_cilindro!$B$9-1)*Presion_cilindro!$B$33*(IF(Presion_cilindro!N172&gt;(-D$4+Presion_cilindro!$B$34),1-EXP(-Presion_cilindro!$B$16*((Presion_cilindro!N172-(-D$4+Presion_cilindro!$B$34))/Presion_cilindro!$B$35)^(Presion_cilindro!$B$17+1)),0)-IF(Presion_cilindro!N171&gt;(-D$4+Presion_cilindro!$B$34),1-EXP(-Presion_cilindro!$B$16*((Presion_cilindro!N171-(-D$4+Presion_cilindro!$B$34))/Presion_cilindro!$B$35)^(Presion_cilindro!$B$17+1)),0))/((Presion_cilindro!O171+Presion_cilindro!O172)/2)</f>
        <v>1.2463126824623711</v>
      </c>
      <c r="E180" s="27">
        <f>E179*(Presion_cilindro!O171/Presion_cilindro!O172)^Presion_cilindro!$B$9+10*(Presion_cilindro!$B$9-1)*Presion_cilindro!$B$33*(IF(Presion_cilindro!N172&gt;(-E$4+Presion_cilindro!$B$34),1-EXP(-Presion_cilindro!$B$16*((Presion_cilindro!N172-(-E$4+Presion_cilindro!$B$34))/Presion_cilindro!$B$35)^(Presion_cilindro!$B$17+1)),0)-IF(Presion_cilindro!N171&gt;(-E$4+Presion_cilindro!$B$34),1-EXP(-Presion_cilindro!$B$16*((Presion_cilindro!N171-(-E$4+Presion_cilindro!$B$34))/Presion_cilindro!$B$35)^(Presion_cilindro!$B$17+1)),0))/((Presion_cilindro!O171+Presion_cilindro!O172)/2)</f>
        <v>1.2463126824623711</v>
      </c>
      <c r="F180" s="27">
        <f>F179*(Presion_cilindro!O171/Presion_cilindro!O172)^Presion_cilindro!$B$9+10*(Presion_cilindro!$B$9-1)*Presion_cilindro!$B$33*(IF(Presion_cilindro!N172&gt;(-F$4+Presion_cilindro!$B$34),1-EXP(-Presion_cilindro!$B$16*((Presion_cilindro!N172-(-F$4+Presion_cilindro!$B$34))/Presion_cilindro!$B$35)^(Presion_cilindro!$B$17+1)),0)-IF(Presion_cilindro!N171&gt;(-F$4+Presion_cilindro!$B$34),1-EXP(-Presion_cilindro!$B$16*((Presion_cilindro!N171-(-F$4+Presion_cilindro!$B$34))/Presion_cilindro!$B$35)^(Presion_cilindro!$B$17+1)),0))/((Presion_cilindro!O171+Presion_cilindro!O172)/2)</f>
        <v>1.2463126824623711</v>
      </c>
      <c r="G180" s="27">
        <f>G179*(Presion_cilindro!O171/Presion_cilindro!O172)^Presion_cilindro!$B$9+10*(Presion_cilindro!$B$9-1)*Presion_cilindro!$B$33*(IF(Presion_cilindro!N172&gt;(-G$4+Presion_cilindro!$B$34),1-EXP(-Presion_cilindro!$B$16*((Presion_cilindro!N172-(-G$4+Presion_cilindro!$B$34))/Presion_cilindro!$B$35)^(Presion_cilindro!$B$17+1)),0)-IF(Presion_cilindro!N171&gt;(-G$4+Presion_cilindro!$B$34),1-EXP(-Presion_cilindro!$B$16*((Presion_cilindro!N171-(-G$4+Presion_cilindro!$B$34))/Presion_cilindro!$B$35)^(Presion_cilindro!$B$17+1)),0))/((Presion_cilindro!O171+Presion_cilindro!O172)/2)</f>
        <v>1.2463126824623711</v>
      </c>
      <c r="H180" s="27">
        <f>H179*(Presion_cilindro!O171/Presion_cilindro!O172)^Presion_cilindro!$B$9+10*(Presion_cilindro!$B$9-1)*Presion_cilindro!$B$33*(IF(Presion_cilindro!N172&gt;(-H$4+Presion_cilindro!$B$34),1-EXP(-Presion_cilindro!$B$16*((Presion_cilindro!N172-(-H$4+Presion_cilindro!$B$34))/Presion_cilindro!$B$35)^(Presion_cilindro!$B$17+1)),0)-IF(Presion_cilindro!N171&gt;(-H$4+Presion_cilindro!$B$34),1-EXP(-Presion_cilindro!$B$16*((Presion_cilindro!N171-(-H$4+Presion_cilindro!$B$34))/Presion_cilindro!$B$35)^(Presion_cilindro!$B$17+1)),0))/((Presion_cilindro!O171+Presion_cilindro!O172)/2)</f>
        <v>1.2463126824623711</v>
      </c>
      <c r="I180" s="27">
        <f>I179*(Presion_cilindro!O171/Presion_cilindro!O172)^Presion_cilindro!$B$9+10*(Presion_cilindro!$B$9-1)*Presion_cilindro!$B$33*(IF(Presion_cilindro!N172&gt;(-I$4+Presion_cilindro!$B$34),1-EXP(-Presion_cilindro!$B$16*((Presion_cilindro!N172-(-I$4+Presion_cilindro!$B$34))/Presion_cilindro!$B$35)^(Presion_cilindro!$B$17+1)),0)-IF(Presion_cilindro!N171&gt;(-I$4+Presion_cilindro!$B$34),1-EXP(-Presion_cilindro!$B$16*((Presion_cilindro!N171-(-I$4+Presion_cilindro!$B$34))/Presion_cilindro!$B$35)^(Presion_cilindro!$B$17+1)),0))/((Presion_cilindro!O171+Presion_cilindro!O172)/2)</f>
        <v>1.2463126824623711</v>
      </c>
      <c r="J180" s="27">
        <f>J179*(Presion_cilindro!O171/Presion_cilindro!O172)^Presion_cilindro!$B$9+10*(Presion_cilindro!$B$9-1)*Presion_cilindro!$B$33*(IF(Presion_cilindro!N172&gt;(-J$4+Presion_cilindro!$B$34),1-EXP(-Presion_cilindro!$B$16*((Presion_cilindro!N172-(-J$4+Presion_cilindro!$B$34))/Presion_cilindro!$B$35)^(Presion_cilindro!$B$17+1)),0)-IF(Presion_cilindro!N171&gt;(-J$4+Presion_cilindro!$B$34),1-EXP(-Presion_cilindro!$B$16*((Presion_cilindro!N171-(-J$4+Presion_cilindro!$B$34))/Presion_cilindro!$B$35)^(Presion_cilindro!$B$17+1)),0))/((Presion_cilindro!O171+Presion_cilindro!O172)/2)</f>
        <v>1.2463126824623711</v>
      </c>
      <c r="K180" s="27">
        <f>K179*(Presion_cilindro!O171/Presion_cilindro!O172)^Presion_cilindro!$B$9+10*(Presion_cilindro!$B$9-1)*Presion_cilindro!$B$33*(IF(Presion_cilindro!N172&gt;(-K$4+Presion_cilindro!$B$34),1-EXP(-Presion_cilindro!$B$16*((Presion_cilindro!N172-(-K$4+Presion_cilindro!$B$34))/Presion_cilindro!$B$35)^(Presion_cilindro!$B$17+1)),0)-IF(Presion_cilindro!N171&gt;(-K$4+Presion_cilindro!$B$34),1-EXP(-Presion_cilindro!$B$16*((Presion_cilindro!N171-(-K$4+Presion_cilindro!$B$34))/Presion_cilindro!$B$35)^(Presion_cilindro!$B$17+1)),0))/((Presion_cilindro!O171+Presion_cilindro!O172)/2)</f>
        <v>1.2463126824623711</v>
      </c>
      <c r="L180" s="27">
        <f>L179*(Presion_cilindro!O171/Presion_cilindro!O172)^Presion_cilindro!$B$9+10*(Presion_cilindro!$B$9-1)*Presion_cilindro!$B$33*(IF(Presion_cilindro!N172&gt;(-L$4+Presion_cilindro!$B$34),1-EXP(-Presion_cilindro!$B$16*((Presion_cilindro!N172-(-L$4+Presion_cilindro!$B$34))/Presion_cilindro!$B$35)^(Presion_cilindro!$B$17+1)),0)-IF(Presion_cilindro!N171&gt;(-L$4+Presion_cilindro!$B$34),1-EXP(-Presion_cilindro!$B$16*((Presion_cilindro!N171-(-L$4+Presion_cilindro!$B$34))/Presion_cilindro!$B$35)^(Presion_cilindro!$B$17+1)),0))/((Presion_cilindro!O171+Presion_cilindro!O172)/2)</f>
        <v>1.2463126824623711</v>
      </c>
      <c r="M180" s="27">
        <f>M179*(Presion_cilindro!O171/Presion_cilindro!O172)^Presion_cilindro!$B$9+10*(Presion_cilindro!$B$9-1)*Presion_cilindro!$B$33*(IF(Presion_cilindro!N172&gt;(-M$4+Presion_cilindro!$B$34),1-EXP(-Presion_cilindro!$B$16*((Presion_cilindro!N172-(-M$4+Presion_cilindro!$B$34))/Presion_cilindro!$B$35)^(Presion_cilindro!$B$17+1)),0)-IF(Presion_cilindro!N171&gt;(-M$4+Presion_cilindro!$B$34),1-EXP(-Presion_cilindro!$B$16*((Presion_cilindro!N171-(-M$4+Presion_cilindro!$B$34))/Presion_cilindro!$B$35)^(Presion_cilindro!$B$17+1)),0))/((Presion_cilindro!O171+Presion_cilindro!O172)/2)</f>
        <v>1.2463126824623711</v>
      </c>
      <c r="N180" s="27">
        <f>N179*(Presion_cilindro!O171/Presion_cilindro!O172)^Presion_cilindro!$B$9+10*(Presion_cilindro!$B$9-1)*Presion_cilindro!$B$33*(IF(Presion_cilindro!N172&gt;(-N$4+Presion_cilindro!$B$34),1-EXP(-Presion_cilindro!$B$16*((Presion_cilindro!N172-(-N$4+Presion_cilindro!$B$34))/Presion_cilindro!$B$35)^(Presion_cilindro!$B$17+1)),0)-IF(Presion_cilindro!N171&gt;(-N$4+Presion_cilindro!$B$34),1-EXP(-Presion_cilindro!$B$16*((Presion_cilindro!N171-(-N$4+Presion_cilindro!$B$34))/Presion_cilindro!$B$35)^(Presion_cilindro!$B$17+1)),0))/((Presion_cilindro!O171+Presion_cilindro!O172)/2)</f>
        <v>1.2463126824623711</v>
      </c>
    </row>
    <row r="181" spans="1:14" x14ac:dyDescent="0.25">
      <c r="A181" s="21">
        <f>Presion_cilindro!N173</f>
        <v>-95.5</v>
      </c>
      <c r="B181" s="27">
        <f>B180*(Presion_cilindro!O172/Presion_cilindro!O173)^Presion_cilindro!$B$9+10*(Presion_cilindro!$B$9-1)*Presion_cilindro!$B$33*(IF(Presion_cilindro!N173&gt;(-B$4+Presion_cilindro!$B$34),1-EXP(-Presion_cilindro!$B$16*((Presion_cilindro!N173-(-B$4+Presion_cilindro!$B$34))/Presion_cilindro!$B$35)^(Presion_cilindro!$B$17+1)),0)-IF(Presion_cilindro!N172&gt;(-B$4+Presion_cilindro!$B$34),1-EXP(-Presion_cilindro!$B$16*((Presion_cilindro!N172-(-B$4+Presion_cilindro!$B$34))/Presion_cilindro!$B$35)^(Presion_cilindro!$B$17+1)),0))/((Presion_cilindro!O172+Presion_cilindro!O173)/2)</f>
        <v>1.2558682662267955</v>
      </c>
      <c r="C181" s="27">
        <f>C180*(Presion_cilindro!O172/Presion_cilindro!O173)^Presion_cilindro!$B$9+10*(Presion_cilindro!$B$9-1)*Presion_cilindro!$B$33*(IF(Presion_cilindro!N173&gt;(-C$4+Presion_cilindro!$B$34),1-EXP(-Presion_cilindro!$B$16*((Presion_cilindro!N173-(-C$4+Presion_cilindro!$B$34))/Presion_cilindro!$B$35)^(Presion_cilindro!$B$17+1)),0)-IF(Presion_cilindro!N172&gt;(-C$4+Presion_cilindro!$B$34),1-EXP(-Presion_cilindro!$B$16*((Presion_cilindro!N172-(-C$4+Presion_cilindro!$B$34))/Presion_cilindro!$B$35)^(Presion_cilindro!$B$17+1)),0))/((Presion_cilindro!O172+Presion_cilindro!O173)/2)</f>
        <v>1.2558682662267955</v>
      </c>
      <c r="D181" s="27">
        <f>D180*(Presion_cilindro!O172/Presion_cilindro!O173)^Presion_cilindro!$B$9+10*(Presion_cilindro!$B$9-1)*Presion_cilindro!$B$33*(IF(Presion_cilindro!N173&gt;(-D$4+Presion_cilindro!$B$34),1-EXP(-Presion_cilindro!$B$16*((Presion_cilindro!N173-(-D$4+Presion_cilindro!$B$34))/Presion_cilindro!$B$35)^(Presion_cilindro!$B$17+1)),0)-IF(Presion_cilindro!N172&gt;(-D$4+Presion_cilindro!$B$34),1-EXP(-Presion_cilindro!$B$16*((Presion_cilindro!N172-(-D$4+Presion_cilindro!$B$34))/Presion_cilindro!$B$35)^(Presion_cilindro!$B$17+1)),0))/((Presion_cilindro!O172+Presion_cilindro!O173)/2)</f>
        <v>1.2558682662267955</v>
      </c>
      <c r="E181" s="27">
        <f>E180*(Presion_cilindro!O172/Presion_cilindro!O173)^Presion_cilindro!$B$9+10*(Presion_cilindro!$B$9-1)*Presion_cilindro!$B$33*(IF(Presion_cilindro!N173&gt;(-E$4+Presion_cilindro!$B$34),1-EXP(-Presion_cilindro!$B$16*((Presion_cilindro!N173-(-E$4+Presion_cilindro!$B$34))/Presion_cilindro!$B$35)^(Presion_cilindro!$B$17+1)),0)-IF(Presion_cilindro!N172&gt;(-E$4+Presion_cilindro!$B$34),1-EXP(-Presion_cilindro!$B$16*((Presion_cilindro!N172-(-E$4+Presion_cilindro!$B$34))/Presion_cilindro!$B$35)^(Presion_cilindro!$B$17+1)),0))/((Presion_cilindro!O172+Presion_cilindro!O173)/2)</f>
        <v>1.2558682662267955</v>
      </c>
      <c r="F181" s="27">
        <f>F180*(Presion_cilindro!O172/Presion_cilindro!O173)^Presion_cilindro!$B$9+10*(Presion_cilindro!$B$9-1)*Presion_cilindro!$B$33*(IF(Presion_cilindro!N173&gt;(-F$4+Presion_cilindro!$B$34),1-EXP(-Presion_cilindro!$B$16*((Presion_cilindro!N173-(-F$4+Presion_cilindro!$B$34))/Presion_cilindro!$B$35)^(Presion_cilindro!$B$17+1)),0)-IF(Presion_cilindro!N172&gt;(-F$4+Presion_cilindro!$B$34),1-EXP(-Presion_cilindro!$B$16*((Presion_cilindro!N172-(-F$4+Presion_cilindro!$B$34))/Presion_cilindro!$B$35)^(Presion_cilindro!$B$17+1)),0))/((Presion_cilindro!O172+Presion_cilindro!O173)/2)</f>
        <v>1.2558682662267955</v>
      </c>
      <c r="G181" s="27">
        <f>G180*(Presion_cilindro!O172/Presion_cilindro!O173)^Presion_cilindro!$B$9+10*(Presion_cilindro!$B$9-1)*Presion_cilindro!$B$33*(IF(Presion_cilindro!N173&gt;(-G$4+Presion_cilindro!$B$34),1-EXP(-Presion_cilindro!$B$16*((Presion_cilindro!N173-(-G$4+Presion_cilindro!$B$34))/Presion_cilindro!$B$35)^(Presion_cilindro!$B$17+1)),0)-IF(Presion_cilindro!N172&gt;(-G$4+Presion_cilindro!$B$34),1-EXP(-Presion_cilindro!$B$16*((Presion_cilindro!N172-(-G$4+Presion_cilindro!$B$34))/Presion_cilindro!$B$35)^(Presion_cilindro!$B$17+1)),0))/((Presion_cilindro!O172+Presion_cilindro!O173)/2)</f>
        <v>1.2558682662267955</v>
      </c>
      <c r="H181" s="27">
        <f>H180*(Presion_cilindro!O172/Presion_cilindro!O173)^Presion_cilindro!$B$9+10*(Presion_cilindro!$B$9-1)*Presion_cilindro!$B$33*(IF(Presion_cilindro!N173&gt;(-H$4+Presion_cilindro!$B$34),1-EXP(-Presion_cilindro!$B$16*((Presion_cilindro!N173-(-H$4+Presion_cilindro!$B$34))/Presion_cilindro!$B$35)^(Presion_cilindro!$B$17+1)),0)-IF(Presion_cilindro!N172&gt;(-H$4+Presion_cilindro!$B$34),1-EXP(-Presion_cilindro!$B$16*((Presion_cilindro!N172-(-H$4+Presion_cilindro!$B$34))/Presion_cilindro!$B$35)^(Presion_cilindro!$B$17+1)),0))/((Presion_cilindro!O172+Presion_cilindro!O173)/2)</f>
        <v>1.2558682662267955</v>
      </c>
      <c r="I181" s="27">
        <f>I180*(Presion_cilindro!O172/Presion_cilindro!O173)^Presion_cilindro!$B$9+10*(Presion_cilindro!$B$9-1)*Presion_cilindro!$B$33*(IF(Presion_cilindro!N173&gt;(-I$4+Presion_cilindro!$B$34),1-EXP(-Presion_cilindro!$B$16*((Presion_cilindro!N173-(-I$4+Presion_cilindro!$B$34))/Presion_cilindro!$B$35)^(Presion_cilindro!$B$17+1)),0)-IF(Presion_cilindro!N172&gt;(-I$4+Presion_cilindro!$B$34),1-EXP(-Presion_cilindro!$B$16*((Presion_cilindro!N172-(-I$4+Presion_cilindro!$B$34))/Presion_cilindro!$B$35)^(Presion_cilindro!$B$17+1)),0))/((Presion_cilindro!O172+Presion_cilindro!O173)/2)</f>
        <v>1.2558682662267955</v>
      </c>
      <c r="J181" s="27">
        <f>J180*(Presion_cilindro!O172/Presion_cilindro!O173)^Presion_cilindro!$B$9+10*(Presion_cilindro!$B$9-1)*Presion_cilindro!$B$33*(IF(Presion_cilindro!N173&gt;(-J$4+Presion_cilindro!$B$34),1-EXP(-Presion_cilindro!$B$16*((Presion_cilindro!N173-(-J$4+Presion_cilindro!$B$34))/Presion_cilindro!$B$35)^(Presion_cilindro!$B$17+1)),0)-IF(Presion_cilindro!N172&gt;(-J$4+Presion_cilindro!$B$34),1-EXP(-Presion_cilindro!$B$16*((Presion_cilindro!N172-(-J$4+Presion_cilindro!$B$34))/Presion_cilindro!$B$35)^(Presion_cilindro!$B$17+1)),0))/((Presion_cilindro!O172+Presion_cilindro!O173)/2)</f>
        <v>1.2558682662267955</v>
      </c>
      <c r="K181" s="27">
        <f>K180*(Presion_cilindro!O172/Presion_cilindro!O173)^Presion_cilindro!$B$9+10*(Presion_cilindro!$B$9-1)*Presion_cilindro!$B$33*(IF(Presion_cilindro!N173&gt;(-K$4+Presion_cilindro!$B$34),1-EXP(-Presion_cilindro!$B$16*((Presion_cilindro!N173-(-K$4+Presion_cilindro!$B$34))/Presion_cilindro!$B$35)^(Presion_cilindro!$B$17+1)),0)-IF(Presion_cilindro!N172&gt;(-K$4+Presion_cilindro!$B$34),1-EXP(-Presion_cilindro!$B$16*((Presion_cilindro!N172-(-K$4+Presion_cilindro!$B$34))/Presion_cilindro!$B$35)^(Presion_cilindro!$B$17+1)),0))/((Presion_cilindro!O172+Presion_cilindro!O173)/2)</f>
        <v>1.2558682662267955</v>
      </c>
      <c r="L181" s="27">
        <f>L180*(Presion_cilindro!O172/Presion_cilindro!O173)^Presion_cilindro!$B$9+10*(Presion_cilindro!$B$9-1)*Presion_cilindro!$B$33*(IF(Presion_cilindro!N173&gt;(-L$4+Presion_cilindro!$B$34),1-EXP(-Presion_cilindro!$B$16*((Presion_cilindro!N173-(-L$4+Presion_cilindro!$B$34))/Presion_cilindro!$B$35)^(Presion_cilindro!$B$17+1)),0)-IF(Presion_cilindro!N172&gt;(-L$4+Presion_cilindro!$B$34),1-EXP(-Presion_cilindro!$B$16*((Presion_cilindro!N172-(-L$4+Presion_cilindro!$B$34))/Presion_cilindro!$B$35)^(Presion_cilindro!$B$17+1)),0))/((Presion_cilindro!O172+Presion_cilindro!O173)/2)</f>
        <v>1.2558682662267955</v>
      </c>
      <c r="M181" s="27">
        <f>M180*(Presion_cilindro!O172/Presion_cilindro!O173)^Presion_cilindro!$B$9+10*(Presion_cilindro!$B$9-1)*Presion_cilindro!$B$33*(IF(Presion_cilindro!N173&gt;(-M$4+Presion_cilindro!$B$34),1-EXP(-Presion_cilindro!$B$16*((Presion_cilindro!N173-(-M$4+Presion_cilindro!$B$34))/Presion_cilindro!$B$35)^(Presion_cilindro!$B$17+1)),0)-IF(Presion_cilindro!N172&gt;(-M$4+Presion_cilindro!$B$34),1-EXP(-Presion_cilindro!$B$16*((Presion_cilindro!N172-(-M$4+Presion_cilindro!$B$34))/Presion_cilindro!$B$35)^(Presion_cilindro!$B$17+1)),0))/((Presion_cilindro!O172+Presion_cilindro!O173)/2)</f>
        <v>1.2558682662267955</v>
      </c>
      <c r="N181" s="27">
        <f>N180*(Presion_cilindro!O172/Presion_cilindro!O173)^Presion_cilindro!$B$9+10*(Presion_cilindro!$B$9-1)*Presion_cilindro!$B$33*(IF(Presion_cilindro!N173&gt;(-N$4+Presion_cilindro!$B$34),1-EXP(-Presion_cilindro!$B$16*((Presion_cilindro!N173-(-N$4+Presion_cilindro!$B$34))/Presion_cilindro!$B$35)^(Presion_cilindro!$B$17+1)),0)-IF(Presion_cilindro!N172&gt;(-N$4+Presion_cilindro!$B$34),1-EXP(-Presion_cilindro!$B$16*((Presion_cilindro!N172-(-N$4+Presion_cilindro!$B$34))/Presion_cilindro!$B$35)^(Presion_cilindro!$B$17+1)),0))/((Presion_cilindro!O172+Presion_cilindro!O173)/2)</f>
        <v>1.2558682662267955</v>
      </c>
    </row>
    <row r="182" spans="1:14" x14ac:dyDescent="0.25">
      <c r="A182" s="21">
        <f>Presion_cilindro!N174</f>
        <v>-95</v>
      </c>
      <c r="B182" s="27">
        <f>B181*(Presion_cilindro!O173/Presion_cilindro!O174)^Presion_cilindro!$B$9+10*(Presion_cilindro!$B$9-1)*Presion_cilindro!$B$33*(IF(Presion_cilindro!N174&gt;(-B$4+Presion_cilindro!$B$34),1-EXP(-Presion_cilindro!$B$16*((Presion_cilindro!N174-(-B$4+Presion_cilindro!$B$34))/Presion_cilindro!$B$35)^(Presion_cilindro!$B$17+1)),0)-IF(Presion_cilindro!N173&gt;(-B$4+Presion_cilindro!$B$34),1-EXP(-Presion_cilindro!$B$16*((Presion_cilindro!N173-(-B$4+Presion_cilindro!$B$34))/Presion_cilindro!$B$35)^(Presion_cilindro!$B$17+1)),0))/((Presion_cilindro!O173+Presion_cilindro!O174)/2)</f>
        <v>1.2655871573902115</v>
      </c>
      <c r="C182" s="27">
        <f>C181*(Presion_cilindro!O173/Presion_cilindro!O174)^Presion_cilindro!$B$9+10*(Presion_cilindro!$B$9-1)*Presion_cilindro!$B$33*(IF(Presion_cilindro!N174&gt;(-C$4+Presion_cilindro!$B$34),1-EXP(-Presion_cilindro!$B$16*((Presion_cilindro!N174-(-C$4+Presion_cilindro!$B$34))/Presion_cilindro!$B$35)^(Presion_cilindro!$B$17+1)),0)-IF(Presion_cilindro!N173&gt;(-C$4+Presion_cilindro!$B$34),1-EXP(-Presion_cilindro!$B$16*((Presion_cilindro!N173-(-C$4+Presion_cilindro!$B$34))/Presion_cilindro!$B$35)^(Presion_cilindro!$B$17+1)),0))/((Presion_cilindro!O173+Presion_cilindro!O174)/2)</f>
        <v>1.2655871573902115</v>
      </c>
      <c r="D182" s="27">
        <f>D181*(Presion_cilindro!O173/Presion_cilindro!O174)^Presion_cilindro!$B$9+10*(Presion_cilindro!$B$9-1)*Presion_cilindro!$B$33*(IF(Presion_cilindro!N174&gt;(-D$4+Presion_cilindro!$B$34),1-EXP(-Presion_cilindro!$B$16*((Presion_cilindro!N174-(-D$4+Presion_cilindro!$B$34))/Presion_cilindro!$B$35)^(Presion_cilindro!$B$17+1)),0)-IF(Presion_cilindro!N173&gt;(-D$4+Presion_cilindro!$B$34),1-EXP(-Presion_cilindro!$B$16*((Presion_cilindro!N173-(-D$4+Presion_cilindro!$B$34))/Presion_cilindro!$B$35)^(Presion_cilindro!$B$17+1)),0))/((Presion_cilindro!O173+Presion_cilindro!O174)/2)</f>
        <v>1.2655871573902115</v>
      </c>
      <c r="E182" s="27">
        <f>E181*(Presion_cilindro!O173/Presion_cilindro!O174)^Presion_cilindro!$B$9+10*(Presion_cilindro!$B$9-1)*Presion_cilindro!$B$33*(IF(Presion_cilindro!N174&gt;(-E$4+Presion_cilindro!$B$34),1-EXP(-Presion_cilindro!$B$16*((Presion_cilindro!N174-(-E$4+Presion_cilindro!$B$34))/Presion_cilindro!$B$35)^(Presion_cilindro!$B$17+1)),0)-IF(Presion_cilindro!N173&gt;(-E$4+Presion_cilindro!$B$34),1-EXP(-Presion_cilindro!$B$16*((Presion_cilindro!N173-(-E$4+Presion_cilindro!$B$34))/Presion_cilindro!$B$35)^(Presion_cilindro!$B$17+1)),0))/((Presion_cilindro!O173+Presion_cilindro!O174)/2)</f>
        <v>1.2655871573902115</v>
      </c>
      <c r="F182" s="27">
        <f>F181*(Presion_cilindro!O173/Presion_cilindro!O174)^Presion_cilindro!$B$9+10*(Presion_cilindro!$B$9-1)*Presion_cilindro!$B$33*(IF(Presion_cilindro!N174&gt;(-F$4+Presion_cilindro!$B$34),1-EXP(-Presion_cilindro!$B$16*((Presion_cilindro!N174-(-F$4+Presion_cilindro!$B$34))/Presion_cilindro!$B$35)^(Presion_cilindro!$B$17+1)),0)-IF(Presion_cilindro!N173&gt;(-F$4+Presion_cilindro!$B$34),1-EXP(-Presion_cilindro!$B$16*((Presion_cilindro!N173-(-F$4+Presion_cilindro!$B$34))/Presion_cilindro!$B$35)^(Presion_cilindro!$B$17+1)),0))/((Presion_cilindro!O173+Presion_cilindro!O174)/2)</f>
        <v>1.2655871573902115</v>
      </c>
      <c r="G182" s="27">
        <f>G181*(Presion_cilindro!O173/Presion_cilindro!O174)^Presion_cilindro!$B$9+10*(Presion_cilindro!$B$9-1)*Presion_cilindro!$B$33*(IF(Presion_cilindro!N174&gt;(-G$4+Presion_cilindro!$B$34),1-EXP(-Presion_cilindro!$B$16*((Presion_cilindro!N174-(-G$4+Presion_cilindro!$B$34))/Presion_cilindro!$B$35)^(Presion_cilindro!$B$17+1)),0)-IF(Presion_cilindro!N173&gt;(-G$4+Presion_cilindro!$B$34),1-EXP(-Presion_cilindro!$B$16*((Presion_cilindro!N173-(-G$4+Presion_cilindro!$B$34))/Presion_cilindro!$B$35)^(Presion_cilindro!$B$17+1)),0))/((Presion_cilindro!O173+Presion_cilindro!O174)/2)</f>
        <v>1.2655871573902115</v>
      </c>
      <c r="H182" s="27">
        <f>H181*(Presion_cilindro!O173/Presion_cilindro!O174)^Presion_cilindro!$B$9+10*(Presion_cilindro!$B$9-1)*Presion_cilindro!$B$33*(IF(Presion_cilindro!N174&gt;(-H$4+Presion_cilindro!$B$34),1-EXP(-Presion_cilindro!$B$16*((Presion_cilindro!N174-(-H$4+Presion_cilindro!$B$34))/Presion_cilindro!$B$35)^(Presion_cilindro!$B$17+1)),0)-IF(Presion_cilindro!N173&gt;(-H$4+Presion_cilindro!$B$34),1-EXP(-Presion_cilindro!$B$16*((Presion_cilindro!N173-(-H$4+Presion_cilindro!$B$34))/Presion_cilindro!$B$35)^(Presion_cilindro!$B$17+1)),0))/((Presion_cilindro!O173+Presion_cilindro!O174)/2)</f>
        <v>1.2655871573902115</v>
      </c>
      <c r="I182" s="27">
        <f>I181*(Presion_cilindro!O173/Presion_cilindro!O174)^Presion_cilindro!$B$9+10*(Presion_cilindro!$B$9-1)*Presion_cilindro!$B$33*(IF(Presion_cilindro!N174&gt;(-I$4+Presion_cilindro!$B$34),1-EXP(-Presion_cilindro!$B$16*((Presion_cilindro!N174-(-I$4+Presion_cilindro!$B$34))/Presion_cilindro!$B$35)^(Presion_cilindro!$B$17+1)),0)-IF(Presion_cilindro!N173&gt;(-I$4+Presion_cilindro!$B$34),1-EXP(-Presion_cilindro!$B$16*((Presion_cilindro!N173-(-I$4+Presion_cilindro!$B$34))/Presion_cilindro!$B$35)^(Presion_cilindro!$B$17+1)),0))/((Presion_cilindro!O173+Presion_cilindro!O174)/2)</f>
        <v>1.2655871573902115</v>
      </c>
      <c r="J182" s="27">
        <f>J181*(Presion_cilindro!O173/Presion_cilindro!O174)^Presion_cilindro!$B$9+10*(Presion_cilindro!$B$9-1)*Presion_cilindro!$B$33*(IF(Presion_cilindro!N174&gt;(-J$4+Presion_cilindro!$B$34),1-EXP(-Presion_cilindro!$B$16*((Presion_cilindro!N174-(-J$4+Presion_cilindro!$B$34))/Presion_cilindro!$B$35)^(Presion_cilindro!$B$17+1)),0)-IF(Presion_cilindro!N173&gt;(-J$4+Presion_cilindro!$B$34),1-EXP(-Presion_cilindro!$B$16*((Presion_cilindro!N173-(-J$4+Presion_cilindro!$B$34))/Presion_cilindro!$B$35)^(Presion_cilindro!$B$17+1)),0))/((Presion_cilindro!O173+Presion_cilindro!O174)/2)</f>
        <v>1.2655871573902115</v>
      </c>
      <c r="K182" s="27">
        <f>K181*(Presion_cilindro!O173/Presion_cilindro!O174)^Presion_cilindro!$B$9+10*(Presion_cilindro!$B$9-1)*Presion_cilindro!$B$33*(IF(Presion_cilindro!N174&gt;(-K$4+Presion_cilindro!$B$34),1-EXP(-Presion_cilindro!$B$16*((Presion_cilindro!N174-(-K$4+Presion_cilindro!$B$34))/Presion_cilindro!$B$35)^(Presion_cilindro!$B$17+1)),0)-IF(Presion_cilindro!N173&gt;(-K$4+Presion_cilindro!$B$34),1-EXP(-Presion_cilindro!$B$16*((Presion_cilindro!N173-(-K$4+Presion_cilindro!$B$34))/Presion_cilindro!$B$35)^(Presion_cilindro!$B$17+1)),0))/((Presion_cilindro!O173+Presion_cilindro!O174)/2)</f>
        <v>1.2655871573902115</v>
      </c>
      <c r="L182" s="27">
        <f>L181*(Presion_cilindro!O173/Presion_cilindro!O174)^Presion_cilindro!$B$9+10*(Presion_cilindro!$B$9-1)*Presion_cilindro!$B$33*(IF(Presion_cilindro!N174&gt;(-L$4+Presion_cilindro!$B$34),1-EXP(-Presion_cilindro!$B$16*((Presion_cilindro!N174-(-L$4+Presion_cilindro!$B$34))/Presion_cilindro!$B$35)^(Presion_cilindro!$B$17+1)),0)-IF(Presion_cilindro!N173&gt;(-L$4+Presion_cilindro!$B$34),1-EXP(-Presion_cilindro!$B$16*((Presion_cilindro!N173-(-L$4+Presion_cilindro!$B$34))/Presion_cilindro!$B$35)^(Presion_cilindro!$B$17+1)),0))/((Presion_cilindro!O173+Presion_cilindro!O174)/2)</f>
        <v>1.2655871573902115</v>
      </c>
      <c r="M182" s="27">
        <f>M181*(Presion_cilindro!O173/Presion_cilindro!O174)^Presion_cilindro!$B$9+10*(Presion_cilindro!$B$9-1)*Presion_cilindro!$B$33*(IF(Presion_cilindro!N174&gt;(-M$4+Presion_cilindro!$B$34),1-EXP(-Presion_cilindro!$B$16*((Presion_cilindro!N174-(-M$4+Presion_cilindro!$B$34))/Presion_cilindro!$B$35)^(Presion_cilindro!$B$17+1)),0)-IF(Presion_cilindro!N173&gt;(-M$4+Presion_cilindro!$B$34),1-EXP(-Presion_cilindro!$B$16*((Presion_cilindro!N173-(-M$4+Presion_cilindro!$B$34))/Presion_cilindro!$B$35)^(Presion_cilindro!$B$17+1)),0))/((Presion_cilindro!O173+Presion_cilindro!O174)/2)</f>
        <v>1.2655871573902115</v>
      </c>
      <c r="N182" s="27">
        <f>N181*(Presion_cilindro!O173/Presion_cilindro!O174)^Presion_cilindro!$B$9+10*(Presion_cilindro!$B$9-1)*Presion_cilindro!$B$33*(IF(Presion_cilindro!N174&gt;(-N$4+Presion_cilindro!$B$34),1-EXP(-Presion_cilindro!$B$16*((Presion_cilindro!N174-(-N$4+Presion_cilindro!$B$34))/Presion_cilindro!$B$35)^(Presion_cilindro!$B$17+1)),0)-IF(Presion_cilindro!N173&gt;(-N$4+Presion_cilindro!$B$34),1-EXP(-Presion_cilindro!$B$16*((Presion_cilindro!N173-(-N$4+Presion_cilindro!$B$34))/Presion_cilindro!$B$35)^(Presion_cilindro!$B$17+1)),0))/((Presion_cilindro!O173+Presion_cilindro!O174)/2)</f>
        <v>1.2655871573902115</v>
      </c>
    </row>
    <row r="183" spans="1:14" x14ac:dyDescent="0.25">
      <c r="A183" s="21">
        <f>Presion_cilindro!N175</f>
        <v>-94.5</v>
      </c>
      <c r="B183" s="27">
        <f>B182*(Presion_cilindro!O174/Presion_cilindro!O175)^Presion_cilindro!$B$9+10*(Presion_cilindro!$B$9-1)*Presion_cilindro!$B$33*(IF(Presion_cilindro!N175&gt;(-B$4+Presion_cilindro!$B$34),1-EXP(-Presion_cilindro!$B$16*((Presion_cilindro!N175-(-B$4+Presion_cilindro!$B$34))/Presion_cilindro!$B$35)^(Presion_cilindro!$B$17+1)),0)-IF(Presion_cilindro!N174&gt;(-B$4+Presion_cilindro!$B$34),1-EXP(-Presion_cilindro!$B$16*((Presion_cilindro!N174-(-B$4+Presion_cilindro!$B$34))/Presion_cilindro!$B$35)^(Presion_cilindro!$B$17+1)),0))/((Presion_cilindro!O174+Presion_cilindro!O175)/2)</f>
        <v>1.2754725804938731</v>
      </c>
      <c r="C183" s="27">
        <f>C182*(Presion_cilindro!O174/Presion_cilindro!O175)^Presion_cilindro!$B$9+10*(Presion_cilindro!$B$9-1)*Presion_cilindro!$B$33*(IF(Presion_cilindro!N175&gt;(-C$4+Presion_cilindro!$B$34),1-EXP(-Presion_cilindro!$B$16*((Presion_cilindro!N175-(-C$4+Presion_cilindro!$B$34))/Presion_cilindro!$B$35)^(Presion_cilindro!$B$17+1)),0)-IF(Presion_cilindro!N174&gt;(-C$4+Presion_cilindro!$B$34),1-EXP(-Presion_cilindro!$B$16*((Presion_cilindro!N174-(-C$4+Presion_cilindro!$B$34))/Presion_cilindro!$B$35)^(Presion_cilindro!$B$17+1)),0))/((Presion_cilindro!O174+Presion_cilindro!O175)/2)</f>
        <v>1.2754725804938731</v>
      </c>
      <c r="D183" s="27">
        <f>D182*(Presion_cilindro!O174/Presion_cilindro!O175)^Presion_cilindro!$B$9+10*(Presion_cilindro!$B$9-1)*Presion_cilindro!$B$33*(IF(Presion_cilindro!N175&gt;(-D$4+Presion_cilindro!$B$34),1-EXP(-Presion_cilindro!$B$16*((Presion_cilindro!N175-(-D$4+Presion_cilindro!$B$34))/Presion_cilindro!$B$35)^(Presion_cilindro!$B$17+1)),0)-IF(Presion_cilindro!N174&gt;(-D$4+Presion_cilindro!$B$34),1-EXP(-Presion_cilindro!$B$16*((Presion_cilindro!N174-(-D$4+Presion_cilindro!$B$34))/Presion_cilindro!$B$35)^(Presion_cilindro!$B$17+1)),0))/((Presion_cilindro!O174+Presion_cilindro!O175)/2)</f>
        <v>1.2754725804938731</v>
      </c>
      <c r="E183" s="27">
        <f>E182*(Presion_cilindro!O174/Presion_cilindro!O175)^Presion_cilindro!$B$9+10*(Presion_cilindro!$B$9-1)*Presion_cilindro!$B$33*(IF(Presion_cilindro!N175&gt;(-E$4+Presion_cilindro!$B$34),1-EXP(-Presion_cilindro!$B$16*((Presion_cilindro!N175-(-E$4+Presion_cilindro!$B$34))/Presion_cilindro!$B$35)^(Presion_cilindro!$B$17+1)),0)-IF(Presion_cilindro!N174&gt;(-E$4+Presion_cilindro!$B$34),1-EXP(-Presion_cilindro!$B$16*((Presion_cilindro!N174-(-E$4+Presion_cilindro!$B$34))/Presion_cilindro!$B$35)^(Presion_cilindro!$B$17+1)),0))/((Presion_cilindro!O174+Presion_cilindro!O175)/2)</f>
        <v>1.2754725804938731</v>
      </c>
      <c r="F183" s="27">
        <f>F182*(Presion_cilindro!O174/Presion_cilindro!O175)^Presion_cilindro!$B$9+10*(Presion_cilindro!$B$9-1)*Presion_cilindro!$B$33*(IF(Presion_cilindro!N175&gt;(-F$4+Presion_cilindro!$B$34),1-EXP(-Presion_cilindro!$B$16*((Presion_cilindro!N175-(-F$4+Presion_cilindro!$B$34))/Presion_cilindro!$B$35)^(Presion_cilindro!$B$17+1)),0)-IF(Presion_cilindro!N174&gt;(-F$4+Presion_cilindro!$B$34),1-EXP(-Presion_cilindro!$B$16*((Presion_cilindro!N174-(-F$4+Presion_cilindro!$B$34))/Presion_cilindro!$B$35)^(Presion_cilindro!$B$17+1)),0))/((Presion_cilindro!O174+Presion_cilindro!O175)/2)</f>
        <v>1.2754725804938731</v>
      </c>
      <c r="G183" s="27">
        <f>G182*(Presion_cilindro!O174/Presion_cilindro!O175)^Presion_cilindro!$B$9+10*(Presion_cilindro!$B$9-1)*Presion_cilindro!$B$33*(IF(Presion_cilindro!N175&gt;(-G$4+Presion_cilindro!$B$34),1-EXP(-Presion_cilindro!$B$16*((Presion_cilindro!N175-(-G$4+Presion_cilindro!$B$34))/Presion_cilindro!$B$35)^(Presion_cilindro!$B$17+1)),0)-IF(Presion_cilindro!N174&gt;(-G$4+Presion_cilindro!$B$34),1-EXP(-Presion_cilindro!$B$16*((Presion_cilindro!N174-(-G$4+Presion_cilindro!$B$34))/Presion_cilindro!$B$35)^(Presion_cilindro!$B$17+1)),0))/((Presion_cilindro!O174+Presion_cilindro!O175)/2)</f>
        <v>1.2754725804938731</v>
      </c>
      <c r="H183" s="27">
        <f>H182*(Presion_cilindro!O174/Presion_cilindro!O175)^Presion_cilindro!$B$9+10*(Presion_cilindro!$B$9-1)*Presion_cilindro!$B$33*(IF(Presion_cilindro!N175&gt;(-H$4+Presion_cilindro!$B$34),1-EXP(-Presion_cilindro!$B$16*((Presion_cilindro!N175-(-H$4+Presion_cilindro!$B$34))/Presion_cilindro!$B$35)^(Presion_cilindro!$B$17+1)),0)-IF(Presion_cilindro!N174&gt;(-H$4+Presion_cilindro!$B$34),1-EXP(-Presion_cilindro!$B$16*((Presion_cilindro!N174-(-H$4+Presion_cilindro!$B$34))/Presion_cilindro!$B$35)^(Presion_cilindro!$B$17+1)),0))/((Presion_cilindro!O174+Presion_cilindro!O175)/2)</f>
        <v>1.2754725804938731</v>
      </c>
      <c r="I183" s="27">
        <f>I182*(Presion_cilindro!O174/Presion_cilindro!O175)^Presion_cilindro!$B$9+10*(Presion_cilindro!$B$9-1)*Presion_cilindro!$B$33*(IF(Presion_cilindro!N175&gt;(-I$4+Presion_cilindro!$B$34),1-EXP(-Presion_cilindro!$B$16*((Presion_cilindro!N175-(-I$4+Presion_cilindro!$B$34))/Presion_cilindro!$B$35)^(Presion_cilindro!$B$17+1)),0)-IF(Presion_cilindro!N174&gt;(-I$4+Presion_cilindro!$B$34),1-EXP(-Presion_cilindro!$B$16*((Presion_cilindro!N174-(-I$4+Presion_cilindro!$B$34))/Presion_cilindro!$B$35)^(Presion_cilindro!$B$17+1)),0))/((Presion_cilindro!O174+Presion_cilindro!O175)/2)</f>
        <v>1.2754725804938731</v>
      </c>
      <c r="J183" s="27">
        <f>J182*(Presion_cilindro!O174/Presion_cilindro!O175)^Presion_cilindro!$B$9+10*(Presion_cilindro!$B$9-1)*Presion_cilindro!$B$33*(IF(Presion_cilindro!N175&gt;(-J$4+Presion_cilindro!$B$34),1-EXP(-Presion_cilindro!$B$16*((Presion_cilindro!N175-(-J$4+Presion_cilindro!$B$34))/Presion_cilindro!$B$35)^(Presion_cilindro!$B$17+1)),0)-IF(Presion_cilindro!N174&gt;(-J$4+Presion_cilindro!$B$34),1-EXP(-Presion_cilindro!$B$16*((Presion_cilindro!N174-(-J$4+Presion_cilindro!$B$34))/Presion_cilindro!$B$35)^(Presion_cilindro!$B$17+1)),0))/((Presion_cilindro!O174+Presion_cilindro!O175)/2)</f>
        <v>1.2754725804938731</v>
      </c>
      <c r="K183" s="27">
        <f>K182*(Presion_cilindro!O174/Presion_cilindro!O175)^Presion_cilindro!$B$9+10*(Presion_cilindro!$B$9-1)*Presion_cilindro!$B$33*(IF(Presion_cilindro!N175&gt;(-K$4+Presion_cilindro!$B$34),1-EXP(-Presion_cilindro!$B$16*((Presion_cilindro!N175-(-K$4+Presion_cilindro!$B$34))/Presion_cilindro!$B$35)^(Presion_cilindro!$B$17+1)),0)-IF(Presion_cilindro!N174&gt;(-K$4+Presion_cilindro!$B$34),1-EXP(-Presion_cilindro!$B$16*((Presion_cilindro!N174-(-K$4+Presion_cilindro!$B$34))/Presion_cilindro!$B$35)^(Presion_cilindro!$B$17+1)),0))/((Presion_cilindro!O174+Presion_cilindro!O175)/2)</f>
        <v>1.2754725804938731</v>
      </c>
      <c r="L183" s="27">
        <f>L182*(Presion_cilindro!O174/Presion_cilindro!O175)^Presion_cilindro!$B$9+10*(Presion_cilindro!$B$9-1)*Presion_cilindro!$B$33*(IF(Presion_cilindro!N175&gt;(-L$4+Presion_cilindro!$B$34),1-EXP(-Presion_cilindro!$B$16*((Presion_cilindro!N175-(-L$4+Presion_cilindro!$B$34))/Presion_cilindro!$B$35)^(Presion_cilindro!$B$17+1)),0)-IF(Presion_cilindro!N174&gt;(-L$4+Presion_cilindro!$B$34),1-EXP(-Presion_cilindro!$B$16*((Presion_cilindro!N174-(-L$4+Presion_cilindro!$B$34))/Presion_cilindro!$B$35)^(Presion_cilindro!$B$17+1)),0))/((Presion_cilindro!O174+Presion_cilindro!O175)/2)</f>
        <v>1.2754725804938731</v>
      </c>
      <c r="M183" s="27">
        <f>M182*(Presion_cilindro!O174/Presion_cilindro!O175)^Presion_cilindro!$B$9+10*(Presion_cilindro!$B$9-1)*Presion_cilindro!$B$33*(IF(Presion_cilindro!N175&gt;(-M$4+Presion_cilindro!$B$34),1-EXP(-Presion_cilindro!$B$16*((Presion_cilindro!N175-(-M$4+Presion_cilindro!$B$34))/Presion_cilindro!$B$35)^(Presion_cilindro!$B$17+1)),0)-IF(Presion_cilindro!N174&gt;(-M$4+Presion_cilindro!$B$34),1-EXP(-Presion_cilindro!$B$16*((Presion_cilindro!N174-(-M$4+Presion_cilindro!$B$34))/Presion_cilindro!$B$35)^(Presion_cilindro!$B$17+1)),0))/((Presion_cilindro!O174+Presion_cilindro!O175)/2)</f>
        <v>1.2754725804938731</v>
      </c>
      <c r="N183" s="27">
        <f>N182*(Presion_cilindro!O174/Presion_cilindro!O175)^Presion_cilindro!$B$9+10*(Presion_cilindro!$B$9-1)*Presion_cilindro!$B$33*(IF(Presion_cilindro!N175&gt;(-N$4+Presion_cilindro!$B$34),1-EXP(-Presion_cilindro!$B$16*((Presion_cilindro!N175-(-N$4+Presion_cilindro!$B$34))/Presion_cilindro!$B$35)^(Presion_cilindro!$B$17+1)),0)-IF(Presion_cilindro!N174&gt;(-N$4+Presion_cilindro!$B$34),1-EXP(-Presion_cilindro!$B$16*((Presion_cilindro!N174-(-N$4+Presion_cilindro!$B$34))/Presion_cilindro!$B$35)^(Presion_cilindro!$B$17+1)),0))/((Presion_cilindro!O174+Presion_cilindro!O175)/2)</f>
        <v>1.2754725804938731</v>
      </c>
    </row>
    <row r="184" spans="1:14" x14ac:dyDescent="0.25">
      <c r="A184" s="21">
        <f>Presion_cilindro!N176</f>
        <v>-94</v>
      </c>
      <c r="B184" s="27">
        <f>B183*(Presion_cilindro!O175/Presion_cilindro!O176)^Presion_cilindro!$B$9+10*(Presion_cilindro!$B$9-1)*Presion_cilindro!$B$33*(IF(Presion_cilindro!N176&gt;(-B$4+Presion_cilindro!$B$34),1-EXP(-Presion_cilindro!$B$16*((Presion_cilindro!N176-(-B$4+Presion_cilindro!$B$34))/Presion_cilindro!$B$35)^(Presion_cilindro!$B$17+1)),0)-IF(Presion_cilindro!N175&gt;(-B$4+Presion_cilindro!$B$34),1-EXP(-Presion_cilindro!$B$16*((Presion_cilindro!N175-(-B$4+Presion_cilindro!$B$34))/Presion_cilindro!$B$35)^(Presion_cilindro!$B$17+1)),0))/((Presion_cilindro!O175+Presion_cilindro!O176)/2)</f>
        <v>1.2855278367772223</v>
      </c>
      <c r="C184" s="27">
        <f>C183*(Presion_cilindro!O175/Presion_cilindro!O176)^Presion_cilindro!$B$9+10*(Presion_cilindro!$B$9-1)*Presion_cilindro!$B$33*(IF(Presion_cilindro!N176&gt;(-C$4+Presion_cilindro!$B$34),1-EXP(-Presion_cilindro!$B$16*((Presion_cilindro!N176-(-C$4+Presion_cilindro!$B$34))/Presion_cilindro!$B$35)^(Presion_cilindro!$B$17+1)),0)-IF(Presion_cilindro!N175&gt;(-C$4+Presion_cilindro!$B$34),1-EXP(-Presion_cilindro!$B$16*((Presion_cilindro!N175-(-C$4+Presion_cilindro!$B$34))/Presion_cilindro!$B$35)^(Presion_cilindro!$B$17+1)),0))/((Presion_cilindro!O175+Presion_cilindro!O176)/2)</f>
        <v>1.2855278367772223</v>
      </c>
      <c r="D184" s="27">
        <f>D183*(Presion_cilindro!O175/Presion_cilindro!O176)^Presion_cilindro!$B$9+10*(Presion_cilindro!$B$9-1)*Presion_cilindro!$B$33*(IF(Presion_cilindro!N176&gt;(-D$4+Presion_cilindro!$B$34),1-EXP(-Presion_cilindro!$B$16*((Presion_cilindro!N176-(-D$4+Presion_cilindro!$B$34))/Presion_cilindro!$B$35)^(Presion_cilindro!$B$17+1)),0)-IF(Presion_cilindro!N175&gt;(-D$4+Presion_cilindro!$B$34),1-EXP(-Presion_cilindro!$B$16*((Presion_cilindro!N175-(-D$4+Presion_cilindro!$B$34))/Presion_cilindro!$B$35)^(Presion_cilindro!$B$17+1)),0))/((Presion_cilindro!O175+Presion_cilindro!O176)/2)</f>
        <v>1.2855278367772223</v>
      </c>
      <c r="E184" s="27">
        <f>E183*(Presion_cilindro!O175/Presion_cilindro!O176)^Presion_cilindro!$B$9+10*(Presion_cilindro!$B$9-1)*Presion_cilindro!$B$33*(IF(Presion_cilindro!N176&gt;(-E$4+Presion_cilindro!$B$34),1-EXP(-Presion_cilindro!$B$16*((Presion_cilindro!N176-(-E$4+Presion_cilindro!$B$34))/Presion_cilindro!$B$35)^(Presion_cilindro!$B$17+1)),0)-IF(Presion_cilindro!N175&gt;(-E$4+Presion_cilindro!$B$34),1-EXP(-Presion_cilindro!$B$16*((Presion_cilindro!N175-(-E$4+Presion_cilindro!$B$34))/Presion_cilindro!$B$35)^(Presion_cilindro!$B$17+1)),0))/((Presion_cilindro!O175+Presion_cilindro!O176)/2)</f>
        <v>1.2855278367772223</v>
      </c>
      <c r="F184" s="27">
        <f>F183*(Presion_cilindro!O175/Presion_cilindro!O176)^Presion_cilindro!$B$9+10*(Presion_cilindro!$B$9-1)*Presion_cilindro!$B$33*(IF(Presion_cilindro!N176&gt;(-F$4+Presion_cilindro!$B$34),1-EXP(-Presion_cilindro!$B$16*((Presion_cilindro!N176-(-F$4+Presion_cilindro!$B$34))/Presion_cilindro!$B$35)^(Presion_cilindro!$B$17+1)),0)-IF(Presion_cilindro!N175&gt;(-F$4+Presion_cilindro!$B$34),1-EXP(-Presion_cilindro!$B$16*((Presion_cilindro!N175-(-F$4+Presion_cilindro!$B$34))/Presion_cilindro!$B$35)^(Presion_cilindro!$B$17+1)),0))/((Presion_cilindro!O175+Presion_cilindro!O176)/2)</f>
        <v>1.2855278367772223</v>
      </c>
      <c r="G184" s="27">
        <f>G183*(Presion_cilindro!O175/Presion_cilindro!O176)^Presion_cilindro!$B$9+10*(Presion_cilindro!$B$9-1)*Presion_cilindro!$B$33*(IF(Presion_cilindro!N176&gt;(-G$4+Presion_cilindro!$B$34),1-EXP(-Presion_cilindro!$B$16*((Presion_cilindro!N176-(-G$4+Presion_cilindro!$B$34))/Presion_cilindro!$B$35)^(Presion_cilindro!$B$17+1)),0)-IF(Presion_cilindro!N175&gt;(-G$4+Presion_cilindro!$B$34),1-EXP(-Presion_cilindro!$B$16*((Presion_cilindro!N175-(-G$4+Presion_cilindro!$B$34))/Presion_cilindro!$B$35)^(Presion_cilindro!$B$17+1)),0))/((Presion_cilindro!O175+Presion_cilindro!O176)/2)</f>
        <v>1.2855278367772223</v>
      </c>
      <c r="H184" s="27">
        <f>H183*(Presion_cilindro!O175/Presion_cilindro!O176)^Presion_cilindro!$B$9+10*(Presion_cilindro!$B$9-1)*Presion_cilindro!$B$33*(IF(Presion_cilindro!N176&gt;(-H$4+Presion_cilindro!$B$34),1-EXP(-Presion_cilindro!$B$16*((Presion_cilindro!N176-(-H$4+Presion_cilindro!$B$34))/Presion_cilindro!$B$35)^(Presion_cilindro!$B$17+1)),0)-IF(Presion_cilindro!N175&gt;(-H$4+Presion_cilindro!$B$34),1-EXP(-Presion_cilindro!$B$16*((Presion_cilindro!N175-(-H$4+Presion_cilindro!$B$34))/Presion_cilindro!$B$35)^(Presion_cilindro!$B$17+1)),0))/((Presion_cilindro!O175+Presion_cilindro!O176)/2)</f>
        <v>1.2855278367772223</v>
      </c>
      <c r="I184" s="27">
        <f>I183*(Presion_cilindro!O175/Presion_cilindro!O176)^Presion_cilindro!$B$9+10*(Presion_cilindro!$B$9-1)*Presion_cilindro!$B$33*(IF(Presion_cilindro!N176&gt;(-I$4+Presion_cilindro!$B$34),1-EXP(-Presion_cilindro!$B$16*((Presion_cilindro!N176-(-I$4+Presion_cilindro!$B$34))/Presion_cilindro!$B$35)^(Presion_cilindro!$B$17+1)),0)-IF(Presion_cilindro!N175&gt;(-I$4+Presion_cilindro!$B$34),1-EXP(-Presion_cilindro!$B$16*((Presion_cilindro!N175-(-I$4+Presion_cilindro!$B$34))/Presion_cilindro!$B$35)^(Presion_cilindro!$B$17+1)),0))/((Presion_cilindro!O175+Presion_cilindro!O176)/2)</f>
        <v>1.2855278367772223</v>
      </c>
      <c r="J184" s="27">
        <f>J183*(Presion_cilindro!O175/Presion_cilindro!O176)^Presion_cilindro!$B$9+10*(Presion_cilindro!$B$9-1)*Presion_cilindro!$B$33*(IF(Presion_cilindro!N176&gt;(-J$4+Presion_cilindro!$B$34),1-EXP(-Presion_cilindro!$B$16*((Presion_cilindro!N176-(-J$4+Presion_cilindro!$B$34))/Presion_cilindro!$B$35)^(Presion_cilindro!$B$17+1)),0)-IF(Presion_cilindro!N175&gt;(-J$4+Presion_cilindro!$B$34),1-EXP(-Presion_cilindro!$B$16*((Presion_cilindro!N175-(-J$4+Presion_cilindro!$B$34))/Presion_cilindro!$B$35)^(Presion_cilindro!$B$17+1)),0))/((Presion_cilindro!O175+Presion_cilindro!O176)/2)</f>
        <v>1.2855278367772223</v>
      </c>
      <c r="K184" s="27">
        <f>K183*(Presion_cilindro!O175/Presion_cilindro!O176)^Presion_cilindro!$B$9+10*(Presion_cilindro!$B$9-1)*Presion_cilindro!$B$33*(IF(Presion_cilindro!N176&gt;(-K$4+Presion_cilindro!$B$34),1-EXP(-Presion_cilindro!$B$16*((Presion_cilindro!N176-(-K$4+Presion_cilindro!$B$34))/Presion_cilindro!$B$35)^(Presion_cilindro!$B$17+1)),0)-IF(Presion_cilindro!N175&gt;(-K$4+Presion_cilindro!$B$34),1-EXP(-Presion_cilindro!$B$16*((Presion_cilindro!N175-(-K$4+Presion_cilindro!$B$34))/Presion_cilindro!$B$35)^(Presion_cilindro!$B$17+1)),0))/((Presion_cilindro!O175+Presion_cilindro!O176)/2)</f>
        <v>1.2855278367772223</v>
      </c>
      <c r="L184" s="27">
        <f>L183*(Presion_cilindro!O175/Presion_cilindro!O176)^Presion_cilindro!$B$9+10*(Presion_cilindro!$B$9-1)*Presion_cilindro!$B$33*(IF(Presion_cilindro!N176&gt;(-L$4+Presion_cilindro!$B$34),1-EXP(-Presion_cilindro!$B$16*((Presion_cilindro!N176-(-L$4+Presion_cilindro!$B$34))/Presion_cilindro!$B$35)^(Presion_cilindro!$B$17+1)),0)-IF(Presion_cilindro!N175&gt;(-L$4+Presion_cilindro!$B$34),1-EXP(-Presion_cilindro!$B$16*((Presion_cilindro!N175-(-L$4+Presion_cilindro!$B$34))/Presion_cilindro!$B$35)^(Presion_cilindro!$B$17+1)),0))/((Presion_cilindro!O175+Presion_cilindro!O176)/2)</f>
        <v>1.2855278367772223</v>
      </c>
      <c r="M184" s="27">
        <f>M183*(Presion_cilindro!O175/Presion_cilindro!O176)^Presion_cilindro!$B$9+10*(Presion_cilindro!$B$9-1)*Presion_cilindro!$B$33*(IF(Presion_cilindro!N176&gt;(-M$4+Presion_cilindro!$B$34),1-EXP(-Presion_cilindro!$B$16*((Presion_cilindro!N176-(-M$4+Presion_cilindro!$B$34))/Presion_cilindro!$B$35)^(Presion_cilindro!$B$17+1)),0)-IF(Presion_cilindro!N175&gt;(-M$4+Presion_cilindro!$B$34),1-EXP(-Presion_cilindro!$B$16*((Presion_cilindro!N175-(-M$4+Presion_cilindro!$B$34))/Presion_cilindro!$B$35)^(Presion_cilindro!$B$17+1)),0))/((Presion_cilindro!O175+Presion_cilindro!O176)/2)</f>
        <v>1.2855278367772223</v>
      </c>
      <c r="N184" s="27">
        <f>N183*(Presion_cilindro!O175/Presion_cilindro!O176)^Presion_cilindro!$B$9+10*(Presion_cilindro!$B$9-1)*Presion_cilindro!$B$33*(IF(Presion_cilindro!N176&gt;(-N$4+Presion_cilindro!$B$34),1-EXP(-Presion_cilindro!$B$16*((Presion_cilindro!N176-(-N$4+Presion_cilindro!$B$34))/Presion_cilindro!$B$35)^(Presion_cilindro!$B$17+1)),0)-IF(Presion_cilindro!N175&gt;(-N$4+Presion_cilindro!$B$34),1-EXP(-Presion_cilindro!$B$16*((Presion_cilindro!N175-(-N$4+Presion_cilindro!$B$34))/Presion_cilindro!$B$35)^(Presion_cilindro!$B$17+1)),0))/((Presion_cilindro!O175+Presion_cilindro!O176)/2)</f>
        <v>1.2855278367772223</v>
      </c>
    </row>
    <row r="185" spans="1:14" x14ac:dyDescent="0.25">
      <c r="A185" s="21">
        <f>Presion_cilindro!N177</f>
        <v>-93.5</v>
      </c>
      <c r="B185" s="27">
        <f>B184*(Presion_cilindro!O176/Presion_cilindro!O177)^Presion_cilindro!$B$9+10*(Presion_cilindro!$B$9-1)*Presion_cilindro!$B$33*(IF(Presion_cilindro!N177&gt;(-B$4+Presion_cilindro!$B$34),1-EXP(-Presion_cilindro!$B$16*((Presion_cilindro!N177-(-B$4+Presion_cilindro!$B$34))/Presion_cilindro!$B$35)^(Presion_cilindro!$B$17+1)),0)-IF(Presion_cilindro!N176&gt;(-B$4+Presion_cilindro!$B$34),1-EXP(-Presion_cilindro!$B$16*((Presion_cilindro!N176-(-B$4+Presion_cilindro!$B$34))/Presion_cilindro!$B$35)^(Presion_cilindro!$B$17+1)),0))/((Presion_cilindro!O176+Presion_cilindro!O177)/2)</f>
        <v>1.2957563062110165</v>
      </c>
      <c r="C185" s="27">
        <f>C184*(Presion_cilindro!O176/Presion_cilindro!O177)^Presion_cilindro!$B$9+10*(Presion_cilindro!$B$9-1)*Presion_cilindro!$B$33*(IF(Presion_cilindro!N177&gt;(-C$4+Presion_cilindro!$B$34),1-EXP(-Presion_cilindro!$B$16*((Presion_cilindro!N177-(-C$4+Presion_cilindro!$B$34))/Presion_cilindro!$B$35)^(Presion_cilindro!$B$17+1)),0)-IF(Presion_cilindro!N176&gt;(-C$4+Presion_cilindro!$B$34),1-EXP(-Presion_cilindro!$B$16*((Presion_cilindro!N176-(-C$4+Presion_cilindro!$B$34))/Presion_cilindro!$B$35)^(Presion_cilindro!$B$17+1)),0))/((Presion_cilindro!O176+Presion_cilindro!O177)/2)</f>
        <v>1.2957563062110165</v>
      </c>
      <c r="D185" s="27">
        <f>D184*(Presion_cilindro!O176/Presion_cilindro!O177)^Presion_cilindro!$B$9+10*(Presion_cilindro!$B$9-1)*Presion_cilindro!$B$33*(IF(Presion_cilindro!N177&gt;(-D$4+Presion_cilindro!$B$34),1-EXP(-Presion_cilindro!$B$16*((Presion_cilindro!N177-(-D$4+Presion_cilindro!$B$34))/Presion_cilindro!$B$35)^(Presion_cilindro!$B$17+1)),0)-IF(Presion_cilindro!N176&gt;(-D$4+Presion_cilindro!$B$34),1-EXP(-Presion_cilindro!$B$16*((Presion_cilindro!N176-(-D$4+Presion_cilindro!$B$34))/Presion_cilindro!$B$35)^(Presion_cilindro!$B$17+1)),0))/((Presion_cilindro!O176+Presion_cilindro!O177)/2)</f>
        <v>1.2957563062110165</v>
      </c>
      <c r="E185" s="27">
        <f>E184*(Presion_cilindro!O176/Presion_cilindro!O177)^Presion_cilindro!$B$9+10*(Presion_cilindro!$B$9-1)*Presion_cilindro!$B$33*(IF(Presion_cilindro!N177&gt;(-E$4+Presion_cilindro!$B$34),1-EXP(-Presion_cilindro!$B$16*((Presion_cilindro!N177-(-E$4+Presion_cilindro!$B$34))/Presion_cilindro!$B$35)^(Presion_cilindro!$B$17+1)),0)-IF(Presion_cilindro!N176&gt;(-E$4+Presion_cilindro!$B$34),1-EXP(-Presion_cilindro!$B$16*((Presion_cilindro!N176-(-E$4+Presion_cilindro!$B$34))/Presion_cilindro!$B$35)^(Presion_cilindro!$B$17+1)),0))/((Presion_cilindro!O176+Presion_cilindro!O177)/2)</f>
        <v>1.2957563062110165</v>
      </c>
      <c r="F185" s="27">
        <f>F184*(Presion_cilindro!O176/Presion_cilindro!O177)^Presion_cilindro!$B$9+10*(Presion_cilindro!$B$9-1)*Presion_cilindro!$B$33*(IF(Presion_cilindro!N177&gt;(-F$4+Presion_cilindro!$B$34),1-EXP(-Presion_cilindro!$B$16*((Presion_cilindro!N177-(-F$4+Presion_cilindro!$B$34))/Presion_cilindro!$B$35)^(Presion_cilindro!$B$17+1)),0)-IF(Presion_cilindro!N176&gt;(-F$4+Presion_cilindro!$B$34),1-EXP(-Presion_cilindro!$B$16*((Presion_cilindro!N176-(-F$4+Presion_cilindro!$B$34))/Presion_cilindro!$B$35)^(Presion_cilindro!$B$17+1)),0))/((Presion_cilindro!O176+Presion_cilindro!O177)/2)</f>
        <v>1.2957563062110165</v>
      </c>
      <c r="G185" s="27">
        <f>G184*(Presion_cilindro!O176/Presion_cilindro!O177)^Presion_cilindro!$B$9+10*(Presion_cilindro!$B$9-1)*Presion_cilindro!$B$33*(IF(Presion_cilindro!N177&gt;(-G$4+Presion_cilindro!$B$34),1-EXP(-Presion_cilindro!$B$16*((Presion_cilindro!N177-(-G$4+Presion_cilindro!$B$34))/Presion_cilindro!$B$35)^(Presion_cilindro!$B$17+1)),0)-IF(Presion_cilindro!N176&gt;(-G$4+Presion_cilindro!$B$34),1-EXP(-Presion_cilindro!$B$16*((Presion_cilindro!N176-(-G$4+Presion_cilindro!$B$34))/Presion_cilindro!$B$35)^(Presion_cilindro!$B$17+1)),0))/((Presion_cilindro!O176+Presion_cilindro!O177)/2)</f>
        <v>1.2957563062110165</v>
      </c>
      <c r="H185" s="27">
        <f>H184*(Presion_cilindro!O176/Presion_cilindro!O177)^Presion_cilindro!$B$9+10*(Presion_cilindro!$B$9-1)*Presion_cilindro!$B$33*(IF(Presion_cilindro!N177&gt;(-H$4+Presion_cilindro!$B$34),1-EXP(-Presion_cilindro!$B$16*((Presion_cilindro!N177-(-H$4+Presion_cilindro!$B$34))/Presion_cilindro!$B$35)^(Presion_cilindro!$B$17+1)),0)-IF(Presion_cilindro!N176&gt;(-H$4+Presion_cilindro!$B$34),1-EXP(-Presion_cilindro!$B$16*((Presion_cilindro!N176-(-H$4+Presion_cilindro!$B$34))/Presion_cilindro!$B$35)^(Presion_cilindro!$B$17+1)),0))/((Presion_cilindro!O176+Presion_cilindro!O177)/2)</f>
        <v>1.2957563062110165</v>
      </c>
      <c r="I185" s="27">
        <f>I184*(Presion_cilindro!O176/Presion_cilindro!O177)^Presion_cilindro!$B$9+10*(Presion_cilindro!$B$9-1)*Presion_cilindro!$B$33*(IF(Presion_cilindro!N177&gt;(-I$4+Presion_cilindro!$B$34),1-EXP(-Presion_cilindro!$B$16*((Presion_cilindro!N177-(-I$4+Presion_cilindro!$B$34))/Presion_cilindro!$B$35)^(Presion_cilindro!$B$17+1)),0)-IF(Presion_cilindro!N176&gt;(-I$4+Presion_cilindro!$B$34),1-EXP(-Presion_cilindro!$B$16*((Presion_cilindro!N176-(-I$4+Presion_cilindro!$B$34))/Presion_cilindro!$B$35)^(Presion_cilindro!$B$17+1)),0))/((Presion_cilindro!O176+Presion_cilindro!O177)/2)</f>
        <v>1.2957563062110165</v>
      </c>
      <c r="J185" s="27">
        <f>J184*(Presion_cilindro!O176/Presion_cilindro!O177)^Presion_cilindro!$B$9+10*(Presion_cilindro!$B$9-1)*Presion_cilindro!$B$33*(IF(Presion_cilindro!N177&gt;(-J$4+Presion_cilindro!$B$34),1-EXP(-Presion_cilindro!$B$16*((Presion_cilindro!N177-(-J$4+Presion_cilindro!$B$34))/Presion_cilindro!$B$35)^(Presion_cilindro!$B$17+1)),0)-IF(Presion_cilindro!N176&gt;(-J$4+Presion_cilindro!$B$34),1-EXP(-Presion_cilindro!$B$16*((Presion_cilindro!N176-(-J$4+Presion_cilindro!$B$34))/Presion_cilindro!$B$35)^(Presion_cilindro!$B$17+1)),0))/((Presion_cilindro!O176+Presion_cilindro!O177)/2)</f>
        <v>1.2957563062110165</v>
      </c>
      <c r="K185" s="27">
        <f>K184*(Presion_cilindro!O176/Presion_cilindro!O177)^Presion_cilindro!$B$9+10*(Presion_cilindro!$B$9-1)*Presion_cilindro!$B$33*(IF(Presion_cilindro!N177&gt;(-K$4+Presion_cilindro!$B$34),1-EXP(-Presion_cilindro!$B$16*((Presion_cilindro!N177-(-K$4+Presion_cilindro!$B$34))/Presion_cilindro!$B$35)^(Presion_cilindro!$B$17+1)),0)-IF(Presion_cilindro!N176&gt;(-K$4+Presion_cilindro!$B$34),1-EXP(-Presion_cilindro!$B$16*((Presion_cilindro!N176-(-K$4+Presion_cilindro!$B$34))/Presion_cilindro!$B$35)^(Presion_cilindro!$B$17+1)),0))/((Presion_cilindro!O176+Presion_cilindro!O177)/2)</f>
        <v>1.2957563062110165</v>
      </c>
      <c r="L185" s="27">
        <f>L184*(Presion_cilindro!O176/Presion_cilindro!O177)^Presion_cilindro!$B$9+10*(Presion_cilindro!$B$9-1)*Presion_cilindro!$B$33*(IF(Presion_cilindro!N177&gt;(-L$4+Presion_cilindro!$B$34),1-EXP(-Presion_cilindro!$B$16*((Presion_cilindro!N177-(-L$4+Presion_cilindro!$B$34))/Presion_cilindro!$B$35)^(Presion_cilindro!$B$17+1)),0)-IF(Presion_cilindro!N176&gt;(-L$4+Presion_cilindro!$B$34),1-EXP(-Presion_cilindro!$B$16*((Presion_cilindro!N176-(-L$4+Presion_cilindro!$B$34))/Presion_cilindro!$B$35)^(Presion_cilindro!$B$17+1)),0))/((Presion_cilindro!O176+Presion_cilindro!O177)/2)</f>
        <v>1.2957563062110165</v>
      </c>
      <c r="M185" s="27">
        <f>M184*(Presion_cilindro!O176/Presion_cilindro!O177)^Presion_cilindro!$B$9+10*(Presion_cilindro!$B$9-1)*Presion_cilindro!$B$33*(IF(Presion_cilindro!N177&gt;(-M$4+Presion_cilindro!$B$34),1-EXP(-Presion_cilindro!$B$16*((Presion_cilindro!N177-(-M$4+Presion_cilindro!$B$34))/Presion_cilindro!$B$35)^(Presion_cilindro!$B$17+1)),0)-IF(Presion_cilindro!N176&gt;(-M$4+Presion_cilindro!$B$34),1-EXP(-Presion_cilindro!$B$16*((Presion_cilindro!N176-(-M$4+Presion_cilindro!$B$34))/Presion_cilindro!$B$35)^(Presion_cilindro!$B$17+1)),0))/((Presion_cilindro!O176+Presion_cilindro!O177)/2)</f>
        <v>1.2957563062110165</v>
      </c>
      <c r="N185" s="27">
        <f>N184*(Presion_cilindro!O176/Presion_cilindro!O177)^Presion_cilindro!$B$9+10*(Presion_cilindro!$B$9-1)*Presion_cilindro!$B$33*(IF(Presion_cilindro!N177&gt;(-N$4+Presion_cilindro!$B$34),1-EXP(-Presion_cilindro!$B$16*((Presion_cilindro!N177-(-N$4+Presion_cilindro!$B$34))/Presion_cilindro!$B$35)^(Presion_cilindro!$B$17+1)),0)-IF(Presion_cilindro!N176&gt;(-N$4+Presion_cilindro!$B$34),1-EXP(-Presion_cilindro!$B$16*((Presion_cilindro!N176-(-N$4+Presion_cilindro!$B$34))/Presion_cilindro!$B$35)^(Presion_cilindro!$B$17+1)),0))/((Presion_cilindro!O176+Presion_cilindro!O177)/2)</f>
        <v>1.2957563062110165</v>
      </c>
    </row>
    <row r="186" spans="1:14" x14ac:dyDescent="0.25">
      <c r="A186" s="21">
        <f>Presion_cilindro!N178</f>
        <v>-93</v>
      </c>
      <c r="B186" s="27">
        <f>B185*(Presion_cilindro!O177/Presion_cilindro!O178)^Presion_cilindro!$B$9+10*(Presion_cilindro!$B$9-1)*Presion_cilindro!$B$33*(IF(Presion_cilindro!N178&gt;(-B$4+Presion_cilindro!$B$34),1-EXP(-Presion_cilindro!$B$16*((Presion_cilindro!N178-(-B$4+Presion_cilindro!$B$34))/Presion_cilindro!$B$35)^(Presion_cilindro!$B$17+1)),0)-IF(Presion_cilindro!N177&gt;(-B$4+Presion_cilindro!$B$34),1-EXP(-Presion_cilindro!$B$16*((Presion_cilindro!N177-(-B$4+Presion_cilindro!$B$34))/Presion_cilindro!$B$35)^(Presion_cilindro!$B$17+1)),0))/((Presion_cilindro!O177+Presion_cilindro!O178)/2)</f>
        <v>1.3061614495888143</v>
      </c>
      <c r="C186" s="27">
        <f>C185*(Presion_cilindro!O177/Presion_cilindro!O178)^Presion_cilindro!$B$9+10*(Presion_cilindro!$B$9-1)*Presion_cilindro!$B$33*(IF(Presion_cilindro!N178&gt;(-C$4+Presion_cilindro!$B$34),1-EXP(-Presion_cilindro!$B$16*((Presion_cilindro!N178-(-C$4+Presion_cilindro!$B$34))/Presion_cilindro!$B$35)^(Presion_cilindro!$B$17+1)),0)-IF(Presion_cilindro!N177&gt;(-C$4+Presion_cilindro!$B$34),1-EXP(-Presion_cilindro!$B$16*((Presion_cilindro!N177-(-C$4+Presion_cilindro!$B$34))/Presion_cilindro!$B$35)^(Presion_cilindro!$B$17+1)),0))/((Presion_cilindro!O177+Presion_cilindro!O178)/2)</f>
        <v>1.3061614495888143</v>
      </c>
      <c r="D186" s="27">
        <f>D185*(Presion_cilindro!O177/Presion_cilindro!O178)^Presion_cilindro!$B$9+10*(Presion_cilindro!$B$9-1)*Presion_cilindro!$B$33*(IF(Presion_cilindro!N178&gt;(-D$4+Presion_cilindro!$B$34),1-EXP(-Presion_cilindro!$B$16*((Presion_cilindro!N178-(-D$4+Presion_cilindro!$B$34))/Presion_cilindro!$B$35)^(Presion_cilindro!$B$17+1)),0)-IF(Presion_cilindro!N177&gt;(-D$4+Presion_cilindro!$B$34),1-EXP(-Presion_cilindro!$B$16*((Presion_cilindro!N177-(-D$4+Presion_cilindro!$B$34))/Presion_cilindro!$B$35)^(Presion_cilindro!$B$17+1)),0))/((Presion_cilindro!O177+Presion_cilindro!O178)/2)</f>
        <v>1.3061614495888143</v>
      </c>
      <c r="E186" s="27">
        <f>E185*(Presion_cilindro!O177/Presion_cilindro!O178)^Presion_cilindro!$B$9+10*(Presion_cilindro!$B$9-1)*Presion_cilindro!$B$33*(IF(Presion_cilindro!N178&gt;(-E$4+Presion_cilindro!$B$34),1-EXP(-Presion_cilindro!$B$16*((Presion_cilindro!N178-(-E$4+Presion_cilindro!$B$34))/Presion_cilindro!$B$35)^(Presion_cilindro!$B$17+1)),0)-IF(Presion_cilindro!N177&gt;(-E$4+Presion_cilindro!$B$34),1-EXP(-Presion_cilindro!$B$16*((Presion_cilindro!N177-(-E$4+Presion_cilindro!$B$34))/Presion_cilindro!$B$35)^(Presion_cilindro!$B$17+1)),0))/((Presion_cilindro!O177+Presion_cilindro!O178)/2)</f>
        <v>1.3061614495888143</v>
      </c>
      <c r="F186" s="27">
        <f>F185*(Presion_cilindro!O177/Presion_cilindro!O178)^Presion_cilindro!$B$9+10*(Presion_cilindro!$B$9-1)*Presion_cilindro!$B$33*(IF(Presion_cilindro!N178&gt;(-F$4+Presion_cilindro!$B$34),1-EXP(-Presion_cilindro!$B$16*((Presion_cilindro!N178-(-F$4+Presion_cilindro!$B$34))/Presion_cilindro!$B$35)^(Presion_cilindro!$B$17+1)),0)-IF(Presion_cilindro!N177&gt;(-F$4+Presion_cilindro!$B$34),1-EXP(-Presion_cilindro!$B$16*((Presion_cilindro!N177-(-F$4+Presion_cilindro!$B$34))/Presion_cilindro!$B$35)^(Presion_cilindro!$B$17+1)),0))/((Presion_cilindro!O177+Presion_cilindro!O178)/2)</f>
        <v>1.3061614495888143</v>
      </c>
      <c r="G186" s="27">
        <f>G185*(Presion_cilindro!O177/Presion_cilindro!O178)^Presion_cilindro!$B$9+10*(Presion_cilindro!$B$9-1)*Presion_cilindro!$B$33*(IF(Presion_cilindro!N178&gt;(-G$4+Presion_cilindro!$B$34),1-EXP(-Presion_cilindro!$B$16*((Presion_cilindro!N178-(-G$4+Presion_cilindro!$B$34))/Presion_cilindro!$B$35)^(Presion_cilindro!$B$17+1)),0)-IF(Presion_cilindro!N177&gt;(-G$4+Presion_cilindro!$B$34),1-EXP(-Presion_cilindro!$B$16*((Presion_cilindro!N177-(-G$4+Presion_cilindro!$B$34))/Presion_cilindro!$B$35)^(Presion_cilindro!$B$17+1)),0))/((Presion_cilindro!O177+Presion_cilindro!O178)/2)</f>
        <v>1.3061614495888143</v>
      </c>
      <c r="H186" s="27">
        <f>H185*(Presion_cilindro!O177/Presion_cilindro!O178)^Presion_cilindro!$B$9+10*(Presion_cilindro!$B$9-1)*Presion_cilindro!$B$33*(IF(Presion_cilindro!N178&gt;(-H$4+Presion_cilindro!$B$34),1-EXP(-Presion_cilindro!$B$16*((Presion_cilindro!N178-(-H$4+Presion_cilindro!$B$34))/Presion_cilindro!$B$35)^(Presion_cilindro!$B$17+1)),0)-IF(Presion_cilindro!N177&gt;(-H$4+Presion_cilindro!$B$34),1-EXP(-Presion_cilindro!$B$16*((Presion_cilindro!N177-(-H$4+Presion_cilindro!$B$34))/Presion_cilindro!$B$35)^(Presion_cilindro!$B$17+1)),0))/((Presion_cilindro!O177+Presion_cilindro!O178)/2)</f>
        <v>1.3061614495888143</v>
      </c>
      <c r="I186" s="27">
        <f>I185*(Presion_cilindro!O177/Presion_cilindro!O178)^Presion_cilindro!$B$9+10*(Presion_cilindro!$B$9-1)*Presion_cilindro!$B$33*(IF(Presion_cilindro!N178&gt;(-I$4+Presion_cilindro!$B$34),1-EXP(-Presion_cilindro!$B$16*((Presion_cilindro!N178-(-I$4+Presion_cilindro!$B$34))/Presion_cilindro!$B$35)^(Presion_cilindro!$B$17+1)),0)-IF(Presion_cilindro!N177&gt;(-I$4+Presion_cilindro!$B$34),1-EXP(-Presion_cilindro!$B$16*((Presion_cilindro!N177-(-I$4+Presion_cilindro!$B$34))/Presion_cilindro!$B$35)^(Presion_cilindro!$B$17+1)),0))/((Presion_cilindro!O177+Presion_cilindro!O178)/2)</f>
        <v>1.3061614495888143</v>
      </c>
      <c r="J186" s="27">
        <f>J185*(Presion_cilindro!O177/Presion_cilindro!O178)^Presion_cilindro!$B$9+10*(Presion_cilindro!$B$9-1)*Presion_cilindro!$B$33*(IF(Presion_cilindro!N178&gt;(-J$4+Presion_cilindro!$B$34),1-EXP(-Presion_cilindro!$B$16*((Presion_cilindro!N178-(-J$4+Presion_cilindro!$B$34))/Presion_cilindro!$B$35)^(Presion_cilindro!$B$17+1)),0)-IF(Presion_cilindro!N177&gt;(-J$4+Presion_cilindro!$B$34),1-EXP(-Presion_cilindro!$B$16*((Presion_cilindro!N177-(-J$4+Presion_cilindro!$B$34))/Presion_cilindro!$B$35)^(Presion_cilindro!$B$17+1)),0))/((Presion_cilindro!O177+Presion_cilindro!O178)/2)</f>
        <v>1.3061614495888143</v>
      </c>
      <c r="K186" s="27">
        <f>K185*(Presion_cilindro!O177/Presion_cilindro!O178)^Presion_cilindro!$B$9+10*(Presion_cilindro!$B$9-1)*Presion_cilindro!$B$33*(IF(Presion_cilindro!N178&gt;(-K$4+Presion_cilindro!$B$34),1-EXP(-Presion_cilindro!$B$16*((Presion_cilindro!N178-(-K$4+Presion_cilindro!$B$34))/Presion_cilindro!$B$35)^(Presion_cilindro!$B$17+1)),0)-IF(Presion_cilindro!N177&gt;(-K$4+Presion_cilindro!$B$34),1-EXP(-Presion_cilindro!$B$16*((Presion_cilindro!N177-(-K$4+Presion_cilindro!$B$34))/Presion_cilindro!$B$35)^(Presion_cilindro!$B$17+1)),0))/((Presion_cilindro!O177+Presion_cilindro!O178)/2)</f>
        <v>1.3061614495888143</v>
      </c>
      <c r="L186" s="27">
        <f>L185*(Presion_cilindro!O177/Presion_cilindro!O178)^Presion_cilindro!$B$9+10*(Presion_cilindro!$B$9-1)*Presion_cilindro!$B$33*(IF(Presion_cilindro!N178&gt;(-L$4+Presion_cilindro!$B$34),1-EXP(-Presion_cilindro!$B$16*((Presion_cilindro!N178-(-L$4+Presion_cilindro!$B$34))/Presion_cilindro!$B$35)^(Presion_cilindro!$B$17+1)),0)-IF(Presion_cilindro!N177&gt;(-L$4+Presion_cilindro!$B$34),1-EXP(-Presion_cilindro!$B$16*((Presion_cilindro!N177-(-L$4+Presion_cilindro!$B$34))/Presion_cilindro!$B$35)^(Presion_cilindro!$B$17+1)),0))/((Presion_cilindro!O177+Presion_cilindro!O178)/2)</f>
        <v>1.3061614495888143</v>
      </c>
      <c r="M186" s="27">
        <f>M185*(Presion_cilindro!O177/Presion_cilindro!O178)^Presion_cilindro!$B$9+10*(Presion_cilindro!$B$9-1)*Presion_cilindro!$B$33*(IF(Presion_cilindro!N178&gt;(-M$4+Presion_cilindro!$B$34),1-EXP(-Presion_cilindro!$B$16*((Presion_cilindro!N178-(-M$4+Presion_cilindro!$B$34))/Presion_cilindro!$B$35)^(Presion_cilindro!$B$17+1)),0)-IF(Presion_cilindro!N177&gt;(-M$4+Presion_cilindro!$B$34),1-EXP(-Presion_cilindro!$B$16*((Presion_cilindro!N177-(-M$4+Presion_cilindro!$B$34))/Presion_cilindro!$B$35)^(Presion_cilindro!$B$17+1)),0))/((Presion_cilindro!O177+Presion_cilindro!O178)/2)</f>
        <v>1.3061614495888143</v>
      </c>
      <c r="N186" s="27">
        <f>N185*(Presion_cilindro!O177/Presion_cilindro!O178)^Presion_cilindro!$B$9+10*(Presion_cilindro!$B$9-1)*Presion_cilindro!$B$33*(IF(Presion_cilindro!N178&gt;(-N$4+Presion_cilindro!$B$34),1-EXP(-Presion_cilindro!$B$16*((Presion_cilindro!N178-(-N$4+Presion_cilindro!$B$34))/Presion_cilindro!$B$35)^(Presion_cilindro!$B$17+1)),0)-IF(Presion_cilindro!N177&gt;(-N$4+Presion_cilindro!$B$34),1-EXP(-Presion_cilindro!$B$16*((Presion_cilindro!N177-(-N$4+Presion_cilindro!$B$34))/Presion_cilindro!$B$35)^(Presion_cilindro!$B$17+1)),0))/((Presion_cilindro!O177+Presion_cilindro!O178)/2)</f>
        <v>1.3061614495888143</v>
      </c>
    </row>
    <row r="187" spans="1:14" x14ac:dyDescent="0.25">
      <c r="A187" s="21">
        <f>Presion_cilindro!N179</f>
        <v>-92.5</v>
      </c>
      <c r="B187" s="27">
        <f>B186*(Presion_cilindro!O178/Presion_cilindro!O179)^Presion_cilindro!$B$9+10*(Presion_cilindro!$B$9-1)*Presion_cilindro!$B$33*(IF(Presion_cilindro!N179&gt;(-B$4+Presion_cilindro!$B$34),1-EXP(-Presion_cilindro!$B$16*((Presion_cilindro!N179-(-B$4+Presion_cilindro!$B$34))/Presion_cilindro!$B$35)^(Presion_cilindro!$B$17+1)),0)-IF(Presion_cilindro!N178&gt;(-B$4+Presion_cilindro!$B$34),1-EXP(-Presion_cilindro!$B$16*((Presion_cilindro!N178-(-B$4+Presion_cilindro!$B$34))/Presion_cilindro!$B$35)^(Presion_cilindro!$B$17+1)),0))/((Presion_cilindro!O178+Presion_cilindro!O179)/2)</f>
        <v>1.3167468106785296</v>
      </c>
      <c r="C187" s="27">
        <f>C186*(Presion_cilindro!O178/Presion_cilindro!O179)^Presion_cilindro!$B$9+10*(Presion_cilindro!$B$9-1)*Presion_cilindro!$B$33*(IF(Presion_cilindro!N179&gt;(-C$4+Presion_cilindro!$B$34),1-EXP(-Presion_cilindro!$B$16*((Presion_cilindro!N179-(-C$4+Presion_cilindro!$B$34))/Presion_cilindro!$B$35)^(Presion_cilindro!$B$17+1)),0)-IF(Presion_cilindro!N178&gt;(-C$4+Presion_cilindro!$B$34),1-EXP(-Presion_cilindro!$B$16*((Presion_cilindro!N178-(-C$4+Presion_cilindro!$B$34))/Presion_cilindro!$B$35)^(Presion_cilindro!$B$17+1)),0))/((Presion_cilindro!O178+Presion_cilindro!O179)/2)</f>
        <v>1.3167468106785296</v>
      </c>
      <c r="D187" s="27">
        <f>D186*(Presion_cilindro!O178/Presion_cilindro!O179)^Presion_cilindro!$B$9+10*(Presion_cilindro!$B$9-1)*Presion_cilindro!$B$33*(IF(Presion_cilindro!N179&gt;(-D$4+Presion_cilindro!$B$34),1-EXP(-Presion_cilindro!$B$16*((Presion_cilindro!N179-(-D$4+Presion_cilindro!$B$34))/Presion_cilindro!$B$35)^(Presion_cilindro!$B$17+1)),0)-IF(Presion_cilindro!N178&gt;(-D$4+Presion_cilindro!$B$34),1-EXP(-Presion_cilindro!$B$16*((Presion_cilindro!N178-(-D$4+Presion_cilindro!$B$34))/Presion_cilindro!$B$35)^(Presion_cilindro!$B$17+1)),0))/((Presion_cilindro!O178+Presion_cilindro!O179)/2)</f>
        <v>1.3167468106785296</v>
      </c>
      <c r="E187" s="27">
        <f>E186*(Presion_cilindro!O178/Presion_cilindro!O179)^Presion_cilindro!$B$9+10*(Presion_cilindro!$B$9-1)*Presion_cilindro!$B$33*(IF(Presion_cilindro!N179&gt;(-E$4+Presion_cilindro!$B$34),1-EXP(-Presion_cilindro!$B$16*((Presion_cilindro!N179-(-E$4+Presion_cilindro!$B$34))/Presion_cilindro!$B$35)^(Presion_cilindro!$B$17+1)),0)-IF(Presion_cilindro!N178&gt;(-E$4+Presion_cilindro!$B$34),1-EXP(-Presion_cilindro!$B$16*((Presion_cilindro!N178-(-E$4+Presion_cilindro!$B$34))/Presion_cilindro!$B$35)^(Presion_cilindro!$B$17+1)),0))/((Presion_cilindro!O178+Presion_cilindro!O179)/2)</f>
        <v>1.3167468106785296</v>
      </c>
      <c r="F187" s="27">
        <f>F186*(Presion_cilindro!O178/Presion_cilindro!O179)^Presion_cilindro!$B$9+10*(Presion_cilindro!$B$9-1)*Presion_cilindro!$B$33*(IF(Presion_cilindro!N179&gt;(-F$4+Presion_cilindro!$B$34),1-EXP(-Presion_cilindro!$B$16*((Presion_cilindro!N179-(-F$4+Presion_cilindro!$B$34))/Presion_cilindro!$B$35)^(Presion_cilindro!$B$17+1)),0)-IF(Presion_cilindro!N178&gt;(-F$4+Presion_cilindro!$B$34),1-EXP(-Presion_cilindro!$B$16*((Presion_cilindro!N178-(-F$4+Presion_cilindro!$B$34))/Presion_cilindro!$B$35)^(Presion_cilindro!$B$17+1)),0))/((Presion_cilindro!O178+Presion_cilindro!O179)/2)</f>
        <v>1.3167468106785296</v>
      </c>
      <c r="G187" s="27">
        <f>G186*(Presion_cilindro!O178/Presion_cilindro!O179)^Presion_cilindro!$B$9+10*(Presion_cilindro!$B$9-1)*Presion_cilindro!$B$33*(IF(Presion_cilindro!N179&gt;(-G$4+Presion_cilindro!$B$34),1-EXP(-Presion_cilindro!$B$16*((Presion_cilindro!N179-(-G$4+Presion_cilindro!$B$34))/Presion_cilindro!$B$35)^(Presion_cilindro!$B$17+1)),0)-IF(Presion_cilindro!N178&gt;(-G$4+Presion_cilindro!$B$34),1-EXP(-Presion_cilindro!$B$16*((Presion_cilindro!N178-(-G$4+Presion_cilindro!$B$34))/Presion_cilindro!$B$35)^(Presion_cilindro!$B$17+1)),0))/((Presion_cilindro!O178+Presion_cilindro!O179)/2)</f>
        <v>1.3167468106785296</v>
      </c>
      <c r="H187" s="27">
        <f>H186*(Presion_cilindro!O178/Presion_cilindro!O179)^Presion_cilindro!$B$9+10*(Presion_cilindro!$B$9-1)*Presion_cilindro!$B$33*(IF(Presion_cilindro!N179&gt;(-H$4+Presion_cilindro!$B$34),1-EXP(-Presion_cilindro!$B$16*((Presion_cilindro!N179-(-H$4+Presion_cilindro!$B$34))/Presion_cilindro!$B$35)^(Presion_cilindro!$B$17+1)),0)-IF(Presion_cilindro!N178&gt;(-H$4+Presion_cilindro!$B$34),1-EXP(-Presion_cilindro!$B$16*((Presion_cilindro!N178-(-H$4+Presion_cilindro!$B$34))/Presion_cilindro!$B$35)^(Presion_cilindro!$B$17+1)),0))/((Presion_cilindro!O178+Presion_cilindro!O179)/2)</f>
        <v>1.3167468106785296</v>
      </c>
      <c r="I187" s="27">
        <f>I186*(Presion_cilindro!O178/Presion_cilindro!O179)^Presion_cilindro!$B$9+10*(Presion_cilindro!$B$9-1)*Presion_cilindro!$B$33*(IF(Presion_cilindro!N179&gt;(-I$4+Presion_cilindro!$B$34),1-EXP(-Presion_cilindro!$B$16*((Presion_cilindro!N179-(-I$4+Presion_cilindro!$B$34))/Presion_cilindro!$B$35)^(Presion_cilindro!$B$17+1)),0)-IF(Presion_cilindro!N178&gt;(-I$4+Presion_cilindro!$B$34),1-EXP(-Presion_cilindro!$B$16*((Presion_cilindro!N178-(-I$4+Presion_cilindro!$B$34))/Presion_cilindro!$B$35)^(Presion_cilindro!$B$17+1)),0))/((Presion_cilindro!O178+Presion_cilindro!O179)/2)</f>
        <v>1.3167468106785296</v>
      </c>
      <c r="J187" s="27">
        <f>J186*(Presion_cilindro!O178/Presion_cilindro!O179)^Presion_cilindro!$B$9+10*(Presion_cilindro!$B$9-1)*Presion_cilindro!$B$33*(IF(Presion_cilindro!N179&gt;(-J$4+Presion_cilindro!$B$34),1-EXP(-Presion_cilindro!$B$16*((Presion_cilindro!N179-(-J$4+Presion_cilindro!$B$34))/Presion_cilindro!$B$35)^(Presion_cilindro!$B$17+1)),0)-IF(Presion_cilindro!N178&gt;(-J$4+Presion_cilindro!$B$34),1-EXP(-Presion_cilindro!$B$16*((Presion_cilindro!N178-(-J$4+Presion_cilindro!$B$34))/Presion_cilindro!$B$35)^(Presion_cilindro!$B$17+1)),0))/((Presion_cilindro!O178+Presion_cilindro!O179)/2)</f>
        <v>1.3167468106785296</v>
      </c>
      <c r="K187" s="27">
        <f>K186*(Presion_cilindro!O178/Presion_cilindro!O179)^Presion_cilindro!$B$9+10*(Presion_cilindro!$B$9-1)*Presion_cilindro!$B$33*(IF(Presion_cilindro!N179&gt;(-K$4+Presion_cilindro!$B$34),1-EXP(-Presion_cilindro!$B$16*((Presion_cilindro!N179-(-K$4+Presion_cilindro!$B$34))/Presion_cilindro!$B$35)^(Presion_cilindro!$B$17+1)),0)-IF(Presion_cilindro!N178&gt;(-K$4+Presion_cilindro!$B$34),1-EXP(-Presion_cilindro!$B$16*((Presion_cilindro!N178-(-K$4+Presion_cilindro!$B$34))/Presion_cilindro!$B$35)^(Presion_cilindro!$B$17+1)),0))/((Presion_cilindro!O178+Presion_cilindro!O179)/2)</f>
        <v>1.3167468106785296</v>
      </c>
      <c r="L187" s="27">
        <f>L186*(Presion_cilindro!O178/Presion_cilindro!O179)^Presion_cilindro!$B$9+10*(Presion_cilindro!$B$9-1)*Presion_cilindro!$B$33*(IF(Presion_cilindro!N179&gt;(-L$4+Presion_cilindro!$B$34),1-EXP(-Presion_cilindro!$B$16*((Presion_cilindro!N179-(-L$4+Presion_cilindro!$B$34))/Presion_cilindro!$B$35)^(Presion_cilindro!$B$17+1)),0)-IF(Presion_cilindro!N178&gt;(-L$4+Presion_cilindro!$B$34),1-EXP(-Presion_cilindro!$B$16*((Presion_cilindro!N178-(-L$4+Presion_cilindro!$B$34))/Presion_cilindro!$B$35)^(Presion_cilindro!$B$17+1)),0))/((Presion_cilindro!O178+Presion_cilindro!O179)/2)</f>
        <v>1.3167468106785296</v>
      </c>
      <c r="M187" s="27">
        <f>M186*(Presion_cilindro!O178/Presion_cilindro!O179)^Presion_cilindro!$B$9+10*(Presion_cilindro!$B$9-1)*Presion_cilindro!$B$33*(IF(Presion_cilindro!N179&gt;(-M$4+Presion_cilindro!$B$34),1-EXP(-Presion_cilindro!$B$16*((Presion_cilindro!N179-(-M$4+Presion_cilindro!$B$34))/Presion_cilindro!$B$35)^(Presion_cilindro!$B$17+1)),0)-IF(Presion_cilindro!N178&gt;(-M$4+Presion_cilindro!$B$34),1-EXP(-Presion_cilindro!$B$16*((Presion_cilindro!N178-(-M$4+Presion_cilindro!$B$34))/Presion_cilindro!$B$35)^(Presion_cilindro!$B$17+1)),0))/((Presion_cilindro!O178+Presion_cilindro!O179)/2)</f>
        <v>1.3167468106785296</v>
      </c>
      <c r="N187" s="27">
        <f>N186*(Presion_cilindro!O178/Presion_cilindro!O179)^Presion_cilindro!$B$9+10*(Presion_cilindro!$B$9-1)*Presion_cilindro!$B$33*(IF(Presion_cilindro!N179&gt;(-N$4+Presion_cilindro!$B$34),1-EXP(-Presion_cilindro!$B$16*((Presion_cilindro!N179-(-N$4+Presion_cilindro!$B$34))/Presion_cilindro!$B$35)^(Presion_cilindro!$B$17+1)),0)-IF(Presion_cilindro!N178&gt;(-N$4+Presion_cilindro!$B$34),1-EXP(-Presion_cilindro!$B$16*((Presion_cilindro!N178-(-N$4+Presion_cilindro!$B$34))/Presion_cilindro!$B$35)^(Presion_cilindro!$B$17+1)),0))/((Presion_cilindro!O178+Presion_cilindro!O179)/2)</f>
        <v>1.3167468106785296</v>
      </c>
    </row>
    <row r="188" spans="1:14" x14ac:dyDescent="0.25">
      <c r="A188" s="21">
        <f>Presion_cilindro!N180</f>
        <v>-92</v>
      </c>
      <c r="B188" s="27">
        <f>B187*(Presion_cilindro!O179/Presion_cilindro!O180)^Presion_cilindro!$B$9+10*(Presion_cilindro!$B$9-1)*Presion_cilindro!$B$33*(IF(Presion_cilindro!N180&gt;(-B$4+Presion_cilindro!$B$34),1-EXP(-Presion_cilindro!$B$16*((Presion_cilindro!N180-(-B$4+Presion_cilindro!$B$34))/Presion_cilindro!$B$35)^(Presion_cilindro!$B$17+1)),0)-IF(Presion_cilindro!N179&gt;(-B$4+Presion_cilindro!$B$34),1-EXP(-Presion_cilindro!$B$16*((Presion_cilindro!N179-(-B$4+Presion_cilindro!$B$34))/Presion_cilindro!$B$35)^(Presion_cilindro!$B$17+1)),0))/((Presion_cilindro!O179+Presion_cilindro!O180)/2)</f>
        <v>1.327516018435787</v>
      </c>
      <c r="C188" s="27">
        <f>C187*(Presion_cilindro!O179/Presion_cilindro!O180)^Presion_cilindro!$B$9+10*(Presion_cilindro!$B$9-1)*Presion_cilindro!$B$33*(IF(Presion_cilindro!N180&gt;(-C$4+Presion_cilindro!$B$34),1-EXP(-Presion_cilindro!$B$16*((Presion_cilindro!N180-(-C$4+Presion_cilindro!$B$34))/Presion_cilindro!$B$35)^(Presion_cilindro!$B$17+1)),0)-IF(Presion_cilindro!N179&gt;(-C$4+Presion_cilindro!$B$34),1-EXP(-Presion_cilindro!$B$16*((Presion_cilindro!N179-(-C$4+Presion_cilindro!$B$34))/Presion_cilindro!$B$35)^(Presion_cilindro!$B$17+1)),0))/((Presion_cilindro!O179+Presion_cilindro!O180)/2)</f>
        <v>1.327516018435787</v>
      </c>
      <c r="D188" s="27">
        <f>D187*(Presion_cilindro!O179/Presion_cilindro!O180)^Presion_cilindro!$B$9+10*(Presion_cilindro!$B$9-1)*Presion_cilindro!$B$33*(IF(Presion_cilindro!N180&gt;(-D$4+Presion_cilindro!$B$34),1-EXP(-Presion_cilindro!$B$16*((Presion_cilindro!N180-(-D$4+Presion_cilindro!$B$34))/Presion_cilindro!$B$35)^(Presion_cilindro!$B$17+1)),0)-IF(Presion_cilindro!N179&gt;(-D$4+Presion_cilindro!$B$34),1-EXP(-Presion_cilindro!$B$16*((Presion_cilindro!N179-(-D$4+Presion_cilindro!$B$34))/Presion_cilindro!$B$35)^(Presion_cilindro!$B$17+1)),0))/((Presion_cilindro!O179+Presion_cilindro!O180)/2)</f>
        <v>1.327516018435787</v>
      </c>
      <c r="E188" s="27">
        <f>E187*(Presion_cilindro!O179/Presion_cilindro!O180)^Presion_cilindro!$B$9+10*(Presion_cilindro!$B$9-1)*Presion_cilindro!$B$33*(IF(Presion_cilindro!N180&gt;(-E$4+Presion_cilindro!$B$34),1-EXP(-Presion_cilindro!$B$16*((Presion_cilindro!N180-(-E$4+Presion_cilindro!$B$34))/Presion_cilindro!$B$35)^(Presion_cilindro!$B$17+1)),0)-IF(Presion_cilindro!N179&gt;(-E$4+Presion_cilindro!$B$34),1-EXP(-Presion_cilindro!$B$16*((Presion_cilindro!N179-(-E$4+Presion_cilindro!$B$34))/Presion_cilindro!$B$35)^(Presion_cilindro!$B$17+1)),0))/((Presion_cilindro!O179+Presion_cilindro!O180)/2)</f>
        <v>1.327516018435787</v>
      </c>
      <c r="F188" s="27">
        <f>F187*(Presion_cilindro!O179/Presion_cilindro!O180)^Presion_cilindro!$B$9+10*(Presion_cilindro!$B$9-1)*Presion_cilindro!$B$33*(IF(Presion_cilindro!N180&gt;(-F$4+Presion_cilindro!$B$34),1-EXP(-Presion_cilindro!$B$16*((Presion_cilindro!N180-(-F$4+Presion_cilindro!$B$34))/Presion_cilindro!$B$35)^(Presion_cilindro!$B$17+1)),0)-IF(Presion_cilindro!N179&gt;(-F$4+Presion_cilindro!$B$34),1-EXP(-Presion_cilindro!$B$16*((Presion_cilindro!N179-(-F$4+Presion_cilindro!$B$34))/Presion_cilindro!$B$35)^(Presion_cilindro!$B$17+1)),0))/((Presion_cilindro!O179+Presion_cilindro!O180)/2)</f>
        <v>1.327516018435787</v>
      </c>
      <c r="G188" s="27">
        <f>G187*(Presion_cilindro!O179/Presion_cilindro!O180)^Presion_cilindro!$B$9+10*(Presion_cilindro!$B$9-1)*Presion_cilindro!$B$33*(IF(Presion_cilindro!N180&gt;(-G$4+Presion_cilindro!$B$34),1-EXP(-Presion_cilindro!$B$16*((Presion_cilindro!N180-(-G$4+Presion_cilindro!$B$34))/Presion_cilindro!$B$35)^(Presion_cilindro!$B$17+1)),0)-IF(Presion_cilindro!N179&gt;(-G$4+Presion_cilindro!$B$34),1-EXP(-Presion_cilindro!$B$16*((Presion_cilindro!N179-(-G$4+Presion_cilindro!$B$34))/Presion_cilindro!$B$35)^(Presion_cilindro!$B$17+1)),0))/((Presion_cilindro!O179+Presion_cilindro!O180)/2)</f>
        <v>1.327516018435787</v>
      </c>
      <c r="H188" s="27">
        <f>H187*(Presion_cilindro!O179/Presion_cilindro!O180)^Presion_cilindro!$B$9+10*(Presion_cilindro!$B$9-1)*Presion_cilindro!$B$33*(IF(Presion_cilindro!N180&gt;(-H$4+Presion_cilindro!$B$34),1-EXP(-Presion_cilindro!$B$16*((Presion_cilindro!N180-(-H$4+Presion_cilindro!$B$34))/Presion_cilindro!$B$35)^(Presion_cilindro!$B$17+1)),0)-IF(Presion_cilindro!N179&gt;(-H$4+Presion_cilindro!$B$34),1-EXP(-Presion_cilindro!$B$16*((Presion_cilindro!N179-(-H$4+Presion_cilindro!$B$34))/Presion_cilindro!$B$35)^(Presion_cilindro!$B$17+1)),0))/((Presion_cilindro!O179+Presion_cilindro!O180)/2)</f>
        <v>1.327516018435787</v>
      </c>
      <c r="I188" s="27">
        <f>I187*(Presion_cilindro!O179/Presion_cilindro!O180)^Presion_cilindro!$B$9+10*(Presion_cilindro!$B$9-1)*Presion_cilindro!$B$33*(IF(Presion_cilindro!N180&gt;(-I$4+Presion_cilindro!$B$34),1-EXP(-Presion_cilindro!$B$16*((Presion_cilindro!N180-(-I$4+Presion_cilindro!$B$34))/Presion_cilindro!$B$35)^(Presion_cilindro!$B$17+1)),0)-IF(Presion_cilindro!N179&gt;(-I$4+Presion_cilindro!$B$34),1-EXP(-Presion_cilindro!$B$16*((Presion_cilindro!N179-(-I$4+Presion_cilindro!$B$34))/Presion_cilindro!$B$35)^(Presion_cilindro!$B$17+1)),0))/((Presion_cilindro!O179+Presion_cilindro!O180)/2)</f>
        <v>1.327516018435787</v>
      </c>
      <c r="J188" s="27">
        <f>J187*(Presion_cilindro!O179/Presion_cilindro!O180)^Presion_cilindro!$B$9+10*(Presion_cilindro!$B$9-1)*Presion_cilindro!$B$33*(IF(Presion_cilindro!N180&gt;(-J$4+Presion_cilindro!$B$34),1-EXP(-Presion_cilindro!$B$16*((Presion_cilindro!N180-(-J$4+Presion_cilindro!$B$34))/Presion_cilindro!$B$35)^(Presion_cilindro!$B$17+1)),0)-IF(Presion_cilindro!N179&gt;(-J$4+Presion_cilindro!$B$34),1-EXP(-Presion_cilindro!$B$16*((Presion_cilindro!N179-(-J$4+Presion_cilindro!$B$34))/Presion_cilindro!$B$35)^(Presion_cilindro!$B$17+1)),0))/((Presion_cilindro!O179+Presion_cilindro!O180)/2)</f>
        <v>1.327516018435787</v>
      </c>
      <c r="K188" s="27">
        <f>K187*(Presion_cilindro!O179/Presion_cilindro!O180)^Presion_cilindro!$B$9+10*(Presion_cilindro!$B$9-1)*Presion_cilindro!$B$33*(IF(Presion_cilindro!N180&gt;(-K$4+Presion_cilindro!$B$34),1-EXP(-Presion_cilindro!$B$16*((Presion_cilindro!N180-(-K$4+Presion_cilindro!$B$34))/Presion_cilindro!$B$35)^(Presion_cilindro!$B$17+1)),0)-IF(Presion_cilindro!N179&gt;(-K$4+Presion_cilindro!$B$34),1-EXP(-Presion_cilindro!$B$16*((Presion_cilindro!N179-(-K$4+Presion_cilindro!$B$34))/Presion_cilindro!$B$35)^(Presion_cilindro!$B$17+1)),0))/((Presion_cilindro!O179+Presion_cilindro!O180)/2)</f>
        <v>1.327516018435787</v>
      </c>
      <c r="L188" s="27">
        <f>L187*(Presion_cilindro!O179/Presion_cilindro!O180)^Presion_cilindro!$B$9+10*(Presion_cilindro!$B$9-1)*Presion_cilindro!$B$33*(IF(Presion_cilindro!N180&gt;(-L$4+Presion_cilindro!$B$34),1-EXP(-Presion_cilindro!$B$16*((Presion_cilindro!N180-(-L$4+Presion_cilindro!$B$34))/Presion_cilindro!$B$35)^(Presion_cilindro!$B$17+1)),0)-IF(Presion_cilindro!N179&gt;(-L$4+Presion_cilindro!$B$34),1-EXP(-Presion_cilindro!$B$16*((Presion_cilindro!N179-(-L$4+Presion_cilindro!$B$34))/Presion_cilindro!$B$35)^(Presion_cilindro!$B$17+1)),0))/((Presion_cilindro!O179+Presion_cilindro!O180)/2)</f>
        <v>1.327516018435787</v>
      </c>
      <c r="M188" s="27">
        <f>M187*(Presion_cilindro!O179/Presion_cilindro!O180)^Presion_cilindro!$B$9+10*(Presion_cilindro!$B$9-1)*Presion_cilindro!$B$33*(IF(Presion_cilindro!N180&gt;(-M$4+Presion_cilindro!$B$34),1-EXP(-Presion_cilindro!$B$16*((Presion_cilindro!N180-(-M$4+Presion_cilindro!$B$34))/Presion_cilindro!$B$35)^(Presion_cilindro!$B$17+1)),0)-IF(Presion_cilindro!N179&gt;(-M$4+Presion_cilindro!$B$34),1-EXP(-Presion_cilindro!$B$16*((Presion_cilindro!N179-(-M$4+Presion_cilindro!$B$34))/Presion_cilindro!$B$35)^(Presion_cilindro!$B$17+1)),0))/((Presion_cilindro!O179+Presion_cilindro!O180)/2)</f>
        <v>1.327516018435787</v>
      </c>
      <c r="N188" s="27">
        <f>N187*(Presion_cilindro!O179/Presion_cilindro!O180)^Presion_cilindro!$B$9+10*(Presion_cilindro!$B$9-1)*Presion_cilindro!$B$33*(IF(Presion_cilindro!N180&gt;(-N$4+Presion_cilindro!$B$34),1-EXP(-Presion_cilindro!$B$16*((Presion_cilindro!N180-(-N$4+Presion_cilindro!$B$34))/Presion_cilindro!$B$35)^(Presion_cilindro!$B$17+1)),0)-IF(Presion_cilindro!N179&gt;(-N$4+Presion_cilindro!$B$34),1-EXP(-Presion_cilindro!$B$16*((Presion_cilindro!N179-(-N$4+Presion_cilindro!$B$34))/Presion_cilindro!$B$35)^(Presion_cilindro!$B$17+1)),0))/((Presion_cilindro!O179+Presion_cilindro!O180)/2)</f>
        <v>1.327516018435787</v>
      </c>
    </row>
    <row r="189" spans="1:14" x14ac:dyDescent="0.25">
      <c r="A189" s="21">
        <f>Presion_cilindro!N181</f>
        <v>-91.5</v>
      </c>
      <c r="B189" s="27">
        <f>B188*(Presion_cilindro!O180/Presion_cilindro!O181)^Presion_cilindro!$B$9+10*(Presion_cilindro!$B$9-1)*Presion_cilindro!$B$33*(IF(Presion_cilindro!N181&gt;(-B$4+Presion_cilindro!$B$34),1-EXP(-Presion_cilindro!$B$16*((Presion_cilindro!N181-(-B$4+Presion_cilindro!$B$34))/Presion_cilindro!$B$35)^(Presion_cilindro!$B$17+1)),0)-IF(Presion_cilindro!N180&gt;(-B$4+Presion_cilindro!$B$34),1-EXP(-Presion_cilindro!$B$16*((Presion_cilindro!N180-(-B$4+Presion_cilindro!$B$34))/Presion_cilindro!$B$35)^(Presion_cilindro!$B$17+1)),0))/((Presion_cilindro!O180+Presion_cilindro!O181)/2)</f>
        <v>1.3384727892808423</v>
      </c>
      <c r="C189" s="27">
        <f>C188*(Presion_cilindro!O180/Presion_cilindro!O181)^Presion_cilindro!$B$9+10*(Presion_cilindro!$B$9-1)*Presion_cilindro!$B$33*(IF(Presion_cilindro!N181&gt;(-C$4+Presion_cilindro!$B$34),1-EXP(-Presion_cilindro!$B$16*((Presion_cilindro!N181-(-C$4+Presion_cilindro!$B$34))/Presion_cilindro!$B$35)^(Presion_cilindro!$B$17+1)),0)-IF(Presion_cilindro!N180&gt;(-C$4+Presion_cilindro!$B$34),1-EXP(-Presion_cilindro!$B$16*((Presion_cilindro!N180-(-C$4+Presion_cilindro!$B$34))/Presion_cilindro!$B$35)^(Presion_cilindro!$B$17+1)),0))/((Presion_cilindro!O180+Presion_cilindro!O181)/2)</f>
        <v>1.3384727892808423</v>
      </c>
      <c r="D189" s="27">
        <f>D188*(Presion_cilindro!O180/Presion_cilindro!O181)^Presion_cilindro!$B$9+10*(Presion_cilindro!$B$9-1)*Presion_cilindro!$B$33*(IF(Presion_cilindro!N181&gt;(-D$4+Presion_cilindro!$B$34),1-EXP(-Presion_cilindro!$B$16*((Presion_cilindro!N181-(-D$4+Presion_cilindro!$B$34))/Presion_cilindro!$B$35)^(Presion_cilindro!$B$17+1)),0)-IF(Presion_cilindro!N180&gt;(-D$4+Presion_cilindro!$B$34),1-EXP(-Presion_cilindro!$B$16*((Presion_cilindro!N180-(-D$4+Presion_cilindro!$B$34))/Presion_cilindro!$B$35)^(Presion_cilindro!$B$17+1)),0))/((Presion_cilindro!O180+Presion_cilindro!O181)/2)</f>
        <v>1.3384727892808423</v>
      </c>
      <c r="E189" s="27">
        <f>E188*(Presion_cilindro!O180/Presion_cilindro!O181)^Presion_cilindro!$B$9+10*(Presion_cilindro!$B$9-1)*Presion_cilindro!$B$33*(IF(Presion_cilindro!N181&gt;(-E$4+Presion_cilindro!$B$34),1-EXP(-Presion_cilindro!$B$16*((Presion_cilindro!N181-(-E$4+Presion_cilindro!$B$34))/Presion_cilindro!$B$35)^(Presion_cilindro!$B$17+1)),0)-IF(Presion_cilindro!N180&gt;(-E$4+Presion_cilindro!$B$34),1-EXP(-Presion_cilindro!$B$16*((Presion_cilindro!N180-(-E$4+Presion_cilindro!$B$34))/Presion_cilindro!$B$35)^(Presion_cilindro!$B$17+1)),0))/((Presion_cilindro!O180+Presion_cilindro!O181)/2)</f>
        <v>1.3384727892808423</v>
      </c>
      <c r="F189" s="27">
        <f>F188*(Presion_cilindro!O180/Presion_cilindro!O181)^Presion_cilindro!$B$9+10*(Presion_cilindro!$B$9-1)*Presion_cilindro!$B$33*(IF(Presion_cilindro!N181&gt;(-F$4+Presion_cilindro!$B$34),1-EXP(-Presion_cilindro!$B$16*((Presion_cilindro!N181-(-F$4+Presion_cilindro!$B$34))/Presion_cilindro!$B$35)^(Presion_cilindro!$B$17+1)),0)-IF(Presion_cilindro!N180&gt;(-F$4+Presion_cilindro!$B$34),1-EXP(-Presion_cilindro!$B$16*((Presion_cilindro!N180-(-F$4+Presion_cilindro!$B$34))/Presion_cilindro!$B$35)^(Presion_cilindro!$B$17+1)),0))/((Presion_cilindro!O180+Presion_cilindro!O181)/2)</f>
        <v>1.3384727892808423</v>
      </c>
      <c r="G189" s="27">
        <f>G188*(Presion_cilindro!O180/Presion_cilindro!O181)^Presion_cilindro!$B$9+10*(Presion_cilindro!$B$9-1)*Presion_cilindro!$B$33*(IF(Presion_cilindro!N181&gt;(-G$4+Presion_cilindro!$B$34),1-EXP(-Presion_cilindro!$B$16*((Presion_cilindro!N181-(-G$4+Presion_cilindro!$B$34))/Presion_cilindro!$B$35)^(Presion_cilindro!$B$17+1)),0)-IF(Presion_cilindro!N180&gt;(-G$4+Presion_cilindro!$B$34),1-EXP(-Presion_cilindro!$B$16*((Presion_cilindro!N180-(-G$4+Presion_cilindro!$B$34))/Presion_cilindro!$B$35)^(Presion_cilindro!$B$17+1)),0))/((Presion_cilindro!O180+Presion_cilindro!O181)/2)</f>
        <v>1.3384727892808423</v>
      </c>
      <c r="H189" s="27">
        <f>H188*(Presion_cilindro!O180/Presion_cilindro!O181)^Presion_cilindro!$B$9+10*(Presion_cilindro!$B$9-1)*Presion_cilindro!$B$33*(IF(Presion_cilindro!N181&gt;(-H$4+Presion_cilindro!$B$34),1-EXP(-Presion_cilindro!$B$16*((Presion_cilindro!N181-(-H$4+Presion_cilindro!$B$34))/Presion_cilindro!$B$35)^(Presion_cilindro!$B$17+1)),0)-IF(Presion_cilindro!N180&gt;(-H$4+Presion_cilindro!$B$34),1-EXP(-Presion_cilindro!$B$16*((Presion_cilindro!N180-(-H$4+Presion_cilindro!$B$34))/Presion_cilindro!$B$35)^(Presion_cilindro!$B$17+1)),0))/((Presion_cilindro!O180+Presion_cilindro!O181)/2)</f>
        <v>1.3384727892808423</v>
      </c>
      <c r="I189" s="27">
        <f>I188*(Presion_cilindro!O180/Presion_cilindro!O181)^Presion_cilindro!$B$9+10*(Presion_cilindro!$B$9-1)*Presion_cilindro!$B$33*(IF(Presion_cilindro!N181&gt;(-I$4+Presion_cilindro!$B$34),1-EXP(-Presion_cilindro!$B$16*((Presion_cilindro!N181-(-I$4+Presion_cilindro!$B$34))/Presion_cilindro!$B$35)^(Presion_cilindro!$B$17+1)),0)-IF(Presion_cilindro!N180&gt;(-I$4+Presion_cilindro!$B$34),1-EXP(-Presion_cilindro!$B$16*((Presion_cilindro!N180-(-I$4+Presion_cilindro!$B$34))/Presion_cilindro!$B$35)^(Presion_cilindro!$B$17+1)),0))/((Presion_cilindro!O180+Presion_cilindro!O181)/2)</f>
        <v>1.3384727892808423</v>
      </c>
      <c r="J189" s="27">
        <f>J188*(Presion_cilindro!O180/Presion_cilindro!O181)^Presion_cilindro!$B$9+10*(Presion_cilindro!$B$9-1)*Presion_cilindro!$B$33*(IF(Presion_cilindro!N181&gt;(-J$4+Presion_cilindro!$B$34),1-EXP(-Presion_cilindro!$B$16*((Presion_cilindro!N181-(-J$4+Presion_cilindro!$B$34))/Presion_cilindro!$B$35)^(Presion_cilindro!$B$17+1)),0)-IF(Presion_cilindro!N180&gt;(-J$4+Presion_cilindro!$B$34),1-EXP(-Presion_cilindro!$B$16*((Presion_cilindro!N180-(-J$4+Presion_cilindro!$B$34))/Presion_cilindro!$B$35)^(Presion_cilindro!$B$17+1)),0))/((Presion_cilindro!O180+Presion_cilindro!O181)/2)</f>
        <v>1.3384727892808423</v>
      </c>
      <c r="K189" s="27">
        <f>K188*(Presion_cilindro!O180/Presion_cilindro!O181)^Presion_cilindro!$B$9+10*(Presion_cilindro!$B$9-1)*Presion_cilindro!$B$33*(IF(Presion_cilindro!N181&gt;(-K$4+Presion_cilindro!$B$34),1-EXP(-Presion_cilindro!$B$16*((Presion_cilindro!N181-(-K$4+Presion_cilindro!$B$34))/Presion_cilindro!$B$35)^(Presion_cilindro!$B$17+1)),0)-IF(Presion_cilindro!N180&gt;(-K$4+Presion_cilindro!$B$34),1-EXP(-Presion_cilindro!$B$16*((Presion_cilindro!N180-(-K$4+Presion_cilindro!$B$34))/Presion_cilindro!$B$35)^(Presion_cilindro!$B$17+1)),0))/((Presion_cilindro!O180+Presion_cilindro!O181)/2)</f>
        <v>1.3384727892808423</v>
      </c>
      <c r="L189" s="27">
        <f>L188*(Presion_cilindro!O180/Presion_cilindro!O181)^Presion_cilindro!$B$9+10*(Presion_cilindro!$B$9-1)*Presion_cilindro!$B$33*(IF(Presion_cilindro!N181&gt;(-L$4+Presion_cilindro!$B$34),1-EXP(-Presion_cilindro!$B$16*((Presion_cilindro!N181-(-L$4+Presion_cilindro!$B$34))/Presion_cilindro!$B$35)^(Presion_cilindro!$B$17+1)),0)-IF(Presion_cilindro!N180&gt;(-L$4+Presion_cilindro!$B$34),1-EXP(-Presion_cilindro!$B$16*((Presion_cilindro!N180-(-L$4+Presion_cilindro!$B$34))/Presion_cilindro!$B$35)^(Presion_cilindro!$B$17+1)),0))/((Presion_cilindro!O180+Presion_cilindro!O181)/2)</f>
        <v>1.3384727892808423</v>
      </c>
      <c r="M189" s="27">
        <f>M188*(Presion_cilindro!O180/Presion_cilindro!O181)^Presion_cilindro!$B$9+10*(Presion_cilindro!$B$9-1)*Presion_cilindro!$B$33*(IF(Presion_cilindro!N181&gt;(-M$4+Presion_cilindro!$B$34),1-EXP(-Presion_cilindro!$B$16*((Presion_cilindro!N181-(-M$4+Presion_cilindro!$B$34))/Presion_cilindro!$B$35)^(Presion_cilindro!$B$17+1)),0)-IF(Presion_cilindro!N180&gt;(-M$4+Presion_cilindro!$B$34),1-EXP(-Presion_cilindro!$B$16*((Presion_cilindro!N180-(-M$4+Presion_cilindro!$B$34))/Presion_cilindro!$B$35)^(Presion_cilindro!$B$17+1)),0))/((Presion_cilindro!O180+Presion_cilindro!O181)/2)</f>
        <v>1.3384727892808423</v>
      </c>
      <c r="N189" s="27">
        <f>N188*(Presion_cilindro!O180/Presion_cilindro!O181)^Presion_cilindro!$B$9+10*(Presion_cilindro!$B$9-1)*Presion_cilindro!$B$33*(IF(Presion_cilindro!N181&gt;(-N$4+Presion_cilindro!$B$34),1-EXP(-Presion_cilindro!$B$16*((Presion_cilindro!N181-(-N$4+Presion_cilindro!$B$34))/Presion_cilindro!$B$35)^(Presion_cilindro!$B$17+1)),0)-IF(Presion_cilindro!N180&gt;(-N$4+Presion_cilindro!$B$34),1-EXP(-Presion_cilindro!$B$16*((Presion_cilindro!N180-(-N$4+Presion_cilindro!$B$34))/Presion_cilindro!$B$35)^(Presion_cilindro!$B$17+1)),0))/((Presion_cilindro!O180+Presion_cilindro!O181)/2)</f>
        <v>1.3384727892808423</v>
      </c>
    </row>
    <row r="190" spans="1:14" x14ac:dyDescent="0.25">
      <c r="A190" s="21">
        <f>Presion_cilindro!N182</f>
        <v>-91</v>
      </c>
      <c r="B190" s="27">
        <f>B189*(Presion_cilindro!O181/Presion_cilindro!O182)^Presion_cilindro!$B$9+10*(Presion_cilindro!$B$9-1)*Presion_cilindro!$B$33*(IF(Presion_cilindro!N182&gt;(-B$4+Presion_cilindro!$B$34),1-EXP(-Presion_cilindro!$B$16*((Presion_cilindro!N182-(-B$4+Presion_cilindro!$B$34))/Presion_cilindro!$B$35)^(Presion_cilindro!$B$17+1)),0)-IF(Presion_cilindro!N181&gt;(-B$4+Presion_cilindro!$B$34),1-EXP(-Presion_cilindro!$B$16*((Presion_cilindro!N181-(-B$4+Presion_cilindro!$B$34))/Presion_cilindro!$B$35)^(Presion_cilindro!$B$17+1)),0))/((Presion_cilindro!O181+Presion_cilindro!O182)/2)</f>
        <v>1.3496209294409049</v>
      </c>
      <c r="C190" s="27">
        <f>C189*(Presion_cilindro!O181/Presion_cilindro!O182)^Presion_cilindro!$B$9+10*(Presion_cilindro!$B$9-1)*Presion_cilindro!$B$33*(IF(Presion_cilindro!N182&gt;(-C$4+Presion_cilindro!$B$34),1-EXP(-Presion_cilindro!$B$16*((Presion_cilindro!N182-(-C$4+Presion_cilindro!$B$34))/Presion_cilindro!$B$35)^(Presion_cilindro!$B$17+1)),0)-IF(Presion_cilindro!N181&gt;(-C$4+Presion_cilindro!$B$34),1-EXP(-Presion_cilindro!$B$16*((Presion_cilindro!N181-(-C$4+Presion_cilindro!$B$34))/Presion_cilindro!$B$35)^(Presion_cilindro!$B$17+1)),0))/((Presion_cilindro!O181+Presion_cilindro!O182)/2)</f>
        <v>1.3496209294409049</v>
      </c>
      <c r="D190" s="27">
        <f>D189*(Presion_cilindro!O181/Presion_cilindro!O182)^Presion_cilindro!$B$9+10*(Presion_cilindro!$B$9-1)*Presion_cilindro!$B$33*(IF(Presion_cilindro!N182&gt;(-D$4+Presion_cilindro!$B$34),1-EXP(-Presion_cilindro!$B$16*((Presion_cilindro!N182-(-D$4+Presion_cilindro!$B$34))/Presion_cilindro!$B$35)^(Presion_cilindro!$B$17+1)),0)-IF(Presion_cilindro!N181&gt;(-D$4+Presion_cilindro!$B$34),1-EXP(-Presion_cilindro!$B$16*((Presion_cilindro!N181-(-D$4+Presion_cilindro!$B$34))/Presion_cilindro!$B$35)^(Presion_cilindro!$B$17+1)),0))/((Presion_cilindro!O181+Presion_cilindro!O182)/2)</f>
        <v>1.3496209294409049</v>
      </c>
      <c r="E190" s="27">
        <f>E189*(Presion_cilindro!O181/Presion_cilindro!O182)^Presion_cilindro!$B$9+10*(Presion_cilindro!$B$9-1)*Presion_cilindro!$B$33*(IF(Presion_cilindro!N182&gt;(-E$4+Presion_cilindro!$B$34),1-EXP(-Presion_cilindro!$B$16*((Presion_cilindro!N182-(-E$4+Presion_cilindro!$B$34))/Presion_cilindro!$B$35)^(Presion_cilindro!$B$17+1)),0)-IF(Presion_cilindro!N181&gt;(-E$4+Presion_cilindro!$B$34),1-EXP(-Presion_cilindro!$B$16*((Presion_cilindro!N181-(-E$4+Presion_cilindro!$B$34))/Presion_cilindro!$B$35)^(Presion_cilindro!$B$17+1)),0))/((Presion_cilindro!O181+Presion_cilindro!O182)/2)</f>
        <v>1.3496209294409049</v>
      </c>
      <c r="F190" s="27">
        <f>F189*(Presion_cilindro!O181/Presion_cilindro!O182)^Presion_cilindro!$B$9+10*(Presion_cilindro!$B$9-1)*Presion_cilindro!$B$33*(IF(Presion_cilindro!N182&gt;(-F$4+Presion_cilindro!$B$34),1-EXP(-Presion_cilindro!$B$16*((Presion_cilindro!N182-(-F$4+Presion_cilindro!$B$34))/Presion_cilindro!$B$35)^(Presion_cilindro!$B$17+1)),0)-IF(Presion_cilindro!N181&gt;(-F$4+Presion_cilindro!$B$34),1-EXP(-Presion_cilindro!$B$16*((Presion_cilindro!N181-(-F$4+Presion_cilindro!$B$34))/Presion_cilindro!$B$35)^(Presion_cilindro!$B$17+1)),0))/((Presion_cilindro!O181+Presion_cilindro!O182)/2)</f>
        <v>1.3496209294409049</v>
      </c>
      <c r="G190" s="27">
        <f>G189*(Presion_cilindro!O181/Presion_cilindro!O182)^Presion_cilindro!$B$9+10*(Presion_cilindro!$B$9-1)*Presion_cilindro!$B$33*(IF(Presion_cilindro!N182&gt;(-G$4+Presion_cilindro!$B$34),1-EXP(-Presion_cilindro!$B$16*((Presion_cilindro!N182-(-G$4+Presion_cilindro!$B$34))/Presion_cilindro!$B$35)^(Presion_cilindro!$B$17+1)),0)-IF(Presion_cilindro!N181&gt;(-G$4+Presion_cilindro!$B$34),1-EXP(-Presion_cilindro!$B$16*((Presion_cilindro!N181-(-G$4+Presion_cilindro!$B$34))/Presion_cilindro!$B$35)^(Presion_cilindro!$B$17+1)),0))/((Presion_cilindro!O181+Presion_cilindro!O182)/2)</f>
        <v>1.3496209294409049</v>
      </c>
      <c r="H190" s="27">
        <f>H189*(Presion_cilindro!O181/Presion_cilindro!O182)^Presion_cilindro!$B$9+10*(Presion_cilindro!$B$9-1)*Presion_cilindro!$B$33*(IF(Presion_cilindro!N182&gt;(-H$4+Presion_cilindro!$B$34),1-EXP(-Presion_cilindro!$B$16*((Presion_cilindro!N182-(-H$4+Presion_cilindro!$B$34))/Presion_cilindro!$B$35)^(Presion_cilindro!$B$17+1)),0)-IF(Presion_cilindro!N181&gt;(-H$4+Presion_cilindro!$B$34),1-EXP(-Presion_cilindro!$B$16*((Presion_cilindro!N181-(-H$4+Presion_cilindro!$B$34))/Presion_cilindro!$B$35)^(Presion_cilindro!$B$17+1)),0))/((Presion_cilindro!O181+Presion_cilindro!O182)/2)</f>
        <v>1.3496209294409049</v>
      </c>
      <c r="I190" s="27">
        <f>I189*(Presion_cilindro!O181/Presion_cilindro!O182)^Presion_cilindro!$B$9+10*(Presion_cilindro!$B$9-1)*Presion_cilindro!$B$33*(IF(Presion_cilindro!N182&gt;(-I$4+Presion_cilindro!$B$34),1-EXP(-Presion_cilindro!$B$16*((Presion_cilindro!N182-(-I$4+Presion_cilindro!$B$34))/Presion_cilindro!$B$35)^(Presion_cilindro!$B$17+1)),0)-IF(Presion_cilindro!N181&gt;(-I$4+Presion_cilindro!$B$34),1-EXP(-Presion_cilindro!$B$16*((Presion_cilindro!N181-(-I$4+Presion_cilindro!$B$34))/Presion_cilindro!$B$35)^(Presion_cilindro!$B$17+1)),0))/((Presion_cilindro!O181+Presion_cilindro!O182)/2)</f>
        <v>1.3496209294409049</v>
      </c>
      <c r="J190" s="27">
        <f>J189*(Presion_cilindro!O181/Presion_cilindro!O182)^Presion_cilindro!$B$9+10*(Presion_cilindro!$B$9-1)*Presion_cilindro!$B$33*(IF(Presion_cilindro!N182&gt;(-J$4+Presion_cilindro!$B$34),1-EXP(-Presion_cilindro!$B$16*((Presion_cilindro!N182-(-J$4+Presion_cilindro!$B$34))/Presion_cilindro!$B$35)^(Presion_cilindro!$B$17+1)),0)-IF(Presion_cilindro!N181&gt;(-J$4+Presion_cilindro!$B$34),1-EXP(-Presion_cilindro!$B$16*((Presion_cilindro!N181-(-J$4+Presion_cilindro!$B$34))/Presion_cilindro!$B$35)^(Presion_cilindro!$B$17+1)),0))/((Presion_cilindro!O181+Presion_cilindro!O182)/2)</f>
        <v>1.3496209294409049</v>
      </c>
      <c r="K190" s="27">
        <f>K189*(Presion_cilindro!O181/Presion_cilindro!O182)^Presion_cilindro!$B$9+10*(Presion_cilindro!$B$9-1)*Presion_cilindro!$B$33*(IF(Presion_cilindro!N182&gt;(-K$4+Presion_cilindro!$B$34),1-EXP(-Presion_cilindro!$B$16*((Presion_cilindro!N182-(-K$4+Presion_cilindro!$B$34))/Presion_cilindro!$B$35)^(Presion_cilindro!$B$17+1)),0)-IF(Presion_cilindro!N181&gt;(-K$4+Presion_cilindro!$B$34),1-EXP(-Presion_cilindro!$B$16*((Presion_cilindro!N181-(-K$4+Presion_cilindro!$B$34))/Presion_cilindro!$B$35)^(Presion_cilindro!$B$17+1)),0))/((Presion_cilindro!O181+Presion_cilindro!O182)/2)</f>
        <v>1.3496209294409049</v>
      </c>
      <c r="L190" s="27">
        <f>L189*(Presion_cilindro!O181/Presion_cilindro!O182)^Presion_cilindro!$B$9+10*(Presion_cilindro!$B$9-1)*Presion_cilindro!$B$33*(IF(Presion_cilindro!N182&gt;(-L$4+Presion_cilindro!$B$34),1-EXP(-Presion_cilindro!$B$16*((Presion_cilindro!N182-(-L$4+Presion_cilindro!$B$34))/Presion_cilindro!$B$35)^(Presion_cilindro!$B$17+1)),0)-IF(Presion_cilindro!N181&gt;(-L$4+Presion_cilindro!$B$34),1-EXP(-Presion_cilindro!$B$16*((Presion_cilindro!N181-(-L$4+Presion_cilindro!$B$34))/Presion_cilindro!$B$35)^(Presion_cilindro!$B$17+1)),0))/((Presion_cilindro!O181+Presion_cilindro!O182)/2)</f>
        <v>1.3496209294409049</v>
      </c>
      <c r="M190" s="27">
        <f>M189*(Presion_cilindro!O181/Presion_cilindro!O182)^Presion_cilindro!$B$9+10*(Presion_cilindro!$B$9-1)*Presion_cilindro!$B$33*(IF(Presion_cilindro!N182&gt;(-M$4+Presion_cilindro!$B$34),1-EXP(-Presion_cilindro!$B$16*((Presion_cilindro!N182-(-M$4+Presion_cilindro!$B$34))/Presion_cilindro!$B$35)^(Presion_cilindro!$B$17+1)),0)-IF(Presion_cilindro!N181&gt;(-M$4+Presion_cilindro!$B$34),1-EXP(-Presion_cilindro!$B$16*((Presion_cilindro!N181-(-M$4+Presion_cilindro!$B$34))/Presion_cilindro!$B$35)^(Presion_cilindro!$B$17+1)),0))/((Presion_cilindro!O181+Presion_cilindro!O182)/2)</f>
        <v>1.3496209294409049</v>
      </c>
      <c r="N190" s="27">
        <f>N189*(Presion_cilindro!O181/Presion_cilindro!O182)^Presion_cilindro!$B$9+10*(Presion_cilindro!$B$9-1)*Presion_cilindro!$B$33*(IF(Presion_cilindro!N182&gt;(-N$4+Presion_cilindro!$B$34),1-EXP(-Presion_cilindro!$B$16*((Presion_cilindro!N182-(-N$4+Presion_cilindro!$B$34))/Presion_cilindro!$B$35)^(Presion_cilindro!$B$17+1)),0)-IF(Presion_cilindro!N181&gt;(-N$4+Presion_cilindro!$B$34),1-EXP(-Presion_cilindro!$B$16*((Presion_cilindro!N181-(-N$4+Presion_cilindro!$B$34))/Presion_cilindro!$B$35)^(Presion_cilindro!$B$17+1)),0))/((Presion_cilindro!O181+Presion_cilindro!O182)/2)</f>
        <v>1.3496209294409049</v>
      </c>
    </row>
    <row r="191" spans="1:14" x14ac:dyDescent="0.25">
      <c r="A191" s="21">
        <f>Presion_cilindro!N183</f>
        <v>-90.5</v>
      </c>
      <c r="B191" s="27">
        <f>B190*(Presion_cilindro!O182/Presion_cilindro!O183)^Presion_cilindro!$B$9+10*(Presion_cilindro!$B$9-1)*Presion_cilindro!$B$33*(IF(Presion_cilindro!N183&gt;(-B$4+Presion_cilindro!$B$34),1-EXP(-Presion_cilindro!$B$16*((Presion_cilindro!N183-(-B$4+Presion_cilindro!$B$34))/Presion_cilindro!$B$35)^(Presion_cilindro!$B$17+1)),0)-IF(Presion_cilindro!N182&gt;(-B$4+Presion_cilindro!$B$34),1-EXP(-Presion_cilindro!$B$16*((Presion_cilindro!N182-(-B$4+Presion_cilindro!$B$34))/Presion_cilindro!$B$35)^(Presion_cilindro!$B$17+1)),0))/((Presion_cilindro!O182+Presion_cilindro!O183)/2)</f>
        <v>1.3609643373597347</v>
      </c>
      <c r="C191" s="27">
        <f>C190*(Presion_cilindro!O182/Presion_cilindro!O183)^Presion_cilindro!$B$9+10*(Presion_cilindro!$B$9-1)*Presion_cilindro!$B$33*(IF(Presion_cilindro!N183&gt;(-C$4+Presion_cilindro!$B$34),1-EXP(-Presion_cilindro!$B$16*((Presion_cilindro!N183-(-C$4+Presion_cilindro!$B$34))/Presion_cilindro!$B$35)^(Presion_cilindro!$B$17+1)),0)-IF(Presion_cilindro!N182&gt;(-C$4+Presion_cilindro!$B$34),1-EXP(-Presion_cilindro!$B$16*((Presion_cilindro!N182-(-C$4+Presion_cilindro!$B$34))/Presion_cilindro!$B$35)^(Presion_cilindro!$B$17+1)),0))/((Presion_cilindro!O182+Presion_cilindro!O183)/2)</f>
        <v>1.3609643373597347</v>
      </c>
      <c r="D191" s="27">
        <f>D190*(Presion_cilindro!O182/Presion_cilindro!O183)^Presion_cilindro!$B$9+10*(Presion_cilindro!$B$9-1)*Presion_cilindro!$B$33*(IF(Presion_cilindro!N183&gt;(-D$4+Presion_cilindro!$B$34),1-EXP(-Presion_cilindro!$B$16*((Presion_cilindro!N183-(-D$4+Presion_cilindro!$B$34))/Presion_cilindro!$B$35)^(Presion_cilindro!$B$17+1)),0)-IF(Presion_cilindro!N182&gt;(-D$4+Presion_cilindro!$B$34),1-EXP(-Presion_cilindro!$B$16*((Presion_cilindro!N182-(-D$4+Presion_cilindro!$B$34))/Presion_cilindro!$B$35)^(Presion_cilindro!$B$17+1)),0))/((Presion_cilindro!O182+Presion_cilindro!O183)/2)</f>
        <v>1.3609643373597347</v>
      </c>
      <c r="E191" s="27">
        <f>E190*(Presion_cilindro!O182/Presion_cilindro!O183)^Presion_cilindro!$B$9+10*(Presion_cilindro!$B$9-1)*Presion_cilindro!$B$33*(IF(Presion_cilindro!N183&gt;(-E$4+Presion_cilindro!$B$34),1-EXP(-Presion_cilindro!$B$16*((Presion_cilindro!N183-(-E$4+Presion_cilindro!$B$34))/Presion_cilindro!$B$35)^(Presion_cilindro!$B$17+1)),0)-IF(Presion_cilindro!N182&gt;(-E$4+Presion_cilindro!$B$34),1-EXP(-Presion_cilindro!$B$16*((Presion_cilindro!N182-(-E$4+Presion_cilindro!$B$34))/Presion_cilindro!$B$35)^(Presion_cilindro!$B$17+1)),0))/((Presion_cilindro!O182+Presion_cilindro!O183)/2)</f>
        <v>1.3609643373597347</v>
      </c>
      <c r="F191" s="27">
        <f>F190*(Presion_cilindro!O182/Presion_cilindro!O183)^Presion_cilindro!$B$9+10*(Presion_cilindro!$B$9-1)*Presion_cilindro!$B$33*(IF(Presion_cilindro!N183&gt;(-F$4+Presion_cilindro!$B$34),1-EXP(-Presion_cilindro!$B$16*((Presion_cilindro!N183-(-F$4+Presion_cilindro!$B$34))/Presion_cilindro!$B$35)^(Presion_cilindro!$B$17+1)),0)-IF(Presion_cilindro!N182&gt;(-F$4+Presion_cilindro!$B$34),1-EXP(-Presion_cilindro!$B$16*((Presion_cilindro!N182-(-F$4+Presion_cilindro!$B$34))/Presion_cilindro!$B$35)^(Presion_cilindro!$B$17+1)),0))/((Presion_cilindro!O182+Presion_cilindro!O183)/2)</f>
        <v>1.3609643373597347</v>
      </c>
      <c r="G191" s="27">
        <f>G190*(Presion_cilindro!O182/Presion_cilindro!O183)^Presion_cilindro!$B$9+10*(Presion_cilindro!$B$9-1)*Presion_cilindro!$B$33*(IF(Presion_cilindro!N183&gt;(-G$4+Presion_cilindro!$B$34),1-EXP(-Presion_cilindro!$B$16*((Presion_cilindro!N183-(-G$4+Presion_cilindro!$B$34))/Presion_cilindro!$B$35)^(Presion_cilindro!$B$17+1)),0)-IF(Presion_cilindro!N182&gt;(-G$4+Presion_cilindro!$B$34),1-EXP(-Presion_cilindro!$B$16*((Presion_cilindro!N182-(-G$4+Presion_cilindro!$B$34))/Presion_cilindro!$B$35)^(Presion_cilindro!$B$17+1)),0))/((Presion_cilindro!O182+Presion_cilindro!O183)/2)</f>
        <v>1.3609643373597347</v>
      </c>
      <c r="H191" s="27">
        <f>H190*(Presion_cilindro!O182/Presion_cilindro!O183)^Presion_cilindro!$B$9+10*(Presion_cilindro!$B$9-1)*Presion_cilindro!$B$33*(IF(Presion_cilindro!N183&gt;(-H$4+Presion_cilindro!$B$34),1-EXP(-Presion_cilindro!$B$16*((Presion_cilindro!N183-(-H$4+Presion_cilindro!$B$34))/Presion_cilindro!$B$35)^(Presion_cilindro!$B$17+1)),0)-IF(Presion_cilindro!N182&gt;(-H$4+Presion_cilindro!$B$34),1-EXP(-Presion_cilindro!$B$16*((Presion_cilindro!N182-(-H$4+Presion_cilindro!$B$34))/Presion_cilindro!$B$35)^(Presion_cilindro!$B$17+1)),0))/((Presion_cilindro!O182+Presion_cilindro!O183)/2)</f>
        <v>1.3609643373597347</v>
      </c>
      <c r="I191" s="27">
        <f>I190*(Presion_cilindro!O182/Presion_cilindro!O183)^Presion_cilindro!$B$9+10*(Presion_cilindro!$B$9-1)*Presion_cilindro!$B$33*(IF(Presion_cilindro!N183&gt;(-I$4+Presion_cilindro!$B$34),1-EXP(-Presion_cilindro!$B$16*((Presion_cilindro!N183-(-I$4+Presion_cilindro!$B$34))/Presion_cilindro!$B$35)^(Presion_cilindro!$B$17+1)),0)-IF(Presion_cilindro!N182&gt;(-I$4+Presion_cilindro!$B$34),1-EXP(-Presion_cilindro!$B$16*((Presion_cilindro!N182-(-I$4+Presion_cilindro!$B$34))/Presion_cilindro!$B$35)^(Presion_cilindro!$B$17+1)),0))/((Presion_cilindro!O182+Presion_cilindro!O183)/2)</f>
        <v>1.3609643373597347</v>
      </c>
      <c r="J191" s="27">
        <f>J190*(Presion_cilindro!O182/Presion_cilindro!O183)^Presion_cilindro!$B$9+10*(Presion_cilindro!$B$9-1)*Presion_cilindro!$B$33*(IF(Presion_cilindro!N183&gt;(-J$4+Presion_cilindro!$B$34),1-EXP(-Presion_cilindro!$B$16*((Presion_cilindro!N183-(-J$4+Presion_cilindro!$B$34))/Presion_cilindro!$B$35)^(Presion_cilindro!$B$17+1)),0)-IF(Presion_cilindro!N182&gt;(-J$4+Presion_cilindro!$B$34),1-EXP(-Presion_cilindro!$B$16*((Presion_cilindro!N182-(-J$4+Presion_cilindro!$B$34))/Presion_cilindro!$B$35)^(Presion_cilindro!$B$17+1)),0))/((Presion_cilindro!O182+Presion_cilindro!O183)/2)</f>
        <v>1.3609643373597347</v>
      </c>
      <c r="K191" s="27">
        <f>K190*(Presion_cilindro!O182/Presion_cilindro!O183)^Presion_cilindro!$B$9+10*(Presion_cilindro!$B$9-1)*Presion_cilindro!$B$33*(IF(Presion_cilindro!N183&gt;(-K$4+Presion_cilindro!$B$34),1-EXP(-Presion_cilindro!$B$16*((Presion_cilindro!N183-(-K$4+Presion_cilindro!$B$34))/Presion_cilindro!$B$35)^(Presion_cilindro!$B$17+1)),0)-IF(Presion_cilindro!N182&gt;(-K$4+Presion_cilindro!$B$34),1-EXP(-Presion_cilindro!$B$16*((Presion_cilindro!N182-(-K$4+Presion_cilindro!$B$34))/Presion_cilindro!$B$35)^(Presion_cilindro!$B$17+1)),0))/((Presion_cilindro!O182+Presion_cilindro!O183)/2)</f>
        <v>1.3609643373597347</v>
      </c>
      <c r="L191" s="27">
        <f>L190*(Presion_cilindro!O182/Presion_cilindro!O183)^Presion_cilindro!$B$9+10*(Presion_cilindro!$B$9-1)*Presion_cilindro!$B$33*(IF(Presion_cilindro!N183&gt;(-L$4+Presion_cilindro!$B$34),1-EXP(-Presion_cilindro!$B$16*((Presion_cilindro!N183-(-L$4+Presion_cilindro!$B$34))/Presion_cilindro!$B$35)^(Presion_cilindro!$B$17+1)),0)-IF(Presion_cilindro!N182&gt;(-L$4+Presion_cilindro!$B$34),1-EXP(-Presion_cilindro!$B$16*((Presion_cilindro!N182-(-L$4+Presion_cilindro!$B$34))/Presion_cilindro!$B$35)^(Presion_cilindro!$B$17+1)),0))/((Presion_cilindro!O182+Presion_cilindro!O183)/2)</f>
        <v>1.3609643373597347</v>
      </c>
      <c r="M191" s="27">
        <f>M190*(Presion_cilindro!O182/Presion_cilindro!O183)^Presion_cilindro!$B$9+10*(Presion_cilindro!$B$9-1)*Presion_cilindro!$B$33*(IF(Presion_cilindro!N183&gt;(-M$4+Presion_cilindro!$B$34),1-EXP(-Presion_cilindro!$B$16*((Presion_cilindro!N183-(-M$4+Presion_cilindro!$B$34))/Presion_cilindro!$B$35)^(Presion_cilindro!$B$17+1)),0)-IF(Presion_cilindro!N182&gt;(-M$4+Presion_cilindro!$B$34),1-EXP(-Presion_cilindro!$B$16*((Presion_cilindro!N182-(-M$4+Presion_cilindro!$B$34))/Presion_cilindro!$B$35)^(Presion_cilindro!$B$17+1)),0))/((Presion_cilindro!O182+Presion_cilindro!O183)/2)</f>
        <v>1.3609643373597347</v>
      </c>
      <c r="N191" s="27">
        <f>N190*(Presion_cilindro!O182/Presion_cilindro!O183)^Presion_cilindro!$B$9+10*(Presion_cilindro!$B$9-1)*Presion_cilindro!$B$33*(IF(Presion_cilindro!N183&gt;(-N$4+Presion_cilindro!$B$34),1-EXP(-Presion_cilindro!$B$16*((Presion_cilindro!N183-(-N$4+Presion_cilindro!$B$34))/Presion_cilindro!$B$35)^(Presion_cilindro!$B$17+1)),0)-IF(Presion_cilindro!N182&gt;(-N$4+Presion_cilindro!$B$34),1-EXP(-Presion_cilindro!$B$16*((Presion_cilindro!N182-(-N$4+Presion_cilindro!$B$34))/Presion_cilindro!$B$35)^(Presion_cilindro!$B$17+1)),0))/((Presion_cilindro!O182+Presion_cilindro!O183)/2)</f>
        <v>1.3609643373597347</v>
      </c>
    </row>
    <row r="192" spans="1:14" x14ac:dyDescent="0.25">
      <c r="A192" s="21">
        <f>Presion_cilindro!N184</f>
        <v>-90</v>
      </c>
      <c r="B192" s="27">
        <f>B191*(Presion_cilindro!O183/Presion_cilindro!O184)^Presion_cilindro!$B$9+10*(Presion_cilindro!$B$9-1)*Presion_cilindro!$B$33*(IF(Presion_cilindro!N184&gt;(-B$4+Presion_cilindro!$B$34),1-EXP(-Presion_cilindro!$B$16*((Presion_cilindro!N184-(-B$4+Presion_cilindro!$B$34))/Presion_cilindro!$B$35)^(Presion_cilindro!$B$17+1)),0)-IF(Presion_cilindro!N183&gt;(-B$4+Presion_cilindro!$B$34),1-EXP(-Presion_cilindro!$B$16*((Presion_cilindro!N183-(-B$4+Presion_cilindro!$B$34))/Presion_cilindro!$B$35)^(Presion_cilindro!$B$17+1)),0))/((Presion_cilindro!O183+Presion_cilindro!O184)/2)</f>
        <v>1.3725070061763995</v>
      </c>
      <c r="C192" s="27">
        <f>C191*(Presion_cilindro!O183/Presion_cilindro!O184)^Presion_cilindro!$B$9+10*(Presion_cilindro!$B$9-1)*Presion_cilindro!$B$33*(IF(Presion_cilindro!N184&gt;(-C$4+Presion_cilindro!$B$34),1-EXP(-Presion_cilindro!$B$16*((Presion_cilindro!N184-(-C$4+Presion_cilindro!$B$34))/Presion_cilindro!$B$35)^(Presion_cilindro!$B$17+1)),0)-IF(Presion_cilindro!N183&gt;(-C$4+Presion_cilindro!$B$34),1-EXP(-Presion_cilindro!$B$16*((Presion_cilindro!N183-(-C$4+Presion_cilindro!$B$34))/Presion_cilindro!$B$35)^(Presion_cilindro!$B$17+1)),0))/((Presion_cilindro!O183+Presion_cilindro!O184)/2)</f>
        <v>1.3725070061763995</v>
      </c>
      <c r="D192" s="27">
        <f>D191*(Presion_cilindro!O183/Presion_cilindro!O184)^Presion_cilindro!$B$9+10*(Presion_cilindro!$B$9-1)*Presion_cilindro!$B$33*(IF(Presion_cilindro!N184&gt;(-D$4+Presion_cilindro!$B$34),1-EXP(-Presion_cilindro!$B$16*((Presion_cilindro!N184-(-D$4+Presion_cilindro!$B$34))/Presion_cilindro!$B$35)^(Presion_cilindro!$B$17+1)),0)-IF(Presion_cilindro!N183&gt;(-D$4+Presion_cilindro!$B$34),1-EXP(-Presion_cilindro!$B$16*((Presion_cilindro!N183-(-D$4+Presion_cilindro!$B$34))/Presion_cilindro!$B$35)^(Presion_cilindro!$B$17+1)),0))/((Presion_cilindro!O183+Presion_cilindro!O184)/2)</f>
        <v>1.3725070061763995</v>
      </c>
      <c r="E192" s="27">
        <f>E191*(Presion_cilindro!O183/Presion_cilindro!O184)^Presion_cilindro!$B$9+10*(Presion_cilindro!$B$9-1)*Presion_cilindro!$B$33*(IF(Presion_cilindro!N184&gt;(-E$4+Presion_cilindro!$B$34),1-EXP(-Presion_cilindro!$B$16*((Presion_cilindro!N184-(-E$4+Presion_cilindro!$B$34))/Presion_cilindro!$B$35)^(Presion_cilindro!$B$17+1)),0)-IF(Presion_cilindro!N183&gt;(-E$4+Presion_cilindro!$B$34),1-EXP(-Presion_cilindro!$B$16*((Presion_cilindro!N183-(-E$4+Presion_cilindro!$B$34))/Presion_cilindro!$B$35)^(Presion_cilindro!$B$17+1)),0))/((Presion_cilindro!O183+Presion_cilindro!O184)/2)</f>
        <v>1.3725070061763995</v>
      </c>
      <c r="F192" s="27">
        <f>F191*(Presion_cilindro!O183/Presion_cilindro!O184)^Presion_cilindro!$B$9+10*(Presion_cilindro!$B$9-1)*Presion_cilindro!$B$33*(IF(Presion_cilindro!N184&gt;(-F$4+Presion_cilindro!$B$34),1-EXP(-Presion_cilindro!$B$16*((Presion_cilindro!N184-(-F$4+Presion_cilindro!$B$34))/Presion_cilindro!$B$35)^(Presion_cilindro!$B$17+1)),0)-IF(Presion_cilindro!N183&gt;(-F$4+Presion_cilindro!$B$34),1-EXP(-Presion_cilindro!$B$16*((Presion_cilindro!N183-(-F$4+Presion_cilindro!$B$34))/Presion_cilindro!$B$35)^(Presion_cilindro!$B$17+1)),0))/((Presion_cilindro!O183+Presion_cilindro!O184)/2)</f>
        <v>1.3725070061763995</v>
      </c>
      <c r="G192" s="27">
        <f>G191*(Presion_cilindro!O183/Presion_cilindro!O184)^Presion_cilindro!$B$9+10*(Presion_cilindro!$B$9-1)*Presion_cilindro!$B$33*(IF(Presion_cilindro!N184&gt;(-G$4+Presion_cilindro!$B$34),1-EXP(-Presion_cilindro!$B$16*((Presion_cilindro!N184-(-G$4+Presion_cilindro!$B$34))/Presion_cilindro!$B$35)^(Presion_cilindro!$B$17+1)),0)-IF(Presion_cilindro!N183&gt;(-G$4+Presion_cilindro!$B$34),1-EXP(-Presion_cilindro!$B$16*((Presion_cilindro!N183-(-G$4+Presion_cilindro!$B$34))/Presion_cilindro!$B$35)^(Presion_cilindro!$B$17+1)),0))/((Presion_cilindro!O183+Presion_cilindro!O184)/2)</f>
        <v>1.3725070061763995</v>
      </c>
      <c r="H192" s="27">
        <f>H191*(Presion_cilindro!O183/Presion_cilindro!O184)^Presion_cilindro!$B$9+10*(Presion_cilindro!$B$9-1)*Presion_cilindro!$B$33*(IF(Presion_cilindro!N184&gt;(-H$4+Presion_cilindro!$B$34),1-EXP(-Presion_cilindro!$B$16*((Presion_cilindro!N184-(-H$4+Presion_cilindro!$B$34))/Presion_cilindro!$B$35)^(Presion_cilindro!$B$17+1)),0)-IF(Presion_cilindro!N183&gt;(-H$4+Presion_cilindro!$B$34),1-EXP(-Presion_cilindro!$B$16*((Presion_cilindro!N183-(-H$4+Presion_cilindro!$B$34))/Presion_cilindro!$B$35)^(Presion_cilindro!$B$17+1)),0))/((Presion_cilindro!O183+Presion_cilindro!O184)/2)</f>
        <v>1.3725070061763995</v>
      </c>
      <c r="I192" s="27">
        <f>I191*(Presion_cilindro!O183/Presion_cilindro!O184)^Presion_cilindro!$B$9+10*(Presion_cilindro!$B$9-1)*Presion_cilindro!$B$33*(IF(Presion_cilindro!N184&gt;(-I$4+Presion_cilindro!$B$34),1-EXP(-Presion_cilindro!$B$16*((Presion_cilindro!N184-(-I$4+Presion_cilindro!$B$34))/Presion_cilindro!$B$35)^(Presion_cilindro!$B$17+1)),0)-IF(Presion_cilindro!N183&gt;(-I$4+Presion_cilindro!$B$34),1-EXP(-Presion_cilindro!$B$16*((Presion_cilindro!N183-(-I$4+Presion_cilindro!$B$34))/Presion_cilindro!$B$35)^(Presion_cilindro!$B$17+1)),0))/((Presion_cilindro!O183+Presion_cilindro!O184)/2)</f>
        <v>1.3725070061763995</v>
      </c>
      <c r="J192" s="27">
        <f>J191*(Presion_cilindro!O183/Presion_cilindro!O184)^Presion_cilindro!$B$9+10*(Presion_cilindro!$B$9-1)*Presion_cilindro!$B$33*(IF(Presion_cilindro!N184&gt;(-J$4+Presion_cilindro!$B$34),1-EXP(-Presion_cilindro!$B$16*((Presion_cilindro!N184-(-J$4+Presion_cilindro!$B$34))/Presion_cilindro!$B$35)^(Presion_cilindro!$B$17+1)),0)-IF(Presion_cilindro!N183&gt;(-J$4+Presion_cilindro!$B$34),1-EXP(-Presion_cilindro!$B$16*((Presion_cilindro!N183-(-J$4+Presion_cilindro!$B$34))/Presion_cilindro!$B$35)^(Presion_cilindro!$B$17+1)),0))/((Presion_cilindro!O183+Presion_cilindro!O184)/2)</f>
        <v>1.3725070061763995</v>
      </c>
      <c r="K192" s="27">
        <f>K191*(Presion_cilindro!O183/Presion_cilindro!O184)^Presion_cilindro!$B$9+10*(Presion_cilindro!$B$9-1)*Presion_cilindro!$B$33*(IF(Presion_cilindro!N184&gt;(-K$4+Presion_cilindro!$B$34),1-EXP(-Presion_cilindro!$B$16*((Presion_cilindro!N184-(-K$4+Presion_cilindro!$B$34))/Presion_cilindro!$B$35)^(Presion_cilindro!$B$17+1)),0)-IF(Presion_cilindro!N183&gt;(-K$4+Presion_cilindro!$B$34),1-EXP(-Presion_cilindro!$B$16*((Presion_cilindro!N183-(-K$4+Presion_cilindro!$B$34))/Presion_cilindro!$B$35)^(Presion_cilindro!$B$17+1)),0))/((Presion_cilindro!O183+Presion_cilindro!O184)/2)</f>
        <v>1.3725070061763995</v>
      </c>
      <c r="L192" s="27">
        <f>L191*(Presion_cilindro!O183/Presion_cilindro!O184)^Presion_cilindro!$B$9+10*(Presion_cilindro!$B$9-1)*Presion_cilindro!$B$33*(IF(Presion_cilindro!N184&gt;(-L$4+Presion_cilindro!$B$34),1-EXP(-Presion_cilindro!$B$16*((Presion_cilindro!N184-(-L$4+Presion_cilindro!$B$34))/Presion_cilindro!$B$35)^(Presion_cilindro!$B$17+1)),0)-IF(Presion_cilindro!N183&gt;(-L$4+Presion_cilindro!$B$34),1-EXP(-Presion_cilindro!$B$16*((Presion_cilindro!N183-(-L$4+Presion_cilindro!$B$34))/Presion_cilindro!$B$35)^(Presion_cilindro!$B$17+1)),0))/((Presion_cilindro!O183+Presion_cilindro!O184)/2)</f>
        <v>1.3725070061763995</v>
      </c>
      <c r="M192" s="27">
        <f>M191*(Presion_cilindro!O183/Presion_cilindro!O184)^Presion_cilindro!$B$9+10*(Presion_cilindro!$B$9-1)*Presion_cilindro!$B$33*(IF(Presion_cilindro!N184&gt;(-M$4+Presion_cilindro!$B$34),1-EXP(-Presion_cilindro!$B$16*((Presion_cilindro!N184-(-M$4+Presion_cilindro!$B$34))/Presion_cilindro!$B$35)^(Presion_cilindro!$B$17+1)),0)-IF(Presion_cilindro!N183&gt;(-M$4+Presion_cilindro!$B$34),1-EXP(-Presion_cilindro!$B$16*((Presion_cilindro!N183-(-M$4+Presion_cilindro!$B$34))/Presion_cilindro!$B$35)^(Presion_cilindro!$B$17+1)),0))/((Presion_cilindro!O183+Presion_cilindro!O184)/2)</f>
        <v>1.3725070061763995</v>
      </c>
      <c r="N192" s="27">
        <f>N191*(Presion_cilindro!O183/Presion_cilindro!O184)^Presion_cilindro!$B$9+10*(Presion_cilindro!$B$9-1)*Presion_cilindro!$B$33*(IF(Presion_cilindro!N184&gt;(-N$4+Presion_cilindro!$B$34),1-EXP(-Presion_cilindro!$B$16*((Presion_cilindro!N184-(-N$4+Presion_cilindro!$B$34))/Presion_cilindro!$B$35)^(Presion_cilindro!$B$17+1)),0)-IF(Presion_cilindro!N183&gt;(-N$4+Presion_cilindro!$B$34),1-EXP(-Presion_cilindro!$B$16*((Presion_cilindro!N183-(-N$4+Presion_cilindro!$B$34))/Presion_cilindro!$B$35)^(Presion_cilindro!$B$17+1)),0))/((Presion_cilindro!O183+Presion_cilindro!O184)/2)</f>
        <v>1.3725070061763995</v>
      </c>
    </row>
    <row r="193" spans="1:14" x14ac:dyDescent="0.25">
      <c r="A193" s="21">
        <f>Presion_cilindro!N185</f>
        <v>-89.5</v>
      </c>
      <c r="B193" s="27">
        <f>B192*(Presion_cilindro!O184/Presion_cilindro!O185)^Presion_cilindro!$B$9+10*(Presion_cilindro!$B$9-1)*Presion_cilindro!$B$33*(IF(Presion_cilindro!N185&gt;(-B$4+Presion_cilindro!$B$34),1-EXP(-Presion_cilindro!$B$16*((Presion_cilindro!N185-(-B$4+Presion_cilindro!$B$34))/Presion_cilindro!$B$35)^(Presion_cilindro!$B$17+1)),0)-IF(Presion_cilindro!N184&gt;(-B$4+Presion_cilindro!$B$34),1-EXP(-Presion_cilindro!$B$16*((Presion_cilindro!N184-(-B$4+Presion_cilindro!$B$34))/Presion_cilindro!$B$35)^(Presion_cilindro!$B$17+1)),0))/((Presion_cilindro!O184+Presion_cilindro!O185)/2)</f>
        <v>1.3842530262751895</v>
      </c>
      <c r="C193" s="27">
        <f>C192*(Presion_cilindro!O184/Presion_cilindro!O185)^Presion_cilindro!$B$9+10*(Presion_cilindro!$B$9-1)*Presion_cilindro!$B$33*(IF(Presion_cilindro!N185&gt;(-C$4+Presion_cilindro!$B$34),1-EXP(-Presion_cilindro!$B$16*((Presion_cilindro!N185-(-C$4+Presion_cilindro!$B$34))/Presion_cilindro!$B$35)^(Presion_cilindro!$B$17+1)),0)-IF(Presion_cilindro!N184&gt;(-C$4+Presion_cilindro!$B$34),1-EXP(-Presion_cilindro!$B$16*((Presion_cilindro!N184-(-C$4+Presion_cilindro!$B$34))/Presion_cilindro!$B$35)^(Presion_cilindro!$B$17+1)),0))/((Presion_cilindro!O184+Presion_cilindro!O185)/2)</f>
        <v>1.3842530262751895</v>
      </c>
      <c r="D193" s="27">
        <f>D192*(Presion_cilindro!O184/Presion_cilindro!O185)^Presion_cilindro!$B$9+10*(Presion_cilindro!$B$9-1)*Presion_cilindro!$B$33*(IF(Presion_cilindro!N185&gt;(-D$4+Presion_cilindro!$B$34),1-EXP(-Presion_cilindro!$B$16*((Presion_cilindro!N185-(-D$4+Presion_cilindro!$B$34))/Presion_cilindro!$B$35)^(Presion_cilindro!$B$17+1)),0)-IF(Presion_cilindro!N184&gt;(-D$4+Presion_cilindro!$B$34),1-EXP(-Presion_cilindro!$B$16*((Presion_cilindro!N184-(-D$4+Presion_cilindro!$B$34))/Presion_cilindro!$B$35)^(Presion_cilindro!$B$17+1)),0))/((Presion_cilindro!O184+Presion_cilindro!O185)/2)</f>
        <v>1.3842530262751895</v>
      </c>
      <c r="E193" s="27">
        <f>E192*(Presion_cilindro!O184/Presion_cilindro!O185)^Presion_cilindro!$B$9+10*(Presion_cilindro!$B$9-1)*Presion_cilindro!$B$33*(IF(Presion_cilindro!N185&gt;(-E$4+Presion_cilindro!$B$34),1-EXP(-Presion_cilindro!$B$16*((Presion_cilindro!N185-(-E$4+Presion_cilindro!$B$34))/Presion_cilindro!$B$35)^(Presion_cilindro!$B$17+1)),0)-IF(Presion_cilindro!N184&gt;(-E$4+Presion_cilindro!$B$34),1-EXP(-Presion_cilindro!$B$16*((Presion_cilindro!N184-(-E$4+Presion_cilindro!$B$34))/Presion_cilindro!$B$35)^(Presion_cilindro!$B$17+1)),0))/((Presion_cilindro!O184+Presion_cilindro!O185)/2)</f>
        <v>1.3842530262751895</v>
      </c>
      <c r="F193" s="27">
        <f>F192*(Presion_cilindro!O184/Presion_cilindro!O185)^Presion_cilindro!$B$9+10*(Presion_cilindro!$B$9-1)*Presion_cilindro!$B$33*(IF(Presion_cilindro!N185&gt;(-F$4+Presion_cilindro!$B$34),1-EXP(-Presion_cilindro!$B$16*((Presion_cilindro!N185-(-F$4+Presion_cilindro!$B$34))/Presion_cilindro!$B$35)^(Presion_cilindro!$B$17+1)),0)-IF(Presion_cilindro!N184&gt;(-F$4+Presion_cilindro!$B$34),1-EXP(-Presion_cilindro!$B$16*((Presion_cilindro!N184-(-F$4+Presion_cilindro!$B$34))/Presion_cilindro!$B$35)^(Presion_cilindro!$B$17+1)),0))/((Presion_cilindro!O184+Presion_cilindro!O185)/2)</f>
        <v>1.3842530262751895</v>
      </c>
      <c r="G193" s="27">
        <f>G192*(Presion_cilindro!O184/Presion_cilindro!O185)^Presion_cilindro!$B$9+10*(Presion_cilindro!$B$9-1)*Presion_cilindro!$B$33*(IF(Presion_cilindro!N185&gt;(-G$4+Presion_cilindro!$B$34),1-EXP(-Presion_cilindro!$B$16*((Presion_cilindro!N185-(-G$4+Presion_cilindro!$B$34))/Presion_cilindro!$B$35)^(Presion_cilindro!$B$17+1)),0)-IF(Presion_cilindro!N184&gt;(-G$4+Presion_cilindro!$B$34),1-EXP(-Presion_cilindro!$B$16*((Presion_cilindro!N184-(-G$4+Presion_cilindro!$B$34))/Presion_cilindro!$B$35)^(Presion_cilindro!$B$17+1)),0))/((Presion_cilindro!O184+Presion_cilindro!O185)/2)</f>
        <v>1.3842530262751895</v>
      </c>
      <c r="H193" s="27">
        <f>H192*(Presion_cilindro!O184/Presion_cilindro!O185)^Presion_cilindro!$B$9+10*(Presion_cilindro!$B$9-1)*Presion_cilindro!$B$33*(IF(Presion_cilindro!N185&gt;(-H$4+Presion_cilindro!$B$34),1-EXP(-Presion_cilindro!$B$16*((Presion_cilindro!N185-(-H$4+Presion_cilindro!$B$34))/Presion_cilindro!$B$35)^(Presion_cilindro!$B$17+1)),0)-IF(Presion_cilindro!N184&gt;(-H$4+Presion_cilindro!$B$34),1-EXP(-Presion_cilindro!$B$16*((Presion_cilindro!N184-(-H$4+Presion_cilindro!$B$34))/Presion_cilindro!$B$35)^(Presion_cilindro!$B$17+1)),0))/((Presion_cilindro!O184+Presion_cilindro!O185)/2)</f>
        <v>1.3842530262751895</v>
      </c>
      <c r="I193" s="27">
        <f>I192*(Presion_cilindro!O184/Presion_cilindro!O185)^Presion_cilindro!$B$9+10*(Presion_cilindro!$B$9-1)*Presion_cilindro!$B$33*(IF(Presion_cilindro!N185&gt;(-I$4+Presion_cilindro!$B$34),1-EXP(-Presion_cilindro!$B$16*((Presion_cilindro!N185-(-I$4+Presion_cilindro!$B$34))/Presion_cilindro!$B$35)^(Presion_cilindro!$B$17+1)),0)-IF(Presion_cilindro!N184&gt;(-I$4+Presion_cilindro!$B$34),1-EXP(-Presion_cilindro!$B$16*((Presion_cilindro!N184-(-I$4+Presion_cilindro!$B$34))/Presion_cilindro!$B$35)^(Presion_cilindro!$B$17+1)),0))/((Presion_cilindro!O184+Presion_cilindro!O185)/2)</f>
        <v>1.3842530262751895</v>
      </c>
      <c r="J193" s="27">
        <f>J192*(Presion_cilindro!O184/Presion_cilindro!O185)^Presion_cilindro!$B$9+10*(Presion_cilindro!$B$9-1)*Presion_cilindro!$B$33*(IF(Presion_cilindro!N185&gt;(-J$4+Presion_cilindro!$B$34),1-EXP(-Presion_cilindro!$B$16*((Presion_cilindro!N185-(-J$4+Presion_cilindro!$B$34))/Presion_cilindro!$B$35)^(Presion_cilindro!$B$17+1)),0)-IF(Presion_cilindro!N184&gt;(-J$4+Presion_cilindro!$B$34),1-EXP(-Presion_cilindro!$B$16*((Presion_cilindro!N184-(-J$4+Presion_cilindro!$B$34))/Presion_cilindro!$B$35)^(Presion_cilindro!$B$17+1)),0))/((Presion_cilindro!O184+Presion_cilindro!O185)/2)</f>
        <v>1.3842530262751895</v>
      </c>
      <c r="K193" s="27">
        <f>K192*(Presion_cilindro!O184/Presion_cilindro!O185)^Presion_cilindro!$B$9+10*(Presion_cilindro!$B$9-1)*Presion_cilindro!$B$33*(IF(Presion_cilindro!N185&gt;(-K$4+Presion_cilindro!$B$34),1-EXP(-Presion_cilindro!$B$16*((Presion_cilindro!N185-(-K$4+Presion_cilindro!$B$34))/Presion_cilindro!$B$35)^(Presion_cilindro!$B$17+1)),0)-IF(Presion_cilindro!N184&gt;(-K$4+Presion_cilindro!$B$34),1-EXP(-Presion_cilindro!$B$16*((Presion_cilindro!N184-(-K$4+Presion_cilindro!$B$34))/Presion_cilindro!$B$35)^(Presion_cilindro!$B$17+1)),0))/((Presion_cilindro!O184+Presion_cilindro!O185)/2)</f>
        <v>1.3842530262751895</v>
      </c>
      <c r="L193" s="27">
        <f>L192*(Presion_cilindro!O184/Presion_cilindro!O185)^Presion_cilindro!$B$9+10*(Presion_cilindro!$B$9-1)*Presion_cilindro!$B$33*(IF(Presion_cilindro!N185&gt;(-L$4+Presion_cilindro!$B$34),1-EXP(-Presion_cilindro!$B$16*((Presion_cilindro!N185-(-L$4+Presion_cilindro!$B$34))/Presion_cilindro!$B$35)^(Presion_cilindro!$B$17+1)),0)-IF(Presion_cilindro!N184&gt;(-L$4+Presion_cilindro!$B$34),1-EXP(-Presion_cilindro!$B$16*((Presion_cilindro!N184-(-L$4+Presion_cilindro!$B$34))/Presion_cilindro!$B$35)^(Presion_cilindro!$B$17+1)),0))/((Presion_cilindro!O184+Presion_cilindro!O185)/2)</f>
        <v>1.3842530262751895</v>
      </c>
      <c r="M193" s="27">
        <f>M192*(Presion_cilindro!O184/Presion_cilindro!O185)^Presion_cilindro!$B$9+10*(Presion_cilindro!$B$9-1)*Presion_cilindro!$B$33*(IF(Presion_cilindro!N185&gt;(-M$4+Presion_cilindro!$B$34),1-EXP(-Presion_cilindro!$B$16*((Presion_cilindro!N185-(-M$4+Presion_cilindro!$B$34))/Presion_cilindro!$B$35)^(Presion_cilindro!$B$17+1)),0)-IF(Presion_cilindro!N184&gt;(-M$4+Presion_cilindro!$B$34),1-EXP(-Presion_cilindro!$B$16*((Presion_cilindro!N184-(-M$4+Presion_cilindro!$B$34))/Presion_cilindro!$B$35)^(Presion_cilindro!$B$17+1)),0))/((Presion_cilindro!O184+Presion_cilindro!O185)/2)</f>
        <v>1.3842530262751895</v>
      </c>
      <c r="N193" s="27">
        <f>N192*(Presion_cilindro!O184/Presion_cilindro!O185)^Presion_cilindro!$B$9+10*(Presion_cilindro!$B$9-1)*Presion_cilindro!$B$33*(IF(Presion_cilindro!N185&gt;(-N$4+Presion_cilindro!$B$34),1-EXP(-Presion_cilindro!$B$16*((Presion_cilindro!N185-(-N$4+Presion_cilindro!$B$34))/Presion_cilindro!$B$35)^(Presion_cilindro!$B$17+1)),0)-IF(Presion_cilindro!N184&gt;(-N$4+Presion_cilindro!$B$34),1-EXP(-Presion_cilindro!$B$16*((Presion_cilindro!N184-(-N$4+Presion_cilindro!$B$34))/Presion_cilindro!$B$35)^(Presion_cilindro!$B$17+1)),0))/((Presion_cilindro!O184+Presion_cilindro!O185)/2)</f>
        <v>1.3842530262751895</v>
      </c>
    </row>
    <row r="194" spans="1:14" x14ac:dyDescent="0.25">
      <c r="A194" s="21">
        <f>Presion_cilindro!N186</f>
        <v>-89</v>
      </c>
      <c r="B194" s="27">
        <f>B193*(Presion_cilindro!O185/Presion_cilindro!O186)^Presion_cilindro!$B$9+10*(Presion_cilindro!$B$9-1)*Presion_cilindro!$B$33*(IF(Presion_cilindro!N186&gt;(-B$4+Presion_cilindro!$B$34),1-EXP(-Presion_cilindro!$B$16*((Presion_cilindro!N186-(-B$4+Presion_cilindro!$B$34))/Presion_cilindro!$B$35)^(Presion_cilindro!$B$17+1)),0)-IF(Presion_cilindro!N185&gt;(-B$4+Presion_cilindro!$B$34),1-EXP(-Presion_cilindro!$B$16*((Presion_cilindro!N185-(-B$4+Presion_cilindro!$B$34))/Presion_cilindro!$B$35)^(Presion_cilindro!$B$17+1)),0))/((Presion_cilindro!O185+Presion_cilindro!O186)/2)</f>
        <v>1.3962065879086576</v>
      </c>
      <c r="C194" s="27">
        <f>C193*(Presion_cilindro!O185/Presion_cilindro!O186)^Presion_cilindro!$B$9+10*(Presion_cilindro!$B$9-1)*Presion_cilindro!$B$33*(IF(Presion_cilindro!N186&gt;(-C$4+Presion_cilindro!$B$34),1-EXP(-Presion_cilindro!$B$16*((Presion_cilindro!N186-(-C$4+Presion_cilindro!$B$34))/Presion_cilindro!$B$35)^(Presion_cilindro!$B$17+1)),0)-IF(Presion_cilindro!N185&gt;(-C$4+Presion_cilindro!$B$34),1-EXP(-Presion_cilindro!$B$16*((Presion_cilindro!N185-(-C$4+Presion_cilindro!$B$34))/Presion_cilindro!$B$35)^(Presion_cilindro!$B$17+1)),0))/((Presion_cilindro!O185+Presion_cilindro!O186)/2)</f>
        <v>1.3962065879086576</v>
      </c>
      <c r="D194" s="27">
        <f>D193*(Presion_cilindro!O185/Presion_cilindro!O186)^Presion_cilindro!$B$9+10*(Presion_cilindro!$B$9-1)*Presion_cilindro!$B$33*(IF(Presion_cilindro!N186&gt;(-D$4+Presion_cilindro!$B$34),1-EXP(-Presion_cilindro!$B$16*((Presion_cilindro!N186-(-D$4+Presion_cilindro!$B$34))/Presion_cilindro!$B$35)^(Presion_cilindro!$B$17+1)),0)-IF(Presion_cilindro!N185&gt;(-D$4+Presion_cilindro!$B$34),1-EXP(-Presion_cilindro!$B$16*((Presion_cilindro!N185-(-D$4+Presion_cilindro!$B$34))/Presion_cilindro!$B$35)^(Presion_cilindro!$B$17+1)),0))/((Presion_cilindro!O185+Presion_cilindro!O186)/2)</f>
        <v>1.3962065879086576</v>
      </c>
      <c r="E194" s="27">
        <f>E193*(Presion_cilindro!O185/Presion_cilindro!O186)^Presion_cilindro!$B$9+10*(Presion_cilindro!$B$9-1)*Presion_cilindro!$B$33*(IF(Presion_cilindro!N186&gt;(-E$4+Presion_cilindro!$B$34),1-EXP(-Presion_cilindro!$B$16*((Presion_cilindro!N186-(-E$4+Presion_cilindro!$B$34))/Presion_cilindro!$B$35)^(Presion_cilindro!$B$17+1)),0)-IF(Presion_cilindro!N185&gt;(-E$4+Presion_cilindro!$B$34),1-EXP(-Presion_cilindro!$B$16*((Presion_cilindro!N185-(-E$4+Presion_cilindro!$B$34))/Presion_cilindro!$B$35)^(Presion_cilindro!$B$17+1)),0))/((Presion_cilindro!O185+Presion_cilindro!O186)/2)</f>
        <v>1.3962065879086576</v>
      </c>
      <c r="F194" s="27">
        <f>F193*(Presion_cilindro!O185/Presion_cilindro!O186)^Presion_cilindro!$B$9+10*(Presion_cilindro!$B$9-1)*Presion_cilindro!$B$33*(IF(Presion_cilindro!N186&gt;(-F$4+Presion_cilindro!$B$34),1-EXP(-Presion_cilindro!$B$16*((Presion_cilindro!N186-(-F$4+Presion_cilindro!$B$34))/Presion_cilindro!$B$35)^(Presion_cilindro!$B$17+1)),0)-IF(Presion_cilindro!N185&gt;(-F$4+Presion_cilindro!$B$34),1-EXP(-Presion_cilindro!$B$16*((Presion_cilindro!N185-(-F$4+Presion_cilindro!$B$34))/Presion_cilindro!$B$35)^(Presion_cilindro!$B$17+1)),0))/((Presion_cilindro!O185+Presion_cilindro!O186)/2)</f>
        <v>1.3962065879086576</v>
      </c>
      <c r="G194" s="27">
        <f>G193*(Presion_cilindro!O185/Presion_cilindro!O186)^Presion_cilindro!$B$9+10*(Presion_cilindro!$B$9-1)*Presion_cilindro!$B$33*(IF(Presion_cilindro!N186&gt;(-G$4+Presion_cilindro!$B$34),1-EXP(-Presion_cilindro!$B$16*((Presion_cilindro!N186-(-G$4+Presion_cilindro!$B$34))/Presion_cilindro!$B$35)^(Presion_cilindro!$B$17+1)),0)-IF(Presion_cilindro!N185&gt;(-G$4+Presion_cilindro!$B$34),1-EXP(-Presion_cilindro!$B$16*((Presion_cilindro!N185-(-G$4+Presion_cilindro!$B$34))/Presion_cilindro!$B$35)^(Presion_cilindro!$B$17+1)),0))/((Presion_cilindro!O185+Presion_cilindro!O186)/2)</f>
        <v>1.3962065879086576</v>
      </c>
      <c r="H194" s="27">
        <f>H193*(Presion_cilindro!O185/Presion_cilindro!O186)^Presion_cilindro!$B$9+10*(Presion_cilindro!$B$9-1)*Presion_cilindro!$B$33*(IF(Presion_cilindro!N186&gt;(-H$4+Presion_cilindro!$B$34),1-EXP(-Presion_cilindro!$B$16*((Presion_cilindro!N186-(-H$4+Presion_cilindro!$B$34))/Presion_cilindro!$B$35)^(Presion_cilindro!$B$17+1)),0)-IF(Presion_cilindro!N185&gt;(-H$4+Presion_cilindro!$B$34),1-EXP(-Presion_cilindro!$B$16*((Presion_cilindro!N185-(-H$4+Presion_cilindro!$B$34))/Presion_cilindro!$B$35)^(Presion_cilindro!$B$17+1)),0))/((Presion_cilindro!O185+Presion_cilindro!O186)/2)</f>
        <v>1.3962065879086576</v>
      </c>
      <c r="I194" s="27">
        <f>I193*(Presion_cilindro!O185/Presion_cilindro!O186)^Presion_cilindro!$B$9+10*(Presion_cilindro!$B$9-1)*Presion_cilindro!$B$33*(IF(Presion_cilindro!N186&gt;(-I$4+Presion_cilindro!$B$34),1-EXP(-Presion_cilindro!$B$16*((Presion_cilindro!N186-(-I$4+Presion_cilindro!$B$34))/Presion_cilindro!$B$35)^(Presion_cilindro!$B$17+1)),0)-IF(Presion_cilindro!N185&gt;(-I$4+Presion_cilindro!$B$34),1-EXP(-Presion_cilindro!$B$16*((Presion_cilindro!N185-(-I$4+Presion_cilindro!$B$34))/Presion_cilindro!$B$35)^(Presion_cilindro!$B$17+1)),0))/((Presion_cilindro!O185+Presion_cilindro!O186)/2)</f>
        <v>1.3962065879086576</v>
      </c>
      <c r="J194" s="27">
        <f>J193*(Presion_cilindro!O185/Presion_cilindro!O186)^Presion_cilindro!$B$9+10*(Presion_cilindro!$B$9-1)*Presion_cilindro!$B$33*(IF(Presion_cilindro!N186&gt;(-J$4+Presion_cilindro!$B$34),1-EXP(-Presion_cilindro!$B$16*((Presion_cilindro!N186-(-J$4+Presion_cilindro!$B$34))/Presion_cilindro!$B$35)^(Presion_cilindro!$B$17+1)),0)-IF(Presion_cilindro!N185&gt;(-J$4+Presion_cilindro!$B$34),1-EXP(-Presion_cilindro!$B$16*((Presion_cilindro!N185-(-J$4+Presion_cilindro!$B$34))/Presion_cilindro!$B$35)^(Presion_cilindro!$B$17+1)),0))/((Presion_cilindro!O185+Presion_cilindro!O186)/2)</f>
        <v>1.3962065879086576</v>
      </c>
      <c r="K194" s="27">
        <f>K193*(Presion_cilindro!O185/Presion_cilindro!O186)^Presion_cilindro!$B$9+10*(Presion_cilindro!$B$9-1)*Presion_cilindro!$B$33*(IF(Presion_cilindro!N186&gt;(-K$4+Presion_cilindro!$B$34),1-EXP(-Presion_cilindro!$B$16*((Presion_cilindro!N186-(-K$4+Presion_cilindro!$B$34))/Presion_cilindro!$B$35)^(Presion_cilindro!$B$17+1)),0)-IF(Presion_cilindro!N185&gt;(-K$4+Presion_cilindro!$B$34),1-EXP(-Presion_cilindro!$B$16*((Presion_cilindro!N185-(-K$4+Presion_cilindro!$B$34))/Presion_cilindro!$B$35)^(Presion_cilindro!$B$17+1)),0))/((Presion_cilindro!O185+Presion_cilindro!O186)/2)</f>
        <v>1.3962065879086576</v>
      </c>
      <c r="L194" s="27">
        <f>L193*(Presion_cilindro!O185/Presion_cilindro!O186)^Presion_cilindro!$B$9+10*(Presion_cilindro!$B$9-1)*Presion_cilindro!$B$33*(IF(Presion_cilindro!N186&gt;(-L$4+Presion_cilindro!$B$34),1-EXP(-Presion_cilindro!$B$16*((Presion_cilindro!N186-(-L$4+Presion_cilindro!$B$34))/Presion_cilindro!$B$35)^(Presion_cilindro!$B$17+1)),0)-IF(Presion_cilindro!N185&gt;(-L$4+Presion_cilindro!$B$34),1-EXP(-Presion_cilindro!$B$16*((Presion_cilindro!N185-(-L$4+Presion_cilindro!$B$34))/Presion_cilindro!$B$35)^(Presion_cilindro!$B$17+1)),0))/((Presion_cilindro!O185+Presion_cilindro!O186)/2)</f>
        <v>1.3962065879086576</v>
      </c>
      <c r="M194" s="27">
        <f>M193*(Presion_cilindro!O185/Presion_cilindro!O186)^Presion_cilindro!$B$9+10*(Presion_cilindro!$B$9-1)*Presion_cilindro!$B$33*(IF(Presion_cilindro!N186&gt;(-M$4+Presion_cilindro!$B$34),1-EXP(-Presion_cilindro!$B$16*((Presion_cilindro!N186-(-M$4+Presion_cilindro!$B$34))/Presion_cilindro!$B$35)^(Presion_cilindro!$B$17+1)),0)-IF(Presion_cilindro!N185&gt;(-M$4+Presion_cilindro!$B$34),1-EXP(-Presion_cilindro!$B$16*((Presion_cilindro!N185-(-M$4+Presion_cilindro!$B$34))/Presion_cilindro!$B$35)^(Presion_cilindro!$B$17+1)),0))/((Presion_cilindro!O185+Presion_cilindro!O186)/2)</f>
        <v>1.3962065879086576</v>
      </c>
      <c r="N194" s="27">
        <f>N193*(Presion_cilindro!O185/Presion_cilindro!O186)^Presion_cilindro!$B$9+10*(Presion_cilindro!$B$9-1)*Presion_cilindro!$B$33*(IF(Presion_cilindro!N186&gt;(-N$4+Presion_cilindro!$B$34),1-EXP(-Presion_cilindro!$B$16*((Presion_cilindro!N186-(-N$4+Presion_cilindro!$B$34))/Presion_cilindro!$B$35)^(Presion_cilindro!$B$17+1)),0)-IF(Presion_cilindro!N185&gt;(-N$4+Presion_cilindro!$B$34),1-EXP(-Presion_cilindro!$B$16*((Presion_cilindro!N185-(-N$4+Presion_cilindro!$B$34))/Presion_cilindro!$B$35)^(Presion_cilindro!$B$17+1)),0))/((Presion_cilindro!O185+Presion_cilindro!O186)/2)</f>
        <v>1.3962065879086576</v>
      </c>
    </row>
    <row r="195" spans="1:14" x14ac:dyDescent="0.25">
      <c r="A195" s="21">
        <f>Presion_cilindro!N187</f>
        <v>-88.5</v>
      </c>
      <c r="B195" s="27">
        <f>B194*(Presion_cilindro!O186/Presion_cilindro!O187)^Presion_cilindro!$B$9+10*(Presion_cilindro!$B$9-1)*Presion_cilindro!$B$33*(IF(Presion_cilindro!N187&gt;(-B$4+Presion_cilindro!$B$34),1-EXP(-Presion_cilindro!$B$16*((Presion_cilindro!N187-(-B$4+Presion_cilindro!$B$34))/Presion_cilindro!$B$35)^(Presion_cilindro!$B$17+1)),0)-IF(Presion_cilindro!N186&gt;(-B$4+Presion_cilindro!$B$34),1-EXP(-Presion_cilindro!$B$16*((Presion_cilindro!N186-(-B$4+Presion_cilindro!$B$34))/Presion_cilindro!$B$35)^(Presion_cilindro!$B$17+1)),0))/((Presion_cilindro!O186+Presion_cilindro!O187)/2)</f>
        <v>1.4083719838958575</v>
      </c>
      <c r="C195" s="27">
        <f>C194*(Presion_cilindro!O186/Presion_cilindro!O187)^Presion_cilindro!$B$9+10*(Presion_cilindro!$B$9-1)*Presion_cilindro!$B$33*(IF(Presion_cilindro!N187&gt;(-C$4+Presion_cilindro!$B$34),1-EXP(-Presion_cilindro!$B$16*((Presion_cilindro!N187-(-C$4+Presion_cilindro!$B$34))/Presion_cilindro!$B$35)^(Presion_cilindro!$B$17+1)),0)-IF(Presion_cilindro!N186&gt;(-C$4+Presion_cilindro!$B$34),1-EXP(-Presion_cilindro!$B$16*((Presion_cilindro!N186-(-C$4+Presion_cilindro!$B$34))/Presion_cilindro!$B$35)^(Presion_cilindro!$B$17+1)),0))/((Presion_cilindro!O186+Presion_cilindro!O187)/2)</f>
        <v>1.4083719838958575</v>
      </c>
      <c r="D195" s="27">
        <f>D194*(Presion_cilindro!O186/Presion_cilindro!O187)^Presion_cilindro!$B$9+10*(Presion_cilindro!$B$9-1)*Presion_cilindro!$B$33*(IF(Presion_cilindro!N187&gt;(-D$4+Presion_cilindro!$B$34),1-EXP(-Presion_cilindro!$B$16*((Presion_cilindro!N187-(-D$4+Presion_cilindro!$B$34))/Presion_cilindro!$B$35)^(Presion_cilindro!$B$17+1)),0)-IF(Presion_cilindro!N186&gt;(-D$4+Presion_cilindro!$B$34),1-EXP(-Presion_cilindro!$B$16*((Presion_cilindro!N186-(-D$4+Presion_cilindro!$B$34))/Presion_cilindro!$B$35)^(Presion_cilindro!$B$17+1)),0))/((Presion_cilindro!O186+Presion_cilindro!O187)/2)</f>
        <v>1.4083719838958575</v>
      </c>
      <c r="E195" s="27">
        <f>E194*(Presion_cilindro!O186/Presion_cilindro!O187)^Presion_cilindro!$B$9+10*(Presion_cilindro!$B$9-1)*Presion_cilindro!$B$33*(IF(Presion_cilindro!N187&gt;(-E$4+Presion_cilindro!$B$34),1-EXP(-Presion_cilindro!$B$16*((Presion_cilindro!N187-(-E$4+Presion_cilindro!$B$34))/Presion_cilindro!$B$35)^(Presion_cilindro!$B$17+1)),0)-IF(Presion_cilindro!N186&gt;(-E$4+Presion_cilindro!$B$34),1-EXP(-Presion_cilindro!$B$16*((Presion_cilindro!N186-(-E$4+Presion_cilindro!$B$34))/Presion_cilindro!$B$35)^(Presion_cilindro!$B$17+1)),0))/((Presion_cilindro!O186+Presion_cilindro!O187)/2)</f>
        <v>1.4083719838958575</v>
      </c>
      <c r="F195" s="27">
        <f>F194*(Presion_cilindro!O186/Presion_cilindro!O187)^Presion_cilindro!$B$9+10*(Presion_cilindro!$B$9-1)*Presion_cilindro!$B$33*(IF(Presion_cilindro!N187&gt;(-F$4+Presion_cilindro!$B$34),1-EXP(-Presion_cilindro!$B$16*((Presion_cilindro!N187-(-F$4+Presion_cilindro!$B$34))/Presion_cilindro!$B$35)^(Presion_cilindro!$B$17+1)),0)-IF(Presion_cilindro!N186&gt;(-F$4+Presion_cilindro!$B$34),1-EXP(-Presion_cilindro!$B$16*((Presion_cilindro!N186-(-F$4+Presion_cilindro!$B$34))/Presion_cilindro!$B$35)^(Presion_cilindro!$B$17+1)),0))/((Presion_cilindro!O186+Presion_cilindro!O187)/2)</f>
        <v>1.4083719838958575</v>
      </c>
      <c r="G195" s="27">
        <f>G194*(Presion_cilindro!O186/Presion_cilindro!O187)^Presion_cilindro!$B$9+10*(Presion_cilindro!$B$9-1)*Presion_cilindro!$B$33*(IF(Presion_cilindro!N187&gt;(-G$4+Presion_cilindro!$B$34),1-EXP(-Presion_cilindro!$B$16*((Presion_cilindro!N187-(-G$4+Presion_cilindro!$B$34))/Presion_cilindro!$B$35)^(Presion_cilindro!$B$17+1)),0)-IF(Presion_cilindro!N186&gt;(-G$4+Presion_cilindro!$B$34),1-EXP(-Presion_cilindro!$B$16*((Presion_cilindro!N186-(-G$4+Presion_cilindro!$B$34))/Presion_cilindro!$B$35)^(Presion_cilindro!$B$17+1)),0))/((Presion_cilindro!O186+Presion_cilindro!O187)/2)</f>
        <v>1.4083719838958575</v>
      </c>
      <c r="H195" s="27">
        <f>H194*(Presion_cilindro!O186/Presion_cilindro!O187)^Presion_cilindro!$B$9+10*(Presion_cilindro!$B$9-1)*Presion_cilindro!$B$33*(IF(Presion_cilindro!N187&gt;(-H$4+Presion_cilindro!$B$34),1-EXP(-Presion_cilindro!$B$16*((Presion_cilindro!N187-(-H$4+Presion_cilindro!$B$34))/Presion_cilindro!$B$35)^(Presion_cilindro!$B$17+1)),0)-IF(Presion_cilindro!N186&gt;(-H$4+Presion_cilindro!$B$34),1-EXP(-Presion_cilindro!$B$16*((Presion_cilindro!N186-(-H$4+Presion_cilindro!$B$34))/Presion_cilindro!$B$35)^(Presion_cilindro!$B$17+1)),0))/((Presion_cilindro!O186+Presion_cilindro!O187)/2)</f>
        <v>1.4083719838958575</v>
      </c>
      <c r="I195" s="27">
        <f>I194*(Presion_cilindro!O186/Presion_cilindro!O187)^Presion_cilindro!$B$9+10*(Presion_cilindro!$B$9-1)*Presion_cilindro!$B$33*(IF(Presion_cilindro!N187&gt;(-I$4+Presion_cilindro!$B$34),1-EXP(-Presion_cilindro!$B$16*((Presion_cilindro!N187-(-I$4+Presion_cilindro!$B$34))/Presion_cilindro!$B$35)^(Presion_cilindro!$B$17+1)),0)-IF(Presion_cilindro!N186&gt;(-I$4+Presion_cilindro!$B$34),1-EXP(-Presion_cilindro!$B$16*((Presion_cilindro!N186-(-I$4+Presion_cilindro!$B$34))/Presion_cilindro!$B$35)^(Presion_cilindro!$B$17+1)),0))/((Presion_cilindro!O186+Presion_cilindro!O187)/2)</f>
        <v>1.4083719838958575</v>
      </c>
      <c r="J195" s="27">
        <f>J194*(Presion_cilindro!O186/Presion_cilindro!O187)^Presion_cilindro!$B$9+10*(Presion_cilindro!$B$9-1)*Presion_cilindro!$B$33*(IF(Presion_cilindro!N187&gt;(-J$4+Presion_cilindro!$B$34),1-EXP(-Presion_cilindro!$B$16*((Presion_cilindro!N187-(-J$4+Presion_cilindro!$B$34))/Presion_cilindro!$B$35)^(Presion_cilindro!$B$17+1)),0)-IF(Presion_cilindro!N186&gt;(-J$4+Presion_cilindro!$B$34),1-EXP(-Presion_cilindro!$B$16*((Presion_cilindro!N186-(-J$4+Presion_cilindro!$B$34))/Presion_cilindro!$B$35)^(Presion_cilindro!$B$17+1)),0))/((Presion_cilindro!O186+Presion_cilindro!O187)/2)</f>
        <v>1.4083719838958575</v>
      </c>
      <c r="K195" s="27">
        <f>K194*(Presion_cilindro!O186/Presion_cilindro!O187)^Presion_cilindro!$B$9+10*(Presion_cilindro!$B$9-1)*Presion_cilindro!$B$33*(IF(Presion_cilindro!N187&gt;(-K$4+Presion_cilindro!$B$34),1-EXP(-Presion_cilindro!$B$16*((Presion_cilindro!N187-(-K$4+Presion_cilindro!$B$34))/Presion_cilindro!$B$35)^(Presion_cilindro!$B$17+1)),0)-IF(Presion_cilindro!N186&gt;(-K$4+Presion_cilindro!$B$34),1-EXP(-Presion_cilindro!$B$16*((Presion_cilindro!N186-(-K$4+Presion_cilindro!$B$34))/Presion_cilindro!$B$35)^(Presion_cilindro!$B$17+1)),0))/((Presion_cilindro!O186+Presion_cilindro!O187)/2)</f>
        <v>1.4083719838958575</v>
      </c>
      <c r="L195" s="27">
        <f>L194*(Presion_cilindro!O186/Presion_cilindro!O187)^Presion_cilindro!$B$9+10*(Presion_cilindro!$B$9-1)*Presion_cilindro!$B$33*(IF(Presion_cilindro!N187&gt;(-L$4+Presion_cilindro!$B$34),1-EXP(-Presion_cilindro!$B$16*((Presion_cilindro!N187-(-L$4+Presion_cilindro!$B$34))/Presion_cilindro!$B$35)^(Presion_cilindro!$B$17+1)),0)-IF(Presion_cilindro!N186&gt;(-L$4+Presion_cilindro!$B$34),1-EXP(-Presion_cilindro!$B$16*((Presion_cilindro!N186-(-L$4+Presion_cilindro!$B$34))/Presion_cilindro!$B$35)^(Presion_cilindro!$B$17+1)),0))/((Presion_cilindro!O186+Presion_cilindro!O187)/2)</f>
        <v>1.4083719838958575</v>
      </c>
      <c r="M195" s="27">
        <f>M194*(Presion_cilindro!O186/Presion_cilindro!O187)^Presion_cilindro!$B$9+10*(Presion_cilindro!$B$9-1)*Presion_cilindro!$B$33*(IF(Presion_cilindro!N187&gt;(-M$4+Presion_cilindro!$B$34),1-EXP(-Presion_cilindro!$B$16*((Presion_cilindro!N187-(-M$4+Presion_cilindro!$B$34))/Presion_cilindro!$B$35)^(Presion_cilindro!$B$17+1)),0)-IF(Presion_cilindro!N186&gt;(-M$4+Presion_cilindro!$B$34),1-EXP(-Presion_cilindro!$B$16*((Presion_cilindro!N186-(-M$4+Presion_cilindro!$B$34))/Presion_cilindro!$B$35)^(Presion_cilindro!$B$17+1)),0))/((Presion_cilindro!O186+Presion_cilindro!O187)/2)</f>
        <v>1.4083719838958575</v>
      </c>
      <c r="N195" s="27">
        <f>N194*(Presion_cilindro!O186/Presion_cilindro!O187)^Presion_cilindro!$B$9+10*(Presion_cilindro!$B$9-1)*Presion_cilindro!$B$33*(IF(Presion_cilindro!N187&gt;(-N$4+Presion_cilindro!$B$34),1-EXP(-Presion_cilindro!$B$16*((Presion_cilindro!N187-(-N$4+Presion_cilindro!$B$34))/Presion_cilindro!$B$35)^(Presion_cilindro!$B$17+1)),0)-IF(Presion_cilindro!N186&gt;(-N$4+Presion_cilindro!$B$34),1-EXP(-Presion_cilindro!$B$16*((Presion_cilindro!N186-(-N$4+Presion_cilindro!$B$34))/Presion_cilindro!$B$35)^(Presion_cilindro!$B$17+1)),0))/((Presion_cilindro!O186+Presion_cilindro!O187)/2)</f>
        <v>1.4083719838958575</v>
      </c>
    </row>
    <row r="196" spans="1:14" x14ac:dyDescent="0.25">
      <c r="A196" s="21">
        <f>Presion_cilindro!N188</f>
        <v>-88</v>
      </c>
      <c r="B196" s="27">
        <f>B195*(Presion_cilindro!O187/Presion_cilindro!O188)^Presion_cilindro!$B$9+10*(Presion_cilindro!$B$9-1)*Presion_cilindro!$B$33*(IF(Presion_cilindro!N188&gt;(-B$4+Presion_cilindro!$B$34),1-EXP(-Presion_cilindro!$B$16*((Presion_cilindro!N188-(-B$4+Presion_cilindro!$B$34))/Presion_cilindro!$B$35)^(Presion_cilindro!$B$17+1)),0)-IF(Presion_cilindro!N187&gt;(-B$4+Presion_cilindro!$B$34),1-EXP(-Presion_cilindro!$B$16*((Presion_cilindro!N187-(-B$4+Presion_cilindro!$B$34))/Presion_cilindro!$B$35)^(Presion_cilindro!$B$17+1)),0))/((Presion_cilindro!O187+Presion_cilindro!O188)/2)</f>
        <v>1.4207536123978526</v>
      </c>
      <c r="C196" s="27">
        <f>C195*(Presion_cilindro!O187/Presion_cilindro!O188)^Presion_cilindro!$B$9+10*(Presion_cilindro!$B$9-1)*Presion_cilindro!$B$33*(IF(Presion_cilindro!N188&gt;(-C$4+Presion_cilindro!$B$34),1-EXP(-Presion_cilindro!$B$16*((Presion_cilindro!N188-(-C$4+Presion_cilindro!$B$34))/Presion_cilindro!$B$35)^(Presion_cilindro!$B$17+1)),0)-IF(Presion_cilindro!N187&gt;(-C$4+Presion_cilindro!$B$34),1-EXP(-Presion_cilindro!$B$16*((Presion_cilindro!N187-(-C$4+Presion_cilindro!$B$34))/Presion_cilindro!$B$35)^(Presion_cilindro!$B$17+1)),0))/((Presion_cilindro!O187+Presion_cilindro!O188)/2)</f>
        <v>1.4207536123978526</v>
      </c>
      <c r="D196" s="27">
        <f>D195*(Presion_cilindro!O187/Presion_cilindro!O188)^Presion_cilindro!$B$9+10*(Presion_cilindro!$B$9-1)*Presion_cilindro!$B$33*(IF(Presion_cilindro!N188&gt;(-D$4+Presion_cilindro!$B$34),1-EXP(-Presion_cilindro!$B$16*((Presion_cilindro!N188-(-D$4+Presion_cilindro!$B$34))/Presion_cilindro!$B$35)^(Presion_cilindro!$B$17+1)),0)-IF(Presion_cilindro!N187&gt;(-D$4+Presion_cilindro!$B$34),1-EXP(-Presion_cilindro!$B$16*((Presion_cilindro!N187-(-D$4+Presion_cilindro!$B$34))/Presion_cilindro!$B$35)^(Presion_cilindro!$B$17+1)),0))/((Presion_cilindro!O187+Presion_cilindro!O188)/2)</f>
        <v>1.4207536123978526</v>
      </c>
      <c r="E196" s="27">
        <f>E195*(Presion_cilindro!O187/Presion_cilindro!O188)^Presion_cilindro!$B$9+10*(Presion_cilindro!$B$9-1)*Presion_cilindro!$B$33*(IF(Presion_cilindro!N188&gt;(-E$4+Presion_cilindro!$B$34),1-EXP(-Presion_cilindro!$B$16*((Presion_cilindro!N188-(-E$4+Presion_cilindro!$B$34))/Presion_cilindro!$B$35)^(Presion_cilindro!$B$17+1)),0)-IF(Presion_cilindro!N187&gt;(-E$4+Presion_cilindro!$B$34),1-EXP(-Presion_cilindro!$B$16*((Presion_cilindro!N187-(-E$4+Presion_cilindro!$B$34))/Presion_cilindro!$B$35)^(Presion_cilindro!$B$17+1)),0))/((Presion_cilindro!O187+Presion_cilindro!O188)/2)</f>
        <v>1.4207536123978526</v>
      </c>
      <c r="F196" s="27">
        <f>F195*(Presion_cilindro!O187/Presion_cilindro!O188)^Presion_cilindro!$B$9+10*(Presion_cilindro!$B$9-1)*Presion_cilindro!$B$33*(IF(Presion_cilindro!N188&gt;(-F$4+Presion_cilindro!$B$34),1-EXP(-Presion_cilindro!$B$16*((Presion_cilindro!N188-(-F$4+Presion_cilindro!$B$34))/Presion_cilindro!$B$35)^(Presion_cilindro!$B$17+1)),0)-IF(Presion_cilindro!N187&gt;(-F$4+Presion_cilindro!$B$34),1-EXP(-Presion_cilindro!$B$16*((Presion_cilindro!N187-(-F$4+Presion_cilindro!$B$34))/Presion_cilindro!$B$35)^(Presion_cilindro!$B$17+1)),0))/((Presion_cilindro!O187+Presion_cilindro!O188)/2)</f>
        <v>1.4207536123978526</v>
      </c>
      <c r="G196" s="27">
        <f>G195*(Presion_cilindro!O187/Presion_cilindro!O188)^Presion_cilindro!$B$9+10*(Presion_cilindro!$B$9-1)*Presion_cilindro!$B$33*(IF(Presion_cilindro!N188&gt;(-G$4+Presion_cilindro!$B$34),1-EXP(-Presion_cilindro!$B$16*((Presion_cilindro!N188-(-G$4+Presion_cilindro!$B$34))/Presion_cilindro!$B$35)^(Presion_cilindro!$B$17+1)),0)-IF(Presion_cilindro!N187&gt;(-G$4+Presion_cilindro!$B$34),1-EXP(-Presion_cilindro!$B$16*((Presion_cilindro!N187-(-G$4+Presion_cilindro!$B$34))/Presion_cilindro!$B$35)^(Presion_cilindro!$B$17+1)),0))/((Presion_cilindro!O187+Presion_cilindro!O188)/2)</f>
        <v>1.4207536123978526</v>
      </c>
      <c r="H196" s="27">
        <f>H195*(Presion_cilindro!O187/Presion_cilindro!O188)^Presion_cilindro!$B$9+10*(Presion_cilindro!$B$9-1)*Presion_cilindro!$B$33*(IF(Presion_cilindro!N188&gt;(-H$4+Presion_cilindro!$B$34),1-EXP(-Presion_cilindro!$B$16*((Presion_cilindro!N188-(-H$4+Presion_cilindro!$B$34))/Presion_cilindro!$B$35)^(Presion_cilindro!$B$17+1)),0)-IF(Presion_cilindro!N187&gt;(-H$4+Presion_cilindro!$B$34),1-EXP(-Presion_cilindro!$B$16*((Presion_cilindro!N187-(-H$4+Presion_cilindro!$B$34))/Presion_cilindro!$B$35)^(Presion_cilindro!$B$17+1)),0))/((Presion_cilindro!O187+Presion_cilindro!O188)/2)</f>
        <v>1.4207536123978526</v>
      </c>
      <c r="I196" s="27">
        <f>I195*(Presion_cilindro!O187/Presion_cilindro!O188)^Presion_cilindro!$B$9+10*(Presion_cilindro!$B$9-1)*Presion_cilindro!$B$33*(IF(Presion_cilindro!N188&gt;(-I$4+Presion_cilindro!$B$34),1-EXP(-Presion_cilindro!$B$16*((Presion_cilindro!N188-(-I$4+Presion_cilindro!$B$34))/Presion_cilindro!$B$35)^(Presion_cilindro!$B$17+1)),0)-IF(Presion_cilindro!N187&gt;(-I$4+Presion_cilindro!$B$34),1-EXP(-Presion_cilindro!$B$16*((Presion_cilindro!N187-(-I$4+Presion_cilindro!$B$34))/Presion_cilindro!$B$35)^(Presion_cilindro!$B$17+1)),0))/((Presion_cilindro!O187+Presion_cilindro!O188)/2)</f>
        <v>1.4207536123978526</v>
      </c>
      <c r="J196" s="27">
        <f>J195*(Presion_cilindro!O187/Presion_cilindro!O188)^Presion_cilindro!$B$9+10*(Presion_cilindro!$B$9-1)*Presion_cilindro!$B$33*(IF(Presion_cilindro!N188&gt;(-J$4+Presion_cilindro!$B$34),1-EXP(-Presion_cilindro!$B$16*((Presion_cilindro!N188-(-J$4+Presion_cilindro!$B$34))/Presion_cilindro!$B$35)^(Presion_cilindro!$B$17+1)),0)-IF(Presion_cilindro!N187&gt;(-J$4+Presion_cilindro!$B$34),1-EXP(-Presion_cilindro!$B$16*((Presion_cilindro!N187-(-J$4+Presion_cilindro!$B$34))/Presion_cilindro!$B$35)^(Presion_cilindro!$B$17+1)),0))/((Presion_cilindro!O187+Presion_cilindro!O188)/2)</f>
        <v>1.4207536123978526</v>
      </c>
      <c r="K196" s="27">
        <f>K195*(Presion_cilindro!O187/Presion_cilindro!O188)^Presion_cilindro!$B$9+10*(Presion_cilindro!$B$9-1)*Presion_cilindro!$B$33*(IF(Presion_cilindro!N188&gt;(-K$4+Presion_cilindro!$B$34),1-EXP(-Presion_cilindro!$B$16*((Presion_cilindro!N188-(-K$4+Presion_cilindro!$B$34))/Presion_cilindro!$B$35)^(Presion_cilindro!$B$17+1)),0)-IF(Presion_cilindro!N187&gt;(-K$4+Presion_cilindro!$B$34),1-EXP(-Presion_cilindro!$B$16*((Presion_cilindro!N187-(-K$4+Presion_cilindro!$B$34))/Presion_cilindro!$B$35)^(Presion_cilindro!$B$17+1)),0))/((Presion_cilindro!O187+Presion_cilindro!O188)/2)</f>
        <v>1.4207536123978526</v>
      </c>
      <c r="L196" s="27">
        <f>L195*(Presion_cilindro!O187/Presion_cilindro!O188)^Presion_cilindro!$B$9+10*(Presion_cilindro!$B$9-1)*Presion_cilindro!$B$33*(IF(Presion_cilindro!N188&gt;(-L$4+Presion_cilindro!$B$34),1-EXP(-Presion_cilindro!$B$16*((Presion_cilindro!N188-(-L$4+Presion_cilindro!$B$34))/Presion_cilindro!$B$35)^(Presion_cilindro!$B$17+1)),0)-IF(Presion_cilindro!N187&gt;(-L$4+Presion_cilindro!$B$34),1-EXP(-Presion_cilindro!$B$16*((Presion_cilindro!N187-(-L$4+Presion_cilindro!$B$34))/Presion_cilindro!$B$35)^(Presion_cilindro!$B$17+1)),0))/((Presion_cilindro!O187+Presion_cilindro!O188)/2)</f>
        <v>1.4207536123978526</v>
      </c>
      <c r="M196" s="27">
        <f>M195*(Presion_cilindro!O187/Presion_cilindro!O188)^Presion_cilindro!$B$9+10*(Presion_cilindro!$B$9-1)*Presion_cilindro!$B$33*(IF(Presion_cilindro!N188&gt;(-M$4+Presion_cilindro!$B$34),1-EXP(-Presion_cilindro!$B$16*((Presion_cilindro!N188-(-M$4+Presion_cilindro!$B$34))/Presion_cilindro!$B$35)^(Presion_cilindro!$B$17+1)),0)-IF(Presion_cilindro!N187&gt;(-M$4+Presion_cilindro!$B$34),1-EXP(-Presion_cilindro!$B$16*((Presion_cilindro!N187-(-M$4+Presion_cilindro!$B$34))/Presion_cilindro!$B$35)^(Presion_cilindro!$B$17+1)),0))/((Presion_cilindro!O187+Presion_cilindro!O188)/2)</f>
        <v>1.4207536123978526</v>
      </c>
      <c r="N196" s="27">
        <f>N195*(Presion_cilindro!O187/Presion_cilindro!O188)^Presion_cilindro!$B$9+10*(Presion_cilindro!$B$9-1)*Presion_cilindro!$B$33*(IF(Presion_cilindro!N188&gt;(-N$4+Presion_cilindro!$B$34),1-EXP(-Presion_cilindro!$B$16*((Presion_cilindro!N188-(-N$4+Presion_cilindro!$B$34))/Presion_cilindro!$B$35)^(Presion_cilindro!$B$17+1)),0)-IF(Presion_cilindro!N187&gt;(-N$4+Presion_cilindro!$B$34),1-EXP(-Presion_cilindro!$B$16*((Presion_cilindro!N187-(-N$4+Presion_cilindro!$B$34))/Presion_cilindro!$B$35)^(Presion_cilindro!$B$17+1)),0))/((Presion_cilindro!O187+Presion_cilindro!O188)/2)</f>
        <v>1.4207536123978526</v>
      </c>
    </row>
    <row r="197" spans="1:14" x14ac:dyDescent="0.25">
      <c r="A197" s="21">
        <f>Presion_cilindro!N189</f>
        <v>-87.5</v>
      </c>
      <c r="B197" s="27">
        <f>B196*(Presion_cilindro!O188/Presion_cilindro!O189)^Presion_cilindro!$B$9+10*(Presion_cilindro!$B$9-1)*Presion_cilindro!$B$33*(IF(Presion_cilindro!N189&gt;(-B$4+Presion_cilindro!$B$34),1-EXP(-Presion_cilindro!$B$16*((Presion_cilindro!N189-(-B$4+Presion_cilindro!$B$34))/Presion_cilindro!$B$35)^(Presion_cilindro!$B$17+1)),0)-IF(Presion_cilindro!N188&gt;(-B$4+Presion_cilindro!$B$34),1-EXP(-Presion_cilindro!$B$16*((Presion_cilindro!N188-(-B$4+Presion_cilindro!$B$34))/Presion_cilindro!$B$35)^(Presion_cilindro!$B$17+1)),0))/((Presion_cilindro!O188+Presion_cilindro!O189)/2)</f>
        <v>1.4333559797726663</v>
      </c>
      <c r="C197" s="27">
        <f>C196*(Presion_cilindro!O188/Presion_cilindro!O189)^Presion_cilindro!$B$9+10*(Presion_cilindro!$B$9-1)*Presion_cilindro!$B$33*(IF(Presion_cilindro!N189&gt;(-C$4+Presion_cilindro!$B$34),1-EXP(-Presion_cilindro!$B$16*((Presion_cilindro!N189-(-C$4+Presion_cilindro!$B$34))/Presion_cilindro!$B$35)^(Presion_cilindro!$B$17+1)),0)-IF(Presion_cilindro!N188&gt;(-C$4+Presion_cilindro!$B$34),1-EXP(-Presion_cilindro!$B$16*((Presion_cilindro!N188-(-C$4+Presion_cilindro!$B$34))/Presion_cilindro!$B$35)^(Presion_cilindro!$B$17+1)),0))/((Presion_cilindro!O188+Presion_cilindro!O189)/2)</f>
        <v>1.4333559797726663</v>
      </c>
      <c r="D197" s="27">
        <f>D196*(Presion_cilindro!O188/Presion_cilindro!O189)^Presion_cilindro!$B$9+10*(Presion_cilindro!$B$9-1)*Presion_cilindro!$B$33*(IF(Presion_cilindro!N189&gt;(-D$4+Presion_cilindro!$B$34),1-EXP(-Presion_cilindro!$B$16*((Presion_cilindro!N189-(-D$4+Presion_cilindro!$B$34))/Presion_cilindro!$B$35)^(Presion_cilindro!$B$17+1)),0)-IF(Presion_cilindro!N188&gt;(-D$4+Presion_cilindro!$B$34),1-EXP(-Presion_cilindro!$B$16*((Presion_cilindro!N188-(-D$4+Presion_cilindro!$B$34))/Presion_cilindro!$B$35)^(Presion_cilindro!$B$17+1)),0))/((Presion_cilindro!O188+Presion_cilindro!O189)/2)</f>
        <v>1.4333559797726663</v>
      </c>
      <c r="E197" s="27">
        <f>E196*(Presion_cilindro!O188/Presion_cilindro!O189)^Presion_cilindro!$B$9+10*(Presion_cilindro!$B$9-1)*Presion_cilindro!$B$33*(IF(Presion_cilindro!N189&gt;(-E$4+Presion_cilindro!$B$34),1-EXP(-Presion_cilindro!$B$16*((Presion_cilindro!N189-(-E$4+Presion_cilindro!$B$34))/Presion_cilindro!$B$35)^(Presion_cilindro!$B$17+1)),0)-IF(Presion_cilindro!N188&gt;(-E$4+Presion_cilindro!$B$34),1-EXP(-Presion_cilindro!$B$16*((Presion_cilindro!N188-(-E$4+Presion_cilindro!$B$34))/Presion_cilindro!$B$35)^(Presion_cilindro!$B$17+1)),0))/((Presion_cilindro!O188+Presion_cilindro!O189)/2)</f>
        <v>1.4333559797726663</v>
      </c>
      <c r="F197" s="27">
        <f>F196*(Presion_cilindro!O188/Presion_cilindro!O189)^Presion_cilindro!$B$9+10*(Presion_cilindro!$B$9-1)*Presion_cilindro!$B$33*(IF(Presion_cilindro!N189&gt;(-F$4+Presion_cilindro!$B$34),1-EXP(-Presion_cilindro!$B$16*((Presion_cilindro!N189-(-F$4+Presion_cilindro!$B$34))/Presion_cilindro!$B$35)^(Presion_cilindro!$B$17+1)),0)-IF(Presion_cilindro!N188&gt;(-F$4+Presion_cilindro!$B$34),1-EXP(-Presion_cilindro!$B$16*((Presion_cilindro!N188-(-F$4+Presion_cilindro!$B$34))/Presion_cilindro!$B$35)^(Presion_cilindro!$B$17+1)),0))/((Presion_cilindro!O188+Presion_cilindro!O189)/2)</f>
        <v>1.4333559797726663</v>
      </c>
      <c r="G197" s="27">
        <f>G196*(Presion_cilindro!O188/Presion_cilindro!O189)^Presion_cilindro!$B$9+10*(Presion_cilindro!$B$9-1)*Presion_cilindro!$B$33*(IF(Presion_cilindro!N189&gt;(-G$4+Presion_cilindro!$B$34),1-EXP(-Presion_cilindro!$B$16*((Presion_cilindro!N189-(-G$4+Presion_cilindro!$B$34))/Presion_cilindro!$B$35)^(Presion_cilindro!$B$17+1)),0)-IF(Presion_cilindro!N188&gt;(-G$4+Presion_cilindro!$B$34),1-EXP(-Presion_cilindro!$B$16*((Presion_cilindro!N188-(-G$4+Presion_cilindro!$B$34))/Presion_cilindro!$B$35)^(Presion_cilindro!$B$17+1)),0))/((Presion_cilindro!O188+Presion_cilindro!O189)/2)</f>
        <v>1.4333559797726663</v>
      </c>
      <c r="H197" s="27">
        <f>H196*(Presion_cilindro!O188/Presion_cilindro!O189)^Presion_cilindro!$B$9+10*(Presion_cilindro!$B$9-1)*Presion_cilindro!$B$33*(IF(Presion_cilindro!N189&gt;(-H$4+Presion_cilindro!$B$34),1-EXP(-Presion_cilindro!$B$16*((Presion_cilindro!N189-(-H$4+Presion_cilindro!$B$34))/Presion_cilindro!$B$35)^(Presion_cilindro!$B$17+1)),0)-IF(Presion_cilindro!N188&gt;(-H$4+Presion_cilindro!$B$34),1-EXP(-Presion_cilindro!$B$16*((Presion_cilindro!N188-(-H$4+Presion_cilindro!$B$34))/Presion_cilindro!$B$35)^(Presion_cilindro!$B$17+1)),0))/((Presion_cilindro!O188+Presion_cilindro!O189)/2)</f>
        <v>1.4333559797726663</v>
      </c>
      <c r="I197" s="27">
        <f>I196*(Presion_cilindro!O188/Presion_cilindro!O189)^Presion_cilindro!$B$9+10*(Presion_cilindro!$B$9-1)*Presion_cilindro!$B$33*(IF(Presion_cilindro!N189&gt;(-I$4+Presion_cilindro!$B$34),1-EXP(-Presion_cilindro!$B$16*((Presion_cilindro!N189-(-I$4+Presion_cilindro!$B$34))/Presion_cilindro!$B$35)^(Presion_cilindro!$B$17+1)),0)-IF(Presion_cilindro!N188&gt;(-I$4+Presion_cilindro!$B$34),1-EXP(-Presion_cilindro!$B$16*((Presion_cilindro!N188-(-I$4+Presion_cilindro!$B$34))/Presion_cilindro!$B$35)^(Presion_cilindro!$B$17+1)),0))/((Presion_cilindro!O188+Presion_cilindro!O189)/2)</f>
        <v>1.4333559797726663</v>
      </c>
      <c r="J197" s="27">
        <f>J196*(Presion_cilindro!O188/Presion_cilindro!O189)^Presion_cilindro!$B$9+10*(Presion_cilindro!$B$9-1)*Presion_cilindro!$B$33*(IF(Presion_cilindro!N189&gt;(-J$4+Presion_cilindro!$B$34),1-EXP(-Presion_cilindro!$B$16*((Presion_cilindro!N189-(-J$4+Presion_cilindro!$B$34))/Presion_cilindro!$B$35)^(Presion_cilindro!$B$17+1)),0)-IF(Presion_cilindro!N188&gt;(-J$4+Presion_cilindro!$B$34),1-EXP(-Presion_cilindro!$B$16*((Presion_cilindro!N188-(-J$4+Presion_cilindro!$B$34))/Presion_cilindro!$B$35)^(Presion_cilindro!$B$17+1)),0))/((Presion_cilindro!O188+Presion_cilindro!O189)/2)</f>
        <v>1.4333559797726663</v>
      </c>
      <c r="K197" s="27">
        <f>K196*(Presion_cilindro!O188/Presion_cilindro!O189)^Presion_cilindro!$B$9+10*(Presion_cilindro!$B$9-1)*Presion_cilindro!$B$33*(IF(Presion_cilindro!N189&gt;(-K$4+Presion_cilindro!$B$34),1-EXP(-Presion_cilindro!$B$16*((Presion_cilindro!N189-(-K$4+Presion_cilindro!$B$34))/Presion_cilindro!$B$35)^(Presion_cilindro!$B$17+1)),0)-IF(Presion_cilindro!N188&gt;(-K$4+Presion_cilindro!$B$34),1-EXP(-Presion_cilindro!$B$16*((Presion_cilindro!N188-(-K$4+Presion_cilindro!$B$34))/Presion_cilindro!$B$35)^(Presion_cilindro!$B$17+1)),0))/((Presion_cilindro!O188+Presion_cilindro!O189)/2)</f>
        <v>1.4333559797726663</v>
      </c>
      <c r="L197" s="27">
        <f>L196*(Presion_cilindro!O188/Presion_cilindro!O189)^Presion_cilindro!$B$9+10*(Presion_cilindro!$B$9-1)*Presion_cilindro!$B$33*(IF(Presion_cilindro!N189&gt;(-L$4+Presion_cilindro!$B$34),1-EXP(-Presion_cilindro!$B$16*((Presion_cilindro!N189-(-L$4+Presion_cilindro!$B$34))/Presion_cilindro!$B$35)^(Presion_cilindro!$B$17+1)),0)-IF(Presion_cilindro!N188&gt;(-L$4+Presion_cilindro!$B$34),1-EXP(-Presion_cilindro!$B$16*((Presion_cilindro!N188-(-L$4+Presion_cilindro!$B$34))/Presion_cilindro!$B$35)^(Presion_cilindro!$B$17+1)),0))/((Presion_cilindro!O188+Presion_cilindro!O189)/2)</f>
        <v>1.4333559797726663</v>
      </c>
      <c r="M197" s="27">
        <f>M196*(Presion_cilindro!O188/Presion_cilindro!O189)^Presion_cilindro!$B$9+10*(Presion_cilindro!$B$9-1)*Presion_cilindro!$B$33*(IF(Presion_cilindro!N189&gt;(-M$4+Presion_cilindro!$B$34),1-EXP(-Presion_cilindro!$B$16*((Presion_cilindro!N189-(-M$4+Presion_cilindro!$B$34))/Presion_cilindro!$B$35)^(Presion_cilindro!$B$17+1)),0)-IF(Presion_cilindro!N188&gt;(-M$4+Presion_cilindro!$B$34),1-EXP(-Presion_cilindro!$B$16*((Presion_cilindro!N188-(-M$4+Presion_cilindro!$B$34))/Presion_cilindro!$B$35)^(Presion_cilindro!$B$17+1)),0))/((Presion_cilindro!O188+Presion_cilindro!O189)/2)</f>
        <v>1.4333559797726663</v>
      </c>
      <c r="N197" s="27">
        <f>N196*(Presion_cilindro!O188/Presion_cilindro!O189)^Presion_cilindro!$B$9+10*(Presion_cilindro!$B$9-1)*Presion_cilindro!$B$33*(IF(Presion_cilindro!N189&gt;(-N$4+Presion_cilindro!$B$34),1-EXP(-Presion_cilindro!$B$16*((Presion_cilindro!N189-(-N$4+Presion_cilindro!$B$34))/Presion_cilindro!$B$35)^(Presion_cilindro!$B$17+1)),0)-IF(Presion_cilindro!N188&gt;(-N$4+Presion_cilindro!$B$34),1-EXP(-Presion_cilindro!$B$16*((Presion_cilindro!N188-(-N$4+Presion_cilindro!$B$34))/Presion_cilindro!$B$35)^(Presion_cilindro!$B$17+1)),0))/((Presion_cilindro!O188+Presion_cilindro!O189)/2)</f>
        <v>1.4333559797726663</v>
      </c>
    </row>
    <row r="198" spans="1:14" x14ac:dyDescent="0.25">
      <c r="A198" s="21">
        <f>Presion_cilindro!N190</f>
        <v>-87</v>
      </c>
      <c r="B198" s="27">
        <f>B197*(Presion_cilindro!O189/Presion_cilindro!O190)^Presion_cilindro!$B$9+10*(Presion_cilindro!$B$9-1)*Presion_cilindro!$B$33*(IF(Presion_cilindro!N190&gt;(-B$4+Presion_cilindro!$B$34),1-EXP(-Presion_cilindro!$B$16*((Presion_cilindro!N190-(-B$4+Presion_cilindro!$B$34))/Presion_cilindro!$B$35)^(Presion_cilindro!$B$17+1)),0)-IF(Presion_cilindro!N189&gt;(-B$4+Presion_cilindro!$B$34),1-EXP(-Presion_cilindro!$B$16*((Presion_cilindro!N189-(-B$4+Presion_cilindro!$B$34))/Presion_cilindro!$B$35)^(Presion_cilindro!$B$17+1)),0))/((Presion_cilindro!O189+Presion_cilindro!O190)/2)</f>
        <v>1.4461837035118128</v>
      </c>
      <c r="C198" s="27">
        <f>C197*(Presion_cilindro!O189/Presion_cilindro!O190)^Presion_cilindro!$B$9+10*(Presion_cilindro!$B$9-1)*Presion_cilindro!$B$33*(IF(Presion_cilindro!N190&gt;(-C$4+Presion_cilindro!$B$34),1-EXP(-Presion_cilindro!$B$16*((Presion_cilindro!N190-(-C$4+Presion_cilindro!$B$34))/Presion_cilindro!$B$35)^(Presion_cilindro!$B$17+1)),0)-IF(Presion_cilindro!N189&gt;(-C$4+Presion_cilindro!$B$34),1-EXP(-Presion_cilindro!$B$16*((Presion_cilindro!N189-(-C$4+Presion_cilindro!$B$34))/Presion_cilindro!$B$35)^(Presion_cilindro!$B$17+1)),0))/((Presion_cilindro!O189+Presion_cilindro!O190)/2)</f>
        <v>1.4461837035118128</v>
      </c>
      <c r="D198" s="27">
        <f>D197*(Presion_cilindro!O189/Presion_cilindro!O190)^Presion_cilindro!$B$9+10*(Presion_cilindro!$B$9-1)*Presion_cilindro!$B$33*(IF(Presion_cilindro!N190&gt;(-D$4+Presion_cilindro!$B$34),1-EXP(-Presion_cilindro!$B$16*((Presion_cilindro!N190-(-D$4+Presion_cilindro!$B$34))/Presion_cilindro!$B$35)^(Presion_cilindro!$B$17+1)),0)-IF(Presion_cilindro!N189&gt;(-D$4+Presion_cilindro!$B$34),1-EXP(-Presion_cilindro!$B$16*((Presion_cilindro!N189-(-D$4+Presion_cilindro!$B$34))/Presion_cilindro!$B$35)^(Presion_cilindro!$B$17+1)),0))/((Presion_cilindro!O189+Presion_cilindro!O190)/2)</f>
        <v>1.4461837035118128</v>
      </c>
      <c r="E198" s="27">
        <f>E197*(Presion_cilindro!O189/Presion_cilindro!O190)^Presion_cilindro!$B$9+10*(Presion_cilindro!$B$9-1)*Presion_cilindro!$B$33*(IF(Presion_cilindro!N190&gt;(-E$4+Presion_cilindro!$B$34),1-EXP(-Presion_cilindro!$B$16*((Presion_cilindro!N190-(-E$4+Presion_cilindro!$B$34))/Presion_cilindro!$B$35)^(Presion_cilindro!$B$17+1)),0)-IF(Presion_cilindro!N189&gt;(-E$4+Presion_cilindro!$B$34),1-EXP(-Presion_cilindro!$B$16*((Presion_cilindro!N189-(-E$4+Presion_cilindro!$B$34))/Presion_cilindro!$B$35)^(Presion_cilindro!$B$17+1)),0))/((Presion_cilindro!O189+Presion_cilindro!O190)/2)</f>
        <v>1.4461837035118128</v>
      </c>
      <c r="F198" s="27">
        <f>F197*(Presion_cilindro!O189/Presion_cilindro!O190)^Presion_cilindro!$B$9+10*(Presion_cilindro!$B$9-1)*Presion_cilindro!$B$33*(IF(Presion_cilindro!N190&gt;(-F$4+Presion_cilindro!$B$34),1-EXP(-Presion_cilindro!$B$16*((Presion_cilindro!N190-(-F$4+Presion_cilindro!$B$34))/Presion_cilindro!$B$35)^(Presion_cilindro!$B$17+1)),0)-IF(Presion_cilindro!N189&gt;(-F$4+Presion_cilindro!$B$34),1-EXP(-Presion_cilindro!$B$16*((Presion_cilindro!N189-(-F$4+Presion_cilindro!$B$34))/Presion_cilindro!$B$35)^(Presion_cilindro!$B$17+1)),0))/((Presion_cilindro!O189+Presion_cilindro!O190)/2)</f>
        <v>1.4461837035118128</v>
      </c>
      <c r="G198" s="27">
        <f>G197*(Presion_cilindro!O189/Presion_cilindro!O190)^Presion_cilindro!$B$9+10*(Presion_cilindro!$B$9-1)*Presion_cilindro!$B$33*(IF(Presion_cilindro!N190&gt;(-G$4+Presion_cilindro!$B$34),1-EXP(-Presion_cilindro!$B$16*((Presion_cilindro!N190-(-G$4+Presion_cilindro!$B$34))/Presion_cilindro!$B$35)^(Presion_cilindro!$B$17+1)),0)-IF(Presion_cilindro!N189&gt;(-G$4+Presion_cilindro!$B$34),1-EXP(-Presion_cilindro!$B$16*((Presion_cilindro!N189-(-G$4+Presion_cilindro!$B$34))/Presion_cilindro!$B$35)^(Presion_cilindro!$B$17+1)),0))/((Presion_cilindro!O189+Presion_cilindro!O190)/2)</f>
        <v>1.4461837035118128</v>
      </c>
      <c r="H198" s="27">
        <f>H197*(Presion_cilindro!O189/Presion_cilindro!O190)^Presion_cilindro!$B$9+10*(Presion_cilindro!$B$9-1)*Presion_cilindro!$B$33*(IF(Presion_cilindro!N190&gt;(-H$4+Presion_cilindro!$B$34),1-EXP(-Presion_cilindro!$B$16*((Presion_cilindro!N190-(-H$4+Presion_cilindro!$B$34))/Presion_cilindro!$B$35)^(Presion_cilindro!$B$17+1)),0)-IF(Presion_cilindro!N189&gt;(-H$4+Presion_cilindro!$B$34),1-EXP(-Presion_cilindro!$B$16*((Presion_cilindro!N189-(-H$4+Presion_cilindro!$B$34))/Presion_cilindro!$B$35)^(Presion_cilindro!$B$17+1)),0))/((Presion_cilindro!O189+Presion_cilindro!O190)/2)</f>
        <v>1.4461837035118128</v>
      </c>
      <c r="I198" s="27">
        <f>I197*(Presion_cilindro!O189/Presion_cilindro!O190)^Presion_cilindro!$B$9+10*(Presion_cilindro!$B$9-1)*Presion_cilindro!$B$33*(IF(Presion_cilindro!N190&gt;(-I$4+Presion_cilindro!$B$34),1-EXP(-Presion_cilindro!$B$16*((Presion_cilindro!N190-(-I$4+Presion_cilindro!$B$34))/Presion_cilindro!$B$35)^(Presion_cilindro!$B$17+1)),0)-IF(Presion_cilindro!N189&gt;(-I$4+Presion_cilindro!$B$34),1-EXP(-Presion_cilindro!$B$16*((Presion_cilindro!N189-(-I$4+Presion_cilindro!$B$34))/Presion_cilindro!$B$35)^(Presion_cilindro!$B$17+1)),0))/((Presion_cilindro!O189+Presion_cilindro!O190)/2)</f>
        <v>1.4461837035118128</v>
      </c>
      <c r="J198" s="27">
        <f>J197*(Presion_cilindro!O189/Presion_cilindro!O190)^Presion_cilindro!$B$9+10*(Presion_cilindro!$B$9-1)*Presion_cilindro!$B$33*(IF(Presion_cilindro!N190&gt;(-J$4+Presion_cilindro!$B$34),1-EXP(-Presion_cilindro!$B$16*((Presion_cilindro!N190-(-J$4+Presion_cilindro!$B$34))/Presion_cilindro!$B$35)^(Presion_cilindro!$B$17+1)),0)-IF(Presion_cilindro!N189&gt;(-J$4+Presion_cilindro!$B$34),1-EXP(-Presion_cilindro!$B$16*((Presion_cilindro!N189-(-J$4+Presion_cilindro!$B$34))/Presion_cilindro!$B$35)^(Presion_cilindro!$B$17+1)),0))/((Presion_cilindro!O189+Presion_cilindro!O190)/2)</f>
        <v>1.4461837035118128</v>
      </c>
      <c r="K198" s="27">
        <f>K197*(Presion_cilindro!O189/Presion_cilindro!O190)^Presion_cilindro!$B$9+10*(Presion_cilindro!$B$9-1)*Presion_cilindro!$B$33*(IF(Presion_cilindro!N190&gt;(-K$4+Presion_cilindro!$B$34),1-EXP(-Presion_cilindro!$B$16*((Presion_cilindro!N190-(-K$4+Presion_cilindro!$B$34))/Presion_cilindro!$B$35)^(Presion_cilindro!$B$17+1)),0)-IF(Presion_cilindro!N189&gt;(-K$4+Presion_cilindro!$B$34),1-EXP(-Presion_cilindro!$B$16*((Presion_cilindro!N189-(-K$4+Presion_cilindro!$B$34))/Presion_cilindro!$B$35)^(Presion_cilindro!$B$17+1)),0))/((Presion_cilindro!O189+Presion_cilindro!O190)/2)</f>
        <v>1.4461837035118128</v>
      </c>
      <c r="L198" s="27">
        <f>L197*(Presion_cilindro!O189/Presion_cilindro!O190)^Presion_cilindro!$B$9+10*(Presion_cilindro!$B$9-1)*Presion_cilindro!$B$33*(IF(Presion_cilindro!N190&gt;(-L$4+Presion_cilindro!$B$34),1-EXP(-Presion_cilindro!$B$16*((Presion_cilindro!N190-(-L$4+Presion_cilindro!$B$34))/Presion_cilindro!$B$35)^(Presion_cilindro!$B$17+1)),0)-IF(Presion_cilindro!N189&gt;(-L$4+Presion_cilindro!$B$34),1-EXP(-Presion_cilindro!$B$16*((Presion_cilindro!N189-(-L$4+Presion_cilindro!$B$34))/Presion_cilindro!$B$35)^(Presion_cilindro!$B$17+1)),0))/((Presion_cilindro!O189+Presion_cilindro!O190)/2)</f>
        <v>1.4461837035118128</v>
      </c>
      <c r="M198" s="27">
        <f>M197*(Presion_cilindro!O189/Presion_cilindro!O190)^Presion_cilindro!$B$9+10*(Presion_cilindro!$B$9-1)*Presion_cilindro!$B$33*(IF(Presion_cilindro!N190&gt;(-M$4+Presion_cilindro!$B$34),1-EXP(-Presion_cilindro!$B$16*((Presion_cilindro!N190-(-M$4+Presion_cilindro!$B$34))/Presion_cilindro!$B$35)^(Presion_cilindro!$B$17+1)),0)-IF(Presion_cilindro!N189&gt;(-M$4+Presion_cilindro!$B$34),1-EXP(-Presion_cilindro!$B$16*((Presion_cilindro!N189-(-M$4+Presion_cilindro!$B$34))/Presion_cilindro!$B$35)^(Presion_cilindro!$B$17+1)),0))/((Presion_cilindro!O189+Presion_cilindro!O190)/2)</f>
        <v>1.4461837035118128</v>
      </c>
      <c r="N198" s="27">
        <f>N197*(Presion_cilindro!O189/Presion_cilindro!O190)^Presion_cilindro!$B$9+10*(Presion_cilindro!$B$9-1)*Presion_cilindro!$B$33*(IF(Presion_cilindro!N190&gt;(-N$4+Presion_cilindro!$B$34),1-EXP(-Presion_cilindro!$B$16*((Presion_cilindro!N190-(-N$4+Presion_cilindro!$B$34))/Presion_cilindro!$B$35)^(Presion_cilindro!$B$17+1)),0)-IF(Presion_cilindro!N189&gt;(-N$4+Presion_cilindro!$B$34),1-EXP(-Presion_cilindro!$B$16*((Presion_cilindro!N189-(-N$4+Presion_cilindro!$B$34))/Presion_cilindro!$B$35)^(Presion_cilindro!$B$17+1)),0))/((Presion_cilindro!O189+Presion_cilindro!O190)/2)</f>
        <v>1.4461837035118128</v>
      </c>
    </row>
    <row r="199" spans="1:14" x14ac:dyDescent="0.25">
      <c r="A199" s="21">
        <f>Presion_cilindro!N191</f>
        <v>-86.5</v>
      </c>
      <c r="B199" s="27">
        <f>B198*(Presion_cilindro!O190/Presion_cilindro!O191)^Presion_cilindro!$B$9+10*(Presion_cilindro!$B$9-1)*Presion_cilindro!$B$33*(IF(Presion_cilindro!N191&gt;(-B$4+Presion_cilindro!$B$34),1-EXP(-Presion_cilindro!$B$16*((Presion_cilindro!N191-(-B$4+Presion_cilindro!$B$34))/Presion_cilindro!$B$35)^(Presion_cilindro!$B$17+1)),0)-IF(Presion_cilindro!N190&gt;(-B$4+Presion_cilindro!$B$34),1-EXP(-Presion_cilindro!$B$16*((Presion_cilindro!N190-(-B$4+Presion_cilindro!$B$34))/Presion_cilindro!$B$35)^(Presion_cilindro!$B$17+1)),0))/((Presion_cilindro!O190+Presion_cilindro!O191)/2)</f>
        <v>1.4592415152606746</v>
      </c>
      <c r="C199" s="27">
        <f>C198*(Presion_cilindro!O190/Presion_cilindro!O191)^Presion_cilindro!$B$9+10*(Presion_cilindro!$B$9-1)*Presion_cilindro!$B$33*(IF(Presion_cilindro!N191&gt;(-C$4+Presion_cilindro!$B$34),1-EXP(-Presion_cilindro!$B$16*((Presion_cilindro!N191-(-C$4+Presion_cilindro!$B$34))/Presion_cilindro!$B$35)^(Presion_cilindro!$B$17+1)),0)-IF(Presion_cilindro!N190&gt;(-C$4+Presion_cilindro!$B$34),1-EXP(-Presion_cilindro!$B$16*((Presion_cilindro!N190-(-C$4+Presion_cilindro!$B$34))/Presion_cilindro!$B$35)^(Presion_cilindro!$B$17+1)),0))/((Presion_cilindro!O190+Presion_cilindro!O191)/2)</f>
        <v>1.4592415152606746</v>
      </c>
      <c r="D199" s="27">
        <f>D198*(Presion_cilindro!O190/Presion_cilindro!O191)^Presion_cilindro!$B$9+10*(Presion_cilindro!$B$9-1)*Presion_cilindro!$B$33*(IF(Presion_cilindro!N191&gt;(-D$4+Presion_cilindro!$B$34),1-EXP(-Presion_cilindro!$B$16*((Presion_cilindro!N191-(-D$4+Presion_cilindro!$B$34))/Presion_cilindro!$B$35)^(Presion_cilindro!$B$17+1)),0)-IF(Presion_cilindro!N190&gt;(-D$4+Presion_cilindro!$B$34),1-EXP(-Presion_cilindro!$B$16*((Presion_cilindro!N190-(-D$4+Presion_cilindro!$B$34))/Presion_cilindro!$B$35)^(Presion_cilindro!$B$17+1)),0))/((Presion_cilindro!O190+Presion_cilindro!O191)/2)</f>
        <v>1.4592415152606746</v>
      </c>
      <c r="E199" s="27">
        <f>E198*(Presion_cilindro!O190/Presion_cilindro!O191)^Presion_cilindro!$B$9+10*(Presion_cilindro!$B$9-1)*Presion_cilindro!$B$33*(IF(Presion_cilindro!N191&gt;(-E$4+Presion_cilindro!$B$34),1-EXP(-Presion_cilindro!$B$16*((Presion_cilindro!N191-(-E$4+Presion_cilindro!$B$34))/Presion_cilindro!$B$35)^(Presion_cilindro!$B$17+1)),0)-IF(Presion_cilindro!N190&gt;(-E$4+Presion_cilindro!$B$34),1-EXP(-Presion_cilindro!$B$16*((Presion_cilindro!N190-(-E$4+Presion_cilindro!$B$34))/Presion_cilindro!$B$35)^(Presion_cilindro!$B$17+1)),0))/((Presion_cilindro!O190+Presion_cilindro!O191)/2)</f>
        <v>1.4592415152606746</v>
      </c>
      <c r="F199" s="27">
        <f>F198*(Presion_cilindro!O190/Presion_cilindro!O191)^Presion_cilindro!$B$9+10*(Presion_cilindro!$B$9-1)*Presion_cilindro!$B$33*(IF(Presion_cilindro!N191&gt;(-F$4+Presion_cilindro!$B$34),1-EXP(-Presion_cilindro!$B$16*((Presion_cilindro!N191-(-F$4+Presion_cilindro!$B$34))/Presion_cilindro!$B$35)^(Presion_cilindro!$B$17+1)),0)-IF(Presion_cilindro!N190&gt;(-F$4+Presion_cilindro!$B$34),1-EXP(-Presion_cilindro!$B$16*((Presion_cilindro!N190-(-F$4+Presion_cilindro!$B$34))/Presion_cilindro!$B$35)^(Presion_cilindro!$B$17+1)),0))/((Presion_cilindro!O190+Presion_cilindro!O191)/2)</f>
        <v>1.4592415152606746</v>
      </c>
      <c r="G199" s="27">
        <f>G198*(Presion_cilindro!O190/Presion_cilindro!O191)^Presion_cilindro!$B$9+10*(Presion_cilindro!$B$9-1)*Presion_cilindro!$B$33*(IF(Presion_cilindro!N191&gt;(-G$4+Presion_cilindro!$B$34),1-EXP(-Presion_cilindro!$B$16*((Presion_cilindro!N191-(-G$4+Presion_cilindro!$B$34))/Presion_cilindro!$B$35)^(Presion_cilindro!$B$17+1)),0)-IF(Presion_cilindro!N190&gt;(-G$4+Presion_cilindro!$B$34),1-EXP(-Presion_cilindro!$B$16*((Presion_cilindro!N190-(-G$4+Presion_cilindro!$B$34))/Presion_cilindro!$B$35)^(Presion_cilindro!$B$17+1)),0))/((Presion_cilindro!O190+Presion_cilindro!O191)/2)</f>
        <v>1.4592415152606746</v>
      </c>
      <c r="H199" s="27">
        <f>H198*(Presion_cilindro!O190/Presion_cilindro!O191)^Presion_cilindro!$B$9+10*(Presion_cilindro!$B$9-1)*Presion_cilindro!$B$33*(IF(Presion_cilindro!N191&gt;(-H$4+Presion_cilindro!$B$34),1-EXP(-Presion_cilindro!$B$16*((Presion_cilindro!N191-(-H$4+Presion_cilindro!$B$34))/Presion_cilindro!$B$35)^(Presion_cilindro!$B$17+1)),0)-IF(Presion_cilindro!N190&gt;(-H$4+Presion_cilindro!$B$34),1-EXP(-Presion_cilindro!$B$16*((Presion_cilindro!N190-(-H$4+Presion_cilindro!$B$34))/Presion_cilindro!$B$35)^(Presion_cilindro!$B$17+1)),0))/((Presion_cilindro!O190+Presion_cilindro!O191)/2)</f>
        <v>1.4592415152606746</v>
      </c>
      <c r="I199" s="27">
        <f>I198*(Presion_cilindro!O190/Presion_cilindro!O191)^Presion_cilindro!$B$9+10*(Presion_cilindro!$B$9-1)*Presion_cilindro!$B$33*(IF(Presion_cilindro!N191&gt;(-I$4+Presion_cilindro!$B$34),1-EXP(-Presion_cilindro!$B$16*((Presion_cilindro!N191-(-I$4+Presion_cilindro!$B$34))/Presion_cilindro!$B$35)^(Presion_cilindro!$B$17+1)),0)-IF(Presion_cilindro!N190&gt;(-I$4+Presion_cilindro!$B$34),1-EXP(-Presion_cilindro!$B$16*((Presion_cilindro!N190-(-I$4+Presion_cilindro!$B$34))/Presion_cilindro!$B$35)^(Presion_cilindro!$B$17+1)),0))/((Presion_cilindro!O190+Presion_cilindro!O191)/2)</f>
        <v>1.4592415152606746</v>
      </c>
      <c r="J199" s="27">
        <f>J198*(Presion_cilindro!O190/Presion_cilindro!O191)^Presion_cilindro!$B$9+10*(Presion_cilindro!$B$9-1)*Presion_cilindro!$B$33*(IF(Presion_cilindro!N191&gt;(-J$4+Presion_cilindro!$B$34),1-EXP(-Presion_cilindro!$B$16*((Presion_cilindro!N191-(-J$4+Presion_cilindro!$B$34))/Presion_cilindro!$B$35)^(Presion_cilindro!$B$17+1)),0)-IF(Presion_cilindro!N190&gt;(-J$4+Presion_cilindro!$B$34),1-EXP(-Presion_cilindro!$B$16*((Presion_cilindro!N190-(-J$4+Presion_cilindro!$B$34))/Presion_cilindro!$B$35)^(Presion_cilindro!$B$17+1)),0))/((Presion_cilindro!O190+Presion_cilindro!O191)/2)</f>
        <v>1.4592415152606746</v>
      </c>
      <c r="K199" s="27">
        <f>K198*(Presion_cilindro!O190/Presion_cilindro!O191)^Presion_cilindro!$B$9+10*(Presion_cilindro!$B$9-1)*Presion_cilindro!$B$33*(IF(Presion_cilindro!N191&gt;(-K$4+Presion_cilindro!$B$34),1-EXP(-Presion_cilindro!$B$16*((Presion_cilindro!N191-(-K$4+Presion_cilindro!$B$34))/Presion_cilindro!$B$35)^(Presion_cilindro!$B$17+1)),0)-IF(Presion_cilindro!N190&gt;(-K$4+Presion_cilindro!$B$34),1-EXP(-Presion_cilindro!$B$16*((Presion_cilindro!N190-(-K$4+Presion_cilindro!$B$34))/Presion_cilindro!$B$35)^(Presion_cilindro!$B$17+1)),0))/((Presion_cilindro!O190+Presion_cilindro!O191)/2)</f>
        <v>1.4592415152606746</v>
      </c>
      <c r="L199" s="27">
        <f>L198*(Presion_cilindro!O190/Presion_cilindro!O191)^Presion_cilindro!$B$9+10*(Presion_cilindro!$B$9-1)*Presion_cilindro!$B$33*(IF(Presion_cilindro!N191&gt;(-L$4+Presion_cilindro!$B$34),1-EXP(-Presion_cilindro!$B$16*((Presion_cilindro!N191-(-L$4+Presion_cilindro!$B$34))/Presion_cilindro!$B$35)^(Presion_cilindro!$B$17+1)),0)-IF(Presion_cilindro!N190&gt;(-L$4+Presion_cilindro!$B$34),1-EXP(-Presion_cilindro!$B$16*((Presion_cilindro!N190-(-L$4+Presion_cilindro!$B$34))/Presion_cilindro!$B$35)^(Presion_cilindro!$B$17+1)),0))/((Presion_cilindro!O190+Presion_cilindro!O191)/2)</f>
        <v>1.4592415152606746</v>
      </c>
      <c r="M199" s="27">
        <f>M198*(Presion_cilindro!O190/Presion_cilindro!O191)^Presion_cilindro!$B$9+10*(Presion_cilindro!$B$9-1)*Presion_cilindro!$B$33*(IF(Presion_cilindro!N191&gt;(-M$4+Presion_cilindro!$B$34),1-EXP(-Presion_cilindro!$B$16*((Presion_cilindro!N191-(-M$4+Presion_cilindro!$B$34))/Presion_cilindro!$B$35)^(Presion_cilindro!$B$17+1)),0)-IF(Presion_cilindro!N190&gt;(-M$4+Presion_cilindro!$B$34),1-EXP(-Presion_cilindro!$B$16*((Presion_cilindro!N190-(-M$4+Presion_cilindro!$B$34))/Presion_cilindro!$B$35)^(Presion_cilindro!$B$17+1)),0))/((Presion_cilindro!O190+Presion_cilindro!O191)/2)</f>
        <v>1.4592415152606746</v>
      </c>
      <c r="N199" s="27">
        <f>N198*(Presion_cilindro!O190/Presion_cilindro!O191)^Presion_cilindro!$B$9+10*(Presion_cilindro!$B$9-1)*Presion_cilindro!$B$33*(IF(Presion_cilindro!N191&gt;(-N$4+Presion_cilindro!$B$34),1-EXP(-Presion_cilindro!$B$16*((Presion_cilindro!N191-(-N$4+Presion_cilindro!$B$34))/Presion_cilindro!$B$35)^(Presion_cilindro!$B$17+1)),0)-IF(Presion_cilindro!N190&gt;(-N$4+Presion_cilindro!$B$34),1-EXP(-Presion_cilindro!$B$16*((Presion_cilindro!N190-(-N$4+Presion_cilindro!$B$34))/Presion_cilindro!$B$35)^(Presion_cilindro!$B$17+1)),0))/((Presion_cilindro!O190+Presion_cilindro!O191)/2)</f>
        <v>1.4592415152606746</v>
      </c>
    </row>
    <row r="200" spans="1:14" x14ac:dyDescent="0.25">
      <c r="A200" s="21">
        <f>Presion_cilindro!N192</f>
        <v>-86</v>
      </c>
      <c r="B200" s="27">
        <f>B199*(Presion_cilindro!O191/Presion_cilindro!O192)^Presion_cilindro!$B$9+10*(Presion_cilindro!$B$9-1)*Presion_cilindro!$B$33*(IF(Presion_cilindro!N192&gt;(-B$4+Presion_cilindro!$B$34),1-EXP(-Presion_cilindro!$B$16*((Presion_cilindro!N192-(-B$4+Presion_cilindro!$B$34))/Presion_cilindro!$B$35)^(Presion_cilindro!$B$17+1)),0)-IF(Presion_cilindro!N191&gt;(-B$4+Presion_cilindro!$B$34),1-EXP(-Presion_cilindro!$B$16*((Presion_cilindro!N191-(-B$4+Presion_cilindro!$B$34))/Presion_cilindro!$B$35)^(Presion_cilindro!$B$17+1)),0))/((Presion_cilindro!O191+Presion_cilindro!O192)/2)</f>
        <v>1.4725342639249739</v>
      </c>
      <c r="C200" s="27">
        <f>C199*(Presion_cilindro!O191/Presion_cilindro!O192)^Presion_cilindro!$B$9+10*(Presion_cilindro!$B$9-1)*Presion_cilindro!$B$33*(IF(Presion_cilindro!N192&gt;(-C$4+Presion_cilindro!$B$34),1-EXP(-Presion_cilindro!$B$16*((Presion_cilindro!N192-(-C$4+Presion_cilindro!$B$34))/Presion_cilindro!$B$35)^(Presion_cilindro!$B$17+1)),0)-IF(Presion_cilindro!N191&gt;(-C$4+Presion_cilindro!$B$34),1-EXP(-Presion_cilindro!$B$16*((Presion_cilindro!N191-(-C$4+Presion_cilindro!$B$34))/Presion_cilindro!$B$35)^(Presion_cilindro!$B$17+1)),0))/((Presion_cilindro!O191+Presion_cilindro!O192)/2)</f>
        <v>1.4725342639249739</v>
      </c>
      <c r="D200" s="27">
        <f>D199*(Presion_cilindro!O191/Presion_cilindro!O192)^Presion_cilindro!$B$9+10*(Presion_cilindro!$B$9-1)*Presion_cilindro!$B$33*(IF(Presion_cilindro!N192&gt;(-D$4+Presion_cilindro!$B$34),1-EXP(-Presion_cilindro!$B$16*((Presion_cilindro!N192-(-D$4+Presion_cilindro!$B$34))/Presion_cilindro!$B$35)^(Presion_cilindro!$B$17+1)),0)-IF(Presion_cilindro!N191&gt;(-D$4+Presion_cilindro!$B$34),1-EXP(-Presion_cilindro!$B$16*((Presion_cilindro!N191-(-D$4+Presion_cilindro!$B$34))/Presion_cilindro!$B$35)^(Presion_cilindro!$B$17+1)),0))/((Presion_cilindro!O191+Presion_cilindro!O192)/2)</f>
        <v>1.4725342639249739</v>
      </c>
      <c r="E200" s="27">
        <f>E199*(Presion_cilindro!O191/Presion_cilindro!O192)^Presion_cilindro!$B$9+10*(Presion_cilindro!$B$9-1)*Presion_cilindro!$B$33*(IF(Presion_cilindro!N192&gt;(-E$4+Presion_cilindro!$B$34),1-EXP(-Presion_cilindro!$B$16*((Presion_cilindro!N192-(-E$4+Presion_cilindro!$B$34))/Presion_cilindro!$B$35)^(Presion_cilindro!$B$17+1)),0)-IF(Presion_cilindro!N191&gt;(-E$4+Presion_cilindro!$B$34),1-EXP(-Presion_cilindro!$B$16*((Presion_cilindro!N191-(-E$4+Presion_cilindro!$B$34))/Presion_cilindro!$B$35)^(Presion_cilindro!$B$17+1)),0))/((Presion_cilindro!O191+Presion_cilindro!O192)/2)</f>
        <v>1.4725342639249739</v>
      </c>
      <c r="F200" s="27">
        <f>F199*(Presion_cilindro!O191/Presion_cilindro!O192)^Presion_cilindro!$B$9+10*(Presion_cilindro!$B$9-1)*Presion_cilindro!$B$33*(IF(Presion_cilindro!N192&gt;(-F$4+Presion_cilindro!$B$34),1-EXP(-Presion_cilindro!$B$16*((Presion_cilindro!N192-(-F$4+Presion_cilindro!$B$34))/Presion_cilindro!$B$35)^(Presion_cilindro!$B$17+1)),0)-IF(Presion_cilindro!N191&gt;(-F$4+Presion_cilindro!$B$34),1-EXP(-Presion_cilindro!$B$16*((Presion_cilindro!N191-(-F$4+Presion_cilindro!$B$34))/Presion_cilindro!$B$35)^(Presion_cilindro!$B$17+1)),0))/((Presion_cilindro!O191+Presion_cilindro!O192)/2)</f>
        <v>1.4725342639249739</v>
      </c>
      <c r="G200" s="27">
        <f>G199*(Presion_cilindro!O191/Presion_cilindro!O192)^Presion_cilindro!$B$9+10*(Presion_cilindro!$B$9-1)*Presion_cilindro!$B$33*(IF(Presion_cilindro!N192&gt;(-G$4+Presion_cilindro!$B$34),1-EXP(-Presion_cilindro!$B$16*((Presion_cilindro!N192-(-G$4+Presion_cilindro!$B$34))/Presion_cilindro!$B$35)^(Presion_cilindro!$B$17+1)),0)-IF(Presion_cilindro!N191&gt;(-G$4+Presion_cilindro!$B$34),1-EXP(-Presion_cilindro!$B$16*((Presion_cilindro!N191-(-G$4+Presion_cilindro!$B$34))/Presion_cilindro!$B$35)^(Presion_cilindro!$B$17+1)),0))/((Presion_cilindro!O191+Presion_cilindro!O192)/2)</f>
        <v>1.4725342639249739</v>
      </c>
      <c r="H200" s="27">
        <f>H199*(Presion_cilindro!O191/Presion_cilindro!O192)^Presion_cilindro!$B$9+10*(Presion_cilindro!$B$9-1)*Presion_cilindro!$B$33*(IF(Presion_cilindro!N192&gt;(-H$4+Presion_cilindro!$B$34),1-EXP(-Presion_cilindro!$B$16*((Presion_cilindro!N192-(-H$4+Presion_cilindro!$B$34))/Presion_cilindro!$B$35)^(Presion_cilindro!$B$17+1)),0)-IF(Presion_cilindro!N191&gt;(-H$4+Presion_cilindro!$B$34),1-EXP(-Presion_cilindro!$B$16*((Presion_cilindro!N191-(-H$4+Presion_cilindro!$B$34))/Presion_cilindro!$B$35)^(Presion_cilindro!$B$17+1)),0))/((Presion_cilindro!O191+Presion_cilindro!O192)/2)</f>
        <v>1.4725342639249739</v>
      </c>
      <c r="I200" s="27">
        <f>I199*(Presion_cilindro!O191/Presion_cilindro!O192)^Presion_cilindro!$B$9+10*(Presion_cilindro!$B$9-1)*Presion_cilindro!$B$33*(IF(Presion_cilindro!N192&gt;(-I$4+Presion_cilindro!$B$34),1-EXP(-Presion_cilindro!$B$16*((Presion_cilindro!N192-(-I$4+Presion_cilindro!$B$34))/Presion_cilindro!$B$35)^(Presion_cilindro!$B$17+1)),0)-IF(Presion_cilindro!N191&gt;(-I$4+Presion_cilindro!$B$34),1-EXP(-Presion_cilindro!$B$16*((Presion_cilindro!N191-(-I$4+Presion_cilindro!$B$34))/Presion_cilindro!$B$35)^(Presion_cilindro!$B$17+1)),0))/((Presion_cilindro!O191+Presion_cilindro!O192)/2)</f>
        <v>1.4725342639249739</v>
      </c>
      <c r="J200" s="27">
        <f>J199*(Presion_cilindro!O191/Presion_cilindro!O192)^Presion_cilindro!$B$9+10*(Presion_cilindro!$B$9-1)*Presion_cilindro!$B$33*(IF(Presion_cilindro!N192&gt;(-J$4+Presion_cilindro!$B$34),1-EXP(-Presion_cilindro!$B$16*((Presion_cilindro!N192-(-J$4+Presion_cilindro!$B$34))/Presion_cilindro!$B$35)^(Presion_cilindro!$B$17+1)),0)-IF(Presion_cilindro!N191&gt;(-J$4+Presion_cilindro!$B$34),1-EXP(-Presion_cilindro!$B$16*((Presion_cilindro!N191-(-J$4+Presion_cilindro!$B$34))/Presion_cilindro!$B$35)^(Presion_cilindro!$B$17+1)),0))/((Presion_cilindro!O191+Presion_cilindro!O192)/2)</f>
        <v>1.4725342639249739</v>
      </c>
      <c r="K200" s="27">
        <f>K199*(Presion_cilindro!O191/Presion_cilindro!O192)^Presion_cilindro!$B$9+10*(Presion_cilindro!$B$9-1)*Presion_cilindro!$B$33*(IF(Presion_cilindro!N192&gt;(-K$4+Presion_cilindro!$B$34),1-EXP(-Presion_cilindro!$B$16*((Presion_cilindro!N192-(-K$4+Presion_cilindro!$B$34))/Presion_cilindro!$B$35)^(Presion_cilindro!$B$17+1)),0)-IF(Presion_cilindro!N191&gt;(-K$4+Presion_cilindro!$B$34),1-EXP(-Presion_cilindro!$B$16*((Presion_cilindro!N191-(-K$4+Presion_cilindro!$B$34))/Presion_cilindro!$B$35)^(Presion_cilindro!$B$17+1)),0))/((Presion_cilindro!O191+Presion_cilindro!O192)/2)</f>
        <v>1.4725342639249739</v>
      </c>
      <c r="L200" s="27">
        <f>L199*(Presion_cilindro!O191/Presion_cilindro!O192)^Presion_cilindro!$B$9+10*(Presion_cilindro!$B$9-1)*Presion_cilindro!$B$33*(IF(Presion_cilindro!N192&gt;(-L$4+Presion_cilindro!$B$34),1-EXP(-Presion_cilindro!$B$16*((Presion_cilindro!N192-(-L$4+Presion_cilindro!$B$34))/Presion_cilindro!$B$35)^(Presion_cilindro!$B$17+1)),0)-IF(Presion_cilindro!N191&gt;(-L$4+Presion_cilindro!$B$34),1-EXP(-Presion_cilindro!$B$16*((Presion_cilindro!N191-(-L$4+Presion_cilindro!$B$34))/Presion_cilindro!$B$35)^(Presion_cilindro!$B$17+1)),0))/((Presion_cilindro!O191+Presion_cilindro!O192)/2)</f>
        <v>1.4725342639249739</v>
      </c>
      <c r="M200" s="27">
        <f>M199*(Presion_cilindro!O191/Presion_cilindro!O192)^Presion_cilindro!$B$9+10*(Presion_cilindro!$B$9-1)*Presion_cilindro!$B$33*(IF(Presion_cilindro!N192&gt;(-M$4+Presion_cilindro!$B$34),1-EXP(-Presion_cilindro!$B$16*((Presion_cilindro!N192-(-M$4+Presion_cilindro!$B$34))/Presion_cilindro!$B$35)^(Presion_cilindro!$B$17+1)),0)-IF(Presion_cilindro!N191&gt;(-M$4+Presion_cilindro!$B$34),1-EXP(-Presion_cilindro!$B$16*((Presion_cilindro!N191-(-M$4+Presion_cilindro!$B$34))/Presion_cilindro!$B$35)^(Presion_cilindro!$B$17+1)),0))/((Presion_cilindro!O191+Presion_cilindro!O192)/2)</f>
        <v>1.4725342639249739</v>
      </c>
      <c r="N200" s="27">
        <f>N199*(Presion_cilindro!O191/Presion_cilindro!O192)^Presion_cilindro!$B$9+10*(Presion_cilindro!$B$9-1)*Presion_cilindro!$B$33*(IF(Presion_cilindro!N192&gt;(-N$4+Presion_cilindro!$B$34),1-EXP(-Presion_cilindro!$B$16*((Presion_cilindro!N192-(-N$4+Presion_cilindro!$B$34))/Presion_cilindro!$B$35)^(Presion_cilindro!$B$17+1)),0)-IF(Presion_cilindro!N191&gt;(-N$4+Presion_cilindro!$B$34),1-EXP(-Presion_cilindro!$B$16*((Presion_cilindro!N191-(-N$4+Presion_cilindro!$B$34))/Presion_cilindro!$B$35)^(Presion_cilindro!$B$17+1)),0))/((Presion_cilindro!O191+Presion_cilindro!O192)/2)</f>
        <v>1.4725342639249739</v>
      </c>
    </row>
    <row r="201" spans="1:14" x14ac:dyDescent="0.25">
      <c r="A201" s="21">
        <f>Presion_cilindro!N193</f>
        <v>-85.5</v>
      </c>
      <c r="B201" s="27">
        <f>B200*(Presion_cilindro!O192/Presion_cilindro!O193)^Presion_cilindro!$B$9+10*(Presion_cilindro!$B$9-1)*Presion_cilindro!$B$33*(IF(Presion_cilindro!N193&gt;(-B$4+Presion_cilindro!$B$34),1-EXP(-Presion_cilindro!$B$16*((Presion_cilindro!N193-(-B$4+Presion_cilindro!$B$34))/Presion_cilindro!$B$35)^(Presion_cilindro!$B$17+1)),0)-IF(Presion_cilindro!N192&gt;(-B$4+Presion_cilindro!$B$34),1-EXP(-Presion_cilindro!$B$16*((Presion_cilindro!N192-(-B$4+Presion_cilindro!$B$34))/Presion_cilindro!$B$35)^(Presion_cilindro!$B$17+1)),0))/((Presion_cilindro!O192+Presion_cilindro!O193)/2)</f>
        <v>1.486066918865655</v>
      </c>
      <c r="C201" s="27">
        <f>C200*(Presion_cilindro!O192/Presion_cilindro!O193)^Presion_cilindro!$B$9+10*(Presion_cilindro!$B$9-1)*Presion_cilindro!$B$33*(IF(Presion_cilindro!N193&gt;(-C$4+Presion_cilindro!$B$34),1-EXP(-Presion_cilindro!$B$16*((Presion_cilindro!N193-(-C$4+Presion_cilindro!$B$34))/Presion_cilindro!$B$35)^(Presion_cilindro!$B$17+1)),0)-IF(Presion_cilindro!N192&gt;(-C$4+Presion_cilindro!$B$34),1-EXP(-Presion_cilindro!$B$16*((Presion_cilindro!N192-(-C$4+Presion_cilindro!$B$34))/Presion_cilindro!$B$35)^(Presion_cilindro!$B$17+1)),0))/((Presion_cilindro!O192+Presion_cilindro!O193)/2)</f>
        <v>1.486066918865655</v>
      </c>
      <c r="D201" s="27">
        <f>D200*(Presion_cilindro!O192/Presion_cilindro!O193)^Presion_cilindro!$B$9+10*(Presion_cilindro!$B$9-1)*Presion_cilindro!$B$33*(IF(Presion_cilindro!N193&gt;(-D$4+Presion_cilindro!$B$34),1-EXP(-Presion_cilindro!$B$16*((Presion_cilindro!N193-(-D$4+Presion_cilindro!$B$34))/Presion_cilindro!$B$35)^(Presion_cilindro!$B$17+1)),0)-IF(Presion_cilindro!N192&gt;(-D$4+Presion_cilindro!$B$34),1-EXP(-Presion_cilindro!$B$16*((Presion_cilindro!N192-(-D$4+Presion_cilindro!$B$34))/Presion_cilindro!$B$35)^(Presion_cilindro!$B$17+1)),0))/((Presion_cilindro!O192+Presion_cilindro!O193)/2)</f>
        <v>1.486066918865655</v>
      </c>
      <c r="E201" s="27">
        <f>E200*(Presion_cilindro!O192/Presion_cilindro!O193)^Presion_cilindro!$B$9+10*(Presion_cilindro!$B$9-1)*Presion_cilindro!$B$33*(IF(Presion_cilindro!N193&gt;(-E$4+Presion_cilindro!$B$34),1-EXP(-Presion_cilindro!$B$16*((Presion_cilindro!N193-(-E$4+Presion_cilindro!$B$34))/Presion_cilindro!$B$35)^(Presion_cilindro!$B$17+1)),0)-IF(Presion_cilindro!N192&gt;(-E$4+Presion_cilindro!$B$34),1-EXP(-Presion_cilindro!$B$16*((Presion_cilindro!N192-(-E$4+Presion_cilindro!$B$34))/Presion_cilindro!$B$35)^(Presion_cilindro!$B$17+1)),0))/((Presion_cilindro!O192+Presion_cilindro!O193)/2)</f>
        <v>1.486066918865655</v>
      </c>
      <c r="F201" s="27">
        <f>F200*(Presion_cilindro!O192/Presion_cilindro!O193)^Presion_cilindro!$B$9+10*(Presion_cilindro!$B$9-1)*Presion_cilindro!$B$33*(IF(Presion_cilindro!N193&gt;(-F$4+Presion_cilindro!$B$34),1-EXP(-Presion_cilindro!$B$16*((Presion_cilindro!N193-(-F$4+Presion_cilindro!$B$34))/Presion_cilindro!$B$35)^(Presion_cilindro!$B$17+1)),0)-IF(Presion_cilindro!N192&gt;(-F$4+Presion_cilindro!$B$34),1-EXP(-Presion_cilindro!$B$16*((Presion_cilindro!N192-(-F$4+Presion_cilindro!$B$34))/Presion_cilindro!$B$35)^(Presion_cilindro!$B$17+1)),0))/((Presion_cilindro!O192+Presion_cilindro!O193)/2)</f>
        <v>1.486066918865655</v>
      </c>
      <c r="G201" s="27">
        <f>G200*(Presion_cilindro!O192/Presion_cilindro!O193)^Presion_cilindro!$B$9+10*(Presion_cilindro!$B$9-1)*Presion_cilindro!$B$33*(IF(Presion_cilindro!N193&gt;(-G$4+Presion_cilindro!$B$34),1-EXP(-Presion_cilindro!$B$16*((Presion_cilindro!N193-(-G$4+Presion_cilindro!$B$34))/Presion_cilindro!$B$35)^(Presion_cilindro!$B$17+1)),0)-IF(Presion_cilindro!N192&gt;(-G$4+Presion_cilindro!$B$34),1-EXP(-Presion_cilindro!$B$16*((Presion_cilindro!N192-(-G$4+Presion_cilindro!$B$34))/Presion_cilindro!$B$35)^(Presion_cilindro!$B$17+1)),0))/((Presion_cilindro!O192+Presion_cilindro!O193)/2)</f>
        <v>1.486066918865655</v>
      </c>
      <c r="H201" s="27">
        <f>H200*(Presion_cilindro!O192/Presion_cilindro!O193)^Presion_cilindro!$B$9+10*(Presion_cilindro!$B$9-1)*Presion_cilindro!$B$33*(IF(Presion_cilindro!N193&gt;(-H$4+Presion_cilindro!$B$34),1-EXP(-Presion_cilindro!$B$16*((Presion_cilindro!N193-(-H$4+Presion_cilindro!$B$34))/Presion_cilindro!$B$35)^(Presion_cilindro!$B$17+1)),0)-IF(Presion_cilindro!N192&gt;(-H$4+Presion_cilindro!$B$34),1-EXP(-Presion_cilindro!$B$16*((Presion_cilindro!N192-(-H$4+Presion_cilindro!$B$34))/Presion_cilindro!$B$35)^(Presion_cilindro!$B$17+1)),0))/((Presion_cilindro!O192+Presion_cilindro!O193)/2)</f>
        <v>1.486066918865655</v>
      </c>
      <c r="I201" s="27">
        <f>I200*(Presion_cilindro!O192/Presion_cilindro!O193)^Presion_cilindro!$B$9+10*(Presion_cilindro!$B$9-1)*Presion_cilindro!$B$33*(IF(Presion_cilindro!N193&gt;(-I$4+Presion_cilindro!$B$34),1-EXP(-Presion_cilindro!$B$16*((Presion_cilindro!N193-(-I$4+Presion_cilindro!$B$34))/Presion_cilindro!$B$35)^(Presion_cilindro!$B$17+1)),0)-IF(Presion_cilindro!N192&gt;(-I$4+Presion_cilindro!$B$34),1-EXP(-Presion_cilindro!$B$16*((Presion_cilindro!N192-(-I$4+Presion_cilindro!$B$34))/Presion_cilindro!$B$35)^(Presion_cilindro!$B$17+1)),0))/((Presion_cilindro!O192+Presion_cilindro!O193)/2)</f>
        <v>1.486066918865655</v>
      </c>
      <c r="J201" s="27">
        <f>J200*(Presion_cilindro!O192/Presion_cilindro!O193)^Presion_cilindro!$B$9+10*(Presion_cilindro!$B$9-1)*Presion_cilindro!$B$33*(IF(Presion_cilindro!N193&gt;(-J$4+Presion_cilindro!$B$34),1-EXP(-Presion_cilindro!$B$16*((Presion_cilindro!N193-(-J$4+Presion_cilindro!$B$34))/Presion_cilindro!$B$35)^(Presion_cilindro!$B$17+1)),0)-IF(Presion_cilindro!N192&gt;(-J$4+Presion_cilindro!$B$34),1-EXP(-Presion_cilindro!$B$16*((Presion_cilindro!N192-(-J$4+Presion_cilindro!$B$34))/Presion_cilindro!$B$35)^(Presion_cilindro!$B$17+1)),0))/((Presion_cilindro!O192+Presion_cilindro!O193)/2)</f>
        <v>1.486066918865655</v>
      </c>
      <c r="K201" s="27">
        <f>K200*(Presion_cilindro!O192/Presion_cilindro!O193)^Presion_cilindro!$B$9+10*(Presion_cilindro!$B$9-1)*Presion_cilindro!$B$33*(IF(Presion_cilindro!N193&gt;(-K$4+Presion_cilindro!$B$34),1-EXP(-Presion_cilindro!$B$16*((Presion_cilindro!N193-(-K$4+Presion_cilindro!$B$34))/Presion_cilindro!$B$35)^(Presion_cilindro!$B$17+1)),0)-IF(Presion_cilindro!N192&gt;(-K$4+Presion_cilindro!$B$34),1-EXP(-Presion_cilindro!$B$16*((Presion_cilindro!N192-(-K$4+Presion_cilindro!$B$34))/Presion_cilindro!$B$35)^(Presion_cilindro!$B$17+1)),0))/((Presion_cilindro!O192+Presion_cilindro!O193)/2)</f>
        <v>1.486066918865655</v>
      </c>
      <c r="L201" s="27">
        <f>L200*(Presion_cilindro!O192/Presion_cilindro!O193)^Presion_cilindro!$B$9+10*(Presion_cilindro!$B$9-1)*Presion_cilindro!$B$33*(IF(Presion_cilindro!N193&gt;(-L$4+Presion_cilindro!$B$34),1-EXP(-Presion_cilindro!$B$16*((Presion_cilindro!N193-(-L$4+Presion_cilindro!$B$34))/Presion_cilindro!$B$35)^(Presion_cilindro!$B$17+1)),0)-IF(Presion_cilindro!N192&gt;(-L$4+Presion_cilindro!$B$34),1-EXP(-Presion_cilindro!$B$16*((Presion_cilindro!N192-(-L$4+Presion_cilindro!$B$34))/Presion_cilindro!$B$35)^(Presion_cilindro!$B$17+1)),0))/((Presion_cilindro!O192+Presion_cilindro!O193)/2)</f>
        <v>1.486066918865655</v>
      </c>
      <c r="M201" s="27">
        <f>M200*(Presion_cilindro!O192/Presion_cilindro!O193)^Presion_cilindro!$B$9+10*(Presion_cilindro!$B$9-1)*Presion_cilindro!$B$33*(IF(Presion_cilindro!N193&gt;(-M$4+Presion_cilindro!$B$34),1-EXP(-Presion_cilindro!$B$16*((Presion_cilindro!N193-(-M$4+Presion_cilindro!$B$34))/Presion_cilindro!$B$35)^(Presion_cilindro!$B$17+1)),0)-IF(Presion_cilindro!N192&gt;(-M$4+Presion_cilindro!$B$34),1-EXP(-Presion_cilindro!$B$16*((Presion_cilindro!N192-(-M$4+Presion_cilindro!$B$34))/Presion_cilindro!$B$35)^(Presion_cilindro!$B$17+1)),0))/((Presion_cilindro!O192+Presion_cilindro!O193)/2)</f>
        <v>1.486066918865655</v>
      </c>
      <c r="N201" s="27">
        <f>N200*(Presion_cilindro!O192/Presion_cilindro!O193)^Presion_cilindro!$B$9+10*(Presion_cilindro!$B$9-1)*Presion_cilindro!$B$33*(IF(Presion_cilindro!N193&gt;(-N$4+Presion_cilindro!$B$34),1-EXP(-Presion_cilindro!$B$16*((Presion_cilindro!N193-(-N$4+Presion_cilindro!$B$34))/Presion_cilindro!$B$35)^(Presion_cilindro!$B$17+1)),0)-IF(Presion_cilindro!N192&gt;(-N$4+Presion_cilindro!$B$34),1-EXP(-Presion_cilindro!$B$16*((Presion_cilindro!N192-(-N$4+Presion_cilindro!$B$34))/Presion_cilindro!$B$35)^(Presion_cilindro!$B$17+1)),0))/((Presion_cilindro!O192+Presion_cilindro!O193)/2)</f>
        <v>1.486066918865655</v>
      </c>
    </row>
    <row r="202" spans="1:14" x14ac:dyDescent="0.25">
      <c r="A202" s="21">
        <f>Presion_cilindro!N194</f>
        <v>-85</v>
      </c>
      <c r="B202" s="27">
        <f>B201*(Presion_cilindro!O193/Presion_cilindro!O194)^Presion_cilindro!$B$9+10*(Presion_cilindro!$B$9-1)*Presion_cilindro!$B$33*(IF(Presion_cilindro!N194&gt;(-B$4+Presion_cilindro!$B$34),1-EXP(-Presion_cilindro!$B$16*((Presion_cilindro!N194-(-B$4+Presion_cilindro!$B$34))/Presion_cilindro!$B$35)^(Presion_cilindro!$B$17+1)),0)-IF(Presion_cilindro!N193&gt;(-B$4+Presion_cilindro!$B$34),1-EXP(-Presion_cilindro!$B$16*((Presion_cilindro!N193-(-B$4+Presion_cilindro!$B$34))/Presion_cilindro!$B$35)^(Presion_cilindro!$B$17+1)),0))/((Presion_cilindro!O193+Presion_cilindro!O194)/2)</f>
        <v>1.4998445731845338</v>
      </c>
      <c r="C202" s="27">
        <f>C201*(Presion_cilindro!O193/Presion_cilindro!O194)^Presion_cilindro!$B$9+10*(Presion_cilindro!$B$9-1)*Presion_cilindro!$B$33*(IF(Presion_cilindro!N194&gt;(-C$4+Presion_cilindro!$B$34),1-EXP(-Presion_cilindro!$B$16*((Presion_cilindro!N194-(-C$4+Presion_cilindro!$B$34))/Presion_cilindro!$B$35)^(Presion_cilindro!$B$17+1)),0)-IF(Presion_cilindro!N193&gt;(-C$4+Presion_cilindro!$B$34),1-EXP(-Presion_cilindro!$B$16*((Presion_cilindro!N193-(-C$4+Presion_cilindro!$B$34))/Presion_cilindro!$B$35)^(Presion_cilindro!$B$17+1)),0))/((Presion_cilindro!O193+Presion_cilindro!O194)/2)</f>
        <v>1.4998445731845338</v>
      </c>
      <c r="D202" s="27">
        <f>D201*(Presion_cilindro!O193/Presion_cilindro!O194)^Presion_cilindro!$B$9+10*(Presion_cilindro!$B$9-1)*Presion_cilindro!$B$33*(IF(Presion_cilindro!N194&gt;(-D$4+Presion_cilindro!$B$34),1-EXP(-Presion_cilindro!$B$16*((Presion_cilindro!N194-(-D$4+Presion_cilindro!$B$34))/Presion_cilindro!$B$35)^(Presion_cilindro!$B$17+1)),0)-IF(Presion_cilindro!N193&gt;(-D$4+Presion_cilindro!$B$34),1-EXP(-Presion_cilindro!$B$16*((Presion_cilindro!N193-(-D$4+Presion_cilindro!$B$34))/Presion_cilindro!$B$35)^(Presion_cilindro!$B$17+1)),0))/((Presion_cilindro!O193+Presion_cilindro!O194)/2)</f>
        <v>1.4998445731845338</v>
      </c>
      <c r="E202" s="27">
        <f>E201*(Presion_cilindro!O193/Presion_cilindro!O194)^Presion_cilindro!$B$9+10*(Presion_cilindro!$B$9-1)*Presion_cilindro!$B$33*(IF(Presion_cilindro!N194&gt;(-E$4+Presion_cilindro!$B$34),1-EXP(-Presion_cilindro!$B$16*((Presion_cilindro!N194-(-E$4+Presion_cilindro!$B$34))/Presion_cilindro!$B$35)^(Presion_cilindro!$B$17+1)),0)-IF(Presion_cilindro!N193&gt;(-E$4+Presion_cilindro!$B$34),1-EXP(-Presion_cilindro!$B$16*((Presion_cilindro!N193-(-E$4+Presion_cilindro!$B$34))/Presion_cilindro!$B$35)^(Presion_cilindro!$B$17+1)),0))/((Presion_cilindro!O193+Presion_cilindro!O194)/2)</f>
        <v>1.4998445731845338</v>
      </c>
      <c r="F202" s="27">
        <f>F201*(Presion_cilindro!O193/Presion_cilindro!O194)^Presion_cilindro!$B$9+10*(Presion_cilindro!$B$9-1)*Presion_cilindro!$B$33*(IF(Presion_cilindro!N194&gt;(-F$4+Presion_cilindro!$B$34),1-EXP(-Presion_cilindro!$B$16*((Presion_cilindro!N194-(-F$4+Presion_cilindro!$B$34))/Presion_cilindro!$B$35)^(Presion_cilindro!$B$17+1)),0)-IF(Presion_cilindro!N193&gt;(-F$4+Presion_cilindro!$B$34),1-EXP(-Presion_cilindro!$B$16*((Presion_cilindro!N193-(-F$4+Presion_cilindro!$B$34))/Presion_cilindro!$B$35)^(Presion_cilindro!$B$17+1)),0))/((Presion_cilindro!O193+Presion_cilindro!O194)/2)</f>
        <v>1.4998445731845338</v>
      </c>
      <c r="G202" s="27">
        <f>G201*(Presion_cilindro!O193/Presion_cilindro!O194)^Presion_cilindro!$B$9+10*(Presion_cilindro!$B$9-1)*Presion_cilindro!$B$33*(IF(Presion_cilindro!N194&gt;(-G$4+Presion_cilindro!$B$34),1-EXP(-Presion_cilindro!$B$16*((Presion_cilindro!N194-(-G$4+Presion_cilindro!$B$34))/Presion_cilindro!$B$35)^(Presion_cilindro!$B$17+1)),0)-IF(Presion_cilindro!N193&gt;(-G$4+Presion_cilindro!$B$34),1-EXP(-Presion_cilindro!$B$16*((Presion_cilindro!N193-(-G$4+Presion_cilindro!$B$34))/Presion_cilindro!$B$35)^(Presion_cilindro!$B$17+1)),0))/((Presion_cilindro!O193+Presion_cilindro!O194)/2)</f>
        <v>1.4998445731845338</v>
      </c>
      <c r="H202" s="27">
        <f>H201*(Presion_cilindro!O193/Presion_cilindro!O194)^Presion_cilindro!$B$9+10*(Presion_cilindro!$B$9-1)*Presion_cilindro!$B$33*(IF(Presion_cilindro!N194&gt;(-H$4+Presion_cilindro!$B$34),1-EXP(-Presion_cilindro!$B$16*((Presion_cilindro!N194-(-H$4+Presion_cilindro!$B$34))/Presion_cilindro!$B$35)^(Presion_cilindro!$B$17+1)),0)-IF(Presion_cilindro!N193&gt;(-H$4+Presion_cilindro!$B$34),1-EXP(-Presion_cilindro!$B$16*((Presion_cilindro!N193-(-H$4+Presion_cilindro!$B$34))/Presion_cilindro!$B$35)^(Presion_cilindro!$B$17+1)),0))/((Presion_cilindro!O193+Presion_cilindro!O194)/2)</f>
        <v>1.4998445731845338</v>
      </c>
      <c r="I202" s="27">
        <f>I201*(Presion_cilindro!O193/Presion_cilindro!O194)^Presion_cilindro!$B$9+10*(Presion_cilindro!$B$9-1)*Presion_cilindro!$B$33*(IF(Presion_cilindro!N194&gt;(-I$4+Presion_cilindro!$B$34),1-EXP(-Presion_cilindro!$B$16*((Presion_cilindro!N194-(-I$4+Presion_cilindro!$B$34))/Presion_cilindro!$B$35)^(Presion_cilindro!$B$17+1)),0)-IF(Presion_cilindro!N193&gt;(-I$4+Presion_cilindro!$B$34),1-EXP(-Presion_cilindro!$B$16*((Presion_cilindro!N193-(-I$4+Presion_cilindro!$B$34))/Presion_cilindro!$B$35)^(Presion_cilindro!$B$17+1)),0))/((Presion_cilindro!O193+Presion_cilindro!O194)/2)</f>
        <v>1.4998445731845338</v>
      </c>
      <c r="J202" s="27">
        <f>J201*(Presion_cilindro!O193/Presion_cilindro!O194)^Presion_cilindro!$B$9+10*(Presion_cilindro!$B$9-1)*Presion_cilindro!$B$33*(IF(Presion_cilindro!N194&gt;(-J$4+Presion_cilindro!$B$34),1-EXP(-Presion_cilindro!$B$16*((Presion_cilindro!N194-(-J$4+Presion_cilindro!$B$34))/Presion_cilindro!$B$35)^(Presion_cilindro!$B$17+1)),0)-IF(Presion_cilindro!N193&gt;(-J$4+Presion_cilindro!$B$34),1-EXP(-Presion_cilindro!$B$16*((Presion_cilindro!N193-(-J$4+Presion_cilindro!$B$34))/Presion_cilindro!$B$35)^(Presion_cilindro!$B$17+1)),0))/((Presion_cilindro!O193+Presion_cilindro!O194)/2)</f>
        <v>1.4998445731845338</v>
      </c>
      <c r="K202" s="27">
        <f>K201*(Presion_cilindro!O193/Presion_cilindro!O194)^Presion_cilindro!$B$9+10*(Presion_cilindro!$B$9-1)*Presion_cilindro!$B$33*(IF(Presion_cilindro!N194&gt;(-K$4+Presion_cilindro!$B$34),1-EXP(-Presion_cilindro!$B$16*((Presion_cilindro!N194-(-K$4+Presion_cilindro!$B$34))/Presion_cilindro!$B$35)^(Presion_cilindro!$B$17+1)),0)-IF(Presion_cilindro!N193&gt;(-K$4+Presion_cilindro!$B$34),1-EXP(-Presion_cilindro!$B$16*((Presion_cilindro!N193-(-K$4+Presion_cilindro!$B$34))/Presion_cilindro!$B$35)^(Presion_cilindro!$B$17+1)),0))/((Presion_cilindro!O193+Presion_cilindro!O194)/2)</f>
        <v>1.4998445731845338</v>
      </c>
      <c r="L202" s="27">
        <f>L201*(Presion_cilindro!O193/Presion_cilindro!O194)^Presion_cilindro!$B$9+10*(Presion_cilindro!$B$9-1)*Presion_cilindro!$B$33*(IF(Presion_cilindro!N194&gt;(-L$4+Presion_cilindro!$B$34),1-EXP(-Presion_cilindro!$B$16*((Presion_cilindro!N194-(-L$4+Presion_cilindro!$B$34))/Presion_cilindro!$B$35)^(Presion_cilindro!$B$17+1)),0)-IF(Presion_cilindro!N193&gt;(-L$4+Presion_cilindro!$B$34),1-EXP(-Presion_cilindro!$B$16*((Presion_cilindro!N193-(-L$4+Presion_cilindro!$B$34))/Presion_cilindro!$B$35)^(Presion_cilindro!$B$17+1)),0))/((Presion_cilindro!O193+Presion_cilindro!O194)/2)</f>
        <v>1.4998445731845338</v>
      </c>
      <c r="M202" s="27">
        <f>M201*(Presion_cilindro!O193/Presion_cilindro!O194)^Presion_cilindro!$B$9+10*(Presion_cilindro!$B$9-1)*Presion_cilindro!$B$33*(IF(Presion_cilindro!N194&gt;(-M$4+Presion_cilindro!$B$34),1-EXP(-Presion_cilindro!$B$16*((Presion_cilindro!N194-(-M$4+Presion_cilindro!$B$34))/Presion_cilindro!$B$35)^(Presion_cilindro!$B$17+1)),0)-IF(Presion_cilindro!N193&gt;(-M$4+Presion_cilindro!$B$34),1-EXP(-Presion_cilindro!$B$16*((Presion_cilindro!N193-(-M$4+Presion_cilindro!$B$34))/Presion_cilindro!$B$35)^(Presion_cilindro!$B$17+1)),0))/((Presion_cilindro!O193+Presion_cilindro!O194)/2)</f>
        <v>1.4998445731845338</v>
      </c>
      <c r="N202" s="27">
        <f>N201*(Presion_cilindro!O193/Presion_cilindro!O194)^Presion_cilindro!$B$9+10*(Presion_cilindro!$B$9-1)*Presion_cilindro!$B$33*(IF(Presion_cilindro!N194&gt;(-N$4+Presion_cilindro!$B$34),1-EXP(-Presion_cilindro!$B$16*((Presion_cilindro!N194-(-N$4+Presion_cilindro!$B$34))/Presion_cilindro!$B$35)^(Presion_cilindro!$B$17+1)),0)-IF(Presion_cilindro!N193&gt;(-N$4+Presion_cilindro!$B$34),1-EXP(-Presion_cilindro!$B$16*((Presion_cilindro!N193-(-N$4+Presion_cilindro!$B$34))/Presion_cilindro!$B$35)^(Presion_cilindro!$B$17+1)),0))/((Presion_cilindro!O193+Presion_cilindro!O194)/2)</f>
        <v>1.4998445731845338</v>
      </c>
    </row>
    <row r="203" spans="1:14" x14ac:dyDescent="0.25">
      <c r="A203" s="21">
        <f>Presion_cilindro!N195</f>
        <v>-84.5</v>
      </c>
      <c r="B203" s="27">
        <f>B202*(Presion_cilindro!O194/Presion_cilindro!O195)^Presion_cilindro!$B$9+10*(Presion_cilindro!$B$9-1)*Presion_cilindro!$B$33*(IF(Presion_cilindro!N195&gt;(-B$4+Presion_cilindro!$B$34),1-EXP(-Presion_cilindro!$B$16*((Presion_cilindro!N195-(-B$4+Presion_cilindro!$B$34))/Presion_cilindro!$B$35)^(Presion_cilindro!$B$17+1)),0)-IF(Presion_cilindro!N194&gt;(-B$4+Presion_cilindro!$B$34),1-EXP(-Presion_cilindro!$B$16*((Presion_cilindro!N194-(-B$4+Presion_cilindro!$B$34))/Presion_cilindro!$B$35)^(Presion_cilindro!$B$17+1)),0))/((Presion_cilindro!O194+Presion_cilindro!O195)/2)</f>
        <v>1.5138724471030902</v>
      </c>
      <c r="C203" s="27">
        <f>C202*(Presion_cilindro!O194/Presion_cilindro!O195)^Presion_cilindro!$B$9+10*(Presion_cilindro!$B$9-1)*Presion_cilindro!$B$33*(IF(Presion_cilindro!N195&gt;(-C$4+Presion_cilindro!$B$34),1-EXP(-Presion_cilindro!$B$16*((Presion_cilindro!N195-(-C$4+Presion_cilindro!$B$34))/Presion_cilindro!$B$35)^(Presion_cilindro!$B$17+1)),0)-IF(Presion_cilindro!N194&gt;(-C$4+Presion_cilindro!$B$34),1-EXP(-Presion_cilindro!$B$16*((Presion_cilindro!N194-(-C$4+Presion_cilindro!$B$34))/Presion_cilindro!$B$35)^(Presion_cilindro!$B$17+1)),0))/((Presion_cilindro!O194+Presion_cilindro!O195)/2)</f>
        <v>1.5138724471030902</v>
      </c>
      <c r="D203" s="27">
        <f>D202*(Presion_cilindro!O194/Presion_cilindro!O195)^Presion_cilindro!$B$9+10*(Presion_cilindro!$B$9-1)*Presion_cilindro!$B$33*(IF(Presion_cilindro!N195&gt;(-D$4+Presion_cilindro!$B$34),1-EXP(-Presion_cilindro!$B$16*((Presion_cilindro!N195-(-D$4+Presion_cilindro!$B$34))/Presion_cilindro!$B$35)^(Presion_cilindro!$B$17+1)),0)-IF(Presion_cilindro!N194&gt;(-D$4+Presion_cilindro!$B$34),1-EXP(-Presion_cilindro!$B$16*((Presion_cilindro!N194-(-D$4+Presion_cilindro!$B$34))/Presion_cilindro!$B$35)^(Presion_cilindro!$B$17+1)),0))/((Presion_cilindro!O194+Presion_cilindro!O195)/2)</f>
        <v>1.5138724471030902</v>
      </c>
      <c r="E203" s="27">
        <f>E202*(Presion_cilindro!O194/Presion_cilindro!O195)^Presion_cilindro!$B$9+10*(Presion_cilindro!$B$9-1)*Presion_cilindro!$B$33*(IF(Presion_cilindro!N195&gt;(-E$4+Presion_cilindro!$B$34),1-EXP(-Presion_cilindro!$B$16*((Presion_cilindro!N195-(-E$4+Presion_cilindro!$B$34))/Presion_cilindro!$B$35)^(Presion_cilindro!$B$17+1)),0)-IF(Presion_cilindro!N194&gt;(-E$4+Presion_cilindro!$B$34),1-EXP(-Presion_cilindro!$B$16*((Presion_cilindro!N194-(-E$4+Presion_cilindro!$B$34))/Presion_cilindro!$B$35)^(Presion_cilindro!$B$17+1)),0))/((Presion_cilindro!O194+Presion_cilindro!O195)/2)</f>
        <v>1.5138724471030902</v>
      </c>
      <c r="F203" s="27">
        <f>F202*(Presion_cilindro!O194/Presion_cilindro!O195)^Presion_cilindro!$B$9+10*(Presion_cilindro!$B$9-1)*Presion_cilindro!$B$33*(IF(Presion_cilindro!N195&gt;(-F$4+Presion_cilindro!$B$34),1-EXP(-Presion_cilindro!$B$16*((Presion_cilindro!N195-(-F$4+Presion_cilindro!$B$34))/Presion_cilindro!$B$35)^(Presion_cilindro!$B$17+1)),0)-IF(Presion_cilindro!N194&gt;(-F$4+Presion_cilindro!$B$34),1-EXP(-Presion_cilindro!$B$16*((Presion_cilindro!N194-(-F$4+Presion_cilindro!$B$34))/Presion_cilindro!$B$35)^(Presion_cilindro!$B$17+1)),0))/((Presion_cilindro!O194+Presion_cilindro!O195)/2)</f>
        <v>1.5138724471030902</v>
      </c>
      <c r="G203" s="27">
        <f>G202*(Presion_cilindro!O194/Presion_cilindro!O195)^Presion_cilindro!$B$9+10*(Presion_cilindro!$B$9-1)*Presion_cilindro!$B$33*(IF(Presion_cilindro!N195&gt;(-G$4+Presion_cilindro!$B$34),1-EXP(-Presion_cilindro!$B$16*((Presion_cilindro!N195-(-G$4+Presion_cilindro!$B$34))/Presion_cilindro!$B$35)^(Presion_cilindro!$B$17+1)),0)-IF(Presion_cilindro!N194&gt;(-G$4+Presion_cilindro!$B$34),1-EXP(-Presion_cilindro!$B$16*((Presion_cilindro!N194-(-G$4+Presion_cilindro!$B$34))/Presion_cilindro!$B$35)^(Presion_cilindro!$B$17+1)),0))/((Presion_cilindro!O194+Presion_cilindro!O195)/2)</f>
        <v>1.5138724471030902</v>
      </c>
      <c r="H203" s="27">
        <f>H202*(Presion_cilindro!O194/Presion_cilindro!O195)^Presion_cilindro!$B$9+10*(Presion_cilindro!$B$9-1)*Presion_cilindro!$B$33*(IF(Presion_cilindro!N195&gt;(-H$4+Presion_cilindro!$B$34),1-EXP(-Presion_cilindro!$B$16*((Presion_cilindro!N195-(-H$4+Presion_cilindro!$B$34))/Presion_cilindro!$B$35)^(Presion_cilindro!$B$17+1)),0)-IF(Presion_cilindro!N194&gt;(-H$4+Presion_cilindro!$B$34),1-EXP(-Presion_cilindro!$B$16*((Presion_cilindro!N194-(-H$4+Presion_cilindro!$B$34))/Presion_cilindro!$B$35)^(Presion_cilindro!$B$17+1)),0))/((Presion_cilindro!O194+Presion_cilindro!O195)/2)</f>
        <v>1.5138724471030902</v>
      </c>
      <c r="I203" s="27">
        <f>I202*(Presion_cilindro!O194/Presion_cilindro!O195)^Presion_cilindro!$B$9+10*(Presion_cilindro!$B$9-1)*Presion_cilindro!$B$33*(IF(Presion_cilindro!N195&gt;(-I$4+Presion_cilindro!$B$34),1-EXP(-Presion_cilindro!$B$16*((Presion_cilindro!N195-(-I$4+Presion_cilindro!$B$34))/Presion_cilindro!$B$35)^(Presion_cilindro!$B$17+1)),0)-IF(Presion_cilindro!N194&gt;(-I$4+Presion_cilindro!$B$34),1-EXP(-Presion_cilindro!$B$16*((Presion_cilindro!N194-(-I$4+Presion_cilindro!$B$34))/Presion_cilindro!$B$35)^(Presion_cilindro!$B$17+1)),0))/((Presion_cilindro!O194+Presion_cilindro!O195)/2)</f>
        <v>1.5138724471030902</v>
      </c>
      <c r="J203" s="27">
        <f>J202*(Presion_cilindro!O194/Presion_cilindro!O195)^Presion_cilindro!$B$9+10*(Presion_cilindro!$B$9-1)*Presion_cilindro!$B$33*(IF(Presion_cilindro!N195&gt;(-J$4+Presion_cilindro!$B$34),1-EXP(-Presion_cilindro!$B$16*((Presion_cilindro!N195-(-J$4+Presion_cilindro!$B$34))/Presion_cilindro!$B$35)^(Presion_cilindro!$B$17+1)),0)-IF(Presion_cilindro!N194&gt;(-J$4+Presion_cilindro!$B$34),1-EXP(-Presion_cilindro!$B$16*((Presion_cilindro!N194-(-J$4+Presion_cilindro!$B$34))/Presion_cilindro!$B$35)^(Presion_cilindro!$B$17+1)),0))/((Presion_cilindro!O194+Presion_cilindro!O195)/2)</f>
        <v>1.5138724471030902</v>
      </c>
      <c r="K203" s="27">
        <f>K202*(Presion_cilindro!O194/Presion_cilindro!O195)^Presion_cilindro!$B$9+10*(Presion_cilindro!$B$9-1)*Presion_cilindro!$B$33*(IF(Presion_cilindro!N195&gt;(-K$4+Presion_cilindro!$B$34),1-EXP(-Presion_cilindro!$B$16*((Presion_cilindro!N195-(-K$4+Presion_cilindro!$B$34))/Presion_cilindro!$B$35)^(Presion_cilindro!$B$17+1)),0)-IF(Presion_cilindro!N194&gt;(-K$4+Presion_cilindro!$B$34),1-EXP(-Presion_cilindro!$B$16*((Presion_cilindro!N194-(-K$4+Presion_cilindro!$B$34))/Presion_cilindro!$B$35)^(Presion_cilindro!$B$17+1)),0))/((Presion_cilindro!O194+Presion_cilindro!O195)/2)</f>
        <v>1.5138724471030902</v>
      </c>
      <c r="L203" s="27">
        <f>L202*(Presion_cilindro!O194/Presion_cilindro!O195)^Presion_cilindro!$B$9+10*(Presion_cilindro!$B$9-1)*Presion_cilindro!$B$33*(IF(Presion_cilindro!N195&gt;(-L$4+Presion_cilindro!$B$34),1-EXP(-Presion_cilindro!$B$16*((Presion_cilindro!N195-(-L$4+Presion_cilindro!$B$34))/Presion_cilindro!$B$35)^(Presion_cilindro!$B$17+1)),0)-IF(Presion_cilindro!N194&gt;(-L$4+Presion_cilindro!$B$34),1-EXP(-Presion_cilindro!$B$16*((Presion_cilindro!N194-(-L$4+Presion_cilindro!$B$34))/Presion_cilindro!$B$35)^(Presion_cilindro!$B$17+1)),0))/((Presion_cilindro!O194+Presion_cilindro!O195)/2)</f>
        <v>1.5138724471030902</v>
      </c>
      <c r="M203" s="27">
        <f>M202*(Presion_cilindro!O194/Presion_cilindro!O195)^Presion_cilindro!$B$9+10*(Presion_cilindro!$B$9-1)*Presion_cilindro!$B$33*(IF(Presion_cilindro!N195&gt;(-M$4+Presion_cilindro!$B$34),1-EXP(-Presion_cilindro!$B$16*((Presion_cilindro!N195-(-M$4+Presion_cilindro!$B$34))/Presion_cilindro!$B$35)^(Presion_cilindro!$B$17+1)),0)-IF(Presion_cilindro!N194&gt;(-M$4+Presion_cilindro!$B$34),1-EXP(-Presion_cilindro!$B$16*((Presion_cilindro!N194-(-M$4+Presion_cilindro!$B$34))/Presion_cilindro!$B$35)^(Presion_cilindro!$B$17+1)),0))/((Presion_cilindro!O194+Presion_cilindro!O195)/2)</f>
        <v>1.5138724471030902</v>
      </c>
      <c r="N203" s="27">
        <f>N202*(Presion_cilindro!O194/Presion_cilindro!O195)^Presion_cilindro!$B$9+10*(Presion_cilindro!$B$9-1)*Presion_cilindro!$B$33*(IF(Presion_cilindro!N195&gt;(-N$4+Presion_cilindro!$B$34),1-EXP(-Presion_cilindro!$B$16*((Presion_cilindro!N195-(-N$4+Presion_cilindro!$B$34))/Presion_cilindro!$B$35)^(Presion_cilindro!$B$17+1)),0)-IF(Presion_cilindro!N194&gt;(-N$4+Presion_cilindro!$B$34),1-EXP(-Presion_cilindro!$B$16*((Presion_cilindro!N194-(-N$4+Presion_cilindro!$B$34))/Presion_cilindro!$B$35)^(Presion_cilindro!$B$17+1)),0))/((Presion_cilindro!O194+Presion_cilindro!O195)/2)</f>
        <v>1.5138724471030902</v>
      </c>
    </row>
    <row r="204" spans="1:14" x14ac:dyDescent="0.25">
      <c r="A204" s="21">
        <f>Presion_cilindro!N196</f>
        <v>-84</v>
      </c>
      <c r="B204" s="27">
        <f>B203*(Presion_cilindro!O195/Presion_cilindro!O196)^Presion_cilindro!$B$9+10*(Presion_cilindro!$B$9-1)*Presion_cilindro!$B$33*(IF(Presion_cilindro!N196&gt;(-B$4+Presion_cilindro!$B$34),1-EXP(-Presion_cilindro!$B$16*((Presion_cilindro!N196-(-B$4+Presion_cilindro!$B$34))/Presion_cilindro!$B$35)^(Presion_cilindro!$B$17+1)),0)-IF(Presion_cilindro!N195&gt;(-B$4+Presion_cilindro!$B$34),1-EXP(-Presion_cilindro!$B$16*((Presion_cilindro!N195-(-B$4+Presion_cilindro!$B$34))/Presion_cilindro!$B$35)^(Presion_cilindro!$B$17+1)),0))/((Presion_cilindro!O195+Presion_cilindro!O196)/2)</f>
        <v>1.5281558914368605</v>
      </c>
      <c r="C204" s="27">
        <f>C203*(Presion_cilindro!O195/Presion_cilindro!O196)^Presion_cilindro!$B$9+10*(Presion_cilindro!$B$9-1)*Presion_cilindro!$B$33*(IF(Presion_cilindro!N196&gt;(-C$4+Presion_cilindro!$B$34),1-EXP(-Presion_cilindro!$B$16*((Presion_cilindro!N196-(-C$4+Presion_cilindro!$B$34))/Presion_cilindro!$B$35)^(Presion_cilindro!$B$17+1)),0)-IF(Presion_cilindro!N195&gt;(-C$4+Presion_cilindro!$B$34),1-EXP(-Presion_cilindro!$B$16*((Presion_cilindro!N195-(-C$4+Presion_cilindro!$B$34))/Presion_cilindro!$B$35)^(Presion_cilindro!$B$17+1)),0))/((Presion_cilindro!O195+Presion_cilindro!O196)/2)</f>
        <v>1.5281558914368605</v>
      </c>
      <c r="D204" s="27">
        <f>D203*(Presion_cilindro!O195/Presion_cilindro!O196)^Presion_cilindro!$B$9+10*(Presion_cilindro!$B$9-1)*Presion_cilindro!$B$33*(IF(Presion_cilindro!N196&gt;(-D$4+Presion_cilindro!$B$34),1-EXP(-Presion_cilindro!$B$16*((Presion_cilindro!N196-(-D$4+Presion_cilindro!$B$34))/Presion_cilindro!$B$35)^(Presion_cilindro!$B$17+1)),0)-IF(Presion_cilindro!N195&gt;(-D$4+Presion_cilindro!$B$34),1-EXP(-Presion_cilindro!$B$16*((Presion_cilindro!N195-(-D$4+Presion_cilindro!$B$34))/Presion_cilindro!$B$35)^(Presion_cilindro!$B$17+1)),0))/((Presion_cilindro!O195+Presion_cilindro!O196)/2)</f>
        <v>1.5281558914368605</v>
      </c>
      <c r="E204" s="27">
        <f>E203*(Presion_cilindro!O195/Presion_cilindro!O196)^Presion_cilindro!$B$9+10*(Presion_cilindro!$B$9-1)*Presion_cilindro!$B$33*(IF(Presion_cilindro!N196&gt;(-E$4+Presion_cilindro!$B$34),1-EXP(-Presion_cilindro!$B$16*((Presion_cilindro!N196-(-E$4+Presion_cilindro!$B$34))/Presion_cilindro!$B$35)^(Presion_cilindro!$B$17+1)),0)-IF(Presion_cilindro!N195&gt;(-E$4+Presion_cilindro!$B$34),1-EXP(-Presion_cilindro!$B$16*((Presion_cilindro!N195-(-E$4+Presion_cilindro!$B$34))/Presion_cilindro!$B$35)^(Presion_cilindro!$B$17+1)),0))/((Presion_cilindro!O195+Presion_cilindro!O196)/2)</f>
        <v>1.5281558914368605</v>
      </c>
      <c r="F204" s="27">
        <f>F203*(Presion_cilindro!O195/Presion_cilindro!O196)^Presion_cilindro!$B$9+10*(Presion_cilindro!$B$9-1)*Presion_cilindro!$B$33*(IF(Presion_cilindro!N196&gt;(-F$4+Presion_cilindro!$B$34),1-EXP(-Presion_cilindro!$B$16*((Presion_cilindro!N196-(-F$4+Presion_cilindro!$B$34))/Presion_cilindro!$B$35)^(Presion_cilindro!$B$17+1)),0)-IF(Presion_cilindro!N195&gt;(-F$4+Presion_cilindro!$B$34),1-EXP(-Presion_cilindro!$B$16*((Presion_cilindro!N195-(-F$4+Presion_cilindro!$B$34))/Presion_cilindro!$B$35)^(Presion_cilindro!$B$17+1)),0))/((Presion_cilindro!O195+Presion_cilindro!O196)/2)</f>
        <v>1.5281558914368605</v>
      </c>
      <c r="G204" s="27">
        <f>G203*(Presion_cilindro!O195/Presion_cilindro!O196)^Presion_cilindro!$B$9+10*(Presion_cilindro!$B$9-1)*Presion_cilindro!$B$33*(IF(Presion_cilindro!N196&gt;(-G$4+Presion_cilindro!$B$34),1-EXP(-Presion_cilindro!$B$16*((Presion_cilindro!N196-(-G$4+Presion_cilindro!$B$34))/Presion_cilindro!$B$35)^(Presion_cilindro!$B$17+1)),0)-IF(Presion_cilindro!N195&gt;(-G$4+Presion_cilindro!$B$34),1-EXP(-Presion_cilindro!$B$16*((Presion_cilindro!N195-(-G$4+Presion_cilindro!$B$34))/Presion_cilindro!$B$35)^(Presion_cilindro!$B$17+1)),0))/((Presion_cilindro!O195+Presion_cilindro!O196)/2)</f>
        <v>1.5281558914368605</v>
      </c>
      <c r="H204" s="27">
        <f>H203*(Presion_cilindro!O195/Presion_cilindro!O196)^Presion_cilindro!$B$9+10*(Presion_cilindro!$B$9-1)*Presion_cilindro!$B$33*(IF(Presion_cilindro!N196&gt;(-H$4+Presion_cilindro!$B$34),1-EXP(-Presion_cilindro!$B$16*((Presion_cilindro!N196-(-H$4+Presion_cilindro!$B$34))/Presion_cilindro!$B$35)^(Presion_cilindro!$B$17+1)),0)-IF(Presion_cilindro!N195&gt;(-H$4+Presion_cilindro!$B$34),1-EXP(-Presion_cilindro!$B$16*((Presion_cilindro!N195-(-H$4+Presion_cilindro!$B$34))/Presion_cilindro!$B$35)^(Presion_cilindro!$B$17+1)),0))/((Presion_cilindro!O195+Presion_cilindro!O196)/2)</f>
        <v>1.5281558914368605</v>
      </c>
      <c r="I204" s="27">
        <f>I203*(Presion_cilindro!O195/Presion_cilindro!O196)^Presion_cilindro!$B$9+10*(Presion_cilindro!$B$9-1)*Presion_cilindro!$B$33*(IF(Presion_cilindro!N196&gt;(-I$4+Presion_cilindro!$B$34),1-EXP(-Presion_cilindro!$B$16*((Presion_cilindro!N196-(-I$4+Presion_cilindro!$B$34))/Presion_cilindro!$B$35)^(Presion_cilindro!$B$17+1)),0)-IF(Presion_cilindro!N195&gt;(-I$4+Presion_cilindro!$B$34),1-EXP(-Presion_cilindro!$B$16*((Presion_cilindro!N195-(-I$4+Presion_cilindro!$B$34))/Presion_cilindro!$B$35)^(Presion_cilindro!$B$17+1)),0))/((Presion_cilindro!O195+Presion_cilindro!O196)/2)</f>
        <v>1.5281558914368605</v>
      </c>
      <c r="J204" s="27">
        <f>J203*(Presion_cilindro!O195/Presion_cilindro!O196)^Presion_cilindro!$B$9+10*(Presion_cilindro!$B$9-1)*Presion_cilindro!$B$33*(IF(Presion_cilindro!N196&gt;(-J$4+Presion_cilindro!$B$34),1-EXP(-Presion_cilindro!$B$16*((Presion_cilindro!N196-(-J$4+Presion_cilindro!$B$34))/Presion_cilindro!$B$35)^(Presion_cilindro!$B$17+1)),0)-IF(Presion_cilindro!N195&gt;(-J$4+Presion_cilindro!$B$34),1-EXP(-Presion_cilindro!$B$16*((Presion_cilindro!N195-(-J$4+Presion_cilindro!$B$34))/Presion_cilindro!$B$35)^(Presion_cilindro!$B$17+1)),0))/((Presion_cilindro!O195+Presion_cilindro!O196)/2)</f>
        <v>1.5281558914368605</v>
      </c>
      <c r="K204" s="27">
        <f>K203*(Presion_cilindro!O195/Presion_cilindro!O196)^Presion_cilindro!$B$9+10*(Presion_cilindro!$B$9-1)*Presion_cilindro!$B$33*(IF(Presion_cilindro!N196&gt;(-K$4+Presion_cilindro!$B$34),1-EXP(-Presion_cilindro!$B$16*((Presion_cilindro!N196-(-K$4+Presion_cilindro!$B$34))/Presion_cilindro!$B$35)^(Presion_cilindro!$B$17+1)),0)-IF(Presion_cilindro!N195&gt;(-K$4+Presion_cilindro!$B$34),1-EXP(-Presion_cilindro!$B$16*((Presion_cilindro!N195-(-K$4+Presion_cilindro!$B$34))/Presion_cilindro!$B$35)^(Presion_cilindro!$B$17+1)),0))/((Presion_cilindro!O195+Presion_cilindro!O196)/2)</f>
        <v>1.5281558914368605</v>
      </c>
      <c r="L204" s="27">
        <f>L203*(Presion_cilindro!O195/Presion_cilindro!O196)^Presion_cilindro!$B$9+10*(Presion_cilindro!$B$9-1)*Presion_cilindro!$B$33*(IF(Presion_cilindro!N196&gt;(-L$4+Presion_cilindro!$B$34),1-EXP(-Presion_cilindro!$B$16*((Presion_cilindro!N196-(-L$4+Presion_cilindro!$B$34))/Presion_cilindro!$B$35)^(Presion_cilindro!$B$17+1)),0)-IF(Presion_cilindro!N195&gt;(-L$4+Presion_cilindro!$B$34),1-EXP(-Presion_cilindro!$B$16*((Presion_cilindro!N195-(-L$4+Presion_cilindro!$B$34))/Presion_cilindro!$B$35)^(Presion_cilindro!$B$17+1)),0))/((Presion_cilindro!O195+Presion_cilindro!O196)/2)</f>
        <v>1.5281558914368605</v>
      </c>
      <c r="M204" s="27">
        <f>M203*(Presion_cilindro!O195/Presion_cilindro!O196)^Presion_cilindro!$B$9+10*(Presion_cilindro!$B$9-1)*Presion_cilindro!$B$33*(IF(Presion_cilindro!N196&gt;(-M$4+Presion_cilindro!$B$34),1-EXP(-Presion_cilindro!$B$16*((Presion_cilindro!N196-(-M$4+Presion_cilindro!$B$34))/Presion_cilindro!$B$35)^(Presion_cilindro!$B$17+1)),0)-IF(Presion_cilindro!N195&gt;(-M$4+Presion_cilindro!$B$34),1-EXP(-Presion_cilindro!$B$16*((Presion_cilindro!N195-(-M$4+Presion_cilindro!$B$34))/Presion_cilindro!$B$35)^(Presion_cilindro!$B$17+1)),0))/((Presion_cilindro!O195+Presion_cilindro!O196)/2)</f>
        <v>1.5281558914368605</v>
      </c>
      <c r="N204" s="27">
        <f>N203*(Presion_cilindro!O195/Presion_cilindro!O196)^Presion_cilindro!$B$9+10*(Presion_cilindro!$B$9-1)*Presion_cilindro!$B$33*(IF(Presion_cilindro!N196&gt;(-N$4+Presion_cilindro!$B$34),1-EXP(-Presion_cilindro!$B$16*((Presion_cilindro!N196-(-N$4+Presion_cilindro!$B$34))/Presion_cilindro!$B$35)^(Presion_cilindro!$B$17+1)),0)-IF(Presion_cilindro!N195&gt;(-N$4+Presion_cilindro!$B$34),1-EXP(-Presion_cilindro!$B$16*((Presion_cilindro!N195-(-N$4+Presion_cilindro!$B$34))/Presion_cilindro!$B$35)^(Presion_cilindro!$B$17+1)),0))/((Presion_cilindro!O195+Presion_cilindro!O196)/2)</f>
        <v>1.5281558914368605</v>
      </c>
    </row>
    <row r="205" spans="1:14" x14ac:dyDescent="0.25">
      <c r="A205" s="21">
        <f>Presion_cilindro!N197</f>
        <v>-83.5</v>
      </c>
      <c r="B205" s="27">
        <f>B204*(Presion_cilindro!O196/Presion_cilindro!O197)^Presion_cilindro!$B$9+10*(Presion_cilindro!$B$9-1)*Presion_cilindro!$B$33*(IF(Presion_cilindro!N197&gt;(-B$4+Presion_cilindro!$B$34),1-EXP(-Presion_cilindro!$B$16*((Presion_cilindro!N197-(-B$4+Presion_cilindro!$B$34))/Presion_cilindro!$B$35)^(Presion_cilindro!$B$17+1)),0)-IF(Presion_cilindro!N196&gt;(-B$4+Presion_cilindro!$B$34),1-EXP(-Presion_cilindro!$B$16*((Presion_cilindro!N196-(-B$4+Presion_cilindro!$B$34))/Presion_cilindro!$B$35)^(Presion_cilindro!$B$17+1)),0))/((Presion_cilindro!O196+Presion_cilindro!O197)/2)</f>
        <v>1.5427003911678527</v>
      </c>
      <c r="C205" s="27">
        <f>C204*(Presion_cilindro!O196/Presion_cilindro!O197)^Presion_cilindro!$B$9+10*(Presion_cilindro!$B$9-1)*Presion_cilindro!$B$33*(IF(Presion_cilindro!N197&gt;(-C$4+Presion_cilindro!$B$34),1-EXP(-Presion_cilindro!$B$16*((Presion_cilindro!N197-(-C$4+Presion_cilindro!$B$34))/Presion_cilindro!$B$35)^(Presion_cilindro!$B$17+1)),0)-IF(Presion_cilindro!N196&gt;(-C$4+Presion_cilindro!$B$34),1-EXP(-Presion_cilindro!$B$16*((Presion_cilindro!N196-(-C$4+Presion_cilindro!$B$34))/Presion_cilindro!$B$35)^(Presion_cilindro!$B$17+1)),0))/((Presion_cilindro!O196+Presion_cilindro!O197)/2)</f>
        <v>1.5427003911678527</v>
      </c>
      <c r="D205" s="27">
        <f>D204*(Presion_cilindro!O196/Presion_cilindro!O197)^Presion_cilindro!$B$9+10*(Presion_cilindro!$B$9-1)*Presion_cilindro!$B$33*(IF(Presion_cilindro!N197&gt;(-D$4+Presion_cilindro!$B$34),1-EXP(-Presion_cilindro!$B$16*((Presion_cilindro!N197-(-D$4+Presion_cilindro!$B$34))/Presion_cilindro!$B$35)^(Presion_cilindro!$B$17+1)),0)-IF(Presion_cilindro!N196&gt;(-D$4+Presion_cilindro!$B$34),1-EXP(-Presion_cilindro!$B$16*((Presion_cilindro!N196-(-D$4+Presion_cilindro!$B$34))/Presion_cilindro!$B$35)^(Presion_cilindro!$B$17+1)),0))/((Presion_cilindro!O196+Presion_cilindro!O197)/2)</f>
        <v>1.5427003911678527</v>
      </c>
      <c r="E205" s="27">
        <f>E204*(Presion_cilindro!O196/Presion_cilindro!O197)^Presion_cilindro!$B$9+10*(Presion_cilindro!$B$9-1)*Presion_cilindro!$B$33*(IF(Presion_cilindro!N197&gt;(-E$4+Presion_cilindro!$B$34),1-EXP(-Presion_cilindro!$B$16*((Presion_cilindro!N197-(-E$4+Presion_cilindro!$B$34))/Presion_cilindro!$B$35)^(Presion_cilindro!$B$17+1)),0)-IF(Presion_cilindro!N196&gt;(-E$4+Presion_cilindro!$B$34),1-EXP(-Presion_cilindro!$B$16*((Presion_cilindro!N196-(-E$4+Presion_cilindro!$B$34))/Presion_cilindro!$B$35)^(Presion_cilindro!$B$17+1)),0))/((Presion_cilindro!O196+Presion_cilindro!O197)/2)</f>
        <v>1.5427003911678527</v>
      </c>
      <c r="F205" s="27">
        <f>F204*(Presion_cilindro!O196/Presion_cilindro!O197)^Presion_cilindro!$B$9+10*(Presion_cilindro!$B$9-1)*Presion_cilindro!$B$33*(IF(Presion_cilindro!N197&gt;(-F$4+Presion_cilindro!$B$34),1-EXP(-Presion_cilindro!$B$16*((Presion_cilindro!N197-(-F$4+Presion_cilindro!$B$34))/Presion_cilindro!$B$35)^(Presion_cilindro!$B$17+1)),0)-IF(Presion_cilindro!N196&gt;(-F$4+Presion_cilindro!$B$34),1-EXP(-Presion_cilindro!$B$16*((Presion_cilindro!N196-(-F$4+Presion_cilindro!$B$34))/Presion_cilindro!$B$35)^(Presion_cilindro!$B$17+1)),0))/((Presion_cilindro!O196+Presion_cilindro!O197)/2)</f>
        <v>1.5427003911678527</v>
      </c>
      <c r="G205" s="27">
        <f>G204*(Presion_cilindro!O196/Presion_cilindro!O197)^Presion_cilindro!$B$9+10*(Presion_cilindro!$B$9-1)*Presion_cilindro!$B$33*(IF(Presion_cilindro!N197&gt;(-G$4+Presion_cilindro!$B$34),1-EXP(-Presion_cilindro!$B$16*((Presion_cilindro!N197-(-G$4+Presion_cilindro!$B$34))/Presion_cilindro!$B$35)^(Presion_cilindro!$B$17+1)),0)-IF(Presion_cilindro!N196&gt;(-G$4+Presion_cilindro!$B$34),1-EXP(-Presion_cilindro!$B$16*((Presion_cilindro!N196-(-G$4+Presion_cilindro!$B$34))/Presion_cilindro!$B$35)^(Presion_cilindro!$B$17+1)),0))/((Presion_cilindro!O196+Presion_cilindro!O197)/2)</f>
        <v>1.5427003911678527</v>
      </c>
      <c r="H205" s="27">
        <f>H204*(Presion_cilindro!O196/Presion_cilindro!O197)^Presion_cilindro!$B$9+10*(Presion_cilindro!$B$9-1)*Presion_cilindro!$B$33*(IF(Presion_cilindro!N197&gt;(-H$4+Presion_cilindro!$B$34),1-EXP(-Presion_cilindro!$B$16*((Presion_cilindro!N197-(-H$4+Presion_cilindro!$B$34))/Presion_cilindro!$B$35)^(Presion_cilindro!$B$17+1)),0)-IF(Presion_cilindro!N196&gt;(-H$4+Presion_cilindro!$B$34),1-EXP(-Presion_cilindro!$B$16*((Presion_cilindro!N196-(-H$4+Presion_cilindro!$B$34))/Presion_cilindro!$B$35)^(Presion_cilindro!$B$17+1)),0))/((Presion_cilindro!O196+Presion_cilindro!O197)/2)</f>
        <v>1.5427003911678527</v>
      </c>
      <c r="I205" s="27">
        <f>I204*(Presion_cilindro!O196/Presion_cilindro!O197)^Presion_cilindro!$B$9+10*(Presion_cilindro!$B$9-1)*Presion_cilindro!$B$33*(IF(Presion_cilindro!N197&gt;(-I$4+Presion_cilindro!$B$34),1-EXP(-Presion_cilindro!$B$16*((Presion_cilindro!N197-(-I$4+Presion_cilindro!$B$34))/Presion_cilindro!$B$35)^(Presion_cilindro!$B$17+1)),0)-IF(Presion_cilindro!N196&gt;(-I$4+Presion_cilindro!$B$34),1-EXP(-Presion_cilindro!$B$16*((Presion_cilindro!N196-(-I$4+Presion_cilindro!$B$34))/Presion_cilindro!$B$35)^(Presion_cilindro!$B$17+1)),0))/((Presion_cilindro!O196+Presion_cilindro!O197)/2)</f>
        <v>1.5427003911678527</v>
      </c>
      <c r="J205" s="27">
        <f>J204*(Presion_cilindro!O196/Presion_cilindro!O197)^Presion_cilindro!$B$9+10*(Presion_cilindro!$B$9-1)*Presion_cilindro!$B$33*(IF(Presion_cilindro!N197&gt;(-J$4+Presion_cilindro!$B$34),1-EXP(-Presion_cilindro!$B$16*((Presion_cilindro!N197-(-J$4+Presion_cilindro!$B$34))/Presion_cilindro!$B$35)^(Presion_cilindro!$B$17+1)),0)-IF(Presion_cilindro!N196&gt;(-J$4+Presion_cilindro!$B$34),1-EXP(-Presion_cilindro!$B$16*((Presion_cilindro!N196-(-J$4+Presion_cilindro!$B$34))/Presion_cilindro!$B$35)^(Presion_cilindro!$B$17+1)),0))/((Presion_cilindro!O196+Presion_cilindro!O197)/2)</f>
        <v>1.5427003911678527</v>
      </c>
      <c r="K205" s="27">
        <f>K204*(Presion_cilindro!O196/Presion_cilindro!O197)^Presion_cilindro!$B$9+10*(Presion_cilindro!$B$9-1)*Presion_cilindro!$B$33*(IF(Presion_cilindro!N197&gt;(-K$4+Presion_cilindro!$B$34),1-EXP(-Presion_cilindro!$B$16*((Presion_cilindro!N197-(-K$4+Presion_cilindro!$B$34))/Presion_cilindro!$B$35)^(Presion_cilindro!$B$17+1)),0)-IF(Presion_cilindro!N196&gt;(-K$4+Presion_cilindro!$B$34),1-EXP(-Presion_cilindro!$B$16*((Presion_cilindro!N196-(-K$4+Presion_cilindro!$B$34))/Presion_cilindro!$B$35)^(Presion_cilindro!$B$17+1)),0))/((Presion_cilindro!O196+Presion_cilindro!O197)/2)</f>
        <v>1.5427003911678527</v>
      </c>
      <c r="L205" s="27">
        <f>L204*(Presion_cilindro!O196/Presion_cilindro!O197)^Presion_cilindro!$B$9+10*(Presion_cilindro!$B$9-1)*Presion_cilindro!$B$33*(IF(Presion_cilindro!N197&gt;(-L$4+Presion_cilindro!$B$34),1-EXP(-Presion_cilindro!$B$16*((Presion_cilindro!N197-(-L$4+Presion_cilindro!$B$34))/Presion_cilindro!$B$35)^(Presion_cilindro!$B$17+1)),0)-IF(Presion_cilindro!N196&gt;(-L$4+Presion_cilindro!$B$34),1-EXP(-Presion_cilindro!$B$16*((Presion_cilindro!N196-(-L$4+Presion_cilindro!$B$34))/Presion_cilindro!$B$35)^(Presion_cilindro!$B$17+1)),0))/((Presion_cilindro!O196+Presion_cilindro!O197)/2)</f>
        <v>1.5427003911678527</v>
      </c>
      <c r="M205" s="27">
        <f>M204*(Presion_cilindro!O196/Presion_cilindro!O197)^Presion_cilindro!$B$9+10*(Presion_cilindro!$B$9-1)*Presion_cilindro!$B$33*(IF(Presion_cilindro!N197&gt;(-M$4+Presion_cilindro!$B$34),1-EXP(-Presion_cilindro!$B$16*((Presion_cilindro!N197-(-M$4+Presion_cilindro!$B$34))/Presion_cilindro!$B$35)^(Presion_cilindro!$B$17+1)),0)-IF(Presion_cilindro!N196&gt;(-M$4+Presion_cilindro!$B$34),1-EXP(-Presion_cilindro!$B$16*((Presion_cilindro!N196-(-M$4+Presion_cilindro!$B$34))/Presion_cilindro!$B$35)^(Presion_cilindro!$B$17+1)),0))/((Presion_cilindro!O196+Presion_cilindro!O197)/2)</f>
        <v>1.5427003911678527</v>
      </c>
      <c r="N205" s="27">
        <f>N204*(Presion_cilindro!O196/Presion_cilindro!O197)^Presion_cilindro!$B$9+10*(Presion_cilindro!$B$9-1)*Presion_cilindro!$B$33*(IF(Presion_cilindro!N197&gt;(-N$4+Presion_cilindro!$B$34),1-EXP(-Presion_cilindro!$B$16*((Presion_cilindro!N197-(-N$4+Presion_cilindro!$B$34))/Presion_cilindro!$B$35)^(Presion_cilindro!$B$17+1)),0)-IF(Presion_cilindro!N196&gt;(-N$4+Presion_cilindro!$B$34),1-EXP(-Presion_cilindro!$B$16*((Presion_cilindro!N196-(-N$4+Presion_cilindro!$B$34))/Presion_cilindro!$B$35)^(Presion_cilindro!$B$17+1)),0))/((Presion_cilindro!O196+Presion_cilindro!O197)/2)</f>
        <v>1.5427003911678527</v>
      </c>
    </row>
    <row r="206" spans="1:14" x14ac:dyDescent="0.25">
      <c r="A206" s="21">
        <f>Presion_cilindro!N198</f>
        <v>-83</v>
      </c>
      <c r="B206" s="27">
        <f>B205*(Presion_cilindro!O197/Presion_cilindro!O198)^Presion_cilindro!$B$9+10*(Presion_cilindro!$B$9-1)*Presion_cilindro!$B$33*(IF(Presion_cilindro!N198&gt;(-B$4+Presion_cilindro!$B$34),1-EXP(-Presion_cilindro!$B$16*((Presion_cilindro!N198-(-B$4+Presion_cilindro!$B$34))/Presion_cilindro!$B$35)^(Presion_cilindro!$B$17+1)),0)-IF(Presion_cilindro!N197&gt;(-B$4+Presion_cilindro!$B$34),1-EXP(-Presion_cilindro!$B$16*((Presion_cilindro!N197-(-B$4+Presion_cilindro!$B$34))/Presion_cilindro!$B$35)^(Presion_cilindro!$B$17+1)),0))/((Presion_cilindro!O197+Presion_cilindro!O198)/2)</f>
        <v>1.557511569117523</v>
      </c>
      <c r="C206" s="27">
        <f>C205*(Presion_cilindro!O197/Presion_cilindro!O198)^Presion_cilindro!$B$9+10*(Presion_cilindro!$B$9-1)*Presion_cilindro!$B$33*(IF(Presion_cilindro!N198&gt;(-C$4+Presion_cilindro!$B$34),1-EXP(-Presion_cilindro!$B$16*((Presion_cilindro!N198-(-C$4+Presion_cilindro!$B$34))/Presion_cilindro!$B$35)^(Presion_cilindro!$B$17+1)),0)-IF(Presion_cilindro!N197&gt;(-C$4+Presion_cilindro!$B$34),1-EXP(-Presion_cilindro!$B$16*((Presion_cilindro!N197-(-C$4+Presion_cilindro!$B$34))/Presion_cilindro!$B$35)^(Presion_cilindro!$B$17+1)),0))/((Presion_cilindro!O197+Presion_cilindro!O198)/2)</f>
        <v>1.557511569117523</v>
      </c>
      <c r="D206" s="27">
        <f>D205*(Presion_cilindro!O197/Presion_cilindro!O198)^Presion_cilindro!$B$9+10*(Presion_cilindro!$B$9-1)*Presion_cilindro!$B$33*(IF(Presion_cilindro!N198&gt;(-D$4+Presion_cilindro!$B$34),1-EXP(-Presion_cilindro!$B$16*((Presion_cilindro!N198-(-D$4+Presion_cilindro!$B$34))/Presion_cilindro!$B$35)^(Presion_cilindro!$B$17+1)),0)-IF(Presion_cilindro!N197&gt;(-D$4+Presion_cilindro!$B$34),1-EXP(-Presion_cilindro!$B$16*((Presion_cilindro!N197-(-D$4+Presion_cilindro!$B$34))/Presion_cilindro!$B$35)^(Presion_cilindro!$B$17+1)),0))/((Presion_cilindro!O197+Presion_cilindro!O198)/2)</f>
        <v>1.557511569117523</v>
      </c>
      <c r="E206" s="27">
        <f>E205*(Presion_cilindro!O197/Presion_cilindro!O198)^Presion_cilindro!$B$9+10*(Presion_cilindro!$B$9-1)*Presion_cilindro!$B$33*(IF(Presion_cilindro!N198&gt;(-E$4+Presion_cilindro!$B$34),1-EXP(-Presion_cilindro!$B$16*((Presion_cilindro!N198-(-E$4+Presion_cilindro!$B$34))/Presion_cilindro!$B$35)^(Presion_cilindro!$B$17+1)),0)-IF(Presion_cilindro!N197&gt;(-E$4+Presion_cilindro!$B$34),1-EXP(-Presion_cilindro!$B$16*((Presion_cilindro!N197-(-E$4+Presion_cilindro!$B$34))/Presion_cilindro!$B$35)^(Presion_cilindro!$B$17+1)),0))/((Presion_cilindro!O197+Presion_cilindro!O198)/2)</f>
        <v>1.557511569117523</v>
      </c>
      <c r="F206" s="27">
        <f>F205*(Presion_cilindro!O197/Presion_cilindro!O198)^Presion_cilindro!$B$9+10*(Presion_cilindro!$B$9-1)*Presion_cilindro!$B$33*(IF(Presion_cilindro!N198&gt;(-F$4+Presion_cilindro!$B$34),1-EXP(-Presion_cilindro!$B$16*((Presion_cilindro!N198-(-F$4+Presion_cilindro!$B$34))/Presion_cilindro!$B$35)^(Presion_cilindro!$B$17+1)),0)-IF(Presion_cilindro!N197&gt;(-F$4+Presion_cilindro!$B$34),1-EXP(-Presion_cilindro!$B$16*((Presion_cilindro!N197-(-F$4+Presion_cilindro!$B$34))/Presion_cilindro!$B$35)^(Presion_cilindro!$B$17+1)),0))/((Presion_cilindro!O197+Presion_cilindro!O198)/2)</f>
        <v>1.557511569117523</v>
      </c>
      <c r="G206" s="27">
        <f>G205*(Presion_cilindro!O197/Presion_cilindro!O198)^Presion_cilindro!$B$9+10*(Presion_cilindro!$B$9-1)*Presion_cilindro!$B$33*(IF(Presion_cilindro!N198&gt;(-G$4+Presion_cilindro!$B$34),1-EXP(-Presion_cilindro!$B$16*((Presion_cilindro!N198-(-G$4+Presion_cilindro!$B$34))/Presion_cilindro!$B$35)^(Presion_cilindro!$B$17+1)),0)-IF(Presion_cilindro!N197&gt;(-G$4+Presion_cilindro!$B$34),1-EXP(-Presion_cilindro!$B$16*((Presion_cilindro!N197-(-G$4+Presion_cilindro!$B$34))/Presion_cilindro!$B$35)^(Presion_cilindro!$B$17+1)),0))/((Presion_cilindro!O197+Presion_cilindro!O198)/2)</f>
        <v>1.557511569117523</v>
      </c>
      <c r="H206" s="27">
        <f>H205*(Presion_cilindro!O197/Presion_cilindro!O198)^Presion_cilindro!$B$9+10*(Presion_cilindro!$B$9-1)*Presion_cilindro!$B$33*(IF(Presion_cilindro!N198&gt;(-H$4+Presion_cilindro!$B$34),1-EXP(-Presion_cilindro!$B$16*((Presion_cilindro!N198-(-H$4+Presion_cilindro!$B$34))/Presion_cilindro!$B$35)^(Presion_cilindro!$B$17+1)),0)-IF(Presion_cilindro!N197&gt;(-H$4+Presion_cilindro!$B$34),1-EXP(-Presion_cilindro!$B$16*((Presion_cilindro!N197-(-H$4+Presion_cilindro!$B$34))/Presion_cilindro!$B$35)^(Presion_cilindro!$B$17+1)),0))/((Presion_cilindro!O197+Presion_cilindro!O198)/2)</f>
        <v>1.557511569117523</v>
      </c>
      <c r="I206" s="27">
        <f>I205*(Presion_cilindro!O197/Presion_cilindro!O198)^Presion_cilindro!$B$9+10*(Presion_cilindro!$B$9-1)*Presion_cilindro!$B$33*(IF(Presion_cilindro!N198&gt;(-I$4+Presion_cilindro!$B$34),1-EXP(-Presion_cilindro!$B$16*((Presion_cilindro!N198-(-I$4+Presion_cilindro!$B$34))/Presion_cilindro!$B$35)^(Presion_cilindro!$B$17+1)),0)-IF(Presion_cilindro!N197&gt;(-I$4+Presion_cilindro!$B$34),1-EXP(-Presion_cilindro!$B$16*((Presion_cilindro!N197-(-I$4+Presion_cilindro!$B$34))/Presion_cilindro!$B$35)^(Presion_cilindro!$B$17+1)),0))/((Presion_cilindro!O197+Presion_cilindro!O198)/2)</f>
        <v>1.557511569117523</v>
      </c>
      <c r="J206" s="27">
        <f>J205*(Presion_cilindro!O197/Presion_cilindro!O198)^Presion_cilindro!$B$9+10*(Presion_cilindro!$B$9-1)*Presion_cilindro!$B$33*(IF(Presion_cilindro!N198&gt;(-J$4+Presion_cilindro!$B$34),1-EXP(-Presion_cilindro!$B$16*((Presion_cilindro!N198-(-J$4+Presion_cilindro!$B$34))/Presion_cilindro!$B$35)^(Presion_cilindro!$B$17+1)),0)-IF(Presion_cilindro!N197&gt;(-J$4+Presion_cilindro!$B$34),1-EXP(-Presion_cilindro!$B$16*((Presion_cilindro!N197-(-J$4+Presion_cilindro!$B$34))/Presion_cilindro!$B$35)^(Presion_cilindro!$B$17+1)),0))/((Presion_cilindro!O197+Presion_cilindro!O198)/2)</f>
        <v>1.557511569117523</v>
      </c>
      <c r="K206" s="27">
        <f>K205*(Presion_cilindro!O197/Presion_cilindro!O198)^Presion_cilindro!$B$9+10*(Presion_cilindro!$B$9-1)*Presion_cilindro!$B$33*(IF(Presion_cilindro!N198&gt;(-K$4+Presion_cilindro!$B$34),1-EXP(-Presion_cilindro!$B$16*((Presion_cilindro!N198-(-K$4+Presion_cilindro!$B$34))/Presion_cilindro!$B$35)^(Presion_cilindro!$B$17+1)),0)-IF(Presion_cilindro!N197&gt;(-K$4+Presion_cilindro!$B$34),1-EXP(-Presion_cilindro!$B$16*((Presion_cilindro!N197-(-K$4+Presion_cilindro!$B$34))/Presion_cilindro!$B$35)^(Presion_cilindro!$B$17+1)),0))/((Presion_cilindro!O197+Presion_cilindro!O198)/2)</f>
        <v>1.557511569117523</v>
      </c>
      <c r="L206" s="27">
        <f>L205*(Presion_cilindro!O197/Presion_cilindro!O198)^Presion_cilindro!$B$9+10*(Presion_cilindro!$B$9-1)*Presion_cilindro!$B$33*(IF(Presion_cilindro!N198&gt;(-L$4+Presion_cilindro!$B$34),1-EXP(-Presion_cilindro!$B$16*((Presion_cilindro!N198-(-L$4+Presion_cilindro!$B$34))/Presion_cilindro!$B$35)^(Presion_cilindro!$B$17+1)),0)-IF(Presion_cilindro!N197&gt;(-L$4+Presion_cilindro!$B$34),1-EXP(-Presion_cilindro!$B$16*((Presion_cilindro!N197-(-L$4+Presion_cilindro!$B$34))/Presion_cilindro!$B$35)^(Presion_cilindro!$B$17+1)),0))/((Presion_cilindro!O197+Presion_cilindro!O198)/2)</f>
        <v>1.557511569117523</v>
      </c>
      <c r="M206" s="27">
        <f>M205*(Presion_cilindro!O197/Presion_cilindro!O198)^Presion_cilindro!$B$9+10*(Presion_cilindro!$B$9-1)*Presion_cilindro!$B$33*(IF(Presion_cilindro!N198&gt;(-M$4+Presion_cilindro!$B$34),1-EXP(-Presion_cilindro!$B$16*((Presion_cilindro!N198-(-M$4+Presion_cilindro!$B$34))/Presion_cilindro!$B$35)^(Presion_cilindro!$B$17+1)),0)-IF(Presion_cilindro!N197&gt;(-M$4+Presion_cilindro!$B$34),1-EXP(-Presion_cilindro!$B$16*((Presion_cilindro!N197-(-M$4+Presion_cilindro!$B$34))/Presion_cilindro!$B$35)^(Presion_cilindro!$B$17+1)),0))/((Presion_cilindro!O197+Presion_cilindro!O198)/2)</f>
        <v>1.557511569117523</v>
      </c>
      <c r="N206" s="27">
        <f>N205*(Presion_cilindro!O197/Presion_cilindro!O198)^Presion_cilindro!$B$9+10*(Presion_cilindro!$B$9-1)*Presion_cilindro!$B$33*(IF(Presion_cilindro!N198&gt;(-N$4+Presion_cilindro!$B$34),1-EXP(-Presion_cilindro!$B$16*((Presion_cilindro!N198-(-N$4+Presion_cilindro!$B$34))/Presion_cilindro!$B$35)^(Presion_cilindro!$B$17+1)),0)-IF(Presion_cilindro!N197&gt;(-N$4+Presion_cilindro!$B$34),1-EXP(-Presion_cilindro!$B$16*((Presion_cilindro!N197-(-N$4+Presion_cilindro!$B$34))/Presion_cilindro!$B$35)^(Presion_cilindro!$B$17+1)),0))/((Presion_cilindro!O197+Presion_cilindro!O198)/2)</f>
        <v>1.557511569117523</v>
      </c>
    </row>
    <row r="207" spans="1:14" x14ac:dyDescent="0.25">
      <c r="A207" s="21">
        <f>Presion_cilindro!N199</f>
        <v>-82.5</v>
      </c>
      <c r="B207" s="27">
        <f>B206*(Presion_cilindro!O198/Presion_cilindro!O199)^Presion_cilindro!$B$9+10*(Presion_cilindro!$B$9-1)*Presion_cilindro!$B$33*(IF(Presion_cilindro!N199&gt;(-B$4+Presion_cilindro!$B$34),1-EXP(-Presion_cilindro!$B$16*((Presion_cilindro!N199-(-B$4+Presion_cilindro!$B$34))/Presion_cilindro!$B$35)^(Presion_cilindro!$B$17+1)),0)-IF(Presion_cilindro!N198&gt;(-B$4+Presion_cilindro!$B$34),1-EXP(-Presion_cilindro!$B$16*((Presion_cilindro!N198-(-B$4+Presion_cilindro!$B$34))/Presion_cilindro!$B$35)^(Presion_cilindro!$B$17+1)),0))/((Presion_cilindro!O198+Presion_cilindro!O199)/2)</f>
        <v>1.5725951897228105</v>
      </c>
      <c r="C207" s="27">
        <f>C206*(Presion_cilindro!O198/Presion_cilindro!O199)^Presion_cilindro!$B$9+10*(Presion_cilindro!$B$9-1)*Presion_cilindro!$B$33*(IF(Presion_cilindro!N199&gt;(-C$4+Presion_cilindro!$B$34),1-EXP(-Presion_cilindro!$B$16*((Presion_cilindro!N199-(-C$4+Presion_cilindro!$B$34))/Presion_cilindro!$B$35)^(Presion_cilindro!$B$17+1)),0)-IF(Presion_cilindro!N198&gt;(-C$4+Presion_cilindro!$B$34),1-EXP(-Presion_cilindro!$B$16*((Presion_cilindro!N198-(-C$4+Presion_cilindro!$B$34))/Presion_cilindro!$B$35)^(Presion_cilindro!$B$17+1)),0))/((Presion_cilindro!O198+Presion_cilindro!O199)/2)</f>
        <v>1.5725951897228105</v>
      </c>
      <c r="D207" s="27">
        <f>D206*(Presion_cilindro!O198/Presion_cilindro!O199)^Presion_cilindro!$B$9+10*(Presion_cilindro!$B$9-1)*Presion_cilindro!$B$33*(IF(Presion_cilindro!N199&gt;(-D$4+Presion_cilindro!$B$34),1-EXP(-Presion_cilindro!$B$16*((Presion_cilindro!N199-(-D$4+Presion_cilindro!$B$34))/Presion_cilindro!$B$35)^(Presion_cilindro!$B$17+1)),0)-IF(Presion_cilindro!N198&gt;(-D$4+Presion_cilindro!$B$34),1-EXP(-Presion_cilindro!$B$16*((Presion_cilindro!N198-(-D$4+Presion_cilindro!$B$34))/Presion_cilindro!$B$35)^(Presion_cilindro!$B$17+1)),0))/((Presion_cilindro!O198+Presion_cilindro!O199)/2)</f>
        <v>1.5725951897228105</v>
      </c>
      <c r="E207" s="27">
        <f>E206*(Presion_cilindro!O198/Presion_cilindro!O199)^Presion_cilindro!$B$9+10*(Presion_cilindro!$B$9-1)*Presion_cilindro!$B$33*(IF(Presion_cilindro!N199&gt;(-E$4+Presion_cilindro!$B$34),1-EXP(-Presion_cilindro!$B$16*((Presion_cilindro!N199-(-E$4+Presion_cilindro!$B$34))/Presion_cilindro!$B$35)^(Presion_cilindro!$B$17+1)),0)-IF(Presion_cilindro!N198&gt;(-E$4+Presion_cilindro!$B$34),1-EXP(-Presion_cilindro!$B$16*((Presion_cilindro!N198-(-E$4+Presion_cilindro!$B$34))/Presion_cilindro!$B$35)^(Presion_cilindro!$B$17+1)),0))/((Presion_cilindro!O198+Presion_cilindro!O199)/2)</f>
        <v>1.5725951897228105</v>
      </c>
      <c r="F207" s="27">
        <f>F206*(Presion_cilindro!O198/Presion_cilindro!O199)^Presion_cilindro!$B$9+10*(Presion_cilindro!$B$9-1)*Presion_cilindro!$B$33*(IF(Presion_cilindro!N199&gt;(-F$4+Presion_cilindro!$B$34),1-EXP(-Presion_cilindro!$B$16*((Presion_cilindro!N199-(-F$4+Presion_cilindro!$B$34))/Presion_cilindro!$B$35)^(Presion_cilindro!$B$17+1)),0)-IF(Presion_cilindro!N198&gt;(-F$4+Presion_cilindro!$B$34),1-EXP(-Presion_cilindro!$B$16*((Presion_cilindro!N198-(-F$4+Presion_cilindro!$B$34))/Presion_cilindro!$B$35)^(Presion_cilindro!$B$17+1)),0))/((Presion_cilindro!O198+Presion_cilindro!O199)/2)</f>
        <v>1.5725951897228105</v>
      </c>
      <c r="G207" s="27">
        <f>G206*(Presion_cilindro!O198/Presion_cilindro!O199)^Presion_cilindro!$B$9+10*(Presion_cilindro!$B$9-1)*Presion_cilindro!$B$33*(IF(Presion_cilindro!N199&gt;(-G$4+Presion_cilindro!$B$34),1-EXP(-Presion_cilindro!$B$16*((Presion_cilindro!N199-(-G$4+Presion_cilindro!$B$34))/Presion_cilindro!$B$35)^(Presion_cilindro!$B$17+1)),0)-IF(Presion_cilindro!N198&gt;(-G$4+Presion_cilindro!$B$34),1-EXP(-Presion_cilindro!$B$16*((Presion_cilindro!N198-(-G$4+Presion_cilindro!$B$34))/Presion_cilindro!$B$35)^(Presion_cilindro!$B$17+1)),0))/((Presion_cilindro!O198+Presion_cilindro!O199)/2)</f>
        <v>1.5725951897228105</v>
      </c>
      <c r="H207" s="27">
        <f>H206*(Presion_cilindro!O198/Presion_cilindro!O199)^Presion_cilindro!$B$9+10*(Presion_cilindro!$B$9-1)*Presion_cilindro!$B$33*(IF(Presion_cilindro!N199&gt;(-H$4+Presion_cilindro!$B$34),1-EXP(-Presion_cilindro!$B$16*((Presion_cilindro!N199-(-H$4+Presion_cilindro!$B$34))/Presion_cilindro!$B$35)^(Presion_cilindro!$B$17+1)),0)-IF(Presion_cilindro!N198&gt;(-H$4+Presion_cilindro!$B$34),1-EXP(-Presion_cilindro!$B$16*((Presion_cilindro!N198-(-H$4+Presion_cilindro!$B$34))/Presion_cilindro!$B$35)^(Presion_cilindro!$B$17+1)),0))/((Presion_cilindro!O198+Presion_cilindro!O199)/2)</f>
        <v>1.5725951897228105</v>
      </c>
      <c r="I207" s="27">
        <f>I206*(Presion_cilindro!O198/Presion_cilindro!O199)^Presion_cilindro!$B$9+10*(Presion_cilindro!$B$9-1)*Presion_cilindro!$B$33*(IF(Presion_cilindro!N199&gt;(-I$4+Presion_cilindro!$B$34),1-EXP(-Presion_cilindro!$B$16*((Presion_cilindro!N199-(-I$4+Presion_cilindro!$B$34))/Presion_cilindro!$B$35)^(Presion_cilindro!$B$17+1)),0)-IF(Presion_cilindro!N198&gt;(-I$4+Presion_cilindro!$B$34),1-EXP(-Presion_cilindro!$B$16*((Presion_cilindro!N198-(-I$4+Presion_cilindro!$B$34))/Presion_cilindro!$B$35)^(Presion_cilindro!$B$17+1)),0))/((Presion_cilindro!O198+Presion_cilindro!O199)/2)</f>
        <v>1.5725951897228105</v>
      </c>
      <c r="J207" s="27">
        <f>J206*(Presion_cilindro!O198/Presion_cilindro!O199)^Presion_cilindro!$B$9+10*(Presion_cilindro!$B$9-1)*Presion_cilindro!$B$33*(IF(Presion_cilindro!N199&gt;(-J$4+Presion_cilindro!$B$34),1-EXP(-Presion_cilindro!$B$16*((Presion_cilindro!N199-(-J$4+Presion_cilindro!$B$34))/Presion_cilindro!$B$35)^(Presion_cilindro!$B$17+1)),0)-IF(Presion_cilindro!N198&gt;(-J$4+Presion_cilindro!$B$34),1-EXP(-Presion_cilindro!$B$16*((Presion_cilindro!N198-(-J$4+Presion_cilindro!$B$34))/Presion_cilindro!$B$35)^(Presion_cilindro!$B$17+1)),0))/((Presion_cilindro!O198+Presion_cilindro!O199)/2)</f>
        <v>1.5725951897228105</v>
      </c>
      <c r="K207" s="27">
        <f>K206*(Presion_cilindro!O198/Presion_cilindro!O199)^Presion_cilindro!$B$9+10*(Presion_cilindro!$B$9-1)*Presion_cilindro!$B$33*(IF(Presion_cilindro!N199&gt;(-K$4+Presion_cilindro!$B$34),1-EXP(-Presion_cilindro!$B$16*((Presion_cilindro!N199-(-K$4+Presion_cilindro!$B$34))/Presion_cilindro!$B$35)^(Presion_cilindro!$B$17+1)),0)-IF(Presion_cilindro!N198&gt;(-K$4+Presion_cilindro!$B$34),1-EXP(-Presion_cilindro!$B$16*((Presion_cilindro!N198-(-K$4+Presion_cilindro!$B$34))/Presion_cilindro!$B$35)^(Presion_cilindro!$B$17+1)),0))/((Presion_cilindro!O198+Presion_cilindro!O199)/2)</f>
        <v>1.5725951897228105</v>
      </c>
      <c r="L207" s="27">
        <f>L206*(Presion_cilindro!O198/Presion_cilindro!O199)^Presion_cilindro!$B$9+10*(Presion_cilindro!$B$9-1)*Presion_cilindro!$B$33*(IF(Presion_cilindro!N199&gt;(-L$4+Presion_cilindro!$B$34),1-EXP(-Presion_cilindro!$B$16*((Presion_cilindro!N199-(-L$4+Presion_cilindro!$B$34))/Presion_cilindro!$B$35)^(Presion_cilindro!$B$17+1)),0)-IF(Presion_cilindro!N198&gt;(-L$4+Presion_cilindro!$B$34),1-EXP(-Presion_cilindro!$B$16*((Presion_cilindro!N198-(-L$4+Presion_cilindro!$B$34))/Presion_cilindro!$B$35)^(Presion_cilindro!$B$17+1)),0))/((Presion_cilindro!O198+Presion_cilindro!O199)/2)</f>
        <v>1.5725951897228105</v>
      </c>
      <c r="M207" s="27">
        <f>M206*(Presion_cilindro!O198/Presion_cilindro!O199)^Presion_cilindro!$B$9+10*(Presion_cilindro!$B$9-1)*Presion_cilindro!$B$33*(IF(Presion_cilindro!N199&gt;(-M$4+Presion_cilindro!$B$34),1-EXP(-Presion_cilindro!$B$16*((Presion_cilindro!N199-(-M$4+Presion_cilindro!$B$34))/Presion_cilindro!$B$35)^(Presion_cilindro!$B$17+1)),0)-IF(Presion_cilindro!N198&gt;(-M$4+Presion_cilindro!$B$34),1-EXP(-Presion_cilindro!$B$16*((Presion_cilindro!N198-(-M$4+Presion_cilindro!$B$34))/Presion_cilindro!$B$35)^(Presion_cilindro!$B$17+1)),0))/((Presion_cilindro!O198+Presion_cilindro!O199)/2)</f>
        <v>1.5725951897228105</v>
      </c>
      <c r="N207" s="27">
        <f>N206*(Presion_cilindro!O198/Presion_cilindro!O199)^Presion_cilindro!$B$9+10*(Presion_cilindro!$B$9-1)*Presion_cilindro!$B$33*(IF(Presion_cilindro!N199&gt;(-N$4+Presion_cilindro!$B$34),1-EXP(-Presion_cilindro!$B$16*((Presion_cilindro!N199-(-N$4+Presion_cilindro!$B$34))/Presion_cilindro!$B$35)^(Presion_cilindro!$B$17+1)),0)-IF(Presion_cilindro!N198&gt;(-N$4+Presion_cilindro!$B$34),1-EXP(-Presion_cilindro!$B$16*((Presion_cilindro!N198-(-N$4+Presion_cilindro!$B$34))/Presion_cilindro!$B$35)^(Presion_cilindro!$B$17+1)),0))/((Presion_cilindro!O198+Presion_cilindro!O199)/2)</f>
        <v>1.5725951897228105</v>
      </c>
    </row>
    <row r="208" spans="1:14" x14ac:dyDescent="0.25">
      <c r="A208" s="21">
        <f>Presion_cilindro!N200</f>
        <v>-82</v>
      </c>
      <c r="B208" s="27">
        <f>B207*(Presion_cilindro!O199/Presion_cilindro!O200)^Presion_cilindro!$B$9+10*(Presion_cilindro!$B$9-1)*Presion_cilindro!$B$33*(IF(Presion_cilindro!N200&gt;(-B$4+Presion_cilindro!$B$34),1-EXP(-Presion_cilindro!$B$16*((Presion_cilindro!N200-(-B$4+Presion_cilindro!$B$34))/Presion_cilindro!$B$35)^(Presion_cilindro!$B$17+1)),0)-IF(Presion_cilindro!N199&gt;(-B$4+Presion_cilindro!$B$34),1-EXP(-Presion_cilindro!$B$16*((Presion_cilindro!N199-(-B$4+Presion_cilindro!$B$34))/Presion_cilindro!$B$35)^(Presion_cilindro!$B$17+1)),0))/((Presion_cilindro!O199+Presion_cilindro!O200)/2)</f>
        <v>1.58795716291778</v>
      </c>
      <c r="C208" s="27">
        <f>C207*(Presion_cilindro!O199/Presion_cilindro!O200)^Presion_cilindro!$B$9+10*(Presion_cilindro!$B$9-1)*Presion_cilindro!$B$33*(IF(Presion_cilindro!N200&gt;(-C$4+Presion_cilindro!$B$34),1-EXP(-Presion_cilindro!$B$16*((Presion_cilindro!N200-(-C$4+Presion_cilindro!$B$34))/Presion_cilindro!$B$35)^(Presion_cilindro!$B$17+1)),0)-IF(Presion_cilindro!N199&gt;(-C$4+Presion_cilindro!$B$34),1-EXP(-Presion_cilindro!$B$16*((Presion_cilindro!N199-(-C$4+Presion_cilindro!$B$34))/Presion_cilindro!$B$35)^(Presion_cilindro!$B$17+1)),0))/((Presion_cilindro!O199+Presion_cilindro!O200)/2)</f>
        <v>1.58795716291778</v>
      </c>
      <c r="D208" s="27">
        <f>D207*(Presion_cilindro!O199/Presion_cilindro!O200)^Presion_cilindro!$B$9+10*(Presion_cilindro!$B$9-1)*Presion_cilindro!$B$33*(IF(Presion_cilindro!N200&gt;(-D$4+Presion_cilindro!$B$34),1-EXP(-Presion_cilindro!$B$16*((Presion_cilindro!N200-(-D$4+Presion_cilindro!$B$34))/Presion_cilindro!$B$35)^(Presion_cilindro!$B$17+1)),0)-IF(Presion_cilindro!N199&gt;(-D$4+Presion_cilindro!$B$34),1-EXP(-Presion_cilindro!$B$16*((Presion_cilindro!N199-(-D$4+Presion_cilindro!$B$34))/Presion_cilindro!$B$35)^(Presion_cilindro!$B$17+1)),0))/((Presion_cilindro!O199+Presion_cilindro!O200)/2)</f>
        <v>1.58795716291778</v>
      </c>
      <c r="E208" s="27">
        <f>E207*(Presion_cilindro!O199/Presion_cilindro!O200)^Presion_cilindro!$B$9+10*(Presion_cilindro!$B$9-1)*Presion_cilindro!$B$33*(IF(Presion_cilindro!N200&gt;(-E$4+Presion_cilindro!$B$34),1-EXP(-Presion_cilindro!$B$16*((Presion_cilindro!N200-(-E$4+Presion_cilindro!$B$34))/Presion_cilindro!$B$35)^(Presion_cilindro!$B$17+1)),0)-IF(Presion_cilindro!N199&gt;(-E$4+Presion_cilindro!$B$34),1-EXP(-Presion_cilindro!$B$16*((Presion_cilindro!N199-(-E$4+Presion_cilindro!$B$34))/Presion_cilindro!$B$35)^(Presion_cilindro!$B$17+1)),0))/((Presion_cilindro!O199+Presion_cilindro!O200)/2)</f>
        <v>1.58795716291778</v>
      </c>
      <c r="F208" s="27">
        <f>F207*(Presion_cilindro!O199/Presion_cilindro!O200)^Presion_cilindro!$B$9+10*(Presion_cilindro!$B$9-1)*Presion_cilindro!$B$33*(IF(Presion_cilindro!N200&gt;(-F$4+Presion_cilindro!$B$34),1-EXP(-Presion_cilindro!$B$16*((Presion_cilindro!N200-(-F$4+Presion_cilindro!$B$34))/Presion_cilindro!$B$35)^(Presion_cilindro!$B$17+1)),0)-IF(Presion_cilindro!N199&gt;(-F$4+Presion_cilindro!$B$34),1-EXP(-Presion_cilindro!$B$16*((Presion_cilindro!N199-(-F$4+Presion_cilindro!$B$34))/Presion_cilindro!$B$35)^(Presion_cilindro!$B$17+1)),0))/((Presion_cilindro!O199+Presion_cilindro!O200)/2)</f>
        <v>1.58795716291778</v>
      </c>
      <c r="G208" s="27">
        <f>G207*(Presion_cilindro!O199/Presion_cilindro!O200)^Presion_cilindro!$B$9+10*(Presion_cilindro!$B$9-1)*Presion_cilindro!$B$33*(IF(Presion_cilindro!N200&gt;(-G$4+Presion_cilindro!$B$34),1-EXP(-Presion_cilindro!$B$16*((Presion_cilindro!N200-(-G$4+Presion_cilindro!$B$34))/Presion_cilindro!$B$35)^(Presion_cilindro!$B$17+1)),0)-IF(Presion_cilindro!N199&gt;(-G$4+Presion_cilindro!$B$34),1-EXP(-Presion_cilindro!$B$16*((Presion_cilindro!N199-(-G$4+Presion_cilindro!$B$34))/Presion_cilindro!$B$35)^(Presion_cilindro!$B$17+1)),0))/((Presion_cilindro!O199+Presion_cilindro!O200)/2)</f>
        <v>1.58795716291778</v>
      </c>
      <c r="H208" s="27">
        <f>H207*(Presion_cilindro!O199/Presion_cilindro!O200)^Presion_cilindro!$B$9+10*(Presion_cilindro!$B$9-1)*Presion_cilindro!$B$33*(IF(Presion_cilindro!N200&gt;(-H$4+Presion_cilindro!$B$34),1-EXP(-Presion_cilindro!$B$16*((Presion_cilindro!N200-(-H$4+Presion_cilindro!$B$34))/Presion_cilindro!$B$35)^(Presion_cilindro!$B$17+1)),0)-IF(Presion_cilindro!N199&gt;(-H$4+Presion_cilindro!$B$34),1-EXP(-Presion_cilindro!$B$16*((Presion_cilindro!N199-(-H$4+Presion_cilindro!$B$34))/Presion_cilindro!$B$35)^(Presion_cilindro!$B$17+1)),0))/((Presion_cilindro!O199+Presion_cilindro!O200)/2)</f>
        <v>1.58795716291778</v>
      </c>
      <c r="I208" s="27">
        <f>I207*(Presion_cilindro!O199/Presion_cilindro!O200)^Presion_cilindro!$B$9+10*(Presion_cilindro!$B$9-1)*Presion_cilindro!$B$33*(IF(Presion_cilindro!N200&gt;(-I$4+Presion_cilindro!$B$34),1-EXP(-Presion_cilindro!$B$16*((Presion_cilindro!N200-(-I$4+Presion_cilindro!$B$34))/Presion_cilindro!$B$35)^(Presion_cilindro!$B$17+1)),0)-IF(Presion_cilindro!N199&gt;(-I$4+Presion_cilindro!$B$34),1-EXP(-Presion_cilindro!$B$16*((Presion_cilindro!N199-(-I$4+Presion_cilindro!$B$34))/Presion_cilindro!$B$35)^(Presion_cilindro!$B$17+1)),0))/((Presion_cilindro!O199+Presion_cilindro!O200)/2)</f>
        <v>1.58795716291778</v>
      </c>
      <c r="J208" s="27">
        <f>J207*(Presion_cilindro!O199/Presion_cilindro!O200)^Presion_cilindro!$B$9+10*(Presion_cilindro!$B$9-1)*Presion_cilindro!$B$33*(IF(Presion_cilindro!N200&gt;(-J$4+Presion_cilindro!$B$34),1-EXP(-Presion_cilindro!$B$16*((Presion_cilindro!N200-(-J$4+Presion_cilindro!$B$34))/Presion_cilindro!$B$35)^(Presion_cilindro!$B$17+1)),0)-IF(Presion_cilindro!N199&gt;(-J$4+Presion_cilindro!$B$34),1-EXP(-Presion_cilindro!$B$16*((Presion_cilindro!N199-(-J$4+Presion_cilindro!$B$34))/Presion_cilindro!$B$35)^(Presion_cilindro!$B$17+1)),0))/((Presion_cilindro!O199+Presion_cilindro!O200)/2)</f>
        <v>1.58795716291778</v>
      </c>
      <c r="K208" s="27">
        <f>K207*(Presion_cilindro!O199/Presion_cilindro!O200)^Presion_cilindro!$B$9+10*(Presion_cilindro!$B$9-1)*Presion_cilindro!$B$33*(IF(Presion_cilindro!N200&gt;(-K$4+Presion_cilindro!$B$34),1-EXP(-Presion_cilindro!$B$16*((Presion_cilindro!N200-(-K$4+Presion_cilindro!$B$34))/Presion_cilindro!$B$35)^(Presion_cilindro!$B$17+1)),0)-IF(Presion_cilindro!N199&gt;(-K$4+Presion_cilindro!$B$34),1-EXP(-Presion_cilindro!$B$16*((Presion_cilindro!N199-(-K$4+Presion_cilindro!$B$34))/Presion_cilindro!$B$35)^(Presion_cilindro!$B$17+1)),0))/((Presion_cilindro!O199+Presion_cilindro!O200)/2)</f>
        <v>1.58795716291778</v>
      </c>
      <c r="L208" s="27">
        <f>L207*(Presion_cilindro!O199/Presion_cilindro!O200)^Presion_cilindro!$B$9+10*(Presion_cilindro!$B$9-1)*Presion_cilindro!$B$33*(IF(Presion_cilindro!N200&gt;(-L$4+Presion_cilindro!$B$34),1-EXP(-Presion_cilindro!$B$16*((Presion_cilindro!N200-(-L$4+Presion_cilindro!$B$34))/Presion_cilindro!$B$35)^(Presion_cilindro!$B$17+1)),0)-IF(Presion_cilindro!N199&gt;(-L$4+Presion_cilindro!$B$34),1-EXP(-Presion_cilindro!$B$16*((Presion_cilindro!N199-(-L$4+Presion_cilindro!$B$34))/Presion_cilindro!$B$35)^(Presion_cilindro!$B$17+1)),0))/((Presion_cilindro!O199+Presion_cilindro!O200)/2)</f>
        <v>1.58795716291778</v>
      </c>
      <c r="M208" s="27">
        <f>M207*(Presion_cilindro!O199/Presion_cilindro!O200)^Presion_cilindro!$B$9+10*(Presion_cilindro!$B$9-1)*Presion_cilindro!$B$33*(IF(Presion_cilindro!N200&gt;(-M$4+Presion_cilindro!$B$34),1-EXP(-Presion_cilindro!$B$16*((Presion_cilindro!N200-(-M$4+Presion_cilindro!$B$34))/Presion_cilindro!$B$35)^(Presion_cilindro!$B$17+1)),0)-IF(Presion_cilindro!N199&gt;(-M$4+Presion_cilindro!$B$34),1-EXP(-Presion_cilindro!$B$16*((Presion_cilindro!N199-(-M$4+Presion_cilindro!$B$34))/Presion_cilindro!$B$35)^(Presion_cilindro!$B$17+1)),0))/((Presion_cilindro!O199+Presion_cilindro!O200)/2)</f>
        <v>1.58795716291778</v>
      </c>
      <c r="N208" s="27">
        <f>N207*(Presion_cilindro!O199/Presion_cilindro!O200)^Presion_cilindro!$B$9+10*(Presion_cilindro!$B$9-1)*Presion_cilindro!$B$33*(IF(Presion_cilindro!N200&gt;(-N$4+Presion_cilindro!$B$34),1-EXP(-Presion_cilindro!$B$16*((Presion_cilindro!N200-(-N$4+Presion_cilindro!$B$34))/Presion_cilindro!$B$35)^(Presion_cilindro!$B$17+1)),0)-IF(Presion_cilindro!N199&gt;(-N$4+Presion_cilindro!$B$34),1-EXP(-Presion_cilindro!$B$16*((Presion_cilindro!N199-(-N$4+Presion_cilindro!$B$34))/Presion_cilindro!$B$35)^(Presion_cilindro!$B$17+1)),0))/((Presion_cilindro!O199+Presion_cilindro!O200)/2)</f>
        <v>1.58795716291778</v>
      </c>
    </row>
    <row r="209" spans="1:14" x14ac:dyDescent="0.25">
      <c r="A209" s="21">
        <f>Presion_cilindro!N201</f>
        <v>-81.5</v>
      </c>
      <c r="B209" s="27">
        <f>B208*(Presion_cilindro!O200/Presion_cilindro!O201)^Presion_cilindro!$B$9+10*(Presion_cilindro!$B$9-1)*Presion_cilindro!$B$33*(IF(Presion_cilindro!N201&gt;(-B$4+Presion_cilindro!$B$34),1-EXP(-Presion_cilindro!$B$16*((Presion_cilindro!N201-(-B$4+Presion_cilindro!$B$34))/Presion_cilindro!$B$35)^(Presion_cilindro!$B$17+1)),0)-IF(Presion_cilindro!N200&gt;(-B$4+Presion_cilindro!$B$34),1-EXP(-Presion_cilindro!$B$16*((Presion_cilindro!N200-(-B$4+Presion_cilindro!$B$34))/Presion_cilindro!$B$35)^(Presion_cilindro!$B$17+1)),0))/((Presion_cilindro!O200+Presion_cilindro!O201)/2)</f>
        <v>1.6036035481234829</v>
      </c>
      <c r="C209" s="27">
        <f>C208*(Presion_cilindro!O200/Presion_cilindro!O201)^Presion_cilindro!$B$9+10*(Presion_cilindro!$B$9-1)*Presion_cilindro!$B$33*(IF(Presion_cilindro!N201&gt;(-C$4+Presion_cilindro!$B$34),1-EXP(-Presion_cilindro!$B$16*((Presion_cilindro!N201-(-C$4+Presion_cilindro!$B$34))/Presion_cilindro!$B$35)^(Presion_cilindro!$B$17+1)),0)-IF(Presion_cilindro!N200&gt;(-C$4+Presion_cilindro!$B$34),1-EXP(-Presion_cilindro!$B$16*((Presion_cilindro!N200-(-C$4+Presion_cilindro!$B$34))/Presion_cilindro!$B$35)^(Presion_cilindro!$B$17+1)),0))/((Presion_cilindro!O200+Presion_cilindro!O201)/2)</f>
        <v>1.6036035481234829</v>
      </c>
      <c r="D209" s="27">
        <f>D208*(Presion_cilindro!O200/Presion_cilindro!O201)^Presion_cilindro!$B$9+10*(Presion_cilindro!$B$9-1)*Presion_cilindro!$B$33*(IF(Presion_cilindro!N201&gt;(-D$4+Presion_cilindro!$B$34),1-EXP(-Presion_cilindro!$B$16*((Presion_cilindro!N201-(-D$4+Presion_cilindro!$B$34))/Presion_cilindro!$B$35)^(Presion_cilindro!$B$17+1)),0)-IF(Presion_cilindro!N200&gt;(-D$4+Presion_cilindro!$B$34),1-EXP(-Presion_cilindro!$B$16*((Presion_cilindro!N200-(-D$4+Presion_cilindro!$B$34))/Presion_cilindro!$B$35)^(Presion_cilindro!$B$17+1)),0))/((Presion_cilindro!O200+Presion_cilindro!O201)/2)</f>
        <v>1.6036035481234829</v>
      </c>
      <c r="E209" s="27">
        <f>E208*(Presion_cilindro!O200/Presion_cilindro!O201)^Presion_cilindro!$B$9+10*(Presion_cilindro!$B$9-1)*Presion_cilindro!$B$33*(IF(Presion_cilindro!N201&gt;(-E$4+Presion_cilindro!$B$34),1-EXP(-Presion_cilindro!$B$16*((Presion_cilindro!N201-(-E$4+Presion_cilindro!$B$34))/Presion_cilindro!$B$35)^(Presion_cilindro!$B$17+1)),0)-IF(Presion_cilindro!N200&gt;(-E$4+Presion_cilindro!$B$34),1-EXP(-Presion_cilindro!$B$16*((Presion_cilindro!N200-(-E$4+Presion_cilindro!$B$34))/Presion_cilindro!$B$35)^(Presion_cilindro!$B$17+1)),0))/((Presion_cilindro!O200+Presion_cilindro!O201)/2)</f>
        <v>1.6036035481234829</v>
      </c>
      <c r="F209" s="27">
        <f>F208*(Presion_cilindro!O200/Presion_cilindro!O201)^Presion_cilindro!$B$9+10*(Presion_cilindro!$B$9-1)*Presion_cilindro!$B$33*(IF(Presion_cilindro!N201&gt;(-F$4+Presion_cilindro!$B$34),1-EXP(-Presion_cilindro!$B$16*((Presion_cilindro!N201-(-F$4+Presion_cilindro!$B$34))/Presion_cilindro!$B$35)^(Presion_cilindro!$B$17+1)),0)-IF(Presion_cilindro!N200&gt;(-F$4+Presion_cilindro!$B$34),1-EXP(-Presion_cilindro!$B$16*((Presion_cilindro!N200-(-F$4+Presion_cilindro!$B$34))/Presion_cilindro!$B$35)^(Presion_cilindro!$B$17+1)),0))/((Presion_cilindro!O200+Presion_cilindro!O201)/2)</f>
        <v>1.6036035481234829</v>
      </c>
      <c r="G209" s="27">
        <f>G208*(Presion_cilindro!O200/Presion_cilindro!O201)^Presion_cilindro!$B$9+10*(Presion_cilindro!$B$9-1)*Presion_cilindro!$B$33*(IF(Presion_cilindro!N201&gt;(-G$4+Presion_cilindro!$B$34),1-EXP(-Presion_cilindro!$B$16*((Presion_cilindro!N201-(-G$4+Presion_cilindro!$B$34))/Presion_cilindro!$B$35)^(Presion_cilindro!$B$17+1)),0)-IF(Presion_cilindro!N200&gt;(-G$4+Presion_cilindro!$B$34),1-EXP(-Presion_cilindro!$B$16*((Presion_cilindro!N200-(-G$4+Presion_cilindro!$B$34))/Presion_cilindro!$B$35)^(Presion_cilindro!$B$17+1)),0))/((Presion_cilindro!O200+Presion_cilindro!O201)/2)</f>
        <v>1.6036035481234829</v>
      </c>
      <c r="H209" s="27">
        <f>H208*(Presion_cilindro!O200/Presion_cilindro!O201)^Presion_cilindro!$B$9+10*(Presion_cilindro!$B$9-1)*Presion_cilindro!$B$33*(IF(Presion_cilindro!N201&gt;(-H$4+Presion_cilindro!$B$34),1-EXP(-Presion_cilindro!$B$16*((Presion_cilindro!N201-(-H$4+Presion_cilindro!$B$34))/Presion_cilindro!$B$35)^(Presion_cilindro!$B$17+1)),0)-IF(Presion_cilindro!N200&gt;(-H$4+Presion_cilindro!$B$34),1-EXP(-Presion_cilindro!$B$16*((Presion_cilindro!N200-(-H$4+Presion_cilindro!$B$34))/Presion_cilindro!$B$35)^(Presion_cilindro!$B$17+1)),0))/((Presion_cilindro!O200+Presion_cilindro!O201)/2)</f>
        <v>1.6036035481234829</v>
      </c>
      <c r="I209" s="27">
        <f>I208*(Presion_cilindro!O200/Presion_cilindro!O201)^Presion_cilindro!$B$9+10*(Presion_cilindro!$B$9-1)*Presion_cilindro!$B$33*(IF(Presion_cilindro!N201&gt;(-I$4+Presion_cilindro!$B$34),1-EXP(-Presion_cilindro!$B$16*((Presion_cilindro!N201-(-I$4+Presion_cilindro!$B$34))/Presion_cilindro!$B$35)^(Presion_cilindro!$B$17+1)),0)-IF(Presion_cilindro!N200&gt;(-I$4+Presion_cilindro!$B$34),1-EXP(-Presion_cilindro!$B$16*((Presion_cilindro!N200-(-I$4+Presion_cilindro!$B$34))/Presion_cilindro!$B$35)^(Presion_cilindro!$B$17+1)),0))/((Presion_cilindro!O200+Presion_cilindro!O201)/2)</f>
        <v>1.6036035481234829</v>
      </c>
      <c r="J209" s="27">
        <f>J208*(Presion_cilindro!O200/Presion_cilindro!O201)^Presion_cilindro!$B$9+10*(Presion_cilindro!$B$9-1)*Presion_cilindro!$B$33*(IF(Presion_cilindro!N201&gt;(-J$4+Presion_cilindro!$B$34),1-EXP(-Presion_cilindro!$B$16*((Presion_cilindro!N201-(-J$4+Presion_cilindro!$B$34))/Presion_cilindro!$B$35)^(Presion_cilindro!$B$17+1)),0)-IF(Presion_cilindro!N200&gt;(-J$4+Presion_cilindro!$B$34),1-EXP(-Presion_cilindro!$B$16*((Presion_cilindro!N200-(-J$4+Presion_cilindro!$B$34))/Presion_cilindro!$B$35)^(Presion_cilindro!$B$17+1)),0))/((Presion_cilindro!O200+Presion_cilindro!O201)/2)</f>
        <v>1.6036035481234829</v>
      </c>
      <c r="K209" s="27">
        <f>K208*(Presion_cilindro!O200/Presion_cilindro!O201)^Presion_cilindro!$B$9+10*(Presion_cilindro!$B$9-1)*Presion_cilindro!$B$33*(IF(Presion_cilindro!N201&gt;(-K$4+Presion_cilindro!$B$34),1-EXP(-Presion_cilindro!$B$16*((Presion_cilindro!N201-(-K$4+Presion_cilindro!$B$34))/Presion_cilindro!$B$35)^(Presion_cilindro!$B$17+1)),0)-IF(Presion_cilindro!N200&gt;(-K$4+Presion_cilindro!$B$34),1-EXP(-Presion_cilindro!$B$16*((Presion_cilindro!N200-(-K$4+Presion_cilindro!$B$34))/Presion_cilindro!$B$35)^(Presion_cilindro!$B$17+1)),0))/((Presion_cilindro!O200+Presion_cilindro!O201)/2)</f>
        <v>1.6036035481234829</v>
      </c>
      <c r="L209" s="27">
        <f>L208*(Presion_cilindro!O200/Presion_cilindro!O201)^Presion_cilindro!$B$9+10*(Presion_cilindro!$B$9-1)*Presion_cilindro!$B$33*(IF(Presion_cilindro!N201&gt;(-L$4+Presion_cilindro!$B$34),1-EXP(-Presion_cilindro!$B$16*((Presion_cilindro!N201-(-L$4+Presion_cilindro!$B$34))/Presion_cilindro!$B$35)^(Presion_cilindro!$B$17+1)),0)-IF(Presion_cilindro!N200&gt;(-L$4+Presion_cilindro!$B$34),1-EXP(-Presion_cilindro!$B$16*((Presion_cilindro!N200-(-L$4+Presion_cilindro!$B$34))/Presion_cilindro!$B$35)^(Presion_cilindro!$B$17+1)),0))/((Presion_cilindro!O200+Presion_cilindro!O201)/2)</f>
        <v>1.6036035481234829</v>
      </c>
      <c r="M209" s="27">
        <f>M208*(Presion_cilindro!O200/Presion_cilindro!O201)^Presion_cilindro!$B$9+10*(Presion_cilindro!$B$9-1)*Presion_cilindro!$B$33*(IF(Presion_cilindro!N201&gt;(-M$4+Presion_cilindro!$B$34),1-EXP(-Presion_cilindro!$B$16*((Presion_cilindro!N201-(-M$4+Presion_cilindro!$B$34))/Presion_cilindro!$B$35)^(Presion_cilindro!$B$17+1)),0)-IF(Presion_cilindro!N200&gt;(-M$4+Presion_cilindro!$B$34),1-EXP(-Presion_cilindro!$B$16*((Presion_cilindro!N200-(-M$4+Presion_cilindro!$B$34))/Presion_cilindro!$B$35)^(Presion_cilindro!$B$17+1)),0))/((Presion_cilindro!O200+Presion_cilindro!O201)/2)</f>
        <v>1.6036035481234829</v>
      </c>
      <c r="N209" s="27">
        <f>N208*(Presion_cilindro!O200/Presion_cilindro!O201)^Presion_cilindro!$B$9+10*(Presion_cilindro!$B$9-1)*Presion_cilindro!$B$33*(IF(Presion_cilindro!N201&gt;(-N$4+Presion_cilindro!$B$34),1-EXP(-Presion_cilindro!$B$16*((Presion_cilindro!N201-(-N$4+Presion_cilindro!$B$34))/Presion_cilindro!$B$35)^(Presion_cilindro!$B$17+1)),0)-IF(Presion_cilindro!N200&gt;(-N$4+Presion_cilindro!$B$34),1-EXP(-Presion_cilindro!$B$16*((Presion_cilindro!N200-(-N$4+Presion_cilindro!$B$34))/Presion_cilindro!$B$35)^(Presion_cilindro!$B$17+1)),0))/((Presion_cilindro!O200+Presion_cilindro!O201)/2)</f>
        <v>1.6036035481234829</v>
      </c>
    </row>
    <row r="210" spans="1:14" x14ac:dyDescent="0.25">
      <c r="A210" s="21">
        <f>Presion_cilindro!N202</f>
        <v>-81</v>
      </c>
      <c r="B210" s="27">
        <f>B209*(Presion_cilindro!O201/Presion_cilindro!O202)^Presion_cilindro!$B$9+10*(Presion_cilindro!$B$9-1)*Presion_cilindro!$B$33*(IF(Presion_cilindro!N202&gt;(-B$4+Presion_cilindro!$B$34),1-EXP(-Presion_cilindro!$B$16*((Presion_cilindro!N202-(-B$4+Presion_cilindro!$B$34))/Presion_cilindro!$B$35)^(Presion_cilindro!$B$17+1)),0)-IF(Presion_cilindro!N201&gt;(-B$4+Presion_cilindro!$B$34),1-EXP(-Presion_cilindro!$B$16*((Presion_cilindro!N201-(-B$4+Presion_cilindro!$B$34))/Presion_cilindro!$B$35)^(Presion_cilindro!$B$17+1)),0))/((Presion_cilindro!O201+Presion_cilindro!O202)/2)</f>
        <v>1.6195405583485831</v>
      </c>
      <c r="C210" s="27">
        <f>C209*(Presion_cilindro!O201/Presion_cilindro!O202)^Presion_cilindro!$B$9+10*(Presion_cilindro!$B$9-1)*Presion_cilindro!$B$33*(IF(Presion_cilindro!N202&gt;(-C$4+Presion_cilindro!$B$34),1-EXP(-Presion_cilindro!$B$16*((Presion_cilindro!N202-(-C$4+Presion_cilindro!$B$34))/Presion_cilindro!$B$35)^(Presion_cilindro!$B$17+1)),0)-IF(Presion_cilindro!N201&gt;(-C$4+Presion_cilindro!$B$34),1-EXP(-Presion_cilindro!$B$16*((Presion_cilindro!N201-(-C$4+Presion_cilindro!$B$34))/Presion_cilindro!$B$35)^(Presion_cilindro!$B$17+1)),0))/((Presion_cilindro!O201+Presion_cilindro!O202)/2)</f>
        <v>1.6195405583485831</v>
      </c>
      <c r="D210" s="27">
        <f>D209*(Presion_cilindro!O201/Presion_cilindro!O202)^Presion_cilindro!$B$9+10*(Presion_cilindro!$B$9-1)*Presion_cilindro!$B$33*(IF(Presion_cilindro!N202&gt;(-D$4+Presion_cilindro!$B$34),1-EXP(-Presion_cilindro!$B$16*((Presion_cilindro!N202-(-D$4+Presion_cilindro!$B$34))/Presion_cilindro!$B$35)^(Presion_cilindro!$B$17+1)),0)-IF(Presion_cilindro!N201&gt;(-D$4+Presion_cilindro!$B$34),1-EXP(-Presion_cilindro!$B$16*((Presion_cilindro!N201-(-D$4+Presion_cilindro!$B$34))/Presion_cilindro!$B$35)^(Presion_cilindro!$B$17+1)),0))/((Presion_cilindro!O201+Presion_cilindro!O202)/2)</f>
        <v>1.6195405583485831</v>
      </c>
      <c r="E210" s="27">
        <f>E209*(Presion_cilindro!O201/Presion_cilindro!O202)^Presion_cilindro!$B$9+10*(Presion_cilindro!$B$9-1)*Presion_cilindro!$B$33*(IF(Presion_cilindro!N202&gt;(-E$4+Presion_cilindro!$B$34),1-EXP(-Presion_cilindro!$B$16*((Presion_cilindro!N202-(-E$4+Presion_cilindro!$B$34))/Presion_cilindro!$B$35)^(Presion_cilindro!$B$17+1)),0)-IF(Presion_cilindro!N201&gt;(-E$4+Presion_cilindro!$B$34),1-EXP(-Presion_cilindro!$B$16*((Presion_cilindro!N201-(-E$4+Presion_cilindro!$B$34))/Presion_cilindro!$B$35)^(Presion_cilindro!$B$17+1)),0))/((Presion_cilindro!O201+Presion_cilindro!O202)/2)</f>
        <v>1.6195405583485831</v>
      </c>
      <c r="F210" s="27">
        <f>F209*(Presion_cilindro!O201/Presion_cilindro!O202)^Presion_cilindro!$B$9+10*(Presion_cilindro!$B$9-1)*Presion_cilindro!$B$33*(IF(Presion_cilindro!N202&gt;(-F$4+Presion_cilindro!$B$34),1-EXP(-Presion_cilindro!$B$16*((Presion_cilindro!N202-(-F$4+Presion_cilindro!$B$34))/Presion_cilindro!$B$35)^(Presion_cilindro!$B$17+1)),0)-IF(Presion_cilindro!N201&gt;(-F$4+Presion_cilindro!$B$34),1-EXP(-Presion_cilindro!$B$16*((Presion_cilindro!N201-(-F$4+Presion_cilindro!$B$34))/Presion_cilindro!$B$35)^(Presion_cilindro!$B$17+1)),0))/((Presion_cilindro!O201+Presion_cilindro!O202)/2)</f>
        <v>1.6195405583485831</v>
      </c>
      <c r="G210" s="27">
        <f>G209*(Presion_cilindro!O201/Presion_cilindro!O202)^Presion_cilindro!$B$9+10*(Presion_cilindro!$B$9-1)*Presion_cilindro!$B$33*(IF(Presion_cilindro!N202&gt;(-G$4+Presion_cilindro!$B$34),1-EXP(-Presion_cilindro!$B$16*((Presion_cilindro!N202-(-G$4+Presion_cilindro!$B$34))/Presion_cilindro!$B$35)^(Presion_cilindro!$B$17+1)),0)-IF(Presion_cilindro!N201&gt;(-G$4+Presion_cilindro!$B$34),1-EXP(-Presion_cilindro!$B$16*((Presion_cilindro!N201-(-G$4+Presion_cilindro!$B$34))/Presion_cilindro!$B$35)^(Presion_cilindro!$B$17+1)),0))/((Presion_cilindro!O201+Presion_cilindro!O202)/2)</f>
        <v>1.6195405583485831</v>
      </c>
      <c r="H210" s="27">
        <f>H209*(Presion_cilindro!O201/Presion_cilindro!O202)^Presion_cilindro!$B$9+10*(Presion_cilindro!$B$9-1)*Presion_cilindro!$B$33*(IF(Presion_cilindro!N202&gt;(-H$4+Presion_cilindro!$B$34),1-EXP(-Presion_cilindro!$B$16*((Presion_cilindro!N202-(-H$4+Presion_cilindro!$B$34))/Presion_cilindro!$B$35)^(Presion_cilindro!$B$17+1)),0)-IF(Presion_cilindro!N201&gt;(-H$4+Presion_cilindro!$B$34),1-EXP(-Presion_cilindro!$B$16*((Presion_cilindro!N201-(-H$4+Presion_cilindro!$B$34))/Presion_cilindro!$B$35)^(Presion_cilindro!$B$17+1)),0))/((Presion_cilindro!O201+Presion_cilindro!O202)/2)</f>
        <v>1.6195405583485831</v>
      </c>
      <c r="I210" s="27">
        <f>I209*(Presion_cilindro!O201/Presion_cilindro!O202)^Presion_cilindro!$B$9+10*(Presion_cilindro!$B$9-1)*Presion_cilindro!$B$33*(IF(Presion_cilindro!N202&gt;(-I$4+Presion_cilindro!$B$34),1-EXP(-Presion_cilindro!$B$16*((Presion_cilindro!N202-(-I$4+Presion_cilindro!$B$34))/Presion_cilindro!$B$35)^(Presion_cilindro!$B$17+1)),0)-IF(Presion_cilindro!N201&gt;(-I$4+Presion_cilindro!$B$34),1-EXP(-Presion_cilindro!$B$16*((Presion_cilindro!N201-(-I$4+Presion_cilindro!$B$34))/Presion_cilindro!$B$35)^(Presion_cilindro!$B$17+1)),0))/((Presion_cilindro!O201+Presion_cilindro!O202)/2)</f>
        <v>1.6195405583485831</v>
      </c>
      <c r="J210" s="27">
        <f>J209*(Presion_cilindro!O201/Presion_cilindro!O202)^Presion_cilindro!$B$9+10*(Presion_cilindro!$B$9-1)*Presion_cilindro!$B$33*(IF(Presion_cilindro!N202&gt;(-J$4+Presion_cilindro!$B$34),1-EXP(-Presion_cilindro!$B$16*((Presion_cilindro!N202-(-J$4+Presion_cilindro!$B$34))/Presion_cilindro!$B$35)^(Presion_cilindro!$B$17+1)),0)-IF(Presion_cilindro!N201&gt;(-J$4+Presion_cilindro!$B$34),1-EXP(-Presion_cilindro!$B$16*((Presion_cilindro!N201-(-J$4+Presion_cilindro!$B$34))/Presion_cilindro!$B$35)^(Presion_cilindro!$B$17+1)),0))/((Presion_cilindro!O201+Presion_cilindro!O202)/2)</f>
        <v>1.6195405583485831</v>
      </c>
      <c r="K210" s="27">
        <f>K209*(Presion_cilindro!O201/Presion_cilindro!O202)^Presion_cilindro!$B$9+10*(Presion_cilindro!$B$9-1)*Presion_cilindro!$B$33*(IF(Presion_cilindro!N202&gt;(-K$4+Presion_cilindro!$B$34),1-EXP(-Presion_cilindro!$B$16*((Presion_cilindro!N202-(-K$4+Presion_cilindro!$B$34))/Presion_cilindro!$B$35)^(Presion_cilindro!$B$17+1)),0)-IF(Presion_cilindro!N201&gt;(-K$4+Presion_cilindro!$B$34),1-EXP(-Presion_cilindro!$B$16*((Presion_cilindro!N201-(-K$4+Presion_cilindro!$B$34))/Presion_cilindro!$B$35)^(Presion_cilindro!$B$17+1)),0))/((Presion_cilindro!O201+Presion_cilindro!O202)/2)</f>
        <v>1.6195405583485831</v>
      </c>
      <c r="L210" s="27">
        <f>L209*(Presion_cilindro!O201/Presion_cilindro!O202)^Presion_cilindro!$B$9+10*(Presion_cilindro!$B$9-1)*Presion_cilindro!$B$33*(IF(Presion_cilindro!N202&gt;(-L$4+Presion_cilindro!$B$34),1-EXP(-Presion_cilindro!$B$16*((Presion_cilindro!N202-(-L$4+Presion_cilindro!$B$34))/Presion_cilindro!$B$35)^(Presion_cilindro!$B$17+1)),0)-IF(Presion_cilindro!N201&gt;(-L$4+Presion_cilindro!$B$34),1-EXP(-Presion_cilindro!$B$16*((Presion_cilindro!N201-(-L$4+Presion_cilindro!$B$34))/Presion_cilindro!$B$35)^(Presion_cilindro!$B$17+1)),0))/((Presion_cilindro!O201+Presion_cilindro!O202)/2)</f>
        <v>1.6195405583485831</v>
      </c>
      <c r="M210" s="27">
        <f>M209*(Presion_cilindro!O201/Presion_cilindro!O202)^Presion_cilindro!$B$9+10*(Presion_cilindro!$B$9-1)*Presion_cilindro!$B$33*(IF(Presion_cilindro!N202&gt;(-M$4+Presion_cilindro!$B$34),1-EXP(-Presion_cilindro!$B$16*((Presion_cilindro!N202-(-M$4+Presion_cilindro!$B$34))/Presion_cilindro!$B$35)^(Presion_cilindro!$B$17+1)),0)-IF(Presion_cilindro!N201&gt;(-M$4+Presion_cilindro!$B$34),1-EXP(-Presion_cilindro!$B$16*((Presion_cilindro!N201-(-M$4+Presion_cilindro!$B$34))/Presion_cilindro!$B$35)^(Presion_cilindro!$B$17+1)),0))/((Presion_cilindro!O201+Presion_cilindro!O202)/2)</f>
        <v>1.6195405583485831</v>
      </c>
      <c r="N210" s="27">
        <f>N209*(Presion_cilindro!O201/Presion_cilindro!O202)^Presion_cilindro!$B$9+10*(Presion_cilindro!$B$9-1)*Presion_cilindro!$B$33*(IF(Presion_cilindro!N202&gt;(-N$4+Presion_cilindro!$B$34),1-EXP(-Presion_cilindro!$B$16*((Presion_cilindro!N202-(-N$4+Presion_cilindro!$B$34))/Presion_cilindro!$B$35)^(Presion_cilindro!$B$17+1)),0)-IF(Presion_cilindro!N201&gt;(-N$4+Presion_cilindro!$B$34),1-EXP(-Presion_cilindro!$B$16*((Presion_cilindro!N201-(-N$4+Presion_cilindro!$B$34))/Presion_cilindro!$B$35)^(Presion_cilindro!$B$17+1)),0))/((Presion_cilindro!O201+Presion_cilindro!O202)/2)</f>
        <v>1.6195405583485831</v>
      </c>
    </row>
    <row r="211" spans="1:14" x14ac:dyDescent="0.25">
      <c r="A211" s="21">
        <f>Presion_cilindro!N203</f>
        <v>-80.5</v>
      </c>
      <c r="B211" s="27">
        <f>B210*(Presion_cilindro!O202/Presion_cilindro!O203)^Presion_cilindro!$B$9+10*(Presion_cilindro!$B$9-1)*Presion_cilindro!$B$33*(IF(Presion_cilindro!N203&gt;(-B$4+Presion_cilindro!$B$34),1-EXP(-Presion_cilindro!$B$16*((Presion_cilindro!N203-(-B$4+Presion_cilindro!$B$34))/Presion_cilindro!$B$35)^(Presion_cilindro!$B$17+1)),0)-IF(Presion_cilindro!N202&gt;(-B$4+Presion_cilindro!$B$34),1-EXP(-Presion_cilindro!$B$16*((Presion_cilindro!N202-(-B$4+Presion_cilindro!$B$34))/Presion_cilindro!$B$35)^(Presion_cilindro!$B$17+1)),0))/((Presion_cilindro!O202+Presion_cilindro!O203)/2)</f>
        <v>1.6357745644033881</v>
      </c>
      <c r="C211" s="27">
        <f>C210*(Presion_cilindro!O202/Presion_cilindro!O203)^Presion_cilindro!$B$9+10*(Presion_cilindro!$B$9-1)*Presion_cilindro!$B$33*(IF(Presion_cilindro!N203&gt;(-C$4+Presion_cilindro!$B$34),1-EXP(-Presion_cilindro!$B$16*((Presion_cilindro!N203-(-C$4+Presion_cilindro!$B$34))/Presion_cilindro!$B$35)^(Presion_cilindro!$B$17+1)),0)-IF(Presion_cilindro!N202&gt;(-C$4+Presion_cilindro!$B$34),1-EXP(-Presion_cilindro!$B$16*((Presion_cilindro!N202-(-C$4+Presion_cilindro!$B$34))/Presion_cilindro!$B$35)^(Presion_cilindro!$B$17+1)),0))/((Presion_cilindro!O202+Presion_cilindro!O203)/2)</f>
        <v>1.6357745644033881</v>
      </c>
      <c r="D211" s="27">
        <f>D210*(Presion_cilindro!O202/Presion_cilindro!O203)^Presion_cilindro!$B$9+10*(Presion_cilindro!$B$9-1)*Presion_cilindro!$B$33*(IF(Presion_cilindro!N203&gt;(-D$4+Presion_cilindro!$B$34),1-EXP(-Presion_cilindro!$B$16*((Presion_cilindro!N203-(-D$4+Presion_cilindro!$B$34))/Presion_cilindro!$B$35)^(Presion_cilindro!$B$17+1)),0)-IF(Presion_cilindro!N202&gt;(-D$4+Presion_cilindro!$B$34),1-EXP(-Presion_cilindro!$B$16*((Presion_cilindro!N202-(-D$4+Presion_cilindro!$B$34))/Presion_cilindro!$B$35)^(Presion_cilindro!$B$17+1)),0))/((Presion_cilindro!O202+Presion_cilindro!O203)/2)</f>
        <v>1.6357745644033881</v>
      </c>
      <c r="E211" s="27">
        <f>E210*(Presion_cilindro!O202/Presion_cilindro!O203)^Presion_cilindro!$B$9+10*(Presion_cilindro!$B$9-1)*Presion_cilindro!$B$33*(IF(Presion_cilindro!N203&gt;(-E$4+Presion_cilindro!$B$34),1-EXP(-Presion_cilindro!$B$16*((Presion_cilindro!N203-(-E$4+Presion_cilindro!$B$34))/Presion_cilindro!$B$35)^(Presion_cilindro!$B$17+1)),0)-IF(Presion_cilindro!N202&gt;(-E$4+Presion_cilindro!$B$34),1-EXP(-Presion_cilindro!$B$16*((Presion_cilindro!N202-(-E$4+Presion_cilindro!$B$34))/Presion_cilindro!$B$35)^(Presion_cilindro!$B$17+1)),0))/((Presion_cilindro!O202+Presion_cilindro!O203)/2)</f>
        <v>1.6357745644033881</v>
      </c>
      <c r="F211" s="27">
        <f>F210*(Presion_cilindro!O202/Presion_cilindro!O203)^Presion_cilindro!$B$9+10*(Presion_cilindro!$B$9-1)*Presion_cilindro!$B$33*(IF(Presion_cilindro!N203&gt;(-F$4+Presion_cilindro!$B$34),1-EXP(-Presion_cilindro!$B$16*((Presion_cilindro!N203-(-F$4+Presion_cilindro!$B$34))/Presion_cilindro!$B$35)^(Presion_cilindro!$B$17+1)),0)-IF(Presion_cilindro!N202&gt;(-F$4+Presion_cilindro!$B$34),1-EXP(-Presion_cilindro!$B$16*((Presion_cilindro!N202-(-F$4+Presion_cilindro!$B$34))/Presion_cilindro!$B$35)^(Presion_cilindro!$B$17+1)),0))/((Presion_cilindro!O202+Presion_cilindro!O203)/2)</f>
        <v>1.6357745644033881</v>
      </c>
      <c r="G211" s="27">
        <f>G210*(Presion_cilindro!O202/Presion_cilindro!O203)^Presion_cilindro!$B$9+10*(Presion_cilindro!$B$9-1)*Presion_cilindro!$B$33*(IF(Presion_cilindro!N203&gt;(-G$4+Presion_cilindro!$B$34),1-EXP(-Presion_cilindro!$B$16*((Presion_cilindro!N203-(-G$4+Presion_cilindro!$B$34))/Presion_cilindro!$B$35)^(Presion_cilindro!$B$17+1)),0)-IF(Presion_cilindro!N202&gt;(-G$4+Presion_cilindro!$B$34),1-EXP(-Presion_cilindro!$B$16*((Presion_cilindro!N202-(-G$4+Presion_cilindro!$B$34))/Presion_cilindro!$B$35)^(Presion_cilindro!$B$17+1)),0))/((Presion_cilindro!O202+Presion_cilindro!O203)/2)</f>
        <v>1.6357745644033881</v>
      </c>
      <c r="H211" s="27">
        <f>H210*(Presion_cilindro!O202/Presion_cilindro!O203)^Presion_cilindro!$B$9+10*(Presion_cilindro!$B$9-1)*Presion_cilindro!$B$33*(IF(Presion_cilindro!N203&gt;(-H$4+Presion_cilindro!$B$34),1-EXP(-Presion_cilindro!$B$16*((Presion_cilindro!N203-(-H$4+Presion_cilindro!$B$34))/Presion_cilindro!$B$35)^(Presion_cilindro!$B$17+1)),0)-IF(Presion_cilindro!N202&gt;(-H$4+Presion_cilindro!$B$34),1-EXP(-Presion_cilindro!$B$16*((Presion_cilindro!N202-(-H$4+Presion_cilindro!$B$34))/Presion_cilindro!$B$35)^(Presion_cilindro!$B$17+1)),0))/((Presion_cilindro!O202+Presion_cilindro!O203)/2)</f>
        <v>1.6357745644033881</v>
      </c>
      <c r="I211" s="27">
        <f>I210*(Presion_cilindro!O202/Presion_cilindro!O203)^Presion_cilindro!$B$9+10*(Presion_cilindro!$B$9-1)*Presion_cilindro!$B$33*(IF(Presion_cilindro!N203&gt;(-I$4+Presion_cilindro!$B$34),1-EXP(-Presion_cilindro!$B$16*((Presion_cilindro!N203-(-I$4+Presion_cilindro!$B$34))/Presion_cilindro!$B$35)^(Presion_cilindro!$B$17+1)),0)-IF(Presion_cilindro!N202&gt;(-I$4+Presion_cilindro!$B$34),1-EXP(-Presion_cilindro!$B$16*((Presion_cilindro!N202-(-I$4+Presion_cilindro!$B$34))/Presion_cilindro!$B$35)^(Presion_cilindro!$B$17+1)),0))/((Presion_cilindro!O202+Presion_cilindro!O203)/2)</f>
        <v>1.6357745644033881</v>
      </c>
      <c r="J211" s="27">
        <f>J210*(Presion_cilindro!O202/Presion_cilindro!O203)^Presion_cilindro!$B$9+10*(Presion_cilindro!$B$9-1)*Presion_cilindro!$B$33*(IF(Presion_cilindro!N203&gt;(-J$4+Presion_cilindro!$B$34),1-EXP(-Presion_cilindro!$B$16*((Presion_cilindro!N203-(-J$4+Presion_cilindro!$B$34))/Presion_cilindro!$B$35)^(Presion_cilindro!$B$17+1)),0)-IF(Presion_cilindro!N202&gt;(-J$4+Presion_cilindro!$B$34),1-EXP(-Presion_cilindro!$B$16*((Presion_cilindro!N202-(-J$4+Presion_cilindro!$B$34))/Presion_cilindro!$B$35)^(Presion_cilindro!$B$17+1)),0))/((Presion_cilindro!O202+Presion_cilindro!O203)/2)</f>
        <v>1.6357745644033881</v>
      </c>
      <c r="K211" s="27">
        <f>K210*(Presion_cilindro!O202/Presion_cilindro!O203)^Presion_cilindro!$B$9+10*(Presion_cilindro!$B$9-1)*Presion_cilindro!$B$33*(IF(Presion_cilindro!N203&gt;(-K$4+Presion_cilindro!$B$34),1-EXP(-Presion_cilindro!$B$16*((Presion_cilindro!N203-(-K$4+Presion_cilindro!$B$34))/Presion_cilindro!$B$35)^(Presion_cilindro!$B$17+1)),0)-IF(Presion_cilindro!N202&gt;(-K$4+Presion_cilindro!$B$34),1-EXP(-Presion_cilindro!$B$16*((Presion_cilindro!N202-(-K$4+Presion_cilindro!$B$34))/Presion_cilindro!$B$35)^(Presion_cilindro!$B$17+1)),0))/((Presion_cilindro!O202+Presion_cilindro!O203)/2)</f>
        <v>1.6357745644033881</v>
      </c>
      <c r="L211" s="27">
        <f>L210*(Presion_cilindro!O202/Presion_cilindro!O203)^Presion_cilindro!$B$9+10*(Presion_cilindro!$B$9-1)*Presion_cilindro!$B$33*(IF(Presion_cilindro!N203&gt;(-L$4+Presion_cilindro!$B$34),1-EXP(-Presion_cilindro!$B$16*((Presion_cilindro!N203-(-L$4+Presion_cilindro!$B$34))/Presion_cilindro!$B$35)^(Presion_cilindro!$B$17+1)),0)-IF(Presion_cilindro!N202&gt;(-L$4+Presion_cilindro!$B$34),1-EXP(-Presion_cilindro!$B$16*((Presion_cilindro!N202-(-L$4+Presion_cilindro!$B$34))/Presion_cilindro!$B$35)^(Presion_cilindro!$B$17+1)),0))/((Presion_cilindro!O202+Presion_cilindro!O203)/2)</f>
        <v>1.6357745644033881</v>
      </c>
      <c r="M211" s="27">
        <f>M210*(Presion_cilindro!O202/Presion_cilindro!O203)^Presion_cilindro!$B$9+10*(Presion_cilindro!$B$9-1)*Presion_cilindro!$B$33*(IF(Presion_cilindro!N203&gt;(-M$4+Presion_cilindro!$B$34),1-EXP(-Presion_cilindro!$B$16*((Presion_cilindro!N203-(-M$4+Presion_cilindro!$B$34))/Presion_cilindro!$B$35)^(Presion_cilindro!$B$17+1)),0)-IF(Presion_cilindro!N202&gt;(-M$4+Presion_cilindro!$B$34),1-EXP(-Presion_cilindro!$B$16*((Presion_cilindro!N202-(-M$4+Presion_cilindro!$B$34))/Presion_cilindro!$B$35)^(Presion_cilindro!$B$17+1)),0))/((Presion_cilindro!O202+Presion_cilindro!O203)/2)</f>
        <v>1.6357745644033881</v>
      </c>
      <c r="N211" s="27">
        <f>N210*(Presion_cilindro!O202/Presion_cilindro!O203)^Presion_cilindro!$B$9+10*(Presion_cilindro!$B$9-1)*Presion_cilindro!$B$33*(IF(Presion_cilindro!N203&gt;(-N$4+Presion_cilindro!$B$34),1-EXP(-Presion_cilindro!$B$16*((Presion_cilindro!N203-(-N$4+Presion_cilindro!$B$34))/Presion_cilindro!$B$35)^(Presion_cilindro!$B$17+1)),0)-IF(Presion_cilindro!N202&gt;(-N$4+Presion_cilindro!$B$34),1-EXP(-Presion_cilindro!$B$16*((Presion_cilindro!N202-(-N$4+Presion_cilindro!$B$34))/Presion_cilindro!$B$35)^(Presion_cilindro!$B$17+1)),0))/((Presion_cilindro!O202+Presion_cilindro!O203)/2)</f>
        <v>1.6357745644033881</v>
      </c>
    </row>
    <row r="212" spans="1:14" x14ac:dyDescent="0.25">
      <c r="A212" s="21">
        <f>Presion_cilindro!N204</f>
        <v>-80</v>
      </c>
      <c r="B212" s="27">
        <f>B211*(Presion_cilindro!O203/Presion_cilindro!O204)^Presion_cilindro!$B$9+10*(Presion_cilindro!$B$9-1)*Presion_cilindro!$B$33*(IF(Presion_cilindro!N204&gt;(-B$4+Presion_cilindro!$B$34),1-EXP(-Presion_cilindro!$B$16*((Presion_cilindro!N204-(-B$4+Presion_cilindro!$B$34))/Presion_cilindro!$B$35)^(Presion_cilindro!$B$17+1)),0)-IF(Presion_cilindro!N203&gt;(-B$4+Presion_cilindro!$B$34),1-EXP(-Presion_cilindro!$B$16*((Presion_cilindro!N203-(-B$4+Presion_cilindro!$B$34))/Presion_cilindro!$B$35)^(Presion_cilindro!$B$17+1)),0))/((Presion_cilindro!O203+Presion_cilindro!O204)/2)</f>
        <v>1.6523120992298961</v>
      </c>
      <c r="C212" s="27">
        <f>C211*(Presion_cilindro!O203/Presion_cilindro!O204)^Presion_cilindro!$B$9+10*(Presion_cilindro!$B$9-1)*Presion_cilindro!$B$33*(IF(Presion_cilindro!N204&gt;(-C$4+Presion_cilindro!$B$34),1-EXP(-Presion_cilindro!$B$16*((Presion_cilindro!N204-(-C$4+Presion_cilindro!$B$34))/Presion_cilindro!$B$35)^(Presion_cilindro!$B$17+1)),0)-IF(Presion_cilindro!N203&gt;(-C$4+Presion_cilindro!$B$34),1-EXP(-Presion_cilindro!$B$16*((Presion_cilindro!N203-(-C$4+Presion_cilindro!$B$34))/Presion_cilindro!$B$35)^(Presion_cilindro!$B$17+1)),0))/((Presion_cilindro!O203+Presion_cilindro!O204)/2)</f>
        <v>1.6523120992298961</v>
      </c>
      <c r="D212" s="27">
        <f>D211*(Presion_cilindro!O203/Presion_cilindro!O204)^Presion_cilindro!$B$9+10*(Presion_cilindro!$B$9-1)*Presion_cilindro!$B$33*(IF(Presion_cilindro!N204&gt;(-D$4+Presion_cilindro!$B$34),1-EXP(-Presion_cilindro!$B$16*((Presion_cilindro!N204-(-D$4+Presion_cilindro!$B$34))/Presion_cilindro!$B$35)^(Presion_cilindro!$B$17+1)),0)-IF(Presion_cilindro!N203&gt;(-D$4+Presion_cilindro!$B$34),1-EXP(-Presion_cilindro!$B$16*((Presion_cilindro!N203-(-D$4+Presion_cilindro!$B$34))/Presion_cilindro!$B$35)^(Presion_cilindro!$B$17+1)),0))/((Presion_cilindro!O203+Presion_cilindro!O204)/2)</f>
        <v>1.6523120992298961</v>
      </c>
      <c r="E212" s="27">
        <f>E211*(Presion_cilindro!O203/Presion_cilindro!O204)^Presion_cilindro!$B$9+10*(Presion_cilindro!$B$9-1)*Presion_cilindro!$B$33*(IF(Presion_cilindro!N204&gt;(-E$4+Presion_cilindro!$B$34),1-EXP(-Presion_cilindro!$B$16*((Presion_cilindro!N204-(-E$4+Presion_cilindro!$B$34))/Presion_cilindro!$B$35)^(Presion_cilindro!$B$17+1)),0)-IF(Presion_cilindro!N203&gt;(-E$4+Presion_cilindro!$B$34),1-EXP(-Presion_cilindro!$B$16*((Presion_cilindro!N203-(-E$4+Presion_cilindro!$B$34))/Presion_cilindro!$B$35)^(Presion_cilindro!$B$17+1)),0))/((Presion_cilindro!O203+Presion_cilindro!O204)/2)</f>
        <v>1.6523120992298961</v>
      </c>
      <c r="F212" s="27">
        <f>F211*(Presion_cilindro!O203/Presion_cilindro!O204)^Presion_cilindro!$B$9+10*(Presion_cilindro!$B$9-1)*Presion_cilindro!$B$33*(IF(Presion_cilindro!N204&gt;(-F$4+Presion_cilindro!$B$34),1-EXP(-Presion_cilindro!$B$16*((Presion_cilindro!N204-(-F$4+Presion_cilindro!$B$34))/Presion_cilindro!$B$35)^(Presion_cilindro!$B$17+1)),0)-IF(Presion_cilindro!N203&gt;(-F$4+Presion_cilindro!$B$34),1-EXP(-Presion_cilindro!$B$16*((Presion_cilindro!N203-(-F$4+Presion_cilindro!$B$34))/Presion_cilindro!$B$35)^(Presion_cilindro!$B$17+1)),0))/((Presion_cilindro!O203+Presion_cilindro!O204)/2)</f>
        <v>1.6523120992298961</v>
      </c>
      <c r="G212" s="27">
        <f>G211*(Presion_cilindro!O203/Presion_cilindro!O204)^Presion_cilindro!$B$9+10*(Presion_cilindro!$B$9-1)*Presion_cilindro!$B$33*(IF(Presion_cilindro!N204&gt;(-G$4+Presion_cilindro!$B$34),1-EXP(-Presion_cilindro!$B$16*((Presion_cilindro!N204-(-G$4+Presion_cilindro!$B$34))/Presion_cilindro!$B$35)^(Presion_cilindro!$B$17+1)),0)-IF(Presion_cilindro!N203&gt;(-G$4+Presion_cilindro!$B$34),1-EXP(-Presion_cilindro!$B$16*((Presion_cilindro!N203-(-G$4+Presion_cilindro!$B$34))/Presion_cilindro!$B$35)^(Presion_cilindro!$B$17+1)),0))/((Presion_cilindro!O203+Presion_cilindro!O204)/2)</f>
        <v>1.6523120992298961</v>
      </c>
      <c r="H212" s="27">
        <f>H211*(Presion_cilindro!O203/Presion_cilindro!O204)^Presion_cilindro!$B$9+10*(Presion_cilindro!$B$9-1)*Presion_cilindro!$B$33*(IF(Presion_cilindro!N204&gt;(-H$4+Presion_cilindro!$B$34),1-EXP(-Presion_cilindro!$B$16*((Presion_cilindro!N204-(-H$4+Presion_cilindro!$B$34))/Presion_cilindro!$B$35)^(Presion_cilindro!$B$17+1)),0)-IF(Presion_cilindro!N203&gt;(-H$4+Presion_cilindro!$B$34),1-EXP(-Presion_cilindro!$B$16*((Presion_cilindro!N203-(-H$4+Presion_cilindro!$B$34))/Presion_cilindro!$B$35)^(Presion_cilindro!$B$17+1)),0))/((Presion_cilindro!O203+Presion_cilindro!O204)/2)</f>
        <v>1.6523120992298961</v>
      </c>
      <c r="I212" s="27">
        <f>I211*(Presion_cilindro!O203/Presion_cilindro!O204)^Presion_cilindro!$B$9+10*(Presion_cilindro!$B$9-1)*Presion_cilindro!$B$33*(IF(Presion_cilindro!N204&gt;(-I$4+Presion_cilindro!$B$34),1-EXP(-Presion_cilindro!$B$16*((Presion_cilindro!N204-(-I$4+Presion_cilindro!$B$34))/Presion_cilindro!$B$35)^(Presion_cilindro!$B$17+1)),0)-IF(Presion_cilindro!N203&gt;(-I$4+Presion_cilindro!$B$34),1-EXP(-Presion_cilindro!$B$16*((Presion_cilindro!N203-(-I$4+Presion_cilindro!$B$34))/Presion_cilindro!$B$35)^(Presion_cilindro!$B$17+1)),0))/((Presion_cilindro!O203+Presion_cilindro!O204)/2)</f>
        <v>1.6523120992298961</v>
      </c>
      <c r="J212" s="27">
        <f>J211*(Presion_cilindro!O203/Presion_cilindro!O204)^Presion_cilindro!$B$9+10*(Presion_cilindro!$B$9-1)*Presion_cilindro!$B$33*(IF(Presion_cilindro!N204&gt;(-J$4+Presion_cilindro!$B$34),1-EXP(-Presion_cilindro!$B$16*((Presion_cilindro!N204-(-J$4+Presion_cilindro!$B$34))/Presion_cilindro!$B$35)^(Presion_cilindro!$B$17+1)),0)-IF(Presion_cilindro!N203&gt;(-J$4+Presion_cilindro!$B$34),1-EXP(-Presion_cilindro!$B$16*((Presion_cilindro!N203-(-J$4+Presion_cilindro!$B$34))/Presion_cilindro!$B$35)^(Presion_cilindro!$B$17+1)),0))/((Presion_cilindro!O203+Presion_cilindro!O204)/2)</f>
        <v>1.6523120992298961</v>
      </c>
      <c r="K212" s="27">
        <f>K211*(Presion_cilindro!O203/Presion_cilindro!O204)^Presion_cilindro!$B$9+10*(Presion_cilindro!$B$9-1)*Presion_cilindro!$B$33*(IF(Presion_cilindro!N204&gt;(-K$4+Presion_cilindro!$B$34),1-EXP(-Presion_cilindro!$B$16*((Presion_cilindro!N204-(-K$4+Presion_cilindro!$B$34))/Presion_cilindro!$B$35)^(Presion_cilindro!$B$17+1)),0)-IF(Presion_cilindro!N203&gt;(-K$4+Presion_cilindro!$B$34),1-EXP(-Presion_cilindro!$B$16*((Presion_cilindro!N203-(-K$4+Presion_cilindro!$B$34))/Presion_cilindro!$B$35)^(Presion_cilindro!$B$17+1)),0))/((Presion_cilindro!O203+Presion_cilindro!O204)/2)</f>
        <v>1.6523120992298961</v>
      </c>
      <c r="L212" s="27">
        <f>L211*(Presion_cilindro!O203/Presion_cilindro!O204)^Presion_cilindro!$B$9+10*(Presion_cilindro!$B$9-1)*Presion_cilindro!$B$33*(IF(Presion_cilindro!N204&gt;(-L$4+Presion_cilindro!$B$34),1-EXP(-Presion_cilindro!$B$16*((Presion_cilindro!N204-(-L$4+Presion_cilindro!$B$34))/Presion_cilindro!$B$35)^(Presion_cilindro!$B$17+1)),0)-IF(Presion_cilindro!N203&gt;(-L$4+Presion_cilindro!$B$34),1-EXP(-Presion_cilindro!$B$16*((Presion_cilindro!N203-(-L$4+Presion_cilindro!$B$34))/Presion_cilindro!$B$35)^(Presion_cilindro!$B$17+1)),0))/((Presion_cilindro!O203+Presion_cilindro!O204)/2)</f>
        <v>1.6523120992298961</v>
      </c>
      <c r="M212" s="27">
        <f>M211*(Presion_cilindro!O203/Presion_cilindro!O204)^Presion_cilindro!$B$9+10*(Presion_cilindro!$B$9-1)*Presion_cilindro!$B$33*(IF(Presion_cilindro!N204&gt;(-M$4+Presion_cilindro!$B$34),1-EXP(-Presion_cilindro!$B$16*((Presion_cilindro!N204-(-M$4+Presion_cilindro!$B$34))/Presion_cilindro!$B$35)^(Presion_cilindro!$B$17+1)),0)-IF(Presion_cilindro!N203&gt;(-M$4+Presion_cilindro!$B$34),1-EXP(-Presion_cilindro!$B$16*((Presion_cilindro!N203-(-M$4+Presion_cilindro!$B$34))/Presion_cilindro!$B$35)^(Presion_cilindro!$B$17+1)),0))/((Presion_cilindro!O203+Presion_cilindro!O204)/2)</f>
        <v>1.6523120992298961</v>
      </c>
      <c r="N212" s="27">
        <f>N211*(Presion_cilindro!O203/Presion_cilindro!O204)^Presion_cilindro!$B$9+10*(Presion_cilindro!$B$9-1)*Presion_cilindro!$B$33*(IF(Presion_cilindro!N204&gt;(-N$4+Presion_cilindro!$B$34),1-EXP(-Presion_cilindro!$B$16*((Presion_cilindro!N204-(-N$4+Presion_cilindro!$B$34))/Presion_cilindro!$B$35)^(Presion_cilindro!$B$17+1)),0)-IF(Presion_cilindro!N203&gt;(-N$4+Presion_cilindro!$B$34),1-EXP(-Presion_cilindro!$B$16*((Presion_cilindro!N203-(-N$4+Presion_cilindro!$B$34))/Presion_cilindro!$B$35)^(Presion_cilindro!$B$17+1)),0))/((Presion_cilindro!O203+Presion_cilindro!O204)/2)</f>
        <v>1.6523120992298961</v>
      </c>
    </row>
    <row r="213" spans="1:14" x14ac:dyDescent="0.25">
      <c r="A213" s="21">
        <f>Presion_cilindro!N205</f>
        <v>-79.5</v>
      </c>
      <c r="B213" s="27">
        <f>B212*(Presion_cilindro!O204/Presion_cilindro!O205)^Presion_cilindro!$B$9+10*(Presion_cilindro!$B$9-1)*Presion_cilindro!$B$33*(IF(Presion_cilindro!N205&gt;(-B$4+Presion_cilindro!$B$34),1-EXP(-Presion_cilindro!$B$16*((Presion_cilindro!N205-(-B$4+Presion_cilindro!$B$34))/Presion_cilindro!$B$35)^(Presion_cilindro!$B$17+1)),0)-IF(Presion_cilindro!N204&gt;(-B$4+Presion_cilindro!$B$34),1-EXP(-Presion_cilindro!$B$16*((Presion_cilindro!N204-(-B$4+Presion_cilindro!$B$34))/Presion_cilindro!$B$35)^(Presion_cilindro!$B$17+1)),0))/((Presion_cilindro!O204+Presion_cilindro!O205)/2)</f>
        <v>1.6691598623504647</v>
      </c>
      <c r="C213" s="27">
        <f>C212*(Presion_cilindro!O204/Presion_cilindro!O205)^Presion_cilindro!$B$9+10*(Presion_cilindro!$B$9-1)*Presion_cilindro!$B$33*(IF(Presion_cilindro!N205&gt;(-C$4+Presion_cilindro!$B$34),1-EXP(-Presion_cilindro!$B$16*((Presion_cilindro!N205-(-C$4+Presion_cilindro!$B$34))/Presion_cilindro!$B$35)^(Presion_cilindro!$B$17+1)),0)-IF(Presion_cilindro!N204&gt;(-C$4+Presion_cilindro!$B$34),1-EXP(-Presion_cilindro!$B$16*((Presion_cilindro!N204-(-C$4+Presion_cilindro!$B$34))/Presion_cilindro!$B$35)^(Presion_cilindro!$B$17+1)),0))/((Presion_cilindro!O204+Presion_cilindro!O205)/2)</f>
        <v>1.6691598623504647</v>
      </c>
      <c r="D213" s="27">
        <f>D212*(Presion_cilindro!O204/Presion_cilindro!O205)^Presion_cilindro!$B$9+10*(Presion_cilindro!$B$9-1)*Presion_cilindro!$B$33*(IF(Presion_cilindro!N205&gt;(-D$4+Presion_cilindro!$B$34),1-EXP(-Presion_cilindro!$B$16*((Presion_cilindro!N205-(-D$4+Presion_cilindro!$B$34))/Presion_cilindro!$B$35)^(Presion_cilindro!$B$17+1)),0)-IF(Presion_cilindro!N204&gt;(-D$4+Presion_cilindro!$B$34),1-EXP(-Presion_cilindro!$B$16*((Presion_cilindro!N204-(-D$4+Presion_cilindro!$B$34))/Presion_cilindro!$B$35)^(Presion_cilindro!$B$17+1)),0))/((Presion_cilindro!O204+Presion_cilindro!O205)/2)</f>
        <v>1.6691598623504647</v>
      </c>
      <c r="E213" s="27">
        <f>E212*(Presion_cilindro!O204/Presion_cilindro!O205)^Presion_cilindro!$B$9+10*(Presion_cilindro!$B$9-1)*Presion_cilindro!$B$33*(IF(Presion_cilindro!N205&gt;(-E$4+Presion_cilindro!$B$34),1-EXP(-Presion_cilindro!$B$16*((Presion_cilindro!N205-(-E$4+Presion_cilindro!$B$34))/Presion_cilindro!$B$35)^(Presion_cilindro!$B$17+1)),0)-IF(Presion_cilindro!N204&gt;(-E$4+Presion_cilindro!$B$34),1-EXP(-Presion_cilindro!$B$16*((Presion_cilindro!N204-(-E$4+Presion_cilindro!$B$34))/Presion_cilindro!$B$35)^(Presion_cilindro!$B$17+1)),0))/((Presion_cilindro!O204+Presion_cilindro!O205)/2)</f>
        <v>1.6691598623504647</v>
      </c>
      <c r="F213" s="27">
        <f>F212*(Presion_cilindro!O204/Presion_cilindro!O205)^Presion_cilindro!$B$9+10*(Presion_cilindro!$B$9-1)*Presion_cilindro!$B$33*(IF(Presion_cilindro!N205&gt;(-F$4+Presion_cilindro!$B$34),1-EXP(-Presion_cilindro!$B$16*((Presion_cilindro!N205-(-F$4+Presion_cilindro!$B$34))/Presion_cilindro!$B$35)^(Presion_cilindro!$B$17+1)),0)-IF(Presion_cilindro!N204&gt;(-F$4+Presion_cilindro!$B$34),1-EXP(-Presion_cilindro!$B$16*((Presion_cilindro!N204-(-F$4+Presion_cilindro!$B$34))/Presion_cilindro!$B$35)^(Presion_cilindro!$B$17+1)),0))/((Presion_cilindro!O204+Presion_cilindro!O205)/2)</f>
        <v>1.6691598623504647</v>
      </c>
      <c r="G213" s="27">
        <f>G212*(Presion_cilindro!O204/Presion_cilindro!O205)^Presion_cilindro!$B$9+10*(Presion_cilindro!$B$9-1)*Presion_cilindro!$B$33*(IF(Presion_cilindro!N205&gt;(-G$4+Presion_cilindro!$B$34),1-EXP(-Presion_cilindro!$B$16*((Presion_cilindro!N205-(-G$4+Presion_cilindro!$B$34))/Presion_cilindro!$B$35)^(Presion_cilindro!$B$17+1)),0)-IF(Presion_cilindro!N204&gt;(-G$4+Presion_cilindro!$B$34),1-EXP(-Presion_cilindro!$B$16*((Presion_cilindro!N204-(-G$4+Presion_cilindro!$B$34))/Presion_cilindro!$B$35)^(Presion_cilindro!$B$17+1)),0))/((Presion_cilindro!O204+Presion_cilindro!O205)/2)</f>
        <v>1.6691598623504647</v>
      </c>
      <c r="H213" s="27">
        <f>H212*(Presion_cilindro!O204/Presion_cilindro!O205)^Presion_cilindro!$B$9+10*(Presion_cilindro!$B$9-1)*Presion_cilindro!$B$33*(IF(Presion_cilindro!N205&gt;(-H$4+Presion_cilindro!$B$34),1-EXP(-Presion_cilindro!$B$16*((Presion_cilindro!N205-(-H$4+Presion_cilindro!$B$34))/Presion_cilindro!$B$35)^(Presion_cilindro!$B$17+1)),0)-IF(Presion_cilindro!N204&gt;(-H$4+Presion_cilindro!$B$34),1-EXP(-Presion_cilindro!$B$16*((Presion_cilindro!N204-(-H$4+Presion_cilindro!$B$34))/Presion_cilindro!$B$35)^(Presion_cilindro!$B$17+1)),0))/((Presion_cilindro!O204+Presion_cilindro!O205)/2)</f>
        <v>1.6691598623504647</v>
      </c>
      <c r="I213" s="27">
        <f>I212*(Presion_cilindro!O204/Presion_cilindro!O205)^Presion_cilindro!$B$9+10*(Presion_cilindro!$B$9-1)*Presion_cilindro!$B$33*(IF(Presion_cilindro!N205&gt;(-I$4+Presion_cilindro!$B$34),1-EXP(-Presion_cilindro!$B$16*((Presion_cilindro!N205-(-I$4+Presion_cilindro!$B$34))/Presion_cilindro!$B$35)^(Presion_cilindro!$B$17+1)),0)-IF(Presion_cilindro!N204&gt;(-I$4+Presion_cilindro!$B$34),1-EXP(-Presion_cilindro!$B$16*((Presion_cilindro!N204-(-I$4+Presion_cilindro!$B$34))/Presion_cilindro!$B$35)^(Presion_cilindro!$B$17+1)),0))/((Presion_cilindro!O204+Presion_cilindro!O205)/2)</f>
        <v>1.6691598623504647</v>
      </c>
      <c r="J213" s="27">
        <f>J212*(Presion_cilindro!O204/Presion_cilindro!O205)^Presion_cilindro!$B$9+10*(Presion_cilindro!$B$9-1)*Presion_cilindro!$B$33*(IF(Presion_cilindro!N205&gt;(-J$4+Presion_cilindro!$B$34),1-EXP(-Presion_cilindro!$B$16*((Presion_cilindro!N205-(-J$4+Presion_cilindro!$B$34))/Presion_cilindro!$B$35)^(Presion_cilindro!$B$17+1)),0)-IF(Presion_cilindro!N204&gt;(-J$4+Presion_cilindro!$B$34),1-EXP(-Presion_cilindro!$B$16*((Presion_cilindro!N204-(-J$4+Presion_cilindro!$B$34))/Presion_cilindro!$B$35)^(Presion_cilindro!$B$17+1)),0))/((Presion_cilindro!O204+Presion_cilindro!O205)/2)</f>
        <v>1.6691598623504647</v>
      </c>
      <c r="K213" s="27">
        <f>K212*(Presion_cilindro!O204/Presion_cilindro!O205)^Presion_cilindro!$B$9+10*(Presion_cilindro!$B$9-1)*Presion_cilindro!$B$33*(IF(Presion_cilindro!N205&gt;(-K$4+Presion_cilindro!$B$34),1-EXP(-Presion_cilindro!$B$16*((Presion_cilindro!N205-(-K$4+Presion_cilindro!$B$34))/Presion_cilindro!$B$35)^(Presion_cilindro!$B$17+1)),0)-IF(Presion_cilindro!N204&gt;(-K$4+Presion_cilindro!$B$34),1-EXP(-Presion_cilindro!$B$16*((Presion_cilindro!N204-(-K$4+Presion_cilindro!$B$34))/Presion_cilindro!$B$35)^(Presion_cilindro!$B$17+1)),0))/((Presion_cilindro!O204+Presion_cilindro!O205)/2)</f>
        <v>1.6691598623504647</v>
      </c>
      <c r="L213" s="27">
        <f>L212*(Presion_cilindro!O204/Presion_cilindro!O205)^Presion_cilindro!$B$9+10*(Presion_cilindro!$B$9-1)*Presion_cilindro!$B$33*(IF(Presion_cilindro!N205&gt;(-L$4+Presion_cilindro!$B$34),1-EXP(-Presion_cilindro!$B$16*((Presion_cilindro!N205-(-L$4+Presion_cilindro!$B$34))/Presion_cilindro!$B$35)^(Presion_cilindro!$B$17+1)),0)-IF(Presion_cilindro!N204&gt;(-L$4+Presion_cilindro!$B$34),1-EXP(-Presion_cilindro!$B$16*((Presion_cilindro!N204-(-L$4+Presion_cilindro!$B$34))/Presion_cilindro!$B$35)^(Presion_cilindro!$B$17+1)),0))/((Presion_cilindro!O204+Presion_cilindro!O205)/2)</f>
        <v>1.6691598623504647</v>
      </c>
      <c r="M213" s="27">
        <f>M212*(Presion_cilindro!O204/Presion_cilindro!O205)^Presion_cilindro!$B$9+10*(Presion_cilindro!$B$9-1)*Presion_cilindro!$B$33*(IF(Presion_cilindro!N205&gt;(-M$4+Presion_cilindro!$B$34),1-EXP(-Presion_cilindro!$B$16*((Presion_cilindro!N205-(-M$4+Presion_cilindro!$B$34))/Presion_cilindro!$B$35)^(Presion_cilindro!$B$17+1)),0)-IF(Presion_cilindro!N204&gt;(-M$4+Presion_cilindro!$B$34),1-EXP(-Presion_cilindro!$B$16*((Presion_cilindro!N204-(-M$4+Presion_cilindro!$B$34))/Presion_cilindro!$B$35)^(Presion_cilindro!$B$17+1)),0))/((Presion_cilindro!O204+Presion_cilindro!O205)/2)</f>
        <v>1.6691598623504647</v>
      </c>
      <c r="N213" s="27">
        <f>N212*(Presion_cilindro!O204/Presion_cilindro!O205)^Presion_cilindro!$B$9+10*(Presion_cilindro!$B$9-1)*Presion_cilindro!$B$33*(IF(Presion_cilindro!N205&gt;(-N$4+Presion_cilindro!$B$34),1-EXP(-Presion_cilindro!$B$16*((Presion_cilindro!N205-(-N$4+Presion_cilindro!$B$34))/Presion_cilindro!$B$35)^(Presion_cilindro!$B$17+1)),0)-IF(Presion_cilindro!N204&gt;(-N$4+Presion_cilindro!$B$34),1-EXP(-Presion_cilindro!$B$16*((Presion_cilindro!N204-(-N$4+Presion_cilindro!$B$34))/Presion_cilindro!$B$35)^(Presion_cilindro!$B$17+1)),0))/((Presion_cilindro!O204+Presion_cilindro!O205)/2)</f>
        <v>1.6691598623504647</v>
      </c>
    </row>
    <row r="214" spans="1:14" x14ac:dyDescent="0.25">
      <c r="A214" s="21">
        <f>Presion_cilindro!N206</f>
        <v>-79</v>
      </c>
      <c r="B214" s="27">
        <f>B213*(Presion_cilindro!O205/Presion_cilindro!O206)^Presion_cilindro!$B$9+10*(Presion_cilindro!$B$9-1)*Presion_cilindro!$B$33*(IF(Presion_cilindro!N206&gt;(-B$4+Presion_cilindro!$B$34),1-EXP(-Presion_cilindro!$B$16*((Presion_cilindro!N206-(-B$4+Presion_cilindro!$B$34))/Presion_cilindro!$B$35)^(Presion_cilindro!$B$17+1)),0)-IF(Presion_cilindro!N205&gt;(-B$4+Presion_cilindro!$B$34),1-EXP(-Presion_cilindro!$B$16*((Presion_cilindro!N205-(-B$4+Presion_cilindro!$B$34))/Presion_cilindro!$B$35)^(Presion_cilindro!$B$17+1)),0))/((Presion_cilindro!O205+Presion_cilindro!O206)/2)</f>
        <v>1.6863247244377333</v>
      </c>
      <c r="C214" s="27">
        <f>C213*(Presion_cilindro!O205/Presion_cilindro!O206)^Presion_cilindro!$B$9+10*(Presion_cilindro!$B$9-1)*Presion_cilindro!$B$33*(IF(Presion_cilindro!N206&gt;(-C$4+Presion_cilindro!$B$34),1-EXP(-Presion_cilindro!$B$16*((Presion_cilindro!N206-(-C$4+Presion_cilindro!$B$34))/Presion_cilindro!$B$35)^(Presion_cilindro!$B$17+1)),0)-IF(Presion_cilindro!N205&gt;(-C$4+Presion_cilindro!$B$34),1-EXP(-Presion_cilindro!$B$16*((Presion_cilindro!N205-(-C$4+Presion_cilindro!$B$34))/Presion_cilindro!$B$35)^(Presion_cilindro!$B$17+1)),0))/((Presion_cilindro!O205+Presion_cilindro!O206)/2)</f>
        <v>1.6863247244377333</v>
      </c>
      <c r="D214" s="27">
        <f>D213*(Presion_cilindro!O205/Presion_cilindro!O206)^Presion_cilindro!$B$9+10*(Presion_cilindro!$B$9-1)*Presion_cilindro!$B$33*(IF(Presion_cilindro!N206&gt;(-D$4+Presion_cilindro!$B$34),1-EXP(-Presion_cilindro!$B$16*((Presion_cilindro!N206-(-D$4+Presion_cilindro!$B$34))/Presion_cilindro!$B$35)^(Presion_cilindro!$B$17+1)),0)-IF(Presion_cilindro!N205&gt;(-D$4+Presion_cilindro!$B$34),1-EXP(-Presion_cilindro!$B$16*((Presion_cilindro!N205-(-D$4+Presion_cilindro!$B$34))/Presion_cilindro!$B$35)^(Presion_cilindro!$B$17+1)),0))/((Presion_cilindro!O205+Presion_cilindro!O206)/2)</f>
        <v>1.6863247244377333</v>
      </c>
      <c r="E214" s="27">
        <f>E213*(Presion_cilindro!O205/Presion_cilindro!O206)^Presion_cilindro!$B$9+10*(Presion_cilindro!$B$9-1)*Presion_cilindro!$B$33*(IF(Presion_cilindro!N206&gt;(-E$4+Presion_cilindro!$B$34),1-EXP(-Presion_cilindro!$B$16*((Presion_cilindro!N206-(-E$4+Presion_cilindro!$B$34))/Presion_cilindro!$B$35)^(Presion_cilindro!$B$17+1)),0)-IF(Presion_cilindro!N205&gt;(-E$4+Presion_cilindro!$B$34),1-EXP(-Presion_cilindro!$B$16*((Presion_cilindro!N205-(-E$4+Presion_cilindro!$B$34))/Presion_cilindro!$B$35)^(Presion_cilindro!$B$17+1)),0))/((Presion_cilindro!O205+Presion_cilindro!O206)/2)</f>
        <v>1.6863247244377333</v>
      </c>
      <c r="F214" s="27">
        <f>F213*(Presion_cilindro!O205/Presion_cilindro!O206)^Presion_cilindro!$B$9+10*(Presion_cilindro!$B$9-1)*Presion_cilindro!$B$33*(IF(Presion_cilindro!N206&gt;(-F$4+Presion_cilindro!$B$34),1-EXP(-Presion_cilindro!$B$16*((Presion_cilindro!N206-(-F$4+Presion_cilindro!$B$34))/Presion_cilindro!$B$35)^(Presion_cilindro!$B$17+1)),0)-IF(Presion_cilindro!N205&gt;(-F$4+Presion_cilindro!$B$34),1-EXP(-Presion_cilindro!$B$16*((Presion_cilindro!N205-(-F$4+Presion_cilindro!$B$34))/Presion_cilindro!$B$35)^(Presion_cilindro!$B$17+1)),0))/((Presion_cilindro!O205+Presion_cilindro!O206)/2)</f>
        <v>1.6863247244377333</v>
      </c>
      <c r="G214" s="27">
        <f>G213*(Presion_cilindro!O205/Presion_cilindro!O206)^Presion_cilindro!$B$9+10*(Presion_cilindro!$B$9-1)*Presion_cilindro!$B$33*(IF(Presion_cilindro!N206&gt;(-G$4+Presion_cilindro!$B$34),1-EXP(-Presion_cilindro!$B$16*((Presion_cilindro!N206-(-G$4+Presion_cilindro!$B$34))/Presion_cilindro!$B$35)^(Presion_cilindro!$B$17+1)),0)-IF(Presion_cilindro!N205&gt;(-G$4+Presion_cilindro!$B$34),1-EXP(-Presion_cilindro!$B$16*((Presion_cilindro!N205-(-G$4+Presion_cilindro!$B$34))/Presion_cilindro!$B$35)^(Presion_cilindro!$B$17+1)),0))/((Presion_cilindro!O205+Presion_cilindro!O206)/2)</f>
        <v>1.6863247244377333</v>
      </c>
      <c r="H214" s="27">
        <f>H213*(Presion_cilindro!O205/Presion_cilindro!O206)^Presion_cilindro!$B$9+10*(Presion_cilindro!$B$9-1)*Presion_cilindro!$B$33*(IF(Presion_cilindro!N206&gt;(-H$4+Presion_cilindro!$B$34),1-EXP(-Presion_cilindro!$B$16*((Presion_cilindro!N206-(-H$4+Presion_cilindro!$B$34))/Presion_cilindro!$B$35)^(Presion_cilindro!$B$17+1)),0)-IF(Presion_cilindro!N205&gt;(-H$4+Presion_cilindro!$B$34),1-EXP(-Presion_cilindro!$B$16*((Presion_cilindro!N205-(-H$4+Presion_cilindro!$B$34))/Presion_cilindro!$B$35)^(Presion_cilindro!$B$17+1)),0))/((Presion_cilindro!O205+Presion_cilindro!O206)/2)</f>
        <v>1.6863247244377333</v>
      </c>
      <c r="I214" s="27">
        <f>I213*(Presion_cilindro!O205/Presion_cilindro!O206)^Presion_cilindro!$B$9+10*(Presion_cilindro!$B$9-1)*Presion_cilindro!$B$33*(IF(Presion_cilindro!N206&gt;(-I$4+Presion_cilindro!$B$34),1-EXP(-Presion_cilindro!$B$16*((Presion_cilindro!N206-(-I$4+Presion_cilindro!$B$34))/Presion_cilindro!$B$35)^(Presion_cilindro!$B$17+1)),0)-IF(Presion_cilindro!N205&gt;(-I$4+Presion_cilindro!$B$34),1-EXP(-Presion_cilindro!$B$16*((Presion_cilindro!N205-(-I$4+Presion_cilindro!$B$34))/Presion_cilindro!$B$35)^(Presion_cilindro!$B$17+1)),0))/((Presion_cilindro!O205+Presion_cilindro!O206)/2)</f>
        <v>1.6863247244377333</v>
      </c>
      <c r="J214" s="27">
        <f>J213*(Presion_cilindro!O205/Presion_cilindro!O206)^Presion_cilindro!$B$9+10*(Presion_cilindro!$B$9-1)*Presion_cilindro!$B$33*(IF(Presion_cilindro!N206&gt;(-J$4+Presion_cilindro!$B$34),1-EXP(-Presion_cilindro!$B$16*((Presion_cilindro!N206-(-J$4+Presion_cilindro!$B$34))/Presion_cilindro!$B$35)^(Presion_cilindro!$B$17+1)),0)-IF(Presion_cilindro!N205&gt;(-J$4+Presion_cilindro!$B$34),1-EXP(-Presion_cilindro!$B$16*((Presion_cilindro!N205-(-J$4+Presion_cilindro!$B$34))/Presion_cilindro!$B$35)^(Presion_cilindro!$B$17+1)),0))/((Presion_cilindro!O205+Presion_cilindro!O206)/2)</f>
        <v>1.6863247244377333</v>
      </c>
      <c r="K214" s="27">
        <f>K213*(Presion_cilindro!O205/Presion_cilindro!O206)^Presion_cilindro!$B$9+10*(Presion_cilindro!$B$9-1)*Presion_cilindro!$B$33*(IF(Presion_cilindro!N206&gt;(-K$4+Presion_cilindro!$B$34),1-EXP(-Presion_cilindro!$B$16*((Presion_cilindro!N206-(-K$4+Presion_cilindro!$B$34))/Presion_cilindro!$B$35)^(Presion_cilindro!$B$17+1)),0)-IF(Presion_cilindro!N205&gt;(-K$4+Presion_cilindro!$B$34),1-EXP(-Presion_cilindro!$B$16*((Presion_cilindro!N205-(-K$4+Presion_cilindro!$B$34))/Presion_cilindro!$B$35)^(Presion_cilindro!$B$17+1)),0))/((Presion_cilindro!O205+Presion_cilindro!O206)/2)</f>
        <v>1.6863247244377333</v>
      </c>
      <c r="L214" s="27">
        <f>L213*(Presion_cilindro!O205/Presion_cilindro!O206)^Presion_cilindro!$B$9+10*(Presion_cilindro!$B$9-1)*Presion_cilindro!$B$33*(IF(Presion_cilindro!N206&gt;(-L$4+Presion_cilindro!$B$34),1-EXP(-Presion_cilindro!$B$16*((Presion_cilindro!N206-(-L$4+Presion_cilindro!$B$34))/Presion_cilindro!$B$35)^(Presion_cilindro!$B$17+1)),0)-IF(Presion_cilindro!N205&gt;(-L$4+Presion_cilindro!$B$34),1-EXP(-Presion_cilindro!$B$16*((Presion_cilindro!N205-(-L$4+Presion_cilindro!$B$34))/Presion_cilindro!$B$35)^(Presion_cilindro!$B$17+1)),0))/((Presion_cilindro!O205+Presion_cilindro!O206)/2)</f>
        <v>1.6863247244377333</v>
      </c>
      <c r="M214" s="27">
        <f>M213*(Presion_cilindro!O205/Presion_cilindro!O206)^Presion_cilindro!$B$9+10*(Presion_cilindro!$B$9-1)*Presion_cilindro!$B$33*(IF(Presion_cilindro!N206&gt;(-M$4+Presion_cilindro!$B$34),1-EXP(-Presion_cilindro!$B$16*((Presion_cilindro!N206-(-M$4+Presion_cilindro!$B$34))/Presion_cilindro!$B$35)^(Presion_cilindro!$B$17+1)),0)-IF(Presion_cilindro!N205&gt;(-M$4+Presion_cilindro!$B$34),1-EXP(-Presion_cilindro!$B$16*((Presion_cilindro!N205-(-M$4+Presion_cilindro!$B$34))/Presion_cilindro!$B$35)^(Presion_cilindro!$B$17+1)),0))/((Presion_cilindro!O205+Presion_cilindro!O206)/2)</f>
        <v>1.6863247244377333</v>
      </c>
      <c r="N214" s="27">
        <f>N213*(Presion_cilindro!O205/Presion_cilindro!O206)^Presion_cilindro!$B$9+10*(Presion_cilindro!$B$9-1)*Presion_cilindro!$B$33*(IF(Presion_cilindro!N206&gt;(-N$4+Presion_cilindro!$B$34),1-EXP(-Presion_cilindro!$B$16*((Presion_cilindro!N206-(-N$4+Presion_cilindro!$B$34))/Presion_cilindro!$B$35)^(Presion_cilindro!$B$17+1)),0)-IF(Presion_cilindro!N205&gt;(-N$4+Presion_cilindro!$B$34),1-EXP(-Presion_cilindro!$B$16*((Presion_cilindro!N205-(-N$4+Presion_cilindro!$B$34))/Presion_cilindro!$B$35)^(Presion_cilindro!$B$17+1)),0))/((Presion_cilindro!O205+Presion_cilindro!O206)/2)</f>
        <v>1.6863247244377333</v>
      </c>
    </row>
    <row r="215" spans="1:14" x14ac:dyDescent="0.25">
      <c r="A215" s="21">
        <f>Presion_cilindro!N207</f>
        <v>-78.5</v>
      </c>
      <c r="B215" s="27">
        <f>B214*(Presion_cilindro!O206/Presion_cilindro!O207)^Presion_cilindro!$B$9+10*(Presion_cilindro!$B$9-1)*Presion_cilindro!$B$33*(IF(Presion_cilindro!N207&gt;(-B$4+Presion_cilindro!$B$34),1-EXP(-Presion_cilindro!$B$16*((Presion_cilindro!N207-(-B$4+Presion_cilindro!$B$34))/Presion_cilindro!$B$35)^(Presion_cilindro!$B$17+1)),0)-IF(Presion_cilindro!N206&gt;(-B$4+Presion_cilindro!$B$34),1-EXP(-Presion_cilindro!$B$16*((Presion_cilindro!N206-(-B$4+Presion_cilindro!$B$34))/Presion_cilindro!$B$35)^(Presion_cilindro!$B$17+1)),0))/((Presion_cilindro!O206+Presion_cilindro!O207)/2)</f>
        <v>1.7038137320083881</v>
      </c>
      <c r="C215" s="27">
        <f>C214*(Presion_cilindro!O206/Presion_cilindro!O207)^Presion_cilindro!$B$9+10*(Presion_cilindro!$B$9-1)*Presion_cilindro!$B$33*(IF(Presion_cilindro!N207&gt;(-C$4+Presion_cilindro!$B$34),1-EXP(-Presion_cilindro!$B$16*((Presion_cilindro!N207-(-C$4+Presion_cilindro!$B$34))/Presion_cilindro!$B$35)^(Presion_cilindro!$B$17+1)),0)-IF(Presion_cilindro!N206&gt;(-C$4+Presion_cilindro!$B$34),1-EXP(-Presion_cilindro!$B$16*((Presion_cilindro!N206-(-C$4+Presion_cilindro!$B$34))/Presion_cilindro!$B$35)^(Presion_cilindro!$B$17+1)),0))/((Presion_cilindro!O206+Presion_cilindro!O207)/2)</f>
        <v>1.7038137320083881</v>
      </c>
      <c r="D215" s="27">
        <f>D214*(Presion_cilindro!O206/Presion_cilindro!O207)^Presion_cilindro!$B$9+10*(Presion_cilindro!$B$9-1)*Presion_cilindro!$B$33*(IF(Presion_cilindro!N207&gt;(-D$4+Presion_cilindro!$B$34),1-EXP(-Presion_cilindro!$B$16*((Presion_cilindro!N207-(-D$4+Presion_cilindro!$B$34))/Presion_cilindro!$B$35)^(Presion_cilindro!$B$17+1)),0)-IF(Presion_cilindro!N206&gt;(-D$4+Presion_cilindro!$B$34),1-EXP(-Presion_cilindro!$B$16*((Presion_cilindro!N206-(-D$4+Presion_cilindro!$B$34))/Presion_cilindro!$B$35)^(Presion_cilindro!$B$17+1)),0))/((Presion_cilindro!O206+Presion_cilindro!O207)/2)</f>
        <v>1.7038137320083881</v>
      </c>
      <c r="E215" s="27">
        <f>E214*(Presion_cilindro!O206/Presion_cilindro!O207)^Presion_cilindro!$B$9+10*(Presion_cilindro!$B$9-1)*Presion_cilindro!$B$33*(IF(Presion_cilindro!N207&gt;(-E$4+Presion_cilindro!$B$34),1-EXP(-Presion_cilindro!$B$16*((Presion_cilindro!N207-(-E$4+Presion_cilindro!$B$34))/Presion_cilindro!$B$35)^(Presion_cilindro!$B$17+1)),0)-IF(Presion_cilindro!N206&gt;(-E$4+Presion_cilindro!$B$34),1-EXP(-Presion_cilindro!$B$16*((Presion_cilindro!N206-(-E$4+Presion_cilindro!$B$34))/Presion_cilindro!$B$35)^(Presion_cilindro!$B$17+1)),0))/((Presion_cilindro!O206+Presion_cilindro!O207)/2)</f>
        <v>1.7038137320083881</v>
      </c>
      <c r="F215" s="27">
        <f>F214*(Presion_cilindro!O206/Presion_cilindro!O207)^Presion_cilindro!$B$9+10*(Presion_cilindro!$B$9-1)*Presion_cilindro!$B$33*(IF(Presion_cilindro!N207&gt;(-F$4+Presion_cilindro!$B$34),1-EXP(-Presion_cilindro!$B$16*((Presion_cilindro!N207-(-F$4+Presion_cilindro!$B$34))/Presion_cilindro!$B$35)^(Presion_cilindro!$B$17+1)),0)-IF(Presion_cilindro!N206&gt;(-F$4+Presion_cilindro!$B$34),1-EXP(-Presion_cilindro!$B$16*((Presion_cilindro!N206-(-F$4+Presion_cilindro!$B$34))/Presion_cilindro!$B$35)^(Presion_cilindro!$B$17+1)),0))/((Presion_cilindro!O206+Presion_cilindro!O207)/2)</f>
        <v>1.7038137320083881</v>
      </c>
      <c r="G215" s="27">
        <f>G214*(Presion_cilindro!O206/Presion_cilindro!O207)^Presion_cilindro!$B$9+10*(Presion_cilindro!$B$9-1)*Presion_cilindro!$B$33*(IF(Presion_cilindro!N207&gt;(-G$4+Presion_cilindro!$B$34),1-EXP(-Presion_cilindro!$B$16*((Presion_cilindro!N207-(-G$4+Presion_cilindro!$B$34))/Presion_cilindro!$B$35)^(Presion_cilindro!$B$17+1)),0)-IF(Presion_cilindro!N206&gt;(-G$4+Presion_cilindro!$B$34),1-EXP(-Presion_cilindro!$B$16*((Presion_cilindro!N206-(-G$4+Presion_cilindro!$B$34))/Presion_cilindro!$B$35)^(Presion_cilindro!$B$17+1)),0))/((Presion_cilindro!O206+Presion_cilindro!O207)/2)</f>
        <v>1.7038137320083881</v>
      </c>
      <c r="H215" s="27">
        <f>H214*(Presion_cilindro!O206/Presion_cilindro!O207)^Presion_cilindro!$B$9+10*(Presion_cilindro!$B$9-1)*Presion_cilindro!$B$33*(IF(Presion_cilindro!N207&gt;(-H$4+Presion_cilindro!$B$34),1-EXP(-Presion_cilindro!$B$16*((Presion_cilindro!N207-(-H$4+Presion_cilindro!$B$34))/Presion_cilindro!$B$35)^(Presion_cilindro!$B$17+1)),0)-IF(Presion_cilindro!N206&gt;(-H$4+Presion_cilindro!$B$34),1-EXP(-Presion_cilindro!$B$16*((Presion_cilindro!N206-(-H$4+Presion_cilindro!$B$34))/Presion_cilindro!$B$35)^(Presion_cilindro!$B$17+1)),0))/((Presion_cilindro!O206+Presion_cilindro!O207)/2)</f>
        <v>1.7038137320083881</v>
      </c>
      <c r="I215" s="27">
        <f>I214*(Presion_cilindro!O206/Presion_cilindro!O207)^Presion_cilindro!$B$9+10*(Presion_cilindro!$B$9-1)*Presion_cilindro!$B$33*(IF(Presion_cilindro!N207&gt;(-I$4+Presion_cilindro!$B$34),1-EXP(-Presion_cilindro!$B$16*((Presion_cilindro!N207-(-I$4+Presion_cilindro!$B$34))/Presion_cilindro!$B$35)^(Presion_cilindro!$B$17+1)),0)-IF(Presion_cilindro!N206&gt;(-I$4+Presion_cilindro!$B$34),1-EXP(-Presion_cilindro!$B$16*((Presion_cilindro!N206-(-I$4+Presion_cilindro!$B$34))/Presion_cilindro!$B$35)^(Presion_cilindro!$B$17+1)),0))/((Presion_cilindro!O206+Presion_cilindro!O207)/2)</f>
        <v>1.7038137320083881</v>
      </c>
      <c r="J215" s="27">
        <f>J214*(Presion_cilindro!O206/Presion_cilindro!O207)^Presion_cilindro!$B$9+10*(Presion_cilindro!$B$9-1)*Presion_cilindro!$B$33*(IF(Presion_cilindro!N207&gt;(-J$4+Presion_cilindro!$B$34),1-EXP(-Presion_cilindro!$B$16*((Presion_cilindro!N207-(-J$4+Presion_cilindro!$B$34))/Presion_cilindro!$B$35)^(Presion_cilindro!$B$17+1)),0)-IF(Presion_cilindro!N206&gt;(-J$4+Presion_cilindro!$B$34),1-EXP(-Presion_cilindro!$B$16*((Presion_cilindro!N206-(-J$4+Presion_cilindro!$B$34))/Presion_cilindro!$B$35)^(Presion_cilindro!$B$17+1)),0))/((Presion_cilindro!O206+Presion_cilindro!O207)/2)</f>
        <v>1.7038137320083881</v>
      </c>
      <c r="K215" s="27">
        <f>K214*(Presion_cilindro!O206/Presion_cilindro!O207)^Presion_cilindro!$B$9+10*(Presion_cilindro!$B$9-1)*Presion_cilindro!$B$33*(IF(Presion_cilindro!N207&gt;(-K$4+Presion_cilindro!$B$34),1-EXP(-Presion_cilindro!$B$16*((Presion_cilindro!N207-(-K$4+Presion_cilindro!$B$34))/Presion_cilindro!$B$35)^(Presion_cilindro!$B$17+1)),0)-IF(Presion_cilindro!N206&gt;(-K$4+Presion_cilindro!$B$34),1-EXP(-Presion_cilindro!$B$16*((Presion_cilindro!N206-(-K$4+Presion_cilindro!$B$34))/Presion_cilindro!$B$35)^(Presion_cilindro!$B$17+1)),0))/((Presion_cilindro!O206+Presion_cilindro!O207)/2)</f>
        <v>1.7038137320083881</v>
      </c>
      <c r="L215" s="27">
        <f>L214*(Presion_cilindro!O206/Presion_cilindro!O207)^Presion_cilindro!$B$9+10*(Presion_cilindro!$B$9-1)*Presion_cilindro!$B$33*(IF(Presion_cilindro!N207&gt;(-L$4+Presion_cilindro!$B$34),1-EXP(-Presion_cilindro!$B$16*((Presion_cilindro!N207-(-L$4+Presion_cilindro!$B$34))/Presion_cilindro!$B$35)^(Presion_cilindro!$B$17+1)),0)-IF(Presion_cilindro!N206&gt;(-L$4+Presion_cilindro!$B$34),1-EXP(-Presion_cilindro!$B$16*((Presion_cilindro!N206-(-L$4+Presion_cilindro!$B$34))/Presion_cilindro!$B$35)^(Presion_cilindro!$B$17+1)),0))/((Presion_cilindro!O206+Presion_cilindro!O207)/2)</f>
        <v>1.7038137320083881</v>
      </c>
      <c r="M215" s="27">
        <f>M214*(Presion_cilindro!O206/Presion_cilindro!O207)^Presion_cilindro!$B$9+10*(Presion_cilindro!$B$9-1)*Presion_cilindro!$B$33*(IF(Presion_cilindro!N207&gt;(-M$4+Presion_cilindro!$B$34),1-EXP(-Presion_cilindro!$B$16*((Presion_cilindro!N207-(-M$4+Presion_cilindro!$B$34))/Presion_cilindro!$B$35)^(Presion_cilindro!$B$17+1)),0)-IF(Presion_cilindro!N206&gt;(-M$4+Presion_cilindro!$B$34),1-EXP(-Presion_cilindro!$B$16*((Presion_cilindro!N206-(-M$4+Presion_cilindro!$B$34))/Presion_cilindro!$B$35)^(Presion_cilindro!$B$17+1)),0))/((Presion_cilindro!O206+Presion_cilindro!O207)/2)</f>
        <v>1.7038137320083881</v>
      </c>
      <c r="N215" s="27">
        <f>N214*(Presion_cilindro!O206/Presion_cilindro!O207)^Presion_cilindro!$B$9+10*(Presion_cilindro!$B$9-1)*Presion_cilindro!$B$33*(IF(Presion_cilindro!N207&gt;(-N$4+Presion_cilindro!$B$34),1-EXP(-Presion_cilindro!$B$16*((Presion_cilindro!N207-(-N$4+Presion_cilindro!$B$34))/Presion_cilindro!$B$35)^(Presion_cilindro!$B$17+1)),0)-IF(Presion_cilindro!N206&gt;(-N$4+Presion_cilindro!$B$34),1-EXP(-Presion_cilindro!$B$16*((Presion_cilindro!N206-(-N$4+Presion_cilindro!$B$34))/Presion_cilindro!$B$35)^(Presion_cilindro!$B$17+1)),0))/((Presion_cilindro!O206+Presion_cilindro!O207)/2)</f>
        <v>1.7038137320083881</v>
      </c>
    </row>
    <row r="216" spans="1:14" x14ac:dyDescent="0.25">
      <c r="A216" s="21">
        <f>Presion_cilindro!N208</f>
        <v>-78</v>
      </c>
      <c r="B216" s="27">
        <f>B215*(Presion_cilindro!O207/Presion_cilindro!O208)^Presion_cilindro!$B$9+10*(Presion_cilindro!$B$9-1)*Presion_cilindro!$B$33*(IF(Presion_cilindro!N208&gt;(-B$4+Presion_cilindro!$B$34),1-EXP(-Presion_cilindro!$B$16*((Presion_cilindro!N208-(-B$4+Presion_cilindro!$B$34))/Presion_cilindro!$B$35)^(Presion_cilindro!$B$17+1)),0)-IF(Presion_cilindro!N207&gt;(-B$4+Presion_cilindro!$B$34),1-EXP(-Presion_cilindro!$B$16*((Presion_cilindro!N207-(-B$4+Presion_cilindro!$B$34))/Presion_cilindro!$B$35)^(Presion_cilindro!$B$17+1)),0))/((Presion_cilindro!O207+Presion_cilindro!O208)/2)</f>
        <v>1.7216341122433765</v>
      </c>
      <c r="C216" s="27">
        <f>C215*(Presion_cilindro!O207/Presion_cilindro!O208)^Presion_cilindro!$B$9+10*(Presion_cilindro!$B$9-1)*Presion_cilindro!$B$33*(IF(Presion_cilindro!N208&gt;(-C$4+Presion_cilindro!$B$34),1-EXP(-Presion_cilindro!$B$16*((Presion_cilindro!N208-(-C$4+Presion_cilindro!$B$34))/Presion_cilindro!$B$35)^(Presion_cilindro!$B$17+1)),0)-IF(Presion_cilindro!N207&gt;(-C$4+Presion_cilindro!$B$34),1-EXP(-Presion_cilindro!$B$16*((Presion_cilindro!N207-(-C$4+Presion_cilindro!$B$34))/Presion_cilindro!$B$35)^(Presion_cilindro!$B$17+1)),0))/((Presion_cilindro!O207+Presion_cilindro!O208)/2)</f>
        <v>1.7216341122433765</v>
      </c>
      <c r="D216" s="27">
        <f>D215*(Presion_cilindro!O207/Presion_cilindro!O208)^Presion_cilindro!$B$9+10*(Presion_cilindro!$B$9-1)*Presion_cilindro!$B$33*(IF(Presion_cilindro!N208&gt;(-D$4+Presion_cilindro!$B$34),1-EXP(-Presion_cilindro!$B$16*((Presion_cilindro!N208-(-D$4+Presion_cilindro!$B$34))/Presion_cilindro!$B$35)^(Presion_cilindro!$B$17+1)),0)-IF(Presion_cilindro!N207&gt;(-D$4+Presion_cilindro!$B$34),1-EXP(-Presion_cilindro!$B$16*((Presion_cilindro!N207-(-D$4+Presion_cilindro!$B$34))/Presion_cilindro!$B$35)^(Presion_cilindro!$B$17+1)),0))/((Presion_cilindro!O207+Presion_cilindro!O208)/2)</f>
        <v>1.7216341122433765</v>
      </c>
      <c r="E216" s="27">
        <f>E215*(Presion_cilindro!O207/Presion_cilindro!O208)^Presion_cilindro!$B$9+10*(Presion_cilindro!$B$9-1)*Presion_cilindro!$B$33*(IF(Presion_cilindro!N208&gt;(-E$4+Presion_cilindro!$B$34),1-EXP(-Presion_cilindro!$B$16*((Presion_cilindro!N208-(-E$4+Presion_cilindro!$B$34))/Presion_cilindro!$B$35)^(Presion_cilindro!$B$17+1)),0)-IF(Presion_cilindro!N207&gt;(-E$4+Presion_cilindro!$B$34),1-EXP(-Presion_cilindro!$B$16*((Presion_cilindro!N207-(-E$4+Presion_cilindro!$B$34))/Presion_cilindro!$B$35)^(Presion_cilindro!$B$17+1)),0))/((Presion_cilindro!O207+Presion_cilindro!O208)/2)</f>
        <v>1.7216341122433765</v>
      </c>
      <c r="F216" s="27">
        <f>F215*(Presion_cilindro!O207/Presion_cilindro!O208)^Presion_cilindro!$B$9+10*(Presion_cilindro!$B$9-1)*Presion_cilindro!$B$33*(IF(Presion_cilindro!N208&gt;(-F$4+Presion_cilindro!$B$34),1-EXP(-Presion_cilindro!$B$16*((Presion_cilindro!N208-(-F$4+Presion_cilindro!$B$34))/Presion_cilindro!$B$35)^(Presion_cilindro!$B$17+1)),0)-IF(Presion_cilindro!N207&gt;(-F$4+Presion_cilindro!$B$34),1-EXP(-Presion_cilindro!$B$16*((Presion_cilindro!N207-(-F$4+Presion_cilindro!$B$34))/Presion_cilindro!$B$35)^(Presion_cilindro!$B$17+1)),0))/((Presion_cilindro!O207+Presion_cilindro!O208)/2)</f>
        <v>1.7216341122433765</v>
      </c>
      <c r="G216" s="27">
        <f>G215*(Presion_cilindro!O207/Presion_cilindro!O208)^Presion_cilindro!$B$9+10*(Presion_cilindro!$B$9-1)*Presion_cilindro!$B$33*(IF(Presion_cilindro!N208&gt;(-G$4+Presion_cilindro!$B$34),1-EXP(-Presion_cilindro!$B$16*((Presion_cilindro!N208-(-G$4+Presion_cilindro!$B$34))/Presion_cilindro!$B$35)^(Presion_cilindro!$B$17+1)),0)-IF(Presion_cilindro!N207&gt;(-G$4+Presion_cilindro!$B$34),1-EXP(-Presion_cilindro!$B$16*((Presion_cilindro!N207-(-G$4+Presion_cilindro!$B$34))/Presion_cilindro!$B$35)^(Presion_cilindro!$B$17+1)),0))/((Presion_cilindro!O207+Presion_cilindro!O208)/2)</f>
        <v>1.7216341122433765</v>
      </c>
      <c r="H216" s="27">
        <f>H215*(Presion_cilindro!O207/Presion_cilindro!O208)^Presion_cilindro!$B$9+10*(Presion_cilindro!$B$9-1)*Presion_cilindro!$B$33*(IF(Presion_cilindro!N208&gt;(-H$4+Presion_cilindro!$B$34),1-EXP(-Presion_cilindro!$B$16*((Presion_cilindro!N208-(-H$4+Presion_cilindro!$B$34))/Presion_cilindro!$B$35)^(Presion_cilindro!$B$17+1)),0)-IF(Presion_cilindro!N207&gt;(-H$4+Presion_cilindro!$B$34),1-EXP(-Presion_cilindro!$B$16*((Presion_cilindro!N207-(-H$4+Presion_cilindro!$B$34))/Presion_cilindro!$B$35)^(Presion_cilindro!$B$17+1)),0))/((Presion_cilindro!O207+Presion_cilindro!O208)/2)</f>
        <v>1.7216341122433765</v>
      </c>
      <c r="I216" s="27">
        <f>I215*(Presion_cilindro!O207/Presion_cilindro!O208)^Presion_cilindro!$B$9+10*(Presion_cilindro!$B$9-1)*Presion_cilindro!$B$33*(IF(Presion_cilindro!N208&gt;(-I$4+Presion_cilindro!$B$34),1-EXP(-Presion_cilindro!$B$16*((Presion_cilindro!N208-(-I$4+Presion_cilindro!$B$34))/Presion_cilindro!$B$35)^(Presion_cilindro!$B$17+1)),0)-IF(Presion_cilindro!N207&gt;(-I$4+Presion_cilindro!$B$34),1-EXP(-Presion_cilindro!$B$16*((Presion_cilindro!N207-(-I$4+Presion_cilindro!$B$34))/Presion_cilindro!$B$35)^(Presion_cilindro!$B$17+1)),0))/((Presion_cilindro!O207+Presion_cilindro!O208)/2)</f>
        <v>1.7216341122433765</v>
      </c>
      <c r="J216" s="27">
        <f>J215*(Presion_cilindro!O207/Presion_cilindro!O208)^Presion_cilindro!$B$9+10*(Presion_cilindro!$B$9-1)*Presion_cilindro!$B$33*(IF(Presion_cilindro!N208&gt;(-J$4+Presion_cilindro!$B$34),1-EXP(-Presion_cilindro!$B$16*((Presion_cilindro!N208-(-J$4+Presion_cilindro!$B$34))/Presion_cilindro!$B$35)^(Presion_cilindro!$B$17+1)),0)-IF(Presion_cilindro!N207&gt;(-J$4+Presion_cilindro!$B$34),1-EXP(-Presion_cilindro!$B$16*((Presion_cilindro!N207-(-J$4+Presion_cilindro!$B$34))/Presion_cilindro!$B$35)^(Presion_cilindro!$B$17+1)),0))/((Presion_cilindro!O207+Presion_cilindro!O208)/2)</f>
        <v>1.7216341122433765</v>
      </c>
      <c r="K216" s="27">
        <f>K215*(Presion_cilindro!O207/Presion_cilindro!O208)^Presion_cilindro!$B$9+10*(Presion_cilindro!$B$9-1)*Presion_cilindro!$B$33*(IF(Presion_cilindro!N208&gt;(-K$4+Presion_cilindro!$B$34),1-EXP(-Presion_cilindro!$B$16*((Presion_cilindro!N208-(-K$4+Presion_cilindro!$B$34))/Presion_cilindro!$B$35)^(Presion_cilindro!$B$17+1)),0)-IF(Presion_cilindro!N207&gt;(-K$4+Presion_cilindro!$B$34),1-EXP(-Presion_cilindro!$B$16*((Presion_cilindro!N207-(-K$4+Presion_cilindro!$B$34))/Presion_cilindro!$B$35)^(Presion_cilindro!$B$17+1)),0))/((Presion_cilindro!O207+Presion_cilindro!O208)/2)</f>
        <v>1.7216341122433765</v>
      </c>
      <c r="L216" s="27">
        <f>L215*(Presion_cilindro!O207/Presion_cilindro!O208)^Presion_cilindro!$B$9+10*(Presion_cilindro!$B$9-1)*Presion_cilindro!$B$33*(IF(Presion_cilindro!N208&gt;(-L$4+Presion_cilindro!$B$34),1-EXP(-Presion_cilindro!$B$16*((Presion_cilindro!N208-(-L$4+Presion_cilindro!$B$34))/Presion_cilindro!$B$35)^(Presion_cilindro!$B$17+1)),0)-IF(Presion_cilindro!N207&gt;(-L$4+Presion_cilindro!$B$34),1-EXP(-Presion_cilindro!$B$16*((Presion_cilindro!N207-(-L$4+Presion_cilindro!$B$34))/Presion_cilindro!$B$35)^(Presion_cilindro!$B$17+1)),0))/((Presion_cilindro!O207+Presion_cilindro!O208)/2)</f>
        <v>1.7216341122433765</v>
      </c>
      <c r="M216" s="27">
        <f>M215*(Presion_cilindro!O207/Presion_cilindro!O208)^Presion_cilindro!$B$9+10*(Presion_cilindro!$B$9-1)*Presion_cilindro!$B$33*(IF(Presion_cilindro!N208&gt;(-M$4+Presion_cilindro!$B$34),1-EXP(-Presion_cilindro!$B$16*((Presion_cilindro!N208-(-M$4+Presion_cilindro!$B$34))/Presion_cilindro!$B$35)^(Presion_cilindro!$B$17+1)),0)-IF(Presion_cilindro!N207&gt;(-M$4+Presion_cilindro!$B$34),1-EXP(-Presion_cilindro!$B$16*((Presion_cilindro!N207-(-M$4+Presion_cilindro!$B$34))/Presion_cilindro!$B$35)^(Presion_cilindro!$B$17+1)),0))/((Presion_cilindro!O207+Presion_cilindro!O208)/2)</f>
        <v>1.7216341122433765</v>
      </c>
      <c r="N216" s="27">
        <f>N215*(Presion_cilindro!O207/Presion_cilindro!O208)^Presion_cilindro!$B$9+10*(Presion_cilindro!$B$9-1)*Presion_cilindro!$B$33*(IF(Presion_cilindro!N208&gt;(-N$4+Presion_cilindro!$B$34),1-EXP(-Presion_cilindro!$B$16*((Presion_cilindro!N208-(-N$4+Presion_cilindro!$B$34))/Presion_cilindro!$B$35)^(Presion_cilindro!$B$17+1)),0)-IF(Presion_cilindro!N207&gt;(-N$4+Presion_cilindro!$B$34),1-EXP(-Presion_cilindro!$B$16*((Presion_cilindro!N207-(-N$4+Presion_cilindro!$B$34))/Presion_cilindro!$B$35)^(Presion_cilindro!$B$17+1)),0))/((Presion_cilindro!O207+Presion_cilindro!O208)/2)</f>
        <v>1.7216341122433765</v>
      </c>
    </row>
    <row r="217" spans="1:14" x14ac:dyDescent="0.25">
      <c r="A217" s="21">
        <f>Presion_cilindro!N209</f>
        <v>-77.5</v>
      </c>
      <c r="B217" s="27">
        <f>B216*(Presion_cilindro!O208/Presion_cilindro!O209)^Presion_cilindro!$B$9+10*(Presion_cilindro!$B$9-1)*Presion_cilindro!$B$33*(IF(Presion_cilindro!N209&gt;(-B$4+Presion_cilindro!$B$34),1-EXP(-Presion_cilindro!$B$16*((Presion_cilindro!N209-(-B$4+Presion_cilindro!$B$34))/Presion_cilindro!$B$35)^(Presion_cilindro!$B$17+1)),0)-IF(Presion_cilindro!N208&gt;(-B$4+Presion_cilindro!$B$34),1-EXP(-Presion_cilindro!$B$16*((Presion_cilindro!N208-(-B$4+Presion_cilindro!$B$34))/Presion_cilindro!$B$35)^(Presion_cilindro!$B$17+1)),0))/((Presion_cilindro!O208+Presion_cilindro!O209)/2)</f>
        <v>1.7397932779371021</v>
      </c>
      <c r="C217" s="27">
        <f>C216*(Presion_cilindro!O208/Presion_cilindro!O209)^Presion_cilindro!$B$9+10*(Presion_cilindro!$B$9-1)*Presion_cilindro!$B$33*(IF(Presion_cilindro!N209&gt;(-C$4+Presion_cilindro!$B$34),1-EXP(-Presion_cilindro!$B$16*((Presion_cilindro!N209-(-C$4+Presion_cilindro!$B$34))/Presion_cilindro!$B$35)^(Presion_cilindro!$B$17+1)),0)-IF(Presion_cilindro!N208&gt;(-C$4+Presion_cilindro!$B$34),1-EXP(-Presion_cilindro!$B$16*((Presion_cilindro!N208-(-C$4+Presion_cilindro!$B$34))/Presion_cilindro!$B$35)^(Presion_cilindro!$B$17+1)),0))/((Presion_cilindro!O208+Presion_cilindro!O209)/2)</f>
        <v>1.7397932779371021</v>
      </c>
      <c r="D217" s="27">
        <f>D216*(Presion_cilindro!O208/Presion_cilindro!O209)^Presion_cilindro!$B$9+10*(Presion_cilindro!$B$9-1)*Presion_cilindro!$B$33*(IF(Presion_cilindro!N209&gt;(-D$4+Presion_cilindro!$B$34),1-EXP(-Presion_cilindro!$B$16*((Presion_cilindro!N209-(-D$4+Presion_cilindro!$B$34))/Presion_cilindro!$B$35)^(Presion_cilindro!$B$17+1)),0)-IF(Presion_cilindro!N208&gt;(-D$4+Presion_cilindro!$B$34),1-EXP(-Presion_cilindro!$B$16*((Presion_cilindro!N208-(-D$4+Presion_cilindro!$B$34))/Presion_cilindro!$B$35)^(Presion_cilindro!$B$17+1)),0))/((Presion_cilindro!O208+Presion_cilindro!O209)/2)</f>
        <v>1.7397932779371021</v>
      </c>
      <c r="E217" s="27">
        <f>E216*(Presion_cilindro!O208/Presion_cilindro!O209)^Presion_cilindro!$B$9+10*(Presion_cilindro!$B$9-1)*Presion_cilindro!$B$33*(IF(Presion_cilindro!N209&gt;(-E$4+Presion_cilindro!$B$34),1-EXP(-Presion_cilindro!$B$16*((Presion_cilindro!N209-(-E$4+Presion_cilindro!$B$34))/Presion_cilindro!$B$35)^(Presion_cilindro!$B$17+1)),0)-IF(Presion_cilindro!N208&gt;(-E$4+Presion_cilindro!$B$34),1-EXP(-Presion_cilindro!$B$16*((Presion_cilindro!N208-(-E$4+Presion_cilindro!$B$34))/Presion_cilindro!$B$35)^(Presion_cilindro!$B$17+1)),0))/((Presion_cilindro!O208+Presion_cilindro!O209)/2)</f>
        <v>1.7397932779371021</v>
      </c>
      <c r="F217" s="27">
        <f>F216*(Presion_cilindro!O208/Presion_cilindro!O209)^Presion_cilindro!$B$9+10*(Presion_cilindro!$B$9-1)*Presion_cilindro!$B$33*(IF(Presion_cilindro!N209&gt;(-F$4+Presion_cilindro!$B$34),1-EXP(-Presion_cilindro!$B$16*((Presion_cilindro!N209-(-F$4+Presion_cilindro!$B$34))/Presion_cilindro!$B$35)^(Presion_cilindro!$B$17+1)),0)-IF(Presion_cilindro!N208&gt;(-F$4+Presion_cilindro!$B$34),1-EXP(-Presion_cilindro!$B$16*((Presion_cilindro!N208-(-F$4+Presion_cilindro!$B$34))/Presion_cilindro!$B$35)^(Presion_cilindro!$B$17+1)),0))/((Presion_cilindro!O208+Presion_cilindro!O209)/2)</f>
        <v>1.7397932779371021</v>
      </c>
      <c r="G217" s="27">
        <f>G216*(Presion_cilindro!O208/Presion_cilindro!O209)^Presion_cilindro!$B$9+10*(Presion_cilindro!$B$9-1)*Presion_cilindro!$B$33*(IF(Presion_cilindro!N209&gt;(-G$4+Presion_cilindro!$B$34),1-EXP(-Presion_cilindro!$B$16*((Presion_cilindro!N209-(-G$4+Presion_cilindro!$B$34))/Presion_cilindro!$B$35)^(Presion_cilindro!$B$17+1)),0)-IF(Presion_cilindro!N208&gt;(-G$4+Presion_cilindro!$B$34),1-EXP(-Presion_cilindro!$B$16*((Presion_cilindro!N208-(-G$4+Presion_cilindro!$B$34))/Presion_cilindro!$B$35)^(Presion_cilindro!$B$17+1)),0))/((Presion_cilindro!O208+Presion_cilindro!O209)/2)</f>
        <v>1.7397932779371021</v>
      </c>
      <c r="H217" s="27">
        <f>H216*(Presion_cilindro!O208/Presion_cilindro!O209)^Presion_cilindro!$B$9+10*(Presion_cilindro!$B$9-1)*Presion_cilindro!$B$33*(IF(Presion_cilindro!N209&gt;(-H$4+Presion_cilindro!$B$34),1-EXP(-Presion_cilindro!$B$16*((Presion_cilindro!N209-(-H$4+Presion_cilindro!$B$34))/Presion_cilindro!$B$35)^(Presion_cilindro!$B$17+1)),0)-IF(Presion_cilindro!N208&gt;(-H$4+Presion_cilindro!$B$34),1-EXP(-Presion_cilindro!$B$16*((Presion_cilindro!N208-(-H$4+Presion_cilindro!$B$34))/Presion_cilindro!$B$35)^(Presion_cilindro!$B$17+1)),0))/((Presion_cilindro!O208+Presion_cilindro!O209)/2)</f>
        <v>1.7397932779371021</v>
      </c>
      <c r="I217" s="27">
        <f>I216*(Presion_cilindro!O208/Presion_cilindro!O209)^Presion_cilindro!$B$9+10*(Presion_cilindro!$B$9-1)*Presion_cilindro!$B$33*(IF(Presion_cilindro!N209&gt;(-I$4+Presion_cilindro!$B$34),1-EXP(-Presion_cilindro!$B$16*((Presion_cilindro!N209-(-I$4+Presion_cilindro!$B$34))/Presion_cilindro!$B$35)^(Presion_cilindro!$B$17+1)),0)-IF(Presion_cilindro!N208&gt;(-I$4+Presion_cilindro!$B$34),1-EXP(-Presion_cilindro!$B$16*((Presion_cilindro!N208-(-I$4+Presion_cilindro!$B$34))/Presion_cilindro!$B$35)^(Presion_cilindro!$B$17+1)),0))/((Presion_cilindro!O208+Presion_cilindro!O209)/2)</f>
        <v>1.7397932779371021</v>
      </c>
      <c r="J217" s="27">
        <f>J216*(Presion_cilindro!O208/Presion_cilindro!O209)^Presion_cilindro!$B$9+10*(Presion_cilindro!$B$9-1)*Presion_cilindro!$B$33*(IF(Presion_cilindro!N209&gt;(-J$4+Presion_cilindro!$B$34),1-EXP(-Presion_cilindro!$B$16*((Presion_cilindro!N209-(-J$4+Presion_cilindro!$B$34))/Presion_cilindro!$B$35)^(Presion_cilindro!$B$17+1)),0)-IF(Presion_cilindro!N208&gt;(-J$4+Presion_cilindro!$B$34),1-EXP(-Presion_cilindro!$B$16*((Presion_cilindro!N208-(-J$4+Presion_cilindro!$B$34))/Presion_cilindro!$B$35)^(Presion_cilindro!$B$17+1)),0))/((Presion_cilindro!O208+Presion_cilindro!O209)/2)</f>
        <v>1.7397932779371021</v>
      </c>
      <c r="K217" s="27">
        <f>K216*(Presion_cilindro!O208/Presion_cilindro!O209)^Presion_cilindro!$B$9+10*(Presion_cilindro!$B$9-1)*Presion_cilindro!$B$33*(IF(Presion_cilindro!N209&gt;(-K$4+Presion_cilindro!$B$34),1-EXP(-Presion_cilindro!$B$16*((Presion_cilindro!N209-(-K$4+Presion_cilindro!$B$34))/Presion_cilindro!$B$35)^(Presion_cilindro!$B$17+1)),0)-IF(Presion_cilindro!N208&gt;(-K$4+Presion_cilindro!$B$34),1-EXP(-Presion_cilindro!$B$16*((Presion_cilindro!N208-(-K$4+Presion_cilindro!$B$34))/Presion_cilindro!$B$35)^(Presion_cilindro!$B$17+1)),0))/((Presion_cilindro!O208+Presion_cilindro!O209)/2)</f>
        <v>1.7397932779371021</v>
      </c>
      <c r="L217" s="27">
        <f>L216*(Presion_cilindro!O208/Presion_cilindro!O209)^Presion_cilindro!$B$9+10*(Presion_cilindro!$B$9-1)*Presion_cilindro!$B$33*(IF(Presion_cilindro!N209&gt;(-L$4+Presion_cilindro!$B$34),1-EXP(-Presion_cilindro!$B$16*((Presion_cilindro!N209-(-L$4+Presion_cilindro!$B$34))/Presion_cilindro!$B$35)^(Presion_cilindro!$B$17+1)),0)-IF(Presion_cilindro!N208&gt;(-L$4+Presion_cilindro!$B$34),1-EXP(-Presion_cilindro!$B$16*((Presion_cilindro!N208-(-L$4+Presion_cilindro!$B$34))/Presion_cilindro!$B$35)^(Presion_cilindro!$B$17+1)),0))/((Presion_cilindro!O208+Presion_cilindro!O209)/2)</f>
        <v>1.7397932779371021</v>
      </c>
      <c r="M217" s="27">
        <f>M216*(Presion_cilindro!O208/Presion_cilindro!O209)^Presion_cilindro!$B$9+10*(Presion_cilindro!$B$9-1)*Presion_cilindro!$B$33*(IF(Presion_cilindro!N209&gt;(-M$4+Presion_cilindro!$B$34),1-EXP(-Presion_cilindro!$B$16*((Presion_cilindro!N209-(-M$4+Presion_cilindro!$B$34))/Presion_cilindro!$B$35)^(Presion_cilindro!$B$17+1)),0)-IF(Presion_cilindro!N208&gt;(-M$4+Presion_cilindro!$B$34),1-EXP(-Presion_cilindro!$B$16*((Presion_cilindro!N208-(-M$4+Presion_cilindro!$B$34))/Presion_cilindro!$B$35)^(Presion_cilindro!$B$17+1)),0))/((Presion_cilindro!O208+Presion_cilindro!O209)/2)</f>
        <v>1.7397932779371021</v>
      </c>
      <c r="N217" s="27">
        <f>N216*(Presion_cilindro!O208/Presion_cilindro!O209)^Presion_cilindro!$B$9+10*(Presion_cilindro!$B$9-1)*Presion_cilindro!$B$33*(IF(Presion_cilindro!N209&gt;(-N$4+Presion_cilindro!$B$34),1-EXP(-Presion_cilindro!$B$16*((Presion_cilindro!N209-(-N$4+Presion_cilindro!$B$34))/Presion_cilindro!$B$35)^(Presion_cilindro!$B$17+1)),0)-IF(Presion_cilindro!N208&gt;(-N$4+Presion_cilindro!$B$34),1-EXP(-Presion_cilindro!$B$16*((Presion_cilindro!N208-(-N$4+Presion_cilindro!$B$34))/Presion_cilindro!$B$35)^(Presion_cilindro!$B$17+1)),0))/((Presion_cilindro!O208+Presion_cilindro!O209)/2)</f>
        <v>1.7397932779371021</v>
      </c>
    </row>
    <row r="218" spans="1:14" x14ac:dyDescent="0.25">
      <c r="A218" s="21">
        <f>Presion_cilindro!N210</f>
        <v>-77</v>
      </c>
      <c r="B218" s="27">
        <f>B217*(Presion_cilindro!O209/Presion_cilindro!O210)^Presion_cilindro!$B$9+10*(Presion_cilindro!$B$9-1)*Presion_cilindro!$B$33*(IF(Presion_cilindro!N210&gt;(-B$4+Presion_cilindro!$B$34),1-EXP(-Presion_cilindro!$B$16*((Presion_cilindro!N210-(-B$4+Presion_cilindro!$B$34))/Presion_cilindro!$B$35)^(Presion_cilindro!$B$17+1)),0)-IF(Presion_cilindro!N209&gt;(-B$4+Presion_cilindro!$B$34),1-EXP(-Presion_cilindro!$B$16*((Presion_cilindro!N209-(-B$4+Presion_cilindro!$B$34))/Presion_cilindro!$B$35)^(Presion_cilindro!$B$17+1)),0))/((Presion_cilindro!O209+Presion_cilindro!O210)/2)</f>
        <v>1.758298832578121</v>
      </c>
      <c r="C218" s="27">
        <f>C217*(Presion_cilindro!O209/Presion_cilindro!O210)^Presion_cilindro!$B$9+10*(Presion_cilindro!$B$9-1)*Presion_cilindro!$B$33*(IF(Presion_cilindro!N210&gt;(-C$4+Presion_cilindro!$B$34),1-EXP(-Presion_cilindro!$B$16*((Presion_cilindro!N210-(-C$4+Presion_cilindro!$B$34))/Presion_cilindro!$B$35)^(Presion_cilindro!$B$17+1)),0)-IF(Presion_cilindro!N209&gt;(-C$4+Presion_cilindro!$B$34),1-EXP(-Presion_cilindro!$B$16*((Presion_cilindro!N209-(-C$4+Presion_cilindro!$B$34))/Presion_cilindro!$B$35)^(Presion_cilindro!$B$17+1)),0))/((Presion_cilindro!O209+Presion_cilindro!O210)/2)</f>
        <v>1.758298832578121</v>
      </c>
      <c r="D218" s="27">
        <f>D217*(Presion_cilindro!O209/Presion_cilindro!O210)^Presion_cilindro!$B$9+10*(Presion_cilindro!$B$9-1)*Presion_cilindro!$B$33*(IF(Presion_cilindro!N210&gt;(-D$4+Presion_cilindro!$B$34),1-EXP(-Presion_cilindro!$B$16*((Presion_cilindro!N210-(-D$4+Presion_cilindro!$B$34))/Presion_cilindro!$B$35)^(Presion_cilindro!$B$17+1)),0)-IF(Presion_cilindro!N209&gt;(-D$4+Presion_cilindro!$B$34),1-EXP(-Presion_cilindro!$B$16*((Presion_cilindro!N209-(-D$4+Presion_cilindro!$B$34))/Presion_cilindro!$B$35)^(Presion_cilindro!$B$17+1)),0))/((Presion_cilindro!O209+Presion_cilindro!O210)/2)</f>
        <v>1.758298832578121</v>
      </c>
      <c r="E218" s="27">
        <f>E217*(Presion_cilindro!O209/Presion_cilindro!O210)^Presion_cilindro!$B$9+10*(Presion_cilindro!$B$9-1)*Presion_cilindro!$B$33*(IF(Presion_cilindro!N210&gt;(-E$4+Presion_cilindro!$B$34),1-EXP(-Presion_cilindro!$B$16*((Presion_cilindro!N210-(-E$4+Presion_cilindro!$B$34))/Presion_cilindro!$B$35)^(Presion_cilindro!$B$17+1)),0)-IF(Presion_cilindro!N209&gt;(-E$4+Presion_cilindro!$B$34),1-EXP(-Presion_cilindro!$B$16*((Presion_cilindro!N209-(-E$4+Presion_cilindro!$B$34))/Presion_cilindro!$B$35)^(Presion_cilindro!$B$17+1)),0))/((Presion_cilindro!O209+Presion_cilindro!O210)/2)</f>
        <v>1.758298832578121</v>
      </c>
      <c r="F218" s="27">
        <f>F217*(Presion_cilindro!O209/Presion_cilindro!O210)^Presion_cilindro!$B$9+10*(Presion_cilindro!$B$9-1)*Presion_cilindro!$B$33*(IF(Presion_cilindro!N210&gt;(-F$4+Presion_cilindro!$B$34),1-EXP(-Presion_cilindro!$B$16*((Presion_cilindro!N210-(-F$4+Presion_cilindro!$B$34))/Presion_cilindro!$B$35)^(Presion_cilindro!$B$17+1)),0)-IF(Presion_cilindro!N209&gt;(-F$4+Presion_cilindro!$B$34),1-EXP(-Presion_cilindro!$B$16*((Presion_cilindro!N209-(-F$4+Presion_cilindro!$B$34))/Presion_cilindro!$B$35)^(Presion_cilindro!$B$17+1)),0))/((Presion_cilindro!O209+Presion_cilindro!O210)/2)</f>
        <v>1.758298832578121</v>
      </c>
      <c r="G218" s="27">
        <f>G217*(Presion_cilindro!O209/Presion_cilindro!O210)^Presion_cilindro!$B$9+10*(Presion_cilindro!$B$9-1)*Presion_cilindro!$B$33*(IF(Presion_cilindro!N210&gt;(-G$4+Presion_cilindro!$B$34),1-EXP(-Presion_cilindro!$B$16*((Presion_cilindro!N210-(-G$4+Presion_cilindro!$B$34))/Presion_cilindro!$B$35)^(Presion_cilindro!$B$17+1)),0)-IF(Presion_cilindro!N209&gt;(-G$4+Presion_cilindro!$B$34),1-EXP(-Presion_cilindro!$B$16*((Presion_cilindro!N209-(-G$4+Presion_cilindro!$B$34))/Presion_cilindro!$B$35)^(Presion_cilindro!$B$17+1)),0))/((Presion_cilindro!O209+Presion_cilindro!O210)/2)</f>
        <v>1.758298832578121</v>
      </c>
      <c r="H218" s="27">
        <f>H217*(Presion_cilindro!O209/Presion_cilindro!O210)^Presion_cilindro!$B$9+10*(Presion_cilindro!$B$9-1)*Presion_cilindro!$B$33*(IF(Presion_cilindro!N210&gt;(-H$4+Presion_cilindro!$B$34),1-EXP(-Presion_cilindro!$B$16*((Presion_cilindro!N210-(-H$4+Presion_cilindro!$B$34))/Presion_cilindro!$B$35)^(Presion_cilindro!$B$17+1)),0)-IF(Presion_cilindro!N209&gt;(-H$4+Presion_cilindro!$B$34),1-EXP(-Presion_cilindro!$B$16*((Presion_cilindro!N209-(-H$4+Presion_cilindro!$B$34))/Presion_cilindro!$B$35)^(Presion_cilindro!$B$17+1)),0))/((Presion_cilindro!O209+Presion_cilindro!O210)/2)</f>
        <v>1.758298832578121</v>
      </c>
      <c r="I218" s="27">
        <f>I217*(Presion_cilindro!O209/Presion_cilindro!O210)^Presion_cilindro!$B$9+10*(Presion_cilindro!$B$9-1)*Presion_cilindro!$B$33*(IF(Presion_cilindro!N210&gt;(-I$4+Presion_cilindro!$B$34),1-EXP(-Presion_cilindro!$B$16*((Presion_cilindro!N210-(-I$4+Presion_cilindro!$B$34))/Presion_cilindro!$B$35)^(Presion_cilindro!$B$17+1)),0)-IF(Presion_cilindro!N209&gt;(-I$4+Presion_cilindro!$B$34),1-EXP(-Presion_cilindro!$B$16*((Presion_cilindro!N209-(-I$4+Presion_cilindro!$B$34))/Presion_cilindro!$B$35)^(Presion_cilindro!$B$17+1)),0))/((Presion_cilindro!O209+Presion_cilindro!O210)/2)</f>
        <v>1.758298832578121</v>
      </c>
      <c r="J218" s="27">
        <f>J217*(Presion_cilindro!O209/Presion_cilindro!O210)^Presion_cilindro!$B$9+10*(Presion_cilindro!$B$9-1)*Presion_cilindro!$B$33*(IF(Presion_cilindro!N210&gt;(-J$4+Presion_cilindro!$B$34),1-EXP(-Presion_cilindro!$B$16*((Presion_cilindro!N210-(-J$4+Presion_cilindro!$B$34))/Presion_cilindro!$B$35)^(Presion_cilindro!$B$17+1)),0)-IF(Presion_cilindro!N209&gt;(-J$4+Presion_cilindro!$B$34),1-EXP(-Presion_cilindro!$B$16*((Presion_cilindro!N209-(-J$4+Presion_cilindro!$B$34))/Presion_cilindro!$B$35)^(Presion_cilindro!$B$17+1)),0))/((Presion_cilindro!O209+Presion_cilindro!O210)/2)</f>
        <v>1.758298832578121</v>
      </c>
      <c r="K218" s="27">
        <f>K217*(Presion_cilindro!O209/Presion_cilindro!O210)^Presion_cilindro!$B$9+10*(Presion_cilindro!$B$9-1)*Presion_cilindro!$B$33*(IF(Presion_cilindro!N210&gt;(-K$4+Presion_cilindro!$B$34),1-EXP(-Presion_cilindro!$B$16*((Presion_cilindro!N210-(-K$4+Presion_cilindro!$B$34))/Presion_cilindro!$B$35)^(Presion_cilindro!$B$17+1)),0)-IF(Presion_cilindro!N209&gt;(-K$4+Presion_cilindro!$B$34),1-EXP(-Presion_cilindro!$B$16*((Presion_cilindro!N209-(-K$4+Presion_cilindro!$B$34))/Presion_cilindro!$B$35)^(Presion_cilindro!$B$17+1)),0))/((Presion_cilindro!O209+Presion_cilindro!O210)/2)</f>
        <v>1.758298832578121</v>
      </c>
      <c r="L218" s="27">
        <f>L217*(Presion_cilindro!O209/Presion_cilindro!O210)^Presion_cilindro!$B$9+10*(Presion_cilindro!$B$9-1)*Presion_cilindro!$B$33*(IF(Presion_cilindro!N210&gt;(-L$4+Presion_cilindro!$B$34),1-EXP(-Presion_cilindro!$B$16*((Presion_cilindro!N210-(-L$4+Presion_cilindro!$B$34))/Presion_cilindro!$B$35)^(Presion_cilindro!$B$17+1)),0)-IF(Presion_cilindro!N209&gt;(-L$4+Presion_cilindro!$B$34),1-EXP(-Presion_cilindro!$B$16*((Presion_cilindro!N209-(-L$4+Presion_cilindro!$B$34))/Presion_cilindro!$B$35)^(Presion_cilindro!$B$17+1)),0))/((Presion_cilindro!O209+Presion_cilindro!O210)/2)</f>
        <v>1.758298832578121</v>
      </c>
      <c r="M218" s="27">
        <f>M217*(Presion_cilindro!O209/Presion_cilindro!O210)^Presion_cilindro!$B$9+10*(Presion_cilindro!$B$9-1)*Presion_cilindro!$B$33*(IF(Presion_cilindro!N210&gt;(-M$4+Presion_cilindro!$B$34),1-EXP(-Presion_cilindro!$B$16*((Presion_cilindro!N210-(-M$4+Presion_cilindro!$B$34))/Presion_cilindro!$B$35)^(Presion_cilindro!$B$17+1)),0)-IF(Presion_cilindro!N209&gt;(-M$4+Presion_cilindro!$B$34),1-EXP(-Presion_cilindro!$B$16*((Presion_cilindro!N209-(-M$4+Presion_cilindro!$B$34))/Presion_cilindro!$B$35)^(Presion_cilindro!$B$17+1)),0))/((Presion_cilindro!O209+Presion_cilindro!O210)/2)</f>
        <v>1.758298832578121</v>
      </c>
      <c r="N218" s="27">
        <f>N217*(Presion_cilindro!O209/Presion_cilindro!O210)^Presion_cilindro!$B$9+10*(Presion_cilindro!$B$9-1)*Presion_cilindro!$B$33*(IF(Presion_cilindro!N210&gt;(-N$4+Presion_cilindro!$B$34),1-EXP(-Presion_cilindro!$B$16*((Presion_cilindro!N210-(-N$4+Presion_cilindro!$B$34))/Presion_cilindro!$B$35)^(Presion_cilindro!$B$17+1)),0)-IF(Presion_cilindro!N209&gt;(-N$4+Presion_cilindro!$B$34),1-EXP(-Presion_cilindro!$B$16*((Presion_cilindro!N209-(-N$4+Presion_cilindro!$B$34))/Presion_cilindro!$B$35)^(Presion_cilindro!$B$17+1)),0))/((Presion_cilindro!O209+Presion_cilindro!O210)/2)</f>
        <v>1.758298832578121</v>
      </c>
    </row>
    <row r="219" spans="1:14" x14ac:dyDescent="0.25">
      <c r="A219" s="21">
        <f>Presion_cilindro!N211</f>
        <v>-76.5</v>
      </c>
      <c r="B219" s="27">
        <f>B218*(Presion_cilindro!O210/Presion_cilindro!O211)^Presion_cilindro!$B$9+10*(Presion_cilindro!$B$9-1)*Presion_cilindro!$B$33*(IF(Presion_cilindro!N211&gt;(-B$4+Presion_cilindro!$B$34),1-EXP(-Presion_cilindro!$B$16*((Presion_cilindro!N211-(-B$4+Presion_cilindro!$B$34))/Presion_cilindro!$B$35)^(Presion_cilindro!$B$17+1)),0)-IF(Presion_cilindro!N210&gt;(-B$4+Presion_cilindro!$B$34),1-EXP(-Presion_cilindro!$B$16*((Presion_cilindro!N210-(-B$4+Presion_cilindro!$B$34))/Presion_cilindro!$B$35)^(Presion_cilindro!$B$17+1)),0))/((Presion_cilindro!O210+Presion_cilindro!O211)/2)</f>
        <v>1.7771585755638371</v>
      </c>
      <c r="C219" s="27">
        <f>C218*(Presion_cilindro!O210/Presion_cilindro!O211)^Presion_cilindro!$B$9+10*(Presion_cilindro!$B$9-1)*Presion_cilindro!$B$33*(IF(Presion_cilindro!N211&gt;(-C$4+Presion_cilindro!$B$34),1-EXP(-Presion_cilindro!$B$16*((Presion_cilindro!N211-(-C$4+Presion_cilindro!$B$34))/Presion_cilindro!$B$35)^(Presion_cilindro!$B$17+1)),0)-IF(Presion_cilindro!N210&gt;(-C$4+Presion_cilindro!$B$34),1-EXP(-Presion_cilindro!$B$16*((Presion_cilindro!N210-(-C$4+Presion_cilindro!$B$34))/Presion_cilindro!$B$35)^(Presion_cilindro!$B$17+1)),0))/((Presion_cilindro!O210+Presion_cilindro!O211)/2)</f>
        <v>1.7771585755638371</v>
      </c>
      <c r="D219" s="27">
        <f>D218*(Presion_cilindro!O210/Presion_cilindro!O211)^Presion_cilindro!$B$9+10*(Presion_cilindro!$B$9-1)*Presion_cilindro!$B$33*(IF(Presion_cilindro!N211&gt;(-D$4+Presion_cilindro!$B$34),1-EXP(-Presion_cilindro!$B$16*((Presion_cilindro!N211-(-D$4+Presion_cilindro!$B$34))/Presion_cilindro!$B$35)^(Presion_cilindro!$B$17+1)),0)-IF(Presion_cilindro!N210&gt;(-D$4+Presion_cilindro!$B$34),1-EXP(-Presion_cilindro!$B$16*((Presion_cilindro!N210-(-D$4+Presion_cilindro!$B$34))/Presion_cilindro!$B$35)^(Presion_cilindro!$B$17+1)),0))/((Presion_cilindro!O210+Presion_cilindro!O211)/2)</f>
        <v>1.7771585755638371</v>
      </c>
      <c r="E219" s="27">
        <f>E218*(Presion_cilindro!O210/Presion_cilindro!O211)^Presion_cilindro!$B$9+10*(Presion_cilindro!$B$9-1)*Presion_cilindro!$B$33*(IF(Presion_cilindro!N211&gt;(-E$4+Presion_cilindro!$B$34),1-EXP(-Presion_cilindro!$B$16*((Presion_cilindro!N211-(-E$4+Presion_cilindro!$B$34))/Presion_cilindro!$B$35)^(Presion_cilindro!$B$17+1)),0)-IF(Presion_cilindro!N210&gt;(-E$4+Presion_cilindro!$B$34),1-EXP(-Presion_cilindro!$B$16*((Presion_cilindro!N210-(-E$4+Presion_cilindro!$B$34))/Presion_cilindro!$B$35)^(Presion_cilindro!$B$17+1)),0))/((Presion_cilindro!O210+Presion_cilindro!O211)/2)</f>
        <v>1.7771585755638371</v>
      </c>
      <c r="F219" s="27">
        <f>F218*(Presion_cilindro!O210/Presion_cilindro!O211)^Presion_cilindro!$B$9+10*(Presion_cilindro!$B$9-1)*Presion_cilindro!$B$33*(IF(Presion_cilindro!N211&gt;(-F$4+Presion_cilindro!$B$34),1-EXP(-Presion_cilindro!$B$16*((Presion_cilindro!N211-(-F$4+Presion_cilindro!$B$34))/Presion_cilindro!$B$35)^(Presion_cilindro!$B$17+1)),0)-IF(Presion_cilindro!N210&gt;(-F$4+Presion_cilindro!$B$34),1-EXP(-Presion_cilindro!$B$16*((Presion_cilindro!N210-(-F$4+Presion_cilindro!$B$34))/Presion_cilindro!$B$35)^(Presion_cilindro!$B$17+1)),0))/((Presion_cilindro!O210+Presion_cilindro!O211)/2)</f>
        <v>1.7771585755638371</v>
      </c>
      <c r="G219" s="27">
        <f>G218*(Presion_cilindro!O210/Presion_cilindro!O211)^Presion_cilindro!$B$9+10*(Presion_cilindro!$B$9-1)*Presion_cilindro!$B$33*(IF(Presion_cilindro!N211&gt;(-G$4+Presion_cilindro!$B$34),1-EXP(-Presion_cilindro!$B$16*((Presion_cilindro!N211-(-G$4+Presion_cilindro!$B$34))/Presion_cilindro!$B$35)^(Presion_cilindro!$B$17+1)),0)-IF(Presion_cilindro!N210&gt;(-G$4+Presion_cilindro!$B$34),1-EXP(-Presion_cilindro!$B$16*((Presion_cilindro!N210-(-G$4+Presion_cilindro!$B$34))/Presion_cilindro!$B$35)^(Presion_cilindro!$B$17+1)),0))/((Presion_cilindro!O210+Presion_cilindro!O211)/2)</f>
        <v>1.7771585755638371</v>
      </c>
      <c r="H219" s="27">
        <f>H218*(Presion_cilindro!O210/Presion_cilindro!O211)^Presion_cilindro!$B$9+10*(Presion_cilindro!$B$9-1)*Presion_cilindro!$B$33*(IF(Presion_cilindro!N211&gt;(-H$4+Presion_cilindro!$B$34),1-EXP(-Presion_cilindro!$B$16*((Presion_cilindro!N211-(-H$4+Presion_cilindro!$B$34))/Presion_cilindro!$B$35)^(Presion_cilindro!$B$17+1)),0)-IF(Presion_cilindro!N210&gt;(-H$4+Presion_cilindro!$B$34),1-EXP(-Presion_cilindro!$B$16*((Presion_cilindro!N210-(-H$4+Presion_cilindro!$B$34))/Presion_cilindro!$B$35)^(Presion_cilindro!$B$17+1)),0))/((Presion_cilindro!O210+Presion_cilindro!O211)/2)</f>
        <v>1.7771585755638371</v>
      </c>
      <c r="I219" s="27">
        <f>I218*(Presion_cilindro!O210/Presion_cilindro!O211)^Presion_cilindro!$B$9+10*(Presion_cilindro!$B$9-1)*Presion_cilindro!$B$33*(IF(Presion_cilindro!N211&gt;(-I$4+Presion_cilindro!$B$34),1-EXP(-Presion_cilindro!$B$16*((Presion_cilindro!N211-(-I$4+Presion_cilindro!$B$34))/Presion_cilindro!$B$35)^(Presion_cilindro!$B$17+1)),0)-IF(Presion_cilindro!N210&gt;(-I$4+Presion_cilindro!$B$34),1-EXP(-Presion_cilindro!$B$16*((Presion_cilindro!N210-(-I$4+Presion_cilindro!$B$34))/Presion_cilindro!$B$35)^(Presion_cilindro!$B$17+1)),0))/((Presion_cilindro!O210+Presion_cilindro!O211)/2)</f>
        <v>1.7771585755638371</v>
      </c>
      <c r="J219" s="27">
        <f>J218*(Presion_cilindro!O210/Presion_cilindro!O211)^Presion_cilindro!$B$9+10*(Presion_cilindro!$B$9-1)*Presion_cilindro!$B$33*(IF(Presion_cilindro!N211&gt;(-J$4+Presion_cilindro!$B$34),1-EXP(-Presion_cilindro!$B$16*((Presion_cilindro!N211-(-J$4+Presion_cilindro!$B$34))/Presion_cilindro!$B$35)^(Presion_cilindro!$B$17+1)),0)-IF(Presion_cilindro!N210&gt;(-J$4+Presion_cilindro!$B$34),1-EXP(-Presion_cilindro!$B$16*((Presion_cilindro!N210-(-J$4+Presion_cilindro!$B$34))/Presion_cilindro!$B$35)^(Presion_cilindro!$B$17+1)),0))/((Presion_cilindro!O210+Presion_cilindro!O211)/2)</f>
        <v>1.7771585755638371</v>
      </c>
      <c r="K219" s="27">
        <f>K218*(Presion_cilindro!O210/Presion_cilindro!O211)^Presion_cilindro!$B$9+10*(Presion_cilindro!$B$9-1)*Presion_cilindro!$B$33*(IF(Presion_cilindro!N211&gt;(-K$4+Presion_cilindro!$B$34),1-EXP(-Presion_cilindro!$B$16*((Presion_cilindro!N211-(-K$4+Presion_cilindro!$B$34))/Presion_cilindro!$B$35)^(Presion_cilindro!$B$17+1)),0)-IF(Presion_cilindro!N210&gt;(-K$4+Presion_cilindro!$B$34),1-EXP(-Presion_cilindro!$B$16*((Presion_cilindro!N210-(-K$4+Presion_cilindro!$B$34))/Presion_cilindro!$B$35)^(Presion_cilindro!$B$17+1)),0))/((Presion_cilindro!O210+Presion_cilindro!O211)/2)</f>
        <v>1.7771585755638371</v>
      </c>
      <c r="L219" s="27">
        <f>L218*(Presion_cilindro!O210/Presion_cilindro!O211)^Presion_cilindro!$B$9+10*(Presion_cilindro!$B$9-1)*Presion_cilindro!$B$33*(IF(Presion_cilindro!N211&gt;(-L$4+Presion_cilindro!$B$34),1-EXP(-Presion_cilindro!$B$16*((Presion_cilindro!N211-(-L$4+Presion_cilindro!$B$34))/Presion_cilindro!$B$35)^(Presion_cilindro!$B$17+1)),0)-IF(Presion_cilindro!N210&gt;(-L$4+Presion_cilindro!$B$34),1-EXP(-Presion_cilindro!$B$16*((Presion_cilindro!N210-(-L$4+Presion_cilindro!$B$34))/Presion_cilindro!$B$35)^(Presion_cilindro!$B$17+1)),0))/((Presion_cilindro!O210+Presion_cilindro!O211)/2)</f>
        <v>1.7771585755638371</v>
      </c>
      <c r="M219" s="27">
        <f>M218*(Presion_cilindro!O210/Presion_cilindro!O211)^Presion_cilindro!$B$9+10*(Presion_cilindro!$B$9-1)*Presion_cilindro!$B$33*(IF(Presion_cilindro!N211&gt;(-M$4+Presion_cilindro!$B$34),1-EXP(-Presion_cilindro!$B$16*((Presion_cilindro!N211-(-M$4+Presion_cilindro!$B$34))/Presion_cilindro!$B$35)^(Presion_cilindro!$B$17+1)),0)-IF(Presion_cilindro!N210&gt;(-M$4+Presion_cilindro!$B$34),1-EXP(-Presion_cilindro!$B$16*((Presion_cilindro!N210-(-M$4+Presion_cilindro!$B$34))/Presion_cilindro!$B$35)^(Presion_cilindro!$B$17+1)),0))/((Presion_cilindro!O210+Presion_cilindro!O211)/2)</f>
        <v>1.7771585755638371</v>
      </c>
      <c r="N219" s="27">
        <f>N218*(Presion_cilindro!O210/Presion_cilindro!O211)^Presion_cilindro!$B$9+10*(Presion_cilindro!$B$9-1)*Presion_cilindro!$B$33*(IF(Presion_cilindro!N211&gt;(-N$4+Presion_cilindro!$B$34),1-EXP(-Presion_cilindro!$B$16*((Presion_cilindro!N211-(-N$4+Presion_cilindro!$B$34))/Presion_cilindro!$B$35)^(Presion_cilindro!$B$17+1)),0)-IF(Presion_cilindro!N210&gt;(-N$4+Presion_cilindro!$B$34),1-EXP(-Presion_cilindro!$B$16*((Presion_cilindro!N210-(-N$4+Presion_cilindro!$B$34))/Presion_cilindro!$B$35)^(Presion_cilindro!$B$17+1)),0))/((Presion_cilindro!O210+Presion_cilindro!O211)/2)</f>
        <v>1.7771585755638371</v>
      </c>
    </row>
    <row r="220" spans="1:14" x14ac:dyDescent="0.25">
      <c r="A220" s="21">
        <f>Presion_cilindro!N212</f>
        <v>-76</v>
      </c>
      <c r="B220" s="27">
        <f>B219*(Presion_cilindro!O211/Presion_cilindro!O212)^Presion_cilindro!$B$9+10*(Presion_cilindro!$B$9-1)*Presion_cilindro!$B$33*(IF(Presion_cilindro!N212&gt;(-B$4+Presion_cilindro!$B$34),1-EXP(-Presion_cilindro!$B$16*((Presion_cilindro!N212-(-B$4+Presion_cilindro!$B$34))/Presion_cilindro!$B$35)^(Presion_cilindro!$B$17+1)),0)-IF(Presion_cilindro!N211&gt;(-B$4+Presion_cilindro!$B$34),1-EXP(-Presion_cilindro!$B$16*((Presion_cilindro!N211-(-B$4+Presion_cilindro!$B$34))/Presion_cilindro!$B$35)^(Presion_cilindro!$B$17+1)),0))/((Presion_cilindro!O211+Presion_cilindro!O212)/2)</f>
        <v>1.7963805075515631</v>
      </c>
      <c r="C220" s="27">
        <f>C219*(Presion_cilindro!O211/Presion_cilindro!O212)^Presion_cilindro!$B$9+10*(Presion_cilindro!$B$9-1)*Presion_cilindro!$B$33*(IF(Presion_cilindro!N212&gt;(-C$4+Presion_cilindro!$B$34),1-EXP(-Presion_cilindro!$B$16*((Presion_cilindro!N212-(-C$4+Presion_cilindro!$B$34))/Presion_cilindro!$B$35)^(Presion_cilindro!$B$17+1)),0)-IF(Presion_cilindro!N211&gt;(-C$4+Presion_cilindro!$B$34),1-EXP(-Presion_cilindro!$B$16*((Presion_cilindro!N211-(-C$4+Presion_cilindro!$B$34))/Presion_cilindro!$B$35)^(Presion_cilindro!$B$17+1)),0))/((Presion_cilindro!O211+Presion_cilindro!O212)/2)</f>
        <v>1.7963805075515631</v>
      </c>
      <c r="D220" s="27">
        <f>D219*(Presion_cilindro!O211/Presion_cilindro!O212)^Presion_cilindro!$B$9+10*(Presion_cilindro!$B$9-1)*Presion_cilindro!$B$33*(IF(Presion_cilindro!N212&gt;(-D$4+Presion_cilindro!$B$34),1-EXP(-Presion_cilindro!$B$16*((Presion_cilindro!N212-(-D$4+Presion_cilindro!$B$34))/Presion_cilindro!$B$35)^(Presion_cilindro!$B$17+1)),0)-IF(Presion_cilindro!N211&gt;(-D$4+Presion_cilindro!$B$34),1-EXP(-Presion_cilindro!$B$16*((Presion_cilindro!N211-(-D$4+Presion_cilindro!$B$34))/Presion_cilindro!$B$35)^(Presion_cilindro!$B$17+1)),0))/((Presion_cilindro!O211+Presion_cilindro!O212)/2)</f>
        <v>1.7963805075515631</v>
      </c>
      <c r="E220" s="27">
        <f>E219*(Presion_cilindro!O211/Presion_cilindro!O212)^Presion_cilindro!$B$9+10*(Presion_cilindro!$B$9-1)*Presion_cilindro!$B$33*(IF(Presion_cilindro!N212&gt;(-E$4+Presion_cilindro!$B$34),1-EXP(-Presion_cilindro!$B$16*((Presion_cilindro!N212-(-E$4+Presion_cilindro!$B$34))/Presion_cilindro!$B$35)^(Presion_cilindro!$B$17+1)),0)-IF(Presion_cilindro!N211&gt;(-E$4+Presion_cilindro!$B$34),1-EXP(-Presion_cilindro!$B$16*((Presion_cilindro!N211-(-E$4+Presion_cilindro!$B$34))/Presion_cilindro!$B$35)^(Presion_cilindro!$B$17+1)),0))/((Presion_cilindro!O211+Presion_cilindro!O212)/2)</f>
        <v>1.7963805075515631</v>
      </c>
      <c r="F220" s="27">
        <f>F219*(Presion_cilindro!O211/Presion_cilindro!O212)^Presion_cilindro!$B$9+10*(Presion_cilindro!$B$9-1)*Presion_cilindro!$B$33*(IF(Presion_cilindro!N212&gt;(-F$4+Presion_cilindro!$B$34),1-EXP(-Presion_cilindro!$B$16*((Presion_cilindro!N212-(-F$4+Presion_cilindro!$B$34))/Presion_cilindro!$B$35)^(Presion_cilindro!$B$17+1)),0)-IF(Presion_cilindro!N211&gt;(-F$4+Presion_cilindro!$B$34),1-EXP(-Presion_cilindro!$B$16*((Presion_cilindro!N211-(-F$4+Presion_cilindro!$B$34))/Presion_cilindro!$B$35)^(Presion_cilindro!$B$17+1)),0))/((Presion_cilindro!O211+Presion_cilindro!O212)/2)</f>
        <v>1.7963805075515631</v>
      </c>
      <c r="G220" s="27">
        <f>G219*(Presion_cilindro!O211/Presion_cilindro!O212)^Presion_cilindro!$B$9+10*(Presion_cilindro!$B$9-1)*Presion_cilindro!$B$33*(IF(Presion_cilindro!N212&gt;(-G$4+Presion_cilindro!$B$34),1-EXP(-Presion_cilindro!$B$16*((Presion_cilindro!N212-(-G$4+Presion_cilindro!$B$34))/Presion_cilindro!$B$35)^(Presion_cilindro!$B$17+1)),0)-IF(Presion_cilindro!N211&gt;(-G$4+Presion_cilindro!$B$34),1-EXP(-Presion_cilindro!$B$16*((Presion_cilindro!N211-(-G$4+Presion_cilindro!$B$34))/Presion_cilindro!$B$35)^(Presion_cilindro!$B$17+1)),0))/((Presion_cilindro!O211+Presion_cilindro!O212)/2)</f>
        <v>1.7963805075515631</v>
      </c>
      <c r="H220" s="27">
        <f>H219*(Presion_cilindro!O211/Presion_cilindro!O212)^Presion_cilindro!$B$9+10*(Presion_cilindro!$B$9-1)*Presion_cilindro!$B$33*(IF(Presion_cilindro!N212&gt;(-H$4+Presion_cilindro!$B$34),1-EXP(-Presion_cilindro!$B$16*((Presion_cilindro!N212-(-H$4+Presion_cilindro!$B$34))/Presion_cilindro!$B$35)^(Presion_cilindro!$B$17+1)),0)-IF(Presion_cilindro!N211&gt;(-H$4+Presion_cilindro!$B$34),1-EXP(-Presion_cilindro!$B$16*((Presion_cilindro!N211-(-H$4+Presion_cilindro!$B$34))/Presion_cilindro!$B$35)^(Presion_cilindro!$B$17+1)),0))/((Presion_cilindro!O211+Presion_cilindro!O212)/2)</f>
        <v>1.7963805075515631</v>
      </c>
      <c r="I220" s="27">
        <f>I219*(Presion_cilindro!O211/Presion_cilindro!O212)^Presion_cilindro!$B$9+10*(Presion_cilindro!$B$9-1)*Presion_cilindro!$B$33*(IF(Presion_cilindro!N212&gt;(-I$4+Presion_cilindro!$B$34),1-EXP(-Presion_cilindro!$B$16*((Presion_cilindro!N212-(-I$4+Presion_cilindro!$B$34))/Presion_cilindro!$B$35)^(Presion_cilindro!$B$17+1)),0)-IF(Presion_cilindro!N211&gt;(-I$4+Presion_cilindro!$B$34),1-EXP(-Presion_cilindro!$B$16*((Presion_cilindro!N211-(-I$4+Presion_cilindro!$B$34))/Presion_cilindro!$B$35)^(Presion_cilindro!$B$17+1)),0))/((Presion_cilindro!O211+Presion_cilindro!O212)/2)</f>
        <v>1.7963805075515631</v>
      </c>
      <c r="J220" s="27">
        <f>J219*(Presion_cilindro!O211/Presion_cilindro!O212)^Presion_cilindro!$B$9+10*(Presion_cilindro!$B$9-1)*Presion_cilindro!$B$33*(IF(Presion_cilindro!N212&gt;(-J$4+Presion_cilindro!$B$34),1-EXP(-Presion_cilindro!$B$16*((Presion_cilindro!N212-(-J$4+Presion_cilindro!$B$34))/Presion_cilindro!$B$35)^(Presion_cilindro!$B$17+1)),0)-IF(Presion_cilindro!N211&gt;(-J$4+Presion_cilindro!$B$34),1-EXP(-Presion_cilindro!$B$16*((Presion_cilindro!N211-(-J$4+Presion_cilindro!$B$34))/Presion_cilindro!$B$35)^(Presion_cilindro!$B$17+1)),0))/((Presion_cilindro!O211+Presion_cilindro!O212)/2)</f>
        <v>1.7963805075515631</v>
      </c>
      <c r="K220" s="27">
        <f>K219*(Presion_cilindro!O211/Presion_cilindro!O212)^Presion_cilindro!$B$9+10*(Presion_cilindro!$B$9-1)*Presion_cilindro!$B$33*(IF(Presion_cilindro!N212&gt;(-K$4+Presion_cilindro!$B$34),1-EXP(-Presion_cilindro!$B$16*((Presion_cilindro!N212-(-K$4+Presion_cilindro!$B$34))/Presion_cilindro!$B$35)^(Presion_cilindro!$B$17+1)),0)-IF(Presion_cilindro!N211&gt;(-K$4+Presion_cilindro!$B$34),1-EXP(-Presion_cilindro!$B$16*((Presion_cilindro!N211-(-K$4+Presion_cilindro!$B$34))/Presion_cilindro!$B$35)^(Presion_cilindro!$B$17+1)),0))/((Presion_cilindro!O211+Presion_cilindro!O212)/2)</f>
        <v>1.7963805075515631</v>
      </c>
      <c r="L220" s="27">
        <f>L219*(Presion_cilindro!O211/Presion_cilindro!O212)^Presion_cilindro!$B$9+10*(Presion_cilindro!$B$9-1)*Presion_cilindro!$B$33*(IF(Presion_cilindro!N212&gt;(-L$4+Presion_cilindro!$B$34),1-EXP(-Presion_cilindro!$B$16*((Presion_cilindro!N212-(-L$4+Presion_cilindro!$B$34))/Presion_cilindro!$B$35)^(Presion_cilindro!$B$17+1)),0)-IF(Presion_cilindro!N211&gt;(-L$4+Presion_cilindro!$B$34),1-EXP(-Presion_cilindro!$B$16*((Presion_cilindro!N211-(-L$4+Presion_cilindro!$B$34))/Presion_cilindro!$B$35)^(Presion_cilindro!$B$17+1)),0))/((Presion_cilindro!O211+Presion_cilindro!O212)/2)</f>
        <v>1.7963805075515631</v>
      </c>
      <c r="M220" s="27">
        <f>M219*(Presion_cilindro!O211/Presion_cilindro!O212)^Presion_cilindro!$B$9+10*(Presion_cilindro!$B$9-1)*Presion_cilindro!$B$33*(IF(Presion_cilindro!N212&gt;(-M$4+Presion_cilindro!$B$34),1-EXP(-Presion_cilindro!$B$16*((Presion_cilindro!N212-(-M$4+Presion_cilindro!$B$34))/Presion_cilindro!$B$35)^(Presion_cilindro!$B$17+1)),0)-IF(Presion_cilindro!N211&gt;(-M$4+Presion_cilindro!$B$34),1-EXP(-Presion_cilindro!$B$16*((Presion_cilindro!N211-(-M$4+Presion_cilindro!$B$34))/Presion_cilindro!$B$35)^(Presion_cilindro!$B$17+1)),0))/((Presion_cilindro!O211+Presion_cilindro!O212)/2)</f>
        <v>1.7963805075515631</v>
      </c>
      <c r="N220" s="27">
        <f>N219*(Presion_cilindro!O211/Presion_cilindro!O212)^Presion_cilindro!$B$9+10*(Presion_cilindro!$B$9-1)*Presion_cilindro!$B$33*(IF(Presion_cilindro!N212&gt;(-N$4+Presion_cilindro!$B$34),1-EXP(-Presion_cilindro!$B$16*((Presion_cilindro!N212-(-N$4+Presion_cilindro!$B$34))/Presion_cilindro!$B$35)^(Presion_cilindro!$B$17+1)),0)-IF(Presion_cilindro!N211&gt;(-N$4+Presion_cilindro!$B$34),1-EXP(-Presion_cilindro!$B$16*((Presion_cilindro!N211-(-N$4+Presion_cilindro!$B$34))/Presion_cilindro!$B$35)^(Presion_cilindro!$B$17+1)),0))/((Presion_cilindro!O211+Presion_cilindro!O212)/2)</f>
        <v>1.7963805075515631</v>
      </c>
    </row>
    <row r="221" spans="1:14" x14ac:dyDescent="0.25">
      <c r="A221" s="21">
        <f>Presion_cilindro!N213</f>
        <v>-75.5</v>
      </c>
      <c r="B221" s="27">
        <f>B220*(Presion_cilindro!O212/Presion_cilindro!O213)^Presion_cilindro!$B$9+10*(Presion_cilindro!$B$9-1)*Presion_cilindro!$B$33*(IF(Presion_cilindro!N213&gt;(-B$4+Presion_cilindro!$B$34),1-EXP(-Presion_cilindro!$B$16*((Presion_cilindro!N213-(-B$4+Presion_cilindro!$B$34))/Presion_cilindro!$B$35)^(Presion_cilindro!$B$17+1)),0)-IF(Presion_cilindro!N212&gt;(-B$4+Presion_cilindro!$B$34),1-EXP(-Presion_cilindro!$B$16*((Presion_cilindro!N212-(-B$4+Presion_cilindro!$B$34))/Presion_cilindro!$B$35)^(Presion_cilindro!$B$17+1)),0))/((Presion_cilindro!O212+Presion_cilindro!O213)/2)</f>
        <v>1.8159728359482918</v>
      </c>
      <c r="C221" s="27">
        <f>C220*(Presion_cilindro!O212/Presion_cilindro!O213)^Presion_cilindro!$B$9+10*(Presion_cilindro!$B$9-1)*Presion_cilindro!$B$33*(IF(Presion_cilindro!N213&gt;(-C$4+Presion_cilindro!$B$34),1-EXP(-Presion_cilindro!$B$16*((Presion_cilindro!N213-(-C$4+Presion_cilindro!$B$34))/Presion_cilindro!$B$35)^(Presion_cilindro!$B$17+1)),0)-IF(Presion_cilindro!N212&gt;(-C$4+Presion_cilindro!$B$34),1-EXP(-Presion_cilindro!$B$16*((Presion_cilindro!N212-(-C$4+Presion_cilindro!$B$34))/Presion_cilindro!$B$35)^(Presion_cilindro!$B$17+1)),0))/((Presion_cilindro!O212+Presion_cilindro!O213)/2)</f>
        <v>1.8159728359482918</v>
      </c>
      <c r="D221" s="27">
        <f>D220*(Presion_cilindro!O212/Presion_cilindro!O213)^Presion_cilindro!$B$9+10*(Presion_cilindro!$B$9-1)*Presion_cilindro!$B$33*(IF(Presion_cilindro!N213&gt;(-D$4+Presion_cilindro!$B$34),1-EXP(-Presion_cilindro!$B$16*((Presion_cilindro!N213-(-D$4+Presion_cilindro!$B$34))/Presion_cilindro!$B$35)^(Presion_cilindro!$B$17+1)),0)-IF(Presion_cilindro!N212&gt;(-D$4+Presion_cilindro!$B$34),1-EXP(-Presion_cilindro!$B$16*((Presion_cilindro!N212-(-D$4+Presion_cilindro!$B$34))/Presion_cilindro!$B$35)^(Presion_cilindro!$B$17+1)),0))/((Presion_cilindro!O212+Presion_cilindro!O213)/2)</f>
        <v>1.8159728359482918</v>
      </c>
      <c r="E221" s="27">
        <f>E220*(Presion_cilindro!O212/Presion_cilindro!O213)^Presion_cilindro!$B$9+10*(Presion_cilindro!$B$9-1)*Presion_cilindro!$B$33*(IF(Presion_cilindro!N213&gt;(-E$4+Presion_cilindro!$B$34),1-EXP(-Presion_cilindro!$B$16*((Presion_cilindro!N213-(-E$4+Presion_cilindro!$B$34))/Presion_cilindro!$B$35)^(Presion_cilindro!$B$17+1)),0)-IF(Presion_cilindro!N212&gt;(-E$4+Presion_cilindro!$B$34),1-EXP(-Presion_cilindro!$B$16*((Presion_cilindro!N212-(-E$4+Presion_cilindro!$B$34))/Presion_cilindro!$B$35)^(Presion_cilindro!$B$17+1)),0))/((Presion_cilindro!O212+Presion_cilindro!O213)/2)</f>
        <v>1.8159728359482918</v>
      </c>
      <c r="F221" s="27">
        <f>F220*(Presion_cilindro!O212/Presion_cilindro!O213)^Presion_cilindro!$B$9+10*(Presion_cilindro!$B$9-1)*Presion_cilindro!$B$33*(IF(Presion_cilindro!N213&gt;(-F$4+Presion_cilindro!$B$34),1-EXP(-Presion_cilindro!$B$16*((Presion_cilindro!N213-(-F$4+Presion_cilindro!$B$34))/Presion_cilindro!$B$35)^(Presion_cilindro!$B$17+1)),0)-IF(Presion_cilindro!N212&gt;(-F$4+Presion_cilindro!$B$34),1-EXP(-Presion_cilindro!$B$16*((Presion_cilindro!N212-(-F$4+Presion_cilindro!$B$34))/Presion_cilindro!$B$35)^(Presion_cilindro!$B$17+1)),0))/((Presion_cilindro!O212+Presion_cilindro!O213)/2)</f>
        <v>1.8159728359482918</v>
      </c>
      <c r="G221" s="27">
        <f>G220*(Presion_cilindro!O212/Presion_cilindro!O213)^Presion_cilindro!$B$9+10*(Presion_cilindro!$B$9-1)*Presion_cilindro!$B$33*(IF(Presion_cilindro!N213&gt;(-G$4+Presion_cilindro!$B$34),1-EXP(-Presion_cilindro!$B$16*((Presion_cilindro!N213-(-G$4+Presion_cilindro!$B$34))/Presion_cilindro!$B$35)^(Presion_cilindro!$B$17+1)),0)-IF(Presion_cilindro!N212&gt;(-G$4+Presion_cilindro!$B$34),1-EXP(-Presion_cilindro!$B$16*((Presion_cilindro!N212-(-G$4+Presion_cilindro!$B$34))/Presion_cilindro!$B$35)^(Presion_cilindro!$B$17+1)),0))/((Presion_cilindro!O212+Presion_cilindro!O213)/2)</f>
        <v>1.8159728359482918</v>
      </c>
      <c r="H221" s="27">
        <f>H220*(Presion_cilindro!O212/Presion_cilindro!O213)^Presion_cilindro!$B$9+10*(Presion_cilindro!$B$9-1)*Presion_cilindro!$B$33*(IF(Presion_cilindro!N213&gt;(-H$4+Presion_cilindro!$B$34),1-EXP(-Presion_cilindro!$B$16*((Presion_cilindro!N213-(-H$4+Presion_cilindro!$B$34))/Presion_cilindro!$B$35)^(Presion_cilindro!$B$17+1)),0)-IF(Presion_cilindro!N212&gt;(-H$4+Presion_cilindro!$B$34),1-EXP(-Presion_cilindro!$B$16*((Presion_cilindro!N212-(-H$4+Presion_cilindro!$B$34))/Presion_cilindro!$B$35)^(Presion_cilindro!$B$17+1)),0))/((Presion_cilindro!O212+Presion_cilindro!O213)/2)</f>
        <v>1.8159728359482918</v>
      </c>
      <c r="I221" s="27">
        <f>I220*(Presion_cilindro!O212/Presion_cilindro!O213)^Presion_cilindro!$B$9+10*(Presion_cilindro!$B$9-1)*Presion_cilindro!$B$33*(IF(Presion_cilindro!N213&gt;(-I$4+Presion_cilindro!$B$34),1-EXP(-Presion_cilindro!$B$16*((Presion_cilindro!N213-(-I$4+Presion_cilindro!$B$34))/Presion_cilindro!$B$35)^(Presion_cilindro!$B$17+1)),0)-IF(Presion_cilindro!N212&gt;(-I$4+Presion_cilindro!$B$34),1-EXP(-Presion_cilindro!$B$16*((Presion_cilindro!N212-(-I$4+Presion_cilindro!$B$34))/Presion_cilindro!$B$35)^(Presion_cilindro!$B$17+1)),0))/((Presion_cilindro!O212+Presion_cilindro!O213)/2)</f>
        <v>1.8159728359482918</v>
      </c>
      <c r="J221" s="27">
        <f>J220*(Presion_cilindro!O212/Presion_cilindro!O213)^Presion_cilindro!$B$9+10*(Presion_cilindro!$B$9-1)*Presion_cilindro!$B$33*(IF(Presion_cilindro!N213&gt;(-J$4+Presion_cilindro!$B$34),1-EXP(-Presion_cilindro!$B$16*((Presion_cilindro!N213-(-J$4+Presion_cilindro!$B$34))/Presion_cilindro!$B$35)^(Presion_cilindro!$B$17+1)),0)-IF(Presion_cilindro!N212&gt;(-J$4+Presion_cilindro!$B$34),1-EXP(-Presion_cilindro!$B$16*((Presion_cilindro!N212-(-J$4+Presion_cilindro!$B$34))/Presion_cilindro!$B$35)^(Presion_cilindro!$B$17+1)),0))/((Presion_cilindro!O212+Presion_cilindro!O213)/2)</f>
        <v>1.8159728359482918</v>
      </c>
      <c r="K221" s="27">
        <f>K220*(Presion_cilindro!O212/Presion_cilindro!O213)^Presion_cilindro!$B$9+10*(Presion_cilindro!$B$9-1)*Presion_cilindro!$B$33*(IF(Presion_cilindro!N213&gt;(-K$4+Presion_cilindro!$B$34),1-EXP(-Presion_cilindro!$B$16*((Presion_cilindro!N213-(-K$4+Presion_cilindro!$B$34))/Presion_cilindro!$B$35)^(Presion_cilindro!$B$17+1)),0)-IF(Presion_cilindro!N212&gt;(-K$4+Presion_cilindro!$B$34),1-EXP(-Presion_cilindro!$B$16*((Presion_cilindro!N212-(-K$4+Presion_cilindro!$B$34))/Presion_cilindro!$B$35)^(Presion_cilindro!$B$17+1)),0))/((Presion_cilindro!O212+Presion_cilindro!O213)/2)</f>
        <v>1.8159728359482918</v>
      </c>
      <c r="L221" s="27">
        <f>L220*(Presion_cilindro!O212/Presion_cilindro!O213)^Presion_cilindro!$B$9+10*(Presion_cilindro!$B$9-1)*Presion_cilindro!$B$33*(IF(Presion_cilindro!N213&gt;(-L$4+Presion_cilindro!$B$34),1-EXP(-Presion_cilindro!$B$16*((Presion_cilindro!N213-(-L$4+Presion_cilindro!$B$34))/Presion_cilindro!$B$35)^(Presion_cilindro!$B$17+1)),0)-IF(Presion_cilindro!N212&gt;(-L$4+Presion_cilindro!$B$34),1-EXP(-Presion_cilindro!$B$16*((Presion_cilindro!N212-(-L$4+Presion_cilindro!$B$34))/Presion_cilindro!$B$35)^(Presion_cilindro!$B$17+1)),0))/((Presion_cilindro!O212+Presion_cilindro!O213)/2)</f>
        <v>1.8159728359482918</v>
      </c>
      <c r="M221" s="27">
        <f>M220*(Presion_cilindro!O212/Presion_cilindro!O213)^Presion_cilindro!$B$9+10*(Presion_cilindro!$B$9-1)*Presion_cilindro!$B$33*(IF(Presion_cilindro!N213&gt;(-M$4+Presion_cilindro!$B$34),1-EXP(-Presion_cilindro!$B$16*((Presion_cilindro!N213-(-M$4+Presion_cilindro!$B$34))/Presion_cilindro!$B$35)^(Presion_cilindro!$B$17+1)),0)-IF(Presion_cilindro!N212&gt;(-M$4+Presion_cilindro!$B$34),1-EXP(-Presion_cilindro!$B$16*((Presion_cilindro!N212-(-M$4+Presion_cilindro!$B$34))/Presion_cilindro!$B$35)^(Presion_cilindro!$B$17+1)),0))/((Presion_cilindro!O212+Presion_cilindro!O213)/2)</f>
        <v>1.8159728359482918</v>
      </c>
      <c r="N221" s="27">
        <f>N220*(Presion_cilindro!O212/Presion_cilindro!O213)^Presion_cilindro!$B$9+10*(Presion_cilindro!$B$9-1)*Presion_cilindro!$B$33*(IF(Presion_cilindro!N213&gt;(-N$4+Presion_cilindro!$B$34),1-EXP(-Presion_cilindro!$B$16*((Presion_cilindro!N213-(-N$4+Presion_cilindro!$B$34))/Presion_cilindro!$B$35)^(Presion_cilindro!$B$17+1)),0)-IF(Presion_cilindro!N212&gt;(-N$4+Presion_cilindro!$B$34),1-EXP(-Presion_cilindro!$B$16*((Presion_cilindro!N212-(-N$4+Presion_cilindro!$B$34))/Presion_cilindro!$B$35)^(Presion_cilindro!$B$17+1)),0))/((Presion_cilindro!O212+Presion_cilindro!O213)/2)</f>
        <v>1.8159728359482918</v>
      </c>
    </row>
    <row r="222" spans="1:14" x14ac:dyDescent="0.25">
      <c r="A222" s="21">
        <f>Presion_cilindro!N214</f>
        <v>-75</v>
      </c>
      <c r="B222" s="27">
        <f>B221*(Presion_cilindro!O213/Presion_cilindro!O214)^Presion_cilindro!$B$9+10*(Presion_cilindro!$B$9-1)*Presion_cilindro!$B$33*(IF(Presion_cilindro!N214&gt;(-B$4+Presion_cilindro!$B$34),1-EXP(-Presion_cilindro!$B$16*((Presion_cilindro!N214-(-B$4+Presion_cilindro!$B$34))/Presion_cilindro!$B$35)^(Presion_cilindro!$B$17+1)),0)-IF(Presion_cilindro!N213&gt;(-B$4+Presion_cilindro!$B$34),1-EXP(-Presion_cilindro!$B$16*((Presion_cilindro!N213-(-B$4+Presion_cilindro!$B$34))/Presion_cilindro!$B$35)^(Presion_cilindro!$B$17+1)),0))/((Presion_cilindro!O213+Presion_cilindro!O214)/2)</f>
        <v>1.8359439805414342</v>
      </c>
      <c r="C222" s="27">
        <f>C221*(Presion_cilindro!O213/Presion_cilindro!O214)^Presion_cilindro!$B$9+10*(Presion_cilindro!$B$9-1)*Presion_cilindro!$B$33*(IF(Presion_cilindro!N214&gt;(-C$4+Presion_cilindro!$B$34),1-EXP(-Presion_cilindro!$B$16*((Presion_cilindro!N214-(-C$4+Presion_cilindro!$B$34))/Presion_cilindro!$B$35)^(Presion_cilindro!$B$17+1)),0)-IF(Presion_cilindro!N213&gt;(-C$4+Presion_cilindro!$B$34),1-EXP(-Presion_cilindro!$B$16*((Presion_cilindro!N213-(-C$4+Presion_cilindro!$B$34))/Presion_cilindro!$B$35)^(Presion_cilindro!$B$17+1)),0))/((Presion_cilindro!O213+Presion_cilindro!O214)/2)</f>
        <v>1.8359439805414342</v>
      </c>
      <c r="D222" s="27">
        <f>D221*(Presion_cilindro!O213/Presion_cilindro!O214)^Presion_cilindro!$B$9+10*(Presion_cilindro!$B$9-1)*Presion_cilindro!$B$33*(IF(Presion_cilindro!N214&gt;(-D$4+Presion_cilindro!$B$34),1-EXP(-Presion_cilindro!$B$16*((Presion_cilindro!N214-(-D$4+Presion_cilindro!$B$34))/Presion_cilindro!$B$35)^(Presion_cilindro!$B$17+1)),0)-IF(Presion_cilindro!N213&gt;(-D$4+Presion_cilindro!$B$34),1-EXP(-Presion_cilindro!$B$16*((Presion_cilindro!N213-(-D$4+Presion_cilindro!$B$34))/Presion_cilindro!$B$35)^(Presion_cilindro!$B$17+1)),0))/((Presion_cilindro!O213+Presion_cilindro!O214)/2)</f>
        <v>1.8359439805414342</v>
      </c>
      <c r="E222" s="27">
        <f>E221*(Presion_cilindro!O213/Presion_cilindro!O214)^Presion_cilindro!$B$9+10*(Presion_cilindro!$B$9-1)*Presion_cilindro!$B$33*(IF(Presion_cilindro!N214&gt;(-E$4+Presion_cilindro!$B$34),1-EXP(-Presion_cilindro!$B$16*((Presion_cilindro!N214-(-E$4+Presion_cilindro!$B$34))/Presion_cilindro!$B$35)^(Presion_cilindro!$B$17+1)),0)-IF(Presion_cilindro!N213&gt;(-E$4+Presion_cilindro!$B$34),1-EXP(-Presion_cilindro!$B$16*((Presion_cilindro!N213-(-E$4+Presion_cilindro!$B$34))/Presion_cilindro!$B$35)^(Presion_cilindro!$B$17+1)),0))/((Presion_cilindro!O213+Presion_cilindro!O214)/2)</f>
        <v>1.8359439805414342</v>
      </c>
      <c r="F222" s="27">
        <f>F221*(Presion_cilindro!O213/Presion_cilindro!O214)^Presion_cilindro!$B$9+10*(Presion_cilindro!$B$9-1)*Presion_cilindro!$B$33*(IF(Presion_cilindro!N214&gt;(-F$4+Presion_cilindro!$B$34),1-EXP(-Presion_cilindro!$B$16*((Presion_cilindro!N214-(-F$4+Presion_cilindro!$B$34))/Presion_cilindro!$B$35)^(Presion_cilindro!$B$17+1)),0)-IF(Presion_cilindro!N213&gt;(-F$4+Presion_cilindro!$B$34),1-EXP(-Presion_cilindro!$B$16*((Presion_cilindro!N213-(-F$4+Presion_cilindro!$B$34))/Presion_cilindro!$B$35)^(Presion_cilindro!$B$17+1)),0))/((Presion_cilindro!O213+Presion_cilindro!O214)/2)</f>
        <v>1.8359439805414342</v>
      </c>
      <c r="G222" s="27">
        <f>G221*(Presion_cilindro!O213/Presion_cilindro!O214)^Presion_cilindro!$B$9+10*(Presion_cilindro!$B$9-1)*Presion_cilindro!$B$33*(IF(Presion_cilindro!N214&gt;(-G$4+Presion_cilindro!$B$34),1-EXP(-Presion_cilindro!$B$16*((Presion_cilindro!N214-(-G$4+Presion_cilindro!$B$34))/Presion_cilindro!$B$35)^(Presion_cilindro!$B$17+1)),0)-IF(Presion_cilindro!N213&gt;(-G$4+Presion_cilindro!$B$34),1-EXP(-Presion_cilindro!$B$16*((Presion_cilindro!N213-(-G$4+Presion_cilindro!$B$34))/Presion_cilindro!$B$35)^(Presion_cilindro!$B$17+1)),0))/((Presion_cilindro!O213+Presion_cilindro!O214)/2)</f>
        <v>1.8359439805414342</v>
      </c>
      <c r="H222" s="27">
        <f>H221*(Presion_cilindro!O213/Presion_cilindro!O214)^Presion_cilindro!$B$9+10*(Presion_cilindro!$B$9-1)*Presion_cilindro!$B$33*(IF(Presion_cilindro!N214&gt;(-H$4+Presion_cilindro!$B$34),1-EXP(-Presion_cilindro!$B$16*((Presion_cilindro!N214-(-H$4+Presion_cilindro!$B$34))/Presion_cilindro!$B$35)^(Presion_cilindro!$B$17+1)),0)-IF(Presion_cilindro!N213&gt;(-H$4+Presion_cilindro!$B$34),1-EXP(-Presion_cilindro!$B$16*((Presion_cilindro!N213-(-H$4+Presion_cilindro!$B$34))/Presion_cilindro!$B$35)^(Presion_cilindro!$B$17+1)),0))/((Presion_cilindro!O213+Presion_cilindro!O214)/2)</f>
        <v>1.8359439805414342</v>
      </c>
      <c r="I222" s="27">
        <f>I221*(Presion_cilindro!O213/Presion_cilindro!O214)^Presion_cilindro!$B$9+10*(Presion_cilindro!$B$9-1)*Presion_cilindro!$B$33*(IF(Presion_cilindro!N214&gt;(-I$4+Presion_cilindro!$B$34),1-EXP(-Presion_cilindro!$B$16*((Presion_cilindro!N214-(-I$4+Presion_cilindro!$B$34))/Presion_cilindro!$B$35)^(Presion_cilindro!$B$17+1)),0)-IF(Presion_cilindro!N213&gt;(-I$4+Presion_cilindro!$B$34),1-EXP(-Presion_cilindro!$B$16*((Presion_cilindro!N213-(-I$4+Presion_cilindro!$B$34))/Presion_cilindro!$B$35)^(Presion_cilindro!$B$17+1)),0))/((Presion_cilindro!O213+Presion_cilindro!O214)/2)</f>
        <v>1.8359439805414342</v>
      </c>
      <c r="J222" s="27">
        <f>J221*(Presion_cilindro!O213/Presion_cilindro!O214)^Presion_cilindro!$B$9+10*(Presion_cilindro!$B$9-1)*Presion_cilindro!$B$33*(IF(Presion_cilindro!N214&gt;(-J$4+Presion_cilindro!$B$34),1-EXP(-Presion_cilindro!$B$16*((Presion_cilindro!N214-(-J$4+Presion_cilindro!$B$34))/Presion_cilindro!$B$35)^(Presion_cilindro!$B$17+1)),0)-IF(Presion_cilindro!N213&gt;(-J$4+Presion_cilindro!$B$34),1-EXP(-Presion_cilindro!$B$16*((Presion_cilindro!N213-(-J$4+Presion_cilindro!$B$34))/Presion_cilindro!$B$35)^(Presion_cilindro!$B$17+1)),0))/((Presion_cilindro!O213+Presion_cilindro!O214)/2)</f>
        <v>1.8359439805414342</v>
      </c>
      <c r="K222" s="27">
        <f>K221*(Presion_cilindro!O213/Presion_cilindro!O214)^Presion_cilindro!$B$9+10*(Presion_cilindro!$B$9-1)*Presion_cilindro!$B$33*(IF(Presion_cilindro!N214&gt;(-K$4+Presion_cilindro!$B$34),1-EXP(-Presion_cilindro!$B$16*((Presion_cilindro!N214-(-K$4+Presion_cilindro!$B$34))/Presion_cilindro!$B$35)^(Presion_cilindro!$B$17+1)),0)-IF(Presion_cilindro!N213&gt;(-K$4+Presion_cilindro!$B$34),1-EXP(-Presion_cilindro!$B$16*((Presion_cilindro!N213-(-K$4+Presion_cilindro!$B$34))/Presion_cilindro!$B$35)^(Presion_cilindro!$B$17+1)),0))/((Presion_cilindro!O213+Presion_cilindro!O214)/2)</f>
        <v>1.8359439805414342</v>
      </c>
      <c r="L222" s="27">
        <f>L221*(Presion_cilindro!O213/Presion_cilindro!O214)^Presion_cilindro!$B$9+10*(Presion_cilindro!$B$9-1)*Presion_cilindro!$B$33*(IF(Presion_cilindro!N214&gt;(-L$4+Presion_cilindro!$B$34),1-EXP(-Presion_cilindro!$B$16*((Presion_cilindro!N214-(-L$4+Presion_cilindro!$B$34))/Presion_cilindro!$B$35)^(Presion_cilindro!$B$17+1)),0)-IF(Presion_cilindro!N213&gt;(-L$4+Presion_cilindro!$B$34),1-EXP(-Presion_cilindro!$B$16*((Presion_cilindro!N213-(-L$4+Presion_cilindro!$B$34))/Presion_cilindro!$B$35)^(Presion_cilindro!$B$17+1)),0))/((Presion_cilindro!O213+Presion_cilindro!O214)/2)</f>
        <v>1.8359439805414342</v>
      </c>
      <c r="M222" s="27">
        <f>M221*(Presion_cilindro!O213/Presion_cilindro!O214)^Presion_cilindro!$B$9+10*(Presion_cilindro!$B$9-1)*Presion_cilindro!$B$33*(IF(Presion_cilindro!N214&gt;(-M$4+Presion_cilindro!$B$34),1-EXP(-Presion_cilindro!$B$16*((Presion_cilindro!N214-(-M$4+Presion_cilindro!$B$34))/Presion_cilindro!$B$35)^(Presion_cilindro!$B$17+1)),0)-IF(Presion_cilindro!N213&gt;(-M$4+Presion_cilindro!$B$34),1-EXP(-Presion_cilindro!$B$16*((Presion_cilindro!N213-(-M$4+Presion_cilindro!$B$34))/Presion_cilindro!$B$35)^(Presion_cilindro!$B$17+1)),0))/((Presion_cilindro!O213+Presion_cilindro!O214)/2)</f>
        <v>1.8359439805414342</v>
      </c>
      <c r="N222" s="27">
        <f>N221*(Presion_cilindro!O213/Presion_cilindro!O214)^Presion_cilindro!$B$9+10*(Presion_cilindro!$B$9-1)*Presion_cilindro!$B$33*(IF(Presion_cilindro!N214&gt;(-N$4+Presion_cilindro!$B$34),1-EXP(-Presion_cilindro!$B$16*((Presion_cilindro!N214-(-N$4+Presion_cilindro!$B$34))/Presion_cilindro!$B$35)^(Presion_cilindro!$B$17+1)),0)-IF(Presion_cilindro!N213&gt;(-N$4+Presion_cilindro!$B$34),1-EXP(-Presion_cilindro!$B$16*((Presion_cilindro!N213-(-N$4+Presion_cilindro!$B$34))/Presion_cilindro!$B$35)^(Presion_cilindro!$B$17+1)),0))/((Presion_cilindro!O213+Presion_cilindro!O214)/2)</f>
        <v>1.8359439805414342</v>
      </c>
    </row>
    <row r="223" spans="1:14" x14ac:dyDescent="0.25">
      <c r="A223" s="21">
        <f>Presion_cilindro!N215</f>
        <v>-74.5</v>
      </c>
      <c r="B223" s="27">
        <f>B222*(Presion_cilindro!O214/Presion_cilindro!O215)^Presion_cilindro!$B$9+10*(Presion_cilindro!$B$9-1)*Presion_cilindro!$B$33*(IF(Presion_cilindro!N215&gt;(-B$4+Presion_cilindro!$B$34),1-EXP(-Presion_cilindro!$B$16*((Presion_cilindro!N215-(-B$4+Presion_cilindro!$B$34))/Presion_cilindro!$B$35)^(Presion_cilindro!$B$17+1)),0)-IF(Presion_cilindro!N214&gt;(-B$4+Presion_cilindro!$B$34),1-EXP(-Presion_cilindro!$B$16*((Presion_cilindro!N214-(-B$4+Presion_cilindro!$B$34))/Presion_cilindro!$B$35)^(Presion_cilindro!$B$17+1)),0))/((Presion_cilindro!O214+Presion_cilindro!O215)/2)</f>
        <v>1.85630257927264</v>
      </c>
      <c r="C223" s="27">
        <f>C222*(Presion_cilindro!O214/Presion_cilindro!O215)^Presion_cilindro!$B$9+10*(Presion_cilindro!$B$9-1)*Presion_cilindro!$B$33*(IF(Presion_cilindro!N215&gt;(-C$4+Presion_cilindro!$B$34),1-EXP(-Presion_cilindro!$B$16*((Presion_cilindro!N215-(-C$4+Presion_cilindro!$B$34))/Presion_cilindro!$B$35)^(Presion_cilindro!$B$17+1)),0)-IF(Presion_cilindro!N214&gt;(-C$4+Presion_cilindro!$B$34),1-EXP(-Presion_cilindro!$B$16*((Presion_cilindro!N214-(-C$4+Presion_cilindro!$B$34))/Presion_cilindro!$B$35)^(Presion_cilindro!$B$17+1)),0))/((Presion_cilindro!O214+Presion_cilindro!O215)/2)</f>
        <v>1.85630257927264</v>
      </c>
      <c r="D223" s="27">
        <f>D222*(Presion_cilindro!O214/Presion_cilindro!O215)^Presion_cilindro!$B$9+10*(Presion_cilindro!$B$9-1)*Presion_cilindro!$B$33*(IF(Presion_cilindro!N215&gt;(-D$4+Presion_cilindro!$B$34),1-EXP(-Presion_cilindro!$B$16*((Presion_cilindro!N215-(-D$4+Presion_cilindro!$B$34))/Presion_cilindro!$B$35)^(Presion_cilindro!$B$17+1)),0)-IF(Presion_cilindro!N214&gt;(-D$4+Presion_cilindro!$B$34),1-EXP(-Presion_cilindro!$B$16*((Presion_cilindro!N214-(-D$4+Presion_cilindro!$B$34))/Presion_cilindro!$B$35)^(Presion_cilindro!$B$17+1)),0))/((Presion_cilindro!O214+Presion_cilindro!O215)/2)</f>
        <v>1.85630257927264</v>
      </c>
      <c r="E223" s="27">
        <f>E222*(Presion_cilindro!O214/Presion_cilindro!O215)^Presion_cilindro!$B$9+10*(Presion_cilindro!$B$9-1)*Presion_cilindro!$B$33*(IF(Presion_cilindro!N215&gt;(-E$4+Presion_cilindro!$B$34),1-EXP(-Presion_cilindro!$B$16*((Presion_cilindro!N215-(-E$4+Presion_cilindro!$B$34))/Presion_cilindro!$B$35)^(Presion_cilindro!$B$17+1)),0)-IF(Presion_cilindro!N214&gt;(-E$4+Presion_cilindro!$B$34),1-EXP(-Presion_cilindro!$B$16*((Presion_cilindro!N214-(-E$4+Presion_cilindro!$B$34))/Presion_cilindro!$B$35)^(Presion_cilindro!$B$17+1)),0))/((Presion_cilindro!O214+Presion_cilindro!O215)/2)</f>
        <v>1.85630257927264</v>
      </c>
      <c r="F223" s="27">
        <f>F222*(Presion_cilindro!O214/Presion_cilindro!O215)^Presion_cilindro!$B$9+10*(Presion_cilindro!$B$9-1)*Presion_cilindro!$B$33*(IF(Presion_cilindro!N215&gt;(-F$4+Presion_cilindro!$B$34),1-EXP(-Presion_cilindro!$B$16*((Presion_cilindro!N215-(-F$4+Presion_cilindro!$B$34))/Presion_cilindro!$B$35)^(Presion_cilindro!$B$17+1)),0)-IF(Presion_cilindro!N214&gt;(-F$4+Presion_cilindro!$B$34),1-EXP(-Presion_cilindro!$B$16*((Presion_cilindro!N214-(-F$4+Presion_cilindro!$B$34))/Presion_cilindro!$B$35)^(Presion_cilindro!$B$17+1)),0))/((Presion_cilindro!O214+Presion_cilindro!O215)/2)</f>
        <v>1.85630257927264</v>
      </c>
      <c r="G223" s="27">
        <f>G222*(Presion_cilindro!O214/Presion_cilindro!O215)^Presion_cilindro!$B$9+10*(Presion_cilindro!$B$9-1)*Presion_cilindro!$B$33*(IF(Presion_cilindro!N215&gt;(-G$4+Presion_cilindro!$B$34),1-EXP(-Presion_cilindro!$B$16*((Presion_cilindro!N215-(-G$4+Presion_cilindro!$B$34))/Presion_cilindro!$B$35)^(Presion_cilindro!$B$17+1)),0)-IF(Presion_cilindro!N214&gt;(-G$4+Presion_cilindro!$B$34),1-EXP(-Presion_cilindro!$B$16*((Presion_cilindro!N214-(-G$4+Presion_cilindro!$B$34))/Presion_cilindro!$B$35)^(Presion_cilindro!$B$17+1)),0))/((Presion_cilindro!O214+Presion_cilindro!O215)/2)</f>
        <v>1.85630257927264</v>
      </c>
      <c r="H223" s="27">
        <f>H222*(Presion_cilindro!O214/Presion_cilindro!O215)^Presion_cilindro!$B$9+10*(Presion_cilindro!$B$9-1)*Presion_cilindro!$B$33*(IF(Presion_cilindro!N215&gt;(-H$4+Presion_cilindro!$B$34),1-EXP(-Presion_cilindro!$B$16*((Presion_cilindro!N215-(-H$4+Presion_cilindro!$B$34))/Presion_cilindro!$B$35)^(Presion_cilindro!$B$17+1)),0)-IF(Presion_cilindro!N214&gt;(-H$4+Presion_cilindro!$B$34),1-EXP(-Presion_cilindro!$B$16*((Presion_cilindro!N214-(-H$4+Presion_cilindro!$B$34))/Presion_cilindro!$B$35)^(Presion_cilindro!$B$17+1)),0))/((Presion_cilindro!O214+Presion_cilindro!O215)/2)</f>
        <v>1.85630257927264</v>
      </c>
      <c r="I223" s="27">
        <f>I222*(Presion_cilindro!O214/Presion_cilindro!O215)^Presion_cilindro!$B$9+10*(Presion_cilindro!$B$9-1)*Presion_cilindro!$B$33*(IF(Presion_cilindro!N215&gt;(-I$4+Presion_cilindro!$B$34),1-EXP(-Presion_cilindro!$B$16*((Presion_cilindro!N215-(-I$4+Presion_cilindro!$B$34))/Presion_cilindro!$B$35)^(Presion_cilindro!$B$17+1)),0)-IF(Presion_cilindro!N214&gt;(-I$4+Presion_cilindro!$B$34),1-EXP(-Presion_cilindro!$B$16*((Presion_cilindro!N214-(-I$4+Presion_cilindro!$B$34))/Presion_cilindro!$B$35)^(Presion_cilindro!$B$17+1)),0))/((Presion_cilindro!O214+Presion_cilindro!O215)/2)</f>
        <v>1.85630257927264</v>
      </c>
      <c r="J223" s="27">
        <f>J222*(Presion_cilindro!O214/Presion_cilindro!O215)^Presion_cilindro!$B$9+10*(Presion_cilindro!$B$9-1)*Presion_cilindro!$B$33*(IF(Presion_cilindro!N215&gt;(-J$4+Presion_cilindro!$B$34),1-EXP(-Presion_cilindro!$B$16*((Presion_cilindro!N215-(-J$4+Presion_cilindro!$B$34))/Presion_cilindro!$B$35)^(Presion_cilindro!$B$17+1)),0)-IF(Presion_cilindro!N214&gt;(-J$4+Presion_cilindro!$B$34),1-EXP(-Presion_cilindro!$B$16*((Presion_cilindro!N214-(-J$4+Presion_cilindro!$B$34))/Presion_cilindro!$B$35)^(Presion_cilindro!$B$17+1)),0))/((Presion_cilindro!O214+Presion_cilindro!O215)/2)</f>
        <v>1.85630257927264</v>
      </c>
      <c r="K223" s="27">
        <f>K222*(Presion_cilindro!O214/Presion_cilindro!O215)^Presion_cilindro!$B$9+10*(Presion_cilindro!$B$9-1)*Presion_cilindro!$B$33*(IF(Presion_cilindro!N215&gt;(-K$4+Presion_cilindro!$B$34),1-EXP(-Presion_cilindro!$B$16*((Presion_cilindro!N215-(-K$4+Presion_cilindro!$B$34))/Presion_cilindro!$B$35)^(Presion_cilindro!$B$17+1)),0)-IF(Presion_cilindro!N214&gt;(-K$4+Presion_cilindro!$B$34),1-EXP(-Presion_cilindro!$B$16*((Presion_cilindro!N214-(-K$4+Presion_cilindro!$B$34))/Presion_cilindro!$B$35)^(Presion_cilindro!$B$17+1)),0))/((Presion_cilindro!O214+Presion_cilindro!O215)/2)</f>
        <v>1.85630257927264</v>
      </c>
      <c r="L223" s="27">
        <f>L222*(Presion_cilindro!O214/Presion_cilindro!O215)^Presion_cilindro!$B$9+10*(Presion_cilindro!$B$9-1)*Presion_cilindro!$B$33*(IF(Presion_cilindro!N215&gt;(-L$4+Presion_cilindro!$B$34),1-EXP(-Presion_cilindro!$B$16*((Presion_cilindro!N215-(-L$4+Presion_cilindro!$B$34))/Presion_cilindro!$B$35)^(Presion_cilindro!$B$17+1)),0)-IF(Presion_cilindro!N214&gt;(-L$4+Presion_cilindro!$B$34),1-EXP(-Presion_cilindro!$B$16*((Presion_cilindro!N214-(-L$4+Presion_cilindro!$B$34))/Presion_cilindro!$B$35)^(Presion_cilindro!$B$17+1)),0))/((Presion_cilindro!O214+Presion_cilindro!O215)/2)</f>
        <v>1.85630257927264</v>
      </c>
      <c r="M223" s="27">
        <f>M222*(Presion_cilindro!O214/Presion_cilindro!O215)^Presion_cilindro!$B$9+10*(Presion_cilindro!$B$9-1)*Presion_cilindro!$B$33*(IF(Presion_cilindro!N215&gt;(-M$4+Presion_cilindro!$B$34),1-EXP(-Presion_cilindro!$B$16*((Presion_cilindro!N215-(-M$4+Presion_cilindro!$B$34))/Presion_cilindro!$B$35)^(Presion_cilindro!$B$17+1)),0)-IF(Presion_cilindro!N214&gt;(-M$4+Presion_cilindro!$B$34),1-EXP(-Presion_cilindro!$B$16*((Presion_cilindro!N214-(-M$4+Presion_cilindro!$B$34))/Presion_cilindro!$B$35)^(Presion_cilindro!$B$17+1)),0))/((Presion_cilindro!O214+Presion_cilindro!O215)/2)</f>
        <v>1.85630257927264</v>
      </c>
      <c r="N223" s="27">
        <f>N222*(Presion_cilindro!O214/Presion_cilindro!O215)^Presion_cilindro!$B$9+10*(Presion_cilindro!$B$9-1)*Presion_cilindro!$B$33*(IF(Presion_cilindro!N215&gt;(-N$4+Presion_cilindro!$B$34),1-EXP(-Presion_cilindro!$B$16*((Presion_cilindro!N215-(-N$4+Presion_cilindro!$B$34))/Presion_cilindro!$B$35)^(Presion_cilindro!$B$17+1)),0)-IF(Presion_cilindro!N214&gt;(-N$4+Presion_cilindro!$B$34),1-EXP(-Presion_cilindro!$B$16*((Presion_cilindro!N214-(-N$4+Presion_cilindro!$B$34))/Presion_cilindro!$B$35)^(Presion_cilindro!$B$17+1)),0))/((Presion_cilindro!O214+Presion_cilindro!O215)/2)</f>
        <v>1.85630257927264</v>
      </c>
    </row>
    <row r="224" spans="1:14" x14ac:dyDescent="0.25">
      <c r="A224" s="21">
        <f>Presion_cilindro!N216</f>
        <v>-74</v>
      </c>
      <c r="B224" s="27">
        <f>B223*(Presion_cilindro!O215/Presion_cilindro!O216)^Presion_cilindro!$B$9+10*(Presion_cilindro!$B$9-1)*Presion_cilindro!$B$33*(IF(Presion_cilindro!N216&gt;(-B$4+Presion_cilindro!$B$34),1-EXP(-Presion_cilindro!$B$16*((Presion_cilindro!N216-(-B$4+Presion_cilindro!$B$34))/Presion_cilindro!$B$35)^(Presion_cilindro!$B$17+1)),0)-IF(Presion_cilindro!N215&gt;(-B$4+Presion_cilindro!$B$34),1-EXP(-Presion_cilindro!$B$16*((Presion_cilindro!N215-(-B$4+Presion_cilindro!$B$34))/Presion_cilindro!$B$35)^(Presion_cilindro!$B$17+1)),0))/((Presion_cilindro!O215+Presion_cilindro!O216)/2)</f>
        <v>1.8770574941567015</v>
      </c>
      <c r="C224" s="27">
        <f>C223*(Presion_cilindro!O215/Presion_cilindro!O216)^Presion_cilindro!$B$9+10*(Presion_cilindro!$B$9-1)*Presion_cilindro!$B$33*(IF(Presion_cilindro!N216&gt;(-C$4+Presion_cilindro!$B$34),1-EXP(-Presion_cilindro!$B$16*((Presion_cilindro!N216-(-C$4+Presion_cilindro!$B$34))/Presion_cilindro!$B$35)^(Presion_cilindro!$B$17+1)),0)-IF(Presion_cilindro!N215&gt;(-C$4+Presion_cilindro!$B$34),1-EXP(-Presion_cilindro!$B$16*((Presion_cilindro!N215-(-C$4+Presion_cilindro!$B$34))/Presion_cilindro!$B$35)^(Presion_cilindro!$B$17+1)),0))/((Presion_cilindro!O215+Presion_cilindro!O216)/2)</f>
        <v>1.8770574941567015</v>
      </c>
      <c r="D224" s="27">
        <f>D223*(Presion_cilindro!O215/Presion_cilindro!O216)^Presion_cilindro!$B$9+10*(Presion_cilindro!$B$9-1)*Presion_cilindro!$B$33*(IF(Presion_cilindro!N216&gt;(-D$4+Presion_cilindro!$B$34),1-EXP(-Presion_cilindro!$B$16*((Presion_cilindro!N216-(-D$4+Presion_cilindro!$B$34))/Presion_cilindro!$B$35)^(Presion_cilindro!$B$17+1)),0)-IF(Presion_cilindro!N215&gt;(-D$4+Presion_cilindro!$B$34),1-EXP(-Presion_cilindro!$B$16*((Presion_cilindro!N215-(-D$4+Presion_cilindro!$B$34))/Presion_cilindro!$B$35)^(Presion_cilindro!$B$17+1)),0))/((Presion_cilindro!O215+Presion_cilindro!O216)/2)</f>
        <v>1.8770574941567015</v>
      </c>
      <c r="E224" s="27">
        <f>E223*(Presion_cilindro!O215/Presion_cilindro!O216)^Presion_cilindro!$B$9+10*(Presion_cilindro!$B$9-1)*Presion_cilindro!$B$33*(IF(Presion_cilindro!N216&gt;(-E$4+Presion_cilindro!$B$34),1-EXP(-Presion_cilindro!$B$16*((Presion_cilindro!N216-(-E$4+Presion_cilindro!$B$34))/Presion_cilindro!$B$35)^(Presion_cilindro!$B$17+1)),0)-IF(Presion_cilindro!N215&gt;(-E$4+Presion_cilindro!$B$34),1-EXP(-Presion_cilindro!$B$16*((Presion_cilindro!N215-(-E$4+Presion_cilindro!$B$34))/Presion_cilindro!$B$35)^(Presion_cilindro!$B$17+1)),0))/((Presion_cilindro!O215+Presion_cilindro!O216)/2)</f>
        <v>1.8770574941567015</v>
      </c>
      <c r="F224" s="27">
        <f>F223*(Presion_cilindro!O215/Presion_cilindro!O216)^Presion_cilindro!$B$9+10*(Presion_cilindro!$B$9-1)*Presion_cilindro!$B$33*(IF(Presion_cilindro!N216&gt;(-F$4+Presion_cilindro!$B$34),1-EXP(-Presion_cilindro!$B$16*((Presion_cilindro!N216-(-F$4+Presion_cilindro!$B$34))/Presion_cilindro!$B$35)^(Presion_cilindro!$B$17+1)),0)-IF(Presion_cilindro!N215&gt;(-F$4+Presion_cilindro!$B$34),1-EXP(-Presion_cilindro!$B$16*((Presion_cilindro!N215-(-F$4+Presion_cilindro!$B$34))/Presion_cilindro!$B$35)^(Presion_cilindro!$B$17+1)),0))/((Presion_cilindro!O215+Presion_cilindro!O216)/2)</f>
        <v>1.8770574941567015</v>
      </c>
      <c r="G224" s="27">
        <f>G223*(Presion_cilindro!O215/Presion_cilindro!O216)^Presion_cilindro!$B$9+10*(Presion_cilindro!$B$9-1)*Presion_cilindro!$B$33*(IF(Presion_cilindro!N216&gt;(-G$4+Presion_cilindro!$B$34),1-EXP(-Presion_cilindro!$B$16*((Presion_cilindro!N216-(-G$4+Presion_cilindro!$B$34))/Presion_cilindro!$B$35)^(Presion_cilindro!$B$17+1)),0)-IF(Presion_cilindro!N215&gt;(-G$4+Presion_cilindro!$B$34),1-EXP(-Presion_cilindro!$B$16*((Presion_cilindro!N215-(-G$4+Presion_cilindro!$B$34))/Presion_cilindro!$B$35)^(Presion_cilindro!$B$17+1)),0))/((Presion_cilindro!O215+Presion_cilindro!O216)/2)</f>
        <v>1.8770574941567015</v>
      </c>
      <c r="H224" s="27">
        <f>H223*(Presion_cilindro!O215/Presion_cilindro!O216)^Presion_cilindro!$B$9+10*(Presion_cilindro!$B$9-1)*Presion_cilindro!$B$33*(IF(Presion_cilindro!N216&gt;(-H$4+Presion_cilindro!$B$34),1-EXP(-Presion_cilindro!$B$16*((Presion_cilindro!N216-(-H$4+Presion_cilindro!$B$34))/Presion_cilindro!$B$35)^(Presion_cilindro!$B$17+1)),0)-IF(Presion_cilindro!N215&gt;(-H$4+Presion_cilindro!$B$34),1-EXP(-Presion_cilindro!$B$16*((Presion_cilindro!N215-(-H$4+Presion_cilindro!$B$34))/Presion_cilindro!$B$35)^(Presion_cilindro!$B$17+1)),0))/((Presion_cilindro!O215+Presion_cilindro!O216)/2)</f>
        <v>1.8770574941567015</v>
      </c>
      <c r="I224" s="27">
        <f>I223*(Presion_cilindro!O215/Presion_cilindro!O216)^Presion_cilindro!$B$9+10*(Presion_cilindro!$B$9-1)*Presion_cilindro!$B$33*(IF(Presion_cilindro!N216&gt;(-I$4+Presion_cilindro!$B$34),1-EXP(-Presion_cilindro!$B$16*((Presion_cilindro!N216-(-I$4+Presion_cilindro!$B$34))/Presion_cilindro!$B$35)^(Presion_cilindro!$B$17+1)),0)-IF(Presion_cilindro!N215&gt;(-I$4+Presion_cilindro!$B$34),1-EXP(-Presion_cilindro!$B$16*((Presion_cilindro!N215-(-I$4+Presion_cilindro!$B$34))/Presion_cilindro!$B$35)^(Presion_cilindro!$B$17+1)),0))/((Presion_cilindro!O215+Presion_cilindro!O216)/2)</f>
        <v>1.8770574941567015</v>
      </c>
      <c r="J224" s="27">
        <f>J223*(Presion_cilindro!O215/Presion_cilindro!O216)^Presion_cilindro!$B$9+10*(Presion_cilindro!$B$9-1)*Presion_cilindro!$B$33*(IF(Presion_cilindro!N216&gt;(-J$4+Presion_cilindro!$B$34),1-EXP(-Presion_cilindro!$B$16*((Presion_cilindro!N216-(-J$4+Presion_cilindro!$B$34))/Presion_cilindro!$B$35)^(Presion_cilindro!$B$17+1)),0)-IF(Presion_cilindro!N215&gt;(-J$4+Presion_cilindro!$B$34),1-EXP(-Presion_cilindro!$B$16*((Presion_cilindro!N215-(-J$4+Presion_cilindro!$B$34))/Presion_cilindro!$B$35)^(Presion_cilindro!$B$17+1)),0))/((Presion_cilindro!O215+Presion_cilindro!O216)/2)</f>
        <v>1.8770574941567015</v>
      </c>
      <c r="K224" s="27">
        <f>K223*(Presion_cilindro!O215/Presion_cilindro!O216)^Presion_cilindro!$B$9+10*(Presion_cilindro!$B$9-1)*Presion_cilindro!$B$33*(IF(Presion_cilindro!N216&gt;(-K$4+Presion_cilindro!$B$34),1-EXP(-Presion_cilindro!$B$16*((Presion_cilindro!N216-(-K$4+Presion_cilindro!$B$34))/Presion_cilindro!$B$35)^(Presion_cilindro!$B$17+1)),0)-IF(Presion_cilindro!N215&gt;(-K$4+Presion_cilindro!$B$34),1-EXP(-Presion_cilindro!$B$16*((Presion_cilindro!N215-(-K$4+Presion_cilindro!$B$34))/Presion_cilindro!$B$35)^(Presion_cilindro!$B$17+1)),0))/((Presion_cilindro!O215+Presion_cilindro!O216)/2)</f>
        <v>1.8770574941567015</v>
      </c>
      <c r="L224" s="27">
        <f>L223*(Presion_cilindro!O215/Presion_cilindro!O216)^Presion_cilindro!$B$9+10*(Presion_cilindro!$B$9-1)*Presion_cilindro!$B$33*(IF(Presion_cilindro!N216&gt;(-L$4+Presion_cilindro!$B$34),1-EXP(-Presion_cilindro!$B$16*((Presion_cilindro!N216-(-L$4+Presion_cilindro!$B$34))/Presion_cilindro!$B$35)^(Presion_cilindro!$B$17+1)),0)-IF(Presion_cilindro!N215&gt;(-L$4+Presion_cilindro!$B$34),1-EXP(-Presion_cilindro!$B$16*((Presion_cilindro!N215-(-L$4+Presion_cilindro!$B$34))/Presion_cilindro!$B$35)^(Presion_cilindro!$B$17+1)),0))/((Presion_cilindro!O215+Presion_cilindro!O216)/2)</f>
        <v>1.8770574941567015</v>
      </c>
      <c r="M224" s="27">
        <f>M223*(Presion_cilindro!O215/Presion_cilindro!O216)^Presion_cilindro!$B$9+10*(Presion_cilindro!$B$9-1)*Presion_cilindro!$B$33*(IF(Presion_cilindro!N216&gt;(-M$4+Presion_cilindro!$B$34),1-EXP(-Presion_cilindro!$B$16*((Presion_cilindro!N216-(-M$4+Presion_cilindro!$B$34))/Presion_cilindro!$B$35)^(Presion_cilindro!$B$17+1)),0)-IF(Presion_cilindro!N215&gt;(-M$4+Presion_cilindro!$B$34),1-EXP(-Presion_cilindro!$B$16*((Presion_cilindro!N215-(-M$4+Presion_cilindro!$B$34))/Presion_cilindro!$B$35)^(Presion_cilindro!$B$17+1)),0))/((Presion_cilindro!O215+Presion_cilindro!O216)/2)</f>
        <v>1.8770574941567015</v>
      </c>
      <c r="N224" s="27">
        <f>N223*(Presion_cilindro!O215/Presion_cilindro!O216)^Presion_cilindro!$B$9+10*(Presion_cilindro!$B$9-1)*Presion_cilindro!$B$33*(IF(Presion_cilindro!N216&gt;(-N$4+Presion_cilindro!$B$34),1-EXP(-Presion_cilindro!$B$16*((Presion_cilindro!N216-(-N$4+Presion_cilindro!$B$34))/Presion_cilindro!$B$35)^(Presion_cilindro!$B$17+1)),0)-IF(Presion_cilindro!N215&gt;(-N$4+Presion_cilindro!$B$34),1-EXP(-Presion_cilindro!$B$16*((Presion_cilindro!N215-(-N$4+Presion_cilindro!$B$34))/Presion_cilindro!$B$35)^(Presion_cilindro!$B$17+1)),0))/((Presion_cilindro!O215+Presion_cilindro!O216)/2)</f>
        <v>1.8770574941567015</v>
      </c>
    </row>
    <row r="225" spans="1:14" x14ac:dyDescent="0.25">
      <c r="A225" s="21">
        <f>Presion_cilindro!N217</f>
        <v>-73.5</v>
      </c>
      <c r="B225" s="27">
        <f>B224*(Presion_cilindro!O216/Presion_cilindro!O217)^Presion_cilindro!$B$9+10*(Presion_cilindro!$B$9-1)*Presion_cilindro!$B$33*(IF(Presion_cilindro!N217&gt;(-B$4+Presion_cilindro!$B$34),1-EXP(-Presion_cilindro!$B$16*((Presion_cilindro!N217-(-B$4+Presion_cilindro!$B$34))/Presion_cilindro!$B$35)^(Presion_cilindro!$B$17+1)),0)-IF(Presion_cilindro!N216&gt;(-B$4+Presion_cilindro!$B$34),1-EXP(-Presion_cilindro!$B$16*((Presion_cilindro!N216-(-B$4+Presion_cilindro!$B$34))/Presion_cilindro!$B$35)^(Presion_cilindro!$B$17+1)),0))/((Presion_cilindro!O216+Presion_cilindro!O217)/2)</f>
        <v>1.8982178173474367</v>
      </c>
      <c r="C225" s="27">
        <f>C224*(Presion_cilindro!O216/Presion_cilindro!O217)^Presion_cilindro!$B$9+10*(Presion_cilindro!$B$9-1)*Presion_cilindro!$B$33*(IF(Presion_cilindro!N217&gt;(-C$4+Presion_cilindro!$B$34),1-EXP(-Presion_cilindro!$B$16*((Presion_cilindro!N217-(-C$4+Presion_cilindro!$B$34))/Presion_cilindro!$B$35)^(Presion_cilindro!$B$17+1)),0)-IF(Presion_cilindro!N216&gt;(-C$4+Presion_cilindro!$B$34),1-EXP(-Presion_cilindro!$B$16*((Presion_cilindro!N216-(-C$4+Presion_cilindro!$B$34))/Presion_cilindro!$B$35)^(Presion_cilindro!$B$17+1)),0))/((Presion_cilindro!O216+Presion_cilindro!O217)/2)</f>
        <v>1.8982178173474367</v>
      </c>
      <c r="D225" s="27">
        <f>D224*(Presion_cilindro!O216/Presion_cilindro!O217)^Presion_cilindro!$B$9+10*(Presion_cilindro!$B$9-1)*Presion_cilindro!$B$33*(IF(Presion_cilindro!N217&gt;(-D$4+Presion_cilindro!$B$34),1-EXP(-Presion_cilindro!$B$16*((Presion_cilindro!N217-(-D$4+Presion_cilindro!$B$34))/Presion_cilindro!$B$35)^(Presion_cilindro!$B$17+1)),0)-IF(Presion_cilindro!N216&gt;(-D$4+Presion_cilindro!$B$34),1-EXP(-Presion_cilindro!$B$16*((Presion_cilindro!N216-(-D$4+Presion_cilindro!$B$34))/Presion_cilindro!$B$35)^(Presion_cilindro!$B$17+1)),0))/((Presion_cilindro!O216+Presion_cilindro!O217)/2)</f>
        <v>1.8982178173474367</v>
      </c>
      <c r="E225" s="27">
        <f>E224*(Presion_cilindro!O216/Presion_cilindro!O217)^Presion_cilindro!$B$9+10*(Presion_cilindro!$B$9-1)*Presion_cilindro!$B$33*(IF(Presion_cilindro!N217&gt;(-E$4+Presion_cilindro!$B$34),1-EXP(-Presion_cilindro!$B$16*((Presion_cilindro!N217-(-E$4+Presion_cilindro!$B$34))/Presion_cilindro!$B$35)^(Presion_cilindro!$B$17+1)),0)-IF(Presion_cilindro!N216&gt;(-E$4+Presion_cilindro!$B$34),1-EXP(-Presion_cilindro!$B$16*((Presion_cilindro!N216-(-E$4+Presion_cilindro!$B$34))/Presion_cilindro!$B$35)^(Presion_cilindro!$B$17+1)),0))/((Presion_cilindro!O216+Presion_cilindro!O217)/2)</f>
        <v>1.8982178173474367</v>
      </c>
      <c r="F225" s="27">
        <f>F224*(Presion_cilindro!O216/Presion_cilindro!O217)^Presion_cilindro!$B$9+10*(Presion_cilindro!$B$9-1)*Presion_cilindro!$B$33*(IF(Presion_cilindro!N217&gt;(-F$4+Presion_cilindro!$B$34),1-EXP(-Presion_cilindro!$B$16*((Presion_cilindro!N217-(-F$4+Presion_cilindro!$B$34))/Presion_cilindro!$B$35)^(Presion_cilindro!$B$17+1)),0)-IF(Presion_cilindro!N216&gt;(-F$4+Presion_cilindro!$B$34),1-EXP(-Presion_cilindro!$B$16*((Presion_cilindro!N216-(-F$4+Presion_cilindro!$B$34))/Presion_cilindro!$B$35)^(Presion_cilindro!$B$17+1)),0))/((Presion_cilindro!O216+Presion_cilindro!O217)/2)</f>
        <v>1.8982178173474367</v>
      </c>
      <c r="G225" s="27">
        <f>G224*(Presion_cilindro!O216/Presion_cilindro!O217)^Presion_cilindro!$B$9+10*(Presion_cilindro!$B$9-1)*Presion_cilindro!$B$33*(IF(Presion_cilindro!N217&gt;(-G$4+Presion_cilindro!$B$34),1-EXP(-Presion_cilindro!$B$16*((Presion_cilindro!N217-(-G$4+Presion_cilindro!$B$34))/Presion_cilindro!$B$35)^(Presion_cilindro!$B$17+1)),0)-IF(Presion_cilindro!N216&gt;(-G$4+Presion_cilindro!$B$34),1-EXP(-Presion_cilindro!$B$16*((Presion_cilindro!N216-(-G$4+Presion_cilindro!$B$34))/Presion_cilindro!$B$35)^(Presion_cilindro!$B$17+1)),0))/((Presion_cilindro!O216+Presion_cilindro!O217)/2)</f>
        <v>1.8982178173474367</v>
      </c>
      <c r="H225" s="27">
        <f>H224*(Presion_cilindro!O216/Presion_cilindro!O217)^Presion_cilindro!$B$9+10*(Presion_cilindro!$B$9-1)*Presion_cilindro!$B$33*(IF(Presion_cilindro!N217&gt;(-H$4+Presion_cilindro!$B$34),1-EXP(-Presion_cilindro!$B$16*((Presion_cilindro!N217-(-H$4+Presion_cilindro!$B$34))/Presion_cilindro!$B$35)^(Presion_cilindro!$B$17+1)),0)-IF(Presion_cilindro!N216&gt;(-H$4+Presion_cilindro!$B$34),1-EXP(-Presion_cilindro!$B$16*((Presion_cilindro!N216-(-H$4+Presion_cilindro!$B$34))/Presion_cilindro!$B$35)^(Presion_cilindro!$B$17+1)),0))/((Presion_cilindro!O216+Presion_cilindro!O217)/2)</f>
        <v>1.8982178173474367</v>
      </c>
      <c r="I225" s="27">
        <f>I224*(Presion_cilindro!O216/Presion_cilindro!O217)^Presion_cilindro!$B$9+10*(Presion_cilindro!$B$9-1)*Presion_cilindro!$B$33*(IF(Presion_cilindro!N217&gt;(-I$4+Presion_cilindro!$B$34),1-EXP(-Presion_cilindro!$B$16*((Presion_cilindro!N217-(-I$4+Presion_cilindro!$B$34))/Presion_cilindro!$B$35)^(Presion_cilindro!$B$17+1)),0)-IF(Presion_cilindro!N216&gt;(-I$4+Presion_cilindro!$B$34),1-EXP(-Presion_cilindro!$B$16*((Presion_cilindro!N216-(-I$4+Presion_cilindro!$B$34))/Presion_cilindro!$B$35)^(Presion_cilindro!$B$17+1)),0))/((Presion_cilindro!O216+Presion_cilindro!O217)/2)</f>
        <v>1.8982178173474367</v>
      </c>
      <c r="J225" s="27">
        <f>J224*(Presion_cilindro!O216/Presion_cilindro!O217)^Presion_cilindro!$B$9+10*(Presion_cilindro!$B$9-1)*Presion_cilindro!$B$33*(IF(Presion_cilindro!N217&gt;(-J$4+Presion_cilindro!$B$34),1-EXP(-Presion_cilindro!$B$16*((Presion_cilindro!N217-(-J$4+Presion_cilindro!$B$34))/Presion_cilindro!$B$35)^(Presion_cilindro!$B$17+1)),0)-IF(Presion_cilindro!N216&gt;(-J$4+Presion_cilindro!$B$34),1-EXP(-Presion_cilindro!$B$16*((Presion_cilindro!N216-(-J$4+Presion_cilindro!$B$34))/Presion_cilindro!$B$35)^(Presion_cilindro!$B$17+1)),0))/((Presion_cilindro!O216+Presion_cilindro!O217)/2)</f>
        <v>1.8982178173474367</v>
      </c>
      <c r="K225" s="27">
        <f>K224*(Presion_cilindro!O216/Presion_cilindro!O217)^Presion_cilindro!$B$9+10*(Presion_cilindro!$B$9-1)*Presion_cilindro!$B$33*(IF(Presion_cilindro!N217&gt;(-K$4+Presion_cilindro!$B$34),1-EXP(-Presion_cilindro!$B$16*((Presion_cilindro!N217-(-K$4+Presion_cilindro!$B$34))/Presion_cilindro!$B$35)^(Presion_cilindro!$B$17+1)),0)-IF(Presion_cilindro!N216&gt;(-K$4+Presion_cilindro!$B$34),1-EXP(-Presion_cilindro!$B$16*((Presion_cilindro!N216-(-K$4+Presion_cilindro!$B$34))/Presion_cilindro!$B$35)^(Presion_cilindro!$B$17+1)),0))/((Presion_cilindro!O216+Presion_cilindro!O217)/2)</f>
        <v>1.8982178173474367</v>
      </c>
      <c r="L225" s="27">
        <f>L224*(Presion_cilindro!O216/Presion_cilindro!O217)^Presion_cilindro!$B$9+10*(Presion_cilindro!$B$9-1)*Presion_cilindro!$B$33*(IF(Presion_cilindro!N217&gt;(-L$4+Presion_cilindro!$B$34),1-EXP(-Presion_cilindro!$B$16*((Presion_cilindro!N217-(-L$4+Presion_cilindro!$B$34))/Presion_cilindro!$B$35)^(Presion_cilindro!$B$17+1)),0)-IF(Presion_cilindro!N216&gt;(-L$4+Presion_cilindro!$B$34),1-EXP(-Presion_cilindro!$B$16*((Presion_cilindro!N216-(-L$4+Presion_cilindro!$B$34))/Presion_cilindro!$B$35)^(Presion_cilindro!$B$17+1)),0))/((Presion_cilindro!O216+Presion_cilindro!O217)/2)</f>
        <v>1.8982178173474367</v>
      </c>
      <c r="M225" s="27">
        <f>M224*(Presion_cilindro!O216/Presion_cilindro!O217)^Presion_cilindro!$B$9+10*(Presion_cilindro!$B$9-1)*Presion_cilindro!$B$33*(IF(Presion_cilindro!N217&gt;(-M$4+Presion_cilindro!$B$34),1-EXP(-Presion_cilindro!$B$16*((Presion_cilindro!N217-(-M$4+Presion_cilindro!$B$34))/Presion_cilindro!$B$35)^(Presion_cilindro!$B$17+1)),0)-IF(Presion_cilindro!N216&gt;(-M$4+Presion_cilindro!$B$34),1-EXP(-Presion_cilindro!$B$16*((Presion_cilindro!N216-(-M$4+Presion_cilindro!$B$34))/Presion_cilindro!$B$35)^(Presion_cilindro!$B$17+1)),0))/((Presion_cilindro!O216+Presion_cilindro!O217)/2)</f>
        <v>1.8982178173474367</v>
      </c>
      <c r="N225" s="27">
        <f>N224*(Presion_cilindro!O216/Presion_cilindro!O217)^Presion_cilindro!$B$9+10*(Presion_cilindro!$B$9-1)*Presion_cilindro!$B$33*(IF(Presion_cilindro!N217&gt;(-N$4+Presion_cilindro!$B$34),1-EXP(-Presion_cilindro!$B$16*((Presion_cilindro!N217-(-N$4+Presion_cilindro!$B$34))/Presion_cilindro!$B$35)^(Presion_cilindro!$B$17+1)),0)-IF(Presion_cilindro!N216&gt;(-N$4+Presion_cilindro!$B$34),1-EXP(-Presion_cilindro!$B$16*((Presion_cilindro!N216-(-N$4+Presion_cilindro!$B$34))/Presion_cilindro!$B$35)^(Presion_cilindro!$B$17+1)),0))/((Presion_cilindro!O216+Presion_cilindro!O217)/2)</f>
        <v>1.8982178173474367</v>
      </c>
    </row>
    <row r="226" spans="1:14" x14ac:dyDescent="0.25">
      <c r="A226" s="21">
        <f>Presion_cilindro!N218</f>
        <v>-73</v>
      </c>
      <c r="B226" s="27">
        <f>B225*(Presion_cilindro!O217/Presion_cilindro!O218)^Presion_cilindro!$B$9+10*(Presion_cilindro!$B$9-1)*Presion_cilindro!$B$33*(IF(Presion_cilindro!N218&gt;(-B$4+Presion_cilindro!$B$34),1-EXP(-Presion_cilindro!$B$16*((Presion_cilindro!N218-(-B$4+Presion_cilindro!$B$34))/Presion_cilindro!$B$35)^(Presion_cilindro!$B$17+1)),0)-IF(Presion_cilindro!N217&gt;(-B$4+Presion_cilindro!$B$34),1-EXP(-Presion_cilindro!$B$16*((Presion_cilindro!N217-(-B$4+Presion_cilindro!$B$34))/Presion_cilindro!$B$35)^(Presion_cilindro!$B$17+1)),0))/((Presion_cilindro!O217+Presion_cilindro!O218)/2)</f>
        <v>1.9197928773522264</v>
      </c>
      <c r="C226" s="27">
        <f>C225*(Presion_cilindro!O217/Presion_cilindro!O218)^Presion_cilindro!$B$9+10*(Presion_cilindro!$B$9-1)*Presion_cilindro!$B$33*(IF(Presion_cilindro!N218&gt;(-C$4+Presion_cilindro!$B$34),1-EXP(-Presion_cilindro!$B$16*((Presion_cilindro!N218-(-C$4+Presion_cilindro!$B$34))/Presion_cilindro!$B$35)^(Presion_cilindro!$B$17+1)),0)-IF(Presion_cilindro!N217&gt;(-C$4+Presion_cilindro!$B$34),1-EXP(-Presion_cilindro!$B$16*((Presion_cilindro!N217-(-C$4+Presion_cilindro!$B$34))/Presion_cilindro!$B$35)^(Presion_cilindro!$B$17+1)),0))/((Presion_cilindro!O217+Presion_cilindro!O218)/2)</f>
        <v>1.9197928773522264</v>
      </c>
      <c r="D226" s="27">
        <f>D225*(Presion_cilindro!O217/Presion_cilindro!O218)^Presion_cilindro!$B$9+10*(Presion_cilindro!$B$9-1)*Presion_cilindro!$B$33*(IF(Presion_cilindro!N218&gt;(-D$4+Presion_cilindro!$B$34),1-EXP(-Presion_cilindro!$B$16*((Presion_cilindro!N218-(-D$4+Presion_cilindro!$B$34))/Presion_cilindro!$B$35)^(Presion_cilindro!$B$17+1)),0)-IF(Presion_cilindro!N217&gt;(-D$4+Presion_cilindro!$B$34),1-EXP(-Presion_cilindro!$B$16*((Presion_cilindro!N217-(-D$4+Presion_cilindro!$B$34))/Presion_cilindro!$B$35)^(Presion_cilindro!$B$17+1)),0))/((Presion_cilindro!O217+Presion_cilindro!O218)/2)</f>
        <v>1.9197928773522264</v>
      </c>
      <c r="E226" s="27">
        <f>E225*(Presion_cilindro!O217/Presion_cilindro!O218)^Presion_cilindro!$B$9+10*(Presion_cilindro!$B$9-1)*Presion_cilindro!$B$33*(IF(Presion_cilindro!N218&gt;(-E$4+Presion_cilindro!$B$34),1-EXP(-Presion_cilindro!$B$16*((Presion_cilindro!N218-(-E$4+Presion_cilindro!$B$34))/Presion_cilindro!$B$35)^(Presion_cilindro!$B$17+1)),0)-IF(Presion_cilindro!N217&gt;(-E$4+Presion_cilindro!$B$34),1-EXP(-Presion_cilindro!$B$16*((Presion_cilindro!N217-(-E$4+Presion_cilindro!$B$34))/Presion_cilindro!$B$35)^(Presion_cilindro!$B$17+1)),0))/((Presion_cilindro!O217+Presion_cilindro!O218)/2)</f>
        <v>1.9197928773522264</v>
      </c>
      <c r="F226" s="27">
        <f>F225*(Presion_cilindro!O217/Presion_cilindro!O218)^Presion_cilindro!$B$9+10*(Presion_cilindro!$B$9-1)*Presion_cilindro!$B$33*(IF(Presion_cilindro!N218&gt;(-F$4+Presion_cilindro!$B$34),1-EXP(-Presion_cilindro!$B$16*((Presion_cilindro!N218-(-F$4+Presion_cilindro!$B$34))/Presion_cilindro!$B$35)^(Presion_cilindro!$B$17+1)),0)-IF(Presion_cilindro!N217&gt;(-F$4+Presion_cilindro!$B$34),1-EXP(-Presion_cilindro!$B$16*((Presion_cilindro!N217-(-F$4+Presion_cilindro!$B$34))/Presion_cilindro!$B$35)^(Presion_cilindro!$B$17+1)),0))/((Presion_cilindro!O217+Presion_cilindro!O218)/2)</f>
        <v>1.9197928773522264</v>
      </c>
      <c r="G226" s="27">
        <f>G225*(Presion_cilindro!O217/Presion_cilindro!O218)^Presion_cilindro!$B$9+10*(Presion_cilindro!$B$9-1)*Presion_cilindro!$B$33*(IF(Presion_cilindro!N218&gt;(-G$4+Presion_cilindro!$B$34),1-EXP(-Presion_cilindro!$B$16*((Presion_cilindro!N218-(-G$4+Presion_cilindro!$B$34))/Presion_cilindro!$B$35)^(Presion_cilindro!$B$17+1)),0)-IF(Presion_cilindro!N217&gt;(-G$4+Presion_cilindro!$B$34),1-EXP(-Presion_cilindro!$B$16*((Presion_cilindro!N217-(-G$4+Presion_cilindro!$B$34))/Presion_cilindro!$B$35)^(Presion_cilindro!$B$17+1)),0))/((Presion_cilindro!O217+Presion_cilindro!O218)/2)</f>
        <v>1.9197928773522264</v>
      </c>
      <c r="H226" s="27">
        <f>H225*(Presion_cilindro!O217/Presion_cilindro!O218)^Presion_cilindro!$B$9+10*(Presion_cilindro!$B$9-1)*Presion_cilindro!$B$33*(IF(Presion_cilindro!N218&gt;(-H$4+Presion_cilindro!$B$34),1-EXP(-Presion_cilindro!$B$16*((Presion_cilindro!N218-(-H$4+Presion_cilindro!$B$34))/Presion_cilindro!$B$35)^(Presion_cilindro!$B$17+1)),0)-IF(Presion_cilindro!N217&gt;(-H$4+Presion_cilindro!$B$34),1-EXP(-Presion_cilindro!$B$16*((Presion_cilindro!N217-(-H$4+Presion_cilindro!$B$34))/Presion_cilindro!$B$35)^(Presion_cilindro!$B$17+1)),0))/((Presion_cilindro!O217+Presion_cilindro!O218)/2)</f>
        <v>1.9197928773522264</v>
      </c>
      <c r="I226" s="27">
        <f>I225*(Presion_cilindro!O217/Presion_cilindro!O218)^Presion_cilindro!$B$9+10*(Presion_cilindro!$B$9-1)*Presion_cilindro!$B$33*(IF(Presion_cilindro!N218&gt;(-I$4+Presion_cilindro!$B$34),1-EXP(-Presion_cilindro!$B$16*((Presion_cilindro!N218-(-I$4+Presion_cilindro!$B$34))/Presion_cilindro!$B$35)^(Presion_cilindro!$B$17+1)),0)-IF(Presion_cilindro!N217&gt;(-I$4+Presion_cilindro!$B$34),1-EXP(-Presion_cilindro!$B$16*((Presion_cilindro!N217-(-I$4+Presion_cilindro!$B$34))/Presion_cilindro!$B$35)^(Presion_cilindro!$B$17+1)),0))/((Presion_cilindro!O217+Presion_cilindro!O218)/2)</f>
        <v>1.9197928773522264</v>
      </c>
      <c r="J226" s="27">
        <f>J225*(Presion_cilindro!O217/Presion_cilindro!O218)^Presion_cilindro!$B$9+10*(Presion_cilindro!$B$9-1)*Presion_cilindro!$B$33*(IF(Presion_cilindro!N218&gt;(-J$4+Presion_cilindro!$B$34),1-EXP(-Presion_cilindro!$B$16*((Presion_cilindro!N218-(-J$4+Presion_cilindro!$B$34))/Presion_cilindro!$B$35)^(Presion_cilindro!$B$17+1)),0)-IF(Presion_cilindro!N217&gt;(-J$4+Presion_cilindro!$B$34),1-EXP(-Presion_cilindro!$B$16*((Presion_cilindro!N217-(-J$4+Presion_cilindro!$B$34))/Presion_cilindro!$B$35)^(Presion_cilindro!$B$17+1)),0))/((Presion_cilindro!O217+Presion_cilindro!O218)/2)</f>
        <v>1.9197928773522264</v>
      </c>
      <c r="K226" s="27">
        <f>K225*(Presion_cilindro!O217/Presion_cilindro!O218)^Presion_cilindro!$B$9+10*(Presion_cilindro!$B$9-1)*Presion_cilindro!$B$33*(IF(Presion_cilindro!N218&gt;(-K$4+Presion_cilindro!$B$34),1-EXP(-Presion_cilindro!$B$16*((Presion_cilindro!N218-(-K$4+Presion_cilindro!$B$34))/Presion_cilindro!$B$35)^(Presion_cilindro!$B$17+1)),0)-IF(Presion_cilindro!N217&gt;(-K$4+Presion_cilindro!$B$34),1-EXP(-Presion_cilindro!$B$16*((Presion_cilindro!N217-(-K$4+Presion_cilindro!$B$34))/Presion_cilindro!$B$35)^(Presion_cilindro!$B$17+1)),0))/((Presion_cilindro!O217+Presion_cilindro!O218)/2)</f>
        <v>1.9197928773522264</v>
      </c>
      <c r="L226" s="27">
        <f>L225*(Presion_cilindro!O217/Presion_cilindro!O218)^Presion_cilindro!$B$9+10*(Presion_cilindro!$B$9-1)*Presion_cilindro!$B$33*(IF(Presion_cilindro!N218&gt;(-L$4+Presion_cilindro!$B$34),1-EXP(-Presion_cilindro!$B$16*((Presion_cilindro!N218-(-L$4+Presion_cilindro!$B$34))/Presion_cilindro!$B$35)^(Presion_cilindro!$B$17+1)),0)-IF(Presion_cilindro!N217&gt;(-L$4+Presion_cilindro!$B$34),1-EXP(-Presion_cilindro!$B$16*((Presion_cilindro!N217-(-L$4+Presion_cilindro!$B$34))/Presion_cilindro!$B$35)^(Presion_cilindro!$B$17+1)),0))/((Presion_cilindro!O217+Presion_cilindro!O218)/2)</f>
        <v>1.9197928773522264</v>
      </c>
      <c r="M226" s="27">
        <f>M225*(Presion_cilindro!O217/Presion_cilindro!O218)^Presion_cilindro!$B$9+10*(Presion_cilindro!$B$9-1)*Presion_cilindro!$B$33*(IF(Presion_cilindro!N218&gt;(-M$4+Presion_cilindro!$B$34),1-EXP(-Presion_cilindro!$B$16*((Presion_cilindro!N218-(-M$4+Presion_cilindro!$B$34))/Presion_cilindro!$B$35)^(Presion_cilindro!$B$17+1)),0)-IF(Presion_cilindro!N217&gt;(-M$4+Presion_cilindro!$B$34),1-EXP(-Presion_cilindro!$B$16*((Presion_cilindro!N217-(-M$4+Presion_cilindro!$B$34))/Presion_cilindro!$B$35)^(Presion_cilindro!$B$17+1)),0))/((Presion_cilindro!O217+Presion_cilindro!O218)/2)</f>
        <v>1.9197928773522264</v>
      </c>
      <c r="N226" s="27">
        <f>N225*(Presion_cilindro!O217/Presion_cilindro!O218)^Presion_cilindro!$B$9+10*(Presion_cilindro!$B$9-1)*Presion_cilindro!$B$33*(IF(Presion_cilindro!N218&gt;(-N$4+Presion_cilindro!$B$34),1-EXP(-Presion_cilindro!$B$16*((Presion_cilindro!N218-(-N$4+Presion_cilindro!$B$34))/Presion_cilindro!$B$35)^(Presion_cilindro!$B$17+1)),0)-IF(Presion_cilindro!N217&gt;(-N$4+Presion_cilindro!$B$34),1-EXP(-Presion_cilindro!$B$16*((Presion_cilindro!N217-(-N$4+Presion_cilindro!$B$34))/Presion_cilindro!$B$35)^(Presion_cilindro!$B$17+1)),0))/((Presion_cilindro!O217+Presion_cilindro!O218)/2)</f>
        <v>1.9197928773522264</v>
      </c>
    </row>
    <row r="227" spans="1:14" x14ac:dyDescent="0.25">
      <c r="A227" s="21">
        <f>Presion_cilindro!N219</f>
        <v>-72.5</v>
      </c>
      <c r="B227" s="27">
        <f>B226*(Presion_cilindro!O218/Presion_cilindro!O219)^Presion_cilindro!$B$9+10*(Presion_cilindro!$B$9-1)*Presion_cilindro!$B$33*(IF(Presion_cilindro!N219&gt;(-B$4+Presion_cilindro!$B$34),1-EXP(-Presion_cilindro!$B$16*((Presion_cilindro!N219-(-B$4+Presion_cilindro!$B$34))/Presion_cilindro!$B$35)^(Presion_cilindro!$B$17+1)),0)-IF(Presion_cilindro!N218&gt;(-B$4+Presion_cilindro!$B$34),1-EXP(-Presion_cilindro!$B$16*((Presion_cilindro!N218-(-B$4+Presion_cilindro!$B$34))/Presion_cilindro!$B$35)^(Presion_cilindro!$B$17+1)),0))/((Presion_cilindro!O218+Presion_cilindro!O219)/2)</f>
        <v>1.9417922453967198</v>
      </c>
      <c r="C227" s="27">
        <f>C226*(Presion_cilindro!O218/Presion_cilindro!O219)^Presion_cilindro!$B$9+10*(Presion_cilindro!$B$9-1)*Presion_cilindro!$B$33*(IF(Presion_cilindro!N219&gt;(-C$4+Presion_cilindro!$B$34),1-EXP(-Presion_cilindro!$B$16*((Presion_cilindro!N219-(-C$4+Presion_cilindro!$B$34))/Presion_cilindro!$B$35)^(Presion_cilindro!$B$17+1)),0)-IF(Presion_cilindro!N218&gt;(-C$4+Presion_cilindro!$B$34),1-EXP(-Presion_cilindro!$B$16*((Presion_cilindro!N218-(-C$4+Presion_cilindro!$B$34))/Presion_cilindro!$B$35)^(Presion_cilindro!$B$17+1)),0))/((Presion_cilindro!O218+Presion_cilindro!O219)/2)</f>
        <v>1.9417922453967198</v>
      </c>
      <c r="D227" s="27">
        <f>D226*(Presion_cilindro!O218/Presion_cilindro!O219)^Presion_cilindro!$B$9+10*(Presion_cilindro!$B$9-1)*Presion_cilindro!$B$33*(IF(Presion_cilindro!N219&gt;(-D$4+Presion_cilindro!$B$34),1-EXP(-Presion_cilindro!$B$16*((Presion_cilindro!N219-(-D$4+Presion_cilindro!$B$34))/Presion_cilindro!$B$35)^(Presion_cilindro!$B$17+1)),0)-IF(Presion_cilindro!N218&gt;(-D$4+Presion_cilindro!$B$34),1-EXP(-Presion_cilindro!$B$16*((Presion_cilindro!N218-(-D$4+Presion_cilindro!$B$34))/Presion_cilindro!$B$35)^(Presion_cilindro!$B$17+1)),0))/((Presion_cilindro!O218+Presion_cilindro!O219)/2)</f>
        <v>1.9417922453967198</v>
      </c>
      <c r="E227" s="27">
        <f>E226*(Presion_cilindro!O218/Presion_cilindro!O219)^Presion_cilindro!$B$9+10*(Presion_cilindro!$B$9-1)*Presion_cilindro!$B$33*(IF(Presion_cilindro!N219&gt;(-E$4+Presion_cilindro!$B$34),1-EXP(-Presion_cilindro!$B$16*((Presion_cilindro!N219-(-E$4+Presion_cilindro!$B$34))/Presion_cilindro!$B$35)^(Presion_cilindro!$B$17+1)),0)-IF(Presion_cilindro!N218&gt;(-E$4+Presion_cilindro!$B$34),1-EXP(-Presion_cilindro!$B$16*((Presion_cilindro!N218-(-E$4+Presion_cilindro!$B$34))/Presion_cilindro!$B$35)^(Presion_cilindro!$B$17+1)),0))/((Presion_cilindro!O218+Presion_cilindro!O219)/2)</f>
        <v>1.9417922453967198</v>
      </c>
      <c r="F227" s="27">
        <f>F226*(Presion_cilindro!O218/Presion_cilindro!O219)^Presion_cilindro!$B$9+10*(Presion_cilindro!$B$9-1)*Presion_cilindro!$B$33*(IF(Presion_cilindro!N219&gt;(-F$4+Presion_cilindro!$B$34),1-EXP(-Presion_cilindro!$B$16*((Presion_cilindro!N219-(-F$4+Presion_cilindro!$B$34))/Presion_cilindro!$B$35)^(Presion_cilindro!$B$17+1)),0)-IF(Presion_cilindro!N218&gt;(-F$4+Presion_cilindro!$B$34),1-EXP(-Presion_cilindro!$B$16*((Presion_cilindro!N218-(-F$4+Presion_cilindro!$B$34))/Presion_cilindro!$B$35)^(Presion_cilindro!$B$17+1)),0))/((Presion_cilindro!O218+Presion_cilindro!O219)/2)</f>
        <v>1.9417922453967198</v>
      </c>
      <c r="G227" s="27">
        <f>G226*(Presion_cilindro!O218/Presion_cilindro!O219)^Presion_cilindro!$B$9+10*(Presion_cilindro!$B$9-1)*Presion_cilindro!$B$33*(IF(Presion_cilindro!N219&gt;(-G$4+Presion_cilindro!$B$34),1-EXP(-Presion_cilindro!$B$16*((Presion_cilindro!N219-(-G$4+Presion_cilindro!$B$34))/Presion_cilindro!$B$35)^(Presion_cilindro!$B$17+1)),0)-IF(Presion_cilindro!N218&gt;(-G$4+Presion_cilindro!$B$34),1-EXP(-Presion_cilindro!$B$16*((Presion_cilindro!N218-(-G$4+Presion_cilindro!$B$34))/Presion_cilindro!$B$35)^(Presion_cilindro!$B$17+1)),0))/((Presion_cilindro!O218+Presion_cilindro!O219)/2)</f>
        <v>1.9417922453967198</v>
      </c>
      <c r="H227" s="27">
        <f>H226*(Presion_cilindro!O218/Presion_cilindro!O219)^Presion_cilindro!$B$9+10*(Presion_cilindro!$B$9-1)*Presion_cilindro!$B$33*(IF(Presion_cilindro!N219&gt;(-H$4+Presion_cilindro!$B$34),1-EXP(-Presion_cilindro!$B$16*((Presion_cilindro!N219-(-H$4+Presion_cilindro!$B$34))/Presion_cilindro!$B$35)^(Presion_cilindro!$B$17+1)),0)-IF(Presion_cilindro!N218&gt;(-H$4+Presion_cilindro!$B$34),1-EXP(-Presion_cilindro!$B$16*((Presion_cilindro!N218-(-H$4+Presion_cilindro!$B$34))/Presion_cilindro!$B$35)^(Presion_cilindro!$B$17+1)),0))/((Presion_cilindro!O218+Presion_cilindro!O219)/2)</f>
        <v>1.9417922453967198</v>
      </c>
      <c r="I227" s="27">
        <f>I226*(Presion_cilindro!O218/Presion_cilindro!O219)^Presion_cilindro!$B$9+10*(Presion_cilindro!$B$9-1)*Presion_cilindro!$B$33*(IF(Presion_cilindro!N219&gt;(-I$4+Presion_cilindro!$B$34),1-EXP(-Presion_cilindro!$B$16*((Presion_cilindro!N219-(-I$4+Presion_cilindro!$B$34))/Presion_cilindro!$B$35)^(Presion_cilindro!$B$17+1)),0)-IF(Presion_cilindro!N218&gt;(-I$4+Presion_cilindro!$B$34),1-EXP(-Presion_cilindro!$B$16*((Presion_cilindro!N218-(-I$4+Presion_cilindro!$B$34))/Presion_cilindro!$B$35)^(Presion_cilindro!$B$17+1)),0))/((Presion_cilindro!O218+Presion_cilindro!O219)/2)</f>
        <v>1.9417922453967198</v>
      </c>
      <c r="J227" s="27">
        <f>J226*(Presion_cilindro!O218/Presion_cilindro!O219)^Presion_cilindro!$B$9+10*(Presion_cilindro!$B$9-1)*Presion_cilindro!$B$33*(IF(Presion_cilindro!N219&gt;(-J$4+Presion_cilindro!$B$34),1-EXP(-Presion_cilindro!$B$16*((Presion_cilindro!N219-(-J$4+Presion_cilindro!$B$34))/Presion_cilindro!$B$35)^(Presion_cilindro!$B$17+1)),0)-IF(Presion_cilindro!N218&gt;(-J$4+Presion_cilindro!$B$34),1-EXP(-Presion_cilindro!$B$16*((Presion_cilindro!N218-(-J$4+Presion_cilindro!$B$34))/Presion_cilindro!$B$35)^(Presion_cilindro!$B$17+1)),0))/((Presion_cilindro!O218+Presion_cilindro!O219)/2)</f>
        <v>1.9417922453967198</v>
      </c>
      <c r="K227" s="27">
        <f>K226*(Presion_cilindro!O218/Presion_cilindro!O219)^Presion_cilindro!$B$9+10*(Presion_cilindro!$B$9-1)*Presion_cilindro!$B$33*(IF(Presion_cilindro!N219&gt;(-K$4+Presion_cilindro!$B$34),1-EXP(-Presion_cilindro!$B$16*((Presion_cilindro!N219-(-K$4+Presion_cilindro!$B$34))/Presion_cilindro!$B$35)^(Presion_cilindro!$B$17+1)),0)-IF(Presion_cilindro!N218&gt;(-K$4+Presion_cilindro!$B$34),1-EXP(-Presion_cilindro!$B$16*((Presion_cilindro!N218-(-K$4+Presion_cilindro!$B$34))/Presion_cilindro!$B$35)^(Presion_cilindro!$B$17+1)),0))/((Presion_cilindro!O218+Presion_cilindro!O219)/2)</f>
        <v>1.9417922453967198</v>
      </c>
      <c r="L227" s="27">
        <f>L226*(Presion_cilindro!O218/Presion_cilindro!O219)^Presion_cilindro!$B$9+10*(Presion_cilindro!$B$9-1)*Presion_cilindro!$B$33*(IF(Presion_cilindro!N219&gt;(-L$4+Presion_cilindro!$B$34),1-EXP(-Presion_cilindro!$B$16*((Presion_cilindro!N219-(-L$4+Presion_cilindro!$B$34))/Presion_cilindro!$B$35)^(Presion_cilindro!$B$17+1)),0)-IF(Presion_cilindro!N218&gt;(-L$4+Presion_cilindro!$B$34),1-EXP(-Presion_cilindro!$B$16*((Presion_cilindro!N218-(-L$4+Presion_cilindro!$B$34))/Presion_cilindro!$B$35)^(Presion_cilindro!$B$17+1)),0))/((Presion_cilindro!O218+Presion_cilindro!O219)/2)</f>
        <v>1.9417922453967198</v>
      </c>
      <c r="M227" s="27">
        <f>M226*(Presion_cilindro!O218/Presion_cilindro!O219)^Presion_cilindro!$B$9+10*(Presion_cilindro!$B$9-1)*Presion_cilindro!$B$33*(IF(Presion_cilindro!N219&gt;(-M$4+Presion_cilindro!$B$34),1-EXP(-Presion_cilindro!$B$16*((Presion_cilindro!N219-(-M$4+Presion_cilindro!$B$34))/Presion_cilindro!$B$35)^(Presion_cilindro!$B$17+1)),0)-IF(Presion_cilindro!N218&gt;(-M$4+Presion_cilindro!$B$34),1-EXP(-Presion_cilindro!$B$16*((Presion_cilindro!N218-(-M$4+Presion_cilindro!$B$34))/Presion_cilindro!$B$35)^(Presion_cilindro!$B$17+1)),0))/((Presion_cilindro!O218+Presion_cilindro!O219)/2)</f>
        <v>1.9417922453967198</v>
      </c>
      <c r="N227" s="27">
        <f>N226*(Presion_cilindro!O218/Presion_cilindro!O219)^Presion_cilindro!$B$9+10*(Presion_cilindro!$B$9-1)*Presion_cilindro!$B$33*(IF(Presion_cilindro!N219&gt;(-N$4+Presion_cilindro!$B$34),1-EXP(-Presion_cilindro!$B$16*((Presion_cilindro!N219-(-N$4+Presion_cilindro!$B$34))/Presion_cilindro!$B$35)^(Presion_cilindro!$B$17+1)),0)-IF(Presion_cilindro!N218&gt;(-N$4+Presion_cilindro!$B$34),1-EXP(-Presion_cilindro!$B$16*((Presion_cilindro!N218-(-N$4+Presion_cilindro!$B$34))/Presion_cilindro!$B$35)^(Presion_cilindro!$B$17+1)),0))/((Presion_cilindro!O218+Presion_cilindro!O219)/2)</f>
        <v>1.9417922453967198</v>
      </c>
    </row>
    <row r="228" spans="1:14" x14ac:dyDescent="0.25">
      <c r="A228" s="21">
        <f>Presion_cilindro!N220</f>
        <v>-72</v>
      </c>
      <c r="B228" s="27">
        <f>B227*(Presion_cilindro!O219/Presion_cilindro!O220)^Presion_cilindro!$B$9+10*(Presion_cilindro!$B$9-1)*Presion_cilindro!$B$33*(IF(Presion_cilindro!N220&gt;(-B$4+Presion_cilindro!$B$34),1-EXP(-Presion_cilindro!$B$16*((Presion_cilindro!N220-(-B$4+Presion_cilindro!$B$34))/Presion_cilindro!$B$35)^(Presion_cilindro!$B$17+1)),0)-IF(Presion_cilindro!N219&gt;(-B$4+Presion_cilindro!$B$34),1-EXP(-Presion_cilindro!$B$16*((Presion_cilindro!N219-(-B$4+Presion_cilindro!$B$34))/Presion_cilindro!$B$35)^(Presion_cilindro!$B$17+1)),0))/((Presion_cilindro!O219+Presion_cilindro!O220)/2)</f>
        <v>1.9642257419410105</v>
      </c>
      <c r="C228" s="27">
        <f>C227*(Presion_cilindro!O219/Presion_cilindro!O220)^Presion_cilindro!$B$9+10*(Presion_cilindro!$B$9-1)*Presion_cilindro!$B$33*(IF(Presion_cilindro!N220&gt;(-C$4+Presion_cilindro!$B$34),1-EXP(-Presion_cilindro!$B$16*((Presion_cilindro!N220-(-C$4+Presion_cilindro!$B$34))/Presion_cilindro!$B$35)^(Presion_cilindro!$B$17+1)),0)-IF(Presion_cilindro!N219&gt;(-C$4+Presion_cilindro!$B$34),1-EXP(-Presion_cilindro!$B$16*((Presion_cilindro!N219-(-C$4+Presion_cilindro!$B$34))/Presion_cilindro!$B$35)^(Presion_cilindro!$B$17+1)),0))/((Presion_cilindro!O219+Presion_cilindro!O220)/2)</f>
        <v>1.9642257419410105</v>
      </c>
      <c r="D228" s="27">
        <f>D227*(Presion_cilindro!O219/Presion_cilindro!O220)^Presion_cilindro!$B$9+10*(Presion_cilindro!$B$9-1)*Presion_cilindro!$B$33*(IF(Presion_cilindro!N220&gt;(-D$4+Presion_cilindro!$B$34),1-EXP(-Presion_cilindro!$B$16*((Presion_cilindro!N220-(-D$4+Presion_cilindro!$B$34))/Presion_cilindro!$B$35)^(Presion_cilindro!$B$17+1)),0)-IF(Presion_cilindro!N219&gt;(-D$4+Presion_cilindro!$B$34),1-EXP(-Presion_cilindro!$B$16*((Presion_cilindro!N219-(-D$4+Presion_cilindro!$B$34))/Presion_cilindro!$B$35)^(Presion_cilindro!$B$17+1)),0))/((Presion_cilindro!O219+Presion_cilindro!O220)/2)</f>
        <v>1.9642257419410105</v>
      </c>
      <c r="E228" s="27">
        <f>E227*(Presion_cilindro!O219/Presion_cilindro!O220)^Presion_cilindro!$B$9+10*(Presion_cilindro!$B$9-1)*Presion_cilindro!$B$33*(IF(Presion_cilindro!N220&gt;(-E$4+Presion_cilindro!$B$34),1-EXP(-Presion_cilindro!$B$16*((Presion_cilindro!N220-(-E$4+Presion_cilindro!$B$34))/Presion_cilindro!$B$35)^(Presion_cilindro!$B$17+1)),0)-IF(Presion_cilindro!N219&gt;(-E$4+Presion_cilindro!$B$34),1-EXP(-Presion_cilindro!$B$16*((Presion_cilindro!N219-(-E$4+Presion_cilindro!$B$34))/Presion_cilindro!$B$35)^(Presion_cilindro!$B$17+1)),0))/((Presion_cilindro!O219+Presion_cilindro!O220)/2)</f>
        <v>1.9642257419410105</v>
      </c>
      <c r="F228" s="27">
        <f>F227*(Presion_cilindro!O219/Presion_cilindro!O220)^Presion_cilindro!$B$9+10*(Presion_cilindro!$B$9-1)*Presion_cilindro!$B$33*(IF(Presion_cilindro!N220&gt;(-F$4+Presion_cilindro!$B$34),1-EXP(-Presion_cilindro!$B$16*((Presion_cilindro!N220-(-F$4+Presion_cilindro!$B$34))/Presion_cilindro!$B$35)^(Presion_cilindro!$B$17+1)),0)-IF(Presion_cilindro!N219&gt;(-F$4+Presion_cilindro!$B$34),1-EXP(-Presion_cilindro!$B$16*((Presion_cilindro!N219-(-F$4+Presion_cilindro!$B$34))/Presion_cilindro!$B$35)^(Presion_cilindro!$B$17+1)),0))/((Presion_cilindro!O219+Presion_cilindro!O220)/2)</f>
        <v>1.9642257419410105</v>
      </c>
      <c r="G228" s="27">
        <f>G227*(Presion_cilindro!O219/Presion_cilindro!O220)^Presion_cilindro!$B$9+10*(Presion_cilindro!$B$9-1)*Presion_cilindro!$B$33*(IF(Presion_cilindro!N220&gt;(-G$4+Presion_cilindro!$B$34),1-EXP(-Presion_cilindro!$B$16*((Presion_cilindro!N220-(-G$4+Presion_cilindro!$B$34))/Presion_cilindro!$B$35)^(Presion_cilindro!$B$17+1)),0)-IF(Presion_cilindro!N219&gt;(-G$4+Presion_cilindro!$B$34),1-EXP(-Presion_cilindro!$B$16*((Presion_cilindro!N219-(-G$4+Presion_cilindro!$B$34))/Presion_cilindro!$B$35)^(Presion_cilindro!$B$17+1)),0))/((Presion_cilindro!O219+Presion_cilindro!O220)/2)</f>
        <v>1.9642257419410105</v>
      </c>
      <c r="H228" s="27">
        <f>H227*(Presion_cilindro!O219/Presion_cilindro!O220)^Presion_cilindro!$B$9+10*(Presion_cilindro!$B$9-1)*Presion_cilindro!$B$33*(IF(Presion_cilindro!N220&gt;(-H$4+Presion_cilindro!$B$34),1-EXP(-Presion_cilindro!$B$16*((Presion_cilindro!N220-(-H$4+Presion_cilindro!$B$34))/Presion_cilindro!$B$35)^(Presion_cilindro!$B$17+1)),0)-IF(Presion_cilindro!N219&gt;(-H$4+Presion_cilindro!$B$34),1-EXP(-Presion_cilindro!$B$16*((Presion_cilindro!N219-(-H$4+Presion_cilindro!$B$34))/Presion_cilindro!$B$35)^(Presion_cilindro!$B$17+1)),0))/((Presion_cilindro!O219+Presion_cilindro!O220)/2)</f>
        <v>1.9642257419410105</v>
      </c>
      <c r="I228" s="27">
        <f>I227*(Presion_cilindro!O219/Presion_cilindro!O220)^Presion_cilindro!$B$9+10*(Presion_cilindro!$B$9-1)*Presion_cilindro!$B$33*(IF(Presion_cilindro!N220&gt;(-I$4+Presion_cilindro!$B$34),1-EXP(-Presion_cilindro!$B$16*((Presion_cilindro!N220-(-I$4+Presion_cilindro!$B$34))/Presion_cilindro!$B$35)^(Presion_cilindro!$B$17+1)),0)-IF(Presion_cilindro!N219&gt;(-I$4+Presion_cilindro!$B$34),1-EXP(-Presion_cilindro!$B$16*((Presion_cilindro!N219-(-I$4+Presion_cilindro!$B$34))/Presion_cilindro!$B$35)^(Presion_cilindro!$B$17+1)),0))/((Presion_cilindro!O219+Presion_cilindro!O220)/2)</f>
        <v>1.9642257419410105</v>
      </c>
      <c r="J228" s="27">
        <f>J227*(Presion_cilindro!O219/Presion_cilindro!O220)^Presion_cilindro!$B$9+10*(Presion_cilindro!$B$9-1)*Presion_cilindro!$B$33*(IF(Presion_cilindro!N220&gt;(-J$4+Presion_cilindro!$B$34),1-EXP(-Presion_cilindro!$B$16*((Presion_cilindro!N220-(-J$4+Presion_cilindro!$B$34))/Presion_cilindro!$B$35)^(Presion_cilindro!$B$17+1)),0)-IF(Presion_cilindro!N219&gt;(-J$4+Presion_cilindro!$B$34),1-EXP(-Presion_cilindro!$B$16*((Presion_cilindro!N219-(-J$4+Presion_cilindro!$B$34))/Presion_cilindro!$B$35)^(Presion_cilindro!$B$17+1)),0))/((Presion_cilindro!O219+Presion_cilindro!O220)/2)</f>
        <v>1.9642257419410105</v>
      </c>
      <c r="K228" s="27">
        <f>K227*(Presion_cilindro!O219/Presion_cilindro!O220)^Presion_cilindro!$B$9+10*(Presion_cilindro!$B$9-1)*Presion_cilindro!$B$33*(IF(Presion_cilindro!N220&gt;(-K$4+Presion_cilindro!$B$34),1-EXP(-Presion_cilindro!$B$16*((Presion_cilindro!N220-(-K$4+Presion_cilindro!$B$34))/Presion_cilindro!$B$35)^(Presion_cilindro!$B$17+1)),0)-IF(Presion_cilindro!N219&gt;(-K$4+Presion_cilindro!$B$34),1-EXP(-Presion_cilindro!$B$16*((Presion_cilindro!N219-(-K$4+Presion_cilindro!$B$34))/Presion_cilindro!$B$35)^(Presion_cilindro!$B$17+1)),0))/((Presion_cilindro!O219+Presion_cilindro!O220)/2)</f>
        <v>1.9642257419410105</v>
      </c>
      <c r="L228" s="27">
        <f>L227*(Presion_cilindro!O219/Presion_cilindro!O220)^Presion_cilindro!$B$9+10*(Presion_cilindro!$B$9-1)*Presion_cilindro!$B$33*(IF(Presion_cilindro!N220&gt;(-L$4+Presion_cilindro!$B$34),1-EXP(-Presion_cilindro!$B$16*((Presion_cilindro!N220-(-L$4+Presion_cilindro!$B$34))/Presion_cilindro!$B$35)^(Presion_cilindro!$B$17+1)),0)-IF(Presion_cilindro!N219&gt;(-L$4+Presion_cilindro!$B$34),1-EXP(-Presion_cilindro!$B$16*((Presion_cilindro!N219-(-L$4+Presion_cilindro!$B$34))/Presion_cilindro!$B$35)^(Presion_cilindro!$B$17+1)),0))/((Presion_cilindro!O219+Presion_cilindro!O220)/2)</f>
        <v>1.9642257419410105</v>
      </c>
      <c r="M228" s="27">
        <f>M227*(Presion_cilindro!O219/Presion_cilindro!O220)^Presion_cilindro!$B$9+10*(Presion_cilindro!$B$9-1)*Presion_cilindro!$B$33*(IF(Presion_cilindro!N220&gt;(-M$4+Presion_cilindro!$B$34),1-EXP(-Presion_cilindro!$B$16*((Presion_cilindro!N220-(-M$4+Presion_cilindro!$B$34))/Presion_cilindro!$B$35)^(Presion_cilindro!$B$17+1)),0)-IF(Presion_cilindro!N219&gt;(-M$4+Presion_cilindro!$B$34),1-EXP(-Presion_cilindro!$B$16*((Presion_cilindro!N219-(-M$4+Presion_cilindro!$B$34))/Presion_cilindro!$B$35)^(Presion_cilindro!$B$17+1)),0))/((Presion_cilindro!O219+Presion_cilindro!O220)/2)</f>
        <v>1.9642257419410105</v>
      </c>
      <c r="N228" s="27">
        <f>N227*(Presion_cilindro!O219/Presion_cilindro!O220)^Presion_cilindro!$B$9+10*(Presion_cilindro!$B$9-1)*Presion_cilindro!$B$33*(IF(Presion_cilindro!N220&gt;(-N$4+Presion_cilindro!$B$34),1-EXP(-Presion_cilindro!$B$16*((Presion_cilindro!N220-(-N$4+Presion_cilindro!$B$34))/Presion_cilindro!$B$35)^(Presion_cilindro!$B$17+1)),0)-IF(Presion_cilindro!N219&gt;(-N$4+Presion_cilindro!$B$34),1-EXP(-Presion_cilindro!$B$16*((Presion_cilindro!N219-(-N$4+Presion_cilindro!$B$34))/Presion_cilindro!$B$35)^(Presion_cilindro!$B$17+1)),0))/((Presion_cilindro!O219+Presion_cilindro!O220)/2)</f>
        <v>1.9642257419410105</v>
      </c>
    </row>
    <row r="229" spans="1:14" x14ac:dyDescent="0.25">
      <c r="A229" s="21">
        <f>Presion_cilindro!N221</f>
        <v>-71.5</v>
      </c>
      <c r="B229" s="27">
        <f>B228*(Presion_cilindro!O220/Presion_cilindro!O221)^Presion_cilindro!$B$9+10*(Presion_cilindro!$B$9-1)*Presion_cilindro!$B$33*(IF(Presion_cilindro!N221&gt;(-B$4+Presion_cilindro!$B$34),1-EXP(-Presion_cilindro!$B$16*((Presion_cilindro!N221-(-B$4+Presion_cilindro!$B$34))/Presion_cilindro!$B$35)^(Presion_cilindro!$B$17+1)),0)-IF(Presion_cilindro!N220&gt;(-B$4+Presion_cilindro!$B$34),1-EXP(-Presion_cilindro!$B$16*((Presion_cilindro!N220-(-B$4+Presion_cilindro!$B$34))/Presion_cilindro!$B$35)^(Presion_cilindro!$B$17+1)),0))/((Presion_cilindro!O220+Presion_cilindro!O221)/2)</f>
        <v>1.9871034433483408</v>
      </c>
      <c r="C229" s="27">
        <f>C228*(Presion_cilindro!O220/Presion_cilindro!O221)^Presion_cilindro!$B$9+10*(Presion_cilindro!$B$9-1)*Presion_cilindro!$B$33*(IF(Presion_cilindro!N221&gt;(-C$4+Presion_cilindro!$B$34),1-EXP(-Presion_cilindro!$B$16*((Presion_cilindro!N221-(-C$4+Presion_cilindro!$B$34))/Presion_cilindro!$B$35)^(Presion_cilindro!$B$17+1)),0)-IF(Presion_cilindro!N220&gt;(-C$4+Presion_cilindro!$B$34),1-EXP(-Presion_cilindro!$B$16*((Presion_cilindro!N220-(-C$4+Presion_cilindro!$B$34))/Presion_cilindro!$B$35)^(Presion_cilindro!$B$17+1)),0))/((Presion_cilindro!O220+Presion_cilindro!O221)/2)</f>
        <v>1.9871034433483408</v>
      </c>
      <c r="D229" s="27">
        <f>D228*(Presion_cilindro!O220/Presion_cilindro!O221)^Presion_cilindro!$B$9+10*(Presion_cilindro!$B$9-1)*Presion_cilindro!$B$33*(IF(Presion_cilindro!N221&gt;(-D$4+Presion_cilindro!$B$34),1-EXP(-Presion_cilindro!$B$16*((Presion_cilindro!N221-(-D$4+Presion_cilindro!$B$34))/Presion_cilindro!$B$35)^(Presion_cilindro!$B$17+1)),0)-IF(Presion_cilindro!N220&gt;(-D$4+Presion_cilindro!$B$34),1-EXP(-Presion_cilindro!$B$16*((Presion_cilindro!N220-(-D$4+Presion_cilindro!$B$34))/Presion_cilindro!$B$35)^(Presion_cilindro!$B$17+1)),0))/((Presion_cilindro!O220+Presion_cilindro!O221)/2)</f>
        <v>1.9871034433483408</v>
      </c>
      <c r="E229" s="27">
        <f>E228*(Presion_cilindro!O220/Presion_cilindro!O221)^Presion_cilindro!$B$9+10*(Presion_cilindro!$B$9-1)*Presion_cilindro!$B$33*(IF(Presion_cilindro!N221&gt;(-E$4+Presion_cilindro!$B$34),1-EXP(-Presion_cilindro!$B$16*((Presion_cilindro!N221-(-E$4+Presion_cilindro!$B$34))/Presion_cilindro!$B$35)^(Presion_cilindro!$B$17+1)),0)-IF(Presion_cilindro!N220&gt;(-E$4+Presion_cilindro!$B$34),1-EXP(-Presion_cilindro!$B$16*((Presion_cilindro!N220-(-E$4+Presion_cilindro!$B$34))/Presion_cilindro!$B$35)^(Presion_cilindro!$B$17+1)),0))/((Presion_cilindro!O220+Presion_cilindro!O221)/2)</f>
        <v>1.9871034433483408</v>
      </c>
      <c r="F229" s="27">
        <f>F228*(Presion_cilindro!O220/Presion_cilindro!O221)^Presion_cilindro!$B$9+10*(Presion_cilindro!$B$9-1)*Presion_cilindro!$B$33*(IF(Presion_cilindro!N221&gt;(-F$4+Presion_cilindro!$B$34),1-EXP(-Presion_cilindro!$B$16*((Presion_cilindro!N221-(-F$4+Presion_cilindro!$B$34))/Presion_cilindro!$B$35)^(Presion_cilindro!$B$17+1)),0)-IF(Presion_cilindro!N220&gt;(-F$4+Presion_cilindro!$B$34),1-EXP(-Presion_cilindro!$B$16*((Presion_cilindro!N220-(-F$4+Presion_cilindro!$B$34))/Presion_cilindro!$B$35)^(Presion_cilindro!$B$17+1)),0))/((Presion_cilindro!O220+Presion_cilindro!O221)/2)</f>
        <v>1.9871034433483408</v>
      </c>
      <c r="G229" s="27">
        <f>G228*(Presion_cilindro!O220/Presion_cilindro!O221)^Presion_cilindro!$B$9+10*(Presion_cilindro!$B$9-1)*Presion_cilindro!$B$33*(IF(Presion_cilindro!N221&gt;(-G$4+Presion_cilindro!$B$34),1-EXP(-Presion_cilindro!$B$16*((Presion_cilindro!N221-(-G$4+Presion_cilindro!$B$34))/Presion_cilindro!$B$35)^(Presion_cilindro!$B$17+1)),0)-IF(Presion_cilindro!N220&gt;(-G$4+Presion_cilindro!$B$34),1-EXP(-Presion_cilindro!$B$16*((Presion_cilindro!N220-(-G$4+Presion_cilindro!$B$34))/Presion_cilindro!$B$35)^(Presion_cilindro!$B$17+1)),0))/((Presion_cilindro!O220+Presion_cilindro!O221)/2)</f>
        <v>1.9871034433483408</v>
      </c>
      <c r="H229" s="27">
        <f>H228*(Presion_cilindro!O220/Presion_cilindro!O221)^Presion_cilindro!$B$9+10*(Presion_cilindro!$B$9-1)*Presion_cilindro!$B$33*(IF(Presion_cilindro!N221&gt;(-H$4+Presion_cilindro!$B$34),1-EXP(-Presion_cilindro!$B$16*((Presion_cilindro!N221-(-H$4+Presion_cilindro!$B$34))/Presion_cilindro!$B$35)^(Presion_cilindro!$B$17+1)),0)-IF(Presion_cilindro!N220&gt;(-H$4+Presion_cilindro!$B$34),1-EXP(-Presion_cilindro!$B$16*((Presion_cilindro!N220-(-H$4+Presion_cilindro!$B$34))/Presion_cilindro!$B$35)^(Presion_cilindro!$B$17+1)),0))/((Presion_cilindro!O220+Presion_cilindro!O221)/2)</f>
        <v>1.9871034433483408</v>
      </c>
      <c r="I229" s="27">
        <f>I228*(Presion_cilindro!O220/Presion_cilindro!O221)^Presion_cilindro!$B$9+10*(Presion_cilindro!$B$9-1)*Presion_cilindro!$B$33*(IF(Presion_cilindro!N221&gt;(-I$4+Presion_cilindro!$B$34),1-EXP(-Presion_cilindro!$B$16*((Presion_cilindro!N221-(-I$4+Presion_cilindro!$B$34))/Presion_cilindro!$B$35)^(Presion_cilindro!$B$17+1)),0)-IF(Presion_cilindro!N220&gt;(-I$4+Presion_cilindro!$B$34),1-EXP(-Presion_cilindro!$B$16*((Presion_cilindro!N220-(-I$4+Presion_cilindro!$B$34))/Presion_cilindro!$B$35)^(Presion_cilindro!$B$17+1)),0))/((Presion_cilindro!O220+Presion_cilindro!O221)/2)</f>
        <v>1.9871034433483408</v>
      </c>
      <c r="J229" s="27">
        <f>J228*(Presion_cilindro!O220/Presion_cilindro!O221)^Presion_cilindro!$B$9+10*(Presion_cilindro!$B$9-1)*Presion_cilindro!$B$33*(IF(Presion_cilindro!N221&gt;(-J$4+Presion_cilindro!$B$34),1-EXP(-Presion_cilindro!$B$16*((Presion_cilindro!N221-(-J$4+Presion_cilindro!$B$34))/Presion_cilindro!$B$35)^(Presion_cilindro!$B$17+1)),0)-IF(Presion_cilindro!N220&gt;(-J$4+Presion_cilindro!$B$34),1-EXP(-Presion_cilindro!$B$16*((Presion_cilindro!N220-(-J$4+Presion_cilindro!$B$34))/Presion_cilindro!$B$35)^(Presion_cilindro!$B$17+1)),0))/((Presion_cilindro!O220+Presion_cilindro!O221)/2)</f>
        <v>1.9871034433483408</v>
      </c>
      <c r="K229" s="27">
        <f>K228*(Presion_cilindro!O220/Presion_cilindro!O221)^Presion_cilindro!$B$9+10*(Presion_cilindro!$B$9-1)*Presion_cilindro!$B$33*(IF(Presion_cilindro!N221&gt;(-K$4+Presion_cilindro!$B$34),1-EXP(-Presion_cilindro!$B$16*((Presion_cilindro!N221-(-K$4+Presion_cilindro!$B$34))/Presion_cilindro!$B$35)^(Presion_cilindro!$B$17+1)),0)-IF(Presion_cilindro!N220&gt;(-K$4+Presion_cilindro!$B$34),1-EXP(-Presion_cilindro!$B$16*((Presion_cilindro!N220-(-K$4+Presion_cilindro!$B$34))/Presion_cilindro!$B$35)^(Presion_cilindro!$B$17+1)),0))/((Presion_cilindro!O220+Presion_cilindro!O221)/2)</f>
        <v>1.9871034433483408</v>
      </c>
      <c r="L229" s="27">
        <f>L228*(Presion_cilindro!O220/Presion_cilindro!O221)^Presion_cilindro!$B$9+10*(Presion_cilindro!$B$9-1)*Presion_cilindro!$B$33*(IF(Presion_cilindro!N221&gt;(-L$4+Presion_cilindro!$B$34),1-EXP(-Presion_cilindro!$B$16*((Presion_cilindro!N221-(-L$4+Presion_cilindro!$B$34))/Presion_cilindro!$B$35)^(Presion_cilindro!$B$17+1)),0)-IF(Presion_cilindro!N220&gt;(-L$4+Presion_cilindro!$B$34),1-EXP(-Presion_cilindro!$B$16*((Presion_cilindro!N220-(-L$4+Presion_cilindro!$B$34))/Presion_cilindro!$B$35)^(Presion_cilindro!$B$17+1)),0))/((Presion_cilindro!O220+Presion_cilindro!O221)/2)</f>
        <v>1.9871034433483408</v>
      </c>
      <c r="M229" s="27">
        <f>M228*(Presion_cilindro!O220/Presion_cilindro!O221)^Presion_cilindro!$B$9+10*(Presion_cilindro!$B$9-1)*Presion_cilindro!$B$33*(IF(Presion_cilindro!N221&gt;(-M$4+Presion_cilindro!$B$34),1-EXP(-Presion_cilindro!$B$16*((Presion_cilindro!N221-(-M$4+Presion_cilindro!$B$34))/Presion_cilindro!$B$35)^(Presion_cilindro!$B$17+1)),0)-IF(Presion_cilindro!N220&gt;(-M$4+Presion_cilindro!$B$34),1-EXP(-Presion_cilindro!$B$16*((Presion_cilindro!N220-(-M$4+Presion_cilindro!$B$34))/Presion_cilindro!$B$35)^(Presion_cilindro!$B$17+1)),0))/((Presion_cilindro!O220+Presion_cilindro!O221)/2)</f>
        <v>1.9871034433483408</v>
      </c>
      <c r="N229" s="27">
        <f>N228*(Presion_cilindro!O220/Presion_cilindro!O221)^Presion_cilindro!$B$9+10*(Presion_cilindro!$B$9-1)*Presion_cilindro!$B$33*(IF(Presion_cilindro!N221&gt;(-N$4+Presion_cilindro!$B$34),1-EXP(-Presion_cilindro!$B$16*((Presion_cilindro!N221-(-N$4+Presion_cilindro!$B$34))/Presion_cilindro!$B$35)^(Presion_cilindro!$B$17+1)),0)-IF(Presion_cilindro!N220&gt;(-N$4+Presion_cilindro!$B$34),1-EXP(-Presion_cilindro!$B$16*((Presion_cilindro!N220-(-N$4+Presion_cilindro!$B$34))/Presion_cilindro!$B$35)^(Presion_cilindro!$B$17+1)),0))/((Presion_cilindro!O220+Presion_cilindro!O221)/2)</f>
        <v>1.9871034433483408</v>
      </c>
    </row>
    <row r="230" spans="1:14" x14ac:dyDescent="0.25">
      <c r="A230" s="21">
        <f>Presion_cilindro!N222</f>
        <v>-71</v>
      </c>
      <c r="B230" s="27">
        <f>B229*(Presion_cilindro!O221/Presion_cilindro!O222)^Presion_cilindro!$B$9+10*(Presion_cilindro!$B$9-1)*Presion_cilindro!$B$33*(IF(Presion_cilindro!N222&gt;(-B$4+Presion_cilindro!$B$34),1-EXP(-Presion_cilindro!$B$16*((Presion_cilindro!N222-(-B$4+Presion_cilindro!$B$34))/Presion_cilindro!$B$35)^(Presion_cilindro!$B$17+1)),0)-IF(Presion_cilindro!N221&gt;(-B$4+Presion_cilindro!$B$34),1-EXP(-Presion_cilindro!$B$16*((Presion_cilindro!N221-(-B$4+Presion_cilindro!$B$34))/Presion_cilindro!$B$35)^(Presion_cilindro!$B$17+1)),0))/((Presion_cilindro!O221+Presion_cilindro!O222)/2)</f>
        <v>2.0104356887071186</v>
      </c>
      <c r="C230" s="27">
        <f>C229*(Presion_cilindro!O221/Presion_cilindro!O222)^Presion_cilindro!$B$9+10*(Presion_cilindro!$B$9-1)*Presion_cilindro!$B$33*(IF(Presion_cilindro!N222&gt;(-C$4+Presion_cilindro!$B$34),1-EXP(-Presion_cilindro!$B$16*((Presion_cilindro!N222-(-C$4+Presion_cilindro!$B$34))/Presion_cilindro!$B$35)^(Presion_cilindro!$B$17+1)),0)-IF(Presion_cilindro!N221&gt;(-C$4+Presion_cilindro!$B$34),1-EXP(-Presion_cilindro!$B$16*((Presion_cilindro!N221-(-C$4+Presion_cilindro!$B$34))/Presion_cilindro!$B$35)^(Presion_cilindro!$B$17+1)),0))/((Presion_cilindro!O221+Presion_cilindro!O222)/2)</f>
        <v>2.0104356887071186</v>
      </c>
      <c r="D230" s="27">
        <f>D229*(Presion_cilindro!O221/Presion_cilindro!O222)^Presion_cilindro!$B$9+10*(Presion_cilindro!$B$9-1)*Presion_cilindro!$B$33*(IF(Presion_cilindro!N222&gt;(-D$4+Presion_cilindro!$B$34),1-EXP(-Presion_cilindro!$B$16*((Presion_cilindro!N222-(-D$4+Presion_cilindro!$B$34))/Presion_cilindro!$B$35)^(Presion_cilindro!$B$17+1)),0)-IF(Presion_cilindro!N221&gt;(-D$4+Presion_cilindro!$B$34),1-EXP(-Presion_cilindro!$B$16*((Presion_cilindro!N221-(-D$4+Presion_cilindro!$B$34))/Presion_cilindro!$B$35)^(Presion_cilindro!$B$17+1)),0))/((Presion_cilindro!O221+Presion_cilindro!O222)/2)</f>
        <v>2.0104356887071186</v>
      </c>
      <c r="E230" s="27">
        <f>E229*(Presion_cilindro!O221/Presion_cilindro!O222)^Presion_cilindro!$B$9+10*(Presion_cilindro!$B$9-1)*Presion_cilindro!$B$33*(IF(Presion_cilindro!N222&gt;(-E$4+Presion_cilindro!$B$34),1-EXP(-Presion_cilindro!$B$16*((Presion_cilindro!N222-(-E$4+Presion_cilindro!$B$34))/Presion_cilindro!$B$35)^(Presion_cilindro!$B$17+1)),0)-IF(Presion_cilindro!N221&gt;(-E$4+Presion_cilindro!$B$34),1-EXP(-Presion_cilindro!$B$16*((Presion_cilindro!N221-(-E$4+Presion_cilindro!$B$34))/Presion_cilindro!$B$35)^(Presion_cilindro!$B$17+1)),0))/((Presion_cilindro!O221+Presion_cilindro!O222)/2)</f>
        <v>2.0104356887071186</v>
      </c>
      <c r="F230" s="27">
        <f>F229*(Presion_cilindro!O221/Presion_cilindro!O222)^Presion_cilindro!$B$9+10*(Presion_cilindro!$B$9-1)*Presion_cilindro!$B$33*(IF(Presion_cilindro!N222&gt;(-F$4+Presion_cilindro!$B$34),1-EXP(-Presion_cilindro!$B$16*((Presion_cilindro!N222-(-F$4+Presion_cilindro!$B$34))/Presion_cilindro!$B$35)^(Presion_cilindro!$B$17+1)),0)-IF(Presion_cilindro!N221&gt;(-F$4+Presion_cilindro!$B$34),1-EXP(-Presion_cilindro!$B$16*((Presion_cilindro!N221-(-F$4+Presion_cilindro!$B$34))/Presion_cilindro!$B$35)^(Presion_cilindro!$B$17+1)),0))/((Presion_cilindro!O221+Presion_cilindro!O222)/2)</f>
        <v>2.0104356887071186</v>
      </c>
      <c r="G230" s="27">
        <f>G229*(Presion_cilindro!O221/Presion_cilindro!O222)^Presion_cilindro!$B$9+10*(Presion_cilindro!$B$9-1)*Presion_cilindro!$B$33*(IF(Presion_cilindro!N222&gt;(-G$4+Presion_cilindro!$B$34),1-EXP(-Presion_cilindro!$B$16*((Presion_cilindro!N222-(-G$4+Presion_cilindro!$B$34))/Presion_cilindro!$B$35)^(Presion_cilindro!$B$17+1)),0)-IF(Presion_cilindro!N221&gt;(-G$4+Presion_cilindro!$B$34),1-EXP(-Presion_cilindro!$B$16*((Presion_cilindro!N221-(-G$4+Presion_cilindro!$B$34))/Presion_cilindro!$B$35)^(Presion_cilindro!$B$17+1)),0))/((Presion_cilindro!O221+Presion_cilindro!O222)/2)</f>
        <v>2.0104356887071186</v>
      </c>
      <c r="H230" s="27">
        <f>H229*(Presion_cilindro!O221/Presion_cilindro!O222)^Presion_cilindro!$B$9+10*(Presion_cilindro!$B$9-1)*Presion_cilindro!$B$33*(IF(Presion_cilindro!N222&gt;(-H$4+Presion_cilindro!$B$34),1-EXP(-Presion_cilindro!$B$16*((Presion_cilindro!N222-(-H$4+Presion_cilindro!$B$34))/Presion_cilindro!$B$35)^(Presion_cilindro!$B$17+1)),0)-IF(Presion_cilindro!N221&gt;(-H$4+Presion_cilindro!$B$34),1-EXP(-Presion_cilindro!$B$16*((Presion_cilindro!N221-(-H$4+Presion_cilindro!$B$34))/Presion_cilindro!$B$35)^(Presion_cilindro!$B$17+1)),0))/((Presion_cilindro!O221+Presion_cilindro!O222)/2)</f>
        <v>2.0104356887071186</v>
      </c>
      <c r="I230" s="27">
        <f>I229*(Presion_cilindro!O221/Presion_cilindro!O222)^Presion_cilindro!$B$9+10*(Presion_cilindro!$B$9-1)*Presion_cilindro!$B$33*(IF(Presion_cilindro!N222&gt;(-I$4+Presion_cilindro!$B$34),1-EXP(-Presion_cilindro!$B$16*((Presion_cilindro!N222-(-I$4+Presion_cilindro!$B$34))/Presion_cilindro!$B$35)^(Presion_cilindro!$B$17+1)),0)-IF(Presion_cilindro!N221&gt;(-I$4+Presion_cilindro!$B$34),1-EXP(-Presion_cilindro!$B$16*((Presion_cilindro!N221-(-I$4+Presion_cilindro!$B$34))/Presion_cilindro!$B$35)^(Presion_cilindro!$B$17+1)),0))/((Presion_cilindro!O221+Presion_cilindro!O222)/2)</f>
        <v>2.0104356887071186</v>
      </c>
      <c r="J230" s="27">
        <f>J229*(Presion_cilindro!O221/Presion_cilindro!O222)^Presion_cilindro!$B$9+10*(Presion_cilindro!$B$9-1)*Presion_cilindro!$B$33*(IF(Presion_cilindro!N222&gt;(-J$4+Presion_cilindro!$B$34),1-EXP(-Presion_cilindro!$B$16*((Presion_cilindro!N222-(-J$4+Presion_cilindro!$B$34))/Presion_cilindro!$B$35)^(Presion_cilindro!$B$17+1)),0)-IF(Presion_cilindro!N221&gt;(-J$4+Presion_cilindro!$B$34),1-EXP(-Presion_cilindro!$B$16*((Presion_cilindro!N221-(-J$4+Presion_cilindro!$B$34))/Presion_cilindro!$B$35)^(Presion_cilindro!$B$17+1)),0))/((Presion_cilindro!O221+Presion_cilindro!O222)/2)</f>
        <v>2.0104356887071186</v>
      </c>
      <c r="K230" s="27">
        <f>K229*(Presion_cilindro!O221/Presion_cilindro!O222)^Presion_cilindro!$B$9+10*(Presion_cilindro!$B$9-1)*Presion_cilindro!$B$33*(IF(Presion_cilindro!N222&gt;(-K$4+Presion_cilindro!$B$34),1-EXP(-Presion_cilindro!$B$16*((Presion_cilindro!N222-(-K$4+Presion_cilindro!$B$34))/Presion_cilindro!$B$35)^(Presion_cilindro!$B$17+1)),0)-IF(Presion_cilindro!N221&gt;(-K$4+Presion_cilindro!$B$34),1-EXP(-Presion_cilindro!$B$16*((Presion_cilindro!N221-(-K$4+Presion_cilindro!$B$34))/Presion_cilindro!$B$35)^(Presion_cilindro!$B$17+1)),0))/((Presion_cilindro!O221+Presion_cilindro!O222)/2)</f>
        <v>2.0104356887071186</v>
      </c>
      <c r="L230" s="27">
        <f>L229*(Presion_cilindro!O221/Presion_cilindro!O222)^Presion_cilindro!$B$9+10*(Presion_cilindro!$B$9-1)*Presion_cilindro!$B$33*(IF(Presion_cilindro!N222&gt;(-L$4+Presion_cilindro!$B$34),1-EXP(-Presion_cilindro!$B$16*((Presion_cilindro!N222-(-L$4+Presion_cilindro!$B$34))/Presion_cilindro!$B$35)^(Presion_cilindro!$B$17+1)),0)-IF(Presion_cilindro!N221&gt;(-L$4+Presion_cilindro!$B$34),1-EXP(-Presion_cilindro!$B$16*((Presion_cilindro!N221-(-L$4+Presion_cilindro!$B$34))/Presion_cilindro!$B$35)^(Presion_cilindro!$B$17+1)),0))/((Presion_cilindro!O221+Presion_cilindro!O222)/2)</f>
        <v>2.0104356887071186</v>
      </c>
      <c r="M230" s="27">
        <f>M229*(Presion_cilindro!O221/Presion_cilindro!O222)^Presion_cilindro!$B$9+10*(Presion_cilindro!$B$9-1)*Presion_cilindro!$B$33*(IF(Presion_cilindro!N222&gt;(-M$4+Presion_cilindro!$B$34),1-EXP(-Presion_cilindro!$B$16*((Presion_cilindro!N222-(-M$4+Presion_cilindro!$B$34))/Presion_cilindro!$B$35)^(Presion_cilindro!$B$17+1)),0)-IF(Presion_cilindro!N221&gt;(-M$4+Presion_cilindro!$B$34),1-EXP(-Presion_cilindro!$B$16*((Presion_cilindro!N221-(-M$4+Presion_cilindro!$B$34))/Presion_cilindro!$B$35)^(Presion_cilindro!$B$17+1)),0))/((Presion_cilindro!O221+Presion_cilindro!O222)/2)</f>
        <v>2.0104356887071186</v>
      </c>
      <c r="N230" s="27">
        <f>N229*(Presion_cilindro!O221/Presion_cilindro!O222)^Presion_cilindro!$B$9+10*(Presion_cilindro!$B$9-1)*Presion_cilindro!$B$33*(IF(Presion_cilindro!N222&gt;(-N$4+Presion_cilindro!$B$34),1-EXP(-Presion_cilindro!$B$16*((Presion_cilindro!N222-(-N$4+Presion_cilindro!$B$34))/Presion_cilindro!$B$35)^(Presion_cilindro!$B$17+1)),0)-IF(Presion_cilindro!N221&gt;(-N$4+Presion_cilindro!$B$34),1-EXP(-Presion_cilindro!$B$16*((Presion_cilindro!N221-(-N$4+Presion_cilindro!$B$34))/Presion_cilindro!$B$35)^(Presion_cilindro!$B$17+1)),0))/((Presion_cilindro!O221+Presion_cilindro!O222)/2)</f>
        <v>2.0104356887071186</v>
      </c>
    </row>
    <row r="231" spans="1:14" x14ac:dyDescent="0.25">
      <c r="A231" s="21">
        <f>Presion_cilindro!N223</f>
        <v>-70.5</v>
      </c>
      <c r="B231" s="27">
        <f>B230*(Presion_cilindro!O222/Presion_cilindro!O223)^Presion_cilindro!$B$9+10*(Presion_cilindro!$B$9-1)*Presion_cilindro!$B$33*(IF(Presion_cilindro!N223&gt;(-B$4+Presion_cilindro!$B$34),1-EXP(-Presion_cilindro!$B$16*((Presion_cilindro!N223-(-B$4+Presion_cilindro!$B$34))/Presion_cilindro!$B$35)^(Presion_cilindro!$B$17+1)),0)-IF(Presion_cilindro!N222&gt;(-B$4+Presion_cilindro!$B$34),1-EXP(-Presion_cilindro!$B$16*((Presion_cilindro!N222-(-B$4+Presion_cilindro!$B$34))/Presion_cilindro!$B$35)^(Presion_cilindro!$B$17+1)),0))/((Presion_cilindro!O222+Presion_cilindro!O223)/2)</f>
        <v>2.0342330868066871</v>
      </c>
      <c r="C231" s="27">
        <f>C230*(Presion_cilindro!O222/Presion_cilindro!O223)^Presion_cilindro!$B$9+10*(Presion_cilindro!$B$9-1)*Presion_cilindro!$B$33*(IF(Presion_cilindro!N223&gt;(-C$4+Presion_cilindro!$B$34),1-EXP(-Presion_cilindro!$B$16*((Presion_cilindro!N223-(-C$4+Presion_cilindro!$B$34))/Presion_cilindro!$B$35)^(Presion_cilindro!$B$17+1)),0)-IF(Presion_cilindro!N222&gt;(-C$4+Presion_cilindro!$B$34),1-EXP(-Presion_cilindro!$B$16*((Presion_cilindro!N222-(-C$4+Presion_cilindro!$B$34))/Presion_cilindro!$B$35)^(Presion_cilindro!$B$17+1)),0))/((Presion_cilindro!O222+Presion_cilindro!O223)/2)</f>
        <v>2.0342330868066871</v>
      </c>
      <c r="D231" s="27">
        <f>D230*(Presion_cilindro!O222/Presion_cilindro!O223)^Presion_cilindro!$B$9+10*(Presion_cilindro!$B$9-1)*Presion_cilindro!$B$33*(IF(Presion_cilindro!N223&gt;(-D$4+Presion_cilindro!$B$34),1-EXP(-Presion_cilindro!$B$16*((Presion_cilindro!N223-(-D$4+Presion_cilindro!$B$34))/Presion_cilindro!$B$35)^(Presion_cilindro!$B$17+1)),0)-IF(Presion_cilindro!N222&gt;(-D$4+Presion_cilindro!$B$34),1-EXP(-Presion_cilindro!$B$16*((Presion_cilindro!N222-(-D$4+Presion_cilindro!$B$34))/Presion_cilindro!$B$35)^(Presion_cilindro!$B$17+1)),0))/((Presion_cilindro!O222+Presion_cilindro!O223)/2)</f>
        <v>2.0342330868066871</v>
      </c>
      <c r="E231" s="27">
        <f>E230*(Presion_cilindro!O222/Presion_cilindro!O223)^Presion_cilindro!$B$9+10*(Presion_cilindro!$B$9-1)*Presion_cilindro!$B$33*(IF(Presion_cilindro!N223&gt;(-E$4+Presion_cilindro!$B$34),1-EXP(-Presion_cilindro!$B$16*((Presion_cilindro!N223-(-E$4+Presion_cilindro!$B$34))/Presion_cilindro!$B$35)^(Presion_cilindro!$B$17+1)),0)-IF(Presion_cilindro!N222&gt;(-E$4+Presion_cilindro!$B$34),1-EXP(-Presion_cilindro!$B$16*((Presion_cilindro!N222-(-E$4+Presion_cilindro!$B$34))/Presion_cilindro!$B$35)^(Presion_cilindro!$B$17+1)),0))/((Presion_cilindro!O222+Presion_cilindro!O223)/2)</f>
        <v>2.0342330868066871</v>
      </c>
      <c r="F231" s="27">
        <f>F230*(Presion_cilindro!O222/Presion_cilindro!O223)^Presion_cilindro!$B$9+10*(Presion_cilindro!$B$9-1)*Presion_cilindro!$B$33*(IF(Presion_cilindro!N223&gt;(-F$4+Presion_cilindro!$B$34),1-EXP(-Presion_cilindro!$B$16*((Presion_cilindro!N223-(-F$4+Presion_cilindro!$B$34))/Presion_cilindro!$B$35)^(Presion_cilindro!$B$17+1)),0)-IF(Presion_cilindro!N222&gt;(-F$4+Presion_cilindro!$B$34),1-EXP(-Presion_cilindro!$B$16*((Presion_cilindro!N222-(-F$4+Presion_cilindro!$B$34))/Presion_cilindro!$B$35)^(Presion_cilindro!$B$17+1)),0))/((Presion_cilindro!O222+Presion_cilindro!O223)/2)</f>
        <v>2.0342330868066871</v>
      </c>
      <c r="G231" s="27">
        <f>G230*(Presion_cilindro!O222/Presion_cilindro!O223)^Presion_cilindro!$B$9+10*(Presion_cilindro!$B$9-1)*Presion_cilindro!$B$33*(IF(Presion_cilindro!N223&gt;(-G$4+Presion_cilindro!$B$34),1-EXP(-Presion_cilindro!$B$16*((Presion_cilindro!N223-(-G$4+Presion_cilindro!$B$34))/Presion_cilindro!$B$35)^(Presion_cilindro!$B$17+1)),0)-IF(Presion_cilindro!N222&gt;(-G$4+Presion_cilindro!$B$34),1-EXP(-Presion_cilindro!$B$16*((Presion_cilindro!N222-(-G$4+Presion_cilindro!$B$34))/Presion_cilindro!$B$35)^(Presion_cilindro!$B$17+1)),0))/((Presion_cilindro!O222+Presion_cilindro!O223)/2)</f>
        <v>2.0342330868066871</v>
      </c>
      <c r="H231" s="27">
        <f>H230*(Presion_cilindro!O222/Presion_cilindro!O223)^Presion_cilindro!$B$9+10*(Presion_cilindro!$B$9-1)*Presion_cilindro!$B$33*(IF(Presion_cilindro!N223&gt;(-H$4+Presion_cilindro!$B$34),1-EXP(-Presion_cilindro!$B$16*((Presion_cilindro!N223-(-H$4+Presion_cilindro!$B$34))/Presion_cilindro!$B$35)^(Presion_cilindro!$B$17+1)),0)-IF(Presion_cilindro!N222&gt;(-H$4+Presion_cilindro!$B$34),1-EXP(-Presion_cilindro!$B$16*((Presion_cilindro!N222-(-H$4+Presion_cilindro!$B$34))/Presion_cilindro!$B$35)^(Presion_cilindro!$B$17+1)),0))/((Presion_cilindro!O222+Presion_cilindro!O223)/2)</f>
        <v>2.0342330868066871</v>
      </c>
      <c r="I231" s="27">
        <f>I230*(Presion_cilindro!O222/Presion_cilindro!O223)^Presion_cilindro!$B$9+10*(Presion_cilindro!$B$9-1)*Presion_cilindro!$B$33*(IF(Presion_cilindro!N223&gt;(-I$4+Presion_cilindro!$B$34),1-EXP(-Presion_cilindro!$B$16*((Presion_cilindro!N223-(-I$4+Presion_cilindro!$B$34))/Presion_cilindro!$B$35)^(Presion_cilindro!$B$17+1)),0)-IF(Presion_cilindro!N222&gt;(-I$4+Presion_cilindro!$B$34),1-EXP(-Presion_cilindro!$B$16*((Presion_cilindro!N222-(-I$4+Presion_cilindro!$B$34))/Presion_cilindro!$B$35)^(Presion_cilindro!$B$17+1)),0))/((Presion_cilindro!O222+Presion_cilindro!O223)/2)</f>
        <v>2.0342330868066871</v>
      </c>
      <c r="J231" s="27">
        <f>J230*(Presion_cilindro!O222/Presion_cilindro!O223)^Presion_cilindro!$B$9+10*(Presion_cilindro!$B$9-1)*Presion_cilindro!$B$33*(IF(Presion_cilindro!N223&gt;(-J$4+Presion_cilindro!$B$34),1-EXP(-Presion_cilindro!$B$16*((Presion_cilindro!N223-(-J$4+Presion_cilindro!$B$34))/Presion_cilindro!$B$35)^(Presion_cilindro!$B$17+1)),0)-IF(Presion_cilindro!N222&gt;(-J$4+Presion_cilindro!$B$34),1-EXP(-Presion_cilindro!$B$16*((Presion_cilindro!N222-(-J$4+Presion_cilindro!$B$34))/Presion_cilindro!$B$35)^(Presion_cilindro!$B$17+1)),0))/((Presion_cilindro!O222+Presion_cilindro!O223)/2)</f>
        <v>2.0342330868066871</v>
      </c>
      <c r="K231" s="27">
        <f>K230*(Presion_cilindro!O222/Presion_cilindro!O223)^Presion_cilindro!$B$9+10*(Presion_cilindro!$B$9-1)*Presion_cilindro!$B$33*(IF(Presion_cilindro!N223&gt;(-K$4+Presion_cilindro!$B$34),1-EXP(-Presion_cilindro!$B$16*((Presion_cilindro!N223-(-K$4+Presion_cilindro!$B$34))/Presion_cilindro!$B$35)^(Presion_cilindro!$B$17+1)),0)-IF(Presion_cilindro!N222&gt;(-K$4+Presion_cilindro!$B$34),1-EXP(-Presion_cilindro!$B$16*((Presion_cilindro!N222-(-K$4+Presion_cilindro!$B$34))/Presion_cilindro!$B$35)^(Presion_cilindro!$B$17+1)),0))/((Presion_cilindro!O222+Presion_cilindro!O223)/2)</f>
        <v>2.0342330868066871</v>
      </c>
      <c r="L231" s="27">
        <f>L230*(Presion_cilindro!O222/Presion_cilindro!O223)^Presion_cilindro!$B$9+10*(Presion_cilindro!$B$9-1)*Presion_cilindro!$B$33*(IF(Presion_cilindro!N223&gt;(-L$4+Presion_cilindro!$B$34),1-EXP(-Presion_cilindro!$B$16*((Presion_cilindro!N223-(-L$4+Presion_cilindro!$B$34))/Presion_cilindro!$B$35)^(Presion_cilindro!$B$17+1)),0)-IF(Presion_cilindro!N222&gt;(-L$4+Presion_cilindro!$B$34),1-EXP(-Presion_cilindro!$B$16*((Presion_cilindro!N222-(-L$4+Presion_cilindro!$B$34))/Presion_cilindro!$B$35)^(Presion_cilindro!$B$17+1)),0))/((Presion_cilindro!O222+Presion_cilindro!O223)/2)</f>
        <v>2.0342330868066871</v>
      </c>
      <c r="M231" s="27">
        <f>M230*(Presion_cilindro!O222/Presion_cilindro!O223)^Presion_cilindro!$B$9+10*(Presion_cilindro!$B$9-1)*Presion_cilindro!$B$33*(IF(Presion_cilindro!N223&gt;(-M$4+Presion_cilindro!$B$34),1-EXP(-Presion_cilindro!$B$16*((Presion_cilindro!N223-(-M$4+Presion_cilindro!$B$34))/Presion_cilindro!$B$35)^(Presion_cilindro!$B$17+1)),0)-IF(Presion_cilindro!N222&gt;(-M$4+Presion_cilindro!$B$34),1-EXP(-Presion_cilindro!$B$16*((Presion_cilindro!N222-(-M$4+Presion_cilindro!$B$34))/Presion_cilindro!$B$35)^(Presion_cilindro!$B$17+1)),0))/((Presion_cilindro!O222+Presion_cilindro!O223)/2)</f>
        <v>2.0342330868066871</v>
      </c>
      <c r="N231" s="27">
        <f>N230*(Presion_cilindro!O222/Presion_cilindro!O223)^Presion_cilindro!$B$9+10*(Presion_cilindro!$B$9-1)*Presion_cilindro!$B$33*(IF(Presion_cilindro!N223&gt;(-N$4+Presion_cilindro!$B$34),1-EXP(-Presion_cilindro!$B$16*((Presion_cilindro!N223-(-N$4+Presion_cilindro!$B$34))/Presion_cilindro!$B$35)^(Presion_cilindro!$B$17+1)),0)-IF(Presion_cilindro!N222&gt;(-N$4+Presion_cilindro!$B$34),1-EXP(-Presion_cilindro!$B$16*((Presion_cilindro!N222-(-N$4+Presion_cilindro!$B$34))/Presion_cilindro!$B$35)^(Presion_cilindro!$B$17+1)),0))/((Presion_cilindro!O222+Presion_cilindro!O223)/2)</f>
        <v>2.0342330868066871</v>
      </c>
    </row>
    <row r="232" spans="1:14" x14ac:dyDescent="0.25">
      <c r="A232" s="21">
        <f>Presion_cilindro!N224</f>
        <v>-70</v>
      </c>
      <c r="B232" s="27">
        <f>B231*(Presion_cilindro!O223/Presion_cilindro!O224)^Presion_cilindro!$B$9+10*(Presion_cilindro!$B$9-1)*Presion_cilindro!$B$33*(IF(Presion_cilindro!N224&gt;(-B$4+Presion_cilindro!$B$34),1-EXP(-Presion_cilindro!$B$16*((Presion_cilindro!N224-(-B$4+Presion_cilindro!$B$34))/Presion_cilindro!$B$35)^(Presion_cilindro!$B$17+1)),0)-IF(Presion_cilindro!N223&gt;(-B$4+Presion_cilindro!$B$34),1-EXP(-Presion_cilindro!$B$16*((Presion_cilindro!N223-(-B$4+Presion_cilindro!$B$34))/Presion_cilindro!$B$35)^(Presion_cilindro!$B$17+1)),0))/((Presion_cilindro!O223+Presion_cilindro!O224)/2)</f>
        <v>2.0585065232670492</v>
      </c>
      <c r="C232" s="27">
        <f>C231*(Presion_cilindro!O223/Presion_cilindro!O224)^Presion_cilindro!$B$9+10*(Presion_cilindro!$B$9-1)*Presion_cilindro!$B$33*(IF(Presion_cilindro!N224&gt;(-C$4+Presion_cilindro!$B$34),1-EXP(-Presion_cilindro!$B$16*((Presion_cilindro!N224-(-C$4+Presion_cilindro!$B$34))/Presion_cilindro!$B$35)^(Presion_cilindro!$B$17+1)),0)-IF(Presion_cilindro!N223&gt;(-C$4+Presion_cilindro!$B$34),1-EXP(-Presion_cilindro!$B$16*((Presion_cilindro!N223-(-C$4+Presion_cilindro!$B$34))/Presion_cilindro!$B$35)^(Presion_cilindro!$B$17+1)),0))/((Presion_cilindro!O223+Presion_cilindro!O224)/2)</f>
        <v>2.0585065232670492</v>
      </c>
      <c r="D232" s="27">
        <f>D231*(Presion_cilindro!O223/Presion_cilindro!O224)^Presion_cilindro!$B$9+10*(Presion_cilindro!$B$9-1)*Presion_cilindro!$B$33*(IF(Presion_cilindro!N224&gt;(-D$4+Presion_cilindro!$B$34),1-EXP(-Presion_cilindro!$B$16*((Presion_cilindro!N224-(-D$4+Presion_cilindro!$B$34))/Presion_cilindro!$B$35)^(Presion_cilindro!$B$17+1)),0)-IF(Presion_cilindro!N223&gt;(-D$4+Presion_cilindro!$B$34),1-EXP(-Presion_cilindro!$B$16*((Presion_cilindro!N223-(-D$4+Presion_cilindro!$B$34))/Presion_cilindro!$B$35)^(Presion_cilindro!$B$17+1)),0))/((Presion_cilindro!O223+Presion_cilindro!O224)/2)</f>
        <v>2.0585065232670492</v>
      </c>
      <c r="E232" s="27">
        <f>E231*(Presion_cilindro!O223/Presion_cilindro!O224)^Presion_cilindro!$B$9+10*(Presion_cilindro!$B$9-1)*Presion_cilindro!$B$33*(IF(Presion_cilindro!N224&gt;(-E$4+Presion_cilindro!$B$34),1-EXP(-Presion_cilindro!$B$16*((Presion_cilindro!N224-(-E$4+Presion_cilindro!$B$34))/Presion_cilindro!$B$35)^(Presion_cilindro!$B$17+1)),0)-IF(Presion_cilindro!N223&gt;(-E$4+Presion_cilindro!$B$34),1-EXP(-Presion_cilindro!$B$16*((Presion_cilindro!N223-(-E$4+Presion_cilindro!$B$34))/Presion_cilindro!$B$35)^(Presion_cilindro!$B$17+1)),0))/((Presion_cilindro!O223+Presion_cilindro!O224)/2)</f>
        <v>2.0585065232670492</v>
      </c>
      <c r="F232" s="27">
        <f>F231*(Presion_cilindro!O223/Presion_cilindro!O224)^Presion_cilindro!$B$9+10*(Presion_cilindro!$B$9-1)*Presion_cilindro!$B$33*(IF(Presion_cilindro!N224&gt;(-F$4+Presion_cilindro!$B$34),1-EXP(-Presion_cilindro!$B$16*((Presion_cilindro!N224-(-F$4+Presion_cilindro!$B$34))/Presion_cilindro!$B$35)^(Presion_cilindro!$B$17+1)),0)-IF(Presion_cilindro!N223&gt;(-F$4+Presion_cilindro!$B$34),1-EXP(-Presion_cilindro!$B$16*((Presion_cilindro!N223-(-F$4+Presion_cilindro!$B$34))/Presion_cilindro!$B$35)^(Presion_cilindro!$B$17+1)),0))/((Presion_cilindro!O223+Presion_cilindro!O224)/2)</f>
        <v>2.0585065232670492</v>
      </c>
      <c r="G232" s="27">
        <f>G231*(Presion_cilindro!O223/Presion_cilindro!O224)^Presion_cilindro!$B$9+10*(Presion_cilindro!$B$9-1)*Presion_cilindro!$B$33*(IF(Presion_cilindro!N224&gt;(-G$4+Presion_cilindro!$B$34),1-EXP(-Presion_cilindro!$B$16*((Presion_cilindro!N224-(-G$4+Presion_cilindro!$B$34))/Presion_cilindro!$B$35)^(Presion_cilindro!$B$17+1)),0)-IF(Presion_cilindro!N223&gt;(-G$4+Presion_cilindro!$B$34),1-EXP(-Presion_cilindro!$B$16*((Presion_cilindro!N223-(-G$4+Presion_cilindro!$B$34))/Presion_cilindro!$B$35)^(Presion_cilindro!$B$17+1)),0))/((Presion_cilindro!O223+Presion_cilindro!O224)/2)</f>
        <v>2.0585065232670492</v>
      </c>
      <c r="H232" s="27">
        <f>H231*(Presion_cilindro!O223/Presion_cilindro!O224)^Presion_cilindro!$B$9+10*(Presion_cilindro!$B$9-1)*Presion_cilindro!$B$33*(IF(Presion_cilindro!N224&gt;(-H$4+Presion_cilindro!$B$34),1-EXP(-Presion_cilindro!$B$16*((Presion_cilindro!N224-(-H$4+Presion_cilindro!$B$34))/Presion_cilindro!$B$35)^(Presion_cilindro!$B$17+1)),0)-IF(Presion_cilindro!N223&gt;(-H$4+Presion_cilindro!$B$34),1-EXP(-Presion_cilindro!$B$16*((Presion_cilindro!N223-(-H$4+Presion_cilindro!$B$34))/Presion_cilindro!$B$35)^(Presion_cilindro!$B$17+1)),0))/((Presion_cilindro!O223+Presion_cilindro!O224)/2)</f>
        <v>2.0585065232670492</v>
      </c>
      <c r="I232" s="27">
        <f>I231*(Presion_cilindro!O223/Presion_cilindro!O224)^Presion_cilindro!$B$9+10*(Presion_cilindro!$B$9-1)*Presion_cilindro!$B$33*(IF(Presion_cilindro!N224&gt;(-I$4+Presion_cilindro!$B$34),1-EXP(-Presion_cilindro!$B$16*((Presion_cilindro!N224-(-I$4+Presion_cilindro!$B$34))/Presion_cilindro!$B$35)^(Presion_cilindro!$B$17+1)),0)-IF(Presion_cilindro!N223&gt;(-I$4+Presion_cilindro!$B$34),1-EXP(-Presion_cilindro!$B$16*((Presion_cilindro!N223-(-I$4+Presion_cilindro!$B$34))/Presion_cilindro!$B$35)^(Presion_cilindro!$B$17+1)),0))/((Presion_cilindro!O223+Presion_cilindro!O224)/2)</f>
        <v>2.0585065232670492</v>
      </c>
      <c r="J232" s="27">
        <f>J231*(Presion_cilindro!O223/Presion_cilindro!O224)^Presion_cilindro!$B$9+10*(Presion_cilindro!$B$9-1)*Presion_cilindro!$B$33*(IF(Presion_cilindro!N224&gt;(-J$4+Presion_cilindro!$B$34),1-EXP(-Presion_cilindro!$B$16*((Presion_cilindro!N224-(-J$4+Presion_cilindro!$B$34))/Presion_cilindro!$B$35)^(Presion_cilindro!$B$17+1)),0)-IF(Presion_cilindro!N223&gt;(-J$4+Presion_cilindro!$B$34),1-EXP(-Presion_cilindro!$B$16*((Presion_cilindro!N223-(-J$4+Presion_cilindro!$B$34))/Presion_cilindro!$B$35)^(Presion_cilindro!$B$17+1)),0))/((Presion_cilindro!O223+Presion_cilindro!O224)/2)</f>
        <v>2.0585065232670492</v>
      </c>
      <c r="K232" s="27">
        <f>K231*(Presion_cilindro!O223/Presion_cilindro!O224)^Presion_cilindro!$B$9+10*(Presion_cilindro!$B$9-1)*Presion_cilindro!$B$33*(IF(Presion_cilindro!N224&gt;(-K$4+Presion_cilindro!$B$34),1-EXP(-Presion_cilindro!$B$16*((Presion_cilindro!N224-(-K$4+Presion_cilindro!$B$34))/Presion_cilindro!$B$35)^(Presion_cilindro!$B$17+1)),0)-IF(Presion_cilindro!N223&gt;(-K$4+Presion_cilindro!$B$34),1-EXP(-Presion_cilindro!$B$16*((Presion_cilindro!N223-(-K$4+Presion_cilindro!$B$34))/Presion_cilindro!$B$35)^(Presion_cilindro!$B$17+1)),0))/((Presion_cilindro!O223+Presion_cilindro!O224)/2)</f>
        <v>2.0585065232670492</v>
      </c>
      <c r="L232" s="27">
        <f>L231*(Presion_cilindro!O223/Presion_cilindro!O224)^Presion_cilindro!$B$9+10*(Presion_cilindro!$B$9-1)*Presion_cilindro!$B$33*(IF(Presion_cilindro!N224&gt;(-L$4+Presion_cilindro!$B$34),1-EXP(-Presion_cilindro!$B$16*((Presion_cilindro!N224-(-L$4+Presion_cilindro!$B$34))/Presion_cilindro!$B$35)^(Presion_cilindro!$B$17+1)),0)-IF(Presion_cilindro!N223&gt;(-L$4+Presion_cilindro!$B$34),1-EXP(-Presion_cilindro!$B$16*((Presion_cilindro!N223-(-L$4+Presion_cilindro!$B$34))/Presion_cilindro!$B$35)^(Presion_cilindro!$B$17+1)),0))/((Presion_cilindro!O223+Presion_cilindro!O224)/2)</f>
        <v>2.0585065232670492</v>
      </c>
      <c r="M232" s="27">
        <f>M231*(Presion_cilindro!O223/Presion_cilindro!O224)^Presion_cilindro!$B$9+10*(Presion_cilindro!$B$9-1)*Presion_cilindro!$B$33*(IF(Presion_cilindro!N224&gt;(-M$4+Presion_cilindro!$B$34),1-EXP(-Presion_cilindro!$B$16*((Presion_cilindro!N224-(-M$4+Presion_cilindro!$B$34))/Presion_cilindro!$B$35)^(Presion_cilindro!$B$17+1)),0)-IF(Presion_cilindro!N223&gt;(-M$4+Presion_cilindro!$B$34),1-EXP(-Presion_cilindro!$B$16*((Presion_cilindro!N223-(-M$4+Presion_cilindro!$B$34))/Presion_cilindro!$B$35)^(Presion_cilindro!$B$17+1)),0))/((Presion_cilindro!O223+Presion_cilindro!O224)/2)</f>
        <v>2.0585065232670492</v>
      </c>
      <c r="N232" s="27">
        <f>N231*(Presion_cilindro!O223/Presion_cilindro!O224)^Presion_cilindro!$B$9+10*(Presion_cilindro!$B$9-1)*Presion_cilindro!$B$33*(IF(Presion_cilindro!N224&gt;(-N$4+Presion_cilindro!$B$34),1-EXP(-Presion_cilindro!$B$16*((Presion_cilindro!N224-(-N$4+Presion_cilindro!$B$34))/Presion_cilindro!$B$35)^(Presion_cilindro!$B$17+1)),0)-IF(Presion_cilindro!N223&gt;(-N$4+Presion_cilindro!$B$34),1-EXP(-Presion_cilindro!$B$16*((Presion_cilindro!N223-(-N$4+Presion_cilindro!$B$34))/Presion_cilindro!$B$35)^(Presion_cilindro!$B$17+1)),0))/((Presion_cilindro!O223+Presion_cilindro!O224)/2)</f>
        <v>2.0585065232670492</v>
      </c>
    </row>
    <row r="233" spans="1:14" x14ac:dyDescent="0.25">
      <c r="A233" s="21">
        <f>Presion_cilindro!N225</f>
        <v>-69.5</v>
      </c>
      <c r="B233" s="27">
        <f>B232*(Presion_cilindro!O224/Presion_cilindro!O225)^Presion_cilindro!$B$9+10*(Presion_cilindro!$B$9-1)*Presion_cilindro!$B$33*(IF(Presion_cilindro!N225&gt;(-B$4+Presion_cilindro!$B$34),1-EXP(-Presion_cilindro!$B$16*((Presion_cilindro!N225-(-B$4+Presion_cilindro!$B$34))/Presion_cilindro!$B$35)^(Presion_cilindro!$B$17+1)),0)-IF(Presion_cilindro!N224&gt;(-B$4+Presion_cilindro!$B$34),1-EXP(-Presion_cilindro!$B$16*((Presion_cilindro!N224-(-B$4+Presion_cilindro!$B$34))/Presion_cilindro!$B$35)^(Presion_cilindro!$B$17+1)),0))/((Presion_cilindro!O224+Presion_cilindro!O225)/2)</f>
        <v>2.0832671678222421</v>
      </c>
      <c r="C233" s="27">
        <f>C232*(Presion_cilindro!O224/Presion_cilindro!O225)^Presion_cilindro!$B$9+10*(Presion_cilindro!$B$9-1)*Presion_cilindro!$B$33*(IF(Presion_cilindro!N225&gt;(-C$4+Presion_cilindro!$B$34),1-EXP(-Presion_cilindro!$B$16*((Presion_cilindro!N225-(-C$4+Presion_cilindro!$B$34))/Presion_cilindro!$B$35)^(Presion_cilindro!$B$17+1)),0)-IF(Presion_cilindro!N224&gt;(-C$4+Presion_cilindro!$B$34),1-EXP(-Presion_cilindro!$B$16*((Presion_cilindro!N224-(-C$4+Presion_cilindro!$B$34))/Presion_cilindro!$B$35)^(Presion_cilindro!$B$17+1)),0))/((Presion_cilindro!O224+Presion_cilindro!O225)/2)</f>
        <v>2.0832671678222421</v>
      </c>
      <c r="D233" s="27">
        <f>D232*(Presion_cilindro!O224/Presion_cilindro!O225)^Presion_cilindro!$B$9+10*(Presion_cilindro!$B$9-1)*Presion_cilindro!$B$33*(IF(Presion_cilindro!N225&gt;(-D$4+Presion_cilindro!$B$34),1-EXP(-Presion_cilindro!$B$16*((Presion_cilindro!N225-(-D$4+Presion_cilindro!$B$34))/Presion_cilindro!$B$35)^(Presion_cilindro!$B$17+1)),0)-IF(Presion_cilindro!N224&gt;(-D$4+Presion_cilindro!$B$34),1-EXP(-Presion_cilindro!$B$16*((Presion_cilindro!N224-(-D$4+Presion_cilindro!$B$34))/Presion_cilindro!$B$35)^(Presion_cilindro!$B$17+1)),0))/((Presion_cilindro!O224+Presion_cilindro!O225)/2)</f>
        <v>2.0832671678222421</v>
      </c>
      <c r="E233" s="27">
        <f>E232*(Presion_cilindro!O224/Presion_cilindro!O225)^Presion_cilindro!$B$9+10*(Presion_cilindro!$B$9-1)*Presion_cilindro!$B$33*(IF(Presion_cilindro!N225&gt;(-E$4+Presion_cilindro!$B$34),1-EXP(-Presion_cilindro!$B$16*((Presion_cilindro!N225-(-E$4+Presion_cilindro!$B$34))/Presion_cilindro!$B$35)^(Presion_cilindro!$B$17+1)),0)-IF(Presion_cilindro!N224&gt;(-E$4+Presion_cilindro!$B$34),1-EXP(-Presion_cilindro!$B$16*((Presion_cilindro!N224-(-E$4+Presion_cilindro!$B$34))/Presion_cilindro!$B$35)^(Presion_cilindro!$B$17+1)),0))/((Presion_cilindro!O224+Presion_cilindro!O225)/2)</f>
        <v>2.0832671678222421</v>
      </c>
      <c r="F233" s="27">
        <f>F232*(Presion_cilindro!O224/Presion_cilindro!O225)^Presion_cilindro!$B$9+10*(Presion_cilindro!$B$9-1)*Presion_cilindro!$B$33*(IF(Presion_cilindro!N225&gt;(-F$4+Presion_cilindro!$B$34),1-EXP(-Presion_cilindro!$B$16*((Presion_cilindro!N225-(-F$4+Presion_cilindro!$B$34))/Presion_cilindro!$B$35)^(Presion_cilindro!$B$17+1)),0)-IF(Presion_cilindro!N224&gt;(-F$4+Presion_cilindro!$B$34),1-EXP(-Presion_cilindro!$B$16*((Presion_cilindro!N224-(-F$4+Presion_cilindro!$B$34))/Presion_cilindro!$B$35)^(Presion_cilindro!$B$17+1)),0))/((Presion_cilindro!O224+Presion_cilindro!O225)/2)</f>
        <v>2.0832671678222421</v>
      </c>
      <c r="G233" s="27">
        <f>G232*(Presion_cilindro!O224/Presion_cilindro!O225)^Presion_cilindro!$B$9+10*(Presion_cilindro!$B$9-1)*Presion_cilindro!$B$33*(IF(Presion_cilindro!N225&gt;(-G$4+Presion_cilindro!$B$34),1-EXP(-Presion_cilindro!$B$16*((Presion_cilindro!N225-(-G$4+Presion_cilindro!$B$34))/Presion_cilindro!$B$35)^(Presion_cilindro!$B$17+1)),0)-IF(Presion_cilindro!N224&gt;(-G$4+Presion_cilindro!$B$34),1-EXP(-Presion_cilindro!$B$16*((Presion_cilindro!N224-(-G$4+Presion_cilindro!$B$34))/Presion_cilindro!$B$35)^(Presion_cilindro!$B$17+1)),0))/((Presion_cilindro!O224+Presion_cilindro!O225)/2)</f>
        <v>2.0832671678222421</v>
      </c>
      <c r="H233" s="27">
        <f>H232*(Presion_cilindro!O224/Presion_cilindro!O225)^Presion_cilindro!$B$9+10*(Presion_cilindro!$B$9-1)*Presion_cilindro!$B$33*(IF(Presion_cilindro!N225&gt;(-H$4+Presion_cilindro!$B$34),1-EXP(-Presion_cilindro!$B$16*((Presion_cilindro!N225-(-H$4+Presion_cilindro!$B$34))/Presion_cilindro!$B$35)^(Presion_cilindro!$B$17+1)),0)-IF(Presion_cilindro!N224&gt;(-H$4+Presion_cilindro!$B$34),1-EXP(-Presion_cilindro!$B$16*((Presion_cilindro!N224-(-H$4+Presion_cilindro!$B$34))/Presion_cilindro!$B$35)^(Presion_cilindro!$B$17+1)),0))/((Presion_cilindro!O224+Presion_cilindro!O225)/2)</f>
        <v>2.0832671678222421</v>
      </c>
      <c r="I233" s="27">
        <f>I232*(Presion_cilindro!O224/Presion_cilindro!O225)^Presion_cilindro!$B$9+10*(Presion_cilindro!$B$9-1)*Presion_cilindro!$B$33*(IF(Presion_cilindro!N225&gt;(-I$4+Presion_cilindro!$B$34),1-EXP(-Presion_cilindro!$B$16*((Presion_cilindro!N225-(-I$4+Presion_cilindro!$B$34))/Presion_cilindro!$B$35)^(Presion_cilindro!$B$17+1)),0)-IF(Presion_cilindro!N224&gt;(-I$4+Presion_cilindro!$B$34),1-EXP(-Presion_cilindro!$B$16*((Presion_cilindro!N224-(-I$4+Presion_cilindro!$B$34))/Presion_cilindro!$B$35)^(Presion_cilindro!$B$17+1)),0))/((Presion_cilindro!O224+Presion_cilindro!O225)/2)</f>
        <v>2.0832671678222421</v>
      </c>
      <c r="J233" s="27">
        <f>J232*(Presion_cilindro!O224/Presion_cilindro!O225)^Presion_cilindro!$B$9+10*(Presion_cilindro!$B$9-1)*Presion_cilindro!$B$33*(IF(Presion_cilindro!N225&gt;(-J$4+Presion_cilindro!$B$34),1-EXP(-Presion_cilindro!$B$16*((Presion_cilindro!N225-(-J$4+Presion_cilindro!$B$34))/Presion_cilindro!$B$35)^(Presion_cilindro!$B$17+1)),0)-IF(Presion_cilindro!N224&gt;(-J$4+Presion_cilindro!$B$34),1-EXP(-Presion_cilindro!$B$16*((Presion_cilindro!N224-(-J$4+Presion_cilindro!$B$34))/Presion_cilindro!$B$35)^(Presion_cilindro!$B$17+1)),0))/((Presion_cilindro!O224+Presion_cilindro!O225)/2)</f>
        <v>2.0832671678222421</v>
      </c>
      <c r="K233" s="27">
        <f>K232*(Presion_cilindro!O224/Presion_cilindro!O225)^Presion_cilindro!$B$9+10*(Presion_cilindro!$B$9-1)*Presion_cilindro!$B$33*(IF(Presion_cilindro!N225&gt;(-K$4+Presion_cilindro!$B$34),1-EXP(-Presion_cilindro!$B$16*((Presion_cilindro!N225-(-K$4+Presion_cilindro!$B$34))/Presion_cilindro!$B$35)^(Presion_cilindro!$B$17+1)),0)-IF(Presion_cilindro!N224&gt;(-K$4+Presion_cilindro!$B$34),1-EXP(-Presion_cilindro!$B$16*((Presion_cilindro!N224-(-K$4+Presion_cilindro!$B$34))/Presion_cilindro!$B$35)^(Presion_cilindro!$B$17+1)),0))/((Presion_cilindro!O224+Presion_cilindro!O225)/2)</f>
        <v>2.0832671678222421</v>
      </c>
      <c r="L233" s="27">
        <f>L232*(Presion_cilindro!O224/Presion_cilindro!O225)^Presion_cilindro!$B$9+10*(Presion_cilindro!$B$9-1)*Presion_cilindro!$B$33*(IF(Presion_cilindro!N225&gt;(-L$4+Presion_cilindro!$B$34),1-EXP(-Presion_cilindro!$B$16*((Presion_cilindro!N225-(-L$4+Presion_cilindro!$B$34))/Presion_cilindro!$B$35)^(Presion_cilindro!$B$17+1)),0)-IF(Presion_cilindro!N224&gt;(-L$4+Presion_cilindro!$B$34),1-EXP(-Presion_cilindro!$B$16*((Presion_cilindro!N224-(-L$4+Presion_cilindro!$B$34))/Presion_cilindro!$B$35)^(Presion_cilindro!$B$17+1)),0))/((Presion_cilindro!O224+Presion_cilindro!O225)/2)</f>
        <v>2.0832671678222421</v>
      </c>
      <c r="M233" s="27">
        <f>M232*(Presion_cilindro!O224/Presion_cilindro!O225)^Presion_cilindro!$B$9+10*(Presion_cilindro!$B$9-1)*Presion_cilindro!$B$33*(IF(Presion_cilindro!N225&gt;(-M$4+Presion_cilindro!$B$34),1-EXP(-Presion_cilindro!$B$16*((Presion_cilindro!N225-(-M$4+Presion_cilindro!$B$34))/Presion_cilindro!$B$35)^(Presion_cilindro!$B$17+1)),0)-IF(Presion_cilindro!N224&gt;(-M$4+Presion_cilindro!$B$34),1-EXP(-Presion_cilindro!$B$16*((Presion_cilindro!N224-(-M$4+Presion_cilindro!$B$34))/Presion_cilindro!$B$35)^(Presion_cilindro!$B$17+1)),0))/((Presion_cilindro!O224+Presion_cilindro!O225)/2)</f>
        <v>2.0832671678222421</v>
      </c>
      <c r="N233" s="27">
        <f>N232*(Presion_cilindro!O224/Presion_cilindro!O225)^Presion_cilindro!$B$9+10*(Presion_cilindro!$B$9-1)*Presion_cilindro!$B$33*(IF(Presion_cilindro!N225&gt;(-N$4+Presion_cilindro!$B$34),1-EXP(-Presion_cilindro!$B$16*((Presion_cilindro!N225-(-N$4+Presion_cilindro!$B$34))/Presion_cilindro!$B$35)^(Presion_cilindro!$B$17+1)),0)-IF(Presion_cilindro!N224&gt;(-N$4+Presion_cilindro!$B$34),1-EXP(-Presion_cilindro!$B$16*((Presion_cilindro!N224-(-N$4+Presion_cilindro!$B$34))/Presion_cilindro!$B$35)^(Presion_cilindro!$B$17+1)),0))/((Presion_cilindro!O224+Presion_cilindro!O225)/2)</f>
        <v>2.0832671678222421</v>
      </c>
    </row>
    <row r="234" spans="1:14" x14ac:dyDescent="0.25">
      <c r="A234" s="21">
        <f>Presion_cilindro!N226</f>
        <v>-69</v>
      </c>
      <c r="B234" s="27">
        <f>B233*(Presion_cilindro!O225/Presion_cilindro!O226)^Presion_cilindro!$B$9+10*(Presion_cilindro!$B$9-1)*Presion_cilindro!$B$33*(IF(Presion_cilindro!N226&gt;(-B$4+Presion_cilindro!$B$34),1-EXP(-Presion_cilindro!$B$16*((Presion_cilindro!N226-(-B$4+Presion_cilindro!$B$34))/Presion_cilindro!$B$35)^(Presion_cilindro!$B$17+1)),0)-IF(Presion_cilindro!N225&gt;(-B$4+Presion_cilindro!$B$34),1-EXP(-Presion_cilindro!$B$16*((Presion_cilindro!N225-(-B$4+Presion_cilindro!$B$34))/Presion_cilindro!$B$35)^(Presion_cilindro!$B$17+1)),0))/((Presion_cilindro!O225+Presion_cilindro!O226)/2)</f>
        <v>2.1085264817567042</v>
      </c>
      <c r="C234" s="27">
        <f>C233*(Presion_cilindro!O225/Presion_cilindro!O226)^Presion_cilindro!$B$9+10*(Presion_cilindro!$B$9-1)*Presion_cilindro!$B$33*(IF(Presion_cilindro!N226&gt;(-C$4+Presion_cilindro!$B$34),1-EXP(-Presion_cilindro!$B$16*((Presion_cilindro!N226-(-C$4+Presion_cilindro!$B$34))/Presion_cilindro!$B$35)^(Presion_cilindro!$B$17+1)),0)-IF(Presion_cilindro!N225&gt;(-C$4+Presion_cilindro!$B$34),1-EXP(-Presion_cilindro!$B$16*((Presion_cilindro!N225-(-C$4+Presion_cilindro!$B$34))/Presion_cilindro!$B$35)^(Presion_cilindro!$B$17+1)),0))/((Presion_cilindro!O225+Presion_cilindro!O226)/2)</f>
        <v>2.1085264817567042</v>
      </c>
      <c r="D234" s="27">
        <f>D233*(Presion_cilindro!O225/Presion_cilindro!O226)^Presion_cilindro!$B$9+10*(Presion_cilindro!$B$9-1)*Presion_cilindro!$B$33*(IF(Presion_cilindro!N226&gt;(-D$4+Presion_cilindro!$B$34),1-EXP(-Presion_cilindro!$B$16*((Presion_cilindro!N226-(-D$4+Presion_cilindro!$B$34))/Presion_cilindro!$B$35)^(Presion_cilindro!$B$17+1)),0)-IF(Presion_cilindro!N225&gt;(-D$4+Presion_cilindro!$B$34),1-EXP(-Presion_cilindro!$B$16*((Presion_cilindro!N225-(-D$4+Presion_cilindro!$B$34))/Presion_cilindro!$B$35)^(Presion_cilindro!$B$17+1)),0))/((Presion_cilindro!O225+Presion_cilindro!O226)/2)</f>
        <v>2.1085264817567042</v>
      </c>
      <c r="E234" s="27">
        <f>E233*(Presion_cilindro!O225/Presion_cilindro!O226)^Presion_cilindro!$B$9+10*(Presion_cilindro!$B$9-1)*Presion_cilindro!$B$33*(IF(Presion_cilindro!N226&gt;(-E$4+Presion_cilindro!$B$34),1-EXP(-Presion_cilindro!$B$16*((Presion_cilindro!N226-(-E$4+Presion_cilindro!$B$34))/Presion_cilindro!$B$35)^(Presion_cilindro!$B$17+1)),0)-IF(Presion_cilindro!N225&gt;(-E$4+Presion_cilindro!$B$34),1-EXP(-Presion_cilindro!$B$16*((Presion_cilindro!N225-(-E$4+Presion_cilindro!$B$34))/Presion_cilindro!$B$35)^(Presion_cilindro!$B$17+1)),0))/((Presion_cilindro!O225+Presion_cilindro!O226)/2)</f>
        <v>2.1085264817567042</v>
      </c>
      <c r="F234" s="27">
        <f>F233*(Presion_cilindro!O225/Presion_cilindro!O226)^Presion_cilindro!$B$9+10*(Presion_cilindro!$B$9-1)*Presion_cilindro!$B$33*(IF(Presion_cilindro!N226&gt;(-F$4+Presion_cilindro!$B$34),1-EXP(-Presion_cilindro!$B$16*((Presion_cilindro!N226-(-F$4+Presion_cilindro!$B$34))/Presion_cilindro!$B$35)^(Presion_cilindro!$B$17+1)),0)-IF(Presion_cilindro!N225&gt;(-F$4+Presion_cilindro!$B$34),1-EXP(-Presion_cilindro!$B$16*((Presion_cilindro!N225-(-F$4+Presion_cilindro!$B$34))/Presion_cilindro!$B$35)^(Presion_cilindro!$B$17+1)),0))/((Presion_cilindro!O225+Presion_cilindro!O226)/2)</f>
        <v>2.1085264817567042</v>
      </c>
      <c r="G234" s="27">
        <f>G233*(Presion_cilindro!O225/Presion_cilindro!O226)^Presion_cilindro!$B$9+10*(Presion_cilindro!$B$9-1)*Presion_cilindro!$B$33*(IF(Presion_cilindro!N226&gt;(-G$4+Presion_cilindro!$B$34),1-EXP(-Presion_cilindro!$B$16*((Presion_cilindro!N226-(-G$4+Presion_cilindro!$B$34))/Presion_cilindro!$B$35)^(Presion_cilindro!$B$17+1)),0)-IF(Presion_cilindro!N225&gt;(-G$4+Presion_cilindro!$B$34),1-EXP(-Presion_cilindro!$B$16*((Presion_cilindro!N225-(-G$4+Presion_cilindro!$B$34))/Presion_cilindro!$B$35)^(Presion_cilindro!$B$17+1)),0))/((Presion_cilindro!O225+Presion_cilindro!O226)/2)</f>
        <v>2.1085264817567042</v>
      </c>
      <c r="H234" s="27">
        <f>H233*(Presion_cilindro!O225/Presion_cilindro!O226)^Presion_cilindro!$B$9+10*(Presion_cilindro!$B$9-1)*Presion_cilindro!$B$33*(IF(Presion_cilindro!N226&gt;(-H$4+Presion_cilindro!$B$34),1-EXP(-Presion_cilindro!$B$16*((Presion_cilindro!N226-(-H$4+Presion_cilindro!$B$34))/Presion_cilindro!$B$35)^(Presion_cilindro!$B$17+1)),0)-IF(Presion_cilindro!N225&gt;(-H$4+Presion_cilindro!$B$34),1-EXP(-Presion_cilindro!$B$16*((Presion_cilindro!N225-(-H$4+Presion_cilindro!$B$34))/Presion_cilindro!$B$35)^(Presion_cilindro!$B$17+1)),0))/((Presion_cilindro!O225+Presion_cilindro!O226)/2)</f>
        <v>2.1085264817567042</v>
      </c>
      <c r="I234" s="27">
        <f>I233*(Presion_cilindro!O225/Presion_cilindro!O226)^Presion_cilindro!$B$9+10*(Presion_cilindro!$B$9-1)*Presion_cilindro!$B$33*(IF(Presion_cilindro!N226&gt;(-I$4+Presion_cilindro!$B$34),1-EXP(-Presion_cilindro!$B$16*((Presion_cilindro!N226-(-I$4+Presion_cilindro!$B$34))/Presion_cilindro!$B$35)^(Presion_cilindro!$B$17+1)),0)-IF(Presion_cilindro!N225&gt;(-I$4+Presion_cilindro!$B$34),1-EXP(-Presion_cilindro!$B$16*((Presion_cilindro!N225-(-I$4+Presion_cilindro!$B$34))/Presion_cilindro!$B$35)^(Presion_cilindro!$B$17+1)),0))/((Presion_cilindro!O225+Presion_cilindro!O226)/2)</f>
        <v>2.1085264817567042</v>
      </c>
      <c r="J234" s="27">
        <f>J233*(Presion_cilindro!O225/Presion_cilindro!O226)^Presion_cilindro!$B$9+10*(Presion_cilindro!$B$9-1)*Presion_cilindro!$B$33*(IF(Presion_cilindro!N226&gt;(-J$4+Presion_cilindro!$B$34),1-EXP(-Presion_cilindro!$B$16*((Presion_cilindro!N226-(-J$4+Presion_cilindro!$B$34))/Presion_cilindro!$B$35)^(Presion_cilindro!$B$17+1)),0)-IF(Presion_cilindro!N225&gt;(-J$4+Presion_cilindro!$B$34),1-EXP(-Presion_cilindro!$B$16*((Presion_cilindro!N225-(-J$4+Presion_cilindro!$B$34))/Presion_cilindro!$B$35)^(Presion_cilindro!$B$17+1)),0))/((Presion_cilindro!O225+Presion_cilindro!O226)/2)</f>
        <v>2.1085264817567042</v>
      </c>
      <c r="K234" s="27">
        <f>K233*(Presion_cilindro!O225/Presion_cilindro!O226)^Presion_cilindro!$B$9+10*(Presion_cilindro!$B$9-1)*Presion_cilindro!$B$33*(IF(Presion_cilindro!N226&gt;(-K$4+Presion_cilindro!$B$34),1-EXP(-Presion_cilindro!$B$16*((Presion_cilindro!N226-(-K$4+Presion_cilindro!$B$34))/Presion_cilindro!$B$35)^(Presion_cilindro!$B$17+1)),0)-IF(Presion_cilindro!N225&gt;(-K$4+Presion_cilindro!$B$34),1-EXP(-Presion_cilindro!$B$16*((Presion_cilindro!N225-(-K$4+Presion_cilindro!$B$34))/Presion_cilindro!$B$35)^(Presion_cilindro!$B$17+1)),0))/((Presion_cilindro!O225+Presion_cilindro!O226)/2)</f>
        <v>2.1085264817567042</v>
      </c>
      <c r="L234" s="27">
        <f>L233*(Presion_cilindro!O225/Presion_cilindro!O226)^Presion_cilindro!$B$9+10*(Presion_cilindro!$B$9-1)*Presion_cilindro!$B$33*(IF(Presion_cilindro!N226&gt;(-L$4+Presion_cilindro!$B$34),1-EXP(-Presion_cilindro!$B$16*((Presion_cilindro!N226-(-L$4+Presion_cilindro!$B$34))/Presion_cilindro!$B$35)^(Presion_cilindro!$B$17+1)),0)-IF(Presion_cilindro!N225&gt;(-L$4+Presion_cilindro!$B$34),1-EXP(-Presion_cilindro!$B$16*((Presion_cilindro!N225-(-L$4+Presion_cilindro!$B$34))/Presion_cilindro!$B$35)^(Presion_cilindro!$B$17+1)),0))/((Presion_cilindro!O225+Presion_cilindro!O226)/2)</f>
        <v>2.1085264817567042</v>
      </c>
      <c r="M234" s="27">
        <f>M233*(Presion_cilindro!O225/Presion_cilindro!O226)^Presion_cilindro!$B$9+10*(Presion_cilindro!$B$9-1)*Presion_cilindro!$B$33*(IF(Presion_cilindro!N226&gt;(-M$4+Presion_cilindro!$B$34),1-EXP(-Presion_cilindro!$B$16*((Presion_cilindro!N226-(-M$4+Presion_cilindro!$B$34))/Presion_cilindro!$B$35)^(Presion_cilindro!$B$17+1)),0)-IF(Presion_cilindro!N225&gt;(-M$4+Presion_cilindro!$B$34),1-EXP(-Presion_cilindro!$B$16*((Presion_cilindro!N225-(-M$4+Presion_cilindro!$B$34))/Presion_cilindro!$B$35)^(Presion_cilindro!$B$17+1)),0))/((Presion_cilindro!O225+Presion_cilindro!O226)/2)</f>
        <v>2.1085264817567042</v>
      </c>
      <c r="N234" s="27">
        <f>N233*(Presion_cilindro!O225/Presion_cilindro!O226)^Presion_cilindro!$B$9+10*(Presion_cilindro!$B$9-1)*Presion_cilindro!$B$33*(IF(Presion_cilindro!N226&gt;(-N$4+Presion_cilindro!$B$34),1-EXP(-Presion_cilindro!$B$16*((Presion_cilindro!N226-(-N$4+Presion_cilindro!$B$34))/Presion_cilindro!$B$35)^(Presion_cilindro!$B$17+1)),0)-IF(Presion_cilindro!N225&gt;(-N$4+Presion_cilindro!$B$34),1-EXP(-Presion_cilindro!$B$16*((Presion_cilindro!N225-(-N$4+Presion_cilindro!$B$34))/Presion_cilindro!$B$35)^(Presion_cilindro!$B$17+1)),0))/((Presion_cilindro!O225+Presion_cilindro!O226)/2)</f>
        <v>2.1085264817567042</v>
      </c>
    </row>
    <row r="235" spans="1:14" x14ac:dyDescent="0.25">
      <c r="A235" s="21">
        <f>Presion_cilindro!N227</f>
        <v>-68.5</v>
      </c>
      <c r="B235" s="27">
        <f>B234*(Presion_cilindro!O226/Presion_cilindro!O227)^Presion_cilindro!$B$9+10*(Presion_cilindro!$B$9-1)*Presion_cilindro!$B$33*(IF(Presion_cilindro!N227&gt;(-B$4+Presion_cilindro!$B$34),1-EXP(-Presion_cilindro!$B$16*((Presion_cilindro!N227-(-B$4+Presion_cilindro!$B$34))/Presion_cilindro!$B$35)^(Presion_cilindro!$B$17+1)),0)-IF(Presion_cilindro!N226&gt;(-B$4+Presion_cilindro!$B$34),1-EXP(-Presion_cilindro!$B$16*((Presion_cilindro!N226-(-B$4+Presion_cilindro!$B$34))/Presion_cilindro!$B$35)^(Presion_cilindro!$B$17+1)),0))/((Presion_cilindro!O226+Presion_cilindro!O227)/2)</f>
        <v>2.1342962254935252</v>
      </c>
      <c r="C235" s="27">
        <f>C234*(Presion_cilindro!O226/Presion_cilindro!O227)^Presion_cilindro!$B$9+10*(Presion_cilindro!$B$9-1)*Presion_cilindro!$B$33*(IF(Presion_cilindro!N227&gt;(-C$4+Presion_cilindro!$B$34),1-EXP(-Presion_cilindro!$B$16*((Presion_cilindro!N227-(-C$4+Presion_cilindro!$B$34))/Presion_cilindro!$B$35)^(Presion_cilindro!$B$17+1)),0)-IF(Presion_cilindro!N226&gt;(-C$4+Presion_cilindro!$B$34),1-EXP(-Presion_cilindro!$B$16*((Presion_cilindro!N226-(-C$4+Presion_cilindro!$B$34))/Presion_cilindro!$B$35)^(Presion_cilindro!$B$17+1)),0))/((Presion_cilindro!O226+Presion_cilindro!O227)/2)</f>
        <v>2.1342962254935252</v>
      </c>
      <c r="D235" s="27">
        <f>D234*(Presion_cilindro!O226/Presion_cilindro!O227)^Presion_cilindro!$B$9+10*(Presion_cilindro!$B$9-1)*Presion_cilindro!$B$33*(IF(Presion_cilindro!N227&gt;(-D$4+Presion_cilindro!$B$34),1-EXP(-Presion_cilindro!$B$16*((Presion_cilindro!N227-(-D$4+Presion_cilindro!$B$34))/Presion_cilindro!$B$35)^(Presion_cilindro!$B$17+1)),0)-IF(Presion_cilindro!N226&gt;(-D$4+Presion_cilindro!$B$34),1-EXP(-Presion_cilindro!$B$16*((Presion_cilindro!N226-(-D$4+Presion_cilindro!$B$34))/Presion_cilindro!$B$35)^(Presion_cilindro!$B$17+1)),0))/((Presion_cilindro!O226+Presion_cilindro!O227)/2)</f>
        <v>2.1342962254935252</v>
      </c>
      <c r="E235" s="27">
        <f>E234*(Presion_cilindro!O226/Presion_cilindro!O227)^Presion_cilindro!$B$9+10*(Presion_cilindro!$B$9-1)*Presion_cilindro!$B$33*(IF(Presion_cilindro!N227&gt;(-E$4+Presion_cilindro!$B$34),1-EXP(-Presion_cilindro!$B$16*((Presion_cilindro!N227-(-E$4+Presion_cilindro!$B$34))/Presion_cilindro!$B$35)^(Presion_cilindro!$B$17+1)),0)-IF(Presion_cilindro!N226&gt;(-E$4+Presion_cilindro!$B$34),1-EXP(-Presion_cilindro!$B$16*((Presion_cilindro!N226-(-E$4+Presion_cilindro!$B$34))/Presion_cilindro!$B$35)^(Presion_cilindro!$B$17+1)),0))/((Presion_cilindro!O226+Presion_cilindro!O227)/2)</f>
        <v>2.1342962254935252</v>
      </c>
      <c r="F235" s="27">
        <f>F234*(Presion_cilindro!O226/Presion_cilindro!O227)^Presion_cilindro!$B$9+10*(Presion_cilindro!$B$9-1)*Presion_cilindro!$B$33*(IF(Presion_cilindro!N227&gt;(-F$4+Presion_cilindro!$B$34),1-EXP(-Presion_cilindro!$B$16*((Presion_cilindro!N227-(-F$4+Presion_cilindro!$B$34))/Presion_cilindro!$B$35)^(Presion_cilindro!$B$17+1)),0)-IF(Presion_cilindro!N226&gt;(-F$4+Presion_cilindro!$B$34),1-EXP(-Presion_cilindro!$B$16*((Presion_cilindro!N226-(-F$4+Presion_cilindro!$B$34))/Presion_cilindro!$B$35)^(Presion_cilindro!$B$17+1)),0))/((Presion_cilindro!O226+Presion_cilindro!O227)/2)</f>
        <v>2.1342962254935252</v>
      </c>
      <c r="G235" s="27">
        <f>G234*(Presion_cilindro!O226/Presion_cilindro!O227)^Presion_cilindro!$B$9+10*(Presion_cilindro!$B$9-1)*Presion_cilindro!$B$33*(IF(Presion_cilindro!N227&gt;(-G$4+Presion_cilindro!$B$34),1-EXP(-Presion_cilindro!$B$16*((Presion_cilindro!N227-(-G$4+Presion_cilindro!$B$34))/Presion_cilindro!$B$35)^(Presion_cilindro!$B$17+1)),0)-IF(Presion_cilindro!N226&gt;(-G$4+Presion_cilindro!$B$34),1-EXP(-Presion_cilindro!$B$16*((Presion_cilindro!N226-(-G$4+Presion_cilindro!$B$34))/Presion_cilindro!$B$35)^(Presion_cilindro!$B$17+1)),0))/((Presion_cilindro!O226+Presion_cilindro!O227)/2)</f>
        <v>2.1342962254935252</v>
      </c>
      <c r="H235" s="27">
        <f>H234*(Presion_cilindro!O226/Presion_cilindro!O227)^Presion_cilindro!$B$9+10*(Presion_cilindro!$B$9-1)*Presion_cilindro!$B$33*(IF(Presion_cilindro!N227&gt;(-H$4+Presion_cilindro!$B$34),1-EXP(-Presion_cilindro!$B$16*((Presion_cilindro!N227-(-H$4+Presion_cilindro!$B$34))/Presion_cilindro!$B$35)^(Presion_cilindro!$B$17+1)),0)-IF(Presion_cilindro!N226&gt;(-H$4+Presion_cilindro!$B$34),1-EXP(-Presion_cilindro!$B$16*((Presion_cilindro!N226-(-H$4+Presion_cilindro!$B$34))/Presion_cilindro!$B$35)^(Presion_cilindro!$B$17+1)),0))/((Presion_cilindro!O226+Presion_cilindro!O227)/2)</f>
        <v>2.1342962254935252</v>
      </c>
      <c r="I235" s="27">
        <f>I234*(Presion_cilindro!O226/Presion_cilindro!O227)^Presion_cilindro!$B$9+10*(Presion_cilindro!$B$9-1)*Presion_cilindro!$B$33*(IF(Presion_cilindro!N227&gt;(-I$4+Presion_cilindro!$B$34),1-EXP(-Presion_cilindro!$B$16*((Presion_cilindro!N227-(-I$4+Presion_cilindro!$B$34))/Presion_cilindro!$B$35)^(Presion_cilindro!$B$17+1)),0)-IF(Presion_cilindro!N226&gt;(-I$4+Presion_cilindro!$B$34),1-EXP(-Presion_cilindro!$B$16*((Presion_cilindro!N226-(-I$4+Presion_cilindro!$B$34))/Presion_cilindro!$B$35)^(Presion_cilindro!$B$17+1)),0))/((Presion_cilindro!O226+Presion_cilindro!O227)/2)</f>
        <v>2.1342962254935252</v>
      </c>
      <c r="J235" s="27">
        <f>J234*(Presion_cilindro!O226/Presion_cilindro!O227)^Presion_cilindro!$B$9+10*(Presion_cilindro!$B$9-1)*Presion_cilindro!$B$33*(IF(Presion_cilindro!N227&gt;(-J$4+Presion_cilindro!$B$34),1-EXP(-Presion_cilindro!$B$16*((Presion_cilindro!N227-(-J$4+Presion_cilindro!$B$34))/Presion_cilindro!$B$35)^(Presion_cilindro!$B$17+1)),0)-IF(Presion_cilindro!N226&gt;(-J$4+Presion_cilindro!$B$34),1-EXP(-Presion_cilindro!$B$16*((Presion_cilindro!N226-(-J$4+Presion_cilindro!$B$34))/Presion_cilindro!$B$35)^(Presion_cilindro!$B$17+1)),0))/((Presion_cilindro!O226+Presion_cilindro!O227)/2)</f>
        <v>2.1342962254935252</v>
      </c>
      <c r="K235" s="27">
        <f>K234*(Presion_cilindro!O226/Presion_cilindro!O227)^Presion_cilindro!$B$9+10*(Presion_cilindro!$B$9-1)*Presion_cilindro!$B$33*(IF(Presion_cilindro!N227&gt;(-K$4+Presion_cilindro!$B$34),1-EXP(-Presion_cilindro!$B$16*((Presion_cilindro!N227-(-K$4+Presion_cilindro!$B$34))/Presion_cilindro!$B$35)^(Presion_cilindro!$B$17+1)),0)-IF(Presion_cilindro!N226&gt;(-K$4+Presion_cilindro!$B$34),1-EXP(-Presion_cilindro!$B$16*((Presion_cilindro!N226-(-K$4+Presion_cilindro!$B$34))/Presion_cilindro!$B$35)^(Presion_cilindro!$B$17+1)),0))/((Presion_cilindro!O226+Presion_cilindro!O227)/2)</f>
        <v>2.1342962254935252</v>
      </c>
      <c r="L235" s="27">
        <f>L234*(Presion_cilindro!O226/Presion_cilindro!O227)^Presion_cilindro!$B$9+10*(Presion_cilindro!$B$9-1)*Presion_cilindro!$B$33*(IF(Presion_cilindro!N227&gt;(-L$4+Presion_cilindro!$B$34),1-EXP(-Presion_cilindro!$B$16*((Presion_cilindro!N227-(-L$4+Presion_cilindro!$B$34))/Presion_cilindro!$B$35)^(Presion_cilindro!$B$17+1)),0)-IF(Presion_cilindro!N226&gt;(-L$4+Presion_cilindro!$B$34),1-EXP(-Presion_cilindro!$B$16*((Presion_cilindro!N226-(-L$4+Presion_cilindro!$B$34))/Presion_cilindro!$B$35)^(Presion_cilindro!$B$17+1)),0))/((Presion_cilindro!O226+Presion_cilindro!O227)/2)</f>
        <v>2.1342962254935252</v>
      </c>
      <c r="M235" s="27">
        <f>M234*(Presion_cilindro!O226/Presion_cilindro!O227)^Presion_cilindro!$B$9+10*(Presion_cilindro!$B$9-1)*Presion_cilindro!$B$33*(IF(Presion_cilindro!N227&gt;(-M$4+Presion_cilindro!$B$34),1-EXP(-Presion_cilindro!$B$16*((Presion_cilindro!N227-(-M$4+Presion_cilindro!$B$34))/Presion_cilindro!$B$35)^(Presion_cilindro!$B$17+1)),0)-IF(Presion_cilindro!N226&gt;(-M$4+Presion_cilindro!$B$34),1-EXP(-Presion_cilindro!$B$16*((Presion_cilindro!N226-(-M$4+Presion_cilindro!$B$34))/Presion_cilindro!$B$35)^(Presion_cilindro!$B$17+1)),0))/((Presion_cilindro!O226+Presion_cilindro!O227)/2)</f>
        <v>2.1342962254935252</v>
      </c>
      <c r="N235" s="27">
        <f>N234*(Presion_cilindro!O226/Presion_cilindro!O227)^Presion_cilindro!$B$9+10*(Presion_cilindro!$B$9-1)*Presion_cilindro!$B$33*(IF(Presion_cilindro!N227&gt;(-N$4+Presion_cilindro!$B$34),1-EXP(-Presion_cilindro!$B$16*((Presion_cilindro!N227-(-N$4+Presion_cilindro!$B$34))/Presion_cilindro!$B$35)^(Presion_cilindro!$B$17+1)),0)-IF(Presion_cilindro!N226&gt;(-N$4+Presion_cilindro!$B$34),1-EXP(-Presion_cilindro!$B$16*((Presion_cilindro!N226-(-N$4+Presion_cilindro!$B$34))/Presion_cilindro!$B$35)^(Presion_cilindro!$B$17+1)),0))/((Presion_cilindro!O226+Presion_cilindro!O227)/2)</f>
        <v>2.1342962254935252</v>
      </c>
    </row>
    <row r="236" spans="1:14" x14ac:dyDescent="0.25">
      <c r="A236" s="21">
        <f>Presion_cilindro!N228</f>
        <v>-68</v>
      </c>
      <c r="B236" s="27">
        <f>B235*(Presion_cilindro!O227/Presion_cilindro!O228)^Presion_cilindro!$B$9+10*(Presion_cilindro!$B$9-1)*Presion_cilindro!$B$33*(IF(Presion_cilindro!N228&gt;(-B$4+Presion_cilindro!$B$34),1-EXP(-Presion_cilindro!$B$16*((Presion_cilindro!N228-(-B$4+Presion_cilindro!$B$34))/Presion_cilindro!$B$35)^(Presion_cilindro!$B$17+1)),0)-IF(Presion_cilindro!N227&gt;(-B$4+Presion_cilindro!$B$34),1-EXP(-Presion_cilindro!$B$16*((Presion_cilindro!N227-(-B$4+Presion_cilindro!$B$34))/Presion_cilindro!$B$35)^(Presion_cilindro!$B$17+1)),0))/((Presion_cilindro!O227+Presion_cilindro!O228)/2)</f>
        <v>2.1605884663328787</v>
      </c>
      <c r="C236" s="27">
        <f>C235*(Presion_cilindro!O227/Presion_cilindro!O228)^Presion_cilindro!$B$9+10*(Presion_cilindro!$B$9-1)*Presion_cilindro!$B$33*(IF(Presion_cilindro!N228&gt;(-C$4+Presion_cilindro!$B$34),1-EXP(-Presion_cilindro!$B$16*((Presion_cilindro!N228-(-C$4+Presion_cilindro!$B$34))/Presion_cilindro!$B$35)^(Presion_cilindro!$B$17+1)),0)-IF(Presion_cilindro!N227&gt;(-C$4+Presion_cilindro!$B$34),1-EXP(-Presion_cilindro!$B$16*((Presion_cilindro!N227-(-C$4+Presion_cilindro!$B$34))/Presion_cilindro!$B$35)^(Presion_cilindro!$B$17+1)),0))/((Presion_cilindro!O227+Presion_cilindro!O228)/2)</f>
        <v>2.1605884663328787</v>
      </c>
      <c r="D236" s="27">
        <f>D235*(Presion_cilindro!O227/Presion_cilindro!O228)^Presion_cilindro!$B$9+10*(Presion_cilindro!$B$9-1)*Presion_cilindro!$B$33*(IF(Presion_cilindro!N228&gt;(-D$4+Presion_cilindro!$B$34),1-EXP(-Presion_cilindro!$B$16*((Presion_cilindro!N228-(-D$4+Presion_cilindro!$B$34))/Presion_cilindro!$B$35)^(Presion_cilindro!$B$17+1)),0)-IF(Presion_cilindro!N227&gt;(-D$4+Presion_cilindro!$B$34),1-EXP(-Presion_cilindro!$B$16*((Presion_cilindro!N227-(-D$4+Presion_cilindro!$B$34))/Presion_cilindro!$B$35)^(Presion_cilindro!$B$17+1)),0))/((Presion_cilindro!O227+Presion_cilindro!O228)/2)</f>
        <v>2.1605884663328787</v>
      </c>
      <c r="E236" s="27">
        <f>E235*(Presion_cilindro!O227/Presion_cilindro!O228)^Presion_cilindro!$B$9+10*(Presion_cilindro!$B$9-1)*Presion_cilindro!$B$33*(IF(Presion_cilindro!N228&gt;(-E$4+Presion_cilindro!$B$34),1-EXP(-Presion_cilindro!$B$16*((Presion_cilindro!N228-(-E$4+Presion_cilindro!$B$34))/Presion_cilindro!$B$35)^(Presion_cilindro!$B$17+1)),0)-IF(Presion_cilindro!N227&gt;(-E$4+Presion_cilindro!$B$34),1-EXP(-Presion_cilindro!$B$16*((Presion_cilindro!N227-(-E$4+Presion_cilindro!$B$34))/Presion_cilindro!$B$35)^(Presion_cilindro!$B$17+1)),0))/((Presion_cilindro!O227+Presion_cilindro!O228)/2)</f>
        <v>2.1605884663328787</v>
      </c>
      <c r="F236" s="27">
        <f>F235*(Presion_cilindro!O227/Presion_cilindro!O228)^Presion_cilindro!$B$9+10*(Presion_cilindro!$B$9-1)*Presion_cilindro!$B$33*(IF(Presion_cilindro!N228&gt;(-F$4+Presion_cilindro!$B$34),1-EXP(-Presion_cilindro!$B$16*((Presion_cilindro!N228-(-F$4+Presion_cilindro!$B$34))/Presion_cilindro!$B$35)^(Presion_cilindro!$B$17+1)),0)-IF(Presion_cilindro!N227&gt;(-F$4+Presion_cilindro!$B$34),1-EXP(-Presion_cilindro!$B$16*((Presion_cilindro!N227-(-F$4+Presion_cilindro!$B$34))/Presion_cilindro!$B$35)^(Presion_cilindro!$B$17+1)),0))/((Presion_cilindro!O227+Presion_cilindro!O228)/2)</f>
        <v>2.1605884663328787</v>
      </c>
      <c r="G236" s="27">
        <f>G235*(Presion_cilindro!O227/Presion_cilindro!O228)^Presion_cilindro!$B$9+10*(Presion_cilindro!$B$9-1)*Presion_cilindro!$B$33*(IF(Presion_cilindro!N228&gt;(-G$4+Presion_cilindro!$B$34),1-EXP(-Presion_cilindro!$B$16*((Presion_cilindro!N228-(-G$4+Presion_cilindro!$B$34))/Presion_cilindro!$B$35)^(Presion_cilindro!$B$17+1)),0)-IF(Presion_cilindro!N227&gt;(-G$4+Presion_cilindro!$B$34),1-EXP(-Presion_cilindro!$B$16*((Presion_cilindro!N227-(-G$4+Presion_cilindro!$B$34))/Presion_cilindro!$B$35)^(Presion_cilindro!$B$17+1)),0))/((Presion_cilindro!O227+Presion_cilindro!O228)/2)</f>
        <v>2.1605884663328787</v>
      </c>
      <c r="H236" s="27">
        <f>H235*(Presion_cilindro!O227/Presion_cilindro!O228)^Presion_cilindro!$B$9+10*(Presion_cilindro!$B$9-1)*Presion_cilindro!$B$33*(IF(Presion_cilindro!N228&gt;(-H$4+Presion_cilindro!$B$34),1-EXP(-Presion_cilindro!$B$16*((Presion_cilindro!N228-(-H$4+Presion_cilindro!$B$34))/Presion_cilindro!$B$35)^(Presion_cilindro!$B$17+1)),0)-IF(Presion_cilindro!N227&gt;(-H$4+Presion_cilindro!$B$34),1-EXP(-Presion_cilindro!$B$16*((Presion_cilindro!N227-(-H$4+Presion_cilindro!$B$34))/Presion_cilindro!$B$35)^(Presion_cilindro!$B$17+1)),0))/((Presion_cilindro!O227+Presion_cilindro!O228)/2)</f>
        <v>2.1605884663328787</v>
      </c>
      <c r="I236" s="27">
        <f>I235*(Presion_cilindro!O227/Presion_cilindro!O228)^Presion_cilindro!$B$9+10*(Presion_cilindro!$B$9-1)*Presion_cilindro!$B$33*(IF(Presion_cilindro!N228&gt;(-I$4+Presion_cilindro!$B$34),1-EXP(-Presion_cilindro!$B$16*((Presion_cilindro!N228-(-I$4+Presion_cilindro!$B$34))/Presion_cilindro!$B$35)^(Presion_cilindro!$B$17+1)),0)-IF(Presion_cilindro!N227&gt;(-I$4+Presion_cilindro!$B$34),1-EXP(-Presion_cilindro!$B$16*((Presion_cilindro!N227-(-I$4+Presion_cilindro!$B$34))/Presion_cilindro!$B$35)^(Presion_cilindro!$B$17+1)),0))/((Presion_cilindro!O227+Presion_cilindro!O228)/2)</f>
        <v>2.1605884663328787</v>
      </c>
      <c r="J236" s="27">
        <f>J235*(Presion_cilindro!O227/Presion_cilindro!O228)^Presion_cilindro!$B$9+10*(Presion_cilindro!$B$9-1)*Presion_cilindro!$B$33*(IF(Presion_cilindro!N228&gt;(-J$4+Presion_cilindro!$B$34),1-EXP(-Presion_cilindro!$B$16*((Presion_cilindro!N228-(-J$4+Presion_cilindro!$B$34))/Presion_cilindro!$B$35)^(Presion_cilindro!$B$17+1)),0)-IF(Presion_cilindro!N227&gt;(-J$4+Presion_cilindro!$B$34),1-EXP(-Presion_cilindro!$B$16*((Presion_cilindro!N227-(-J$4+Presion_cilindro!$B$34))/Presion_cilindro!$B$35)^(Presion_cilindro!$B$17+1)),0))/((Presion_cilindro!O227+Presion_cilindro!O228)/2)</f>
        <v>2.1605884663328787</v>
      </c>
      <c r="K236" s="27">
        <f>K235*(Presion_cilindro!O227/Presion_cilindro!O228)^Presion_cilindro!$B$9+10*(Presion_cilindro!$B$9-1)*Presion_cilindro!$B$33*(IF(Presion_cilindro!N228&gt;(-K$4+Presion_cilindro!$B$34),1-EXP(-Presion_cilindro!$B$16*((Presion_cilindro!N228-(-K$4+Presion_cilindro!$B$34))/Presion_cilindro!$B$35)^(Presion_cilindro!$B$17+1)),0)-IF(Presion_cilindro!N227&gt;(-K$4+Presion_cilindro!$B$34),1-EXP(-Presion_cilindro!$B$16*((Presion_cilindro!N227-(-K$4+Presion_cilindro!$B$34))/Presion_cilindro!$B$35)^(Presion_cilindro!$B$17+1)),0))/((Presion_cilindro!O227+Presion_cilindro!O228)/2)</f>
        <v>2.1605884663328787</v>
      </c>
      <c r="L236" s="27">
        <f>L235*(Presion_cilindro!O227/Presion_cilindro!O228)^Presion_cilindro!$B$9+10*(Presion_cilindro!$B$9-1)*Presion_cilindro!$B$33*(IF(Presion_cilindro!N228&gt;(-L$4+Presion_cilindro!$B$34),1-EXP(-Presion_cilindro!$B$16*((Presion_cilindro!N228-(-L$4+Presion_cilindro!$B$34))/Presion_cilindro!$B$35)^(Presion_cilindro!$B$17+1)),0)-IF(Presion_cilindro!N227&gt;(-L$4+Presion_cilindro!$B$34),1-EXP(-Presion_cilindro!$B$16*((Presion_cilindro!N227-(-L$4+Presion_cilindro!$B$34))/Presion_cilindro!$B$35)^(Presion_cilindro!$B$17+1)),0))/((Presion_cilindro!O227+Presion_cilindro!O228)/2)</f>
        <v>2.1605884663328787</v>
      </c>
      <c r="M236" s="27">
        <f>M235*(Presion_cilindro!O227/Presion_cilindro!O228)^Presion_cilindro!$B$9+10*(Presion_cilindro!$B$9-1)*Presion_cilindro!$B$33*(IF(Presion_cilindro!N228&gt;(-M$4+Presion_cilindro!$B$34),1-EXP(-Presion_cilindro!$B$16*((Presion_cilindro!N228-(-M$4+Presion_cilindro!$B$34))/Presion_cilindro!$B$35)^(Presion_cilindro!$B$17+1)),0)-IF(Presion_cilindro!N227&gt;(-M$4+Presion_cilindro!$B$34),1-EXP(-Presion_cilindro!$B$16*((Presion_cilindro!N227-(-M$4+Presion_cilindro!$B$34))/Presion_cilindro!$B$35)^(Presion_cilindro!$B$17+1)),0))/((Presion_cilindro!O227+Presion_cilindro!O228)/2)</f>
        <v>2.1605884663328787</v>
      </c>
      <c r="N236" s="27">
        <f>N235*(Presion_cilindro!O227/Presion_cilindro!O228)^Presion_cilindro!$B$9+10*(Presion_cilindro!$B$9-1)*Presion_cilindro!$B$33*(IF(Presion_cilindro!N228&gt;(-N$4+Presion_cilindro!$B$34),1-EXP(-Presion_cilindro!$B$16*((Presion_cilindro!N228-(-N$4+Presion_cilindro!$B$34))/Presion_cilindro!$B$35)^(Presion_cilindro!$B$17+1)),0)-IF(Presion_cilindro!N227&gt;(-N$4+Presion_cilindro!$B$34),1-EXP(-Presion_cilindro!$B$16*((Presion_cilindro!N227-(-N$4+Presion_cilindro!$B$34))/Presion_cilindro!$B$35)^(Presion_cilindro!$B$17+1)),0))/((Presion_cilindro!O227+Presion_cilindro!O228)/2)</f>
        <v>2.1605884663328787</v>
      </c>
    </row>
    <row r="237" spans="1:14" x14ac:dyDescent="0.25">
      <c r="A237" s="21">
        <f>Presion_cilindro!N229</f>
        <v>-67.5</v>
      </c>
      <c r="B237" s="27">
        <f>B236*(Presion_cilindro!O228/Presion_cilindro!O229)^Presion_cilindro!$B$9+10*(Presion_cilindro!$B$9-1)*Presion_cilindro!$B$33*(IF(Presion_cilindro!N229&gt;(-B$4+Presion_cilindro!$B$34),1-EXP(-Presion_cilindro!$B$16*((Presion_cilindro!N229-(-B$4+Presion_cilindro!$B$34))/Presion_cilindro!$B$35)^(Presion_cilindro!$B$17+1)),0)-IF(Presion_cilindro!N228&gt;(-B$4+Presion_cilindro!$B$34),1-EXP(-Presion_cilindro!$B$16*((Presion_cilindro!N228-(-B$4+Presion_cilindro!$B$34))/Presion_cilindro!$B$35)^(Presion_cilindro!$B$17+1)),0))/((Presion_cilindro!O228+Presion_cilindro!O229)/2)</f>
        <v>2.1874155863384428</v>
      </c>
      <c r="C237" s="27">
        <f>C236*(Presion_cilindro!O228/Presion_cilindro!O229)^Presion_cilindro!$B$9+10*(Presion_cilindro!$B$9-1)*Presion_cilindro!$B$33*(IF(Presion_cilindro!N229&gt;(-C$4+Presion_cilindro!$B$34),1-EXP(-Presion_cilindro!$B$16*((Presion_cilindro!N229-(-C$4+Presion_cilindro!$B$34))/Presion_cilindro!$B$35)^(Presion_cilindro!$B$17+1)),0)-IF(Presion_cilindro!N228&gt;(-C$4+Presion_cilindro!$B$34),1-EXP(-Presion_cilindro!$B$16*((Presion_cilindro!N228-(-C$4+Presion_cilindro!$B$34))/Presion_cilindro!$B$35)^(Presion_cilindro!$B$17+1)),0))/((Presion_cilindro!O228+Presion_cilindro!O229)/2)</f>
        <v>2.1874155863384428</v>
      </c>
      <c r="D237" s="27">
        <f>D236*(Presion_cilindro!O228/Presion_cilindro!O229)^Presion_cilindro!$B$9+10*(Presion_cilindro!$B$9-1)*Presion_cilindro!$B$33*(IF(Presion_cilindro!N229&gt;(-D$4+Presion_cilindro!$B$34),1-EXP(-Presion_cilindro!$B$16*((Presion_cilindro!N229-(-D$4+Presion_cilindro!$B$34))/Presion_cilindro!$B$35)^(Presion_cilindro!$B$17+1)),0)-IF(Presion_cilindro!N228&gt;(-D$4+Presion_cilindro!$B$34),1-EXP(-Presion_cilindro!$B$16*((Presion_cilindro!N228-(-D$4+Presion_cilindro!$B$34))/Presion_cilindro!$B$35)^(Presion_cilindro!$B$17+1)),0))/((Presion_cilindro!O228+Presion_cilindro!O229)/2)</f>
        <v>2.1874155863384428</v>
      </c>
      <c r="E237" s="27">
        <f>E236*(Presion_cilindro!O228/Presion_cilindro!O229)^Presion_cilindro!$B$9+10*(Presion_cilindro!$B$9-1)*Presion_cilindro!$B$33*(IF(Presion_cilindro!N229&gt;(-E$4+Presion_cilindro!$B$34),1-EXP(-Presion_cilindro!$B$16*((Presion_cilindro!N229-(-E$4+Presion_cilindro!$B$34))/Presion_cilindro!$B$35)^(Presion_cilindro!$B$17+1)),0)-IF(Presion_cilindro!N228&gt;(-E$4+Presion_cilindro!$B$34),1-EXP(-Presion_cilindro!$B$16*((Presion_cilindro!N228-(-E$4+Presion_cilindro!$B$34))/Presion_cilindro!$B$35)^(Presion_cilindro!$B$17+1)),0))/((Presion_cilindro!O228+Presion_cilindro!O229)/2)</f>
        <v>2.1874155863384428</v>
      </c>
      <c r="F237" s="27">
        <f>F236*(Presion_cilindro!O228/Presion_cilindro!O229)^Presion_cilindro!$B$9+10*(Presion_cilindro!$B$9-1)*Presion_cilindro!$B$33*(IF(Presion_cilindro!N229&gt;(-F$4+Presion_cilindro!$B$34),1-EXP(-Presion_cilindro!$B$16*((Presion_cilindro!N229-(-F$4+Presion_cilindro!$B$34))/Presion_cilindro!$B$35)^(Presion_cilindro!$B$17+1)),0)-IF(Presion_cilindro!N228&gt;(-F$4+Presion_cilindro!$B$34),1-EXP(-Presion_cilindro!$B$16*((Presion_cilindro!N228-(-F$4+Presion_cilindro!$B$34))/Presion_cilindro!$B$35)^(Presion_cilindro!$B$17+1)),0))/((Presion_cilindro!O228+Presion_cilindro!O229)/2)</f>
        <v>2.1874155863384428</v>
      </c>
      <c r="G237" s="27">
        <f>G236*(Presion_cilindro!O228/Presion_cilindro!O229)^Presion_cilindro!$B$9+10*(Presion_cilindro!$B$9-1)*Presion_cilindro!$B$33*(IF(Presion_cilindro!N229&gt;(-G$4+Presion_cilindro!$B$34),1-EXP(-Presion_cilindro!$B$16*((Presion_cilindro!N229-(-G$4+Presion_cilindro!$B$34))/Presion_cilindro!$B$35)^(Presion_cilindro!$B$17+1)),0)-IF(Presion_cilindro!N228&gt;(-G$4+Presion_cilindro!$B$34),1-EXP(-Presion_cilindro!$B$16*((Presion_cilindro!N228-(-G$4+Presion_cilindro!$B$34))/Presion_cilindro!$B$35)^(Presion_cilindro!$B$17+1)),0))/((Presion_cilindro!O228+Presion_cilindro!O229)/2)</f>
        <v>2.1874155863384428</v>
      </c>
      <c r="H237" s="27">
        <f>H236*(Presion_cilindro!O228/Presion_cilindro!O229)^Presion_cilindro!$B$9+10*(Presion_cilindro!$B$9-1)*Presion_cilindro!$B$33*(IF(Presion_cilindro!N229&gt;(-H$4+Presion_cilindro!$B$34),1-EXP(-Presion_cilindro!$B$16*((Presion_cilindro!N229-(-H$4+Presion_cilindro!$B$34))/Presion_cilindro!$B$35)^(Presion_cilindro!$B$17+1)),0)-IF(Presion_cilindro!N228&gt;(-H$4+Presion_cilindro!$B$34),1-EXP(-Presion_cilindro!$B$16*((Presion_cilindro!N228-(-H$4+Presion_cilindro!$B$34))/Presion_cilindro!$B$35)^(Presion_cilindro!$B$17+1)),0))/((Presion_cilindro!O228+Presion_cilindro!O229)/2)</f>
        <v>2.1874155863384428</v>
      </c>
      <c r="I237" s="27">
        <f>I236*(Presion_cilindro!O228/Presion_cilindro!O229)^Presion_cilindro!$B$9+10*(Presion_cilindro!$B$9-1)*Presion_cilindro!$B$33*(IF(Presion_cilindro!N229&gt;(-I$4+Presion_cilindro!$B$34),1-EXP(-Presion_cilindro!$B$16*((Presion_cilindro!N229-(-I$4+Presion_cilindro!$B$34))/Presion_cilindro!$B$35)^(Presion_cilindro!$B$17+1)),0)-IF(Presion_cilindro!N228&gt;(-I$4+Presion_cilindro!$B$34),1-EXP(-Presion_cilindro!$B$16*((Presion_cilindro!N228-(-I$4+Presion_cilindro!$B$34))/Presion_cilindro!$B$35)^(Presion_cilindro!$B$17+1)),0))/((Presion_cilindro!O228+Presion_cilindro!O229)/2)</f>
        <v>2.1874155863384428</v>
      </c>
      <c r="J237" s="27">
        <f>J236*(Presion_cilindro!O228/Presion_cilindro!O229)^Presion_cilindro!$B$9+10*(Presion_cilindro!$B$9-1)*Presion_cilindro!$B$33*(IF(Presion_cilindro!N229&gt;(-J$4+Presion_cilindro!$B$34),1-EXP(-Presion_cilindro!$B$16*((Presion_cilindro!N229-(-J$4+Presion_cilindro!$B$34))/Presion_cilindro!$B$35)^(Presion_cilindro!$B$17+1)),0)-IF(Presion_cilindro!N228&gt;(-J$4+Presion_cilindro!$B$34),1-EXP(-Presion_cilindro!$B$16*((Presion_cilindro!N228-(-J$4+Presion_cilindro!$B$34))/Presion_cilindro!$B$35)^(Presion_cilindro!$B$17+1)),0))/((Presion_cilindro!O228+Presion_cilindro!O229)/2)</f>
        <v>2.1874155863384428</v>
      </c>
      <c r="K237" s="27">
        <f>K236*(Presion_cilindro!O228/Presion_cilindro!O229)^Presion_cilindro!$B$9+10*(Presion_cilindro!$B$9-1)*Presion_cilindro!$B$33*(IF(Presion_cilindro!N229&gt;(-K$4+Presion_cilindro!$B$34),1-EXP(-Presion_cilindro!$B$16*((Presion_cilindro!N229-(-K$4+Presion_cilindro!$B$34))/Presion_cilindro!$B$35)^(Presion_cilindro!$B$17+1)),0)-IF(Presion_cilindro!N228&gt;(-K$4+Presion_cilindro!$B$34),1-EXP(-Presion_cilindro!$B$16*((Presion_cilindro!N228-(-K$4+Presion_cilindro!$B$34))/Presion_cilindro!$B$35)^(Presion_cilindro!$B$17+1)),0))/((Presion_cilindro!O228+Presion_cilindro!O229)/2)</f>
        <v>2.1874155863384428</v>
      </c>
      <c r="L237" s="27">
        <f>L236*(Presion_cilindro!O228/Presion_cilindro!O229)^Presion_cilindro!$B$9+10*(Presion_cilindro!$B$9-1)*Presion_cilindro!$B$33*(IF(Presion_cilindro!N229&gt;(-L$4+Presion_cilindro!$B$34),1-EXP(-Presion_cilindro!$B$16*((Presion_cilindro!N229-(-L$4+Presion_cilindro!$B$34))/Presion_cilindro!$B$35)^(Presion_cilindro!$B$17+1)),0)-IF(Presion_cilindro!N228&gt;(-L$4+Presion_cilindro!$B$34),1-EXP(-Presion_cilindro!$B$16*((Presion_cilindro!N228-(-L$4+Presion_cilindro!$B$34))/Presion_cilindro!$B$35)^(Presion_cilindro!$B$17+1)),0))/((Presion_cilindro!O228+Presion_cilindro!O229)/2)</f>
        <v>2.1874155863384428</v>
      </c>
      <c r="M237" s="27">
        <f>M236*(Presion_cilindro!O228/Presion_cilindro!O229)^Presion_cilindro!$B$9+10*(Presion_cilindro!$B$9-1)*Presion_cilindro!$B$33*(IF(Presion_cilindro!N229&gt;(-M$4+Presion_cilindro!$B$34),1-EXP(-Presion_cilindro!$B$16*((Presion_cilindro!N229-(-M$4+Presion_cilindro!$B$34))/Presion_cilindro!$B$35)^(Presion_cilindro!$B$17+1)),0)-IF(Presion_cilindro!N228&gt;(-M$4+Presion_cilindro!$B$34),1-EXP(-Presion_cilindro!$B$16*((Presion_cilindro!N228-(-M$4+Presion_cilindro!$B$34))/Presion_cilindro!$B$35)^(Presion_cilindro!$B$17+1)),0))/((Presion_cilindro!O228+Presion_cilindro!O229)/2)</f>
        <v>2.1874155863384428</v>
      </c>
      <c r="N237" s="27">
        <f>N236*(Presion_cilindro!O228/Presion_cilindro!O229)^Presion_cilindro!$B$9+10*(Presion_cilindro!$B$9-1)*Presion_cilindro!$B$33*(IF(Presion_cilindro!N229&gt;(-N$4+Presion_cilindro!$B$34),1-EXP(-Presion_cilindro!$B$16*((Presion_cilindro!N229-(-N$4+Presion_cilindro!$B$34))/Presion_cilindro!$B$35)^(Presion_cilindro!$B$17+1)),0)-IF(Presion_cilindro!N228&gt;(-N$4+Presion_cilindro!$B$34),1-EXP(-Presion_cilindro!$B$16*((Presion_cilindro!N228-(-N$4+Presion_cilindro!$B$34))/Presion_cilindro!$B$35)^(Presion_cilindro!$B$17+1)),0))/((Presion_cilindro!O228+Presion_cilindro!O229)/2)</f>
        <v>2.1874155863384428</v>
      </c>
    </row>
    <row r="238" spans="1:14" x14ac:dyDescent="0.25">
      <c r="A238" s="21">
        <f>Presion_cilindro!N230</f>
        <v>-67</v>
      </c>
      <c r="B238" s="27">
        <f>B237*(Presion_cilindro!O229/Presion_cilindro!O230)^Presion_cilindro!$B$9+10*(Presion_cilindro!$B$9-1)*Presion_cilindro!$B$33*(IF(Presion_cilindro!N230&gt;(-B$4+Presion_cilindro!$B$34),1-EXP(-Presion_cilindro!$B$16*((Presion_cilindro!N230-(-B$4+Presion_cilindro!$B$34))/Presion_cilindro!$B$35)^(Presion_cilindro!$B$17+1)),0)-IF(Presion_cilindro!N229&gt;(-B$4+Presion_cilindro!$B$34),1-EXP(-Presion_cilindro!$B$16*((Presion_cilindro!N229-(-B$4+Presion_cilindro!$B$34))/Presion_cilindro!$B$35)^(Presion_cilindro!$B$17+1)),0))/((Presion_cilindro!O229+Presion_cilindro!O230)/2)</f>
        <v>2.214790290368891</v>
      </c>
      <c r="C238" s="27">
        <f>C237*(Presion_cilindro!O229/Presion_cilindro!O230)^Presion_cilindro!$B$9+10*(Presion_cilindro!$B$9-1)*Presion_cilindro!$B$33*(IF(Presion_cilindro!N230&gt;(-C$4+Presion_cilindro!$B$34),1-EXP(-Presion_cilindro!$B$16*((Presion_cilindro!N230-(-C$4+Presion_cilindro!$B$34))/Presion_cilindro!$B$35)^(Presion_cilindro!$B$17+1)),0)-IF(Presion_cilindro!N229&gt;(-C$4+Presion_cilindro!$B$34),1-EXP(-Presion_cilindro!$B$16*((Presion_cilindro!N229-(-C$4+Presion_cilindro!$B$34))/Presion_cilindro!$B$35)^(Presion_cilindro!$B$17+1)),0))/((Presion_cilindro!O229+Presion_cilindro!O230)/2)</f>
        <v>2.214790290368891</v>
      </c>
      <c r="D238" s="27">
        <f>D237*(Presion_cilindro!O229/Presion_cilindro!O230)^Presion_cilindro!$B$9+10*(Presion_cilindro!$B$9-1)*Presion_cilindro!$B$33*(IF(Presion_cilindro!N230&gt;(-D$4+Presion_cilindro!$B$34),1-EXP(-Presion_cilindro!$B$16*((Presion_cilindro!N230-(-D$4+Presion_cilindro!$B$34))/Presion_cilindro!$B$35)^(Presion_cilindro!$B$17+1)),0)-IF(Presion_cilindro!N229&gt;(-D$4+Presion_cilindro!$B$34),1-EXP(-Presion_cilindro!$B$16*((Presion_cilindro!N229-(-D$4+Presion_cilindro!$B$34))/Presion_cilindro!$B$35)^(Presion_cilindro!$B$17+1)),0))/((Presion_cilindro!O229+Presion_cilindro!O230)/2)</f>
        <v>2.214790290368891</v>
      </c>
      <c r="E238" s="27">
        <f>E237*(Presion_cilindro!O229/Presion_cilindro!O230)^Presion_cilindro!$B$9+10*(Presion_cilindro!$B$9-1)*Presion_cilindro!$B$33*(IF(Presion_cilindro!N230&gt;(-E$4+Presion_cilindro!$B$34),1-EXP(-Presion_cilindro!$B$16*((Presion_cilindro!N230-(-E$4+Presion_cilindro!$B$34))/Presion_cilindro!$B$35)^(Presion_cilindro!$B$17+1)),0)-IF(Presion_cilindro!N229&gt;(-E$4+Presion_cilindro!$B$34),1-EXP(-Presion_cilindro!$B$16*((Presion_cilindro!N229-(-E$4+Presion_cilindro!$B$34))/Presion_cilindro!$B$35)^(Presion_cilindro!$B$17+1)),0))/((Presion_cilindro!O229+Presion_cilindro!O230)/2)</f>
        <v>2.214790290368891</v>
      </c>
      <c r="F238" s="27">
        <f>F237*(Presion_cilindro!O229/Presion_cilindro!O230)^Presion_cilindro!$B$9+10*(Presion_cilindro!$B$9-1)*Presion_cilindro!$B$33*(IF(Presion_cilindro!N230&gt;(-F$4+Presion_cilindro!$B$34),1-EXP(-Presion_cilindro!$B$16*((Presion_cilindro!N230-(-F$4+Presion_cilindro!$B$34))/Presion_cilindro!$B$35)^(Presion_cilindro!$B$17+1)),0)-IF(Presion_cilindro!N229&gt;(-F$4+Presion_cilindro!$B$34),1-EXP(-Presion_cilindro!$B$16*((Presion_cilindro!N229-(-F$4+Presion_cilindro!$B$34))/Presion_cilindro!$B$35)^(Presion_cilindro!$B$17+1)),0))/((Presion_cilindro!O229+Presion_cilindro!O230)/2)</f>
        <v>2.214790290368891</v>
      </c>
      <c r="G238" s="27">
        <f>G237*(Presion_cilindro!O229/Presion_cilindro!O230)^Presion_cilindro!$B$9+10*(Presion_cilindro!$B$9-1)*Presion_cilindro!$B$33*(IF(Presion_cilindro!N230&gt;(-G$4+Presion_cilindro!$B$34),1-EXP(-Presion_cilindro!$B$16*((Presion_cilindro!N230-(-G$4+Presion_cilindro!$B$34))/Presion_cilindro!$B$35)^(Presion_cilindro!$B$17+1)),0)-IF(Presion_cilindro!N229&gt;(-G$4+Presion_cilindro!$B$34),1-EXP(-Presion_cilindro!$B$16*((Presion_cilindro!N229-(-G$4+Presion_cilindro!$B$34))/Presion_cilindro!$B$35)^(Presion_cilindro!$B$17+1)),0))/((Presion_cilindro!O229+Presion_cilindro!O230)/2)</f>
        <v>2.214790290368891</v>
      </c>
      <c r="H238" s="27">
        <f>H237*(Presion_cilindro!O229/Presion_cilindro!O230)^Presion_cilindro!$B$9+10*(Presion_cilindro!$B$9-1)*Presion_cilindro!$B$33*(IF(Presion_cilindro!N230&gt;(-H$4+Presion_cilindro!$B$34),1-EXP(-Presion_cilindro!$B$16*((Presion_cilindro!N230-(-H$4+Presion_cilindro!$B$34))/Presion_cilindro!$B$35)^(Presion_cilindro!$B$17+1)),0)-IF(Presion_cilindro!N229&gt;(-H$4+Presion_cilindro!$B$34),1-EXP(-Presion_cilindro!$B$16*((Presion_cilindro!N229-(-H$4+Presion_cilindro!$B$34))/Presion_cilindro!$B$35)^(Presion_cilindro!$B$17+1)),0))/((Presion_cilindro!O229+Presion_cilindro!O230)/2)</f>
        <v>2.214790290368891</v>
      </c>
      <c r="I238" s="27">
        <f>I237*(Presion_cilindro!O229/Presion_cilindro!O230)^Presion_cilindro!$B$9+10*(Presion_cilindro!$B$9-1)*Presion_cilindro!$B$33*(IF(Presion_cilindro!N230&gt;(-I$4+Presion_cilindro!$B$34),1-EXP(-Presion_cilindro!$B$16*((Presion_cilindro!N230-(-I$4+Presion_cilindro!$B$34))/Presion_cilindro!$B$35)^(Presion_cilindro!$B$17+1)),0)-IF(Presion_cilindro!N229&gt;(-I$4+Presion_cilindro!$B$34),1-EXP(-Presion_cilindro!$B$16*((Presion_cilindro!N229-(-I$4+Presion_cilindro!$B$34))/Presion_cilindro!$B$35)^(Presion_cilindro!$B$17+1)),0))/((Presion_cilindro!O229+Presion_cilindro!O230)/2)</f>
        <v>2.214790290368891</v>
      </c>
      <c r="J238" s="27">
        <f>J237*(Presion_cilindro!O229/Presion_cilindro!O230)^Presion_cilindro!$B$9+10*(Presion_cilindro!$B$9-1)*Presion_cilindro!$B$33*(IF(Presion_cilindro!N230&gt;(-J$4+Presion_cilindro!$B$34),1-EXP(-Presion_cilindro!$B$16*((Presion_cilindro!N230-(-J$4+Presion_cilindro!$B$34))/Presion_cilindro!$B$35)^(Presion_cilindro!$B$17+1)),0)-IF(Presion_cilindro!N229&gt;(-J$4+Presion_cilindro!$B$34),1-EXP(-Presion_cilindro!$B$16*((Presion_cilindro!N229-(-J$4+Presion_cilindro!$B$34))/Presion_cilindro!$B$35)^(Presion_cilindro!$B$17+1)),0))/((Presion_cilindro!O229+Presion_cilindro!O230)/2)</f>
        <v>2.214790290368891</v>
      </c>
      <c r="K238" s="27">
        <f>K237*(Presion_cilindro!O229/Presion_cilindro!O230)^Presion_cilindro!$B$9+10*(Presion_cilindro!$B$9-1)*Presion_cilindro!$B$33*(IF(Presion_cilindro!N230&gt;(-K$4+Presion_cilindro!$B$34),1-EXP(-Presion_cilindro!$B$16*((Presion_cilindro!N230-(-K$4+Presion_cilindro!$B$34))/Presion_cilindro!$B$35)^(Presion_cilindro!$B$17+1)),0)-IF(Presion_cilindro!N229&gt;(-K$4+Presion_cilindro!$B$34),1-EXP(-Presion_cilindro!$B$16*((Presion_cilindro!N229-(-K$4+Presion_cilindro!$B$34))/Presion_cilindro!$B$35)^(Presion_cilindro!$B$17+1)),0))/((Presion_cilindro!O229+Presion_cilindro!O230)/2)</f>
        <v>2.214790290368891</v>
      </c>
      <c r="L238" s="27">
        <f>L237*(Presion_cilindro!O229/Presion_cilindro!O230)^Presion_cilindro!$B$9+10*(Presion_cilindro!$B$9-1)*Presion_cilindro!$B$33*(IF(Presion_cilindro!N230&gt;(-L$4+Presion_cilindro!$B$34),1-EXP(-Presion_cilindro!$B$16*((Presion_cilindro!N230-(-L$4+Presion_cilindro!$B$34))/Presion_cilindro!$B$35)^(Presion_cilindro!$B$17+1)),0)-IF(Presion_cilindro!N229&gt;(-L$4+Presion_cilindro!$B$34),1-EXP(-Presion_cilindro!$B$16*((Presion_cilindro!N229-(-L$4+Presion_cilindro!$B$34))/Presion_cilindro!$B$35)^(Presion_cilindro!$B$17+1)),0))/((Presion_cilindro!O229+Presion_cilindro!O230)/2)</f>
        <v>2.214790290368891</v>
      </c>
      <c r="M238" s="27">
        <f>M237*(Presion_cilindro!O229/Presion_cilindro!O230)^Presion_cilindro!$B$9+10*(Presion_cilindro!$B$9-1)*Presion_cilindro!$B$33*(IF(Presion_cilindro!N230&gt;(-M$4+Presion_cilindro!$B$34),1-EXP(-Presion_cilindro!$B$16*((Presion_cilindro!N230-(-M$4+Presion_cilindro!$B$34))/Presion_cilindro!$B$35)^(Presion_cilindro!$B$17+1)),0)-IF(Presion_cilindro!N229&gt;(-M$4+Presion_cilindro!$B$34),1-EXP(-Presion_cilindro!$B$16*((Presion_cilindro!N229-(-M$4+Presion_cilindro!$B$34))/Presion_cilindro!$B$35)^(Presion_cilindro!$B$17+1)),0))/((Presion_cilindro!O229+Presion_cilindro!O230)/2)</f>
        <v>2.214790290368891</v>
      </c>
      <c r="N238" s="27">
        <f>N237*(Presion_cilindro!O229/Presion_cilindro!O230)^Presion_cilindro!$B$9+10*(Presion_cilindro!$B$9-1)*Presion_cilindro!$B$33*(IF(Presion_cilindro!N230&gt;(-N$4+Presion_cilindro!$B$34),1-EXP(-Presion_cilindro!$B$16*((Presion_cilindro!N230-(-N$4+Presion_cilindro!$B$34))/Presion_cilindro!$B$35)^(Presion_cilindro!$B$17+1)),0)-IF(Presion_cilindro!N229&gt;(-N$4+Presion_cilindro!$B$34),1-EXP(-Presion_cilindro!$B$16*((Presion_cilindro!N229-(-N$4+Presion_cilindro!$B$34))/Presion_cilindro!$B$35)^(Presion_cilindro!$B$17+1)),0))/((Presion_cilindro!O229+Presion_cilindro!O230)/2)</f>
        <v>2.214790290368891</v>
      </c>
    </row>
    <row r="239" spans="1:14" x14ac:dyDescent="0.25">
      <c r="A239" s="21">
        <f>Presion_cilindro!N231</f>
        <v>-66.5</v>
      </c>
      <c r="B239" s="27">
        <f>B238*(Presion_cilindro!O230/Presion_cilindro!O231)^Presion_cilindro!$B$9+10*(Presion_cilindro!$B$9-1)*Presion_cilindro!$B$33*(IF(Presion_cilindro!N231&gt;(-B$4+Presion_cilindro!$B$34),1-EXP(-Presion_cilindro!$B$16*((Presion_cilindro!N231-(-B$4+Presion_cilindro!$B$34))/Presion_cilindro!$B$35)^(Presion_cilindro!$B$17+1)),0)-IF(Presion_cilindro!N230&gt;(-B$4+Presion_cilindro!$B$34),1-EXP(-Presion_cilindro!$B$16*((Presion_cilindro!N230-(-B$4+Presion_cilindro!$B$34))/Presion_cilindro!$B$35)^(Presion_cilindro!$B$17+1)),0))/((Presion_cilindro!O230+Presion_cilindro!O231)/2)</f>
        <v>2.242725614250952</v>
      </c>
      <c r="C239" s="27">
        <f>C238*(Presion_cilindro!O230/Presion_cilindro!O231)^Presion_cilindro!$B$9+10*(Presion_cilindro!$B$9-1)*Presion_cilindro!$B$33*(IF(Presion_cilindro!N231&gt;(-C$4+Presion_cilindro!$B$34),1-EXP(-Presion_cilindro!$B$16*((Presion_cilindro!N231-(-C$4+Presion_cilindro!$B$34))/Presion_cilindro!$B$35)^(Presion_cilindro!$B$17+1)),0)-IF(Presion_cilindro!N230&gt;(-C$4+Presion_cilindro!$B$34),1-EXP(-Presion_cilindro!$B$16*((Presion_cilindro!N230-(-C$4+Presion_cilindro!$B$34))/Presion_cilindro!$B$35)^(Presion_cilindro!$B$17+1)),0))/((Presion_cilindro!O230+Presion_cilindro!O231)/2)</f>
        <v>2.242725614250952</v>
      </c>
      <c r="D239" s="27">
        <f>D238*(Presion_cilindro!O230/Presion_cilindro!O231)^Presion_cilindro!$B$9+10*(Presion_cilindro!$B$9-1)*Presion_cilindro!$B$33*(IF(Presion_cilindro!N231&gt;(-D$4+Presion_cilindro!$B$34),1-EXP(-Presion_cilindro!$B$16*((Presion_cilindro!N231-(-D$4+Presion_cilindro!$B$34))/Presion_cilindro!$B$35)^(Presion_cilindro!$B$17+1)),0)-IF(Presion_cilindro!N230&gt;(-D$4+Presion_cilindro!$B$34),1-EXP(-Presion_cilindro!$B$16*((Presion_cilindro!N230-(-D$4+Presion_cilindro!$B$34))/Presion_cilindro!$B$35)^(Presion_cilindro!$B$17+1)),0))/((Presion_cilindro!O230+Presion_cilindro!O231)/2)</f>
        <v>2.242725614250952</v>
      </c>
      <c r="E239" s="27">
        <f>E238*(Presion_cilindro!O230/Presion_cilindro!O231)^Presion_cilindro!$B$9+10*(Presion_cilindro!$B$9-1)*Presion_cilindro!$B$33*(IF(Presion_cilindro!N231&gt;(-E$4+Presion_cilindro!$B$34),1-EXP(-Presion_cilindro!$B$16*((Presion_cilindro!N231-(-E$4+Presion_cilindro!$B$34))/Presion_cilindro!$B$35)^(Presion_cilindro!$B$17+1)),0)-IF(Presion_cilindro!N230&gt;(-E$4+Presion_cilindro!$B$34),1-EXP(-Presion_cilindro!$B$16*((Presion_cilindro!N230-(-E$4+Presion_cilindro!$B$34))/Presion_cilindro!$B$35)^(Presion_cilindro!$B$17+1)),0))/((Presion_cilindro!O230+Presion_cilindro!O231)/2)</f>
        <v>2.242725614250952</v>
      </c>
      <c r="F239" s="27">
        <f>F238*(Presion_cilindro!O230/Presion_cilindro!O231)^Presion_cilindro!$B$9+10*(Presion_cilindro!$B$9-1)*Presion_cilindro!$B$33*(IF(Presion_cilindro!N231&gt;(-F$4+Presion_cilindro!$B$34),1-EXP(-Presion_cilindro!$B$16*((Presion_cilindro!N231-(-F$4+Presion_cilindro!$B$34))/Presion_cilindro!$B$35)^(Presion_cilindro!$B$17+1)),0)-IF(Presion_cilindro!N230&gt;(-F$4+Presion_cilindro!$B$34),1-EXP(-Presion_cilindro!$B$16*((Presion_cilindro!N230-(-F$4+Presion_cilindro!$B$34))/Presion_cilindro!$B$35)^(Presion_cilindro!$B$17+1)),0))/((Presion_cilindro!O230+Presion_cilindro!O231)/2)</f>
        <v>2.242725614250952</v>
      </c>
      <c r="G239" s="27">
        <f>G238*(Presion_cilindro!O230/Presion_cilindro!O231)^Presion_cilindro!$B$9+10*(Presion_cilindro!$B$9-1)*Presion_cilindro!$B$33*(IF(Presion_cilindro!N231&gt;(-G$4+Presion_cilindro!$B$34),1-EXP(-Presion_cilindro!$B$16*((Presion_cilindro!N231-(-G$4+Presion_cilindro!$B$34))/Presion_cilindro!$B$35)^(Presion_cilindro!$B$17+1)),0)-IF(Presion_cilindro!N230&gt;(-G$4+Presion_cilindro!$B$34),1-EXP(-Presion_cilindro!$B$16*((Presion_cilindro!N230-(-G$4+Presion_cilindro!$B$34))/Presion_cilindro!$B$35)^(Presion_cilindro!$B$17+1)),0))/((Presion_cilindro!O230+Presion_cilindro!O231)/2)</f>
        <v>2.242725614250952</v>
      </c>
      <c r="H239" s="27">
        <f>H238*(Presion_cilindro!O230/Presion_cilindro!O231)^Presion_cilindro!$B$9+10*(Presion_cilindro!$B$9-1)*Presion_cilindro!$B$33*(IF(Presion_cilindro!N231&gt;(-H$4+Presion_cilindro!$B$34),1-EXP(-Presion_cilindro!$B$16*((Presion_cilindro!N231-(-H$4+Presion_cilindro!$B$34))/Presion_cilindro!$B$35)^(Presion_cilindro!$B$17+1)),0)-IF(Presion_cilindro!N230&gt;(-H$4+Presion_cilindro!$B$34),1-EXP(-Presion_cilindro!$B$16*((Presion_cilindro!N230-(-H$4+Presion_cilindro!$B$34))/Presion_cilindro!$B$35)^(Presion_cilindro!$B$17+1)),0))/((Presion_cilindro!O230+Presion_cilindro!O231)/2)</f>
        <v>2.242725614250952</v>
      </c>
      <c r="I239" s="27">
        <f>I238*(Presion_cilindro!O230/Presion_cilindro!O231)^Presion_cilindro!$B$9+10*(Presion_cilindro!$B$9-1)*Presion_cilindro!$B$33*(IF(Presion_cilindro!N231&gt;(-I$4+Presion_cilindro!$B$34),1-EXP(-Presion_cilindro!$B$16*((Presion_cilindro!N231-(-I$4+Presion_cilindro!$B$34))/Presion_cilindro!$B$35)^(Presion_cilindro!$B$17+1)),0)-IF(Presion_cilindro!N230&gt;(-I$4+Presion_cilindro!$B$34),1-EXP(-Presion_cilindro!$B$16*((Presion_cilindro!N230-(-I$4+Presion_cilindro!$B$34))/Presion_cilindro!$B$35)^(Presion_cilindro!$B$17+1)),0))/((Presion_cilindro!O230+Presion_cilindro!O231)/2)</f>
        <v>2.242725614250952</v>
      </c>
      <c r="J239" s="27">
        <f>J238*(Presion_cilindro!O230/Presion_cilindro!O231)^Presion_cilindro!$B$9+10*(Presion_cilindro!$B$9-1)*Presion_cilindro!$B$33*(IF(Presion_cilindro!N231&gt;(-J$4+Presion_cilindro!$B$34),1-EXP(-Presion_cilindro!$B$16*((Presion_cilindro!N231-(-J$4+Presion_cilindro!$B$34))/Presion_cilindro!$B$35)^(Presion_cilindro!$B$17+1)),0)-IF(Presion_cilindro!N230&gt;(-J$4+Presion_cilindro!$B$34),1-EXP(-Presion_cilindro!$B$16*((Presion_cilindro!N230-(-J$4+Presion_cilindro!$B$34))/Presion_cilindro!$B$35)^(Presion_cilindro!$B$17+1)),0))/((Presion_cilindro!O230+Presion_cilindro!O231)/2)</f>
        <v>2.242725614250952</v>
      </c>
      <c r="K239" s="27">
        <f>K238*(Presion_cilindro!O230/Presion_cilindro!O231)^Presion_cilindro!$B$9+10*(Presion_cilindro!$B$9-1)*Presion_cilindro!$B$33*(IF(Presion_cilindro!N231&gt;(-K$4+Presion_cilindro!$B$34),1-EXP(-Presion_cilindro!$B$16*((Presion_cilindro!N231-(-K$4+Presion_cilindro!$B$34))/Presion_cilindro!$B$35)^(Presion_cilindro!$B$17+1)),0)-IF(Presion_cilindro!N230&gt;(-K$4+Presion_cilindro!$B$34),1-EXP(-Presion_cilindro!$B$16*((Presion_cilindro!N230-(-K$4+Presion_cilindro!$B$34))/Presion_cilindro!$B$35)^(Presion_cilindro!$B$17+1)),0))/((Presion_cilindro!O230+Presion_cilindro!O231)/2)</f>
        <v>2.242725614250952</v>
      </c>
      <c r="L239" s="27">
        <f>L238*(Presion_cilindro!O230/Presion_cilindro!O231)^Presion_cilindro!$B$9+10*(Presion_cilindro!$B$9-1)*Presion_cilindro!$B$33*(IF(Presion_cilindro!N231&gt;(-L$4+Presion_cilindro!$B$34),1-EXP(-Presion_cilindro!$B$16*((Presion_cilindro!N231-(-L$4+Presion_cilindro!$B$34))/Presion_cilindro!$B$35)^(Presion_cilindro!$B$17+1)),0)-IF(Presion_cilindro!N230&gt;(-L$4+Presion_cilindro!$B$34),1-EXP(-Presion_cilindro!$B$16*((Presion_cilindro!N230-(-L$4+Presion_cilindro!$B$34))/Presion_cilindro!$B$35)^(Presion_cilindro!$B$17+1)),0))/((Presion_cilindro!O230+Presion_cilindro!O231)/2)</f>
        <v>2.242725614250952</v>
      </c>
      <c r="M239" s="27">
        <f>M238*(Presion_cilindro!O230/Presion_cilindro!O231)^Presion_cilindro!$B$9+10*(Presion_cilindro!$B$9-1)*Presion_cilindro!$B$33*(IF(Presion_cilindro!N231&gt;(-M$4+Presion_cilindro!$B$34),1-EXP(-Presion_cilindro!$B$16*((Presion_cilindro!N231-(-M$4+Presion_cilindro!$B$34))/Presion_cilindro!$B$35)^(Presion_cilindro!$B$17+1)),0)-IF(Presion_cilindro!N230&gt;(-M$4+Presion_cilindro!$B$34),1-EXP(-Presion_cilindro!$B$16*((Presion_cilindro!N230-(-M$4+Presion_cilindro!$B$34))/Presion_cilindro!$B$35)^(Presion_cilindro!$B$17+1)),0))/((Presion_cilindro!O230+Presion_cilindro!O231)/2)</f>
        <v>2.242725614250952</v>
      </c>
      <c r="N239" s="27">
        <f>N238*(Presion_cilindro!O230/Presion_cilindro!O231)^Presion_cilindro!$B$9+10*(Presion_cilindro!$B$9-1)*Presion_cilindro!$B$33*(IF(Presion_cilindro!N231&gt;(-N$4+Presion_cilindro!$B$34),1-EXP(-Presion_cilindro!$B$16*((Presion_cilindro!N231-(-N$4+Presion_cilindro!$B$34))/Presion_cilindro!$B$35)^(Presion_cilindro!$B$17+1)),0)-IF(Presion_cilindro!N230&gt;(-N$4+Presion_cilindro!$B$34),1-EXP(-Presion_cilindro!$B$16*((Presion_cilindro!N230-(-N$4+Presion_cilindro!$B$34))/Presion_cilindro!$B$35)^(Presion_cilindro!$B$17+1)),0))/((Presion_cilindro!O230+Presion_cilindro!O231)/2)</f>
        <v>2.242725614250952</v>
      </c>
    </row>
    <row r="240" spans="1:14" x14ac:dyDescent="0.25">
      <c r="A240" s="21">
        <f>Presion_cilindro!N232</f>
        <v>-66</v>
      </c>
      <c r="B240" s="27">
        <f>B239*(Presion_cilindro!O231/Presion_cilindro!O232)^Presion_cilindro!$B$9+10*(Presion_cilindro!$B$9-1)*Presion_cilindro!$B$33*(IF(Presion_cilindro!N232&gt;(-B$4+Presion_cilindro!$B$34),1-EXP(-Presion_cilindro!$B$16*((Presion_cilindro!N232-(-B$4+Presion_cilindro!$B$34))/Presion_cilindro!$B$35)^(Presion_cilindro!$B$17+1)),0)-IF(Presion_cilindro!N231&gt;(-B$4+Presion_cilindro!$B$34),1-EXP(-Presion_cilindro!$B$16*((Presion_cilindro!N231-(-B$4+Presion_cilindro!$B$34))/Presion_cilindro!$B$35)^(Presion_cilindro!$B$17+1)),0))/((Presion_cilindro!O231+Presion_cilindro!O232)/2)</f>
        <v>2.2712349330896493</v>
      </c>
      <c r="C240" s="27">
        <f>C239*(Presion_cilindro!O231/Presion_cilindro!O232)^Presion_cilindro!$B$9+10*(Presion_cilindro!$B$9-1)*Presion_cilindro!$B$33*(IF(Presion_cilindro!N232&gt;(-C$4+Presion_cilindro!$B$34),1-EXP(-Presion_cilindro!$B$16*((Presion_cilindro!N232-(-C$4+Presion_cilindro!$B$34))/Presion_cilindro!$B$35)^(Presion_cilindro!$B$17+1)),0)-IF(Presion_cilindro!N231&gt;(-C$4+Presion_cilindro!$B$34),1-EXP(-Presion_cilindro!$B$16*((Presion_cilindro!N231-(-C$4+Presion_cilindro!$B$34))/Presion_cilindro!$B$35)^(Presion_cilindro!$B$17+1)),0))/((Presion_cilindro!O231+Presion_cilindro!O232)/2)</f>
        <v>2.2712349330896493</v>
      </c>
      <c r="D240" s="27">
        <f>D239*(Presion_cilindro!O231/Presion_cilindro!O232)^Presion_cilindro!$B$9+10*(Presion_cilindro!$B$9-1)*Presion_cilindro!$B$33*(IF(Presion_cilindro!N232&gt;(-D$4+Presion_cilindro!$B$34),1-EXP(-Presion_cilindro!$B$16*((Presion_cilindro!N232-(-D$4+Presion_cilindro!$B$34))/Presion_cilindro!$B$35)^(Presion_cilindro!$B$17+1)),0)-IF(Presion_cilindro!N231&gt;(-D$4+Presion_cilindro!$B$34),1-EXP(-Presion_cilindro!$B$16*((Presion_cilindro!N231-(-D$4+Presion_cilindro!$B$34))/Presion_cilindro!$B$35)^(Presion_cilindro!$B$17+1)),0))/((Presion_cilindro!O231+Presion_cilindro!O232)/2)</f>
        <v>2.2712349330896493</v>
      </c>
      <c r="E240" s="27">
        <f>E239*(Presion_cilindro!O231/Presion_cilindro!O232)^Presion_cilindro!$B$9+10*(Presion_cilindro!$B$9-1)*Presion_cilindro!$B$33*(IF(Presion_cilindro!N232&gt;(-E$4+Presion_cilindro!$B$34),1-EXP(-Presion_cilindro!$B$16*((Presion_cilindro!N232-(-E$4+Presion_cilindro!$B$34))/Presion_cilindro!$B$35)^(Presion_cilindro!$B$17+1)),0)-IF(Presion_cilindro!N231&gt;(-E$4+Presion_cilindro!$B$34),1-EXP(-Presion_cilindro!$B$16*((Presion_cilindro!N231-(-E$4+Presion_cilindro!$B$34))/Presion_cilindro!$B$35)^(Presion_cilindro!$B$17+1)),0))/((Presion_cilindro!O231+Presion_cilindro!O232)/2)</f>
        <v>2.2712349330896493</v>
      </c>
      <c r="F240" s="27">
        <f>F239*(Presion_cilindro!O231/Presion_cilindro!O232)^Presion_cilindro!$B$9+10*(Presion_cilindro!$B$9-1)*Presion_cilindro!$B$33*(IF(Presion_cilindro!N232&gt;(-F$4+Presion_cilindro!$B$34),1-EXP(-Presion_cilindro!$B$16*((Presion_cilindro!N232-(-F$4+Presion_cilindro!$B$34))/Presion_cilindro!$B$35)^(Presion_cilindro!$B$17+1)),0)-IF(Presion_cilindro!N231&gt;(-F$4+Presion_cilindro!$B$34),1-EXP(-Presion_cilindro!$B$16*((Presion_cilindro!N231-(-F$4+Presion_cilindro!$B$34))/Presion_cilindro!$B$35)^(Presion_cilindro!$B$17+1)),0))/((Presion_cilindro!O231+Presion_cilindro!O232)/2)</f>
        <v>2.2712349330896493</v>
      </c>
      <c r="G240" s="27">
        <f>G239*(Presion_cilindro!O231/Presion_cilindro!O232)^Presion_cilindro!$B$9+10*(Presion_cilindro!$B$9-1)*Presion_cilindro!$B$33*(IF(Presion_cilindro!N232&gt;(-G$4+Presion_cilindro!$B$34),1-EXP(-Presion_cilindro!$B$16*((Presion_cilindro!N232-(-G$4+Presion_cilindro!$B$34))/Presion_cilindro!$B$35)^(Presion_cilindro!$B$17+1)),0)-IF(Presion_cilindro!N231&gt;(-G$4+Presion_cilindro!$B$34),1-EXP(-Presion_cilindro!$B$16*((Presion_cilindro!N231-(-G$4+Presion_cilindro!$B$34))/Presion_cilindro!$B$35)^(Presion_cilindro!$B$17+1)),0))/((Presion_cilindro!O231+Presion_cilindro!O232)/2)</f>
        <v>2.2712349330896493</v>
      </c>
      <c r="H240" s="27">
        <f>H239*(Presion_cilindro!O231/Presion_cilindro!O232)^Presion_cilindro!$B$9+10*(Presion_cilindro!$B$9-1)*Presion_cilindro!$B$33*(IF(Presion_cilindro!N232&gt;(-H$4+Presion_cilindro!$B$34),1-EXP(-Presion_cilindro!$B$16*((Presion_cilindro!N232-(-H$4+Presion_cilindro!$B$34))/Presion_cilindro!$B$35)^(Presion_cilindro!$B$17+1)),0)-IF(Presion_cilindro!N231&gt;(-H$4+Presion_cilindro!$B$34),1-EXP(-Presion_cilindro!$B$16*((Presion_cilindro!N231-(-H$4+Presion_cilindro!$B$34))/Presion_cilindro!$B$35)^(Presion_cilindro!$B$17+1)),0))/((Presion_cilindro!O231+Presion_cilindro!O232)/2)</f>
        <v>2.2712349330896493</v>
      </c>
      <c r="I240" s="27">
        <f>I239*(Presion_cilindro!O231/Presion_cilindro!O232)^Presion_cilindro!$B$9+10*(Presion_cilindro!$B$9-1)*Presion_cilindro!$B$33*(IF(Presion_cilindro!N232&gt;(-I$4+Presion_cilindro!$B$34),1-EXP(-Presion_cilindro!$B$16*((Presion_cilindro!N232-(-I$4+Presion_cilindro!$B$34))/Presion_cilindro!$B$35)^(Presion_cilindro!$B$17+1)),0)-IF(Presion_cilindro!N231&gt;(-I$4+Presion_cilindro!$B$34),1-EXP(-Presion_cilindro!$B$16*((Presion_cilindro!N231-(-I$4+Presion_cilindro!$B$34))/Presion_cilindro!$B$35)^(Presion_cilindro!$B$17+1)),0))/((Presion_cilindro!O231+Presion_cilindro!O232)/2)</f>
        <v>2.2712349330896493</v>
      </c>
      <c r="J240" s="27">
        <f>J239*(Presion_cilindro!O231/Presion_cilindro!O232)^Presion_cilindro!$B$9+10*(Presion_cilindro!$B$9-1)*Presion_cilindro!$B$33*(IF(Presion_cilindro!N232&gt;(-J$4+Presion_cilindro!$B$34),1-EXP(-Presion_cilindro!$B$16*((Presion_cilindro!N232-(-J$4+Presion_cilindro!$B$34))/Presion_cilindro!$B$35)^(Presion_cilindro!$B$17+1)),0)-IF(Presion_cilindro!N231&gt;(-J$4+Presion_cilindro!$B$34),1-EXP(-Presion_cilindro!$B$16*((Presion_cilindro!N231-(-J$4+Presion_cilindro!$B$34))/Presion_cilindro!$B$35)^(Presion_cilindro!$B$17+1)),0))/((Presion_cilindro!O231+Presion_cilindro!O232)/2)</f>
        <v>2.2712349330896493</v>
      </c>
      <c r="K240" s="27">
        <f>K239*(Presion_cilindro!O231/Presion_cilindro!O232)^Presion_cilindro!$B$9+10*(Presion_cilindro!$B$9-1)*Presion_cilindro!$B$33*(IF(Presion_cilindro!N232&gt;(-K$4+Presion_cilindro!$B$34),1-EXP(-Presion_cilindro!$B$16*((Presion_cilindro!N232-(-K$4+Presion_cilindro!$B$34))/Presion_cilindro!$B$35)^(Presion_cilindro!$B$17+1)),0)-IF(Presion_cilindro!N231&gt;(-K$4+Presion_cilindro!$B$34),1-EXP(-Presion_cilindro!$B$16*((Presion_cilindro!N231-(-K$4+Presion_cilindro!$B$34))/Presion_cilindro!$B$35)^(Presion_cilindro!$B$17+1)),0))/((Presion_cilindro!O231+Presion_cilindro!O232)/2)</f>
        <v>2.2712349330896493</v>
      </c>
      <c r="L240" s="27">
        <f>L239*(Presion_cilindro!O231/Presion_cilindro!O232)^Presion_cilindro!$B$9+10*(Presion_cilindro!$B$9-1)*Presion_cilindro!$B$33*(IF(Presion_cilindro!N232&gt;(-L$4+Presion_cilindro!$B$34),1-EXP(-Presion_cilindro!$B$16*((Presion_cilindro!N232-(-L$4+Presion_cilindro!$B$34))/Presion_cilindro!$B$35)^(Presion_cilindro!$B$17+1)),0)-IF(Presion_cilindro!N231&gt;(-L$4+Presion_cilindro!$B$34),1-EXP(-Presion_cilindro!$B$16*((Presion_cilindro!N231-(-L$4+Presion_cilindro!$B$34))/Presion_cilindro!$B$35)^(Presion_cilindro!$B$17+1)),0))/((Presion_cilindro!O231+Presion_cilindro!O232)/2)</f>
        <v>2.2712349330896493</v>
      </c>
      <c r="M240" s="27">
        <f>M239*(Presion_cilindro!O231/Presion_cilindro!O232)^Presion_cilindro!$B$9+10*(Presion_cilindro!$B$9-1)*Presion_cilindro!$B$33*(IF(Presion_cilindro!N232&gt;(-M$4+Presion_cilindro!$B$34),1-EXP(-Presion_cilindro!$B$16*((Presion_cilindro!N232-(-M$4+Presion_cilindro!$B$34))/Presion_cilindro!$B$35)^(Presion_cilindro!$B$17+1)),0)-IF(Presion_cilindro!N231&gt;(-M$4+Presion_cilindro!$B$34),1-EXP(-Presion_cilindro!$B$16*((Presion_cilindro!N231-(-M$4+Presion_cilindro!$B$34))/Presion_cilindro!$B$35)^(Presion_cilindro!$B$17+1)),0))/((Presion_cilindro!O231+Presion_cilindro!O232)/2)</f>
        <v>2.2712349330896493</v>
      </c>
      <c r="N240" s="27">
        <f>N239*(Presion_cilindro!O231/Presion_cilindro!O232)^Presion_cilindro!$B$9+10*(Presion_cilindro!$B$9-1)*Presion_cilindro!$B$33*(IF(Presion_cilindro!N232&gt;(-N$4+Presion_cilindro!$B$34),1-EXP(-Presion_cilindro!$B$16*((Presion_cilindro!N232-(-N$4+Presion_cilindro!$B$34))/Presion_cilindro!$B$35)^(Presion_cilindro!$B$17+1)),0)-IF(Presion_cilindro!N231&gt;(-N$4+Presion_cilindro!$B$34),1-EXP(-Presion_cilindro!$B$16*((Presion_cilindro!N231-(-N$4+Presion_cilindro!$B$34))/Presion_cilindro!$B$35)^(Presion_cilindro!$B$17+1)),0))/((Presion_cilindro!O231+Presion_cilindro!O232)/2)</f>
        <v>2.2712349330896493</v>
      </c>
    </row>
    <row r="241" spans="1:14" x14ac:dyDescent="0.25">
      <c r="A241" s="21">
        <f>Presion_cilindro!N233</f>
        <v>-65.5</v>
      </c>
      <c r="B241" s="27">
        <f>B240*(Presion_cilindro!O232/Presion_cilindro!O233)^Presion_cilindro!$B$9+10*(Presion_cilindro!$B$9-1)*Presion_cilindro!$B$33*(IF(Presion_cilindro!N233&gt;(-B$4+Presion_cilindro!$B$34),1-EXP(-Presion_cilindro!$B$16*((Presion_cilindro!N233-(-B$4+Presion_cilindro!$B$34))/Presion_cilindro!$B$35)^(Presion_cilindro!$B$17+1)),0)-IF(Presion_cilindro!N232&gt;(-B$4+Presion_cilindro!$B$34),1-EXP(-Presion_cilindro!$B$16*((Presion_cilindro!N232-(-B$4+Presion_cilindro!$B$34))/Presion_cilindro!$B$35)^(Presion_cilindro!$B$17+1)),0))/((Presion_cilindro!O232+Presion_cilindro!O233)/2)</f>
        <v>2.3003319697106086</v>
      </c>
      <c r="C241" s="27">
        <f>C240*(Presion_cilindro!O232/Presion_cilindro!O233)^Presion_cilindro!$B$9+10*(Presion_cilindro!$B$9-1)*Presion_cilindro!$B$33*(IF(Presion_cilindro!N233&gt;(-C$4+Presion_cilindro!$B$34),1-EXP(-Presion_cilindro!$B$16*((Presion_cilindro!N233-(-C$4+Presion_cilindro!$B$34))/Presion_cilindro!$B$35)^(Presion_cilindro!$B$17+1)),0)-IF(Presion_cilindro!N232&gt;(-C$4+Presion_cilindro!$B$34),1-EXP(-Presion_cilindro!$B$16*((Presion_cilindro!N232-(-C$4+Presion_cilindro!$B$34))/Presion_cilindro!$B$35)^(Presion_cilindro!$B$17+1)),0))/((Presion_cilindro!O232+Presion_cilindro!O233)/2)</f>
        <v>2.3003319697106086</v>
      </c>
      <c r="D241" s="27">
        <f>D240*(Presion_cilindro!O232/Presion_cilindro!O233)^Presion_cilindro!$B$9+10*(Presion_cilindro!$B$9-1)*Presion_cilindro!$B$33*(IF(Presion_cilindro!N233&gt;(-D$4+Presion_cilindro!$B$34),1-EXP(-Presion_cilindro!$B$16*((Presion_cilindro!N233-(-D$4+Presion_cilindro!$B$34))/Presion_cilindro!$B$35)^(Presion_cilindro!$B$17+1)),0)-IF(Presion_cilindro!N232&gt;(-D$4+Presion_cilindro!$B$34),1-EXP(-Presion_cilindro!$B$16*((Presion_cilindro!N232-(-D$4+Presion_cilindro!$B$34))/Presion_cilindro!$B$35)^(Presion_cilindro!$B$17+1)),0))/((Presion_cilindro!O232+Presion_cilindro!O233)/2)</f>
        <v>2.3003319697106086</v>
      </c>
      <c r="E241" s="27">
        <f>E240*(Presion_cilindro!O232/Presion_cilindro!O233)^Presion_cilindro!$B$9+10*(Presion_cilindro!$B$9-1)*Presion_cilindro!$B$33*(IF(Presion_cilindro!N233&gt;(-E$4+Presion_cilindro!$B$34),1-EXP(-Presion_cilindro!$B$16*((Presion_cilindro!N233-(-E$4+Presion_cilindro!$B$34))/Presion_cilindro!$B$35)^(Presion_cilindro!$B$17+1)),0)-IF(Presion_cilindro!N232&gt;(-E$4+Presion_cilindro!$B$34),1-EXP(-Presion_cilindro!$B$16*((Presion_cilindro!N232-(-E$4+Presion_cilindro!$B$34))/Presion_cilindro!$B$35)^(Presion_cilindro!$B$17+1)),0))/((Presion_cilindro!O232+Presion_cilindro!O233)/2)</f>
        <v>2.3003319697106086</v>
      </c>
      <c r="F241" s="27">
        <f>F240*(Presion_cilindro!O232/Presion_cilindro!O233)^Presion_cilindro!$B$9+10*(Presion_cilindro!$B$9-1)*Presion_cilindro!$B$33*(IF(Presion_cilindro!N233&gt;(-F$4+Presion_cilindro!$B$34),1-EXP(-Presion_cilindro!$B$16*((Presion_cilindro!N233-(-F$4+Presion_cilindro!$B$34))/Presion_cilindro!$B$35)^(Presion_cilindro!$B$17+1)),0)-IF(Presion_cilindro!N232&gt;(-F$4+Presion_cilindro!$B$34),1-EXP(-Presion_cilindro!$B$16*((Presion_cilindro!N232-(-F$4+Presion_cilindro!$B$34))/Presion_cilindro!$B$35)^(Presion_cilindro!$B$17+1)),0))/((Presion_cilindro!O232+Presion_cilindro!O233)/2)</f>
        <v>2.3003319697106086</v>
      </c>
      <c r="G241" s="27">
        <f>G240*(Presion_cilindro!O232/Presion_cilindro!O233)^Presion_cilindro!$B$9+10*(Presion_cilindro!$B$9-1)*Presion_cilindro!$B$33*(IF(Presion_cilindro!N233&gt;(-G$4+Presion_cilindro!$B$34),1-EXP(-Presion_cilindro!$B$16*((Presion_cilindro!N233-(-G$4+Presion_cilindro!$B$34))/Presion_cilindro!$B$35)^(Presion_cilindro!$B$17+1)),0)-IF(Presion_cilindro!N232&gt;(-G$4+Presion_cilindro!$B$34),1-EXP(-Presion_cilindro!$B$16*((Presion_cilindro!N232-(-G$4+Presion_cilindro!$B$34))/Presion_cilindro!$B$35)^(Presion_cilindro!$B$17+1)),0))/((Presion_cilindro!O232+Presion_cilindro!O233)/2)</f>
        <v>2.3003319697106086</v>
      </c>
      <c r="H241" s="27">
        <f>H240*(Presion_cilindro!O232/Presion_cilindro!O233)^Presion_cilindro!$B$9+10*(Presion_cilindro!$B$9-1)*Presion_cilindro!$B$33*(IF(Presion_cilindro!N233&gt;(-H$4+Presion_cilindro!$B$34),1-EXP(-Presion_cilindro!$B$16*((Presion_cilindro!N233-(-H$4+Presion_cilindro!$B$34))/Presion_cilindro!$B$35)^(Presion_cilindro!$B$17+1)),0)-IF(Presion_cilindro!N232&gt;(-H$4+Presion_cilindro!$B$34),1-EXP(-Presion_cilindro!$B$16*((Presion_cilindro!N232-(-H$4+Presion_cilindro!$B$34))/Presion_cilindro!$B$35)^(Presion_cilindro!$B$17+1)),0))/((Presion_cilindro!O232+Presion_cilindro!O233)/2)</f>
        <v>2.3003319697106086</v>
      </c>
      <c r="I241" s="27">
        <f>I240*(Presion_cilindro!O232/Presion_cilindro!O233)^Presion_cilindro!$B$9+10*(Presion_cilindro!$B$9-1)*Presion_cilindro!$B$33*(IF(Presion_cilindro!N233&gt;(-I$4+Presion_cilindro!$B$34),1-EXP(-Presion_cilindro!$B$16*((Presion_cilindro!N233-(-I$4+Presion_cilindro!$B$34))/Presion_cilindro!$B$35)^(Presion_cilindro!$B$17+1)),0)-IF(Presion_cilindro!N232&gt;(-I$4+Presion_cilindro!$B$34),1-EXP(-Presion_cilindro!$B$16*((Presion_cilindro!N232-(-I$4+Presion_cilindro!$B$34))/Presion_cilindro!$B$35)^(Presion_cilindro!$B$17+1)),0))/((Presion_cilindro!O232+Presion_cilindro!O233)/2)</f>
        <v>2.3003319697106086</v>
      </c>
      <c r="J241" s="27">
        <f>J240*(Presion_cilindro!O232/Presion_cilindro!O233)^Presion_cilindro!$B$9+10*(Presion_cilindro!$B$9-1)*Presion_cilindro!$B$33*(IF(Presion_cilindro!N233&gt;(-J$4+Presion_cilindro!$B$34),1-EXP(-Presion_cilindro!$B$16*((Presion_cilindro!N233-(-J$4+Presion_cilindro!$B$34))/Presion_cilindro!$B$35)^(Presion_cilindro!$B$17+1)),0)-IF(Presion_cilindro!N232&gt;(-J$4+Presion_cilindro!$B$34),1-EXP(-Presion_cilindro!$B$16*((Presion_cilindro!N232-(-J$4+Presion_cilindro!$B$34))/Presion_cilindro!$B$35)^(Presion_cilindro!$B$17+1)),0))/((Presion_cilindro!O232+Presion_cilindro!O233)/2)</f>
        <v>2.3003319697106086</v>
      </c>
      <c r="K241" s="27">
        <f>K240*(Presion_cilindro!O232/Presion_cilindro!O233)^Presion_cilindro!$B$9+10*(Presion_cilindro!$B$9-1)*Presion_cilindro!$B$33*(IF(Presion_cilindro!N233&gt;(-K$4+Presion_cilindro!$B$34),1-EXP(-Presion_cilindro!$B$16*((Presion_cilindro!N233-(-K$4+Presion_cilindro!$B$34))/Presion_cilindro!$B$35)^(Presion_cilindro!$B$17+1)),0)-IF(Presion_cilindro!N232&gt;(-K$4+Presion_cilindro!$B$34),1-EXP(-Presion_cilindro!$B$16*((Presion_cilindro!N232-(-K$4+Presion_cilindro!$B$34))/Presion_cilindro!$B$35)^(Presion_cilindro!$B$17+1)),0))/((Presion_cilindro!O232+Presion_cilindro!O233)/2)</f>
        <v>2.3003319697106086</v>
      </c>
      <c r="L241" s="27">
        <f>L240*(Presion_cilindro!O232/Presion_cilindro!O233)^Presion_cilindro!$B$9+10*(Presion_cilindro!$B$9-1)*Presion_cilindro!$B$33*(IF(Presion_cilindro!N233&gt;(-L$4+Presion_cilindro!$B$34),1-EXP(-Presion_cilindro!$B$16*((Presion_cilindro!N233-(-L$4+Presion_cilindro!$B$34))/Presion_cilindro!$B$35)^(Presion_cilindro!$B$17+1)),0)-IF(Presion_cilindro!N232&gt;(-L$4+Presion_cilindro!$B$34),1-EXP(-Presion_cilindro!$B$16*((Presion_cilindro!N232-(-L$4+Presion_cilindro!$B$34))/Presion_cilindro!$B$35)^(Presion_cilindro!$B$17+1)),0))/((Presion_cilindro!O232+Presion_cilindro!O233)/2)</f>
        <v>2.3003319697106086</v>
      </c>
      <c r="M241" s="27">
        <f>M240*(Presion_cilindro!O232/Presion_cilindro!O233)^Presion_cilindro!$B$9+10*(Presion_cilindro!$B$9-1)*Presion_cilindro!$B$33*(IF(Presion_cilindro!N233&gt;(-M$4+Presion_cilindro!$B$34),1-EXP(-Presion_cilindro!$B$16*((Presion_cilindro!N233-(-M$4+Presion_cilindro!$B$34))/Presion_cilindro!$B$35)^(Presion_cilindro!$B$17+1)),0)-IF(Presion_cilindro!N232&gt;(-M$4+Presion_cilindro!$B$34),1-EXP(-Presion_cilindro!$B$16*((Presion_cilindro!N232-(-M$4+Presion_cilindro!$B$34))/Presion_cilindro!$B$35)^(Presion_cilindro!$B$17+1)),0))/((Presion_cilindro!O232+Presion_cilindro!O233)/2)</f>
        <v>2.3003319697106086</v>
      </c>
      <c r="N241" s="27">
        <f>N240*(Presion_cilindro!O232/Presion_cilindro!O233)^Presion_cilindro!$B$9+10*(Presion_cilindro!$B$9-1)*Presion_cilindro!$B$33*(IF(Presion_cilindro!N233&gt;(-N$4+Presion_cilindro!$B$34),1-EXP(-Presion_cilindro!$B$16*((Presion_cilindro!N233-(-N$4+Presion_cilindro!$B$34))/Presion_cilindro!$B$35)^(Presion_cilindro!$B$17+1)),0)-IF(Presion_cilindro!N232&gt;(-N$4+Presion_cilindro!$B$34),1-EXP(-Presion_cilindro!$B$16*((Presion_cilindro!N232-(-N$4+Presion_cilindro!$B$34))/Presion_cilindro!$B$35)^(Presion_cilindro!$B$17+1)),0))/((Presion_cilindro!O232+Presion_cilindro!O233)/2)</f>
        <v>2.3003319697106086</v>
      </c>
    </row>
    <row r="242" spans="1:14" x14ac:dyDescent="0.25">
      <c r="A242" s="21">
        <f>Presion_cilindro!N234</f>
        <v>-65</v>
      </c>
      <c r="B242" s="27">
        <f>B241*(Presion_cilindro!O233/Presion_cilindro!O234)^Presion_cilindro!$B$9+10*(Presion_cilindro!$B$9-1)*Presion_cilindro!$B$33*(IF(Presion_cilindro!N234&gt;(-B$4+Presion_cilindro!$B$34),1-EXP(-Presion_cilindro!$B$16*((Presion_cilindro!N234-(-B$4+Presion_cilindro!$B$34))/Presion_cilindro!$B$35)^(Presion_cilindro!$B$17+1)),0)-IF(Presion_cilindro!N233&gt;(-B$4+Presion_cilindro!$B$34),1-EXP(-Presion_cilindro!$B$16*((Presion_cilindro!N233-(-B$4+Presion_cilindro!$B$34))/Presion_cilindro!$B$35)^(Presion_cilindro!$B$17+1)),0))/((Presion_cilindro!O233+Presion_cilindro!O234)/2)</f>
        <v>2.3300308032282659</v>
      </c>
      <c r="C242" s="27">
        <f>C241*(Presion_cilindro!O233/Presion_cilindro!O234)^Presion_cilindro!$B$9+10*(Presion_cilindro!$B$9-1)*Presion_cilindro!$B$33*(IF(Presion_cilindro!N234&gt;(-C$4+Presion_cilindro!$B$34),1-EXP(-Presion_cilindro!$B$16*((Presion_cilindro!N234-(-C$4+Presion_cilindro!$B$34))/Presion_cilindro!$B$35)^(Presion_cilindro!$B$17+1)),0)-IF(Presion_cilindro!N233&gt;(-C$4+Presion_cilindro!$B$34),1-EXP(-Presion_cilindro!$B$16*((Presion_cilindro!N233-(-C$4+Presion_cilindro!$B$34))/Presion_cilindro!$B$35)^(Presion_cilindro!$B$17+1)),0))/((Presion_cilindro!O233+Presion_cilindro!O234)/2)</f>
        <v>2.3300308032282659</v>
      </c>
      <c r="D242" s="27">
        <f>D241*(Presion_cilindro!O233/Presion_cilindro!O234)^Presion_cilindro!$B$9+10*(Presion_cilindro!$B$9-1)*Presion_cilindro!$B$33*(IF(Presion_cilindro!N234&gt;(-D$4+Presion_cilindro!$B$34),1-EXP(-Presion_cilindro!$B$16*((Presion_cilindro!N234-(-D$4+Presion_cilindro!$B$34))/Presion_cilindro!$B$35)^(Presion_cilindro!$B$17+1)),0)-IF(Presion_cilindro!N233&gt;(-D$4+Presion_cilindro!$B$34),1-EXP(-Presion_cilindro!$B$16*((Presion_cilindro!N233-(-D$4+Presion_cilindro!$B$34))/Presion_cilindro!$B$35)^(Presion_cilindro!$B$17+1)),0))/((Presion_cilindro!O233+Presion_cilindro!O234)/2)</f>
        <v>2.3300308032282659</v>
      </c>
      <c r="E242" s="27">
        <f>E241*(Presion_cilindro!O233/Presion_cilindro!O234)^Presion_cilindro!$B$9+10*(Presion_cilindro!$B$9-1)*Presion_cilindro!$B$33*(IF(Presion_cilindro!N234&gt;(-E$4+Presion_cilindro!$B$34),1-EXP(-Presion_cilindro!$B$16*((Presion_cilindro!N234-(-E$4+Presion_cilindro!$B$34))/Presion_cilindro!$B$35)^(Presion_cilindro!$B$17+1)),0)-IF(Presion_cilindro!N233&gt;(-E$4+Presion_cilindro!$B$34),1-EXP(-Presion_cilindro!$B$16*((Presion_cilindro!N233-(-E$4+Presion_cilindro!$B$34))/Presion_cilindro!$B$35)^(Presion_cilindro!$B$17+1)),0))/((Presion_cilindro!O233+Presion_cilindro!O234)/2)</f>
        <v>2.3300308032282659</v>
      </c>
      <c r="F242" s="27">
        <f>F241*(Presion_cilindro!O233/Presion_cilindro!O234)^Presion_cilindro!$B$9+10*(Presion_cilindro!$B$9-1)*Presion_cilindro!$B$33*(IF(Presion_cilindro!N234&gt;(-F$4+Presion_cilindro!$B$34),1-EXP(-Presion_cilindro!$B$16*((Presion_cilindro!N234-(-F$4+Presion_cilindro!$B$34))/Presion_cilindro!$B$35)^(Presion_cilindro!$B$17+1)),0)-IF(Presion_cilindro!N233&gt;(-F$4+Presion_cilindro!$B$34),1-EXP(-Presion_cilindro!$B$16*((Presion_cilindro!N233-(-F$4+Presion_cilindro!$B$34))/Presion_cilindro!$B$35)^(Presion_cilindro!$B$17+1)),0))/((Presion_cilindro!O233+Presion_cilindro!O234)/2)</f>
        <v>2.3300308032282659</v>
      </c>
      <c r="G242" s="27">
        <f>G241*(Presion_cilindro!O233/Presion_cilindro!O234)^Presion_cilindro!$B$9+10*(Presion_cilindro!$B$9-1)*Presion_cilindro!$B$33*(IF(Presion_cilindro!N234&gt;(-G$4+Presion_cilindro!$B$34),1-EXP(-Presion_cilindro!$B$16*((Presion_cilindro!N234-(-G$4+Presion_cilindro!$B$34))/Presion_cilindro!$B$35)^(Presion_cilindro!$B$17+1)),0)-IF(Presion_cilindro!N233&gt;(-G$4+Presion_cilindro!$B$34),1-EXP(-Presion_cilindro!$B$16*((Presion_cilindro!N233-(-G$4+Presion_cilindro!$B$34))/Presion_cilindro!$B$35)^(Presion_cilindro!$B$17+1)),0))/((Presion_cilindro!O233+Presion_cilindro!O234)/2)</f>
        <v>2.3300308032282659</v>
      </c>
      <c r="H242" s="27">
        <f>H241*(Presion_cilindro!O233/Presion_cilindro!O234)^Presion_cilindro!$B$9+10*(Presion_cilindro!$B$9-1)*Presion_cilindro!$B$33*(IF(Presion_cilindro!N234&gt;(-H$4+Presion_cilindro!$B$34),1-EXP(-Presion_cilindro!$B$16*((Presion_cilindro!N234-(-H$4+Presion_cilindro!$B$34))/Presion_cilindro!$B$35)^(Presion_cilindro!$B$17+1)),0)-IF(Presion_cilindro!N233&gt;(-H$4+Presion_cilindro!$B$34),1-EXP(-Presion_cilindro!$B$16*((Presion_cilindro!N233-(-H$4+Presion_cilindro!$B$34))/Presion_cilindro!$B$35)^(Presion_cilindro!$B$17+1)),0))/((Presion_cilindro!O233+Presion_cilindro!O234)/2)</f>
        <v>2.3300308032282659</v>
      </c>
      <c r="I242" s="27">
        <f>I241*(Presion_cilindro!O233/Presion_cilindro!O234)^Presion_cilindro!$B$9+10*(Presion_cilindro!$B$9-1)*Presion_cilindro!$B$33*(IF(Presion_cilindro!N234&gt;(-I$4+Presion_cilindro!$B$34),1-EXP(-Presion_cilindro!$B$16*((Presion_cilindro!N234-(-I$4+Presion_cilindro!$B$34))/Presion_cilindro!$B$35)^(Presion_cilindro!$B$17+1)),0)-IF(Presion_cilindro!N233&gt;(-I$4+Presion_cilindro!$B$34),1-EXP(-Presion_cilindro!$B$16*((Presion_cilindro!N233-(-I$4+Presion_cilindro!$B$34))/Presion_cilindro!$B$35)^(Presion_cilindro!$B$17+1)),0))/((Presion_cilindro!O233+Presion_cilindro!O234)/2)</f>
        <v>2.3300308032282659</v>
      </c>
      <c r="J242" s="27">
        <f>J241*(Presion_cilindro!O233/Presion_cilindro!O234)^Presion_cilindro!$B$9+10*(Presion_cilindro!$B$9-1)*Presion_cilindro!$B$33*(IF(Presion_cilindro!N234&gt;(-J$4+Presion_cilindro!$B$34),1-EXP(-Presion_cilindro!$B$16*((Presion_cilindro!N234-(-J$4+Presion_cilindro!$B$34))/Presion_cilindro!$B$35)^(Presion_cilindro!$B$17+1)),0)-IF(Presion_cilindro!N233&gt;(-J$4+Presion_cilindro!$B$34),1-EXP(-Presion_cilindro!$B$16*((Presion_cilindro!N233-(-J$4+Presion_cilindro!$B$34))/Presion_cilindro!$B$35)^(Presion_cilindro!$B$17+1)),0))/((Presion_cilindro!O233+Presion_cilindro!O234)/2)</f>
        <v>2.3300308032282659</v>
      </c>
      <c r="K242" s="27">
        <f>K241*(Presion_cilindro!O233/Presion_cilindro!O234)^Presion_cilindro!$B$9+10*(Presion_cilindro!$B$9-1)*Presion_cilindro!$B$33*(IF(Presion_cilindro!N234&gt;(-K$4+Presion_cilindro!$B$34),1-EXP(-Presion_cilindro!$B$16*((Presion_cilindro!N234-(-K$4+Presion_cilindro!$B$34))/Presion_cilindro!$B$35)^(Presion_cilindro!$B$17+1)),0)-IF(Presion_cilindro!N233&gt;(-K$4+Presion_cilindro!$B$34),1-EXP(-Presion_cilindro!$B$16*((Presion_cilindro!N233-(-K$4+Presion_cilindro!$B$34))/Presion_cilindro!$B$35)^(Presion_cilindro!$B$17+1)),0))/((Presion_cilindro!O233+Presion_cilindro!O234)/2)</f>
        <v>2.3300308032282659</v>
      </c>
      <c r="L242" s="27">
        <f>L241*(Presion_cilindro!O233/Presion_cilindro!O234)^Presion_cilindro!$B$9+10*(Presion_cilindro!$B$9-1)*Presion_cilindro!$B$33*(IF(Presion_cilindro!N234&gt;(-L$4+Presion_cilindro!$B$34),1-EXP(-Presion_cilindro!$B$16*((Presion_cilindro!N234-(-L$4+Presion_cilindro!$B$34))/Presion_cilindro!$B$35)^(Presion_cilindro!$B$17+1)),0)-IF(Presion_cilindro!N233&gt;(-L$4+Presion_cilindro!$B$34),1-EXP(-Presion_cilindro!$B$16*((Presion_cilindro!N233-(-L$4+Presion_cilindro!$B$34))/Presion_cilindro!$B$35)^(Presion_cilindro!$B$17+1)),0))/((Presion_cilindro!O233+Presion_cilindro!O234)/2)</f>
        <v>2.3300308032282659</v>
      </c>
      <c r="M242" s="27">
        <f>M241*(Presion_cilindro!O233/Presion_cilindro!O234)^Presion_cilindro!$B$9+10*(Presion_cilindro!$B$9-1)*Presion_cilindro!$B$33*(IF(Presion_cilindro!N234&gt;(-M$4+Presion_cilindro!$B$34),1-EXP(-Presion_cilindro!$B$16*((Presion_cilindro!N234-(-M$4+Presion_cilindro!$B$34))/Presion_cilindro!$B$35)^(Presion_cilindro!$B$17+1)),0)-IF(Presion_cilindro!N233&gt;(-M$4+Presion_cilindro!$B$34),1-EXP(-Presion_cilindro!$B$16*((Presion_cilindro!N233-(-M$4+Presion_cilindro!$B$34))/Presion_cilindro!$B$35)^(Presion_cilindro!$B$17+1)),0))/((Presion_cilindro!O233+Presion_cilindro!O234)/2)</f>
        <v>2.3300308032282659</v>
      </c>
      <c r="N242" s="27">
        <f>N241*(Presion_cilindro!O233/Presion_cilindro!O234)^Presion_cilindro!$B$9+10*(Presion_cilindro!$B$9-1)*Presion_cilindro!$B$33*(IF(Presion_cilindro!N234&gt;(-N$4+Presion_cilindro!$B$34),1-EXP(-Presion_cilindro!$B$16*((Presion_cilindro!N234-(-N$4+Presion_cilindro!$B$34))/Presion_cilindro!$B$35)^(Presion_cilindro!$B$17+1)),0)-IF(Presion_cilindro!N233&gt;(-N$4+Presion_cilindro!$B$34),1-EXP(-Presion_cilindro!$B$16*((Presion_cilindro!N233-(-N$4+Presion_cilindro!$B$34))/Presion_cilindro!$B$35)^(Presion_cilindro!$B$17+1)),0))/((Presion_cilindro!O233+Presion_cilindro!O234)/2)</f>
        <v>2.3300308032282659</v>
      </c>
    </row>
    <row r="243" spans="1:14" x14ac:dyDescent="0.25">
      <c r="A243" s="21">
        <f>Presion_cilindro!N235</f>
        <v>-64.5</v>
      </c>
      <c r="B243" s="27">
        <f>B242*(Presion_cilindro!O234/Presion_cilindro!O235)^Presion_cilindro!$B$9+10*(Presion_cilindro!$B$9-1)*Presion_cilindro!$B$33*(IF(Presion_cilindro!N235&gt;(-B$4+Presion_cilindro!$B$34),1-EXP(-Presion_cilindro!$B$16*((Presion_cilindro!N235-(-B$4+Presion_cilindro!$B$34))/Presion_cilindro!$B$35)^(Presion_cilindro!$B$17+1)),0)-IF(Presion_cilindro!N234&gt;(-B$4+Presion_cilindro!$B$34),1-EXP(-Presion_cilindro!$B$16*((Presion_cilindro!N234-(-B$4+Presion_cilindro!$B$34))/Presion_cilindro!$B$35)^(Presion_cilindro!$B$17+1)),0))/((Presion_cilindro!O234+Presion_cilindro!O235)/2)</f>
        <v>2.3603458777329562</v>
      </c>
      <c r="C243" s="27">
        <f>C242*(Presion_cilindro!O234/Presion_cilindro!O235)^Presion_cilindro!$B$9+10*(Presion_cilindro!$B$9-1)*Presion_cilindro!$B$33*(IF(Presion_cilindro!N235&gt;(-C$4+Presion_cilindro!$B$34),1-EXP(-Presion_cilindro!$B$16*((Presion_cilindro!N235-(-C$4+Presion_cilindro!$B$34))/Presion_cilindro!$B$35)^(Presion_cilindro!$B$17+1)),0)-IF(Presion_cilindro!N234&gt;(-C$4+Presion_cilindro!$B$34),1-EXP(-Presion_cilindro!$B$16*((Presion_cilindro!N234-(-C$4+Presion_cilindro!$B$34))/Presion_cilindro!$B$35)^(Presion_cilindro!$B$17+1)),0))/((Presion_cilindro!O234+Presion_cilindro!O235)/2)</f>
        <v>2.3603458777329562</v>
      </c>
      <c r="D243" s="27">
        <f>D242*(Presion_cilindro!O234/Presion_cilindro!O235)^Presion_cilindro!$B$9+10*(Presion_cilindro!$B$9-1)*Presion_cilindro!$B$33*(IF(Presion_cilindro!N235&gt;(-D$4+Presion_cilindro!$B$34),1-EXP(-Presion_cilindro!$B$16*((Presion_cilindro!N235-(-D$4+Presion_cilindro!$B$34))/Presion_cilindro!$B$35)^(Presion_cilindro!$B$17+1)),0)-IF(Presion_cilindro!N234&gt;(-D$4+Presion_cilindro!$B$34),1-EXP(-Presion_cilindro!$B$16*((Presion_cilindro!N234-(-D$4+Presion_cilindro!$B$34))/Presion_cilindro!$B$35)^(Presion_cilindro!$B$17+1)),0))/((Presion_cilindro!O234+Presion_cilindro!O235)/2)</f>
        <v>2.3603458777329562</v>
      </c>
      <c r="E243" s="27">
        <f>E242*(Presion_cilindro!O234/Presion_cilindro!O235)^Presion_cilindro!$B$9+10*(Presion_cilindro!$B$9-1)*Presion_cilindro!$B$33*(IF(Presion_cilindro!N235&gt;(-E$4+Presion_cilindro!$B$34),1-EXP(-Presion_cilindro!$B$16*((Presion_cilindro!N235-(-E$4+Presion_cilindro!$B$34))/Presion_cilindro!$B$35)^(Presion_cilindro!$B$17+1)),0)-IF(Presion_cilindro!N234&gt;(-E$4+Presion_cilindro!$B$34),1-EXP(-Presion_cilindro!$B$16*((Presion_cilindro!N234-(-E$4+Presion_cilindro!$B$34))/Presion_cilindro!$B$35)^(Presion_cilindro!$B$17+1)),0))/((Presion_cilindro!O234+Presion_cilindro!O235)/2)</f>
        <v>2.3603458777329562</v>
      </c>
      <c r="F243" s="27">
        <f>F242*(Presion_cilindro!O234/Presion_cilindro!O235)^Presion_cilindro!$B$9+10*(Presion_cilindro!$B$9-1)*Presion_cilindro!$B$33*(IF(Presion_cilindro!N235&gt;(-F$4+Presion_cilindro!$B$34),1-EXP(-Presion_cilindro!$B$16*((Presion_cilindro!N235-(-F$4+Presion_cilindro!$B$34))/Presion_cilindro!$B$35)^(Presion_cilindro!$B$17+1)),0)-IF(Presion_cilindro!N234&gt;(-F$4+Presion_cilindro!$B$34),1-EXP(-Presion_cilindro!$B$16*((Presion_cilindro!N234-(-F$4+Presion_cilindro!$B$34))/Presion_cilindro!$B$35)^(Presion_cilindro!$B$17+1)),0))/((Presion_cilindro!O234+Presion_cilindro!O235)/2)</f>
        <v>2.3603458777329562</v>
      </c>
      <c r="G243" s="27">
        <f>G242*(Presion_cilindro!O234/Presion_cilindro!O235)^Presion_cilindro!$B$9+10*(Presion_cilindro!$B$9-1)*Presion_cilindro!$B$33*(IF(Presion_cilindro!N235&gt;(-G$4+Presion_cilindro!$B$34),1-EXP(-Presion_cilindro!$B$16*((Presion_cilindro!N235-(-G$4+Presion_cilindro!$B$34))/Presion_cilindro!$B$35)^(Presion_cilindro!$B$17+1)),0)-IF(Presion_cilindro!N234&gt;(-G$4+Presion_cilindro!$B$34),1-EXP(-Presion_cilindro!$B$16*((Presion_cilindro!N234-(-G$4+Presion_cilindro!$B$34))/Presion_cilindro!$B$35)^(Presion_cilindro!$B$17+1)),0))/((Presion_cilindro!O234+Presion_cilindro!O235)/2)</f>
        <v>2.3603458777329562</v>
      </c>
      <c r="H243" s="27">
        <f>H242*(Presion_cilindro!O234/Presion_cilindro!O235)^Presion_cilindro!$B$9+10*(Presion_cilindro!$B$9-1)*Presion_cilindro!$B$33*(IF(Presion_cilindro!N235&gt;(-H$4+Presion_cilindro!$B$34),1-EXP(-Presion_cilindro!$B$16*((Presion_cilindro!N235-(-H$4+Presion_cilindro!$B$34))/Presion_cilindro!$B$35)^(Presion_cilindro!$B$17+1)),0)-IF(Presion_cilindro!N234&gt;(-H$4+Presion_cilindro!$B$34),1-EXP(-Presion_cilindro!$B$16*((Presion_cilindro!N234-(-H$4+Presion_cilindro!$B$34))/Presion_cilindro!$B$35)^(Presion_cilindro!$B$17+1)),0))/((Presion_cilindro!O234+Presion_cilindro!O235)/2)</f>
        <v>2.3603458777329562</v>
      </c>
      <c r="I243" s="27">
        <f>I242*(Presion_cilindro!O234/Presion_cilindro!O235)^Presion_cilindro!$B$9+10*(Presion_cilindro!$B$9-1)*Presion_cilindro!$B$33*(IF(Presion_cilindro!N235&gt;(-I$4+Presion_cilindro!$B$34),1-EXP(-Presion_cilindro!$B$16*((Presion_cilindro!N235-(-I$4+Presion_cilindro!$B$34))/Presion_cilindro!$B$35)^(Presion_cilindro!$B$17+1)),0)-IF(Presion_cilindro!N234&gt;(-I$4+Presion_cilindro!$B$34),1-EXP(-Presion_cilindro!$B$16*((Presion_cilindro!N234-(-I$4+Presion_cilindro!$B$34))/Presion_cilindro!$B$35)^(Presion_cilindro!$B$17+1)),0))/((Presion_cilindro!O234+Presion_cilindro!O235)/2)</f>
        <v>2.3603458777329562</v>
      </c>
      <c r="J243" s="27">
        <f>J242*(Presion_cilindro!O234/Presion_cilindro!O235)^Presion_cilindro!$B$9+10*(Presion_cilindro!$B$9-1)*Presion_cilindro!$B$33*(IF(Presion_cilindro!N235&gt;(-J$4+Presion_cilindro!$B$34),1-EXP(-Presion_cilindro!$B$16*((Presion_cilindro!N235-(-J$4+Presion_cilindro!$B$34))/Presion_cilindro!$B$35)^(Presion_cilindro!$B$17+1)),0)-IF(Presion_cilindro!N234&gt;(-J$4+Presion_cilindro!$B$34),1-EXP(-Presion_cilindro!$B$16*((Presion_cilindro!N234-(-J$4+Presion_cilindro!$B$34))/Presion_cilindro!$B$35)^(Presion_cilindro!$B$17+1)),0))/((Presion_cilindro!O234+Presion_cilindro!O235)/2)</f>
        <v>2.3603458777329562</v>
      </c>
      <c r="K243" s="27">
        <f>K242*(Presion_cilindro!O234/Presion_cilindro!O235)^Presion_cilindro!$B$9+10*(Presion_cilindro!$B$9-1)*Presion_cilindro!$B$33*(IF(Presion_cilindro!N235&gt;(-K$4+Presion_cilindro!$B$34),1-EXP(-Presion_cilindro!$B$16*((Presion_cilindro!N235-(-K$4+Presion_cilindro!$B$34))/Presion_cilindro!$B$35)^(Presion_cilindro!$B$17+1)),0)-IF(Presion_cilindro!N234&gt;(-K$4+Presion_cilindro!$B$34),1-EXP(-Presion_cilindro!$B$16*((Presion_cilindro!N234-(-K$4+Presion_cilindro!$B$34))/Presion_cilindro!$B$35)^(Presion_cilindro!$B$17+1)),0))/((Presion_cilindro!O234+Presion_cilindro!O235)/2)</f>
        <v>2.3603458777329562</v>
      </c>
      <c r="L243" s="27">
        <f>L242*(Presion_cilindro!O234/Presion_cilindro!O235)^Presion_cilindro!$B$9+10*(Presion_cilindro!$B$9-1)*Presion_cilindro!$B$33*(IF(Presion_cilindro!N235&gt;(-L$4+Presion_cilindro!$B$34),1-EXP(-Presion_cilindro!$B$16*((Presion_cilindro!N235-(-L$4+Presion_cilindro!$B$34))/Presion_cilindro!$B$35)^(Presion_cilindro!$B$17+1)),0)-IF(Presion_cilindro!N234&gt;(-L$4+Presion_cilindro!$B$34),1-EXP(-Presion_cilindro!$B$16*((Presion_cilindro!N234-(-L$4+Presion_cilindro!$B$34))/Presion_cilindro!$B$35)^(Presion_cilindro!$B$17+1)),0))/((Presion_cilindro!O234+Presion_cilindro!O235)/2)</f>
        <v>2.3603458777329562</v>
      </c>
      <c r="M243" s="27">
        <f>M242*(Presion_cilindro!O234/Presion_cilindro!O235)^Presion_cilindro!$B$9+10*(Presion_cilindro!$B$9-1)*Presion_cilindro!$B$33*(IF(Presion_cilindro!N235&gt;(-M$4+Presion_cilindro!$B$34),1-EXP(-Presion_cilindro!$B$16*((Presion_cilindro!N235-(-M$4+Presion_cilindro!$B$34))/Presion_cilindro!$B$35)^(Presion_cilindro!$B$17+1)),0)-IF(Presion_cilindro!N234&gt;(-M$4+Presion_cilindro!$B$34),1-EXP(-Presion_cilindro!$B$16*((Presion_cilindro!N234-(-M$4+Presion_cilindro!$B$34))/Presion_cilindro!$B$35)^(Presion_cilindro!$B$17+1)),0))/((Presion_cilindro!O234+Presion_cilindro!O235)/2)</f>
        <v>2.3603458777329562</v>
      </c>
      <c r="N243" s="27">
        <f>N242*(Presion_cilindro!O234/Presion_cilindro!O235)^Presion_cilindro!$B$9+10*(Presion_cilindro!$B$9-1)*Presion_cilindro!$B$33*(IF(Presion_cilindro!N235&gt;(-N$4+Presion_cilindro!$B$34),1-EXP(-Presion_cilindro!$B$16*((Presion_cilindro!N235-(-N$4+Presion_cilindro!$B$34))/Presion_cilindro!$B$35)^(Presion_cilindro!$B$17+1)),0)-IF(Presion_cilindro!N234&gt;(-N$4+Presion_cilindro!$B$34),1-EXP(-Presion_cilindro!$B$16*((Presion_cilindro!N234-(-N$4+Presion_cilindro!$B$34))/Presion_cilindro!$B$35)^(Presion_cilindro!$B$17+1)),0))/((Presion_cilindro!O234+Presion_cilindro!O235)/2)</f>
        <v>2.3603458777329562</v>
      </c>
    </row>
    <row r="244" spans="1:14" x14ac:dyDescent="0.25">
      <c r="A244" s="21">
        <f>Presion_cilindro!N236</f>
        <v>-64</v>
      </c>
      <c r="B244" s="27">
        <f>B243*(Presion_cilindro!O235/Presion_cilindro!O236)^Presion_cilindro!$B$9+10*(Presion_cilindro!$B$9-1)*Presion_cilindro!$B$33*(IF(Presion_cilindro!N236&gt;(-B$4+Presion_cilindro!$B$34),1-EXP(-Presion_cilindro!$B$16*((Presion_cilindro!N236-(-B$4+Presion_cilindro!$B$34))/Presion_cilindro!$B$35)^(Presion_cilindro!$B$17+1)),0)-IF(Presion_cilindro!N235&gt;(-B$4+Presion_cilindro!$B$34),1-EXP(-Presion_cilindro!$B$16*((Presion_cilindro!N235-(-B$4+Presion_cilindro!$B$34))/Presion_cilindro!$B$35)^(Presion_cilindro!$B$17+1)),0))/((Presion_cilindro!O235+Presion_cilindro!O236)/2)</f>
        <v>2.3912920110886029</v>
      </c>
      <c r="C244" s="27">
        <f>C243*(Presion_cilindro!O235/Presion_cilindro!O236)^Presion_cilindro!$B$9+10*(Presion_cilindro!$B$9-1)*Presion_cilindro!$B$33*(IF(Presion_cilindro!N236&gt;(-C$4+Presion_cilindro!$B$34),1-EXP(-Presion_cilindro!$B$16*((Presion_cilindro!N236-(-C$4+Presion_cilindro!$B$34))/Presion_cilindro!$B$35)^(Presion_cilindro!$B$17+1)),0)-IF(Presion_cilindro!N235&gt;(-C$4+Presion_cilindro!$B$34),1-EXP(-Presion_cilindro!$B$16*((Presion_cilindro!N235-(-C$4+Presion_cilindro!$B$34))/Presion_cilindro!$B$35)^(Presion_cilindro!$B$17+1)),0))/((Presion_cilindro!O235+Presion_cilindro!O236)/2)</f>
        <v>2.3912920110886029</v>
      </c>
      <c r="D244" s="27">
        <f>D243*(Presion_cilindro!O235/Presion_cilindro!O236)^Presion_cilindro!$B$9+10*(Presion_cilindro!$B$9-1)*Presion_cilindro!$B$33*(IF(Presion_cilindro!N236&gt;(-D$4+Presion_cilindro!$B$34),1-EXP(-Presion_cilindro!$B$16*((Presion_cilindro!N236-(-D$4+Presion_cilindro!$B$34))/Presion_cilindro!$B$35)^(Presion_cilindro!$B$17+1)),0)-IF(Presion_cilindro!N235&gt;(-D$4+Presion_cilindro!$B$34),1-EXP(-Presion_cilindro!$B$16*((Presion_cilindro!N235-(-D$4+Presion_cilindro!$B$34))/Presion_cilindro!$B$35)^(Presion_cilindro!$B$17+1)),0))/((Presion_cilindro!O235+Presion_cilindro!O236)/2)</f>
        <v>2.3912920110886029</v>
      </c>
      <c r="E244" s="27">
        <f>E243*(Presion_cilindro!O235/Presion_cilindro!O236)^Presion_cilindro!$B$9+10*(Presion_cilindro!$B$9-1)*Presion_cilindro!$B$33*(IF(Presion_cilindro!N236&gt;(-E$4+Presion_cilindro!$B$34),1-EXP(-Presion_cilindro!$B$16*((Presion_cilindro!N236-(-E$4+Presion_cilindro!$B$34))/Presion_cilindro!$B$35)^(Presion_cilindro!$B$17+1)),0)-IF(Presion_cilindro!N235&gt;(-E$4+Presion_cilindro!$B$34),1-EXP(-Presion_cilindro!$B$16*((Presion_cilindro!N235-(-E$4+Presion_cilindro!$B$34))/Presion_cilindro!$B$35)^(Presion_cilindro!$B$17+1)),0))/((Presion_cilindro!O235+Presion_cilindro!O236)/2)</f>
        <v>2.3912920110886029</v>
      </c>
      <c r="F244" s="27">
        <f>F243*(Presion_cilindro!O235/Presion_cilindro!O236)^Presion_cilindro!$B$9+10*(Presion_cilindro!$B$9-1)*Presion_cilindro!$B$33*(IF(Presion_cilindro!N236&gt;(-F$4+Presion_cilindro!$B$34),1-EXP(-Presion_cilindro!$B$16*((Presion_cilindro!N236-(-F$4+Presion_cilindro!$B$34))/Presion_cilindro!$B$35)^(Presion_cilindro!$B$17+1)),0)-IF(Presion_cilindro!N235&gt;(-F$4+Presion_cilindro!$B$34),1-EXP(-Presion_cilindro!$B$16*((Presion_cilindro!N235-(-F$4+Presion_cilindro!$B$34))/Presion_cilindro!$B$35)^(Presion_cilindro!$B$17+1)),0))/((Presion_cilindro!O235+Presion_cilindro!O236)/2)</f>
        <v>2.3912920110886029</v>
      </c>
      <c r="G244" s="27">
        <f>G243*(Presion_cilindro!O235/Presion_cilindro!O236)^Presion_cilindro!$B$9+10*(Presion_cilindro!$B$9-1)*Presion_cilindro!$B$33*(IF(Presion_cilindro!N236&gt;(-G$4+Presion_cilindro!$B$34),1-EXP(-Presion_cilindro!$B$16*((Presion_cilindro!N236-(-G$4+Presion_cilindro!$B$34))/Presion_cilindro!$B$35)^(Presion_cilindro!$B$17+1)),0)-IF(Presion_cilindro!N235&gt;(-G$4+Presion_cilindro!$B$34),1-EXP(-Presion_cilindro!$B$16*((Presion_cilindro!N235-(-G$4+Presion_cilindro!$B$34))/Presion_cilindro!$B$35)^(Presion_cilindro!$B$17+1)),0))/((Presion_cilindro!O235+Presion_cilindro!O236)/2)</f>
        <v>2.3912920110886029</v>
      </c>
      <c r="H244" s="27">
        <f>H243*(Presion_cilindro!O235/Presion_cilindro!O236)^Presion_cilindro!$B$9+10*(Presion_cilindro!$B$9-1)*Presion_cilindro!$B$33*(IF(Presion_cilindro!N236&gt;(-H$4+Presion_cilindro!$B$34),1-EXP(-Presion_cilindro!$B$16*((Presion_cilindro!N236-(-H$4+Presion_cilindro!$B$34))/Presion_cilindro!$B$35)^(Presion_cilindro!$B$17+1)),0)-IF(Presion_cilindro!N235&gt;(-H$4+Presion_cilindro!$B$34),1-EXP(-Presion_cilindro!$B$16*((Presion_cilindro!N235-(-H$4+Presion_cilindro!$B$34))/Presion_cilindro!$B$35)^(Presion_cilindro!$B$17+1)),0))/((Presion_cilindro!O235+Presion_cilindro!O236)/2)</f>
        <v>2.3912920110886029</v>
      </c>
      <c r="I244" s="27">
        <f>I243*(Presion_cilindro!O235/Presion_cilindro!O236)^Presion_cilindro!$B$9+10*(Presion_cilindro!$B$9-1)*Presion_cilindro!$B$33*(IF(Presion_cilindro!N236&gt;(-I$4+Presion_cilindro!$B$34),1-EXP(-Presion_cilindro!$B$16*((Presion_cilindro!N236-(-I$4+Presion_cilindro!$B$34))/Presion_cilindro!$B$35)^(Presion_cilindro!$B$17+1)),0)-IF(Presion_cilindro!N235&gt;(-I$4+Presion_cilindro!$B$34),1-EXP(-Presion_cilindro!$B$16*((Presion_cilindro!N235-(-I$4+Presion_cilindro!$B$34))/Presion_cilindro!$B$35)^(Presion_cilindro!$B$17+1)),0))/((Presion_cilindro!O235+Presion_cilindro!O236)/2)</f>
        <v>2.3912920110886029</v>
      </c>
      <c r="J244" s="27">
        <f>J243*(Presion_cilindro!O235/Presion_cilindro!O236)^Presion_cilindro!$B$9+10*(Presion_cilindro!$B$9-1)*Presion_cilindro!$B$33*(IF(Presion_cilindro!N236&gt;(-J$4+Presion_cilindro!$B$34),1-EXP(-Presion_cilindro!$B$16*((Presion_cilindro!N236-(-J$4+Presion_cilindro!$B$34))/Presion_cilindro!$B$35)^(Presion_cilindro!$B$17+1)),0)-IF(Presion_cilindro!N235&gt;(-J$4+Presion_cilindro!$B$34),1-EXP(-Presion_cilindro!$B$16*((Presion_cilindro!N235-(-J$4+Presion_cilindro!$B$34))/Presion_cilindro!$B$35)^(Presion_cilindro!$B$17+1)),0))/((Presion_cilindro!O235+Presion_cilindro!O236)/2)</f>
        <v>2.3912920110886029</v>
      </c>
      <c r="K244" s="27">
        <f>K243*(Presion_cilindro!O235/Presion_cilindro!O236)^Presion_cilindro!$B$9+10*(Presion_cilindro!$B$9-1)*Presion_cilindro!$B$33*(IF(Presion_cilindro!N236&gt;(-K$4+Presion_cilindro!$B$34),1-EXP(-Presion_cilindro!$B$16*((Presion_cilindro!N236-(-K$4+Presion_cilindro!$B$34))/Presion_cilindro!$B$35)^(Presion_cilindro!$B$17+1)),0)-IF(Presion_cilindro!N235&gt;(-K$4+Presion_cilindro!$B$34),1-EXP(-Presion_cilindro!$B$16*((Presion_cilindro!N235-(-K$4+Presion_cilindro!$B$34))/Presion_cilindro!$B$35)^(Presion_cilindro!$B$17+1)),0))/((Presion_cilindro!O235+Presion_cilindro!O236)/2)</f>
        <v>2.3912920110886029</v>
      </c>
      <c r="L244" s="27">
        <f>L243*(Presion_cilindro!O235/Presion_cilindro!O236)^Presion_cilindro!$B$9+10*(Presion_cilindro!$B$9-1)*Presion_cilindro!$B$33*(IF(Presion_cilindro!N236&gt;(-L$4+Presion_cilindro!$B$34),1-EXP(-Presion_cilindro!$B$16*((Presion_cilindro!N236-(-L$4+Presion_cilindro!$B$34))/Presion_cilindro!$B$35)^(Presion_cilindro!$B$17+1)),0)-IF(Presion_cilindro!N235&gt;(-L$4+Presion_cilindro!$B$34),1-EXP(-Presion_cilindro!$B$16*((Presion_cilindro!N235-(-L$4+Presion_cilindro!$B$34))/Presion_cilindro!$B$35)^(Presion_cilindro!$B$17+1)),0))/((Presion_cilindro!O235+Presion_cilindro!O236)/2)</f>
        <v>2.3912920110886029</v>
      </c>
      <c r="M244" s="27">
        <f>M243*(Presion_cilindro!O235/Presion_cilindro!O236)^Presion_cilindro!$B$9+10*(Presion_cilindro!$B$9-1)*Presion_cilindro!$B$33*(IF(Presion_cilindro!N236&gt;(-M$4+Presion_cilindro!$B$34),1-EXP(-Presion_cilindro!$B$16*((Presion_cilindro!N236-(-M$4+Presion_cilindro!$B$34))/Presion_cilindro!$B$35)^(Presion_cilindro!$B$17+1)),0)-IF(Presion_cilindro!N235&gt;(-M$4+Presion_cilindro!$B$34),1-EXP(-Presion_cilindro!$B$16*((Presion_cilindro!N235-(-M$4+Presion_cilindro!$B$34))/Presion_cilindro!$B$35)^(Presion_cilindro!$B$17+1)),0))/((Presion_cilindro!O235+Presion_cilindro!O236)/2)</f>
        <v>2.3912920110886029</v>
      </c>
      <c r="N244" s="27">
        <f>N243*(Presion_cilindro!O235/Presion_cilindro!O236)^Presion_cilindro!$B$9+10*(Presion_cilindro!$B$9-1)*Presion_cilindro!$B$33*(IF(Presion_cilindro!N236&gt;(-N$4+Presion_cilindro!$B$34),1-EXP(-Presion_cilindro!$B$16*((Presion_cilindro!N236-(-N$4+Presion_cilindro!$B$34))/Presion_cilindro!$B$35)^(Presion_cilindro!$B$17+1)),0)-IF(Presion_cilindro!N235&gt;(-N$4+Presion_cilindro!$B$34),1-EXP(-Presion_cilindro!$B$16*((Presion_cilindro!N235-(-N$4+Presion_cilindro!$B$34))/Presion_cilindro!$B$35)^(Presion_cilindro!$B$17+1)),0))/((Presion_cilindro!O235+Presion_cilindro!O236)/2)</f>
        <v>2.3912920110886029</v>
      </c>
    </row>
    <row r="245" spans="1:14" x14ac:dyDescent="0.25">
      <c r="A245" s="21">
        <f>Presion_cilindro!N237</f>
        <v>-63.5</v>
      </c>
      <c r="B245" s="27">
        <f>B244*(Presion_cilindro!O236/Presion_cilindro!O237)^Presion_cilindro!$B$9+10*(Presion_cilindro!$B$9-1)*Presion_cilindro!$B$33*(IF(Presion_cilindro!N237&gt;(-B$4+Presion_cilindro!$B$34),1-EXP(-Presion_cilindro!$B$16*((Presion_cilindro!N237-(-B$4+Presion_cilindro!$B$34))/Presion_cilindro!$B$35)^(Presion_cilindro!$B$17+1)),0)-IF(Presion_cilindro!N236&gt;(-B$4+Presion_cilindro!$B$34),1-EXP(-Presion_cilindro!$B$16*((Presion_cilindro!N236-(-B$4+Presion_cilindro!$B$34))/Presion_cilindro!$B$35)^(Presion_cilindro!$B$17+1)),0))/((Presion_cilindro!O236+Presion_cilindro!O237)/2)</f>
        <v>2.4228844038316839</v>
      </c>
      <c r="C245" s="27">
        <f>C244*(Presion_cilindro!O236/Presion_cilindro!O237)^Presion_cilindro!$B$9+10*(Presion_cilindro!$B$9-1)*Presion_cilindro!$B$33*(IF(Presion_cilindro!N237&gt;(-C$4+Presion_cilindro!$B$34),1-EXP(-Presion_cilindro!$B$16*((Presion_cilindro!N237-(-C$4+Presion_cilindro!$B$34))/Presion_cilindro!$B$35)^(Presion_cilindro!$B$17+1)),0)-IF(Presion_cilindro!N236&gt;(-C$4+Presion_cilindro!$B$34),1-EXP(-Presion_cilindro!$B$16*((Presion_cilindro!N236-(-C$4+Presion_cilindro!$B$34))/Presion_cilindro!$B$35)^(Presion_cilindro!$B$17+1)),0))/((Presion_cilindro!O236+Presion_cilindro!O237)/2)</f>
        <v>2.4228844038316839</v>
      </c>
      <c r="D245" s="27">
        <f>D244*(Presion_cilindro!O236/Presion_cilindro!O237)^Presion_cilindro!$B$9+10*(Presion_cilindro!$B$9-1)*Presion_cilindro!$B$33*(IF(Presion_cilindro!N237&gt;(-D$4+Presion_cilindro!$B$34),1-EXP(-Presion_cilindro!$B$16*((Presion_cilindro!N237-(-D$4+Presion_cilindro!$B$34))/Presion_cilindro!$B$35)^(Presion_cilindro!$B$17+1)),0)-IF(Presion_cilindro!N236&gt;(-D$4+Presion_cilindro!$B$34),1-EXP(-Presion_cilindro!$B$16*((Presion_cilindro!N236-(-D$4+Presion_cilindro!$B$34))/Presion_cilindro!$B$35)^(Presion_cilindro!$B$17+1)),0))/((Presion_cilindro!O236+Presion_cilindro!O237)/2)</f>
        <v>2.4228844038316839</v>
      </c>
      <c r="E245" s="27">
        <f>E244*(Presion_cilindro!O236/Presion_cilindro!O237)^Presion_cilindro!$B$9+10*(Presion_cilindro!$B$9-1)*Presion_cilindro!$B$33*(IF(Presion_cilindro!N237&gt;(-E$4+Presion_cilindro!$B$34),1-EXP(-Presion_cilindro!$B$16*((Presion_cilindro!N237-(-E$4+Presion_cilindro!$B$34))/Presion_cilindro!$B$35)^(Presion_cilindro!$B$17+1)),0)-IF(Presion_cilindro!N236&gt;(-E$4+Presion_cilindro!$B$34),1-EXP(-Presion_cilindro!$B$16*((Presion_cilindro!N236-(-E$4+Presion_cilindro!$B$34))/Presion_cilindro!$B$35)^(Presion_cilindro!$B$17+1)),0))/((Presion_cilindro!O236+Presion_cilindro!O237)/2)</f>
        <v>2.4228844038316839</v>
      </c>
      <c r="F245" s="27">
        <f>F244*(Presion_cilindro!O236/Presion_cilindro!O237)^Presion_cilindro!$B$9+10*(Presion_cilindro!$B$9-1)*Presion_cilindro!$B$33*(IF(Presion_cilindro!N237&gt;(-F$4+Presion_cilindro!$B$34),1-EXP(-Presion_cilindro!$B$16*((Presion_cilindro!N237-(-F$4+Presion_cilindro!$B$34))/Presion_cilindro!$B$35)^(Presion_cilindro!$B$17+1)),0)-IF(Presion_cilindro!N236&gt;(-F$4+Presion_cilindro!$B$34),1-EXP(-Presion_cilindro!$B$16*((Presion_cilindro!N236-(-F$4+Presion_cilindro!$B$34))/Presion_cilindro!$B$35)^(Presion_cilindro!$B$17+1)),0))/((Presion_cilindro!O236+Presion_cilindro!O237)/2)</f>
        <v>2.4228844038316839</v>
      </c>
      <c r="G245" s="27">
        <f>G244*(Presion_cilindro!O236/Presion_cilindro!O237)^Presion_cilindro!$B$9+10*(Presion_cilindro!$B$9-1)*Presion_cilindro!$B$33*(IF(Presion_cilindro!N237&gt;(-G$4+Presion_cilindro!$B$34),1-EXP(-Presion_cilindro!$B$16*((Presion_cilindro!N237-(-G$4+Presion_cilindro!$B$34))/Presion_cilindro!$B$35)^(Presion_cilindro!$B$17+1)),0)-IF(Presion_cilindro!N236&gt;(-G$4+Presion_cilindro!$B$34),1-EXP(-Presion_cilindro!$B$16*((Presion_cilindro!N236-(-G$4+Presion_cilindro!$B$34))/Presion_cilindro!$B$35)^(Presion_cilindro!$B$17+1)),0))/((Presion_cilindro!O236+Presion_cilindro!O237)/2)</f>
        <v>2.4228844038316839</v>
      </c>
      <c r="H245" s="27">
        <f>H244*(Presion_cilindro!O236/Presion_cilindro!O237)^Presion_cilindro!$B$9+10*(Presion_cilindro!$B$9-1)*Presion_cilindro!$B$33*(IF(Presion_cilindro!N237&gt;(-H$4+Presion_cilindro!$B$34),1-EXP(-Presion_cilindro!$B$16*((Presion_cilindro!N237-(-H$4+Presion_cilindro!$B$34))/Presion_cilindro!$B$35)^(Presion_cilindro!$B$17+1)),0)-IF(Presion_cilindro!N236&gt;(-H$4+Presion_cilindro!$B$34),1-EXP(-Presion_cilindro!$B$16*((Presion_cilindro!N236-(-H$4+Presion_cilindro!$B$34))/Presion_cilindro!$B$35)^(Presion_cilindro!$B$17+1)),0))/((Presion_cilindro!O236+Presion_cilindro!O237)/2)</f>
        <v>2.4228844038316839</v>
      </c>
      <c r="I245" s="27">
        <f>I244*(Presion_cilindro!O236/Presion_cilindro!O237)^Presion_cilindro!$B$9+10*(Presion_cilindro!$B$9-1)*Presion_cilindro!$B$33*(IF(Presion_cilindro!N237&gt;(-I$4+Presion_cilindro!$B$34),1-EXP(-Presion_cilindro!$B$16*((Presion_cilindro!N237-(-I$4+Presion_cilindro!$B$34))/Presion_cilindro!$B$35)^(Presion_cilindro!$B$17+1)),0)-IF(Presion_cilindro!N236&gt;(-I$4+Presion_cilindro!$B$34),1-EXP(-Presion_cilindro!$B$16*((Presion_cilindro!N236-(-I$4+Presion_cilindro!$B$34))/Presion_cilindro!$B$35)^(Presion_cilindro!$B$17+1)),0))/((Presion_cilindro!O236+Presion_cilindro!O237)/2)</f>
        <v>2.4228844038316839</v>
      </c>
      <c r="J245" s="27">
        <f>J244*(Presion_cilindro!O236/Presion_cilindro!O237)^Presion_cilindro!$B$9+10*(Presion_cilindro!$B$9-1)*Presion_cilindro!$B$33*(IF(Presion_cilindro!N237&gt;(-J$4+Presion_cilindro!$B$34),1-EXP(-Presion_cilindro!$B$16*((Presion_cilindro!N237-(-J$4+Presion_cilindro!$B$34))/Presion_cilindro!$B$35)^(Presion_cilindro!$B$17+1)),0)-IF(Presion_cilindro!N236&gt;(-J$4+Presion_cilindro!$B$34),1-EXP(-Presion_cilindro!$B$16*((Presion_cilindro!N236-(-J$4+Presion_cilindro!$B$34))/Presion_cilindro!$B$35)^(Presion_cilindro!$B$17+1)),0))/((Presion_cilindro!O236+Presion_cilindro!O237)/2)</f>
        <v>2.4228844038316839</v>
      </c>
      <c r="K245" s="27">
        <f>K244*(Presion_cilindro!O236/Presion_cilindro!O237)^Presion_cilindro!$B$9+10*(Presion_cilindro!$B$9-1)*Presion_cilindro!$B$33*(IF(Presion_cilindro!N237&gt;(-K$4+Presion_cilindro!$B$34),1-EXP(-Presion_cilindro!$B$16*((Presion_cilindro!N237-(-K$4+Presion_cilindro!$B$34))/Presion_cilindro!$B$35)^(Presion_cilindro!$B$17+1)),0)-IF(Presion_cilindro!N236&gt;(-K$4+Presion_cilindro!$B$34),1-EXP(-Presion_cilindro!$B$16*((Presion_cilindro!N236-(-K$4+Presion_cilindro!$B$34))/Presion_cilindro!$B$35)^(Presion_cilindro!$B$17+1)),0))/((Presion_cilindro!O236+Presion_cilindro!O237)/2)</f>
        <v>2.4228844038316839</v>
      </c>
      <c r="L245" s="27">
        <f>L244*(Presion_cilindro!O236/Presion_cilindro!O237)^Presion_cilindro!$B$9+10*(Presion_cilindro!$B$9-1)*Presion_cilindro!$B$33*(IF(Presion_cilindro!N237&gt;(-L$4+Presion_cilindro!$B$34),1-EXP(-Presion_cilindro!$B$16*((Presion_cilindro!N237-(-L$4+Presion_cilindro!$B$34))/Presion_cilindro!$B$35)^(Presion_cilindro!$B$17+1)),0)-IF(Presion_cilindro!N236&gt;(-L$4+Presion_cilindro!$B$34),1-EXP(-Presion_cilindro!$B$16*((Presion_cilindro!N236-(-L$4+Presion_cilindro!$B$34))/Presion_cilindro!$B$35)^(Presion_cilindro!$B$17+1)),0))/((Presion_cilindro!O236+Presion_cilindro!O237)/2)</f>
        <v>2.4228844038316839</v>
      </c>
      <c r="M245" s="27">
        <f>M244*(Presion_cilindro!O236/Presion_cilindro!O237)^Presion_cilindro!$B$9+10*(Presion_cilindro!$B$9-1)*Presion_cilindro!$B$33*(IF(Presion_cilindro!N237&gt;(-M$4+Presion_cilindro!$B$34),1-EXP(-Presion_cilindro!$B$16*((Presion_cilindro!N237-(-M$4+Presion_cilindro!$B$34))/Presion_cilindro!$B$35)^(Presion_cilindro!$B$17+1)),0)-IF(Presion_cilindro!N236&gt;(-M$4+Presion_cilindro!$B$34),1-EXP(-Presion_cilindro!$B$16*((Presion_cilindro!N236-(-M$4+Presion_cilindro!$B$34))/Presion_cilindro!$B$35)^(Presion_cilindro!$B$17+1)),0))/((Presion_cilindro!O236+Presion_cilindro!O237)/2)</f>
        <v>2.4228844038316839</v>
      </c>
      <c r="N245" s="27">
        <f>N244*(Presion_cilindro!O236/Presion_cilindro!O237)^Presion_cilindro!$B$9+10*(Presion_cilindro!$B$9-1)*Presion_cilindro!$B$33*(IF(Presion_cilindro!N237&gt;(-N$4+Presion_cilindro!$B$34),1-EXP(-Presion_cilindro!$B$16*((Presion_cilindro!N237-(-N$4+Presion_cilindro!$B$34))/Presion_cilindro!$B$35)^(Presion_cilindro!$B$17+1)),0)-IF(Presion_cilindro!N236&gt;(-N$4+Presion_cilindro!$B$34),1-EXP(-Presion_cilindro!$B$16*((Presion_cilindro!N236-(-N$4+Presion_cilindro!$B$34))/Presion_cilindro!$B$35)^(Presion_cilindro!$B$17+1)),0))/((Presion_cilindro!O236+Presion_cilindro!O237)/2)</f>
        <v>2.4228844038316839</v>
      </c>
    </row>
    <row r="246" spans="1:14" x14ac:dyDescent="0.25">
      <c r="A246" s="21">
        <f>Presion_cilindro!N238</f>
        <v>-63</v>
      </c>
      <c r="B246" s="27">
        <f>B245*(Presion_cilindro!O237/Presion_cilindro!O238)^Presion_cilindro!$B$9+10*(Presion_cilindro!$B$9-1)*Presion_cilindro!$B$33*(IF(Presion_cilindro!N238&gt;(-B$4+Presion_cilindro!$B$34),1-EXP(-Presion_cilindro!$B$16*((Presion_cilindro!N238-(-B$4+Presion_cilindro!$B$34))/Presion_cilindro!$B$35)^(Presion_cilindro!$B$17+1)),0)-IF(Presion_cilindro!N237&gt;(-B$4+Presion_cilindro!$B$34),1-EXP(-Presion_cilindro!$B$16*((Presion_cilindro!N237-(-B$4+Presion_cilindro!$B$34))/Presion_cilindro!$B$35)^(Presion_cilindro!$B$17+1)),0))/((Presion_cilindro!O237+Presion_cilindro!O238)/2)</f>
        <v>2.4551386481606614</v>
      </c>
      <c r="C246" s="27">
        <f>C245*(Presion_cilindro!O237/Presion_cilindro!O238)^Presion_cilindro!$B$9+10*(Presion_cilindro!$B$9-1)*Presion_cilindro!$B$33*(IF(Presion_cilindro!N238&gt;(-C$4+Presion_cilindro!$B$34),1-EXP(-Presion_cilindro!$B$16*((Presion_cilindro!N238-(-C$4+Presion_cilindro!$B$34))/Presion_cilindro!$B$35)^(Presion_cilindro!$B$17+1)),0)-IF(Presion_cilindro!N237&gt;(-C$4+Presion_cilindro!$B$34),1-EXP(-Presion_cilindro!$B$16*((Presion_cilindro!N237-(-C$4+Presion_cilindro!$B$34))/Presion_cilindro!$B$35)^(Presion_cilindro!$B$17+1)),0))/((Presion_cilindro!O237+Presion_cilindro!O238)/2)</f>
        <v>2.4551386481606614</v>
      </c>
      <c r="D246" s="27">
        <f>D245*(Presion_cilindro!O237/Presion_cilindro!O238)^Presion_cilindro!$B$9+10*(Presion_cilindro!$B$9-1)*Presion_cilindro!$B$33*(IF(Presion_cilindro!N238&gt;(-D$4+Presion_cilindro!$B$34),1-EXP(-Presion_cilindro!$B$16*((Presion_cilindro!N238-(-D$4+Presion_cilindro!$B$34))/Presion_cilindro!$B$35)^(Presion_cilindro!$B$17+1)),0)-IF(Presion_cilindro!N237&gt;(-D$4+Presion_cilindro!$B$34),1-EXP(-Presion_cilindro!$B$16*((Presion_cilindro!N237-(-D$4+Presion_cilindro!$B$34))/Presion_cilindro!$B$35)^(Presion_cilindro!$B$17+1)),0))/((Presion_cilindro!O237+Presion_cilindro!O238)/2)</f>
        <v>2.4551386481606614</v>
      </c>
      <c r="E246" s="27">
        <f>E245*(Presion_cilindro!O237/Presion_cilindro!O238)^Presion_cilindro!$B$9+10*(Presion_cilindro!$B$9-1)*Presion_cilindro!$B$33*(IF(Presion_cilindro!N238&gt;(-E$4+Presion_cilindro!$B$34),1-EXP(-Presion_cilindro!$B$16*((Presion_cilindro!N238-(-E$4+Presion_cilindro!$B$34))/Presion_cilindro!$B$35)^(Presion_cilindro!$B$17+1)),0)-IF(Presion_cilindro!N237&gt;(-E$4+Presion_cilindro!$B$34),1-EXP(-Presion_cilindro!$B$16*((Presion_cilindro!N237-(-E$4+Presion_cilindro!$B$34))/Presion_cilindro!$B$35)^(Presion_cilindro!$B$17+1)),0))/((Presion_cilindro!O237+Presion_cilindro!O238)/2)</f>
        <v>2.4551386481606614</v>
      </c>
      <c r="F246" s="27">
        <f>F245*(Presion_cilindro!O237/Presion_cilindro!O238)^Presion_cilindro!$B$9+10*(Presion_cilindro!$B$9-1)*Presion_cilindro!$B$33*(IF(Presion_cilindro!N238&gt;(-F$4+Presion_cilindro!$B$34),1-EXP(-Presion_cilindro!$B$16*((Presion_cilindro!N238-(-F$4+Presion_cilindro!$B$34))/Presion_cilindro!$B$35)^(Presion_cilindro!$B$17+1)),0)-IF(Presion_cilindro!N237&gt;(-F$4+Presion_cilindro!$B$34),1-EXP(-Presion_cilindro!$B$16*((Presion_cilindro!N237-(-F$4+Presion_cilindro!$B$34))/Presion_cilindro!$B$35)^(Presion_cilindro!$B$17+1)),0))/((Presion_cilindro!O237+Presion_cilindro!O238)/2)</f>
        <v>2.4551386481606614</v>
      </c>
      <c r="G246" s="27">
        <f>G245*(Presion_cilindro!O237/Presion_cilindro!O238)^Presion_cilindro!$B$9+10*(Presion_cilindro!$B$9-1)*Presion_cilindro!$B$33*(IF(Presion_cilindro!N238&gt;(-G$4+Presion_cilindro!$B$34),1-EXP(-Presion_cilindro!$B$16*((Presion_cilindro!N238-(-G$4+Presion_cilindro!$B$34))/Presion_cilindro!$B$35)^(Presion_cilindro!$B$17+1)),0)-IF(Presion_cilindro!N237&gt;(-G$4+Presion_cilindro!$B$34),1-EXP(-Presion_cilindro!$B$16*((Presion_cilindro!N237-(-G$4+Presion_cilindro!$B$34))/Presion_cilindro!$B$35)^(Presion_cilindro!$B$17+1)),0))/((Presion_cilindro!O237+Presion_cilindro!O238)/2)</f>
        <v>2.4551386481606614</v>
      </c>
      <c r="H246" s="27">
        <f>H245*(Presion_cilindro!O237/Presion_cilindro!O238)^Presion_cilindro!$B$9+10*(Presion_cilindro!$B$9-1)*Presion_cilindro!$B$33*(IF(Presion_cilindro!N238&gt;(-H$4+Presion_cilindro!$B$34),1-EXP(-Presion_cilindro!$B$16*((Presion_cilindro!N238-(-H$4+Presion_cilindro!$B$34))/Presion_cilindro!$B$35)^(Presion_cilindro!$B$17+1)),0)-IF(Presion_cilindro!N237&gt;(-H$4+Presion_cilindro!$B$34),1-EXP(-Presion_cilindro!$B$16*((Presion_cilindro!N237-(-H$4+Presion_cilindro!$B$34))/Presion_cilindro!$B$35)^(Presion_cilindro!$B$17+1)),0))/((Presion_cilindro!O237+Presion_cilindro!O238)/2)</f>
        <v>2.4551386481606614</v>
      </c>
      <c r="I246" s="27">
        <f>I245*(Presion_cilindro!O237/Presion_cilindro!O238)^Presion_cilindro!$B$9+10*(Presion_cilindro!$B$9-1)*Presion_cilindro!$B$33*(IF(Presion_cilindro!N238&gt;(-I$4+Presion_cilindro!$B$34),1-EXP(-Presion_cilindro!$B$16*((Presion_cilindro!N238-(-I$4+Presion_cilindro!$B$34))/Presion_cilindro!$B$35)^(Presion_cilindro!$B$17+1)),0)-IF(Presion_cilindro!N237&gt;(-I$4+Presion_cilindro!$B$34),1-EXP(-Presion_cilindro!$B$16*((Presion_cilindro!N237-(-I$4+Presion_cilindro!$B$34))/Presion_cilindro!$B$35)^(Presion_cilindro!$B$17+1)),0))/((Presion_cilindro!O237+Presion_cilindro!O238)/2)</f>
        <v>2.4551386481606614</v>
      </c>
      <c r="J246" s="27">
        <f>J245*(Presion_cilindro!O237/Presion_cilindro!O238)^Presion_cilindro!$B$9+10*(Presion_cilindro!$B$9-1)*Presion_cilindro!$B$33*(IF(Presion_cilindro!N238&gt;(-J$4+Presion_cilindro!$B$34),1-EXP(-Presion_cilindro!$B$16*((Presion_cilindro!N238-(-J$4+Presion_cilindro!$B$34))/Presion_cilindro!$B$35)^(Presion_cilindro!$B$17+1)),0)-IF(Presion_cilindro!N237&gt;(-J$4+Presion_cilindro!$B$34),1-EXP(-Presion_cilindro!$B$16*((Presion_cilindro!N237-(-J$4+Presion_cilindro!$B$34))/Presion_cilindro!$B$35)^(Presion_cilindro!$B$17+1)),0))/((Presion_cilindro!O237+Presion_cilindro!O238)/2)</f>
        <v>2.4551386481606614</v>
      </c>
      <c r="K246" s="27">
        <f>K245*(Presion_cilindro!O237/Presion_cilindro!O238)^Presion_cilindro!$B$9+10*(Presion_cilindro!$B$9-1)*Presion_cilindro!$B$33*(IF(Presion_cilindro!N238&gt;(-K$4+Presion_cilindro!$B$34),1-EXP(-Presion_cilindro!$B$16*((Presion_cilindro!N238-(-K$4+Presion_cilindro!$B$34))/Presion_cilindro!$B$35)^(Presion_cilindro!$B$17+1)),0)-IF(Presion_cilindro!N237&gt;(-K$4+Presion_cilindro!$B$34),1-EXP(-Presion_cilindro!$B$16*((Presion_cilindro!N237-(-K$4+Presion_cilindro!$B$34))/Presion_cilindro!$B$35)^(Presion_cilindro!$B$17+1)),0))/((Presion_cilindro!O237+Presion_cilindro!O238)/2)</f>
        <v>2.4551386481606614</v>
      </c>
      <c r="L246" s="27">
        <f>L245*(Presion_cilindro!O237/Presion_cilindro!O238)^Presion_cilindro!$B$9+10*(Presion_cilindro!$B$9-1)*Presion_cilindro!$B$33*(IF(Presion_cilindro!N238&gt;(-L$4+Presion_cilindro!$B$34),1-EXP(-Presion_cilindro!$B$16*((Presion_cilindro!N238-(-L$4+Presion_cilindro!$B$34))/Presion_cilindro!$B$35)^(Presion_cilindro!$B$17+1)),0)-IF(Presion_cilindro!N237&gt;(-L$4+Presion_cilindro!$B$34),1-EXP(-Presion_cilindro!$B$16*((Presion_cilindro!N237-(-L$4+Presion_cilindro!$B$34))/Presion_cilindro!$B$35)^(Presion_cilindro!$B$17+1)),0))/((Presion_cilindro!O237+Presion_cilindro!O238)/2)</f>
        <v>2.4551386481606614</v>
      </c>
      <c r="M246" s="27">
        <f>M245*(Presion_cilindro!O237/Presion_cilindro!O238)^Presion_cilindro!$B$9+10*(Presion_cilindro!$B$9-1)*Presion_cilindro!$B$33*(IF(Presion_cilindro!N238&gt;(-M$4+Presion_cilindro!$B$34),1-EXP(-Presion_cilindro!$B$16*((Presion_cilindro!N238-(-M$4+Presion_cilindro!$B$34))/Presion_cilindro!$B$35)^(Presion_cilindro!$B$17+1)),0)-IF(Presion_cilindro!N237&gt;(-M$4+Presion_cilindro!$B$34),1-EXP(-Presion_cilindro!$B$16*((Presion_cilindro!N237-(-M$4+Presion_cilindro!$B$34))/Presion_cilindro!$B$35)^(Presion_cilindro!$B$17+1)),0))/((Presion_cilindro!O237+Presion_cilindro!O238)/2)</f>
        <v>2.4551386481606614</v>
      </c>
      <c r="N246" s="27">
        <f>N245*(Presion_cilindro!O237/Presion_cilindro!O238)^Presion_cilindro!$B$9+10*(Presion_cilindro!$B$9-1)*Presion_cilindro!$B$33*(IF(Presion_cilindro!N238&gt;(-N$4+Presion_cilindro!$B$34),1-EXP(-Presion_cilindro!$B$16*((Presion_cilindro!N238-(-N$4+Presion_cilindro!$B$34))/Presion_cilindro!$B$35)^(Presion_cilindro!$B$17+1)),0)-IF(Presion_cilindro!N237&gt;(-N$4+Presion_cilindro!$B$34),1-EXP(-Presion_cilindro!$B$16*((Presion_cilindro!N237-(-N$4+Presion_cilindro!$B$34))/Presion_cilindro!$B$35)^(Presion_cilindro!$B$17+1)),0))/((Presion_cilindro!O237+Presion_cilindro!O238)/2)</f>
        <v>2.4551386481606614</v>
      </c>
    </row>
    <row r="247" spans="1:14" x14ac:dyDescent="0.25">
      <c r="A247" s="21">
        <f>Presion_cilindro!N239</f>
        <v>-62.5</v>
      </c>
      <c r="B247" s="27">
        <f>B246*(Presion_cilindro!O238/Presion_cilindro!O239)^Presion_cilindro!$B$9+10*(Presion_cilindro!$B$9-1)*Presion_cilindro!$B$33*(IF(Presion_cilindro!N239&gt;(-B$4+Presion_cilindro!$B$34),1-EXP(-Presion_cilindro!$B$16*((Presion_cilindro!N239-(-B$4+Presion_cilindro!$B$34))/Presion_cilindro!$B$35)^(Presion_cilindro!$B$17+1)),0)-IF(Presion_cilindro!N238&gt;(-B$4+Presion_cilindro!$B$34),1-EXP(-Presion_cilindro!$B$16*((Presion_cilindro!N238-(-B$4+Presion_cilindro!$B$34))/Presion_cilindro!$B$35)^(Presion_cilindro!$B$17+1)),0))/((Presion_cilindro!O238+Presion_cilindro!O239)/2)</f>
        <v>2.4880707370037776</v>
      </c>
      <c r="C247" s="27">
        <f>C246*(Presion_cilindro!O238/Presion_cilindro!O239)^Presion_cilindro!$B$9+10*(Presion_cilindro!$B$9-1)*Presion_cilindro!$B$33*(IF(Presion_cilindro!N239&gt;(-C$4+Presion_cilindro!$B$34),1-EXP(-Presion_cilindro!$B$16*((Presion_cilindro!N239-(-C$4+Presion_cilindro!$B$34))/Presion_cilindro!$B$35)^(Presion_cilindro!$B$17+1)),0)-IF(Presion_cilindro!N238&gt;(-C$4+Presion_cilindro!$B$34),1-EXP(-Presion_cilindro!$B$16*((Presion_cilindro!N238-(-C$4+Presion_cilindro!$B$34))/Presion_cilindro!$B$35)^(Presion_cilindro!$B$17+1)),0))/((Presion_cilindro!O238+Presion_cilindro!O239)/2)</f>
        <v>2.4880707370037776</v>
      </c>
      <c r="D247" s="27">
        <f>D246*(Presion_cilindro!O238/Presion_cilindro!O239)^Presion_cilindro!$B$9+10*(Presion_cilindro!$B$9-1)*Presion_cilindro!$B$33*(IF(Presion_cilindro!N239&gt;(-D$4+Presion_cilindro!$B$34),1-EXP(-Presion_cilindro!$B$16*((Presion_cilindro!N239-(-D$4+Presion_cilindro!$B$34))/Presion_cilindro!$B$35)^(Presion_cilindro!$B$17+1)),0)-IF(Presion_cilindro!N238&gt;(-D$4+Presion_cilindro!$B$34),1-EXP(-Presion_cilindro!$B$16*((Presion_cilindro!N238-(-D$4+Presion_cilindro!$B$34))/Presion_cilindro!$B$35)^(Presion_cilindro!$B$17+1)),0))/((Presion_cilindro!O238+Presion_cilindro!O239)/2)</f>
        <v>2.4880707370037776</v>
      </c>
      <c r="E247" s="27">
        <f>E246*(Presion_cilindro!O238/Presion_cilindro!O239)^Presion_cilindro!$B$9+10*(Presion_cilindro!$B$9-1)*Presion_cilindro!$B$33*(IF(Presion_cilindro!N239&gt;(-E$4+Presion_cilindro!$B$34),1-EXP(-Presion_cilindro!$B$16*((Presion_cilindro!N239-(-E$4+Presion_cilindro!$B$34))/Presion_cilindro!$B$35)^(Presion_cilindro!$B$17+1)),0)-IF(Presion_cilindro!N238&gt;(-E$4+Presion_cilindro!$B$34),1-EXP(-Presion_cilindro!$B$16*((Presion_cilindro!N238-(-E$4+Presion_cilindro!$B$34))/Presion_cilindro!$B$35)^(Presion_cilindro!$B$17+1)),0))/((Presion_cilindro!O238+Presion_cilindro!O239)/2)</f>
        <v>2.4880707370037776</v>
      </c>
      <c r="F247" s="27">
        <f>F246*(Presion_cilindro!O238/Presion_cilindro!O239)^Presion_cilindro!$B$9+10*(Presion_cilindro!$B$9-1)*Presion_cilindro!$B$33*(IF(Presion_cilindro!N239&gt;(-F$4+Presion_cilindro!$B$34),1-EXP(-Presion_cilindro!$B$16*((Presion_cilindro!N239-(-F$4+Presion_cilindro!$B$34))/Presion_cilindro!$B$35)^(Presion_cilindro!$B$17+1)),0)-IF(Presion_cilindro!N238&gt;(-F$4+Presion_cilindro!$B$34),1-EXP(-Presion_cilindro!$B$16*((Presion_cilindro!N238-(-F$4+Presion_cilindro!$B$34))/Presion_cilindro!$B$35)^(Presion_cilindro!$B$17+1)),0))/((Presion_cilindro!O238+Presion_cilindro!O239)/2)</f>
        <v>2.4880707370037776</v>
      </c>
      <c r="G247" s="27">
        <f>G246*(Presion_cilindro!O238/Presion_cilindro!O239)^Presion_cilindro!$B$9+10*(Presion_cilindro!$B$9-1)*Presion_cilindro!$B$33*(IF(Presion_cilindro!N239&gt;(-G$4+Presion_cilindro!$B$34),1-EXP(-Presion_cilindro!$B$16*((Presion_cilindro!N239-(-G$4+Presion_cilindro!$B$34))/Presion_cilindro!$B$35)^(Presion_cilindro!$B$17+1)),0)-IF(Presion_cilindro!N238&gt;(-G$4+Presion_cilindro!$B$34),1-EXP(-Presion_cilindro!$B$16*((Presion_cilindro!N238-(-G$4+Presion_cilindro!$B$34))/Presion_cilindro!$B$35)^(Presion_cilindro!$B$17+1)),0))/((Presion_cilindro!O238+Presion_cilindro!O239)/2)</f>
        <v>2.4880707370037776</v>
      </c>
      <c r="H247" s="27">
        <f>H246*(Presion_cilindro!O238/Presion_cilindro!O239)^Presion_cilindro!$B$9+10*(Presion_cilindro!$B$9-1)*Presion_cilindro!$B$33*(IF(Presion_cilindro!N239&gt;(-H$4+Presion_cilindro!$B$34),1-EXP(-Presion_cilindro!$B$16*((Presion_cilindro!N239-(-H$4+Presion_cilindro!$B$34))/Presion_cilindro!$B$35)^(Presion_cilindro!$B$17+1)),0)-IF(Presion_cilindro!N238&gt;(-H$4+Presion_cilindro!$B$34),1-EXP(-Presion_cilindro!$B$16*((Presion_cilindro!N238-(-H$4+Presion_cilindro!$B$34))/Presion_cilindro!$B$35)^(Presion_cilindro!$B$17+1)),0))/((Presion_cilindro!O238+Presion_cilindro!O239)/2)</f>
        <v>2.4880707370037776</v>
      </c>
      <c r="I247" s="27">
        <f>I246*(Presion_cilindro!O238/Presion_cilindro!O239)^Presion_cilindro!$B$9+10*(Presion_cilindro!$B$9-1)*Presion_cilindro!$B$33*(IF(Presion_cilindro!N239&gt;(-I$4+Presion_cilindro!$B$34),1-EXP(-Presion_cilindro!$B$16*((Presion_cilindro!N239-(-I$4+Presion_cilindro!$B$34))/Presion_cilindro!$B$35)^(Presion_cilindro!$B$17+1)),0)-IF(Presion_cilindro!N238&gt;(-I$4+Presion_cilindro!$B$34),1-EXP(-Presion_cilindro!$B$16*((Presion_cilindro!N238-(-I$4+Presion_cilindro!$B$34))/Presion_cilindro!$B$35)^(Presion_cilindro!$B$17+1)),0))/((Presion_cilindro!O238+Presion_cilindro!O239)/2)</f>
        <v>2.4880707370037776</v>
      </c>
      <c r="J247" s="27">
        <f>J246*(Presion_cilindro!O238/Presion_cilindro!O239)^Presion_cilindro!$B$9+10*(Presion_cilindro!$B$9-1)*Presion_cilindro!$B$33*(IF(Presion_cilindro!N239&gt;(-J$4+Presion_cilindro!$B$34),1-EXP(-Presion_cilindro!$B$16*((Presion_cilindro!N239-(-J$4+Presion_cilindro!$B$34))/Presion_cilindro!$B$35)^(Presion_cilindro!$B$17+1)),0)-IF(Presion_cilindro!N238&gt;(-J$4+Presion_cilindro!$B$34),1-EXP(-Presion_cilindro!$B$16*((Presion_cilindro!N238-(-J$4+Presion_cilindro!$B$34))/Presion_cilindro!$B$35)^(Presion_cilindro!$B$17+1)),0))/((Presion_cilindro!O238+Presion_cilindro!O239)/2)</f>
        <v>2.4880707370037776</v>
      </c>
      <c r="K247" s="27">
        <f>K246*(Presion_cilindro!O238/Presion_cilindro!O239)^Presion_cilindro!$B$9+10*(Presion_cilindro!$B$9-1)*Presion_cilindro!$B$33*(IF(Presion_cilindro!N239&gt;(-K$4+Presion_cilindro!$B$34),1-EXP(-Presion_cilindro!$B$16*((Presion_cilindro!N239-(-K$4+Presion_cilindro!$B$34))/Presion_cilindro!$B$35)^(Presion_cilindro!$B$17+1)),0)-IF(Presion_cilindro!N238&gt;(-K$4+Presion_cilindro!$B$34),1-EXP(-Presion_cilindro!$B$16*((Presion_cilindro!N238-(-K$4+Presion_cilindro!$B$34))/Presion_cilindro!$B$35)^(Presion_cilindro!$B$17+1)),0))/((Presion_cilindro!O238+Presion_cilindro!O239)/2)</f>
        <v>2.4880707370037776</v>
      </c>
      <c r="L247" s="27">
        <f>L246*(Presion_cilindro!O238/Presion_cilindro!O239)^Presion_cilindro!$B$9+10*(Presion_cilindro!$B$9-1)*Presion_cilindro!$B$33*(IF(Presion_cilindro!N239&gt;(-L$4+Presion_cilindro!$B$34),1-EXP(-Presion_cilindro!$B$16*((Presion_cilindro!N239-(-L$4+Presion_cilindro!$B$34))/Presion_cilindro!$B$35)^(Presion_cilindro!$B$17+1)),0)-IF(Presion_cilindro!N238&gt;(-L$4+Presion_cilindro!$B$34),1-EXP(-Presion_cilindro!$B$16*((Presion_cilindro!N238-(-L$4+Presion_cilindro!$B$34))/Presion_cilindro!$B$35)^(Presion_cilindro!$B$17+1)),0))/((Presion_cilindro!O238+Presion_cilindro!O239)/2)</f>
        <v>2.4880707370037776</v>
      </c>
      <c r="M247" s="27">
        <f>M246*(Presion_cilindro!O238/Presion_cilindro!O239)^Presion_cilindro!$B$9+10*(Presion_cilindro!$B$9-1)*Presion_cilindro!$B$33*(IF(Presion_cilindro!N239&gt;(-M$4+Presion_cilindro!$B$34),1-EXP(-Presion_cilindro!$B$16*((Presion_cilindro!N239-(-M$4+Presion_cilindro!$B$34))/Presion_cilindro!$B$35)^(Presion_cilindro!$B$17+1)),0)-IF(Presion_cilindro!N238&gt;(-M$4+Presion_cilindro!$B$34),1-EXP(-Presion_cilindro!$B$16*((Presion_cilindro!N238-(-M$4+Presion_cilindro!$B$34))/Presion_cilindro!$B$35)^(Presion_cilindro!$B$17+1)),0))/((Presion_cilindro!O238+Presion_cilindro!O239)/2)</f>
        <v>2.4880707370037776</v>
      </c>
      <c r="N247" s="27">
        <f>N246*(Presion_cilindro!O238/Presion_cilindro!O239)^Presion_cilindro!$B$9+10*(Presion_cilindro!$B$9-1)*Presion_cilindro!$B$33*(IF(Presion_cilindro!N239&gt;(-N$4+Presion_cilindro!$B$34),1-EXP(-Presion_cilindro!$B$16*((Presion_cilindro!N239-(-N$4+Presion_cilindro!$B$34))/Presion_cilindro!$B$35)^(Presion_cilindro!$B$17+1)),0)-IF(Presion_cilindro!N238&gt;(-N$4+Presion_cilindro!$B$34),1-EXP(-Presion_cilindro!$B$16*((Presion_cilindro!N238-(-N$4+Presion_cilindro!$B$34))/Presion_cilindro!$B$35)^(Presion_cilindro!$B$17+1)),0))/((Presion_cilindro!O238+Presion_cilindro!O239)/2)</f>
        <v>2.4880707370037776</v>
      </c>
    </row>
    <row r="248" spans="1:14" x14ac:dyDescent="0.25">
      <c r="A248" s="21">
        <f>Presion_cilindro!N240</f>
        <v>-62</v>
      </c>
      <c r="B248" s="27">
        <f>B247*(Presion_cilindro!O239/Presion_cilindro!O240)^Presion_cilindro!$B$9+10*(Presion_cilindro!$B$9-1)*Presion_cilindro!$B$33*(IF(Presion_cilindro!N240&gt;(-B$4+Presion_cilindro!$B$34),1-EXP(-Presion_cilindro!$B$16*((Presion_cilindro!N240-(-B$4+Presion_cilindro!$B$34))/Presion_cilindro!$B$35)^(Presion_cilindro!$B$17+1)),0)-IF(Presion_cilindro!N239&gt;(-B$4+Presion_cilindro!$B$34),1-EXP(-Presion_cilindro!$B$16*((Presion_cilindro!N239-(-B$4+Presion_cilindro!$B$34))/Presion_cilindro!$B$35)^(Presion_cilindro!$B$17+1)),0))/((Presion_cilindro!O239+Presion_cilindro!O240)/2)</f>
        <v>2.521697073151516</v>
      </c>
      <c r="C248" s="27">
        <f>C247*(Presion_cilindro!O239/Presion_cilindro!O240)^Presion_cilindro!$B$9+10*(Presion_cilindro!$B$9-1)*Presion_cilindro!$B$33*(IF(Presion_cilindro!N240&gt;(-C$4+Presion_cilindro!$B$34),1-EXP(-Presion_cilindro!$B$16*((Presion_cilindro!N240-(-C$4+Presion_cilindro!$B$34))/Presion_cilindro!$B$35)^(Presion_cilindro!$B$17+1)),0)-IF(Presion_cilindro!N239&gt;(-C$4+Presion_cilindro!$B$34),1-EXP(-Presion_cilindro!$B$16*((Presion_cilindro!N239-(-C$4+Presion_cilindro!$B$34))/Presion_cilindro!$B$35)^(Presion_cilindro!$B$17+1)),0))/((Presion_cilindro!O239+Presion_cilindro!O240)/2)</f>
        <v>2.521697073151516</v>
      </c>
      <c r="D248" s="27">
        <f>D247*(Presion_cilindro!O239/Presion_cilindro!O240)^Presion_cilindro!$B$9+10*(Presion_cilindro!$B$9-1)*Presion_cilindro!$B$33*(IF(Presion_cilindro!N240&gt;(-D$4+Presion_cilindro!$B$34),1-EXP(-Presion_cilindro!$B$16*((Presion_cilindro!N240-(-D$4+Presion_cilindro!$B$34))/Presion_cilindro!$B$35)^(Presion_cilindro!$B$17+1)),0)-IF(Presion_cilindro!N239&gt;(-D$4+Presion_cilindro!$B$34),1-EXP(-Presion_cilindro!$B$16*((Presion_cilindro!N239-(-D$4+Presion_cilindro!$B$34))/Presion_cilindro!$B$35)^(Presion_cilindro!$B$17+1)),0))/((Presion_cilindro!O239+Presion_cilindro!O240)/2)</f>
        <v>2.521697073151516</v>
      </c>
      <c r="E248" s="27">
        <f>E247*(Presion_cilindro!O239/Presion_cilindro!O240)^Presion_cilindro!$B$9+10*(Presion_cilindro!$B$9-1)*Presion_cilindro!$B$33*(IF(Presion_cilindro!N240&gt;(-E$4+Presion_cilindro!$B$34),1-EXP(-Presion_cilindro!$B$16*((Presion_cilindro!N240-(-E$4+Presion_cilindro!$B$34))/Presion_cilindro!$B$35)^(Presion_cilindro!$B$17+1)),0)-IF(Presion_cilindro!N239&gt;(-E$4+Presion_cilindro!$B$34),1-EXP(-Presion_cilindro!$B$16*((Presion_cilindro!N239-(-E$4+Presion_cilindro!$B$34))/Presion_cilindro!$B$35)^(Presion_cilindro!$B$17+1)),0))/((Presion_cilindro!O239+Presion_cilindro!O240)/2)</f>
        <v>2.521697073151516</v>
      </c>
      <c r="F248" s="27">
        <f>F247*(Presion_cilindro!O239/Presion_cilindro!O240)^Presion_cilindro!$B$9+10*(Presion_cilindro!$B$9-1)*Presion_cilindro!$B$33*(IF(Presion_cilindro!N240&gt;(-F$4+Presion_cilindro!$B$34),1-EXP(-Presion_cilindro!$B$16*((Presion_cilindro!N240-(-F$4+Presion_cilindro!$B$34))/Presion_cilindro!$B$35)^(Presion_cilindro!$B$17+1)),0)-IF(Presion_cilindro!N239&gt;(-F$4+Presion_cilindro!$B$34),1-EXP(-Presion_cilindro!$B$16*((Presion_cilindro!N239-(-F$4+Presion_cilindro!$B$34))/Presion_cilindro!$B$35)^(Presion_cilindro!$B$17+1)),0))/((Presion_cilindro!O239+Presion_cilindro!O240)/2)</f>
        <v>2.521697073151516</v>
      </c>
      <c r="G248" s="27">
        <f>G247*(Presion_cilindro!O239/Presion_cilindro!O240)^Presion_cilindro!$B$9+10*(Presion_cilindro!$B$9-1)*Presion_cilindro!$B$33*(IF(Presion_cilindro!N240&gt;(-G$4+Presion_cilindro!$B$34),1-EXP(-Presion_cilindro!$B$16*((Presion_cilindro!N240-(-G$4+Presion_cilindro!$B$34))/Presion_cilindro!$B$35)^(Presion_cilindro!$B$17+1)),0)-IF(Presion_cilindro!N239&gt;(-G$4+Presion_cilindro!$B$34),1-EXP(-Presion_cilindro!$B$16*((Presion_cilindro!N239-(-G$4+Presion_cilindro!$B$34))/Presion_cilindro!$B$35)^(Presion_cilindro!$B$17+1)),0))/((Presion_cilindro!O239+Presion_cilindro!O240)/2)</f>
        <v>2.521697073151516</v>
      </c>
      <c r="H248" s="27">
        <f>H247*(Presion_cilindro!O239/Presion_cilindro!O240)^Presion_cilindro!$B$9+10*(Presion_cilindro!$B$9-1)*Presion_cilindro!$B$33*(IF(Presion_cilindro!N240&gt;(-H$4+Presion_cilindro!$B$34),1-EXP(-Presion_cilindro!$B$16*((Presion_cilindro!N240-(-H$4+Presion_cilindro!$B$34))/Presion_cilindro!$B$35)^(Presion_cilindro!$B$17+1)),0)-IF(Presion_cilindro!N239&gt;(-H$4+Presion_cilindro!$B$34),1-EXP(-Presion_cilindro!$B$16*((Presion_cilindro!N239-(-H$4+Presion_cilindro!$B$34))/Presion_cilindro!$B$35)^(Presion_cilindro!$B$17+1)),0))/((Presion_cilindro!O239+Presion_cilindro!O240)/2)</f>
        <v>2.521697073151516</v>
      </c>
      <c r="I248" s="27">
        <f>I247*(Presion_cilindro!O239/Presion_cilindro!O240)^Presion_cilindro!$B$9+10*(Presion_cilindro!$B$9-1)*Presion_cilindro!$B$33*(IF(Presion_cilindro!N240&gt;(-I$4+Presion_cilindro!$B$34),1-EXP(-Presion_cilindro!$B$16*((Presion_cilindro!N240-(-I$4+Presion_cilindro!$B$34))/Presion_cilindro!$B$35)^(Presion_cilindro!$B$17+1)),0)-IF(Presion_cilindro!N239&gt;(-I$4+Presion_cilindro!$B$34),1-EXP(-Presion_cilindro!$B$16*((Presion_cilindro!N239-(-I$4+Presion_cilindro!$B$34))/Presion_cilindro!$B$35)^(Presion_cilindro!$B$17+1)),0))/((Presion_cilindro!O239+Presion_cilindro!O240)/2)</f>
        <v>2.521697073151516</v>
      </c>
      <c r="J248" s="27">
        <f>J247*(Presion_cilindro!O239/Presion_cilindro!O240)^Presion_cilindro!$B$9+10*(Presion_cilindro!$B$9-1)*Presion_cilindro!$B$33*(IF(Presion_cilindro!N240&gt;(-J$4+Presion_cilindro!$B$34),1-EXP(-Presion_cilindro!$B$16*((Presion_cilindro!N240-(-J$4+Presion_cilindro!$B$34))/Presion_cilindro!$B$35)^(Presion_cilindro!$B$17+1)),0)-IF(Presion_cilindro!N239&gt;(-J$4+Presion_cilindro!$B$34),1-EXP(-Presion_cilindro!$B$16*((Presion_cilindro!N239-(-J$4+Presion_cilindro!$B$34))/Presion_cilindro!$B$35)^(Presion_cilindro!$B$17+1)),0))/((Presion_cilindro!O239+Presion_cilindro!O240)/2)</f>
        <v>2.521697073151516</v>
      </c>
      <c r="K248" s="27">
        <f>K247*(Presion_cilindro!O239/Presion_cilindro!O240)^Presion_cilindro!$B$9+10*(Presion_cilindro!$B$9-1)*Presion_cilindro!$B$33*(IF(Presion_cilindro!N240&gt;(-K$4+Presion_cilindro!$B$34),1-EXP(-Presion_cilindro!$B$16*((Presion_cilindro!N240-(-K$4+Presion_cilindro!$B$34))/Presion_cilindro!$B$35)^(Presion_cilindro!$B$17+1)),0)-IF(Presion_cilindro!N239&gt;(-K$4+Presion_cilindro!$B$34),1-EXP(-Presion_cilindro!$B$16*((Presion_cilindro!N239-(-K$4+Presion_cilindro!$B$34))/Presion_cilindro!$B$35)^(Presion_cilindro!$B$17+1)),0))/((Presion_cilindro!O239+Presion_cilindro!O240)/2)</f>
        <v>2.521697073151516</v>
      </c>
      <c r="L248" s="27">
        <f>L247*(Presion_cilindro!O239/Presion_cilindro!O240)^Presion_cilindro!$B$9+10*(Presion_cilindro!$B$9-1)*Presion_cilindro!$B$33*(IF(Presion_cilindro!N240&gt;(-L$4+Presion_cilindro!$B$34),1-EXP(-Presion_cilindro!$B$16*((Presion_cilindro!N240-(-L$4+Presion_cilindro!$B$34))/Presion_cilindro!$B$35)^(Presion_cilindro!$B$17+1)),0)-IF(Presion_cilindro!N239&gt;(-L$4+Presion_cilindro!$B$34),1-EXP(-Presion_cilindro!$B$16*((Presion_cilindro!N239-(-L$4+Presion_cilindro!$B$34))/Presion_cilindro!$B$35)^(Presion_cilindro!$B$17+1)),0))/((Presion_cilindro!O239+Presion_cilindro!O240)/2)</f>
        <v>2.521697073151516</v>
      </c>
      <c r="M248" s="27">
        <f>M247*(Presion_cilindro!O239/Presion_cilindro!O240)^Presion_cilindro!$B$9+10*(Presion_cilindro!$B$9-1)*Presion_cilindro!$B$33*(IF(Presion_cilindro!N240&gt;(-M$4+Presion_cilindro!$B$34),1-EXP(-Presion_cilindro!$B$16*((Presion_cilindro!N240-(-M$4+Presion_cilindro!$B$34))/Presion_cilindro!$B$35)^(Presion_cilindro!$B$17+1)),0)-IF(Presion_cilindro!N239&gt;(-M$4+Presion_cilindro!$B$34),1-EXP(-Presion_cilindro!$B$16*((Presion_cilindro!N239-(-M$4+Presion_cilindro!$B$34))/Presion_cilindro!$B$35)^(Presion_cilindro!$B$17+1)),0))/((Presion_cilindro!O239+Presion_cilindro!O240)/2)</f>
        <v>2.521697073151516</v>
      </c>
      <c r="N248" s="27">
        <f>N247*(Presion_cilindro!O239/Presion_cilindro!O240)^Presion_cilindro!$B$9+10*(Presion_cilindro!$B$9-1)*Presion_cilindro!$B$33*(IF(Presion_cilindro!N240&gt;(-N$4+Presion_cilindro!$B$34),1-EXP(-Presion_cilindro!$B$16*((Presion_cilindro!N240-(-N$4+Presion_cilindro!$B$34))/Presion_cilindro!$B$35)^(Presion_cilindro!$B$17+1)),0)-IF(Presion_cilindro!N239&gt;(-N$4+Presion_cilindro!$B$34),1-EXP(-Presion_cilindro!$B$16*((Presion_cilindro!N239-(-N$4+Presion_cilindro!$B$34))/Presion_cilindro!$B$35)^(Presion_cilindro!$B$17+1)),0))/((Presion_cilindro!O239+Presion_cilindro!O240)/2)</f>
        <v>2.521697073151516</v>
      </c>
    </row>
    <row r="249" spans="1:14" x14ac:dyDescent="0.25">
      <c r="A249" s="21">
        <f>Presion_cilindro!N241</f>
        <v>-61.5</v>
      </c>
      <c r="B249" s="27">
        <f>B248*(Presion_cilindro!O240/Presion_cilindro!O241)^Presion_cilindro!$B$9+10*(Presion_cilindro!$B$9-1)*Presion_cilindro!$B$33*(IF(Presion_cilindro!N241&gt;(-B$4+Presion_cilindro!$B$34),1-EXP(-Presion_cilindro!$B$16*((Presion_cilindro!N241-(-B$4+Presion_cilindro!$B$34))/Presion_cilindro!$B$35)^(Presion_cilindro!$B$17+1)),0)-IF(Presion_cilindro!N240&gt;(-B$4+Presion_cilindro!$B$34),1-EXP(-Presion_cilindro!$B$16*((Presion_cilindro!N240-(-B$4+Presion_cilindro!$B$34))/Presion_cilindro!$B$35)^(Presion_cilindro!$B$17+1)),0))/((Presion_cilindro!O240+Presion_cilindro!O241)/2)</f>
        <v>2.556034478438252</v>
      </c>
      <c r="C249" s="27">
        <f>C248*(Presion_cilindro!O240/Presion_cilindro!O241)^Presion_cilindro!$B$9+10*(Presion_cilindro!$B$9-1)*Presion_cilindro!$B$33*(IF(Presion_cilindro!N241&gt;(-C$4+Presion_cilindro!$B$34),1-EXP(-Presion_cilindro!$B$16*((Presion_cilindro!N241-(-C$4+Presion_cilindro!$B$34))/Presion_cilindro!$B$35)^(Presion_cilindro!$B$17+1)),0)-IF(Presion_cilindro!N240&gt;(-C$4+Presion_cilindro!$B$34),1-EXP(-Presion_cilindro!$B$16*((Presion_cilindro!N240-(-C$4+Presion_cilindro!$B$34))/Presion_cilindro!$B$35)^(Presion_cilindro!$B$17+1)),0))/((Presion_cilindro!O240+Presion_cilindro!O241)/2)</f>
        <v>2.556034478438252</v>
      </c>
      <c r="D249" s="27">
        <f>D248*(Presion_cilindro!O240/Presion_cilindro!O241)^Presion_cilindro!$B$9+10*(Presion_cilindro!$B$9-1)*Presion_cilindro!$B$33*(IF(Presion_cilindro!N241&gt;(-D$4+Presion_cilindro!$B$34),1-EXP(-Presion_cilindro!$B$16*((Presion_cilindro!N241-(-D$4+Presion_cilindro!$B$34))/Presion_cilindro!$B$35)^(Presion_cilindro!$B$17+1)),0)-IF(Presion_cilindro!N240&gt;(-D$4+Presion_cilindro!$B$34),1-EXP(-Presion_cilindro!$B$16*((Presion_cilindro!N240-(-D$4+Presion_cilindro!$B$34))/Presion_cilindro!$B$35)^(Presion_cilindro!$B$17+1)),0))/((Presion_cilindro!O240+Presion_cilindro!O241)/2)</f>
        <v>2.556034478438252</v>
      </c>
      <c r="E249" s="27">
        <f>E248*(Presion_cilindro!O240/Presion_cilindro!O241)^Presion_cilindro!$B$9+10*(Presion_cilindro!$B$9-1)*Presion_cilindro!$B$33*(IF(Presion_cilindro!N241&gt;(-E$4+Presion_cilindro!$B$34),1-EXP(-Presion_cilindro!$B$16*((Presion_cilindro!N241-(-E$4+Presion_cilindro!$B$34))/Presion_cilindro!$B$35)^(Presion_cilindro!$B$17+1)),0)-IF(Presion_cilindro!N240&gt;(-E$4+Presion_cilindro!$B$34),1-EXP(-Presion_cilindro!$B$16*((Presion_cilindro!N240-(-E$4+Presion_cilindro!$B$34))/Presion_cilindro!$B$35)^(Presion_cilindro!$B$17+1)),0))/((Presion_cilindro!O240+Presion_cilindro!O241)/2)</f>
        <v>2.556034478438252</v>
      </c>
      <c r="F249" s="27">
        <f>F248*(Presion_cilindro!O240/Presion_cilindro!O241)^Presion_cilindro!$B$9+10*(Presion_cilindro!$B$9-1)*Presion_cilindro!$B$33*(IF(Presion_cilindro!N241&gt;(-F$4+Presion_cilindro!$B$34),1-EXP(-Presion_cilindro!$B$16*((Presion_cilindro!N241-(-F$4+Presion_cilindro!$B$34))/Presion_cilindro!$B$35)^(Presion_cilindro!$B$17+1)),0)-IF(Presion_cilindro!N240&gt;(-F$4+Presion_cilindro!$B$34),1-EXP(-Presion_cilindro!$B$16*((Presion_cilindro!N240-(-F$4+Presion_cilindro!$B$34))/Presion_cilindro!$B$35)^(Presion_cilindro!$B$17+1)),0))/((Presion_cilindro!O240+Presion_cilindro!O241)/2)</f>
        <v>2.556034478438252</v>
      </c>
      <c r="G249" s="27">
        <f>G248*(Presion_cilindro!O240/Presion_cilindro!O241)^Presion_cilindro!$B$9+10*(Presion_cilindro!$B$9-1)*Presion_cilindro!$B$33*(IF(Presion_cilindro!N241&gt;(-G$4+Presion_cilindro!$B$34),1-EXP(-Presion_cilindro!$B$16*((Presion_cilindro!N241-(-G$4+Presion_cilindro!$B$34))/Presion_cilindro!$B$35)^(Presion_cilindro!$B$17+1)),0)-IF(Presion_cilindro!N240&gt;(-G$4+Presion_cilindro!$B$34),1-EXP(-Presion_cilindro!$B$16*((Presion_cilindro!N240-(-G$4+Presion_cilindro!$B$34))/Presion_cilindro!$B$35)^(Presion_cilindro!$B$17+1)),0))/((Presion_cilindro!O240+Presion_cilindro!O241)/2)</f>
        <v>2.556034478438252</v>
      </c>
      <c r="H249" s="27">
        <f>H248*(Presion_cilindro!O240/Presion_cilindro!O241)^Presion_cilindro!$B$9+10*(Presion_cilindro!$B$9-1)*Presion_cilindro!$B$33*(IF(Presion_cilindro!N241&gt;(-H$4+Presion_cilindro!$B$34),1-EXP(-Presion_cilindro!$B$16*((Presion_cilindro!N241-(-H$4+Presion_cilindro!$B$34))/Presion_cilindro!$B$35)^(Presion_cilindro!$B$17+1)),0)-IF(Presion_cilindro!N240&gt;(-H$4+Presion_cilindro!$B$34),1-EXP(-Presion_cilindro!$B$16*((Presion_cilindro!N240-(-H$4+Presion_cilindro!$B$34))/Presion_cilindro!$B$35)^(Presion_cilindro!$B$17+1)),0))/((Presion_cilindro!O240+Presion_cilindro!O241)/2)</f>
        <v>2.556034478438252</v>
      </c>
      <c r="I249" s="27">
        <f>I248*(Presion_cilindro!O240/Presion_cilindro!O241)^Presion_cilindro!$B$9+10*(Presion_cilindro!$B$9-1)*Presion_cilindro!$B$33*(IF(Presion_cilindro!N241&gt;(-I$4+Presion_cilindro!$B$34),1-EXP(-Presion_cilindro!$B$16*((Presion_cilindro!N241-(-I$4+Presion_cilindro!$B$34))/Presion_cilindro!$B$35)^(Presion_cilindro!$B$17+1)),0)-IF(Presion_cilindro!N240&gt;(-I$4+Presion_cilindro!$B$34),1-EXP(-Presion_cilindro!$B$16*((Presion_cilindro!N240-(-I$4+Presion_cilindro!$B$34))/Presion_cilindro!$B$35)^(Presion_cilindro!$B$17+1)),0))/((Presion_cilindro!O240+Presion_cilindro!O241)/2)</f>
        <v>2.556034478438252</v>
      </c>
      <c r="J249" s="27">
        <f>J248*(Presion_cilindro!O240/Presion_cilindro!O241)^Presion_cilindro!$B$9+10*(Presion_cilindro!$B$9-1)*Presion_cilindro!$B$33*(IF(Presion_cilindro!N241&gt;(-J$4+Presion_cilindro!$B$34),1-EXP(-Presion_cilindro!$B$16*((Presion_cilindro!N241-(-J$4+Presion_cilindro!$B$34))/Presion_cilindro!$B$35)^(Presion_cilindro!$B$17+1)),0)-IF(Presion_cilindro!N240&gt;(-J$4+Presion_cilindro!$B$34),1-EXP(-Presion_cilindro!$B$16*((Presion_cilindro!N240-(-J$4+Presion_cilindro!$B$34))/Presion_cilindro!$B$35)^(Presion_cilindro!$B$17+1)),0))/((Presion_cilindro!O240+Presion_cilindro!O241)/2)</f>
        <v>2.556034478438252</v>
      </c>
      <c r="K249" s="27">
        <f>K248*(Presion_cilindro!O240/Presion_cilindro!O241)^Presion_cilindro!$B$9+10*(Presion_cilindro!$B$9-1)*Presion_cilindro!$B$33*(IF(Presion_cilindro!N241&gt;(-K$4+Presion_cilindro!$B$34),1-EXP(-Presion_cilindro!$B$16*((Presion_cilindro!N241-(-K$4+Presion_cilindro!$B$34))/Presion_cilindro!$B$35)^(Presion_cilindro!$B$17+1)),0)-IF(Presion_cilindro!N240&gt;(-K$4+Presion_cilindro!$B$34),1-EXP(-Presion_cilindro!$B$16*((Presion_cilindro!N240-(-K$4+Presion_cilindro!$B$34))/Presion_cilindro!$B$35)^(Presion_cilindro!$B$17+1)),0))/((Presion_cilindro!O240+Presion_cilindro!O241)/2)</f>
        <v>2.556034478438252</v>
      </c>
      <c r="L249" s="27">
        <f>L248*(Presion_cilindro!O240/Presion_cilindro!O241)^Presion_cilindro!$B$9+10*(Presion_cilindro!$B$9-1)*Presion_cilindro!$B$33*(IF(Presion_cilindro!N241&gt;(-L$4+Presion_cilindro!$B$34),1-EXP(-Presion_cilindro!$B$16*((Presion_cilindro!N241-(-L$4+Presion_cilindro!$B$34))/Presion_cilindro!$B$35)^(Presion_cilindro!$B$17+1)),0)-IF(Presion_cilindro!N240&gt;(-L$4+Presion_cilindro!$B$34),1-EXP(-Presion_cilindro!$B$16*((Presion_cilindro!N240-(-L$4+Presion_cilindro!$B$34))/Presion_cilindro!$B$35)^(Presion_cilindro!$B$17+1)),0))/((Presion_cilindro!O240+Presion_cilindro!O241)/2)</f>
        <v>2.556034478438252</v>
      </c>
      <c r="M249" s="27">
        <f>M248*(Presion_cilindro!O240/Presion_cilindro!O241)^Presion_cilindro!$B$9+10*(Presion_cilindro!$B$9-1)*Presion_cilindro!$B$33*(IF(Presion_cilindro!N241&gt;(-M$4+Presion_cilindro!$B$34),1-EXP(-Presion_cilindro!$B$16*((Presion_cilindro!N241-(-M$4+Presion_cilindro!$B$34))/Presion_cilindro!$B$35)^(Presion_cilindro!$B$17+1)),0)-IF(Presion_cilindro!N240&gt;(-M$4+Presion_cilindro!$B$34),1-EXP(-Presion_cilindro!$B$16*((Presion_cilindro!N240-(-M$4+Presion_cilindro!$B$34))/Presion_cilindro!$B$35)^(Presion_cilindro!$B$17+1)),0))/((Presion_cilindro!O240+Presion_cilindro!O241)/2)</f>
        <v>2.556034478438252</v>
      </c>
      <c r="N249" s="27">
        <f>N248*(Presion_cilindro!O240/Presion_cilindro!O241)^Presion_cilindro!$B$9+10*(Presion_cilindro!$B$9-1)*Presion_cilindro!$B$33*(IF(Presion_cilindro!N241&gt;(-N$4+Presion_cilindro!$B$34),1-EXP(-Presion_cilindro!$B$16*((Presion_cilindro!N241-(-N$4+Presion_cilindro!$B$34))/Presion_cilindro!$B$35)^(Presion_cilindro!$B$17+1)),0)-IF(Presion_cilindro!N240&gt;(-N$4+Presion_cilindro!$B$34),1-EXP(-Presion_cilindro!$B$16*((Presion_cilindro!N240-(-N$4+Presion_cilindro!$B$34))/Presion_cilindro!$B$35)^(Presion_cilindro!$B$17+1)),0))/((Presion_cilindro!O240+Presion_cilindro!O241)/2)</f>
        <v>2.556034478438252</v>
      </c>
    </row>
    <row r="250" spans="1:14" x14ac:dyDescent="0.25">
      <c r="A250" s="21">
        <f>Presion_cilindro!N242</f>
        <v>-61</v>
      </c>
      <c r="B250" s="27">
        <f>B249*(Presion_cilindro!O241/Presion_cilindro!O242)^Presion_cilindro!$B$9+10*(Presion_cilindro!$B$9-1)*Presion_cilindro!$B$33*(IF(Presion_cilindro!N242&gt;(-B$4+Presion_cilindro!$B$34),1-EXP(-Presion_cilindro!$B$16*((Presion_cilindro!N242-(-B$4+Presion_cilindro!$B$34))/Presion_cilindro!$B$35)^(Presion_cilindro!$B$17+1)),0)-IF(Presion_cilindro!N241&gt;(-B$4+Presion_cilindro!$B$34),1-EXP(-Presion_cilindro!$B$16*((Presion_cilindro!N241-(-B$4+Presion_cilindro!$B$34))/Presion_cilindro!$B$35)^(Presion_cilindro!$B$17+1)),0))/((Presion_cilindro!O241+Presion_cilindro!O242)/2)</f>
        <v>2.5911002029559662</v>
      </c>
      <c r="C250" s="27">
        <f>C249*(Presion_cilindro!O241/Presion_cilindro!O242)^Presion_cilindro!$B$9+10*(Presion_cilindro!$B$9-1)*Presion_cilindro!$B$33*(IF(Presion_cilindro!N242&gt;(-C$4+Presion_cilindro!$B$34),1-EXP(-Presion_cilindro!$B$16*((Presion_cilindro!N242-(-C$4+Presion_cilindro!$B$34))/Presion_cilindro!$B$35)^(Presion_cilindro!$B$17+1)),0)-IF(Presion_cilindro!N241&gt;(-C$4+Presion_cilindro!$B$34),1-EXP(-Presion_cilindro!$B$16*((Presion_cilindro!N241-(-C$4+Presion_cilindro!$B$34))/Presion_cilindro!$B$35)^(Presion_cilindro!$B$17+1)),0))/((Presion_cilindro!O241+Presion_cilindro!O242)/2)</f>
        <v>2.5911002029559662</v>
      </c>
      <c r="D250" s="27">
        <f>D249*(Presion_cilindro!O241/Presion_cilindro!O242)^Presion_cilindro!$B$9+10*(Presion_cilindro!$B$9-1)*Presion_cilindro!$B$33*(IF(Presion_cilindro!N242&gt;(-D$4+Presion_cilindro!$B$34),1-EXP(-Presion_cilindro!$B$16*((Presion_cilindro!N242-(-D$4+Presion_cilindro!$B$34))/Presion_cilindro!$B$35)^(Presion_cilindro!$B$17+1)),0)-IF(Presion_cilindro!N241&gt;(-D$4+Presion_cilindro!$B$34),1-EXP(-Presion_cilindro!$B$16*((Presion_cilindro!N241-(-D$4+Presion_cilindro!$B$34))/Presion_cilindro!$B$35)^(Presion_cilindro!$B$17+1)),0))/((Presion_cilindro!O241+Presion_cilindro!O242)/2)</f>
        <v>2.5911002029559662</v>
      </c>
      <c r="E250" s="27">
        <f>E249*(Presion_cilindro!O241/Presion_cilindro!O242)^Presion_cilindro!$B$9+10*(Presion_cilindro!$B$9-1)*Presion_cilindro!$B$33*(IF(Presion_cilindro!N242&gt;(-E$4+Presion_cilindro!$B$34),1-EXP(-Presion_cilindro!$B$16*((Presion_cilindro!N242-(-E$4+Presion_cilindro!$B$34))/Presion_cilindro!$B$35)^(Presion_cilindro!$B$17+1)),0)-IF(Presion_cilindro!N241&gt;(-E$4+Presion_cilindro!$B$34),1-EXP(-Presion_cilindro!$B$16*((Presion_cilindro!N241-(-E$4+Presion_cilindro!$B$34))/Presion_cilindro!$B$35)^(Presion_cilindro!$B$17+1)),0))/((Presion_cilindro!O241+Presion_cilindro!O242)/2)</f>
        <v>2.5911002029559662</v>
      </c>
      <c r="F250" s="27">
        <f>F249*(Presion_cilindro!O241/Presion_cilindro!O242)^Presion_cilindro!$B$9+10*(Presion_cilindro!$B$9-1)*Presion_cilindro!$B$33*(IF(Presion_cilindro!N242&gt;(-F$4+Presion_cilindro!$B$34),1-EXP(-Presion_cilindro!$B$16*((Presion_cilindro!N242-(-F$4+Presion_cilindro!$B$34))/Presion_cilindro!$B$35)^(Presion_cilindro!$B$17+1)),0)-IF(Presion_cilindro!N241&gt;(-F$4+Presion_cilindro!$B$34),1-EXP(-Presion_cilindro!$B$16*((Presion_cilindro!N241-(-F$4+Presion_cilindro!$B$34))/Presion_cilindro!$B$35)^(Presion_cilindro!$B$17+1)),0))/((Presion_cilindro!O241+Presion_cilindro!O242)/2)</f>
        <v>2.5911002029559662</v>
      </c>
      <c r="G250" s="27">
        <f>G249*(Presion_cilindro!O241/Presion_cilindro!O242)^Presion_cilindro!$B$9+10*(Presion_cilindro!$B$9-1)*Presion_cilindro!$B$33*(IF(Presion_cilindro!N242&gt;(-G$4+Presion_cilindro!$B$34),1-EXP(-Presion_cilindro!$B$16*((Presion_cilindro!N242-(-G$4+Presion_cilindro!$B$34))/Presion_cilindro!$B$35)^(Presion_cilindro!$B$17+1)),0)-IF(Presion_cilindro!N241&gt;(-G$4+Presion_cilindro!$B$34),1-EXP(-Presion_cilindro!$B$16*((Presion_cilindro!N241-(-G$4+Presion_cilindro!$B$34))/Presion_cilindro!$B$35)^(Presion_cilindro!$B$17+1)),0))/((Presion_cilindro!O241+Presion_cilindro!O242)/2)</f>
        <v>2.5911002029559662</v>
      </c>
      <c r="H250" s="27">
        <f>H249*(Presion_cilindro!O241/Presion_cilindro!O242)^Presion_cilindro!$B$9+10*(Presion_cilindro!$B$9-1)*Presion_cilindro!$B$33*(IF(Presion_cilindro!N242&gt;(-H$4+Presion_cilindro!$B$34),1-EXP(-Presion_cilindro!$B$16*((Presion_cilindro!N242-(-H$4+Presion_cilindro!$B$34))/Presion_cilindro!$B$35)^(Presion_cilindro!$B$17+1)),0)-IF(Presion_cilindro!N241&gt;(-H$4+Presion_cilindro!$B$34),1-EXP(-Presion_cilindro!$B$16*((Presion_cilindro!N241-(-H$4+Presion_cilindro!$B$34))/Presion_cilindro!$B$35)^(Presion_cilindro!$B$17+1)),0))/((Presion_cilindro!O241+Presion_cilindro!O242)/2)</f>
        <v>2.5911002029559662</v>
      </c>
      <c r="I250" s="27">
        <f>I249*(Presion_cilindro!O241/Presion_cilindro!O242)^Presion_cilindro!$B$9+10*(Presion_cilindro!$B$9-1)*Presion_cilindro!$B$33*(IF(Presion_cilindro!N242&gt;(-I$4+Presion_cilindro!$B$34),1-EXP(-Presion_cilindro!$B$16*((Presion_cilindro!N242-(-I$4+Presion_cilindro!$B$34))/Presion_cilindro!$B$35)^(Presion_cilindro!$B$17+1)),0)-IF(Presion_cilindro!N241&gt;(-I$4+Presion_cilindro!$B$34),1-EXP(-Presion_cilindro!$B$16*((Presion_cilindro!N241-(-I$4+Presion_cilindro!$B$34))/Presion_cilindro!$B$35)^(Presion_cilindro!$B$17+1)),0))/((Presion_cilindro!O241+Presion_cilindro!O242)/2)</f>
        <v>2.5911002029559662</v>
      </c>
      <c r="J250" s="27">
        <f>J249*(Presion_cilindro!O241/Presion_cilindro!O242)^Presion_cilindro!$B$9+10*(Presion_cilindro!$B$9-1)*Presion_cilindro!$B$33*(IF(Presion_cilindro!N242&gt;(-J$4+Presion_cilindro!$B$34),1-EXP(-Presion_cilindro!$B$16*((Presion_cilindro!N242-(-J$4+Presion_cilindro!$B$34))/Presion_cilindro!$B$35)^(Presion_cilindro!$B$17+1)),0)-IF(Presion_cilindro!N241&gt;(-J$4+Presion_cilindro!$B$34),1-EXP(-Presion_cilindro!$B$16*((Presion_cilindro!N241-(-J$4+Presion_cilindro!$B$34))/Presion_cilindro!$B$35)^(Presion_cilindro!$B$17+1)),0))/((Presion_cilindro!O241+Presion_cilindro!O242)/2)</f>
        <v>2.5911002029559662</v>
      </c>
      <c r="K250" s="27">
        <f>K249*(Presion_cilindro!O241/Presion_cilindro!O242)^Presion_cilindro!$B$9+10*(Presion_cilindro!$B$9-1)*Presion_cilindro!$B$33*(IF(Presion_cilindro!N242&gt;(-K$4+Presion_cilindro!$B$34),1-EXP(-Presion_cilindro!$B$16*((Presion_cilindro!N242-(-K$4+Presion_cilindro!$B$34))/Presion_cilindro!$B$35)^(Presion_cilindro!$B$17+1)),0)-IF(Presion_cilindro!N241&gt;(-K$4+Presion_cilindro!$B$34),1-EXP(-Presion_cilindro!$B$16*((Presion_cilindro!N241-(-K$4+Presion_cilindro!$B$34))/Presion_cilindro!$B$35)^(Presion_cilindro!$B$17+1)),0))/((Presion_cilindro!O241+Presion_cilindro!O242)/2)</f>
        <v>2.5911002029559662</v>
      </c>
      <c r="L250" s="27">
        <f>L249*(Presion_cilindro!O241/Presion_cilindro!O242)^Presion_cilindro!$B$9+10*(Presion_cilindro!$B$9-1)*Presion_cilindro!$B$33*(IF(Presion_cilindro!N242&gt;(-L$4+Presion_cilindro!$B$34),1-EXP(-Presion_cilindro!$B$16*((Presion_cilindro!N242-(-L$4+Presion_cilindro!$B$34))/Presion_cilindro!$B$35)^(Presion_cilindro!$B$17+1)),0)-IF(Presion_cilindro!N241&gt;(-L$4+Presion_cilindro!$B$34),1-EXP(-Presion_cilindro!$B$16*((Presion_cilindro!N241-(-L$4+Presion_cilindro!$B$34))/Presion_cilindro!$B$35)^(Presion_cilindro!$B$17+1)),0))/((Presion_cilindro!O241+Presion_cilindro!O242)/2)</f>
        <v>2.5911002029559662</v>
      </c>
      <c r="M250" s="27">
        <f>M249*(Presion_cilindro!O241/Presion_cilindro!O242)^Presion_cilindro!$B$9+10*(Presion_cilindro!$B$9-1)*Presion_cilindro!$B$33*(IF(Presion_cilindro!N242&gt;(-M$4+Presion_cilindro!$B$34),1-EXP(-Presion_cilindro!$B$16*((Presion_cilindro!N242-(-M$4+Presion_cilindro!$B$34))/Presion_cilindro!$B$35)^(Presion_cilindro!$B$17+1)),0)-IF(Presion_cilindro!N241&gt;(-M$4+Presion_cilindro!$B$34),1-EXP(-Presion_cilindro!$B$16*((Presion_cilindro!N241-(-M$4+Presion_cilindro!$B$34))/Presion_cilindro!$B$35)^(Presion_cilindro!$B$17+1)),0))/((Presion_cilindro!O241+Presion_cilindro!O242)/2)</f>
        <v>2.5911002029559662</v>
      </c>
      <c r="N250" s="27">
        <f>N249*(Presion_cilindro!O241/Presion_cilindro!O242)^Presion_cilindro!$B$9+10*(Presion_cilindro!$B$9-1)*Presion_cilindro!$B$33*(IF(Presion_cilindro!N242&gt;(-N$4+Presion_cilindro!$B$34),1-EXP(-Presion_cilindro!$B$16*((Presion_cilindro!N242-(-N$4+Presion_cilindro!$B$34))/Presion_cilindro!$B$35)^(Presion_cilindro!$B$17+1)),0)-IF(Presion_cilindro!N241&gt;(-N$4+Presion_cilindro!$B$34),1-EXP(-Presion_cilindro!$B$16*((Presion_cilindro!N241-(-N$4+Presion_cilindro!$B$34))/Presion_cilindro!$B$35)^(Presion_cilindro!$B$17+1)),0))/((Presion_cilindro!O241+Presion_cilindro!O242)/2)</f>
        <v>2.5911002029559662</v>
      </c>
    </row>
    <row r="251" spans="1:14" x14ac:dyDescent="0.25">
      <c r="A251" s="21">
        <f>Presion_cilindro!N243</f>
        <v>-60.5</v>
      </c>
      <c r="B251" s="27">
        <f>B250*(Presion_cilindro!O242/Presion_cilindro!O243)^Presion_cilindro!$B$9+10*(Presion_cilindro!$B$9-1)*Presion_cilindro!$B$33*(IF(Presion_cilindro!N243&gt;(-B$4+Presion_cilindro!$B$34),1-EXP(-Presion_cilindro!$B$16*((Presion_cilindro!N243-(-B$4+Presion_cilindro!$B$34))/Presion_cilindro!$B$35)^(Presion_cilindro!$B$17+1)),0)-IF(Presion_cilindro!N242&gt;(-B$4+Presion_cilindro!$B$34),1-EXP(-Presion_cilindro!$B$16*((Presion_cilindro!N242-(-B$4+Presion_cilindro!$B$34))/Presion_cilindro!$B$35)^(Presion_cilindro!$B$17+1)),0))/((Presion_cilindro!O242+Presion_cilindro!O243)/2)</f>
        <v>2.6269119342806158</v>
      </c>
      <c r="C251" s="27">
        <f>C250*(Presion_cilindro!O242/Presion_cilindro!O243)^Presion_cilindro!$B$9+10*(Presion_cilindro!$B$9-1)*Presion_cilindro!$B$33*(IF(Presion_cilindro!N243&gt;(-C$4+Presion_cilindro!$B$34),1-EXP(-Presion_cilindro!$B$16*((Presion_cilindro!N243-(-C$4+Presion_cilindro!$B$34))/Presion_cilindro!$B$35)^(Presion_cilindro!$B$17+1)),0)-IF(Presion_cilindro!N242&gt;(-C$4+Presion_cilindro!$B$34),1-EXP(-Presion_cilindro!$B$16*((Presion_cilindro!N242-(-C$4+Presion_cilindro!$B$34))/Presion_cilindro!$B$35)^(Presion_cilindro!$B$17+1)),0))/((Presion_cilindro!O242+Presion_cilindro!O243)/2)</f>
        <v>2.6269119342806158</v>
      </c>
      <c r="D251" s="27">
        <f>D250*(Presion_cilindro!O242/Presion_cilindro!O243)^Presion_cilindro!$B$9+10*(Presion_cilindro!$B$9-1)*Presion_cilindro!$B$33*(IF(Presion_cilindro!N243&gt;(-D$4+Presion_cilindro!$B$34),1-EXP(-Presion_cilindro!$B$16*((Presion_cilindro!N243-(-D$4+Presion_cilindro!$B$34))/Presion_cilindro!$B$35)^(Presion_cilindro!$B$17+1)),0)-IF(Presion_cilindro!N242&gt;(-D$4+Presion_cilindro!$B$34),1-EXP(-Presion_cilindro!$B$16*((Presion_cilindro!N242-(-D$4+Presion_cilindro!$B$34))/Presion_cilindro!$B$35)^(Presion_cilindro!$B$17+1)),0))/((Presion_cilindro!O242+Presion_cilindro!O243)/2)</f>
        <v>2.6269119342806158</v>
      </c>
      <c r="E251" s="27">
        <f>E250*(Presion_cilindro!O242/Presion_cilindro!O243)^Presion_cilindro!$B$9+10*(Presion_cilindro!$B$9-1)*Presion_cilindro!$B$33*(IF(Presion_cilindro!N243&gt;(-E$4+Presion_cilindro!$B$34),1-EXP(-Presion_cilindro!$B$16*((Presion_cilindro!N243-(-E$4+Presion_cilindro!$B$34))/Presion_cilindro!$B$35)^(Presion_cilindro!$B$17+1)),0)-IF(Presion_cilindro!N242&gt;(-E$4+Presion_cilindro!$B$34),1-EXP(-Presion_cilindro!$B$16*((Presion_cilindro!N242-(-E$4+Presion_cilindro!$B$34))/Presion_cilindro!$B$35)^(Presion_cilindro!$B$17+1)),0))/((Presion_cilindro!O242+Presion_cilindro!O243)/2)</f>
        <v>2.6269119342806158</v>
      </c>
      <c r="F251" s="27">
        <f>F250*(Presion_cilindro!O242/Presion_cilindro!O243)^Presion_cilindro!$B$9+10*(Presion_cilindro!$B$9-1)*Presion_cilindro!$B$33*(IF(Presion_cilindro!N243&gt;(-F$4+Presion_cilindro!$B$34),1-EXP(-Presion_cilindro!$B$16*((Presion_cilindro!N243-(-F$4+Presion_cilindro!$B$34))/Presion_cilindro!$B$35)^(Presion_cilindro!$B$17+1)),0)-IF(Presion_cilindro!N242&gt;(-F$4+Presion_cilindro!$B$34),1-EXP(-Presion_cilindro!$B$16*((Presion_cilindro!N242-(-F$4+Presion_cilindro!$B$34))/Presion_cilindro!$B$35)^(Presion_cilindro!$B$17+1)),0))/((Presion_cilindro!O242+Presion_cilindro!O243)/2)</f>
        <v>2.6269119342806158</v>
      </c>
      <c r="G251" s="27">
        <f>G250*(Presion_cilindro!O242/Presion_cilindro!O243)^Presion_cilindro!$B$9+10*(Presion_cilindro!$B$9-1)*Presion_cilindro!$B$33*(IF(Presion_cilindro!N243&gt;(-G$4+Presion_cilindro!$B$34),1-EXP(-Presion_cilindro!$B$16*((Presion_cilindro!N243-(-G$4+Presion_cilindro!$B$34))/Presion_cilindro!$B$35)^(Presion_cilindro!$B$17+1)),0)-IF(Presion_cilindro!N242&gt;(-G$4+Presion_cilindro!$B$34),1-EXP(-Presion_cilindro!$B$16*((Presion_cilindro!N242-(-G$4+Presion_cilindro!$B$34))/Presion_cilindro!$B$35)^(Presion_cilindro!$B$17+1)),0))/((Presion_cilindro!O242+Presion_cilindro!O243)/2)</f>
        <v>2.6269119342806158</v>
      </c>
      <c r="H251" s="27">
        <f>H250*(Presion_cilindro!O242/Presion_cilindro!O243)^Presion_cilindro!$B$9+10*(Presion_cilindro!$B$9-1)*Presion_cilindro!$B$33*(IF(Presion_cilindro!N243&gt;(-H$4+Presion_cilindro!$B$34),1-EXP(-Presion_cilindro!$B$16*((Presion_cilindro!N243-(-H$4+Presion_cilindro!$B$34))/Presion_cilindro!$B$35)^(Presion_cilindro!$B$17+1)),0)-IF(Presion_cilindro!N242&gt;(-H$4+Presion_cilindro!$B$34),1-EXP(-Presion_cilindro!$B$16*((Presion_cilindro!N242-(-H$4+Presion_cilindro!$B$34))/Presion_cilindro!$B$35)^(Presion_cilindro!$B$17+1)),0))/((Presion_cilindro!O242+Presion_cilindro!O243)/2)</f>
        <v>2.6269119342806158</v>
      </c>
      <c r="I251" s="27">
        <f>I250*(Presion_cilindro!O242/Presion_cilindro!O243)^Presion_cilindro!$B$9+10*(Presion_cilindro!$B$9-1)*Presion_cilindro!$B$33*(IF(Presion_cilindro!N243&gt;(-I$4+Presion_cilindro!$B$34),1-EXP(-Presion_cilindro!$B$16*((Presion_cilindro!N243-(-I$4+Presion_cilindro!$B$34))/Presion_cilindro!$B$35)^(Presion_cilindro!$B$17+1)),0)-IF(Presion_cilindro!N242&gt;(-I$4+Presion_cilindro!$B$34),1-EXP(-Presion_cilindro!$B$16*((Presion_cilindro!N242-(-I$4+Presion_cilindro!$B$34))/Presion_cilindro!$B$35)^(Presion_cilindro!$B$17+1)),0))/((Presion_cilindro!O242+Presion_cilindro!O243)/2)</f>
        <v>2.6269119342806158</v>
      </c>
      <c r="J251" s="27">
        <f>J250*(Presion_cilindro!O242/Presion_cilindro!O243)^Presion_cilindro!$B$9+10*(Presion_cilindro!$B$9-1)*Presion_cilindro!$B$33*(IF(Presion_cilindro!N243&gt;(-J$4+Presion_cilindro!$B$34),1-EXP(-Presion_cilindro!$B$16*((Presion_cilindro!N243-(-J$4+Presion_cilindro!$B$34))/Presion_cilindro!$B$35)^(Presion_cilindro!$B$17+1)),0)-IF(Presion_cilindro!N242&gt;(-J$4+Presion_cilindro!$B$34),1-EXP(-Presion_cilindro!$B$16*((Presion_cilindro!N242-(-J$4+Presion_cilindro!$B$34))/Presion_cilindro!$B$35)^(Presion_cilindro!$B$17+1)),0))/((Presion_cilindro!O242+Presion_cilindro!O243)/2)</f>
        <v>2.6269119342806158</v>
      </c>
      <c r="K251" s="27">
        <f>K250*(Presion_cilindro!O242/Presion_cilindro!O243)^Presion_cilindro!$B$9+10*(Presion_cilindro!$B$9-1)*Presion_cilindro!$B$33*(IF(Presion_cilindro!N243&gt;(-K$4+Presion_cilindro!$B$34),1-EXP(-Presion_cilindro!$B$16*((Presion_cilindro!N243-(-K$4+Presion_cilindro!$B$34))/Presion_cilindro!$B$35)^(Presion_cilindro!$B$17+1)),0)-IF(Presion_cilindro!N242&gt;(-K$4+Presion_cilindro!$B$34),1-EXP(-Presion_cilindro!$B$16*((Presion_cilindro!N242-(-K$4+Presion_cilindro!$B$34))/Presion_cilindro!$B$35)^(Presion_cilindro!$B$17+1)),0))/((Presion_cilindro!O242+Presion_cilindro!O243)/2)</f>
        <v>2.6269119342806158</v>
      </c>
      <c r="L251" s="27">
        <f>L250*(Presion_cilindro!O242/Presion_cilindro!O243)^Presion_cilindro!$B$9+10*(Presion_cilindro!$B$9-1)*Presion_cilindro!$B$33*(IF(Presion_cilindro!N243&gt;(-L$4+Presion_cilindro!$B$34),1-EXP(-Presion_cilindro!$B$16*((Presion_cilindro!N243-(-L$4+Presion_cilindro!$B$34))/Presion_cilindro!$B$35)^(Presion_cilindro!$B$17+1)),0)-IF(Presion_cilindro!N242&gt;(-L$4+Presion_cilindro!$B$34),1-EXP(-Presion_cilindro!$B$16*((Presion_cilindro!N242-(-L$4+Presion_cilindro!$B$34))/Presion_cilindro!$B$35)^(Presion_cilindro!$B$17+1)),0))/((Presion_cilindro!O242+Presion_cilindro!O243)/2)</f>
        <v>2.6269119342806158</v>
      </c>
      <c r="M251" s="27">
        <f>M250*(Presion_cilindro!O242/Presion_cilindro!O243)^Presion_cilindro!$B$9+10*(Presion_cilindro!$B$9-1)*Presion_cilindro!$B$33*(IF(Presion_cilindro!N243&gt;(-M$4+Presion_cilindro!$B$34),1-EXP(-Presion_cilindro!$B$16*((Presion_cilindro!N243-(-M$4+Presion_cilindro!$B$34))/Presion_cilindro!$B$35)^(Presion_cilindro!$B$17+1)),0)-IF(Presion_cilindro!N242&gt;(-M$4+Presion_cilindro!$B$34),1-EXP(-Presion_cilindro!$B$16*((Presion_cilindro!N242-(-M$4+Presion_cilindro!$B$34))/Presion_cilindro!$B$35)^(Presion_cilindro!$B$17+1)),0))/((Presion_cilindro!O242+Presion_cilindro!O243)/2)</f>
        <v>2.6269119342806158</v>
      </c>
      <c r="N251" s="27">
        <f>N250*(Presion_cilindro!O242/Presion_cilindro!O243)^Presion_cilindro!$B$9+10*(Presion_cilindro!$B$9-1)*Presion_cilindro!$B$33*(IF(Presion_cilindro!N243&gt;(-N$4+Presion_cilindro!$B$34),1-EXP(-Presion_cilindro!$B$16*((Presion_cilindro!N243-(-N$4+Presion_cilindro!$B$34))/Presion_cilindro!$B$35)^(Presion_cilindro!$B$17+1)),0)-IF(Presion_cilindro!N242&gt;(-N$4+Presion_cilindro!$B$34),1-EXP(-Presion_cilindro!$B$16*((Presion_cilindro!N242-(-N$4+Presion_cilindro!$B$34))/Presion_cilindro!$B$35)^(Presion_cilindro!$B$17+1)),0))/((Presion_cilindro!O242+Presion_cilindro!O243)/2)</f>
        <v>2.6269119342806158</v>
      </c>
    </row>
    <row r="252" spans="1:14" x14ac:dyDescent="0.25">
      <c r="A252" s="21">
        <f>Presion_cilindro!N244</f>
        <v>-60</v>
      </c>
      <c r="B252" s="27">
        <f>B251*(Presion_cilindro!O243/Presion_cilindro!O244)^Presion_cilindro!$B$9+10*(Presion_cilindro!$B$9-1)*Presion_cilindro!$B$33*(IF(Presion_cilindro!N244&gt;(-B$4+Presion_cilindro!$B$34),1-EXP(-Presion_cilindro!$B$16*((Presion_cilindro!N244-(-B$4+Presion_cilindro!$B$34))/Presion_cilindro!$B$35)^(Presion_cilindro!$B$17+1)),0)-IF(Presion_cilindro!N243&gt;(-B$4+Presion_cilindro!$B$34),1-EXP(-Presion_cilindro!$B$16*((Presion_cilindro!N243-(-B$4+Presion_cilindro!$B$34))/Presion_cilindro!$B$35)^(Presion_cilindro!$B$17+1)),0))/((Presion_cilindro!O243+Presion_cilindro!O244)/2)</f>
        <v>2.6634878066899277</v>
      </c>
      <c r="C252" s="27">
        <f>C251*(Presion_cilindro!O243/Presion_cilindro!O244)^Presion_cilindro!$B$9+10*(Presion_cilindro!$B$9-1)*Presion_cilindro!$B$33*(IF(Presion_cilindro!N244&gt;(-C$4+Presion_cilindro!$B$34),1-EXP(-Presion_cilindro!$B$16*((Presion_cilindro!N244-(-C$4+Presion_cilindro!$B$34))/Presion_cilindro!$B$35)^(Presion_cilindro!$B$17+1)),0)-IF(Presion_cilindro!N243&gt;(-C$4+Presion_cilindro!$B$34),1-EXP(-Presion_cilindro!$B$16*((Presion_cilindro!N243-(-C$4+Presion_cilindro!$B$34))/Presion_cilindro!$B$35)^(Presion_cilindro!$B$17+1)),0))/((Presion_cilindro!O243+Presion_cilindro!O244)/2)</f>
        <v>2.6634878066899277</v>
      </c>
      <c r="D252" s="27">
        <f>D251*(Presion_cilindro!O243/Presion_cilindro!O244)^Presion_cilindro!$B$9+10*(Presion_cilindro!$B$9-1)*Presion_cilindro!$B$33*(IF(Presion_cilindro!N244&gt;(-D$4+Presion_cilindro!$B$34),1-EXP(-Presion_cilindro!$B$16*((Presion_cilindro!N244-(-D$4+Presion_cilindro!$B$34))/Presion_cilindro!$B$35)^(Presion_cilindro!$B$17+1)),0)-IF(Presion_cilindro!N243&gt;(-D$4+Presion_cilindro!$B$34),1-EXP(-Presion_cilindro!$B$16*((Presion_cilindro!N243-(-D$4+Presion_cilindro!$B$34))/Presion_cilindro!$B$35)^(Presion_cilindro!$B$17+1)),0))/((Presion_cilindro!O243+Presion_cilindro!O244)/2)</f>
        <v>2.6634878066899277</v>
      </c>
      <c r="E252" s="27">
        <f>E251*(Presion_cilindro!O243/Presion_cilindro!O244)^Presion_cilindro!$B$9+10*(Presion_cilindro!$B$9-1)*Presion_cilindro!$B$33*(IF(Presion_cilindro!N244&gt;(-E$4+Presion_cilindro!$B$34),1-EXP(-Presion_cilindro!$B$16*((Presion_cilindro!N244-(-E$4+Presion_cilindro!$B$34))/Presion_cilindro!$B$35)^(Presion_cilindro!$B$17+1)),0)-IF(Presion_cilindro!N243&gt;(-E$4+Presion_cilindro!$B$34),1-EXP(-Presion_cilindro!$B$16*((Presion_cilindro!N243-(-E$4+Presion_cilindro!$B$34))/Presion_cilindro!$B$35)^(Presion_cilindro!$B$17+1)),0))/((Presion_cilindro!O243+Presion_cilindro!O244)/2)</f>
        <v>2.6634878066899277</v>
      </c>
      <c r="F252" s="27">
        <f>F251*(Presion_cilindro!O243/Presion_cilindro!O244)^Presion_cilindro!$B$9+10*(Presion_cilindro!$B$9-1)*Presion_cilindro!$B$33*(IF(Presion_cilindro!N244&gt;(-F$4+Presion_cilindro!$B$34),1-EXP(-Presion_cilindro!$B$16*((Presion_cilindro!N244-(-F$4+Presion_cilindro!$B$34))/Presion_cilindro!$B$35)^(Presion_cilindro!$B$17+1)),0)-IF(Presion_cilindro!N243&gt;(-F$4+Presion_cilindro!$B$34),1-EXP(-Presion_cilindro!$B$16*((Presion_cilindro!N243-(-F$4+Presion_cilindro!$B$34))/Presion_cilindro!$B$35)^(Presion_cilindro!$B$17+1)),0))/((Presion_cilindro!O243+Presion_cilindro!O244)/2)</f>
        <v>2.6634878066899277</v>
      </c>
      <c r="G252" s="27">
        <f>G251*(Presion_cilindro!O243/Presion_cilindro!O244)^Presion_cilindro!$B$9+10*(Presion_cilindro!$B$9-1)*Presion_cilindro!$B$33*(IF(Presion_cilindro!N244&gt;(-G$4+Presion_cilindro!$B$34),1-EXP(-Presion_cilindro!$B$16*((Presion_cilindro!N244-(-G$4+Presion_cilindro!$B$34))/Presion_cilindro!$B$35)^(Presion_cilindro!$B$17+1)),0)-IF(Presion_cilindro!N243&gt;(-G$4+Presion_cilindro!$B$34),1-EXP(-Presion_cilindro!$B$16*((Presion_cilindro!N243-(-G$4+Presion_cilindro!$B$34))/Presion_cilindro!$B$35)^(Presion_cilindro!$B$17+1)),0))/((Presion_cilindro!O243+Presion_cilindro!O244)/2)</f>
        <v>2.6634878066899277</v>
      </c>
      <c r="H252" s="27">
        <f>H251*(Presion_cilindro!O243/Presion_cilindro!O244)^Presion_cilindro!$B$9+10*(Presion_cilindro!$B$9-1)*Presion_cilindro!$B$33*(IF(Presion_cilindro!N244&gt;(-H$4+Presion_cilindro!$B$34),1-EXP(-Presion_cilindro!$B$16*((Presion_cilindro!N244-(-H$4+Presion_cilindro!$B$34))/Presion_cilindro!$B$35)^(Presion_cilindro!$B$17+1)),0)-IF(Presion_cilindro!N243&gt;(-H$4+Presion_cilindro!$B$34),1-EXP(-Presion_cilindro!$B$16*((Presion_cilindro!N243-(-H$4+Presion_cilindro!$B$34))/Presion_cilindro!$B$35)^(Presion_cilindro!$B$17+1)),0))/((Presion_cilindro!O243+Presion_cilindro!O244)/2)</f>
        <v>2.6634878066899277</v>
      </c>
      <c r="I252" s="27">
        <f>I251*(Presion_cilindro!O243/Presion_cilindro!O244)^Presion_cilindro!$B$9+10*(Presion_cilindro!$B$9-1)*Presion_cilindro!$B$33*(IF(Presion_cilindro!N244&gt;(-I$4+Presion_cilindro!$B$34),1-EXP(-Presion_cilindro!$B$16*((Presion_cilindro!N244-(-I$4+Presion_cilindro!$B$34))/Presion_cilindro!$B$35)^(Presion_cilindro!$B$17+1)),0)-IF(Presion_cilindro!N243&gt;(-I$4+Presion_cilindro!$B$34),1-EXP(-Presion_cilindro!$B$16*((Presion_cilindro!N243-(-I$4+Presion_cilindro!$B$34))/Presion_cilindro!$B$35)^(Presion_cilindro!$B$17+1)),0))/((Presion_cilindro!O243+Presion_cilindro!O244)/2)</f>
        <v>2.6634878066899277</v>
      </c>
      <c r="J252" s="27">
        <f>J251*(Presion_cilindro!O243/Presion_cilindro!O244)^Presion_cilindro!$B$9+10*(Presion_cilindro!$B$9-1)*Presion_cilindro!$B$33*(IF(Presion_cilindro!N244&gt;(-J$4+Presion_cilindro!$B$34),1-EXP(-Presion_cilindro!$B$16*((Presion_cilindro!N244-(-J$4+Presion_cilindro!$B$34))/Presion_cilindro!$B$35)^(Presion_cilindro!$B$17+1)),0)-IF(Presion_cilindro!N243&gt;(-J$4+Presion_cilindro!$B$34),1-EXP(-Presion_cilindro!$B$16*((Presion_cilindro!N243-(-J$4+Presion_cilindro!$B$34))/Presion_cilindro!$B$35)^(Presion_cilindro!$B$17+1)),0))/((Presion_cilindro!O243+Presion_cilindro!O244)/2)</f>
        <v>2.6634878066899277</v>
      </c>
      <c r="K252" s="27">
        <f>K251*(Presion_cilindro!O243/Presion_cilindro!O244)^Presion_cilindro!$B$9+10*(Presion_cilindro!$B$9-1)*Presion_cilindro!$B$33*(IF(Presion_cilindro!N244&gt;(-K$4+Presion_cilindro!$B$34),1-EXP(-Presion_cilindro!$B$16*((Presion_cilindro!N244-(-K$4+Presion_cilindro!$B$34))/Presion_cilindro!$B$35)^(Presion_cilindro!$B$17+1)),0)-IF(Presion_cilindro!N243&gt;(-K$4+Presion_cilindro!$B$34),1-EXP(-Presion_cilindro!$B$16*((Presion_cilindro!N243-(-K$4+Presion_cilindro!$B$34))/Presion_cilindro!$B$35)^(Presion_cilindro!$B$17+1)),0))/((Presion_cilindro!O243+Presion_cilindro!O244)/2)</f>
        <v>2.6634878066899277</v>
      </c>
      <c r="L252" s="27">
        <f>L251*(Presion_cilindro!O243/Presion_cilindro!O244)^Presion_cilindro!$B$9+10*(Presion_cilindro!$B$9-1)*Presion_cilindro!$B$33*(IF(Presion_cilindro!N244&gt;(-L$4+Presion_cilindro!$B$34),1-EXP(-Presion_cilindro!$B$16*((Presion_cilindro!N244-(-L$4+Presion_cilindro!$B$34))/Presion_cilindro!$B$35)^(Presion_cilindro!$B$17+1)),0)-IF(Presion_cilindro!N243&gt;(-L$4+Presion_cilindro!$B$34),1-EXP(-Presion_cilindro!$B$16*((Presion_cilindro!N243-(-L$4+Presion_cilindro!$B$34))/Presion_cilindro!$B$35)^(Presion_cilindro!$B$17+1)),0))/((Presion_cilindro!O243+Presion_cilindro!O244)/2)</f>
        <v>2.6634878066899277</v>
      </c>
      <c r="M252" s="27">
        <f>M251*(Presion_cilindro!O243/Presion_cilindro!O244)^Presion_cilindro!$B$9+10*(Presion_cilindro!$B$9-1)*Presion_cilindro!$B$33*(IF(Presion_cilindro!N244&gt;(-M$4+Presion_cilindro!$B$34),1-EXP(-Presion_cilindro!$B$16*((Presion_cilindro!N244-(-M$4+Presion_cilindro!$B$34))/Presion_cilindro!$B$35)^(Presion_cilindro!$B$17+1)),0)-IF(Presion_cilindro!N243&gt;(-M$4+Presion_cilindro!$B$34),1-EXP(-Presion_cilindro!$B$16*((Presion_cilindro!N243-(-M$4+Presion_cilindro!$B$34))/Presion_cilindro!$B$35)^(Presion_cilindro!$B$17+1)),0))/((Presion_cilindro!O243+Presion_cilindro!O244)/2)</f>
        <v>2.6634878066899277</v>
      </c>
      <c r="N252" s="27">
        <f>N251*(Presion_cilindro!O243/Presion_cilindro!O244)^Presion_cilindro!$B$9+10*(Presion_cilindro!$B$9-1)*Presion_cilindro!$B$33*(IF(Presion_cilindro!N244&gt;(-N$4+Presion_cilindro!$B$34),1-EXP(-Presion_cilindro!$B$16*((Presion_cilindro!N244-(-N$4+Presion_cilindro!$B$34))/Presion_cilindro!$B$35)^(Presion_cilindro!$B$17+1)),0)-IF(Presion_cilindro!N243&gt;(-N$4+Presion_cilindro!$B$34),1-EXP(-Presion_cilindro!$B$16*((Presion_cilindro!N243-(-N$4+Presion_cilindro!$B$34))/Presion_cilindro!$B$35)^(Presion_cilindro!$B$17+1)),0))/((Presion_cilindro!O243+Presion_cilindro!O244)/2)</f>
        <v>2.6634878066899277</v>
      </c>
    </row>
    <row r="253" spans="1:14" x14ac:dyDescent="0.25">
      <c r="A253" s="21">
        <f>Presion_cilindro!N245</f>
        <v>-59.5</v>
      </c>
      <c r="B253" s="27">
        <f>B252*(Presion_cilindro!O244/Presion_cilindro!O245)^Presion_cilindro!$B$9+10*(Presion_cilindro!$B$9-1)*Presion_cilindro!$B$33*(IF(Presion_cilindro!N245&gt;(-B$4+Presion_cilindro!$B$34),1-EXP(-Presion_cilindro!$B$16*((Presion_cilindro!N245-(-B$4+Presion_cilindro!$B$34))/Presion_cilindro!$B$35)^(Presion_cilindro!$B$17+1)),0)-IF(Presion_cilindro!N244&gt;(-B$4+Presion_cilindro!$B$34),1-EXP(-Presion_cilindro!$B$16*((Presion_cilindro!N244-(-B$4+Presion_cilindro!$B$34))/Presion_cilindro!$B$35)^(Presion_cilindro!$B$17+1)),0))/((Presion_cilindro!O244+Presion_cilindro!O245)/2)</f>
        <v>2.700846410348694</v>
      </c>
      <c r="C253" s="27">
        <f>C252*(Presion_cilindro!O244/Presion_cilindro!O245)^Presion_cilindro!$B$9+10*(Presion_cilindro!$B$9-1)*Presion_cilindro!$B$33*(IF(Presion_cilindro!N245&gt;(-C$4+Presion_cilindro!$B$34),1-EXP(-Presion_cilindro!$B$16*((Presion_cilindro!N245-(-C$4+Presion_cilindro!$B$34))/Presion_cilindro!$B$35)^(Presion_cilindro!$B$17+1)),0)-IF(Presion_cilindro!N244&gt;(-C$4+Presion_cilindro!$B$34),1-EXP(-Presion_cilindro!$B$16*((Presion_cilindro!N244-(-C$4+Presion_cilindro!$B$34))/Presion_cilindro!$B$35)^(Presion_cilindro!$B$17+1)),0))/((Presion_cilindro!O244+Presion_cilindro!O245)/2)</f>
        <v>2.700846410348694</v>
      </c>
      <c r="D253" s="27">
        <f>D252*(Presion_cilindro!O244/Presion_cilindro!O245)^Presion_cilindro!$B$9+10*(Presion_cilindro!$B$9-1)*Presion_cilindro!$B$33*(IF(Presion_cilindro!N245&gt;(-D$4+Presion_cilindro!$B$34),1-EXP(-Presion_cilindro!$B$16*((Presion_cilindro!N245-(-D$4+Presion_cilindro!$B$34))/Presion_cilindro!$B$35)^(Presion_cilindro!$B$17+1)),0)-IF(Presion_cilindro!N244&gt;(-D$4+Presion_cilindro!$B$34),1-EXP(-Presion_cilindro!$B$16*((Presion_cilindro!N244-(-D$4+Presion_cilindro!$B$34))/Presion_cilindro!$B$35)^(Presion_cilindro!$B$17+1)),0))/((Presion_cilindro!O244+Presion_cilindro!O245)/2)</f>
        <v>2.700846410348694</v>
      </c>
      <c r="E253" s="27">
        <f>E252*(Presion_cilindro!O244/Presion_cilindro!O245)^Presion_cilindro!$B$9+10*(Presion_cilindro!$B$9-1)*Presion_cilindro!$B$33*(IF(Presion_cilindro!N245&gt;(-E$4+Presion_cilindro!$B$34),1-EXP(-Presion_cilindro!$B$16*((Presion_cilindro!N245-(-E$4+Presion_cilindro!$B$34))/Presion_cilindro!$B$35)^(Presion_cilindro!$B$17+1)),0)-IF(Presion_cilindro!N244&gt;(-E$4+Presion_cilindro!$B$34),1-EXP(-Presion_cilindro!$B$16*((Presion_cilindro!N244-(-E$4+Presion_cilindro!$B$34))/Presion_cilindro!$B$35)^(Presion_cilindro!$B$17+1)),0))/((Presion_cilindro!O244+Presion_cilindro!O245)/2)</f>
        <v>2.700846410348694</v>
      </c>
      <c r="F253" s="27">
        <f>F252*(Presion_cilindro!O244/Presion_cilindro!O245)^Presion_cilindro!$B$9+10*(Presion_cilindro!$B$9-1)*Presion_cilindro!$B$33*(IF(Presion_cilindro!N245&gt;(-F$4+Presion_cilindro!$B$34),1-EXP(-Presion_cilindro!$B$16*((Presion_cilindro!N245-(-F$4+Presion_cilindro!$B$34))/Presion_cilindro!$B$35)^(Presion_cilindro!$B$17+1)),0)-IF(Presion_cilindro!N244&gt;(-F$4+Presion_cilindro!$B$34),1-EXP(-Presion_cilindro!$B$16*((Presion_cilindro!N244-(-F$4+Presion_cilindro!$B$34))/Presion_cilindro!$B$35)^(Presion_cilindro!$B$17+1)),0))/((Presion_cilindro!O244+Presion_cilindro!O245)/2)</f>
        <v>2.700846410348694</v>
      </c>
      <c r="G253" s="27">
        <f>G252*(Presion_cilindro!O244/Presion_cilindro!O245)^Presion_cilindro!$B$9+10*(Presion_cilindro!$B$9-1)*Presion_cilindro!$B$33*(IF(Presion_cilindro!N245&gt;(-G$4+Presion_cilindro!$B$34),1-EXP(-Presion_cilindro!$B$16*((Presion_cilindro!N245-(-G$4+Presion_cilindro!$B$34))/Presion_cilindro!$B$35)^(Presion_cilindro!$B$17+1)),0)-IF(Presion_cilindro!N244&gt;(-G$4+Presion_cilindro!$B$34),1-EXP(-Presion_cilindro!$B$16*((Presion_cilindro!N244-(-G$4+Presion_cilindro!$B$34))/Presion_cilindro!$B$35)^(Presion_cilindro!$B$17+1)),0))/((Presion_cilindro!O244+Presion_cilindro!O245)/2)</f>
        <v>2.700846410348694</v>
      </c>
      <c r="H253" s="27">
        <f>H252*(Presion_cilindro!O244/Presion_cilindro!O245)^Presion_cilindro!$B$9+10*(Presion_cilindro!$B$9-1)*Presion_cilindro!$B$33*(IF(Presion_cilindro!N245&gt;(-H$4+Presion_cilindro!$B$34),1-EXP(-Presion_cilindro!$B$16*((Presion_cilindro!N245-(-H$4+Presion_cilindro!$B$34))/Presion_cilindro!$B$35)^(Presion_cilindro!$B$17+1)),0)-IF(Presion_cilindro!N244&gt;(-H$4+Presion_cilindro!$B$34),1-EXP(-Presion_cilindro!$B$16*((Presion_cilindro!N244-(-H$4+Presion_cilindro!$B$34))/Presion_cilindro!$B$35)^(Presion_cilindro!$B$17+1)),0))/((Presion_cilindro!O244+Presion_cilindro!O245)/2)</f>
        <v>2.700846410348694</v>
      </c>
      <c r="I253" s="27">
        <f>I252*(Presion_cilindro!O244/Presion_cilindro!O245)^Presion_cilindro!$B$9+10*(Presion_cilindro!$B$9-1)*Presion_cilindro!$B$33*(IF(Presion_cilindro!N245&gt;(-I$4+Presion_cilindro!$B$34),1-EXP(-Presion_cilindro!$B$16*((Presion_cilindro!N245-(-I$4+Presion_cilindro!$B$34))/Presion_cilindro!$B$35)^(Presion_cilindro!$B$17+1)),0)-IF(Presion_cilindro!N244&gt;(-I$4+Presion_cilindro!$B$34),1-EXP(-Presion_cilindro!$B$16*((Presion_cilindro!N244-(-I$4+Presion_cilindro!$B$34))/Presion_cilindro!$B$35)^(Presion_cilindro!$B$17+1)),0))/((Presion_cilindro!O244+Presion_cilindro!O245)/2)</f>
        <v>2.700846410348694</v>
      </c>
      <c r="J253" s="27">
        <f>J252*(Presion_cilindro!O244/Presion_cilindro!O245)^Presion_cilindro!$B$9+10*(Presion_cilindro!$B$9-1)*Presion_cilindro!$B$33*(IF(Presion_cilindro!N245&gt;(-J$4+Presion_cilindro!$B$34),1-EXP(-Presion_cilindro!$B$16*((Presion_cilindro!N245-(-J$4+Presion_cilindro!$B$34))/Presion_cilindro!$B$35)^(Presion_cilindro!$B$17+1)),0)-IF(Presion_cilindro!N244&gt;(-J$4+Presion_cilindro!$B$34),1-EXP(-Presion_cilindro!$B$16*((Presion_cilindro!N244-(-J$4+Presion_cilindro!$B$34))/Presion_cilindro!$B$35)^(Presion_cilindro!$B$17+1)),0))/((Presion_cilindro!O244+Presion_cilindro!O245)/2)</f>
        <v>2.700846410348694</v>
      </c>
      <c r="K253" s="27">
        <f>K252*(Presion_cilindro!O244/Presion_cilindro!O245)^Presion_cilindro!$B$9+10*(Presion_cilindro!$B$9-1)*Presion_cilindro!$B$33*(IF(Presion_cilindro!N245&gt;(-K$4+Presion_cilindro!$B$34),1-EXP(-Presion_cilindro!$B$16*((Presion_cilindro!N245-(-K$4+Presion_cilindro!$B$34))/Presion_cilindro!$B$35)^(Presion_cilindro!$B$17+1)),0)-IF(Presion_cilindro!N244&gt;(-K$4+Presion_cilindro!$B$34),1-EXP(-Presion_cilindro!$B$16*((Presion_cilindro!N244-(-K$4+Presion_cilindro!$B$34))/Presion_cilindro!$B$35)^(Presion_cilindro!$B$17+1)),0))/((Presion_cilindro!O244+Presion_cilindro!O245)/2)</f>
        <v>2.700846410348694</v>
      </c>
      <c r="L253" s="27">
        <f>L252*(Presion_cilindro!O244/Presion_cilindro!O245)^Presion_cilindro!$B$9+10*(Presion_cilindro!$B$9-1)*Presion_cilindro!$B$33*(IF(Presion_cilindro!N245&gt;(-L$4+Presion_cilindro!$B$34),1-EXP(-Presion_cilindro!$B$16*((Presion_cilindro!N245-(-L$4+Presion_cilindro!$B$34))/Presion_cilindro!$B$35)^(Presion_cilindro!$B$17+1)),0)-IF(Presion_cilindro!N244&gt;(-L$4+Presion_cilindro!$B$34),1-EXP(-Presion_cilindro!$B$16*((Presion_cilindro!N244-(-L$4+Presion_cilindro!$B$34))/Presion_cilindro!$B$35)^(Presion_cilindro!$B$17+1)),0))/((Presion_cilindro!O244+Presion_cilindro!O245)/2)</f>
        <v>2.700846410348694</v>
      </c>
      <c r="M253" s="27">
        <f>M252*(Presion_cilindro!O244/Presion_cilindro!O245)^Presion_cilindro!$B$9+10*(Presion_cilindro!$B$9-1)*Presion_cilindro!$B$33*(IF(Presion_cilindro!N245&gt;(-M$4+Presion_cilindro!$B$34),1-EXP(-Presion_cilindro!$B$16*((Presion_cilindro!N245-(-M$4+Presion_cilindro!$B$34))/Presion_cilindro!$B$35)^(Presion_cilindro!$B$17+1)),0)-IF(Presion_cilindro!N244&gt;(-M$4+Presion_cilindro!$B$34),1-EXP(-Presion_cilindro!$B$16*((Presion_cilindro!N244-(-M$4+Presion_cilindro!$B$34))/Presion_cilindro!$B$35)^(Presion_cilindro!$B$17+1)),0))/((Presion_cilindro!O244+Presion_cilindro!O245)/2)</f>
        <v>2.700846410348694</v>
      </c>
      <c r="N253" s="27">
        <f>N252*(Presion_cilindro!O244/Presion_cilindro!O245)^Presion_cilindro!$B$9+10*(Presion_cilindro!$B$9-1)*Presion_cilindro!$B$33*(IF(Presion_cilindro!N245&gt;(-N$4+Presion_cilindro!$B$34),1-EXP(-Presion_cilindro!$B$16*((Presion_cilindro!N245-(-N$4+Presion_cilindro!$B$34))/Presion_cilindro!$B$35)^(Presion_cilindro!$B$17+1)),0)-IF(Presion_cilindro!N244&gt;(-N$4+Presion_cilindro!$B$34),1-EXP(-Presion_cilindro!$B$16*((Presion_cilindro!N244-(-N$4+Presion_cilindro!$B$34))/Presion_cilindro!$B$35)^(Presion_cilindro!$B$17+1)),0))/((Presion_cilindro!O244+Presion_cilindro!O245)/2)</f>
        <v>2.700846410348694</v>
      </c>
    </row>
    <row r="254" spans="1:14" x14ac:dyDescent="0.25">
      <c r="A254" s="21">
        <f>Presion_cilindro!N246</f>
        <v>-59</v>
      </c>
      <c r="B254" s="27">
        <f>B253*(Presion_cilindro!O245/Presion_cilindro!O246)^Presion_cilindro!$B$9+10*(Presion_cilindro!$B$9-1)*Presion_cilindro!$B$33*(IF(Presion_cilindro!N246&gt;(-B$4+Presion_cilindro!$B$34),1-EXP(-Presion_cilindro!$B$16*((Presion_cilindro!N246-(-B$4+Presion_cilindro!$B$34))/Presion_cilindro!$B$35)^(Presion_cilindro!$B$17+1)),0)-IF(Presion_cilindro!N245&gt;(-B$4+Presion_cilindro!$B$34),1-EXP(-Presion_cilindro!$B$16*((Presion_cilindro!N245-(-B$4+Presion_cilindro!$B$34))/Presion_cilindro!$B$35)^(Presion_cilindro!$B$17+1)),0))/((Presion_cilindro!O245+Presion_cilindro!O246)/2)</f>
        <v>2.7390068004353867</v>
      </c>
      <c r="C254" s="27">
        <f>C253*(Presion_cilindro!O245/Presion_cilindro!O246)^Presion_cilindro!$B$9+10*(Presion_cilindro!$B$9-1)*Presion_cilindro!$B$33*(IF(Presion_cilindro!N246&gt;(-C$4+Presion_cilindro!$B$34),1-EXP(-Presion_cilindro!$B$16*((Presion_cilindro!N246-(-C$4+Presion_cilindro!$B$34))/Presion_cilindro!$B$35)^(Presion_cilindro!$B$17+1)),0)-IF(Presion_cilindro!N245&gt;(-C$4+Presion_cilindro!$B$34),1-EXP(-Presion_cilindro!$B$16*((Presion_cilindro!N245-(-C$4+Presion_cilindro!$B$34))/Presion_cilindro!$B$35)^(Presion_cilindro!$B$17+1)),0))/((Presion_cilindro!O245+Presion_cilindro!O246)/2)</f>
        <v>2.7390068004353867</v>
      </c>
      <c r="D254" s="27">
        <f>D253*(Presion_cilindro!O245/Presion_cilindro!O246)^Presion_cilindro!$B$9+10*(Presion_cilindro!$B$9-1)*Presion_cilindro!$B$33*(IF(Presion_cilindro!N246&gt;(-D$4+Presion_cilindro!$B$34),1-EXP(-Presion_cilindro!$B$16*((Presion_cilindro!N246-(-D$4+Presion_cilindro!$B$34))/Presion_cilindro!$B$35)^(Presion_cilindro!$B$17+1)),0)-IF(Presion_cilindro!N245&gt;(-D$4+Presion_cilindro!$B$34),1-EXP(-Presion_cilindro!$B$16*((Presion_cilindro!N245-(-D$4+Presion_cilindro!$B$34))/Presion_cilindro!$B$35)^(Presion_cilindro!$B$17+1)),0))/((Presion_cilindro!O245+Presion_cilindro!O246)/2)</f>
        <v>2.7390068004353867</v>
      </c>
      <c r="E254" s="27">
        <f>E253*(Presion_cilindro!O245/Presion_cilindro!O246)^Presion_cilindro!$B$9+10*(Presion_cilindro!$B$9-1)*Presion_cilindro!$B$33*(IF(Presion_cilindro!N246&gt;(-E$4+Presion_cilindro!$B$34),1-EXP(-Presion_cilindro!$B$16*((Presion_cilindro!N246-(-E$4+Presion_cilindro!$B$34))/Presion_cilindro!$B$35)^(Presion_cilindro!$B$17+1)),0)-IF(Presion_cilindro!N245&gt;(-E$4+Presion_cilindro!$B$34),1-EXP(-Presion_cilindro!$B$16*((Presion_cilindro!N245-(-E$4+Presion_cilindro!$B$34))/Presion_cilindro!$B$35)^(Presion_cilindro!$B$17+1)),0))/((Presion_cilindro!O245+Presion_cilindro!O246)/2)</f>
        <v>2.7390068004353867</v>
      </c>
      <c r="F254" s="27">
        <f>F253*(Presion_cilindro!O245/Presion_cilindro!O246)^Presion_cilindro!$B$9+10*(Presion_cilindro!$B$9-1)*Presion_cilindro!$B$33*(IF(Presion_cilindro!N246&gt;(-F$4+Presion_cilindro!$B$34),1-EXP(-Presion_cilindro!$B$16*((Presion_cilindro!N246-(-F$4+Presion_cilindro!$B$34))/Presion_cilindro!$B$35)^(Presion_cilindro!$B$17+1)),0)-IF(Presion_cilindro!N245&gt;(-F$4+Presion_cilindro!$B$34),1-EXP(-Presion_cilindro!$B$16*((Presion_cilindro!N245-(-F$4+Presion_cilindro!$B$34))/Presion_cilindro!$B$35)^(Presion_cilindro!$B$17+1)),0))/((Presion_cilindro!O245+Presion_cilindro!O246)/2)</f>
        <v>2.7390068004353867</v>
      </c>
      <c r="G254" s="27">
        <f>G253*(Presion_cilindro!O245/Presion_cilindro!O246)^Presion_cilindro!$B$9+10*(Presion_cilindro!$B$9-1)*Presion_cilindro!$B$33*(IF(Presion_cilindro!N246&gt;(-G$4+Presion_cilindro!$B$34),1-EXP(-Presion_cilindro!$B$16*((Presion_cilindro!N246-(-G$4+Presion_cilindro!$B$34))/Presion_cilindro!$B$35)^(Presion_cilindro!$B$17+1)),0)-IF(Presion_cilindro!N245&gt;(-G$4+Presion_cilindro!$B$34),1-EXP(-Presion_cilindro!$B$16*((Presion_cilindro!N245-(-G$4+Presion_cilindro!$B$34))/Presion_cilindro!$B$35)^(Presion_cilindro!$B$17+1)),0))/((Presion_cilindro!O245+Presion_cilindro!O246)/2)</f>
        <v>2.7390068004353867</v>
      </c>
      <c r="H254" s="27">
        <f>H253*(Presion_cilindro!O245/Presion_cilindro!O246)^Presion_cilindro!$B$9+10*(Presion_cilindro!$B$9-1)*Presion_cilindro!$B$33*(IF(Presion_cilindro!N246&gt;(-H$4+Presion_cilindro!$B$34),1-EXP(-Presion_cilindro!$B$16*((Presion_cilindro!N246-(-H$4+Presion_cilindro!$B$34))/Presion_cilindro!$B$35)^(Presion_cilindro!$B$17+1)),0)-IF(Presion_cilindro!N245&gt;(-H$4+Presion_cilindro!$B$34),1-EXP(-Presion_cilindro!$B$16*((Presion_cilindro!N245-(-H$4+Presion_cilindro!$B$34))/Presion_cilindro!$B$35)^(Presion_cilindro!$B$17+1)),0))/((Presion_cilindro!O245+Presion_cilindro!O246)/2)</f>
        <v>2.7390068004353867</v>
      </c>
      <c r="I254" s="27">
        <f>I253*(Presion_cilindro!O245/Presion_cilindro!O246)^Presion_cilindro!$B$9+10*(Presion_cilindro!$B$9-1)*Presion_cilindro!$B$33*(IF(Presion_cilindro!N246&gt;(-I$4+Presion_cilindro!$B$34),1-EXP(-Presion_cilindro!$B$16*((Presion_cilindro!N246-(-I$4+Presion_cilindro!$B$34))/Presion_cilindro!$B$35)^(Presion_cilindro!$B$17+1)),0)-IF(Presion_cilindro!N245&gt;(-I$4+Presion_cilindro!$B$34),1-EXP(-Presion_cilindro!$B$16*((Presion_cilindro!N245-(-I$4+Presion_cilindro!$B$34))/Presion_cilindro!$B$35)^(Presion_cilindro!$B$17+1)),0))/((Presion_cilindro!O245+Presion_cilindro!O246)/2)</f>
        <v>2.7390068004353867</v>
      </c>
      <c r="J254" s="27">
        <f>J253*(Presion_cilindro!O245/Presion_cilindro!O246)^Presion_cilindro!$B$9+10*(Presion_cilindro!$B$9-1)*Presion_cilindro!$B$33*(IF(Presion_cilindro!N246&gt;(-J$4+Presion_cilindro!$B$34),1-EXP(-Presion_cilindro!$B$16*((Presion_cilindro!N246-(-J$4+Presion_cilindro!$B$34))/Presion_cilindro!$B$35)^(Presion_cilindro!$B$17+1)),0)-IF(Presion_cilindro!N245&gt;(-J$4+Presion_cilindro!$B$34),1-EXP(-Presion_cilindro!$B$16*((Presion_cilindro!N245-(-J$4+Presion_cilindro!$B$34))/Presion_cilindro!$B$35)^(Presion_cilindro!$B$17+1)),0))/((Presion_cilindro!O245+Presion_cilindro!O246)/2)</f>
        <v>2.7390068004353867</v>
      </c>
      <c r="K254" s="27">
        <f>K253*(Presion_cilindro!O245/Presion_cilindro!O246)^Presion_cilindro!$B$9+10*(Presion_cilindro!$B$9-1)*Presion_cilindro!$B$33*(IF(Presion_cilindro!N246&gt;(-K$4+Presion_cilindro!$B$34),1-EXP(-Presion_cilindro!$B$16*((Presion_cilindro!N246-(-K$4+Presion_cilindro!$B$34))/Presion_cilindro!$B$35)^(Presion_cilindro!$B$17+1)),0)-IF(Presion_cilindro!N245&gt;(-K$4+Presion_cilindro!$B$34),1-EXP(-Presion_cilindro!$B$16*((Presion_cilindro!N245-(-K$4+Presion_cilindro!$B$34))/Presion_cilindro!$B$35)^(Presion_cilindro!$B$17+1)),0))/((Presion_cilindro!O245+Presion_cilindro!O246)/2)</f>
        <v>2.7390068004353867</v>
      </c>
      <c r="L254" s="27">
        <f>L253*(Presion_cilindro!O245/Presion_cilindro!O246)^Presion_cilindro!$B$9+10*(Presion_cilindro!$B$9-1)*Presion_cilindro!$B$33*(IF(Presion_cilindro!N246&gt;(-L$4+Presion_cilindro!$B$34),1-EXP(-Presion_cilindro!$B$16*((Presion_cilindro!N246-(-L$4+Presion_cilindro!$B$34))/Presion_cilindro!$B$35)^(Presion_cilindro!$B$17+1)),0)-IF(Presion_cilindro!N245&gt;(-L$4+Presion_cilindro!$B$34),1-EXP(-Presion_cilindro!$B$16*((Presion_cilindro!N245-(-L$4+Presion_cilindro!$B$34))/Presion_cilindro!$B$35)^(Presion_cilindro!$B$17+1)),0))/((Presion_cilindro!O245+Presion_cilindro!O246)/2)</f>
        <v>2.7390068004353867</v>
      </c>
      <c r="M254" s="27">
        <f>M253*(Presion_cilindro!O245/Presion_cilindro!O246)^Presion_cilindro!$B$9+10*(Presion_cilindro!$B$9-1)*Presion_cilindro!$B$33*(IF(Presion_cilindro!N246&gt;(-M$4+Presion_cilindro!$B$34),1-EXP(-Presion_cilindro!$B$16*((Presion_cilindro!N246-(-M$4+Presion_cilindro!$B$34))/Presion_cilindro!$B$35)^(Presion_cilindro!$B$17+1)),0)-IF(Presion_cilindro!N245&gt;(-M$4+Presion_cilindro!$B$34),1-EXP(-Presion_cilindro!$B$16*((Presion_cilindro!N245-(-M$4+Presion_cilindro!$B$34))/Presion_cilindro!$B$35)^(Presion_cilindro!$B$17+1)),0))/((Presion_cilindro!O245+Presion_cilindro!O246)/2)</f>
        <v>2.7390068004353867</v>
      </c>
      <c r="N254" s="27">
        <f>N253*(Presion_cilindro!O245/Presion_cilindro!O246)^Presion_cilindro!$B$9+10*(Presion_cilindro!$B$9-1)*Presion_cilindro!$B$33*(IF(Presion_cilindro!N246&gt;(-N$4+Presion_cilindro!$B$34),1-EXP(-Presion_cilindro!$B$16*((Presion_cilindro!N246-(-N$4+Presion_cilindro!$B$34))/Presion_cilindro!$B$35)^(Presion_cilindro!$B$17+1)),0)-IF(Presion_cilindro!N245&gt;(-N$4+Presion_cilindro!$B$34),1-EXP(-Presion_cilindro!$B$16*((Presion_cilindro!N245-(-N$4+Presion_cilindro!$B$34))/Presion_cilindro!$B$35)^(Presion_cilindro!$B$17+1)),0))/((Presion_cilindro!O245+Presion_cilindro!O246)/2)</f>
        <v>2.7390068004353867</v>
      </c>
    </row>
    <row r="255" spans="1:14" x14ac:dyDescent="0.25">
      <c r="A255" s="21">
        <f>Presion_cilindro!N247</f>
        <v>-58.5</v>
      </c>
      <c r="B255" s="27">
        <f>B254*(Presion_cilindro!O246/Presion_cilindro!O247)^Presion_cilindro!$B$9+10*(Presion_cilindro!$B$9-1)*Presion_cilindro!$B$33*(IF(Presion_cilindro!N247&gt;(-B$4+Presion_cilindro!$B$34),1-EXP(-Presion_cilindro!$B$16*((Presion_cilindro!N247-(-B$4+Presion_cilindro!$B$34))/Presion_cilindro!$B$35)^(Presion_cilindro!$B$17+1)),0)-IF(Presion_cilindro!N246&gt;(-B$4+Presion_cilindro!$B$34),1-EXP(-Presion_cilindro!$B$16*((Presion_cilindro!N246-(-B$4+Presion_cilindro!$B$34))/Presion_cilindro!$B$35)^(Presion_cilindro!$B$17+1)),0))/((Presion_cilindro!O246+Presion_cilindro!O247)/2)</f>
        <v>2.7779885061809821</v>
      </c>
      <c r="C255" s="27">
        <f>C254*(Presion_cilindro!O246/Presion_cilindro!O247)^Presion_cilindro!$B$9+10*(Presion_cilindro!$B$9-1)*Presion_cilindro!$B$33*(IF(Presion_cilindro!N247&gt;(-C$4+Presion_cilindro!$B$34),1-EXP(-Presion_cilindro!$B$16*((Presion_cilindro!N247-(-C$4+Presion_cilindro!$B$34))/Presion_cilindro!$B$35)^(Presion_cilindro!$B$17+1)),0)-IF(Presion_cilindro!N246&gt;(-C$4+Presion_cilindro!$B$34),1-EXP(-Presion_cilindro!$B$16*((Presion_cilindro!N246-(-C$4+Presion_cilindro!$B$34))/Presion_cilindro!$B$35)^(Presion_cilindro!$B$17+1)),0))/((Presion_cilindro!O246+Presion_cilindro!O247)/2)</f>
        <v>2.7779885061809821</v>
      </c>
      <c r="D255" s="27">
        <f>D254*(Presion_cilindro!O246/Presion_cilindro!O247)^Presion_cilindro!$B$9+10*(Presion_cilindro!$B$9-1)*Presion_cilindro!$B$33*(IF(Presion_cilindro!N247&gt;(-D$4+Presion_cilindro!$B$34),1-EXP(-Presion_cilindro!$B$16*((Presion_cilindro!N247-(-D$4+Presion_cilindro!$B$34))/Presion_cilindro!$B$35)^(Presion_cilindro!$B$17+1)),0)-IF(Presion_cilindro!N246&gt;(-D$4+Presion_cilindro!$B$34),1-EXP(-Presion_cilindro!$B$16*((Presion_cilindro!N246-(-D$4+Presion_cilindro!$B$34))/Presion_cilindro!$B$35)^(Presion_cilindro!$B$17+1)),0))/((Presion_cilindro!O246+Presion_cilindro!O247)/2)</f>
        <v>2.7779885061809821</v>
      </c>
      <c r="E255" s="27">
        <f>E254*(Presion_cilindro!O246/Presion_cilindro!O247)^Presion_cilindro!$B$9+10*(Presion_cilindro!$B$9-1)*Presion_cilindro!$B$33*(IF(Presion_cilindro!N247&gt;(-E$4+Presion_cilindro!$B$34),1-EXP(-Presion_cilindro!$B$16*((Presion_cilindro!N247-(-E$4+Presion_cilindro!$B$34))/Presion_cilindro!$B$35)^(Presion_cilindro!$B$17+1)),0)-IF(Presion_cilindro!N246&gt;(-E$4+Presion_cilindro!$B$34),1-EXP(-Presion_cilindro!$B$16*((Presion_cilindro!N246-(-E$4+Presion_cilindro!$B$34))/Presion_cilindro!$B$35)^(Presion_cilindro!$B$17+1)),0))/((Presion_cilindro!O246+Presion_cilindro!O247)/2)</f>
        <v>2.7779885061809821</v>
      </c>
      <c r="F255" s="27">
        <f>F254*(Presion_cilindro!O246/Presion_cilindro!O247)^Presion_cilindro!$B$9+10*(Presion_cilindro!$B$9-1)*Presion_cilindro!$B$33*(IF(Presion_cilindro!N247&gt;(-F$4+Presion_cilindro!$B$34),1-EXP(-Presion_cilindro!$B$16*((Presion_cilindro!N247-(-F$4+Presion_cilindro!$B$34))/Presion_cilindro!$B$35)^(Presion_cilindro!$B$17+1)),0)-IF(Presion_cilindro!N246&gt;(-F$4+Presion_cilindro!$B$34),1-EXP(-Presion_cilindro!$B$16*((Presion_cilindro!N246-(-F$4+Presion_cilindro!$B$34))/Presion_cilindro!$B$35)^(Presion_cilindro!$B$17+1)),0))/((Presion_cilindro!O246+Presion_cilindro!O247)/2)</f>
        <v>2.7779885061809821</v>
      </c>
      <c r="G255" s="27">
        <f>G254*(Presion_cilindro!O246/Presion_cilindro!O247)^Presion_cilindro!$B$9+10*(Presion_cilindro!$B$9-1)*Presion_cilindro!$B$33*(IF(Presion_cilindro!N247&gt;(-G$4+Presion_cilindro!$B$34),1-EXP(-Presion_cilindro!$B$16*((Presion_cilindro!N247-(-G$4+Presion_cilindro!$B$34))/Presion_cilindro!$B$35)^(Presion_cilindro!$B$17+1)),0)-IF(Presion_cilindro!N246&gt;(-G$4+Presion_cilindro!$B$34),1-EXP(-Presion_cilindro!$B$16*((Presion_cilindro!N246-(-G$4+Presion_cilindro!$B$34))/Presion_cilindro!$B$35)^(Presion_cilindro!$B$17+1)),0))/((Presion_cilindro!O246+Presion_cilindro!O247)/2)</f>
        <v>2.7779885061809821</v>
      </c>
      <c r="H255" s="27">
        <f>H254*(Presion_cilindro!O246/Presion_cilindro!O247)^Presion_cilindro!$B$9+10*(Presion_cilindro!$B$9-1)*Presion_cilindro!$B$33*(IF(Presion_cilindro!N247&gt;(-H$4+Presion_cilindro!$B$34),1-EXP(-Presion_cilindro!$B$16*((Presion_cilindro!N247-(-H$4+Presion_cilindro!$B$34))/Presion_cilindro!$B$35)^(Presion_cilindro!$B$17+1)),0)-IF(Presion_cilindro!N246&gt;(-H$4+Presion_cilindro!$B$34),1-EXP(-Presion_cilindro!$B$16*((Presion_cilindro!N246-(-H$4+Presion_cilindro!$B$34))/Presion_cilindro!$B$35)^(Presion_cilindro!$B$17+1)),0))/((Presion_cilindro!O246+Presion_cilindro!O247)/2)</f>
        <v>2.7779885061809821</v>
      </c>
      <c r="I255" s="27">
        <f>I254*(Presion_cilindro!O246/Presion_cilindro!O247)^Presion_cilindro!$B$9+10*(Presion_cilindro!$B$9-1)*Presion_cilindro!$B$33*(IF(Presion_cilindro!N247&gt;(-I$4+Presion_cilindro!$B$34),1-EXP(-Presion_cilindro!$B$16*((Presion_cilindro!N247-(-I$4+Presion_cilindro!$B$34))/Presion_cilindro!$B$35)^(Presion_cilindro!$B$17+1)),0)-IF(Presion_cilindro!N246&gt;(-I$4+Presion_cilindro!$B$34),1-EXP(-Presion_cilindro!$B$16*((Presion_cilindro!N246-(-I$4+Presion_cilindro!$B$34))/Presion_cilindro!$B$35)^(Presion_cilindro!$B$17+1)),0))/((Presion_cilindro!O246+Presion_cilindro!O247)/2)</f>
        <v>2.7779885061809821</v>
      </c>
      <c r="J255" s="27">
        <f>J254*(Presion_cilindro!O246/Presion_cilindro!O247)^Presion_cilindro!$B$9+10*(Presion_cilindro!$B$9-1)*Presion_cilindro!$B$33*(IF(Presion_cilindro!N247&gt;(-J$4+Presion_cilindro!$B$34),1-EXP(-Presion_cilindro!$B$16*((Presion_cilindro!N247-(-J$4+Presion_cilindro!$B$34))/Presion_cilindro!$B$35)^(Presion_cilindro!$B$17+1)),0)-IF(Presion_cilindro!N246&gt;(-J$4+Presion_cilindro!$B$34),1-EXP(-Presion_cilindro!$B$16*((Presion_cilindro!N246-(-J$4+Presion_cilindro!$B$34))/Presion_cilindro!$B$35)^(Presion_cilindro!$B$17+1)),0))/((Presion_cilindro!O246+Presion_cilindro!O247)/2)</f>
        <v>2.7779885061809821</v>
      </c>
      <c r="K255" s="27">
        <f>K254*(Presion_cilindro!O246/Presion_cilindro!O247)^Presion_cilindro!$B$9+10*(Presion_cilindro!$B$9-1)*Presion_cilindro!$B$33*(IF(Presion_cilindro!N247&gt;(-K$4+Presion_cilindro!$B$34),1-EXP(-Presion_cilindro!$B$16*((Presion_cilindro!N247-(-K$4+Presion_cilindro!$B$34))/Presion_cilindro!$B$35)^(Presion_cilindro!$B$17+1)),0)-IF(Presion_cilindro!N246&gt;(-K$4+Presion_cilindro!$B$34),1-EXP(-Presion_cilindro!$B$16*((Presion_cilindro!N246-(-K$4+Presion_cilindro!$B$34))/Presion_cilindro!$B$35)^(Presion_cilindro!$B$17+1)),0))/((Presion_cilindro!O246+Presion_cilindro!O247)/2)</f>
        <v>2.7779885061809821</v>
      </c>
      <c r="L255" s="27">
        <f>L254*(Presion_cilindro!O246/Presion_cilindro!O247)^Presion_cilindro!$B$9+10*(Presion_cilindro!$B$9-1)*Presion_cilindro!$B$33*(IF(Presion_cilindro!N247&gt;(-L$4+Presion_cilindro!$B$34),1-EXP(-Presion_cilindro!$B$16*((Presion_cilindro!N247-(-L$4+Presion_cilindro!$B$34))/Presion_cilindro!$B$35)^(Presion_cilindro!$B$17+1)),0)-IF(Presion_cilindro!N246&gt;(-L$4+Presion_cilindro!$B$34),1-EXP(-Presion_cilindro!$B$16*((Presion_cilindro!N246-(-L$4+Presion_cilindro!$B$34))/Presion_cilindro!$B$35)^(Presion_cilindro!$B$17+1)),0))/((Presion_cilindro!O246+Presion_cilindro!O247)/2)</f>
        <v>2.7779885061809821</v>
      </c>
      <c r="M255" s="27">
        <f>M254*(Presion_cilindro!O246/Presion_cilindro!O247)^Presion_cilindro!$B$9+10*(Presion_cilindro!$B$9-1)*Presion_cilindro!$B$33*(IF(Presion_cilindro!N247&gt;(-M$4+Presion_cilindro!$B$34),1-EXP(-Presion_cilindro!$B$16*((Presion_cilindro!N247-(-M$4+Presion_cilindro!$B$34))/Presion_cilindro!$B$35)^(Presion_cilindro!$B$17+1)),0)-IF(Presion_cilindro!N246&gt;(-M$4+Presion_cilindro!$B$34),1-EXP(-Presion_cilindro!$B$16*((Presion_cilindro!N246-(-M$4+Presion_cilindro!$B$34))/Presion_cilindro!$B$35)^(Presion_cilindro!$B$17+1)),0))/((Presion_cilindro!O246+Presion_cilindro!O247)/2)</f>
        <v>2.7779885061809821</v>
      </c>
      <c r="N255" s="27">
        <f>N254*(Presion_cilindro!O246/Presion_cilindro!O247)^Presion_cilindro!$B$9+10*(Presion_cilindro!$B$9-1)*Presion_cilindro!$B$33*(IF(Presion_cilindro!N247&gt;(-N$4+Presion_cilindro!$B$34),1-EXP(-Presion_cilindro!$B$16*((Presion_cilindro!N247-(-N$4+Presion_cilindro!$B$34))/Presion_cilindro!$B$35)^(Presion_cilindro!$B$17+1)),0)-IF(Presion_cilindro!N246&gt;(-N$4+Presion_cilindro!$B$34),1-EXP(-Presion_cilindro!$B$16*((Presion_cilindro!N246-(-N$4+Presion_cilindro!$B$34))/Presion_cilindro!$B$35)^(Presion_cilindro!$B$17+1)),0))/((Presion_cilindro!O246+Presion_cilindro!O247)/2)</f>
        <v>2.7779885061809821</v>
      </c>
    </row>
    <row r="256" spans="1:14" x14ac:dyDescent="0.25">
      <c r="A256" s="21">
        <f>Presion_cilindro!N248</f>
        <v>-58</v>
      </c>
      <c r="B256" s="27">
        <f>B255*(Presion_cilindro!O247/Presion_cilindro!O248)^Presion_cilindro!$B$9+10*(Presion_cilindro!$B$9-1)*Presion_cilindro!$B$33*(IF(Presion_cilindro!N248&gt;(-B$4+Presion_cilindro!$B$34),1-EXP(-Presion_cilindro!$B$16*((Presion_cilindro!N248-(-B$4+Presion_cilindro!$B$34))/Presion_cilindro!$B$35)^(Presion_cilindro!$B$17+1)),0)-IF(Presion_cilindro!N247&gt;(-B$4+Presion_cilindro!$B$34),1-EXP(-Presion_cilindro!$B$16*((Presion_cilindro!N247-(-B$4+Presion_cilindro!$B$34))/Presion_cilindro!$B$35)^(Presion_cilindro!$B$17+1)),0))/((Presion_cilindro!O247+Presion_cilindro!O248)/2)</f>
        <v>2.8178115397879835</v>
      </c>
      <c r="C256" s="27">
        <f>C255*(Presion_cilindro!O247/Presion_cilindro!O248)^Presion_cilindro!$B$9+10*(Presion_cilindro!$B$9-1)*Presion_cilindro!$B$33*(IF(Presion_cilindro!N248&gt;(-C$4+Presion_cilindro!$B$34),1-EXP(-Presion_cilindro!$B$16*((Presion_cilindro!N248-(-C$4+Presion_cilindro!$B$34))/Presion_cilindro!$B$35)^(Presion_cilindro!$B$17+1)),0)-IF(Presion_cilindro!N247&gt;(-C$4+Presion_cilindro!$B$34),1-EXP(-Presion_cilindro!$B$16*((Presion_cilindro!N247-(-C$4+Presion_cilindro!$B$34))/Presion_cilindro!$B$35)^(Presion_cilindro!$B$17+1)),0))/((Presion_cilindro!O247+Presion_cilindro!O248)/2)</f>
        <v>2.8178115397879835</v>
      </c>
      <c r="D256" s="27">
        <f>D255*(Presion_cilindro!O247/Presion_cilindro!O248)^Presion_cilindro!$B$9+10*(Presion_cilindro!$B$9-1)*Presion_cilindro!$B$33*(IF(Presion_cilindro!N248&gt;(-D$4+Presion_cilindro!$B$34),1-EXP(-Presion_cilindro!$B$16*((Presion_cilindro!N248-(-D$4+Presion_cilindro!$B$34))/Presion_cilindro!$B$35)^(Presion_cilindro!$B$17+1)),0)-IF(Presion_cilindro!N247&gt;(-D$4+Presion_cilindro!$B$34),1-EXP(-Presion_cilindro!$B$16*((Presion_cilindro!N247-(-D$4+Presion_cilindro!$B$34))/Presion_cilindro!$B$35)^(Presion_cilindro!$B$17+1)),0))/((Presion_cilindro!O247+Presion_cilindro!O248)/2)</f>
        <v>2.8178115397879835</v>
      </c>
      <c r="E256" s="27">
        <f>E255*(Presion_cilindro!O247/Presion_cilindro!O248)^Presion_cilindro!$B$9+10*(Presion_cilindro!$B$9-1)*Presion_cilindro!$B$33*(IF(Presion_cilindro!N248&gt;(-E$4+Presion_cilindro!$B$34),1-EXP(-Presion_cilindro!$B$16*((Presion_cilindro!N248-(-E$4+Presion_cilindro!$B$34))/Presion_cilindro!$B$35)^(Presion_cilindro!$B$17+1)),0)-IF(Presion_cilindro!N247&gt;(-E$4+Presion_cilindro!$B$34),1-EXP(-Presion_cilindro!$B$16*((Presion_cilindro!N247-(-E$4+Presion_cilindro!$B$34))/Presion_cilindro!$B$35)^(Presion_cilindro!$B$17+1)),0))/((Presion_cilindro!O247+Presion_cilindro!O248)/2)</f>
        <v>2.8178115397879835</v>
      </c>
      <c r="F256" s="27">
        <f>F255*(Presion_cilindro!O247/Presion_cilindro!O248)^Presion_cilindro!$B$9+10*(Presion_cilindro!$B$9-1)*Presion_cilindro!$B$33*(IF(Presion_cilindro!N248&gt;(-F$4+Presion_cilindro!$B$34),1-EXP(-Presion_cilindro!$B$16*((Presion_cilindro!N248-(-F$4+Presion_cilindro!$B$34))/Presion_cilindro!$B$35)^(Presion_cilindro!$B$17+1)),0)-IF(Presion_cilindro!N247&gt;(-F$4+Presion_cilindro!$B$34),1-EXP(-Presion_cilindro!$B$16*((Presion_cilindro!N247-(-F$4+Presion_cilindro!$B$34))/Presion_cilindro!$B$35)^(Presion_cilindro!$B$17+1)),0))/((Presion_cilindro!O247+Presion_cilindro!O248)/2)</f>
        <v>2.8178115397879835</v>
      </c>
      <c r="G256" s="27">
        <f>G255*(Presion_cilindro!O247/Presion_cilindro!O248)^Presion_cilindro!$B$9+10*(Presion_cilindro!$B$9-1)*Presion_cilindro!$B$33*(IF(Presion_cilindro!N248&gt;(-G$4+Presion_cilindro!$B$34),1-EXP(-Presion_cilindro!$B$16*((Presion_cilindro!N248-(-G$4+Presion_cilindro!$B$34))/Presion_cilindro!$B$35)^(Presion_cilindro!$B$17+1)),0)-IF(Presion_cilindro!N247&gt;(-G$4+Presion_cilindro!$B$34),1-EXP(-Presion_cilindro!$B$16*((Presion_cilindro!N247-(-G$4+Presion_cilindro!$B$34))/Presion_cilindro!$B$35)^(Presion_cilindro!$B$17+1)),0))/((Presion_cilindro!O247+Presion_cilindro!O248)/2)</f>
        <v>2.8178115397879835</v>
      </c>
      <c r="H256" s="27">
        <f>H255*(Presion_cilindro!O247/Presion_cilindro!O248)^Presion_cilindro!$B$9+10*(Presion_cilindro!$B$9-1)*Presion_cilindro!$B$33*(IF(Presion_cilindro!N248&gt;(-H$4+Presion_cilindro!$B$34),1-EXP(-Presion_cilindro!$B$16*((Presion_cilindro!N248-(-H$4+Presion_cilindro!$B$34))/Presion_cilindro!$B$35)^(Presion_cilindro!$B$17+1)),0)-IF(Presion_cilindro!N247&gt;(-H$4+Presion_cilindro!$B$34),1-EXP(-Presion_cilindro!$B$16*((Presion_cilindro!N247-(-H$4+Presion_cilindro!$B$34))/Presion_cilindro!$B$35)^(Presion_cilindro!$B$17+1)),0))/((Presion_cilindro!O247+Presion_cilindro!O248)/2)</f>
        <v>2.8178115397879835</v>
      </c>
      <c r="I256" s="27">
        <f>I255*(Presion_cilindro!O247/Presion_cilindro!O248)^Presion_cilindro!$B$9+10*(Presion_cilindro!$B$9-1)*Presion_cilindro!$B$33*(IF(Presion_cilindro!N248&gt;(-I$4+Presion_cilindro!$B$34),1-EXP(-Presion_cilindro!$B$16*((Presion_cilindro!N248-(-I$4+Presion_cilindro!$B$34))/Presion_cilindro!$B$35)^(Presion_cilindro!$B$17+1)),0)-IF(Presion_cilindro!N247&gt;(-I$4+Presion_cilindro!$B$34),1-EXP(-Presion_cilindro!$B$16*((Presion_cilindro!N247-(-I$4+Presion_cilindro!$B$34))/Presion_cilindro!$B$35)^(Presion_cilindro!$B$17+1)),0))/((Presion_cilindro!O247+Presion_cilindro!O248)/2)</f>
        <v>2.8178115397879835</v>
      </c>
      <c r="J256" s="27">
        <f>J255*(Presion_cilindro!O247/Presion_cilindro!O248)^Presion_cilindro!$B$9+10*(Presion_cilindro!$B$9-1)*Presion_cilindro!$B$33*(IF(Presion_cilindro!N248&gt;(-J$4+Presion_cilindro!$B$34),1-EXP(-Presion_cilindro!$B$16*((Presion_cilindro!N248-(-J$4+Presion_cilindro!$B$34))/Presion_cilindro!$B$35)^(Presion_cilindro!$B$17+1)),0)-IF(Presion_cilindro!N247&gt;(-J$4+Presion_cilindro!$B$34),1-EXP(-Presion_cilindro!$B$16*((Presion_cilindro!N247-(-J$4+Presion_cilindro!$B$34))/Presion_cilindro!$B$35)^(Presion_cilindro!$B$17+1)),0))/((Presion_cilindro!O247+Presion_cilindro!O248)/2)</f>
        <v>2.8178115397879835</v>
      </c>
      <c r="K256" s="27">
        <f>K255*(Presion_cilindro!O247/Presion_cilindro!O248)^Presion_cilindro!$B$9+10*(Presion_cilindro!$B$9-1)*Presion_cilindro!$B$33*(IF(Presion_cilindro!N248&gt;(-K$4+Presion_cilindro!$B$34),1-EXP(-Presion_cilindro!$B$16*((Presion_cilindro!N248-(-K$4+Presion_cilindro!$B$34))/Presion_cilindro!$B$35)^(Presion_cilindro!$B$17+1)),0)-IF(Presion_cilindro!N247&gt;(-K$4+Presion_cilindro!$B$34),1-EXP(-Presion_cilindro!$B$16*((Presion_cilindro!N247-(-K$4+Presion_cilindro!$B$34))/Presion_cilindro!$B$35)^(Presion_cilindro!$B$17+1)),0))/((Presion_cilindro!O247+Presion_cilindro!O248)/2)</f>
        <v>2.8178115397879835</v>
      </c>
      <c r="L256" s="27">
        <f>L255*(Presion_cilindro!O247/Presion_cilindro!O248)^Presion_cilindro!$B$9+10*(Presion_cilindro!$B$9-1)*Presion_cilindro!$B$33*(IF(Presion_cilindro!N248&gt;(-L$4+Presion_cilindro!$B$34),1-EXP(-Presion_cilindro!$B$16*((Presion_cilindro!N248-(-L$4+Presion_cilindro!$B$34))/Presion_cilindro!$B$35)^(Presion_cilindro!$B$17+1)),0)-IF(Presion_cilindro!N247&gt;(-L$4+Presion_cilindro!$B$34),1-EXP(-Presion_cilindro!$B$16*((Presion_cilindro!N247-(-L$4+Presion_cilindro!$B$34))/Presion_cilindro!$B$35)^(Presion_cilindro!$B$17+1)),0))/((Presion_cilindro!O247+Presion_cilindro!O248)/2)</f>
        <v>2.8178115397879835</v>
      </c>
      <c r="M256" s="27">
        <f>M255*(Presion_cilindro!O247/Presion_cilindro!O248)^Presion_cilindro!$B$9+10*(Presion_cilindro!$B$9-1)*Presion_cilindro!$B$33*(IF(Presion_cilindro!N248&gt;(-M$4+Presion_cilindro!$B$34),1-EXP(-Presion_cilindro!$B$16*((Presion_cilindro!N248-(-M$4+Presion_cilindro!$B$34))/Presion_cilindro!$B$35)^(Presion_cilindro!$B$17+1)),0)-IF(Presion_cilindro!N247&gt;(-M$4+Presion_cilindro!$B$34),1-EXP(-Presion_cilindro!$B$16*((Presion_cilindro!N247-(-M$4+Presion_cilindro!$B$34))/Presion_cilindro!$B$35)^(Presion_cilindro!$B$17+1)),0))/((Presion_cilindro!O247+Presion_cilindro!O248)/2)</f>
        <v>2.8178115397879835</v>
      </c>
      <c r="N256" s="27">
        <f>N255*(Presion_cilindro!O247/Presion_cilindro!O248)^Presion_cilindro!$B$9+10*(Presion_cilindro!$B$9-1)*Presion_cilindro!$B$33*(IF(Presion_cilindro!N248&gt;(-N$4+Presion_cilindro!$B$34),1-EXP(-Presion_cilindro!$B$16*((Presion_cilindro!N248-(-N$4+Presion_cilindro!$B$34))/Presion_cilindro!$B$35)^(Presion_cilindro!$B$17+1)),0)-IF(Presion_cilindro!N247&gt;(-N$4+Presion_cilindro!$B$34),1-EXP(-Presion_cilindro!$B$16*((Presion_cilindro!N247-(-N$4+Presion_cilindro!$B$34))/Presion_cilindro!$B$35)^(Presion_cilindro!$B$17+1)),0))/((Presion_cilindro!O247+Presion_cilindro!O248)/2)</f>
        <v>2.8178115397879835</v>
      </c>
    </row>
    <row r="257" spans="1:14" x14ac:dyDescent="0.25">
      <c r="A257" s="21">
        <f>Presion_cilindro!N249</f>
        <v>-57.5</v>
      </c>
      <c r="B257" s="27">
        <f>B256*(Presion_cilindro!O248/Presion_cilindro!O249)^Presion_cilindro!$B$9+10*(Presion_cilindro!$B$9-1)*Presion_cilindro!$B$33*(IF(Presion_cilindro!N249&gt;(-B$4+Presion_cilindro!$B$34),1-EXP(-Presion_cilindro!$B$16*((Presion_cilindro!N249-(-B$4+Presion_cilindro!$B$34))/Presion_cilindro!$B$35)^(Presion_cilindro!$B$17+1)),0)-IF(Presion_cilindro!N248&gt;(-B$4+Presion_cilindro!$B$34),1-EXP(-Presion_cilindro!$B$16*((Presion_cilindro!N248-(-B$4+Presion_cilindro!$B$34))/Presion_cilindro!$B$35)^(Presion_cilindro!$B$17+1)),0))/((Presion_cilindro!O248+Presion_cilindro!O249)/2)</f>
        <v>2.858496405194427</v>
      </c>
      <c r="C257" s="27">
        <f>C256*(Presion_cilindro!O248/Presion_cilindro!O249)^Presion_cilindro!$B$9+10*(Presion_cilindro!$B$9-1)*Presion_cilindro!$B$33*(IF(Presion_cilindro!N249&gt;(-C$4+Presion_cilindro!$B$34),1-EXP(-Presion_cilindro!$B$16*((Presion_cilindro!N249-(-C$4+Presion_cilindro!$B$34))/Presion_cilindro!$B$35)^(Presion_cilindro!$B$17+1)),0)-IF(Presion_cilindro!N248&gt;(-C$4+Presion_cilindro!$B$34),1-EXP(-Presion_cilindro!$B$16*((Presion_cilindro!N248-(-C$4+Presion_cilindro!$B$34))/Presion_cilindro!$B$35)^(Presion_cilindro!$B$17+1)),0))/((Presion_cilindro!O248+Presion_cilindro!O249)/2)</f>
        <v>2.858496405194427</v>
      </c>
      <c r="D257" s="27">
        <f>D256*(Presion_cilindro!O248/Presion_cilindro!O249)^Presion_cilindro!$B$9+10*(Presion_cilindro!$B$9-1)*Presion_cilindro!$B$33*(IF(Presion_cilindro!N249&gt;(-D$4+Presion_cilindro!$B$34),1-EXP(-Presion_cilindro!$B$16*((Presion_cilindro!N249-(-D$4+Presion_cilindro!$B$34))/Presion_cilindro!$B$35)^(Presion_cilindro!$B$17+1)),0)-IF(Presion_cilindro!N248&gt;(-D$4+Presion_cilindro!$B$34),1-EXP(-Presion_cilindro!$B$16*((Presion_cilindro!N248-(-D$4+Presion_cilindro!$B$34))/Presion_cilindro!$B$35)^(Presion_cilindro!$B$17+1)),0))/((Presion_cilindro!O248+Presion_cilindro!O249)/2)</f>
        <v>2.858496405194427</v>
      </c>
      <c r="E257" s="27">
        <f>E256*(Presion_cilindro!O248/Presion_cilindro!O249)^Presion_cilindro!$B$9+10*(Presion_cilindro!$B$9-1)*Presion_cilindro!$B$33*(IF(Presion_cilindro!N249&gt;(-E$4+Presion_cilindro!$B$34),1-EXP(-Presion_cilindro!$B$16*((Presion_cilindro!N249-(-E$4+Presion_cilindro!$B$34))/Presion_cilindro!$B$35)^(Presion_cilindro!$B$17+1)),0)-IF(Presion_cilindro!N248&gt;(-E$4+Presion_cilindro!$B$34),1-EXP(-Presion_cilindro!$B$16*((Presion_cilindro!N248-(-E$4+Presion_cilindro!$B$34))/Presion_cilindro!$B$35)^(Presion_cilindro!$B$17+1)),0))/((Presion_cilindro!O248+Presion_cilindro!O249)/2)</f>
        <v>2.858496405194427</v>
      </c>
      <c r="F257" s="27">
        <f>F256*(Presion_cilindro!O248/Presion_cilindro!O249)^Presion_cilindro!$B$9+10*(Presion_cilindro!$B$9-1)*Presion_cilindro!$B$33*(IF(Presion_cilindro!N249&gt;(-F$4+Presion_cilindro!$B$34),1-EXP(-Presion_cilindro!$B$16*((Presion_cilindro!N249-(-F$4+Presion_cilindro!$B$34))/Presion_cilindro!$B$35)^(Presion_cilindro!$B$17+1)),0)-IF(Presion_cilindro!N248&gt;(-F$4+Presion_cilindro!$B$34),1-EXP(-Presion_cilindro!$B$16*((Presion_cilindro!N248-(-F$4+Presion_cilindro!$B$34))/Presion_cilindro!$B$35)^(Presion_cilindro!$B$17+1)),0))/((Presion_cilindro!O248+Presion_cilindro!O249)/2)</f>
        <v>2.858496405194427</v>
      </c>
      <c r="G257" s="27">
        <f>G256*(Presion_cilindro!O248/Presion_cilindro!O249)^Presion_cilindro!$B$9+10*(Presion_cilindro!$B$9-1)*Presion_cilindro!$B$33*(IF(Presion_cilindro!N249&gt;(-G$4+Presion_cilindro!$B$34),1-EXP(-Presion_cilindro!$B$16*((Presion_cilindro!N249-(-G$4+Presion_cilindro!$B$34))/Presion_cilindro!$B$35)^(Presion_cilindro!$B$17+1)),0)-IF(Presion_cilindro!N248&gt;(-G$4+Presion_cilindro!$B$34),1-EXP(-Presion_cilindro!$B$16*((Presion_cilindro!N248-(-G$4+Presion_cilindro!$B$34))/Presion_cilindro!$B$35)^(Presion_cilindro!$B$17+1)),0))/((Presion_cilindro!O248+Presion_cilindro!O249)/2)</f>
        <v>2.858496405194427</v>
      </c>
      <c r="H257" s="27">
        <f>H256*(Presion_cilindro!O248/Presion_cilindro!O249)^Presion_cilindro!$B$9+10*(Presion_cilindro!$B$9-1)*Presion_cilindro!$B$33*(IF(Presion_cilindro!N249&gt;(-H$4+Presion_cilindro!$B$34),1-EXP(-Presion_cilindro!$B$16*((Presion_cilindro!N249-(-H$4+Presion_cilindro!$B$34))/Presion_cilindro!$B$35)^(Presion_cilindro!$B$17+1)),0)-IF(Presion_cilindro!N248&gt;(-H$4+Presion_cilindro!$B$34),1-EXP(-Presion_cilindro!$B$16*((Presion_cilindro!N248-(-H$4+Presion_cilindro!$B$34))/Presion_cilindro!$B$35)^(Presion_cilindro!$B$17+1)),0))/((Presion_cilindro!O248+Presion_cilindro!O249)/2)</f>
        <v>2.858496405194427</v>
      </c>
      <c r="I257" s="27">
        <f>I256*(Presion_cilindro!O248/Presion_cilindro!O249)^Presion_cilindro!$B$9+10*(Presion_cilindro!$B$9-1)*Presion_cilindro!$B$33*(IF(Presion_cilindro!N249&gt;(-I$4+Presion_cilindro!$B$34),1-EXP(-Presion_cilindro!$B$16*((Presion_cilindro!N249-(-I$4+Presion_cilindro!$B$34))/Presion_cilindro!$B$35)^(Presion_cilindro!$B$17+1)),0)-IF(Presion_cilindro!N248&gt;(-I$4+Presion_cilindro!$B$34),1-EXP(-Presion_cilindro!$B$16*((Presion_cilindro!N248-(-I$4+Presion_cilindro!$B$34))/Presion_cilindro!$B$35)^(Presion_cilindro!$B$17+1)),0))/((Presion_cilindro!O248+Presion_cilindro!O249)/2)</f>
        <v>2.858496405194427</v>
      </c>
      <c r="J257" s="27">
        <f>J256*(Presion_cilindro!O248/Presion_cilindro!O249)^Presion_cilindro!$B$9+10*(Presion_cilindro!$B$9-1)*Presion_cilindro!$B$33*(IF(Presion_cilindro!N249&gt;(-J$4+Presion_cilindro!$B$34),1-EXP(-Presion_cilindro!$B$16*((Presion_cilindro!N249-(-J$4+Presion_cilindro!$B$34))/Presion_cilindro!$B$35)^(Presion_cilindro!$B$17+1)),0)-IF(Presion_cilindro!N248&gt;(-J$4+Presion_cilindro!$B$34),1-EXP(-Presion_cilindro!$B$16*((Presion_cilindro!N248-(-J$4+Presion_cilindro!$B$34))/Presion_cilindro!$B$35)^(Presion_cilindro!$B$17+1)),0))/((Presion_cilindro!O248+Presion_cilindro!O249)/2)</f>
        <v>2.858496405194427</v>
      </c>
      <c r="K257" s="27">
        <f>K256*(Presion_cilindro!O248/Presion_cilindro!O249)^Presion_cilindro!$B$9+10*(Presion_cilindro!$B$9-1)*Presion_cilindro!$B$33*(IF(Presion_cilindro!N249&gt;(-K$4+Presion_cilindro!$B$34),1-EXP(-Presion_cilindro!$B$16*((Presion_cilindro!N249-(-K$4+Presion_cilindro!$B$34))/Presion_cilindro!$B$35)^(Presion_cilindro!$B$17+1)),0)-IF(Presion_cilindro!N248&gt;(-K$4+Presion_cilindro!$B$34),1-EXP(-Presion_cilindro!$B$16*((Presion_cilindro!N248-(-K$4+Presion_cilindro!$B$34))/Presion_cilindro!$B$35)^(Presion_cilindro!$B$17+1)),0))/((Presion_cilindro!O248+Presion_cilindro!O249)/2)</f>
        <v>2.858496405194427</v>
      </c>
      <c r="L257" s="27">
        <f>L256*(Presion_cilindro!O248/Presion_cilindro!O249)^Presion_cilindro!$B$9+10*(Presion_cilindro!$B$9-1)*Presion_cilindro!$B$33*(IF(Presion_cilindro!N249&gt;(-L$4+Presion_cilindro!$B$34),1-EXP(-Presion_cilindro!$B$16*((Presion_cilindro!N249-(-L$4+Presion_cilindro!$B$34))/Presion_cilindro!$B$35)^(Presion_cilindro!$B$17+1)),0)-IF(Presion_cilindro!N248&gt;(-L$4+Presion_cilindro!$B$34),1-EXP(-Presion_cilindro!$B$16*((Presion_cilindro!N248-(-L$4+Presion_cilindro!$B$34))/Presion_cilindro!$B$35)^(Presion_cilindro!$B$17+1)),0))/((Presion_cilindro!O248+Presion_cilindro!O249)/2)</f>
        <v>2.858496405194427</v>
      </c>
      <c r="M257" s="27">
        <f>M256*(Presion_cilindro!O248/Presion_cilindro!O249)^Presion_cilindro!$B$9+10*(Presion_cilindro!$B$9-1)*Presion_cilindro!$B$33*(IF(Presion_cilindro!N249&gt;(-M$4+Presion_cilindro!$B$34),1-EXP(-Presion_cilindro!$B$16*((Presion_cilindro!N249-(-M$4+Presion_cilindro!$B$34))/Presion_cilindro!$B$35)^(Presion_cilindro!$B$17+1)),0)-IF(Presion_cilindro!N248&gt;(-M$4+Presion_cilindro!$B$34),1-EXP(-Presion_cilindro!$B$16*((Presion_cilindro!N248-(-M$4+Presion_cilindro!$B$34))/Presion_cilindro!$B$35)^(Presion_cilindro!$B$17+1)),0))/((Presion_cilindro!O248+Presion_cilindro!O249)/2)</f>
        <v>2.858496405194427</v>
      </c>
      <c r="N257" s="27">
        <f>N256*(Presion_cilindro!O248/Presion_cilindro!O249)^Presion_cilindro!$B$9+10*(Presion_cilindro!$B$9-1)*Presion_cilindro!$B$33*(IF(Presion_cilindro!N249&gt;(-N$4+Presion_cilindro!$B$34),1-EXP(-Presion_cilindro!$B$16*((Presion_cilindro!N249-(-N$4+Presion_cilindro!$B$34))/Presion_cilindro!$B$35)^(Presion_cilindro!$B$17+1)),0)-IF(Presion_cilindro!N248&gt;(-N$4+Presion_cilindro!$B$34),1-EXP(-Presion_cilindro!$B$16*((Presion_cilindro!N248-(-N$4+Presion_cilindro!$B$34))/Presion_cilindro!$B$35)^(Presion_cilindro!$B$17+1)),0))/((Presion_cilindro!O248+Presion_cilindro!O249)/2)</f>
        <v>2.858496405194427</v>
      </c>
    </row>
    <row r="258" spans="1:14" x14ac:dyDescent="0.25">
      <c r="A258" s="21">
        <f>Presion_cilindro!N250</f>
        <v>-57</v>
      </c>
      <c r="B258" s="27">
        <f>B257*(Presion_cilindro!O249/Presion_cilindro!O250)^Presion_cilindro!$B$9+10*(Presion_cilindro!$B$9-1)*Presion_cilindro!$B$33*(IF(Presion_cilindro!N250&gt;(-B$4+Presion_cilindro!$B$34),1-EXP(-Presion_cilindro!$B$16*((Presion_cilindro!N250-(-B$4+Presion_cilindro!$B$34))/Presion_cilindro!$B$35)^(Presion_cilindro!$B$17+1)),0)-IF(Presion_cilindro!N249&gt;(-B$4+Presion_cilindro!$B$34),1-EXP(-Presion_cilindro!$B$16*((Presion_cilindro!N249-(-B$4+Presion_cilindro!$B$34))/Presion_cilindro!$B$35)^(Presion_cilindro!$B$17+1)),0))/((Presion_cilindro!O249+Presion_cilindro!O250)/2)</f>
        <v>2.9000641066441499</v>
      </c>
      <c r="C258" s="27">
        <f>C257*(Presion_cilindro!O249/Presion_cilindro!O250)^Presion_cilindro!$B$9+10*(Presion_cilindro!$B$9-1)*Presion_cilindro!$B$33*(IF(Presion_cilindro!N250&gt;(-C$4+Presion_cilindro!$B$34),1-EXP(-Presion_cilindro!$B$16*((Presion_cilindro!N250-(-C$4+Presion_cilindro!$B$34))/Presion_cilindro!$B$35)^(Presion_cilindro!$B$17+1)),0)-IF(Presion_cilindro!N249&gt;(-C$4+Presion_cilindro!$B$34),1-EXP(-Presion_cilindro!$B$16*((Presion_cilindro!N249-(-C$4+Presion_cilindro!$B$34))/Presion_cilindro!$B$35)^(Presion_cilindro!$B$17+1)),0))/((Presion_cilindro!O249+Presion_cilindro!O250)/2)</f>
        <v>2.9000641066441499</v>
      </c>
      <c r="D258" s="27">
        <f>D257*(Presion_cilindro!O249/Presion_cilindro!O250)^Presion_cilindro!$B$9+10*(Presion_cilindro!$B$9-1)*Presion_cilindro!$B$33*(IF(Presion_cilindro!N250&gt;(-D$4+Presion_cilindro!$B$34),1-EXP(-Presion_cilindro!$B$16*((Presion_cilindro!N250-(-D$4+Presion_cilindro!$B$34))/Presion_cilindro!$B$35)^(Presion_cilindro!$B$17+1)),0)-IF(Presion_cilindro!N249&gt;(-D$4+Presion_cilindro!$B$34),1-EXP(-Presion_cilindro!$B$16*((Presion_cilindro!N249-(-D$4+Presion_cilindro!$B$34))/Presion_cilindro!$B$35)^(Presion_cilindro!$B$17+1)),0))/((Presion_cilindro!O249+Presion_cilindro!O250)/2)</f>
        <v>2.9000641066441499</v>
      </c>
      <c r="E258" s="27">
        <f>E257*(Presion_cilindro!O249/Presion_cilindro!O250)^Presion_cilindro!$B$9+10*(Presion_cilindro!$B$9-1)*Presion_cilindro!$B$33*(IF(Presion_cilindro!N250&gt;(-E$4+Presion_cilindro!$B$34),1-EXP(-Presion_cilindro!$B$16*((Presion_cilindro!N250-(-E$4+Presion_cilindro!$B$34))/Presion_cilindro!$B$35)^(Presion_cilindro!$B$17+1)),0)-IF(Presion_cilindro!N249&gt;(-E$4+Presion_cilindro!$B$34),1-EXP(-Presion_cilindro!$B$16*((Presion_cilindro!N249-(-E$4+Presion_cilindro!$B$34))/Presion_cilindro!$B$35)^(Presion_cilindro!$B$17+1)),0))/((Presion_cilindro!O249+Presion_cilindro!O250)/2)</f>
        <v>2.9000641066441499</v>
      </c>
      <c r="F258" s="27">
        <f>F257*(Presion_cilindro!O249/Presion_cilindro!O250)^Presion_cilindro!$B$9+10*(Presion_cilindro!$B$9-1)*Presion_cilindro!$B$33*(IF(Presion_cilindro!N250&gt;(-F$4+Presion_cilindro!$B$34),1-EXP(-Presion_cilindro!$B$16*((Presion_cilindro!N250-(-F$4+Presion_cilindro!$B$34))/Presion_cilindro!$B$35)^(Presion_cilindro!$B$17+1)),0)-IF(Presion_cilindro!N249&gt;(-F$4+Presion_cilindro!$B$34),1-EXP(-Presion_cilindro!$B$16*((Presion_cilindro!N249-(-F$4+Presion_cilindro!$B$34))/Presion_cilindro!$B$35)^(Presion_cilindro!$B$17+1)),0))/((Presion_cilindro!O249+Presion_cilindro!O250)/2)</f>
        <v>2.9000641066441499</v>
      </c>
      <c r="G258" s="27">
        <f>G257*(Presion_cilindro!O249/Presion_cilindro!O250)^Presion_cilindro!$B$9+10*(Presion_cilindro!$B$9-1)*Presion_cilindro!$B$33*(IF(Presion_cilindro!N250&gt;(-G$4+Presion_cilindro!$B$34),1-EXP(-Presion_cilindro!$B$16*((Presion_cilindro!N250-(-G$4+Presion_cilindro!$B$34))/Presion_cilindro!$B$35)^(Presion_cilindro!$B$17+1)),0)-IF(Presion_cilindro!N249&gt;(-G$4+Presion_cilindro!$B$34),1-EXP(-Presion_cilindro!$B$16*((Presion_cilindro!N249-(-G$4+Presion_cilindro!$B$34))/Presion_cilindro!$B$35)^(Presion_cilindro!$B$17+1)),0))/((Presion_cilindro!O249+Presion_cilindro!O250)/2)</f>
        <v>2.9000641066441499</v>
      </c>
      <c r="H258" s="27">
        <f>H257*(Presion_cilindro!O249/Presion_cilindro!O250)^Presion_cilindro!$B$9+10*(Presion_cilindro!$B$9-1)*Presion_cilindro!$B$33*(IF(Presion_cilindro!N250&gt;(-H$4+Presion_cilindro!$B$34),1-EXP(-Presion_cilindro!$B$16*((Presion_cilindro!N250-(-H$4+Presion_cilindro!$B$34))/Presion_cilindro!$B$35)^(Presion_cilindro!$B$17+1)),0)-IF(Presion_cilindro!N249&gt;(-H$4+Presion_cilindro!$B$34),1-EXP(-Presion_cilindro!$B$16*((Presion_cilindro!N249-(-H$4+Presion_cilindro!$B$34))/Presion_cilindro!$B$35)^(Presion_cilindro!$B$17+1)),0))/((Presion_cilindro!O249+Presion_cilindro!O250)/2)</f>
        <v>2.9000641066441499</v>
      </c>
      <c r="I258" s="27">
        <f>I257*(Presion_cilindro!O249/Presion_cilindro!O250)^Presion_cilindro!$B$9+10*(Presion_cilindro!$B$9-1)*Presion_cilindro!$B$33*(IF(Presion_cilindro!N250&gt;(-I$4+Presion_cilindro!$B$34),1-EXP(-Presion_cilindro!$B$16*((Presion_cilindro!N250-(-I$4+Presion_cilindro!$B$34))/Presion_cilindro!$B$35)^(Presion_cilindro!$B$17+1)),0)-IF(Presion_cilindro!N249&gt;(-I$4+Presion_cilindro!$B$34),1-EXP(-Presion_cilindro!$B$16*((Presion_cilindro!N249-(-I$4+Presion_cilindro!$B$34))/Presion_cilindro!$B$35)^(Presion_cilindro!$B$17+1)),0))/((Presion_cilindro!O249+Presion_cilindro!O250)/2)</f>
        <v>2.9000641066441499</v>
      </c>
      <c r="J258" s="27">
        <f>J257*(Presion_cilindro!O249/Presion_cilindro!O250)^Presion_cilindro!$B$9+10*(Presion_cilindro!$B$9-1)*Presion_cilindro!$B$33*(IF(Presion_cilindro!N250&gt;(-J$4+Presion_cilindro!$B$34),1-EXP(-Presion_cilindro!$B$16*((Presion_cilindro!N250-(-J$4+Presion_cilindro!$B$34))/Presion_cilindro!$B$35)^(Presion_cilindro!$B$17+1)),0)-IF(Presion_cilindro!N249&gt;(-J$4+Presion_cilindro!$B$34),1-EXP(-Presion_cilindro!$B$16*((Presion_cilindro!N249-(-J$4+Presion_cilindro!$B$34))/Presion_cilindro!$B$35)^(Presion_cilindro!$B$17+1)),0))/((Presion_cilindro!O249+Presion_cilindro!O250)/2)</f>
        <v>2.9000641066441499</v>
      </c>
      <c r="K258" s="27">
        <f>K257*(Presion_cilindro!O249/Presion_cilindro!O250)^Presion_cilindro!$B$9+10*(Presion_cilindro!$B$9-1)*Presion_cilindro!$B$33*(IF(Presion_cilindro!N250&gt;(-K$4+Presion_cilindro!$B$34),1-EXP(-Presion_cilindro!$B$16*((Presion_cilindro!N250-(-K$4+Presion_cilindro!$B$34))/Presion_cilindro!$B$35)^(Presion_cilindro!$B$17+1)),0)-IF(Presion_cilindro!N249&gt;(-K$4+Presion_cilindro!$B$34),1-EXP(-Presion_cilindro!$B$16*((Presion_cilindro!N249-(-K$4+Presion_cilindro!$B$34))/Presion_cilindro!$B$35)^(Presion_cilindro!$B$17+1)),0))/((Presion_cilindro!O249+Presion_cilindro!O250)/2)</f>
        <v>2.9000641066441499</v>
      </c>
      <c r="L258" s="27">
        <f>L257*(Presion_cilindro!O249/Presion_cilindro!O250)^Presion_cilindro!$B$9+10*(Presion_cilindro!$B$9-1)*Presion_cilindro!$B$33*(IF(Presion_cilindro!N250&gt;(-L$4+Presion_cilindro!$B$34),1-EXP(-Presion_cilindro!$B$16*((Presion_cilindro!N250-(-L$4+Presion_cilindro!$B$34))/Presion_cilindro!$B$35)^(Presion_cilindro!$B$17+1)),0)-IF(Presion_cilindro!N249&gt;(-L$4+Presion_cilindro!$B$34),1-EXP(-Presion_cilindro!$B$16*((Presion_cilindro!N249-(-L$4+Presion_cilindro!$B$34))/Presion_cilindro!$B$35)^(Presion_cilindro!$B$17+1)),0))/((Presion_cilindro!O249+Presion_cilindro!O250)/2)</f>
        <v>2.9000641066441499</v>
      </c>
      <c r="M258" s="27">
        <f>M257*(Presion_cilindro!O249/Presion_cilindro!O250)^Presion_cilindro!$B$9+10*(Presion_cilindro!$B$9-1)*Presion_cilindro!$B$33*(IF(Presion_cilindro!N250&gt;(-M$4+Presion_cilindro!$B$34),1-EXP(-Presion_cilindro!$B$16*((Presion_cilindro!N250-(-M$4+Presion_cilindro!$B$34))/Presion_cilindro!$B$35)^(Presion_cilindro!$B$17+1)),0)-IF(Presion_cilindro!N249&gt;(-M$4+Presion_cilindro!$B$34),1-EXP(-Presion_cilindro!$B$16*((Presion_cilindro!N249-(-M$4+Presion_cilindro!$B$34))/Presion_cilindro!$B$35)^(Presion_cilindro!$B$17+1)),0))/((Presion_cilindro!O249+Presion_cilindro!O250)/2)</f>
        <v>2.9000641066441499</v>
      </c>
      <c r="N258" s="27">
        <f>N257*(Presion_cilindro!O249/Presion_cilindro!O250)^Presion_cilindro!$B$9+10*(Presion_cilindro!$B$9-1)*Presion_cilindro!$B$33*(IF(Presion_cilindro!N250&gt;(-N$4+Presion_cilindro!$B$34),1-EXP(-Presion_cilindro!$B$16*((Presion_cilindro!N250-(-N$4+Presion_cilindro!$B$34))/Presion_cilindro!$B$35)^(Presion_cilindro!$B$17+1)),0)-IF(Presion_cilindro!N249&gt;(-N$4+Presion_cilindro!$B$34),1-EXP(-Presion_cilindro!$B$16*((Presion_cilindro!N249-(-N$4+Presion_cilindro!$B$34))/Presion_cilindro!$B$35)^(Presion_cilindro!$B$17+1)),0))/((Presion_cilindro!O249+Presion_cilindro!O250)/2)</f>
        <v>2.9000641066441499</v>
      </c>
    </row>
    <row r="259" spans="1:14" x14ac:dyDescent="0.25">
      <c r="A259" s="21">
        <f>Presion_cilindro!N251</f>
        <v>-56.5</v>
      </c>
      <c r="B259" s="27">
        <f>B258*(Presion_cilindro!O250/Presion_cilindro!O251)^Presion_cilindro!$B$9+10*(Presion_cilindro!$B$9-1)*Presion_cilindro!$B$33*(IF(Presion_cilindro!N251&gt;(-B$4+Presion_cilindro!$B$34),1-EXP(-Presion_cilindro!$B$16*((Presion_cilindro!N251-(-B$4+Presion_cilindro!$B$34))/Presion_cilindro!$B$35)^(Presion_cilindro!$B$17+1)),0)-IF(Presion_cilindro!N250&gt;(-B$4+Presion_cilindro!$B$34),1-EXP(-Presion_cilindro!$B$16*((Presion_cilindro!N250-(-B$4+Presion_cilindro!$B$34))/Presion_cilindro!$B$35)^(Presion_cilindro!$B$17+1)),0))/((Presion_cilindro!O250+Presion_cilindro!O251)/2)</f>
        <v>2.9425361570209652</v>
      </c>
      <c r="C259" s="27">
        <f>C258*(Presion_cilindro!O250/Presion_cilindro!O251)^Presion_cilindro!$B$9+10*(Presion_cilindro!$B$9-1)*Presion_cilindro!$B$33*(IF(Presion_cilindro!N251&gt;(-C$4+Presion_cilindro!$B$34),1-EXP(-Presion_cilindro!$B$16*((Presion_cilindro!N251-(-C$4+Presion_cilindro!$B$34))/Presion_cilindro!$B$35)^(Presion_cilindro!$B$17+1)),0)-IF(Presion_cilindro!N250&gt;(-C$4+Presion_cilindro!$B$34),1-EXP(-Presion_cilindro!$B$16*((Presion_cilindro!N250-(-C$4+Presion_cilindro!$B$34))/Presion_cilindro!$B$35)^(Presion_cilindro!$B$17+1)),0))/((Presion_cilindro!O250+Presion_cilindro!O251)/2)</f>
        <v>2.9425361570209652</v>
      </c>
      <c r="D259" s="27">
        <f>D258*(Presion_cilindro!O250/Presion_cilindro!O251)^Presion_cilindro!$B$9+10*(Presion_cilindro!$B$9-1)*Presion_cilindro!$B$33*(IF(Presion_cilindro!N251&gt;(-D$4+Presion_cilindro!$B$34),1-EXP(-Presion_cilindro!$B$16*((Presion_cilindro!N251-(-D$4+Presion_cilindro!$B$34))/Presion_cilindro!$B$35)^(Presion_cilindro!$B$17+1)),0)-IF(Presion_cilindro!N250&gt;(-D$4+Presion_cilindro!$B$34),1-EXP(-Presion_cilindro!$B$16*((Presion_cilindro!N250-(-D$4+Presion_cilindro!$B$34))/Presion_cilindro!$B$35)^(Presion_cilindro!$B$17+1)),0))/((Presion_cilindro!O250+Presion_cilindro!O251)/2)</f>
        <v>2.9425361570209652</v>
      </c>
      <c r="E259" s="27">
        <f>E258*(Presion_cilindro!O250/Presion_cilindro!O251)^Presion_cilindro!$B$9+10*(Presion_cilindro!$B$9-1)*Presion_cilindro!$B$33*(IF(Presion_cilindro!N251&gt;(-E$4+Presion_cilindro!$B$34),1-EXP(-Presion_cilindro!$B$16*((Presion_cilindro!N251-(-E$4+Presion_cilindro!$B$34))/Presion_cilindro!$B$35)^(Presion_cilindro!$B$17+1)),0)-IF(Presion_cilindro!N250&gt;(-E$4+Presion_cilindro!$B$34),1-EXP(-Presion_cilindro!$B$16*((Presion_cilindro!N250-(-E$4+Presion_cilindro!$B$34))/Presion_cilindro!$B$35)^(Presion_cilindro!$B$17+1)),0))/((Presion_cilindro!O250+Presion_cilindro!O251)/2)</f>
        <v>2.9425361570209652</v>
      </c>
      <c r="F259" s="27">
        <f>F258*(Presion_cilindro!O250/Presion_cilindro!O251)^Presion_cilindro!$B$9+10*(Presion_cilindro!$B$9-1)*Presion_cilindro!$B$33*(IF(Presion_cilindro!N251&gt;(-F$4+Presion_cilindro!$B$34),1-EXP(-Presion_cilindro!$B$16*((Presion_cilindro!N251-(-F$4+Presion_cilindro!$B$34))/Presion_cilindro!$B$35)^(Presion_cilindro!$B$17+1)),0)-IF(Presion_cilindro!N250&gt;(-F$4+Presion_cilindro!$B$34),1-EXP(-Presion_cilindro!$B$16*((Presion_cilindro!N250-(-F$4+Presion_cilindro!$B$34))/Presion_cilindro!$B$35)^(Presion_cilindro!$B$17+1)),0))/((Presion_cilindro!O250+Presion_cilindro!O251)/2)</f>
        <v>2.9425361570209652</v>
      </c>
      <c r="G259" s="27">
        <f>G258*(Presion_cilindro!O250/Presion_cilindro!O251)^Presion_cilindro!$B$9+10*(Presion_cilindro!$B$9-1)*Presion_cilindro!$B$33*(IF(Presion_cilindro!N251&gt;(-G$4+Presion_cilindro!$B$34),1-EXP(-Presion_cilindro!$B$16*((Presion_cilindro!N251-(-G$4+Presion_cilindro!$B$34))/Presion_cilindro!$B$35)^(Presion_cilindro!$B$17+1)),0)-IF(Presion_cilindro!N250&gt;(-G$4+Presion_cilindro!$B$34),1-EXP(-Presion_cilindro!$B$16*((Presion_cilindro!N250-(-G$4+Presion_cilindro!$B$34))/Presion_cilindro!$B$35)^(Presion_cilindro!$B$17+1)),0))/((Presion_cilindro!O250+Presion_cilindro!O251)/2)</f>
        <v>2.9425361570209652</v>
      </c>
      <c r="H259" s="27">
        <f>H258*(Presion_cilindro!O250/Presion_cilindro!O251)^Presion_cilindro!$B$9+10*(Presion_cilindro!$B$9-1)*Presion_cilindro!$B$33*(IF(Presion_cilindro!N251&gt;(-H$4+Presion_cilindro!$B$34),1-EXP(-Presion_cilindro!$B$16*((Presion_cilindro!N251-(-H$4+Presion_cilindro!$B$34))/Presion_cilindro!$B$35)^(Presion_cilindro!$B$17+1)),0)-IF(Presion_cilindro!N250&gt;(-H$4+Presion_cilindro!$B$34),1-EXP(-Presion_cilindro!$B$16*((Presion_cilindro!N250-(-H$4+Presion_cilindro!$B$34))/Presion_cilindro!$B$35)^(Presion_cilindro!$B$17+1)),0))/((Presion_cilindro!O250+Presion_cilindro!O251)/2)</f>
        <v>2.9425361570209652</v>
      </c>
      <c r="I259" s="27">
        <f>I258*(Presion_cilindro!O250/Presion_cilindro!O251)^Presion_cilindro!$B$9+10*(Presion_cilindro!$B$9-1)*Presion_cilindro!$B$33*(IF(Presion_cilindro!N251&gt;(-I$4+Presion_cilindro!$B$34),1-EXP(-Presion_cilindro!$B$16*((Presion_cilindro!N251-(-I$4+Presion_cilindro!$B$34))/Presion_cilindro!$B$35)^(Presion_cilindro!$B$17+1)),0)-IF(Presion_cilindro!N250&gt;(-I$4+Presion_cilindro!$B$34),1-EXP(-Presion_cilindro!$B$16*((Presion_cilindro!N250-(-I$4+Presion_cilindro!$B$34))/Presion_cilindro!$B$35)^(Presion_cilindro!$B$17+1)),0))/((Presion_cilindro!O250+Presion_cilindro!O251)/2)</f>
        <v>2.9425361570209652</v>
      </c>
      <c r="J259" s="27">
        <f>J258*(Presion_cilindro!O250/Presion_cilindro!O251)^Presion_cilindro!$B$9+10*(Presion_cilindro!$B$9-1)*Presion_cilindro!$B$33*(IF(Presion_cilindro!N251&gt;(-J$4+Presion_cilindro!$B$34),1-EXP(-Presion_cilindro!$B$16*((Presion_cilindro!N251-(-J$4+Presion_cilindro!$B$34))/Presion_cilindro!$B$35)^(Presion_cilindro!$B$17+1)),0)-IF(Presion_cilindro!N250&gt;(-J$4+Presion_cilindro!$B$34),1-EXP(-Presion_cilindro!$B$16*((Presion_cilindro!N250-(-J$4+Presion_cilindro!$B$34))/Presion_cilindro!$B$35)^(Presion_cilindro!$B$17+1)),0))/((Presion_cilindro!O250+Presion_cilindro!O251)/2)</f>
        <v>2.9425361570209652</v>
      </c>
      <c r="K259" s="27">
        <f>K258*(Presion_cilindro!O250/Presion_cilindro!O251)^Presion_cilindro!$B$9+10*(Presion_cilindro!$B$9-1)*Presion_cilindro!$B$33*(IF(Presion_cilindro!N251&gt;(-K$4+Presion_cilindro!$B$34),1-EXP(-Presion_cilindro!$B$16*((Presion_cilindro!N251-(-K$4+Presion_cilindro!$B$34))/Presion_cilindro!$B$35)^(Presion_cilindro!$B$17+1)),0)-IF(Presion_cilindro!N250&gt;(-K$4+Presion_cilindro!$B$34),1-EXP(-Presion_cilindro!$B$16*((Presion_cilindro!N250-(-K$4+Presion_cilindro!$B$34))/Presion_cilindro!$B$35)^(Presion_cilindro!$B$17+1)),0))/((Presion_cilindro!O250+Presion_cilindro!O251)/2)</f>
        <v>2.9425361570209652</v>
      </c>
      <c r="L259" s="27">
        <f>L258*(Presion_cilindro!O250/Presion_cilindro!O251)^Presion_cilindro!$B$9+10*(Presion_cilindro!$B$9-1)*Presion_cilindro!$B$33*(IF(Presion_cilindro!N251&gt;(-L$4+Presion_cilindro!$B$34),1-EXP(-Presion_cilindro!$B$16*((Presion_cilindro!N251-(-L$4+Presion_cilindro!$B$34))/Presion_cilindro!$B$35)^(Presion_cilindro!$B$17+1)),0)-IF(Presion_cilindro!N250&gt;(-L$4+Presion_cilindro!$B$34),1-EXP(-Presion_cilindro!$B$16*((Presion_cilindro!N250-(-L$4+Presion_cilindro!$B$34))/Presion_cilindro!$B$35)^(Presion_cilindro!$B$17+1)),0))/((Presion_cilindro!O250+Presion_cilindro!O251)/2)</f>
        <v>2.9425361570209652</v>
      </c>
      <c r="M259" s="27">
        <f>M258*(Presion_cilindro!O250/Presion_cilindro!O251)^Presion_cilindro!$B$9+10*(Presion_cilindro!$B$9-1)*Presion_cilindro!$B$33*(IF(Presion_cilindro!N251&gt;(-M$4+Presion_cilindro!$B$34),1-EXP(-Presion_cilindro!$B$16*((Presion_cilindro!N251-(-M$4+Presion_cilindro!$B$34))/Presion_cilindro!$B$35)^(Presion_cilindro!$B$17+1)),0)-IF(Presion_cilindro!N250&gt;(-M$4+Presion_cilindro!$B$34),1-EXP(-Presion_cilindro!$B$16*((Presion_cilindro!N250-(-M$4+Presion_cilindro!$B$34))/Presion_cilindro!$B$35)^(Presion_cilindro!$B$17+1)),0))/((Presion_cilindro!O250+Presion_cilindro!O251)/2)</f>
        <v>2.9425361570209652</v>
      </c>
      <c r="N259" s="27">
        <f>N258*(Presion_cilindro!O250/Presion_cilindro!O251)^Presion_cilindro!$B$9+10*(Presion_cilindro!$B$9-1)*Presion_cilindro!$B$33*(IF(Presion_cilindro!N251&gt;(-N$4+Presion_cilindro!$B$34),1-EXP(-Presion_cilindro!$B$16*((Presion_cilindro!N251-(-N$4+Presion_cilindro!$B$34))/Presion_cilindro!$B$35)^(Presion_cilindro!$B$17+1)),0)-IF(Presion_cilindro!N250&gt;(-N$4+Presion_cilindro!$B$34),1-EXP(-Presion_cilindro!$B$16*((Presion_cilindro!N250-(-N$4+Presion_cilindro!$B$34))/Presion_cilindro!$B$35)^(Presion_cilindro!$B$17+1)),0))/((Presion_cilindro!O250+Presion_cilindro!O251)/2)</f>
        <v>2.9425361570209652</v>
      </c>
    </row>
    <row r="260" spans="1:14" x14ac:dyDescent="0.25">
      <c r="A260" s="21">
        <f>Presion_cilindro!N252</f>
        <v>-56</v>
      </c>
      <c r="B260" s="27">
        <f>B259*(Presion_cilindro!O251/Presion_cilindro!O252)^Presion_cilindro!$B$9+10*(Presion_cilindro!$B$9-1)*Presion_cilindro!$B$33*(IF(Presion_cilindro!N252&gt;(-B$4+Presion_cilindro!$B$34),1-EXP(-Presion_cilindro!$B$16*((Presion_cilindro!N252-(-B$4+Presion_cilindro!$B$34))/Presion_cilindro!$B$35)^(Presion_cilindro!$B$17+1)),0)-IF(Presion_cilindro!N251&gt;(-B$4+Presion_cilindro!$B$34),1-EXP(-Presion_cilindro!$B$16*((Presion_cilindro!N251-(-B$4+Presion_cilindro!$B$34))/Presion_cilindro!$B$35)^(Presion_cilindro!$B$17+1)),0))/((Presion_cilindro!O251+Presion_cilindro!O252)/2)</f>
        <v>2.9859345859002162</v>
      </c>
      <c r="C260" s="27">
        <f>C259*(Presion_cilindro!O251/Presion_cilindro!O252)^Presion_cilindro!$B$9+10*(Presion_cilindro!$B$9-1)*Presion_cilindro!$B$33*(IF(Presion_cilindro!N252&gt;(-C$4+Presion_cilindro!$B$34),1-EXP(-Presion_cilindro!$B$16*((Presion_cilindro!N252-(-C$4+Presion_cilindro!$B$34))/Presion_cilindro!$B$35)^(Presion_cilindro!$B$17+1)),0)-IF(Presion_cilindro!N251&gt;(-C$4+Presion_cilindro!$B$34),1-EXP(-Presion_cilindro!$B$16*((Presion_cilindro!N251-(-C$4+Presion_cilindro!$B$34))/Presion_cilindro!$B$35)^(Presion_cilindro!$B$17+1)),0))/((Presion_cilindro!O251+Presion_cilindro!O252)/2)</f>
        <v>2.9859345859002162</v>
      </c>
      <c r="D260" s="27">
        <f>D259*(Presion_cilindro!O251/Presion_cilindro!O252)^Presion_cilindro!$B$9+10*(Presion_cilindro!$B$9-1)*Presion_cilindro!$B$33*(IF(Presion_cilindro!N252&gt;(-D$4+Presion_cilindro!$B$34),1-EXP(-Presion_cilindro!$B$16*((Presion_cilindro!N252-(-D$4+Presion_cilindro!$B$34))/Presion_cilindro!$B$35)^(Presion_cilindro!$B$17+1)),0)-IF(Presion_cilindro!N251&gt;(-D$4+Presion_cilindro!$B$34),1-EXP(-Presion_cilindro!$B$16*((Presion_cilindro!N251-(-D$4+Presion_cilindro!$B$34))/Presion_cilindro!$B$35)^(Presion_cilindro!$B$17+1)),0))/((Presion_cilindro!O251+Presion_cilindro!O252)/2)</f>
        <v>2.9859345859002162</v>
      </c>
      <c r="E260" s="27">
        <f>E259*(Presion_cilindro!O251/Presion_cilindro!O252)^Presion_cilindro!$B$9+10*(Presion_cilindro!$B$9-1)*Presion_cilindro!$B$33*(IF(Presion_cilindro!N252&gt;(-E$4+Presion_cilindro!$B$34),1-EXP(-Presion_cilindro!$B$16*((Presion_cilindro!N252-(-E$4+Presion_cilindro!$B$34))/Presion_cilindro!$B$35)^(Presion_cilindro!$B$17+1)),0)-IF(Presion_cilindro!N251&gt;(-E$4+Presion_cilindro!$B$34),1-EXP(-Presion_cilindro!$B$16*((Presion_cilindro!N251-(-E$4+Presion_cilindro!$B$34))/Presion_cilindro!$B$35)^(Presion_cilindro!$B$17+1)),0))/((Presion_cilindro!O251+Presion_cilindro!O252)/2)</f>
        <v>2.9859345859002162</v>
      </c>
      <c r="F260" s="27">
        <f>F259*(Presion_cilindro!O251/Presion_cilindro!O252)^Presion_cilindro!$B$9+10*(Presion_cilindro!$B$9-1)*Presion_cilindro!$B$33*(IF(Presion_cilindro!N252&gt;(-F$4+Presion_cilindro!$B$34),1-EXP(-Presion_cilindro!$B$16*((Presion_cilindro!N252-(-F$4+Presion_cilindro!$B$34))/Presion_cilindro!$B$35)^(Presion_cilindro!$B$17+1)),0)-IF(Presion_cilindro!N251&gt;(-F$4+Presion_cilindro!$B$34),1-EXP(-Presion_cilindro!$B$16*((Presion_cilindro!N251-(-F$4+Presion_cilindro!$B$34))/Presion_cilindro!$B$35)^(Presion_cilindro!$B$17+1)),0))/((Presion_cilindro!O251+Presion_cilindro!O252)/2)</f>
        <v>2.9859345859002162</v>
      </c>
      <c r="G260" s="27">
        <f>G259*(Presion_cilindro!O251/Presion_cilindro!O252)^Presion_cilindro!$B$9+10*(Presion_cilindro!$B$9-1)*Presion_cilindro!$B$33*(IF(Presion_cilindro!N252&gt;(-G$4+Presion_cilindro!$B$34),1-EXP(-Presion_cilindro!$B$16*((Presion_cilindro!N252-(-G$4+Presion_cilindro!$B$34))/Presion_cilindro!$B$35)^(Presion_cilindro!$B$17+1)),0)-IF(Presion_cilindro!N251&gt;(-G$4+Presion_cilindro!$B$34),1-EXP(-Presion_cilindro!$B$16*((Presion_cilindro!N251-(-G$4+Presion_cilindro!$B$34))/Presion_cilindro!$B$35)^(Presion_cilindro!$B$17+1)),0))/((Presion_cilindro!O251+Presion_cilindro!O252)/2)</f>
        <v>2.9859345859002162</v>
      </c>
      <c r="H260" s="27">
        <f>H259*(Presion_cilindro!O251/Presion_cilindro!O252)^Presion_cilindro!$B$9+10*(Presion_cilindro!$B$9-1)*Presion_cilindro!$B$33*(IF(Presion_cilindro!N252&gt;(-H$4+Presion_cilindro!$B$34),1-EXP(-Presion_cilindro!$B$16*((Presion_cilindro!N252-(-H$4+Presion_cilindro!$B$34))/Presion_cilindro!$B$35)^(Presion_cilindro!$B$17+1)),0)-IF(Presion_cilindro!N251&gt;(-H$4+Presion_cilindro!$B$34),1-EXP(-Presion_cilindro!$B$16*((Presion_cilindro!N251-(-H$4+Presion_cilindro!$B$34))/Presion_cilindro!$B$35)^(Presion_cilindro!$B$17+1)),0))/((Presion_cilindro!O251+Presion_cilindro!O252)/2)</f>
        <v>2.9859345859002162</v>
      </c>
      <c r="I260" s="27">
        <f>I259*(Presion_cilindro!O251/Presion_cilindro!O252)^Presion_cilindro!$B$9+10*(Presion_cilindro!$B$9-1)*Presion_cilindro!$B$33*(IF(Presion_cilindro!N252&gt;(-I$4+Presion_cilindro!$B$34),1-EXP(-Presion_cilindro!$B$16*((Presion_cilindro!N252-(-I$4+Presion_cilindro!$B$34))/Presion_cilindro!$B$35)^(Presion_cilindro!$B$17+1)),0)-IF(Presion_cilindro!N251&gt;(-I$4+Presion_cilindro!$B$34),1-EXP(-Presion_cilindro!$B$16*((Presion_cilindro!N251-(-I$4+Presion_cilindro!$B$34))/Presion_cilindro!$B$35)^(Presion_cilindro!$B$17+1)),0))/((Presion_cilindro!O251+Presion_cilindro!O252)/2)</f>
        <v>2.9859345859002162</v>
      </c>
      <c r="J260" s="27">
        <f>J259*(Presion_cilindro!O251/Presion_cilindro!O252)^Presion_cilindro!$B$9+10*(Presion_cilindro!$B$9-1)*Presion_cilindro!$B$33*(IF(Presion_cilindro!N252&gt;(-J$4+Presion_cilindro!$B$34),1-EXP(-Presion_cilindro!$B$16*((Presion_cilindro!N252-(-J$4+Presion_cilindro!$B$34))/Presion_cilindro!$B$35)^(Presion_cilindro!$B$17+1)),0)-IF(Presion_cilindro!N251&gt;(-J$4+Presion_cilindro!$B$34),1-EXP(-Presion_cilindro!$B$16*((Presion_cilindro!N251-(-J$4+Presion_cilindro!$B$34))/Presion_cilindro!$B$35)^(Presion_cilindro!$B$17+1)),0))/((Presion_cilindro!O251+Presion_cilindro!O252)/2)</f>
        <v>2.9859345859002162</v>
      </c>
      <c r="K260" s="27">
        <f>K259*(Presion_cilindro!O251/Presion_cilindro!O252)^Presion_cilindro!$B$9+10*(Presion_cilindro!$B$9-1)*Presion_cilindro!$B$33*(IF(Presion_cilindro!N252&gt;(-K$4+Presion_cilindro!$B$34),1-EXP(-Presion_cilindro!$B$16*((Presion_cilindro!N252-(-K$4+Presion_cilindro!$B$34))/Presion_cilindro!$B$35)^(Presion_cilindro!$B$17+1)),0)-IF(Presion_cilindro!N251&gt;(-K$4+Presion_cilindro!$B$34),1-EXP(-Presion_cilindro!$B$16*((Presion_cilindro!N251-(-K$4+Presion_cilindro!$B$34))/Presion_cilindro!$B$35)^(Presion_cilindro!$B$17+1)),0))/((Presion_cilindro!O251+Presion_cilindro!O252)/2)</f>
        <v>2.9859345859002162</v>
      </c>
      <c r="L260" s="27">
        <f>L259*(Presion_cilindro!O251/Presion_cilindro!O252)^Presion_cilindro!$B$9+10*(Presion_cilindro!$B$9-1)*Presion_cilindro!$B$33*(IF(Presion_cilindro!N252&gt;(-L$4+Presion_cilindro!$B$34),1-EXP(-Presion_cilindro!$B$16*((Presion_cilindro!N252-(-L$4+Presion_cilindro!$B$34))/Presion_cilindro!$B$35)^(Presion_cilindro!$B$17+1)),0)-IF(Presion_cilindro!N251&gt;(-L$4+Presion_cilindro!$B$34),1-EXP(-Presion_cilindro!$B$16*((Presion_cilindro!N251-(-L$4+Presion_cilindro!$B$34))/Presion_cilindro!$B$35)^(Presion_cilindro!$B$17+1)),0))/((Presion_cilindro!O251+Presion_cilindro!O252)/2)</f>
        <v>2.9859345859002162</v>
      </c>
      <c r="M260" s="27">
        <f>M259*(Presion_cilindro!O251/Presion_cilindro!O252)^Presion_cilindro!$B$9+10*(Presion_cilindro!$B$9-1)*Presion_cilindro!$B$33*(IF(Presion_cilindro!N252&gt;(-M$4+Presion_cilindro!$B$34),1-EXP(-Presion_cilindro!$B$16*((Presion_cilindro!N252-(-M$4+Presion_cilindro!$B$34))/Presion_cilindro!$B$35)^(Presion_cilindro!$B$17+1)),0)-IF(Presion_cilindro!N251&gt;(-M$4+Presion_cilindro!$B$34),1-EXP(-Presion_cilindro!$B$16*((Presion_cilindro!N251-(-M$4+Presion_cilindro!$B$34))/Presion_cilindro!$B$35)^(Presion_cilindro!$B$17+1)),0))/((Presion_cilindro!O251+Presion_cilindro!O252)/2)</f>
        <v>2.9859345859002162</v>
      </c>
      <c r="N260" s="27">
        <f>N259*(Presion_cilindro!O251/Presion_cilindro!O252)^Presion_cilindro!$B$9+10*(Presion_cilindro!$B$9-1)*Presion_cilindro!$B$33*(IF(Presion_cilindro!N252&gt;(-N$4+Presion_cilindro!$B$34),1-EXP(-Presion_cilindro!$B$16*((Presion_cilindro!N252-(-N$4+Presion_cilindro!$B$34))/Presion_cilindro!$B$35)^(Presion_cilindro!$B$17+1)),0)-IF(Presion_cilindro!N251&gt;(-N$4+Presion_cilindro!$B$34),1-EXP(-Presion_cilindro!$B$16*((Presion_cilindro!N251-(-N$4+Presion_cilindro!$B$34))/Presion_cilindro!$B$35)^(Presion_cilindro!$B$17+1)),0))/((Presion_cilindro!O251+Presion_cilindro!O252)/2)</f>
        <v>2.9859345859002162</v>
      </c>
    </row>
    <row r="261" spans="1:14" x14ac:dyDescent="0.25">
      <c r="A261" s="21">
        <f>Presion_cilindro!N253</f>
        <v>-55.5</v>
      </c>
      <c r="B261" s="27">
        <f>B260*(Presion_cilindro!O252/Presion_cilindro!O253)^Presion_cilindro!$B$9+10*(Presion_cilindro!$B$9-1)*Presion_cilindro!$B$33*(IF(Presion_cilindro!N253&gt;(-B$4+Presion_cilindro!$B$34),1-EXP(-Presion_cilindro!$B$16*((Presion_cilindro!N253-(-B$4+Presion_cilindro!$B$34))/Presion_cilindro!$B$35)^(Presion_cilindro!$B$17+1)),0)-IF(Presion_cilindro!N252&gt;(-B$4+Presion_cilindro!$B$34),1-EXP(-Presion_cilindro!$B$16*((Presion_cilindro!N252-(-B$4+Presion_cilindro!$B$34))/Presion_cilindro!$B$35)^(Presion_cilindro!$B$17+1)),0))/((Presion_cilindro!O252+Presion_cilindro!O253)/2)</f>
        <v>3.0302819472670333</v>
      </c>
      <c r="C261" s="27">
        <f>C260*(Presion_cilindro!O252/Presion_cilindro!O253)^Presion_cilindro!$B$9+10*(Presion_cilindro!$B$9-1)*Presion_cilindro!$B$33*(IF(Presion_cilindro!N253&gt;(-C$4+Presion_cilindro!$B$34),1-EXP(-Presion_cilindro!$B$16*((Presion_cilindro!N253-(-C$4+Presion_cilindro!$B$34))/Presion_cilindro!$B$35)^(Presion_cilindro!$B$17+1)),0)-IF(Presion_cilindro!N252&gt;(-C$4+Presion_cilindro!$B$34),1-EXP(-Presion_cilindro!$B$16*((Presion_cilindro!N252-(-C$4+Presion_cilindro!$B$34))/Presion_cilindro!$B$35)^(Presion_cilindro!$B$17+1)),0))/((Presion_cilindro!O252+Presion_cilindro!O253)/2)</f>
        <v>3.0302819472670333</v>
      </c>
      <c r="D261" s="27">
        <f>D260*(Presion_cilindro!O252/Presion_cilindro!O253)^Presion_cilindro!$B$9+10*(Presion_cilindro!$B$9-1)*Presion_cilindro!$B$33*(IF(Presion_cilindro!N253&gt;(-D$4+Presion_cilindro!$B$34),1-EXP(-Presion_cilindro!$B$16*((Presion_cilindro!N253-(-D$4+Presion_cilindro!$B$34))/Presion_cilindro!$B$35)^(Presion_cilindro!$B$17+1)),0)-IF(Presion_cilindro!N252&gt;(-D$4+Presion_cilindro!$B$34),1-EXP(-Presion_cilindro!$B$16*((Presion_cilindro!N252-(-D$4+Presion_cilindro!$B$34))/Presion_cilindro!$B$35)^(Presion_cilindro!$B$17+1)),0))/((Presion_cilindro!O252+Presion_cilindro!O253)/2)</f>
        <v>3.0302819472670333</v>
      </c>
      <c r="E261" s="27">
        <f>E260*(Presion_cilindro!O252/Presion_cilindro!O253)^Presion_cilindro!$B$9+10*(Presion_cilindro!$B$9-1)*Presion_cilindro!$B$33*(IF(Presion_cilindro!N253&gt;(-E$4+Presion_cilindro!$B$34),1-EXP(-Presion_cilindro!$B$16*((Presion_cilindro!N253-(-E$4+Presion_cilindro!$B$34))/Presion_cilindro!$B$35)^(Presion_cilindro!$B$17+1)),0)-IF(Presion_cilindro!N252&gt;(-E$4+Presion_cilindro!$B$34),1-EXP(-Presion_cilindro!$B$16*((Presion_cilindro!N252-(-E$4+Presion_cilindro!$B$34))/Presion_cilindro!$B$35)^(Presion_cilindro!$B$17+1)),0))/((Presion_cilindro!O252+Presion_cilindro!O253)/2)</f>
        <v>3.0302819472670333</v>
      </c>
      <c r="F261" s="27">
        <f>F260*(Presion_cilindro!O252/Presion_cilindro!O253)^Presion_cilindro!$B$9+10*(Presion_cilindro!$B$9-1)*Presion_cilindro!$B$33*(IF(Presion_cilindro!N253&gt;(-F$4+Presion_cilindro!$B$34),1-EXP(-Presion_cilindro!$B$16*((Presion_cilindro!N253-(-F$4+Presion_cilindro!$B$34))/Presion_cilindro!$B$35)^(Presion_cilindro!$B$17+1)),0)-IF(Presion_cilindro!N252&gt;(-F$4+Presion_cilindro!$B$34),1-EXP(-Presion_cilindro!$B$16*((Presion_cilindro!N252-(-F$4+Presion_cilindro!$B$34))/Presion_cilindro!$B$35)^(Presion_cilindro!$B$17+1)),0))/((Presion_cilindro!O252+Presion_cilindro!O253)/2)</f>
        <v>3.0302819472670333</v>
      </c>
      <c r="G261" s="27">
        <f>G260*(Presion_cilindro!O252/Presion_cilindro!O253)^Presion_cilindro!$B$9+10*(Presion_cilindro!$B$9-1)*Presion_cilindro!$B$33*(IF(Presion_cilindro!N253&gt;(-G$4+Presion_cilindro!$B$34),1-EXP(-Presion_cilindro!$B$16*((Presion_cilindro!N253-(-G$4+Presion_cilindro!$B$34))/Presion_cilindro!$B$35)^(Presion_cilindro!$B$17+1)),0)-IF(Presion_cilindro!N252&gt;(-G$4+Presion_cilindro!$B$34),1-EXP(-Presion_cilindro!$B$16*((Presion_cilindro!N252-(-G$4+Presion_cilindro!$B$34))/Presion_cilindro!$B$35)^(Presion_cilindro!$B$17+1)),0))/((Presion_cilindro!O252+Presion_cilindro!O253)/2)</f>
        <v>3.0302819472670333</v>
      </c>
      <c r="H261" s="27">
        <f>H260*(Presion_cilindro!O252/Presion_cilindro!O253)^Presion_cilindro!$B$9+10*(Presion_cilindro!$B$9-1)*Presion_cilindro!$B$33*(IF(Presion_cilindro!N253&gt;(-H$4+Presion_cilindro!$B$34),1-EXP(-Presion_cilindro!$B$16*((Presion_cilindro!N253-(-H$4+Presion_cilindro!$B$34))/Presion_cilindro!$B$35)^(Presion_cilindro!$B$17+1)),0)-IF(Presion_cilindro!N252&gt;(-H$4+Presion_cilindro!$B$34),1-EXP(-Presion_cilindro!$B$16*((Presion_cilindro!N252-(-H$4+Presion_cilindro!$B$34))/Presion_cilindro!$B$35)^(Presion_cilindro!$B$17+1)),0))/((Presion_cilindro!O252+Presion_cilindro!O253)/2)</f>
        <v>3.0302819472670333</v>
      </c>
      <c r="I261" s="27">
        <f>I260*(Presion_cilindro!O252/Presion_cilindro!O253)^Presion_cilindro!$B$9+10*(Presion_cilindro!$B$9-1)*Presion_cilindro!$B$33*(IF(Presion_cilindro!N253&gt;(-I$4+Presion_cilindro!$B$34),1-EXP(-Presion_cilindro!$B$16*((Presion_cilindro!N253-(-I$4+Presion_cilindro!$B$34))/Presion_cilindro!$B$35)^(Presion_cilindro!$B$17+1)),0)-IF(Presion_cilindro!N252&gt;(-I$4+Presion_cilindro!$B$34),1-EXP(-Presion_cilindro!$B$16*((Presion_cilindro!N252-(-I$4+Presion_cilindro!$B$34))/Presion_cilindro!$B$35)^(Presion_cilindro!$B$17+1)),0))/((Presion_cilindro!O252+Presion_cilindro!O253)/2)</f>
        <v>3.0302819472670333</v>
      </c>
      <c r="J261" s="27">
        <f>J260*(Presion_cilindro!O252/Presion_cilindro!O253)^Presion_cilindro!$B$9+10*(Presion_cilindro!$B$9-1)*Presion_cilindro!$B$33*(IF(Presion_cilindro!N253&gt;(-J$4+Presion_cilindro!$B$34),1-EXP(-Presion_cilindro!$B$16*((Presion_cilindro!N253-(-J$4+Presion_cilindro!$B$34))/Presion_cilindro!$B$35)^(Presion_cilindro!$B$17+1)),0)-IF(Presion_cilindro!N252&gt;(-J$4+Presion_cilindro!$B$34),1-EXP(-Presion_cilindro!$B$16*((Presion_cilindro!N252-(-J$4+Presion_cilindro!$B$34))/Presion_cilindro!$B$35)^(Presion_cilindro!$B$17+1)),0))/((Presion_cilindro!O252+Presion_cilindro!O253)/2)</f>
        <v>3.0302819472670333</v>
      </c>
      <c r="K261" s="27">
        <f>K260*(Presion_cilindro!O252/Presion_cilindro!O253)^Presion_cilindro!$B$9+10*(Presion_cilindro!$B$9-1)*Presion_cilindro!$B$33*(IF(Presion_cilindro!N253&gt;(-K$4+Presion_cilindro!$B$34),1-EXP(-Presion_cilindro!$B$16*((Presion_cilindro!N253-(-K$4+Presion_cilindro!$B$34))/Presion_cilindro!$B$35)^(Presion_cilindro!$B$17+1)),0)-IF(Presion_cilindro!N252&gt;(-K$4+Presion_cilindro!$B$34),1-EXP(-Presion_cilindro!$B$16*((Presion_cilindro!N252-(-K$4+Presion_cilindro!$B$34))/Presion_cilindro!$B$35)^(Presion_cilindro!$B$17+1)),0))/((Presion_cilindro!O252+Presion_cilindro!O253)/2)</f>
        <v>3.0302819472670333</v>
      </c>
      <c r="L261" s="27">
        <f>L260*(Presion_cilindro!O252/Presion_cilindro!O253)^Presion_cilindro!$B$9+10*(Presion_cilindro!$B$9-1)*Presion_cilindro!$B$33*(IF(Presion_cilindro!N253&gt;(-L$4+Presion_cilindro!$B$34),1-EXP(-Presion_cilindro!$B$16*((Presion_cilindro!N253-(-L$4+Presion_cilindro!$B$34))/Presion_cilindro!$B$35)^(Presion_cilindro!$B$17+1)),0)-IF(Presion_cilindro!N252&gt;(-L$4+Presion_cilindro!$B$34),1-EXP(-Presion_cilindro!$B$16*((Presion_cilindro!N252-(-L$4+Presion_cilindro!$B$34))/Presion_cilindro!$B$35)^(Presion_cilindro!$B$17+1)),0))/((Presion_cilindro!O252+Presion_cilindro!O253)/2)</f>
        <v>3.0302819472670333</v>
      </c>
      <c r="M261" s="27">
        <f>M260*(Presion_cilindro!O252/Presion_cilindro!O253)^Presion_cilindro!$B$9+10*(Presion_cilindro!$B$9-1)*Presion_cilindro!$B$33*(IF(Presion_cilindro!N253&gt;(-M$4+Presion_cilindro!$B$34),1-EXP(-Presion_cilindro!$B$16*((Presion_cilindro!N253-(-M$4+Presion_cilindro!$B$34))/Presion_cilindro!$B$35)^(Presion_cilindro!$B$17+1)),0)-IF(Presion_cilindro!N252&gt;(-M$4+Presion_cilindro!$B$34),1-EXP(-Presion_cilindro!$B$16*((Presion_cilindro!N252-(-M$4+Presion_cilindro!$B$34))/Presion_cilindro!$B$35)^(Presion_cilindro!$B$17+1)),0))/((Presion_cilindro!O252+Presion_cilindro!O253)/2)</f>
        <v>3.0302819472670333</v>
      </c>
      <c r="N261" s="27">
        <f>N260*(Presion_cilindro!O252/Presion_cilindro!O253)^Presion_cilindro!$B$9+10*(Presion_cilindro!$B$9-1)*Presion_cilindro!$B$33*(IF(Presion_cilindro!N253&gt;(-N$4+Presion_cilindro!$B$34),1-EXP(-Presion_cilindro!$B$16*((Presion_cilindro!N253-(-N$4+Presion_cilindro!$B$34))/Presion_cilindro!$B$35)^(Presion_cilindro!$B$17+1)),0)-IF(Presion_cilindro!N252&gt;(-N$4+Presion_cilindro!$B$34),1-EXP(-Presion_cilindro!$B$16*((Presion_cilindro!N252-(-N$4+Presion_cilindro!$B$34))/Presion_cilindro!$B$35)^(Presion_cilindro!$B$17+1)),0))/((Presion_cilindro!O252+Presion_cilindro!O253)/2)</f>
        <v>3.0302819472670333</v>
      </c>
    </row>
    <row r="262" spans="1:14" x14ac:dyDescent="0.25">
      <c r="A262" s="21">
        <f>Presion_cilindro!N254</f>
        <v>-55</v>
      </c>
      <c r="B262" s="27">
        <f>B261*(Presion_cilindro!O253/Presion_cilindro!O254)^Presion_cilindro!$B$9+10*(Presion_cilindro!$B$9-1)*Presion_cilindro!$B$33*(IF(Presion_cilindro!N254&gt;(-B$4+Presion_cilindro!$B$34),1-EXP(-Presion_cilindro!$B$16*((Presion_cilindro!N254-(-B$4+Presion_cilindro!$B$34))/Presion_cilindro!$B$35)^(Presion_cilindro!$B$17+1)),0)-IF(Presion_cilindro!N253&gt;(-B$4+Presion_cilindro!$B$34),1-EXP(-Presion_cilindro!$B$16*((Presion_cilindro!N253-(-B$4+Presion_cilindro!$B$34))/Presion_cilindro!$B$35)^(Presion_cilindro!$B$17+1)),0))/((Presion_cilindro!O253+Presion_cilindro!O254)/2)</f>
        <v>3.0756013268458333</v>
      </c>
      <c r="C262" s="27">
        <f>C261*(Presion_cilindro!O253/Presion_cilindro!O254)^Presion_cilindro!$B$9+10*(Presion_cilindro!$B$9-1)*Presion_cilindro!$B$33*(IF(Presion_cilindro!N254&gt;(-C$4+Presion_cilindro!$B$34),1-EXP(-Presion_cilindro!$B$16*((Presion_cilindro!N254-(-C$4+Presion_cilindro!$B$34))/Presion_cilindro!$B$35)^(Presion_cilindro!$B$17+1)),0)-IF(Presion_cilindro!N253&gt;(-C$4+Presion_cilindro!$B$34),1-EXP(-Presion_cilindro!$B$16*((Presion_cilindro!N253-(-C$4+Presion_cilindro!$B$34))/Presion_cilindro!$B$35)^(Presion_cilindro!$B$17+1)),0))/((Presion_cilindro!O253+Presion_cilindro!O254)/2)</f>
        <v>3.0756013268458333</v>
      </c>
      <c r="D262" s="27">
        <f>D261*(Presion_cilindro!O253/Presion_cilindro!O254)^Presion_cilindro!$B$9+10*(Presion_cilindro!$B$9-1)*Presion_cilindro!$B$33*(IF(Presion_cilindro!N254&gt;(-D$4+Presion_cilindro!$B$34),1-EXP(-Presion_cilindro!$B$16*((Presion_cilindro!N254-(-D$4+Presion_cilindro!$B$34))/Presion_cilindro!$B$35)^(Presion_cilindro!$B$17+1)),0)-IF(Presion_cilindro!N253&gt;(-D$4+Presion_cilindro!$B$34),1-EXP(-Presion_cilindro!$B$16*((Presion_cilindro!N253-(-D$4+Presion_cilindro!$B$34))/Presion_cilindro!$B$35)^(Presion_cilindro!$B$17+1)),0))/((Presion_cilindro!O253+Presion_cilindro!O254)/2)</f>
        <v>3.0756013268458333</v>
      </c>
      <c r="E262" s="27">
        <f>E261*(Presion_cilindro!O253/Presion_cilindro!O254)^Presion_cilindro!$B$9+10*(Presion_cilindro!$B$9-1)*Presion_cilindro!$B$33*(IF(Presion_cilindro!N254&gt;(-E$4+Presion_cilindro!$B$34),1-EXP(-Presion_cilindro!$B$16*((Presion_cilindro!N254-(-E$4+Presion_cilindro!$B$34))/Presion_cilindro!$B$35)^(Presion_cilindro!$B$17+1)),0)-IF(Presion_cilindro!N253&gt;(-E$4+Presion_cilindro!$B$34),1-EXP(-Presion_cilindro!$B$16*((Presion_cilindro!N253-(-E$4+Presion_cilindro!$B$34))/Presion_cilindro!$B$35)^(Presion_cilindro!$B$17+1)),0))/((Presion_cilindro!O253+Presion_cilindro!O254)/2)</f>
        <v>3.0756013268458333</v>
      </c>
      <c r="F262" s="27">
        <f>F261*(Presion_cilindro!O253/Presion_cilindro!O254)^Presion_cilindro!$B$9+10*(Presion_cilindro!$B$9-1)*Presion_cilindro!$B$33*(IF(Presion_cilindro!N254&gt;(-F$4+Presion_cilindro!$B$34),1-EXP(-Presion_cilindro!$B$16*((Presion_cilindro!N254-(-F$4+Presion_cilindro!$B$34))/Presion_cilindro!$B$35)^(Presion_cilindro!$B$17+1)),0)-IF(Presion_cilindro!N253&gt;(-F$4+Presion_cilindro!$B$34),1-EXP(-Presion_cilindro!$B$16*((Presion_cilindro!N253-(-F$4+Presion_cilindro!$B$34))/Presion_cilindro!$B$35)^(Presion_cilindro!$B$17+1)),0))/((Presion_cilindro!O253+Presion_cilindro!O254)/2)</f>
        <v>3.0756013268458333</v>
      </c>
      <c r="G262" s="27">
        <f>G261*(Presion_cilindro!O253/Presion_cilindro!O254)^Presion_cilindro!$B$9+10*(Presion_cilindro!$B$9-1)*Presion_cilindro!$B$33*(IF(Presion_cilindro!N254&gt;(-G$4+Presion_cilindro!$B$34),1-EXP(-Presion_cilindro!$B$16*((Presion_cilindro!N254-(-G$4+Presion_cilindro!$B$34))/Presion_cilindro!$B$35)^(Presion_cilindro!$B$17+1)),0)-IF(Presion_cilindro!N253&gt;(-G$4+Presion_cilindro!$B$34),1-EXP(-Presion_cilindro!$B$16*((Presion_cilindro!N253-(-G$4+Presion_cilindro!$B$34))/Presion_cilindro!$B$35)^(Presion_cilindro!$B$17+1)),0))/((Presion_cilindro!O253+Presion_cilindro!O254)/2)</f>
        <v>3.0756013268458333</v>
      </c>
      <c r="H262" s="27">
        <f>H261*(Presion_cilindro!O253/Presion_cilindro!O254)^Presion_cilindro!$B$9+10*(Presion_cilindro!$B$9-1)*Presion_cilindro!$B$33*(IF(Presion_cilindro!N254&gt;(-H$4+Presion_cilindro!$B$34),1-EXP(-Presion_cilindro!$B$16*((Presion_cilindro!N254-(-H$4+Presion_cilindro!$B$34))/Presion_cilindro!$B$35)^(Presion_cilindro!$B$17+1)),0)-IF(Presion_cilindro!N253&gt;(-H$4+Presion_cilindro!$B$34),1-EXP(-Presion_cilindro!$B$16*((Presion_cilindro!N253-(-H$4+Presion_cilindro!$B$34))/Presion_cilindro!$B$35)^(Presion_cilindro!$B$17+1)),0))/((Presion_cilindro!O253+Presion_cilindro!O254)/2)</f>
        <v>3.0756013268458333</v>
      </c>
      <c r="I262" s="27">
        <f>I261*(Presion_cilindro!O253/Presion_cilindro!O254)^Presion_cilindro!$B$9+10*(Presion_cilindro!$B$9-1)*Presion_cilindro!$B$33*(IF(Presion_cilindro!N254&gt;(-I$4+Presion_cilindro!$B$34),1-EXP(-Presion_cilindro!$B$16*((Presion_cilindro!N254-(-I$4+Presion_cilindro!$B$34))/Presion_cilindro!$B$35)^(Presion_cilindro!$B$17+1)),0)-IF(Presion_cilindro!N253&gt;(-I$4+Presion_cilindro!$B$34),1-EXP(-Presion_cilindro!$B$16*((Presion_cilindro!N253-(-I$4+Presion_cilindro!$B$34))/Presion_cilindro!$B$35)^(Presion_cilindro!$B$17+1)),0))/((Presion_cilindro!O253+Presion_cilindro!O254)/2)</f>
        <v>3.0756013268458333</v>
      </c>
      <c r="J262" s="27">
        <f>J261*(Presion_cilindro!O253/Presion_cilindro!O254)^Presion_cilindro!$B$9+10*(Presion_cilindro!$B$9-1)*Presion_cilindro!$B$33*(IF(Presion_cilindro!N254&gt;(-J$4+Presion_cilindro!$B$34),1-EXP(-Presion_cilindro!$B$16*((Presion_cilindro!N254-(-J$4+Presion_cilindro!$B$34))/Presion_cilindro!$B$35)^(Presion_cilindro!$B$17+1)),0)-IF(Presion_cilindro!N253&gt;(-J$4+Presion_cilindro!$B$34),1-EXP(-Presion_cilindro!$B$16*((Presion_cilindro!N253-(-J$4+Presion_cilindro!$B$34))/Presion_cilindro!$B$35)^(Presion_cilindro!$B$17+1)),0))/((Presion_cilindro!O253+Presion_cilindro!O254)/2)</f>
        <v>3.0756013268458333</v>
      </c>
      <c r="K262" s="27">
        <f>K261*(Presion_cilindro!O253/Presion_cilindro!O254)^Presion_cilindro!$B$9+10*(Presion_cilindro!$B$9-1)*Presion_cilindro!$B$33*(IF(Presion_cilindro!N254&gt;(-K$4+Presion_cilindro!$B$34),1-EXP(-Presion_cilindro!$B$16*((Presion_cilindro!N254-(-K$4+Presion_cilindro!$B$34))/Presion_cilindro!$B$35)^(Presion_cilindro!$B$17+1)),0)-IF(Presion_cilindro!N253&gt;(-K$4+Presion_cilindro!$B$34),1-EXP(-Presion_cilindro!$B$16*((Presion_cilindro!N253-(-K$4+Presion_cilindro!$B$34))/Presion_cilindro!$B$35)^(Presion_cilindro!$B$17+1)),0))/((Presion_cilindro!O253+Presion_cilindro!O254)/2)</f>
        <v>3.0756013268458333</v>
      </c>
      <c r="L262" s="27">
        <f>L261*(Presion_cilindro!O253/Presion_cilindro!O254)^Presion_cilindro!$B$9+10*(Presion_cilindro!$B$9-1)*Presion_cilindro!$B$33*(IF(Presion_cilindro!N254&gt;(-L$4+Presion_cilindro!$B$34),1-EXP(-Presion_cilindro!$B$16*((Presion_cilindro!N254-(-L$4+Presion_cilindro!$B$34))/Presion_cilindro!$B$35)^(Presion_cilindro!$B$17+1)),0)-IF(Presion_cilindro!N253&gt;(-L$4+Presion_cilindro!$B$34),1-EXP(-Presion_cilindro!$B$16*((Presion_cilindro!N253-(-L$4+Presion_cilindro!$B$34))/Presion_cilindro!$B$35)^(Presion_cilindro!$B$17+1)),0))/((Presion_cilindro!O253+Presion_cilindro!O254)/2)</f>
        <v>3.0756013268458333</v>
      </c>
      <c r="M262" s="27">
        <f>M261*(Presion_cilindro!O253/Presion_cilindro!O254)^Presion_cilindro!$B$9+10*(Presion_cilindro!$B$9-1)*Presion_cilindro!$B$33*(IF(Presion_cilindro!N254&gt;(-M$4+Presion_cilindro!$B$34),1-EXP(-Presion_cilindro!$B$16*((Presion_cilindro!N254-(-M$4+Presion_cilindro!$B$34))/Presion_cilindro!$B$35)^(Presion_cilindro!$B$17+1)),0)-IF(Presion_cilindro!N253&gt;(-M$4+Presion_cilindro!$B$34),1-EXP(-Presion_cilindro!$B$16*((Presion_cilindro!N253-(-M$4+Presion_cilindro!$B$34))/Presion_cilindro!$B$35)^(Presion_cilindro!$B$17+1)),0))/((Presion_cilindro!O253+Presion_cilindro!O254)/2)</f>
        <v>3.0756013268458333</v>
      </c>
      <c r="N262" s="27">
        <f>N261*(Presion_cilindro!O253/Presion_cilindro!O254)^Presion_cilindro!$B$9+10*(Presion_cilindro!$B$9-1)*Presion_cilindro!$B$33*(IF(Presion_cilindro!N254&gt;(-N$4+Presion_cilindro!$B$34),1-EXP(-Presion_cilindro!$B$16*((Presion_cilindro!N254-(-N$4+Presion_cilindro!$B$34))/Presion_cilindro!$B$35)^(Presion_cilindro!$B$17+1)),0)-IF(Presion_cilindro!N253&gt;(-N$4+Presion_cilindro!$B$34),1-EXP(-Presion_cilindro!$B$16*((Presion_cilindro!N253-(-N$4+Presion_cilindro!$B$34))/Presion_cilindro!$B$35)^(Presion_cilindro!$B$17+1)),0))/((Presion_cilindro!O253+Presion_cilindro!O254)/2)</f>
        <v>3.0756013268458333</v>
      </c>
    </row>
    <row r="263" spans="1:14" x14ac:dyDescent="0.25">
      <c r="A263" s="21">
        <f>Presion_cilindro!N255</f>
        <v>-54.5</v>
      </c>
      <c r="B263" s="27">
        <f>B262*(Presion_cilindro!O254/Presion_cilindro!O255)^Presion_cilindro!$B$9+10*(Presion_cilindro!$B$9-1)*Presion_cilindro!$B$33*(IF(Presion_cilindro!N255&gt;(-B$4+Presion_cilindro!$B$34),1-EXP(-Presion_cilindro!$B$16*((Presion_cilindro!N255-(-B$4+Presion_cilindro!$B$34))/Presion_cilindro!$B$35)^(Presion_cilindro!$B$17+1)),0)-IF(Presion_cilindro!N254&gt;(-B$4+Presion_cilindro!$B$34),1-EXP(-Presion_cilindro!$B$16*((Presion_cilindro!N254-(-B$4+Presion_cilindro!$B$34))/Presion_cilindro!$B$35)^(Presion_cilindro!$B$17+1)),0))/((Presion_cilindro!O254+Presion_cilindro!O255)/2)</f>
        <v>3.1219163489807205</v>
      </c>
      <c r="C263" s="27">
        <f>C262*(Presion_cilindro!O254/Presion_cilindro!O255)^Presion_cilindro!$B$9+10*(Presion_cilindro!$B$9-1)*Presion_cilindro!$B$33*(IF(Presion_cilindro!N255&gt;(-C$4+Presion_cilindro!$B$34),1-EXP(-Presion_cilindro!$B$16*((Presion_cilindro!N255-(-C$4+Presion_cilindro!$B$34))/Presion_cilindro!$B$35)^(Presion_cilindro!$B$17+1)),0)-IF(Presion_cilindro!N254&gt;(-C$4+Presion_cilindro!$B$34),1-EXP(-Presion_cilindro!$B$16*((Presion_cilindro!N254-(-C$4+Presion_cilindro!$B$34))/Presion_cilindro!$B$35)^(Presion_cilindro!$B$17+1)),0))/((Presion_cilindro!O254+Presion_cilindro!O255)/2)</f>
        <v>3.1219163489807205</v>
      </c>
      <c r="D263" s="27">
        <f>D262*(Presion_cilindro!O254/Presion_cilindro!O255)^Presion_cilindro!$B$9+10*(Presion_cilindro!$B$9-1)*Presion_cilindro!$B$33*(IF(Presion_cilindro!N255&gt;(-D$4+Presion_cilindro!$B$34),1-EXP(-Presion_cilindro!$B$16*((Presion_cilindro!N255-(-D$4+Presion_cilindro!$B$34))/Presion_cilindro!$B$35)^(Presion_cilindro!$B$17+1)),0)-IF(Presion_cilindro!N254&gt;(-D$4+Presion_cilindro!$B$34),1-EXP(-Presion_cilindro!$B$16*((Presion_cilindro!N254-(-D$4+Presion_cilindro!$B$34))/Presion_cilindro!$B$35)^(Presion_cilindro!$B$17+1)),0))/((Presion_cilindro!O254+Presion_cilindro!O255)/2)</f>
        <v>3.1219163489807205</v>
      </c>
      <c r="E263" s="27">
        <f>E262*(Presion_cilindro!O254/Presion_cilindro!O255)^Presion_cilindro!$B$9+10*(Presion_cilindro!$B$9-1)*Presion_cilindro!$B$33*(IF(Presion_cilindro!N255&gt;(-E$4+Presion_cilindro!$B$34),1-EXP(-Presion_cilindro!$B$16*((Presion_cilindro!N255-(-E$4+Presion_cilindro!$B$34))/Presion_cilindro!$B$35)^(Presion_cilindro!$B$17+1)),0)-IF(Presion_cilindro!N254&gt;(-E$4+Presion_cilindro!$B$34),1-EXP(-Presion_cilindro!$B$16*((Presion_cilindro!N254-(-E$4+Presion_cilindro!$B$34))/Presion_cilindro!$B$35)^(Presion_cilindro!$B$17+1)),0))/((Presion_cilindro!O254+Presion_cilindro!O255)/2)</f>
        <v>3.1219163489807205</v>
      </c>
      <c r="F263" s="27">
        <f>F262*(Presion_cilindro!O254/Presion_cilindro!O255)^Presion_cilindro!$B$9+10*(Presion_cilindro!$B$9-1)*Presion_cilindro!$B$33*(IF(Presion_cilindro!N255&gt;(-F$4+Presion_cilindro!$B$34),1-EXP(-Presion_cilindro!$B$16*((Presion_cilindro!N255-(-F$4+Presion_cilindro!$B$34))/Presion_cilindro!$B$35)^(Presion_cilindro!$B$17+1)),0)-IF(Presion_cilindro!N254&gt;(-F$4+Presion_cilindro!$B$34),1-EXP(-Presion_cilindro!$B$16*((Presion_cilindro!N254-(-F$4+Presion_cilindro!$B$34))/Presion_cilindro!$B$35)^(Presion_cilindro!$B$17+1)),0))/((Presion_cilindro!O254+Presion_cilindro!O255)/2)</f>
        <v>3.1219163489807205</v>
      </c>
      <c r="G263" s="27">
        <f>G262*(Presion_cilindro!O254/Presion_cilindro!O255)^Presion_cilindro!$B$9+10*(Presion_cilindro!$B$9-1)*Presion_cilindro!$B$33*(IF(Presion_cilindro!N255&gt;(-G$4+Presion_cilindro!$B$34),1-EXP(-Presion_cilindro!$B$16*((Presion_cilindro!N255-(-G$4+Presion_cilindro!$B$34))/Presion_cilindro!$B$35)^(Presion_cilindro!$B$17+1)),0)-IF(Presion_cilindro!N254&gt;(-G$4+Presion_cilindro!$B$34),1-EXP(-Presion_cilindro!$B$16*((Presion_cilindro!N254-(-G$4+Presion_cilindro!$B$34))/Presion_cilindro!$B$35)^(Presion_cilindro!$B$17+1)),0))/((Presion_cilindro!O254+Presion_cilindro!O255)/2)</f>
        <v>3.1219163489807205</v>
      </c>
      <c r="H263" s="27">
        <f>H262*(Presion_cilindro!O254/Presion_cilindro!O255)^Presion_cilindro!$B$9+10*(Presion_cilindro!$B$9-1)*Presion_cilindro!$B$33*(IF(Presion_cilindro!N255&gt;(-H$4+Presion_cilindro!$B$34),1-EXP(-Presion_cilindro!$B$16*((Presion_cilindro!N255-(-H$4+Presion_cilindro!$B$34))/Presion_cilindro!$B$35)^(Presion_cilindro!$B$17+1)),0)-IF(Presion_cilindro!N254&gt;(-H$4+Presion_cilindro!$B$34),1-EXP(-Presion_cilindro!$B$16*((Presion_cilindro!N254-(-H$4+Presion_cilindro!$B$34))/Presion_cilindro!$B$35)^(Presion_cilindro!$B$17+1)),0))/((Presion_cilindro!O254+Presion_cilindro!O255)/2)</f>
        <v>3.1219163489807205</v>
      </c>
      <c r="I263" s="27">
        <f>I262*(Presion_cilindro!O254/Presion_cilindro!O255)^Presion_cilindro!$B$9+10*(Presion_cilindro!$B$9-1)*Presion_cilindro!$B$33*(IF(Presion_cilindro!N255&gt;(-I$4+Presion_cilindro!$B$34),1-EXP(-Presion_cilindro!$B$16*((Presion_cilindro!N255-(-I$4+Presion_cilindro!$B$34))/Presion_cilindro!$B$35)^(Presion_cilindro!$B$17+1)),0)-IF(Presion_cilindro!N254&gt;(-I$4+Presion_cilindro!$B$34),1-EXP(-Presion_cilindro!$B$16*((Presion_cilindro!N254-(-I$4+Presion_cilindro!$B$34))/Presion_cilindro!$B$35)^(Presion_cilindro!$B$17+1)),0))/((Presion_cilindro!O254+Presion_cilindro!O255)/2)</f>
        <v>3.1219163489807205</v>
      </c>
      <c r="J263" s="27">
        <f>J262*(Presion_cilindro!O254/Presion_cilindro!O255)^Presion_cilindro!$B$9+10*(Presion_cilindro!$B$9-1)*Presion_cilindro!$B$33*(IF(Presion_cilindro!N255&gt;(-J$4+Presion_cilindro!$B$34),1-EXP(-Presion_cilindro!$B$16*((Presion_cilindro!N255-(-J$4+Presion_cilindro!$B$34))/Presion_cilindro!$B$35)^(Presion_cilindro!$B$17+1)),0)-IF(Presion_cilindro!N254&gt;(-J$4+Presion_cilindro!$B$34),1-EXP(-Presion_cilindro!$B$16*((Presion_cilindro!N254-(-J$4+Presion_cilindro!$B$34))/Presion_cilindro!$B$35)^(Presion_cilindro!$B$17+1)),0))/((Presion_cilindro!O254+Presion_cilindro!O255)/2)</f>
        <v>3.1219163489807205</v>
      </c>
      <c r="K263" s="27">
        <f>K262*(Presion_cilindro!O254/Presion_cilindro!O255)^Presion_cilindro!$B$9+10*(Presion_cilindro!$B$9-1)*Presion_cilindro!$B$33*(IF(Presion_cilindro!N255&gt;(-K$4+Presion_cilindro!$B$34),1-EXP(-Presion_cilindro!$B$16*((Presion_cilindro!N255-(-K$4+Presion_cilindro!$B$34))/Presion_cilindro!$B$35)^(Presion_cilindro!$B$17+1)),0)-IF(Presion_cilindro!N254&gt;(-K$4+Presion_cilindro!$B$34),1-EXP(-Presion_cilindro!$B$16*((Presion_cilindro!N254-(-K$4+Presion_cilindro!$B$34))/Presion_cilindro!$B$35)^(Presion_cilindro!$B$17+1)),0))/((Presion_cilindro!O254+Presion_cilindro!O255)/2)</f>
        <v>3.1219163489807205</v>
      </c>
      <c r="L263" s="27">
        <f>L262*(Presion_cilindro!O254/Presion_cilindro!O255)^Presion_cilindro!$B$9+10*(Presion_cilindro!$B$9-1)*Presion_cilindro!$B$33*(IF(Presion_cilindro!N255&gt;(-L$4+Presion_cilindro!$B$34),1-EXP(-Presion_cilindro!$B$16*((Presion_cilindro!N255-(-L$4+Presion_cilindro!$B$34))/Presion_cilindro!$B$35)^(Presion_cilindro!$B$17+1)),0)-IF(Presion_cilindro!N254&gt;(-L$4+Presion_cilindro!$B$34),1-EXP(-Presion_cilindro!$B$16*((Presion_cilindro!N254-(-L$4+Presion_cilindro!$B$34))/Presion_cilindro!$B$35)^(Presion_cilindro!$B$17+1)),0))/((Presion_cilindro!O254+Presion_cilindro!O255)/2)</f>
        <v>3.1219163489807205</v>
      </c>
      <c r="M263" s="27">
        <f>M262*(Presion_cilindro!O254/Presion_cilindro!O255)^Presion_cilindro!$B$9+10*(Presion_cilindro!$B$9-1)*Presion_cilindro!$B$33*(IF(Presion_cilindro!N255&gt;(-M$4+Presion_cilindro!$B$34),1-EXP(-Presion_cilindro!$B$16*((Presion_cilindro!N255-(-M$4+Presion_cilindro!$B$34))/Presion_cilindro!$B$35)^(Presion_cilindro!$B$17+1)),0)-IF(Presion_cilindro!N254&gt;(-M$4+Presion_cilindro!$B$34),1-EXP(-Presion_cilindro!$B$16*((Presion_cilindro!N254-(-M$4+Presion_cilindro!$B$34))/Presion_cilindro!$B$35)^(Presion_cilindro!$B$17+1)),0))/((Presion_cilindro!O254+Presion_cilindro!O255)/2)</f>
        <v>3.1219163489807205</v>
      </c>
      <c r="N263" s="27">
        <f>N262*(Presion_cilindro!O254/Presion_cilindro!O255)^Presion_cilindro!$B$9+10*(Presion_cilindro!$B$9-1)*Presion_cilindro!$B$33*(IF(Presion_cilindro!N255&gt;(-N$4+Presion_cilindro!$B$34),1-EXP(-Presion_cilindro!$B$16*((Presion_cilindro!N255-(-N$4+Presion_cilindro!$B$34))/Presion_cilindro!$B$35)^(Presion_cilindro!$B$17+1)),0)-IF(Presion_cilindro!N254&gt;(-N$4+Presion_cilindro!$B$34),1-EXP(-Presion_cilindro!$B$16*((Presion_cilindro!N254-(-N$4+Presion_cilindro!$B$34))/Presion_cilindro!$B$35)^(Presion_cilindro!$B$17+1)),0))/((Presion_cilindro!O254+Presion_cilindro!O255)/2)</f>
        <v>3.1219163489807205</v>
      </c>
    </row>
    <row r="264" spans="1:14" x14ac:dyDescent="0.25">
      <c r="A264" s="21">
        <f>Presion_cilindro!N256</f>
        <v>-54</v>
      </c>
      <c r="B264" s="27">
        <f>B263*(Presion_cilindro!O255/Presion_cilindro!O256)^Presion_cilindro!$B$9+10*(Presion_cilindro!$B$9-1)*Presion_cilindro!$B$33*(IF(Presion_cilindro!N256&gt;(-B$4+Presion_cilindro!$B$34),1-EXP(-Presion_cilindro!$B$16*((Presion_cilindro!N256-(-B$4+Presion_cilindro!$B$34))/Presion_cilindro!$B$35)^(Presion_cilindro!$B$17+1)),0)-IF(Presion_cilindro!N255&gt;(-B$4+Presion_cilindro!$B$34),1-EXP(-Presion_cilindro!$B$16*((Presion_cilindro!N255-(-B$4+Presion_cilindro!$B$34))/Presion_cilindro!$B$35)^(Presion_cilindro!$B$17+1)),0))/((Presion_cilindro!O255+Presion_cilindro!O256)/2)</f>
        <v>3.169251183000958</v>
      </c>
      <c r="C264" s="27">
        <f>C263*(Presion_cilindro!O255/Presion_cilindro!O256)^Presion_cilindro!$B$9+10*(Presion_cilindro!$B$9-1)*Presion_cilindro!$B$33*(IF(Presion_cilindro!N256&gt;(-C$4+Presion_cilindro!$B$34),1-EXP(-Presion_cilindro!$B$16*((Presion_cilindro!N256-(-C$4+Presion_cilindro!$B$34))/Presion_cilindro!$B$35)^(Presion_cilindro!$B$17+1)),0)-IF(Presion_cilindro!N255&gt;(-C$4+Presion_cilindro!$B$34),1-EXP(-Presion_cilindro!$B$16*((Presion_cilindro!N255-(-C$4+Presion_cilindro!$B$34))/Presion_cilindro!$B$35)^(Presion_cilindro!$B$17+1)),0))/((Presion_cilindro!O255+Presion_cilindro!O256)/2)</f>
        <v>3.169251183000958</v>
      </c>
      <c r="D264" s="27">
        <f>D263*(Presion_cilindro!O255/Presion_cilindro!O256)^Presion_cilindro!$B$9+10*(Presion_cilindro!$B$9-1)*Presion_cilindro!$B$33*(IF(Presion_cilindro!N256&gt;(-D$4+Presion_cilindro!$B$34),1-EXP(-Presion_cilindro!$B$16*((Presion_cilindro!N256-(-D$4+Presion_cilindro!$B$34))/Presion_cilindro!$B$35)^(Presion_cilindro!$B$17+1)),0)-IF(Presion_cilindro!N255&gt;(-D$4+Presion_cilindro!$B$34),1-EXP(-Presion_cilindro!$B$16*((Presion_cilindro!N255-(-D$4+Presion_cilindro!$B$34))/Presion_cilindro!$B$35)^(Presion_cilindro!$B$17+1)),0))/((Presion_cilindro!O255+Presion_cilindro!O256)/2)</f>
        <v>3.169251183000958</v>
      </c>
      <c r="E264" s="27">
        <f>E263*(Presion_cilindro!O255/Presion_cilindro!O256)^Presion_cilindro!$B$9+10*(Presion_cilindro!$B$9-1)*Presion_cilindro!$B$33*(IF(Presion_cilindro!N256&gt;(-E$4+Presion_cilindro!$B$34),1-EXP(-Presion_cilindro!$B$16*((Presion_cilindro!N256-(-E$4+Presion_cilindro!$B$34))/Presion_cilindro!$B$35)^(Presion_cilindro!$B$17+1)),0)-IF(Presion_cilindro!N255&gt;(-E$4+Presion_cilindro!$B$34),1-EXP(-Presion_cilindro!$B$16*((Presion_cilindro!N255-(-E$4+Presion_cilindro!$B$34))/Presion_cilindro!$B$35)^(Presion_cilindro!$B$17+1)),0))/((Presion_cilindro!O255+Presion_cilindro!O256)/2)</f>
        <v>3.169251183000958</v>
      </c>
      <c r="F264" s="27">
        <f>F263*(Presion_cilindro!O255/Presion_cilindro!O256)^Presion_cilindro!$B$9+10*(Presion_cilindro!$B$9-1)*Presion_cilindro!$B$33*(IF(Presion_cilindro!N256&gt;(-F$4+Presion_cilindro!$B$34),1-EXP(-Presion_cilindro!$B$16*((Presion_cilindro!N256-(-F$4+Presion_cilindro!$B$34))/Presion_cilindro!$B$35)^(Presion_cilindro!$B$17+1)),0)-IF(Presion_cilindro!N255&gt;(-F$4+Presion_cilindro!$B$34),1-EXP(-Presion_cilindro!$B$16*((Presion_cilindro!N255-(-F$4+Presion_cilindro!$B$34))/Presion_cilindro!$B$35)^(Presion_cilindro!$B$17+1)),0))/((Presion_cilindro!O255+Presion_cilindro!O256)/2)</f>
        <v>3.169251183000958</v>
      </c>
      <c r="G264" s="27">
        <f>G263*(Presion_cilindro!O255/Presion_cilindro!O256)^Presion_cilindro!$B$9+10*(Presion_cilindro!$B$9-1)*Presion_cilindro!$B$33*(IF(Presion_cilindro!N256&gt;(-G$4+Presion_cilindro!$B$34),1-EXP(-Presion_cilindro!$B$16*((Presion_cilindro!N256-(-G$4+Presion_cilindro!$B$34))/Presion_cilindro!$B$35)^(Presion_cilindro!$B$17+1)),0)-IF(Presion_cilindro!N255&gt;(-G$4+Presion_cilindro!$B$34),1-EXP(-Presion_cilindro!$B$16*((Presion_cilindro!N255-(-G$4+Presion_cilindro!$B$34))/Presion_cilindro!$B$35)^(Presion_cilindro!$B$17+1)),0))/((Presion_cilindro!O255+Presion_cilindro!O256)/2)</f>
        <v>3.169251183000958</v>
      </c>
      <c r="H264" s="27">
        <f>H263*(Presion_cilindro!O255/Presion_cilindro!O256)^Presion_cilindro!$B$9+10*(Presion_cilindro!$B$9-1)*Presion_cilindro!$B$33*(IF(Presion_cilindro!N256&gt;(-H$4+Presion_cilindro!$B$34),1-EXP(-Presion_cilindro!$B$16*((Presion_cilindro!N256-(-H$4+Presion_cilindro!$B$34))/Presion_cilindro!$B$35)^(Presion_cilindro!$B$17+1)),0)-IF(Presion_cilindro!N255&gt;(-H$4+Presion_cilindro!$B$34),1-EXP(-Presion_cilindro!$B$16*((Presion_cilindro!N255-(-H$4+Presion_cilindro!$B$34))/Presion_cilindro!$B$35)^(Presion_cilindro!$B$17+1)),0))/((Presion_cilindro!O255+Presion_cilindro!O256)/2)</f>
        <v>3.169251183000958</v>
      </c>
      <c r="I264" s="27">
        <f>I263*(Presion_cilindro!O255/Presion_cilindro!O256)^Presion_cilindro!$B$9+10*(Presion_cilindro!$B$9-1)*Presion_cilindro!$B$33*(IF(Presion_cilindro!N256&gt;(-I$4+Presion_cilindro!$B$34),1-EXP(-Presion_cilindro!$B$16*((Presion_cilindro!N256-(-I$4+Presion_cilindro!$B$34))/Presion_cilindro!$B$35)^(Presion_cilindro!$B$17+1)),0)-IF(Presion_cilindro!N255&gt;(-I$4+Presion_cilindro!$B$34),1-EXP(-Presion_cilindro!$B$16*((Presion_cilindro!N255-(-I$4+Presion_cilindro!$B$34))/Presion_cilindro!$B$35)^(Presion_cilindro!$B$17+1)),0))/((Presion_cilindro!O255+Presion_cilindro!O256)/2)</f>
        <v>3.169251183000958</v>
      </c>
      <c r="J264" s="27">
        <f>J263*(Presion_cilindro!O255/Presion_cilindro!O256)^Presion_cilindro!$B$9+10*(Presion_cilindro!$B$9-1)*Presion_cilindro!$B$33*(IF(Presion_cilindro!N256&gt;(-J$4+Presion_cilindro!$B$34),1-EXP(-Presion_cilindro!$B$16*((Presion_cilindro!N256-(-J$4+Presion_cilindro!$B$34))/Presion_cilindro!$B$35)^(Presion_cilindro!$B$17+1)),0)-IF(Presion_cilindro!N255&gt;(-J$4+Presion_cilindro!$B$34),1-EXP(-Presion_cilindro!$B$16*((Presion_cilindro!N255-(-J$4+Presion_cilindro!$B$34))/Presion_cilindro!$B$35)^(Presion_cilindro!$B$17+1)),0))/((Presion_cilindro!O255+Presion_cilindro!O256)/2)</f>
        <v>3.169251183000958</v>
      </c>
      <c r="K264" s="27">
        <f>K263*(Presion_cilindro!O255/Presion_cilindro!O256)^Presion_cilindro!$B$9+10*(Presion_cilindro!$B$9-1)*Presion_cilindro!$B$33*(IF(Presion_cilindro!N256&gt;(-K$4+Presion_cilindro!$B$34),1-EXP(-Presion_cilindro!$B$16*((Presion_cilindro!N256-(-K$4+Presion_cilindro!$B$34))/Presion_cilindro!$B$35)^(Presion_cilindro!$B$17+1)),0)-IF(Presion_cilindro!N255&gt;(-K$4+Presion_cilindro!$B$34),1-EXP(-Presion_cilindro!$B$16*((Presion_cilindro!N255-(-K$4+Presion_cilindro!$B$34))/Presion_cilindro!$B$35)^(Presion_cilindro!$B$17+1)),0))/((Presion_cilindro!O255+Presion_cilindro!O256)/2)</f>
        <v>3.169251183000958</v>
      </c>
      <c r="L264" s="27">
        <f>L263*(Presion_cilindro!O255/Presion_cilindro!O256)^Presion_cilindro!$B$9+10*(Presion_cilindro!$B$9-1)*Presion_cilindro!$B$33*(IF(Presion_cilindro!N256&gt;(-L$4+Presion_cilindro!$B$34),1-EXP(-Presion_cilindro!$B$16*((Presion_cilindro!N256-(-L$4+Presion_cilindro!$B$34))/Presion_cilindro!$B$35)^(Presion_cilindro!$B$17+1)),0)-IF(Presion_cilindro!N255&gt;(-L$4+Presion_cilindro!$B$34),1-EXP(-Presion_cilindro!$B$16*((Presion_cilindro!N255-(-L$4+Presion_cilindro!$B$34))/Presion_cilindro!$B$35)^(Presion_cilindro!$B$17+1)),0))/((Presion_cilindro!O255+Presion_cilindro!O256)/2)</f>
        <v>3.169251183000958</v>
      </c>
      <c r="M264" s="27">
        <f>M263*(Presion_cilindro!O255/Presion_cilindro!O256)^Presion_cilindro!$B$9+10*(Presion_cilindro!$B$9-1)*Presion_cilindro!$B$33*(IF(Presion_cilindro!N256&gt;(-M$4+Presion_cilindro!$B$34),1-EXP(-Presion_cilindro!$B$16*((Presion_cilindro!N256-(-M$4+Presion_cilindro!$B$34))/Presion_cilindro!$B$35)^(Presion_cilindro!$B$17+1)),0)-IF(Presion_cilindro!N255&gt;(-M$4+Presion_cilindro!$B$34),1-EXP(-Presion_cilindro!$B$16*((Presion_cilindro!N255-(-M$4+Presion_cilindro!$B$34))/Presion_cilindro!$B$35)^(Presion_cilindro!$B$17+1)),0))/((Presion_cilindro!O255+Presion_cilindro!O256)/2)</f>
        <v>3.169251183000958</v>
      </c>
      <c r="N264" s="27">
        <f>N263*(Presion_cilindro!O255/Presion_cilindro!O256)^Presion_cilindro!$B$9+10*(Presion_cilindro!$B$9-1)*Presion_cilindro!$B$33*(IF(Presion_cilindro!N256&gt;(-N$4+Presion_cilindro!$B$34),1-EXP(-Presion_cilindro!$B$16*((Presion_cilindro!N256-(-N$4+Presion_cilindro!$B$34))/Presion_cilindro!$B$35)^(Presion_cilindro!$B$17+1)),0)-IF(Presion_cilindro!N255&gt;(-N$4+Presion_cilindro!$B$34),1-EXP(-Presion_cilindro!$B$16*((Presion_cilindro!N255-(-N$4+Presion_cilindro!$B$34))/Presion_cilindro!$B$35)^(Presion_cilindro!$B$17+1)),0))/((Presion_cilindro!O255+Presion_cilindro!O256)/2)</f>
        <v>3.169251183000958</v>
      </c>
    </row>
    <row r="265" spans="1:14" x14ac:dyDescent="0.25">
      <c r="A265" s="21">
        <f>Presion_cilindro!N257</f>
        <v>-53.5</v>
      </c>
      <c r="B265" s="27">
        <f>B264*(Presion_cilindro!O256/Presion_cilindro!O257)^Presion_cilindro!$B$9+10*(Presion_cilindro!$B$9-1)*Presion_cilindro!$B$33*(IF(Presion_cilindro!N257&gt;(-B$4+Presion_cilindro!$B$34),1-EXP(-Presion_cilindro!$B$16*((Presion_cilindro!N257-(-B$4+Presion_cilindro!$B$34))/Presion_cilindro!$B$35)^(Presion_cilindro!$B$17+1)),0)-IF(Presion_cilindro!N256&gt;(-B$4+Presion_cilindro!$B$34),1-EXP(-Presion_cilindro!$B$16*((Presion_cilindro!N256-(-B$4+Presion_cilindro!$B$34))/Presion_cilindro!$B$35)^(Presion_cilindro!$B$17+1)),0))/((Presion_cilindro!O256+Presion_cilindro!O257)/2)</f>
        <v>3.2176305490001269</v>
      </c>
      <c r="C265" s="27">
        <f>C264*(Presion_cilindro!O256/Presion_cilindro!O257)^Presion_cilindro!$B$9+10*(Presion_cilindro!$B$9-1)*Presion_cilindro!$B$33*(IF(Presion_cilindro!N257&gt;(-C$4+Presion_cilindro!$B$34),1-EXP(-Presion_cilindro!$B$16*((Presion_cilindro!N257-(-C$4+Presion_cilindro!$B$34))/Presion_cilindro!$B$35)^(Presion_cilindro!$B$17+1)),0)-IF(Presion_cilindro!N256&gt;(-C$4+Presion_cilindro!$B$34),1-EXP(-Presion_cilindro!$B$16*((Presion_cilindro!N256-(-C$4+Presion_cilindro!$B$34))/Presion_cilindro!$B$35)^(Presion_cilindro!$B$17+1)),0))/((Presion_cilindro!O256+Presion_cilindro!O257)/2)</f>
        <v>3.2176305490001269</v>
      </c>
      <c r="D265" s="27">
        <f>D264*(Presion_cilindro!O256/Presion_cilindro!O257)^Presion_cilindro!$B$9+10*(Presion_cilindro!$B$9-1)*Presion_cilindro!$B$33*(IF(Presion_cilindro!N257&gt;(-D$4+Presion_cilindro!$B$34),1-EXP(-Presion_cilindro!$B$16*((Presion_cilindro!N257-(-D$4+Presion_cilindro!$B$34))/Presion_cilindro!$B$35)^(Presion_cilindro!$B$17+1)),0)-IF(Presion_cilindro!N256&gt;(-D$4+Presion_cilindro!$B$34),1-EXP(-Presion_cilindro!$B$16*((Presion_cilindro!N256-(-D$4+Presion_cilindro!$B$34))/Presion_cilindro!$B$35)^(Presion_cilindro!$B$17+1)),0))/((Presion_cilindro!O256+Presion_cilindro!O257)/2)</f>
        <v>3.2176305490001269</v>
      </c>
      <c r="E265" s="27">
        <f>E264*(Presion_cilindro!O256/Presion_cilindro!O257)^Presion_cilindro!$B$9+10*(Presion_cilindro!$B$9-1)*Presion_cilindro!$B$33*(IF(Presion_cilindro!N257&gt;(-E$4+Presion_cilindro!$B$34),1-EXP(-Presion_cilindro!$B$16*((Presion_cilindro!N257-(-E$4+Presion_cilindro!$B$34))/Presion_cilindro!$B$35)^(Presion_cilindro!$B$17+1)),0)-IF(Presion_cilindro!N256&gt;(-E$4+Presion_cilindro!$B$34),1-EXP(-Presion_cilindro!$B$16*((Presion_cilindro!N256-(-E$4+Presion_cilindro!$B$34))/Presion_cilindro!$B$35)^(Presion_cilindro!$B$17+1)),0))/((Presion_cilindro!O256+Presion_cilindro!O257)/2)</f>
        <v>3.2176305490001269</v>
      </c>
      <c r="F265" s="27">
        <f>F264*(Presion_cilindro!O256/Presion_cilindro!O257)^Presion_cilindro!$B$9+10*(Presion_cilindro!$B$9-1)*Presion_cilindro!$B$33*(IF(Presion_cilindro!N257&gt;(-F$4+Presion_cilindro!$B$34),1-EXP(-Presion_cilindro!$B$16*((Presion_cilindro!N257-(-F$4+Presion_cilindro!$B$34))/Presion_cilindro!$B$35)^(Presion_cilindro!$B$17+1)),0)-IF(Presion_cilindro!N256&gt;(-F$4+Presion_cilindro!$B$34),1-EXP(-Presion_cilindro!$B$16*((Presion_cilindro!N256-(-F$4+Presion_cilindro!$B$34))/Presion_cilindro!$B$35)^(Presion_cilindro!$B$17+1)),0))/((Presion_cilindro!O256+Presion_cilindro!O257)/2)</f>
        <v>3.2176305490001269</v>
      </c>
      <c r="G265" s="27">
        <f>G264*(Presion_cilindro!O256/Presion_cilindro!O257)^Presion_cilindro!$B$9+10*(Presion_cilindro!$B$9-1)*Presion_cilindro!$B$33*(IF(Presion_cilindro!N257&gt;(-G$4+Presion_cilindro!$B$34),1-EXP(-Presion_cilindro!$B$16*((Presion_cilindro!N257-(-G$4+Presion_cilindro!$B$34))/Presion_cilindro!$B$35)^(Presion_cilindro!$B$17+1)),0)-IF(Presion_cilindro!N256&gt;(-G$4+Presion_cilindro!$B$34),1-EXP(-Presion_cilindro!$B$16*((Presion_cilindro!N256-(-G$4+Presion_cilindro!$B$34))/Presion_cilindro!$B$35)^(Presion_cilindro!$B$17+1)),0))/((Presion_cilindro!O256+Presion_cilindro!O257)/2)</f>
        <v>3.2176305490001269</v>
      </c>
      <c r="H265" s="27">
        <f>H264*(Presion_cilindro!O256/Presion_cilindro!O257)^Presion_cilindro!$B$9+10*(Presion_cilindro!$B$9-1)*Presion_cilindro!$B$33*(IF(Presion_cilindro!N257&gt;(-H$4+Presion_cilindro!$B$34),1-EXP(-Presion_cilindro!$B$16*((Presion_cilindro!N257-(-H$4+Presion_cilindro!$B$34))/Presion_cilindro!$B$35)^(Presion_cilindro!$B$17+1)),0)-IF(Presion_cilindro!N256&gt;(-H$4+Presion_cilindro!$B$34),1-EXP(-Presion_cilindro!$B$16*((Presion_cilindro!N256-(-H$4+Presion_cilindro!$B$34))/Presion_cilindro!$B$35)^(Presion_cilindro!$B$17+1)),0))/((Presion_cilindro!O256+Presion_cilindro!O257)/2)</f>
        <v>3.2176305490001269</v>
      </c>
      <c r="I265" s="27">
        <f>I264*(Presion_cilindro!O256/Presion_cilindro!O257)^Presion_cilindro!$B$9+10*(Presion_cilindro!$B$9-1)*Presion_cilindro!$B$33*(IF(Presion_cilindro!N257&gt;(-I$4+Presion_cilindro!$B$34),1-EXP(-Presion_cilindro!$B$16*((Presion_cilindro!N257-(-I$4+Presion_cilindro!$B$34))/Presion_cilindro!$B$35)^(Presion_cilindro!$B$17+1)),0)-IF(Presion_cilindro!N256&gt;(-I$4+Presion_cilindro!$B$34),1-EXP(-Presion_cilindro!$B$16*((Presion_cilindro!N256-(-I$4+Presion_cilindro!$B$34))/Presion_cilindro!$B$35)^(Presion_cilindro!$B$17+1)),0))/((Presion_cilindro!O256+Presion_cilindro!O257)/2)</f>
        <v>3.2176305490001269</v>
      </c>
      <c r="J265" s="27">
        <f>J264*(Presion_cilindro!O256/Presion_cilindro!O257)^Presion_cilindro!$B$9+10*(Presion_cilindro!$B$9-1)*Presion_cilindro!$B$33*(IF(Presion_cilindro!N257&gt;(-J$4+Presion_cilindro!$B$34),1-EXP(-Presion_cilindro!$B$16*((Presion_cilindro!N257-(-J$4+Presion_cilindro!$B$34))/Presion_cilindro!$B$35)^(Presion_cilindro!$B$17+1)),0)-IF(Presion_cilindro!N256&gt;(-J$4+Presion_cilindro!$B$34),1-EXP(-Presion_cilindro!$B$16*((Presion_cilindro!N256-(-J$4+Presion_cilindro!$B$34))/Presion_cilindro!$B$35)^(Presion_cilindro!$B$17+1)),0))/((Presion_cilindro!O256+Presion_cilindro!O257)/2)</f>
        <v>3.2176305490001269</v>
      </c>
      <c r="K265" s="27">
        <f>K264*(Presion_cilindro!O256/Presion_cilindro!O257)^Presion_cilindro!$B$9+10*(Presion_cilindro!$B$9-1)*Presion_cilindro!$B$33*(IF(Presion_cilindro!N257&gt;(-K$4+Presion_cilindro!$B$34),1-EXP(-Presion_cilindro!$B$16*((Presion_cilindro!N257-(-K$4+Presion_cilindro!$B$34))/Presion_cilindro!$B$35)^(Presion_cilindro!$B$17+1)),0)-IF(Presion_cilindro!N256&gt;(-K$4+Presion_cilindro!$B$34),1-EXP(-Presion_cilindro!$B$16*((Presion_cilindro!N256-(-K$4+Presion_cilindro!$B$34))/Presion_cilindro!$B$35)^(Presion_cilindro!$B$17+1)),0))/((Presion_cilindro!O256+Presion_cilindro!O257)/2)</f>
        <v>3.2176305490001269</v>
      </c>
      <c r="L265" s="27">
        <f>L264*(Presion_cilindro!O256/Presion_cilindro!O257)^Presion_cilindro!$B$9+10*(Presion_cilindro!$B$9-1)*Presion_cilindro!$B$33*(IF(Presion_cilindro!N257&gt;(-L$4+Presion_cilindro!$B$34),1-EXP(-Presion_cilindro!$B$16*((Presion_cilindro!N257-(-L$4+Presion_cilindro!$B$34))/Presion_cilindro!$B$35)^(Presion_cilindro!$B$17+1)),0)-IF(Presion_cilindro!N256&gt;(-L$4+Presion_cilindro!$B$34),1-EXP(-Presion_cilindro!$B$16*((Presion_cilindro!N256-(-L$4+Presion_cilindro!$B$34))/Presion_cilindro!$B$35)^(Presion_cilindro!$B$17+1)),0))/((Presion_cilindro!O256+Presion_cilindro!O257)/2)</f>
        <v>3.2176305490001269</v>
      </c>
      <c r="M265" s="27">
        <f>M264*(Presion_cilindro!O256/Presion_cilindro!O257)^Presion_cilindro!$B$9+10*(Presion_cilindro!$B$9-1)*Presion_cilindro!$B$33*(IF(Presion_cilindro!N257&gt;(-M$4+Presion_cilindro!$B$34),1-EXP(-Presion_cilindro!$B$16*((Presion_cilindro!N257-(-M$4+Presion_cilindro!$B$34))/Presion_cilindro!$B$35)^(Presion_cilindro!$B$17+1)),0)-IF(Presion_cilindro!N256&gt;(-M$4+Presion_cilindro!$B$34),1-EXP(-Presion_cilindro!$B$16*((Presion_cilindro!N256-(-M$4+Presion_cilindro!$B$34))/Presion_cilindro!$B$35)^(Presion_cilindro!$B$17+1)),0))/((Presion_cilindro!O256+Presion_cilindro!O257)/2)</f>
        <v>3.2176305490001269</v>
      </c>
      <c r="N265" s="27">
        <f>N264*(Presion_cilindro!O256/Presion_cilindro!O257)^Presion_cilindro!$B$9+10*(Presion_cilindro!$B$9-1)*Presion_cilindro!$B$33*(IF(Presion_cilindro!N257&gt;(-N$4+Presion_cilindro!$B$34),1-EXP(-Presion_cilindro!$B$16*((Presion_cilindro!N257-(-N$4+Presion_cilindro!$B$34))/Presion_cilindro!$B$35)^(Presion_cilindro!$B$17+1)),0)-IF(Presion_cilindro!N256&gt;(-N$4+Presion_cilindro!$B$34),1-EXP(-Presion_cilindro!$B$16*((Presion_cilindro!N256-(-N$4+Presion_cilindro!$B$34))/Presion_cilindro!$B$35)^(Presion_cilindro!$B$17+1)),0))/((Presion_cilindro!O256+Presion_cilindro!O257)/2)</f>
        <v>3.2176305490001269</v>
      </c>
    </row>
    <row r="266" spans="1:14" x14ac:dyDescent="0.25">
      <c r="A266" s="21">
        <f>Presion_cilindro!N258</f>
        <v>-53</v>
      </c>
      <c r="B266" s="27">
        <f>B265*(Presion_cilindro!O257/Presion_cilindro!O258)^Presion_cilindro!$B$9+10*(Presion_cilindro!$B$9-1)*Presion_cilindro!$B$33*(IF(Presion_cilindro!N258&gt;(-B$4+Presion_cilindro!$B$34),1-EXP(-Presion_cilindro!$B$16*((Presion_cilindro!N258-(-B$4+Presion_cilindro!$B$34))/Presion_cilindro!$B$35)^(Presion_cilindro!$B$17+1)),0)-IF(Presion_cilindro!N257&gt;(-B$4+Presion_cilindro!$B$34),1-EXP(-Presion_cilindro!$B$16*((Presion_cilindro!N257-(-B$4+Presion_cilindro!$B$34))/Presion_cilindro!$B$35)^(Presion_cilindro!$B$17+1)),0))/((Presion_cilindro!O257+Presion_cilindro!O258)/2)</f>
        <v>3.267079722951264</v>
      </c>
      <c r="C266" s="27">
        <f>C265*(Presion_cilindro!O257/Presion_cilindro!O258)^Presion_cilindro!$B$9+10*(Presion_cilindro!$B$9-1)*Presion_cilindro!$B$33*(IF(Presion_cilindro!N258&gt;(-C$4+Presion_cilindro!$B$34),1-EXP(-Presion_cilindro!$B$16*((Presion_cilindro!N258-(-C$4+Presion_cilindro!$B$34))/Presion_cilindro!$B$35)^(Presion_cilindro!$B$17+1)),0)-IF(Presion_cilindro!N257&gt;(-C$4+Presion_cilindro!$B$34),1-EXP(-Presion_cilindro!$B$16*((Presion_cilindro!N257-(-C$4+Presion_cilindro!$B$34))/Presion_cilindro!$B$35)^(Presion_cilindro!$B$17+1)),0))/((Presion_cilindro!O257+Presion_cilindro!O258)/2)</f>
        <v>3.267079722951264</v>
      </c>
      <c r="D266" s="27">
        <f>D265*(Presion_cilindro!O257/Presion_cilindro!O258)^Presion_cilindro!$B$9+10*(Presion_cilindro!$B$9-1)*Presion_cilindro!$B$33*(IF(Presion_cilindro!N258&gt;(-D$4+Presion_cilindro!$B$34),1-EXP(-Presion_cilindro!$B$16*((Presion_cilindro!N258-(-D$4+Presion_cilindro!$B$34))/Presion_cilindro!$B$35)^(Presion_cilindro!$B$17+1)),0)-IF(Presion_cilindro!N257&gt;(-D$4+Presion_cilindro!$B$34),1-EXP(-Presion_cilindro!$B$16*((Presion_cilindro!N257-(-D$4+Presion_cilindro!$B$34))/Presion_cilindro!$B$35)^(Presion_cilindro!$B$17+1)),0))/((Presion_cilindro!O257+Presion_cilindro!O258)/2)</f>
        <v>3.267079722951264</v>
      </c>
      <c r="E266" s="27">
        <f>E265*(Presion_cilindro!O257/Presion_cilindro!O258)^Presion_cilindro!$B$9+10*(Presion_cilindro!$B$9-1)*Presion_cilindro!$B$33*(IF(Presion_cilindro!N258&gt;(-E$4+Presion_cilindro!$B$34),1-EXP(-Presion_cilindro!$B$16*((Presion_cilindro!N258-(-E$4+Presion_cilindro!$B$34))/Presion_cilindro!$B$35)^(Presion_cilindro!$B$17+1)),0)-IF(Presion_cilindro!N257&gt;(-E$4+Presion_cilindro!$B$34),1-EXP(-Presion_cilindro!$B$16*((Presion_cilindro!N257-(-E$4+Presion_cilindro!$B$34))/Presion_cilindro!$B$35)^(Presion_cilindro!$B$17+1)),0))/((Presion_cilindro!O257+Presion_cilindro!O258)/2)</f>
        <v>3.267079722951264</v>
      </c>
      <c r="F266" s="27">
        <f>F265*(Presion_cilindro!O257/Presion_cilindro!O258)^Presion_cilindro!$B$9+10*(Presion_cilindro!$B$9-1)*Presion_cilindro!$B$33*(IF(Presion_cilindro!N258&gt;(-F$4+Presion_cilindro!$B$34),1-EXP(-Presion_cilindro!$B$16*((Presion_cilindro!N258-(-F$4+Presion_cilindro!$B$34))/Presion_cilindro!$B$35)^(Presion_cilindro!$B$17+1)),0)-IF(Presion_cilindro!N257&gt;(-F$4+Presion_cilindro!$B$34),1-EXP(-Presion_cilindro!$B$16*((Presion_cilindro!N257-(-F$4+Presion_cilindro!$B$34))/Presion_cilindro!$B$35)^(Presion_cilindro!$B$17+1)),0))/((Presion_cilindro!O257+Presion_cilindro!O258)/2)</f>
        <v>3.267079722951264</v>
      </c>
      <c r="G266" s="27">
        <f>G265*(Presion_cilindro!O257/Presion_cilindro!O258)^Presion_cilindro!$B$9+10*(Presion_cilindro!$B$9-1)*Presion_cilindro!$B$33*(IF(Presion_cilindro!N258&gt;(-G$4+Presion_cilindro!$B$34),1-EXP(-Presion_cilindro!$B$16*((Presion_cilindro!N258-(-G$4+Presion_cilindro!$B$34))/Presion_cilindro!$B$35)^(Presion_cilindro!$B$17+1)),0)-IF(Presion_cilindro!N257&gt;(-G$4+Presion_cilindro!$B$34),1-EXP(-Presion_cilindro!$B$16*((Presion_cilindro!N257-(-G$4+Presion_cilindro!$B$34))/Presion_cilindro!$B$35)^(Presion_cilindro!$B$17+1)),0))/((Presion_cilindro!O257+Presion_cilindro!O258)/2)</f>
        <v>3.267079722951264</v>
      </c>
      <c r="H266" s="27">
        <f>H265*(Presion_cilindro!O257/Presion_cilindro!O258)^Presion_cilindro!$B$9+10*(Presion_cilindro!$B$9-1)*Presion_cilindro!$B$33*(IF(Presion_cilindro!N258&gt;(-H$4+Presion_cilindro!$B$34),1-EXP(-Presion_cilindro!$B$16*((Presion_cilindro!N258-(-H$4+Presion_cilindro!$B$34))/Presion_cilindro!$B$35)^(Presion_cilindro!$B$17+1)),0)-IF(Presion_cilindro!N257&gt;(-H$4+Presion_cilindro!$B$34),1-EXP(-Presion_cilindro!$B$16*((Presion_cilindro!N257-(-H$4+Presion_cilindro!$B$34))/Presion_cilindro!$B$35)^(Presion_cilindro!$B$17+1)),0))/((Presion_cilindro!O257+Presion_cilindro!O258)/2)</f>
        <v>3.267079722951264</v>
      </c>
      <c r="I266" s="27">
        <f>I265*(Presion_cilindro!O257/Presion_cilindro!O258)^Presion_cilindro!$B$9+10*(Presion_cilindro!$B$9-1)*Presion_cilindro!$B$33*(IF(Presion_cilindro!N258&gt;(-I$4+Presion_cilindro!$B$34),1-EXP(-Presion_cilindro!$B$16*((Presion_cilindro!N258-(-I$4+Presion_cilindro!$B$34))/Presion_cilindro!$B$35)^(Presion_cilindro!$B$17+1)),0)-IF(Presion_cilindro!N257&gt;(-I$4+Presion_cilindro!$B$34),1-EXP(-Presion_cilindro!$B$16*((Presion_cilindro!N257-(-I$4+Presion_cilindro!$B$34))/Presion_cilindro!$B$35)^(Presion_cilindro!$B$17+1)),0))/((Presion_cilindro!O257+Presion_cilindro!O258)/2)</f>
        <v>3.267079722951264</v>
      </c>
      <c r="J266" s="27">
        <f>J265*(Presion_cilindro!O257/Presion_cilindro!O258)^Presion_cilindro!$B$9+10*(Presion_cilindro!$B$9-1)*Presion_cilindro!$B$33*(IF(Presion_cilindro!N258&gt;(-J$4+Presion_cilindro!$B$34),1-EXP(-Presion_cilindro!$B$16*((Presion_cilindro!N258-(-J$4+Presion_cilindro!$B$34))/Presion_cilindro!$B$35)^(Presion_cilindro!$B$17+1)),0)-IF(Presion_cilindro!N257&gt;(-J$4+Presion_cilindro!$B$34),1-EXP(-Presion_cilindro!$B$16*((Presion_cilindro!N257-(-J$4+Presion_cilindro!$B$34))/Presion_cilindro!$B$35)^(Presion_cilindro!$B$17+1)),0))/((Presion_cilindro!O257+Presion_cilindro!O258)/2)</f>
        <v>3.267079722951264</v>
      </c>
      <c r="K266" s="27">
        <f>K265*(Presion_cilindro!O257/Presion_cilindro!O258)^Presion_cilindro!$B$9+10*(Presion_cilindro!$B$9-1)*Presion_cilindro!$B$33*(IF(Presion_cilindro!N258&gt;(-K$4+Presion_cilindro!$B$34),1-EXP(-Presion_cilindro!$B$16*((Presion_cilindro!N258-(-K$4+Presion_cilindro!$B$34))/Presion_cilindro!$B$35)^(Presion_cilindro!$B$17+1)),0)-IF(Presion_cilindro!N257&gt;(-K$4+Presion_cilindro!$B$34),1-EXP(-Presion_cilindro!$B$16*((Presion_cilindro!N257-(-K$4+Presion_cilindro!$B$34))/Presion_cilindro!$B$35)^(Presion_cilindro!$B$17+1)),0))/((Presion_cilindro!O257+Presion_cilindro!O258)/2)</f>
        <v>3.267079722951264</v>
      </c>
      <c r="L266" s="27">
        <f>L265*(Presion_cilindro!O257/Presion_cilindro!O258)^Presion_cilindro!$B$9+10*(Presion_cilindro!$B$9-1)*Presion_cilindro!$B$33*(IF(Presion_cilindro!N258&gt;(-L$4+Presion_cilindro!$B$34),1-EXP(-Presion_cilindro!$B$16*((Presion_cilindro!N258-(-L$4+Presion_cilindro!$B$34))/Presion_cilindro!$B$35)^(Presion_cilindro!$B$17+1)),0)-IF(Presion_cilindro!N257&gt;(-L$4+Presion_cilindro!$B$34),1-EXP(-Presion_cilindro!$B$16*((Presion_cilindro!N257-(-L$4+Presion_cilindro!$B$34))/Presion_cilindro!$B$35)^(Presion_cilindro!$B$17+1)),0))/((Presion_cilindro!O257+Presion_cilindro!O258)/2)</f>
        <v>3.267079722951264</v>
      </c>
      <c r="M266" s="27">
        <f>M265*(Presion_cilindro!O257/Presion_cilindro!O258)^Presion_cilindro!$B$9+10*(Presion_cilindro!$B$9-1)*Presion_cilindro!$B$33*(IF(Presion_cilindro!N258&gt;(-M$4+Presion_cilindro!$B$34),1-EXP(-Presion_cilindro!$B$16*((Presion_cilindro!N258-(-M$4+Presion_cilindro!$B$34))/Presion_cilindro!$B$35)^(Presion_cilindro!$B$17+1)),0)-IF(Presion_cilindro!N257&gt;(-M$4+Presion_cilindro!$B$34),1-EXP(-Presion_cilindro!$B$16*((Presion_cilindro!N257-(-M$4+Presion_cilindro!$B$34))/Presion_cilindro!$B$35)^(Presion_cilindro!$B$17+1)),0))/((Presion_cilindro!O257+Presion_cilindro!O258)/2)</f>
        <v>3.267079722951264</v>
      </c>
      <c r="N266" s="27">
        <f>N265*(Presion_cilindro!O257/Presion_cilindro!O258)^Presion_cilindro!$B$9+10*(Presion_cilindro!$B$9-1)*Presion_cilindro!$B$33*(IF(Presion_cilindro!N258&gt;(-N$4+Presion_cilindro!$B$34),1-EXP(-Presion_cilindro!$B$16*((Presion_cilindro!N258-(-N$4+Presion_cilindro!$B$34))/Presion_cilindro!$B$35)^(Presion_cilindro!$B$17+1)),0)-IF(Presion_cilindro!N257&gt;(-N$4+Presion_cilindro!$B$34),1-EXP(-Presion_cilindro!$B$16*((Presion_cilindro!N257-(-N$4+Presion_cilindro!$B$34))/Presion_cilindro!$B$35)^(Presion_cilindro!$B$17+1)),0))/((Presion_cilindro!O257+Presion_cilindro!O258)/2)</f>
        <v>3.267079722951264</v>
      </c>
    </row>
    <row r="267" spans="1:14" x14ac:dyDescent="0.25">
      <c r="A267" s="21">
        <f>Presion_cilindro!N259</f>
        <v>-52.5</v>
      </c>
      <c r="B267" s="27">
        <f>B266*(Presion_cilindro!O258/Presion_cilindro!O259)^Presion_cilindro!$B$9+10*(Presion_cilindro!$B$9-1)*Presion_cilindro!$B$33*(IF(Presion_cilindro!N259&gt;(-B$4+Presion_cilindro!$B$34),1-EXP(-Presion_cilindro!$B$16*((Presion_cilindro!N259-(-B$4+Presion_cilindro!$B$34))/Presion_cilindro!$B$35)^(Presion_cilindro!$B$17+1)),0)-IF(Presion_cilindro!N258&gt;(-B$4+Presion_cilindro!$B$34),1-EXP(-Presion_cilindro!$B$16*((Presion_cilindro!N258-(-B$4+Presion_cilindro!$B$34))/Presion_cilindro!$B$35)^(Presion_cilindro!$B$17+1)),0))/((Presion_cilindro!O258+Presion_cilindro!O259)/2)</f>
        <v>3.3176245410737781</v>
      </c>
      <c r="C267" s="27">
        <f>C266*(Presion_cilindro!O258/Presion_cilindro!O259)^Presion_cilindro!$B$9+10*(Presion_cilindro!$B$9-1)*Presion_cilindro!$B$33*(IF(Presion_cilindro!N259&gt;(-C$4+Presion_cilindro!$B$34),1-EXP(-Presion_cilindro!$B$16*((Presion_cilindro!N259-(-C$4+Presion_cilindro!$B$34))/Presion_cilindro!$B$35)^(Presion_cilindro!$B$17+1)),0)-IF(Presion_cilindro!N258&gt;(-C$4+Presion_cilindro!$B$34),1-EXP(-Presion_cilindro!$B$16*((Presion_cilindro!N258-(-C$4+Presion_cilindro!$B$34))/Presion_cilindro!$B$35)^(Presion_cilindro!$B$17+1)),0))/((Presion_cilindro!O258+Presion_cilindro!O259)/2)</f>
        <v>3.3176245410737781</v>
      </c>
      <c r="D267" s="27">
        <f>D266*(Presion_cilindro!O258/Presion_cilindro!O259)^Presion_cilindro!$B$9+10*(Presion_cilindro!$B$9-1)*Presion_cilindro!$B$33*(IF(Presion_cilindro!N259&gt;(-D$4+Presion_cilindro!$B$34),1-EXP(-Presion_cilindro!$B$16*((Presion_cilindro!N259-(-D$4+Presion_cilindro!$B$34))/Presion_cilindro!$B$35)^(Presion_cilindro!$B$17+1)),0)-IF(Presion_cilindro!N258&gt;(-D$4+Presion_cilindro!$B$34),1-EXP(-Presion_cilindro!$B$16*((Presion_cilindro!N258-(-D$4+Presion_cilindro!$B$34))/Presion_cilindro!$B$35)^(Presion_cilindro!$B$17+1)),0))/((Presion_cilindro!O258+Presion_cilindro!O259)/2)</f>
        <v>3.3176245410737781</v>
      </c>
      <c r="E267" s="27">
        <f>E266*(Presion_cilindro!O258/Presion_cilindro!O259)^Presion_cilindro!$B$9+10*(Presion_cilindro!$B$9-1)*Presion_cilindro!$B$33*(IF(Presion_cilindro!N259&gt;(-E$4+Presion_cilindro!$B$34),1-EXP(-Presion_cilindro!$B$16*((Presion_cilindro!N259-(-E$4+Presion_cilindro!$B$34))/Presion_cilindro!$B$35)^(Presion_cilindro!$B$17+1)),0)-IF(Presion_cilindro!N258&gt;(-E$4+Presion_cilindro!$B$34),1-EXP(-Presion_cilindro!$B$16*((Presion_cilindro!N258-(-E$4+Presion_cilindro!$B$34))/Presion_cilindro!$B$35)^(Presion_cilindro!$B$17+1)),0))/((Presion_cilindro!O258+Presion_cilindro!O259)/2)</f>
        <v>3.3176245410737781</v>
      </c>
      <c r="F267" s="27">
        <f>F266*(Presion_cilindro!O258/Presion_cilindro!O259)^Presion_cilindro!$B$9+10*(Presion_cilindro!$B$9-1)*Presion_cilindro!$B$33*(IF(Presion_cilindro!N259&gt;(-F$4+Presion_cilindro!$B$34),1-EXP(-Presion_cilindro!$B$16*((Presion_cilindro!N259-(-F$4+Presion_cilindro!$B$34))/Presion_cilindro!$B$35)^(Presion_cilindro!$B$17+1)),0)-IF(Presion_cilindro!N258&gt;(-F$4+Presion_cilindro!$B$34),1-EXP(-Presion_cilindro!$B$16*((Presion_cilindro!N258-(-F$4+Presion_cilindro!$B$34))/Presion_cilindro!$B$35)^(Presion_cilindro!$B$17+1)),0))/((Presion_cilindro!O258+Presion_cilindro!O259)/2)</f>
        <v>3.3176245410737781</v>
      </c>
      <c r="G267" s="27">
        <f>G266*(Presion_cilindro!O258/Presion_cilindro!O259)^Presion_cilindro!$B$9+10*(Presion_cilindro!$B$9-1)*Presion_cilindro!$B$33*(IF(Presion_cilindro!N259&gt;(-G$4+Presion_cilindro!$B$34),1-EXP(-Presion_cilindro!$B$16*((Presion_cilindro!N259-(-G$4+Presion_cilindro!$B$34))/Presion_cilindro!$B$35)^(Presion_cilindro!$B$17+1)),0)-IF(Presion_cilindro!N258&gt;(-G$4+Presion_cilindro!$B$34),1-EXP(-Presion_cilindro!$B$16*((Presion_cilindro!N258-(-G$4+Presion_cilindro!$B$34))/Presion_cilindro!$B$35)^(Presion_cilindro!$B$17+1)),0))/((Presion_cilindro!O258+Presion_cilindro!O259)/2)</f>
        <v>3.3176245410737781</v>
      </c>
      <c r="H267" s="27">
        <f>H266*(Presion_cilindro!O258/Presion_cilindro!O259)^Presion_cilindro!$B$9+10*(Presion_cilindro!$B$9-1)*Presion_cilindro!$B$33*(IF(Presion_cilindro!N259&gt;(-H$4+Presion_cilindro!$B$34),1-EXP(-Presion_cilindro!$B$16*((Presion_cilindro!N259-(-H$4+Presion_cilindro!$B$34))/Presion_cilindro!$B$35)^(Presion_cilindro!$B$17+1)),0)-IF(Presion_cilindro!N258&gt;(-H$4+Presion_cilindro!$B$34),1-EXP(-Presion_cilindro!$B$16*((Presion_cilindro!N258-(-H$4+Presion_cilindro!$B$34))/Presion_cilindro!$B$35)^(Presion_cilindro!$B$17+1)),0))/((Presion_cilindro!O258+Presion_cilindro!O259)/2)</f>
        <v>3.3176245410737781</v>
      </c>
      <c r="I267" s="27">
        <f>I266*(Presion_cilindro!O258/Presion_cilindro!O259)^Presion_cilindro!$B$9+10*(Presion_cilindro!$B$9-1)*Presion_cilindro!$B$33*(IF(Presion_cilindro!N259&gt;(-I$4+Presion_cilindro!$B$34),1-EXP(-Presion_cilindro!$B$16*((Presion_cilindro!N259-(-I$4+Presion_cilindro!$B$34))/Presion_cilindro!$B$35)^(Presion_cilindro!$B$17+1)),0)-IF(Presion_cilindro!N258&gt;(-I$4+Presion_cilindro!$B$34),1-EXP(-Presion_cilindro!$B$16*((Presion_cilindro!N258-(-I$4+Presion_cilindro!$B$34))/Presion_cilindro!$B$35)^(Presion_cilindro!$B$17+1)),0))/((Presion_cilindro!O258+Presion_cilindro!O259)/2)</f>
        <v>3.3176245410737781</v>
      </c>
      <c r="J267" s="27">
        <f>J266*(Presion_cilindro!O258/Presion_cilindro!O259)^Presion_cilindro!$B$9+10*(Presion_cilindro!$B$9-1)*Presion_cilindro!$B$33*(IF(Presion_cilindro!N259&gt;(-J$4+Presion_cilindro!$B$34),1-EXP(-Presion_cilindro!$B$16*((Presion_cilindro!N259-(-J$4+Presion_cilindro!$B$34))/Presion_cilindro!$B$35)^(Presion_cilindro!$B$17+1)),0)-IF(Presion_cilindro!N258&gt;(-J$4+Presion_cilindro!$B$34),1-EXP(-Presion_cilindro!$B$16*((Presion_cilindro!N258-(-J$4+Presion_cilindro!$B$34))/Presion_cilindro!$B$35)^(Presion_cilindro!$B$17+1)),0))/((Presion_cilindro!O258+Presion_cilindro!O259)/2)</f>
        <v>3.3176245410737781</v>
      </c>
      <c r="K267" s="27">
        <f>K266*(Presion_cilindro!O258/Presion_cilindro!O259)^Presion_cilindro!$B$9+10*(Presion_cilindro!$B$9-1)*Presion_cilindro!$B$33*(IF(Presion_cilindro!N259&gt;(-K$4+Presion_cilindro!$B$34),1-EXP(-Presion_cilindro!$B$16*((Presion_cilindro!N259-(-K$4+Presion_cilindro!$B$34))/Presion_cilindro!$B$35)^(Presion_cilindro!$B$17+1)),0)-IF(Presion_cilindro!N258&gt;(-K$4+Presion_cilindro!$B$34),1-EXP(-Presion_cilindro!$B$16*((Presion_cilindro!N258-(-K$4+Presion_cilindro!$B$34))/Presion_cilindro!$B$35)^(Presion_cilindro!$B$17+1)),0))/((Presion_cilindro!O258+Presion_cilindro!O259)/2)</f>
        <v>3.3176245410737781</v>
      </c>
      <c r="L267" s="27">
        <f>L266*(Presion_cilindro!O258/Presion_cilindro!O259)^Presion_cilindro!$B$9+10*(Presion_cilindro!$B$9-1)*Presion_cilindro!$B$33*(IF(Presion_cilindro!N259&gt;(-L$4+Presion_cilindro!$B$34),1-EXP(-Presion_cilindro!$B$16*((Presion_cilindro!N259-(-L$4+Presion_cilindro!$B$34))/Presion_cilindro!$B$35)^(Presion_cilindro!$B$17+1)),0)-IF(Presion_cilindro!N258&gt;(-L$4+Presion_cilindro!$B$34),1-EXP(-Presion_cilindro!$B$16*((Presion_cilindro!N258-(-L$4+Presion_cilindro!$B$34))/Presion_cilindro!$B$35)^(Presion_cilindro!$B$17+1)),0))/((Presion_cilindro!O258+Presion_cilindro!O259)/2)</f>
        <v>3.3176245410737781</v>
      </c>
      <c r="M267" s="27">
        <f>M266*(Presion_cilindro!O258/Presion_cilindro!O259)^Presion_cilindro!$B$9+10*(Presion_cilindro!$B$9-1)*Presion_cilindro!$B$33*(IF(Presion_cilindro!N259&gt;(-M$4+Presion_cilindro!$B$34),1-EXP(-Presion_cilindro!$B$16*((Presion_cilindro!N259-(-M$4+Presion_cilindro!$B$34))/Presion_cilindro!$B$35)^(Presion_cilindro!$B$17+1)),0)-IF(Presion_cilindro!N258&gt;(-M$4+Presion_cilindro!$B$34),1-EXP(-Presion_cilindro!$B$16*((Presion_cilindro!N258-(-M$4+Presion_cilindro!$B$34))/Presion_cilindro!$B$35)^(Presion_cilindro!$B$17+1)),0))/((Presion_cilindro!O258+Presion_cilindro!O259)/2)</f>
        <v>3.3176245410737781</v>
      </c>
      <c r="N267" s="27">
        <f>N266*(Presion_cilindro!O258/Presion_cilindro!O259)^Presion_cilindro!$B$9+10*(Presion_cilindro!$B$9-1)*Presion_cilindro!$B$33*(IF(Presion_cilindro!N259&gt;(-N$4+Presion_cilindro!$B$34),1-EXP(-Presion_cilindro!$B$16*((Presion_cilindro!N259-(-N$4+Presion_cilindro!$B$34))/Presion_cilindro!$B$35)^(Presion_cilindro!$B$17+1)),0)-IF(Presion_cilindro!N258&gt;(-N$4+Presion_cilindro!$B$34),1-EXP(-Presion_cilindro!$B$16*((Presion_cilindro!N258-(-N$4+Presion_cilindro!$B$34))/Presion_cilindro!$B$35)^(Presion_cilindro!$B$17+1)),0))/((Presion_cilindro!O258+Presion_cilindro!O259)/2)</f>
        <v>3.3176356138599488</v>
      </c>
    </row>
    <row r="268" spans="1:14" x14ac:dyDescent="0.25">
      <c r="A268" s="21">
        <f>Presion_cilindro!N260</f>
        <v>-52</v>
      </c>
      <c r="B268" s="27">
        <f>B267*(Presion_cilindro!O259/Presion_cilindro!O260)^Presion_cilindro!$B$9+10*(Presion_cilindro!$B$9-1)*Presion_cilindro!$B$33*(IF(Presion_cilindro!N260&gt;(-B$4+Presion_cilindro!$B$34),1-EXP(-Presion_cilindro!$B$16*((Presion_cilindro!N260-(-B$4+Presion_cilindro!$B$34))/Presion_cilindro!$B$35)^(Presion_cilindro!$B$17+1)),0)-IF(Presion_cilindro!N259&gt;(-B$4+Presion_cilindro!$B$34),1-EXP(-Presion_cilindro!$B$16*((Presion_cilindro!N259-(-B$4+Presion_cilindro!$B$34))/Presion_cilindro!$B$35)^(Presion_cilindro!$B$17+1)),0))/((Presion_cilindro!O259+Presion_cilindro!O260)/2)</f>
        <v>3.3692914033609842</v>
      </c>
      <c r="C268" s="27">
        <f>C267*(Presion_cilindro!O259/Presion_cilindro!O260)^Presion_cilindro!$B$9+10*(Presion_cilindro!$B$9-1)*Presion_cilindro!$B$33*(IF(Presion_cilindro!N260&gt;(-C$4+Presion_cilindro!$B$34),1-EXP(-Presion_cilindro!$B$16*((Presion_cilindro!N260-(-C$4+Presion_cilindro!$B$34))/Presion_cilindro!$B$35)^(Presion_cilindro!$B$17+1)),0)-IF(Presion_cilindro!N259&gt;(-C$4+Presion_cilindro!$B$34),1-EXP(-Presion_cilindro!$B$16*((Presion_cilindro!N259-(-C$4+Presion_cilindro!$B$34))/Presion_cilindro!$B$35)^(Presion_cilindro!$B$17+1)),0))/((Presion_cilindro!O259+Presion_cilindro!O260)/2)</f>
        <v>3.3692914033609842</v>
      </c>
      <c r="D268" s="27">
        <f>D267*(Presion_cilindro!O259/Presion_cilindro!O260)^Presion_cilindro!$B$9+10*(Presion_cilindro!$B$9-1)*Presion_cilindro!$B$33*(IF(Presion_cilindro!N260&gt;(-D$4+Presion_cilindro!$B$34),1-EXP(-Presion_cilindro!$B$16*((Presion_cilindro!N260-(-D$4+Presion_cilindro!$B$34))/Presion_cilindro!$B$35)^(Presion_cilindro!$B$17+1)),0)-IF(Presion_cilindro!N259&gt;(-D$4+Presion_cilindro!$B$34),1-EXP(-Presion_cilindro!$B$16*((Presion_cilindro!N259-(-D$4+Presion_cilindro!$B$34))/Presion_cilindro!$B$35)^(Presion_cilindro!$B$17+1)),0))/((Presion_cilindro!O259+Presion_cilindro!O260)/2)</f>
        <v>3.3692914033609842</v>
      </c>
      <c r="E268" s="27">
        <f>E267*(Presion_cilindro!O259/Presion_cilindro!O260)^Presion_cilindro!$B$9+10*(Presion_cilindro!$B$9-1)*Presion_cilindro!$B$33*(IF(Presion_cilindro!N260&gt;(-E$4+Presion_cilindro!$B$34),1-EXP(-Presion_cilindro!$B$16*((Presion_cilindro!N260-(-E$4+Presion_cilindro!$B$34))/Presion_cilindro!$B$35)^(Presion_cilindro!$B$17+1)),0)-IF(Presion_cilindro!N259&gt;(-E$4+Presion_cilindro!$B$34),1-EXP(-Presion_cilindro!$B$16*((Presion_cilindro!N259-(-E$4+Presion_cilindro!$B$34))/Presion_cilindro!$B$35)^(Presion_cilindro!$B$17+1)),0))/((Presion_cilindro!O259+Presion_cilindro!O260)/2)</f>
        <v>3.3692914033609842</v>
      </c>
      <c r="F268" s="27">
        <f>F267*(Presion_cilindro!O259/Presion_cilindro!O260)^Presion_cilindro!$B$9+10*(Presion_cilindro!$B$9-1)*Presion_cilindro!$B$33*(IF(Presion_cilindro!N260&gt;(-F$4+Presion_cilindro!$B$34),1-EXP(-Presion_cilindro!$B$16*((Presion_cilindro!N260-(-F$4+Presion_cilindro!$B$34))/Presion_cilindro!$B$35)^(Presion_cilindro!$B$17+1)),0)-IF(Presion_cilindro!N259&gt;(-F$4+Presion_cilindro!$B$34),1-EXP(-Presion_cilindro!$B$16*((Presion_cilindro!N259-(-F$4+Presion_cilindro!$B$34))/Presion_cilindro!$B$35)^(Presion_cilindro!$B$17+1)),0))/((Presion_cilindro!O259+Presion_cilindro!O260)/2)</f>
        <v>3.3692914033609842</v>
      </c>
      <c r="G268" s="27">
        <f>G267*(Presion_cilindro!O259/Presion_cilindro!O260)^Presion_cilindro!$B$9+10*(Presion_cilindro!$B$9-1)*Presion_cilindro!$B$33*(IF(Presion_cilindro!N260&gt;(-G$4+Presion_cilindro!$B$34),1-EXP(-Presion_cilindro!$B$16*((Presion_cilindro!N260-(-G$4+Presion_cilindro!$B$34))/Presion_cilindro!$B$35)^(Presion_cilindro!$B$17+1)),0)-IF(Presion_cilindro!N259&gt;(-G$4+Presion_cilindro!$B$34),1-EXP(-Presion_cilindro!$B$16*((Presion_cilindro!N259-(-G$4+Presion_cilindro!$B$34))/Presion_cilindro!$B$35)^(Presion_cilindro!$B$17+1)),0))/((Presion_cilindro!O259+Presion_cilindro!O260)/2)</f>
        <v>3.3692914033609842</v>
      </c>
      <c r="H268" s="27">
        <f>H267*(Presion_cilindro!O259/Presion_cilindro!O260)^Presion_cilindro!$B$9+10*(Presion_cilindro!$B$9-1)*Presion_cilindro!$B$33*(IF(Presion_cilindro!N260&gt;(-H$4+Presion_cilindro!$B$34),1-EXP(-Presion_cilindro!$B$16*((Presion_cilindro!N260-(-H$4+Presion_cilindro!$B$34))/Presion_cilindro!$B$35)^(Presion_cilindro!$B$17+1)),0)-IF(Presion_cilindro!N259&gt;(-H$4+Presion_cilindro!$B$34),1-EXP(-Presion_cilindro!$B$16*((Presion_cilindro!N259-(-H$4+Presion_cilindro!$B$34))/Presion_cilindro!$B$35)^(Presion_cilindro!$B$17+1)),0))/((Presion_cilindro!O259+Presion_cilindro!O260)/2)</f>
        <v>3.3692914033609842</v>
      </c>
      <c r="I268" s="27">
        <f>I267*(Presion_cilindro!O259/Presion_cilindro!O260)^Presion_cilindro!$B$9+10*(Presion_cilindro!$B$9-1)*Presion_cilindro!$B$33*(IF(Presion_cilindro!N260&gt;(-I$4+Presion_cilindro!$B$34),1-EXP(-Presion_cilindro!$B$16*((Presion_cilindro!N260-(-I$4+Presion_cilindro!$B$34))/Presion_cilindro!$B$35)^(Presion_cilindro!$B$17+1)),0)-IF(Presion_cilindro!N259&gt;(-I$4+Presion_cilindro!$B$34),1-EXP(-Presion_cilindro!$B$16*((Presion_cilindro!N259-(-I$4+Presion_cilindro!$B$34))/Presion_cilindro!$B$35)^(Presion_cilindro!$B$17+1)),0))/((Presion_cilindro!O259+Presion_cilindro!O260)/2)</f>
        <v>3.3692914033609842</v>
      </c>
      <c r="J268" s="27">
        <f>J267*(Presion_cilindro!O259/Presion_cilindro!O260)^Presion_cilindro!$B$9+10*(Presion_cilindro!$B$9-1)*Presion_cilindro!$B$33*(IF(Presion_cilindro!N260&gt;(-J$4+Presion_cilindro!$B$34),1-EXP(-Presion_cilindro!$B$16*((Presion_cilindro!N260-(-J$4+Presion_cilindro!$B$34))/Presion_cilindro!$B$35)^(Presion_cilindro!$B$17+1)),0)-IF(Presion_cilindro!N259&gt;(-J$4+Presion_cilindro!$B$34),1-EXP(-Presion_cilindro!$B$16*((Presion_cilindro!N259-(-J$4+Presion_cilindro!$B$34))/Presion_cilindro!$B$35)^(Presion_cilindro!$B$17+1)),0))/((Presion_cilindro!O259+Presion_cilindro!O260)/2)</f>
        <v>3.3692914033609842</v>
      </c>
      <c r="K268" s="27">
        <f>K267*(Presion_cilindro!O259/Presion_cilindro!O260)^Presion_cilindro!$B$9+10*(Presion_cilindro!$B$9-1)*Presion_cilindro!$B$33*(IF(Presion_cilindro!N260&gt;(-K$4+Presion_cilindro!$B$34),1-EXP(-Presion_cilindro!$B$16*((Presion_cilindro!N260-(-K$4+Presion_cilindro!$B$34))/Presion_cilindro!$B$35)^(Presion_cilindro!$B$17+1)),0)-IF(Presion_cilindro!N259&gt;(-K$4+Presion_cilindro!$B$34),1-EXP(-Presion_cilindro!$B$16*((Presion_cilindro!N259-(-K$4+Presion_cilindro!$B$34))/Presion_cilindro!$B$35)^(Presion_cilindro!$B$17+1)),0))/((Presion_cilindro!O259+Presion_cilindro!O260)/2)</f>
        <v>3.3692914033609842</v>
      </c>
      <c r="L268" s="27">
        <f>L267*(Presion_cilindro!O259/Presion_cilindro!O260)^Presion_cilindro!$B$9+10*(Presion_cilindro!$B$9-1)*Presion_cilindro!$B$33*(IF(Presion_cilindro!N260&gt;(-L$4+Presion_cilindro!$B$34),1-EXP(-Presion_cilindro!$B$16*((Presion_cilindro!N260-(-L$4+Presion_cilindro!$B$34))/Presion_cilindro!$B$35)^(Presion_cilindro!$B$17+1)),0)-IF(Presion_cilindro!N259&gt;(-L$4+Presion_cilindro!$B$34),1-EXP(-Presion_cilindro!$B$16*((Presion_cilindro!N259-(-L$4+Presion_cilindro!$B$34))/Presion_cilindro!$B$35)^(Presion_cilindro!$B$17+1)),0))/((Presion_cilindro!O259+Presion_cilindro!O260)/2)</f>
        <v>3.3692914033609842</v>
      </c>
      <c r="M268" s="27">
        <f>M267*(Presion_cilindro!O259/Presion_cilindro!O260)^Presion_cilindro!$B$9+10*(Presion_cilindro!$B$9-1)*Presion_cilindro!$B$33*(IF(Presion_cilindro!N260&gt;(-M$4+Presion_cilindro!$B$34),1-EXP(-Presion_cilindro!$B$16*((Presion_cilindro!N260-(-M$4+Presion_cilindro!$B$34))/Presion_cilindro!$B$35)^(Presion_cilindro!$B$17+1)),0)-IF(Presion_cilindro!N259&gt;(-M$4+Presion_cilindro!$B$34),1-EXP(-Presion_cilindro!$B$16*((Presion_cilindro!N259-(-M$4+Presion_cilindro!$B$34))/Presion_cilindro!$B$35)^(Presion_cilindro!$B$17+1)),0))/((Presion_cilindro!O259+Presion_cilindro!O260)/2)</f>
        <v>3.3692914033609842</v>
      </c>
      <c r="N268" s="27">
        <f>N267*(Presion_cilindro!O259/Presion_cilindro!O260)^Presion_cilindro!$B$9+10*(Presion_cilindro!$B$9-1)*Presion_cilindro!$B$33*(IF(Presion_cilindro!N260&gt;(-N$4+Presion_cilindro!$B$34),1-EXP(-Presion_cilindro!$B$16*((Presion_cilindro!N260-(-N$4+Presion_cilindro!$B$34))/Presion_cilindro!$B$35)^(Presion_cilindro!$B$17+1)),0)-IF(Presion_cilindro!N259&gt;(-N$4+Presion_cilindro!$B$34),1-EXP(-Presion_cilindro!$B$16*((Presion_cilindro!N259-(-N$4+Presion_cilindro!$B$34))/Presion_cilindro!$B$35)^(Presion_cilindro!$B$17+1)),0))/((Presion_cilindro!O259+Presion_cilindro!O260)/2)</f>
        <v>3.3695038633677918</v>
      </c>
    </row>
    <row r="269" spans="1:14" x14ac:dyDescent="0.25">
      <c r="A269" s="21">
        <f>Presion_cilindro!N261</f>
        <v>-51.5</v>
      </c>
      <c r="B269" s="27">
        <f>B268*(Presion_cilindro!O260/Presion_cilindro!O261)^Presion_cilindro!$B$9+10*(Presion_cilindro!$B$9-1)*Presion_cilindro!$B$33*(IF(Presion_cilindro!N261&gt;(-B$4+Presion_cilindro!$B$34),1-EXP(-Presion_cilindro!$B$16*((Presion_cilindro!N261-(-B$4+Presion_cilindro!$B$34))/Presion_cilindro!$B$35)^(Presion_cilindro!$B$17+1)),0)-IF(Presion_cilindro!N260&gt;(-B$4+Presion_cilindro!$B$34),1-EXP(-Presion_cilindro!$B$16*((Presion_cilindro!N260-(-B$4+Presion_cilindro!$B$34))/Presion_cilindro!$B$35)^(Presion_cilindro!$B$17+1)),0))/((Presion_cilindro!O260+Presion_cilindro!O261)/2)</f>
        <v>3.422107276169442</v>
      </c>
      <c r="C269" s="27">
        <f>C268*(Presion_cilindro!O260/Presion_cilindro!O261)^Presion_cilindro!$B$9+10*(Presion_cilindro!$B$9-1)*Presion_cilindro!$B$33*(IF(Presion_cilindro!N261&gt;(-C$4+Presion_cilindro!$B$34),1-EXP(-Presion_cilindro!$B$16*((Presion_cilindro!N261-(-C$4+Presion_cilindro!$B$34))/Presion_cilindro!$B$35)^(Presion_cilindro!$B$17+1)),0)-IF(Presion_cilindro!N260&gt;(-C$4+Presion_cilindro!$B$34),1-EXP(-Presion_cilindro!$B$16*((Presion_cilindro!N260-(-C$4+Presion_cilindro!$B$34))/Presion_cilindro!$B$35)^(Presion_cilindro!$B$17+1)),0))/((Presion_cilindro!O260+Presion_cilindro!O261)/2)</f>
        <v>3.422107276169442</v>
      </c>
      <c r="D269" s="27">
        <f>D268*(Presion_cilindro!O260/Presion_cilindro!O261)^Presion_cilindro!$B$9+10*(Presion_cilindro!$B$9-1)*Presion_cilindro!$B$33*(IF(Presion_cilindro!N261&gt;(-D$4+Presion_cilindro!$B$34),1-EXP(-Presion_cilindro!$B$16*((Presion_cilindro!N261-(-D$4+Presion_cilindro!$B$34))/Presion_cilindro!$B$35)^(Presion_cilindro!$B$17+1)),0)-IF(Presion_cilindro!N260&gt;(-D$4+Presion_cilindro!$B$34),1-EXP(-Presion_cilindro!$B$16*((Presion_cilindro!N260-(-D$4+Presion_cilindro!$B$34))/Presion_cilindro!$B$35)^(Presion_cilindro!$B$17+1)),0))/((Presion_cilindro!O260+Presion_cilindro!O261)/2)</f>
        <v>3.422107276169442</v>
      </c>
      <c r="E269" s="27">
        <f>E268*(Presion_cilindro!O260/Presion_cilindro!O261)^Presion_cilindro!$B$9+10*(Presion_cilindro!$B$9-1)*Presion_cilindro!$B$33*(IF(Presion_cilindro!N261&gt;(-E$4+Presion_cilindro!$B$34),1-EXP(-Presion_cilindro!$B$16*((Presion_cilindro!N261-(-E$4+Presion_cilindro!$B$34))/Presion_cilindro!$B$35)^(Presion_cilindro!$B$17+1)),0)-IF(Presion_cilindro!N260&gt;(-E$4+Presion_cilindro!$B$34),1-EXP(-Presion_cilindro!$B$16*((Presion_cilindro!N260-(-E$4+Presion_cilindro!$B$34))/Presion_cilindro!$B$35)^(Presion_cilindro!$B$17+1)),0))/((Presion_cilindro!O260+Presion_cilindro!O261)/2)</f>
        <v>3.422107276169442</v>
      </c>
      <c r="F269" s="27">
        <f>F268*(Presion_cilindro!O260/Presion_cilindro!O261)^Presion_cilindro!$B$9+10*(Presion_cilindro!$B$9-1)*Presion_cilindro!$B$33*(IF(Presion_cilindro!N261&gt;(-F$4+Presion_cilindro!$B$34),1-EXP(-Presion_cilindro!$B$16*((Presion_cilindro!N261-(-F$4+Presion_cilindro!$B$34))/Presion_cilindro!$B$35)^(Presion_cilindro!$B$17+1)),0)-IF(Presion_cilindro!N260&gt;(-F$4+Presion_cilindro!$B$34),1-EXP(-Presion_cilindro!$B$16*((Presion_cilindro!N260-(-F$4+Presion_cilindro!$B$34))/Presion_cilindro!$B$35)^(Presion_cilindro!$B$17+1)),0))/((Presion_cilindro!O260+Presion_cilindro!O261)/2)</f>
        <v>3.422107276169442</v>
      </c>
      <c r="G269" s="27">
        <f>G268*(Presion_cilindro!O260/Presion_cilindro!O261)^Presion_cilindro!$B$9+10*(Presion_cilindro!$B$9-1)*Presion_cilindro!$B$33*(IF(Presion_cilindro!N261&gt;(-G$4+Presion_cilindro!$B$34),1-EXP(-Presion_cilindro!$B$16*((Presion_cilindro!N261-(-G$4+Presion_cilindro!$B$34))/Presion_cilindro!$B$35)^(Presion_cilindro!$B$17+1)),0)-IF(Presion_cilindro!N260&gt;(-G$4+Presion_cilindro!$B$34),1-EXP(-Presion_cilindro!$B$16*((Presion_cilindro!N260-(-G$4+Presion_cilindro!$B$34))/Presion_cilindro!$B$35)^(Presion_cilindro!$B$17+1)),0))/((Presion_cilindro!O260+Presion_cilindro!O261)/2)</f>
        <v>3.422107276169442</v>
      </c>
      <c r="H269" s="27">
        <f>H268*(Presion_cilindro!O260/Presion_cilindro!O261)^Presion_cilindro!$B$9+10*(Presion_cilindro!$B$9-1)*Presion_cilindro!$B$33*(IF(Presion_cilindro!N261&gt;(-H$4+Presion_cilindro!$B$34),1-EXP(-Presion_cilindro!$B$16*((Presion_cilindro!N261-(-H$4+Presion_cilindro!$B$34))/Presion_cilindro!$B$35)^(Presion_cilindro!$B$17+1)),0)-IF(Presion_cilindro!N260&gt;(-H$4+Presion_cilindro!$B$34),1-EXP(-Presion_cilindro!$B$16*((Presion_cilindro!N260-(-H$4+Presion_cilindro!$B$34))/Presion_cilindro!$B$35)^(Presion_cilindro!$B$17+1)),0))/((Presion_cilindro!O260+Presion_cilindro!O261)/2)</f>
        <v>3.422107276169442</v>
      </c>
      <c r="I269" s="27">
        <f>I268*(Presion_cilindro!O260/Presion_cilindro!O261)^Presion_cilindro!$B$9+10*(Presion_cilindro!$B$9-1)*Presion_cilindro!$B$33*(IF(Presion_cilindro!N261&gt;(-I$4+Presion_cilindro!$B$34),1-EXP(-Presion_cilindro!$B$16*((Presion_cilindro!N261-(-I$4+Presion_cilindro!$B$34))/Presion_cilindro!$B$35)^(Presion_cilindro!$B$17+1)),0)-IF(Presion_cilindro!N260&gt;(-I$4+Presion_cilindro!$B$34),1-EXP(-Presion_cilindro!$B$16*((Presion_cilindro!N260-(-I$4+Presion_cilindro!$B$34))/Presion_cilindro!$B$35)^(Presion_cilindro!$B$17+1)),0))/((Presion_cilindro!O260+Presion_cilindro!O261)/2)</f>
        <v>3.422107276169442</v>
      </c>
      <c r="J269" s="27">
        <f>J268*(Presion_cilindro!O260/Presion_cilindro!O261)^Presion_cilindro!$B$9+10*(Presion_cilindro!$B$9-1)*Presion_cilindro!$B$33*(IF(Presion_cilindro!N261&gt;(-J$4+Presion_cilindro!$B$34),1-EXP(-Presion_cilindro!$B$16*((Presion_cilindro!N261-(-J$4+Presion_cilindro!$B$34))/Presion_cilindro!$B$35)^(Presion_cilindro!$B$17+1)),0)-IF(Presion_cilindro!N260&gt;(-J$4+Presion_cilindro!$B$34),1-EXP(-Presion_cilindro!$B$16*((Presion_cilindro!N260-(-J$4+Presion_cilindro!$B$34))/Presion_cilindro!$B$35)^(Presion_cilindro!$B$17+1)),0))/((Presion_cilindro!O260+Presion_cilindro!O261)/2)</f>
        <v>3.422107276169442</v>
      </c>
      <c r="K269" s="27">
        <f>K268*(Presion_cilindro!O260/Presion_cilindro!O261)^Presion_cilindro!$B$9+10*(Presion_cilindro!$B$9-1)*Presion_cilindro!$B$33*(IF(Presion_cilindro!N261&gt;(-K$4+Presion_cilindro!$B$34),1-EXP(-Presion_cilindro!$B$16*((Presion_cilindro!N261-(-K$4+Presion_cilindro!$B$34))/Presion_cilindro!$B$35)^(Presion_cilindro!$B$17+1)),0)-IF(Presion_cilindro!N260&gt;(-K$4+Presion_cilindro!$B$34),1-EXP(-Presion_cilindro!$B$16*((Presion_cilindro!N260-(-K$4+Presion_cilindro!$B$34))/Presion_cilindro!$B$35)^(Presion_cilindro!$B$17+1)),0))/((Presion_cilindro!O260+Presion_cilindro!O261)/2)</f>
        <v>3.422107276169442</v>
      </c>
      <c r="L269" s="27">
        <f>L268*(Presion_cilindro!O260/Presion_cilindro!O261)^Presion_cilindro!$B$9+10*(Presion_cilindro!$B$9-1)*Presion_cilindro!$B$33*(IF(Presion_cilindro!N261&gt;(-L$4+Presion_cilindro!$B$34),1-EXP(-Presion_cilindro!$B$16*((Presion_cilindro!N261-(-L$4+Presion_cilindro!$B$34))/Presion_cilindro!$B$35)^(Presion_cilindro!$B$17+1)),0)-IF(Presion_cilindro!N260&gt;(-L$4+Presion_cilindro!$B$34),1-EXP(-Presion_cilindro!$B$16*((Presion_cilindro!N260-(-L$4+Presion_cilindro!$B$34))/Presion_cilindro!$B$35)^(Presion_cilindro!$B$17+1)),0))/((Presion_cilindro!O260+Presion_cilindro!O261)/2)</f>
        <v>3.422107276169442</v>
      </c>
      <c r="M269" s="27">
        <f>M268*(Presion_cilindro!O260/Presion_cilindro!O261)^Presion_cilindro!$B$9+10*(Presion_cilindro!$B$9-1)*Presion_cilindro!$B$33*(IF(Presion_cilindro!N261&gt;(-M$4+Presion_cilindro!$B$34),1-EXP(-Presion_cilindro!$B$16*((Presion_cilindro!N261-(-M$4+Presion_cilindro!$B$34))/Presion_cilindro!$B$35)^(Presion_cilindro!$B$17+1)),0)-IF(Presion_cilindro!N260&gt;(-M$4+Presion_cilindro!$B$34),1-EXP(-Presion_cilindro!$B$16*((Presion_cilindro!N260-(-M$4+Presion_cilindro!$B$34))/Presion_cilindro!$B$35)^(Presion_cilindro!$B$17+1)),0))/((Presion_cilindro!O260+Presion_cilindro!O261)/2)</f>
        <v>3.422107276169442</v>
      </c>
      <c r="N269" s="27">
        <f>N268*(Presion_cilindro!O260/Presion_cilindro!O261)^Presion_cilindro!$B$9+10*(Presion_cilindro!$B$9-1)*Presion_cilindro!$B$33*(IF(Presion_cilindro!N261&gt;(-N$4+Presion_cilindro!$B$34),1-EXP(-Presion_cilindro!$B$16*((Presion_cilindro!N261-(-N$4+Presion_cilindro!$B$34))/Presion_cilindro!$B$35)^(Presion_cilindro!$B$17+1)),0)-IF(Presion_cilindro!N260&gt;(-N$4+Presion_cilindro!$B$34),1-EXP(-Presion_cilindro!$B$16*((Presion_cilindro!N260-(-N$4+Presion_cilindro!$B$34))/Presion_cilindro!$B$35)^(Presion_cilindro!$B$17+1)),0))/((Presion_cilindro!O260+Presion_cilindro!O261)/2)</f>
        <v>3.4230302974662585</v>
      </c>
    </row>
    <row r="270" spans="1:14" x14ac:dyDescent="0.25">
      <c r="A270" s="21">
        <f>Presion_cilindro!N262</f>
        <v>-51</v>
      </c>
      <c r="B270" s="27">
        <f>B269*(Presion_cilindro!O261/Presion_cilindro!O262)^Presion_cilindro!$B$9+10*(Presion_cilindro!$B$9-1)*Presion_cilindro!$B$33*(IF(Presion_cilindro!N262&gt;(-B$4+Presion_cilindro!$B$34),1-EXP(-Presion_cilindro!$B$16*((Presion_cilindro!N262-(-B$4+Presion_cilindro!$B$34))/Presion_cilindro!$B$35)^(Presion_cilindro!$B$17+1)),0)-IF(Presion_cilindro!N261&gt;(-B$4+Presion_cilindro!$B$34),1-EXP(-Presion_cilindro!$B$16*((Presion_cilindro!N261-(-B$4+Presion_cilindro!$B$34))/Presion_cilindro!$B$35)^(Presion_cilindro!$B$17+1)),0))/((Presion_cilindro!O261+Presion_cilindro!O262)/2)</f>
        <v>3.4760996937634454</v>
      </c>
      <c r="C270" s="27">
        <f>C269*(Presion_cilindro!O261/Presion_cilindro!O262)^Presion_cilindro!$B$9+10*(Presion_cilindro!$B$9-1)*Presion_cilindro!$B$33*(IF(Presion_cilindro!N262&gt;(-C$4+Presion_cilindro!$B$34),1-EXP(-Presion_cilindro!$B$16*((Presion_cilindro!N262-(-C$4+Presion_cilindro!$B$34))/Presion_cilindro!$B$35)^(Presion_cilindro!$B$17+1)),0)-IF(Presion_cilindro!N261&gt;(-C$4+Presion_cilindro!$B$34),1-EXP(-Presion_cilindro!$B$16*((Presion_cilindro!N261-(-C$4+Presion_cilindro!$B$34))/Presion_cilindro!$B$35)^(Presion_cilindro!$B$17+1)),0))/((Presion_cilindro!O261+Presion_cilindro!O262)/2)</f>
        <v>3.4760996937634454</v>
      </c>
      <c r="D270" s="27">
        <f>D269*(Presion_cilindro!O261/Presion_cilindro!O262)^Presion_cilindro!$B$9+10*(Presion_cilindro!$B$9-1)*Presion_cilindro!$B$33*(IF(Presion_cilindro!N262&gt;(-D$4+Presion_cilindro!$B$34),1-EXP(-Presion_cilindro!$B$16*((Presion_cilindro!N262-(-D$4+Presion_cilindro!$B$34))/Presion_cilindro!$B$35)^(Presion_cilindro!$B$17+1)),0)-IF(Presion_cilindro!N261&gt;(-D$4+Presion_cilindro!$B$34),1-EXP(-Presion_cilindro!$B$16*((Presion_cilindro!N261-(-D$4+Presion_cilindro!$B$34))/Presion_cilindro!$B$35)^(Presion_cilindro!$B$17+1)),0))/((Presion_cilindro!O261+Presion_cilindro!O262)/2)</f>
        <v>3.4760996937634454</v>
      </c>
      <c r="E270" s="27">
        <f>E269*(Presion_cilindro!O261/Presion_cilindro!O262)^Presion_cilindro!$B$9+10*(Presion_cilindro!$B$9-1)*Presion_cilindro!$B$33*(IF(Presion_cilindro!N262&gt;(-E$4+Presion_cilindro!$B$34),1-EXP(-Presion_cilindro!$B$16*((Presion_cilindro!N262-(-E$4+Presion_cilindro!$B$34))/Presion_cilindro!$B$35)^(Presion_cilindro!$B$17+1)),0)-IF(Presion_cilindro!N261&gt;(-E$4+Presion_cilindro!$B$34),1-EXP(-Presion_cilindro!$B$16*((Presion_cilindro!N261-(-E$4+Presion_cilindro!$B$34))/Presion_cilindro!$B$35)^(Presion_cilindro!$B$17+1)),0))/((Presion_cilindro!O261+Presion_cilindro!O262)/2)</f>
        <v>3.4760996937634454</v>
      </c>
      <c r="F270" s="27">
        <f>F269*(Presion_cilindro!O261/Presion_cilindro!O262)^Presion_cilindro!$B$9+10*(Presion_cilindro!$B$9-1)*Presion_cilindro!$B$33*(IF(Presion_cilindro!N262&gt;(-F$4+Presion_cilindro!$B$34),1-EXP(-Presion_cilindro!$B$16*((Presion_cilindro!N262-(-F$4+Presion_cilindro!$B$34))/Presion_cilindro!$B$35)^(Presion_cilindro!$B$17+1)),0)-IF(Presion_cilindro!N261&gt;(-F$4+Presion_cilindro!$B$34),1-EXP(-Presion_cilindro!$B$16*((Presion_cilindro!N261-(-F$4+Presion_cilindro!$B$34))/Presion_cilindro!$B$35)^(Presion_cilindro!$B$17+1)),0))/((Presion_cilindro!O261+Presion_cilindro!O262)/2)</f>
        <v>3.4760996937634454</v>
      </c>
      <c r="G270" s="27">
        <f>G269*(Presion_cilindro!O261/Presion_cilindro!O262)^Presion_cilindro!$B$9+10*(Presion_cilindro!$B$9-1)*Presion_cilindro!$B$33*(IF(Presion_cilindro!N262&gt;(-G$4+Presion_cilindro!$B$34),1-EXP(-Presion_cilindro!$B$16*((Presion_cilindro!N262-(-G$4+Presion_cilindro!$B$34))/Presion_cilindro!$B$35)^(Presion_cilindro!$B$17+1)),0)-IF(Presion_cilindro!N261&gt;(-G$4+Presion_cilindro!$B$34),1-EXP(-Presion_cilindro!$B$16*((Presion_cilindro!N261-(-G$4+Presion_cilindro!$B$34))/Presion_cilindro!$B$35)^(Presion_cilindro!$B$17+1)),0))/((Presion_cilindro!O261+Presion_cilindro!O262)/2)</f>
        <v>3.4760996937634454</v>
      </c>
      <c r="H270" s="27">
        <f>H269*(Presion_cilindro!O261/Presion_cilindro!O262)^Presion_cilindro!$B$9+10*(Presion_cilindro!$B$9-1)*Presion_cilindro!$B$33*(IF(Presion_cilindro!N262&gt;(-H$4+Presion_cilindro!$B$34),1-EXP(-Presion_cilindro!$B$16*((Presion_cilindro!N262-(-H$4+Presion_cilindro!$B$34))/Presion_cilindro!$B$35)^(Presion_cilindro!$B$17+1)),0)-IF(Presion_cilindro!N261&gt;(-H$4+Presion_cilindro!$B$34),1-EXP(-Presion_cilindro!$B$16*((Presion_cilindro!N261-(-H$4+Presion_cilindro!$B$34))/Presion_cilindro!$B$35)^(Presion_cilindro!$B$17+1)),0))/((Presion_cilindro!O261+Presion_cilindro!O262)/2)</f>
        <v>3.4760996937634454</v>
      </c>
      <c r="I270" s="27">
        <f>I269*(Presion_cilindro!O261/Presion_cilindro!O262)^Presion_cilindro!$B$9+10*(Presion_cilindro!$B$9-1)*Presion_cilindro!$B$33*(IF(Presion_cilindro!N262&gt;(-I$4+Presion_cilindro!$B$34),1-EXP(-Presion_cilindro!$B$16*((Presion_cilindro!N262-(-I$4+Presion_cilindro!$B$34))/Presion_cilindro!$B$35)^(Presion_cilindro!$B$17+1)),0)-IF(Presion_cilindro!N261&gt;(-I$4+Presion_cilindro!$B$34),1-EXP(-Presion_cilindro!$B$16*((Presion_cilindro!N261-(-I$4+Presion_cilindro!$B$34))/Presion_cilindro!$B$35)^(Presion_cilindro!$B$17+1)),0))/((Presion_cilindro!O261+Presion_cilindro!O262)/2)</f>
        <v>3.4760996937634454</v>
      </c>
      <c r="J270" s="27">
        <f>J269*(Presion_cilindro!O261/Presion_cilindro!O262)^Presion_cilindro!$B$9+10*(Presion_cilindro!$B$9-1)*Presion_cilindro!$B$33*(IF(Presion_cilindro!N262&gt;(-J$4+Presion_cilindro!$B$34),1-EXP(-Presion_cilindro!$B$16*((Presion_cilindro!N262-(-J$4+Presion_cilindro!$B$34))/Presion_cilindro!$B$35)^(Presion_cilindro!$B$17+1)),0)-IF(Presion_cilindro!N261&gt;(-J$4+Presion_cilindro!$B$34),1-EXP(-Presion_cilindro!$B$16*((Presion_cilindro!N261-(-J$4+Presion_cilindro!$B$34))/Presion_cilindro!$B$35)^(Presion_cilindro!$B$17+1)),0))/((Presion_cilindro!O261+Presion_cilindro!O262)/2)</f>
        <v>3.4760996937634454</v>
      </c>
      <c r="K270" s="27">
        <f>K269*(Presion_cilindro!O261/Presion_cilindro!O262)^Presion_cilindro!$B$9+10*(Presion_cilindro!$B$9-1)*Presion_cilindro!$B$33*(IF(Presion_cilindro!N262&gt;(-K$4+Presion_cilindro!$B$34),1-EXP(-Presion_cilindro!$B$16*((Presion_cilindro!N262-(-K$4+Presion_cilindro!$B$34))/Presion_cilindro!$B$35)^(Presion_cilindro!$B$17+1)),0)-IF(Presion_cilindro!N261&gt;(-K$4+Presion_cilindro!$B$34),1-EXP(-Presion_cilindro!$B$16*((Presion_cilindro!N261-(-K$4+Presion_cilindro!$B$34))/Presion_cilindro!$B$35)^(Presion_cilindro!$B$17+1)),0))/((Presion_cilindro!O261+Presion_cilindro!O262)/2)</f>
        <v>3.4760996937634454</v>
      </c>
      <c r="L270" s="27">
        <f>L269*(Presion_cilindro!O261/Presion_cilindro!O262)^Presion_cilindro!$B$9+10*(Presion_cilindro!$B$9-1)*Presion_cilindro!$B$33*(IF(Presion_cilindro!N262&gt;(-L$4+Presion_cilindro!$B$34),1-EXP(-Presion_cilindro!$B$16*((Presion_cilindro!N262-(-L$4+Presion_cilindro!$B$34))/Presion_cilindro!$B$35)^(Presion_cilindro!$B$17+1)),0)-IF(Presion_cilindro!N261&gt;(-L$4+Presion_cilindro!$B$34),1-EXP(-Presion_cilindro!$B$16*((Presion_cilindro!N261-(-L$4+Presion_cilindro!$B$34))/Presion_cilindro!$B$35)^(Presion_cilindro!$B$17+1)),0))/((Presion_cilindro!O261+Presion_cilindro!O262)/2)</f>
        <v>3.4760996937634454</v>
      </c>
      <c r="M270" s="27">
        <f>M269*(Presion_cilindro!O261/Presion_cilindro!O262)^Presion_cilindro!$B$9+10*(Presion_cilindro!$B$9-1)*Presion_cilindro!$B$33*(IF(Presion_cilindro!N262&gt;(-M$4+Presion_cilindro!$B$34),1-EXP(-Presion_cilindro!$B$16*((Presion_cilindro!N262-(-M$4+Presion_cilindro!$B$34))/Presion_cilindro!$B$35)^(Presion_cilindro!$B$17+1)),0)-IF(Presion_cilindro!N261&gt;(-M$4+Presion_cilindro!$B$34),1-EXP(-Presion_cilindro!$B$16*((Presion_cilindro!N261-(-M$4+Presion_cilindro!$B$34))/Presion_cilindro!$B$35)^(Presion_cilindro!$B$17+1)),0))/((Presion_cilindro!O261+Presion_cilindro!O262)/2)</f>
        <v>3.4760996937634454</v>
      </c>
      <c r="N270" s="27">
        <f>N269*(Presion_cilindro!O261/Presion_cilindro!O262)^Presion_cilindro!$B$9+10*(Presion_cilindro!$B$9-1)*Presion_cilindro!$B$33*(IF(Presion_cilindro!N262&gt;(-N$4+Presion_cilindro!$B$34),1-EXP(-Presion_cilindro!$B$16*((Presion_cilindro!N262-(-N$4+Presion_cilindro!$B$34))/Presion_cilindro!$B$35)^(Presion_cilindro!$B$17+1)),0)-IF(Presion_cilindro!N261&gt;(-N$4+Presion_cilindro!$B$34),1-EXP(-Presion_cilindro!$B$16*((Presion_cilindro!N261-(-N$4+Presion_cilindro!$B$34))/Presion_cilindro!$B$35)^(Presion_cilindro!$B$17+1)),0))/((Presion_cilindro!O261+Presion_cilindro!O262)/2)</f>
        <v>3.4785808029086471</v>
      </c>
    </row>
    <row r="271" spans="1:14" x14ac:dyDescent="0.25">
      <c r="A271" s="21">
        <f>Presion_cilindro!N263</f>
        <v>-50.5</v>
      </c>
      <c r="B271" s="27">
        <f>B270*(Presion_cilindro!O262/Presion_cilindro!O263)^Presion_cilindro!$B$9+10*(Presion_cilindro!$B$9-1)*Presion_cilindro!$B$33*(IF(Presion_cilindro!N263&gt;(-B$4+Presion_cilindro!$B$34),1-EXP(-Presion_cilindro!$B$16*((Presion_cilindro!N263-(-B$4+Presion_cilindro!$B$34))/Presion_cilindro!$B$35)^(Presion_cilindro!$B$17+1)),0)-IF(Presion_cilindro!N262&gt;(-B$4+Presion_cilindro!$B$34),1-EXP(-Presion_cilindro!$B$16*((Presion_cilindro!N262-(-B$4+Presion_cilindro!$B$34))/Presion_cilindro!$B$35)^(Presion_cilindro!$B$17+1)),0))/((Presion_cilindro!O262+Presion_cilindro!O263)/2)</f>
        <v>3.5312967586994413</v>
      </c>
      <c r="C271" s="27">
        <f>C270*(Presion_cilindro!O262/Presion_cilindro!O263)^Presion_cilindro!$B$9+10*(Presion_cilindro!$B$9-1)*Presion_cilindro!$B$33*(IF(Presion_cilindro!N263&gt;(-C$4+Presion_cilindro!$B$34),1-EXP(-Presion_cilindro!$B$16*((Presion_cilindro!N263-(-C$4+Presion_cilindro!$B$34))/Presion_cilindro!$B$35)^(Presion_cilindro!$B$17+1)),0)-IF(Presion_cilindro!N262&gt;(-C$4+Presion_cilindro!$B$34),1-EXP(-Presion_cilindro!$B$16*((Presion_cilindro!N262-(-C$4+Presion_cilindro!$B$34))/Presion_cilindro!$B$35)^(Presion_cilindro!$B$17+1)),0))/((Presion_cilindro!O262+Presion_cilindro!O263)/2)</f>
        <v>3.5312967586994413</v>
      </c>
      <c r="D271" s="27">
        <f>D270*(Presion_cilindro!O262/Presion_cilindro!O263)^Presion_cilindro!$B$9+10*(Presion_cilindro!$B$9-1)*Presion_cilindro!$B$33*(IF(Presion_cilindro!N263&gt;(-D$4+Presion_cilindro!$B$34),1-EXP(-Presion_cilindro!$B$16*((Presion_cilindro!N263-(-D$4+Presion_cilindro!$B$34))/Presion_cilindro!$B$35)^(Presion_cilindro!$B$17+1)),0)-IF(Presion_cilindro!N262&gt;(-D$4+Presion_cilindro!$B$34),1-EXP(-Presion_cilindro!$B$16*((Presion_cilindro!N262-(-D$4+Presion_cilindro!$B$34))/Presion_cilindro!$B$35)^(Presion_cilindro!$B$17+1)),0))/((Presion_cilindro!O262+Presion_cilindro!O263)/2)</f>
        <v>3.5312967586994413</v>
      </c>
      <c r="E271" s="27">
        <f>E270*(Presion_cilindro!O262/Presion_cilindro!O263)^Presion_cilindro!$B$9+10*(Presion_cilindro!$B$9-1)*Presion_cilindro!$B$33*(IF(Presion_cilindro!N263&gt;(-E$4+Presion_cilindro!$B$34),1-EXP(-Presion_cilindro!$B$16*((Presion_cilindro!N263-(-E$4+Presion_cilindro!$B$34))/Presion_cilindro!$B$35)^(Presion_cilindro!$B$17+1)),0)-IF(Presion_cilindro!N262&gt;(-E$4+Presion_cilindro!$B$34),1-EXP(-Presion_cilindro!$B$16*((Presion_cilindro!N262-(-E$4+Presion_cilindro!$B$34))/Presion_cilindro!$B$35)^(Presion_cilindro!$B$17+1)),0))/((Presion_cilindro!O262+Presion_cilindro!O263)/2)</f>
        <v>3.5312967586994413</v>
      </c>
      <c r="F271" s="27">
        <f>F270*(Presion_cilindro!O262/Presion_cilindro!O263)^Presion_cilindro!$B$9+10*(Presion_cilindro!$B$9-1)*Presion_cilindro!$B$33*(IF(Presion_cilindro!N263&gt;(-F$4+Presion_cilindro!$B$34),1-EXP(-Presion_cilindro!$B$16*((Presion_cilindro!N263-(-F$4+Presion_cilindro!$B$34))/Presion_cilindro!$B$35)^(Presion_cilindro!$B$17+1)),0)-IF(Presion_cilindro!N262&gt;(-F$4+Presion_cilindro!$B$34),1-EXP(-Presion_cilindro!$B$16*((Presion_cilindro!N262-(-F$4+Presion_cilindro!$B$34))/Presion_cilindro!$B$35)^(Presion_cilindro!$B$17+1)),0))/((Presion_cilindro!O262+Presion_cilindro!O263)/2)</f>
        <v>3.5312967586994413</v>
      </c>
      <c r="G271" s="27">
        <f>G270*(Presion_cilindro!O262/Presion_cilindro!O263)^Presion_cilindro!$B$9+10*(Presion_cilindro!$B$9-1)*Presion_cilindro!$B$33*(IF(Presion_cilindro!N263&gt;(-G$4+Presion_cilindro!$B$34),1-EXP(-Presion_cilindro!$B$16*((Presion_cilindro!N263-(-G$4+Presion_cilindro!$B$34))/Presion_cilindro!$B$35)^(Presion_cilindro!$B$17+1)),0)-IF(Presion_cilindro!N262&gt;(-G$4+Presion_cilindro!$B$34),1-EXP(-Presion_cilindro!$B$16*((Presion_cilindro!N262-(-G$4+Presion_cilindro!$B$34))/Presion_cilindro!$B$35)^(Presion_cilindro!$B$17+1)),0))/((Presion_cilindro!O262+Presion_cilindro!O263)/2)</f>
        <v>3.5312967586994413</v>
      </c>
      <c r="H271" s="27">
        <f>H270*(Presion_cilindro!O262/Presion_cilindro!O263)^Presion_cilindro!$B$9+10*(Presion_cilindro!$B$9-1)*Presion_cilindro!$B$33*(IF(Presion_cilindro!N263&gt;(-H$4+Presion_cilindro!$B$34),1-EXP(-Presion_cilindro!$B$16*((Presion_cilindro!N263-(-H$4+Presion_cilindro!$B$34))/Presion_cilindro!$B$35)^(Presion_cilindro!$B$17+1)),0)-IF(Presion_cilindro!N262&gt;(-H$4+Presion_cilindro!$B$34),1-EXP(-Presion_cilindro!$B$16*((Presion_cilindro!N262-(-H$4+Presion_cilindro!$B$34))/Presion_cilindro!$B$35)^(Presion_cilindro!$B$17+1)),0))/((Presion_cilindro!O262+Presion_cilindro!O263)/2)</f>
        <v>3.5312967586994413</v>
      </c>
      <c r="I271" s="27">
        <f>I270*(Presion_cilindro!O262/Presion_cilindro!O263)^Presion_cilindro!$B$9+10*(Presion_cilindro!$B$9-1)*Presion_cilindro!$B$33*(IF(Presion_cilindro!N263&gt;(-I$4+Presion_cilindro!$B$34),1-EXP(-Presion_cilindro!$B$16*((Presion_cilindro!N263-(-I$4+Presion_cilindro!$B$34))/Presion_cilindro!$B$35)^(Presion_cilindro!$B$17+1)),0)-IF(Presion_cilindro!N262&gt;(-I$4+Presion_cilindro!$B$34),1-EXP(-Presion_cilindro!$B$16*((Presion_cilindro!N262-(-I$4+Presion_cilindro!$B$34))/Presion_cilindro!$B$35)^(Presion_cilindro!$B$17+1)),0))/((Presion_cilindro!O262+Presion_cilindro!O263)/2)</f>
        <v>3.5312967586994413</v>
      </c>
      <c r="J271" s="27">
        <f>J270*(Presion_cilindro!O262/Presion_cilindro!O263)^Presion_cilindro!$B$9+10*(Presion_cilindro!$B$9-1)*Presion_cilindro!$B$33*(IF(Presion_cilindro!N263&gt;(-J$4+Presion_cilindro!$B$34),1-EXP(-Presion_cilindro!$B$16*((Presion_cilindro!N263-(-J$4+Presion_cilindro!$B$34))/Presion_cilindro!$B$35)^(Presion_cilindro!$B$17+1)),0)-IF(Presion_cilindro!N262&gt;(-J$4+Presion_cilindro!$B$34),1-EXP(-Presion_cilindro!$B$16*((Presion_cilindro!N262-(-J$4+Presion_cilindro!$B$34))/Presion_cilindro!$B$35)^(Presion_cilindro!$B$17+1)),0))/((Presion_cilindro!O262+Presion_cilindro!O263)/2)</f>
        <v>3.5312967586994413</v>
      </c>
      <c r="K271" s="27">
        <f>K270*(Presion_cilindro!O262/Presion_cilindro!O263)^Presion_cilindro!$B$9+10*(Presion_cilindro!$B$9-1)*Presion_cilindro!$B$33*(IF(Presion_cilindro!N263&gt;(-K$4+Presion_cilindro!$B$34),1-EXP(-Presion_cilindro!$B$16*((Presion_cilindro!N263-(-K$4+Presion_cilindro!$B$34))/Presion_cilindro!$B$35)^(Presion_cilindro!$B$17+1)),0)-IF(Presion_cilindro!N262&gt;(-K$4+Presion_cilindro!$B$34),1-EXP(-Presion_cilindro!$B$16*((Presion_cilindro!N262-(-K$4+Presion_cilindro!$B$34))/Presion_cilindro!$B$35)^(Presion_cilindro!$B$17+1)),0))/((Presion_cilindro!O262+Presion_cilindro!O263)/2)</f>
        <v>3.5312967586994413</v>
      </c>
      <c r="L271" s="27">
        <f>L270*(Presion_cilindro!O262/Presion_cilindro!O263)^Presion_cilindro!$B$9+10*(Presion_cilindro!$B$9-1)*Presion_cilindro!$B$33*(IF(Presion_cilindro!N263&gt;(-L$4+Presion_cilindro!$B$34),1-EXP(-Presion_cilindro!$B$16*((Presion_cilindro!N263-(-L$4+Presion_cilindro!$B$34))/Presion_cilindro!$B$35)^(Presion_cilindro!$B$17+1)),0)-IF(Presion_cilindro!N262&gt;(-L$4+Presion_cilindro!$B$34),1-EXP(-Presion_cilindro!$B$16*((Presion_cilindro!N262-(-L$4+Presion_cilindro!$B$34))/Presion_cilindro!$B$35)^(Presion_cilindro!$B$17+1)),0))/((Presion_cilindro!O262+Presion_cilindro!O263)/2)</f>
        <v>3.5312967586994413</v>
      </c>
      <c r="M271" s="27">
        <f>M270*(Presion_cilindro!O262/Presion_cilindro!O263)^Presion_cilindro!$B$9+10*(Presion_cilindro!$B$9-1)*Presion_cilindro!$B$33*(IF(Presion_cilindro!N263&gt;(-M$4+Presion_cilindro!$B$34),1-EXP(-Presion_cilindro!$B$16*((Presion_cilindro!N263-(-M$4+Presion_cilindro!$B$34))/Presion_cilindro!$B$35)^(Presion_cilindro!$B$17+1)),0)-IF(Presion_cilindro!N262&gt;(-M$4+Presion_cilindro!$B$34),1-EXP(-Presion_cilindro!$B$16*((Presion_cilindro!N262-(-M$4+Presion_cilindro!$B$34))/Presion_cilindro!$B$35)^(Presion_cilindro!$B$17+1)),0))/((Presion_cilindro!O262+Presion_cilindro!O263)/2)</f>
        <v>3.5312967586994413</v>
      </c>
      <c r="N271" s="27">
        <f>N270*(Presion_cilindro!O262/Presion_cilindro!O263)^Presion_cilindro!$B$9+10*(Presion_cilindro!$B$9-1)*Presion_cilindro!$B$33*(IF(Presion_cilindro!N263&gt;(-N$4+Presion_cilindro!$B$34),1-EXP(-Presion_cilindro!$B$16*((Presion_cilindro!N263-(-N$4+Presion_cilindro!$B$34))/Presion_cilindro!$B$35)^(Presion_cilindro!$B$17+1)),0)-IF(Presion_cilindro!N262&gt;(-N$4+Presion_cilindro!$B$34),1-EXP(-Presion_cilindro!$B$16*((Presion_cilindro!N262-(-N$4+Presion_cilindro!$B$34))/Presion_cilindro!$B$35)^(Presion_cilindro!$B$17+1)),0))/((Presion_cilindro!O262+Presion_cilindro!O263)/2)</f>
        <v>3.5365386822664697</v>
      </c>
    </row>
    <row r="272" spans="1:14" x14ac:dyDescent="0.25">
      <c r="A272" s="21">
        <f>Presion_cilindro!N264</f>
        <v>-50</v>
      </c>
      <c r="B272" s="27">
        <f>B271*(Presion_cilindro!O263/Presion_cilindro!O264)^Presion_cilindro!$B$9+10*(Presion_cilindro!$B$9-1)*Presion_cilindro!$B$33*(IF(Presion_cilindro!N264&gt;(-B$4+Presion_cilindro!$B$34),1-EXP(-Presion_cilindro!$B$16*((Presion_cilindro!N264-(-B$4+Presion_cilindro!$B$34))/Presion_cilindro!$B$35)^(Presion_cilindro!$B$17+1)),0)-IF(Presion_cilindro!N263&gt;(-B$4+Presion_cilindro!$B$34),1-EXP(-Presion_cilindro!$B$16*((Presion_cilindro!N263-(-B$4+Presion_cilindro!$B$34))/Presion_cilindro!$B$35)^(Presion_cilindro!$B$17+1)),0))/((Presion_cilindro!O263+Presion_cilindro!O264)/2)</f>
        <v>3.5877271409260953</v>
      </c>
      <c r="C272" s="27">
        <f>C271*(Presion_cilindro!O263/Presion_cilindro!O264)^Presion_cilindro!$B$9+10*(Presion_cilindro!$B$9-1)*Presion_cilindro!$B$33*(IF(Presion_cilindro!N264&gt;(-C$4+Presion_cilindro!$B$34),1-EXP(-Presion_cilindro!$B$16*((Presion_cilindro!N264-(-C$4+Presion_cilindro!$B$34))/Presion_cilindro!$B$35)^(Presion_cilindro!$B$17+1)),0)-IF(Presion_cilindro!N263&gt;(-C$4+Presion_cilindro!$B$34),1-EXP(-Presion_cilindro!$B$16*((Presion_cilindro!N263-(-C$4+Presion_cilindro!$B$34))/Presion_cilindro!$B$35)^(Presion_cilindro!$B$17+1)),0))/((Presion_cilindro!O263+Presion_cilindro!O264)/2)</f>
        <v>3.5877271409260953</v>
      </c>
      <c r="D272" s="27">
        <f>D271*(Presion_cilindro!O263/Presion_cilindro!O264)^Presion_cilindro!$B$9+10*(Presion_cilindro!$B$9-1)*Presion_cilindro!$B$33*(IF(Presion_cilindro!N264&gt;(-D$4+Presion_cilindro!$B$34),1-EXP(-Presion_cilindro!$B$16*((Presion_cilindro!N264-(-D$4+Presion_cilindro!$B$34))/Presion_cilindro!$B$35)^(Presion_cilindro!$B$17+1)),0)-IF(Presion_cilindro!N263&gt;(-D$4+Presion_cilindro!$B$34),1-EXP(-Presion_cilindro!$B$16*((Presion_cilindro!N263-(-D$4+Presion_cilindro!$B$34))/Presion_cilindro!$B$35)^(Presion_cilindro!$B$17+1)),0))/((Presion_cilindro!O263+Presion_cilindro!O264)/2)</f>
        <v>3.5877271409260953</v>
      </c>
      <c r="E272" s="27">
        <f>E271*(Presion_cilindro!O263/Presion_cilindro!O264)^Presion_cilindro!$B$9+10*(Presion_cilindro!$B$9-1)*Presion_cilindro!$B$33*(IF(Presion_cilindro!N264&gt;(-E$4+Presion_cilindro!$B$34),1-EXP(-Presion_cilindro!$B$16*((Presion_cilindro!N264-(-E$4+Presion_cilindro!$B$34))/Presion_cilindro!$B$35)^(Presion_cilindro!$B$17+1)),0)-IF(Presion_cilindro!N263&gt;(-E$4+Presion_cilindro!$B$34),1-EXP(-Presion_cilindro!$B$16*((Presion_cilindro!N263-(-E$4+Presion_cilindro!$B$34))/Presion_cilindro!$B$35)^(Presion_cilindro!$B$17+1)),0))/((Presion_cilindro!O263+Presion_cilindro!O264)/2)</f>
        <v>3.5877271409260953</v>
      </c>
      <c r="F272" s="27">
        <f>F271*(Presion_cilindro!O263/Presion_cilindro!O264)^Presion_cilindro!$B$9+10*(Presion_cilindro!$B$9-1)*Presion_cilindro!$B$33*(IF(Presion_cilindro!N264&gt;(-F$4+Presion_cilindro!$B$34),1-EXP(-Presion_cilindro!$B$16*((Presion_cilindro!N264-(-F$4+Presion_cilindro!$B$34))/Presion_cilindro!$B$35)^(Presion_cilindro!$B$17+1)),0)-IF(Presion_cilindro!N263&gt;(-F$4+Presion_cilindro!$B$34),1-EXP(-Presion_cilindro!$B$16*((Presion_cilindro!N263-(-F$4+Presion_cilindro!$B$34))/Presion_cilindro!$B$35)^(Presion_cilindro!$B$17+1)),0))/((Presion_cilindro!O263+Presion_cilindro!O264)/2)</f>
        <v>3.5877271409260953</v>
      </c>
      <c r="G272" s="27">
        <f>G271*(Presion_cilindro!O263/Presion_cilindro!O264)^Presion_cilindro!$B$9+10*(Presion_cilindro!$B$9-1)*Presion_cilindro!$B$33*(IF(Presion_cilindro!N264&gt;(-G$4+Presion_cilindro!$B$34),1-EXP(-Presion_cilindro!$B$16*((Presion_cilindro!N264-(-G$4+Presion_cilindro!$B$34))/Presion_cilindro!$B$35)^(Presion_cilindro!$B$17+1)),0)-IF(Presion_cilindro!N263&gt;(-G$4+Presion_cilindro!$B$34),1-EXP(-Presion_cilindro!$B$16*((Presion_cilindro!N263-(-G$4+Presion_cilindro!$B$34))/Presion_cilindro!$B$35)^(Presion_cilindro!$B$17+1)),0))/((Presion_cilindro!O263+Presion_cilindro!O264)/2)</f>
        <v>3.5877271409260953</v>
      </c>
      <c r="H272" s="27">
        <f>H271*(Presion_cilindro!O263/Presion_cilindro!O264)^Presion_cilindro!$B$9+10*(Presion_cilindro!$B$9-1)*Presion_cilindro!$B$33*(IF(Presion_cilindro!N264&gt;(-H$4+Presion_cilindro!$B$34),1-EXP(-Presion_cilindro!$B$16*((Presion_cilindro!N264-(-H$4+Presion_cilindro!$B$34))/Presion_cilindro!$B$35)^(Presion_cilindro!$B$17+1)),0)-IF(Presion_cilindro!N263&gt;(-H$4+Presion_cilindro!$B$34),1-EXP(-Presion_cilindro!$B$16*((Presion_cilindro!N263-(-H$4+Presion_cilindro!$B$34))/Presion_cilindro!$B$35)^(Presion_cilindro!$B$17+1)),0))/((Presion_cilindro!O263+Presion_cilindro!O264)/2)</f>
        <v>3.5877271409260953</v>
      </c>
      <c r="I272" s="27">
        <f>I271*(Presion_cilindro!O263/Presion_cilindro!O264)^Presion_cilindro!$B$9+10*(Presion_cilindro!$B$9-1)*Presion_cilindro!$B$33*(IF(Presion_cilindro!N264&gt;(-I$4+Presion_cilindro!$B$34),1-EXP(-Presion_cilindro!$B$16*((Presion_cilindro!N264-(-I$4+Presion_cilindro!$B$34))/Presion_cilindro!$B$35)^(Presion_cilindro!$B$17+1)),0)-IF(Presion_cilindro!N263&gt;(-I$4+Presion_cilindro!$B$34),1-EXP(-Presion_cilindro!$B$16*((Presion_cilindro!N263-(-I$4+Presion_cilindro!$B$34))/Presion_cilindro!$B$35)^(Presion_cilindro!$B$17+1)),0))/((Presion_cilindro!O263+Presion_cilindro!O264)/2)</f>
        <v>3.5877271409260953</v>
      </c>
      <c r="J272" s="27">
        <f>J271*(Presion_cilindro!O263/Presion_cilindro!O264)^Presion_cilindro!$B$9+10*(Presion_cilindro!$B$9-1)*Presion_cilindro!$B$33*(IF(Presion_cilindro!N264&gt;(-J$4+Presion_cilindro!$B$34),1-EXP(-Presion_cilindro!$B$16*((Presion_cilindro!N264-(-J$4+Presion_cilindro!$B$34))/Presion_cilindro!$B$35)^(Presion_cilindro!$B$17+1)),0)-IF(Presion_cilindro!N263&gt;(-J$4+Presion_cilindro!$B$34),1-EXP(-Presion_cilindro!$B$16*((Presion_cilindro!N263-(-J$4+Presion_cilindro!$B$34))/Presion_cilindro!$B$35)^(Presion_cilindro!$B$17+1)),0))/((Presion_cilindro!O263+Presion_cilindro!O264)/2)</f>
        <v>3.5877271409260953</v>
      </c>
      <c r="K272" s="27">
        <f>K271*(Presion_cilindro!O263/Presion_cilindro!O264)^Presion_cilindro!$B$9+10*(Presion_cilindro!$B$9-1)*Presion_cilindro!$B$33*(IF(Presion_cilindro!N264&gt;(-K$4+Presion_cilindro!$B$34),1-EXP(-Presion_cilindro!$B$16*((Presion_cilindro!N264-(-K$4+Presion_cilindro!$B$34))/Presion_cilindro!$B$35)^(Presion_cilindro!$B$17+1)),0)-IF(Presion_cilindro!N263&gt;(-K$4+Presion_cilindro!$B$34),1-EXP(-Presion_cilindro!$B$16*((Presion_cilindro!N263-(-K$4+Presion_cilindro!$B$34))/Presion_cilindro!$B$35)^(Presion_cilindro!$B$17+1)),0))/((Presion_cilindro!O263+Presion_cilindro!O264)/2)</f>
        <v>3.5877271409260953</v>
      </c>
      <c r="L272" s="27">
        <f>L271*(Presion_cilindro!O263/Presion_cilindro!O264)^Presion_cilindro!$B$9+10*(Presion_cilindro!$B$9-1)*Presion_cilindro!$B$33*(IF(Presion_cilindro!N264&gt;(-L$4+Presion_cilindro!$B$34),1-EXP(-Presion_cilindro!$B$16*((Presion_cilindro!N264-(-L$4+Presion_cilindro!$B$34))/Presion_cilindro!$B$35)^(Presion_cilindro!$B$17+1)),0)-IF(Presion_cilindro!N263&gt;(-L$4+Presion_cilindro!$B$34),1-EXP(-Presion_cilindro!$B$16*((Presion_cilindro!N263-(-L$4+Presion_cilindro!$B$34))/Presion_cilindro!$B$35)^(Presion_cilindro!$B$17+1)),0))/((Presion_cilindro!O263+Presion_cilindro!O264)/2)</f>
        <v>3.5877271409260953</v>
      </c>
      <c r="M272" s="27">
        <f>M271*(Presion_cilindro!O263/Presion_cilindro!O264)^Presion_cilindro!$B$9+10*(Presion_cilindro!$B$9-1)*Presion_cilindro!$B$33*(IF(Presion_cilindro!N264&gt;(-M$4+Presion_cilindro!$B$34),1-EXP(-Presion_cilindro!$B$16*((Presion_cilindro!N264-(-M$4+Presion_cilindro!$B$34))/Presion_cilindro!$B$35)^(Presion_cilindro!$B$17+1)),0)-IF(Presion_cilindro!N263&gt;(-M$4+Presion_cilindro!$B$34),1-EXP(-Presion_cilindro!$B$16*((Presion_cilindro!N263-(-M$4+Presion_cilindro!$B$34))/Presion_cilindro!$B$35)^(Presion_cilindro!$B$17+1)),0))/((Presion_cilindro!O263+Presion_cilindro!O264)/2)</f>
        <v>3.5877271409260953</v>
      </c>
      <c r="N272" s="27">
        <f>N271*(Presion_cilindro!O263/Presion_cilindro!O264)^Presion_cilindro!$B$9+10*(Presion_cilindro!$B$9-1)*Presion_cilindro!$B$33*(IF(Presion_cilindro!N264&gt;(-N$4+Presion_cilindro!$B$34),1-EXP(-Presion_cilindro!$B$16*((Presion_cilindro!N264-(-N$4+Presion_cilindro!$B$34))/Presion_cilindro!$B$35)^(Presion_cilindro!$B$17+1)),0)-IF(Presion_cilindro!N263&gt;(-N$4+Presion_cilindro!$B$34),1-EXP(-Presion_cilindro!$B$16*((Presion_cilindro!N263-(-N$4+Presion_cilindro!$B$34))/Presion_cilindro!$B$35)^(Presion_cilindro!$B$17+1)),0))/((Presion_cilindro!O263+Presion_cilindro!O264)/2)</f>
        <v>3.5973051548063681</v>
      </c>
    </row>
    <row r="273" spans="1:14" x14ac:dyDescent="0.25">
      <c r="A273" s="21">
        <f>Presion_cilindro!N265</f>
        <v>-49.5</v>
      </c>
      <c r="B273" s="27">
        <f>B272*(Presion_cilindro!O264/Presion_cilindro!O265)^Presion_cilindro!$B$9+10*(Presion_cilindro!$B$9-1)*Presion_cilindro!$B$33*(IF(Presion_cilindro!N265&gt;(-B$4+Presion_cilindro!$B$34),1-EXP(-Presion_cilindro!$B$16*((Presion_cilindro!N265-(-B$4+Presion_cilindro!$B$34))/Presion_cilindro!$B$35)^(Presion_cilindro!$B$17+1)),0)-IF(Presion_cilindro!N264&gt;(-B$4+Presion_cilindro!$B$34),1-EXP(-Presion_cilindro!$B$16*((Presion_cilindro!N264-(-B$4+Presion_cilindro!$B$34))/Presion_cilindro!$B$35)^(Presion_cilindro!$B$17+1)),0))/((Presion_cilindro!O264+Presion_cilindro!O265)/2)</f>
        <v>3.6454200754661348</v>
      </c>
      <c r="C273" s="27">
        <f>C272*(Presion_cilindro!O264/Presion_cilindro!O265)^Presion_cilindro!$B$9+10*(Presion_cilindro!$B$9-1)*Presion_cilindro!$B$33*(IF(Presion_cilindro!N265&gt;(-C$4+Presion_cilindro!$B$34),1-EXP(-Presion_cilindro!$B$16*((Presion_cilindro!N265-(-C$4+Presion_cilindro!$B$34))/Presion_cilindro!$B$35)^(Presion_cilindro!$B$17+1)),0)-IF(Presion_cilindro!N264&gt;(-C$4+Presion_cilindro!$B$34),1-EXP(-Presion_cilindro!$B$16*((Presion_cilindro!N264-(-C$4+Presion_cilindro!$B$34))/Presion_cilindro!$B$35)^(Presion_cilindro!$B$17+1)),0))/((Presion_cilindro!O264+Presion_cilindro!O265)/2)</f>
        <v>3.6454200754661348</v>
      </c>
      <c r="D273" s="27">
        <f>D272*(Presion_cilindro!O264/Presion_cilindro!O265)^Presion_cilindro!$B$9+10*(Presion_cilindro!$B$9-1)*Presion_cilindro!$B$33*(IF(Presion_cilindro!N265&gt;(-D$4+Presion_cilindro!$B$34),1-EXP(-Presion_cilindro!$B$16*((Presion_cilindro!N265-(-D$4+Presion_cilindro!$B$34))/Presion_cilindro!$B$35)^(Presion_cilindro!$B$17+1)),0)-IF(Presion_cilindro!N264&gt;(-D$4+Presion_cilindro!$B$34),1-EXP(-Presion_cilindro!$B$16*((Presion_cilindro!N264-(-D$4+Presion_cilindro!$B$34))/Presion_cilindro!$B$35)^(Presion_cilindro!$B$17+1)),0))/((Presion_cilindro!O264+Presion_cilindro!O265)/2)</f>
        <v>3.6454200754661348</v>
      </c>
      <c r="E273" s="27">
        <f>E272*(Presion_cilindro!O264/Presion_cilindro!O265)^Presion_cilindro!$B$9+10*(Presion_cilindro!$B$9-1)*Presion_cilindro!$B$33*(IF(Presion_cilindro!N265&gt;(-E$4+Presion_cilindro!$B$34),1-EXP(-Presion_cilindro!$B$16*((Presion_cilindro!N265-(-E$4+Presion_cilindro!$B$34))/Presion_cilindro!$B$35)^(Presion_cilindro!$B$17+1)),0)-IF(Presion_cilindro!N264&gt;(-E$4+Presion_cilindro!$B$34),1-EXP(-Presion_cilindro!$B$16*((Presion_cilindro!N264-(-E$4+Presion_cilindro!$B$34))/Presion_cilindro!$B$35)^(Presion_cilindro!$B$17+1)),0))/((Presion_cilindro!O264+Presion_cilindro!O265)/2)</f>
        <v>3.6454200754661348</v>
      </c>
      <c r="F273" s="27">
        <f>F272*(Presion_cilindro!O264/Presion_cilindro!O265)^Presion_cilindro!$B$9+10*(Presion_cilindro!$B$9-1)*Presion_cilindro!$B$33*(IF(Presion_cilindro!N265&gt;(-F$4+Presion_cilindro!$B$34),1-EXP(-Presion_cilindro!$B$16*((Presion_cilindro!N265-(-F$4+Presion_cilindro!$B$34))/Presion_cilindro!$B$35)^(Presion_cilindro!$B$17+1)),0)-IF(Presion_cilindro!N264&gt;(-F$4+Presion_cilindro!$B$34),1-EXP(-Presion_cilindro!$B$16*((Presion_cilindro!N264-(-F$4+Presion_cilindro!$B$34))/Presion_cilindro!$B$35)^(Presion_cilindro!$B$17+1)),0))/((Presion_cilindro!O264+Presion_cilindro!O265)/2)</f>
        <v>3.6454200754661348</v>
      </c>
      <c r="G273" s="27">
        <f>G272*(Presion_cilindro!O264/Presion_cilindro!O265)^Presion_cilindro!$B$9+10*(Presion_cilindro!$B$9-1)*Presion_cilindro!$B$33*(IF(Presion_cilindro!N265&gt;(-G$4+Presion_cilindro!$B$34),1-EXP(-Presion_cilindro!$B$16*((Presion_cilindro!N265-(-G$4+Presion_cilindro!$B$34))/Presion_cilindro!$B$35)^(Presion_cilindro!$B$17+1)),0)-IF(Presion_cilindro!N264&gt;(-G$4+Presion_cilindro!$B$34),1-EXP(-Presion_cilindro!$B$16*((Presion_cilindro!N264-(-G$4+Presion_cilindro!$B$34))/Presion_cilindro!$B$35)^(Presion_cilindro!$B$17+1)),0))/((Presion_cilindro!O264+Presion_cilindro!O265)/2)</f>
        <v>3.6454200754661348</v>
      </c>
      <c r="H273" s="27">
        <f>H272*(Presion_cilindro!O264/Presion_cilindro!O265)^Presion_cilindro!$B$9+10*(Presion_cilindro!$B$9-1)*Presion_cilindro!$B$33*(IF(Presion_cilindro!N265&gt;(-H$4+Presion_cilindro!$B$34),1-EXP(-Presion_cilindro!$B$16*((Presion_cilindro!N265-(-H$4+Presion_cilindro!$B$34))/Presion_cilindro!$B$35)^(Presion_cilindro!$B$17+1)),0)-IF(Presion_cilindro!N264&gt;(-H$4+Presion_cilindro!$B$34),1-EXP(-Presion_cilindro!$B$16*((Presion_cilindro!N264-(-H$4+Presion_cilindro!$B$34))/Presion_cilindro!$B$35)^(Presion_cilindro!$B$17+1)),0))/((Presion_cilindro!O264+Presion_cilindro!O265)/2)</f>
        <v>3.6454200754661348</v>
      </c>
      <c r="I273" s="27">
        <f>I272*(Presion_cilindro!O264/Presion_cilindro!O265)^Presion_cilindro!$B$9+10*(Presion_cilindro!$B$9-1)*Presion_cilindro!$B$33*(IF(Presion_cilindro!N265&gt;(-I$4+Presion_cilindro!$B$34),1-EXP(-Presion_cilindro!$B$16*((Presion_cilindro!N265-(-I$4+Presion_cilindro!$B$34))/Presion_cilindro!$B$35)^(Presion_cilindro!$B$17+1)),0)-IF(Presion_cilindro!N264&gt;(-I$4+Presion_cilindro!$B$34),1-EXP(-Presion_cilindro!$B$16*((Presion_cilindro!N264-(-I$4+Presion_cilindro!$B$34))/Presion_cilindro!$B$35)^(Presion_cilindro!$B$17+1)),0))/((Presion_cilindro!O264+Presion_cilindro!O265)/2)</f>
        <v>3.6454200754661348</v>
      </c>
      <c r="J273" s="27">
        <f>J272*(Presion_cilindro!O264/Presion_cilindro!O265)^Presion_cilindro!$B$9+10*(Presion_cilindro!$B$9-1)*Presion_cilindro!$B$33*(IF(Presion_cilindro!N265&gt;(-J$4+Presion_cilindro!$B$34),1-EXP(-Presion_cilindro!$B$16*((Presion_cilindro!N265-(-J$4+Presion_cilindro!$B$34))/Presion_cilindro!$B$35)^(Presion_cilindro!$B$17+1)),0)-IF(Presion_cilindro!N264&gt;(-J$4+Presion_cilindro!$B$34),1-EXP(-Presion_cilindro!$B$16*((Presion_cilindro!N264-(-J$4+Presion_cilindro!$B$34))/Presion_cilindro!$B$35)^(Presion_cilindro!$B$17+1)),0))/((Presion_cilindro!O264+Presion_cilindro!O265)/2)</f>
        <v>3.6454200754661348</v>
      </c>
      <c r="K273" s="27">
        <f>K272*(Presion_cilindro!O264/Presion_cilindro!O265)^Presion_cilindro!$B$9+10*(Presion_cilindro!$B$9-1)*Presion_cilindro!$B$33*(IF(Presion_cilindro!N265&gt;(-K$4+Presion_cilindro!$B$34),1-EXP(-Presion_cilindro!$B$16*((Presion_cilindro!N265-(-K$4+Presion_cilindro!$B$34))/Presion_cilindro!$B$35)^(Presion_cilindro!$B$17+1)),0)-IF(Presion_cilindro!N264&gt;(-K$4+Presion_cilindro!$B$34),1-EXP(-Presion_cilindro!$B$16*((Presion_cilindro!N264-(-K$4+Presion_cilindro!$B$34))/Presion_cilindro!$B$35)^(Presion_cilindro!$B$17+1)),0))/((Presion_cilindro!O264+Presion_cilindro!O265)/2)</f>
        <v>3.6454200754661348</v>
      </c>
      <c r="L273" s="27">
        <f>L272*(Presion_cilindro!O264/Presion_cilindro!O265)^Presion_cilindro!$B$9+10*(Presion_cilindro!$B$9-1)*Presion_cilindro!$B$33*(IF(Presion_cilindro!N265&gt;(-L$4+Presion_cilindro!$B$34),1-EXP(-Presion_cilindro!$B$16*((Presion_cilindro!N265-(-L$4+Presion_cilindro!$B$34))/Presion_cilindro!$B$35)^(Presion_cilindro!$B$17+1)),0)-IF(Presion_cilindro!N264&gt;(-L$4+Presion_cilindro!$B$34),1-EXP(-Presion_cilindro!$B$16*((Presion_cilindro!N264-(-L$4+Presion_cilindro!$B$34))/Presion_cilindro!$B$35)^(Presion_cilindro!$B$17+1)),0))/((Presion_cilindro!O264+Presion_cilindro!O265)/2)</f>
        <v>3.6454200754661348</v>
      </c>
      <c r="M273" s="27">
        <f>M272*(Presion_cilindro!O264/Presion_cilindro!O265)^Presion_cilindro!$B$9+10*(Presion_cilindro!$B$9-1)*Presion_cilindro!$B$33*(IF(Presion_cilindro!N265&gt;(-M$4+Presion_cilindro!$B$34),1-EXP(-Presion_cilindro!$B$16*((Presion_cilindro!N265-(-M$4+Presion_cilindro!$B$34))/Presion_cilindro!$B$35)^(Presion_cilindro!$B$17+1)),0)-IF(Presion_cilindro!N264&gt;(-M$4+Presion_cilindro!$B$34),1-EXP(-Presion_cilindro!$B$16*((Presion_cilindro!N264-(-M$4+Presion_cilindro!$B$34))/Presion_cilindro!$B$35)^(Presion_cilindro!$B$17+1)),0))/((Presion_cilindro!O264+Presion_cilindro!O265)/2)</f>
        <v>3.6454200754661348</v>
      </c>
      <c r="N273" s="27">
        <f>N272*(Presion_cilindro!O264/Presion_cilindro!O265)^Presion_cilindro!$B$9+10*(Presion_cilindro!$B$9-1)*Presion_cilindro!$B$33*(IF(Presion_cilindro!N265&gt;(-N$4+Presion_cilindro!$B$34),1-EXP(-Presion_cilindro!$B$16*((Presion_cilindro!N265-(-N$4+Presion_cilindro!$B$34))/Presion_cilindro!$B$35)^(Presion_cilindro!$B$17+1)),0)-IF(Presion_cilindro!N264&gt;(-N$4+Presion_cilindro!$B$34),1-EXP(-Presion_cilindro!$B$16*((Presion_cilindro!N264-(-N$4+Presion_cilindro!$B$34))/Presion_cilindro!$B$35)^(Presion_cilindro!$B$17+1)),0))/((Presion_cilindro!O264+Presion_cilindro!O265)/2)</f>
        <v>3.6612997635083162</v>
      </c>
    </row>
    <row r="274" spans="1:14" x14ac:dyDescent="0.25">
      <c r="A274" s="21">
        <f>Presion_cilindro!N266</f>
        <v>-49</v>
      </c>
      <c r="B274" s="27">
        <f>B273*(Presion_cilindro!O265/Presion_cilindro!O266)^Presion_cilindro!$B$9+10*(Presion_cilindro!$B$9-1)*Presion_cilindro!$B$33*(IF(Presion_cilindro!N266&gt;(-B$4+Presion_cilindro!$B$34),1-EXP(-Presion_cilindro!$B$16*((Presion_cilindro!N266-(-B$4+Presion_cilindro!$B$34))/Presion_cilindro!$B$35)^(Presion_cilindro!$B$17+1)),0)-IF(Presion_cilindro!N265&gt;(-B$4+Presion_cilindro!$B$34),1-EXP(-Presion_cilindro!$B$16*((Presion_cilindro!N265-(-B$4+Presion_cilindro!$B$34))/Presion_cilindro!$B$35)^(Presion_cilindro!$B$17+1)),0))/((Presion_cilindro!O265+Presion_cilindro!O266)/2)</f>
        <v>3.7044053585359569</v>
      </c>
      <c r="C274" s="27">
        <f>C273*(Presion_cilindro!O265/Presion_cilindro!O266)^Presion_cilindro!$B$9+10*(Presion_cilindro!$B$9-1)*Presion_cilindro!$B$33*(IF(Presion_cilindro!N266&gt;(-C$4+Presion_cilindro!$B$34),1-EXP(-Presion_cilindro!$B$16*((Presion_cilindro!N266-(-C$4+Presion_cilindro!$B$34))/Presion_cilindro!$B$35)^(Presion_cilindro!$B$17+1)),0)-IF(Presion_cilindro!N265&gt;(-C$4+Presion_cilindro!$B$34),1-EXP(-Presion_cilindro!$B$16*((Presion_cilindro!N265-(-C$4+Presion_cilindro!$B$34))/Presion_cilindro!$B$35)^(Presion_cilindro!$B$17+1)),0))/((Presion_cilindro!O265+Presion_cilindro!O266)/2)</f>
        <v>3.7044053585359569</v>
      </c>
      <c r="D274" s="27">
        <f>D273*(Presion_cilindro!O265/Presion_cilindro!O266)^Presion_cilindro!$B$9+10*(Presion_cilindro!$B$9-1)*Presion_cilindro!$B$33*(IF(Presion_cilindro!N266&gt;(-D$4+Presion_cilindro!$B$34),1-EXP(-Presion_cilindro!$B$16*((Presion_cilindro!N266-(-D$4+Presion_cilindro!$B$34))/Presion_cilindro!$B$35)^(Presion_cilindro!$B$17+1)),0)-IF(Presion_cilindro!N265&gt;(-D$4+Presion_cilindro!$B$34),1-EXP(-Presion_cilindro!$B$16*((Presion_cilindro!N265-(-D$4+Presion_cilindro!$B$34))/Presion_cilindro!$B$35)^(Presion_cilindro!$B$17+1)),0))/((Presion_cilindro!O265+Presion_cilindro!O266)/2)</f>
        <v>3.7044053585359569</v>
      </c>
      <c r="E274" s="27">
        <f>E273*(Presion_cilindro!O265/Presion_cilindro!O266)^Presion_cilindro!$B$9+10*(Presion_cilindro!$B$9-1)*Presion_cilindro!$B$33*(IF(Presion_cilindro!N266&gt;(-E$4+Presion_cilindro!$B$34),1-EXP(-Presion_cilindro!$B$16*((Presion_cilindro!N266-(-E$4+Presion_cilindro!$B$34))/Presion_cilindro!$B$35)^(Presion_cilindro!$B$17+1)),0)-IF(Presion_cilindro!N265&gt;(-E$4+Presion_cilindro!$B$34),1-EXP(-Presion_cilindro!$B$16*((Presion_cilindro!N265-(-E$4+Presion_cilindro!$B$34))/Presion_cilindro!$B$35)^(Presion_cilindro!$B$17+1)),0))/((Presion_cilindro!O265+Presion_cilindro!O266)/2)</f>
        <v>3.7044053585359569</v>
      </c>
      <c r="F274" s="27">
        <f>F273*(Presion_cilindro!O265/Presion_cilindro!O266)^Presion_cilindro!$B$9+10*(Presion_cilindro!$B$9-1)*Presion_cilindro!$B$33*(IF(Presion_cilindro!N266&gt;(-F$4+Presion_cilindro!$B$34),1-EXP(-Presion_cilindro!$B$16*((Presion_cilindro!N266-(-F$4+Presion_cilindro!$B$34))/Presion_cilindro!$B$35)^(Presion_cilindro!$B$17+1)),0)-IF(Presion_cilindro!N265&gt;(-F$4+Presion_cilindro!$B$34),1-EXP(-Presion_cilindro!$B$16*((Presion_cilindro!N265-(-F$4+Presion_cilindro!$B$34))/Presion_cilindro!$B$35)^(Presion_cilindro!$B$17+1)),0))/((Presion_cilindro!O265+Presion_cilindro!O266)/2)</f>
        <v>3.7044053585359569</v>
      </c>
      <c r="G274" s="27">
        <f>G273*(Presion_cilindro!O265/Presion_cilindro!O266)^Presion_cilindro!$B$9+10*(Presion_cilindro!$B$9-1)*Presion_cilindro!$B$33*(IF(Presion_cilindro!N266&gt;(-G$4+Presion_cilindro!$B$34),1-EXP(-Presion_cilindro!$B$16*((Presion_cilindro!N266-(-G$4+Presion_cilindro!$B$34))/Presion_cilindro!$B$35)^(Presion_cilindro!$B$17+1)),0)-IF(Presion_cilindro!N265&gt;(-G$4+Presion_cilindro!$B$34),1-EXP(-Presion_cilindro!$B$16*((Presion_cilindro!N265-(-G$4+Presion_cilindro!$B$34))/Presion_cilindro!$B$35)^(Presion_cilindro!$B$17+1)),0))/((Presion_cilindro!O265+Presion_cilindro!O266)/2)</f>
        <v>3.7044053585359569</v>
      </c>
      <c r="H274" s="27">
        <f>H273*(Presion_cilindro!O265/Presion_cilindro!O266)^Presion_cilindro!$B$9+10*(Presion_cilindro!$B$9-1)*Presion_cilindro!$B$33*(IF(Presion_cilindro!N266&gt;(-H$4+Presion_cilindro!$B$34),1-EXP(-Presion_cilindro!$B$16*((Presion_cilindro!N266-(-H$4+Presion_cilindro!$B$34))/Presion_cilindro!$B$35)^(Presion_cilindro!$B$17+1)),0)-IF(Presion_cilindro!N265&gt;(-H$4+Presion_cilindro!$B$34),1-EXP(-Presion_cilindro!$B$16*((Presion_cilindro!N265-(-H$4+Presion_cilindro!$B$34))/Presion_cilindro!$B$35)^(Presion_cilindro!$B$17+1)),0))/((Presion_cilindro!O265+Presion_cilindro!O266)/2)</f>
        <v>3.7044053585359569</v>
      </c>
      <c r="I274" s="27">
        <f>I273*(Presion_cilindro!O265/Presion_cilindro!O266)^Presion_cilindro!$B$9+10*(Presion_cilindro!$B$9-1)*Presion_cilindro!$B$33*(IF(Presion_cilindro!N266&gt;(-I$4+Presion_cilindro!$B$34),1-EXP(-Presion_cilindro!$B$16*((Presion_cilindro!N266-(-I$4+Presion_cilindro!$B$34))/Presion_cilindro!$B$35)^(Presion_cilindro!$B$17+1)),0)-IF(Presion_cilindro!N265&gt;(-I$4+Presion_cilindro!$B$34),1-EXP(-Presion_cilindro!$B$16*((Presion_cilindro!N265-(-I$4+Presion_cilindro!$B$34))/Presion_cilindro!$B$35)^(Presion_cilindro!$B$17+1)),0))/((Presion_cilindro!O265+Presion_cilindro!O266)/2)</f>
        <v>3.7044053585359569</v>
      </c>
      <c r="J274" s="27">
        <f>J273*(Presion_cilindro!O265/Presion_cilindro!O266)^Presion_cilindro!$B$9+10*(Presion_cilindro!$B$9-1)*Presion_cilindro!$B$33*(IF(Presion_cilindro!N266&gt;(-J$4+Presion_cilindro!$B$34),1-EXP(-Presion_cilindro!$B$16*((Presion_cilindro!N266-(-J$4+Presion_cilindro!$B$34))/Presion_cilindro!$B$35)^(Presion_cilindro!$B$17+1)),0)-IF(Presion_cilindro!N265&gt;(-J$4+Presion_cilindro!$B$34),1-EXP(-Presion_cilindro!$B$16*((Presion_cilindro!N265-(-J$4+Presion_cilindro!$B$34))/Presion_cilindro!$B$35)^(Presion_cilindro!$B$17+1)),0))/((Presion_cilindro!O265+Presion_cilindro!O266)/2)</f>
        <v>3.7044053585359569</v>
      </c>
      <c r="K274" s="27">
        <f>K273*(Presion_cilindro!O265/Presion_cilindro!O266)^Presion_cilindro!$B$9+10*(Presion_cilindro!$B$9-1)*Presion_cilindro!$B$33*(IF(Presion_cilindro!N266&gt;(-K$4+Presion_cilindro!$B$34),1-EXP(-Presion_cilindro!$B$16*((Presion_cilindro!N266-(-K$4+Presion_cilindro!$B$34))/Presion_cilindro!$B$35)^(Presion_cilindro!$B$17+1)),0)-IF(Presion_cilindro!N265&gt;(-K$4+Presion_cilindro!$B$34),1-EXP(-Presion_cilindro!$B$16*((Presion_cilindro!N265-(-K$4+Presion_cilindro!$B$34))/Presion_cilindro!$B$35)^(Presion_cilindro!$B$17+1)),0))/((Presion_cilindro!O265+Presion_cilindro!O266)/2)</f>
        <v>3.7044053585359569</v>
      </c>
      <c r="L274" s="27">
        <f>L273*(Presion_cilindro!O265/Presion_cilindro!O266)^Presion_cilindro!$B$9+10*(Presion_cilindro!$B$9-1)*Presion_cilindro!$B$33*(IF(Presion_cilindro!N266&gt;(-L$4+Presion_cilindro!$B$34),1-EXP(-Presion_cilindro!$B$16*((Presion_cilindro!N266-(-L$4+Presion_cilindro!$B$34))/Presion_cilindro!$B$35)^(Presion_cilindro!$B$17+1)),0)-IF(Presion_cilindro!N265&gt;(-L$4+Presion_cilindro!$B$34),1-EXP(-Presion_cilindro!$B$16*((Presion_cilindro!N265-(-L$4+Presion_cilindro!$B$34))/Presion_cilindro!$B$35)^(Presion_cilindro!$B$17+1)),0))/((Presion_cilindro!O265+Presion_cilindro!O266)/2)</f>
        <v>3.7044053585359569</v>
      </c>
      <c r="M274" s="27">
        <f>M273*(Presion_cilindro!O265/Presion_cilindro!O266)^Presion_cilindro!$B$9+10*(Presion_cilindro!$B$9-1)*Presion_cilindro!$B$33*(IF(Presion_cilindro!N266&gt;(-M$4+Presion_cilindro!$B$34),1-EXP(-Presion_cilindro!$B$16*((Presion_cilindro!N266-(-M$4+Presion_cilindro!$B$34))/Presion_cilindro!$B$35)^(Presion_cilindro!$B$17+1)),0)-IF(Presion_cilindro!N265&gt;(-M$4+Presion_cilindro!$B$34),1-EXP(-Presion_cilindro!$B$16*((Presion_cilindro!N265-(-M$4+Presion_cilindro!$B$34))/Presion_cilindro!$B$35)^(Presion_cilindro!$B$17+1)),0))/((Presion_cilindro!O265+Presion_cilindro!O266)/2)</f>
        <v>3.7044053585359569</v>
      </c>
      <c r="N274" s="27">
        <f>N273*(Presion_cilindro!O265/Presion_cilindro!O266)^Presion_cilindro!$B$9+10*(Presion_cilindro!$B$9-1)*Presion_cilindro!$B$33*(IF(Presion_cilindro!N266&gt;(-N$4+Presion_cilindro!$B$34),1-EXP(-Presion_cilindro!$B$16*((Presion_cilindro!N266-(-N$4+Presion_cilindro!$B$34))/Presion_cilindro!$B$35)^(Presion_cilindro!$B$17+1)),0)-IF(Presion_cilindro!N265&gt;(-N$4+Presion_cilindro!$B$34),1-EXP(-Presion_cilindro!$B$16*((Presion_cilindro!N265-(-N$4+Presion_cilindro!$B$34))/Presion_cilindro!$B$35)^(Presion_cilindro!$B$17+1)),0))/((Presion_cilindro!O265+Presion_cilindro!O266)/2)</f>
        <v>3.728960678957721</v>
      </c>
    </row>
    <row r="275" spans="1:14" x14ac:dyDescent="0.25">
      <c r="A275" s="21">
        <f>Presion_cilindro!N267</f>
        <v>-48.5</v>
      </c>
      <c r="B275" s="27">
        <f>B274*(Presion_cilindro!O266/Presion_cilindro!O267)^Presion_cilindro!$B$9+10*(Presion_cilindro!$B$9-1)*Presion_cilindro!$B$33*(IF(Presion_cilindro!N267&gt;(-B$4+Presion_cilindro!$B$34),1-EXP(-Presion_cilindro!$B$16*((Presion_cilindro!N267-(-B$4+Presion_cilindro!$B$34))/Presion_cilindro!$B$35)^(Presion_cilindro!$B$17+1)),0)-IF(Presion_cilindro!N266&gt;(-B$4+Presion_cilindro!$B$34),1-EXP(-Presion_cilindro!$B$16*((Presion_cilindro!N266-(-B$4+Presion_cilindro!$B$34))/Presion_cilindro!$B$35)^(Presion_cilindro!$B$17+1)),0))/((Presion_cilindro!O266+Presion_cilindro!O267)/2)</f>
        <v>3.764713341948192</v>
      </c>
      <c r="C275" s="27">
        <f>C274*(Presion_cilindro!O266/Presion_cilindro!O267)^Presion_cilindro!$B$9+10*(Presion_cilindro!$B$9-1)*Presion_cilindro!$B$33*(IF(Presion_cilindro!N267&gt;(-C$4+Presion_cilindro!$B$34),1-EXP(-Presion_cilindro!$B$16*((Presion_cilindro!N267-(-C$4+Presion_cilindro!$B$34))/Presion_cilindro!$B$35)^(Presion_cilindro!$B$17+1)),0)-IF(Presion_cilindro!N266&gt;(-C$4+Presion_cilindro!$B$34),1-EXP(-Presion_cilindro!$B$16*((Presion_cilindro!N266-(-C$4+Presion_cilindro!$B$34))/Presion_cilindro!$B$35)^(Presion_cilindro!$B$17+1)),0))/((Presion_cilindro!O266+Presion_cilindro!O267)/2)</f>
        <v>3.764713341948192</v>
      </c>
      <c r="D275" s="27">
        <f>D274*(Presion_cilindro!O266/Presion_cilindro!O267)^Presion_cilindro!$B$9+10*(Presion_cilindro!$B$9-1)*Presion_cilindro!$B$33*(IF(Presion_cilindro!N267&gt;(-D$4+Presion_cilindro!$B$34),1-EXP(-Presion_cilindro!$B$16*((Presion_cilindro!N267-(-D$4+Presion_cilindro!$B$34))/Presion_cilindro!$B$35)^(Presion_cilindro!$B$17+1)),0)-IF(Presion_cilindro!N266&gt;(-D$4+Presion_cilindro!$B$34),1-EXP(-Presion_cilindro!$B$16*((Presion_cilindro!N266-(-D$4+Presion_cilindro!$B$34))/Presion_cilindro!$B$35)^(Presion_cilindro!$B$17+1)),0))/((Presion_cilindro!O266+Presion_cilindro!O267)/2)</f>
        <v>3.764713341948192</v>
      </c>
      <c r="E275" s="27">
        <f>E274*(Presion_cilindro!O266/Presion_cilindro!O267)^Presion_cilindro!$B$9+10*(Presion_cilindro!$B$9-1)*Presion_cilindro!$B$33*(IF(Presion_cilindro!N267&gt;(-E$4+Presion_cilindro!$B$34),1-EXP(-Presion_cilindro!$B$16*((Presion_cilindro!N267-(-E$4+Presion_cilindro!$B$34))/Presion_cilindro!$B$35)^(Presion_cilindro!$B$17+1)),0)-IF(Presion_cilindro!N266&gt;(-E$4+Presion_cilindro!$B$34),1-EXP(-Presion_cilindro!$B$16*((Presion_cilindro!N266-(-E$4+Presion_cilindro!$B$34))/Presion_cilindro!$B$35)^(Presion_cilindro!$B$17+1)),0))/((Presion_cilindro!O266+Presion_cilindro!O267)/2)</f>
        <v>3.764713341948192</v>
      </c>
      <c r="F275" s="27">
        <f>F274*(Presion_cilindro!O266/Presion_cilindro!O267)^Presion_cilindro!$B$9+10*(Presion_cilindro!$B$9-1)*Presion_cilindro!$B$33*(IF(Presion_cilindro!N267&gt;(-F$4+Presion_cilindro!$B$34),1-EXP(-Presion_cilindro!$B$16*((Presion_cilindro!N267-(-F$4+Presion_cilindro!$B$34))/Presion_cilindro!$B$35)^(Presion_cilindro!$B$17+1)),0)-IF(Presion_cilindro!N266&gt;(-F$4+Presion_cilindro!$B$34),1-EXP(-Presion_cilindro!$B$16*((Presion_cilindro!N266-(-F$4+Presion_cilindro!$B$34))/Presion_cilindro!$B$35)^(Presion_cilindro!$B$17+1)),0))/((Presion_cilindro!O266+Presion_cilindro!O267)/2)</f>
        <v>3.764713341948192</v>
      </c>
      <c r="G275" s="27">
        <f>G274*(Presion_cilindro!O266/Presion_cilindro!O267)^Presion_cilindro!$B$9+10*(Presion_cilindro!$B$9-1)*Presion_cilindro!$B$33*(IF(Presion_cilindro!N267&gt;(-G$4+Presion_cilindro!$B$34),1-EXP(-Presion_cilindro!$B$16*((Presion_cilindro!N267-(-G$4+Presion_cilindro!$B$34))/Presion_cilindro!$B$35)^(Presion_cilindro!$B$17+1)),0)-IF(Presion_cilindro!N266&gt;(-G$4+Presion_cilindro!$B$34),1-EXP(-Presion_cilindro!$B$16*((Presion_cilindro!N266-(-G$4+Presion_cilindro!$B$34))/Presion_cilindro!$B$35)^(Presion_cilindro!$B$17+1)),0))/((Presion_cilindro!O266+Presion_cilindro!O267)/2)</f>
        <v>3.764713341948192</v>
      </c>
      <c r="H275" s="27">
        <f>H274*(Presion_cilindro!O266/Presion_cilindro!O267)^Presion_cilindro!$B$9+10*(Presion_cilindro!$B$9-1)*Presion_cilindro!$B$33*(IF(Presion_cilindro!N267&gt;(-H$4+Presion_cilindro!$B$34),1-EXP(-Presion_cilindro!$B$16*((Presion_cilindro!N267-(-H$4+Presion_cilindro!$B$34))/Presion_cilindro!$B$35)^(Presion_cilindro!$B$17+1)),0)-IF(Presion_cilindro!N266&gt;(-H$4+Presion_cilindro!$B$34),1-EXP(-Presion_cilindro!$B$16*((Presion_cilindro!N266-(-H$4+Presion_cilindro!$B$34))/Presion_cilindro!$B$35)^(Presion_cilindro!$B$17+1)),0))/((Presion_cilindro!O266+Presion_cilindro!O267)/2)</f>
        <v>3.764713341948192</v>
      </c>
      <c r="I275" s="27">
        <f>I274*(Presion_cilindro!O266/Presion_cilindro!O267)^Presion_cilindro!$B$9+10*(Presion_cilindro!$B$9-1)*Presion_cilindro!$B$33*(IF(Presion_cilindro!N267&gt;(-I$4+Presion_cilindro!$B$34),1-EXP(-Presion_cilindro!$B$16*((Presion_cilindro!N267-(-I$4+Presion_cilindro!$B$34))/Presion_cilindro!$B$35)^(Presion_cilindro!$B$17+1)),0)-IF(Presion_cilindro!N266&gt;(-I$4+Presion_cilindro!$B$34),1-EXP(-Presion_cilindro!$B$16*((Presion_cilindro!N266-(-I$4+Presion_cilindro!$B$34))/Presion_cilindro!$B$35)^(Presion_cilindro!$B$17+1)),0))/((Presion_cilindro!O266+Presion_cilindro!O267)/2)</f>
        <v>3.764713341948192</v>
      </c>
      <c r="J275" s="27">
        <f>J274*(Presion_cilindro!O266/Presion_cilindro!O267)^Presion_cilindro!$B$9+10*(Presion_cilindro!$B$9-1)*Presion_cilindro!$B$33*(IF(Presion_cilindro!N267&gt;(-J$4+Presion_cilindro!$B$34),1-EXP(-Presion_cilindro!$B$16*((Presion_cilindro!N267-(-J$4+Presion_cilindro!$B$34))/Presion_cilindro!$B$35)^(Presion_cilindro!$B$17+1)),0)-IF(Presion_cilindro!N266&gt;(-J$4+Presion_cilindro!$B$34),1-EXP(-Presion_cilindro!$B$16*((Presion_cilindro!N266-(-J$4+Presion_cilindro!$B$34))/Presion_cilindro!$B$35)^(Presion_cilindro!$B$17+1)),0))/((Presion_cilindro!O266+Presion_cilindro!O267)/2)</f>
        <v>3.764713341948192</v>
      </c>
      <c r="K275" s="27">
        <f>K274*(Presion_cilindro!O266/Presion_cilindro!O267)^Presion_cilindro!$B$9+10*(Presion_cilindro!$B$9-1)*Presion_cilindro!$B$33*(IF(Presion_cilindro!N267&gt;(-K$4+Presion_cilindro!$B$34),1-EXP(-Presion_cilindro!$B$16*((Presion_cilindro!N267-(-K$4+Presion_cilindro!$B$34))/Presion_cilindro!$B$35)^(Presion_cilindro!$B$17+1)),0)-IF(Presion_cilindro!N266&gt;(-K$4+Presion_cilindro!$B$34),1-EXP(-Presion_cilindro!$B$16*((Presion_cilindro!N266-(-K$4+Presion_cilindro!$B$34))/Presion_cilindro!$B$35)^(Presion_cilindro!$B$17+1)),0))/((Presion_cilindro!O266+Presion_cilindro!O267)/2)</f>
        <v>3.764713341948192</v>
      </c>
      <c r="L275" s="27">
        <f>L274*(Presion_cilindro!O266/Presion_cilindro!O267)^Presion_cilindro!$B$9+10*(Presion_cilindro!$B$9-1)*Presion_cilindro!$B$33*(IF(Presion_cilindro!N267&gt;(-L$4+Presion_cilindro!$B$34),1-EXP(-Presion_cilindro!$B$16*((Presion_cilindro!N267-(-L$4+Presion_cilindro!$B$34))/Presion_cilindro!$B$35)^(Presion_cilindro!$B$17+1)),0)-IF(Presion_cilindro!N266&gt;(-L$4+Presion_cilindro!$B$34),1-EXP(-Presion_cilindro!$B$16*((Presion_cilindro!N266-(-L$4+Presion_cilindro!$B$34))/Presion_cilindro!$B$35)^(Presion_cilindro!$B$17+1)),0))/((Presion_cilindro!O266+Presion_cilindro!O267)/2)</f>
        <v>3.764713341948192</v>
      </c>
      <c r="M275" s="27">
        <f>M274*(Presion_cilindro!O266/Presion_cilindro!O267)^Presion_cilindro!$B$9+10*(Presion_cilindro!$B$9-1)*Presion_cilindro!$B$33*(IF(Presion_cilindro!N267&gt;(-M$4+Presion_cilindro!$B$34),1-EXP(-Presion_cilindro!$B$16*((Presion_cilindro!N267-(-M$4+Presion_cilindro!$B$34))/Presion_cilindro!$B$35)^(Presion_cilindro!$B$17+1)),0)-IF(Presion_cilindro!N266&gt;(-M$4+Presion_cilindro!$B$34),1-EXP(-Presion_cilindro!$B$16*((Presion_cilindro!N266-(-M$4+Presion_cilindro!$B$34))/Presion_cilindro!$B$35)^(Presion_cilindro!$B$17+1)),0))/((Presion_cilindro!O266+Presion_cilindro!O267)/2)</f>
        <v>3.764713341948192</v>
      </c>
      <c r="N275" s="27">
        <f>N274*(Presion_cilindro!O266/Presion_cilindro!O267)^Presion_cilindro!$B$9+10*(Presion_cilindro!$B$9-1)*Presion_cilindro!$B$33*(IF(Presion_cilindro!N267&gt;(-N$4+Presion_cilindro!$B$34),1-EXP(-Presion_cilindro!$B$16*((Presion_cilindro!N267-(-N$4+Presion_cilindro!$B$34))/Presion_cilindro!$B$35)^(Presion_cilindro!$B$17+1)),0)-IF(Presion_cilindro!N266&gt;(-N$4+Presion_cilindro!$B$34),1-EXP(-Presion_cilindro!$B$16*((Presion_cilindro!N266-(-N$4+Presion_cilindro!$B$34))/Presion_cilindro!$B$35)^(Presion_cilindro!$B$17+1)),0))/((Presion_cilindro!O266+Presion_cilindro!O267)/2)</f>
        <v>3.8007448904873873</v>
      </c>
    </row>
    <row r="276" spans="1:14" x14ac:dyDescent="0.25">
      <c r="A276" s="21">
        <f>Presion_cilindro!N268</f>
        <v>-48</v>
      </c>
      <c r="B276" s="27">
        <f>B275*(Presion_cilindro!O267/Presion_cilindro!O268)^Presion_cilindro!$B$9+10*(Presion_cilindro!$B$9-1)*Presion_cilindro!$B$33*(IF(Presion_cilindro!N268&gt;(-B$4+Presion_cilindro!$B$34),1-EXP(-Presion_cilindro!$B$16*((Presion_cilindro!N268-(-B$4+Presion_cilindro!$B$34))/Presion_cilindro!$B$35)^(Presion_cilindro!$B$17+1)),0)-IF(Presion_cilindro!N267&gt;(-B$4+Presion_cilindro!$B$34),1-EXP(-Presion_cilindro!$B$16*((Presion_cilindro!N267-(-B$4+Presion_cilindro!$B$34))/Presion_cilindro!$B$35)^(Presion_cilindro!$B$17+1)),0))/((Presion_cilindro!O267+Presion_cilindro!O268)/2)</f>
        <v>3.8263749256309607</v>
      </c>
      <c r="C276" s="27">
        <f>C275*(Presion_cilindro!O267/Presion_cilindro!O268)^Presion_cilindro!$B$9+10*(Presion_cilindro!$B$9-1)*Presion_cilindro!$B$33*(IF(Presion_cilindro!N268&gt;(-C$4+Presion_cilindro!$B$34),1-EXP(-Presion_cilindro!$B$16*((Presion_cilindro!N268-(-C$4+Presion_cilindro!$B$34))/Presion_cilindro!$B$35)^(Presion_cilindro!$B$17+1)),0)-IF(Presion_cilindro!N267&gt;(-C$4+Presion_cilindro!$B$34),1-EXP(-Presion_cilindro!$B$16*((Presion_cilindro!N267-(-C$4+Presion_cilindro!$B$34))/Presion_cilindro!$B$35)^(Presion_cilindro!$B$17+1)),0))/((Presion_cilindro!O267+Presion_cilindro!O268)/2)</f>
        <v>3.8263749256309607</v>
      </c>
      <c r="D276" s="27">
        <f>D275*(Presion_cilindro!O267/Presion_cilindro!O268)^Presion_cilindro!$B$9+10*(Presion_cilindro!$B$9-1)*Presion_cilindro!$B$33*(IF(Presion_cilindro!N268&gt;(-D$4+Presion_cilindro!$B$34),1-EXP(-Presion_cilindro!$B$16*((Presion_cilindro!N268-(-D$4+Presion_cilindro!$B$34))/Presion_cilindro!$B$35)^(Presion_cilindro!$B$17+1)),0)-IF(Presion_cilindro!N267&gt;(-D$4+Presion_cilindro!$B$34),1-EXP(-Presion_cilindro!$B$16*((Presion_cilindro!N267-(-D$4+Presion_cilindro!$B$34))/Presion_cilindro!$B$35)^(Presion_cilindro!$B$17+1)),0))/((Presion_cilindro!O267+Presion_cilindro!O268)/2)</f>
        <v>3.8263749256309607</v>
      </c>
      <c r="E276" s="27">
        <f>E275*(Presion_cilindro!O267/Presion_cilindro!O268)^Presion_cilindro!$B$9+10*(Presion_cilindro!$B$9-1)*Presion_cilindro!$B$33*(IF(Presion_cilindro!N268&gt;(-E$4+Presion_cilindro!$B$34),1-EXP(-Presion_cilindro!$B$16*((Presion_cilindro!N268-(-E$4+Presion_cilindro!$B$34))/Presion_cilindro!$B$35)^(Presion_cilindro!$B$17+1)),0)-IF(Presion_cilindro!N267&gt;(-E$4+Presion_cilindro!$B$34),1-EXP(-Presion_cilindro!$B$16*((Presion_cilindro!N267-(-E$4+Presion_cilindro!$B$34))/Presion_cilindro!$B$35)^(Presion_cilindro!$B$17+1)),0))/((Presion_cilindro!O267+Presion_cilindro!O268)/2)</f>
        <v>3.8263749256309607</v>
      </c>
      <c r="F276" s="27">
        <f>F275*(Presion_cilindro!O267/Presion_cilindro!O268)^Presion_cilindro!$B$9+10*(Presion_cilindro!$B$9-1)*Presion_cilindro!$B$33*(IF(Presion_cilindro!N268&gt;(-F$4+Presion_cilindro!$B$34),1-EXP(-Presion_cilindro!$B$16*((Presion_cilindro!N268-(-F$4+Presion_cilindro!$B$34))/Presion_cilindro!$B$35)^(Presion_cilindro!$B$17+1)),0)-IF(Presion_cilindro!N267&gt;(-F$4+Presion_cilindro!$B$34),1-EXP(-Presion_cilindro!$B$16*((Presion_cilindro!N267-(-F$4+Presion_cilindro!$B$34))/Presion_cilindro!$B$35)^(Presion_cilindro!$B$17+1)),0))/((Presion_cilindro!O267+Presion_cilindro!O268)/2)</f>
        <v>3.8263749256309607</v>
      </c>
      <c r="G276" s="27">
        <f>G275*(Presion_cilindro!O267/Presion_cilindro!O268)^Presion_cilindro!$B$9+10*(Presion_cilindro!$B$9-1)*Presion_cilindro!$B$33*(IF(Presion_cilindro!N268&gt;(-G$4+Presion_cilindro!$B$34),1-EXP(-Presion_cilindro!$B$16*((Presion_cilindro!N268-(-G$4+Presion_cilindro!$B$34))/Presion_cilindro!$B$35)^(Presion_cilindro!$B$17+1)),0)-IF(Presion_cilindro!N267&gt;(-G$4+Presion_cilindro!$B$34),1-EXP(-Presion_cilindro!$B$16*((Presion_cilindro!N267-(-G$4+Presion_cilindro!$B$34))/Presion_cilindro!$B$35)^(Presion_cilindro!$B$17+1)),0))/((Presion_cilindro!O267+Presion_cilindro!O268)/2)</f>
        <v>3.8263749256309607</v>
      </c>
      <c r="H276" s="27">
        <f>H275*(Presion_cilindro!O267/Presion_cilindro!O268)^Presion_cilindro!$B$9+10*(Presion_cilindro!$B$9-1)*Presion_cilindro!$B$33*(IF(Presion_cilindro!N268&gt;(-H$4+Presion_cilindro!$B$34),1-EXP(-Presion_cilindro!$B$16*((Presion_cilindro!N268-(-H$4+Presion_cilindro!$B$34))/Presion_cilindro!$B$35)^(Presion_cilindro!$B$17+1)),0)-IF(Presion_cilindro!N267&gt;(-H$4+Presion_cilindro!$B$34),1-EXP(-Presion_cilindro!$B$16*((Presion_cilindro!N267-(-H$4+Presion_cilindro!$B$34))/Presion_cilindro!$B$35)^(Presion_cilindro!$B$17+1)),0))/((Presion_cilindro!O267+Presion_cilindro!O268)/2)</f>
        <v>3.8263749256309607</v>
      </c>
      <c r="I276" s="27">
        <f>I275*(Presion_cilindro!O267/Presion_cilindro!O268)^Presion_cilindro!$B$9+10*(Presion_cilindro!$B$9-1)*Presion_cilindro!$B$33*(IF(Presion_cilindro!N268&gt;(-I$4+Presion_cilindro!$B$34),1-EXP(-Presion_cilindro!$B$16*((Presion_cilindro!N268-(-I$4+Presion_cilindro!$B$34))/Presion_cilindro!$B$35)^(Presion_cilindro!$B$17+1)),0)-IF(Presion_cilindro!N267&gt;(-I$4+Presion_cilindro!$B$34),1-EXP(-Presion_cilindro!$B$16*((Presion_cilindro!N267-(-I$4+Presion_cilindro!$B$34))/Presion_cilindro!$B$35)^(Presion_cilindro!$B$17+1)),0))/((Presion_cilindro!O267+Presion_cilindro!O268)/2)</f>
        <v>3.8263749256309607</v>
      </c>
      <c r="J276" s="27">
        <f>J275*(Presion_cilindro!O267/Presion_cilindro!O268)^Presion_cilindro!$B$9+10*(Presion_cilindro!$B$9-1)*Presion_cilindro!$B$33*(IF(Presion_cilindro!N268&gt;(-J$4+Presion_cilindro!$B$34),1-EXP(-Presion_cilindro!$B$16*((Presion_cilindro!N268-(-J$4+Presion_cilindro!$B$34))/Presion_cilindro!$B$35)^(Presion_cilindro!$B$17+1)),0)-IF(Presion_cilindro!N267&gt;(-J$4+Presion_cilindro!$B$34),1-EXP(-Presion_cilindro!$B$16*((Presion_cilindro!N267-(-J$4+Presion_cilindro!$B$34))/Presion_cilindro!$B$35)^(Presion_cilindro!$B$17+1)),0))/((Presion_cilindro!O267+Presion_cilindro!O268)/2)</f>
        <v>3.8263749256309607</v>
      </c>
      <c r="K276" s="27">
        <f>K275*(Presion_cilindro!O267/Presion_cilindro!O268)^Presion_cilindro!$B$9+10*(Presion_cilindro!$B$9-1)*Presion_cilindro!$B$33*(IF(Presion_cilindro!N268&gt;(-K$4+Presion_cilindro!$B$34),1-EXP(-Presion_cilindro!$B$16*((Presion_cilindro!N268-(-K$4+Presion_cilindro!$B$34))/Presion_cilindro!$B$35)^(Presion_cilindro!$B$17+1)),0)-IF(Presion_cilindro!N267&gt;(-K$4+Presion_cilindro!$B$34),1-EXP(-Presion_cilindro!$B$16*((Presion_cilindro!N267-(-K$4+Presion_cilindro!$B$34))/Presion_cilindro!$B$35)^(Presion_cilindro!$B$17+1)),0))/((Presion_cilindro!O267+Presion_cilindro!O268)/2)</f>
        <v>3.8263749256309607</v>
      </c>
      <c r="L276" s="27">
        <f>L275*(Presion_cilindro!O267/Presion_cilindro!O268)^Presion_cilindro!$B$9+10*(Presion_cilindro!$B$9-1)*Presion_cilindro!$B$33*(IF(Presion_cilindro!N268&gt;(-L$4+Presion_cilindro!$B$34),1-EXP(-Presion_cilindro!$B$16*((Presion_cilindro!N268-(-L$4+Presion_cilindro!$B$34))/Presion_cilindro!$B$35)^(Presion_cilindro!$B$17+1)),0)-IF(Presion_cilindro!N267&gt;(-L$4+Presion_cilindro!$B$34),1-EXP(-Presion_cilindro!$B$16*((Presion_cilindro!N267-(-L$4+Presion_cilindro!$B$34))/Presion_cilindro!$B$35)^(Presion_cilindro!$B$17+1)),0))/((Presion_cilindro!O267+Presion_cilindro!O268)/2)</f>
        <v>3.8263749256309607</v>
      </c>
      <c r="M276" s="27">
        <f>M275*(Presion_cilindro!O267/Presion_cilindro!O268)^Presion_cilindro!$B$9+10*(Presion_cilindro!$B$9-1)*Presion_cilindro!$B$33*(IF(Presion_cilindro!N268&gt;(-M$4+Presion_cilindro!$B$34),1-EXP(-Presion_cilindro!$B$16*((Presion_cilindro!N268-(-M$4+Presion_cilindro!$B$34))/Presion_cilindro!$B$35)^(Presion_cilindro!$B$17+1)),0)-IF(Presion_cilindro!N267&gt;(-M$4+Presion_cilindro!$B$34),1-EXP(-Presion_cilindro!$B$16*((Presion_cilindro!N267-(-M$4+Presion_cilindro!$B$34))/Presion_cilindro!$B$35)^(Presion_cilindro!$B$17+1)),0))/((Presion_cilindro!O267+Presion_cilindro!O268)/2)</f>
        <v>3.8263749256309607</v>
      </c>
      <c r="N276" s="27">
        <f>N275*(Presion_cilindro!O267/Presion_cilindro!O268)^Presion_cilindro!$B$9+10*(Presion_cilindro!$B$9-1)*Presion_cilindro!$B$33*(IF(Presion_cilindro!N268&gt;(-N$4+Presion_cilindro!$B$34),1-EXP(-Presion_cilindro!$B$16*((Presion_cilindro!N268-(-N$4+Presion_cilindro!$B$34))/Presion_cilindro!$B$35)^(Presion_cilindro!$B$17+1)),0)-IF(Presion_cilindro!N267&gt;(-N$4+Presion_cilindro!$B$34),1-EXP(-Presion_cilindro!$B$16*((Presion_cilindro!N267-(-N$4+Presion_cilindro!$B$34))/Presion_cilindro!$B$35)^(Presion_cilindro!$B$17+1)),0))/((Presion_cilindro!O267+Presion_cilindro!O268)/2)</f>
        <v>3.8771282746749947</v>
      </c>
    </row>
    <row r="277" spans="1:14" x14ac:dyDescent="0.25">
      <c r="A277" s="21">
        <f>Presion_cilindro!N269</f>
        <v>-47.5</v>
      </c>
      <c r="B277" s="27">
        <f>B276*(Presion_cilindro!O268/Presion_cilindro!O269)^Presion_cilindro!$B$9+10*(Presion_cilindro!$B$9-1)*Presion_cilindro!$B$33*(IF(Presion_cilindro!N269&gt;(-B$4+Presion_cilindro!$B$34),1-EXP(-Presion_cilindro!$B$16*((Presion_cilindro!N269-(-B$4+Presion_cilindro!$B$34))/Presion_cilindro!$B$35)^(Presion_cilindro!$B$17+1)),0)-IF(Presion_cilindro!N268&gt;(-B$4+Presion_cilindro!$B$34),1-EXP(-Presion_cilindro!$B$16*((Presion_cilindro!N268-(-B$4+Presion_cilindro!$B$34))/Presion_cilindro!$B$35)^(Presion_cilindro!$B$17+1)),0))/((Presion_cilindro!O268+Presion_cilindro!O269)/2)</f>
        <v>3.889421548085704</v>
      </c>
      <c r="C277" s="27">
        <f>C276*(Presion_cilindro!O268/Presion_cilindro!O269)^Presion_cilindro!$B$9+10*(Presion_cilindro!$B$9-1)*Presion_cilindro!$B$33*(IF(Presion_cilindro!N269&gt;(-C$4+Presion_cilindro!$B$34),1-EXP(-Presion_cilindro!$B$16*((Presion_cilindro!N269-(-C$4+Presion_cilindro!$B$34))/Presion_cilindro!$B$35)^(Presion_cilindro!$B$17+1)),0)-IF(Presion_cilindro!N268&gt;(-C$4+Presion_cilindro!$B$34),1-EXP(-Presion_cilindro!$B$16*((Presion_cilindro!N268-(-C$4+Presion_cilindro!$B$34))/Presion_cilindro!$B$35)^(Presion_cilindro!$B$17+1)),0))/((Presion_cilindro!O268+Presion_cilindro!O269)/2)</f>
        <v>3.889421548085704</v>
      </c>
      <c r="D277" s="27">
        <f>D276*(Presion_cilindro!O268/Presion_cilindro!O269)^Presion_cilindro!$B$9+10*(Presion_cilindro!$B$9-1)*Presion_cilindro!$B$33*(IF(Presion_cilindro!N269&gt;(-D$4+Presion_cilindro!$B$34),1-EXP(-Presion_cilindro!$B$16*((Presion_cilindro!N269-(-D$4+Presion_cilindro!$B$34))/Presion_cilindro!$B$35)^(Presion_cilindro!$B$17+1)),0)-IF(Presion_cilindro!N268&gt;(-D$4+Presion_cilindro!$B$34),1-EXP(-Presion_cilindro!$B$16*((Presion_cilindro!N268-(-D$4+Presion_cilindro!$B$34))/Presion_cilindro!$B$35)^(Presion_cilindro!$B$17+1)),0))/((Presion_cilindro!O268+Presion_cilindro!O269)/2)</f>
        <v>3.889421548085704</v>
      </c>
      <c r="E277" s="27">
        <f>E276*(Presion_cilindro!O268/Presion_cilindro!O269)^Presion_cilindro!$B$9+10*(Presion_cilindro!$B$9-1)*Presion_cilindro!$B$33*(IF(Presion_cilindro!N269&gt;(-E$4+Presion_cilindro!$B$34),1-EXP(-Presion_cilindro!$B$16*((Presion_cilindro!N269-(-E$4+Presion_cilindro!$B$34))/Presion_cilindro!$B$35)^(Presion_cilindro!$B$17+1)),0)-IF(Presion_cilindro!N268&gt;(-E$4+Presion_cilindro!$B$34),1-EXP(-Presion_cilindro!$B$16*((Presion_cilindro!N268-(-E$4+Presion_cilindro!$B$34))/Presion_cilindro!$B$35)^(Presion_cilindro!$B$17+1)),0))/((Presion_cilindro!O268+Presion_cilindro!O269)/2)</f>
        <v>3.889421548085704</v>
      </c>
      <c r="F277" s="27">
        <f>F276*(Presion_cilindro!O268/Presion_cilindro!O269)^Presion_cilindro!$B$9+10*(Presion_cilindro!$B$9-1)*Presion_cilindro!$B$33*(IF(Presion_cilindro!N269&gt;(-F$4+Presion_cilindro!$B$34),1-EXP(-Presion_cilindro!$B$16*((Presion_cilindro!N269-(-F$4+Presion_cilindro!$B$34))/Presion_cilindro!$B$35)^(Presion_cilindro!$B$17+1)),0)-IF(Presion_cilindro!N268&gt;(-F$4+Presion_cilindro!$B$34),1-EXP(-Presion_cilindro!$B$16*((Presion_cilindro!N268-(-F$4+Presion_cilindro!$B$34))/Presion_cilindro!$B$35)^(Presion_cilindro!$B$17+1)),0))/((Presion_cilindro!O268+Presion_cilindro!O269)/2)</f>
        <v>3.889421548085704</v>
      </c>
      <c r="G277" s="27">
        <f>G276*(Presion_cilindro!O268/Presion_cilindro!O269)^Presion_cilindro!$B$9+10*(Presion_cilindro!$B$9-1)*Presion_cilindro!$B$33*(IF(Presion_cilindro!N269&gt;(-G$4+Presion_cilindro!$B$34),1-EXP(-Presion_cilindro!$B$16*((Presion_cilindro!N269-(-G$4+Presion_cilindro!$B$34))/Presion_cilindro!$B$35)^(Presion_cilindro!$B$17+1)),0)-IF(Presion_cilindro!N268&gt;(-G$4+Presion_cilindro!$B$34),1-EXP(-Presion_cilindro!$B$16*((Presion_cilindro!N268-(-G$4+Presion_cilindro!$B$34))/Presion_cilindro!$B$35)^(Presion_cilindro!$B$17+1)),0))/((Presion_cilindro!O268+Presion_cilindro!O269)/2)</f>
        <v>3.889421548085704</v>
      </c>
      <c r="H277" s="27">
        <f>H276*(Presion_cilindro!O268/Presion_cilindro!O269)^Presion_cilindro!$B$9+10*(Presion_cilindro!$B$9-1)*Presion_cilindro!$B$33*(IF(Presion_cilindro!N269&gt;(-H$4+Presion_cilindro!$B$34),1-EXP(-Presion_cilindro!$B$16*((Presion_cilindro!N269-(-H$4+Presion_cilindro!$B$34))/Presion_cilindro!$B$35)^(Presion_cilindro!$B$17+1)),0)-IF(Presion_cilindro!N268&gt;(-H$4+Presion_cilindro!$B$34),1-EXP(-Presion_cilindro!$B$16*((Presion_cilindro!N268-(-H$4+Presion_cilindro!$B$34))/Presion_cilindro!$B$35)^(Presion_cilindro!$B$17+1)),0))/((Presion_cilindro!O268+Presion_cilindro!O269)/2)</f>
        <v>3.889421548085704</v>
      </c>
      <c r="I277" s="27">
        <f>I276*(Presion_cilindro!O268/Presion_cilindro!O269)^Presion_cilindro!$B$9+10*(Presion_cilindro!$B$9-1)*Presion_cilindro!$B$33*(IF(Presion_cilindro!N269&gt;(-I$4+Presion_cilindro!$B$34),1-EXP(-Presion_cilindro!$B$16*((Presion_cilindro!N269-(-I$4+Presion_cilindro!$B$34))/Presion_cilindro!$B$35)^(Presion_cilindro!$B$17+1)),0)-IF(Presion_cilindro!N268&gt;(-I$4+Presion_cilindro!$B$34),1-EXP(-Presion_cilindro!$B$16*((Presion_cilindro!N268-(-I$4+Presion_cilindro!$B$34))/Presion_cilindro!$B$35)^(Presion_cilindro!$B$17+1)),0))/((Presion_cilindro!O268+Presion_cilindro!O269)/2)</f>
        <v>3.889421548085704</v>
      </c>
      <c r="J277" s="27">
        <f>J276*(Presion_cilindro!O268/Presion_cilindro!O269)^Presion_cilindro!$B$9+10*(Presion_cilindro!$B$9-1)*Presion_cilindro!$B$33*(IF(Presion_cilindro!N269&gt;(-J$4+Presion_cilindro!$B$34),1-EXP(-Presion_cilindro!$B$16*((Presion_cilindro!N269-(-J$4+Presion_cilindro!$B$34))/Presion_cilindro!$B$35)^(Presion_cilindro!$B$17+1)),0)-IF(Presion_cilindro!N268&gt;(-J$4+Presion_cilindro!$B$34),1-EXP(-Presion_cilindro!$B$16*((Presion_cilindro!N268-(-J$4+Presion_cilindro!$B$34))/Presion_cilindro!$B$35)^(Presion_cilindro!$B$17+1)),0))/((Presion_cilindro!O268+Presion_cilindro!O269)/2)</f>
        <v>3.889421548085704</v>
      </c>
      <c r="K277" s="27">
        <f>K276*(Presion_cilindro!O268/Presion_cilindro!O269)^Presion_cilindro!$B$9+10*(Presion_cilindro!$B$9-1)*Presion_cilindro!$B$33*(IF(Presion_cilindro!N269&gt;(-K$4+Presion_cilindro!$B$34),1-EXP(-Presion_cilindro!$B$16*((Presion_cilindro!N269-(-K$4+Presion_cilindro!$B$34))/Presion_cilindro!$B$35)^(Presion_cilindro!$B$17+1)),0)-IF(Presion_cilindro!N268&gt;(-K$4+Presion_cilindro!$B$34),1-EXP(-Presion_cilindro!$B$16*((Presion_cilindro!N268-(-K$4+Presion_cilindro!$B$34))/Presion_cilindro!$B$35)^(Presion_cilindro!$B$17+1)),0))/((Presion_cilindro!O268+Presion_cilindro!O269)/2)</f>
        <v>3.889421548085704</v>
      </c>
      <c r="L277" s="27">
        <f>L276*(Presion_cilindro!O268/Presion_cilindro!O269)^Presion_cilindro!$B$9+10*(Presion_cilindro!$B$9-1)*Presion_cilindro!$B$33*(IF(Presion_cilindro!N269&gt;(-L$4+Presion_cilindro!$B$34),1-EXP(-Presion_cilindro!$B$16*((Presion_cilindro!N269-(-L$4+Presion_cilindro!$B$34))/Presion_cilindro!$B$35)^(Presion_cilindro!$B$17+1)),0)-IF(Presion_cilindro!N268&gt;(-L$4+Presion_cilindro!$B$34),1-EXP(-Presion_cilindro!$B$16*((Presion_cilindro!N268-(-L$4+Presion_cilindro!$B$34))/Presion_cilindro!$B$35)^(Presion_cilindro!$B$17+1)),0))/((Presion_cilindro!O268+Presion_cilindro!O269)/2)</f>
        <v>3.889421548085704</v>
      </c>
      <c r="M277" s="27">
        <f>M276*(Presion_cilindro!O268/Presion_cilindro!O269)^Presion_cilindro!$B$9+10*(Presion_cilindro!$B$9-1)*Presion_cilindro!$B$33*(IF(Presion_cilindro!N269&gt;(-M$4+Presion_cilindro!$B$34),1-EXP(-Presion_cilindro!$B$16*((Presion_cilindro!N269-(-M$4+Presion_cilindro!$B$34))/Presion_cilindro!$B$35)^(Presion_cilindro!$B$17+1)),0)-IF(Presion_cilindro!N268&gt;(-M$4+Presion_cilindro!$B$34),1-EXP(-Presion_cilindro!$B$16*((Presion_cilindro!N268-(-M$4+Presion_cilindro!$B$34))/Presion_cilindro!$B$35)^(Presion_cilindro!$B$17+1)),0))/((Presion_cilindro!O268+Presion_cilindro!O269)/2)</f>
        <v>3.8894340224218529</v>
      </c>
      <c r="N277" s="27">
        <f>N276*(Presion_cilindro!O268/Presion_cilindro!O269)^Presion_cilindro!$B$9+10*(Presion_cilindro!$B$9-1)*Presion_cilindro!$B$33*(IF(Presion_cilindro!N269&gt;(-N$4+Presion_cilindro!$B$34),1-EXP(-Presion_cilindro!$B$16*((Presion_cilindro!N269-(-N$4+Presion_cilindro!$B$34))/Presion_cilindro!$B$35)^(Presion_cilindro!$B$17+1)),0)-IF(Presion_cilindro!N268&gt;(-N$4+Presion_cilindro!$B$34),1-EXP(-Presion_cilindro!$B$16*((Presion_cilindro!N268-(-N$4+Presion_cilindro!$B$34))/Presion_cilindro!$B$35)^(Presion_cilindro!$B$17+1)),0))/((Presion_cilindro!O268+Presion_cilindro!O269)/2)</f>
        <v>3.9586055311292903</v>
      </c>
    </row>
    <row r="278" spans="1:14" x14ac:dyDescent="0.25">
      <c r="A278" s="21">
        <f>Presion_cilindro!N270</f>
        <v>-47</v>
      </c>
      <c r="B278" s="27">
        <f>B277*(Presion_cilindro!O269/Presion_cilindro!O270)^Presion_cilindro!$B$9+10*(Presion_cilindro!$B$9-1)*Presion_cilindro!$B$33*(IF(Presion_cilindro!N270&gt;(-B$4+Presion_cilindro!$B$34),1-EXP(-Presion_cilindro!$B$16*((Presion_cilindro!N270-(-B$4+Presion_cilindro!$B$34))/Presion_cilindro!$B$35)^(Presion_cilindro!$B$17+1)),0)-IF(Presion_cilindro!N269&gt;(-B$4+Presion_cilindro!$B$34),1-EXP(-Presion_cilindro!$B$16*((Presion_cilindro!N269-(-B$4+Presion_cilindro!$B$34))/Presion_cilindro!$B$35)^(Presion_cilindro!$B$17+1)),0))/((Presion_cilindro!O269+Presion_cilindro!O270)/2)</f>
        <v>3.9538851745926782</v>
      </c>
      <c r="C278" s="27">
        <f>C277*(Presion_cilindro!O269/Presion_cilindro!O270)^Presion_cilindro!$B$9+10*(Presion_cilindro!$B$9-1)*Presion_cilindro!$B$33*(IF(Presion_cilindro!N270&gt;(-C$4+Presion_cilindro!$B$34),1-EXP(-Presion_cilindro!$B$16*((Presion_cilindro!N270-(-C$4+Presion_cilindro!$B$34))/Presion_cilindro!$B$35)^(Presion_cilindro!$B$17+1)),0)-IF(Presion_cilindro!N269&gt;(-C$4+Presion_cilindro!$B$34),1-EXP(-Presion_cilindro!$B$16*((Presion_cilindro!N269-(-C$4+Presion_cilindro!$B$34))/Presion_cilindro!$B$35)^(Presion_cilindro!$B$17+1)),0))/((Presion_cilindro!O269+Presion_cilindro!O270)/2)</f>
        <v>3.9538851745926782</v>
      </c>
      <c r="D278" s="27">
        <f>D277*(Presion_cilindro!O269/Presion_cilindro!O270)^Presion_cilindro!$B$9+10*(Presion_cilindro!$B$9-1)*Presion_cilindro!$B$33*(IF(Presion_cilindro!N270&gt;(-D$4+Presion_cilindro!$B$34),1-EXP(-Presion_cilindro!$B$16*((Presion_cilindro!N270-(-D$4+Presion_cilindro!$B$34))/Presion_cilindro!$B$35)^(Presion_cilindro!$B$17+1)),0)-IF(Presion_cilindro!N269&gt;(-D$4+Presion_cilindro!$B$34),1-EXP(-Presion_cilindro!$B$16*((Presion_cilindro!N269-(-D$4+Presion_cilindro!$B$34))/Presion_cilindro!$B$35)^(Presion_cilindro!$B$17+1)),0))/((Presion_cilindro!O269+Presion_cilindro!O270)/2)</f>
        <v>3.9538851745926782</v>
      </c>
      <c r="E278" s="27">
        <f>E277*(Presion_cilindro!O269/Presion_cilindro!O270)^Presion_cilindro!$B$9+10*(Presion_cilindro!$B$9-1)*Presion_cilindro!$B$33*(IF(Presion_cilindro!N270&gt;(-E$4+Presion_cilindro!$B$34),1-EXP(-Presion_cilindro!$B$16*((Presion_cilindro!N270-(-E$4+Presion_cilindro!$B$34))/Presion_cilindro!$B$35)^(Presion_cilindro!$B$17+1)),0)-IF(Presion_cilindro!N269&gt;(-E$4+Presion_cilindro!$B$34),1-EXP(-Presion_cilindro!$B$16*((Presion_cilindro!N269-(-E$4+Presion_cilindro!$B$34))/Presion_cilindro!$B$35)^(Presion_cilindro!$B$17+1)),0))/((Presion_cilindro!O269+Presion_cilindro!O270)/2)</f>
        <v>3.9538851745926782</v>
      </c>
      <c r="F278" s="27">
        <f>F277*(Presion_cilindro!O269/Presion_cilindro!O270)^Presion_cilindro!$B$9+10*(Presion_cilindro!$B$9-1)*Presion_cilindro!$B$33*(IF(Presion_cilindro!N270&gt;(-F$4+Presion_cilindro!$B$34),1-EXP(-Presion_cilindro!$B$16*((Presion_cilindro!N270-(-F$4+Presion_cilindro!$B$34))/Presion_cilindro!$B$35)^(Presion_cilindro!$B$17+1)),0)-IF(Presion_cilindro!N269&gt;(-F$4+Presion_cilindro!$B$34),1-EXP(-Presion_cilindro!$B$16*((Presion_cilindro!N269-(-F$4+Presion_cilindro!$B$34))/Presion_cilindro!$B$35)^(Presion_cilindro!$B$17+1)),0))/((Presion_cilindro!O269+Presion_cilindro!O270)/2)</f>
        <v>3.9538851745926782</v>
      </c>
      <c r="G278" s="27">
        <f>G277*(Presion_cilindro!O269/Presion_cilindro!O270)^Presion_cilindro!$B$9+10*(Presion_cilindro!$B$9-1)*Presion_cilindro!$B$33*(IF(Presion_cilindro!N270&gt;(-G$4+Presion_cilindro!$B$34),1-EXP(-Presion_cilindro!$B$16*((Presion_cilindro!N270-(-G$4+Presion_cilindro!$B$34))/Presion_cilindro!$B$35)^(Presion_cilindro!$B$17+1)),0)-IF(Presion_cilindro!N269&gt;(-G$4+Presion_cilindro!$B$34),1-EXP(-Presion_cilindro!$B$16*((Presion_cilindro!N269-(-G$4+Presion_cilindro!$B$34))/Presion_cilindro!$B$35)^(Presion_cilindro!$B$17+1)),0))/((Presion_cilindro!O269+Presion_cilindro!O270)/2)</f>
        <v>3.9538851745926782</v>
      </c>
      <c r="H278" s="27">
        <f>H277*(Presion_cilindro!O269/Presion_cilindro!O270)^Presion_cilindro!$B$9+10*(Presion_cilindro!$B$9-1)*Presion_cilindro!$B$33*(IF(Presion_cilindro!N270&gt;(-H$4+Presion_cilindro!$B$34),1-EXP(-Presion_cilindro!$B$16*((Presion_cilindro!N270-(-H$4+Presion_cilindro!$B$34))/Presion_cilindro!$B$35)^(Presion_cilindro!$B$17+1)),0)-IF(Presion_cilindro!N269&gt;(-H$4+Presion_cilindro!$B$34),1-EXP(-Presion_cilindro!$B$16*((Presion_cilindro!N269-(-H$4+Presion_cilindro!$B$34))/Presion_cilindro!$B$35)^(Presion_cilindro!$B$17+1)),0))/((Presion_cilindro!O269+Presion_cilindro!O270)/2)</f>
        <v>3.9538851745926782</v>
      </c>
      <c r="I278" s="27">
        <f>I277*(Presion_cilindro!O269/Presion_cilindro!O270)^Presion_cilindro!$B$9+10*(Presion_cilindro!$B$9-1)*Presion_cilindro!$B$33*(IF(Presion_cilindro!N270&gt;(-I$4+Presion_cilindro!$B$34),1-EXP(-Presion_cilindro!$B$16*((Presion_cilindro!N270-(-I$4+Presion_cilindro!$B$34))/Presion_cilindro!$B$35)^(Presion_cilindro!$B$17+1)),0)-IF(Presion_cilindro!N269&gt;(-I$4+Presion_cilindro!$B$34),1-EXP(-Presion_cilindro!$B$16*((Presion_cilindro!N269-(-I$4+Presion_cilindro!$B$34))/Presion_cilindro!$B$35)^(Presion_cilindro!$B$17+1)),0))/((Presion_cilindro!O269+Presion_cilindro!O270)/2)</f>
        <v>3.9538851745926782</v>
      </c>
      <c r="J278" s="27">
        <f>J277*(Presion_cilindro!O269/Presion_cilindro!O270)^Presion_cilindro!$B$9+10*(Presion_cilindro!$B$9-1)*Presion_cilindro!$B$33*(IF(Presion_cilindro!N270&gt;(-J$4+Presion_cilindro!$B$34),1-EXP(-Presion_cilindro!$B$16*((Presion_cilindro!N270-(-J$4+Presion_cilindro!$B$34))/Presion_cilindro!$B$35)^(Presion_cilindro!$B$17+1)),0)-IF(Presion_cilindro!N269&gt;(-J$4+Presion_cilindro!$B$34),1-EXP(-Presion_cilindro!$B$16*((Presion_cilindro!N269-(-J$4+Presion_cilindro!$B$34))/Presion_cilindro!$B$35)^(Presion_cilindro!$B$17+1)),0))/((Presion_cilindro!O269+Presion_cilindro!O270)/2)</f>
        <v>3.9538851745926782</v>
      </c>
      <c r="K278" s="27">
        <f>K277*(Presion_cilindro!O269/Presion_cilindro!O270)^Presion_cilindro!$B$9+10*(Presion_cilindro!$B$9-1)*Presion_cilindro!$B$33*(IF(Presion_cilindro!N270&gt;(-K$4+Presion_cilindro!$B$34),1-EXP(-Presion_cilindro!$B$16*((Presion_cilindro!N270-(-K$4+Presion_cilindro!$B$34))/Presion_cilindro!$B$35)^(Presion_cilindro!$B$17+1)),0)-IF(Presion_cilindro!N269&gt;(-K$4+Presion_cilindro!$B$34),1-EXP(-Presion_cilindro!$B$16*((Presion_cilindro!N269-(-K$4+Presion_cilindro!$B$34))/Presion_cilindro!$B$35)^(Presion_cilindro!$B$17+1)),0))/((Presion_cilindro!O269+Presion_cilindro!O270)/2)</f>
        <v>3.9538851745926782</v>
      </c>
      <c r="L278" s="27">
        <f>L277*(Presion_cilindro!O269/Presion_cilindro!O270)^Presion_cilindro!$B$9+10*(Presion_cilindro!$B$9-1)*Presion_cilindro!$B$33*(IF(Presion_cilindro!N270&gt;(-L$4+Presion_cilindro!$B$34),1-EXP(-Presion_cilindro!$B$16*((Presion_cilindro!N270-(-L$4+Presion_cilindro!$B$34))/Presion_cilindro!$B$35)^(Presion_cilindro!$B$17+1)),0)-IF(Presion_cilindro!N269&gt;(-L$4+Presion_cilindro!$B$34),1-EXP(-Presion_cilindro!$B$16*((Presion_cilindro!N269-(-L$4+Presion_cilindro!$B$34))/Presion_cilindro!$B$35)^(Presion_cilindro!$B$17+1)),0))/((Presion_cilindro!O269+Presion_cilindro!O270)/2)</f>
        <v>3.9538851745926782</v>
      </c>
      <c r="M278" s="27">
        <f>M277*(Presion_cilindro!O269/Presion_cilindro!O270)^Presion_cilindro!$B$9+10*(Presion_cilindro!$B$9-1)*Presion_cilindro!$B$33*(IF(Presion_cilindro!N270&gt;(-M$4+Presion_cilindro!$B$34),1-EXP(-Presion_cilindro!$B$16*((Presion_cilindro!N270-(-M$4+Presion_cilindro!$B$34))/Presion_cilindro!$B$35)^(Presion_cilindro!$B$17+1)),0)-IF(Presion_cilindro!N269&gt;(-M$4+Presion_cilindro!$B$34),1-EXP(-Presion_cilindro!$B$16*((Presion_cilindro!N269-(-M$4+Presion_cilindro!$B$34))/Presion_cilindro!$B$35)^(Presion_cilindro!$B$17+1)),0))/((Presion_cilindro!O269+Presion_cilindro!O270)/2)</f>
        <v>3.954124707800919</v>
      </c>
      <c r="N278" s="27">
        <f>N277*(Presion_cilindro!O269/Presion_cilindro!O270)^Presion_cilindro!$B$9+10*(Presion_cilindro!$B$9-1)*Presion_cilindro!$B$33*(IF(Presion_cilindro!N270&gt;(-N$4+Presion_cilindro!$B$34),1-EXP(-Presion_cilindro!$B$16*((Presion_cilindro!N270-(-N$4+Presion_cilindro!$B$34))/Presion_cilindro!$B$35)^(Presion_cilindro!$B$17+1)),0)-IF(Presion_cilindro!N269&gt;(-N$4+Presion_cilindro!$B$34),1-EXP(-Presion_cilindro!$B$16*((Presion_cilindro!N269-(-N$4+Presion_cilindro!$B$34))/Presion_cilindro!$B$35)^(Presion_cilindro!$B$17+1)),0))/((Presion_cilindro!O269+Presion_cilindro!O270)/2)</f>
        <v>4.0456899754351765</v>
      </c>
    </row>
    <row r="279" spans="1:14" x14ac:dyDescent="0.25">
      <c r="A279" s="21">
        <f>Presion_cilindro!N271</f>
        <v>-46.5</v>
      </c>
      <c r="B279" s="27">
        <f>B278*(Presion_cilindro!O270/Presion_cilindro!O271)^Presion_cilindro!$B$9+10*(Presion_cilindro!$B$9-1)*Presion_cilindro!$B$33*(IF(Presion_cilindro!N271&gt;(-B$4+Presion_cilindro!$B$34),1-EXP(-Presion_cilindro!$B$16*((Presion_cilindro!N271-(-B$4+Presion_cilindro!$B$34))/Presion_cilindro!$B$35)^(Presion_cilindro!$B$17+1)),0)-IF(Presion_cilindro!N270&gt;(-B$4+Presion_cilindro!$B$34),1-EXP(-Presion_cilindro!$B$16*((Presion_cilindro!N270-(-B$4+Presion_cilindro!$B$34))/Presion_cilindro!$B$35)^(Presion_cilindro!$B$17+1)),0))/((Presion_cilindro!O270+Presion_cilindro!O271)/2)</f>
        <v>4.0197982829600507</v>
      </c>
      <c r="C279" s="27">
        <f>C278*(Presion_cilindro!O270/Presion_cilindro!O271)^Presion_cilindro!$B$9+10*(Presion_cilindro!$B$9-1)*Presion_cilindro!$B$33*(IF(Presion_cilindro!N271&gt;(-C$4+Presion_cilindro!$B$34),1-EXP(-Presion_cilindro!$B$16*((Presion_cilindro!N271-(-C$4+Presion_cilindro!$B$34))/Presion_cilindro!$B$35)^(Presion_cilindro!$B$17+1)),0)-IF(Presion_cilindro!N270&gt;(-C$4+Presion_cilindro!$B$34),1-EXP(-Presion_cilindro!$B$16*((Presion_cilindro!N270-(-C$4+Presion_cilindro!$B$34))/Presion_cilindro!$B$35)^(Presion_cilindro!$B$17+1)),0))/((Presion_cilindro!O270+Presion_cilindro!O271)/2)</f>
        <v>4.0197982829600507</v>
      </c>
      <c r="D279" s="27">
        <f>D278*(Presion_cilindro!O270/Presion_cilindro!O271)^Presion_cilindro!$B$9+10*(Presion_cilindro!$B$9-1)*Presion_cilindro!$B$33*(IF(Presion_cilindro!N271&gt;(-D$4+Presion_cilindro!$B$34),1-EXP(-Presion_cilindro!$B$16*((Presion_cilindro!N271-(-D$4+Presion_cilindro!$B$34))/Presion_cilindro!$B$35)^(Presion_cilindro!$B$17+1)),0)-IF(Presion_cilindro!N270&gt;(-D$4+Presion_cilindro!$B$34),1-EXP(-Presion_cilindro!$B$16*((Presion_cilindro!N270-(-D$4+Presion_cilindro!$B$34))/Presion_cilindro!$B$35)^(Presion_cilindro!$B$17+1)),0))/((Presion_cilindro!O270+Presion_cilindro!O271)/2)</f>
        <v>4.0197982829600507</v>
      </c>
      <c r="E279" s="27">
        <f>E278*(Presion_cilindro!O270/Presion_cilindro!O271)^Presion_cilindro!$B$9+10*(Presion_cilindro!$B$9-1)*Presion_cilindro!$B$33*(IF(Presion_cilindro!N271&gt;(-E$4+Presion_cilindro!$B$34),1-EXP(-Presion_cilindro!$B$16*((Presion_cilindro!N271-(-E$4+Presion_cilindro!$B$34))/Presion_cilindro!$B$35)^(Presion_cilindro!$B$17+1)),0)-IF(Presion_cilindro!N270&gt;(-E$4+Presion_cilindro!$B$34),1-EXP(-Presion_cilindro!$B$16*((Presion_cilindro!N270-(-E$4+Presion_cilindro!$B$34))/Presion_cilindro!$B$35)^(Presion_cilindro!$B$17+1)),0))/((Presion_cilindro!O270+Presion_cilindro!O271)/2)</f>
        <v>4.0197982829600507</v>
      </c>
      <c r="F279" s="27">
        <f>F278*(Presion_cilindro!O270/Presion_cilindro!O271)^Presion_cilindro!$B$9+10*(Presion_cilindro!$B$9-1)*Presion_cilindro!$B$33*(IF(Presion_cilindro!N271&gt;(-F$4+Presion_cilindro!$B$34),1-EXP(-Presion_cilindro!$B$16*((Presion_cilindro!N271-(-F$4+Presion_cilindro!$B$34))/Presion_cilindro!$B$35)^(Presion_cilindro!$B$17+1)),0)-IF(Presion_cilindro!N270&gt;(-F$4+Presion_cilindro!$B$34),1-EXP(-Presion_cilindro!$B$16*((Presion_cilindro!N270-(-F$4+Presion_cilindro!$B$34))/Presion_cilindro!$B$35)^(Presion_cilindro!$B$17+1)),0))/((Presion_cilindro!O270+Presion_cilindro!O271)/2)</f>
        <v>4.0197982829600507</v>
      </c>
      <c r="G279" s="27">
        <f>G278*(Presion_cilindro!O270/Presion_cilindro!O271)^Presion_cilindro!$B$9+10*(Presion_cilindro!$B$9-1)*Presion_cilindro!$B$33*(IF(Presion_cilindro!N271&gt;(-G$4+Presion_cilindro!$B$34),1-EXP(-Presion_cilindro!$B$16*((Presion_cilindro!N271-(-G$4+Presion_cilindro!$B$34))/Presion_cilindro!$B$35)^(Presion_cilindro!$B$17+1)),0)-IF(Presion_cilindro!N270&gt;(-G$4+Presion_cilindro!$B$34),1-EXP(-Presion_cilindro!$B$16*((Presion_cilindro!N270-(-G$4+Presion_cilindro!$B$34))/Presion_cilindro!$B$35)^(Presion_cilindro!$B$17+1)),0))/((Presion_cilindro!O270+Presion_cilindro!O271)/2)</f>
        <v>4.0197982829600507</v>
      </c>
      <c r="H279" s="27">
        <f>H278*(Presion_cilindro!O270/Presion_cilindro!O271)^Presion_cilindro!$B$9+10*(Presion_cilindro!$B$9-1)*Presion_cilindro!$B$33*(IF(Presion_cilindro!N271&gt;(-H$4+Presion_cilindro!$B$34),1-EXP(-Presion_cilindro!$B$16*((Presion_cilindro!N271-(-H$4+Presion_cilindro!$B$34))/Presion_cilindro!$B$35)^(Presion_cilindro!$B$17+1)),0)-IF(Presion_cilindro!N270&gt;(-H$4+Presion_cilindro!$B$34),1-EXP(-Presion_cilindro!$B$16*((Presion_cilindro!N270-(-H$4+Presion_cilindro!$B$34))/Presion_cilindro!$B$35)^(Presion_cilindro!$B$17+1)),0))/((Presion_cilindro!O270+Presion_cilindro!O271)/2)</f>
        <v>4.0197982829600507</v>
      </c>
      <c r="I279" s="27">
        <f>I278*(Presion_cilindro!O270/Presion_cilindro!O271)^Presion_cilindro!$B$9+10*(Presion_cilindro!$B$9-1)*Presion_cilindro!$B$33*(IF(Presion_cilindro!N271&gt;(-I$4+Presion_cilindro!$B$34),1-EXP(-Presion_cilindro!$B$16*((Presion_cilindro!N271-(-I$4+Presion_cilindro!$B$34))/Presion_cilindro!$B$35)^(Presion_cilindro!$B$17+1)),0)-IF(Presion_cilindro!N270&gt;(-I$4+Presion_cilindro!$B$34),1-EXP(-Presion_cilindro!$B$16*((Presion_cilindro!N270-(-I$4+Presion_cilindro!$B$34))/Presion_cilindro!$B$35)^(Presion_cilindro!$B$17+1)),0))/((Presion_cilindro!O270+Presion_cilindro!O271)/2)</f>
        <v>4.0197982829600507</v>
      </c>
      <c r="J279" s="27">
        <f>J278*(Presion_cilindro!O270/Presion_cilindro!O271)^Presion_cilindro!$B$9+10*(Presion_cilindro!$B$9-1)*Presion_cilindro!$B$33*(IF(Presion_cilindro!N271&gt;(-J$4+Presion_cilindro!$B$34),1-EXP(-Presion_cilindro!$B$16*((Presion_cilindro!N271-(-J$4+Presion_cilindro!$B$34))/Presion_cilindro!$B$35)^(Presion_cilindro!$B$17+1)),0)-IF(Presion_cilindro!N270&gt;(-J$4+Presion_cilindro!$B$34),1-EXP(-Presion_cilindro!$B$16*((Presion_cilindro!N270-(-J$4+Presion_cilindro!$B$34))/Presion_cilindro!$B$35)^(Presion_cilindro!$B$17+1)),0))/((Presion_cilindro!O270+Presion_cilindro!O271)/2)</f>
        <v>4.0197982829600507</v>
      </c>
      <c r="K279" s="27">
        <f>K278*(Presion_cilindro!O270/Presion_cilindro!O271)^Presion_cilindro!$B$9+10*(Presion_cilindro!$B$9-1)*Presion_cilindro!$B$33*(IF(Presion_cilindro!N271&gt;(-K$4+Presion_cilindro!$B$34),1-EXP(-Presion_cilindro!$B$16*((Presion_cilindro!N271-(-K$4+Presion_cilindro!$B$34))/Presion_cilindro!$B$35)^(Presion_cilindro!$B$17+1)),0)-IF(Presion_cilindro!N270&gt;(-K$4+Presion_cilindro!$B$34),1-EXP(-Presion_cilindro!$B$16*((Presion_cilindro!N270-(-K$4+Presion_cilindro!$B$34))/Presion_cilindro!$B$35)^(Presion_cilindro!$B$17+1)),0))/((Presion_cilindro!O270+Presion_cilindro!O271)/2)</f>
        <v>4.0197982829600507</v>
      </c>
      <c r="L279" s="27">
        <f>L278*(Presion_cilindro!O270/Presion_cilindro!O271)^Presion_cilindro!$B$9+10*(Presion_cilindro!$B$9-1)*Presion_cilindro!$B$33*(IF(Presion_cilindro!N271&gt;(-L$4+Presion_cilindro!$B$34),1-EXP(-Presion_cilindro!$B$16*((Presion_cilindro!N271-(-L$4+Presion_cilindro!$B$34))/Presion_cilindro!$B$35)^(Presion_cilindro!$B$17+1)),0)-IF(Presion_cilindro!N270&gt;(-L$4+Presion_cilindro!$B$34),1-EXP(-Presion_cilindro!$B$16*((Presion_cilindro!N270-(-L$4+Presion_cilindro!$B$34))/Presion_cilindro!$B$35)^(Presion_cilindro!$B$17+1)),0))/((Presion_cilindro!O270+Presion_cilindro!O271)/2)</f>
        <v>4.0197982829600507</v>
      </c>
      <c r="M279" s="27">
        <f>M278*(Presion_cilindro!O270/Presion_cilindro!O271)^Presion_cilindro!$B$9+10*(Presion_cilindro!$B$9-1)*Presion_cilindro!$B$33*(IF(Presion_cilindro!N271&gt;(-M$4+Presion_cilindro!$B$34),1-EXP(-Presion_cilindro!$B$16*((Presion_cilindro!N271-(-M$4+Presion_cilindro!$B$34))/Presion_cilindro!$B$35)^(Presion_cilindro!$B$17+1)),0)-IF(Presion_cilindro!N270&gt;(-M$4+Presion_cilindro!$B$34),1-EXP(-Presion_cilindro!$B$16*((Presion_cilindro!N270-(-M$4+Presion_cilindro!$B$34))/Presion_cilindro!$B$35)^(Presion_cilindro!$B$17+1)),0))/((Presion_cilindro!O270+Presion_cilindro!O271)/2)</f>
        <v>4.0208397392770747</v>
      </c>
      <c r="N279" s="27">
        <f>N278*(Presion_cilindro!O270/Presion_cilindro!O271)^Presion_cilindro!$B$9+10*(Presion_cilindro!$B$9-1)*Presion_cilindro!$B$33*(IF(Presion_cilindro!N271&gt;(-N$4+Presion_cilindro!$B$34),1-EXP(-Presion_cilindro!$B$16*((Presion_cilindro!N271-(-N$4+Presion_cilindro!$B$34))/Presion_cilindro!$B$35)^(Presion_cilindro!$B$17+1)),0)-IF(Presion_cilindro!N270&gt;(-N$4+Presion_cilindro!$B$34),1-EXP(-Presion_cilindro!$B$16*((Presion_cilindro!N270-(-N$4+Presion_cilindro!$B$34))/Presion_cilindro!$B$35)^(Presion_cilindro!$B$17+1)),0))/((Presion_cilindro!O270+Presion_cilindro!O271)/2)</f>
        <v>4.1389131791866198</v>
      </c>
    </row>
    <row r="280" spans="1:14" x14ac:dyDescent="0.25">
      <c r="A280" s="21">
        <f>Presion_cilindro!N272</f>
        <v>-46</v>
      </c>
      <c r="B280" s="27">
        <f>B279*(Presion_cilindro!O271/Presion_cilindro!O272)^Presion_cilindro!$B$9+10*(Presion_cilindro!$B$9-1)*Presion_cilindro!$B$33*(IF(Presion_cilindro!N272&gt;(-B$4+Presion_cilindro!$B$34),1-EXP(-Presion_cilindro!$B$16*((Presion_cilindro!N272-(-B$4+Presion_cilindro!$B$34))/Presion_cilindro!$B$35)^(Presion_cilindro!$B$17+1)),0)-IF(Presion_cilindro!N271&gt;(-B$4+Presion_cilindro!$B$34),1-EXP(-Presion_cilindro!$B$16*((Presion_cilindro!N271-(-B$4+Presion_cilindro!$B$34))/Presion_cilindro!$B$35)^(Presion_cilindro!$B$17+1)),0))/((Presion_cilindro!O271+Presion_cilindro!O272)/2)</f>
        <v>4.0871938465984918</v>
      </c>
      <c r="C280" s="27">
        <f>C279*(Presion_cilindro!O271/Presion_cilindro!O272)^Presion_cilindro!$B$9+10*(Presion_cilindro!$B$9-1)*Presion_cilindro!$B$33*(IF(Presion_cilindro!N272&gt;(-C$4+Presion_cilindro!$B$34),1-EXP(-Presion_cilindro!$B$16*((Presion_cilindro!N272-(-C$4+Presion_cilindro!$B$34))/Presion_cilindro!$B$35)^(Presion_cilindro!$B$17+1)),0)-IF(Presion_cilindro!N271&gt;(-C$4+Presion_cilindro!$B$34),1-EXP(-Presion_cilindro!$B$16*((Presion_cilindro!N271-(-C$4+Presion_cilindro!$B$34))/Presion_cilindro!$B$35)^(Presion_cilindro!$B$17+1)),0))/((Presion_cilindro!O271+Presion_cilindro!O272)/2)</f>
        <v>4.0871938465984918</v>
      </c>
      <c r="D280" s="27">
        <f>D279*(Presion_cilindro!O271/Presion_cilindro!O272)^Presion_cilindro!$B$9+10*(Presion_cilindro!$B$9-1)*Presion_cilindro!$B$33*(IF(Presion_cilindro!N272&gt;(-D$4+Presion_cilindro!$B$34),1-EXP(-Presion_cilindro!$B$16*((Presion_cilindro!N272-(-D$4+Presion_cilindro!$B$34))/Presion_cilindro!$B$35)^(Presion_cilindro!$B$17+1)),0)-IF(Presion_cilindro!N271&gt;(-D$4+Presion_cilindro!$B$34),1-EXP(-Presion_cilindro!$B$16*((Presion_cilindro!N271-(-D$4+Presion_cilindro!$B$34))/Presion_cilindro!$B$35)^(Presion_cilindro!$B$17+1)),0))/((Presion_cilindro!O271+Presion_cilindro!O272)/2)</f>
        <v>4.0871938465984918</v>
      </c>
      <c r="E280" s="27">
        <f>E279*(Presion_cilindro!O271/Presion_cilindro!O272)^Presion_cilindro!$B$9+10*(Presion_cilindro!$B$9-1)*Presion_cilindro!$B$33*(IF(Presion_cilindro!N272&gt;(-E$4+Presion_cilindro!$B$34),1-EXP(-Presion_cilindro!$B$16*((Presion_cilindro!N272-(-E$4+Presion_cilindro!$B$34))/Presion_cilindro!$B$35)^(Presion_cilindro!$B$17+1)),0)-IF(Presion_cilindro!N271&gt;(-E$4+Presion_cilindro!$B$34),1-EXP(-Presion_cilindro!$B$16*((Presion_cilindro!N271-(-E$4+Presion_cilindro!$B$34))/Presion_cilindro!$B$35)^(Presion_cilindro!$B$17+1)),0))/((Presion_cilindro!O271+Presion_cilindro!O272)/2)</f>
        <v>4.0871938465984918</v>
      </c>
      <c r="F280" s="27">
        <f>F279*(Presion_cilindro!O271/Presion_cilindro!O272)^Presion_cilindro!$B$9+10*(Presion_cilindro!$B$9-1)*Presion_cilindro!$B$33*(IF(Presion_cilindro!N272&gt;(-F$4+Presion_cilindro!$B$34),1-EXP(-Presion_cilindro!$B$16*((Presion_cilindro!N272-(-F$4+Presion_cilindro!$B$34))/Presion_cilindro!$B$35)^(Presion_cilindro!$B$17+1)),0)-IF(Presion_cilindro!N271&gt;(-F$4+Presion_cilindro!$B$34),1-EXP(-Presion_cilindro!$B$16*((Presion_cilindro!N271-(-F$4+Presion_cilindro!$B$34))/Presion_cilindro!$B$35)^(Presion_cilindro!$B$17+1)),0))/((Presion_cilindro!O271+Presion_cilindro!O272)/2)</f>
        <v>4.0871938465984918</v>
      </c>
      <c r="G280" s="27">
        <f>G279*(Presion_cilindro!O271/Presion_cilindro!O272)^Presion_cilindro!$B$9+10*(Presion_cilindro!$B$9-1)*Presion_cilindro!$B$33*(IF(Presion_cilindro!N272&gt;(-G$4+Presion_cilindro!$B$34),1-EXP(-Presion_cilindro!$B$16*((Presion_cilindro!N272-(-G$4+Presion_cilindro!$B$34))/Presion_cilindro!$B$35)^(Presion_cilindro!$B$17+1)),0)-IF(Presion_cilindro!N271&gt;(-G$4+Presion_cilindro!$B$34),1-EXP(-Presion_cilindro!$B$16*((Presion_cilindro!N271-(-G$4+Presion_cilindro!$B$34))/Presion_cilindro!$B$35)^(Presion_cilindro!$B$17+1)),0))/((Presion_cilindro!O271+Presion_cilindro!O272)/2)</f>
        <v>4.0871938465984918</v>
      </c>
      <c r="H280" s="27">
        <f>H279*(Presion_cilindro!O271/Presion_cilindro!O272)^Presion_cilindro!$B$9+10*(Presion_cilindro!$B$9-1)*Presion_cilindro!$B$33*(IF(Presion_cilindro!N272&gt;(-H$4+Presion_cilindro!$B$34),1-EXP(-Presion_cilindro!$B$16*((Presion_cilindro!N272-(-H$4+Presion_cilindro!$B$34))/Presion_cilindro!$B$35)^(Presion_cilindro!$B$17+1)),0)-IF(Presion_cilindro!N271&gt;(-H$4+Presion_cilindro!$B$34),1-EXP(-Presion_cilindro!$B$16*((Presion_cilindro!N271-(-H$4+Presion_cilindro!$B$34))/Presion_cilindro!$B$35)^(Presion_cilindro!$B$17+1)),0))/((Presion_cilindro!O271+Presion_cilindro!O272)/2)</f>
        <v>4.0871938465984918</v>
      </c>
      <c r="I280" s="27">
        <f>I279*(Presion_cilindro!O271/Presion_cilindro!O272)^Presion_cilindro!$B$9+10*(Presion_cilindro!$B$9-1)*Presion_cilindro!$B$33*(IF(Presion_cilindro!N272&gt;(-I$4+Presion_cilindro!$B$34),1-EXP(-Presion_cilindro!$B$16*((Presion_cilindro!N272-(-I$4+Presion_cilindro!$B$34))/Presion_cilindro!$B$35)^(Presion_cilindro!$B$17+1)),0)-IF(Presion_cilindro!N271&gt;(-I$4+Presion_cilindro!$B$34),1-EXP(-Presion_cilindro!$B$16*((Presion_cilindro!N271-(-I$4+Presion_cilindro!$B$34))/Presion_cilindro!$B$35)^(Presion_cilindro!$B$17+1)),0))/((Presion_cilindro!O271+Presion_cilindro!O272)/2)</f>
        <v>4.0871938465984918</v>
      </c>
      <c r="J280" s="27">
        <f>J279*(Presion_cilindro!O271/Presion_cilindro!O272)^Presion_cilindro!$B$9+10*(Presion_cilindro!$B$9-1)*Presion_cilindro!$B$33*(IF(Presion_cilindro!N272&gt;(-J$4+Presion_cilindro!$B$34),1-EXP(-Presion_cilindro!$B$16*((Presion_cilindro!N272-(-J$4+Presion_cilindro!$B$34))/Presion_cilindro!$B$35)^(Presion_cilindro!$B$17+1)),0)-IF(Presion_cilindro!N271&gt;(-J$4+Presion_cilindro!$B$34),1-EXP(-Presion_cilindro!$B$16*((Presion_cilindro!N271-(-J$4+Presion_cilindro!$B$34))/Presion_cilindro!$B$35)^(Presion_cilindro!$B$17+1)),0))/((Presion_cilindro!O271+Presion_cilindro!O272)/2)</f>
        <v>4.0871938465984918</v>
      </c>
      <c r="K280" s="27">
        <f>K279*(Presion_cilindro!O271/Presion_cilindro!O272)^Presion_cilindro!$B$9+10*(Presion_cilindro!$B$9-1)*Presion_cilindro!$B$33*(IF(Presion_cilindro!N272&gt;(-K$4+Presion_cilindro!$B$34),1-EXP(-Presion_cilindro!$B$16*((Presion_cilindro!N272-(-K$4+Presion_cilindro!$B$34))/Presion_cilindro!$B$35)^(Presion_cilindro!$B$17+1)),0)-IF(Presion_cilindro!N271&gt;(-K$4+Presion_cilindro!$B$34),1-EXP(-Presion_cilindro!$B$16*((Presion_cilindro!N271-(-K$4+Presion_cilindro!$B$34))/Presion_cilindro!$B$35)^(Presion_cilindro!$B$17+1)),0))/((Presion_cilindro!O271+Presion_cilindro!O272)/2)</f>
        <v>4.0871938465984918</v>
      </c>
      <c r="L280" s="27">
        <f>L279*(Presion_cilindro!O271/Presion_cilindro!O272)^Presion_cilindro!$B$9+10*(Presion_cilindro!$B$9-1)*Presion_cilindro!$B$33*(IF(Presion_cilindro!N272&gt;(-L$4+Presion_cilindro!$B$34),1-EXP(-Presion_cilindro!$B$16*((Presion_cilindro!N272-(-L$4+Presion_cilindro!$B$34))/Presion_cilindro!$B$35)^(Presion_cilindro!$B$17+1)),0)-IF(Presion_cilindro!N271&gt;(-L$4+Presion_cilindro!$B$34),1-EXP(-Presion_cilindro!$B$16*((Presion_cilindro!N271-(-L$4+Presion_cilindro!$B$34))/Presion_cilindro!$B$35)^(Presion_cilindro!$B$17+1)),0))/((Presion_cilindro!O271+Presion_cilindro!O272)/2)</f>
        <v>4.0871938465984918</v>
      </c>
      <c r="M280" s="27">
        <f>M279*(Presion_cilindro!O271/Presion_cilindro!O272)^Presion_cilindro!$B$9+10*(Presion_cilindro!$B$9-1)*Presion_cilindro!$B$33*(IF(Presion_cilindro!N272&gt;(-M$4+Presion_cilindro!$B$34),1-EXP(-Presion_cilindro!$B$16*((Presion_cilindro!N272-(-M$4+Presion_cilindro!$B$34))/Presion_cilindro!$B$35)^(Presion_cilindro!$B$17+1)),0)-IF(Presion_cilindro!N271&gt;(-M$4+Presion_cilindro!$B$34),1-EXP(-Presion_cilindro!$B$16*((Presion_cilindro!N271-(-M$4+Presion_cilindro!$B$34))/Presion_cilindro!$B$35)^(Presion_cilindro!$B$17+1)),0))/((Presion_cilindro!O271+Presion_cilindro!O272)/2)</f>
        <v>4.0899955168769413</v>
      </c>
      <c r="N280" s="27">
        <f>N279*(Presion_cilindro!O271/Presion_cilindro!O272)^Presion_cilindro!$B$9+10*(Presion_cilindro!$B$9-1)*Presion_cilindro!$B$33*(IF(Presion_cilindro!N272&gt;(-N$4+Presion_cilindro!$B$34),1-EXP(-Presion_cilindro!$B$16*((Presion_cilindro!N272-(-N$4+Presion_cilindro!$B$34))/Presion_cilindro!$B$35)^(Presion_cilindro!$B$17+1)),0)-IF(Presion_cilindro!N271&gt;(-N$4+Presion_cilindro!$B$34),1-EXP(-Presion_cilindro!$B$16*((Presion_cilindro!N271-(-N$4+Presion_cilindro!$B$34))/Presion_cilindro!$B$35)^(Presion_cilindro!$B$17+1)),0))/((Presion_cilindro!O271+Presion_cilindro!O272)/2)</f>
        <v>4.2388244472284189</v>
      </c>
    </row>
    <row r="281" spans="1:14" x14ac:dyDescent="0.25">
      <c r="A281" s="21">
        <f>Presion_cilindro!N273</f>
        <v>-45.5</v>
      </c>
      <c r="B281" s="27">
        <f>B280*(Presion_cilindro!O272/Presion_cilindro!O273)^Presion_cilindro!$B$9+10*(Presion_cilindro!$B$9-1)*Presion_cilindro!$B$33*(IF(Presion_cilindro!N273&gt;(-B$4+Presion_cilindro!$B$34),1-EXP(-Presion_cilindro!$B$16*((Presion_cilindro!N273-(-B$4+Presion_cilindro!$B$34))/Presion_cilindro!$B$35)^(Presion_cilindro!$B$17+1)),0)-IF(Presion_cilindro!N272&gt;(-B$4+Presion_cilindro!$B$34),1-EXP(-Presion_cilindro!$B$16*((Presion_cilindro!N272-(-B$4+Presion_cilindro!$B$34))/Presion_cilindro!$B$35)^(Presion_cilindro!$B$17+1)),0))/((Presion_cilindro!O272+Presion_cilindro!O273)/2)</f>
        <v>4.156105314688797</v>
      </c>
      <c r="C281" s="27">
        <f>C280*(Presion_cilindro!O272/Presion_cilindro!O273)^Presion_cilindro!$B$9+10*(Presion_cilindro!$B$9-1)*Presion_cilindro!$B$33*(IF(Presion_cilindro!N273&gt;(-C$4+Presion_cilindro!$B$34),1-EXP(-Presion_cilindro!$B$16*((Presion_cilindro!N273-(-C$4+Presion_cilindro!$B$34))/Presion_cilindro!$B$35)^(Presion_cilindro!$B$17+1)),0)-IF(Presion_cilindro!N272&gt;(-C$4+Presion_cilindro!$B$34),1-EXP(-Presion_cilindro!$B$16*((Presion_cilindro!N272-(-C$4+Presion_cilindro!$B$34))/Presion_cilindro!$B$35)^(Presion_cilindro!$B$17+1)),0))/((Presion_cilindro!O272+Presion_cilindro!O273)/2)</f>
        <v>4.156105314688797</v>
      </c>
      <c r="D281" s="27">
        <f>D280*(Presion_cilindro!O272/Presion_cilindro!O273)^Presion_cilindro!$B$9+10*(Presion_cilindro!$B$9-1)*Presion_cilindro!$B$33*(IF(Presion_cilindro!N273&gt;(-D$4+Presion_cilindro!$B$34),1-EXP(-Presion_cilindro!$B$16*((Presion_cilindro!N273-(-D$4+Presion_cilindro!$B$34))/Presion_cilindro!$B$35)^(Presion_cilindro!$B$17+1)),0)-IF(Presion_cilindro!N272&gt;(-D$4+Presion_cilindro!$B$34),1-EXP(-Presion_cilindro!$B$16*((Presion_cilindro!N272-(-D$4+Presion_cilindro!$B$34))/Presion_cilindro!$B$35)^(Presion_cilindro!$B$17+1)),0))/((Presion_cilindro!O272+Presion_cilindro!O273)/2)</f>
        <v>4.156105314688797</v>
      </c>
      <c r="E281" s="27">
        <f>E280*(Presion_cilindro!O272/Presion_cilindro!O273)^Presion_cilindro!$B$9+10*(Presion_cilindro!$B$9-1)*Presion_cilindro!$B$33*(IF(Presion_cilindro!N273&gt;(-E$4+Presion_cilindro!$B$34),1-EXP(-Presion_cilindro!$B$16*((Presion_cilindro!N273-(-E$4+Presion_cilindro!$B$34))/Presion_cilindro!$B$35)^(Presion_cilindro!$B$17+1)),0)-IF(Presion_cilindro!N272&gt;(-E$4+Presion_cilindro!$B$34),1-EXP(-Presion_cilindro!$B$16*((Presion_cilindro!N272-(-E$4+Presion_cilindro!$B$34))/Presion_cilindro!$B$35)^(Presion_cilindro!$B$17+1)),0))/((Presion_cilindro!O272+Presion_cilindro!O273)/2)</f>
        <v>4.156105314688797</v>
      </c>
      <c r="F281" s="27">
        <f>F280*(Presion_cilindro!O272/Presion_cilindro!O273)^Presion_cilindro!$B$9+10*(Presion_cilindro!$B$9-1)*Presion_cilindro!$B$33*(IF(Presion_cilindro!N273&gt;(-F$4+Presion_cilindro!$B$34),1-EXP(-Presion_cilindro!$B$16*((Presion_cilindro!N273-(-F$4+Presion_cilindro!$B$34))/Presion_cilindro!$B$35)^(Presion_cilindro!$B$17+1)),0)-IF(Presion_cilindro!N272&gt;(-F$4+Presion_cilindro!$B$34),1-EXP(-Presion_cilindro!$B$16*((Presion_cilindro!N272-(-F$4+Presion_cilindro!$B$34))/Presion_cilindro!$B$35)^(Presion_cilindro!$B$17+1)),0))/((Presion_cilindro!O272+Presion_cilindro!O273)/2)</f>
        <v>4.156105314688797</v>
      </c>
      <c r="G281" s="27">
        <f>G280*(Presion_cilindro!O272/Presion_cilindro!O273)^Presion_cilindro!$B$9+10*(Presion_cilindro!$B$9-1)*Presion_cilindro!$B$33*(IF(Presion_cilindro!N273&gt;(-G$4+Presion_cilindro!$B$34),1-EXP(-Presion_cilindro!$B$16*((Presion_cilindro!N273-(-G$4+Presion_cilindro!$B$34))/Presion_cilindro!$B$35)^(Presion_cilindro!$B$17+1)),0)-IF(Presion_cilindro!N272&gt;(-G$4+Presion_cilindro!$B$34),1-EXP(-Presion_cilindro!$B$16*((Presion_cilindro!N272-(-G$4+Presion_cilindro!$B$34))/Presion_cilindro!$B$35)^(Presion_cilindro!$B$17+1)),0))/((Presion_cilindro!O272+Presion_cilindro!O273)/2)</f>
        <v>4.156105314688797</v>
      </c>
      <c r="H281" s="27">
        <f>H280*(Presion_cilindro!O272/Presion_cilindro!O273)^Presion_cilindro!$B$9+10*(Presion_cilindro!$B$9-1)*Presion_cilindro!$B$33*(IF(Presion_cilindro!N273&gt;(-H$4+Presion_cilindro!$B$34),1-EXP(-Presion_cilindro!$B$16*((Presion_cilindro!N273-(-H$4+Presion_cilindro!$B$34))/Presion_cilindro!$B$35)^(Presion_cilindro!$B$17+1)),0)-IF(Presion_cilindro!N272&gt;(-H$4+Presion_cilindro!$B$34),1-EXP(-Presion_cilindro!$B$16*((Presion_cilindro!N272-(-H$4+Presion_cilindro!$B$34))/Presion_cilindro!$B$35)^(Presion_cilindro!$B$17+1)),0))/((Presion_cilindro!O272+Presion_cilindro!O273)/2)</f>
        <v>4.156105314688797</v>
      </c>
      <c r="I281" s="27">
        <f>I280*(Presion_cilindro!O272/Presion_cilindro!O273)^Presion_cilindro!$B$9+10*(Presion_cilindro!$B$9-1)*Presion_cilindro!$B$33*(IF(Presion_cilindro!N273&gt;(-I$4+Presion_cilindro!$B$34),1-EXP(-Presion_cilindro!$B$16*((Presion_cilindro!N273-(-I$4+Presion_cilindro!$B$34))/Presion_cilindro!$B$35)^(Presion_cilindro!$B$17+1)),0)-IF(Presion_cilindro!N272&gt;(-I$4+Presion_cilindro!$B$34),1-EXP(-Presion_cilindro!$B$16*((Presion_cilindro!N272-(-I$4+Presion_cilindro!$B$34))/Presion_cilindro!$B$35)^(Presion_cilindro!$B$17+1)),0))/((Presion_cilindro!O272+Presion_cilindro!O273)/2)</f>
        <v>4.156105314688797</v>
      </c>
      <c r="J281" s="27">
        <f>J280*(Presion_cilindro!O272/Presion_cilindro!O273)^Presion_cilindro!$B$9+10*(Presion_cilindro!$B$9-1)*Presion_cilindro!$B$33*(IF(Presion_cilindro!N273&gt;(-J$4+Presion_cilindro!$B$34),1-EXP(-Presion_cilindro!$B$16*((Presion_cilindro!N273-(-J$4+Presion_cilindro!$B$34))/Presion_cilindro!$B$35)^(Presion_cilindro!$B$17+1)),0)-IF(Presion_cilindro!N272&gt;(-J$4+Presion_cilindro!$B$34),1-EXP(-Presion_cilindro!$B$16*((Presion_cilindro!N272-(-J$4+Presion_cilindro!$B$34))/Presion_cilindro!$B$35)^(Presion_cilindro!$B$17+1)),0))/((Presion_cilindro!O272+Presion_cilindro!O273)/2)</f>
        <v>4.156105314688797</v>
      </c>
      <c r="K281" s="27">
        <f>K280*(Presion_cilindro!O272/Presion_cilindro!O273)^Presion_cilindro!$B$9+10*(Presion_cilindro!$B$9-1)*Presion_cilindro!$B$33*(IF(Presion_cilindro!N273&gt;(-K$4+Presion_cilindro!$B$34),1-EXP(-Presion_cilindro!$B$16*((Presion_cilindro!N273-(-K$4+Presion_cilindro!$B$34))/Presion_cilindro!$B$35)^(Presion_cilindro!$B$17+1)),0)-IF(Presion_cilindro!N272&gt;(-K$4+Presion_cilindro!$B$34),1-EXP(-Presion_cilindro!$B$16*((Presion_cilindro!N272-(-K$4+Presion_cilindro!$B$34))/Presion_cilindro!$B$35)^(Presion_cilindro!$B$17+1)),0))/((Presion_cilindro!O272+Presion_cilindro!O273)/2)</f>
        <v>4.156105314688797</v>
      </c>
      <c r="L281" s="27">
        <f>L280*(Presion_cilindro!O272/Presion_cilindro!O273)^Presion_cilindro!$B$9+10*(Presion_cilindro!$B$9-1)*Presion_cilindro!$B$33*(IF(Presion_cilindro!N273&gt;(-L$4+Presion_cilindro!$B$34),1-EXP(-Presion_cilindro!$B$16*((Presion_cilindro!N273-(-L$4+Presion_cilindro!$B$34))/Presion_cilindro!$B$35)^(Presion_cilindro!$B$17+1)),0)-IF(Presion_cilindro!N272&gt;(-L$4+Presion_cilindro!$B$34),1-EXP(-Presion_cilindro!$B$16*((Presion_cilindro!N272-(-L$4+Presion_cilindro!$B$34))/Presion_cilindro!$B$35)^(Presion_cilindro!$B$17+1)),0))/((Presion_cilindro!O272+Presion_cilindro!O273)/2)</f>
        <v>4.156105314688797</v>
      </c>
      <c r="M281" s="27">
        <f>M280*(Presion_cilindro!O272/Presion_cilindro!O273)^Presion_cilindro!$B$9+10*(Presion_cilindro!$B$9-1)*Presion_cilindro!$B$33*(IF(Presion_cilindro!N273&gt;(-M$4+Presion_cilindro!$B$34),1-EXP(-Presion_cilindro!$B$16*((Presion_cilindro!N273-(-M$4+Presion_cilindro!$B$34))/Presion_cilindro!$B$35)^(Presion_cilindro!$B$17+1)),0)-IF(Presion_cilindro!N272&gt;(-M$4+Presion_cilindro!$B$34),1-EXP(-Presion_cilindro!$B$16*((Presion_cilindro!N272-(-M$4+Presion_cilindro!$B$34))/Presion_cilindro!$B$35)^(Presion_cilindro!$B$17+1)),0))/((Presion_cilindro!O272+Presion_cilindro!O273)/2)</f>
        <v>4.1620291412608097</v>
      </c>
      <c r="N281" s="27">
        <f>N280*(Presion_cilindro!O272/Presion_cilindro!O273)^Presion_cilindro!$B$9+10*(Presion_cilindro!$B$9-1)*Presion_cilindro!$B$33*(IF(Presion_cilindro!N273&gt;(-N$4+Presion_cilindro!$B$34),1-EXP(-Presion_cilindro!$B$16*((Presion_cilindro!N273-(-N$4+Presion_cilindro!$B$34))/Presion_cilindro!$B$35)^(Presion_cilindro!$B$17+1)),0)-IF(Presion_cilindro!N272&gt;(-N$4+Presion_cilindro!$B$34),1-EXP(-Presion_cilindro!$B$16*((Presion_cilindro!N272-(-N$4+Presion_cilindro!$B$34))/Presion_cilindro!$B$35)^(Presion_cilindro!$B$17+1)),0))/((Presion_cilindro!O272+Presion_cilindro!O273)/2)</f>
        <v>4.3459901225655599</v>
      </c>
    </row>
    <row r="282" spans="1:14" x14ac:dyDescent="0.25">
      <c r="A282" s="21">
        <f>Presion_cilindro!N274</f>
        <v>-45</v>
      </c>
      <c r="B282" s="27">
        <f>B281*(Presion_cilindro!O273/Presion_cilindro!O274)^Presion_cilindro!$B$9+10*(Presion_cilindro!$B$9-1)*Presion_cilindro!$B$33*(IF(Presion_cilindro!N274&gt;(-B$4+Presion_cilindro!$B$34),1-EXP(-Presion_cilindro!$B$16*((Presion_cilindro!N274-(-B$4+Presion_cilindro!$B$34))/Presion_cilindro!$B$35)^(Presion_cilindro!$B$17+1)),0)-IF(Presion_cilindro!N273&gt;(-B$4+Presion_cilindro!$B$34),1-EXP(-Presion_cilindro!$B$16*((Presion_cilindro!N273-(-B$4+Presion_cilindro!$B$34))/Presion_cilindro!$B$35)^(Presion_cilindro!$B$17+1)),0))/((Presion_cilindro!O273+Presion_cilindro!O274)/2)</f>
        <v>4.2265665891946727</v>
      </c>
      <c r="C282" s="27">
        <f>C281*(Presion_cilindro!O273/Presion_cilindro!O274)^Presion_cilindro!$B$9+10*(Presion_cilindro!$B$9-1)*Presion_cilindro!$B$33*(IF(Presion_cilindro!N274&gt;(-C$4+Presion_cilindro!$B$34),1-EXP(-Presion_cilindro!$B$16*((Presion_cilindro!N274-(-C$4+Presion_cilindro!$B$34))/Presion_cilindro!$B$35)^(Presion_cilindro!$B$17+1)),0)-IF(Presion_cilindro!N273&gt;(-C$4+Presion_cilindro!$B$34),1-EXP(-Presion_cilindro!$B$16*((Presion_cilindro!N273-(-C$4+Presion_cilindro!$B$34))/Presion_cilindro!$B$35)^(Presion_cilindro!$B$17+1)),0))/((Presion_cilindro!O273+Presion_cilindro!O274)/2)</f>
        <v>4.2265665891946727</v>
      </c>
      <c r="D282" s="27">
        <f>D281*(Presion_cilindro!O273/Presion_cilindro!O274)^Presion_cilindro!$B$9+10*(Presion_cilindro!$B$9-1)*Presion_cilindro!$B$33*(IF(Presion_cilindro!N274&gt;(-D$4+Presion_cilindro!$B$34),1-EXP(-Presion_cilindro!$B$16*((Presion_cilindro!N274-(-D$4+Presion_cilindro!$B$34))/Presion_cilindro!$B$35)^(Presion_cilindro!$B$17+1)),0)-IF(Presion_cilindro!N273&gt;(-D$4+Presion_cilindro!$B$34),1-EXP(-Presion_cilindro!$B$16*((Presion_cilindro!N273-(-D$4+Presion_cilindro!$B$34))/Presion_cilindro!$B$35)^(Presion_cilindro!$B$17+1)),0))/((Presion_cilindro!O273+Presion_cilindro!O274)/2)</f>
        <v>4.2265665891946727</v>
      </c>
      <c r="E282" s="27">
        <f>E281*(Presion_cilindro!O273/Presion_cilindro!O274)^Presion_cilindro!$B$9+10*(Presion_cilindro!$B$9-1)*Presion_cilindro!$B$33*(IF(Presion_cilindro!N274&gt;(-E$4+Presion_cilindro!$B$34),1-EXP(-Presion_cilindro!$B$16*((Presion_cilindro!N274-(-E$4+Presion_cilindro!$B$34))/Presion_cilindro!$B$35)^(Presion_cilindro!$B$17+1)),0)-IF(Presion_cilindro!N273&gt;(-E$4+Presion_cilindro!$B$34),1-EXP(-Presion_cilindro!$B$16*((Presion_cilindro!N273-(-E$4+Presion_cilindro!$B$34))/Presion_cilindro!$B$35)^(Presion_cilindro!$B$17+1)),0))/((Presion_cilindro!O273+Presion_cilindro!O274)/2)</f>
        <v>4.2265665891946727</v>
      </c>
      <c r="F282" s="27">
        <f>F281*(Presion_cilindro!O273/Presion_cilindro!O274)^Presion_cilindro!$B$9+10*(Presion_cilindro!$B$9-1)*Presion_cilindro!$B$33*(IF(Presion_cilindro!N274&gt;(-F$4+Presion_cilindro!$B$34),1-EXP(-Presion_cilindro!$B$16*((Presion_cilindro!N274-(-F$4+Presion_cilindro!$B$34))/Presion_cilindro!$B$35)^(Presion_cilindro!$B$17+1)),0)-IF(Presion_cilindro!N273&gt;(-F$4+Presion_cilindro!$B$34),1-EXP(-Presion_cilindro!$B$16*((Presion_cilindro!N273-(-F$4+Presion_cilindro!$B$34))/Presion_cilindro!$B$35)^(Presion_cilindro!$B$17+1)),0))/((Presion_cilindro!O273+Presion_cilindro!O274)/2)</f>
        <v>4.2265665891946727</v>
      </c>
      <c r="G282" s="27">
        <f>G281*(Presion_cilindro!O273/Presion_cilindro!O274)^Presion_cilindro!$B$9+10*(Presion_cilindro!$B$9-1)*Presion_cilindro!$B$33*(IF(Presion_cilindro!N274&gt;(-G$4+Presion_cilindro!$B$34),1-EXP(-Presion_cilindro!$B$16*((Presion_cilindro!N274-(-G$4+Presion_cilindro!$B$34))/Presion_cilindro!$B$35)^(Presion_cilindro!$B$17+1)),0)-IF(Presion_cilindro!N273&gt;(-G$4+Presion_cilindro!$B$34),1-EXP(-Presion_cilindro!$B$16*((Presion_cilindro!N273-(-G$4+Presion_cilindro!$B$34))/Presion_cilindro!$B$35)^(Presion_cilindro!$B$17+1)),0))/((Presion_cilindro!O273+Presion_cilindro!O274)/2)</f>
        <v>4.2265665891946727</v>
      </c>
      <c r="H282" s="27">
        <f>H281*(Presion_cilindro!O273/Presion_cilindro!O274)^Presion_cilindro!$B$9+10*(Presion_cilindro!$B$9-1)*Presion_cilindro!$B$33*(IF(Presion_cilindro!N274&gt;(-H$4+Presion_cilindro!$B$34),1-EXP(-Presion_cilindro!$B$16*((Presion_cilindro!N274-(-H$4+Presion_cilindro!$B$34))/Presion_cilindro!$B$35)^(Presion_cilindro!$B$17+1)),0)-IF(Presion_cilindro!N273&gt;(-H$4+Presion_cilindro!$B$34),1-EXP(-Presion_cilindro!$B$16*((Presion_cilindro!N273-(-H$4+Presion_cilindro!$B$34))/Presion_cilindro!$B$35)^(Presion_cilindro!$B$17+1)),0))/((Presion_cilindro!O273+Presion_cilindro!O274)/2)</f>
        <v>4.2265665891946727</v>
      </c>
      <c r="I282" s="27">
        <f>I281*(Presion_cilindro!O273/Presion_cilindro!O274)^Presion_cilindro!$B$9+10*(Presion_cilindro!$B$9-1)*Presion_cilindro!$B$33*(IF(Presion_cilindro!N274&gt;(-I$4+Presion_cilindro!$B$34),1-EXP(-Presion_cilindro!$B$16*((Presion_cilindro!N274-(-I$4+Presion_cilindro!$B$34))/Presion_cilindro!$B$35)^(Presion_cilindro!$B$17+1)),0)-IF(Presion_cilindro!N273&gt;(-I$4+Presion_cilindro!$B$34),1-EXP(-Presion_cilindro!$B$16*((Presion_cilindro!N273-(-I$4+Presion_cilindro!$B$34))/Presion_cilindro!$B$35)^(Presion_cilindro!$B$17+1)),0))/((Presion_cilindro!O273+Presion_cilindro!O274)/2)</f>
        <v>4.2265665891946727</v>
      </c>
      <c r="J282" s="27">
        <f>J281*(Presion_cilindro!O273/Presion_cilindro!O274)^Presion_cilindro!$B$9+10*(Presion_cilindro!$B$9-1)*Presion_cilindro!$B$33*(IF(Presion_cilindro!N274&gt;(-J$4+Presion_cilindro!$B$34),1-EXP(-Presion_cilindro!$B$16*((Presion_cilindro!N274-(-J$4+Presion_cilindro!$B$34))/Presion_cilindro!$B$35)^(Presion_cilindro!$B$17+1)),0)-IF(Presion_cilindro!N273&gt;(-J$4+Presion_cilindro!$B$34),1-EXP(-Presion_cilindro!$B$16*((Presion_cilindro!N273-(-J$4+Presion_cilindro!$B$34))/Presion_cilindro!$B$35)^(Presion_cilindro!$B$17+1)),0))/((Presion_cilindro!O273+Presion_cilindro!O274)/2)</f>
        <v>4.2265665891946727</v>
      </c>
      <c r="K282" s="27">
        <f>K281*(Presion_cilindro!O273/Presion_cilindro!O274)^Presion_cilindro!$B$9+10*(Presion_cilindro!$B$9-1)*Presion_cilindro!$B$33*(IF(Presion_cilindro!N274&gt;(-K$4+Presion_cilindro!$B$34),1-EXP(-Presion_cilindro!$B$16*((Presion_cilindro!N274-(-K$4+Presion_cilindro!$B$34))/Presion_cilindro!$B$35)^(Presion_cilindro!$B$17+1)),0)-IF(Presion_cilindro!N273&gt;(-K$4+Presion_cilindro!$B$34),1-EXP(-Presion_cilindro!$B$16*((Presion_cilindro!N273-(-K$4+Presion_cilindro!$B$34))/Presion_cilindro!$B$35)^(Presion_cilindro!$B$17+1)),0))/((Presion_cilindro!O273+Presion_cilindro!O274)/2)</f>
        <v>4.2265665891946727</v>
      </c>
      <c r="L282" s="27">
        <f>L281*(Presion_cilindro!O273/Presion_cilindro!O274)^Presion_cilindro!$B$9+10*(Presion_cilindro!$B$9-1)*Presion_cilindro!$B$33*(IF(Presion_cilindro!N274&gt;(-L$4+Presion_cilindro!$B$34),1-EXP(-Presion_cilindro!$B$16*((Presion_cilindro!N274-(-L$4+Presion_cilindro!$B$34))/Presion_cilindro!$B$35)^(Presion_cilindro!$B$17+1)),0)-IF(Presion_cilindro!N273&gt;(-L$4+Presion_cilindro!$B$34),1-EXP(-Presion_cilindro!$B$16*((Presion_cilindro!N273-(-L$4+Presion_cilindro!$B$34))/Presion_cilindro!$B$35)^(Presion_cilindro!$B$17+1)),0))/((Presion_cilindro!O273+Presion_cilindro!O274)/2)</f>
        <v>4.2265665891946727</v>
      </c>
      <c r="M282" s="27">
        <f>M281*(Presion_cilindro!O273/Presion_cilindro!O274)^Presion_cilindro!$B$9+10*(Presion_cilindro!$B$9-1)*Presion_cilindro!$B$33*(IF(Presion_cilindro!N274&gt;(-M$4+Presion_cilindro!$B$34),1-EXP(-Presion_cilindro!$B$16*((Presion_cilindro!N274-(-M$4+Presion_cilindro!$B$34))/Presion_cilindro!$B$35)^(Presion_cilindro!$B$17+1)),0)-IF(Presion_cilindro!N273&gt;(-M$4+Presion_cilindro!$B$34),1-EXP(-Presion_cilindro!$B$16*((Presion_cilindro!N273-(-M$4+Presion_cilindro!$B$34))/Presion_cilindro!$B$35)^(Presion_cilindro!$B$17+1)),0))/((Presion_cilindro!O273+Presion_cilindro!O274)/2)</f>
        <v>4.2373990075077952</v>
      </c>
      <c r="N282" s="27">
        <f>N281*(Presion_cilindro!O273/Presion_cilindro!O274)^Presion_cilindro!$B$9+10*(Presion_cilindro!$B$9-1)*Presion_cilindro!$B$33*(IF(Presion_cilindro!N274&gt;(-N$4+Presion_cilindro!$B$34),1-EXP(-Presion_cilindro!$B$16*((Presion_cilindro!N274-(-N$4+Presion_cilindro!$B$34))/Presion_cilindro!$B$35)^(Presion_cilindro!$B$17+1)),0)-IF(Presion_cilindro!N273&gt;(-N$4+Presion_cilindro!$B$34),1-EXP(-Presion_cilindro!$B$16*((Presion_cilindro!N273-(-N$4+Presion_cilindro!$B$34))/Presion_cilindro!$B$35)^(Presion_cilindro!$B$17+1)),0))/((Presion_cilindro!O273+Presion_cilindro!O274)/2)</f>
        <v>4.4609927098924382</v>
      </c>
    </row>
    <row r="283" spans="1:14" x14ac:dyDescent="0.25">
      <c r="A283" s="21">
        <f>Presion_cilindro!N275</f>
        <v>-44.5</v>
      </c>
      <c r="B283" s="27">
        <f>B282*(Presion_cilindro!O274/Presion_cilindro!O275)^Presion_cilindro!$B$9+10*(Presion_cilindro!$B$9-1)*Presion_cilindro!$B$33*(IF(Presion_cilindro!N275&gt;(-B$4+Presion_cilindro!$B$34),1-EXP(-Presion_cilindro!$B$16*((Presion_cilindro!N275-(-B$4+Presion_cilindro!$B$34))/Presion_cilindro!$B$35)^(Presion_cilindro!$B$17+1)),0)-IF(Presion_cilindro!N274&gt;(-B$4+Presion_cilindro!$B$34),1-EXP(-Presion_cilindro!$B$16*((Presion_cilindro!N274-(-B$4+Presion_cilindro!$B$34))/Presion_cilindro!$B$35)^(Presion_cilindro!$B$17+1)),0))/((Presion_cilindro!O274+Presion_cilindro!O275)/2)</f>
        <v>4.2986119984572779</v>
      </c>
      <c r="C283" s="27">
        <f>C282*(Presion_cilindro!O274/Presion_cilindro!O275)^Presion_cilindro!$B$9+10*(Presion_cilindro!$B$9-1)*Presion_cilindro!$B$33*(IF(Presion_cilindro!N275&gt;(-C$4+Presion_cilindro!$B$34),1-EXP(-Presion_cilindro!$B$16*((Presion_cilindro!N275-(-C$4+Presion_cilindro!$B$34))/Presion_cilindro!$B$35)^(Presion_cilindro!$B$17+1)),0)-IF(Presion_cilindro!N274&gt;(-C$4+Presion_cilindro!$B$34),1-EXP(-Presion_cilindro!$B$16*((Presion_cilindro!N274-(-C$4+Presion_cilindro!$B$34))/Presion_cilindro!$B$35)^(Presion_cilindro!$B$17+1)),0))/((Presion_cilindro!O274+Presion_cilindro!O275)/2)</f>
        <v>4.2986119984572779</v>
      </c>
      <c r="D283" s="27">
        <f>D282*(Presion_cilindro!O274/Presion_cilindro!O275)^Presion_cilindro!$B$9+10*(Presion_cilindro!$B$9-1)*Presion_cilindro!$B$33*(IF(Presion_cilindro!N275&gt;(-D$4+Presion_cilindro!$B$34),1-EXP(-Presion_cilindro!$B$16*((Presion_cilindro!N275-(-D$4+Presion_cilindro!$B$34))/Presion_cilindro!$B$35)^(Presion_cilindro!$B$17+1)),0)-IF(Presion_cilindro!N274&gt;(-D$4+Presion_cilindro!$B$34),1-EXP(-Presion_cilindro!$B$16*((Presion_cilindro!N274-(-D$4+Presion_cilindro!$B$34))/Presion_cilindro!$B$35)^(Presion_cilindro!$B$17+1)),0))/((Presion_cilindro!O274+Presion_cilindro!O275)/2)</f>
        <v>4.2986119984572779</v>
      </c>
      <c r="E283" s="27">
        <f>E282*(Presion_cilindro!O274/Presion_cilindro!O275)^Presion_cilindro!$B$9+10*(Presion_cilindro!$B$9-1)*Presion_cilindro!$B$33*(IF(Presion_cilindro!N275&gt;(-E$4+Presion_cilindro!$B$34),1-EXP(-Presion_cilindro!$B$16*((Presion_cilindro!N275-(-E$4+Presion_cilindro!$B$34))/Presion_cilindro!$B$35)^(Presion_cilindro!$B$17+1)),0)-IF(Presion_cilindro!N274&gt;(-E$4+Presion_cilindro!$B$34),1-EXP(-Presion_cilindro!$B$16*((Presion_cilindro!N274-(-E$4+Presion_cilindro!$B$34))/Presion_cilindro!$B$35)^(Presion_cilindro!$B$17+1)),0))/((Presion_cilindro!O274+Presion_cilindro!O275)/2)</f>
        <v>4.2986119984572779</v>
      </c>
      <c r="F283" s="27">
        <f>F282*(Presion_cilindro!O274/Presion_cilindro!O275)^Presion_cilindro!$B$9+10*(Presion_cilindro!$B$9-1)*Presion_cilindro!$B$33*(IF(Presion_cilindro!N275&gt;(-F$4+Presion_cilindro!$B$34),1-EXP(-Presion_cilindro!$B$16*((Presion_cilindro!N275-(-F$4+Presion_cilindro!$B$34))/Presion_cilindro!$B$35)^(Presion_cilindro!$B$17+1)),0)-IF(Presion_cilindro!N274&gt;(-F$4+Presion_cilindro!$B$34),1-EXP(-Presion_cilindro!$B$16*((Presion_cilindro!N274-(-F$4+Presion_cilindro!$B$34))/Presion_cilindro!$B$35)^(Presion_cilindro!$B$17+1)),0))/((Presion_cilindro!O274+Presion_cilindro!O275)/2)</f>
        <v>4.2986119984572779</v>
      </c>
      <c r="G283" s="27">
        <f>G282*(Presion_cilindro!O274/Presion_cilindro!O275)^Presion_cilindro!$B$9+10*(Presion_cilindro!$B$9-1)*Presion_cilindro!$B$33*(IF(Presion_cilindro!N275&gt;(-G$4+Presion_cilindro!$B$34),1-EXP(-Presion_cilindro!$B$16*((Presion_cilindro!N275-(-G$4+Presion_cilindro!$B$34))/Presion_cilindro!$B$35)^(Presion_cilindro!$B$17+1)),0)-IF(Presion_cilindro!N274&gt;(-G$4+Presion_cilindro!$B$34),1-EXP(-Presion_cilindro!$B$16*((Presion_cilindro!N274-(-G$4+Presion_cilindro!$B$34))/Presion_cilindro!$B$35)^(Presion_cilindro!$B$17+1)),0))/((Presion_cilindro!O274+Presion_cilindro!O275)/2)</f>
        <v>4.2986119984572779</v>
      </c>
      <c r="H283" s="27">
        <f>H282*(Presion_cilindro!O274/Presion_cilindro!O275)^Presion_cilindro!$B$9+10*(Presion_cilindro!$B$9-1)*Presion_cilindro!$B$33*(IF(Presion_cilindro!N275&gt;(-H$4+Presion_cilindro!$B$34),1-EXP(-Presion_cilindro!$B$16*((Presion_cilindro!N275-(-H$4+Presion_cilindro!$B$34))/Presion_cilindro!$B$35)^(Presion_cilindro!$B$17+1)),0)-IF(Presion_cilindro!N274&gt;(-H$4+Presion_cilindro!$B$34),1-EXP(-Presion_cilindro!$B$16*((Presion_cilindro!N274-(-H$4+Presion_cilindro!$B$34))/Presion_cilindro!$B$35)^(Presion_cilindro!$B$17+1)),0))/((Presion_cilindro!O274+Presion_cilindro!O275)/2)</f>
        <v>4.2986119984572779</v>
      </c>
      <c r="I283" s="27">
        <f>I282*(Presion_cilindro!O274/Presion_cilindro!O275)^Presion_cilindro!$B$9+10*(Presion_cilindro!$B$9-1)*Presion_cilindro!$B$33*(IF(Presion_cilindro!N275&gt;(-I$4+Presion_cilindro!$B$34),1-EXP(-Presion_cilindro!$B$16*((Presion_cilindro!N275-(-I$4+Presion_cilindro!$B$34))/Presion_cilindro!$B$35)^(Presion_cilindro!$B$17+1)),0)-IF(Presion_cilindro!N274&gt;(-I$4+Presion_cilindro!$B$34),1-EXP(-Presion_cilindro!$B$16*((Presion_cilindro!N274-(-I$4+Presion_cilindro!$B$34))/Presion_cilindro!$B$35)^(Presion_cilindro!$B$17+1)),0))/((Presion_cilindro!O274+Presion_cilindro!O275)/2)</f>
        <v>4.2986119984572779</v>
      </c>
      <c r="J283" s="27">
        <f>J282*(Presion_cilindro!O274/Presion_cilindro!O275)^Presion_cilindro!$B$9+10*(Presion_cilindro!$B$9-1)*Presion_cilindro!$B$33*(IF(Presion_cilindro!N275&gt;(-J$4+Presion_cilindro!$B$34),1-EXP(-Presion_cilindro!$B$16*((Presion_cilindro!N275-(-J$4+Presion_cilindro!$B$34))/Presion_cilindro!$B$35)^(Presion_cilindro!$B$17+1)),0)-IF(Presion_cilindro!N274&gt;(-J$4+Presion_cilindro!$B$34),1-EXP(-Presion_cilindro!$B$16*((Presion_cilindro!N274-(-J$4+Presion_cilindro!$B$34))/Presion_cilindro!$B$35)^(Presion_cilindro!$B$17+1)),0))/((Presion_cilindro!O274+Presion_cilindro!O275)/2)</f>
        <v>4.2986119984572779</v>
      </c>
      <c r="K283" s="27">
        <f>K282*(Presion_cilindro!O274/Presion_cilindro!O275)^Presion_cilindro!$B$9+10*(Presion_cilindro!$B$9-1)*Presion_cilindro!$B$33*(IF(Presion_cilindro!N275&gt;(-K$4+Presion_cilindro!$B$34),1-EXP(-Presion_cilindro!$B$16*((Presion_cilindro!N275-(-K$4+Presion_cilindro!$B$34))/Presion_cilindro!$B$35)^(Presion_cilindro!$B$17+1)),0)-IF(Presion_cilindro!N274&gt;(-K$4+Presion_cilindro!$B$34),1-EXP(-Presion_cilindro!$B$16*((Presion_cilindro!N274-(-K$4+Presion_cilindro!$B$34))/Presion_cilindro!$B$35)^(Presion_cilindro!$B$17+1)),0))/((Presion_cilindro!O274+Presion_cilindro!O275)/2)</f>
        <v>4.2986119984572779</v>
      </c>
      <c r="L283" s="27">
        <f>L282*(Presion_cilindro!O274/Presion_cilindro!O275)^Presion_cilindro!$B$9+10*(Presion_cilindro!$B$9-1)*Presion_cilindro!$B$33*(IF(Presion_cilindro!N275&gt;(-L$4+Presion_cilindro!$B$34),1-EXP(-Presion_cilindro!$B$16*((Presion_cilindro!N275-(-L$4+Presion_cilindro!$B$34))/Presion_cilindro!$B$35)^(Presion_cilindro!$B$17+1)),0)-IF(Presion_cilindro!N274&gt;(-L$4+Presion_cilindro!$B$34),1-EXP(-Presion_cilindro!$B$16*((Presion_cilindro!N274-(-L$4+Presion_cilindro!$B$34))/Presion_cilindro!$B$35)^(Presion_cilindro!$B$17+1)),0))/((Presion_cilindro!O274+Presion_cilindro!O275)/2)</f>
        <v>4.2986119984572779</v>
      </c>
      <c r="M283" s="27">
        <f>M282*(Presion_cilindro!O274/Presion_cilindro!O275)^Presion_cilindro!$B$9+10*(Presion_cilindro!$B$9-1)*Presion_cilindro!$B$33*(IF(Presion_cilindro!N275&gt;(-M$4+Presion_cilindro!$B$34),1-EXP(-Presion_cilindro!$B$16*((Presion_cilindro!N275-(-M$4+Presion_cilindro!$B$34))/Presion_cilindro!$B$35)^(Presion_cilindro!$B$17+1)),0)-IF(Presion_cilindro!N274&gt;(-M$4+Presion_cilindro!$B$34),1-EXP(-Presion_cilindro!$B$16*((Presion_cilindro!N274-(-M$4+Presion_cilindro!$B$34))/Presion_cilindro!$B$35)^(Presion_cilindro!$B$17+1)),0))/((Presion_cilindro!O274+Presion_cilindro!O275)/2)</f>
        <v>4.3165852869409793</v>
      </c>
      <c r="N283" s="27">
        <f>N282*(Presion_cilindro!O274/Presion_cilindro!O275)^Presion_cilindro!$B$9+10*(Presion_cilindro!$B$9-1)*Presion_cilindro!$B$33*(IF(Presion_cilindro!N275&gt;(-N$4+Presion_cilindro!$B$34),1-EXP(-Presion_cilindro!$B$16*((Presion_cilindro!N275-(-N$4+Presion_cilindro!$B$34))/Presion_cilindro!$B$35)^(Presion_cilindro!$B$17+1)),0)-IF(Presion_cilindro!N274&gt;(-N$4+Presion_cilindro!$B$34),1-EXP(-Presion_cilindro!$B$16*((Presion_cilindro!N274-(-N$4+Presion_cilindro!$B$34))/Presion_cilindro!$B$35)^(Presion_cilindro!$B$17+1)),0))/((Presion_cilindro!O274+Presion_cilindro!O275)/2)</f>
        <v>4.5844298093549565</v>
      </c>
    </row>
    <row r="284" spans="1:14" x14ac:dyDescent="0.25">
      <c r="A284" s="21">
        <f>Presion_cilindro!N276</f>
        <v>-44</v>
      </c>
      <c r="B284" s="27">
        <f>B283*(Presion_cilindro!O275/Presion_cilindro!O276)^Presion_cilindro!$B$9+10*(Presion_cilindro!$B$9-1)*Presion_cilindro!$B$33*(IF(Presion_cilindro!N276&gt;(-B$4+Presion_cilindro!$B$34),1-EXP(-Presion_cilindro!$B$16*((Presion_cilindro!N276-(-B$4+Presion_cilindro!$B$34))/Presion_cilindro!$B$35)^(Presion_cilindro!$B$17+1)),0)-IF(Presion_cilindro!N275&gt;(-B$4+Presion_cilindro!$B$34),1-EXP(-Presion_cilindro!$B$16*((Presion_cilindro!N275-(-B$4+Presion_cilindro!$B$34))/Presion_cilindro!$B$35)^(Presion_cilindro!$B$17+1)),0))/((Presion_cilindro!O275+Presion_cilindro!O276)/2)</f>
        <v>4.3722762670916007</v>
      </c>
      <c r="C284" s="27">
        <f>C283*(Presion_cilindro!O275/Presion_cilindro!O276)^Presion_cilindro!$B$9+10*(Presion_cilindro!$B$9-1)*Presion_cilindro!$B$33*(IF(Presion_cilindro!N276&gt;(-C$4+Presion_cilindro!$B$34),1-EXP(-Presion_cilindro!$B$16*((Presion_cilindro!N276-(-C$4+Presion_cilindro!$B$34))/Presion_cilindro!$B$35)^(Presion_cilindro!$B$17+1)),0)-IF(Presion_cilindro!N275&gt;(-C$4+Presion_cilindro!$B$34),1-EXP(-Presion_cilindro!$B$16*((Presion_cilindro!N275-(-C$4+Presion_cilindro!$B$34))/Presion_cilindro!$B$35)^(Presion_cilindro!$B$17+1)),0))/((Presion_cilindro!O275+Presion_cilindro!O276)/2)</f>
        <v>4.3722762670916007</v>
      </c>
      <c r="D284" s="27">
        <f>D283*(Presion_cilindro!O275/Presion_cilindro!O276)^Presion_cilindro!$B$9+10*(Presion_cilindro!$B$9-1)*Presion_cilindro!$B$33*(IF(Presion_cilindro!N276&gt;(-D$4+Presion_cilindro!$B$34),1-EXP(-Presion_cilindro!$B$16*((Presion_cilindro!N276-(-D$4+Presion_cilindro!$B$34))/Presion_cilindro!$B$35)^(Presion_cilindro!$B$17+1)),0)-IF(Presion_cilindro!N275&gt;(-D$4+Presion_cilindro!$B$34),1-EXP(-Presion_cilindro!$B$16*((Presion_cilindro!N275-(-D$4+Presion_cilindro!$B$34))/Presion_cilindro!$B$35)^(Presion_cilindro!$B$17+1)),0))/((Presion_cilindro!O275+Presion_cilindro!O276)/2)</f>
        <v>4.3722762670916007</v>
      </c>
      <c r="E284" s="27">
        <f>E283*(Presion_cilindro!O275/Presion_cilindro!O276)^Presion_cilindro!$B$9+10*(Presion_cilindro!$B$9-1)*Presion_cilindro!$B$33*(IF(Presion_cilindro!N276&gt;(-E$4+Presion_cilindro!$B$34),1-EXP(-Presion_cilindro!$B$16*((Presion_cilindro!N276-(-E$4+Presion_cilindro!$B$34))/Presion_cilindro!$B$35)^(Presion_cilindro!$B$17+1)),0)-IF(Presion_cilindro!N275&gt;(-E$4+Presion_cilindro!$B$34),1-EXP(-Presion_cilindro!$B$16*((Presion_cilindro!N275-(-E$4+Presion_cilindro!$B$34))/Presion_cilindro!$B$35)^(Presion_cilindro!$B$17+1)),0))/((Presion_cilindro!O275+Presion_cilindro!O276)/2)</f>
        <v>4.3722762670916007</v>
      </c>
      <c r="F284" s="27">
        <f>F283*(Presion_cilindro!O275/Presion_cilindro!O276)^Presion_cilindro!$B$9+10*(Presion_cilindro!$B$9-1)*Presion_cilindro!$B$33*(IF(Presion_cilindro!N276&gt;(-F$4+Presion_cilindro!$B$34),1-EXP(-Presion_cilindro!$B$16*((Presion_cilindro!N276-(-F$4+Presion_cilindro!$B$34))/Presion_cilindro!$B$35)^(Presion_cilindro!$B$17+1)),0)-IF(Presion_cilindro!N275&gt;(-F$4+Presion_cilindro!$B$34),1-EXP(-Presion_cilindro!$B$16*((Presion_cilindro!N275-(-F$4+Presion_cilindro!$B$34))/Presion_cilindro!$B$35)^(Presion_cilindro!$B$17+1)),0))/((Presion_cilindro!O275+Presion_cilindro!O276)/2)</f>
        <v>4.3722762670916007</v>
      </c>
      <c r="G284" s="27">
        <f>G283*(Presion_cilindro!O275/Presion_cilindro!O276)^Presion_cilindro!$B$9+10*(Presion_cilindro!$B$9-1)*Presion_cilindro!$B$33*(IF(Presion_cilindro!N276&gt;(-G$4+Presion_cilindro!$B$34),1-EXP(-Presion_cilindro!$B$16*((Presion_cilindro!N276-(-G$4+Presion_cilindro!$B$34))/Presion_cilindro!$B$35)^(Presion_cilindro!$B$17+1)),0)-IF(Presion_cilindro!N275&gt;(-G$4+Presion_cilindro!$B$34),1-EXP(-Presion_cilindro!$B$16*((Presion_cilindro!N275-(-G$4+Presion_cilindro!$B$34))/Presion_cilindro!$B$35)^(Presion_cilindro!$B$17+1)),0))/((Presion_cilindro!O275+Presion_cilindro!O276)/2)</f>
        <v>4.3722762670916007</v>
      </c>
      <c r="H284" s="27">
        <f>H283*(Presion_cilindro!O275/Presion_cilindro!O276)^Presion_cilindro!$B$9+10*(Presion_cilindro!$B$9-1)*Presion_cilindro!$B$33*(IF(Presion_cilindro!N276&gt;(-H$4+Presion_cilindro!$B$34),1-EXP(-Presion_cilindro!$B$16*((Presion_cilindro!N276-(-H$4+Presion_cilindro!$B$34))/Presion_cilindro!$B$35)^(Presion_cilindro!$B$17+1)),0)-IF(Presion_cilindro!N275&gt;(-H$4+Presion_cilindro!$B$34),1-EXP(-Presion_cilindro!$B$16*((Presion_cilindro!N275-(-H$4+Presion_cilindro!$B$34))/Presion_cilindro!$B$35)^(Presion_cilindro!$B$17+1)),0))/((Presion_cilindro!O275+Presion_cilindro!O276)/2)</f>
        <v>4.3722762670916007</v>
      </c>
      <c r="I284" s="27">
        <f>I283*(Presion_cilindro!O275/Presion_cilindro!O276)^Presion_cilindro!$B$9+10*(Presion_cilindro!$B$9-1)*Presion_cilindro!$B$33*(IF(Presion_cilindro!N276&gt;(-I$4+Presion_cilindro!$B$34),1-EXP(-Presion_cilindro!$B$16*((Presion_cilindro!N276-(-I$4+Presion_cilindro!$B$34))/Presion_cilindro!$B$35)^(Presion_cilindro!$B$17+1)),0)-IF(Presion_cilindro!N275&gt;(-I$4+Presion_cilindro!$B$34),1-EXP(-Presion_cilindro!$B$16*((Presion_cilindro!N275-(-I$4+Presion_cilindro!$B$34))/Presion_cilindro!$B$35)^(Presion_cilindro!$B$17+1)),0))/((Presion_cilindro!O275+Presion_cilindro!O276)/2)</f>
        <v>4.3722762670916007</v>
      </c>
      <c r="J284" s="27">
        <f>J283*(Presion_cilindro!O275/Presion_cilindro!O276)^Presion_cilindro!$B$9+10*(Presion_cilindro!$B$9-1)*Presion_cilindro!$B$33*(IF(Presion_cilindro!N276&gt;(-J$4+Presion_cilindro!$B$34),1-EXP(-Presion_cilindro!$B$16*((Presion_cilindro!N276-(-J$4+Presion_cilindro!$B$34))/Presion_cilindro!$B$35)^(Presion_cilindro!$B$17+1)),0)-IF(Presion_cilindro!N275&gt;(-J$4+Presion_cilindro!$B$34),1-EXP(-Presion_cilindro!$B$16*((Presion_cilindro!N275-(-J$4+Presion_cilindro!$B$34))/Presion_cilindro!$B$35)^(Presion_cilindro!$B$17+1)),0))/((Presion_cilindro!O275+Presion_cilindro!O276)/2)</f>
        <v>4.3722762670916007</v>
      </c>
      <c r="K284" s="27">
        <f>K283*(Presion_cilindro!O275/Presion_cilindro!O276)^Presion_cilindro!$B$9+10*(Presion_cilindro!$B$9-1)*Presion_cilindro!$B$33*(IF(Presion_cilindro!N276&gt;(-K$4+Presion_cilindro!$B$34),1-EXP(-Presion_cilindro!$B$16*((Presion_cilindro!N276-(-K$4+Presion_cilindro!$B$34))/Presion_cilindro!$B$35)^(Presion_cilindro!$B$17+1)),0)-IF(Presion_cilindro!N275&gt;(-K$4+Presion_cilindro!$B$34),1-EXP(-Presion_cilindro!$B$16*((Presion_cilindro!N275-(-K$4+Presion_cilindro!$B$34))/Presion_cilindro!$B$35)^(Presion_cilindro!$B$17+1)),0))/((Presion_cilindro!O275+Presion_cilindro!O276)/2)</f>
        <v>4.3722762670916007</v>
      </c>
      <c r="L284" s="27">
        <f>L283*(Presion_cilindro!O275/Presion_cilindro!O276)^Presion_cilindro!$B$9+10*(Presion_cilindro!$B$9-1)*Presion_cilindro!$B$33*(IF(Presion_cilindro!N276&gt;(-L$4+Presion_cilindro!$B$34),1-EXP(-Presion_cilindro!$B$16*((Presion_cilindro!N276-(-L$4+Presion_cilindro!$B$34))/Presion_cilindro!$B$35)^(Presion_cilindro!$B$17+1)),0)-IF(Presion_cilindro!N275&gt;(-L$4+Presion_cilindro!$B$34),1-EXP(-Presion_cilindro!$B$16*((Presion_cilindro!N275-(-L$4+Presion_cilindro!$B$34))/Presion_cilindro!$B$35)^(Presion_cilindro!$B$17+1)),0))/((Presion_cilindro!O275+Presion_cilindro!O276)/2)</f>
        <v>4.3722762670916007</v>
      </c>
      <c r="M284" s="27">
        <f>M283*(Presion_cilindro!O275/Presion_cilindro!O276)^Presion_cilindro!$B$9+10*(Presion_cilindro!$B$9-1)*Presion_cilindro!$B$33*(IF(Presion_cilindro!N276&gt;(-M$4+Presion_cilindro!$B$34),1-EXP(-Presion_cilindro!$B$16*((Presion_cilindro!N276-(-M$4+Presion_cilindro!$B$34))/Presion_cilindro!$B$35)^(Presion_cilindro!$B$17+1)),0)-IF(Presion_cilindro!N275&gt;(-M$4+Presion_cilindro!$B$34),1-EXP(-Presion_cilindro!$B$16*((Presion_cilindro!N275-(-M$4+Presion_cilindro!$B$34))/Presion_cilindro!$B$35)^(Presion_cilindro!$B$17+1)),0))/((Presion_cilindro!O275+Presion_cilindro!O276)/2)</f>
        <v>4.4000902849327375</v>
      </c>
      <c r="N284" s="27">
        <f>N283*(Presion_cilindro!O275/Presion_cilindro!O276)^Presion_cilindro!$B$9+10*(Presion_cilindro!$B$9-1)*Presion_cilindro!$B$33*(IF(Presion_cilindro!N276&gt;(-N$4+Presion_cilindro!$B$34),1-EXP(-Presion_cilindro!$B$16*((Presion_cilindro!N276-(-N$4+Presion_cilindro!$B$34))/Presion_cilindro!$B$35)^(Presion_cilindro!$B$17+1)),0)-IF(Presion_cilindro!N275&gt;(-N$4+Presion_cilindro!$B$34),1-EXP(-Presion_cilindro!$B$16*((Presion_cilindro!N275-(-N$4+Presion_cilindro!$B$34))/Presion_cilindro!$B$35)^(Presion_cilindro!$B$17+1)),0))/((Presion_cilindro!O275+Presion_cilindro!O276)/2)</f>
        <v>4.7169128529947395</v>
      </c>
    </row>
    <row r="285" spans="1:14" x14ac:dyDescent="0.25">
      <c r="A285" s="21">
        <f>Presion_cilindro!N277</f>
        <v>-43.5</v>
      </c>
      <c r="B285" s="27">
        <f>B284*(Presion_cilindro!O276/Presion_cilindro!O277)^Presion_cilindro!$B$9+10*(Presion_cilindro!$B$9-1)*Presion_cilindro!$B$33*(IF(Presion_cilindro!N277&gt;(-B$4+Presion_cilindro!$B$34),1-EXP(-Presion_cilindro!$B$16*((Presion_cilindro!N277-(-B$4+Presion_cilindro!$B$34))/Presion_cilindro!$B$35)^(Presion_cilindro!$B$17+1)),0)-IF(Presion_cilindro!N276&gt;(-B$4+Presion_cilindro!$B$34),1-EXP(-Presion_cilindro!$B$16*((Presion_cilindro!N276-(-B$4+Presion_cilindro!$B$34))/Presion_cilindro!$B$35)^(Presion_cilindro!$B$17+1)),0))/((Presion_cilindro!O276+Presion_cilindro!O277)/2)</f>
        <v>4.4475944818880748</v>
      </c>
      <c r="C285" s="27">
        <f>C284*(Presion_cilindro!O276/Presion_cilindro!O277)^Presion_cilindro!$B$9+10*(Presion_cilindro!$B$9-1)*Presion_cilindro!$B$33*(IF(Presion_cilindro!N277&gt;(-C$4+Presion_cilindro!$B$34),1-EXP(-Presion_cilindro!$B$16*((Presion_cilindro!N277-(-C$4+Presion_cilindro!$B$34))/Presion_cilindro!$B$35)^(Presion_cilindro!$B$17+1)),0)-IF(Presion_cilindro!N276&gt;(-C$4+Presion_cilindro!$B$34),1-EXP(-Presion_cilindro!$B$16*((Presion_cilindro!N276-(-C$4+Presion_cilindro!$B$34))/Presion_cilindro!$B$35)^(Presion_cilindro!$B$17+1)),0))/((Presion_cilindro!O276+Presion_cilindro!O277)/2)</f>
        <v>4.4475944818880748</v>
      </c>
      <c r="D285" s="27">
        <f>D284*(Presion_cilindro!O276/Presion_cilindro!O277)^Presion_cilindro!$B$9+10*(Presion_cilindro!$B$9-1)*Presion_cilindro!$B$33*(IF(Presion_cilindro!N277&gt;(-D$4+Presion_cilindro!$B$34),1-EXP(-Presion_cilindro!$B$16*((Presion_cilindro!N277-(-D$4+Presion_cilindro!$B$34))/Presion_cilindro!$B$35)^(Presion_cilindro!$B$17+1)),0)-IF(Presion_cilindro!N276&gt;(-D$4+Presion_cilindro!$B$34),1-EXP(-Presion_cilindro!$B$16*((Presion_cilindro!N276-(-D$4+Presion_cilindro!$B$34))/Presion_cilindro!$B$35)^(Presion_cilindro!$B$17+1)),0))/((Presion_cilindro!O276+Presion_cilindro!O277)/2)</f>
        <v>4.4475944818880748</v>
      </c>
      <c r="E285" s="27">
        <f>E284*(Presion_cilindro!O276/Presion_cilindro!O277)^Presion_cilindro!$B$9+10*(Presion_cilindro!$B$9-1)*Presion_cilindro!$B$33*(IF(Presion_cilindro!N277&gt;(-E$4+Presion_cilindro!$B$34),1-EXP(-Presion_cilindro!$B$16*((Presion_cilindro!N277-(-E$4+Presion_cilindro!$B$34))/Presion_cilindro!$B$35)^(Presion_cilindro!$B$17+1)),0)-IF(Presion_cilindro!N276&gt;(-E$4+Presion_cilindro!$B$34),1-EXP(-Presion_cilindro!$B$16*((Presion_cilindro!N276-(-E$4+Presion_cilindro!$B$34))/Presion_cilindro!$B$35)^(Presion_cilindro!$B$17+1)),0))/((Presion_cilindro!O276+Presion_cilindro!O277)/2)</f>
        <v>4.4475944818880748</v>
      </c>
      <c r="F285" s="27">
        <f>F284*(Presion_cilindro!O276/Presion_cilindro!O277)^Presion_cilindro!$B$9+10*(Presion_cilindro!$B$9-1)*Presion_cilindro!$B$33*(IF(Presion_cilindro!N277&gt;(-F$4+Presion_cilindro!$B$34),1-EXP(-Presion_cilindro!$B$16*((Presion_cilindro!N277-(-F$4+Presion_cilindro!$B$34))/Presion_cilindro!$B$35)^(Presion_cilindro!$B$17+1)),0)-IF(Presion_cilindro!N276&gt;(-F$4+Presion_cilindro!$B$34),1-EXP(-Presion_cilindro!$B$16*((Presion_cilindro!N276-(-F$4+Presion_cilindro!$B$34))/Presion_cilindro!$B$35)^(Presion_cilindro!$B$17+1)),0))/((Presion_cilindro!O276+Presion_cilindro!O277)/2)</f>
        <v>4.4475944818880748</v>
      </c>
      <c r="G285" s="27">
        <f>G284*(Presion_cilindro!O276/Presion_cilindro!O277)^Presion_cilindro!$B$9+10*(Presion_cilindro!$B$9-1)*Presion_cilindro!$B$33*(IF(Presion_cilindro!N277&gt;(-G$4+Presion_cilindro!$B$34),1-EXP(-Presion_cilindro!$B$16*((Presion_cilindro!N277-(-G$4+Presion_cilindro!$B$34))/Presion_cilindro!$B$35)^(Presion_cilindro!$B$17+1)),0)-IF(Presion_cilindro!N276&gt;(-G$4+Presion_cilindro!$B$34),1-EXP(-Presion_cilindro!$B$16*((Presion_cilindro!N276-(-G$4+Presion_cilindro!$B$34))/Presion_cilindro!$B$35)^(Presion_cilindro!$B$17+1)),0))/((Presion_cilindro!O276+Presion_cilindro!O277)/2)</f>
        <v>4.4475944818880748</v>
      </c>
      <c r="H285" s="27">
        <f>H284*(Presion_cilindro!O276/Presion_cilindro!O277)^Presion_cilindro!$B$9+10*(Presion_cilindro!$B$9-1)*Presion_cilindro!$B$33*(IF(Presion_cilindro!N277&gt;(-H$4+Presion_cilindro!$B$34),1-EXP(-Presion_cilindro!$B$16*((Presion_cilindro!N277-(-H$4+Presion_cilindro!$B$34))/Presion_cilindro!$B$35)^(Presion_cilindro!$B$17+1)),0)-IF(Presion_cilindro!N276&gt;(-H$4+Presion_cilindro!$B$34),1-EXP(-Presion_cilindro!$B$16*((Presion_cilindro!N276-(-H$4+Presion_cilindro!$B$34))/Presion_cilindro!$B$35)^(Presion_cilindro!$B$17+1)),0))/((Presion_cilindro!O276+Presion_cilindro!O277)/2)</f>
        <v>4.4475944818880748</v>
      </c>
      <c r="I285" s="27">
        <f>I284*(Presion_cilindro!O276/Presion_cilindro!O277)^Presion_cilindro!$B$9+10*(Presion_cilindro!$B$9-1)*Presion_cilindro!$B$33*(IF(Presion_cilindro!N277&gt;(-I$4+Presion_cilindro!$B$34),1-EXP(-Presion_cilindro!$B$16*((Presion_cilindro!N277-(-I$4+Presion_cilindro!$B$34))/Presion_cilindro!$B$35)^(Presion_cilindro!$B$17+1)),0)-IF(Presion_cilindro!N276&gt;(-I$4+Presion_cilindro!$B$34),1-EXP(-Presion_cilindro!$B$16*((Presion_cilindro!N276-(-I$4+Presion_cilindro!$B$34))/Presion_cilindro!$B$35)^(Presion_cilindro!$B$17+1)),0))/((Presion_cilindro!O276+Presion_cilindro!O277)/2)</f>
        <v>4.4475944818880748</v>
      </c>
      <c r="J285" s="27">
        <f>J284*(Presion_cilindro!O276/Presion_cilindro!O277)^Presion_cilindro!$B$9+10*(Presion_cilindro!$B$9-1)*Presion_cilindro!$B$33*(IF(Presion_cilindro!N277&gt;(-J$4+Presion_cilindro!$B$34),1-EXP(-Presion_cilindro!$B$16*((Presion_cilindro!N277-(-J$4+Presion_cilindro!$B$34))/Presion_cilindro!$B$35)^(Presion_cilindro!$B$17+1)),0)-IF(Presion_cilindro!N276&gt;(-J$4+Presion_cilindro!$B$34),1-EXP(-Presion_cilindro!$B$16*((Presion_cilindro!N276-(-J$4+Presion_cilindro!$B$34))/Presion_cilindro!$B$35)^(Presion_cilindro!$B$17+1)),0))/((Presion_cilindro!O276+Presion_cilindro!O277)/2)</f>
        <v>4.4475944818880748</v>
      </c>
      <c r="K285" s="27">
        <f>K284*(Presion_cilindro!O276/Presion_cilindro!O277)^Presion_cilindro!$B$9+10*(Presion_cilindro!$B$9-1)*Presion_cilindro!$B$33*(IF(Presion_cilindro!N277&gt;(-K$4+Presion_cilindro!$B$34),1-EXP(-Presion_cilindro!$B$16*((Presion_cilindro!N277-(-K$4+Presion_cilindro!$B$34))/Presion_cilindro!$B$35)^(Presion_cilindro!$B$17+1)),0)-IF(Presion_cilindro!N276&gt;(-K$4+Presion_cilindro!$B$34),1-EXP(-Presion_cilindro!$B$16*((Presion_cilindro!N276-(-K$4+Presion_cilindro!$B$34))/Presion_cilindro!$B$35)^(Presion_cilindro!$B$17+1)),0))/((Presion_cilindro!O276+Presion_cilindro!O277)/2)</f>
        <v>4.4475944818880748</v>
      </c>
      <c r="L285" s="27">
        <f>L284*(Presion_cilindro!O276/Presion_cilindro!O277)^Presion_cilindro!$B$9+10*(Presion_cilindro!$B$9-1)*Presion_cilindro!$B$33*(IF(Presion_cilindro!N277&gt;(-L$4+Presion_cilindro!$B$34),1-EXP(-Presion_cilindro!$B$16*((Presion_cilindro!N277-(-L$4+Presion_cilindro!$B$34))/Presion_cilindro!$B$35)^(Presion_cilindro!$B$17+1)),0)-IF(Presion_cilindro!N276&gt;(-L$4+Presion_cilindro!$B$34),1-EXP(-Presion_cilindro!$B$16*((Presion_cilindro!N276-(-L$4+Presion_cilindro!$B$34))/Presion_cilindro!$B$35)^(Presion_cilindro!$B$17+1)),0))/((Presion_cilindro!O276+Presion_cilindro!O277)/2)</f>
        <v>4.4475944818880748</v>
      </c>
      <c r="M285" s="27">
        <f>M284*(Presion_cilindro!O276/Presion_cilindro!O277)^Presion_cilindro!$B$9+10*(Presion_cilindro!$B$9-1)*Presion_cilindro!$B$33*(IF(Presion_cilindro!N277&gt;(-M$4+Presion_cilindro!$B$34),1-EXP(-Presion_cilindro!$B$16*((Presion_cilindro!N277-(-M$4+Presion_cilindro!$B$34))/Presion_cilindro!$B$35)^(Presion_cilindro!$B$17+1)),0)-IF(Presion_cilindro!N276&gt;(-M$4+Presion_cilindro!$B$34),1-EXP(-Presion_cilindro!$B$16*((Presion_cilindro!N276-(-M$4+Presion_cilindro!$B$34))/Presion_cilindro!$B$35)^(Presion_cilindro!$B$17+1)),0))/((Presion_cilindro!O276+Presion_cilindro!O277)/2)</f>
        <v>4.4884386620944463</v>
      </c>
      <c r="N285" s="27">
        <f>N284*(Presion_cilindro!O276/Presion_cilindro!O277)^Presion_cilindro!$B$9+10*(Presion_cilindro!$B$9-1)*Presion_cilindro!$B$33*(IF(Presion_cilindro!N277&gt;(-N$4+Presion_cilindro!$B$34),1-EXP(-Presion_cilindro!$B$16*((Presion_cilindro!N277-(-N$4+Presion_cilindro!$B$34))/Presion_cilindro!$B$35)^(Presion_cilindro!$B$17+1)),0)-IF(Presion_cilindro!N276&gt;(-N$4+Presion_cilindro!$B$34),1-EXP(-Presion_cilindro!$B$16*((Presion_cilindro!N276-(-N$4+Presion_cilindro!$B$34))/Presion_cilindro!$B$35)^(Presion_cilindro!$B$17+1)),0))/((Presion_cilindro!O276+Presion_cilindro!O277)/2)</f>
        <v>4.8590656373447398</v>
      </c>
    </row>
    <row r="286" spans="1:14" x14ac:dyDescent="0.25">
      <c r="A286" s="21">
        <f>Presion_cilindro!N278</f>
        <v>-43</v>
      </c>
      <c r="B286" s="27">
        <f>B285*(Presion_cilindro!O277/Presion_cilindro!O278)^Presion_cilindro!$B$9+10*(Presion_cilindro!$B$9-1)*Presion_cilindro!$B$33*(IF(Presion_cilindro!N278&gt;(-B$4+Presion_cilindro!$B$34),1-EXP(-Presion_cilindro!$B$16*((Presion_cilindro!N278-(-B$4+Presion_cilindro!$B$34))/Presion_cilindro!$B$35)^(Presion_cilindro!$B$17+1)),0)-IF(Presion_cilindro!N277&gt;(-B$4+Presion_cilindro!$B$34),1-EXP(-Presion_cilindro!$B$16*((Presion_cilindro!N277-(-B$4+Presion_cilindro!$B$34))/Presion_cilindro!$B$35)^(Presion_cilindro!$B$17+1)),0))/((Presion_cilindro!O277+Presion_cilindro!O278)/2)</f>
        <v>4.5246020534052294</v>
      </c>
      <c r="C286" s="27">
        <f>C285*(Presion_cilindro!O277/Presion_cilindro!O278)^Presion_cilindro!$B$9+10*(Presion_cilindro!$B$9-1)*Presion_cilindro!$B$33*(IF(Presion_cilindro!N278&gt;(-C$4+Presion_cilindro!$B$34),1-EXP(-Presion_cilindro!$B$16*((Presion_cilindro!N278-(-C$4+Presion_cilindro!$B$34))/Presion_cilindro!$B$35)^(Presion_cilindro!$B$17+1)),0)-IF(Presion_cilindro!N277&gt;(-C$4+Presion_cilindro!$B$34),1-EXP(-Presion_cilindro!$B$16*((Presion_cilindro!N277-(-C$4+Presion_cilindro!$B$34))/Presion_cilindro!$B$35)^(Presion_cilindro!$B$17+1)),0))/((Presion_cilindro!O277+Presion_cilindro!O278)/2)</f>
        <v>4.5246020534052294</v>
      </c>
      <c r="D286" s="27">
        <f>D285*(Presion_cilindro!O277/Presion_cilindro!O278)^Presion_cilindro!$B$9+10*(Presion_cilindro!$B$9-1)*Presion_cilindro!$B$33*(IF(Presion_cilindro!N278&gt;(-D$4+Presion_cilindro!$B$34),1-EXP(-Presion_cilindro!$B$16*((Presion_cilindro!N278-(-D$4+Presion_cilindro!$B$34))/Presion_cilindro!$B$35)^(Presion_cilindro!$B$17+1)),0)-IF(Presion_cilindro!N277&gt;(-D$4+Presion_cilindro!$B$34),1-EXP(-Presion_cilindro!$B$16*((Presion_cilindro!N277-(-D$4+Presion_cilindro!$B$34))/Presion_cilindro!$B$35)^(Presion_cilindro!$B$17+1)),0))/((Presion_cilindro!O277+Presion_cilindro!O278)/2)</f>
        <v>4.5246020534052294</v>
      </c>
      <c r="E286" s="27">
        <f>E285*(Presion_cilindro!O277/Presion_cilindro!O278)^Presion_cilindro!$B$9+10*(Presion_cilindro!$B$9-1)*Presion_cilindro!$B$33*(IF(Presion_cilindro!N278&gt;(-E$4+Presion_cilindro!$B$34),1-EXP(-Presion_cilindro!$B$16*((Presion_cilindro!N278-(-E$4+Presion_cilindro!$B$34))/Presion_cilindro!$B$35)^(Presion_cilindro!$B$17+1)),0)-IF(Presion_cilindro!N277&gt;(-E$4+Presion_cilindro!$B$34),1-EXP(-Presion_cilindro!$B$16*((Presion_cilindro!N277-(-E$4+Presion_cilindro!$B$34))/Presion_cilindro!$B$35)^(Presion_cilindro!$B$17+1)),0))/((Presion_cilindro!O277+Presion_cilindro!O278)/2)</f>
        <v>4.5246020534052294</v>
      </c>
      <c r="F286" s="27">
        <f>F285*(Presion_cilindro!O277/Presion_cilindro!O278)^Presion_cilindro!$B$9+10*(Presion_cilindro!$B$9-1)*Presion_cilindro!$B$33*(IF(Presion_cilindro!N278&gt;(-F$4+Presion_cilindro!$B$34),1-EXP(-Presion_cilindro!$B$16*((Presion_cilindro!N278-(-F$4+Presion_cilindro!$B$34))/Presion_cilindro!$B$35)^(Presion_cilindro!$B$17+1)),0)-IF(Presion_cilindro!N277&gt;(-F$4+Presion_cilindro!$B$34),1-EXP(-Presion_cilindro!$B$16*((Presion_cilindro!N277-(-F$4+Presion_cilindro!$B$34))/Presion_cilindro!$B$35)^(Presion_cilindro!$B$17+1)),0))/((Presion_cilindro!O277+Presion_cilindro!O278)/2)</f>
        <v>4.5246020534052294</v>
      </c>
      <c r="G286" s="27">
        <f>G285*(Presion_cilindro!O277/Presion_cilindro!O278)^Presion_cilindro!$B$9+10*(Presion_cilindro!$B$9-1)*Presion_cilindro!$B$33*(IF(Presion_cilindro!N278&gt;(-G$4+Presion_cilindro!$B$34),1-EXP(-Presion_cilindro!$B$16*((Presion_cilindro!N278-(-G$4+Presion_cilindro!$B$34))/Presion_cilindro!$B$35)^(Presion_cilindro!$B$17+1)),0)-IF(Presion_cilindro!N277&gt;(-G$4+Presion_cilindro!$B$34),1-EXP(-Presion_cilindro!$B$16*((Presion_cilindro!N277-(-G$4+Presion_cilindro!$B$34))/Presion_cilindro!$B$35)^(Presion_cilindro!$B$17+1)),0))/((Presion_cilindro!O277+Presion_cilindro!O278)/2)</f>
        <v>4.5246020534052294</v>
      </c>
      <c r="H286" s="27">
        <f>H285*(Presion_cilindro!O277/Presion_cilindro!O278)^Presion_cilindro!$B$9+10*(Presion_cilindro!$B$9-1)*Presion_cilindro!$B$33*(IF(Presion_cilindro!N278&gt;(-H$4+Presion_cilindro!$B$34),1-EXP(-Presion_cilindro!$B$16*((Presion_cilindro!N278-(-H$4+Presion_cilindro!$B$34))/Presion_cilindro!$B$35)^(Presion_cilindro!$B$17+1)),0)-IF(Presion_cilindro!N277&gt;(-H$4+Presion_cilindro!$B$34),1-EXP(-Presion_cilindro!$B$16*((Presion_cilindro!N277-(-H$4+Presion_cilindro!$B$34))/Presion_cilindro!$B$35)^(Presion_cilindro!$B$17+1)),0))/((Presion_cilindro!O277+Presion_cilindro!O278)/2)</f>
        <v>4.5246020534052294</v>
      </c>
      <c r="I286" s="27">
        <f>I285*(Presion_cilindro!O277/Presion_cilindro!O278)^Presion_cilindro!$B$9+10*(Presion_cilindro!$B$9-1)*Presion_cilindro!$B$33*(IF(Presion_cilindro!N278&gt;(-I$4+Presion_cilindro!$B$34),1-EXP(-Presion_cilindro!$B$16*((Presion_cilindro!N278-(-I$4+Presion_cilindro!$B$34))/Presion_cilindro!$B$35)^(Presion_cilindro!$B$17+1)),0)-IF(Presion_cilindro!N277&gt;(-I$4+Presion_cilindro!$B$34),1-EXP(-Presion_cilindro!$B$16*((Presion_cilindro!N277-(-I$4+Presion_cilindro!$B$34))/Presion_cilindro!$B$35)^(Presion_cilindro!$B$17+1)),0))/((Presion_cilindro!O277+Presion_cilindro!O278)/2)</f>
        <v>4.5246020534052294</v>
      </c>
      <c r="J286" s="27">
        <f>J285*(Presion_cilindro!O277/Presion_cilindro!O278)^Presion_cilindro!$B$9+10*(Presion_cilindro!$B$9-1)*Presion_cilindro!$B$33*(IF(Presion_cilindro!N278&gt;(-J$4+Presion_cilindro!$B$34),1-EXP(-Presion_cilindro!$B$16*((Presion_cilindro!N278-(-J$4+Presion_cilindro!$B$34))/Presion_cilindro!$B$35)^(Presion_cilindro!$B$17+1)),0)-IF(Presion_cilindro!N277&gt;(-J$4+Presion_cilindro!$B$34),1-EXP(-Presion_cilindro!$B$16*((Presion_cilindro!N277-(-J$4+Presion_cilindro!$B$34))/Presion_cilindro!$B$35)^(Presion_cilindro!$B$17+1)),0))/((Presion_cilindro!O277+Presion_cilindro!O278)/2)</f>
        <v>4.5246020534052294</v>
      </c>
      <c r="K286" s="27">
        <f>K285*(Presion_cilindro!O277/Presion_cilindro!O278)^Presion_cilindro!$B$9+10*(Presion_cilindro!$B$9-1)*Presion_cilindro!$B$33*(IF(Presion_cilindro!N278&gt;(-K$4+Presion_cilindro!$B$34),1-EXP(-Presion_cilindro!$B$16*((Presion_cilindro!N278-(-K$4+Presion_cilindro!$B$34))/Presion_cilindro!$B$35)^(Presion_cilindro!$B$17+1)),0)-IF(Presion_cilindro!N277&gt;(-K$4+Presion_cilindro!$B$34),1-EXP(-Presion_cilindro!$B$16*((Presion_cilindro!N277-(-K$4+Presion_cilindro!$B$34))/Presion_cilindro!$B$35)^(Presion_cilindro!$B$17+1)),0))/((Presion_cilindro!O277+Presion_cilindro!O278)/2)</f>
        <v>4.5246020534052294</v>
      </c>
      <c r="L286" s="27">
        <f>L285*(Presion_cilindro!O277/Presion_cilindro!O278)^Presion_cilindro!$B$9+10*(Presion_cilindro!$B$9-1)*Presion_cilindro!$B$33*(IF(Presion_cilindro!N278&gt;(-L$4+Presion_cilindro!$B$34),1-EXP(-Presion_cilindro!$B$16*((Presion_cilindro!N278-(-L$4+Presion_cilindro!$B$34))/Presion_cilindro!$B$35)^(Presion_cilindro!$B$17+1)),0)-IF(Presion_cilindro!N277&gt;(-L$4+Presion_cilindro!$B$34),1-EXP(-Presion_cilindro!$B$16*((Presion_cilindro!N277-(-L$4+Presion_cilindro!$B$34))/Presion_cilindro!$B$35)^(Presion_cilindro!$B$17+1)),0))/((Presion_cilindro!O277+Presion_cilindro!O278)/2)</f>
        <v>4.5246020534052294</v>
      </c>
      <c r="M286" s="27">
        <f>M285*(Presion_cilindro!O277/Presion_cilindro!O278)^Presion_cilindro!$B$9+10*(Presion_cilindro!$B$9-1)*Presion_cilindro!$B$33*(IF(Presion_cilindro!N278&gt;(-M$4+Presion_cilindro!$B$34),1-EXP(-Presion_cilindro!$B$16*((Presion_cilindro!N278-(-M$4+Presion_cilindro!$B$34))/Presion_cilindro!$B$35)^(Presion_cilindro!$B$17+1)),0)-IF(Presion_cilindro!N277&gt;(-M$4+Presion_cilindro!$B$34),1-EXP(-Presion_cilindro!$B$16*((Presion_cilindro!N277-(-M$4+Presion_cilindro!$B$34))/Presion_cilindro!$B$35)^(Presion_cilindro!$B$17+1)),0))/((Presion_cilindro!O277+Presion_cilindro!O278)/2)</f>
        <v>4.5821775058163672</v>
      </c>
      <c r="N286" s="27">
        <f>N285*(Presion_cilindro!O277/Presion_cilindro!O278)^Presion_cilindro!$B$9+10*(Presion_cilindro!$B$9-1)*Presion_cilindro!$B$33*(IF(Presion_cilindro!N278&gt;(-N$4+Presion_cilindro!$B$34),1-EXP(-Presion_cilindro!$B$16*((Presion_cilindro!N278-(-N$4+Presion_cilindro!$B$34))/Presion_cilindro!$B$35)^(Presion_cilindro!$B$17+1)),0)-IF(Presion_cilindro!N277&gt;(-N$4+Presion_cilindro!$B$34),1-EXP(-Presion_cilindro!$B$16*((Presion_cilindro!N277-(-N$4+Presion_cilindro!$B$34))/Presion_cilindro!$B$35)^(Presion_cilindro!$B$17+1)),0))/((Presion_cilindro!O277+Presion_cilindro!O278)/2)</f>
        <v>5.0115226468546297</v>
      </c>
    </row>
    <row r="287" spans="1:14" x14ac:dyDescent="0.25">
      <c r="A287" s="21">
        <f>Presion_cilindro!N279</f>
        <v>-42.5</v>
      </c>
      <c r="B287" s="27">
        <f>B286*(Presion_cilindro!O278/Presion_cilindro!O279)^Presion_cilindro!$B$9+10*(Presion_cilindro!$B$9-1)*Presion_cilindro!$B$33*(IF(Presion_cilindro!N279&gt;(-B$4+Presion_cilindro!$B$34),1-EXP(-Presion_cilindro!$B$16*((Presion_cilindro!N279-(-B$4+Presion_cilindro!$B$34))/Presion_cilindro!$B$35)^(Presion_cilindro!$B$17+1)),0)-IF(Presion_cilindro!N278&gt;(-B$4+Presion_cilindro!$B$34),1-EXP(-Presion_cilindro!$B$16*((Presion_cilindro!N278-(-B$4+Presion_cilindro!$B$34))/Presion_cilindro!$B$35)^(Presion_cilindro!$B$17+1)),0))/((Presion_cilindro!O278+Presion_cilindro!O279)/2)</f>
        <v>4.6033346729217515</v>
      </c>
      <c r="C287" s="27">
        <f>C286*(Presion_cilindro!O278/Presion_cilindro!O279)^Presion_cilindro!$B$9+10*(Presion_cilindro!$B$9-1)*Presion_cilindro!$B$33*(IF(Presion_cilindro!N279&gt;(-C$4+Presion_cilindro!$B$34),1-EXP(-Presion_cilindro!$B$16*((Presion_cilindro!N279-(-C$4+Presion_cilindro!$B$34))/Presion_cilindro!$B$35)^(Presion_cilindro!$B$17+1)),0)-IF(Presion_cilindro!N278&gt;(-C$4+Presion_cilindro!$B$34),1-EXP(-Presion_cilindro!$B$16*((Presion_cilindro!N278-(-C$4+Presion_cilindro!$B$34))/Presion_cilindro!$B$35)^(Presion_cilindro!$B$17+1)),0))/((Presion_cilindro!O278+Presion_cilindro!O279)/2)</f>
        <v>4.6033346729217515</v>
      </c>
      <c r="D287" s="27">
        <f>D286*(Presion_cilindro!O278/Presion_cilindro!O279)^Presion_cilindro!$B$9+10*(Presion_cilindro!$B$9-1)*Presion_cilindro!$B$33*(IF(Presion_cilindro!N279&gt;(-D$4+Presion_cilindro!$B$34),1-EXP(-Presion_cilindro!$B$16*((Presion_cilindro!N279-(-D$4+Presion_cilindro!$B$34))/Presion_cilindro!$B$35)^(Presion_cilindro!$B$17+1)),0)-IF(Presion_cilindro!N278&gt;(-D$4+Presion_cilindro!$B$34),1-EXP(-Presion_cilindro!$B$16*((Presion_cilindro!N278-(-D$4+Presion_cilindro!$B$34))/Presion_cilindro!$B$35)^(Presion_cilindro!$B$17+1)),0))/((Presion_cilindro!O278+Presion_cilindro!O279)/2)</f>
        <v>4.6033346729217515</v>
      </c>
      <c r="E287" s="27">
        <f>E286*(Presion_cilindro!O278/Presion_cilindro!O279)^Presion_cilindro!$B$9+10*(Presion_cilindro!$B$9-1)*Presion_cilindro!$B$33*(IF(Presion_cilindro!N279&gt;(-E$4+Presion_cilindro!$B$34),1-EXP(-Presion_cilindro!$B$16*((Presion_cilindro!N279-(-E$4+Presion_cilindro!$B$34))/Presion_cilindro!$B$35)^(Presion_cilindro!$B$17+1)),0)-IF(Presion_cilindro!N278&gt;(-E$4+Presion_cilindro!$B$34),1-EXP(-Presion_cilindro!$B$16*((Presion_cilindro!N278-(-E$4+Presion_cilindro!$B$34))/Presion_cilindro!$B$35)^(Presion_cilindro!$B$17+1)),0))/((Presion_cilindro!O278+Presion_cilindro!O279)/2)</f>
        <v>4.6033346729217515</v>
      </c>
      <c r="F287" s="27">
        <f>F286*(Presion_cilindro!O278/Presion_cilindro!O279)^Presion_cilindro!$B$9+10*(Presion_cilindro!$B$9-1)*Presion_cilindro!$B$33*(IF(Presion_cilindro!N279&gt;(-F$4+Presion_cilindro!$B$34),1-EXP(-Presion_cilindro!$B$16*((Presion_cilindro!N279-(-F$4+Presion_cilindro!$B$34))/Presion_cilindro!$B$35)^(Presion_cilindro!$B$17+1)),0)-IF(Presion_cilindro!N278&gt;(-F$4+Presion_cilindro!$B$34),1-EXP(-Presion_cilindro!$B$16*((Presion_cilindro!N278-(-F$4+Presion_cilindro!$B$34))/Presion_cilindro!$B$35)^(Presion_cilindro!$B$17+1)),0))/((Presion_cilindro!O278+Presion_cilindro!O279)/2)</f>
        <v>4.6033346729217515</v>
      </c>
      <c r="G287" s="27">
        <f>G286*(Presion_cilindro!O278/Presion_cilindro!O279)^Presion_cilindro!$B$9+10*(Presion_cilindro!$B$9-1)*Presion_cilindro!$B$33*(IF(Presion_cilindro!N279&gt;(-G$4+Presion_cilindro!$B$34),1-EXP(-Presion_cilindro!$B$16*((Presion_cilindro!N279-(-G$4+Presion_cilindro!$B$34))/Presion_cilindro!$B$35)^(Presion_cilindro!$B$17+1)),0)-IF(Presion_cilindro!N278&gt;(-G$4+Presion_cilindro!$B$34),1-EXP(-Presion_cilindro!$B$16*((Presion_cilindro!N278-(-G$4+Presion_cilindro!$B$34))/Presion_cilindro!$B$35)^(Presion_cilindro!$B$17+1)),0))/((Presion_cilindro!O278+Presion_cilindro!O279)/2)</f>
        <v>4.6033346729217515</v>
      </c>
      <c r="H287" s="27">
        <f>H286*(Presion_cilindro!O278/Presion_cilindro!O279)^Presion_cilindro!$B$9+10*(Presion_cilindro!$B$9-1)*Presion_cilindro!$B$33*(IF(Presion_cilindro!N279&gt;(-H$4+Presion_cilindro!$B$34),1-EXP(-Presion_cilindro!$B$16*((Presion_cilindro!N279-(-H$4+Presion_cilindro!$B$34))/Presion_cilindro!$B$35)^(Presion_cilindro!$B$17+1)),0)-IF(Presion_cilindro!N278&gt;(-H$4+Presion_cilindro!$B$34),1-EXP(-Presion_cilindro!$B$16*((Presion_cilindro!N278-(-H$4+Presion_cilindro!$B$34))/Presion_cilindro!$B$35)^(Presion_cilindro!$B$17+1)),0))/((Presion_cilindro!O278+Presion_cilindro!O279)/2)</f>
        <v>4.6033346729217515</v>
      </c>
      <c r="I287" s="27">
        <f>I286*(Presion_cilindro!O278/Presion_cilindro!O279)^Presion_cilindro!$B$9+10*(Presion_cilindro!$B$9-1)*Presion_cilindro!$B$33*(IF(Presion_cilindro!N279&gt;(-I$4+Presion_cilindro!$B$34),1-EXP(-Presion_cilindro!$B$16*((Presion_cilindro!N279-(-I$4+Presion_cilindro!$B$34))/Presion_cilindro!$B$35)^(Presion_cilindro!$B$17+1)),0)-IF(Presion_cilindro!N278&gt;(-I$4+Presion_cilindro!$B$34),1-EXP(-Presion_cilindro!$B$16*((Presion_cilindro!N278-(-I$4+Presion_cilindro!$B$34))/Presion_cilindro!$B$35)^(Presion_cilindro!$B$17+1)),0))/((Presion_cilindro!O278+Presion_cilindro!O279)/2)</f>
        <v>4.6033346729217515</v>
      </c>
      <c r="J287" s="27">
        <f>J286*(Presion_cilindro!O278/Presion_cilindro!O279)^Presion_cilindro!$B$9+10*(Presion_cilindro!$B$9-1)*Presion_cilindro!$B$33*(IF(Presion_cilindro!N279&gt;(-J$4+Presion_cilindro!$B$34),1-EXP(-Presion_cilindro!$B$16*((Presion_cilindro!N279-(-J$4+Presion_cilindro!$B$34))/Presion_cilindro!$B$35)^(Presion_cilindro!$B$17+1)),0)-IF(Presion_cilindro!N278&gt;(-J$4+Presion_cilindro!$B$34),1-EXP(-Presion_cilindro!$B$16*((Presion_cilindro!N278-(-J$4+Presion_cilindro!$B$34))/Presion_cilindro!$B$35)^(Presion_cilindro!$B$17+1)),0))/((Presion_cilindro!O278+Presion_cilindro!O279)/2)</f>
        <v>4.6033346729217515</v>
      </c>
      <c r="K287" s="27">
        <f>K286*(Presion_cilindro!O278/Presion_cilindro!O279)^Presion_cilindro!$B$9+10*(Presion_cilindro!$B$9-1)*Presion_cilindro!$B$33*(IF(Presion_cilindro!N279&gt;(-K$4+Presion_cilindro!$B$34),1-EXP(-Presion_cilindro!$B$16*((Presion_cilindro!N279-(-K$4+Presion_cilindro!$B$34))/Presion_cilindro!$B$35)^(Presion_cilindro!$B$17+1)),0)-IF(Presion_cilindro!N278&gt;(-K$4+Presion_cilindro!$B$34),1-EXP(-Presion_cilindro!$B$16*((Presion_cilindro!N278-(-K$4+Presion_cilindro!$B$34))/Presion_cilindro!$B$35)^(Presion_cilindro!$B$17+1)),0))/((Presion_cilindro!O278+Presion_cilindro!O279)/2)</f>
        <v>4.6033346729217515</v>
      </c>
      <c r="L287" s="27">
        <f>L286*(Presion_cilindro!O278/Presion_cilindro!O279)^Presion_cilindro!$B$9+10*(Presion_cilindro!$B$9-1)*Presion_cilindro!$B$33*(IF(Presion_cilindro!N279&gt;(-L$4+Presion_cilindro!$B$34),1-EXP(-Presion_cilindro!$B$16*((Presion_cilindro!N279-(-L$4+Presion_cilindro!$B$34))/Presion_cilindro!$B$35)^(Presion_cilindro!$B$17+1)),0)-IF(Presion_cilindro!N278&gt;(-L$4+Presion_cilindro!$B$34),1-EXP(-Presion_cilindro!$B$16*((Presion_cilindro!N278-(-L$4+Presion_cilindro!$B$34))/Presion_cilindro!$B$35)^(Presion_cilindro!$B$17+1)),0))/((Presion_cilindro!O278+Presion_cilindro!O279)/2)</f>
        <v>4.6033488274811711</v>
      </c>
      <c r="M287" s="27">
        <f>M286*(Presion_cilindro!O278/Presion_cilindro!O279)^Presion_cilindro!$B$9+10*(Presion_cilindro!$B$9-1)*Presion_cilindro!$B$33*(IF(Presion_cilindro!N279&gt;(-M$4+Presion_cilindro!$B$34),1-EXP(-Presion_cilindro!$B$16*((Presion_cilindro!N279-(-M$4+Presion_cilindro!$B$34))/Presion_cilindro!$B$35)^(Presion_cilindro!$B$17+1)),0)-IF(Presion_cilindro!N278&gt;(-M$4+Presion_cilindro!$B$34),1-EXP(-Presion_cilindro!$B$16*((Presion_cilindro!N278-(-M$4+Presion_cilindro!$B$34))/Presion_cilindro!$B$35)^(Presion_cilindro!$B$17+1)),0))/((Presion_cilindro!O278+Presion_cilindro!O279)/2)</f>
        <v>4.6818762387988384</v>
      </c>
      <c r="N287" s="27">
        <f>N286*(Presion_cilindro!O278/Presion_cilindro!O279)^Presion_cilindro!$B$9+10*(Presion_cilindro!$B$9-1)*Presion_cilindro!$B$33*(IF(Presion_cilindro!N279&gt;(-N$4+Presion_cilindro!$B$34),1-EXP(-Presion_cilindro!$B$16*((Presion_cilindro!N279-(-N$4+Presion_cilindro!$B$34))/Presion_cilindro!$B$35)^(Presion_cilindro!$B$17+1)),0)-IF(Presion_cilindro!N278&gt;(-N$4+Presion_cilindro!$B$34),1-EXP(-Presion_cilindro!$B$16*((Presion_cilindro!N278-(-N$4+Presion_cilindro!$B$34))/Presion_cilindro!$B$35)^(Presion_cilindro!$B$17+1)),0))/((Presion_cilindro!O278+Presion_cilindro!O279)/2)</f>
        <v>5.1749271642272934</v>
      </c>
    </row>
    <row r="288" spans="1:14" x14ac:dyDescent="0.25">
      <c r="A288" s="21">
        <f>Presion_cilindro!N280</f>
        <v>-42</v>
      </c>
      <c r="B288" s="27">
        <f>B287*(Presion_cilindro!O279/Presion_cilindro!O280)^Presion_cilindro!$B$9+10*(Presion_cilindro!$B$9-1)*Presion_cilindro!$B$33*(IF(Presion_cilindro!N280&gt;(-B$4+Presion_cilindro!$B$34),1-EXP(-Presion_cilindro!$B$16*((Presion_cilindro!N280-(-B$4+Presion_cilindro!$B$34))/Presion_cilindro!$B$35)^(Presion_cilindro!$B$17+1)),0)-IF(Presion_cilindro!N279&gt;(-B$4+Presion_cilindro!$B$34),1-EXP(-Presion_cilindro!$B$16*((Presion_cilindro!N279-(-B$4+Presion_cilindro!$B$34))/Presion_cilindro!$B$35)^(Presion_cilindro!$B$17+1)),0))/((Presion_cilindro!O279+Presion_cilindro!O280)/2)</f>
        <v>4.6838282643979383</v>
      </c>
      <c r="C288" s="27">
        <f>C287*(Presion_cilindro!O279/Presion_cilindro!O280)^Presion_cilindro!$B$9+10*(Presion_cilindro!$B$9-1)*Presion_cilindro!$B$33*(IF(Presion_cilindro!N280&gt;(-C$4+Presion_cilindro!$B$34),1-EXP(-Presion_cilindro!$B$16*((Presion_cilindro!N280-(-C$4+Presion_cilindro!$B$34))/Presion_cilindro!$B$35)^(Presion_cilindro!$B$17+1)),0)-IF(Presion_cilindro!N279&gt;(-C$4+Presion_cilindro!$B$34),1-EXP(-Presion_cilindro!$B$16*((Presion_cilindro!N279-(-C$4+Presion_cilindro!$B$34))/Presion_cilindro!$B$35)^(Presion_cilindro!$B$17+1)),0))/((Presion_cilindro!O279+Presion_cilindro!O280)/2)</f>
        <v>4.6838282643979383</v>
      </c>
      <c r="D288" s="27">
        <f>D287*(Presion_cilindro!O279/Presion_cilindro!O280)^Presion_cilindro!$B$9+10*(Presion_cilindro!$B$9-1)*Presion_cilindro!$B$33*(IF(Presion_cilindro!N280&gt;(-D$4+Presion_cilindro!$B$34),1-EXP(-Presion_cilindro!$B$16*((Presion_cilindro!N280-(-D$4+Presion_cilindro!$B$34))/Presion_cilindro!$B$35)^(Presion_cilindro!$B$17+1)),0)-IF(Presion_cilindro!N279&gt;(-D$4+Presion_cilindro!$B$34),1-EXP(-Presion_cilindro!$B$16*((Presion_cilindro!N279-(-D$4+Presion_cilindro!$B$34))/Presion_cilindro!$B$35)^(Presion_cilindro!$B$17+1)),0))/((Presion_cilindro!O279+Presion_cilindro!O280)/2)</f>
        <v>4.6838282643979383</v>
      </c>
      <c r="E288" s="27">
        <f>E287*(Presion_cilindro!O279/Presion_cilindro!O280)^Presion_cilindro!$B$9+10*(Presion_cilindro!$B$9-1)*Presion_cilindro!$B$33*(IF(Presion_cilindro!N280&gt;(-E$4+Presion_cilindro!$B$34),1-EXP(-Presion_cilindro!$B$16*((Presion_cilindro!N280-(-E$4+Presion_cilindro!$B$34))/Presion_cilindro!$B$35)^(Presion_cilindro!$B$17+1)),0)-IF(Presion_cilindro!N279&gt;(-E$4+Presion_cilindro!$B$34),1-EXP(-Presion_cilindro!$B$16*((Presion_cilindro!N279-(-E$4+Presion_cilindro!$B$34))/Presion_cilindro!$B$35)^(Presion_cilindro!$B$17+1)),0))/((Presion_cilindro!O279+Presion_cilindro!O280)/2)</f>
        <v>4.6838282643979383</v>
      </c>
      <c r="F288" s="27">
        <f>F287*(Presion_cilindro!O279/Presion_cilindro!O280)^Presion_cilindro!$B$9+10*(Presion_cilindro!$B$9-1)*Presion_cilindro!$B$33*(IF(Presion_cilindro!N280&gt;(-F$4+Presion_cilindro!$B$34),1-EXP(-Presion_cilindro!$B$16*((Presion_cilindro!N280-(-F$4+Presion_cilindro!$B$34))/Presion_cilindro!$B$35)^(Presion_cilindro!$B$17+1)),0)-IF(Presion_cilindro!N279&gt;(-F$4+Presion_cilindro!$B$34),1-EXP(-Presion_cilindro!$B$16*((Presion_cilindro!N279-(-F$4+Presion_cilindro!$B$34))/Presion_cilindro!$B$35)^(Presion_cilindro!$B$17+1)),0))/((Presion_cilindro!O279+Presion_cilindro!O280)/2)</f>
        <v>4.6838282643979383</v>
      </c>
      <c r="G288" s="27">
        <f>G287*(Presion_cilindro!O279/Presion_cilindro!O280)^Presion_cilindro!$B$9+10*(Presion_cilindro!$B$9-1)*Presion_cilindro!$B$33*(IF(Presion_cilindro!N280&gt;(-G$4+Presion_cilindro!$B$34),1-EXP(-Presion_cilindro!$B$16*((Presion_cilindro!N280-(-G$4+Presion_cilindro!$B$34))/Presion_cilindro!$B$35)^(Presion_cilindro!$B$17+1)),0)-IF(Presion_cilindro!N279&gt;(-G$4+Presion_cilindro!$B$34),1-EXP(-Presion_cilindro!$B$16*((Presion_cilindro!N279-(-G$4+Presion_cilindro!$B$34))/Presion_cilindro!$B$35)^(Presion_cilindro!$B$17+1)),0))/((Presion_cilindro!O279+Presion_cilindro!O280)/2)</f>
        <v>4.6838282643979383</v>
      </c>
      <c r="H288" s="27">
        <f>H287*(Presion_cilindro!O279/Presion_cilindro!O280)^Presion_cilindro!$B$9+10*(Presion_cilindro!$B$9-1)*Presion_cilindro!$B$33*(IF(Presion_cilindro!N280&gt;(-H$4+Presion_cilindro!$B$34),1-EXP(-Presion_cilindro!$B$16*((Presion_cilindro!N280-(-H$4+Presion_cilindro!$B$34))/Presion_cilindro!$B$35)^(Presion_cilindro!$B$17+1)),0)-IF(Presion_cilindro!N279&gt;(-H$4+Presion_cilindro!$B$34),1-EXP(-Presion_cilindro!$B$16*((Presion_cilindro!N279-(-H$4+Presion_cilindro!$B$34))/Presion_cilindro!$B$35)^(Presion_cilindro!$B$17+1)),0))/((Presion_cilindro!O279+Presion_cilindro!O280)/2)</f>
        <v>4.6838282643979383</v>
      </c>
      <c r="I288" s="27">
        <f>I287*(Presion_cilindro!O279/Presion_cilindro!O280)^Presion_cilindro!$B$9+10*(Presion_cilindro!$B$9-1)*Presion_cilindro!$B$33*(IF(Presion_cilindro!N280&gt;(-I$4+Presion_cilindro!$B$34),1-EXP(-Presion_cilindro!$B$16*((Presion_cilindro!N280-(-I$4+Presion_cilindro!$B$34))/Presion_cilindro!$B$35)^(Presion_cilindro!$B$17+1)),0)-IF(Presion_cilindro!N279&gt;(-I$4+Presion_cilindro!$B$34),1-EXP(-Presion_cilindro!$B$16*((Presion_cilindro!N279-(-I$4+Presion_cilindro!$B$34))/Presion_cilindro!$B$35)^(Presion_cilindro!$B$17+1)),0))/((Presion_cilindro!O279+Presion_cilindro!O280)/2)</f>
        <v>4.6838282643979383</v>
      </c>
      <c r="J288" s="27">
        <f>J287*(Presion_cilindro!O279/Presion_cilindro!O280)^Presion_cilindro!$B$9+10*(Presion_cilindro!$B$9-1)*Presion_cilindro!$B$33*(IF(Presion_cilindro!N280&gt;(-J$4+Presion_cilindro!$B$34),1-EXP(-Presion_cilindro!$B$16*((Presion_cilindro!N280-(-J$4+Presion_cilindro!$B$34))/Presion_cilindro!$B$35)^(Presion_cilindro!$B$17+1)),0)-IF(Presion_cilindro!N279&gt;(-J$4+Presion_cilindro!$B$34),1-EXP(-Presion_cilindro!$B$16*((Presion_cilindro!N279-(-J$4+Presion_cilindro!$B$34))/Presion_cilindro!$B$35)^(Presion_cilindro!$B$17+1)),0))/((Presion_cilindro!O279+Presion_cilindro!O280)/2)</f>
        <v>4.6838282643979383</v>
      </c>
      <c r="K288" s="27">
        <f>K287*(Presion_cilindro!O279/Presion_cilindro!O280)^Presion_cilindro!$B$9+10*(Presion_cilindro!$B$9-1)*Presion_cilindro!$B$33*(IF(Presion_cilindro!N280&gt;(-K$4+Presion_cilindro!$B$34),1-EXP(-Presion_cilindro!$B$16*((Presion_cilindro!N280-(-K$4+Presion_cilindro!$B$34))/Presion_cilindro!$B$35)^(Presion_cilindro!$B$17+1)),0)-IF(Presion_cilindro!N279&gt;(-K$4+Presion_cilindro!$B$34),1-EXP(-Presion_cilindro!$B$16*((Presion_cilindro!N279-(-K$4+Presion_cilindro!$B$34))/Presion_cilindro!$B$35)^(Presion_cilindro!$B$17+1)),0))/((Presion_cilindro!O279+Presion_cilindro!O280)/2)</f>
        <v>4.6838282643979383</v>
      </c>
      <c r="L288" s="27">
        <f>L287*(Presion_cilindro!O279/Presion_cilindro!O280)^Presion_cilindro!$B$9+10*(Presion_cilindro!$B$9-1)*Presion_cilindro!$B$33*(IF(Presion_cilindro!N280&gt;(-L$4+Presion_cilindro!$B$34),1-EXP(-Presion_cilindro!$B$16*((Presion_cilindro!N280-(-L$4+Presion_cilindro!$B$34))/Presion_cilindro!$B$35)^(Presion_cilindro!$B$17+1)),0)-IF(Presion_cilindro!N279&gt;(-L$4+Presion_cilindro!$B$34),1-EXP(-Presion_cilindro!$B$16*((Presion_cilindro!N279-(-L$4+Presion_cilindro!$B$34))/Presion_cilindro!$B$35)^(Presion_cilindro!$B$17+1)),0))/((Presion_cilindro!O279+Presion_cilindro!O280)/2)</f>
        <v>4.684100249060692</v>
      </c>
      <c r="M288" s="27">
        <f>M287*(Presion_cilindro!O279/Presion_cilindro!O280)^Presion_cilindro!$B$9+10*(Presion_cilindro!$B$9-1)*Presion_cilindro!$B$33*(IF(Presion_cilindro!N280&gt;(-M$4+Presion_cilindro!$B$34),1-EXP(-Presion_cilindro!$B$16*((Presion_cilindro!N280-(-M$4+Presion_cilindro!$B$34))/Presion_cilindro!$B$35)^(Presion_cilindro!$B$17+1)),0)-IF(Presion_cilindro!N279&gt;(-M$4+Presion_cilindro!$B$34),1-EXP(-Presion_cilindro!$B$16*((Presion_cilindro!N279-(-M$4+Presion_cilindro!$B$34))/Presion_cilindro!$B$35)^(Presion_cilindro!$B$17+1)),0))/((Presion_cilindro!O279+Presion_cilindro!O280)/2)</f>
        <v>4.7881263510200149</v>
      </c>
      <c r="N288" s="27">
        <f>N287*(Presion_cilindro!O279/Presion_cilindro!O280)^Presion_cilindro!$B$9+10*(Presion_cilindro!$B$9-1)*Presion_cilindro!$B$33*(IF(Presion_cilindro!N280&gt;(-N$4+Presion_cilindro!$B$34),1-EXP(-Presion_cilindro!$B$16*((Presion_cilindro!N280-(-N$4+Presion_cilindro!$B$34))/Presion_cilindro!$B$35)^(Presion_cilindro!$B$17+1)),0)-IF(Presion_cilindro!N279&gt;(-N$4+Presion_cilindro!$B$34),1-EXP(-Presion_cilindro!$B$16*((Presion_cilindro!N279-(-N$4+Presion_cilindro!$B$34))/Presion_cilindro!$B$35)^(Presion_cilindro!$B$17+1)),0))/((Presion_cilindro!O279+Presion_cilindro!O280)/2)</f>
        <v>5.3499291653443928</v>
      </c>
    </row>
    <row r="289" spans="1:14" x14ac:dyDescent="0.25">
      <c r="A289" s="21">
        <f>Presion_cilindro!N281</f>
        <v>-41.5</v>
      </c>
      <c r="B289" s="27">
        <f>B288*(Presion_cilindro!O280/Presion_cilindro!O281)^Presion_cilindro!$B$9+10*(Presion_cilindro!$B$9-1)*Presion_cilindro!$B$33*(IF(Presion_cilindro!N281&gt;(-B$4+Presion_cilindro!$B$34),1-EXP(-Presion_cilindro!$B$16*((Presion_cilindro!N281-(-B$4+Presion_cilindro!$B$34))/Presion_cilindro!$B$35)^(Presion_cilindro!$B$17+1)),0)-IF(Presion_cilindro!N280&gt;(-B$4+Presion_cilindro!$B$34),1-EXP(-Presion_cilindro!$B$16*((Presion_cilindro!N280-(-B$4+Presion_cilindro!$B$34))/Presion_cilindro!$B$35)^(Presion_cilindro!$B$17+1)),0))/((Presion_cilindro!O280+Presion_cilindro!O281)/2)</f>
        <v>4.7661189310785605</v>
      </c>
      <c r="C289" s="27">
        <f>C288*(Presion_cilindro!O280/Presion_cilindro!O281)^Presion_cilindro!$B$9+10*(Presion_cilindro!$B$9-1)*Presion_cilindro!$B$33*(IF(Presion_cilindro!N281&gt;(-C$4+Presion_cilindro!$B$34),1-EXP(-Presion_cilindro!$B$16*((Presion_cilindro!N281-(-C$4+Presion_cilindro!$B$34))/Presion_cilindro!$B$35)^(Presion_cilindro!$B$17+1)),0)-IF(Presion_cilindro!N280&gt;(-C$4+Presion_cilindro!$B$34),1-EXP(-Presion_cilindro!$B$16*((Presion_cilindro!N280-(-C$4+Presion_cilindro!$B$34))/Presion_cilindro!$B$35)^(Presion_cilindro!$B$17+1)),0))/((Presion_cilindro!O280+Presion_cilindro!O281)/2)</f>
        <v>4.7661189310785605</v>
      </c>
      <c r="D289" s="27">
        <f>D288*(Presion_cilindro!O280/Presion_cilindro!O281)^Presion_cilindro!$B$9+10*(Presion_cilindro!$B$9-1)*Presion_cilindro!$B$33*(IF(Presion_cilindro!N281&gt;(-D$4+Presion_cilindro!$B$34),1-EXP(-Presion_cilindro!$B$16*((Presion_cilindro!N281-(-D$4+Presion_cilindro!$B$34))/Presion_cilindro!$B$35)^(Presion_cilindro!$B$17+1)),0)-IF(Presion_cilindro!N280&gt;(-D$4+Presion_cilindro!$B$34),1-EXP(-Presion_cilindro!$B$16*((Presion_cilindro!N280-(-D$4+Presion_cilindro!$B$34))/Presion_cilindro!$B$35)^(Presion_cilindro!$B$17+1)),0))/((Presion_cilindro!O280+Presion_cilindro!O281)/2)</f>
        <v>4.7661189310785605</v>
      </c>
      <c r="E289" s="27">
        <f>E288*(Presion_cilindro!O280/Presion_cilindro!O281)^Presion_cilindro!$B$9+10*(Presion_cilindro!$B$9-1)*Presion_cilindro!$B$33*(IF(Presion_cilindro!N281&gt;(-E$4+Presion_cilindro!$B$34),1-EXP(-Presion_cilindro!$B$16*((Presion_cilindro!N281-(-E$4+Presion_cilindro!$B$34))/Presion_cilindro!$B$35)^(Presion_cilindro!$B$17+1)),0)-IF(Presion_cilindro!N280&gt;(-E$4+Presion_cilindro!$B$34),1-EXP(-Presion_cilindro!$B$16*((Presion_cilindro!N280-(-E$4+Presion_cilindro!$B$34))/Presion_cilindro!$B$35)^(Presion_cilindro!$B$17+1)),0))/((Presion_cilindro!O280+Presion_cilindro!O281)/2)</f>
        <v>4.7661189310785605</v>
      </c>
      <c r="F289" s="27">
        <f>F288*(Presion_cilindro!O280/Presion_cilindro!O281)^Presion_cilindro!$B$9+10*(Presion_cilindro!$B$9-1)*Presion_cilindro!$B$33*(IF(Presion_cilindro!N281&gt;(-F$4+Presion_cilindro!$B$34),1-EXP(-Presion_cilindro!$B$16*((Presion_cilindro!N281-(-F$4+Presion_cilindro!$B$34))/Presion_cilindro!$B$35)^(Presion_cilindro!$B$17+1)),0)-IF(Presion_cilindro!N280&gt;(-F$4+Presion_cilindro!$B$34),1-EXP(-Presion_cilindro!$B$16*((Presion_cilindro!N280-(-F$4+Presion_cilindro!$B$34))/Presion_cilindro!$B$35)^(Presion_cilindro!$B$17+1)),0))/((Presion_cilindro!O280+Presion_cilindro!O281)/2)</f>
        <v>4.7661189310785605</v>
      </c>
      <c r="G289" s="27">
        <f>G288*(Presion_cilindro!O280/Presion_cilindro!O281)^Presion_cilindro!$B$9+10*(Presion_cilindro!$B$9-1)*Presion_cilindro!$B$33*(IF(Presion_cilindro!N281&gt;(-G$4+Presion_cilindro!$B$34),1-EXP(-Presion_cilindro!$B$16*((Presion_cilindro!N281-(-G$4+Presion_cilindro!$B$34))/Presion_cilindro!$B$35)^(Presion_cilindro!$B$17+1)),0)-IF(Presion_cilindro!N280&gt;(-G$4+Presion_cilindro!$B$34),1-EXP(-Presion_cilindro!$B$16*((Presion_cilindro!N280-(-G$4+Presion_cilindro!$B$34))/Presion_cilindro!$B$35)^(Presion_cilindro!$B$17+1)),0))/((Presion_cilindro!O280+Presion_cilindro!O281)/2)</f>
        <v>4.7661189310785605</v>
      </c>
      <c r="H289" s="27">
        <f>H288*(Presion_cilindro!O280/Presion_cilindro!O281)^Presion_cilindro!$B$9+10*(Presion_cilindro!$B$9-1)*Presion_cilindro!$B$33*(IF(Presion_cilindro!N281&gt;(-H$4+Presion_cilindro!$B$34),1-EXP(-Presion_cilindro!$B$16*((Presion_cilindro!N281-(-H$4+Presion_cilindro!$B$34))/Presion_cilindro!$B$35)^(Presion_cilindro!$B$17+1)),0)-IF(Presion_cilindro!N280&gt;(-H$4+Presion_cilindro!$B$34),1-EXP(-Presion_cilindro!$B$16*((Presion_cilindro!N280-(-H$4+Presion_cilindro!$B$34))/Presion_cilindro!$B$35)^(Presion_cilindro!$B$17+1)),0))/((Presion_cilindro!O280+Presion_cilindro!O281)/2)</f>
        <v>4.7661189310785605</v>
      </c>
      <c r="I289" s="27">
        <f>I288*(Presion_cilindro!O280/Presion_cilindro!O281)^Presion_cilindro!$B$9+10*(Presion_cilindro!$B$9-1)*Presion_cilindro!$B$33*(IF(Presion_cilindro!N281&gt;(-I$4+Presion_cilindro!$B$34),1-EXP(-Presion_cilindro!$B$16*((Presion_cilindro!N281-(-I$4+Presion_cilindro!$B$34))/Presion_cilindro!$B$35)^(Presion_cilindro!$B$17+1)),0)-IF(Presion_cilindro!N280&gt;(-I$4+Presion_cilindro!$B$34),1-EXP(-Presion_cilindro!$B$16*((Presion_cilindro!N280-(-I$4+Presion_cilindro!$B$34))/Presion_cilindro!$B$35)^(Presion_cilindro!$B$17+1)),0))/((Presion_cilindro!O280+Presion_cilindro!O281)/2)</f>
        <v>4.7661189310785605</v>
      </c>
      <c r="J289" s="27">
        <f>J288*(Presion_cilindro!O280/Presion_cilindro!O281)^Presion_cilindro!$B$9+10*(Presion_cilindro!$B$9-1)*Presion_cilindro!$B$33*(IF(Presion_cilindro!N281&gt;(-J$4+Presion_cilindro!$B$34),1-EXP(-Presion_cilindro!$B$16*((Presion_cilindro!N281-(-J$4+Presion_cilindro!$B$34))/Presion_cilindro!$B$35)^(Presion_cilindro!$B$17+1)),0)-IF(Presion_cilindro!N280&gt;(-J$4+Presion_cilindro!$B$34),1-EXP(-Presion_cilindro!$B$16*((Presion_cilindro!N280-(-J$4+Presion_cilindro!$B$34))/Presion_cilindro!$B$35)^(Presion_cilindro!$B$17+1)),0))/((Presion_cilindro!O280+Presion_cilindro!O281)/2)</f>
        <v>4.7661189310785605</v>
      </c>
      <c r="K289" s="27">
        <f>K288*(Presion_cilindro!O280/Presion_cilindro!O281)^Presion_cilindro!$B$9+10*(Presion_cilindro!$B$9-1)*Presion_cilindro!$B$33*(IF(Presion_cilindro!N281&gt;(-K$4+Presion_cilindro!$B$34),1-EXP(-Presion_cilindro!$B$16*((Presion_cilindro!N281-(-K$4+Presion_cilindro!$B$34))/Presion_cilindro!$B$35)^(Presion_cilindro!$B$17+1)),0)-IF(Presion_cilindro!N280&gt;(-K$4+Presion_cilindro!$B$34),1-EXP(-Presion_cilindro!$B$16*((Presion_cilindro!N280-(-K$4+Presion_cilindro!$B$34))/Presion_cilindro!$B$35)^(Presion_cilindro!$B$17+1)),0))/((Presion_cilindro!O280+Presion_cilindro!O281)/2)</f>
        <v>4.7661189310785605</v>
      </c>
      <c r="L289" s="27">
        <f>L288*(Presion_cilindro!O280/Presion_cilindro!O281)^Presion_cilindro!$B$9+10*(Presion_cilindro!$B$9-1)*Presion_cilindro!$B$33*(IF(Presion_cilindro!N281&gt;(-L$4+Presion_cilindro!$B$34),1-EXP(-Presion_cilindro!$B$16*((Presion_cilindro!N281-(-L$4+Presion_cilindro!$B$34))/Presion_cilindro!$B$35)^(Presion_cilindro!$B$17+1)),0)-IF(Presion_cilindro!N280&gt;(-L$4+Presion_cilindro!$B$34),1-EXP(-Presion_cilindro!$B$16*((Presion_cilindro!N280-(-L$4+Presion_cilindro!$B$34))/Presion_cilindro!$B$35)^(Presion_cilindro!$B$17+1)),0))/((Presion_cilindro!O280+Presion_cilindro!O281)/2)</f>
        <v>4.7673023222034594</v>
      </c>
      <c r="M289" s="27">
        <f>M288*(Presion_cilindro!O280/Presion_cilindro!O281)^Presion_cilindro!$B$9+10*(Presion_cilindro!$B$9-1)*Presion_cilindro!$B$33*(IF(Presion_cilindro!N281&gt;(-M$4+Presion_cilindro!$B$34),1-EXP(-Presion_cilindro!$B$16*((Presion_cilindro!N281-(-M$4+Presion_cilindro!$B$34))/Presion_cilindro!$B$35)^(Presion_cilindro!$B$17+1)),0)-IF(Presion_cilindro!N280&gt;(-M$4+Presion_cilindro!$B$34),1-EXP(-Presion_cilindro!$B$16*((Presion_cilindro!N280-(-M$4+Presion_cilindro!$B$34))/Presion_cilindro!$B$35)^(Presion_cilindro!$B$17+1)),0))/((Presion_cilindro!O280+Presion_cilindro!O281)/2)</f>
        <v>4.9015409415357194</v>
      </c>
      <c r="N289" s="27">
        <f>N288*(Presion_cilindro!O280/Presion_cilindro!O281)^Presion_cilindro!$B$9+10*(Presion_cilindro!$B$9-1)*Presion_cilindro!$B$33*(IF(Presion_cilindro!N281&gt;(-N$4+Presion_cilindro!$B$34),1-EXP(-Presion_cilindro!$B$16*((Presion_cilindro!N281-(-N$4+Presion_cilindro!$B$34))/Presion_cilindro!$B$35)^(Presion_cilindro!$B$17+1)),0)-IF(Presion_cilindro!N280&gt;(-N$4+Presion_cilindro!$B$34),1-EXP(-Presion_cilindro!$B$16*((Presion_cilindro!N280-(-N$4+Presion_cilindro!$B$34))/Presion_cilindro!$B$35)^(Presion_cilindro!$B$17+1)),0))/((Presion_cilindro!O280+Presion_cilindro!O281)/2)</f>
        <v>5.5371829982490741</v>
      </c>
    </row>
    <row r="290" spans="1:14" x14ac:dyDescent="0.25">
      <c r="A290" s="21">
        <f>Presion_cilindro!N282</f>
        <v>-41</v>
      </c>
      <c r="B290" s="27">
        <f>B289*(Presion_cilindro!O281/Presion_cilindro!O282)^Presion_cilindro!$B$9+10*(Presion_cilindro!$B$9-1)*Presion_cilindro!$B$33*(IF(Presion_cilindro!N282&gt;(-B$4+Presion_cilindro!$B$34),1-EXP(-Presion_cilindro!$B$16*((Presion_cilindro!N282-(-B$4+Presion_cilindro!$B$34))/Presion_cilindro!$B$35)^(Presion_cilindro!$B$17+1)),0)-IF(Presion_cilindro!N281&gt;(-B$4+Presion_cilindro!$B$34),1-EXP(-Presion_cilindro!$B$16*((Presion_cilindro!N281-(-B$4+Presion_cilindro!$B$34))/Presion_cilindro!$B$35)^(Presion_cilindro!$B$17+1)),0))/((Presion_cilindro!O281+Presion_cilindro!O282)/2)</f>
        <v>4.8502428963503164</v>
      </c>
      <c r="C290" s="27">
        <f>C289*(Presion_cilindro!O281/Presion_cilindro!O282)^Presion_cilindro!$B$9+10*(Presion_cilindro!$B$9-1)*Presion_cilindro!$B$33*(IF(Presion_cilindro!N282&gt;(-C$4+Presion_cilindro!$B$34),1-EXP(-Presion_cilindro!$B$16*((Presion_cilindro!N282-(-C$4+Presion_cilindro!$B$34))/Presion_cilindro!$B$35)^(Presion_cilindro!$B$17+1)),0)-IF(Presion_cilindro!N281&gt;(-C$4+Presion_cilindro!$B$34),1-EXP(-Presion_cilindro!$B$16*((Presion_cilindro!N281-(-C$4+Presion_cilindro!$B$34))/Presion_cilindro!$B$35)^(Presion_cilindro!$B$17+1)),0))/((Presion_cilindro!O281+Presion_cilindro!O282)/2)</f>
        <v>4.8502428963503164</v>
      </c>
      <c r="D290" s="27">
        <f>D289*(Presion_cilindro!O281/Presion_cilindro!O282)^Presion_cilindro!$B$9+10*(Presion_cilindro!$B$9-1)*Presion_cilindro!$B$33*(IF(Presion_cilindro!N282&gt;(-D$4+Presion_cilindro!$B$34),1-EXP(-Presion_cilindro!$B$16*((Presion_cilindro!N282-(-D$4+Presion_cilindro!$B$34))/Presion_cilindro!$B$35)^(Presion_cilindro!$B$17+1)),0)-IF(Presion_cilindro!N281&gt;(-D$4+Presion_cilindro!$B$34),1-EXP(-Presion_cilindro!$B$16*((Presion_cilindro!N281-(-D$4+Presion_cilindro!$B$34))/Presion_cilindro!$B$35)^(Presion_cilindro!$B$17+1)),0))/((Presion_cilindro!O281+Presion_cilindro!O282)/2)</f>
        <v>4.8502428963503164</v>
      </c>
      <c r="E290" s="27">
        <f>E289*(Presion_cilindro!O281/Presion_cilindro!O282)^Presion_cilindro!$B$9+10*(Presion_cilindro!$B$9-1)*Presion_cilindro!$B$33*(IF(Presion_cilindro!N282&gt;(-E$4+Presion_cilindro!$B$34),1-EXP(-Presion_cilindro!$B$16*((Presion_cilindro!N282-(-E$4+Presion_cilindro!$B$34))/Presion_cilindro!$B$35)^(Presion_cilindro!$B$17+1)),0)-IF(Presion_cilindro!N281&gt;(-E$4+Presion_cilindro!$B$34),1-EXP(-Presion_cilindro!$B$16*((Presion_cilindro!N281-(-E$4+Presion_cilindro!$B$34))/Presion_cilindro!$B$35)^(Presion_cilindro!$B$17+1)),0))/((Presion_cilindro!O281+Presion_cilindro!O282)/2)</f>
        <v>4.8502428963503164</v>
      </c>
      <c r="F290" s="27">
        <f>F289*(Presion_cilindro!O281/Presion_cilindro!O282)^Presion_cilindro!$B$9+10*(Presion_cilindro!$B$9-1)*Presion_cilindro!$B$33*(IF(Presion_cilindro!N282&gt;(-F$4+Presion_cilindro!$B$34),1-EXP(-Presion_cilindro!$B$16*((Presion_cilindro!N282-(-F$4+Presion_cilindro!$B$34))/Presion_cilindro!$B$35)^(Presion_cilindro!$B$17+1)),0)-IF(Presion_cilindro!N281&gt;(-F$4+Presion_cilindro!$B$34),1-EXP(-Presion_cilindro!$B$16*((Presion_cilindro!N281-(-F$4+Presion_cilindro!$B$34))/Presion_cilindro!$B$35)^(Presion_cilindro!$B$17+1)),0))/((Presion_cilindro!O281+Presion_cilindro!O282)/2)</f>
        <v>4.8502428963503164</v>
      </c>
      <c r="G290" s="27">
        <f>G289*(Presion_cilindro!O281/Presion_cilindro!O282)^Presion_cilindro!$B$9+10*(Presion_cilindro!$B$9-1)*Presion_cilindro!$B$33*(IF(Presion_cilindro!N282&gt;(-G$4+Presion_cilindro!$B$34),1-EXP(-Presion_cilindro!$B$16*((Presion_cilindro!N282-(-G$4+Presion_cilindro!$B$34))/Presion_cilindro!$B$35)^(Presion_cilindro!$B$17+1)),0)-IF(Presion_cilindro!N281&gt;(-G$4+Presion_cilindro!$B$34),1-EXP(-Presion_cilindro!$B$16*((Presion_cilindro!N281-(-G$4+Presion_cilindro!$B$34))/Presion_cilindro!$B$35)^(Presion_cilindro!$B$17+1)),0))/((Presion_cilindro!O281+Presion_cilindro!O282)/2)</f>
        <v>4.8502428963503164</v>
      </c>
      <c r="H290" s="27">
        <f>H289*(Presion_cilindro!O281/Presion_cilindro!O282)^Presion_cilindro!$B$9+10*(Presion_cilindro!$B$9-1)*Presion_cilindro!$B$33*(IF(Presion_cilindro!N282&gt;(-H$4+Presion_cilindro!$B$34),1-EXP(-Presion_cilindro!$B$16*((Presion_cilindro!N282-(-H$4+Presion_cilindro!$B$34))/Presion_cilindro!$B$35)^(Presion_cilindro!$B$17+1)),0)-IF(Presion_cilindro!N281&gt;(-H$4+Presion_cilindro!$B$34),1-EXP(-Presion_cilindro!$B$16*((Presion_cilindro!N281-(-H$4+Presion_cilindro!$B$34))/Presion_cilindro!$B$35)^(Presion_cilindro!$B$17+1)),0))/((Presion_cilindro!O281+Presion_cilindro!O282)/2)</f>
        <v>4.8502428963503164</v>
      </c>
      <c r="I290" s="27">
        <f>I289*(Presion_cilindro!O281/Presion_cilindro!O282)^Presion_cilindro!$B$9+10*(Presion_cilindro!$B$9-1)*Presion_cilindro!$B$33*(IF(Presion_cilindro!N282&gt;(-I$4+Presion_cilindro!$B$34),1-EXP(-Presion_cilindro!$B$16*((Presion_cilindro!N282-(-I$4+Presion_cilindro!$B$34))/Presion_cilindro!$B$35)^(Presion_cilindro!$B$17+1)),0)-IF(Presion_cilindro!N281&gt;(-I$4+Presion_cilindro!$B$34),1-EXP(-Presion_cilindro!$B$16*((Presion_cilindro!N281-(-I$4+Presion_cilindro!$B$34))/Presion_cilindro!$B$35)^(Presion_cilindro!$B$17+1)),0))/((Presion_cilindro!O281+Presion_cilindro!O282)/2)</f>
        <v>4.8502428963503164</v>
      </c>
      <c r="J290" s="27">
        <f>J289*(Presion_cilindro!O281/Presion_cilindro!O282)^Presion_cilindro!$B$9+10*(Presion_cilindro!$B$9-1)*Presion_cilindro!$B$33*(IF(Presion_cilindro!N282&gt;(-J$4+Presion_cilindro!$B$34),1-EXP(-Presion_cilindro!$B$16*((Presion_cilindro!N282-(-J$4+Presion_cilindro!$B$34))/Presion_cilindro!$B$35)^(Presion_cilindro!$B$17+1)),0)-IF(Presion_cilindro!N281&gt;(-J$4+Presion_cilindro!$B$34),1-EXP(-Presion_cilindro!$B$16*((Presion_cilindro!N281-(-J$4+Presion_cilindro!$B$34))/Presion_cilindro!$B$35)^(Presion_cilindro!$B$17+1)),0))/((Presion_cilindro!O281+Presion_cilindro!O282)/2)</f>
        <v>4.8502428963503164</v>
      </c>
      <c r="K290" s="27">
        <f>K289*(Presion_cilindro!O281/Presion_cilindro!O282)^Presion_cilindro!$B$9+10*(Presion_cilindro!$B$9-1)*Presion_cilindro!$B$33*(IF(Presion_cilindro!N282&gt;(-K$4+Presion_cilindro!$B$34),1-EXP(-Presion_cilindro!$B$16*((Presion_cilindro!N282-(-K$4+Presion_cilindro!$B$34))/Presion_cilindro!$B$35)^(Presion_cilindro!$B$17+1)),0)-IF(Presion_cilindro!N281&gt;(-K$4+Presion_cilindro!$B$34),1-EXP(-Presion_cilindro!$B$16*((Presion_cilindro!N281-(-K$4+Presion_cilindro!$B$34))/Presion_cilindro!$B$35)^(Presion_cilindro!$B$17+1)),0))/((Presion_cilindro!O281+Presion_cilindro!O282)/2)</f>
        <v>4.8502428963503164</v>
      </c>
      <c r="L290" s="27">
        <f>L289*(Presion_cilindro!O281/Presion_cilindro!O282)^Presion_cilindro!$B$9+10*(Presion_cilindro!$B$9-1)*Presion_cilindro!$B$33*(IF(Presion_cilindro!N282&gt;(-L$4+Presion_cilindro!$B$34),1-EXP(-Presion_cilindro!$B$16*((Presion_cilindro!N282-(-L$4+Presion_cilindro!$B$34))/Presion_cilindro!$B$35)^(Presion_cilindro!$B$17+1)),0)-IF(Presion_cilindro!N281&gt;(-L$4+Presion_cilindro!$B$34),1-EXP(-Presion_cilindro!$B$16*((Presion_cilindro!N281-(-L$4+Presion_cilindro!$B$34))/Presion_cilindro!$B$35)^(Presion_cilindro!$B$17+1)),0))/((Presion_cilindro!O281+Presion_cilindro!O282)/2)</f>
        <v>4.8534286397130497</v>
      </c>
      <c r="M290" s="27">
        <f>M289*(Presion_cilindro!O281/Presion_cilindro!O282)^Presion_cilindro!$B$9+10*(Presion_cilindro!$B$9-1)*Presion_cilindro!$B$33*(IF(Presion_cilindro!N282&gt;(-M$4+Presion_cilindro!$B$34),1-EXP(-Presion_cilindro!$B$16*((Presion_cilindro!N282-(-M$4+Presion_cilindro!$B$34))/Presion_cilindro!$B$35)^(Presion_cilindro!$B$17+1)),0)-IF(Presion_cilindro!N281&gt;(-M$4+Presion_cilindro!$B$34),1-EXP(-Presion_cilindro!$B$16*((Presion_cilindro!N281-(-M$4+Presion_cilindro!$B$34))/Presion_cilindro!$B$35)^(Presion_cilindro!$B$17+1)),0))/((Presion_cilindro!O281+Presion_cilindro!O282)/2)</f>
        <v>5.0227540566191147</v>
      </c>
      <c r="N290" s="27">
        <f>N289*(Presion_cilindro!O281/Presion_cilindro!O282)^Presion_cilindro!$B$9+10*(Presion_cilindro!$B$9-1)*Presion_cilindro!$B$33*(IF(Presion_cilindro!N282&gt;(-N$4+Presion_cilindro!$B$34),1-EXP(-Presion_cilindro!$B$16*((Presion_cilindro!N282-(-N$4+Presion_cilindro!$B$34))/Presion_cilindro!$B$35)^(Presion_cilindro!$B$17+1)),0)-IF(Presion_cilindro!N281&gt;(-N$4+Presion_cilindro!$B$34),1-EXP(-Presion_cilindro!$B$16*((Presion_cilindro!N281-(-N$4+Presion_cilindro!$B$34))/Presion_cilindro!$B$35)^(Presion_cilindro!$B$17+1)),0))/((Presion_cilindro!O281+Presion_cilindro!O282)/2)</f>
        <v>5.73734484763113</v>
      </c>
    </row>
    <row r="291" spans="1:14" x14ac:dyDescent="0.25">
      <c r="A291" s="21">
        <f>Presion_cilindro!N283</f>
        <v>-40.5</v>
      </c>
      <c r="B291" s="27">
        <f>B290*(Presion_cilindro!O282/Presion_cilindro!O283)^Presion_cilindro!$B$9+10*(Presion_cilindro!$B$9-1)*Presion_cilindro!$B$33*(IF(Presion_cilindro!N283&gt;(-B$4+Presion_cilindro!$B$34),1-EXP(-Presion_cilindro!$B$16*((Presion_cilindro!N283-(-B$4+Presion_cilindro!$B$34))/Presion_cilindro!$B$35)^(Presion_cilindro!$B$17+1)),0)-IF(Presion_cilindro!N282&gt;(-B$4+Presion_cilindro!$B$34),1-EXP(-Presion_cilindro!$B$16*((Presion_cilindro!N282-(-B$4+Presion_cilindro!$B$34))/Presion_cilindro!$B$35)^(Presion_cilindro!$B$17+1)),0))/((Presion_cilindro!O282+Presion_cilindro!O283)/2)</f>
        <v>4.9362364384492903</v>
      </c>
      <c r="C291" s="27">
        <f>C290*(Presion_cilindro!O282/Presion_cilindro!O283)^Presion_cilindro!$B$9+10*(Presion_cilindro!$B$9-1)*Presion_cilindro!$B$33*(IF(Presion_cilindro!N283&gt;(-C$4+Presion_cilindro!$B$34),1-EXP(-Presion_cilindro!$B$16*((Presion_cilindro!N283-(-C$4+Presion_cilindro!$B$34))/Presion_cilindro!$B$35)^(Presion_cilindro!$B$17+1)),0)-IF(Presion_cilindro!N282&gt;(-C$4+Presion_cilindro!$B$34),1-EXP(-Presion_cilindro!$B$16*((Presion_cilindro!N282-(-C$4+Presion_cilindro!$B$34))/Presion_cilindro!$B$35)^(Presion_cilindro!$B$17+1)),0))/((Presion_cilindro!O282+Presion_cilindro!O283)/2)</f>
        <v>4.9362364384492903</v>
      </c>
      <c r="D291" s="27">
        <f>D290*(Presion_cilindro!O282/Presion_cilindro!O283)^Presion_cilindro!$B$9+10*(Presion_cilindro!$B$9-1)*Presion_cilindro!$B$33*(IF(Presion_cilindro!N283&gt;(-D$4+Presion_cilindro!$B$34),1-EXP(-Presion_cilindro!$B$16*((Presion_cilindro!N283-(-D$4+Presion_cilindro!$B$34))/Presion_cilindro!$B$35)^(Presion_cilindro!$B$17+1)),0)-IF(Presion_cilindro!N282&gt;(-D$4+Presion_cilindro!$B$34),1-EXP(-Presion_cilindro!$B$16*((Presion_cilindro!N282-(-D$4+Presion_cilindro!$B$34))/Presion_cilindro!$B$35)^(Presion_cilindro!$B$17+1)),0))/((Presion_cilindro!O282+Presion_cilindro!O283)/2)</f>
        <v>4.9362364384492903</v>
      </c>
      <c r="E291" s="27">
        <f>E290*(Presion_cilindro!O282/Presion_cilindro!O283)^Presion_cilindro!$B$9+10*(Presion_cilindro!$B$9-1)*Presion_cilindro!$B$33*(IF(Presion_cilindro!N283&gt;(-E$4+Presion_cilindro!$B$34),1-EXP(-Presion_cilindro!$B$16*((Presion_cilindro!N283-(-E$4+Presion_cilindro!$B$34))/Presion_cilindro!$B$35)^(Presion_cilindro!$B$17+1)),0)-IF(Presion_cilindro!N282&gt;(-E$4+Presion_cilindro!$B$34),1-EXP(-Presion_cilindro!$B$16*((Presion_cilindro!N282-(-E$4+Presion_cilindro!$B$34))/Presion_cilindro!$B$35)^(Presion_cilindro!$B$17+1)),0))/((Presion_cilindro!O282+Presion_cilindro!O283)/2)</f>
        <v>4.9362364384492903</v>
      </c>
      <c r="F291" s="27">
        <f>F290*(Presion_cilindro!O282/Presion_cilindro!O283)^Presion_cilindro!$B$9+10*(Presion_cilindro!$B$9-1)*Presion_cilindro!$B$33*(IF(Presion_cilindro!N283&gt;(-F$4+Presion_cilindro!$B$34),1-EXP(-Presion_cilindro!$B$16*((Presion_cilindro!N283-(-F$4+Presion_cilindro!$B$34))/Presion_cilindro!$B$35)^(Presion_cilindro!$B$17+1)),0)-IF(Presion_cilindro!N282&gt;(-F$4+Presion_cilindro!$B$34),1-EXP(-Presion_cilindro!$B$16*((Presion_cilindro!N282-(-F$4+Presion_cilindro!$B$34))/Presion_cilindro!$B$35)^(Presion_cilindro!$B$17+1)),0))/((Presion_cilindro!O282+Presion_cilindro!O283)/2)</f>
        <v>4.9362364384492903</v>
      </c>
      <c r="G291" s="27">
        <f>G290*(Presion_cilindro!O282/Presion_cilindro!O283)^Presion_cilindro!$B$9+10*(Presion_cilindro!$B$9-1)*Presion_cilindro!$B$33*(IF(Presion_cilindro!N283&gt;(-G$4+Presion_cilindro!$B$34),1-EXP(-Presion_cilindro!$B$16*((Presion_cilindro!N283-(-G$4+Presion_cilindro!$B$34))/Presion_cilindro!$B$35)^(Presion_cilindro!$B$17+1)),0)-IF(Presion_cilindro!N282&gt;(-G$4+Presion_cilindro!$B$34),1-EXP(-Presion_cilindro!$B$16*((Presion_cilindro!N282-(-G$4+Presion_cilindro!$B$34))/Presion_cilindro!$B$35)^(Presion_cilindro!$B$17+1)),0))/((Presion_cilindro!O282+Presion_cilindro!O283)/2)</f>
        <v>4.9362364384492903</v>
      </c>
      <c r="H291" s="27">
        <f>H290*(Presion_cilindro!O282/Presion_cilindro!O283)^Presion_cilindro!$B$9+10*(Presion_cilindro!$B$9-1)*Presion_cilindro!$B$33*(IF(Presion_cilindro!N283&gt;(-H$4+Presion_cilindro!$B$34),1-EXP(-Presion_cilindro!$B$16*((Presion_cilindro!N283-(-H$4+Presion_cilindro!$B$34))/Presion_cilindro!$B$35)^(Presion_cilindro!$B$17+1)),0)-IF(Presion_cilindro!N282&gt;(-H$4+Presion_cilindro!$B$34),1-EXP(-Presion_cilindro!$B$16*((Presion_cilindro!N282-(-H$4+Presion_cilindro!$B$34))/Presion_cilindro!$B$35)^(Presion_cilindro!$B$17+1)),0))/((Presion_cilindro!O282+Presion_cilindro!O283)/2)</f>
        <v>4.9362364384492903</v>
      </c>
      <c r="I291" s="27">
        <f>I290*(Presion_cilindro!O282/Presion_cilindro!O283)^Presion_cilindro!$B$9+10*(Presion_cilindro!$B$9-1)*Presion_cilindro!$B$33*(IF(Presion_cilindro!N283&gt;(-I$4+Presion_cilindro!$B$34),1-EXP(-Presion_cilindro!$B$16*((Presion_cilindro!N283-(-I$4+Presion_cilindro!$B$34))/Presion_cilindro!$B$35)^(Presion_cilindro!$B$17+1)),0)-IF(Presion_cilindro!N282&gt;(-I$4+Presion_cilindro!$B$34),1-EXP(-Presion_cilindro!$B$16*((Presion_cilindro!N282-(-I$4+Presion_cilindro!$B$34))/Presion_cilindro!$B$35)^(Presion_cilindro!$B$17+1)),0))/((Presion_cilindro!O282+Presion_cilindro!O283)/2)</f>
        <v>4.9362364384492903</v>
      </c>
      <c r="J291" s="27">
        <f>J290*(Presion_cilindro!O282/Presion_cilindro!O283)^Presion_cilindro!$B$9+10*(Presion_cilindro!$B$9-1)*Presion_cilindro!$B$33*(IF(Presion_cilindro!N283&gt;(-J$4+Presion_cilindro!$B$34),1-EXP(-Presion_cilindro!$B$16*((Presion_cilindro!N283-(-J$4+Presion_cilindro!$B$34))/Presion_cilindro!$B$35)^(Presion_cilindro!$B$17+1)),0)-IF(Presion_cilindro!N282&gt;(-J$4+Presion_cilindro!$B$34),1-EXP(-Presion_cilindro!$B$16*((Presion_cilindro!N282-(-J$4+Presion_cilindro!$B$34))/Presion_cilindro!$B$35)^(Presion_cilindro!$B$17+1)),0))/((Presion_cilindro!O282+Presion_cilindro!O283)/2)</f>
        <v>4.9362364384492903</v>
      </c>
      <c r="K291" s="27">
        <f>K290*(Presion_cilindro!O282/Presion_cilindro!O283)^Presion_cilindro!$B$9+10*(Presion_cilindro!$B$9-1)*Presion_cilindro!$B$33*(IF(Presion_cilindro!N283&gt;(-K$4+Presion_cilindro!$B$34),1-EXP(-Presion_cilindro!$B$16*((Presion_cilindro!N283-(-K$4+Presion_cilindro!$B$34))/Presion_cilindro!$B$35)^(Presion_cilindro!$B$17+1)),0)-IF(Presion_cilindro!N282&gt;(-K$4+Presion_cilindro!$B$34),1-EXP(-Presion_cilindro!$B$16*((Presion_cilindro!N282-(-K$4+Presion_cilindro!$B$34))/Presion_cilindro!$B$35)^(Presion_cilindro!$B$17+1)),0))/((Presion_cilindro!O282+Presion_cilindro!O283)/2)</f>
        <v>4.9362364384492903</v>
      </c>
      <c r="L291" s="27">
        <f>L290*(Presion_cilindro!O282/Presion_cilindro!O283)^Presion_cilindro!$B$9+10*(Presion_cilindro!$B$9-1)*Presion_cilindro!$B$33*(IF(Presion_cilindro!N283&gt;(-L$4+Presion_cilindro!$B$34),1-EXP(-Presion_cilindro!$B$16*((Presion_cilindro!N283-(-L$4+Presion_cilindro!$B$34))/Presion_cilindro!$B$35)^(Presion_cilindro!$B$17+1)),0)-IF(Presion_cilindro!N282&gt;(-L$4+Presion_cilindro!$B$34),1-EXP(-Presion_cilindro!$B$16*((Presion_cilindro!N282-(-L$4+Presion_cilindro!$B$34))/Presion_cilindro!$B$35)^(Presion_cilindro!$B$17+1)),0))/((Presion_cilindro!O282+Presion_cilindro!O283)/2)</f>
        <v>4.9429770343927322</v>
      </c>
      <c r="M291" s="27">
        <f>M290*(Presion_cilindro!O282/Presion_cilindro!O283)^Presion_cilindro!$B$9+10*(Presion_cilindro!$B$9-1)*Presion_cilindro!$B$33*(IF(Presion_cilindro!N283&gt;(-M$4+Presion_cilindro!$B$34),1-EXP(-Presion_cilindro!$B$16*((Presion_cilindro!N283-(-M$4+Presion_cilindro!$B$34))/Presion_cilindro!$B$35)^(Presion_cilindro!$B$17+1)),0)-IF(Presion_cilindro!N282&gt;(-M$4+Presion_cilindro!$B$34),1-EXP(-Presion_cilindro!$B$16*((Presion_cilindro!N282-(-M$4+Presion_cilindro!$B$34))/Presion_cilindro!$B$35)^(Presion_cilindro!$B$17+1)),0))/((Presion_cilindro!O282+Presion_cilindro!O283)/2)</f>
        <v>5.1524198110402697</v>
      </c>
      <c r="N291" s="27">
        <f>N290*(Presion_cilindro!O282/Presion_cilindro!O283)^Presion_cilindro!$B$9+10*(Presion_cilindro!$B$9-1)*Presion_cilindro!$B$33*(IF(Presion_cilindro!N283&gt;(-N$4+Presion_cilindro!$B$34),1-EXP(-Presion_cilindro!$B$16*((Presion_cilindro!N283-(-N$4+Presion_cilindro!$B$34))/Presion_cilindro!$B$35)^(Presion_cilindro!$B$17+1)),0)-IF(Presion_cilindro!N282&gt;(-N$4+Presion_cilindro!$B$34),1-EXP(-Presion_cilindro!$B$16*((Presion_cilindro!N282-(-N$4+Presion_cilindro!$B$34))/Presion_cilindro!$B$35)^(Presion_cilindro!$B$17+1)),0))/((Presion_cilindro!O282+Presion_cilindro!O283)/2)</f>
        <v>5.9510699884177267</v>
      </c>
    </row>
    <row r="292" spans="1:14" x14ac:dyDescent="0.25">
      <c r="A292" s="21">
        <f>Presion_cilindro!N284</f>
        <v>-40</v>
      </c>
      <c r="B292" s="27">
        <f>B291*(Presion_cilindro!O283/Presion_cilindro!O284)^Presion_cilindro!$B$9+10*(Presion_cilindro!$B$9-1)*Presion_cilindro!$B$33*(IF(Presion_cilindro!N284&gt;(-B$4+Presion_cilindro!$B$34),1-EXP(-Presion_cilindro!$B$16*((Presion_cilindro!N284-(-B$4+Presion_cilindro!$B$34))/Presion_cilindro!$B$35)^(Presion_cilindro!$B$17+1)),0)-IF(Presion_cilindro!N283&gt;(-B$4+Presion_cilindro!$B$34),1-EXP(-Presion_cilindro!$B$16*((Presion_cilindro!N283-(-B$4+Presion_cilindro!$B$34))/Presion_cilindro!$B$35)^(Presion_cilindro!$B$17+1)),0))/((Presion_cilindro!O283+Presion_cilindro!O284)/2)</f>
        <v>5.024135818595048</v>
      </c>
      <c r="C292" s="27">
        <f>C291*(Presion_cilindro!O283/Presion_cilindro!O284)^Presion_cilindro!$B$9+10*(Presion_cilindro!$B$9-1)*Presion_cilindro!$B$33*(IF(Presion_cilindro!N284&gt;(-C$4+Presion_cilindro!$B$34),1-EXP(-Presion_cilindro!$B$16*((Presion_cilindro!N284-(-C$4+Presion_cilindro!$B$34))/Presion_cilindro!$B$35)^(Presion_cilindro!$B$17+1)),0)-IF(Presion_cilindro!N283&gt;(-C$4+Presion_cilindro!$B$34),1-EXP(-Presion_cilindro!$B$16*((Presion_cilindro!N283-(-C$4+Presion_cilindro!$B$34))/Presion_cilindro!$B$35)^(Presion_cilindro!$B$17+1)),0))/((Presion_cilindro!O283+Presion_cilindro!O284)/2)</f>
        <v>5.024135818595048</v>
      </c>
      <c r="D292" s="27">
        <f>D291*(Presion_cilindro!O283/Presion_cilindro!O284)^Presion_cilindro!$B$9+10*(Presion_cilindro!$B$9-1)*Presion_cilindro!$B$33*(IF(Presion_cilindro!N284&gt;(-D$4+Presion_cilindro!$B$34),1-EXP(-Presion_cilindro!$B$16*((Presion_cilindro!N284-(-D$4+Presion_cilindro!$B$34))/Presion_cilindro!$B$35)^(Presion_cilindro!$B$17+1)),0)-IF(Presion_cilindro!N283&gt;(-D$4+Presion_cilindro!$B$34),1-EXP(-Presion_cilindro!$B$16*((Presion_cilindro!N283-(-D$4+Presion_cilindro!$B$34))/Presion_cilindro!$B$35)^(Presion_cilindro!$B$17+1)),0))/((Presion_cilindro!O283+Presion_cilindro!O284)/2)</f>
        <v>5.024135818595048</v>
      </c>
      <c r="E292" s="27">
        <f>E291*(Presion_cilindro!O283/Presion_cilindro!O284)^Presion_cilindro!$B$9+10*(Presion_cilindro!$B$9-1)*Presion_cilindro!$B$33*(IF(Presion_cilindro!N284&gt;(-E$4+Presion_cilindro!$B$34),1-EXP(-Presion_cilindro!$B$16*((Presion_cilindro!N284-(-E$4+Presion_cilindro!$B$34))/Presion_cilindro!$B$35)^(Presion_cilindro!$B$17+1)),0)-IF(Presion_cilindro!N283&gt;(-E$4+Presion_cilindro!$B$34),1-EXP(-Presion_cilindro!$B$16*((Presion_cilindro!N283-(-E$4+Presion_cilindro!$B$34))/Presion_cilindro!$B$35)^(Presion_cilindro!$B$17+1)),0))/((Presion_cilindro!O283+Presion_cilindro!O284)/2)</f>
        <v>5.024135818595048</v>
      </c>
      <c r="F292" s="27">
        <f>F291*(Presion_cilindro!O283/Presion_cilindro!O284)^Presion_cilindro!$B$9+10*(Presion_cilindro!$B$9-1)*Presion_cilindro!$B$33*(IF(Presion_cilindro!N284&gt;(-F$4+Presion_cilindro!$B$34),1-EXP(-Presion_cilindro!$B$16*((Presion_cilindro!N284-(-F$4+Presion_cilindro!$B$34))/Presion_cilindro!$B$35)^(Presion_cilindro!$B$17+1)),0)-IF(Presion_cilindro!N283&gt;(-F$4+Presion_cilindro!$B$34),1-EXP(-Presion_cilindro!$B$16*((Presion_cilindro!N283-(-F$4+Presion_cilindro!$B$34))/Presion_cilindro!$B$35)^(Presion_cilindro!$B$17+1)),0))/((Presion_cilindro!O283+Presion_cilindro!O284)/2)</f>
        <v>5.024135818595048</v>
      </c>
      <c r="G292" s="27">
        <f>G291*(Presion_cilindro!O283/Presion_cilindro!O284)^Presion_cilindro!$B$9+10*(Presion_cilindro!$B$9-1)*Presion_cilindro!$B$33*(IF(Presion_cilindro!N284&gt;(-G$4+Presion_cilindro!$B$34),1-EXP(-Presion_cilindro!$B$16*((Presion_cilindro!N284-(-G$4+Presion_cilindro!$B$34))/Presion_cilindro!$B$35)^(Presion_cilindro!$B$17+1)),0)-IF(Presion_cilindro!N283&gt;(-G$4+Presion_cilindro!$B$34),1-EXP(-Presion_cilindro!$B$16*((Presion_cilindro!N283-(-G$4+Presion_cilindro!$B$34))/Presion_cilindro!$B$35)^(Presion_cilindro!$B$17+1)),0))/((Presion_cilindro!O283+Presion_cilindro!O284)/2)</f>
        <v>5.024135818595048</v>
      </c>
      <c r="H292" s="27">
        <f>H291*(Presion_cilindro!O283/Presion_cilindro!O284)^Presion_cilindro!$B$9+10*(Presion_cilindro!$B$9-1)*Presion_cilindro!$B$33*(IF(Presion_cilindro!N284&gt;(-H$4+Presion_cilindro!$B$34),1-EXP(-Presion_cilindro!$B$16*((Presion_cilindro!N284-(-H$4+Presion_cilindro!$B$34))/Presion_cilindro!$B$35)^(Presion_cilindro!$B$17+1)),0)-IF(Presion_cilindro!N283&gt;(-H$4+Presion_cilindro!$B$34),1-EXP(-Presion_cilindro!$B$16*((Presion_cilindro!N283-(-H$4+Presion_cilindro!$B$34))/Presion_cilindro!$B$35)^(Presion_cilindro!$B$17+1)),0))/((Presion_cilindro!O283+Presion_cilindro!O284)/2)</f>
        <v>5.024135818595048</v>
      </c>
      <c r="I292" s="27">
        <f>I291*(Presion_cilindro!O283/Presion_cilindro!O284)^Presion_cilindro!$B$9+10*(Presion_cilindro!$B$9-1)*Presion_cilindro!$B$33*(IF(Presion_cilindro!N284&gt;(-I$4+Presion_cilindro!$B$34),1-EXP(-Presion_cilindro!$B$16*((Presion_cilindro!N284-(-I$4+Presion_cilindro!$B$34))/Presion_cilindro!$B$35)^(Presion_cilindro!$B$17+1)),0)-IF(Presion_cilindro!N283&gt;(-I$4+Presion_cilindro!$B$34),1-EXP(-Presion_cilindro!$B$16*((Presion_cilindro!N283-(-I$4+Presion_cilindro!$B$34))/Presion_cilindro!$B$35)^(Presion_cilindro!$B$17+1)),0))/((Presion_cilindro!O283+Presion_cilindro!O284)/2)</f>
        <v>5.024135818595048</v>
      </c>
      <c r="J292" s="27">
        <f>J291*(Presion_cilindro!O283/Presion_cilindro!O284)^Presion_cilindro!$B$9+10*(Presion_cilindro!$B$9-1)*Presion_cilindro!$B$33*(IF(Presion_cilindro!N284&gt;(-J$4+Presion_cilindro!$B$34),1-EXP(-Presion_cilindro!$B$16*((Presion_cilindro!N284-(-J$4+Presion_cilindro!$B$34))/Presion_cilindro!$B$35)^(Presion_cilindro!$B$17+1)),0)-IF(Presion_cilindro!N283&gt;(-J$4+Presion_cilindro!$B$34),1-EXP(-Presion_cilindro!$B$16*((Presion_cilindro!N283-(-J$4+Presion_cilindro!$B$34))/Presion_cilindro!$B$35)^(Presion_cilindro!$B$17+1)),0))/((Presion_cilindro!O283+Presion_cilindro!O284)/2)</f>
        <v>5.024135818595048</v>
      </c>
      <c r="K292" s="27">
        <f>K291*(Presion_cilindro!O283/Presion_cilindro!O284)^Presion_cilindro!$B$9+10*(Presion_cilindro!$B$9-1)*Presion_cilindro!$B$33*(IF(Presion_cilindro!N284&gt;(-K$4+Presion_cilindro!$B$34),1-EXP(-Presion_cilindro!$B$16*((Presion_cilindro!N284-(-K$4+Presion_cilindro!$B$34))/Presion_cilindro!$B$35)^(Presion_cilindro!$B$17+1)),0)-IF(Presion_cilindro!N283&gt;(-K$4+Presion_cilindro!$B$34),1-EXP(-Presion_cilindro!$B$16*((Presion_cilindro!N283-(-K$4+Presion_cilindro!$B$34))/Presion_cilindro!$B$35)^(Presion_cilindro!$B$17+1)),0))/((Presion_cilindro!O283+Presion_cilindro!O284)/2)</f>
        <v>5.024135818595048</v>
      </c>
      <c r="L292" s="27">
        <f>L291*(Presion_cilindro!O283/Presion_cilindro!O284)^Presion_cilindro!$B$9+10*(Presion_cilindro!$B$9-1)*Presion_cilindro!$B$33*(IF(Presion_cilindro!N284&gt;(-L$4+Presion_cilindro!$B$34),1-EXP(-Presion_cilindro!$B$16*((Presion_cilindro!N284-(-L$4+Presion_cilindro!$B$34))/Presion_cilindro!$B$35)^(Presion_cilindro!$B$17+1)),0)-IF(Presion_cilindro!N283&gt;(-L$4+Presion_cilindro!$B$34),1-EXP(-Presion_cilindro!$B$16*((Presion_cilindro!N283-(-L$4+Presion_cilindro!$B$34))/Presion_cilindro!$B$35)^(Presion_cilindro!$B$17+1)),0))/((Presion_cilindro!O283+Presion_cilindro!O284)/2)</f>
        <v>5.0364702266910983</v>
      </c>
      <c r="M292" s="27">
        <f>M291*(Presion_cilindro!O283/Presion_cilindro!O284)^Presion_cilindro!$B$9+10*(Presion_cilindro!$B$9-1)*Presion_cilindro!$B$33*(IF(Presion_cilindro!N284&gt;(-M$4+Presion_cilindro!$B$34),1-EXP(-Presion_cilindro!$B$16*((Presion_cilindro!N284-(-M$4+Presion_cilindro!$B$34))/Presion_cilindro!$B$35)^(Presion_cilindro!$B$17+1)),0)-IF(Presion_cilindro!N283&gt;(-M$4+Presion_cilindro!$B$34),1-EXP(-Presion_cilindro!$B$16*((Presion_cilindro!N283-(-M$4+Presion_cilindro!$B$34))/Presion_cilindro!$B$35)^(Presion_cilindro!$B$17+1)),0))/((Presion_cilindro!O283+Presion_cilindro!O284)/2)</f>
        <v>5.2912112797723978</v>
      </c>
      <c r="N292" s="27">
        <f>N291*(Presion_cilindro!O283/Presion_cilindro!O284)^Presion_cilindro!$B$9+10*(Presion_cilindro!$B$9-1)*Presion_cilindro!$B$33*(IF(Presion_cilindro!N284&gt;(-N$4+Presion_cilindro!$B$34),1-EXP(-Presion_cilindro!$B$16*((Presion_cilindro!N284-(-N$4+Presion_cilindro!$B$34))/Presion_cilindro!$B$35)^(Presion_cilindro!$B$17+1)),0)-IF(Presion_cilindro!N283&gt;(-N$4+Presion_cilindro!$B$34),1-EXP(-Presion_cilindro!$B$16*((Presion_cilindro!N283-(-N$4+Presion_cilindro!$B$34))/Presion_cilindro!$B$35)^(Presion_cilindro!$B$17+1)),0))/((Presion_cilindro!O283+Presion_cilindro!O284)/2)</f>
        <v>6.1790098343965054</v>
      </c>
    </row>
    <row r="293" spans="1:14" x14ac:dyDescent="0.25">
      <c r="A293" s="21">
        <f>Presion_cilindro!N285</f>
        <v>-39.5</v>
      </c>
      <c r="B293" s="27">
        <f>B292*(Presion_cilindro!O284/Presion_cilindro!O285)^Presion_cilindro!$B$9+10*(Presion_cilindro!$B$9-1)*Presion_cilindro!$B$33*(IF(Presion_cilindro!N285&gt;(-B$4+Presion_cilindro!$B$34),1-EXP(-Presion_cilindro!$B$16*((Presion_cilindro!N285-(-B$4+Presion_cilindro!$B$34))/Presion_cilindro!$B$35)^(Presion_cilindro!$B$17+1)),0)-IF(Presion_cilindro!N284&gt;(-B$4+Presion_cilindro!$B$34),1-EXP(-Presion_cilindro!$B$16*((Presion_cilindro!N284-(-B$4+Presion_cilindro!$B$34))/Presion_cilindro!$B$35)^(Presion_cilindro!$B$17+1)),0))/((Presion_cilindro!O284+Presion_cilindro!O285)/2)</f>
        <v>5.1139772021108811</v>
      </c>
      <c r="C293" s="27">
        <f>C292*(Presion_cilindro!O284/Presion_cilindro!O285)^Presion_cilindro!$B$9+10*(Presion_cilindro!$B$9-1)*Presion_cilindro!$B$33*(IF(Presion_cilindro!N285&gt;(-C$4+Presion_cilindro!$B$34),1-EXP(-Presion_cilindro!$B$16*((Presion_cilindro!N285-(-C$4+Presion_cilindro!$B$34))/Presion_cilindro!$B$35)^(Presion_cilindro!$B$17+1)),0)-IF(Presion_cilindro!N284&gt;(-C$4+Presion_cilindro!$B$34),1-EXP(-Presion_cilindro!$B$16*((Presion_cilindro!N284-(-C$4+Presion_cilindro!$B$34))/Presion_cilindro!$B$35)^(Presion_cilindro!$B$17+1)),0))/((Presion_cilindro!O284+Presion_cilindro!O285)/2)</f>
        <v>5.1139772021108811</v>
      </c>
      <c r="D293" s="27">
        <f>D292*(Presion_cilindro!O284/Presion_cilindro!O285)^Presion_cilindro!$B$9+10*(Presion_cilindro!$B$9-1)*Presion_cilindro!$B$33*(IF(Presion_cilindro!N285&gt;(-D$4+Presion_cilindro!$B$34),1-EXP(-Presion_cilindro!$B$16*((Presion_cilindro!N285-(-D$4+Presion_cilindro!$B$34))/Presion_cilindro!$B$35)^(Presion_cilindro!$B$17+1)),0)-IF(Presion_cilindro!N284&gt;(-D$4+Presion_cilindro!$B$34),1-EXP(-Presion_cilindro!$B$16*((Presion_cilindro!N284-(-D$4+Presion_cilindro!$B$34))/Presion_cilindro!$B$35)^(Presion_cilindro!$B$17+1)),0))/((Presion_cilindro!O284+Presion_cilindro!O285)/2)</f>
        <v>5.1139772021108811</v>
      </c>
      <c r="E293" s="27">
        <f>E292*(Presion_cilindro!O284/Presion_cilindro!O285)^Presion_cilindro!$B$9+10*(Presion_cilindro!$B$9-1)*Presion_cilindro!$B$33*(IF(Presion_cilindro!N285&gt;(-E$4+Presion_cilindro!$B$34),1-EXP(-Presion_cilindro!$B$16*((Presion_cilindro!N285-(-E$4+Presion_cilindro!$B$34))/Presion_cilindro!$B$35)^(Presion_cilindro!$B$17+1)),0)-IF(Presion_cilindro!N284&gt;(-E$4+Presion_cilindro!$B$34),1-EXP(-Presion_cilindro!$B$16*((Presion_cilindro!N284-(-E$4+Presion_cilindro!$B$34))/Presion_cilindro!$B$35)^(Presion_cilindro!$B$17+1)),0))/((Presion_cilindro!O284+Presion_cilindro!O285)/2)</f>
        <v>5.1139772021108811</v>
      </c>
      <c r="F293" s="27">
        <f>F292*(Presion_cilindro!O284/Presion_cilindro!O285)^Presion_cilindro!$B$9+10*(Presion_cilindro!$B$9-1)*Presion_cilindro!$B$33*(IF(Presion_cilindro!N285&gt;(-F$4+Presion_cilindro!$B$34),1-EXP(-Presion_cilindro!$B$16*((Presion_cilindro!N285-(-F$4+Presion_cilindro!$B$34))/Presion_cilindro!$B$35)^(Presion_cilindro!$B$17+1)),0)-IF(Presion_cilindro!N284&gt;(-F$4+Presion_cilindro!$B$34),1-EXP(-Presion_cilindro!$B$16*((Presion_cilindro!N284-(-F$4+Presion_cilindro!$B$34))/Presion_cilindro!$B$35)^(Presion_cilindro!$B$17+1)),0))/((Presion_cilindro!O284+Presion_cilindro!O285)/2)</f>
        <v>5.1139772021108811</v>
      </c>
      <c r="G293" s="27">
        <f>G292*(Presion_cilindro!O284/Presion_cilindro!O285)^Presion_cilindro!$B$9+10*(Presion_cilindro!$B$9-1)*Presion_cilindro!$B$33*(IF(Presion_cilindro!N285&gt;(-G$4+Presion_cilindro!$B$34),1-EXP(-Presion_cilindro!$B$16*((Presion_cilindro!N285-(-G$4+Presion_cilindro!$B$34))/Presion_cilindro!$B$35)^(Presion_cilindro!$B$17+1)),0)-IF(Presion_cilindro!N284&gt;(-G$4+Presion_cilindro!$B$34),1-EXP(-Presion_cilindro!$B$16*((Presion_cilindro!N284-(-G$4+Presion_cilindro!$B$34))/Presion_cilindro!$B$35)^(Presion_cilindro!$B$17+1)),0))/((Presion_cilindro!O284+Presion_cilindro!O285)/2)</f>
        <v>5.1139772021108811</v>
      </c>
      <c r="H293" s="27">
        <f>H292*(Presion_cilindro!O284/Presion_cilindro!O285)^Presion_cilindro!$B$9+10*(Presion_cilindro!$B$9-1)*Presion_cilindro!$B$33*(IF(Presion_cilindro!N285&gt;(-H$4+Presion_cilindro!$B$34),1-EXP(-Presion_cilindro!$B$16*((Presion_cilindro!N285-(-H$4+Presion_cilindro!$B$34))/Presion_cilindro!$B$35)^(Presion_cilindro!$B$17+1)),0)-IF(Presion_cilindro!N284&gt;(-H$4+Presion_cilindro!$B$34),1-EXP(-Presion_cilindro!$B$16*((Presion_cilindro!N284-(-H$4+Presion_cilindro!$B$34))/Presion_cilindro!$B$35)^(Presion_cilindro!$B$17+1)),0))/((Presion_cilindro!O284+Presion_cilindro!O285)/2)</f>
        <v>5.1139772021108811</v>
      </c>
      <c r="I293" s="27">
        <f>I292*(Presion_cilindro!O284/Presion_cilindro!O285)^Presion_cilindro!$B$9+10*(Presion_cilindro!$B$9-1)*Presion_cilindro!$B$33*(IF(Presion_cilindro!N285&gt;(-I$4+Presion_cilindro!$B$34),1-EXP(-Presion_cilindro!$B$16*((Presion_cilindro!N285-(-I$4+Presion_cilindro!$B$34))/Presion_cilindro!$B$35)^(Presion_cilindro!$B$17+1)),0)-IF(Presion_cilindro!N284&gt;(-I$4+Presion_cilindro!$B$34),1-EXP(-Presion_cilindro!$B$16*((Presion_cilindro!N284-(-I$4+Presion_cilindro!$B$34))/Presion_cilindro!$B$35)^(Presion_cilindro!$B$17+1)),0))/((Presion_cilindro!O284+Presion_cilindro!O285)/2)</f>
        <v>5.1139772021108811</v>
      </c>
      <c r="J293" s="27">
        <f>J292*(Presion_cilindro!O284/Presion_cilindro!O285)^Presion_cilindro!$B$9+10*(Presion_cilindro!$B$9-1)*Presion_cilindro!$B$33*(IF(Presion_cilindro!N285&gt;(-J$4+Presion_cilindro!$B$34),1-EXP(-Presion_cilindro!$B$16*((Presion_cilindro!N285-(-J$4+Presion_cilindro!$B$34))/Presion_cilindro!$B$35)^(Presion_cilindro!$B$17+1)),0)-IF(Presion_cilindro!N284&gt;(-J$4+Presion_cilindro!$B$34),1-EXP(-Presion_cilindro!$B$16*((Presion_cilindro!N284-(-J$4+Presion_cilindro!$B$34))/Presion_cilindro!$B$35)^(Presion_cilindro!$B$17+1)),0))/((Presion_cilindro!O284+Presion_cilindro!O285)/2)</f>
        <v>5.1139772021108811</v>
      </c>
      <c r="K293" s="27">
        <f>K292*(Presion_cilindro!O284/Presion_cilindro!O285)^Presion_cilindro!$B$9+10*(Presion_cilindro!$B$9-1)*Presion_cilindro!$B$33*(IF(Presion_cilindro!N285&gt;(-K$4+Presion_cilindro!$B$34),1-EXP(-Presion_cilindro!$B$16*((Presion_cilindro!N285-(-K$4+Presion_cilindro!$B$34))/Presion_cilindro!$B$35)^(Presion_cilindro!$B$17+1)),0)-IF(Presion_cilindro!N284&gt;(-K$4+Presion_cilindro!$B$34),1-EXP(-Presion_cilindro!$B$16*((Presion_cilindro!N284-(-K$4+Presion_cilindro!$B$34))/Presion_cilindro!$B$35)^(Presion_cilindro!$B$17+1)),0))/((Presion_cilindro!O284+Presion_cilindro!O285)/2)</f>
        <v>5.1139772021108811</v>
      </c>
      <c r="L293" s="27">
        <f>L292*(Presion_cilindro!O284/Presion_cilindro!O285)^Presion_cilindro!$B$9+10*(Presion_cilindro!$B$9-1)*Presion_cilindro!$B$33*(IF(Presion_cilindro!N285&gt;(-L$4+Presion_cilindro!$B$34),1-EXP(-Presion_cilindro!$B$16*((Presion_cilindro!N285-(-L$4+Presion_cilindro!$B$34))/Presion_cilindro!$B$35)^(Presion_cilindro!$B$17+1)),0)-IF(Presion_cilindro!N284&gt;(-L$4+Presion_cilindro!$B$34),1-EXP(-Presion_cilindro!$B$16*((Presion_cilindro!N284-(-L$4+Presion_cilindro!$B$34))/Presion_cilindro!$B$35)^(Presion_cilindro!$B$17+1)),0))/((Presion_cilindro!O284+Presion_cilindro!O285)/2)</f>
        <v>5.1344563313008971</v>
      </c>
      <c r="M293" s="27">
        <f>M292*(Presion_cilindro!O284/Presion_cilindro!O285)^Presion_cilindro!$B$9+10*(Presion_cilindro!$B$9-1)*Presion_cilindro!$B$33*(IF(Presion_cilindro!N285&gt;(-M$4+Presion_cilindro!$B$34),1-EXP(-Presion_cilindro!$B$16*((Presion_cilindro!N285-(-M$4+Presion_cilindro!$B$34))/Presion_cilindro!$B$35)^(Presion_cilindro!$B$17+1)),0)-IF(Presion_cilindro!N284&gt;(-M$4+Presion_cilindro!$B$34),1-EXP(-Presion_cilindro!$B$16*((Presion_cilindro!N284-(-M$4+Presion_cilindro!$B$34))/Presion_cilindro!$B$35)^(Presion_cilindro!$B$17+1)),0))/((Presion_cilindro!O284+Presion_cilindro!O285)/2)</f>
        <v>5.4398191481108995</v>
      </c>
      <c r="N293" s="27">
        <f>N292*(Presion_cilindro!O284/Presion_cilindro!O285)^Presion_cilindro!$B$9+10*(Presion_cilindro!$B$9-1)*Presion_cilindro!$B$33*(IF(Presion_cilindro!N285&gt;(-N$4+Presion_cilindro!$B$34),1-EXP(-Presion_cilindro!$B$16*((Presion_cilindro!N285-(-N$4+Presion_cilindro!$B$34))/Presion_cilindro!$B$35)^(Presion_cilindro!$B$17+1)),0)-IF(Presion_cilindro!N284&gt;(-N$4+Presion_cilindro!$B$34),1-EXP(-Presion_cilindro!$B$16*((Presion_cilindro!N284-(-N$4+Presion_cilindro!$B$34))/Presion_cilindro!$B$35)^(Presion_cilindro!$B$17+1)),0))/((Presion_cilindro!O284+Presion_cilindro!O285)/2)</f>
        <v>6.4218087902738672</v>
      </c>
    </row>
    <row r="294" spans="1:14" x14ac:dyDescent="0.25">
      <c r="A294" s="21">
        <f>Presion_cilindro!N286</f>
        <v>-39</v>
      </c>
      <c r="B294" s="27">
        <f>B293*(Presion_cilindro!O285/Presion_cilindro!O286)^Presion_cilindro!$B$9+10*(Presion_cilindro!$B$9-1)*Presion_cilindro!$B$33*(IF(Presion_cilindro!N286&gt;(-B$4+Presion_cilindro!$B$34),1-EXP(-Presion_cilindro!$B$16*((Presion_cilindro!N286-(-B$4+Presion_cilindro!$B$34))/Presion_cilindro!$B$35)^(Presion_cilindro!$B$17+1)),0)-IF(Presion_cilindro!N285&gt;(-B$4+Presion_cilindro!$B$34),1-EXP(-Presion_cilindro!$B$16*((Presion_cilindro!N285-(-B$4+Presion_cilindro!$B$34))/Presion_cilindro!$B$35)^(Presion_cilindro!$B$17+1)),0))/((Presion_cilindro!O285+Presion_cilindro!O286)/2)</f>
        <v>5.2057965720721358</v>
      </c>
      <c r="C294" s="27">
        <f>C293*(Presion_cilindro!O285/Presion_cilindro!O286)^Presion_cilindro!$B$9+10*(Presion_cilindro!$B$9-1)*Presion_cilindro!$B$33*(IF(Presion_cilindro!N286&gt;(-C$4+Presion_cilindro!$B$34),1-EXP(-Presion_cilindro!$B$16*((Presion_cilindro!N286-(-C$4+Presion_cilindro!$B$34))/Presion_cilindro!$B$35)^(Presion_cilindro!$B$17+1)),0)-IF(Presion_cilindro!N285&gt;(-C$4+Presion_cilindro!$B$34),1-EXP(-Presion_cilindro!$B$16*((Presion_cilindro!N285-(-C$4+Presion_cilindro!$B$34))/Presion_cilindro!$B$35)^(Presion_cilindro!$B$17+1)),0))/((Presion_cilindro!O285+Presion_cilindro!O286)/2)</f>
        <v>5.2057965720721358</v>
      </c>
      <c r="D294" s="27">
        <f>D293*(Presion_cilindro!O285/Presion_cilindro!O286)^Presion_cilindro!$B$9+10*(Presion_cilindro!$B$9-1)*Presion_cilindro!$B$33*(IF(Presion_cilindro!N286&gt;(-D$4+Presion_cilindro!$B$34),1-EXP(-Presion_cilindro!$B$16*((Presion_cilindro!N286-(-D$4+Presion_cilindro!$B$34))/Presion_cilindro!$B$35)^(Presion_cilindro!$B$17+1)),0)-IF(Presion_cilindro!N285&gt;(-D$4+Presion_cilindro!$B$34),1-EXP(-Presion_cilindro!$B$16*((Presion_cilindro!N285-(-D$4+Presion_cilindro!$B$34))/Presion_cilindro!$B$35)^(Presion_cilindro!$B$17+1)),0))/((Presion_cilindro!O285+Presion_cilindro!O286)/2)</f>
        <v>5.2057965720721358</v>
      </c>
      <c r="E294" s="27">
        <f>E293*(Presion_cilindro!O285/Presion_cilindro!O286)^Presion_cilindro!$B$9+10*(Presion_cilindro!$B$9-1)*Presion_cilindro!$B$33*(IF(Presion_cilindro!N286&gt;(-E$4+Presion_cilindro!$B$34),1-EXP(-Presion_cilindro!$B$16*((Presion_cilindro!N286-(-E$4+Presion_cilindro!$B$34))/Presion_cilindro!$B$35)^(Presion_cilindro!$B$17+1)),0)-IF(Presion_cilindro!N285&gt;(-E$4+Presion_cilindro!$B$34),1-EXP(-Presion_cilindro!$B$16*((Presion_cilindro!N285-(-E$4+Presion_cilindro!$B$34))/Presion_cilindro!$B$35)^(Presion_cilindro!$B$17+1)),0))/((Presion_cilindro!O285+Presion_cilindro!O286)/2)</f>
        <v>5.2057965720721358</v>
      </c>
      <c r="F294" s="27">
        <f>F293*(Presion_cilindro!O285/Presion_cilindro!O286)^Presion_cilindro!$B$9+10*(Presion_cilindro!$B$9-1)*Presion_cilindro!$B$33*(IF(Presion_cilindro!N286&gt;(-F$4+Presion_cilindro!$B$34),1-EXP(-Presion_cilindro!$B$16*((Presion_cilindro!N286-(-F$4+Presion_cilindro!$B$34))/Presion_cilindro!$B$35)^(Presion_cilindro!$B$17+1)),0)-IF(Presion_cilindro!N285&gt;(-F$4+Presion_cilindro!$B$34),1-EXP(-Presion_cilindro!$B$16*((Presion_cilindro!N285-(-F$4+Presion_cilindro!$B$34))/Presion_cilindro!$B$35)^(Presion_cilindro!$B$17+1)),0))/((Presion_cilindro!O285+Presion_cilindro!O286)/2)</f>
        <v>5.2057965720721358</v>
      </c>
      <c r="G294" s="27">
        <f>G293*(Presion_cilindro!O285/Presion_cilindro!O286)^Presion_cilindro!$B$9+10*(Presion_cilindro!$B$9-1)*Presion_cilindro!$B$33*(IF(Presion_cilindro!N286&gt;(-G$4+Presion_cilindro!$B$34),1-EXP(-Presion_cilindro!$B$16*((Presion_cilindro!N286-(-G$4+Presion_cilindro!$B$34))/Presion_cilindro!$B$35)^(Presion_cilindro!$B$17+1)),0)-IF(Presion_cilindro!N285&gt;(-G$4+Presion_cilindro!$B$34),1-EXP(-Presion_cilindro!$B$16*((Presion_cilindro!N285-(-G$4+Presion_cilindro!$B$34))/Presion_cilindro!$B$35)^(Presion_cilindro!$B$17+1)),0))/((Presion_cilindro!O285+Presion_cilindro!O286)/2)</f>
        <v>5.2057965720721358</v>
      </c>
      <c r="H294" s="27">
        <f>H293*(Presion_cilindro!O285/Presion_cilindro!O286)^Presion_cilindro!$B$9+10*(Presion_cilindro!$B$9-1)*Presion_cilindro!$B$33*(IF(Presion_cilindro!N286&gt;(-H$4+Presion_cilindro!$B$34),1-EXP(-Presion_cilindro!$B$16*((Presion_cilindro!N286-(-H$4+Presion_cilindro!$B$34))/Presion_cilindro!$B$35)^(Presion_cilindro!$B$17+1)),0)-IF(Presion_cilindro!N285&gt;(-H$4+Presion_cilindro!$B$34),1-EXP(-Presion_cilindro!$B$16*((Presion_cilindro!N285-(-H$4+Presion_cilindro!$B$34))/Presion_cilindro!$B$35)^(Presion_cilindro!$B$17+1)),0))/((Presion_cilindro!O285+Presion_cilindro!O286)/2)</f>
        <v>5.2057965720721358</v>
      </c>
      <c r="I294" s="27">
        <f>I293*(Presion_cilindro!O285/Presion_cilindro!O286)^Presion_cilindro!$B$9+10*(Presion_cilindro!$B$9-1)*Presion_cilindro!$B$33*(IF(Presion_cilindro!N286&gt;(-I$4+Presion_cilindro!$B$34),1-EXP(-Presion_cilindro!$B$16*((Presion_cilindro!N286-(-I$4+Presion_cilindro!$B$34))/Presion_cilindro!$B$35)^(Presion_cilindro!$B$17+1)),0)-IF(Presion_cilindro!N285&gt;(-I$4+Presion_cilindro!$B$34),1-EXP(-Presion_cilindro!$B$16*((Presion_cilindro!N285-(-I$4+Presion_cilindro!$B$34))/Presion_cilindro!$B$35)^(Presion_cilindro!$B$17+1)),0))/((Presion_cilindro!O285+Presion_cilindro!O286)/2)</f>
        <v>5.2057965720721358</v>
      </c>
      <c r="J294" s="27">
        <f>J293*(Presion_cilindro!O285/Presion_cilindro!O286)^Presion_cilindro!$B$9+10*(Presion_cilindro!$B$9-1)*Presion_cilindro!$B$33*(IF(Presion_cilindro!N286&gt;(-J$4+Presion_cilindro!$B$34),1-EXP(-Presion_cilindro!$B$16*((Presion_cilindro!N286-(-J$4+Presion_cilindro!$B$34))/Presion_cilindro!$B$35)^(Presion_cilindro!$B$17+1)),0)-IF(Presion_cilindro!N285&gt;(-J$4+Presion_cilindro!$B$34),1-EXP(-Presion_cilindro!$B$16*((Presion_cilindro!N285-(-J$4+Presion_cilindro!$B$34))/Presion_cilindro!$B$35)^(Presion_cilindro!$B$17+1)),0))/((Presion_cilindro!O285+Presion_cilindro!O286)/2)</f>
        <v>5.2057965720721358</v>
      </c>
      <c r="K294" s="27">
        <f>K293*(Presion_cilindro!O285/Presion_cilindro!O286)^Presion_cilindro!$B$9+10*(Presion_cilindro!$B$9-1)*Presion_cilindro!$B$33*(IF(Presion_cilindro!N286&gt;(-K$4+Presion_cilindro!$B$34),1-EXP(-Presion_cilindro!$B$16*((Presion_cilindro!N286-(-K$4+Presion_cilindro!$B$34))/Presion_cilindro!$B$35)^(Presion_cilindro!$B$17+1)),0)-IF(Presion_cilindro!N285&gt;(-K$4+Presion_cilindro!$B$34),1-EXP(-Presion_cilindro!$B$16*((Presion_cilindro!N285-(-K$4+Presion_cilindro!$B$34))/Presion_cilindro!$B$35)^(Presion_cilindro!$B$17+1)),0))/((Presion_cilindro!O285+Presion_cilindro!O286)/2)</f>
        <v>5.2057965720721358</v>
      </c>
      <c r="L294" s="27">
        <f>L293*(Presion_cilindro!O285/Presion_cilindro!O286)^Presion_cilindro!$B$9+10*(Presion_cilindro!$B$9-1)*Presion_cilindro!$B$33*(IF(Presion_cilindro!N286&gt;(-L$4+Presion_cilindro!$B$34),1-EXP(-Presion_cilindro!$B$16*((Presion_cilindro!N286-(-L$4+Presion_cilindro!$B$34))/Presion_cilindro!$B$35)^(Presion_cilindro!$B$17+1)),0)-IF(Presion_cilindro!N285&gt;(-L$4+Presion_cilindro!$B$34),1-EXP(-Presion_cilindro!$B$16*((Presion_cilindro!N285-(-L$4+Presion_cilindro!$B$34))/Presion_cilindro!$B$35)^(Presion_cilindro!$B$17+1)),0))/((Presion_cilindro!O285+Presion_cilindro!O286)/2)</f>
        <v>5.2375092066234421</v>
      </c>
      <c r="M294" s="27">
        <f>M293*(Presion_cilindro!O285/Presion_cilindro!O286)^Presion_cilindro!$B$9+10*(Presion_cilindro!$B$9-1)*Presion_cilindro!$B$33*(IF(Presion_cilindro!N286&gt;(-M$4+Presion_cilindro!$B$34),1-EXP(-Presion_cilindro!$B$16*((Presion_cilindro!N286-(-M$4+Presion_cilindro!$B$34))/Presion_cilindro!$B$35)^(Presion_cilindro!$B$17+1)),0)-IF(Presion_cilindro!N285&gt;(-M$4+Presion_cilindro!$B$34),1-EXP(-Presion_cilindro!$B$16*((Presion_cilindro!N285-(-M$4+Presion_cilindro!$B$34))/Presion_cilindro!$B$35)^(Presion_cilindro!$B$17+1)),0))/((Presion_cilindro!O285+Presion_cilindro!O286)/2)</f>
        <v>5.5989501091156804</v>
      </c>
      <c r="N294" s="27">
        <f>N293*(Presion_cilindro!O285/Presion_cilindro!O286)^Presion_cilindro!$B$9+10*(Presion_cilindro!$B$9-1)*Presion_cilindro!$B$33*(IF(Presion_cilindro!N286&gt;(-N$4+Presion_cilindro!$B$34),1-EXP(-Presion_cilindro!$B$16*((Presion_cilindro!N286-(-N$4+Presion_cilindro!$B$34))/Presion_cilindro!$B$35)^(Presion_cilindro!$B$17+1)),0)-IF(Presion_cilindro!N285&gt;(-N$4+Presion_cilindro!$B$34),1-EXP(-Presion_cilindro!$B$16*((Presion_cilindro!N285-(-N$4+Presion_cilindro!$B$34))/Presion_cilindro!$B$35)^(Presion_cilindro!$B$17+1)),0))/((Presion_cilindro!O285+Presion_cilindro!O286)/2)</f>
        <v>6.6801009181762847</v>
      </c>
    </row>
    <row r="295" spans="1:14" x14ac:dyDescent="0.25">
      <c r="A295" s="21">
        <f>Presion_cilindro!N287</f>
        <v>-38.5</v>
      </c>
      <c r="B295" s="27">
        <f>B294*(Presion_cilindro!O286/Presion_cilindro!O287)^Presion_cilindro!$B$9+10*(Presion_cilindro!$B$9-1)*Presion_cilindro!$B$33*(IF(Presion_cilindro!N287&gt;(-B$4+Presion_cilindro!$B$34),1-EXP(-Presion_cilindro!$B$16*((Presion_cilindro!N287-(-B$4+Presion_cilindro!$B$34))/Presion_cilindro!$B$35)^(Presion_cilindro!$B$17+1)),0)-IF(Presion_cilindro!N286&gt;(-B$4+Presion_cilindro!$B$34),1-EXP(-Presion_cilindro!$B$16*((Presion_cilindro!N286-(-B$4+Presion_cilindro!$B$34))/Presion_cilindro!$B$35)^(Presion_cilindro!$B$17+1)),0))/((Presion_cilindro!O286+Presion_cilindro!O287)/2)</f>
        <v>5.2996296350088352</v>
      </c>
      <c r="C295" s="27">
        <f>C294*(Presion_cilindro!O286/Presion_cilindro!O287)^Presion_cilindro!$B$9+10*(Presion_cilindro!$B$9-1)*Presion_cilindro!$B$33*(IF(Presion_cilindro!N287&gt;(-C$4+Presion_cilindro!$B$34),1-EXP(-Presion_cilindro!$B$16*((Presion_cilindro!N287-(-C$4+Presion_cilindro!$B$34))/Presion_cilindro!$B$35)^(Presion_cilindro!$B$17+1)),0)-IF(Presion_cilindro!N286&gt;(-C$4+Presion_cilindro!$B$34),1-EXP(-Presion_cilindro!$B$16*((Presion_cilindro!N286-(-C$4+Presion_cilindro!$B$34))/Presion_cilindro!$B$35)^(Presion_cilindro!$B$17+1)),0))/((Presion_cilindro!O286+Presion_cilindro!O287)/2)</f>
        <v>5.2996296350088352</v>
      </c>
      <c r="D295" s="27">
        <f>D294*(Presion_cilindro!O286/Presion_cilindro!O287)^Presion_cilindro!$B$9+10*(Presion_cilindro!$B$9-1)*Presion_cilindro!$B$33*(IF(Presion_cilindro!N287&gt;(-D$4+Presion_cilindro!$B$34),1-EXP(-Presion_cilindro!$B$16*((Presion_cilindro!N287-(-D$4+Presion_cilindro!$B$34))/Presion_cilindro!$B$35)^(Presion_cilindro!$B$17+1)),0)-IF(Presion_cilindro!N286&gt;(-D$4+Presion_cilindro!$B$34),1-EXP(-Presion_cilindro!$B$16*((Presion_cilindro!N286-(-D$4+Presion_cilindro!$B$34))/Presion_cilindro!$B$35)^(Presion_cilindro!$B$17+1)),0))/((Presion_cilindro!O286+Presion_cilindro!O287)/2)</f>
        <v>5.2996296350088352</v>
      </c>
      <c r="E295" s="27">
        <f>E294*(Presion_cilindro!O286/Presion_cilindro!O287)^Presion_cilindro!$B$9+10*(Presion_cilindro!$B$9-1)*Presion_cilindro!$B$33*(IF(Presion_cilindro!N287&gt;(-E$4+Presion_cilindro!$B$34),1-EXP(-Presion_cilindro!$B$16*((Presion_cilindro!N287-(-E$4+Presion_cilindro!$B$34))/Presion_cilindro!$B$35)^(Presion_cilindro!$B$17+1)),0)-IF(Presion_cilindro!N286&gt;(-E$4+Presion_cilindro!$B$34),1-EXP(-Presion_cilindro!$B$16*((Presion_cilindro!N286-(-E$4+Presion_cilindro!$B$34))/Presion_cilindro!$B$35)^(Presion_cilindro!$B$17+1)),0))/((Presion_cilindro!O286+Presion_cilindro!O287)/2)</f>
        <v>5.2996296350088352</v>
      </c>
      <c r="F295" s="27">
        <f>F294*(Presion_cilindro!O286/Presion_cilindro!O287)^Presion_cilindro!$B$9+10*(Presion_cilindro!$B$9-1)*Presion_cilindro!$B$33*(IF(Presion_cilindro!N287&gt;(-F$4+Presion_cilindro!$B$34),1-EXP(-Presion_cilindro!$B$16*((Presion_cilindro!N287-(-F$4+Presion_cilindro!$B$34))/Presion_cilindro!$B$35)^(Presion_cilindro!$B$17+1)),0)-IF(Presion_cilindro!N286&gt;(-F$4+Presion_cilindro!$B$34),1-EXP(-Presion_cilindro!$B$16*((Presion_cilindro!N286-(-F$4+Presion_cilindro!$B$34))/Presion_cilindro!$B$35)^(Presion_cilindro!$B$17+1)),0))/((Presion_cilindro!O286+Presion_cilindro!O287)/2)</f>
        <v>5.2996296350088352</v>
      </c>
      <c r="G295" s="27">
        <f>G294*(Presion_cilindro!O286/Presion_cilindro!O287)^Presion_cilindro!$B$9+10*(Presion_cilindro!$B$9-1)*Presion_cilindro!$B$33*(IF(Presion_cilindro!N287&gt;(-G$4+Presion_cilindro!$B$34),1-EXP(-Presion_cilindro!$B$16*((Presion_cilindro!N287-(-G$4+Presion_cilindro!$B$34))/Presion_cilindro!$B$35)^(Presion_cilindro!$B$17+1)),0)-IF(Presion_cilindro!N286&gt;(-G$4+Presion_cilindro!$B$34),1-EXP(-Presion_cilindro!$B$16*((Presion_cilindro!N286-(-G$4+Presion_cilindro!$B$34))/Presion_cilindro!$B$35)^(Presion_cilindro!$B$17+1)),0))/((Presion_cilindro!O286+Presion_cilindro!O287)/2)</f>
        <v>5.2996296350088352</v>
      </c>
      <c r="H295" s="27">
        <f>H294*(Presion_cilindro!O286/Presion_cilindro!O287)^Presion_cilindro!$B$9+10*(Presion_cilindro!$B$9-1)*Presion_cilindro!$B$33*(IF(Presion_cilindro!N287&gt;(-H$4+Presion_cilindro!$B$34),1-EXP(-Presion_cilindro!$B$16*((Presion_cilindro!N287-(-H$4+Presion_cilindro!$B$34))/Presion_cilindro!$B$35)^(Presion_cilindro!$B$17+1)),0)-IF(Presion_cilindro!N286&gt;(-H$4+Presion_cilindro!$B$34),1-EXP(-Presion_cilindro!$B$16*((Presion_cilindro!N286-(-H$4+Presion_cilindro!$B$34))/Presion_cilindro!$B$35)^(Presion_cilindro!$B$17+1)),0))/((Presion_cilindro!O286+Presion_cilindro!O287)/2)</f>
        <v>5.2996296350088352</v>
      </c>
      <c r="I295" s="27">
        <f>I294*(Presion_cilindro!O286/Presion_cilindro!O287)^Presion_cilindro!$B$9+10*(Presion_cilindro!$B$9-1)*Presion_cilindro!$B$33*(IF(Presion_cilindro!N287&gt;(-I$4+Presion_cilindro!$B$34),1-EXP(-Presion_cilindro!$B$16*((Presion_cilindro!N287-(-I$4+Presion_cilindro!$B$34))/Presion_cilindro!$B$35)^(Presion_cilindro!$B$17+1)),0)-IF(Presion_cilindro!N286&gt;(-I$4+Presion_cilindro!$B$34),1-EXP(-Presion_cilindro!$B$16*((Presion_cilindro!N286-(-I$4+Presion_cilindro!$B$34))/Presion_cilindro!$B$35)^(Presion_cilindro!$B$17+1)),0))/((Presion_cilindro!O286+Presion_cilindro!O287)/2)</f>
        <v>5.2996296350088352</v>
      </c>
      <c r="J295" s="27">
        <f>J294*(Presion_cilindro!O286/Presion_cilindro!O287)^Presion_cilindro!$B$9+10*(Presion_cilindro!$B$9-1)*Presion_cilindro!$B$33*(IF(Presion_cilindro!N287&gt;(-J$4+Presion_cilindro!$B$34),1-EXP(-Presion_cilindro!$B$16*((Presion_cilindro!N287-(-J$4+Presion_cilindro!$B$34))/Presion_cilindro!$B$35)^(Presion_cilindro!$B$17+1)),0)-IF(Presion_cilindro!N286&gt;(-J$4+Presion_cilindro!$B$34),1-EXP(-Presion_cilindro!$B$16*((Presion_cilindro!N286-(-J$4+Presion_cilindro!$B$34))/Presion_cilindro!$B$35)^(Presion_cilindro!$B$17+1)),0))/((Presion_cilindro!O286+Presion_cilindro!O287)/2)</f>
        <v>5.2996296350088352</v>
      </c>
      <c r="K295" s="27">
        <f>K294*(Presion_cilindro!O286/Presion_cilindro!O287)^Presion_cilindro!$B$9+10*(Presion_cilindro!$B$9-1)*Presion_cilindro!$B$33*(IF(Presion_cilindro!N287&gt;(-K$4+Presion_cilindro!$B$34),1-EXP(-Presion_cilindro!$B$16*((Presion_cilindro!N287-(-K$4+Presion_cilindro!$B$34))/Presion_cilindro!$B$35)^(Presion_cilindro!$B$17+1)),0)-IF(Presion_cilindro!N286&gt;(-K$4+Presion_cilindro!$B$34),1-EXP(-Presion_cilindro!$B$16*((Presion_cilindro!N286-(-K$4+Presion_cilindro!$B$34))/Presion_cilindro!$B$35)^(Presion_cilindro!$B$17+1)),0))/((Presion_cilindro!O286+Presion_cilindro!O287)/2)</f>
        <v>5.2996296350088352</v>
      </c>
      <c r="L295" s="27">
        <f>L294*(Presion_cilindro!O286/Presion_cilindro!O287)^Presion_cilindro!$B$9+10*(Presion_cilindro!$B$9-1)*Presion_cilindro!$B$33*(IF(Presion_cilindro!N287&gt;(-L$4+Presion_cilindro!$B$34),1-EXP(-Presion_cilindro!$B$16*((Presion_cilindro!N287-(-L$4+Presion_cilindro!$B$34))/Presion_cilindro!$B$35)^(Presion_cilindro!$B$17+1)),0)-IF(Presion_cilindro!N286&gt;(-L$4+Presion_cilindro!$B$34),1-EXP(-Presion_cilindro!$B$16*((Presion_cilindro!N286-(-L$4+Presion_cilindro!$B$34))/Presion_cilindro!$B$35)^(Presion_cilindro!$B$17+1)),0))/((Presion_cilindro!O286+Presion_cilindro!O287)/2)</f>
        <v>5.3462286302455997</v>
      </c>
      <c r="M295" s="27">
        <f>M294*(Presion_cilindro!O286/Presion_cilindro!O287)^Presion_cilindro!$B$9+10*(Presion_cilindro!$B$9-1)*Presion_cilindro!$B$33*(IF(Presion_cilindro!N287&gt;(-M$4+Presion_cilindro!$B$34),1-EXP(-Presion_cilindro!$B$16*((Presion_cilindro!N287-(-M$4+Presion_cilindro!$B$34))/Presion_cilindro!$B$35)^(Presion_cilindro!$B$17+1)),0)-IF(Presion_cilindro!N286&gt;(-M$4+Presion_cilindro!$B$34),1-EXP(-Presion_cilindro!$B$16*((Presion_cilindro!N286-(-M$4+Presion_cilindro!$B$34))/Presion_cilindro!$B$35)^(Presion_cilindro!$B$17+1)),0))/((Presion_cilindro!O286+Presion_cilindro!O287)/2)</f>
        <v>5.7693249984517108</v>
      </c>
      <c r="N295" s="27">
        <f>N294*(Presion_cilindro!O286/Presion_cilindro!O287)^Presion_cilindro!$B$9+10*(Presion_cilindro!$B$9-1)*Presion_cilindro!$B$33*(IF(Presion_cilindro!N287&gt;(-N$4+Presion_cilindro!$B$34),1-EXP(-Presion_cilindro!$B$16*((Presion_cilindro!N287-(-N$4+Presion_cilindro!$B$34))/Presion_cilindro!$B$35)^(Presion_cilindro!$B$17+1)),0)-IF(Presion_cilindro!N286&gt;(-N$4+Presion_cilindro!$B$34),1-EXP(-Presion_cilindro!$B$16*((Presion_cilindro!N286-(-N$4+Presion_cilindro!$B$34))/Presion_cilindro!$B$35)^(Presion_cilindro!$B$17+1)),0))/((Presion_cilindro!O286+Presion_cilindro!O287)/2)</f>
        <v>6.9545064323137984</v>
      </c>
    </row>
    <row r="296" spans="1:14" x14ac:dyDescent="0.25">
      <c r="A296" s="21">
        <f>Presion_cilindro!N288</f>
        <v>-38</v>
      </c>
      <c r="B296" s="27">
        <f>B295*(Presion_cilindro!O287/Presion_cilindro!O288)^Presion_cilindro!$B$9+10*(Presion_cilindro!$B$9-1)*Presion_cilindro!$B$33*(IF(Presion_cilindro!N288&gt;(-B$4+Presion_cilindro!$B$34),1-EXP(-Presion_cilindro!$B$16*((Presion_cilindro!N288-(-B$4+Presion_cilindro!$B$34))/Presion_cilindro!$B$35)^(Presion_cilindro!$B$17+1)),0)-IF(Presion_cilindro!N287&gt;(-B$4+Presion_cilindro!$B$34),1-EXP(-Presion_cilindro!$B$16*((Presion_cilindro!N287-(-B$4+Presion_cilindro!$B$34))/Presion_cilindro!$B$35)^(Presion_cilindro!$B$17+1)),0))/((Presion_cilindro!O287+Presion_cilindro!O288)/2)</f>
        <v>5.3955117181735694</v>
      </c>
      <c r="C296" s="27">
        <f>C295*(Presion_cilindro!O287/Presion_cilindro!O288)^Presion_cilindro!$B$9+10*(Presion_cilindro!$B$9-1)*Presion_cilindro!$B$33*(IF(Presion_cilindro!N288&gt;(-C$4+Presion_cilindro!$B$34),1-EXP(-Presion_cilindro!$B$16*((Presion_cilindro!N288-(-C$4+Presion_cilindro!$B$34))/Presion_cilindro!$B$35)^(Presion_cilindro!$B$17+1)),0)-IF(Presion_cilindro!N287&gt;(-C$4+Presion_cilindro!$B$34),1-EXP(-Presion_cilindro!$B$16*((Presion_cilindro!N287-(-C$4+Presion_cilindro!$B$34))/Presion_cilindro!$B$35)^(Presion_cilindro!$B$17+1)),0))/((Presion_cilindro!O287+Presion_cilindro!O288)/2)</f>
        <v>5.3955117181735694</v>
      </c>
      <c r="D296" s="27">
        <f>D295*(Presion_cilindro!O287/Presion_cilindro!O288)^Presion_cilindro!$B$9+10*(Presion_cilindro!$B$9-1)*Presion_cilindro!$B$33*(IF(Presion_cilindro!N288&gt;(-D$4+Presion_cilindro!$B$34),1-EXP(-Presion_cilindro!$B$16*((Presion_cilindro!N288-(-D$4+Presion_cilindro!$B$34))/Presion_cilindro!$B$35)^(Presion_cilindro!$B$17+1)),0)-IF(Presion_cilindro!N287&gt;(-D$4+Presion_cilindro!$B$34),1-EXP(-Presion_cilindro!$B$16*((Presion_cilindro!N287-(-D$4+Presion_cilindro!$B$34))/Presion_cilindro!$B$35)^(Presion_cilindro!$B$17+1)),0))/((Presion_cilindro!O287+Presion_cilindro!O288)/2)</f>
        <v>5.3955117181735694</v>
      </c>
      <c r="E296" s="27">
        <f>E295*(Presion_cilindro!O287/Presion_cilindro!O288)^Presion_cilindro!$B$9+10*(Presion_cilindro!$B$9-1)*Presion_cilindro!$B$33*(IF(Presion_cilindro!N288&gt;(-E$4+Presion_cilindro!$B$34),1-EXP(-Presion_cilindro!$B$16*((Presion_cilindro!N288-(-E$4+Presion_cilindro!$B$34))/Presion_cilindro!$B$35)^(Presion_cilindro!$B$17+1)),0)-IF(Presion_cilindro!N287&gt;(-E$4+Presion_cilindro!$B$34),1-EXP(-Presion_cilindro!$B$16*((Presion_cilindro!N287-(-E$4+Presion_cilindro!$B$34))/Presion_cilindro!$B$35)^(Presion_cilindro!$B$17+1)),0))/((Presion_cilindro!O287+Presion_cilindro!O288)/2)</f>
        <v>5.3955117181735694</v>
      </c>
      <c r="F296" s="27">
        <f>F295*(Presion_cilindro!O287/Presion_cilindro!O288)^Presion_cilindro!$B$9+10*(Presion_cilindro!$B$9-1)*Presion_cilindro!$B$33*(IF(Presion_cilindro!N288&gt;(-F$4+Presion_cilindro!$B$34),1-EXP(-Presion_cilindro!$B$16*((Presion_cilindro!N288-(-F$4+Presion_cilindro!$B$34))/Presion_cilindro!$B$35)^(Presion_cilindro!$B$17+1)),0)-IF(Presion_cilindro!N287&gt;(-F$4+Presion_cilindro!$B$34),1-EXP(-Presion_cilindro!$B$16*((Presion_cilindro!N287-(-F$4+Presion_cilindro!$B$34))/Presion_cilindro!$B$35)^(Presion_cilindro!$B$17+1)),0))/((Presion_cilindro!O287+Presion_cilindro!O288)/2)</f>
        <v>5.3955117181735694</v>
      </c>
      <c r="G296" s="27">
        <f>G295*(Presion_cilindro!O287/Presion_cilindro!O288)^Presion_cilindro!$B$9+10*(Presion_cilindro!$B$9-1)*Presion_cilindro!$B$33*(IF(Presion_cilindro!N288&gt;(-G$4+Presion_cilindro!$B$34),1-EXP(-Presion_cilindro!$B$16*((Presion_cilindro!N288-(-G$4+Presion_cilindro!$B$34))/Presion_cilindro!$B$35)^(Presion_cilindro!$B$17+1)),0)-IF(Presion_cilindro!N287&gt;(-G$4+Presion_cilindro!$B$34),1-EXP(-Presion_cilindro!$B$16*((Presion_cilindro!N287-(-G$4+Presion_cilindro!$B$34))/Presion_cilindro!$B$35)^(Presion_cilindro!$B$17+1)),0))/((Presion_cilindro!O287+Presion_cilindro!O288)/2)</f>
        <v>5.3955117181735694</v>
      </c>
      <c r="H296" s="27">
        <f>H295*(Presion_cilindro!O287/Presion_cilindro!O288)^Presion_cilindro!$B$9+10*(Presion_cilindro!$B$9-1)*Presion_cilindro!$B$33*(IF(Presion_cilindro!N288&gt;(-H$4+Presion_cilindro!$B$34),1-EXP(-Presion_cilindro!$B$16*((Presion_cilindro!N288-(-H$4+Presion_cilindro!$B$34))/Presion_cilindro!$B$35)^(Presion_cilindro!$B$17+1)),0)-IF(Presion_cilindro!N287&gt;(-H$4+Presion_cilindro!$B$34),1-EXP(-Presion_cilindro!$B$16*((Presion_cilindro!N287-(-H$4+Presion_cilindro!$B$34))/Presion_cilindro!$B$35)^(Presion_cilindro!$B$17+1)),0))/((Presion_cilindro!O287+Presion_cilindro!O288)/2)</f>
        <v>5.3955117181735694</v>
      </c>
      <c r="I296" s="27">
        <f>I295*(Presion_cilindro!O287/Presion_cilindro!O288)^Presion_cilindro!$B$9+10*(Presion_cilindro!$B$9-1)*Presion_cilindro!$B$33*(IF(Presion_cilindro!N288&gt;(-I$4+Presion_cilindro!$B$34),1-EXP(-Presion_cilindro!$B$16*((Presion_cilindro!N288-(-I$4+Presion_cilindro!$B$34))/Presion_cilindro!$B$35)^(Presion_cilindro!$B$17+1)),0)-IF(Presion_cilindro!N287&gt;(-I$4+Presion_cilindro!$B$34),1-EXP(-Presion_cilindro!$B$16*((Presion_cilindro!N287-(-I$4+Presion_cilindro!$B$34))/Presion_cilindro!$B$35)^(Presion_cilindro!$B$17+1)),0))/((Presion_cilindro!O287+Presion_cilindro!O288)/2)</f>
        <v>5.3955117181735694</v>
      </c>
      <c r="J296" s="27">
        <f>J295*(Presion_cilindro!O287/Presion_cilindro!O288)^Presion_cilindro!$B$9+10*(Presion_cilindro!$B$9-1)*Presion_cilindro!$B$33*(IF(Presion_cilindro!N288&gt;(-J$4+Presion_cilindro!$B$34),1-EXP(-Presion_cilindro!$B$16*((Presion_cilindro!N288-(-J$4+Presion_cilindro!$B$34))/Presion_cilindro!$B$35)^(Presion_cilindro!$B$17+1)),0)-IF(Presion_cilindro!N287&gt;(-J$4+Presion_cilindro!$B$34),1-EXP(-Presion_cilindro!$B$16*((Presion_cilindro!N287-(-J$4+Presion_cilindro!$B$34))/Presion_cilindro!$B$35)^(Presion_cilindro!$B$17+1)),0))/((Presion_cilindro!O287+Presion_cilindro!O288)/2)</f>
        <v>5.3955117181735694</v>
      </c>
      <c r="K296" s="27">
        <f>K295*(Presion_cilindro!O287/Presion_cilindro!O288)^Presion_cilindro!$B$9+10*(Presion_cilindro!$B$9-1)*Presion_cilindro!$B$33*(IF(Presion_cilindro!N288&gt;(-K$4+Presion_cilindro!$B$34),1-EXP(-Presion_cilindro!$B$16*((Presion_cilindro!N288-(-K$4+Presion_cilindro!$B$34))/Presion_cilindro!$B$35)^(Presion_cilindro!$B$17+1)),0)-IF(Presion_cilindro!N287&gt;(-K$4+Presion_cilindro!$B$34),1-EXP(-Presion_cilindro!$B$16*((Presion_cilindro!N287-(-K$4+Presion_cilindro!$B$34))/Presion_cilindro!$B$35)^(Presion_cilindro!$B$17+1)),0))/((Presion_cilindro!O287+Presion_cilindro!O288)/2)</f>
        <v>5.3955117181735694</v>
      </c>
      <c r="L296" s="27">
        <f>L295*(Presion_cilindro!O287/Presion_cilindro!O288)^Presion_cilindro!$B$9+10*(Presion_cilindro!$B$9-1)*Presion_cilindro!$B$33*(IF(Presion_cilindro!N288&gt;(-L$4+Presion_cilindro!$B$34),1-EXP(-Presion_cilindro!$B$16*((Presion_cilindro!N288-(-L$4+Presion_cilindro!$B$34))/Presion_cilindro!$B$35)^(Presion_cilindro!$B$17+1)),0)-IF(Presion_cilindro!N287&gt;(-L$4+Presion_cilindro!$B$34),1-EXP(-Presion_cilindro!$B$16*((Presion_cilindro!N287-(-L$4+Presion_cilindro!$B$34))/Presion_cilindro!$B$35)^(Presion_cilindro!$B$17+1)),0))/((Presion_cilindro!O287+Presion_cilindro!O288)/2)</f>
        <v>5.4612402829313238</v>
      </c>
      <c r="M296" s="27">
        <f>M295*(Presion_cilindro!O287/Presion_cilindro!O288)^Presion_cilindro!$B$9+10*(Presion_cilindro!$B$9-1)*Presion_cilindro!$B$33*(IF(Presion_cilindro!N288&gt;(-M$4+Presion_cilindro!$B$34),1-EXP(-Presion_cilindro!$B$16*((Presion_cilindro!N288-(-M$4+Presion_cilindro!$B$34))/Presion_cilindro!$B$35)^(Presion_cilindro!$B$17+1)),0)-IF(Presion_cilindro!N287&gt;(-M$4+Presion_cilindro!$B$34),1-EXP(-Presion_cilindro!$B$16*((Presion_cilindro!N287-(-M$4+Presion_cilindro!$B$34))/Presion_cilindro!$B$35)^(Presion_cilindro!$B$17+1)),0))/((Presion_cilindro!O287+Presion_cilindro!O288)/2)</f>
        <v>5.9516766581172229</v>
      </c>
      <c r="N296" s="27">
        <f>N295*(Presion_cilindro!O287/Presion_cilindro!O288)^Presion_cilindro!$B$9+10*(Presion_cilindro!$B$9-1)*Presion_cilindro!$B$33*(IF(Presion_cilindro!N288&gt;(-N$4+Presion_cilindro!$B$34),1-EXP(-Presion_cilindro!$B$16*((Presion_cilindro!N288-(-N$4+Presion_cilindro!$B$34))/Presion_cilindro!$B$35)^(Presion_cilindro!$B$17+1)),0)-IF(Presion_cilindro!N287&gt;(-N$4+Presion_cilindro!$B$34),1-EXP(-Presion_cilindro!$B$16*((Presion_cilindro!N287-(-N$4+Presion_cilindro!$B$34))/Presion_cilindro!$B$35)^(Presion_cilindro!$B$17+1)),0))/((Presion_cilindro!O287+Presion_cilindro!O288)/2)</f>
        <v>7.2456280383110832</v>
      </c>
    </row>
    <row r="297" spans="1:14" x14ac:dyDescent="0.25">
      <c r="A297" s="21">
        <f>Presion_cilindro!N289</f>
        <v>-37.5</v>
      </c>
      <c r="B297" s="27">
        <f>B296*(Presion_cilindro!O288/Presion_cilindro!O289)^Presion_cilindro!$B$9+10*(Presion_cilindro!$B$9-1)*Presion_cilindro!$B$33*(IF(Presion_cilindro!N289&gt;(-B$4+Presion_cilindro!$B$34),1-EXP(-Presion_cilindro!$B$16*((Presion_cilindro!N289-(-B$4+Presion_cilindro!$B$34))/Presion_cilindro!$B$35)^(Presion_cilindro!$B$17+1)),0)-IF(Presion_cilindro!N288&gt;(-B$4+Presion_cilindro!$B$34),1-EXP(-Presion_cilindro!$B$16*((Presion_cilindro!N288-(-B$4+Presion_cilindro!$B$34))/Presion_cilindro!$B$35)^(Presion_cilindro!$B$17+1)),0))/((Presion_cilindro!O288+Presion_cilindro!O289)/2)</f>
        <v>5.4934776578723703</v>
      </c>
      <c r="C297" s="27">
        <f>C296*(Presion_cilindro!O288/Presion_cilindro!O289)^Presion_cilindro!$B$9+10*(Presion_cilindro!$B$9-1)*Presion_cilindro!$B$33*(IF(Presion_cilindro!N289&gt;(-C$4+Presion_cilindro!$B$34),1-EXP(-Presion_cilindro!$B$16*((Presion_cilindro!N289-(-C$4+Presion_cilindro!$B$34))/Presion_cilindro!$B$35)^(Presion_cilindro!$B$17+1)),0)-IF(Presion_cilindro!N288&gt;(-C$4+Presion_cilindro!$B$34),1-EXP(-Presion_cilindro!$B$16*((Presion_cilindro!N288-(-C$4+Presion_cilindro!$B$34))/Presion_cilindro!$B$35)^(Presion_cilindro!$B$17+1)),0))/((Presion_cilindro!O288+Presion_cilindro!O289)/2)</f>
        <v>5.4934776578723703</v>
      </c>
      <c r="D297" s="27">
        <f>D296*(Presion_cilindro!O288/Presion_cilindro!O289)^Presion_cilindro!$B$9+10*(Presion_cilindro!$B$9-1)*Presion_cilindro!$B$33*(IF(Presion_cilindro!N289&gt;(-D$4+Presion_cilindro!$B$34),1-EXP(-Presion_cilindro!$B$16*((Presion_cilindro!N289-(-D$4+Presion_cilindro!$B$34))/Presion_cilindro!$B$35)^(Presion_cilindro!$B$17+1)),0)-IF(Presion_cilindro!N288&gt;(-D$4+Presion_cilindro!$B$34),1-EXP(-Presion_cilindro!$B$16*((Presion_cilindro!N288-(-D$4+Presion_cilindro!$B$34))/Presion_cilindro!$B$35)^(Presion_cilindro!$B$17+1)),0))/((Presion_cilindro!O288+Presion_cilindro!O289)/2)</f>
        <v>5.4934776578723703</v>
      </c>
      <c r="E297" s="27">
        <f>E296*(Presion_cilindro!O288/Presion_cilindro!O289)^Presion_cilindro!$B$9+10*(Presion_cilindro!$B$9-1)*Presion_cilindro!$B$33*(IF(Presion_cilindro!N289&gt;(-E$4+Presion_cilindro!$B$34),1-EXP(-Presion_cilindro!$B$16*((Presion_cilindro!N289-(-E$4+Presion_cilindro!$B$34))/Presion_cilindro!$B$35)^(Presion_cilindro!$B$17+1)),0)-IF(Presion_cilindro!N288&gt;(-E$4+Presion_cilindro!$B$34),1-EXP(-Presion_cilindro!$B$16*((Presion_cilindro!N288-(-E$4+Presion_cilindro!$B$34))/Presion_cilindro!$B$35)^(Presion_cilindro!$B$17+1)),0))/((Presion_cilindro!O288+Presion_cilindro!O289)/2)</f>
        <v>5.4934776578723703</v>
      </c>
      <c r="F297" s="27">
        <f>F296*(Presion_cilindro!O288/Presion_cilindro!O289)^Presion_cilindro!$B$9+10*(Presion_cilindro!$B$9-1)*Presion_cilindro!$B$33*(IF(Presion_cilindro!N289&gt;(-F$4+Presion_cilindro!$B$34),1-EXP(-Presion_cilindro!$B$16*((Presion_cilindro!N289-(-F$4+Presion_cilindro!$B$34))/Presion_cilindro!$B$35)^(Presion_cilindro!$B$17+1)),0)-IF(Presion_cilindro!N288&gt;(-F$4+Presion_cilindro!$B$34),1-EXP(-Presion_cilindro!$B$16*((Presion_cilindro!N288-(-F$4+Presion_cilindro!$B$34))/Presion_cilindro!$B$35)^(Presion_cilindro!$B$17+1)),0))/((Presion_cilindro!O288+Presion_cilindro!O289)/2)</f>
        <v>5.4934776578723703</v>
      </c>
      <c r="G297" s="27">
        <f>G296*(Presion_cilindro!O288/Presion_cilindro!O289)^Presion_cilindro!$B$9+10*(Presion_cilindro!$B$9-1)*Presion_cilindro!$B$33*(IF(Presion_cilindro!N289&gt;(-G$4+Presion_cilindro!$B$34),1-EXP(-Presion_cilindro!$B$16*((Presion_cilindro!N289-(-G$4+Presion_cilindro!$B$34))/Presion_cilindro!$B$35)^(Presion_cilindro!$B$17+1)),0)-IF(Presion_cilindro!N288&gt;(-G$4+Presion_cilindro!$B$34),1-EXP(-Presion_cilindro!$B$16*((Presion_cilindro!N288-(-G$4+Presion_cilindro!$B$34))/Presion_cilindro!$B$35)^(Presion_cilindro!$B$17+1)),0))/((Presion_cilindro!O288+Presion_cilindro!O289)/2)</f>
        <v>5.4934776578723703</v>
      </c>
      <c r="H297" s="27">
        <f>H296*(Presion_cilindro!O288/Presion_cilindro!O289)^Presion_cilindro!$B$9+10*(Presion_cilindro!$B$9-1)*Presion_cilindro!$B$33*(IF(Presion_cilindro!N289&gt;(-H$4+Presion_cilindro!$B$34),1-EXP(-Presion_cilindro!$B$16*((Presion_cilindro!N289-(-H$4+Presion_cilindro!$B$34))/Presion_cilindro!$B$35)^(Presion_cilindro!$B$17+1)),0)-IF(Presion_cilindro!N288&gt;(-H$4+Presion_cilindro!$B$34),1-EXP(-Presion_cilindro!$B$16*((Presion_cilindro!N288-(-H$4+Presion_cilindro!$B$34))/Presion_cilindro!$B$35)^(Presion_cilindro!$B$17+1)),0))/((Presion_cilindro!O288+Presion_cilindro!O289)/2)</f>
        <v>5.4934776578723703</v>
      </c>
      <c r="I297" s="27">
        <f>I296*(Presion_cilindro!O288/Presion_cilindro!O289)^Presion_cilindro!$B$9+10*(Presion_cilindro!$B$9-1)*Presion_cilindro!$B$33*(IF(Presion_cilindro!N289&gt;(-I$4+Presion_cilindro!$B$34),1-EXP(-Presion_cilindro!$B$16*((Presion_cilindro!N289-(-I$4+Presion_cilindro!$B$34))/Presion_cilindro!$B$35)^(Presion_cilindro!$B$17+1)),0)-IF(Presion_cilindro!N288&gt;(-I$4+Presion_cilindro!$B$34),1-EXP(-Presion_cilindro!$B$16*((Presion_cilindro!N288-(-I$4+Presion_cilindro!$B$34))/Presion_cilindro!$B$35)^(Presion_cilindro!$B$17+1)),0))/((Presion_cilindro!O288+Presion_cilindro!O289)/2)</f>
        <v>5.4934776578723703</v>
      </c>
      <c r="J297" s="27">
        <f>J296*(Presion_cilindro!O288/Presion_cilindro!O289)^Presion_cilindro!$B$9+10*(Presion_cilindro!$B$9-1)*Presion_cilindro!$B$33*(IF(Presion_cilindro!N289&gt;(-J$4+Presion_cilindro!$B$34),1-EXP(-Presion_cilindro!$B$16*((Presion_cilindro!N289-(-J$4+Presion_cilindro!$B$34))/Presion_cilindro!$B$35)^(Presion_cilindro!$B$17+1)),0)-IF(Presion_cilindro!N288&gt;(-J$4+Presion_cilindro!$B$34),1-EXP(-Presion_cilindro!$B$16*((Presion_cilindro!N288-(-J$4+Presion_cilindro!$B$34))/Presion_cilindro!$B$35)^(Presion_cilindro!$B$17+1)),0))/((Presion_cilindro!O288+Presion_cilindro!O289)/2)</f>
        <v>5.4934776578723703</v>
      </c>
      <c r="K297" s="27">
        <f>K296*(Presion_cilindro!O288/Presion_cilindro!O289)^Presion_cilindro!$B$9+10*(Presion_cilindro!$B$9-1)*Presion_cilindro!$B$33*(IF(Presion_cilindro!N289&gt;(-K$4+Presion_cilindro!$B$34),1-EXP(-Presion_cilindro!$B$16*((Presion_cilindro!N289-(-K$4+Presion_cilindro!$B$34))/Presion_cilindro!$B$35)^(Presion_cilindro!$B$17+1)),0)-IF(Presion_cilindro!N288&gt;(-K$4+Presion_cilindro!$B$34),1-EXP(-Presion_cilindro!$B$16*((Presion_cilindro!N288-(-K$4+Presion_cilindro!$B$34))/Presion_cilindro!$B$35)^(Presion_cilindro!$B$17+1)),0))/((Presion_cilindro!O288+Presion_cilindro!O289)/2)</f>
        <v>5.4934938200439118</v>
      </c>
      <c r="L297" s="27">
        <f>L296*(Presion_cilindro!O288/Presion_cilindro!O289)^Presion_cilindro!$B$9+10*(Presion_cilindro!$B$9-1)*Presion_cilindro!$B$33*(IF(Presion_cilindro!N289&gt;(-L$4+Presion_cilindro!$B$34),1-EXP(-Presion_cilindro!$B$16*((Presion_cilindro!N289-(-L$4+Presion_cilindro!$B$34))/Presion_cilindro!$B$35)^(Presion_cilindro!$B$17+1)),0)-IF(Presion_cilindro!N288&gt;(-L$4+Presion_cilindro!$B$34),1-EXP(-Presion_cilindro!$B$16*((Presion_cilindro!N288-(-L$4+Presion_cilindro!$B$34))/Presion_cilindro!$B$35)^(Presion_cilindro!$B$17+1)),0))/((Presion_cilindro!O288+Presion_cilindro!O289)/2)</f>
        <v>5.583195523127678</v>
      </c>
      <c r="M297" s="27">
        <f>M296*(Presion_cilindro!O288/Presion_cilindro!O289)^Presion_cilindro!$B$9+10*(Presion_cilindro!$B$9-1)*Presion_cilindro!$B$33*(IF(Presion_cilindro!N289&gt;(-M$4+Presion_cilindro!$B$34),1-EXP(-Presion_cilindro!$B$16*((Presion_cilindro!N289-(-M$4+Presion_cilindro!$B$34))/Presion_cilindro!$B$35)^(Presion_cilindro!$B$17+1)),0)-IF(Presion_cilindro!N288&gt;(-M$4+Presion_cilindro!$B$34),1-EXP(-Presion_cilindro!$B$16*((Presion_cilindro!N288-(-M$4+Presion_cilindro!$B$34))/Presion_cilindro!$B$35)^(Presion_cilindro!$B$17+1)),0))/((Presion_cilindro!O288+Presion_cilindro!O289)/2)</f>
        <v>6.146747522223361</v>
      </c>
      <c r="N297" s="27">
        <f>N296*(Presion_cilindro!O288/Presion_cilindro!O289)^Presion_cilindro!$B$9+10*(Presion_cilindro!$B$9-1)*Presion_cilindro!$B$33*(IF(Presion_cilindro!N289&gt;(-N$4+Presion_cilindro!$B$34),1-EXP(-Presion_cilindro!$B$16*((Presion_cilindro!N289-(-N$4+Presion_cilindro!$B$34))/Presion_cilindro!$B$35)^(Presion_cilindro!$B$17+1)),0)-IF(Presion_cilindro!N288&gt;(-N$4+Presion_cilindro!$B$34),1-EXP(-Presion_cilindro!$B$16*((Presion_cilindro!N288-(-N$4+Presion_cilindro!$B$34))/Presion_cilindro!$B$35)^(Presion_cilindro!$B$17+1)),0))/((Presion_cilindro!O288+Presion_cilindro!O289)/2)</f>
        <v>7.5540471365398512</v>
      </c>
    </row>
    <row r="298" spans="1:14" x14ac:dyDescent="0.25">
      <c r="A298" s="21">
        <f>Presion_cilindro!N290</f>
        <v>-37</v>
      </c>
      <c r="B298" s="27">
        <f>B297*(Presion_cilindro!O289/Presion_cilindro!O290)^Presion_cilindro!$B$9+10*(Presion_cilindro!$B$9-1)*Presion_cilindro!$B$33*(IF(Presion_cilindro!N290&gt;(-B$4+Presion_cilindro!$B$34),1-EXP(-Presion_cilindro!$B$16*((Presion_cilindro!N290-(-B$4+Presion_cilindro!$B$34))/Presion_cilindro!$B$35)^(Presion_cilindro!$B$17+1)),0)-IF(Presion_cilindro!N289&gt;(-B$4+Presion_cilindro!$B$34),1-EXP(-Presion_cilindro!$B$16*((Presion_cilindro!N289-(-B$4+Presion_cilindro!$B$34))/Presion_cilindro!$B$35)^(Presion_cilindro!$B$17+1)),0))/((Presion_cilindro!O289+Presion_cilindro!O290)/2)</f>
        <v>5.5935616783449866</v>
      </c>
      <c r="C298" s="27">
        <f>C297*(Presion_cilindro!O289/Presion_cilindro!O290)^Presion_cilindro!$B$9+10*(Presion_cilindro!$B$9-1)*Presion_cilindro!$B$33*(IF(Presion_cilindro!N290&gt;(-C$4+Presion_cilindro!$B$34),1-EXP(-Presion_cilindro!$B$16*((Presion_cilindro!N290-(-C$4+Presion_cilindro!$B$34))/Presion_cilindro!$B$35)^(Presion_cilindro!$B$17+1)),0)-IF(Presion_cilindro!N289&gt;(-C$4+Presion_cilindro!$B$34),1-EXP(-Presion_cilindro!$B$16*((Presion_cilindro!N289-(-C$4+Presion_cilindro!$B$34))/Presion_cilindro!$B$35)^(Presion_cilindro!$B$17+1)),0))/((Presion_cilindro!O289+Presion_cilindro!O290)/2)</f>
        <v>5.5935616783449866</v>
      </c>
      <c r="D298" s="27">
        <f>D297*(Presion_cilindro!O289/Presion_cilindro!O290)^Presion_cilindro!$B$9+10*(Presion_cilindro!$B$9-1)*Presion_cilindro!$B$33*(IF(Presion_cilindro!N290&gt;(-D$4+Presion_cilindro!$B$34),1-EXP(-Presion_cilindro!$B$16*((Presion_cilindro!N290-(-D$4+Presion_cilindro!$B$34))/Presion_cilindro!$B$35)^(Presion_cilindro!$B$17+1)),0)-IF(Presion_cilindro!N289&gt;(-D$4+Presion_cilindro!$B$34),1-EXP(-Presion_cilindro!$B$16*((Presion_cilindro!N289-(-D$4+Presion_cilindro!$B$34))/Presion_cilindro!$B$35)^(Presion_cilindro!$B$17+1)),0))/((Presion_cilindro!O289+Presion_cilindro!O290)/2)</f>
        <v>5.5935616783449866</v>
      </c>
      <c r="E298" s="27">
        <f>E297*(Presion_cilindro!O289/Presion_cilindro!O290)^Presion_cilindro!$B$9+10*(Presion_cilindro!$B$9-1)*Presion_cilindro!$B$33*(IF(Presion_cilindro!N290&gt;(-E$4+Presion_cilindro!$B$34),1-EXP(-Presion_cilindro!$B$16*((Presion_cilindro!N290-(-E$4+Presion_cilindro!$B$34))/Presion_cilindro!$B$35)^(Presion_cilindro!$B$17+1)),0)-IF(Presion_cilindro!N289&gt;(-E$4+Presion_cilindro!$B$34),1-EXP(-Presion_cilindro!$B$16*((Presion_cilindro!N289-(-E$4+Presion_cilindro!$B$34))/Presion_cilindro!$B$35)^(Presion_cilindro!$B$17+1)),0))/((Presion_cilindro!O289+Presion_cilindro!O290)/2)</f>
        <v>5.5935616783449866</v>
      </c>
      <c r="F298" s="27">
        <f>F297*(Presion_cilindro!O289/Presion_cilindro!O290)^Presion_cilindro!$B$9+10*(Presion_cilindro!$B$9-1)*Presion_cilindro!$B$33*(IF(Presion_cilindro!N290&gt;(-F$4+Presion_cilindro!$B$34),1-EXP(-Presion_cilindro!$B$16*((Presion_cilindro!N290-(-F$4+Presion_cilindro!$B$34))/Presion_cilindro!$B$35)^(Presion_cilindro!$B$17+1)),0)-IF(Presion_cilindro!N289&gt;(-F$4+Presion_cilindro!$B$34),1-EXP(-Presion_cilindro!$B$16*((Presion_cilindro!N289-(-F$4+Presion_cilindro!$B$34))/Presion_cilindro!$B$35)^(Presion_cilindro!$B$17+1)),0))/((Presion_cilindro!O289+Presion_cilindro!O290)/2)</f>
        <v>5.5935616783449866</v>
      </c>
      <c r="G298" s="27">
        <f>G297*(Presion_cilindro!O289/Presion_cilindro!O290)^Presion_cilindro!$B$9+10*(Presion_cilindro!$B$9-1)*Presion_cilindro!$B$33*(IF(Presion_cilindro!N290&gt;(-G$4+Presion_cilindro!$B$34),1-EXP(-Presion_cilindro!$B$16*((Presion_cilindro!N290-(-G$4+Presion_cilindro!$B$34))/Presion_cilindro!$B$35)^(Presion_cilindro!$B$17+1)),0)-IF(Presion_cilindro!N289&gt;(-G$4+Presion_cilindro!$B$34),1-EXP(-Presion_cilindro!$B$16*((Presion_cilindro!N289-(-G$4+Presion_cilindro!$B$34))/Presion_cilindro!$B$35)^(Presion_cilindro!$B$17+1)),0))/((Presion_cilindro!O289+Presion_cilindro!O290)/2)</f>
        <v>5.5935616783449866</v>
      </c>
      <c r="H298" s="27">
        <f>H297*(Presion_cilindro!O289/Presion_cilindro!O290)^Presion_cilindro!$B$9+10*(Presion_cilindro!$B$9-1)*Presion_cilindro!$B$33*(IF(Presion_cilindro!N290&gt;(-H$4+Presion_cilindro!$B$34),1-EXP(-Presion_cilindro!$B$16*((Presion_cilindro!N290-(-H$4+Presion_cilindro!$B$34))/Presion_cilindro!$B$35)^(Presion_cilindro!$B$17+1)),0)-IF(Presion_cilindro!N289&gt;(-H$4+Presion_cilindro!$B$34),1-EXP(-Presion_cilindro!$B$16*((Presion_cilindro!N289-(-H$4+Presion_cilindro!$B$34))/Presion_cilindro!$B$35)^(Presion_cilindro!$B$17+1)),0))/((Presion_cilindro!O289+Presion_cilindro!O290)/2)</f>
        <v>5.5935616783449866</v>
      </c>
      <c r="I298" s="27">
        <f>I297*(Presion_cilindro!O289/Presion_cilindro!O290)^Presion_cilindro!$B$9+10*(Presion_cilindro!$B$9-1)*Presion_cilindro!$B$33*(IF(Presion_cilindro!N290&gt;(-I$4+Presion_cilindro!$B$34),1-EXP(-Presion_cilindro!$B$16*((Presion_cilindro!N290-(-I$4+Presion_cilindro!$B$34))/Presion_cilindro!$B$35)^(Presion_cilindro!$B$17+1)),0)-IF(Presion_cilindro!N289&gt;(-I$4+Presion_cilindro!$B$34),1-EXP(-Presion_cilindro!$B$16*((Presion_cilindro!N289-(-I$4+Presion_cilindro!$B$34))/Presion_cilindro!$B$35)^(Presion_cilindro!$B$17+1)),0))/((Presion_cilindro!O289+Presion_cilindro!O290)/2)</f>
        <v>5.5935616783449866</v>
      </c>
      <c r="J298" s="27">
        <f>J297*(Presion_cilindro!O289/Presion_cilindro!O290)^Presion_cilindro!$B$9+10*(Presion_cilindro!$B$9-1)*Presion_cilindro!$B$33*(IF(Presion_cilindro!N290&gt;(-J$4+Presion_cilindro!$B$34),1-EXP(-Presion_cilindro!$B$16*((Presion_cilindro!N290-(-J$4+Presion_cilindro!$B$34))/Presion_cilindro!$B$35)^(Presion_cilindro!$B$17+1)),0)-IF(Presion_cilindro!N289&gt;(-J$4+Presion_cilindro!$B$34),1-EXP(-Presion_cilindro!$B$16*((Presion_cilindro!N289-(-J$4+Presion_cilindro!$B$34))/Presion_cilindro!$B$35)^(Presion_cilindro!$B$17+1)),0))/((Presion_cilindro!O289+Presion_cilindro!O290)/2)</f>
        <v>5.5935616783449866</v>
      </c>
      <c r="K298" s="27">
        <f>K297*(Presion_cilindro!O289/Presion_cilindro!O290)^Presion_cilindro!$B$9+10*(Presion_cilindro!$B$9-1)*Presion_cilindro!$B$33*(IF(Presion_cilindro!N290&gt;(-K$4+Presion_cilindro!$B$34),1-EXP(-Presion_cilindro!$B$16*((Presion_cilindro!N290-(-K$4+Presion_cilindro!$B$34))/Presion_cilindro!$B$35)^(Presion_cilindro!$B$17+1)),0)-IF(Presion_cilindro!N289&gt;(-K$4+Presion_cilindro!$B$34),1-EXP(-Presion_cilindro!$B$16*((Presion_cilindro!N289-(-K$4+Presion_cilindro!$B$34))/Presion_cilindro!$B$35)^(Presion_cilindro!$B$17+1)),0))/((Presion_cilindro!O289+Presion_cilindro!O290)/2)</f>
        <v>5.5938724135825915</v>
      </c>
      <c r="L298" s="27">
        <f>L297*(Presion_cilindro!O289/Presion_cilindro!O290)^Presion_cilindro!$B$9+10*(Presion_cilindro!$B$9-1)*Presion_cilindro!$B$33*(IF(Presion_cilindro!N290&gt;(-L$4+Presion_cilindro!$B$34),1-EXP(-Presion_cilindro!$B$16*((Presion_cilindro!N290-(-L$4+Presion_cilindro!$B$34))/Presion_cilindro!$B$35)^(Presion_cilindro!$B$17+1)),0)-IF(Presion_cilindro!N289&gt;(-L$4+Presion_cilindro!$B$34),1-EXP(-Presion_cilindro!$B$16*((Presion_cilindro!N289-(-L$4+Presion_cilindro!$B$34))/Presion_cilindro!$B$35)^(Presion_cilindro!$B$17+1)),0))/((Presion_cilindro!O289+Presion_cilindro!O290)/2)</f>
        <v>5.7127709336492885</v>
      </c>
      <c r="M298" s="27">
        <f>M297*(Presion_cilindro!O289/Presion_cilindro!O290)^Presion_cilindro!$B$9+10*(Presion_cilindro!$B$9-1)*Presion_cilindro!$B$33*(IF(Presion_cilindro!N290&gt;(-M$4+Presion_cilindro!$B$34),1-EXP(-Presion_cilindro!$B$16*((Presion_cilindro!N290-(-M$4+Presion_cilindro!$B$34))/Presion_cilindro!$B$35)^(Presion_cilindro!$B$17+1)),0)-IF(Presion_cilindro!N289&gt;(-M$4+Presion_cilindro!$B$34),1-EXP(-Presion_cilindro!$B$16*((Presion_cilindro!N289-(-M$4+Presion_cilindro!$B$34))/Presion_cilindro!$B$35)^(Presion_cilindro!$B$17+1)),0))/((Presion_cilindro!O289+Presion_cilindro!O290)/2)</f>
        <v>6.3552869199291244</v>
      </c>
      <c r="N298" s="27">
        <f>N297*(Presion_cilindro!O289/Presion_cilindro!O290)^Presion_cilindro!$B$9+10*(Presion_cilindro!$B$9-1)*Presion_cilindro!$B$33*(IF(Presion_cilindro!N290&gt;(-N$4+Presion_cilindro!$B$34),1-EXP(-Presion_cilindro!$B$16*((Presion_cilindro!N290-(-N$4+Presion_cilindro!$B$34))/Presion_cilindro!$B$35)^(Presion_cilindro!$B$17+1)),0)-IF(Presion_cilindro!N289&gt;(-N$4+Presion_cilindro!$B$34),1-EXP(-Presion_cilindro!$B$16*((Presion_cilindro!N289-(-N$4+Presion_cilindro!$B$34))/Presion_cilindro!$B$35)^(Presion_cilindro!$B$17+1)),0))/((Presion_cilindro!O289+Presion_cilindro!O290)/2)</f>
        <v>7.8803199116182876</v>
      </c>
    </row>
    <row r="299" spans="1:14" x14ac:dyDescent="0.25">
      <c r="A299" s="21">
        <f>Presion_cilindro!N291</f>
        <v>-36.5</v>
      </c>
      <c r="B299" s="27">
        <f>B298*(Presion_cilindro!O290/Presion_cilindro!O291)^Presion_cilindro!$B$9+10*(Presion_cilindro!$B$9-1)*Presion_cilindro!$B$33*(IF(Presion_cilindro!N291&gt;(-B$4+Presion_cilindro!$B$34),1-EXP(-Presion_cilindro!$B$16*((Presion_cilindro!N291-(-B$4+Presion_cilindro!$B$34))/Presion_cilindro!$B$35)^(Presion_cilindro!$B$17+1)),0)-IF(Presion_cilindro!N290&gt;(-B$4+Presion_cilindro!$B$34),1-EXP(-Presion_cilindro!$B$16*((Presion_cilindro!N290-(-B$4+Presion_cilindro!$B$34))/Presion_cilindro!$B$35)^(Presion_cilindro!$B$17+1)),0))/((Presion_cilindro!O290+Presion_cilindro!O291)/2)</f>
        <v>5.6957972606717471</v>
      </c>
      <c r="C299" s="27">
        <f>C298*(Presion_cilindro!O290/Presion_cilindro!O291)^Presion_cilindro!$B$9+10*(Presion_cilindro!$B$9-1)*Presion_cilindro!$B$33*(IF(Presion_cilindro!N291&gt;(-C$4+Presion_cilindro!$B$34),1-EXP(-Presion_cilindro!$B$16*((Presion_cilindro!N291-(-C$4+Presion_cilindro!$B$34))/Presion_cilindro!$B$35)^(Presion_cilindro!$B$17+1)),0)-IF(Presion_cilindro!N290&gt;(-C$4+Presion_cilindro!$B$34),1-EXP(-Presion_cilindro!$B$16*((Presion_cilindro!N290-(-C$4+Presion_cilindro!$B$34))/Presion_cilindro!$B$35)^(Presion_cilindro!$B$17+1)),0))/((Presion_cilindro!O290+Presion_cilindro!O291)/2)</f>
        <v>5.6957972606717471</v>
      </c>
      <c r="D299" s="27">
        <f>D298*(Presion_cilindro!O290/Presion_cilindro!O291)^Presion_cilindro!$B$9+10*(Presion_cilindro!$B$9-1)*Presion_cilindro!$B$33*(IF(Presion_cilindro!N291&gt;(-D$4+Presion_cilindro!$B$34),1-EXP(-Presion_cilindro!$B$16*((Presion_cilindro!N291-(-D$4+Presion_cilindro!$B$34))/Presion_cilindro!$B$35)^(Presion_cilindro!$B$17+1)),0)-IF(Presion_cilindro!N290&gt;(-D$4+Presion_cilindro!$B$34),1-EXP(-Presion_cilindro!$B$16*((Presion_cilindro!N290-(-D$4+Presion_cilindro!$B$34))/Presion_cilindro!$B$35)^(Presion_cilindro!$B$17+1)),0))/((Presion_cilindro!O290+Presion_cilindro!O291)/2)</f>
        <v>5.6957972606717471</v>
      </c>
      <c r="E299" s="27">
        <f>E298*(Presion_cilindro!O290/Presion_cilindro!O291)^Presion_cilindro!$B$9+10*(Presion_cilindro!$B$9-1)*Presion_cilindro!$B$33*(IF(Presion_cilindro!N291&gt;(-E$4+Presion_cilindro!$B$34),1-EXP(-Presion_cilindro!$B$16*((Presion_cilindro!N291-(-E$4+Presion_cilindro!$B$34))/Presion_cilindro!$B$35)^(Presion_cilindro!$B$17+1)),0)-IF(Presion_cilindro!N290&gt;(-E$4+Presion_cilindro!$B$34),1-EXP(-Presion_cilindro!$B$16*((Presion_cilindro!N290-(-E$4+Presion_cilindro!$B$34))/Presion_cilindro!$B$35)^(Presion_cilindro!$B$17+1)),0))/((Presion_cilindro!O290+Presion_cilindro!O291)/2)</f>
        <v>5.6957972606717471</v>
      </c>
      <c r="F299" s="27">
        <f>F298*(Presion_cilindro!O290/Presion_cilindro!O291)^Presion_cilindro!$B$9+10*(Presion_cilindro!$B$9-1)*Presion_cilindro!$B$33*(IF(Presion_cilindro!N291&gt;(-F$4+Presion_cilindro!$B$34),1-EXP(-Presion_cilindro!$B$16*((Presion_cilindro!N291-(-F$4+Presion_cilindro!$B$34))/Presion_cilindro!$B$35)^(Presion_cilindro!$B$17+1)),0)-IF(Presion_cilindro!N290&gt;(-F$4+Presion_cilindro!$B$34),1-EXP(-Presion_cilindro!$B$16*((Presion_cilindro!N290-(-F$4+Presion_cilindro!$B$34))/Presion_cilindro!$B$35)^(Presion_cilindro!$B$17+1)),0))/((Presion_cilindro!O290+Presion_cilindro!O291)/2)</f>
        <v>5.6957972606717471</v>
      </c>
      <c r="G299" s="27">
        <f>G298*(Presion_cilindro!O290/Presion_cilindro!O291)^Presion_cilindro!$B$9+10*(Presion_cilindro!$B$9-1)*Presion_cilindro!$B$33*(IF(Presion_cilindro!N291&gt;(-G$4+Presion_cilindro!$B$34),1-EXP(-Presion_cilindro!$B$16*((Presion_cilindro!N291-(-G$4+Presion_cilindro!$B$34))/Presion_cilindro!$B$35)^(Presion_cilindro!$B$17+1)),0)-IF(Presion_cilindro!N290&gt;(-G$4+Presion_cilindro!$B$34),1-EXP(-Presion_cilindro!$B$16*((Presion_cilindro!N290-(-G$4+Presion_cilindro!$B$34))/Presion_cilindro!$B$35)^(Presion_cilindro!$B$17+1)),0))/((Presion_cilindro!O290+Presion_cilindro!O291)/2)</f>
        <v>5.6957972606717471</v>
      </c>
      <c r="H299" s="27">
        <f>H298*(Presion_cilindro!O290/Presion_cilindro!O291)^Presion_cilindro!$B$9+10*(Presion_cilindro!$B$9-1)*Presion_cilindro!$B$33*(IF(Presion_cilindro!N291&gt;(-H$4+Presion_cilindro!$B$34),1-EXP(-Presion_cilindro!$B$16*((Presion_cilindro!N291-(-H$4+Presion_cilindro!$B$34))/Presion_cilindro!$B$35)^(Presion_cilindro!$B$17+1)),0)-IF(Presion_cilindro!N290&gt;(-H$4+Presion_cilindro!$B$34),1-EXP(-Presion_cilindro!$B$16*((Presion_cilindro!N290-(-H$4+Presion_cilindro!$B$34))/Presion_cilindro!$B$35)^(Presion_cilindro!$B$17+1)),0))/((Presion_cilindro!O290+Presion_cilindro!O291)/2)</f>
        <v>5.6957972606717471</v>
      </c>
      <c r="I299" s="27">
        <f>I298*(Presion_cilindro!O290/Presion_cilindro!O291)^Presion_cilindro!$B$9+10*(Presion_cilindro!$B$9-1)*Presion_cilindro!$B$33*(IF(Presion_cilindro!N291&gt;(-I$4+Presion_cilindro!$B$34),1-EXP(-Presion_cilindro!$B$16*((Presion_cilindro!N291-(-I$4+Presion_cilindro!$B$34))/Presion_cilindro!$B$35)^(Presion_cilindro!$B$17+1)),0)-IF(Presion_cilindro!N290&gt;(-I$4+Presion_cilindro!$B$34),1-EXP(-Presion_cilindro!$B$16*((Presion_cilindro!N290-(-I$4+Presion_cilindro!$B$34))/Presion_cilindro!$B$35)^(Presion_cilindro!$B$17+1)),0))/((Presion_cilindro!O290+Presion_cilindro!O291)/2)</f>
        <v>5.6957972606717471</v>
      </c>
      <c r="J299" s="27">
        <f>J298*(Presion_cilindro!O290/Presion_cilindro!O291)^Presion_cilindro!$B$9+10*(Presion_cilindro!$B$9-1)*Presion_cilindro!$B$33*(IF(Presion_cilindro!N291&gt;(-J$4+Presion_cilindro!$B$34),1-EXP(-Presion_cilindro!$B$16*((Presion_cilindro!N291-(-J$4+Presion_cilindro!$B$34))/Presion_cilindro!$B$35)^(Presion_cilindro!$B$17+1)),0)-IF(Presion_cilindro!N290&gt;(-J$4+Presion_cilindro!$B$34),1-EXP(-Presion_cilindro!$B$16*((Presion_cilindro!N290-(-J$4+Presion_cilindro!$B$34))/Presion_cilindro!$B$35)^(Presion_cilindro!$B$17+1)),0))/((Presion_cilindro!O290+Presion_cilindro!O291)/2)</f>
        <v>5.6957972606717471</v>
      </c>
      <c r="K299" s="27">
        <f>K298*(Presion_cilindro!O290/Presion_cilindro!O291)^Presion_cilindro!$B$9+10*(Presion_cilindro!$B$9-1)*Presion_cilindro!$B$33*(IF(Presion_cilindro!N291&gt;(-K$4+Presion_cilindro!$B$34),1-EXP(-Presion_cilindro!$B$16*((Presion_cilindro!N291-(-K$4+Presion_cilindro!$B$34))/Presion_cilindro!$B$35)^(Presion_cilindro!$B$17+1)),0)-IF(Presion_cilindro!N290&gt;(-K$4+Presion_cilindro!$B$34),1-EXP(-Presion_cilindro!$B$16*((Presion_cilindro!N290-(-K$4+Presion_cilindro!$B$34))/Presion_cilindro!$B$35)^(Presion_cilindro!$B$17+1)),0))/((Presion_cilindro!O290+Presion_cilindro!O291)/2)</f>
        <v>5.6971500157616974</v>
      </c>
      <c r="L299" s="27">
        <f>L298*(Presion_cilindro!O290/Presion_cilindro!O291)^Presion_cilindro!$B$9+10*(Presion_cilindro!$B$9-1)*Presion_cilindro!$B$33*(IF(Presion_cilindro!N291&gt;(-L$4+Presion_cilindro!$B$34),1-EXP(-Presion_cilindro!$B$16*((Presion_cilindro!N291-(-L$4+Presion_cilindro!$B$34))/Presion_cilindro!$B$35)^(Presion_cilindro!$B$17+1)),0)-IF(Presion_cilindro!N290&gt;(-L$4+Presion_cilindro!$B$34),1-EXP(-Presion_cilindro!$B$16*((Presion_cilindro!N290-(-L$4+Presion_cilindro!$B$34))/Presion_cilindro!$B$35)^(Presion_cilindro!$B$17+1)),0))/((Presion_cilindro!O290+Presion_cilindro!O291)/2)</f>
        <v>5.8506676220588192</v>
      </c>
      <c r="M299" s="27">
        <f>M298*(Presion_cilindro!O290/Presion_cilindro!O291)^Presion_cilindro!$B$9+10*(Presion_cilindro!$B$9-1)*Presion_cilindro!$B$33*(IF(Presion_cilindro!N291&gt;(-M$4+Presion_cilindro!$B$34),1-EXP(-Presion_cilindro!$B$16*((Presion_cilindro!N291-(-M$4+Presion_cilindro!$B$34))/Presion_cilindro!$B$35)^(Presion_cilindro!$B$17+1)),0)-IF(Presion_cilindro!N290&gt;(-M$4+Presion_cilindro!$B$34),1-EXP(-Presion_cilindro!$B$16*((Presion_cilindro!N290-(-M$4+Presion_cilindro!$B$34))/Presion_cilindro!$B$35)^(Presion_cilindro!$B$17+1)),0))/((Presion_cilindro!O290+Presion_cilindro!O291)/2)</f>
        <v>6.5780480928435487</v>
      </c>
      <c r="N299" s="27">
        <f>N298*(Presion_cilindro!O290/Presion_cilindro!O291)^Presion_cilindro!$B$9+10*(Presion_cilindro!$B$9-1)*Presion_cilindro!$B$33*(IF(Presion_cilindro!N291&gt;(-N$4+Presion_cilindro!$B$34),1-EXP(-Presion_cilindro!$B$16*((Presion_cilindro!N291-(-N$4+Presion_cilindro!$B$34))/Presion_cilindro!$B$35)^(Presion_cilindro!$B$17+1)),0)-IF(Presion_cilindro!N290&gt;(-N$4+Presion_cilindro!$B$34),1-EXP(-Presion_cilindro!$B$16*((Presion_cilindro!N290-(-N$4+Presion_cilindro!$B$34))/Presion_cilindro!$B$35)^(Presion_cilindro!$B$17+1)),0))/((Presion_cilindro!O290+Presion_cilindro!O291)/2)</f>
        <v>8.2249733330357628</v>
      </c>
    </row>
    <row r="300" spans="1:14" x14ac:dyDescent="0.25">
      <c r="A300" s="21">
        <f>Presion_cilindro!N292</f>
        <v>-36</v>
      </c>
      <c r="B300" s="27">
        <f>B299*(Presion_cilindro!O291/Presion_cilindro!O292)^Presion_cilindro!$B$9+10*(Presion_cilindro!$B$9-1)*Presion_cilindro!$B$33*(IF(Presion_cilindro!N292&gt;(-B$4+Presion_cilindro!$B$34),1-EXP(-Presion_cilindro!$B$16*((Presion_cilindro!N292-(-B$4+Presion_cilindro!$B$34))/Presion_cilindro!$B$35)^(Presion_cilindro!$B$17+1)),0)-IF(Presion_cilindro!N291&gt;(-B$4+Presion_cilindro!$B$34),1-EXP(-Presion_cilindro!$B$16*((Presion_cilindro!N291-(-B$4+Presion_cilindro!$B$34))/Presion_cilindro!$B$35)^(Presion_cilindro!$B$17+1)),0))/((Presion_cilindro!O291+Presion_cilindro!O292)/2)</f>
        <v>5.80021700117838</v>
      </c>
      <c r="C300" s="27">
        <f>C299*(Presion_cilindro!O291/Presion_cilindro!O292)^Presion_cilindro!$B$9+10*(Presion_cilindro!$B$9-1)*Presion_cilindro!$B$33*(IF(Presion_cilindro!N292&gt;(-C$4+Presion_cilindro!$B$34),1-EXP(-Presion_cilindro!$B$16*((Presion_cilindro!N292-(-C$4+Presion_cilindro!$B$34))/Presion_cilindro!$B$35)^(Presion_cilindro!$B$17+1)),0)-IF(Presion_cilindro!N291&gt;(-C$4+Presion_cilindro!$B$34),1-EXP(-Presion_cilindro!$B$16*((Presion_cilindro!N291-(-C$4+Presion_cilindro!$B$34))/Presion_cilindro!$B$35)^(Presion_cilindro!$B$17+1)),0))/((Presion_cilindro!O291+Presion_cilindro!O292)/2)</f>
        <v>5.80021700117838</v>
      </c>
      <c r="D300" s="27">
        <f>D299*(Presion_cilindro!O291/Presion_cilindro!O292)^Presion_cilindro!$B$9+10*(Presion_cilindro!$B$9-1)*Presion_cilindro!$B$33*(IF(Presion_cilindro!N292&gt;(-D$4+Presion_cilindro!$B$34),1-EXP(-Presion_cilindro!$B$16*((Presion_cilindro!N292-(-D$4+Presion_cilindro!$B$34))/Presion_cilindro!$B$35)^(Presion_cilindro!$B$17+1)),0)-IF(Presion_cilindro!N291&gt;(-D$4+Presion_cilindro!$B$34),1-EXP(-Presion_cilindro!$B$16*((Presion_cilindro!N291-(-D$4+Presion_cilindro!$B$34))/Presion_cilindro!$B$35)^(Presion_cilindro!$B$17+1)),0))/((Presion_cilindro!O291+Presion_cilindro!O292)/2)</f>
        <v>5.80021700117838</v>
      </c>
      <c r="E300" s="27">
        <f>E299*(Presion_cilindro!O291/Presion_cilindro!O292)^Presion_cilindro!$B$9+10*(Presion_cilindro!$B$9-1)*Presion_cilindro!$B$33*(IF(Presion_cilindro!N292&gt;(-E$4+Presion_cilindro!$B$34),1-EXP(-Presion_cilindro!$B$16*((Presion_cilindro!N292-(-E$4+Presion_cilindro!$B$34))/Presion_cilindro!$B$35)^(Presion_cilindro!$B$17+1)),0)-IF(Presion_cilindro!N291&gt;(-E$4+Presion_cilindro!$B$34),1-EXP(-Presion_cilindro!$B$16*((Presion_cilindro!N291-(-E$4+Presion_cilindro!$B$34))/Presion_cilindro!$B$35)^(Presion_cilindro!$B$17+1)),0))/((Presion_cilindro!O291+Presion_cilindro!O292)/2)</f>
        <v>5.80021700117838</v>
      </c>
      <c r="F300" s="27">
        <f>F299*(Presion_cilindro!O291/Presion_cilindro!O292)^Presion_cilindro!$B$9+10*(Presion_cilindro!$B$9-1)*Presion_cilindro!$B$33*(IF(Presion_cilindro!N292&gt;(-F$4+Presion_cilindro!$B$34),1-EXP(-Presion_cilindro!$B$16*((Presion_cilindro!N292-(-F$4+Presion_cilindro!$B$34))/Presion_cilindro!$B$35)^(Presion_cilindro!$B$17+1)),0)-IF(Presion_cilindro!N291&gt;(-F$4+Presion_cilindro!$B$34),1-EXP(-Presion_cilindro!$B$16*((Presion_cilindro!N291-(-F$4+Presion_cilindro!$B$34))/Presion_cilindro!$B$35)^(Presion_cilindro!$B$17+1)),0))/((Presion_cilindro!O291+Presion_cilindro!O292)/2)</f>
        <v>5.80021700117838</v>
      </c>
      <c r="G300" s="27">
        <f>G299*(Presion_cilindro!O291/Presion_cilindro!O292)^Presion_cilindro!$B$9+10*(Presion_cilindro!$B$9-1)*Presion_cilindro!$B$33*(IF(Presion_cilindro!N292&gt;(-G$4+Presion_cilindro!$B$34),1-EXP(-Presion_cilindro!$B$16*((Presion_cilindro!N292-(-G$4+Presion_cilindro!$B$34))/Presion_cilindro!$B$35)^(Presion_cilindro!$B$17+1)),0)-IF(Presion_cilindro!N291&gt;(-G$4+Presion_cilindro!$B$34),1-EXP(-Presion_cilindro!$B$16*((Presion_cilindro!N291-(-G$4+Presion_cilindro!$B$34))/Presion_cilindro!$B$35)^(Presion_cilindro!$B$17+1)),0))/((Presion_cilindro!O291+Presion_cilindro!O292)/2)</f>
        <v>5.80021700117838</v>
      </c>
      <c r="H300" s="27">
        <f>H299*(Presion_cilindro!O291/Presion_cilindro!O292)^Presion_cilindro!$B$9+10*(Presion_cilindro!$B$9-1)*Presion_cilindro!$B$33*(IF(Presion_cilindro!N292&gt;(-H$4+Presion_cilindro!$B$34),1-EXP(-Presion_cilindro!$B$16*((Presion_cilindro!N292-(-H$4+Presion_cilindro!$B$34))/Presion_cilindro!$B$35)^(Presion_cilindro!$B$17+1)),0)-IF(Presion_cilindro!N291&gt;(-H$4+Presion_cilindro!$B$34),1-EXP(-Presion_cilindro!$B$16*((Presion_cilindro!N291-(-H$4+Presion_cilindro!$B$34))/Presion_cilindro!$B$35)^(Presion_cilindro!$B$17+1)),0))/((Presion_cilindro!O291+Presion_cilindro!O292)/2)</f>
        <v>5.80021700117838</v>
      </c>
      <c r="I300" s="27">
        <f>I299*(Presion_cilindro!O291/Presion_cilindro!O292)^Presion_cilindro!$B$9+10*(Presion_cilindro!$B$9-1)*Presion_cilindro!$B$33*(IF(Presion_cilindro!N292&gt;(-I$4+Presion_cilindro!$B$34),1-EXP(-Presion_cilindro!$B$16*((Presion_cilindro!N292-(-I$4+Presion_cilindro!$B$34))/Presion_cilindro!$B$35)^(Presion_cilindro!$B$17+1)),0)-IF(Presion_cilindro!N291&gt;(-I$4+Presion_cilindro!$B$34),1-EXP(-Presion_cilindro!$B$16*((Presion_cilindro!N291-(-I$4+Presion_cilindro!$B$34))/Presion_cilindro!$B$35)^(Presion_cilindro!$B$17+1)),0))/((Presion_cilindro!O291+Presion_cilindro!O292)/2)</f>
        <v>5.80021700117838</v>
      </c>
      <c r="J300" s="27">
        <f>J299*(Presion_cilindro!O291/Presion_cilindro!O292)^Presion_cilindro!$B$9+10*(Presion_cilindro!$B$9-1)*Presion_cilindro!$B$33*(IF(Presion_cilindro!N292&gt;(-J$4+Presion_cilindro!$B$34),1-EXP(-Presion_cilindro!$B$16*((Presion_cilindro!N292-(-J$4+Presion_cilindro!$B$34))/Presion_cilindro!$B$35)^(Presion_cilindro!$B$17+1)),0)-IF(Presion_cilindro!N291&gt;(-J$4+Presion_cilindro!$B$34),1-EXP(-Presion_cilindro!$B$16*((Presion_cilindro!N291-(-J$4+Presion_cilindro!$B$34))/Presion_cilindro!$B$35)^(Presion_cilindro!$B$17+1)),0))/((Presion_cilindro!O291+Presion_cilindro!O292)/2)</f>
        <v>5.80021700117838</v>
      </c>
      <c r="K300" s="27">
        <f>K299*(Presion_cilindro!O291/Presion_cilindro!O292)^Presion_cilindro!$B$9+10*(Presion_cilindro!$B$9-1)*Presion_cilindro!$B$33*(IF(Presion_cilindro!N292&gt;(-K$4+Presion_cilindro!$B$34),1-EXP(-Presion_cilindro!$B$16*((Presion_cilindro!N292-(-K$4+Presion_cilindro!$B$34))/Presion_cilindro!$B$35)^(Presion_cilindro!$B$17+1)),0)-IF(Presion_cilindro!N291&gt;(-K$4+Presion_cilindro!$B$34),1-EXP(-Presion_cilindro!$B$16*((Presion_cilindro!N291-(-K$4+Presion_cilindro!$B$34))/Presion_cilindro!$B$35)^(Presion_cilindro!$B$17+1)),0))/((Presion_cilindro!O291+Presion_cilindro!O292)/2)</f>
        <v>5.8038606754345521</v>
      </c>
      <c r="L300" s="27">
        <f>L299*(Presion_cilindro!O291/Presion_cilindro!O292)^Presion_cilindro!$B$9+10*(Presion_cilindro!$B$9-1)*Presion_cilindro!$B$33*(IF(Presion_cilindro!N292&gt;(-L$4+Presion_cilindro!$B$34),1-EXP(-Presion_cilindro!$B$16*((Presion_cilindro!N292-(-L$4+Presion_cilindro!$B$34))/Presion_cilindro!$B$35)^(Presion_cilindro!$B$17+1)),0)-IF(Presion_cilindro!N291&gt;(-L$4+Presion_cilindro!$B$34),1-EXP(-Presion_cilindro!$B$16*((Presion_cilindro!N291-(-L$4+Presion_cilindro!$B$34))/Presion_cilindro!$B$35)^(Presion_cilindro!$B$17+1)),0))/((Presion_cilindro!O291+Presion_cilindro!O292)/2)</f>
        <v>5.9976102563304616</v>
      </c>
      <c r="M300" s="27">
        <f>M299*(Presion_cilindro!O291/Presion_cilindro!O292)^Presion_cilindro!$B$9+10*(Presion_cilindro!$B$9-1)*Presion_cilindro!$B$33*(IF(Presion_cilindro!N292&gt;(-M$4+Presion_cilindro!$B$34),1-EXP(-Presion_cilindro!$B$16*((Presion_cilindro!N292-(-M$4+Presion_cilindro!$B$34))/Presion_cilindro!$B$35)^(Presion_cilindro!$B$17+1)),0)-IF(Presion_cilindro!N291&gt;(-M$4+Presion_cilindro!$B$34),1-EXP(-Presion_cilindro!$B$16*((Presion_cilindro!N291-(-M$4+Presion_cilindro!$B$34))/Presion_cilindro!$B$35)^(Presion_cilindro!$B$17+1)),0))/((Presion_cilindro!O291+Presion_cilindro!O292)/2)</f>
        <v>6.8157849266829684</v>
      </c>
      <c r="N300" s="27">
        <f>N299*(Presion_cilindro!O291/Presion_cilindro!O292)^Presion_cilindro!$B$9+10*(Presion_cilindro!$B$9-1)*Presion_cilindro!$B$33*(IF(Presion_cilindro!N292&gt;(-N$4+Presion_cilindro!$B$34),1-EXP(-Presion_cilindro!$B$16*((Presion_cilindro!N292-(-N$4+Presion_cilindro!$B$34))/Presion_cilindro!$B$35)^(Presion_cilindro!$B$17+1)),0)-IF(Presion_cilindro!N291&gt;(-N$4+Presion_cilindro!$B$34),1-EXP(-Presion_cilindro!$B$16*((Presion_cilindro!N291-(-N$4+Presion_cilindro!$B$34))/Presion_cilindro!$B$35)^(Presion_cilindro!$B$17+1)),0))/((Presion_cilindro!O291+Presion_cilindro!O292)/2)</f>
        <v>8.588501094569466</v>
      </c>
    </row>
    <row r="301" spans="1:14" x14ac:dyDescent="0.25">
      <c r="A301" s="21">
        <f>Presion_cilindro!N293</f>
        <v>-35.5</v>
      </c>
      <c r="B301" s="27">
        <f>B300*(Presion_cilindro!O292/Presion_cilindro!O293)^Presion_cilindro!$B$9+10*(Presion_cilindro!$B$9-1)*Presion_cilindro!$B$33*(IF(Presion_cilindro!N293&gt;(-B$4+Presion_cilindro!$B$34),1-EXP(-Presion_cilindro!$B$16*((Presion_cilindro!N293-(-B$4+Presion_cilindro!$B$34))/Presion_cilindro!$B$35)^(Presion_cilindro!$B$17+1)),0)-IF(Presion_cilindro!N292&gt;(-B$4+Presion_cilindro!$B$34),1-EXP(-Presion_cilindro!$B$16*((Presion_cilindro!N292-(-B$4+Presion_cilindro!$B$34))/Presion_cilindro!$B$35)^(Presion_cilindro!$B$17+1)),0))/((Presion_cilindro!O292+Presion_cilindro!O293)/2)</f>
        <v>5.9068524588072222</v>
      </c>
      <c r="C301" s="27">
        <f>C300*(Presion_cilindro!O292/Presion_cilindro!O293)^Presion_cilindro!$B$9+10*(Presion_cilindro!$B$9-1)*Presion_cilindro!$B$33*(IF(Presion_cilindro!N293&gt;(-C$4+Presion_cilindro!$B$34),1-EXP(-Presion_cilindro!$B$16*((Presion_cilindro!N293-(-C$4+Presion_cilindro!$B$34))/Presion_cilindro!$B$35)^(Presion_cilindro!$B$17+1)),0)-IF(Presion_cilindro!N292&gt;(-C$4+Presion_cilindro!$B$34),1-EXP(-Presion_cilindro!$B$16*((Presion_cilindro!N292-(-C$4+Presion_cilindro!$B$34))/Presion_cilindro!$B$35)^(Presion_cilindro!$B$17+1)),0))/((Presion_cilindro!O292+Presion_cilindro!O293)/2)</f>
        <v>5.9068524588072222</v>
      </c>
      <c r="D301" s="27">
        <f>D300*(Presion_cilindro!O292/Presion_cilindro!O293)^Presion_cilindro!$B$9+10*(Presion_cilindro!$B$9-1)*Presion_cilindro!$B$33*(IF(Presion_cilindro!N293&gt;(-D$4+Presion_cilindro!$B$34),1-EXP(-Presion_cilindro!$B$16*((Presion_cilindro!N293-(-D$4+Presion_cilindro!$B$34))/Presion_cilindro!$B$35)^(Presion_cilindro!$B$17+1)),0)-IF(Presion_cilindro!N292&gt;(-D$4+Presion_cilindro!$B$34),1-EXP(-Presion_cilindro!$B$16*((Presion_cilindro!N292-(-D$4+Presion_cilindro!$B$34))/Presion_cilindro!$B$35)^(Presion_cilindro!$B$17+1)),0))/((Presion_cilindro!O292+Presion_cilindro!O293)/2)</f>
        <v>5.9068524588072222</v>
      </c>
      <c r="E301" s="27">
        <f>E300*(Presion_cilindro!O292/Presion_cilindro!O293)^Presion_cilindro!$B$9+10*(Presion_cilindro!$B$9-1)*Presion_cilindro!$B$33*(IF(Presion_cilindro!N293&gt;(-E$4+Presion_cilindro!$B$34),1-EXP(-Presion_cilindro!$B$16*((Presion_cilindro!N293-(-E$4+Presion_cilindro!$B$34))/Presion_cilindro!$B$35)^(Presion_cilindro!$B$17+1)),0)-IF(Presion_cilindro!N292&gt;(-E$4+Presion_cilindro!$B$34),1-EXP(-Presion_cilindro!$B$16*((Presion_cilindro!N292-(-E$4+Presion_cilindro!$B$34))/Presion_cilindro!$B$35)^(Presion_cilindro!$B$17+1)),0))/((Presion_cilindro!O292+Presion_cilindro!O293)/2)</f>
        <v>5.9068524588072222</v>
      </c>
      <c r="F301" s="27">
        <f>F300*(Presion_cilindro!O292/Presion_cilindro!O293)^Presion_cilindro!$B$9+10*(Presion_cilindro!$B$9-1)*Presion_cilindro!$B$33*(IF(Presion_cilindro!N293&gt;(-F$4+Presion_cilindro!$B$34),1-EXP(-Presion_cilindro!$B$16*((Presion_cilindro!N293-(-F$4+Presion_cilindro!$B$34))/Presion_cilindro!$B$35)^(Presion_cilindro!$B$17+1)),0)-IF(Presion_cilindro!N292&gt;(-F$4+Presion_cilindro!$B$34),1-EXP(-Presion_cilindro!$B$16*((Presion_cilindro!N292-(-F$4+Presion_cilindro!$B$34))/Presion_cilindro!$B$35)^(Presion_cilindro!$B$17+1)),0))/((Presion_cilindro!O292+Presion_cilindro!O293)/2)</f>
        <v>5.9068524588072222</v>
      </c>
      <c r="G301" s="27">
        <f>G300*(Presion_cilindro!O292/Presion_cilindro!O293)^Presion_cilindro!$B$9+10*(Presion_cilindro!$B$9-1)*Presion_cilindro!$B$33*(IF(Presion_cilindro!N293&gt;(-G$4+Presion_cilindro!$B$34),1-EXP(-Presion_cilindro!$B$16*((Presion_cilindro!N293-(-G$4+Presion_cilindro!$B$34))/Presion_cilindro!$B$35)^(Presion_cilindro!$B$17+1)),0)-IF(Presion_cilindro!N292&gt;(-G$4+Presion_cilindro!$B$34),1-EXP(-Presion_cilindro!$B$16*((Presion_cilindro!N292-(-G$4+Presion_cilindro!$B$34))/Presion_cilindro!$B$35)^(Presion_cilindro!$B$17+1)),0))/((Presion_cilindro!O292+Presion_cilindro!O293)/2)</f>
        <v>5.9068524588072222</v>
      </c>
      <c r="H301" s="27">
        <f>H300*(Presion_cilindro!O292/Presion_cilindro!O293)^Presion_cilindro!$B$9+10*(Presion_cilindro!$B$9-1)*Presion_cilindro!$B$33*(IF(Presion_cilindro!N293&gt;(-H$4+Presion_cilindro!$B$34),1-EXP(-Presion_cilindro!$B$16*((Presion_cilindro!N293-(-H$4+Presion_cilindro!$B$34))/Presion_cilindro!$B$35)^(Presion_cilindro!$B$17+1)),0)-IF(Presion_cilindro!N292&gt;(-H$4+Presion_cilindro!$B$34),1-EXP(-Presion_cilindro!$B$16*((Presion_cilindro!N292-(-H$4+Presion_cilindro!$B$34))/Presion_cilindro!$B$35)^(Presion_cilindro!$B$17+1)),0))/((Presion_cilindro!O292+Presion_cilindro!O293)/2)</f>
        <v>5.9068524588072222</v>
      </c>
      <c r="I301" s="27">
        <f>I300*(Presion_cilindro!O292/Presion_cilindro!O293)^Presion_cilindro!$B$9+10*(Presion_cilindro!$B$9-1)*Presion_cilindro!$B$33*(IF(Presion_cilindro!N293&gt;(-I$4+Presion_cilindro!$B$34),1-EXP(-Presion_cilindro!$B$16*((Presion_cilindro!N293-(-I$4+Presion_cilindro!$B$34))/Presion_cilindro!$B$35)^(Presion_cilindro!$B$17+1)),0)-IF(Presion_cilindro!N292&gt;(-I$4+Presion_cilindro!$B$34),1-EXP(-Presion_cilindro!$B$16*((Presion_cilindro!N292-(-I$4+Presion_cilindro!$B$34))/Presion_cilindro!$B$35)^(Presion_cilindro!$B$17+1)),0))/((Presion_cilindro!O292+Presion_cilindro!O293)/2)</f>
        <v>5.9068524588072222</v>
      </c>
      <c r="J301" s="27">
        <f>J300*(Presion_cilindro!O292/Presion_cilindro!O293)^Presion_cilindro!$B$9+10*(Presion_cilindro!$B$9-1)*Presion_cilindro!$B$33*(IF(Presion_cilindro!N293&gt;(-J$4+Presion_cilindro!$B$34),1-EXP(-Presion_cilindro!$B$16*((Presion_cilindro!N293-(-J$4+Presion_cilindro!$B$34))/Presion_cilindro!$B$35)^(Presion_cilindro!$B$17+1)),0)-IF(Presion_cilindro!N292&gt;(-J$4+Presion_cilindro!$B$34),1-EXP(-Presion_cilindro!$B$16*((Presion_cilindro!N292-(-J$4+Presion_cilindro!$B$34))/Presion_cilindro!$B$35)^(Presion_cilindro!$B$17+1)),0))/((Presion_cilindro!O292+Presion_cilindro!O293)/2)</f>
        <v>5.9068524588072222</v>
      </c>
      <c r="K301" s="27">
        <f>K300*(Presion_cilindro!O292/Presion_cilindro!O293)^Presion_cilindro!$B$9+10*(Presion_cilindro!$B$9-1)*Presion_cilindro!$B$33*(IF(Presion_cilindro!N293&gt;(-K$4+Presion_cilindro!$B$34),1-EXP(-Presion_cilindro!$B$16*((Presion_cilindro!N293-(-K$4+Presion_cilindro!$B$34))/Presion_cilindro!$B$35)^(Presion_cilindro!$B$17+1)),0)-IF(Presion_cilindro!N292&gt;(-K$4+Presion_cilindro!$B$34),1-EXP(-Presion_cilindro!$B$16*((Presion_cilindro!N292-(-K$4+Presion_cilindro!$B$34))/Presion_cilindro!$B$35)^(Presion_cilindro!$B$17+1)),0))/((Presion_cilindro!O292+Presion_cilindro!O293)/2)</f>
        <v>5.9145660389375196</v>
      </c>
      <c r="L301" s="27">
        <f>L300*(Presion_cilindro!O292/Presion_cilindro!O293)^Presion_cilindro!$B$9+10*(Presion_cilindro!$B$9-1)*Presion_cilindro!$B$33*(IF(Presion_cilindro!N293&gt;(-L$4+Presion_cilindro!$B$34),1-EXP(-Presion_cilindro!$B$16*((Presion_cilindro!N293-(-L$4+Presion_cilindro!$B$34))/Presion_cilindro!$B$35)^(Presion_cilindro!$B$17+1)),0)-IF(Presion_cilindro!N292&gt;(-L$4+Presion_cilindro!$B$34),1-EXP(-Presion_cilindro!$B$16*((Presion_cilindro!N292-(-L$4+Presion_cilindro!$B$34))/Presion_cilindro!$B$35)^(Presion_cilindro!$B$17+1)),0))/((Presion_cilindro!O292+Presion_cilindro!O293)/2)</f>
        <v>6.1543458176929224</v>
      </c>
      <c r="M301" s="27">
        <f>M300*(Presion_cilindro!O292/Presion_cilindro!O293)^Presion_cilindro!$B$9+10*(Presion_cilindro!$B$9-1)*Presion_cilindro!$B$33*(IF(Presion_cilindro!N293&gt;(-M$4+Presion_cilindro!$B$34),1-EXP(-Presion_cilindro!$B$16*((Presion_cilindro!N293-(-M$4+Presion_cilindro!$B$34))/Presion_cilindro!$B$35)^(Presion_cilindro!$B$17+1)),0)-IF(Presion_cilindro!N292&gt;(-M$4+Presion_cilindro!$B$34),1-EXP(-Presion_cilindro!$B$16*((Presion_cilindro!N292-(-M$4+Presion_cilindro!$B$34))/Presion_cilindro!$B$35)^(Presion_cilindro!$B$17+1)),0))/((Presion_cilindro!O292+Presion_cilindro!O293)/2)</f>
        <v>7.0692483997083704</v>
      </c>
      <c r="N301" s="27">
        <f>N300*(Presion_cilindro!O292/Presion_cilindro!O293)^Presion_cilindro!$B$9+10*(Presion_cilindro!$B$9-1)*Presion_cilindro!$B$33*(IF(Presion_cilindro!N293&gt;(-N$4+Presion_cilindro!$B$34),1-EXP(-Presion_cilindro!$B$16*((Presion_cilindro!N293-(-N$4+Presion_cilindro!$B$34))/Presion_cilindro!$B$35)^(Presion_cilindro!$B$17+1)),0)-IF(Presion_cilindro!N292&gt;(-N$4+Presion_cilindro!$B$34),1-EXP(-Presion_cilindro!$B$16*((Presion_cilindro!N292-(-N$4+Presion_cilindro!$B$34))/Presion_cilindro!$B$35)^(Presion_cilindro!$B$17+1)),0))/((Presion_cilindro!O292+Presion_cilindro!O293)/2)</f>
        <v>8.9713595227330298</v>
      </c>
    </row>
    <row r="302" spans="1:14" x14ac:dyDescent="0.25">
      <c r="A302" s="21">
        <f>Presion_cilindro!N294</f>
        <v>-35</v>
      </c>
      <c r="B302" s="27">
        <f>B301*(Presion_cilindro!O293/Presion_cilindro!O294)^Presion_cilindro!$B$9+10*(Presion_cilindro!$B$9-1)*Presion_cilindro!$B$33*(IF(Presion_cilindro!N294&gt;(-B$4+Presion_cilindro!$B$34),1-EXP(-Presion_cilindro!$B$16*((Presion_cilindro!N294-(-B$4+Presion_cilindro!$B$34))/Presion_cilindro!$B$35)^(Presion_cilindro!$B$17+1)),0)-IF(Presion_cilindro!N293&gt;(-B$4+Presion_cilindro!$B$34),1-EXP(-Presion_cilindro!$B$16*((Presion_cilindro!N293-(-B$4+Presion_cilindro!$B$34))/Presion_cilindro!$B$35)^(Presion_cilindro!$B$17+1)),0))/((Presion_cilindro!O293+Presion_cilindro!O294)/2)</f>
        <v>6.0157339909247796</v>
      </c>
      <c r="C302" s="27">
        <f>C301*(Presion_cilindro!O293/Presion_cilindro!O294)^Presion_cilindro!$B$9+10*(Presion_cilindro!$B$9-1)*Presion_cilindro!$B$33*(IF(Presion_cilindro!N294&gt;(-C$4+Presion_cilindro!$B$34),1-EXP(-Presion_cilindro!$B$16*((Presion_cilindro!N294-(-C$4+Presion_cilindro!$B$34))/Presion_cilindro!$B$35)^(Presion_cilindro!$B$17+1)),0)-IF(Presion_cilindro!N293&gt;(-C$4+Presion_cilindro!$B$34),1-EXP(-Presion_cilindro!$B$16*((Presion_cilindro!N293-(-C$4+Presion_cilindro!$B$34))/Presion_cilindro!$B$35)^(Presion_cilindro!$B$17+1)),0))/((Presion_cilindro!O293+Presion_cilindro!O294)/2)</f>
        <v>6.0157339909247796</v>
      </c>
      <c r="D302" s="27">
        <f>D301*(Presion_cilindro!O293/Presion_cilindro!O294)^Presion_cilindro!$B$9+10*(Presion_cilindro!$B$9-1)*Presion_cilindro!$B$33*(IF(Presion_cilindro!N294&gt;(-D$4+Presion_cilindro!$B$34),1-EXP(-Presion_cilindro!$B$16*((Presion_cilindro!N294-(-D$4+Presion_cilindro!$B$34))/Presion_cilindro!$B$35)^(Presion_cilindro!$B$17+1)),0)-IF(Presion_cilindro!N293&gt;(-D$4+Presion_cilindro!$B$34),1-EXP(-Presion_cilindro!$B$16*((Presion_cilindro!N293-(-D$4+Presion_cilindro!$B$34))/Presion_cilindro!$B$35)^(Presion_cilindro!$B$17+1)),0))/((Presion_cilindro!O293+Presion_cilindro!O294)/2)</f>
        <v>6.0157339909247796</v>
      </c>
      <c r="E302" s="27">
        <f>E301*(Presion_cilindro!O293/Presion_cilindro!O294)^Presion_cilindro!$B$9+10*(Presion_cilindro!$B$9-1)*Presion_cilindro!$B$33*(IF(Presion_cilindro!N294&gt;(-E$4+Presion_cilindro!$B$34),1-EXP(-Presion_cilindro!$B$16*((Presion_cilindro!N294-(-E$4+Presion_cilindro!$B$34))/Presion_cilindro!$B$35)^(Presion_cilindro!$B$17+1)),0)-IF(Presion_cilindro!N293&gt;(-E$4+Presion_cilindro!$B$34),1-EXP(-Presion_cilindro!$B$16*((Presion_cilindro!N293-(-E$4+Presion_cilindro!$B$34))/Presion_cilindro!$B$35)^(Presion_cilindro!$B$17+1)),0))/((Presion_cilindro!O293+Presion_cilindro!O294)/2)</f>
        <v>6.0157339909247796</v>
      </c>
      <c r="F302" s="27">
        <f>F301*(Presion_cilindro!O293/Presion_cilindro!O294)^Presion_cilindro!$B$9+10*(Presion_cilindro!$B$9-1)*Presion_cilindro!$B$33*(IF(Presion_cilindro!N294&gt;(-F$4+Presion_cilindro!$B$34),1-EXP(-Presion_cilindro!$B$16*((Presion_cilindro!N294-(-F$4+Presion_cilindro!$B$34))/Presion_cilindro!$B$35)^(Presion_cilindro!$B$17+1)),0)-IF(Presion_cilindro!N293&gt;(-F$4+Presion_cilindro!$B$34),1-EXP(-Presion_cilindro!$B$16*((Presion_cilindro!N293-(-F$4+Presion_cilindro!$B$34))/Presion_cilindro!$B$35)^(Presion_cilindro!$B$17+1)),0))/((Presion_cilindro!O293+Presion_cilindro!O294)/2)</f>
        <v>6.0157339909247796</v>
      </c>
      <c r="G302" s="27">
        <f>G301*(Presion_cilindro!O293/Presion_cilindro!O294)^Presion_cilindro!$B$9+10*(Presion_cilindro!$B$9-1)*Presion_cilindro!$B$33*(IF(Presion_cilindro!N294&gt;(-G$4+Presion_cilindro!$B$34),1-EXP(-Presion_cilindro!$B$16*((Presion_cilindro!N294-(-G$4+Presion_cilindro!$B$34))/Presion_cilindro!$B$35)^(Presion_cilindro!$B$17+1)),0)-IF(Presion_cilindro!N293&gt;(-G$4+Presion_cilindro!$B$34),1-EXP(-Presion_cilindro!$B$16*((Presion_cilindro!N293-(-G$4+Presion_cilindro!$B$34))/Presion_cilindro!$B$35)^(Presion_cilindro!$B$17+1)),0))/((Presion_cilindro!O293+Presion_cilindro!O294)/2)</f>
        <v>6.0157339909247796</v>
      </c>
      <c r="H302" s="27">
        <f>H301*(Presion_cilindro!O293/Presion_cilindro!O294)^Presion_cilindro!$B$9+10*(Presion_cilindro!$B$9-1)*Presion_cilindro!$B$33*(IF(Presion_cilindro!N294&gt;(-H$4+Presion_cilindro!$B$34),1-EXP(-Presion_cilindro!$B$16*((Presion_cilindro!N294-(-H$4+Presion_cilindro!$B$34))/Presion_cilindro!$B$35)^(Presion_cilindro!$B$17+1)),0)-IF(Presion_cilindro!N293&gt;(-H$4+Presion_cilindro!$B$34),1-EXP(-Presion_cilindro!$B$16*((Presion_cilindro!N293-(-H$4+Presion_cilindro!$B$34))/Presion_cilindro!$B$35)^(Presion_cilindro!$B$17+1)),0))/((Presion_cilindro!O293+Presion_cilindro!O294)/2)</f>
        <v>6.0157339909247796</v>
      </c>
      <c r="I302" s="27">
        <f>I301*(Presion_cilindro!O293/Presion_cilindro!O294)^Presion_cilindro!$B$9+10*(Presion_cilindro!$B$9-1)*Presion_cilindro!$B$33*(IF(Presion_cilindro!N294&gt;(-I$4+Presion_cilindro!$B$34),1-EXP(-Presion_cilindro!$B$16*((Presion_cilindro!N294-(-I$4+Presion_cilindro!$B$34))/Presion_cilindro!$B$35)^(Presion_cilindro!$B$17+1)),0)-IF(Presion_cilindro!N293&gt;(-I$4+Presion_cilindro!$B$34),1-EXP(-Presion_cilindro!$B$16*((Presion_cilindro!N293-(-I$4+Presion_cilindro!$B$34))/Presion_cilindro!$B$35)^(Presion_cilindro!$B$17+1)),0))/((Presion_cilindro!O293+Presion_cilindro!O294)/2)</f>
        <v>6.0157339909247796</v>
      </c>
      <c r="J302" s="27">
        <f>J301*(Presion_cilindro!O293/Presion_cilindro!O294)^Presion_cilindro!$B$9+10*(Presion_cilindro!$B$9-1)*Presion_cilindro!$B$33*(IF(Presion_cilindro!N294&gt;(-J$4+Presion_cilindro!$B$34),1-EXP(-Presion_cilindro!$B$16*((Presion_cilindro!N294-(-J$4+Presion_cilindro!$B$34))/Presion_cilindro!$B$35)^(Presion_cilindro!$B$17+1)),0)-IF(Presion_cilindro!N293&gt;(-J$4+Presion_cilindro!$B$34),1-EXP(-Presion_cilindro!$B$16*((Presion_cilindro!N293-(-J$4+Presion_cilindro!$B$34))/Presion_cilindro!$B$35)^(Presion_cilindro!$B$17+1)),0))/((Presion_cilindro!O293+Presion_cilindro!O294)/2)</f>
        <v>6.0157339909247796</v>
      </c>
      <c r="K302" s="27">
        <f>K301*(Presion_cilindro!O293/Presion_cilindro!O294)^Presion_cilindro!$B$9+10*(Presion_cilindro!$B$9-1)*Presion_cilindro!$B$33*(IF(Presion_cilindro!N294&gt;(-K$4+Presion_cilindro!$B$34),1-EXP(-Presion_cilindro!$B$16*((Presion_cilindro!N294-(-K$4+Presion_cilindro!$B$34))/Presion_cilindro!$B$35)^(Presion_cilindro!$B$17+1)),0)-IF(Presion_cilindro!N293&gt;(-K$4+Presion_cilindro!$B$34),1-EXP(-Presion_cilindro!$B$16*((Presion_cilindro!N293-(-K$4+Presion_cilindro!$B$34))/Presion_cilindro!$B$35)^(Presion_cilindro!$B$17+1)),0))/((Presion_cilindro!O293+Presion_cilindro!O294)/2)</f>
        <v>6.0298559517052919</v>
      </c>
      <c r="L302" s="27">
        <f>L301*(Presion_cilindro!O293/Presion_cilindro!O294)^Presion_cilindro!$B$9+10*(Presion_cilindro!$B$9-1)*Presion_cilindro!$B$33*(IF(Presion_cilindro!N294&gt;(-L$4+Presion_cilindro!$B$34),1-EXP(-Presion_cilindro!$B$16*((Presion_cilindro!N294-(-L$4+Presion_cilindro!$B$34))/Presion_cilindro!$B$35)^(Presion_cilindro!$B$17+1)),0)-IF(Presion_cilindro!N293&gt;(-L$4+Presion_cilindro!$B$34),1-EXP(-Presion_cilindro!$B$16*((Presion_cilindro!N293-(-L$4+Presion_cilindro!$B$34))/Presion_cilindro!$B$35)^(Presion_cilindro!$B$17+1)),0))/((Presion_cilindro!O293+Presion_cilindro!O294)/2)</f>
        <v>6.3216420531244513</v>
      </c>
      <c r="M302" s="27">
        <f>M301*(Presion_cilindro!O293/Presion_cilindro!O294)^Presion_cilindro!$B$9+10*(Presion_cilindro!$B$9-1)*Presion_cilindro!$B$33*(IF(Presion_cilindro!N294&gt;(-M$4+Presion_cilindro!$B$34),1-EXP(-Presion_cilindro!$B$16*((Presion_cilindro!N294-(-M$4+Presion_cilindro!$B$34))/Presion_cilindro!$B$35)^(Presion_cilindro!$B$17+1)),0)-IF(Presion_cilindro!N293&gt;(-M$4+Presion_cilindro!$B$34),1-EXP(-Presion_cilindro!$B$16*((Presion_cilindro!N293-(-M$4+Presion_cilindro!$B$34))/Presion_cilindro!$B$35)^(Presion_cilindro!$B$17+1)),0))/((Presion_cilindro!O293+Presion_cilindro!O294)/2)</f>
        <v>7.3391827534569805</v>
      </c>
      <c r="N302" s="27">
        <f>N301*(Presion_cilindro!O293/Presion_cilindro!O294)^Presion_cilindro!$B$9+10*(Presion_cilindro!$B$9-1)*Presion_cilindro!$B$33*(IF(Presion_cilindro!N294&gt;(-N$4+Presion_cilindro!$B$34),1-EXP(-Presion_cilindro!$B$16*((Presion_cilindro!N294-(-N$4+Presion_cilindro!$B$34))/Presion_cilindro!$B$35)^(Presion_cilindro!$B$17+1)),0)-IF(Presion_cilindro!N293&gt;(-N$4+Presion_cilindro!$B$34),1-EXP(-Presion_cilindro!$B$16*((Presion_cilindro!N293-(-N$4+Presion_cilindro!$B$34))/Presion_cilindro!$B$35)^(Presion_cilindro!$B$17+1)),0))/((Presion_cilindro!O293+Presion_cilindro!O294)/2)</f>
        <v>9.3739634868851844</v>
      </c>
    </row>
    <row r="303" spans="1:14" x14ac:dyDescent="0.25">
      <c r="A303" s="21">
        <f>Presion_cilindro!N295</f>
        <v>-34.5</v>
      </c>
      <c r="B303" s="27">
        <f>B302*(Presion_cilindro!O294/Presion_cilindro!O295)^Presion_cilindro!$B$9+10*(Presion_cilindro!$B$9-1)*Presion_cilindro!$B$33*(IF(Presion_cilindro!N295&gt;(-B$4+Presion_cilindro!$B$34),1-EXP(-Presion_cilindro!$B$16*((Presion_cilindro!N295-(-B$4+Presion_cilindro!$B$34))/Presion_cilindro!$B$35)^(Presion_cilindro!$B$17+1)),0)-IF(Presion_cilindro!N294&gt;(-B$4+Presion_cilindro!$B$34),1-EXP(-Presion_cilindro!$B$16*((Presion_cilindro!N294-(-B$4+Presion_cilindro!$B$34))/Presion_cilindro!$B$35)^(Presion_cilindro!$B$17+1)),0))/((Presion_cilindro!O294+Presion_cilindro!O295)/2)</f>
        <v>6.1268905770417605</v>
      </c>
      <c r="C303" s="27">
        <f>C302*(Presion_cilindro!O294/Presion_cilindro!O295)^Presion_cilindro!$B$9+10*(Presion_cilindro!$B$9-1)*Presion_cilindro!$B$33*(IF(Presion_cilindro!N295&gt;(-C$4+Presion_cilindro!$B$34),1-EXP(-Presion_cilindro!$B$16*((Presion_cilindro!N295-(-C$4+Presion_cilindro!$B$34))/Presion_cilindro!$B$35)^(Presion_cilindro!$B$17+1)),0)-IF(Presion_cilindro!N294&gt;(-C$4+Presion_cilindro!$B$34),1-EXP(-Presion_cilindro!$B$16*((Presion_cilindro!N294-(-C$4+Presion_cilindro!$B$34))/Presion_cilindro!$B$35)^(Presion_cilindro!$B$17+1)),0))/((Presion_cilindro!O294+Presion_cilindro!O295)/2)</f>
        <v>6.1268905770417605</v>
      </c>
      <c r="D303" s="27">
        <f>D302*(Presion_cilindro!O294/Presion_cilindro!O295)^Presion_cilindro!$B$9+10*(Presion_cilindro!$B$9-1)*Presion_cilindro!$B$33*(IF(Presion_cilindro!N295&gt;(-D$4+Presion_cilindro!$B$34),1-EXP(-Presion_cilindro!$B$16*((Presion_cilindro!N295-(-D$4+Presion_cilindro!$B$34))/Presion_cilindro!$B$35)^(Presion_cilindro!$B$17+1)),0)-IF(Presion_cilindro!N294&gt;(-D$4+Presion_cilindro!$B$34),1-EXP(-Presion_cilindro!$B$16*((Presion_cilindro!N294-(-D$4+Presion_cilindro!$B$34))/Presion_cilindro!$B$35)^(Presion_cilindro!$B$17+1)),0))/((Presion_cilindro!O294+Presion_cilindro!O295)/2)</f>
        <v>6.1268905770417605</v>
      </c>
      <c r="E303" s="27">
        <f>E302*(Presion_cilindro!O294/Presion_cilindro!O295)^Presion_cilindro!$B$9+10*(Presion_cilindro!$B$9-1)*Presion_cilindro!$B$33*(IF(Presion_cilindro!N295&gt;(-E$4+Presion_cilindro!$B$34),1-EXP(-Presion_cilindro!$B$16*((Presion_cilindro!N295-(-E$4+Presion_cilindro!$B$34))/Presion_cilindro!$B$35)^(Presion_cilindro!$B$17+1)),0)-IF(Presion_cilindro!N294&gt;(-E$4+Presion_cilindro!$B$34),1-EXP(-Presion_cilindro!$B$16*((Presion_cilindro!N294-(-E$4+Presion_cilindro!$B$34))/Presion_cilindro!$B$35)^(Presion_cilindro!$B$17+1)),0))/((Presion_cilindro!O294+Presion_cilindro!O295)/2)</f>
        <v>6.1268905770417605</v>
      </c>
      <c r="F303" s="27">
        <f>F302*(Presion_cilindro!O294/Presion_cilindro!O295)^Presion_cilindro!$B$9+10*(Presion_cilindro!$B$9-1)*Presion_cilindro!$B$33*(IF(Presion_cilindro!N295&gt;(-F$4+Presion_cilindro!$B$34),1-EXP(-Presion_cilindro!$B$16*((Presion_cilindro!N295-(-F$4+Presion_cilindro!$B$34))/Presion_cilindro!$B$35)^(Presion_cilindro!$B$17+1)),0)-IF(Presion_cilindro!N294&gt;(-F$4+Presion_cilindro!$B$34),1-EXP(-Presion_cilindro!$B$16*((Presion_cilindro!N294-(-F$4+Presion_cilindro!$B$34))/Presion_cilindro!$B$35)^(Presion_cilindro!$B$17+1)),0))/((Presion_cilindro!O294+Presion_cilindro!O295)/2)</f>
        <v>6.1268905770417605</v>
      </c>
      <c r="G303" s="27">
        <f>G302*(Presion_cilindro!O294/Presion_cilindro!O295)^Presion_cilindro!$B$9+10*(Presion_cilindro!$B$9-1)*Presion_cilindro!$B$33*(IF(Presion_cilindro!N295&gt;(-G$4+Presion_cilindro!$B$34),1-EXP(-Presion_cilindro!$B$16*((Presion_cilindro!N295-(-G$4+Presion_cilindro!$B$34))/Presion_cilindro!$B$35)^(Presion_cilindro!$B$17+1)),0)-IF(Presion_cilindro!N294&gt;(-G$4+Presion_cilindro!$B$34),1-EXP(-Presion_cilindro!$B$16*((Presion_cilindro!N294-(-G$4+Presion_cilindro!$B$34))/Presion_cilindro!$B$35)^(Presion_cilindro!$B$17+1)),0))/((Presion_cilindro!O294+Presion_cilindro!O295)/2)</f>
        <v>6.1268905770417605</v>
      </c>
      <c r="H303" s="27">
        <f>H302*(Presion_cilindro!O294/Presion_cilindro!O295)^Presion_cilindro!$B$9+10*(Presion_cilindro!$B$9-1)*Presion_cilindro!$B$33*(IF(Presion_cilindro!N295&gt;(-H$4+Presion_cilindro!$B$34),1-EXP(-Presion_cilindro!$B$16*((Presion_cilindro!N295-(-H$4+Presion_cilindro!$B$34))/Presion_cilindro!$B$35)^(Presion_cilindro!$B$17+1)),0)-IF(Presion_cilindro!N294&gt;(-H$4+Presion_cilindro!$B$34),1-EXP(-Presion_cilindro!$B$16*((Presion_cilindro!N294-(-H$4+Presion_cilindro!$B$34))/Presion_cilindro!$B$35)^(Presion_cilindro!$B$17+1)),0))/((Presion_cilindro!O294+Presion_cilindro!O295)/2)</f>
        <v>6.1268905770417605</v>
      </c>
      <c r="I303" s="27">
        <f>I302*(Presion_cilindro!O294/Presion_cilindro!O295)^Presion_cilindro!$B$9+10*(Presion_cilindro!$B$9-1)*Presion_cilindro!$B$33*(IF(Presion_cilindro!N295&gt;(-I$4+Presion_cilindro!$B$34),1-EXP(-Presion_cilindro!$B$16*((Presion_cilindro!N295-(-I$4+Presion_cilindro!$B$34))/Presion_cilindro!$B$35)^(Presion_cilindro!$B$17+1)),0)-IF(Presion_cilindro!N294&gt;(-I$4+Presion_cilindro!$B$34),1-EXP(-Presion_cilindro!$B$16*((Presion_cilindro!N294-(-I$4+Presion_cilindro!$B$34))/Presion_cilindro!$B$35)^(Presion_cilindro!$B$17+1)),0))/((Presion_cilindro!O294+Presion_cilindro!O295)/2)</f>
        <v>6.1268905770417605</v>
      </c>
      <c r="J303" s="27">
        <f>J302*(Presion_cilindro!O294/Presion_cilindro!O295)^Presion_cilindro!$B$9+10*(Presion_cilindro!$B$9-1)*Presion_cilindro!$B$33*(IF(Presion_cilindro!N295&gt;(-J$4+Presion_cilindro!$B$34),1-EXP(-Presion_cilindro!$B$16*((Presion_cilindro!N295-(-J$4+Presion_cilindro!$B$34))/Presion_cilindro!$B$35)^(Presion_cilindro!$B$17+1)),0)-IF(Presion_cilindro!N294&gt;(-J$4+Presion_cilindro!$B$34),1-EXP(-Presion_cilindro!$B$16*((Presion_cilindro!N294-(-J$4+Presion_cilindro!$B$34))/Presion_cilindro!$B$35)^(Presion_cilindro!$B$17+1)),0))/((Presion_cilindro!O294+Presion_cilindro!O295)/2)</f>
        <v>6.1268905770417605</v>
      </c>
      <c r="K303" s="27">
        <f>K302*(Presion_cilindro!O294/Presion_cilindro!O295)^Presion_cilindro!$B$9+10*(Presion_cilindro!$B$9-1)*Presion_cilindro!$B$33*(IF(Presion_cilindro!N295&gt;(-K$4+Presion_cilindro!$B$34),1-EXP(-Presion_cilindro!$B$16*((Presion_cilindro!N295-(-K$4+Presion_cilindro!$B$34))/Presion_cilindro!$B$35)^(Presion_cilindro!$B$17+1)),0)-IF(Presion_cilindro!N294&gt;(-K$4+Presion_cilindro!$B$34),1-EXP(-Presion_cilindro!$B$16*((Presion_cilindro!N294-(-K$4+Presion_cilindro!$B$34))/Presion_cilindro!$B$35)^(Presion_cilindro!$B$17+1)),0))/((Presion_cilindro!O294+Presion_cilindro!O295)/2)</f>
        <v>6.1503488719472346</v>
      </c>
      <c r="L303" s="27">
        <f>L302*(Presion_cilindro!O294/Presion_cilindro!O295)^Presion_cilindro!$B$9+10*(Presion_cilindro!$B$9-1)*Presion_cilindro!$B$33*(IF(Presion_cilindro!N295&gt;(-L$4+Presion_cilindro!$B$34),1-EXP(-Presion_cilindro!$B$16*((Presion_cilindro!N295-(-L$4+Presion_cilindro!$B$34))/Presion_cilindro!$B$35)^(Presion_cilindro!$B$17+1)),0)-IF(Presion_cilindro!N294&gt;(-L$4+Presion_cilindro!$B$34),1-EXP(-Presion_cilindro!$B$16*((Presion_cilindro!N294-(-L$4+Presion_cilindro!$B$34))/Presion_cilindro!$B$35)^(Presion_cilindro!$B$17+1)),0))/((Presion_cilindro!O294+Presion_cilindro!O295)/2)</f>
        <v>6.5002856108399376</v>
      </c>
      <c r="M303" s="27">
        <f>M302*(Presion_cilindro!O294/Presion_cilindro!O295)^Presion_cilindro!$B$9+10*(Presion_cilindro!$B$9-1)*Presion_cilindro!$B$33*(IF(Presion_cilindro!N295&gt;(-M$4+Presion_cilindro!$B$34),1-EXP(-Presion_cilindro!$B$16*((Presion_cilindro!N295-(-M$4+Presion_cilindro!$B$34))/Presion_cilindro!$B$35)^(Presion_cilindro!$B$17+1)),0)-IF(Presion_cilindro!N294&gt;(-M$4+Presion_cilindro!$B$34),1-EXP(-Presion_cilindro!$B$16*((Presion_cilindro!N294-(-M$4+Presion_cilindro!$B$34))/Presion_cilindro!$B$35)^(Presion_cilindro!$B$17+1)),0))/((Presion_cilindro!O294+Presion_cilindro!O295)/2)</f>
        <v>7.6263213945074551</v>
      </c>
      <c r="N303" s="27">
        <f>N302*(Presion_cilindro!O294/Presion_cilindro!O295)^Presion_cilindro!$B$9+10*(Presion_cilindro!$B$9-1)*Presion_cilindro!$B$33*(IF(Presion_cilindro!N295&gt;(-N$4+Presion_cilindro!$B$34),1-EXP(-Presion_cilindro!$B$16*((Presion_cilindro!N295-(-N$4+Presion_cilindro!$B$34))/Presion_cilindro!$B$35)^(Presion_cilindro!$B$17+1)),0)-IF(Presion_cilindro!N294&gt;(-N$4+Presion_cilindro!$B$34),1-EXP(-Presion_cilindro!$B$16*((Presion_cilindro!N294-(-N$4+Presion_cilindro!$B$34))/Presion_cilindro!$B$35)^(Presion_cilindro!$B$17+1)),0))/((Presion_cilindro!O294+Presion_cilindro!O295)/2)</f>
        <v>9.7966823457747765</v>
      </c>
    </row>
    <row r="304" spans="1:14" x14ac:dyDescent="0.25">
      <c r="A304" s="21">
        <f>Presion_cilindro!N296</f>
        <v>-34</v>
      </c>
      <c r="B304" s="27">
        <f>B303*(Presion_cilindro!O295/Presion_cilindro!O296)^Presion_cilindro!$B$9+10*(Presion_cilindro!$B$9-1)*Presion_cilindro!$B$33*(IF(Presion_cilindro!N296&gt;(-B$4+Presion_cilindro!$B$34),1-EXP(-Presion_cilindro!$B$16*((Presion_cilindro!N296-(-B$4+Presion_cilindro!$B$34))/Presion_cilindro!$B$35)^(Presion_cilindro!$B$17+1)),0)-IF(Presion_cilindro!N295&gt;(-B$4+Presion_cilindro!$B$34),1-EXP(-Presion_cilindro!$B$16*((Presion_cilindro!N295-(-B$4+Presion_cilindro!$B$34))/Presion_cilindro!$B$35)^(Presion_cilindro!$B$17+1)),0))/((Presion_cilindro!O295+Presion_cilindro!O296)/2)</f>
        <v>6.2403496299330925</v>
      </c>
      <c r="C304" s="27">
        <f>C303*(Presion_cilindro!O295/Presion_cilindro!O296)^Presion_cilindro!$B$9+10*(Presion_cilindro!$B$9-1)*Presion_cilindro!$B$33*(IF(Presion_cilindro!N296&gt;(-C$4+Presion_cilindro!$B$34),1-EXP(-Presion_cilindro!$B$16*((Presion_cilindro!N296-(-C$4+Presion_cilindro!$B$34))/Presion_cilindro!$B$35)^(Presion_cilindro!$B$17+1)),0)-IF(Presion_cilindro!N295&gt;(-C$4+Presion_cilindro!$B$34),1-EXP(-Presion_cilindro!$B$16*((Presion_cilindro!N295-(-C$4+Presion_cilindro!$B$34))/Presion_cilindro!$B$35)^(Presion_cilindro!$B$17+1)),0))/((Presion_cilindro!O295+Presion_cilindro!O296)/2)</f>
        <v>6.2403496299330925</v>
      </c>
      <c r="D304" s="27">
        <f>D303*(Presion_cilindro!O295/Presion_cilindro!O296)^Presion_cilindro!$B$9+10*(Presion_cilindro!$B$9-1)*Presion_cilindro!$B$33*(IF(Presion_cilindro!N296&gt;(-D$4+Presion_cilindro!$B$34),1-EXP(-Presion_cilindro!$B$16*((Presion_cilindro!N296-(-D$4+Presion_cilindro!$B$34))/Presion_cilindro!$B$35)^(Presion_cilindro!$B$17+1)),0)-IF(Presion_cilindro!N295&gt;(-D$4+Presion_cilindro!$B$34),1-EXP(-Presion_cilindro!$B$16*((Presion_cilindro!N295-(-D$4+Presion_cilindro!$B$34))/Presion_cilindro!$B$35)^(Presion_cilindro!$B$17+1)),0))/((Presion_cilindro!O295+Presion_cilindro!O296)/2)</f>
        <v>6.2403496299330925</v>
      </c>
      <c r="E304" s="27">
        <f>E303*(Presion_cilindro!O295/Presion_cilindro!O296)^Presion_cilindro!$B$9+10*(Presion_cilindro!$B$9-1)*Presion_cilindro!$B$33*(IF(Presion_cilindro!N296&gt;(-E$4+Presion_cilindro!$B$34),1-EXP(-Presion_cilindro!$B$16*((Presion_cilindro!N296-(-E$4+Presion_cilindro!$B$34))/Presion_cilindro!$B$35)^(Presion_cilindro!$B$17+1)),0)-IF(Presion_cilindro!N295&gt;(-E$4+Presion_cilindro!$B$34),1-EXP(-Presion_cilindro!$B$16*((Presion_cilindro!N295-(-E$4+Presion_cilindro!$B$34))/Presion_cilindro!$B$35)^(Presion_cilindro!$B$17+1)),0))/((Presion_cilindro!O295+Presion_cilindro!O296)/2)</f>
        <v>6.2403496299330925</v>
      </c>
      <c r="F304" s="27">
        <f>F303*(Presion_cilindro!O295/Presion_cilindro!O296)^Presion_cilindro!$B$9+10*(Presion_cilindro!$B$9-1)*Presion_cilindro!$B$33*(IF(Presion_cilindro!N296&gt;(-F$4+Presion_cilindro!$B$34),1-EXP(-Presion_cilindro!$B$16*((Presion_cilindro!N296-(-F$4+Presion_cilindro!$B$34))/Presion_cilindro!$B$35)^(Presion_cilindro!$B$17+1)),0)-IF(Presion_cilindro!N295&gt;(-F$4+Presion_cilindro!$B$34),1-EXP(-Presion_cilindro!$B$16*((Presion_cilindro!N295-(-F$4+Presion_cilindro!$B$34))/Presion_cilindro!$B$35)^(Presion_cilindro!$B$17+1)),0))/((Presion_cilindro!O295+Presion_cilindro!O296)/2)</f>
        <v>6.2403496299330925</v>
      </c>
      <c r="G304" s="27">
        <f>G303*(Presion_cilindro!O295/Presion_cilindro!O296)^Presion_cilindro!$B$9+10*(Presion_cilindro!$B$9-1)*Presion_cilindro!$B$33*(IF(Presion_cilindro!N296&gt;(-G$4+Presion_cilindro!$B$34),1-EXP(-Presion_cilindro!$B$16*((Presion_cilindro!N296-(-G$4+Presion_cilindro!$B$34))/Presion_cilindro!$B$35)^(Presion_cilindro!$B$17+1)),0)-IF(Presion_cilindro!N295&gt;(-G$4+Presion_cilindro!$B$34),1-EXP(-Presion_cilindro!$B$16*((Presion_cilindro!N295-(-G$4+Presion_cilindro!$B$34))/Presion_cilindro!$B$35)^(Presion_cilindro!$B$17+1)),0))/((Presion_cilindro!O295+Presion_cilindro!O296)/2)</f>
        <v>6.2403496299330925</v>
      </c>
      <c r="H304" s="27">
        <f>H303*(Presion_cilindro!O295/Presion_cilindro!O296)^Presion_cilindro!$B$9+10*(Presion_cilindro!$B$9-1)*Presion_cilindro!$B$33*(IF(Presion_cilindro!N296&gt;(-H$4+Presion_cilindro!$B$34),1-EXP(-Presion_cilindro!$B$16*((Presion_cilindro!N296-(-H$4+Presion_cilindro!$B$34))/Presion_cilindro!$B$35)^(Presion_cilindro!$B$17+1)),0)-IF(Presion_cilindro!N295&gt;(-H$4+Presion_cilindro!$B$34),1-EXP(-Presion_cilindro!$B$16*((Presion_cilindro!N295-(-H$4+Presion_cilindro!$B$34))/Presion_cilindro!$B$35)^(Presion_cilindro!$B$17+1)),0))/((Presion_cilindro!O295+Presion_cilindro!O296)/2)</f>
        <v>6.2403496299330925</v>
      </c>
      <c r="I304" s="27">
        <f>I303*(Presion_cilindro!O295/Presion_cilindro!O296)^Presion_cilindro!$B$9+10*(Presion_cilindro!$B$9-1)*Presion_cilindro!$B$33*(IF(Presion_cilindro!N296&gt;(-I$4+Presion_cilindro!$B$34),1-EXP(-Presion_cilindro!$B$16*((Presion_cilindro!N296-(-I$4+Presion_cilindro!$B$34))/Presion_cilindro!$B$35)^(Presion_cilindro!$B$17+1)),0)-IF(Presion_cilindro!N295&gt;(-I$4+Presion_cilindro!$B$34),1-EXP(-Presion_cilindro!$B$16*((Presion_cilindro!N295-(-I$4+Presion_cilindro!$B$34))/Presion_cilindro!$B$35)^(Presion_cilindro!$B$17+1)),0))/((Presion_cilindro!O295+Presion_cilindro!O296)/2)</f>
        <v>6.2403496299330925</v>
      </c>
      <c r="J304" s="27">
        <f>J303*(Presion_cilindro!O295/Presion_cilindro!O296)^Presion_cilindro!$B$9+10*(Presion_cilindro!$B$9-1)*Presion_cilindro!$B$33*(IF(Presion_cilindro!N296&gt;(-J$4+Presion_cilindro!$B$34),1-EXP(-Presion_cilindro!$B$16*((Presion_cilindro!N296-(-J$4+Presion_cilindro!$B$34))/Presion_cilindro!$B$35)^(Presion_cilindro!$B$17+1)),0)-IF(Presion_cilindro!N295&gt;(-J$4+Presion_cilindro!$B$34),1-EXP(-Presion_cilindro!$B$16*((Presion_cilindro!N295-(-J$4+Presion_cilindro!$B$34))/Presion_cilindro!$B$35)^(Presion_cilindro!$B$17+1)),0))/((Presion_cilindro!O295+Presion_cilindro!O296)/2)</f>
        <v>6.2403496299330925</v>
      </c>
      <c r="K304" s="27">
        <f>K303*(Presion_cilindro!O295/Presion_cilindro!O296)^Presion_cilindro!$B$9+10*(Presion_cilindro!$B$9-1)*Presion_cilindro!$B$33*(IF(Presion_cilindro!N296&gt;(-K$4+Presion_cilindro!$B$34),1-EXP(-Presion_cilindro!$B$16*((Presion_cilindro!N296-(-K$4+Presion_cilindro!$B$34))/Presion_cilindro!$B$35)^(Presion_cilindro!$B$17+1)),0)-IF(Presion_cilindro!N295&gt;(-K$4+Presion_cilindro!$B$34),1-EXP(-Presion_cilindro!$B$16*((Presion_cilindro!N295-(-K$4+Presion_cilindro!$B$34))/Presion_cilindro!$B$35)^(Presion_cilindro!$B$17+1)),0))/((Presion_cilindro!O295+Presion_cilindro!O296)/2)</f>
        <v>6.276692074700855</v>
      </c>
      <c r="L304" s="27">
        <f>L303*(Presion_cilindro!O295/Presion_cilindro!O296)^Presion_cilindro!$B$9+10*(Presion_cilindro!$B$9-1)*Presion_cilindro!$B$33*(IF(Presion_cilindro!N296&gt;(-L$4+Presion_cilindro!$B$34),1-EXP(-Presion_cilindro!$B$16*((Presion_cilindro!N296-(-L$4+Presion_cilindro!$B$34))/Presion_cilindro!$B$35)^(Presion_cilindro!$B$17+1)),0)-IF(Presion_cilindro!N295&gt;(-L$4+Presion_cilindro!$B$34),1-EXP(-Presion_cilindro!$B$16*((Presion_cilindro!N295-(-L$4+Presion_cilindro!$B$34))/Presion_cilindro!$B$35)^(Presion_cilindro!$B$17+1)),0))/((Presion_cilindro!O295+Presion_cilindro!O296)/2)</f>
        <v>6.6910798432930907</v>
      </c>
      <c r="M304" s="27">
        <f>M303*(Presion_cilindro!O295/Presion_cilindro!O296)^Presion_cilindro!$B$9+10*(Presion_cilindro!$B$9-1)*Presion_cilindro!$B$33*(IF(Presion_cilindro!N296&gt;(-M$4+Presion_cilindro!$B$34),1-EXP(-Presion_cilindro!$B$16*((Presion_cilindro!N296-(-M$4+Presion_cilindro!$B$34))/Presion_cilindro!$B$35)^(Presion_cilindro!$B$17+1)),0)-IF(Presion_cilindro!N295&gt;(-M$4+Presion_cilindro!$B$34),1-EXP(-Presion_cilindro!$B$16*((Presion_cilindro!N295-(-M$4+Presion_cilindro!$B$34))/Presion_cilindro!$B$35)^(Presion_cilindro!$B$17+1)),0))/((Presion_cilindro!O295+Presion_cilindro!O296)/2)</f>
        <v>7.9313825394580872</v>
      </c>
      <c r="N304" s="27">
        <f>N303*(Presion_cilindro!O295/Presion_cilindro!O296)^Presion_cilindro!$B$9+10*(Presion_cilindro!$B$9-1)*Presion_cilindro!$B$33*(IF(Presion_cilindro!N296&gt;(-N$4+Presion_cilindro!$B$34),1-EXP(-Presion_cilindro!$B$16*((Presion_cilindro!N296-(-N$4+Presion_cilindro!$B$34))/Presion_cilindro!$B$35)^(Presion_cilindro!$B$17+1)),0)-IF(Presion_cilindro!N295&gt;(-N$4+Presion_cilindro!$B$34),1-EXP(-Presion_cilindro!$B$16*((Presion_cilindro!N295-(-N$4+Presion_cilindro!$B$34))/Presion_cilindro!$B$35)^(Presion_cilindro!$B$17+1)),0))/((Presion_cilindro!O295+Presion_cilindro!O296)/2)</f>
        <v>10.239835967152075</v>
      </c>
    </row>
    <row r="305" spans="1:14" x14ac:dyDescent="0.25">
      <c r="A305" s="21">
        <f>Presion_cilindro!N297</f>
        <v>-33.5</v>
      </c>
      <c r="B305" s="27">
        <f>B304*(Presion_cilindro!O296/Presion_cilindro!O297)^Presion_cilindro!$B$9+10*(Presion_cilindro!$B$9-1)*Presion_cilindro!$B$33*(IF(Presion_cilindro!N297&gt;(-B$4+Presion_cilindro!$B$34),1-EXP(-Presion_cilindro!$B$16*((Presion_cilindro!N297-(-B$4+Presion_cilindro!$B$34))/Presion_cilindro!$B$35)^(Presion_cilindro!$B$17+1)),0)-IF(Presion_cilindro!N296&gt;(-B$4+Presion_cilindro!$B$34),1-EXP(-Presion_cilindro!$B$16*((Presion_cilindro!N296-(-B$4+Presion_cilindro!$B$34))/Presion_cilindro!$B$35)^(Presion_cilindro!$B$17+1)),0))/((Presion_cilindro!O296+Presion_cilindro!O297)/2)</f>
        <v>6.3561367936632998</v>
      </c>
      <c r="C305" s="27">
        <f>C304*(Presion_cilindro!O296/Presion_cilindro!O297)^Presion_cilindro!$B$9+10*(Presion_cilindro!$B$9-1)*Presion_cilindro!$B$33*(IF(Presion_cilindro!N297&gt;(-C$4+Presion_cilindro!$B$34),1-EXP(-Presion_cilindro!$B$16*((Presion_cilindro!N297-(-C$4+Presion_cilindro!$B$34))/Presion_cilindro!$B$35)^(Presion_cilindro!$B$17+1)),0)-IF(Presion_cilindro!N296&gt;(-C$4+Presion_cilindro!$B$34),1-EXP(-Presion_cilindro!$B$16*((Presion_cilindro!N296-(-C$4+Presion_cilindro!$B$34))/Presion_cilindro!$B$35)^(Presion_cilindro!$B$17+1)),0))/((Presion_cilindro!O296+Presion_cilindro!O297)/2)</f>
        <v>6.3561367936632998</v>
      </c>
      <c r="D305" s="27">
        <f>D304*(Presion_cilindro!O296/Presion_cilindro!O297)^Presion_cilindro!$B$9+10*(Presion_cilindro!$B$9-1)*Presion_cilindro!$B$33*(IF(Presion_cilindro!N297&gt;(-D$4+Presion_cilindro!$B$34),1-EXP(-Presion_cilindro!$B$16*((Presion_cilindro!N297-(-D$4+Presion_cilindro!$B$34))/Presion_cilindro!$B$35)^(Presion_cilindro!$B$17+1)),0)-IF(Presion_cilindro!N296&gt;(-D$4+Presion_cilindro!$B$34),1-EXP(-Presion_cilindro!$B$16*((Presion_cilindro!N296-(-D$4+Presion_cilindro!$B$34))/Presion_cilindro!$B$35)^(Presion_cilindro!$B$17+1)),0))/((Presion_cilindro!O296+Presion_cilindro!O297)/2)</f>
        <v>6.3561367936632998</v>
      </c>
      <c r="E305" s="27">
        <f>E304*(Presion_cilindro!O296/Presion_cilindro!O297)^Presion_cilindro!$B$9+10*(Presion_cilindro!$B$9-1)*Presion_cilindro!$B$33*(IF(Presion_cilindro!N297&gt;(-E$4+Presion_cilindro!$B$34),1-EXP(-Presion_cilindro!$B$16*((Presion_cilindro!N297-(-E$4+Presion_cilindro!$B$34))/Presion_cilindro!$B$35)^(Presion_cilindro!$B$17+1)),0)-IF(Presion_cilindro!N296&gt;(-E$4+Presion_cilindro!$B$34),1-EXP(-Presion_cilindro!$B$16*((Presion_cilindro!N296-(-E$4+Presion_cilindro!$B$34))/Presion_cilindro!$B$35)^(Presion_cilindro!$B$17+1)),0))/((Presion_cilindro!O296+Presion_cilindro!O297)/2)</f>
        <v>6.3561367936632998</v>
      </c>
      <c r="F305" s="27">
        <f>F304*(Presion_cilindro!O296/Presion_cilindro!O297)^Presion_cilindro!$B$9+10*(Presion_cilindro!$B$9-1)*Presion_cilindro!$B$33*(IF(Presion_cilindro!N297&gt;(-F$4+Presion_cilindro!$B$34),1-EXP(-Presion_cilindro!$B$16*((Presion_cilindro!N297-(-F$4+Presion_cilindro!$B$34))/Presion_cilindro!$B$35)^(Presion_cilindro!$B$17+1)),0)-IF(Presion_cilindro!N296&gt;(-F$4+Presion_cilindro!$B$34),1-EXP(-Presion_cilindro!$B$16*((Presion_cilindro!N296-(-F$4+Presion_cilindro!$B$34))/Presion_cilindro!$B$35)^(Presion_cilindro!$B$17+1)),0))/((Presion_cilindro!O296+Presion_cilindro!O297)/2)</f>
        <v>6.3561367936632998</v>
      </c>
      <c r="G305" s="27">
        <f>G304*(Presion_cilindro!O296/Presion_cilindro!O297)^Presion_cilindro!$B$9+10*(Presion_cilindro!$B$9-1)*Presion_cilindro!$B$33*(IF(Presion_cilindro!N297&gt;(-G$4+Presion_cilindro!$B$34),1-EXP(-Presion_cilindro!$B$16*((Presion_cilindro!N297-(-G$4+Presion_cilindro!$B$34))/Presion_cilindro!$B$35)^(Presion_cilindro!$B$17+1)),0)-IF(Presion_cilindro!N296&gt;(-G$4+Presion_cilindro!$B$34),1-EXP(-Presion_cilindro!$B$16*((Presion_cilindro!N296-(-G$4+Presion_cilindro!$B$34))/Presion_cilindro!$B$35)^(Presion_cilindro!$B$17+1)),0))/((Presion_cilindro!O296+Presion_cilindro!O297)/2)</f>
        <v>6.3561367936632998</v>
      </c>
      <c r="H305" s="27">
        <f>H304*(Presion_cilindro!O296/Presion_cilindro!O297)^Presion_cilindro!$B$9+10*(Presion_cilindro!$B$9-1)*Presion_cilindro!$B$33*(IF(Presion_cilindro!N297&gt;(-H$4+Presion_cilindro!$B$34),1-EXP(-Presion_cilindro!$B$16*((Presion_cilindro!N297-(-H$4+Presion_cilindro!$B$34))/Presion_cilindro!$B$35)^(Presion_cilindro!$B$17+1)),0)-IF(Presion_cilindro!N296&gt;(-H$4+Presion_cilindro!$B$34),1-EXP(-Presion_cilindro!$B$16*((Presion_cilindro!N296-(-H$4+Presion_cilindro!$B$34))/Presion_cilindro!$B$35)^(Presion_cilindro!$B$17+1)),0))/((Presion_cilindro!O296+Presion_cilindro!O297)/2)</f>
        <v>6.3561367936632998</v>
      </c>
      <c r="I305" s="27">
        <f>I304*(Presion_cilindro!O296/Presion_cilindro!O297)^Presion_cilindro!$B$9+10*(Presion_cilindro!$B$9-1)*Presion_cilindro!$B$33*(IF(Presion_cilindro!N297&gt;(-I$4+Presion_cilindro!$B$34),1-EXP(-Presion_cilindro!$B$16*((Presion_cilindro!N297-(-I$4+Presion_cilindro!$B$34))/Presion_cilindro!$B$35)^(Presion_cilindro!$B$17+1)),0)-IF(Presion_cilindro!N296&gt;(-I$4+Presion_cilindro!$B$34),1-EXP(-Presion_cilindro!$B$16*((Presion_cilindro!N296-(-I$4+Presion_cilindro!$B$34))/Presion_cilindro!$B$35)^(Presion_cilindro!$B$17+1)),0))/((Presion_cilindro!O296+Presion_cilindro!O297)/2)</f>
        <v>6.3561367936632998</v>
      </c>
      <c r="J305" s="27">
        <f>J304*(Presion_cilindro!O296/Presion_cilindro!O297)^Presion_cilindro!$B$9+10*(Presion_cilindro!$B$9-1)*Presion_cilindro!$B$33*(IF(Presion_cilindro!N297&gt;(-J$4+Presion_cilindro!$B$34),1-EXP(-Presion_cilindro!$B$16*((Presion_cilindro!N297-(-J$4+Presion_cilindro!$B$34))/Presion_cilindro!$B$35)^(Presion_cilindro!$B$17+1)),0)-IF(Presion_cilindro!N296&gt;(-J$4+Presion_cilindro!$B$34),1-EXP(-Presion_cilindro!$B$16*((Presion_cilindro!N296-(-J$4+Presion_cilindro!$B$34))/Presion_cilindro!$B$35)^(Presion_cilindro!$B$17+1)),0))/((Presion_cilindro!O296+Presion_cilindro!O297)/2)</f>
        <v>6.3561367936632998</v>
      </c>
      <c r="K305" s="27">
        <f>K304*(Presion_cilindro!O296/Presion_cilindro!O297)^Presion_cilindro!$B$9+10*(Presion_cilindro!$B$9-1)*Presion_cilindro!$B$33*(IF(Presion_cilindro!N297&gt;(-K$4+Presion_cilindro!$B$34),1-EXP(-Presion_cilindro!$B$16*((Presion_cilindro!N297-(-K$4+Presion_cilindro!$B$34))/Presion_cilindro!$B$35)^(Presion_cilindro!$B$17+1)),0)-IF(Presion_cilindro!N296&gt;(-K$4+Presion_cilindro!$B$34),1-EXP(-Presion_cilindro!$B$16*((Presion_cilindro!N296-(-K$4+Presion_cilindro!$B$34))/Presion_cilindro!$B$35)^(Presion_cilindro!$B$17+1)),0))/((Presion_cilindro!O296+Presion_cilindro!O297)/2)</f>
        <v>6.4095616235949997</v>
      </c>
      <c r="L305" s="27">
        <f>L304*(Presion_cilindro!O296/Presion_cilindro!O297)^Presion_cilindro!$B$9+10*(Presion_cilindro!$B$9-1)*Presion_cilindro!$B$33*(IF(Presion_cilindro!N297&gt;(-L$4+Presion_cilindro!$B$34),1-EXP(-Presion_cilindro!$B$16*((Presion_cilindro!N297-(-L$4+Presion_cilindro!$B$34))/Presion_cilindro!$B$35)^(Presion_cilindro!$B$17+1)),0)-IF(Presion_cilindro!N296&gt;(-L$4+Presion_cilindro!$B$34),1-EXP(-Presion_cilindro!$B$16*((Presion_cilindro!N296-(-L$4+Presion_cilindro!$B$34))/Presion_cilindro!$B$35)^(Presion_cilindro!$B$17+1)),0))/((Presion_cilindro!O296+Presion_cilindro!O297)/2)</f>
        <v>6.8948422637384548</v>
      </c>
      <c r="M305" s="27">
        <f>M304*(Presion_cilindro!O296/Presion_cilindro!O297)^Presion_cilindro!$B$9+10*(Presion_cilindro!$B$9-1)*Presion_cilindro!$B$33*(IF(Presion_cilindro!N297&gt;(-M$4+Presion_cilindro!$B$34),1-EXP(-Presion_cilindro!$B$16*((Presion_cilindro!N297-(-M$4+Presion_cilindro!$B$34))/Presion_cilindro!$B$35)^(Presion_cilindro!$B$17+1)),0)-IF(Presion_cilindro!N296&gt;(-M$4+Presion_cilindro!$B$34),1-EXP(-Presion_cilindro!$B$16*((Presion_cilindro!N296-(-M$4+Presion_cilindro!$B$34))/Presion_cilindro!$B$35)^(Presion_cilindro!$B$17+1)),0))/((Presion_cilindro!O296+Presion_cilindro!O297)/2)</f>
        <v>8.2550646189258803</v>
      </c>
      <c r="N305" s="27">
        <f>N304*(Presion_cilindro!O296/Presion_cilindro!O297)^Presion_cilindro!$B$9+10*(Presion_cilindro!$B$9-1)*Presion_cilindro!$B$33*(IF(Presion_cilindro!N297&gt;(-N$4+Presion_cilindro!$B$34),1-EXP(-Presion_cilindro!$B$16*((Presion_cilindro!N297-(-N$4+Presion_cilindro!$B$34))/Presion_cilindro!$B$35)^(Presion_cilindro!$B$17+1)),0)-IF(Presion_cilindro!N296&gt;(-N$4+Presion_cilindro!$B$34),1-EXP(-Presion_cilindro!$B$16*((Presion_cilindro!N296-(-N$4+Presion_cilindro!$B$34))/Presion_cilindro!$B$35)^(Presion_cilindro!$B$17+1)),0))/((Presion_cilindro!O296+Presion_cilindro!O297)/2)</f>
        <v>10.703690858581494</v>
      </c>
    </row>
    <row r="306" spans="1:14" x14ac:dyDescent="0.25">
      <c r="A306" s="21">
        <f>Presion_cilindro!N298</f>
        <v>-33</v>
      </c>
      <c r="B306" s="27">
        <f>B305*(Presion_cilindro!O297/Presion_cilindro!O298)^Presion_cilindro!$B$9+10*(Presion_cilindro!$B$9-1)*Presion_cilindro!$B$33*(IF(Presion_cilindro!N298&gt;(-B$4+Presion_cilindro!$B$34),1-EXP(-Presion_cilindro!$B$16*((Presion_cilindro!N298-(-B$4+Presion_cilindro!$B$34))/Presion_cilindro!$B$35)^(Presion_cilindro!$B$17+1)),0)-IF(Presion_cilindro!N297&gt;(-B$4+Presion_cilindro!$B$34),1-EXP(-Presion_cilindro!$B$16*((Presion_cilindro!N297-(-B$4+Presion_cilindro!$B$34))/Presion_cilindro!$B$35)^(Presion_cilindro!$B$17+1)),0))/((Presion_cilindro!O297+Presion_cilindro!O298)/2)</f>
        <v>6.474275728047596</v>
      </c>
      <c r="C306" s="27">
        <f>C305*(Presion_cilindro!O297/Presion_cilindro!O298)^Presion_cilindro!$B$9+10*(Presion_cilindro!$B$9-1)*Presion_cilindro!$B$33*(IF(Presion_cilindro!N298&gt;(-C$4+Presion_cilindro!$B$34),1-EXP(-Presion_cilindro!$B$16*((Presion_cilindro!N298-(-C$4+Presion_cilindro!$B$34))/Presion_cilindro!$B$35)^(Presion_cilindro!$B$17+1)),0)-IF(Presion_cilindro!N297&gt;(-C$4+Presion_cilindro!$B$34),1-EXP(-Presion_cilindro!$B$16*((Presion_cilindro!N297-(-C$4+Presion_cilindro!$B$34))/Presion_cilindro!$B$35)^(Presion_cilindro!$B$17+1)),0))/((Presion_cilindro!O297+Presion_cilindro!O298)/2)</f>
        <v>6.474275728047596</v>
      </c>
      <c r="D306" s="27">
        <f>D305*(Presion_cilindro!O297/Presion_cilindro!O298)^Presion_cilindro!$B$9+10*(Presion_cilindro!$B$9-1)*Presion_cilindro!$B$33*(IF(Presion_cilindro!N298&gt;(-D$4+Presion_cilindro!$B$34),1-EXP(-Presion_cilindro!$B$16*((Presion_cilindro!N298-(-D$4+Presion_cilindro!$B$34))/Presion_cilindro!$B$35)^(Presion_cilindro!$B$17+1)),0)-IF(Presion_cilindro!N297&gt;(-D$4+Presion_cilindro!$B$34),1-EXP(-Presion_cilindro!$B$16*((Presion_cilindro!N297-(-D$4+Presion_cilindro!$B$34))/Presion_cilindro!$B$35)^(Presion_cilindro!$B$17+1)),0))/((Presion_cilindro!O297+Presion_cilindro!O298)/2)</f>
        <v>6.474275728047596</v>
      </c>
      <c r="E306" s="27">
        <f>E305*(Presion_cilindro!O297/Presion_cilindro!O298)^Presion_cilindro!$B$9+10*(Presion_cilindro!$B$9-1)*Presion_cilindro!$B$33*(IF(Presion_cilindro!N298&gt;(-E$4+Presion_cilindro!$B$34),1-EXP(-Presion_cilindro!$B$16*((Presion_cilindro!N298-(-E$4+Presion_cilindro!$B$34))/Presion_cilindro!$B$35)^(Presion_cilindro!$B$17+1)),0)-IF(Presion_cilindro!N297&gt;(-E$4+Presion_cilindro!$B$34),1-EXP(-Presion_cilindro!$B$16*((Presion_cilindro!N297-(-E$4+Presion_cilindro!$B$34))/Presion_cilindro!$B$35)^(Presion_cilindro!$B$17+1)),0))/((Presion_cilindro!O297+Presion_cilindro!O298)/2)</f>
        <v>6.474275728047596</v>
      </c>
      <c r="F306" s="27">
        <f>F305*(Presion_cilindro!O297/Presion_cilindro!O298)^Presion_cilindro!$B$9+10*(Presion_cilindro!$B$9-1)*Presion_cilindro!$B$33*(IF(Presion_cilindro!N298&gt;(-F$4+Presion_cilindro!$B$34),1-EXP(-Presion_cilindro!$B$16*((Presion_cilindro!N298-(-F$4+Presion_cilindro!$B$34))/Presion_cilindro!$B$35)^(Presion_cilindro!$B$17+1)),0)-IF(Presion_cilindro!N297&gt;(-F$4+Presion_cilindro!$B$34),1-EXP(-Presion_cilindro!$B$16*((Presion_cilindro!N297-(-F$4+Presion_cilindro!$B$34))/Presion_cilindro!$B$35)^(Presion_cilindro!$B$17+1)),0))/((Presion_cilindro!O297+Presion_cilindro!O298)/2)</f>
        <v>6.474275728047596</v>
      </c>
      <c r="G306" s="27">
        <f>G305*(Presion_cilindro!O297/Presion_cilindro!O298)^Presion_cilindro!$B$9+10*(Presion_cilindro!$B$9-1)*Presion_cilindro!$B$33*(IF(Presion_cilindro!N298&gt;(-G$4+Presion_cilindro!$B$34),1-EXP(-Presion_cilindro!$B$16*((Presion_cilindro!N298-(-G$4+Presion_cilindro!$B$34))/Presion_cilindro!$B$35)^(Presion_cilindro!$B$17+1)),0)-IF(Presion_cilindro!N297&gt;(-G$4+Presion_cilindro!$B$34),1-EXP(-Presion_cilindro!$B$16*((Presion_cilindro!N297-(-G$4+Presion_cilindro!$B$34))/Presion_cilindro!$B$35)^(Presion_cilindro!$B$17+1)),0))/((Presion_cilindro!O297+Presion_cilindro!O298)/2)</f>
        <v>6.474275728047596</v>
      </c>
      <c r="H306" s="27">
        <f>H305*(Presion_cilindro!O297/Presion_cilindro!O298)^Presion_cilindro!$B$9+10*(Presion_cilindro!$B$9-1)*Presion_cilindro!$B$33*(IF(Presion_cilindro!N298&gt;(-H$4+Presion_cilindro!$B$34),1-EXP(-Presion_cilindro!$B$16*((Presion_cilindro!N298-(-H$4+Presion_cilindro!$B$34))/Presion_cilindro!$B$35)^(Presion_cilindro!$B$17+1)),0)-IF(Presion_cilindro!N297&gt;(-H$4+Presion_cilindro!$B$34),1-EXP(-Presion_cilindro!$B$16*((Presion_cilindro!N297-(-H$4+Presion_cilindro!$B$34))/Presion_cilindro!$B$35)^(Presion_cilindro!$B$17+1)),0))/((Presion_cilindro!O297+Presion_cilindro!O298)/2)</f>
        <v>6.474275728047596</v>
      </c>
      <c r="I306" s="27">
        <f>I305*(Presion_cilindro!O297/Presion_cilindro!O298)^Presion_cilindro!$B$9+10*(Presion_cilindro!$B$9-1)*Presion_cilindro!$B$33*(IF(Presion_cilindro!N298&gt;(-I$4+Presion_cilindro!$B$34),1-EXP(-Presion_cilindro!$B$16*((Presion_cilindro!N298-(-I$4+Presion_cilindro!$B$34))/Presion_cilindro!$B$35)^(Presion_cilindro!$B$17+1)),0)-IF(Presion_cilindro!N297&gt;(-I$4+Presion_cilindro!$B$34),1-EXP(-Presion_cilindro!$B$16*((Presion_cilindro!N297-(-I$4+Presion_cilindro!$B$34))/Presion_cilindro!$B$35)^(Presion_cilindro!$B$17+1)),0))/((Presion_cilindro!O297+Presion_cilindro!O298)/2)</f>
        <v>6.474275728047596</v>
      </c>
      <c r="J306" s="27">
        <f>J305*(Presion_cilindro!O297/Presion_cilindro!O298)^Presion_cilindro!$B$9+10*(Presion_cilindro!$B$9-1)*Presion_cilindro!$B$33*(IF(Presion_cilindro!N298&gt;(-J$4+Presion_cilindro!$B$34),1-EXP(-Presion_cilindro!$B$16*((Presion_cilindro!N298-(-J$4+Presion_cilindro!$B$34))/Presion_cilindro!$B$35)^(Presion_cilindro!$B$17+1)),0)-IF(Presion_cilindro!N297&gt;(-J$4+Presion_cilindro!$B$34),1-EXP(-Presion_cilindro!$B$16*((Presion_cilindro!N297-(-J$4+Presion_cilindro!$B$34))/Presion_cilindro!$B$35)^(Presion_cilindro!$B$17+1)),0))/((Presion_cilindro!O297+Presion_cilindro!O298)/2)</f>
        <v>6.474275728047596</v>
      </c>
      <c r="K306" s="27">
        <f>K305*(Presion_cilindro!O297/Presion_cilindro!O298)^Presion_cilindro!$B$9+10*(Presion_cilindro!$B$9-1)*Presion_cilindro!$B$33*(IF(Presion_cilindro!N298&gt;(-K$4+Presion_cilindro!$B$34),1-EXP(-Presion_cilindro!$B$16*((Presion_cilindro!N298-(-K$4+Presion_cilindro!$B$34))/Presion_cilindro!$B$35)^(Presion_cilindro!$B$17+1)),0)-IF(Presion_cilindro!N297&gt;(-K$4+Presion_cilindro!$B$34),1-EXP(-Presion_cilindro!$B$16*((Presion_cilindro!N297-(-K$4+Presion_cilindro!$B$34))/Presion_cilindro!$B$35)^(Presion_cilindro!$B$17+1)),0))/((Presion_cilindro!O297+Presion_cilindro!O298)/2)</f>
        <v>6.5496620868468245</v>
      </c>
      <c r="L306" s="27">
        <f>L305*(Presion_cilindro!O297/Presion_cilindro!O298)^Presion_cilindro!$B$9+10*(Presion_cilindro!$B$9-1)*Presion_cilindro!$B$33*(IF(Presion_cilindro!N298&gt;(-L$4+Presion_cilindro!$B$34),1-EXP(-Presion_cilindro!$B$16*((Presion_cilindro!N298-(-L$4+Presion_cilindro!$B$34))/Presion_cilindro!$B$35)^(Presion_cilindro!$B$17+1)),0)-IF(Presion_cilindro!N297&gt;(-L$4+Presion_cilindro!$B$34),1-EXP(-Presion_cilindro!$B$16*((Presion_cilindro!N297-(-L$4+Presion_cilindro!$B$34))/Presion_cilindro!$B$35)^(Presion_cilindro!$B$17+1)),0))/((Presion_cilindro!O297+Presion_cilindro!O298)/2)</f>
        <v>7.1124016442790756</v>
      </c>
      <c r="M306" s="27">
        <f>M305*(Presion_cilindro!O297/Presion_cilindro!O298)^Presion_cilindro!$B$9+10*(Presion_cilindro!$B$9-1)*Presion_cilindro!$B$33*(IF(Presion_cilindro!N298&gt;(-M$4+Presion_cilindro!$B$34),1-EXP(-Presion_cilindro!$B$16*((Presion_cilindro!N298-(-M$4+Presion_cilindro!$B$34))/Presion_cilindro!$B$35)^(Presion_cilindro!$B$17+1)),0)-IF(Presion_cilindro!N297&gt;(-M$4+Presion_cilindro!$B$34),1-EXP(-Presion_cilindro!$B$16*((Presion_cilindro!N297-(-M$4+Presion_cilindro!$B$34))/Presion_cilindro!$B$35)^(Presion_cilindro!$B$17+1)),0))/((Presion_cilindro!O297+Presion_cilindro!O298)/2)</f>
        <v>8.5980414601580311</v>
      </c>
      <c r="N306" s="27">
        <f>N305*(Presion_cilindro!O297/Presion_cilindro!O298)^Presion_cilindro!$B$9+10*(Presion_cilindro!$B$9-1)*Presion_cilindro!$B$33*(IF(Presion_cilindro!N298&gt;(-N$4+Presion_cilindro!$B$34),1-EXP(-Presion_cilindro!$B$16*((Presion_cilindro!N298-(-N$4+Presion_cilindro!$B$34))/Presion_cilindro!$B$35)^(Presion_cilindro!$B$17+1)),0)-IF(Presion_cilindro!N297&gt;(-N$4+Presion_cilindro!$B$34),1-EXP(-Presion_cilindro!$B$16*((Presion_cilindro!N297-(-N$4+Presion_cilindro!$B$34))/Presion_cilindro!$B$35)^(Presion_cilindro!$B$17+1)),0))/((Presion_cilindro!O297+Presion_cilindro!O298)/2)</f>
        <v>11.188456448693916</v>
      </c>
    </row>
    <row r="307" spans="1:14" x14ac:dyDescent="0.25">
      <c r="A307" s="21">
        <f>Presion_cilindro!N299</f>
        <v>-32.5</v>
      </c>
      <c r="B307" s="27">
        <f>B306*(Presion_cilindro!O298/Presion_cilindro!O299)^Presion_cilindro!$B$9+10*(Presion_cilindro!$B$9-1)*Presion_cilindro!$B$33*(IF(Presion_cilindro!N299&gt;(-B$4+Presion_cilindro!$B$34),1-EXP(-Presion_cilindro!$B$16*((Presion_cilindro!N299-(-B$4+Presion_cilindro!$B$34))/Presion_cilindro!$B$35)^(Presion_cilindro!$B$17+1)),0)-IF(Presion_cilindro!N298&gt;(-B$4+Presion_cilindro!$B$34),1-EXP(-Presion_cilindro!$B$16*((Presion_cilindro!N298-(-B$4+Presion_cilindro!$B$34))/Presion_cilindro!$B$35)^(Presion_cilindro!$B$17+1)),0))/((Presion_cilindro!O298+Presion_cilindro!O299)/2)</f>
        <v>6.5947878791117649</v>
      </c>
      <c r="C307" s="27">
        <f>C306*(Presion_cilindro!O298/Presion_cilindro!O299)^Presion_cilindro!$B$9+10*(Presion_cilindro!$B$9-1)*Presion_cilindro!$B$33*(IF(Presion_cilindro!N299&gt;(-C$4+Presion_cilindro!$B$34),1-EXP(-Presion_cilindro!$B$16*((Presion_cilindro!N299-(-C$4+Presion_cilindro!$B$34))/Presion_cilindro!$B$35)^(Presion_cilindro!$B$17+1)),0)-IF(Presion_cilindro!N298&gt;(-C$4+Presion_cilindro!$B$34),1-EXP(-Presion_cilindro!$B$16*((Presion_cilindro!N298-(-C$4+Presion_cilindro!$B$34))/Presion_cilindro!$B$35)^(Presion_cilindro!$B$17+1)),0))/((Presion_cilindro!O298+Presion_cilindro!O299)/2)</f>
        <v>6.5947878791117649</v>
      </c>
      <c r="D307" s="27">
        <f>D306*(Presion_cilindro!O298/Presion_cilindro!O299)^Presion_cilindro!$B$9+10*(Presion_cilindro!$B$9-1)*Presion_cilindro!$B$33*(IF(Presion_cilindro!N299&gt;(-D$4+Presion_cilindro!$B$34),1-EXP(-Presion_cilindro!$B$16*((Presion_cilindro!N299-(-D$4+Presion_cilindro!$B$34))/Presion_cilindro!$B$35)^(Presion_cilindro!$B$17+1)),0)-IF(Presion_cilindro!N298&gt;(-D$4+Presion_cilindro!$B$34),1-EXP(-Presion_cilindro!$B$16*((Presion_cilindro!N298-(-D$4+Presion_cilindro!$B$34))/Presion_cilindro!$B$35)^(Presion_cilindro!$B$17+1)),0))/((Presion_cilindro!O298+Presion_cilindro!O299)/2)</f>
        <v>6.5947878791117649</v>
      </c>
      <c r="E307" s="27">
        <f>E306*(Presion_cilindro!O298/Presion_cilindro!O299)^Presion_cilindro!$B$9+10*(Presion_cilindro!$B$9-1)*Presion_cilindro!$B$33*(IF(Presion_cilindro!N299&gt;(-E$4+Presion_cilindro!$B$34),1-EXP(-Presion_cilindro!$B$16*((Presion_cilindro!N299-(-E$4+Presion_cilindro!$B$34))/Presion_cilindro!$B$35)^(Presion_cilindro!$B$17+1)),0)-IF(Presion_cilindro!N298&gt;(-E$4+Presion_cilindro!$B$34),1-EXP(-Presion_cilindro!$B$16*((Presion_cilindro!N298-(-E$4+Presion_cilindro!$B$34))/Presion_cilindro!$B$35)^(Presion_cilindro!$B$17+1)),0))/((Presion_cilindro!O298+Presion_cilindro!O299)/2)</f>
        <v>6.5947878791117649</v>
      </c>
      <c r="F307" s="27">
        <f>F306*(Presion_cilindro!O298/Presion_cilindro!O299)^Presion_cilindro!$B$9+10*(Presion_cilindro!$B$9-1)*Presion_cilindro!$B$33*(IF(Presion_cilindro!N299&gt;(-F$4+Presion_cilindro!$B$34),1-EXP(-Presion_cilindro!$B$16*((Presion_cilindro!N299-(-F$4+Presion_cilindro!$B$34))/Presion_cilindro!$B$35)^(Presion_cilindro!$B$17+1)),0)-IF(Presion_cilindro!N298&gt;(-F$4+Presion_cilindro!$B$34),1-EXP(-Presion_cilindro!$B$16*((Presion_cilindro!N298-(-F$4+Presion_cilindro!$B$34))/Presion_cilindro!$B$35)^(Presion_cilindro!$B$17+1)),0))/((Presion_cilindro!O298+Presion_cilindro!O299)/2)</f>
        <v>6.5947878791117649</v>
      </c>
      <c r="G307" s="27">
        <f>G306*(Presion_cilindro!O298/Presion_cilindro!O299)^Presion_cilindro!$B$9+10*(Presion_cilindro!$B$9-1)*Presion_cilindro!$B$33*(IF(Presion_cilindro!N299&gt;(-G$4+Presion_cilindro!$B$34),1-EXP(-Presion_cilindro!$B$16*((Presion_cilindro!N299-(-G$4+Presion_cilindro!$B$34))/Presion_cilindro!$B$35)^(Presion_cilindro!$B$17+1)),0)-IF(Presion_cilindro!N298&gt;(-G$4+Presion_cilindro!$B$34),1-EXP(-Presion_cilindro!$B$16*((Presion_cilindro!N298-(-G$4+Presion_cilindro!$B$34))/Presion_cilindro!$B$35)^(Presion_cilindro!$B$17+1)),0))/((Presion_cilindro!O298+Presion_cilindro!O299)/2)</f>
        <v>6.5947878791117649</v>
      </c>
      <c r="H307" s="27">
        <f>H306*(Presion_cilindro!O298/Presion_cilindro!O299)^Presion_cilindro!$B$9+10*(Presion_cilindro!$B$9-1)*Presion_cilindro!$B$33*(IF(Presion_cilindro!N299&gt;(-H$4+Presion_cilindro!$B$34),1-EXP(-Presion_cilindro!$B$16*((Presion_cilindro!N299-(-H$4+Presion_cilindro!$B$34))/Presion_cilindro!$B$35)^(Presion_cilindro!$B$17+1)),0)-IF(Presion_cilindro!N298&gt;(-H$4+Presion_cilindro!$B$34),1-EXP(-Presion_cilindro!$B$16*((Presion_cilindro!N298-(-H$4+Presion_cilindro!$B$34))/Presion_cilindro!$B$35)^(Presion_cilindro!$B$17+1)),0))/((Presion_cilindro!O298+Presion_cilindro!O299)/2)</f>
        <v>6.5947878791117649</v>
      </c>
      <c r="I307" s="27">
        <f>I306*(Presion_cilindro!O298/Presion_cilindro!O299)^Presion_cilindro!$B$9+10*(Presion_cilindro!$B$9-1)*Presion_cilindro!$B$33*(IF(Presion_cilindro!N299&gt;(-I$4+Presion_cilindro!$B$34),1-EXP(-Presion_cilindro!$B$16*((Presion_cilindro!N299-(-I$4+Presion_cilindro!$B$34))/Presion_cilindro!$B$35)^(Presion_cilindro!$B$17+1)),0)-IF(Presion_cilindro!N298&gt;(-I$4+Presion_cilindro!$B$34),1-EXP(-Presion_cilindro!$B$16*((Presion_cilindro!N298-(-I$4+Presion_cilindro!$B$34))/Presion_cilindro!$B$35)^(Presion_cilindro!$B$17+1)),0))/((Presion_cilindro!O298+Presion_cilindro!O299)/2)</f>
        <v>6.5947878791117649</v>
      </c>
      <c r="J307" s="27">
        <f>J306*(Presion_cilindro!O298/Presion_cilindro!O299)^Presion_cilindro!$B$9+10*(Presion_cilindro!$B$9-1)*Presion_cilindro!$B$33*(IF(Presion_cilindro!N299&gt;(-J$4+Presion_cilindro!$B$34),1-EXP(-Presion_cilindro!$B$16*((Presion_cilindro!N299-(-J$4+Presion_cilindro!$B$34))/Presion_cilindro!$B$35)^(Presion_cilindro!$B$17+1)),0)-IF(Presion_cilindro!N298&gt;(-J$4+Presion_cilindro!$B$34),1-EXP(-Presion_cilindro!$B$16*((Presion_cilindro!N298-(-J$4+Presion_cilindro!$B$34))/Presion_cilindro!$B$35)^(Presion_cilindro!$B$17+1)),0))/((Presion_cilindro!O298+Presion_cilindro!O299)/2)</f>
        <v>6.5948064182778419</v>
      </c>
      <c r="K307" s="27">
        <f>K306*(Presion_cilindro!O298/Presion_cilindro!O299)^Presion_cilindro!$B$9+10*(Presion_cilindro!$B$9-1)*Presion_cilindro!$B$33*(IF(Presion_cilindro!N299&gt;(-K$4+Presion_cilindro!$B$34),1-EXP(-Presion_cilindro!$B$16*((Presion_cilindro!N299-(-K$4+Presion_cilindro!$B$34))/Presion_cilindro!$B$35)^(Presion_cilindro!$B$17+1)),0)-IF(Presion_cilindro!N298&gt;(-K$4+Presion_cilindro!$B$34),1-EXP(-Presion_cilindro!$B$16*((Presion_cilindro!N298-(-K$4+Presion_cilindro!$B$34))/Presion_cilindro!$B$35)^(Presion_cilindro!$B$17+1)),0))/((Presion_cilindro!O298+Presion_cilindro!O299)/2)</f>
        <v>6.6977259734162642</v>
      </c>
      <c r="L307" s="27">
        <f>L306*(Presion_cilindro!O298/Presion_cilindro!O299)^Presion_cilindro!$B$9+10*(Presion_cilindro!$B$9-1)*Presion_cilindro!$B$33*(IF(Presion_cilindro!N299&gt;(-L$4+Presion_cilindro!$B$34),1-EXP(-Presion_cilindro!$B$16*((Presion_cilindro!N299-(-L$4+Presion_cilindro!$B$34))/Presion_cilindro!$B$35)^(Presion_cilindro!$B$17+1)),0)-IF(Presion_cilindro!N298&gt;(-L$4+Presion_cilindro!$B$34),1-EXP(-Presion_cilindro!$B$16*((Presion_cilindro!N298-(-L$4+Presion_cilindro!$B$34))/Presion_cilindro!$B$35)^(Presion_cilindro!$B$17+1)),0))/((Presion_cilindro!O298+Presion_cilindro!O299)/2)</f>
        <v>7.3445947455835991</v>
      </c>
      <c r="M307" s="27">
        <f>M306*(Presion_cilindro!O298/Presion_cilindro!O299)^Presion_cilindro!$B$9+10*(Presion_cilindro!$B$9-1)*Presion_cilindro!$B$33*(IF(Presion_cilindro!N299&gt;(-M$4+Presion_cilindro!$B$34),1-EXP(-Presion_cilindro!$B$16*((Presion_cilindro!N299-(-M$4+Presion_cilindro!$B$34))/Presion_cilindro!$B$35)^(Presion_cilindro!$B$17+1)),0)-IF(Presion_cilindro!N298&gt;(-M$4+Presion_cilindro!$B$34),1-EXP(-Presion_cilindro!$B$16*((Presion_cilindro!N298-(-M$4+Presion_cilindro!$B$34))/Presion_cilindro!$B$35)^(Presion_cilindro!$B$17+1)),0))/((Presion_cilindro!O298+Presion_cilindro!O299)/2)</f>
        <v>8.960957271746409</v>
      </c>
      <c r="N307" s="27">
        <f>N306*(Presion_cilindro!O298/Presion_cilindro!O299)^Presion_cilindro!$B$9+10*(Presion_cilindro!$B$9-1)*Presion_cilindro!$B$33*(IF(Presion_cilindro!N299&gt;(-N$4+Presion_cilindro!$B$34),1-EXP(-Presion_cilindro!$B$16*((Presion_cilindro!N299-(-N$4+Presion_cilindro!$B$34))/Presion_cilindro!$B$35)^(Presion_cilindro!$B$17+1)),0)-IF(Presion_cilindro!N298&gt;(-N$4+Presion_cilindro!$B$34),1-EXP(-Presion_cilindro!$B$16*((Presion_cilindro!N298-(-N$4+Presion_cilindro!$B$34))/Presion_cilindro!$B$35)^(Presion_cilindro!$B$17+1)),0))/((Presion_cilindro!O298+Presion_cilindro!O299)/2)</f>
        <v>11.694281558766406</v>
      </c>
    </row>
    <row r="308" spans="1:14" x14ac:dyDescent="0.25">
      <c r="A308" s="21">
        <f>Presion_cilindro!N300</f>
        <v>-32</v>
      </c>
      <c r="B308" s="27">
        <f>B307*(Presion_cilindro!O299/Presion_cilindro!O300)^Presion_cilindro!$B$9+10*(Presion_cilindro!$B$9-1)*Presion_cilindro!$B$33*(IF(Presion_cilindro!N300&gt;(-B$4+Presion_cilindro!$B$34),1-EXP(-Presion_cilindro!$B$16*((Presion_cilindro!N300-(-B$4+Presion_cilindro!$B$34))/Presion_cilindro!$B$35)^(Presion_cilindro!$B$17+1)),0)-IF(Presion_cilindro!N299&gt;(-B$4+Presion_cilindro!$B$34),1-EXP(-Presion_cilindro!$B$16*((Presion_cilindro!N299-(-B$4+Presion_cilindro!$B$34))/Presion_cilindro!$B$35)^(Presion_cilindro!$B$17+1)),0))/((Presion_cilindro!O299+Presion_cilindro!O300)/2)</f>
        <v>6.7176922351560417</v>
      </c>
      <c r="C308" s="27">
        <f>C307*(Presion_cilindro!O299/Presion_cilindro!O300)^Presion_cilindro!$B$9+10*(Presion_cilindro!$B$9-1)*Presion_cilindro!$B$33*(IF(Presion_cilindro!N300&gt;(-C$4+Presion_cilindro!$B$34),1-EXP(-Presion_cilindro!$B$16*((Presion_cilindro!N300-(-C$4+Presion_cilindro!$B$34))/Presion_cilindro!$B$35)^(Presion_cilindro!$B$17+1)),0)-IF(Presion_cilindro!N299&gt;(-C$4+Presion_cilindro!$B$34),1-EXP(-Presion_cilindro!$B$16*((Presion_cilindro!N299-(-C$4+Presion_cilindro!$B$34))/Presion_cilindro!$B$35)^(Presion_cilindro!$B$17+1)),0))/((Presion_cilindro!O299+Presion_cilindro!O300)/2)</f>
        <v>6.7176922351560417</v>
      </c>
      <c r="D308" s="27">
        <f>D307*(Presion_cilindro!O299/Presion_cilindro!O300)^Presion_cilindro!$B$9+10*(Presion_cilindro!$B$9-1)*Presion_cilindro!$B$33*(IF(Presion_cilindro!N300&gt;(-D$4+Presion_cilindro!$B$34),1-EXP(-Presion_cilindro!$B$16*((Presion_cilindro!N300-(-D$4+Presion_cilindro!$B$34))/Presion_cilindro!$B$35)^(Presion_cilindro!$B$17+1)),0)-IF(Presion_cilindro!N299&gt;(-D$4+Presion_cilindro!$B$34),1-EXP(-Presion_cilindro!$B$16*((Presion_cilindro!N299-(-D$4+Presion_cilindro!$B$34))/Presion_cilindro!$B$35)^(Presion_cilindro!$B$17+1)),0))/((Presion_cilindro!O299+Presion_cilindro!O300)/2)</f>
        <v>6.7176922351560417</v>
      </c>
      <c r="E308" s="27">
        <f>E307*(Presion_cilindro!O299/Presion_cilindro!O300)^Presion_cilindro!$B$9+10*(Presion_cilindro!$B$9-1)*Presion_cilindro!$B$33*(IF(Presion_cilindro!N300&gt;(-E$4+Presion_cilindro!$B$34),1-EXP(-Presion_cilindro!$B$16*((Presion_cilindro!N300-(-E$4+Presion_cilindro!$B$34))/Presion_cilindro!$B$35)^(Presion_cilindro!$B$17+1)),0)-IF(Presion_cilindro!N299&gt;(-E$4+Presion_cilindro!$B$34),1-EXP(-Presion_cilindro!$B$16*((Presion_cilindro!N299-(-E$4+Presion_cilindro!$B$34))/Presion_cilindro!$B$35)^(Presion_cilindro!$B$17+1)),0))/((Presion_cilindro!O299+Presion_cilindro!O300)/2)</f>
        <v>6.7176922351560417</v>
      </c>
      <c r="F308" s="27">
        <f>F307*(Presion_cilindro!O299/Presion_cilindro!O300)^Presion_cilindro!$B$9+10*(Presion_cilindro!$B$9-1)*Presion_cilindro!$B$33*(IF(Presion_cilindro!N300&gt;(-F$4+Presion_cilindro!$B$34),1-EXP(-Presion_cilindro!$B$16*((Presion_cilindro!N300-(-F$4+Presion_cilindro!$B$34))/Presion_cilindro!$B$35)^(Presion_cilindro!$B$17+1)),0)-IF(Presion_cilindro!N299&gt;(-F$4+Presion_cilindro!$B$34),1-EXP(-Presion_cilindro!$B$16*((Presion_cilindro!N299-(-F$4+Presion_cilindro!$B$34))/Presion_cilindro!$B$35)^(Presion_cilindro!$B$17+1)),0))/((Presion_cilindro!O299+Presion_cilindro!O300)/2)</f>
        <v>6.7176922351560417</v>
      </c>
      <c r="G308" s="27">
        <f>G307*(Presion_cilindro!O299/Presion_cilindro!O300)^Presion_cilindro!$B$9+10*(Presion_cilindro!$B$9-1)*Presion_cilindro!$B$33*(IF(Presion_cilindro!N300&gt;(-G$4+Presion_cilindro!$B$34),1-EXP(-Presion_cilindro!$B$16*((Presion_cilindro!N300-(-G$4+Presion_cilindro!$B$34))/Presion_cilindro!$B$35)^(Presion_cilindro!$B$17+1)),0)-IF(Presion_cilindro!N299&gt;(-G$4+Presion_cilindro!$B$34),1-EXP(-Presion_cilindro!$B$16*((Presion_cilindro!N299-(-G$4+Presion_cilindro!$B$34))/Presion_cilindro!$B$35)^(Presion_cilindro!$B$17+1)),0))/((Presion_cilindro!O299+Presion_cilindro!O300)/2)</f>
        <v>6.7176922351560417</v>
      </c>
      <c r="H308" s="27">
        <f>H307*(Presion_cilindro!O299/Presion_cilindro!O300)^Presion_cilindro!$B$9+10*(Presion_cilindro!$B$9-1)*Presion_cilindro!$B$33*(IF(Presion_cilindro!N300&gt;(-H$4+Presion_cilindro!$B$34),1-EXP(-Presion_cilindro!$B$16*((Presion_cilindro!N300-(-H$4+Presion_cilindro!$B$34))/Presion_cilindro!$B$35)^(Presion_cilindro!$B$17+1)),0)-IF(Presion_cilindro!N299&gt;(-H$4+Presion_cilindro!$B$34),1-EXP(-Presion_cilindro!$B$16*((Presion_cilindro!N299-(-H$4+Presion_cilindro!$B$34))/Presion_cilindro!$B$35)^(Presion_cilindro!$B$17+1)),0))/((Presion_cilindro!O299+Presion_cilindro!O300)/2)</f>
        <v>6.7176922351560417</v>
      </c>
      <c r="I308" s="27">
        <f>I307*(Presion_cilindro!O299/Presion_cilindro!O300)^Presion_cilindro!$B$9+10*(Presion_cilindro!$B$9-1)*Presion_cilindro!$B$33*(IF(Presion_cilindro!N300&gt;(-I$4+Presion_cilindro!$B$34),1-EXP(-Presion_cilindro!$B$16*((Presion_cilindro!N300-(-I$4+Presion_cilindro!$B$34))/Presion_cilindro!$B$35)^(Presion_cilindro!$B$17+1)),0)-IF(Presion_cilindro!N299&gt;(-I$4+Presion_cilindro!$B$34),1-EXP(-Presion_cilindro!$B$16*((Presion_cilindro!N299-(-I$4+Presion_cilindro!$B$34))/Presion_cilindro!$B$35)^(Presion_cilindro!$B$17+1)),0))/((Presion_cilindro!O299+Presion_cilindro!O300)/2)</f>
        <v>6.7176922351560417</v>
      </c>
      <c r="J308" s="27">
        <f>J307*(Presion_cilindro!O299/Presion_cilindro!O300)^Presion_cilindro!$B$9+10*(Presion_cilindro!$B$9-1)*Presion_cilindro!$B$33*(IF(Presion_cilindro!N300&gt;(-J$4+Presion_cilindro!$B$34),1-EXP(-Presion_cilindro!$B$16*((Presion_cilindro!N300-(-J$4+Presion_cilindro!$B$34))/Presion_cilindro!$B$35)^(Presion_cilindro!$B$17+1)),0)-IF(Presion_cilindro!N299&gt;(-J$4+Presion_cilindro!$B$34),1-EXP(-Presion_cilindro!$B$16*((Presion_cilindro!N299-(-J$4+Presion_cilindro!$B$34))/Presion_cilindro!$B$35)^(Presion_cilindro!$B$17+1)),0))/((Presion_cilindro!O299+Presion_cilindro!O300)/2)</f>
        <v>6.7180487875100292</v>
      </c>
      <c r="K308" s="27">
        <f>K307*(Presion_cilindro!O299/Presion_cilindro!O300)^Presion_cilindro!$B$9+10*(Presion_cilindro!$B$9-1)*Presion_cilindro!$B$33*(IF(Presion_cilindro!N300&gt;(-K$4+Presion_cilindro!$B$34),1-EXP(-Presion_cilindro!$B$16*((Presion_cilindro!N300-(-K$4+Presion_cilindro!$B$34))/Presion_cilindro!$B$35)^(Presion_cilindro!$B$17+1)),0)-IF(Presion_cilindro!N299&gt;(-K$4+Presion_cilindro!$B$34),1-EXP(-Presion_cilindro!$B$16*((Presion_cilindro!N299-(-K$4+Presion_cilindro!$B$34))/Presion_cilindro!$B$35)^(Presion_cilindro!$B$17+1)),0))/((Presion_cilindro!O299+Presion_cilindro!O300)/2)</f>
        <v>6.8545128648866394</v>
      </c>
      <c r="L308" s="27">
        <f>L307*(Presion_cilindro!O299/Presion_cilindro!O300)^Presion_cilindro!$B$9+10*(Presion_cilindro!$B$9-1)*Presion_cilindro!$B$33*(IF(Presion_cilindro!N300&gt;(-L$4+Presion_cilindro!$B$34),1-EXP(-Presion_cilindro!$B$16*((Presion_cilindro!N300-(-L$4+Presion_cilindro!$B$34))/Presion_cilindro!$B$35)^(Presion_cilindro!$B$17+1)),0)-IF(Presion_cilindro!N299&gt;(-L$4+Presion_cilindro!$B$34),1-EXP(-Presion_cilindro!$B$16*((Presion_cilindro!N299-(-L$4+Presion_cilindro!$B$34))/Presion_cilindro!$B$35)^(Presion_cilindro!$B$17+1)),0))/((Presion_cilindro!O299+Presion_cilindro!O300)/2)</f>
        <v>7.5922626711064751</v>
      </c>
      <c r="M308" s="27">
        <f>M307*(Presion_cilindro!O299/Presion_cilindro!O300)^Presion_cilindro!$B$9+10*(Presion_cilindro!$B$9-1)*Presion_cilindro!$B$33*(IF(Presion_cilindro!N300&gt;(-M$4+Presion_cilindro!$B$34),1-EXP(-Presion_cilindro!$B$16*((Presion_cilindro!N300-(-M$4+Presion_cilindro!$B$34))/Presion_cilindro!$B$35)^(Presion_cilindro!$B$17+1)),0)-IF(Presion_cilindro!N299&gt;(-M$4+Presion_cilindro!$B$34),1-EXP(-Presion_cilindro!$B$16*((Presion_cilindro!N299-(-M$4+Presion_cilindro!$B$34))/Presion_cilindro!$B$35)^(Presion_cilindro!$B$17+1)),0))/((Presion_cilindro!O299+Presion_cilindro!O300)/2)</f>
        <v>9.3444214579058169</v>
      </c>
      <c r="N308" s="27">
        <f>N307*(Presion_cilindro!O299/Presion_cilindro!O300)^Presion_cilindro!$B$9+10*(Presion_cilindro!$B$9-1)*Presion_cilindro!$B$33*(IF(Presion_cilindro!N300&gt;(-N$4+Presion_cilindro!$B$34),1-EXP(-Presion_cilindro!$B$16*((Presion_cilindro!N300-(-N$4+Presion_cilindro!$B$34))/Presion_cilindro!$B$35)^(Presion_cilindro!$B$17+1)),0)-IF(Presion_cilindro!N299&gt;(-N$4+Presion_cilindro!$B$34),1-EXP(-Presion_cilindro!$B$16*((Presion_cilindro!N299-(-N$4+Presion_cilindro!$B$34))/Presion_cilindro!$B$35)^(Presion_cilindro!$B$17+1)),0))/((Presion_cilindro!O299+Presion_cilindro!O300)/2)</f>
        <v>12.22125110466717</v>
      </c>
    </row>
    <row r="309" spans="1:14" x14ac:dyDescent="0.25">
      <c r="A309" s="21">
        <f>Presion_cilindro!N301</f>
        <v>-31.5</v>
      </c>
      <c r="B309" s="27">
        <f>B308*(Presion_cilindro!O300/Presion_cilindro!O301)^Presion_cilindro!$B$9+10*(Presion_cilindro!$B$9-1)*Presion_cilindro!$B$33*(IF(Presion_cilindro!N301&gt;(-B$4+Presion_cilindro!$B$34),1-EXP(-Presion_cilindro!$B$16*((Presion_cilindro!N301-(-B$4+Presion_cilindro!$B$34))/Presion_cilindro!$B$35)^(Presion_cilindro!$B$17+1)),0)-IF(Presion_cilindro!N300&gt;(-B$4+Presion_cilindro!$B$34),1-EXP(-Presion_cilindro!$B$16*((Presion_cilindro!N300-(-B$4+Presion_cilindro!$B$34))/Presion_cilindro!$B$35)^(Presion_cilindro!$B$17+1)),0))/((Presion_cilindro!O300+Presion_cilindro!O301)/2)</f>
        <v>6.8430050680798962</v>
      </c>
      <c r="C309" s="27">
        <f>C308*(Presion_cilindro!O300/Presion_cilindro!O301)^Presion_cilindro!$B$9+10*(Presion_cilindro!$B$9-1)*Presion_cilindro!$B$33*(IF(Presion_cilindro!N301&gt;(-C$4+Presion_cilindro!$B$34),1-EXP(-Presion_cilindro!$B$16*((Presion_cilindro!N301-(-C$4+Presion_cilindro!$B$34))/Presion_cilindro!$B$35)^(Presion_cilindro!$B$17+1)),0)-IF(Presion_cilindro!N300&gt;(-C$4+Presion_cilindro!$B$34),1-EXP(-Presion_cilindro!$B$16*((Presion_cilindro!N300-(-C$4+Presion_cilindro!$B$34))/Presion_cilindro!$B$35)^(Presion_cilindro!$B$17+1)),0))/((Presion_cilindro!O300+Presion_cilindro!O301)/2)</f>
        <v>6.8430050680798962</v>
      </c>
      <c r="D309" s="27">
        <f>D308*(Presion_cilindro!O300/Presion_cilindro!O301)^Presion_cilindro!$B$9+10*(Presion_cilindro!$B$9-1)*Presion_cilindro!$B$33*(IF(Presion_cilindro!N301&gt;(-D$4+Presion_cilindro!$B$34),1-EXP(-Presion_cilindro!$B$16*((Presion_cilindro!N301-(-D$4+Presion_cilindro!$B$34))/Presion_cilindro!$B$35)^(Presion_cilindro!$B$17+1)),0)-IF(Presion_cilindro!N300&gt;(-D$4+Presion_cilindro!$B$34),1-EXP(-Presion_cilindro!$B$16*((Presion_cilindro!N300-(-D$4+Presion_cilindro!$B$34))/Presion_cilindro!$B$35)^(Presion_cilindro!$B$17+1)),0))/((Presion_cilindro!O300+Presion_cilindro!O301)/2)</f>
        <v>6.8430050680798962</v>
      </c>
      <c r="E309" s="27">
        <f>E308*(Presion_cilindro!O300/Presion_cilindro!O301)^Presion_cilindro!$B$9+10*(Presion_cilindro!$B$9-1)*Presion_cilindro!$B$33*(IF(Presion_cilindro!N301&gt;(-E$4+Presion_cilindro!$B$34),1-EXP(-Presion_cilindro!$B$16*((Presion_cilindro!N301-(-E$4+Presion_cilindro!$B$34))/Presion_cilindro!$B$35)^(Presion_cilindro!$B$17+1)),0)-IF(Presion_cilindro!N300&gt;(-E$4+Presion_cilindro!$B$34),1-EXP(-Presion_cilindro!$B$16*((Presion_cilindro!N300-(-E$4+Presion_cilindro!$B$34))/Presion_cilindro!$B$35)^(Presion_cilindro!$B$17+1)),0))/((Presion_cilindro!O300+Presion_cilindro!O301)/2)</f>
        <v>6.8430050680798962</v>
      </c>
      <c r="F309" s="27">
        <f>F308*(Presion_cilindro!O300/Presion_cilindro!O301)^Presion_cilindro!$B$9+10*(Presion_cilindro!$B$9-1)*Presion_cilindro!$B$33*(IF(Presion_cilindro!N301&gt;(-F$4+Presion_cilindro!$B$34),1-EXP(-Presion_cilindro!$B$16*((Presion_cilindro!N301-(-F$4+Presion_cilindro!$B$34))/Presion_cilindro!$B$35)^(Presion_cilindro!$B$17+1)),0)-IF(Presion_cilindro!N300&gt;(-F$4+Presion_cilindro!$B$34),1-EXP(-Presion_cilindro!$B$16*((Presion_cilindro!N300-(-F$4+Presion_cilindro!$B$34))/Presion_cilindro!$B$35)^(Presion_cilindro!$B$17+1)),0))/((Presion_cilindro!O300+Presion_cilindro!O301)/2)</f>
        <v>6.8430050680798962</v>
      </c>
      <c r="G309" s="27">
        <f>G308*(Presion_cilindro!O300/Presion_cilindro!O301)^Presion_cilindro!$B$9+10*(Presion_cilindro!$B$9-1)*Presion_cilindro!$B$33*(IF(Presion_cilindro!N301&gt;(-G$4+Presion_cilindro!$B$34),1-EXP(-Presion_cilindro!$B$16*((Presion_cilindro!N301-(-G$4+Presion_cilindro!$B$34))/Presion_cilindro!$B$35)^(Presion_cilindro!$B$17+1)),0)-IF(Presion_cilindro!N300&gt;(-G$4+Presion_cilindro!$B$34),1-EXP(-Presion_cilindro!$B$16*((Presion_cilindro!N300-(-G$4+Presion_cilindro!$B$34))/Presion_cilindro!$B$35)^(Presion_cilindro!$B$17+1)),0))/((Presion_cilindro!O300+Presion_cilindro!O301)/2)</f>
        <v>6.8430050680798962</v>
      </c>
      <c r="H309" s="27">
        <f>H308*(Presion_cilindro!O300/Presion_cilindro!O301)^Presion_cilindro!$B$9+10*(Presion_cilindro!$B$9-1)*Presion_cilindro!$B$33*(IF(Presion_cilindro!N301&gt;(-H$4+Presion_cilindro!$B$34),1-EXP(-Presion_cilindro!$B$16*((Presion_cilindro!N301-(-H$4+Presion_cilindro!$B$34))/Presion_cilindro!$B$35)^(Presion_cilindro!$B$17+1)),0)-IF(Presion_cilindro!N300&gt;(-H$4+Presion_cilindro!$B$34),1-EXP(-Presion_cilindro!$B$16*((Presion_cilindro!N300-(-H$4+Presion_cilindro!$B$34))/Presion_cilindro!$B$35)^(Presion_cilindro!$B$17+1)),0))/((Presion_cilindro!O300+Presion_cilindro!O301)/2)</f>
        <v>6.8430050680798962</v>
      </c>
      <c r="I309" s="27">
        <f>I308*(Presion_cilindro!O300/Presion_cilindro!O301)^Presion_cilindro!$B$9+10*(Presion_cilindro!$B$9-1)*Presion_cilindro!$B$33*(IF(Presion_cilindro!N301&gt;(-I$4+Presion_cilindro!$B$34),1-EXP(-Presion_cilindro!$B$16*((Presion_cilindro!N301-(-I$4+Presion_cilindro!$B$34))/Presion_cilindro!$B$35)^(Presion_cilindro!$B$17+1)),0)-IF(Presion_cilindro!N300&gt;(-I$4+Presion_cilindro!$B$34),1-EXP(-Presion_cilindro!$B$16*((Presion_cilindro!N300-(-I$4+Presion_cilindro!$B$34))/Presion_cilindro!$B$35)^(Presion_cilindro!$B$17+1)),0))/((Presion_cilindro!O300+Presion_cilindro!O301)/2)</f>
        <v>6.8430050680798962</v>
      </c>
      <c r="J309" s="27">
        <f>J308*(Presion_cilindro!O300/Presion_cilindro!O301)^Presion_cilindro!$B$9+10*(Presion_cilindro!$B$9-1)*Presion_cilindro!$B$33*(IF(Presion_cilindro!N301&gt;(-J$4+Presion_cilindro!$B$34),1-EXP(-Presion_cilindro!$B$16*((Presion_cilindro!N301-(-J$4+Presion_cilindro!$B$34))/Presion_cilindro!$B$35)^(Presion_cilindro!$B$17+1)),0)-IF(Presion_cilindro!N300&gt;(-J$4+Presion_cilindro!$B$34),1-EXP(-Presion_cilindro!$B$16*((Presion_cilindro!N300-(-J$4+Presion_cilindro!$B$34))/Presion_cilindro!$B$35)^(Presion_cilindro!$B$17+1)),0))/((Presion_cilindro!O300+Presion_cilindro!O301)/2)</f>
        <v>6.844557761289944</v>
      </c>
      <c r="K309" s="27">
        <f>K308*(Presion_cilindro!O300/Presion_cilindro!O301)^Presion_cilindro!$B$9+10*(Presion_cilindro!$B$9-1)*Presion_cilindro!$B$33*(IF(Presion_cilindro!N301&gt;(-K$4+Presion_cilindro!$B$34),1-EXP(-Presion_cilindro!$B$16*((Presion_cilindro!N301-(-K$4+Presion_cilindro!$B$34))/Presion_cilindro!$B$35)^(Presion_cilindro!$B$17+1)),0)-IF(Presion_cilindro!N300&gt;(-K$4+Presion_cilindro!$B$34),1-EXP(-Presion_cilindro!$B$16*((Presion_cilindro!N300-(-K$4+Presion_cilindro!$B$34))/Presion_cilindro!$B$35)^(Presion_cilindro!$B$17+1)),0))/((Presion_cilindro!O300+Presion_cilindro!O301)/2)</f>
        <v>7.0208082185669936</v>
      </c>
      <c r="L309" s="27">
        <f>L308*(Presion_cilindro!O300/Presion_cilindro!O301)^Presion_cilindro!$B$9+10*(Presion_cilindro!$B$9-1)*Presion_cilindro!$B$33*(IF(Presion_cilindro!N301&gt;(-L$4+Presion_cilindro!$B$34),1-EXP(-Presion_cilindro!$B$16*((Presion_cilindro!N301-(-L$4+Presion_cilindro!$B$34))/Presion_cilindro!$B$35)^(Presion_cilindro!$B$17+1)),0)-IF(Presion_cilindro!N300&gt;(-L$4+Presion_cilindro!$B$34),1-EXP(-Presion_cilindro!$B$16*((Presion_cilindro!N300-(-L$4+Presion_cilindro!$B$34))/Presion_cilindro!$B$35)^(Presion_cilindro!$B$17+1)),0))/((Presion_cilindro!O300+Presion_cilindro!O301)/2)</f>
        <v>7.8562468416959348</v>
      </c>
      <c r="M309" s="27">
        <f>M308*(Presion_cilindro!O300/Presion_cilindro!O301)^Presion_cilindro!$B$9+10*(Presion_cilindro!$B$9-1)*Presion_cilindro!$B$33*(IF(Presion_cilindro!N301&gt;(-M$4+Presion_cilindro!$B$34),1-EXP(-Presion_cilindro!$B$16*((Presion_cilindro!N301-(-M$4+Presion_cilindro!$B$34))/Presion_cilindro!$B$35)^(Presion_cilindro!$B$17+1)),0)-IF(Presion_cilindro!N300&gt;(-M$4+Presion_cilindro!$B$34),1-EXP(-Presion_cilindro!$B$16*((Presion_cilindro!N300-(-M$4+Presion_cilindro!$B$34))/Presion_cilindro!$B$35)^(Presion_cilindro!$B$17+1)),0))/((Presion_cilindro!O300+Presion_cilindro!O301)/2)</f>
        <v>9.7490032937650142</v>
      </c>
      <c r="N309" s="27">
        <f>N308*(Presion_cilindro!O300/Presion_cilindro!O301)^Presion_cilindro!$B$9+10*(Presion_cilindro!$B$9-1)*Presion_cilindro!$B$33*(IF(Presion_cilindro!N301&gt;(-N$4+Presion_cilindro!$B$34),1-EXP(-Presion_cilindro!$B$16*((Presion_cilindro!N301-(-N$4+Presion_cilindro!$B$34))/Presion_cilindro!$B$35)^(Presion_cilindro!$B$17+1)),0)-IF(Presion_cilindro!N300&gt;(-N$4+Presion_cilindro!$B$34),1-EXP(-Presion_cilindro!$B$16*((Presion_cilindro!N300-(-N$4+Presion_cilindro!$B$34))/Presion_cilindro!$B$35)^(Presion_cilindro!$B$17+1)),0))/((Presion_cilindro!O300+Presion_cilindro!O301)/2)</f>
        <v>12.769383068810676</v>
      </c>
    </row>
    <row r="310" spans="1:14" x14ac:dyDescent="0.25">
      <c r="A310" s="21">
        <f>Presion_cilindro!N302</f>
        <v>-31</v>
      </c>
      <c r="B310" s="27">
        <f>B309*(Presion_cilindro!O301/Presion_cilindro!O302)^Presion_cilindro!$B$9+10*(Presion_cilindro!$B$9-1)*Presion_cilindro!$B$33*(IF(Presion_cilindro!N302&gt;(-B$4+Presion_cilindro!$B$34),1-EXP(-Presion_cilindro!$B$16*((Presion_cilindro!N302-(-B$4+Presion_cilindro!$B$34))/Presion_cilindro!$B$35)^(Presion_cilindro!$B$17+1)),0)-IF(Presion_cilindro!N301&gt;(-B$4+Presion_cilindro!$B$34),1-EXP(-Presion_cilindro!$B$16*((Presion_cilindro!N301-(-B$4+Presion_cilindro!$B$34))/Presion_cilindro!$B$35)^(Presion_cilindro!$B$17+1)),0))/((Presion_cilindro!O301+Presion_cilindro!O302)/2)</f>
        <v>6.9707396596879816</v>
      </c>
      <c r="C310" s="27">
        <f>C309*(Presion_cilindro!O301/Presion_cilindro!O302)^Presion_cilindro!$B$9+10*(Presion_cilindro!$B$9-1)*Presion_cilindro!$B$33*(IF(Presion_cilindro!N302&gt;(-C$4+Presion_cilindro!$B$34),1-EXP(-Presion_cilindro!$B$16*((Presion_cilindro!N302-(-C$4+Presion_cilindro!$B$34))/Presion_cilindro!$B$35)^(Presion_cilindro!$B$17+1)),0)-IF(Presion_cilindro!N301&gt;(-C$4+Presion_cilindro!$B$34),1-EXP(-Presion_cilindro!$B$16*((Presion_cilindro!N301-(-C$4+Presion_cilindro!$B$34))/Presion_cilindro!$B$35)^(Presion_cilindro!$B$17+1)),0))/((Presion_cilindro!O301+Presion_cilindro!O302)/2)</f>
        <v>6.9707396596879816</v>
      </c>
      <c r="D310" s="27">
        <f>D309*(Presion_cilindro!O301/Presion_cilindro!O302)^Presion_cilindro!$B$9+10*(Presion_cilindro!$B$9-1)*Presion_cilindro!$B$33*(IF(Presion_cilindro!N302&gt;(-D$4+Presion_cilindro!$B$34),1-EXP(-Presion_cilindro!$B$16*((Presion_cilindro!N302-(-D$4+Presion_cilindro!$B$34))/Presion_cilindro!$B$35)^(Presion_cilindro!$B$17+1)),0)-IF(Presion_cilindro!N301&gt;(-D$4+Presion_cilindro!$B$34),1-EXP(-Presion_cilindro!$B$16*((Presion_cilindro!N301-(-D$4+Presion_cilindro!$B$34))/Presion_cilindro!$B$35)^(Presion_cilindro!$B$17+1)),0))/((Presion_cilindro!O301+Presion_cilindro!O302)/2)</f>
        <v>6.9707396596879816</v>
      </c>
      <c r="E310" s="27">
        <f>E309*(Presion_cilindro!O301/Presion_cilindro!O302)^Presion_cilindro!$B$9+10*(Presion_cilindro!$B$9-1)*Presion_cilindro!$B$33*(IF(Presion_cilindro!N302&gt;(-E$4+Presion_cilindro!$B$34),1-EXP(-Presion_cilindro!$B$16*((Presion_cilindro!N302-(-E$4+Presion_cilindro!$B$34))/Presion_cilindro!$B$35)^(Presion_cilindro!$B$17+1)),0)-IF(Presion_cilindro!N301&gt;(-E$4+Presion_cilindro!$B$34),1-EXP(-Presion_cilindro!$B$16*((Presion_cilindro!N301-(-E$4+Presion_cilindro!$B$34))/Presion_cilindro!$B$35)^(Presion_cilindro!$B$17+1)),0))/((Presion_cilindro!O301+Presion_cilindro!O302)/2)</f>
        <v>6.9707396596879816</v>
      </c>
      <c r="F310" s="27">
        <f>F309*(Presion_cilindro!O301/Presion_cilindro!O302)^Presion_cilindro!$B$9+10*(Presion_cilindro!$B$9-1)*Presion_cilindro!$B$33*(IF(Presion_cilindro!N302&gt;(-F$4+Presion_cilindro!$B$34),1-EXP(-Presion_cilindro!$B$16*((Presion_cilindro!N302-(-F$4+Presion_cilindro!$B$34))/Presion_cilindro!$B$35)^(Presion_cilindro!$B$17+1)),0)-IF(Presion_cilindro!N301&gt;(-F$4+Presion_cilindro!$B$34),1-EXP(-Presion_cilindro!$B$16*((Presion_cilindro!N301-(-F$4+Presion_cilindro!$B$34))/Presion_cilindro!$B$35)^(Presion_cilindro!$B$17+1)),0))/((Presion_cilindro!O301+Presion_cilindro!O302)/2)</f>
        <v>6.9707396596879816</v>
      </c>
      <c r="G310" s="27">
        <f>G309*(Presion_cilindro!O301/Presion_cilindro!O302)^Presion_cilindro!$B$9+10*(Presion_cilindro!$B$9-1)*Presion_cilindro!$B$33*(IF(Presion_cilindro!N302&gt;(-G$4+Presion_cilindro!$B$34),1-EXP(-Presion_cilindro!$B$16*((Presion_cilindro!N302-(-G$4+Presion_cilindro!$B$34))/Presion_cilindro!$B$35)^(Presion_cilindro!$B$17+1)),0)-IF(Presion_cilindro!N301&gt;(-G$4+Presion_cilindro!$B$34),1-EXP(-Presion_cilindro!$B$16*((Presion_cilindro!N301-(-G$4+Presion_cilindro!$B$34))/Presion_cilindro!$B$35)^(Presion_cilindro!$B$17+1)),0))/((Presion_cilindro!O301+Presion_cilindro!O302)/2)</f>
        <v>6.9707396596879816</v>
      </c>
      <c r="H310" s="27">
        <f>H309*(Presion_cilindro!O301/Presion_cilindro!O302)^Presion_cilindro!$B$9+10*(Presion_cilindro!$B$9-1)*Presion_cilindro!$B$33*(IF(Presion_cilindro!N302&gt;(-H$4+Presion_cilindro!$B$34),1-EXP(-Presion_cilindro!$B$16*((Presion_cilindro!N302-(-H$4+Presion_cilindro!$B$34))/Presion_cilindro!$B$35)^(Presion_cilindro!$B$17+1)),0)-IF(Presion_cilindro!N301&gt;(-H$4+Presion_cilindro!$B$34),1-EXP(-Presion_cilindro!$B$16*((Presion_cilindro!N301-(-H$4+Presion_cilindro!$B$34))/Presion_cilindro!$B$35)^(Presion_cilindro!$B$17+1)),0))/((Presion_cilindro!O301+Presion_cilindro!O302)/2)</f>
        <v>6.9707396596879816</v>
      </c>
      <c r="I310" s="27">
        <f>I309*(Presion_cilindro!O301/Presion_cilindro!O302)^Presion_cilindro!$B$9+10*(Presion_cilindro!$B$9-1)*Presion_cilindro!$B$33*(IF(Presion_cilindro!N302&gt;(-I$4+Presion_cilindro!$B$34),1-EXP(-Presion_cilindro!$B$16*((Presion_cilindro!N302-(-I$4+Presion_cilindro!$B$34))/Presion_cilindro!$B$35)^(Presion_cilindro!$B$17+1)),0)-IF(Presion_cilindro!N301&gt;(-I$4+Presion_cilindro!$B$34),1-EXP(-Presion_cilindro!$B$16*((Presion_cilindro!N301-(-I$4+Presion_cilindro!$B$34))/Presion_cilindro!$B$35)^(Presion_cilindro!$B$17+1)),0))/((Presion_cilindro!O301+Presion_cilindro!O302)/2)</f>
        <v>6.9707396596879816</v>
      </c>
      <c r="J310" s="27">
        <f>J309*(Presion_cilindro!O301/Presion_cilindro!O302)^Presion_cilindro!$B$9+10*(Presion_cilindro!$B$9-1)*Presion_cilindro!$B$33*(IF(Presion_cilindro!N302&gt;(-J$4+Presion_cilindro!$B$34),1-EXP(-Presion_cilindro!$B$16*((Presion_cilindro!N302-(-J$4+Presion_cilindro!$B$34))/Presion_cilindro!$B$35)^(Presion_cilindro!$B$17+1)),0)-IF(Presion_cilindro!N301&gt;(-J$4+Presion_cilindro!$B$34),1-EXP(-Presion_cilindro!$B$16*((Presion_cilindro!N301-(-J$4+Presion_cilindro!$B$34))/Presion_cilindro!$B$35)^(Presion_cilindro!$B$17+1)),0))/((Presion_cilindro!O301+Presion_cilindro!O302)/2)</f>
        <v>6.9749230226743517</v>
      </c>
      <c r="K310" s="27">
        <f>K309*(Presion_cilindro!O301/Presion_cilindro!O302)^Presion_cilindro!$B$9+10*(Presion_cilindro!$B$9-1)*Presion_cilindro!$B$33*(IF(Presion_cilindro!N302&gt;(-K$4+Presion_cilindro!$B$34),1-EXP(-Presion_cilindro!$B$16*((Presion_cilindro!N302-(-K$4+Presion_cilindro!$B$34))/Presion_cilindro!$B$35)^(Presion_cilindro!$B$17+1)),0)-IF(Presion_cilindro!N301&gt;(-K$4+Presion_cilindro!$B$34),1-EXP(-Presion_cilindro!$B$16*((Presion_cilindro!N301-(-K$4+Presion_cilindro!$B$34))/Presion_cilindro!$B$35)^(Presion_cilindro!$B$17+1)),0))/((Presion_cilindro!O301+Presion_cilindro!O302)/2)</f>
        <v>7.1974218175616373</v>
      </c>
      <c r="L310" s="27">
        <f>L309*(Presion_cilindro!O301/Presion_cilindro!O302)^Presion_cilindro!$B$9+10*(Presion_cilindro!$B$9-1)*Presion_cilindro!$B$33*(IF(Presion_cilindro!N302&gt;(-L$4+Presion_cilindro!$B$34),1-EXP(-Presion_cilindro!$B$16*((Presion_cilindro!N302-(-L$4+Presion_cilindro!$B$34))/Presion_cilindro!$B$35)^(Presion_cilindro!$B$17+1)),0)-IF(Presion_cilindro!N301&gt;(-L$4+Presion_cilindro!$B$34),1-EXP(-Presion_cilindro!$B$16*((Presion_cilindro!N301-(-L$4+Presion_cilindro!$B$34))/Presion_cilindro!$B$35)^(Presion_cilindro!$B$17+1)),0))/((Presion_cilindro!O301+Presion_cilindro!O302)/2)</f>
        <v>8.1373845899324841</v>
      </c>
      <c r="M310" s="27">
        <f>M309*(Presion_cilindro!O301/Presion_cilindro!O302)^Presion_cilindro!$B$9+10*(Presion_cilindro!$B$9-1)*Presion_cilindro!$B$33*(IF(Presion_cilindro!N302&gt;(-M$4+Presion_cilindro!$B$34),1-EXP(-Presion_cilindro!$B$16*((Presion_cilindro!N302-(-M$4+Presion_cilindro!$B$34))/Presion_cilindro!$B$35)^(Presion_cilindro!$B$17+1)),0)-IF(Presion_cilindro!N301&gt;(-M$4+Presion_cilindro!$B$34),1-EXP(-Presion_cilindro!$B$16*((Presion_cilindro!N301-(-M$4+Presion_cilindro!$B$34))/Presion_cilindro!$B$35)^(Presion_cilindro!$B$17+1)),0))/((Presion_cilindro!O301+Presion_cilindro!O302)/2)</f>
        <v>10.175226497070076</v>
      </c>
      <c r="N310" s="27">
        <f>N309*(Presion_cilindro!O301/Presion_cilindro!O302)^Presion_cilindro!$B$9+10*(Presion_cilindro!$B$9-1)*Presion_cilindro!$B$33*(IF(Presion_cilindro!N302&gt;(-N$4+Presion_cilindro!$B$34),1-EXP(-Presion_cilindro!$B$16*((Presion_cilindro!N302-(-N$4+Presion_cilindro!$B$34))/Presion_cilindro!$B$35)^(Presion_cilindro!$B$17+1)),0)-IF(Presion_cilindro!N301&gt;(-N$4+Presion_cilindro!$B$34),1-EXP(-Presion_cilindro!$B$16*((Presion_cilindro!N301-(-N$4+Presion_cilindro!$B$34))/Presion_cilindro!$B$35)^(Presion_cilindro!$B$17+1)),0))/((Presion_cilindro!O301+Presion_cilindro!O302)/2)</f>
        <v>13.33862578079812</v>
      </c>
    </row>
    <row r="311" spans="1:14" x14ac:dyDescent="0.25">
      <c r="A311" s="21">
        <f>Presion_cilindro!N303</f>
        <v>-30.5</v>
      </c>
      <c r="B311" s="27">
        <f>B310*(Presion_cilindro!O302/Presion_cilindro!O303)^Presion_cilindro!$B$9+10*(Presion_cilindro!$B$9-1)*Presion_cilindro!$B$33*(IF(Presion_cilindro!N303&gt;(-B$4+Presion_cilindro!$B$34),1-EXP(-Presion_cilindro!$B$16*((Presion_cilindro!N303-(-B$4+Presion_cilindro!$B$34))/Presion_cilindro!$B$35)^(Presion_cilindro!$B$17+1)),0)-IF(Presion_cilindro!N302&gt;(-B$4+Presion_cilindro!$B$34),1-EXP(-Presion_cilindro!$B$16*((Presion_cilindro!N302-(-B$4+Presion_cilindro!$B$34))/Presion_cilindro!$B$35)^(Presion_cilindro!$B$17+1)),0))/((Presion_cilindro!O302+Presion_cilindro!O303)/2)</f>
        <v>7.1009060127726942</v>
      </c>
      <c r="C311" s="27">
        <f>C310*(Presion_cilindro!O302/Presion_cilindro!O303)^Presion_cilindro!$B$9+10*(Presion_cilindro!$B$9-1)*Presion_cilindro!$B$33*(IF(Presion_cilindro!N303&gt;(-C$4+Presion_cilindro!$B$34),1-EXP(-Presion_cilindro!$B$16*((Presion_cilindro!N303-(-C$4+Presion_cilindro!$B$34))/Presion_cilindro!$B$35)^(Presion_cilindro!$B$17+1)),0)-IF(Presion_cilindro!N302&gt;(-C$4+Presion_cilindro!$B$34),1-EXP(-Presion_cilindro!$B$16*((Presion_cilindro!N302-(-C$4+Presion_cilindro!$B$34))/Presion_cilindro!$B$35)^(Presion_cilindro!$B$17+1)),0))/((Presion_cilindro!O302+Presion_cilindro!O303)/2)</f>
        <v>7.1009060127726942</v>
      </c>
      <c r="D311" s="27">
        <f>D310*(Presion_cilindro!O302/Presion_cilindro!O303)^Presion_cilindro!$B$9+10*(Presion_cilindro!$B$9-1)*Presion_cilindro!$B$33*(IF(Presion_cilindro!N303&gt;(-D$4+Presion_cilindro!$B$34),1-EXP(-Presion_cilindro!$B$16*((Presion_cilindro!N303-(-D$4+Presion_cilindro!$B$34))/Presion_cilindro!$B$35)^(Presion_cilindro!$B$17+1)),0)-IF(Presion_cilindro!N302&gt;(-D$4+Presion_cilindro!$B$34),1-EXP(-Presion_cilindro!$B$16*((Presion_cilindro!N302-(-D$4+Presion_cilindro!$B$34))/Presion_cilindro!$B$35)^(Presion_cilindro!$B$17+1)),0))/((Presion_cilindro!O302+Presion_cilindro!O303)/2)</f>
        <v>7.1009060127726942</v>
      </c>
      <c r="E311" s="27">
        <f>E310*(Presion_cilindro!O302/Presion_cilindro!O303)^Presion_cilindro!$B$9+10*(Presion_cilindro!$B$9-1)*Presion_cilindro!$B$33*(IF(Presion_cilindro!N303&gt;(-E$4+Presion_cilindro!$B$34),1-EXP(-Presion_cilindro!$B$16*((Presion_cilindro!N303-(-E$4+Presion_cilindro!$B$34))/Presion_cilindro!$B$35)^(Presion_cilindro!$B$17+1)),0)-IF(Presion_cilindro!N302&gt;(-E$4+Presion_cilindro!$B$34),1-EXP(-Presion_cilindro!$B$16*((Presion_cilindro!N302-(-E$4+Presion_cilindro!$B$34))/Presion_cilindro!$B$35)^(Presion_cilindro!$B$17+1)),0))/((Presion_cilindro!O302+Presion_cilindro!O303)/2)</f>
        <v>7.1009060127726942</v>
      </c>
      <c r="F311" s="27">
        <f>F310*(Presion_cilindro!O302/Presion_cilindro!O303)^Presion_cilindro!$B$9+10*(Presion_cilindro!$B$9-1)*Presion_cilindro!$B$33*(IF(Presion_cilindro!N303&gt;(-F$4+Presion_cilindro!$B$34),1-EXP(-Presion_cilindro!$B$16*((Presion_cilindro!N303-(-F$4+Presion_cilindro!$B$34))/Presion_cilindro!$B$35)^(Presion_cilindro!$B$17+1)),0)-IF(Presion_cilindro!N302&gt;(-F$4+Presion_cilindro!$B$34),1-EXP(-Presion_cilindro!$B$16*((Presion_cilindro!N302-(-F$4+Presion_cilindro!$B$34))/Presion_cilindro!$B$35)^(Presion_cilindro!$B$17+1)),0))/((Presion_cilindro!O302+Presion_cilindro!O303)/2)</f>
        <v>7.1009060127726942</v>
      </c>
      <c r="G311" s="27">
        <f>G310*(Presion_cilindro!O302/Presion_cilindro!O303)^Presion_cilindro!$B$9+10*(Presion_cilindro!$B$9-1)*Presion_cilindro!$B$33*(IF(Presion_cilindro!N303&gt;(-G$4+Presion_cilindro!$B$34),1-EXP(-Presion_cilindro!$B$16*((Presion_cilindro!N303-(-G$4+Presion_cilindro!$B$34))/Presion_cilindro!$B$35)^(Presion_cilindro!$B$17+1)),0)-IF(Presion_cilindro!N302&gt;(-G$4+Presion_cilindro!$B$34),1-EXP(-Presion_cilindro!$B$16*((Presion_cilindro!N302-(-G$4+Presion_cilindro!$B$34))/Presion_cilindro!$B$35)^(Presion_cilindro!$B$17+1)),0))/((Presion_cilindro!O302+Presion_cilindro!O303)/2)</f>
        <v>7.1009060127726942</v>
      </c>
      <c r="H311" s="27">
        <f>H310*(Presion_cilindro!O302/Presion_cilindro!O303)^Presion_cilindro!$B$9+10*(Presion_cilindro!$B$9-1)*Presion_cilindro!$B$33*(IF(Presion_cilindro!N303&gt;(-H$4+Presion_cilindro!$B$34),1-EXP(-Presion_cilindro!$B$16*((Presion_cilindro!N303-(-H$4+Presion_cilindro!$B$34))/Presion_cilindro!$B$35)^(Presion_cilindro!$B$17+1)),0)-IF(Presion_cilindro!N302&gt;(-H$4+Presion_cilindro!$B$34),1-EXP(-Presion_cilindro!$B$16*((Presion_cilindro!N302-(-H$4+Presion_cilindro!$B$34))/Presion_cilindro!$B$35)^(Presion_cilindro!$B$17+1)),0))/((Presion_cilindro!O302+Presion_cilindro!O303)/2)</f>
        <v>7.1009060127726942</v>
      </c>
      <c r="I311" s="27">
        <f>I310*(Presion_cilindro!O302/Presion_cilindro!O303)^Presion_cilindro!$B$9+10*(Presion_cilindro!$B$9-1)*Presion_cilindro!$B$33*(IF(Presion_cilindro!N303&gt;(-I$4+Presion_cilindro!$B$34),1-EXP(-Presion_cilindro!$B$16*((Presion_cilindro!N303-(-I$4+Presion_cilindro!$B$34))/Presion_cilindro!$B$35)^(Presion_cilindro!$B$17+1)),0)-IF(Presion_cilindro!N302&gt;(-I$4+Presion_cilindro!$B$34),1-EXP(-Presion_cilindro!$B$16*((Presion_cilindro!N302-(-I$4+Presion_cilindro!$B$34))/Presion_cilindro!$B$35)^(Presion_cilindro!$B$17+1)),0))/((Presion_cilindro!O302+Presion_cilindro!O303)/2)</f>
        <v>7.1009060127726942</v>
      </c>
      <c r="J311" s="27">
        <f>J310*(Presion_cilindro!O302/Presion_cilindro!O303)^Presion_cilindro!$B$9+10*(Presion_cilindro!$B$9-1)*Presion_cilindro!$B$33*(IF(Presion_cilindro!N303&gt;(-J$4+Presion_cilindro!$B$34),1-EXP(-Presion_cilindro!$B$16*((Presion_cilindro!N303-(-J$4+Presion_cilindro!$B$34))/Presion_cilindro!$B$35)^(Presion_cilindro!$B$17+1)),0)-IF(Presion_cilindro!N302&gt;(-J$4+Presion_cilindro!$B$34),1-EXP(-Presion_cilindro!$B$16*((Presion_cilindro!N302-(-J$4+Presion_cilindro!$B$34))/Presion_cilindro!$B$35)^(Presion_cilindro!$B$17+1)),0))/((Presion_cilindro!O302+Presion_cilindro!O303)/2)</f>
        <v>7.1097642189877135</v>
      </c>
      <c r="K311" s="27">
        <f>K310*(Presion_cilindro!O302/Presion_cilindro!O303)^Presion_cilindro!$B$9+10*(Presion_cilindro!$B$9-1)*Presion_cilindro!$B$33*(IF(Presion_cilindro!N303&gt;(-K$4+Presion_cilindro!$B$34),1-EXP(-Presion_cilindro!$B$16*((Presion_cilindro!N303-(-K$4+Presion_cilindro!$B$34))/Presion_cilindro!$B$35)^(Presion_cilindro!$B$17+1)),0)-IF(Presion_cilindro!N302&gt;(-K$4+Presion_cilindro!$B$34),1-EXP(-Presion_cilindro!$B$16*((Presion_cilindro!N302-(-K$4+Presion_cilindro!$B$34))/Presion_cilindro!$B$35)^(Presion_cilindro!$B$17+1)),0))/((Presion_cilindro!O302+Presion_cilindro!O303)/2)</f>
        <v>7.385185844164635</v>
      </c>
      <c r="L311" s="27">
        <f>L310*(Presion_cilindro!O302/Presion_cilindro!O303)^Presion_cilindro!$B$9+10*(Presion_cilindro!$B$9-1)*Presion_cilindro!$B$33*(IF(Presion_cilindro!N303&gt;(-L$4+Presion_cilindro!$B$34),1-EXP(-Presion_cilindro!$B$16*((Presion_cilindro!N303-(-L$4+Presion_cilindro!$B$34))/Presion_cilindro!$B$35)^(Presion_cilindro!$B$17+1)),0)-IF(Presion_cilindro!N302&gt;(-L$4+Presion_cilindro!$B$34),1-EXP(-Presion_cilindro!$B$16*((Presion_cilindro!N302-(-L$4+Presion_cilindro!$B$34))/Presion_cilindro!$B$35)^(Presion_cilindro!$B$17+1)),0))/((Presion_cilindro!O302+Presion_cilindro!O303)/2)</f>
        <v>8.4365043774037591</v>
      </c>
      <c r="M311" s="27">
        <f>M310*(Presion_cilindro!O302/Presion_cilindro!O303)^Presion_cilindro!$B$9+10*(Presion_cilindro!$B$9-1)*Presion_cilindro!$B$33*(IF(Presion_cilindro!N303&gt;(-M$4+Presion_cilindro!$B$34),1-EXP(-Presion_cilindro!$B$16*((Presion_cilindro!N303-(-M$4+Presion_cilindro!$B$34))/Presion_cilindro!$B$35)^(Presion_cilindro!$B$17+1)),0)-IF(Presion_cilindro!N302&gt;(-M$4+Presion_cilindro!$B$34),1-EXP(-Presion_cilindro!$B$16*((Presion_cilindro!N302-(-M$4+Presion_cilindro!$B$34))/Presion_cilindro!$B$35)^(Presion_cilindro!$B$17+1)),0))/((Presion_cilindro!O302+Presion_cilindro!O303)/2)</f>
        <v>10.623563735548474</v>
      </c>
      <c r="N311" s="27">
        <f>N310*(Presion_cilindro!O302/Presion_cilindro!O303)^Presion_cilindro!$B$9+10*(Presion_cilindro!$B$9-1)*Presion_cilindro!$B$33*(IF(Presion_cilindro!N303&gt;(-N$4+Presion_cilindro!$B$34),1-EXP(-Presion_cilindro!$B$16*((Presion_cilindro!N303-(-N$4+Presion_cilindro!$B$34))/Presion_cilindro!$B$35)^(Presion_cilindro!$B$17+1)),0)-IF(Presion_cilindro!N302&gt;(-N$4+Presion_cilindro!$B$34),1-EXP(-Presion_cilindro!$B$16*((Presion_cilindro!N302-(-N$4+Presion_cilindro!$B$34))/Presion_cilindro!$B$35)^(Presion_cilindro!$B$17+1)),0))/((Presion_cilindro!O302+Presion_cilindro!O303)/2)</f>
        <v>13.928855543842815</v>
      </c>
    </row>
    <row r="312" spans="1:14" x14ac:dyDescent="0.25">
      <c r="A312" s="21">
        <f>Presion_cilindro!N304</f>
        <v>-30</v>
      </c>
      <c r="B312" s="27">
        <f>B311*(Presion_cilindro!O303/Presion_cilindro!O304)^Presion_cilindro!$B$9+10*(Presion_cilindro!$B$9-1)*Presion_cilindro!$B$33*(IF(Presion_cilindro!N304&gt;(-B$4+Presion_cilindro!$B$34),1-EXP(-Presion_cilindro!$B$16*((Presion_cilindro!N304-(-B$4+Presion_cilindro!$B$34))/Presion_cilindro!$B$35)^(Presion_cilindro!$B$17+1)),0)-IF(Presion_cilindro!N303&gt;(-B$4+Presion_cilindro!$B$34),1-EXP(-Presion_cilindro!$B$16*((Presion_cilindro!N303-(-B$4+Presion_cilindro!$B$34))/Presion_cilindro!$B$35)^(Presion_cilindro!$B$17+1)),0))/((Presion_cilindro!O303+Presion_cilindro!O304)/2)</f>
        <v>7.2335105468578709</v>
      </c>
      <c r="C312" s="27">
        <f>C311*(Presion_cilindro!O303/Presion_cilindro!O304)^Presion_cilindro!$B$9+10*(Presion_cilindro!$B$9-1)*Presion_cilindro!$B$33*(IF(Presion_cilindro!N304&gt;(-C$4+Presion_cilindro!$B$34),1-EXP(-Presion_cilindro!$B$16*((Presion_cilindro!N304-(-C$4+Presion_cilindro!$B$34))/Presion_cilindro!$B$35)^(Presion_cilindro!$B$17+1)),0)-IF(Presion_cilindro!N303&gt;(-C$4+Presion_cilindro!$B$34),1-EXP(-Presion_cilindro!$B$16*((Presion_cilindro!N303-(-C$4+Presion_cilindro!$B$34))/Presion_cilindro!$B$35)^(Presion_cilindro!$B$17+1)),0))/((Presion_cilindro!O303+Presion_cilindro!O304)/2)</f>
        <v>7.2335105468578709</v>
      </c>
      <c r="D312" s="27">
        <f>D311*(Presion_cilindro!O303/Presion_cilindro!O304)^Presion_cilindro!$B$9+10*(Presion_cilindro!$B$9-1)*Presion_cilindro!$B$33*(IF(Presion_cilindro!N304&gt;(-D$4+Presion_cilindro!$B$34),1-EXP(-Presion_cilindro!$B$16*((Presion_cilindro!N304-(-D$4+Presion_cilindro!$B$34))/Presion_cilindro!$B$35)^(Presion_cilindro!$B$17+1)),0)-IF(Presion_cilindro!N303&gt;(-D$4+Presion_cilindro!$B$34),1-EXP(-Presion_cilindro!$B$16*((Presion_cilindro!N303-(-D$4+Presion_cilindro!$B$34))/Presion_cilindro!$B$35)^(Presion_cilindro!$B$17+1)),0))/((Presion_cilindro!O303+Presion_cilindro!O304)/2)</f>
        <v>7.2335105468578709</v>
      </c>
      <c r="E312" s="27">
        <f>E311*(Presion_cilindro!O303/Presion_cilindro!O304)^Presion_cilindro!$B$9+10*(Presion_cilindro!$B$9-1)*Presion_cilindro!$B$33*(IF(Presion_cilindro!N304&gt;(-E$4+Presion_cilindro!$B$34),1-EXP(-Presion_cilindro!$B$16*((Presion_cilindro!N304-(-E$4+Presion_cilindro!$B$34))/Presion_cilindro!$B$35)^(Presion_cilindro!$B$17+1)),0)-IF(Presion_cilindro!N303&gt;(-E$4+Presion_cilindro!$B$34),1-EXP(-Presion_cilindro!$B$16*((Presion_cilindro!N303-(-E$4+Presion_cilindro!$B$34))/Presion_cilindro!$B$35)^(Presion_cilindro!$B$17+1)),0))/((Presion_cilindro!O303+Presion_cilindro!O304)/2)</f>
        <v>7.2335105468578709</v>
      </c>
      <c r="F312" s="27">
        <f>F311*(Presion_cilindro!O303/Presion_cilindro!O304)^Presion_cilindro!$B$9+10*(Presion_cilindro!$B$9-1)*Presion_cilindro!$B$33*(IF(Presion_cilindro!N304&gt;(-F$4+Presion_cilindro!$B$34),1-EXP(-Presion_cilindro!$B$16*((Presion_cilindro!N304-(-F$4+Presion_cilindro!$B$34))/Presion_cilindro!$B$35)^(Presion_cilindro!$B$17+1)),0)-IF(Presion_cilindro!N303&gt;(-F$4+Presion_cilindro!$B$34),1-EXP(-Presion_cilindro!$B$16*((Presion_cilindro!N303-(-F$4+Presion_cilindro!$B$34))/Presion_cilindro!$B$35)^(Presion_cilindro!$B$17+1)),0))/((Presion_cilindro!O303+Presion_cilindro!O304)/2)</f>
        <v>7.2335105468578709</v>
      </c>
      <c r="G312" s="27">
        <f>G311*(Presion_cilindro!O303/Presion_cilindro!O304)^Presion_cilindro!$B$9+10*(Presion_cilindro!$B$9-1)*Presion_cilindro!$B$33*(IF(Presion_cilindro!N304&gt;(-G$4+Presion_cilindro!$B$34),1-EXP(-Presion_cilindro!$B$16*((Presion_cilindro!N304-(-G$4+Presion_cilindro!$B$34))/Presion_cilindro!$B$35)^(Presion_cilindro!$B$17+1)),0)-IF(Presion_cilindro!N303&gt;(-G$4+Presion_cilindro!$B$34),1-EXP(-Presion_cilindro!$B$16*((Presion_cilindro!N303-(-G$4+Presion_cilindro!$B$34))/Presion_cilindro!$B$35)^(Presion_cilindro!$B$17+1)),0))/((Presion_cilindro!O303+Presion_cilindro!O304)/2)</f>
        <v>7.2335105468578709</v>
      </c>
      <c r="H312" s="27">
        <f>H311*(Presion_cilindro!O303/Presion_cilindro!O304)^Presion_cilindro!$B$9+10*(Presion_cilindro!$B$9-1)*Presion_cilindro!$B$33*(IF(Presion_cilindro!N304&gt;(-H$4+Presion_cilindro!$B$34),1-EXP(-Presion_cilindro!$B$16*((Presion_cilindro!N304-(-H$4+Presion_cilindro!$B$34))/Presion_cilindro!$B$35)^(Presion_cilindro!$B$17+1)),0)-IF(Presion_cilindro!N303&gt;(-H$4+Presion_cilindro!$B$34),1-EXP(-Presion_cilindro!$B$16*((Presion_cilindro!N303-(-H$4+Presion_cilindro!$B$34))/Presion_cilindro!$B$35)^(Presion_cilindro!$B$17+1)),0))/((Presion_cilindro!O303+Presion_cilindro!O304)/2)</f>
        <v>7.2335105468578709</v>
      </c>
      <c r="I312" s="27">
        <f>I311*(Presion_cilindro!O303/Presion_cilindro!O304)^Presion_cilindro!$B$9+10*(Presion_cilindro!$B$9-1)*Presion_cilindro!$B$33*(IF(Presion_cilindro!N304&gt;(-I$4+Presion_cilindro!$B$34),1-EXP(-Presion_cilindro!$B$16*((Presion_cilindro!N304-(-I$4+Presion_cilindro!$B$34))/Presion_cilindro!$B$35)^(Presion_cilindro!$B$17+1)),0)-IF(Presion_cilindro!N303&gt;(-I$4+Presion_cilindro!$B$34),1-EXP(-Presion_cilindro!$B$16*((Presion_cilindro!N303-(-I$4+Presion_cilindro!$B$34))/Presion_cilindro!$B$35)^(Presion_cilindro!$B$17+1)),0))/((Presion_cilindro!O303+Presion_cilindro!O304)/2)</f>
        <v>7.2335105468578709</v>
      </c>
      <c r="J312" s="27">
        <f>J311*(Presion_cilindro!O303/Presion_cilindro!O304)^Presion_cilindro!$B$9+10*(Presion_cilindro!$B$9-1)*Presion_cilindro!$B$33*(IF(Presion_cilindro!N304&gt;(-J$4+Presion_cilindro!$B$34),1-EXP(-Presion_cilindro!$B$16*((Presion_cilindro!N304-(-J$4+Presion_cilindro!$B$34))/Presion_cilindro!$B$35)^(Presion_cilindro!$B$17+1)),0)-IF(Presion_cilindro!N303&gt;(-J$4+Presion_cilindro!$B$34),1-EXP(-Presion_cilindro!$B$16*((Presion_cilindro!N303-(-J$4+Presion_cilindro!$B$34))/Presion_cilindro!$B$35)^(Presion_cilindro!$B$17+1)),0))/((Presion_cilindro!O303+Presion_cilindro!O304)/2)</f>
        <v>7.2497313292218131</v>
      </c>
      <c r="K312" s="27">
        <f>K311*(Presion_cilindro!O303/Presion_cilindro!O304)^Presion_cilindro!$B$9+10*(Presion_cilindro!$B$9-1)*Presion_cilindro!$B$33*(IF(Presion_cilindro!N304&gt;(-K$4+Presion_cilindro!$B$34),1-EXP(-Presion_cilindro!$B$16*((Presion_cilindro!N304-(-K$4+Presion_cilindro!$B$34))/Presion_cilindro!$B$35)^(Presion_cilindro!$B$17+1)),0)-IF(Presion_cilindro!N303&gt;(-K$4+Presion_cilindro!$B$34),1-EXP(-Presion_cilindro!$B$16*((Presion_cilindro!N303-(-K$4+Presion_cilindro!$B$34))/Presion_cilindro!$B$35)^(Presion_cilindro!$B$17+1)),0))/((Presion_cilindro!O303+Presion_cilindro!O304)/2)</f>
        <v>7.5849525539535509</v>
      </c>
      <c r="L312" s="27">
        <f>L311*(Presion_cilindro!O303/Presion_cilindro!O304)^Presion_cilindro!$B$9+10*(Presion_cilindro!$B$9-1)*Presion_cilindro!$B$33*(IF(Presion_cilindro!N304&gt;(-L$4+Presion_cilindro!$B$34),1-EXP(-Presion_cilindro!$B$16*((Presion_cilindro!N304-(-L$4+Presion_cilindro!$B$34))/Presion_cilindro!$B$35)^(Presion_cilindro!$B$17+1)),0)-IF(Presion_cilindro!N303&gt;(-L$4+Presion_cilindro!$B$34),1-EXP(-Presion_cilindro!$B$16*((Presion_cilindro!N303-(-L$4+Presion_cilindro!$B$34))/Presion_cilindro!$B$35)^(Presion_cilindro!$B$17+1)),0))/((Presion_cilindro!O303+Presion_cilindro!O304)/2)</f>
        <v>8.7544206423828683</v>
      </c>
      <c r="M312" s="27">
        <f>M311*(Presion_cilindro!O303/Presion_cilindro!O304)^Presion_cilindro!$B$9+10*(Presion_cilindro!$B$9-1)*Presion_cilindro!$B$33*(IF(Presion_cilindro!N304&gt;(-M$4+Presion_cilindro!$B$34),1-EXP(-Presion_cilindro!$B$16*((Presion_cilindro!N304-(-M$4+Presion_cilindro!$B$34))/Presion_cilindro!$B$35)^(Presion_cilindro!$B$17+1)),0)-IF(Presion_cilindro!N303&gt;(-M$4+Presion_cilindro!$B$34),1-EXP(-Presion_cilindro!$B$16*((Presion_cilindro!N303-(-M$4+Presion_cilindro!$B$34))/Presion_cilindro!$B$35)^(Presion_cilindro!$B$17+1)),0))/((Presion_cilindro!O303+Presion_cilindro!O304)/2)</f>
        <v>11.094431112863088</v>
      </c>
      <c r="N312" s="27">
        <f>N311*(Presion_cilindro!O303/Presion_cilindro!O304)^Presion_cilindro!$B$9+10*(Presion_cilindro!$B$9-1)*Presion_cilindro!$B$33*(IF(Presion_cilindro!N304&gt;(-N$4+Presion_cilindro!$B$34),1-EXP(-Presion_cilindro!$B$16*((Presion_cilindro!N304-(-N$4+Presion_cilindro!$B$34))/Presion_cilindro!$B$35)^(Presion_cilindro!$B$17+1)),0)-IF(Presion_cilindro!N303&gt;(-N$4+Presion_cilindro!$B$34),1-EXP(-Presion_cilindro!$B$16*((Presion_cilindro!N303-(-N$4+Presion_cilindro!$B$34))/Presion_cilindro!$B$35)^(Presion_cilindro!$B$17+1)),0))/((Presion_cilindro!O303+Presion_cilindro!O304)/2)</f>
        <v>14.539874641881728</v>
      </c>
    </row>
    <row r="313" spans="1:14" x14ac:dyDescent="0.25">
      <c r="A313" s="21">
        <f>Presion_cilindro!N305</f>
        <v>-29.5</v>
      </c>
      <c r="B313" s="27">
        <f>B312*(Presion_cilindro!O304/Presion_cilindro!O305)^Presion_cilindro!$B$9+10*(Presion_cilindro!$B$9-1)*Presion_cilindro!$B$33*(IF(Presion_cilindro!N305&gt;(-B$4+Presion_cilindro!$B$34),1-EXP(-Presion_cilindro!$B$16*((Presion_cilindro!N305-(-B$4+Presion_cilindro!$B$34))/Presion_cilindro!$B$35)^(Presion_cilindro!$B$17+1)),0)-IF(Presion_cilindro!N304&gt;(-B$4+Presion_cilindro!$B$34),1-EXP(-Presion_cilindro!$B$16*((Presion_cilindro!N304-(-B$4+Presion_cilindro!$B$34))/Presion_cilindro!$B$35)^(Presion_cilindro!$B$17+1)),0))/((Presion_cilindro!O304+Presion_cilindro!O305)/2)</f>
        <v>7.3685557785910527</v>
      </c>
      <c r="C313" s="27">
        <f>C312*(Presion_cilindro!O304/Presion_cilindro!O305)^Presion_cilindro!$B$9+10*(Presion_cilindro!$B$9-1)*Presion_cilindro!$B$33*(IF(Presion_cilindro!N305&gt;(-C$4+Presion_cilindro!$B$34),1-EXP(-Presion_cilindro!$B$16*((Presion_cilindro!N305-(-C$4+Presion_cilindro!$B$34))/Presion_cilindro!$B$35)^(Presion_cilindro!$B$17+1)),0)-IF(Presion_cilindro!N304&gt;(-C$4+Presion_cilindro!$B$34),1-EXP(-Presion_cilindro!$B$16*((Presion_cilindro!N304-(-C$4+Presion_cilindro!$B$34))/Presion_cilindro!$B$35)^(Presion_cilindro!$B$17+1)),0))/((Presion_cilindro!O304+Presion_cilindro!O305)/2)</f>
        <v>7.3685557785910527</v>
      </c>
      <c r="D313" s="27">
        <f>D312*(Presion_cilindro!O304/Presion_cilindro!O305)^Presion_cilindro!$B$9+10*(Presion_cilindro!$B$9-1)*Presion_cilindro!$B$33*(IF(Presion_cilindro!N305&gt;(-D$4+Presion_cilindro!$B$34),1-EXP(-Presion_cilindro!$B$16*((Presion_cilindro!N305-(-D$4+Presion_cilindro!$B$34))/Presion_cilindro!$B$35)^(Presion_cilindro!$B$17+1)),0)-IF(Presion_cilindro!N304&gt;(-D$4+Presion_cilindro!$B$34),1-EXP(-Presion_cilindro!$B$16*((Presion_cilindro!N304-(-D$4+Presion_cilindro!$B$34))/Presion_cilindro!$B$35)^(Presion_cilindro!$B$17+1)),0))/((Presion_cilindro!O304+Presion_cilindro!O305)/2)</f>
        <v>7.3685557785910527</v>
      </c>
      <c r="E313" s="27">
        <f>E312*(Presion_cilindro!O304/Presion_cilindro!O305)^Presion_cilindro!$B$9+10*(Presion_cilindro!$B$9-1)*Presion_cilindro!$B$33*(IF(Presion_cilindro!N305&gt;(-E$4+Presion_cilindro!$B$34),1-EXP(-Presion_cilindro!$B$16*((Presion_cilindro!N305-(-E$4+Presion_cilindro!$B$34))/Presion_cilindro!$B$35)^(Presion_cilindro!$B$17+1)),0)-IF(Presion_cilindro!N304&gt;(-E$4+Presion_cilindro!$B$34),1-EXP(-Presion_cilindro!$B$16*((Presion_cilindro!N304-(-E$4+Presion_cilindro!$B$34))/Presion_cilindro!$B$35)^(Presion_cilindro!$B$17+1)),0))/((Presion_cilindro!O304+Presion_cilindro!O305)/2)</f>
        <v>7.3685557785910527</v>
      </c>
      <c r="F313" s="27">
        <f>F312*(Presion_cilindro!O304/Presion_cilindro!O305)^Presion_cilindro!$B$9+10*(Presion_cilindro!$B$9-1)*Presion_cilindro!$B$33*(IF(Presion_cilindro!N305&gt;(-F$4+Presion_cilindro!$B$34),1-EXP(-Presion_cilindro!$B$16*((Presion_cilindro!N305-(-F$4+Presion_cilindro!$B$34))/Presion_cilindro!$B$35)^(Presion_cilindro!$B$17+1)),0)-IF(Presion_cilindro!N304&gt;(-F$4+Presion_cilindro!$B$34),1-EXP(-Presion_cilindro!$B$16*((Presion_cilindro!N304-(-F$4+Presion_cilindro!$B$34))/Presion_cilindro!$B$35)^(Presion_cilindro!$B$17+1)),0))/((Presion_cilindro!O304+Presion_cilindro!O305)/2)</f>
        <v>7.3685557785910527</v>
      </c>
      <c r="G313" s="27">
        <f>G312*(Presion_cilindro!O304/Presion_cilindro!O305)^Presion_cilindro!$B$9+10*(Presion_cilindro!$B$9-1)*Presion_cilindro!$B$33*(IF(Presion_cilindro!N305&gt;(-G$4+Presion_cilindro!$B$34),1-EXP(-Presion_cilindro!$B$16*((Presion_cilindro!N305-(-G$4+Presion_cilindro!$B$34))/Presion_cilindro!$B$35)^(Presion_cilindro!$B$17+1)),0)-IF(Presion_cilindro!N304&gt;(-G$4+Presion_cilindro!$B$34),1-EXP(-Presion_cilindro!$B$16*((Presion_cilindro!N304-(-G$4+Presion_cilindro!$B$34))/Presion_cilindro!$B$35)^(Presion_cilindro!$B$17+1)),0))/((Presion_cilindro!O304+Presion_cilindro!O305)/2)</f>
        <v>7.3685557785910527</v>
      </c>
      <c r="H313" s="27">
        <f>H312*(Presion_cilindro!O304/Presion_cilindro!O305)^Presion_cilindro!$B$9+10*(Presion_cilindro!$B$9-1)*Presion_cilindro!$B$33*(IF(Presion_cilindro!N305&gt;(-H$4+Presion_cilindro!$B$34),1-EXP(-Presion_cilindro!$B$16*((Presion_cilindro!N305-(-H$4+Presion_cilindro!$B$34))/Presion_cilindro!$B$35)^(Presion_cilindro!$B$17+1)),0)-IF(Presion_cilindro!N304&gt;(-H$4+Presion_cilindro!$B$34),1-EXP(-Presion_cilindro!$B$16*((Presion_cilindro!N304-(-H$4+Presion_cilindro!$B$34))/Presion_cilindro!$B$35)^(Presion_cilindro!$B$17+1)),0))/((Presion_cilindro!O304+Presion_cilindro!O305)/2)</f>
        <v>7.3685557785910527</v>
      </c>
      <c r="I313" s="27">
        <f>I312*(Presion_cilindro!O304/Presion_cilindro!O305)^Presion_cilindro!$B$9+10*(Presion_cilindro!$B$9-1)*Presion_cilindro!$B$33*(IF(Presion_cilindro!N305&gt;(-I$4+Presion_cilindro!$B$34),1-EXP(-Presion_cilindro!$B$16*((Presion_cilindro!N305-(-I$4+Presion_cilindro!$B$34))/Presion_cilindro!$B$35)^(Presion_cilindro!$B$17+1)),0)-IF(Presion_cilindro!N304&gt;(-I$4+Presion_cilindro!$B$34),1-EXP(-Presion_cilindro!$B$16*((Presion_cilindro!N304-(-I$4+Presion_cilindro!$B$34))/Presion_cilindro!$B$35)^(Presion_cilindro!$B$17+1)),0))/((Presion_cilindro!O304+Presion_cilindro!O305)/2)</f>
        <v>7.3685557785910527</v>
      </c>
      <c r="J313" s="27">
        <f>J312*(Presion_cilindro!O304/Presion_cilindro!O305)^Presion_cilindro!$B$9+10*(Presion_cilindro!$B$9-1)*Presion_cilindro!$B$33*(IF(Presion_cilindro!N305&gt;(-J$4+Presion_cilindro!$B$34),1-EXP(-Presion_cilindro!$B$16*((Presion_cilindro!N305-(-J$4+Presion_cilindro!$B$34))/Presion_cilindro!$B$35)^(Presion_cilindro!$B$17+1)),0)-IF(Presion_cilindro!N304&gt;(-J$4+Presion_cilindro!$B$34),1-EXP(-Presion_cilindro!$B$16*((Presion_cilindro!N304-(-J$4+Presion_cilindro!$B$34))/Presion_cilindro!$B$35)^(Presion_cilindro!$B$17+1)),0))/((Presion_cilindro!O304+Presion_cilindro!O305)/2)</f>
        <v>7.3955047720670208</v>
      </c>
      <c r="K313" s="27">
        <f>K312*(Presion_cilindro!O304/Presion_cilindro!O305)^Presion_cilindro!$B$9+10*(Presion_cilindro!$B$9-1)*Presion_cilindro!$B$33*(IF(Presion_cilindro!N305&gt;(-K$4+Presion_cilindro!$B$34),1-EXP(-Presion_cilindro!$B$16*((Presion_cilindro!N305-(-K$4+Presion_cilindro!$B$34))/Presion_cilindro!$B$35)^(Presion_cilindro!$B$17+1)),0)-IF(Presion_cilindro!N304&gt;(-K$4+Presion_cilindro!$B$34),1-EXP(-Presion_cilindro!$B$16*((Presion_cilindro!N304-(-K$4+Presion_cilindro!$B$34))/Presion_cilindro!$B$35)^(Presion_cilindro!$B$17+1)),0))/((Presion_cilindro!O304+Presion_cilindro!O305)/2)</f>
        <v>7.7975915294170273</v>
      </c>
      <c r="L313" s="27">
        <f>L312*(Presion_cilindro!O304/Presion_cilindro!O305)^Presion_cilindro!$B$9+10*(Presion_cilindro!$B$9-1)*Presion_cilindro!$B$33*(IF(Presion_cilindro!N305&gt;(-L$4+Presion_cilindro!$B$34),1-EXP(-Presion_cilindro!$B$16*((Presion_cilindro!N305-(-L$4+Presion_cilindro!$B$34))/Presion_cilindro!$B$35)^(Presion_cilindro!$B$17+1)),0)-IF(Presion_cilindro!N304&gt;(-L$4+Presion_cilindro!$B$34),1-EXP(-Presion_cilindro!$B$16*((Presion_cilindro!N304-(-L$4+Presion_cilindro!$B$34))/Presion_cilindro!$B$35)^(Presion_cilindro!$B$17+1)),0))/((Presion_cilindro!O304+Presion_cilindro!O305)/2)</f>
        <v>9.0919282900201317</v>
      </c>
      <c r="M313" s="27">
        <f>M312*(Presion_cilindro!O304/Presion_cilindro!O305)^Presion_cilindro!$B$9+10*(Presion_cilindro!$B$9-1)*Presion_cilindro!$B$33*(IF(Presion_cilindro!N305&gt;(-M$4+Presion_cilindro!$B$34),1-EXP(-Presion_cilindro!$B$16*((Presion_cilindro!N305-(-M$4+Presion_cilindro!$B$34))/Presion_cilindro!$B$35)^(Presion_cilindro!$B$17+1)),0)-IF(Presion_cilindro!N304&gt;(-M$4+Presion_cilindro!$B$34),1-EXP(-Presion_cilindro!$B$16*((Presion_cilindro!N304-(-M$4+Presion_cilindro!$B$34))/Presion_cilindro!$B$35)^(Presion_cilindro!$B$17+1)),0))/((Presion_cilindro!O304+Presion_cilindro!O305)/2)</f>
        <v>11.58818267952533</v>
      </c>
      <c r="N313" s="27">
        <f>N312*(Presion_cilindro!O304/Presion_cilindro!O305)^Presion_cilindro!$B$9+10*(Presion_cilindro!$B$9-1)*Presion_cilindro!$B$33*(IF(Presion_cilindro!N305&gt;(-N$4+Presion_cilindro!$B$34),1-EXP(-Presion_cilindro!$B$16*((Presion_cilindro!N305-(-N$4+Presion_cilindro!$B$34))/Presion_cilindro!$B$35)^(Presion_cilindro!$B$17+1)),0)-IF(Presion_cilindro!N304&gt;(-N$4+Presion_cilindro!$B$34),1-EXP(-Presion_cilindro!$B$16*((Presion_cilindro!N304-(-N$4+Presion_cilindro!$B$34))/Presion_cilindro!$B$35)^(Presion_cilindro!$B$17+1)),0))/((Presion_cilindro!O304+Presion_cilindro!O305)/2)</f>
        <v>15.171409759443861</v>
      </c>
    </row>
    <row r="314" spans="1:14" x14ac:dyDescent="0.25">
      <c r="A314" s="21">
        <f>Presion_cilindro!N306</f>
        <v>-29</v>
      </c>
      <c r="B314" s="27">
        <f>B313*(Presion_cilindro!O305/Presion_cilindro!O306)^Presion_cilindro!$B$9+10*(Presion_cilindro!$B$9-1)*Presion_cilindro!$B$33*(IF(Presion_cilindro!N306&gt;(-B$4+Presion_cilindro!$B$34),1-EXP(-Presion_cilindro!$B$16*((Presion_cilindro!N306-(-B$4+Presion_cilindro!$B$34))/Presion_cilindro!$B$35)^(Presion_cilindro!$B$17+1)),0)-IF(Presion_cilindro!N305&gt;(-B$4+Presion_cilindro!$B$34),1-EXP(-Presion_cilindro!$B$16*((Presion_cilindro!N305-(-B$4+Presion_cilindro!$B$34))/Presion_cilindro!$B$35)^(Presion_cilindro!$B$17+1)),0))/((Presion_cilindro!O305+Presion_cilindro!O306)/2)</f>
        <v>7.5060399868917722</v>
      </c>
      <c r="C314" s="27">
        <f>C313*(Presion_cilindro!O305/Presion_cilindro!O306)^Presion_cilindro!$B$9+10*(Presion_cilindro!$B$9-1)*Presion_cilindro!$B$33*(IF(Presion_cilindro!N306&gt;(-C$4+Presion_cilindro!$B$34),1-EXP(-Presion_cilindro!$B$16*((Presion_cilindro!N306-(-C$4+Presion_cilindro!$B$34))/Presion_cilindro!$B$35)^(Presion_cilindro!$B$17+1)),0)-IF(Presion_cilindro!N305&gt;(-C$4+Presion_cilindro!$B$34),1-EXP(-Presion_cilindro!$B$16*((Presion_cilindro!N305-(-C$4+Presion_cilindro!$B$34))/Presion_cilindro!$B$35)^(Presion_cilindro!$B$17+1)),0))/((Presion_cilindro!O305+Presion_cilindro!O306)/2)</f>
        <v>7.5060399868917722</v>
      </c>
      <c r="D314" s="27">
        <f>D313*(Presion_cilindro!O305/Presion_cilindro!O306)^Presion_cilindro!$B$9+10*(Presion_cilindro!$B$9-1)*Presion_cilindro!$B$33*(IF(Presion_cilindro!N306&gt;(-D$4+Presion_cilindro!$B$34),1-EXP(-Presion_cilindro!$B$16*((Presion_cilindro!N306-(-D$4+Presion_cilindro!$B$34))/Presion_cilindro!$B$35)^(Presion_cilindro!$B$17+1)),0)-IF(Presion_cilindro!N305&gt;(-D$4+Presion_cilindro!$B$34),1-EXP(-Presion_cilindro!$B$16*((Presion_cilindro!N305-(-D$4+Presion_cilindro!$B$34))/Presion_cilindro!$B$35)^(Presion_cilindro!$B$17+1)),0))/((Presion_cilindro!O305+Presion_cilindro!O306)/2)</f>
        <v>7.5060399868917722</v>
      </c>
      <c r="E314" s="27">
        <f>E313*(Presion_cilindro!O305/Presion_cilindro!O306)^Presion_cilindro!$B$9+10*(Presion_cilindro!$B$9-1)*Presion_cilindro!$B$33*(IF(Presion_cilindro!N306&gt;(-E$4+Presion_cilindro!$B$34),1-EXP(-Presion_cilindro!$B$16*((Presion_cilindro!N306-(-E$4+Presion_cilindro!$B$34))/Presion_cilindro!$B$35)^(Presion_cilindro!$B$17+1)),0)-IF(Presion_cilindro!N305&gt;(-E$4+Presion_cilindro!$B$34),1-EXP(-Presion_cilindro!$B$16*((Presion_cilindro!N305-(-E$4+Presion_cilindro!$B$34))/Presion_cilindro!$B$35)^(Presion_cilindro!$B$17+1)),0))/((Presion_cilindro!O305+Presion_cilindro!O306)/2)</f>
        <v>7.5060399868917722</v>
      </c>
      <c r="F314" s="27">
        <f>F313*(Presion_cilindro!O305/Presion_cilindro!O306)^Presion_cilindro!$B$9+10*(Presion_cilindro!$B$9-1)*Presion_cilindro!$B$33*(IF(Presion_cilindro!N306&gt;(-F$4+Presion_cilindro!$B$34),1-EXP(-Presion_cilindro!$B$16*((Presion_cilindro!N306-(-F$4+Presion_cilindro!$B$34))/Presion_cilindro!$B$35)^(Presion_cilindro!$B$17+1)),0)-IF(Presion_cilindro!N305&gt;(-F$4+Presion_cilindro!$B$34),1-EXP(-Presion_cilindro!$B$16*((Presion_cilindro!N305-(-F$4+Presion_cilindro!$B$34))/Presion_cilindro!$B$35)^(Presion_cilindro!$B$17+1)),0))/((Presion_cilindro!O305+Presion_cilindro!O306)/2)</f>
        <v>7.5060399868917722</v>
      </c>
      <c r="G314" s="27">
        <f>G313*(Presion_cilindro!O305/Presion_cilindro!O306)^Presion_cilindro!$B$9+10*(Presion_cilindro!$B$9-1)*Presion_cilindro!$B$33*(IF(Presion_cilindro!N306&gt;(-G$4+Presion_cilindro!$B$34),1-EXP(-Presion_cilindro!$B$16*((Presion_cilindro!N306-(-G$4+Presion_cilindro!$B$34))/Presion_cilindro!$B$35)^(Presion_cilindro!$B$17+1)),0)-IF(Presion_cilindro!N305&gt;(-G$4+Presion_cilindro!$B$34),1-EXP(-Presion_cilindro!$B$16*((Presion_cilindro!N305-(-G$4+Presion_cilindro!$B$34))/Presion_cilindro!$B$35)^(Presion_cilindro!$B$17+1)),0))/((Presion_cilindro!O305+Presion_cilindro!O306)/2)</f>
        <v>7.5060399868917722</v>
      </c>
      <c r="H314" s="27">
        <f>H313*(Presion_cilindro!O305/Presion_cilindro!O306)^Presion_cilindro!$B$9+10*(Presion_cilindro!$B$9-1)*Presion_cilindro!$B$33*(IF(Presion_cilindro!N306&gt;(-H$4+Presion_cilindro!$B$34),1-EXP(-Presion_cilindro!$B$16*((Presion_cilindro!N306-(-H$4+Presion_cilindro!$B$34))/Presion_cilindro!$B$35)^(Presion_cilindro!$B$17+1)),0)-IF(Presion_cilindro!N305&gt;(-H$4+Presion_cilindro!$B$34),1-EXP(-Presion_cilindro!$B$16*((Presion_cilindro!N305-(-H$4+Presion_cilindro!$B$34))/Presion_cilindro!$B$35)^(Presion_cilindro!$B$17+1)),0))/((Presion_cilindro!O305+Presion_cilindro!O306)/2)</f>
        <v>7.5060399868917722</v>
      </c>
      <c r="I314" s="27">
        <f>I313*(Presion_cilindro!O305/Presion_cilindro!O306)^Presion_cilindro!$B$9+10*(Presion_cilindro!$B$9-1)*Presion_cilindro!$B$33*(IF(Presion_cilindro!N306&gt;(-I$4+Presion_cilindro!$B$34),1-EXP(-Presion_cilindro!$B$16*((Presion_cilindro!N306-(-I$4+Presion_cilindro!$B$34))/Presion_cilindro!$B$35)^(Presion_cilindro!$B$17+1)),0)-IF(Presion_cilindro!N305&gt;(-I$4+Presion_cilindro!$B$34),1-EXP(-Presion_cilindro!$B$16*((Presion_cilindro!N305-(-I$4+Presion_cilindro!$B$34))/Presion_cilindro!$B$35)^(Presion_cilindro!$B$17+1)),0))/((Presion_cilindro!O305+Presion_cilindro!O306)/2)</f>
        <v>7.5060399868917722</v>
      </c>
      <c r="J314" s="27">
        <f>J313*(Presion_cilindro!O305/Presion_cilindro!O306)^Presion_cilindro!$B$9+10*(Presion_cilindro!$B$9-1)*Presion_cilindro!$B$33*(IF(Presion_cilindro!N306&gt;(-J$4+Presion_cilindro!$B$34),1-EXP(-Presion_cilindro!$B$16*((Presion_cilindro!N306-(-J$4+Presion_cilindro!$B$34))/Presion_cilindro!$B$35)^(Presion_cilindro!$B$17+1)),0)-IF(Presion_cilindro!N305&gt;(-J$4+Presion_cilindro!$B$34),1-EXP(-Presion_cilindro!$B$16*((Presion_cilindro!N305-(-J$4+Presion_cilindro!$B$34))/Presion_cilindro!$B$35)^(Presion_cilindro!$B$17+1)),0))/((Presion_cilindro!O305+Presion_cilindro!O306)/2)</f>
        <v>7.5477952260583763</v>
      </c>
      <c r="K314" s="27">
        <f>K313*(Presion_cilindro!O305/Presion_cilindro!O306)^Presion_cilindro!$B$9+10*(Presion_cilindro!$B$9-1)*Presion_cilindro!$B$33*(IF(Presion_cilindro!N306&gt;(-K$4+Presion_cilindro!$B$34),1-EXP(-Presion_cilindro!$B$16*((Presion_cilindro!N306-(-K$4+Presion_cilindro!$B$34))/Presion_cilindro!$B$35)^(Presion_cilindro!$B$17+1)),0)-IF(Presion_cilindro!N305&gt;(-K$4+Presion_cilindro!$B$34),1-EXP(-Presion_cilindro!$B$16*((Presion_cilindro!N305-(-K$4+Presion_cilindro!$B$34))/Presion_cilindro!$B$35)^(Presion_cilindro!$B$17+1)),0))/((Presion_cilindro!O305+Presion_cilindro!O306)/2)</f>
        <v>8.0239864938964303</v>
      </c>
      <c r="L314" s="27">
        <f>L313*(Presion_cilindro!O305/Presion_cilindro!O306)^Presion_cilindro!$B$9+10*(Presion_cilindro!$B$9-1)*Presion_cilindro!$B$33*(IF(Presion_cilindro!N306&gt;(-L$4+Presion_cilindro!$B$34),1-EXP(-Presion_cilindro!$B$16*((Presion_cilindro!N306-(-L$4+Presion_cilindro!$B$34))/Presion_cilindro!$B$35)^(Presion_cilindro!$B$17+1)),0)-IF(Presion_cilindro!N305&gt;(-L$4+Presion_cilindro!$B$34),1-EXP(-Presion_cilindro!$B$16*((Presion_cilindro!N305-(-L$4+Presion_cilindro!$B$34))/Presion_cilindro!$B$35)^(Presion_cilindro!$B$17+1)),0))/((Presion_cilindro!O305+Presion_cilindro!O306)/2)</f>
        <v>9.4497968421611205</v>
      </c>
      <c r="M314" s="27">
        <f>M313*(Presion_cilindro!O305/Presion_cilindro!O306)^Presion_cilindro!$B$9+10*(Presion_cilindro!$B$9-1)*Presion_cilindro!$B$33*(IF(Presion_cilindro!N306&gt;(-M$4+Presion_cilindro!$B$34),1-EXP(-Presion_cilindro!$B$16*((Presion_cilindro!N306-(-M$4+Presion_cilindro!$B$34))/Presion_cilindro!$B$35)^(Presion_cilindro!$B$17+1)),0)-IF(Presion_cilindro!N305&gt;(-M$4+Presion_cilindro!$B$34),1-EXP(-Presion_cilindro!$B$16*((Presion_cilindro!N305-(-M$4+Presion_cilindro!$B$34))/Presion_cilindro!$B$35)^(Presion_cilindro!$B$17+1)),0))/((Presion_cilindro!O305+Presion_cilindro!O306)/2)</f>
        <v>12.105105018264357</v>
      </c>
      <c r="N314" s="27">
        <f>N313*(Presion_cilindro!O305/Presion_cilindro!O306)^Presion_cilindro!$B$9+10*(Presion_cilindro!$B$9-1)*Presion_cilindro!$B$33*(IF(Presion_cilindro!N306&gt;(-N$4+Presion_cilindro!$B$34),1-EXP(-Presion_cilindro!$B$16*((Presion_cilindro!N306-(-N$4+Presion_cilindro!$B$34))/Presion_cilindro!$B$35)^(Presion_cilindro!$B$17+1)),0)-IF(Presion_cilindro!N305&gt;(-N$4+Presion_cilindro!$B$34),1-EXP(-Presion_cilindro!$B$16*((Presion_cilindro!N305-(-N$4+Presion_cilindro!$B$34))/Presion_cilindro!$B$35)^(Presion_cilindro!$B$17+1)),0))/((Presion_cilindro!O305+Presion_cilindro!O306)/2)</f>
        <v>15.82311084289119</v>
      </c>
    </row>
    <row r="315" spans="1:14" x14ac:dyDescent="0.25">
      <c r="A315" s="21">
        <f>Presion_cilindro!N307</f>
        <v>-28.5</v>
      </c>
      <c r="B315" s="27">
        <f>B314*(Presion_cilindro!O306/Presion_cilindro!O307)^Presion_cilindro!$B$9+10*(Presion_cilindro!$B$9-1)*Presion_cilindro!$B$33*(IF(Presion_cilindro!N307&gt;(-B$4+Presion_cilindro!$B$34),1-EXP(-Presion_cilindro!$B$16*((Presion_cilindro!N307-(-B$4+Presion_cilindro!$B$34))/Presion_cilindro!$B$35)^(Presion_cilindro!$B$17+1)),0)-IF(Presion_cilindro!N306&gt;(-B$4+Presion_cilindro!$B$34),1-EXP(-Presion_cilindro!$B$16*((Presion_cilindro!N306-(-B$4+Presion_cilindro!$B$34))/Presion_cilindro!$B$35)^(Presion_cilindro!$B$17+1)),0))/((Presion_cilindro!O306+Presion_cilindro!O307)/2)</f>
        <v>7.6459568630988599</v>
      </c>
      <c r="C315" s="27">
        <f>C314*(Presion_cilindro!O306/Presion_cilindro!O307)^Presion_cilindro!$B$9+10*(Presion_cilindro!$B$9-1)*Presion_cilindro!$B$33*(IF(Presion_cilindro!N307&gt;(-C$4+Presion_cilindro!$B$34),1-EXP(-Presion_cilindro!$B$16*((Presion_cilindro!N307-(-C$4+Presion_cilindro!$B$34))/Presion_cilindro!$B$35)^(Presion_cilindro!$B$17+1)),0)-IF(Presion_cilindro!N306&gt;(-C$4+Presion_cilindro!$B$34),1-EXP(-Presion_cilindro!$B$16*((Presion_cilindro!N306-(-C$4+Presion_cilindro!$B$34))/Presion_cilindro!$B$35)^(Presion_cilindro!$B$17+1)),0))/((Presion_cilindro!O306+Presion_cilindro!O307)/2)</f>
        <v>7.6459568630988599</v>
      </c>
      <c r="D315" s="27">
        <f>D314*(Presion_cilindro!O306/Presion_cilindro!O307)^Presion_cilindro!$B$9+10*(Presion_cilindro!$B$9-1)*Presion_cilindro!$B$33*(IF(Presion_cilindro!N307&gt;(-D$4+Presion_cilindro!$B$34),1-EXP(-Presion_cilindro!$B$16*((Presion_cilindro!N307-(-D$4+Presion_cilindro!$B$34))/Presion_cilindro!$B$35)^(Presion_cilindro!$B$17+1)),0)-IF(Presion_cilindro!N306&gt;(-D$4+Presion_cilindro!$B$34),1-EXP(-Presion_cilindro!$B$16*((Presion_cilindro!N306-(-D$4+Presion_cilindro!$B$34))/Presion_cilindro!$B$35)^(Presion_cilindro!$B$17+1)),0))/((Presion_cilindro!O306+Presion_cilindro!O307)/2)</f>
        <v>7.6459568630988599</v>
      </c>
      <c r="E315" s="27">
        <f>E314*(Presion_cilindro!O306/Presion_cilindro!O307)^Presion_cilindro!$B$9+10*(Presion_cilindro!$B$9-1)*Presion_cilindro!$B$33*(IF(Presion_cilindro!N307&gt;(-E$4+Presion_cilindro!$B$34),1-EXP(-Presion_cilindro!$B$16*((Presion_cilindro!N307-(-E$4+Presion_cilindro!$B$34))/Presion_cilindro!$B$35)^(Presion_cilindro!$B$17+1)),0)-IF(Presion_cilindro!N306&gt;(-E$4+Presion_cilindro!$B$34),1-EXP(-Presion_cilindro!$B$16*((Presion_cilindro!N306-(-E$4+Presion_cilindro!$B$34))/Presion_cilindro!$B$35)^(Presion_cilindro!$B$17+1)),0))/((Presion_cilindro!O306+Presion_cilindro!O307)/2)</f>
        <v>7.6459568630988599</v>
      </c>
      <c r="F315" s="27">
        <f>F314*(Presion_cilindro!O306/Presion_cilindro!O307)^Presion_cilindro!$B$9+10*(Presion_cilindro!$B$9-1)*Presion_cilindro!$B$33*(IF(Presion_cilindro!N307&gt;(-F$4+Presion_cilindro!$B$34),1-EXP(-Presion_cilindro!$B$16*((Presion_cilindro!N307-(-F$4+Presion_cilindro!$B$34))/Presion_cilindro!$B$35)^(Presion_cilindro!$B$17+1)),0)-IF(Presion_cilindro!N306&gt;(-F$4+Presion_cilindro!$B$34),1-EXP(-Presion_cilindro!$B$16*((Presion_cilindro!N306-(-F$4+Presion_cilindro!$B$34))/Presion_cilindro!$B$35)^(Presion_cilindro!$B$17+1)),0))/((Presion_cilindro!O306+Presion_cilindro!O307)/2)</f>
        <v>7.6459568630988599</v>
      </c>
      <c r="G315" s="27">
        <f>G314*(Presion_cilindro!O306/Presion_cilindro!O307)^Presion_cilindro!$B$9+10*(Presion_cilindro!$B$9-1)*Presion_cilindro!$B$33*(IF(Presion_cilindro!N307&gt;(-G$4+Presion_cilindro!$B$34),1-EXP(-Presion_cilindro!$B$16*((Presion_cilindro!N307-(-G$4+Presion_cilindro!$B$34))/Presion_cilindro!$B$35)^(Presion_cilindro!$B$17+1)),0)-IF(Presion_cilindro!N306&gt;(-G$4+Presion_cilindro!$B$34),1-EXP(-Presion_cilindro!$B$16*((Presion_cilindro!N306-(-G$4+Presion_cilindro!$B$34))/Presion_cilindro!$B$35)^(Presion_cilindro!$B$17+1)),0))/((Presion_cilindro!O306+Presion_cilindro!O307)/2)</f>
        <v>7.6459568630988599</v>
      </c>
      <c r="H315" s="27">
        <f>H314*(Presion_cilindro!O306/Presion_cilindro!O307)^Presion_cilindro!$B$9+10*(Presion_cilindro!$B$9-1)*Presion_cilindro!$B$33*(IF(Presion_cilindro!N307&gt;(-H$4+Presion_cilindro!$B$34),1-EXP(-Presion_cilindro!$B$16*((Presion_cilindro!N307-(-H$4+Presion_cilindro!$B$34))/Presion_cilindro!$B$35)^(Presion_cilindro!$B$17+1)),0)-IF(Presion_cilindro!N306&gt;(-H$4+Presion_cilindro!$B$34),1-EXP(-Presion_cilindro!$B$16*((Presion_cilindro!N306-(-H$4+Presion_cilindro!$B$34))/Presion_cilindro!$B$35)^(Presion_cilindro!$B$17+1)),0))/((Presion_cilindro!O306+Presion_cilindro!O307)/2)</f>
        <v>7.6459568630988599</v>
      </c>
      <c r="I315" s="27">
        <f>I314*(Presion_cilindro!O306/Presion_cilindro!O307)^Presion_cilindro!$B$9+10*(Presion_cilindro!$B$9-1)*Presion_cilindro!$B$33*(IF(Presion_cilindro!N307&gt;(-I$4+Presion_cilindro!$B$34),1-EXP(-Presion_cilindro!$B$16*((Presion_cilindro!N307-(-I$4+Presion_cilindro!$B$34))/Presion_cilindro!$B$35)^(Presion_cilindro!$B$17+1)),0)-IF(Presion_cilindro!N306&gt;(-I$4+Presion_cilindro!$B$34),1-EXP(-Presion_cilindro!$B$16*((Presion_cilindro!N306-(-I$4+Presion_cilindro!$B$34))/Presion_cilindro!$B$35)^(Presion_cilindro!$B$17+1)),0))/((Presion_cilindro!O306+Presion_cilindro!O307)/2)</f>
        <v>7.6459568630988599</v>
      </c>
      <c r="J315" s="27">
        <f>J314*(Presion_cilindro!O306/Presion_cilindro!O307)^Presion_cilindro!$B$9+10*(Presion_cilindro!$B$9-1)*Presion_cilindro!$B$33*(IF(Presion_cilindro!N307&gt;(-J$4+Presion_cilindro!$B$34),1-EXP(-Presion_cilindro!$B$16*((Presion_cilindro!N307-(-J$4+Presion_cilindro!$B$34))/Presion_cilindro!$B$35)^(Presion_cilindro!$B$17+1)),0)-IF(Presion_cilindro!N306&gt;(-J$4+Presion_cilindro!$B$34),1-EXP(-Presion_cilindro!$B$16*((Presion_cilindro!N306-(-J$4+Presion_cilindro!$B$34))/Presion_cilindro!$B$35)^(Presion_cilindro!$B$17+1)),0))/((Presion_cilindro!O306+Presion_cilindro!O307)/2)</f>
        <v>7.7073431323519825</v>
      </c>
      <c r="K315" s="27">
        <f>K314*(Presion_cilindro!O306/Presion_cilindro!O307)^Presion_cilindro!$B$9+10*(Presion_cilindro!$B$9-1)*Presion_cilindro!$B$33*(IF(Presion_cilindro!N307&gt;(-K$4+Presion_cilindro!$B$34),1-EXP(-Presion_cilindro!$B$16*((Presion_cilindro!N307-(-K$4+Presion_cilindro!$B$34))/Presion_cilindro!$B$35)^(Presion_cilindro!$B$17+1)),0)-IF(Presion_cilindro!N306&gt;(-K$4+Presion_cilindro!$B$34),1-EXP(-Presion_cilindro!$B$16*((Presion_cilindro!N306-(-K$4+Presion_cilindro!$B$34))/Presion_cilindro!$B$35)^(Presion_cilindro!$B$17+1)),0))/((Presion_cilindro!O306+Presion_cilindro!O307)/2)</f>
        <v>8.2650316690870103</v>
      </c>
      <c r="L315" s="27">
        <f>L314*(Presion_cilindro!O306/Presion_cilindro!O307)^Presion_cilindro!$B$9+10*(Presion_cilindro!$B$9-1)*Presion_cilindro!$B$33*(IF(Presion_cilindro!N307&gt;(-L$4+Presion_cilindro!$B$34),1-EXP(-Presion_cilindro!$B$16*((Presion_cilindro!N307-(-L$4+Presion_cilindro!$B$34))/Presion_cilindro!$B$35)^(Presion_cilindro!$B$17+1)),0)-IF(Presion_cilindro!N306&gt;(-L$4+Presion_cilindro!$B$34),1-EXP(-Presion_cilindro!$B$16*((Presion_cilindro!N306-(-L$4+Presion_cilindro!$B$34))/Presion_cilindro!$B$35)^(Presion_cilindro!$B$17+1)),0))/((Presion_cilindro!O306+Presion_cilindro!O307)/2)</f>
        <v>9.8287642692311668</v>
      </c>
      <c r="M315" s="27">
        <f>M314*(Presion_cilindro!O306/Presion_cilindro!O307)^Presion_cilindro!$B$9+10*(Presion_cilindro!$B$9-1)*Presion_cilindro!$B$33*(IF(Presion_cilindro!N307&gt;(-M$4+Presion_cilindro!$B$34),1-EXP(-Presion_cilindro!$B$16*((Presion_cilindro!N307-(-M$4+Presion_cilindro!$B$34))/Presion_cilindro!$B$35)^(Presion_cilindro!$B$17+1)),0)-IF(Presion_cilindro!N306&gt;(-M$4+Presion_cilindro!$B$34),1-EXP(-Presion_cilindro!$B$16*((Presion_cilindro!N306-(-M$4+Presion_cilindro!$B$34))/Presion_cilindro!$B$35)^(Presion_cilindro!$B$17+1)),0))/((Presion_cilindro!O306+Presion_cilindro!O307)/2)</f>
        <v>12.645411956084901</v>
      </c>
      <c r="N315" s="27">
        <f>N314*(Presion_cilindro!O306/Presion_cilindro!O307)^Presion_cilindro!$B$9+10*(Presion_cilindro!$B$9-1)*Presion_cilindro!$B$33*(IF(Presion_cilindro!N307&gt;(-N$4+Presion_cilindro!$B$34),1-EXP(-Presion_cilindro!$B$16*((Presion_cilindro!N307-(-N$4+Presion_cilindro!$B$34))/Presion_cilindro!$B$35)^(Presion_cilindro!$B$17+1)),0)-IF(Presion_cilindro!N306&gt;(-N$4+Presion_cilindro!$B$34),1-EXP(-Presion_cilindro!$B$16*((Presion_cilindro!N306-(-N$4+Presion_cilindro!$B$34))/Presion_cilindro!$B$35)^(Presion_cilindro!$B$17+1)),0))/((Presion_cilindro!O306+Presion_cilindro!O307)/2)</f>
        <v>16.494550427580659</v>
      </c>
    </row>
    <row r="316" spans="1:14" x14ac:dyDescent="0.25">
      <c r="A316" s="21">
        <f>Presion_cilindro!N308</f>
        <v>-28</v>
      </c>
      <c r="B316" s="27">
        <f>B315*(Presion_cilindro!O307/Presion_cilindro!O308)^Presion_cilindro!$B$9+10*(Presion_cilindro!$B$9-1)*Presion_cilindro!$B$33*(IF(Presion_cilindro!N308&gt;(-B$4+Presion_cilindro!$B$34),1-EXP(-Presion_cilindro!$B$16*((Presion_cilindro!N308-(-B$4+Presion_cilindro!$B$34))/Presion_cilindro!$B$35)^(Presion_cilindro!$B$17+1)),0)-IF(Presion_cilindro!N307&gt;(-B$4+Presion_cilindro!$B$34),1-EXP(-Presion_cilindro!$B$16*((Presion_cilindro!N307-(-B$4+Presion_cilindro!$B$34))/Presion_cilindro!$B$35)^(Presion_cilindro!$B$17+1)),0))/((Presion_cilindro!O307+Presion_cilindro!O308)/2)</f>
        <v>7.7882951465147201</v>
      </c>
      <c r="C316" s="27">
        <f>C315*(Presion_cilindro!O307/Presion_cilindro!O308)^Presion_cilindro!$B$9+10*(Presion_cilindro!$B$9-1)*Presion_cilindro!$B$33*(IF(Presion_cilindro!N308&gt;(-C$4+Presion_cilindro!$B$34),1-EXP(-Presion_cilindro!$B$16*((Presion_cilindro!N308-(-C$4+Presion_cilindro!$B$34))/Presion_cilindro!$B$35)^(Presion_cilindro!$B$17+1)),0)-IF(Presion_cilindro!N307&gt;(-C$4+Presion_cilindro!$B$34),1-EXP(-Presion_cilindro!$B$16*((Presion_cilindro!N307-(-C$4+Presion_cilindro!$B$34))/Presion_cilindro!$B$35)^(Presion_cilindro!$B$17+1)),0))/((Presion_cilindro!O307+Presion_cilindro!O308)/2)</f>
        <v>7.7882951465147201</v>
      </c>
      <c r="D316" s="27">
        <f>D315*(Presion_cilindro!O307/Presion_cilindro!O308)^Presion_cilindro!$B$9+10*(Presion_cilindro!$B$9-1)*Presion_cilindro!$B$33*(IF(Presion_cilindro!N308&gt;(-D$4+Presion_cilindro!$B$34),1-EXP(-Presion_cilindro!$B$16*((Presion_cilindro!N308-(-D$4+Presion_cilindro!$B$34))/Presion_cilindro!$B$35)^(Presion_cilindro!$B$17+1)),0)-IF(Presion_cilindro!N307&gt;(-D$4+Presion_cilindro!$B$34),1-EXP(-Presion_cilindro!$B$16*((Presion_cilindro!N307-(-D$4+Presion_cilindro!$B$34))/Presion_cilindro!$B$35)^(Presion_cilindro!$B$17+1)),0))/((Presion_cilindro!O307+Presion_cilindro!O308)/2)</f>
        <v>7.7882951465147201</v>
      </c>
      <c r="E316" s="27">
        <f>E315*(Presion_cilindro!O307/Presion_cilindro!O308)^Presion_cilindro!$B$9+10*(Presion_cilindro!$B$9-1)*Presion_cilindro!$B$33*(IF(Presion_cilindro!N308&gt;(-E$4+Presion_cilindro!$B$34),1-EXP(-Presion_cilindro!$B$16*((Presion_cilindro!N308-(-E$4+Presion_cilindro!$B$34))/Presion_cilindro!$B$35)^(Presion_cilindro!$B$17+1)),0)-IF(Presion_cilindro!N307&gt;(-E$4+Presion_cilindro!$B$34),1-EXP(-Presion_cilindro!$B$16*((Presion_cilindro!N307-(-E$4+Presion_cilindro!$B$34))/Presion_cilindro!$B$35)^(Presion_cilindro!$B$17+1)),0))/((Presion_cilindro!O307+Presion_cilindro!O308)/2)</f>
        <v>7.7882951465147201</v>
      </c>
      <c r="F316" s="27">
        <f>F315*(Presion_cilindro!O307/Presion_cilindro!O308)^Presion_cilindro!$B$9+10*(Presion_cilindro!$B$9-1)*Presion_cilindro!$B$33*(IF(Presion_cilindro!N308&gt;(-F$4+Presion_cilindro!$B$34),1-EXP(-Presion_cilindro!$B$16*((Presion_cilindro!N308-(-F$4+Presion_cilindro!$B$34))/Presion_cilindro!$B$35)^(Presion_cilindro!$B$17+1)),0)-IF(Presion_cilindro!N307&gt;(-F$4+Presion_cilindro!$B$34),1-EXP(-Presion_cilindro!$B$16*((Presion_cilindro!N307-(-F$4+Presion_cilindro!$B$34))/Presion_cilindro!$B$35)^(Presion_cilindro!$B$17+1)),0))/((Presion_cilindro!O307+Presion_cilindro!O308)/2)</f>
        <v>7.7882951465147201</v>
      </c>
      <c r="G316" s="27">
        <f>G315*(Presion_cilindro!O307/Presion_cilindro!O308)^Presion_cilindro!$B$9+10*(Presion_cilindro!$B$9-1)*Presion_cilindro!$B$33*(IF(Presion_cilindro!N308&gt;(-G$4+Presion_cilindro!$B$34),1-EXP(-Presion_cilindro!$B$16*((Presion_cilindro!N308-(-G$4+Presion_cilindro!$B$34))/Presion_cilindro!$B$35)^(Presion_cilindro!$B$17+1)),0)-IF(Presion_cilindro!N307&gt;(-G$4+Presion_cilindro!$B$34),1-EXP(-Presion_cilindro!$B$16*((Presion_cilindro!N307-(-G$4+Presion_cilindro!$B$34))/Presion_cilindro!$B$35)^(Presion_cilindro!$B$17+1)),0))/((Presion_cilindro!O307+Presion_cilindro!O308)/2)</f>
        <v>7.7882951465147201</v>
      </c>
      <c r="H316" s="27">
        <f>H315*(Presion_cilindro!O307/Presion_cilindro!O308)^Presion_cilindro!$B$9+10*(Presion_cilindro!$B$9-1)*Presion_cilindro!$B$33*(IF(Presion_cilindro!N308&gt;(-H$4+Presion_cilindro!$B$34),1-EXP(-Presion_cilindro!$B$16*((Presion_cilindro!N308-(-H$4+Presion_cilindro!$B$34))/Presion_cilindro!$B$35)^(Presion_cilindro!$B$17+1)),0)-IF(Presion_cilindro!N307&gt;(-H$4+Presion_cilindro!$B$34),1-EXP(-Presion_cilindro!$B$16*((Presion_cilindro!N307-(-H$4+Presion_cilindro!$B$34))/Presion_cilindro!$B$35)^(Presion_cilindro!$B$17+1)),0))/((Presion_cilindro!O307+Presion_cilindro!O308)/2)</f>
        <v>7.7882951465147201</v>
      </c>
      <c r="I316" s="27">
        <f>I315*(Presion_cilindro!O307/Presion_cilindro!O308)^Presion_cilindro!$B$9+10*(Presion_cilindro!$B$9-1)*Presion_cilindro!$B$33*(IF(Presion_cilindro!N308&gt;(-I$4+Presion_cilindro!$B$34),1-EXP(-Presion_cilindro!$B$16*((Presion_cilindro!N308-(-I$4+Presion_cilindro!$B$34))/Presion_cilindro!$B$35)^(Presion_cilindro!$B$17+1)),0)-IF(Presion_cilindro!N307&gt;(-I$4+Presion_cilindro!$B$34),1-EXP(-Presion_cilindro!$B$16*((Presion_cilindro!N307-(-I$4+Presion_cilindro!$B$34))/Presion_cilindro!$B$35)^(Presion_cilindro!$B$17+1)),0))/((Presion_cilindro!O307+Presion_cilindro!O308)/2)</f>
        <v>7.7882951465147201</v>
      </c>
      <c r="J316" s="27">
        <f>J315*(Presion_cilindro!O307/Presion_cilindro!O308)^Presion_cilindro!$B$9+10*(Presion_cilindro!$B$9-1)*Presion_cilindro!$B$33*(IF(Presion_cilindro!N308&gt;(-J$4+Presion_cilindro!$B$34),1-EXP(-Presion_cilindro!$B$16*((Presion_cilindro!N308-(-J$4+Presion_cilindro!$B$34))/Presion_cilindro!$B$35)^(Presion_cilindro!$B$17+1)),0)-IF(Presion_cilindro!N307&gt;(-J$4+Presion_cilindro!$B$34),1-EXP(-Presion_cilindro!$B$16*((Presion_cilindro!N307-(-J$4+Presion_cilindro!$B$34))/Presion_cilindro!$B$35)^(Presion_cilindro!$B$17+1)),0))/((Presion_cilindro!O307+Presion_cilindro!O308)/2)</f>
        <v>7.8749178499810437</v>
      </c>
      <c r="K316" s="27">
        <f>K315*(Presion_cilindro!O307/Presion_cilindro!O308)^Presion_cilindro!$B$9+10*(Presion_cilindro!$B$9-1)*Presion_cilindro!$B$33*(IF(Presion_cilindro!N308&gt;(-K$4+Presion_cilindro!$B$34),1-EXP(-Presion_cilindro!$B$16*((Presion_cilindro!N308-(-K$4+Presion_cilindro!$B$34))/Presion_cilindro!$B$35)^(Presion_cilindro!$B$17+1)),0)-IF(Presion_cilindro!N307&gt;(-K$4+Presion_cilindro!$B$34),1-EXP(-Presion_cilindro!$B$16*((Presion_cilindro!N307-(-K$4+Presion_cilindro!$B$34))/Presion_cilindro!$B$35)^(Presion_cilindro!$B$17+1)),0))/((Presion_cilindro!O307+Presion_cilindro!O308)/2)</f>
        <v>8.5216276623658214</v>
      </c>
      <c r="L316" s="27">
        <f>L315*(Presion_cilindro!O307/Presion_cilindro!O308)^Presion_cilindro!$B$9+10*(Presion_cilindro!$B$9-1)*Presion_cilindro!$B$33*(IF(Presion_cilindro!N308&gt;(-L$4+Presion_cilindro!$B$34),1-EXP(-Presion_cilindro!$B$16*((Presion_cilindro!N308-(-L$4+Presion_cilindro!$B$34))/Presion_cilindro!$B$35)^(Presion_cilindro!$B$17+1)),0)-IF(Presion_cilindro!N307&gt;(-L$4+Presion_cilindro!$B$34),1-EXP(-Presion_cilindro!$B$16*((Presion_cilindro!N307-(-L$4+Presion_cilindro!$B$34))/Presion_cilindro!$B$35)^(Presion_cilindro!$B$17+1)),0))/((Presion_cilindro!O307+Presion_cilindro!O308)/2)</f>
        <v>10.229530532239266</v>
      </c>
      <c r="M316" s="27">
        <f>M315*(Presion_cilindro!O307/Presion_cilindro!O308)^Presion_cilindro!$B$9+10*(Presion_cilindro!$B$9-1)*Presion_cilindro!$B$33*(IF(Presion_cilindro!N308&gt;(-M$4+Presion_cilindro!$B$34),1-EXP(-Presion_cilindro!$B$16*((Presion_cilindro!N308-(-M$4+Presion_cilindro!$B$34))/Presion_cilindro!$B$35)^(Presion_cilindro!$B$17+1)),0)-IF(Presion_cilindro!N307&gt;(-M$4+Presion_cilindro!$B$34),1-EXP(-Presion_cilindro!$B$16*((Presion_cilindro!N307-(-M$4+Presion_cilindro!$B$34))/Presion_cilindro!$B$35)^(Presion_cilindro!$B$17+1)),0))/((Presion_cilindro!O307+Presion_cilindro!O308)/2)</f>
        <v>13.209239457517533</v>
      </c>
      <c r="N316" s="27">
        <f>N315*(Presion_cilindro!O307/Presion_cilindro!O308)^Presion_cilindro!$B$9+10*(Presion_cilindro!$B$9-1)*Presion_cilindro!$B$33*(IF(Presion_cilindro!N308&gt;(-N$4+Presion_cilindro!$B$34),1-EXP(-Presion_cilindro!$B$16*((Presion_cilindro!N308-(-N$4+Presion_cilindro!$B$34))/Presion_cilindro!$B$35)^(Presion_cilindro!$B$17+1)),0)-IF(Presion_cilindro!N307&gt;(-N$4+Presion_cilindro!$B$34),1-EXP(-Presion_cilindro!$B$16*((Presion_cilindro!N307-(-N$4+Presion_cilindro!$B$34))/Presion_cilindro!$B$35)^(Presion_cilindro!$B$17+1)),0))/((Presion_cilindro!O307+Presion_cilindro!O308)/2)</f>
        <v>17.185223450852103</v>
      </c>
    </row>
    <row r="317" spans="1:14" x14ac:dyDescent="0.25">
      <c r="A317" s="21">
        <f>Presion_cilindro!N309</f>
        <v>-27.5</v>
      </c>
      <c r="B317" s="27">
        <f>B316*(Presion_cilindro!O308/Presion_cilindro!O309)^Presion_cilindro!$B$9+10*(Presion_cilindro!$B$9-1)*Presion_cilindro!$B$33*(IF(Presion_cilindro!N309&gt;(-B$4+Presion_cilindro!$B$34),1-EXP(-Presion_cilindro!$B$16*((Presion_cilindro!N309-(-B$4+Presion_cilindro!$B$34))/Presion_cilindro!$B$35)^(Presion_cilindro!$B$17+1)),0)-IF(Presion_cilindro!N308&gt;(-B$4+Presion_cilindro!$B$34),1-EXP(-Presion_cilindro!$B$16*((Presion_cilindro!N308-(-B$4+Presion_cilindro!$B$34))/Presion_cilindro!$B$35)^(Presion_cilindro!$B$17+1)),0))/((Presion_cilindro!O308+Presion_cilindro!O309)/2)</f>
        <v>7.9330382459174604</v>
      </c>
      <c r="C317" s="27">
        <f>C316*(Presion_cilindro!O308/Presion_cilindro!O309)^Presion_cilindro!$B$9+10*(Presion_cilindro!$B$9-1)*Presion_cilindro!$B$33*(IF(Presion_cilindro!N309&gt;(-C$4+Presion_cilindro!$B$34),1-EXP(-Presion_cilindro!$B$16*((Presion_cilindro!N309-(-C$4+Presion_cilindro!$B$34))/Presion_cilindro!$B$35)^(Presion_cilindro!$B$17+1)),0)-IF(Presion_cilindro!N308&gt;(-C$4+Presion_cilindro!$B$34),1-EXP(-Presion_cilindro!$B$16*((Presion_cilindro!N308-(-C$4+Presion_cilindro!$B$34))/Presion_cilindro!$B$35)^(Presion_cilindro!$B$17+1)),0))/((Presion_cilindro!O308+Presion_cilindro!O309)/2)</f>
        <v>7.9330382459174604</v>
      </c>
      <c r="D317" s="27">
        <f>D316*(Presion_cilindro!O308/Presion_cilindro!O309)^Presion_cilindro!$B$9+10*(Presion_cilindro!$B$9-1)*Presion_cilindro!$B$33*(IF(Presion_cilindro!N309&gt;(-D$4+Presion_cilindro!$B$34),1-EXP(-Presion_cilindro!$B$16*((Presion_cilindro!N309-(-D$4+Presion_cilindro!$B$34))/Presion_cilindro!$B$35)^(Presion_cilindro!$B$17+1)),0)-IF(Presion_cilindro!N308&gt;(-D$4+Presion_cilindro!$B$34),1-EXP(-Presion_cilindro!$B$16*((Presion_cilindro!N308-(-D$4+Presion_cilindro!$B$34))/Presion_cilindro!$B$35)^(Presion_cilindro!$B$17+1)),0))/((Presion_cilindro!O308+Presion_cilindro!O309)/2)</f>
        <v>7.9330382459174604</v>
      </c>
      <c r="E317" s="27">
        <f>E316*(Presion_cilindro!O308/Presion_cilindro!O309)^Presion_cilindro!$B$9+10*(Presion_cilindro!$B$9-1)*Presion_cilindro!$B$33*(IF(Presion_cilindro!N309&gt;(-E$4+Presion_cilindro!$B$34),1-EXP(-Presion_cilindro!$B$16*((Presion_cilindro!N309-(-E$4+Presion_cilindro!$B$34))/Presion_cilindro!$B$35)^(Presion_cilindro!$B$17+1)),0)-IF(Presion_cilindro!N308&gt;(-E$4+Presion_cilindro!$B$34),1-EXP(-Presion_cilindro!$B$16*((Presion_cilindro!N308-(-E$4+Presion_cilindro!$B$34))/Presion_cilindro!$B$35)^(Presion_cilindro!$B$17+1)),0))/((Presion_cilindro!O308+Presion_cilindro!O309)/2)</f>
        <v>7.9330382459174604</v>
      </c>
      <c r="F317" s="27">
        <f>F316*(Presion_cilindro!O308/Presion_cilindro!O309)^Presion_cilindro!$B$9+10*(Presion_cilindro!$B$9-1)*Presion_cilindro!$B$33*(IF(Presion_cilindro!N309&gt;(-F$4+Presion_cilindro!$B$34),1-EXP(-Presion_cilindro!$B$16*((Presion_cilindro!N309-(-F$4+Presion_cilindro!$B$34))/Presion_cilindro!$B$35)^(Presion_cilindro!$B$17+1)),0)-IF(Presion_cilindro!N308&gt;(-F$4+Presion_cilindro!$B$34),1-EXP(-Presion_cilindro!$B$16*((Presion_cilindro!N308-(-F$4+Presion_cilindro!$B$34))/Presion_cilindro!$B$35)^(Presion_cilindro!$B$17+1)),0))/((Presion_cilindro!O308+Presion_cilindro!O309)/2)</f>
        <v>7.9330382459174604</v>
      </c>
      <c r="G317" s="27">
        <f>G316*(Presion_cilindro!O308/Presion_cilindro!O309)^Presion_cilindro!$B$9+10*(Presion_cilindro!$B$9-1)*Presion_cilindro!$B$33*(IF(Presion_cilindro!N309&gt;(-G$4+Presion_cilindro!$B$34),1-EXP(-Presion_cilindro!$B$16*((Presion_cilindro!N309-(-G$4+Presion_cilindro!$B$34))/Presion_cilindro!$B$35)^(Presion_cilindro!$B$17+1)),0)-IF(Presion_cilindro!N308&gt;(-G$4+Presion_cilindro!$B$34),1-EXP(-Presion_cilindro!$B$16*((Presion_cilindro!N308-(-G$4+Presion_cilindro!$B$34))/Presion_cilindro!$B$35)^(Presion_cilindro!$B$17+1)),0))/((Presion_cilindro!O308+Presion_cilindro!O309)/2)</f>
        <v>7.9330382459174604</v>
      </c>
      <c r="H317" s="27">
        <f>H316*(Presion_cilindro!O308/Presion_cilindro!O309)^Presion_cilindro!$B$9+10*(Presion_cilindro!$B$9-1)*Presion_cilindro!$B$33*(IF(Presion_cilindro!N309&gt;(-H$4+Presion_cilindro!$B$34),1-EXP(-Presion_cilindro!$B$16*((Presion_cilindro!N309-(-H$4+Presion_cilindro!$B$34))/Presion_cilindro!$B$35)^(Presion_cilindro!$B$17+1)),0)-IF(Presion_cilindro!N308&gt;(-H$4+Presion_cilindro!$B$34),1-EXP(-Presion_cilindro!$B$16*((Presion_cilindro!N308-(-H$4+Presion_cilindro!$B$34))/Presion_cilindro!$B$35)^(Presion_cilindro!$B$17+1)),0))/((Presion_cilindro!O308+Presion_cilindro!O309)/2)</f>
        <v>7.9330382459174604</v>
      </c>
      <c r="I317" s="27">
        <f>I316*(Presion_cilindro!O308/Presion_cilindro!O309)^Presion_cilindro!$B$9+10*(Presion_cilindro!$B$9-1)*Presion_cilindro!$B$33*(IF(Presion_cilindro!N309&gt;(-I$4+Presion_cilindro!$B$34),1-EXP(-Presion_cilindro!$B$16*((Presion_cilindro!N309-(-I$4+Presion_cilindro!$B$34))/Presion_cilindro!$B$35)^(Presion_cilindro!$B$17+1)),0)-IF(Presion_cilindro!N308&gt;(-I$4+Presion_cilindro!$B$34),1-EXP(-Presion_cilindro!$B$16*((Presion_cilindro!N308-(-I$4+Presion_cilindro!$B$34))/Presion_cilindro!$B$35)^(Presion_cilindro!$B$17+1)),0))/((Presion_cilindro!O308+Presion_cilindro!O309)/2)</f>
        <v>7.9330595481335813</v>
      </c>
      <c r="J317" s="27">
        <f>J316*(Presion_cilindro!O308/Presion_cilindro!O309)^Presion_cilindro!$B$9+10*(Presion_cilindro!$B$9-1)*Presion_cilindro!$B$33*(IF(Presion_cilindro!N309&gt;(-J$4+Presion_cilindro!$B$34),1-EXP(-Presion_cilindro!$B$16*((Presion_cilindro!N309-(-J$4+Presion_cilindro!$B$34))/Presion_cilindro!$B$35)^(Presion_cilindro!$B$17+1)),0)-IF(Presion_cilindro!N308&gt;(-J$4+Presion_cilindro!$B$34),1-EXP(-Presion_cilindro!$B$16*((Presion_cilindro!N308-(-J$4+Presion_cilindro!$B$34))/Presion_cilindro!$B$35)^(Presion_cilindro!$B$17+1)),0))/((Presion_cilindro!O308+Presion_cilindro!O309)/2)</f>
        <v>8.0513164331276368</v>
      </c>
      <c r="K317" s="27">
        <f>K316*(Presion_cilindro!O308/Presion_cilindro!O309)^Presion_cilindro!$B$9+10*(Presion_cilindro!$B$9-1)*Presion_cilindro!$B$33*(IF(Presion_cilindro!N309&gt;(-K$4+Presion_cilindro!$B$34),1-EXP(-Presion_cilindro!$B$16*((Presion_cilindro!N309-(-K$4+Presion_cilindro!$B$34))/Presion_cilindro!$B$35)^(Presion_cilindro!$B$17+1)),0)-IF(Presion_cilindro!N308&gt;(-K$4+Presion_cilindro!$B$34),1-EXP(-Presion_cilindro!$B$16*((Presion_cilindro!N308-(-K$4+Presion_cilindro!$B$34))/Presion_cilindro!$B$35)^(Presion_cilindro!$B$17+1)),0))/((Presion_cilindro!O308+Presion_cilindro!O309)/2)</f>
        <v>8.7946768738187444</v>
      </c>
      <c r="L317" s="27">
        <f>L316*(Presion_cilindro!O308/Presion_cilindro!O309)^Presion_cilindro!$B$9+10*(Presion_cilindro!$B$9-1)*Presion_cilindro!$B$33*(IF(Presion_cilindro!N309&gt;(-L$4+Presion_cilindro!$B$34),1-EXP(-Presion_cilindro!$B$16*((Presion_cilindro!N309-(-L$4+Presion_cilindro!$B$34))/Presion_cilindro!$B$35)^(Presion_cilindro!$B$17+1)),0)-IF(Presion_cilindro!N308&gt;(-L$4+Presion_cilindro!$B$34),1-EXP(-Presion_cilindro!$B$16*((Presion_cilindro!N308-(-L$4+Presion_cilindro!$B$34))/Presion_cilindro!$B$35)^(Presion_cilindro!$B$17+1)),0))/((Presion_cilindro!O308+Presion_cilindro!O309)/2)</f>
        <v>10.652750868796856</v>
      </c>
      <c r="M317" s="27">
        <f>M316*(Presion_cilindro!O308/Presion_cilindro!O309)^Presion_cilindro!$B$9+10*(Presion_cilindro!$B$9-1)*Presion_cilindro!$B$33*(IF(Presion_cilindro!N309&gt;(-M$4+Presion_cilindro!$B$34),1-EXP(-Presion_cilindro!$B$16*((Presion_cilindro!N309-(-M$4+Presion_cilindro!$B$34))/Presion_cilindro!$B$35)^(Presion_cilindro!$B$17+1)),0)-IF(Presion_cilindro!N308&gt;(-M$4+Presion_cilindro!$B$34),1-EXP(-Presion_cilindro!$B$16*((Presion_cilindro!N308-(-M$4+Presion_cilindro!$B$34))/Presion_cilindro!$B$35)^(Presion_cilindro!$B$17+1)),0))/((Presion_cilindro!O308+Presion_cilindro!O309)/2)</f>
        <v>13.796640755293165</v>
      </c>
      <c r="N317" s="27">
        <f>N316*(Presion_cilindro!O308/Presion_cilindro!O309)^Presion_cilindro!$B$9+10*(Presion_cilindro!$B$9-1)*Presion_cilindro!$B$33*(IF(Presion_cilindro!N309&gt;(-N$4+Presion_cilindro!$B$34),1-EXP(-Presion_cilindro!$B$16*((Presion_cilindro!N309-(-N$4+Presion_cilindro!$B$34))/Presion_cilindro!$B$35)^(Presion_cilindro!$B$17+1)),0)-IF(Presion_cilindro!N308&gt;(-N$4+Presion_cilindro!$B$34),1-EXP(-Presion_cilindro!$B$16*((Presion_cilindro!N308-(-N$4+Presion_cilindro!$B$34))/Presion_cilindro!$B$35)^(Presion_cilindro!$B$17+1)),0))/((Presion_cilindro!O308+Presion_cilindro!O309)/2)</f>
        <v>17.894547565567137</v>
      </c>
    </row>
    <row r="318" spans="1:14" x14ac:dyDescent="0.25">
      <c r="A318" s="21">
        <f>Presion_cilindro!N310</f>
        <v>-27</v>
      </c>
      <c r="B318" s="27">
        <f>B317*(Presion_cilindro!O309/Presion_cilindro!O310)^Presion_cilindro!$B$9+10*(Presion_cilindro!$B$9-1)*Presion_cilindro!$B$33*(IF(Presion_cilindro!N310&gt;(-B$4+Presion_cilindro!$B$34),1-EXP(-Presion_cilindro!$B$16*((Presion_cilindro!N310-(-B$4+Presion_cilindro!$B$34))/Presion_cilindro!$B$35)^(Presion_cilindro!$B$17+1)),0)-IF(Presion_cilindro!N309&gt;(-B$4+Presion_cilindro!$B$34),1-EXP(-Presion_cilindro!$B$16*((Presion_cilindro!N309-(-B$4+Presion_cilindro!$B$34))/Presion_cilindro!$B$35)^(Presion_cilindro!$B$17+1)),0))/((Presion_cilindro!O309+Presion_cilindro!O310)/2)</f>
        <v>8.080163847805947</v>
      </c>
      <c r="C318" s="27">
        <f>C317*(Presion_cilindro!O309/Presion_cilindro!O310)^Presion_cilindro!$B$9+10*(Presion_cilindro!$B$9-1)*Presion_cilindro!$B$33*(IF(Presion_cilindro!N310&gt;(-C$4+Presion_cilindro!$B$34),1-EXP(-Presion_cilindro!$B$16*((Presion_cilindro!N310-(-C$4+Presion_cilindro!$B$34))/Presion_cilindro!$B$35)^(Presion_cilindro!$B$17+1)),0)-IF(Presion_cilindro!N309&gt;(-C$4+Presion_cilindro!$B$34),1-EXP(-Presion_cilindro!$B$16*((Presion_cilindro!N309-(-C$4+Presion_cilindro!$B$34))/Presion_cilindro!$B$35)^(Presion_cilindro!$B$17+1)),0))/((Presion_cilindro!O309+Presion_cilindro!O310)/2)</f>
        <v>8.080163847805947</v>
      </c>
      <c r="D318" s="27">
        <f>D317*(Presion_cilindro!O309/Presion_cilindro!O310)^Presion_cilindro!$B$9+10*(Presion_cilindro!$B$9-1)*Presion_cilindro!$B$33*(IF(Presion_cilindro!N310&gt;(-D$4+Presion_cilindro!$B$34),1-EXP(-Presion_cilindro!$B$16*((Presion_cilindro!N310-(-D$4+Presion_cilindro!$B$34))/Presion_cilindro!$B$35)^(Presion_cilindro!$B$17+1)),0)-IF(Presion_cilindro!N309&gt;(-D$4+Presion_cilindro!$B$34),1-EXP(-Presion_cilindro!$B$16*((Presion_cilindro!N309-(-D$4+Presion_cilindro!$B$34))/Presion_cilindro!$B$35)^(Presion_cilindro!$B$17+1)),0))/((Presion_cilindro!O309+Presion_cilindro!O310)/2)</f>
        <v>8.080163847805947</v>
      </c>
      <c r="E318" s="27">
        <f>E317*(Presion_cilindro!O309/Presion_cilindro!O310)^Presion_cilindro!$B$9+10*(Presion_cilindro!$B$9-1)*Presion_cilindro!$B$33*(IF(Presion_cilindro!N310&gt;(-E$4+Presion_cilindro!$B$34),1-EXP(-Presion_cilindro!$B$16*((Presion_cilindro!N310-(-E$4+Presion_cilindro!$B$34))/Presion_cilindro!$B$35)^(Presion_cilindro!$B$17+1)),0)-IF(Presion_cilindro!N309&gt;(-E$4+Presion_cilindro!$B$34),1-EXP(-Presion_cilindro!$B$16*((Presion_cilindro!N309-(-E$4+Presion_cilindro!$B$34))/Presion_cilindro!$B$35)^(Presion_cilindro!$B$17+1)),0))/((Presion_cilindro!O309+Presion_cilindro!O310)/2)</f>
        <v>8.080163847805947</v>
      </c>
      <c r="F318" s="27">
        <f>F317*(Presion_cilindro!O309/Presion_cilindro!O310)^Presion_cilindro!$B$9+10*(Presion_cilindro!$B$9-1)*Presion_cilindro!$B$33*(IF(Presion_cilindro!N310&gt;(-F$4+Presion_cilindro!$B$34),1-EXP(-Presion_cilindro!$B$16*((Presion_cilindro!N310-(-F$4+Presion_cilindro!$B$34))/Presion_cilindro!$B$35)^(Presion_cilindro!$B$17+1)),0)-IF(Presion_cilindro!N309&gt;(-F$4+Presion_cilindro!$B$34),1-EXP(-Presion_cilindro!$B$16*((Presion_cilindro!N309-(-F$4+Presion_cilindro!$B$34))/Presion_cilindro!$B$35)^(Presion_cilindro!$B$17+1)),0))/((Presion_cilindro!O309+Presion_cilindro!O310)/2)</f>
        <v>8.080163847805947</v>
      </c>
      <c r="G318" s="27">
        <f>G317*(Presion_cilindro!O309/Presion_cilindro!O310)^Presion_cilindro!$B$9+10*(Presion_cilindro!$B$9-1)*Presion_cilindro!$B$33*(IF(Presion_cilindro!N310&gt;(-G$4+Presion_cilindro!$B$34),1-EXP(-Presion_cilindro!$B$16*((Presion_cilindro!N310-(-G$4+Presion_cilindro!$B$34))/Presion_cilindro!$B$35)^(Presion_cilindro!$B$17+1)),0)-IF(Presion_cilindro!N309&gt;(-G$4+Presion_cilindro!$B$34),1-EXP(-Presion_cilindro!$B$16*((Presion_cilindro!N309-(-G$4+Presion_cilindro!$B$34))/Presion_cilindro!$B$35)^(Presion_cilindro!$B$17+1)),0))/((Presion_cilindro!O309+Presion_cilindro!O310)/2)</f>
        <v>8.080163847805947</v>
      </c>
      <c r="H318" s="27">
        <f>H317*(Presion_cilindro!O309/Presion_cilindro!O310)^Presion_cilindro!$B$9+10*(Presion_cilindro!$B$9-1)*Presion_cilindro!$B$33*(IF(Presion_cilindro!N310&gt;(-H$4+Presion_cilindro!$B$34),1-EXP(-Presion_cilindro!$B$16*((Presion_cilindro!N310-(-H$4+Presion_cilindro!$B$34))/Presion_cilindro!$B$35)^(Presion_cilindro!$B$17+1)),0)-IF(Presion_cilindro!N309&gt;(-H$4+Presion_cilindro!$B$34),1-EXP(-Presion_cilindro!$B$16*((Presion_cilindro!N309-(-H$4+Presion_cilindro!$B$34))/Presion_cilindro!$B$35)^(Presion_cilindro!$B$17+1)),0))/((Presion_cilindro!O309+Presion_cilindro!O310)/2)</f>
        <v>8.080163847805947</v>
      </c>
      <c r="I318" s="27">
        <f>I317*(Presion_cilindro!O309/Presion_cilindro!O310)^Presion_cilindro!$B$9+10*(Presion_cilindro!$B$9-1)*Presion_cilindro!$B$33*(IF(Presion_cilindro!N310&gt;(-I$4+Presion_cilindro!$B$34),1-EXP(-Presion_cilindro!$B$16*((Presion_cilindro!N310-(-I$4+Presion_cilindro!$B$34))/Presion_cilindro!$B$35)^(Presion_cilindro!$B$17+1)),0)-IF(Presion_cilindro!N309&gt;(-I$4+Presion_cilindro!$B$34),1-EXP(-Presion_cilindro!$B$16*((Presion_cilindro!N309-(-I$4+Presion_cilindro!$B$34))/Presion_cilindro!$B$35)^(Presion_cilindro!$B$17+1)),0))/((Presion_cilindro!O309+Presion_cilindro!O310)/2)</f>
        <v>8.0805735211505834</v>
      </c>
      <c r="J318" s="27">
        <f>J317*(Presion_cilindro!O309/Presion_cilindro!O310)^Presion_cilindro!$B$9+10*(Presion_cilindro!$B$9-1)*Presion_cilindro!$B$33*(IF(Presion_cilindro!N310&gt;(-J$4+Presion_cilindro!$B$34),1-EXP(-Presion_cilindro!$B$16*((Presion_cilindro!N310-(-J$4+Presion_cilindro!$B$34))/Presion_cilindro!$B$35)^(Presion_cilindro!$B$17+1)),0)-IF(Presion_cilindro!N309&gt;(-J$4+Presion_cilindro!$B$34),1-EXP(-Presion_cilindro!$B$16*((Presion_cilindro!N309-(-J$4+Presion_cilindro!$B$34))/Presion_cilindro!$B$35)^(Presion_cilindro!$B$17+1)),0))/((Presion_cilindro!O309+Presion_cilindro!O310)/2)</f>
        <v>8.2373620000457706</v>
      </c>
      <c r="K318" s="27">
        <f>K317*(Presion_cilindro!O309/Presion_cilindro!O310)^Presion_cilindro!$B$9+10*(Presion_cilindro!$B$9-1)*Presion_cilindro!$B$33*(IF(Presion_cilindro!N310&gt;(-K$4+Presion_cilindro!$B$34),1-EXP(-Presion_cilindro!$B$16*((Presion_cilindro!N310-(-K$4+Presion_cilindro!$B$34))/Presion_cilindro!$B$35)^(Presion_cilindro!$B$17+1)),0)-IF(Presion_cilindro!N309&gt;(-K$4+Presion_cilindro!$B$34),1-EXP(-Presion_cilindro!$B$16*((Presion_cilindro!N309-(-K$4+Presion_cilindro!$B$34))/Presion_cilindro!$B$35)^(Presion_cilindro!$B$17+1)),0))/((Presion_cilindro!O309+Presion_cilindro!O310)/2)</f>
        <v>9.085078417053138</v>
      </c>
      <c r="L318" s="27">
        <f>L317*(Presion_cilindro!O309/Presion_cilindro!O310)^Presion_cilindro!$B$9+10*(Presion_cilindro!$B$9-1)*Presion_cilindro!$B$33*(IF(Presion_cilindro!N310&gt;(-L$4+Presion_cilindro!$B$34),1-EXP(-Presion_cilindro!$B$16*((Presion_cilindro!N310-(-L$4+Presion_cilindro!$B$34))/Presion_cilindro!$B$35)^(Presion_cilindro!$B$17+1)),0)-IF(Presion_cilindro!N309&gt;(-L$4+Presion_cilindro!$B$34),1-EXP(-Presion_cilindro!$B$16*((Presion_cilindro!N309-(-L$4+Presion_cilindro!$B$34))/Presion_cilindro!$B$35)^(Presion_cilindro!$B$17+1)),0))/((Presion_cilindro!O309+Presion_cilindro!O310)/2)</f>
        <v>11.099028863059786</v>
      </c>
      <c r="M318" s="27">
        <f>M317*(Presion_cilindro!O309/Presion_cilindro!O310)^Presion_cilindro!$B$9+10*(Presion_cilindro!$B$9-1)*Presion_cilindro!$B$33*(IF(Presion_cilindro!N310&gt;(-M$4+Presion_cilindro!$B$34),1-EXP(-Presion_cilindro!$B$16*((Presion_cilindro!N310-(-M$4+Presion_cilindro!$B$34))/Presion_cilindro!$B$35)^(Presion_cilindro!$B$17+1)),0)-IF(Presion_cilindro!N309&gt;(-M$4+Presion_cilindro!$B$34),1-EXP(-Presion_cilindro!$B$16*((Presion_cilindro!N309-(-M$4+Presion_cilindro!$B$34))/Presion_cilindro!$B$35)^(Presion_cilindro!$B$17+1)),0))/((Presion_cilindro!O309+Presion_cilindro!O310)/2)</f>
        <v>14.407581775789289</v>
      </c>
      <c r="N318" s="27">
        <f>N317*(Presion_cilindro!O309/Presion_cilindro!O310)^Presion_cilindro!$B$9+10*(Presion_cilindro!$B$9-1)*Presion_cilindro!$B$33*(IF(Presion_cilindro!N310&gt;(-N$4+Presion_cilindro!$B$34),1-EXP(-Presion_cilindro!$B$16*((Presion_cilindro!N310-(-N$4+Presion_cilindro!$B$34))/Presion_cilindro!$B$35)^(Presion_cilindro!$B$17+1)),0)-IF(Presion_cilindro!N309&gt;(-N$4+Presion_cilindro!$B$34),1-EXP(-Presion_cilindro!$B$16*((Presion_cilindro!N309-(-N$4+Presion_cilindro!$B$34))/Presion_cilindro!$B$35)^(Presion_cilindro!$B$17+1)),0))/((Presion_cilindro!O309+Presion_cilindro!O310)/2)</f>
        <v>18.621863963271945</v>
      </c>
    </row>
    <row r="319" spans="1:14" x14ac:dyDescent="0.25">
      <c r="A319" s="21">
        <f>Presion_cilindro!N311</f>
        <v>-26.5</v>
      </c>
      <c r="B319" s="27">
        <f>B318*(Presion_cilindro!O310/Presion_cilindro!O311)^Presion_cilindro!$B$9+10*(Presion_cilindro!$B$9-1)*Presion_cilindro!$B$33*(IF(Presion_cilindro!N311&gt;(-B$4+Presion_cilindro!$B$34),1-EXP(-Presion_cilindro!$B$16*((Presion_cilindro!N311-(-B$4+Presion_cilindro!$B$34))/Presion_cilindro!$B$35)^(Presion_cilindro!$B$17+1)),0)-IF(Presion_cilindro!N310&gt;(-B$4+Presion_cilindro!$B$34),1-EXP(-Presion_cilindro!$B$16*((Presion_cilindro!N310-(-B$4+Presion_cilindro!$B$34))/Presion_cilindro!$B$35)^(Presion_cilindro!$B$17+1)),0))/((Presion_cilindro!O310+Presion_cilindro!O311)/2)</f>
        <v>8.2296435123565956</v>
      </c>
      <c r="C319" s="27">
        <f>C318*(Presion_cilindro!O310/Presion_cilindro!O311)^Presion_cilindro!$B$9+10*(Presion_cilindro!$B$9-1)*Presion_cilindro!$B$33*(IF(Presion_cilindro!N311&gt;(-C$4+Presion_cilindro!$B$34),1-EXP(-Presion_cilindro!$B$16*((Presion_cilindro!N311-(-C$4+Presion_cilindro!$B$34))/Presion_cilindro!$B$35)^(Presion_cilindro!$B$17+1)),0)-IF(Presion_cilindro!N310&gt;(-C$4+Presion_cilindro!$B$34),1-EXP(-Presion_cilindro!$B$16*((Presion_cilindro!N310-(-C$4+Presion_cilindro!$B$34))/Presion_cilindro!$B$35)^(Presion_cilindro!$B$17+1)),0))/((Presion_cilindro!O310+Presion_cilindro!O311)/2)</f>
        <v>8.2296435123565956</v>
      </c>
      <c r="D319" s="27">
        <f>D318*(Presion_cilindro!O310/Presion_cilindro!O311)^Presion_cilindro!$B$9+10*(Presion_cilindro!$B$9-1)*Presion_cilindro!$B$33*(IF(Presion_cilindro!N311&gt;(-D$4+Presion_cilindro!$B$34),1-EXP(-Presion_cilindro!$B$16*((Presion_cilindro!N311-(-D$4+Presion_cilindro!$B$34))/Presion_cilindro!$B$35)^(Presion_cilindro!$B$17+1)),0)-IF(Presion_cilindro!N310&gt;(-D$4+Presion_cilindro!$B$34),1-EXP(-Presion_cilindro!$B$16*((Presion_cilindro!N310-(-D$4+Presion_cilindro!$B$34))/Presion_cilindro!$B$35)^(Presion_cilindro!$B$17+1)),0))/((Presion_cilindro!O310+Presion_cilindro!O311)/2)</f>
        <v>8.2296435123565956</v>
      </c>
      <c r="E319" s="27">
        <f>E318*(Presion_cilindro!O310/Presion_cilindro!O311)^Presion_cilindro!$B$9+10*(Presion_cilindro!$B$9-1)*Presion_cilindro!$B$33*(IF(Presion_cilindro!N311&gt;(-E$4+Presion_cilindro!$B$34),1-EXP(-Presion_cilindro!$B$16*((Presion_cilindro!N311-(-E$4+Presion_cilindro!$B$34))/Presion_cilindro!$B$35)^(Presion_cilindro!$B$17+1)),0)-IF(Presion_cilindro!N310&gt;(-E$4+Presion_cilindro!$B$34),1-EXP(-Presion_cilindro!$B$16*((Presion_cilindro!N310-(-E$4+Presion_cilindro!$B$34))/Presion_cilindro!$B$35)^(Presion_cilindro!$B$17+1)),0))/((Presion_cilindro!O310+Presion_cilindro!O311)/2)</f>
        <v>8.2296435123565956</v>
      </c>
      <c r="F319" s="27">
        <f>F318*(Presion_cilindro!O310/Presion_cilindro!O311)^Presion_cilindro!$B$9+10*(Presion_cilindro!$B$9-1)*Presion_cilindro!$B$33*(IF(Presion_cilindro!N311&gt;(-F$4+Presion_cilindro!$B$34),1-EXP(-Presion_cilindro!$B$16*((Presion_cilindro!N311-(-F$4+Presion_cilindro!$B$34))/Presion_cilindro!$B$35)^(Presion_cilindro!$B$17+1)),0)-IF(Presion_cilindro!N310&gt;(-F$4+Presion_cilindro!$B$34),1-EXP(-Presion_cilindro!$B$16*((Presion_cilindro!N310-(-F$4+Presion_cilindro!$B$34))/Presion_cilindro!$B$35)^(Presion_cilindro!$B$17+1)),0))/((Presion_cilindro!O310+Presion_cilindro!O311)/2)</f>
        <v>8.2296435123565956</v>
      </c>
      <c r="G319" s="27">
        <f>G318*(Presion_cilindro!O310/Presion_cilindro!O311)^Presion_cilindro!$B$9+10*(Presion_cilindro!$B$9-1)*Presion_cilindro!$B$33*(IF(Presion_cilindro!N311&gt;(-G$4+Presion_cilindro!$B$34),1-EXP(-Presion_cilindro!$B$16*((Presion_cilindro!N311-(-G$4+Presion_cilindro!$B$34))/Presion_cilindro!$B$35)^(Presion_cilindro!$B$17+1)),0)-IF(Presion_cilindro!N310&gt;(-G$4+Presion_cilindro!$B$34),1-EXP(-Presion_cilindro!$B$16*((Presion_cilindro!N310-(-G$4+Presion_cilindro!$B$34))/Presion_cilindro!$B$35)^(Presion_cilindro!$B$17+1)),0))/((Presion_cilindro!O310+Presion_cilindro!O311)/2)</f>
        <v>8.2296435123565956</v>
      </c>
      <c r="H319" s="27">
        <f>H318*(Presion_cilindro!O310/Presion_cilindro!O311)^Presion_cilindro!$B$9+10*(Presion_cilindro!$B$9-1)*Presion_cilindro!$B$33*(IF(Presion_cilindro!N311&gt;(-H$4+Presion_cilindro!$B$34),1-EXP(-Presion_cilindro!$B$16*((Presion_cilindro!N311-(-H$4+Presion_cilindro!$B$34))/Presion_cilindro!$B$35)^(Presion_cilindro!$B$17+1)),0)-IF(Presion_cilindro!N310&gt;(-H$4+Presion_cilindro!$B$34),1-EXP(-Presion_cilindro!$B$16*((Presion_cilindro!N310-(-H$4+Presion_cilindro!$B$34))/Presion_cilindro!$B$35)^(Presion_cilindro!$B$17+1)),0))/((Presion_cilindro!O310+Presion_cilindro!O311)/2)</f>
        <v>8.2296435123565956</v>
      </c>
      <c r="I319" s="27">
        <f>I318*(Presion_cilindro!O310/Presion_cilindro!O311)^Presion_cilindro!$B$9+10*(Presion_cilindro!$B$9-1)*Presion_cilindro!$B$33*(IF(Presion_cilindro!N311&gt;(-I$4+Presion_cilindro!$B$34),1-EXP(-Presion_cilindro!$B$16*((Presion_cilindro!N311-(-I$4+Presion_cilindro!$B$34))/Presion_cilindro!$B$35)^(Presion_cilindro!$B$17+1)),0)-IF(Presion_cilindro!N310&gt;(-I$4+Presion_cilindro!$B$34),1-EXP(-Presion_cilindro!$B$16*((Presion_cilindro!N310-(-I$4+Presion_cilindro!$B$34))/Presion_cilindro!$B$35)^(Presion_cilindro!$B$17+1)),0))/((Presion_cilindro!O310+Presion_cilindro!O311)/2)</f>
        <v>8.2314273501902697</v>
      </c>
      <c r="J319" s="27">
        <f>J318*(Presion_cilindro!O310/Presion_cilindro!O311)^Presion_cilindro!$B$9+10*(Presion_cilindro!$B$9-1)*Presion_cilindro!$B$33*(IF(Presion_cilindro!N311&gt;(-J$4+Presion_cilindro!$B$34),1-EXP(-Presion_cilindro!$B$16*((Presion_cilindro!N311-(-J$4+Presion_cilindro!$B$34))/Presion_cilindro!$B$35)^(Presion_cilindro!$B$17+1)),0)-IF(Presion_cilindro!N310&gt;(-J$4+Presion_cilindro!$B$34),1-EXP(-Presion_cilindro!$B$16*((Presion_cilindro!N310-(-J$4+Presion_cilindro!$B$34))/Presion_cilindro!$B$35)^(Presion_cilindro!$B$17+1)),0))/((Presion_cilindro!O310+Presion_cilindro!O311)/2)</f>
        <v>8.4339016638401549</v>
      </c>
      <c r="K319" s="27">
        <f>K318*(Presion_cilindro!O310/Presion_cilindro!O311)^Presion_cilindro!$B$9+10*(Presion_cilindro!$B$9-1)*Presion_cilindro!$B$33*(IF(Presion_cilindro!N311&gt;(-K$4+Presion_cilindro!$B$34),1-EXP(-Presion_cilindro!$B$16*((Presion_cilindro!N311-(-K$4+Presion_cilindro!$B$34))/Presion_cilindro!$B$35)^(Presion_cilindro!$B$17+1)),0)-IF(Presion_cilindro!N310&gt;(-K$4+Presion_cilindro!$B$34),1-EXP(-Presion_cilindro!$B$16*((Presion_cilindro!N310-(-K$4+Presion_cilindro!$B$34))/Presion_cilindro!$B$35)^(Presion_cilindro!$B$17+1)),0))/((Presion_cilindro!O310+Presion_cilindro!O311)/2)</f>
        <v>9.393722552719618</v>
      </c>
      <c r="L319" s="27">
        <f>L318*(Presion_cilindro!O310/Presion_cilindro!O311)^Presion_cilindro!$B$9+10*(Presion_cilindro!$B$9-1)*Presion_cilindro!$B$33*(IF(Presion_cilindro!N311&gt;(-L$4+Presion_cilindro!$B$34),1-EXP(-Presion_cilindro!$B$16*((Presion_cilindro!N311-(-L$4+Presion_cilindro!$B$34))/Presion_cilindro!$B$35)^(Presion_cilindro!$B$17+1)),0)-IF(Presion_cilindro!N310&gt;(-L$4+Presion_cilindro!$B$34),1-EXP(-Presion_cilindro!$B$16*((Presion_cilindro!N310-(-L$4+Presion_cilindro!$B$34))/Presion_cilindro!$B$35)^(Presion_cilindro!$B$17+1)),0))/((Presion_cilindro!O310+Presion_cilindro!O311)/2)</f>
        <v>11.568909345608125</v>
      </c>
      <c r="M319" s="27">
        <f>M318*(Presion_cilindro!O310/Presion_cilindro!O311)^Presion_cilindro!$B$9+10*(Presion_cilindro!$B$9-1)*Presion_cilindro!$B$33*(IF(Presion_cilindro!N311&gt;(-M$4+Presion_cilindro!$B$34),1-EXP(-Presion_cilindro!$B$16*((Presion_cilindro!N311-(-M$4+Presion_cilindro!$B$34))/Presion_cilindro!$B$35)^(Presion_cilindro!$B$17+1)),0)-IF(Presion_cilindro!N310&gt;(-M$4+Presion_cilindro!$B$34),1-EXP(-Presion_cilindro!$B$16*((Presion_cilindro!N310-(-M$4+Presion_cilindro!$B$34))/Presion_cilindro!$B$35)^(Presion_cilindro!$B$17+1)),0))/((Presion_cilindro!O310+Presion_cilindro!O311)/2)</f>
        <v>15.041936917027497</v>
      </c>
      <c r="N319" s="27">
        <f>N318*(Presion_cilindro!O310/Presion_cilindro!O311)^Presion_cilindro!$B$9+10*(Presion_cilindro!$B$9-1)*Presion_cilindro!$B$33*(IF(Presion_cilindro!N311&gt;(-N$4+Presion_cilindro!$B$34),1-EXP(-Presion_cilindro!$B$16*((Presion_cilindro!N311-(-N$4+Presion_cilindro!$B$34))/Presion_cilindro!$B$35)^(Presion_cilindro!$B$17+1)),0)-IF(Presion_cilindro!N310&gt;(-N$4+Presion_cilindro!$B$34),1-EXP(-Presion_cilindro!$B$16*((Presion_cilindro!N310-(-N$4+Presion_cilindro!$B$34))/Presion_cilindro!$B$35)^(Presion_cilindro!$B$17+1)),0))/((Presion_cilindro!O310+Presion_cilindro!O311)/2)</f>
        <v>19.366438710001312</v>
      </c>
    </row>
    <row r="320" spans="1:14" x14ac:dyDescent="0.25">
      <c r="A320" s="21">
        <f>Presion_cilindro!N312</f>
        <v>-26</v>
      </c>
      <c r="B320" s="27">
        <f>B319*(Presion_cilindro!O311/Presion_cilindro!O312)^Presion_cilindro!$B$9+10*(Presion_cilindro!$B$9-1)*Presion_cilindro!$B$33*(IF(Presion_cilindro!N312&gt;(-B$4+Presion_cilindro!$B$34),1-EXP(-Presion_cilindro!$B$16*((Presion_cilindro!N312-(-B$4+Presion_cilindro!$B$34))/Presion_cilindro!$B$35)^(Presion_cilindro!$B$17+1)),0)-IF(Presion_cilindro!N311&gt;(-B$4+Presion_cilindro!$B$34),1-EXP(-Presion_cilindro!$B$16*((Presion_cilindro!N311-(-B$4+Presion_cilindro!$B$34))/Presion_cilindro!$B$35)^(Presion_cilindro!$B$17+1)),0))/((Presion_cilindro!O311+Presion_cilindro!O312)/2)</f>
        <v>8.381442258307171</v>
      </c>
      <c r="C320" s="27">
        <f>C319*(Presion_cilindro!O311/Presion_cilindro!O312)^Presion_cilindro!$B$9+10*(Presion_cilindro!$B$9-1)*Presion_cilindro!$B$33*(IF(Presion_cilindro!N312&gt;(-C$4+Presion_cilindro!$B$34),1-EXP(-Presion_cilindro!$B$16*((Presion_cilindro!N312-(-C$4+Presion_cilindro!$B$34))/Presion_cilindro!$B$35)^(Presion_cilindro!$B$17+1)),0)-IF(Presion_cilindro!N311&gt;(-C$4+Presion_cilindro!$B$34),1-EXP(-Presion_cilindro!$B$16*((Presion_cilindro!N311-(-C$4+Presion_cilindro!$B$34))/Presion_cilindro!$B$35)^(Presion_cilindro!$B$17+1)),0))/((Presion_cilindro!O311+Presion_cilindro!O312)/2)</f>
        <v>8.381442258307171</v>
      </c>
      <c r="D320" s="27">
        <f>D319*(Presion_cilindro!O311/Presion_cilindro!O312)^Presion_cilindro!$B$9+10*(Presion_cilindro!$B$9-1)*Presion_cilindro!$B$33*(IF(Presion_cilindro!N312&gt;(-D$4+Presion_cilindro!$B$34),1-EXP(-Presion_cilindro!$B$16*((Presion_cilindro!N312-(-D$4+Presion_cilindro!$B$34))/Presion_cilindro!$B$35)^(Presion_cilindro!$B$17+1)),0)-IF(Presion_cilindro!N311&gt;(-D$4+Presion_cilindro!$B$34),1-EXP(-Presion_cilindro!$B$16*((Presion_cilindro!N311-(-D$4+Presion_cilindro!$B$34))/Presion_cilindro!$B$35)^(Presion_cilindro!$B$17+1)),0))/((Presion_cilindro!O311+Presion_cilindro!O312)/2)</f>
        <v>8.381442258307171</v>
      </c>
      <c r="E320" s="27">
        <f>E319*(Presion_cilindro!O311/Presion_cilindro!O312)^Presion_cilindro!$B$9+10*(Presion_cilindro!$B$9-1)*Presion_cilindro!$B$33*(IF(Presion_cilindro!N312&gt;(-E$4+Presion_cilindro!$B$34),1-EXP(-Presion_cilindro!$B$16*((Presion_cilindro!N312-(-E$4+Presion_cilindro!$B$34))/Presion_cilindro!$B$35)^(Presion_cilindro!$B$17+1)),0)-IF(Presion_cilindro!N311&gt;(-E$4+Presion_cilindro!$B$34),1-EXP(-Presion_cilindro!$B$16*((Presion_cilindro!N311-(-E$4+Presion_cilindro!$B$34))/Presion_cilindro!$B$35)^(Presion_cilindro!$B$17+1)),0))/((Presion_cilindro!O311+Presion_cilindro!O312)/2)</f>
        <v>8.381442258307171</v>
      </c>
      <c r="F320" s="27">
        <f>F319*(Presion_cilindro!O311/Presion_cilindro!O312)^Presion_cilindro!$B$9+10*(Presion_cilindro!$B$9-1)*Presion_cilindro!$B$33*(IF(Presion_cilindro!N312&gt;(-F$4+Presion_cilindro!$B$34),1-EXP(-Presion_cilindro!$B$16*((Presion_cilindro!N312-(-F$4+Presion_cilindro!$B$34))/Presion_cilindro!$B$35)^(Presion_cilindro!$B$17+1)),0)-IF(Presion_cilindro!N311&gt;(-F$4+Presion_cilindro!$B$34),1-EXP(-Presion_cilindro!$B$16*((Presion_cilindro!N311-(-F$4+Presion_cilindro!$B$34))/Presion_cilindro!$B$35)^(Presion_cilindro!$B$17+1)),0))/((Presion_cilindro!O311+Presion_cilindro!O312)/2)</f>
        <v>8.381442258307171</v>
      </c>
      <c r="G320" s="27">
        <f>G319*(Presion_cilindro!O311/Presion_cilindro!O312)^Presion_cilindro!$B$9+10*(Presion_cilindro!$B$9-1)*Presion_cilindro!$B$33*(IF(Presion_cilindro!N312&gt;(-G$4+Presion_cilindro!$B$34),1-EXP(-Presion_cilindro!$B$16*((Presion_cilindro!N312-(-G$4+Presion_cilindro!$B$34))/Presion_cilindro!$B$35)^(Presion_cilindro!$B$17+1)),0)-IF(Presion_cilindro!N311&gt;(-G$4+Presion_cilindro!$B$34),1-EXP(-Presion_cilindro!$B$16*((Presion_cilindro!N311-(-G$4+Presion_cilindro!$B$34))/Presion_cilindro!$B$35)^(Presion_cilindro!$B$17+1)),0))/((Presion_cilindro!O311+Presion_cilindro!O312)/2)</f>
        <v>8.381442258307171</v>
      </c>
      <c r="H320" s="27">
        <f>H319*(Presion_cilindro!O311/Presion_cilindro!O312)^Presion_cilindro!$B$9+10*(Presion_cilindro!$B$9-1)*Presion_cilindro!$B$33*(IF(Presion_cilindro!N312&gt;(-H$4+Presion_cilindro!$B$34),1-EXP(-Presion_cilindro!$B$16*((Presion_cilindro!N312-(-H$4+Presion_cilindro!$B$34))/Presion_cilindro!$B$35)^(Presion_cilindro!$B$17+1)),0)-IF(Presion_cilindro!N311&gt;(-H$4+Presion_cilindro!$B$34),1-EXP(-Presion_cilindro!$B$16*((Presion_cilindro!N311-(-H$4+Presion_cilindro!$B$34))/Presion_cilindro!$B$35)^(Presion_cilindro!$B$17+1)),0))/((Presion_cilindro!O311+Presion_cilindro!O312)/2)</f>
        <v>8.381442258307171</v>
      </c>
      <c r="I320" s="27">
        <f>I319*(Presion_cilindro!O311/Presion_cilindro!O312)^Presion_cilindro!$B$9+10*(Presion_cilindro!$B$9-1)*Presion_cilindro!$B$33*(IF(Presion_cilindro!N312&gt;(-I$4+Presion_cilindro!$B$34),1-EXP(-Presion_cilindro!$B$16*((Presion_cilindro!N312-(-I$4+Presion_cilindro!$B$34))/Presion_cilindro!$B$35)^(Presion_cilindro!$B$17+1)),0)-IF(Presion_cilindro!N311&gt;(-I$4+Presion_cilindro!$B$34),1-EXP(-Presion_cilindro!$B$16*((Presion_cilindro!N311-(-I$4+Presion_cilindro!$B$34))/Presion_cilindro!$B$35)^(Presion_cilindro!$B$17+1)),0))/((Presion_cilindro!O311+Presion_cilindro!O312)/2)</f>
        <v>8.3862476218904387</v>
      </c>
      <c r="J320" s="27">
        <f>J319*(Presion_cilindro!O311/Presion_cilindro!O312)^Presion_cilindro!$B$9+10*(Presion_cilindro!$B$9-1)*Presion_cilindro!$B$33*(IF(Presion_cilindro!N312&gt;(-J$4+Presion_cilindro!$B$34),1-EXP(-Presion_cilindro!$B$16*((Presion_cilindro!N312-(-J$4+Presion_cilindro!$B$34))/Presion_cilindro!$B$35)^(Presion_cilindro!$B$17+1)),0)-IF(Presion_cilindro!N311&gt;(-J$4+Presion_cilindro!$B$34),1-EXP(-Presion_cilindro!$B$16*((Presion_cilindro!N311-(-J$4+Presion_cilindro!$B$34))/Presion_cilindro!$B$35)^(Presion_cilindro!$B$17+1)),0))/((Presion_cilindro!O311+Presion_cilindro!O312)/2)</f>
        <v>8.6418039964072531</v>
      </c>
      <c r="K320" s="27">
        <f>K319*(Presion_cilindro!O311/Presion_cilindro!O312)^Presion_cilindro!$B$9+10*(Presion_cilindro!$B$9-1)*Presion_cilindro!$B$33*(IF(Presion_cilindro!N312&gt;(-K$4+Presion_cilindro!$B$34),1-EXP(-Presion_cilindro!$B$16*((Presion_cilindro!N312-(-K$4+Presion_cilindro!$B$34))/Presion_cilindro!$B$35)^(Presion_cilindro!$B$17+1)),0)-IF(Presion_cilindro!N311&gt;(-K$4+Presion_cilindro!$B$34),1-EXP(-Presion_cilindro!$B$16*((Presion_cilindro!N311-(-K$4+Presion_cilindro!$B$34))/Presion_cilindro!$B$35)^(Presion_cilindro!$B$17+1)),0))/((Presion_cilindro!O311+Presion_cilindro!O312)/2)</f>
        <v>9.7214846391360865</v>
      </c>
      <c r="L320" s="27">
        <f>L319*(Presion_cilindro!O311/Presion_cilindro!O312)^Presion_cilindro!$B$9+10*(Presion_cilindro!$B$9-1)*Presion_cilindro!$B$33*(IF(Presion_cilindro!N312&gt;(-L$4+Presion_cilindro!$B$34),1-EXP(-Presion_cilindro!$B$16*((Presion_cilindro!N312-(-L$4+Presion_cilindro!$B$34))/Presion_cilindro!$B$35)^(Presion_cilindro!$B$17+1)),0)-IF(Presion_cilindro!N311&gt;(-L$4+Presion_cilindro!$B$34),1-EXP(-Presion_cilindro!$B$16*((Presion_cilindro!N311-(-L$4+Presion_cilindro!$B$34))/Presion_cilindro!$B$35)^(Presion_cilindro!$B$17+1)),0))/((Presion_cilindro!O311+Presion_cilindro!O312)/2)</f>
        <v>12.062871175398024</v>
      </c>
      <c r="M320" s="27">
        <f>M319*(Presion_cilindro!O311/Presion_cilindro!O312)^Presion_cilindro!$B$9+10*(Presion_cilindro!$B$9-1)*Presion_cilindro!$B$33*(IF(Presion_cilindro!N312&gt;(-M$4+Presion_cilindro!$B$34),1-EXP(-Presion_cilindro!$B$16*((Presion_cilindro!N312-(-M$4+Presion_cilindro!$B$34))/Presion_cilindro!$B$35)^(Presion_cilindro!$B$17+1)),0)-IF(Presion_cilindro!N311&gt;(-M$4+Presion_cilindro!$B$34),1-EXP(-Presion_cilindro!$B$16*((Presion_cilindro!N311-(-M$4+Presion_cilindro!$B$34))/Presion_cilindro!$B$35)^(Presion_cilindro!$B$17+1)),0))/((Presion_cilindro!O311+Presion_cilindro!O312)/2)</f>
        <v>15.699485236692738</v>
      </c>
      <c r="N320" s="27">
        <f>N319*(Presion_cilindro!O311/Presion_cilindro!O312)^Presion_cilindro!$B$9+10*(Presion_cilindro!$B$9-1)*Presion_cilindro!$B$33*(IF(Presion_cilindro!N312&gt;(-N$4+Presion_cilindro!$B$34),1-EXP(-Presion_cilindro!$B$16*((Presion_cilindro!N312-(-N$4+Presion_cilindro!$B$34))/Presion_cilindro!$B$35)^(Presion_cilindro!$B$17+1)),0)-IF(Presion_cilindro!N311&gt;(-N$4+Presion_cilindro!$B$34),1-EXP(-Presion_cilindro!$B$16*((Presion_cilindro!N311-(-N$4+Presion_cilindro!$B$34))/Presion_cilindro!$B$35)^(Presion_cilindro!$B$17+1)),0))/((Presion_cilindro!O311+Presion_cilindro!O312)/2)</f>
        <v>20.127464591375091</v>
      </c>
    </row>
    <row r="321" spans="1:14" x14ac:dyDescent="0.25">
      <c r="A321" s="21">
        <f>Presion_cilindro!N313</f>
        <v>-25.5</v>
      </c>
      <c r="B321" s="27">
        <f>B320*(Presion_cilindro!O312/Presion_cilindro!O313)^Presion_cilindro!$B$9+10*(Presion_cilindro!$B$9-1)*Presion_cilindro!$B$33*(IF(Presion_cilindro!N313&gt;(-B$4+Presion_cilindro!$B$34),1-EXP(-Presion_cilindro!$B$16*((Presion_cilindro!N313-(-B$4+Presion_cilindro!$B$34))/Presion_cilindro!$B$35)^(Presion_cilindro!$B$17+1)),0)-IF(Presion_cilindro!N312&gt;(-B$4+Presion_cilindro!$B$34),1-EXP(-Presion_cilindro!$B$16*((Presion_cilindro!N312-(-B$4+Presion_cilindro!$B$34))/Presion_cilindro!$B$35)^(Presion_cilindro!$B$17+1)),0))/((Presion_cilindro!O312+Presion_cilindro!O313)/2)</f>
        <v>8.5355181382400183</v>
      </c>
      <c r="C321" s="27">
        <f>C320*(Presion_cilindro!O312/Presion_cilindro!O313)^Presion_cilindro!$B$9+10*(Presion_cilindro!$B$9-1)*Presion_cilindro!$B$33*(IF(Presion_cilindro!N313&gt;(-C$4+Presion_cilindro!$B$34),1-EXP(-Presion_cilindro!$B$16*((Presion_cilindro!N313-(-C$4+Presion_cilindro!$B$34))/Presion_cilindro!$B$35)^(Presion_cilindro!$B$17+1)),0)-IF(Presion_cilindro!N312&gt;(-C$4+Presion_cilindro!$B$34),1-EXP(-Presion_cilindro!$B$16*((Presion_cilindro!N312-(-C$4+Presion_cilindro!$B$34))/Presion_cilindro!$B$35)^(Presion_cilindro!$B$17+1)),0))/((Presion_cilindro!O312+Presion_cilindro!O313)/2)</f>
        <v>8.5355181382400183</v>
      </c>
      <c r="D321" s="27">
        <f>D320*(Presion_cilindro!O312/Presion_cilindro!O313)^Presion_cilindro!$B$9+10*(Presion_cilindro!$B$9-1)*Presion_cilindro!$B$33*(IF(Presion_cilindro!N313&gt;(-D$4+Presion_cilindro!$B$34),1-EXP(-Presion_cilindro!$B$16*((Presion_cilindro!N313-(-D$4+Presion_cilindro!$B$34))/Presion_cilindro!$B$35)^(Presion_cilindro!$B$17+1)),0)-IF(Presion_cilindro!N312&gt;(-D$4+Presion_cilindro!$B$34),1-EXP(-Presion_cilindro!$B$16*((Presion_cilindro!N312-(-D$4+Presion_cilindro!$B$34))/Presion_cilindro!$B$35)^(Presion_cilindro!$B$17+1)),0))/((Presion_cilindro!O312+Presion_cilindro!O313)/2)</f>
        <v>8.5355181382400183</v>
      </c>
      <c r="E321" s="27">
        <f>E320*(Presion_cilindro!O312/Presion_cilindro!O313)^Presion_cilindro!$B$9+10*(Presion_cilindro!$B$9-1)*Presion_cilindro!$B$33*(IF(Presion_cilindro!N313&gt;(-E$4+Presion_cilindro!$B$34),1-EXP(-Presion_cilindro!$B$16*((Presion_cilindro!N313-(-E$4+Presion_cilindro!$B$34))/Presion_cilindro!$B$35)^(Presion_cilindro!$B$17+1)),0)-IF(Presion_cilindro!N312&gt;(-E$4+Presion_cilindro!$B$34),1-EXP(-Presion_cilindro!$B$16*((Presion_cilindro!N312-(-E$4+Presion_cilindro!$B$34))/Presion_cilindro!$B$35)^(Presion_cilindro!$B$17+1)),0))/((Presion_cilindro!O312+Presion_cilindro!O313)/2)</f>
        <v>8.5355181382400183</v>
      </c>
      <c r="F321" s="27">
        <f>F320*(Presion_cilindro!O312/Presion_cilindro!O313)^Presion_cilindro!$B$9+10*(Presion_cilindro!$B$9-1)*Presion_cilindro!$B$33*(IF(Presion_cilindro!N313&gt;(-F$4+Presion_cilindro!$B$34),1-EXP(-Presion_cilindro!$B$16*((Presion_cilindro!N313-(-F$4+Presion_cilindro!$B$34))/Presion_cilindro!$B$35)^(Presion_cilindro!$B$17+1)),0)-IF(Presion_cilindro!N312&gt;(-F$4+Presion_cilindro!$B$34),1-EXP(-Presion_cilindro!$B$16*((Presion_cilindro!N312-(-F$4+Presion_cilindro!$B$34))/Presion_cilindro!$B$35)^(Presion_cilindro!$B$17+1)),0))/((Presion_cilindro!O312+Presion_cilindro!O313)/2)</f>
        <v>8.5355181382400183</v>
      </c>
      <c r="G321" s="27">
        <f>G320*(Presion_cilindro!O312/Presion_cilindro!O313)^Presion_cilindro!$B$9+10*(Presion_cilindro!$B$9-1)*Presion_cilindro!$B$33*(IF(Presion_cilindro!N313&gt;(-G$4+Presion_cilindro!$B$34),1-EXP(-Presion_cilindro!$B$16*((Presion_cilindro!N313-(-G$4+Presion_cilindro!$B$34))/Presion_cilindro!$B$35)^(Presion_cilindro!$B$17+1)),0)-IF(Presion_cilindro!N312&gt;(-G$4+Presion_cilindro!$B$34),1-EXP(-Presion_cilindro!$B$16*((Presion_cilindro!N312-(-G$4+Presion_cilindro!$B$34))/Presion_cilindro!$B$35)^(Presion_cilindro!$B$17+1)),0))/((Presion_cilindro!O312+Presion_cilindro!O313)/2)</f>
        <v>8.5355181382400183</v>
      </c>
      <c r="H321" s="27">
        <f>H320*(Presion_cilindro!O312/Presion_cilindro!O313)^Presion_cilindro!$B$9+10*(Presion_cilindro!$B$9-1)*Presion_cilindro!$B$33*(IF(Presion_cilindro!N313&gt;(-H$4+Presion_cilindro!$B$34),1-EXP(-Presion_cilindro!$B$16*((Presion_cilindro!N313-(-H$4+Presion_cilindro!$B$34))/Presion_cilindro!$B$35)^(Presion_cilindro!$B$17+1)),0)-IF(Presion_cilindro!N312&gt;(-H$4+Presion_cilindro!$B$34),1-EXP(-Presion_cilindro!$B$16*((Presion_cilindro!N312-(-H$4+Presion_cilindro!$B$34))/Presion_cilindro!$B$35)^(Presion_cilindro!$B$17+1)),0))/((Presion_cilindro!O312+Presion_cilindro!O313)/2)</f>
        <v>8.5355181382400183</v>
      </c>
      <c r="I321" s="27">
        <f>I320*(Presion_cilindro!O312/Presion_cilindro!O313)^Presion_cilindro!$B$9+10*(Presion_cilindro!$B$9-1)*Presion_cilindro!$B$33*(IF(Presion_cilindro!N313&gt;(-I$4+Presion_cilindro!$B$34),1-EXP(-Presion_cilindro!$B$16*((Presion_cilindro!N313-(-I$4+Presion_cilindro!$B$34))/Presion_cilindro!$B$35)^(Presion_cilindro!$B$17+1)),0)-IF(Presion_cilindro!N312&gt;(-I$4+Presion_cilindro!$B$34),1-EXP(-Presion_cilindro!$B$16*((Presion_cilindro!N312-(-I$4+Presion_cilindro!$B$34))/Presion_cilindro!$B$35)^(Presion_cilindro!$B$17+1)),0))/((Presion_cilindro!O312+Presion_cilindro!O313)/2)</f>
        <v>8.5456912172795985</v>
      </c>
      <c r="J321" s="27">
        <f>J320*(Presion_cilindro!O312/Presion_cilindro!O313)^Presion_cilindro!$B$9+10*(Presion_cilindro!$B$9-1)*Presion_cilindro!$B$33*(IF(Presion_cilindro!N313&gt;(-J$4+Presion_cilindro!$B$34),1-EXP(-Presion_cilindro!$B$16*((Presion_cilindro!N313-(-J$4+Presion_cilindro!$B$34))/Presion_cilindro!$B$35)^(Presion_cilindro!$B$17+1)),0)-IF(Presion_cilindro!N312&gt;(-J$4+Presion_cilindro!$B$34),1-EXP(-Presion_cilindro!$B$16*((Presion_cilindro!N312-(-J$4+Presion_cilindro!$B$34))/Presion_cilindro!$B$35)^(Presion_cilindro!$B$17+1)),0))/((Presion_cilindro!O312+Presion_cilindro!O313)/2)</f>
        <v>8.8619559985393455</v>
      </c>
      <c r="K321" s="27">
        <f>K320*(Presion_cilindro!O312/Presion_cilindro!O313)^Presion_cilindro!$B$9+10*(Presion_cilindro!$B$9-1)*Presion_cilindro!$B$33*(IF(Presion_cilindro!N313&gt;(-K$4+Presion_cilindro!$B$34),1-EXP(-Presion_cilindro!$B$16*((Presion_cilindro!N313-(-K$4+Presion_cilindro!$B$34))/Presion_cilindro!$B$35)^(Presion_cilindro!$B$17+1)),0)-IF(Presion_cilindro!N312&gt;(-K$4+Presion_cilindro!$B$34),1-EXP(-Presion_cilindro!$B$16*((Presion_cilindro!N312-(-K$4+Presion_cilindro!$B$34))/Presion_cilindro!$B$35)^(Presion_cilindro!$B$17+1)),0))/((Presion_cilindro!O312+Presion_cilindro!O313)/2)</f>
        <v>10.069218610503651</v>
      </c>
      <c r="L321" s="27">
        <f>L320*(Presion_cilindro!O312/Presion_cilindro!O313)^Presion_cilindro!$B$9+10*(Presion_cilindro!$B$9-1)*Presion_cilindro!$B$33*(IF(Presion_cilindro!N313&gt;(-L$4+Presion_cilindro!$B$34),1-EXP(-Presion_cilindro!$B$16*((Presion_cilindro!N313-(-L$4+Presion_cilindro!$B$34))/Presion_cilindro!$B$35)^(Presion_cilindro!$B$17+1)),0)-IF(Presion_cilindro!N312&gt;(-L$4+Presion_cilindro!$B$34),1-EXP(-Presion_cilindro!$B$16*((Presion_cilindro!N312-(-L$4+Presion_cilindro!$B$34))/Presion_cilindro!$B$35)^(Presion_cilindro!$B$17+1)),0))/((Presion_cilindro!O312+Presion_cilindro!O313)/2)</f>
        <v>12.581319961955387</v>
      </c>
      <c r="M321" s="27">
        <f>M320*(Presion_cilindro!O312/Presion_cilindro!O313)^Presion_cilindro!$B$9+10*(Presion_cilindro!$B$9-1)*Presion_cilindro!$B$33*(IF(Presion_cilindro!N313&gt;(-M$4+Presion_cilindro!$B$34),1-EXP(-Presion_cilindro!$B$16*((Presion_cilindro!N313-(-M$4+Presion_cilindro!$B$34))/Presion_cilindro!$B$35)^(Presion_cilindro!$B$17+1)),0)-IF(Presion_cilindro!N312&gt;(-M$4+Presion_cilindro!$B$34),1-EXP(-Presion_cilindro!$B$16*((Presion_cilindro!N312-(-M$4+Presion_cilindro!$B$34))/Presion_cilindro!$B$35)^(Presion_cilindro!$B$17+1)),0))/((Presion_cilindro!O312+Presion_cilindro!O313)/2)</f>
        <v>16.379907106538102</v>
      </c>
      <c r="N321" s="27">
        <f>N320*(Presion_cilindro!O312/Presion_cilindro!O313)^Presion_cilindro!$B$9+10*(Presion_cilindro!$B$9-1)*Presion_cilindro!$B$33*(IF(Presion_cilindro!N313&gt;(-N$4+Presion_cilindro!$B$34),1-EXP(-Presion_cilindro!$B$16*((Presion_cilindro!N313-(-N$4+Presion_cilindro!$B$34))/Presion_cilindro!$B$35)^(Presion_cilindro!$B$17+1)),0)-IF(Presion_cilindro!N312&gt;(-N$4+Presion_cilindro!$B$34),1-EXP(-Presion_cilindro!$B$16*((Presion_cilindro!N312-(-N$4+Presion_cilindro!$B$34))/Presion_cilindro!$B$35)^(Presion_cilindro!$B$17+1)),0))/((Presion_cilindro!O312+Presion_cilindro!O313)/2)</f>
        <v>20.904063457057465</v>
      </c>
    </row>
    <row r="322" spans="1:14" x14ac:dyDescent="0.25">
      <c r="A322" s="21">
        <f>Presion_cilindro!N314</f>
        <v>-25</v>
      </c>
      <c r="B322" s="27">
        <f>B321*(Presion_cilindro!O313/Presion_cilindro!O314)^Presion_cilindro!$B$9+10*(Presion_cilindro!$B$9-1)*Presion_cilindro!$B$33*(IF(Presion_cilindro!N314&gt;(-B$4+Presion_cilindro!$B$34),1-EXP(-Presion_cilindro!$B$16*((Presion_cilindro!N314-(-B$4+Presion_cilindro!$B$34))/Presion_cilindro!$B$35)^(Presion_cilindro!$B$17+1)),0)-IF(Presion_cilindro!N313&gt;(-B$4+Presion_cilindro!$B$34),1-EXP(-Presion_cilindro!$B$16*((Presion_cilindro!N313-(-B$4+Presion_cilindro!$B$34))/Presion_cilindro!$B$35)^(Presion_cilindro!$B$17+1)),0))/((Presion_cilindro!O313+Presion_cilindro!O314)/2)</f>
        <v>8.6918218060164509</v>
      </c>
      <c r="C322" s="27">
        <f>C321*(Presion_cilindro!O313/Presion_cilindro!O314)^Presion_cilindro!$B$9+10*(Presion_cilindro!$B$9-1)*Presion_cilindro!$B$33*(IF(Presion_cilindro!N314&gt;(-C$4+Presion_cilindro!$B$34),1-EXP(-Presion_cilindro!$B$16*((Presion_cilindro!N314-(-C$4+Presion_cilindro!$B$34))/Presion_cilindro!$B$35)^(Presion_cilindro!$B$17+1)),0)-IF(Presion_cilindro!N313&gt;(-C$4+Presion_cilindro!$B$34),1-EXP(-Presion_cilindro!$B$16*((Presion_cilindro!N313-(-C$4+Presion_cilindro!$B$34))/Presion_cilindro!$B$35)^(Presion_cilindro!$B$17+1)),0))/((Presion_cilindro!O313+Presion_cilindro!O314)/2)</f>
        <v>8.6918218060164509</v>
      </c>
      <c r="D322" s="27">
        <f>D321*(Presion_cilindro!O313/Presion_cilindro!O314)^Presion_cilindro!$B$9+10*(Presion_cilindro!$B$9-1)*Presion_cilindro!$B$33*(IF(Presion_cilindro!N314&gt;(-D$4+Presion_cilindro!$B$34),1-EXP(-Presion_cilindro!$B$16*((Presion_cilindro!N314-(-D$4+Presion_cilindro!$B$34))/Presion_cilindro!$B$35)^(Presion_cilindro!$B$17+1)),0)-IF(Presion_cilindro!N313&gt;(-D$4+Presion_cilindro!$B$34),1-EXP(-Presion_cilindro!$B$16*((Presion_cilindro!N313-(-D$4+Presion_cilindro!$B$34))/Presion_cilindro!$B$35)^(Presion_cilindro!$B$17+1)),0))/((Presion_cilindro!O313+Presion_cilindro!O314)/2)</f>
        <v>8.6918218060164509</v>
      </c>
      <c r="E322" s="27">
        <f>E321*(Presion_cilindro!O313/Presion_cilindro!O314)^Presion_cilindro!$B$9+10*(Presion_cilindro!$B$9-1)*Presion_cilindro!$B$33*(IF(Presion_cilindro!N314&gt;(-E$4+Presion_cilindro!$B$34),1-EXP(-Presion_cilindro!$B$16*((Presion_cilindro!N314-(-E$4+Presion_cilindro!$B$34))/Presion_cilindro!$B$35)^(Presion_cilindro!$B$17+1)),0)-IF(Presion_cilindro!N313&gt;(-E$4+Presion_cilindro!$B$34),1-EXP(-Presion_cilindro!$B$16*((Presion_cilindro!N313-(-E$4+Presion_cilindro!$B$34))/Presion_cilindro!$B$35)^(Presion_cilindro!$B$17+1)),0))/((Presion_cilindro!O313+Presion_cilindro!O314)/2)</f>
        <v>8.6918218060164509</v>
      </c>
      <c r="F322" s="27">
        <f>F321*(Presion_cilindro!O313/Presion_cilindro!O314)^Presion_cilindro!$B$9+10*(Presion_cilindro!$B$9-1)*Presion_cilindro!$B$33*(IF(Presion_cilindro!N314&gt;(-F$4+Presion_cilindro!$B$34),1-EXP(-Presion_cilindro!$B$16*((Presion_cilindro!N314-(-F$4+Presion_cilindro!$B$34))/Presion_cilindro!$B$35)^(Presion_cilindro!$B$17+1)),0)-IF(Presion_cilindro!N313&gt;(-F$4+Presion_cilindro!$B$34),1-EXP(-Presion_cilindro!$B$16*((Presion_cilindro!N313-(-F$4+Presion_cilindro!$B$34))/Presion_cilindro!$B$35)^(Presion_cilindro!$B$17+1)),0))/((Presion_cilindro!O313+Presion_cilindro!O314)/2)</f>
        <v>8.6918218060164509</v>
      </c>
      <c r="G322" s="27">
        <f>G321*(Presion_cilindro!O313/Presion_cilindro!O314)^Presion_cilindro!$B$9+10*(Presion_cilindro!$B$9-1)*Presion_cilindro!$B$33*(IF(Presion_cilindro!N314&gt;(-G$4+Presion_cilindro!$B$34),1-EXP(-Presion_cilindro!$B$16*((Presion_cilindro!N314-(-G$4+Presion_cilindro!$B$34))/Presion_cilindro!$B$35)^(Presion_cilindro!$B$17+1)),0)-IF(Presion_cilindro!N313&gt;(-G$4+Presion_cilindro!$B$34),1-EXP(-Presion_cilindro!$B$16*((Presion_cilindro!N313-(-G$4+Presion_cilindro!$B$34))/Presion_cilindro!$B$35)^(Presion_cilindro!$B$17+1)),0))/((Presion_cilindro!O313+Presion_cilindro!O314)/2)</f>
        <v>8.6918218060164509</v>
      </c>
      <c r="H322" s="27">
        <f>H321*(Presion_cilindro!O313/Presion_cilindro!O314)^Presion_cilindro!$B$9+10*(Presion_cilindro!$B$9-1)*Presion_cilindro!$B$33*(IF(Presion_cilindro!N314&gt;(-H$4+Presion_cilindro!$B$34),1-EXP(-Presion_cilindro!$B$16*((Presion_cilindro!N314-(-H$4+Presion_cilindro!$B$34))/Presion_cilindro!$B$35)^(Presion_cilindro!$B$17+1)),0)-IF(Presion_cilindro!N313&gt;(-H$4+Presion_cilindro!$B$34),1-EXP(-Presion_cilindro!$B$16*((Presion_cilindro!N313-(-H$4+Presion_cilindro!$B$34))/Presion_cilindro!$B$35)^(Presion_cilindro!$B$17+1)),0))/((Presion_cilindro!O313+Presion_cilindro!O314)/2)</f>
        <v>8.6918218060164509</v>
      </c>
      <c r="I322" s="27">
        <f>I321*(Presion_cilindro!O313/Presion_cilindro!O314)^Presion_cilindro!$B$9+10*(Presion_cilindro!$B$9-1)*Presion_cilindro!$B$33*(IF(Presion_cilindro!N314&gt;(-I$4+Presion_cilindro!$B$34),1-EXP(-Presion_cilindro!$B$16*((Presion_cilindro!N314-(-I$4+Presion_cilindro!$B$34))/Presion_cilindro!$B$35)^(Presion_cilindro!$B$17+1)),0)-IF(Presion_cilindro!N313&gt;(-I$4+Presion_cilindro!$B$34),1-EXP(-Presion_cilindro!$B$16*((Presion_cilindro!N313-(-I$4+Presion_cilindro!$B$34))/Presion_cilindro!$B$35)^(Presion_cilindro!$B$17+1)),0))/((Presion_cilindro!O313+Presion_cilindro!O314)/2)</f>
        <v>8.7104451801229903</v>
      </c>
      <c r="J322" s="27">
        <f>J321*(Presion_cilindro!O313/Presion_cilindro!O314)^Presion_cilindro!$B$9+10*(Presion_cilindro!$B$9-1)*Presion_cilindro!$B$33*(IF(Presion_cilindro!N314&gt;(-J$4+Presion_cilindro!$B$34),1-EXP(-Presion_cilindro!$B$16*((Presion_cilindro!N314-(-J$4+Presion_cilindro!$B$34))/Presion_cilindro!$B$35)^(Presion_cilindro!$B$17+1)),0)-IF(Presion_cilindro!N313&gt;(-J$4+Presion_cilindro!$B$34),1-EXP(-Presion_cilindro!$B$16*((Presion_cilindro!N313-(-J$4+Presion_cilindro!$B$34))/Presion_cilindro!$B$35)^(Presion_cilindro!$B$17+1)),0))/((Presion_cilindro!O313+Presion_cilindro!O314)/2)</f>
        <v>9.0952595515404031</v>
      </c>
      <c r="K322" s="27">
        <f>K321*(Presion_cilindro!O313/Presion_cilindro!O314)^Presion_cilindro!$B$9+10*(Presion_cilindro!$B$9-1)*Presion_cilindro!$B$33*(IF(Presion_cilindro!N314&gt;(-K$4+Presion_cilindro!$B$34),1-EXP(-Presion_cilindro!$B$16*((Presion_cilindro!N314-(-K$4+Presion_cilindro!$B$34))/Presion_cilindro!$B$35)^(Presion_cilindro!$B$17+1)),0)-IF(Presion_cilindro!N313&gt;(-K$4+Presion_cilindro!$B$34),1-EXP(-Presion_cilindro!$B$16*((Presion_cilindro!N313-(-K$4+Presion_cilindro!$B$34))/Presion_cilindro!$B$35)^(Presion_cilindro!$B$17+1)),0))/((Presion_cilindro!O313+Presion_cilindro!O314)/2)</f>
        <v>10.437749999913702</v>
      </c>
      <c r="L322" s="27">
        <f>L321*(Presion_cilindro!O313/Presion_cilindro!O314)^Presion_cilindro!$B$9+10*(Presion_cilindro!$B$9-1)*Presion_cilindro!$B$33*(IF(Presion_cilindro!N314&gt;(-L$4+Presion_cilindro!$B$34),1-EXP(-Presion_cilindro!$B$16*((Presion_cilindro!N314-(-L$4+Presion_cilindro!$B$34))/Presion_cilindro!$B$35)^(Presion_cilindro!$B$17+1)),0)-IF(Presion_cilindro!N313&gt;(-L$4+Presion_cilindro!$B$34),1-EXP(-Presion_cilindro!$B$16*((Presion_cilindro!N313-(-L$4+Presion_cilindro!$B$34))/Presion_cilindro!$B$35)^(Presion_cilindro!$B$17+1)),0))/((Presion_cilindro!O313+Presion_cilindro!O314)/2)</f>
        <v>13.124580791830818</v>
      </c>
      <c r="M322" s="27">
        <f>M321*(Presion_cilindro!O313/Presion_cilindro!O314)^Presion_cilindro!$B$9+10*(Presion_cilindro!$B$9-1)*Presion_cilindro!$B$33*(IF(Presion_cilindro!N314&gt;(-M$4+Presion_cilindro!$B$34),1-EXP(-Presion_cilindro!$B$16*((Presion_cilindro!N314-(-M$4+Presion_cilindro!$B$34))/Presion_cilindro!$B$35)^(Presion_cilindro!$B$17+1)),0)-IF(Presion_cilindro!N313&gt;(-M$4+Presion_cilindro!$B$34),1-EXP(-Presion_cilindro!$B$16*((Presion_cilindro!N313-(-M$4+Presion_cilindro!$B$34))/Presion_cilindro!$B$35)^(Presion_cilindro!$B$17+1)),0))/((Presion_cilindro!O313+Presion_cilindro!O314)/2)</f>
        <v>17.08278138759411</v>
      </c>
      <c r="N322" s="27">
        <f>N321*(Presion_cilindro!O313/Presion_cilindro!O314)^Presion_cilindro!$B$9+10*(Presion_cilindro!$B$9-1)*Presion_cilindro!$B$33*(IF(Presion_cilindro!N314&gt;(-N$4+Presion_cilindro!$B$34),1-EXP(-Presion_cilindro!$B$16*((Presion_cilindro!N314-(-N$4+Presion_cilindro!$B$34))/Presion_cilindro!$B$35)^(Presion_cilindro!$B$17+1)),0)-IF(Presion_cilindro!N313&gt;(-N$4+Presion_cilindro!$B$34),1-EXP(-Presion_cilindro!$B$16*((Presion_cilindro!N313-(-N$4+Presion_cilindro!$B$34))/Presion_cilindro!$B$35)^(Presion_cilindro!$B$17+1)),0))/((Presion_cilindro!O313+Presion_cilindro!O314)/2)</f>
        <v>21.695289047969325</v>
      </c>
    </row>
    <row r="323" spans="1:14" x14ac:dyDescent="0.25">
      <c r="A323" s="21">
        <f>Presion_cilindro!N315</f>
        <v>-24.5</v>
      </c>
      <c r="B323" s="27">
        <f>B322*(Presion_cilindro!O314/Presion_cilindro!O315)^Presion_cilindro!$B$9+10*(Presion_cilindro!$B$9-1)*Presion_cilindro!$B$33*(IF(Presion_cilindro!N315&gt;(-B$4+Presion_cilindro!$B$34),1-EXP(-Presion_cilindro!$B$16*((Presion_cilindro!N315-(-B$4+Presion_cilindro!$B$34))/Presion_cilindro!$B$35)^(Presion_cilindro!$B$17+1)),0)-IF(Presion_cilindro!N314&gt;(-B$4+Presion_cilindro!$B$34),1-EXP(-Presion_cilindro!$B$16*((Presion_cilindro!N314-(-B$4+Presion_cilindro!$B$34))/Presion_cilindro!$B$35)^(Presion_cilindro!$B$17+1)),0))/((Presion_cilindro!O314+Presion_cilindro!O315)/2)</f>
        <v>8.8502960784148286</v>
      </c>
      <c r="C323" s="27">
        <f>C322*(Presion_cilindro!O314/Presion_cilindro!O315)^Presion_cilindro!$B$9+10*(Presion_cilindro!$B$9-1)*Presion_cilindro!$B$33*(IF(Presion_cilindro!N315&gt;(-C$4+Presion_cilindro!$B$34),1-EXP(-Presion_cilindro!$B$16*((Presion_cilindro!N315-(-C$4+Presion_cilindro!$B$34))/Presion_cilindro!$B$35)^(Presion_cilindro!$B$17+1)),0)-IF(Presion_cilindro!N314&gt;(-C$4+Presion_cilindro!$B$34),1-EXP(-Presion_cilindro!$B$16*((Presion_cilindro!N314-(-C$4+Presion_cilindro!$B$34))/Presion_cilindro!$B$35)^(Presion_cilindro!$B$17+1)),0))/((Presion_cilindro!O314+Presion_cilindro!O315)/2)</f>
        <v>8.8502960784148286</v>
      </c>
      <c r="D323" s="27">
        <f>D322*(Presion_cilindro!O314/Presion_cilindro!O315)^Presion_cilindro!$B$9+10*(Presion_cilindro!$B$9-1)*Presion_cilindro!$B$33*(IF(Presion_cilindro!N315&gt;(-D$4+Presion_cilindro!$B$34),1-EXP(-Presion_cilindro!$B$16*((Presion_cilindro!N315-(-D$4+Presion_cilindro!$B$34))/Presion_cilindro!$B$35)^(Presion_cilindro!$B$17+1)),0)-IF(Presion_cilindro!N314&gt;(-D$4+Presion_cilindro!$B$34),1-EXP(-Presion_cilindro!$B$16*((Presion_cilindro!N314-(-D$4+Presion_cilindro!$B$34))/Presion_cilindro!$B$35)^(Presion_cilindro!$B$17+1)),0))/((Presion_cilindro!O314+Presion_cilindro!O315)/2)</f>
        <v>8.8502960784148286</v>
      </c>
      <c r="E323" s="27">
        <f>E322*(Presion_cilindro!O314/Presion_cilindro!O315)^Presion_cilindro!$B$9+10*(Presion_cilindro!$B$9-1)*Presion_cilindro!$B$33*(IF(Presion_cilindro!N315&gt;(-E$4+Presion_cilindro!$B$34),1-EXP(-Presion_cilindro!$B$16*((Presion_cilindro!N315-(-E$4+Presion_cilindro!$B$34))/Presion_cilindro!$B$35)^(Presion_cilindro!$B$17+1)),0)-IF(Presion_cilindro!N314&gt;(-E$4+Presion_cilindro!$B$34),1-EXP(-Presion_cilindro!$B$16*((Presion_cilindro!N314-(-E$4+Presion_cilindro!$B$34))/Presion_cilindro!$B$35)^(Presion_cilindro!$B$17+1)),0))/((Presion_cilindro!O314+Presion_cilindro!O315)/2)</f>
        <v>8.8502960784148286</v>
      </c>
      <c r="F323" s="27">
        <f>F322*(Presion_cilindro!O314/Presion_cilindro!O315)^Presion_cilindro!$B$9+10*(Presion_cilindro!$B$9-1)*Presion_cilindro!$B$33*(IF(Presion_cilindro!N315&gt;(-F$4+Presion_cilindro!$B$34),1-EXP(-Presion_cilindro!$B$16*((Presion_cilindro!N315-(-F$4+Presion_cilindro!$B$34))/Presion_cilindro!$B$35)^(Presion_cilindro!$B$17+1)),0)-IF(Presion_cilindro!N314&gt;(-F$4+Presion_cilindro!$B$34),1-EXP(-Presion_cilindro!$B$16*((Presion_cilindro!N314-(-F$4+Presion_cilindro!$B$34))/Presion_cilindro!$B$35)^(Presion_cilindro!$B$17+1)),0))/((Presion_cilindro!O314+Presion_cilindro!O315)/2)</f>
        <v>8.8502960784148286</v>
      </c>
      <c r="G323" s="27">
        <f>G322*(Presion_cilindro!O314/Presion_cilindro!O315)^Presion_cilindro!$B$9+10*(Presion_cilindro!$B$9-1)*Presion_cilindro!$B$33*(IF(Presion_cilindro!N315&gt;(-G$4+Presion_cilindro!$B$34),1-EXP(-Presion_cilindro!$B$16*((Presion_cilindro!N315-(-G$4+Presion_cilindro!$B$34))/Presion_cilindro!$B$35)^(Presion_cilindro!$B$17+1)),0)-IF(Presion_cilindro!N314&gt;(-G$4+Presion_cilindro!$B$34),1-EXP(-Presion_cilindro!$B$16*((Presion_cilindro!N314-(-G$4+Presion_cilindro!$B$34))/Presion_cilindro!$B$35)^(Presion_cilindro!$B$17+1)),0))/((Presion_cilindro!O314+Presion_cilindro!O315)/2)</f>
        <v>8.8502960784148286</v>
      </c>
      <c r="H323" s="27">
        <f>H322*(Presion_cilindro!O314/Presion_cilindro!O315)^Presion_cilindro!$B$9+10*(Presion_cilindro!$B$9-1)*Presion_cilindro!$B$33*(IF(Presion_cilindro!N315&gt;(-H$4+Presion_cilindro!$B$34),1-EXP(-Presion_cilindro!$B$16*((Presion_cilindro!N315-(-H$4+Presion_cilindro!$B$34))/Presion_cilindro!$B$35)^(Presion_cilindro!$B$17+1)),0)-IF(Presion_cilindro!N314&gt;(-H$4+Presion_cilindro!$B$34),1-EXP(-Presion_cilindro!$B$16*((Presion_cilindro!N314-(-H$4+Presion_cilindro!$B$34))/Presion_cilindro!$B$35)^(Presion_cilindro!$B$17+1)),0))/((Presion_cilindro!O314+Presion_cilindro!O315)/2)</f>
        <v>8.8502960784148286</v>
      </c>
      <c r="I323" s="27">
        <f>I322*(Presion_cilindro!O314/Presion_cilindro!O315)^Presion_cilindro!$B$9+10*(Presion_cilindro!$B$9-1)*Presion_cilindro!$B$33*(IF(Presion_cilindro!N315&gt;(-I$4+Presion_cilindro!$B$34),1-EXP(-Presion_cilindro!$B$16*((Presion_cilindro!N315-(-I$4+Presion_cilindro!$B$34))/Presion_cilindro!$B$35)^(Presion_cilindro!$B$17+1)),0)-IF(Presion_cilindro!N314&gt;(-I$4+Presion_cilindro!$B$34),1-EXP(-Presion_cilindro!$B$16*((Presion_cilindro!N314-(-I$4+Presion_cilindro!$B$34))/Presion_cilindro!$B$35)^(Presion_cilindro!$B$17+1)),0))/((Presion_cilindro!O314+Presion_cilindro!O315)/2)</f>
        <v>8.8812262309071102</v>
      </c>
      <c r="J323" s="27">
        <f>J322*(Presion_cilindro!O314/Presion_cilindro!O315)^Presion_cilindro!$B$9+10*(Presion_cilindro!$B$9-1)*Presion_cilindro!$B$33*(IF(Presion_cilindro!N315&gt;(-J$4+Presion_cilindro!$B$34),1-EXP(-Presion_cilindro!$B$16*((Presion_cilindro!N315-(-J$4+Presion_cilindro!$B$34))/Presion_cilindro!$B$35)^(Presion_cilindro!$B$17+1)),0)-IF(Presion_cilindro!N314&gt;(-J$4+Presion_cilindro!$B$34),1-EXP(-Presion_cilindro!$B$16*((Presion_cilindro!N314-(-J$4+Presion_cilindro!$B$34))/Presion_cilindro!$B$35)^(Presion_cilindro!$B$17+1)),0))/((Presion_cilindro!O314+Presion_cilindro!O315)/2)</f>
        <v>9.3426273287619477</v>
      </c>
      <c r="K323" s="27">
        <f>K322*(Presion_cilindro!O314/Presion_cilindro!O315)^Presion_cilindro!$B$9+10*(Presion_cilindro!$B$9-1)*Presion_cilindro!$B$33*(IF(Presion_cilindro!N315&gt;(-K$4+Presion_cilindro!$B$34),1-EXP(-Presion_cilindro!$B$16*((Presion_cilindro!N315-(-K$4+Presion_cilindro!$B$34))/Presion_cilindro!$B$35)^(Presion_cilindro!$B$17+1)),0)-IF(Presion_cilindro!N314&gt;(-K$4+Presion_cilindro!$B$34),1-EXP(-Presion_cilindro!$B$16*((Presion_cilindro!N314-(-K$4+Presion_cilindro!$B$34))/Presion_cilindro!$B$35)^(Presion_cilindro!$B$17+1)),0))/((Presion_cilindro!O314+Presion_cilindro!O315)/2)</f>
        <v>10.827868531638764</v>
      </c>
      <c r="L323" s="27">
        <f>L322*(Presion_cilindro!O314/Presion_cilindro!O315)^Presion_cilindro!$B$9+10*(Presion_cilindro!$B$9-1)*Presion_cilindro!$B$33*(IF(Presion_cilindro!N315&gt;(-L$4+Presion_cilindro!$B$34),1-EXP(-Presion_cilindro!$B$16*((Presion_cilindro!N315-(-L$4+Presion_cilindro!$B$34))/Presion_cilindro!$B$35)^(Presion_cilindro!$B$17+1)),0)-IF(Presion_cilindro!N314&gt;(-L$4+Presion_cilindro!$B$34),1-EXP(-Presion_cilindro!$B$16*((Presion_cilindro!N314-(-L$4+Presion_cilindro!$B$34))/Presion_cilindro!$B$35)^(Presion_cilindro!$B$17+1)),0))/((Presion_cilindro!O314+Presion_cilindro!O315)/2)</f>
        <v>13.692891028886555</v>
      </c>
      <c r="M323" s="27">
        <f>M322*(Presion_cilindro!O314/Presion_cilindro!O315)^Presion_cilindro!$B$9+10*(Presion_cilindro!$B$9-1)*Presion_cilindro!$B$33*(IF(Presion_cilindro!N315&gt;(-M$4+Presion_cilindro!$B$34),1-EXP(-Presion_cilindro!$B$16*((Presion_cilindro!N315-(-M$4+Presion_cilindro!$B$34))/Presion_cilindro!$B$35)^(Presion_cilindro!$B$17+1)),0)-IF(Presion_cilindro!N314&gt;(-M$4+Presion_cilindro!$B$34),1-EXP(-Presion_cilindro!$B$16*((Presion_cilindro!N314-(-M$4+Presion_cilindro!$B$34))/Presion_cilindro!$B$35)^(Presion_cilindro!$B$17+1)),0))/((Presion_cilindro!O314+Presion_cilindro!O315)/2)</f>
        <v>17.807583177788501</v>
      </c>
      <c r="N323" s="27">
        <f>N322*(Presion_cilindro!O314/Presion_cilindro!O315)^Presion_cilindro!$B$9+10*(Presion_cilindro!$B$9-1)*Presion_cilindro!$B$33*(IF(Presion_cilindro!N315&gt;(-N$4+Presion_cilindro!$B$34),1-EXP(-Presion_cilindro!$B$16*((Presion_cilindro!N315-(-N$4+Presion_cilindro!$B$34))/Presion_cilindro!$B$35)^(Presion_cilindro!$B$17+1)),0)-IF(Presion_cilindro!N314&gt;(-N$4+Presion_cilindro!$B$34),1-EXP(-Presion_cilindro!$B$16*((Presion_cilindro!N314-(-N$4+Presion_cilindro!$B$34))/Presion_cilindro!$B$35)^(Presion_cilindro!$B$17+1)),0))/((Presion_cilindro!O314+Presion_cilindro!O315)/2)</f>
        <v>22.500130282986891</v>
      </c>
    </row>
    <row r="324" spans="1:14" x14ac:dyDescent="0.25">
      <c r="A324" s="21">
        <f>Presion_cilindro!N316</f>
        <v>-24</v>
      </c>
      <c r="B324" s="27">
        <f>B323*(Presion_cilindro!O315/Presion_cilindro!O316)^Presion_cilindro!$B$9+10*(Presion_cilindro!$B$9-1)*Presion_cilindro!$B$33*(IF(Presion_cilindro!N316&gt;(-B$4+Presion_cilindro!$B$34),1-EXP(-Presion_cilindro!$B$16*((Presion_cilindro!N316-(-B$4+Presion_cilindro!$B$34))/Presion_cilindro!$B$35)^(Presion_cilindro!$B$17+1)),0)-IF(Presion_cilindro!N315&gt;(-B$4+Presion_cilindro!$B$34),1-EXP(-Presion_cilindro!$B$16*((Presion_cilindro!N315-(-B$4+Presion_cilindro!$B$34))/Presion_cilindro!$B$35)^(Presion_cilindro!$B$17+1)),0))/((Presion_cilindro!O315+Presion_cilindro!O316)/2)</f>
        <v>9.0108754933457398</v>
      </c>
      <c r="C324" s="27">
        <f>C323*(Presion_cilindro!O315/Presion_cilindro!O316)^Presion_cilindro!$B$9+10*(Presion_cilindro!$B$9-1)*Presion_cilindro!$B$33*(IF(Presion_cilindro!N316&gt;(-C$4+Presion_cilindro!$B$34),1-EXP(-Presion_cilindro!$B$16*((Presion_cilindro!N316-(-C$4+Presion_cilindro!$B$34))/Presion_cilindro!$B$35)^(Presion_cilindro!$B$17+1)),0)-IF(Presion_cilindro!N315&gt;(-C$4+Presion_cilindro!$B$34),1-EXP(-Presion_cilindro!$B$16*((Presion_cilindro!N315-(-C$4+Presion_cilindro!$B$34))/Presion_cilindro!$B$35)^(Presion_cilindro!$B$17+1)),0))/((Presion_cilindro!O315+Presion_cilindro!O316)/2)</f>
        <v>9.0108754933457398</v>
      </c>
      <c r="D324" s="27">
        <f>D323*(Presion_cilindro!O315/Presion_cilindro!O316)^Presion_cilindro!$B$9+10*(Presion_cilindro!$B$9-1)*Presion_cilindro!$B$33*(IF(Presion_cilindro!N316&gt;(-D$4+Presion_cilindro!$B$34),1-EXP(-Presion_cilindro!$B$16*((Presion_cilindro!N316-(-D$4+Presion_cilindro!$B$34))/Presion_cilindro!$B$35)^(Presion_cilindro!$B$17+1)),0)-IF(Presion_cilindro!N315&gt;(-D$4+Presion_cilindro!$B$34),1-EXP(-Presion_cilindro!$B$16*((Presion_cilindro!N315-(-D$4+Presion_cilindro!$B$34))/Presion_cilindro!$B$35)^(Presion_cilindro!$B$17+1)),0))/((Presion_cilindro!O315+Presion_cilindro!O316)/2)</f>
        <v>9.0108754933457398</v>
      </c>
      <c r="E324" s="27">
        <f>E323*(Presion_cilindro!O315/Presion_cilindro!O316)^Presion_cilindro!$B$9+10*(Presion_cilindro!$B$9-1)*Presion_cilindro!$B$33*(IF(Presion_cilindro!N316&gt;(-E$4+Presion_cilindro!$B$34),1-EXP(-Presion_cilindro!$B$16*((Presion_cilindro!N316-(-E$4+Presion_cilindro!$B$34))/Presion_cilindro!$B$35)^(Presion_cilindro!$B$17+1)),0)-IF(Presion_cilindro!N315&gt;(-E$4+Presion_cilindro!$B$34),1-EXP(-Presion_cilindro!$B$16*((Presion_cilindro!N315-(-E$4+Presion_cilindro!$B$34))/Presion_cilindro!$B$35)^(Presion_cilindro!$B$17+1)),0))/((Presion_cilindro!O315+Presion_cilindro!O316)/2)</f>
        <v>9.0108754933457398</v>
      </c>
      <c r="F324" s="27">
        <f>F323*(Presion_cilindro!O315/Presion_cilindro!O316)^Presion_cilindro!$B$9+10*(Presion_cilindro!$B$9-1)*Presion_cilindro!$B$33*(IF(Presion_cilindro!N316&gt;(-F$4+Presion_cilindro!$B$34),1-EXP(-Presion_cilindro!$B$16*((Presion_cilindro!N316-(-F$4+Presion_cilindro!$B$34))/Presion_cilindro!$B$35)^(Presion_cilindro!$B$17+1)),0)-IF(Presion_cilindro!N315&gt;(-F$4+Presion_cilindro!$B$34),1-EXP(-Presion_cilindro!$B$16*((Presion_cilindro!N315-(-F$4+Presion_cilindro!$B$34))/Presion_cilindro!$B$35)^(Presion_cilindro!$B$17+1)),0))/((Presion_cilindro!O315+Presion_cilindro!O316)/2)</f>
        <v>9.0108754933457398</v>
      </c>
      <c r="G324" s="27">
        <f>G323*(Presion_cilindro!O315/Presion_cilindro!O316)^Presion_cilindro!$B$9+10*(Presion_cilindro!$B$9-1)*Presion_cilindro!$B$33*(IF(Presion_cilindro!N316&gt;(-G$4+Presion_cilindro!$B$34),1-EXP(-Presion_cilindro!$B$16*((Presion_cilindro!N316-(-G$4+Presion_cilindro!$B$34))/Presion_cilindro!$B$35)^(Presion_cilindro!$B$17+1)),0)-IF(Presion_cilindro!N315&gt;(-G$4+Presion_cilindro!$B$34),1-EXP(-Presion_cilindro!$B$16*((Presion_cilindro!N315-(-G$4+Presion_cilindro!$B$34))/Presion_cilindro!$B$35)^(Presion_cilindro!$B$17+1)),0))/((Presion_cilindro!O315+Presion_cilindro!O316)/2)</f>
        <v>9.0108754933457398</v>
      </c>
      <c r="H324" s="27">
        <f>H323*(Presion_cilindro!O315/Presion_cilindro!O316)^Presion_cilindro!$B$9+10*(Presion_cilindro!$B$9-1)*Presion_cilindro!$B$33*(IF(Presion_cilindro!N316&gt;(-H$4+Presion_cilindro!$B$34),1-EXP(-Presion_cilindro!$B$16*((Presion_cilindro!N316-(-H$4+Presion_cilindro!$B$34))/Presion_cilindro!$B$35)^(Presion_cilindro!$B$17+1)),0)-IF(Presion_cilindro!N315&gt;(-H$4+Presion_cilindro!$B$34),1-EXP(-Presion_cilindro!$B$16*((Presion_cilindro!N315-(-H$4+Presion_cilindro!$B$34))/Presion_cilindro!$B$35)^(Presion_cilindro!$B$17+1)),0))/((Presion_cilindro!O315+Presion_cilindro!O316)/2)</f>
        <v>9.0108754933457398</v>
      </c>
      <c r="I324" s="27">
        <f>I323*(Presion_cilindro!O315/Presion_cilindro!O316)^Presion_cilindro!$B$9+10*(Presion_cilindro!$B$9-1)*Presion_cilindro!$B$33*(IF(Presion_cilindro!N316&gt;(-I$4+Presion_cilindro!$B$34),1-EXP(-Presion_cilindro!$B$16*((Presion_cilindro!N316-(-I$4+Presion_cilindro!$B$34))/Presion_cilindro!$B$35)^(Presion_cilindro!$B$17+1)),0)-IF(Presion_cilindro!N315&gt;(-I$4+Presion_cilindro!$B$34),1-EXP(-Presion_cilindro!$B$16*((Presion_cilindro!N315-(-I$4+Presion_cilindro!$B$34))/Presion_cilindro!$B$35)^(Presion_cilindro!$B$17+1)),0))/((Presion_cilindro!O315+Presion_cilindro!O316)/2)</f>
        <v>9.0587798920366236</v>
      </c>
      <c r="J324" s="27">
        <f>J323*(Presion_cilindro!O315/Presion_cilindro!O316)^Presion_cilindro!$B$9+10*(Presion_cilindro!$B$9-1)*Presion_cilindro!$B$33*(IF(Presion_cilindro!N316&gt;(-J$4+Presion_cilindro!$B$34),1-EXP(-Presion_cilindro!$B$16*((Presion_cilindro!N316-(-J$4+Presion_cilindro!$B$34))/Presion_cilindro!$B$35)^(Presion_cilindro!$B$17+1)),0)-IF(Presion_cilindro!N315&gt;(-J$4+Presion_cilindro!$B$34),1-EXP(-Presion_cilindro!$B$16*((Presion_cilindro!N315-(-J$4+Presion_cilindro!$B$34))/Presion_cilindro!$B$35)^(Presion_cilindro!$B$17+1)),0))/((Presion_cilindro!O315+Presion_cilindro!O316)/2)</f>
        <v>9.6049781492908348</v>
      </c>
      <c r="K324" s="27">
        <f>K323*(Presion_cilindro!O315/Presion_cilindro!O316)^Presion_cilindro!$B$9+10*(Presion_cilindro!$B$9-1)*Presion_cilindro!$B$33*(IF(Presion_cilindro!N316&gt;(-K$4+Presion_cilindro!$B$34),1-EXP(-Presion_cilindro!$B$16*((Presion_cilindro!N316-(-K$4+Presion_cilindro!$B$34))/Presion_cilindro!$B$35)^(Presion_cilindro!$B$17+1)),0)-IF(Presion_cilindro!N315&gt;(-K$4+Presion_cilindro!$B$34),1-EXP(-Presion_cilindro!$B$16*((Presion_cilindro!N315-(-K$4+Presion_cilindro!$B$34))/Presion_cilindro!$B$35)^(Presion_cilindro!$B$17+1)),0))/((Presion_cilindro!O315+Presion_cilindro!O316)/2)</f>
        <v>11.240320315031868</v>
      </c>
      <c r="L324" s="27">
        <f>L323*(Presion_cilindro!O315/Presion_cilindro!O316)^Presion_cilindro!$B$9+10*(Presion_cilindro!$B$9-1)*Presion_cilindro!$B$33*(IF(Presion_cilindro!N316&gt;(-L$4+Presion_cilindro!$B$34),1-EXP(-Presion_cilindro!$B$16*((Presion_cilindro!N316-(-L$4+Presion_cilindro!$B$34))/Presion_cilindro!$B$35)^(Presion_cilindro!$B$17+1)),0)-IF(Presion_cilindro!N315&gt;(-L$4+Presion_cilindro!$B$34),1-EXP(-Presion_cilindro!$B$16*((Presion_cilindro!N315-(-L$4+Presion_cilindro!$B$34))/Presion_cilindro!$B$35)^(Presion_cilindro!$B$17+1)),0))/((Presion_cilindro!O315+Presion_cilindro!O316)/2)</f>
        <v>14.286393263117974</v>
      </c>
      <c r="M324" s="27">
        <f>M323*(Presion_cilindro!O315/Presion_cilindro!O316)^Presion_cilindro!$B$9+10*(Presion_cilindro!$B$9-1)*Presion_cilindro!$B$33*(IF(Presion_cilindro!N316&gt;(-M$4+Presion_cilindro!$B$34),1-EXP(-Presion_cilindro!$B$16*((Presion_cilindro!N316-(-M$4+Presion_cilindro!$B$34))/Presion_cilindro!$B$35)^(Presion_cilindro!$B$17+1)),0)-IF(Presion_cilindro!N315&gt;(-M$4+Presion_cilindro!$B$34),1-EXP(-Presion_cilindro!$B$16*((Presion_cilindro!N315-(-M$4+Presion_cilindro!$B$34))/Presion_cilindro!$B$35)^(Presion_cilindro!$B$17+1)),0))/((Presion_cilindro!O315+Presion_cilindro!O316)/2)</f>
        <v>18.553682179883438</v>
      </c>
      <c r="N324" s="27">
        <f>N323*(Presion_cilindro!O315/Presion_cilindro!O316)^Presion_cilindro!$B$9+10*(Presion_cilindro!$B$9-1)*Presion_cilindro!$B$33*(IF(Presion_cilindro!N316&gt;(-N$4+Presion_cilindro!$B$34),1-EXP(-Presion_cilindro!$B$16*((Presion_cilindro!N316-(-N$4+Presion_cilindro!$B$34))/Presion_cilindro!$B$35)^(Presion_cilindro!$B$17+1)),0)-IF(Presion_cilindro!N315&gt;(-N$4+Presion_cilindro!$B$34),1-EXP(-Presion_cilindro!$B$16*((Presion_cilindro!N315-(-N$4+Presion_cilindro!$B$34))/Presion_cilindro!$B$35)^(Presion_cilindro!$B$17+1)),0))/((Presion_cilindro!O315+Presion_cilindro!O316)/2)</f>
        <v>23.317514975354861</v>
      </c>
    </row>
    <row r="325" spans="1:14" x14ac:dyDescent="0.25">
      <c r="A325" s="21">
        <f>Presion_cilindro!N317</f>
        <v>-23.5</v>
      </c>
      <c r="B325" s="27">
        <f>B324*(Presion_cilindro!O316/Presion_cilindro!O317)^Presion_cilindro!$B$9+10*(Presion_cilindro!$B$9-1)*Presion_cilindro!$B$33*(IF(Presion_cilindro!N317&gt;(-B$4+Presion_cilindro!$B$34),1-EXP(-Presion_cilindro!$B$16*((Presion_cilindro!N317-(-B$4+Presion_cilindro!$B$34))/Presion_cilindro!$B$35)^(Presion_cilindro!$B$17+1)),0)-IF(Presion_cilindro!N316&gt;(-B$4+Presion_cilindro!$B$34),1-EXP(-Presion_cilindro!$B$16*((Presion_cilindro!N316-(-B$4+Presion_cilindro!$B$34))/Presion_cilindro!$B$35)^(Presion_cilindro!$B$17+1)),0))/((Presion_cilindro!O316+Presion_cilindro!O317)/2)</f>
        <v>9.173485867358151</v>
      </c>
      <c r="C325" s="27">
        <f>C324*(Presion_cilindro!O316/Presion_cilindro!O317)^Presion_cilindro!$B$9+10*(Presion_cilindro!$B$9-1)*Presion_cilindro!$B$33*(IF(Presion_cilindro!N317&gt;(-C$4+Presion_cilindro!$B$34),1-EXP(-Presion_cilindro!$B$16*((Presion_cilindro!N317-(-C$4+Presion_cilindro!$B$34))/Presion_cilindro!$B$35)^(Presion_cilindro!$B$17+1)),0)-IF(Presion_cilindro!N316&gt;(-C$4+Presion_cilindro!$B$34),1-EXP(-Presion_cilindro!$B$16*((Presion_cilindro!N316-(-C$4+Presion_cilindro!$B$34))/Presion_cilindro!$B$35)^(Presion_cilindro!$B$17+1)),0))/((Presion_cilindro!O316+Presion_cilindro!O317)/2)</f>
        <v>9.173485867358151</v>
      </c>
      <c r="D325" s="27">
        <f>D324*(Presion_cilindro!O316/Presion_cilindro!O317)^Presion_cilindro!$B$9+10*(Presion_cilindro!$B$9-1)*Presion_cilindro!$B$33*(IF(Presion_cilindro!N317&gt;(-D$4+Presion_cilindro!$B$34),1-EXP(-Presion_cilindro!$B$16*((Presion_cilindro!N317-(-D$4+Presion_cilindro!$B$34))/Presion_cilindro!$B$35)^(Presion_cilindro!$B$17+1)),0)-IF(Presion_cilindro!N316&gt;(-D$4+Presion_cilindro!$B$34),1-EXP(-Presion_cilindro!$B$16*((Presion_cilindro!N316-(-D$4+Presion_cilindro!$B$34))/Presion_cilindro!$B$35)^(Presion_cilindro!$B$17+1)),0))/((Presion_cilindro!O316+Presion_cilindro!O317)/2)</f>
        <v>9.173485867358151</v>
      </c>
      <c r="E325" s="27">
        <f>E324*(Presion_cilindro!O316/Presion_cilindro!O317)^Presion_cilindro!$B$9+10*(Presion_cilindro!$B$9-1)*Presion_cilindro!$B$33*(IF(Presion_cilindro!N317&gt;(-E$4+Presion_cilindro!$B$34),1-EXP(-Presion_cilindro!$B$16*((Presion_cilindro!N317-(-E$4+Presion_cilindro!$B$34))/Presion_cilindro!$B$35)^(Presion_cilindro!$B$17+1)),0)-IF(Presion_cilindro!N316&gt;(-E$4+Presion_cilindro!$B$34),1-EXP(-Presion_cilindro!$B$16*((Presion_cilindro!N316-(-E$4+Presion_cilindro!$B$34))/Presion_cilindro!$B$35)^(Presion_cilindro!$B$17+1)),0))/((Presion_cilindro!O316+Presion_cilindro!O317)/2)</f>
        <v>9.173485867358151</v>
      </c>
      <c r="F325" s="27">
        <f>F324*(Presion_cilindro!O316/Presion_cilindro!O317)^Presion_cilindro!$B$9+10*(Presion_cilindro!$B$9-1)*Presion_cilindro!$B$33*(IF(Presion_cilindro!N317&gt;(-F$4+Presion_cilindro!$B$34),1-EXP(-Presion_cilindro!$B$16*((Presion_cilindro!N317-(-F$4+Presion_cilindro!$B$34))/Presion_cilindro!$B$35)^(Presion_cilindro!$B$17+1)),0)-IF(Presion_cilindro!N316&gt;(-F$4+Presion_cilindro!$B$34),1-EXP(-Presion_cilindro!$B$16*((Presion_cilindro!N316-(-F$4+Presion_cilindro!$B$34))/Presion_cilindro!$B$35)^(Presion_cilindro!$B$17+1)),0))/((Presion_cilindro!O316+Presion_cilindro!O317)/2)</f>
        <v>9.173485867358151</v>
      </c>
      <c r="G325" s="27">
        <f>G324*(Presion_cilindro!O316/Presion_cilindro!O317)^Presion_cilindro!$B$9+10*(Presion_cilindro!$B$9-1)*Presion_cilindro!$B$33*(IF(Presion_cilindro!N317&gt;(-G$4+Presion_cilindro!$B$34),1-EXP(-Presion_cilindro!$B$16*((Presion_cilindro!N317-(-G$4+Presion_cilindro!$B$34))/Presion_cilindro!$B$35)^(Presion_cilindro!$B$17+1)),0)-IF(Presion_cilindro!N316&gt;(-G$4+Presion_cilindro!$B$34),1-EXP(-Presion_cilindro!$B$16*((Presion_cilindro!N316-(-G$4+Presion_cilindro!$B$34))/Presion_cilindro!$B$35)^(Presion_cilindro!$B$17+1)),0))/((Presion_cilindro!O316+Presion_cilindro!O317)/2)</f>
        <v>9.173485867358151</v>
      </c>
      <c r="H325" s="27">
        <f>H324*(Presion_cilindro!O316/Presion_cilindro!O317)^Presion_cilindro!$B$9+10*(Presion_cilindro!$B$9-1)*Presion_cilindro!$B$33*(IF(Presion_cilindro!N317&gt;(-H$4+Presion_cilindro!$B$34),1-EXP(-Presion_cilindro!$B$16*((Presion_cilindro!N317-(-H$4+Presion_cilindro!$B$34))/Presion_cilindro!$B$35)^(Presion_cilindro!$B$17+1)),0)-IF(Presion_cilindro!N316&gt;(-H$4+Presion_cilindro!$B$34),1-EXP(-Presion_cilindro!$B$16*((Presion_cilindro!N316-(-H$4+Presion_cilindro!$B$34))/Presion_cilindro!$B$35)^(Presion_cilindro!$B$17+1)),0))/((Presion_cilindro!O316+Presion_cilindro!O317)/2)</f>
        <v>9.173485867358151</v>
      </c>
      <c r="I325" s="27">
        <f>I324*(Presion_cilindro!O316/Presion_cilindro!O317)^Presion_cilindro!$B$9+10*(Presion_cilindro!$B$9-1)*Presion_cilindro!$B$33*(IF(Presion_cilindro!N317&gt;(-I$4+Presion_cilindro!$B$34),1-EXP(-Presion_cilindro!$B$16*((Presion_cilindro!N317-(-I$4+Presion_cilindro!$B$34))/Presion_cilindro!$B$35)^(Presion_cilindro!$B$17+1)),0)-IF(Presion_cilindro!N316&gt;(-I$4+Presion_cilindro!$B$34),1-EXP(-Presion_cilindro!$B$16*((Presion_cilindro!N316-(-I$4+Presion_cilindro!$B$34))/Presion_cilindro!$B$35)^(Presion_cilindro!$B$17+1)),0))/((Presion_cilindro!O316+Presion_cilindro!O317)/2)</f>
        <v>9.2438791895794843</v>
      </c>
      <c r="J325" s="27">
        <f>J324*(Presion_cilindro!O316/Presion_cilindro!O317)^Presion_cilindro!$B$9+10*(Presion_cilindro!$B$9-1)*Presion_cilindro!$B$33*(IF(Presion_cilindro!N317&gt;(-J$4+Presion_cilindro!$B$34),1-EXP(-Presion_cilindro!$B$16*((Presion_cilindro!N317-(-J$4+Presion_cilindro!$B$34))/Presion_cilindro!$B$35)^(Presion_cilindro!$B$17+1)),0)-IF(Presion_cilindro!N316&gt;(-J$4+Presion_cilindro!$B$34),1-EXP(-Presion_cilindro!$B$16*((Presion_cilindro!N316-(-J$4+Presion_cilindro!$B$34))/Presion_cilindro!$B$35)^(Presion_cilindro!$B$17+1)),0))/((Presion_cilindro!O316+Presion_cilindro!O317)/2)</f>
        <v>9.883231760656475</v>
      </c>
      <c r="K325" s="27">
        <f>K324*(Presion_cilindro!O316/Presion_cilindro!O317)^Presion_cilindro!$B$9+10*(Presion_cilindro!$B$9-1)*Presion_cilindro!$B$33*(IF(Presion_cilindro!N317&gt;(-K$4+Presion_cilindro!$B$34),1-EXP(-Presion_cilindro!$B$16*((Presion_cilindro!N317-(-K$4+Presion_cilindro!$B$34))/Presion_cilindro!$B$35)^(Presion_cilindro!$B$17+1)),0)-IF(Presion_cilindro!N316&gt;(-K$4+Presion_cilindro!$B$34),1-EXP(-Presion_cilindro!$B$16*((Presion_cilindro!N316-(-K$4+Presion_cilindro!$B$34))/Presion_cilindro!$B$35)^(Presion_cilindro!$B$17+1)),0))/((Presion_cilindro!O316+Presion_cilindro!O317)/2)</f>
        <v>11.675799680669773</v>
      </c>
      <c r="L325" s="27">
        <f>L324*(Presion_cilindro!O316/Presion_cilindro!O317)^Presion_cilindro!$B$9+10*(Presion_cilindro!$B$9-1)*Presion_cilindro!$B$33*(IF(Presion_cilindro!N317&gt;(-L$4+Presion_cilindro!$B$34),1-EXP(-Presion_cilindro!$B$16*((Presion_cilindro!N317-(-L$4+Presion_cilindro!$B$34))/Presion_cilindro!$B$35)^(Presion_cilindro!$B$17+1)),0)-IF(Presion_cilindro!N316&gt;(-L$4+Presion_cilindro!$B$34),1-EXP(-Presion_cilindro!$B$16*((Presion_cilindro!N316-(-L$4+Presion_cilindro!$B$34))/Presion_cilindro!$B$35)^(Presion_cilindro!$B$17+1)),0))/((Presion_cilindro!O316+Presion_cilindro!O317)/2)</f>
        <v>14.905128487299612</v>
      </c>
      <c r="M325" s="27">
        <f>M324*(Presion_cilindro!O316/Presion_cilindro!O317)^Presion_cilindro!$B$9+10*(Presion_cilindro!$B$9-1)*Presion_cilindro!$B$33*(IF(Presion_cilindro!N317&gt;(-M$4+Presion_cilindro!$B$34),1-EXP(-Presion_cilindro!$B$16*((Presion_cilindro!N317-(-M$4+Presion_cilindro!$B$34))/Presion_cilindro!$B$35)^(Presion_cilindro!$B$17+1)),0)-IF(Presion_cilindro!N316&gt;(-M$4+Presion_cilindro!$B$34),1-EXP(-Presion_cilindro!$B$16*((Presion_cilindro!N316-(-M$4+Presion_cilindro!$B$34))/Presion_cilindro!$B$35)^(Presion_cilindro!$B$17+1)),0))/((Presion_cilindro!O316+Presion_cilindro!O317)/2)</f>
        <v>19.320341733053631</v>
      </c>
      <c r="N325" s="27">
        <f>N324*(Presion_cilindro!O316/Presion_cilindro!O317)^Presion_cilindro!$B$9+10*(Presion_cilindro!$B$9-1)*Presion_cilindro!$B$33*(IF(Presion_cilindro!N317&gt;(-N$4+Presion_cilindro!$B$34),1-EXP(-Presion_cilindro!$B$16*((Presion_cilindro!N317-(-N$4+Presion_cilindro!$B$34))/Presion_cilindro!$B$35)^(Presion_cilindro!$B$17+1)),0)-IF(Presion_cilindro!N316&gt;(-N$4+Presion_cilindro!$B$34),1-EXP(-Presion_cilindro!$B$16*((Presion_cilindro!N316-(-N$4+Presion_cilindro!$B$34))/Presion_cilindro!$B$35)^(Presion_cilindro!$B$17+1)),0))/((Presion_cilindro!O316+Presion_cilindro!O317)/2)</f>
        <v>24.146313942827032</v>
      </c>
    </row>
    <row r="326" spans="1:14" x14ac:dyDescent="0.25">
      <c r="A326" s="21">
        <f>Presion_cilindro!N318</f>
        <v>-23</v>
      </c>
      <c r="B326" s="27">
        <f>B325*(Presion_cilindro!O317/Presion_cilindro!O318)^Presion_cilindro!$B$9+10*(Presion_cilindro!$B$9-1)*Presion_cilindro!$B$33*(IF(Presion_cilindro!N318&gt;(-B$4+Presion_cilindro!$B$34),1-EXP(-Presion_cilindro!$B$16*((Presion_cilindro!N318-(-B$4+Presion_cilindro!$B$34))/Presion_cilindro!$B$35)^(Presion_cilindro!$B$17+1)),0)-IF(Presion_cilindro!N317&gt;(-B$4+Presion_cilindro!$B$34),1-EXP(-Presion_cilindro!$B$16*((Presion_cilindro!N317-(-B$4+Presion_cilindro!$B$34))/Presion_cilindro!$B$35)^(Presion_cilindro!$B$17+1)),0))/((Presion_cilindro!O317+Presion_cilindro!O318)/2)</f>
        <v>9.3380438555080385</v>
      </c>
      <c r="C326" s="27">
        <f>C325*(Presion_cilindro!O317/Presion_cilindro!O318)^Presion_cilindro!$B$9+10*(Presion_cilindro!$B$9-1)*Presion_cilindro!$B$33*(IF(Presion_cilindro!N318&gt;(-C$4+Presion_cilindro!$B$34),1-EXP(-Presion_cilindro!$B$16*((Presion_cilindro!N318-(-C$4+Presion_cilindro!$B$34))/Presion_cilindro!$B$35)^(Presion_cilindro!$B$17+1)),0)-IF(Presion_cilindro!N317&gt;(-C$4+Presion_cilindro!$B$34),1-EXP(-Presion_cilindro!$B$16*((Presion_cilindro!N317-(-C$4+Presion_cilindro!$B$34))/Presion_cilindro!$B$35)^(Presion_cilindro!$B$17+1)),0))/((Presion_cilindro!O317+Presion_cilindro!O318)/2)</f>
        <v>9.3380438555080385</v>
      </c>
      <c r="D326" s="27">
        <f>D325*(Presion_cilindro!O317/Presion_cilindro!O318)^Presion_cilindro!$B$9+10*(Presion_cilindro!$B$9-1)*Presion_cilindro!$B$33*(IF(Presion_cilindro!N318&gt;(-D$4+Presion_cilindro!$B$34),1-EXP(-Presion_cilindro!$B$16*((Presion_cilindro!N318-(-D$4+Presion_cilindro!$B$34))/Presion_cilindro!$B$35)^(Presion_cilindro!$B$17+1)),0)-IF(Presion_cilindro!N317&gt;(-D$4+Presion_cilindro!$B$34),1-EXP(-Presion_cilindro!$B$16*((Presion_cilindro!N317-(-D$4+Presion_cilindro!$B$34))/Presion_cilindro!$B$35)^(Presion_cilindro!$B$17+1)),0))/((Presion_cilindro!O317+Presion_cilindro!O318)/2)</f>
        <v>9.3380438555080385</v>
      </c>
      <c r="E326" s="27">
        <f>E325*(Presion_cilindro!O317/Presion_cilindro!O318)^Presion_cilindro!$B$9+10*(Presion_cilindro!$B$9-1)*Presion_cilindro!$B$33*(IF(Presion_cilindro!N318&gt;(-E$4+Presion_cilindro!$B$34),1-EXP(-Presion_cilindro!$B$16*((Presion_cilindro!N318-(-E$4+Presion_cilindro!$B$34))/Presion_cilindro!$B$35)^(Presion_cilindro!$B$17+1)),0)-IF(Presion_cilindro!N317&gt;(-E$4+Presion_cilindro!$B$34),1-EXP(-Presion_cilindro!$B$16*((Presion_cilindro!N317-(-E$4+Presion_cilindro!$B$34))/Presion_cilindro!$B$35)^(Presion_cilindro!$B$17+1)),0))/((Presion_cilindro!O317+Presion_cilindro!O318)/2)</f>
        <v>9.3380438555080385</v>
      </c>
      <c r="F326" s="27">
        <f>F325*(Presion_cilindro!O317/Presion_cilindro!O318)^Presion_cilindro!$B$9+10*(Presion_cilindro!$B$9-1)*Presion_cilindro!$B$33*(IF(Presion_cilindro!N318&gt;(-F$4+Presion_cilindro!$B$34),1-EXP(-Presion_cilindro!$B$16*((Presion_cilindro!N318-(-F$4+Presion_cilindro!$B$34))/Presion_cilindro!$B$35)^(Presion_cilindro!$B$17+1)),0)-IF(Presion_cilindro!N317&gt;(-F$4+Presion_cilindro!$B$34),1-EXP(-Presion_cilindro!$B$16*((Presion_cilindro!N317-(-F$4+Presion_cilindro!$B$34))/Presion_cilindro!$B$35)^(Presion_cilindro!$B$17+1)),0))/((Presion_cilindro!O317+Presion_cilindro!O318)/2)</f>
        <v>9.3380438555080385</v>
      </c>
      <c r="G326" s="27">
        <f>G325*(Presion_cilindro!O317/Presion_cilindro!O318)^Presion_cilindro!$B$9+10*(Presion_cilindro!$B$9-1)*Presion_cilindro!$B$33*(IF(Presion_cilindro!N318&gt;(-G$4+Presion_cilindro!$B$34),1-EXP(-Presion_cilindro!$B$16*((Presion_cilindro!N318-(-G$4+Presion_cilindro!$B$34))/Presion_cilindro!$B$35)^(Presion_cilindro!$B$17+1)),0)-IF(Presion_cilindro!N317&gt;(-G$4+Presion_cilindro!$B$34),1-EXP(-Presion_cilindro!$B$16*((Presion_cilindro!N317-(-G$4+Presion_cilindro!$B$34))/Presion_cilindro!$B$35)^(Presion_cilindro!$B$17+1)),0))/((Presion_cilindro!O317+Presion_cilindro!O318)/2)</f>
        <v>9.3380438555080385</v>
      </c>
      <c r="H326" s="27">
        <f>H325*(Presion_cilindro!O317/Presion_cilindro!O318)^Presion_cilindro!$B$9+10*(Presion_cilindro!$B$9-1)*Presion_cilindro!$B$33*(IF(Presion_cilindro!N318&gt;(-H$4+Presion_cilindro!$B$34),1-EXP(-Presion_cilindro!$B$16*((Presion_cilindro!N318-(-H$4+Presion_cilindro!$B$34))/Presion_cilindro!$B$35)^(Presion_cilindro!$B$17+1)),0)-IF(Presion_cilindro!N317&gt;(-H$4+Presion_cilindro!$B$34),1-EXP(-Presion_cilindro!$B$16*((Presion_cilindro!N317-(-H$4+Presion_cilindro!$B$34))/Presion_cilindro!$B$35)^(Presion_cilindro!$B$17+1)),0))/((Presion_cilindro!O317+Presion_cilindro!O318)/2)</f>
        <v>9.3380438555080385</v>
      </c>
      <c r="I326" s="27">
        <f>I325*(Presion_cilindro!O317/Presion_cilindro!O318)^Presion_cilindro!$B$9+10*(Presion_cilindro!$B$9-1)*Presion_cilindro!$B$33*(IF(Presion_cilindro!N318&gt;(-I$4+Presion_cilindro!$B$34),1-EXP(-Presion_cilindro!$B$16*((Presion_cilindro!N318-(-I$4+Presion_cilindro!$B$34))/Presion_cilindro!$B$35)^(Presion_cilindro!$B$17+1)),0)-IF(Presion_cilindro!N317&gt;(-I$4+Presion_cilindro!$B$34),1-EXP(-Presion_cilindro!$B$16*((Presion_cilindro!N317-(-I$4+Presion_cilindro!$B$34))/Presion_cilindro!$B$35)^(Presion_cilindro!$B$17+1)),0))/((Presion_cilindro!O317+Presion_cilindro!O318)/2)</f>
        <v>9.4373228972020105</v>
      </c>
      <c r="J326" s="27">
        <f>J325*(Presion_cilindro!O317/Presion_cilindro!O318)^Presion_cilindro!$B$9+10*(Presion_cilindro!$B$9-1)*Presion_cilindro!$B$33*(IF(Presion_cilindro!N318&gt;(-J$4+Presion_cilindro!$B$34),1-EXP(-Presion_cilindro!$B$16*((Presion_cilindro!N318-(-J$4+Presion_cilindro!$B$34))/Presion_cilindro!$B$35)^(Presion_cilindro!$B$17+1)),0)-IF(Presion_cilindro!N317&gt;(-J$4+Presion_cilindro!$B$34),1-EXP(-Presion_cilindro!$B$16*((Presion_cilindro!N317-(-J$4+Presion_cilindro!$B$34))/Presion_cilindro!$B$35)^(Presion_cilindro!$B$17+1)),0))/((Presion_cilindro!O317+Presion_cilindro!O318)/2)</f>
        <v>10.178303042910875</v>
      </c>
      <c r="K326" s="27">
        <f>K325*(Presion_cilindro!O317/Presion_cilindro!O318)^Presion_cilindro!$B$9+10*(Presion_cilindro!$B$9-1)*Presion_cilindro!$B$33*(IF(Presion_cilindro!N318&gt;(-K$4+Presion_cilindro!$B$34),1-EXP(-Presion_cilindro!$B$16*((Presion_cilindro!N318-(-K$4+Presion_cilindro!$B$34))/Presion_cilindro!$B$35)^(Presion_cilindro!$B$17+1)),0)-IF(Presion_cilindro!N317&gt;(-K$4+Presion_cilindro!$B$34),1-EXP(-Presion_cilindro!$B$16*((Presion_cilindro!N317-(-K$4+Presion_cilindro!$B$34))/Presion_cilindro!$B$35)^(Presion_cilindro!$B$17+1)),0))/((Presion_cilindro!O317+Presion_cilindro!O318)/2)</f>
        <v>12.134940708085127</v>
      </c>
      <c r="L326" s="27">
        <f>L325*(Presion_cilindro!O317/Presion_cilindro!O318)^Presion_cilindro!$B$9+10*(Presion_cilindro!$B$9-1)*Presion_cilindro!$B$33*(IF(Presion_cilindro!N318&gt;(-L$4+Presion_cilindro!$B$34),1-EXP(-Presion_cilindro!$B$16*((Presion_cilindro!N318-(-L$4+Presion_cilindro!$B$34))/Presion_cilindro!$B$35)^(Presion_cilindro!$B$17+1)),0)-IF(Presion_cilindro!N317&gt;(-L$4+Presion_cilindro!$B$34),1-EXP(-Presion_cilindro!$B$16*((Presion_cilindro!N317-(-L$4+Presion_cilindro!$B$34))/Presion_cilindro!$B$35)^(Presion_cilindro!$B$17+1)),0))/((Presion_cilindro!O317+Presion_cilindro!O318)/2)</f>
        <v>15.549029584658108</v>
      </c>
      <c r="M326" s="27">
        <f>M325*(Presion_cilindro!O317/Presion_cilindro!O318)^Presion_cilindro!$B$9+10*(Presion_cilindro!$B$9-1)*Presion_cilindro!$B$33*(IF(Presion_cilindro!N318&gt;(-M$4+Presion_cilindro!$B$34),1-EXP(-Presion_cilindro!$B$16*((Presion_cilindro!N318-(-M$4+Presion_cilindro!$B$34))/Presion_cilindro!$B$35)^(Presion_cilindro!$B$17+1)),0)-IF(Presion_cilindro!N317&gt;(-M$4+Presion_cilindro!$B$34),1-EXP(-Presion_cilindro!$B$16*((Presion_cilindro!N317-(-M$4+Presion_cilindro!$B$34))/Presion_cilindro!$B$35)^(Presion_cilindro!$B$17+1)),0))/((Presion_cilindro!O317+Presion_cilindro!O318)/2)</f>
        <v>20.10671854597657</v>
      </c>
      <c r="N326" s="27">
        <f>N325*(Presion_cilindro!O317/Presion_cilindro!O318)^Presion_cilindro!$B$9+10*(Presion_cilindro!$B$9-1)*Presion_cilindro!$B$33*(IF(Presion_cilindro!N318&gt;(-N$4+Presion_cilindro!$B$34),1-EXP(-Presion_cilindro!$B$16*((Presion_cilindro!N318-(-N$4+Presion_cilindro!$B$34))/Presion_cilindro!$B$35)^(Presion_cilindro!$B$17+1)),0)-IF(Presion_cilindro!N317&gt;(-N$4+Presion_cilindro!$B$34),1-EXP(-Presion_cilindro!$B$16*((Presion_cilindro!N317-(-N$4+Presion_cilindro!$B$34))/Presion_cilindro!$B$35)^(Presion_cilindro!$B$17+1)),0))/((Presion_cilindro!O317+Presion_cilindro!O318)/2)</f>
        <v>24.985345469760357</v>
      </c>
    </row>
    <row r="327" spans="1:14" x14ac:dyDescent="0.25">
      <c r="A327" s="21">
        <f>Presion_cilindro!N319</f>
        <v>-22.5</v>
      </c>
      <c r="B327" s="27">
        <f>B326*(Presion_cilindro!O318/Presion_cilindro!O319)^Presion_cilindro!$B$9+10*(Presion_cilindro!$B$9-1)*Presion_cilindro!$B$33*(IF(Presion_cilindro!N319&gt;(-B$4+Presion_cilindro!$B$34),1-EXP(-Presion_cilindro!$B$16*((Presion_cilindro!N319-(-B$4+Presion_cilindro!$B$34))/Presion_cilindro!$B$35)^(Presion_cilindro!$B$17+1)),0)-IF(Presion_cilindro!N318&gt;(-B$4+Presion_cilindro!$B$34),1-EXP(-Presion_cilindro!$B$16*((Presion_cilindro!N318-(-B$4+Presion_cilindro!$B$34))/Presion_cilindro!$B$35)^(Presion_cilindro!$B$17+1)),0))/((Presion_cilindro!O318+Presion_cilindro!O319)/2)</f>
        <v>9.5044565170328568</v>
      </c>
      <c r="C327" s="27">
        <f>C326*(Presion_cilindro!O318/Presion_cilindro!O319)^Presion_cilindro!$B$9+10*(Presion_cilindro!$B$9-1)*Presion_cilindro!$B$33*(IF(Presion_cilindro!N319&gt;(-C$4+Presion_cilindro!$B$34),1-EXP(-Presion_cilindro!$B$16*((Presion_cilindro!N319-(-C$4+Presion_cilindro!$B$34))/Presion_cilindro!$B$35)^(Presion_cilindro!$B$17+1)),0)-IF(Presion_cilindro!N318&gt;(-C$4+Presion_cilindro!$B$34),1-EXP(-Presion_cilindro!$B$16*((Presion_cilindro!N318-(-C$4+Presion_cilindro!$B$34))/Presion_cilindro!$B$35)^(Presion_cilindro!$B$17+1)),0))/((Presion_cilindro!O318+Presion_cilindro!O319)/2)</f>
        <v>9.5044565170328568</v>
      </c>
      <c r="D327" s="27">
        <f>D326*(Presion_cilindro!O318/Presion_cilindro!O319)^Presion_cilindro!$B$9+10*(Presion_cilindro!$B$9-1)*Presion_cilindro!$B$33*(IF(Presion_cilindro!N319&gt;(-D$4+Presion_cilindro!$B$34),1-EXP(-Presion_cilindro!$B$16*((Presion_cilindro!N319-(-D$4+Presion_cilindro!$B$34))/Presion_cilindro!$B$35)^(Presion_cilindro!$B$17+1)),0)-IF(Presion_cilindro!N318&gt;(-D$4+Presion_cilindro!$B$34),1-EXP(-Presion_cilindro!$B$16*((Presion_cilindro!N318-(-D$4+Presion_cilindro!$B$34))/Presion_cilindro!$B$35)^(Presion_cilindro!$B$17+1)),0))/((Presion_cilindro!O318+Presion_cilindro!O319)/2)</f>
        <v>9.5044565170328568</v>
      </c>
      <c r="E327" s="27">
        <f>E326*(Presion_cilindro!O318/Presion_cilindro!O319)^Presion_cilindro!$B$9+10*(Presion_cilindro!$B$9-1)*Presion_cilindro!$B$33*(IF(Presion_cilindro!N319&gt;(-E$4+Presion_cilindro!$B$34),1-EXP(-Presion_cilindro!$B$16*((Presion_cilindro!N319-(-E$4+Presion_cilindro!$B$34))/Presion_cilindro!$B$35)^(Presion_cilindro!$B$17+1)),0)-IF(Presion_cilindro!N318&gt;(-E$4+Presion_cilindro!$B$34),1-EXP(-Presion_cilindro!$B$16*((Presion_cilindro!N318-(-E$4+Presion_cilindro!$B$34))/Presion_cilindro!$B$35)^(Presion_cilindro!$B$17+1)),0))/((Presion_cilindro!O318+Presion_cilindro!O319)/2)</f>
        <v>9.5044565170328568</v>
      </c>
      <c r="F327" s="27">
        <f>F326*(Presion_cilindro!O318/Presion_cilindro!O319)^Presion_cilindro!$B$9+10*(Presion_cilindro!$B$9-1)*Presion_cilindro!$B$33*(IF(Presion_cilindro!N319&gt;(-F$4+Presion_cilindro!$B$34),1-EXP(-Presion_cilindro!$B$16*((Presion_cilindro!N319-(-F$4+Presion_cilindro!$B$34))/Presion_cilindro!$B$35)^(Presion_cilindro!$B$17+1)),0)-IF(Presion_cilindro!N318&gt;(-F$4+Presion_cilindro!$B$34),1-EXP(-Presion_cilindro!$B$16*((Presion_cilindro!N318-(-F$4+Presion_cilindro!$B$34))/Presion_cilindro!$B$35)^(Presion_cilindro!$B$17+1)),0))/((Presion_cilindro!O318+Presion_cilindro!O319)/2)</f>
        <v>9.5044565170328568</v>
      </c>
      <c r="G327" s="27">
        <f>G326*(Presion_cilindro!O318/Presion_cilindro!O319)^Presion_cilindro!$B$9+10*(Presion_cilindro!$B$9-1)*Presion_cilindro!$B$33*(IF(Presion_cilindro!N319&gt;(-G$4+Presion_cilindro!$B$34),1-EXP(-Presion_cilindro!$B$16*((Presion_cilindro!N319-(-G$4+Presion_cilindro!$B$34))/Presion_cilindro!$B$35)^(Presion_cilindro!$B$17+1)),0)-IF(Presion_cilindro!N318&gt;(-G$4+Presion_cilindro!$B$34),1-EXP(-Presion_cilindro!$B$16*((Presion_cilindro!N318-(-G$4+Presion_cilindro!$B$34))/Presion_cilindro!$B$35)^(Presion_cilindro!$B$17+1)),0))/((Presion_cilindro!O318+Presion_cilindro!O319)/2)</f>
        <v>9.5044565170328568</v>
      </c>
      <c r="H327" s="27">
        <f>H326*(Presion_cilindro!O318/Presion_cilindro!O319)^Presion_cilindro!$B$9+10*(Presion_cilindro!$B$9-1)*Presion_cilindro!$B$33*(IF(Presion_cilindro!N319&gt;(-H$4+Presion_cilindro!$B$34),1-EXP(-Presion_cilindro!$B$16*((Presion_cilindro!N319-(-H$4+Presion_cilindro!$B$34))/Presion_cilindro!$B$35)^(Presion_cilindro!$B$17+1)),0)-IF(Presion_cilindro!N318&gt;(-H$4+Presion_cilindro!$B$34),1-EXP(-Presion_cilindro!$B$16*((Presion_cilindro!N318-(-H$4+Presion_cilindro!$B$34))/Presion_cilindro!$B$35)^(Presion_cilindro!$B$17+1)),0))/((Presion_cilindro!O318+Presion_cilindro!O319)/2)</f>
        <v>9.5044809266756776</v>
      </c>
      <c r="I327" s="27">
        <f>I326*(Presion_cilindro!O318/Presion_cilindro!O319)^Presion_cilindro!$B$9+10*(Presion_cilindro!$B$9-1)*Presion_cilindro!$B$33*(IF(Presion_cilindro!N319&gt;(-I$4+Presion_cilindro!$B$34),1-EXP(-Presion_cilindro!$B$16*((Presion_cilindro!N319-(-I$4+Presion_cilindro!$B$34))/Presion_cilindro!$B$35)^(Presion_cilindro!$B$17+1)),0)-IF(Presion_cilindro!N318&gt;(-I$4+Presion_cilindro!$B$34),1-EXP(-Presion_cilindro!$B$16*((Presion_cilindro!N318-(-I$4+Presion_cilindro!$B$34))/Presion_cilindro!$B$35)^(Presion_cilindro!$B$17+1)),0))/((Presion_cilindro!O318+Presion_cilindro!O319)/2)</f>
        <v>9.6399332888630216</v>
      </c>
      <c r="J327" s="27">
        <f>J326*(Presion_cilindro!O318/Presion_cilindro!O319)^Presion_cilindro!$B$9+10*(Presion_cilindro!$B$9-1)*Presion_cilindro!$B$33*(IF(Presion_cilindro!N319&gt;(-J$4+Presion_cilindro!$B$34),1-EXP(-Presion_cilindro!$B$16*((Presion_cilindro!N319-(-J$4+Presion_cilindro!$B$34))/Presion_cilindro!$B$35)^(Presion_cilindro!$B$17+1)),0)-IF(Presion_cilindro!N318&gt;(-J$4+Presion_cilindro!$B$34),1-EXP(-Presion_cilindro!$B$16*((Presion_cilindro!N318-(-J$4+Presion_cilindro!$B$34))/Presion_cilindro!$B$35)^(Presion_cilindro!$B$17+1)),0))/((Presion_cilindro!O318+Presion_cilindro!O319)/2)</f>
        <v>10.49109563279751</v>
      </c>
      <c r="K327" s="27">
        <f>K326*(Presion_cilindro!O318/Presion_cilindro!O319)^Presion_cilindro!$B$9+10*(Presion_cilindro!$B$9-1)*Presion_cilindro!$B$33*(IF(Presion_cilindro!N319&gt;(-K$4+Presion_cilindro!$B$34),1-EXP(-Presion_cilindro!$B$16*((Presion_cilindro!N319-(-K$4+Presion_cilindro!$B$34))/Presion_cilindro!$B$35)^(Presion_cilindro!$B$17+1)),0)-IF(Presion_cilindro!N318&gt;(-K$4+Presion_cilindro!$B$34),1-EXP(-Presion_cilindro!$B$16*((Presion_cilindro!N318-(-K$4+Presion_cilindro!$B$34))/Presion_cilindro!$B$35)^(Presion_cilindro!$B$17+1)),0))/((Presion_cilindro!O318+Presion_cilindro!O319)/2)</f>
        <v>12.61830850344257</v>
      </c>
      <c r="L327" s="27">
        <f>L326*(Presion_cilindro!O318/Presion_cilindro!O319)^Presion_cilindro!$B$9+10*(Presion_cilindro!$B$9-1)*Presion_cilindro!$B$33*(IF(Presion_cilindro!N319&gt;(-L$4+Presion_cilindro!$B$34),1-EXP(-Presion_cilindro!$B$16*((Presion_cilindro!N319-(-L$4+Presion_cilindro!$B$34))/Presion_cilindro!$B$35)^(Presion_cilindro!$B$17+1)),0)-IF(Presion_cilindro!N318&gt;(-L$4+Presion_cilindro!$B$34),1-EXP(-Presion_cilindro!$B$16*((Presion_cilindro!N318-(-L$4+Presion_cilindro!$B$34))/Presion_cilindro!$B$35)^(Presion_cilindro!$B$17+1)),0))/((Presion_cilindro!O318+Presion_cilindro!O319)/2)</f>
        <v>16.217915213878882</v>
      </c>
      <c r="M327" s="27">
        <f>M326*(Presion_cilindro!O318/Presion_cilindro!O319)^Presion_cilindro!$B$9+10*(Presion_cilindro!$B$9-1)*Presion_cilindro!$B$33*(IF(Presion_cilindro!N319&gt;(-M$4+Presion_cilindro!$B$34),1-EXP(-Presion_cilindro!$B$16*((Presion_cilindro!N319-(-M$4+Presion_cilindro!$B$34))/Presion_cilindro!$B$35)^(Presion_cilindro!$B$17+1)),0)-IF(Presion_cilindro!N318&gt;(-M$4+Presion_cilindro!$B$34),1-EXP(-Presion_cilindro!$B$16*((Presion_cilindro!N318-(-M$4+Presion_cilindro!$B$34))/Presion_cilindro!$B$35)^(Presion_cilindro!$B$17+1)),0))/((Presion_cilindro!O318+Presion_cilindro!O319)/2)</f>
        <v>20.91186316301998</v>
      </c>
      <c r="N327" s="27">
        <f>N326*(Presion_cilindro!O318/Presion_cilindro!O319)^Presion_cilindro!$B$9+10*(Presion_cilindro!$B$9-1)*Presion_cilindro!$B$33*(IF(Presion_cilindro!N319&gt;(-N$4+Presion_cilindro!$B$34),1-EXP(-Presion_cilindro!$B$16*((Presion_cilindro!N319-(-N$4+Presion_cilindro!$B$34))/Presion_cilindro!$B$35)^(Presion_cilindro!$B$17+1)),0)-IF(Presion_cilindro!N318&gt;(-N$4+Presion_cilindro!$B$34),1-EXP(-Presion_cilindro!$B$16*((Presion_cilindro!N318-(-N$4+Presion_cilindro!$B$34))/Presion_cilindro!$B$35)^(Presion_cilindro!$B$17+1)),0))/((Presion_cilindro!O318+Presion_cilindro!O319)/2)</f>
        <v>25.83338007416538</v>
      </c>
    </row>
    <row r="328" spans="1:14" x14ac:dyDescent="0.25">
      <c r="A328" s="21">
        <f>Presion_cilindro!N320</f>
        <v>-22</v>
      </c>
      <c r="B328" s="27">
        <f>B327*(Presion_cilindro!O319/Presion_cilindro!O320)^Presion_cilindro!$B$9+10*(Presion_cilindro!$B$9-1)*Presion_cilindro!$B$33*(IF(Presion_cilindro!N320&gt;(-B$4+Presion_cilindro!$B$34),1-EXP(-Presion_cilindro!$B$16*((Presion_cilindro!N320-(-B$4+Presion_cilindro!$B$34))/Presion_cilindro!$B$35)^(Presion_cilindro!$B$17+1)),0)-IF(Presion_cilindro!N319&gt;(-B$4+Presion_cilindro!$B$34),1-EXP(-Presion_cilindro!$B$16*((Presion_cilindro!N319-(-B$4+Presion_cilindro!$B$34))/Presion_cilindro!$B$35)^(Presion_cilindro!$B$17+1)),0))/((Presion_cilindro!O319+Presion_cilindro!O320)/2)</f>
        <v>9.6726208906595392</v>
      </c>
      <c r="C328" s="27">
        <f>C327*(Presion_cilindro!O319/Presion_cilindro!O320)^Presion_cilindro!$B$9+10*(Presion_cilindro!$B$9-1)*Presion_cilindro!$B$33*(IF(Presion_cilindro!N320&gt;(-C$4+Presion_cilindro!$B$34),1-EXP(-Presion_cilindro!$B$16*((Presion_cilindro!N320-(-C$4+Presion_cilindro!$B$34))/Presion_cilindro!$B$35)^(Presion_cilindro!$B$17+1)),0)-IF(Presion_cilindro!N319&gt;(-C$4+Presion_cilindro!$B$34),1-EXP(-Presion_cilindro!$B$16*((Presion_cilindro!N319-(-C$4+Presion_cilindro!$B$34))/Presion_cilindro!$B$35)^(Presion_cilindro!$B$17+1)),0))/((Presion_cilindro!O319+Presion_cilindro!O320)/2)</f>
        <v>9.6726208906595392</v>
      </c>
      <c r="D328" s="27">
        <f>D327*(Presion_cilindro!O319/Presion_cilindro!O320)^Presion_cilindro!$B$9+10*(Presion_cilindro!$B$9-1)*Presion_cilindro!$B$33*(IF(Presion_cilindro!N320&gt;(-D$4+Presion_cilindro!$B$34),1-EXP(-Presion_cilindro!$B$16*((Presion_cilindro!N320-(-D$4+Presion_cilindro!$B$34))/Presion_cilindro!$B$35)^(Presion_cilindro!$B$17+1)),0)-IF(Presion_cilindro!N319&gt;(-D$4+Presion_cilindro!$B$34),1-EXP(-Presion_cilindro!$B$16*((Presion_cilindro!N319-(-D$4+Presion_cilindro!$B$34))/Presion_cilindro!$B$35)^(Presion_cilindro!$B$17+1)),0))/((Presion_cilindro!O319+Presion_cilindro!O320)/2)</f>
        <v>9.6726208906595392</v>
      </c>
      <c r="E328" s="27">
        <f>E327*(Presion_cilindro!O319/Presion_cilindro!O320)^Presion_cilindro!$B$9+10*(Presion_cilindro!$B$9-1)*Presion_cilindro!$B$33*(IF(Presion_cilindro!N320&gt;(-E$4+Presion_cilindro!$B$34),1-EXP(-Presion_cilindro!$B$16*((Presion_cilindro!N320-(-E$4+Presion_cilindro!$B$34))/Presion_cilindro!$B$35)^(Presion_cilindro!$B$17+1)),0)-IF(Presion_cilindro!N319&gt;(-E$4+Presion_cilindro!$B$34),1-EXP(-Presion_cilindro!$B$16*((Presion_cilindro!N319-(-E$4+Presion_cilindro!$B$34))/Presion_cilindro!$B$35)^(Presion_cilindro!$B$17+1)),0))/((Presion_cilindro!O319+Presion_cilindro!O320)/2)</f>
        <v>9.6726208906595392</v>
      </c>
      <c r="F328" s="27">
        <f>F327*(Presion_cilindro!O319/Presion_cilindro!O320)^Presion_cilindro!$B$9+10*(Presion_cilindro!$B$9-1)*Presion_cilindro!$B$33*(IF(Presion_cilindro!N320&gt;(-F$4+Presion_cilindro!$B$34),1-EXP(-Presion_cilindro!$B$16*((Presion_cilindro!N320-(-F$4+Presion_cilindro!$B$34))/Presion_cilindro!$B$35)^(Presion_cilindro!$B$17+1)),0)-IF(Presion_cilindro!N319&gt;(-F$4+Presion_cilindro!$B$34),1-EXP(-Presion_cilindro!$B$16*((Presion_cilindro!N319-(-F$4+Presion_cilindro!$B$34))/Presion_cilindro!$B$35)^(Presion_cilindro!$B$17+1)),0))/((Presion_cilindro!O319+Presion_cilindro!O320)/2)</f>
        <v>9.6726208906595392</v>
      </c>
      <c r="G328" s="27">
        <f>G327*(Presion_cilindro!O319/Presion_cilindro!O320)^Presion_cilindro!$B$9+10*(Presion_cilindro!$B$9-1)*Presion_cilindro!$B$33*(IF(Presion_cilindro!N320&gt;(-G$4+Presion_cilindro!$B$34),1-EXP(-Presion_cilindro!$B$16*((Presion_cilindro!N320-(-G$4+Presion_cilindro!$B$34))/Presion_cilindro!$B$35)^(Presion_cilindro!$B$17+1)),0)-IF(Presion_cilindro!N319&gt;(-G$4+Presion_cilindro!$B$34),1-EXP(-Presion_cilindro!$B$16*((Presion_cilindro!N319-(-G$4+Presion_cilindro!$B$34))/Presion_cilindro!$B$35)^(Presion_cilindro!$B$17+1)),0))/((Presion_cilindro!O319+Presion_cilindro!O320)/2)</f>
        <v>9.6726208906595392</v>
      </c>
      <c r="H328" s="27">
        <f>H327*(Presion_cilindro!O319/Presion_cilindro!O320)^Presion_cilindro!$B$9+10*(Presion_cilindro!$B$9-1)*Presion_cilindro!$B$33*(IF(Presion_cilindro!N320&gt;(-H$4+Presion_cilindro!$B$34),1-EXP(-Presion_cilindro!$B$16*((Presion_cilindro!N320-(-H$4+Presion_cilindro!$B$34))/Presion_cilindro!$B$35)^(Presion_cilindro!$B$17+1)),0)-IF(Presion_cilindro!N319&gt;(-H$4+Presion_cilindro!$B$34),1-EXP(-Presion_cilindro!$B$16*((Presion_cilindro!N319-(-H$4+Presion_cilindro!$B$34))/Presion_cilindro!$B$35)^(Presion_cilindro!$B$17+1)),0))/((Presion_cilindro!O319+Presion_cilindro!O320)/2)</f>
        <v>9.6730900384594172</v>
      </c>
      <c r="I328" s="27">
        <f>I327*(Presion_cilindro!O319/Presion_cilindro!O320)^Presion_cilindro!$B$9+10*(Presion_cilindro!$B$9-1)*Presion_cilindro!$B$33*(IF(Presion_cilindro!N320&gt;(-I$4+Presion_cilindro!$B$34),1-EXP(-Presion_cilindro!$B$16*((Presion_cilindro!N320-(-I$4+Presion_cilindro!$B$34))/Presion_cilindro!$B$35)^(Presion_cilindro!$B$17+1)),0)-IF(Presion_cilindro!N319&gt;(-I$4+Presion_cilindro!$B$34),1-EXP(-Presion_cilindro!$B$16*((Presion_cilindro!N319-(-I$4+Presion_cilindro!$B$34))/Presion_cilindro!$B$35)^(Presion_cilindro!$B$17+1)),0))/((Presion_cilindro!O319+Presion_cilindro!O320)/2)</f>
        <v>9.8525533684664843</v>
      </c>
      <c r="J328" s="27">
        <f>J327*(Presion_cilindro!O319/Presion_cilindro!O320)^Presion_cilindro!$B$9+10*(Presion_cilindro!$B$9-1)*Presion_cilindro!$B$33*(IF(Presion_cilindro!N320&gt;(-J$4+Presion_cilindro!$B$34),1-EXP(-Presion_cilindro!$B$16*((Presion_cilindro!N320-(-J$4+Presion_cilindro!$B$34))/Presion_cilindro!$B$35)^(Presion_cilindro!$B$17+1)),0)-IF(Presion_cilindro!N319&gt;(-J$4+Presion_cilindro!$B$34),1-EXP(-Presion_cilindro!$B$16*((Presion_cilindro!N319-(-J$4+Presion_cilindro!$B$34))/Presion_cilindro!$B$35)^(Presion_cilindro!$B$17+1)),0))/((Presion_cilindro!O319+Presion_cilindro!O320)/2)</f>
        <v>10.822494973979929</v>
      </c>
      <c r="K328" s="27">
        <f>K327*(Presion_cilindro!O319/Presion_cilindro!O320)^Presion_cilindro!$B$9+10*(Presion_cilindro!$B$9-1)*Presion_cilindro!$B$33*(IF(Presion_cilindro!N320&gt;(-K$4+Presion_cilindro!$B$34),1-EXP(-Presion_cilindro!$B$16*((Presion_cilindro!N320-(-K$4+Presion_cilindro!$B$34))/Presion_cilindro!$B$35)^(Presion_cilindro!$B$17+1)),0)-IF(Presion_cilindro!N319&gt;(-K$4+Presion_cilindro!$B$34),1-EXP(-Presion_cilindro!$B$16*((Presion_cilindro!N319-(-K$4+Presion_cilindro!$B$34))/Presion_cilindro!$B$35)^(Presion_cilindro!$B$17+1)),0))/((Presion_cilindro!O319+Presion_cilindro!O320)/2)</f>
        <v>13.126390294708351</v>
      </c>
      <c r="L328" s="27">
        <f>L327*(Presion_cilindro!O319/Presion_cilindro!O320)^Presion_cilindro!$B$9+10*(Presion_cilindro!$B$9-1)*Presion_cilindro!$B$33*(IF(Presion_cilindro!N320&gt;(-L$4+Presion_cilindro!$B$34),1-EXP(-Presion_cilindro!$B$16*((Presion_cilindro!N320-(-L$4+Presion_cilindro!$B$34))/Presion_cilindro!$B$35)^(Presion_cilindro!$B$17+1)),0)-IF(Presion_cilindro!N319&gt;(-L$4+Presion_cilindro!$B$34),1-EXP(-Presion_cilindro!$B$16*((Presion_cilindro!N319-(-L$4+Presion_cilindro!$B$34))/Presion_cilindro!$B$35)^(Presion_cilindro!$B$17+1)),0))/((Presion_cilindro!O319+Presion_cilindro!O320)/2)</f>
        <v>16.911484179920869</v>
      </c>
      <c r="M328" s="27">
        <f>M327*(Presion_cilindro!O319/Presion_cilindro!O320)^Presion_cilindro!$B$9+10*(Presion_cilindro!$B$9-1)*Presion_cilindro!$B$33*(IF(Presion_cilindro!N320&gt;(-M$4+Presion_cilindro!$B$34),1-EXP(-Presion_cilindro!$B$16*((Presion_cilindro!N320-(-M$4+Presion_cilindro!$B$34))/Presion_cilindro!$B$35)^(Presion_cilindro!$B$17+1)),0)-IF(Presion_cilindro!N319&gt;(-M$4+Presion_cilindro!$B$34),1-EXP(-Presion_cilindro!$B$16*((Presion_cilindro!N319-(-M$4+Presion_cilindro!$B$34))/Presion_cilindro!$B$35)^(Presion_cilindro!$B$17+1)),0))/((Presion_cilindro!O319+Presion_cilindro!O320)/2)</f>
        <v>21.734721188048628</v>
      </c>
      <c r="N328" s="27">
        <f>N327*(Presion_cilindro!O319/Presion_cilindro!O320)^Presion_cilindro!$B$9+10*(Presion_cilindro!$B$9-1)*Presion_cilindro!$B$33*(IF(Presion_cilindro!N320&gt;(-N$4+Presion_cilindro!$B$34),1-EXP(-Presion_cilindro!$B$16*((Presion_cilindro!N320-(-N$4+Presion_cilindro!$B$34))/Presion_cilindro!$B$35)^(Presion_cilindro!$B$17+1)),0)-IF(Presion_cilindro!N319&gt;(-N$4+Presion_cilindro!$B$34),1-EXP(-Presion_cilindro!$B$16*((Presion_cilindro!N319-(-N$4+Presion_cilindro!$B$34))/Presion_cilindro!$B$35)^(Presion_cilindro!$B$17+1)),0))/((Presion_cilindro!O319+Presion_cilindro!O320)/2)</f>
        <v>26.689145528195766</v>
      </c>
    </row>
    <row r="329" spans="1:14" x14ac:dyDescent="0.25">
      <c r="A329" s="21">
        <f>Presion_cilindro!N321</f>
        <v>-21.5</v>
      </c>
      <c r="B329" s="27">
        <f>B328*(Presion_cilindro!O320/Presion_cilindro!O321)^Presion_cilindro!$B$9+10*(Presion_cilindro!$B$9-1)*Presion_cilindro!$B$33*(IF(Presion_cilindro!N321&gt;(-B$4+Presion_cilindro!$B$34),1-EXP(-Presion_cilindro!$B$16*((Presion_cilindro!N321-(-B$4+Presion_cilindro!$B$34))/Presion_cilindro!$B$35)^(Presion_cilindro!$B$17+1)),0)-IF(Presion_cilindro!N320&gt;(-B$4+Presion_cilindro!$B$34),1-EXP(-Presion_cilindro!$B$16*((Presion_cilindro!N320-(-B$4+Presion_cilindro!$B$34))/Presion_cilindro!$B$35)^(Presion_cilindro!$B$17+1)),0))/((Presion_cilindro!O320+Presion_cilindro!O321)/2)</f>
        <v>9.8424235837635088</v>
      </c>
      <c r="C329" s="27">
        <f>C328*(Presion_cilindro!O320/Presion_cilindro!O321)^Presion_cilindro!$B$9+10*(Presion_cilindro!$B$9-1)*Presion_cilindro!$B$33*(IF(Presion_cilindro!N321&gt;(-C$4+Presion_cilindro!$B$34),1-EXP(-Presion_cilindro!$B$16*((Presion_cilindro!N321-(-C$4+Presion_cilindro!$B$34))/Presion_cilindro!$B$35)^(Presion_cilindro!$B$17+1)),0)-IF(Presion_cilindro!N320&gt;(-C$4+Presion_cilindro!$B$34),1-EXP(-Presion_cilindro!$B$16*((Presion_cilindro!N320-(-C$4+Presion_cilindro!$B$34))/Presion_cilindro!$B$35)^(Presion_cilindro!$B$17+1)),0))/((Presion_cilindro!O320+Presion_cilindro!O321)/2)</f>
        <v>9.8424235837635088</v>
      </c>
      <c r="D329" s="27">
        <f>D328*(Presion_cilindro!O320/Presion_cilindro!O321)^Presion_cilindro!$B$9+10*(Presion_cilindro!$B$9-1)*Presion_cilindro!$B$33*(IF(Presion_cilindro!N321&gt;(-D$4+Presion_cilindro!$B$34),1-EXP(-Presion_cilindro!$B$16*((Presion_cilindro!N321-(-D$4+Presion_cilindro!$B$34))/Presion_cilindro!$B$35)^(Presion_cilindro!$B$17+1)),0)-IF(Presion_cilindro!N320&gt;(-D$4+Presion_cilindro!$B$34),1-EXP(-Presion_cilindro!$B$16*((Presion_cilindro!N320-(-D$4+Presion_cilindro!$B$34))/Presion_cilindro!$B$35)^(Presion_cilindro!$B$17+1)),0))/((Presion_cilindro!O320+Presion_cilindro!O321)/2)</f>
        <v>9.8424235837635088</v>
      </c>
      <c r="E329" s="27">
        <f>E328*(Presion_cilindro!O320/Presion_cilindro!O321)^Presion_cilindro!$B$9+10*(Presion_cilindro!$B$9-1)*Presion_cilindro!$B$33*(IF(Presion_cilindro!N321&gt;(-E$4+Presion_cilindro!$B$34),1-EXP(-Presion_cilindro!$B$16*((Presion_cilindro!N321-(-E$4+Presion_cilindro!$B$34))/Presion_cilindro!$B$35)^(Presion_cilindro!$B$17+1)),0)-IF(Presion_cilindro!N320&gt;(-E$4+Presion_cilindro!$B$34),1-EXP(-Presion_cilindro!$B$16*((Presion_cilindro!N320-(-E$4+Presion_cilindro!$B$34))/Presion_cilindro!$B$35)^(Presion_cilindro!$B$17+1)),0))/((Presion_cilindro!O320+Presion_cilindro!O321)/2)</f>
        <v>9.8424235837635088</v>
      </c>
      <c r="F329" s="27">
        <f>F328*(Presion_cilindro!O320/Presion_cilindro!O321)^Presion_cilindro!$B$9+10*(Presion_cilindro!$B$9-1)*Presion_cilindro!$B$33*(IF(Presion_cilindro!N321&gt;(-F$4+Presion_cilindro!$B$34),1-EXP(-Presion_cilindro!$B$16*((Presion_cilindro!N321-(-F$4+Presion_cilindro!$B$34))/Presion_cilindro!$B$35)^(Presion_cilindro!$B$17+1)),0)-IF(Presion_cilindro!N320&gt;(-F$4+Presion_cilindro!$B$34),1-EXP(-Presion_cilindro!$B$16*((Presion_cilindro!N320-(-F$4+Presion_cilindro!$B$34))/Presion_cilindro!$B$35)^(Presion_cilindro!$B$17+1)),0))/((Presion_cilindro!O320+Presion_cilindro!O321)/2)</f>
        <v>9.8424235837635088</v>
      </c>
      <c r="G329" s="27">
        <f>G328*(Presion_cilindro!O320/Presion_cilindro!O321)^Presion_cilindro!$B$9+10*(Presion_cilindro!$B$9-1)*Presion_cilindro!$B$33*(IF(Presion_cilindro!N321&gt;(-G$4+Presion_cilindro!$B$34),1-EXP(-Presion_cilindro!$B$16*((Presion_cilindro!N321-(-G$4+Presion_cilindro!$B$34))/Presion_cilindro!$B$35)^(Presion_cilindro!$B$17+1)),0)-IF(Presion_cilindro!N320&gt;(-G$4+Presion_cilindro!$B$34),1-EXP(-Presion_cilindro!$B$16*((Presion_cilindro!N320-(-G$4+Presion_cilindro!$B$34))/Presion_cilindro!$B$35)^(Presion_cilindro!$B$17+1)),0))/((Presion_cilindro!O320+Presion_cilindro!O321)/2)</f>
        <v>9.8424235837635088</v>
      </c>
      <c r="H329" s="27">
        <f>H328*(Presion_cilindro!O320/Presion_cilindro!O321)^Presion_cilindro!$B$9+10*(Presion_cilindro!$B$9-1)*Presion_cilindro!$B$33*(IF(Presion_cilindro!N321&gt;(-H$4+Presion_cilindro!$B$34),1-EXP(-Presion_cilindro!$B$16*((Presion_cilindro!N321-(-H$4+Presion_cilindro!$B$34))/Presion_cilindro!$B$35)^(Presion_cilindro!$B$17+1)),0)-IF(Presion_cilindro!N320&gt;(-H$4+Presion_cilindro!$B$34),1-EXP(-Presion_cilindro!$B$16*((Presion_cilindro!N320-(-H$4+Presion_cilindro!$B$34))/Presion_cilindro!$B$35)^(Presion_cilindro!$B$17+1)),0))/((Presion_cilindro!O320+Presion_cilindro!O321)/2)</f>
        <v>9.8444649296246087</v>
      </c>
      <c r="I329" s="27">
        <f>I328*(Presion_cilindro!O320/Presion_cilindro!O321)^Presion_cilindro!$B$9+10*(Presion_cilindro!$B$9-1)*Presion_cilindro!$B$33*(IF(Presion_cilindro!N321&gt;(-I$4+Presion_cilindro!$B$34),1-EXP(-Presion_cilindro!$B$16*((Presion_cilindro!N321-(-I$4+Presion_cilindro!$B$34))/Presion_cilindro!$B$35)^(Presion_cilindro!$B$17+1)),0)-IF(Presion_cilindro!N320&gt;(-I$4+Presion_cilindro!$B$34),1-EXP(-Presion_cilindro!$B$16*((Presion_cilindro!N320-(-I$4+Presion_cilindro!$B$34))/Presion_cilindro!$B$35)^(Presion_cilindro!$B$17+1)),0))/((Presion_cilindro!O320+Presion_cilindro!O321)/2)</f>
        <v>10.076043547080408</v>
      </c>
      <c r="J329" s="27">
        <f>J328*(Presion_cilindro!O320/Presion_cilindro!O321)^Presion_cilindro!$B$9+10*(Presion_cilindro!$B$9-1)*Presion_cilindro!$B$33*(IF(Presion_cilindro!N321&gt;(-J$4+Presion_cilindro!$B$34),1-EXP(-Presion_cilindro!$B$16*((Presion_cilindro!N321-(-J$4+Presion_cilindro!$B$34))/Presion_cilindro!$B$35)^(Presion_cilindro!$B$17+1)),0)-IF(Presion_cilindro!N320&gt;(-J$4+Presion_cilindro!$B$34),1-EXP(-Presion_cilindro!$B$16*((Presion_cilindro!N320-(-J$4+Presion_cilindro!$B$34))/Presion_cilindro!$B$35)^(Presion_cilindro!$B$17+1)),0))/((Presion_cilindro!O320+Presion_cilindro!O321)/2)</f>
        <v>11.173360807441847</v>
      </c>
      <c r="K329" s="27">
        <f>K328*(Presion_cilindro!O320/Presion_cilindro!O321)^Presion_cilindro!$B$9+10*(Presion_cilindro!$B$9-1)*Presion_cilindro!$B$33*(IF(Presion_cilindro!N321&gt;(-K$4+Presion_cilindro!$B$34),1-EXP(-Presion_cilindro!$B$16*((Presion_cilindro!N321-(-K$4+Presion_cilindro!$B$34))/Presion_cilindro!$B$35)^(Presion_cilindro!$B$17+1)),0)-IF(Presion_cilindro!N320&gt;(-K$4+Presion_cilindro!$B$34),1-EXP(-Presion_cilindro!$B$16*((Presion_cilindro!N320-(-K$4+Presion_cilindro!$B$34))/Presion_cilindro!$B$35)^(Presion_cilindro!$B$17+1)),0))/((Presion_cilindro!O320+Presion_cilindro!O321)/2)</f>
        <v>13.659586421100006</v>
      </c>
      <c r="L329" s="27">
        <f>L328*(Presion_cilindro!O320/Presion_cilindro!O321)^Presion_cilindro!$B$9+10*(Presion_cilindro!$B$9-1)*Presion_cilindro!$B$33*(IF(Presion_cilindro!N321&gt;(-L$4+Presion_cilindro!$B$34),1-EXP(-Presion_cilindro!$B$16*((Presion_cilindro!N321-(-L$4+Presion_cilindro!$B$34))/Presion_cilindro!$B$35)^(Presion_cilindro!$B$17+1)),0)-IF(Presion_cilindro!N320&gt;(-L$4+Presion_cilindro!$B$34),1-EXP(-Presion_cilindro!$B$16*((Presion_cilindro!N320-(-L$4+Presion_cilindro!$B$34))/Presion_cilindro!$B$35)^(Presion_cilindro!$B$17+1)),0))/((Presion_cilindro!O320+Presion_cilindro!O321)/2)</f>
        <v>17.629310380211582</v>
      </c>
      <c r="M329" s="27">
        <f>M328*(Presion_cilindro!O320/Presion_cilindro!O321)^Presion_cilindro!$B$9+10*(Presion_cilindro!$B$9-1)*Presion_cilindro!$B$33*(IF(Presion_cilindro!N321&gt;(-M$4+Presion_cilindro!$B$34),1-EXP(-Presion_cilindro!$B$16*((Presion_cilindro!N321-(-M$4+Presion_cilindro!$B$34))/Presion_cilindro!$B$35)^(Presion_cilindro!$B$17+1)),0)-IF(Presion_cilindro!N320&gt;(-M$4+Presion_cilindro!$B$34),1-EXP(-Presion_cilindro!$B$16*((Presion_cilindro!N320-(-M$4+Presion_cilindro!$B$34))/Presion_cilindro!$B$35)^(Presion_cilindro!$B$17+1)),0))/((Presion_cilindro!O320+Presion_cilindro!O321)/2)</f>
        <v>22.574135282601354</v>
      </c>
      <c r="N329" s="27">
        <f>N328*(Presion_cilindro!O320/Presion_cilindro!O321)^Presion_cilindro!$B$9+10*(Presion_cilindro!$B$9-1)*Presion_cilindro!$B$33*(IF(Presion_cilindro!N321&gt;(-N$4+Presion_cilindro!$B$34),1-EXP(-Presion_cilindro!$B$16*((Presion_cilindro!N321-(-N$4+Presion_cilindro!$B$34))/Presion_cilindro!$B$35)^(Presion_cilindro!$B$17+1)),0)-IF(Presion_cilindro!N320&gt;(-N$4+Presion_cilindro!$B$34),1-EXP(-Presion_cilindro!$B$16*((Presion_cilindro!N320-(-N$4+Presion_cilindro!$B$34))/Presion_cilindro!$B$35)^(Presion_cilindro!$B$17+1)),0))/((Presion_cilindro!O320+Presion_cilindro!O321)/2)</f>
        <v>27.551332076860632</v>
      </c>
    </row>
    <row r="330" spans="1:14" x14ac:dyDescent="0.25">
      <c r="A330" s="21">
        <f>Presion_cilindro!N322</f>
        <v>-21</v>
      </c>
      <c r="B330" s="27">
        <f>B329*(Presion_cilindro!O321/Presion_cilindro!O322)^Presion_cilindro!$B$9+10*(Presion_cilindro!$B$9-1)*Presion_cilindro!$B$33*(IF(Presion_cilindro!N322&gt;(-B$4+Presion_cilindro!$B$34),1-EXP(-Presion_cilindro!$B$16*((Presion_cilindro!N322-(-B$4+Presion_cilindro!$B$34))/Presion_cilindro!$B$35)^(Presion_cilindro!$B$17+1)),0)-IF(Presion_cilindro!N321&gt;(-B$4+Presion_cilindro!$B$34),1-EXP(-Presion_cilindro!$B$16*((Presion_cilindro!N321-(-B$4+Presion_cilindro!$B$34))/Presion_cilindro!$B$35)^(Presion_cilindro!$B$17+1)),0))/((Presion_cilindro!O321+Presion_cilindro!O322)/2)</f>
        <v>10.013740379990242</v>
      </c>
      <c r="C330" s="27">
        <f>C329*(Presion_cilindro!O321/Presion_cilindro!O322)^Presion_cilindro!$B$9+10*(Presion_cilindro!$B$9-1)*Presion_cilindro!$B$33*(IF(Presion_cilindro!N322&gt;(-C$4+Presion_cilindro!$B$34),1-EXP(-Presion_cilindro!$B$16*((Presion_cilindro!N322-(-C$4+Presion_cilindro!$B$34))/Presion_cilindro!$B$35)^(Presion_cilindro!$B$17+1)),0)-IF(Presion_cilindro!N321&gt;(-C$4+Presion_cilindro!$B$34),1-EXP(-Presion_cilindro!$B$16*((Presion_cilindro!N321-(-C$4+Presion_cilindro!$B$34))/Presion_cilindro!$B$35)^(Presion_cilindro!$B$17+1)),0))/((Presion_cilindro!O321+Presion_cilindro!O322)/2)</f>
        <v>10.013740379990242</v>
      </c>
      <c r="D330" s="27">
        <f>D329*(Presion_cilindro!O321/Presion_cilindro!O322)^Presion_cilindro!$B$9+10*(Presion_cilindro!$B$9-1)*Presion_cilindro!$B$33*(IF(Presion_cilindro!N322&gt;(-D$4+Presion_cilindro!$B$34),1-EXP(-Presion_cilindro!$B$16*((Presion_cilindro!N322-(-D$4+Presion_cilindro!$B$34))/Presion_cilindro!$B$35)^(Presion_cilindro!$B$17+1)),0)-IF(Presion_cilindro!N321&gt;(-D$4+Presion_cilindro!$B$34),1-EXP(-Presion_cilindro!$B$16*((Presion_cilindro!N321-(-D$4+Presion_cilindro!$B$34))/Presion_cilindro!$B$35)^(Presion_cilindro!$B$17+1)),0))/((Presion_cilindro!O321+Presion_cilindro!O322)/2)</f>
        <v>10.013740379990242</v>
      </c>
      <c r="E330" s="27">
        <f>E329*(Presion_cilindro!O321/Presion_cilindro!O322)^Presion_cilindro!$B$9+10*(Presion_cilindro!$B$9-1)*Presion_cilindro!$B$33*(IF(Presion_cilindro!N322&gt;(-E$4+Presion_cilindro!$B$34),1-EXP(-Presion_cilindro!$B$16*((Presion_cilindro!N322-(-E$4+Presion_cilindro!$B$34))/Presion_cilindro!$B$35)^(Presion_cilindro!$B$17+1)),0)-IF(Presion_cilindro!N321&gt;(-E$4+Presion_cilindro!$B$34),1-EXP(-Presion_cilindro!$B$16*((Presion_cilindro!N321-(-E$4+Presion_cilindro!$B$34))/Presion_cilindro!$B$35)^(Presion_cilindro!$B$17+1)),0))/((Presion_cilindro!O321+Presion_cilindro!O322)/2)</f>
        <v>10.013740379990242</v>
      </c>
      <c r="F330" s="27">
        <f>F329*(Presion_cilindro!O321/Presion_cilindro!O322)^Presion_cilindro!$B$9+10*(Presion_cilindro!$B$9-1)*Presion_cilindro!$B$33*(IF(Presion_cilindro!N322&gt;(-F$4+Presion_cilindro!$B$34),1-EXP(-Presion_cilindro!$B$16*((Presion_cilindro!N322-(-F$4+Presion_cilindro!$B$34))/Presion_cilindro!$B$35)^(Presion_cilindro!$B$17+1)),0)-IF(Presion_cilindro!N321&gt;(-F$4+Presion_cilindro!$B$34),1-EXP(-Presion_cilindro!$B$16*((Presion_cilindro!N321-(-F$4+Presion_cilindro!$B$34))/Presion_cilindro!$B$35)^(Presion_cilindro!$B$17+1)),0))/((Presion_cilindro!O321+Presion_cilindro!O322)/2)</f>
        <v>10.013740379990242</v>
      </c>
      <c r="G330" s="27">
        <f>G329*(Presion_cilindro!O321/Presion_cilindro!O322)^Presion_cilindro!$B$9+10*(Presion_cilindro!$B$9-1)*Presion_cilindro!$B$33*(IF(Presion_cilindro!N322&gt;(-G$4+Presion_cilindro!$B$34),1-EXP(-Presion_cilindro!$B$16*((Presion_cilindro!N322-(-G$4+Presion_cilindro!$B$34))/Presion_cilindro!$B$35)^(Presion_cilindro!$B$17+1)),0)-IF(Presion_cilindro!N321&gt;(-G$4+Presion_cilindro!$B$34),1-EXP(-Presion_cilindro!$B$16*((Presion_cilindro!N321-(-G$4+Presion_cilindro!$B$34))/Presion_cilindro!$B$35)^(Presion_cilindro!$B$17+1)),0))/((Presion_cilindro!O321+Presion_cilindro!O322)/2)</f>
        <v>10.013740379990242</v>
      </c>
      <c r="H330" s="27">
        <f>H329*(Presion_cilindro!O321/Presion_cilindro!O322)^Presion_cilindro!$B$9+10*(Presion_cilindro!$B$9-1)*Presion_cilindro!$B$33*(IF(Presion_cilindro!N322&gt;(-H$4+Presion_cilindro!$B$34),1-EXP(-Presion_cilindro!$B$16*((Presion_cilindro!N322-(-H$4+Presion_cilindro!$B$34))/Presion_cilindro!$B$35)^(Presion_cilindro!$B$17+1)),0)-IF(Presion_cilindro!N321&gt;(-H$4+Presion_cilindro!$B$34),1-EXP(-Presion_cilindro!$B$16*((Presion_cilindro!N321-(-H$4+Presion_cilindro!$B$34))/Presion_cilindro!$B$35)^(Presion_cilindro!$B$17+1)),0))/((Presion_cilindro!O321+Presion_cilindro!O322)/2)</f>
        <v>10.019235023104711</v>
      </c>
      <c r="I330" s="27">
        <f>I329*(Presion_cilindro!O321/Presion_cilindro!O322)^Presion_cilindro!$B$9+10*(Presion_cilindro!$B$9-1)*Presion_cilindro!$B$33*(IF(Presion_cilindro!N322&gt;(-I$4+Presion_cilindro!$B$34),1-EXP(-Presion_cilindro!$B$16*((Presion_cilindro!N322-(-I$4+Presion_cilindro!$B$34))/Presion_cilindro!$B$35)^(Presion_cilindro!$B$17+1)),0)-IF(Presion_cilindro!N321&gt;(-I$4+Presion_cilindro!$B$34),1-EXP(-Presion_cilindro!$B$16*((Presion_cilindro!N321-(-I$4+Presion_cilindro!$B$34))/Presion_cilindro!$B$35)^(Presion_cilindro!$B$17+1)),0))/((Presion_cilindro!O321+Presion_cilindro!O322)/2)</f>
        <v>10.311277741595761</v>
      </c>
      <c r="J330" s="27">
        <f>J329*(Presion_cilindro!O321/Presion_cilindro!O322)^Presion_cilindro!$B$9+10*(Presion_cilindro!$B$9-1)*Presion_cilindro!$B$33*(IF(Presion_cilindro!N322&gt;(-J$4+Presion_cilindro!$B$34),1-EXP(-Presion_cilindro!$B$16*((Presion_cilindro!N322-(-J$4+Presion_cilindro!$B$34))/Presion_cilindro!$B$35)^(Presion_cilindro!$B$17+1)),0)-IF(Presion_cilindro!N321&gt;(-J$4+Presion_cilindro!$B$34),1-EXP(-Presion_cilindro!$B$16*((Presion_cilindro!N321-(-J$4+Presion_cilindro!$B$34))/Presion_cilindro!$B$35)^(Presion_cilindro!$B$17+1)),0))/((Presion_cilindro!O321+Presion_cilindro!O322)/2)</f>
        <v>11.544519125179404</v>
      </c>
      <c r="K330" s="27">
        <f>K329*(Presion_cilindro!O321/Presion_cilindro!O322)^Presion_cilindro!$B$9+10*(Presion_cilindro!$B$9-1)*Presion_cilindro!$B$33*(IF(Presion_cilindro!N322&gt;(-K$4+Presion_cilindro!$B$34),1-EXP(-Presion_cilindro!$B$16*((Presion_cilindro!N322-(-K$4+Presion_cilindro!$B$34))/Presion_cilindro!$B$35)^(Presion_cilindro!$B$17+1)),0)-IF(Presion_cilindro!N321&gt;(-K$4+Presion_cilindro!$B$34),1-EXP(-Presion_cilindro!$B$16*((Presion_cilindro!N321-(-K$4+Presion_cilindro!$B$34))/Presion_cilindro!$B$35)^(Presion_cilindro!$B$17+1)),0))/((Presion_cilindro!O321+Presion_cilindro!O322)/2)</f>
        <v>14.218201302729367</v>
      </c>
      <c r="L330" s="27">
        <f>L329*(Presion_cilindro!O321/Presion_cilindro!O322)^Presion_cilindro!$B$9+10*(Presion_cilindro!$B$9-1)*Presion_cilindro!$B$33*(IF(Presion_cilindro!N322&gt;(-L$4+Presion_cilindro!$B$34),1-EXP(-Presion_cilindro!$B$16*((Presion_cilindro!N322-(-L$4+Presion_cilindro!$B$34))/Presion_cilindro!$B$35)^(Presion_cilindro!$B$17+1)),0)-IF(Presion_cilindro!N321&gt;(-L$4+Presion_cilindro!$B$34),1-EXP(-Presion_cilindro!$B$16*((Presion_cilindro!N321-(-L$4+Presion_cilindro!$B$34))/Presion_cilindro!$B$35)^(Presion_cilindro!$B$17+1)),0))/((Presion_cilindro!O321+Presion_cilindro!O322)/2)</f>
        <v>18.370838415708334</v>
      </c>
      <c r="M330" s="27">
        <f>M329*(Presion_cilindro!O321/Presion_cilindro!O322)^Presion_cilindro!$B$9+10*(Presion_cilindro!$B$9-1)*Presion_cilindro!$B$33*(IF(Presion_cilindro!N322&gt;(-M$4+Presion_cilindro!$B$34),1-EXP(-Presion_cilindro!$B$16*((Presion_cilindro!N322-(-M$4+Presion_cilindro!$B$34))/Presion_cilindro!$B$35)^(Presion_cilindro!$B$17+1)),0)-IF(Presion_cilindro!N321&gt;(-M$4+Presion_cilindro!$B$34),1-EXP(-Presion_cilindro!$B$16*((Presion_cilindro!N321-(-M$4+Presion_cilindro!$B$34))/Presion_cilindro!$B$35)^(Presion_cilindro!$B$17+1)),0))/((Presion_cilindro!O321+Presion_cilindro!O322)/2)</f>
        <v>23.428847946810794</v>
      </c>
      <c r="N330" s="27">
        <f>N329*(Presion_cilindro!O321/Presion_cilindro!O322)^Presion_cilindro!$B$9+10*(Presion_cilindro!$B$9-1)*Presion_cilindro!$B$33*(IF(Presion_cilindro!N322&gt;(-N$4+Presion_cilindro!$B$34),1-EXP(-Presion_cilindro!$B$16*((Presion_cilindro!N322-(-N$4+Presion_cilindro!$B$34))/Presion_cilindro!$B$35)^(Presion_cilindro!$B$17+1)),0)-IF(Presion_cilindro!N321&gt;(-N$4+Presion_cilindro!$B$34),1-EXP(-Presion_cilindro!$B$16*((Presion_cilindro!N321-(-N$4+Presion_cilindro!$B$34))/Presion_cilindro!$B$35)^(Presion_cilindro!$B$17+1)),0))/((Presion_cilindro!O321+Presion_cilindro!O322)/2)</f>
        <v>28.418597796989228</v>
      </c>
    </row>
    <row r="331" spans="1:14" x14ac:dyDescent="0.25">
      <c r="A331" s="21">
        <f>Presion_cilindro!N323</f>
        <v>-20.5</v>
      </c>
      <c r="B331" s="27">
        <f>B330*(Presion_cilindro!O322/Presion_cilindro!O323)^Presion_cilindro!$B$9+10*(Presion_cilindro!$B$9-1)*Presion_cilindro!$B$33*(IF(Presion_cilindro!N323&gt;(-B$4+Presion_cilindro!$B$34),1-EXP(-Presion_cilindro!$B$16*((Presion_cilindro!N323-(-B$4+Presion_cilindro!$B$34))/Presion_cilindro!$B$35)^(Presion_cilindro!$B$17+1)),0)-IF(Presion_cilindro!N322&gt;(-B$4+Presion_cilindro!$B$34),1-EXP(-Presion_cilindro!$B$16*((Presion_cilindro!N322-(-B$4+Presion_cilindro!$B$34))/Presion_cilindro!$B$35)^(Presion_cilindro!$B$17+1)),0))/((Presion_cilindro!O322+Presion_cilindro!O323)/2)</f>
        <v>10.186435870339222</v>
      </c>
      <c r="C331" s="27">
        <f>C330*(Presion_cilindro!O322/Presion_cilindro!O323)^Presion_cilindro!$B$9+10*(Presion_cilindro!$B$9-1)*Presion_cilindro!$B$33*(IF(Presion_cilindro!N323&gt;(-C$4+Presion_cilindro!$B$34),1-EXP(-Presion_cilindro!$B$16*((Presion_cilindro!N323-(-C$4+Presion_cilindro!$B$34))/Presion_cilindro!$B$35)^(Presion_cilindro!$B$17+1)),0)-IF(Presion_cilindro!N322&gt;(-C$4+Presion_cilindro!$B$34),1-EXP(-Presion_cilindro!$B$16*((Presion_cilindro!N322-(-C$4+Presion_cilindro!$B$34))/Presion_cilindro!$B$35)^(Presion_cilindro!$B$17+1)),0))/((Presion_cilindro!O322+Presion_cilindro!O323)/2)</f>
        <v>10.186435870339222</v>
      </c>
      <c r="D331" s="27">
        <f>D330*(Presion_cilindro!O322/Presion_cilindro!O323)^Presion_cilindro!$B$9+10*(Presion_cilindro!$B$9-1)*Presion_cilindro!$B$33*(IF(Presion_cilindro!N323&gt;(-D$4+Presion_cilindro!$B$34),1-EXP(-Presion_cilindro!$B$16*((Presion_cilindro!N323-(-D$4+Presion_cilindro!$B$34))/Presion_cilindro!$B$35)^(Presion_cilindro!$B$17+1)),0)-IF(Presion_cilindro!N322&gt;(-D$4+Presion_cilindro!$B$34),1-EXP(-Presion_cilindro!$B$16*((Presion_cilindro!N322-(-D$4+Presion_cilindro!$B$34))/Presion_cilindro!$B$35)^(Presion_cilindro!$B$17+1)),0))/((Presion_cilindro!O322+Presion_cilindro!O323)/2)</f>
        <v>10.186435870339222</v>
      </c>
      <c r="E331" s="27">
        <f>E330*(Presion_cilindro!O322/Presion_cilindro!O323)^Presion_cilindro!$B$9+10*(Presion_cilindro!$B$9-1)*Presion_cilindro!$B$33*(IF(Presion_cilindro!N323&gt;(-E$4+Presion_cilindro!$B$34),1-EXP(-Presion_cilindro!$B$16*((Presion_cilindro!N323-(-E$4+Presion_cilindro!$B$34))/Presion_cilindro!$B$35)^(Presion_cilindro!$B$17+1)),0)-IF(Presion_cilindro!N322&gt;(-E$4+Presion_cilindro!$B$34),1-EXP(-Presion_cilindro!$B$16*((Presion_cilindro!N322-(-E$4+Presion_cilindro!$B$34))/Presion_cilindro!$B$35)^(Presion_cilindro!$B$17+1)),0))/((Presion_cilindro!O322+Presion_cilindro!O323)/2)</f>
        <v>10.186435870339222</v>
      </c>
      <c r="F331" s="27">
        <f>F330*(Presion_cilindro!O322/Presion_cilindro!O323)^Presion_cilindro!$B$9+10*(Presion_cilindro!$B$9-1)*Presion_cilindro!$B$33*(IF(Presion_cilindro!N323&gt;(-F$4+Presion_cilindro!$B$34),1-EXP(-Presion_cilindro!$B$16*((Presion_cilindro!N323-(-F$4+Presion_cilindro!$B$34))/Presion_cilindro!$B$35)^(Presion_cilindro!$B$17+1)),0)-IF(Presion_cilindro!N322&gt;(-F$4+Presion_cilindro!$B$34),1-EXP(-Presion_cilindro!$B$16*((Presion_cilindro!N322-(-F$4+Presion_cilindro!$B$34))/Presion_cilindro!$B$35)^(Presion_cilindro!$B$17+1)),0))/((Presion_cilindro!O322+Presion_cilindro!O323)/2)</f>
        <v>10.186435870339222</v>
      </c>
      <c r="G331" s="27">
        <f>G330*(Presion_cilindro!O322/Presion_cilindro!O323)^Presion_cilindro!$B$9+10*(Presion_cilindro!$B$9-1)*Presion_cilindro!$B$33*(IF(Presion_cilindro!N323&gt;(-G$4+Presion_cilindro!$B$34),1-EXP(-Presion_cilindro!$B$16*((Presion_cilindro!N323-(-G$4+Presion_cilindro!$B$34))/Presion_cilindro!$B$35)^(Presion_cilindro!$B$17+1)),0)-IF(Presion_cilindro!N322&gt;(-G$4+Presion_cilindro!$B$34),1-EXP(-Presion_cilindro!$B$16*((Presion_cilindro!N322-(-G$4+Presion_cilindro!$B$34))/Presion_cilindro!$B$35)^(Presion_cilindro!$B$17+1)),0))/((Presion_cilindro!O322+Presion_cilindro!O323)/2)</f>
        <v>10.186435870339222</v>
      </c>
      <c r="H331" s="27">
        <f>H330*(Presion_cilindro!O322/Presion_cilindro!O323)^Presion_cilindro!$B$9+10*(Presion_cilindro!$B$9-1)*Presion_cilindro!$B$33*(IF(Presion_cilindro!N323&gt;(-H$4+Presion_cilindro!$B$34),1-EXP(-Presion_cilindro!$B$16*((Presion_cilindro!N323-(-H$4+Presion_cilindro!$B$34))/Presion_cilindro!$B$35)^(Presion_cilindro!$B$17+1)),0)-IF(Presion_cilindro!N322&gt;(-H$4+Presion_cilindro!$B$34),1-EXP(-Presion_cilindro!$B$16*((Presion_cilindro!N322-(-H$4+Presion_cilindro!$B$34))/Presion_cilindro!$B$35)^(Presion_cilindro!$B$17+1)),0))/((Presion_cilindro!O322+Presion_cilindro!O323)/2)</f>
        <v>10.198057880394828</v>
      </c>
      <c r="I331" s="27">
        <f>I330*(Presion_cilindro!O322/Presion_cilindro!O323)^Presion_cilindro!$B$9+10*(Presion_cilindro!$B$9-1)*Presion_cilindro!$B$33*(IF(Presion_cilindro!N323&gt;(-I$4+Presion_cilindro!$B$34),1-EXP(-Presion_cilindro!$B$16*((Presion_cilindro!N323-(-I$4+Presion_cilindro!$B$34))/Presion_cilindro!$B$35)^(Presion_cilindro!$B$17+1)),0)-IF(Presion_cilindro!N322&gt;(-I$4+Presion_cilindro!$B$34),1-EXP(-Presion_cilindro!$B$16*((Presion_cilindro!N322-(-I$4+Presion_cilindro!$B$34))/Presion_cilindro!$B$35)^(Presion_cilindro!$B$17+1)),0))/((Presion_cilindro!O322+Presion_cilindro!O323)/2)</f>
        <v>10.559138872888333</v>
      </c>
      <c r="J331" s="27">
        <f>J330*(Presion_cilindro!O322/Presion_cilindro!O323)^Presion_cilindro!$B$9+10*(Presion_cilindro!$B$9-1)*Presion_cilindro!$B$33*(IF(Presion_cilindro!N323&gt;(-J$4+Presion_cilindro!$B$34),1-EXP(-Presion_cilindro!$B$16*((Presion_cilindro!N323-(-J$4+Presion_cilindro!$B$34))/Presion_cilindro!$B$35)^(Presion_cilindro!$B$17+1)),0)-IF(Presion_cilindro!N322&gt;(-J$4+Presion_cilindro!$B$34),1-EXP(-Presion_cilindro!$B$16*((Presion_cilindro!N322-(-J$4+Presion_cilindro!$B$34))/Presion_cilindro!$B$35)^(Presion_cilindro!$B$17+1)),0))/((Presion_cilindro!O322+Presion_cilindro!O323)/2)</f>
        <v>11.936753620134022</v>
      </c>
      <c r="K331" s="27">
        <f>K330*(Presion_cilindro!O322/Presion_cilindro!O323)^Presion_cilindro!$B$9+10*(Presion_cilindro!$B$9-1)*Presion_cilindro!$B$33*(IF(Presion_cilindro!N323&gt;(-K$4+Presion_cilindro!$B$34),1-EXP(-Presion_cilindro!$B$16*((Presion_cilindro!N323-(-K$4+Presion_cilindro!$B$34))/Presion_cilindro!$B$35)^(Presion_cilindro!$B$17+1)),0)-IF(Presion_cilindro!N322&gt;(-K$4+Presion_cilindro!$B$34),1-EXP(-Presion_cilindro!$B$16*((Presion_cilindro!N322-(-K$4+Presion_cilindro!$B$34))/Presion_cilindro!$B$35)^(Presion_cilindro!$B$17+1)),0))/((Presion_cilindro!O322+Presion_cilindro!O323)/2)</f>
        <v>14.802434485185181</v>
      </c>
      <c r="L331" s="27">
        <f>L330*(Presion_cilindro!O322/Presion_cilindro!O323)^Presion_cilindro!$B$9+10*(Presion_cilindro!$B$9-1)*Presion_cilindro!$B$33*(IF(Presion_cilindro!N323&gt;(-L$4+Presion_cilindro!$B$34),1-EXP(-Presion_cilindro!$B$16*((Presion_cilindro!N323-(-L$4+Presion_cilindro!$B$34))/Presion_cilindro!$B$35)^(Presion_cilindro!$B$17+1)),0)-IF(Presion_cilindro!N322&gt;(-L$4+Presion_cilindro!$B$34),1-EXP(-Presion_cilindro!$B$16*((Presion_cilindro!N322-(-L$4+Presion_cilindro!$B$34))/Presion_cilindro!$B$35)^(Presion_cilindro!$B$17+1)),0))/((Presion_cilindro!O322+Presion_cilindro!O323)/2)</f>
        <v>19.135379954922357</v>
      </c>
      <c r="M331" s="27">
        <f>M330*(Presion_cilindro!O322/Presion_cilindro!O323)^Presion_cilindro!$B$9+10*(Presion_cilindro!$B$9-1)*Presion_cilindro!$B$33*(IF(Presion_cilindro!N323&gt;(-M$4+Presion_cilindro!$B$34),1-EXP(-Presion_cilindro!$B$16*((Presion_cilindro!N323-(-M$4+Presion_cilindro!$B$34))/Presion_cilindro!$B$35)^(Presion_cilindro!$B$17+1)),0)-IF(Presion_cilindro!N322&gt;(-M$4+Presion_cilindro!$B$34),1-EXP(-Presion_cilindro!$B$16*((Presion_cilindro!N322-(-M$4+Presion_cilindro!$B$34))/Presion_cilindro!$B$35)^(Presion_cilindro!$B$17+1)),0))/((Presion_cilindro!O322+Presion_cilindro!O323)/2)</f>
        <v>24.297505082556452</v>
      </c>
      <c r="N331" s="27">
        <f>N330*(Presion_cilindro!O322/Presion_cilindro!O323)^Presion_cilindro!$B$9+10*(Presion_cilindro!$B$9-1)*Presion_cilindro!$B$33*(IF(Presion_cilindro!N323&gt;(-N$4+Presion_cilindro!$B$34),1-EXP(-Presion_cilindro!$B$16*((Presion_cilindro!N323-(-N$4+Presion_cilindro!$B$34))/Presion_cilindro!$B$35)^(Presion_cilindro!$B$17+1)),0)-IF(Presion_cilindro!N322&gt;(-N$4+Presion_cilindro!$B$34),1-EXP(-Presion_cilindro!$B$16*((Presion_cilindro!N322-(-N$4+Presion_cilindro!$B$34))/Presion_cilindro!$B$35)^(Presion_cilindro!$B$17+1)),0))/((Presion_cilindro!O322+Presion_cilindro!O323)/2)</f>
        <v>29.289574036757362</v>
      </c>
    </row>
    <row r="332" spans="1:14" x14ac:dyDescent="0.25">
      <c r="A332" s="21">
        <f>Presion_cilindro!N324</f>
        <v>-20</v>
      </c>
      <c r="B332" s="27">
        <f>B331*(Presion_cilindro!O323/Presion_cilindro!O324)^Presion_cilindro!$B$9+10*(Presion_cilindro!$B$9-1)*Presion_cilindro!$B$33*(IF(Presion_cilindro!N324&gt;(-B$4+Presion_cilindro!$B$34),1-EXP(-Presion_cilindro!$B$16*((Presion_cilindro!N324-(-B$4+Presion_cilindro!$B$34))/Presion_cilindro!$B$35)^(Presion_cilindro!$B$17+1)),0)-IF(Presion_cilindro!N323&gt;(-B$4+Presion_cilindro!$B$34),1-EXP(-Presion_cilindro!$B$16*((Presion_cilindro!N323-(-B$4+Presion_cilindro!$B$34))/Presion_cilindro!$B$35)^(Presion_cilindro!$B$17+1)),0))/((Presion_cilindro!O323+Presion_cilindro!O324)/2)</f>
        <v>10.360363113089631</v>
      </c>
      <c r="C332" s="27">
        <f>C331*(Presion_cilindro!O323/Presion_cilindro!O324)^Presion_cilindro!$B$9+10*(Presion_cilindro!$B$9-1)*Presion_cilindro!$B$33*(IF(Presion_cilindro!N324&gt;(-C$4+Presion_cilindro!$B$34),1-EXP(-Presion_cilindro!$B$16*((Presion_cilindro!N324-(-C$4+Presion_cilindro!$B$34))/Presion_cilindro!$B$35)^(Presion_cilindro!$B$17+1)),0)-IF(Presion_cilindro!N323&gt;(-C$4+Presion_cilindro!$B$34),1-EXP(-Presion_cilindro!$B$16*((Presion_cilindro!N323-(-C$4+Presion_cilindro!$B$34))/Presion_cilindro!$B$35)^(Presion_cilindro!$B$17+1)),0))/((Presion_cilindro!O323+Presion_cilindro!O324)/2)</f>
        <v>10.360363113089631</v>
      </c>
      <c r="D332" s="27">
        <f>D331*(Presion_cilindro!O323/Presion_cilindro!O324)^Presion_cilindro!$B$9+10*(Presion_cilindro!$B$9-1)*Presion_cilindro!$B$33*(IF(Presion_cilindro!N324&gt;(-D$4+Presion_cilindro!$B$34),1-EXP(-Presion_cilindro!$B$16*((Presion_cilindro!N324-(-D$4+Presion_cilindro!$B$34))/Presion_cilindro!$B$35)^(Presion_cilindro!$B$17+1)),0)-IF(Presion_cilindro!N323&gt;(-D$4+Presion_cilindro!$B$34),1-EXP(-Presion_cilindro!$B$16*((Presion_cilindro!N323-(-D$4+Presion_cilindro!$B$34))/Presion_cilindro!$B$35)^(Presion_cilindro!$B$17+1)),0))/((Presion_cilindro!O323+Presion_cilindro!O324)/2)</f>
        <v>10.360363113089631</v>
      </c>
      <c r="E332" s="27">
        <f>E331*(Presion_cilindro!O323/Presion_cilindro!O324)^Presion_cilindro!$B$9+10*(Presion_cilindro!$B$9-1)*Presion_cilindro!$B$33*(IF(Presion_cilindro!N324&gt;(-E$4+Presion_cilindro!$B$34),1-EXP(-Presion_cilindro!$B$16*((Presion_cilindro!N324-(-E$4+Presion_cilindro!$B$34))/Presion_cilindro!$B$35)^(Presion_cilindro!$B$17+1)),0)-IF(Presion_cilindro!N323&gt;(-E$4+Presion_cilindro!$B$34),1-EXP(-Presion_cilindro!$B$16*((Presion_cilindro!N323-(-E$4+Presion_cilindro!$B$34))/Presion_cilindro!$B$35)^(Presion_cilindro!$B$17+1)),0))/((Presion_cilindro!O323+Presion_cilindro!O324)/2)</f>
        <v>10.360363113089631</v>
      </c>
      <c r="F332" s="27">
        <f>F331*(Presion_cilindro!O323/Presion_cilindro!O324)^Presion_cilindro!$B$9+10*(Presion_cilindro!$B$9-1)*Presion_cilindro!$B$33*(IF(Presion_cilindro!N324&gt;(-F$4+Presion_cilindro!$B$34),1-EXP(-Presion_cilindro!$B$16*((Presion_cilindro!N324-(-F$4+Presion_cilindro!$B$34))/Presion_cilindro!$B$35)^(Presion_cilindro!$B$17+1)),0)-IF(Presion_cilindro!N323&gt;(-F$4+Presion_cilindro!$B$34),1-EXP(-Presion_cilindro!$B$16*((Presion_cilindro!N323-(-F$4+Presion_cilindro!$B$34))/Presion_cilindro!$B$35)^(Presion_cilindro!$B$17+1)),0))/((Presion_cilindro!O323+Presion_cilindro!O324)/2)</f>
        <v>10.360363113089631</v>
      </c>
      <c r="G332" s="27">
        <f>G331*(Presion_cilindro!O323/Presion_cilindro!O324)^Presion_cilindro!$B$9+10*(Presion_cilindro!$B$9-1)*Presion_cilindro!$B$33*(IF(Presion_cilindro!N324&gt;(-G$4+Presion_cilindro!$B$34),1-EXP(-Presion_cilindro!$B$16*((Presion_cilindro!N324-(-G$4+Presion_cilindro!$B$34))/Presion_cilindro!$B$35)^(Presion_cilindro!$B$17+1)),0)-IF(Presion_cilindro!N323&gt;(-G$4+Presion_cilindro!$B$34),1-EXP(-Presion_cilindro!$B$16*((Presion_cilindro!N323-(-G$4+Presion_cilindro!$B$34))/Presion_cilindro!$B$35)^(Presion_cilindro!$B$17+1)),0))/((Presion_cilindro!O323+Presion_cilindro!O324)/2)</f>
        <v>10.360363113089631</v>
      </c>
      <c r="H332" s="27">
        <f>H331*(Presion_cilindro!O323/Presion_cilindro!O324)^Presion_cilindro!$B$9+10*(Presion_cilindro!$B$9-1)*Presion_cilindro!$B$33*(IF(Presion_cilindro!N324&gt;(-H$4+Presion_cilindro!$B$34),1-EXP(-Presion_cilindro!$B$16*((Presion_cilindro!N324-(-H$4+Presion_cilindro!$B$34))/Presion_cilindro!$B$35)^(Presion_cilindro!$B$17+1)),0)-IF(Presion_cilindro!N323&gt;(-H$4+Presion_cilindro!$B$34),1-EXP(-Presion_cilindro!$B$16*((Presion_cilindro!N323-(-H$4+Presion_cilindro!$B$34))/Presion_cilindro!$B$35)^(Presion_cilindro!$B$17+1)),0))/((Presion_cilindro!O323+Presion_cilindro!O324)/2)</f>
        <v>10.381618344254658</v>
      </c>
      <c r="I332" s="27">
        <f>I331*(Presion_cilindro!O323/Presion_cilindro!O324)^Presion_cilindro!$B$9+10*(Presion_cilindro!$B$9-1)*Presion_cilindro!$B$33*(IF(Presion_cilindro!N324&gt;(-I$4+Presion_cilindro!$B$34),1-EXP(-Presion_cilindro!$B$16*((Presion_cilindro!N324-(-I$4+Presion_cilindro!$B$34))/Presion_cilindro!$B$35)^(Presion_cilindro!$B$17+1)),0)-IF(Presion_cilindro!N323&gt;(-I$4+Presion_cilindro!$B$34),1-EXP(-Presion_cilindro!$B$16*((Presion_cilindro!N323-(-I$4+Presion_cilindro!$B$34))/Presion_cilindro!$B$35)^(Presion_cilindro!$B$17+1)),0))/((Presion_cilindro!O323+Presion_cilindro!O324)/2)</f>
        <v>10.820513746723908</v>
      </c>
      <c r="J332" s="27">
        <f>J331*(Presion_cilindro!O323/Presion_cilindro!O324)^Presion_cilindro!$B$9+10*(Presion_cilindro!$B$9-1)*Presion_cilindro!$B$33*(IF(Presion_cilindro!N324&gt;(-J$4+Presion_cilindro!$B$34),1-EXP(-Presion_cilindro!$B$16*((Presion_cilindro!N324-(-J$4+Presion_cilindro!$B$34))/Presion_cilindro!$B$35)^(Presion_cilindro!$B$17+1)),0)-IF(Presion_cilindro!N323&gt;(-J$4+Presion_cilindro!$B$34),1-EXP(-Presion_cilindro!$B$16*((Presion_cilindro!N323-(-J$4+Presion_cilindro!$B$34))/Presion_cilindro!$B$35)^(Presion_cilindro!$B$17+1)),0))/((Presion_cilindro!O323+Presion_cilindro!O324)/2)</f>
        <v>12.350796675895886</v>
      </c>
      <c r="K332" s="27">
        <f>K331*(Presion_cilindro!O323/Presion_cilindro!O324)^Presion_cilindro!$B$9+10*(Presion_cilindro!$B$9-1)*Presion_cilindro!$B$33*(IF(Presion_cilindro!N324&gt;(-K$4+Presion_cilindro!$B$34),1-EXP(-Presion_cilindro!$B$16*((Presion_cilindro!N324-(-K$4+Presion_cilindro!$B$34))/Presion_cilindro!$B$35)^(Presion_cilindro!$B$17+1)),0)-IF(Presion_cilindro!N323&gt;(-K$4+Presion_cilindro!$B$34),1-EXP(-Presion_cilindro!$B$16*((Presion_cilindro!N323-(-K$4+Presion_cilindro!$B$34))/Presion_cilindro!$B$35)^(Presion_cilindro!$B$17+1)),0))/((Presion_cilindro!O323+Presion_cilindro!O324)/2)</f>
        <v>15.412371862150689</v>
      </c>
      <c r="L332" s="27">
        <f>L331*(Presion_cilindro!O323/Presion_cilindro!O324)^Presion_cilindro!$B$9+10*(Presion_cilindro!$B$9-1)*Presion_cilindro!$B$33*(IF(Presion_cilindro!N324&gt;(-L$4+Presion_cilindro!$B$34),1-EXP(-Presion_cilindro!$B$16*((Presion_cilindro!N324-(-L$4+Presion_cilindro!$B$34))/Presion_cilindro!$B$35)^(Presion_cilindro!$B$17+1)),0)-IF(Presion_cilindro!N323&gt;(-L$4+Presion_cilindro!$B$34),1-EXP(-Presion_cilindro!$B$16*((Presion_cilindro!N323-(-L$4+Presion_cilindro!$B$34))/Presion_cilindro!$B$35)^(Presion_cilindro!$B$17+1)),0))/((Presion_cilindro!O323+Presion_cilindro!O324)/2)</f>
        <v>19.922110936220353</v>
      </c>
      <c r="M332" s="27">
        <f>M331*(Presion_cilindro!O323/Presion_cilindro!O324)^Presion_cilindro!$B$9+10*(Presion_cilindro!$B$9-1)*Presion_cilindro!$B$33*(IF(Presion_cilindro!N324&gt;(-M$4+Presion_cilindro!$B$34),1-EXP(-Presion_cilindro!$B$16*((Presion_cilindro!N324-(-M$4+Presion_cilindro!$B$34))/Presion_cilindro!$B$35)^(Presion_cilindro!$B$17+1)),0)-IF(Presion_cilindro!N323&gt;(-M$4+Presion_cilindro!$B$34),1-EXP(-Presion_cilindro!$B$16*((Presion_cilindro!N323-(-M$4+Presion_cilindro!$B$34))/Presion_cilindro!$B$35)^(Presion_cilindro!$B$17+1)),0))/((Presion_cilindro!O323+Presion_cilindro!O324)/2)</f>
        <v>25.178660329095056</v>
      </c>
      <c r="N332" s="27">
        <f>N331*(Presion_cilindro!O323/Presion_cilindro!O324)^Presion_cilindro!$B$9+10*(Presion_cilindro!$B$9-1)*Presion_cilindro!$B$33*(IF(Presion_cilindro!N324&gt;(-N$4+Presion_cilindro!$B$34),1-EXP(-Presion_cilindro!$B$16*((Presion_cilindro!N324-(-N$4+Presion_cilindro!$B$34))/Presion_cilindro!$B$35)^(Presion_cilindro!$B$17+1)),0)-IF(Presion_cilindro!N323&gt;(-N$4+Presion_cilindro!$B$34),1-EXP(-Presion_cilindro!$B$16*((Presion_cilindro!N323-(-N$4+Presion_cilindro!$B$34))/Presion_cilindro!$B$35)^(Presion_cilindro!$B$17+1)),0))/((Presion_cilindro!O323+Presion_cilindro!O324)/2)</f>
        <v>30.162870875487915</v>
      </c>
    </row>
    <row r="333" spans="1:14" x14ac:dyDescent="0.25">
      <c r="A333" s="21">
        <f>Presion_cilindro!N325</f>
        <v>-19.5</v>
      </c>
      <c r="B333" s="27">
        <f>B332*(Presion_cilindro!O324/Presion_cilindro!O325)^Presion_cilindro!$B$9+10*(Presion_cilindro!$B$9-1)*Presion_cilindro!$B$33*(IF(Presion_cilindro!N325&gt;(-B$4+Presion_cilindro!$B$34),1-EXP(-Presion_cilindro!$B$16*((Presion_cilindro!N325-(-B$4+Presion_cilindro!$B$34))/Presion_cilindro!$B$35)^(Presion_cilindro!$B$17+1)),0)-IF(Presion_cilindro!N324&gt;(-B$4+Presion_cilindro!$B$34),1-EXP(-Presion_cilindro!$B$16*((Presion_cilindro!N324-(-B$4+Presion_cilindro!$B$34))/Presion_cilindro!$B$35)^(Presion_cilindro!$B$17+1)),0))/((Presion_cilindro!O324+Presion_cilindro!O325)/2)</f>
        <v>10.535363328307028</v>
      </c>
      <c r="C333" s="27">
        <f>C332*(Presion_cilindro!O324/Presion_cilindro!O325)^Presion_cilindro!$B$9+10*(Presion_cilindro!$B$9-1)*Presion_cilindro!$B$33*(IF(Presion_cilindro!N325&gt;(-C$4+Presion_cilindro!$B$34),1-EXP(-Presion_cilindro!$B$16*((Presion_cilindro!N325-(-C$4+Presion_cilindro!$B$34))/Presion_cilindro!$B$35)^(Presion_cilindro!$B$17+1)),0)-IF(Presion_cilindro!N324&gt;(-C$4+Presion_cilindro!$B$34),1-EXP(-Presion_cilindro!$B$16*((Presion_cilindro!N324-(-C$4+Presion_cilindro!$B$34))/Presion_cilindro!$B$35)^(Presion_cilindro!$B$17+1)),0))/((Presion_cilindro!O324+Presion_cilindro!O325)/2)</f>
        <v>10.535363328307028</v>
      </c>
      <c r="D333" s="27">
        <f>D332*(Presion_cilindro!O324/Presion_cilindro!O325)^Presion_cilindro!$B$9+10*(Presion_cilindro!$B$9-1)*Presion_cilindro!$B$33*(IF(Presion_cilindro!N325&gt;(-D$4+Presion_cilindro!$B$34),1-EXP(-Presion_cilindro!$B$16*((Presion_cilindro!N325-(-D$4+Presion_cilindro!$B$34))/Presion_cilindro!$B$35)^(Presion_cilindro!$B$17+1)),0)-IF(Presion_cilindro!N324&gt;(-D$4+Presion_cilindro!$B$34),1-EXP(-Presion_cilindro!$B$16*((Presion_cilindro!N324-(-D$4+Presion_cilindro!$B$34))/Presion_cilindro!$B$35)^(Presion_cilindro!$B$17+1)),0))/((Presion_cilindro!O324+Presion_cilindro!O325)/2)</f>
        <v>10.535363328307028</v>
      </c>
      <c r="E333" s="27">
        <f>E332*(Presion_cilindro!O324/Presion_cilindro!O325)^Presion_cilindro!$B$9+10*(Presion_cilindro!$B$9-1)*Presion_cilindro!$B$33*(IF(Presion_cilindro!N325&gt;(-E$4+Presion_cilindro!$B$34),1-EXP(-Presion_cilindro!$B$16*((Presion_cilindro!N325-(-E$4+Presion_cilindro!$B$34))/Presion_cilindro!$B$35)^(Presion_cilindro!$B$17+1)),0)-IF(Presion_cilindro!N324&gt;(-E$4+Presion_cilindro!$B$34),1-EXP(-Presion_cilindro!$B$16*((Presion_cilindro!N324-(-E$4+Presion_cilindro!$B$34))/Presion_cilindro!$B$35)^(Presion_cilindro!$B$17+1)),0))/((Presion_cilindro!O324+Presion_cilindro!O325)/2)</f>
        <v>10.535363328307028</v>
      </c>
      <c r="F333" s="27">
        <f>F332*(Presion_cilindro!O324/Presion_cilindro!O325)^Presion_cilindro!$B$9+10*(Presion_cilindro!$B$9-1)*Presion_cilindro!$B$33*(IF(Presion_cilindro!N325&gt;(-F$4+Presion_cilindro!$B$34),1-EXP(-Presion_cilindro!$B$16*((Presion_cilindro!N325-(-F$4+Presion_cilindro!$B$34))/Presion_cilindro!$B$35)^(Presion_cilindro!$B$17+1)),0)-IF(Presion_cilindro!N324&gt;(-F$4+Presion_cilindro!$B$34),1-EXP(-Presion_cilindro!$B$16*((Presion_cilindro!N324-(-F$4+Presion_cilindro!$B$34))/Presion_cilindro!$B$35)^(Presion_cilindro!$B$17+1)),0))/((Presion_cilindro!O324+Presion_cilindro!O325)/2)</f>
        <v>10.535363328307028</v>
      </c>
      <c r="G333" s="27">
        <f>G332*(Presion_cilindro!O324/Presion_cilindro!O325)^Presion_cilindro!$B$9+10*(Presion_cilindro!$B$9-1)*Presion_cilindro!$B$33*(IF(Presion_cilindro!N325&gt;(-G$4+Presion_cilindro!$B$34),1-EXP(-Presion_cilindro!$B$16*((Presion_cilindro!N325-(-G$4+Presion_cilindro!$B$34))/Presion_cilindro!$B$35)^(Presion_cilindro!$B$17+1)),0)-IF(Presion_cilindro!N324&gt;(-G$4+Presion_cilindro!$B$34),1-EXP(-Presion_cilindro!$B$16*((Presion_cilindro!N324-(-G$4+Presion_cilindro!$B$34))/Presion_cilindro!$B$35)^(Presion_cilindro!$B$17+1)),0))/((Presion_cilindro!O324+Presion_cilindro!O325)/2)</f>
        <v>10.535363328307028</v>
      </c>
      <c r="H333" s="27">
        <f>H332*(Presion_cilindro!O324/Presion_cilindro!O325)^Presion_cilindro!$B$9+10*(Presion_cilindro!$B$9-1)*Presion_cilindro!$B$33*(IF(Presion_cilindro!N325&gt;(-H$4+Presion_cilindro!$B$34),1-EXP(-Presion_cilindro!$B$16*((Presion_cilindro!N325-(-H$4+Presion_cilindro!$B$34))/Presion_cilindro!$B$35)^(Presion_cilindro!$B$17+1)),0)-IF(Presion_cilindro!N324&gt;(-H$4+Presion_cilindro!$B$34),1-EXP(-Presion_cilindro!$B$16*((Presion_cilindro!N324-(-H$4+Presion_cilindro!$B$34))/Presion_cilindro!$B$35)^(Presion_cilindro!$B$17+1)),0))/((Presion_cilindro!O324+Presion_cilindro!O325)/2)</f>
        <v>10.570627228018875</v>
      </c>
      <c r="I333" s="27">
        <f>I332*(Presion_cilindro!O324/Presion_cilindro!O325)^Presion_cilindro!$B$9+10*(Presion_cilindro!$B$9-1)*Presion_cilindro!$B$33*(IF(Presion_cilindro!N325&gt;(-I$4+Presion_cilindro!$B$34),1-EXP(-Presion_cilindro!$B$16*((Presion_cilindro!N325-(-I$4+Presion_cilindro!$B$34))/Presion_cilindro!$B$35)^(Presion_cilindro!$B$17+1)),0)-IF(Presion_cilindro!N324&gt;(-I$4+Presion_cilindro!$B$34),1-EXP(-Presion_cilindro!$B$16*((Presion_cilindro!N324-(-I$4+Presion_cilindro!$B$34))/Presion_cilindro!$B$35)^(Presion_cilindro!$B$17+1)),0))/((Presion_cilindro!O324+Presion_cilindro!O325)/2)</f>
        <v>11.096287306859558</v>
      </c>
      <c r="J333" s="27">
        <f>J332*(Presion_cilindro!O324/Presion_cilindro!O325)^Presion_cilindro!$B$9+10*(Presion_cilindro!$B$9-1)*Presion_cilindro!$B$33*(IF(Presion_cilindro!N325&gt;(-J$4+Presion_cilindro!$B$34),1-EXP(-Presion_cilindro!$B$16*((Presion_cilindro!N325-(-J$4+Presion_cilindro!$B$34))/Presion_cilindro!$B$35)^(Presion_cilindro!$B$17+1)),0)-IF(Presion_cilindro!N324&gt;(-J$4+Presion_cilindro!$B$34),1-EXP(-Presion_cilindro!$B$16*((Presion_cilindro!N324-(-J$4+Presion_cilindro!$B$34))/Presion_cilindro!$B$35)^(Presion_cilindro!$B$17+1)),0))/((Presion_cilindro!O324+Presion_cilindro!O325)/2)</f>
        <v>12.787319950943377</v>
      </c>
      <c r="K333" s="27">
        <f>K332*(Presion_cilindro!O324/Presion_cilindro!O325)^Presion_cilindro!$B$9+10*(Presion_cilindro!$B$9-1)*Presion_cilindro!$B$33*(IF(Presion_cilindro!N325&gt;(-K$4+Presion_cilindro!$B$34),1-EXP(-Presion_cilindro!$B$16*((Presion_cilindro!N325-(-K$4+Presion_cilindro!$B$34))/Presion_cilindro!$B$35)^(Presion_cilindro!$B$17+1)),0)-IF(Presion_cilindro!N324&gt;(-K$4+Presion_cilindro!$B$34),1-EXP(-Presion_cilindro!$B$16*((Presion_cilindro!N324-(-K$4+Presion_cilindro!$B$34))/Presion_cilindro!$B$35)^(Presion_cilindro!$B$17+1)),0))/((Presion_cilindro!O324+Presion_cilindro!O325)/2)</f>
        <v>16.047977186800917</v>
      </c>
      <c r="L333" s="27">
        <f>L332*(Presion_cilindro!O324/Presion_cilindro!O325)^Presion_cilindro!$B$9+10*(Presion_cilindro!$B$9-1)*Presion_cilindro!$B$33*(IF(Presion_cilindro!N325&gt;(-L$4+Presion_cilindro!$B$34),1-EXP(-Presion_cilindro!$B$16*((Presion_cilindro!N325-(-L$4+Presion_cilindro!$B$34))/Presion_cilindro!$B$35)^(Presion_cilindro!$B$17+1)),0)-IF(Presion_cilindro!N324&gt;(-L$4+Presion_cilindro!$B$34),1-EXP(-Presion_cilindro!$B$16*((Presion_cilindro!N324-(-L$4+Presion_cilindro!$B$34))/Presion_cilindro!$B$35)^(Presion_cilindro!$B$17+1)),0))/((Presion_cilindro!O324+Presion_cilindro!O325)/2)</f>
        <v>20.730069689457967</v>
      </c>
      <c r="M333" s="27">
        <f>M332*(Presion_cilindro!O324/Presion_cilindro!O325)^Presion_cilindro!$B$9+10*(Presion_cilindro!$B$9-1)*Presion_cilindro!$B$33*(IF(Presion_cilindro!N325&gt;(-M$4+Presion_cilindro!$B$34),1-EXP(-Presion_cilindro!$B$16*((Presion_cilindro!N325-(-M$4+Presion_cilindro!$B$34))/Presion_cilindro!$B$35)^(Presion_cilindro!$B$17+1)),0)-IF(Presion_cilindro!N324&gt;(-M$4+Presion_cilindro!$B$34),1-EXP(-Presion_cilindro!$B$16*((Presion_cilindro!N324-(-M$4+Presion_cilindro!$B$34))/Presion_cilindro!$B$35)^(Presion_cilindro!$B$17+1)),0))/((Presion_cilindro!O324+Presion_cilindro!O325)/2)</f>
        <v>26.070780151939879</v>
      </c>
      <c r="N333" s="27">
        <f>N332*(Presion_cilindro!O324/Presion_cilindro!O325)^Presion_cilindro!$B$9+10*(Presion_cilindro!$B$9-1)*Presion_cilindro!$B$33*(IF(Presion_cilindro!N325&gt;(-N$4+Presion_cilindro!$B$34),1-EXP(-Presion_cilindro!$B$16*((Presion_cilindro!N325-(-N$4+Presion_cilindro!$B$34))/Presion_cilindro!$B$35)^(Presion_cilindro!$B$17+1)),0)-IF(Presion_cilindro!N324&gt;(-N$4+Presion_cilindro!$B$34),1-EXP(-Presion_cilindro!$B$16*((Presion_cilindro!N324-(-N$4+Presion_cilindro!$B$34))/Presion_cilindro!$B$35)^(Presion_cilindro!$B$17+1)),0))/((Presion_cilindro!O324+Presion_cilindro!O325)/2)</f>
        <v>31.037082544013593</v>
      </c>
    </row>
    <row r="334" spans="1:14" x14ac:dyDescent="0.25">
      <c r="A334" s="21">
        <f>Presion_cilindro!N326</f>
        <v>-19</v>
      </c>
      <c r="B334" s="27">
        <f>B333*(Presion_cilindro!O325/Presion_cilindro!O326)^Presion_cilindro!$B$9+10*(Presion_cilindro!$B$9-1)*Presion_cilindro!$B$33*(IF(Presion_cilindro!N326&gt;(-B$4+Presion_cilindro!$B$34),1-EXP(-Presion_cilindro!$B$16*((Presion_cilindro!N326-(-B$4+Presion_cilindro!$B$34))/Presion_cilindro!$B$35)^(Presion_cilindro!$B$17+1)),0)-IF(Presion_cilindro!N325&gt;(-B$4+Presion_cilindro!$B$34),1-EXP(-Presion_cilindro!$B$16*((Presion_cilindro!N325-(-B$4+Presion_cilindro!$B$34))/Presion_cilindro!$B$35)^(Presion_cilindro!$B$17+1)),0))/((Presion_cilindro!O325+Presion_cilindro!O326)/2)</f>
        <v>10.711265633003194</v>
      </c>
      <c r="C334" s="27">
        <f>C333*(Presion_cilindro!O325/Presion_cilindro!O326)^Presion_cilindro!$B$9+10*(Presion_cilindro!$B$9-1)*Presion_cilindro!$B$33*(IF(Presion_cilindro!N326&gt;(-C$4+Presion_cilindro!$B$34),1-EXP(-Presion_cilindro!$B$16*((Presion_cilindro!N326-(-C$4+Presion_cilindro!$B$34))/Presion_cilindro!$B$35)^(Presion_cilindro!$B$17+1)),0)-IF(Presion_cilindro!N325&gt;(-C$4+Presion_cilindro!$B$34),1-EXP(-Presion_cilindro!$B$16*((Presion_cilindro!N325-(-C$4+Presion_cilindro!$B$34))/Presion_cilindro!$B$35)^(Presion_cilindro!$B$17+1)),0))/((Presion_cilindro!O325+Presion_cilindro!O326)/2)</f>
        <v>10.711265633003194</v>
      </c>
      <c r="D334" s="27">
        <f>D333*(Presion_cilindro!O325/Presion_cilindro!O326)^Presion_cilindro!$B$9+10*(Presion_cilindro!$B$9-1)*Presion_cilindro!$B$33*(IF(Presion_cilindro!N326&gt;(-D$4+Presion_cilindro!$B$34),1-EXP(-Presion_cilindro!$B$16*((Presion_cilindro!N326-(-D$4+Presion_cilindro!$B$34))/Presion_cilindro!$B$35)^(Presion_cilindro!$B$17+1)),0)-IF(Presion_cilindro!N325&gt;(-D$4+Presion_cilindro!$B$34),1-EXP(-Presion_cilindro!$B$16*((Presion_cilindro!N325-(-D$4+Presion_cilindro!$B$34))/Presion_cilindro!$B$35)^(Presion_cilindro!$B$17+1)),0))/((Presion_cilindro!O325+Presion_cilindro!O326)/2)</f>
        <v>10.711265633003194</v>
      </c>
      <c r="E334" s="27">
        <f>E333*(Presion_cilindro!O325/Presion_cilindro!O326)^Presion_cilindro!$B$9+10*(Presion_cilindro!$B$9-1)*Presion_cilindro!$B$33*(IF(Presion_cilindro!N326&gt;(-E$4+Presion_cilindro!$B$34),1-EXP(-Presion_cilindro!$B$16*((Presion_cilindro!N326-(-E$4+Presion_cilindro!$B$34))/Presion_cilindro!$B$35)^(Presion_cilindro!$B$17+1)),0)-IF(Presion_cilindro!N325&gt;(-E$4+Presion_cilindro!$B$34),1-EXP(-Presion_cilindro!$B$16*((Presion_cilindro!N325-(-E$4+Presion_cilindro!$B$34))/Presion_cilindro!$B$35)^(Presion_cilindro!$B$17+1)),0))/((Presion_cilindro!O325+Presion_cilindro!O326)/2)</f>
        <v>10.711265633003194</v>
      </c>
      <c r="F334" s="27">
        <f>F333*(Presion_cilindro!O325/Presion_cilindro!O326)^Presion_cilindro!$B$9+10*(Presion_cilindro!$B$9-1)*Presion_cilindro!$B$33*(IF(Presion_cilindro!N326&gt;(-F$4+Presion_cilindro!$B$34),1-EXP(-Presion_cilindro!$B$16*((Presion_cilindro!N326-(-F$4+Presion_cilindro!$B$34))/Presion_cilindro!$B$35)^(Presion_cilindro!$B$17+1)),0)-IF(Presion_cilindro!N325&gt;(-F$4+Presion_cilindro!$B$34),1-EXP(-Presion_cilindro!$B$16*((Presion_cilindro!N325-(-F$4+Presion_cilindro!$B$34))/Presion_cilindro!$B$35)^(Presion_cilindro!$B$17+1)),0))/((Presion_cilindro!O325+Presion_cilindro!O326)/2)</f>
        <v>10.711265633003194</v>
      </c>
      <c r="G334" s="27">
        <f>G333*(Presion_cilindro!O325/Presion_cilindro!O326)^Presion_cilindro!$B$9+10*(Presion_cilindro!$B$9-1)*Presion_cilindro!$B$33*(IF(Presion_cilindro!N326&gt;(-G$4+Presion_cilindro!$B$34),1-EXP(-Presion_cilindro!$B$16*((Presion_cilindro!N326-(-G$4+Presion_cilindro!$B$34))/Presion_cilindro!$B$35)^(Presion_cilindro!$B$17+1)),0)-IF(Presion_cilindro!N325&gt;(-G$4+Presion_cilindro!$B$34),1-EXP(-Presion_cilindro!$B$16*((Presion_cilindro!N325-(-G$4+Presion_cilindro!$B$34))/Presion_cilindro!$B$35)^(Presion_cilindro!$B$17+1)),0))/((Presion_cilindro!O325+Presion_cilindro!O326)/2)</f>
        <v>10.711265633003194</v>
      </c>
      <c r="H334" s="27">
        <f>H333*(Presion_cilindro!O325/Presion_cilindro!O326)^Presion_cilindro!$B$9+10*(Presion_cilindro!$B$9-1)*Presion_cilindro!$B$33*(IF(Presion_cilindro!N326&gt;(-H$4+Presion_cilindro!$B$34),1-EXP(-Presion_cilindro!$B$16*((Presion_cilindro!N326-(-H$4+Presion_cilindro!$B$34))/Presion_cilindro!$B$35)^(Presion_cilindro!$B$17+1)),0)-IF(Presion_cilindro!N325&gt;(-H$4+Presion_cilindro!$B$34),1-EXP(-Presion_cilindro!$B$16*((Presion_cilindro!N325-(-H$4+Presion_cilindro!$B$34))/Presion_cilindro!$B$35)^(Presion_cilindro!$B$17+1)),0))/((Presion_cilindro!O325+Presion_cilindro!O326)/2)</f>
        <v>10.765819516603242</v>
      </c>
      <c r="I334" s="27">
        <f>I333*(Presion_cilindro!O325/Presion_cilindro!O326)^Presion_cilindro!$B$9+10*(Presion_cilindro!$B$9-1)*Presion_cilindro!$B$33*(IF(Presion_cilindro!N326&gt;(-I$4+Presion_cilindro!$B$34),1-EXP(-Presion_cilindro!$B$16*((Presion_cilindro!N326-(-I$4+Presion_cilindro!$B$34))/Presion_cilindro!$B$35)^(Presion_cilindro!$B$17+1)),0)-IF(Presion_cilindro!N325&gt;(-I$4+Presion_cilindro!$B$34),1-EXP(-Presion_cilindro!$B$16*((Presion_cilindro!N325-(-I$4+Presion_cilindro!$B$34))/Presion_cilindro!$B$35)^(Presion_cilindro!$B$17+1)),0))/((Presion_cilindro!O325+Presion_cilindro!O326)/2)</f>
        <v>11.387336257077175</v>
      </c>
      <c r="J334" s="27">
        <f>J333*(Presion_cilindro!O325/Presion_cilindro!O326)^Presion_cilindro!$B$9+10*(Presion_cilindro!$B$9-1)*Presion_cilindro!$B$33*(IF(Presion_cilindro!N326&gt;(-J$4+Presion_cilindro!$B$34),1-EXP(-Presion_cilindro!$B$16*((Presion_cilindro!N326-(-J$4+Presion_cilindro!$B$34))/Presion_cilindro!$B$35)^(Presion_cilindro!$B$17+1)),0)-IF(Presion_cilindro!N325&gt;(-J$4+Presion_cilindro!$B$34),1-EXP(-Presion_cilindro!$B$16*((Presion_cilindro!N325-(-J$4+Presion_cilindro!$B$34))/Presion_cilindro!$B$35)^(Presion_cilindro!$B$17+1)),0))/((Presion_cilindro!O325+Presion_cilindro!O326)/2)</f>
        <v>13.246924623948235</v>
      </c>
      <c r="K334" s="27">
        <f>K333*(Presion_cilindro!O325/Presion_cilindro!O326)^Presion_cilindro!$B$9+10*(Presion_cilindro!$B$9-1)*Presion_cilindro!$B$33*(IF(Presion_cilindro!N326&gt;(-K$4+Presion_cilindro!$B$34),1-EXP(-Presion_cilindro!$B$16*((Presion_cilindro!N326-(-K$4+Presion_cilindro!$B$34))/Presion_cilindro!$B$35)^(Presion_cilindro!$B$17+1)),0)-IF(Presion_cilindro!N325&gt;(-K$4+Presion_cilindro!$B$34),1-EXP(-Presion_cilindro!$B$16*((Presion_cilindro!N325-(-K$4+Presion_cilindro!$B$34))/Presion_cilindro!$B$35)^(Presion_cilindro!$B$17+1)),0))/((Presion_cilindro!O325+Presion_cilindro!O326)/2)</f>
        <v>16.709083989450882</v>
      </c>
      <c r="L334" s="27">
        <f>L333*(Presion_cilindro!O325/Presion_cilindro!O326)^Presion_cilindro!$B$9+10*(Presion_cilindro!$B$9-1)*Presion_cilindro!$B$33*(IF(Presion_cilindro!N326&gt;(-L$4+Presion_cilindro!$B$34),1-EXP(-Presion_cilindro!$B$16*((Presion_cilindro!N326-(-L$4+Presion_cilindro!$B$34))/Presion_cilindro!$B$35)^(Presion_cilindro!$B$17+1)),0)-IF(Presion_cilindro!N325&gt;(-L$4+Presion_cilindro!$B$34),1-EXP(-Presion_cilindro!$B$16*((Presion_cilindro!N325-(-L$4+Presion_cilindro!$B$34))/Presion_cilindro!$B$35)^(Presion_cilindro!$B$17+1)),0))/((Presion_cilindro!O325+Presion_cilindro!O326)/2)</f>
        <v>21.558156052205639</v>
      </c>
      <c r="M334" s="27">
        <f>M333*(Presion_cilindro!O325/Presion_cilindro!O326)^Presion_cilindro!$B$9+10*(Presion_cilindro!$B$9-1)*Presion_cilindro!$B$33*(IF(Presion_cilindro!N326&gt;(-M$4+Presion_cilindro!$B$34),1-EXP(-Presion_cilindro!$B$16*((Presion_cilindro!N326-(-M$4+Presion_cilindro!$B$34))/Presion_cilindro!$B$35)^(Presion_cilindro!$B$17+1)),0)-IF(Presion_cilindro!N325&gt;(-M$4+Presion_cilindro!$B$34),1-EXP(-Presion_cilindro!$B$16*((Presion_cilindro!N325-(-M$4+Presion_cilindro!$B$34))/Presion_cilindro!$B$35)^(Presion_cilindro!$B$17+1)),0))/((Presion_cilindro!O325+Presion_cilindro!O326)/2)</f>
        <v>26.972249656226598</v>
      </c>
      <c r="N334" s="27">
        <f>N333*(Presion_cilindro!O325/Presion_cilindro!O326)^Presion_cilindro!$B$9+10*(Presion_cilindro!$B$9-1)*Presion_cilindro!$B$33*(IF(Presion_cilindro!N326&gt;(-N$4+Presion_cilindro!$B$34),1-EXP(-Presion_cilindro!$B$16*((Presion_cilindro!N326-(-N$4+Presion_cilindro!$B$34))/Presion_cilindro!$B$35)^(Presion_cilindro!$B$17+1)),0)-IF(Presion_cilindro!N325&gt;(-N$4+Presion_cilindro!$B$34),1-EXP(-Presion_cilindro!$B$16*((Presion_cilindro!N325-(-N$4+Presion_cilindro!$B$34))/Presion_cilindro!$B$35)^(Presion_cilindro!$B$17+1)),0))/((Presion_cilindro!O325+Presion_cilindro!O326)/2)</f>
        <v>31.910792747674009</v>
      </c>
    </row>
    <row r="335" spans="1:14" x14ac:dyDescent="0.25">
      <c r="A335" s="21">
        <f>Presion_cilindro!N327</f>
        <v>-18.5</v>
      </c>
      <c r="B335" s="27">
        <f>B334*(Presion_cilindro!O326/Presion_cilindro!O327)^Presion_cilindro!$B$9+10*(Presion_cilindro!$B$9-1)*Presion_cilindro!$B$33*(IF(Presion_cilindro!N327&gt;(-B$4+Presion_cilindro!$B$34),1-EXP(-Presion_cilindro!$B$16*((Presion_cilindro!N327-(-B$4+Presion_cilindro!$B$34))/Presion_cilindro!$B$35)^(Presion_cilindro!$B$17+1)),0)-IF(Presion_cilindro!N326&gt;(-B$4+Presion_cilindro!$B$34),1-EXP(-Presion_cilindro!$B$16*((Presion_cilindro!N326-(-B$4+Presion_cilindro!$B$34))/Presion_cilindro!$B$35)^(Presion_cilindro!$B$17+1)),0))/((Presion_cilindro!O326+Presion_cilindro!O327)/2)</f>
        <v>10.887886823317414</v>
      </c>
      <c r="C335" s="27">
        <f>C334*(Presion_cilindro!O326/Presion_cilindro!O327)^Presion_cilindro!$B$9+10*(Presion_cilindro!$B$9-1)*Presion_cilindro!$B$33*(IF(Presion_cilindro!N327&gt;(-C$4+Presion_cilindro!$B$34),1-EXP(-Presion_cilindro!$B$16*((Presion_cilindro!N327-(-C$4+Presion_cilindro!$B$34))/Presion_cilindro!$B$35)^(Presion_cilindro!$B$17+1)),0)-IF(Presion_cilindro!N326&gt;(-C$4+Presion_cilindro!$B$34),1-EXP(-Presion_cilindro!$B$16*((Presion_cilindro!N326-(-C$4+Presion_cilindro!$B$34))/Presion_cilindro!$B$35)^(Presion_cilindro!$B$17+1)),0))/((Presion_cilindro!O326+Presion_cilindro!O327)/2)</f>
        <v>10.887886823317414</v>
      </c>
      <c r="D335" s="27">
        <f>D334*(Presion_cilindro!O326/Presion_cilindro!O327)^Presion_cilindro!$B$9+10*(Presion_cilindro!$B$9-1)*Presion_cilindro!$B$33*(IF(Presion_cilindro!N327&gt;(-D$4+Presion_cilindro!$B$34),1-EXP(-Presion_cilindro!$B$16*((Presion_cilindro!N327-(-D$4+Presion_cilindro!$B$34))/Presion_cilindro!$B$35)^(Presion_cilindro!$B$17+1)),0)-IF(Presion_cilindro!N326&gt;(-D$4+Presion_cilindro!$B$34),1-EXP(-Presion_cilindro!$B$16*((Presion_cilindro!N326-(-D$4+Presion_cilindro!$B$34))/Presion_cilindro!$B$35)^(Presion_cilindro!$B$17+1)),0))/((Presion_cilindro!O326+Presion_cilindro!O327)/2)</f>
        <v>10.887886823317414</v>
      </c>
      <c r="E335" s="27">
        <f>E334*(Presion_cilindro!O326/Presion_cilindro!O327)^Presion_cilindro!$B$9+10*(Presion_cilindro!$B$9-1)*Presion_cilindro!$B$33*(IF(Presion_cilindro!N327&gt;(-E$4+Presion_cilindro!$B$34),1-EXP(-Presion_cilindro!$B$16*((Presion_cilindro!N327-(-E$4+Presion_cilindro!$B$34))/Presion_cilindro!$B$35)^(Presion_cilindro!$B$17+1)),0)-IF(Presion_cilindro!N326&gt;(-E$4+Presion_cilindro!$B$34),1-EXP(-Presion_cilindro!$B$16*((Presion_cilindro!N326-(-E$4+Presion_cilindro!$B$34))/Presion_cilindro!$B$35)^(Presion_cilindro!$B$17+1)),0))/((Presion_cilindro!O326+Presion_cilindro!O327)/2)</f>
        <v>10.887886823317414</v>
      </c>
      <c r="F335" s="27">
        <f>F334*(Presion_cilindro!O326/Presion_cilindro!O327)^Presion_cilindro!$B$9+10*(Presion_cilindro!$B$9-1)*Presion_cilindro!$B$33*(IF(Presion_cilindro!N327&gt;(-F$4+Presion_cilindro!$B$34),1-EXP(-Presion_cilindro!$B$16*((Presion_cilindro!N327-(-F$4+Presion_cilindro!$B$34))/Presion_cilindro!$B$35)^(Presion_cilindro!$B$17+1)),0)-IF(Presion_cilindro!N326&gt;(-F$4+Presion_cilindro!$B$34),1-EXP(-Presion_cilindro!$B$16*((Presion_cilindro!N326-(-F$4+Presion_cilindro!$B$34))/Presion_cilindro!$B$35)^(Presion_cilindro!$B$17+1)),0))/((Presion_cilindro!O326+Presion_cilindro!O327)/2)</f>
        <v>10.887886823317414</v>
      </c>
      <c r="G335" s="27">
        <f>G334*(Presion_cilindro!O326/Presion_cilindro!O327)^Presion_cilindro!$B$9+10*(Presion_cilindro!$B$9-1)*Presion_cilindro!$B$33*(IF(Presion_cilindro!N327&gt;(-G$4+Presion_cilindro!$B$34),1-EXP(-Presion_cilindro!$B$16*((Presion_cilindro!N327-(-G$4+Presion_cilindro!$B$34))/Presion_cilindro!$B$35)^(Presion_cilindro!$B$17+1)),0)-IF(Presion_cilindro!N326&gt;(-G$4+Presion_cilindro!$B$34),1-EXP(-Presion_cilindro!$B$16*((Presion_cilindro!N326-(-G$4+Presion_cilindro!$B$34))/Presion_cilindro!$B$35)^(Presion_cilindro!$B$17+1)),0))/((Presion_cilindro!O326+Presion_cilindro!O327)/2)</f>
        <v>10.887886823317414</v>
      </c>
      <c r="H335" s="27">
        <f>H334*(Presion_cilindro!O326/Presion_cilindro!O327)^Presion_cilindro!$B$9+10*(Presion_cilindro!$B$9-1)*Presion_cilindro!$B$33*(IF(Presion_cilindro!N327&gt;(-H$4+Presion_cilindro!$B$34),1-EXP(-Presion_cilindro!$B$16*((Presion_cilindro!N327-(-H$4+Presion_cilindro!$B$34))/Presion_cilindro!$B$35)^(Presion_cilindro!$B$17+1)),0)-IF(Presion_cilindro!N326&gt;(-H$4+Presion_cilindro!$B$34),1-EXP(-Presion_cilindro!$B$16*((Presion_cilindro!N326-(-H$4+Presion_cilindro!$B$34))/Presion_cilindro!$B$35)^(Presion_cilindro!$B$17+1)),0))/((Presion_cilindro!O326+Presion_cilindro!O327)/2)</f>
        <v>10.96795204601537</v>
      </c>
      <c r="I335" s="27">
        <f>I334*(Presion_cilindro!O326/Presion_cilindro!O327)^Presion_cilindro!$B$9+10*(Presion_cilindro!$B$9-1)*Presion_cilindro!$B$33*(IF(Presion_cilindro!N327&gt;(-I$4+Presion_cilindro!$B$34),1-EXP(-Presion_cilindro!$B$16*((Presion_cilindro!N327-(-I$4+Presion_cilindro!$B$34))/Presion_cilindro!$B$35)^(Presion_cilindro!$B$17+1)),0)-IF(Presion_cilindro!N326&gt;(-I$4+Presion_cilindro!$B$34),1-EXP(-Presion_cilindro!$B$16*((Presion_cilindro!N326-(-I$4+Presion_cilindro!$B$34))/Presion_cilindro!$B$35)^(Presion_cilindro!$B$17+1)),0))/((Presion_cilindro!O326+Presion_cilindro!O327)/2)</f>
        <v>11.694522057254426</v>
      </c>
      <c r="J335" s="27">
        <f>J334*(Presion_cilindro!O326/Presion_cilindro!O327)^Presion_cilindro!$B$9+10*(Presion_cilindro!$B$9-1)*Presion_cilindro!$B$33*(IF(Presion_cilindro!N327&gt;(-J$4+Presion_cilindro!$B$34),1-EXP(-Presion_cilindro!$B$16*((Presion_cilindro!N327-(-J$4+Presion_cilindro!$B$34))/Presion_cilindro!$B$35)^(Presion_cilindro!$B$17+1)),0)-IF(Presion_cilindro!N326&gt;(-J$4+Presion_cilindro!$B$34),1-EXP(-Presion_cilindro!$B$16*((Presion_cilindro!N326-(-J$4+Presion_cilindro!$B$34))/Presion_cilindro!$B$35)^(Presion_cilindro!$B$17+1)),0))/((Presion_cilindro!O326+Presion_cilindro!O327)/2)</f>
        <v>13.730131378811766</v>
      </c>
      <c r="K335" s="27">
        <f>K334*(Presion_cilindro!O326/Presion_cilindro!O327)^Presion_cilindro!$B$9+10*(Presion_cilindro!$B$9-1)*Presion_cilindro!$B$33*(IF(Presion_cilindro!N327&gt;(-K$4+Presion_cilindro!$B$34),1-EXP(-Presion_cilindro!$B$16*((Presion_cilindro!N327-(-K$4+Presion_cilindro!$B$34))/Presion_cilindro!$B$35)^(Presion_cilindro!$B$17+1)),0)-IF(Presion_cilindro!N326&gt;(-K$4+Presion_cilindro!$B$34),1-EXP(-Presion_cilindro!$B$16*((Presion_cilindro!N326-(-K$4+Presion_cilindro!$B$34))/Presion_cilindro!$B$35)^(Presion_cilindro!$B$17+1)),0))/((Presion_cilindro!O326+Presion_cilindro!O327)/2)</f>
        <v>17.395388024494373</v>
      </c>
      <c r="L335" s="27">
        <f>L334*(Presion_cilindro!O326/Presion_cilindro!O327)^Presion_cilindro!$B$9+10*(Presion_cilindro!$B$9-1)*Presion_cilindro!$B$33*(IF(Presion_cilindro!N327&gt;(-L$4+Presion_cilindro!$B$34),1-EXP(-Presion_cilindro!$B$16*((Presion_cilindro!N327-(-L$4+Presion_cilindro!$B$34))/Presion_cilindro!$B$35)^(Presion_cilindro!$B$17+1)),0)-IF(Presion_cilindro!N326&gt;(-L$4+Presion_cilindro!$B$34),1-EXP(-Presion_cilindro!$B$16*((Presion_cilindro!N326-(-L$4+Presion_cilindro!$B$34))/Presion_cilindro!$B$35)^(Presion_cilindro!$B$17+1)),0))/((Presion_cilindro!O326+Presion_cilindro!O327)/2)</f>
        <v>22.405131548466258</v>
      </c>
      <c r="M335" s="27">
        <f>M334*(Presion_cilindro!O326/Presion_cilindro!O327)^Presion_cilindro!$B$9+10*(Presion_cilindro!$B$9-1)*Presion_cilindro!$B$33*(IF(Presion_cilindro!N327&gt;(-M$4+Presion_cilindro!$B$34),1-EXP(-Presion_cilindro!$B$16*((Presion_cilindro!N327-(-M$4+Presion_cilindro!$B$34))/Presion_cilindro!$B$35)^(Presion_cilindro!$B$17+1)),0)-IF(Presion_cilindro!N326&gt;(-M$4+Presion_cilindro!$B$34),1-EXP(-Presion_cilindro!$B$16*((Presion_cilindro!N326-(-M$4+Presion_cilindro!$B$34))/Presion_cilindro!$B$35)^(Presion_cilindro!$B$17+1)),0))/((Presion_cilindro!O326+Presion_cilindro!O327)/2)</f>
        <v>27.881379086376686</v>
      </c>
      <c r="N335" s="27">
        <f>N334*(Presion_cilindro!O326/Presion_cilindro!O327)^Presion_cilindro!$B$9+10*(Presion_cilindro!$B$9-1)*Presion_cilindro!$B$33*(IF(Presion_cilindro!N327&gt;(-N$4+Presion_cilindro!$B$34),1-EXP(-Presion_cilindro!$B$16*((Presion_cilindro!N327-(-N$4+Presion_cilindro!$B$34))/Presion_cilindro!$B$35)^(Presion_cilindro!$B$17+1)),0)-IF(Presion_cilindro!N326&gt;(-N$4+Presion_cilindro!$B$34),1-EXP(-Presion_cilindro!$B$16*((Presion_cilindro!N326-(-N$4+Presion_cilindro!$B$34))/Presion_cilindro!$B$35)^(Presion_cilindro!$B$17+1)),0))/((Presion_cilindro!O326+Presion_cilindro!O327)/2)</f>
        <v>32.782579837013721</v>
      </c>
    </row>
    <row r="336" spans="1:14" x14ac:dyDescent="0.25">
      <c r="A336" s="21">
        <f>Presion_cilindro!N328</f>
        <v>-18</v>
      </c>
      <c r="B336" s="27">
        <f>B335*(Presion_cilindro!O327/Presion_cilindro!O328)^Presion_cilindro!$B$9+10*(Presion_cilindro!$B$9-1)*Presion_cilindro!$B$33*(IF(Presion_cilindro!N328&gt;(-B$4+Presion_cilindro!$B$34),1-EXP(-Presion_cilindro!$B$16*((Presion_cilindro!N328-(-B$4+Presion_cilindro!$B$34))/Presion_cilindro!$B$35)^(Presion_cilindro!$B$17+1)),0)-IF(Presion_cilindro!N327&gt;(-B$4+Presion_cilindro!$B$34),1-EXP(-Presion_cilindro!$B$16*((Presion_cilindro!N327-(-B$4+Presion_cilindro!$B$34))/Presion_cilindro!$B$35)^(Presion_cilindro!$B$17+1)),0))/((Presion_cilindro!O327+Presion_cilindro!O328)/2)</f>
        <v>11.065031210336159</v>
      </c>
      <c r="C336" s="27">
        <f>C335*(Presion_cilindro!O327/Presion_cilindro!O328)^Presion_cilindro!$B$9+10*(Presion_cilindro!$B$9-1)*Presion_cilindro!$B$33*(IF(Presion_cilindro!N328&gt;(-C$4+Presion_cilindro!$B$34),1-EXP(-Presion_cilindro!$B$16*((Presion_cilindro!N328-(-C$4+Presion_cilindro!$B$34))/Presion_cilindro!$B$35)^(Presion_cilindro!$B$17+1)),0)-IF(Presion_cilindro!N327&gt;(-C$4+Presion_cilindro!$B$34),1-EXP(-Presion_cilindro!$B$16*((Presion_cilindro!N327-(-C$4+Presion_cilindro!$B$34))/Presion_cilindro!$B$35)^(Presion_cilindro!$B$17+1)),0))/((Presion_cilindro!O327+Presion_cilindro!O328)/2)</f>
        <v>11.065031210336159</v>
      </c>
      <c r="D336" s="27">
        <f>D335*(Presion_cilindro!O327/Presion_cilindro!O328)^Presion_cilindro!$B$9+10*(Presion_cilindro!$B$9-1)*Presion_cilindro!$B$33*(IF(Presion_cilindro!N328&gt;(-D$4+Presion_cilindro!$B$34),1-EXP(-Presion_cilindro!$B$16*((Presion_cilindro!N328-(-D$4+Presion_cilindro!$B$34))/Presion_cilindro!$B$35)^(Presion_cilindro!$B$17+1)),0)-IF(Presion_cilindro!N327&gt;(-D$4+Presion_cilindro!$B$34),1-EXP(-Presion_cilindro!$B$16*((Presion_cilindro!N327-(-D$4+Presion_cilindro!$B$34))/Presion_cilindro!$B$35)^(Presion_cilindro!$B$17+1)),0))/((Presion_cilindro!O327+Presion_cilindro!O328)/2)</f>
        <v>11.065031210336159</v>
      </c>
      <c r="E336" s="27">
        <f>E335*(Presion_cilindro!O327/Presion_cilindro!O328)^Presion_cilindro!$B$9+10*(Presion_cilindro!$B$9-1)*Presion_cilindro!$B$33*(IF(Presion_cilindro!N328&gt;(-E$4+Presion_cilindro!$B$34),1-EXP(-Presion_cilindro!$B$16*((Presion_cilindro!N328-(-E$4+Presion_cilindro!$B$34))/Presion_cilindro!$B$35)^(Presion_cilindro!$B$17+1)),0)-IF(Presion_cilindro!N327&gt;(-E$4+Presion_cilindro!$B$34),1-EXP(-Presion_cilindro!$B$16*((Presion_cilindro!N327-(-E$4+Presion_cilindro!$B$34))/Presion_cilindro!$B$35)^(Presion_cilindro!$B$17+1)),0))/((Presion_cilindro!O327+Presion_cilindro!O328)/2)</f>
        <v>11.065031210336159</v>
      </c>
      <c r="F336" s="27">
        <f>F335*(Presion_cilindro!O327/Presion_cilindro!O328)^Presion_cilindro!$B$9+10*(Presion_cilindro!$B$9-1)*Presion_cilindro!$B$33*(IF(Presion_cilindro!N328&gt;(-F$4+Presion_cilindro!$B$34),1-EXP(-Presion_cilindro!$B$16*((Presion_cilindro!N328-(-F$4+Presion_cilindro!$B$34))/Presion_cilindro!$B$35)^(Presion_cilindro!$B$17+1)),0)-IF(Presion_cilindro!N327&gt;(-F$4+Presion_cilindro!$B$34),1-EXP(-Presion_cilindro!$B$16*((Presion_cilindro!N327-(-F$4+Presion_cilindro!$B$34))/Presion_cilindro!$B$35)^(Presion_cilindro!$B$17+1)),0))/((Presion_cilindro!O327+Presion_cilindro!O328)/2)</f>
        <v>11.065031210336159</v>
      </c>
      <c r="G336" s="27">
        <f>G335*(Presion_cilindro!O327/Presion_cilindro!O328)^Presion_cilindro!$B$9+10*(Presion_cilindro!$B$9-1)*Presion_cilindro!$B$33*(IF(Presion_cilindro!N328&gt;(-G$4+Presion_cilindro!$B$34),1-EXP(-Presion_cilindro!$B$16*((Presion_cilindro!N328-(-G$4+Presion_cilindro!$B$34))/Presion_cilindro!$B$35)^(Presion_cilindro!$B$17+1)),0)-IF(Presion_cilindro!N327&gt;(-G$4+Presion_cilindro!$B$34),1-EXP(-Presion_cilindro!$B$16*((Presion_cilindro!N327-(-G$4+Presion_cilindro!$B$34))/Presion_cilindro!$B$35)^(Presion_cilindro!$B$17+1)),0))/((Presion_cilindro!O327+Presion_cilindro!O328)/2)</f>
        <v>11.065031210336159</v>
      </c>
      <c r="H336" s="27">
        <f>H335*(Presion_cilindro!O327/Presion_cilindro!O328)^Presion_cilindro!$B$9+10*(Presion_cilindro!$B$9-1)*Presion_cilindro!$B$33*(IF(Presion_cilindro!N328&gt;(-H$4+Presion_cilindro!$B$34),1-EXP(-Presion_cilindro!$B$16*((Presion_cilindro!N328-(-H$4+Presion_cilindro!$B$34))/Presion_cilindro!$B$35)^(Presion_cilindro!$B$17+1)),0)-IF(Presion_cilindro!N327&gt;(-H$4+Presion_cilindro!$B$34),1-EXP(-Presion_cilindro!$B$16*((Presion_cilindro!N327-(-H$4+Presion_cilindro!$B$34))/Presion_cilindro!$B$35)^(Presion_cilindro!$B$17+1)),0))/((Presion_cilindro!O327+Presion_cilindro!O328)/2)</f>
        <v>11.177800630774877</v>
      </c>
      <c r="I336" s="27">
        <f>I335*(Presion_cilindro!O327/Presion_cilindro!O328)^Presion_cilindro!$B$9+10*(Presion_cilindro!$B$9-1)*Presion_cilindro!$B$33*(IF(Presion_cilindro!N328&gt;(-I$4+Presion_cilindro!$B$34),1-EXP(-Presion_cilindro!$B$16*((Presion_cilindro!N328-(-I$4+Presion_cilindro!$B$34))/Presion_cilindro!$B$35)^(Presion_cilindro!$B$17+1)),0)-IF(Presion_cilindro!N327&gt;(-I$4+Presion_cilindro!$B$34),1-EXP(-Presion_cilindro!$B$16*((Presion_cilindro!N327-(-I$4+Presion_cilindro!$B$34))/Presion_cilindro!$B$35)^(Presion_cilindro!$B$17+1)),0))/((Presion_cilindro!O327+Presion_cilindro!O328)/2)</f>
        <v>12.018683308026528</v>
      </c>
      <c r="J336" s="27">
        <f>J335*(Presion_cilindro!O327/Presion_cilindro!O328)^Presion_cilindro!$B$9+10*(Presion_cilindro!$B$9-1)*Presion_cilindro!$B$33*(IF(Presion_cilindro!N328&gt;(-J$4+Presion_cilindro!$B$34),1-EXP(-Presion_cilindro!$B$16*((Presion_cilindro!N328-(-J$4+Presion_cilindro!$B$34))/Presion_cilindro!$B$35)^(Presion_cilindro!$B$17+1)),0)-IF(Presion_cilindro!N327&gt;(-J$4+Presion_cilindro!$B$34),1-EXP(-Presion_cilindro!$B$16*((Presion_cilindro!N327-(-J$4+Presion_cilindro!$B$34))/Presion_cilindro!$B$35)^(Presion_cilindro!$B$17+1)),0))/((Presion_cilindro!O327+Presion_cilindro!O328)/2)</f>
        <v>14.237370220415002</v>
      </c>
      <c r="K336" s="27">
        <f>K335*(Presion_cilindro!O327/Presion_cilindro!O328)^Presion_cilindro!$B$9+10*(Presion_cilindro!$B$9-1)*Presion_cilindro!$B$33*(IF(Presion_cilindro!N328&gt;(-K$4+Presion_cilindro!$B$34),1-EXP(-Presion_cilindro!$B$16*((Presion_cilindro!N328-(-K$4+Presion_cilindro!$B$34))/Presion_cilindro!$B$35)^(Presion_cilindro!$B$17+1)),0)-IF(Presion_cilindro!N327&gt;(-K$4+Presion_cilindro!$B$34),1-EXP(-Presion_cilindro!$B$16*((Presion_cilindro!N327-(-K$4+Presion_cilindro!$B$34))/Presion_cilindro!$B$35)^(Presion_cilindro!$B$17+1)),0))/((Presion_cilindro!O327+Presion_cilindro!O328)/2)</f>
        <v>18.106440373843707</v>
      </c>
      <c r="L336" s="27">
        <f>L335*(Presion_cilindro!O327/Presion_cilindro!O328)^Presion_cilindro!$B$9+10*(Presion_cilindro!$B$9-1)*Presion_cilindro!$B$33*(IF(Presion_cilindro!N328&gt;(-L$4+Presion_cilindro!$B$34),1-EXP(-Presion_cilindro!$B$16*((Presion_cilindro!N328-(-L$4+Presion_cilindro!$B$34))/Presion_cilindro!$B$35)^(Presion_cilindro!$B$17+1)),0)-IF(Presion_cilindro!N327&gt;(-L$4+Presion_cilindro!$B$34),1-EXP(-Presion_cilindro!$B$16*((Presion_cilindro!N327-(-L$4+Presion_cilindro!$B$34))/Presion_cilindro!$B$35)^(Presion_cilindro!$B$17+1)),0))/((Presion_cilindro!O327+Presion_cilindro!O328)/2)</f>
        <v>23.269620688851344</v>
      </c>
      <c r="M336" s="27">
        <f>M335*(Presion_cilindro!O327/Presion_cilindro!O328)^Presion_cilindro!$B$9+10*(Presion_cilindro!$B$9-1)*Presion_cilindro!$B$33*(IF(Presion_cilindro!N328&gt;(-M$4+Presion_cilindro!$B$34),1-EXP(-Presion_cilindro!$B$16*((Presion_cilindro!N328-(-M$4+Presion_cilindro!$B$34))/Presion_cilindro!$B$35)^(Presion_cilindro!$B$17+1)),0)-IF(Presion_cilindro!N327&gt;(-M$4+Presion_cilindro!$B$34),1-EXP(-Presion_cilindro!$B$16*((Presion_cilindro!N327-(-M$4+Presion_cilindro!$B$34))/Presion_cilindro!$B$35)^(Presion_cilindro!$B$17+1)),0))/((Presion_cilindro!O327+Presion_cilindro!O328)/2)</f>
        <v>28.79641096472994</v>
      </c>
      <c r="N336" s="27">
        <f>N335*(Presion_cilindro!O327/Presion_cilindro!O328)^Presion_cilindro!$B$9+10*(Presion_cilindro!$B$9-1)*Presion_cilindro!$B$33*(IF(Presion_cilindro!N328&gt;(-N$4+Presion_cilindro!$B$34),1-EXP(-Presion_cilindro!$B$16*((Presion_cilindro!N328-(-N$4+Presion_cilindro!$B$34))/Presion_cilindro!$B$35)^(Presion_cilindro!$B$17+1)),0)-IF(Presion_cilindro!N327&gt;(-N$4+Presion_cilindro!$B$34),1-EXP(-Presion_cilindro!$B$16*((Presion_cilindro!N327-(-N$4+Presion_cilindro!$B$34))/Presion_cilindro!$B$35)^(Presion_cilindro!$B$17+1)),0))/((Presion_cilindro!O327+Presion_cilindro!O328)/2)</f>
        <v>33.651021775426862</v>
      </c>
    </row>
    <row r="337" spans="1:14" x14ac:dyDescent="0.25">
      <c r="A337" s="21">
        <f>Presion_cilindro!N329</f>
        <v>-17.5</v>
      </c>
      <c r="B337" s="27">
        <f>B336*(Presion_cilindro!O328/Presion_cilindro!O329)^Presion_cilindro!$B$9+10*(Presion_cilindro!$B$9-1)*Presion_cilindro!$B$33*(IF(Presion_cilindro!N329&gt;(-B$4+Presion_cilindro!$B$34),1-EXP(-Presion_cilindro!$B$16*((Presion_cilindro!N329-(-B$4+Presion_cilindro!$B$34))/Presion_cilindro!$B$35)^(Presion_cilindro!$B$17+1)),0)-IF(Presion_cilindro!N328&gt;(-B$4+Presion_cilindro!$B$34),1-EXP(-Presion_cilindro!$B$16*((Presion_cilindro!N328-(-B$4+Presion_cilindro!$B$34))/Presion_cilindro!$B$35)^(Presion_cilindro!$B$17+1)),0))/((Presion_cilindro!O328+Presion_cilindro!O329)/2)</f>
        <v>11.242490516356877</v>
      </c>
      <c r="C337" s="27">
        <f>C336*(Presion_cilindro!O328/Presion_cilindro!O329)^Presion_cilindro!$B$9+10*(Presion_cilindro!$B$9-1)*Presion_cilindro!$B$33*(IF(Presion_cilindro!N329&gt;(-C$4+Presion_cilindro!$B$34),1-EXP(-Presion_cilindro!$B$16*((Presion_cilindro!N329-(-C$4+Presion_cilindro!$B$34))/Presion_cilindro!$B$35)^(Presion_cilindro!$B$17+1)),0)-IF(Presion_cilindro!N328&gt;(-C$4+Presion_cilindro!$B$34),1-EXP(-Presion_cilindro!$B$16*((Presion_cilindro!N328-(-C$4+Presion_cilindro!$B$34))/Presion_cilindro!$B$35)^(Presion_cilindro!$B$17+1)),0))/((Presion_cilindro!O328+Presion_cilindro!O329)/2)</f>
        <v>11.242490516356877</v>
      </c>
      <c r="D337" s="27">
        <f>D336*(Presion_cilindro!O328/Presion_cilindro!O329)^Presion_cilindro!$B$9+10*(Presion_cilindro!$B$9-1)*Presion_cilindro!$B$33*(IF(Presion_cilindro!N329&gt;(-D$4+Presion_cilindro!$B$34),1-EXP(-Presion_cilindro!$B$16*((Presion_cilindro!N329-(-D$4+Presion_cilindro!$B$34))/Presion_cilindro!$B$35)^(Presion_cilindro!$B$17+1)),0)-IF(Presion_cilindro!N328&gt;(-D$4+Presion_cilindro!$B$34),1-EXP(-Presion_cilindro!$B$16*((Presion_cilindro!N328-(-D$4+Presion_cilindro!$B$34))/Presion_cilindro!$B$35)^(Presion_cilindro!$B$17+1)),0))/((Presion_cilindro!O328+Presion_cilindro!O329)/2)</f>
        <v>11.242490516356877</v>
      </c>
      <c r="E337" s="27">
        <f>E336*(Presion_cilindro!O328/Presion_cilindro!O329)^Presion_cilindro!$B$9+10*(Presion_cilindro!$B$9-1)*Presion_cilindro!$B$33*(IF(Presion_cilindro!N329&gt;(-E$4+Presion_cilindro!$B$34),1-EXP(-Presion_cilindro!$B$16*((Presion_cilindro!N329-(-E$4+Presion_cilindro!$B$34))/Presion_cilindro!$B$35)^(Presion_cilindro!$B$17+1)),0)-IF(Presion_cilindro!N328&gt;(-E$4+Presion_cilindro!$B$34),1-EXP(-Presion_cilindro!$B$16*((Presion_cilindro!N328-(-E$4+Presion_cilindro!$B$34))/Presion_cilindro!$B$35)^(Presion_cilindro!$B$17+1)),0))/((Presion_cilindro!O328+Presion_cilindro!O329)/2)</f>
        <v>11.242490516356877</v>
      </c>
      <c r="F337" s="27">
        <f>F336*(Presion_cilindro!O328/Presion_cilindro!O329)^Presion_cilindro!$B$9+10*(Presion_cilindro!$B$9-1)*Presion_cilindro!$B$33*(IF(Presion_cilindro!N329&gt;(-F$4+Presion_cilindro!$B$34),1-EXP(-Presion_cilindro!$B$16*((Presion_cilindro!N329-(-F$4+Presion_cilindro!$B$34))/Presion_cilindro!$B$35)^(Presion_cilindro!$B$17+1)),0)-IF(Presion_cilindro!N328&gt;(-F$4+Presion_cilindro!$B$34),1-EXP(-Presion_cilindro!$B$16*((Presion_cilindro!N328-(-F$4+Presion_cilindro!$B$34))/Presion_cilindro!$B$35)^(Presion_cilindro!$B$17+1)),0))/((Presion_cilindro!O328+Presion_cilindro!O329)/2)</f>
        <v>11.242490516356877</v>
      </c>
      <c r="G337" s="27">
        <f>G336*(Presion_cilindro!O328/Presion_cilindro!O329)^Presion_cilindro!$B$9+10*(Presion_cilindro!$B$9-1)*Presion_cilindro!$B$33*(IF(Presion_cilindro!N329&gt;(-G$4+Presion_cilindro!$B$34),1-EXP(-Presion_cilindro!$B$16*((Presion_cilindro!N329-(-G$4+Presion_cilindro!$B$34))/Presion_cilindro!$B$35)^(Presion_cilindro!$B$17+1)),0)-IF(Presion_cilindro!N328&gt;(-G$4+Presion_cilindro!$B$34),1-EXP(-Presion_cilindro!$B$16*((Presion_cilindro!N328-(-G$4+Presion_cilindro!$B$34))/Presion_cilindro!$B$35)^(Presion_cilindro!$B$17+1)),0))/((Presion_cilindro!O328+Presion_cilindro!O329)/2)</f>
        <v>11.242518229643544</v>
      </c>
      <c r="H337" s="27">
        <f>H336*(Presion_cilindro!O328/Presion_cilindro!O329)^Presion_cilindro!$B$9+10*(Presion_cilindro!$B$9-1)*Presion_cilindro!$B$33*(IF(Presion_cilindro!N329&gt;(-H$4+Presion_cilindro!$B$34),1-EXP(-Presion_cilindro!$B$16*((Presion_cilindro!N329-(-H$4+Presion_cilindro!$B$34))/Presion_cilindro!$B$35)^(Presion_cilindro!$B$17+1)),0)-IF(Presion_cilindro!N328&gt;(-H$4+Presion_cilindro!$B$34),1-EXP(-Presion_cilindro!$B$16*((Presion_cilindro!N328-(-H$4+Presion_cilindro!$B$34))/Presion_cilindro!$B$35)^(Presion_cilindro!$B$17+1)),0))/((Presion_cilindro!O328+Presion_cilindro!O329)/2)</f>
        <v>11.396156612197132</v>
      </c>
      <c r="I337" s="27">
        <f>I336*(Presion_cilindro!O328/Presion_cilindro!O329)^Presion_cilindro!$B$9+10*(Presion_cilindro!$B$9-1)*Presion_cilindro!$B$33*(IF(Presion_cilindro!N329&gt;(-I$4+Presion_cilindro!$B$34),1-EXP(-Presion_cilindro!$B$16*((Presion_cilindro!N329-(-I$4+Presion_cilindro!$B$34))/Presion_cilindro!$B$35)^(Presion_cilindro!$B$17+1)),0)-IF(Presion_cilindro!N328&gt;(-I$4+Presion_cilindro!$B$34),1-EXP(-Presion_cilindro!$B$16*((Presion_cilindro!N328-(-I$4+Presion_cilindro!$B$34))/Presion_cilindro!$B$35)^(Presion_cilindro!$B$17+1)),0))/((Presion_cilindro!O328+Presion_cilindro!O329)/2)</f>
        <v>12.360627549083439</v>
      </c>
      <c r="J337" s="27">
        <f>J336*(Presion_cilindro!O328/Presion_cilindro!O329)^Presion_cilindro!$B$9+10*(Presion_cilindro!$B$9-1)*Presion_cilindro!$B$33*(IF(Presion_cilindro!N329&gt;(-J$4+Presion_cilindro!$B$34),1-EXP(-Presion_cilindro!$B$16*((Presion_cilindro!N329-(-J$4+Presion_cilindro!$B$34))/Presion_cilindro!$B$35)^(Presion_cilindro!$B$17+1)),0)-IF(Presion_cilindro!N328&gt;(-J$4+Presion_cilindro!$B$34),1-EXP(-Presion_cilindro!$B$16*((Presion_cilindro!N328-(-J$4+Presion_cilindro!$B$34))/Presion_cilindro!$B$35)^(Presion_cilindro!$B$17+1)),0))/((Presion_cilindro!O328+Presion_cilindro!O329)/2)</f>
        <v>14.768970224340507</v>
      </c>
      <c r="K337" s="27">
        <f>K336*(Presion_cilindro!O328/Presion_cilindro!O329)^Presion_cilindro!$B$9+10*(Presion_cilindro!$B$9-1)*Presion_cilindro!$B$33*(IF(Presion_cilindro!N329&gt;(-K$4+Presion_cilindro!$B$34),1-EXP(-Presion_cilindro!$B$16*((Presion_cilindro!N329-(-K$4+Presion_cilindro!$B$34))/Presion_cilindro!$B$35)^(Presion_cilindro!$B$17+1)),0)-IF(Presion_cilindro!N328&gt;(-K$4+Presion_cilindro!$B$34),1-EXP(-Presion_cilindro!$B$16*((Presion_cilindro!N328-(-K$4+Presion_cilindro!$B$34))/Presion_cilindro!$B$35)^(Presion_cilindro!$B$17+1)),0))/((Presion_cilindro!O328+Presion_cilindro!O329)/2)</f>
        <v>18.841641336611364</v>
      </c>
      <c r="L337" s="27">
        <f>L336*(Presion_cilindro!O328/Presion_cilindro!O329)^Presion_cilindro!$B$9+10*(Presion_cilindro!$B$9-1)*Presion_cilindro!$B$33*(IF(Presion_cilindro!N329&gt;(-L$4+Presion_cilindro!$B$34),1-EXP(-Presion_cilindro!$B$16*((Presion_cilindro!N329-(-L$4+Presion_cilindro!$B$34))/Presion_cilindro!$B$35)^(Presion_cilindro!$B$17+1)),0)-IF(Presion_cilindro!N328&gt;(-L$4+Presion_cilindro!$B$34),1-EXP(-Presion_cilindro!$B$16*((Presion_cilindro!N328-(-L$4+Presion_cilindro!$B$34))/Presion_cilindro!$B$35)^(Presion_cilindro!$B$17+1)),0))/((Presion_cilindro!O328+Presion_cilindro!O329)/2)</f>
        <v>24.150113440703223</v>
      </c>
      <c r="M337" s="27">
        <f>M336*(Presion_cilindro!O328/Presion_cilindro!O329)^Presion_cilindro!$B$9+10*(Presion_cilindro!$B$9-1)*Presion_cilindro!$B$33*(IF(Presion_cilindro!N329&gt;(-M$4+Presion_cilindro!$B$34),1-EXP(-Presion_cilindro!$B$16*((Presion_cilindro!N329-(-M$4+Presion_cilindro!$B$34))/Presion_cilindro!$B$35)^(Presion_cilindro!$B$17+1)),0)-IF(Presion_cilindro!N328&gt;(-M$4+Presion_cilindro!$B$34),1-EXP(-Presion_cilindro!$B$16*((Presion_cilindro!N328-(-M$4+Presion_cilindro!$B$34))/Presion_cilindro!$B$35)^(Presion_cilindro!$B$17+1)),0))/((Presion_cilindro!O328+Presion_cilindro!O329)/2)</f>
        <v>29.715527813142536</v>
      </c>
      <c r="N337" s="27">
        <f>N336*(Presion_cilindro!O328/Presion_cilindro!O329)^Presion_cilindro!$B$9+10*(Presion_cilindro!$B$9-1)*Presion_cilindro!$B$33*(IF(Presion_cilindro!N329&gt;(-N$4+Presion_cilindro!$B$34),1-EXP(-Presion_cilindro!$B$16*((Presion_cilindro!N329-(-N$4+Presion_cilindro!$B$34))/Presion_cilindro!$B$35)^(Presion_cilindro!$B$17+1)),0)-IF(Presion_cilindro!N328&gt;(-N$4+Presion_cilindro!$B$34),1-EXP(-Presion_cilindro!$B$16*((Presion_cilindro!N328-(-N$4+Presion_cilindro!$B$34))/Presion_cilindro!$B$35)^(Presion_cilindro!$B$17+1)),0))/((Presion_cilindro!O328+Presion_cilindro!O329)/2)</f>
        <v>34.514700858293672</v>
      </c>
    </row>
    <row r="338" spans="1:14" x14ac:dyDescent="0.25">
      <c r="A338" s="21">
        <f>Presion_cilindro!N330</f>
        <v>-17</v>
      </c>
      <c r="B338" s="27">
        <f>B337*(Presion_cilindro!O329/Presion_cilindro!O330)^Presion_cilindro!$B$9+10*(Presion_cilindro!$B$9-1)*Presion_cilindro!$B$33*(IF(Presion_cilindro!N330&gt;(-B$4+Presion_cilindro!$B$34),1-EXP(-Presion_cilindro!$B$16*((Presion_cilindro!N330-(-B$4+Presion_cilindro!$B$34))/Presion_cilindro!$B$35)^(Presion_cilindro!$B$17+1)),0)-IF(Presion_cilindro!N329&gt;(-B$4+Presion_cilindro!$B$34),1-EXP(-Presion_cilindro!$B$16*((Presion_cilindro!N329-(-B$4+Presion_cilindro!$B$34))/Presion_cilindro!$B$35)^(Presion_cilindro!$B$17+1)),0))/((Presion_cilindro!O329+Presion_cilindro!O330)/2)</f>
        <v>11.420043838520682</v>
      </c>
      <c r="C338" s="27">
        <f>C337*(Presion_cilindro!O329/Presion_cilindro!O330)^Presion_cilindro!$B$9+10*(Presion_cilindro!$B$9-1)*Presion_cilindro!$B$33*(IF(Presion_cilindro!N330&gt;(-C$4+Presion_cilindro!$B$34),1-EXP(-Presion_cilindro!$B$16*((Presion_cilindro!N330-(-C$4+Presion_cilindro!$B$34))/Presion_cilindro!$B$35)^(Presion_cilindro!$B$17+1)),0)-IF(Presion_cilindro!N329&gt;(-C$4+Presion_cilindro!$B$34),1-EXP(-Presion_cilindro!$B$16*((Presion_cilindro!N329-(-C$4+Presion_cilindro!$B$34))/Presion_cilindro!$B$35)^(Presion_cilindro!$B$17+1)),0))/((Presion_cilindro!O329+Presion_cilindro!O330)/2)</f>
        <v>11.420043838520682</v>
      </c>
      <c r="D338" s="27">
        <f>D337*(Presion_cilindro!O329/Presion_cilindro!O330)^Presion_cilindro!$B$9+10*(Presion_cilindro!$B$9-1)*Presion_cilindro!$B$33*(IF(Presion_cilindro!N330&gt;(-D$4+Presion_cilindro!$B$34),1-EXP(-Presion_cilindro!$B$16*((Presion_cilindro!N330-(-D$4+Presion_cilindro!$B$34))/Presion_cilindro!$B$35)^(Presion_cilindro!$B$17+1)),0)-IF(Presion_cilindro!N329&gt;(-D$4+Presion_cilindro!$B$34),1-EXP(-Presion_cilindro!$B$16*((Presion_cilindro!N329-(-D$4+Presion_cilindro!$B$34))/Presion_cilindro!$B$35)^(Presion_cilindro!$B$17+1)),0))/((Presion_cilindro!O329+Presion_cilindro!O330)/2)</f>
        <v>11.420043838520682</v>
      </c>
      <c r="E338" s="27">
        <f>E337*(Presion_cilindro!O329/Presion_cilindro!O330)^Presion_cilindro!$B$9+10*(Presion_cilindro!$B$9-1)*Presion_cilindro!$B$33*(IF(Presion_cilindro!N330&gt;(-E$4+Presion_cilindro!$B$34),1-EXP(-Presion_cilindro!$B$16*((Presion_cilindro!N330-(-E$4+Presion_cilindro!$B$34))/Presion_cilindro!$B$35)^(Presion_cilindro!$B$17+1)),0)-IF(Presion_cilindro!N329&gt;(-E$4+Presion_cilindro!$B$34),1-EXP(-Presion_cilindro!$B$16*((Presion_cilindro!N329-(-E$4+Presion_cilindro!$B$34))/Presion_cilindro!$B$35)^(Presion_cilindro!$B$17+1)),0))/((Presion_cilindro!O329+Presion_cilindro!O330)/2)</f>
        <v>11.420043838520682</v>
      </c>
      <c r="F338" s="27">
        <f>F337*(Presion_cilindro!O329/Presion_cilindro!O330)^Presion_cilindro!$B$9+10*(Presion_cilindro!$B$9-1)*Presion_cilindro!$B$33*(IF(Presion_cilindro!N330&gt;(-F$4+Presion_cilindro!$B$34),1-EXP(-Presion_cilindro!$B$16*((Presion_cilindro!N330-(-F$4+Presion_cilindro!$B$34))/Presion_cilindro!$B$35)^(Presion_cilindro!$B$17+1)),0)-IF(Presion_cilindro!N329&gt;(-F$4+Presion_cilindro!$B$34),1-EXP(-Presion_cilindro!$B$16*((Presion_cilindro!N329-(-F$4+Presion_cilindro!$B$34))/Presion_cilindro!$B$35)^(Presion_cilindro!$B$17+1)),0))/((Presion_cilindro!O329+Presion_cilindro!O330)/2)</f>
        <v>11.420043838520682</v>
      </c>
      <c r="G338" s="27">
        <f>G337*(Presion_cilindro!O329/Presion_cilindro!O330)^Presion_cilindro!$B$9+10*(Presion_cilindro!$B$9-1)*Presion_cilindro!$B$33*(IF(Presion_cilindro!N330&gt;(-G$4+Presion_cilindro!$B$34),1-EXP(-Presion_cilindro!$B$16*((Presion_cilindro!N330-(-G$4+Presion_cilindro!$B$34))/Presion_cilindro!$B$35)^(Presion_cilindro!$B$17+1)),0)-IF(Presion_cilindro!N329&gt;(-G$4+Presion_cilindro!$B$34),1-EXP(-Presion_cilindro!$B$16*((Presion_cilindro!N329-(-G$4+Presion_cilindro!$B$34))/Presion_cilindro!$B$35)^(Presion_cilindro!$B$17+1)),0))/((Presion_cilindro!O329+Presion_cilindro!O330)/2)</f>
        <v>11.420575742605614</v>
      </c>
      <c r="H338" s="27">
        <f>H337*(Presion_cilindro!O329/Presion_cilindro!O330)^Presion_cilindro!$B$9+10*(Presion_cilindro!$B$9-1)*Presion_cilindro!$B$33*(IF(Presion_cilindro!N330&gt;(-H$4+Presion_cilindro!$B$34),1-EXP(-Presion_cilindro!$B$16*((Presion_cilindro!N330-(-H$4+Presion_cilindro!$B$34))/Presion_cilindro!$B$35)^(Presion_cilindro!$B$17+1)),0)-IF(Presion_cilindro!N329&gt;(-H$4+Presion_cilindro!$B$34),1-EXP(-Presion_cilindro!$B$16*((Presion_cilindro!N329-(-H$4+Presion_cilindro!$B$34))/Presion_cilindro!$B$35)^(Presion_cilindro!$B$17+1)),0))/((Presion_cilindro!O329+Presion_cilindro!O330)/2)</f>
        <v>11.623822805071502</v>
      </c>
      <c r="I338" s="27">
        <f>I337*(Presion_cilindro!O329/Presion_cilindro!O330)^Presion_cilindro!$B$9+10*(Presion_cilindro!$B$9-1)*Presion_cilindro!$B$33*(IF(Presion_cilindro!N330&gt;(-I$4+Presion_cilindro!$B$34),1-EXP(-Presion_cilindro!$B$16*((Presion_cilindro!N330-(-I$4+Presion_cilindro!$B$34))/Presion_cilindro!$B$35)^(Presion_cilindro!$B$17+1)),0)-IF(Presion_cilindro!N329&gt;(-I$4+Presion_cilindro!$B$34),1-EXP(-Presion_cilindro!$B$16*((Presion_cilindro!N329-(-I$4+Presion_cilindro!$B$34))/Presion_cilindro!$B$35)^(Presion_cilindro!$B$17+1)),0))/((Presion_cilindro!O329+Presion_cilindro!O330)/2)</f>
        <v>12.721122507619663</v>
      </c>
      <c r="J338" s="27">
        <f>J337*(Presion_cilindro!O329/Presion_cilindro!O330)^Presion_cilindro!$B$9+10*(Presion_cilindro!$B$9-1)*Presion_cilindro!$B$33*(IF(Presion_cilindro!N330&gt;(-J$4+Presion_cilindro!$B$34),1-EXP(-Presion_cilindro!$B$16*((Presion_cilindro!N330-(-J$4+Presion_cilindro!$B$34))/Presion_cilindro!$B$35)^(Presion_cilindro!$B$17+1)),0)-IF(Presion_cilindro!N329&gt;(-J$4+Presion_cilindro!$B$34),1-EXP(-Presion_cilindro!$B$16*((Presion_cilindro!N329-(-J$4+Presion_cilindro!$B$34))/Presion_cilindro!$B$35)^(Presion_cilindro!$B$17+1)),0))/((Presion_cilindro!O329+Presion_cilindro!O330)/2)</f>
        <v>15.325149335805222</v>
      </c>
      <c r="K338" s="27">
        <f>K337*(Presion_cilindro!O329/Presion_cilindro!O330)^Presion_cilindro!$B$9+10*(Presion_cilindro!$B$9-1)*Presion_cilindro!$B$33*(IF(Presion_cilindro!N330&gt;(-K$4+Presion_cilindro!$B$34),1-EXP(-Presion_cilindro!$B$16*((Presion_cilindro!N330-(-K$4+Presion_cilindro!$B$34))/Presion_cilindro!$B$35)^(Presion_cilindro!$B$17+1)),0)-IF(Presion_cilindro!N329&gt;(-K$4+Presion_cilindro!$B$34),1-EXP(-Presion_cilindro!$B$16*((Presion_cilindro!N329-(-K$4+Presion_cilindro!$B$34))/Presion_cilindro!$B$35)^(Presion_cilindro!$B$17+1)),0))/((Presion_cilindro!O329+Presion_cilindro!O330)/2)</f>
        <v>19.600235235434585</v>
      </c>
      <c r="L338" s="27">
        <f>L337*(Presion_cilindro!O329/Presion_cilindro!O330)^Presion_cilindro!$B$9+10*(Presion_cilindro!$B$9-1)*Presion_cilindro!$B$33*(IF(Presion_cilindro!N330&gt;(-L$4+Presion_cilindro!$B$34),1-EXP(-Presion_cilindro!$B$16*((Presion_cilindro!N330-(-L$4+Presion_cilindro!$B$34))/Presion_cilindro!$B$35)^(Presion_cilindro!$B$17+1)),0)-IF(Presion_cilindro!N329&gt;(-L$4+Presion_cilindro!$B$34),1-EXP(-Presion_cilindro!$B$16*((Presion_cilindro!N329-(-L$4+Presion_cilindro!$B$34))/Presion_cilindro!$B$35)^(Presion_cilindro!$B$17+1)),0))/((Presion_cilindro!O329+Presion_cilindro!O330)/2)</f>
        <v>25.044968904690915</v>
      </c>
      <c r="M338" s="27">
        <f>M337*(Presion_cilindro!O329/Presion_cilindro!O330)^Presion_cilindro!$B$9+10*(Presion_cilindro!$B$9-1)*Presion_cilindro!$B$33*(IF(Presion_cilindro!N330&gt;(-M$4+Presion_cilindro!$B$34),1-EXP(-Presion_cilindro!$B$16*((Presion_cilindro!N330-(-M$4+Presion_cilindro!$B$34))/Presion_cilindro!$B$35)^(Presion_cilindro!$B$17+1)),0)-IF(Presion_cilindro!N329&gt;(-M$4+Presion_cilindro!$B$34),1-EXP(-Presion_cilindro!$B$16*((Presion_cilindro!N329-(-M$4+Presion_cilindro!$B$34))/Presion_cilindro!$B$35)^(Presion_cilindro!$B$17+1)),0))/((Presion_cilindro!O329+Presion_cilindro!O330)/2)</f>
        <v>30.636860393522706</v>
      </c>
      <c r="N338" s="27">
        <f>N337*(Presion_cilindro!O329/Presion_cilindro!O330)^Presion_cilindro!$B$9+10*(Presion_cilindro!$B$9-1)*Presion_cilindro!$B$33*(IF(Presion_cilindro!N330&gt;(-N$4+Presion_cilindro!$B$34),1-EXP(-Presion_cilindro!$B$16*((Presion_cilindro!N330-(-N$4+Presion_cilindro!$B$34))/Presion_cilindro!$B$35)^(Presion_cilindro!$B$17+1)),0)-IF(Presion_cilindro!N329&gt;(-N$4+Presion_cilindro!$B$34),1-EXP(-Presion_cilindro!$B$16*((Presion_cilindro!N329-(-N$4+Presion_cilindro!$B$34))/Presion_cilindro!$B$35)^(Presion_cilindro!$B$17+1)),0))/((Presion_cilindro!O329+Presion_cilindro!O330)/2)</f>
        <v>35.372208144491523</v>
      </c>
    </row>
    <row r="339" spans="1:14" x14ac:dyDescent="0.25">
      <c r="A339" s="21">
        <f>Presion_cilindro!N331</f>
        <v>-16.5</v>
      </c>
      <c r="B339" s="27">
        <f>B338*(Presion_cilindro!O330/Presion_cilindro!O331)^Presion_cilindro!$B$9+10*(Presion_cilindro!$B$9-1)*Presion_cilindro!$B$33*(IF(Presion_cilindro!N331&gt;(-B$4+Presion_cilindro!$B$34),1-EXP(-Presion_cilindro!$B$16*((Presion_cilindro!N331-(-B$4+Presion_cilindro!$B$34))/Presion_cilindro!$B$35)^(Presion_cilindro!$B$17+1)),0)-IF(Presion_cilindro!N330&gt;(-B$4+Presion_cilindro!$B$34),1-EXP(-Presion_cilindro!$B$16*((Presion_cilindro!N330-(-B$4+Presion_cilindro!$B$34))/Presion_cilindro!$B$35)^(Presion_cilindro!$B$17+1)),0))/((Presion_cilindro!O330+Presion_cilindro!O331)/2)</f>
        <v>11.597457686773055</v>
      </c>
      <c r="C339" s="27">
        <f>C338*(Presion_cilindro!O330/Presion_cilindro!O331)^Presion_cilindro!$B$9+10*(Presion_cilindro!$B$9-1)*Presion_cilindro!$B$33*(IF(Presion_cilindro!N331&gt;(-C$4+Presion_cilindro!$B$34),1-EXP(-Presion_cilindro!$B$16*((Presion_cilindro!N331-(-C$4+Presion_cilindro!$B$34))/Presion_cilindro!$B$35)^(Presion_cilindro!$B$17+1)),0)-IF(Presion_cilindro!N330&gt;(-C$4+Presion_cilindro!$B$34),1-EXP(-Presion_cilindro!$B$16*((Presion_cilindro!N330-(-C$4+Presion_cilindro!$B$34))/Presion_cilindro!$B$35)^(Presion_cilindro!$B$17+1)),0))/((Presion_cilindro!O330+Presion_cilindro!O331)/2)</f>
        <v>11.597457686773055</v>
      </c>
      <c r="D339" s="27">
        <f>D338*(Presion_cilindro!O330/Presion_cilindro!O331)^Presion_cilindro!$B$9+10*(Presion_cilindro!$B$9-1)*Presion_cilindro!$B$33*(IF(Presion_cilindro!N331&gt;(-D$4+Presion_cilindro!$B$34),1-EXP(-Presion_cilindro!$B$16*((Presion_cilindro!N331-(-D$4+Presion_cilindro!$B$34))/Presion_cilindro!$B$35)^(Presion_cilindro!$B$17+1)),0)-IF(Presion_cilindro!N330&gt;(-D$4+Presion_cilindro!$B$34),1-EXP(-Presion_cilindro!$B$16*((Presion_cilindro!N330-(-D$4+Presion_cilindro!$B$34))/Presion_cilindro!$B$35)^(Presion_cilindro!$B$17+1)),0))/((Presion_cilindro!O330+Presion_cilindro!O331)/2)</f>
        <v>11.597457686773055</v>
      </c>
      <c r="E339" s="27">
        <f>E338*(Presion_cilindro!O330/Presion_cilindro!O331)^Presion_cilindro!$B$9+10*(Presion_cilindro!$B$9-1)*Presion_cilindro!$B$33*(IF(Presion_cilindro!N331&gt;(-E$4+Presion_cilindro!$B$34),1-EXP(-Presion_cilindro!$B$16*((Presion_cilindro!N331-(-E$4+Presion_cilindro!$B$34))/Presion_cilindro!$B$35)^(Presion_cilindro!$B$17+1)),0)-IF(Presion_cilindro!N330&gt;(-E$4+Presion_cilindro!$B$34),1-EXP(-Presion_cilindro!$B$16*((Presion_cilindro!N330-(-E$4+Presion_cilindro!$B$34))/Presion_cilindro!$B$35)^(Presion_cilindro!$B$17+1)),0))/((Presion_cilindro!O330+Presion_cilindro!O331)/2)</f>
        <v>11.597457686773055</v>
      </c>
      <c r="F339" s="27">
        <f>F338*(Presion_cilindro!O330/Presion_cilindro!O331)^Presion_cilindro!$B$9+10*(Presion_cilindro!$B$9-1)*Presion_cilindro!$B$33*(IF(Presion_cilindro!N331&gt;(-F$4+Presion_cilindro!$B$34),1-EXP(-Presion_cilindro!$B$16*((Presion_cilindro!N331-(-F$4+Presion_cilindro!$B$34))/Presion_cilindro!$B$35)^(Presion_cilindro!$B$17+1)),0)-IF(Presion_cilindro!N330&gt;(-F$4+Presion_cilindro!$B$34),1-EXP(-Presion_cilindro!$B$16*((Presion_cilindro!N330-(-F$4+Presion_cilindro!$B$34))/Presion_cilindro!$B$35)^(Presion_cilindro!$B$17+1)),0))/((Presion_cilindro!O330+Presion_cilindro!O331)/2)</f>
        <v>11.597457686773055</v>
      </c>
      <c r="G339" s="27">
        <f>G338*(Presion_cilindro!O330/Presion_cilindro!O331)^Presion_cilindro!$B$9+10*(Presion_cilindro!$B$9-1)*Presion_cilindro!$B$33*(IF(Presion_cilindro!N331&gt;(-G$4+Presion_cilindro!$B$34),1-EXP(-Presion_cilindro!$B$16*((Presion_cilindro!N331-(-G$4+Presion_cilindro!$B$34))/Presion_cilindro!$B$35)^(Presion_cilindro!$B$17+1)),0)-IF(Presion_cilindro!N330&gt;(-G$4+Presion_cilindro!$B$34),1-EXP(-Presion_cilindro!$B$16*((Presion_cilindro!N330-(-G$4+Presion_cilindro!$B$34))/Presion_cilindro!$B$35)^(Presion_cilindro!$B$17+1)),0))/((Presion_cilindro!O330+Presion_cilindro!O331)/2)</f>
        <v>11.599768501763409</v>
      </c>
      <c r="H339" s="27">
        <f>H338*(Presion_cilindro!O330/Presion_cilindro!O331)^Presion_cilindro!$B$9+10*(Presion_cilindro!$B$9-1)*Presion_cilindro!$B$33*(IF(Presion_cilindro!N331&gt;(-H$4+Presion_cilindro!$B$34),1-EXP(-Presion_cilindro!$B$16*((Presion_cilindro!N331-(-H$4+Presion_cilindro!$B$34))/Presion_cilindro!$B$35)^(Presion_cilindro!$B$17+1)),0)-IF(Presion_cilindro!N330&gt;(-H$4+Presion_cilindro!$B$34),1-EXP(-Presion_cilindro!$B$16*((Presion_cilindro!N330-(-H$4+Presion_cilindro!$B$34))/Presion_cilindro!$B$35)^(Presion_cilindro!$B$17+1)),0))/((Presion_cilindro!O330+Presion_cilindro!O331)/2)</f>
        <v>11.861608825924817</v>
      </c>
      <c r="I339" s="27">
        <f>I338*(Presion_cilindro!O330/Presion_cilindro!O331)^Presion_cilindro!$B$9+10*(Presion_cilindro!$B$9-1)*Presion_cilindro!$B$33*(IF(Presion_cilindro!N331&gt;(-I$4+Presion_cilindro!$B$34),1-EXP(-Presion_cilindro!$B$16*((Presion_cilindro!N331-(-I$4+Presion_cilindro!$B$34))/Presion_cilindro!$B$35)^(Presion_cilindro!$B$17+1)),0)-IF(Presion_cilindro!N330&gt;(-I$4+Presion_cilindro!$B$34),1-EXP(-Presion_cilindro!$B$16*((Presion_cilindro!N330-(-I$4+Presion_cilindro!$B$34))/Presion_cilindro!$B$35)^(Presion_cilindro!$B$17+1)),0))/((Presion_cilindro!O330+Presion_cilindro!O331)/2)</f>
        <v>13.100886845806132</v>
      </c>
      <c r="J339" s="27">
        <f>J338*(Presion_cilindro!O330/Presion_cilindro!O331)^Presion_cilindro!$B$9+10*(Presion_cilindro!$B$9-1)*Presion_cilindro!$B$33*(IF(Presion_cilindro!N331&gt;(-J$4+Presion_cilindro!$B$34),1-EXP(-Presion_cilindro!$B$16*((Presion_cilindro!N331-(-J$4+Presion_cilindro!$B$34))/Presion_cilindro!$B$35)^(Presion_cilindro!$B$17+1)),0)-IF(Presion_cilindro!N330&gt;(-J$4+Presion_cilindro!$B$34),1-EXP(-Presion_cilindro!$B$16*((Presion_cilindro!N330-(-J$4+Presion_cilindro!$B$34))/Presion_cilindro!$B$35)^(Presion_cilindro!$B$17+1)),0))/((Presion_cilindro!O330+Presion_cilindro!O331)/2)</f>
        <v>15.906004344443884</v>
      </c>
      <c r="K339" s="27">
        <f>K338*(Presion_cilindro!O330/Presion_cilindro!O331)^Presion_cilindro!$B$9+10*(Presion_cilindro!$B$9-1)*Presion_cilindro!$B$33*(IF(Presion_cilindro!N331&gt;(-K$4+Presion_cilindro!$B$34),1-EXP(-Presion_cilindro!$B$16*((Presion_cilindro!N331-(-K$4+Presion_cilindro!$B$34))/Presion_cilindro!$B$35)^(Presion_cilindro!$B$17+1)),0)-IF(Presion_cilindro!N330&gt;(-K$4+Presion_cilindro!$B$34),1-EXP(-Presion_cilindro!$B$16*((Presion_cilindro!N330-(-K$4+Presion_cilindro!$B$34))/Presion_cilindro!$B$35)^(Presion_cilindro!$B$17+1)),0))/((Presion_cilindro!O330+Presion_cilindro!O331)/2)</f>
        <v>20.38130626840826</v>
      </c>
      <c r="L339" s="27">
        <f>L338*(Presion_cilindro!O330/Presion_cilindro!O331)^Presion_cilindro!$B$9+10*(Presion_cilindro!$B$9-1)*Presion_cilindro!$B$33*(IF(Presion_cilindro!N331&gt;(-L$4+Presion_cilindro!$B$34),1-EXP(-Presion_cilindro!$B$16*((Presion_cilindro!N331-(-L$4+Presion_cilindro!$B$34))/Presion_cilindro!$B$35)^(Presion_cilindro!$B$17+1)),0)-IF(Presion_cilindro!N330&gt;(-L$4+Presion_cilindro!$B$34),1-EXP(-Presion_cilindro!$B$16*((Presion_cilindro!N330-(-L$4+Presion_cilindro!$B$34))/Presion_cilindro!$B$35)^(Presion_cilindro!$B$17+1)),0))/((Presion_cilindro!O330+Presion_cilindro!O331)/2)</f>
        <v>25.95242022106083</v>
      </c>
      <c r="M339" s="27">
        <f>M338*(Presion_cilindro!O330/Presion_cilindro!O331)^Presion_cilindro!$B$9+10*(Presion_cilindro!$B$9-1)*Presion_cilindro!$B$33*(IF(Presion_cilindro!N331&gt;(-M$4+Presion_cilindro!$B$34),1-EXP(-Presion_cilindro!$B$16*((Presion_cilindro!N331-(-M$4+Presion_cilindro!$B$34))/Presion_cilindro!$B$35)^(Presion_cilindro!$B$17+1)),0)-IF(Presion_cilindro!N330&gt;(-M$4+Presion_cilindro!$B$34),1-EXP(-Presion_cilindro!$B$16*((Presion_cilindro!N330-(-M$4+Presion_cilindro!$B$34))/Presion_cilindro!$B$35)^(Presion_cilindro!$B$17+1)),0))/((Presion_cilindro!O330+Presion_cilindro!O331)/2)</f>
        <v>31.558496396071231</v>
      </c>
      <c r="N339" s="27">
        <f>N338*(Presion_cilindro!O330/Presion_cilindro!O331)^Presion_cilindro!$B$9+10*(Presion_cilindro!$B$9-1)*Presion_cilindro!$B$33*(IF(Presion_cilindro!N331&gt;(-N$4+Presion_cilindro!$B$34),1-EXP(-Presion_cilindro!$B$16*((Presion_cilindro!N331-(-N$4+Presion_cilindro!$B$34))/Presion_cilindro!$B$35)^(Presion_cilindro!$B$17+1)),0)-IF(Presion_cilindro!N330&gt;(-N$4+Presion_cilindro!$B$34),1-EXP(-Presion_cilindro!$B$16*((Presion_cilindro!N330-(-N$4+Presion_cilindro!$B$34))/Presion_cilindro!$B$35)^(Presion_cilindro!$B$17+1)),0))/((Presion_cilindro!O330+Presion_cilindro!O331)/2)</f>
        <v>36.222147568405987</v>
      </c>
    </row>
    <row r="340" spans="1:14" x14ac:dyDescent="0.25">
      <c r="A340" s="21">
        <f>Presion_cilindro!N332</f>
        <v>-16</v>
      </c>
      <c r="B340" s="27">
        <f>B339*(Presion_cilindro!O331/Presion_cilindro!O332)^Presion_cilindro!$B$9+10*(Presion_cilindro!$B$9-1)*Presion_cilindro!$B$33*(IF(Presion_cilindro!N332&gt;(-B$4+Presion_cilindro!$B$34),1-EXP(-Presion_cilindro!$B$16*((Presion_cilindro!N332-(-B$4+Presion_cilindro!$B$34))/Presion_cilindro!$B$35)^(Presion_cilindro!$B$17+1)),0)-IF(Presion_cilindro!N331&gt;(-B$4+Presion_cilindro!$B$34),1-EXP(-Presion_cilindro!$B$16*((Presion_cilindro!N331-(-B$4+Presion_cilindro!$B$34))/Presion_cilindro!$B$35)^(Presion_cilindro!$B$17+1)),0))/((Presion_cilindro!O331+Presion_cilindro!O332)/2)</f>
        <v>11.774486103051757</v>
      </c>
      <c r="C340" s="27">
        <f>C339*(Presion_cilindro!O331/Presion_cilindro!O332)^Presion_cilindro!$B$9+10*(Presion_cilindro!$B$9-1)*Presion_cilindro!$B$33*(IF(Presion_cilindro!N332&gt;(-C$4+Presion_cilindro!$B$34),1-EXP(-Presion_cilindro!$B$16*((Presion_cilindro!N332-(-C$4+Presion_cilindro!$B$34))/Presion_cilindro!$B$35)^(Presion_cilindro!$B$17+1)),0)-IF(Presion_cilindro!N331&gt;(-C$4+Presion_cilindro!$B$34),1-EXP(-Presion_cilindro!$B$16*((Presion_cilindro!N331-(-C$4+Presion_cilindro!$B$34))/Presion_cilindro!$B$35)^(Presion_cilindro!$B$17+1)),0))/((Presion_cilindro!O331+Presion_cilindro!O332)/2)</f>
        <v>11.774486103051757</v>
      </c>
      <c r="D340" s="27">
        <f>D339*(Presion_cilindro!O331/Presion_cilindro!O332)^Presion_cilindro!$B$9+10*(Presion_cilindro!$B$9-1)*Presion_cilindro!$B$33*(IF(Presion_cilindro!N332&gt;(-D$4+Presion_cilindro!$B$34),1-EXP(-Presion_cilindro!$B$16*((Presion_cilindro!N332-(-D$4+Presion_cilindro!$B$34))/Presion_cilindro!$B$35)^(Presion_cilindro!$B$17+1)),0)-IF(Presion_cilindro!N331&gt;(-D$4+Presion_cilindro!$B$34),1-EXP(-Presion_cilindro!$B$16*((Presion_cilindro!N331-(-D$4+Presion_cilindro!$B$34))/Presion_cilindro!$B$35)^(Presion_cilindro!$B$17+1)),0))/((Presion_cilindro!O331+Presion_cilindro!O332)/2)</f>
        <v>11.774486103051757</v>
      </c>
      <c r="E340" s="27">
        <f>E339*(Presion_cilindro!O331/Presion_cilindro!O332)^Presion_cilindro!$B$9+10*(Presion_cilindro!$B$9-1)*Presion_cilindro!$B$33*(IF(Presion_cilindro!N332&gt;(-E$4+Presion_cilindro!$B$34),1-EXP(-Presion_cilindro!$B$16*((Presion_cilindro!N332-(-E$4+Presion_cilindro!$B$34))/Presion_cilindro!$B$35)^(Presion_cilindro!$B$17+1)),0)-IF(Presion_cilindro!N331&gt;(-E$4+Presion_cilindro!$B$34),1-EXP(-Presion_cilindro!$B$16*((Presion_cilindro!N331-(-E$4+Presion_cilindro!$B$34))/Presion_cilindro!$B$35)^(Presion_cilindro!$B$17+1)),0))/((Presion_cilindro!O331+Presion_cilindro!O332)/2)</f>
        <v>11.774486103051757</v>
      </c>
      <c r="F340" s="27">
        <f>F339*(Presion_cilindro!O331/Presion_cilindro!O332)^Presion_cilindro!$B$9+10*(Presion_cilindro!$B$9-1)*Presion_cilindro!$B$33*(IF(Presion_cilindro!N332&gt;(-F$4+Presion_cilindro!$B$34),1-EXP(-Presion_cilindro!$B$16*((Presion_cilindro!N332-(-F$4+Presion_cilindro!$B$34))/Presion_cilindro!$B$35)^(Presion_cilindro!$B$17+1)),0)-IF(Presion_cilindro!N331&gt;(-F$4+Presion_cilindro!$B$34),1-EXP(-Presion_cilindro!$B$16*((Presion_cilindro!N331-(-F$4+Presion_cilindro!$B$34))/Presion_cilindro!$B$35)^(Presion_cilindro!$B$17+1)),0))/((Presion_cilindro!O331+Presion_cilindro!O332)/2)</f>
        <v>11.774486103051757</v>
      </c>
      <c r="G340" s="27">
        <f>G339*(Presion_cilindro!O331/Presion_cilindro!O332)^Presion_cilindro!$B$9+10*(Presion_cilindro!$B$9-1)*Presion_cilindro!$B$33*(IF(Presion_cilindro!N332&gt;(-G$4+Presion_cilindro!$B$34),1-EXP(-Presion_cilindro!$B$16*((Presion_cilindro!N332-(-G$4+Presion_cilindro!$B$34))/Presion_cilindro!$B$35)^(Presion_cilindro!$B$17+1)),0)-IF(Presion_cilindro!N331&gt;(-G$4+Presion_cilindro!$B$34),1-EXP(-Presion_cilindro!$B$16*((Presion_cilindro!N331-(-G$4+Presion_cilindro!$B$34))/Presion_cilindro!$B$35)^(Presion_cilindro!$B$17+1)),0))/((Presion_cilindro!O331+Presion_cilindro!O332)/2)</f>
        <v>11.780695681886096</v>
      </c>
      <c r="H340" s="27">
        <f>H339*(Presion_cilindro!O331/Presion_cilindro!O332)^Presion_cilindro!$B$9+10*(Presion_cilindro!$B$9-1)*Presion_cilindro!$B$33*(IF(Presion_cilindro!N332&gt;(-H$4+Presion_cilindro!$B$34),1-EXP(-Presion_cilindro!$B$16*((Presion_cilindro!N332-(-H$4+Presion_cilindro!$B$34))/Presion_cilindro!$B$35)^(Presion_cilindro!$B$17+1)),0)-IF(Presion_cilindro!N331&gt;(-H$4+Presion_cilindro!$B$34),1-EXP(-Presion_cilindro!$B$16*((Presion_cilindro!N331-(-H$4+Presion_cilindro!$B$34))/Presion_cilindro!$B$35)^(Presion_cilindro!$B$17+1)),0))/((Presion_cilindro!O331+Presion_cilindro!O332)/2)</f>
        <v>12.110325792848352</v>
      </c>
      <c r="I340" s="27">
        <f>I339*(Presion_cilindro!O331/Presion_cilindro!O332)^Presion_cilindro!$B$9+10*(Presion_cilindro!$B$9-1)*Presion_cilindro!$B$33*(IF(Presion_cilindro!N332&gt;(-I$4+Presion_cilindro!$B$34),1-EXP(-Presion_cilindro!$B$16*((Presion_cilindro!N332-(-I$4+Presion_cilindro!$B$34))/Presion_cilindro!$B$35)^(Presion_cilindro!$B$17+1)),0)-IF(Presion_cilindro!N331&gt;(-I$4+Presion_cilindro!$B$34),1-EXP(-Presion_cilindro!$B$16*((Presion_cilindro!N331-(-I$4+Presion_cilindro!$B$34))/Presion_cilindro!$B$35)^(Presion_cilindro!$B$17+1)),0))/((Presion_cilindro!O331+Presion_cilindro!O332)/2)</f>
        <v>13.500580469253117</v>
      </c>
      <c r="J340" s="27">
        <f>J339*(Presion_cilindro!O331/Presion_cilindro!O332)^Presion_cilindro!$B$9+10*(Presion_cilindro!$B$9-1)*Presion_cilindro!$B$33*(IF(Presion_cilindro!N332&gt;(-J$4+Presion_cilindro!$B$34),1-EXP(-Presion_cilindro!$B$16*((Presion_cilindro!N332-(-J$4+Presion_cilindro!$B$34))/Presion_cilindro!$B$35)^(Presion_cilindro!$B$17+1)),0)-IF(Presion_cilindro!N331&gt;(-J$4+Presion_cilindro!$B$34),1-EXP(-Presion_cilindro!$B$16*((Presion_cilindro!N331-(-J$4+Presion_cilindro!$B$34))/Presion_cilindro!$B$35)^(Presion_cilindro!$B$17+1)),0))/((Presion_cilindro!O331+Presion_cilindro!O332)/2)</f>
        <v>16.511501172094668</v>
      </c>
      <c r="K340" s="27">
        <f>K339*(Presion_cilindro!O331/Presion_cilindro!O332)^Presion_cilindro!$B$9+10*(Presion_cilindro!$B$9-1)*Presion_cilindro!$B$33*(IF(Presion_cilindro!N332&gt;(-K$4+Presion_cilindro!$B$34),1-EXP(-Presion_cilindro!$B$16*((Presion_cilindro!N332-(-K$4+Presion_cilindro!$B$34))/Presion_cilindro!$B$35)^(Presion_cilindro!$B$17+1)),0)-IF(Presion_cilindro!N331&gt;(-K$4+Presion_cilindro!$B$34),1-EXP(-Presion_cilindro!$B$16*((Presion_cilindro!N331-(-K$4+Presion_cilindro!$B$34))/Presion_cilindro!$B$35)^(Presion_cilindro!$B$17+1)),0))/((Presion_cilindro!O331+Presion_cilindro!O332)/2)</f>
        <v>21.183775531864445</v>
      </c>
      <c r="L340" s="27">
        <f>L339*(Presion_cilindro!O331/Presion_cilindro!O332)^Presion_cilindro!$B$9+10*(Presion_cilindro!$B$9-1)*Presion_cilindro!$B$33*(IF(Presion_cilindro!N332&gt;(-L$4+Presion_cilindro!$B$34),1-EXP(-Presion_cilindro!$B$16*((Presion_cilindro!N332-(-L$4+Presion_cilindro!$B$34))/Presion_cilindro!$B$35)^(Presion_cilindro!$B$17+1)),0)-IF(Presion_cilindro!N331&gt;(-L$4+Presion_cilindro!$B$34),1-EXP(-Presion_cilindro!$B$16*((Presion_cilindro!N331-(-L$4+Presion_cilindro!$B$34))/Presion_cilindro!$B$35)^(Presion_cilindro!$B$17+1)),0))/((Presion_cilindro!O331+Presion_cilindro!O332)/2)</f>
        <v>26.870580714132366</v>
      </c>
      <c r="M340" s="27">
        <f>M339*(Presion_cilindro!O331/Presion_cilindro!O332)^Presion_cilindro!$B$9+10*(Presion_cilindro!$B$9-1)*Presion_cilindro!$B$33*(IF(Presion_cilindro!N332&gt;(-M$4+Presion_cilindro!$B$34),1-EXP(-Presion_cilindro!$B$16*((Presion_cilindro!N332-(-M$4+Presion_cilindro!$B$34))/Presion_cilindro!$B$35)^(Presion_cilindro!$B$17+1)),0)-IF(Presion_cilindro!N331&gt;(-M$4+Presion_cilindro!$B$34),1-EXP(-Presion_cilindro!$B$16*((Presion_cilindro!N331-(-M$4+Presion_cilindro!$B$34))/Presion_cilindro!$B$35)^(Presion_cilindro!$B$17+1)),0))/((Presion_cilindro!O331+Presion_cilindro!O332)/2)</f>
        <v>32.478489497778156</v>
      </c>
      <c r="N340" s="27">
        <f>N339*(Presion_cilindro!O331/Presion_cilindro!O332)^Presion_cilindro!$B$9+10*(Presion_cilindro!$B$9-1)*Presion_cilindro!$B$33*(IF(Presion_cilindro!N332&gt;(-N$4+Presion_cilindro!$B$34),1-EXP(-Presion_cilindro!$B$16*((Presion_cilindro!N332-(-N$4+Presion_cilindro!$B$34))/Presion_cilindro!$B$35)^(Presion_cilindro!$B$17+1)),0)-IF(Presion_cilindro!N331&gt;(-N$4+Presion_cilindro!$B$34),1-EXP(-Presion_cilindro!$B$16*((Presion_cilindro!N331-(-N$4+Presion_cilindro!$B$34))/Presion_cilindro!$B$35)^(Presion_cilindro!$B$17+1)),0))/((Presion_cilindro!O331+Presion_cilindro!O332)/2)</f>
        <v>37.063139708572727</v>
      </c>
    </row>
    <row r="341" spans="1:14" x14ac:dyDescent="0.25">
      <c r="A341" s="21">
        <f>Presion_cilindro!N333</f>
        <v>-15.5</v>
      </c>
      <c r="B341" s="27">
        <f>B340*(Presion_cilindro!O332/Presion_cilindro!O333)^Presion_cilindro!$B$9+10*(Presion_cilindro!$B$9-1)*Presion_cilindro!$B$33*(IF(Presion_cilindro!N333&gt;(-B$4+Presion_cilindro!$B$34),1-EXP(-Presion_cilindro!$B$16*((Presion_cilindro!N333-(-B$4+Presion_cilindro!$B$34))/Presion_cilindro!$B$35)^(Presion_cilindro!$B$17+1)),0)-IF(Presion_cilindro!N332&gt;(-B$4+Presion_cilindro!$B$34),1-EXP(-Presion_cilindro!$B$16*((Presion_cilindro!N332-(-B$4+Presion_cilindro!$B$34))/Presion_cilindro!$B$35)^(Presion_cilindro!$B$17+1)),0))/((Presion_cilindro!O332+Presion_cilindro!O333)/2)</f>
        <v>11.950870868431339</v>
      </c>
      <c r="C341" s="27">
        <f>C340*(Presion_cilindro!O332/Presion_cilindro!O333)^Presion_cilindro!$B$9+10*(Presion_cilindro!$B$9-1)*Presion_cilindro!$B$33*(IF(Presion_cilindro!N333&gt;(-C$4+Presion_cilindro!$B$34),1-EXP(-Presion_cilindro!$B$16*((Presion_cilindro!N333-(-C$4+Presion_cilindro!$B$34))/Presion_cilindro!$B$35)^(Presion_cilindro!$B$17+1)),0)-IF(Presion_cilindro!N332&gt;(-C$4+Presion_cilindro!$B$34),1-EXP(-Presion_cilindro!$B$16*((Presion_cilindro!N332-(-C$4+Presion_cilindro!$B$34))/Presion_cilindro!$B$35)^(Presion_cilindro!$B$17+1)),0))/((Presion_cilindro!O332+Presion_cilindro!O333)/2)</f>
        <v>11.950870868431339</v>
      </c>
      <c r="D341" s="27">
        <f>D340*(Presion_cilindro!O332/Presion_cilindro!O333)^Presion_cilindro!$B$9+10*(Presion_cilindro!$B$9-1)*Presion_cilindro!$B$33*(IF(Presion_cilindro!N333&gt;(-D$4+Presion_cilindro!$B$34),1-EXP(-Presion_cilindro!$B$16*((Presion_cilindro!N333-(-D$4+Presion_cilindro!$B$34))/Presion_cilindro!$B$35)^(Presion_cilindro!$B$17+1)),0)-IF(Presion_cilindro!N332&gt;(-D$4+Presion_cilindro!$B$34),1-EXP(-Presion_cilindro!$B$16*((Presion_cilindro!N332-(-D$4+Presion_cilindro!$B$34))/Presion_cilindro!$B$35)^(Presion_cilindro!$B$17+1)),0))/((Presion_cilindro!O332+Presion_cilindro!O333)/2)</f>
        <v>11.950870868431339</v>
      </c>
      <c r="E341" s="27">
        <f>E340*(Presion_cilindro!O332/Presion_cilindro!O333)^Presion_cilindro!$B$9+10*(Presion_cilindro!$B$9-1)*Presion_cilindro!$B$33*(IF(Presion_cilindro!N333&gt;(-E$4+Presion_cilindro!$B$34),1-EXP(-Presion_cilindro!$B$16*((Presion_cilindro!N333-(-E$4+Presion_cilindro!$B$34))/Presion_cilindro!$B$35)^(Presion_cilindro!$B$17+1)),0)-IF(Presion_cilindro!N332&gt;(-E$4+Presion_cilindro!$B$34),1-EXP(-Presion_cilindro!$B$16*((Presion_cilindro!N332-(-E$4+Presion_cilindro!$B$34))/Presion_cilindro!$B$35)^(Presion_cilindro!$B$17+1)),0))/((Presion_cilindro!O332+Presion_cilindro!O333)/2)</f>
        <v>11.950870868431339</v>
      </c>
      <c r="F341" s="27">
        <f>F340*(Presion_cilindro!O332/Presion_cilindro!O333)^Presion_cilindro!$B$9+10*(Presion_cilindro!$B$9-1)*Presion_cilindro!$B$33*(IF(Presion_cilindro!N333&gt;(-F$4+Presion_cilindro!$B$34),1-EXP(-Presion_cilindro!$B$16*((Presion_cilindro!N333-(-F$4+Presion_cilindro!$B$34))/Presion_cilindro!$B$35)^(Presion_cilindro!$B$17+1)),0)-IF(Presion_cilindro!N332&gt;(-F$4+Presion_cilindro!$B$34),1-EXP(-Presion_cilindro!$B$16*((Presion_cilindro!N332-(-F$4+Presion_cilindro!$B$34))/Presion_cilindro!$B$35)^(Presion_cilindro!$B$17+1)),0))/((Presion_cilindro!O332+Presion_cilindro!O333)/2)</f>
        <v>11.950870868431339</v>
      </c>
      <c r="G341" s="27">
        <f>G340*(Presion_cilindro!O332/Presion_cilindro!O333)^Presion_cilindro!$B$9+10*(Presion_cilindro!$B$9-1)*Presion_cilindro!$B$33*(IF(Presion_cilindro!N333&gt;(-G$4+Presion_cilindro!$B$34),1-EXP(-Presion_cilindro!$B$16*((Presion_cilindro!N333-(-G$4+Presion_cilindro!$B$34))/Presion_cilindro!$B$35)^(Presion_cilindro!$B$17+1)),0)-IF(Presion_cilindro!N332&gt;(-G$4+Presion_cilindro!$B$34),1-EXP(-Presion_cilindro!$B$16*((Presion_cilindro!N332-(-G$4+Presion_cilindro!$B$34))/Presion_cilindro!$B$35)^(Presion_cilindro!$B$17+1)),0))/((Presion_cilindro!O332+Presion_cilindro!O333)/2)</f>
        <v>11.963981705063491</v>
      </c>
      <c r="H341" s="27">
        <f>H340*(Presion_cilindro!O332/Presion_cilindro!O333)^Presion_cilindro!$B$9+10*(Presion_cilindro!$B$9-1)*Presion_cilindro!$B$33*(IF(Presion_cilindro!N333&gt;(-H$4+Presion_cilindro!$B$34),1-EXP(-Presion_cilindro!$B$16*((Presion_cilindro!N333-(-H$4+Presion_cilindro!$B$34))/Presion_cilindro!$B$35)^(Presion_cilindro!$B$17+1)),0)-IF(Presion_cilindro!N332&gt;(-H$4+Presion_cilindro!$B$34),1-EXP(-Presion_cilindro!$B$16*((Presion_cilindro!N332-(-H$4+Presion_cilindro!$B$34))/Presion_cilindro!$B$35)^(Presion_cilindro!$B$17+1)),0))/((Presion_cilindro!O332+Presion_cilindro!O333)/2)</f>
        <v>12.370780394800377</v>
      </c>
      <c r="I341" s="27">
        <f>I340*(Presion_cilindro!O332/Presion_cilindro!O333)^Presion_cilindro!$B$9+10*(Presion_cilindro!$B$9-1)*Presion_cilindro!$B$33*(IF(Presion_cilindro!N333&gt;(-I$4+Presion_cilindro!$B$34),1-EXP(-Presion_cilindro!$B$16*((Presion_cilindro!N333-(-I$4+Presion_cilindro!$B$34))/Presion_cilindro!$B$35)^(Presion_cilindro!$B$17+1)),0)-IF(Presion_cilindro!N332&gt;(-I$4+Presion_cilindro!$B$34),1-EXP(-Presion_cilindro!$B$16*((Presion_cilindro!N332-(-I$4+Presion_cilindro!$B$34))/Presion_cilindro!$B$35)^(Presion_cilindro!$B$17+1)),0))/((Presion_cilindro!O332+Presion_cilindro!O333)/2)</f>
        <v>13.920794472101326</v>
      </c>
      <c r="J341" s="27">
        <f>J340*(Presion_cilindro!O332/Presion_cilindro!O333)^Presion_cilindro!$B$9+10*(Presion_cilindro!$B$9-1)*Presion_cilindro!$B$33*(IF(Presion_cilindro!N333&gt;(-J$4+Presion_cilindro!$B$34),1-EXP(-Presion_cilindro!$B$16*((Presion_cilindro!N333-(-J$4+Presion_cilindro!$B$34))/Presion_cilindro!$B$35)^(Presion_cilindro!$B$17+1)),0)-IF(Presion_cilindro!N332&gt;(-J$4+Presion_cilindro!$B$34),1-EXP(-Presion_cilindro!$B$16*((Presion_cilindro!N332-(-J$4+Presion_cilindro!$B$34))/Presion_cilindro!$B$35)^(Presion_cilindro!$B$17+1)),0))/((Presion_cilindro!O332+Presion_cilindro!O333)/2)</f>
        <v>17.141465620025055</v>
      </c>
      <c r="K341" s="27">
        <f>K340*(Presion_cilindro!O332/Presion_cilindro!O333)^Presion_cilindro!$B$9+10*(Presion_cilindro!$B$9-1)*Presion_cilindro!$B$33*(IF(Presion_cilindro!N333&gt;(-K$4+Presion_cilindro!$B$34),1-EXP(-Presion_cilindro!$B$16*((Presion_cilindro!N333-(-K$4+Presion_cilindro!$B$34))/Presion_cilindro!$B$35)^(Presion_cilindro!$B$17+1)),0)-IF(Presion_cilindro!N332&gt;(-K$4+Presion_cilindro!$B$34),1-EXP(-Presion_cilindro!$B$16*((Presion_cilindro!N332-(-K$4+Presion_cilindro!$B$34))/Presion_cilindro!$B$35)^(Presion_cilindro!$B$17+1)),0))/((Presion_cilindro!O332+Presion_cilindro!O333)/2)</f>
        <v>22.006399333041944</v>
      </c>
      <c r="L341" s="27">
        <f>L340*(Presion_cilindro!O332/Presion_cilindro!O333)^Presion_cilindro!$B$9+10*(Presion_cilindro!$B$9-1)*Presion_cilindro!$B$33*(IF(Presion_cilindro!N333&gt;(-L$4+Presion_cilindro!$B$34),1-EXP(-Presion_cilindro!$B$16*((Presion_cilindro!N333-(-L$4+Presion_cilindro!$B$34))/Presion_cilindro!$B$35)^(Presion_cilindro!$B$17+1)),0)-IF(Presion_cilindro!N332&gt;(-L$4+Presion_cilindro!$B$34),1-EXP(-Presion_cilindro!$B$16*((Presion_cilindro!N332-(-L$4+Presion_cilindro!$B$34))/Presion_cilindro!$B$35)^(Presion_cilindro!$B$17+1)),0))/((Presion_cilindro!O332+Presion_cilindro!O333)/2)</f>
        <v>27.797451267962572</v>
      </c>
      <c r="M341" s="27">
        <f>M340*(Presion_cilindro!O332/Presion_cilindro!O333)^Presion_cilindro!$B$9+10*(Presion_cilindro!$B$9-1)*Presion_cilindro!$B$33*(IF(Presion_cilindro!N333&gt;(-M$4+Presion_cilindro!$B$34),1-EXP(-Presion_cilindro!$B$16*((Presion_cilindro!N333-(-M$4+Presion_cilindro!$B$34))/Presion_cilindro!$B$35)^(Presion_cilindro!$B$17+1)),0)-IF(Presion_cilindro!N332&gt;(-M$4+Presion_cilindro!$B$34),1-EXP(-Presion_cilindro!$B$16*((Presion_cilindro!N332-(-M$4+Presion_cilindro!$B$34))/Presion_cilindro!$B$35)^(Presion_cilindro!$B$17+1)),0))/((Presion_cilindro!O332+Presion_cilindro!O333)/2)</f>
        <v>33.394868708643457</v>
      </c>
      <c r="N341" s="27">
        <f>N340*(Presion_cilindro!O332/Presion_cilindro!O333)^Presion_cilindro!$B$9+10*(Presion_cilindro!$B$9-1)*Presion_cilindro!$B$33*(IF(Presion_cilindro!N333&gt;(-N$4+Presion_cilindro!$B$34),1-EXP(-Presion_cilindro!$B$16*((Presion_cilindro!N333-(-N$4+Presion_cilindro!$B$34))/Presion_cilindro!$B$35)^(Presion_cilindro!$B$17+1)),0)-IF(Presion_cilindro!N332&gt;(-N$4+Presion_cilindro!$B$34),1-EXP(-Presion_cilindro!$B$16*((Presion_cilindro!N332-(-N$4+Presion_cilindro!$B$34))/Presion_cilindro!$B$35)^(Presion_cilindro!$B$17+1)),0))/((Presion_cilindro!O332+Presion_cilindro!O333)/2)</f>
        <v>37.89382519765757</v>
      </c>
    </row>
    <row r="342" spans="1:14" x14ac:dyDescent="0.25">
      <c r="A342" s="21">
        <f>Presion_cilindro!N334</f>
        <v>-15</v>
      </c>
      <c r="B342" s="27">
        <f>B341*(Presion_cilindro!O333/Presion_cilindro!O334)^Presion_cilindro!$B$9+10*(Presion_cilindro!$B$9-1)*Presion_cilindro!$B$33*(IF(Presion_cilindro!N334&gt;(-B$4+Presion_cilindro!$B$34),1-EXP(-Presion_cilindro!$B$16*((Presion_cilindro!N334-(-B$4+Presion_cilindro!$B$34))/Presion_cilindro!$B$35)^(Presion_cilindro!$B$17+1)),0)-IF(Presion_cilindro!N333&gt;(-B$4+Presion_cilindro!$B$34),1-EXP(-Presion_cilindro!$B$16*((Presion_cilindro!N333-(-B$4+Presion_cilindro!$B$34))/Presion_cilindro!$B$35)^(Presion_cilindro!$B$17+1)),0))/((Presion_cilindro!O333+Presion_cilindro!O334)/2)</f>
        <v>12.126341804664458</v>
      </c>
      <c r="C342" s="27">
        <f>C341*(Presion_cilindro!O333/Presion_cilindro!O334)^Presion_cilindro!$B$9+10*(Presion_cilindro!$B$9-1)*Presion_cilindro!$B$33*(IF(Presion_cilindro!N334&gt;(-C$4+Presion_cilindro!$B$34),1-EXP(-Presion_cilindro!$B$16*((Presion_cilindro!N334-(-C$4+Presion_cilindro!$B$34))/Presion_cilindro!$B$35)^(Presion_cilindro!$B$17+1)),0)-IF(Presion_cilindro!N333&gt;(-C$4+Presion_cilindro!$B$34),1-EXP(-Presion_cilindro!$B$16*((Presion_cilindro!N333-(-C$4+Presion_cilindro!$B$34))/Presion_cilindro!$B$35)^(Presion_cilindro!$B$17+1)),0))/((Presion_cilindro!O333+Presion_cilindro!O334)/2)</f>
        <v>12.126341804664458</v>
      </c>
      <c r="D342" s="27">
        <f>D341*(Presion_cilindro!O333/Presion_cilindro!O334)^Presion_cilindro!$B$9+10*(Presion_cilindro!$B$9-1)*Presion_cilindro!$B$33*(IF(Presion_cilindro!N334&gt;(-D$4+Presion_cilindro!$B$34),1-EXP(-Presion_cilindro!$B$16*((Presion_cilindro!N334-(-D$4+Presion_cilindro!$B$34))/Presion_cilindro!$B$35)^(Presion_cilindro!$B$17+1)),0)-IF(Presion_cilindro!N333&gt;(-D$4+Presion_cilindro!$B$34),1-EXP(-Presion_cilindro!$B$16*((Presion_cilindro!N333-(-D$4+Presion_cilindro!$B$34))/Presion_cilindro!$B$35)^(Presion_cilindro!$B$17+1)),0))/((Presion_cilindro!O333+Presion_cilindro!O334)/2)</f>
        <v>12.126341804664458</v>
      </c>
      <c r="E342" s="27">
        <f>E341*(Presion_cilindro!O333/Presion_cilindro!O334)^Presion_cilindro!$B$9+10*(Presion_cilindro!$B$9-1)*Presion_cilindro!$B$33*(IF(Presion_cilindro!N334&gt;(-E$4+Presion_cilindro!$B$34),1-EXP(-Presion_cilindro!$B$16*((Presion_cilindro!N334-(-E$4+Presion_cilindro!$B$34))/Presion_cilindro!$B$35)^(Presion_cilindro!$B$17+1)),0)-IF(Presion_cilindro!N333&gt;(-E$4+Presion_cilindro!$B$34),1-EXP(-Presion_cilindro!$B$16*((Presion_cilindro!N333-(-E$4+Presion_cilindro!$B$34))/Presion_cilindro!$B$35)^(Presion_cilindro!$B$17+1)),0))/((Presion_cilindro!O333+Presion_cilindro!O334)/2)</f>
        <v>12.126341804664458</v>
      </c>
      <c r="F342" s="27">
        <f>F341*(Presion_cilindro!O333/Presion_cilindro!O334)^Presion_cilindro!$B$9+10*(Presion_cilindro!$B$9-1)*Presion_cilindro!$B$33*(IF(Presion_cilindro!N334&gt;(-F$4+Presion_cilindro!$B$34),1-EXP(-Presion_cilindro!$B$16*((Presion_cilindro!N334-(-F$4+Presion_cilindro!$B$34))/Presion_cilindro!$B$35)^(Presion_cilindro!$B$17+1)),0)-IF(Presion_cilindro!N333&gt;(-F$4+Presion_cilindro!$B$34),1-EXP(-Presion_cilindro!$B$16*((Presion_cilindro!N333-(-F$4+Presion_cilindro!$B$34))/Presion_cilindro!$B$35)^(Presion_cilindro!$B$17+1)),0))/((Presion_cilindro!O333+Presion_cilindro!O334)/2)</f>
        <v>12.126341804664458</v>
      </c>
      <c r="G342" s="27">
        <f>G341*(Presion_cilindro!O333/Presion_cilindro!O334)^Presion_cilindro!$B$9+10*(Presion_cilindro!$B$9-1)*Presion_cilindro!$B$33*(IF(Presion_cilindro!N334&gt;(-G$4+Presion_cilindro!$B$34),1-EXP(-Presion_cilindro!$B$16*((Presion_cilindro!N334-(-G$4+Presion_cilindro!$B$34))/Presion_cilindro!$B$35)^(Presion_cilindro!$B$17+1)),0)-IF(Presion_cilindro!N333&gt;(-G$4+Presion_cilindro!$B$34),1-EXP(-Presion_cilindro!$B$16*((Presion_cilindro!N333-(-G$4+Presion_cilindro!$B$34))/Presion_cilindro!$B$35)^(Presion_cilindro!$B$17+1)),0))/((Presion_cilindro!O333+Presion_cilindro!O334)/2)</f>
        <v>12.150274651459437</v>
      </c>
      <c r="H342" s="27">
        <f>H341*(Presion_cilindro!O333/Presion_cilindro!O334)^Presion_cilindro!$B$9+10*(Presion_cilindro!$B$9-1)*Presion_cilindro!$B$33*(IF(Presion_cilindro!N334&gt;(-H$4+Presion_cilindro!$B$34),1-EXP(-Presion_cilindro!$B$16*((Presion_cilindro!N334-(-H$4+Presion_cilindro!$B$34))/Presion_cilindro!$B$35)^(Presion_cilindro!$B$17+1)),0)-IF(Presion_cilindro!N333&gt;(-H$4+Presion_cilindro!$B$34),1-EXP(-Presion_cilindro!$B$16*((Presion_cilindro!N333-(-H$4+Presion_cilindro!$B$34))/Presion_cilindro!$B$35)^(Presion_cilindro!$B$17+1)),0))/((Presion_cilindro!O333+Presion_cilindro!O334)/2)</f>
        <v>12.643768337374041</v>
      </c>
      <c r="I342" s="27">
        <f>I341*(Presion_cilindro!O333/Presion_cilindro!O334)^Presion_cilindro!$B$9+10*(Presion_cilindro!$B$9-1)*Presion_cilindro!$B$33*(IF(Presion_cilindro!N334&gt;(-I$4+Presion_cilindro!$B$34),1-EXP(-Presion_cilindro!$B$16*((Presion_cilindro!N334-(-I$4+Presion_cilindro!$B$34))/Presion_cilindro!$B$35)^(Presion_cilindro!$B$17+1)),0)-IF(Presion_cilindro!N333&gt;(-I$4+Presion_cilindro!$B$34),1-EXP(-Presion_cilindro!$B$16*((Presion_cilindro!N333-(-I$4+Presion_cilindro!$B$34))/Presion_cilindro!$B$35)^(Presion_cilindro!$B$17+1)),0))/((Presion_cilindro!O333+Presion_cilindro!O334)/2)</f>
        <v>14.362040808401538</v>
      </c>
      <c r="J342" s="27">
        <f>J341*(Presion_cilindro!O333/Presion_cilindro!O334)^Presion_cilindro!$B$9+10*(Presion_cilindro!$B$9-1)*Presion_cilindro!$B$33*(IF(Presion_cilindro!N334&gt;(-J$4+Presion_cilindro!$B$34),1-EXP(-Presion_cilindro!$B$16*((Presion_cilindro!N334-(-J$4+Presion_cilindro!$B$34))/Presion_cilindro!$B$35)^(Presion_cilindro!$B$17+1)),0)-IF(Presion_cilindro!N333&gt;(-J$4+Presion_cilindro!$B$34),1-EXP(-Presion_cilindro!$B$16*((Presion_cilindro!N333-(-J$4+Presion_cilindro!$B$34))/Presion_cilindro!$B$35)^(Presion_cilindro!$B$17+1)),0))/((Presion_cilindro!O333+Presion_cilindro!O334)/2)</f>
        <v>17.795574729749987</v>
      </c>
      <c r="K342" s="27">
        <f>K341*(Presion_cilindro!O333/Presion_cilindro!O334)^Presion_cilindro!$B$9+10*(Presion_cilindro!$B$9-1)*Presion_cilindro!$B$33*(IF(Presion_cilindro!N334&gt;(-K$4+Presion_cilindro!$B$34),1-EXP(-Presion_cilindro!$B$16*((Presion_cilindro!N334-(-K$4+Presion_cilindro!$B$34))/Presion_cilindro!$B$35)^(Presion_cilindro!$B$17+1)),0)-IF(Presion_cilindro!N333&gt;(-K$4+Presion_cilindro!$B$34),1-EXP(-Presion_cilindro!$B$16*((Presion_cilindro!N333-(-K$4+Presion_cilindro!$B$34))/Presion_cilindro!$B$35)^(Presion_cilindro!$B$17+1)),0))/((Presion_cilindro!O333+Presion_cilindro!O334)/2)</f>
        <v>22.847768902895684</v>
      </c>
      <c r="L342" s="27">
        <f>L341*(Presion_cilindro!O333/Presion_cilindro!O334)^Presion_cilindro!$B$9+10*(Presion_cilindro!$B$9-1)*Presion_cilindro!$B$33*(IF(Presion_cilindro!N334&gt;(-L$4+Presion_cilindro!$B$34),1-EXP(-Presion_cilindro!$B$16*((Presion_cilindro!N334-(-L$4+Presion_cilindro!$B$34))/Presion_cilindro!$B$35)^(Presion_cilindro!$B$17+1)),0)-IF(Presion_cilindro!N333&gt;(-L$4+Presion_cilindro!$B$34),1-EXP(-Presion_cilindro!$B$16*((Presion_cilindro!N333-(-L$4+Presion_cilindro!$B$34))/Presion_cilindro!$B$35)^(Presion_cilindro!$B$17+1)),0))/((Presion_cilindro!O333+Presion_cilindro!O334)/2)</f>
        <v>28.730928909581309</v>
      </c>
      <c r="M342" s="27">
        <f>M341*(Presion_cilindro!O333/Presion_cilindro!O334)^Presion_cilindro!$B$9+10*(Presion_cilindro!$B$9-1)*Presion_cilindro!$B$33*(IF(Presion_cilindro!N334&gt;(-M$4+Presion_cilindro!$B$34),1-EXP(-Presion_cilindro!$B$16*((Presion_cilindro!N334-(-M$4+Presion_cilindro!$B$34))/Presion_cilindro!$B$35)^(Presion_cilindro!$B$17+1)),0)-IF(Presion_cilindro!N333&gt;(-M$4+Presion_cilindro!$B$34),1-EXP(-Presion_cilindro!$B$16*((Presion_cilindro!N333-(-M$4+Presion_cilindro!$B$34))/Presion_cilindro!$B$35)^(Presion_cilindro!$B$17+1)),0))/((Presion_cilindro!O333+Presion_cilindro!O334)/2)</f>
        <v>34.3056479192688</v>
      </c>
      <c r="N342" s="27">
        <f>N341*(Presion_cilindro!O333/Presion_cilindro!O334)^Presion_cilindro!$B$9+10*(Presion_cilindro!$B$9-1)*Presion_cilindro!$B$33*(IF(Presion_cilindro!N334&gt;(-N$4+Presion_cilindro!$B$34),1-EXP(-Presion_cilindro!$B$16*((Presion_cilindro!N334-(-N$4+Presion_cilindro!$B$34))/Presion_cilindro!$B$35)^(Presion_cilindro!$B$17+1)),0)-IF(Presion_cilindro!N333&gt;(-N$4+Presion_cilindro!$B$34),1-EXP(-Presion_cilindro!$B$16*((Presion_cilindro!N333-(-N$4+Presion_cilindro!$B$34))/Presion_cilindro!$B$35)^(Presion_cilindro!$B$17+1)),0))/((Presion_cilindro!O333+Presion_cilindro!O334)/2)</f>
        <v>38.712867767431931</v>
      </c>
    </row>
    <row r="343" spans="1:14" x14ac:dyDescent="0.25">
      <c r="A343" s="21">
        <f>Presion_cilindro!N335</f>
        <v>-14.5</v>
      </c>
      <c r="B343" s="27">
        <f>B342*(Presion_cilindro!O334/Presion_cilindro!O335)^Presion_cilindro!$B$9+10*(Presion_cilindro!$B$9-1)*Presion_cilindro!$B$33*(IF(Presion_cilindro!N335&gt;(-B$4+Presion_cilindro!$B$34),1-EXP(-Presion_cilindro!$B$16*((Presion_cilindro!N335-(-B$4+Presion_cilindro!$B$34))/Presion_cilindro!$B$35)^(Presion_cilindro!$B$17+1)),0)-IF(Presion_cilindro!N334&gt;(-B$4+Presion_cilindro!$B$34),1-EXP(-Presion_cilindro!$B$16*((Presion_cilindro!N334-(-B$4+Presion_cilindro!$B$34))/Presion_cilindro!$B$35)^(Presion_cilindro!$B$17+1)),0))/((Presion_cilindro!O334+Presion_cilindro!O335)/2)</f>
        <v>12.300617176140848</v>
      </c>
      <c r="C343" s="27">
        <f>C342*(Presion_cilindro!O334/Presion_cilindro!O335)^Presion_cilindro!$B$9+10*(Presion_cilindro!$B$9-1)*Presion_cilindro!$B$33*(IF(Presion_cilindro!N335&gt;(-C$4+Presion_cilindro!$B$34),1-EXP(-Presion_cilindro!$B$16*((Presion_cilindro!N335-(-C$4+Presion_cilindro!$B$34))/Presion_cilindro!$B$35)^(Presion_cilindro!$B$17+1)),0)-IF(Presion_cilindro!N334&gt;(-C$4+Presion_cilindro!$B$34),1-EXP(-Presion_cilindro!$B$16*((Presion_cilindro!N334-(-C$4+Presion_cilindro!$B$34))/Presion_cilindro!$B$35)^(Presion_cilindro!$B$17+1)),0))/((Presion_cilindro!O334+Presion_cilindro!O335)/2)</f>
        <v>12.300617176140848</v>
      </c>
      <c r="D343" s="27">
        <f>D342*(Presion_cilindro!O334/Presion_cilindro!O335)^Presion_cilindro!$B$9+10*(Presion_cilindro!$B$9-1)*Presion_cilindro!$B$33*(IF(Presion_cilindro!N335&gt;(-D$4+Presion_cilindro!$B$34),1-EXP(-Presion_cilindro!$B$16*((Presion_cilindro!N335-(-D$4+Presion_cilindro!$B$34))/Presion_cilindro!$B$35)^(Presion_cilindro!$B$17+1)),0)-IF(Presion_cilindro!N334&gt;(-D$4+Presion_cilindro!$B$34),1-EXP(-Presion_cilindro!$B$16*((Presion_cilindro!N334-(-D$4+Presion_cilindro!$B$34))/Presion_cilindro!$B$35)^(Presion_cilindro!$B$17+1)),0))/((Presion_cilindro!O334+Presion_cilindro!O335)/2)</f>
        <v>12.300617176140848</v>
      </c>
      <c r="E343" s="27">
        <f>E342*(Presion_cilindro!O334/Presion_cilindro!O335)^Presion_cilindro!$B$9+10*(Presion_cilindro!$B$9-1)*Presion_cilindro!$B$33*(IF(Presion_cilindro!N335&gt;(-E$4+Presion_cilindro!$B$34),1-EXP(-Presion_cilindro!$B$16*((Presion_cilindro!N335-(-E$4+Presion_cilindro!$B$34))/Presion_cilindro!$B$35)^(Presion_cilindro!$B$17+1)),0)-IF(Presion_cilindro!N334&gt;(-E$4+Presion_cilindro!$B$34),1-EXP(-Presion_cilindro!$B$16*((Presion_cilindro!N334-(-E$4+Presion_cilindro!$B$34))/Presion_cilindro!$B$35)^(Presion_cilindro!$B$17+1)),0))/((Presion_cilindro!O334+Presion_cilindro!O335)/2)</f>
        <v>12.300617176140848</v>
      </c>
      <c r="F343" s="27">
        <f>F342*(Presion_cilindro!O334/Presion_cilindro!O335)^Presion_cilindro!$B$9+10*(Presion_cilindro!$B$9-1)*Presion_cilindro!$B$33*(IF(Presion_cilindro!N335&gt;(-F$4+Presion_cilindro!$B$34),1-EXP(-Presion_cilindro!$B$16*((Presion_cilindro!N335-(-F$4+Presion_cilindro!$B$34))/Presion_cilindro!$B$35)^(Presion_cilindro!$B$17+1)),0)-IF(Presion_cilindro!N334&gt;(-F$4+Presion_cilindro!$B$34),1-EXP(-Presion_cilindro!$B$16*((Presion_cilindro!N334-(-F$4+Presion_cilindro!$B$34))/Presion_cilindro!$B$35)^(Presion_cilindro!$B$17+1)),0))/((Presion_cilindro!O334+Presion_cilindro!O335)/2)</f>
        <v>12.300617176140848</v>
      </c>
      <c r="G343" s="27">
        <f>G342*(Presion_cilindro!O334/Presion_cilindro!O335)^Presion_cilindro!$B$9+10*(Presion_cilindro!$B$9-1)*Presion_cilindro!$B$33*(IF(Presion_cilindro!N335&gt;(-G$4+Presion_cilindro!$B$34),1-EXP(-Presion_cilindro!$B$16*((Presion_cilindro!N335-(-G$4+Presion_cilindro!$B$34))/Presion_cilindro!$B$35)^(Presion_cilindro!$B$17+1)),0)-IF(Presion_cilindro!N334&gt;(-G$4+Presion_cilindro!$B$34),1-EXP(-Presion_cilindro!$B$16*((Presion_cilindro!N334-(-G$4+Presion_cilindro!$B$34))/Presion_cilindro!$B$35)^(Presion_cilindro!$B$17+1)),0))/((Presion_cilindro!O334+Presion_cilindro!O335)/2)</f>
        <v>12.340244143968992</v>
      </c>
      <c r="H343" s="27">
        <f>H342*(Presion_cilindro!O334/Presion_cilindro!O335)^Presion_cilindro!$B$9+10*(Presion_cilindro!$B$9-1)*Presion_cilindro!$B$33*(IF(Presion_cilindro!N335&gt;(-H$4+Presion_cilindro!$B$34),1-EXP(-Presion_cilindro!$B$16*((Presion_cilindro!N335-(-H$4+Presion_cilindro!$B$34))/Presion_cilindro!$B$35)^(Presion_cilindro!$B$17+1)),0)-IF(Presion_cilindro!N334&gt;(-H$4+Presion_cilindro!$B$34),1-EXP(-Presion_cilindro!$B$16*((Presion_cilindro!N334-(-H$4+Presion_cilindro!$B$34))/Presion_cilindro!$B$35)^(Presion_cilindro!$B$17+1)),0))/((Presion_cilindro!O334+Presion_cilindro!O335)/2)</f>
        <v>12.930067182209228</v>
      </c>
      <c r="I343" s="27">
        <f>I342*(Presion_cilindro!O334/Presion_cilindro!O335)^Presion_cilindro!$B$9+10*(Presion_cilindro!$B$9-1)*Presion_cilindro!$B$33*(IF(Presion_cilindro!N335&gt;(-I$4+Presion_cilindro!$B$34),1-EXP(-Presion_cilindro!$B$16*((Presion_cilindro!N335-(-I$4+Presion_cilindro!$B$34))/Presion_cilindro!$B$35)^(Presion_cilindro!$B$17+1)),0)-IF(Presion_cilindro!N334&gt;(-I$4+Presion_cilindro!$B$34),1-EXP(-Presion_cilindro!$B$16*((Presion_cilindro!N334-(-I$4+Presion_cilindro!$B$34))/Presion_cilindro!$B$35)^(Presion_cilindro!$B$17+1)),0))/((Presion_cilindro!O334+Presion_cilindro!O335)/2)</f>
        <v>14.824741793564082</v>
      </c>
      <c r="J343" s="27">
        <f>J342*(Presion_cilindro!O334/Presion_cilindro!O335)^Presion_cilindro!$B$9+10*(Presion_cilindro!$B$9-1)*Presion_cilindro!$B$33*(IF(Presion_cilindro!N335&gt;(-J$4+Presion_cilindro!$B$34),1-EXP(-Presion_cilindro!$B$16*((Presion_cilindro!N335-(-J$4+Presion_cilindro!$B$34))/Presion_cilindro!$B$35)^(Presion_cilindro!$B$17+1)),0)-IF(Presion_cilindro!N334&gt;(-J$4+Presion_cilindro!$B$34),1-EXP(-Presion_cilindro!$B$16*((Presion_cilindro!N334-(-J$4+Presion_cilindro!$B$34))/Presion_cilindro!$B$35)^(Presion_cilindro!$B$17+1)),0))/((Presion_cilindro!O334+Presion_cilindro!O335)/2)</f>
        <v>18.47334891737847</v>
      </c>
      <c r="K343" s="27">
        <f>K342*(Presion_cilindro!O334/Presion_cilindro!O335)^Presion_cilindro!$B$9+10*(Presion_cilindro!$B$9-1)*Presion_cilindro!$B$33*(IF(Presion_cilindro!N335&gt;(-K$4+Presion_cilindro!$B$34),1-EXP(-Presion_cilindro!$B$16*((Presion_cilindro!N335-(-K$4+Presion_cilindro!$B$34))/Presion_cilindro!$B$35)^(Presion_cilindro!$B$17+1)),0)-IF(Presion_cilindro!N334&gt;(-K$4+Presion_cilindro!$B$34),1-EXP(-Presion_cilindro!$B$16*((Presion_cilindro!N334-(-K$4+Presion_cilindro!$B$34))/Presion_cilindro!$B$35)^(Presion_cilindro!$B$17+1)),0))/((Presion_cilindro!O334+Presion_cilindro!O335)/2)</f>
        <v>23.706311607816033</v>
      </c>
      <c r="L343" s="27">
        <f>L342*(Presion_cilindro!O334/Presion_cilindro!O335)^Presion_cilindro!$B$9+10*(Presion_cilindro!$B$9-1)*Presion_cilindro!$B$33*(IF(Presion_cilindro!N335&gt;(-L$4+Presion_cilindro!$B$34),1-EXP(-Presion_cilindro!$B$16*((Presion_cilindro!N335-(-L$4+Presion_cilindro!$B$34))/Presion_cilindro!$B$35)^(Presion_cilindro!$B$17+1)),0)-IF(Presion_cilindro!N334&gt;(-L$4+Presion_cilindro!$B$34),1-EXP(-Presion_cilindro!$B$16*((Presion_cilindro!N334-(-L$4+Presion_cilindro!$B$34))/Presion_cilindro!$B$35)^(Presion_cilindro!$B$17+1)),0))/((Presion_cilindro!O334+Presion_cilindro!O335)/2)</f>
        <v>29.668816559069775</v>
      </c>
      <c r="M343" s="27">
        <f>M342*(Presion_cilindro!O334/Presion_cilindro!O335)^Presion_cilindro!$B$9+10*(Presion_cilindro!$B$9-1)*Presion_cilindro!$B$33*(IF(Presion_cilindro!N335&gt;(-M$4+Presion_cilindro!$B$34),1-EXP(-Presion_cilindro!$B$16*((Presion_cilindro!N335-(-M$4+Presion_cilindro!$B$34))/Presion_cilindro!$B$35)^(Presion_cilindro!$B$17+1)),0)-IF(Presion_cilindro!N334&gt;(-M$4+Presion_cilindro!$B$34),1-EXP(-Presion_cilindro!$B$16*((Presion_cilindro!N334-(-M$4+Presion_cilindro!$B$34))/Presion_cilindro!$B$35)^(Presion_cilindro!$B$17+1)),0))/((Presion_cilindro!O334+Presion_cilindro!O335)/2)</f>
        <v>35.208835561015718</v>
      </c>
      <c r="N343" s="27">
        <f>N342*(Presion_cilindro!O334/Presion_cilindro!O335)^Presion_cilindro!$B$9+10*(Presion_cilindro!$B$9-1)*Presion_cilindro!$B$33*(IF(Presion_cilindro!N335&gt;(-N$4+Presion_cilindro!$B$34),1-EXP(-Presion_cilindro!$B$16*((Presion_cilindro!N335-(-N$4+Presion_cilindro!$B$34))/Presion_cilindro!$B$35)^(Presion_cilindro!$B$17+1)),0)-IF(Presion_cilindro!N334&gt;(-N$4+Presion_cilindro!$B$34),1-EXP(-Presion_cilindro!$B$16*((Presion_cilindro!N334-(-N$4+Presion_cilindro!$B$34))/Presion_cilindro!$B$35)^(Presion_cilindro!$B$17+1)),0))/((Presion_cilindro!O334+Presion_cilindro!O335)/2)</f>
        <v>39.518956931499808</v>
      </c>
    </row>
    <row r="344" spans="1:14" x14ac:dyDescent="0.25">
      <c r="A344" s="21">
        <f>Presion_cilindro!N336</f>
        <v>-14</v>
      </c>
      <c r="B344" s="27">
        <f>B343*(Presion_cilindro!O335/Presion_cilindro!O336)^Presion_cilindro!$B$9+10*(Presion_cilindro!$B$9-1)*Presion_cilindro!$B$33*(IF(Presion_cilindro!N336&gt;(-B$4+Presion_cilindro!$B$34),1-EXP(-Presion_cilindro!$B$16*((Presion_cilindro!N336-(-B$4+Presion_cilindro!$B$34))/Presion_cilindro!$B$35)^(Presion_cilindro!$B$17+1)),0)-IF(Presion_cilindro!N335&gt;(-B$4+Presion_cilindro!$B$34),1-EXP(-Presion_cilindro!$B$16*((Presion_cilindro!N335-(-B$4+Presion_cilindro!$B$34))/Presion_cilindro!$B$35)^(Presion_cilindro!$B$17+1)),0))/((Presion_cilindro!O335+Presion_cilindro!O336)/2)</f>
        <v>12.473404197722738</v>
      </c>
      <c r="C344" s="27">
        <f>C343*(Presion_cilindro!O335/Presion_cilindro!O336)^Presion_cilindro!$B$9+10*(Presion_cilindro!$B$9-1)*Presion_cilindro!$B$33*(IF(Presion_cilindro!N336&gt;(-C$4+Presion_cilindro!$B$34),1-EXP(-Presion_cilindro!$B$16*((Presion_cilindro!N336-(-C$4+Presion_cilindro!$B$34))/Presion_cilindro!$B$35)^(Presion_cilindro!$B$17+1)),0)-IF(Presion_cilindro!N335&gt;(-C$4+Presion_cilindro!$B$34),1-EXP(-Presion_cilindro!$B$16*((Presion_cilindro!N335-(-C$4+Presion_cilindro!$B$34))/Presion_cilindro!$B$35)^(Presion_cilindro!$B$17+1)),0))/((Presion_cilindro!O335+Presion_cilindro!O336)/2)</f>
        <v>12.473404197722738</v>
      </c>
      <c r="D344" s="27">
        <f>D343*(Presion_cilindro!O335/Presion_cilindro!O336)^Presion_cilindro!$B$9+10*(Presion_cilindro!$B$9-1)*Presion_cilindro!$B$33*(IF(Presion_cilindro!N336&gt;(-D$4+Presion_cilindro!$B$34),1-EXP(-Presion_cilindro!$B$16*((Presion_cilindro!N336-(-D$4+Presion_cilindro!$B$34))/Presion_cilindro!$B$35)^(Presion_cilindro!$B$17+1)),0)-IF(Presion_cilindro!N335&gt;(-D$4+Presion_cilindro!$B$34),1-EXP(-Presion_cilindro!$B$16*((Presion_cilindro!N335-(-D$4+Presion_cilindro!$B$34))/Presion_cilindro!$B$35)^(Presion_cilindro!$B$17+1)),0))/((Presion_cilindro!O335+Presion_cilindro!O336)/2)</f>
        <v>12.473404197722738</v>
      </c>
      <c r="E344" s="27">
        <f>E343*(Presion_cilindro!O335/Presion_cilindro!O336)^Presion_cilindro!$B$9+10*(Presion_cilindro!$B$9-1)*Presion_cilindro!$B$33*(IF(Presion_cilindro!N336&gt;(-E$4+Presion_cilindro!$B$34),1-EXP(-Presion_cilindro!$B$16*((Presion_cilindro!N336-(-E$4+Presion_cilindro!$B$34))/Presion_cilindro!$B$35)^(Presion_cilindro!$B$17+1)),0)-IF(Presion_cilindro!N335&gt;(-E$4+Presion_cilindro!$B$34),1-EXP(-Presion_cilindro!$B$16*((Presion_cilindro!N335-(-E$4+Presion_cilindro!$B$34))/Presion_cilindro!$B$35)^(Presion_cilindro!$B$17+1)),0))/((Presion_cilindro!O335+Presion_cilindro!O336)/2)</f>
        <v>12.473404197722738</v>
      </c>
      <c r="F344" s="27">
        <f>F343*(Presion_cilindro!O335/Presion_cilindro!O336)^Presion_cilindro!$B$9+10*(Presion_cilindro!$B$9-1)*Presion_cilindro!$B$33*(IF(Presion_cilindro!N336&gt;(-F$4+Presion_cilindro!$B$34),1-EXP(-Presion_cilindro!$B$16*((Presion_cilindro!N336-(-F$4+Presion_cilindro!$B$34))/Presion_cilindro!$B$35)^(Presion_cilindro!$B$17+1)),0)-IF(Presion_cilindro!N335&gt;(-F$4+Presion_cilindro!$B$34),1-EXP(-Presion_cilindro!$B$16*((Presion_cilindro!N335-(-F$4+Presion_cilindro!$B$34))/Presion_cilindro!$B$35)^(Presion_cilindro!$B$17+1)),0))/((Presion_cilindro!O335+Presion_cilindro!O336)/2)</f>
        <v>12.473404197722738</v>
      </c>
      <c r="G344" s="27">
        <f>G343*(Presion_cilindro!O335/Presion_cilindro!O336)^Presion_cilindro!$B$9+10*(Presion_cilindro!$B$9-1)*Presion_cilindro!$B$33*(IF(Presion_cilindro!N336&gt;(-G$4+Presion_cilindro!$B$34),1-EXP(-Presion_cilindro!$B$16*((Presion_cilindro!N336-(-G$4+Presion_cilindro!$B$34))/Presion_cilindro!$B$35)^(Presion_cilindro!$B$17+1)),0)-IF(Presion_cilindro!N335&gt;(-G$4+Presion_cilindro!$B$34),1-EXP(-Presion_cilindro!$B$16*((Presion_cilindro!N335-(-G$4+Presion_cilindro!$B$34))/Presion_cilindro!$B$35)^(Presion_cilindro!$B$17+1)),0))/((Presion_cilindro!O335+Presion_cilindro!O336)/2)</f>
        <v>12.534578680437061</v>
      </c>
      <c r="H344" s="27">
        <f>H343*(Presion_cilindro!O335/Presion_cilindro!O336)^Presion_cilindro!$B$9+10*(Presion_cilindro!$B$9-1)*Presion_cilindro!$B$33*(IF(Presion_cilindro!N336&gt;(-H$4+Presion_cilindro!$B$34),1-EXP(-Presion_cilindro!$B$16*((Presion_cilindro!N336-(-H$4+Presion_cilindro!$B$34))/Presion_cilindro!$B$35)^(Presion_cilindro!$B$17+1)),0)-IF(Presion_cilindro!N335&gt;(-H$4+Presion_cilindro!$B$34),1-EXP(-Presion_cilindro!$B$16*((Presion_cilindro!N335-(-H$4+Presion_cilindro!$B$34))/Presion_cilindro!$B$35)^(Presion_cilindro!$B$17+1)),0))/((Presion_cilindro!O335+Presion_cilindro!O336)/2)</f>
        <v>13.23042860845711</v>
      </c>
      <c r="I344" s="27">
        <f>I343*(Presion_cilindro!O335/Presion_cilindro!O336)^Presion_cilindro!$B$9+10*(Presion_cilindro!$B$9-1)*Presion_cilindro!$B$33*(IF(Presion_cilindro!N336&gt;(-I$4+Presion_cilindro!$B$34),1-EXP(-Presion_cilindro!$B$16*((Presion_cilindro!N336-(-I$4+Presion_cilindro!$B$34))/Presion_cilindro!$B$35)^(Presion_cilindro!$B$17+1)),0)-IF(Presion_cilindro!N335&gt;(-I$4+Presion_cilindro!$B$34),1-EXP(-Presion_cilindro!$B$16*((Presion_cilindro!N335-(-I$4+Presion_cilindro!$B$34))/Presion_cilindro!$B$35)^(Presion_cilindro!$B$17+1)),0))/((Presion_cilindro!O335+Presion_cilindro!O336)/2)</f>
        <v>15.309219553576598</v>
      </c>
      <c r="J344" s="27">
        <f>J343*(Presion_cilindro!O335/Presion_cilindro!O336)^Presion_cilindro!$B$9+10*(Presion_cilindro!$B$9-1)*Presion_cilindro!$B$33*(IF(Presion_cilindro!N336&gt;(-J$4+Presion_cilindro!$B$34),1-EXP(-Presion_cilindro!$B$16*((Presion_cilindro!N336-(-J$4+Presion_cilindro!$B$34))/Presion_cilindro!$B$35)^(Presion_cilindro!$B$17+1)),0)-IF(Presion_cilindro!N335&gt;(-J$4+Presion_cilindro!$B$34),1-EXP(-Presion_cilindro!$B$16*((Presion_cilindro!N335-(-J$4+Presion_cilindro!$B$34))/Presion_cilindro!$B$35)^(Presion_cilindro!$B$17+1)),0))/((Presion_cilindro!O335+Presion_cilindro!O336)/2)</f>
        <v>19.174145044917026</v>
      </c>
      <c r="K344" s="27">
        <f>K343*(Presion_cilindro!O335/Presion_cilindro!O336)^Presion_cilindro!$B$9+10*(Presion_cilindro!$B$9-1)*Presion_cilindro!$B$33*(IF(Presion_cilindro!N336&gt;(-K$4+Presion_cilindro!$B$34),1-EXP(-Presion_cilindro!$B$16*((Presion_cilindro!N336-(-K$4+Presion_cilindro!$B$34))/Presion_cilindro!$B$35)^(Presion_cilindro!$B$17+1)),0)-IF(Presion_cilindro!N335&gt;(-K$4+Presion_cilindro!$B$34),1-EXP(-Presion_cilindro!$B$16*((Presion_cilindro!N335-(-K$4+Presion_cilindro!$B$34))/Presion_cilindro!$B$35)^(Presion_cilindro!$B$17+1)),0))/((Presion_cilindro!O335+Presion_cilindro!O336)/2)</f>
        <v>24.58029374482242</v>
      </c>
      <c r="L344" s="27">
        <f>L343*(Presion_cilindro!O335/Presion_cilindro!O336)^Presion_cilindro!$B$9+10*(Presion_cilindro!$B$9-1)*Presion_cilindro!$B$33*(IF(Presion_cilindro!N336&gt;(-L$4+Presion_cilindro!$B$34),1-EXP(-Presion_cilindro!$B$16*((Presion_cilindro!N336-(-L$4+Presion_cilindro!$B$34))/Presion_cilindro!$B$35)^(Presion_cilindro!$B$17+1)),0)-IF(Presion_cilindro!N335&gt;(-L$4+Presion_cilindro!$B$34),1-EXP(-Presion_cilindro!$B$16*((Presion_cilindro!N335-(-L$4+Presion_cilindro!$B$34))/Presion_cilindro!$B$35)^(Presion_cilindro!$B$17+1)),0))/((Presion_cilindro!O335+Presion_cilindro!O336)/2)</f>
        <v>30.608833888299017</v>
      </c>
      <c r="M344" s="27">
        <f>M343*(Presion_cilindro!O335/Presion_cilindro!O336)^Presion_cilindro!$B$9+10*(Presion_cilindro!$B$9-1)*Presion_cilindro!$B$33*(IF(Presion_cilindro!N336&gt;(-M$4+Presion_cilindro!$B$34),1-EXP(-Presion_cilindro!$B$16*((Presion_cilindro!N336-(-M$4+Presion_cilindro!$B$34))/Presion_cilindro!$B$35)^(Presion_cilindro!$B$17+1)),0)-IF(Presion_cilindro!N335&gt;(-M$4+Presion_cilindro!$B$34),1-EXP(-Presion_cilindro!$B$16*((Presion_cilindro!N335-(-M$4+Presion_cilindro!$B$34))/Presion_cilindro!$B$35)^(Presion_cilindro!$B$17+1)),0))/((Presion_cilindro!O335+Presion_cilindro!O336)/2)</f>
        <v>36.102444288906561</v>
      </c>
      <c r="N344" s="27">
        <f>N343*(Presion_cilindro!O335/Presion_cilindro!O336)^Presion_cilindro!$B$9+10*(Presion_cilindro!$B$9-1)*Presion_cilindro!$B$33*(IF(Presion_cilindro!N336&gt;(-N$4+Presion_cilindro!$B$34),1-EXP(-Presion_cilindro!$B$16*((Presion_cilindro!N336-(-N$4+Presion_cilindro!$B$34))/Presion_cilindro!$B$35)^(Presion_cilindro!$B$17+1)),0)-IF(Presion_cilindro!N335&gt;(-N$4+Presion_cilindro!$B$34),1-EXP(-Presion_cilindro!$B$16*((Presion_cilindro!N335-(-N$4+Presion_cilindro!$B$34))/Presion_cilindro!$B$35)^(Presion_cilindro!$B$17+1)),0))/((Presion_cilindro!O335+Presion_cilindro!O336)/2)</f>
        <v>40.310810317532066</v>
      </c>
    </row>
    <row r="345" spans="1:14" x14ac:dyDescent="0.25">
      <c r="A345" s="21">
        <f>Presion_cilindro!N337</f>
        <v>-13.5</v>
      </c>
      <c r="B345" s="27">
        <f>B344*(Presion_cilindro!O336/Presion_cilindro!O337)^Presion_cilindro!$B$9+10*(Presion_cilindro!$B$9-1)*Presion_cilindro!$B$33*(IF(Presion_cilindro!N337&gt;(-B$4+Presion_cilindro!$B$34),1-EXP(-Presion_cilindro!$B$16*((Presion_cilindro!N337-(-B$4+Presion_cilindro!$B$34))/Presion_cilindro!$B$35)^(Presion_cilindro!$B$17+1)),0)-IF(Presion_cilindro!N336&gt;(-B$4+Presion_cilindro!$B$34),1-EXP(-Presion_cilindro!$B$16*((Presion_cilindro!N336-(-B$4+Presion_cilindro!$B$34))/Presion_cilindro!$B$35)^(Presion_cilindro!$B$17+1)),0))/((Presion_cilindro!O336+Presion_cilindro!O337)/2)</f>
        <v>12.644399653207032</v>
      </c>
      <c r="C345" s="27">
        <f>C344*(Presion_cilindro!O336/Presion_cilindro!O337)^Presion_cilindro!$B$9+10*(Presion_cilindro!$B$9-1)*Presion_cilindro!$B$33*(IF(Presion_cilindro!N337&gt;(-C$4+Presion_cilindro!$B$34),1-EXP(-Presion_cilindro!$B$16*((Presion_cilindro!N337-(-C$4+Presion_cilindro!$B$34))/Presion_cilindro!$B$35)^(Presion_cilindro!$B$17+1)),0)-IF(Presion_cilindro!N336&gt;(-C$4+Presion_cilindro!$B$34),1-EXP(-Presion_cilindro!$B$16*((Presion_cilindro!N336-(-C$4+Presion_cilindro!$B$34))/Presion_cilindro!$B$35)^(Presion_cilindro!$B$17+1)),0))/((Presion_cilindro!O336+Presion_cilindro!O337)/2)</f>
        <v>12.644399653207032</v>
      </c>
      <c r="D345" s="27">
        <f>D344*(Presion_cilindro!O336/Presion_cilindro!O337)^Presion_cilindro!$B$9+10*(Presion_cilindro!$B$9-1)*Presion_cilindro!$B$33*(IF(Presion_cilindro!N337&gt;(-D$4+Presion_cilindro!$B$34),1-EXP(-Presion_cilindro!$B$16*((Presion_cilindro!N337-(-D$4+Presion_cilindro!$B$34))/Presion_cilindro!$B$35)^(Presion_cilindro!$B$17+1)),0)-IF(Presion_cilindro!N336&gt;(-D$4+Presion_cilindro!$B$34),1-EXP(-Presion_cilindro!$B$16*((Presion_cilindro!N336-(-D$4+Presion_cilindro!$B$34))/Presion_cilindro!$B$35)^(Presion_cilindro!$B$17+1)),0))/((Presion_cilindro!O336+Presion_cilindro!O337)/2)</f>
        <v>12.644399653207032</v>
      </c>
      <c r="E345" s="27">
        <f>E344*(Presion_cilindro!O336/Presion_cilindro!O337)^Presion_cilindro!$B$9+10*(Presion_cilindro!$B$9-1)*Presion_cilindro!$B$33*(IF(Presion_cilindro!N337&gt;(-E$4+Presion_cilindro!$B$34),1-EXP(-Presion_cilindro!$B$16*((Presion_cilindro!N337-(-E$4+Presion_cilindro!$B$34))/Presion_cilindro!$B$35)^(Presion_cilindro!$B$17+1)),0)-IF(Presion_cilindro!N336&gt;(-E$4+Presion_cilindro!$B$34),1-EXP(-Presion_cilindro!$B$16*((Presion_cilindro!N336-(-E$4+Presion_cilindro!$B$34))/Presion_cilindro!$B$35)^(Presion_cilindro!$B$17+1)),0))/((Presion_cilindro!O336+Presion_cilindro!O337)/2)</f>
        <v>12.644399653207032</v>
      </c>
      <c r="F345" s="27">
        <f>F344*(Presion_cilindro!O336/Presion_cilindro!O337)^Presion_cilindro!$B$9+10*(Presion_cilindro!$B$9-1)*Presion_cilindro!$B$33*(IF(Presion_cilindro!N337&gt;(-F$4+Presion_cilindro!$B$34),1-EXP(-Presion_cilindro!$B$16*((Presion_cilindro!N337-(-F$4+Presion_cilindro!$B$34))/Presion_cilindro!$B$35)^(Presion_cilindro!$B$17+1)),0)-IF(Presion_cilindro!N336&gt;(-F$4+Presion_cilindro!$B$34),1-EXP(-Presion_cilindro!$B$16*((Presion_cilindro!N336-(-F$4+Presion_cilindro!$B$34))/Presion_cilindro!$B$35)^(Presion_cilindro!$B$17+1)),0))/((Presion_cilindro!O336+Presion_cilindro!O337)/2)</f>
        <v>12.644399653207032</v>
      </c>
      <c r="G345" s="27">
        <f>G344*(Presion_cilindro!O336/Presion_cilindro!O337)^Presion_cilindro!$B$9+10*(Presion_cilindro!$B$9-1)*Presion_cilindro!$B$33*(IF(Presion_cilindro!N337&gt;(-G$4+Presion_cilindro!$B$34),1-EXP(-Presion_cilindro!$B$16*((Presion_cilindro!N337-(-G$4+Presion_cilindro!$B$34))/Presion_cilindro!$B$35)^(Presion_cilindro!$B$17+1)),0)-IF(Presion_cilindro!N336&gt;(-G$4+Presion_cilindro!$B$34),1-EXP(-Presion_cilindro!$B$16*((Presion_cilindro!N336-(-G$4+Presion_cilindro!$B$34))/Presion_cilindro!$B$35)^(Presion_cilindro!$B$17+1)),0))/((Presion_cilindro!O336+Presion_cilindro!O337)/2)</f>
        <v>12.733982391822382</v>
      </c>
      <c r="H345" s="27">
        <f>H344*(Presion_cilindro!O336/Presion_cilindro!O337)^Presion_cilindro!$B$9+10*(Presion_cilindro!$B$9-1)*Presion_cilindro!$B$33*(IF(Presion_cilindro!N337&gt;(-H$4+Presion_cilindro!$B$34),1-EXP(-Presion_cilindro!$B$16*((Presion_cilindro!N337-(-H$4+Presion_cilindro!$B$34))/Presion_cilindro!$B$35)^(Presion_cilindro!$B$17+1)),0)-IF(Presion_cilindro!N336&gt;(-H$4+Presion_cilindro!$B$34),1-EXP(-Presion_cilindro!$B$16*((Presion_cilindro!N336-(-H$4+Presion_cilindro!$B$34))/Presion_cilindro!$B$35)^(Presion_cilindro!$B$17+1)),0))/((Presion_cilindro!O336+Presion_cilindro!O337)/2)</f>
        <v>13.545570136877433</v>
      </c>
      <c r="I345" s="27">
        <f>I344*(Presion_cilindro!O336/Presion_cilindro!O337)^Presion_cilindro!$B$9+10*(Presion_cilindro!$B$9-1)*Presion_cilindro!$B$33*(IF(Presion_cilindro!N337&gt;(-I$4+Presion_cilindro!$B$34),1-EXP(-Presion_cilindro!$B$16*((Presion_cilindro!N337-(-I$4+Presion_cilindro!$B$34))/Presion_cilindro!$B$35)^(Presion_cilindro!$B$17+1)),0)-IF(Presion_cilindro!N336&gt;(-I$4+Presion_cilindro!$B$34),1-EXP(-Presion_cilindro!$B$16*((Presion_cilindro!N336-(-I$4+Presion_cilindro!$B$34))/Presion_cilindro!$B$35)^(Presion_cilindro!$B$17+1)),0))/((Presion_cilindro!O336+Presion_cilindro!O337)/2)</f>
        <v>15.815685553070679</v>
      </c>
      <c r="J345" s="27">
        <f>J344*(Presion_cilindro!O336/Presion_cilindro!O337)^Presion_cilindro!$B$9+10*(Presion_cilindro!$B$9-1)*Presion_cilindro!$B$33*(IF(Presion_cilindro!N337&gt;(-J$4+Presion_cilindro!$B$34),1-EXP(-Presion_cilindro!$B$16*((Presion_cilindro!N337-(-J$4+Presion_cilindro!$B$34))/Presion_cilindro!$B$35)^(Presion_cilindro!$B$17+1)),0)-IF(Presion_cilindro!N336&gt;(-J$4+Presion_cilindro!$B$34),1-EXP(-Presion_cilindro!$B$16*((Presion_cilindro!N336-(-J$4+Presion_cilindro!$B$34))/Presion_cilindro!$B$35)^(Presion_cilindro!$B$17+1)),0))/((Presion_cilindro!O336+Presion_cilindro!O337)/2)</f>
        <v>19.897150592817571</v>
      </c>
      <c r="K345" s="27">
        <f>K344*(Presion_cilindro!O336/Presion_cilindro!O337)^Presion_cilindro!$B$9+10*(Presion_cilindro!$B$9-1)*Presion_cilindro!$B$33*(IF(Presion_cilindro!N337&gt;(-K$4+Presion_cilindro!$B$34),1-EXP(-Presion_cilindro!$B$16*((Presion_cilindro!N337-(-K$4+Presion_cilindro!$B$34))/Presion_cilindro!$B$35)^(Presion_cilindro!$B$17+1)),0)-IF(Presion_cilindro!N336&gt;(-K$4+Presion_cilindro!$B$34),1-EXP(-Presion_cilindro!$B$16*((Presion_cilindro!N336-(-K$4+Presion_cilindro!$B$34))/Presion_cilindro!$B$35)^(Presion_cilindro!$B$17+1)),0))/((Presion_cilindro!O336+Presion_cilindro!O337)/2)</f>
        <v>25.467824987899931</v>
      </c>
      <c r="L345" s="27">
        <f>L344*(Presion_cilindro!O336/Presion_cilindro!O337)^Presion_cilindro!$B$9+10*(Presion_cilindro!$B$9-1)*Presion_cilindro!$B$33*(IF(Presion_cilindro!N337&gt;(-L$4+Presion_cilindro!$B$34),1-EXP(-Presion_cilindro!$B$16*((Presion_cilindro!N337-(-L$4+Presion_cilindro!$B$34))/Presion_cilindro!$B$35)^(Presion_cilindro!$B$17+1)),0)-IF(Presion_cilindro!N336&gt;(-L$4+Presion_cilindro!$B$34),1-EXP(-Presion_cilindro!$B$16*((Presion_cilindro!N336-(-L$4+Presion_cilindro!$B$34))/Presion_cilindro!$B$35)^(Presion_cilindro!$B$17+1)),0))/((Presion_cilindro!O336+Presion_cilindro!O337)/2)</f>
        <v>31.548629212682584</v>
      </c>
      <c r="M345" s="27">
        <f>M344*(Presion_cilindro!O336/Presion_cilindro!O337)^Presion_cilindro!$B$9+10*(Presion_cilindro!$B$9-1)*Presion_cilindro!$B$33*(IF(Presion_cilindro!N337&gt;(-M$4+Presion_cilindro!$B$34),1-EXP(-Presion_cilindro!$B$16*((Presion_cilindro!N337-(-M$4+Presion_cilindro!$B$34))/Presion_cilindro!$B$35)^(Presion_cilindro!$B$17+1)),0)-IF(Presion_cilindro!N336&gt;(-M$4+Presion_cilindro!$B$34),1-EXP(-Presion_cilindro!$B$16*((Presion_cilindro!N336-(-M$4+Presion_cilindro!$B$34))/Presion_cilindro!$B$35)^(Presion_cilindro!$B$17+1)),0))/((Presion_cilindro!O336+Presion_cilindro!O337)/2)</f>
        <v>36.984500597910795</v>
      </c>
      <c r="N345" s="27">
        <f>N344*(Presion_cilindro!O336/Presion_cilindro!O337)^Presion_cilindro!$B$9+10*(Presion_cilindro!$B$9-1)*Presion_cilindro!$B$33*(IF(Presion_cilindro!N337&gt;(-N$4+Presion_cilindro!$B$34),1-EXP(-Presion_cilindro!$B$16*((Presion_cilindro!N337-(-N$4+Presion_cilindro!$B$34))/Presion_cilindro!$B$35)^(Presion_cilindro!$B$17+1)),0)-IF(Presion_cilindro!N336&gt;(-N$4+Presion_cilindro!$B$34),1-EXP(-Presion_cilindro!$B$16*((Presion_cilindro!N336-(-N$4+Presion_cilindro!$B$34))/Presion_cilindro!$B$35)^(Presion_cilindro!$B$17+1)),0))/((Presion_cilindro!O336+Presion_cilindro!O337)/2)</f>
        <v>41.08717566942962</v>
      </c>
    </row>
    <row r="346" spans="1:14" x14ac:dyDescent="0.25">
      <c r="A346" s="21">
        <f>Presion_cilindro!N338</f>
        <v>-13</v>
      </c>
      <c r="B346" s="27">
        <f>B345*(Presion_cilindro!O337/Presion_cilindro!O338)^Presion_cilindro!$B$9+10*(Presion_cilindro!$B$9-1)*Presion_cilindro!$B$33*(IF(Presion_cilindro!N338&gt;(-B$4+Presion_cilindro!$B$34),1-EXP(-Presion_cilindro!$B$16*((Presion_cilindro!N338-(-B$4+Presion_cilindro!$B$34))/Presion_cilindro!$B$35)^(Presion_cilindro!$B$17+1)),0)-IF(Presion_cilindro!N337&gt;(-B$4+Presion_cilindro!$B$34),1-EXP(-Presion_cilindro!$B$16*((Presion_cilindro!N337-(-B$4+Presion_cilindro!$B$34))/Presion_cilindro!$B$35)^(Presion_cilindro!$B$17+1)),0))/((Presion_cilindro!O337+Presion_cilindro!O338)/2)</f>
        <v>12.813290628301043</v>
      </c>
      <c r="C346" s="27">
        <f>C345*(Presion_cilindro!O337/Presion_cilindro!O338)^Presion_cilindro!$B$9+10*(Presion_cilindro!$B$9-1)*Presion_cilindro!$B$33*(IF(Presion_cilindro!N338&gt;(-C$4+Presion_cilindro!$B$34),1-EXP(-Presion_cilindro!$B$16*((Presion_cilindro!N338-(-C$4+Presion_cilindro!$B$34))/Presion_cilindro!$B$35)^(Presion_cilindro!$B$17+1)),0)-IF(Presion_cilindro!N337&gt;(-C$4+Presion_cilindro!$B$34),1-EXP(-Presion_cilindro!$B$16*((Presion_cilindro!N337-(-C$4+Presion_cilindro!$B$34))/Presion_cilindro!$B$35)^(Presion_cilindro!$B$17+1)),0))/((Presion_cilindro!O337+Presion_cilindro!O338)/2)</f>
        <v>12.813290628301043</v>
      </c>
      <c r="D346" s="27">
        <f>D345*(Presion_cilindro!O337/Presion_cilindro!O338)^Presion_cilindro!$B$9+10*(Presion_cilindro!$B$9-1)*Presion_cilindro!$B$33*(IF(Presion_cilindro!N338&gt;(-D$4+Presion_cilindro!$B$34),1-EXP(-Presion_cilindro!$B$16*((Presion_cilindro!N338-(-D$4+Presion_cilindro!$B$34))/Presion_cilindro!$B$35)^(Presion_cilindro!$B$17+1)),0)-IF(Presion_cilindro!N337&gt;(-D$4+Presion_cilindro!$B$34),1-EXP(-Presion_cilindro!$B$16*((Presion_cilindro!N337-(-D$4+Presion_cilindro!$B$34))/Presion_cilindro!$B$35)^(Presion_cilindro!$B$17+1)),0))/((Presion_cilindro!O337+Presion_cilindro!O338)/2)</f>
        <v>12.813290628301043</v>
      </c>
      <c r="E346" s="27">
        <f>E345*(Presion_cilindro!O337/Presion_cilindro!O338)^Presion_cilindro!$B$9+10*(Presion_cilindro!$B$9-1)*Presion_cilindro!$B$33*(IF(Presion_cilindro!N338&gt;(-E$4+Presion_cilindro!$B$34),1-EXP(-Presion_cilindro!$B$16*((Presion_cilindro!N338-(-E$4+Presion_cilindro!$B$34))/Presion_cilindro!$B$35)^(Presion_cilindro!$B$17+1)),0)-IF(Presion_cilindro!N337&gt;(-E$4+Presion_cilindro!$B$34),1-EXP(-Presion_cilindro!$B$16*((Presion_cilindro!N337-(-E$4+Presion_cilindro!$B$34))/Presion_cilindro!$B$35)^(Presion_cilindro!$B$17+1)),0))/((Presion_cilindro!O337+Presion_cilindro!O338)/2)</f>
        <v>12.813290628301043</v>
      </c>
      <c r="F346" s="27">
        <f>F345*(Presion_cilindro!O337/Presion_cilindro!O338)^Presion_cilindro!$B$9+10*(Presion_cilindro!$B$9-1)*Presion_cilindro!$B$33*(IF(Presion_cilindro!N338&gt;(-F$4+Presion_cilindro!$B$34),1-EXP(-Presion_cilindro!$B$16*((Presion_cilindro!N338-(-F$4+Presion_cilindro!$B$34))/Presion_cilindro!$B$35)^(Presion_cilindro!$B$17+1)),0)-IF(Presion_cilindro!N337&gt;(-F$4+Presion_cilindro!$B$34),1-EXP(-Presion_cilindro!$B$16*((Presion_cilindro!N337-(-F$4+Presion_cilindro!$B$34))/Presion_cilindro!$B$35)^(Presion_cilindro!$B$17+1)),0))/((Presion_cilindro!O337+Presion_cilindro!O338)/2)</f>
        <v>12.813290628301043</v>
      </c>
      <c r="G346" s="27">
        <f>G345*(Presion_cilindro!O337/Presion_cilindro!O338)^Presion_cilindro!$B$9+10*(Presion_cilindro!$B$9-1)*Presion_cilindro!$B$33*(IF(Presion_cilindro!N338&gt;(-G$4+Presion_cilindro!$B$34),1-EXP(-Presion_cilindro!$B$16*((Presion_cilindro!N338-(-G$4+Presion_cilindro!$B$34))/Presion_cilindro!$B$35)^(Presion_cilindro!$B$17+1)),0)-IF(Presion_cilindro!N337&gt;(-G$4+Presion_cilindro!$B$34),1-EXP(-Presion_cilindro!$B$16*((Presion_cilindro!N337-(-G$4+Presion_cilindro!$B$34))/Presion_cilindro!$B$35)^(Presion_cilindro!$B$17+1)),0))/((Presion_cilindro!O337+Presion_cilindro!O338)/2)</f>
        <v>12.939171210501486</v>
      </c>
      <c r="H346" s="27">
        <f>H345*(Presion_cilindro!O337/Presion_cilindro!O338)^Presion_cilindro!$B$9+10*(Presion_cilindro!$B$9-1)*Presion_cilindro!$B$33*(IF(Presion_cilindro!N338&gt;(-H$4+Presion_cilindro!$B$34),1-EXP(-Presion_cilindro!$B$16*((Presion_cilindro!N338-(-H$4+Presion_cilindro!$B$34))/Presion_cilindro!$B$35)^(Presion_cilindro!$B$17+1)),0)-IF(Presion_cilindro!N337&gt;(-H$4+Presion_cilindro!$B$34),1-EXP(-Presion_cilindro!$B$16*((Presion_cilindro!N337-(-H$4+Presion_cilindro!$B$34))/Presion_cilindro!$B$35)^(Presion_cilindro!$B$17+1)),0))/((Presion_cilindro!O337+Presion_cilindro!O338)/2)</f>
        <v>13.876166370113967</v>
      </c>
      <c r="I346" s="27">
        <f>I345*(Presion_cilindro!O337/Presion_cilindro!O338)^Presion_cilindro!$B$9+10*(Presion_cilindro!$B$9-1)*Presion_cilindro!$B$33*(IF(Presion_cilindro!N338&gt;(-I$4+Presion_cilindro!$B$34),1-EXP(-Presion_cilindro!$B$16*((Presion_cilindro!N338-(-I$4+Presion_cilindro!$B$34))/Presion_cilindro!$B$35)^(Presion_cilindro!$B$17+1)),0)-IF(Presion_cilindro!N337&gt;(-I$4+Presion_cilindro!$B$34),1-EXP(-Presion_cilindro!$B$16*((Presion_cilindro!N337-(-I$4+Presion_cilindro!$B$34))/Presion_cilindro!$B$35)^(Presion_cilindro!$B$17+1)),0))/((Presion_cilindro!O337+Presion_cilindro!O338)/2)</f>
        <v>16.344230345791072</v>
      </c>
      <c r="J346" s="27">
        <f>J345*(Presion_cilindro!O337/Presion_cilindro!O338)^Presion_cilindro!$B$9+10*(Presion_cilindro!$B$9-1)*Presion_cilindro!$B$33*(IF(Presion_cilindro!N338&gt;(-J$4+Presion_cilindro!$B$34),1-EXP(-Presion_cilindro!$B$16*((Presion_cilindro!N338-(-J$4+Presion_cilindro!$B$34))/Presion_cilindro!$B$35)^(Presion_cilindro!$B$17+1)),0)-IF(Presion_cilindro!N337&gt;(-J$4+Presion_cilindro!$B$34),1-EXP(-Presion_cilindro!$B$16*((Presion_cilindro!N337-(-J$4+Presion_cilindro!$B$34))/Presion_cilindro!$B$35)^(Presion_cilindro!$B$17+1)),0))/((Presion_cilindro!O337+Presion_cilindro!O338)/2)</f>
        <v>20.641379095955262</v>
      </c>
      <c r="K346" s="27">
        <f>K345*(Presion_cilindro!O337/Presion_cilindro!O338)^Presion_cilindro!$B$9+10*(Presion_cilindro!$B$9-1)*Presion_cilindro!$B$33*(IF(Presion_cilindro!N338&gt;(-K$4+Presion_cilindro!$B$34),1-EXP(-Presion_cilindro!$B$16*((Presion_cilindro!N338-(-K$4+Presion_cilindro!$B$34))/Presion_cilindro!$B$35)^(Presion_cilindro!$B$17+1)),0)-IF(Presion_cilindro!N337&gt;(-K$4+Presion_cilindro!$B$34),1-EXP(-Presion_cilindro!$B$16*((Presion_cilindro!N337-(-K$4+Presion_cilindro!$B$34))/Presion_cilindro!$B$35)^(Presion_cilindro!$B$17+1)),0))/((Presion_cilindro!O337+Presion_cilindro!O338)/2)</f>
        <v>26.366864533651917</v>
      </c>
      <c r="L346" s="27">
        <f>L345*(Presion_cilindro!O337/Presion_cilindro!O338)^Presion_cilindro!$B$9+10*(Presion_cilindro!$B$9-1)*Presion_cilindro!$B$33*(IF(Presion_cilindro!N338&gt;(-L$4+Presion_cilindro!$B$34),1-EXP(-Presion_cilindro!$B$16*((Presion_cilindro!N338-(-L$4+Presion_cilindro!$B$34))/Presion_cilindro!$B$35)^(Presion_cilindro!$B$17+1)),0)-IF(Presion_cilindro!N337&gt;(-L$4+Presion_cilindro!$B$34),1-EXP(-Presion_cilindro!$B$16*((Presion_cilindro!N337-(-L$4+Presion_cilindro!$B$34))/Presion_cilindro!$B$35)^(Presion_cilindro!$B$17+1)),0))/((Presion_cilindro!O337+Presion_cilindro!O338)/2)</f>
        <v>32.485792323160524</v>
      </c>
      <c r="M346" s="27">
        <f>M345*(Presion_cilindro!O337/Presion_cilindro!O338)^Presion_cilindro!$B$9+10*(Presion_cilindro!$B$9-1)*Presion_cilindro!$B$33*(IF(Presion_cilindro!N338&gt;(-M$4+Presion_cilindro!$B$34),1-EXP(-Presion_cilindro!$B$16*((Presion_cilindro!N338-(-M$4+Presion_cilindro!$B$34))/Presion_cilindro!$B$35)^(Presion_cilindro!$B$17+1)),0)-IF(Presion_cilindro!N337&gt;(-M$4+Presion_cilindro!$B$34),1-EXP(-Presion_cilindro!$B$16*((Presion_cilindro!N337-(-M$4+Presion_cilindro!$B$34))/Presion_cilindro!$B$35)^(Presion_cilindro!$B$17+1)),0))/((Presion_cilindro!O337+Presion_cilindro!O338)/2)</f>
        <v>37.853054285206383</v>
      </c>
      <c r="N346" s="27">
        <f>N345*(Presion_cilindro!O337/Presion_cilindro!O338)^Presion_cilindro!$B$9+10*(Presion_cilindro!$B$9-1)*Presion_cilindro!$B$33*(IF(Presion_cilindro!N338&gt;(-N$4+Presion_cilindro!$B$34),1-EXP(-Presion_cilindro!$B$16*((Presion_cilindro!N338-(-N$4+Presion_cilindro!$B$34))/Presion_cilindro!$B$35)^(Presion_cilindro!$B$17+1)),0)-IF(Presion_cilindro!N337&gt;(-N$4+Presion_cilindro!$B$34),1-EXP(-Presion_cilindro!$B$16*((Presion_cilindro!N337-(-N$4+Presion_cilindro!$B$34))/Presion_cilindro!$B$35)^(Presion_cilindro!$B$17+1)),0))/((Presion_cilindro!O337+Presion_cilindro!O338)/2)</f>
        <v>41.84683254791068</v>
      </c>
    </row>
    <row r="347" spans="1:14" x14ac:dyDescent="0.25">
      <c r="A347" s="21">
        <f>Presion_cilindro!N339</f>
        <v>-12.5</v>
      </c>
      <c r="B347" s="27">
        <f>B346*(Presion_cilindro!O338/Presion_cilindro!O339)^Presion_cilindro!$B$9+10*(Presion_cilindro!$B$9-1)*Presion_cilindro!$B$33*(IF(Presion_cilindro!N339&gt;(-B$4+Presion_cilindro!$B$34),1-EXP(-Presion_cilindro!$B$16*((Presion_cilindro!N339-(-B$4+Presion_cilindro!$B$34))/Presion_cilindro!$B$35)^(Presion_cilindro!$B$17+1)),0)-IF(Presion_cilindro!N338&gt;(-B$4+Presion_cilindro!$B$34),1-EXP(-Presion_cilindro!$B$16*((Presion_cilindro!N338-(-B$4+Presion_cilindro!$B$34))/Presion_cilindro!$B$35)^(Presion_cilindro!$B$17+1)),0))/((Presion_cilindro!O338+Presion_cilindro!O339)/2)</f>
        <v>12.97975536097953</v>
      </c>
      <c r="C347" s="27">
        <f>C346*(Presion_cilindro!O338/Presion_cilindro!O339)^Presion_cilindro!$B$9+10*(Presion_cilindro!$B$9-1)*Presion_cilindro!$B$33*(IF(Presion_cilindro!N339&gt;(-C$4+Presion_cilindro!$B$34),1-EXP(-Presion_cilindro!$B$16*((Presion_cilindro!N339-(-C$4+Presion_cilindro!$B$34))/Presion_cilindro!$B$35)^(Presion_cilindro!$B$17+1)),0)-IF(Presion_cilindro!N338&gt;(-C$4+Presion_cilindro!$B$34),1-EXP(-Presion_cilindro!$B$16*((Presion_cilindro!N338-(-C$4+Presion_cilindro!$B$34))/Presion_cilindro!$B$35)^(Presion_cilindro!$B$17+1)),0))/((Presion_cilindro!O338+Presion_cilindro!O339)/2)</f>
        <v>12.97975536097953</v>
      </c>
      <c r="D347" s="27">
        <f>D346*(Presion_cilindro!O338/Presion_cilindro!O339)^Presion_cilindro!$B$9+10*(Presion_cilindro!$B$9-1)*Presion_cilindro!$B$33*(IF(Presion_cilindro!N339&gt;(-D$4+Presion_cilindro!$B$34),1-EXP(-Presion_cilindro!$B$16*((Presion_cilindro!N339-(-D$4+Presion_cilindro!$B$34))/Presion_cilindro!$B$35)^(Presion_cilindro!$B$17+1)),0)-IF(Presion_cilindro!N338&gt;(-D$4+Presion_cilindro!$B$34),1-EXP(-Presion_cilindro!$B$16*((Presion_cilindro!N338-(-D$4+Presion_cilindro!$B$34))/Presion_cilindro!$B$35)^(Presion_cilindro!$B$17+1)),0))/((Presion_cilindro!O338+Presion_cilindro!O339)/2)</f>
        <v>12.97975536097953</v>
      </c>
      <c r="E347" s="27">
        <f>E346*(Presion_cilindro!O338/Presion_cilindro!O339)^Presion_cilindro!$B$9+10*(Presion_cilindro!$B$9-1)*Presion_cilindro!$B$33*(IF(Presion_cilindro!N339&gt;(-E$4+Presion_cilindro!$B$34),1-EXP(-Presion_cilindro!$B$16*((Presion_cilindro!N339-(-E$4+Presion_cilindro!$B$34))/Presion_cilindro!$B$35)^(Presion_cilindro!$B$17+1)),0)-IF(Presion_cilindro!N338&gt;(-E$4+Presion_cilindro!$B$34),1-EXP(-Presion_cilindro!$B$16*((Presion_cilindro!N338-(-E$4+Presion_cilindro!$B$34))/Presion_cilindro!$B$35)^(Presion_cilindro!$B$17+1)),0))/((Presion_cilindro!O338+Presion_cilindro!O339)/2)</f>
        <v>12.97975536097953</v>
      </c>
      <c r="F347" s="27">
        <f>F346*(Presion_cilindro!O338/Presion_cilindro!O339)^Presion_cilindro!$B$9+10*(Presion_cilindro!$B$9-1)*Presion_cilindro!$B$33*(IF(Presion_cilindro!N339&gt;(-F$4+Presion_cilindro!$B$34),1-EXP(-Presion_cilindro!$B$16*((Presion_cilindro!N339-(-F$4+Presion_cilindro!$B$34))/Presion_cilindro!$B$35)^(Presion_cilindro!$B$17+1)),0)-IF(Presion_cilindro!N338&gt;(-F$4+Presion_cilindro!$B$34),1-EXP(-Presion_cilindro!$B$16*((Presion_cilindro!N338-(-F$4+Presion_cilindro!$B$34))/Presion_cilindro!$B$35)^(Presion_cilindro!$B$17+1)),0))/((Presion_cilindro!O338+Presion_cilindro!O339)/2)</f>
        <v>12.979786271137185</v>
      </c>
      <c r="G347" s="27">
        <f>G346*(Presion_cilindro!O338/Presion_cilindro!O339)^Presion_cilindro!$B$9+10*(Presion_cilindro!$B$9-1)*Presion_cilindro!$B$33*(IF(Presion_cilindro!N339&gt;(-G$4+Presion_cilindro!$B$34),1-EXP(-Presion_cilindro!$B$16*((Presion_cilindro!N339-(-G$4+Presion_cilindro!$B$34))/Presion_cilindro!$B$35)^(Presion_cilindro!$B$17+1)),0)-IF(Presion_cilindro!N338&gt;(-G$4+Presion_cilindro!$B$34),1-EXP(-Presion_cilindro!$B$16*((Presion_cilindro!N338-(-G$4+Presion_cilindro!$B$34))/Presion_cilindro!$B$35)^(Presion_cilindro!$B$17+1)),0))/((Presion_cilindro!O338+Presion_cilindro!O339)/2)</f>
        <v>13.150868439823164</v>
      </c>
      <c r="H347" s="27">
        <f>H346*(Presion_cilindro!O338/Presion_cilindro!O339)^Presion_cilindro!$B$9+10*(Presion_cilindro!$B$9-1)*Presion_cilindro!$B$33*(IF(Presion_cilindro!N339&gt;(-H$4+Presion_cilindro!$B$34),1-EXP(-Presion_cilindro!$B$16*((Presion_cilindro!N339-(-H$4+Presion_cilindro!$B$34))/Presion_cilindro!$B$35)^(Presion_cilindro!$B$17+1)),0)-IF(Presion_cilindro!N338&gt;(-H$4+Presion_cilindro!$B$34),1-EXP(-Presion_cilindro!$B$16*((Presion_cilindro!N338-(-H$4+Presion_cilindro!$B$34))/Presion_cilindro!$B$35)^(Presion_cilindro!$B$17+1)),0))/((Presion_cilindro!O338+Presion_cilindro!O339)/2)</f>
        <v>14.222839816268865</v>
      </c>
      <c r="I347" s="27">
        <f>I346*(Presion_cilindro!O338/Presion_cilindro!O339)^Presion_cilindro!$B$9+10*(Presion_cilindro!$B$9-1)*Presion_cilindro!$B$33*(IF(Presion_cilindro!N339&gt;(-I$4+Presion_cilindro!$B$34),1-EXP(-Presion_cilindro!$B$16*((Presion_cilindro!N339-(-I$4+Presion_cilindro!$B$34))/Presion_cilindro!$B$35)^(Presion_cilindro!$B$17+1)),0)-IF(Presion_cilindro!N338&gt;(-I$4+Presion_cilindro!$B$34),1-EXP(-Presion_cilindro!$B$16*((Presion_cilindro!N338-(-I$4+Presion_cilindro!$B$34))/Presion_cilindro!$B$35)^(Presion_cilindro!$B$17+1)),0))/((Presion_cilindro!O338+Presion_cilindro!O339)/2)</f>
        <v>16.894813702190671</v>
      </c>
      <c r="J347" s="27">
        <f>J346*(Presion_cilindro!O338/Presion_cilindro!O339)^Presion_cilindro!$B$9+10*(Presion_cilindro!$B$9-1)*Presion_cilindro!$B$33*(IF(Presion_cilindro!N339&gt;(-J$4+Presion_cilindro!$B$34),1-EXP(-Presion_cilindro!$B$16*((Presion_cilindro!N339-(-J$4+Presion_cilindro!$B$34))/Presion_cilindro!$B$35)^(Presion_cilindro!$B$17+1)),0)-IF(Presion_cilindro!N338&gt;(-J$4+Presion_cilindro!$B$34),1-EXP(-Presion_cilindro!$B$16*((Presion_cilindro!N338-(-J$4+Presion_cilindro!$B$34))/Presion_cilindro!$B$35)^(Presion_cilindro!$B$17+1)),0))/((Presion_cilindro!O338+Presion_cilindro!O339)/2)</f>
        <v>21.405666999873848</v>
      </c>
      <c r="K347" s="27">
        <f>K346*(Presion_cilindro!O338/Presion_cilindro!O339)^Presion_cilindro!$B$9+10*(Presion_cilindro!$B$9-1)*Presion_cilindro!$B$33*(IF(Presion_cilindro!N339&gt;(-K$4+Presion_cilindro!$B$34),1-EXP(-Presion_cilindro!$B$16*((Presion_cilindro!N339-(-K$4+Presion_cilindro!$B$34))/Presion_cilindro!$B$35)^(Presion_cilindro!$B$17+1)),0)-IF(Presion_cilindro!N338&gt;(-K$4+Presion_cilindro!$B$34),1-EXP(-Presion_cilindro!$B$16*((Presion_cilindro!N338-(-K$4+Presion_cilindro!$B$34))/Presion_cilindro!$B$35)^(Presion_cilindro!$B$17+1)),0))/((Presion_cilindro!O338+Presion_cilindro!O339)/2)</f>
        <v>27.275228972522953</v>
      </c>
      <c r="L347" s="27">
        <f>L346*(Presion_cilindro!O338/Presion_cilindro!O339)^Presion_cilindro!$B$9+10*(Presion_cilindro!$B$9-1)*Presion_cilindro!$B$33*(IF(Presion_cilindro!N339&gt;(-L$4+Presion_cilindro!$B$34),1-EXP(-Presion_cilindro!$B$16*((Presion_cilindro!N339-(-L$4+Presion_cilindro!$B$34))/Presion_cilindro!$B$35)^(Presion_cilindro!$B$17+1)),0)-IF(Presion_cilindro!N338&gt;(-L$4+Presion_cilindro!$B$34),1-EXP(-Presion_cilindro!$B$16*((Presion_cilindro!N338-(-L$4+Presion_cilindro!$B$34))/Presion_cilindro!$B$35)^(Presion_cilindro!$B$17+1)),0))/((Presion_cilindro!O338+Presion_cilindro!O339)/2)</f>
        <v>33.417868149179426</v>
      </c>
      <c r="M347" s="27">
        <f>M346*(Presion_cilindro!O338/Presion_cilindro!O339)^Presion_cilindro!$B$9+10*(Presion_cilindro!$B$9-1)*Presion_cilindro!$B$33*(IF(Presion_cilindro!N339&gt;(-M$4+Presion_cilindro!$B$34),1-EXP(-Presion_cilindro!$B$16*((Presion_cilindro!N339-(-M$4+Presion_cilindro!$B$34))/Presion_cilindro!$B$35)^(Presion_cilindro!$B$17+1)),0)-IF(Presion_cilindro!N338&gt;(-M$4+Presion_cilindro!$B$34),1-EXP(-Presion_cilindro!$B$16*((Presion_cilindro!N338-(-M$4+Presion_cilindro!$B$34))/Presion_cilindro!$B$35)^(Presion_cilindro!$B$17+1)),0))/((Presion_cilindro!O338+Presion_cilindro!O339)/2)</f>
        <v>38.706187674407651</v>
      </c>
      <c r="N347" s="27">
        <f>N346*(Presion_cilindro!O338/Presion_cilindro!O339)^Presion_cilindro!$B$9+10*(Presion_cilindro!$B$9-1)*Presion_cilindro!$B$33*(IF(Presion_cilindro!N339&gt;(-N$4+Presion_cilindro!$B$34),1-EXP(-Presion_cilindro!$B$16*((Presion_cilindro!N339-(-N$4+Presion_cilindro!$B$34))/Presion_cilindro!$B$35)^(Presion_cilindro!$B$17+1)),0)-IF(Presion_cilindro!N338&gt;(-N$4+Presion_cilindro!$B$34),1-EXP(-Presion_cilindro!$B$16*((Presion_cilindro!N338-(-N$4+Presion_cilindro!$B$34))/Presion_cilindro!$B$35)^(Presion_cilindro!$B$17+1)),0))/((Presion_cilindro!O338+Presion_cilindro!O339)/2)</f>
        <v>42.588593765264015</v>
      </c>
    </row>
    <row r="348" spans="1:14" x14ac:dyDescent="0.25">
      <c r="A348" s="21">
        <f>Presion_cilindro!N340</f>
        <v>-12</v>
      </c>
      <c r="B348" s="27">
        <f>B347*(Presion_cilindro!O339/Presion_cilindro!O340)^Presion_cilindro!$B$9+10*(Presion_cilindro!$B$9-1)*Presion_cilindro!$B$33*(IF(Presion_cilindro!N340&gt;(-B$4+Presion_cilindro!$B$34),1-EXP(-Presion_cilindro!$B$16*((Presion_cilindro!N340-(-B$4+Presion_cilindro!$B$34))/Presion_cilindro!$B$35)^(Presion_cilindro!$B$17+1)),0)-IF(Presion_cilindro!N339&gt;(-B$4+Presion_cilindro!$B$34),1-EXP(-Presion_cilindro!$B$16*((Presion_cilindro!N339-(-B$4+Presion_cilindro!$B$34))/Presion_cilindro!$B$35)^(Presion_cilindro!$B$17+1)),0))/((Presion_cilindro!O339+Presion_cilindro!O340)/2)</f>
        <v>13.143464210914832</v>
      </c>
      <c r="C348" s="27">
        <f>C347*(Presion_cilindro!O339/Presion_cilindro!O340)^Presion_cilindro!$B$9+10*(Presion_cilindro!$B$9-1)*Presion_cilindro!$B$33*(IF(Presion_cilindro!N340&gt;(-C$4+Presion_cilindro!$B$34),1-EXP(-Presion_cilindro!$B$16*((Presion_cilindro!N340-(-C$4+Presion_cilindro!$B$34))/Presion_cilindro!$B$35)^(Presion_cilindro!$B$17+1)),0)-IF(Presion_cilindro!N339&gt;(-C$4+Presion_cilindro!$B$34),1-EXP(-Presion_cilindro!$B$16*((Presion_cilindro!N339-(-C$4+Presion_cilindro!$B$34))/Presion_cilindro!$B$35)^(Presion_cilindro!$B$17+1)),0))/((Presion_cilindro!O339+Presion_cilindro!O340)/2)</f>
        <v>13.143464210914832</v>
      </c>
      <c r="D348" s="27">
        <f>D347*(Presion_cilindro!O339/Presion_cilindro!O340)^Presion_cilindro!$B$9+10*(Presion_cilindro!$B$9-1)*Presion_cilindro!$B$33*(IF(Presion_cilindro!N340&gt;(-D$4+Presion_cilindro!$B$34),1-EXP(-Presion_cilindro!$B$16*((Presion_cilindro!N340-(-D$4+Presion_cilindro!$B$34))/Presion_cilindro!$B$35)^(Presion_cilindro!$B$17+1)),0)-IF(Presion_cilindro!N339&gt;(-D$4+Presion_cilindro!$B$34),1-EXP(-Presion_cilindro!$B$16*((Presion_cilindro!N339-(-D$4+Presion_cilindro!$B$34))/Presion_cilindro!$B$35)^(Presion_cilindro!$B$17+1)),0))/((Presion_cilindro!O339+Presion_cilindro!O340)/2)</f>
        <v>13.143464210914832</v>
      </c>
      <c r="E348" s="27">
        <f>E347*(Presion_cilindro!O339/Presion_cilindro!O340)^Presion_cilindro!$B$9+10*(Presion_cilindro!$B$9-1)*Presion_cilindro!$B$33*(IF(Presion_cilindro!N340&gt;(-E$4+Presion_cilindro!$B$34),1-EXP(-Presion_cilindro!$B$16*((Presion_cilindro!N340-(-E$4+Presion_cilindro!$B$34))/Presion_cilindro!$B$35)^(Presion_cilindro!$B$17+1)),0)-IF(Presion_cilindro!N339&gt;(-E$4+Presion_cilindro!$B$34),1-EXP(-Presion_cilindro!$B$16*((Presion_cilindro!N339-(-E$4+Presion_cilindro!$B$34))/Presion_cilindro!$B$35)^(Presion_cilindro!$B$17+1)),0))/((Presion_cilindro!O339+Presion_cilindro!O340)/2)</f>
        <v>13.143464210914832</v>
      </c>
      <c r="F348" s="27">
        <f>F347*(Presion_cilindro!O339/Presion_cilindro!O340)^Presion_cilindro!$B$9+10*(Presion_cilindro!$B$9-1)*Presion_cilindro!$B$33*(IF(Presion_cilindro!N340&gt;(-F$4+Presion_cilindro!$B$34),1-EXP(-Presion_cilindro!$B$16*((Presion_cilindro!N340-(-F$4+Presion_cilindro!$B$34))/Presion_cilindro!$B$35)^(Presion_cilindro!$B$17+1)),0)-IF(Presion_cilindro!N339&gt;(-F$4+Presion_cilindro!$B$34),1-EXP(-Presion_cilindro!$B$16*((Presion_cilindro!N339-(-F$4+Presion_cilindro!$B$34))/Presion_cilindro!$B$35)^(Presion_cilindro!$B$17+1)),0))/((Presion_cilindro!O339+Presion_cilindro!O340)/2)</f>
        <v>13.144056079514241</v>
      </c>
      <c r="G348" s="27">
        <f>G347*(Presion_cilindro!O339/Presion_cilindro!O340)^Presion_cilindro!$B$9+10*(Presion_cilindro!$B$9-1)*Presion_cilindro!$B$33*(IF(Presion_cilindro!N340&gt;(-G$4+Presion_cilindro!$B$34),1-EXP(-Presion_cilindro!$B$16*((Presion_cilindro!N340-(-G$4+Presion_cilindro!$B$34))/Presion_cilindro!$B$35)^(Presion_cilindro!$B$17+1)),0)-IF(Presion_cilindro!N339&gt;(-G$4+Presion_cilindro!$B$34),1-EXP(-Presion_cilindro!$B$16*((Presion_cilindro!N339-(-G$4+Presion_cilindro!$B$34))/Presion_cilindro!$B$35)^(Presion_cilindro!$B$17+1)),0))/((Presion_cilindro!O339+Presion_cilindro!O340)/2)</f>
        <v>13.369799724035705</v>
      </c>
      <c r="H348" s="27">
        <f>H347*(Presion_cilindro!O339/Presion_cilindro!O340)^Presion_cilindro!$B$9+10*(Presion_cilindro!$B$9-1)*Presion_cilindro!$B$33*(IF(Presion_cilindro!N340&gt;(-H$4+Presion_cilindro!$B$34),1-EXP(-Presion_cilindro!$B$16*((Presion_cilindro!N340-(-H$4+Presion_cilindro!$B$34))/Presion_cilindro!$B$35)^(Presion_cilindro!$B$17+1)),0)-IF(Presion_cilindro!N339&gt;(-H$4+Presion_cilindro!$B$34),1-EXP(-Presion_cilindro!$B$16*((Presion_cilindro!N339-(-H$4+Presion_cilindro!$B$34))/Presion_cilindro!$B$35)^(Presion_cilindro!$B$17+1)),0))/((Presion_cilindro!O339+Presion_cilindro!O340)/2)</f>
        <v>14.586151376850291</v>
      </c>
      <c r="I348" s="27">
        <f>I347*(Presion_cilindro!O339/Presion_cilindro!O340)^Presion_cilindro!$B$9+10*(Presion_cilindro!$B$9-1)*Presion_cilindro!$B$33*(IF(Presion_cilindro!N340&gt;(-I$4+Presion_cilindro!$B$34),1-EXP(-Presion_cilindro!$B$16*((Presion_cilindro!N340-(-I$4+Presion_cilindro!$B$34))/Presion_cilindro!$B$35)^(Presion_cilindro!$B$17+1)),0)-IF(Presion_cilindro!N339&gt;(-I$4+Presion_cilindro!$B$34),1-EXP(-Presion_cilindro!$B$16*((Presion_cilindro!N339-(-I$4+Presion_cilindro!$B$34))/Presion_cilindro!$B$35)^(Presion_cilindro!$B$17+1)),0))/((Presion_cilindro!O339+Presion_cilindro!O340)/2)</f>
        <v>17.467255278320447</v>
      </c>
      <c r="J348" s="27">
        <f>J347*(Presion_cilindro!O339/Presion_cilindro!O340)^Presion_cilindro!$B$9+10*(Presion_cilindro!$B$9-1)*Presion_cilindro!$B$33*(IF(Presion_cilindro!N340&gt;(-J$4+Presion_cilindro!$B$34),1-EXP(-Presion_cilindro!$B$16*((Presion_cilindro!N340-(-J$4+Presion_cilindro!$B$34))/Presion_cilindro!$B$35)^(Presion_cilindro!$B$17+1)),0)-IF(Presion_cilindro!N339&gt;(-J$4+Presion_cilindro!$B$34),1-EXP(-Presion_cilindro!$B$16*((Presion_cilindro!N339-(-J$4+Presion_cilindro!$B$34))/Presion_cilindro!$B$35)^(Presion_cilindro!$B$17+1)),0))/((Presion_cilindro!O339+Presion_cilindro!O340)/2)</f>
        <v>22.188672085300524</v>
      </c>
      <c r="K348" s="27">
        <f>K347*(Presion_cilindro!O339/Presion_cilindro!O340)^Presion_cilindro!$B$9+10*(Presion_cilindro!$B$9-1)*Presion_cilindro!$B$33*(IF(Presion_cilindro!N340&gt;(-K$4+Presion_cilindro!$B$34),1-EXP(-Presion_cilindro!$B$16*((Presion_cilindro!N340-(-K$4+Presion_cilindro!$B$34))/Presion_cilindro!$B$35)^(Presion_cilindro!$B$17+1)),0)-IF(Presion_cilindro!N339&gt;(-K$4+Presion_cilindro!$B$34),1-EXP(-Presion_cilindro!$B$16*((Presion_cilindro!N339-(-K$4+Presion_cilindro!$B$34))/Presion_cilindro!$B$35)^(Presion_cilindro!$B$17+1)),0))/((Presion_cilindro!O339+Presion_cilindro!O340)/2)</f>
        <v>28.190601887749537</v>
      </c>
      <c r="L348" s="27">
        <f>L347*(Presion_cilindro!O339/Presion_cilindro!O340)^Presion_cilindro!$B$9+10*(Presion_cilindro!$B$9-1)*Presion_cilindro!$B$33*(IF(Presion_cilindro!N340&gt;(-L$4+Presion_cilindro!$B$34),1-EXP(-Presion_cilindro!$B$16*((Presion_cilindro!N340-(-L$4+Presion_cilindro!$B$34))/Presion_cilindro!$B$35)^(Presion_cilindro!$B$17+1)),0)-IF(Presion_cilindro!N339&gt;(-L$4+Presion_cilindro!$B$34),1-EXP(-Presion_cilindro!$B$16*((Presion_cilindro!N339-(-L$4+Presion_cilindro!$B$34))/Presion_cilindro!$B$35)^(Presion_cilindro!$B$17+1)),0))/((Presion_cilindro!O339+Presion_cilindro!O340)/2)</f>
        <v>34.34237112802434</v>
      </c>
      <c r="M348" s="27">
        <f>M347*(Presion_cilindro!O339/Presion_cilindro!O340)^Presion_cilindro!$B$9+10*(Presion_cilindro!$B$9-1)*Presion_cilindro!$B$33*(IF(Presion_cilindro!N340&gt;(-M$4+Presion_cilindro!$B$34),1-EXP(-Presion_cilindro!$B$16*((Presion_cilindro!N340-(-M$4+Presion_cilindro!$B$34))/Presion_cilindro!$B$35)^(Presion_cilindro!$B$17+1)),0)-IF(Presion_cilindro!N339&gt;(-M$4+Presion_cilindro!$B$34),1-EXP(-Presion_cilindro!$B$16*((Presion_cilindro!N339-(-M$4+Presion_cilindro!$B$34))/Presion_cilindro!$B$35)^(Presion_cilindro!$B$17+1)),0))/((Presion_cilindro!O339+Presion_cilindro!O340)/2)</f>
        <v>39.542024522531442</v>
      </c>
      <c r="N348" s="27">
        <f>N347*(Presion_cilindro!O339/Presion_cilindro!O340)^Presion_cilindro!$B$9+10*(Presion_cilindro!$B$9-1)*Presion_cilindro!$B$33*(IF(Presion_cilindro!N340&gt;(-N$4+Presion_cilindro!$B$34),1-EXP(-Presion_cilindro!$B$16*((Presion_cilindro!N340-(-N$4+Presion_cilindro!$B$34))/Presion_cilindro!$B$35)^(Presion_cilindro!$B$17+1)),0)-IF(Presion_cilindro!N339&gt;(-N$4+Presion_cilindro!$B$34),1-EXP(-Presion_cilindro!$B$16*((Presion_cilindro!N339-(-N$4+Presion_cilindro!$B$34))/Presion_cilindro!$B$35)^(Presion_cilindro!$B$17+1)),0))/((Presion_cilindro!O339+Presion_cilindro!O340)/2)</f>
        <v>43.311306596196268</v>
      </c>
    </row>
    <row r="349" spans="1:14" x14ac:dyDescent="0.25">
      <c r="A349" s="21">
        <f>Presion_cilindro!N341</f>
        <v>-11.5</v>
      </c>
      <c r="B349" s="27">
        <f>B348*(Presion_cilindro!O340/Presion_cilindro!O341)^Presion_cilindro!$B$9+10*(Presion_cilindro!$B$9-1)*Presion_cilindro!$B$33*(IF(Presion_cilindro!N341&gt;(-B$4+Presion_cilindro!$B$34),1-EXP(-Presion_cilindro!$B$16*((Presion_cilindro!N341-(-B$4+Presion_cilindro!$B$34))/Presion_cilindro!$B$35)^(Presion_cilindro!$B$17+1)),0)-IF(Presion_cilindro!N340&gt;(-B$4+Presion_cilindro!$B$34),1-EXP(-Presion_cilindro!$B$16*((Presion_cilindro!N340-(-B$4+Presion_cilindro!$B$34))/Presion_cilindro!$B$35)^(Presion_cilindro!$B$17+1)),0))/((Presion_cilindro!O340+Presion_cilindro!O341)/2)</f>
        <v>13.304080748347879</v>
      </c>
      <c r="C349" s="27">
        <f>C348*(Presion_cilindro!O340/Presion_cilindro!O341)^Presion_cilindro!$B$9+10*(Presion_cilindro!$B$9-1)*Presion_cilindro!$B$33*(IF(Presion_cilindro!N341&gt;(-C$4+Presion_cilindro!$B$34),1-EXP(-Presion_cilindro!$B$16*((Presion_cilindro!N341-(-C$4+Presion_cilindro!$B$34))/Presion_cilindro!$B$35)^(Presion_cilindro!$B$17+1)),0)-IF(Presion_cilindro!N340&gt;(-C$4+Presion_cilindro!$B$34),1-EXP(-Presion_cilindro!$B$16*((Presion_cilindro!N340-(-C$4+Presion_cilindro!$B$34))/Presion_cilindro!$B$35)^(Presion_cilindro!$B$17+1)),0))/((Presion_cilindro!O340+Presion_cilindro!O341)/2)</f>
        <v>13.304080748347879</v>
      </c>
      <c r="D349" s="27">
        <f>D348*(Presion_cilindro!O340/Presion_cilindro!O341)^Presion_cilindro!$B$9+10*(Presion_cilindro!$B$9-1)*Presion_cilindro!$B$33*(IF(Presion_cilindro!N341&gt;(-D$4+Presion_cilindro!$B$34),1-EXP(-Presion_cilindro!$B$16*((Presion_cilindro!N341-(-D$4+Presion_cilindro!$B$34))/Presion_cilindro!$B$35)^(Presion_cilindro!$B$17+1)),0)-IF(Presion_cilindro!N340&gt;(-D$4+Presion_cilindro!$B$34),1-EXP(-Presion_cilindro!$B$16*((Presion_cilindro!N340-(-D$4+Presion_cilindro!$B$34))/Presion_cilindro!$B$35)^(Presion_cilindro!$B$17+1)),0))/((Presion_cilindro!O340+Presion_cilindro!O341)/2)</f>
        <v>13.304080748347879</v>
      </c>
      <c r="E349" s="27">
        <f>E348*(Presion_cilindro!O340/Presion_cilindro!O341)^Presion_cilindro!$B$9+10*(Presion_cilindro!$B$9-1)*Presion_cilindro!$B$33*(IF(Presion_cilindro!N341&gt;(-E$4+Presion_cilindro!$B$34),1-EXP(-Presion_cilindro!$B$16*((Presion_cilindro!N341-(-E$4+Presion_cilindro!$B$34))/Presion_cilindro!$B$35)^(Presion_cilindro!$B$17+1)),0)-IF(Presion_cilindro!N340&gt;(-E$4+Presion_cilindro!$B$34),1-EXP(-Presion_cilindro!$B$16*((Presion_cilindro!N340-(-E$4+Presion_cilindro!$B$34))/Presion_cilindro!$B$35)^(Presion_cilindro!$B$17+1)),0))/((Presion_cilindro!O340+Presion_cilindro!O341)/2)</f>
        <v>13.304080748347879</v>
      </c>
      <c r="F349" s="27">
        <f>F348*(Presion_cilindro!O340/Presion_cilindro!O341)^Presion_cilindro!$B$9+10*(Presion_cilindro!$B$9-1)*Presion_cilindro!$B$33*(IF(Presion_cilindro!N341&gt;(-F$4+Presion_cilindro!$B$34),1-EXP(-Presion_cilindro!$B$16*((Presion_cilindro!N341-(-F$4+Presion_cilindro!$B$34))/Presion_cilindro!$B$35)^(Presion_cilindro!$B$17+1)),0)-IF(Presion_cilindro!N340&gt;(-F$4+Presion_cilindro!$B$34),1-EXP(-Presion_cilindro!$B$16*((Presion_cilindro!N340-(-F$4+Presion_cilindro!$B$34))/Presion_cilindro!$B$35)^(Presion_cilindro!$B$17+1)),0))/((Presion_cilindro!O340+Presion_cilindro!O341)/2)</f>
        <v>13.306645459799064</v>
      </c>
      <c r="G349" s="27">
        <f>G348*(Presion_cilindro!O340/Presion_cilindro!O341)^Presion_cilindro!$B$9+10*(Presion_cilindro!$B$9-1)*Presion_cilindro!$B$33*(IF(Presion_cilindro!N341&gt;(-G$4+Presion_cilindro!$B$34),1-EXP(-Presion_cilindro!$B$16*((Presion_cilindro!N341-(-G$4+Presion_cilindro!$B$34))/Presion_cilindro!$B$35)^(Presion_cilindro!$B$17+1)),0)-IF(Presion_cilindro!N340&gt;(-G$4+Presion_cilindro!$B$34),1-EXP(-Presion_cilindro!$B$16*((Presion_cilindro!N340-(-G$4+Presion_cilindro!$B$34))/Presion_cilindro!$B$35)^(Presion_cilindro!$B$17+1)),0))/((Presion_cilindro!O340+Presion_cilindro!O341)/2)</f>
        <v>13.596687426784101</v>
      </c>
      <c r="H349" s="27">
        <f>H348*(Presion_cilindro!O340/Presion_cilindro!O341)^Presion_cilindro!$B$9+10*(Presion_cilindro!$B$9-1)*Presion_cilindro!$B$33*(IF(Presion_cilindro!N341&gt;(-H$4+Presion_cilindro!$B$34),1-EXP(-Presion_cilindro!$B$16*((Presion_cilindro!N341-(-H$4+Presion_cilindro!$B$34))/Presion_cilindro!$B$35)^(Presion_cilindro!$B$17+1)),0)-IF(Presion_cilindro!N340&gt;(-H$4+Presion_cilindro!$B$34),1-EXP(-Presion_cilindro!$B$16*((Presion_cilindro!N340-(-H$4+Presion_cilindro!$B$34))/Presion_cilindro!$B$35)^(Presion_cilindro!$B$17+1)),0))/((Presion_cilindro!O340+Presion_cilindro!O341)/2)</f>
        <v>14.9665905942321</v>
      </c>
      <c r="I349" s="27">
        <f>I348*(Presion_cilindro!O340/Presion_cilindro!O341)^Presion_cilindro!$B$9+10*(Presion_cilindro!$B$9-1)*Presion_cilindro!$B$33*(IF(Presion_cilindro!N341&gt;(-I$4+Presion_cilindro!$B$34),1-EXP(-Presion_cilindro!$B$16*((Presion_cilindro!N341-(-I$4+Presion_cilindro!$B$34))/Presion_cilindro!$B$35)^(Presion_cilindro!$B$17+1)),0)-IF(Presion_cilindro!N340&gt;(-I$4+Presion_cilindro!$B$34),1-EXP(-Presion_cilindro!$B$16*((Presion_cilindro!N340-(-I$4+Presion_cilindro!$B$34))/Presion_cilindro!$B$35)^(Presion_cilindro!$B$17+1)),0))/((Presion_cilindro!O340+Presion_cilindro!O341)/2)</f>
        <v>18.061225997484716</v>
      </c>
      <c r="J349" s="27">
        <f>J348*(Presion_cilindro!O340/Presion_cilindro!O341)^Presion_cilindro!$B$9+10*(Presion_cilindro!$B$9-1)*Presion_cilindro!$B$33*(IF(Presion_cilindro!N341&gt;(-J$4+Presion_cilindro!$B$34),1-EXP(-Presion_cilindro!$B$16*((Presion_cilindro!N341-(-J$4+Presion_cilindro!$B$34))/Presion_cilindro!$B$35)^(Presion_cilindro!$B$17+1)),0)-IF(Presion_cilindro!N340&gt;(-J$4+Presion_cilindro!$B$34),1-EXP(-Presion_cilindro!$B$16*((Presion_cilindro!N340-(-J$4+Presion_cilindro!$B$34))/Presion_cilindro!$B$35)^(Presion_cilindro!$B$17+1)),0))/((Presion_cilindro!O340+Presion_cilindro!O341)/2)</f>
        <v>22.98887359644112</v>
      </c>
      <c r="K349" s="27">
        <f>K348*(Presion_cilindro!O340/Presion_cilindro!O341)^Presion_cilindro!$B$9+10*(Presion_cilindro!$B$9-1)*Presion_cilindro!$B$33*(IF(Presion_cilindro!N341&gt;(-K$4+Presion_cilindro!$B$34),1-EXP(-Presion_cilindro!$B$16*((Presion_cilindro!N341-(-K$4+Presion_cilindro!$B$34))/Presion_cilindro!$B$35)^(Presion_cilindro!$B$17+1)),0)-IF(Presion_cilindro!N340&gt;(-K$4+Presion_cilindro!$B$34),1-EXP(-Presion_cilindro!$B$16*((Presion_cilindro!N340-(-K$4+Presion_cilindro!$B$34))/Presion_cilindro!$B$35)^(Presion_cilindro!$B$17+1)),0))/((Presion_cilindro!O340+Presion_cilindro!O341)/2)</f>
        <v>29.110545158260344</v>
      </c>
      <c r="L349" s="27">
        <f>L348*(Presion_cilindro!O340/Presion_cilindro!O341)^Presion_cilindro!$B$9+10*(Presion_cilindro!$B$9-1)*Presion_cilindro!$B$33*(IF(Presion_cilindro!N341&gt;(-L$4+Presion_cilindro!$B$34),1-EXP(-Presion_cilindro!$B$16*((Presion_cilindro!N341-(-L$4+Presion_cilindro!$B$34))/Presion_cilindro!$B$35)^(Presion_cilindro!$B$17+1)),0)-IF(Presion_cilindro!N340&gt;(-L$4+Presion_cilindro!$B$34),1-EXP(-Presion_cilindro!$B$16*((Presion_cilindro!N340-(-L$4+Presion_cilindro!$B$34))/Presion_cilindro!$B$35)^(Presion_cilindro!$B$17+1)),0))/((Presion_cilindro!O340+Presion_cilindro!O341)/2)</f>
        <v>35.256800141868958</v>
      </c>
      <c r="M349" s="27">
        <f>M348*(Presion_cilindro!O340/Presion_cilindro!O341)^Presion_cilindro!$B$9+10*(Presion_cilindro!$B$9-1)*Presion_cilindro!$B$33*(IF(Presion_cilindro!N341&gt;(-M$4+Presion_cilindro!$B$34),1-EXP(-Presion_cilindro!$B$16*((Presion_cilindro!N341-(-M$4+Presion_cilindro!$B$34))/Presion_cilindro!$B$35)^(Presion_cilindro!$B$17+1)),0)-IF(Presion_cilindro!N340&gt;(-M$4+Presion_cilindro!$B$34),1-EXP(-Presion_cilindro!$B$16*((Presion_cilindro!N340-(-M$4+Presion_cilindro!$B$34))/Presion_cilindro!$B$35)^(Presion_cilindro!$B$17+1)),0))/((Presion_cilindro!O340+Presion_cilindro!O341)/2)</f>
        <v>40.358738536535398</v>
      </c>
      <c r="N349" s="27">
        <f>N348*(Presion_cilindro!O340/Presion_cilindro!O341)^Presion_cilindro!$B$9+10*(Presion_cilindro!$B$9-1)*Presion_cilindro!$B$33*(IF(Presion_cilindro!N341&gt;(-N$4+Presion_cilindro!$B$34),1-EXP(-Presion_cilindro!$B$16*((Presion_cilindro!N341-(-N$4+Presion_cilindro!$B$34))/Presion_cilindro!$B$35)^(Presion_cilindro!$B$17+1)),0)-IF(Presion_cilindro!N340&gt;(-N$4+Presion_cilindro!$B$34),1-EXP(-Presion_cilindro!$B$16*((Presion_cilindro!N340-(-N$4+Presion_cilindro!$B$34))/Presion_cilindro!$B$35)^(Presion_cilindro!$B$17+1)),0))/((Presion_cilindro!O340+Presion_cilindro!O341)/2)</f>
        <v>44.013853811634426</v>
      </c>
    </row>
    <row r="350" spans="1:14" x14ac:dyDescent="0.25">
      <c r="A350" s="21">
        <f>Presion_cilindro!N342</f>
        <v>-11</v>
      </c>
      <c r="B350" s="27">
        <f>B349*(Presion_cilindro!O341/Presion_cilindro!O342)^Presion_cilindro!$B$9+10*(Presion_cilindro!$B$9-1)*Presion_cilindro!$B$33*(IF(Presion_cilindro!N342&gt;(-B$4+Presion_cilindro!$B$34),1-EXP(-Presion_cilindro!$B$16*((Presion_cilindro!N342-(-B$4+Presion_cilindro!$B$34))/Presion_cilindro!$B$35)^(Presion_cilindro!$B$17+1)),0)-IF(Presion_cilindro!N341&gt;(-B$4+Presion_cilindro!$B$34),1-EXP(-Presion_cilindro!$B$16*((Presion_cilindro!N341-(-B$4+Presion_cilindro!$B$34))/Presion_cilindro!$B$35)^(Presion_cilindro!$B$17+1)),0))/((Presion_cilindro!O341+Presion_cilindro!O342)/2)</f>
        <v>13.461262961297823</v>
      </c>
      <c r="C350" s="27">
        <f>C349*(Presion_cilindro!O341/Presion_cilindro!O342)^Presion_cilindro!$B$9+10*(Presion_cilindro!$B$9-1)*Presion_cilindro!$B$33*(IF(Presion_cilindro!N342&gt;(-C$4+Presion_cilindro!$B$34),1-EXP(-Presion_cilindro!$B$16*((Presion_cilindro!N342-(-C$4+Presion_cilindro!$B$34))/Presion_cilindro!$B$35)^(Presion_cilindro!$B$17+1)),0)-IF(Presion_cilindro!N341&gt;(-C$4+Presion_cilindro!$B$34),1-EXP(-Presion_cilindro!$B$16*((Presion_cilindro!N341-(-C$4+Presion_cilindro!$B$34))/Presion_cilindro!$B$35)^(Presion_cilindro!$B$17+1)),0))/((Presion_cilindro!O341+Presion_cilindro!O342)/2)</f>
        <v>13.461262961297823</v>
      </c>
      <c r="D350" s="27">
        <f>D349*(Presion_cilindro!O341/Presion_cilindro!O342)^Presion_cilindro!$B$9+10*(Presion_cilindro!$B$9-1)*Presion_cilindro!$B$33*(IF(Presion_cilindro!N342&gt;(-D$4+Presion_cilindro!$B$34),1-EXP(-Presion_cilindro!$B$16*((Presion_cilindro!N342-(-D$4+Presion_cilindro!$B$34))/Presion_cilindro!$B$35)^(Presion_cilindro!$B$17+1)),0)-IF(Presion_cilindro!N341&gt;(-D$4+Presion_cilindro!$B$34),1-EXP(-Presion_cilindro!$B$16*((Presion_cilindro!N341-(-D$4+Presion_cilindro!$B$34))/Presion_cilindro!$B$35)^(Presion_cilindro!$B$17+1)),0))/((Presion_cilindro!O341+Presion_cilindro!O342)/2)</f>
        <v>13.461262961297823</v>
      </c>
      <c r="E350" s="27">
        <f>E349*(Presion_cilindro!O341/Presion_cilindro!O342)^Presion_cilindro!$B$9+10*(Presion_cilindro!$B$9-1)*Presion_cilindro!$B$33*(IF(Presion_cilindro!N342&gt;(-E$4+Presion_cilindro!$B$34),1-EXP(-Presion_cilindro!$B$16*((Presion_cilindro!N342-(-E$4+Presion_cilindro!$B$34))/Presion_cilindro!$B$35)^(Presion_cilindro!$B$17+1)),0)-IF(Presion_cilindro!N341&gt;(-E$4+Presion_cilindro!$B$34),1-EXP(-Presion_cilindro!$B$16*((Presion_cilindro!N341-(-E$4+Presion_cilindro!$B$34))/Presion_cilindro!$B$35)^(Presion_cilindro!$B$17+1)),0))/((Presion_cilindro!O341+Presion_cilindro!O342)/2)</f>
        <v>13.461262961297823</v>
      </c>
      <c r="F350" s="27">
        <f>F349*(Presion_cilindro!O341/Presion_cilindro!O342)^Presion_cilindro!$B$9+10*(Presion_cilindro!$B$9-1)*Presion_cilindro!$B$33*(IF(Presion_cilindro!N342&gt;(-F$4+Presion_cilindro!$B$34),1-EXP(-Presion_cilindro!$B$16*((Presion_cilindro!N342-(-F$4+Presion_cilindro!$B$34))/Presion_cilindro!$B$35)^(Presion_cilindro!$B$17+1)),0)-IF(Presion_cilindro!N341&gt;(-F$4+Presion_cilindro!$B$34),1-EXP(-Presion_cilindro!$B$16*((Presion_cilindro!N341-(-F$4+Presion_cilindro!$B$34))/Presion_cilindro!$B$35)^(Presion_cilindro!$B$17+1)),0))/((Presion_cilindro!O341+Presion_cilindro!O342)/2)</f>
        <v>13.468136119469431</v>
      </c>
      <c r="G350" s="27">
        <f>G349*(Presion_cilindro!O341/Presion_cilindro!O342)^Presion_cilindro!$B$9+10*(Presion_cilindro!$B$9-1)*Presion_cilindro!$B$33*(IF(Presion_cilindro!N342&gt;(-G$4+Presion_cilindro!$B$34),1-EXP(-Presion_cilindro!$B$16*((Presion_cilindro!N342-(-G$4+Presion_cilindro!$B$34))/Presion_cilindro!$B$35)^(Presion_cilindro!$B$17+1)),0)-IF(Presion_cilindro!N341&gt;(-G$4+Presion_cilindro!$B$34),1-EXP(-Presion_cilindro!$B$16*((Presion_cilindro!N341-(-G$4+Presion_cilindro!$B$34))/Presion_cilindro!$B$35)^(Presion_cilindro!$B$17+1)),0))/((Presion_cilindro!O341+Presion_cilindro!O342)/2)</f>
        <v>13.83224443643638</v>
      </c>
      <c r="H350" s="27">
        <f>H349*(Presion_cilindro!O341/Presion_cilindro!O342)^Presion_cilindro!$B$9+10*(Presion_cilindro!$B$9-1)*Presion_cilindro!$B$33*(IF(Presion_cilindro!N342&gt;(-H$4+Presion_cilindro!$B$34),1-EXP(-Presion_cilindro!$B$16*((Presion_cilindro!N342-(-H$4+Presion_cilindro!$B$34))/Presion_cilindro!$B$35)^(Presion_cilindro!$B$17+1)),0)-IF(Presion_cilindro!N341&gt;(-H$4+Presion_cilindro!$B$34),1-EXP(-Presion_cilindro!$B$16*((Presion_cilindro!N341-(-H$4+Presion_cilindro!$B$34))/Presion_cilindro!$B$35)^(Presion_cilindro!$B$17+1)),0))/((Presion_cilindro!O341+Presion_cilindro!O342)/2)</f>
        <v>15.364565767619599</v>
      </c>
      <c r="I350" s="27">
        <f>I349*(Presion_cilindro!O341/Presion_cilindro!O342)^Presion_cilindro!$B$9+10*(Presion_cilindro!$B$9-1)*Presion_cilindro!$B$33*(IF(Presion_cilindro!N342&gt;(-I$4+Presion_cilindro!$B$34),1-EXP(-Presion_cilindro!$B$16*((Presion_cilindro!N342-(-I$4+Presion_cilindro!$B$34))/Presion_cilindro!$B$35)^(Presion_cilindro!$B$17+1)),0)-IF(Presion_cilindro!N341&gt;(-I$4+Presion_cilindro!$B$34),1-EXP(-Presion_cilindro!$B$16*((Presion_cilindro!N341-(-I$4+Presion_cilindro!$B$34))/Presion_cilindro!$B$35)^(Presion_cilindro!$B$17+1)),0))/((Presion_cilindro!O341+Presion_cilindro!O342)/2)</f>
        <v>18.676240320857033</v>
      </c>
      <c r="J350" s="27">
        <f>J349*(Presion_cilindro!O341/Presion_cilindro!O342)^Presion_cilindro!$B$9+10*(Presion_cilindro!$B$9-1)*Presion_cilindro!$B$33*(IF(Presion_cilindro!N342&gt;(-J$4+Presion_cilindro!$B$34),1-EXP(-Presion_cilindro!$B$16*((Presion_cilindro!N342-(-J$4+Presion_cilindro!$B$34))/Presion_cilindro!$B$35)^(Presion_cilindro!$B$17+1)),0)-IF(Presion_cilindro!N341&gt;(-J$4+Presion_cilindro!$B$34),1-EXP(-Presion_cilindro!$B$16*((Presion_cilindro!N341-(-J$4+Presion_cilindro!$B$34))/Presion_cilindro!$B$35)^(Presion_cilindro!$B$17+1)),0))/((Presion_cilindro!O341+Presion_cilindro!O342)/2)</f>
        <v>23.80457419231227</v>
      </c>
      <c r="K350" s="27">
        <f>K349*(Presion_cilindro!O341/Presion_cilindro!O342)^Presion_cilindro!$B$9+10*(Presion_cilindro!$B$9-1)*Presion_cilindro!$B$33*(IF(Presion_cilindro!N342&gt;(-K$4+Presion_cilindro!$B$34),1-EXP(-Presion_cilindro!$B$16*((Presion_cilindro!N342-(-K$4+Presion_cilindro!$B$34))/Presion_cilindro!$B$35)^(Presion_cilindro!$B$17+1)),0)-IF(Presion_cilindro!N341&gt;(-K$4+Presion_cilindro!$B$34),1-EXP(-Presion_cilindro!$B$16*((Presion_cilindro!N341-(-K$4+Presion_cilindro!$B$34))/Presion_cilindro!$B$35)^(Presion_cilindro!$B$17+1)),0))/((Presion_cilindro!O341+Presion_cilindro!O342)/2)</f>
        <v>30.032511914369984</v>
      </c>
      <c r="L350" s="27">
        <f>L349*(Presion_cilindro!O341/Presion_cilindro!O342)^Presion_cilindro!$B$9+10*(Presion_cilindro!$B$9-1)*Presion_cilindro!$B$33*(IF(Presion_cilindro!N342&gt;(-L$4+Presion_cilindro!$B$34),1-EXP(-Presion_cilindro!$B$16*((Presion_cilindro!N342-(-L$4+Presion_cilindro!$B$34))/Presion_cilindro!$B$35)^(Presion_cilindro!$B$17+1)),0)-IF(Presion_cilindro!N341&gt;(-L$4+Presion_cilindro!$B$34),1-EXP(-Presion_cilindro!$B$16*((Presion_cilindro!N341-(-L$4+Presion_cilindro!$B$34))/Presion_cilindro!$B$35)^(Presion_cilindro!$B$17+1)),0))/((Presion_cilindro!O341+Presion_cilindro!O342)/2)</f>
        <v>36.158653871677167</v>
      </c>
      <c r="M350" s="27">
        <f>M349*(Presion_cilindro!O341/Presion_cilindro!O342)^Presion_cilindro!$B$9+10*(Presion_cilindro!$B$9-1)*Presion_cilindro!$B$33*(IF(Presion_cilindro!N342&gt;(-M$4+Presion_cilindro!$B$34),1-EXP(-Presion_cilindro!$B$16*((Presion_cilindro!N342-(-M$4+Presion_cilindro!$B$34))/Presion_cilindro!$B$35)^(Presion_cilindro!$B$17+1)),0)-IF(Presion_cilindro!N341&gt;(-M$4+Presion_cilindro!$B$34),1-EXP(-Presion_cilindro!$B$16*((Presion_cilindro!N341-(-M$4+Presion_cilindro!$B$34))/Presion_cilindro!$B$35)^(Presion_cilindro!$B$17+1)),0))/((Presion_cilindro!O341+Presion_cilindro!O342)/2)</f>
        <v>41.154561433445281</v>
      </c>
      <c r="N350" s="27">
        <f>N349*(Presion_cilindro!O341/Presion_cilindro!O342)^Presion_cilindro!$B$9+10*(Presion_cilindro!$B$9-1)*Presion_cilindro!$B$33*(IF(Presion_cilindro!N342&gt;(-N$4+Presion_cilindro!$B$34),1-EXP(-Presion_cilindro!$B$16*((Presion_cilindro!N342-(-N$4+Presion_cilindro!$B$34))/Presion_cilindro!$B$35)^(Presion_cilindro!$B$17+1)),0)-IF(Presion_cilindro!N341&gt;(-N$4+Presion_cilindro!$B$34),1-EXP(-Presion_cilindro!$B$16*((Presion_cilindro!N341-(-N$4+Presion_cilindro!$B$34))/Presion_cilindro!$B$35)^(Presion_cilindro!$B$17+1)),0))/((Presion_cilindro!O341+Presion_cilindro!O342)/2)</f>
        <v>44.695154585830004</v>
      </c>
    </row>
    <row r="351" spans="1:14" x14ac:dyDescent="0.25">
      <c r="A351" s="21">
        <f>Presion_cilindro!N343</f>
        <v>-10.5</v>
      </c>
      <c r="B351" s="27">
        <f>B350*(Presion_cilindro!O342/Presion_cilindro!O343)^Presion_cilindro!$B$9+10*(Presion_cilindro!$B$9-1)*Presion_cilindro!$B$33*(IF(Presion_cilindro!N343&gt;(-B$4+Presion_cilindro!$B$34),1-EXP(-Presion_cilindro!$B$16*((Presion_cilindro!N343-(-B$4+Presion_cilindro!$B$34))/Presion_cilindro!$B$35)^(Presion_cilindro!$B$17+1)),0)-IF(Presion_cilindro!N342&gt;(-B$4+Presion_cilindro!$B$34),1-EXP(-Presion_cilindro!$B$16*((Presion_cilindro!N342-(-B$4+Presion_cilindro!$B$34))/Presion_cilindro!$B$35)^(Presion_cilindro!$B$17+1)),0))/((Presion_cilindro!O342+Presion_cilindro!O343)/2)</f>
        <v>13.614664578413283</v>
      </c>
      <c r="C351" s="27">
        <f>C350*(Presion_cilindro!O342/Presion_cilindro!O343)^Presion_cilindro!$B$9+10*(Presion_cilindro!$B$9-1)*Presion_cilindro!$B$33*(IF(Presion_cilindro!N343&gt;(-C$4+Presion_cilindro!$B$34),1-EXP(-Presion_cilindro!$B$16*((Presion_cilindro!N343-(-C$4+Presion_cilindro!$B$34))/Presion_cilindro!$B$35)^(Presion_cilindro!$B$17+1)),0)-IF(Presion_cilindro!N342&gt;(-C$4+Presion_cilindro!$B$34),1-EXP(-Presion_cilindro!$B$16*((Presion_cilindro!N342-(-C$4+Presion_cilindro!$B$34))/Presion_cilindro!$B$35)^(Presion_cilindro!$B$17+1)),0))/((Presion_cilindro!O342+Presion_cilindro!O343)/2)</f>
        <v>13.614664578413283</v>
      </c>
      <c r="D351" s="27">
        <f>D350*(Presion_cilindro!O342/Presion_cilindro!O343)^Presion_cilindro!$B$9+10*(Presion_cilindro!$B$9-1)*Presion_cilindro!$B$33*(IF(Presion_cilindro!N343&gt;(-D$4+Presion_cilindro!$B$34),1-EXP(-Presion_cilindro!$B$16*((Presion_cilindro!N343-(-D$4+Presion_cilindro!$B$34))/Presion_cilindro!$B$35)^(Presion_cilindro!$B$17+1)),0)-IF(Presion_cilindro!N342&gt;(-D$4+Presion_cilindro!$B$34),1-EXP(-Presion_cilindro!$B$16*((Presion_cilindro!N342-(-D$4+Presion_cilindro!$B$34))/Presion_cilindro!$B$35)^(Presion_cilindro!$B$17+1)),0))/((Presion_cilindro!O342+Presion_cilindro!O343)/2)</f>
        <v>13.614664578413283</v>
      </c>
      <c r="E351" s="27">
        <f>E350*(Presion_cilindro!O342/Presion_cilindro!O343)^Presion_cilindro!$B$9+10*(Presion_cilindro!$B$9-1)*Presion_cilindro!$B$33*(IF(Presion_cilindro!N343&gt;(-E$4+Presion_cilindro!$B$34),1-EXP(-Presion_cilindro!$B$16*((Presion_cilindro!N343-(-E$4+Presion_cilindro!$B$34))/Presion_cilindro!$B$35)^(Presion_cilindro!$B$17+1)),0)-IF(Presion_cilindro!N342&gt;(-E$4+Presion_cilindro!$B$34),1-EXP(-Presion_cilindro!$B$16*((Presion_cilindro!N342-(-E$4+Presion_cilindro!$B$34))/Presion_cilindro!$B$35)^(Presion_cilindro!$B$17+1)),0))/((Presion_cilindro!O342+Presion_cilindro!O343)/2)</f>
        <v>13.614664578413283</v>
      </c>
      <c r="F351" s="27">
        <f>F350*(Presion_cilindro!O342/Presion_cilindro!O343)^Presion_cilindro!$B$9+10*(Presion_cilindro!$B$9-1)*Presion_cilindro!$B$33*(IF(Presion_cilindro!N343&gt;(-F$4+Presion_cilindro!$B$34),1-EXP(-Presion_cilindro!$B$16*((Presion_cilindro!N343-(-F$4+Presion_cilindro!$B$34))/Presion_cilindro!$B$35)^(Presion_cilindro!$B$17+1)),0)-IF(Presion_cilindro!N342&gt;(-F$4+Presion_cilindro!$B$34),1-EXP(-Presion_cilindro!$B$16*((Presion_cilindro!N342-(-F$4+Presion_cilindro!$B$34))/Presion_cilindro!$B$35)^(Presion_cilindro!$B$17+1)),0))/((Presion_cilindro!O342+Presion_cilindro!O343)/2)</f>
        <v>13.629135355450336</v>
      </c>
      <c r="G351" s="27">
        <f>G350*(Presion_cilindro!O342/Presion_cilindro!O343)^Presion_cilindro!$B$9+10*(Presion_cilindro!$B$9-1)*Presion_cilindro!$B$33*(IF(Presion_cilindro!N343&gt;(-G$4+Presion_cilindro!$B$34),1-EXP(-Presion_cilindro!$B$16*((Presion_cilindro!N343-(-G$4+Presion_cilindro!$B$34))/Presion_cilindro!$B$35)^(Presion_cilindro!$B$17+1)),0)-IF(Presion_cilindro!N342&gt;(-G$4+Presion_cilindro!$B$34),1-EXP(-Presion_cilindro!$B$16*((Presion_cilindro!N342-(-G$4+Presion_cilindro!$B$34))/Presion_cilindro!$B$35)^(Presion_cilindro!$B$17+1)),0))/((Presion_cilindro!O342+Presion_cilindro!O343)/2)</f>
        <v>14.077167427449176</v>
      </c>
      <c r="H351" s="27">
        <f>H350*(Presion_cilindro!O342/Presion_cilindro!O343)^Presion_cilindro!$B$9+10*(Presion_cilindro!$B$9-1)*Presion_cilindro!$B$33*(IF(Presion_cilindro!N343&gt;(-H$4+Presion_cilindro!$B$34),1-EXP(-Presion_cilindro!$B$16*((Presion_cilindro!N343-(-H$4+Presion_cilindro!$B$34))/Presion_cilindro!$B$35)^(Presion_cilindro!$B$17+1)),0)-IF(Presion_cilindro!N342&gt;(-H$4+Presion_cilindro!$B$34),1-EXP(-Presion_cilindro!$B$16*((Presion_cilindro!N342-(-H$4+Presion_cilindro!$B$34))/Presion_cilindro!$B$35)^(Presion_cilindro!$B$17+1)),0))/((Presion_cilindro!O342+Presion_cilindro!O343)/2)</f>
        <v>15.780394059820624</v>
      </c>
      <c r="I351" s="27">
        <f>I350*(Presion_cilindro!O342/Presion_cilindro!O343)^Presion_cilindro!$B$9+10*(Presion_cilindro!$B$9-1)*Presion_cilindro!$B$33*(IF(Presion_cilindro!N343&gt;(-I$4+Presion_cilindro!$B$34),1-EXP(-Presion_cilindro!$B$16*((Presion_cilindro!N343-(-I$4+Presion_cilindro!$B$34))/Presion_cilindro!$B$35)^(Presion_cilindro!$B$17+1)),0)-IF(Presion_cilindro!N342&gt;(-I$4+Presion_cilindro!$B$34),1-EXP(-Presion_cilindro!$B$16*((Presion_cilindro!N342-(-I$4+Presion_cilindro!$B$34))/Presion_cilindro!$B$35)^(Presion_cilindro!$B$17+1)),0))/((Presion_cilindro!O342+Presion_cilindro!O343)/2)</f>
        <v>19.311649585002566</v>
      </c>
      <c r="J351" s="27">
        <f>J350*(Presion_cilindro!O342/Presion_cilindro!O343)^Presion_cilindro!$B$9+10*(Presion_cilindro!$B$9-1)*Presion_cilindro!$B$33*(IF(Presion_cilindro!N343&gt;(-J$4+Presion_cilindro!$B$34),1-EXP(-Presion_cilindro!$B$16*((Presion_cilindro!N343-(-J$4+Presion_cilindro!$B$34))/Presion_cilindro!$B$35)^(Presion_cilindro!$B$17+1)),0)-IF(Presion_cilindro!N342&gt;(-J$4+Presion_cilindro!$B$34),1-EXP(-Presion_cilindro!$B$16*((Presion_cilindro!N342-(-J$4+Presion_cilindro!$B$34))/Presion_cilindro!$B$35)^(Presion_cilindro!$B$17+1)),0))/((Presion_cilindro!O342+Presion_cilindro!O343)/2)</f>
        <v>24.633903820355314</v>
      </c>
      <c r="K351" s="27">
        <f>K350*(Presion_cilindro!O342/Presion_cilindro!O343)^Presion_cilindro!$B$9+10*(Presion_cilindro!$B$9-1)*Presion_cilindro!$B$33*(IF(Presion_cilindro!N343&gt;(-K$4+Presion_cilindro!$B$34),1-EXP(-Presion_cilindro!$B$16*((Presion_cilindro!N343-(-K$4+Presion_cilindro!$B$34))/Presion_cilindro!$B$35)^(Presion_cilindro!$B$17+1)),0)-IF(Presion_cilindro!N342&gt;(-K$4+Presion_cilindro!$B$34),1-EXP(-Presion_cilindro!$B$16*((Presion_cilindro!N342-(-K$4+Presion_cilindro!$B$34))/Presion_cilindro!$B$35)^(Presion_cilindro!$B$17+1)),0))/((Presion_cilindro!O342+Presion_cilindro!O343)/2)</f>
        <v>30.953861066791823</v>
      </c>
      <c r="L351" s="27">
        <f>L350*(Presion_cilindro!O342/Presion_cilindro!O343)^Presion_cilindro!$B$9+10*(Presion_cilindro!$B$9-1)*Presion_cilindro!$B$33*(IF(Presion_cilindro!N343&gt;(-L$4+Presion_cilindro!$B$34),1-EXP(-Presion_cilindro!$B$16*((Presion_cilindro!N343-(-L$4+Presion_cilindro!$B$34))/Presion_cilindro!$B$35)^(Presion_cilindro!$B$17+1)),0)-IF(Presion_cilindro!N342&gt;(-L$4+Presion_cilindro!$B$34),1-EXP(-Presion_cilindro!$B$16*((Presion_cilindro!N342-(-L$4+Presion_cilindro!$B$34))/Presion_cilindro!$B$35)^(Presion_cilindro!$B$17+1)),0))/((Presion_cilindro!O342+Presion_cilindro!O343)/2)</f>
        <v>37.045446406967699</v>
      </c>
      <c r="M351" s="27">
        <f>M350*(Presion_cilindro!O342/Presion_cilindro!O343)^Presion_cilindro!$B$9+10*(Presion_cilindro!$B$9-1)*Presion_cilindro!$B$33*(IF(Presion_cilindro!N343&gt;(-M$4+Presion_cilindro!$B$34),1-EXP(-Presion_cilindro!$B$16*((Presion_cilindro!N343-(-M$4+Presion_cilindro!$B$34))/Presion_cilindro!$B$35)^(Presion_cilindro!$B$17+1)),0)-IF(Presion_cilindro!N342&gt;(-M$4+Presion_cilindro!$B$34),1-EXP(-Presion_cilindro!$B$16*((Presion_cilindro!N342-(-M$4+Presion_cilindro!$B$34))/Presion_cilindro!$B$35)^(Presion_cilindro!$B$17+1)),0))/((Presion_cilindro!O342+Presion_cilindro!O343)/2)</f>
        <v>41.927790486238216</v>
      </c>
      <c r="N351" s="27">
        <f>N350*(Presion_cilindro!O342/Presion_cilindro!O343)^Presion_cilindro!$B$9+10*(Presion_cilindro!$B$9-1)*Presion_cilindro!$B$33*(IF(Presion_cilindro!N343&gt;(-N$4+Presion_cilindro!$B$34),1-EXP(-Presion_cilindro!$B$16*((Presion_cilindro!N343-(-N$4+Presion_cilindro!$B$34))/Presion_cilindro!$B$35)^(Presion_cilindro!$B$17+1)),0)-IF(Presion_cilindro!N342&gt;(-N$4+Presion_cilindro!$B$34),1-EXP(-Presion_cilindro!$B$16*((Presion_cilindro!N342-(-N$4+Presion_cilindro!$B$34))/Presion_cilindro!$B$35)^(Presion_cilindro!$B$17+1)),0))/((Presion_cilindro!O342+Presion_cilindro!O343)/2)</f>
        <v>45.354165329034423</v>
      </c>
    </row>
    <row r="352" spans="1:14" x14ac:dyDescent="0.25">
      <c r="A352" s="21">
        <f>Presion_cilindro!N344</f>
        <v>-10</v>
      </c>
      <c r="B352" s="27">
        <f>B351*(Presion_cilindro!O343/Presion_cilindro!O344)^Presion_cilindro!$B$9+10*(Presion_cilindro!$B$9-1)*Presion_cilindro!$B$33*(IF(Presion_cilindro!N344&gt;(-B$4+Presion_cilindro!$B$34),1-EXP(-Presion_cilindro!$B$16*((Presion_cilindro!N344-(-B$4+Presion_cilindro!$B$34))/Presion_cilindro!$B$35)^(Presion_cilindro!$B$17+1)),0)-IF(Presion_cilindro!N343&gt;(-B$4+Presion_cilindro!$B$34),1-EXP(-Presion_cilindro!$B$16*((Presion_cilindro!N343-(-B$4+Presion_cilindro!$B$34))/Presion_cilindro!$B$35)^(Presion_cilindro!$B$17+1)),0))/((Presion_cilindro!O343+Presion_cilindro!O344)/2)</f>
        <v>13.763936503061698</v>
      </c>
      <c r="C352" s="27">
        <f>C351*(Presion_cilindro!O343/Presion_cilindro!O344)^Presion_cilindro!$B$9+10*(Presion_cilindro!$B$9-1)*Presion_cilindro!$B$33*(IF(Presion_cilindro!N344&gt;(-C$4+Presion_cilindro!$B$34),1-EXP(-Presion_cilindro!$B$16*((Presion_cilindro!N344-(-C$4+Presion_cilindro!$B$34))/Presion_cilindro!$B$35)^(Presion_cilindro!$B$17+1)),0)-IF(Presion_cilindro!N343&gt;(-C$4+Presion_cilindro!$B$34),1-EXP(-Presion_cilindro!$B$16*((Presion_cilindro!N343-(-C$4+Presion_cilindro!$B$34))/Presion_cilindro!$B$35)^(Presion_cilindro!$B$17+1)),0))/((Presion_cilindro!O343+Presion_cilindro!O344)/2)</f>
        <v>13.763936503061698</v>
      </c>
      <c r="D352" s="27">
        <f>D351*(Presion_cilindro!O343/Presion_cilindro!O344)^Presion_cilindro!$B$9+10*(Presion_cilindro!$B$9-1)*Presion_cilindro!$B$33*(IF(Presion_cilindro!N344&gt;(-D$4+Presion_cilindro!$B$34),1-EXP(-Presion_cilindro!$B$16*((Presion_cilindro!N344-(-D$4+Presion_cilindro!$B$34))/Presion_cilindro!$B$35)^(Presion_cilindro!$B$17+1)),0)-IF(Presion_cilindro!N343&gt;(-D$4+Presion_cilindro!$B$34),1-EXP(-Presion_cilindro!$B$16*((Presion_cilindro!N343-(-D$4+Presion_cilindro!$B$34))/Presion_cilindro!$B$35)^(Presion_cilindro!$B$17+1)),0))/((Presion_cilindro!O343+Presion_cilindro!O344)/2)</f>
        <v>13.763936503061698</v>
      </c>
      <c r="E352" s="27">
        <f>E351*(Presion_cilindro!O343/Presion_cilindro!O344)^Presion_cilindro!$B$9+10*(Presion_cilindro!$B$9-1)*Presion_cilindro!$B$33*(IF(Presion_cilindro!N344&gt;(-E$4+Presion_cilindro!$B$34),1-EXP(-Presion_cilindro!$B$16*((Presion_cilindro!N344-(-E$4+Presion_cilindro!$B$34))/Presion_cilindro!$B$35)^(Presion_cilindro!$B$17+1)),0)-IF(Presion_cilindro!N343&gt;(-E$4+Presion_cilindro!$B$34),1-EXP(-Presion_cilindro!$B$16*((Presion_cilindro!N343-(-E$4+Presion_cilindro!$B$34))/Presion_cilindro!$B$35)^(Presion_cilindro!$B$17+1)),0))/((Presion_cilindro!O343+Presion_cilindro!O344)/2)</f>
        <v>13.763936503061698</v>
      </c>
      <c r="F352" s="27">
        <f>F351*(Presion_cilindro!O343/Presion_cilindro!O344)^Presion_cilindro!$B$9+10*(Presion_cilindro!$B$9-1)*Presion_cilindro!$B$33*(IF(Presion_cilindro!N344&gt;(-F$4+Presion_cilindro!$B$34),1-EXP(-Presion_cilindro!$B$16*((Presion_cilindro!N344-(-F$4+Presion_cilindro!$B$34))/Presion_cilindro!$B$35)^(Presion_cilindro!$B$17+1)),0)-IF(Presion_cilindro!N343&gt;(-F$4+Presion_cilindro!$B$34),1-EXP(-Presion_cilindro!$B$16*((Presion_cilindro!N343-(-F$4+Presion_cilindro!$B$34))/Presion_cilindro!$B$35)^(Presion_cilindro!$B$17+1)),0))/((Presion_cilindro!O343+Presion_cilindro!O344)/2)</f>
        <v>13.790273825573946</v>
      </c>
      <c r="G352" s="27">
        <f>G351*(Presion_cilindro!O343/Presion_cilindro!O344)^Presion_cilindro!$B$9+10*(Presion_cilindro!$B$9-1)*Presion_cilindro!$B$33*(IF(Presion_cilindro!N344&gt;(-G$4+Presion_cilindro!$B$34),1-EXP(-Presion_cilindro!$B$16*((Presion_cilindro!N344-(-G$4+Presion_cilindro!$B$34))/Presion_cilindro!$B$35)^(Presion_cilindro!$B$17+1)),0)-IF(Presion_cilindro!N343&gt;(-G$4+Presion_cilindro!$B$34),1-EXP(-Presion_cilindro!$B$16*((Presion_cilindro!N343-(-G$4+Presion_cilindro!$B$34))/Presion_cilindro!$B$35)^(Presion_cilindro!$B$17+1)),0))/((Presion_cilindro!O343+Presion_cilindro!O344)/2)</f>
        <v>14.332129618673878</v>
      </c>
      <c r="H352" s="27">
        <f>H351*(Presion_cilindro!O343/Presion_cilindro!O344)^Presion_cilindro!$B$9+10*(Presion_cilindro!$B$9-1)*Presion_cilindro!$B$33*(IF(Presion_cilindro!N344&gt;(-H$4+Presion_cilindro!$B$34),1-EXP(-Presion_cilindro!$B$16*((Presion_cilindro!N344-(-H$4+Presion_cilindro!$B$34))/Presion_cilindro!$B$35)^(Presion_cilindro!$B$17+1)),0)-IF(Presion_cilindro!N343&gt;(-H$4+Presion_cilindro!$B$34),1-EXP(-Presion_cilindro!$B$16*((Presion_cilindro!N343-(-H$4+Presion_cilindro!$B$34))/Presion_cilindro!$B$35)^(Presion_cilindro!$B$17+1)),0))/((Presion_cilindro!O343+Presion_cilindro!O344)/2)</f>
        <v>16.214291729490363</v>
      </c>
      <c r="I352" s="27">
        <f>I351*(Presion_cilindro!O343/Presion_cilindro!O344)^Presion_cilindro!$B$9+10*(Presion_cilindro!$B$9-1)*Presion_cilindro!$B$33*(IF(Presion_cilindro!N344&gt;(-I$4+Presion_cilindro!$B$34),1-EXP(-Presion_cilindro!$B$16*((Presion_cilindro!N344-(-I$4+Presion_cilindro!$B$34))/Presion_cilindro!$B$35)^(Presion_cilindro!$B$17+1)),0)-IF(Presion_cilindro!N343&gt;(-I$4+Presion_cilindro!$B$34),1-EXP(-Presion_cilindro!$B$16*((Presion_cilindro!N343-(-I$4+Presion_cilindro!$B$34))/Presion_cilindro!$B$35)^(Presion_cilindro!$B$17+1)),0))/((Presion_cilindro!O343+Presion_cilindro!O344)/2)</f>
        <v>19.966636582648629</v>
      </c>
      <c r="J352" s="27">
        <f>J351*(Presion_cilindro!O343/Presion_cilindro!O344)^Presion_cilindro!$B$9+10*(Presion_cilindro!$B$9-1)*Presion_cilindro!$B$33*(IF(Presion_cilindro!N344&gt;(-J$4+Presion_cilindro!$B$34),1-EXP(-Presion_cilindro!$B$16*((Presion_cilindro!N344-(-J$4+Presion_cilindro!$B$34))/Presion_cilindro!$B$35)^(Presion_cilindro!$B$17+1)),0)-IF(Presion_cilindro!N343&gt;(-J$4+Presion_cilindro!$B$34),1-EXP(-Presion_cilindro!$B$16*((Presion_cilindro!N343-(-J$4+Presion_cilindro!$B$34))/Presion_cilindro!$B$35)^(Presion_cilindro!$B$17+1)),0))/((Presion_cilindro!O343+Presion_cilindro!O344)/2)</f>
        <v>25.474825587894323</v>
      </c>
      <c r="K352" s="27">
        <f>K351*(Presion_cilindro!O343/Presion_cilindro!O344)^Presion_cilindro!$B$9+10*(Presion_cilindro!$B$9-1)*Presion_cilindro!$B$33*(IF(Presion_cilindro!N344&gt;(-K$4+Presion_cilindro!$B$34),1-EXP(-Presion_cilindro!$B$16*((Presion_cilindro!N344-(-K$4+Presion_cilindro!$B$34))/Presion_cilindro!$B$35)^(Presion_cilindro!$B$17+1)),0)-IF(Presion_cilindro!N343&gt;(-K$4+Presion_cilindro!$B$34),1-EXP(-Presion_cilindro!$B$16*((Presion_cilindro!N343-(-K$4+Presion_cilindro!$B$34))/Presion_cilindro!$B$35)^(Presion_cilindro!$B$17+1)),0))/((Presion_cilindro!O343+Presion_cilindro!O344)/2)</f>
        <v>31.871873300782159</v>
      </c>
      <c r="L352" s="27">
        <f>L351*(Presion_cilindro!O343/Presion_cilindro!O344)^Presion_cilindro!$B$9+10*(Presion_cilindro!$B$9-1)*Presion_cilindro!$B$33*(IF(Presion_cilindro!N344&gt;(-L$4+Presion_cilindro!$B$34),1-EXP(-Presion_cilindro!$B$16*((Presion_cilindro!N344-(-L$4+Presion_cilindro!$B$34))/Presion_cilindro!$B$35)^(Presion_cilindro!$B$17+1)),0)-IF(Presion_cilindro!N343&gt;(-L$4+Presion_cilindro!$B$34),1-EXP(-Presion_cilindro!$B$16*((Presion_cilindro!N343-(-L$4+Presion_cilindro!$B$34))/Presion_cilindro!$B$35)^(Presion_cilindro!$B$17+1)),0))/((Presion_cilindro!O343+Presion_cilindro!O344)/2)</f>
        <v>37.914722942734308</v>
      </c>
      <c r="M352" s="27">
        <f>M351*(Presion_cilindro!O343/Presion_cilindro!O344)^Presion_cilindro!$B$9+10*(Presion_cilindro!$B$9-1)*Presion_cilindro!$B$33*(IF(Presion_cilindro!N344&gt;(-M$4+Presion_cilindro!$B$34),1-EXP(-Presion_cilindro!$B$16*((Presion_cilindro!N344-(-M$4+Presion_cilindro!$B$34))/Presion_cilindro!$B$35)^(Presion_cilindro!$B$17+1)),0)-IF(Presion_cilindro!N343&gt;(-M$4+Presion_cilindro!$B$34),1-EXP(-Presion_cilindro!$B$16*((Presion_cilindro!N343-(-M$4+Presion_cilindro!$B$34))/Presion_cilindro!$B$35)^(Presion_cilindro!$B$17+1)),0))/((Presion_cilindro!O343+Presion_cilindro!O344)/2)</f>
        <v>42.6767955065487</v>
      </c>
      <c r="N352" s="27">
        <f>N351*(Presion_cilindro!O343/Presion_cilindro!O344)^Presion_cilindro!$B$9+10*(Presion_cilindro!$B$9-1)*Presion_cilindro!$B$33*(IF(Presion_cilindro!N344&gt;(-N$4+Presion_cilindro!$B$34),1-EXP(-Presion_cilindro!$B$16*((Presion_cilindro!N344-(-N$4+Presion_cilindro!$B$34))/Presion_cilindro!$B$35)^(Presion_cilindro!$B$17+1)),0)-IF(Presion_cilindro!N343&gt;(-N$4+Presion_cilindro!$B$34),1-EXP(-Presion_cilindro!$B$16*((Presion_cilindro!N343-(-N$4+Presion_cilindro!$B$34))/Presion_cilindro!$B$35)^(Presion_cilindro!$B$17+1)),0))/((Presion_cilindro!O343+Presion_cilindro!O344)/2)</f>
        <v>45.989880498266324</v>
      </c>
    </row>
    <row r="353" spans="1:14" x14ac:dyDescent="0.25">
      <c r="A353" s="21">
        <f>Presion_cilindro!N345</f>
        <v>-9.5</v>
      </c>
      <c r="B353" s="27">
        <f>B352*(Presion_cilindro!O344/Presion_cilindro!O345)^Presion_cilindro!$B$9+10*(Presion_cilindro!$B$9-1)*Presion_cilindro!$B$33*(IF(Presion_cilindro!N345&gt;(-B$4+Presion_cilindro!$B$34),1-EXP(-Presion_cilindro!$B$16*((Presion_cilindro!N345-(-B$4+Presion_cilindro!$B$34))/Presion_cilindro!$B$35)^(Presion_cilindro!$B$17+1)),0)-IF(Presion_cilindro!N344&gt;(-B$4+Presion_cilindro!$B$34),1-EXP(-Presion_cilindro!$B$16*((Presion_cilindro!N344-(-B$4+Presion_cilindro!$B$34))/Presion_cilindro!$B$35)^(Presion_cilindro!$B$17+1)),0))/((Presion_cilindro!O344+Presion_cilindro!O345)/2)</f>
        <v>13.908728352459104</v>
      </c>
      <c r="C353" s="27">
        <f>C352*(Presion_cilindro!O344/Presion_cilindro!O345)^Presion_cilindro!$B$9+10*(Presion_cilindro!$B$9-1)*Presion_cilindro!$B$33*(IF(Presion_cilindro!N345&gt;(-C$4+Presion_cilindro!$B$34),1-EXP(-Presion_cilindro!$B$16*((Presion_cilindro!N345-(-C$4+Presion_cilindro!$B$34))/Presion_cilindro!$B$35)^(Presion_cilindro!$B$17+1)),0)-IF(Presion_cilindro!N344&gt;(-C$4+Presion_cilindro!$B$34),1-EXP(-Presion_cilindro!$B$16*((Presion_cilindro!N344-(-C$4+Presion_cilindro!$B$34))/Presion_cilindro!$B$35)^(Presion_cilindro!$B$17+1)),0))/((Presion_cilindro!O344+Presion_cilindro!O345)/2)</f>
        <v>13.908728352459104</v>
      </c>
      <c r="D353" s="27">
        <f>D352*(Presion_cilindro!O344/Presion_cilindro!O345)^Presion_cilindro!$B$9+10*(Presion_cilindro!$B$9-1)*Presion_cilindro!$B$33*(IF(Presion_cilindro!N345&gt;(-D$4+Presion_cilindro!$B$34),1-EXP(-Presion_cilindro!$B$16*((Presion_cilindro!N345-(-D$4+Presion_cilindro!$B$34))/Presion_cilindro!$B$35)^(Presion_cilindro!$B$17+1)),0)-IF(Presion_cilindro!N344&gt;(-D$4+Presion_cilindro!$B$34),1-EXP(-Presion_cilindro!$B$16*((Presion_cilindro!N344-(-D$4+Presion_cilindro!$B$34))/Presion_cilindro!$B$35)^(Presion_cilindro!$B$17+1)),0))/((Presion_cilindro!O344+Presion_cilindro!O345)/2)</f>
        <v>13.908728352459104</v>
      </c>
      <c r="E353" s="27">
        <f>E352*(Presion_cilindro!O344/Presion_cilindro!O345)^Presion_cilindro!$B$9+10*(Presion_cilindro!$B$9-1)*Presion_cilindro!$B$33*(IF(Presion_cilindro!N345&gt;(-E$4+Presion_cilindro!$B$34),1-EXP(-Presion_cilindro!$B$16*((Presion_cilindro!N345-(-E$4+Presion_cilindro!$B$34))/Presion_cilindro!$B$35)^(Presion_cilindro!$B$17+1)),0)-IF(Presion_cilindro!N344&gt;(-E$4+Presion_cilindro!$B$34),1-EXP(-Presion_cilindro!$B$16*((Presion_cilindro!N344-(-E$4+Presion_cilindro!$B$34))/Presion_cilindro!$B$35)^(Presion_cilindro!$B$17+1)),0))/((Presion_cilindro!O344+Presion_cilindro!O345)/2)</f>
        <v>13.908728352459104</v>
      </c>
      <c r="F353" s="27">
        <f>F352*(Presion_cilindro!O344/Presion_cilindro!O345)^Presion_cilindro!$B$9+10*(Presion_cilindro!$B$9-1)*Presion_cilindro!$B$33*(IF(Presion_cilindro!N345&gt;(-F$4+Presion_cilindro!$B$34),1-EXP(-Presion_cilindro!$B$16*((Presion_cilindro!N345-(-F$4+Presion_cilindro!$B$34))/Presion_cilindro!$B$35)^(Presion_cilindro!$B$17+1)),0)-IF(Presion_cilindro!N344&gt;(-F$4+Presion_cilindro!$B$34),1-EXP(-Presion_cilindro!$B$16*((Presion_cilindro!N344-(-F$4+Presion_cilindro!$B$34))/Presion_cilindro!$B$35)^(Presion_cilindro!$B$17+1)),0))/((Presion_cilindro!O344+Presion_cilindro!O345)/2)</f>
        <v>13.952202745746945</v>
      </c>
      <c r="G353" s="27">
        <f>G352*(Presion_cilindro!O344/Presion_cilindro!O345)^Presion_cilindro!$B$9+10*(Presion_cilindro!$B$9-1)*Presion_cilindro!$B$33*(IF(Presion_cilindro!N345&gt;(-G$4+Presion_cilindro!$B$34),1-EXP(-Presion_cilindro!$B$16*((Presion_cilindro!N345-(-G$4+Presion_cilindro!$B$34))/Presion_cilindro!$B$35)^(Presion_cilindro!$B$17+1)),0)-IF(Presion_cilindro!N344&gt;(-G$4+Presion_cilindro!$B$34),1-EXP(-Presion_cilindro!$B$16*((Presion_cilindro!N344-(-G$4+Presion_cilindro!$B$34))/Presion_cilindro!$B$35)^(Presion_cilindro!$B$17+1)),0))/((Presion_cilindro!O344+Presion_cilindro!O345)/2)</f>
        <v>14.597773081754438</v>
      </c>
      <c r="H353" s="27">
        <f>H352*(Presion_cilindro!O344/Presion_cilindro!O345)^Presion_cilindro!$B$9+10*(Presion_cilindro!$B$9-1)*Presion_cilindro!$B$33*(IF(Presion_cilindro!N345&gt;(-H$4+Presion_cilindro!$B$34),1-EXP(-Presion_cilindro!$B$16*((Presion_cilindro!N345-(-H$4+Presion_cilindro!$B$34))/Presion_cilindro!$B$35)^(Presion_cilindro!$B$17+1)),0)-IF(Presion_cilindro!N344&gt;(-H$4+Presion_cilindro!$B$34),1-EXP(-Presion_cilindro!$B$16*((Presion_cilindro!N344-(-H$4+Presion_cilindro!$B$34))/Presion_cilindro!$B$35)^(Presion_cilindro!$B$17+1)),0))/((Presion_cilindro!O344+Presion_cilindro!O345)/2)</f>
        <v>16.666364634549268</v>
      </c>
      <c r="I353" s="27">
        <f>I352*(Presion_cilindro!O344/Presion_cilindro!O345)^Presion_cilindro!$B$9+10*(Presion_cilindro!$B$9-1)*Presion_cilindro!$B$33*(IF(Presion_cilindro!N345&gt;(-I$4+Presion_cilindro!$B$34),1-EXP(-Presion_cilindro!$B$16*((Presion_cilindro!N345-(-I$4+Presion_cilindro!$B$34))/Presion_cilindro!$B$35)^(Presion_cilindro!$B$17+1)),0)-IF(Presion_cilindro!N344&gt;(-I$4+Presion_cilindro!$B$34),1-EXP(-Presion_cilindro!$B$16*((Presion_cilindro!N344-(-I$4+Presion_cilindro!$B$34))/Presion_cilindro!$B$35)^(Presion_cilindro!$B$17+1)),0))/((Presion_cilindro!O344+Presion_cilindro!O345)/2)</f>
        <v>20.640211557759173</v>
      </c>
      <c r="J353" s="27">
        <f>J352*(Presion_cilindro!O344/Presion_cilindro!O345)^Presion_cilindro!$B$9+10*(Presion_cilindro!$B$9-1)*Presion_cilindro!$B$33*(IF(Presion_cilindro!N345&gt;(-J$4+Presion_cilindro!$B$34),1-EXP(-Presion_cilindro!$B$16*((Presion_cilindro!N345-(-J$4+Presion_cilindro!$B$34))/Presion_cilindro!$B$35)^(Presion_cilindro!$B$17+1)),0)-IF(Presion_cilindro!N344&gt;(-J$4+Presion_cilindro!$B$34),1-EXP(-Presion_cilindro!$B$16*((Presion_cilindro!N344-(-J$4+Presion_cilindro!$B$34))/Presion_cilindro!$B$35)^(Presion_cilindro!$B$17+1)),0))/((Presion_cilindro!O344+Presion_cilindro!O345)/2)</f>
        <v>26.325143679855437</v>
      </c>
      <c r="K353" s="27">
        <f>K352*(Presion_cilindro!O344/Presion_cilindro!O345)^Presion_cilindro!$B$9+10*(Presion_cilindro!$B$9-1)*Presion_cilindro!$B$33*(IF(Presion_cilindro!N345&gt;(-K$4+Presion_cilindro!$B$34),1-EXP(-Presion_cilindro!$B$16*((Presion_cilindro!N345-(-K$4+Presion_cilindro!$B$34))/Presion_cilindro!$B$35)^(Presion_cilindro!$B$17+1)),0)-IF(Presion_cilindro!N344&gt;(-K$4+Presion_cilindro!$B$34),1-EXP(-Presion_cilindro!$B$16*((Presion_cilindro!N344-(-K$4+Presion_cilindro!$B$34))/Presion_cilindro!$B$35)^(Presion_cilindro!$B$17+1)),0))/((Presion_cilindro!O344+Presion_cilindro!O345)/2)</f>
        <v>32.783768398735582</v>
      </c>
      <c r="L353" s="27">
        <f>L352*(Presion_cilindro!O344/Presion_cilindro!O345)^Presion_cilindro!$B$9+10*(Presion_cilindro!$B$9-1)*Presion_cilindro!$B$33*(IF(Presion_cilindro!N345&gt;(-L$4+Presion_cilindro!$B$34),1-EXP(-Presion_cilindro!$B$16*((Presion_cilindro!N345-(-L$4+Presion_cilindro!$B$34))/Presion_cilindro!$B$35)^(Presion_cilindro!$B$17+1)),0)-IF(Presion_cilindro!N344&gt;(-L$4+Presion_cilindro!$B$34),1-EXP(-Presion_cilindro!$B$16*((Presion_cilindro!N344-(-L$4+Presion_cilindro!$B$34))/Presion_cilindro!$B$35)^(Presion_cilindro!$B$17+1)),0))/((Presion_cilindro!O344+Presion_cilindro!O345)/2)</f>
        <v>38.764075389761103</v>
      </c>
      <c r="M353" s="27">
        <f>M352*(Presion_cilindro!O344/Presion_cilindro!O345)^Presion_cilindro!$B$9+10*(Presion_cilindro!$B$9-1)*Presion_cilindro!$B$33*(IF(Presion_cilindro!N345&gt;(-M$4+Presion_cilindro!$B$34),1-EXP(-Presion_cilindro!$B$16*((Presion_cilindro!N345-(-M$4+Presion_cilindro!$B$34))/Presion_cilindro!$B$35)^(Presion_cilindro!$B$17+1)),0)-IF(Presion_cilindro!N344&gt;(-M$4+Presion_cilindro!$B$34),1-EXP(-Presion_cilindro!$B$16*((Presion_cilindro!N344-(-M$4+Presion_cilindro!$B$34))/Presion_cilindro!$B$35)^(Presion_cilindro!$B$17+1)),0))/((Presion_cilindro!O344+Presion_cilindro!O345)/2)</f>
        <v>43.400025224691682</v>
      </c>
      <c r="N353" s="27">
        <f>N352*(Presion_cilindro!O344/Presion_cilindro!O345)^Presion_cilindro!$B$9+10*(Presion_cilindro!$B$9-1)*Presion_cilindro!$B$33*(IF(Presion_cilindro!N345&gt;(-N$4+Presion_cilindro!$B$34),1-EXP(-Presion_cilindro!$B$16*((Presion_cilindro!N345-(-N$4+Presion_cilindro!$B$34))/Presion_cilindro!$B$35)^(Presion_cilindro!$B$17+1)),0)-IF(Presion_cilindro!N344&gt;(-N$4+Presion_cilindro!$B$34),1-EXP(-Presion_cilindro!$B$16*((Presion_cilindro!N344-(-N$4+Presion_cilindro!$B$34))/Presion_cilindro!$B$35)^(Presion_cilindro!$B$17+1)),0))/((Presion_cilindro!O344+Presion_cilindro!O345)/2)</f>
        <v>46.601333437226245</v>
      </c>
    </row>
    <row r="354" spans="1:14" x14ac:dyDescent="0.25">
      <c r="A354" s="21">
        <f>Presion_cilindro!N346</f>
        <v>-9</v>
      </c>
      <c r="B354" s="27">
        <f>B353*(Presion_cilindro!O345/Presion_cilindro!O346)^Presion_cilindro!$B$9+10*(Presion_cilindro!$B$9-1)*Presion_cilindro!$B$33*(IF(Presion_cilindro!N346&gt;(-B$4+Presion_cilindro!$B$34),1-EXP(-Presion_cilindro!$B$16*((Presion_cilindro!N346-(-B$4+Presion_cilindro!$B$34))/Presion_cilindro!$B$35)^(Presion_cilindro!$B$17+1)),0)-IF(Presion_cilindro!N345&gt;(-B$4+Presion_cilindro!$B$34),1-EXP(-Presion_cilindro!$B$16*((Presion_cilindro!N345-(-B$4+Presion_cilindro!$B$34))/Presion_cilindro!$B$35)^(Presion_cilindro!$B$17+1)),0))/((Presion_cilindro!O345+Presion_cilindro!O346)/2)</f>
        <v>14.04869009379118</v>
      </c>
      <c r="C354" s="27">
        <f>C353*(Presion_cilindro!O345/Presion_cilindro!O346)^Presion_cilindro!$B$9+10*(Presion_cilindro!$B$9-1)*Presion_cilindro!$B$33*(IF(Presion_cilindro!N346&gt;(-C$4+Presion_cilindro!$B$34),1-EXP(-Presion_cilindro!$B$16*((Presion_cilindro!N346-(-C$4+Presion_cilindro!$B$34))/Presion_cilindro!$B$35)^(Presion_cilindro!$B$17+1)),0)-IF(Presion_cilindro!N345&gt;(-C$4+Presion_cilindro!$B$34),1-EXP(-Presion_cilindro!$B$16*((Presion_cilindro!N345-(-C$4+Presion_cilindro!$B$34))/Presion_cilindro!$B$35)^(Presion_cilindro!$B$17+1)),0))/((Presion_cilindro!O345+Presion_cilindro!O346)/2)</f>
        <v>14.04869009379118</v>
      </c>
      <c r="D354" s="27">
        <f>D353*(Presion_cilindro!O345/Presion_cilindro!O346)^Presion_cilindro!$B$9+10*(Presion_cilindro!$B$9-1)*Presion_cilindro!$B$33*(IF(Presion_cilindro!N346&gt;(-D$4+Presion_cilindro!$B$34),1-EXP(-Presion_cilindro!$B$16*((Presion_cilindro!N346-(-D$4+Presion_cilindro!$B$34))/Presion_cilindro!$B$35)^(Presion_cilindro!$B$17+1)),0)-IF(Presion_cilindro!N345&gt;(-D$4+Presion_cilindro!$B$34),1-EXP(-Presion_cilindro!$B$16*((Presion_cilindro!N345-(-D$4+Presion_cilindro!$B$34))/Presion_cilindro!$B$35)^(Presion_cilindro!$B$17+1)),0))/((Presion_cilindro!O345+Presion_cilindro!O346)/2)</f>
        <v>14.04869009379118</v>
      </c>
      <c r="E354" s="27">
        <f>E353*(Presion_cilindro!O345/Presion_cilindro!O346)^Presion_cilindro!$B$9+10*(Presion_cilindro!$B$9-1)*Presion_cilindro!$B$33*(IF(Presion_cilindro!N346&gt;(-E$4+Presion_cilindro!$B$34),1-EXP(-Presion_cilindro!$B$16*((Presion_cilindro!N346-(-E$4+Presion_cilindro!$B$34))/Presion_cilindro!$B$35)^(Presion_cilindro!$B$17+1)),0)-IF(Presion_cilindro!N345&gt;(-E$4+Presion_cilindro!$B$34),1-EXP(-Presion_cilindro!$B$16*((Presion_cilindro!N345-(-E$4+Presion_cilindro!$B$34))/Presion_cilindro!$B$35)^(Presion_cilindro!$B$17+1)),0))/((Presion_cilindro!O345+Presion_cilindro!O346)/2)</f>
        <v>14.04869009379118</v>
      </c>
      <c r="F354" s="27">
        <f>F353*(Presion_cilindro!O345/Presion_cilindro!O346)^Presion_cilindro!$B$9+10*(Presion_cilindro!$B$9-1)*Presion_cilindro!$B$33*(IF(Presion_cilindro!N346&gt;(-F$4+Presion_cilindro!$B$34),1-EXP(-Presion_cilindro!$B$16*((Presion_cilindro!N346-(-F$4+Presion_cilindro!$B$34))/Presion_cilindro!$B$35)^(Presion_cilindro!$B$17+1)),0)-IF(Presion_cilindro!N345&gt;(-F$4+Presion_cilindro!$B$34),1-EXP(-Presion_cilindro!$B$16*((Presion_cilindro!N345-(-F$4+Presion_cilindro!$B$34))/Presion_cilindro!$B$35)^(Presion_cilindro!$B$17+1)),0))/((Presion_cilindro!O345+Presion_cilindro!O346)/2)</f>
        <v>14.115590503360645</v>
      </c>
      <c r="G354" s="27">
        <f>G353*(Presion_cilindro!O345/Presion_cilindro!O346)^Presion_cilindro!$B$9+10*(Presion_cilindro!$B$9-1)*Presion_cilindro!$B$33*(IF(Presion_cilindro!N346&gt;(-G$4+Presion_cilindro!$B$34),1-EXP(-Presion_cilindro!$B$16*((Presion_cilindro!N346-(-G$4+Presion_cilindro!$B$34))/Presion_cilindro!$B$35)^(Presion_cilindro!$B$17+1)),0)-IF(Presion_cilindro!N345&gt;(-G$4+Presion_cilindro!$B$34),1-EXP(-Presion_cilindro!$B$16*((Presion_cilindro!N345-(-G$4+Presion_cilindro!$B$34))/Presion_cilindro!$B$35)^(Presion_cilindro!$B$17+1)),0))/((Presion_cilindro!O345+Presion_cilindro!O346)/2)</f>
        <v>14.874700665357771</v>
      </c>
      <c r="H354" s="27">
        <f>H353*(Presion_cilindro!O345/Presion_cilindro!O346)^Presion_cilindro!$B$9+10*(Presion_cilindro!$B$9-1)*Presion_cilindro!$B$33*(IF(Presion_cilindro!N346&gt;(-H$4+Presion_cilindro!$B$34),1-EXP(-Presion_cilindro!$B$16*((Presion_cilindro!N346-(-H$4+Presion_cilindro!$B$34))/Presion_cilindro!$B$35)^(Presion_cilindro!$B$17+1)),0)-IF(Presion_cilindro!N345&gt;(-H$4+Presion_cilindro!$B$34),1-EXP(-Presion_cilindro!$B$16*((Presion_cilindro!N345-(-H$4+Presion_cilindro!$B$34))/Presion_cilindro!$B$35)^(Presion_cilindro!$B$17+1)),0))/((Presion_cilindro!O345+Presion_cilindro!O346)/2)</f>
        <v>17.136599161752223</v>
      </c>
      <c r="I354" s="27">
        <f>I353*(Presion_cilindro!O345/Presion_cilindro!O346)^Presion_cilindro!$B$9+10*(Presion_cilindro!$B$9-1)*Presion_cilindro!$B$33*(IF(Presion_cilindro!N346&gt;(-I$4+Presion_cilindro!$B$34),1-EXP(-Presion_cilindro!$B$16*((Presion_cilindro!N346-(-I$4+Presion_cilindro!$B$34))/Presion_cilindro!$B$35)^(Presion_cilindro!$B$17+1)),0)-IF(Presion_cilindro!N345&gt;(-I$4+Presion_cilindro!$B$34),1-EXP(-Presion_cilindro!$B$16*((Presion_cilindro!N345-(-I$4+Presion_cilindro!$B$34))/Presion_cilindro!$B$35)^(Presion_cilindro!$B$17+1)),0))/((Presion_cilindro!O345+Presion_cilindro!O346)/2)</f>
        <v>21.331209776744341</v>
      </c>
      <c r="J354" s="27">
        <f>J353*(Presion_cilindro!O345/Presion_cilindro!O346)^Presion_cilindro!$B$9+10*(Presion_cilindro!$B$9-1)*Presion_cilindro!$B$33*(IF(Presion_cilindro!N346&gt;(-J$4+Presion_cilindro!$B$34),1-EXP(-Presion_cilindro!$B$16*((Presion_cilindro!N346-(-J$4+Presion_cilindro!$B$34))/Presion_cilindro!$B$35)^(Presion_cilindro!$B$17+1)),0)-IF(Presion_cilindro!N345&gt;(-J$4+Presion_cilindro!$B$34),1-EXP(-Presion_cilindro!$B$16*((Presion_cilindro!N345-(-J$4+Presion_cilindro!$B$34))/Presion_cilindro!$B$35)^(Presion_cilindro!$B$17+1)),0))/((Presion_cilindro!O345+Presion_cilindro!O346)/2)</f>
        <v>27.182513340884711</v>
      </c>
      <c r="K354" s="27">
        <f>K353*(Presion_cilindro!O345/Presion_cilindro!O346)^Presion_cilindro!$B$9+10*(Presion_cilindro!$B$9-1)*Presion_cilindro!$B$33*(IF(Presion_cilindro!N346&gt;(-K$4+Presion_cilindro!$B$34),1-EXP(-Presion_cilindro!$B$16*((Presion_cilindro!N346-(-K$4+Presion_cilindro!$B$34))/Presion_cilindro!$B$35)^(Presion_cilindro!$B$17+1)),0)-IF(Presion_cilindro!N345&gt;(-K$4+Presion_cilindro!$B$34),1-EXP(-Presion_cilindro!$B$16*((Presion_cilindro!N345-(-K$4+Presion_cilindro!$B$34))/Presion_cilindro!$B$35)^(Presion_cilindro!$B$17+1)),0))/((Presion_cilindro!O345+Presion_cilindro!O346)/2)</f>
        <v>33.686723726948301</v>
      </c>
      <c r="L354" s="27">
        <f>L353*(Presion_cilindro!O345/Presion_cilindro!O346)^Presion_cilindro!$B$9+10*(Presion_cilindro!$B$9-1)*Presion_cilindro!$B$33*(IF(Presion_cilindro!N346&gt;(-L$4+Presion_cilindro!$B$34),1-EXP(-Presion_cilindro!$B$16*((Presion_cilindro!N346-(-L$4+Presion_cilindro!$B$34))/Presion_cilindro!$B$35)^(Presion_cilindro!$B$17+1)),0)-IF(Presion_cilindro!N345&gt;(-L$4+Presion_cilindro!$B$34),1-EXP(-Presion_cilindro!$B$16*((Presion_cilindro!N345-(-L$4+Presion_cilindro!$B$34))/Presion_cilindro!$B$35)^(Presion_cilindro!$B$17+1)),0))/((Presion_cilindro!O345+Presion_cilindro!O346)/2)</f>
        <v>39.591157722403352</v>
      </c>
      <c r="M354" s="27">
        <f>M353*(Presion_cilindro!O345/Presion_cilindro!O346)^Presion_cilindro!$B$9+10*(Presion_cilindro!$B$9-1)*Presion_cilindro!$B$33*(IF(Presion_cilindro!N346&gt;(-M$4+Presion_cilindro!$B$34),1-EXP(-Presion_cilindro!$B$16*((Presion_cilindro!N346-(-M$4+Presion_cilindro!$B$34))/Presion_cilindro!$B$35)^(Presion_cilindro!$B$17+1)),0)-IF(Presion_cilindro!N345&gt;(-M$4+Presion_cilindro!$B$34),1-EXP(-Presion_cilindro!$B$16*((Presion_cilindro!N345-(-M$4+Presion_cilindro!$B$34))/Presion_cilindro!$B$35)^(Presion_cilindro!$B$17+1)),0))/((Presion_cilindro!O345+Presion_cilindro!O346)/2)</f>
        <v>44.096013037220146</v>
      </c>
      <c r="N354" s="27">
        <f>N353*(Presion_cilindro!O345/Presion_cilindro!O346)^Presion_cilindro!$B$9+10*(Presion_cilindro!$B$9-1)*Presion_cilindro!$B$33*(IF(Presion_cilindro!N346&gt;(-N$4+Presion_cilindro!$B$34),1-EXP(-Presion_cilindro!$B$16*((Presion_cilindro!N346-(-N$4+Presion_cilindro!$B$34))/Presion_cilindro!$B$35)^(Presion_cilindro!$B$17+1)),0)-IF(Presion_cilindro!N345&gt;(-N$4+Presion_cilindro!$B$34),1-EXP(-Presion_cilindro!$B$16*((Presion_cilindro!N345-(-N$4+Presion_cilindro!$B$34))/Presion_cilindro!$B$35)^(Presion_cilindro!$B$17+1)),0))/((Presion_cilindro!O345+Presion_cilindro!O346)/2)</f>
        <v>47.18759729324816</v>
      </c>
    </row>
    <row r="355" spans="1:14" x14ac:dyDescent="0.25">
      <c r="A355" s="21">
        <f>Presion_cilindro!N347</f>
        <v>-8.5</v>
      </c>
      <c r="B355" s="27">
        <f>B354*(Presion_cilindro!O346/Presion_cilindro!O347)^Presion_cilindro!$B$9+10*(Presion_cilindro!$B$9-1)*Presion_cilindro!$B$33*(IF(Presion_cilindro!N347&gt;(-B$4+Presion_cilindro!$B$34),1-EXP(-Presion_cilindro!$B$16*((Presion_cilindro!N347-(-B$4+Presion_cilindro!$B$34))/Presion_cilindro!$B$35)^(Presion_cilindro!$B$17+1)),0)-IF(Presion_cilindro!N346&gt;(-B$4+Presion_cilindro!$B$34),1-EXP(-Presion_cilindro!$B$16*((Presion_cilindro!N346-(-B$4+Presion_cilindro!$B$34))/Presion_cilindro!$B$35)^(Presion_cilindro!$B$17+1)),0))/((Presion_cilindro!O346+Presion_cilindro!O347)/2)</f>
        <v>14.183473767397132</v>
      </c>
      <c r="C355" s="27">
        <f>C354*(Presion_cilindro!O346/Presion_cilindro!O347)^Presion_cilindro!$B$9+10*(Presion_cilindro!$B$9-1)*Presion_cilindro!$B$33*(IF(Presion_cilindro!N347&gt;(-C$4+Presion_cilindro!$B$34),1-EXP(-Presion_cilindro!$B$16*((Presion_cilindro!N347-(-C$4+Presion_cilindro!$B$34))/Presion_cilindro!$B$35)^(Presion_cilindro!$B$17+1)),0)-IF(Presion_cilindro!N346&gt;(-C$4+Presion_cilindro!$B$34),1-EXP(-Presion_cilindro!$B$16*((Presion_cilindro!N346-(-C$4+Presion_cilindro!$B$34))/Presion_cilindro!$B$35)^(Presion_cilindro!$B$17+1)),0))/((Presion_cilindro!O346+Presion_cilindro!O347)/2)</f>
        <v>14.183473767397132</v>
      </c>
      <c r="D355" s="27">
        <f>D354*(Presion_cilindro!O346/Presion_cilindro!O347)^Presion_cilindro!$B$9+10*(Presion_cilindro!$B$9-1)*Presion_cilindro!$B$33*(IF(Presion_cilindro!N347&gt;(-D$4+Presion_cilindro!$B$34),1-EXP(-Presion_cilindro!$B$16*((Presion_cilindro!N347-(-D$4+Presion_cilindro!$B$34))/Presion_cilindro!$B$35)^(Presion_cilindro!$B$17+1)),0)-IF(Presion_cilindro!N346&gt;(-D$4+Presion_cilindro!$B$34),1-EXP(-Presion_cilindro!$B$16*((Presion_cilindro!N346-(-D$4+Presion_cilindro!$B$34))/Presion_cilindro!$B$35)^(Presion_cilindro!$B$17+1)),0))/((Presion_cilindro!O346+Presion_cilindro!O347)/2)</f>
        <v>14.183473767397132</v>
      </c>
      <c r="E355" s="27">
        <f>E354*(Presion_cilindro!O346/Presion_cilindro!O347)^Presion_cilindro!$B$9+10*(Presion_cilindro!$B$9-1)*Presion_cilindro!$B$33*(IF(Presion_cilindro!N347&gt;(-E$4+Presion_cilindro!$B$34),1-EXP(-Presion_cilindro!$B$16*((Presion_cilindro!N347-(-E$4+Presion_cilindro!$B$34))/Presion_cilindro!$B$35)^(Presion_cilindro!$B$17+1)),0)-IF(Presion_cilindro!N346&gt;(-E$4+Presion_cilindro!$B$34),1-EXP(-Presion_cilindro!$B$16*((Presion_cilindro!N346-(-E$4+Presion_cilindro!$B$34))/Presion_cilindro!$B$35)^(Presion_cilindro!$B$17+1)),0))/((Presion_cilindro!O346+Presion_cilindro!O347)/2)</f>
        <v>14.183473767397132</v>
      </c>
      <c r="F355" s="27">
        <f>F354*(Presion_cilindro!O346/Presion_cilindro!O347)^Presion_cilindro!$B$9+10*(Presion_cilindro!$B$9-1)*Presion_cilindro!$B$33*(IF(Presion_cilindro!N347&gt;(-F$4+Presion_cilindro!$B$34),1-EXP(-Presion_cilindro!$B$16*((Presion_cilindro!N347-(-F$4+Presion_cilindro!$B$34))/Presion_cilindro!$B$35)^(Presion_cilindro!$B$17+1)),0)-IF(Presion_cilindro!N346&gt;(-F$4+Presion_cilindro!$B$34),1-EXP(-Presion_cilindro!$B$16*((Presion_cilindro!N346-(-F$4+Presion_cilindro!$B$34))/Presion_cilindro!$B$35)^(Presion_cilindro!$B$17+1)),0))/((Presion_cilindro!O346+Presion_cilindro!O347)/2)</f>
        <v>14.281118685310789</v>
      </c>
      <c r="G355" s="27">
        <f>G354*(Presion_cilindro!O346/Presion_cilindro!O347)^Presion_cilindro!$B$9+10*(Presion_cilindro!$B$9-1)*Presion_cilindro!$B$33*(IF(Presion_cilindro!N347&gt;(-G$4+Presion_cilindro!$B$34),1-EXP(-Presion_cilindro!$B$16*((Presion_cilindro!N347-(-G$4+Presion_cilindro!$B$34))/Presion_cilindro!$B$35)^(Presion_cilindro!$B$17+1)),0)-IF(Presion_cilindro!N346&gt;(-G$4+Presion_cilindro!$B$34),1-EXP(-Presion_cilindro!$B$16*((Presion_cilindro!N346-(-G$4+Presion_cilindro!$B$34))/Presion_cilindro!$B$35)^(Presion_cilindro!$B$17+1)),0))/((Presion_cilindro!O346+Presion_cilindro!O347)/2)</f>
        <v>15.163467613645924</v>
      </c>
      <c r="H355" s="27">
        <f>H354*(Presion_cilindro!O346/Presion_cilindro!O347)^Presion_cilindro!$B$9+10*(Presion_cilindro!$B$9-1)*Presion_cilindro!$B$33*(IF(Presion_cilindro!N347&gt;(-H$4+Presion_cilindro!$B$34),1-EXP(-Presion_cilindro!$B$16*((Presion_cilindro!N347-(-H$4+Presion_cilindro!$B$34))/Presion_cilindro!$B$35)^(Presion_cilindro!$B$17+1)),0)-IF(Presion_cilindro!N346&gt;(-H$4+Presion_cilindro!$B$34),1-EXP(-Presion_cilindro!$B$16*((Presion_cilindro!N346-(-H$4+Presion_cilindro!$B$34))/Presion_cilindro!$B$35)^(Presion_cilindro!$B$17+1)),0))/((Presion_cilindro!O346+Presion_cilindro!O347)/2)</f>
        <v>17.624853744492839</v>
      </c>
      <c r="I355" s="27">
        <f>I354*(Presion_cilindro!O346/Presion_cilindro!O347)^Presion_cilindro!$B$9+10*(Presion_cilindro!$B$9-1)*Presion_cilindro!$B$33*(IF(Presion_cilindro!N347&gt;(-I$4+Presion_cilindro!$B$34),1-EXP(-Presion_cilindro!$B$16*((Presion_cilindro!N347-(-I$4+Presion_cilindro!$B$34))/Presion_cilindro!$B$35)^(Presion_cilindro!$B$17+1)),0)-IF(Presion_cilindro!N346&gt;(-I$4+Presion_cilindro!$B$34),1-EXP(-Presion_cilindro!$B$16*((Presion_cilindro!N346-(-I$4+Presion_cilindro!$B$34))/Presion_cilindro!$B$35)^(Presion_cilindro!$B$17+1)),0))/((Presion_cilindro!O346+Presion_cilindro!O347)/2)</f>
        <v>22.038290824288051</v>
      </c>
      <c r="J355" s="27">
        <f>J354*(Presion_cilindro!O346/Presion_cilindro!O347)^Presion_cilindro!$B$9+10*(Presion_cilindro!$B$9-1)*Presion_cilindro!$B$33*(IF(Presion_cilindro!N347&gt;(-J$4+Presion_cilindro!$B$34),1-EXP(-Presion_cilindro!$B$16*((Presion_cilindro!N347-(-J$4+Presion_cilindro!$B$34))/Presion_cilindro!$B$35)^(Presion_cilindro!$B$17+1)),0)-IF(Presion_cilindro!N346&gt;(-J$4+Presion_cilindro!$B$34),1-EXP(-Presion_cilindro!$B$16*((Presion_cilindro!N346-(-J$4+Presion_cilindro!$B$34))/Presion_cilindro!$B$35)^(Presion_cilindro!$B$17+1)),0))/((Presion_cilindro!O346+Presion_cilindro!O347)/2)</f>
        <v>28.044452907026052</v>
      </c>
      <c r="K355" s="27">
        <f>K354*(Presion_cilindro!O346/Presion_cilindro!O347)^Presion_cilindro!$B$9+10*(Presion_cilindro!$B$9-1)*Presion_cilindro!$B$33*(IF(Presion_cilindro!N347&gt;(-K$4+Presion_cilindro!$B$34),1-EXP(-Presion_cilindro!$B$16*((Presion_cilindro!N347-(-K$4+Presion_cilindro!$B$34))/Presion_cilindro!$B$35)^(Presion_cilindro!$B$17+1)),0)-IF(Presion_cilindro!N346&gt;(-K$4+Presion_cilindro!$B$34),1-EXP(-Presion_cilindro!$B$16*((Presion_cilindro!N346-(-K$4+Presion_cilindro!$B$34))/Presion_cilindro!$B$35)^(Presion_cilindro!$B$17+1)),0))/((Presion_cilindro!O346+Presion_cilindro!O347)/2)</f>
        <v>34.577893696235279</v>
      </c>
      <c r="L355" s="27">
        <f>L354*(Presion_cilindro!O346/Presion_cilindro!O347)^Presion_cilindro!$B$9+10*(Presion_cilindro!$B$9-1)*Presion_cilindro!$B$33*(IF(Presion_cilindro!N347&gt;(-L$4+Presion_cilindro!$B$34),1-EXP(-Presion_cilindro!$B$16*((Presion_cilindro!N347-(-L$4+Presion_cilindro!$B$34))/Presion_cilindro!$B$35)^(Presion_cilindro!$B$17+1)),0)-IF(Presion_cilindro!N346&gt;(-L$4+Presion_cilindro!$B$34),1-EXP(-Presion_cilindro!$B$16*((Presion_cilindro!N346-(-L$4+Presion_cilindro!$B$34))/Presion_cilindro!$B$35)^(Presion_cilindro!$B$17+1)),0))/((Presion_cilindro!O346+Presion_cilindro!O347)/2)</f>
        <v>40.393700888758829</v>
      </c>
      <c r="M355" s="27">
        <f>M354*(Presion_cilindro!O346/Presion_cilindro!O347)^Presion_cilindro!$B$9+10*(Presion_cilindro!$B$9-1)*Presion_cilindro!$B$33*(IF(Presion_cilindro!N347&gt;(-M$4+Presion_cilindro!$B$34),1-EXP(-Presion_cilindro!$B$16*((Presion_cilindro!N347-(-M$4+Presion_cilindro!$B$34))/Presion_cilindro!$B$35)^(Presion_cilindro!$B$17+1)),0)-IF(Presion_cilindro!N346&gt;(-M$4+Presion_cilindro!$B$34),1-EXP(-Presion_cilindro!$B$16*((Presion_cilindro!N346-(-M$4+Presion_cilindro!$B$34))/Presion_cilindro!$B$35)^(Presion_cilindro!$B$17+1)),0))/((Presion_cilindro!O346+Presion_cilindro!O347)/2)</f>
        <v>44.763382101996982</v>
      </c>
      <c r="N355" s="27">
        <f>N354*(Presion_cilindro!O346/Presion_cilindro!O347)^Presion_cilindro!$B$9+10*(Presion_cilindro!$B$9-1)*Presion_cilindro!$B$33*(IF(Presion_cilindro!N347&gt;(-N$4+Presion_cilindro!$B$34),1-EXP(-Presion_cilindro!$B$16*((Presion_cilindro!N347-(-N$4+Presion_cilindro!$B$34))/Presion_cilindro!$B$35)^(Presion_cilindro!$B$17+1)),0)-IF(Presion_cilindro!N346&gt;(-N$4+Presion_cilindro!$B$34),1-EXP(-Presion_cilindro!$B$16*((Presion_cilindro!N346-(-N$4+Presion_cilindro!$B$34))/Presion_cilindro!$B$35)^(Presion_cilindro!$B$17+1)),0))/((Presion_cilindro!O346+Presion_cilindro!O347)/2)</f>
        <v>47.747786054359366</v>
      </c>
    </row>
    <row r="356" spans="1:14" x14ac:dyDescent="0.25">
      <c r="A356" s="21">
        <f>Presion_cilindro!N348</f>
        <v>-8</v>
      </c>
      <c r="B356" s="27">
        <f>B355*(Presion_cilindro!O347/Presion_cilindro!O348)^Presion_cilindro!$B$9+10*(Presion_cilindro!$B$9-1)*Presion_cilindro!$B$33*(IF(Presion_cilindro!N348&gt;(-B$4+Presion_cilindro!$B$34),1-EXP(-Presion_cilindro!$B$16*((Presion_cilindro!N348-(-B$4+Presion_cilindro!$B$34))/Presion_cilindro!$B$35)^(Presion_cilindro!$B$17+1)),0)-IF(Presion_cilindro!N347&gt;(-B$4+Presion_cilindro!$B$34),1-EXP(-Presion_cilindro!$B$16*((Presion_cilindro!N347-(-B$4+Presion_cilindro!$B$34))/Presion_cilindro!$B$35)^(Presion_cilindro!$B$17+1)),0))/((Presion_cilindro!O347+Presion_cilindro!O348)/2)</f>
        <v>14.312735285220532</v>
      </c>
      <c r="C356" s="27">
        <f>C355*(Presion_cilindro!O347/Presion_cilindro!O348)^Presion_cilindro!$B$9+10*(Presion_cilindro!$B$9-1)*Presion_cilindro!$B$33*(IF(Presion_cilindro!N348&gt;(-C$4+Presion_cilindro!$B$34),1-EXP(-Presion_cilindro!$B$16*((Presion_cilindro!N348-(-C$4+Presion_cilindro!$B$34))/Presion_cilindro!$B$35)^(Presion_cilindro!$B$17+1)),0)-IF(Presion_cilindro!N347&gt;(-C$4+Presion_cilindro!$B$34),1-EXP(-Presion_cilindro!$B$16*((Presion_cilindro!N347-(-C$4+Presion_cilindro!$B$34))/Presion_cilindro!$B$35)^(Presion_cilindro!$B$17+1)),0))/((Presion_cilindro!O347+Presion_cilindro!O348)/2)</f>
        <v>14.312735285220532</v>
      </c>
      <c r="D356" s="27">
        <f>D355*(Presion_cilindro!O347/Presion_cilindro!O348)^Presion_cilindro!$B$9+10*(Presion_cilindro!$B$9-1)*Presion_cilindro!$B$33*(IF(Presion_cilindro!N348&gt;(-D$4+Presion_cilindro!$B$34),1-EXP(-Presion_cilindro!$B$16*((Presion_cilindro!N348-(-D$4+Presion_cilindro!$B$34))/Presion_cilindro!$B$35)^(Presion_cilindro!$B$17+1)),0)-IF(Presion_cilindro!N347&gt;(-D$4+Presion_cilindro!$B$34),1-EXP(-Presion_cilindro!$B$16*((Presion_cilindro!N347-(-D$4+Presion_cilindro!$B$34))/Presion_cilindro!$B$35)^(Presion_cilindro!$B$17+1)),0))/((Presion_cilindro!O347+Presion_cilindro!O348)/2)</f>
        <v>14.312735285220532</v>
      </c>
      <c r="E356" s="27">
        <f>E355*(Presion_cilindro!O347/Presion_cilindro!O348)^Presion_cilindro!$B$9+10*(Presion_cilindro!$B$9-1)*Presion_cilindro!$B$33*(IF(Presion_cilindro!N348&gt;(-E$4+Presion_cilindro!$B$34),1-EXP(-Presion_cilindro!$B$16*((Presion_cilindro!N348-(-E$4+Presion_cilindro!$B$34))/Presion_cilindro!$B$35)^(Presion_cilindro!$B$17+1)),0)-IF(Presion_cilindro!N347&gt;(-E$4+Presion_cilindro!$B$34),1-EXP(-Presion_cilindro!$B$16*((Presion_cilindro!N347-(-E$4+Presion_cilindro!$B$34))/Presion_cilindro!$B$35)^(Presion_cilindro!$B$17+1)),0))/((Presion_cilindro!O347+Presion_cilindro!O348)/2)</f>
        <v>14.312735285220532</v>
      </c>
      <c r="F356" s="27">
        <f>F355*(Presion_cilindro!O347/Presion_cilindro!O348)^Presion_cilindro!$B$9+10*(Presion_cilindro!$B$9-1)*Presion_cilindro!$B$33*(IF(Presion_cilindro!N348&gt;(-F$4+Presion_cilindro!$B$34),1-EXP(-Presion_cilindro!$B$16*((Presion_cilindro!N348-(-F$4+Presion_cilindro!$B$34))/Presion_cilindro!$B$35)^(Presion_cilindro!$B$17+1)),0)-IF(Presion_cilindro!N347&gt;(-F$4+Presion_cilindro!$B$34),1-EXP(-Presion_cilindro!$B$16*((Presion_cilindro!N347-(-F$4+Presion_cilindro!$B$34))/Presion_cilindro!$B$35)^(Presion_cilindro!$B$17+1)),0))/((Presion_cilindro!O347+Presion_cilindro!O348)/2)</f>
        <v>14.44947752774984</v>
      </c>
      <c r="G356" s="27">
        <f>G355*(Presion_cilindro!O347/Presion_cilindro!O348)^Presion_cilindro!$B$9+10*(Presion_cilindro!$B$9-1)*Presion_cilindro!$B$33*(IF(Presion_cilindro!N348&gt;(-G$4+Presion_cilindro!$B$34),1-EXP(-Presion_cilindro!$B$16*((Presion_cilindro!N348-(-G$4+Presion_cilindro!$B$34))/Presion_cilindro!$B$35)^(Presion_cilindro!$B$17+1)),0)-IF(Presion_cilindro!N347&gt;(-G$4+Presion_cilindro!$B$34),1-EXP(-Presion_cilindro!$B$16*((Presion_cilindro!N347-(-G$4+Presion_cilindro!$B$34))/Presion_cilindro!$B$35)^(Presion_cilindro!$B$17+1)),0))/((Presion_cilindro!O347+Presion_cilindro!O348)/2)</f>
        <v>15.464572969858072</v>
      </c>
      <c r="H356" s="27">
        <f>H355*(Presion_cilindro!O347/Presion_cilindro!O348)^Presion_cilindro!$B$9+10*(Presion_cilindro!$B$9-1)*Presion_cilindro!$B$33*(IF(Presion_cilindro!N348&gt;(-H$4+Presion_cilindro!$B$34),1-EXP(-Presion_cilindro!$B$16*((Presion_cilindro!N348-(-H$4+Presion_cilindro!$B$34))/Presion_cilindro!$B$35)^(Presion_cilindro!$B$17+1)),0)-IF(Presion_cilindro!N347&gt;(-H$4+Presion_cilindro!$B$34),1-EXP(-Presion_cilindro!$B$16*((Presion_cilindro!N347-(-H$4+Presion_cilindro!$B$34))/Presion_cilindro!$B$35)^(Presion_cilindro!$B$17+1)),0))/((Presion_cilindro!O347+Presion_cilindro!O348)/2)</f>
        <v>18.130851135457235</v>
      </c>
      <c r="I356" s="27">
        <f>I355*(Presion_cilindro!O347/Presion_cilindro!O348)^Presion_cilindro!$B$9+10*(Presion_cilindro!$B$9-1)*Presion_cilindro!$B$33*(IF(Presion_cilindro!N348&gt;(-I$4+Presion_cilindro!$B$34),1-EXP(-Presion_cilindro!$B$16*((Presion_cilindro!N348-(-I$4+Presion_cilindro!$B$34))/Presion_cilindro!$B$35)^(Presion_cilindro!$B$17+1)),0)-IF(Presion_cilindro!N347&gt;(-I$4+Presion_cilindro!$B$34),1-EXP(-Presion_cilindro!$B$16*((Presion_cilindro!N347-(-I$4+Presion_cilindro!$B$34))/Presion_cilindro!$B$35)^(Presion_cilindro!$B$17+1)),0))/((Presion_cilindro!O347+Presion_cilindro!O348)/2)</f>
        <v>22.759939754727807</v>
      </c>
      <c r="J356" s="27">
        <f>J355*(Presion_cilindro!O347/Presion_cilindro!O348)^Presion_cilindro!$B$9+10*(Presion_cilindro!$B$9-1)*Presion_cilindro!$B$33*(IF(Presion_cilindro!N348&gt;(-J$4+Presion_cilindro!$B$34),1-EXP(-Presion_cilindro!$B$16*((Presion_cilindro!N348-(-J$4+Presion_cilindro!$B$34))/Presion_cilindro!$B$35)^(Presion_cilindro!$B$17+1)),0)-IF(Presion_cilindro!N347&gt;(-J$4+Presion_cilindro!$B$34),1-EXP(-Presion_cilindro!$B$16*((Presion_cilindro!N347-(-J$4+Presion_cilindro!$B$34))/Presion_cilindro!$B$35)^(Presion_cilindro!$B$17+1)),0))/((Presion_cilindro!O347+Presion_cilindro!O348)/2)</f>
        <v>28.908357837017917</v>
      </c>
      <c r="K356" s="27">
        <f>K355*(Presion_cilindro!O347/Presion_cilindro!O348)^Presion_cilindro!$B$9+10*(Presion_cilindro!$B$9-1)*Presion_cilindro!$B$33*(IF(Presion_cilindro!N348&gt;(-K$4+Presion_cilindro!$B$34),1-EXP(-Presion_cilindro!$B$16*((Presion_cilindro!N348-(-K$4+Presion_cilindro!$B$34))/Presion_cilindro!$B$35)^(Presion_cilindro!$B$17+1)),0)-IF(Presion_cilindro!N347&gt;(-K$4+Presion_cilindro!$B$34),1-EXP(-Presion_cilindro!$B$16*((Presion_cilindro!N347-(-K$4+Presion_cilindro!$B$34))/Presion_cilindro!$B$35)^(Presion_cilindro!$B$17+1)),0))/((Presion_cilindro!O347+Presion_cilindro!O348)/2)</f>
        <v>35.454429982340464</v>
      </c>
      <c r="L356" s="27">
        <f>L355*(Presion_cilindro!O347/Presion_cilindro!O348)^Presion_cilindro!$B$9+10*(Presion_cilindro!$B$9-1)*Presion_cilindro!$B$33*(IF(Presion_cilindro!N348&gt;(-L$4+Presion_cilindro!$B$34),1-EXP(-Presion_cilindro!$B$16*((Presion_cilindro!N348-(-L$4+Presion_cilindro!$B$34))/Presion_cilindro!$B$35)^(Presion_cilindro!$B$17+1)),0)-IF(Presion_cilindro!N347&gt;(-L$4+Presion_cilindro!$B$34),1-EXP(-Presion_cilindro!$B$16*((Presion_cilindro!N347-(-L$4+Presion_cilindro!$B$34))/Presion_cilindro!$B$35)^(Presion_cilindro!$B$17+1)),0))/((Presion_cilindro!O347+Presion_cilindro!O348)/2)</f>
        <v>41.169527112122147</v>
      </c>
      <c r="M356" s="27">
        <f>M355*(Presion_cilindro!O347/Presion_cilindro!O348)^Presion_cilindro!$B$9+10*(Presion_cilindro!$B$9-1)*Presion_cilindro!$B$33*(IF(Presion_cilindro!N348&gt;(-M$4+Presion_cilindro!$B$34),1-EXP(-Presion_cilindro!$B$16*((Presion_cilindro!N348-(-M$4+Presion_cilindro!$B$34))/Presion_cilindro!$B$35)^(Presion_cilindro!$B$17+1)),0)-IF(Presion_cilindro!N347&gt;(-M$4+Presion_cilindro!$B$34),1-EXP(-Presion_cilindro!$B$16*((Presion_cilindro!N347-(-M$4+Presion_cilindro!$B$34))/Presion_cilindro!$B$35)^(Presion_cilindro!$B$17+1)),0))/((Presion_cilindro!O347+Presion_cilindro!O348)/2)</f>
        <v>45.400849770326275</v>
      </c>
      <c r="N356" s="27">
        <f>N355*(Presion_cilindro!O347/Presion_cilindro!O348)^Presion_cilindro!$B$9+10*(Presion_cilindro!$B$9-1)*Presion_cilindro!$B$33*(IF(Presion_cilindro!N348&gt;(-N$4+Presion_cilindro!$B$34),1-EXP(-Presion_cilindro!$B$16*((Presion_cilindro!N348-(-N$4+Presion_cilindro!$B$34))/Presion_cilindro!$B$35)^(Presion_cilindro!$B$17+1)),0)-IF(Presion_cilindro!N347&gt;(-N$4+Presion_cilindro!$B$34),1-EXP(-Presion_cilindro!$B$16*((Presion_cilindro!N347-(-N$4+Presion_cilindro!$B$34))/Presion_cilindro!$B$35)^(Presion_cilindro!$B$17+1)),0))/((Presion_cilindro!O347+Presion_cilindro!O348)/2)</f>
        <v>48.281055743176857</v>
      </c>
    </row>
    <row r="357" spans="1:14" x14ac:dyDescent="0.25">
      <c r="A357" s="21">
        <f>Presion_cilindro!N349</f>
        <v>-7.5</v>
      </c>
      <c r="B357" s="27">
        <f>B356*(Presion_cilindro!O348/Presion_cilindro!O349)^Presion_cilindro!$B$9+10*(Presion_cilindro!$B$9-1)*Presion_cilindro!$B$33*(IF(Presion_cilindro!N349&gt;(-B$4+Presion_cilindro!$B$34),1-EXP(-Presion_cilindro!$B$16*((Presion_cilindro!N349-(-B$4+Presion_cilindro!$B$34))/Presion_cilindro!$B$35)^(Presion_cilindro!$B$17+1)),0)-IF(Presion_cilindro!N348&gt;(-B$4+Presion_cilindro!$B$34),1-EXP(-Presion_cilindro!$B$16*((Presion_cilindro!N348-(-B$4+Presion_cilindro!$B$34))/Presion_cilindro!$B$35)^(Presion_cilindro!$B$17+1)),0))/((Presion_cilindro!O348+Presion_cilindro!O349)/2)</f>
        <v>14.436136290913105</v>
      </c>
      <c r="C357" s="27">
        <f>C356*(Presion_cilindro!O348/Presion_cilindro!O349)^Presion_cilindro!$B$9+10*(Presion_cilindro!$B$9-1)*Presion_cilindro!$B$33*(IF(Presion_cilindro!N349&gt;(-C$4+Presion_cilindro!$B$34),1-EXP(-Presion_cilindro!$B$16*((Presion_cilindro!N349-(-C$4+Presion_cilindro!$B$34))/Presion_cilindro!$B$35)^(Presion_cilindro!$B$17+1)),0)-IF(Presion_cilindro!N348&gt;(-C$4+Presion_cilindro!$B$34),1-EXP(-Presion_cilindro!$B$16*((Presion_cilindro!N348-(-C$4+Presion_cilindro!$B$34))/Presion_cilindro!$B$35)^(Presion_cilindro!$B$17+1)),0))/((Presion_cilindro!O348+Presion_cilindro!O349)/2)</f>
        <v>14.436136290913105</v>
      </c>
      <c r="D357" s="27">
        <f>D356*(Presion_cilindro!O348/Presion_cilindro!O349)^Presion_cilindro!$B$9+10*(Presion_cilindro!$B$9-1)*Presion_cilindro!$B$33*(IF(Presion_cilindro!N349&gt;(-D$4+Presion_cilindro!$B$34),1-EXP(-Presion_cilindro!$B$16*((Presion_cilindro!N349-(-D$4+Presion_cilindro!$B$34))/Presion_cilindro!$B$35)^(Presion_cilindro!$B$17+1)),0)-IF(Presion_cilindro!N348&gt;(-D$4+Presion_cilindro!$B$34),1-EXP(-Presion_cilindro!$B$16*((Presion_cilindro!N348-(-D$4+Presion_cilindro!$B$34))/Presion_cilindro!$B$35)^(Presion_cilindro!$B$17+1)),0))/((Presion_cilindro!O348+Presion_cilindro!O349)/2)</f>
        <v>14.436136290913105</v>
      </c>
      <c r="E357" s="27">
        <f>E356*(Presion_cilindro!O348/Presion_cilindro!O349)^Presion_cilindro!$B$9+10*(Presion_cilindro!$B$9-1)*Presion_cilindro!$B$33*(IF(Presion_cilindro!N349&gt;(-E$4+Presion_cilindro!$B$34),1-EXP(-Presion_cilindro!$B$16*((Presion_cilindro!N349-(-E$4+Presion_cilindro!$B$34))/Presion_cilindro!$B$35)^(Presion_cilindro!$B$17+1)),0)-IF(Presion_cilindro!N348&gt;(-E$4+Presion_cilindro!$B$34),1-EXP(-Presion_cilindro!$B$16*((Presion_cilindro!N348-(-E$4+Presion_cilindro!$B$34))/Presion_cilindro!$B$35)^(Presion_cilindro!$B$17+1)),0))/((Presion_cilindro!O348+Presion_cilindro!O349)/2)</f>
        <v>14.436169828750895</v>
      </c>
      <c r="F357" s="27">
        <f>F356*(Presion_cilindro!O348/Presion_cilindro!O349)^Presion_cilindro!$B$9+10*(Presion_cilindro!$B$9-1)*Presion_cilindro!$B$33*(IF(Presion_cilindro!N349&gt;(-F$4+Presion_cilindro!$B$34),1-EXP(-Presion_cilindro!$B$16*((Presion_cilindro!N349-(-F$4+Presion_cilindro!$B$34))/Presion_cilindro!$B$35)^(Presion_cilindro!$B$17+1)),0)-IF(Presion_cilindro!N348&gt;(-F$4+Presion_cilindro!$B$34),1-EXP(-Presion_cilindro!$B$16*((Presion_cilindro!N348-(-F$4+Presion_cilindro!$B$34))/Presion_cilindro!$B$35)^(Presion_cilindro!$B$17+1)),0))/((Presion_cilindro!O348+Presion_cilindro!O349)/2)</f>
        <v>14.621360804266159</v>
      </c>
      <c r="G357" s="27">
        <f>G356*(Presion_cilindro!O348/Presion_cilindro!O349)^Presion_cilindro!$B$9+10*(Presion_cilindro!$B$9-1)*Presion_cilindro!$B$33*(IF(Presion_cilindro!N349&gt;(-G$4+Presion_cilindro!$B$34),1-EXP(-Presion_cilindro!$B$16*((Presion_cilindro!N349-(-G$4+Presion_cilindro!$B$34))/Presion_cilindro!$B$35)^(Presion_cilindro!$B$17+1)),0)-IF(Presion_cilindro!N348&gt;(-G$4+Presion_cilindro!$B$34),1-EXP(-Presion_cilindro!$B$16*((Presion_cilindro!N348-(-G$4+Presion_cilindro!$B$34))/Presion_cilindro!$B$35)^(Presion_cilindro!$B$17+1)),0))/((Presion_cilindro!O348+Presion_cilindro!O349)/2)</f>
        <v>15.778450867796675</v>
      </c>
      <c r="H357" s="27">
        <f>H356*(Presion_cilindro!O348/Presion_cilindro!O349)^Presion_cilindro!$B$9+10*(Presion_cilindro!$B$9-1)*Presion_cilindro!$B$33*(IF(Presion_cilindro!N349&gt;(-H$4+Presion_cilindro!$B$34),1-EXP(-Presion_cilindro!$B$16*((Presion_cilindro!N349-(-H$4+Presion_cilindro!$B$34))/Presion_cilindro!$B$35)^(Presion_cilindro!$B$17+1)),0)-IF(Presion_cilindro!N348&gt;(-H$4+Presion_cilindro!$B$34),1-EXP(-Presion_cilindro!$B$16*((Presion_cilindro!N348-(-H$4+Presion_cilindro!$B$34))/Presion_cilindro!$B$35)^(Presion_cilindro!$B$17+1)),0))/((Presion_cilindro!O348+Presion_cilindro!O349)/2)</f>
        <v>18.654171602315209</v>
      </c>
      <c r="I357" s="27">
        <f>I356*(Presion_cilindro!O348/Presion_cilindro!O349)^Presion_cilindro!$B$9+10*(Presion_cilindro!$B$9-1)*Presion_cilindro!$B$33*(IF(Presion_cilindro!N349&gt;(-I$4+Presion_cilindro!$B$34),1-EXP(-Presion_cilindro!$B$16*((Presion_cilindro!N349-(-I$4+Presion_cilindro!$B$34))/Presion_cilindro!$B$35)^(Presion_cilindro!$B$17+1)),0)-IF(Presion_cilindro!N348&gt;(-I$4+Presion_cilindro!$B$34),1-EXP(-Presion_cilindro!$B$16*((Presion_cilindro!N348-(-I$4+Presion_cilindro!$B$34))/Presion_cilindro!$B$35)^(Presion_cilindro!$B$17+1)),0))/((Presion_cilindro!O348+Presion_cilindro!O349)/2)</f>
        <v>23.49447020819731</v>
      </c>
      <c r="J357" s="27">
        <f>J356*(Presion_cilindro!O348/Presion_cilindro!O349)^Presion_cilindro!$B$9+10*(Presion_cilindro!$B$9-1)*Presion_cilindro!$B$33*(IF(Presion_cilindro!N349&gt;(-J$4+Presion_cilindro!$B$34),1-EXP(-Presion_cilindro!$B$16*((Presion_cilindro!N349-(-J$4+Presion_cilindro!$B$34))/Presion_cilindro!$B$35)^(Presion_cilindro!$B$17+1)),0)-IF(Presion_cilindro!N348&gt;(-J$4+Presion_cilindro!$B$34),1-EXP(-Presion_cilindro!$B$16*((Presion_cilindro!N348-(-J$4+Presion_cilindro!$B$34))/Presion_cilindro!$B$35)^(Presion_cilindro!$B$17+1)),0))/((Presion_cilindro!O348+Presion_cilindro!O349)/2)</f>
        <v>29.771516656708474</v>
      </c>
      <c r="K357" s="27">
        <f>K356*(Presion_cilindro!O348/Presion_cilindro!O349)^Presion_cilindro!$B$9+10*(Presion_cilindro!$B$9-1)*Presion_cilindro!$B$33*(IF(Presion_cilindro!N349&gt;(-K$4+Presion_cilindro!$B$34),1-EXP(-Presion_cilindro!$B$16*((Presion_cilindro!N349-(-K$4+Presion_cilindro!$B$34))/Presion_cilindro!$B$35)^(Presion_cilindro!$B$17+1)),0)-IF(Presion_cilindro!N348&gt;(-K$4+Presion_cilindro!$B$34),1-EXP(-Presion_cilindro!$B$16*((Presion_cilindro!N348-(-K$4+Presion_cilindro!$B$34))/Presion_cilindro!$B$35)^(Presion_cilindro!$B$17+1)),0))/((Presion_cilindro!O348+Presion_cilindro!O349)/2)</f>
        <v>36.313502271301239</v>
      </c>
      <c r="L357" s="27">
        <f>L356*(Presion_cilindro!O348/Presion_cilindro!O349)^Presion_cilindro!$B$9+10*(Presion_cilindro!$B$9-1)*Presion_cilindro!$B$33*(IF(Presion_cilindro!N349&gt;(-L$4+Presion_cilindro!$B$34),1-EXP(-Presion_cilindro!$B$16*((Presion_cilindro!N349-(-L$4+Presion_cilindro!$B$34))/Presion_cilindro!$B$35)^(Presion_cilindro!$B$17+1)),0)-IF(Presion_cilindro!N348&gt;(-L$4+Presion_cilindro!$B$34),1-EXP(-Presion_cilindro!$B$16*((Presion_cilindro!N348-(-L$4+Presion_cilindro!$B$34))/Presion_cilindro!$B$35)^(Presion_cilindro!$B$17+1)),0))/((Presion_cilindro!O348+Presion_cilindro!O349)/2)</f>
        <v>41.916563419690455</v>
      </c>
      <c r="M357" s="27">
        <f>M356*(Presion_cilindro!O348/Presion_cilindro!O349)^Presion_cilindro!$B$9+10*(Presion_cilindro!$B$9-1)*Presion_cilindro!$B$33*(IF(Presion_cilindro!N349&gt;(-M$4+Presion_cilindro!$B$34),1-EXP(-Presion_cilindro!$B$16*((Presion_cilindro!N349-(-M$4+Presion_cilindro!$B$34))/Presion_cilindro!$B$35)^(Presion_cilindro!$B$17+1)),0)-IF(Presion_cilindro!N348&gt;(-M$4+Presion_cilindro!$B$34),1-EXP(-Presion_cilindro!$B$16*((Presion_cilindro!N348-(-M$4+Presion_cilindro!$B$34))/Presion_cilindro!$B$35)^(Presion_cilindro!$B$17+1)),0))/((Presion_cilindro!O348+Presion_cilindro!O349)/2)</f>
        <v>46.007231354811907</v>
      </c>
      <c r="N357" s="27">
        <f>N356*(Presion_cilindro!O348/Presion_cilindro!O349)^Presion_cilindro!$B$9+10*(Presion_cilindro!$B$9-1)*Presion_cilindro!$B$33*(IF(Presion_cilindro!N349&gt;(-N$4+Presion_cilindro!$B$34),1-EXP(-Presion_cilindro!$B$16*((Presion_cilindro!N349-(-N$4+Presion_cilindro!$B$34))/Presion_cilindro!$B$35)^(Presion_cilindro!$B$17+1)),0)-IF(Presion_cilindro!N348&gt;(-N$4+Presion_cilindro!$B$34),1-EXP(-Presion_cilindro!$B$16*((Presion_cilindro!N348-(-N$4+Presion_cilindro!$B$34))/Presion_cilindro!$B$35)^(Presion_cilindro!$B$17+1)),0))/((Presion_cilindro!O348+Presion_cilindro!O349)/2)</f>
        <v>48.786605796656232</v>
      </c>
    </row>
    <row r="358" spans="1:14" x14ac:dyDescent="0.25">
      <c r="A358" s="21">
        <f>Presion_cilindro!N350</f>
        <v>-7</v>
      </c>
      <c r="B358" s="27">
        <f>B357*(Presion_cilindro!O349/Presion_cilindro!O350)^Presion_cilindro!$B$9+10*(Presion_cilindro!$B$9-1)*Presion_cilindro!$B$33*(IF(Presion_cilindro!N350&gt;(-B$4+Presion_cilindro!$B$34),1-EXP(-Presion_cilindro!$B$16*((Presion_cilindro!N350-(-B$4+Presion_cilindro!$B$34))/Presion_cilindro!$B$35)^(Presion_cilindro!$B$17+1)),0)-IF(Presion_cilindro!N349&gt;(-B$4+Presion_cilindro!$B$34),1-EXP(-Presion_cilindro!$B$16*((Presion_cilindro!N349-(-B$4+Presion_cilindro!$B$34))/Presion_cilindro!$B$35)^(Presion_cilindro!$B$17+1)),0))/((Presion_cilindro!O349+Presion_cilindro!O350)/2)</f>
        <v>14.553346066252981</v>
      </c>
      <c r="C358" s="27">
        <f>C357*(Presion_cilindro!O349/Presion_cilindro!O350)^Presion_cilindro!$B$9+10*(Presion_cilindro!$B$9-1)*Presion_cilindro!$B$33*(IF(Presion_cilindro!N350&gt;(-C$4+Presion_cilindro!$B$34),1-EXP(-Presion_cilindro!$B$16*((Presion_cilindro!N350-(-C$4+Presion_cilindro!$B$34))/Presion_cilindro!$B$35)^(Presion_cilindro!$B$17+1)),0)-IF(Presion_cilindro!N349&gt;(-C$4+Presion_cilindro!$B$34),1-EXP(-Presion_cilindro!$B$16*((Presion_cilindro!N349-(-C$4+Presion_cilindro!$B$34))/Presion_cilindro!$B$35)^(Presion_cilindro!$B$17+1)),0))/((Presion_cilindro!O349+Presion_cilindro!O350)/2)</f>
        <v>14.553346066252981</v>
      </c>
      <c r="D358" s="27">
        <f>D357*(Presion_cilindro!O349/Presion_cilindro!O350)^Presion_cilindro!$B$9+10*(Presion_cilindro!$B$9-1)*Presion_cilindro!$B$33*(IF(Presion_cilindro!N350&gt;(-D$4+Presion_cilindro!$B$34),1-EXP(-Presion_cilindro!$B$16*((Presion_cilindro!N350-(-D$4+Presion_cilindro!$B$34))/Presion_cilindro!$B$35)^(Presion_cilindro!$B$17+1)),0)-IF(Presion_cilindro!N349&gt;(-D$4+Presion_cilindro!$B$34),1-EXP(-Presion_cilindro!$B$16*((Presion_cilindro!N349-(-D$4+Presion_cilindro!$B$34))/Presion_cilindro!$B$35)^(Presion_cilindro!$B$17+1)),0))/((Presion_cilindro!O349+Presion_cilindro!O350)/2)</f>
        <v>14.553346066252981</v>
      </c>
      <c r="E358" s="27">
        <f>E357*(Presion_cilindro!O349/Presion_cilindro!O350)^Presion_cilindro!$B$9+10*(Presion_cilindro!$B$9-1)*Presion_cilindro!$B$33*(IF(Presion_cilindro!N350&gt;(-E$4+Presion_cilindro!$B$34),1-EXP(-Presion_cilindro!$B$16*((Presion_cilindro!N350-(-E$4+Presion_cilindro!$B$34))/Presion_cilindro!$B$35)^(Presion_cilindro!$B$17+1)),0)-IF(Presion_cilindro!N349&gt;(-E$4+Presion_cilindro!$B$34),1-EXP(-Presion_cilindro!$B$16*((Presion_cilindro!N349-(-E$4+Presion_cilindro!$B$34))/Presion_cilindro!$B$35)^(Presion_cilindro!$B$17+1)),0))/((Presion_cilindro!O349+Presion_cilindro!O350)/2)</f>
        <v>14.553986096893146</v>
      </c>
      <c r="F358" s="27">
        <f>F357*(Presion_cilindro!O349/Presion_cilindro!O350)^Presion_cilindro!$B$9+10*(Presion_cilindro!$B$9-1)*Presion_cilindro!$B$33*(IF(Presion_cilindro!N350&gt;(-F$4+Presion_cilindro!$B$34),1-EXP(-Presion_cilindro!$B$16*((Presion_cilindro!N350-(-F$4+Presion_cilindro!$B$34))/Presion_cilindro!$B$35)^(Presion_cilindro!$B$17+1)),0)-IF(Presion_cilindro!N349&gt;(-F$4+Presion_cilindro!$B$34),1-EXP(-Presion_cilindro!$B$16*((Presion_cilindro!N349-(-F$4+Presion_cilindro!$B$34))/Presion_cilindro!$B$35)^(Presion_cilindro!$B$17+1)),0))/((Presion_cilindro!O349+Presion_cilindro!O350)/2)</f>
        <v>14.797460179435589</v>
      </c>
      <c r="G358" s="27">
        <f>G357*(Presion_cilindro!O349/Presion_cilindro!O350)^Presion_cilindro!$B$9+10*(Presion_cilindro!$B$9-1)*Presion_cilindro!$B$33*(IF(Presion_cilindro!N350&gt;(-G$4+Presion_cilindro!$B$34),1-EXP(-Presion_cilindro!$B$16*((Presion_cilindro!N350-(-G$4+Presion_cilindro!$B$34))/Presion_cilindro!$B$35)^(Presion_cilindro!$B$17+1)),0)-IF(Presion_cilindro!N349&gt;(-G$4+Presion_cilindro!$B$34),1-EXP(-Presion_cilindro!$B$16*((Presion_cilindro!N349-(-G$4+Presion_cilindro!$B$34))/Presion_cilindro!$B$35)^(Presion_cilindro!$B$17+1)),0))/((Presion_cilindro!O349+Presion_cilindro!O350)/2)</f>
        <v>16.105461825066634</v>
      </c>
      <c r="H358" s="27">
        <f>H357*(Presion_cilindro!O349/Presion_cilindro!O350)^Presion_cilindro!$B$9+10*(Presion_cilindro!$B$9-1)*Presion_cilindro!$B$33*(IF(Presion_cilindro!N350&gt;(-H$4+Presion_cilindro!$B$34),1-EXP(-Presion_cilindro!$B$16*((Presion_cilindro!N350-(-H$4+Presion_cilindro!$B$34))/Presion_cilindro!$B$35)^(Presion_cilindro!$B$17+1)),0)-IF(Presion_cilindro!N349&gt;(-H$4+Presion_cilindro!$B$34),1-EXP(-Presion_cilindro!$B$16*((Presion_cilindro!N349-(-H$4+Presion_cilindro!$B$34))/Presion_cilindro!$B$35)^(Presion_cilindro!$B$17+1)),0))/((Presion_cilindro!O349+Presion_cilindro!O350)/2)</f>
        <v>19.194247212919656</v>
      </c>
      <c r="I358" s="27">
        <f>I357*(Presion_cilindro!O349/Presion_cilindro!O350)^Presion_cilindro!$B$9+10*(Presion_cilindro!$B$9-1)*Presion_cilindro!$B$33*(IF(Presion_cilindro!N350&gt;(-I$4+Presion_cilindro!$B$34),1-EXP(-Presion_cilindro!$B$16*((Presion_cilindro!N350-(-I$4+Presion_cilindro!$B$34))/Presion_cilindro!$B$35)^(Presion_cilindro!$B$17+1)),0)-IF(Presion_cilindro!N349&gt;(-I$4+Presion_cilindro!$B$34),1-EXP(-Presion_cilindro!$B$16*((Presion_cilindro!N349-(-I$4+Presion_cilindro!$B$34))/Presion_cilindro!$B$35)^(Presion_cilindro!$B$17+1)),0))/((Presion_cilindro!O349+Presion_cilindro!O350)/2)</f>
        <v>24.240029574999404</v>
      </c>
      <c r="J358" s="27">
        <f>J357*(Presion_cilindro!O349/Presion_cilindro!O350)^Presion_cilindro!$B$9+10*(Presion_cilindro!$B$9-1)*Presion_cilindro!$B$33*(IF(Presion_cilindro!N350&gt;(-J$4+Presion_cilindro!$B$34),1-EXP(-Presion_cilindro!$B$16*((Presion_cilindro!N350-(-J$4+Presion_cilindro!$B$34))/Presion_cilindro!$B$35)^(Presion_cilindro!$B$17+1)),0)-IF(Presion_cilindro!N349&gt;(-J$4+Presion_cilindro!$B$34),1-EXP(-Presion_cilindro!$B$16*((Presion_cilindro!N349-(-J$4+Presion_cilindro!$B$34))/Presion_cilindro!$B$35)^(Presion_cilindro!$B$17+1)),0))/((Presion_cilindro!O349+Presion_cilindro!O350)/2)</f>
        <v>30.631128692853999</v>
      </c>
      <c r="K358" s="27">
        <f>K357*(Presion_cilindro!O349/Presion_cilindro!O350)^Presion_cilindro!$B$9+10*(Presion_cilindro!$B$9-1)*Presion_cilindro!$B$33*(IF(Presion_cilindro!N350&gt;(-K$4+Presion_cilindro!$B$34),1-EXP(-Presion_cilindro!$B$16*((Presion_cilindro!N350-(-K$4+Presion_cilindro!$B$34))/Presion_cilindro!$B$35)^(Presion_cilindro!$B$17+1)),0)-IF(Presion_cilindro!N349&gt;(-K$4+Presion_cilindro!$B$34),1-EXP(-Presion_cilindro!$B$16*((Presion_cilindro!N349-(-K$4+Presion_cilindro!$B$34))/Presion_cilindro!$B$35)^(Presion_cilindro!$B$17+1)),0))/((Presion_cilindro!O349+Presion_cilindro!O350)/2)</f>
        <v>37.152319277782873</v>
      </c>
      <c r="L358" s="27">
        <f>L357*(Presion_cilindro!O349/Presion_cilindro!O350)^Presion_cilindro!$B$9+10*(Presion_cilindro!$B$9-1)*Presion_cilindro!$B$33*(IF(Presion_cilindro!N350&gt;(-L$4+Presion_cilindro!$B$34),1-EXP(-Presion_cilindro!$B$16*((Presion_cilindro!N350-(-L$4+Presion_cilindro!$B$34))/Presion_cilindro!$B$35)^(Presion_cilindro!$B$17+1)),0)-IF(Presion_cilindro!N349&gt;(-L$4+Presion_cilindro!$B$34),1-EXP(-Presion_cilindro!$B$16*((Presion_cilindro!N349-(-L$4+Presion_cilindro!$B$34))/Presion_cilindro!$B$35)^(Presion_cilindro!$B$17+1)),0))/((Presion_cilindro!O349+Presion_cilindro!O350)/2)</f>
        <v>42.632854244603919</v>
      </c>
      <c r="M358" s="27">
        <f>M357*(Presion_cilindro!O349/Presion_cilindro!O350)^Presion_cilindro!$B$9+10*(Presion_cilindro!$B$9-1)*Presion_cilindro!$B$33*(IF(Presion_cilindro!N350&gt;(-M$4+Presion_cilindro!$B$34),1-EXP(-Presion_cilindro!$B$16*((Presion_cilindro!N350-(-M$4+Presion_cilindro!$B$34))/Presion_cilindro!$B$35)^(Presion_cilindro!$B$17+1)),0)-IF(Presion_cilindro!N349&gt;(-M$4+Presion_cilindro!$B$34),1-EXP(-Presion_cilindro!$B$16*((Presion_cilindro!N349-(-M$4+Presion_cilindro!$B$34))/Presion_cilindro!$B$35)^(Presion_cilindro!$B$17+1)),0))/((Presion_cilindro!O349+Presion_cilindro!O350)/2)</f>
        <v>46.581443240078706</v>
      </c>
      <c r="N358" s="27">
        <f>N357*(Presion_cilindro!O349/Presion_cilindro!O350)^Presion_cilindro!$B$9+10*(Presion_cilindro!$B$9-1)*Presion_cilindro!$B$33*(IF(Presion_cilindro!N350&gt;(-N$4+Presion_cilindro!$B$34),1-EXP(-Presion_cilindro!$B$16*((Presion_cilindro!N350-(-N$4+Presion_cilindro!$B$34))/Presion_cilindro!$B$35)^(Presion_cilindro!$B$17+1)),0)-IF(Presion_cilindro!N349&gt;(-N$4+Presion_cilindro!$B$34),1-EXP(-Presion_cilindro!$B$16*((Presion_cilindro!N349-(-N$4+Presion_cilindro!$B$34))/Presion_cilindro!$B$35)^(Presion_cilindro!$B$17+1)),0))/((Presion_cilindro!O349+Presion_cilindro!O350)/2)</f>
        <v>49.263680651852042</v>
      </c>
    </row>
    <row r="359" spans="1:14" x14ac:dyDescent="0.25">
      <c r="A359" s="21">
        <f>Presion_cilindro!N351</f>
        <v>-6.5</v>
      </c>
      <c r="B359" s="27">
        <f>B358*(Presion_cilindro!O350/Presion_cilindro!O351)^Presion_cilindro!$B$9+10*(Presion_cilindro!$B$9-1)*Presion_cilindro!$B$33*(IF(Presion_cilindro!N351&gt;(-B$4+Presion_cilindro!$B$34),1-EXP(-Presion_cilindro!$B$16*((Presion_cilindro!N351-(-B$4+Presion_cilindro!$B$34))/Presion_cilindro!$B$35)^(Presion_cilindro!$B$17+1)),0)-IF(Presion_cilindro!N350&gt;(-B$4+Presion_cilindro!$B$34),1-EXP(-Presion_cilindro!$B$16*((Presion_cilindro!N350-(-B$4+Presion_cilindro!$B$34))/Presion_cilindro!$B$35)^(Presion_cilindro!$B$17+1)),0))/((Presion_cilindro!O350+Presion_cilindro!O351)/2)</f>
        <v>14.664043466953874</v>
      </c>
      <c r="C359" s="27">
        <f>C358*(Presion_cilindro!O350/Presion_cilindro!O351)^Presion_cilindro!$B$9+10*(Presion_cilindro!$B$9-1)*Presion_cilindro!$B$33*(IF(Presion_cilindro!N351&gt;(-C$4+Presion_cilindro!$B$34),1-EXP(-Presion_cilindro!$B$16*((Presion_cilindro!N351-(-C$4+Presion_cilindro!$B$34))/Presion_cilindro!$B$35)^(Presion_cilindro!$B$17+1)),0)-IF(Presion_cilindro!N350&gt;(-C$4+Presion_cilindro!$B$34),1-EXP(-Presion_cilindro!$B$16*((Presion_cilindro!N350-(-C$4+Presion_cilindro!$B$34))/Presion_cilindro!$B$35)^(Presion_cilindro!$B$17+1)),0))/((Presion_cilindro!O350+Presion_cilindro!O351)/2)</f>
        <v>14.664043466953874</v>
      </c>
      <c r="D359" s="27">
        <f>D358*(Presion_cilindro!O350/Presion_cilindro!O351)^Presion_cilindro!$B$9+10*(Presion_cilindro!$B$9-1)*Presion_cilindro!$B$33*(IF(Presion_cilindro!N351&gt;(-D$4+Presion_cilindro!$B$34),1-EXP(-Presion_cilindro!$B$16*((Presion_cilindro!N351-(-D$4+Presion_cilindro!$B$34))/Presion_cilindro!$B$35)^(Presion_cilindro!$B$17+1)),0)-IF(Presion_cilindro!N350&gt;(-D$4+Presion_cilindro!$B$34),1-EXP(-Presion_cilindro!$B$16*((Presion_cilindro!N350-(-D$4+Presion_cilindro!$B$34))/Presion_cilindro!$B$35)^(Presion_cilindro!$B$17+1)),0))/((Presion_cilindro!O350+Presion_cilindro!O351)/2)</f>
        <v>14.664043466953874</v>
      </c>
      <c r="E359" s="27">
        <f>E358*(Presion_cilindro!O350/Presion_cilindro!O351)^Presion_cilindro!$B$9+10*(Presion_cilindro!$B$9-1)*Presion_cilindro!$B$33*(IF(Presion_cilindro!N351&gt;(-E$4+Presion_cilindro!$B$34),1-EXP(-Presion_cilindro!$B$16*((Presion_cilindro!N351-(-E$4+Presion_cilindro!$B$34))/Presion_cilindro!$B$35)^(Presion_cilindro!$B$17+1)),0)-IF(Presion_cilindro!N350&gt;(-E$4+Presion_cilindro!$B$34),1-EXP(-Presion_cilindro!$B$16*((Presion_cilindro!N350-(-E$4+Presion_cilindro!$B$34))/Presion_cilindro!$B$35)^(Presion_cilindro!$B$17+1)),0))/((Presion_cilindro!O350+Presion_cilindro!O351)/2)</f>
        <v>14.666806859459994</v>
      </c>
      <c r="F359" s="27">
        <f>F358*(Presion_cilindro!O350/Presion_cilindro!O351)^Presion_cilindro!$B$9+10*(Presion_cilindro!$B$9-1)*Presion_cilindro!$B$33*(IF(Presion_cilindro!N351&gt;(-F$4+Presion_cilindro!$B$34),1-EXP(-Presion_cilindro!$B$16*((Presion_cilindro!N351-(-F$4+Presion_cilindro!$B$34))/Presion_cilindro!$B$35)^(Presion_cilindro!$B$17+1)),0)-IF(Presion_cilindro!N350&gt;(-F$4+Presion_cilindro!$B$34),1-EXP(-Presion_cilindro!$B$16*((Presion_cilindro!N350-(-F$4+Presion_cilindro!$B$34))/Presion_cilindro!$B$35)^(Presion_cilindro!$B$17+1)),0))/((Presion_cilindro!O350+Presion_cilindro!O351)/2)</f>
        <v>14.97845906545029</v>
      </c>
      <c r="G359" s="27">
        <f>G358*(Presion_cilindro!O350/Presion_cilindro!O351)^Presion_cilindro!$B$9+10*(Presion_cilindro!$B$9-1)*Presion_cilindro!$B$33*(IF(Presion_cilindro!N351&gt;(-G$4+Presion_cilindro!$B$34),1-EXP(-Presion_cilindro!$B$16*((Presion_cilindro!N351-(-G$4+Presion_cilindro!$B$34))/Presion_cilindro!$B$35)^(Presion_cilindro!$B$17+1)),0)-IF(Presion_cilindro!N350&gt;(-G$4+Presion_cilindro!$B$34),1-EXP(-Presion_cilindro!$B$16*((Presion_cilindro!N350-(-G$4+Presion_cilindro!$B$34))/Presion_cilindro!$B$35)^(Presion_cilindro!$B$17+1)),0))/((Presion_cilindro!O350+Presion_cilindro!O351)/2)</f>
        <v>16.445884161745997</v>
      </c>
      <c r="H359" s="27">
        <f>H358*(Presion_cilindro!O350/Presion_cilindro!O351)^Presion_cilindro!$B$9+10*(Presion_cilindro!$B$9-1)*Presion_cilindro!$B$33*(IF(Presion_cilindro!N351&gt;(-H$4+Presion_cilindro!$B$34),1-EXP(-Presion_cilindro!$B$16*((Presion_cilindro!N351-(-H$4+Presion_cilindro!$B$34))/Presion_cilindro!$B$35)^(Presion_cilindro!$B$17+1)),0)-IF(Presion_cilindro!N350&gt;(-H$4+Presion_cilindro!$B$34),1-EXP(-Presion_cilindro!$B$16*((Presion_cilindro!N350-(-H$4+Presion_cilindro!$B$34))/Presion_cilindro!$B$35)^(Presion_cilindro!$B$17+1)),0))/((Presion_cilindro!O350+Presion_cilindro!O351)/2)</f>
        <v>19.750357371202465</v>
      </c>
      <c r="I359" s="27">
        <f>I358*(Presion_cilindro!O350/Presion_cilindro!O351)^Presion_cilindro!$B$9+10*(Presion_cilindro!$B$9-1)*Presion_cilindro!$B$33*(IF(Presion_cilindro!N351&gt;(-I$4+Presion_cilindro!$B$34),1-EXP(-Presion_cilindro!$B$16*((Presion_cilindro!N351-(-I$4+Presion_cilindro!$B$34))/Presion_cilindro!$B$35)^(Presion_cilindro!$B$17+1)),0)-IF(Presion_cilindro!N350&gt;(-I$4+Presion_cilindro!$B$34),1-EXP(-Presion_cilindro!$B$16*((Presion_cilindro!N350-(-I$4+Presion_cilindro!$B$34))/Presion_cilindro!$B$35)^(Presion_cilindro!$B$17+1)),0))/((Presion_cilindro!O350+Presion_cilindro!O351)/2)</f>
        <v>24.994606262202005</v>
      </c>
      <c r="J359" s="27">
        <f>J358*(Presion_cilindro!O350/Presion_cilindro!O351)^Presion_cilindro!$B$9+10*(Presion_cilindro!$B$9-1)*Presion_cilindro!$B$33*(IF(Presion_cilindro!N351&gt;(-J$4+Presion_cilindro!$B$34),1-EXP(-Presion_cilindro!$B$16*((Presion_cilindro!N351-(-J$4+Presion_cilindro!$B$34))/Presion_cilindro!$B$35)^(Presion_cilindro!$B$17+1)),0)-IF(Presion_cilindro!N350&gt;(-J$4+Presion_cilindro!$B$34),1-EXP(-Presion_cilindro!$B$16*((Presion_cilindro!N350-(-J$4+Presion_cilindro!$B$34))/Presion_cilindro!$B$35)^(Presion_cilindro!$B$17+1)),0))/((Presion_cilindro!O350+Presion_cilindro!O351)/2)</f>
        <v>31.484323435520857</v>
      </c>
      <c r="K359" s="27">
        <f>K358*(Presion_cilindro!O350/Presion_cilindro!O351)^Presion_cilindro!$B$9+10*(Presion_cilindro!$B$9-1)*Presion_cilindro!$B$33*(IF(Presion_cilindro!N351&gt;(-K$4+Presion_cilindro!$B$34),1-EXP(-Presion_cilindro!$B$16*((Presion_cilindro!N351-(-K$4+Presion_cilindro!$B$34))/Presion_cilindro!$B$35)^(Presion_cilindro!$B$17+1)),0)-IF(Presion_cilindro!N350&gt;(-K$4+Presion_cilindro!$B$34),1-EXP(-Presion_cilindro!$B$16*((Presion_cilindro!N350-(-K$4+Presion_cilindro!$B$34))/Presion_cilindro!$B$35)^(Presion_cilindro!$B$17+1)),0))/((Presion_cilindro!O350+Presion_cilindro!O351)/2)</f>
        <v>37.968149771491404</v>
      </c>
      <c r="L359" s="27">
        <f>L358*(Presion_cilindro!O350/Presion_cilindro!O351)^Presion_cilindro!$B$9+10*(Presion_cilindro!$B$9-1)*Presion_cilindro!$B$33*(IF(Presion_cilindro!N351&gt;(-L$4+Presion_cilindro!$B$34),1-EXP(-Presion_cilindro!$B$16*((Presion_cilindro!N351-(-L$4+Presion_cilindro!$B$34))/Presion_cilindro!$B$35)^(Presion_cilindro!$B$17+1)),0)-IF(Presion_cilindro!N350&gt;(-L$4+Presion_cilindro!$B$34),1-EXP(-Presion_cilindro!$B$16*((Presion_cilindro!N350-(-L$4+Presion_cilindro!$B$34))/Presion_cilindro!$B$35)^(Presion_cilindro!$B$17+1)),0))/((Presion_cilindro!O350+Presion_cilindro!O351)/2)</f>
        <v>43.316572960405537</v>
      </c>
      <c r="M359" s="27">
        <f>M358*(Presion_cilindro!O350/Presion_cilindro!O351)^Presion_cilindro!$B$9+10*(Presion_cilindro!$B$9-1)*Presion_cilindro!$B$33*(IF(Presion_cilindro!N351&gt;(-M$4+Presion_cilindro!$B$34),1-EXP(-Presion_cilindro!$B$16*((Presion_cilindro!N351-(-M$4+Presion_cilindro!$B$34))/Presion_cilindro!$B$35)^(Presion_cilindro!$B$17+1)),0)-IF(Presion_cilindro!N350&gt;(-M$4+Presion_cilindro!$B$34),1-EXP(-Presion_cilindro!$B$16*((Presion_cilindro!N350-(-M$4+Presion_cilindro!$B$34))/Presion_cilindro!$B$35)^(Presion_cilindro!$B$17+1)),0))/((Presion_cilindro!O350+Presion_cilindro!O351)/2)</f>
        <v>47.122505351113844</v>
      </c>
      <c r="N359" s="27">
        <f>N358*(Presion_cilindro!O350/Presion_cilindro!O351)^Presion_cilindro!$B$9+10*(Presion_cilindro!$B$9-1)*Presion_cilindro!$B$33*(IF(Presion_cilindro!N351&gt;(-N$4+Presion_cilindro!$B$34),1-EXP(-Presion_cilindro!$B$16*((Presion_cilindro!N351-(-N$4+Presion_cilindro!$B$34))/Presion_cilindro!$B$35)^(Presion_cilindro!$B$17+1)),0)-IF(Presion_cilindro!N350&gt;(-N$4+Presion_cilindro!$B$34),1-EXP(-Presion_cilindro!$B$16*((Presion_cilindro!N350-(-N$4+Presion_cilindro!$B$34))/Presion_cilindro!$B$35)^(Presion_cilindro!$B$17+1)),0))/((Presion_cilindro!O350+Presion_cilindro!O351)/2)</f>
        <v>49.711571548109269</v>
      </c>
    </row>
    <row r="360" spans="1:14" x14ac:dyDescent="0.25">
      <c r="A360" s="21">
        <f>Presion_cilindro!N352</f>
        <v>-6</v>
      </c>
      <c r="B360" s="27">
        <f>B359*(Presion_cilindro!O351/Presion_cilindro!O352)^Presion_cilindro!$B$9+10*(Presion_cilindro!$B$9-1)*Presion_cilindro!$B$33*(IF(Presion_cilindro!N352&gt;(-B$4+Presion_cilindro!$B$34),1-EXP(-Presion_cilindro!$B$16*((Presion_cilindro!N352-(-B$4+Presion_cilindro!$B$34))/Presion_cilindro!$B$35)^(Presion_cilindro!$B$17+1)),0)-IF(Presion_cilindro!N351&gt;(-B$4+Presion_cilindro!$B$34),1-EXP(-Presion_cilindro!$B$16*((Presion_cilindro!N351-(-B$4+Presion_cilindro!$B$34))/Presion_cilindro!$B$35)^(Presion_cilindro!$B$17+1)),0))/((Presion_cilindro!O351+Presion_cilindro!O352)/2)</f>
        <v>14.767918869536354</v>
      </c>
      <c r="C360" s="27">
        <f>C359*(Presion_cilindro!O351/Presion_cilindro!O352)^Presion_cilindro!$B$9+10*(Presion_cilindro!$B$9-1)*Presion_cilindro!$B$33*(IF(Presion_cilindro!N352&gt;(-C$4+Presion_cilindro!$B$34),1-EXP(-Presion_cilindro!$B$16*((Presion_cilindro!N352-(-C$4+Presion_cilindro!$B$34))/Presion_cilindro!$B$35)^(Presion_cilindro!$B$17+1)),0)-IF(Presion_cilindro!N351&gt;(-C$4+Presion_cilindro!$B$34),1-EXP(-Presion_cilindro!$B$16*((Presion_cilindro!N351-(-C$4+Presion_cilindro!$B$34))/Presion_cilindro!$B$35)^(Presion_cilindro!$B$17+1)),0))/((Presion_cilindro!O351+Presion_cilindro!O352)/2)</f>
        <v>14.767918869536354</v>
      </c>
      <c r="D360" s="27">
        <f>D359*(Presion_cilindro!O351/Presion_cilindro!O352)^Presion_cilindro!$B$9+10*(Presion_cilindro!$B$9-1)*Presion_cilindro!$B$33*(IF(Presion_cilindro!N352&gt;(-D$4+Presion_cilindro!$B$34),1-EXP(-Presion_cilindro!$B$16*((Presion_cilindro!N352-(-D$4+Presion_cilindro!$B$34))/Presion_cilindro!$B$35)^(Presion_cilindro!$B$17+1)),0)-IF(Presion_cilindro!N351&gt;(-D$4+Presion_cilindro!$B$34),1-EXP(-Presion_cilindro!$B$16*((Presion_cilindro!N351-(-D$4+Presion_cilindro!$B$34))/Presion_cilindro!$B$35)^(Presion_cilindro!$B$17+1)),0))/((Presion_cilindro!O351+Presion_cilindro!O352)/2)</f>
        <v>14.767918869536354</v>
      </c>
      <c r="E360" s="27">
        <f>E359*(Presion_cilindro!O351/Presion_cilindro!O352)^Presion_cilindro!$B$9+10*(Presion_cilindro!$B$9-1)*Presion_cilindro!$B$33*(IF(Presion_cilindro!N352&gt;(-E$4+Presion_cilindro!$B$34),1-EXP(-Presion_cilindro!$B$16*((Presion_cilindro!N352-(-E$4+Presion_cilindro!$B$34))/Presion_cilindro!$B$35)^(Presion_cilindro!$B$17+1)),0)-IF(Presion_cilindro!N351&gt;(-E$4+Presion_cilindro!$B$34),1-EXP(-Presion_cilindro!$B$16*((Presion_cilindro!N351-(-E$4+Presion_cilindro!$B$34))/Presion_cilindro!$B$35)^(Presion_cilindro!$B$17+1)),0))/((Presion_cilindro!O351+Presion_cilindro!O352)/2)</f>
        <v>14.77529671731935</v>
      </c>
      <c r="F360" s="27">
        <f>F359*(Presion_cilindro!O351/Presion_cilindro!O352)^Presion_cilindro!$B$9+10*(Presion_cilindro!$B$9-1)*Presion_cilindro!$B$33*(IF(Presion_cilindro!N352&gt;(-F$4+Presion_cilindro!$B$34),1-EXP(-Presion_cilindro!$B$16*((Presion_cilindro!N352-(-F$4+Presion_cilindro!$B$34))/Presion_cilindro!$B$35)^(Presion_cilindro!$B$17+1)),0)-IF(Presion_cilindro!N351&gt;(-F$4+Presion_cilindro!$B$34),1-EXP(-Presion_cilindro!$B$16*((Presion_cilindro!N351-(-F$4+Presion_cilindro!$B$34))/Presion_cilindro!$B$35)^(Presion_cilindro!$B$17+1)),0))/((Presion_cilindro!O351+Presion_cilindro!O352)/2)</f>
        <v>15.165026030590111</v>
      </c>
      <c r="G360" s="27">
        <f>G359*(Presion_cilindro!O351/Presion_cilindro!O352)^Presion_cilindro!$B$9+10*(Presion_cilindro!$B$9-1)*Presion_cilindro!$B$33*(IF(Presion_cilindro!N352&gt;(-G$4+Presion_cilindro!$B$34),1-EXP(-Presion_cilindro!$B$16*((Presion_cilindro!N352-(-G$4+Presion_cilindro!$B$34))/Presion_cilindro!$B$35)^(Presion_cilindro!$B$17+1)),0)-IF(Presion_cilindro!N351&gt;(-G$4+Presion_cilindro!$B$34),1-EXP(-Presion_cilindro!$B$16*((Presion_cilindro!N351-(-G$4+Presion_cilindro!$B$34))/Presion_cilindro!$B$35)^(Presion_cilindro!$B$17+1)),0))/((Presion_cilindro!O351+Presion_cilindro!O352)/2)</f>
        <v>16.799905676410113</v>
      </c>
      <c r="H360" s="27">
        <f>H359*(Presion_cilindro!O351/Presion_cilindro!O352)^Presion_cilindro!$B$9+10*(Presion_cilindro!$B$9-1)*Presion_cilindro!$B$33*(IF(Presion_cilindro!N352&gt;(-H$4+Presion_cilindro!$B$34),1-EXP(-Presion_cilindro!$B$16*((Presion_cilindro!N352-(-H$4+Presion_cilindro!$B$34))/Presion_cilindro!$B$35)^(Presion_cilindro!$B$17+1)),0)-IF(Presion_cilindro!N351&gt;(-H$4+Presion_cilindro!$B$34),1-EXP(-Presion_cilindro!$B$16*((Presion_cilindro!N351-(-H$4+Presion_cilindro!$B$34))/Presion_cilindro!$B$35)^(Presion_cilindro!$B$17+1)),0))/((Presion_cilindro!O351+Presion_cilindro!O352)/2)</f>
        <v>20.321625755899269</v>
      </c>
      <c r="I360" s="27">
        <f>I359*(Presion_cilindro!O351/Presion_cilindro!O352)^Presion_cilindro!$B$9+10*(Presion_cilindro!$B$9-1)*Presion_cilindro!$B$33*(IF(Presion_cilindro!N352&gt;(-I$4+Presion_cilindro!$B$34),1-EXP(-Presion_cilindro!$B$16*((Presion_cilindro!N352-(-I$4+Presion_cilindro!$B$34))/Presion_cilindro!$B$35)^(Presion_cilindro!$B$17+1)),0)-IF(Presion_cilindro!N351&gt;(-I$4+Presion_cilindro!$B$34),1-EXP(-Presion_cilindro!$B$16*((Presion_cilindro!N351-(-I$4+Presion_cilindro!$B$34))/Presion_cilindro!$B$35)^(Presion_cilindro!$B$17+1)),0))/((Presion_cilindro!O351+Presion_cilindro!O352)/2)</f>
        <v>25.756039083655278</v>
      </c>
      <c r="J360" s="27">
        <f>J359*(Presion_cilindro!O351/Presion_cilindro!O352)^Presion_cilindro!$B$9+10*(Presion_cilindro!$B$9-1)*Presion_cilindro!$B$33*(IF(Presion_cilindro!N352&gt;(-J$4+Presion_cilindro!$B$34),1-EXP(-Presion_cilindro!$B$16*((Presion_cilindro!N352-(-J$4+Presion_cilindro!$B$34))/Presion_cilindro!$B$35)^(Presion_cilindro!$B$17+1)),0)-IF(Presion_cilindro!N351&gt;(-J$4+Presion_cilindro!$B$34),1-EXP(-Presion_cilindro!$B$16*((Presion_cilindro!N351-(-J$4+Presion_cilindro!$B$34))/Presion_cilindro!$B$35)^(Presion_cilindro!$B$17+1)),0))/((Presion_cilindro!O351+Presion_cilindro!O352)/2)</f>
        <v>32.328181332375152</v>
      </c>
      <c r="K360" s="27">
        <f>K359*(Presion_cilindro!O351/Presion_cilindro!O352)^Presion_cilindro!$B$9+10*(Presion_cilindro!$B$9-1)*Presion_cilindro!$B$33*(IF(Presion_cilindro!N352&gt;(-K$4+Presion_cilindro!$B$34),1-EXP(-Presion_cilindro!$B$16*((Presion_cilindro!N352-(-K$4+Presion_cilindro!$B$34))/Presion_cilindro!$B$35)^(Presion_cilindro!$B$17+1)),0)-IF(Presion_cilindro!N351&gt;(-K$4+Presion_cilindro!$B$34),1-EXP(-Presion_cilindro!$B$16*((Presion_cilindro!N351-(-K$4+Presion_cilindro!$B$34))/Presion_cilindro!$B$35)^(Presion_cilindro!$B$17+1)),0))/((Presion_cilindro!O351+Presion_cilindro!O352)/2)</f>
        <v>38.758343338613059</v>
      </c>
      <c r="L360" s="27">
        <f>L359*(Presion_cilindro!O351/Presion_cilindro!O352)^Presion_cilindro!$B$9+10*(Presion_cilindro!$B$9-1)*Presion_cilindro!$B$33*(IF(Presion_cilindro!N352&gt;(-L$4+Presion_cilindro!$B$34),1-EXP(-Presion_cilindro!$B$16*((Presion_cilindro!N352-(-L$4+Presion_cilindro!$B$34))/Presion_cilindro!$B$35)^(Presion_cilindro!$B$17+1)),0)-IF(Presion_cilindro!N351&gt;(-L$4+Presion_cilindro!$B$34),1-EXP(-Presion_cilindro!$B$16*((Presion_cilindro!N351-(-L$4+Presion_cilindro!$B$34))/Presion_cilindro!$B$35)^(Presion_cilindro!$B$17+1)),0))/((Presion_cilindro!O351+Presion_cilindro!O352)/2)</f>
        <v>43.966032222644444</v>
      </c>
      <c r="M360" s="27">
        <f>M359*(Presion_cilindro!O351/Presion_cilindro!O352)^Presion_cilindro!$B$9+10*(Presion_cilindro!$B$9-1)*Presion_cilindro!$B$33*(IF(Presion_cilindro!N352&gt;(-M$4+Presion_cilindro!$B$34),1-EXP(-Presion_cilindro!$B$16*((Presion_cilindro!N352-(-M$4+Presion_cilindro!$B$34))/Presion_cilindro!$B$35)^(Presion_cilindro!$B$17+1)),0)-IF(Presion_cilindro!N351&gt;(-M$4+Presion_cilindro!$B$34),1-EXP(-Presion_cilindro!$B$16*((Presion_cilindro!N351-(-M$4+Presion_cilindro!$B$34))/Presion_cilindro!$B$35)^(Presion_cilindro!$B$17+1)),0))/((Presion_cilindro!O351+Presion_cilindro!O352)/2)</f>
        <v>47.629543000590722</v>
      </c>
      <c r="N360" s="27">
        <f>N359*(Presion_cilindro!O351/Presion_cilindro!O352)^Presion_cilindro!$B$9+10*(Presion_cilindro!$B$9-1)*Presion_cilindro!$B$33*(IF(Presion_cilindro!N352&gt;(-N$4+Presion_cilindro!$B$34),1-EXP(-Presion_cilindro!$B$16*((Presion_cilindro!N352-(-N$4+Presion_cilindro!$B$34))/Presion_cilindro!$B$35)^(Presion_cilindro!$B$17+1)),0)-IF(Presion_cilindro!N351&gt;(-N$4+Presion_cilindro!$B$34),1-EXP(-Presion_cilindro!$B$16*((Presion_cilindro!N351-(-N$4+Presion_cilindro!$B$34))/Presion_cilindro!$B$35)^(Presion_cilindro!$B$17+1)),0))/((Presion_cilindro!O351+Presion_cilindro!O352)/2)</f>
        <v>50.129618545765183</v>
      </c>
    </row>
    <row r="361" spans="1:14" x14ac:dyDescent="0.25">
      <c r="A361" s="21">
        <f>Presion_cilindro!N353</f>
        <v>-5.5</v>
      </c>
      <c r="B361" s="27">
        <f>B360*(Presion_cilindro!O352/Presion_cilindro!O353)^Presion_cilindro!$B$9+10*(Presion_cilindro!$B$9-1)*Presion_cilindro!$B$33*(IF(Presion_cilindro!N353&gt;(-B$4+Presion_cilindro!$B$34),1-EXP(-Presion_cilindro!$B$16*((Presion_cilindro!N353-(-B$4+Presion_cilindro!$B$34))/Presion_cilindro!$B$35)^(Presion_cilindro!$B$17+1)),0)-IF(Presion_cilindro!N352&gt;(-B$4+Presion_cilindro!$B$34),1-EXP(-Presion_cilindro!$B$16*((Presion_cilindro!N352-(-B$4+Presion_cilindro!$B$34))/Presion_cilindro!$B$35)^(Presion_cilindro!$B$17+1)),0))/((Presion_cilindro!O352+Presion_cilindro!O353)/2)</f>
        <v>14.864676109755639</v>
      </c>
      <c r="C361" s="27">
        <f>C360*(Presion_cilindro!O352/Presion_cilindro!O353)^Presion_cilindro!$B$9+10*(Presion_cilindro!$B$9-1)*Presion_cilindro!$B$33*(IF(Presion_cilindro!N353&gt;(-C$4+Presion_cilindro!$B$34),1-EXP(-Presion_cilindro!$B$16*((Presion_cilindro!N353-(-C$4+Presion_cilindro!$B$34))/Presion_cilindro!$B$35)^(Presion_cilindro!$B$17+1)),0)-IF(Presion_cilindro!N352&gt;(-C$4+Presion_cilindro!$B$34),1-EXP(-Presion_cilindro!$B$16*((Presion_cilindro!N352-(-C$4+Presion_cilindro!$B$34))/Presion_cilindro!$B$35)^(Presion_cilindro!$B$17+1)),0))/((Presion_cilindro!O352+Presion_cilindro!O353)/2)</f>
        <v>14.864676109755639</v>
      </c>
      <c r="D361" s="27">
        <f>D360*(Presion_cilindro!O352/Presion_cilindro!O353)^Presion_cilindro!$B$9+10*(Presion_cilindro!$B$9-1)*Presion_cilindro!$B$33*(IF(Presion_cilindro!N353&gt;(-D$4+Presion_cilindro!$B$34),1-EXP(-Presion_cilindro!$B$16*((Presion_cilindro!N353-(-D$4+Presion_cilindro!$B$34))/Presion_cilindro!$B$35)^(Presion_cilindro!$B$17+1)),0)-IF(Presion_cilindro!N352&gt;(-D$4+Presion_cilindro!$B$34),1-EXP(-Presion_cilindro!$B$16*((Presion_cilindro!N352-(-D$4+Presion_cilindro!$B$34))/Presion_cilindro!$B$35)^(Presion_cilindro!$B$17+1)),0))/((Presion_cilindro!O352+Presion_cilindro!O353)/2)</f>
        <v>14.864676109755639</v>
      </c>
      <c r="E361" s="27">
        <f>E360*(Presion_cilindro!O352/Presion_cilindro!O353)^Presion_cilindro!$B$9+10*(Presion_cilindro!$B$9-1)*Presion_cilindro!$B$33*(IF(Presion_cilindro!N353&gt;(-E$4+Presion_cilindro!$B$34),1-EXP(-Presion_cilindro!$B$16*((Presion_cilindro!N353-(-E$4+Presion_cilindro!$B$34))/Presion_cilindro!$B$35)^(Presion_cilindro!$B$17+1)),0)-IF(Presion_cilindro!N352&gt;(-E$4+Presion_cilindro!$B$34),1-EXP(-Presion_cilindro!$B$16*((Presion_cilindro!N352-(-E$4+Presion_cilindro!$B$34))/Presion_cilindro!$B$35)^(Presion_cilindro!$B$17+1)),0))/((Presion_cilindro!O352+Presion_cilindro!O353)/2)</f>
        <v>14.880149529636165</v>
      </c>
      <c r="F361" s="27">
        <f>F360*(Presion_cilindro!O352/Presion_cilindro!O353)^Presion_cilindro!$B$9+10*(Presion_cilindro!$B$9-1)*Presion_cilindro!$B$33*(IF(Presion_cilindro!N353&gt;(-F$4+Presion_cilindro!$B$34),1-EXP(-Presion_cilindro!$B$16*((Presion_cilindro!N353-(-F$4+Presion_cilindro!$B$34))/Presion_cilindro!$B$35)^(Presion_cilindro!$B$17+1)),0)-IF(Presion_cilindro!N352&gt;(-F$4+Presion_cilindro!$B$34),1-EXP(-Presion_cilindro!$B$16*((Presion_cilindro!N352-(-F$4+Presion_cilindro!$B$34))/Presion_cilindro!$B$35)^(Presion_cilindro!$B$17+1)),0))/((Presion_cilindro!O352+Presion_cilindro!O353)/2)</f>
        <v>15.357807819436594</v>
      </c>
      <c r="G361" s="27">
        <f>G360*(Presion_cilindro!O352/Presion_cilindro!O353)^Presion_cilindro!$B$9+10*(Presion_cilindro!$B$9-1)*Presion_cilindro!$B$33*(IF(Presion_cilindro!N353&gt;(-G$4+Presion_cilindro!$B$34),1-EXP(-Presion_cilindro!$B$16*((Presion_cilindro!N353-(-G$4+Presion_cilindro!$B$34))/Presion_cilindro!$B$35)^(Presion_cilindro!$B$17+1)),0)-IF(Presion_cilindro!N352&gt;(-G$4+Presion_cilindro!$B$34),1-EXP(-Presion_cilindro!$B$16*((Presion_cilindro!N352-(-G$4+Presion_cilindro!$B$34))/Presion_cilindro!$B$35)^(Presion_cilindro!$B$17+1)),0))/((Presion_cilindro!O352+Presion_cilindro!O353)/2)</f>
        <v>17.167615717745079</v>
      </c>
      <c r="H361" s="27">
        <f>H360*(Presion_cilindro!O352/Presion_cilindro!O353)^Presion_cilindro!$B$9+10*(Presion_cilindro!$B$9-1)*Presion_cilindro!$B$33*(IF(Presion_cilindro!N353&gt;(-H$4+Presion_cilindro!$B$34),1-EXP(-Presion_cilindro!$B$16*((Presion_cilindro!N353-(-H$4+Presion_cilindro!$B$34))/Presion_cilindro!$B$35)^(Presion_cilindro!$B$17+1)),0)-IF(Presion_cilindro!N352&gt;(-H$4+Presion_cilindro!$B$34),1-EXP(-Presion_cilindro!$B$16*((Presion_cilindro!N352-(-H$4+Presion_cilindro!$B$34))/Presion_cilindro!$B$35)^(Presion_cilindro!$B$17+1)),0))/((Presion_cilindro!O352+Presion_cilindro!O353)/2)</f>
        <v>20.907018801299827</v>
      </c>
      <c r="I361" s="27">
        <f>I360*(Presion_cilindro!O352/Presion_cilindro!O353)^Presion_cilindro!$B$9+10*(Presion_cilindro!$B$9-1)*Presion_cilindro!$B$33*(IF(Presion_cilindro!N353&gt;(-I$4+Presion_cilindro!$B$34),1-EXP(-Presion_cilindro!$B$16*((Presion_cilindro!N353-(-I$4+Presion_cilindro!$B$34))/Presion_cilindro!$B$35)^(Presion_cilindro!$B$17+1)),0)-IF(Presion_cilindro!N352&gt;(-I$4+Presion_cilindro!$B$34),1-EXP(-Presion_cilindro!$B$16*((Presion_cilindro!N352-(-I$4+Presion_cilindro!$B$34))/Presion_cilindro!$B$35)^(Presion_cilindro!$B$17+1)),0))/((Presion_cilindro!O352+Presion_cilindro!O353)/2)</f>
        <v>26.522028759077962</v>
      </c>
      <c r="J361" s="27">
        <f>J360*(Presion_cilindro!O352/Presion_cilindro!O353)^Presion_cilindro!$B$9+10*(Presion_cilindro!$B$9-1)*Presion_cilindro!$B$33*(IF(Presion_cilindro!N353&gt;(-J$4+Presion_cilindro!$B$34),1-EXP(-Presion_cilindro!$B$16*((Presion_cilindro!N353-(-J$4+Presion_cilindro!$B$34))/Presion_cilindro!$B$35)^(Presion_cilindro!$B$17+1)),0)-IF(Presion_cilindro!N352&gt;(-J$4+Presion_cilindro!$B$34),1-EXP(-Presion_cilindro!$B$16*((Presion_cilindro!N352-(-J$4+Presion_cilindro!$B$34))/Presion_cilindro!$B$35)^(Presion_cilindro!$B$17+1)),0))/((Presion_cilindro!O352+Presion_cilindro!O353)/2)</f>
        <v>33.159755784292095</v>
      </c>
      <c r="K361" s="27">
        <f>K360*(Presion_cilindro!O352/Presion_cilindro!O353)^Presion_cilindro!$B$9+10*(Presion_cilindro!$B$9-1)*Presion_cilindro!$B$33*(IF(Presion_cilindro!N353&gt;(-K$4+Presion_cilindro!$B$34),1-EXP(-Presion_cilindro!$B$16*((Presion_cilindro!N353-(-K$4+Presion_cilindro!$B$34))/Presion_cilindro!$B$35)^(Presion_cilindro!$B$17+1)),0)-IF(Presion_cilindro!N352&gt;(-K$4+Presion_cilindro!$B$34),1-EXP(-Presion_cilindro!$B$16*((Presion_cilindro!N352-(-K$4+Presion_cilindro!$B$34))/Presion_cilindro!$B$35)^(Presion_cilindro!$B$17+1)),0))/((Presion_cilindro!O352+Presion_cilindro!O353)/2)</f>
        <v>39.520350602245585</v>
      </c>
      <c r="L361" s="27">
        <f>L360*(Presion_cilindro!O352/Presion_cilindro!O353)^Presion_cilindro!$B$9+10*(Presion_cilindro!$B$9-1)*Presion_cilindro!$B$33*(IF(Presion_cilindro!N353&gt;(-L$4+Presion_cilindro!$B$34),1-EXP(-Presion_cilindro!$B$16*((Presion_cilindro!N353-(-L$4+Presion_cilindro!$B$34))/Presion_cilindro!$B$35)^(Presion_cilindro!$B$17+1)),0)-IF(Presion_cilindro!N352&gt;(-L$4+Presion_cilindro!$B$34),1-EXP(-Presion_cilindro!$B$16*((Presion_cilindro!N352-(-L$4+Presion_cilindro!$B$34))/Presion_cilindro!$B$35)^(Presion_cilindro!$B$17+1)),0))/((Presion_cilindro!O352+Presion_cilindro!O353)/2)</f>
        <v>44.579693010328597</v>
      </c>
      <c r="M361" s="27">
        <f>M360*(Presion_cilindro!O352/Presion_cilindro!O353)^Presion_cilindro!$B$9+10*(Presion_cilindro!$B$9-1)*Presion_cilindro!$B$33*(IF(Presion_cilindro!N353&gt;(-M$4+Presion_cilindro!$B$34),1-EXP(-Presion_cilindro!$B$16*((Presion_cilindro!N353-(-M$4+Presion_cilindro!$B$34))/Presion_cilindro!$B$35)^(Presion_cilindro!$B$17+1)),0)-IF(Presion_cilindro!N352&gt;(-M$4+Presion_cilindro!$B$34),1-EXP(-Presion_cilindro!$B$16*((Presion_cilindro!N352-(-M$4+Presion_cilindro!$B$34))/Presion_cilindro!$B$35)^(Presion_cilindro!$B$17+1)),0))/((Presion_cilindro!O352+Presion_cilindro!O353)/2)</f>
        <v>48.101788142018144</v>
      </c>
      <c r="N361" s="27">
        <f>N360*(Presion_cilindro!O352/Presion_cilindro!O353)^Presion_cilindro!$B$9+10*(Presion_cilindro!$B$9-1)*Presion_cilindro!$B$33*(IF(Presion_cilindro!N353&gt;(-N$4+Presion_cilindro!$B$34),1-EXP(-Presion_cilindro!$B$16*((Presion_cilindro!N353-(-N$4+Presion_cilindro!$B$34))/Presion_cilindro!$B$35)^(Presion_cilindro!$B$17+1)),0)-IF(Presion_cilindro!N352&gt;(-N$4+Presion_cilindro!$B$34),1-EXP(-Presion_cilindro!$B$16*((Presion_cilindro!N352-(-N$4+Presion_cilindro!$B$34))/Presion_cilindro!$B$35)^(Presion_cilindro!$B$17+1)),0))/((Presion_cilindro!O352+Presion_cilindro!O353)/2)</f>
        <v>50.517212750838141</v>
      </c>
    </row>
    <row r="362" spans="1:14" x14ac:dyDescent="0.25">
      <c r="A362" s="21">
        <f>Presion_cilindro!N354</f>
        <v>-5</v>
      </c>
      <c r="B362" s="27">
        <f>B361*(Presion_cilindro!O353/Presion_cilindro!O354)^Presion_cilindro!$B$9+10*(Presion_cilindro!$B$9-1)*Presion_cilindro!$B$33*(IF(Presion_cilindro!N354&gt;(-B$4+Presion_cilindro!$B$34),1-EXP(-Presion_cilindro!$B$16*((Presion_cilindro!N354-(-B$4+Presion_cilindro!$B$34))/Presion_cilindro!$B$35)^(Presion_cilindro!$B$17+1)),0)-IF(Presion_cilindro!N353&gt;(-B$4+Presion_cilindro!$B$34),1-EXP(-Presion_cilindro!$B$16*((Presion_cilindro!N353-(-B$4+Presion_cilindro!$B$34))/Presion_cilindro!$B$35)^(Presion_cilindro!$B$17+1)),0))/((Presion_cilindro!O353+Presion_cilindro!O354)/2)</f>
        <v>14.954034392170891</v>
      </c>
      <c r="C362" s="27">
        <f>C361*(Presion_cilindro!O353/Presion_cilindro!O354)^Presion_cilindro!$B$9+10*(Presion_cilindro!$B$9-1)*Presion_cilindro!$B$33*(IF(Presion_cilindro!N354&gt;(-C$4+Presion_cilindro!$B$34),1-EXP(-Presion_cilindro!$B$16*((Presion_cilindro!N354-(-C$4+Presion_cilindro!$B$34))/Presion_cilindro!$B$35)^(Presion_cilindro!$B$17+1)),0)-IF(Presion_cilindro!N353&gt;(-C$4+Presion_cilindro!$B$34),1-EXP(-Presion_cilindro!$B$16*((Presion_cilindro!N353-(-C$4+Presion_cilindro!$B$34))/Presion_cilindro!$B$35)^(Presion_cilindro!$B$17+1)),0))/((Presion_cilindro!O353+Presion_cilindro!O354)/2)</f>
        <v>14.954034392170891</v>
      </c>
      <c r="D362" s="27">
        <f>D361*(Presion_cilindro!O353/Presion_cilindro!O354)^Presion_cilindro!$B$9+10*(Presion_cilindro!$B$9-1)*Presion_cilindro!$B$33*(IF(Presion_cilindro!N354&gt;(-D$4+Presion_cilindro!$B$34),1-EXP(-Presion_cilindro!$B$16*((Presion_cilindro!N354-(-D$4+Presion_cilindro!$B$34))/Presion_cilindro!$B$35)^(Presion_cilindro!$B$17+1)),0)-IF(Presion_cilindro!N353&gt;(-D$4+Presion_cilindro!$B$34),1-EXP(-Presion_cilindro!$B$16*((Presion_cilindro!N353-(-D$4+Presion_cilindro!$B$34))/Presion_cilindro!$B$35)^(Presion_cilindro!$B$17+1)),0))/((Presion_cilindro!O353+Presion_cilindro!O354)/2)</f>
        <v>14.954034392170891</v>
      </c>
      <c r="E362" s="27">
        <f>E361*(Presion_cilindro!O353/Presion_cilindro!O354)^Presion_cilindro!$B$9+10*(Presion_cilindro!$B$9-1)*Presion_cilindro!$B$33*(IF(Presion_cilindro!N354&gt;(-E$4+Presion_cilindro!$B$34),1-EXP(-Presion_cilindro!$B$16*((Presion_cilindro!N354-(-E$4+Presion_cilindro!$B$34))/Presion_cilindro!$B$35)^(Presion_cilindro!$B$17+1)),0)-IF(Presion_cilindro!N353&gt;(-E$4+Presion_cilindro!$B$34),1-EXP(-Presion_cilindro!$B$16*((Presion_cilindro!N353-(-E$4+Presion_cilindro!$B$34))/Presion_cilindro!$B$35)^(Presion_cilindro!$B$17+1)),0))/((Presion_cilindro!O353+Presion_cilindro!O354)/2)</f>
        <v>14.982085076909867</v>
      </c>
      <c r="F362" s="27">
        <f>F361*(Presion_cilindro!O353/Presion_cilindro!O354)^Presion_cilindro!$B$9+10*(Presion_cilindro!$B$9-1)*Presion_cilindro!$B$33*(IF(Presion_cilindro!N354&gt;(-F$4+Presion_cilindro!$B$34),1-EXP(-Presion_cilindro!$B$16*((Presion_cilindro!N354-(-F$4+Presion_cilindro!$B$34))/Presion_cilindro!$B$35)^(Presion_cilindro!$B$17+1)),0)-IF(Presion_cilindro!N353&gt;(-F$4+Presion_cilindro!$B$34),1-EXP(-Presion_cilindro!$B$16*((Presion_cilindro!N353-(-F$4+Presion_cilindro!$B$34))/Presion_cilindro!$B$35)^(Presion_cilindro!$B$17+1)),0))/((Presion_cilindro!O353+Presion_cilindro!O354)/2)</f>
        <v>15.557422055680284</v>
      </c>
      <c r="G362" s="27">
        <f>G361*(Presion_cilindro!O353/Presion_cilindro!O354)^Presion_cilindro!$B$9+10*(Presion_cilindro!$B$9-1)*Presion_cilindro!$B$33*(IF(Presion_cilindro!N354&gt;(-G$4+Presion_cilindro!$B$34),1-EXP(-Presion_cilindro!$B$16*((Presion_cilindro!N354-(-G$4+Presion_cilindro!$B$34))/Presion_cilindro!$B$35)^(Presion_cilindro!$B$17+1)),0)-IF(Presion_cilindro!N353&gt;(-G$4+Presion_cilindro!$B$34),1-EXP(-Presion_cilindro!$B$16*((Presion_cilindro!N353-(-G$4+Presion_cilindro!$B$34))/Presion_cilindro!$B$35)^(Presion_cilindro!$B$17+1)),0))/((Presion_cilindro!O353+Presion_cilindro!O354)/2)</f>
        <v>17.548997794040407</v>
      </c>
      <c r="H362" s="27">
        <f>H361*(Presion_cilindro!O353/Presion_cilindro!O354)^Presion_cilindro!$B$9+10*(Presion_cilindro!$B$9-1)*Presion_cilindro!$B$33*(IF(Presion_cilindro!N354&gt;(-H$4+Presion_cilindro!$B$34),1-EXP(-Presion_cilindro!$B$16*((Presion_cilindro!N354-(-H$4+Presion_cilindro!$B$34))/Presion_cilindro!$B$35)^(Presion_cilindro!$B$17+1)),0)-IF(Presion_cilindro!N353&gt;(-H$4+Presion_cilindro!$B$34),1-EXP(-Presion_cilindro!$B$16*((Presion_cilindro!N353-(-H$4+Presion_cilindro!$B$34))/Presion_cilindro!$B$35)^(Presion_cilindro!$B$17+1)),0))/((Presion_cilindro!O353+Presion_cilindro!O354)/2)</f>
        <v>21.505345842391968</v>
      </c>
      <c r="I362" s="27">
        <f>I361*(Presion_cilindro!O353/Presion_cilindro!O354)^Presion_cilindro!$B$9+10*(Presion_cilindro!$B$9-1)*Presion_cilindro!$B$33*(IF(Presion_cilindro!N354&gt;(-I$4+Presion_cilindro!$B$34),1-EXP(-Presion_cilindro!$B$16*((Presion_cilindro!N354-(-I$4+Presion_cilindro!$B$34))/Presion_cilindro!$B$35)^(Presion_cilindro!$B$17+1)),0)-IF(Presion_cilindro!N353&gt;(-I$4+Presion_cilindro!$B$34),1-EXP(-Presion_cilindro!$B$16*((Presion_cilindro!N353-(-I$4+Presion_cilindro!$B$34))/Presion_cilindro!$B$35)^(Presion_cilindro!$B$17+1)),0))/((Presion_cilindro!O353+Presion_cilindro!O354)/2)</f>
        <v>27.290151470232409</v>
      </c>
      <c r="J362" s="27">
        <f>J361*(Presion_cilindro!O353/Presion_cilindro!O354)^Presion_cilindro!$B$9+10*(Presion_cilindro!$B$9-1)*Presion_cilindro!$B$33*(IF(Presion_cilindro!N354&gt;(-J$4+Presion_cilindro!$B$34),1-EXP(-Presion_cilindro!$B$16*((Presion_cilindro!N354-(-J$4+Presion_cilindro!$B$34))/Presion_cilindro!$B$35)^(Presion_cilindro!$B$17+1)),0)-IF(Presion_cilindro!N353&gt;(-J$4+Presion_cilindro!$B$34),1-EXP(-Presion_cilindro!$B$16*((Presion_cilindro!N353-(-J$4+Presion_cilindro!$B$34))/Presion_cilindro!$B$35)^(Presion_cilindro!$B$17+1)),0))/((Presion_cilindro!O353+Presion_cilindro!O354)/2)</f>
        <v>33.976096080918069</v>
      </c>
      <c r="K362" s="27">
        <f>K361*(Presion_cilindro!O353/Presion_cilindro!O354)^Presion_cilindro!$B$9+10*(Presion_cilindro!$B$9-1)*Presion_cilindro!$B$33*(IF(Presion_cilindro!N354&gt;(-K$4+Presion_cilindro!$B$34),1-EXP(-Presion_cilindro!$B$16*((Presion_cilindro!N354-(-K$4+Presion_cilindro!$B$34))/Presion_cilindro!$B$35)^(Presion_cilindro!$B$17+1)),0)-IF(Presion_cilindro!N353&gt;(-K$4+Presion_cilindro!$B$34),1-EXP(-Presion_cilindro!$B$16*((Presion_cilindro!N353-(-K$4+Presion_cilindro!$B$34))/Presion_cilindro!$B$35)^(Presion_cilindro!$B$17+1)),0))/((Presion_cilindro!O353+Presion_cilindro!O354)/2)</f>
        <v>40.25174262826588</v>
      </c>
      <c r="L362" s="27">
        <f>L361*(Presion_cilindro!O353/Presion_cilindro!O354)^Presion_cilindro!$B$9+10*(Presion_cilindro!$B$9-1)*Presion_cilindro!$B$33*(IF(Presion_cilindro!N354&gt;(-L$4+Presion_cilindro!$B$34),1-EXP(-Presion_cilindro!$B$16*((Presion_cilindro!N354-(-L$4+Presion_cilindro!$B$34))/Presion_cilindro!$B$35)^(Presion_cilindro!$B$17+1)),0)-IF(Presion_cilindro!N353&gt;(-L$4+Presion_cilindro!$B$34),1-EXP(-Presion_cilindro!$B$16*((Presion_cilindro!N353-(-L$4+Presion_cilindro!$B$34))/Presion_cilindro!$B$35)^(Presion_cilindro!$B$17+1)),0))/((Presion_cilindro!O353+Presion_cilindro!O354)/2)</f>
        <v>45.156172279869303</v>
      </c>
      <c r="M362" s="27">
        <f>M361*(Presion_cilindro!O353/Presion_cilindro!O354)^Presion_cilindro!$B$9+10*(Presion_cilindro!$B$9-1)*Presion_cilindro!$B$33*(IF(Presion_cilindro!N354&gt;(-M$4+Presion_cilindro!$B$34),1-EXP(-Presion_cilindro!$B$16*((Presion_cilindro!N354-(-M$4+Presion_cilindro!$B$34))/Presion_cilindro!$B$35)^(Presion_cilindro!$B$17+1)),0)-IF(Presion_cilindro!N353&gt;(-M$4+Presion_cilindro!$B$34),1-EXP(-Presion_cilindro!$B$16*((Presion_cilindro!N353-(-M$4+Presion_cilindro!$B$34))/Presion_cilindro!$B$35)^(Presion_cilindro!$B$17+1)),0))/((Presion_cilindro!O353+Presion_cilindro!O354)/2)</f>
        <v>48.538580059829123</v>
      </c>
      <c r="N362" s="27">
        <f>N361*(Presion_cilindro!O353/Presion_cilindro!O354)^Presion_cilindro!$B$9+10*(Presion_cilindro!$B$9-1)*Presion_cilindro!$B$33*(IF(Presion_cilindro!N354&gt;(-N$4+Presion_cilindro!$B$34),1-EXP(-Presion_cilindro!$B$16*((Presion_cilindro!N354-(-N$4+Presion_cilindro!$B$34))/Presion_cilindro!$B$35)^(Presion_cilindro!$B$17+1)),0)-IF(Presion_cilindro!N353&gt;(-N$4+Presion_cilindro!$B$34),1-EXP(-Presion_cilindro!$B$16*((Presion_cilindro!N353-(-N$4+Presion_cilindro!$B$34))/Presion_cilindro!$B$35)^(Presion_cilindro!$B$17+1)),0))/((Presion_cilindro!O353+Presion_cilindro!O354)/2)</f>
        <v>50.873798724642448</v>
      </c>
    </row>
    <row r="363" spans="1:14" x14ac:dyDescent="0.25">
      <c r="A363" s="21">
        <f>Presion_cilindro!N355</f>
        <v>-4.5</v>
      </c>
      <c r="B363" s="27">
        <f>B362*(Presion_cilindro!O354/Presion_cilindro!O355)^Presion_cilindro!$B$9+10*(Presion_cilindro!$B$9-1)*Presion_cilindro!$B$33*(IF(Presion_cilindro!N355&gt;(-B$4+Presion_cilindro!$B$34),1-EXP(-Presion_cilindro!$B$16*((Presion_cilindro!N355-(-B$4+Presion_cilindro!$B$34))/Presion_cilindro!$B$35)^(Presion_cilindro!$B$17+1)),0)-IF(Presion_cilindro!N354&gt;(-B$4+Presion_cilindro!$B$34),1-EXP(-Presion_cilindro!$B$16*((Presion_cilindro!N354-(-B$4+Presion_cilindro!$B$34))/Presion_cilindro!$B$35)^(Presion_cilindro!$B$17+1)),0))/((Presion_cilindro!O354+Presion_cilindro!O355)/2)</f>
        <v>15.035730149834537</v>
      </c>
      <c r="C363" s="27">
        <f>C362*(Presion_cilindro!O354/Presion_cilindro!O355)^Presion_cilindro!$B$9+10*(Presion_cilindro!$B$9-1)*Presion_cilindro!$B$33*(IF(Presion_cilindro!N355&gt;(-C$4+Presion_cilindro!$B$34),1-EXP(-Presion_cilindro!$B$16*((Presion_cilindro!N355-(-C$4+Presion_cilindro!$B$34))/Presion_cilindro!$B$35)^(Presion_cilindro!$B$17+1)),0)-IF(Presion_cilindro!N354&gt;(-C$4+Presion_cilindro!$B$34),1-EXP(-Presion_cilindro!$B$16*((Presion_cilindro!N354-(-C$4+Presion_cilindro!$B$34))/Presion_cilindro!$B$35)^(Presion_cilindro!$B$17+1)),0))/((Presion_cilindro!O354+Presion_cilindro!O355)/2)</f>
        <v>15.035730149834537</v>
      </c>
      <c r="D363" s="27">
        <f>D362*(Presion_cilindro!O354/Presion_cilindro!O355)^Presion_cilindro!$B$9+10*(Presion_cilindro!$B$9-1)*Presion_cilindro!$B$33*(IF(Presion_cilindro!N355&gt;(-D$4+Presion_cilindro!$B$34),1-EXP(-Presion_cilindro!$B$16*((Presion_cilindro!N355-(-D$4+Presion_cilindro!$B$34))/Presion_cilindro!$B$35)^(Presion_cilindro!$B$17+1)),0)-IF(Presion_cilindro!N354&gt;(-D$4+Presion_cilindro!$B$34),1-EXP(-Presion_cilindro!$B$16*((Presion_cilindro!N354-(-D$4+Presion_cilindro!$B$34))/Presion_cilindro!$B$35)^(Presion_cilindro!$B$17+1)),0))/((Presion_cilindro!O354+Presion_cilindro!O355)/2)</f>
        <v>15.035730149834537</v>
      </c>
      <c r="E363" s="27">
        <f>E362*(Presion_cilindro!O354/Presion_cilindro!O355)^Presion_cilindro!$B$9+10*(Presion_cilindro!$B$9-1)*Presion_cilindro!$B$33*(IF(Presion_cilindro!N355&gt;(-E$4+Presion_cilindro!$B$34),1-EXP(-Presion_cilindro!$B$16*((Presion_cilindro!N355-(-E$4+Presion_cilindro!$B$34))/Presion_cilindro!$B$35)^(Presion_cilindro!$B$17+1)),0)-IF(Presion_cilindro!N354&gt;(-E$4+Presion_cilindro!$B$34),1-EXP(-Presion_cilindro!$B$16*((Presion_cilindro!N354-(-E$4+Presion_cilindro!$B$34))/Presion_cilindro!$B$35)^(Presion_cilindro!$B$17+1)),0))/((Presion_cilindro!O354+Presion_cilindro!O355)/2)</f>
        <v>15.081845117402182</v>
      </c>
      <c r="F363" s="27">
        <f>F362*(Presion_cilindro!O354/Presion_cilindro!O355)^Presion_cilindro!$B$9+10*(Presion_cilindro!$B$9-1)*Presion_cilindro!$B$33*(IF(Presion_cilindro!N355&gt;(-F$4+Presion_cilindro!$B$34),1-EXP(-Presion_cilindro!$B$16*((Presion_cilindro!N355-(-F$4+Presion_cilindro!$B$34))/Presion_cilindro!$B$35)^(Presion_cilindro!$B$17+1)),0)-IF(Presion_cilindro!N354&gt;(-F$4+Presion_cilindro!$B$34),1-EXP(-Presion_cilindro!$B$16*((Presion_cilindro!N354-(-F$4+Presion_cilindro!$B$34))/Presion_cilindro!$B$35)^(Presion_cilindro!$B$17+1)),0))/((Presion_cilindro!O354+Presion_cilindro!O355)/2)</f>
        <v>15.764449708863133</v>
      </c>
      <c r="G363" s="27">
        <f>G362*(Presion_cilindro!O354/Presion_cilindro!O355)^Presion_cilindro!$B$9+10*(Presion_cilindro!$B$9-1)*Presion_cilindro!$B$33*(IF(Presion_cilindro!N355&gt;(-G$4+Presion_cilindro!$B$34),1-EXP(-Presion_cilindro!$B$16*((Presion_cilindro!N355-(-G$4+Presion_cilindro!$B$34))/Presion_cilindro!$B$35)^(Presion_cilindro!$B$17+1)),0)-IF(Presion_cilindro!N354&gt;(-G$4+Presion_cilindro!$B$34),1-EXP(-Presion_cilindro!$B$16*((Presion_cilindro!N354-(-G$4+Presion_cilindro!$B$34))/Presion_cilindro!$B$35)^(Presion_cilindro!$B$17+1)),0))/((Presion_cilindro!O354+Presion_cilindro!O355)/2)</f>
        <v>17.943922864349378</v>
      </c>
      <c r="H363" s="27">
        <f>H362*(Presion_cilindro!O354/Presion_cilindro!O355)^Presion_cilindro!$B$9+10*(Presion_cilindro!$B$9-1)*Presion_cilindro!$B$33*(IF(Presion_cilindro!N355&gt;(-H$4+Presion_cilindro!$B$34),1-EXP(-Presion_cilindro!$B$16*((Presion_cilindro!N355-(-H$4+Presion_cilindro!$B$34))/Presion_cilindro!$B$35)^(Presion_cilindro!$B$17+1)),0)-IF(Presion_cilindro!N354&gt;(-H$4+Presion_cilindro!$B$34),1-EXP(-Presion_cilindro!$B$16*((Presion_cilindro!N354-(-H$4+Presion_cilindro!$B$34))/Presion_cilindro!$B$35)^(Presion_cilindro!$B$17+1)),0))/((Presion_cilindro!O354+Presion_cilindro!O355)/2)</f>
        <v>22.115261026143489</v>
      </c>
      <c r="I363" s="27">
        <f>I362*(Presion_cilindro!O354/Presion_cilindro!O355)^Presion_cilindro!$B$9+10*(Presion_cilindro!$B$9-1)*Presion_cilindro!$B$33*(IF(Presion_cilindro!N355&gt;(-I$4+Presion_cilindro!$B$34),1-EXP(-Presion_cilindro!$B$16*((Presion_cilindro!N355-(-I$4+Presion_cilindro!$B$34))/Presion_cilindro!$B$35)^(Presion_cilindro!$B$17+1)),0)-IF(Presion_cilindro!N354&gt;(-I$4+Presion_cilindro!$B$34),1-EXP(-Presion_cilindro!$B$16*((Presion_cilindro!N354-(-I$4+Presion_cilindro!$B$34))/Presion_cilindro!$B$35)^(Presion_cilindro!$B$17+1)),0))/((Presion_cilindro!O354+Presion_cilindro!O355)/2)</f>
        <v>28.057874383298032</v>
      </c>
      <c r="J363" s="27">
        <f>J362*(Presion_cilindro!O354/Presion_cilindro!O355)^Presion_cilindro!$B$9+10*(Presion_cilindro!$B$9-1)*Presion_cilindro!$B$33*(IF(Presion_cilindro!N355&gt;(-J$4+Presion_cilindro!$B$34),1-EXP(-Presion_cilindro!$B$16*((Presion_cilindro!N355-(-J$4+Presion_cilindro!$B$34))/Presion_cilindro!$B$35)^(Presion_cilindro!$B$17+1)),0)-IF(Presion_cilindro!N354&gt;(-J$4+Presion_cilindro!$B$34),1-EXP(-Presion_cilindro!$B$16*((Presion_cilindro!N354-(-J$4+Presion_cilindro!$B$34))/Presion_cilindro!$B$35)^(Presion_cilindro!$B$17+1)),0))/((Presion_cilindro!O354+Presion_cilindro!O355)/2)</f>
        <v>34.774270988017655</v>
      </c>
      <c r="K363" s="27">
        <f>K362*(Presion_cilindro!O354/Presion_cilindro!O355)^Presion_cilindro!$B$9+10*(Presion_cilindro!$B$9-1)*Presion_cilindro!$B$33*(IF(Presion_cilindro!N355&gt;(-K$4+Presion_cilindro!$B$34),1-EXP(-Presion_cilindro!$B$16*((Presion_cilindro!N355-(-K$4+Presion_cilindro!$B$34))/Presion_cilindro!$B$35)^(Presion_cilindro!$B$17+1)),0)-IF(Presion_cilindro!N354&gt;(-K$4+Presion_cilindro!$B$34),1-EXP(-Presion_cilindro!$B$16*((Presion_cilindro!N354-(-K$4+Presion_cilindro!$B$34))/Presion_cilindro!$B$35)^(Presion_cilindro!$B$17+1)),0))/((Presion_cilindro!O354+Presion_cilindro!O355)/2)</f>
        <v>40.950229251165652</v>
      </c>
      <c r="L363" s="27">
        <f>L362*(Presion_cilindro!O354/Presion_cilindro!O355)^Presion_cilindro!$B$9+10*(Presion_cilindro!$B$9-1)*Presion_cilindro!$B$33*(IF(Presion_cilindro!N355&gt;(-L$4+Presion_cilindro!$B$34),1-EXP(-Presion_cilindro!$B$16*((Presion_cilindro!N355-(-L$4+Presion_cilindro!$B$34))/Presion_cilindro!$B$35)^(Presion_cilindro!$B$17+1)),0)-IF(Presion_cilindro!N354&gt;(-L$4+Presion_cilindro!$B$34),1-EXP(-Presion_cilindro!$B$16*((Presion_cilindro!N354-(-L$4+Presion_cilindro!$B$34))/Presion_cilindro!$B$35)^(Presion_cilindro!$B$17+1)),0))/((Presion_cilindro!O354+Presion_cilindro!O355)/2)</f>
        <v>45.694249165609513</v>
      </c>
      <c r="M363" s="27">
        <f>M362*(Presion_cilindro!O354/Presion_cilindro!O355)^Presion_cilindro!$B$9+10*(Presion_cilindro!$B$9-1)*Presion_cilindro!$B$33*(IF(Presion_cilindro!N355&gt;(-M$4+Presion_cilindro!$B$34),1-EXP(-Presion_cilindro!$B$16*((Presion_cilindro!N355-(-M$4+Presion_cilindro!$B$34))/Presion_cilindro!$B$35)^(Presion_cilindro!$B$17+1)),0)-IF(Presion_cilindro!N354&gt;(-M$4+Presion_cilindro!$B$34),1-EXP(-Presion_cilindro!$B$16*((Presion_cilindro!N354-(-M$4+Presion_cilindro!$B$34))/Presion_cilindro!$B$35)^(Presion_cilindro!$B$17+1)),0))/((Presion_cilindro!O354+Presion_cilindro!O355)/2)</f>
        <v>48.939365530547427</v>
      </c>
      <c r="N363" s="27">
        <f>N362*(Presion_cilindro!O354/Presion_cilindro!O355)^Presion_cilindro!$B$9+10*(Presion_cilindro!$B$9-1)*Presion_cilindro!$B$33*(IF(Presion_cilindro!N355&gt;(-N$4+Presion_cilindro!$B$34),1-EXP(-Presion_cilindro!$B$16*((Presion_cilindro!N355-(-N$4+Presion_cilindro!$B$34))/Presion_cilindro!$B$35)^(Presion_cilindro!$B$17+1)),0)-IF(Presion_cilindro!N354&gt;(-N$4+Presion_cilindro!$B$34),1-EXP(-Presion_cilindro!$B$16*((Presion_cilindro!N354-(-N$4+Presion_cilindro!$B$34))/Presion_cilindro!$B$35)^(Presion_cilindro!$B$17+1)),0))/((Presion_cilindro!O354+Presion_cilindro!O355)/2)</f>
        <v>51.198877047132804</v>
      </c>
    </row>
    <row r="364" spans="1:14" x14ac:dyDescent="0.25">
      <c r="A364" s="21">
        <f>Presion_cilindro!N356</f>
        <v>-4</v>
      </c>
      <c r="B364" s="27">
        <f>B363*(Presion_cilindro!O355/Presion_cilindro!O356)^Presion_cilindro!$B$9+10*(Presion_cilindro!$B$9-1)*Presion_cilindro!$B$33*(IF(Presion_cilindro!N356&gt;(-B$4+Presion_cilindro!$B$34),1-EXP(-Presion_cilindro!$B$16*((Presion_cilindro!N356-(-B$4+Presion_cilindro!$B$34))/Presion_cilindro!$B$35)^(Presion_cilindro!$B$17+1)),0)-IF(Presion_cilindro!N355&gt;(-B$4+Presion_cilindro!$B$34),1-EXP(-Presion_cilindro!$B$16*((Presion_cilindro!N355-(-B$4+Presion_cilindro!$B$34))/Presion_cilindro!$B$35)^(Presion_cilindro!$B$17+1)),0))/((Presion_cilindro!O355+Presion_cilindro!O356)/2)</f>
        <v>15.109518832812107</v>
      </c>
      <c r="C364" s="27">
        <f>C363*(Presion_cilindro!O355/Presion_cilindro!O356)^Presion_cilindro!$B$9+10*(Presion_cilindro!$B$9-1)*Presion_cilindro!$B$33*(IF(Presion_cilindro!N356&gt;(-C$4+Presion_cilindro!$B$34),1-EXP(-Presion_cilindro!$B$16*((Presion_cilindro!N356-(-C$4+Presion_cilindro!$B$34))/Presion_cilindro!$B$35)^(Presion_cilindro!$B$17+1)),0)-IF(Presion_cilindro!N355&gt;(-C$4+Presion_cilindro!$B$34),1-EXP(-Presion_cilindro!$B$16*((Presion_cilindro!N355-(-C$4+Presion_cilindro!$B$34))/Presion_cilindro!$B$35)^(Presion_cilindro!$B$17+1)),0))/((Presion_cilindro!O355+Presion_cilindro!O356)/2)</f>
        <v>15.109518832812107</v>
      </c>
      <c r="D364" s="27">
        <f>D363*(Presion_cilindro!O355/Presion_cilindro!O356)^Presion_cilindro!$B$9+10*(Presion_cilindro!$B$9-1)*Presion_cilindro!$B$33*(IF(Presion_cilindro!N356&gt;(-D$4+Presion_cilindro!$B$34),1-EXP(-Presion_cilindro!$B$16*((Presion_cilindro!N356-(-D$4+Presion_cilindro!$B$34))/Presion_cilindro!$B$35)^(Presion_cilindro!$B$17+1)),0)-IF(Presion_cilindro!N355&gt;(-D$4+Presion_cilindro!$B$34),1-EXP(-Presion_cilindro!$B$16*((Presion_cilindro!N355-(-D$4+Presion_cilindro!$B$34))/Presion_cilindro!$B$35)^(Presion_cilindro!$B$17+1)),0))/((Presion_cilindro!O355+Presion_cilindro!O356)/2)</f>
        <v>15.109518832812107</v>
      </c>
      <c r="E364" s="27">
        <f>E363*(Presion_cilindro!O355/Presion_cilindro!O356)^Presion_cilindro!$B$9+10*(Presion_cilindro!$B$9-1)*Presion_cilindro!$B$33*(IF(Presion_cilindro!N356&gt;(-E$4+Presion_cilindro!$B$34),1-EXP(-Presion_cilindro!$B$16*((Presion_cilindro!N356-(-E$4+Presion_cilindro!$B$34))/Presion_cilindro!$B$35)^(Presion_cilindro!$B$17+1)),0)-IF(Presion_cilindro!N355&gt;(-E$4+Presion_cilindro!$B$34),1-EXP(-Presion_cilindro!$B$16*((Presion_cilindro!N355-(-E$4+Presion_cilindro!$B$34))/Presion_cilindro!$B$35)^(Presion_cilindro!$B$17+1)),0))/((Presion_cilindro!O355+Presion_cilindro!O356)/2)</f>
        <v>15.18018885628287</v>
      </c>
      <c r="F364" s="27">
        <f>F363*(Presion_cilindro!O355/Presion_cilindro!O356)^Presion_cilindro!$B$9+10*(Presion_cilindro!$B$9-1)*Presion_cilindro!$B$33*(IF(Presion_cilindro!N356&gt;(-F$4+Presion_cilindro!$B$34),1-EXP(-Presion_cilindro!$B$16*((Presion_cilindro!N356-(-F$4+Presion_cilindro!$B$34))/Presion_cilindro!$B$35)^(Presion_cilindro!$B$17+1)),0)-IF(Presion_cilindro!N355&gt;(-F$4+Presion_cilindro!$B$34),1-EXP(-Presion_cilindro!$B$16*((Presion_cilindro!N355-(-F$4+Presion_cilindro!$B$34))/Presion_cilindro!$B$35)^(Presion_cilindro!$B$17+1)),0))/((Presion_cilindro!O355+Presion_cilindro!O356)/2)</f>
        <v>15.979427416147782</v>
      </c>
      <c r="G364" s="27">
        <f>G363*(Presion_cilindro!O355/Presion_cilindro!O356)^Presion_cilindro!$B$9+10*(Presion_cilindro!$B$9-1)*Presion_cilindro!$B$33*(IF(Presion_cilindro!N356&gt;(-G$4+Presion_cilindro!$B$34),1-EXP(-Presion_cilindro!$B$16*((Presion_cilindro!N356-(-G$4+Presion_cilindro!$B$34))/Presion_cilindro!$B$35)^(Presion_cilindro!$B$17+1)),0)-IF(Presion_cilindro!N355&gt;(-G$4+Presion_cilindro!$B$34),1-EXP(-Presion_cilindro!$B$16*((Presion_cilindro!N355-(-G$4+Presion_cilindro!$B$34))/Presion_cilindro!$B$35)^(Presion_cilindro!$B$17+1)),0))/((Presion_cilindro!O355+Presion_cilindro!O356)/2)</f>
        <v>18.352143453805024</v>
      </c>
      <c r="H364" s="27">
        <f>H363*(Presion_cilindro!O355/Presion_cilindro!O356)^Presion_cilindro!$B$9+10*(Presion_cilindro!$B$9-1)*Presion_cilindro!$B$33*(IF(Presion_cilindro!N356&gt;(-H$4+Presion_cilindro!$B$34),1-EXP(-Presion_cilindro!$B$16*((Presion_cilindro!N356-(-H$4+Presion_cilindro!$B$34))/Presion_cilindro!$B$35)^(Presion_cilindro!$B$17+1)),0)-IF(Presion_cilindro!N355&gt;(-H$4+Presion_cilindro!$B$34),1-EXP(-Presion_cilindro!$B$16*((Presion_cilindro!N355-(-H$4+Presion_cilindro!$B$34))/Presion_cilindro!$B$35)^(Presion_cilindro!$B$17+1)),0))/((Presion_cilindro!O355+Presion_cilindro!O356)/2)</f>
        <v>22.735267066474023</v>
      </c>
      <c r="I364" s="27">
        <f>I363*(Presion_cilindro!O355/Presion_cilindro!O356)^Presion_cilindro!$B$9+10*(Presion_cilindro!$B$9-1)*Presion_cilindro!$B$33*(IF(Presion_cilindro!N356&gt;(-I$4+Presion_cilindro!$B$34),1-EXP(-Presion_cilindro!$B$16*((Presion_cilindro!N356-(-I$4+Presion_cilindro!$B$34))/Presion_cilindro!$B$35)^(Presion_cilindro!$B$17+1)),0)-IF(Presion_cilindro!N355&gt;(-I$4+Presion_cilindro!$B$34),1-EXP(-Presion_cilindro!$B$16*((Presion_cilindro!N355-(-I$4+Presion_cilindro!$B$34))/Presion_cilindro!$B$35)^(Presion_cilindro!$B$17+1)),0))/((Presion_cilindro!O355+Presion_cilindro!O356)/2)</f>
        <v>28.822573007263312</v>
      </c>
      <c r="J364" s="27">
        <f>J363*(Presion_cilindro!O355/Presion_cilindro!O356)^Presion_cilindro!$B$9+10*(Presion_cilindro!$B$9-1)*Presion_cilindro!$B$33*(IF(Presion_cilindro!N356&gt;(-J$4+Presion_cilindro!$B$34),1-EXP(-Presion_cilindro!$B$16*((Presion_cilindro!N356-(-J$4+Presion_cilindro!$B$34))/Presion_cilindro!$B$35)^(Presion_cilindro!$B$17+1)),0)-IF(Presion_cilindro!N355&gt;(-J$4+Presion_cilindro!$B$34),1-EXP(-Presion_cilindro!$B$16*((Presion_cilindro!N355-(-J$4+Presion_cilindro!$B$34))/Presion_cilindro!$B$35)^(Presion_cilindro!$B$17+1)),0))/((Presion_cilindro!O355+Presion_cilindro!O356)/2)</f>
        <v>35.551392676534988</v>
      </c>
      <c r="K364" s="27">
        <f>K363*(Presion_cilindro!O355/Presion_cilindro!O356)^Presion_cilindro!$B$9+10*(Presion_cilindro!$B$9-1)*Presion_cilindro!$B$33*(IF(Presion_cilindro!N356&gt;(-K$4+Presion_cilindro!$B$34),1-EXP(-Presion_cilindro!$B$16*((Presion_cilindro!N356-(-K$4+Presion_cilindro!$B$34))/Presion_cilindro!$B$35)^(Presion_cilindro!$B$17+1)),0)-IF(Presion_cilindro!N355&gt;(-K$4+Presion_cilindro!$B$34),1-EXP(-Presion_cilindro!$B$16*((Presion_cilindro!N355-(-K$4+Presion_cilindro!$B$34))/Presion_cilindro!$B$35)^(Presion_cilindro!$B$17+1)),0))/((Presion_cilindro!O355+Presion_cilindro!O356)/2)</f>
        <v>41.613676068085667</v>
      </c>
      <c r="L364" s="27">
        <f>L363*(Presion_cilindro!O355/Presion_cilindro!O356)^Presion_cilindro!$B$9+10*(Presion_cilindro!$B$9-1)*Presion_cilindro!$B$33*(IF(Presion_cilindro!N356&gt;(-L$4+Presion_cilindro!$B$34),1-EXP(-Presion_cilindro!$B$16*((Presion_cilindro!N356-(-L$4+Presion_cilindro!$B$34))/Presion_cilindro!$B$35)^(Presion_cilindro!$B$17+1)),0)-IF(Presion_cilindro!N355&gt;(-L$4+Presion_cilindro!$B$34),1-EXP(-Presion_cilindro!$B$16*((Presion_cilindro!N355-(-L$4+Presion_cilindro!$B$34))/Presion_cilindro!$B$35)^(Presion_cilindro!$B$17+1)),0))/((Presion_cilindro!O355+Presion_cilindro!O356)/2)</f>
        <v>46.19286968351603</v>
      </c>
      <c r="M364" s="27">
        <f>M363*(Presion_cilindro!O355/Presion_cilindro!O356)^Presion_cilindro!$B$9+10*(Presion_cilindro!$B$9-1)*Presion_cilindro!$B$33*(IF(Presion_cilindro!N356&gt;(-M$4+Presion_cilindro!$B$34),1-EXP(-Presion_cilindro!$B$16*((Presion_cilindro!N356-(-M$4+Presion_cilindro!$B$34))/Presion_cilindro!$B$35)^(Presion_cilindro!$B$17+1)),0)-IF(Presion_cilindro!N355&gt;(-M$4+Presion_cilindro!$B$34),1-EXP(-Presion_cilindro!$B$16*((Presion_cilindro!N355-(-M$4+Presion_cilindro!$B$34))/Presion_cilindro!$B$35)^(Presion_cilindro!$B$17+1)),0))/((Presion_cilindro!O355+Presion_cilindro!O356)/2)</f>
        <v>49.303698490973353</v>
      </c>
      <c r="N364" s="27">
        <f>N363*(Presion_cilindro!O355/Presion_cilindro!O356)^Presion_cilindro!$B$9+10*(Presion_cilindro!$B$9-1)*Presion_cilindro!$B$33*(IF(Presion_cilindro!N356&gt;(-N$4+Presion_cilindro!$B$34),1-EXP(-Presion_cilindro!$B$16*((Presion_cilindro!N356-(-N$4+Presion_cilindro!$B$34))/Presion_cilindro!$B$35)^(Presion_cilindro!$B$17+1)),0)-IF(Presion_cilindro!N355&gt;(-N$4+Presion_cilindro!$B$34),1-EXP(-Presion_cilindro!$B$16*((Presion_cilindro!N355-(-N$4+Presion_cilindro!$B$34))/Presion_cilindro!$B$35)^(Presion_cilindro!$B$17+1)),0))/((Presion_cilindro!O355+Presion_cilindro!O356)/2)</f>
        <v>51.492006993391833</v>
      </c>
    </row>
    <row r="365" spans="1:14" x14ac:dyDescent="0.25">
      <c r="A365" s="21">
        <f>Presion_cilindro!N357</f>
        <v>-3.5</v>
      </c>
      <c r="B365" s="27">
        <f>B364*(Presion_cilindro!O356/Presion_cilindro!O357)^Presion_cilindro!$B$9+10*(Presion_cilindro!$B$9-1)*Presion_cilindro!$B$33*(IF(Presion_cilindro!N357&gt;(-B$4+Presion_cilindro!$B$34),1-EXP(-Presion_cilindro!$B$16*((Presion_cilindro!N357-(-B$4+Presion_cilindro!$B$34))/Presion_cilindro!$B$35)^(Presion_cilindro!$B$17+1)),0)-IF(Presion_cilindro!N356&gt;(-B$4+Presion_cilindro!$B$34),1-EXP(-Presion_cilindro!$B$16*((Presion_cilindro!N356-(-B$4+Presion_cilindro!$B$34))/Presion_cilindro!$B$35)^(Presion_cilindro!$B$17+1)),0))/((Presion_cilindro!O356+Presion_cilindro!O357)/2)</f>
        <v>15.175176604336544</v>
      </c>
      <c r="C365" s="27">
        <f>C364*(Presion_cilindro!O356/Presion_cilindro!O357)^Presion_cilindro!$B$9+10*(Presion_cilindro!$B$9-1)*Presion_cilindro!$B$33*(IF(Presion_cilindro!N357&gt;(-C$4+Presion_cilindro!$B$34),1-EXP(-Presion_cilindro!$B$16*((Presion_cilindro!N357-(-C$4+Presion_cilindro!$B$34))/Presion_cilindro!$B$35)^(Presion_cilindro!$B$17+1)),0)-IF(Presion_cilindro!N356&gt;(-C$4+Presion_cilindro!$B$34),1-EXP(-Presion_cilindro!$B$16*((Presion_cilindro!N356-(-C$4+Presion_cilindro!$B$34))/Presion_cilindro!$B$35)^(Presion_cilindro!$B$17+1)),0))/((Presion_cilindro!O356+Presion_cilindro!O357)/2)</f>
        <v>15.175176604336544</v>
      </c>
      <c r="D365" s="27">
        <f>D364*(Presion_cilindro!O356/Presion_cilindro!O357)^Presion_cilindro!$B$9+10*(Presion_cilindro!$B$9-1)*Presion_cilindro!$B$33*(IF(Presion_cilindro!N357&gt;(-D$4+Presion_cilindro!$B$34),1-EXP(-Presion_cilindro!$B$16*((Presion_cilindro!N357-(-D$4+Presion_cilindro!$B$34))/Presion_cilindro!$B$35)^(Presion_cilindro!$B$17+1)),0)-IF(Presion_cilindro!N356&gt;(-D$4+Presion_cilindro!$B$34),1-EXP(-Presion_cilindro!$B$16*((Presion_cilindro!N356-(-D$4+Presion_cilindro!$B$34))/Presion_cilindro!$B$35)^(Presion_cilindro!$B$17+1)),0))/((Presion_cilindro!O356+Presion_cilindro!O357)/2)</f>
        <v>15.175176604336544</v>
      </c>
      <c r="E365" s="27">
        <f>E364*(Presion_cilindro!O356/Presion_cilindro!O357)^Presion_cilindro!$B$9+10*(Presion_cilindro!$B$9-1)*Presion_cilindro!$B$33*(IF(Presion_cilindro!N357&gt;(-E$4+Presion_cilindro!$B$34),1-EXP(-Presion_cilindro!$B$16*((Presion_cilindro!N357-(-E$4+Presion_cilindro!$B$34))/Presion_cilindro!$B$35)^(Presion_cilindro!$B$17+1)),0)-IF(Presion_cilindro!N356&gt;(-E$4+Presion_cilindro!$B$34),1-EXP(-Presion_cilindro!$B$16*((Presion_cilindro!N356-(-E$4+Presion_cilindro!$B$34))/Presion_cilindro!$B$35)^(Presion_cilindro!$B$17+1)),0))/((Presion_cilindro!O356+Presion_cilindro!O357)/2)</f>
        <v>15.277887856741055</v>
      </c>
      <c r="F365" s="27">
        <f>F364*(Presion_cilindro!O356/Presion_cilindro!O357)^Presion_cilindro!$B$9+10*(Presion_cilindro!$B$9-1)*Presion_cilindro!$B$33*(IF(Presion_cilindro!N357&gt;(-F$4+Presion_cilindro!$B$34),1-EXP(-Presion_cilindro!$B$16*((Presion_cilindro!N357-(-F$4+Presion_cilindro!$B$34))/Presion_cilindro!$B$35)^(Presion_cilindro!$B$17+1)),0)-IF(Presion_cilindro!N356&gt;(-F$4+Presion_cilindro!$B$34),1-EXP(-Presion_cilindro!$B$16*((Presion_cilindro!N356-(-F$4+Presion_cilindro!$B$34))/Presion_cilindro!$B$35)^(Presion_cilindro!$B$17+1)),0))/((Presion_cilindro!O356+Presion_cilindro!O357)/2)</f>
        <v>16.202839758923773</v>
      </c>
      <c r="G365" s="27">
        <f>G364*(Presion_cilindro!O356/Presion_cilindro!O357)^Presion_cilindro!$B$9+10*(Presion_cilindro!$B$9-1)*Presion_cilindro!$B$33*(IF(Presion_cilindro!N357&gt;(-G$4+Presion_cilindro!$B$34),1-EXP(-Presion_cilindro!$B$16*((Presion_cilindro!N357-(-G$4+Presion_cilindro!$B$34))/Presion_cilindro!$B$35)^(Presion_cilindro!$B$17+1)),0)-IF(Presion_cilindro!N356&gt;(-G$4+Presion_cilindro!$B$34),1-EXP(-Presion_cilindro!$B$16*((Presion_cilindro!N356-(-G$4+Presion_cilindro!$B$34))/Presion_cilindro!$B$35)^(Presion_cilindro!$B$17+1)),0))/((Presion_cilindro!O356+Presion_cilindro!O357)/2)</f>
        <v>18.773288731289231</v>
      </c>
      <c r="H365" s="27">
        <f>H364*(Presion_cilindro!O356/Presion_cilindro!O357)^Presion_cilindro!$B$9+10*(Presion_cilindro!$B$9-1)*Presion_cilindro!$B$33*(IF(Presion_cilindro!N357&gt;(-H$4+Presion_cilindro!$B$34),1-EXP(-Presion_cilindro!$B$16*((Presion_cilindro!N357-(-H$4+Presion_cilindro!$B$34))/Presion_cilindro!$B$35)^(Presion_cilindro!$B$17+1)),0)-IF(Presion_cilindro!N356&gt;(-H$4+Presion_cilindro!$B$34),1-EXP(-Presion_cilindro!$B$16*((Presion_cilindro!N356-(-H$4+Presion_cilindro!$B$34))/Presion_cilindro!$B$35)^(Presion_cilindro!$B$17+1)),0))/((Presion_cilindro!O356+Presion_cilindro!O357)/2)</f>
        <v>23.363720893046967</v>
      </c>
      <c r="I365" s="27">
        <f>I364*(Presion_cilindro!O356/Presion_cilindro!O357)^Presion_cilindro!$B$9+10*(Presion_cilindro!$B$9-1)*Presion_cilindro!$B$33*(IF(Presion_cilindro!N357&gt;(-I$4+Presion_cilindro!$B$34),1-EXP(-Presion_cilindro!$B$16*((Presion_cilindro!N357-(-I$4+Presion_cilindro!$B$34))/Presion_cilindro!$B$35)^(Presion_cilindro!$B$17+1)),0)-IF(Presion_cilindro!N356&gt;(-I$4+Presion_cilindro!$B$34),1-EXP(-Presion_cilindro!$B$16*((Presion_cilindro!N356-(-I$4+Presion_cilindro!$B$34))/Presion_cilindro!$B$35)^(Presion_cilindro!$B$17+1)),0))/((Presion_cilindro!O356+Presion_cilindro!O357)/2)</f>
        <v>29.581550219457572</v>
      </c>
      <c r="J365" s="27">
        <f>J364*(Presion_cilindro!O356/Presion_cilindro!O357)^Presion_cilindro!$B$9+10*(Presion_cilindro!$B$9-1)*Presion_cilindro!$B$33*(IF(Presion_cilindro!N357&gt;(-J$4+Presion_cilindro!$B$34),1-EXP(-Presion_cilindro!$B$16*((Presion_cilindro!N357-(-J$4+Presion_cilindro!$B$34))/Presion_cilindro!$B$35)^(Presion_cilindro!$B$17+1)),0)-IF(Presion_cilindro!N356&gt;(-J$4+Presion_cilindro!$B$34),1-EXP(-Presion_cilindro!$B$16*((Presion_cilindro!N356-(-J$4+Presion_cilindro!$B$34))/Presion_cilindro!$B$35)^(Presion_cilindro!$B$17+1)),0))/((Presion_cilindro!O356+Presion_cilindro!O357)/2)</f>
        <v>36.304640667084733</v>
      </c>
      <c r="K365" s="27">
        <f>K364*(Presion_cilindro!O356/Presion_cilindro!O357)^Presion_cilindro!$B$9+10*(Presion_cilindro!$B$9-1)*Presion_cilindro!$B$33*(IF(Presion_cilindro!N357&gt;(-K$4+Presion_cilindro!$B$34),1-EXP(-Presion_cilindro!$B$16*((Presion_cilindro!N357-(-K$4+Presion_cilindro!$B$34))/Presion_cilindro!$B$35)^(Presion_cilindro!$B$17+1)),0)-IF(Presion_cilindro!N356&gt;(-K$4+Presion_cilindro!$B$34),1-EXP(-Presion_cilindro!$B$16*((Presion_cilindro!N356-(-K$4+Presion_cilindro!$B$34))/Presion_cilindro!$B$35)^(Presion_cilindro!$B$17+1)),0))/((Presion_cilindro!O356+Presion_cilindro!O357)/2)</f>
        <v>42.240119868416613</v>
      </c>
      <c r="L365" s="27">
        <f>L364*(Presion_cilindro!O356/Presion_cilindro!O357)^Presion_cilindro!$B$9+10*(Presion_cilindro!$B$9-1)*Presion_cilindro!$B$33*(IF(Presion_cilindro!N357&gt;(-L$4+Presion_cilindro!$B$34),1-EXP(-Presion_cilindro!$B$16*((Presion_cilindro!N357-(-L$4+Presion_cilindro!$B$34))/Presion_cilindro!$B$35)^(Presion_cilindro!$B$17+1)),0)-IF(Presion_cilindro!N356&gt;(-L$4+Presion_cilindro!$B$34),1-EXP(-Presion_cilindro!$B$16*((Presion_cilindro!N356-(-L$4+Presion_cilindro!$B$34))/Presion_cilindro!$B$35)^(Presion_cilindro!$B$17+1)),0))/((Presion_cilindro!O356+Presion_cilindro!O357)/2)</f>
        <v>46.651149917622007</v>
      </c>
      <c r="M365" s="27">
        <f>M364*(Presion_cilindro!O356/Presion_cilindro!O357)^Presion_cilindro!$B$9+10*(Presion_cilindro!$B$9-1)*Presion_cilindro!$B$33*(IF(Presion_cilindro!N357&gt;(-M$4+Presion_cilindro!$B$34),1-EXP(-Presion_cilindro!$B$16*((Presion_cilindro!N357-(-M$4+Presion_cilindro!$B$34))/Presion_cilindro!$B$35)^(Presion_cilindro!$B$17+1)),0)-IF(Presion_cilindro!N356&gt;(-M$4+Presion_cilindro!$B$34),1-EXP(-Presion_cilindro!$B$16*((Presion_cilindro!N356-(-M$4+Presion_cilindro!$B$34))/Presion_cilindro!$B$35)^(Presion_cilindro!$B$17+1)),0))/((Presion_cilindro!O356+Presion_cilindro!O357)/2)</f>
        <v>49.631239249965169</v>
      </c>
      <c r="N365" s="27">
        <f>N364*(Presion_cilindro!O356/Presion_cilindro!O357)^Presion_cilindro!$B$9+10*(Presion_cilindro!$B$9-1)*Presion_cilindro!$B$33*(IF(Presion_cilindro!N357&gt;(-N$4+Presion_cilindro!$B$34),1-EXP(-Presion_cilindro!$B$16*((Presion_cilindro!N357-(-N$4+Presion_cilindro!$B$34))/Presion_cilindro!$B$35)^(Presion_cilindro!$B$17+1)),0)-IF(Presion_cilindro!N356&gt;(-N$4+Presion_cilindro!$B$34),1-EXP(-Presion_cilindro!$B$16*((Presion_cilindro!N356-(-N$4+Presion_cilindro!$B$34))/Presion_cilindro!$B$35)^(Presion_cilindro!$B$17+1)),0))/((Presion_cilindro!O356+Presion_cilindro!O357)/2)</f>
        <v>51.752809274337217</v>
      </c>
    </row>
    <row r="366" spans="1:14" x14ac:dyDescent="0.25">
      <c r="A366" s="21">
        <f>Presion_cilindro!N358</f>
        <v>-3</v>
      </c>
      <c r="B366" s="27">
        <f>B365*(Presion_cilindro!O357/Presion_cilindro!O358)^Presion_cilindro!$B$9+10*(Presion_cilindro!$B$9-1)*Presion_cilindro!$B$33*(IF(Presion_cilindro!N358&gt;(-B$4+Presion_cilindro!$B$34),1-EXP(-Presion_cilindro!$B$16*((Presion_cilindro!N358-(-B$4+Presion_cilindro!$B$34))/Presion_cilindro!$B$35)^(Presion_cilindro!$B$17+1)),0)-IF(Presion_cilindro!N357&gt;(-B$4+Presion_cilindro!$B$34),1-EXP(-Presion_cilindro!$B$16*((Presion_cilindro!N357-(-B$4+Presion_cilindro!$B$34))/Presion_cilindro!$B$35)^(Presion_cilindro!$B$17+1)),0))/((Presion_cilindro!O357+Presion_cilindro!O358)/2)</f>
        <v>15.232501923870371</v>
      </c>
      <c r="C366" s="27">
        <f>C365*(Presion_cilindro!O357/Presion_cilindro!O358)^Presion_cilindro!$B$9+10*(Presion_cilindro!$B$9-1)*Presion_cilindro!$B$33*(IF(Presion_cilindro!N358&gt;(-C$4+Presion_cilindro!$B$34),1-EXP(-Presion_cilindro!$B$16*((Presion_cilindro!N358-(-C$4+Presion_cilindro!$B$34))/Presion_cilindro!$B$35)^(Presion_cilindro!$B$17+1)),0)-IF(Presion_cilindro!N357&gt;(-C$4+Presion_cilindro!$B$34),1-EXP(-Presion_cilindro!$B$16*((Presion_cilindro!N357-(-C$4+Presion_cilindro!$B$34))/Presion_cilindro!$B$35)^(Presion_cilindro!$B$17+1)),0))/((Presion_cilindro!O357+Presion_cilindro!O358)/2)</f>
        <v>15.232501923870371</v>
      </c>
      <c r="D366" s="27">
        <f>D365*(Presion_cilindro!O357/Presion_cilindro!O358)^Presion_cilindro!$B$9+10*(Presion_cilindro!$B$9-1)*Presion_cilindro!$B$33*(IF(Presion_cilindro!N358&gt;(-D$4+Presion_cilindro!$B$34),1-EXP(-Presion_cilindro!$B$16*((Presion_cilindro!N358-(-D$4+Presion_cilindro!$B$34))/Presion_cilindro!$B$35)^(Presion_cilindro!$B$17+1)),0)-IF(Presion_cilindro!N357&gt;(-D$4+Presion_cilindro!$B$34),1-EXP(-Presion_cilindro!$B$16*((Presion_cilindro!N357-(-D$4+Presion_cilindro!$B$34))/Presion_cilindro!$B$35)^(Presion_cilindro!$B$17+1)),0))/((Presion_cilindro!O357+Presion_cilindro!O358)/2)</f>
        <v>15.232501923870371</v>
      </c>
      <c r="E366" s="27">
        <f>E365*(Presion_cilindro!O357/Presion_cilindro!O358)^Presion_cilindro!$B$9+10*(Presion_cilindro!$B$9-1)*Presion_cilindro!$B$33*(IF(Presion_cilindro!N358&gt;(-E$4+Presion_cilindro!$B$34),1-EXP(-Presion_cilindro!$B$16*((Presion_cilindro!N358-(-E$4+Presion_cilindro!$B$34))/Presion_cilindro!$B$35)^(Presion_cilindro!$B$17+1)),0)-IF(Presion_cilindro!N357&gt;(-E$4+Presion_cilindro!$B$34),1-EXP(-Presion_cilindro!$B$16*((Presion_cilindro!N357-(-E$4+Presion_cilindro!$B$34))/Presion_cilindro!$B$35)^(Presion_cilindro!$B$17+1)),0))/((Presion_cilindro!O357+Presion_cilindro!O358)/2)</f>
        <v>15.375720432416266</v>
      </c>
      <c r="F366" s="27">
        <f>F365*(Presion_cilindro!O357/Presion_cilindro!O358)^Presion_cilindro!$B$9+10*(Presion_cilindro!$B$9-1)*Presion_cilindro!$B$33*(IF(Presion_cilindro!N358&gt;(-F$4+Presion_cilindro!$B$34),1-EXP(-Presion_cilindro!$B$16*((Presion_cilindro!N358-(-F$4+Presion_cilindro!$B$34))/Presion_cilindro!$B$35)^(Presion_cilindro!$B$17+1)),0)-IF(Presion_cilindro!N357&gt;(-F$4+Presion_cilindro!$B$34),1-EXP(-Presion_cilindro!$B$16*((Presion_cilindro!N357-(-F$4+Presion_cilindro!$B$34))/Presion_cilindro!$B$35)^(Presion_cilindro!$B$17+1)),0))/((Presion_cilindro!O357+Presion_cilindro!O358)/2)</f>
        <v>16.435111601462978</v>
      </c>
      <c r="G366" s="27">
        <f>G365*(Presion_cilindro!O357/Presion_cilindro!O358)^Presion_cilindro!$B$9+10*(Presion_cilindro!$B$9-1)*Presion_cilindro!$B$33*(IF(Presion_cilindro!N358&gt;(-G$4+Presion_cilindro!$B$34),1-EXP(-Presion_cilindro!$B$16*((Presion_cilindro!N358-(-G$4+Presion_cilindro!$B$34))/Presion_cilindro!$B$35)^(Presion_cilindro!$B$17+1)),0)-IF(Presion_cilindro!N357&gt;(-G$4+Presion_cilindro!$B$34),1-EXP(-Presion_cilindro!$B$16*((Presion_cilindro!N357-(-G$4+Presion_cilindro!$B$34))/Presion_cilindro!$B$35)^(Presion_cilindro!$B$17+1)),0))/((Presion_cilindro!O357+Presion_cilindro!O358)/2)</f>
        <v>19.206860680250703</v>
      </c>
      <c r="H366" s="27">
        <f>H365*(Presion_cilindro!O357/Presion_cilindro!O358)^Presion_cilindro!$B$9+10*(Presion_cilindro!$B$9-1)*Presion_cilindro!$B$33*(IF(Presion_cilindro!N358&gt;(-H$4+Presion_cilindro!$B$34),1-EXP(-Presion_cilindro!$B$16*((Presion_cilindro!N358-(-H$4+Presion_cilindro!$B$34))/Presion_cilindro!$B$35)^(Presion_cilindro!$B$17+1)),0)-IF(Presion_cilindro!N357&gt;(-H$4+Presion_cilindro!$B$34),1-EXP(-Presion_cilindro!$B$16*((Presion_cilindro!N357-(-H$4+Presion_cilindro!$B$34))/Presion_cilindro!$B$35)^(Presion_cilindro!$B$17+1)),0))/((Presion_cilindro!O357+Presion_cilindro!O358)/2)</f>
        <v>23.99884121381865</v>
      </c>
      <c r="I366" s="27">
        <f>I365*(Presion_cilindro!O357/Presion_cilindro!O358)^Presion_cilindro!$B$9+10*(Presion_cilindro!$B$9-1)*Presion_cilindro!$B$33*(IF(Presion_cilindro!N358&gt;(-I$4+Presion_cilindro!$B$34),1-EXP(-Presion_cilindro!$B$16*((Presion_cilindro!N358-(-I$4+Presion_cilindro!$B$34))/Presion_cilindro!$B$35)^(Presion_cilindro!$B$17+1)),0)-IF(Presion_cilindro!N357&gt;(-I$4+Presion_cilindro!$B$34),1-EXP(-Presion_cilindro!$B$16*((Presion_cilindro!N357-(-I$4+Presion_cilindro!$B$34))/Presion_cilindro!$B$35)^(Presion_cilindro!$B$17+1)),0))/((Presion_cilindro!O357+Presion_cilindro!O358)/2)</f>
        <v>30.332056752247656</v>
      </c>
      <c r="J366" s="27">
        <f>J365*(Presion_cilindro!O357/Presion_cilindro!O358)^Presion_cilindro!$B$9+10*(Presion_cilindro!$B$9-1)*Presion_cilindro!$B$33*(IF(Presion_cilindro!N358&gt;(-J$4+Presion_cilindro!$B$34),1-EXP(-Presion_cilindro!$B$16*((Presion_cilindro!N358-(-J$4+Presion_cilindro!$B$34))/Presion_cilindro!$B$35)^(Presion_cilindro!$B$17+1)),0)-IF(Presion_cilindro!N357&gt;(-J$4+Presion_cilindro!$B$34),1-EXP(-Presion_cilindro!$B$16*((Presion_cilindro!N357-(-J$4+Presion_cilindro!$B$34))/Presion_cilindro!$B$35)^(Presion_cilindro!$B$17+1)),0))/((Presion_cilindro!O357+Presion_cilindro!O358)/2)</f>
        <v>37.031285453729076</v>
      </c>
      <c r="K366" s="27">
        <f>K365*(Presion_cilindro!O357/Presion_cilindro!O358)^Presion_cilindro!$B$9+10*(Presion_cilindro!$B$9-1)*Presion_cilindro!$B$33*(IF(Presion_cilindro!N358&gt;(-K$4+Presion_cilindro!$B$34),1-EXP(-Presion_cilindro!$B$16*((Presion_cilindro!N358-(-K$4+Presion_cilindro!$B$34))/Presion_cilindro!$B$35)^(Presion_cilindro!$B$17+1)),0)-IF(Presion_cilindro!N357&gt;(-K$4+Presion_cilindro!$B$34),1-EXP(-Presion_cilindro!$B$16*((Presion_cilindro!N357-(-K$4+Presion_cilindro!$B$34))/Presion_cilindro!$B$35)^(Presion_cilindro!$B$17+1)),0))/((Presion_cilindro!O357+Presion_cilindro!O358)/2)</f>
        <v>42.827782290571712</v>
      </c>
      <c r="L366" s="27">
        <f>L365*(Presion_cilindro!O357/Presion_cilindro!O358)^Presion_cilindro!$B$9+10*(Presion_cilindro!$B$9-1)*Presion_cilindro!$B$33*(IF(Presion_cilindro!N358&gt;(-L$4+Presion_cilindro!$B$34),1-EXP(-Presion_cilindro!$B$16*((Presion_cilindro!N358-(-L$4+Presion_cilindro!$B$34))/Presion_cilindro!$B$35)^(Presion_cilindro!$B$17+1)),0)-IF(Presion_cilindro!N357&gt;(-L$4+Presion_cilindro!$B$34),1-EXP(-Presion_cilindro!$B$16*((Presion_cilindro!N357-(-L$4+Presion_cilindro!$B$34))/Presion_cilindro!$B$35)^(Presion_cilindro!$B$17+1)),0))/((Presion_cilindro!O357+Presion_cilindro!O358)/2)</f>
        <v>47.068377691792456</v>
      </c>
      <c r="M366" s="27">
        <f>M365*(Presion_cilindro!O357/Presion_cilindro!O358)^Presion_cilindro!$B$9+10*(Presion_cilindro!$B$9-1)*Presion_cilindro!$B$33*(IF(Presion_cilindro!N358&gt;(-M$4+Presion_cilindro!$B$34),1-EXP(-Presion_cilindro!$B$16*((Presion_cilindro!N358-(-M$4+Presion_cilindro!$B$34))/Presion_cilindro!$B$35)^(Presion_cilindro!$B$17+1)),0)-IF(Presion_cilindro!N357&gt;(-M$4+Presion_cilindro!$B$34),1-EXP(-Presion_cilindro!$B$16*((Presion_cilindro!N357-(-M$4+Presion_cilindro!$B$34))/Presion_cilindro!$B$35)^(Presion_cilindro!$B$17+1)),0))/((Presion_cilindro!O357+Presion_cilindro!O358)/2)</f>
        <v>49.921753279954167</v>
      </c>
      <c r="N366" s="27">
        <f>N365*(Presion_cilindro!O357/Presion_cilindro!O358)^Presion_cilindro!$B$9+10*(Presion_cilindro!$B$9-1)*Presion_cilindro!$B$33*(IF(Presion_cilindro!N358&gt;(-N$4+Presion_cilindro!$B$34),1-EXP(-Presion_cilindro!$B$16*((Presion_cilindro!N358-(-N$4+Presion_cilindro!$B$34))/Presion_cilindro!$B$35)^(Presion_cilindro!$B$17+1)),0)-IF(Presion_cilindro!N357&gt;(-N$4+Presion_cilindro!$B$34),1-EXP(-Presion_cilindro!$B$16*((Presion_cilindro!N357-(-N$4+Presion_cilindro!$B$34))/Presion_cilindro!$B$35)^(Presion_cilindro!$B$17+1)),0))/((Presion_cilindro!O357+Presion_cilindro!O358)/2)</f>
        <v>51.980968785712392</v>
      </c>
    </row>
    <row r="367" spans="1:14" x14ac:dyDescent="0.25">
      <c r="A367" s="21">
        <f>Presion_cilindro!N359</f>
        <v>-2.5</v>
      </c>
      <c r="B367" s="27">
        <f>B366*(Presion_cilindro!O358/Presion_cilindro!O359)^Presion_cilindro!$B$9+10*(Presion_cilindro!$B$9-1)*Presion_cilindro!$B$33*(IF(Presion_cilindro!N359&gt;(-B$4+Presion_cilindro!$B$34),1-EXP(-Presion_cilindro!$B$16*((Presion_cilindro!N359-(-B$4+Presion_cilindro!$B$34))/Presion_cilindro!$B$35)^(Presion_cilindro!$B$17+1)),0)-IF(Presion_cilindro!N358&gt;(-B$4+Presion_cilindro!$B$34),1-EXP(-Presion_cilindro!$B$16*((Presion_cilindro!N358-(-B$4+Presion_cilindro!$B$34))/Presion_cilindro!$B$35)^(Presion_cilindro!$B$17+1)),0))/((Presion_cilindro!O358+Presion_cilindro!O359)/2)</f>
        <v>15.281316997206222</v>
      </c>
      <c r="C367" s="27">
        <f>C366*(Presion_cilindro!O358/Presion_cilindro!O359)^Presion_cilindro!$B$9+10*(Presion_cilindro!$B$9-1)*Presion_cilindro!$B$33*(IF(Presion_cilindro!N359&gt;(-C$4+Presion_cilindro!$B$34),1-EXP(-Presion_cilindro!$B$16*((Presion_cilindro!N359-(-C$4+Presion_cilindro!$B$34))/Presion_cilindro!$B$35)^(Presion_cilindro!$B$17+1)),0)-IF(Presion_cilindro!N358&gt;(-C$4+Presion_cilindro!$B$34),1-EXP(-Presion_cilindro!$B$16*((Presion_cilindro!N358-(-C$4+Presion_cilindro!$B$34))/Presion_cilindro!$B$35)^(Presion_cilindro!$B$17+1)),0))/((Presion_cilindro!O358+Presion_cilindro!O359)/2)</f>
        <v>15.281316997206222</v>
      </c>
      <c r="D367" s="27">
        <f>D366*(Presion_cilindro!O358/Presion_cilindro!O359)^Presion_cilindro!$B$9+10*(Presion_cilindro!$B$9-1)*Presion_cilindro!$B$33*(IF(Presion_cilindro!N359&gt;(-D$4+Presion_cilindro!$B$34),1-EXP(-Presion_cilindro!$B$16*((Presion_cilindro!N359-(-D$4+Presion_cilindro!$B$34))/Presion_cilindro!$B$35)^(Presion_cilindro!$B$17+1)),0)-IF(Presion_cilindro!N358&gt;(-D$4+Presion_cilindro!$B$34),1-EXP(-Presion_cilindro!$B$16*((Presion_cilindro!N358-(-D$4+Presion_cilindro!$B$34))/Presion_cilindro!$B$35)^(Presion_cilindro!$B$17+1)),0))/((Presion_cilindro!O358+Presion_cilindro!O359)/2)</f>
        <v>15.281352071994473</v>
      </c>
      <c r="E367" s="27">
        <f>E366*(Presion_cilindro!O358/Presion_cilindro!O359)^Presion_cilindro!$B$9+10*(Presion_cilindro!$B$9-1)*Presion_cilindro!$B$33*(IF(Presion_cilindro!N359&gt;(-E$4+Presion_cilindro!$B$34),1-EXP(-Presion_cilindro!$B$16*((Presion_cilindro!N359-(-E$4+Presion_cilindro!$B$34))/Presion_cilindro!$B$35)^(Presion_cilindro!$B$17+1)),0)-IF(Presion_cilindro!N358&gt;(-E$4+Presion_cilindro!$B$34),1-EXP(-Presion_cilindro!$B$16*((Presion_cilindro!N358-(-E$4+Presion_cilindro!$B$34))/Presion_cilindro!$B$35)^(Presion_cilindro!$B$17+1)),0))/((Presion_cilindro!O358+Presion_cilindro!O359)/2)</f>
        <v>15.474465570580538</v>
      </c>
      <c r="F367" s="27">
        <f>F366*(Presion_cilindro!O358/Presion_cilindro!O359)^Presion_cilindro!$B$9+10*(Presion_cilindro!$B$9-1)*Presion_cilindro!$B$33*(IF(Presion_cilindro!N359&gt;(-F$4+Presion_cilindro!$B$34),1-EXP(-Presion_cilindro!$B$16*((Presion_cilindro!N359-(-F$4+Presion_cilindro!$B$34))/Presion_cilindro!$B$35)^(Presion_cilindro!$B$17+1)),0)-IF(Presion_cilindro!N358&gt;(-F$4+Presion_cilindro!$B$34),1-EXP(-Presion_cilindro!$B$16*((Presion_cilindro!N358-(-F$4+Presion_cilindro!$B$34))/Presion_cilindro!$B$35)^(Presion_cilindro!$B$17+1)),0))/((Presion_cilindro!O358+Presion_cilindro!O359)/2)</f>
        <v>16.676600604658859</v>
      </c>
      <c r="G367" s="27">
        <f>G366*(Presion_cilindro!O358/Presion_cilindro!O359)^Presion_cilindro!$B$9+10*(Presion_cilindro!$B$9-1)*Presion_cilindro!$B$33*(IF(Presion_cilindro!N359&gt;(-G$4+Presion_cilindro!$B$34),1-EXP(-Presion_cilindro!$B$16*((Presion_cilindro!N359-(-G$4+Presion_cilindro!$B$34))/Presion_cilindro!$B$35)^(Presion_cilindro!$B$17+1)),0)-IF(Presion_cilindro!N358&gt;(-G$4+Presion_cilindro!$B$34),1-EXP(-Presion_cilindro!$B$16*((Presion_cilindro!N358-(-G$4+Presion_cilindro!$B$34))/Presion_cilindro!$B$35)^(Presion_cilindro!$B$17+1)),0))/((Presion_cilindro!O358+Presion_cilindro!O359)/2)</f>
        <v>19.652231482919142</v>
      </c>
      <c r="H367" s="27">
        <f>H366*(Presion_cilindro!O358/Presion_cilindro!O359)^Presion_cilindro!$B$9+10*(Presion_cilindro!$B$9-1)*Presion_cilindro!$B$33*(IF(Presion_cilindro!N359&gt;(-H$4+Presion_cilindro!$B$34),1-EXP(-Presion_cilindro!$B$16*((Presion_cilindro!N359-(-H$4+Presion_cilindro!$B$34))/Presion_cilindro!$B$35)^(Presion_cilindro!$B$17+1)),0)-IF(Presion_cilindro!N358&gt;(-H$4+Presion_cilindro!$B$34),1-EXP(-Presion_cilindro!$B$16*((Presion_cilindro!N358-(-H$4+Presion_cilindro!$B$34))/Presion_cilindro!$B$35)^(Presion_cilindro!$B$17+1)),0))/((Presion_cilindro!O358+Presion_cilindro!O359)/2)</f>
        <v>24.638717978899074</v>
      </c>
      <c r="I367" s="27">
        <f>I366*(Presion_cilindro!O358/Presion_cilindro!O359)^Presion_cilindro!$B$9+10*(Presion_cilindro!$B$9-1)*Presion_cilindro!$B$33*(IF(Presion_cilindro!N359&gt;(-I$4+Presion_cilindro!$B$34),1-EXP(-Presion_cilindro!$B$16*((Presion_cilindro!N359-(-I$4+Presion_cilindro!$B$34))/Presion_cilindro!$B$35)^(Presion_cilindro!$B$17+1)),0)-IF(Presion_cilindro!N358&gt;(-I$4+Presion_cilindro!$B$34),1-EXP(-Presion_cilindro!$B$16*((Presion_cilindro!N358-(-I$4+Presion_cilindro!$B$34))/Presion_cilindro!$B$35)^(Presion_cilindro!$B$17+1)),0))/((Presion_cilindro!O358+Presion_cilindro!O359)/2)</f>
        <v>31.071312900473419</v>
      </c>
      <c r="J367" s="27">
        <f>J366*(Presion_cilindro!O358/Presion_cilindro!O359)^Presion_cilindro!$B$9+10*(Presion_cilindro!$B$9-1)*Presion_cilindro!$B$33*(IF(Presion_cilindro!N359&gt;(-J$4+Presion_cilindro!$B$34),1-EXP(-Presion_cilindro!$B$16*((Presion_cilindro!N359-(-J$4+Presion_cilindro!$B$34))/Presion_cilindro!$B$35)^(Presion_cilindro!$B$17+1)),0)-IF(Presion_cilindro!N358&gt;(-J$4+Presion_cilindro!$B$34),1-EXP(-Presion_cilindro!$B$16*((Presion_cilindro!N358-(-J$4+Presion_cilindro!$B$34))/Presion_cilindro!$B$35)^(Presion_cilindro!$B$17+1)),0))/((Presion_cilindro!O358+Presion_cilindro!O359)/2)</f>
        <v>37.728711467911189</v>
      </c>
      <c r="K367" s="27">
        <f>K366*(Presion_cilindro!O358/Presion_cilindro!O359)^Presion_cilindro!$B$9+10*(Presion_cilindro!$B$9-1)*Presion_cilindro!$B$33*(IF(Presion_cilindro!N359&gt;(-K$4+Presion_cilindro!$B$34),1-EXP(-Presion_cilindro!$B$16*((Presion_cilindro!N359-(-K$4+Presion_cilindro!$B$34))/Presion_cilindro!$B$35)^(Presion_cilindro!$B$17+1)),0)-IF(Presion_cilindro!N358&gt;(-K$4+Presion_cilindro!$B$34),1-EXP(-Presion_cilindro!$B$16*((Presion_cilindro!N358-(-K$4+Presion_cilindro!$B$34))/Presion_cilindro!$B$35)^(Presion_cilindro!$B$17+1)),0))/((Presion_cilindro!O358+Presion_cilindro!O359)/2)</f>
        <v>43.375081526389323</v>
      </c>
      <c r="L367" s="27">
        <f>L366*(Presion_cilindro!O358/Presion_cilindro!O359)^Presion_cilindro!$B$9+10*(Presion_cilindro!$B$9-1)*Presion_cilindro!$B$33*(IF(Presion_cilindro!N359&gt;(-L$4+Presion_cilindro!$B$34),1-EXP(-Presion_cilindro!$B$16*((Presion_cilindro!N359-(-L$4+Presion_cilindro!$B$34))/Presion_cilindro!$B$35)^(Presion_cilindro!$B$17+1)),0)-IF(Presion_cilindro!N358&gt;(-L$4+Presion_cilindro!$B$34),1-EXP(-Presion_cilindro!$B$16*((Presion_cilindro!N358-(-L$4+Presion_cilindro!$B$34))/Presion_cilindro!$B$35)^(Presion_cilindro!$B$17+1)),0))/((Presion_cilindro!O358+Presion_cilindro!O359)/2)</f>
        <v>47.44401275183359</v>
      </c>
      <c r="M367" s="27">
        <f>M366*(Presion_cilindro!O358/Presion_cilindro!O359)^Presion_cilindro!$B$9+10*(Presion_cilindro!$B$9-1)*Presion_cilindro!$B$33*(IF(Presion_cilindro!N359&gt;(-M$4+Presion_cilindro!$B$34),1-EXP(-Presion_cilindro!$B$16*((Presion_cilindro!N359-(-M$4+Presion_cilindro!$B$34))/Presion_cilindro!$B$35)^(Presion_cilindro!$B$17+1)),0)-IF(Presion_cilindro!N358&gt;(-M$4+Presion_cilindro!$B$34),1-EXP(-Presion_cilindro!$B$16*((Presion_cilindro!N358-(-M$4+Presion_cilindro!$B$34))/Presion_cilindro!$B$35)^(Presion_cilindro!$B$17+1)),0))/((Presion_cilindro!O358+Presion_cilindro!O359)/2)</f>
        <v>50.175109622969735</v>
      </c>
      <c r="N367" s="27">
        <f>N366*(Presion_cilindro!O358/Presion_cilindro!O359)^Presion_cilindro!$B$9+10*(Presion_cilindro!$B$9-1)*Presion_cilindro!$B$33*(IF(Presion_cilindro!N359&gt;(-N$4+Presion_cilindro!$B$34),1-EXP(-Presion_cilindro!$B$16*((Presion_cilindro!N359-(-N$4+Presion_cilindro!$B$34))/Presion_cilindro!$B$35)^(Presion_cilindro!$B$17+1)),0)-IF(Presion_cilindro!N358&gt;(-N$4+Presion_cilindro!$B$34),1-EXP(-Presion_cilindro!$B$16*((Presion_cilindro!N358-(-N$4+Presion_cilindro!$B$34))/Presion_cilindro!$B$35)^(Presion_cilindro!$B$17+1)),0))/((Presion_cilindro!O358+Presion_cilindro!O359)/2)</f>
        <v>52.176237303989282</v>
      </c>
    </row>
    <row r="368" spans="1:14" x14ac:dyDescent="0.25">
      <c r="A368" s="21">
        <f>Presion_cilindro!N360</f>
        <v>-2</v>
      </c>
      <c r="B368" s="27">
        <f>B367*(Presion_cilindro!O359/Presion_cilindro!O360)^Presion_cilindro!$B$9+10*(Presion_cilindro!$B$9-1)*Presion_cilindro!$B$33*(IF(Presion_cilindro!N360&gt;(-B$4+Presion_cilindro!$B$34),1-EXP(-Presion_cilindro!$B$16*((Presion_cilindro!N360-(-B$4+Presion_cilindro!$B$34))/Presion_cilindro!$B$35)^(Presion_cilindro!$B$17+1)),0)-IF(Presion_cilindro!N359&gt;(-B$4+Presion_cilindro!$B$34),1-EXP(-Presion_cilindro!$B$16*((Presion_cilindro!N359-(-B$4+Presion_cilindro!$B$34))/Presion_cilindro!$B$35)^(Presion_cilindro!$B$17+1)),0))/((Presion_cilindro!O359+Presion_cilindro!O360)/2)</f>
        <v>15.321469074977401</v>
      </c>
      <c r="C368" s="27">
        <f>C367*(Presion_cilindro!O359/Presion_cilindro!O360)^Presion_cilindro!$B$9+10*(Presion_cilindro!$B$9-1)*Presion_cilindro!$B$33*(IF(Presion_cilindro!N360&gt;(-C$4+Presion_cilindro!$B$34),1-EXP(-Presion_cilindro!$B$16*((Presion_cilindro!N360-(-C$4+Presion_cilindro!$B$34))/Presion_cilindro!$B$35)^(Presion_cilindro!$B$17+1)),0)-IF(Presion_cilindro!N359&gt;(-C$4+Presion_cilindro!$B$34),1-EXP(-Presion_cilindro!$B$16*((Presion_cilindro!N359-(-C$4+Presion_cilindro!$B$34))/Presion_cilindro!$B$35)^(Presion_cilindro!$B$17+1)),0))/((Presion_cilindro!O359+Presion_cilindro!O360)/2)</f>
        <v>15.321469074977401</v>
      </c>
      <c r="D368" s="27">
        <f>D367*(Presion_cilindro!O359/Presion_cilindro!O360)^Presion_cilindro!$B$9+10*(Presion_cilindro!$B$9-1)*Presion_cilindro!$B$33*(IF(Presion_cilindro!N360&gt;(-D$4+Presion_cilindro!$B$34),1-EXP(-Presion_cilindro!$B$16*((Presion_cilindro!N360-(-D$4+Presion_cilindro!$B$34))/Presion_cilindro!$B$35)^(Presion_cilindro!$B$17+1)),0)-IF(Presion_cilindro!N359&gt;(-D$4+Presion_cilindro!$B$34),1-EXP(-Presion_cilindro!$B$16*((Presion_cilindro!N359-(-D$4+Presion_cilindro!$B$34))/Presion_cilindro!$B$35)^(Presion_cilindro!$B$17+1)),0))/((Presion_cilindro!O359+Presion_cilindro!O360)/2)</f>
        <v>15.322135663467282</v>
      </c>
      <c r="E368" s="27">
        <f>E367*(Presion_cilindro!O359/Presion_cilindro!O360)^Presion_cilindro!$B$9+10*(Presion_cilindro!$B$9-1)*Presion_cilindro!$B$33*(IF(Presion_cilindro!N360&gt;(-E$4+Presion_cilindro!$B$34),1-EXP(-Presion_cilindro!$B$16*((Presion_cilindro!N360-(-E$4+Presion_cilindro!$B$34))/Presion_cilindro!$B$35)^(Presion_cilindro!$B$17+1)),0)-IF(Presion_cilindro!N359&gt;(-E$4+Presion_cilindro!$B$34),1-EXP(-Presion_cilindro!$B$16*((Presion_cilindro!N359-(-E$4+Presion_cilindro!$B$34))/Presion_cilindro!$B$35)^(Presion_cilindro!$B$17+1)),0))/((Presion_cilindro!O359+Presion_cilindro!O360)/2)</f>
        <v>15.574896445319725</v>
      </c>
      <c r="F368" s="27">
        <f>F367*(Presion_cilindro!O359/Presion_cilindro!O360)^Presion_cilindro!$B$9+10*(Presion_cilindro!$B$9-1)*Presion_cilindro!$B$33*(IF(Presion_cilindro!N360&gt;(-F$4+Presion_cilindro!$B$34),1-EXP(-Presion_cilindro!$B$16*((Presion_cilindro!N360-(-F$4+Presion_cilindro!$B$34))/Presion_cilindro!$B$35)^(Presion_cilindro!$B$17+1)),0)-IF(Presion_cilindro!N359&gt;(-F$4+Presion_cilindro!$B$34),1-EXP(-Presion_cilindro!$B$16*((Presion_cilindro!N359-(-F$4+Presion_cilindro!$B$34))/Presion_cilindro!$B$35)^(Presion_cilindro!$B$17+1)),0))/((Presion_cilindro!O359+Presion_cilindro!O360)/2)</f>
        <v>16.927590031883476</v>
      </c>
      <c r="G368" s="27">
        <f>G367*(Presion_cilindro!O359/Presion_cilindro!O360)^Presion_cilindro!$B$9+10*(Presion_cilindro!$B$9-1)*Presion_cilindro!$B$33*(IF(Presion_cilindro!N360&gt;(-G$4+Presion_cilindro!$B$34),1-EXP(-Presion_cilindro!$B$16*((Presion_cilindro!N360-(-G$4+Presion_cilindro!$B$34))/Presion_cilindro!$B$35)^(Presion_cilindro!$B$17+1)),0)-IF(Presion_cilindro!N359&gt;(-G$4+Presion_cilindro!$B$34),1-EXP(-Presion_cilindro!$B$16*((Presion_cilindro!N359-(-G$4+Presion_cilindro!$B$34))/Presion_cilindro!$B$35)^(Presion_cilindro!$B$17+1)),0))/((Presion_cilindro!O359+Presion_cilindro!O360)/2)</f>
        <v>20.108642224514121</v>
      </c>
      <c r="H368" s="27">
        <f>H367*(Presion_cilindro!O359/Presion_cilindro!O360)^Presion_cilindro!$B$9+10*(Presion_cilindro!$B$9-1)*Presion_cilindro!$B$33*(IF(Presion_cilindro!N360&gt;(-H$4+Presion_cilindro!$B$34),1-EXP(-Presion_cilindro!$B$16*((Presion_cilindro!N360-(-H$4+Presion_cilindro!$B$34))/Presion_cilindro!$B$35)^(Presion_cilindro!$B$17+1)),0)-IF(Presion_cilindro!N359&gt;(-H$4+Presion_cilindro!$B$34),1-EXP(-Presion_cilindro!$B$16*((Presion_cilindro!N359-(-H$4+Presion_cilindro!$B$34))/Presion_cilindro!$B$35)^(Presion_cilindro!$B$17+1)),0))/((Presion_cilindro!O359+Presion_cilindro!O360)/2)</f>
        <v>25.28132369938076</v>
      </c>
      <c r="I368" s="27">
        <f>I367*(Presion_cilindro!O359/Presion_cilindro!O360)^Presion_cilindro!$B$9+10*(Presion_cilindro!$B$9-1)*Presion_cilindro!$B$33*(IF(Presion_cilindro!N360&gt;(-I$4+Presion_cilindro!$B$34),1-EXP(-Presion_cilindro!$B$16*((Presion_cilindro!N360-(-I$4+Presion_cilindro!$B$34))/Presion_cilindro!$B$35)^(Presion_cilindro!$B$17+1)),0)-IF(Presion_cilindro!N359&gt;(-I$4+Presion_cilindro!$B$34),1-EXP(-Presion_cilindro!$B$16*((Presion_cilindro!N359-(-I$4+Presion_cilindro!$B$34))/Presion_cilindro!$B$35)^(Presion_cilindro!$B$17+1)),0))/((Presion_cilindro!O359+Presion_cilindro!O360)/2)</f>
        <v>31.796531178398844</v>
      </c>
      <c r="J368" s="27">
        <f>J367*(Presion_cilindro!O359/Presion_cilindro!O360)^Presion_cilindro!$B$9+10*(Presion_cilindro!$B$9-1)*Presion_cilindro!$B$33*(IF(Presion_cilindro!N360&gt;(-J$4+Presion_cilindro!$B$34),1-EXP(-Presion_cilindro!$B$16*((Presion_cilindro!N360-(-J$4+Presion_cilindro!$B$34))/Presion_cilindro!$B$35)^(Presion_cilindro!$B$17+1)),0)-IF(Presion_cilindro!N359&gt;(-J$4+Presion_cilindro!$B$34),1-EXP(-Presion_cilindro!$B$16*((Presion_cilindro!N359-(-J$4+Presion_cilindro!$B$34))/Presion_cilindro!$B$35)^(Presion_cilindro!$B$17+1)),0))/((Presion_cilindro!O359+Presion_cilindro!O360)/2)</f>
        <v>38.394439047628204</v>
      </c>
      <c r="K368" s="27">
        <f>K367*(Presion_cilindro!O359/Presion_cilindro!O360)^Presion_cilindro!$B$9+10*(Presion_cilindro!$B$9-1)*Presion_cilindro!$B$33*(IF(Presion_cilindro!N360&gt;(-K$4+Presion_cilindro!$B$34),1-EXP(-Presion_cilindro!$B$16*((Presion_cilindro!N360-(-K$4+Presion_cilindro!$B$34))/Presion_cilindro!$B$35)^(Presion_cilindro!$B$17+1)),0)-IF(Presion_cilindro!N359&gt;(-K$4+Presion_cilindro!$B$34),1-EXP(-Presion_cilindro!$B$16*((Presion_cilindro!N359-(-K$4+Presion_cilindro!$B$34))/Presion_cilindro!$B$35)^(Presion_cilindro!$B$17+1)),0))/((Presion_cilindro!O359+Presion_cilindro!O360)/2)</f>
        <v>43.880641926449485</v>
      </c>
      <c r="L368" s="27">
        <f>L367*(Presion_cilindro!O359/Presion_cilindro!O360)^Presion_cilindro!$B$9+10*(Presion_cilindro!$B$9-1)*Presion_cilindro!$B$33*(IF(Presion_cilindro!N360&gt;(-L$4+Presion_cilindro!$B$34),1-EXP(-Presion_cilindro!$B$16*((Presion_cilindro!N360-(-L$4+Presion_cilindro!$B$34))/Presion_cilindro!$B$35)^(Presion_cilindro!$B$17+1)),0)-IF(Presion_cilindro!N359&gt;(-L$4+Presion_cilindro!$B$34),1-EXP(-Presion_cilindro!$B$16*((Presion_cilindro!N359-(-L$4+Presion_cilindro!$B$34))/Presion_cilindro!$B$35)^(Presion_cilindro!$B$17+1)),0))/((Presion_cilindro!O359+Presion_cilindro!O360)/2)</f>
        <v>47.777685504364023</v>
      </c>
      <c r="M368" s="27">
        <f>M367*(Presion_cilindro!O359/Presion_cilindro!O360)^Presion_cilindro!$B$9+10*(Presion_cilindro!$B$9-1)*Presion_cilindro!$B$33*(IF(Presion_cilindro!N360&gt;(-M$4+Presion_cilindro!$B$34),1-EXP(-Presion_cilindro!$B$16*((Presion_cilindro!N360-(-M$4+Presion_cilindro!$B$34))/Presion_cilindro!$B$35)^(Presion_cilindro!$B$17+1)),0)-IF(Presion_cilindro!N359&gt;(-M$4+Presion_cilindro!$B$34),1-EXP(-Presion_cilindro!$B$16*((Presion_cilindro!N359-(-M$4+Presion_cilindro!$B$34))/Presion_cilindro!$B$35)^(Presion_cilindro!$B$17+1)),0))/((Presion_cilindro!O359+Presion_cilindro!O360)/2)</f>
        <v>50.391278943830535</v>
      </c>
      <c r="N368" s="27">
        <f>N367*(Presion_cilindro!O359/Presion_cilindro!O360)^Presion_cilindro!$B$9+10*(Presion_cilindro!$B$9-1)*Presion_cilindro!$B$33*(IF(Presion_cilindro!N360&gt;(-N$4+Presion_cilindro!$B$34),1-EXP(-Presion_cilindro!$B$16*((Presion_cilindro!N360-(-N$4+Presion_cilindro!$B$34))/Presion_cilindro!$B$35)^(Presion_cilindro!$B$17+1)),0)-IF(Presion_cilindro!N359&gt;(-N$4+Presion_cilindro!$B$34),1-EXP(-Presion_cilindro!$B$16*((Presion_cilindro!N359-(-N$4+Presion_cilindro!$B$34))/Presion_cilindro!$B$35)^(Presion_cilindro!$B$17+1)),0))/((Presion_cilindro!O359+Presion_cilindro!O360)/2)</f>
        <v>52.338436064134633</v>
      </c>
    </row>
    <row r="369" spans="1:14" x14ac:dyDescent="0.25">
      <c r="A369" s="21">
        <f>Presion_cilindro!N361</f>
        <v>-1.5</v>
      </c>
      <c r="B369" s="27">
        <f>B368*(Presion_cilindro!O360/Presion_cilindro!O361)^Presion_cilindro!$B$9+10*(Presion_cilindro!$B$9-1)*Presion_cilindro!$B$33*(IF(Presion_cilindro!N361&gt;(-B$4+Presion_cilindro!$B$34),1-EXP(-Presion_cilindro!$B$16*((Presion_cilindro!N361-(-B$4+Presion_cilindro!$B$34))/Presion_cilindro!$B$35)^(Presion_cilindro!$B$17+1)),0)-IF(Presion_cilindro!N360&gt;(-B$4+Presion_cilindro!$B$34),1-EXP(-Presion_cilindro!$B$16*((Presion_cilindro!N360-(-B$4+Presion_cilindro!$B$34))/Presion_cilindro!$B$35)^(Presion_cilindro!$B$17+1)),0))/((Presion_cilindro!O360+Presion_cilindro!O361)/2)</f>
        <v>15.352831582558789</v>
      </c>
      <c r="C369" s="27">
        <f>C368*(Presion_cilindro!O360/Presion_cilindro!O361)^Presion_cilindro!$B$9+10*(Presion_cilindro!$B$9-1)*Presion_cilindro!$B$33*(IF(Presion_cilindro!N361&gt;(-C$4+Presion_cilindro!$B$34),1-EXP(-Presion_cilindro!$B$16*((Presion_cilindro!N361-(-C$4+Presion_cilindro!$B$34))/Presion_cilindro!$B$35)^(Presion_cilindro!$B$17+1)),0)-IF(Presion_cilindro!N360&gt;(-C$4+Presion_cilindro!$B$34),1-EXP(-Presion_cilindro!$B$16*((Presion_cilindro!N360-(-C$4+Presion_cilindro!$B$34))/Presion_cilindro!$B$35)^(Presion_cilindro!$B$17+1)),0))/((Presion_cilindro!O360+Presion_cilindro!O361)/2)</f>
        <v>15.352831582558789</v>
      </c>
      <c r="D369" s="27">
        <f>D368*(Presion_cilindro!O360/Presion_cilindro!O361)^Presion_cilindro!$B$9+10*(Presion_cilindro!$B$9-1)*Presion_cilindro!$B$33*(IF(Presion_cilindro!N361&gt;(-D$4+Presion_cilindro!$B$34),1-EXP(-Presion_cilindro!$B$16*((Presion_cilindro!N361-(-D$4+Presion_cilindro!$B$34))/Presion_cilindro!$B$35)^(Presion_cilindro!$B$17+1)),0)-IF(Presion_cilindro!N360&gt;(-D$4+Presion_cilindro!$B$34),1-EXP(-Presion_cilindro!$B$16*((Presion_cilindro!N360-(-D$4+Presion_cilindro!$B$34))/Presion_cilindro!$B$35)^(Presion_cilindro!$B$17+1)),0))/((Presion_cilindro!O360+Presion_cilindro!O361)/2)</f>
        <v>15.355696993766104</v>
      </c>
      <c r="E369" s="27">
        <f>E368*(Presion_cilindro!O360/Presion_cilindro!O361)^Presion_cilindro!$B$9+10*(Presion_cilindro!$B$9-1)*Presion_cilindro!$B$33*(IF(Presion_cilindro!N361&gt;(-E$4+Presion_cilindro!$B$34),1-EXP(-Presion_cilindro!$B$16*((Presion_cilindro!N361-(-E$4+Presion_cilindro!$B$34))/Presion_cilindro!$B$35)^(Presion_cilindro!$B$17+1)),0)-IF(Presion_cilindro!N360&gt;(-E$4+Presion_cilindro!$B$34),1-EXP(-Presion_cilindro!$B$16*((Presion_cilindro!N360-(-E$4+Presion_cilindro!$B$34))/Presion_cilindro!$B$35)^(Presion_cilindro!$B$17+1)),0))/((Presion_cilindro!O360+Presion_cilindro!O361)/2)</f>
        <v>15.677773589276402</v>
      </c>
      <c r="F369" s="27">
        <f>F368*(Presion_cilindro!O360/Presion_cilindro!O361)^Presion_cilindro!$B$9+10*(Presion_cilindro!$B$9-1)*Presion_cilindro!$B$33*(IF(Presion_cilindro!N361&gt;(-F$4+Presion_cilindro!$B$34),1-EXP(-Presion_cilindro!$B$16*((Presion_cilindro!N361-(-F$4+Presion_cilindro!$B$34))/Presion_cilindro!$B$35)^(Presion_cilindro!$B$17+1)),0)-IF(Presion_cilindro!N360&gt;(-F$4+Presion_cilindro!$B$34),1-EXP(-Presion_cilindro!$B$16*((Presion_cilindro!N360-(-F$4+Presion_cilindro!$B$34))/Presion_cilindro!$B$35)^(Presion_cilindro!$B$17+1)),0))/((Presion_cilindro!O360+Presion_cilindro!O361)/2)</f>
        <v>17.188281965959579</v>
      </c>
      <c r="G369" s="27">
        <f>G368*(Presion_cilindro!O360/Presion_cilindro!O361)^Presion_cilindro!$B$9+10*(Presion_cilindro!$B$9-1)*Presion_cilindro!$B$33*(IF(Presion_cilindro!N361&gt;(-G$4+Presion_cilindro!$B$34),1-EXP(-Presion_cilindro!$B$16*((Presion_cilindro!N361-(-G$4+Presion_cilindro!$B$34))/Presion_cilindro!$B$35)^(Presion_cilindro!$B$17+1)),0)-IF(Presion_cilindro!N360&gt;(-G$4+Presion_cilindro!$B$34),1-EXP(-Presion_cilindro!$B$16*((Presion_cilindro!N360-(-G$4+Presion_cilindro!$B$34))/Presion_cilindro!$B$35)^(Presion_cilindro!$B$17+1)),0))/((Presion_cilindro!O360+Presion_cilindro!O361)/2)</f>
        <v>20.575203007429682</v>
      </c>
      <c r="H369" s="27">
        <f>H368*(Presion_cilindro!O360/Presion_cilindro!O361)^Presion_cilindro!$B$9+10*(Presion_cilindro!$B$9-1)*Presion_cilindro!$B$33*(IF(Presion_cilindro!N361&gt;(-H$4+Presion_cilindro!$B$34),1-EXP(-Presion_cilindro!$B$16*((Presion_cilindro!N361-(-H$4+Presion_cilindro!$B$34))/Presion_cilindro!$B$35)^(Presion_cilindro!$B$17+1)),0)-IF(Presion_cilindro!N360&gt;(-H$4+Presion_cilindro!$B$34),1-EXP(-Presion_cilindro!$B$16*((Presion_cilindro!N360-(-H$4+Presion_cilindro!$B$34))/Presion_cilindro!$B$35)^(Presion_cilindro!$B$17+1)),0))/((Presion_cilindro!O360+Presion_cilindro!O361)/2)</f>
        <v>25.924526540135933</v>
      </c>
      <c r="I369" s="27">
        <f>I368*(Presion_cilindro!O360/Presion_cilindro!O361)^Presion_cilindro!$B$9+10*(Presion_cilindro!$B$9-1)*Presion_cilindro!$B$33*(IF(Presion_cilindro!N361&gt;(-I$4+Presion_cilindro!$B$34),1-EXP(-Presion_cilindro!$B$16*((Presion_cilindro!N361-(-I$4+Presion_cilindro!$B$34))/Presion_cilindro!$B$35)^(Presion_cilindro!$B$17+1)),0)-IF(Presion_cilindro!N360&gt;(-I$4+Presion_cilindro!$B$34),1-EXP(-Presion_cilindro!$B$16*((Presion_cilindro!N360-(-I$4+Presion_cilindro!$B$34))/Presion_cilindro!$B$35)^(Presion_cilindro!$B$17+1)),0))/((Presion_cilindro!O360+Presion_cilindro!O361)/2)</f>
        <v>32.504939628761598</v>
      </c>
      <c r="J369" s="27">
        <f>J368*(Presion_cilindro!O360/Presion_cilindro!O361)^Presion_cilindro!$B$9+10*(Presion_cilindro!$B$9-1)*Presion_cilindro!$B$33*(IF(Presion_cilindro!N361&gt;(-J$4+Presion_cilindro!$B$34),1-EXP(-Presion_cilindro!$B$16*((Presion_cilindro!N361-(-J$4+Presion_cilindro!$B$34))/Presion_cilindro!$B$35)^(Presion_cilindro!$B$17+1)),0)-IF(Presion_cilindro!N360&gt;(-J$4+Presion_cilindro!$B$34),1-EXP(-Presion_cilindro!$B$16*((Presion_cilindro!N360-(-J$4+Presion_cilindro!$B$34))/Presion_cilindro!$B$35)^(Presion_cilindro!$B$17+1)),0))/((Presion_cilindro!O360+Presion_cilindro!O361)/2)</f>
        <v>39.026145088450178</v>
      </c>
      <c r="K369" s="27">
        <f>K368*(Presion_cilindro!O360/Presion_cilindro!O361)^Presion_cilindro!$B$9+10*(Presion_cilindro!$B$9-1)*Presion_cilindro!$B$33*(IF(Presion_cilindro!N361&gt;(-K$4+Presion_cilindro!$B$34),1-EXP(-Presion_cilindro!$B$16*((Presion_cilindro!N361-(-K$4+Presion_cilindro!$B$34))/Presion_cilindro!$B$35)^(Presion_cilindro!$B$17+1)),0)-IF(Presion_cilindro!N360&gt;(-K$4+Presion_cilindro!$B$34),1-EXP(-Presion_cilindro!$B$16*((Presion_cilindro!N360-(-K$4+Presion_cilindro!$B$34))/Presion_cilindro!$B$35)^(Presion_cilindro!$B$17+1)),0))/((Presion_cilindro!O360+Presion_cilindro!O361)/2)</f>
        <v>44.343301395599937</v>
      </c>
      <c r="L369" s="27">
        <f>L368*(Presion_cilindro!O360/Presion_cilindro!O361)^Presion_cilindro!$B$9+10*(Presion_cilindro!$B$9-1)*Presion_cilindro!$B$33*(IF(Presion_cilindro!N361&gt;(-L$4+Presion_cilindro!$B$34),1-EXP(-Presion_cilindro!$B$16*((Presion_cilindro!N361-(-L$4+Presion_cilindro!$B$34))/Presion_cilindro!$B$35)^(Presion_cilindro!$B$17+1)),0)-IF(Presion_cilindro!N360&gt;(-L$4+Presion_cilindro!$B$34),1-EXP(-Presion_cilindro!$B$16*((Presion_cilindro!N360-(-L$4+Presion_cilindro!$B$34))/Presion_cilindro!$B$35)^(Presion_cilindro!$B$17+1)),0))/((Presion_cilindro!O360+Presion_cilindro!O361)/2)</f>
        <v>48.069194378723672</v>
      </c>
      <c r="M369" s="27">
        <f>M368*(Presion_cilindro!O360/Presion_cilindro!O361)^Presion_cilindro!$B$9+10*(Presion_cilindro!$B$9-1)*Presion_cilindro!$B$33*(IF(Presion_cilindro!N361&gt;(-M$4+Presion_cilindro!$B$34),1-EXP(-Presion_cilindro!$B$16*((Presion_cilindro!N361-(-M$4+Presion_cilindro!$B$34))/Presion_cilindro!$B$35)^(Presion_cilindro!$B$17+1)),0)-IF(Presion_cilindro!N360&gt;(-M$4+Presion_cilindro!$B$34),1-EXP(-Presion_cilindro!$B$16*((Presion_cilindro!N360-(-M$4+Presion_cilindro!$B$34))/Presion_cilindro!$B$35)^(Presion_cilindro!$B$17+1)),0))/((Presion_cilindro!O360+Presion_cilindro!O361)/2)</f>
        <v>50.570331260455362</v>
      </c>
      <c r="N369" s="27">
        <f>N368*(Presion_cilindro!O360/Presion_cilindro!O361)^Presion_cilindro!$B$9+10*(Presion_cilindro!$B$9-1)*Presion_cilindro!$B$33*(IF(Presion_cilindro!N361&gt;(-N$4+Presion_cilindro!$B$34),1-EXP(-Presion_cilindro!$B$16*((Presion_cilindro!N361-(-N$4+Presion_cilindro!$B$34))/Presion_cilindro!$B$35)^(Presion_cilindro!$B$17+1)),0)-IF(Presion_cilindro!N360&gt;(-N$4+Presion_cilindro!$B$34),1-EXP(-Presion_cilindro!$B$16*((Presion_cilindro!N360-(-N$4+Presion_cilindro!$B$34))/Presion_cilindro!$B$35)^(Presion_cilindro!$B$17+1)),0))/((Presion_cilindro!O360+Presion_cilindro!O361)/2)</f>
        <v>52.467458152388389</v>
      </c>
    </row>
    <row r="370" spans="1:14" x14ac:dyDescent="0.25">
      <c r="A370" s="21">
        <f>Presion_cilindro!N362</f>
        <v>-1</v>
      </c>
      <c r="B370" s="27">
        <f>B369*(Presion_cilindro!O361/Presion_cilindro!O362)^Presion_cilindro!$B$9+10*(Presion_cilindro!$B$9-1)*Presion_cilindro!$B$33*(IF(Presion_cilindro!N362&gt;(-B$4+Presion_cilindro!$B$34),1-EXP(-Presion_cilindro!$B$16*((Presion_cilindro!N362-(-B$4+Presion_cilindro!$B$34))/Presion_cilindro!$B$35)^(Presion_cilindro!$B$17+1)),0)-IF(Presion_cilindro!N361&gt;(-B$4+Presion_cilindro!$B$34),1-EXP(-Presion_cilindro!$B$16*((Presion_cilindro!N361-(-B$4+Presion_cilindro!$B$34))/Presion_cilindro!$B$35)^(Presion_cilindro!$B$17+1)),0))/((Presion_cilindro!O361+Presion_cilindro!O362)/2)</f>
        <v>15.375305066297368</v>
      </c>
      <c r="C370" s="27">
        <f>C369*(Presion_cilindro!O361/Presion_cilindro!O362)^Presion_cilindro!$B$9+10*(Presion_cilindro!$B$9-1)*Presion_cilindro!$B$33*(IF(Presion_cilindro!N362&gt;(-C$4+Presion_cilindro!$B$34),1-EXP(-Presion_cilindro!$B$16*((Presion_cilindro!N362-(-C$4+Presion_cilindro!$B$34))/Presion_cilindro!$B$35)^(Presion_cilindro!$B$17+1)),0)-IF(Presion_cilindro!N361&gt;(-C$4+Presion_cilindro!$B$34),1-EXP(-Presion_cilindro!$B$16*((Presion_cilindro!N361-(-C$4+Presion_cilindro!$B$34))/Presion_cilindro!$B$35)^(Presion_cilindro!$B$17+1)),0))/((Presion_cilindro!O361+Presion_cilindro!O362)/2)</f>
        <v>15.375305066297368</v>
      </c>
      <c r="D370" s="27">
        <f>D369*(Presion_cilindro!O361/Presion_cilindro!O362)^Presion_cilindro!$B$9+10*(Presion_cilindro!$B$9-1)*Presion_cilindro!$B$33*(IF(Presion_cilindro!N362&gt;(-D$4+Presion_cilindro!$B$34),1-EXP(-Presion_cilindro!$B$16*((Presion_cilindro!N362-(-D$4+Presion_cilindro!$B$34))/Presion_cilindro!$B$35)^(Presion_cilindro!$B$17+1)),0)-IF(Presion_cilindro!N361&gt;(-D$4+Presion_cilindro!$B$34),1-EXP(-Presion_cilindro!$B$16*((Presion_cilindro!N361-(-D$4+Presion_cilindro!$B$34))/Presion_cilindro!$B$35)^(Presion_cilindro!$B$17+1)),0))/((Presion_cilindro!O361+Presion_cilindro!O362)/2)</f>
        <v>15.382920921215117</v>
      </c>
      <c r="E370" s="27">
        <f>E369*(Presion_cilindro!O361/Presion_cilindro!O362)^Presion_cilindro!$B$9+10*(Presion_cilindro!$B$9-1)*Presion_cilindro!$B$33*(IF(Presion_cilindro!N362&gt;(-E$4+Presion_cilindro!$B$34),1-EXP(-Presion_cilindro!$B$16*((Presion_cilindro!N362-(-E$4+Presion_cilindro!$B$34))/Presion_cilindro!$B$35)^(Presion_cilindro!$B$17+1)),0)-IF(Presion_cilindro!N361&gt;(-E$4+Presion_cilindro!$B$34),1-EXP(-Presion_cilindro!$B$16*((Presion_cilindro!N361-(-E$4+Presion_cilindro!$B$34))/Presion_cilindro!$B$35)^(Presion_cilindro!$B$17+1)),0))/((Presion_cilindro!O361+Presion_cilindro!O362)/2)</f>
        <v>15.783837801098587</v>
      </c>
      <c r="F370" s="27">
        <f>F369*(Presion_cilindro!O361/Presion_cilindro!O362)^Presion_cilindro!$B$9+10*(Presion_cilindro!$B$9-1)*Presion_cilindro!$B$33*(IF(Presion_cilindro!N362&gt;(-F$4+Presion_cilindro!$B$34),1-EXP(-Presion_cilindro!$B$16*((Presion_cilindro!N362-(-F$4+Presion_cilindro!$B$34))/Presion_cilindro!$B$35)^(Presion_cilindro!$B$17+1)),0)-IF(Presion_cilindro!N361&gt;(-F$4+Presion_cilindro!$B$34),1-EXP(-Presion_cilindro!$B$16*((Presion_cilindro!N361-(-F$4+Presion_cilindro!$B$34))/Presion_cilindro!$B$35)^(Presion_cilindro!$B$17+1)),0))/((Presion_cilindro!O361+Presion_cilindro!O362)/2)</f>
        <v>17.458791056013599</v>
      </c>
      <c r="G370" s="27">
        <f>G369*(Presion_cilindro!O361/Presion_cilindro!O362)^Presion_cilindro!$B$9+10*(Presion_cilindro!$B$9-1)*Presion_cilindro!$B$33*(IF(Presion_cilindro!N362&gt;(-G$4+Presion_cilindro!$B$34),1-EXP(-Presion_cilindro!$B$16*((Presion_cilindro!N362-(-G$4+Presion_cilindro!$B$34))/Presion_cilindro!$B$35)^(Presion_cilindro!$B$17+1)),0)-IF(Presion_cilindro!N361&gt;(-G$4+Presion_cilindro!$B$34),1-EXP(-Presion_cilindro!$B$16*((Presion_cilindro!N361-(-G$4+Presion_cilindro!$B$34))/Presion_cilindro!$B$35)^(Presion_cilindro!$B$17+1)),0))/((Presion_cilindro!O361+Presion_cilindro!O362)/2)</f>
        <v>21.050894546027031</v>
      </c>
      <c r="H370" s="27">
        <f>H369*(Presion_cilindro!O361/Presion_cilindro!O362)^Presion_cilindro!$B$9+10*(Presion_cilindro!$B$9-1)*Presion_cilindro!$B$33*(IF(Presion_cilindro!N362&gt;(-H$4+Presion_cilindro!$B$34),1-EXP(-Presion_cilindro!$B$16*((Presion_cilindro!N362-(-H$4+Presion_cilindro!$B$34))/Presion_cilindro!$B$35)^(Presion_cilindro!$B$17+1)),0)-IF(Presion_cilindro!N361&gt;(-H$4+Presion_cilindro!$B$34),1-EXP(-Presion_cilindro!$B$16*((Presion_cilindro!N361-(-H$4+Presion_cilindro!$B$34))/Presion_cilindro!$B$35)^(Presion_cilindro!$B$17+1)),0))/((Presion_cilindro!O361+Presion_cilindro!O362)/2)</f>
        <v>26.566105071002362</v>
      </c>
      <c r="I370" s="27">
        <f>I369*(Presion_cilindro!O361/Presion_cilindro!O362)^Presion_cilindro!$B$9+10*(Presion_cilindro!$B$9-1)*Presion_cilindro!$B$33*(IF(Presion_cilindro!N362&gt;(-I$4+Presion_cilindro!$B$34),1-EXP(-Presion_cilindro!$B$16*((Presion_cilindro!N362-(-I$4+Presion_cilindro!$B$34))/Presion_cilindro!$B$35)^(Presion_cilindro!$B$17+1)),0)-IF(Presion_cilindro!N361&gt;(-I$4+Presion_cilindro!$B$34),1-EXP(-Presion_cilindro!$B$16*((Presion_cilindro!N361-(-I$4+Presion_cilindro!$B$34))/Presion_cilindro!$B$35)^(Presion_cilindro!$B$17+1)),0))/((Presion_cilindro!O361+Presion_cilindro!O362)/2)</f>
        <v>33.193805465784997</v>
      </c>
      <c r="J370" s="27">
        <f>J369*(Presion_cilindro!O361/Presion_cilindro!O362)^Presion_cilindro!$B$9+10*(Presion_cilindro!$B$9-1)*Presion_cilindro!$B$33*(IF(Presion_cilindro!N362&gt;(-J$4+Presion_cilindro!$B$34),1-EXP(-Presion_cilindro!$B$16*((Presion_cilindro!N362-(-J$4+Presion_cilindro!$B$34))/Presion_cilindro!$B$35)^(Presion_cilindro!$B$17+1)),0)-IF(Presion_cilindro!N361&gt;(-J$4+Presion_cilindro!$B$34),1-EXP(-Presion_cilindro!$B$16*((Presion_cilindro!N361-(-J$4+Presion_cilindro!$B$34))/Presion_cilindro!$B$35)^(Presion_cilindro!$B$17+1)),0))/((Presion_cilindro!O361+Presion_cilindro!O362)/2)</f>
        <v>39.62168207174247</v>
      </c>
      <c r="K370" s="27">
        <f>K369*(Presion_cilindro!O361/Presion_cilindro!O362)^Presion_cilindro!$B$9+10*(Presion_cilindro!$B$9-1)*Presion_cilindro!$B$33*(IF(Presion_cilindro!N362&gt;(-K$4+Presion_cilindro!$B$34),1-EXP(-Presion_cilindro!$B$16*((Presion_cilindro!N362-(-K$4+Presion_cilindro!$B$34))/Presion_cilindro!$B$35)^(Presion_cilindro!$B$17+1)),0)-IF(Presion_cilindro!N361&gt;(-K$4+Presion_cilindro!$B$34),1-EXP(-Presion_cilindro!$B$16*((Presion_cilindro!N361-(-K$4+Presion_cilindro!$B$34))/Presion_cilindro!$B$35)^(Presion_cilindro!$B$17+1)),0))/((Presion_cilindro!O361+Presion_cilindro!O362)/2)</f>
        <v>44.762116506321888</v>
      </c>
      <c r="L370" s="27">
        <f>L369*(Presion_cilindro!O361/Presion_cilindro!O362)^Presion_cilindro!$B$9+10*(Presion_cilindro!$B$9-1)*Presion_cilindro!$B$33*(IF(Presion_cilindro!N362&gt;(-L$4+Presion_cilindro!$B$34),1-EXP(-Presion_cilindro!$B$16*((Presion_cilindro!N362-(-L$4+Presion_cilindro!$B$34))/Presion_cilindro!$B$35)^(Presion_cilindro!$B$17+1)),0)-IF(Presion_cilindro!N361&gt;(-L$4+Presion_cilindro!$B$34),1-EXP(-Presion_cilindro!$B$16*((Presion_cilindro!N361-(-L$4+Presion_cilindro!$B$34))/Presion_cilindro!$B$35)^(Presion_cilindro!$B$17+1)),0))/((Presion_cilindro!O361+Presion_cilindro!O362)/2)</f>
        <v>48.318501896111243</v>
      </c>
      <c r="M370" s="27">
        <f>M369*(Presion_cilindro!O361/Presion_cilindro!O362)^Presion_cilindro!$B$9+10*(Presion_cilindro!$B$9-1)*Presion_cilindro!$B$33*(IF(Presion_cilindro!N362&gt;(-M$4+Presion_cilindro!$B$34),1-EXP(-Presion_cilindro!$B$16*((Presion_cilindro!N362-(-M$4+Presion_cilindro!$B$34))/Presion_cilindro!$B$35)^(Presion_cilindro!$B$17+1)),0)-IF(Presion_cilindro!N361&gt;(-M$4+Presion_cilindro!$B$34),1-EXP(-Presion_cilindro!$B$16*((Presion_cilindro!N361-(-M$4+Presion_cilindro!$B$34))/Presion_cilindro!$B$35)^(Presion_cilindro!$B$17+1)),0))/((Presion_cilindro!O361+Presion_cilindro!O362)/2)</f>
        <v>50.712433378184492</v>
      </c>
      <c r="N370" s="27">
        <f>N369*(Presion_cilindro!O361/Presion_cilindro!O362)^Presion_cilindro!$B$9+10*(Presion_cilindro!$B$9-1)*Presion_cilindro!$B$33*(IF(Presion_cilindro!N362&gt;(-N$4+Presion_cilindro!$B$34),1-EXP(-Presion_cilindro!$B$16*((Presion_cilindro!N362-(-N$4+Presion_cilindro!$B$34))/Presion_cilindro!$B$35)^(Presion_cilindro!$B$17+1)),0)-IF(Presion_cilindro!N361&gt;(-N$4+Presion_cilindro!$B$34),1-EXP(-Presion_cilindro!$B$16*((Presion_cilindro!N361-(-N$4+Presion_cilindro!$B$34))/Presion_cilindro!$B$35)^(Presion_cilindro!$B$17+1)),0))/((Presion_cilindro!O361+Presion_cilindro!O362)/2)</f>
        <v>52.563270647357129</v>
      </c>
    </row>
    <row r="371" spans="1:14" x14ac:dyDescent="0.25">
      <c r="A371" s="21">
        <f>Presion_cilindro!N363</f>
        <v>-0.5</v>
      </c>
      <c r="B371" s="27">
        <f>B370*(Presion_cilindro!O362/Presion_cilindro!O363)^Presion_cilindro!$B$9+10*(Presion_cilindro!$B$9-1)*Presion_cilindro!$B$33*(IF(Presion_cilindro!N363&gt;(-B$4+Presion_cilindro!$B$34),1-EXP(-Presion_cilindro!$B$16*((Presion_cilindro!N363-(-B$4+Presion_cilindro!$B$34))/Presion_cilindro!$B$35)^(Presion_cilindro!$B$17+1)),0)-IF(Presion_cilindro!N362&gt;(-B$4+Presion_cilindro!$B$34),1-EXP(-Presion_cilindro!$B$16*((Presion_cilindro!N362-(-B$4+Presion_cilindro!$B$34))/Presion_cilindro!$B$35)^(Presion_cilindro!$B$17+1)),0))/((Presion_cilindro!O362+Presion_cilindro!O363)/2)</f>
        <v>15.388817943283314</v>
      </c>
      <c r="C371" s="27">
        <f>C370*(Presion_cilindro!O362/Presion_cilindro!O363)^Presion_cilindro!$B$9+10*(Presion_cilindro!$B$9-1)*Presion_cilindro!$B$33*(IF(Presion_cilindro!N363&gt;(-C$4+Presion_cilindro!$B$34),1-EXP(-Presion_cilindro!$B$16*((Presion_cilindro!N363-(-C$4+Presion_cilindro!$B$34))/Presion_cilindro!$B$35)^(Presion_cilindro!$B$17+1)),0)-IF(Presion_cilindro!N362&gt;(-C$4+Presion_cilindro!$B$34),1-EXP(-Presion_cilindro!$B$16*((Presion_cilindro!N362-(-C$4+Presion_cilindro!$B$34))/Presion_cilindro!$B$35)^(Presion_cilindro!$B$17+1)),0))/((Presion_cilindro!O362+Presion_cilindro!O363)/2)</f>
        <v>15.388817943283314</v>
      </c>
      <c r="D371" s="27">
        <f>D370*(Presion_cilindro!O362/Presion_cilindro!O363)^Presion_cilindro!$B$9+10*(Presion_cilindro!$B$9-1)*Presion_cilindro!$B$33*(IF(Presion_cilindro!N363&gt;(-D$4+Presion_cilindro!$B$34),1-EXP(-Presion_cilindro!$B$16*((Presion_cilindro!N363-(-D$4+Presion_cilindro!$B$34))/Presion_cilindro!$B$35)^(Presion_cilindro!$B$17+1)),0)-IF(Presion_cilindro!N362&gt;(-D$4+Presion_cilindro!$B$34),1-EXP(-Presion_cilindro!$B$16*((Presion_cilindro!N362-(-D$4+Presion_cilindro!$B$34))/Presion_cilindro!$B$35)^(Presion_cilindro!$B$17+1)),0))/((Presion_cilindro!O362+Presion_cilindro!O363)/2)</f>
        <v>15.404717746464529</v>
      </c>
      <c r="E371" s="27">
        <f>E370*(Presion_cilindro!O362/Presion_cilindro!O363)^Presion_cilindro!$B$9+10*(Presion_cilindro!$B$9-1)*Presion_cilindro!$B$33*(IF(Presion_cilindro!N363&gt;(-E$4+Presion_cilindro!$B$34),1-EXP(-Presion_cilindro!$B$16*((Presion_cilindro!N363-(-E$4+Presion_cilindro!$B$34))/Presion_cilindro!$B$35)^(Presion_cilindro!$B$17+1)),0)-IF(Presion_cilindro!N362&gt;(-E$4+Presion_cilindro!$B$34),1-EXP(-Presion_cilindro!$B$16*((Presion_cilindro!N362-(-E$4+Presion_cilindro!$B$34))/Presion_cilindro!$B$35)^(Presion_cilindro!$B$17+1)),0))/((Presion_cilindro!O362+Presion_cilindro!O363)/2)</f>
        <v>15.893802873354867</v>
      </c>
      <c r="F371" s="27">
        <f>F370*(Presion_cilindro!O362/Presion_cilindro!O363)^Presion_cilindro!$B$9+10*(Presion_cilindro!$B$9-1)*Presion_cilindro!$B$33*(IF(Presion_cilindro!N363&gt;(-F$4+Presion_cilindro!$B$34),1-EXP(-Presion_cilindro!$B$16*((Presion_cilindro!N363-(-F$4+Presion_cilindro!$B$34))/Presion_cilindro!$B$35)^(Presion_cilindro!$B$17+1)),0)-IF(Presion_cilindro!N362&gt;(-F$4+Presion_cilindro!$B$34),1-EXP(-Presion_cilindro!$B$16*((Presion_cilindro!N362-(-F$4+Presion_cilindro!$B$34))/Presion_cilindro!$B$35)^(Presion_cilindro!$B$17+1)),0))/((Presion_cilindro!O362+Presion_cilindro!O363)/2)</f>
        <v>17.739138910429396</v>
      </c>
      <c r="G371" s="27">
        <f>G370*(Presion_cilindro!O362/Presion_cilindro!O363)^Presion_cilindro!$B$9+10*(Presion_cilindro!$B$9-1)*Presion_cilindro!$B$33*(IF(Presion_cilindro!N363&gt;(-G$4+Presion_cilindro!$B$34),1-EXP(-Presion_cilindro!$B$16*((Presion_cilindro!N363-(-G$4+Presion_cilindro!$B$34))/Presion_cilindro!$B$35)^(Presion_cilindro!$B$17+1)),0)-IF(Presion_cilindro!N362&gt;(-G$4+Presion_cilindro!$B$34),1-EXP(-Presion_cilindro!$B$16*((Presion_cilindro!N362-(-G$4+Presion_cilindro!$B$34))/Presion_cilindro!$B$35)^(Presion_cilindro!$B$17+1)),0))/((Presion_cilindro!O362+Presion_cilindro!O363)/2)</f>
        <v>21.534571290900914</v>
      </c>
      <c r="H371" s="27">
        <f>H370*(Presion_cilindro!O362/Presion_cilindro!O363)^Presion_cilindro!$B$9+10*(Presion_cilindro!$B$9-1)*Presion_cilindro!$B$33*(IF(Presion_cilindro!N363&gt;(-H$4+Presion_cilindro!$B$34),1-EXP(-Presion_cilindro!$B$16*((Presion_cilindro!N363-(-H$4+Presion_cilindro!$B$34))/Presion_cilindro!$B$35)^(Presion_cilindro!$B$17+1)),0)-IF(Presion_cilindro!N362&gt;(-H$4+Presion_cilindro!$B$34),1-EXP(-Presion_cilindro!$B$16*((Presion_cilindro!N362-(-H$4+Presion_cilindro!$B$34))/Presion_cilindro!$B$35)^(Presion_cilindro!$B$17+1)),0))/((Presion_cilindro!O362+Presion_cilindro!O363)/2)</f>
        <v>27.203764527135231</v>
      </c>
      <c r="I371" s="27">
        <f>I370*(Presion_cilindro!O362/Presion_cilindro!O363)^Presion_cilindro!$B$9+10*(Presion_cilindro!$B$9-1)*Presion_cilindro!$B$33*(IF(Presion_cilindro!N363&gt;(-I$4+Presion_cilindro!$B$34),1-EXP(-Presion_cilindro!$B$16*((Presion_cilindro!N363-(-I$4+Presion_cilindro!$B$34))/Presion_cilindro!$B$35)^(Presion_cilindro!$B$17+1)),0)-IF(Presion_cilindro!N362&gt;(-I$4+Presion_cilindro!$B$34),1-EXP(-Presion_cilindro!$B$16*((Presion_cilindro!N362-(-I$4+Presion_cilindro!$B$34))/Presion_cilindro!$B$35)^(Presion_cilindro!$B$17+1)),0))/((Presion_cilindro!O362+Presion_cilindro!O363)/2)</f>
        <v>33.860458719500649</v>
      </c>
      <c r="J371" s="27">
        <f>J370*(Presion_cilindro!O362/Presion_cilindro!O363)^Presion_cilindro!$B$9+10*(Presion_cilindro!$B$9-1)*Presion_cilindro!$B$33*(IF(Presion_cilindro!N363&gt;(-J$4+Presion_cilindro!$B$34),1-EXP(-Presion_cilindro!$B$16*((Presion_cilindro!N363-(-J$4+Presion_cilindro!$B$34))/Presion_cilindro!$B$35)^(Presion_cilindro!$B$17+1)),0)-IF(Presion_cilindro!N362&gt;(-J$4+Presion_cilindro!$B$34),1-EXP(-Presion_cilindro!$B$16*((Presion_cilindro!N362-(-J$4+Presion_cilindro!$B$34))/Presion_cilindro!$B$35)^(Presion_cilindro!$B$17+1)),0))/((Presion_cilindro!O362+Presion_cilindro!O363)/2)</f>
        <v>40.179095191101368</v>
      </c>
      <c r="K371" s="27">
        <f>K370*(Presion_cilindro!O362/Presion_cilindro!O363)^Presion_cilindro!$B$9+10*(Presion_cilindro!$B$9-1)*Presion_cilindro!$B$33*(IF(Presion_cilindro!N363&gt;(-K$4+Presion_cilindro!$B$34),1-EXP(-Presion_cilindro!$B$16*((Presion_cilindro!N363-(-K$4+Presion_cilindro!$B$34))/Presion_cilindro!$B$35)^(Presion_cilindro!$B$17+1)),0)-IF(Presion_cilindro!N362&gt;(-K$4+Presion_cilindro!$B$34),1-EXP(-Presion_cilindro!$B$16*((Presion_cilindro!N362-(-K$4+Presion_cilindro!$B$34))/Presion_cilindro!$B$35)^(Presion_cilindro!$B$17+1)),0))/((Presion_cilindro!O362+Presion_cilindro!O363)/2)</f>
        <v>45.136365297249561</v>
      </c>
      <c r="L371" s="27">
        <f>L370*(Presion_cilindro!O362/Presion_cilindro!O363)^Presion_cilindro!$B$9+10*(Presion_cilindro!$B$9-1)*Presion_cilindro!$B$33*(IF(Presion_cilindro!N363&gt;(-L$4+Presion_cilindro!$B$34),1-EXP(-Presion_cilindro!$B$16*((Presion_cilindro!N363-(-L$4+Presion_cilindro!$B$34))/Presion_cilindro!$B$35)^(Presion_cilindro!$B$17+1)),0)-IF(Presion_cilindro!N362&gt;(-L$4+Presion_cilindro!$B$34),1-EXP(-Presion_cilindro!$B$16*((Presion_cilindro!N362-(-L$4+Presion_cilindro!$B$34))/Presion_cilindro!$B$35)^(Presion_cilindro!$B$17+1)),0))/((Presion_cilindro!O362+Presion_cilindro!O363)/2)</f>
        <v>48.525729545740099</v>
      </c>
      <c r="M371" s="27">
        <f>M370*(Presion_cilindro!O362/Presion_cilindro!O363)^Presion_cilindro!$B$9+10*(Presion_cilindro!$B$9-1)*Presion_cilindro!$B$33*(IF(Presion_cilindro!N363&gt;(-M$4+Presion_cilindro!$B$34),1-EXP(-Presion_cilindro!$B$16*((Presion_cilindro!N363-(-M$4+Presion_cilindro!$B$34))/Presion_cilindro!$B$35)^(Presion_cilindro!$B$17+1)),0)-IF(Presion_cilindro!N362&gt;(-M$4+Presion_cilindro!$B$34),1-EXP(-Presion_cilindro!$B$16*((Presion_cilindro!N362-(-M$4+Presion_cilindro!$B$34))/Presion_cilindro!$B$35)^(Presion_cilindro!$B$17+1)),0))/((Presion_cilindro!O362+Presion_cilindro!O363)/2)</f>
        <v>50.817846051770474</v>
      </c>
      <c r="N371" s="27">
        <f>N370*(Presion_cilindro!O362/Presion_cilindro!O363)^Presion_cilindro!$B$9+10*(Presion_cilindro!$B$9-1)*Presion_cilindro!$B$33*(IF(Presion_cilindro!N363&gt;(-N$4+Presion_cilindro!$B$34),1-EXP(-Presion_cilindro!$B$16*((Presion_cilindro!N363-(-N$4+Presion_cilindro!$B$34))/Presion_cilindro!$B$35)^(Presion_cilindro!$B$17+1)),0)-IF(Presion_cilindro!N362&gt;(-N$4+Presion_cilindro!$B$34),1-EXP(-Presion_cilindro!$B$16*((Presion_cilindro!N362-(-N$4+Presion_cilindro!$B$34))/Presion_cilindro!$B$35)^(Presion_cilindro!$B$17+1)),0))/((Presion_cilindro!O362+Presion_cilindro!O363)/2)</f>
        <v>52.625916444822856</v>
      </c>
    </row>
    <row r="372" spans="1:14" x14ac:dyDescent="0.25">
      <c r="A372" s="21">
        <f>Presion_cilindro!N364</f>
        <v>0</v>
      </c>
      <c r="B372" s="27">
        <f>B371*(Presion_cilindro!O363/Presion_cilindro!O364)^Presion_cilindro!$B$9+10*(Presion_cilindro!$B$9-1)*Presion_cilindro!$B$33*(IF(Presion_cilindro!N364&gt;(-B$4+Presion_cilindro!$B$34),1-EXP(-Presion_cilindro!$B$16*((Presion_cilindro!N364-(-B$4+Presion_cilindro!$B$34))/Presion_cilindro!$B$35)^(Presion_cilindro!$B$17+1)),0)-IF(Presion_cilindro!N363&gt;(-B$4+Presion_cilindro!$B$34),1-EXP(-Presion_cilindro!$B$16*((Presion_cilindro!N363-(-B$4+Presion_cilindro!$B$34))/Presion_cilindro!$B$35)^(Presion_cilindro!$B$17+1)),0))/((Presion_cilindro!O363+Presion_cilindro!O364)/2)</f>
        <v>15.393327044416075</v>
      </c>
      <c r="C372" s="27">
        <f>C371*(Presion_cilindro!O363/Presion_cilindro!O364)^Presion_cilindro!$B$9+10*(Presion_cilindro!$B$9-1)*Presion_cilindro!$B$33*(IF(Presion_cilindro!N364&gt;(-C$4+Presion_cilindro!$B$34),1-EXP(-Presion_cilindro!$B$16*((Presion_cilindro!N364-(-C$4+Presion_cilindro!$B$34))/Presion_cilindro!$B$35)^(Presion_cilindro!$B$17+1)),0)-IF(Presion_cilindro!N363&gt;(-C$4+Presion_cilindro!$B$34),1-EXP(-Presion_cilindro!$B$16*((Presion_cilindro!N363-(-C$4+Presion_cilindro!$B$34))/Presion_cilindro!$B$35)^(Presion_cilindro!$B$17+1)),0))/((Presion_cilindro!O363+Presion_cilindro!O364)/2)</f>
        <v>15.393327044416075</v>
      </c>
      <c r="D372" s="27">
        <f>D371*(Presion_cilindro!O363/Presion_cilindro!O364)^Presion_cilindro!$B$9+10*(Presion_cilindro!$B$9-1)*Presion_cilindro!$B$33*(IF(Presion_cilindro!N364&gt;(-D$4+Presion_cilindro!$B$34),1-EXP(-Presion_cilindro!$B$16*((Presion_cilindro!N364-(-D$4+Presion_cilindro!$B$34))/Presion_cilindro!$B$35)^(Presion_cilindro!$B$17+1)),0)-IF(Presion_cilindro!N363&gt;(-D$4+Presion_cilindro!$B$34),1-EXP(-Presion_cilindro!$B$16*((Presion_cilindro!N363-(-D$4+Presion_cilindro!$B$34))/Presion_cilindro!$B$35)^(Presion_cilindro!$B$17+1)),0))/((Presion_cilindro!O363+Presion_cilindro!O364)/2)</f>
        <v>15.42201790959791</v>
      </c>
      <c r="E372" s="27">
        <f>E371*(Presion_cilindro!O363/Presion_cilindro!O364)^Presion_cilindro!$B$9+10*(Presion_cilindro!$B$9-1)*Presion_cilindro!$B$33*(IF(Presion_cilindro!N364&gt;(-E$4+Presion_cilindro!$B$34),1-EXP(-Presion_cilindro!$B$16*((Presion_cilindro!N364-(-E$4+Presion_cilindro!$B$34))/Presion_cilindro!$B$35)^(Presion_cilindro!$B$17+1)),0)-IF(Presion_cilindro!N363&gt;(-E$4+Presion_cilindro!$B$34),1-EXP(-Presion_cilindro!$B$16*((Presion_cilindro!N363-(-E$4+Presion_cilindro!$B$34))/Presion_cilindro!$B$35)^(Presion_cilindro!$B$17+1)),0))/((Presion_cilindro!O363+Presion_cilindro!O364)/2)</f>
        <v>16.008348232115836</v>
      </c>
      <c r="F372" s="27">
        <f>F371*(Presion_cilindro!O363/Presion_cilindro!O364)^Presion_cilindro!$B$9+10*(Presion_cilindro!$B$9-1)*Presion_cilindro!$B$33*(IF(Presion_cilindro!N364&gt;(-F$4+Presion_cilindro!$B$34),1-EXP(-Presion_cilindro!$B$16*((Presion_cilindro!N364-(-F$4+Presion_cilindro!$B$34))/Presion_cilindro!$B$35)^(Presion_cilindro!$B$17+1)),0)-IF(Presion_cilindro!N363&gt;(-F$4+Presion_cilindro!$B$34),1-EXP(-Presion_cilindro!$B$16*((Presion_cilindro!N363-(-F$4+Presion_cilindro!$B$34))/Presion_cilindro!$B$35)^(Presion_cilindro!$B$17+1)),0))/((Presion_cilindro!O363+Presion_cilindro!O364)/2)</f>
        <v>18.029249247205289</v>
      </c>
      <c r="G372" s="27">
        <f>G371*(Presion_cilindro!O363/Presion_cilindro!O364)^Presion_cilindro!$B$9+10*(Presion_cilindro!$B$9-1)*Presion_cilindro!$B$33*(IF(Presion_cilindro!N364&gt;(-G$4+Presion_cilindro!$B$34),1-EXP(-Presion_cilindro!$B$16*((Presion_cilindro!N364-(-G$4+Presion_cilindro!$B$34))/Presion_cilindro!$B$35)^(Presion_cilindro!$B$17+1)),0)-IF(Presion_cilindro!N363&gt;(-G$4+Presion_cilindro!$B$34),1-EXP(-Presion_cilindro!$B$16*((Presion_cilindro!N363-(-G$4+Presion_cilindro!$B$34))/Presion_cilindro!$B$35)^(Presion_cilindro!$B$17+1)),0))/((Presion_cilindro!O363+Presion_cilindro!O364)/2)</f>
        <v>22.024966107706039</v>
      </c>
      <c r="H372" s="27">
        <f>H371*(Presion_cilindro!O363/Presion_cilindro!O364)^Presion_cilindro!$B$9+10*(Presion_cilindro!$B$9-1)*Presion_cilindro!$B$33*(IF(Presion_cilindro!N364&gt;(-H$4+Presion_cilindro!$B$34),1-EXP(-Presion_cilindro!$B$16*((Presion_cilindro!N364-(-H$4+Presion_cilindro!$B$34))/Presion_cilindro!$B$35)^(Presion_cilindro!$B$17+1)),0)-IF(Presion_cilindro!N363&gt;(-H$4+Presion_cilindro!$B$34),1-EXP(-Presion_cilindro!$B$16*((Presion_cilindro!N363-(-H$4+Presion_cilindro!$B$34))/Presion_cilindro!$B$35)^(Presion_cilindro!$B$17+1)),0))/((Presion_cilindro!O363+Presion_cilindro!O364)/2)</f>
        <v>27.83515439747719</v>
      </c>
      <c r="I372" s="27">
        <f>I371*(Presion_cilindro!O363/Presion_cilindro!O364)^Presion_cilindro!$B$9+10*(Presion_cilindro!$B$9-1)*Presion_cilindro!$B$33*(IF(Presion_cilindro!N364&gt;(-I$4+Presion_cilindro!$B$34),1-EXP(-Presion_cilindro!$B$16*((Presion_cilindro!N364-(-I$4+Presion_cilindro!$B$34))/Presion_cilindro!$B$35)^(Presion_cilindro!$B$17+1)),0)-IF(Presion_cilindro!N363&gt;(-I$4+Presion_cilindro!$B$34),1-EXP(-Presion_cilindro!$B$16*((Presion_cilindro!N363-(-I$4+Presion_cilindro!$B$34))/Presion_cilindro!$B$35)^(Presion_cilindro!$B$17+1)),0))/((Presion_cilindro!O363+Presion_cilindro!O364)/2)</f>
        <v>34.502315540992917</v>
      </c>
      <c r="J372" s="27">
        <f>J371*(Presion_cilindro!O363/Presion_cilindro!O364)^Presion_cilindro!$B$9+10*(Presion_cilindro!$B$9-1)*Presion_cilindro!$B$33*(IF(Presion_cilindro!N364&gt;(-J$4+Presion_cilindro!$B$34),1-EXP(-Presion_cilindro!$B$16*((Presion_cilindro!N364-(-J$4+Presion_cilindro!$B$34))/Presion_cilindro!$B$35)^(Presion_cilindro!$B$17+1)),0)-IF(Presion_cilindro!N363&gt;(-J$4+Presion_cilindro!$B$34),1-EXP(-Presion_cilindro!$B$16*((Presion_cilindro!N363-(-J$4+Presion_cilindro!$B$34))/Presion_cilindro!$B$35)^(Presion_cilindro!$B$17+1)),0))/((Presion_cilindro!O363+Presion_cilindro!O364)/2)</f>
        <v>40.696637330031379</v>
      </c>
      <c r="K372" s="27">
        <f>K371*(Presion_cilindro!O363/Presion_cilindro!O364)^Presion_cilindro!$B$9+10*(Presion_cilindro!$B$9-1)*Presion_cilindro!$B$33*(IF(Presion_cilindro!N364&gt;(-K$4+Presion_cilindro!$B$34),1-EXP(-Presion_cilindro!$B$16*((Presion_cilindro!N364-(-K$4+Presion_cilindro!$B$34))/Presion_cilindro!$B$35)^(Presion_cilindro!$B$17+1)),0)-IF(Presion_cilindro!N363&gt;(-K$4+Presion_cilindro!$B$34),1-EXP(-Presion_cilindro!$B$16*((Presion_cilindro!N363-(-K$4+Presion_cilindro!$B$34))/Presion_cilindro!$B$35)^(Presion_cilindro!$B$17+1)),0))/((Presion_cilindro!O363+Presion_cilindro!O364)/2)</f>
        <v>45.465547764187811</v>
      </c>
      <c r="L372" s="27">
        <f>L371*(Presion_cilindro!O363/Presion_cilindro!O364)^Presion_cilindro!$B$9+10*(Presion_cilindro!$B$9-1)*Presion_cilindro!$B$33*(IF(Presion_cilindro!N364&gt;(-L$4+Presion_cilindro!$B$34),1-EXP(-Presion_cilindro!$B$16*((Presion_cilindro!N364-(-L$4+Presion_cilindro!$B$34))/Presion_cilindro!$B$35)^(Presion_cilindro!$B$17+1)),0)-IF(Presion_cilindro!N363&gt;(-L$4+Presion_cilindro!$B$34),1-EXP(-Presion_cilindro!$B$16*((Presion_cilindro!N363-(-L$4+Presion_cilindro!$B$34))/Presion_cilindro!$B$35)^(Presion_cilindro!$B$17+1)),0))/((Presion_cilindro!O363+Presion_cilindro!O364)/2)</f>
        <v>48.691151580809375</v>
      </c>
      <c r="M372" s="27">
        <f>M371*(Presion_cilindro!O363/Presion_cilindro!O364)^Presion_cilindro!$B$9+10*(Presion_cilindro!$B$9-1)*Presion_cilindro!$B$33*(IF(Presion_cilindro!N364&gt;(-M$4+Presion_cilindro!$B$34),1-EXP(-Presion_cilindro!$B$16*((Presion_cilindro!N364-(-M$4+Presion_cilindro!$B$34))/Presion_cilindro!$B$35)^(Presion_cilindro!$B$17+1)),0)-IF(Presion_cilindro!N363&gt;(-M$4+Presion_cilindro!$B$34),1-EXP(-Presion_cilindro!$B$16*((Presion_cilindro!N363-(-M$4+Presion_cilindro!$B$34))/Presion_cilindro!$B$35)^(Presion_cilindro!$B$17+1)),0))/((Presion_cilindro!O363+Presion_cilindro!O364)/2)</f>
        <v>50.886920895500488</v>
      </c>
      <c r="N372" s="27">
        <f>N371*(Presion_cilindro!O363/Presion_cilindro!O364)^Presion_cilindro!$B$9+10*(Presion_cilindro!$B$9-1)*Presion_cilindro!$B$33*(IF(Presion_cilindro!N364&gt;(-N$4+Presion_cilindro!$B$34),1-EXP(-Presion_cilindro!$B$16*((Presion_cilindro!N364-(-N$4+Presion_cilindro!$B$34))/Presion_cilindro!$B$35)^(Presion_cilindro!$B$17+1)),0)-IF(Presion_cilindro!N363&gt;(-N$4+Presion_cilindro!$B$34),1-EXP(-Presion_cilindro!$B$16*((Presion_cilindro!N363-(-N$4+Presion_cilindro!$B$34))/Presion_cilindro!$B$35)^(Presion_cilindro!$B$17+1)),0))/((Presion_cilindro!O363+Presion_cilindro!O364)/2)</f>
        <v>52.655515705645485</v>
      </c>
    </row>
    <row r="373" spans="1:14" x14ac:dyDescent="0.25">
      <c r="A373" s="21">
        <f>Presion_cilindro!N365</f>
        <v>0.5</v>
      </c>
      <c r="B373" s="27">
        <f>B372*(Presion_cilindro!O364/Presion_cilindro!O365)^Presion_cilindro!$B$9+10*(Presion_cilindro!$B$9-1)*Presion_cilindro!$B$33*(IF(Presion_cilindro!N365&gt;(-B$4+Presion_cilindro!$B$34),1-EXP(-Presion_cilindro!$B$16*((Presion_cilindro!N365-(-B$4+Presion_cilindro!$B$34))/Presion_cilindro!$B$35)^(Presion_cilindro!$B$17+1)),0)-IF(Presion_cilindro!N364&gt;(-B$4+Presion_cilindro!$B$34),1-EXP(-Presion_cilindro!$B$16*((Presion_cilindro!N364-(-B$4+Presion_cilindro!$B$34))/Presion_cilindro!$B$35)^(Presion_cilindro!$B$17+1)),0))/((Presion_cilindro!O364+Presion_cilindro!O365)/2)</f>
        <v>15.388817943283316</v>
      </c>
      <c r="C373" s="27">
        <f>C372*(Presion_cilindro!O364/Presion_cilindro!O365)^Presion_cilindro!$B$9+10*(Presion_cilindro!$B$9-1)*Presion_cilindro!$B$33*(IF(Presion_cilindro!N365&gt;(-C$4+Presion_cilindro!$B$34),1-EXP(-Presion_cilindro!$B$16*((Presion_cilindro!N365-(-C$4+Presion_cilindro!$B$34))/Presion_cilindro!$B$35)^(Presion_cilindro!$B$17+1)),0)-IF(Presion_cilindro!N364&gt;(-C$4+Presion_cilindro!$B$34),1-EXP(-Presion_cilindro!$B$16*((Presion_cilindro!N364-(-C$4+Presion_cilindro!$B$34))/Presion_cilindro!$B$35)^(Presion_cilindro!$B$17+1)),0))/((Presion_cilindro!O364+Presion_cilindro!O365)/2)</f>
        <v>15.388817943283316</v>
      </c>
      <c r="D373" s="27">
        <f>D372*(Presion_cilindro!O364/Presion_cilindro!O365)^Presion_cilindro!$B$9+10*(Presion_cilindro!$B$9-1)*Presion_cilindro!$B$33*(IF(Presion_cilindro!N365&gt;(-D$4+Presion_cilindro!$B$34),1-EXP(-Presion_cilindro!$B$16*((Presion_cilindro!N365-(-D$4+Presion_cilindro!$B$34))/Presion_cilindro!$B$35)^(Presion_cilindro!$B$17+1)),0)-IF(Presion_cilindro!N364&gt;(-D$4+Presion_cilindro!$B$34),1-EXP(-Presion_cilindro!$B$16*((Presion_cilindro!N364-(-D$4+Presion_cilindro!$B$34))/Presion_cilindro!$B$35)^(Presion_cilindro!$B$17+1)),0))/((Presion_cilindro!O364+Presion_cilindro!O365)/2)</f>
        <v>15.435766197481549</v>
      </c>
      <c r="E373" s="27">
        <f>E372*(Presion_cilindro!O364/Presion_cilindro!O365)^Presion_cilindro!$B$9+10*(Presion_cilindro!$B$9-1)*Presion_cilindro!$B$33*(IF(Presion_cilindro!N365&gt;(-E$4+Presion_cilindro!$B$34),1-EXP(-Presion_cilindro!$B$16*((Presion_cilindro!N365-(-E$4+Presion_cilindro!$B$34))/Presion_cilindro!$B$35)^(Presion_cilindro!$B$17+1)),0)-IF(Presion_cilindro!N364&gt;(-E$4+Presion_cilindro!$B$34),1-EXP(-Presion_cilindro!$B$16*((Presion_cilindro!N364-(-E$4+Presion_cilindro!$B$34))/Presion_cilindro!$B$35)^(Presion_cilindro!$B$17+1)),0))/((Presion_cilindro!O364+Presion_cilindro!O365)/2)</f>
        <v>16.128111584472542</v>
      </c>
      <c r="F373" s="27">
        <f>F372*(Presion_cilindro!O364/Presion_cilindro!O365)^Presion_cilindro!$B$9+10*(Presion_cilindro!$B$9-1)*Presion_cilindro!$B$33*(IF(Presion_cilindro!N365&gt;(-F$4+Presion_cilindro!$B$34),1-EXP(-Presion_cilindro!$B$16*((Presion_cilindro!N365-(-F$4+Presion_cilindro!$B$34))/Presion_cilindro!$B$35)^(Presion_cilindro!$B$17+1)),0)-IF(Presion_cilindro!N364&gt;(-F$4+Presion_cilindro!$B$34),1-EXP(-Presion_cilindro!$B$16*((Presion_cilindro!N364-(-F$4+Presion_cilindro!$B$34))/Presion_cilindro!$B$35)^(Presion_cilindro!$B$17+1)),0))/((Presion_cilindro!O364+Presion_cilindro!O365)/2)</f>
        <v>18.328943905729947</v>
      </c>
      <c r="G373" s="27">
        <f>G372*(Presion_cilindro!O364/Presion_cilindro!O365)^Presion_cilindro!$B$9+10*(Presion_cilindro!$B$9-1)*Presion_cilindro!$B$33*(IF(Presion_cilindro!N365&gt;(-G$4+Presion_cilindro!$B$34),1-EXP(-Presion_cilindro!$B$16*((Presion_cilindro!N365-(-G$4+Presion_cilindro!$B$34))/Presion_cilindro!$B$35)^(Presion_cilindro!$B$17+1)),0)-IF(Presion_cilindro!N364&gt;(-G$4+Presion_cilindro!$B$34),1-EXP(-Presion_cilindro!$B$16*((Presion_cilindro!N364-(-G$4+Presion_cilindro!$B$34))/Presion_cilindro!$B$35)^(Presion_cilindro!$B$17+1)),0))/((Presion_cilindro!O364+Presion_cilindro!O365)/2)</f>
        <v>22.520696510313858</v>
      </c>
      <c r="H373" s="27">
        <f>H372*(Presion_cilindro!O364/Presion_cilindro!O365)^Presion_cilindro!$B$9+10*(Presion_cilindro!$B$9-1)*Presion_cilindro!$B$33*(IF(Presion_cilindro!N365&gt;(-H$4+Presion_cilindro!$B$34),1-EXP(-Presion_cilindro!$B$16*((Presion_cilindro!N365-(-H$4+Presion_cilindro!$B$34))/Presion_cilindro!$B$35)^(Presion_cilindro!$B$17+1)),0)-IF(Presion_cilindro!N364&gt;(-H$4+Presion_cilindro!$B$34),1-EXP(-Presion_cilindro!$B$16*((Presion_cilindro!N364-(-H$4+Presion_cilindro!$B$34))/Presion_cilindro!$B$35)^(Presion_cilindro!$B$17+1)),0))/((Presion_cilindro!O364+Presion_cilindro!O365)/2)</f>
        <v>28.457887131152521</v>
      </c>
      <c r="I373" s="27">
        <f>I372*(Presion_cilindro!O364/Presion_cilindro!O365)^Presion_cilindro!$B$9+10*(Presion_cilindro!$B$9-1)*Presion_cilindro!$B$33*(IF(Presion_cilindro!N365&gt;(-I$4+Presion_cilindro!$B$34),1-EXP(-Presion_cilindro!$B$16*((Presion_cilindro!N365-(-I$4+Presion_cilindro!$B$34))/Presion_cilindro!$B$35)^(Presion_cilindro!$B$17+1)),0)-IF(Presion_cilindro!N364&gt;(-I$4+Presion_cilindro!$B$34),1-EXP(-Presion_cilindro!$B$16*((Presion_cilindro!N364-(-I$4+Presion_cilindro!$B$34))/Presion_cilindro!$B$35)^(Presion_cilindro!$B$17+1)),0))/((Presion_cilindro!O364+Presion_cilindro!O365)/2)</f>
        <v>35.116900827608283</v>
      </c>
      <c r="J373" s="27">
        <f>J372*(Presion_cilindro!O364/Presion_cilindro!O365)^Presion_cilindro!$B$9+10*(Presion_cilindro!$B$9-1)*Presion_cilindro!$B$33*(IF(Presion_cilindro!N365&gt;(-J$4+Presion_cilindro!$B$34),1-EXP(-Presion_cilindro!$B$16*((Presion_cilindro!N365-(-J$4+Presion_cilindro!$B$34))/Presion_cilindro!$B$35)^(Presion_cilindro!$B$17+1)),0)-IF(Presion_cilindro!N364&gt;(-J$4+Presion_cilindro!$B$34),1-EXP(-Presion_cilindro!$B$16*((Presion_cilindro!N364-(-J$4+Presion_cilindro!$B$34))/Presion_cilindro!$B$35)^(Presion_cilindro!$B$17+1)),0))/((Presion_cilindro!O364+Presion_cilindro!O365)/2)</f>
        <v>41.172781681535703</v>
      </c>
      <c r="K373" s="27">
        <f>K372*(Presion_cilindro!O364/Presion_cilindro!O365)^Presion_cilindro!$B$9+10*(Presion_cilindro!$B$9-1)*Presion_cilindro!$B$33*(IF(Presion_cilindro!N365&gt;(-K$4+Presion_cilindro!$B$34),1-EXP(-Presion_cilindro!$B$16*((Presion_cilindro!N365-(-K$4+Presion_cilindro!$B$34))/Presion_cilindro!$B$35)^(Presion_cilindro!$B$17+1)),0)-IF(Presion_cilindro!N364&gt;(-K$4+Presion_cilindro!$B$34),1-EXP(-Presion_cilindro!$B$16*((Presion_cilindro!N364-(-K$4+Presion_cilindro!$B$34))/Presion_cilindro!$B$35)^(Presion_cilindro!$B$17+1)),0))/((Presion_cilindro!O364+Presion_cilindro!O365)/2)</f>
        <v>45.749384090327077</v>
      </c>
      <c r="L373" s="27">
        <f>L372*(Presion_cilindro!O364/Presion_cilindro!O365)^Presion_cilindro!$B$9+10*(Presion_cilindro!$B$9-1)*Presion_cilindro!$B$33*(IF(Presion_cilindro!N365&gt;(-L$4+Presion_cilindro!$B$34),1-EXP(-Presion_cilindro!$B$16*((Presion_cilindro!N365-(-L$4+Presion_cilindro!$B$34))/Presion_cilindro!$B$35)^(Presion_cilindro!$B$17+1)),0)-IF(Presion_cilindro!N364&gt;(-L$4+Presion_cilindro!$B$34),1-EXP(-Presion_cilindro!$B$16*((Presion_cilindro!N364-(-L$4+Presion_cilindro!$B$34))/Presion_cilindro!$B$35)^(Presion_cilindro!$B$17+1)),0))/((Presion_cilindro!O364+Presion_cilindro!O365)/2)</f>
        <v>48.815187857299605</v>
      </c>
      <c r="M373" s="27">
        <f>M372*(Presion_cilindro!O364/Presion_cilindro!O365)^Presion_cilindro!$B$9+10*(Presion_cilindro!$B$9-1)*Presion_cilindro!$B$33*(IF(Presion_cilindro!N365&gt;(-M$4+Presion_cilindro!$B$34),1-EXP(-Presion_cilindro!$B$16*((Presion_cilindro!N365-(-M$4+Presion_cilindro!$B$34))/Presion_cilindro!$B$35)^(Presion_cilindro!$B$17+1)),0)-IF(Presion_cilindro!N364&gt;(-M$4+Presion_cilindro!$B$34),1-EXP(-Presion_cilindro!$B$16*((Presion_cilindro!N364-(-M$4+Presion_cilindro!$B$34))/Presion_cilindro!$B$35)^(Presion_cilindro!$B$17+1)),0))/((Presion_cilindro!O364+Presion_cilindro!O365)/2)</f>
        <v>50.920097058932299</v>
      </c>
      <c r="N373" s="27">
        <f>N372*(Presion_cilindro!O364/Presion_cilindro!O365)^Presion_cilindro!$B$9+10*(Presion_cilindro!$B$9-1)*Presion_cilindro!$B$33*(IF(Presion_cilindro!N365&gt;(-N$4+Presion_cilindro!$B$34),1-EXP(-Presion_cilindro!$B$16*((Presion_cilindro!N365-(-N$4+Presion_cilindro!$B$34))/Presion_cilindro!$B$35)^(Presion_cilindro!$B$17+1)),0)-IF(Presion_cilindro!N364&gt;(-N$4+Presion_cilindro!$B$34),1-EXP(-Presion_cilindro!$B$16*((Presion_cilindro!N364-(-N$4+Presion_cilindro!$B$34))/Presion_cilindro!$B$35)^(Presion_cilindro!$B$17+1)),0))/((Presion_cilindro!O364+Presion_cilindro!O365)/2)</f>
        <v>52.652266871866196</v>
      </c>
    </row>
    <row r="374" spans="1:14" x14ac:dyDescent="0.25">
      <c r="A374" s="21">
        <f>Presion_cilindro!N366</f>
        <v>1</v>
      </c>
      <c r="B374" s="27">
        <f>B373*(Presion_cilindro!O365/Presion_cilindro!O366)^Presion_cilindro!$B$9+10*(Presion_cilindro!$B$9-1)*Presion_cilindro!$B$33*(IF(Presion_cilindro!N366&gt;(-B$4+Presion_cilindro!$B$34),1-EXP(-Presion_cilindro!$B$16*((Presion_cilindro!N366-(-B$4+Presion_cilindro!$B$34))/Presion_cilindro!$B$35)^(Presion_cilindro!$B$17+1)),0)-IF(Presion_cilindro!N365&gt;(-B$4+Presion_cilindro!$B$34),1-EXP(-Presion_cilindro!$B$16*((Presion_cilindro!N365-(-B$4+Presion_cilindro!$B$34))/Presion_cilindro!$B$35)^(Presion_cilindro!$B$17+1)),0))/((Presion_cilindro!O365+Presion_cilindro!O366)/2)</f>
        <v>15.375305066297368</v>
      </c>
      <c r="C374" s="27">
        <f>C373*(Presion_cilindro!O365/Presion_cilindro!O366)^Presion_cilindro!$B$9+10*(Presion_cilindro!$B$9-1)*Presion_cilindro!$B$33*(IF(Presion_cilindro!N366&gt;(-C$4+Presion_cilindro!$B$34),1-EXP(-Presion_cilindro!$B$16*((Presion_cilindro!N366-(-C$4+Presion_cilindro!$B$34))/Presion_cilindro!$B$35)^(Presion_cilindro!$B$17+1)),0)-IF(Presion_cilindro!N365&gt;(-C$4+Presion_cilindro!$B$34),1-EXP(-Presion_cilindro!$B$16*((Presion_cilindro!N365-(-C$4+Presion_cilindro!$B$34))/Presion_cilindro!$B$35)^(Presion_cilindro!$B$17+1)),0))/((Presion_cilindro!O365+Presion_cilindro!O366)/2)</f>
        <v>15.375305066297368</v>
      </c>
      <c r="D374" s="27">
        <f>D373*(Presion_cilindro!O365/Presion_cilindro!O366)^Presion_cilindro!$B$9+10*(Presion_cilindro!$B$9-1)*Presion_cilindro!$B$33*(IF(Presion_cilindro!N366&gt;(-D$4+Presion_cilindro!$B$34),1-EXP(-Presion_cilindro!$B$16*((Presion_cilindro!N366-(-D$4+Presion_cilindro!$B$34))/Presion_cilindro!$B$35)^(Presion_cilindro!$B$17+1)),0)-IF(Presion_cilindro!N365&gt;(-D$4+Presion_cilindro!$B$34),1-EXP(-Presion_cilindro!$B$16*((Presion_cilindro!N365-(-D$4+Presion_cilindro!$B$34))/Presion_cilindro!$B$35)^(Presion_cilindro!$B$17+1)),0))/((Presion_cilindro!O365+Presion_cilindro!O366)/2)</f>
        <v>15.446915521332681</v>
      </c>
      <c r="E374" s="27">
        <f>E373*(Presion_cilindro!O365/Presion_cilindro!O366)^Presion_cilindro!$B$9+10*(Presion_cilindro!$B$9-1)*Presion_cilindro!$B$33*(IF(Presion_cilindro!N366&gt;(-E$4+Presion_cilindro!$B$34),1-EXP(-Presion_cilindro!$B$16*((Presion_cilindro!N366-(-E$4+Presion_cilindro!$B$34))/Presion_cilindro!$B$35)^(Presion_cilindro!$B$17+1)),0)-IF(Presion_cilindro!N365&gt;(-E$4+Presion_cilindro!$B$34),1-EXP(-Presion_cilindro!$B$16*((Presion_cilindro!N365-(-E$4+Presion_cilindro!$B$34))/Presion_cilindro!$B$35)^(Presion_cilindro!$B$17+1)),0))/((Presion_cilindro!O365+Presion_cilindro!O366)/2)</f>
        <v>16.253681673804252</v>
      </c>
      <c r="F374" s="27">
        <f>F373*(Presion_cilindro!O365/Presion_cilindro!O366)^Presion_cilindro!$B$9+10*(Presion_cilindro!$B$9-1)*Presion_cilindro!$B$33*(IF(Presion_cilindro!N366&gt;(-F$4+Presion_cilindro!$B$34),1-EXP(-Presion_cilindro!$B$16*((Presion_cilindro!N366-(-F$4+Presion_cilindro!$B$34))/Presion_cilindro!$B$35)^(Presion_cilindro!$B$17+1)),0)-IF(Presion_cilindro!N365&gt;(-F$4+Presion_cilindro!$B$34),1-EXP(-Presion_cilindro!$B$16*((Presion_cilindro!N365-(-F$4+Presion_cilindro!$B$34))/Presion_cilindro!$B$35)^(Presion_cilindro!$B$17+1)),0))/((Presion_cilindro!O365+Presion_cilindro!O366)/2)</f>
        <v>18.637939814402522</v>
      </c>
      <c r="G374" s="27">
        <f>G373*(Presion_cilindro!O365/Presion_cilindro!O366)^Presion_cilindro!$B$9+10*(Presion_cilindro!$B$9-1)*Presion_cilindro!$B$33*(IF(Presion_cilindro!N366&gt;(-G$4+Presion_cilindro!$B$34),1-EXP(-Presion_cilindro!$B$16*((Presion_cilindro!N366-(-G$4+Presion_cilindro!$B$34))/Presion_cilindro!$B$35)^(Presion_cilindro!$B$17+1)),0)-IF(Presion_cilindro!N365&gt;(-G$4+Presion_cilindro!$B$34),1-EXP(-Presion_cilindro!$B$16*((Presion_cilindro!N365-(-G$4+Presion_cilindro!$B$34))/Presion_cilindro!$B$35)^(Presion_cilindro!$B$17+1)),0))/((Presion_cilindro!O365+Presion_cilindro!O366)/2)</f>
        <v>23.020272421759152</v>
      </c>
      <c r="H374" s="27">
        <f>H373*(Presion_cilindro!O365/Presion_cilindro!O366)^Presion_cilindro!$B$9+10*(Presion_cilindro!$B$9-1)*Presion_cilindro!$B$33*(IF(Presion_cilindro!N366&gt;(-H$4+Presion_cilindro!$B$34),1-EXP(-Presion_cilindro!$B$16*((Presion_cilindro!N366-(-H$4+Presion_cilindro!$B$34))/Presion_cilindro!$B$35)^(Presion_cilindro!$B$17+1)),0)-IF(Presion_cilindro!N365&gt;(-H$4+Presion_cilindro!$B$34),1-EXP(-Presion_cilindro!$B$16*((Presion_cilindro!N365-(-H$4+Presion_cilindro!$B$34))/Presion_cilindro!$B$35)^(Presion_cilindro!$B$17+1)),0))/((Presion_cilindro!O365+Presion_cilindro!O366)/2)</f>
        <v>29.069557725940886</v>
      </c>
      <c r="I374" s="27">
        <f>I373*(Presion_cilindro!O365/Presion_cilindro!O366)^Presion_cilindro!$B$9+10*(Presion_cilindro!$B$9-1)*Presion_cilindro!$B$33*(IF(Presion_cilindro!N366&gt;(-I$4+Presion_cilindro!$B$34),1-EXP(-Presion_cilindro!$B$16*((Presion_cilindro!N366-(-I$4+Presion_cilindro!$B$34))/Presion_cilindro!$B$35)^(Presion_cilindro!$B$17+1)),0)-IF(Presion_cilindro!N365&gt;(-I$4+Presion_cilindro!$B$34),1-EXP(-Presion_cilindro!$B$16*((Presion_cilindro!N365-(-I$4+Presion_cilindro!$B$34))/Presion_cilindro!$B$35)^(Presion_cilindro!$B$17+1)),0))/((Presion_cilindro!O365+Presion_cilindro!O366)/2)</f>
        <v>35.701869833958753</v>
      </c>
      <c r="J374" s="27">
        <f>J373*(Presion_cilindro!O365/Presion_cilindro!O366)^Presion_cilindro!$B$9+10*(Presion_cilindro!$B$9-1)*Presion_cilindro!$B$33*(IF(Presion_cilindro!N366&gt;(-J$4+Presion_cilindro!$B$34),1-EXP(-Presion_cilindro!$B$16*((Presion_cilindro!N366-(-J$4+Presion_cilindro!$B$34))/Presion_cilindro!$B$35)^(Presion_cilindro!$B$17+1)),0)-IF(Presion_cilindro!N365&gt;(-J$4+Presion_cilindro!$B$34),1-EXP(-Presion_cilindro!$B$16*((Presion_cilindro!N365-(-J$4+Presion_cilindro!$B$34))/Presion_cilindro!$B$35)^(Presion_cilindro!$B$17+1)),0))/((Presion_cilindro!O365+Presion_cilindro!O366)/2)</f>
        <v>41.606231842635573</v>
      </c>
      <c r="K374" s="27">
        <f>K373*(Presion_cilindro!O365/Presion_cilindro!O366)^Presion_cilindro!$B$9+10*(Presion_cilindro!$B$9-1)*Presion_cilindro!$B$33*(IF(Presion_cilindro!N366&gt;(-K$4+Presion_cilindro!$B$34),1-EXP(-Presion_cilindro!$B$16*((Presion_cilindro!N366-(-K$4+Presion_cilindro!$B$34))/Presion_cilindro!$B$35)^(Presion_cilindro!$B$17+1)),0)-IF(Presion_cilindro!N365&gt;(-K$4+Presion_cilindro!$B$34),1-EXP(-Presion_cilindro!$B$16*((Presion_cilindro!N365-(-K$4+Presion_cilindro!$B$34))/Presion_cilindro!$B$35)^(Presion_cilindro!$B$17+1)),0))/((Presion_cilindro!O365+Presion_cilindro!O366)/2)</f>
        <v>45.987810700041159</v>
      </c>
      <c r="L374" s="27">
        <f>L373*(Presion_cilindro!O365/Presion_cilindro!O366)^Presion_cilindro!$B$9+10*(Presion_cilindro!$B$9-1)*Presion_cilindro!$B$33*(IF(Presion_cilindro!N366&gt;(-L$4+Presion_cilindro!$B$34),1-EXP(-Presion_cilindro!$B$16*((Presion_cilindro!N366-(-L$4+Presion_cilindro!$B$34))/Presion_cilindro!$B$35)^(Presion_cilindro!$B$17+1)),0)-IF(Presion_cilindro!N365&gt;(-L$4+Presion_cilindro!$B$34),1-EXP(-Presion_cilindro!$B$16*((Presion_cilindro!N365-(-L$4+Presion_cilindro!$B$34))/Presion_cilindro!$B$35)^(Presion_cilindro!$B$17+1)),0))/((Presion_cilindro!O365+Presion_cilindro!O366)/2)</f>
        <v>48.898395845914074</v>
      </c>
      <c r="M374" s="27">
        <f>M373*(Presion_cilindro!O365/Presion_cilindro!O366)^Presion_cilindro!$B$9+10*(Presion_cilindro!$B$9-1)*Presion_cilindro!$B$33*(IF(Presion_cilindro!N366&gt;(-M$4+Presion_cilindro!$B$34),1-EXP(-Presion_cilindro!$B$16*((Presion_cilindro!N366-(-M$4+Presion_cilindro!$B$34))/Presion_cilindro!$B$35)^(Presion_cilindro!$B$17+1)),0)-IF(Presion_cilindro!N365&gt;(-M$4+Presion_cilindro!$B$34),1-EXP(-Presion_cilindro!$B$16*((Presion_cilindro!N365-(-M$4+Presion_cilindro!$B$34))/Presion_cilindro!$B$35)^(Presion_cilindro!$B$17+1)),0))/((Presion_cilindro!O365+Presion_cilindro!O366)/2)</f>
        <v>50.9178976831246</v>
      </c>
      <c r="N374" s="27">
        <f>N373*(Presion_cilindro!O365/Presion_cilindro!O366)^Presion_cilindro!$B$9+10*(Presion_cilindro!$B$9-1)*Presion_cilindro!$B$33*(IF(Presion_cilindro!N366&gt;(-N$4+Presion_cilindro!$B$34),1-EXP(-Presion_cilindro!$B$16*((Presion_cilindro!N366-(-N$4+Presion_cilindro!$B$34))/Presion_cilindro!$B$35)^(Presion_cilindro!$B$17+1)),0)-IF(Presion_cilindro!N365&gt;(-N$4+Presion_cilindro!$B$34),1-EXP(-Presion_cilindro!$B$16*((Presion_cilindro!N365-(-N$4+Presion_cilindro!$B$34))/Presion_cilindro!$B$35)^(Presion_cilindro!$B$17+1)),0))/((Presion_cilindro!O365+Presion_cilindro!O366)/2)</f>
        <v>52.616447203415234</v>
      </c>
    </row>
    <row r="375" spans="1:14" x14ac:dyDescent="0.25">
      <c r="A375" s="21">
        <f>Presion_cilindro!N367</f>
        <v>1.5</v>
      </c>
      <c r="B375" s="27">
        <f>B374*(Presion_cilindro!O366/Presion_cilindro!O367)^Presion_cilindro!$B$9+10*(Presion_cilindro!$B$9-1)*Presion_cilindro!$B$33*(IF(Presion_cilindro!N367&gt;(-B$4+Presion_cilindro!$B$34),1-EXP(-Presion_cilindro!$B$16*((Presion_cilindro!N367-(-B$4+Presion_cilindro!$B$34))/Presion_cilindro!$B$35)^(Presion_cilindro!$B$17+1)),0)-IF(Presion_cilindro!N366&gt;(-B$4+Presion_cilindro!$B$34),1-EXP(-Presion_cilindro!$B$16*((Presion_cilindro!N366-(-B$4+Presion_cilindro!$B$34))/Presion_cilindro!$B$35)^(Presion_cilindro!$B$17+1)),0))/((Presion_cilindro!O366+Presion_cilindro!O367)/2)</f>
        <v>15.352831582558787</v>
      </c>
      <c r="C375" s="27">
        <f>C374*(Presion_cilindro!O366/Presion_cilindro!O367)^Presion_cilindro!$B$9+10*(Presion_cilindro!$B$9-1)*Presion_cilindro!$B$33*(IF(Presion_cilindro!N367&gt;(-C$4+Presion_cilindro!$B$34),1-EXP(-Presion_cilindro!$B$16*((Presion_cilindro!N367-(-C$4+Presion_cilindro!$B$34))/Presion_cilindro!$B$35)^(Presion_cilindro!$B$17+1)),0)-IF(Presion_cilindro!N366&gt;(-C$4+Presion_cilindro!$B$34),1-EXP(-Presion_cilindro!$B$16*((Presion_cilindro!N366-(-C$4+Presion_cilindro!$B$34))/Presion_cilindro!$B$35)^(Presion_cilindro!$B$17+1)),0))/((Presion_cilindro!O366+Presion_cilindro!O367)/2)</f>
        <v>15.352831582558787</v>
      </c>
      <c r="D375" s="27">
        <f>D374*(Presion_cilindro!O366/Presion_cilindro!O367)^Presion_cilindro!$B$9+10*(Presion_cilindro!$B$9-1)*Presion_cilindro!$B$33*(IF(Presion_cilindro!N367&gt;(-D$4+Presion_cilindro!$B$34),1-EXP(-Presion_cilindro!$B$16*((Presion_cilindro!N367-(-D$4+Presion_cilindro!$B$34))/Presion_cilindro!$B$35)^(Presion_cilindro!$B$17+1)),0)-IF(Presion_cilindro!N366&gt;(-D$4+Presion_cilindro!$B$34),1-EXP(-Presion_cilindro!$B$16*((Presion_cilindro!N366-(-D$4+Presion_cilindro!$B$34))/Presion_cilindro!$B$35)^(Presion_cilindro!$B$17+1)),0))/((Presion_cilindro!O366+Presion_cilindro!O367)/2)</f>
        <v>15.456420331757007</v>
      </c>
      <c r="E375" s="27">
        <f>E374*(Presion_cilindro!O366/Presion_cilindro!O367)^Presion_cilindro!$B$9+10*(Presion_cilindro!$B$9-1)*Presion_cilindro!$B$33*(IF(Presion_cilindro!N367&gt;(-E$4+Presion_cilindro!$B$34),1-EXP(-Presion_cilindro!$B$16*((Presion_cilindro!N367-(-E$4+Presion_cilindro!$B$34))/Presion_cilindro!$B$35)^(Presion_cilindro!$B$17+1)),0)-IF(Presion_cilindro!N366&gt;(-E$4+Presion_cilindro!$B$34),1-EXP(-Presion_cilindro!$B$16*((Presion_cilindro!N366-(-E$4+Presion_cilindro!$B$34))/Presion_cilindro!$B$35)^(Presion_cilindro!$B$17+1)),0))/((Presion_cilindro!O366+Presion_cilindro!O367)/2)</f>
        <v>16.385591244489685</v>
      </c>
      <c r="F375" s="27">
        <f>F374*(Presion_cilindro!O366/Presion_cilindro!O367)^Presion_cilindro!$B$9+10*(Presion_cilindro!$B$9-1)*Presion_cilindro!$B$33*(IF(Presion_cilindro!N367&gt;(-F$4+Presion_cilindro!$B$34),1-EXP(-Presion_cilindro!$B$16*((Presion_cilindro!N367-(-F$4+Presion_cilindro!$B$34))/Presion_cilindro!$B$35)^(Presion_cilindro!$B$17+1)),0)-IF(Presion_cilindro!N366&gt;(-F$4+Presion_cilindro!$B$34),1-EXP(-Presion_cilindro!$B$16*((Presion_cilindro!N366-(-F$4+Presion_cilindro!$B$34))/Presion_cilindro!$B$35)^(Presion_cilindro!$B$17+1)),0))/((Presion_cilindro!O366+Presion_cilindro!O367)/2)</f>
        <v>18.955846996755707</v>
      </c>
      <c r="G375" s="27">
        <f>G374*(Presion_cilindro!O366/Presion_cilindro!O367)^Presion_cilindro!$B$9+10*(Presion_cilindro!$B$9-1)*Presion_cilindro!$B$33*(IF(Presion_cilindro!N367&gt;(-G$4+Presion_cilindro!$B$34),1-EXP(-Presion_cilindro!$B$16*((Presion_cilindro!N367-(-G$4+Presion_cilindro!$B$34))/Presion_cilindro!$B$35)^(Presion_cilindro!$B$17+1)),0)-IF(Presion_cilindro!N366&gt;(-G$4+Presion_cilindro!$B$34),1-EXP(-Presion_cilindro!$B$16*((Presion_cilindro!N366-(-G$4+Presion_cilindro!$B$34))/Presion_cilindro!$B$35)^(Presion_cilindro!$B$17+1)),0))/((Presion_cilindro!O366+Presion_cilindro!O367)/2)</f>
        <v>23.5221054097136</v>
      </c>
      <c r="H375" s="27">
        <f>H374*(Presion_cilindro!O366/Presion_cilindro!O367)^Presion_cilindro!$B$9+10*(Presion_cilindro!$B$9-1)*Presion_cilindro!$B$33*(IF(Presion_cilindro!N367&gt;(-H$4+Presion_cilindro!$B$34),1-EXP(-Presion_cilindro!$B$16*((Presion_cilindro!N367-(-H$4+Presion_cilindro!$B$34))/Presion_cilindro!$B$35)^(Presion_cilindro!$B$17+1)),0)-IF(Presion_cilindro!N366&gt;(-H$4+Presion_cilindro!$B$34),1-EXP(-Presion_cilindro!$B$16*((Presion_cilindro!N366-(-H$4+Presion_cilindro!$B$34))/Presion_cilindro!$B$35)^(Presion_cilindro!$B$17+1)),0))/((Presion_cilindro!O366+Presion_cilindro!O367)/2)</f>
        <v>29.667763941568293</v>
      </c>
      <c r="I375" s="27">
        <f>I374*(Presion_cilindro!O366/Presion_cilindro!O367)^Presion_cilindro!$B$9+10*(Presion_cilindro!$B$9-1)*Presion_cilindro!$B$33*(IF(Presion_cilindro!N367&gt;(-I$4+Presion_cilindro!$B$34),1-EXP(-Presion_cilindro!$B$16*((Presion_cilindro!N367-(-I$4+Presion_cilindro!$B$34))/Presion_cilindro!$B$35)^(Presion_cilindro!$B$17+1)),0)-IF(Presion_cilindro!N366&gt;(-I$4+Presion_cilindro!$B$34),1-EXP(-Presion_cilindro!$B$16*((Presion_cilindro!N366-(-I$4+Presion_cilindro!$B$34))/Presion_cilindro!$B$35)^(Presion_cilindro!$B$17+1)),0))/((Presion_cilindro!O366+Presion_cilindro!O367)/2)</f>
        <v>36.255028448653249</v>
      </c>
      <c r="J375" s="27">
        <f>J374*(Presion_cilindro!O366/Presion_cilindro!O367)^Presion_cilindro!$B$9+10*(Presion_cilindro!$B$9-1)*Presion_cilindro!$B$33*(IF(Presion_cilindro!N367&gt;(-J$4+Presion_cilindro!$B$34),1-EXP(-Presion_cilindro!$B$16*((Presion_cilindro!N367-(-J$4+Presion_cilindro!$B$34))/Presion_cilindro!$B$35)^(Presion_cilindro!$B$17+1)),0)-IF(Presion_cilindro!N366&gt;(-J$4+Presion_cilindro!$B$34),1-EXP(-Presion_cilindro!$B$16*((Presion_cilindro!N366-(-J$4+Presion_cilindro!$B$34))/Presion_cilindro!$B$35)^(Presion_cilindro!$B$17+1)),0))/((Presion_cilindro!O366+Presion_cilindro!O367)/2)</f>
        <v>41.995929262796864</v>
      </c>
      <c r="K375" s="27">
        <f>K374*(Presion_cilindro!O366/Presion_cilindro!O367)^Presion_cilindro!$B$9+10*(Presion_cilindro!$B$9-1)*Presion_cilindro!$B$33*(IF(Presion_cilindro!N367&gt;(-K$4+Presion_cilindro!$B$34),1-EXP(-Presion_cilindro!$B$16*((Presion_cilindro!N367-(-K$4+Presion_cilindro!$B$34))/Presion_cilindro!$B$35)^(Presion_cilindro!$B$17+1)),0)-IF(Presion_cilindro!N366&gt;(-K$4+Presion_cilindro!$B$34),1-EXP(-Presion_cilindro!$B$16*((Presion_cilindro!N366-(-K$4+Presion_cilindro!$B$34))/Presion_cilindro!$B$35)^(Presion_cilindro!$B$17+1)),0))/((Presion_cilindro!O366+Presion_cilindro!O367)/2)</f>
        <v>46.180974255727634</v>
      </c>
      <c r="L375" s="27">
        <f>L374*(Presion_cilindro!O366/Presion_cilindro!O367)^Presion_cilindro!$B$9+10*(Presion_cilindro!$B$9-1)*Presion_cilindro!$B$33*(IF(Presion_cilindro!N367&gt;(-L$4+Presion_cilindro!$B$34),1-EXP(-Presion_cilindro!$B$16*((Presion_cilindro!N367-(-L$4+Presion_cilindro!$B$34))/Presion_cilindro!$B$35)^(Presion_cilindro!$B$17+1)),0)-IF(Presion_cilindro!N366&gt;(-L$4+Presion_cilindro!$B$34),1-EXP(-Presion_cilindro!$B$16*((Presion_cilindro!N366-(-L$4+Presion_cilindro!$B$34))/Presion_cilindro!$B$35)^(Presion_cilindro!$B$17+1)),0))/((Presion_cilindro!O366+Presion_cilindro!O367)/2)</f>
        <v>48.941461951869165</v>
      </c>
      <c r="M375" s="27">
        <f>M374*(Presion_cilindro!O366/Presion_cilindro!O367)^Presion_cilindro!$B$9+10*(Presion_cilindro!$B$9-1)*Presion_cilindro!$B$33*(IF(Presion_cilindro!N367&gt;(-M$4+Presion_cilindro!$B$34),1-EXP(-Presion_cilindro!$B$16*((Presion_cilindro!N367-(-M$4+Presion_cilindro!$B$34))/Presion_cilindro!$B$35)^(Presion_cilindro!$B$17+1)),0)-IF(Presion_cilindro!N366&gt;(-M$4+Presion_cilindro!$B$34),1-EXP(-Presion_cilindro!$B$16*((Presion_cilindro!N366-(-M$4+Presion_cilindro!$B$34))/Presion_cilindro!$B$35)^(Presion_cilindro!$B$17+1)),0))/((Presion_cilindro!O366+Presion_cilindro!O367)/2)</f>
        <v>50.880926150144909</v>
      </c>
      <c r="N375" s="27">
        <f>N374*(Presion_cilindro!O366/Presion_cilindro!O367)^Presion_cilindro!$B$9+10*(Presion_cilindro!$B$9-1)*Presion_cilindro!$B$33*(IF(Presion_cilindro!N367&gt;(-N$4+Presion_cilindro!$B$34),1-EXP(-Presion_cilindro!$B$16*((Presion_cilindro!N367-(-N$4+Presion_cilindro!$B$34))/Presion_cilindro!$B$35)^(Presion_cilindro!$B$17+1)),0)-IF(Presion_cilindro!N366&gt;(-N$4+Presion_cilindro!$B$34),1-EXP(-Presion_cilindro!$B$16*((Presion_cilindro!N366-(-N$4+Presion_cilindro!$B$34))/Presion_cilindro!$B$35)^(Presion_cilindro!$B$17+1)),0))/((Presion_cilindro!O366+Presion_cilindro!O367)/2)</f>
        <v>52.548412796451515</v>
      </c>
    </row>
    <row r="376" spans="1:14" x14ac:dyDescent="0.25">
      <c r="A376" s="21">
        <f>Presion_cilindro!N368</f>
        <v>2</v>
      </c>
      <c r="B376" s="27">
        <f>B375*(Presion_cilindro!O367/Presion_cilindro!O368)^Presion_cilindro!$B$9+10*(Presion_cilindro!$B$9-1)*Presion_cilindro!$B$33*(IF(Presion_cilindro!N368&gt;(-B$4+Presion_cilindro!$B$34),1-EXP(-Presion_cilindro!$B$16*((Presion_cilindro!N368-(-B$4+Presion_cilindro!$B$34))/Presion_cilindro!$B$35)^(Presion_cilindro!$B$17+1)),0)-IF(Presion_cilindro!N367&gt;(-B$4+Presion_cilindro!$B$34),1-EXP(-Presion_cilindro!$B$16*((Presion_cilindro!N367-(-B$4+Presion_cilindro!$B$34))/Presion_cilindro!$B$35)^(Presion_cilindro!$B$17+1)),0))/((Presion_cilindro!O367+Presion_cilindro!O368)/2)</f>
        <v>15.321469074977397</v>
      </c>
      <c r="C376" s="27">
        <f>C375*(Presion_cilindro!O367/Presion_cilindro!O368)^Presion_cilindro!$B$9+10*(Presion_cilindro!$B$9-1)*Presion_cilindro!$B$33*(IF(Presion_cilindro!N368&gt;(-C$4+Presion_cilindro!$B$34),1-EXP(-Presion_cilindro!$B$16*((Presion_cilindro!N368-(-C$4+Presion_cilindro!$B$34))/Presion_cilindro!$B$35)^(Presion_cilindro!$B$17+1)),0)-IF(Presion_cilindro!N367&gt;(-C$4+Presion_cilindro!$B$34),1-EXP(-Presion_cilindro!$B$16*((Presion_cilindro!N367-(-C$4+Presion_cilindro!$B$34))/Presion_cilindro!$B$35)^(Presion_cilindro!$B$17+1)),0))/((Presion_cilindro!O367+Presion_cilindro!O368)/2)</f>
        <v>15.321469074977397</v>
      </c>
      <c r="D376" s="27">
        <f>D375*(Presion_cilindro!O367/Presion_cilindro!O368)^Presion_cilindro!$B$9+10*(Presion_cilindro!$B$9-1)*Presion_cilindro!$B$33*(IF(Presion_cilindro!N368&gt;(-D$4+Presion_cilindro!$B$34),1-EXP(-Presion_cilindro!$B$16*((Presion_cilindro!N368-(-D$4+Presion_cilindro!$B$34))/Presion_cilindro!$B$35)^(Presion_cilindro!$B$17+1)),0)-IF(Presion_cilindro!N367&gt;(-D$4+Presion_cilindro!$B$34),1-EXP(-Presion_cilindro!$B$16*((Presion_cilindro!N367-(-D$4+Presion_cilindro!$B$34))/Presion_cilindro!$B$35)^(Presion_cilindro!$B$17+1)),0))/((Presion_cilindro!O367+Presion_cilindro!O368)/2)</f>
        <v>15.465229744865312</v>
      </c>
      <c r="E376" s="27">
        <f>E375*(Presion_cilindro!O367/Presion_cilindro!O368)^Presion_cilindro!$B$9+10*(Presion_cilindro!$B$9-1)*Presion_cilindro!$B$33*(IF(Presion_cilindro!N368&gt;(-E$4+Presion_cilindro!$B$34),1-EXP(-Presion_cilindro!$B$16*((Presion_cilindro!N368-(-E$4+Presion_cilindro!$B$34))/Presion_cilindro!$B$35)^(Presion_cilindro!$B$17+1)),0)-IF(Presion_cilindro!N367&gt;(-E$4+Presion_cilindro!$B$34),1-EXP(-Presion_cilindro!$B$16*((Presion_cilindro!N367-(-E$4+Presion_cilindro!$B$34))/Presion_cilindro!$B$35)^(Presion_cilindro!$B$17+1)),0))/((Presion_cilindro!O367+Presion_cilindro!O368)/2)</f>
        <v>16.524310317894418</v>
      </c>
      <c r="F376" s="27">
        <f>F375*(Presion_cilindro!O367/Presion_cilindro!O368)^Presion_cilindro!$B$9+10*(Presion_cilindro!$B$9-1)*Presion_cilindro!$B$33*(IF(Presion_cilindro!N368&gt;(-F$4+Presion_cilindro!$B$34),1-EXP(-Presion_cilindro!$B$16*((Presion_cilindro!N368-(-F$4+Presion_cilindro!$B$34))/Presion_cilindro!$B$35)^(Presion_cilindro!$B$17+1)),0)-IF(Presion_cilindro!N367&gt;(-F$4+Presion_cilindro!$B$34),1-EXP(-Presion_cilindro!$B$16*((Presion_cilindro!N367-(-F$4+Presion_cilindro!$B$34))/Presion_cilindro!$B$35)^(Presion_cilindro!$B$17+1)),0))/((Presion_cilindro!O367+Presion_cilindro!O368)/2)</f>
        <v>19.282167684990853</v>
      </c>
      <c r="G376" s="27">
        <f>G375*(Presion_cilindro!O367/Presion_cilindro!O368)^Presion_cilindro!$B$9+10*(Presion_cilindro!$B$9-1)*Presion_cilindro!$B$33*(IF(Presion_cilindro!N368&gt;(-G$4+Presion_cilindro!$B$34),1-EXP(-Presion_cilindro!$B$16*((Presion_cilindro!N368-(-G$4+Presion_cilindro!$B$34))/Presion_cilindro!$B$35)^(Presion_cilindro!$B$17+1)),0)-IF(Presion_cilindro!N367&gt;(-G$4+Presion_cilindro!$B$34),1-EXP(-Presion_cilindro!$B$16*((Presion_cilindro!N367-(-G$4+Presion_cilindro!$B$34))/Presion_cilindro!$B$35)^(Presion_cilindro!$B$17+1)),0))/((Presion_cilindro!O367+Presion_cilindro!O368)/2)</f>
        <v>24.024519316711721</v>
      </c>
      <c r="H376" s="27">
        <f>H375*(Presion_cilindro!O367/Presion_cilindro!O368)^Presion_cilindro!$B$9+10*(Presion_cilindro!$B$9-1)*Presion_cilindro!$B$33*(IF(Presion_cilindro!N368&gt;(-H$4+Presion_cilindro!$B$34),1-EXP(-Presion_cilindro!$B$16*((Presion_cilindro!N368-(-H$4+Presion_cilindro!$B$34))/Presion_cilindro!$B$35)^(Presion_cilindro!$B$17+1)),0)-IF(Presion_cilindro!N367&gt;(-H$4+Presion_cilindro!$B$34),1-EXP(-Presion_cilindro!$B$16*((Presion_cilindro!N367-(-H$4+Presion_cilindro!$B$34))/Presion_cilindro!$B$35)^(Presion_cilindro!$B$17+1)),0))/((Presion_cilindro!O367+Presion_cilindro!O368)/2)</f>
        <v>30.250126864010547</v>
      </c>
      <c r="I376" s="27">
        <f>I375*(Presion_cilindro!O367/Presion_cilindro!O368)^Presion_cilindro!$B$9+10*(Presion_cilindro!$B$9-1)*Presion_cilindro!$B$33*(IF(Presion_cilindro!N368&gt;(-I$4+Presion_cilindro!$B$34),1-EXP(-Presion_cilindro!$B$16*((Presion_cilindro!N368-(-I$4+Presion_cilindro!$B$34))/Presion_cilindro!$B$35)^(Presion_cilindro!$B$17+1)),0)-IF(Presion_cilindro!N367&gt;(-I$4+Presion_cilindro!$B$34),1-EXP(-Presion_cilindro!$B$16*((Presion_cilindro!N367-(-I$4+Presion_cilindro!$B$34))/Presion_cilindro!$B$35)^(Presion_cilindro!$B$17+1)),0))/((Presion_cilindro!O367+Presion_cilindro!O368)/2)</f>
        <v>36.774351837869048</v>
      </c>
      <c r="J376" s="27">
        <f>J375*(Presion_cilindro!O367/Presion_cilindro!O368)^Presion_cilindro!$B$9+10*(Presion_cilindro!$B$9-1)*Presion_cilindro!$B$33*(IF(Presion_cilindro!N368&gt;(-J$4+Presion_cilindro!$B$34),1-EXP(-Presion_cilindro!$B$16*((Presion_cilindro!N368-(-J$4+Presion_cilindro!$B$34))/Presion_cilindro!$B$35)^(Presion_cilindro!$B$17+1)),0)-IF(Presion_cilindro!N367&gt;(-J$4+Presion_cilindro!$B$34),1-EXP(-Presion_cilindro!$B$16*((Presion_cilindro!N367-(-J$4+Presion_cilindro!$B$34))/Presion_cilindro!$B$35)^(Presion_cilindro!$B$17+1)),0))/((Presion_cilindro!O367+Presion_cilindro!O368)/2)</f>
        <v>42.341057973637959</v>
      </c>
      <c r="K376" s="27">
        <f>K375*(Presion_cilindro!O367/Presion_cilindro!O368)^Presion_cilindro!$B$9+10*(Presion_cilindro!$B$9-1)*Presion_cilindro!$B$33*(IF(Presion_cilindro!N368&gt;(-K$4+Presion_cilindro!$B$34),1-EXP(-Presion_cilindro!$B$16*((Presion_cilindro!N368-(-K$4+Presion_cilindro!$B$34))/Presion_cilindro!$B$35)^(Presion_cilindro!$B$17+1)),0)-IF(Presion_cilindro!N367&gt;(-K$4+Presion_cilindro!$B$34),1-EXP(-Presion_cilindro!$B$16*((Presion_cilindro!N367-(-K$4+Presion_cilindro!$B$34))/Presion_cilindro!$B$35)^(Presion_cilindro!$B$17+1)),0))/((Presion_cilindro!O367+Presion_cilindro!O368)/2)</f>
        <v>46.329223748778652</v>
      </c>
      <c r="L376" s="27">
        <f>L375*(Presion_cilindro!O367/Presion_cilindro!O368)^Presion_cilindro!$B$9+10*(Presion_cilindro!$B$9-1)*Presion_cilindro!$B$33*(IF(Presion_cilindro!N368&gt;(-L$4+Presion_cilindro!$B$34),1-EXP(-Presion_cilindro!$B$16*((Presion_cilindro!N368-(-L$4+Presion_cilindro!$B$34))/Presion_cilindro!$B$35)^(Presion_cilindro!$B$17+1)),0)-IF(Presion_cilindro!N367&gt;(-L$4+Presion_cilindro!$B$34),1-EXP(-Presion_cilindro!$B$16*((Presion_cilindro!N367-(-L$4+Presion_cilindro!$B$34))/Presion_cilindro!$B$35)^(Presion_cilindro!$B$17+1)),0))/((Presion_cilindro!O367+Presion_cilindro!O368)/2)</f>
        <v>48.945192278766676</v>
      </c>
      <c r="M376" s="27">
        <f>M375*(Presion_cilindro!O367/Presion_cilindro!O368)^Presion_cilindro!$B$9+10*(Presion_cilindro!$B$9-1)*Presion_cilindro!$B$33*(IF(Presion_cilindro!N368&gt;(-M$4+Presion_cilindro!$B$34),1-EXP(-Presion_cilindro!$B$16*((Presion_cilindro!N368-(-M$4+Presion_cilindro!$B$34))/Presion_cilindro!$B$35)^(Presion_cilindro!$B$17+1)),0)-IF(Presion_cilindro!N367&gt;(-M$4+Presion_cilindro!$B$34),1-EXP(-Presion_cilindro!$B$16*((Presion_cilindro!N367-(-M$4+Presion_cilindro!$B$34))/Presion_cilindro!$B$35)^(Presion_cilindro!$B$17+1)),0))/((Presion_cilindro!O367+Presion_cilindro!O368)/2)</f>
        <v>50.809862137149288</v>
      </c>
      <c r="N376" s="27">
        <f>N375*(Presion_cilindro!O367/Presion_cilindro!O368)^Presion_cilindro!$B$9+10*(Presion_cilindro!$B$9-1)*Presion_cilindro!$B$33*(IF(Presion_cilindro!N368&gt;(-N$4+Presion_cilindro!$B$34),1-EXP(-Presion_cilindro!$B$16*((Presion_cilindro!N368-(-N$4+Presion_cilindro!$B$34))/Presion_cilindro!$B$35)^(Presion_cilindro!$B$17+1)),0)-IF(Presion_cilindro!N367&gt;(-N$4+Presion_cilindro!$B$34),1-EXP(-Presion_cilindro!$B$16*((Presion_cilindro!N367-(-N$4+Presion_cilindro!$B$34))/Presion_cilindro!$B$35)^(Presion_cilindro!$B$17+1)),0))/((Presion_cilindro!O367+Presion_cilindro!O368)/2)</f>
        <v>52.448598054051381</v>
      </c>
    </row>
    <row r="377" spans="1:14" x14ac:dyDescent="0.25">
      <c r="A377" s="21">
        <f>Presion_cilindro!N369</f>
        <v>2.5</v>
      </c>
      <c r="B377" s="27">
        <f>B376*(Presion_cilindro!O368/Presion_cilindro!O369)^Presion_cilindro!$B$9+10*(Presion_cilindro!$B$9-1)*Presion_cilindro!$B$33*(IF(Presion_cilindro!N369&gt;(-B$4+Presion_cilindro!$B$34),1-EXP(-Presion_cilindro!$B$16*((Presion_cilindro!N369-(-B$4+Presion_cilindro!$B$34))/Presion_cilindro!$B$35)^(Presion_cilindro!$B$17+1)),0)-IF(Presion_cilindro!N368&gt;(-B$4+Presion_cilindro!$B$34),1-EXP(-Presion_cilindro!$B$16*((Presion_cilindro!N368-(-B$4+Presion_cilindro!$B$34))/Presion_cilindro!$B$35)^(Presion_cilindro!$B$17+1)),0))/((Presion_cilindro!O368+Presion_cilindro!O369)/2)</f>
        <v>15.281316997206215</v>
      </c>
      <c r="C377" s="27">
        <f>C376*(Presion_cilindro!O368/Presion_cilindro!O369)^Presion_cilindro!$B$9+10*(Presion_cilindro!$B$9-1)*Presion_cilindro!$B$33*(IF(Presion_cilindro!N369&gt;(-C$4+Presion_cilindro!$B$34),1-EXP(-Presion_cilindro!$B$16*((Presion_cilindro!N369-(-C$4+Presion_cilindro!$B$34))/Presion_cilindro!$B$35)^(Presion_cilindro!$B$17+1)),0)-IF(Presion_cilindro!N368&gt;(-C$4+Presion_cilindro!$B$34),1-EXP(-Presion_cilindro!$B$16*((Presion_cilindro!N368-(-C$4+Presion_cilindro!$B$34))/Presion_cilindro!$B$35)^(Presion_cilindro!$B$17+1)),0))/((Presion_cilindro!O368+Presion_cilindro!O369)/2)</f>
        <v>15.281352148877264</v>
      </c>
      <c r="D377" s="27">
        <f>D376*(Presion_cilindro!O368/Presion_cilindro!O369)^Presion_cilindro!$B$9+10*(Presion_cilindro!$B$9-1)*Presion_cilindro!$B$33*(IF(Presion_cilindro!N369&gt;(-D$4+Presion_cilindro!$B$34),1-EXP(-Presion_cilindro!$B$16*((Presion_cilindro!N369-(-D$4+Presion_cilindro!$B$34))/Presion_cilindro!$B$35)^(Presion_cilindro!$B$17+1)),0)-IF(Presion_cilindro!N368&gt;(-D$4+Presion_cilindro!$B$34),1-EXP(-Presion_cilindro!$B$16*((Presion_cilindro!N368-(-D$4+Presion_cilindro!$B$34))/Presion_cilindro!$B$35)^(Presion_cilindro!$B$17+1)),0))/((Presion_cilindro!O368+Presion_cilindro!O369)/2)</f>
        <v>15.474280458373739</v>
      </c>
      <c r="E377" s="27">
        <f>E376*(Presion_cilindro!O368/Presion_cilindro!O369)^Presion_cilindro!$B$9+10*(Presion_cilindro!$B$9-1)*Presion_cilindro!$B$33*(IF(Presion_cilindro!N369&gt;(-E$4+Presion_cilindro!$B$34),1-EXP(-Presion_cilindro!$B$16*((Presion_cilindro!N369-(-E$4+Presion_cilindro!$B$34))/Presion_cilindro!$B$35)^(Presion_cilindro!$B$17+1)),0)-IF(Presion_cilindro!N368&gt;(-E$4+Presion_cilindro!$B$34),1-EXP(-Presion_cilindro!$B$16*((Presion_cilindro!N368-(-E$4+Presion_cilindro!$B$34))/Presion_cilindro!$B$35)^(Presion_cilindro!$B$17+1)),0))/((Presion_cilindro!O368+Presion_cilindro!O369)/2)</f>
        <v>16.67023987980987</v>
      </c>
      <c r="F377" s="27">
        <f>F376*(Presion_cilindro!O368/Presion_cilindro!O369)^Presion_cilindro!$B$9+10*(Presion_cilindro!$B$9-1)*Presion_cilindro!$B$33*(IF(Presion_cilindro!N369&gt;(-F$4+Presion_cilindro!$B$34),1-EXP(-Presion_cilindro!$B$16*((Presion_cilindro!N369-(-F$4+Presion_cilindro!$B$34))/Presion_cilindro!$B$35)^(Presion_cilindro!$B$17+1)),0)-IF(Presion_cilindro!N368&gt;(-F$4+Presion_cilindro!$B$34),1-EXP(-Presion_cilindro!$B$16*((Presion_cilindro!N368-(-F$4+Presion_cilindro!$B$34))/Presion_cilindro!$B$35)^(Presion_cilindro!$B$17+1)),0))/((Presion_cilindro!O368+Presion_cilindro!O369)/2)</f>
        <v>19.616296594343517</v>
      </c>
      <c r="G377" s="27">
        <f>G376*(Presion_cilindro!O368/Presion_cilindro!O369)^Presion_cilindro!$B$9+10*(Presion_cilindro!$B$9-1)*Presion_cilindro!$B$33*(IF(Presion_cilindro!N369&gt;(-G$4+Presion_cilindro!$B$34),1-EXP(-Presion_cilindro!$B$16*((Presion_cilindro!N369-(-G$4+Presion_cilindro!$B$34))/Presion_cilindro!$B$35)^(Presion_cilindro!$B$17+1)),0)-IF(Presion_cilindro!N368&gt;(-G$4+Presion_cilindro!$B$34),1-EXP(-Presion_cilindro!$B$16*((Presion_cilindro!N368-(-G$4+Presion_cilindro!$B$34))/Presion_cilindro!$B$35)^(Presion_cilindro!$B$17+1)),0))/((Presion_cilindro!O368+Presion_cilindro!O369)/2)</f>
        <v>24.52576217967475</v>
      </c>
      <c r="H377" s="27">
        <f>H376*(Presion_cilindro!O368/Presion_cilindro!O369)^Presion_cilindro!$B$9+10*(Presion_cilindro!$B$9-1)*Presion_cilindro!$B$33*(IF(Presion_cilindro!N369&gt;(-H$4+Presion_cilindro!$B$34),1-EXP(-Presion_cilindro!$B$16*((Presion_cilindro!N369-(-H$4+Presion_cilindro!$B$34))/Presion_cilindro!$B$35)^(Presion_cilindro!$B$17+1)),0)-IF(Presion_cilindro!N368&gt;(-H$4+Presion_cilindro!$B$34),1-EXP(-Presion_cilindro!$B$16*((Presion_cilindro!N368-(-H$4+Presion_cilindro!$B$34))/Presion_cilindro!$B$35)^(Presion_cilindro!$B$17+1)),0))/((Presion_cilindro!O368+Presion_cilindro!O369)/2)</f>
        <v>30.814311535841902</v>
      </c>
      <c r="I377" s="27">
        <f>I376*(Presion_cilindro!O368/Presion_cilindro!O369)^Presion_cilindro!$B$9+10*(Presion_cilindro!$B$9-1)*Presion_cilindro!$B$33*(IF(Presion_cilindro!N369&gt;(-I$4+Presion_cilindro!$B$34),1-EXP(-Presion_cilindro!$B$16*((Presion_cilindro!N369-(-I$4+Presion_cilindro!$B$34))/Presion_cilindro!$B$35)^(Presion_cilindro!$B$17+1)),0)-IF(Presion_cilindro!N368&gt;(-I$4+Presion_cilindro!$B$34),1-EXP(-Presion_cilindro!$B$16*((Presion_cilindro!N368-(-I$4+Presion_cilindro!$B$34))/Presion_cilindro!$B$35)^(Presion_cilindro!$B$17+1)),0))/((Presion_cilindro!O368+Presion_cilindro!O369)/2)</f>
        <v>37.258001184649906</v>
      </c>
      <c r="J377" s="27">
        <f>J376*(Presion_cilindro!O368/Presion_cilindro!O369)^Presion_cilindro!$B$9+10*(Presion_cilindro!$B$9-1)*Presion_cilindro!$B$33*(IF(Presion_cilindro!N369&gt;(-J$4+Presion_cilindro!$B$34),1-EXP(-Presion_cilindro!$B$16*((Presion_cilindro!N369-(-J$4+Presion_cilindro!$B$34))/Presion_cilindro!$B$35)^(Presion_cilindro!$B$17+1)),0)-IF(Presion_cilindro!N368&gt;(-J$4+Presion_cilindro!$B$34),1-EXP(-Presion_cilindro!$B$16*((Presion_cilindro!N368-(-J$4+Presion_cilindro!$B$34))/Presion_cilindro!$B$35)^(Presion_cilindro!$B$17+1)),0))/((Presion_cilindro!O368+Presion_cilindro!O369)/2)</f>
        <v>42.641046576841205</v>
      </c>
      <c r="K377" s="27">
        <f>K376*(Presion_cilindro!O368/Presion_cilindro!O369)^Presion_cilindro!$B$9+10*(Presion_cilindro!$B$9-1)*Presion_cilindro!$B$33*(IF(Presion_cilindro!N369&gt;(-K$4+Presion_cilindro!$B$34),1-EXP(-Presion_cilindro!$B$16*((Presion_cilindro!N369-(-K$4+Presion_cilindro!$B$34))/Presion_cilindro!$B$35)^(Presion_cilindro!$B$17+1)),0)-IF(Presion_cilindro!N368&gt;(-K$4+Presion_cilindro!$B$34),1-EXP(-Presion_cilindro!$B$16*((Presion_cilindro!N368-(-K$4+Presion_cilindro!$B$34))/Presion_cilindro!$B$35)^(Presion_cilindro!$B$17+1)),0))/((Presion_cilindro!O368+Presion_cilindro!O369)/2)</f>
        <v>46.433100863212587</v>
      </c>
      <c r="L377" s="27">
        <f>L376*(Presion_cilindro!O368/Presion_cilindro!O369)^Presion_cilindro!$B$9+10*(Presion_cilindro!$B$9-1)*Presion_cilindro!$B$33*(IF(Presion_cilindro!N369&gt;(-L$4+Presion_cilindro!$B$34),1-EXP(-Presion_cilindro!$B$16*((Presion_cilindro!N369-(-L$4+Presion_cilindro!$B$34))/Presion_cilindro!$B$35)^(Presion_cilindro!$B$17+1)),0)-IF(Presion_cilindro!N368&gt;(-L$4+Presion_cilindro!$B$34),1-EXP(-Presion_cilindro!$B$16*((Presion_cilindro!N368-(-L$4+Presion_cilindro!$B$34))/Presion_cilindro!$B$35)^(Presion_cilindro!$B$17+1)),0))/((Presion_cilindro!O368+Presion_cilindro!O369)/2)</f>
        <v>48.910502971588421</v>
      </c>
      <c r="M377" s="27">
        <f>M376*(Presion_cilindro!O368/Presion_cilindro!O369)^Presion_cilindro!$B$9+10*(Presion_cilindro!$B$9-1)*Presion_cilindro!$B$33*(IF(Presion_cilindro!N369&gt;(-M$4+Presion_cilindro!$B$34),1-EXP(-Presion_cilindro!$B$16*((Presion_cilindro!N369-(-M$4+Presion_cilindro!$B$34))/Presion_cilindro!$B$35)^(Presion_cilindro!$B$17+1)),0)-IF(Presion_cilindro!N368&gt;(-M$4+Presion_cilindro!$B$34),1-EXP(-Presion_cilindro!$B$16*((Presion_cilindro!N368-(-M$4+Presion_cilindro!$B$34))/Presion_cilindro!$B$35)^(Presion_cilindro!$B$17+1)),0))/((Presion_cilindro!O368+Presion_cilindro!O369)/2)</f>
        <v>50.705457485492673</v>
      </c>
      <c r="N377" s="27">
        <f>N376*(Presion_cilindro!O368/Presion_cilindro!O369)^Presion_cilindro!$B$9+10*(Presion_cilindro!$B$9-1)*Presion_cilindro!$B$33*(IF(Presion_cilindro!N369&gt;(-N$4+Presion_cilindro!$B$34),1-EXP(-Presion_cilindro!$B$16*((Presion_cilindro!N369-(-N$4+Presion_cilindro!$B$34))/Presion_cilindro!$B$35)^(Presion_cilindro!$B$17+1)),0)-IF(Presion_cilindro!N368&gt;(-N$4+Presion_cilindro!$B$34),1-EXP(-Presion_cilindro!$B$16*((Presion_cilindro!N368-(-N$4+Presion_cilindro!$B$34))/Presion_cilindro!$B$35)^(Presion_cilindro!$B$17+1)),0))/((Presion_cilindro!O368+Presion_cilindro!O369)/2)</f>
        <v>52.31751459040315</v>
      </c>
    </row>
    <row r="378" spans="1:14" x14ac:dyDescent="0.25">
      <c r="A378" s="21">
        <f>Presion_cilindro!N370</f>
        <v>3</v>
      </c>
      <c r="B378" s="27">
        <f>B377*(Presion_cilindro!O369/Presion_cilindro!O370)^Presion_cilindro!$B$9+10*(Presion_cilindro!$B$9-1)*Presion_cilindro!$B$33*(IF(Presion_cilindro!N370&gt;(-B$4+Presion_cilindro!$B$34),1-EXP(-Presion_cilindro!$B$16*((Presion_cilindro!N370-(-B$4+Presion_cilindro!$B$34))/Presion_cilindro!$B$35)^(Presion_cilindro!$B$17+1)),0)-IF(Presion_cilindro!N369&gt;(-B$4+Presion_cilindro!$B$34),1-EXP(-Presion_cilindro!$B$16*((Presion_cilindro!N369-(-B$4+Presion_cilindro!$B$34))/Presion_cilindro!$B$35)^(Presion_cilindro!$B$17+1)),0))/((Presion_cilindro!O369+Presion_cilindro!O370)/2)</f>
        <v>15.232501923870363</v>
      </c>
      <c r="C378" s="27">
        <f>C377*(Presion_cilindro!O369/Presion_cilindro!O370)^Presion_cilindro!$B$9+10*(Presion_cilindro!$B$9-1)*Presion_cilindro!$B$33*(IF(Presion_cilindro!N370&gt;(-C$4+Presion_cilindro!$B$34),1-EXP(-Presion_cilindro!$B$16*((Presion_cilindro!N370-(-C$4+Presion_cilindro!$B$34))/Presion_cilindro!$B$35)^(Presion_cilindro!$B$17+1)),0)-IF(Presion_cilindro!N369&gt;(-C$4+Presion_cilindro!$B$34),1-EXP(-Presion_cilindro!$B$16*((Presion_cilindro!N369-(-C$4+Presion_cilindro!$B$34))/Presion_cilindro!$B$35)^(Presion_cilindro!$B$17+1)),0))/((Presion_cilindro!O369+Presion_cilindro!O370)/2)</f>
        <v>15.233167003765198</v>
      </c>
      <c r="D378" s="27">
        <f>D377*(Presion_cilindro!O369/Presion_cilindro!O370)^Presion_cilindro!$B$9+10*(Presion_cilindro!$B$9-1)*Presion_cilindro!$B$33*(IF(Presion_cilindro!N370&gt;(-D$4+Presion_cilindro!$B$34),1-EXP(-Presion_cilindro!$B$16*((Presion_cilindro!N370-(-D$4+Presion_cilindro!$B$34))/Presion_cilindro!$B$35)^(Presion_cilindro!$B$17+1)),0)-IF(Presion_cilindro!N369&gt;(-D$4+Presion_cilindro!$B$34),1-EXP(-Presion_cilindro!$B$16*((Presion_cilindro!N369-(-D$4+Presion_cilindro!$B$34))/Presion_cilindro!$B$35)^(Presion_cilindro!$B$17+1)),0))/((Presion_cilindro!O369+Presion_cilindro!O370)/2)</f>
        <v>15.484489540706864</v>
      </c>
      <c r="E378" s="27">
        <f>E377*(Presion_cilindro!O369/Presion_cilindro!O370)^Presion_cilindro!$B$9+10*(Presion_cilindro!$B$9-1)*Presion_cilindro!$B$33*(IF(Presion_cilindro!N370&gt;(-E$4+Presion_cilindro!$B$34),1-EXP(-Presion_cilindro!$B$16*((Presion_cilindro!N370-(-E$4+Presion_cilindro!$B$34))/Presion_cilindro!$B$35)^(Presion_cilindro!$B$17+1)),0)-IF(Presion_cilindro!N369&gt;(-E$4+Presion_cilindro!$B$34),1-EXP(-Presion_cilindro!$B$16*((Presion_cilindro!N369-(-E$4+Presion_cilindro!$B$34))/Presion_cilindro!$B$35)^(Presion_cilindro!$B$17+1)),0))/((Presion_cilindro!O369+Presion_cilindro!O370)/2)</f>
        <v>16.823706076068273</v>
      </c>
      <c r="F378" s="27">
        <f>F377*(Presion_cilindro!O369/Presion_cilindro!O370)^Presion_cilindro!$B$9+10*(Presion_cilindro!$B$9-1)*Presion_cilindro!$B$33*(IF(Presion_cilindro!N370&gt;(-F$4+Presion_cilindro!$B$34),1-EXP(-Presion_cilindro!$B$16*((Presion_cilindro!N370-(-F$4+Presion_cilindro!$B$34))/Presion_cilindro!$B$35)^(Presion_cilindro!$B$17+1)),0)-IF(Presion_cilindro!N369&gt;(-F$4+Presion_cilindro!$B$34),1-EXP(-Presion_cilindro!$B$16*((Presion_cilindro!N369-(-F$4+Presion_cilindro!$B$34))/Presion_cilindro!$B$35)^(Presion_cilindro!$B$17+1)),0))/((Presion_cilindro!O369+Presion_cilindro!O370)/2)</f>
        <v>19.957522394766603</v>
      </c>
      <c r="G378" s="27">
        <f>G377*(Presion_cilindro!O369/Presion_cilindro!O370)^Presion_cilindro!$B$9+10*(Presion_cilindro!$B$9-1)*Presion_cilindro!$B$33*(IF(Presion_cilindro!N370&gt;(-G$4+Presion_cilindro!$B$34),1-EXP(-Presion_cilindro!$B$16*((Presion_cilindro!N370-(-G$4+Presion_cilindro!$B$34))/Presion_cilindro!$B$35)^(Presion_cilindro!$B$17+1)),0)-IF(Presion_cilindro!N369&gt;(-G$4+Presion_cilindro!$B$34),1-EXP(-Presion_cilindro!$B$16*((Presion_cilindro!N369-(-G$4+Presion_cilindro!$B$34))/Presion_cilindro!$B$35)^(Presion_cilindro!$B$17+1)),0))/((Presion_cilindro!O369+Presion_cilindro!O370)/2)</f>
        <v>25.02401930905333</v>
      </c>
      <c r="H378" s="27">
        <f>H377*(Presion_cilindro!O369/Presion_cilindro!O370)^Presion_cilindro!$B$9+10*(Presion_cilindro!$B$9-1)*Presion_cilindro!$B$33*(IF(Presion_cilindro!N370&gt;(-H$4+Presion_cilindro!$B$34),1-EXP(-Presion_cilindro!$B$16*((Presion_cilindro!N370-(-H$4+Presion_cilindro!$B$34))/Presion_cilindro!$B$35)^(Presion_cilindro!$B$17+1)),0)-IF(Presion_cilindro!N369&gt;(-H$4+Presion_cilindro!$B$34),1-EXP(-Presion_cilindro!$B$16*((Presion_cilindro!N369-(-H$4+Presion_cilindro!$B$34))/Presion_cilindro!$B$35)^(Presion_cilindro!$B$17+1)),0))/((Presion_cilindro!O369+Presion_cilindro!O370)/2)</f>
        <v>31.358047362249479</v>
      </c>
      <c r="I378" s="27">
        <f>I377*(Presion_cilindro!O369/Presion_cilindro!O370)^Presion_cilindro!$B$9+10*(Presion_cilindro!$B$9-1)*Presion_cilindro!$B$33*(IF(Presion_cilindro!N370&gt;(-I$4+Presion_cilindro!$B$34),1-EXP(-Presion_cilindro!$B$16*((Presion_cilindro!N370-(-I$4+Presion_cilindro!$B$34))/Presion_cilindro!$B$35)^(Presion_cilindro!$B$17+1)),0)-IF(Presion_cilindro!N369&gt;(-I$4+Presion_cilindro!$B$34),1-EXP(-Presion_cilindro!$B$16*((Presion_cilindro!N369-(-I$4+Presion_cilindro!$B$34))/Presion_cilindro!$B$35)^(Presion_cilindro!$B$17+1)),0))/((Presion_cilindro!O369+Presion_cilindro!O370)/2)</f>
        <v>37.70433828652704</v>
      </c>
      <c r="J378" s="27">
        <f>J377*(Presion_cilindro!O369/Presion_cilindro!O370)^Presion_cilindro!$B$9+10*(Presion_cilindro!$B$9-1)*Presion_cilindro!$B$33*(IF(Presion_cilindro!N370&gt;(-J$4+Presion_cilindro!$B$34),1-EXP(-Presion_cilindro!$B$16*((Presion_cilindro!N370-(-J$4+Presion_cilindro!$B$34))/Presion_cilindro!$B$35)^(Presion_cilindro!$B$17+1)),0)-IF(Presion_cilindro!N369&gt;(-J$4+Presion_cilindro!$B$34),1-EXP(-Presion_cilindro!$B$16*((Presion_cilindro!N369-(-J$4+Presion_cilindro!$B$34))/Presion_cilindro!$B$35)^(Presion_cilindro!$B$17+1)),0))/((Presion_cilindro!O369+Presion_cilindro!O370)/2)</f>
        <v>42.895567516601233</v>
      </c>
      <c r="K378" s="27">
        <f>K377*(Presion_cilindro!O369/Presion_cilindro!O370)^Presion_cilindro!$B$9+10*(Presion_cilindro!$B$9-1)*Presion_cilindro!$B$33*(IF(Presion_cilindro!N370&gt;(-K$4+Presion_cilindro!$B$34),1-EXP(-Presion_cilindro!$B$16*((Presion_cilindro!N370-(-K$4+Presion_cilindro!$B$34))/Presion_cilindro!$B$35)^(Presion_cilindro!$B$17+1)),0)-IF(Presion_cilindro!N369&gt;(-K$4+Presion_cilindro!$B$34),1-EXP(-Presion_cilindro!$B$16*((Presion_cilindro!N369-(-K$4+Presion_cilindro!$B$34))/Presion_cilindro!$B$35)^(Presion_cilindro!$B$17+1)),0))/((Presion_cilindro!O369+Presion_cilindro!O370)/2)</f>
        <v>46.493328813184867</v>
      </c>
      <c r="L378" s="27">
        <f>L377*(Presion_cilindro!O369/Presion_cilindro!O370)^Presion_cilindro!$B$9+10*(Presion_cilindro!$B$9-1)*Presion_cilindro!$B$33*(IF(Presion_cilindro!N370&gt;(-L$4+Presion_cilindro!$B$34),1-EXP(-Presion_cilindro!$B$16*((Presion_cilindro!N370-(-L$4+Presion_cilindro!$B$34))/Presion_cilindro!$B$35)^(Presion_cilindro!$B$17+1)),0)-IF(Presion_cilindro!N369&gt;(-L$4+Presion_cilindro!$B$34),1-EXP(-Presion_cilindro!$B$16*((Presion_cilindro!N369-(-L$4+Presion_cilindro!$B$34))/Presion_cilindro!$B$35)^(Presion_cilindro!$B$17+1)),0))/((Presion_cilindro!O369+Presion_cilindro!O370)/2)</f>
        <v>48.83841027016684</v>
      </c>
      <c r="M378" s="27">
        <f>M377*(Presion_cilindro!O369/Presion_cilindro!O370)^Presion_cilindro!$B$9+10*(Presion_cilindro!$B$9-1)*Presion_cilindro!$B$33*(IF(Presion_cilindro!N370&gt;(-M$4+Presion_cilindro!$B$34),1-EXP(-Presion_cilindro!$B$16*((Presion_cilindro!N370-(-M$4+Presion_cilindro!$B$34))/Presion_cilindro!$B$35)^(Presion_cilindro!$B$17+1)),0)-IF(Presion_cilindro!N369&gt;(-M$4+Presion_cilindro!$B$34),1-EXP(-Presion_cilindro!$B$16*((Presion_cilindro!N369-(-M$4+Presion_cilindro!$B$34))/Presion_cilindro!$B$35)^(Presion_cilindro!$B$17+1)),0))/((Presion_cilindro!O369+Presion_cilindro!O370)/2)</f>
        <v>50.568531895174253</v>
      </c>
      <c r="N378" s="27">
        <f>N377*(Presion_cilindro!O369/Presion_cilindro!O370)^Presion_cilindro!$B$9+10*(Presion_cilindro!$B$9-1)*Presion_cilindro!$B$33*(IF(Presion_cilindro!N370&gt;(-N$4+Presion_cilindro!$B$34),1-EXP(-Presion_cilindro!$B$16*((Presion_cilindro!N370-(-N$4+Presion_cilindro!$B$34))/Presion_cilindro!$B$35)^(Presion_cilindro!$B$17+1)),0)-IF(Presion_cilindro!N369&gt;(-N$4+Presion_cilindro!$B$34),1-EXP(-Presion_cilindro!$B$16*((Presion_cilindro!N369-(-N$4+Presion_cilindro!$B$34))/Presion_cilindro!$B$35)^(Presion_cilindro!$B$17+1)),0))/((Presion_cilindro!O369+Presion_cilindro!O370)/2)</f>
        <v>52.155749560548145</v>
      </c>
    </row>
    <row r="379" spans="1:14" x14ac:dyDescent="0.25">
      <c r="A379" s="21">
        <f>Presion_cilindro!N371</f>
        <v>3.5</v>
      </c>
      <c r="B379" s="27">
        <f>B378*(Presion_cilindro!O370/Presion_cilindro!O371)^Presion_cilindro!$B$9+10*(Presion_cilindro!$B$9-1)*Presion_cilindro!$B$33*(IF(Presion_cilindro!N371&gt;(-B$4+Presion_cilindro!$B$34),1-EXP(-Presion_cilindro!$B$16*((Presion_cilindro!N371-(-B$4+Presion_cilindro!$B$34))/Presion_cilindro!$B$35)^(Presion_cilindro!$B$17+1)),0)-IF(Presion_cilindro!N370&gt;(-B$4+Presion_cilindro!$B$34),1-EXP(-Presion_cilindro!$B$16*((Presion_cilindro!N370-(-B$4+Presion_cilindro!$B$34))/Presion_cilindro!$B$35)^(Presion_cilindro!$B$17+1)),0))/((Presion_cilindro!O370+Presion_cilindro!O371)/2)</f>
        <v>15.175176604336531</v>
      </c>
      <c r="C379" s="27">
        <f>C378*(Presion_cilindro!O370/Presion_cilindro!O371)^Presion_cilindro!$B$9+10*(Presion_cilindro!$B$9-1)*Presion_cilindro!$B$33*(IF(Presion_cilindro!N371&gt;(-C$4+Presion_cilindro!$B$34),1-EXP(-Presion_cilindro!$B$16*((Presion_cilindro!N371-(-C$4+Presion_cilindro!$B$34))/Presion_cilindro!$B$35)^(Presion_cilindro!$B$17+1)),0)-IF(Presion_cilindro!N370&gt;(-C$4+Presion_cilindro!$B$34),1-EXP(-Presion_cilindro!$B$16*((Presion_cilindro!N370-(-C$4+Presion_cilindro!$B$34))/Presion_cilindro!$B$35)^(Presion_cilindro!$B$17+1)),0))/((Presion_cilindro!O370+Presion_cilindro!O371)/2)</f>
        <v>15.178022259191408</v>
      </c>
      <c r="D379" s="27">
        <f>D378*(Presion_cilindro!O370/Presion_cilindro!O371)^Presion_cilindro!$B$9+10*(Presion_cilindro!$B$9-1)*Presion_cilindro!$B$33*(IF(Presion_cilindro!N371&gt;(-D$4+Presion_cilindro!$B$34),1-EXP(-Presion_cilindro!$B$16*((Presion_cilindro!N371-(-D$4+Presion_cilindro!$B$34))/Presion_cilindro!$B$35)^(Presion_cilindro!$B$17+1)),0)-IF(Presion_cilindro!N370&gt;(-D$4+Presion_cilindro!$B$34),1-EXP(-Presion_cilindro!$B$16*((Presion_cilindro!N370-(-D$4+Presion_cilindro!$B$34))/Presion_cilindro!$B$35)^(Presion_cilindro!$B$17+1)),0))/((Presion_cilindro!O370+Presion_cilindro!O371)/2)</f>
        <v>15.496747178964316</v>
      </c>
      <c r="E379" s="27">
        <f>E378*(Presion_cilindro!O370/Presion_cilindro!O371)^Presion_cilindro!$B$9+10*(Presion_cilindro!$B$9-1)*Presion_cilindro!$B$33*(IF(Presion_cilindro!N371&gt;(-E$4+Presion_cilindro!$B$34),1-EXP(-Presion_cilindro!$B$16*((Presion_cilindro!N371-(-E$4+Presion_cilindro!$B$34))/Presion_cilindro!$B$35)^(Presion_cilindro!$B$17+1)),0)-IF(Presion_cilindro!N370&gt;(-E$4+Presion_cilindro!$B$34),1-EXP(-Presion_cilindro!$B$16*((Presion_cilindro!N370-(-E$4+Presion_cilindro!$B$34))/Presion_cilindro!$B$35)^(Presion_cilindro!$B$17+1)),0))/((Presion_cilindro!O370+Presion_cilindro!O371)/2)</f>
        <v>16.98495500785161</v>
      </c>
      <c r="F379" s="27">
        <f>F378*(Presion_cilindro!O370/Presion_cilindro!O371)^Presion_cilindro!$B$9+10*(Presion_cilindro!$B$9-1)*Presion_cilindro!$B$33*(IF(Presion_cilindro!N371&gt;(-F$4+Presion_cilindro!$B$34),1-EXP(-Presion_cilindro!$B$16*((Presion_cilindro!N371-(-F$4+Presion_cilindro!$B$34))/Presion_cilindro!$B$35)^(Presion_cilindro!$B$17+1)),0)-IF(Presion_cilindro!N370&gt;(-F$4+Presion_cilindro!$B$34),1-EXP(-Presion_cilindro!$B$16*((Presion_cilindro!N370-(-F$4+Presion_cilindro!$B$34))/Presion_cilindro!$B$35)^(Presion_cilindro!$B$17+1)),0))/((Presion_cilindro!O370+Presion_cilindro!O371)/2)</f>
        <v>20.305030398382542</v>
      </c>
      <c r="G379" s="27">
        <f>G378*(Presion_cilindro!O370/Presion_cilindro!O371)^Presion_cilindro!$B$9+10*(Presion_cilindro!$B$9-1)*Presion_cilindro!$B$33*(IF(Presion_cilindro!N371&gt;(-G$4+Presion_cilindro!$B$34),1-EXP(-Presion_cilindro!$B$16*((Presion_cilindro!N371-(-G$4+Presion_cilindro!$B$34))/Presion_cilindro!$B$35)^(Presion_cilindro!$B$17+1)),0)-IF(Presion_cilindro!N370&gt;(-G$4+Presion_cilindro!$B$34),1-EXP(-Presion_cilindro!$B$16*((Presion_cilindro!N370-(-G$4+Presion_cilindro!$B$34))/Presion_cilindro!$B$35)^(Presion_cilindro!$B$17+1)),0))/((Presion_cilindro!O370+Presion_cilindro!O371)/2)</f>
        <v>25.517427375728346</v>
      </c>
      <c r="H379" s="27">
        <f>H378*(Presion_cilindro!O370/Presion_cilindro!O371)^Presion_cilindro!$B$9+10*(Presion_cilindro!$B$9-1)*Presion_cilindro!$B$33*(IF(Presion_cilindro!N371&gt;(-H$4+Presion_cilindro!$B$34),1-EXP(-Presion_cilindro!$B$16*((Presion_cilindro!N371-(-H$4+Presion_cilindro!$B$34))/Presion_cilindro!$B$35)^(Presion_cilindro!$B$17+1)),0)-IF(Presion_cilindro!N370&gt;(-H$4+Presion_cilindro!$B$34),1-EXP(-Presion_cilindro!$B$16*((Presion_cilindro!N370-(-H$4+Presion_cilindro!$B$34))/Presion_cilindro!$B$35)^(Presion_cilindro!$B$17+1)),0))/((Presion_cilindro!O370+Presion_cilindro!O371)/2)</f>
        <v>31.87914800287562</v>
      </c>
      <c r="I379" s="27">
        <f>I378*(Presion_cilindro!O370/Presion_cilindro!O371)^Presion_cilindro!$B$9+10*(Presion_cilindro!$B$9-1)*Presion_cilindro!$B$33*(IF(Presion_cilindro!N371&gt;(-I$4+Presion_cilindro!$B$34),1-EXP(-Presion_cilindro!$B$16*((Presion_cilindro!N371-(-I$4+Presion_cilindro!$B$34))/Presion_cilindro!$B$35)^(Presion_cilindro!$B$17+1)),0)-IF(Presion_cilindro!N370&gt;(-I$4+Presion_cilindro!$B$34),1-EXP(-Presion_cilindro!$B$16*((Presion_cilindro!N370-(-I$4+Presion_cilindro!$B$34))/Presion_cilindro!$B$35)^(Presion_cilindro!$B$17+1)),0))/((Presion_cilindro!O370+Presion_cilindro!O371)/2)</f>
        <v>38.111937812849469</v>
      </c>
      <c r="J379" s="27">
        <f>J378*(Presion_cilindro!O370/Presion_cilindro!O371)^Presion_cilindro!$B$9+10*(Presion_cilindro!$B$9-1)*Presion_cilindro!$B$33*(IF(Presion_cilindro!N371&gt;(-J$4+Presion_cilindro!$B$34),1-EXP(-Presion_cilindro!$B$16*((Presion_cilindro!N371-(-J$4+Presion_cilindro!$B$34))/Presion_cilindro!$B$35)^(Presion_cilindro!$B$17+1)),0)-IF(Presion_cilindro!N370&gt;(-J$4+Presion_cilindro!$B$34),1-EXP(-Presion_cilindro!$B$16*((Presion_cilindro!N370-(-J$4+Presion_cilindro!$B$34))/Presion_cilindro!$B$35)^(Presion_cilindro!$B$17+1)),0))/((Presion_cilindro!O370+Presion_cilindro!O371)/2)</f>
        <v>43.104533710929147</v>
      </c>
      <c r="K379" s="27">
        <f>K378*(Presion_cilindro!O370/Presion_cilindro!O371)^Presion_cilindro!$B$9+10*(Presion_cilindro!$B$9-1)*Presion_cilindro!$B$33*(IF(Presion_cilindro!N371&gt;(-K$4+Presion_cilindro!$B$34),1-EXP(-Presion_cilindro!$B$16*((Presion_cilindro!N371-(-K$4+Presion_cilindro!$B$34))/Presion_cilindro!$B$35)^(Presion_cilindro!$B$17+1)),0)-IF(Presion_cilindro!N370&gt;(-K$4+Presion_cilindro!$B$34),1-EXP(-Presion_cilindro!$B$16*((Presion_cilindro!N370-(-K$4+Presion_cilindro!$B$34))/Presion_cilindro!$B$35)^(Presion_cilindro!$B$17+1)),0))/((Presion_cilindro!O370+Presion_cilindro!O371)/2)</f>
        <v>46.510799873102727</v>
      </c>
      <c r="L379" s="27">
        <f>L378*(Presion_cilindro!O370/Presion_cilindro!O371)^Presion_cilindro!$B$9+10*(Presion_cilindro!$B$9-1)*Presion_cilindro!$B$33*(IF(Presion_cilindro!N371&gt;(-L$4+Presion_cilindro!$B$34),1-EXP(-Presion_cilindro!$B$16*((Presion_cilindro!N371-(-L$4+Presion_cilindro!$B$34))/Presion_cilindro!$B$35)^(Presion_cilindro!$B$17+1)),0)-IF(Presion_cilindro!N370&gt;(-L$4+Presion_cilindro!$B$34),1-EXP(-Presion_cilindro!$B$16*((Presion_cilindro!N370-(-L$4+Presion_cilindro!$B$34))/Presion_cilindro!$B$35)^(Presion_cilindro!$B$17+1)),0))/((Presion_cilindro!O370+Presion_cilindro!O371)/2)</f>
        <v>48.730020398572826</v>
      </c>
      <c r="M379" s="27">
        <f>M378*(Presion_cilindro!O370/Presion_cilindro!O371)^Presion_cilindro!$B$9+10*(Presion_cilindro!$B$9-1)*Presion_cilindro!$B$33*(IF(Presion_cilindro!N371&gt;(-M$4+Presion_cilindro!$B$34),1-EXP(-Presion_cilindro!$B$16*((Presion_cilindro!N371-(-M$4+Presion_cilindro!$B$34))/Presion_cilindro!$B$35)^(Presion_cilindro!$B$17+1)),0)-IF(Presion_cilindro!N370&gt;(-M$4+Presion_cilindro!$B$34),1-EXP(-Presion_cilindro!$B$16*((Presion_cilindro!N370-(-M$4+Presion_cilindro!$B$34))/Presion_cilindro!$B$35)^(Presion_cilindro!$B$17+1)),0))/((Presion_cilindro!O370+Presion_cilindro!O371)/2)</f>
        <v>50.399968455424435</v>
      </c>
      <c r="N379" s="27">
        <f>N378*(Presion_cilindro!O370/Presion_cilindro!O371)^Presion_cilindro!$B$9+10*(Presion_cilindro!$B$9-1)*Presion_cilindro!$B$33*(IF(Presion_cilindro!N371&gt;(-N$4+Presion_cilindro!$B$34),1-EXP(-Presion_cilindro!$B$16*((Presion_cilindro!N371-(-N$4+Presion_cilindro!$B$34))/Presion_cilindro!$B$35)^(Presion_cilindro!$B$17+1)),0)-IF(Presion_cilindro!N370&gt;(-N$4+Presion_cilindro!$B$34),1-EXP(-Presion_cilindro!$B$16*((Presion_cilindro!N370-(-N$4+Presion_cilindro!$B$34))/Presion_cilindro!$B$35)^(Presion_cilindro!$B$17+1)),0))/((Presion_cilindro!O370+Presion_cilindro!O371)/2)</f>
        <v>51.963963418707799</v>
      </c>
    </row>
    <row r="380" spans="1:14" x14ac:dyDescent="0.25">
      <c r="A380" s="21">
        <f>Presion_cilindro!N372</f>
        <v>4</v>
      </c>
      <c r="B380" s="27">
        <f>B379*(Presion_cilindro!O371/Presion_cilindro!O372)^Presion_cilindro!$B$9+10*(Presion_cilindro!$B$9-1)*Presion_cilindro!$B$33*(IF(Presion_cilindro!N372&gt;(-B$4+Presion_cilindro!$B$34),1-EXP(-Presion_cilindro!$B$16*((Presion_cilindro!N372-(-B$4+Presion_cilindro!$B$34))/Presion_cilindro!$B$35)^(Presion_cilindro!$B$17+1)),0)-IF(Presion_cilindro!N371&gt;(-B$4+Presion_cilindro!$B$34),1-EXP(-Presion_cilindro!$B$16*((Presion_cilindro!N371-(-B$4+Presion_cilindro!$B$34))/Presion_cilindro!$B$35)^(Presion_cilindro!$B$17+1)),0))/((Presion_cilindro!O371+Presion_cilindro!O372)/2)</f>
        <v>15.109518832812094</v>
      </c>
      <c r="C380" s="27">
        <f>C379*(Presion_cilindro!O371/Presion_cilindro!O372)^Presion_cilindro!$B$9+10*(Presion_cilindro!$B$9-1)*Presion_cilindro!$B$33*(IF(Presion_cilindro!N372&gt;(-C$4+Presion_cilindro!$B$34),1-EXP(-Presion_cilindro!$B$16*((Presion_cilindro!N372-(-C$4+Presion_cilindro!$B$34))/Presion_cilindro!$B$35)^(Presion_cilindro!$B$17+1)),0)-IF(Presion_cilindro!N371&gt;(-C$4+Presion_cilindro!$B$34),1-EXP(-Presion_cilindro!$B$16*((Presion_cilindro!N371-(-C$4+Presion_cilindro!$B$34))/Presion_cilindro!$B$35)^(Presion_cilindro!$B$17+1)),0))/((Presion_cilindro!O371+Presion_cilindro!O372)/2)</f>
        <v>15.117046820186911</v>
      </c>
      <c r="D380" s="27">
        <f>D379*(Presion_cilindro!O371/Presion_cilindro!O372)^Presion_cilindro!$B$9+10*(Presion_cilindro!$B$9-1)*Presion_cilindro!$B$33*(IF(Presion_cilindro!N372&gt;(-D$4+Presion_cilindro!$B$34),1-EXP(-Presion_cilindro!$B$16*((Presion_cilindro!N372-(-D$4+Presion_cilindro!$B$34))/Presion_cilindro!$B$35)^(Presion_cilindro!$B$17+1)),0)-IF(Presion_cilindro!N371&gt;(-D$4+Presion_cilindro!$B$34),1-EXP(-Presion_cilindro!$B$16*((Presion_cilindro!N371-(-D$4+Presion_cilindro!$B$34))/Presion_cilindro!$B$35)^(Presion_cilindro!$B$17+1)),0))/((Presion_cilindro!O371+Presion_cilindro!O372)/2)</f>
        <v>15.511909473123634</v>
      </c>
      <c r="E380" s="27">
        <f>E379*(Presion_cilindro!O371/Presion_cilindro!O372)^Presion_cilindro!$B$9+10*(Presion_cilindro!$B$9-1)*Presion_cilindro!$B$33*(IF(Presion_cilindro!N372&gt;(-E$4+Presion_cilindro!$B$34),1-EXP(-Presion_cilindro!$B$16*((Presion_cilindro!N372-(-E$4+Presion_cilindro!$B$34))/Presion_cilindro!$B$35)^(Presion_cilindro!$B$17+1)),0)-IF(Presion_cilindro!N371&gt;(-E$4+Presion_cilindro!$B$34),1-EXP(-Presion_cilindro!$B$16*((Presion_cilindro!N371-(-E$4+Presion_cilindro!$B$34))/Presion_cilindro!$B$35)^(Presion_cilindro!$B$17+1)),0))/((Presion_cilindro!O371+Presion_cilindro!O372)/2)</f>
        <v>17.154148211336246</v>
      </c>
      <c r="F380" s="27">
        <f>F379*(Presion_cilindro!O371/Presion_cilindro!O372)^Presion_cilindro!$B$9+10*(Presion_cilindro!$B$9-1)*Presion_cilindro!$B$33*(IF(Presion_cilindro!N372&gt;(-F$4+Presion_cilindro!$B$34),1-EXP(-Presion_cilindro!$B$16*((Presion_cilindro!N372-(-F$4+Presion_cilindro!$B$34))/Presion_cilindro!$B$35)^(Presion_cilindro!$B$17+1)),0)-IF(Presion_cilindro!N371&gt;(-F$4+Presion_cilindro!$B$34),1-EXP(-Presion_cilindro!$B$16*((Presion_cilindro!N371-(-F$4+Presion_cilindro!$B$34))/Presion_cilindro!$B$35)^(Presion_cilindro!$B$17+1)),0))/((Presion_cilindro!O371+Presion_cilindro!O372)/2)</f>
        <v>20.657906462388365</v>
      </c>
      <c r="G380" s="27">
        <f>G379*(Presion_cilindro!O371/Presion_cilindro!O372)^Presion_cilindro!$B$9+10*(Presion_cilindro!$B$9-1)*Presion_cilindro!$B$33*(IF(Presion_cilindro!N372&gt;(-G$4+Presion_cilindro!$B$34),1-EXP(-Presion_cilindro!$B$16*((Presion_cilindro!N372-(-G$4+Presion_cilindro!$B$34))/Presion_cilindro!$B$35)^(Presion_cilindro!$B$17+1)),0)-IF(Presion_cilindro!N371&gt;(-G$4+Presion_cilindro!$B$34),1-EXP(-Presion_cilindro!$B$16*((Presion_cilindro!N371-(-G$4+Presion_cilindro!$B$34))/Presion_cilindro!$B$35)^(Presion_cilindro!$B$17+1)),0))/((Presion_cilindro!O371+Presion_cilindro!O372)/2)</f>
        <v>26.00408933421495</v>
      </c>
      <c r="H380" s="27">
        <f>H379*(Presion_cilindro!O371/Presion_cilindro!O372)^Presion_cilindro!$B$9+10*(Presion_cilindro!$B$9-1)*Presion_cilindro!$B$33*(IF(Presion_cilindro!N372&gt;(-H$4+Presion_cilindro!$B$34),1-EXP(-Presion_cilindro!$B$16*((Presion_cilindro!N372-(-H$4+Presion_cilindro!$B$34))/Presion_cilindro!$B$35)^(Presion_cilindro!$B$17+1)),0)-IF(Presion_cilindro!N371&gt;(-H$4+Presion_cilindro!$B$34),1-EXP(-Presion_cilindro!$B$16*((Presion_cilindro!N371-(-H$4+Presion_cilindro!$B$34))/Presion_cilindro!$B$35)^(Presion_cilindro!$B$17+1)),0))/((Presion_cilindro!O371+Presion_cilindro!O372)/2)</f>
        <v>32.37553046618455</v>
      </c>
      <c r="I380" s="27">
        <f>I379*(Presion_cilindro!O371/Presion_cilindro!O372)^Presion_cilindro!$B$9+10*(Presion_cilindro!$B$9-1)*Presion_cilindro!$B$33*(IF(Presion_cilindro!N372&gt;(-I$4+Presion_cilindro!$B$34),1-EXP(-Presion_cilindro!$B$16*((Presion_cilindro!N372-(-I$4+Presion_cilindro!$B$34))/Presion_cilindro!$B$35)^(Presion_cilindro!$B$17+1)),0)-IF(Presion_cilindro!N371&gt;(-I$4+Presion_cilindro!$B$34),1-EXP(-Presion_cilindro!$B$16*((Presion_cilindro!N371-(-I$4+Presion_cilindro!$B$34))/Presion_cilindro!$B$35)^(Presion_cilindro!$B$17+1)),0))/((Presion_cilindro!O371+Presion_cilindro!O372)/2)</f>
        <v>38.479597066085311</v>
      </c>
      <c r="J380" s="27">
        <f>J379*(Presion_cilindro!O371/Presion_cilindro!O372)^Presion_cilindro!$B$9+10*(Presion_cilindro!$B$9-1)*Presion_cilindro!$B$33*(IF(Presion_cilindro!N372&gt;(-J$4+Presion_cilindro!$B$34),1-EXP(-Presion_cilindro!$B$16*((Presion_cilindro!N372-(-J$4+Presion_cilindro!$B$34))/Presion_cilindro!$B$35)^(Presion_cilindro!$B$17+1)),0)-IF(Presion_cilindro!N371&gt;(-J$4+Presion_cilindro!$B$34),1-EXP(-Presion_cilindro!$B$16*((Presion_cilindro!N371-(-J$4+Presion_cilindro!$B$34))/Presion_cilindro!$B$35)^(Presion_cilindro!$B$17+1)),0))/((Presion_cilindro!O371+Presion_cilindro!O372)/2)</f>
        <v>43.268092661474334</v>
      </c>
      <c r="K380" s="27">
        <f>K379*(Presion_cilindro!O371/Presion_cilindro!O372)^Presion_cilindro!$B$9+10*(Presion_cilindro!$B$9-1)*Presion_cilindro!$B$33*(IF(Presion_cilindro!N372&gt;(-K$4+Presion_cilindro!$B$34),1-EXP(-Presion_cilindro!$B$16*((Presion_cilindro!N372-(-K$4+Presion_cilindro!$B$34))/Presion_cilindro!$B$35)^(Presion_cilindro!$B$17+1)),0)-IF(Presion_cilindro!N371&gt;(-K$4+Presion_cilindro!$B$34),1-EXP(-Presion_cilindro!$B$16*((Presion_cilindro!N371-(-K$4+Presion_cilindro!$B$34))/Presion_cilindro!$B$35)^(Presion_cilindro!$B$17+1)),0))/((Presion_cilindro!O371+Presion_cilindro!O372)/2)</f>
        <v>46.486561831150254</v>
      </c>
      <c r="L380" s="27">
        <f>L379*(Presion_cilindro!O371/Presion_cilindro!O372)^Presion_cilindro!$B$9+10*(Presion_cilindro!$B$9-1)*Presion_cilindro!$B$33*(IF(Presion_cilindro!N372&gt;(-L$4+Presion_cilindro!$B$34),1-EXP(-Presion_cilindro!$B$16*((Presion_cilindro!N372-(-L$4+Presion_cilindro!$B$34))/Presion_cilindro!$B$35)^(Presion_cilindro!$B$17+1)),0)-IF(Presion_cilindro!N371&gt;(-L$4+Presion_cilindro!$B$34),1-EXP(-Presion_cilindro!$B$16*((Presion_cilindro!N371-(-L$4+Presion_cilindro!$B$34))/Presion_cilindro!$B$35)^(Presion_cilindro!$B$17+1)),0))/((Presion_cilindro!O371+Presion_cilindro!O372)/2)</f>
        <v>48.586519408049874</v>
      </c>
      <c r="M380" s="27">
        <f>M379*(Presion_cilindro!O371/Presion_cilindro!O372)^Presion_cilindro!$B$9+10*(Presion_cilindro!$B$9-1)*Presion_cilindro!$B$33*(IF(Presion_cilindro!N372&gt;(-M$4+Presion_cilindro!$B$34),1-EXP(-Presion_cilindro!$B$16*((Presion_cilindro!N372-(-M$4+Presion_cilindro!$B$34))/Presion_cilindro!$B$35)^(Presion_cilindro!$B$17+1)),0)-IF(Presion_cilindro!N371&gt;(-M$4+Presion_cilindro!$B$34),1-EXP(-Presion_cilindro!$B$16*((Presion_cilindro!N371-(-M$4+Presion_cilindro!$B$34))/Presion_cilindro!$B$35)^(Presion_cilindro!$B$17+1)),0))/((Presion_cilindro!O371+Presion_cilindro!O372)/2)</f>
        <v>50.200709023346626</v>
      </c>
      <c r="N380" s="27">
        <f>N379*(Presion_cilindro!O371/Presion_cilindro!O372)^Presion_cilindro!$B$9+10*(Presion_cilindro!$B$9-1)*Presion_cilindro!$B$33*(IF(Presion_cilindro!N372&gt;(-N$4+Presion_cilindro!$B$34),1-EXP(-Presion_cilindro!$B$16*((Presion_cilindro!N372-(-N$4+Presion_cilindro!$B$34))/Presion_cilindro!$B$35)^(Presion_cilindro!$B$17+1)),0)-IF(Presion_cilindro!N371&gt;(-N$4+Presion_cilindro!$B$34),1-EXP(-Presion_cilindro!$B$16*((Presion_cilindro!N371-(-N$4+Presion_cilindro!$B$34))/Presion_cilindro!$B$35)^(Presion_cilindro!$B$17+1)),0))/((Presion_cilindro!O371+Presion_cilindro!O372)/2)</f>
        <v>51.742887119040581</v>
      </c>
    </row>
    <row r="381" spans="1:14" x14ac:dyDescent="0.25">
      <c r="A381" s="21">
        <f>Presion_cilindro!N373</f>
        <v>4.5</v>
      </c>
      <c r="B381" s="27">
        <f>B380*(Presion_cilindro!O372/Presion_cilindro!O373)^Presion_cilindro!$B$9+10*(Presion_cilindro!$B$9-1)*Presion_cilindro!$B$33*(IF(Presion_cilindro!N373&gt;(-B$4+Presion_cilindro!$B$34),1-EXP(-Presion_cilindro!$B$16*((Presion_cilindro!N373-(-B$4+Presion_cilindro!$B$34))/Presion_cilindro!$B$35)^(Presion_cilindro!$B$17+1)),0)-IF(Presion_cilindro!N372&gt;(-B$4+Presion_cilindro!$B$34),1-EXP(-Presion_cilindro!$B$16*((Presion_cilindro!N372-(-B$4+Presion_cilindro!$B$34))/Presion_cilindro!$B$35)^(Presion_cilindro!$B$17+1)),0))/((Presion_cilindro!O372+Presion_cilindro!O373)/2)</f>
        <v>15.035730149834523</v>
      </c>
      <c r="C381" s="27">
        <f>C380*(Presion_cilindro!O372/Presion_cilindro!O373)^Presion_cilindro!$B$9+10*(Presion_cilindro!$B$9-1)*Presion_cilindro!$B$33*(IF(Presion_cilindro!N373&gt;(-C$4+Presion_cilindro!$B$34),1-EXP(-Presion_cilindro!$B$16*((Presion_cilindro!N373-(-C$4+Presion_cilindro!$B$34))/Presion_cilindro!$B$35)^(Presion_cilindro!$B$17+1)),0)-IF(Presion_cilindro!N372&gt;(-C$4+Presion_cilindro!$B$34),1-EXP(-Presion_cilindro!$B$16*((Presion_cilindro!N372-(-C$4+Presion_cilindro!$B$34))/Presion_cilindro!$B$35)^(Presion_cilindro!$B$17+1)),0))/((Presion_cilindro!O372+Presion_cilindro!O373)/2)</f>
        <v>15.05137308574602</v>
      </c>
      <c r="D381" s="27">
        <f>D380*(Presion_cilindro!O372/Presion_cilindro!O373)^Presion_cilindro!$B$9+10*(Presion_cilindro!$B$9-1)*Presion_cilindro!$B$33*(IF(Presion_cilindro!N373&gt;(-D$4+Presion_cilindro!$B$34),1-EXP(-Presion_cilindro!$B$16*((Presion_cilindro!N373-(-D$4+Presion_cilindro!$B$34))/Presion_cilindro!$B$35)^(Presion_cilindro!$B$17+1)),0)-IF(Presion_cilindro!N372&gt;(-D$4+Presion_cilindro!$B$34),1-EXP(-Presion_cilindro!$B$16*((Presion_cilindro!N372-(-D$4+Presion_cilindro!$B$34))/Presion_cilindro!$B$35)^(Presion_cilindro!$B$17+1)),0))/((Presion_cilindro!O372+Presion_cilindro!O373)/2)</f>
        <v>15.530791364006799</v>
      </c>
      <c r="E381" s="27">
        <f>E380*(Presion_cilindro!O372/Presion_cilindro!O373)^Presion_cilindro!$B$9+10*(Presion_cilindro!$B$9-1)*Presion_cilindro!$B$33*(IF(Presion_cilindro!N373&gt;(-E$4+Presion_cilindro!$B$34),1-EXP(-Presion_cilindro!$B$16*((Presion_cilindro!N373-(-E$4+Presion_cilindro!$B$34))/Presion_cilindro!$B$35)^(Presion_cilindro!$B$17+1)),0)-IF(Presion_cilindro!N372&gt;(-E$4+Presion_cilindro!$B$34),1-EXP(-Presion_cilindro!$B$16*((Presion_cilindro!N372-(-E$4+Presion_cilindro!$B$34))/Presion_cilindro!$B$35)^(Presion_cilindro!$B$17+1)),0))/((Presion_cilindro!O372+Presion_cilindro!O373)/2)</f>
        <v>17.331358897891135</v>
      </c>
      <c r="F381" s="27">
        <f>F380*(Presion_cilindro!O372/Presion_cilindro!O373)^Presion_cilindro!$B$9+10*(Presion_cilindro!$B$9-1)*Presion_cilindro!$B$33*(IF(Presion_cilindro!N373&gt;(-F$4+Presion_cilindro!$B$34),1-EXP(-Presion_cilindro!$B$16*((Presion_cilindro!N373-(-F$4+Presion_cilindro!$B$34))/Presion_cilindro!$B$35)^(Presion_cilindro!$B$17+1)),0)-IF(Presion_cilindro!N372&gt;(-F$4+Presion_cilindro!$B$34),1-EXP(-Presion_cilindro!$B$16*((Presion_cilindro!N372-(-F$4+Presion_cilindro!$B$34))/Presion_cilindro!$B$35)^(Presion_cilindro!$B$17+1)),0))/((Presion_cilindro!O372+Presion_cilindro!O373)/2)</f>
        <v>21.015142087987872</v>
      </c>
      <c r="G381" s="27">
        <f>G380*(Presion_cilindro!O372/Presion_cilindro!O373)^Presion_cilindro!$B$9+10*(Presion_cilindro!$B$9-1)*Presion_cilindro!$B$33*(IF(Presion_cilindro!N373&gt;(-G$4+Presion_cilindro!$B$34),1-EXP(-Presion_cilindro!$B$16*((Presion_cilindro!N373-(-G$4+Presion_cilindro!$B$34))/Presion_cilindro!$B$35)^(Presion_cilindro!$B$17+1)),0)-IF(Presion_cilindro!N372&gt;(-G$4+Presion_cilindro!$B$34),1-EXP(-Presion_cilindro!$B$16*((Presion_cilindro!N372-(-G$4+Presion_cilindro!$B$34))/Presion_cilindro!$B$35)^(Presion_cilindro!$B$17+1)),0))/((Presion_cilindro!O372+Presion_cilindro!O373)/2)</f>
        <v>26.482089994185735</v>
      </c>
      <c r="H381" s="27">
        <f>H380*(Presion_cilindro!O372/Presion_cilindro!O373)^Presion_cilindro!$B$9+10*(Presion_cilindro!$B$9-1)*Presion_cilindro!$B$33*(IF(Presion_cilindro!N373&gt;(-H$4+Presion_cilindro!$B$34),1-EXP(-Presion_cilindro!$B$16*((Presion_cilindro!N373-(-H$4+Presion_cilindro!$B$34))/Presion_cilindro!$B$35)^(Presion_cilindro!$B$17+1)),0)-IF(Presion_cilindro!N372&gt;(-H$4+Presion_cilindro!$B$34),1-EXP(-Presion_cilindro!$B$16*((Presion_cilindro!N372-(-H$4+Presion_cilindro!$B$34))/Presion_cilindro!$B$35)^(Presion_cilindro!$B$17+1)),0))/((Presion_cilindro!O372+Presion_cilindro!O373)/2)</f>
        <v>32.845233135445184</v>
      </c>
      <c r="I381" s="27">
        <f>I380*(Presion_cilindro!O372/Presion_cilindro!O373)^Presion_cilindro!$B$9+10*(Presion_cilindro!$B$9-1)*Presion_cilindro!$B$33*(IF(Presion_cilindro!N373&gt;(-I$4+Presion_cilindro!$B$34),1-EXP(-Presion_cilindro!$B$16*((Presion_cilindro!N373-(-I$4+Presion_cilindro!$B$34))/Presion_cilindro!$B$35)^(Presion_cilindro!$B$17+1)),0)-IF(Presion_cilindro!N372&gt;(-I$4+Presion_cilindro!$B$34),1-EXP(-Presion_cilindro!$B$16*((Presion_cilindro!N372-(-I$4+Presion_cilindro!$B$34))/Presion_cilindro!$B$35)^(Presion_cilindro!$B$17+1)),0))/((Presion_cilindro!O372+Presion_cilindro!O373)/2)</f>
        <v>38.806343137196812</v>
      </c>
      <c r="J381" s="27">
        <f>J380*(Presion_cilindro!O372/Presion_cilindro!O373)^Presion_cilindro!$B$9+10*(Presion_cilindro!$B$9-1)*Presion_cilindro!$B$33*(IF(Presion_cilindro!N373&gt;(-J$4+Presion_cilindro!$B$34),1-EXP(-Presion_cilindro!$B$16*((Presion_cilindro!N373-(-J$4+Presion_cilindro!$B$34))/Presion_cilindro!$B$35)^(Presion_cilindro!$B$17+1)),0)-IF(Presion_cilindro!N372&gt;(-J$4+Presion_cilindro!$B$34),1-EXP(-Presion_cilindro!$B$16*((Presion_cilindro!N372-(-J$4+Presion_cilindro!$B$34))/Presion_cilindro!$B$35)^(Presion_cilindro!$B$17+1)),0))/((Presion_cilindro!O372+Presion_cilindro!O373)/2)</f>
        <v>43.386618203104874</v>
      </c>
      <c r="K381" s="27">
        <f>K380*(Presion_cilindro!O372/Presion_cilindro!O373)^Presion_cilindro!$B$9+10*(Presion_cilindro!$B$9-1)*Presion_cilindro!$B$33*(IF(Presion_cilindro!N373&gt;(-K$4+Presion_cilindro!$B$34),1-EXP(-Presion_cilindro!$B$16*((Presion_cilindro!N373-(-K$4+Presion_cilindro!$B$34))/Presion_cilindro!$B$35)^(Presion_cilindro!$B$17+1)),0)-IF(Presion_cilindro!N372&gt;(-K$4+Presion_cilindro!$B$34),1-EXP(-Presion_cilindro!$B$16*((Presion_cilindro!N372-(-K$4+Presion_cilindro!$B$34))/Presion_cilindro!$B$35)^(Presion_cilindro!$B$17+1)),0))/((Presion_cilindro!O372+Presion_cilindro!O373)/2)</f>
        <v>46.421803603609483</v>
      </c>
      <c r="L381" s="27">
        <f>L380*(Presion_cilindro!O372/Presion_cilindro!O373)^Presion_cilindro!$B$9+10*(Presion_cilindro!$B$9-1)*Presion_cilindro!$B$33*(IF(Presion_cilindro!N373&gt;(-L$4+Presion_cilindro!$B$34),1-EXP(-Presion_cilindro!$B$16*((Presion_cilindro!N373-(-L$4+Presion_cilindro!$B$34))/Presion_cilindro!$B$35)^(Presion_cilindro!$B$17+1)),0)-IF(Presion_cilindro!N372&gt;(-L$4+Presion_cilindro!$B$34),1-EXP(-Presion_cilindro!$B$16*((Presion_cilindro!N372-(-L$4+Presion_cilindro!$B$34))/Presion_cilindro!$B$35)^(Presion_cilindro!$B$17+1)),0))/((Presion_cilindro!O372+Presion_cilindro!O373)/2)</f>
        <v>48.409163081760639</v>
      </c>
      <c r="M381" s="27">
        <f>M380*(Presion_cilindro!O372/Presion_cilindro!O373)^Presion_cilindro!$B$9+10*(Presion_cilindro!$B$9-1)*Presion_cilindro!$B$33*(IF(Presion_cilindro!N373&gt;(-M$4+Presion_cilindro!$B$34),1-EXP(-Presion_cilindro!$B$16*((Presion_cilindro!N373-(-M$4+Presion_cilindro!$B$34))/Presion_cilindro!$B$35)^(Presion_cilindro!$B$17+1)),0)-IF(Presion_cilindro!N372&gt;(-M$4+Presion_cilindro!$B$34),1-EXP(-Presion_cilindro!$B$16*((Presion_cilindro!N372-(-M$4+Presion_cilindro!$B$34))/Presion_cilindro!$B$35)^(Presion_cilindro!$B$17+1)),0))/((Presion_cilindro!O372+Presion_cilindro!O373)/2)</f>
        <v>49.971749464149511</v>
      </c>
      <c r="N381" s="27">
        <f>N380*(Presion_cilindro!O372/Presion_cilindro!O373)^Presion_cilindro!$B$9+10*(Presion_cilindro!$B$9-1)*Presion_cilindro!$B$33*(IF(Presion_cilindro!N373&gt;(-N$4+Presion_cilindro!$B$34),1-EXP(-Presion_cilindro!$B$16*((Presion_cilindro!N373-(-N$4+Presion_cilindro!$B$34))/Presion_cilindro!$B$35)^(Presion_cilindro!$B$17+1)),0)-IF(Presion_cilindro!N372&gt;(-N$4+Presion_cilindro!$B$34),1-EXP(-Presion_cilindro!$B$16*((Presion_cilindro!N372-(-N$4+Presion_cilindro!$B$34))/Presion_cilindro!$B$35)^(Presion_cilindro!$B$17+1)),0))/((Presion_cilindro!O372+Presion_cilindro!O373)/2)</f>
        <v>51.493318782982492</v>
      </c>
    </row>
    <row r="382" spans="1:14" x14ac:dyDescent="0.25">
      <c r="A382" s="21">
        <f>Presion_cilindro!N374</f>
        <v>5</v>
      </c>
      <c r="B382" s="27">
        <f>B381*(Presion_cilindro!O373/Presion_cilindro!O374)^Presion_cilindro!$B$9+10*(Presion_cilindro!$B$9-1)*Presion_cilindro!$B$33*(IF(Presion_cilindro!N374&gt;(-B$4+Presion_cilindro!$B$34),1-EXP(-Presion_cilindro!$B$16*((Presion_cilindro!N374-(-B$4+Presion_cilindro!$B$34))/Presion_cilindro!$B$35)^(Presion_cilindro!$B$17+1)),0)-IF(Presion_cilindro!N373&gt;(-B$4+Presion_cilindro!$B$34),1-EXP(-Presion_cilindro!$B$16*((Presion_cilindro!N373-(-B$4+Presion_cilindro!$B$34))/Presion_cilindro!$B$35)^(Presion_cilindro!$B$17+1)),0))/((Presion_cilindro!O373+Presion_cilindro!O374)/2)</f>
        <v>14.954034392170879</v>
      </c>
      <c r="C382" s="27">
        <f>C381*(Presion_cilindro!O373/Presion_cilindro!O374)^Presion_cilindro!$B$9+10*(Presion_cilindro!$B$9-1)*Presion_cilindro!$B$33*(IF(Presion_cilindro!N374&gt;(-C$4+Presion_cilindro!$B$34),1-EXP(-Presion_cilindro!$B$16*((Presion_cilindro!N374-(-C$4+Presion_cilindro!$B$34))/Presion_cilindro!$B$35)^(Presion_cilindro!$B$17+1)),0)-IF(Presion_cilindro!N373&gt;(-C$4+Presion_cilindro!$B$34),1-EXP(-Presion_cilindro!$B$16*((Presion_cilindro!N373-(-C$4+Presion_cilindro!$B$34))/Presion_cilindro!$B$35)^(Presion_cilindro!$B$17+1)),0))/((Presion_cilindro!O373+Presion_cilindro!O374)/2)</f>
        <v>14.982130401114995</v>
      </c>
      <c r="D382" s="27">
        <f>D381*(Presion_cilindro!O373/Presion_cilindro!O374)^Presion_cilindro!$B$9+10*(Presion_cilindro!$B$9-1)*Presion_cilindro!$B$33*(IF(Presion_cilindro!N374&gt;(-D$4+Presion_cilindro!$B$34),1-EXP(-Presion_cilindro!$B$16*((Presion_cilindro!N374-(-D$4+Presion_cilindro!$B$34))/Presion_cilindro!$B$35)^(Presion_cilindro!$B$17+1)),0)-IF(Presion_cilindro!N373&gt;(-D$4+Presion_cilindro!$B$34),1-EXP(-Presion_cilindro!$B$16*((Presion_cilindro!N373-(-D$4+Presion_cilindro!$B$34))/Presion_cilindro!$B$35)^(Presion_cilindro!$B$17+1)),0))/((Presion_cilindro!O373+Presion_cilindro!O374)/2)</f>
        <v>15.554159781344337</v>
      </c>
      <c r="E382" s="27">
        <f>E381*(Presion_cilindro!O373/Presion_cilindro!O374)^Presion_cilindro!$B$9+10*(Presion_cilindro!$B$9-1)*Presion_cilindro!$B$33*(IF(Presion_cilindro!N374&gt;(-E$4+Presion_cilindro!$B$34),1-EXP(-Presion_cilindro!$B$16*((Presion_cilindro!N374-(-E$4+Presion_cilindro!$B$34))/Presion_cilindro!$B$35)^(Presion_cilindro!$B$17+1)),0)-IF(Presion_cilindro!N373&gt;(-E$4+Presion_cilindro!$B$34),1-EXP(-Presion_cilindro!$B$16*((Presion_cilindro!N373-(-E$4+Presion_cilindro!$B$34))/Presion_cilindro!$B$35)^(Presion_cilindro!$B$17+1)),0))/((Presion_cilindro!O373+Presion_cilindro!O374)/2)</f>
        <v>17.516569021238457</v>
      </c>
      <c r="F382" s="27">
        <f>F381*(Presion_cilindro!O373/Presion_cilindro!O374)^Presion_cilindro!$B$9+10*(Presion_cilindro!$B$9-1)*Presion_cilindro!$B$33*(IF(Presion_cilindro!N374&gt;(-F$4+Presion_cilindro!$B$34),1-EXP(-Presion_cilindro!$B$16*((Presion_cilindro!N374-(-F$4+Presion_cilindro!$B$34))/Presion_cilindro!$B$35)^(Presion_cilindro!$B$17+1)),0)-IF(Presion_cilindro!N373&gt;(-F$4+Presion_cilindro!$B$34),1-EXP(-Presion_cilindro!$B$16*((Presion_cilindro!N373-(-F$4+Presion_cilindro!$B$34))/Presion_cilindro!$B$35)^(Presion_cilindro!$B$17+1)),0))/((Presion_cilindro!O373+Presion_cilindro!O374)/2)</f>
        <v>21.375640676879495</v>
      </c>
      <c r="G382" s="27">
        <f>G381*(Presion_cilindro!O373/Presion_cilindro!O374)^Presion_cilindro!$B$9+10*(Presion_cilindro!$B$9-1)*Presion_cilindro!$B$33*(IF(Presion_cilindro!N374&gt;(-G$4+Presion_cilindro!$B$34),1-EXP(-Presion_cilindro!$B$16*((Presion_cilindro!N374-(-G$4+Presion_cilindro!$B$34))/Presion_cilindro!$B$35)^(Presion_cilindro!$B$17+1)),0)-IF(Presion_cilindro!N373&gt;(-G$4+Presion_cilindro!$B$34),1-EXP(-Presion_cilindro!$B$16*((Presion_cilindro!N373-(-G$4+Presion_cilindro!$B$34))/Presion_cilindro!$B$35)^(Presion_cilindro!$B$17+1)),0))/((Presion_cilindro!O373+Presion_cilindro!O374)/2)</f>
        <v>26.949512039268477</v>
      </c>
      <c r="H382" s="27">
        <f>H381*(Presion_cilindro!O373/Presion_cilindro!O374)^Presion_cilindro!$B$9+10*(Presion_cilindro!$B$9-1)*Presion_cilindro!$B$33*(IF(Presion_cilindro!N374&gt;(-H$4+Presion_cilindro!$B$34),1-EXP(-Presion_cilindro!$B$16*((Presion_cilindro!N374-(-H$4+Presion_cilindro!$B$34))/Presion_cilindro!$B$35)^(Presion_cilindro!$B$17+1)),0)-IF(Presion_cilindro!N373&gt;(-H$4+Presion_cilindro!$B$34),1-EXP(-Presion_cilindro!$B$16*((Presion_cilindro!N373-(-H$4+Presion_cilindro!$B$34))/Presion_cilindro!$B$35)^(Presion_cilindro!$B$17+1)),0))/((Presion_cilindro!O373+Presion_cilindro!O374)/2)</f>
        <v>33.286432473384529</v>
      </c>
      <c r="I382" s="27">
        <f>I381*(Presion_cilindro!O373/Presion_cilindro!O374)^Presion_cilindro!$B$9+10*(Presion_cilindro!$B$9-1)*Presion_cilindro!$B$33*(IF(Presion_cilindro!N374&gt;(-I$4+Presion_cilindro!$B$34),1-EXP(-Presion_cilindro!$B$16*((Presion_cilindro!N374-(-I$4+Presion_cilindro!$B$34))/Presion_cilindro!$B$35)^(Presion_cilindro!$B$17+1)),0)-IF(Presion_cilindro!N373&gt;(-I$4+Presion_cilindro!$B$34),1-EXP(-Presion_cilindro!$B$16*((Presion_cilindro!N373-(-I$4+Presion_cilindro!$B$34))/Presion_cilindro!$B$35)^(Presion_cilindro!$B$17+1)),0))/((Presion_cilindro!O373+Presion_cilindro!O374)/2)</f>
        <v>39.09143739281307</v>
      </c>
      <c r="J382" s="27">
        <f>J381*(Presion_cilindro!O373/Presion_cilindro!O374)^Presion_cilindro!$B$9+10*(Presion_cilindro!$B$9-1)*Presion_cilindro!$B$33*(IF(Presion_cilindro!N374&gt;(-J$4+Presion_cilindro!$B$34),1-EXP(-Presion_cilindro!$B$16*((Presion_cilindro!N374-(-J$4+Presion_cilindro!$B$34))/Presion_cilindro!$B$35)^(Presion_cilindro!$B$17+1)),0)-IF(Presion_cilindro!N373&gt;(-J$4+Presion_cilindro!$B$34),1-EXP(-Presion_cilindro!$B$16*((Presion_cilindro!N373-(-J$4+Presion_cilindro!$B$34))/Presion_cilindro!$B$35)^(Presion_cilindro!$B$17+1)),0))/((Presion_cilindro!O373+Presion_cilindro!O374)/2)</f>
        <v>43.460700091332811</v>
      </c>
      <c r="K382" s="27">
        <f>K381*(Presion_cilindro!O373/Presion_cilindro!O374)^Presion_cilindro!$B$9+10*(Presion_cilindro!$B$9-1)*Presion_cilindro!$B$33*(IF(Presion_cilindro!N374&gt;(-K$4+Presion_cilindro!$B$34),1-EXP(-Presion_cilindro!$B$16*((Presion_cilindro!N374-(-K$4+Presion_cilindro!$B$34))/Presion_cilindro!$B$35)^(Presion_cilindro!$B$17+1)),0)-IF(Presion_cilindro!N373&gt;(-K$4+Presion_cilindro!$B$34),1-EXP(-Presion_cilindro!$B$16*((Presion_cilindro!N373-(-K$4+Presion_cilindro!$B$34))/Presion_cilindro!$B$35)^(Presion_cilindro!$B$17+1)),0))/((Presion_cilindro!O373+Presion_cilindro!O374)/2)</f>
        <v>46.31784024854587</v>
      </c>
      <c r="L382" s="27">
        <f>L381*(Presion_cilindro!O373/Presion_cilindro!O374)^Presion_cilindro!$B$9+10*(Presion_cilindro!$B$9-1)*Presion_cilindro!$B$33*(IF(Presion_cilindro!N374&gt;(-L$4+Presion_cilindro!$B$34),1-EXP(-Presion_cilindro!$B$16*((Presion_cilindro!N374-(-L$4+Presion_cilindro!$B$34))/Presion_cilindro!$B$35)^(Presion_cilindro!$B$17+1)),0)-IF(Presion_cilindro!N373&gt;(-L$4+Presion_cilindro!$B$34),1-EXP(-Presion_cilindro!$B$16*((Presion_cilindro!N373-(-L$4+Presion_cilindro!$B$34))/Presion_cilindro!$B$35)^(Presion_cilindro!$B$17+1)),0))/((Presion_cilindro!O373+Presion_cilindro!O374)/2)</f>
        <v>48.199266999076059</v>
      </c>
      <c r="M382" s="27">
        <f>M381*(Presion_cilindro!O373/Presion_cilindro!O374)^Presion_cilindro!$B$9+10*(Presion_cilindro!$B$9-1)*Presion_cilindro!$B$33*(IF(Presion_cilindro!N374&gt;(-M$4+Presion_cilindro!$B$34),1-EXP(-Presion_cilindro!$B$16*((Presion_cilindro!N374-(-M$4+Presion_cilindro!$B$34))/Presion_cilindro!$B$35)^(Presion_cilindro!$B$17+1)),0)-IF(Presion_cilindro!N373&gt;(-M$4+Presion_cilindro!$B$34),1-EXP(-Presion_cilindro!$B$16*((Presion_cilindro!N373-(-M$4+Presion_cilindro!$B$34))/Presion_cilindro!$B$35)^(Presion_cilindro!$B$17+1)),0))/((Presion_cilindro!O373+Presion_cilindro!O374)/2)</f>
        <v>49.714134768541832</v>
      </c>
      <c r="N382" s="27">
        <f>N381*(Presion_cilindro!O373/Presion_cilindro!O374)^Presion_cilindro!$B$9+10*(Presion_cilindro!$B$9-1)*Presion_cilindro!$B$33*(IF(Presion_cilindro!N374&gt;(-N$4+Presion_cilindro!$B$34),1-EXP(-Presion_cilindro!$B$16*((Presion_cilindro!N374-(-N$4+Presion_cilindro!$B$34))/Presion_cilindro!$B$35)^(Presion_cilindro!$B$17+1)),0)-IF(Presion_cilindro!N373&gt;(-N$4+Presion_cilindro!$B$34),1-EXP(-Presion_cilindro!$B$16*((Presion_cilindro!N373-(-N$4+Presion_cilindro!$B$34))/Presion_cilindro!$B$35)^(Presion_cilindro!$B$17+1)),0))/((Presion_cilindro!O373+Presion_cilindro!O374)/2)</f>
        <v>51.216119866880646</v>
      </c>
    </row>
    <row r="383" spans="1:14" x14ac:dyDescent="0.25">
      <c r="A383" s="21">
        <f>Presion_cilindro!N375</f>
        <v>5.5</v>
      </c>
      <c r="B383" s="27">
        <f>B382*(Presion_cilindro!O374/Presion_cilindro!O375)^Presion_cilindro!$B$9+10*(Presion_cilindro!$B$9-1)*Presion_cilindro!$B$33*(IF(Presion_cilindro!N375&gt;(-B$4+Presion_cilindro!$B$34),1-EXP(-Presion_cilindro!$B$16*((Presion_cilindro!N375-(-B$4+Presion_cilindro!$B$34))/Presion_cilindro!$B$35)^(Presion_cilindro!$B$17+1)),0)-IF(Presion_cilindro!N374&gt;(-B$4+Presion_cilindro!$B$34),1-EXP(-Presion_cilindro!$B$16*((Presion_cilindro!N374-(-B$4+Presion_cilindro!$B$34))/Presion_cilindro!$B$35)^(Presion_cilindro!$B$17+1)),0))/((Presion_cilindro!O374+Presion_cilindro!O375)/2)</f>
        <v>14.864676109755628</v>
      </c>
      <c r="C383" s="27">
        <f>C382*(Presion_cilindro!O374/Presion_cilindro!O375)^Presion_cilindro!$B$9+10*(Presion_cilindro!$B$9-1)*Presion_cilindro!$B$33*(IF(Presion_cilindro!N375&gt;(-C$4+Presion_cilindro!$B$34),1-EXP(-Presion_cilindro!$B$16*((Presion_cilindro!N375-(-C$4+Presion_cilindro!$B$34))/Presion_cilindro!$B$35)^(Presion_cilindro!$B$17+1)),0)-IF(Presion_cilindro!N374&gt;(-C$4+Presion_cilindro!$B$34),1-EXP(-Presion_cilindro!$B$16*((Presion_cilindro!N374-(-C$4+Presion_cilindro!$B$34))/Presion_cilindro!$B$35)^(Presion_cilindro!$B$17+1)),0))/((Presion_cilindro!O374+Presion_cilindro!O375)/2)</f>
        <v>14.910438383729252</v>
      </c>
      <c r="D383" s="27">
        <f>D382*(Presion_cilindro!O374/Presion_cilindro!O375)^Presion_cilindro!$B$9+10*(Presion_cilindro!$B$9-1)*Presion_cilindro!$B$33*(IF(Presion_cilindro!N375&gt;(-D$4+Presion_cilindro!$B$34),1-EXP(-Presion_cilindro!$B$16*((Presion_cilindro!N375-(-D$4+Presion_cilindro!$B$34))/Presion_cilindro!$B$35)^(Presion_cilindro!$B$17+1)),0)-IF(Presion_cilindro!N374&gt;(-D$4+Presion_cilindro!$B$34),1-EXP(-Presion_cilindro!$B$16*((Presion_cilindro!N374-(-D$4+Presion_cilindro!$B$34))/Presion_cilindro!$B$35)^(Presion_cilindro!$B$17+1)),0))/((Presion_cilindro!O374+Presion_cilindro!O375)/2)</f>
        <v>15.582727095761699</v>
      </c>
      <c r="E383" s="27">
        <f>E382*(Presion_cilindro!O374/Presion_cilindro!O375)^Presion_cilindro!$B$9+10*(Presion_cilindro!$B$9-1)*Presion_cilindro!$B$33*(IF(Presion_cilindro!N375&gt;(-E$4+Presion_cilindro!$B$34),1-EXP(-Presion_cilindro!$B$16*((Presion_cilindro!N375-(-E$4+Presion_cilindro!$B$34))/Presion_cilindro!$B$35)^(Presion_cilindro!$B$17+1)),0)-IF(Presion_cilindro!N374&gt;(-E$4+Presion_cilindro!$B$34),1-EXP(-Presion_cilindro!$B$16*((Presion_cilindro!N374-(-E$4+Presion_cilindro!$B$34))/Presion_cilindro!$B$35)^(Presion_cilindro!$B$17+1)),0))/((Presion_cilindro!O374+Presion_cilindro!O375)/2)</f>
        <v>17.709667226975665</v>
      </c>
      <c r="F383" s="27">
        <f>F382*(Presion_cilindro!O374/Presion_cilindro!O375)^Presion_cilindro!$B$9+10*(Presion_cilindro!$B$9-1)*Presion_cilindro!$B$33*(IF(Presion_cilindro!N375&gt;(-F$4+Presion_cilindro!$B$34),1-EXP(-Presion_cilindro!$B$16*((Presion_cilindro!N375-(-F$4+Presion_cilindro!$B$34))/Presion_cilindro!$B$35)^(Presion_cilindro!$B$17+1)),0)-IF(Presion_cilindro!N374&gt;(-F$4+Presion_cilindro!$B$34),1-EXP(-Presion_cilindro!$B$16*((Presion_cilindro!N374-(-F$4+Presion_cilindro!$B$34))/Presion_cilindro!$B$35)^(Presion_cilindro!$B$17+1)),0))/((Presion_cilindro!O374+Presion_cilindro!O375)/2)</f>
        <v>21.738224888239333</v>
      </c>
      <c r="G383" s="27">
        <f>G382*(Presion_cilindro!O374/Presion_cilindro!O375)^Presion_cilindro!$B$9+10*(Presion_cilindro!$B$9-1)*Presion_cilindro!$B$33*(IF(Presion_cilindro!N375&gt;(-G$4+Presion_cilindro!$B$34),1-EXP(-Presion_cilindro!$B$16*((Presion_cilindro!N375-(-G$4+Presion_cilindro!$B$34))/Presion_cilindro!$B$35)^(Presion_cilindro!$B$17+1)),0)-IF(Presion_cilindro!N374&gt;(-G$4+Presion_cilindro!$B$34),1-EXP(-Presion_cilindro!$B$16*((Presion_cilindro!N374-(-G$4+Presion_cilindro!$B$34))/Presion_cilindro!$B$35)^(Presion_cilindro!$B$17+1)),0))/((Presion_cilindro!O374+Presion_cilindro!O375)/2)</f>
        <v>27.404452282783552</v>
      </c>
      <c r="H383" s="27">
        <f>H382*(Presion_cilindro!O374/Presion_cilindro!O375)^Presion_cilindro!$B$9+10*(Presion_cilindro!$B$9-1)*Presion_cilindro!$B$33*(IF(Presion_cilindro!N375&gt;(-H$4+Presion_cilindro!$B$34),1-EXP(-Presion_cilindro!$B$16*((Presion_cilindro!N375-(-H$4+Presion_cilindro!$B$34))/Presion_cilindro!$B$35)^(Presion_cilindro!$B$17+1)),0)-IF(Presion_cilindro!N374&gt;(-H$4+Presion_cilindro!$B$34),1-EXP(-Presion_cilindro!$B$16*((Presion_cilindro!N374-(-H$4+Presion_cilindro!$B$34))/Presion_cilindro!$B$35)^(Presion_cilindro!$B$17+1)),0))/((Presion_cilindro!O374+Presion_cilindro!O375)/2)</f>
        <v>33.697458175637948</v>
      </c>
      <c r="I383" s="27">
        <f>I382*(Presion_cilindro!O374/Presion_cilindro!O375)^Presion_cilindro!$B$9+10*(Presion_cilindro!$B$9-1)*Presion_cilindro!$B$33*(IF(Presion_cilindro!N375&gt;(-I$4+Presion_cilindro!$B$34),1-EXP(-Presion_cilindro!$B$16*((Presion_cilindro!N375-(-I$4+Presion_cilindro!$B$34))/Presion_cilindro!$B$35)^(Presion_cilindro!$B$17+1)),0)-IF(Presion_cilindro!N374&gt;(-I$4+Presion_cilindro!$B$34),1-EXP(-Presion_cilindro!$B$16*((Presion_cilindro!N374-(-I$4+Presion_cilindro!$B$34))/Presion_cilindro!$B$35)^(Presion_cilindro!$B$17+1)),0))/((Presion_cilindro!O374+Presion_cilindro!O375)/2)</f>
        <v>39.334377280085945</v>
      </c>
      <c r="J383" s="27">
        <f>J382*(Presion_cilindro!O374/Presion_cilindro!O375)^Presion_cilindro!$B$9+10*(Presion_cilindro!$B$9-1)*Presion_cilindro!$B$33*(IF(Presion_cilindro!N375&gt;(-J$4+Presion_cilindro!$B$34),1-EXP(-Presion_cilindro!$B$16*((Presion_cilindro!N375-(-J$4+Presion_cilindro!$B$34))/Presion_cilindro!$B$35)^(Presion_cilindro!$B$17+1)),0)-IF(Presion_cilindro!N374&gt;(-J$4+Presion_cilindro!$B$34),1-EXP(-Presion_cilindro!$B$16*((Presion_cilindro!N374-(-J$4+Presion_cilindro!$B$34))/Presion_cilindro!$B$35)^(Presion_cilindro!$B$17+1)),0))/((Presion_cilindro!O374+Presion_cilindro!O375)/2)</f>
        <v>43.491131656963638</v>
      </c>
      <c r="K383" s="27">
        <f>K382*(Presion_cilindro!O374/Presion_cilindro!O375)^Presion_cilindro!$B$9+10*(Presion_cilindro!$B$9-1)*Presion_cilindro!$B$33*(IF(Presion_cilindro!N375&gt;(-K$4+Presion_cilindro!$B$34),1-EXP(-Presion_cilindro!$B$16*((Presion_cilindro!N375-(-K$4+Presion_cilindro!$B$34))/Presion_cilindro!$B$35)^(Presion_cilindro!$B$17+1)),0)-IF(Presion_cilindro!N374&gt;(-K$4+Presion_cilindro!$B$34),1-EXP(-Presion_cilindro!$B$16*((Presion_cilindro!N374-(-K$4+Presion_cilindro!$B$34))/Presion_cilindro!$B$35)^(Presion_cilindro!$B$17+1)),0))/((Presion_cilindro!O374+Presion_cilindro!O375)/2)</f>
        <v>46.176097613453976</v>
      </c>
      <c r="L383" s="27">
        <f>L382*(Presion_cilindro!O374/Presion_cilindro!O375)^Presion_cilindro!$B$9+10*(Presion_cilindro!$B$9-1)*Presion_cilindro!$B$33*(IF(Presion_cilindro!N375&gt;(-L$4+Presion_cilindro!$B$34),1-EXP(-Presion_cilindro!$B$16*((Presion_cilindro!N375-(-L$4+Presion_cilindro!$B$34))/Presion_cilindro!$B$35)^(Presion_cilindro!$B$17+1)),0)-IF(Presion_cilindro!N374&gt;(-L$4+Presion_cilindro!$B$34),1-EXP(-Presion_cilindro!$B$16*((Presion_cilindro!N374-(-L$4+Presion_cilindro!$B$34))/Presion_cilindro!$B$35)^(Presion_cilindro!$B$17+1)),0))/((Presion_cilindro!O374+Presion_cilindro!O375)/2)</f>
        <v>47.958196845783569</v>
      </c>
      <c r="M383" s="27">
        <f>M382*(Presion_cilindro!O374/Presion_cilindro!O375)^Presion_cilindro!$B$9+10*(Presion_cilindro!$B$9-1)*Presion_cilindro!$B$33*(IF(Presion_cilindro!N375&gt;(-M$4+Presion_cilindro!$B$34),1-EXP(-Presion_cilindro!$B$16*((Presion_cilindro!N375-(-M$4+Presion_cilindro!$B$34))/Presion_cilindro!$B$35)^(Presion_cilindro!$B$17+1)),0)-IF(Presion_cilindro!N374&gt;(-M$4+Presion_cilindro!$B$34),1-EXP(-Presion_cilindro!$B$16*((Presion_cilindro!N374-(-M$4+Presion_cilindro!$B$34))/Presion_cilindro!$B$35)^(Presion_cilindro!$B$17+1)),0))/((Presion_cilindro!O374+Presion_cilindro!O375)/2)</f>
        <v>49.428954065167297</v>
      </c>
      <c r="N383" s="27">
        <f>N382*(Presion_cilindro!O374/Presion_cilindro!O375)^Presion_cilindro!$B$9+10*(Presion_cilindro!$B$9-1)*Presion_cilindro!$B$33*(IF(Presion_cilindro!N375&gt;(-N$4+Presion_cilindro!$B$34),1-EXP(-Presion_cilindro!$B$16*((Presion_cilindro!N375-(-N$4+Presion_cilindro!$B$34))/Presion_cilindro!$B$35)^(Presion_cilindro!$B$17+1)),0)-IF(Presion_cilindro!N374&gt;(-N$4+Presion_cilindro!$B$34),1-EXP(-Presion_cilindro!$B$16*((Presion_cilindro!N374-(-N$4+Presion_cilindro!$B$34))/Presion_cilindro!$B$35)^(Presion_cilindro!$B$17+1)),0))/((Presion_cilindro!O374+Presion_cilindro!O375)/2)</f>
        <v>50.912210872184076</v>
      </c>
    </row>
    <row r="384" spans="1:14" x14ac:dyDescent="0.25">
      <c r="A384" s="21">
        <f>Presion_cilindro!N376</f>
        <v>6</v>
      </c>
      <c r="B384" s="27">
        <f>B383*(Presion_cilindro!O375/Presion_cilindro!O376)^Presion_cilindro!$B$9+10*(Presion_cilindro!$B$9-1)*Presion_cilindro!$B$33*(IF(Presion_cilindro!N376&gt;(-B$4+Presion_cilindro!$B$34),1-EXP(-Presion_cilindro!$B$16*((Presion_cilindro!N376-(-B$4+Presion_cilindro!$B$34))/Presion_cilindro!$B$35)^(Presion_cilindro!$B$17+1)),0)-IF(Presion_cilindro!N375&gt;(-B$4+Presion_cilindro!$B$34),1-EXP(-Presion_cilindro!$B$16*((Presion_cilindro!N375-(-B$4+Presion_cilindro!$B$34))/Presion_cilindro!$B$35)^(Presion_cilindro!$B$17+1)),0))/((Presion_cilindro!O375+Presion_cilindro!O376)/2)</f>
        <v>14.767918869536345</v>
      </c>
      <c r="C384" s="27">
        <f>C383*(Presion_cilindro!O375/Presion_cilindro!O376)^Presion_cilindro!$B$9+10*(Presion_cilindro!$B$9-1)*Presion_cilindro!$B$33*(IF(Presion_cilindro!N376&gt;(-C$4+Presion_cilindro!$B$34),1-EXP(-Presion_cilindro!$B$16*((Presion_cilindro!N376-(-C$4+Presion_cilindro!$B$34))/Presion_cilindro!$B$35)^(Presion_cilindro!$B$17+1)),0)-IF(Presion_cilindro!N375&gt;(-C$4+Presion_cilindro!$B$34),1-EXP(-Presion_cilindro!$B$16*((Presion_cilindro!N375-(-C$4+Presion_cilindro!$B$34))/Presion_cilindro!$B$35)^(Presion_cilindro!$B$17+1)),0))/((Presion_cilindro!O375+Presion_cilindro!O376)/2)</f>
        <v>14.837400195666767</v>
      </c>
      <c r="D384" s="27">
        <f>D383*(Presion_cilindro!O375/Presion_cilindro!O376)^Presion_cilindro!$B$9+10*(Presion_cilindro!$B$9-1)*Presion_cilindro!$B$33*(IF(Presion_cilindro!N376&gt;(-D$4+Presion_cilindro!$B$34),1-EXP(-Presion_cilindro!$B$16*((Presion_cilindro!N376-(-D$4+Presion_cilindro!$B$34))/Presion_cilindro!$B$35)^(Presion_cilindro!$B$17+1)),0)-IF(Presion_cilindro!N375&gt;(-D$4+Presion_cilindro!$B$34),1-EXP(-Presion_cilindro!$B$16*((Presion_cilindro!N375-(-D$4+Presion_cilindro!$B$34))/Presion_cilindro!$B$35)^(Presion_cilindro!$B$17+1)),0))/((Presion_cilindro!O375+Presion_cilindro!O376)/2)</f>
        <v>15.617144954761045</v>
      </c>
      <c r="E384" s="27">
        <f>E383*(Presion_cilindro!O375/Presion_cilindro!O376)^Presion_cilindro!$B$9+10*(Presion_cilindro!$B$9-1)*Presion_cilindro!$B$33*(IF(Presion_cilindro!N376&gt;(-E$4+Presion_cilindro!$B$34),1-EXP(-Presion_cilindro!$B$16*((Presion_cilindro!N376-(-E$4+Presion_cilindro!$B$34))/Presion_cilindro!$B$35)^(Presion_cilindro!$B$17+1)),0)-IF(Presion_cilindro!N375&gt;(-E$4+Presion_cilindro!$B$34),1-EXP(-Presion_cilindro!$B$16*((Presion_cilindro!N375-(-E$4+Presion_cilindro!$B$34))/Presion_cilindro!$B$35)^(Presion_cilindro!$B$17+1)),0))/((Presion_cilindro!O375+Presion_cilindro!O376)/2)</f>
        <v>17.910447727869922</v>
      </c>
      <c r="F384" s="27">
        <f>F383*(Presion_cilindro!O375/Presion_cilindro!O376)^Presion_cilindro!$B$9+10*(Presion_cilindro!$B$9-1)*Presion_cilindro!$B$33*(IF(Presion_cilindro!N376&gt;(-F$4+Presion_cilindro!$B$34),1-EXP(-Presion_cilindro!$B$16*((Presion_cilindro!N376-(-F$4+Presion_cilindro!$B$34))/Presion_cilindro!$B$35)^(Presion_cilindro!$B$17+1)),0)-IF(Presion_cilindro!N375&gt;(-F$4+Presion_cilindro!$B$34),1-EXP(-Presion_cilindro!$B$16*((Presion_cilindro!N375-(-F$4+Presion_cilindro!$B$34))/Presion_cilindro!$B$35)^(Presion_cilindro!$B$17+1)),0))/((Presion_cilindro!O375+Presion_cilindro!O376)/2)</f>
        <v>22.101645021403357</v>
      </c>
      <c r="G384" s="27">
        <f>G383*(Presion_cilindro!O375/Presion_cilindro!O376)^Presion_cilindro!$B$9+10*(Presion_cilindro!$B$9-1)*Presion_cilindro!$B$33*(IF(Presion_cilindro!N376&gt;(-G$4+Presion_cilindro!$B$34),1-EXP(-Presion_cilindro!$B$16*((Presion_cilindro!N376-(-G$4+Presion_cilindro!$B$34))/Presion_cilindro!$B$35)^(Presion_cilindro!$B$17+1)),0)-IF(Presion_cilindro!N375&gt;(-G$4+Presion_cilindro!$B$34),1-EXP(-Presion_cilindro!$B$16*((Presion_cilindro!N375-(-G$4+Presion_cilindro!$B$34))/Presion_cilindro!$B$35)^(Presion_cilindro!$B$17+1)),0))/((Presion_cilindro!O375+Presion_cilindro!O376)/2)</f>
        <v>27.845037944786725</v>
      </c>
      <c r="H384" s="27">
        <f>H383*(Presion_cilindro!O375/Presion_cilindro!O376)^Presion_cilindro!$B$9+10*(Presion_cilindro!$B$9-1)*Presion_cilindro!$B$33*(IF(Presion_cilindro!N376&gt;(-H$4+Presion_cilindro!$B$34),1-EXP(-Presion_cilindro!$B$16*((Presion_cilindro!N376-(-H$4+Presion_cilindro!$B$34))/Presion_cilindro!$B$35)^(Presion_cilindro!$B$17+1)),0)-IF(Presion_cilindro!N375&gt;(-H$4+Presion_cilindro!$B$34),1-EXP(-Presion_cilindro!$B$16*((Presion_cilindro!N375-(-H$4+Presion_cilindro!$B$34))/Presion_cilindro!$B$35)^(Presion_cilindro!$B$17+1)),0))/((Presion_cilindro!O375+Presion_cilindro!O376)/2)</f>
        <v>34.076806570726625</v>
      </c>
      <c r="I384" s="27">
        <f>I383*(Presion_cilindro!O375/Presion_cilindro!O376)^Presion_cilindro!$B$9+10*(Presion_cilindro!$B$9-1)*Presion_cilindro!$B$33*(IF(Presion_cilindro!N376&gt;(-I$4+Presion_cilindro!$B$34),1-EXP(-Presion_cilindro!$B$16*((Presion_cilindro!N376-(-I$4+Presion_cilindro!$B$34))/Presion_cilindro!$B$35)^(Presion_cilindro!$B$17+1)),0)-IF(Presion_cilindro!N375&gt;(-I$4+Presion_cilindro!$B$34),1-EXP(-Presion_cilindro!$B$16*((Presion_cilindro!N375-(-I$4+Presion_cilindro!$B$34))/Presion_cilindro!$B$35)^(Presion_cilindro!$B$17+1)),0))/((Presion_cilindro!O375+Presion_cilindro!O376)/2)</f>
        <v>39.534895482613372</v>
      </c>
      <c r="J384" s="27">
        <f>J383*(Presion_cilindro!O375/Presion_cilindro!O376)^Presion_cilindro!$B$9+10*(Presion_cilindro!$B$9-1)*Presion_cilindro!$B$33*(IF(Presion_cilindro!N376&gt;(-J$4+Presion_cilindro!$B$34),1-EXP(-Presion_cilindro!$B$16*((Presion_cilindro!N376-(-J$4+Presion_cilindro!$B$34))/Presion_cilindro!$B$35)^(Presion_cilindro!$B$17+1)),0)-IF(Presion_cilindro!N375&gt;(-J$4+Presion_cilindro!$B$34),1-EXP(-Presion_cilindro!$B$16*((Presion_cilindro!N375-(-J$4+Presion_cilindro!$B$34))/Presion_cilindro!$B$35)^(Presion_cilindro!$B$17+1)),0))/((Presion_cilindro!O375+Presion_cilindro!O376)/2)</f>
        <v>43.478895782497297</v>
      </c>
      <c r="K384" s="27">
        <f>K383*(Presion_cilindro!O375/Presion_cilindro!O376)^Presion_cilindro!$B$9+10*(Presion_cilindro!$B$9-1)*Presion_cilindro!$B$33*(IF(Presion_cilindro!N376&gt;(-K$4+Presion_cilindro!$B$34),1-EXP(-Presion_cilindro!$B$16*((Presion_cilindro!N376-(-K$4+Presion_cilindro!$B$34))/Presion_cilindro!$B$35)^(Presion_cilindro!$B$17+1)),0)-IF(Presion_cilindro!N375&gt;(-K$4+Presion_cilindro!$B$34),1-EXP(-Presion_cilindro!$B$16*((Presion_cilindro!N375-(-K$4+Presion_cilindro!$B$34))/Presion_cilindro!$B$35)^(Presion_cilindro!$B$17+1)),0))/((Presion_cilindro!O375+Presion_cilindro!O376)/2)</f>
        <v>45.998096842752147</v>
      </c>
      <c r="L384" s="27">
        <f>L383*(Presion_cilindro!O375/Presion_cilindro!O376)^Presion_cilindro!$B$9+10*(Presion_cilindro!$B$9-1)*Presion_cilindro!$B$33*(IF(Presion_cilindro!N376&gt;(-L$4+Presion_cilindro!$B$34),1-EXP(-Presion_cilindro!$B$16*((Presion_cilindro!N376-(-L$4+Presion_cilindro!$B$34))/Presion_cilindro!$B$35)^(Presion_cilindro!$B$17+1)),0)-IF(Presion_cilindro!N375&gt;(-L$4+Presion_cilindro!$B$34),1-EXP(-Presion_cilindro!$B$16*((Presion_cilindro!N375-(-L$4+Presion_cilindro!$B$34))/Presion_cilindro!$B$35)^(Presion_cilindro!$B$17+1)),0))/((Presion_cilindro!O375+Presion_cilindro!O376)/2)</f>
        <v>47.687359044802264</v>
      </c>
      <c r="M384" s="27">
        <f>M383*(Presion_cilindro!O375/Presion_cilindro!O376)^Presion_cilindro!$B$9+10*(Presion_cilindro!$B$9-1)*Presion_cilindro!$B$33*(IF(Presion_cilindro!N376&gt;(-M$4+Presion_cilindro!$B$34),1-EXP(-Presion_cilindro!$B$16*((Presion_cilindro!N376-(-M$4+Presion_cilindro!$B$34))/Presion_cilindro!$B$35)^(Presion_cilindro!$B$17+1)),0)-IF(Presion_cilindro!N375&gt;(-M$4+Presion_cilindro!$B$34),1-EXP(-Presion_cilindro!$B$16*((Presion_cilindro!N375-(-M$4+Presion_cilindro!$B$34))/Presion_cilindro!$B$35)^(Presion_cilindro!$B$17+1)),0))/((Presion_cilindro!O375+Presion_cilindro!O376)/2)</f>
        <v>49.117335548416136</v>
      </c>
      <c r="N384" s="27">
        <f>N383*(Presion_cilindro!O375/Presion_cilindro!O376)^Presion_cilindro!$B$9+10*(Presion_cilindro!$B$9-1)*Presion_cilindro!$B$33*(IF(Presion_cilindro!N376&gt;(-N$4+Presion_cilindro!$B$34),1-EXP(-Presion_cilindro!$B$16*((Presion_cilindro!N376-(-N$4+Presion_cilindro!$B$34))/Presion_cilindro!$B$35)^(Presion_cilindro!$B$17+1)),0)-IF(Presion_cilindro!N375&gt;(-N$4+Presion_cilindro!$B$34),1-EXP(-Presion_cilindro!$B$16*((Presion_cilindro!N375-(-N$4+Presion_cilindro!$B$34))/Presion_cilindro!$B$35)^(Presion_cilindro!$B$17+1)),0))/((Presion_cilindro!O375+Presion_cilindro!O376)/2)</f>
        <v>50.582566647843421</v>
      </c>
    </row>
    <row r="385" spans="1:14" x14ac:dyDescent="0.25">
      <c r="A385" s="21">
        <f>Presion_cilindro!N377</f>
        <v>6.5</v>
      </c>
      <c r="B385" s="27">
        <f>B384*(Presion_cilindro!O376/Presion_cilindro!O377)^Presion_cilindro!$B$9+10*(Presion_cilindro!$B$9-1)*Presion_cilindro!$B$33*(IF(Presion_cilindro!N377&gt;(-B$4+Presion_cilindro!$B$34),1-EXP(-Presion_cilindro!$B$16*((Presion_cilindro!N377-(-B$4+Presion_cilindro!$B$34))/Presion_cilindro!$B$35)^(Presion_cilindro!$B$17+1)),0)-IF(Presion_cilindro!N376&gt;(-B$4+Presion_cilindro!$B$34),1-EXP(-Presion_cilindro!$B$16*((Presion_cilindro!N376-(-B$4+Presion_cilindro!$B$34))/Presion_cilindro!$B$35)^(Presion_cilindro!$B$17+1)),0))/((Presion_cilindro!O376+Presion_cilindro!O377)/2)</f>
        <v>14.664043466953865</v>
      </c>
      <c r="C385" s="27">
        <f>C384*(Presion_cilindro!O376/Presion_cilindro!O377)^Presion_cilindro!$B$9+10*(Presion_cilindro!$B$9-1)*Presion_cilindro!$B$33*(IF(Presion_cilindro!N377&gt;(-C$4+Presion_cilindro!$B$34),1-EXP(-Presion_cilindro!$B$16*((Presion_cilindro!N377-(-C$4+Presion_cilindro!$B$34))/Presion_cilindro!$B$35)^(Presion_cilindro!$B$17+1)),0)-IF(Presion_cilindro!N376&gt;(-C$4+Presion_cilindro!$B$34),1-EXP(-Presion_cilindro!$B$16*((Presion_cilindro!N376-(-C$4+Presion_cilindro!$B$34))/Presion_cilindro!$B$35)^(Presion_cilindro!$B$17+1)),0))/((Presion_cilindro!O376+Presion_cilindro!O377)/2)</f>
        <v>14.764095834817716</v>
      </c>
      <c r="D385" s="27">
        <f>D384*(Presion_cilindro!O376/Presion_cilindro!O377)^Presion_cilindro!$B$9+10*(Presion_cilindro!$B$9-1)*Presion_cilindro!$B$33*(IF(Presion_cilindro!N377&gt;(-D$4+Presion_cilindro!$B$34),1-EXP(-Presion_cilindro!$B$16*((Presion_cilindro!N377-(-D$4+Presion_cilindro!$B$34))/Presion_cilindro!$B$35)^(Presion_cilindro!$B$17+1)),0)-IF(Presion_cilindro!N376&gt;(-D$4+Presion_cilindro!$B$34),1-EXP(-Presion_cilindro!$B$16*((Presion_cilindro!N376-(-D$4+Presion_cilindro!$B$34))/Presion_cilindro!$B$35)^(Presion_cilindro!$B$17+1)),0))/((Presion_cilindro!O376+Presion_cilindro!O377)/2)</f>
        <v>15.657998577864808</v>
      </c>
      <c r="E385" s="27">
        <f>E384*(Presion_cilindro!O376/Presion_cilindro!O377)^Presion_cilindro!$B$9+10*(Presion_cilindro!$B$9-1)*Presion_cilindro!$B$33*(IF(Presion_cilindro!N377&gt;(-E$4+Presion_cilindro!$B$34),1-EXP(-Presion_cilindro!$B$16*((Presion_cilindro!N377-(-E$4+Presion_cilindro!$B$34))/Presion_cilindro!$B$35)^(Presion_cilindro!$B$17+1)),0)-IF(Presion_cilindro!N376&gt;(-E$4+Presion_cilindro!$B$34),1-EXP(-Presion_cilindro!$B$16*((Presion_cilindro!N376-(-E$4+Presion_cilindro!$B$34))/Presion_cilindro!$B$35)^(Presion_cilindro!$B$17+1)),0))/((Presion_cilindro!O376+Presion_cilindro!O377)/2)</f>
        <v>18.118610135597805</v>
      </c>
      <c r="F385" s="27">
        <f>F384*(Presion_cilindro!O376/Presion_cilindro!O377)^Presion_cilindro!$B$9+10*(Presion_cilindro!$B$9-1)*Presion_cilindro!$B$33*(IF(Presion_cilindro!N377&gt;(-F$4+Presion_cilindro!$B$34),1-EXP(-Presion_cilindro!$B$16*((Presion_cilindro!N377-(-F$4+Presion_cilindro!$B$34))/Presion_cilindro!$B$35)^(Presion_cilindro!$B$17+1)),0)-IF(Presion_cilindro!N376&gt;(-F$4+Presion_cilindro!$B$34),1-EXP(-Presion_cilindro!$B$16*((Presion_cilindro!N376-(-F$4+Presion_cilindro!$B$34))/Presion_cilindro!$B$35)^(Presion_cilindro!$B$17+1)),0))/((Presion_cilindro!O376+Presion_cilindro!O377)/2)</f>
        <v>22.464588332928699</v>
      </c>
      <c r="G385" s="27">
        <f>G384*(Presion_cilindro!O376/Presion_cilindro!O377)^Presion_cilindro!$B$9+10*(Presion_cilindro!$B$9-1)*Presion_cilindro!$B$33*(IF(Presion_cilindro!N377&gt;(-G$4+Presion_cilindro!$B$34),1-EXP(-Presion_cilindro!$B$16*((Presion_cilindro!N377-(-G$4+Presion_cilindro!$B$34))/Presion_cilindro!$B$35)^(Presion_cilindro!$B$17+1)),0)-IF(Presion_cilindro!N376&gt;(-G$4+Presion_cilindro!$B$34),1-EXP(-Presion_cilindro!$B$16*((Presion_cilindro!N376-(-G$4+Presion_cilindro!$B$34))/Presion_cilindro!$B$35)^(Presion_cilindro!$B$17+1)),0))/((Presion_cilindro!O376+Presion_cilindro!O377)/2)</f>
        <v>28.26944273357482</v>
      </c>
      <c r="H385" s="27">
        <f>H384*(Presion_cilindro!O376/Presion_cilindro!O377)^Presion_cilindro!$B$9+10*(Presion_cilindro!$B$9-1)*Presion_cilindro!$B$33*(IF(Presion_cilindro!N377&gt;(-H$4+Presion_cilindro!$B$34),1-EXP(-Presion_cilindro!$B$16*((Presion_cilindro!N377-(-H$4+Presion_cilindro!$B$34))/Presion_cilindro!$B$35)^(Presion_cilindro!$B$17+1)),0)-IF(Presion_cilindro!N376&gt;(-H$4+Presion_cilindro!$B$34),1-EXP(-Presion_cilindro!$B$16*((Presion_cilindro!N376-(-H$4+Presion_cilindro!$B$34))/Presion_cilindro!$B$35)^(Presion_cilindro!$B$17+1)),0))/((Presion_cilindro!O376+Presion_cilindro!O377)/2)</f>
        <v>34.423152095716375</v>
      </c>
      <c r="I385" s="27">
        <f>I384*(Presion_cilindro!O376/Presion_cilindro!O377)^Presion_cilindro!$B$9+10*(Presion_cilindro!$B$9-1)*Presion_cilindro!$B$33*(IF(Presion_cilindro!N377&gt;(-I$4+Presion_cilindro!$B$34),1-EXP(-Presion_cilindro!$B$16*((Presion_cilindro!N377-(-I$4+Presion_cilindro!$B$34))/Presion_cilindro!$B$35)^(Presion_cilindro!$B$17+1)),0)-IF(Presion_cilindro!N376&gt;(-I$4+Presion_cilindro!$B$34),1-EXP(-Presion_cilindro!$B$16*((Presion_cilindro!N376-(-I$4+Presion_cilindro!$B$34))/Presion_cilindro!$B$35)^(Presion_cilindro!$B$17+1)),0))/((Presion_cilindro!O376+Presion_cilindro!O377)/2)</f>
        <v>39.692956506467084</v>
      </c>
      <c r="J385" s="27">
        <f>J384*(Presion_cilindro!O376/Presion_cilindro!O377)^Presion_cilindro!$B$9+10*(Presion_cilindro!$B$9-1)*Presion_cilindro!$B$33*(IF(Presion_cilindro!N377&gt;(-J$4+Presion_cilindro!$B$34),1-EXP(-Presion_cilindro!$B$16*((Presion_cilindro!N377-(-J$4+Presion_cilindro!$B$34))/Presion_cilindro!$B$35)^(Presion_cilindro!$B$17+1)),0)-IF(Presion_cilindro!N376&gt;(-J$4+Presion_cilindro!$B$34),1-EXP(-Presion_cilindro!$B$16*((Presion_cilindro!N376-(-J$4+Presion_cilindro!$B$34))/Presion_cilindro!$B$35)^(Presion_cilindro!$B$17+1)),0))/((Presion_cilindro!O376+Presion_cilindro!O377)/2)</f>
        <v>43.425149473397518</v>
      </c>
      <c r="K385" s="27">
        <f>K384*(Presion_cilindro!O376/Presion_cilindro!O377)^Presion_cilindro!$B$9+10*(Presion_cilindro!$B$9-1)*Presion_cilindro!$B$33*(IF(Presion_cilindro!N377&gt;(-K$4+Presion_cilindro!$B$34),1-EXP(-Presion_cilindro!$B$16*((Presion_cilindro!N377-(-K$4+Presion_cilindro!$B$34))/Presion_cilindro!$B$35)^(Presion_cilindro!$B$17+1)),0)-IF(Presion_cilindro!N376&gt;(-K$4+Presion_cilindro!$B$34),1-EXP(-Presion_cilindro!$B$16*((Presion_cilindro!N376-(-K$4+Presion_cilindro!$B$34))/Presion_cilindro!$B$35)^(Presion_cilindro!$B$17+1)),0))/((Presion_cilindro!O376+Presion_cilindro!O377)/2)</f>
        <v>45.785438958080839</v>
      </c>
      <c r="L385" s="27">
        <f>L384*(Presion_cilindro!O376/Presion_cilindro!O377)^Presion_cilindro!$B$9+10*(Presion_cilindro!$B$9-1)*Presion_cilindro!$B$33*(IF(Presion_cilindro!N377&gt;(-L$4+Presion_cilindro!$B$34),1-EXP(-Presion_cilindro!$B$16*((Presion_cilindro!N377-(-L$4+Presion_cilindro!$B$34))/Presion_cilindro!$B$35)^(Presion_cilindro!$B$17+1)),0)-IF(Presion_cilindro!N376&gt;(-L$4+Presion_cilindro!$B$34),1-EXP(-Presion_cilindro!$B$16*((Presion_cilindro!N376-(-L$4+Presion_cilindro!$B$34))/Presion_cilindro!$B$35)^(Presion_cilindro!$B$17+1)),0))/((Presion_cilindro!O376+Presion_cilindro!O377)/2)</f>
        <v>47.388191770092227</v>
      </c>
      <c r="M385" s="27">
        <f>M384*(Presion_cilindro!O376/Presion_cilindro!O377)^Presion_cilindro!$B$9+10*(Presion_cilindro!$B$9-1)*Presion_cilindro!$B$33*(IF(Presion_cilindro!N377&gt;(-M$4+Presion_cilindro!$B$34),1-EXP(-Presion_cilindro!$B$16*((Presion_cilindro!N377-(-M$4+Presion_cilindro!$B$34))/Presion_cilindro!$B$35)^(Presion_cilindro!$B$17+1)),0)-IF(Presion_cilindro!N376&gt;(-M$4+Presion_cilindro!$B$34),1-EXP(-Presion_cilindro!$B$16*((Presion_cilindro!N376-(-M$4+Presion_cilindro!$B$34))/Presion_cilindro!$B$35)^(Presion_cilindro!$B$17+1)),0))/((Presion_cilindro!O376+Presion_cilindro!O377)/2)</f>
        <v>48.780441344406249</v>
      </c>
      <c r="N385" s="27">
        <f>N384*(Presion_cilindro!O376/Presion_cilindro!O377)^Presion_cilindro!$B$9+10*(Presion_cilindro!$B$9-1)*Presion_cilindro!$B$33*(IF(Presion_cilindro!N377&gt;(-N$4+Presion_cilindro!$B$34),1-EXP(-Presion_cilindro!$B$16*((Presion_cilindro!N377-(-N$4+Presion_cilindro!$B$34))/Presion_cilindro!$B$35)^(Presion_cilindro!$B$17+1)),0)-IF(Presion_cilindro!N376&gt;(-N$4+Presion_cilindro!$B$34),1-EXP(-Presion_cilindro!$B$16*((Presion_cilindro!N376-(-N$4+Presion_cilindro!$B$34))/Presion_cilindro!$B$35)^(Presion_cilindro!$B$17+1)),0))/((Presion_cilindro!O376+Presion_cilindro!O377)/2)</f>
        <v>50.228211340634694</v>
      </c>
    </row>
    <row r="386" spans="1:14" x14ac:dyDescent="0.25">
      <c r="A386" s="21">
        <f>Presion_cilindro!N378</f>
        <v>7</v>
      </c>
      <c r="B386" s="27">
        <f>B385*(Presion_cilindro!O377/Presion_cilindro!O378)^Presion_cilindro!$B$9+10*(Presion_cilindro!$B$9-1)*Presion_cilindro!$B$33*(IF(Presion_cilindro!N378&gt;(-B$4+Presion_cilindro!$B$34),1-EXP(-Presion_cilindro!$B$16*((Presion_cilindro!N378-(-B$4+Presion_cilindro!$B$34))/Presion_cilindro!$B$35)^(Presion_cilindro!$B$17+1)),0)-IF(Presion_cilindro!N377&gt;(-B$4+Presion_cilindro!$B$34),1-EXP(-Presion_cilindro!$B$16*((Presion_cilindro!N377-(-B$4+Presion_cilindro!$B$34))/Presion_cilindro!$B$35)^(Presion_cilindro!$B$17+1)),0))/((Presion_cilindro!O377+Presion_cilindro!O378)/2)</f>
        <v>14.553346066252972</v>
      </c>
      <c r="C386" s="27">
        <f>C385*(Presion_cilindro!O377/Presion_cilindro!O378)^Presion_cilindro!$B$9+10*(Presion_cilindro!$B$9-1)*Presion_cilindro!$B$33*(IF(Presion_cilindro!N378&gt;(-C$4+Presion_cilindro!$B$34),1-EXP(-Presion_cilindro!$B$16*((Presion_cilindro!N378-(-C$4+Presion_cilindro!$B$34))/Presion_cilindro!$B$35)^(Presion_cilindro!$B$17+1)),0)-IF(Presion_cilindro!N377&gt;(-C$4+Presion_cilindro!$B$34),1-EXP(-Presion_cilindro!$B$16*((Presion_cilindro!N377-(-C$4+Presion_cilindro!$B$34))/Presion_cilindro!$B$35)^(Presion_cilindro!$B$17+1)),0))/((Presion_cilindro!O377+Presion_cilindro!O378)/2)</f>
        <v>14.691575515345342</v>
      </c>
      <c r="D386" s="27">
        <f>D385*(Presion_cilindro!O377/Presion_cilindro!O378)^Presion_cilindro!$B$9+10*(Presion_cilindro!$B$9-1)*Presion_cilindro!$B$33*(IF(Presion_cilindro!N378&gt;(-D$4+Presion_cilindro!$B$34),1-EXP(-Presion_cilindro!$B$16*((Presion_cilindro!N378-(-D$4+Presion_cilindro!$B$34))/Presion_cilindro!$B$35)^(Presion_cilindro!$B$17+1)),0)-IF(Presion_cilindro!N377&gt;(-D$4+Presion_cilindro!$B$34),1-EXP(-Presion_cilindro!$B$16*((Presion_cilindro!N377-(-D$4+Presion_cilindro!$B$34))/Presion_cilindro!$B$35)^(Presion_cilindro!$B$17+1)),0))/((Presion_cilindro!O377+Presion_cilindro!O378)/2)</f>
        <v>15.705801580138701</v>
      </c>
      <c r="E386" s="27">
        <f>E385*(Presion_cilindro!O377/Presion_cilindro!O378)^Presion_cilindro!$B$9+10*(Presion_cilindro!$B$9-1)*Presion_cilindro!$B$33*(IF(Presion_cilindro!N378&gt;(-E$4+Presion_cilindro!$B$34),1-EXP(-Presion_cilindro!$B$16*((Presion_cilindro!N378-(-E$4+Presion_cilindro!$B$34))/Presion_cilindro!$B$35)^(Presion_cilindro!$B$17+1)),0)-IF(Presion_cilindro!N377&gt;(-E$4+Presion_cilindro!$B$34),1-EXP(-Presion_cilindro!$B$16*((Presion_cilindro!N377-(-E$4+Presion_cilindro!$B$34))/Presion_cilindro!$B$35)^(Presion_cilindro!$B$17+1)),0))/((Presion_cilindro!O377+Presion_cilindro!O378)/2)</f>
        <v>18.333760266358279</v>
      </c>
      <c r="F386" s="27">
        <f>F385*(Presion_cilindro!O377/Presion_cilindro!O378)^Presion_cilindro!$B$9+10*(Presion_cilindro!$B$9-1)*Presion_cilindro!$B$33*(IF(Presion_cilindro!N378&gt;(-F$4+Presion_cilindro!$B$34),1-EXP(-Presion_cilindro!$B$16*((Presion_cilindro!N378-(-F$4+Presion_cilindro!$B$34))/Presion_cilindro!$B$35)^(Presion_cilindro!$B$17+1)),0)-IF(Presion_cilindro!N377&gt;(-F$4+Presion_cilindro!$B$34),1-EXP(-Presion_cilindro!$B$16*((Presion_cilindro!N377-(-F$4+Presion_cilindro!$B$34))/Presion_cilindro!$B$35)^(Presion_cilindro!$B$17+1)),0))/((Presion_cilindro!O377+Presion_cilindro!O378)/2)</f>
        <v>22.825689181730709</v>
      </c>
      <c r="G386" s="27">
        <f>G385*(Presion_cilindro!O377/Presion_cilindro!O378)^Presion_cilindro!$B$9+10*(Presion_cilindro!$B$9-1)*Presion_cilindro!$B$33*(IF(Presion_cilindro!N378&gt;(-G$4+Presion_cilindro!$B$34),1-EXP(-Presion_cilindro!$B$16*((Presion_cilindro!N378-(-G$4+Presion_cilindro!$B$34))/Presion_cilindro!$B$35)^(Presion_cilindro!$B$17+1)),0)-IF(Presion_cilindro!N377&gt;(-G$4+Presion_cilindro!$B$34),1-EXP(-Presion_cilindro!$B$16*((Presion_cilindro!N377-(-G$4+Presion_cilindro!$B$34))/Presion_cilindro!$B$35)^(Presion_cilindro!$B$17+1)),0))/((Presion_cilindro!O377+Presion_cilindro!O378)/2)</f>
        <v>28.675902517692492</v>
      </c>
      <c r="H386" s="27">
        <f>H385*(Presion_cilindro!O377/Presion_cilindro!O378)^Presion_cilindro!$B$9+10*(Presion_cilindro!$B$9-1)*Presion_cilindro!$B$33*(IF(Presion_cilindro!N378&gt;(-H$4+Presion_cilindro!$B$34),1-EXP(-Presion_cilindro!$B$16*((Presion_cilindro!N378-(-H$4+Presion_cilindro!$B$34))/Presion_cilindro!$B$35)^(Presion_cilindro!$B$17+1)),0)-IF(Presion_cilindro!N377&gt;(-H$4+Presion_cilindro!$B$34),1-EXP(-Presion_cilindro!$B$16*((Presion_cilindro!N377-(-H$4+Presion_cilindro!$B$34))/Presion_cilindro!$B$35)^(Presion_cilindro!$B$17+1)),0))/((Presion_cilindro!O377+Presion_cilindro!O378)/2)</f>
        <v>34.735356711153884</v>
      </c>
      <c r="I386" s="27">
        <f>I385*(Presion_cilindro!O377/Presion_cilindro!O378)^Presion_cilindro!$B$9+10*(Presion_cilindro!$B$9-1)*Presion_cilindro!$B$33*(IF(Presion_cilindro!N378&gt;(-I$4+Presion_cilindro!$B$34),1-EXP(-Presion_cilindro!$B$16*((Presion_cilindro!N378-(-I$4+Presion_cilindro!$B$34))/Presion_cilindro!$B$35)^(Presion_cilindro!$B$17+1)),0)-IF(Presion_cilindro!N377&gt;(-I$4+Presion_cilindro!$B$34),1-EXP(-Presion_cilindro!$B$16*((Presion_cilindro!N377-(-I$4+Presion_cilindro!$B$34))/Presion_cilindro!$B$35)^(Presion_cilindro!$B$17+1)),0))/((Presion_cilindro!O377+Presion_cilindro!O378)/2)</f>
        <v>39.808750818079901</v>
      </c>
      <c r="J386" s="27">
        <f>J385*(Presion_cilindro!O377/Presion_cilindro!O378)^Presion_cilindro!$B$9+10*(Presion_cilindro!$B$9-1)*Presion_cilindro!$B$33*(IF(Presion_cilindro!N378&gt;(-J$4+Presion_cilindro!$B$34),1-EXP(-Presion_cilindro!$B$16*((Presion_cilindro!N378-(-J$4+Presion_cilindro!$B$34))/Presion_cilindro!$B$35)^(Presion_cilindro!$B$17+1)),0)-IF(Presion_cilindro!N377&gt;(-J$4+Presion_cilindro!$B$34),1-EXP(-Presion_cilindro!$B$16*((Presion_cilindro!N377-(-J$4+Presion_cilindro!$B$34))/Presion_cilindro!$B$35)^(Presion_cilindro!$B$17+1)),0))/((Presion_cilindro!O377+Presion_cilindro!O378)/2)</f>
        <v>43.331207309186354</v>
      </c>
      <c r="K386" s="27">
        <f>K385*(Presion_cilindro!O377/Presion_cilindro!O378)^Presion_cilindro!$B$9+10*(Presion_cilindro!$B$9-1)*Presion_cilindro!$B$33*(IF(Presion_cilindro!N378&gt;(-K$4+Presion_cilindro!$B$34),1-EXP(-Presion_cilindro!$B$16*((Presion_cilindro!N378-(-K$4+Presion_cilindro!$B$34))/Presion_cilindro!$B$35)^(Presion_cilindro!$B$17+1)),0)-IF(Presion_cilindro!N377&gt;(-K$4+Presion_cilindro!$B$34),1-EXP(-Presion_cilindro!$B$16*((Presion_cilindro!N377-(-K$4+Presion_cilindro!$B$34))/Presion_cilindro!$B$35)^(Presion_cilindro!$B$17+1)),0))/((Presion_cilindro!O377+Presion_cilindro!O378)/2)</f>
        <v>45.539789707811224</v>
      </c>
      <c r="L386" s="27">
        <f>L385*(Presion_cilindro!O377/Presion_cilindro!O378)^Presion_cilindro!$B$9+10*(Presion_cilindro!$B$9-1)*Presion_cilindro!$B$33*(IF(Presion_cilindro!N378&gt;(-L$4+Presion_cilindro!$B$34),1-EXP(-Presion_cilindro!$B$16*((Presion_cilindro!N378-(-L$4+Presion_cilindro!$B$34))/Presion_cilindro!$B$35)^(Presion_cilindro!$B$17+1)),0)-IF(Presion_cilindro!N377&gt;(-L$4+Presion_cilindro!$B$34),1-EXP(-Presion_cilindro!$B$16*((Presion_cilindro!N377-(-L$4+Presion_cilindro!$B$34))/Presion_cilindro!$B$35)^(Presion_cilindro!$B$17+1)),0))/((Presion_cilindro!O377+Presion_cilindro!O378)/2)</f>
        <v>47.062156394733783</v>
      </c>
      <c r="M386" s="27">
        <f>M385*(Presion_cilindro!O377/Presion_cilindro!O378)^Presion_cilindro!$B$9+10*(Presion_cilindro!$B$9-1)*Presion_cilindro!$B$33*(IF(Presion_cilindro!N378&gt;(-M$4+Presion_cilindro!$B$34),1-EXP(-Presion_cilindro!$B$16*((Presion_cilindro!N378-(-M$4+Presion_cilindro!$B$34))/Presion_cilindro!$B$35)^(Presion_cilindro!$B$17+1)),0)-IF(Presion_cilindro!N377&gt;(-M$4+Presion_cilindro!$B$34),1-EXP(-Presion_cilindro!$B$16*((Presion_cilindro!N377-(-M$4+Presion_cilindro!$B$34))/Presion_cilindro!$B$35)^(Presion_cilindro!$B$17+1)),0))/((Presion_cilindro!O377+Presion_cilindro!O378)/2)</f>
        <v>48.419462340240194</v>
      </c>
      <c r="N386" s="27">
        <f>N385*(Presion_cilindro!O377/Presion_cilindro!O378)^Presion_cilindro!$B$9+10*(Presion_cilindro!$B$9-1)*Presion_cilindro!$B$33*(IF(Presion_cilindro!N378&gt;(-N$4+Presion_cilindro!$B$34),1-EXP(-Presion_cilindro!$B$16*((Presion_cilindro!N378-(-N$4+Presion_cilindro!$B$34))/Presion_cilindro!$B$35)^(Presion_cilindro!$B$17+1)),0)-IF(Presion_cilindro!N377&gt;(-N$4+Presion_cilindro!$B$34),1-EXP(-Presion_cilindro!$B$16*((Presion_cilindro!N377-(-N$4+Presion_cilindro!$B$34))/Presion_cilindro!$B$35)^(Presion_cilindro!$B$17+1)),0))/((Presion_cilindro!O377+Presion_cilindro!O378)/2)</f>
        <v>49.850213053766936</v>
      </c>
    </row>
    <row r="387" spans="1:14" x14ac:dyDescent="0.25">
      <c r="A387" s="21">
        <f>Presion_cilindro!N379</f>
        <v>7.5</v>
      </c>
      <c r="B387" s="27">
        <f>B386*(Presion_cilindro!O378/Presion_cilindro!O379)^Presion_cilindro!$B$9+10*(Presion_cilindro!$B$9-1)*Presion_cilindro!$B$33*(IF(Presion_cilindro!N379&gt;(-B$4+Presion_cilindro!$B$34),1-EXP(-Presion_cilindro!$B$16*((Presion_cilindro!N379-(-B$4+Presion_cilindro!$B$34))/Presion_cilindro!$B$35)^(Presion_cilindro!$B$17+1)),0)-IF(Presion_cilindro!N378&gt;(-B$4+Presion_cilindro!$B$34),1-EXP(-Presion_cilindro!$B$16*((Presion_cilindro!N378-(-B$4+Presion_cilindro!$B$34))/Presion_cilindro!$B$35)^(Presion_cilindro!$B$17+1)),0))/((Presion_cilindro!O378+Presion_cilindro!O379)/2)</f>
        <v>14.436170039624962</v>
      </c>
      <c r="C387" s="27">
        <f>C386*(Presion_cilindro!O378/Presion_cilindro!O379)^Presion_cilindro!$B$9+10*(Presion_cilindro!$B$9-1)*Presion_cilindro!$B$33*(IF(Presion_cilindro!N379&gt;(-C$4+Presion_cilindro!$B$34),1-EXP(-Presion_cilindro!$B$16*((Presion_cilindro!N379-(-C$4+Presion_cilindro!$B$34))/Presion_cilindro!$B$35)^(Presion_cilindro!$B$17+1)),0)-IF(Presion_cilindro!N378&gt;(-C$4+Presion_cilindro!$B$34),1-EXP(-Presion_cilindro!$B$16*((Presion_cilindro!N378-(-C$4+Presion_cilindro!$B$34))/Presion_cilindro!$B$35)^(Presion_cilindro!$B$17+1)),0))/((Presion_cilindro!O378+Presion_cilindro!O379)/2)</f>
        <v>14.6208532055054</v>
      </c>
      <c r="D387" s="27">
        <f>D386*(Presion_cilindro!O378/Presion_cilindro!O379)^Presion_cilindro!$B$9+10*(Presion_cilindro!$B$9-1)*Presion_cilindro!$B$33*(IF(Presion_cilindro!N379&gt;(-D$4+Presion_cilindro!$B$34),1-EXP(-Presion_cilindro!$B$16*((Presion_cilindro!N379-(-D$4+Presion_cilindro!$B$34))/Presion_cilindro!$B$35)^(Presion_cilindro!$B$17+1)),0)-IF(Presion_cilindro!N378&gt;(-D$4+Presion_cilindro!$B$34),1-EXP(-Presion_cilindro!$B$16*((Presion_cilindro!N378-(-D$4+Presion_cilindro!$B$34))/Presion_cilindro!$B$35)^(Presion_cilindro!$B$17+1)),0))/((Presion_cilindro!O378+Presion_cilindro!O379)/2)</f>
        <v>15.760991386455439</v>
      </c>
      <c r="E387" s="27">
        <f>E386*(Presion_cilindro!O378/Presion_cilindro!O379)^Presion_cilindro!$B$9+10*(Presion_cilindro!$B$9-1)*Presion_cilindro!$B$33*(IF(Presion_cilindro!N379&gt;(-E$4+Presion_cilindro!$B$34),1-EXP(-Presion_cilindro!$B$16*((Presion_cilindro!N379-(-E$4+Presion_cilindro!$B$34))/Presion_cilindro!$B$35)^(Presion_cilindro!$B$17+1)),0)-IF(Presion_cilindro!N378&gt;(-E$4+Presion_cilindro!$B$34),1-EXP(-Presion_cilindro!$B$16*((Presion_cilindro!N378-(-E$4+Presion_cilindro!$B$34))/Presion_cilindro!$B$35)^(Presion_cilindro!$B$17+1)),0))/((Presion_cilindro!O378+Presion_cilindro!O379)/2)</f>
        <v>18.555411924288602</v>
      </c>
      <c r="F387" s="27">
        <f>F386*(Presion_cilindro!O378/Presion_cilindro!O379)^Presion_cilindro!$B$9+10*(Presion_cilindro!$B$9-1)*Presion_cilindro!$B$33*(IF(Presion_cilindro!N379&gt;(-F$4+Presion_cilindro!$B$34),1-EXP(-Presion_cilindro!$B$16*((Presion_cilindro!N379-(-F$4+Presion_cilindro!$B$34))/Presion_cilindro!$B$35)^(Presion_cilindro!$B$17+1)),0)-IF(Presion_cilindro!N378&gt;(-F$4+Presion_cilindro!$B$34),1-EXP(-Presion_cilindro!$B$16*((Presion_cilindro!N378-(-F$4+Presion_cilindro!$B$34))/Presion_cilindro!$B$35)^(Presion_cilindro!$B$17+1)),0))/((Presion_cilindro!O378+Presion_cilindro!O379)/2)</f>
        <v>23.183539882845857</v>
      </c>
      <c r="G387" s="27">
        <f>G386*(Presion_cilindro!O378/Presion_cilindro!O379)^Presion_cilindro!$B$9+10*(Presion_cilindro!$B$9-1)*Presion_cilindro!$B$33*(IF(Presion_cilindro!N379&gt;(-G$4+Presion_cilindro!$B$34),1-EXP(-Presion_cilindro!$B$16*((Presion_cilindro!N379-(-G$4+Presion_cilindro!$B$34))/Presion_cilindro!$B$35)^(Presion_cilindro!$B$17+1)),0)-IF(Presion_cilindro!N378&gt;(-G$4+Presion_cilindro!$B$34),1-EXP(-Presion_cilindro!$B$16*((Presion_cilindro!N378-(-G$4+Presion_cilindro!$B$34))/Presion_cilindro!$B$35)^(Presion_cilindro!$B$17+1)),0))/((Presion_cilindro!O378+Presion_cilindro!O379)/2)</f>
        <v>29.062730381354225</v>
      </c>
      <c r="H387" s="27">
        <f>H386*(Presion_cilindro!O378/Presion_cilindro!O379)^Presion_cilindro!$B$9+10*(Presion_cilindro!$B$9-1)*Presion_cilindro!$B$33*(IF(Presion_cilindro!N379&gt;(-H$4+Presion_cilindro!$B$34),1-EXP(-Presion_cilindro!$B$16*((Presion_cilindro!N379-(-H$4+Presion_cilindro!$B$34))/Presion_cilindro!$B$35)^(Presion_cilindro!$B$17+1)),0)-IF(Presion_cilindro!N378&gt;(-H$4+Presion_cilindro!$B$34),1-EXP(-Presion_cilindro!$B$16*((Presion_cilindro!N378-(-H$4+Presion_cilindro!$B$34))/Presion_cilindro!$B$35)^(Presion_cilindro!$B$17+1)),0))/((Presion_cilindro!O378+Presion_cilindro!O379)/2)</f>
        <v>35.012477155482351</v>
      </c>
      <c r="I387" s="27">
        <f>I386*(Presion_cilindro!O378/Presion_cilindro!O379)^Presion_cilindro!$B$9+10*(Presion_cilindro!$B$9-1)*Presion_cilindro!$B$33*(IF(Presion_cilindro!N379&gt;(-I$4+Presion_cilindro!$B$34),1-EXP(-Presion_cilindro!$B$16*((Presion_cilindro!N379-(-I$4+Presion_cilindro!$B$34))/Presion_cilindro!$B$35)^(Presion_cilindro!$B$17+1)),0)-IF(Presion_cilindro!N378&gt;(-I$4+Presion_cilindro!$B$34),1-EXP(-Presion_cilindro!$B$16*((Presion_cilindro!N378-(-I$4+Presion_cilindro!$B$34))/Presion_cilindro!$B$35)^(Presion_cilindro!$B$17+1)),0))/((Presion_cilindro!O378+Presion_cilindro!O379)/2)</f>
        <v>39.882686694573884</v>
      </c>
      <c r="J387" s="27">
        <f>J386*(Presion_cilindro!O378/Presion_cilindro!O379)^Presion_cilindro!$B$9+10*(Presion_cilindro!$B$9-1)*Presion_cilindro!$B$33*(IF(Presion_cilindro!N379&gt;(-J$4+Presion_cilindro!$B$34),1-EXP(-Presion_cilindro!$B$16*((Presion_cilindro!N379-(-J$4+Presion_cilindro!$B$34))/Presion_cilindro!$B$35)^(Presion_cilindro!$B$17+1)),0)-IF(Presion_cilindro!N378&gt;(-J$4+Presion_cilindro!$B$34),1-EXP(-Presion_cilindro!$B$16*((Presion_cilindro!N378-(-J$4+Presion_cilindro!$B$34))/Presion_cilindro!$B$35)^(Presion_cilindro!$B$17+1)),0))/((Presion_cilindro!O378+Presion_cilindro!O379)/2)</f>
        <v>43.198524064445408</v>
      </c>
      <c r="K387" s="27">
        <f>K386*(Presion_cilindro!O378/Presion_cilindro!O379)^Presion_cilindro!$B$9+10*(Presion_cilindro!$B$9-1)*Presion_cilindro!$B$33*(IF(Presion_cilindro!N379&gt;(-K$4+Presion_cilindro!$B$34),1-EXP(-Presion_cilindro!$B$16*((Presion_cilindro!N379-(-K$4+Presion_cilindro!$B$34))/Presion_cilindro!$B$35)^(Presion_cilindro!$B$17+1)),0)-IF(Presion_cilindro!N378&gt;(-K$4+Presion_cilindro!$B$34),1-EXP(-Presion_cilindro!$B$16*((Presion_cilindro!N378-(-K$4+Presion_cilindro!$B$34))/Presion_cilindro!$B$35)^(Presion_cilindro!$B$17+1)),0))/((Presion_cilindro!O378+Presion_cilindro!O379)/2)</f>
        <v>45.262864862704092</v>
      </c>
      <c r="L387" s="27">
        <f>L386*(Presion_cilindro!O378/Presion_cilindro!O379)^Presion_cilindro!$B$9+10*(Presion_cilindro!$B$9-1)*Presion_cilindro!$B$33*(IF(Presion_cilindro!N379&gt;(-L$4+Presion_cilindro!$B$34),1-EXP(-Presion_cilindro!$B$16*((Presion_cilindro!N379-(-L$4+Presion_cilindro!$B$34))/Presion_cilindro!$B$35)^(Presion_cilindro!$B$17+1)),0)-IF(Presion_cilindro!N378&gt;(-L$4+Presion_cilindro!$B$34),1-EXP(-Presion_cilindro!$B$16*((Presion_cilindro!N378-(-L$4+Presion_cilindro!$B$34))/Presion_cilindro!$B$35)^(Presion_cilindro!$B$17+1)),0))/((Presion_cilindro!O378+Presion_cilindro!O379)/2)</f>
        <v>46.710729412906588</v>
      </c>
      <c r="M387" s="27">
        <f>M386*(Presion_cilindro!O378/Presion_cilindro!O379)^Presion_cilindro!$B$9+10*(Presion_cilindro!$B$9-1)*Presion_cilindro!$B$33*(IF(Presion_cilindro!N379&gt;(-M$4+Presion_cilindro!$B$34),1-EXP(-Presion_cilindro!$B$16*((Presion_cilindro!N379-(-M$4+Presion_cilindro!$B$34))/Presion_cilindro!$B$35)^(Presion_cilindro!$B$17+1)),0)-IF(Presion_cilindro!N378&gt;(-M$4+Presion_cilindro!$B$34),1-EXP(-Presion_cilindro!$B$16*((Presion_cilindro!N378-(-M$4+Presion_cilindro!$B$34))/Presion_cilindro!$B$35)^(Presion_cilindro!$B$17+1)),0))/((Presion_cilindro!O378+Presion_cilindro!O379)/2)</f>
        <v>48.035613003700149</v>
      </c>
      <c r="N387" s="27">
        <f>N386*(Presion_cilindro!O378/Presion_cilindro!O379)^Presion_cilindro!$B$9+10*(Presion_cilindro!$B$9-1)*Presion_cilindro!$B$33*(IF(Presion_cilindro!N379&gt;(-N$4+Presion_cilindro!$B$34),1-EXP(-Presion_cilindro!$B$16*((Presion_cilindro!N379-(-N$4+Presion_cilindro!$B$34))/Presion_cilindro!$B$35)^(Presion_cilindro!$B$17+1)),0)-IF(Presion_cilindro!N378&gt;(-N$4+Presion_cilindro!$B$34),1-EXP(-Presion_cilindro!$B$16*((Presion_cilindro!N378-(-N$4+Presion_cilindro!$B$34))/Presion_cilindro!$B$35)^(Presion_cilindro!$B$17+1)),0))/((Presion_cilindro!O378+Presion_cilindro!O379)/2)</f>
        <v>49.449678277326896</v>
      </c>
    </row>
    <row r="388" spans="1:14" x14ac:dyDescent="0.25">
      <c r="A388" s="21">
        <f>Presion_cilindro!N380</f>
        <v>8</v>
      </c>
      <c r="B388" s="27">
        <f>B387*(Presion_cilindro!O379/Presion_cilindro!O380)^Presion_cilindro!$B$9+10*(Presion_cilindro!$B$9-1)*Presion_cilindro!$B$33*(IF(Presion_cilindro!N380&gt;(-B$4+Presion_cilindro!$B$34),1-EXP(-Presion_cilindro!$B$16*((Presion_cilindro!N380-(-B$4+Presion_cilindro!$B$34))/Presion_cilindro!$B$35)^(Presion_cilindro!$B$17+1)),0)-IF(Presion_cilindro!N379&gt;(-B$4+Presion_cilindro!$B$34),1-EXP(-Presion_cilindro!$B$16*((Presion_cilindro!N379-(-B$4+Presion_cilindro!$B$34))/Presion_cilindro!$B$35)^(Presion_cilindro!$B$17+1)),0))/((Presion_cilindro!O379+Presion_cilindro!O380)/2)</f>
        <v>14.313371178064958</v>
      </c>
      <c r="C388" s="27">
        <f>C387*(Presion_cilindro!O379/Presion_cilindro!O380)^Presion_cilindro!$B$9+10*(Presion_cilindro!$B$9-1)*Presion_cilindro!$B$33*(IF(Presion_cilindro!N380&gt;(-C$4+Presion_cilindro!$B$34),1-EXP(-Presion_cilindro!$B$16*((Presion_cilindro!N380-(-C$4+Presion_cilindro!$B$34))/Presion_cilindro!$B$35)^(Presion_cilindro!$B$17+1)),0)-IF(Presion_cilindro!N379&gt;(-C$4+Presion_cilindro!$B$34),1-EXP(-Presion_cilindro!$B$16*((Presion_cilindro!N379-(-C$4+Presion_cilindro!$B$34))/Presion_cilindro!$B$35)^(Presion_cilindro!$B$17+1)),0))/((Presion_cilindro!O379+Presion_cilindro!O380)/2)</f>
        <v>14.552900387588297</v>
      </c>
      <c r="D388" s="27">
        <f>D387*(Presion_cilindro!O379/Presion_cilindro!O380)^Presion_cilindro!$B$9+10*(Presion_cilindro!$B$9-1)*Presion_cilindro!$B$33*(IF(Presion_cilindro!N380&gt;(-D$4+Presion_cilindro!$B$34),1-EXP(-Presion_cilindro!$B$16*((Presion_cilindro!N380-(-D$4+Presion_cilindro!$B$34))/Presion_cilindro!$B$35)^(Presion_cilindro!$B$17+1)),0)-IF(Presion_cilindro!N379&gt;(-D$4+Presion_cilindro!$B$34),1-EXP(-Presion_cilindro!$B$16*((Presion_cilindro!N379-(-D$4+Presion_cilindro!$B$34))/Presion_cilindro!$B$35)^(Presion_cilindro!$B$17+1)),0))/((Presion_cilindro!O379+Presion_cilindro!O380)/2)</f>
        <v>15.823925291238101</v>
      </c>
      <c r="E388" s="27">
        <f>E387*(Presion_cilindro!O379/Presion_cilindro!O380)^Presion_cilindro!$B$9+10*(Presion_cilindro!$B$9-1)*Presion_cilindro!$B$33*(IF(Presion_cilindro!N380&gt;(-E$4+Presion_cilindro!$B$34),1-EXP(-Presion_cilindro!$B$16*((Presion_cilindro!N380-(-E$4+Presion_cilindro!$B$34))/Presion_cilindro!$B$35)^(Presion_cilindro!$B$17+1)),0)-IF(Presion_cilindro!N379&gt;(-E$4+Presion_cilindro!$B$34),1-EXP(-Presion_cilindro!$B$16*((Presion_cilindro!N379-(-E$4+Presion_cilindro!$B$34))/Presion_cilindro!$B$35)^(Presion_cilindro!$B$17+1)),0))/((Presion_cilindro!O379+Presion_cilindro!O380)/2)</f>
        <v>18.782989653105759</v>
      </c>
      <c r="F388" s="27">
        <f>F387*(Presion_cilindro!O379/Presion_cilindro!O380)^Presion_cilindro!$B$9+10*(Presion_cilindro!$B$9-1)*Presion_cilindro!$B$33*(IF(Presion_cilindro!N380&gt;(-F$4+Presion_cilindro!$B$34),1-EXP(-Presion_cilindro!$B$16*((Presion_cilindro!N380-(-F$4+Presion_cilindro!$B$34))/Presion_cilindro!$B$35)^(Presion_cilindro!$B$17+1)),0)-IF(Presion_cilindro!N379&gt;(-F$4+Presion_cilindro!$B$34),1-EXP(-Presion_cilindro!$B$16*((Presion_cilindro!N379-(-F$4+Presion_cilindro!$B$34))/Presion_cilindro!$B$35)^(Presion_cilindro!$B$17+1)),0))/((Presion_cilindro!O379+Presion_cilindro!O380)/2)</f>
        <v>23.536702139300061</v>
      </c>
      <c r="G388" s="27">
        <f>G387*(Presion_cilindro!O379/Presion_cilindro!O380)^Presion_cilindro!$B$9+10*(Presion_cilindro!$B$9-1)*Presion_cilindro!$B$33*(IF(Presion_cilindro!N380&gt;(-G$4+Presion_cilindro!$B$34),1-EXP(-Presion_cilindro!$B$16*((Presion_cilindro!N380-(-G$4+Presion_cilindro!$B$34))/Presion_cilindro!$B$35)^(Presion_cilindro!$B$17+1)),0)-IF(Presion_cilindro!N379&gt;(-G$4+Presion_cilindro!$B$34),1-EXP(-Presion_cilindro!$B$16*((Presion_cilindro!N379-(-G$4+Presion_cilindro!$B$34))/Presion_cilindro!$B$35)^(Presion_cilindro!$B$17+1)),0))/((Presion_cilindro!O379+Presion_cilindro!O380)/2)</f>
        <v>29.428330866862648</v>
      </c>
      <c r="H388" s="27">
        <f>H387*(Presion_cilindro!O379/Presion_cilindro!O380)^Presion_cilindro!$B$9+10*(Presion_cilindro!$B$9-1)*Presion_cilindro!$B$33*(IF(Presion_cilindro!N380&gt;(-H$4+Presion_cilindro!$B$34),1-EXP(-Presion_cilindro!$B$16*((Presion_cilindro!N380-(-H$4+Presion_cilindro!$B$34))/Presion_cilindro!$B$35)^(Presion_cilindro!$B$17+1)),0)-IF(Presion_cilindro!N379&gt;(-H$4+Presion_cilindro!$B$34),1-EXP(-Presion_cilindro!$B$16*((Presion_cilindro!N379-(-H$4+Presion_cilindro!$B$34))/Presion_cilindro!$B$35)^(Presion_cilindro!$B$17+1)),0))/((Presion_cilindro!O379+Presion_cilindro!O380)/2)</f>
        <v>35.25376997700446</v>
      </c>
      <c r="I388" s="27">
        <f>I387*(Presion_cilindro!O379/Presion_cilindro!O380)^Presion_cilindro!$B$9+10*(Presion_cilindro!$B$9-1)*Presion_cilindro!$B$33*(IF(Presion_cilindro!N380&gt;(-I$4+Presion_cilindro!$B$34),1-EXP(-Presion_cilindro!$B$16*((Presion_cilindro!N380-(-I$4+Presion_cilindro!$B$34))/Presion_cilindro!$B$35)^(Presion_cilindro!$B$17+1)),0)-IF(Presion_cilindro!N379&gt;(-I$4+Presion_cilindro!$B$34),1-EXP(-Presion_cilindro!$B$16*((Presion_cilindro!N379-(-I$4+Presion_cilindro!$B$34))/Presion_cilindro!$B$35)^(Presion_cilindro!$B$17+1)),0))/((Presion_cilindro!O379+Presion_cilindro!O380)/2)</f>
        <v>39.915379981219118</v>
      </c>
      <c r="J388" s="27">
        <f>J387*(Presion_cilindro!O379/Presion_cilindro!O380)^Presion_cilindro!$B$9+10*(Presion_cilindro!$B$9-1)*Presion_cilindro!$B$33*(IF(Presion_cilindro!N380&gt;(-J$4+Presion_cilindro!$B$34),1-EXP(-Presion_cilindro!$B$16*((Presion_cilindro!N380-(-J$4+Presion_cilindro!$B$34))/Presion_cilindro!$B$35)^(Presion_cilindro!$B$17+1)),0)-IF(Presion_cilindro!N379&gt;(-J$4+Presion_cilindro!$B$34),1-EXP(-Presion_cilindro!$B$16*((Presion_cilindro!N379-(-J$4+Presion_cilindro!$B$34))/Presion_cilindro!$B$35)^(Presion_cilindro!$B$17+1)),0))/((Presion_cilindro!O379+Presion_cilindro!O380)/2)</f>
        <v>43.02867678843166</v>
      </c>
      <c r="K388" s="27">
        <f>K387*(Presion_cilindro!O379/Presion_cilindro!O380)^Presion_cilindro!$B$9+10*(Presion_cilindro!$B$9-1)*Presion_cilindro!$B$33*(IF(Presion_cilindro!N380&gt;(-K$4+Presion_cilindro!$B$34),1-EXP(-Presion_cilindro!$B$16*((Presion_cilindro!N380-(-K$4+Presion_cilindro!$B$34))/Presion_cilindro!$B$35)^(Presion_cilindro!$B$17+1)),0)-IF(Presion_cilindro!N379&gt;(-K$4+Presion_cilindro!$B$34),1-EXP(-Presion_cilindro!$B$16*((Presion_cilindro!N379-(-K$4+Presion_cilindro!$B$34))/Presion_cilindro!$B$35)^(Presion_cilindro!$B$17+1)),0))/((Presion_cilindro!O379+Presion_cilindro!O380)/2)</f>
        <v>44.956416112989238</v>
      </c>
      <c r="L388" s="27">
        <f>L387*(Presion_cilindro!O379/Presion_cilindro!O380)^Presion_cilindro!$B$9+10*(Presion_cilindro!$B$9-1)*Presion_cilindro!$B$33*(IF(Presion_cilindro!N380&gt;(-L$4+Presion_cilindro!$B$34),1-EXP(-Presion_cilindro!$B$16*((Presion_cilindro!N380-(-L$4+Presion_cilindro!$B$34))/Presion_cilindro!$B$35)^(Presion_cilindro!$B$17+1)),0)-IF(Presion_cilindro!N379&gt;(-L$4+Presion_cilindro!$B$34),1-EXP(-Presion_cilindro!$B$16*((Presion_cilindro!N379-(-L$4+Presion_cilindro!$B$34))/Presion_cilindro!$B$35)^(Presion_cilindro!$B$17+1)),0))/((Presion_cilindro!O379+Presion_cilindro!O380)/2)</f>
        <v>46.335394864928546</v>
      </c>
      <c r="M388" s="27">
        <f>M387*(Presion_cilindro!O379/Presion_cilindro!O380)^Presion_cilindro!$B$9+10*(Presion_cilindro!$B$9-1)*Presion_cilindro!$B$33*(IF(Presion_cilindro!N380&gt;(-M$4+Presion_cilindro!$B$34),1-EXP(-Presion_cilindro!$B$16*((Presion_cilindro!N380-(-M$4+Presion_cilindro!$B$34))/Presion_cilindro!$B$35)^(Presion_cilindro!$B$17+1)),0)-IF(Presion_cilindro!N379&gt;(-M$4+Presion_cilindro!$B$34),1-EXP(-Presion_cilindro!$B$16*((Presion_cilindro!N379-(-M$4+Presion_cilindro!$B$34))/Presion_cilindro!$B$35)^(Presion_cilindro!$B$17+1)),0))/((Presion_cilindro!O379+Presion_cilindro!O380)/2)</f>
        <v>47.630126222223524</v>
      </c>
      <c r="N388" s="27">
        <f>N387*(Presion_cilindro!O379/Presion_cilindro!O380)^Presion_cilindro!$B$9+10*(Presion_cilindro!$B$9-1)*Presion_cilindro!$B$33*(IF(Presion_cilindro!N380&gt;(-N$4+Presion_cilindro!$B$34),1-EXP(-Presion_cilindro!$B$16*((Presion_cilindro!N380-(-N$4+Presion_cilindro!$B$34))/Presion_cilindro!$B$35)^(Presion_cilindro!$B$17+1)),0)-IF(Presion_cilindro!N379&gt;(-N$4+Presion_cilindro!$B$34),1-EXP(-Presion_cilindro!$B$16*((Presion_cilindro!N379-(-N$4+Presion_cilindro!$B$34))/Presion_cilindro!$B$35)^(Presion_cilindro!$B$17+1)),0))/((Presion_cilindro!O379+Presion_cilindro!O380)/2)</f>
        <v>49.027746155850906</v>
      </c>
    </row>
    <row r="389" spans="1:14" x14ac:dyDescent="0.25">
      <c r="A389" s="21">
        <f>Presion_cilindro!N381</f>
        <v>8.5</v>
      </c>
      <c r="B389" s="27">
        <f>B388*(Presion_cilindro!O380/Presion_cilindro!O381)^Presion_cilindro!$B$9+10*(Presion_cilindro!$B$9-1)*Presion_cilindro!$B$33*(IF(Presion_cilindro!N381&gt;(-B$4+Presion_cilindro!$B$34),1-EXP(-Presion_cilindro!$B$16*((Presion_cilindro!N381-(-B$4+Presion_cilindro!$B$34))/Presion_cilindro!$B$35)^(Presion_cilindro!$B$17+1)),0)-IF(Presion_cilindro!N380&gt;(-B$4+Presion_cilindro!$B$34),1-EXP(-Presion_cilindro!$B$16*((Presion_cilindro!N380-(-B$4+Presion_cilindro!$B$34))/Presion_cilindro!$B$35)^(Presion_cilindro!$B$17+1)),0))/((Presion_cilindro!O380+Presion_cilindro!O381)/2)</f>
        <v>14.186182963978938</v>
      </c>
      <c r="C389" s="27">
        <f>C388*(Presion_cilindro!O380/Presion_cilindro!O381)^Presion_cilindro!$B$9+10*(Presion_cilindro!$B$9-1)*Presion_cilindro!$B$33*(IF(Presion_cilindro!N381&gt;(-C$4+Presion_cilindro!$B$34),1-EXP(-Presion_cilindro!$B$16*((Presion_cilindro!N381-(-C$4+Presion_cilindro!$B$34))/Presion_cilindro!$B$35)^(Presion_cilindro!$B$17+1)),0)-IF(Presion_cilindro!N380&gt;(-C$4+Presion_cilindro!$B$34),1-EXP(-Presion_cilindro!$B$16*((Presion_cilindro!N380-(-C$4+Presion_cilindro!$B$34))/Presion_cilindro!$B$35)^(Presion_cilindro!$B$17+1)),0))/((Presion_cilindro!O380+Presion_cilindro!O381)/2)</f>
        <v>14.488640100747116</v>
      </c>
      <c r="D389" s="27">
        <f>D388*(Presion_cilindro!O380/Presion_cilindro!O381)^Presion_cilindro!$B$9+10*(Presion_cilindro!$B$9-1)*Presion_cilindro!$B$33*(IF(Presion_cilindro!N381&gt;(-D$4+Presion_cilindro!$B$34),1-EXP(-Presion_cilindro!$B$16*((Presion_cilindro!N381-(-D$4+Presion_cilindro!$B$34))/Presion_cilindro!$B$35)^(Presion_cilindro!$B$17+1)),0)-IF(Presion_cilindro!N380&gt;(-D$4+Presion_cilindro!$B$34),1-EXP(-Presion_cilindro!$B$16*((Presion_cilindro!N380-(-D$4+Presion_cilindro!$B$34))/Presion_cilindro!$B$35)^(Presion_cilindro!$B$17+1)),0))/((Presion_cilindro!O380+Presion_cilindro!O381)/2)</f>
        <v>15.89487721018263</v>
      </c>
      <c r="E389" s="27">
        <f>E388*(Presion_cilindro!O380/Presion_cilindro!O381)^Presion_cilindro!$B$9+10*(Presion_cilindro!$B$9-1)*Presion_cilindro!$B$33*(IF(Presion_cilindro!N381&gt;(-E$4+Presion_cilindro!$B$34),1-EXP(-Presion_cilindro!$B$16*((Presion_cilindro!N381-(-E$4+Presion_cilindro!$B$34))/Presion_cilindro!$B$35)^(Presion_cilindro!$B$17+1)),0)-IF(Presion_cilindro!N380&gt;(-E$4+Presion_cilindro!$B$34),1-EXP(-Presion_cilindro!$B$16*((Presion_cilindro!N380-(-E$4+Presion_cilindro!$B$34))/Presion_cilindro!$B$35)^(Presion_cilindro!$B$17+1)),0))/((Presion_cilindro!O380+Presion_cilindro!O381)/2)</f>
        <v>19.015832433116092</v>
      </c>
      <c r="F389" s="27">
        <f>F388*(Presion_cilindro!O380/Presion_cilindro!O381)^Presion_cilindro!$B$9+10*(Presion_cilindro!$B$9-1)*Presion_cilindro!$B$33*(IF(Presion_cilindro!N381&gt;(-F$4+Presion_cilindro!$B$34),1-EXP(-Presion_cilindro!$B$16*((Presion_cilindro!N381-(-F$4+Presion_cilindro!$B$34))/Presion_cilindro!$B$35)^(Presion_cilindro!$B$17+1)),0)-IF(Presion_cilindro!N380&gt;(-F$4+Presion_cilindro!$B$34),1-EXP(-Presion_cilindro!$B$16*((Presion_cilindro!N380-(-F$4+Presion_cilindro!$B$34))/Presion_cilindro!$B$35)^(Presion_cilindro!$B$17+1)),0))/((Presion_cilindro!O380+Presion_cilindro!O381)/2)</f>
        <v>23.883718912756073</v>
      </c>
      <c r="G389" s="27">
        <f>G388*(Presion_cilindro!O380/Presion_cilindro!O381)^Presion_cilindro!$B$9+10*(Presion_cilindro!$B$9-1)*Presion_cilindro!$B$33*(IF(Presion_cilindro!N381&gt;(-G$4+Presion_cilindro!$B$34),1-EXP(-Presion_cilindro!$B$16*((Presion_cilindro!N381-(-G$4+Presion_cilindro!$B$34))/Presion_cilindro!$B$35)^(Presion_cilindro!$B$17+1)),0)-IF(Presion_cilindro!N380&gt;(-G$4+Presion_cilindro!$B$34),1-EXP(-Presion_cilindro!$B$16*((Presion_cilindro!N380-(-G$4+Presion_cilindro!$B$34))/Presion_cilindro!$B$35)^(Presion_cilindro!$B$17+1)),0))/((Presion_cilindro!O380+Presion_cilindro!O381)/2)</f>
        <v>29.771213221771536</v>
      </c>
      <c r="H389" s="27">
        <f>H388*(Presion_cilindro!O380/Presion_cilindro!O381)^Presion_cilindro!$B$9+10*(Presion_cilindro!$B$9-1)*Presion_cilindro!$B$33*(IF(Presion_cilindro!N381&gt;(-H$4+Presion_cilindro!$B$34),1-EXP(-Presion_cilindro!$B$16*((Presion_cilindro!N381-(-H$4+Presion_cilindro!$B$34))/Presion_cilindro!$B$35)^(Presion_cilindro!$B$17+1)),0)-IF(Presion_cilindro!N380&gt;(-H$4+Presion_cilindro!$B$34),1-EXP(-Presion_cilindro!$B$16*((Presion_cilindro!N380-(-H$4+Presion_cilindro!$B$34))/Presion_cilindro!$B$35)^(Presion_cilindro!$B$17+1)),0))/((Presion_cilindro!O380+Presion_cilindro!O381)/2)</f>
        <v>35.458694319673178</v>
      </c>
      <c r="I389" s="27">
        <f>I388*(Presion_cilindro!O380/Presion_cilindro!O381)^Presion_cilindro!$B$9+10*(Presion_cilindro!$B$9-1)*Presion_cilindro!$B$33*(IF(Presion_cilindro!N381&gt;(-I$4+Presion_cilindro!$B$34),1-EXP(-Presion_cilindro!$B$16*((Presion_cilindro!N381-(-I$4+Presion_cilindro!$B$34))/Presion_cilindro!$B$35)^(Presion_cilindro!$B$17+1)),0)-IF(Presion_cilindro!N380&gt;(-I$4+Presion_cilindro!$B$34),1-EXP(-Presion_cilindro!$B$16*((Presion_cilindro!N380-(-I$4+Presion_cilindro!$B$34))/Presion_cilindro!$B$35)^(Presion_cilindro!$B$17+1)),0))/((Presion_cilindro!O380+Presion_cilindro!O381)/2)</f>
        <v>39.907641979444541</v>
      </c>
      <c r="J389" s="27">
        <f>J388*(Presion_cilindro!O380/Presion_cilindro!O381)^Presion_cilindro!$B$9+10*(Presion_cilindro!$B$9-1)*Presion_cilindro!$B$33*(IF(Presion_cilindro!N381&gt;(-J$4+Presion_cilindro!$B$34),1-EXP(-Presion_cilindro!$B$16*((Presion_cilindro!N381-(-J$4+Presion_cilindro!$B$34))/Presion_cilindro!$B$35)^(Presion_cilindro!$B$17+1)),0)-IF(Presion_cilindro!N380&gt;(-J$4+Presion_cilindro!$B$34),1-EXP(-Presion_cilindro!$B$16*((Presion_cilindro!N380-(-J$4+Presion_cilindro!$B$34))/Presion_cilindro!$B$35)^(Presion_cilindro!$B$17+1)),0))/((Presion_cilindro!O380+Presion_cilindro!O381)/2)</f>
        <v>42.823346624540918</v>
      </c>
      <c r="K389" s="27">
        <f>K388*(Presion_cilindro!O380/Presion_cilindro!O381)^Presion_cilindro!$B$9+10*(Presion_cilindro!$B$9-1)*Presion_cilindro!$B$33*(IF(Presion_cilindro!N381&gt;(-K$4+Presion_cilindro!$B$34),1-EXP(-Presion_cilindro!$B$16*((Presion_cilindro!N381-(-K$4+Presion_cilindro!$B$34))/Presion_cilindro!$B$35)^(Presion_cilindro!$B$17+1)),0)-IF(Presion_cilindro!N380&gt;(-K$4+Presion_cilindro!$B$34),1-EXP(-Presion_cilindro!$B$16*((Presion_cilindro!N380-(-K$4+Presion_cilindro!$B$34))/Presion_cilindro!$B$35)^(Presion_cilindro!$B$17+1)),0))/((Presion_cilindro!O380+Presion_cilindro!O381)/2)</f>
        <v>44.622217698988479</v>
      </c>
      <c r="L389" s="27">
        <f>L388*(Presion_cilindro!O380/Presion_cilindro!O381)^Presion_cilindro!$B$9+10*(Presion_cilindro!$B$9-1)*Presion_cilindro!$B$33*(IF(Presion_cilindro!N381&gt;(-L$4+Presion_cilindro!$B$34),1-EXP(-Presion_cilindro!$B$16*((Presion_cilindro!N381-(-L$4+Presion_cilindro!$B$34))/Presion_cilindro!$B$35)^(Presion_cilindro!$B$17+1)),0)-IF(Presion_cilindro!N380&gt;(-L$4+Presion_cilindro!$B$34),1-EXP(-Presion_cilindro!$B$16*((Presion_cilindro!N380-(-L$4+Presion_cilindro!$B$34))/Presion_cilindro!$B$35)^(Presion_cilindro!$B$17+1)),0))/((Presion_cilindro!O380+Presion_cilindro!O381)/2)</f>
        <v>45.937637284783868</v>
      </c>
      <c r="M389" s="27">
        <f>M388*(Presion_cilindro!O380/Presion_cilindro!O381)^Presion_cilindro!$B$9+10*(Presion_cilindro!$B$9-1)*Presion_cilindro!$B$33*(IF(Presion_cilindro!N381&gt;(-M$4+Presion_cilindro!$B$34),1-EXP(-Presion_cilindro!$B$16*((Presion_cilindro!N381-(-M$4+Presion_cilindro!$B$34))/Presion_cilindro!$B$35)^(Presion_cilindro!$B$17+1)),0)-IF(Presion_cilindro!N380&gt;(-M$4+Presion_cilindro!$B$34),1-EXP(-Presion_cilindro!$B$16*((Presion_cilindro!N380-(-M$4+Presion_cilindro!$B$34))/Presion_cilindro!$B$35)^(Presion_cilindro!$B$17+1)),0))/((Presion_cilindro!O380+Presion_cilindro!O381)/2)</f>
        <v>47.204248191208798</v>
      </c>
      <c r="N389" s="27">
        <f>N388*(Presion_cilindro!O380/Presion_cilindro!O381)^Presion_cilindro!$B$9+10*(Presion_cilindro!$B$9-1)*Presion_cilindro!$B$33*(IF(Presion_cilindro!N381&gt;(-N$4+Presion_cilindro!$B$34),1-EXP(-Presion_cilindro!$B$16*((Presion_cilindro!N381-(-N$4+Presion_cilindro!$B$34))/Presion_cilindro!$B$35)^(Presion_cilindro!$B$17+1)),0)-IF(Presion_cilindro!N380&gt;(-N$4+Presion_cilindro!$B$34),1-EXP(-Presion_cilindro!$B$16*((Presion_cilindro!N380-(-N$4+Presion_cilindro!$B$34))/Presion_cilindro!$B$35)^(Presion_cilindro!$B$17+1)),0))/((Presion_cilindro!O380+Presion_cilindro!O381)/2)</f>
        <v>48.585582658633669</v>
      </c>
    </row>
    <row r="390" spans="1:14" x14ac:dyDescent="0.25">
      <c r="A390" s="21">
        <f>Presion_cilindro!N382</f>
        <v>9</v>
      </c>
      <c r="B390" s="27">
        <f>B389*(Presion_cilindro!O381/Presion_cilindro!O382)^Presion_cilindro!$B$9+10*(Presion_cilindro!$B$9-1)*Presion_cilindro!$B$33*(IF(Presion_cilindro!N382&gt;(-B$4+Presion_cilindro!$B$34),1-EXP(-Presion_cilindro!$B$16*((Presion_cilindro!N382-(-B$4+Presion_cilindro!$B$34))/Presion_cilindro!$B$35)^(Presion_cilindro!$B$17+1)),0)-IF(Presion_cilindro!N381&gt;(-B$4+Presion_cilindro!$B$34),1-EXP(-Presion_cilindro!$B$16*((Presion_cilindro!N381-(-B$4+Presion_cilindro!$B$34))/Presion_cilindro!$B$35)^(Presion_cilindro!$B$17+1)),0))/((Presion_cilindro!O381+Presion_cilindro!O382)/2)</f>
        <v>14.055826835252619</v>
      </c>
      <c r="C390" s="27">
        <f>C389*(Presion_cilindro!O381/Presion_cilindro!O382)^Presion_cilindro!$B$9+10*(Presion_cilindro!$B$9-1)*Presion_cilindro!$B$33*(IF(Presion_cilindro!N382&gt;(-C$4+Presion_cilindro!$B$34),1-EXP(-Presion_cilindro!$B$16*((Presion_cilindro!N382-(-C$4+Presion_cilindro!$B$34))/Presion_cilindro!$B$35)^(Presion_cilindro!$B$17+1)),0)-IF(Presion_cilindro!N381&gt;(-C$4+Presion_cilindro!$B$34),1-EXP(-Presion_cilindro!$B$16*((Presion_cilindro!N381-(-C$4+Presion_cilindro!$B$34))/Presion_cilindro!$B$35)^(Presion_cilindro!$B$17+1)),0))/((Presion_cilindro!O381+Presion_cilindro!O382)/2)</f>
        <v>14.428941322889381</v>
      </c>
      <c r="D390" s="27">
        <f>D389*(Presion_cilindro!O381/Presion_cilindro!O382)^Presion_cilindro!$B$9+10*(Presion_cilindro!$B$9-1)*Presion_cilindro!$B$33*(IF(Presion_cilindro!N382&gt;(-D$4+Presion_cilindro!$B$34),1-EXP(-Presion_cilindro!$B$16*((Presion_cilindro!N382-(-D$4+Presion_cilindro!$B$34))/Presion_cilindro!$B$35)^(Presion_cilindro!$B$17+1)),0)-IF(Presion_cilindro!N381&gt;(-D$4+Presion_cilindro!$B$34),1-EXP(-Presion_cilindro!$B$16*((Presion_cilindro!N381-(-D$4+Presion_cilindro!$B$34))/Presion_cilindro!$B$35)^(Presion_cilindro!$B$17+1)),0))/((Presion_cilindro!O381+Presion_cilindro!O382)/2)</f>
        <v>15.974035161760739</v>
      </c>
      <c r="E390" s="27">
        <f>E389*(Presion_cilindro!O381/Presion_cilindro!O382)^Presion_cilindro!$B$9+10*(Presion_cilindro!$B$9-1)*Presion_cilindro!$B$33*(IF(Presion_cilindro!N382&gt;(-E$4+Presion_cilindro!$B$34),1-EXP(-Presion_cilindro!$B$16*((Presion_cilindro!N382-(-E$4+Presion_cilindro!$B$34))/Presion_cilindro!$B$35)^(Presion_cilindro!$B$17+1)),0)-IF(Presion_cilindro!N381&gt;(-E$4+Presion_cilindro!$B$34),1-EXP(-Presion_cilindro!$B$16*((Presion_cilindro!N381-(-E$4+Presion_cilindro!$B$34))/Presion_cilindro!$B$35)^(Presion_cilindro!$B$17+1)),0))/((Presion_cilindro!O381+Presion_cilindro!O382)/2)</f>
        <v>19.253198287913669</v>
      </c>
      <c r="F390" s="27">
        <f>F389*(Presion_cilindro!O381/Presion_cilindro!O382)^Presion_cilindro!$B$9+10*(Presion_cilindro!$B$9-1)*Presion_cilindro!$B$33*(IF(Presion_cilindro!N382&gt;(-F$4+Presion_cilindro!$B$34),1-EXP(-Presion_cilindro!$B$16*((Presion_cilindro!N382-(-F$4+Presion_cilindro!$B$34))/Presion_cilindro!$B$35)^(Presion_cilindro!$B$17+1)),0)-IF(Presion_cilindro!N381&gt;(-F$4+Presion_cilindro!$B$34),1-EXP(-Presion_cilindro!$B$16*((Presion_cilindro!N381-(-F$4+Presion_cilindro!$B$34))/Presion_cilindro!$B$35)^(Presion_cilindro!$B$17+1)),0))/((Presion_cilindro!O381+Presion_cilindro!O382)/2)</f>
        <v>24.223126587212754</v>
      </c>
      <c r="G390" s="27">
        <f>G389*(Presion_cilindro!O381/Presion_cilindro!O382)^Presion_cilindro!$B$9+10*(Presion_cilindro!$B$9-1)*Presion_cilindro!$B$33*(IF(Presion_cilindro!N382&gt;(-G$4+Presion_cilindro!$B$34),1-EXP(-Presion_cilindro!$B$16*((Presion_cilindro!N382-(-G$4+Presion_cilindro!$B$34))/Presion_cilindro!$B$35)^(Presion_cilindro!$B$17+1)),0)-IF(Presion_cilindro!N381&gt;(-G$4+Presion_cilindro!$B$34),1-EXP(-Presion_cilindro!$B$16*((Presion_cilindro!N381-(-G$4+Presion_cilindro!$B$34))/Presion_cilindro!$B$35)^(Presion_cilindro!$B$17+1)),0))/((Presion_cilindro!O381+Presion_cilindro!O382)/2)</f>
        <v>30.090003485849007</v>
      </c>
      <c r="H390" s="27">
        <f>H389*(Presion_cilindro!O381/Presion_cilindro!O382)^Presion_cilindro!$B$9+10*(Presion_cilindro!$B$9-1)*Presion_cilindro!$B$33*(IF(Presion_cilindro!N382&gt;(-H$4+Presion_cilindro!$B$34),1-EXP(-Presion_cilindro!$B$16*((Presion_cilindro!N382-(-H$4+Presion_cilindro!$B$34))/Presion_cilindro!$B$35)^(Presion_cilindro!$B$17+1)),0)-IF(Presion_cilindro!N381&gt;(-H$4+Presion_cilindro!$B$34),1-EXP(-Presion_cilindro!$B$16*((Presion_cilindro!N381-(-H$4+Presion_cilindro!$B$34))/Presion_cilindro!$B$35)^(Presion_cilindro!$B$17+1)),0))/((Presion_cilindro!O381+Presion_cilindro!O382)/2)</f>
        <v>35.626912476672672</v>
      </c>
      <c r="I390" s="27">
        <f>I389*(Presion_cilindro!O381/Presion_cilindro!O382)^Presion_cilindro!$B$9+10*(Presion_cilindro!$B$9-1)*Presion_cilindro!$B$33*(IF(Presion_cilindro!N382&gt;(-I$4+Presion_cilindro!$B$34),1-EXP(-Presion_cilindro!$B$16*((Presion_cilindro!N382-(-I$4+Presion_cilindro!$B$34))/Presion_cilindro!$B$35)^(Presion_cilindro!$B$17+1)),0)-IF(Presion_cilindro!N381&gt;(-I$4+Presion_cilindro!$B$34),1-EXP(-Presion_cilindro!$B$16*((Presion_cilindro!N381-(-I$4+Presion_cilindro!$B$34))/Presion_cilindro!$B$35)^(Presion_cilindro!$B$17+1)),0))/((Presion_cilindro!O381+Presion_cilindro!O382)/2)</f>
        <v>39.860465711715243</v>
      </c>
      <c r="J390" s="27">
        <f>J389*(Presion_cilindro!O381/Presion_cilindro!O382)^Presion_cilindro!$B$9+10*(Presion_cilindro!$B$9-1)*Presion_cilindro!$B$33*(IF(Presion_cilindro!N382&gt;(-J$4+Presion_cilindro!$B$34),1-EXP(-Presion_cilindro!$B$16*((Presion_cilindro!N382-(-J$4+Presion_cilindro!$B$34))/Presion_cilindro!$B$35)^(Presion_cilindro!$B$17+1)),0)-IF(Presion_cilindro!N381&gt;(-J$4+Presion_cilindro!$B$34),1-EXP(-Presion_cilindro!$B$16*((Presion_cilindro!N381-(-J$4+Presion_cilindro!$B$34))/Presion_cilindro!$B$35)^(Presion_cilindro!$B$17+1)),0))/((Presion_cilindro!O381+Presion_cilindro!O382)/2)</f>
        <v>42.584300637847093</v>
      </c>
      <c r="K390" s="27">
        <f>K389*(Presion_cilindro!O381/Presion_cilindro!O382)^Presion_cilindro!$B$9+10*(Presion_cilindro!$B$9-1)*Presion_cilindro!$B$33*(IF(Presion_cilindro!N382&gt;(-K$4+Presion_cilindro!$B$34),1-EXP(-Presion_cilindro!$B$16*((Presion_cilindro!N382-(-K$4+Presion_cilindro!$B$34))/Presion_cilindro!$B$35)^(Presion_cilindro!$B$17+1)),0)-IF(Presion_cilindro!N381&gt;(-K$4+Presion_cilindro!$B$34),1-EXP(-Presion_cilindro!$B$16*((Presion_cilindro!N381-(-K$4+Presion_cilindro!$B$34))/Presion_cilindro!$B$35)^(Presion_cilindro!$B$17+1)),0))/((Presion_cilindro!O381+Presion_cilindro!O382)/2)</f>
        <v>44.262053883508955</v>
      </c>
      <c r="L390" s="27">
        <f>L389*(Presion_cilindro!O381/Presion_cilindro!O382)^Presion_cilindro!$B$9+10*(Presion_cilindro!$B$9-1)*Presion_cilindro!$B$33*(IF(Presion_cilindro!N382&gt;(-L$4+Presion_cilindro!$B$34),1-EXP(-Presion_cilindro!$B$16*((Presion_cilindro!N382-(-L$4+Presion_cilindro!$B$34))/Presion_cilindro!$B$35)^(Presion_cilindro!$B$17+1)),0)-IF(Presion_cilindro!N381&gt;(-L$4+Presion_cilindro!$B$34),1-EXP(-Presion_cilindro!$B$16*((Presion_cilindro!N381-(-L$4+Presion_cilindro!$B$34))/Presion_cilindro!$B$35)^(Presion_cilindro!$B$17+1)),0))/((Presion_cilindro!O381+Presion_cilindro!O382)/2)</f>
        <v>45.518935180810495</v>
      </c>
      <c r="M390" s="27">
        <f>M389*(Presion_cilindro!O381/Presion_cilindro!O382)^Presion_cilindro!$B$9+10*(Presion_cilindro!$B$9-1)*Presion_cilindro!$B$33*(IF(Presion_cilindro!N382&gt;(-M$4+Presion_cilindro!$B$34),1-EXP(-Presion_cilindro!$B$16*((Presion_cilindro!N382-(-M$4+Presion_cilindro!$B$34))/Presion_cilindro!$B$35)^(Presion_cilindro!$B$17+1)),0)-IF(Presion_cilindro!N381&gt;(-M$4+Presion_cilindro!$B$34),1-EXP(-Presion_cilindro!$B$16*((Presion_cilindro!N381-(-M$4+Presion_cilindro!$B$34))/Presion_cilindro!$B$35)^(Presion_cilindro!$B$17+1)),0))/((Presion_cilindro!O381+Presion_cilindro!O382)/2)</f>
        <v>46.759233382379598</v>
      </c>
      <c r="N390" s="27">
        <f>N389*(Presion_cilindro!O381/Presion_cilindro!O382)^Presion_cilindro!$B$9+10*(Presion_cilindro!$B$9-1)*Presion_cilindro!$B$33*(IF(Presion_cilindro!N382&gt;(-N$4+Presion_cilindro!$B$34),1-EXP(-Presion_cilindro!$B$16*((Presion_cilindro!N382-(-N$4+Presion_cilindro!$B$34))/Presion_cilindro!$B$35)^(Presion_cilindro!$B$17+1)),0)-IF(Presion_cilindro!N381&gt;(-N$4+Presion_cilindro!$B$34),1-EXP(-Presion_cilindro!$B$16*((Presion_cilindro!N381-(-N$4+Presion_cilindro!$B$34))/Presion_cilindro!$B$35)^(Presion_cilindro!$B$17+1)),0))/((Presion_cilindro!O381+Presion_cilindro!O382)/2)</f>
        <v>48.124374717379922</v>
      </c>
    </row>
    <row r="391" spans="1:14" x14ac:dyDescent="0.25">
      <c r="A391" s="21">
        <f>Presion_cilindro!N383</f>
        <v>9.5</v>
      </c>
      <c r="B391" s="27">
        <f>B390*(Presion_cilindro!O382/Presion_cilindro!O383)^Presion_cilindro!$B$9+10*(Presion_cilindro!$B$9-1)*Presion_cilindro!$B$33*(IF(Presion_cilindro!N383&gt;(-B$4+Presion_cilindro!$B$34),1-EXP(-Presion_cilindro!$B$16*((Presion_cilindro!N383-(-B$4+Presion_cilindro!$B$34))/Presion_cilindro!$B$35)^(Presion_cilindro!$B$17+1)),0)-IF(Presion_cilindro!N382&gt;(-B$4+Presion_cilindro!$B$34),1-EXP(-Presion_cilindro!$B$16*((Presion_cilindro!N382-(-B$4+Presion_cilindro!$B$34))/Presion_cilindro!$B$35)^(Presion_cilindro!$B$17+1)),0))/((Presion_cilindro!O382+Presion_cilindro!O383)/2)</f>
        <v>13.9234966495289</v>
      </c>
      <c r="C391" s="27">
        <f>C390*(Presion_cilindro!O382/Presion_cilindro!O383)^Presion_cilindro!$B$9+10*(Presion_cilindro!$B$9-1)*Presion_cilindro!$B$33*(IF(Presion_cilindro!N383&gt;(-C$4+Presion_cilindro!$B$34),1-EXP(-Presion_cilindro!$B$16*((Presion_cilindro!N383-(-C$4+Presion_cilindro!$B$34))/Presion_cilindro!$B$35)^(Presion_cilindro!$B$17+1)),0)-IF(Presion_cilindro!N382&gt;(-C$4+Presion_cilindro!$B$34),1-EXP(-Presion_cilindro!$B$16*((Presion_cilindro!N382-(-C$4+Presion_cilindro!$B$34))/Presion_cilindro!$B$35)^(Presion_cilindro!$B$17+1)),0))/((Presion_cilindro!O382+Presion_cilindro!O383)/2)</f>
        <v>14.374613742752306</v>
      </c>
      <c r="D391" s="27">
        <f>D390*(Presion_cilindro!O382/Presion_cilindro!O383)^Presion_cilindro!$B$9+10*(Presion_cilindro!$B$9-1)*Presion_cilindro!$B$33*(IF(Presion_cilindro!N383&gt;(-D$4+Presion_cilindro!$B$34),1-EXP(-Presion_cilindro!$B$16*((Presion_cilindro!N383-(-D$4+Presion_cilindro!$B$34))/Presion_cilindro!$B$35)^(Presion_cilindro!$B$17+1)),0)-IF(Presion_cilindro!N382&gt;(-D$4+Presion_cilindro!$B$34),1-EXP(-Presion_cilindro!$B$16*((Presion_cilindro!N382-(-D$4+Presion_cilindro!$B$34))/Presion_cilindro!$B$35)^(Presion_cilindro!$B$17+1)),0))/((Presion_cilindro!O382+Presion_cilindro!O383)/2)</f>
        <v>16.06149950729943</v>
      </c>
      <c r="E391" s="27">
        <f>E390*(Presion_cilindro!O382/Presion_cilindro!O383)^Presion_cilindro!$B$9+10*(Presion_cilindro!$B$9-1)*Presion_cilindro!$B$33*(IF(Presion_cilindro!N383&gt;(-E$4+Presion_cilindro!$B$34),1-EXP(-Presion_cilindro!$B$16*((Presion_cilindro!N383-(-E$4+Presion_cilindro!$B$34))/Presion_cilindro!$B$35)^(Presion_cilindro!$B$17+1)),0)-IF(Presion_cilindro!N382&gt;(-E$4+Presion_cilindro!$B$34),1-EXP(-Presion_cilindro!$B$16*((Presion_cilindro!N382-(-E$4+Presion_cilindro!$B$34))/Presion_cilindro!$B$35)^(Presion_cilindro!$B$17+1)),0))/((Presion_cilindro!O382+Presion_cilindro!O383)/2)</f>
        <v>19.494269752928467</v>
      </c>
      <c r="F391" s="27">
        <f>F390*(Presion_cilindro!O382/Presion_cilindro!O383)^Presion_cilindro!$B$9+10*(Presion_cilindro!$B$9-1)*Presion_cilindro!$B$33*(IF(Presion_cilindro!N383&gt;(-F$4+Presion_cilindro!$B$34),1-EXP(-Presion_cilindro!$B$16*((Presion_cilindro!N383-(-F$4+Presion_cilindro!$B$34))/Presion_cilindro!$B$35)^(Presion_cilindro!$B$17+1)),0)-IF(Presion_cilindro!N382&gt;(-F$4+Presion_cilindro!$B$34),1-EXP(-Presion_cilindro!$B$16*((Presion_cilindro!N382-(-F$4+Presion_cilindro!$B$34))/Presion_cilindro!$B$35)^(Presion_cilindro!$B$17+1)),0))/((Presion_cilindro!O382+Presion_cilindro!O383)/2)</f>
        <v>24.553467276112741</v>
      </c>
      <c r="G391" s="27">
        <f>G390*(Presion_cilindro!O382/Presion_cilindro!O383)^Presion_cilindro!$B$9+10*(Presion_cilindro!$B$9-1)*Presion_cilindro!$B$33*(IF(Presion_cilindro!N383&gt;(-G$4+Presion_cilindro!$B$34),1-EXP(-Presion_cilindro!$B$16*((Presion_cilindro!N383-(-G$4+Presion_cilindro!$B$34))/Presion_cilindro!$B$35)^(Presion_cilindro!$B$17+1)),0)-IF(Presion_cilindro!N382&gt;(-G$4+Presion_cilindro!$B$34),1-EXP(-Presion_cilindro!$B$16*((Presion_cilindro!N382-(-G$4+Presion_cilindro!$B$34))/Presion_cilindro!$B$35)^(Presion_cilindro!$B$17+1)),0))/((Presion_cilindro!O382+Presion_cilindro!O383)/2)</f>
        <v>30.383455272912659</v>
      </c>
      <c r="H391" s="27">
        <f>H390*(Presion_cilindro!O382/Presion_cilindro!O383)^Presion_cilindro!$B$9+10*(Presion_cilindro!$B$9-1)*Presion_cilindro!$B$33*(IF(Presion_cilindro!N383&gt;(-H$4+Presion_cilindro!$B$34),1-EXP(-Presion_cilindro!$B$16*((Presion_cilindro!N383-(-H$4+Presion_cilindro!$B$34))/Presion_cilindro!$B$35)^(Presion_cilindro!$B$17+1)),0)-IF(Presion_cilindro!N382&gt;(-H$4+Presion_cilindro!$B$34),1-EXP(-Presion_cilindro!$B$16*((Presion_cilindro!N382-(-H$4+Presion_cilindro!$B$34))/Presion_cilindro!$B$35)^(Presion_cilindro!$B$17+1)),0))/((Presion_cilindro!O382+Presion_cilindro!O383)/2)</f>
        <v>35.75828826205646</v>
      </c>
      <c r="I391" s="27">
        <f>I390*(Presion_cilindro!O382/Presion_cilindro!O383)^Presion_cilindro!$B$9+10*(Presion_cilindro!$B$9-1)*Presion_cilindro!$B$33*(IF(Presion_cilindro!N383&gt;(-I$4+Presion_cilindro!$B$34),1-EXP(-Presion_cilindro!$B$16*((Presion_cilindro!N383-(-I$4+Presion_cilindro!$B$34))/Presion_cilindro!$B$35)^(Presion_cilindro!$B$17+1)),0)-IF(Presion_cilindro!N382&gt;(-I$4+Presion_cilindro!$B$34),1-EXP(-Presion_cilindro!$B$16*((Presion_cilindro!N382-(-I$4+Presion_cilindro!$B$34))/Presion_cilindro!$B$35)^(Presion_cilindro!$B$17+1)),0))/((Presion_cilindro!O382+Presion_cilindro!O383)/2)</f>
        <v>39.775010826356059</v>
      </c>
      <c r="J391" s="27">
        <f>J390*(Presion_cilindro!O382/Presion_cilindro!O383)^Presion_cilindro!$B$9+10*(Presion_cilindro!$B$9-1)*Presion_cilindro!$B$33*(IF(Presion_cilindro!N383&gt;(-J$4+Presion_cilindro!$B$34),1-EXP(-Presion_cilindro!$B$16*((Presion_cilindro!N383-(-J$4+Presion_cilindro!$B$34))/Presion_cilindro!$B$35)^(Presion_cilindro!$B$17+1)),0)-IF(Presion_cilindro!N382&gt;(-J$4+Presion_cilindro!$B$34),1-EXP(-Presion_cilindro!$B$16*((Presion_cilindro!N382-(-J$4+Presion_cilindro!$B$34))/Presion_cilindro!$B$35)^(Presion_cilindro!$B$17+1)),0))/((Presion_cilindro!O382+Presion_cilindro!O383)/2)</f>
        <v>42.313373901093399</v>
      </c>
      <c r="K391" s="27">
        <f>K390*(Presion_cilindro!O382/Presion_cilindro!O383)^Presion_cilindro!$B$9+10*(Presion_cilindro!$B$9-1)*Presion_cilindro!$B$33*(IF(Presion_cilindro!N383&gt;(-K$4+Presion_cilindro!$B$34),1-EXP(-Presion_cilindro!$B$16*((Presion_cilindro!N383-(-K$4+Presion_cilindro!$B$34))/Presion_cilindro!$B$35)^(Presion_cilindro!$B$17+1)),0)-IF(Presion_cilindro!N382&gt;(-K$4+Presion_cilindro!$B$34),1-EXP(-Presion_cilindro!$B$16*((Presion_cilindro!N382-(-K$4+Presion_cilindro!$B$34))/Presion_cilindro!$B$35)^(Presion_cilindro!$B$17+1)),0))/((Presion_cilindro!O382+Presion_cilindro!O383)/2)</f>
        <v>43.877707350259257</v>
      </c>
      <c r="L391" s="27">
        <f>L390*(Presion_cilindro!O382/Presion_cilindro!O383)^Presion_cilindro!$B$9+10*(Presion_cilindro!$B$9-1)*Presion_cilindro!$B$33*(IF(Presion_cilindro!N383&gt;(-L$4+Presion_cilindro!$B$34),1-EXP(-Presion_cilindro!$B$16*((Presion_cilindro!N383-(-L$4+Presion_cilindro!$B$34))/Presion_cilindro!$B$35)^(Presion_cilindro!$B$17+1)),0)-IF(Presion_cilindro!N382&gt;(-L$4+Presion_cilindro!$B$34),1-EXP(-Presion_cilindro!$B$16*((Presion_cilindro!N382-(-L$4+Presion_cilindro!$B$34))/Presion_cilindro!$B$35)^(Presion_cilindro!$B$17+1)),0))/((Presion_cilindro!O382+Presion_cilindro!O383)/2)</f>
        <v>45.080755052498425</v>
      </c>
      <c r="M391" s="27">
        <f>M390*(Presion_cilindro!O382/Presion_cilindro!O383)^Presion_cilindro!$B$9+10*(Presion_cilindro!$B$9-1)*Presion_cilindro!$B$33*(IF(Presion_cilindro!N383&gt;(-M$4+Presion_cilindro!$B$34),1-EXP(-Presion_cilindro!$B$16*((Presion_cilindro!N383-(-M$4+Presion_cilindro!$B$34))/Presion_cilindro!$B$35)^(Presion_cilindro!$B$17+1)),0)-IF(Presion_cilindro!N382&gt;(-M$4+Presion_cilindro!$B$34),1-EXP(-Presion_cilindro!$B$16*((Presion_cilindro!N382-(-M$4+Presion_cilindro!$B$34))/Presion_cilindro!$B$35)^(Presion_cilindro!$B$17+1)),0))/((Presion_cilindro!O382+Presion_cilindro!O383)/2)</f>
        <v>46.296339623036246</v>
      </c>
      <c r="N391" s="27">
        <f>N390*(Presion_cilindro!O382/Presion_cilindro!O383)^Presion_cilindro!$B$9+10*(Presion_cilindro!$B$9-1)*Presion_cilindro!$B$33*(IF(Presion_cilindro!N383&gt;(-N$4+Presion_cilindro!$B$34),1-EXP(-Presion_cilindro!$B$16*((Presion_cilindro!N383-(-N$4+Presion_cilindro!$B$34))/Presion_cilindro!$B$35)^(Presion_cilindro!$B$17+1)),0)-IF(Presion_cilindro!N382&gt;(-N$4+Presion_cilindro!$B$34),1-EXP(-Presion_cilindro!$B$16*((Presion_cilindro!N382-(-N$4+Presion_cilindro!$B$34))/Presion_cilindro!$B$35)^(Presion_cilindro!$B$17+1)),0))/((Presion_cilindro!O382+Presion_cilindro!O383)/2)</f>
        <v>47.645324393588496</v>
      </c>
    </row>
    <row r="392" spans="1:14" x14ac:dyDescent="0.25">
      <c r="A392" s="21">
        <f>Presion_cilindro!N384</f>
        <v>10</v>
      </c>
      <c r="B392" s="27">
        <f>B391*(Presion_cilindro!O383/Presion_cilindro!O384)^Presion_cilindro!$B$9+10*(Presion_cilindro!$B$9-1)*Presion_cilindro!$B$33*(IF(Presion_cilindro!N384&gt;(-B$4+Presion_cilindro!$B$34),1-EXP(-Presion_cilindro!$B$16*((Presion_cilindro!N384-(-B$4+Presion_cilindro!$B$34))/Presion_cilindro!$B$35)^(Presion_cilindro!$B$17+1)),0)-IF(Presion_cilindro!N383&gt;(-B$4+Presion_cilindro!$B$34),1-EXP(-Presion_cilindro!$B$16*((Presion_cilindro!N383-(-B$4+Presion_cilindro!$B$34))/Presion_cilindro!$B$35)^(Presion_cilindro!$B$17+1)),0))/((Presion_cilindro!O383+Presion_cilindro!O384)/2)</f>
        <v>13.790353389015198</v>
      </c>
      <c r="C392" s="27">
        <f>C391*(Presion_cilindro!O383/Presion_cilindro!O384)^Presion_cilindro!$B$9+10*(Presion_cilindro!$B$9-1)*Presion_cilindro!$B$33*(IF(Presion_cilindro!N384&gt;(-C$4+Presion_cilindro!$B$34),1-EXP(-Presion_cilindro!$B$16*((Presion_cilindro!N384-(-C$4+Presion_cilindro!$B$34))/Presion_cilindro!$B$35)^(Presion_cilindro!$B$17+1)),0)-IF(Presion_cilindro!N383&gt;(-C$4+Presion_cilindro!$B$34),1-EXP(-Presion_cilindro!$B$16*((Presion_cilindro!N383-(-C$4+Presion_cilindro!$B$34))/Presion_cilindro!$B$35)^(Presion_cilindro!$B$17+1)),0))/((Presion_cilindro!O383+Presion_cilindro!O384)/2)</f>
        <v>14.326402967860874</v>
      </c>
      <c r="D392" s="27">
        <f>D391*(Presion_cilindro!O383/Presion_cilindro!O384)^Presion_cilindro!$B$9+10*(Presion_cilindro!$B$9-1)*Presion_cilindro!$B$33*(IF(Presion_cilindro!N384&gt;(-D$4+Presion_cilindro!$B$34),1-EXP(-Presion_cilindro!$B$16*((Presion_cilindro!N384-(-D$4+Presion_cilindro!$B$34))/Presion_cilindro!$B$35)^(Presion_cilindro!$B$17+1)),0)-IF(Presion_cilindro!N383&gt;(-D$4+Presion_cilindro!$B$34),1-EXP(-Presion_cilindro!$B$16*((Presion_cilindro!N383-(-D$4+Presion_cilindro!$B$34))/Presion_cilindro!$B$35)^(Presion_cilindro!$B$17+1)),0))/((Presion_cilindro!O383+Presion_cilindro!O384)/2)</f>
        <v>16.157281969266574</v>
      </c>
      <c r="E392" s="27">
        <f>E391*(Presion_cilindro!O383/Presion_cilindro!O384)^Presion_cilindro!$B$9+10*(Presion_cilindro!$B$9-1)*Presion_cilindro!$B$33*(IF(Presion_cilindro!N384&gt;(-E$4+Presion_cilindro!$B$34),1-EXP(-Presion_cilindro!$B$16*((Presion_cilindro!N384-(-E$4+Presion_cilindro!$B$34))/Presion_cilindro!$B$35)^(Presion_cilindro!$B$17+1)),0)-IF(Presion_cilindro!N383&gt;(-E$4+Presion_cilindro!$B$34),1-EXP(-Presion_cilindro!$B$16*((Presion_cilindro!N383-(-E$4+Presion_cilindro!$B$34))/Presion_cilindro!$B$35)^(Presion_cilindro!$B$17+1)),0))/((Presion_cilindro!O383+Presion_cilindro!O384)/2)</f>
        <v>19.738160146672048</v>
      </c>
      <c r="F392" s="27">
        <f>F391*(Presion_cilindro!O383/Presion_cilindro!O384)^Presion_cilindro!$B$9+10*(Presion_cilindro!$B$9-1)*Presion_cilindro!$B$33*(IF(Presion_cilindro!N384&gt;(-F$4+Presion_cilindro!$B$34),1-EXP(-Presion_cilindro!$B$16*((Presion_cilindro!N384-(-F$4+Presion_cilindro!$B$34))/Presion_cilindro!$B$35)^(Presion_cilindro!$B$17+1)),0)-IF(Presion_cilindro!N383&gt;(-F$4+Presion_cilindro!$B$34),1-EXP(-Presion_cilindro!$B$16*((Presion_cilindro!N383-(-F$4+Presion_cilindro!$B$34))/Presion_cilindro!$B$35)^(Presion_cilindro!$B$17+1)),0))/((Presion_cilindro!O383+Presion_cilindro!O384)/2)</f>
        <v>24.873301121802672</v>
      </c>
      <c r="G392" s="27">
        <f>G391*(Presion_cilindro!O383/Presion_cilindro!O384)^Presion_cilindro!$B$9+10*(Presion_cilindro!$B$9-1)*Presion_cilindro!$B$33*(IF(Presion_cilindro!N384&gt;(-G$4+Presion_cilindro!$B$34),1-EXP(-Presion_cilindro!$B$16*((Presion_cilindro!N384-(-G$4+Presion_cilindro!$B$34))/Presion_cilindro!$B$35)^(Presion_cilindro!$B$17+1)),0)-IF(Presion_cilindro!N383&gt;(-G$4+Presion_cilindro!$B$34),1-EXP(-Presion_cilindro!$B$16*((Presion_cilindro!N383-(-G$4+Presion_cilindro!$B$34))/Presion_cilindro!$B$35)^(Presion_cilindro!$B$17+1)),0))/((Presion_cilindro!O383+Presion_cilindro!O384)/2)</f>
        <v>30.650459124844037</v>
      </c>
      <c r="H392" s="27">
        <f>H391*(Presion_cilindro!O383/Presion_cilindro!O384)^Presion_cilindro!$B$9+10*(Presion_cilindro!$B$9-1)*Presion_cilindro!$B$33*(IF(Presion_cilindro!N384&gt;(-H$4+Presion_cilindro!$B$34),1-EXP(-Presion_cilindro!$B$16*((Presion_cilindro!N384-(-H$4+Presion_cilindro!$B$34))/Presion_cilindro!$B$35)^(Presion_cilindro!$B$17+1)),0)-IF(Presion_cilindro!N383&gt;(-H$4+Presion_cilindro!$B$34),1-EXP(-Presion_cilindro!$B$16*((Presion_cilindro!N383-(-H$4+Presion_cilindro!$B$34))/Presion_cilindro!$B$35)^(Presion_cilindro!$B$17+1)),0))/((Presion_cilindro!O383+Presion_cilindro!O384)/2)</f>
        <v>35.852883284859594</v>
      </c>
      <c r="I392" s="27">
        <f>I391*(Presion_cilindro!O383/Presion_cilindro!O384)^Presion_cilindro!$B$9+10*(Presion_cilindro!$B$9-1)*Presion_cilindro!$B$33*(IF(Presion_cilindro!N384&gt;(-I$4+Presion_cilindro!$B$34),1-EXP(-Presion_cilindro!$B$16*((Presion_cilindro!N384-(-I$4+Presion_cilindro!$B$34))/Presion_cilindro!$B$35)^(Presion_cilindro!$B$17+1)),0)-IF(Presion_cilindro!N383&gt;(-I$4+Presion_cilindro!$B$34),1-EXP(-Presion_cilindro!$B$16*((Presion_cilindro!N383-(-I$4+Presion_cilindro!$B$34))/Presion_cilindro!$B$35)^(Presion_cilindro!$B$17+1)),0))/((Presion_cilindro!O383+Presion_cilindro!O384)/2)</f>
        <v>39.652587415932253</v>
      </c>
      <c r="J392" s="27">
        <f>J391*(Presion_cilindro!O383/Presion_cilindro!O384)^Presion_cilindro!$B$9+10*(Presion_cilindro!$B$9-1)*Presion_cilindro!$B$33*(IF(Presion_cilindro!N384&gt;(-J$4+Presion_cilindro!$B$34),1-EXP(-Presion_cilindro!$B$16*((Presion_cilindro!N384-(-J$4+Presion_cilindro!$B$34))/Presion_cilindro!$B$35)^(Presion_cilindro!$B$17+1)),0)-IF(Presion_cilindro!N383&gt;(-J$4+Presion_cilindro!$B$34),1-EXP(-Presion_cilindro!$B$16*((Presion_cilindro!N383-(-J$4+Presion_cilindro!$B$34))/Presion_cilindro!$B$35)^(Presion_cilindro!$B$17+1)),0))/((Presion_cilindro!O383+Presion_cilindro!O384)/2)</f>
        <v>42.012452067586466</v>
      </c>
      <c r="K392" s="27">
        <f>K391*(Presion_cilindro!O383/Presion_cilindro!O384)^Presion_cilindro!$B$9+10*(Presion_cilindro!$B$9-1)*Presion_cilindro!$B$33*(IF(Presion_cilindro!N384&gt;(-K$4+Presion_cilindro!$B$34),1-EXP(-Presion_cilindro!$B$16*((Presion_cilindro!N384-(-K$4+Presion_cilindro!$B$34))/Presion_cilindro!$B$35)^(Presion_cilindro!$B$17+1)),0)-IF(Presion_cilindro!N383&gt;(-K$4+Presion_cilindro!$B$34),1-EXP(-Presion_cilindro!$B$16*((Presion_cilindro!N383-(-K$4+Presion_cilindro!$B$34))/Presion_cilindro!$B$35)^(Presion_cilindro!$B$17+1)),0))/((Presion_cilindro!O383+Presion_cilindro!O384)/2)</f>
        <v>43.470948589096515</v>
      </c>
      <c r="L392" s="27">
        <f>L391*(Presion_cilindro!O383/Presion_cilindro!O384)^Presion_cilindro!$B$9+10*(Presion_cilindro!$B$9-1)*Presion_cilindro!$B$33*(IF(Presion_cilindro!N384&gt;(-L$4+Presion_cilindro!$B$34),1-EXP(-Presion_cilindro!$B$16*((Presion_cilindro!N384-(-L$4+Presion_cilindro!$B$34))/Presion_cilindro!$B$35)^(Presion_cilindro!$B$17+1)),0)-IF(Presion_cilindro!N383&gt;(-L$4+Presion_cilindro!$B$34),1-EXP(-Presion_cilindro!$B$16*((Presion_cilindro!N383-(-L$4+Presion_cilindro!$B$34))/Presion_cilindro!$B$35)^(Presion_cilindro!$B$17+1)),0))/((Presion_cilindro!O383+Presion_cilindro!O384)/2)</f>
        <v>44.624545939693483</v>
      </c>
      <c r="M392" s="27">
        <f>M391*(Presion_cilindro!O383/Presion_cilindro!O384)^Presion_cilindro!$B$9+10*(Presion_cilindro!$B$9-1)*Presion_cilindro!$B$33*(IF(Presion_cilindro!N384&gt;(-M$4+Presion_cilindro!$B$34),1-EXP(-Presion_cilindro!$B$16*((Presion_cilindro!N384-(-M$4+Presion_cilindro!$B$34))/Presion_cilindro!$B$35)^(Presion_cilindro!$B$17+1)),0)-IF(Presion_cilindro!N383&gt;(-M$4+Presion_cilindro!$B$34),1-EXP(-Presion_cilindro!$B$16*((Presion_cilindro!N383-(-M$4+Presion_cilindro!$B$34))/Presion_cilindro!$B$35)^(Presion_cilindro!$B$17+1)),0))/((Presion_cilindro!O383+Presion_cilindro!O384)/2)</f>
        <v>45.816823316521116</v>
      </c>
      <c r="N392" s="27">
        <f>N391*(Presion_cilindro!O383/Presion_cilindro!O384)^Presion_cilindro!$B$9+10*(Presion_cilindro!$B$9-1)*Presion_cilindro!$B$33*(IF(Presion_cilindro!N384&gt;(-N$4+Presion_cilindro!$B$34),1-EXP(-Presion_cilindro!$B$16*((Presion_cilindro!N384-(-N$4+Presion_cilindro!$B$34))/Presion_cilindro!$B$35)^(Presion_cilindro!$B$17+1)),0)-IF(Presion_cilindro!N383&gt;(-N$4+Presion_cilindro!$B$34),1-EXP(-Presion_cilindro!$B$16*((Presion_cilindro!N383-(-N$4+Presion_cilindro!$B$34))/Presion_cilindro!$B$35)^(Presion_cilindro!$B$17+1)),0))/((Presion_cilindro!O383+Presion_cilindro!O384)/2)</f>
        <v>47.149643134758264</v>
      </c>
    </row>
    <row r="393" spans="1:14" x14ac:dyDescent="0.25">
      <c r="A393" s="21">
        <f>Presion_cilindro!N385</f>
        <v>10.5</v>
      </c>
      <c r="B393" s="27">
        <f>B392*(Presion_cilindro!O384/Presion_cilindro!O385)^Presion_cilindro!$B$9+10*(Presion_cilindro!$B$9-1)*Presion_cilindro!$B$33*(IF(Presion_cilindro!N385&gt;(-B$4+Presion_cilindro!$B$34),1-EXP(-Presion_cilindro!$B$16*((Presion_cilindro!N385-(-B$4+Presion_cilindro!$B$34))/Presion_cilindro!$B$35)^(Presion_cilindro!$B$17+1)),0)-IF(Presion_cilindro!N384&gt;(-B$4+Presion_cilindro!$B$34),1-EXP(-Presion_cilindro!$B$16*((Presion_cilindro!N384-(-B$4+Presion_cilindro!$B$34))/Presion_cilindro!$B$35)^(Presion_cilindro!$B$17+1)),0))/((Presion_cilindro!O384+Presion_cilindro!O385)/2)</f>
        <v>13.657520067292154</v>
      </c>
      <c r="C393" s="27">
        <f>C392*(Presion_cilindro!O384/Presion_cilindro!O385)^Presion_cilindro!$B$9+10*(Presion_cilindro!$B$9-1)*Presion_cilindro!$B$33*(IF(Presion_cilindro!N385&gt;(-C$4+Presion_cilindro!$B$34),1-EXP(-Presion_cilindro!$B$16*((Presion_cilindro!N385-(-C$4+Presion_cilindro!$B$34))/Presion_cilindro!$B$35)^(Presion_cilindro!$B$17+1)),0)-IF(Presion_cilindro!N384&gt;(-C$4+Presion_cilindro!$B$34),1-EXP(-Presion_cilindro!$B$16*((Presion_cilindro!N384-(-C$4+Presion_cilindro!$B$34))/Presion_cilindro!$B$35)^(Presion_cilindro!$B$17+1)),0))/((Presion_cilindro!O384+Presion_cilindro!O385)/2)</f>
        <v>14.284986208401623</v>
      </c>
      <c r="D393" s="27">
        <f>D392*(Presion_cilindro!O384/Presion_cilindro!O385)^Presion_cilindro!$B$9+10*(Presion_cilindro!$B$9-1)*Presion_cilindro!$B$33*(IF(Presion_cilindro!N385&gt;(-D$4+Presion_cilindro!$B$34),1-EXP(-Presion_cilindro!$B$16*((Presion_cilindro!N385-(-D$4+Presion_cilindro!$B$34))/Presion_cilindro!$B$35)^(Presion_cilindro!$B$17+1)),0)-IF(Presion_cilindro!N384&gt;(-D$4+Presion_cilindro!$B$34),1-EXP(-Presion_cilindro!$B$16*((Presion_cilindro!N384-(-D$4+Presion_cilindro!$B$34))/Presion_cilindro!$B$35)^(Presion_cilindro!$B$17+1)),0))/((Presion_cilindro!O384+Presion_cilindro!O385)/2)</f>
        <v>16.261305438209913</v>
      </c>
      <c r="E393" s="27">
        <f>E392*(Presion_cilindro!O384/Presion_cilindro!O385)^Presion_cilindro!$B$9+10*(Presion_cilindro!$B$9-1)*Presion_cilindro!$B$33*(IF(Presion_cilindro!N385&gt;(-E$4+Presion_cilindro!$B$34),1-EXP(-Presion_cilindro!$B$16*((Presion_cilindro!N385-(-E$4+Presion_cilindro!$B$34))/Presion_cilindro!$B$35)^(Presion_cilindro!$B$17+1)),0)-IF(Presion_cilindro!N384&gt;(-E$4+Presion_cilindro!$B$34),1-EXP(-Presion_cilindro!$B$16*((Presion_cilindro!N384-(-E$4+Presion_cilindro!$B$34))/Presion_cilindro!$B$35)^(Presion_cilindro!$B$17+1)),0))/((Presion_cilindro!O384+Presion_cilindro!O385)/2)</f>
        <v>19.983920575229028</v>
      </c>
      <c r="F393" s="27">
        <f>F392*(Presion_cilindro!O384/Presion_cilindro!O385)^Presion_cilindro!$B$9+10*(Presion_cilindro!$B$9-1)*Presion_cilindro!$B$33*(IF(Presion_cilindro!N385&gt;(-F$4+Presion_cilindro!$B$34),1-EXP(-Presion_cilindro!$B$16*((Presion_cilindro!N385-(-F$4+Presion_cilindro!$B$34))/Presion_cilindro!$B$35)^(Presion_cilindro!$B$17+1)),0)-IF(Presion_cilindro!N384&gt;(-F$4+Presion_cilindro!$B$34),1-EXP(-Presion_cilindro!$B$16*((Presion_cilindro!N384-(-F$4+Presion_cilindro!$B$34))/Presion_cilindro!$B$35)^(Presion_cilindro!$B$17+1)),0))/((Presion_cilindro!O384+Presion_cilindro!O385)/2)</f>
        <v>25.181218437363441</v>
      </c>
      <c r="G393" s="27">
        <f>G392*(Presion_cilindro!O384/Presion_cilindro!O385)^Presion_cilindro!$B$9+10*(Presion_cilindro!$B$9-1)*Presion_cilindro!$B$33*(IF(Presion_cilindro!N385&gt;(-G$4+Presion_cilindro!$B$34),1-EXP(-Presion_cilindro!$B$16*((Presion_cilindro!N385-(-G$4+Presion_cilindro!$B$34))/Presion_cilindro!$B$35)^(Presion_cilindro!$B$17+1)),0)-IF(Presion_cilindro!N384&gt;(-G$4+Presion_cilindro!$B$34),1-EXP(-Presion_cilindro!$B$16*((Presion_cilindro!N384-(-G$4+Presion_cilindro!$B$34))/Presion_cilindro!$B$35)^(Presion_cilindro!$B$17+1)),0))/((Presion_cilindro!O384+Presion_cilindro!O385)/2)</f>
        <v>30.890050339042443</v>
      </c>
      <c r="H393" s="27">
        <f>H392*(Presion_cilindro!O384/Presion_cilindro!O385)^Presion_cilindro!$B$9+10*(Presion_cilindro!$B$9-1)*Presion_cilindro!$B$33*(IF(Presion_cilindro!N385&gt;(-H$4+Presion_cilindro!$B$34),1-EXP(-Presion_cilindro!$B$16*((Presion_cilindro!N385-(-H$4+Presion_cilindro!$B$34))/Presion_cilindro!$B$35)^(Presion_cilindro!$B$17+1)),0)-IF(Presion_cilindro!N384&gt;(-H$4+Presion_cilindro!$B$34),1-EXP(-Presion_cilindro!$B$16*((Presion_cilindro!N384-(-H$4+Presion_cilindro!$B$34))/Presion_cilindro!$B$35)^(Presion_cilindro!$B$17+1)),0))/((Presion_cilindro!O384+Presion_cilindro!O385)/2)</f>
        <v>35.910951241424492</v>
      </c>
      <c r="I393" s="27">
        <f>I392*(Presion_cilindro!O384/Presion_cilindro!O385)^Presion_cilindro!$B$9+10*(Presion_cilindro!$B$9-1)*Presion_cilindro!$B$33*(IF(Presion_cilindro!N385&gt;(-I$4+Presion_cilindro!$B$34),1-EXP(-Presion_cilindro!$B$16*((Presion_cilindro!N385-(-I$4+Presion_cilindro!$B$34))/Presion_cilindro!$B$35)^(Presion_cilindro!$B$17+1)),0)-IF(Presion_cilindro!N384&gt;(-I$4+Presion_cilindro!$B$34),1-EXP(-Presion_cilindro!$B$16*((Presion_cilindro!N384-(-I$4+Presion_cilindro!$B$34))/Presion_cilindro!$B$35)^(Presion_cilindro!$B$17+1)),0))/((Presion_cilindro!O384+Presion_cilindro!O385)/2)</f>
        <v>39.49463902719058</v>
      </c>
      <c r="J393" s="27">
        <f>J392*(Presion_cilindro!O384/Presion_cilindro!O385)^Presion_cilindro!$B$9+10*(Presion_cilindro!$B$9-1)*Presion_cilindro!$B$33*(IF(Presion_cilindro!N385&gt;(-J$4+Presion_cilindro!$B$34),1-EXP(-Presion_cilindro!$B$16*((Presion_cilindro!N385-(-J$4+Presion_cilindro!$B$34))/Presion_cilindro!$B$35)^(Presion_cilindro!$B$17+1)),0)-IF(Presion_cilindro!N384&gt;(-J$4+Presion_cilindro!$B$34),1-EXP(-Presion_cilindro!$B$16*((Presion_cilindro!N384-(-J$4+Presion_cilindro!$B$34))/Presion_cilindro!$B$35)^(Presion_cilindro!$B$17+1)),0))/((Presion_cilindro!O384+Presion_cilindro!O385)/2)</f>
        <v>41.683454634307786</v>
      </c>
      <c r="K393" s="27">
        <f>K392*(Presion_cilindro!O384/Presion_cilindro!O385)^Presion_cilindro!$B$9+10*(Presion_cilindro!$B$9-1)*Presion_cilindro!$B$33*(IF(Presion_cilindro!N385&gt;(-K$4+Presion_cilindro!$B$34),1-EXP(-Presion_cilindro!$B$16*((Presion_cilindro!N385-(-K$4+Presion_cilindro!$B$34))/Presion_cilindro!$B$35)^(Presion_cilindro!$B$17+1)),0)-IF(Presion_cilindro!N384&gt;(-K$4+Presion_cilindro!$B$34),1-EXP(-Presion_cilindro!$B$16*((Presion_cilindro!N384-(-K$4+Presion_cilindro!$B$34))/Presion_cilindro!$B$35)^(Presion_cilindro!$B$17+1)),0))/((Presion_cilindro!O384+Presion_cilindro!O385)/2)</f>
        <v>43.0435263065567</v>
      </c>
      <c r="L393" s="27">
        <f>L392*(Presion_cilindro!O384/Presion_cilindro!O385)^Presion_cilindro!$B$9+10*(Presion_cilindro!$B$9-1)*Presion_cilindro!$B$33*(IF(Presion_cilindro!N385&gt;(-L$4+Presion_cilindro!$B$34),1-EXP(-Presion_cilindro!$B$16*((Presion_cilindro!N385-(-L$4+Presion_cilindro!$B$34))/Presion_cilindro!$B$35)^(Presion_cilindro!$B$17+1)),0)-IF(Presion_cilindro!N384&gt;(-L$4+Presion_cilindro!$B$34),1-EXP(-Presion_cilindro!$B$16*((Presion_cilindro!N384-(-L$4+Presion_cilindro!$B$34))/Presion_cilindro!$B$35)^(Presion_cilindro!$B$17+1)),0))/((Presion_cilindro!O384+Presion_cilindro!O385)/2)</f>
        <v>44.151734494915765</v>
      </c>
      <c r="M393" s="27">
        <f>M392*(Presion_cilindro!O384/Presion_cilindro!O385)^Presion_cilindro!$B$9+10*(Presion_cilindro!$B$9-1)*Presion_cilindro!$B$33*(IF(Presion_cilindro!N385&gt;(-M$4+Presion_cilindro!$B$34),1-EXP(-Presion_cilindro!$B$16*((Presion_cilindro!N385-(-M$4+Presion_cilindro!$B$34))/Presion_cilindro!$B$35)^(Presion_cilindro!$B$17+1)),0)-IF(Presion_cilindro!N384&gt;(-M$4+Presion_cilindro!$B$34),1-EXP(-Presion_cilindro!$B$16*((Presion_cilindro!N384-(-M$4+Presion_cilindro!$B$34))/Presion_cilindro!$B$35)^(Presion_cilindro!$B$17+1)),0))/((Presion_cilindro!O384+Presion_cilindro!O385)/2)</f>
        <v>45.321934833141484</v>
      </c>
      <c r="N393" s="27">
        <f>N392*(Presion_cilindro!O384/Presion_cilindro!O385)^Presion_cilindro!$B$9+10*(Presion_cilindro!$B$9-1)*Presion_cilindro!$B$33*(IF(Presion_cilindro!N385&gt;(-N$4+Presion_cilindro!$B$34),1-EXP(-Presion_cilindro!$B$16*((Presion_cilindro!N385-(-N$4+Presion_cilindro!$B$34))/Presion_cilindro!$B$35)^(Presion_cilindro!$B$17+1)),0)-IF(Presion_cilindro!N384&gt;(-N$4+Presion_cilindro!$B$34),1-EXP(-Presion_cilindro!$B$16*((Presion_cilindro!N384-(-N$4+Presion_cilindro!$B$34))/Presion_cilindro!$B$35)^(Presion_cilindro!$B$17+1)),0))/((Presion_cilindro!O384+Presion_cilindro!O385)/2)</f>
        <v>46.638546174299861</v>
      </c>
    </row>
    <row r="394" spans="1:14" x14ac:dyDescent="0.25">
      <c r="A394" s="21">
        <f>Presion_cilindro!N386</f>
        <v>11</v>
      </c>
      <c r="B394" s="27">
        <f>B393*(Presion_cilindro!O385/Presion_cilindro!O386)^Presion_cilindro!$B$9+10*(Presion_cilindro!$B$9-1)*Presion_cilindro!$B$33*(IF(Presion_cilindro!N386&gt;(-B$4+Presion_cilindro!$B$34),1-EXP(-Presion_cilindro!$B$16*((Presion_cilindro!N386-(-B$4+Presion_cilindro!$B$34))/Presion_cilindro!$B$35)^(Presion_cilindro!$B$17+1)),0)-IF(Presion_cilindro!N385&gt;(-B$4+Presion_cilindro!$B$34),1-EXP(-Presion_cilindro!$B$16*((Presion_cilindro!N385-(-B$4+Presion_cilindro!$B$34))/Presion_cilindro!$B$35)^(Presion_cilindro!$B$17+1)),0))/((Presion_cilindro!O385+Presion_cilindro!O386)/2)</f>
        <v>13.526076875975788</v>
      </c>
      <c r="C394" s="27">
        <f>C393*(Presion_cilindro!O385/Presion_cilindro!O386)^Presion_cilindro!$B$9+10*(Presion_cilindro!$B$9-1)*Presion_cilindro!$B$33*(IF(Presion_cilindro!N386&gt;(-C$4+Presion_cilindro!$B$34),1-EXP(-Presion_cilindro!$B$16*((Presion_cilindro!N386-(-C$4+Presion_cilindro!$B$34))/Presion_cilindro!$B$35)^(Presion_cilindro!$B$17+1)),0)-IF(Presion_cilindro!N385&gt;(-C$4+Presion_cilindro!$B$34),1-EXP(-Presion_cilindro!$B$16*((Presion_cilindro!N385-(-C$4+Presion_cilindro!$B$34))/Presion_cilindro!$B$35)^(Presion_cilindro!$B$17+1)),0))/((Presion_cilindro!O385+Presion_cilindro!O386)/2)</f>
        <v>14.250968471231843</v>
      </c>
      <c r="D394" s="27">
        <f>D393*(Presion_cilindro!O385/Presion_cilindro!O386)^Presion_cilindro!$B$9+10*(Presion_cilindro!$B$9-1)*Presion_cilindro!$B$33*(IF(Presion_cilindro!N386&gt;(-D$4+Presion_cilindro!$B$34),1-EXP(-Presion_cilindro!$B$16*((Presion_cilindro!N386-(-D$4+Presion_cilindro!$B$34))/Presion_cilindro!$B$35)^(Presion_cilindro!$B$17+1)),0)-IF(Presion_cilindro!N385&gt;(-D$4+Presion_cilindro!$B$34),1-EXP(-Presion_cilindro!$B$16*((Presion_cilindro!N385-(-D$4+Presion_cilindro!$B$34))/Presion_cilindro!$B$35)^(Presion_cilindro!$B$17+1)),0))/((Presion_cilindro!O385+Presion_cilindro!O386)/2)</f>
        <v>16.373404569724006</v>
      </c>
      <c r="E394" s="27">
        <f>E393*(Presion_cilindro!O385/Presion_cilindro!O386)^Presion_cilindro!$B$9+10*(Presion_cilindro!$B$9-1)*Presion_cilindro!$B$33*(IF(Presion_cilindro!N386&gt;(-E$4+Presion_cilindro!$B$34),1-EXP(-Presion_cilindro!$B$16*((Presion_cilindro!N386-(-E$4+Presion_cilindro!$B$34))/Presion_cilindro!$B$35)^(Presion_cilindro!$B$17+1)),0)-IF(Presion_cilindro!N385&gt;(-E$4+Presion_cilindro!$B$34),1-EXP(-Presion_cilindro!$B$16*((Presion_cilindro!N385-(-E$4+Presion_cilindro!$B$34))/Presion_cilindro!$B$35)^(Presion_cilindro!$B$17+1)),0))/((Presion_cilindro!O385+Presion_cilindro!O386)/2)</f>
        <v>20.230547591387953</v>
      </c>
      <c r="F394" s="27">
        <f>F393*(Presion_cilindro!O385/Presion_cilindro!O386)^Presion_cilindro!$B$9+10*(Presion_cilindro!$B$9-1)*Presion_cilindro!$B$33*(IF(Presion_cilindro!N386&gt;(-F$4+Presion_cilindro!$B$34),1-EXP(-Presion_cilindro!$B$16*((Presion_cilindro!N386-(-F$4+Presion_cilindro!$B$34))/Presion_cilindro!$B$35)^(Presion_cilindro!$B$17+1)),0)-IF(Presion_cilindro!N385&gt;(-F$4+Presion_cilindro!$B$34),1-EXP(-Presion_cilindro!$B$16*((Presion_cilindro!N385-(-F$4+Presion_cilindro!$B$34))/Presion_cilindro!$B$35)^(Presion_cilindro!$B$17+1)),0))/((Presion_cilindro!O385+Presion_cilindro!O386)/2)</f>
        <v>25.475851544301271</v>
      </c>
      <c r="G394" s="27">
        <f>G393*(Presion_cilindro!O385/Presion_cilindro!O386)^Presion_cilindro!$B$9+10*(Presion_cilindro!$B$9-1)*Presion_cilindro!$B$33*(IF(Presion_cilindro!N386&gt;(-G$4+Presion_cilindro!$B$34),1-EXP(-Presion_cilindro!$B$16*((Presion_cilindro!N386-(-G$4+Presion_cilindro!$B$34))/Presion_cilindro!$B$35)^(Presion_cilindro!$B$17+1)),0)-IF(Presion_cilindro!N385&gt;(-G$4+Presion_cilindro!$B$34),1-EXP(-Presion_cilindro!$B$16*((Presion_cilindro!N385-(-G$4+Presion_cilindro!$B$34))/Presion_cilindro!$B$35)^(Presion_cilindro!$B$17+1)),0))/((Presion_cilindro!O385+Presion_cilindro!O386)/2)</f>
        <v>31.101415195699492</v>
      </c>
      <c r="H394" s="27">
        <f>H393*(Presion_cilindro!O385/Presion_cilindro!O386)^Presion_cilindro!$B$9+10*(Presion_cilindro!$B$9-1)*Presion_cilindro!$B$33*(IF(Presion_cilindro!N386&gt;(-H$4+Presion_cilindro!$B$34),1-EXP(-Presion_cilindro!$B$16*((Presion_cilindro!N386-(-H$4+Presion_cilindro!$B$34))/Presion_cilindro!$B$35)^(Presion_cilindro!$B$17+1)),0)-IF(Presion_cilindro!N385&gt;(-H$4+Presion_cilindro!$B$34),1-EXP(-Presion_cilindro!$B$16*((Presion_cilindro!N385-(-H$4+Presion_cilindro!$B$34))/Presion_cilindro!$B$35)^(Presion_cilindro!$B$17+1)),0))/((Presion_cilindro!O385+Presion_cilindro!O386)/2)</f>
        <v>35.932930369584973</v>
      </c>
      <c r="I394" s="27">
        <f>I393*(Presion_cilindro!O385/Presion_cilindro!O386)^Presion_cilindro!$B$9+10*(Presion_cilindro!$B$9-1)*Presion_cilindro!$B$33*(IF(Presion_cilindro!N386&gt;(-I$4+Presion_cilindro!$B$34),1-EXP(-Presion_cilindro!$B$16*((Presion_cilindro!N386-(-I$4+Presion_cilindro!$B$34))/Presion_cilindro!$B$35)^(Presion_cilindro!$B$17+1)),0)-IF(Presion_cilindro!N385&gt;(-I$4+Presion_cilindro!$B$34),1-EXP(-Presion_cilindro!$B$16*((Presion_cilindro!N385-(-I$4+Presion_cilindro!$B$34))/Presion_cilindro!$B$35)^(Presion_cilindro!$B$17+1)),0))/((Presion_cilindro!O385+Presion_cilindro!O386)/2)</f>
        <v>39.302725139049201</v>
      </c>
      <c r="J394" s="27">
        <f>J393*(Presion_cilindro!O385/Presion_cilindro!O386)^Presion_cilindro!$B$9+10*(Presion_cilindro!$B$9-1)*Presion_cilindro!$B$33*(IF(Presion_cilindro!N386&gt;(-J$4+Presion_cilindro!$B$34),1-EXP(-Presion_cilindro!$B$16*((Presion_cilindro!N386-(-J$4+Presion_cilindro!$B$34))/Presion_cilindro!$B$35)^(Presion_cilindro!$B$17+1)),0)-IF(Presion_cilindro!N385&gt;(-J$4+Presion_cilindro!$B$34),1-EXP(-Presion_cilindro!$B$16*((Presion_cilindro!N385-(-J$4+Presion_cilindro!$B$34))/Presion_cilindro!$B$35)^(Presion_cilindro!$B$17+1)),0))/((Presion_cilindro!O385+Presion_cilindro!O386)/2)</f>
        <v>41.328319071068542</v>
      </c>
      <c r="K394" s="27">
        <f>K393*(Presion_cilindro!O385/Presion_cilindro!O386)^Presion_cilindro!$B$9+10*(Presion_cilindro!$B$9-1)*Presion_cilindro!$B$33*(IF(Presion_cilindro!N386&gt;(-K$4+Presion_cilindro!$B$34),1-EXP(-Presion_cilindro!$B$16*((Presion_cilindro!N386-(-K$4+Presion_cilindro!$B$34))/Presion_cilindro!$B$35)^(Presion_cilindro!$B$17+1)),0)-IF(Presion_cilindro!N385&gt;(-K$4+Presion_cilindro!$B$34),1-EXP(-Presion_cilindro!$B$16*((Presion_cilindro!N385-(-K$4+Presion_cilindro!$B$34))/Presion_cilindro!$B$35)^(Presion_cilindro!$B$17+1)),0))/((Presion_cilindro!O385+Presion_cilindro!O386)/2)</f>
        <v>42.597158879291634</v>
      </c>
      <c r="L394" s="27">
        <f>L393*(Presion_cilindro!O385/Presion_cilindro!O386)^Presion_cilindro!$B$9+10*(Presion_cilindro!$B$9-1)*Presion_cilindro!$B$33*(IF(Presion_cilindro!N386&gt;(-L$4+Presion_cilindro!$B$34),1-EXP(-Presion_cilindro!$B$16*((Presion_cilindro!N386-(-L$4+Presion_cilindro!$B$34))/Presion_cilindro!$B$35)^(Presion_cilindro!$B$17+1)),0)-IF(Presion_cilindro!N385&gt;(-L$4+Presion_cilindro!$B$34),1-EXP(-Presion_cilindro!$B$16*((Presion_cilindro!N385-(-L$4+Presion_cilindro!$B$34))/Presion_cilindro!$B$35)^(Presion_cilindro!$B$17+1)),0))/((Presion_cilindro!O385+Presion_cilindro!O386)/2)</f>
        <v>43.663720564932312</v>
      </c>
      <c r="M394" s="27">
        <f>M393*(Presion_cilindro!O385/Presion_cilindro!O386)^Presion_cilindro!$B$9+10*(Presion_cilindro!$B$9-1)*Presion_cilindro!$B$33*(IF(Presion_cilindro!N386&gt;(-M$4+Presion_cilindro!$B$34),1-EXP(-Presion_cilindro!$B$16*((Presion_cilindro!N386-(-M$4+Presion_cilindro!$B$34))/Presion_cilindro!$B$35)^(Presion_cilindro!$B$17+1)),0)-IF(Presion_cilindro!N385&gt;(-M$4+Presion_cilindro!$B$34),1-EXP(-Presion_cilindro!$B$16*((Presion_cilindro!N385-(-M$4+Presion_cilindro!$B$34))/Presion_cilindro!$B$35)^(Presion_cilindro!$B$17+1)),0))/((Presion_cilindro!O385+Presion_cilindro!O386)/2)</f>
        <v>44.812914099144429</v>
      </c>
      <c r="N394" s="27">
        <f>N393*(Presion_cilindro!O385/Presion_cilindro!O386)^Presion_cilindro!$B$9+10*(Presion_cilindro!$B$9-1)*Presion_cilindro!$B$33*(IF(Presion_cilindro!N386&gt;(-N$4+Presion_cilindro!$B$34),1-EXP(-Presion_cilindro!$B$16*((Presion_cilindro!N386-(-N$4+Presion_cilindro!$B$34))/Presion_cilindro!$B$35)^(Presion_cilindro!$B$17+1)),0)-IF(Presion_cilindro!N385&gt;(-N$4+Presion_cilindro!$B$34),1-EXP(-Presion_cilindro!$B$16*((Presion_cilindro!N385-(-N$4+Presion_cilindro!$B$34))/Presion_cilindro!$B$35)^(Presion_cilindro!$B$17+1)),0))/((Presion_cilindro!O385+Presion_cilindro!O386)/2)</f>
        <v>46.113247125078097</v>
      </c>
    </row>
    <row r="395" spans="1:14" x14ac:dyDescent="0.25">
      <c r="A395" s="21">
        <f>Presion_cilindro!N387</f>
        <v>11.5</v>
      </c>
      <c r="B395" s="27">
        <f>B394*(Presion_cilindro!O386/Presion_cilindro!O387)^Presion_cilindro!$B$9+10*(Presion_cilindro!$B$9-1)*Presion_cilindro!$B$33*(IF(Presion_cilindro!N387&gt;(-B$4+Presion_cilindro!$B$34),1-EXP(-Presion_cilindro!$B$16*((Presion_cilindro!N387-(-B$4+Presion_cilindro!$B$34))/Presion_cilindro!$B$35)^(Presion_cilindro!$B$17+1)),0)-IF(Presion_cilindro!N386&gt;(-B$4+Presion_cilindro!$B$34),1-EXP(-Presion_cilindro!$B$16*((Presion_cilindro!N386-(-B$4+Presion_cilindro!$B$34))/Presion_cilindro!$B$35)^(Presion_cilindro!$B$17+1)),0))/((Presion_cilindro!O386+Presion_cilindro!O387)/2)</f>
        <v>13.397056604597266</v>
      </c>
      <c r="C395" s="27">
        <f>C394*(Presion_cilindro!O386/Presion_cilindro!O387)^Presion_cilindro!$B$9+10*(Presion_cilindro!$B$9-1)*Presion_cilindro!$B$33*(IF(Presion_cilindro!N387&gt;(-C$4+Presion_cilindro!$B$34),1-EXP(-Presion_cilindro!$B$16*((Presion_cilindro!N387-(-C$4+Presion_cilindro!$B$34))/Presion_cilindro!$B$35)^(Presion_cilindro!$B$17+1)),0)-IF(Presion_cilindro!N386&gt;(-C$4+Presion_cilindro!$B$34),1-EXP(-Presion_cilindro!$B$16*((Presion_cilindro!N386-(-C$4+Presion_cilindro!$B$34))/Presion_cilindro!$B$35)^(Presion_cilindro!$B$17+1)),0))/((Presion_cilindro!O386+Presion_cilindro!O387)/2)</f>
        <v>14.224879292380255</v>
      </c>
      <c r="D395" s="27">
        <f>D394*(Presion_cilindro!O386/Presion_cilindro!O387)^Presion_cilindro!$B$9+10*(Presion_cilindro!$B$9-1)*Presion_cilindro!$B$33*(IF(Presion_cilindro!N387&gt;(-D$4+Presion_cilindro!$B$34),1-EXP(-Presion_cilindro!$B$16*((Presion_cilindro!N387-(-D$4+Presion_cilindro!$B$34))/Presion_cilindro!$B$35)^(Presion_cilindro!$B$17+1)),0)-IF(Presion_cilindro!N386&gt;(-D$4+Presion_cilindro!$B$34),1-EXP(-Presion_cilindro!$B$16*((Presion_cilindro!N386-(-D$4+Presion_cilindro!$B$34))/Presion_cilindro!$B$35)^(Presion_cilindro!$B$17+1)),0))/((Presion_cilindro!O386+Presion_cilindro!O387)/2)</f>
        <v>16.493327163974488</v>
      </c>
      <c r="E395" s="27">
        <f>E394*(Presion_cilindro!O386/Presion_cilindro!O387)^Presion_cilindro!$B$9+10*(Presion_cilindro!$B$9-1)*Presion_cilindro!$B$33*(IF(Presion_cilindro!N387&gt;(-E$4+Presion_cilindro!$B$34),1-EXP(-Presion_cilindro!$B$16*((Presion_cilindro!N387-(-E$4+Presion_cilindro!$B$34))/Presion_cilindro!$B$35)^(Presion_cilindro!$B$17+1)),0)-IF(Presion_cilindro!N386&gt;(-E$4+Presion_cilindro!$B$34),1-EXP(-Presion_cilindro!$B$16*((Presion_cilindro!N386-(-E$4+Presion_cilindro!$B$34))/Presion_cilindro!$B$35)^(Presion_cilindro!$B$17+1)),0))/((Presion_cilindro!O386+Presion_cilindro!O387)/2)</f>
        <v>20.476991421905989</v>
      </c>
      <c r="F395" s="27">
        <f>F394*(Presion_cilindro!O386/Presion_cilindro!O387)^Presion_cilindro!$B$9+10*(Presion_cilindro!$B$9-1)*Presion_cilindro!$B$33*(IF(Presion_cilindro!N387&gt;(-F$4+Presion_cilindro!$B$34),1-EXP(-Presion_cilindro!$B$16*((Presion_cilindro!N387-(-F$4+Presion_cilindro!$B$34))/Presion_cilindro!$B$35)^(Presion_cilindro!$B$17+1)),0)-IF(Presion_cilindro!N386&gt;(-F$4+Presion_cilindro!$B$34),1-EXP(-Presion_cilindro!$B$16*((Presion_cilindro!N386-(-F$4+Presion_cilindro!$B$34))/Presion_cilindro!$B$35)^(Presion_cilindro!$B$17+1)),0))/((Presion_cilindro!O386+Presion_cilindro!O387)/2)</f>
        <v>25.755886165343625</v>
      </c>
      <c r="G395" s="27">
        <f>G394*(Presion_cilindro!O386/Presion_cilindro!O387)^Presion_cilindro!$B$9+10*(Presion_cilindro!$B$9-1)*Presion_cilindro!$B$33*(IF(Presion_cilindro!N387&gt;(-G$4+Presion_cilindro!$B$34),1-EXP(-Presion_cilindro!$B$16*((Presion_cilindro!N387-(-G$4+Presion_cilindro!$B$34))/Presion_cilindro!$B$35)^(Presion_cilindro!$B$17+1)),0)-IF(Presion_cilindro!N386&gt;(-G$4+Presion_cilindro!$B$34),1-EXP(-Presion_cilindro!$B$16*((Presion_cilindro!N386-(-G$4+Presion_cilindro!$B$34))/Presion_cilindro!$B$35)^(Presion_cilindro!$B$17+1)),0))/((Presion_cilindro!O386+Presion_cilindro!O387)/2)</f>
        <v>31.283895537028013</v>
      </c>
      <c r="H395" s="27">
        <f>H394*(Presion_cilindro!O386/Presion_cilindro!O387)^Presion_cilindro!$B$9+10*(Presion_cilindro!$B$9-1)*Presion_cilindro!$B$33*(IF(Presion_cilindro!N387&gt;(-H$4+Presion_cilindro!$B$34),1-EXP(-Presion_cilindro!$B$16*((Presion_cilindro!N387-(-H$4+Presion_cilindro!$B$34))/Presion_cilindro!$B$35)^(Presion_cilindro!$B$17+1)),0)-IF(Presion_cilindro!N386&gt;(-H$4+Presion_cilindro!$B$34),1-EXP(-Presion_cilindro!$B$16*((Presion_cilindro!N386-(-H$4+Presion_cilindro!$B$34))/Presion_cilindro!$B$35)^(Presion_cilindro!$B$17+1)),0))/((Presion_cilindro!O386+Presion_cilindro!O387)/2)</f>
        <v>35.919434232377235</v>
      </c>
      <c r="I395" s="27">
        <f>I394*(Presion_cilindro!O386/Presion_cilindro!O387)^Presion_cilindro!$B$9+10*(Presion_cilindro!$B$9-1)*Presion_cilindro!$B$33*(IF(Presion_cilindro!N387&gt;(-I$4+Presion_cilindro!$B$34),1-EXP(-Presion_cilindro!$B$16*((Presion_cilindro!N387-(-I$4+Presion_cilindro!$B$34))/Presion_cilindro!$B$35)^(Presion_cilindro!$B$17+1)),0)-IF(Presion_cilindro!N386&gt;(-I$4+Presion_cilindro!$B$34),1-EXP(-Presion_cilindro!$B$16*((Presion_cilindro!N386-(-I$4+Presion_cilindro!$B$34))/Presion_cilindro!$B$35)^(Presion_cilindro!$B$17+1)),0))/((Presion_cilindro!O386+Presion_cilindro!O387)/2)</f>
        <v>39.078503378099128</v>
      </c>
      <c r="J395" s="27">
        <f>J394*(Presion_cilindro!O386/Presion_cilindro!O387)^Presion_cilindro!$B$9+10*(Presion_cilindro!$B$9-1)*Presion_cilindro!$B$33*(IF(Presion_cilindro!N387&gt;(-J$4+Presion_cilindro!$B$34),1-EXP(-Presion_cilindro!$B$16*((Presion_cilindro!N387-(-J$4+Presion_cilindro!$B$34))/Presion_cilindro!$B$35)^(Presion_cilindro!$B$17+1)),0)-IF(Presion_cilindro!N386&gt;(-J$4+Presion_cilindro!$B$34),1-EXP(-Presion_cilindro!$B$16*((Presion_cilindro!N386-(-J$4+Presion_cilindro!$B$34))/Presion_cilindro!$B$35)^(Presion_cilindro!$B$17+1)),0))/((Presion_cilindro!O386+Presion_cilindro!O387)/2)</f>
        <v>40.948985962570035</v>
      </c>
      <c r="K395" s="27">
        <f>K394*(Presion_cilindro!O386/Presion_cilindro!O387)^Presion_cilindro!$B$9+10*(Presion_cilindro!$B$9-1)*Presion_cilindro!$B$33*(IF(Presion_cilindro!N387&gt;(-K$4+Presion_cilindro!$B$34),1-EXP(-Presion_cilindro!$B$16*((Presion_cilindro!N387-(-K$4+Presion_cilindro!$B$34))/Presion_cilindro!$B$35)^(Presion_cilindro!$B$17+1)),0)-IF(Presion_cilindro!N386&gt;(-K$4+Presion_cilindro!$B$34),1-EXP(-Presion_cilindro!$B$16*((Presion_cilindro!N386-(-K$4+Presion_cilindro!$B$34))/Presion_cilindro!$B$35)^(Presion_cilindro!$B$17+1)),0))/((Presion_cilindro!O386+Presion_cilindro!O387)/2)</f>
        <v>42.133526849100541</v>
      </c>
      <c r="L395" s="27">
        <f>L394*(Presion_cilindro!O386/Presion_cilindro!O387)^Presion_cilindro!$B$9+10*(Presion_cilindro!$B$9-1)*Presion_cilindro!$B$33*(IF(Presion_cilindro!N387&gt;(-L$4+Presion_cilindro!$B$34),1-EXP(-Presion_cilindro!$B$16*((Presion_cilindro!N387-(-L$4+Presion_cilindro!$B$34))/Presion_cilindro!$B$35)^(Presion_cilindro!$B$17+1)),0)-IF(Presion_cilindro!N386&gt;(-L$4+Presion_cilindro!$B$34),1-EXP(-Presion_cilindro!$B$16*((Presion_cilindro!N386-(-L$4+Presion_cilindro!$B$34))/Presion_cilindro!$B$35)^(Presion_cilindro!$B$17+1)),0))/((Presion_cilindro!O386+Presion_cilindro!O387)/2)</f>
        <v>43.161873264108351</v>
      </c>
      <c r="M395" s="27">
        <f>M394*(Presion_cilindro!O386/Presion_cilindro!O387)^Presion_cilindro!$B$9+10*(Presion_cilindro!$B$9-1)*Presion_cilindro!$B$33*(IF(Presion_cilindro!N387&gt;(-M$4+Presion_cilindro!$B$34),1-EXP(-Presion_cilindro!$B$16*((Presion_cilindro!N387-(-M$4+Presion_cilindro!$B$34))/Presion_cilindro!$B$35)^(Presion_cilindro!$B$17+1)),0)-IF(Presion_cilindro!N386&gt;(-M$4+Presion_cilindro!$B$34),1-EXP(-Presion_cilindro!$B$16*((Presion_cilindro!N386-(-M$4+Presion_cilindro!$B$34))/Presion_cilindro!$B$35)^(Presion_cilindro!$B$17+1)),0))/((Presion_cilindro!O386+Presion_cilindro!O387)/2)</f>
        <v>44.290986409175147</v>
      </c>
      <c r="N395" s="27">
        <f>N394*(Presion_cilindro!O386/Presion_cilindro!O387)^Presion_cilindro!$B$9+10*(Presion_cilindro!$B$9-1)*Presion_cilindro!$B$33*(IF(Presion_cilindro!N387&gt;(-N$4+Presion_cilindro!$B$34),1-EXP(-Presion_cilindro!$B$16*((Presion_cilindro!N387-(-N$4+Presion_cilindro!$B$34))/Presion_cilindro!$B$35)^(Presion_cilindro!$B$17+1)),0)-IF(Presion_cilindro!N386&gt;(-N$4+Presion_cilindro!$B$34),1-EXP(-Presion_cilindro!$B$16*((Presion_cilindro!N386-(-N$4+Presion_cilindro!$B$34))/Presion_cilindro!$B$35)^(Presion_cilindro!$B$17+1)),0))/((Presion_cilindro!O386+Presion_cilindro!O387)/2)</f>
        <v>45.574952810977578</v>
      </c>
    </row>
    <row r="396" spans="1:14" x14ac:dyDescent="0.25">
      <c r="A396" s="21">
        <f>Presion_cilindro!N388</f>
        <v>12</v>
      </c>
      <c r="B396" s="27">
        <f>B395*(Presion_cilindro!O387/Presion_cilindro!O388)^Presion_cilindro!$B$9+10*(Presion_cilindro!$B$9-1)*Presion_cilindro!$B$33*(IF(Presion_cilindro!N388&gt;(-B$4+Presion_cilindro!$B$34),1-EXP(-Presion_cilindro!$B$16*((Presion_cilindro!N388-(-B$4+Presion_cilindro!$B$34))/Presion_cilindro!$B$35)^(Presion_cilindro!$B$17+1)),0)-IF(Presion_cilindro!N387&gt;(-B$4+Presion_cilindro!$B$34),1-EXP(-Presion_cilindro!$B$16*((Presion_cilindro!N387-(-B$4+Presion_cilindro!$B$34))/Presion_cilindro!$B$35)^(Presion_cilindro!$B$17+1)),0))/((Presion_cilindro!O387+Presion_cilindro!O388)/2)</f>
        <v>13.271440362613252</v>
      </c>
      <c r="C396" s="27">
        <f>C395*(Presion_cilindro!O387/Presion_cilindro!O388)^Presion_cilindro!$B$9+10*(Presion_cilindro!$B$9-1)*Presion_cilindro!$B$33*(IF(Presion_cilindro!N388&gt;(-C$4+Presion_cilindro!$B$34),1-EXP(-Presion_cilindro!$B$16*((Presion_cilindro!N388-(-C$4+Presion_cilindro!$B$34))/Presion_cilindro!$B$35)^(Presion_cilindro!$B$17+1)),0)-IF(Presion_cilindro!N387&gt;(-C$4+Presion_cilindro!$B$34),1-EXP(-Presion_cilindro!$B$16*((Presion_cilindro!N387-(-C$4+Presion_cilindro!$B$34))/Presion_cilindro!$B$35)^(Presion_cilindro!$B$17+1)),0))/((Presion_cilindro!O387+Presion_cilindro!O388)/2)</f>
        <v>14.207170030568182</v>
      </c>
      <c r="D396" s="27">
        <f>D395*(Presion_cilindro!O387/Presion_cilindro!O388)^Presion_cilindro!$B$9+10*(Presion_cilindro!$B$9-1)*Presion_cilindro!$B$33*(IF(Presion_cilindro!N388&gt;(-D$4+Presion_cilindro!$B$34),1-EXP(-Presion_cilindro!$B$16*((Presion_cilindro!N388-(-D$4+Presion_cilindro!$B$34))/Presion_cilindro!$B$35)^(Presion_cilindro!$B$17+1)),0)-IF(Presion_cilindro!N387&gt;(-D$4+Presion_cilindro!$B$34),1-EXP(-Presion_cilindro!$B$16*((Presion_cilindro!N387-(-D$4+Presion_cilindro!$B$34))/Presion_cilindro!$B$35)^(Presion_cilindro!$B$17+1)),0))/((Presion_cilindro!O387+Presion_cilindro!O388)/2)</f>
        <v>16.620736311796989</v>
      </c>
      <c r="E396" s="27">
        <f>E395*(Presion_cilindro!O387/Presion_cilindro!O388)^Presion_cilindro!$B$9+10*(Presion_cilindro!$B$9-1)*Presion_cilindro!$B$33*(IF(Presion_cilindro!N388&gt;(-E$4+Presion_cilindro!$B$34),1-EXP(-Presion_cilindro!$B$16*((Presion_cilindro!N388-(-E$4+Presion_cilindro!$B$34))/Presion_cilindro!$B$35)^(Presion_cilindro!$B$17+1)),0)-IF(Presion_cilindro!N387&gt;(-E$4+Presion_cilindro!$B$34),1-EXP(-Presion_cilindro!$B$16*((Presion_cilindro!N387-(-E$4+Presion_cilindro!$B$34))/Presion_cilindro!$B$35)^(Presion_cilindro!$B$17+1)),0))/((Presion_cilindro!O387+Presion_cilindro!O388)/2)</f>
        <v>20.722164669843053</v>
      </c>
      <c r="F396" s="27">
        <f>F395*(Presion_cilindro!O387/Presion_cilindro!O388)^Presion_cilindro!$B$9+10*(Presion_cilindro!$B$9-1)*Presion_cilindro!$B$33*(IF(Presion_cilindro!N388&gt;(-F$4+Presion_cilindro!$B$34),1-EXP(-Presion_cilindro!$B$16*((Presion_cilindro!N388-(-F$4+Presion_cilindro!$B$34))/Presion_cilindro!$B$35)^(Presion_cilindro!$B$17+1)),0)-IF(Presion_cilindro!N387&gt;(-F$4+Presion_cilindro!$B$34),1-EXP(-Presion_cilindro!$B$16*((Presion_cilindro!N387-(-F$4+Presion_cilindro!$B$34))/Presion_cilindro!$B$35)^(Presion_cilindro!$B$17+1)),0))/((Presion_cilindro!O387+Presion_cilindro!O388)/2)</f>
        <v>26.020072239457129</v>
      </c>
      <c r="G396" s="27">
        <f>G395*(Presion_cilindro!O387/Presion_cilindro!O388)^Presion_cilindro!$B$9+10*(Presion_cilindro!$B$9-1)*Presion_cilindro!$B$33*(IF(Presion_cilindro!N388&gt;(-G$4+Presion_cilindro!$B$34),1-EXP(-Presion_cilindro!$B$16*((Presion_cilindro!N388-(-G$4+Presion_cilindro!$B$34))/Presion_cilindro!$B$35)^(Presion_cilindro!$B$17+1)),0)-IF(Presion_cilindro!N387&gt;(-G$4+Presion_cilindro!$B$34),1-EXP(-Presion_cilindro!$B$16*((Presion_cilindro!N387-(-G$4+Presion_cilindro!$B$34))/Presion_cilindro!$B$35)^(Presion_cilindro!$B$17+1)),0))/((Presion_cilindro!O387+Presion_cilindro!O388)/2)</f>
        <v>31.436991676431749</v>
      </c>
      <c r="H396" s="27">
        <f>H395*(Presion_cilindro!O387/Presion_cilindro!O388)^Presion_cilindro!$B$9+10*(Presion_cilindro!$B$9-1)*Presion_cilindro!$B$33*(IF(Presion_cilindro!N388&gt;(-H$4+Presion_cilindro!$B$34),1-EXP(-Presion_cilindro!$B$16*((Presion_cilindro!N388-(-H$4+Presion_cilindro!$B$34))/Presion_cilindro!$B$35)^(Presion_cilindro!$B$17+1)),0)-IF(Presion_cilindro!N387&gt;(-H$4+Presion_cilindro!$B$34),1-EXP(-Presion_cilindro!$B$16*((Presion_cilindro!N387-(-H$4+Presion_cilindro!$B$34))/Presion_cilindro!$B$35)^(Presion_cilindro!$B$17+1)),0))/((Presion_cilindro!O387+Presion_cilindro!O388)/2)</f>
        <v>35.871241018750744</v>
      </c>
      <c r="I396" s="27">
        <f>I395*(Presion_cilindro!O387/Presion_cilindro!O388)^Presion_cilindro!$B$9+10*(Presion_cilindro!$B$9-1)*Presion_cilindro!$B$33*(IF(Presion_cilindro!N388&gt;(-I$4+Presion_cilindro!$B$34),1-EXP(-Presion_cilindro!$B$16*((Presion_cilindro!N388-(-I$4+Presion_cilindro!$B$34))/Presion_cilindro!$B$35)^(Presion_cilindro!$B$17+1)),0)-IF(Presion_cilindro!N387&gt;(-I$4+Presion_cilindro!$B$34),1-EXP(-Presion_cilindro!$B$16*((Presion_cilindro!N387-(-I$4+Presion_cilindro!$B$34))/Presion_cilindro!$B$35)^(Presion_cilindro!$B$17+1)),0))/((Presion_cilindro!O387+Presion_cilindro!O388)/2)</f>
        <v>38.823711729063852</v>
      </c>
      <c r="J396" s="27">
        <f>J395*(Presion_cilindro!O387/Presion_cilindro!O388)^Presion_cilindro!$B$9+10*(Presion_cilindro!$B$9-1)*Presion_cilindro!$B$33*(IF(Presion_cilindro!N388&gt;(-J$4+Presion_cilindro!$B$34),1-EXP(-Presion_cilindro!$B$16*((Presion_cilindro!N388-(-J$4+Presion_cilindro!$B$34))/Presion_cilindro!$B$35)^(Presion_cilindro!$B$17+1)),0)-IF(Presion_cilindro!N387&gt;(-J$4+Presion_cilindro!$B$34),1-EXP(-Presion_cilindro!$B$16*((Presion_cilindro!N387-(-J$4+Presion_cilindro!$B$34))/Presion_cilindro!$B$35)^(Presion_cilindro!$B$17+1)),0))/((Presion_cilindro!O387+Presion_cilindro!O388)/2)</f>
        <v>40.547385280638672</v>
      </c>
      <c r="K396" s="27">
        <f>K395*(Presion_cilindro!O387/Presion_cilindro!O388)^Presion_cilindro!$B$9+10*(Presion_cilindro!$B$9-1)*Presion_cilindro!$B$33*(IF(Presion_cilindro!N388&gt;(-K$4+Presion_cilindro!$B$34),1-EXP(-Presion_cilindro!$B$16*((Presion_cilindro!N388-(-K$4+Presion_cilindro!$B$34))/Presion_cilindro!$B$35)^(Presion_cilindro!$B$17+1)),0)-IF(Presion_cilindro!N387&gt;(-K$4+Presion_cilindro!$B$34),1-EXP(-Presion_cilindro!$B$16*((Presion_cilindro!N387-(-K$4+Presion_cilindro!$B$34))/Presion_cilindro!$B$35)^(Presion_cilindro!$B$17+1)),0))/((Presion_cilindro!O387+Presion_cilindro!O388)/2)</f>
        <v>41.654266441470277</v>
      </c>
      <c r="L396" s="27">
        <f>L395*(Presion_cilindro!O387/Presion_cilindro!O388)^Presion_cilindro!$B$9+10*(Presion_cilindro!$B$9-1)*Presion_cilindro!$B$33*(IF(Presion_cilindro!N388&gt;(-L$4+Presion_cilindro!$B$34),1-EXP(-Presion_cilindro!$B$16*((Presion_cilindro!N388-(-L$4+Presion_cilindro!$B$34))/Presion_cilindro!$B$35)^(Presion_cilindro!$B$17+1)),0)-IF(Presion_cilindro!N387&gt;(-L$4+Presion_cilindro!$B$34),1-EXP(-Presion_cilindro!$B$16*((Presion_cilindro!N387-(-L$4+Presion_cilindro!$B$34))/Presion_cilindro!$B$35)^(Presion_cilindro!$B$17+1)),0))/((Presion_cilindro!O387+Presion_cilindro!O388)/2)</f>
        <v>42.647527519320825</v>
      </c>
      <c r="M396" s="27">
        <f>M395*(Presion_cilindro!O387/Presion_cilindro!O388)^Presion_cilindro!$B$9+10*(Presion_cilindro!$B$9-1)*Presion_cilindro!$B$33*(IF(Presion_cilindro!N388&gt;(-M$4+Presion_cilindro!$B$34),1-EXP(-Presion_cilindro!$B$16*((Presion_cilindro!N388-(-M$4+Presion_cilindro!$B$34))/Presion_cilindro!$B$35)^(Presion_cilindro!$B$17+1)),0)-IF(Presion_cilindro!N387&gt;(-M$4+Presion_cilindro!$B$34),1-EXP(-Presion_cilindro!$B$16*((Presion_cilindro!N387-(-M$4+Presion_cilindro!$B$34))/Presion_cilindro!$B$35)^(Presion_cilindro!$B$17+1)),0))/((Presion_cilindro!O387+Presion_cilindro!O388)/2)</f>
        <v>43.757358485043298</v>
      </c>
      <c r="N396" s="27">
        <f>N395*(Presion_cilindro!O387/Presion_cilindro!O388)^Presion_cilindro!$B$9+10*(Presion_cilindro!$B$9-1)*Presion_cilindro!$B$33*(IF(Presion_cilindro!N388&gt;(-N$4+Presion_cilindro!$B$34),1-EXP(-Presion_cilindro!$B$16*((Presion_cilindro!N388-(-N$4+Presion_cilindro!$B$34))/Presion_cilindro!$B$35)^(Presion_cilindro!$B$17+1)),0)-IF(Presion_cilindro!N387&gt;(-N$4+Presion_cilindro!$B$34),1-EXP(-Presion_cilindro!$B$16*((Presion_cilindro!N387-(-N$4+Presion_cilindro!$B$34))/Presion_cilindro!$B$35)^(Presion_cilindro!$B$17+1)),0))/((Presion_cilindro!O387+Presion_cilindro!O388)/2)</f>
        <v>45.024858374956985</v>
      </c>
    </row>
    <row r="397" spans="1:14" x14ac:dyDescent="0.25">
      <c r="A397" s="21">
        <f>Presion_cilindro!N389</f>
        <v>12.5</v>
      </c>
      <c r="B397" s="27">
        <f>B396*(Presion_cilindro!O388/Presion_cilindro!O389)^Presion_cilindro!$B$9+10*(Presion_cilindro!$B$9-1)*Presion_cilindro!$B$33*(IF(Presion_cilindro!N389&gt;(-B$4+Presion_cilindro!$B$34),1-EXP(-Presion_cilindro!$B$16*((Presion_cilindro!N389-(-B$4+Presion_cilindro!$B$34))/Presion_cilindro!$B$35)^(Presion_cilindro!$B$17+1)),0)-IF(Presion_cilindro!N388&gt;(-B$4+Presion_cilindro!$B$34),1-EXP(-Presion_cilindro!$B$16*((Presion_cilindro!N388-(-B$4+Presion_cilindro!$B$34))/Presion_cilindro!$B$35)^(Presion_cilindro!$B$17+1)),0))/((Presion_cilindro!O388+Presion_cilindro!O389)/2)</f>
        <v>13.15015362812054</v>
      </c>
      <c r="C397" s="27">
        <f>C396*(Presion_cilindro!O388/Presion_cilindro!O389)^Presion_cilindro!$B$9+10*(Presion_cilindro!$B$9-1)*Presion_cilindro!$B$33*(IF(Presion_cilindro!N389&gt;(-C$4+Presion_cilindro!$B$34),1-EXP(-Presion_cilindro!$B$16*((Presion_cilindro!N389-(-C$4+Presion_cilindro!$B$34))/Presion_cilindro!$B$35)^(Presion_cilindro!$B$17+1)),0)-IF(Presion_cilindro!N388&gt;(-C$4+Presion_cilindro!$B$34),1-EXP(-Presion_cilindro!$B$16*((Presion_cilindro!N388-(-C$4+Presion_cilindro!$B$34))/Presion_cilindro!$B$35)^(Presion_cilindro!$B$17+1)),0))/((Presion_cilindro!O388+Presion_cilindro!O389)/2)</f>
        <v>14.198211738558514</v>
      </c>
      <c r="D397" s="27">
        <f>D396*(Presion_cilindro!O388/Presion_cilindro!O389)^Presion_cilindro!$B$9+10*(Presion_cilindro!$B$9-1)*Presion_cilindro!$B$33*(IF(Presion_cilindro!N389&gt;(-D$4+Presion_cilindro!$B$34),1-EXP(-Presion_cilindro!$B$16*((Presion_cilindro!N389-(-D$4+Presion_cilindro!$B$34))/Presion_cilindro!$B$35)^(Presion_cilindro!$B$17+1)),0)-IF(Presion_cilindro!N388&gt;(-D$4+Presion_cilindro!$B$34),1-EXP(-Presion_cilindro!$B$16*((Presion_cilindro!N388-(-D$4+Presion_cilindro!$B$34))/Presion_cilindro!$B$35)^(Presion_cilindro!$B$17+1)),0))/((Presion_cilindro!O388+Presion_cilindro!O389)/2)</f>
        <v>16.755213283294829</v>
      </c>
      <c r="E397" s="27">
        <f>E396*(Presion_cilindro!O388/Presion_cilindro!O389)^Presion_cilindro!$B$9+10*(Presion_cilindro!$B$9-1)*Presion_cilindro!$B$33*(IF(Presion_cilindro!N389&gt;(-E$4+Presion_cilindro!$B$34),1-EXP(-Presion_cilindro!$B$16*((Presion_cilindro!N389-(-E$4+Presion_cilindro!$B$34))/Presion_cilindro!$B$35)^(Presion_cilindro!$B$17+1)),0)-IF(Presion_cilindro!N388&gt;(-E$4+Presion_cilindro!$B$34),1-EXP(-Presion_cilindro!$B$16*((Presion_cilindro!N388-(-E$4+Presion_cilindro!$B$34))/Presion_cilindro!$B$35)^(Presion_cilindro!$B$17+1)),0))/((Presion_cilindro!O388+Presion_cilindro!O389)/2)</f>
        <v>20.964951393735539</v>
      </c>
      <c r="F397" s="27">
        <f>F396*(Presion_cilindro!O388/Presion_cilindro!O389)^Presion_cilindro!$B$9+10*(Presion_cilindro!$B$9-1)*Presion_cilindro!$B$33*(IF(Presion_cilindro!N389&gt;(-F$4+Presion_cilindro!$B$34),1-EXP(-Presion_cilindro!$B$16*((Presion_cilindro!N389-(-F$4+Presion_cilindro!$B$34))/Presion_cilindro!$B$35)^(Presion_cilindro!$B$17+1)),0)-IF(Presion_cilindro!N388&gt;(-F$4+Presion_cilindro!$B$34),1-EXP(-Presion_cilindro!$B$16*((Presion_cilindro!N388-(-F$4+Presion_cilindro!$B$34))/Presion_cilindro!$B$35)^(Presion_cilindro!$B$17+1)),0))/((Presion_cilindro!O388+Presion_cilindro!O389)/2)</f>
        <v>26.267234035996477</v>
      </c>
      <c r="G397" s="27">
        <f>G396*(Presion_cilindro!O388/Presion_cilindro!O389)^Presion_cilindro!$B$9+10*(Presion_cilindro!$B$9-1)*Presion_cilindro!$B$33*(IF(Presion_cilindro!N389&gt;(-G$4+Presion_cilindro!$B$34),1-EXP(-Presion_cilindro!$B$16*((Presion_cilindro!N389-(-G$4+Presion_cilindro!$B$34))/Presion_cilindro!$B$35)^(Presion_cilindro!$B$17+1)),0)-IF(Presion_cilindro!N388&gt;(-G$4+Presion_cilindro!$B$34),1-EXP(-Presion_cilindro!$B$16*((Presion_cilindro!N388-(-G$4+Presion_cilindro!$B$34))/Presion_cilindro!$B$35)^(Presion_cilindro!$B$17+1)),0))/((Presion_cilindro!O388+Presion_cilindro!O389)/2)</f>
        <v>31.560363641037458</v>
      </c>
      <c r="H397" s="27">
        <f>H396*(Presion_cilindro!O388/Presion_cilindro!O389)^Presion_cilindro!$B$9+10*(Presion_cilindro!$B$9-1)*Presion_cilindro!$B$33*(IF(Presion_cilindro!N389&gt;(-H$4+Presion_cilindro!$B$34),1-EXP(-Presion_cilindro!$B$16*((Presion_cilindro!N389-(-H$4+Presion_cilindro!$B$34))/Presion_cilindro!$B$35)^(Presion_cilindro!$B$17+1)),0)-IF(Presion_cilindro!N388&gt;(-H$4+Presion_cilindro!$B$34),1-EXP(-Presion_cilindro!$B$16*((Presion_cilindro!N388-(-H$4+Presion_cilindro!$B$34))/Presion_cilindro!$B$35)^(Presion_cilindro!$B$17+1)),0))/((Presion_cilindro!O388+Presion_cilindro!O389)/2)</f>
        <v>35.789281564107725</v>
      </c>
      <c r="I397" s="27">
        <f>I396*(Presion_cilindro!O388/Presion_cilindro!O389)^Presion_cilindro!$B$9+10*(Presion_cilindro!$B$9-1)*Presion_cilindro!$B$33*(IF(Presion_cilindro!N389&gt;(-I$4+Presion_cilindro!$B$34),1-EXP(-Presion_cilindro!$B$16*((Presion_cilindro!N389-(-I$4+Presion_cilindro!$B$34))/Presion_cilindro!$B$35)^(Presion_cilindro!$B$17+1)),0)-IF(Presion_cilindro!N388&gt;(-I$4+Presion_cilindro!$B$34),1-EXP(-Presion_cilindro!$B$16*((Presion_cilindro!N388-(-I$4+Presion_cilindro!$B$34))/Presion_cilindro!$B$35)^(Presion_cilindro!$B$17+1)),0))/((Presion_cilindro!O388+Presion_cilindro!O389)/2)</f>
        <v>38.540150981264496</v>
      </c>
      <c r="J397" s="27">
        <f>J396*(Presion_cilindro!O388/Presion_cilindro!O389)^Presion_cilindro!$B$9+10*(Presion_cilindro!$B$9-1)*Presion_cilindro!$B$33*(IF(Presion_cilindro!N389&gt;(-J$4+Presion_cilindro!$B$34),1-EXP(-Presion_cilindro!$B$16*((Presion_cilindro!N389-(-J$4+Presion_cilindro!$B$34))/Presion_cilindro!$B$35)^(Presion_cilindro!$B$17+1)),0)-IF(Presion_cilindro!N388&gt;(-J$4+Presion_cilindro!$B$34),1-EXP(-Presion_cilindro!$B$16*((Presion_cilindro!N388-(-J$4+Presion_cilindro!$B$34))/Presion_cilindro!$B$35)^(Presion_cilindro!$B$17+1)),0))/((Presion_cilindro!O388+Presion_cilindro!O389)/2)</f>
        <v>40.125423874457979</v>
      </c>
      <c r="K397" s="27">
        <f>K396*(Presion_cilindro!O388/Presion_cilindro!O389)^Presion_cilindro!$B$9+10*(Presion_cilindro!$B$9-1)*Presion_cilindro!$B$33*(IF(Presion_cilindro!N389&gt;(-K$4+Presion_cilindro!$B$34),1-EXP(-Presion_cilindro!$B$16*((Presion_cilindro!N389-(-K$4+Presion_cilindro!$B$34))/Presion_cilindro!$B$35)^(Presion_cilindro!$B$17+1)),0)-IF(Presion_cilindro!N388&gt;(-K$4+Presion_cilindro!$B$34),1-EXP(-Presion_cilindro!$B$16*((Presion_cilindro!N388-(-K$4+Presion_cilindro!$B$34))/Presion_cilindro!$B$35)^(Presion_cilindro!$B$17+1)),0))/((Presion_cilindro!O388+Presion_cilindro!O389)/2)</f>
        <v>41.160964075088977</v>
      </c>
      <c r="L397" s="27">
        <f>L396*(Presion_cilindro!O388/Presion_cilindro!O389)^Presion_cilindro!$B$9+10*(Presion_cilindro!$B$9-1)*Presion_cilindro!$B$33*(IF(Presion_cilindro!N389&gt;(-L$4+Presion_cilindro!$B$34),1-EXP(-Presion_cilindro!$B$16*((Presion_cilindro!N389-(-L$4+Presion_cilindro!$B$34))/Presion_cilindro!$B$35)^(Presion_cilindro!$B$17+1)),0)-IF(Presion_cilindro!N388&gt;(-L$4+Presion_cilindro!$B$34),1-EXP(-Presion_cilindro!$B$16*((Presion_cilindro!N388-(-L$4+Presion_cilindro!$B$34))/Presion_cilindro!$B$35)^(Presion_cilindro!$B$17+1)),0))/((Presion_cilindro!O388+Presion_cilindro!O389)/2)</f>
        <v>42.12198106424384</v>
      </c>
      <c r="M397" s="27">
        <f>M396*(Presion_cilindro!O388/Presion_cilindro!O389)^Presion_cilindro!$B$9+10*(Presion_cilindro!$B$9-1)*Presion_cilindro!$B$33*(IF(Presion_cilindro!N389&gt;(-M$4+Presion_cilindro!$B$34),1-EXP(-Presion_cilindro!$B$16*((Presion_cilindro!N389-(-M$4+Presion_cilindro!$B$34))/Presion_cilindro!$B$35)^(Presion_cilindro!$B$17+1)),0)-IF(Presion_cilindro!N388&gt;(-M$4+Presion_cilindro!$B$34),1-EXP(-Presion_cilindro!$B$16*((Presion_cilindro!N388-(-M$4+Presion_cilindro!$B$34))/Presion_cilindro!$B$35)^(Presion_cilindro!$B$17+1)),0))/((Presion_cilindro!O388+Presion_cilindro!O389)/2)</f>
        <v>43.213214800638234</v>
      </c>
      <c r="N397" s="27">
        <f>N396*(Presion_cilindro!O388/Presion_cilindro!O389)^Presion_cilindro!$B$9+10*(Presion_cilindro!$B$9-1)*Presion_cilindro!$B$33*(IF(Presion_cilindro!N389&gt;(-N$4+Presion_cilindro!$B$34),1-EXP(-Presion_cilindro!$B$16*((Presion_cilindro!N389-(-N$4+Presion_cilindro!$B$34))/Presion_cilindro!$B$35)^(Presion_cilindro!$B$17+1)),0)-IF(Presion_cilindro!N388&gt;(-N$4+Presion_cilindro!$B$34),1-EXP(-Presion_cilindro!$B$16*((Presion_cilindro!N388-(-N$4+Presion_cilindro!$B$34))/Presion_cilindro!$B$35)^(Presion_cilindro!$B$17+1)),0))/((Presion_cilindro!O388+Presion_cilindro!O389)/2)</f>
        <v>44.464142695891873</v>
      </c>
    </row>
    <row r="398" spans="1:14" x14ac:dyDescent="0.25">
      <c r="A398" s="21">
        <f>Presion_cilindro!N390</f>
        <v>13</v>
      </c>
      <c r="B398" s="27">
        <f>B397*(Presion_cilindro!O389/Presion_cilindro!O390)^Presion_cilindro!$B$9+10*(Presion_cilindro!$B$9-1)*Presion_cilindro!$B$33*(IF(Presion_cilindro!N390&gt;(-B$4+Presion_cilindro!$B$34),1-EXP(-Presion_cilindro!$B$16*((Presion_cilindro!N390-(-B$4+Presion_cilindro!$B$34))/Presion_cilindro!$B$35)^(Presion_cilindro!$B$17+1)),0)-IF(Presion_cilindro!N389&gt;(-B$4+Presion_cilindro!$B$34),1-EXP(-Presion_cilindro!$B$16*((Presion_cilindro!N389-(-B$4+Presion_cilindro!$B$34))/Presion_cilindro!$B$35)^(Presion_cilindro!$B$17+1)),0))/((Presion_cilindro!O389+Presion_cilindro!O390)/2)</f>
        <v>13.034062643691781</v>
      </c>
      <c r="C398" s="27">
        <f>C397*(Presion_cilindro!O389/Presion_cilindro!O390)^Presion_cilindro!$B$9+10*(Presion_cilindro!$B$9-1)*Presion_cilindro!$B$33*(IF(Presion_cilindro!N390&gt;(-C$4+Presion_cilindro!$B$34),1-EXP(-Presion_cilindro!$B$16*((Presion_cilindro!N390-(-C$4+Presion_cilindro!$B$34))/Presion_cilindro!$B$35)^(Presion_cilindro!$B$17+1)),0)-IF(Presion_cilindro!N389&gt;(-C$4+Presion_cilindro!$B$34),1-EXP(-Presion_cilindro!$B$16*((Presion_cilindro!N389-(-C$4+Presion_cilindro!$B$34))/Presion_cilindro!$B$35)^(Presion_cilindro!$B$17+1)),0))/((Presion_cilindro!O389+Presion_cilindro!O390)/2)</f>
        <v>14.198293623586949</v>
      </c>
      <c r="D398" s="27">
        <f>D397*(Presion_cilindro!O389/Presion_cilindro!O390)^Presion_cilindro!$B$9+10*(Presion_cilindro!$B$9-1)*Presion_cilindro!$B$33*(IF(Presion_cilindro!N390&gt;(-D$4+Presion_cilindro!$B$34),1-EXP(-Presion_cilindro!$B$16*((Presion_cilindro!N390-(-D$4+Presion_cilindro!$B$34))/Presion_cilindro!$B$35)^(Presion_cilindro!$B$17+1)),0)-IF(Presion_cilindro!N389&gt;(-D$4+Presion_cilindro!$B$34),1-EXP(-Presion_cilindro!$B$16*((Presion_cilindro!N389-(-D$4+Presion_cilindro!$B$34))/Presion_cilindro!$B$35)^(Presion_cilindro!$B$17+1)),0))/((Presion_cilindro!O389+Presion_cilindro!O390)/2)</f>
        <v>16.896261127263696</v>
      </c>
      <c r="E398" s="27">
        <f>E397*(Presion_cilindro!O389/Presion_cilindro!O390)^Presion_cilindro!$B$9+10*(Presion_cilindro!$B$9-1)*Presion_cilindro!$B$33*(IF(Presion_cilindro!N390&gt;(-E$4+Presion_cilindro!$B$34),1-EXP(-Presion_cilindro!$B$16*((Presion_cilindro!N390-(-E$4+Presion_cilindro!$B$34))/Presion_cilindro!$B$35)^(Presion_cilindro!$B$17+1)),0)-IF(Presion_cilindro!N389&gt;(-E$4+Presion_cilindro!$B$34),1-EXP(-Presion_cilindro!$B$16*((Presion_cilindro!N389-(-E$4+Presion_cilindro!$B$34))/Presion_cilindro!$B$35)^(Presion_cilindro!$B$17+1)),0))/((Presion_cilindro!O389+Presion_cilindro!O390)/2)</f>
        <v>21.204216461642922</v>
      </c>
      <c r="F398" s="27">
        <f>F397*(Presion_cilindro!O389/Presion_cilindro!O390)^Presion_cilindro!$B$9+10*(Presion_cilindro!$B$9-1)*Presion_cilindro!$B$33*(IF(Presion_cilindro!N390&gt;(-F$4+Presion_cilindro!$B$34),1-EXP(-Presion_cilindro!$B$16*((Presion_cilindro!N390-(-F$4+Presion_cilindro!$B$34))/Presion_cilindro!$B$35)^(Presion_cilindro!$B$17+1)),0)-IF(Presion_cilindro!N389&gt;(-F$4+Presion_cilindro!$B$34),1-EXP(-Presion_cilindro!$B$16*((Presion_cilindro!N389-(-F$4+Presion_cilindro!$B$34))/Presion_cilindro!$B$35)^(Presion_cilindro!$B$17+1)),0))/((Presion_cilindro!O389+Presion_cilindro!O390)/2)</f>
        <v>26.496279456384279</v>
      </c>
      <c r="G398" s="27">
        <f>G397*(Presion_cilindro!O389/Presion_cilindro!O390)^Presion_cilindro!$B$9+10*(Presion_cilindro!$B$9-1)*Presion_cilindro!$B$33*(IF(Presion_cilindro!N390&gt;(-G$4+Presion_cilindro!$B$34),1-EXP(-Presion_cilindro!$B$16*((Presion_cilindro!N390-(-G$4+Presion_cilindro!$B$34))/Presion_cilindro!$B$35)^(Presion_cilindro!$B$17+1)),0)-IF(Presion_cilindro!N389&gt;(-G$4+Presion_cilindro!$B$34),1-EXP(-Presion_cilindro!$B$16*((Presion_cilindro!N389-(-G$4+Presion_cilindro!$B$34))/Presion_cilindro!$B$35)^(Presion_cilindro!$B$17+1)),0))/((Presion_cilindro!O389+Presion_cilindro!O390)/2)</f>
        <v>31.6538307755566</v>
      </c>
      <c r="H398" s="27">
        <f>H397*(Presion_cilindro!O389/Presion_cilindro!O390)^Presion_cilindro!$B$9+10*(Presion_cilindro!$B$9-1)*Presion_cilindro!$B$33*(IF(Presion_cilindro!N390&gt;(-H$4+Presion_cilindro!$B$34),1-EXP(-Presion_cilindro!$B$16*((Presion_cilindro!N390-(-H$4+Presion_cilindro!$B$34))/Presion_cilindro!$B$35)^(Presion_cilindro!$B$17+1)),0)-IF(Presion_cilindro!N389&gt;(-H$4+Presion_cilindro!$B$34),1-EXP(-Presion_cilindro!$B$16*((Presion_cilindro!N389-(-H$4+Presion_cilindro!$B$34))/Presion_cilindro!$B$35)^(Presion_cilindro!$B$17+1)),0))/((Presion_cilindro!O389+Presion_cilindro!O390)/2)</f>
        <v>35.674626304316718</v>
      </c>
      <c r="I398" s="27">
        <f>I397*(Presion_cilindro!O389/Presion_cilindro!O390)^Presion_cilindro!$B$9+10*(Presion_cilindro!$B$9-1)*Presion_cilindro!$B$33*(IF(Presion_cilindro!N390&gt;(-I$4+Presion_cilindro!$B$34),1-EXP(-Presion_cilindro!$B$16*((Presion_cilindro!N390-(-I$4+Presion_cilindro!$B$34))/Presion_cilindro!$B$35)^(Presion_cilindro!$B$17+1)),0)-IF(Presion_cilindro!N389&gt;(-I$4+Presion_cilindro!$B$34),1-EXP(-Presion_cilindro!$B$16*((Presion_cilindro!N389-(-I$4+Presion_cilindro!$B$34))/Presion_cilindro!$B$35)^(Presion_cilindro!$B$17+1)),0))/((Presion_cilindro!O389+Presion_cilindro!O390)/2)</f>
        <v>38.22966763205347</v>
      </c>
      <c r="J398" s="27">
        <f>J397*(Presion_cilindro!O389/Presion_cilindro!O390)^Presion_cilindro!$B$9+10*(Presion_cilindro!$B$9-1)*Presion_cilindro!$B$33*(IF(Presion_cilindro!N390&gt;(-J$4+Presion_cilindro!$B$34),1-EXP(-Presion_cilindro!$B$16*((Presion_cilindro!N390-(-J$4+Presion_cilindro!$B$34))/Presion_cilindro!$B$35)^(Presion_cilindro!$B$17+1)),0)-IF(Presion_cilindro!N389&gt;(-J$4+Presion_cilindro!$B$34),1-EXP(-Presion_cilindro!$B$16*((Presion_cilindro!N389-(-J$4+Presion_cilindro!$B$34))/Presion_cilindro!$B$35)^(Presion_cilindro!$B$17+1)),0))/((Presion_cilindro!O389+Presion_cilindro!O390)/2)</f>
        <v>39.684974238038762</v>
      </c>
      <c r="K398" s="27">
        <f>K397*(Presion_cilindro!O389/Presion_cilindro!O390)^Presion_cilindro!$B$9+10*(Presion_cilindro!$B$9-1)*Presion_cilindro!$B$33*(IF(Presion_cilindro!N390&gt;(-K$4+Presion_cilindro!$B$34),1-EXP(-Presion_cilindro!$B$16*((Presion_cilindro!N390-(-K$4+Presion_cilindro!$B$34))/Presion_cilindro!$B$35)^(Presion_cilindro!$B$17+1)),0)-IF(Presion_cilindro!N389&gt;(-K$4+Presion_cilindro!$B$34),1-EXP(-Presion_cilindro!$B$16*((Presion_cilindro!N389-(-K$4+Presion_cilindro!$B$34))/Presion_cilindro!$B$35)^(Presion_cilindro!$B$17+1)),0))/((Presion_cilindro!O389+Presion_cilindro!O390)/2)</f>
        <v>40.655151817762913</v>
      </c>
      <c r="L398" s="27">
        <f>L397*(Presion_cilindro!O389/Presion_cilindro!O390)^Presion_cilindro!$B$9+10*(Presion_cilindro!$B$9-1)*Presion_cilindro!$B$33*(IF(Presion_cilindro!N390&gt;(-L$4+Presion_cilindro!$B$34),1-EXP(-Presion_cilindro!$B$16*((Presion_cilindro!N390-(-L$4+Presion_cilindro!$B$34))/Presion_cilindro!$B$35)^(Presion_cilindro!$B$17+1)),0)-IF(Presion_cilindro!N389&gt;(-L$4+Presion_cilindro!$B$34),1-EXP(-Presion_cilindro!$B$16*((Presion_cilindro!N389-(-L$4+Presion_cilindro!$B$34))/Presion_cilindro!$B$35)^(Presion_cilindro!$B$17+1)),0))/((Presion_cilindro!O389+Presion_cilindro!O390)/2)</f>
        <v>41.586491859514034</v>
      </c>
      <c r="M398" s="27">
        <f>M397*(Presion_cilindro!O389/Presion_cilindro!O390)^Presion_cilindro!$B$9+10*(Presion_cilindro!$B$9-1)*Presion_cilindro!$B$33*(IF(Presion_cilindro!N390&gt;(-M$4+Presion_cilindro!$B$34),1-EXP(-Presion_cilindro!$B$16*((Presion_cilindro!N390-(-M$4+Presion_cilindro!$B$34))/Presion_cilindro!$B$35)^(Presion_cilindro!$B$17+1)),0)-IF(Presion_cilindro!N389&gt;(-M$4+Presion_cilindro!$B$34),1-EXP(-Presion_cilindro!$B$16*((Presion_cilindro!N389-(-M$4+Presion_cilindro!$B$34))/Presion_cilindro!$B$35)^(Presion_cilindro!$B$17+1)),0))/((Presion_cilindro!O389+Presion_cilindro!O390)/2)</f>
        <v>42.659714189567921</v>
      </c>
      <c r="N398" s="27">
        <f>N397*(Presion_cilindro!O389/Presion_cilindro!O390)^Presion_cilindro!$B$9+10*(Presion_cilindro!$B$9-1)*Presion_cilindro!$B$33*(IF(Presion_cilindro!N390&gt;(-N$4+Presion_cilindro!$B$34),1-EXP(-Presion_cilindro!$B$16*((Presion_cilindro!N390-(-N$4+Presion_cilindro!$B$34))/Presion_cilindro!$B$35)^(Presion_cilindro!$B$17+1)),0)-IF(Presion_cilindro!N389&gt;(-N$4+Presion_cilindro!$B$34),1-EXP(-Presion_cilindro!$B$16*((Presion_cilindro!N389-(-N$4+Presion_cilindro!$B$34))/Presion_cilindro!$B$35)^(Presion_cilindro!$B$17+1)),0))/((Presion_cilindro!O389+Presion_cilindro!O390)/2)</f>
        <v>43.893964140268253</v>
      </c>
    </row>
    <row r="399" spans="1:14" x14ac:dyDescent="0.25">
      <c r="A399" s="21">
        <f>Presion_cilindro!N391</f>
        <v>13.5</v>
      </c>
      <c r="B399" s="27">
        <f>B398*(Presion_cilindro!O390/Presion_cilindro!O391)^Presion_cilindro!$B$9+10*(Presion_cilindro!$B$9-1)*Presion_cilindro!$B$33*(IF(Presion_cilindro!N391&gt;(-B$4+Presion_cilindro!$B$34),1-EXP(-Presion_cilindro!$B$16*((Presion_cilindro!N391-(-B$4+Presion_cilindro!$B$34))/Presion_cilindro!$B$35)^(Presion_cilindro!$B$17+1)),0)-IF(Presion_cilindro!N390&gt;(-B$4+Presion_cilindro!$B$34),1-EXP(-Presion_cilindro!$B$16*((Presion_cilindro!N390-(-B$4+Presion_cilindro!$B$34))/Presion_cilindro!$B$35)^(Presion_cilindro!$B$17+1)),0))/((Presion_cilindro!O390+Presion_cilindro!O391)/2)</f>
        <v>12.92397117582439</v>
      </c>
      <c r="C399" s="27">
        <f>C398*(Presion_cilindro!O390/Presion_cilindro!O391)^Presion_cilindro!$B$9+10*(Presion_cilindro!$B$9-1)*Presion_cilindro!$B$33*(IF(Presion_cilindro!N391&gt;(-C$4+Presion_cilindro!$B$34),1-EXP(-Presion_cilindro!$B$16*((Presion_cilindro!N391-(-C$4+Presion_cilindro!$B$34))/Presion_cilindro!$B$35)^(Presion_cilindro!$B$17+1)),0)-IF(Presion_cilindro!N390&gt;(-C$4+Presion_cilindro!$B$34),1-EXP(-Presion_cilindro!$B$16*((Presion_cilindro!N390-(-C$4+Presion_cilindro!$B$34))/Presion_cilindro!$B$35)^(Presion_cilindro!$B$17+1)),0))/((Presion_cilindro!O390+Presion_cilindro!O391)/2)</f>
        <v>14.207622102789536</v>
      </c>
      <c r="D399" s="27">
        <f>D398*(Presion_cilindro!O390/Presion_cilindro!O391)^Presion_cilindro!$B$9+10*(Presion_cilindro!$B$9-1)*Presion_cilindro!$B$33*(IF(Presion_cilindro!N391&gt;(-D$4+Presion_cilindro!$B$34),1-EXP(-Presion_cilindro!$B$16*((Presion_cilindro!N391-(-D$4+Presion_cilindro!$B$34))/Presion_cilindro!$B$35)^(Presion_cilindro!$B$17+1)),0)-IF(Presion_cilindro!N390&gt;(-D$4+Presion_cilindro!$B$34),1-EXP(-Presion_cilindro!$B$16*((Presion_cilindro!N390-(-D$4+Presion_cilindro!$B$34))/Presion_cilindro!$B$35)^(Presion_cilindro!$B$17+1)),0))/((Presion_cilindro!O390+Presion_cilindro!O391)/2)</f>
        <v>17.043308942730174</v>
      </c>
      <c r="E399" s="27">
        <f>E398*(Presion_cilindro!O390/Presion_cilindro!O391)^Presion_cilindro!$B$9+10*(Presion_cilindro!$B$9-1)*Presion_cilindro!$B$33*(IF(Presion_cilindro!N391&gt;(-E$4+Presion_cilindro!$B$34),1-EXP(-Presion_cilindro!$B$16*((Presion_cilindro!N391-(-E$4+Presion_cilindro!$B$34))/Presion_cilindro!$B$35)^(Presion_cilindro!$B$17+1)),0)-IF(Presion_cilindro!N390&gt;(-E$4+Presion_cilindro!$B$34),1-EXP(-Presion_cilindro!$B$16*((Presion_cilindro!N390-(-E$4+Presion_cilindro!$B$34))/Presion_cilindro!$B$35)^(Presion_cilindro!$B$17+1)),0))/((Presion_cilindro!O390+Presion_cilindro!O391)/2)</f>
        <v>21.438815075797095</v>
      </c>
      <c r="F399" s="27">
        <f>F398*(Presion_cilindro!O390/Presion_cilindro!O391)^Presion_cilindro!$B$9+10*(Presion_cilindro!$B$9-1)*Presion_cilindro!$B$33*(IF(Presion_cilindro!N391&gt;(-F$4+Presion_cilindro!$B$34),1-EXP(-Presion_cilindro!$B$16*((Presion_cilindro!N391-(-F$4+Presion_cilindro!$B$34))/Presion_cilindro!$B$35)^(Presion_cilindro!$B$17+1)),0)-IF(Presion_cilindro!N390&gt;(-F$4+Presion_cilindro!$B$34),1-EXP(-Presion_cilindro!$B$16*((Presion_cilindro!N390-(-F$4+Presion_cilindro!$B$34))/Presion_cilindro!$B$35)^(Presion_cilindro!$B$17+1)),0))/((Presion_cilindro!O390+Presion_cilindro!O391)/2)</f>
        <v>26.706208424660403</v>
      </c>
      <c r="G399" s="27">
        <f>G398*(Presion_cilindro!O390/Presion_cilindro!O391)^Presion_cilindro!$B$9+10*(Presion_cilindro!$B$9-1)*Presion_cilindro!$B$33*(IF(Presion_cilindro!N391&gt;(-G$4+Presion_cilindro!$B$34),1-EXP(-Presion_cilindro!$B$16*((Presion_cilindro!N391-(-G$4+Presion_cilindro!$B$34))/Presion_cilindro!$B$35)^(Presion_cilindro!$B$17+1)),0)-IF(Presion_cilindro!N390&gt;(-G$4+Presion_cilindro!$B$34),1-EXP(-Presion_cilindro!$B$16*((Presion_cilindro!N390-(-G$4+Presion_cilindro!$B$34))/Presion_cilindro!$B$35)^(Presion_cilindro!$B$17+1)),0))/((Presion_cilindro!O390+Presion_cilindro!O391)/2)</f>
        <v>31.717369758654598</v>
      </c>
      <c r="H399" s="27">
        <f>H398*(Presion_cilindro!O390/Presion_cilindro!O391)^Presion_cilindro!$B$9+10*(Presion_cilindro!$B$9-1)*Presion_cilindro!$B$33*(IF(Presion_cilindro!N391&gt;(-H$4+Presion_cilindro!$B$34),1-EXP(-Presion_cilindro!$B$16*((Presion_cilindro!N391-(-H$4+Presion_cilindro!$B$34))/Presion_cilindro!$B$35)^(Presion_cilindro!$B$17+1)),0)-IF(Presion_cilindro!N390&gt;(-H$4+Presion_cilindro!$B$34),1-EXP(-Presion_cilindro!$B$16*((Presion_cilindro!N390-(-H$4+Presion_cilindro!$B$34))/Presion_cilindro!$B$35)^(Presion_cilindro!$B$17+1)),0))/((Presion_cilindro!O390+Presion_cilindro!O391)/2)</f>
        <v>35.528471383133081</v>
      </c>
      <c r="I399" s="27">
        <f>I398*(Presion_cilindro!O390/Presion_cilindro!O391)^Presion_cilindro!$B$9+10*(Presion_cilindro!$B$9-1)*Presion_cilindro!$B$33*(IF(Presion_cilindro!N391&gt;(-I$4+Presion_cilindro!$B$34),1-EXP(-Presion_cilindro!$B$16*((Presion_cilindro!N391-(-I$4+Presion_cilindro!$B$34))/Presion_cilindro!$B$35)^(Presion_cilindro!$B$17+1)),0)-IF(Presion_cilindro!N390&gt;(-I$4+Presion_cilindro!$B$34),1-EXP(-Presion_cilindro!$B$16*((Presion_cilindro!N390-(-I$4+Presion_cilindro!$B$34))/Presion_cilindro!$B$35)^(Presion_cilindro!$B$17+1)),0))/((Presion_cilindro!O390+Presion_cilindro!O391)/2)</f>
        <v>37.89413744513535</v>
      </c>
      <c r="J399" s="27">
        <f>J398*(Presion_cilindro!O390/Presion_cilindro!O391)^Presion_cilindro!$B$9+10*(Presion_cilindro!$B$9-1)*Presion_cilindro!$B$33*(IF(Presion_cilindro!N391&gt;(-J$4+Presion_cilindro!$B$34),1-EXP(-Presion_cilindro!$B$16*((Presion_cilindro!N391-(-J$4+Presion_cilindro!$B$34))/Presion_cilindro!$B$35)^(Presion_cilindro!$B$17+1)),0)-IF(Presion_cilindro!N390&gt;(-J$4+Presion_cilindro!$B$34),1-EXP(-Presion_cilindro!$B$16*((Presion_cilindro!N390-(-J$4+Presion_cilindro!$B$34))/Presion_cilindro!$B$35)^(Presion_cilindro!$B$17+1)),0))/((Presion_cilindro!O390+Presion_cilindro!O391)/2)</f>
        <v>39.227864587059912</v>
      </c>
      <c r="K399" s="27">
        <f>K398*(Presion_cilindro!O390/Presion_cilindro!O391)^Presion_cilindro!$B$9+10*(Presion_cilindro!$B$9-1)*Presion_cilindro!$B$33*(IF(Presion_cilindro!N391&gt;(-K$4+Presion_cilindro!$B$34),1-EXP(-Presion_cilindro!$B$16*((Presion_cilindro!N391-(-K$4+Presion_cilindro!$B$34))/Presion_cilindro!$B$35)^(Presion_cilindro!$B$17+1)),0)-IF(Presion_cilindro!N390&gt;(-K$4+Presion_cilindro!$B$34),1-EXP(-Presion_cilindro!$B$16*((Presion_cilindro!N390-(-K$4+Presion_cilindro!$B$34))/Presion_cilindro!$B$35)^(Presion_cilindro!$B$17+1)),0))/((Presion_cilindro!O390+Presion_cilindro!O391)/2)</f>
        <v>40.138303734537097</v>
      </c>
      <c r="L399" s="27">
        <f>L398*(Presion_cilindro!O390/Presion_cilindro!O391)^Presion_cilindro!$B$9+10*(Presion_cilindro!$B$9-1)*Presion_cilindro!$B$33*(IF(Presion_cilindro!N391&gt;(-L$4+Presion_cilindro!$B$34),1-EXP(-Presion_cilindro!$B$16*((Presion_cilindro!N391-(-L$4+Presion_cilindro!$B$34))/Presion_cilindro!$B$35)^(Presion_cilindro!$B$17+1)),0)-IF(Presion_cilindro!N390&gt;(-L$4+Presion_cilindro!$B$34),1-EXP(-Presion_cilindro!$B$16*((Presion_cilindro!N390-(-L$4+Presion_cilindro!$B$34))/Presion_cilindro!$B$35)^(Presion_cilindro!$B$17+1)),0))/((Presion_cilindro!O390+Presion_cilindro!O391)/2)</f>
        <v>41.04227591453791</v>
      </c>
      <c r="M399" s="27">
        <f>M398*(Presion_cilindro!O390/Presion_cilindro!O391)^Presion_cilindro!$B$9+10*(Presion_cilindro!$B$9-1)*Presion_cilindro!$B$33*(IF(Presion_cilindro!N391&gt;(-M$4+Presion_cilindro!$B$34),1-EXP(-Presion_cilindro!$B$16*((Presion_cilindro!N391-(-M$4+Presion_cilindro!$B$34))/Presion_cilindro!$B$35)^(Presion_cilindro!$B$17+1)),0)-IF(Presion_cilindro!N390&gt;(-M$4+Presion_cilindro!$B$34),1-EXP(-Presion_cilindro!$B$16*((Presion_cilindro!N390-(-M$4+Presion_cilindro!$B$34))/Presion_cilindro!$B$35)^(Presion_cilindro!$B$17+1)),0))/((Presion_cilindro!O390+Presion_cilindro!O391)/2)</f>
        <v>42.097986748627747</v>
      </c>
      <c r="N399" s="27">
        <f>N398*(Presion_cilindro!O390/Presion_cilindro!O391)^Presion_cilindro!$B$9+10*(Presion_cilindro!$B$9-1)*Presion_cilindro!$B$33*(IF(Presion_cilindro!N391&gt;(-N$4+Presion_cilindro!$B$34),1-EXP(-Presion_cilindro!$B$16*((Presion_cilindro!N391-(-N$4+Presion_cilindro!$B$34))/Presion_cilindro!$B$35)^(Presion_cilindro!$B$17+1)),0)-IF(Presion_cilindro!N390&gt;(-N$4+Presion_cilindro!$B$34),1-EXP(-Presion_cilindro!$B$16*((Presion_cilindro!N390-(-N$4+Presion_cilindro!$B$34))/Presion_cilindro!$B$35)^(Presion_cilindro!$B$17+1)),0))/((Presion_cilindro!O390+Presion_cilindro!O391)/2)</f>
        <v>43.315456668610047</v>
      </c>
    </row>
    <row r="400" spans="1:14" x14ac:dyDescent="0.25">
      <c r="A400" s="21">
        <f>Presion_cilindro!N392</f>
        <v>14</v>
      </c>
      <c r="B400" s="27">
        <f>B399*(Presion_cilindro!O391/Presion_cilindro!O392)^Presion_cilindro!$B$9+10*(Presion_cilindro!$B$9-1)*Presion_cilindro!$B$33*(IF(Presion_cilindro!N392&gt;(-B$4+Presion_cilindro!$B$34),1-EXP(-Presion_cilindro!$B$16*((Presion_cilindro!N392-(-B$4+Presion_cilindro!$B$34))/Presion_cilindro!$B$35)^(Presion_cilindro!$B$17+1)),0)-IF(Presion_cilindro!N391&gt;(-B$4+Presion_cilindro!$B$34),1-EXP(-Presion_cilindro!$B$16*((Presion_cilindro!N391-(-B$4+Presion_cilindro!$B$34))/Presion_cilindro!$B$35)^(Presion_cilindro!$B$17+1)),0))/((Presion_cilindro!O391+Presion_cilindro!O392)/2)</f>
        <v>12.820617650845579</v>
      </c>
      <c r="C400" s="27">
        <f>C399*(Presion_cilindro!O391/Presion_cilindro!O392)^Presion_cilindro!$B$9+10*(Presion_cilindro!$B$9-1)*Presion_cilindro!$B$33*(IF(Presion_cilindro!N392&gt;(-C$4+Presion_cilindro!$B$34),1-EXP(-Presion_cilindro!$B$16*((Presion_cilindro!N392-(-C$4+Presion_cilindro!$B$34))/Presion_cilindro!$B$35)^(Presion_cilindro!$B$17+1)),0)-IF(Presion_cilindro!N391&gt;(-C$4+Presion_cilindro!$B$34),1-EXP(-Presion_cilindro!$B$16*((Presion_cilindro!N391-(-C$4+Presion_cilindro!$B$34))/Presion_cilindro!$B$35)^(Presion_cilindro!$B$17+1)),0))/((Presion_cilindro!O391+Presion_cilindro!O392)/2)</f>
        <v>14.226320454449654</v>
      </c>
      <c r="D400" s="27">
        <f>D399*(Presion_cilindro!O391/Presion_cilindro!O392)^Presion_cilindro!$B$9+10*(Presion_cilindro!$B$9-1)*Presion_cilindro!$B$33*(IF(Presion_cilindro!N392&gt;(-D$4+Presion_cilindro!$B$34),1-EXP(-Presion_cilindro!$B$16*((Presion_cilindro!N392-(-D$4+Presion_cilindro!$B$34))/Presion_cilindro!$B$35)^(Presion_cilindro!$B$17+1)),0)-IF(Presion_cilindro!N391&gt;(-D$4+Presion_cilindro!$B$34),1-EXP(-Presion_cilindro!$B$16*((Presion_cilindro!N391-(-D$4+Presion_cilindro!$B$34))/Presion_cilindro!$B$35)^(Presion_cilindro!$B$17+1)),0))/((Presion_cilindro!O391+Presion_cilindro!O392)/2)</f>
        <v>17.195716777455992</v>
      </c>
      <c r="E400" s="27">
        <f>E399*(Presion_cilindro!O391/Presion_cilindro!O392)^Presion_cilindro!$B$9+10*(Presion_cilindro!$B$9-1)*Presion_cilindro!$B$33*(IF(Presion_cilindro!N392&gt;(-E$4+Presion_cilindro!$B$34),1-EXP(-Presion_cilindro!$B$16*((Presion_cilindro!N392-(-E$4+Presion_cilindro!$B$34))/Presion_cilindro!$B$35)^(Presion_cilindro!$B$17+1)),0)-IF(Presion_cilindro!N391&gt;(-E$4+Presion_cilindro!$B$34),1-EXP(-Presion_cilindro!$B$16*((Presion_cilindro!N391-(-E$4+Presion_cilindro!$B$34))/Presion_cilindro!$B$35)^(Presion_cilindro!$B$17+1)),0))/((Presion_cilindro!O391+Presion_cilindro!O392)/2)</f>
        <v>21.667602362703761</v>
      </c>
      <c r="F400" s="27">
        <f>F399*(Presion_cilindro!O391/Presion_cilindro!O392)^Presion_cilindro!$B$9+10*(Presion_cilindro!$B$9-1)*Presion_cilindro!$B$33*(IF(Presion_cilindro!N392&gt;(-F$4+Presion_cilindro!$B$34),1-EXP(-Presion_cilindro!$B$16*((Presion_cilindro!N392-(-F$4+Presion_cilindro!$B$34))/Presion_cilindro!$B$35)^(Presion_cilindro!$B$17+1)),0)-IF(Presion_cilindro!N391&gt;(-F$4+Presion_cilindro!$B$34),1-EXP(-Presion_cilindro!$B$16*((Presion_cilindro!N391-(-F$4+Presion_cilindro!$B$34))/Presion_cilindro!$B$35)^(Presion_cilindro!$B$17+1)),0))/((Presion_cilindro!O391+Presion_cilindro!O392)/2)</f>
        <v>26.896120282367619</v>
      </c>
      <c r="G400" s="27">
        <f>G399*(Presion_cilindro!O391/Presion_cilindro!O392)^Presion_cilindro!$B$9+10*(Presion_cilindro!$B$9-1)*Presion_cilindro!$B$33*(IF(Presion_cilindro!N392&gt;(-G$4+Presion_cilindro!$B$34),1-EXP(-Presion_cilindro!$B$16*((Presion_cilindro!N392-(-G$4+Presion_cilindro!$B$34))/Presion_cilindro!$B$35)^(Presion_cilindro!$B$17+1)),0)-IF(Presion_cilindro!N391&gt;(-G$4+Presion_cilindro!$B$34),1-EXP(-Presion_cilindro!$B$16*((Presion_cilindro!N391-(-G$4+Presion_cilindro!$B$34))/Presion_cilindro!$B$35)^(Presion_cilindro!$B$17+1)),0))/((Presion_cilindro!O391+Presion_cilindro!O392)/2)</f>
        <v>31.751111104501483</v>
      </c>
      <c r="H400" s="27">
        <f>H399*(Presion_cilindro!O391/Presion_cilindro!O392)^Presion_cilindro!$B$9+10*(Presion_cilindro!$B$9-1)*Presion_cilindro!$B$33*(IF(Presion_cilindro!N392&gt;(-H$4+Presion_cilindro!$B$34),1-EXP(-Presion_cilindro!$B$16*((Presion_cilindro!N392-(-H$4+Presion_cilindro!$B$34))/Presion_cilindro!$B$35)^(Presion_cilindro!$B$17+1)),0)-IF(Presion_cilindro!N391&gt;(-H$4+Presion_cilindro!$B$34),1-EXP(-Presion_cilindro!$B$16*((Presion_cilindro!N391-(-H$4+Presion_cilindro!$B$34))/Presion_cilindro!$B$35)^(Presion_cilindro!$B$17+1)),0))/((Presion_cilindro!O391+Presion_cilindro!O392)/2)</f>
        <v>35.352124134849788</v>
      </c>
      <c r="I400" s="27">
        <f>I399*(Presion_cilindro!O391/Presion_cilindro!O392)^Presion_cilindro!$B$9+10*(Presion_cilindro!$B$9-1)*Presion_cilindro!$B$33*(IF(Presion_cilindro!N392&gt;(-I$4+Presion_cilindro!$B$34),1-EXP(-Presion_cilindro!$B$16*((Presion_cilindro!N392-(-I$4+Presion_cilindro!$B$34))/Presion_cilindro!$B$35)^(Presion_cilindro!$B$17+1)),0)-IF(Presion_cilindro!N391&gt;(-I$4+Presion_cilindro!$B$34),1-EXP(-Presion_cilindro!$B$16*((Presion_cilindro!N391-(-I$4+Presion_cilindro!$B$34))/Presion_cilindro!$B$35)^(Presion_cilindro!$B$17+1)),0))/((Presion_cilindro!O391+Presion_cilindro!O392)/2)</f>
        <v>37.535449836453651</v>
      </c>
      <c r="J400" s="27">
        <f>J399*(Presion_cilindro!O391/Presion_cilindro!O392)^Presion_cilindro!$B$9+10*(Presion_cilindro!$B$9-1)*Presion_cilindro!$B$33*(IF(Presion_cilindro!N392&gt;(-J$4+Presion_cilindro!$B$34),1-EXP(-Presion_cilindro!$B$16*((Presion_cilindro!N392-(-J$4+Presion_cilindro!$B$34))/Presion_cilindro!$B$35)^(Presion_cilindro!$B$17+1)),0)-IF(Presion_cilindro!N391&gt;(-J$4+Presion_cilindro!$B$34),1-EXP(-Presion_cilindro!$B$16*((Presion_cilindro!N391-(-J$4+Presion_cilindro!$B$34))/Presion_cilindro!$B$35)^(Presion_cilindro!$B$17+1)),0))/((Presion_cilindro!O391+Presion_cilindro!O392)/2)</f>
        <v>38.755870252098077</v>
      </c>
      <c r="K400" s="27">
        <f>K399*(Presion_cilindro!O391/Presion_cilindro!O392)^Presion_cilindro!$B$9+10*(Presion_cilindro!$B$9-1)*Presion_cilindro!$B$33*(IF(Presion_cilindro!N392&gt;(-K$4+Presion_cilindro!$B$34),1-EXP(-Presion_cilindro!$B$16*((Presion_cilindro!N392-(-K$4+Presion_cilindro!$B$34))/Presion_cilindro!$B$35)^(Presion_cilindro!$B$17+1)),0)-IF(Presion_cilindro!N391&gt;(-K$4+Presion_cilindro!$B$34),1-EXP(-Presion_cilindro!$B$16*((Presion_cilindro!N391-(-K$4+Presion_cilindro!$B$34))/Presion_cilindro!$B$35)^(Presion_cilindro!$B$17+1)),0))/((Presion_cilindro!O391+Presion_cilindro!O392)/2)</f>
        <v>39.61183306653291</v>
      </c>
      <c r="L400" s="27">
        <f>L399*(Presion_cilindro!O391/Presion_cilindro!O392)^Presion_cilindro!$B$9+10*(Presion_cilindro!$B$9-1)*Presion_cilindro!$B$33*(IF(Presion_cilindro!N392&gt;(-L$4+Presion_cilindro!$B$34),1-EXP(-Presion_cilindro!$B$16*((Presion_cilindro!N392-(-L$4+Presion_cilindro!$B$34))/Presion_cilindro!$B$35)^(Presion_cilindro!$B$17+1)),0)-IF(Presion_cilindro!N391&gt;(-L$4+Presion_cilindro!$B$34),1-EXP(-Presion_cilindro!$B$16*((Presion_cilindro!N391-(-L$4+Presion_cilindro!$B$34))/Presion_cilindro!$B$35)^(Presion_cilindro!$B$17+1)),0))/((Presion_cilindro!O391+Presion_cilindro!O392)/2)</f>
        <v>40.490505486418371</v>
      </c>
      <c r="M400" s="27">
        <f>M399*(Presion_cilindro!O391/Presion_cilindro!O392)^Presion_cilindro!$B$9+10*(Presion_cilindro!$B$9-1)*Presion_cilindro!$B$33*(IF(Presion_cilindro!N392&gt;(-M$4+Presion_cilindro!$B$34),1-EXP(-Presion_cilindro!$B$16*((Presion_cilindro!N392-(-M$4+Presion_cilindro!$B$34))/Presion_cilindro!$B$35)^(Presion_cilindro!$B$17+1)),0)-IF(Presion_cilindro!N391&gt;(-M$4+Presion_cilindro!$B$34),1-EXP(-Presion_cilindro!$B$16*((Presion_cilindro!N391-(-M$4+Presion_cilindro!$B$34))/Presion_cilindro!$B$35)^(Presion_cilindro!$B$17+1)),0))/((Presion_cilindro!O391+Presion_cilindro!O392)/2)</f>
        <v>41.529131046630916</v>
      </c>
      <c r="N400" s="27">
        <f>N399*(Presion_cilindro!O391/Presion_cilindro!O392)^Presion_cilindro!$B$9+10*(Presion_cilindro!$B$9-1)*Presion_cilindro!$B$33*(IF(Presion_cilindro!N392&gt;(-N$4+Presion_cilindro!$B$34),1-EXP(-Presion_cilindro!$B$16*((Presion_cilindro!N392-(-N$4+Presion_cilindro!$B$34))/Presion_cilindro!$B$35)^(Presion_cilindro!$B$17+1)),0)-IF(Presion_cilindro!N391&gt;(-N$4+Presion_cilindro!$B$34),1-EXP(-Presion_cilindro!$B$16*((Presion_cilindro!N391-(-N$4+Presion_cilindro!$B$34))/Presion_cilindro!$B$35)^(Presion_cilindro!$B$17+1)),0))/((Presion_cilindro!O391+Presion_cilindro!O392)/2)</f>
        <v>42.729726310535085</v>
      </c>
    </row>
    <row r="401" spans="1:14" x14ac:dyDescent="0.25">
      <c r="A401" s="21">
        <f>Presion_cilindro!N393</f>
        <v>14.5</v>
      </c>
      <c r="B401" s="27">
        <f>B400*(Presion_cilindro!O392/Presion_cilindro!O393)^Presion_cilindro!$B$9+10*(Presion_cilindro!$B$9-1)*Presion_cilindro!$B$33*(IF(Presion_cilindro!N393&gt;(-B$4+Presion_cilindro!$B$34),1-EXP(-Presion_cilindro!$B$16*((Presion_cilindro!N393-(-B$4+Presion_cilindro!$B$34))/Presion_cilindro!$B$35)^(Presion_cilindro!$B$17+1)),0)-IF(Presion_cilindro!N392&gt;(-B$4+Presion_cilindro!$B$34),1-EXP(-Presion_cilindro!$B$16*((Presion_cilindro!N392-(-B$4+Presion_cilindro!$B$34))/Presion_cilindro!$B$35)^(Presion_cilindro!$B$17+1)),0))/((Presion_cilindro!O392+Presion_cilindro!O393)/2)</f>
        <v>12.724672676770558</v>
      </c>
      <c r="C401" s="27">
        <f>C400*(Presion_cilindro!O392/Presion_cilindro!O393)^Presion_cilindro!$B$9+10*(Presion_cilindro!$B$9-1)*Presion_cilindro!$B$33*(IF(Presion_cilindro!N393&gt;(-C$4+Presion_cilindro!$B$34),1-EXP(-Presion_cilindro!$B$16*((Presion_cilindro!N393-(-C$4+Presion_cilindro!$B$34))/Presion_cilindro!$B$35)^(Presion_cilindro!$B$17+1)),0)-IF(Presion_cilindro!N392&gt;(-C$4+Presion_cilindro!$B$34),1-EXP(-Presion_cilindro!$B$16*((Presion_cilindro!N392-(-C$4+Presion_cilindro!$B$34))/Presion_cilindro!$B$35)^(Presion_cilindro!$B$17+1)),0))/((Presion_cilindro!O392+Presion_cilindro!O393)/2)</f>
        <v>14.254429061070127</v>
      </c>
      <c r="D401" s="27">
        <f>D400*(Presion_cilindro!O392/Presion_cilindro!O393)^Presion_cilindro!$B$9+10*(Presion_cilindro!$B$9-1)*Presion_cilindro!$B$33*(IF(Presion_cilindro!N393&gt;(-D$4+Presion_cilindro!$B$34),1-EXP(-Presion_cilindro!$B$16*((Presion_cilindro!N393-(-D$4+Presion_cilindro!$B$34))/Presion_cilindro!$B$35)^(Presion_cilindro!$B$17+1)),0)-IF(Presion_cilindro!N392&gt;(-D$4+Presion_cilindro!$B$34),1-EXP(-Presion_cilindro!$B$16*((Presion_cilindro!N392-(-D$4+Presion_cilindro!$B$34))/Presion_cilindro!$B$35)^(Presion_cilindro!$B$17+1)),0))/((Presion_cilindro!O392+Presion_cilindro!O393)/2)</f>
        <v>17.352781102468377</v>
      </c>
      <c r="E401" s="27">
        <f>E400*(Presion_cilindro!O392/Presion_cilindro!O393)^Presion_cilindro!$B$9+10*(Presion_cilindro!$B$9-1)*Presion_cilindro!$B$33*(IF(Presion_cilindro!N393&gt;(-E$4+Presion_cilindro!$B$34),1-EXP(-Presion_cilindro!$B$16*((Presion_cilindro!N393-(-E$4+Presion_cilindro!$B$34))/Presion_cilindro!$B$35)^(Presion_cilindro!$B$17+1)),0)-IF(Presion_cilindro!N392&gt;(-E$4+Presion_cilindro!$B$34),1-EXP(-Presion_cilindro!$B$16*((Presion_cilindro!N392-(-E$4+Presion_cilindro!$B$34))/Presion_cilindro!$B$35)^(Presion_cilindro!$B$17+1)),0))/((Presion_cilindro!O392+Presion_cilindro!O393)/2)</f>
        <v>21.889442924057516</v>
      </c>
      <c r="F401" s="27">
        <f>F400*(Presion_cilindro!O392/Presion_cilindro!O393)^Presion_cilindro!$B$9+10*(Presion_cilindro!$B$9-1)*Presion_cilindro!$B$33*(IF(Presion_cilindro!N393&gt;(-F$4+Presion_cilindro!$B$34),1-EXP(-Presion_cilindro!$B$16*((Presion_cilindro!N393-(-F$4+Presion_cilindro!$B$34))/Presion_cilindro!$B$35)^(Presion_cilindro!$B$17+1)),0)-IF(Presion_cilindro!N392&gt;(-F$4+Presion_cilindro!$B$34),1-EXP(-Presion_cilindro!$B$16*((Presion_cilindro!N392-(-F$4+Presion_cilindro!$B$34))/Presion_cilindro!$B$35)^(Presion_cilindro!$B$17+1)),0))/((Presion_cilindro!O392+Presion_cilindro!O393)/2)</f>
        <v>27.065220118289893</v>
      </c>
      <c r="G401" s="27">
        <f>G400*(Presion_cilindro!O392/Presion_cilindro!O393)^Presion_cilindro!$B$9+10*(Presion_cilindro!$B$9-1)*Presion_cilindro!$B$33*(IF(Presion_cilindro!N393&gt;(-G$4+Presion_cilindro!$B$34),1-EXP(-Presion_cilindro!$B$16*((Presion_cilindro!N393-(-G$4+Presion_cilindro!$B$34))/Presion_cilindro!$B$35)^(Presion_cilindro!$B$17+1)),0)-IF(Presion_cilindro!N392&gt;(-G$4+Presion_cilindro!$B$34),1-EXP(-Presion_cilindro!$B$16*((Presion_cilindro!N392-(-G$4+Presion_cilindro!$B$34))/Presion_cilindro!$B$35)^(Presion_cilindro!$B$17+1)),0))/((Presion_cilindro!O392+Presion_cilindro!O393)/2)</f>
        <v>31.755334241627974</v>
      </c>
      <c r="H401" s="27">
        <f>H400*(Presion_cilindro!O392/Presion_cilindro!O393)^Presion_cilindro!$B$9+10*(Presion_cilindro!$B$9-1)*Presion_cilindro!$B$33*(IF(Presion_cilindro!N393&gt;(-H$4+Presion_cilindro!$B$34),1-EXP(-Presion_cilindro!$B$16*((Presion_cilindro!N393-(-H$4+Presion_cilindro!$B$34))/Presion_cilindro!$B$35)^(Presion_cilindro!$B$17+1)),0)-IF(Presion_cilindro!N392&gt;(-H$4+Presion_cilindro!$B$34),1-EXP(-Presion_cilindro!$B$16*((Presion_cilindro!N392-(-H$4+Presion_cilindro!$B$34))/Presion_cilindro!$B$35)^(Presion_cilindro!$B$17+1)),0))/((Presion_cilindro!O392+Presion_cilindro!O393)/2)</f>
        <v>35.146988161720564</v>
      </c>
      <c r="I401" s="27">
        <f>I400*(Presion_cilindro!O392/Presion_cilindro!O393)^Presion_cilindro!$B$9+10*(Presion_cilindro!$B$9-1)*Presion_cilindro!$B$33*(IF(Presion_cilindro!N393&gt;(-I$4+Presion_cilindro!$B$34),1-EXP(-Presion_cilindro!$B$16*((Presion_cilindro!N393-(-I$4+Presion_cilindro!$B$34))/Presion_cilindro!$B$35)^(Presion_cilindro!$B$17+1)),0)-IF(Presion_cilindro!N392&gt;(-I$4+Presion_cilindro!$B$34),1-EXP(-Presion_cilindro!$B$16*((Presion_cilindro!N392-(-I$4+Presion_cilindro!$B$34))/Presion_cilindro!$B$35)^(Presion_cilindro!$B$17+1)),0))/((Presion_cilindro!O392+Presion_cilindro!O393)/2)</f>
        <v>37.155493233639035</v>
      </c>
      <c r="J401" s="27">
        <f>J400*(Presion_cilindro!O392/Presion_cilindro!O393)^Presion_cilindro!$B$9+10*(Presion_cilindro!$B$9-1)*Presion_cilindro!$B$33*(IF(Presion_cilindro!N393&gt;(-J$4+Presion_cilindro!$B$34),1-EXP(-Presion_cilindro!$B$16*((Presion_cilindro!N393-(-J$4+Presion_cilindro!$B$34))/Presion_cilindro!$B$35)^(Presion_cilindro!$B$17+1)),0)-IF(Presion_cilindro!N392&gt;(-J$4+Presion_cilindro!$B$34),1-EXP(-Presion_cilindro!$B$16*((Presion_cilindro!N392-(-J$4+Presion_cilindro!$B$34))/Presion_cilindro!$B$35)^(Presion_cilindro!$B$17+1)),0))/((Presion_cilindro!O392+Presion_cilindro!O393)/2)</f>
        <v>38.270706372552269</v>
      </c>
      <c r="K401" s="27">
        <f>K400*(Presion_cilindro!O392/Presion_cilindro!O393)^Presion_cilindro!$B$9+10*(Presion_cilindro!$B$9-1)*Presion_cilindro!$B$33*(IF(Presion_cilindro!N393&gt;(-K$4+Presion_cilindro!$B$34),1-EXP(-Presion_cilindro!$B$16*((Presion_cilindro!N393-(-K$4+Presion_cilindro!$B$34))/Presion_cilindro!$B$35)^(Presion_cilindro!$B$17+1)),0)-IF(Presion_cilindro!N392&gt;(-K$4+Presion_cilindro!$B$34),1-EXP(-Presion_cilindro!$B$16*((Presion_cilindro!N392-(-K$4+Presion_cilindro!$B$34))/Presion_cilindro!$B$35)^(Presion_cilindro!$B$17+1)),0))/((Presion_cilindro!O392+Presion_cilindro!O393)/2)</f>
        <v>39.077090173943425</v>
      </c>
      <c r="L401" s="27">
        <f>L400*(Presion_cilindro!O392/Presion_cilindro!O393)^Presion_cilindro!$B$9+10*(Presion_cilindro!$B$9-1)*Presion_cilindro!$B$33*(IF(Presion_cilindro!N393&gt;(-L$4+Presion_cilindro!$B$34),1-EXP(-Presion_cilindro!$B$16*((Presion_cilindro!N393-(-L$4+Presion_cilindro!$B$34))/Presion_cilindro!$B$35)^(Presion_cilindro!$B$17+1)),0)-IF(Presion_cilindro!N392&gt;(-L$4+Presion_cilindro!$B$34),1-EXP(-Presion_cilindro!$B$16*((Presion_cilindro!N392-(-L$4+Presion_cilindro!$B$34))/Presion_cilindro!$B$35)^(Presion_cilindro!$B$17+1)),0))/((Presion_cilindro!O392+Presion_cilindro!O393)/2)</f>
        <v>39.932307631559816</v>
      </c>
      <c r="M401" s="27">
        <f>M400*(Presion_cilindro!O392/Presion_cilindro!O393)^Presion_cilindro!$B$9+10*(Presion_cilindro!$B$9-1)*Presion_cilindro!$B$33*(IF(Presion_cilindro!N393&gt;(-M$4+Presion_cilindro!$B$34),1-EXP(-Presion_cilindro!$B$16*((Presion_cilindro!N393-(-M$4+Presion_cilindro!$B$34))/Presion_cilindro!$B$35)^(Presion_cilindro!$B$17+1)),0)-IF(Presion_cilindro!N392&gt;(-M$4+Presion_cilindro!$B$34),1-EXP(-Presion_cilindro!$B$16*((Presion_cilindro!N392-(-M$4+Presion_cilindro!$B$34))/Presion_cilindro!$B$35)^(Presion_cilindro!$B$17+1)),0))/((Presion_cilindro!O392+Presion_cilindro!O393)/2)</f>
        <v>40.95421164454222</v>
      </c>
      <c r="N401" s="27">
        <f>N400*(Presion_cilindro!O392/Presion_cilindro!O393)^Presion_cilindro!$B$9+10*(Presion_cilindro!$B$9-1)*Presion_cilindro!$B$33*(IF(Presion_cilindro!N393&gt;(-N$4+Presion_cilindro!$B$34),1-EXP(-Presion_cilindro!$B$16*((Presion_cilindro!N393-(-N$4+Presion_cilindro!$B$34))/Presion_cilindro!$B$35)^(Presion_cilindro!$B$17+1)),0)-IF(Presion_cilindro!N392&gt;(-N$4+Presion_cilindro!$B$34),1-EXP(-Presion_cilindro!$B$16*((Presion_cilindro!N392-(-N$4+Presion_cilindro!$B$34))/Presion_cilindro!$B$35)^(Presion_cilindro!$B$17+1)),0))/((Presion_cilindro!O392+Presion_cilindro!O393)/2)</f>
        <v>42.137848016644568</v>
      </c>
    </row>
    <row r="402" spans="1:14" x14ac:dyDescent="0.25">
      <c r="A402" s="21">
        <f>Presion_cilindro!N394</f>
        <v>15</v>
      </c>
      <c r="B402" s="27">
        <f>B401*(Presion_cilindro!O393/Presion_cilindro!O394)^Presion_cilindro!$B$9+10*(Presion_cilindro!$B$9-1)*Presion_cilindro!$B$33*(IF(Presion_cilindro!N394&gt;(-B$4+Presion_cilindro!$B$34),1-EXP(-Presion_cilindro!$B$16*((Presion_cilindro!N394-(-B$4+Presion_cilindro!$B$34))/Presion_cilindro!$B$35)^(Presion_cilindro!$B$17+1)),0)-IF(Presion_cilindro!N393&gt;(-B$4+Presion_cilindro!$B$34),1-EXP(-Presion_cilindro!$B$16*((Presion_cilindro!N393-(-B$4+Presion_cilindro!$B$34))/Presion_cilindro!$B$35)^(Presion_cilindro!$B$17+1)),0))/((Presion_cilindro!O393+Presion_cilindro!O394)/2)</f>
        <v>12.636736957577549</v>
      </c>
      <c r="C402" s="27">
        <f>C401*(Presion_cilindro!O393/Presion_cilindro!O394)^Presion_cilindro!$B$9+10*(Presion_cilindro!$B$9-1)*Presion_cilindro!$B$33*(IF(Presion_cilindro!N394&gt;(-C$4+Presion_cilindro!$B$34),1-EXP(-Presion_cilindro!$B$16*((Presion_cilindro!N394-(-C$4+Presion_cilindro!$B$34))/Presion_cilindro!$B$35)^(Presion_cilindro!$B$17+1)),0)-IF(Presion_cilindro!N393&gt;(-C$4+Presion_cilindro!$B$34),1-EXP(-Presion_cilindro!$B$16*((Presion_cilindro!N393-(-C$4+Presion_cilindro!$B$34))/Presion_cilindro!$B$35)^(Presion_cilindro!$B$17+1)),0))/((Presion_cilindro!O393+Presion_cilindro!O394)/2)</f>
        <v>14.291906235739743</v>
      </c>
      <c r="D402" s="27">
        <f>D401*(Presion_cilindro!O393/Presion_cilindro!O394)^Presion_cilindro!$B$9+10*(Presion_cilindro!$B$9-1)*Presion_cilindro!$B$33*(IF(Presion_cilindro!N394&gt;(-D$4+Presion_cilindro!$B$34),1-EXP(-Presion_cilindro!$B$16*((Presion_cilindro!N394-(-D$4+Presion_cilindro!$B$34))/Presion_cilindro!$B$35)^(Presion_cilindro!$B$17+1)),0)-IF(Presion_cilindro!N393&gt;(-D$4+Presion_cilindro!$B$34),1-EXP(-Presion_cilindro!$B$16*((Presion_cilindro!N393-(-D$4+Presion_cilindro!$B$34))/Presion_cilindro!$B$35)^(Presion_cilindro!$B$17+1)),0))/((Presion_cilindro!O393+Presion_cilindro!O394)/2)</f>
        <v>17.513740806550615</v>
      </c>
      <c r="E402" s="27">
        <f>E401*(Presion_cilindro!O393/Presion_cilindro!O394)^Presion_cilindro!$B$9+10*(Presion_cilindro!$B$9-1)*Presion_cilindro!$B$33*(IF(Presion_cilindro!N394&gt;(-E$4+Presion_cilindro!$B$34),1-EXP(-Presion_cilindro!$B$16*((Presion_cilindro!N394-(-E$4+Presion_cilindro!$B$34))/Presion_cilindro!$B$35)^(Presion_cilindro!$B$17+1)),0)-IF(Presion_cilindro!N393&gt;(-E$4+Presion_cilindro!$B$34),1-EXP(-Presion_cilindro!$B$16*((Presion_cilindro!N393-(-E$4+Presion_cilindro!$B$34))/Presion_cilindro!$B$35)^(Presion_cilindro!$B$17+1)),0))/((Presion_cilindro!O393+Presion_cilindro!O394)/2)</f>
        <v>22.103220245679456</v>
      </c>
      <c r="F402" s="27">
        <f>F401*(Presion_cilindro!O393/Presion_cilindro!O394)^Presion_cilindro!$B$9+10*(Presion_cilindro!$B$9-1)*Presion_cilindro!$B$33*(IF(Presion_cilindro!N394&gt;(-F$4+Presion_cilindro!$B$34),1-EXP(-Presion_cilindro!$B$16*((Presion_cilindro!N394-(-F$4+Presion_cilindro!$B$34))/Presion_cilindro!$B$35)^(Presion_cilindro!$B$17+1)),0)-IF(Presion_cilindro!N393&gt;(-F$4+Presion_cilindro!$B$34),1-EXP(-Presion_cilindro!$B$16*((Presion_cilindro!N393-(-F$4+Presion_cilindro!$B$34))/Presion_cilindro!$B$35)^(Presion_cilindro!$B$17+1)),0))/((Presion_cilindro!O393+Presion_cilindro!O394)/2)</f>
        <v>27.212823979243669</v>
      </c>
      <c r="G402" s="27">
        <f>G401*(Presion_cilindro!O393/Presion_cilindro!O394)^Presion_cilindro!$B$9+10*(Presion_cilindro!$B$9-1)*Presion_cilindro!$B$33*(IF(Presion_cilindro!N394&gt;(-G$4+Presion_cilindro!$B$34),1-EXP(-Presion_cilindro!$B$16*((Presion_cilindro!N394-(-G$4+Presion_cilindro!$B$34))/Presion_cilindro!$B$35)^(Presion_cilindro!$B$17+1)),0)-IF(Presion_cilindro!N393&gt;(-G$4+Presion_cilindro!$B$34),1-EXP(-Presion_cilindro!$B$16*((Presion_cilindro!N393-(-G$4+Presion_cilindro!$B$34))/Presion_cilindro!$B$35)^(Presion_cilindro!$B$17+1)),0))/((Presion_cilindro!O393+Presion_cilindro!O394)/2)</f>
        <v>31.730461278333674</v>
      </c>
      <c r="H402" s="27">
        <f>H401*(Presion_cilindro!O393/Presion_cilindro!O394)^Presion_cilindro!$B$9+10*(Presion_cilindro!$B$9-1)*Presion_cilindro!$B$33*(IF(Presion_cilindro!N394&gt;(-H$4+Presion_cilindro!$B$34),1-EXP(-Presion_cilindro!$B$16*((Presion_cilindro!N394-(-H$4+Presion_cilindro!$B$34))/Presion_cilindro!$B$35)^(Presion_cilindro!$B$17+1)),0)-IF(Presion_cilindro!N393&gt;(-H$4+Presion_cilindro!$B$34),1-EXP(-Presion_cilindro!$B$16*((Presion_cilindro!N393-(-H$4+Presion_cilindro!$B$34))/Presion_cilindro!$B$35)^(Presion_cilindro!$B$17+1)),0))/((Presion_cilindro!O393+Presion_cilindro!O394)/2)</f>
        <v>34.914548219537352</v>
      </c>
      <c r="I402" s="27">
        <f>I401*(Presion_cilindro!O393/Presion_cilindro!O394)^Presion_cilindro!$B$9+10*(Presion_cilindro!$B$9-1)*Presion_cilindro!$B$33*(IF(Presion_cilindro!N394&gt;(-I$4+Presion_cilindro!$B$34),1-EXP(-Presion_cilindro!$B$16*((Presion_cilindro!N394-(-I$4+Presion_cilindro!$B$34))/Presion_cilindro!$B$35)^(Presion_cilindro!$B$17+1)),0)-IF(Presion_cilindro!N393&gt;(-I$4+Presion_cilindro!$B$34),1-EXP(-Presion_cilindro!$B$16*((Presion_cilindro!N393-(-I$4+Presion_cilindro!$B$34))/Presion_cilindro!$B$35)^(Presion_cilindro!$B$17+1)),0))/((Presion_cilindro!O393+Presion_cilindro!O394)/2)</f>
        <v>36.756141527602381</v>
      </c>
      <c r="J402" s="27">
        <f>J401*(Presion_cilindro!O393/Presion_cilindro!O394)^Presion_cilindro!$B$9+10*(Presion_cilindro!$B$9-1)*Presion_cilindro!$B$33*(IF(Presion_cilindro!N394&gt;(-J$4+Presion_cilindro!$B$34),1-EXP(-Presion_cilindro!$B$16*((Presion_cilindro!N394-(-J$4+Presion_cilindro!$B$34))/Presion_cilindro!$B$35)^(Presion_cilindro!$B$17+1)),0)-IF(Presion_cilindro!N393&gt;(-J$4+Presion_cilindro!$B$34),1-EXP(-Presion_cilindro!$B$16*((Presion_cilindro!N393-(-J$4+Presion_cilindro!$B$34))/Presion_cilindro!$B$35)^(Presion_cilindro!$B$17+1)),0))/((Presion_cilindro!O393+Presion_cilindro!O394)/2)</f>
        <v>37.774021855540965</v>
      </c>
      <c r="K402" s="27">
        <f>K401*(Presion_cilindro!O393/Presion_cilindro!O394)^Presion_cilindro!$B$9+10*(Presion_cilindro!$B$9-1)*Presion_cilindro!$B$33*(IF(Presion_cilindro!N394&gt;(-K$4+Presion_cilindro!$B$34),1-EXP(-Presion_cilindro!$B$16*((Presion_cilindro!N394-(-K$4+Presion_cilindro!$B$34))/Presion_cilindro!$B$35)^(Presion_cilindro!$B$17+1)),0)-IF(Presion_cilindro!N393&gt;(-K$4+Presion_cilindro!$B$34),1-EXP(-Presion_cilindro!$B$16*((Presion_cilindro!N393-(-K$4+Presion_cilindro!$B$34))/Presion_cilindro!$B$35)^(Presion_cilindro!$B$17+1)),0))/((Presion_cilindro!O393+Presion_cilindro!O394)/2)</f>
        <v>38.535361173576632</v>
      </c>
      <c r="L402" s="27">
        <f>L401*(Presion_cilindro!O393/Presion_cilindro!O394)^Presion_cilindro!$B$9+10*(Presion_cilindro!$B$9-1)*Presion_cilindro!$B$33*(IF(Presion_cilindro!N394&gt;(-L$4+Presion_cilindro!$B$34),1-EXP(-Presion_cilindro!$B$16*((Presion_cilindro!N394-(-L$4+Presion_cilindro!$B$34))/Presion_cilindro!$B$35)^(Presion_cilindro!$B$17+1)),0)-IF(Presion_cilindro!N393&gt;(-L$4+Presion_cilindro!$B$34),1-EXP(-Presion_cilindro!$B$16*((Presion_cilindro!N393-(-L$4+Presion_cilindro!$B$34))/Presion_cilindro!$B$35)^(Presion_cilindro!$B$17+1)),0))/((Presion_cilindro!O393+Presion_cilindro!O394)/2)</f>
        <v>39.368763085858006</v>
      </c>
      <c r="M402" s="27">
        <f>M401*(Presion_cilindro!O393/Presion_cilindro!O394)^Presion_cilindro!$B$9+10*(Presion_cilindro!$B$9-1)*Presion_cilindro!$B$33*(IF(Presion_cilindro!N394&gt;(-M$4+Presion_cilindro!$B$34),1-EXP(-Presion_cilindro!$B$16*((Presion_cilindro!N394-(-M$4+Presion_cilindro!$B$34))/Presion_cilindro!$B$35)^(Presion_cilindro!$B$17+1)),0)-IF(Presion_cilindro!N393&gt;(-M$4+Presion_cilindro!$B$34),1-EXP(-Presion_cilindro!$B$16*((Presion_cilindro!N393-(-M$4+Presion_cilindro!$B$34))/Presion_cilindro!$B$35)^(Presion_cilindro!$B$17+1)),0))/((Presion_cilindro!O393+Presion_cilindro!O394)/2)</f>
        <v>40.374256929316047</v>
      </c>
      <c r="N402" s="27">
        <f>N401*(Presion_cilindro!O393/Presion_cilindro!O394)^Presion_cilindro!$B$9+10*(Presion_cilindro!$B$9-1)*Presion_cilindro!$B$33*(IF(Presion_cilindro!N394&gt;(-N$4+Presion_cilindro!$B$34),1-EXP(-Presion_cilindro!$B$16*((Presion_cilindro!N394-(-N$4+Presion_cilindro!$B$34))/Presion_cilindro!$B$35)^(Presion_cilindro!$B$17+1)),0)-IF(Presion_cilindro!N393&gt;(-N$4+Presion_cilindro!$B$34),1-EXP(-Presion_cilindro!$B$16*((Presion_cilindro!N393-(-N$4+Presion_cilindro!$B$34))/Presion_cilindro!$B$35)^(Presion_cilindro!$B$17+1)),0))/((Presion_cilindro!O393+Presion_cilindro!O394)/2)</f>
        <v>41.540862890129745</v>
      </c>
    </row>
    <row r="403" spans="1:14" x14ac:dyDescent="0.25">
      <c r="A403" s="21">
        <f>Presion_cilindro!N395</f>
        <v>15.5</v>
      </c>
      <c r="B403" s="27">
        <f>B402*(Presion_cilindro!O394/Presion_cilindro!O395)^Presion_cilindro!$B$9+10*(Presion_cilindro!$B$9-1)*Presion_cilindro!$B$33*(IF(Presion_cilindro!N395&gt;(-B$4+Presion_cilindro!$B$34),1-EXP(-Presion_cilindro!$B$16*((Presion_cilindro!N395-(-B$4+Presion_cilindro!$B$34))/Presion_cilindro!$B$35)^(Presion_cilindro!$B$17+1)),0)-IF(Presion_cilindro!N394&gt;(-B$4+Presion_cilindro!$B$34),1-EXP(-Presion_cilindro!$B$16*((Presion_cilindro!N394-(-B$4+Presion_cilindro!$B$34))/Presion_cilindro!$B$35)^(Presion_cilindro!$B$17+1)),0))/((Presion_cilindro!O394+Presion_cilindro!O395)/2)</f>
        <v>12.557339603652611</v>
      </c>
      <c r="C403" s="27">
        <f>C402*(Presion_cilindro!O394/Presion_cilindro!O395)^Presion_cilindro!$B$9+10*(Presion_cilindro!$B$9-1)*Presion_cilindro!$B$33*(IF(Presion_cilindro!N395&gt;(-C$4+Presion_cilindro!$B$34),1-EXP(-Presion_cilindro!$B$16*((Presion_cilindro!N395-(-C$4+Presion_cilindro!$B$34))/Presion_cilindro!$B$35)^(Presion_cilindro!$B$17+1)),0)-IF(Presion_cilindro!N394&gt;(-C$4+Presion_cilindro!$B$34),1-EXP(-Presion_cilindro!$B$16*((Presion_cilindro!N394-(-C$4+Presion_cilindro!$B$34))/Presion_cilindro!$B$35)^(Presion_cilindro!$B$17+1)),0))/((Presion_cilindro!O394+Presion_cilindro!O395)/2)</f>
        <v>14.338629619019862</v>
      </c>
      <c r="D403" s="27">
        <f>D402*(Presion_cilindro!O394/Presion_cilindro!O395)^Presion_cilindro!$B$9+10*(Presion_cilindro!$B$9-1)*Presion_cilindro!$B$33*(IF(Presion_cilindro!N395&gt;(-D$4+Presion_cilindro!$B$34),1-EXP(-Presion_cilindro!$B$16*((Presion_cilindro!N395-(-D$4+Presion_cilindro!$B$34))/Presion_cilindro!$B$35)^(Presion_cilindro!$B$17+1)),0)-IF(Presion_cilindro!N394&gt;(-D$4+Presion_cilindro!$B$34),1-EXP(-Presion_cilindro!$B$16*((Presion_cilindro!N394-(-D$4+Presion_cilindro!$B$34))/Presion_cilindro!$B$35)^(Presion_cilindro!$B$17+1)),0))/((Presion_cilindro!O394+Presion_cilindro!O395)/2)</f>
        <v>17.677783650192193</v>
      </c>
      <c r="E403" s="27">
        <f>E402*(Presion_cilindro!O394/Presion_cilindro!O395)^Presion_cilindro!$B$9+10*(Presion_cilindro!$B$9-1)*Presion_cilindro!$B$33*(IF(Presion_cilindro!N395&gt;(-E$4+Presion_cilindro!$B$34),1-EXP(-Presion_cilindro!$B$16*((Presion_cilindro!N395-(-E$4+Presion_cilindro!$B$34))/Presion_cilindro!$B$35)^(Presion_cilindro!$B$17+1)),0)-IF(Presion_cilindro!N394&gt;(-E$4+Presion_cilindro!$B$34),1-EXP(-Presion_cilindro!$B$16*((Presion_cilindro!N394-(-E$4+Presion_cilindro!$B$34))/Presion_cilindro!$B$35)^(Presion_cilindro!$B$17+1)),0))/((Presion_cilindro!O394+Presion_cilindro!O395)/2)</f>
        <v>22.307845864815736</v>
      </c>
      <c r="F403" s="27">
        <f>F402*(Presion_cilindro!O394/Presion_cilindro!O395)^Presion_cilindro!$B$9+10*(Presion_cilindro!$B$9-1)*Presion_cilindro!$B$33*(IF(Presion_cilindro!N395&gt;(-F$4+Presion_cilindro!$B$34),1-EXP(-Presion_cilindro!$B$16*((Presion_cilindro!N395-(-F$4+Presion_cilindro!$B$34))/Presion_cilindro!$B$35)^(Presion_cilindro!$B$17+1)),0)-IF(Presion_cilindro!N394&gt;(-F$4+Presion_cilindro!$B$34),1-EXP(-Presion_cilindro!$B$16*((Presion_cilindro!N394-(-F$4+Presion_cilindro!$B$34))/Presion_cilindro!$B$35)^(Presion_cilindro!$B$17+1)),0))/((Presion_cilindro!O394+Presion_cilindro!O395)/2)</f>
        <v>27.338362924183194</v>
      </c>
      <c r="G403" s="27">
        <f>G402*(Presion_cilindro!O394/Presion_cilindro!O395)^Presion_cilindro!$B$9+10*(Presion_cilindro!$B$9-1)*Presion_cilindro!$B$33*(IF(Presion_cilindro!N395&gt;(-G$4+Presion_cilindro!$B$34),1-EXP(-Presion_cilindro!$B$16*((Presion_cilindro!N395-(-G$4+Presion_cilindro!$B$34))/Presion_cilindro!$B$35)^(Presion_cilindro!$B$17+1)),0)-IF(Presion_cilindro!N394&gt;(-G$4+Presion_cilindro!$B$34),1-EXP(-Presion_cilindro!$B$16*((Presion_cilindro!N394-(-G$4+Presion_cilindro!$B$34))/Presion_cilindro!$B$35)^(Presion_cilindro!$B$17+1)),0))/((Presion_cilindro!O394+Presion_cilindro!O395)/2)</f>
        <v>31.677049578496845</v>
      </c>
      <c r="H403" s="27">
        <f>H402*(Presion_cilindro!O394/Presion_cilindro!O395)^Presion_cilindro!$B$9+10*(Presion_cilindro!$B$9-1)*Presion_cilindro!$B$33*(IF(Presion_cilindro!N395&gt;(-H$4+Presion_cilindro!$B$34),1-EXP(-Presion_cilindro!$B$16*((Presion_cilindro!N395-(-H$4+Presion_cilindro!$B$34))/Presion_cilindro!$B$35)^(Presion_cilindro!$B$17+1)),0)-IF(Presion_cilindro!N394&gt;(-H$4+Presion_cilindro!$B$34),1-EXP(-Presion_cilindro!$B$16*((Presion_cilindro!N394-(-H$4+Presion_cilindro!$B$34))/Presion_cilindro!$B$35)^(Presion_cilindro!$B$17+1)),0))/((Presion_cilindro!O394+Presion_cilindro!O395)/2)</f>
        <v>34.656355115103146</v>
      </c>
      <c r="I403" s="27">
        <f>I402*(Presion_cilindro!O394/Presion_cilindro!O395)^Presion_cilindro!$B$9+10*(Presion_cilindro!$B$9-1)*Presion_cilindro!$B$33*(IF(Presion_cilindro!N395&gt;(-I$4+Presion_cilindro!$B$34),1-EXP(-Presion_cilindro!$B$16*((Presion_cilindro!N395-(-I$4+Presion_cilindro!$B$34))/Presion_cilindro!$B$35)^(Presion_cilindro!$B$17+1)),0)-IF(Presion_cilindro!N394&gt;(-I$4+Presion_cilindro!$B$34),1-EXP(-Presion_cilindro!$B$16*((Presion_cilindro!N394-(-I$4+Presion_cilindro!$B$34))/Presion_cilindro!$B$35)^(Presion_cilindro!$B$17+1)),0))/((Presion_cilindro!O394+Presion_cilindro!O395)/2)</f>
        <v>36.339241707416754</v>
      </c>
      <c r="J403" s="27">
        <f>J402*(Presion_cilindro!O394/Presion_cilindro!O395)^Presion_cilindro!$B$9+10*(Presion_cilindro!$B$9-1)*Presion_cilindro!$B$33*(IF(Presion_cilindro!N395&gt;(-J$4+Presion_cilindro!$B$34),1-EXP(-Presion_cilindro!$B$16*((Presion_cilindro!N395-(-J$4+Presion_cilindro!$B$34))/Presion_cilindro!$B$35)^(Presion_cilindro!$B$17+1)),0)-IF(Presion_cilindro!N394&gt;(-J$4+Presion_cilindro!$B$34),1-EXP(-Presion_cilindro!$B$16*((Presion_cilindro!N394-(-J$4+Presion_cilindro!$B$34))/Presion_cilindro!$B$35)^(Presion_cilindro!$B$17+1)),0))/((Presion_cilindro!O394+Presion_cilindro!O395)/2)</f>
        <v>37.267394546915099</v>
      </c>
      <c r="K403" s="27">
        <f>K402*(Presion_cilindro!O394/Presion_cilindro!O395)^Presion_cilindro!$B$9+10*(Presion_cilindro!$B$9-1)*Presion_cilindro!$B$33*(IF(Presion_cilindro!N395&gt;(-K$4+Presion_cilindro!$B$34),1-EXP(-Presion_cilindro!$B$16*((Presion_cilindro!N395-(-K$4+Presion_cilindro!$B$34))/Presion_cilindro!$B$35)^(Presion_cilindro!$B$17+1)),0)-IF(Presion_cilindro!N394&gt;(-K$4+Presion_cilindro!$B$34),1-EXP(-Presion_cilindro!$B$16*((Presion_cilindro!N394-(-K$4+Presion_cilindro!$B$34))/Presion_cilindro!$B$35)^(Presion_cilindro!$B$17+1)),0))/((Presion_cilindro!O394+Presion_cilindro!O395)/2)</f>
        <v>37.987867200119467</v>
      </c>
      <c r="L403" s="27">
        <f>L402*(Presion_cilindro!O394/Presion_cilindro!O395)^Presion_cilindro!$B$9+10*(Presion_cilindro!$B$9-1)*Presion_cilindro!$B$33*(IF(Presion_cilindro!N395&gt;(-L$4+Presion_cilindro!$B$34),1-EXP(-Presion_cilindro!$B$16*((Presion_cilindro!N395-(-L$4+Presion_cilindro!$B$34))/Presion_cilindro!$B$35)^(Presion_cilindro!$B$17+1)),0)-IF(Presion_cilindro!N394&gt;(-L$4+Presion_cilindro!$B$34),1-EXP(-Presion_cilindro!$B$16*((Presion_cilindro!N394-(-L$4+Presion_cilindro!$B$34))/Presion_cilindro!$B$35)^(Presion_cilindro!$B$17+1)),0))/((Presion_cilindro!O394+Presion_cilindro!O395)/2)</f>
        <v>38.800905449940082</v>
      </c>
      <c r="M403" s="27">
        <f>M402*(Presion_cilindro!O394/Presion_cilindro!O395)^Presion_cilindro!$B$9+10*(Presion_cilindro!$B$9-1)*Presion_cilindro!$B$33*(IF(Presion_cilindro!N395&gt;(-M$4+Presion_cilindro!$B$34),1-EXP(-Presion_cilindro!$B$16*((Presion_cilindro!N395-(-M$4+Presion_cilindro!$B$34))/Presion_cilindro!$B$35)^(Presion_cilindro!$B$17+1)),0)-IF(Presion_cilindro!N394&gt;(-M$4+Presion_cilindro!$B$34),1-EXP(-Presion_cilindro!$B$16*((Presion_cilindro!N394-(-M$4+Presion_cilindro!$B$34))/Presion_cilindro!$B$35)^(Presion_cilindro!$B$17+1)),0))/((Presion_cilindro!O394+Presion_cilindro!O395)/2)</f>
        <v>39.790257260445799</v>
      </c>
      <c r="N403" s="27">
        <f>N402*(Presion_cilindro!O394/Presion_cilindro!O395)^Presion_cilindro!$B$9+10*(Presion_cilindro!$B$9-1)*Presion_cilindro!$B$33*(IF(Presion_cilindro!N395&gt;(-N$4+Presion_cilindro!$B$34),1-EXP(-Presion_cilindro!$B$16*((Presion_cilindro!N395-(-N$4+Presion_cilindro!$B$34))/Presion_cilindro!$B$35)^(Presion_cilindro!$B$17+1)),0)-IF(Presion_cilindro!N394&gt;(-N$4+Presion_cilindro!$B$34),1-EXP(-Presion_cilindro!$B$16*((Presion_cilindro!N394-(-N$4+Presion_cilindro!$B$34))/Presion_cilindro!$B$35)^(Presion_cilindro!$B$17+1)),0))/((Presion_cilindro!O394+Presion_cilindro!O395)/2)</f>
        <v>40.939775796118155</v>
      </c>
    </row>
    <row r="404" spans="1:14" x14ac:dyDescent="0.25">
      <c r="A404" s="21">
        <f>Presion_cilindro!N396</f>
        <v>16</v>
      </c>
      <c r="B404" s="27">
        <f>B403*(Presion_cilindro!O395/Presion_cilindro!O396)^Presion_cilindro!$B$9+10*(Presion_cilindro!$B$9-1)*Presion_cilindro!$B$33*(IF(Presion_cilindro!N396&gt;(-B$4+Presion_cilindro!$B$34),1-EXP(-Presion_cilindro!$B$16*((Presion_cilindro!N396-(-B$4+Presion_cilindro!$B$34))/Presion_cilindro!$B$35)^(Presion_cilindro!$B$17+1)),0)-IF(Presion_cilindro!N395&gt;(-B$4+Presion_cilindro!$B$34),1-EXP(-Presion_cilindro!$B$16*((Presion_cilindro!N395-(-B$4+Presion_cilindro!$B$34))/Presion_cilindro!$B$35)^(Presion_cilindro!$B$17+1)),0))/((Presion_cilindro!O395+Presion_cilindro!O396)/2)</f>
        <v>12.486936839754673</v>
      </c>
      <c r="C404" s="27">
        <f>C403*(Presion_cilindro!O395/Presion_cilindro!O396)^Presion_cilindro!$B$9+10*(Presion_cilindro!$B$9-1)*Presion_cilindro!$B$33*(IF(Presion_cilindro!N396&gt;(-C$4+Presion_cilindro!$B$34),1-EXP(-Presion_cilindro!$B$16*((Presion_cilindro!N396-(-C$4+Presion_cilindro!$B$34))/Presion_cilindro!$B$35)^(Presion_cilindro!$B$17+1)),0)-IF(Presion_cilindro!N395&gt;(-C$4+Presion_cilindro!$B$34),1-EXP(-Presion_cilindro!$B$16*((Presion_cilindro!N395-(-C$4+Presion_cilindro!$B$34))/Presion_cilindro!$B$35)^(Presion_cilindro!$B$17+1)),0))/((Presion_cilindro!O395+Presion_cilindro!O396)/2)</f>
        <v>14.394398129615789</v>
      </c>
      <c r="D404" s="27">
        <f>D403*(Presion_cilindro!O395/Presion_cilindro!O396)^Presion_cilindro!$B$9+10*(Presion_cilindro!$B$9-1)*Presion_cilindro!$B$33*(IF(Presion_cilindro!N396&gt;(-D$4+Presion_cilindro!$B$34),1-EXP(-Presion_cilindro!$B$16*((Presion_cilindro!N396-(-D$4+Presion_cilindro!$B$34))/Presion_cilindro!$B$35)^(Presion_cilindro!$B$17+1)),0)-IF(Presion_cilindro!N395&gt;(-D$4+Presion_cilindro!$B$34),1-EXP(-Presion_cilindro!$B$16*((Presion_cilindro!N395-(-D$4+Presion_cilindro!$B$34))/Presion_cilindro!$B$35)^(Presion_cilindro!$B$17+1)),0))/((Presion_cilindro!O395+Presion_cilindro!O396)/2)</f>
        <v>17.84405311475841</v>
      </c>
      <c r="E404" s="27">
        <f>E403*(Presion_cilindro!O395/Presion_cilindro!O396)^Presion_cilindro!$B$9+10*(Presion_cilindro!$B$9-1)*Presion_cilindro!$B$33*(IF(Presion_cilindro!N396&gt;(-E$4+Presion_cilindro!$B$34),1-EXP(-Presion_cilindro!$B$16*((Presion_cilindro!N396-(-E$4+Presion_cilindro!$B$34))/Presion_cilindro!$B$35)^(Presion_cilindro!$B$17+1)),0)-IF(Presion_cilindro!N395&gt;(-E$4+Presion_cilindro!$B$34),1-EXP(-Presion_cilindro!$B$16*((Presion_cilindro!N395-(-E$4+Presion_cilindro!$B$34))/Presion_cilindro!$B$35)^(Presion_cilindro!$B$17+1)),0))/((Presion_cilindro!O395+Presion_cilindro!O396)/2)</f>
        <v>22.502268200458854</v>
      </c>
      <c r="F404" s="27">
        <f>F403*(Presion_cilindro!O395/Presion_cilindro!O396)^Presion_cilindro!$B$9+10*(Presion_cilindro!$B$9-1)*Presion_cilindro!$B$33*(IF(Presion_cilindro!N396&gt;(-F$4+Presion_cilindro!$B$34),1-EXP(-Presion_cilindro!$B$16*((Presion_cilindro!N396-(-F$4+Presion_cilindro!$B$34))/Presion_cilindro!$B$35)^(Presion_cilindro!$B$17+1)),0)-IF(Presion_cilindro!N395&gt;(-F$4+Presion_cilindro!$B$34),1-EXP(-Presion_cilindro!$B$16*((Presion_cilindro!N395-(-F$4+Presion_cilindro!$B$34))/Presion_cilindro!$B$35)^(Presion_cilindro!$B$17+1)),0))/((Presion_cilindro!O395+Presion_cilindro!O396)/2)</f>
        <v>27.441385900035655</v>
      </c>
      <c r="G404" s="27">
        <f>G403*(Presion_cilindro!O395/Presion_cilindro!O396)^Presion_cilindro!$B$9+10*(Presion_cilindro!$B$9-1)*Presion_cilindro!$B$33*(IF(Presion_cilindro!N396&gt;(-G$4+Presion_cilindro!$B$34),1-EXP(-Presion_cilindro!$B$16*((Presion_cilindro!N396-(-G$4+Presion_cilindro!$B$34))/Presion_cilindro!$B$35)^(Presion_cilindro!$B$17+1)),0)-IF(Presion_cilindro!N395&gt;(-G$4+Presion_cilindro!$B$34),1-EXP(-Presion_cilindro!$B$16*((Presion_cilindro!N395-(-G$4+Presion_cilindro!$B$34))/Presion_cilindro!$B$35)^(Presion_cilindro!$B$17+1)),0))/((Presion_cilindro!O395+Presion_cilindro!O396)/2)</f>
        <v>31.595783283555967</v>
      </c>
      <c r="H404" s="27">
        <f>H403*(Presion_cilindro!O395/Presion_cilindro!O396)^Presion_cilindro!$B$9+10*(Presion_cilindro!$B$9-1)*Presion_cilindro!$B$33*(IF(Presion_cilindro!N396&gt;(-H$4+Presion_cilindro!$B$34),1-EXP(-Presion_cilindro!$B$16*((Presion_cilindro!N396-(-H$4+Presion_cilindro!$B$34))/Presion_cilindro!$B$35)^(Presion_cilindro!$B$17+1)),0)-IF(Presion_cilindro!N395&gt;(-H$4+Presion_cilindro!$B$34),1-EXP(-Presion_cilindro!$B$16*((Presion_cilindro!N395-(-H$4+Presion_cilindro!$B$34))/Presion_cilindro!$B$35)^(Presion_cilindro!$B$17+1)),0))/((Presion_cilindro!O395+Presion_cilindro!O396)/2)</f>
        <v>34.374010806631702</v>
      </c>
      <c r="I404" s="27">
        <f>I403*(Presion_cilindro!O395/Presion_cilindro!O396)^Presion_cilindro!$B$9+10*(Presion_cilindro!$B$9-1)*Presion_cilindro!$B$33*(IF(Presion_cilindro!N396&gt;(-I$4+Presion_cilindro!$B$34),1-EXP(-Presion_cilindro!$B$16*((Presion_cilindro!N396-(-I$4+Presion_cilindro!$B$34))/Presion_cilindro!$B$35)^(Presion_cilindro!$B$17+1)),0)-IF(Presion_cilindro!N395&gt;(-I$4+Presion_cilindro!$B$34),1-EXP(-Presion_cilindro!$B$16*((Presion_cilindro!N395-(-I$4+Presion_cilindro!$B$34))/Presion_cilindro!$B$35)^(Presion_cilindro!$B$17+1)),0))/((Presion_cilindro!O395+Presion_cilindro!O396)/2)</f>
        <v>35.906602742770133</v>
      </c>
      <c r="J404" s="27">
        <f>J403*(Presion_cilindro!O395/Presion_cilindro!O396)^Presion_cilindro!$B$9+10*(Presion_cilindro!$B$9-1)*Presion_cilindro!$B$33*(IF(Presion_cilindro!N396&gt;(-J$4+Presion_cilindro!$B$34),1-EXP(-Presion_cilindro!$B$16*((Presion_cilindro!N396-(-J$4+Presion_cilindro!$B$34))/Presion_cilindro!$B$35)^(Presion_cilindro!$B$17+1)),0)-IF(Presion_cilindro!N395&gt;(-J$4+Presion_cilindro!$B$34),1-EXP(-Presion_cilindro!$B$16*((Presion_cilindro!N395-(-J$4+Presion_cilindro!$B$34))/Presion_cilindro!$B$35)^(Presion_cilindro!$B$17+1)),0))/((Presion_cilindro!O395+Presion_cilindro!O396)/2)</f>
        <v>36.752327547358327</v>
      </c>
      <c r="K404" s="27">
        <f>K403*(Presion_cilindro!O395/Presion_cilindro!O396)^Presion_cilindro!$B$9+10*(Presion_cilindro!$B$9-1)*Presion_cilindro!$B$33*(IF(Presion_cilindro!N396&gt;(-K$4+Presion_cilindro!$B$34),1-EXP(-Presion_cilindro!$B$16*((Presion_cilindro!N396-(-K$4+Presion_cilindro!$B$34))/Presion_cilindro!$B$35)^(Presion_cilindro!$B$17+1)),0)-IF(Presion_cilindro!N395&gt;(-K$4+Presion_cilindro!$B$34),1-EXP(-Presion_cilindro!$B$16*((Presion_cilindro!N395-(-K$4+Presion_cilindro!$B$34))/Presion_cilindro!$B$35)^(Presion_cilindro!$B$17+1)),0))/((Presion_cilindro!O395+Presion_cilindro!O396)/2)</f>
        <v>37.435764220656885</v>
      </c>
      <c r="L404" s="27">
        <f>L403*(Presion_cilindro!O395/Presion_cilindro!O396)^Presion_cilindro!$B$9+10*(Presion_cilindro!$B$9-1)*Presion_cilindro!$B$33*(IF(Presion_cilindro!N396&gt;(-L$4+Presion_cilindro!$B$34),1-EXP(-Presion_cilindro!$B$16*((Presion_cilindro!N396-(-L$4+Presion_cilindro!$B$34))/Presion_cilindro!$B$35)^(Presion_cilindro!$B$17+1)),0)-IF(Presion_cilindro!N395&gt;(-L$4+Presion_cilindro!$B$34),1-EXP(-Presion_cilindro!$B$16*((Presion_cilindro!N395-(-L$4+Presion_cilindro!$B$34))/Presion_cilindro!$B$35)^(Presion_cilindro!$B$17+1)),0))/((Presion_cilindro!O395+Presion_cilindro!O396)/2)</f>
        <v>38.229720656607469</v>
      </c>
      <c r="M404" s="27">
        <f>M403*(Presion_cilindro!O395/Presion_cilindro!O396)^Presion_cilindro!$B$9+10*(Presion_cilindro!$B$9-1)*Presion_cilindro!$B$33*(IF(Presion_cilindro!N396&gt;(-M$4+Presion_cilindro!$B$34),1-EXP(-Presion_cilindro!$B$16*((Presion_cilindro!N396-(-M$4+Presion_cilindro!$B$34))/Presion_cilindro!$B$35)^(Presion_cilindro!$B$17+1)),0)-IF(Presion_cilindro!N395&gt;(-M$4+Presion_cilindro!$B$34),1-EXP(-Presion_cilindro!$B$16*((Presion_cilindro!N395-(-M$4+Presion_cilindro!$B$34))/Presion_cilindro!$B$35)^(Presion_cilindro!$B$17+1)),0))/((Presion_cilindro!O395+Presion_cilindro!O396)/2)</f>
        <v>39.203163425027583</v>
      </c>
      <c r="N404" s="27">
        <f>N403*(Presion_cilindro!O395/Presion_cilindro!O396)^Presion_cilindro!$B$9+10*(Presion_cilindro!$B$9-1)*Presion_cilindro!$B$33*(IF(Presion_cilindro!N396&gt;(-N$4+Presion_cilindro!$B$34),1-EXP(-Presion_cilindro!$B$16*((Presion_cilindro!N396-(-N$4+Presion_cilindro!$B$34))/Presion_cilindro!$B$35)^(Presion_cilindro!$B$17+1)),0)-IF(Presion_cilindro!N395&gt;(-N$4+Presion_cilindro!$B$34),1-EXP(-Presion_cilindro!$B$16*((Presion_cilindro!N395-(-N$4+Presion_cilindro!$B$34))/Presion_cilindro!$B$35)^(Presion_cilindro!$B$17+1)),0))/((Presion_cilindro!O395+Presion_cilindro!O396)/2)</f>
        <v>40.335553342406463</v>
      </c>
    </row>
    <row r="405" spans="1:14" x14ac:dyDescent="0.25">
      <c r="A405" s="21">
        <f>Presion_cilindro!N397</f>
        <v>16.5</v>
      </c>
      <c r="B405" s="27">
        <f>B404*(Presion_cilindro!O396/Presion_cilindro!O397)^Presion_cilindro!$B$9+10*(Presion_cilindro!$B$9-1)*Presion_cilindro!$B$33*(IF(Presion_cilindro!N397&gt;(-B$4+Presion_cilindro!$B$34),1-EXP(-Presion_cilindro!$B$16*((Presion_cilindro!N397-(-B$4+Presion_cilindro!$B$34))/Presion_cilindro!$B$35)^(Presion_cilindro!$B$17+1)),0)-IF(Presion_cilindro!N396&gt;(-B$4+Presion_cilindro!$B$34),1-EXP(-Presion_cilindro!$B$16*((Presion_cilindro!N396-(-B$4+Presion_cilindro!$B$34))/Presion_cilindro!$B$35)^(Presion_cilindro!$B$17+1)),0))/((Presion_cilindro!O396+Presion_cilindro!O397)/2)</f>
        <v>12.425911109743216</v>
      </c>
      <c r="C405" s="27">
        <f>C404*(Presion_cilindro!O396/Presion_cilindro!O397)^Presion_cilindro!$B$9+10*(Presion_cilindro!$B$9-1)*Presion_cilindro!$B$33*(IF(Presion_cilindro!N397&gt;(-C$4+Presion_cilindro!$B$34),1-EXP(-Presion_cilindro!$B$16*((Presion_cilindro!N397-(-C$4+Presion_cilindro!$B$34))/Presion_cilindro!$B$35)^(Presion_cilindro!$B$17+1)),0)-IF(Presion_cilindro!N396&gt;(-C$4+Presion_cilindro!$B$34),1-EXP(-Presion_cilindro!$B$16*((Presion_cilindro!N396-(-C$4+Presion_cilindro!$B$34))/Presion_cilindro!$B$35)^(Presion_cilindro!$B$17+1)),0))/((Presion_cilindro!O396+Presion_cilindro!O397)/2)</f>
        <v>14.458934448415489</v>
      </c>
      <c r="D405" s="27">
        <f>D404*(Presion_cilindro!O396/Presion_cilindro!O397)^Presion_cilindro!$B$9+10*(Presion_cilindro!$B$9-1)*Presion_cilindro!$B$33*(IF(Presion_cilindro!N397&gt;(-D$4+Presion_cilindro!$B$34),1-EXP(-Presion_cilindro!$B$16*((Presion_cilindro!N397-(-D$4+Presion_cilindro!$B$34))/Presion_cilindro!$B$35)^(Presion_cilindro!$B$17+1)),0)-IF(Presion_cilindro!N396&gt;(-D$4+Presion_cilindro!$B$34),1-EXP(-Presion_cilindro!$B$16*((Presion_cilindro!N396-(-D$4+Presion_cilindro!$B$34))/Presion_cilindro!$B$35)^(Presion_cilindro!$B$17+1)),0))/((Presion_cilindro!O396+Presion_cilindro!O397)/2)</f>
        <v>18.01165557960546</v>
      </c>
      <c r="E405" s="27">
        <f>E404*(Presion_cilindro!O396/Presion_cilindro!O397)^Presion_cilindro!$B$9+10*(Presion_cilindro!$B$9-1)*Presion_cilindro!$B$33*(IF(Presion_cilindro!N397&gt;(-E$4+Presion_cilindro!$B$34),1-EXP(-Presion_cilindro!$B$16*((Presion_cilindro!N397-(-E$4+Presion_cilindro!$B$34))/Presion_cilindro!$B$35)^(Presion_cilindro!$B$17+1)),0)-IF(Presion_cilindro!N396&gt;(-E$4+Presion_cilindro!$B$34),1-EXP(-Presion_cilindro!$B$16*((Presion_cilindro!N396-(-E$4+Presion_cilindro!$B$34))/Presion_cilindro!$B$35)^(Presion_cilindro!$B$17+1)),0))/((Presion_cilindro!O396+Presion_cilindro!O397)/2)</f>
        <v>22.685480956789164</v>
      </c>
      <c r="F405" s="27">
        <f>F404*(Presion_cilindro!O396/Presion_cilindro!O397)^Presion_cilindro!$B$9+10*(Presion_cilindro!$B$9-1)*Presion_cilindro!$B$33*(IF(Presion_cilindro!N397&gt;(-F$4+Presion_cilindro!$B$34),1-EXP(-Presion_cilindro!$B$16*((Presion_cilindro!N397-(-F$4+Presion_cilindro!$B$34))/Presion_cilindro!$B$35)^(Presion_cilindro!$B$17+1)),0)-IF(Presion_cilindro!N396&gt;(-F$4+Presion_cilindro!$B$34),1-EXP(-Presion_cilindro!$B$16*((Presion_cilindro!N396-(-F$4+Presion_cilindro!$B$34))/Presion_cilindro!$B$35)^(Presion_cilindro!$B$17+1)),0))/((Presion_cilindro!O396+Presion_cilindro!O397)/2)</f>
        <v>27.521561433682109</v>
      </c>
      <c r="G405" s="27">
        <f>G404*(Presion_cilindro!O396/Presion_cilindro!O397)^Presion_cilindro!$B$9+10*(Presion_cilindro!$B$9-1)*Presion_cilindro!$B$33*(IF(Presion_cilindro!N397&gt;(-G$4+Presion_cilindro!$B$34),1-EXP(-Presion_cilindro!$B$16*((Presion_cilindro!N397-(-G$4+Presion_cilindro!$B$34))/Presion_cilindro!$B$35)^(Presion_cilindro!$B$17+1)),0)-IF(Presion_cilindro!N396&gt;(-G$4+Presion_cilindro!$B$34),1-EXP(-Presion_cilindro!$B$16*((Presion_cilindro!N396-(-G$4+Presion_cilindro!$B$34))/Presion_cilindro!$B$35)^(Presion_cilindro!$B$17+1)),0))/((Presion_cilindro!O396+Presion_cilindro!O397)/2)</f>
        <v>31.487463925597662</v>
      </c>
      <c r="H405" s="27">
        <f>H404*(Presion_cilindro!O396/Presion_cilindro!O397)^Presion_cilindro!$B$9+10*(Presion_cilindro!$B$9-1)*Presion_cilindro!$B$33*(IF(Presion_cilindro!N397&gt;(-H$4+Presion_cilindro!$B$34),1-EXP(-Presion_cilindro!$B$16*((Presion_cilindro!N397-(-H$4+Presion_cilindro!$B$34))/Presion_cilindro!$B$35)^(Presion_cilindro!$B$17+1)),0)-IF(Presion_cilindro!N396&gt;(-H$4+Presion_cilindro!$B$34),1-EXP(-Presion_cilindro!$B$16*((Presion_cilindro!N396-(-H$4+Presion_cilindro!$B$34))/Presion_cilindro!$B$35)^(Presion_cilindro!$B$17+1)),0))/((Presion_cilindro!O396+Presion_cilindro!O397)/2)</f>
        <v>34.069153882810411</v>
      </c>
      <c r="I405" s="27">
        <f>I404*(Presion_cilindro!O396/Presion_cilindro!O397)^Presion_cilindro!$B$9+10*(Presion_cilindro!$B$9-1)*Presion_cilindro!$B$33*(IF(Presion_cilindro!N397&gt;(-I$4+Presion_cilindro!$B$34),1-EXP(-Presion_cilindro!$B$16*((Presion_cilindro!N397-(-I$4+Presion_cilindro!$B$34))/Presion_cilindro!$B$35)^(Presion_cilindro!$B$17+1)),0)-IF(Presion_cilindro!N396&gt;(-I$4+Presion_cilindro!$B$34),1-EXP(-Presion_cilindro!$B$16*((Presion_cilindro!N396-(-I$4+Presion_cilindro!$B$34))/Presion_cilindro!$B$35)^(Presion_cilindro!$B$17+1)),0))/((Presion_cilindro!O396+Presion_cilindro!O397)/2)</f>
        <v>35.459985752546658</v>
      </c>
      <c r="J405" s="27">
        <f>J404*(Presion_cilindro!O396/Presion_cilindro!O397)^Presion_cilindro!$B$9+10*(Presion_cilindro!$B$9-1)*Presion_cilindro!$B$33*(IF(Presion_cilindro!N397&gt;(-J$4+Presion_cilindro!$B$34),1-EXP(-Presion_cilindro!$B$16*((Presion_cilindro!N397-(-J$4+Presion_cilindro!$B$34))/Presion_cilindro!$B$35)^(Presion_cilindro!$B$17+1)),0)-IF(Presion_cilindro!N396&gt;(-J$4+Presion_cilindro!$B$34),1-EXP(-Presion_cilindro!$B$16*((Presion_cilindro!N396-(-J$4+Presion_cilindro!$B$34))/Presion_cilindro!$B$35)^(Presion_cilindro!$B$17+1)),0))/((Presion_cilindro!O396+Presion_cilindro!O397)/2)</f>
        <v>36.230246595345697</v>
      </c>
      <c r="K405" s="27">
        <f>K404*(Presion_cilindro!O396/Presion_cilindro!O397)^Presion_cilindro!$B$9+10*(Presion_cilindro!$B$9-1)*Presion_cilindro!$B$33*(IF(Presion_cilindro!N397&gt;(-K$4+Presion_cilindro!$B$34),1-EXP(-Presion_cilindro!$B$16*((Presion_cilindro!N397-(-K$4+Presion_cilindro!$B$34))/Presion_cilindro!$B$35)^(Presion_cilindro!$B$17+1)),0)-IF(Presion_cilindro!N396&gt;(-K$4+Presion_cilindro!$B$34),1-EXP(-Presion_cilindro!$B$16*((Presion_cilindro!N396-(-K$4+Presion_cilindro!$B$34))/Presion_cilindro!$B$35)^(Presion_cilindro!$B$17+1)),0))/((Presion_cilindro!O396+Presion_cilindro!O397)/2)</f>
        <v>36.880143333687414</v>
      </c>
      <c r="L405" s="27">
        <f>L404*(Presion_cilindro!O396/Presion_cilindro!O397)^Presion_cilindro!$B$9+10*(Presion_cilindro!$B$9-1)*Presion_cilindro!$B$33*(IF(Presion_cilindro!N397&gt;(-L$4+Presion_cilindro!$B$34),1-EXP(-Presion_cilindro!$B$16*((Presion_cilindro!N397-(-L$4+Presion_cilindro!$B$34))/Presion_cilindro!$B$35)^(Presion_cilindro!$B$17+1)),0)-IF(Presion_cilindro!N396&gt;(-L$4+Presion_cilindro!$B$34),1-EXP(-Presion_cilindro!$B$16*((Presion_cilindro!N396-(-L$4+Presion_cilindro!$B$34))/Presion_cilindro!$B$35)^(Presion_cilindro!$B$17+1)),0))/((Presion_cilindro!O396+Presion_cilindro!O397)/2)</f>
        <v>37.656146698411185</v>
      </c>
      <c r="M405" s="27">
        <f>M404*(Presion_cilindro!O396/Presion_cilindro!O397)^Presion_cilindro!$B$9+10*(Presion_cilindro!$B$9-1)*Presion_cilindro!$B$33*(IF(Presion_cilindro!N397&gt;(-M$4+Presion_cilindro!$B$34),1-EXP(-Presion_cilindro!$B$16*((Presion_cilindro!N397-(-M$4+Presion_cilindro!$B$34))/Presion_cilindro!$B$35)^(Presion_cilindro!$B$17+1)),0)-IF(Presion_cilindro!N396&gt;(-M$4+Presion_cilindro!$B$34),1-EXP(-Presion_cilindro!$B$16*((Presion_cilindro!N396-(-M$4+Presion_cilindro!$B$34))/Presion_cilindro!$B$35)^(Presion_cilindro!$B$17+1)),0))/((Presion_cilindro!O396+Presion_cilindro!O397)/2)</f>
        <v>38.613885394193112</v>
      </c>
      <c r="N405" s="27">
        <f>N404*(Presion_cilindro!O396/Presion_cilindro!O397)^Presion_cilindro!$B$9+10*(Presion_cilindro!$B$9-1)*Presion_cilindro!$B$33*(IF(Presion_cilindro!N397&gt;(-N$4+Presion_cilindro!$B$34),1-EXP(-Presion_cilindro!$B$16*((Presion_cilindro!N397-(-N$4+Presion_cilindro!$B$34))/Presion_cilindro!$B$35)^(Presion_cilindro!$B$17+1)),0)-IF(Presion_cilindro!N396&gt;(-N$4+Presion_cilindro!$B$34),1-EXP(-Presion_cilindro!$B$16*((Presion_cilindro!N396-(-N$4+Presion_cilindro!$B$34))/Presion_cilindro!$B$35)^(Presion_cilindro!$B$17+1)),0))/((Presion_cilindro!O396+Presion_cilindro!O397)/2)</f>
        <v>39.729122221381949</v>
      </c>
    </row>
    <row r="406" spans="1:14" x14ac:dyDescent="0.25">
      <c r="A406" s="21">
        <f>Presion_cilindro!N398</f>
        <v>17</v>
      </c>
      <c r="B406" s="27">
        <f>B405*(Presion_cilindro!O397/Presion_cilindro!O398)^Presion_cilindro!$B$9+10*(Presion_cilindro!$B$9-1)*Presion_cilindro!$B$33*(IF(Presion_cilindro!N398&gt;(-B$4+Presion_cilindro!$B$34),1-EXP(-Presion_cilindro!$B$16*((Presion_cilindro!N398-(-B$4+Presion_cilindro!$B$34))/Presion_cilindro!$B$35)^(Presion_cilindro!$B$17+1)),0)-IF(Presion_cilindro!N397&gt;(-B$4+Presion_cilindro!$B$34),1-EXP(-Presion_cilindro!$B$16*((Presion_cilindro!N397-(-B$4+Presion_cilindro!$B$34))/Presion_cilindro!$B$35)^(Presion_cilindro!$B$17+1)),0))/((Presion_cilindro!O397+Presion_cilindro!O398)/2)</f>
        <v>12.374570575470791</v>
      </c>
      <c r="C406" s="27">
        <f>C405*(Presion_cilindro!O397/Presion_cilindro!O398)^Presion_cilindro!$B$9+10*(Presion_cilindro!$B$9-1)*Presion_cilindro!$B$33*(IF(Presion_cilindro!N398&gt;(-C$4+Presion_cilindro!$B$34),1-EXP(-Presion_cilindro!$B$16*((Presion_cilindro!N398-(-C$4+Presion_cilindro!$B$34))/Presion_cilindro!$B$35)^(Presion_cilindro!$B$17+1)),0)-IF(Presion_cilindro!N397&gt;(-C$4+Presion_cilindro!$B$34),1-EXP(-Presion_cilindro!$B$16*((Presion_cilindro!N397-(-C$4+Presion_cilindro!$B$34))/Presion_cilindro!$B$35)^(Presion_cilindro!$B$17+1)),0))/((Presion_cilindro!O397+Presion_cilindro!O398)/2)</f>
        <v>14.531888012059971</v>
      </c>
      <c r="D406" s="27">
        <f>D405*(Presion_cilindro!O397/Presion_cilindro!O398)^Presion_cilindro!$B$9+10*(Presion_cilindro!$B$9-1)*Presion_cilindro!$B$33*(IF(Presion_cilindro!N398&gt;(-D$4+Presion_cilindro!$B$34),1-EXP(-Presion_cilindro!$B$16*((Presion_cilindro!N398-(-D$4+Presion_cilindro!$B$34))/Presion_cilindro!$B$35)^(Presion_cilindro!$B$17+1)),0)-IF(Presion_cilindro!N397&gt;(-D$4+Presion_cilindro!$B$34),1-EXP(-Presion_cilindro!$B$16*((Presion_cilindro!N397-(-D$4+Presion_cilindro!$B$34))/Presion_cilindro!$B$35)^(Presion_cilindro!$B$17+1)),0))/((Presion_cilindro!O397+Presion_cilindro!O398)/2)</f>
        <v>18.179667757536201</v>
      </c>
      <c r="E406" s="27">
        <f>E405*(Presion_cilindro!O397/Presion_cilindro!O398)^Presion_cilindro!$B$9+10*(Presion_cilindro!$B$9-1)*Presion_cilindro!$B$33*(IF(Presion_cilindro!N398&gt;(-E$4+Presion_cilindro!$B$34),1-EXP(-Presion_cilindro!$B$16*((Presion_cilindro!N398-(-E$4+Presion_cilindro!$B$34))/Presion_cilindro!$B$35)^(Presion_cilindro!$B$17+1)),0)-IF(Presion_cilindro!N397&gt;(-E$4+Presion_cilindro!$B$34),1-EXP(-Presion_cilindro!$B$16*((Presion_cilindro!N397-(-E$4+Presion_cilindro!$B$34))/Presion_cilindro!$B$35)^(Presion_cilindro!$B$17+1)),0))/((Presion_cilindro!O397+Presion_cilindro!O398)/2)</f>
        <v>22.856531016278495</v>
      </c>
      <c r="F406" s="27">
        <f>F405*(Presion_cilindro!O397/Presion_cilindro!O398)^Presion_cilindro!$B$9+10*(Presion_cilindro!$B$9-1)*Presion_cilindro!$B$33*(IF(Presion_cilindro!N398&gt;(-F$4+Presion_cilindro!$B$34),1-EXP(-Presion_cilindro!$B$16*((Presion_cilindro!N398-(-F$4+Presion_cilindro!$B$34))/Presion_cilindro!$B$35)^(Presion_cilindro!$B$17+1)),0)-IF(Presion_cilindro!N397&gt;(-F$4+Presion_cilindro!$B$34),1-EXP(-Presion_cilindro!$B$16*((Presion_cilindro!N397-(-F$4+Presion_cilindro!$B$34))/Presion_cilindro!$B$35)^(Presion_cilindro!$B$17+1)),0))/((Presion_cilindro!O397+Presion_cilindro!O398)/2)</f>
        <v>27.578678150095268</v>
      </c>
      <c r="G406" s="27">
        <f>G405*(Presion_cilindro!O397/Presion_cilindro!O398)^Presion_cilindro!$B$9+10*(Presion_cilindro!$B$9-1)*Presion_cilindro!$B$33*(IF(Presion_cilindro!N398&gt;(-G$4+Presion_cilindro!$B$34),1-EXP(-Presion_cilindro!$B$16*((Presion_cilindro!N398-(-G$4+Presion_cilindro!$B$34))/Presion_cilindro!$B$35)^(Presion_cilindro!$B$17+1)),0)-IF(Presion_cilindro!N397&gt;(-G$4+Presion_cilindro!$B$34),1-EXP(-Presion_cilindro!$B$16*((Presion_cilindro!N397-(-G$4+Presion_cilindro!$B$34))/Presion_cilindro!$B$35)^(Presion_cilindro!$B$17+1)),0))/((Presion_cilindro!O397+Presion_cilindro!O398)/2)</f>
        <v>31.353000282862112</v>
      </c>
      <c r="H406" s="27">
        <f>H405*(Presion_cilindro!O397/Presion_cilindro!O398)^Presion_cilindro!$B$9+10*(Presion_cilindro!$B$9-1)*Presion_cilindro!$B$33*(IF(Presion_cilindro!N398&gt;(-H$4+Presion_cilindro!$B$34),1-EXP(-Presion_cilindro!$B$16*((Presion_cilindro!N398-(-H$4+Presion_cilindro!$B$34))/Presion_cilindro!$B$35)^(Presion_cilindro!$B$17+1)),0)-IF(Presion_cilindro!N397&gt;(-H$4+Presion_cilindro!$B$34),1-EXP(-Presion_cilindro!$B$16*((Presion_cilindro!N397-(-H$4+Presion_cilindro!$B$34))/Presion_cilindro!$B$35)^(Presion_cilindro!$B$17+1)),0))/((Presion_cilindro!O397+Presion_cilindro!O398)/2)</f>
        <v>33.743445578869391</v>
      </c>
      <c r="I406" s="27">
        <f>I405*(Presion_cilindro!O397/Presion_cilindro!O398)^Presion_cilindro!$B$9+10*(Presion_cilindro!$B$9-1)*Presion_cilindro!$B$33*(IF(Presion_cilindro!N398&gt;(-I$4+Presion_cilindro!$B$34),1-EXP(-Presion_cilindro!$B$16*((Presion_cilindro!N398-(-I$4+Presion_cilindro!$B$34))/Presion_cilindro!$B$35)^(Presion_cilindro!$B$17+1)),0)-IF(Presion_cilindro!N397&gt;(-I$4+Presion_cilindro!$B$34),1-EXP(-Presion_cilindro!$B$16*((Presion_cilindro!N397-(-I$4+Presion_cilindro!$B$34))/Presion_cilindro!$B$35)^(Presion_cilindro!$B$17+1)),0))/((Presion_cilindro!O397+Presion_cilindro!O398)/2)</f>
        <v>35.00109547397026</v>
      </c>
      <c r="J406" s="27">
        <f>J405*(Presion_cilindro!O397/Presion_cilindro!O398)^Presion_cilindro!$B$9+10*(Presion_cilindro!$B$9-1)*Presion_cilindro!$B$33*(IF(Presion_cilindro!N398&gt;(-J$4+Presion_cilindro!$B$34),1-EXP(-Presion_cilindro!$B$16*((Presion_cilindro!N398-(-J$4+Presion_cilindro!$B$34))/Presion_cilindro!$B$35)^(Presion_cilindro!$B$17+1)),0)-IF(Presion_cilindro!N397&gt;(-J$4+Presion_cilindro!$B$34),1-EXP(-Presion_cilindro!$B$16*((Presion_cilindro!N397-(-J$4+Presion_cilindro!$B$34))/Presion_cilindro!$B$35)^(Presion_cilindro!$B$17+1)),0))/((Presion_cilindro!O397+Presion_cilindro!O398)/2)</f>
        <v>35.70249843041001</v>
      </c>
      <c r="K406" s="27">
        <f>K405*(Presion_cilindro!O397/Presion_cilindro!O398)^Presion_cilindro!$B$9+10*(Presion_cilindro!$B$9-1)*Presion_cilindro!$B$33*(IF(Presion_cilindro!N398&gt;(-K$4+Presion_cilindro!$B$34),1-EXP(-Presion_cilindro!$B$16*((Presion_cilindro!N398-(-K$4+Presion_cilindro!$B$34))/Presion_cilindro!$B$35)^(Presion_cilindro!$B$17+1)),0)-IF(Presion_cilindro!N397&gt;(-K$4+Presion_cilindro!$B$34),1-EXP(-Presion_cilindro!$B$16*((Presion_cilindro!N397-(-K$4+Presion_cilindro!$B$34))/Presion_cilindro!$B$35)^(Presion_cilindro!$B$17+1)),0))/((Presion_cilindro!O397+Presion_cilindro!O398)/2)</f>
        <v>36.322031486674426</v>
      </c>
      <c r="L406" s="27">
        <f>L405*(Presion_cilindro!O397/Presion_cilindro!O398)^Presion_cilindro!$B$9+10*(Presion_cilindro!$B$9-1)*Presion_cilindro!$B$33*(IF(Presion_cilindro!N398&gt;(-L$4+Presion_cilindro!$B$34),1-EXP(-Presion_cilindro!$B$16*((Presion_cilindro!N398-(-L$4+Presion_cilindro!$B$34))/Presion_cilindro!$B$35)^(Presion_cilindro!$B$17+1)),0)-IF(Presion_cilindro!N397&gt;(-L$4+Presion_cilindro!$B$34),1-EXP(-Presion_cilindro!$B$16*((Presion_cilindro!N397-(-L$4+Presion_cilindro!$B$34))/Presion_cilindro!$B$35)^(Presion_cilindro!$B$17+1)),0))/((Presion_cilindro!O397+Presion_cilindro!O398)/2)</f>
        <v>37.08107359410787</v>
      </c>
      <c r="M406" s="27">
        <f>M405*(Presion_cilindro!O397/Presion_cilindro!O398)^Presion_cilindro!$B$9+10*(Presion_cilindro!$B$9-1)*Presion_cilindro!$B$33*(IF(Presion_cilindro!N398&gt;(-M$4+Presion_cilindro!$B$34),1-EXP(-Presion_cilindro!$B$16*((Presion_cilindro!N398-(-M$4+Presion_cilindro!$B$34))/Presion_cilindro!$B$35)^(Presion_cilindro!$B$17+1)),0)-IF(Presion_cilindro!N397&gt;(-M$4+Presion_cilindro!$B$34),1-EXP(-Presion_cilindro!$B$16*((Presion_cilindro!N397-(-M$4+Presion_cilindro!$B$34))/Presion_cilindro!$B$35)^(Presion_cilindro!$B$17+1)),0))/((Presion_cilindro!O397+Presion_cilindro!O398)/2)</f>
        <v>38.023291371108883</v>
      </c>
      <c r="N406" s="27">
        <f>N405*(Presion_cilindro!O397/Presion_cilindro!O398)^Presion_cilindro!$B$9+10*(Presion_cilindro!$B$9-1)*Presion_cilindro!$B$33*(IF(Presion_cilindro!N398&gt;(-N$4+Presion_cilindro!$B$34),1-EXP(-Presion_cilindro!$B$16*((Presion_cilindro!N398-(-N$4+Presion_cilindro!$B$34))/Presion_cilindro!$B$35)^(Presion_cilindro!$B$17+1)),0)-IF(Presion_cilindro!N397&gt;(-N$4+Presion_cilindro!$B$34),1-EXP(-Presion_cilindro!$B$16*((Presion_cilindro!N397-(-N$4+Presion_cilindro!$B$34))/Presion_cilindro!$B$35)^(Presion_cilindro!$B$17+1)),0))/((Presion_cilindro!O397+Presion_cilindro!O398)/2)</f>
        <v>39.121367899626627</v>
      </c>
    </row>
    <row r="407" spans="1:14" x14ac:dyDescent="0.25">
      <c r="A407" s="21">
        <f>Presion_cilindro!N399</f>
        <v>17.5</v>
      </c>
      <c r="B407" s="27">
        <f>B406*(Presion_cilindro!O398/Presion_cilindro!O399)^Presion_cilindro!$B$9+10*(Presion_cilindro!$B$9-1)*Presion_cilindro!$B$33*(IF(Presion_cilindro!N399&gt;(-B$4+Presion_cilindro!$B$34),1-EXP(-Presion_cilindro!$B$16*((Presion_cilindro!N399-(-B$4+Presion_cilindro!$B$34))/Presion_cilindro!$B$35)^(Presion_cilindro!$B$17+1)),0)-IF(Presion_cilindro!N398&gt;(-B$4+Presion_cilindro!$B$34),1-EXP(-Presion_cilindro!$B$16*((Presion_cilindro!N398-(-B$4+Presion_cilindro!$B$34))/Presion_cilindro!$B$35)^(Presion_cilindro!$B$17+1)),0))/((Presion_cilindro!O398+Presion_cilindro!O399)/2)</f>
        <v>12.333149005640866</v>
      </c>
      <c r="C407" s="27">
        <f>C406*(Presion_cilindro!O398/Presion_cilindro!O399)^Presion_cilindro!$B$9+10*(Presion_cilindro!$B$9-1)*Presion_cilindro!$B$33*(IF(Presion_cilindro!N399&gt;(-C$4+Presion_cilindro!$B$34),1-EXP(-Presion_cilindro!$B$16*((Presion_cilindro!N399-(-C$4+Presion_cilindro!$B$34))/Presion_cilindro!$B$35)^(Presion_cilindro!$B$17+1)),0)-IF(Presion_cilindro!N398&gt;(-C$4+Presion_cilindro!$B$34),1-EXP(-Presion_cilindro!$B$16*((Presion_cilindro!N398-(-C$4+Presion_cilindro!$B$34))/Presion_cilindro!$B$35)^(Presion_cilindro!$B$17+1)),0))/((Presion_cilindro!O398+Presion_cilindro!O399)/2)</f>
        <v>14.612838489044153</v>
      </c>
      <c r="D407" s="27">
        <f>D406*(Presion_cilindro!O398/Presion_cilindro!O399)^Presion_cilindro!$B$9+10*(Presion_cilindro!$B$9-1)*Presion_cilindro!$B$33*(IF(Presion_cilindro!N399&gt;(-D$4+Presion_cilindro!$B$34),1-EXP(-Presion_cilindro!$B$16*((Presion_cilindro!N399-(-D$4+Presion_cilindro!$B$34))/Presion_cilindro!$B$35)^(Presion_cilindro!$B$17+1)),0)-IF(Presion_cilindro!N398&gt;(-D$4+Presion_cilindro!$B$34),1-EXP(-Presion_cilindro!$B$16*((Presion_cilindro!N398-(-D$4+Presion_cilindro!$B$34))/Presion_cilindro!$B$35)^(Presion_cilindro!$B$17+1)),0))/((Presion_cilindro!O398+Presion_cilindro!O399)/2)</f>
        <v>18.347144317364929</v>
      </c>
      <c r="E407" s="27">
        <f>E406*(Presion_cilindro!O398/Presion_cilindro!O399)^Presion_cilindro!$B$9+10*(Presion_cilindro!$B$9-1)*Presion_cilindro!$B$33*(IF(Presion_cilindro!N399&gt;(-E$4+Presion_cilindro!$B$34),1-EXP(-Presion_cilindro!$B$16*((Presion_cilindro!N399-(-E$4+Presion_cilindro!$B$34))/Presion_cilindro!$B$35)^(Presion_cilindro!$B$17+1)),0)-IF(Presion_cilindro!N398&gt;(-E$4+Presion_cilindro!$B$34),1-EXP(-Presion_cilindro!$B$16*((Presion_cilindro!N398-(-E$4+Presion_cilindro!$B$34))/Presion_cilindro!$B$35)^(Presion_cilindro!$B$17+1)),0))/((Presion_cilindro!O398+Presion_cilindro!O399)/2)</f>
        <v>23.014525746349577</v>
      </c>
      <c r="F407" s="27">
        <f>F406*(Presion_cilindro!O398/Presion_cilindro!O399)^Presion_cilindro!$B$9+10*(Presion_cilindro!$B$9-1)*Presion_cilindro!$B$33*(IF(Presion_cilindro!N399&gt;(-F$4+Presion_cilindro!$B$34),1-EXP(-Presion_cilindro!$B$16*((Presion_cilindro!N399-(-F$4+Presion_cilindro!$B$34))/Presion_cilindro!$B$35)^(Presion_cilindro!$B$17+1)),0)-IF(Presion_cilindro!N398&gt;(-F$4+Presion_cilindro!$B$34),1-EXP(-Presion_cilindro!$B$16*((Presion_cilindro!N398-(-F$4+Presion_cilindro!$B$34))/Presion_cilindro!$B$35)^(Presion_cilindro!$B$17+1)),0))/((Presion_cilindro!O398+Presion_cilindro!O399)/2)</f>
        <v>27.612644141613181</v>
      </c>
      <c r="G407" s="27">
        <f>G406*(Presion_cilindro!O398/Presion_cilindro!O399)^Presion_cilindro!$B$9+10*(Presion_cilindro!$B$9-1)*Presion_cilindro!$B$33*(IF(Presion_cilindro!N399&gt;(-G$4+Presion_cilindro!$B$34),1-EXP(-Presion_cilindro!$B$16*((Presion_cilindro!N399-(-G$4+Presion_cilindro!$B$34))/Presion_cilindro!$B$35)^(Presion_cilindro!$B$17+1)),0)-IF(Presion_cilindro!N398&gt;(-G$4+Presion_cilindro!$B$34),1-EXP(-Presion_cilindro!$B$16*((Presion_cilindro!N398-(-G$4+Presion_cilindro!$B$34))/Presion_cilindro!$B$35)^(Presion_cilindro!$B$17+1)),0))/((Presion_cilindro!O398+Presion_cilindro!O399)/2)</f>
        <v>31.193397632601982</v>
      </c>
      <c r="H407" s="27">
        <f>H406*(Presion_cilindro!O398/Presion_cilindro!O399)^Presion_cilindro!$B$9+10*(Presion_cilindro!$B$9-1)*Presion_cilindro!$B$33*(IF(Presion_cilindro!N399&gt;(-H$4+Presion_cilindro!$B$34),1-EXP(-Presion_cilindro!$B$16*((Presion_cilindro!N399-(-H$4+Presion_cilindro!$B$34))/Presion_cilindro!$B$35)^(Presion_cilindro!$B$17+1)),0)-IF(Presion_cilindro!N398&gt;(-H$4+Presion_cilindro!$B$34),1-EXP(-Presion_cilindro!$B$16*((Presion_cilindro!N398-(-H$4+Presion_cilindro!$B$34))/Presion_cilindro!$B$35)^(Presion_cilindro!$B$17+1)),0))/((Presion_cilindro!O398+Presion_cilindro!O399)/2)</f>
        <v>33.398556469019624</v>
      </c>
      <c r="I407" s="27">
        <f>I406*(Presion_cilindro!O398/Presion_cilindro!O399)^Presion_cilindro!$B$9+10*(Presion_cilindro!$B$9-1)*Presion_cilindro!$B$33*(IF(Presion_cilindro!N399&gt;(-I$4+Presion_cilindro!$B$34),1-EXP(-Presion_cilindro!$B$16*((Presion_cilindro!N399-(-I$4+Presion_cilindro!$B$34))/Presion_cilindro!$B$35)^(Presion_cilindro!$B$17+1)),0)-IF(Presion_cilindro!N398&gt;(-I$4+Presion_cilindro!$B$34),1-EXP(-Presion_cilindro!$B$16*((Presion_cilindro!N398-(-I$4+Presion_cilindro!$B$34))/Presion_cilindro!$B$35)^(Presion_cilindro!$B$17+1)),0))/((Presion_cilindro!O398+Presion_cilindro!O399)/2)</f>
        <v>34.531573024610005</v>
      </c>
      <c r="J407" s="27">
        <f>J406*(Presion_cilindro!O398/Presion_cilindro!O399)^Presion_cilindro!$B$9+10*(Presion_cilindro!$B$9-1)*Presion_cilindro!$B$33*(IF(Presion_cilindro!N399&gt;(-J$4+Presion_cilindro!$B$34),1-EXP(-Presion_cilindro!$B$16*((Presion_cilindro!N399-(-J$4+Presion_cilindro!$B$34))/Presion_cilindro!$B$35)^(Presion_cilindro!$B$17+1)),0)-IF(Presion_cilindro!N398&gt;(-J$4+Presion_cilindro!$B$34),1-EXP(-Presion_cilindro!$B$16*((Presion_cilindro!N398-(-J$4+Presion_cilindro!$B$34))/Presion_cilindro!$B$35)^(Presion_cilindro!$B$17+1)),0))/((Presion_cilindro!O398+Presion_cilindro!O399)/2)</f>
        <v>35.170350044576168</v>
      </c>
      <c r="K407" s="27">
        <f>K406*(Presion_cilindro!O398/Presion_cilindro!O399)^Presion_cilindro!$B$9+10*(Presion_cilindro!$B$9-1)*Presion_cilindro!$B$33*(IF(Presion_cilindro!N399&gt;(-K$4+Presion_cilindro!$B$34),1-EXP(-Presion_cilindro!$B$16*((Presion_cilindro!N399-(-K$4+Presion_cilindro!$B$34))/Presion_cilindro!$B$35)^(Presion_cilindro!$B$17+1)),0)-IF(Presion_cilindro!N398&gt;(-K$4+Presion_cilindro!$B$34),1-EXP(-Presion_cilindro!$B$16*((Presion_cilindro!N398-(-K$4+Presion_cilindro!$B$34))/Presion_cilindro!$B$35)^(Presion_cilindro!$B$17+1)),0))/((Presion_cilindro!O398+Presion_cilindro!O399)/2)</f>
        <v>35.762392549827567</v>
      </c>
      <c r="L407" s="27">
        <f>L406*(Presion_cilindro!O398/Presion_cilindro!O399)^Presion_cilindro!$B$9+10*(Presion_cilindro!$B$9-1)*Presion_cilindro!$B$33*(IF(Presion_cilindro!N399&gt;(-L$4+Presion_cilindro!$B$34),1-EXP(-Presion_cilindro!$B$16*((Presion_cilindro!N399-(-L$4+Presion_cilindro!$B$34))/Presion_cilindro!$B$35)^(Presion_cilindro!$B$17+1)),0)-IF(Presion_cilindro!N398&gt;(-L$4+Presion_cilindro!$B$34),1-EXP(-Presion_cilindro!$B$16*((Presion_cilindro!N398-(-L$4+Presion_cilindro!$B$34))/Presion_cilindro!$B$35)^(Presion_cilindro!$B$17+1)),0))/((Presion_cilindro!O398+Presion_cilindro!O399)/2)</f>
        <v>36.505343573583708</v>
      </c>
      <c r="M407" s="27">
        <f>M406*(Presion_cilindro!O398/Presion_cilindro!O399)^Presion_cilindro!$B$9+10*(Presion_cilindro!$B$9-1)*Presion_cilindro!$B$33*(IF(Presion_cilindro!N399&gt;(-M$4+Presion_cilindro!$B$34),1-EXP(-Presion_cilindro!$B$16*((Presion_cilindro!N399-(-M$4+Presion_cilindro!$B$34))/Presion_cilindro!$B$35)^(Presion_cilindro!$B$17+1)),0)-IF(Presion_cilindro!N398&gt;(-M$4+Presion_cilindro!$B$34),1-EXP(-Presion_cilindro!$B$16*((Presion_cilindro!N398-(-M$4+Presion_cilindro!$B$34))/Presion_cilindro!$B$35)^(Presion_cilindro!$B$17+1)),0))/((Presion_cilindro!O398+Presion_cilindro!O399)/2)</f>
        <v>37.432207118408343</v>
      </c>
      <c r="N407" s="27">
        <f>N406*(Presion_cilindro!O398/Presion_cilindro!O399)^Presion_cilindro!$B$9+10*(Presion_cilindro!$B$9-1)*Presion_cilindro!$B$33*(IF(Presion_cilindro!N399&gt;(-N$4+Presion_cilindro!$B$34),1-EXP(-Presion_cilindro!$B$16*((Presion_cilindro!N399-(-N$4+Presion_cilindro!$B$34))/Presion_cilindro!$B$35)^(Presion_cilindro!$B$17+1)),0)-IF(Presion_cilindro!N398&gt;(-N$4+Presion_cilindro!$B$34),1-EXP(-Presion_cilindro!$B$16*((Presion_cilindro!N398-(-N$4+Presion_cilindro!$B$34))/Presion_cilindro!$B$35)^(Presion_cilindro!$B$17+1)),0))/((Presion_cilindro!O398+Presion_cilindro!O399)/2)</f>
        <v>38.513133638934185</v>
      </c>
    </row>
    <row r="408" spans="1:14" x14ac:dyDescent="0.25">
      <c r="A408" s="21">
        <f>Presion_cilindro!N400</f>
        <v>18</v>
      </c>
      <c r="B408" s="27">
        <f>B407*(Presion_cilindro!O399/Presion_cilindro!O400)^Presion_cilindro!$B$9+10*(Presion_cilindro!$B$9-1)*Presion_cilindro!$B$33*(IF(Presion_cilindro!N400&gt;(-B$4+Presion_cilindro!$B$34),1-EXP(-Presion_cilindro!$B$16*((Presion_cilindro!N400-(-B$4+Presion_cilindro!$B$34))/Presion_cilindro!$B$35)^(Presion_cilindro!$B$17+1)),0)-IF(Presion_cilindro!N399&gt;(-B$4+Presion_cilindro!$B$34),1-EXP(-Presion_cilindro!$B$16*((Presion_cilindro!N399-(-B$4+Presion_cilindro!$B$34))/Presion_cilindro!$B$35)^(Presion_cilindro!$B$17+1)),0))/((Presion_cilindro!O399+Presion_cilindro!O400)/2)</f>
        <v>12.301806049029842</v>
      </c>
      <c r="C408" s="27">
        <f>C407*(Presion_cilindro!O399/Presion_cilindro!O400)^Presion_cilindro!$B$9+10*(Presion_cilindro!$B$9-1)*Presion_cilindro!$B$33*(IF(Presion_cilindro!N400&gt;(-C$4+Presion_cilindro!$B$34),1-EXP(-Presion_cilindro!$B$16*((Presion_cilindro!N400-(-C$4+Presion_cilindro!$B$34))/Presion_cilindro!$B$35)^(Presion_cilindro!$B$17+1)),0)-IF(Presion_cilindro!N399&gt;(-C$4+Presion_cilindro!$B$34),1-EXP(-Presion_cilindro!$B$16*((Presion_cilindro!N399-(-C$4+Presion_cilindro!$B$34))/Presion_cilindro!$B$35)^(Presion_cilindro!$B$17+1)),0))/((Presion_cilindro!O399+Presion_cilindro!O400)/2)</f>
        <v>14.701299708416144</v>
      </c>
      <c r="D408" s="27">
        <f>D407*(Presion_cilindro!O399/Presion_cilindro!O400)^Presion_cilindro!$B$9+10*(Presion_cilindro!$B$9-1)*Presion_cilindro!$B$33*(IF(Presion_cilindro!N400&gt;(-D$4+Presion_cilindro!$B$34),1-EXP(-Presion_cilindro!$B$16*((Presion_cilindro!N400-(-D$4+Presion_cilindro!$B$34))/Presion_cilindro!$B$35)^(Presion_cilindro!$B$17+1)),0)-IF(Presion_cilindro!N399&gt;(-D$4+Presion_cilindro!$B$34),1-EXP(-Presion_cilindro!$B$16*((Presion_cilindro!N399-(-D$4+Presion_cilindro!$B$34))/Presion_cilindro!$B$35)^(Presion_cilindro!$B$17+1)),0))/((Presion_cilindro!O399+Presion_cilindro!O400)/2)</f>
        <v>18.513125621425512</v>
      </c>
      <c r="E408" s="27">
        <f>E407*(Presion_cilindro!O399/Presion_cilindro!O400)^Presion_cilindro!$B$9+10*(Presion_cilindro!$B$9-1)*Presion_cilindro!$B$33*(IF(Presion_cilindro!N400&gt;(-E$4+Presion_cilindro!$B$34),1-EXP(-Presion_cilindro!$B$16*((Presion_cilindro!N400-(-E$4+Presion_cilindro!$B$34))/Presion_cilindro!$B$35)^(Presion_cilindro!$B$17+1)),0)-IF(Presion_cilindro!N399&gt;(-E$4+Presion_cilindro!$B$34),1-EXP(-Presion_cilindro!$B$16*((Presion_cilindro!N399-(-E$4+Presion_cilindro!$B$34))/Presion_cilindro!$B$35)^(Presion_cilindro!$B$17+1)),0))/((Presion_cilindro!O399+Presion_cilindro!O400)/2)</f>
        <v>23.158639651623361</v>
      </c>
      <c r="F408" s="27">
        <f>F407*(Presion_cilindro!O399/Presion_cilindro!O400)^Presion_cilindro!$B$9+10*(Presion_cilindro!$B$9-1)*Presion_cilindro!$B$33*(IF(Presion_cilindro!N400&gt;(-F$4+Presion_cilindro!$B$34),1-EXP(-Presion_cilindro!$B$16*((Presion_cilindro!N400-(-F$4+Presion_cilindro!$B$34))/Presion_cilindro!$B$35)^(Presion_cilindro!$B$17+1)),0)-IF(Presion_cilindro!N399&gt;(-F$4+Presion_cilindro!$B$34),1-EXP(-Presion_cilindro!$B$16*((Presion_cilindro!N399-(-F$4+Presion_cilindro!$B$34))/Presion_cilindro!$B$35)^(Presion_cilindro!$B$17+1)),0))/((Presion_cilindro!O399+Presion_cilindro!O400)/2)</f>
        <v>27.623485227452989</v>
      </c>
      <c r="G408" s="27">
        <f>G407*(Presion_cilindro!O399/Presion_cilindro!O400)^Presion_cilindro!$B$9+10*(Presion_cilindro!$B$9-1)*Presion_cilindro!$B$33*(IF(Presion_cilindro!N400&gt;(-G$4+Presion_cilindro!$B$34),1-EXP(-Presion_cilindro!$B$16*((Presion_cilindro!N400-(-G$4+Presion_cilindro!$B$34))/Presion_cilindro!$B$35)^(Presion_cilindro!$B$17+1)),0)-IF(Presion_cilindro!N399&gt;(-G$4+Presion_cilindro!$B$34),1-EXP(-Presion_cilindro!$B$16*((Presion_cilindro!N399-(-G$4+Presion_cilindro!$B$34))/Presion_cilindro!$B$35)^(Presion_cilindro!$B$17+1)),0))/((Presion_cilindro!O399+Presion_cilindro!O400)/2)</f>
        <v>31.009746557179092</v>
      </c>
      <c r="H408" s="27">
        <f>H407*(Presion_cilindro!O399/Presion_cilindro!O400)^Presion_cilindro!$B$9+10*(Presion_cilindro!$B$9-1)*Presion_cilindro!$B$33*(IF(Presion_cilindro!N400&gt;(-H$4+Presion_cilindro!$B$34),1-EXP(-Presion_cilindro!$B$16*((Presion_cilindro!N400-(-H$4+Presion_cilindro!$B$34))/Presion_cilindro!$B$35)^(Presion_cilindro!$B$17+1)),0)-IF(Presion_cilindro!N399&gt;(-H$4+Presion_cilindro!$B$34),1-EXP(-Presion_cilindro!$B$16*((Presion_cilindro!N399-(-H$4+Presion_cilindro!$B$34))/Presion_cilindro!$B$35)^(Presion_cilindro!$B$17+1)),0))/((Presion_cilindro!O399+Presion_cilindro!O400)/2)</f>
        <v>33.036153954547643</v>
      </c>
      <c r="I408" s="27">
        <f>I407*(Presion_cilindro!O399/Presion_cilindro!O400)^Presion_cilindro!$B$9+10*(Presion_cilindro!$B$9-1)*Presion_cilindro!$B$33*(IF(Presion_cilindro!N400&gt;(-I$4+Presion_cilindro!$B$34),1-EXP(-Presion_cilindro!$B$16*((Presion_cilindro!N400-(-I$4+Presion_cilindro!$B$34))/Presion_cilindro!$B$35)^(Presion_cilindro!$B$17+1)),0)-IF(Presion_cilindro!N399&gt;(-I$4+Presion_cilindro!$B$34),1-EXP(-Presion_cilindro!$B$16*((Presion_cilindro!N399-(-I$4+Presion_cilindro!$B$34))/Presion_cilindro!$B$35)^(Presion_cilindro!$B$17+1)),0))/((Presion_cilindro!O399+Presion_cilindro!O400)/2)</f>
        <v>34.052989929685999</v>
      </c>
      <c r="J408" s="27">
        <f>J407*(Presion_cilindro!O399/Presion_cilindro!O400)^Presion_cilindro!$B$9+10*(Presion_cilindro!$B$9-1)*Presion_cilindro!$B$33*(IF(Presion_cilindro!N400&gt;(-J$4+Presion_cilindro!$B$34),1-EXP(-Presion_cilindro!$B$16*((Presion_cilindro!N400-(-J$4+Presion_cilindro!$B$34))/Presion_cilindro!$B$35)^(Presion_cilindro!$B$17+1)),0)-IF(Presion_cilindro!N399&gt;(-J$4+Presion_cilindro!$B$34),1-EXP(-Presion_cilindro!$B$16*((Presion_cilindro!N399-(-J$4+Presion_cilindro!$B$34))/Presion_cilindro!$B$35)^(Presion_cilindro!$B$17+1)),0))/((Presion_cilindro!O399+Presion_cilindro!O400)/2)</f>
        <v>34.634988726749889</v>
      </c>
      <c r="K408" s="27">
        <f>K407*(Presion_cilindro!O399/Presion_cilindro!O400)^Presion_cilindro!$B$9+10*(Presion_cilindro!$B$9-1)*Presion_cilindro!$B$33*(IF(Presion_cilindro!N400&gt;(-K$4+Presion_cilindro!$B$34),1-EXP(-Presion_cilindro!$B$16*((Presion_cilindro!N400-(-K$4+Presion_cilindro!$B$34))/Presion_cilindro!$B$35)^(Presion_cilindro!$B$17+1)),0)-IF(Presion_cilindro!N399&gt;(-K$4+Presion_cilindro!$B$34),1-EXP(-Presion_cilindro!$B$16*((Presion_cilindro!N399-(-K$4+Presion_cilindro!$B$34))/Presion_cilindro!$B$35)^(Presion_cilindro!$B$17+1)),0))/((Presion_cilindro!O399+Presion_cilindro!O400)/2)</f>
        <v>35.202128688084223</v>
      </c>
      <c r="L408" s="27">
        <f>L407*(Presion_cilindro!O399/Presion_cilindro!O400)^Presion_cilindro!$B$9+10*(Presion_cilindro!$B$9-1)*Presion_cilindro!$B$33*(IF(Presion_cilindro!N400&gt;(-L$4+Presion_cilindro!$B$34),1-EXP(-Presion_cilindro!$B$16*((Presion_cilindro!N400-(-L$4+Presion_cilindro!$B$34))/Presion_cilindro!$B$35)^(Presion_cilindro!$B$17+1)),0)-IF(Presion_cilindro!N399&gt;(-L$4+Presion_cilindro!$B$34),1-EXP(-Presion_cilindro!$B$16*((Presion_cilindro!N399-(-L$4+Presion_cilindro!$B$34))/Presion_cilindro!$B$35)^(Presion_cilindro!$B$17+1)),0))/((Presion_cilindro!O399+Presion_cilindro!O400)/2)</f>
        <v>35.929751461661084</v>
      </c>
      <c r="M408" s="27">
        <f>M407*(Presion_cilindro!O399/Presion_cilindro!O400)^Presion_cilindro!$B$9+10*(Presion_cilindro!$B$9-1)*Presion_cilindro!$B$33*(IF(Presion_cilindro!N400&gt;(-M$4+Presion_cilindro!$B$34),1-EXP(-Presion_cilindro!$B$16*((Presion_cilindro!N400-(-M$4+Presion_cilindro!$B$34))/Presion_cilindro!$B$35)^(Presion_cilindro!$B$17+1)),0)-IF(Presion_cilindro!N399&gt;(-M$4+Presion_cilindro!$B$34),1-EXP(-Presion_cilindro!$B$16*((Presion_cilindro!N399-(-M$4+Presion_cilindro!$B$34))/Presion_cilindro!$B$35)^(Presion_cilindro!$B$17+1)),0))/((Presion_cilindro!O399+Presion_cilindro!O400)/2)</f>
        <v>36.841415550929263</v>
      </c>
      <c r="N408" s="27">
        <f>N407*(Presion_cilindro!O399/Presion_cilindro!O400)^Presion_cilindro!$B$9+10*(Presion_cilindro!$B$9-1)*Presion_cilindro!$B$33*(IF(Presion_cilindro!N400&gt;(-N$4+Presion_cilindro!$B$34),1-EXP(-Presion_cilindro!$B$16*((Presion_cilindro!N400-(-N$4+Presion_cilindro!$B$34))/Presion_cilindro!$B$35)^(Presion_cilindro!$B$17+1)),0)-IF(Presion_cilindro!N399&gt;(-N$4+Presion_cilindro!$B$34),1-EXP(-Presion_cilindro!$B$16*((Presion_cilindro!N399-(-N$4+Presion_cilindro!$B$34))/Presion_cilindro!$B$35)^(Presion_cilindro!$B$17+1)),0))/((Presion_cilindro!O399+Presion_cilindro!O400)/2)</f>
        <v>37.905219830227537</v>
      </c>
    </row>
    <row r="409" spans="1:14" x14ac:dyDescent="0.25">
      <c r="A409" s="21">
        <f>Presion_cilindro!N401</f>
        <v>18.5</v>
      </c>
      <c r="B409" s="27">
        <f>B408*(Presion_cilindro!O400/Presion_cilindro!O401)^Presion_cilindro!$B$9+10*(Presion_cilindro!$B$9-1)*Presion_cilindro!$B$33*(IF(Presion_cilindro!N401&gt;(-B$4+Presion_cilindro!$B$34),1-EXP(-Presion_cilindro!$B$16*((Presion_cilindro!N401-(-B$4+Presion_cilindro!$B$34))/Presion_cilindro!$B$35)^(Presion_cilindro!$B$17+1)),0)-IF(Presion_cilindro!N400&gt;(-B$4+Presion_cilindro!$B$34),1-EXP(-Presion_cilindro!$B$16*((Presion_cilindro!N400-(-B$4+Presion_cilindro!$B$34))/Presion_cilindro!$B$35)^(Presion_cilindro!$B$17+1)),0))/((Presion_cilindro!O400+Presion_cilindro!O401)/2)</f>
        <v>12.280627885236594</v>
      </c>
      <c r="C409" s="27">
        <f>C408*(Presion_cilindro!O400/Presion_cilindro!O401)^Presion_cilindro!$B$9+10*(Presion_cilindro!$B$9-1)*Presion_cilindro!$B$33*(IF(Presion_cilindro!N401&gt;(-C$4+Presion_cilindro!$B$34),1-EXP(-Presion_cilindro!$B$16*((Presion_cilindro!N401-(-C$4+Presion_cilindro!$B$34))/Presion_cilindro!$B$35)^(Presion_cilindro!$B$17+1)),0)-IF(Presion_cilindro!N400&gt;(-C$4+Presion_cilindro!$B$34),1-EXP(-Presion_cilindro!$B$16*((Presion_cilindro!N400-(-C$4+Presion_cilindro!$B$34))/Presion_cilindro!$B$35)^(Presion_cilindro!$B$17+1)),0))/((Presion_cilindro!O400+Presion_cilindro!O401)/2)</f>
        <v>14.79672400843825</v>
      </c>
      <c r="D409" s="27">
        <f>D408*(Presion_cilindro!O400/Presion_cilindro!O401)^Presion_cilindro!$B$9+10*(Presion_cilindro!$B$9-1)*Presion_cilindro!$B$33*(IF(Presion_cilindro!N401&gt;(-D$4+Presion_cilindro!$B$34),1-EXP(-Presion_cilindro!$B$16*((Presion_cilindro!N401-(-D$4+Presion_cilindro!$B$34))/Presion_cilindro!$B$35)^(Presion_cilindro!$B$17+1)),0)-IF(Presion_cilindro!N400&gt;(-D$4+Presion_cilindro!$B$34),1-EXP(-Presion_cilindro!$B$16*((Presion_cilindro!N400-(-D$4+Presion_cilindro!$B$34))/Presion_cilindro!$B$35)^(Presion_cilindro!$B$17+1)),0))/((Presion_cilindro!O400+Presion_cilindro!O401)/2)</f>
        <v>18.676645505615127</v>
      </c>
      <c r="E409" s="27">
        <f>E408*(Presion_cilindro!O400/Presion_cilindro!O401)^Presion_cilindro!$B$9+10*(Presion_cilindro!$B$9-1)*Presion_cilindro!$B$33*(IF(Presion_cilindro!N401&gt;(-E$4+Presion_cilindro!$B$34),1-EXP(-Presion_cilindro!$B$16*((Presion_cilindro!N401-(-E$4+Presion_cilindro!$B$34))/Presion_cilindro!$B$35)^(Presion_cilindro!$B$17+1)),0)-IF(Presion_cilindro!N400&gt;(-E$4+Presion_cilindro!$B$34),1-EXP(-Presion_cilindro!$B$16*((Presion_cilindro!N400-(-E$4+Presion_cilindro!$B$34))/Presion_cilindro!$B$35)^(Presion_cilindro!$B$17+1)),0))/((Presion_cilindro!O400+Presion_cilindro!O401)/2)</f>
        <v>23.28812031260167</v>
      </c>
      <c r="F409" s="27">
        <f>F408*(Presion_cilindro!O400/Presion_cilindro!O401)^Presion_cilindro!$B$9+10*(Presion_cilindro!$B$9-1)*Presion_cilindro!$B$33*(IF(Presion_cilindro!N401&gt;(-F$4+Presion_cilindro!$B$34),1-EXP(-Presion_cilindro!$B$16*((Presion_cilindro!N401-(-F$4+Presion_cilindro!$B$34))/Presion_cilindro!$B$35)^(Presion_cilindro!$B$17+1)),0)-IF(Presion_cilindro!N400&gt;(-F$4+Presion_cilindro!$B$34),1-EXP(-Presion_cilindro!$B$16*((Presion_cilindro!N400-(-F$4+Presion_cilindro!$B$34))/Presion_cilindro!$B$35)^(Presion_cilindro!$B$17+1)),0))/((Presion_cilindro!O400+Presion_cilindro!O401)/2)</f>
        <v>27.611342155673444</v>
      </c>
      <c r="G409" s="27">
        <f>G408*(Presion_cilindro!O400/Presion_cilindro!O401)^Presion_cilindro!$B$9+10*(Presion_cilindro!$B$9-1)*Presion_cilindro!$B$33*(IF(Presion_cilindro!N401&gt;(-G$4+Presion_cilindro!$B$34),1-EXP(-Presion_cilindro!$B$16*((Presion_cilindro!N401-(-G$4+Presion_cilindro!$B$34))/Presion_cilindro!$B$35)^(Presion_cilindro!$B$17+1)),0)-IF(Presion_cilindro!N400&gt;(-G$4+Presion_cilindro!$B$34),1-EXP(-Presion_cilindro!$B$16*((Presion_cilindro!N400-(-G$4+Presion_cilindro!$B$34))/Presion_cilindro!$B$35)^(Presion_cilindro!$B$17+1)),0))/((Presion_cilindro!O400+Presion_cilindro!O401)/2)</f>
        <v>30.803211457692978</v>
      </c>
      <c r="H409" s="27">
        <f>H408*(Presion_cilindro!O400/Presion_cilindro!O401)^Presion_cilindro!$B$9+10*(Presion_cilindro!$B$9-1)*Presion_cilindro!$B$33*(IF(Presion_cilindro!N401&gt;(-H$4+Presion_cilindro!$B$34),1-EXP(-Presion_cilindro!$B$16*((Presion_cilindro!N401-(-H$4+Presion_cilindro!$B$34))/Presion_cilindro!$B$35)^(Presion_cilindro!$B$17+1)),0)-IF(Presion_cilindro!N400&gt;(-H$4+Presion_cilindro!$B$34),1-EXP(-Presion_cilindro!$B$16*((Presion_cilindro!N400-(-H$4+Presion_cilindro!$B$34))/Presion_cilindro!$B$35)^(Presion_cilindro!$B$17+1)),0))/((Presion_cilindro!O400+Presion_cilindro!O401)/2)</f>
        <v>32.657890646180348</v>
      </c>
      <c r="I409" s="27">
        <f>I408*(Presion_cilindro!O400/Presion_cilindro!O401)^Presion_cilindro!$B$9+10*(Presion_cilindro!$B$9-1)*Presion_cilindro!$B$33*(IF(Presion_cilindro!N401&gt;(-I$4+Presion_cilindro!$B$34),1-EXP(-Presion_cilindro!$B$16*((Presion_cilindro!N401-(-I$4+Presion_cilindro!$B$34))/Presion_cilindro!$B$35)^(Presion_cilindro!$B$17+1)),0)-IF(Presion_cilindro!N400&gt;(-I$4+Presion_cilindro!$B$34),1-EXP(-Presion_cilindro!$B$16*((Presion_cilindro!N400-(-I$4+Presion_cilindro!$B$34))/Presion_cilindro!$B$35)^(Presion_cilindro!$B$17+1)),0))/((Presion_cilindro!O400+Presion_cilindro!O401)/2)</f>
        <v>33.566843369748312</v>
      </c>
      <c r="J409" s="27">
        <f>J408*(Presion_cilindro!O400/Presion_cilindro!O401)^Presion_cilindro!$B$9+10*(Presion_cilindro!$B$9-1)*Presion_cilindro!$B$33*(IF(Presion_cilindro!N401&gt;(-J$4+Presion_cilindro!$B$34),1-EXP(-Presion_cilindro!$B$16*((Presion_cilindro!N401-(-J$4+Presion_cilindro!$B$34))/Presion_cilindro!$B$35)^(Presion_cilindro!$B$17+1)),0)-IF(Presion_cilindro!N400&gt;(-J$4+Presion_cilindro!$B$34),1-EXP(-Presion_cilindro!$B$16*((Presion_cilindro!N400-(-J$4+Presion_cilindro!$B$34))/Presion_cilindro!$B$35)^(Presion_cilindro!$B$17+1)),0))/((Presion_cilindro!O400+Presion_cilindro!O401)/2)</f>
        <v>34.097522804050094</v>
      </c>
      <c r="K409" s="27">
        <f>K408*(Presion_cilindro!O400/Presion_cilindro!O401)^Presion_cilindro!$B$9+10*(Presion_cilindro!$B$9-1)*Presion_cilindro!$B$33*(IF(Presion_cilindro!N401&gt;(-K$4+Presion_cilindro!$B$34),1-EXP(-Presion_cilindro!$B$16*((Presion_cilindro!N401-(-K$4+Presion_cilindro!$B$34))/Presion_cilindro!$B$35)^(Presion_cilindro!$B$17+1)),0)-IF(Presion_cilindro!N400&gt;(-K$4+Presion_cilindro!$B$34),1-EXP(-Presion_cilindro!$B$16*((Presion_cilindro!N400-(-K$4+Presion_cilindro!$B$34))/Presion_cilindro!$B$35)^(Presion_cilindro!$B$17+1)),0))/((Presion_cilindro!O400+Presion_cilindro!O401)/2)</f>
        <v>34.642081977961098</v>
      </c>
      <c r="L409" s="27">
        <f>L408*(Presion_cilindro!O400/Presion_cilindro!O401)^Presion_cilindro!$B$9+10*(Presion_cilindro!$B$9-1)*Presion_cilindro!$B$33*(IF(Presion_cilindro!N401&gt;(-L$4+Presion_cilindro!$B$34),1-EXP(-Presion_cilindro!$B$16*((Presion_cilindro!N401-(-L$4+Presion_cilindro!$B$34))/Presion_cilindro!$B$35)^(Presion_cilindro!$B$17+1)),0)-IF(Presion_cilindro!N400&gt;(-L$4+Presion_cilindro!$B$34),1-EXP(-Presion_cilindro!$B$16*((Presion_cilindro!N400-(-L$4+Presion_cilindro!$B$34))/Presion_cilindro!$B$35)^(Presion_cilindro!$B$17+1)),0))/((Presion_cilindro!O400+Presion_cilindro!O401)/2)</f>
        <v>35.355045242021362</v>
      </c>
      <c r="M409" s="27">
        <f>M408*(Presion_cilindro!O400/Presion_cilindro!O401)^Presion_cilindro!$B$9+10*(Presion_cilindro!$B$9-1)*Presion_cilindro!$B$33*(IF(Presion_cilindro!N401&gt;(-M$4+Presion_cilindro!$B$34),1-EXP(-Presion_cilindro!$B$16*((Presion_cilindro!N401-(-M$4+Presion_cilindro!$B$34))/Presion_cilindro!$B$35)^(Presion_cilindro!$B$17+1)),0)-IF(Presion_cilindro!N400&gt;(-M$4+Presion_cilindro!$B$34),1-EXP(-Presion_cilindro!$B$16*((Presion_cilindro!N400-(-M$4+Presion_cilindro!$B$34))/Presion_cilindro!$B$35)^(Presion_cilindro!$B$17+1)),0))/((Presion_cilindro!O400+Presion_cilindro!O401)/2)</f>
        <v>36.251656577992172</v>
      </c>
      <c r="N409" s="27">
        <f>N408*(Presion_cilindro!O400/Presion_cilindro!O401)^Presion_cilindro!$B$9+10*(Presion_cilindro!$B$9-1)*Presion_cilindro!$B$33*(IF(Presion_cilindro!N401&gt;(-N$4+Presion_cilindro!$B$34),1-EXP(-Presion_cilindro!$B$16*((Presion_cilindro!N401-(-N$4+Presion_cilindro!$B$34))/Presion_cilindro!$B$35)^(Presion_cilindro!$B$17+1)),0)-IF(Presion_cilindro!N400&gt;(-N$4+Presion_cilindro!$B$34),1-EXP(-Presion_cilindro!$B$16*((Presion_cilindro!N400-(-N$4+Presion_cilindro!$B$34))/Presion_cilindro!$B$35)^(Presion_cilindro!$B$17+1)),0))/((Presion_cilindro!O400+Presion_cilindro!O401)/2)</f>
        <v>37.298383620134985</v>
      </c>
    </row>
    <row r="410" spans="1:14" x14ac:dyDescent="0.25">
      <c r="A410" s="21">
        <f>Presion_cilindro!N402</f>
        <v>19</v>
      </c>
      <c r="B410" s="27">
        <f>B409*(Presion_cilindro!O401/Presion_cilindro!O402)^Presion_cilindro!$B$9+10*(Presion_cilindro!$B$9-1)*Presion_cilindro!$B$33*(IF(Presion_cilindro!N402&gt;(-B$4+Presion_cilindro!$B$34),1-EXP(-Presion_cilindro!$B$16*((Presion_cilindro!N402-(-B$4+Presion_cilindro!$B$34))/Presion_cilindro!$B$35)^(Presion_cilindro!$B$17+1)),0)-IF(Presion_cilindro!N401&gt;(-B$4+Presion_cilindro!$B$34),1-EXP(-Presion_cilindro!$B$16*((Presion_cilindro!N401-(-B$4+Presion_cilindro!$B$34))/Presion_cilindro!$B$35)^(Presion_cilindro!$B$17+1)),0))/((Presion_cilindro!O401+Presion_cilindro!O402)/2)</f>
        <v>12.269628245011157</v>
      </c>
      <c r="C410" s="27">
        <f>C409*(Presion_cilindro!O401/Presion_cilindro!O402)^Presion_cilindro!$B$9+10*(Presion_cilindro!$B$9-1)*Presion_cilindro!$B$33*(IF(Presion_cilindro!N402&gt;(-C$4+Presion_cilindro!$B$34),1-EXP(-Presion_cilindro!$B$16*((Presion_cilindro!N402-(-C$4+Presion_cilindro!$B$34))/Presion_cilindro!$B$35)^(Presion_cilindro!$B$17+1)),0)-IF(Presion_cilindro!N401&gt;(-C$4+Presion_cilindro!$B$34),1-EXP(-Presion_cilindro!$B$16*((Presion_cilindro!N401-(-C$4+Presion_cilindro!$B$34))/Presion_cilindro!$B$35)^(Presion_cilindro!$B$17+1)),0))/((Presion_cilindro!O401+Presion_cilindro!O402)/2)</f>
        <v>14.8985069700807</v>
      </c>
      <c r="D410" s="27">
        <f>D409*(Presion_cilindro!O401/Presion_cilindro!O402)^Presion_cilindro!$B$9+10*(Presion_cilindro!$B$9-1)*Presion_cilindro!$B$33*(IF(Presion_cilindro!N402&gt;(-D$4+Presion_cilindro!$B$34),1-EXP(-Presion_cilindro!$B$16*((Presion_cilindro!N402-(-D$4+Presion_cilindro!$B$34))/Presion_cilindro!$B$35)^(Presion_cilindro!$B$17+1)),0)-IF(Presion_cilindro!N401&gt;(-D$4+Presion_cilindro!$B$34),1-EXP(-Presion_cilindro!$B$16*((Presion_cilindro!N401-(-D$4+Presion_cilindro!$B$34))/Presion_cilindro!$B$35)^(Presion_cilindro!$B$17+1)),0))/((Presion_cilindro!O401+Presion_cilindro!O402)/2)</f>
        <v>18.83673903000043</v>
      </c>
      <c r="E410" s="27">
        <f>E409*(Presion_cilindro!O401/Presion_cilindro!O402)^Presion_cilindro!$B$9+10*(Presion_cilindro!$B$9-1)*Presion_cilindro!$B$33*(IF(Presion_cilindro!N402&gt;(-E$4+Presion_cilindro!$B$34),1-EXP(-Presion_cilindro!$B$16*((Presion_cilindro!N402-(-E$4+Presion_cilindro!$B$34))/Presion_cilindro!$B$35)^(Presion_cilindro!$B$17+1)),0)-IF(Presion_cilindro!N401&gt;(-E$4+Presion_cilindro!$B$34),1-EXP(-Presion_cilindro!$B$16*((Presion_cilindro!N401-(-E$4+Presion_cilindro!$B$34))/Presion_cilindro!$B$35)^(Presion_cilindro!$B$17+1)),0))/((Presion_cilindro!O401+Presion_cilindro!O402)/2)</f>
        <v>23.402293560994337</v>
      </c>
      <c r="F410" s="27">
        <f>F409*(Presion_cilindro!O401/Presion_cilindro!O402)^Presion_cilindro!$B$9+10*(Presion_cilindro!$B$9-1)*Presion_cilindro!$B$33*(IF(Presion_cilindro!N402&gt;(-F$4+Presion_cilindro!$B$34),1-EXP(-Presion_cilindro!$B$16*((Presion_cilindro!N402-(-F$4+Presion_cilindro!$B$34))/Presion_cilindro!$B$35)^(Presion_cilindro!$B$17+1)),0)-IF(Presion_cilindro!N401&gt;(-F$4+Presion_cilindro!$B$34),1-EXP(-Presion_cilindro!$B$16*((Presion_cilindro!N401-(-F$4+Presion_cilindro!$B$34))/Presion_cilindro!$B$35)^(Presion_cilindro!$B$17+1)),0))/((Presion_cilindro!O401+Presion_cilindro!O402)/2)</f>
        <v>27.576466811709881</v>
      </c>
      <c r="G410" s="27">
        <f>G409*(Presion_cilindro!O401/Presion_cilindro!O402)^Presion_cilindro!$B$9+10*(Presion_cilindro!$B$9-1)*Presion_cilindro!$B$33*(IF(Presion_cilindro!N402&gt;(-G$4+Presion_cilindro!$B$34),1-EXP(-Presion_cilindro!$B$16*((Presion_cilindro!N402-(-G$4+Presion_cilindro!$B$34))/Presion_cilindro!$B$35)^(Presion_cilindro!$B$17+1)),0)-IF(Presion_cilindro!N401&gt;(-G$4+Presion_cilindro!$B$34),1-EXP(-Presion_cilindro!$B$16*((Presion_cilindro!N401-(-G$4+Presion_cilindro!$B$34))/Presion_cilindro!$B$35)^(Presion_cilindro!$B$17+1)),0))/((Presion_cilindro!O401+Presion_cilindro!O402)/2)</f>
        <v>30.57501892547079</v>
      </c>
      <c r="H410" s="27">
        <f>H409*(Presion_cilindro!O401/Presion_cilindro!O402)^Presion_cilindro!$B$9+10*(Presion_cilindro!$B$9-1)*Presion_cilindro!$B$33*(IF(Presion_cilindro!N402&gt;(-H$4+Presion_cilindro!$B$34),1-EXP(-Presion_cilindro!$B$16*((Presion_cilindro!N402-(-H$4+Presion_cilindro!$B$34))/Presion_cilindro!$B$35)^(Presion_cilindro!$B$17+1)),0)-IF(Presion_cilindro!N401&gt;(-H$4+Presion_cilindro!$B$34),1-EXP(-Presion_cilindro!$B$16*((Presion_cilindro!N401-(-H$4+Presion_cilindro!$B$34))/Presion_cilindro!$B$35)^(Presion_cilindro!$B$17+1)),0))/((Presion_cilindro!O401+Presion_cilindro!O402)/2)</f>
        <v>32.265393718513032</v>
      </c>
      <c r="I410" s="27">
        <f>I409*(Presion_cilindro!O401/Presion_cilindro!O402)^Presion_cilindro!$B$9+10*(Presion_cilindro!$B$9-1)*Presion_cilindro!$B$33*(IF(Presion_cilindro!N402&gt;(-I$4+Presion_cilindro!$B$34),1-EXP(-Presion_cilindro!$B$16*((Presion_cilindro!N402-(-I$4+Presion_cilindro!$B$34))/Presion_cilindro!$B$35)^(Presion_cilindro!$B$17+1)),0)-IF(Presion_cilindro!N401&gt;(-I$4+Presion_cilindro!$B$34),1-EXP(-Presion_cilindro!$B$16*((Presion_cilindro!N401-(-I$4+Presion_cilindro!$B$34))/Presion_cilindro!$B$35)^(Presion_cilindro!$B$17+1)),0))/((Presion_cilindro!O401+Presion_cilindro!O402)/2)</f>
        <v>33.074552589043797</v>
      </c>
      <c r="J410" s="27">
        <f>J409*(Presion_cilindro!O401/Presion_cilindro!O402)^Presion_cilindro!$B$9+10*(Presion_cilindro!$B$9-1)*Presion_cilindro!$B$33*(IF(Presion_cilindro!N402&gt;(-J$4+Presion_cilindro!$B$34),1-EXP(-Presion_cilindro!$B$16*((Presion_cilindro!N402-(-J$4+Presion_cilindro!$B$34))/Presion_cilindro!$B$35)^(Presion_cilindro!$B$17+1)),0)-IF(Presion_cilindro!N401&gt;(-J$4+Presion_cilindro!$B$34),1-EXP(-Presion_cilindro!$B$16*((Presion_cilindro!N401-(-J$4+Presion_cilindro!$B$34))/Presion_cilindro!$B$35)^(Presion_cilindro!$B$17+1)),0))/((Presion_cilindro!O401+Presion_cilindro!O402)/2)</f>
        <v>33.558982985268059</v>
      </c>
      <c r="K410" s="27">
        <f>K409*(Presion_cilindro!O401/Presion_cilindro!O402)^Presion_cilindro!$B$9+10*(Presion_cilindro!$B$9-1)*Presion_cilindro!$B$33*(IF(Presion_cilindro!N402&gt;(-K$4+Presion_cilindro!$B$34),1-EXP(-Presion_cilindro!$B$16*((Presion_cilindro!N402-(-K$4+Presion_cilindro!$B$34))/Presion_cilindro!$B$35)^(Presion_cilindro!$B$17+1)),0)-IF(Presion_cilindro!N401&gt;(-K$4+Presion_cilindro!$B$34),1-EXP(-Presion_cilindro!$B$16*((Presion_cilindro!N401-(-K$4+Presion_cilindro!$B$34))/Presion_cilindro!$B$35)^(Presion_cilindro!$B$17+1)),0))/((Presion_cilindro!O401+Presion_cilindro!O402)/2)</f>
        <v>34.083036220877489</v>
      </c>
      <c r="L410" s="27">
        <f>L409*(Presion_cilindro!O401/Presion_cilindro!O402)^Presion_cilindro!$B$9+10*(Presion_cilindro!$B$9-1)*Presion_cilindro!$B$33*(IF(Presion_cilindro!N402&gt;(-L$4+Presion_cilindro!$B$34),1-EXP(-Presion_cilindro!$B$16*((Presion_cilindro!N402-(-L$4+Presion_cilindro!$B$34))/Presion_cilindro!$B$35)^(Presion_cilindro!$B$17+1)),0)-IF(Presion_cilindro!N401&gt;(-L$4+Presion_cilindro!$B$34),1-EXP(-Presion_cilindro!$B$16*((Presion_cilindro!N401-(-L$4+Presion_cilindro!$B$34))/Presion_cilindro!$B$35)^(Presion_cilindro!$B$17+1)),0))/((Presion_cilindro!O401+Presion_cilindro!O402)/2)</f>
        <v>34.781926783270002</v>
      </c>
      <c r="M410" s="27">
        <f>M409*(Presion_cilindro!O401/Presion_cilindro!O402)^Presion_cilindro!$B$9+10*(Presion_cilindro!$B$9-1)*Presion_cilindro!$B$33*(IF(Presion_cilindro!N402&gt;(-M$4+Presion_cilindro!$B$34),1-EXP(-Presion_cilindro!$B$16*((Presion_cilindro!N402-(-M$4+Presion_cilindro!$B$34))/Presion_cilindro!$B$35)^(Presion_cilindro!$B$17+1)),0)-IF(Presion_cilindro!N401&gt;(-M$4+Presion_cilindro!$B$34),1-EXP(-Presion_cilindro!$B$16*((Presion_cilindro!N401-(-M$4+Presion_cilindro!$B$34))/Presion_cilindro!$B$35)^(Presion_cilindro!$B$17+1)),0))/((Presion_cilindro!O401+Presion_cilindro!O402)/2)</f>
        <v>35.663627178165605</v>
      </c>
      <c r="N410" s="27">
        <f>N409*(Presion_cilindro!O401/Presion_cilindro!O402)^Presion_cilindro!$B$9+10*(Presion_cilindro!$B$9-1)*Presion_cilindro!$B$33*(IF(Presion_cilindro!N402&gt;(-N$4+Presion_cilindro!$B$34),1-EXP(-Presion_cilindro!$B$16*((Presion_cilindro!N402-(-N$4+Presion_cilindro!$B$34))/Presion_cilindro!$B$35)^(Presion_cilindro!$B$17+1)),0)-IF(Presion_cilindro!N401&gt;(-N$4+Presion_cilindro!$B$34),1-EXP(-Presion_cilindro!$B$16*((Presion_cilindro!N401-(-N$4+Presion_cilindro!$B$34))/Presion_cilindro!$B$35)^(Presion_cilindro!$B$17+1)),0))/((Presion_cilindro!O401+Presion_cilindro!O402)/2)</f>
        <v>36.693338808725606</v>
      </c>
    </row>
    <row r="411" spans="1:14" x14ac:dyDescent="0.25">
      <c r="A411" s="21">
        <f>Presion_cilindro!N403</f>
        <v>19.5</v>
      </c>
      <c r="B411" s="27">
        <f>B410*(Presion_cilindro!O402/Presion_cilindro!O403)^Presion_cilindro!$B$9+10*(Presion_cilindro!$B$9-1)*Presion_cilindro!$B$33*(IF(Presion_cilindro!N403&gt;(-B$4+Presion_cilindro!$B$34),1-EXP(-Presion_cilindro!$B$16*((Presion_cilindro!N403-(-B$4+Presion_cilindro!$B$34))/Presion_cilindro!$B$35)^(Presion_cilindro!$B$17+1)),0)-IF(Presion_cilindro!N402&gt;(-B$4+Presion_cilindro!$B$34),1-EXP(-Presion_cilindro!$B$16*((Presion_cilindro!N402-(-B$4+Presion_cilindro!$B$34))/Presion_cilindro!$B$35)^(Presion_cilindro!$B$17+1)),0))/((Presion_cilindro!O402+Presion_cilindro!O403)/2)</f>
        <v>12.268749791187735</v>
      </c>
      <c r="C411" s="27">
        <f>C410*(Presion_cilindro!O402/Presion_cilindro!O403)^Presion_cilindro!$B$9+10*(Presion_cilindro!$B$9-1)*Presion_cilindro!$B$33*(IF(Presion_cilindro!N403&gt;(-C$4+Presion_cilindro!$B$34),1-EXP(-Presion_cilindro!$B$16*((Presion_cilindro!N403-(-C$4+Presion_cilindro!$B$34))/Presion_cilindro!$B$35)^(Presion_cilindro!$B$17+1)),0)-IF(Presion_cilindro!N402&gt;(-C$4+Presion_cilindro!$B$34),1-EXP(-Presion_cilindro!$B$16*((Presion_cilindro!N402-(-C$4+Presion_cilindro!$B$34))/Presion_cilindro!$B$35)^(Presion_cilindro!$B$17+1)),0))/((Presion_cilindro!O402+Presion_cilindro!O403)/2)</f>
        <v>15.005992497931384</v>
      </c>
      <c r="D411" s="27">
        <f>D410*(Presion_cilindro!O402/Presion_cilindro!O403)^Presion_cilindro!$B$9+10*(Presion_cilindro!$B$9-1)*Presion_cilindro!$B$33*(IF(Presion_cilindro!N403&gt;(-D$4+Presion_cilindro!$B$34),1-EXP(-Presion_cilindro!$B$16*((Presion_cilindro!N403-(-D$4+Presion_cilindro!$B$34))/Presion_cilindro!$B$35)^(Presion_cilindro!$B$17+1)),0)-IF(Presion_cilindro!N402&gt;(-D$4+Presion_cilindro!$B$34),1-EXP(-Presion_cilindro!$B$16*((Presion_cilindro!N402-(-D$4+Presion_cilindro!$B$34))/Presion_cilindro!$B$35)^(Presion_cilindro!$B$17+1)),0))/((Presion_cilindro!O402+Presion_cilindro!O403)/2)</f>
        <v>18.992450129113401</v>
      </c>
      <c r="E411" s="27">
        <f>E410*(Presion_cilindro!O402/Presion_cilindro!O403)^Presion_cilindro!$B$9+10*(Presion_cilindro!$B$9-1)*Presion_cilindro!$B$33*(IF(Presion_cilindro!N403&gt;(-E$4+Presion_cilindro!$B$34),1-EXP(-Presion_cilindro!$B$16*((Presion_cilindro!N403-(-E$4+Presion_cilindro!$B$34))/Presion_cilindro!$B$35)^(Presion_cilindro!$B$17+1)),0)-IF(Presion_cilindro!N402&gt;(-E$4+Presion_cilindro!$B$34),1-EXP(-Presion_cilindro!$B$16*((Presion_cilindro!N402-(-E$4+Presion_cilindro!$B$34))/Presion_cilindro!$B$35)^(Presion_cilindro!$B$17+1)),0))/((Presion_cilindro!O402+Presion_cilindro!O403)/2)</f>
        <v>23.500567851684252</v>
      </c>
      <c r="F411" s="27">
        <f>F410*(Presion_cilindro!O402/Presion_cilindro!O403)^Presion_cilindro!$B$9+10*(Presion_cilindro!$B$9-1)*Presion_cilindro!$B$33*(IF(Presion_cilindro!N403&gt;(-F$4+Presion_cilindro!$B$34),1-EXP(-Presion_cilindro!$B$16*((Presion_cilindro!N403-(-F$4+Presion_cilindro!$B$34))/Presion_cilindro!$B$35)^(Presion_cilindro!$B$17+1)),0)-IF(Presion_cilindro!N402&gt;(-F$4+Presion_cilindro!$B$34),1-EXP(-Presion_cilindro!$B$16*((Presion_cilindro!N402-(-F$4+Presion_cilindro!$B$34))/Presion_cilindro!$B$35)^(Presion_cilindro!$B$17+1)),0))/((Presion_cilindro!O402+Presion_cilindro!O403)/2)</f>
        <v>27.519217508192423</v>
      </c>
      <c r="G411" s="27">
        <f>G410*(Presion_cilindro!O402/Presion_cilindro!O403)^Presion_cilindro!$B$9+10*(Presion_cilindro!$B$9-1)*Presion_cilindro!$B$33*(IF(Presion_cilindro!N403&gt;(-G$4+Presion_cilindro!$B$34),1-EXP(-Presion_cilindro!$B$16*((Presion_cilindro!N403-(-G$4+Presion_cilindro!$B$34))/Presion_cilindro!$B$35)^(Presion_cilindro!$B$17+1)),0)-IF(Presion_cilindro!N402&gt;(-G$4+Presion_cilindro!$B$34),1-EXP(-Presion_cilindro!$B$16*((Presion_cilindro!N402-(-G$4+Presion_cilindro!$B$34))/Presion_cilindro!$B$35)^(Presion_cilindro!$B$17+1)),0))/((Presion_cilindro!O402+Presion_cilindro!O403)/2)</f>
        <v>30.326446115613425</v>
      </c>
      <c r="H411" s="27">
        <f>H410*(Presion_cilindro!O402/Presion_cilindro!O403)^Presion_cilindro!$B$9+10*(Presion_cilindro!$B$9-1)*Presion_cilindro!$B$33*(IF(Presion_cilindro!N403&gt;(-H$4+Presion_cilindro!$B$34),1-EXP(-Presion_cilindro!$B$16*((Presion_cilindro!N403-(-H$4+Presion_cilindro!$B$34))/Presion_cilindro!$B$35)^(Presion_cilindro!$B$17+1)),0)-IF(Presion_cilindro!N402&gt;(-H$4+Presion_cilindro!$B$34),1-EXP(-Presion_cilindro!$B$16*((Presion_cilindro!N402-(-H$4+Presion_cilindro!$B$34))/Presion_cilindro!$B$35)^(Presion_cilindro!$B$17+1)),0))/((Presion_cilindro!O402+Presion_cilindro!O403)/2)</f>
        <v>31.860255293750406</v>
      </c>
      <c r="I411" s="27">
        <f>I410*(Presion_cilindro!O402/Presion_cilindro!O403)^Presion_cilindro!$B$9+10*(Presion_cilindro!$B$9-1)*Presion_cilindro!$B$33*(IF(Presion_cilindro!N403&gt;(-I$4+Presion_cilindro!$B$34),1-EXP(-Presion_cilindro!$B$16*((Presion_cilindro!N403-(-I$4+Presion_cilindro!$B$34))/Presion_cilindro!$B$35)^(Presion_cilindro!$B$17+1)),0)-IF(Presion_cilindro!N402&gt;(-I$4+Presion_cilindro!$B$34),1-EXP(-Presion_cilindro!$B$16*((Presion_cilindro!N402-(-I$4+Presion_cilindro!$B$34))/Presion_cilindro!$B$35)^(Presion_cilindro!$B$17+1)),0))/((Presion_cilindro!O402+Presion_cilindro!O403)/2)</f>
        <v>32.577456392784548</v>
      </c>
      <c r="J411" s="27">
        <f>J410*(Presion_cilindro!O402/Presion_cilindro!O403)^Presion_cilindro!$B$9+10*(Presion_cilindro!$B$9-1)*Presion_cilindro!$B$33*(IF(Presion_cilindro!N403&gt;(-J$4+Presion_cilindro!$B$34),1-EXP(-Presion_cilindro!$B$16*((Presion_cilindro!N403-(-J$4+Presion_cilindro!$B$34))/Presion_cilindro!$B$35)^(Presion_cilindro!$B$17+1)),0)-IF(Presion_cilindro!N402&gt;(-J$4+Presion_cilindro!$B$34),1-EXP(-Presion_cilindro!$B$16*((Presion_cilindro!N402-(-J$4+Presion_cilindro!$B$34))/Presion_cilindro!$B$35)^(Presion_cilindro!$B$17+1)),0))/((Presion_cilindro!O402+Presion_cilindro!O403)/2)</f>
        <v>33.020324214527008</v>
      </c>
      <c r="K411" s="27">
        <f>K410*(Presion_cilindro!O402/Presion_cilindro!O403)^Presion_cilindro!$B$9+10*(Presion_cilindro!$B$9-1)*Presion_cilindro!$B$33*(IF(Presion_cilindro!N403&gt;(-K$4+Presion_cilindro!$B$34),1-EXP(-Presion_cilindro!$B$16*((Presion_cilindro!N403-(-K$4+Presion_cilindro!$B$34))/Presion_cilindro!$B$35)^(Presion_cilindro!$B$17+1)),0)-IF(Presion_cilindro!N402&gt;(-K$4+Presion_cilindro!$B$34),1-EXP(-Presion_cilindro!$B$16*((Presion_cilindro!N402-(-K$4+Presion_cilindro!$B$34))/Presion_cilindro!$B$35)^(Presion_cilindro!$B$17+1)),0))/((Presion_cilindro!O402+Presion_cilindro!O403)/2)</f>
        <v>33.52571890955462</v>
      </c>
      <c r="L411" s="27">
        <f>L410*(Presion_cilindro!O402/Presion_cilindro!O403)^Presion_cilindro!$B$9+10*(Presion_cilindro!$B$9-1)*Presion_cilindro!$B$33*(IF(Presion_cilindro!N403&gt;(-L$4+Presion_cilindro!$B$34),1-EXP(-Presion_cilindro!$B$16*((Presion_cilindro!N403-(-L$4+Presion_cilindro!$B$34))/Presion_cilindro!$B$35)^(Presion_cilindro!$B$17+1)),0)-IF(Presion_cilindro!N402&gt;(-L$4+Presion_cilindro!$B$34),1-EXP(-Presion_cilindro!$B$16*((Presion_cilindro!N402-(-L$4+Presion_cilindro!$B$34))/Presion_cilindro!$B$35)^(Presion_cilindro!$B$17+1)),0))/((Presion_cilindro!O402+Presion_cilindro!O403)/2)</f>
        <v>34.211052709938514</v>
      </c>
      <c r="M411" s="27">
        <f>M410*(Presion_cilindro!O402/Presion_cilindro!O403)^Presion_cilindro!$B$9+10*(Presion_cilindro!$B$9-1)*Presion_cilindro!$B$33*(IF(Presion_cilindro!N403&gt;(-M$4+Presion_cilindro!$B$34),1-EXP(-Presion_cilindro!$B$16*((Presion_cilindro!N403-(-M$4+Presion_cilindro!$B$34))/Presion_cilindro!$B$35)^(Presion_cilindro!$B$17+1)),0)-IF(Presion_cilindro!N402&gt;(-M$4+Presion_cilindro!$B$34),1-EXP(-Presion_cilindro!$B$16*((Presion_cilindro!N402-(-M$4+Presion_cilindro!$B$34))/Presion_cilindro!$B$35)^(Presion_cilindro!$B$17+1)),0))/((Presion_cilindro!O402+Presion_cilindro!O403)/2)</f>
        <v>35.077981688513489</v>
      </c>
      <c r="N411" s="27">
        <f>N410*(Presion_cilindro!O402/Presion_cilindro!O403)^Presion_cilindro!$B$9+10*(Presion_cilindro!$B$9-1)*Presion_cilindro!$B$33*(IF(Presion_cilindro!N403&gt;(-N$4+Presion_cilindro!$B$34),1-EXP(-Presion_cilindro!$B$16*((Presion_cilindro!N403-(-N$4+Presion_cilindro!$B$34))/Presion_cilindro!$B$35)^(Presion_cilindro!$B$17+1)),0)-IF(Presion_cilindro!N402&gt;(-N$4+Presion_cilindro!$B$34),1-EXP(-Presion_cilindro!$B$16*((Presion_cilindro!N402-(-N$4+Presion_cilindro!$B$34))/Presion_cilindro!$B$35)^(Presion_cilindro!$B$17+1)),0))/((Presion_cilindro!O402+Presion_cilindro!O403)/2)</f>
        <v>36.090755996083644</v>
      </c>
    </row>
    <row r="412" spans="1:14" x14ac:dyDescent="0.25">
      <c r="A412" s="21">
        <f>Presion_cilindro!N404</f>
        <v>20</v>
      </c>
      <c r="B412" s="27">
        <f>B411*(Presion_cilindro!O403/Presion_cilindro!O404)^Presion_cilindro!$B$9+10*(Presion_cilindro!$B$9-1)*Presion_cilindro!$B$33*(IF(Presion_cilindro!N404&gt;(-B$4+Presion_cilindro!$B$34),1-EXP(-Presion_cilindro!$B$16*((Presion_cilindro!N404-(-B$4+Presion_cilindro!$B$34))/Presion_cilindro!$B$35)^(Presion_cilindro!$B$17+1)),0)-IF(Presion_cilindro!N403&gt;(-B$4+Presion_cilindro!$B$34),1-EXP(-Presion_cilindro!$B$16*((Presion_cilindro!N403-(-B$4+Presion_cilindro!$B$34))/Presion_cilindro!$B$35)^(Presion_cilindro!$B$17+1)),0))/((Presion_cilindro!O403+Presion_cilindro!O404)/2)</f>
        <v>12.277865850271226</v>
      </c>
      <c r="C412" s="27">
        <f>C411*(Presion_cilindro!O403/Presion_cilindro!O404)^Presion_cilindro!$B$9+10*(Presion_cilindro!$B$9-1)*Presion_cilindro!$B$33*(IF(Presion_cilindro!N404&gt;(-C$4+Presion_cilindro!$B$34),1-EXP(-Presion_cilindro!$B$16*((Presion_cilindro!N404-(-C$4+Presion_cilindro!$B$34))/Presion_cilindro!$B$35)^(Presion_cilindro!$B$17+1)),0)-IF(Presion_cilindro!N403&gt;(-C$4+Presion_cilindro!$B$34),1-EXP(-Presion_cilindro!$B$16*((Presion_cilindro!N403-(-C$4+Presion_cilindro!$B$34))/Presion_cilindro!$B$35)^(Presion_cilindro!$B$17+1)),0))/((Presion_cilindro!O403+Presion_cilindro!O404)/2)</f>
        <v>15.118478209021976</v>
      </c>
      <c r="D412" s="27">
        <f>D411*(Presion_cilindro!O403/Presion_cilindro!O404)^Presion_cilindro!$B$9+10*(Presion_cilindro!$B$9-1)*Presion_cilindro!$B$33*(IF(Presion_cilindro!N404&gt;(-D$4+Presion_cilindro!$B$34),1-EXP(-Presion_cilindro!$B$16*((Presion_cilindro!N404-(-D$4+Presion_cilindro!$B$34))/Presion_cilindro!$B$35)^(Presion_cilindro!$B$17+1)),0)-IF(Presion_cilindro!N403&gt;(-D$4+Presion_cilindro!$B$34),1-EXP(-Presion_cilindro!$B$16*((Presion_cilindro!N403-(-D$4+Presion_cilindro!$B$34))/Presion_cilindro!$B$35)^(Presion_cilindro!$B$17+1)),0))/((Presion_cilindro!O403+Presion_cilindro!O404)/2)</f>
        <v>19.14283909281902</v>
      </c>
      <c r="E412" s="27">
        <f>E411*(Presion_cilindro!O403/Presion_cilindro!O404)^Presion_cilindro!$B$9+10*(Presion_cilindro!$B$9-1)*Presion_cilindro!$B$33*(IF(Presion_cilindro!N404&gt;(-E$4+Presion_cilindro!$B$34),1-EXP(-Presion_cilindro!$B$16*((Presion_cilindro!N404-(-E$4+Presion_cilindro!$B$34))/Presion_cilindro!$B$35)^(Presion_cilindro!$B$17+1)),0)-IF(Presion_cilindro!N403&gt;(-E$4+Presion_cilindro!$B$34),1-EXP(-Presion_cilindro!$B$16*((Presion_cilindro!N403-(-E$4+Presion_cilindro!$B$34))/Presion_cilindro!$B$35)^(Presion_cilindro!$B$17+1)),0))/((Presion_cilindro!O403+Presion_cilindro!O404)/2)</f>
        <v>23.582437801403902</v>
      </c>
      <c r="F412" s="27">
        <f>F411*(Presion_cilindro!O403/Presion_cilindro!O404)^Presion_cilindro!$B$9+10*(Presion_cilindro!$B$9-1)*Presion_cilindro!$B$33*(IF(Presion_cilindro!N404&gt;(-F$4+Presion_cilindro!$B$34),1-EXP(-Presion_cilindro!$B$16*((Presion_cilindro!N404-(-F$4+Presion_cilindro!$B$34))/Presion_cilindro!$B$35)^(Presion_cilindro!$B$17+1)),0)-IF(Presion_cilindro!N403&gt;(-F$4+Presion_cilindro!$B$34),1-EXP(-Presion_cilindro!$B$16*((Presion_cilindro!N403-(-F$4+Presion_cilindro!$B$34))/Presion_cilindro!$B$35)^(Presion_cilindro!$B$17+1)),0))/((Presion_cilindro!O403+Presion_cilindro!O404)/2)</f>
        <v>27.440053439911026</v>
      </c>
      <c r="G412" s="27">
        <f>G411*(Presion_cilindro!O403/Presion_cilindro!O404)^Presion_cilindro!$B$9+10*(Presion_cilindro!$B$9-1)*Presion_cilindro!$B$33*(IF(Presion_cilindro!N404&gt;(-G$4+Presion_cilindro!$B$34),1-EXP(-Presion_cilindro!$B$16*((Presion_cilindro!N404-(-G$4+Presion_cilindro!$B$34))/Presion_cilindro!$B$35)^(Presion_cilindro!$B$17+1)),0)-IF(Presion_cilindro!N403&gt;(-G$4+Presion_cilindro!$B$34),1-EXP(-Presion_cilindro!$B$16*((Presion_cilindro!N403-(-G$4+Presion_cilindro!$B$34))/Presion_cilindro!$B$35)^(Presion_cilindro!$B$17+1)),0))/((Presion_cilindro!O403+Presion_cilindro!O404)/2)</f>
        <v>30.058809258728328</v>
      </c>
      <c r="H412" s="27">
        <f>H411*(Presion_cilindro!O403/Presion_cilindro!O404)^Presion_cilindro!$B$9+10*(Presion_cilindro!$B$9-1)*Presion_cilindro!$B$33*(IF(Presion_cilindro!N404&gt;(-H$4+Presion_cilindro!$B$34),1-EXP(-Presion_cilindro!$B$16*((Presion_cilindro!N404-(-H$4+Presion_cilindro!$B$34))/Presion_cilindro!$B$35)^(Presion_cilindro!$B$17+1)),0)-IF(Presion_cilindro!N403&gt;(-H$4+Presion_cilindro!$B$34),1-EXP(-Presion_cilindro!$B$16*((Presion_cilindro!N403-(-H$4+Presion_cilindro!$B$34))/Presion_cilindro!$B$35)^(Presion_cilindro!$B$17+1)),0))/((Presion_cilindro!O403+Presion_cilindro!O404)/2)</f>
        <v>31.444023892135338</v>
      </c>
      <c r="I412" s="27">
        <f>I411*(Presion_cilindro!O403/Presion_cilindro!O404)^Presion_cilindro!$B$9+10*(Presion_cilindro!$B$9-1)*Presion_cilindro!$B$33*(IF(Presion_cilindro!N404&gt;(-I$4+Presion_cilindro!$B$34),1-EXP(-Presion_cilindro!$B$16*((Presion_cilindro!N404-(-I$4+Presion_cilindro!$B$34))/Presion_cilindro!$B$35)^(Presion_cilindro!$B$17+1)),0)-IF(Presion_cilindro!N403&gt;(-I$4+Presion_cilindro!$B$34),1-EXP(-Presion_cilindro!$B$16*((Presion_cilindro!N403-(-I$4+Presion_cilindro!$B$34))/Presion_cilindro!$B$35)^(Presion_cilindro!$B$17+1)),0))/((Presion_cilindro!O403+Presion_cilindro!O404)/2)</f>
        <v>32.076811652069445</v>
      </c>
      <c r="J412" s="27">
        <f>J411*(Presion_cilindro!O403/Presion_cilindro!O404)^Presion_cilindro!$B$9+10*(Presion_cilindro!$B$9-1)*Presion_cilindro!$B$33*(IF(Presion_cilindro!N404&gt;(-J$4+Presion_cilindro!$B$34),1-EXP(-Presion_cilindro!$B$16*((Presion_cilindro!N404-(-J$4+Presion_cilindro!$B$34))/Presion_cilindro!$B$35)^(Presion_cilindro!$B$17+1)),0)-IF(Presion_cilindro!N403&gt;(-J$4+Presion_cilindro!$B$34),1-EXP(-Presion_cilindro!$B$16*((Presion_cilindro!N403-(-J$4+Presion_cilindro!$B$34))/Presion_cilindro!$B$35)^(Presion_cilindro!$B$17+1)),0))/((Presion_cilindro!O403+Presion_cilindro!O404)/2)</f>
        <v>32.482427947510807</v>
      </c>
      <c r="K412" s="27">
        <f>K411*(Presion_cilindro!O403/Presion_cilindro!O404)^Presion_cilindro!$B$9+10*(Presion_cilindro!$B$9-1)*Presion_cilindro!$B$33*(IF(Presion_cilindro!N404&gt;(-K$4+Presion_cilindro!$B$34),1-EXP(-Presion_cilindro!$B$16*((Presion_cilindro!N404-(-K$4+Presion_cilindro!$B$34))/Presion_cilindro!$B$35)^(Presion_cilindro!$B$17+1)),0)-IF(Presion_cilindro!N403&gt;(-K$4+Presion_cilindro!$B$34),1-EXP(-Presion_cilindro!$B$16*((Presion_cilindro!N403-(-K$4+Presion_cilindro!$B$34))/Presion_cilindro!$B$35)^(Presion_cilindro!$B$17+1)),0))/((Presion_cilindro!O403+Presion_cilindro!O404)/2)</f>
        <v>32.970803309043163</v>
      </c>
      <c r="L412" s="27">
        <f>L411*(Presion_cilindro!O403/Presion_cilindro!O404)^Presion_cilindro!$B$9+10*(Presion_cilindro!$B$9-1)*Presion_cilindro!$B$33*(IF(Presion_cilindro!N404&gt;(-L$4+Presion_cilindro!$B$34),1-EXP(-Presion_cilindro!$B$16*((Presion_cilindro!N404-(-L$4+Presion_cilindro!$B$34))/Presion_cilindro!$B$35)^(Presion_cilindro!$B$17+1)),0)-IF(Presion_cilindro!N403&gt;(-L$4+Presion_cilindro!$B$34),1-EXP(-Presion_cilindro!$B$16*((Presion_cilindro!N403-(-L$4+Presion_cilindro!$B$34))/Presion_cilindro!$B$35)^(Presion_cilindro!$B$17+1)),0))/((Presion_cilindro!O403+Presion_cilindro!O404)/2)</f>
        <v>33.643035401970295</v>
      </c>
      <c r="M412" s="27">
        <f>M411*(Presion_cilindro!O403/Presion_cilindro!O404)^Presion_cilindro!$B$9+10*(Presion_cilindro!$B$9-1)*Presion_cilindro!$B$33*(IF(Presion_cilindro!N404&gt;(-M$4+Presion_cilindro!$B$34),1-EXP(-Presion_cilindro!$B$16*((Presion_cilindro!N404-(-M$4+Presion_cilindro!$B$34))/Presion_cilindro!$B$35)^(Presion_cilindro!$B$17+1)),0)-IF(Presion_cilindro!N403&gt;(-M$4+Presion_cilindro!$B$34),1-EXP(-Presion_cilindro!$B$16*((Presion_cilindro!N403-(-M$4+Presion_cilindro!$B$34))/Presion_cilindro!$B$35)^(Presion_cilindro!$B$17+1)),0))/((Presion_cilindro!O403+Presion_cilindro!O404)/2)</f>
        <v>34.495332289698496</v>
      </c>
      <c r="N412" s="27">
        <f>N411*(Presion_cilindro!O403/Presion_cilindro!O404)^Presion_cilindro!$B$9+10*(Presion_cilindro!$B$9-1)*Presion_cilindro!$B$33*(IF(Presion_cilindro!N404&gt;(-N$4+Presion_cilindro!$B$34),1-EXP(-Presion_cilindro!$B$16*((Presion_cilindro!N404-(-N$4+Presion_cilindro!$B$34))/Presion_cilindro!$B$35)^(Presion_cilindro!$B$17+1)),0)-IF(Presion_cilindro!N403&gt;(-N$4+Presion_cilindro!$B$34),1-EXP(-Presion_cilindro!$B$16*((Presion_cilindro!N403-(-N$4+Presion_cilindro!$B$34))/Presion_cilindro!$B$35)^(Presion_cilindro!$B$17+1)),0))/((Presion_cilindro!O403+Presion_cilindro!O404)/2)</f>
        <v>35.491262954984592</v>
      </c>
    </row>
    <row r="413" spans="1:14" x14ac:dyDescent="0.25">
      <c r="A413" s="21">
        <f>Presion_cilindro!N405</f>
        <v>20.5</v>
      </c>
      <c r="B413" s="27">
        <f>B412*(Presion_cilindro!O404/Presion_cilindro!O405)^Presion_cilindro!$B$9+10*(Presion_cilindro!$B$9-1)*Presion_cilindro!$B$33*(IF(Presion_cilindro!N405&gt;(-B$4+Presion_cilindro!$B$34),1-EXP(-Presion_cilindro!$B$16*((Presion_cilindro!N405-(-B$4+Presion_cilindro!$B$34))/Presion_cilindro!$B$35)^(Presion_cilindro!$B$17+1)),0)-IF(Presion_cilindro!N404&gt;(-B$4+Presion_cilindro!$B$34),1-EXP(-Presion_cilindro!$B$16*((Presion_cilindro!N404-(-B$4+Presion_cilindro!$B$34))/Presion_cilindro!$B$35)^(Presion_cilindro!$B$17+1)),0))/((Presion_cilindro!O404+Presion_cilindro!O405)/2)</f>
        <v>12.296782483763335</v>
      </c>
      <c r="C413" s="27">
        <f>C412*(Presion_cilindro!O404/Presion_cilindro!O405)^Presion_cilindro!$B$9+10*(Presion_cilindro!$B$9-1)*Presion_cilindro!$B$33*(IF(Presion_cilindro!N405&gt;(-C$4+Presion_cilindro!$B$34),1-EXP(-Presion_cilindro!$B$16*((Presion_cilindro!N405-(-C$4+Presion_cilindro!$B$34))/Presion_cilindro!$B$35)^(Presion_cilindro!$B$17+1)),0)-IF(Presion_cilindro!N404&gt;(-C$4+Presion_cilindro!$B$34),1-EXP(-Presion_cilindro!$B$16*((Presion_cilindro!N404-(-C$4+Presion_cilindro!$B$34))/Presion_cilindro!$B$35)^(Presion_cilindro!$B$17+1)),0))/((Presion_cilindro!O404+Presion_cilindro!O405)/2)</f>
        <v>15.23522108818892</v>
      </c>
      <c r="D413" s="27">
        <f>D412*(Presion_cilindro!O404/Presion_cilindro!O405)^Presion_cilindro!$B$9+10*(Presion_cilindro!$B$9-1)*Presion_cilindro!$B$33*(IF(Presion_cilindro!N405&gt;(-D$4+Presion_cilindro!$B$34),1-EXP(-Presion_cilindro!$B$16*((Presion_cilindro!N405-(-D$4+Presion_cilindro!$B$34))/Presion_cilindro!$B$35)^(Presion_cilindro!$B$17+1)),0)-IF(Presion_cilindro!N404&gt;(-D$4+Presion_cilindro!$B$34),1-EXP(-Presion_cilindro!$B$16*((Presion_cilindro!N404-(-D$4+Presion_cilindro!$B$34))/Presion_cilindro!$B$35)^(Presion_cilindro!$B$17+1)),0))/((Presion_cilindro!O404+Presion_cilindro!O405)/2)</f>
        <v>19.286989811025311</v>
      </c>
      <c r="E413" s="27">
        <f>E412*(Presion_cilindro!O404/Presion_cilindro!O405)^Presion_cilindro!$B$9+10*(Presion_cilindro!$B$9-1)*Presion_cilindro!$B$33*(IF(Presion_cilindro!N405&gt;(-E$4+Presion_cilindro!$B$34),1-EXP(-Presion_cilindro!$B$16*((Presion_cilindro!N405-(-E$4+Presion_cilindro!$B$34))/Presion_cilindro!$B$35)^(Presion_cilindro!$B$17+1)),0)-IF(Presion_cilindro!N404&gt;(-E$4+Presion_cilindro!$B$34),1-EXP(-Presion_cilindro!$B$16*((Presion_cilindro!N404-(-E$4+Presion_cilindro!$B$34))/Presion_cilindro!$B$35)^(Presion_cilindro!$B$17+1)),0))/((Presion_cilindro!O404+Presion_cilindro!O405)/2)</f>
        <v>23.647486874439345</v>
      </c>
      <c r="F413" s="27">
        <f>F412*(Presion_cilindro!O404/Presion_cilindro!O405)^Presion_cilindro!$B$9+10*(Presion_cilindro!$B$9-1)*Presion_cilindro!$B$33*(IF(Presion_cilindro!N405&gt;(-F$4+Presion_cilindro!$B$34),1-EXP(-Presion_cilindro!$B$16*((Presion_cilindro!N405-(-F$4+Presion_cilindro!$B$34))/Presion_cilindro!$B$35)^(Presion_cilindro!$B$17+1)),0)-IF(Presion_cilindro!N404&gt;(-F$4+Presion_cilindro!$B$34),1-EXP(-Presion_cilindro!$B$16*((Presion_cilindro!N404-(-F$4+Presion_cilindro!$B$34))/Presion_cilindro!$B$35)^(Presion_cilindro!$B$17+1)),0))/((Presion_cilindro!O404+Presion_cilindro!O405)/2)</f>
        <v>27.33952839541654</v>
      </c>
      <c r="G413" s="27">
        <f>G412*(Presion_cilindro!O404/Presion_cilindro!O405)^Presion_cilindro!$B$9+10*(Presion_cilindro!$B$9-1)*Presion_cilindro!$B$33*(IF(Presion_cilindro!N405&gt;(-G$4+Presion_cilindro!$B$34),1-EXP(-Presion_cilindro!$B$16*((Presion_cilindro!N405-(-G$4+Presion_cilindro!$B$34))/Presion_cilindro!$B$35)^(Presion_cilindro!$B$17+1)),0)-IF(Presion_cilindro!N404&gt;(-G$4+Presion_cilindro!$B$34),1-EXP(-Presion_cilindro!$B$16*((Presion_cilindro!N404-(-G$4+Presion_cilindro!$B$34))/Presion_cilindro!$B$35)^(Presion_cilindro!$B$17+1)),0))/((Presion_cilindro!O404+Presion_cilindro!O405)/2)</f>
        <v>29.773452437232628</v>
      </c>
      <c r="H413" s="27">
        <f>H412*(Presion_cilindro!O404/Presion_cilindro!O405)^Presion_cilindro!$B$9+10*(Presion_cilindro!$B$9-1)*Presion_cilindro!$B$33*(IF(Presion_cilindro!N405&gt;(-H$4+Presion_cilindro!$B$34),1-EXP(-Presion_cilindro!$B$16*((Presion_cilindro!N405-(-H$4+Presion_cilindro!$B$34))/Presion_cilindro!$B$35)^(Presion_cilindro!$B$17+1)),0)-IF(Presion_cilindro!N404&gt;(-H$4+Presion_cilindro!$B$34),1-EXP(-Presion_cilindro!$B$16*((Presion_cilindro!N404-(-H$4+Presion_cilindro!$B$34))/Presion_cilindro!$B$35)^(Presion_cilindro!$B$17+1)),0))/((Presion_cilindro!O404+Presion_cilindro!O405)/2)</f>
        <v>31.018196967557742</v>
      </c>
      <c r="I413" s="27">
        <f>I412*(Presion_cilindro!O404/Presion_cilindro!O405)^Presion_cilindro!$B$9+10*(Presion_cilindro!$B$9-1)*Presion_cilindro!$B$33*(IF(Presion_cilindro!N405&gt;(-I$4+Presion_cilindro!$B$34),1-EXP(-Presion_cilindro!$B$16*((Presion_cilindro!N405-(-I$4+Presion_cilindro!$B$34))/Presion_cilindro!$B$35)^(Presion_cilindro!$B$17+1)),0)-IF(Presion_cilindro!N404&gt;(-I$4+Presion_cilindro!$B$34),1-EXP(-Presion_cilindro!$B$16*((Presion_cilindro!N404-(-I$4+Presion_cilindro!$B$34))/Presion_cilindro!$B$35)^(Presion_cilindro!$B$17+1)),0))/((Presion_cilindro!O404+Presion_cilindro!O405)/2)</f>
        <v>31.573792728292187</v>
      </c>
      <c r="J413" s="27">
        <f>J412*(Presion_cilindro!O404/Presion_cilindro!O405)^Presion_cilindro!$B$9+10*(Presion_cilindro!$B$9-1)*Presion_cilindro!$B$33*(IF(Presion_cilindro!N405&gt;(-J$4+Presion_cilindro!$B$34),1-EXP(-Presion_cilindro!$B$16*((Presion_cilindro!N405-(-J$4+Presion_cilindro!$B$34))/Presion_cilindro!$B$35)^(Presion_cilindro!$B$17+1)),0)-IF(Presion_cilindro!N404&gt;(-J$4+Presion_cilindro!$B$34),1-EXP(-Presion_cilindro!$B$16*((Presion_cilindro!N404-(-J$4+Presion_cilindro!$B$34))/Presion_cilindro!$B$35)^(Presion_cilindro!$B$17+1)),0))/((Presion_cilindro!O404+Presion_cilindro!O405)/2)</f>
        <v>31.946104768025801</v>
      </c>
      <c r="K413" s="27">
        <f>K412*(Presion_cilindro!O404/Presion_cilindro!O405)^Presion_cilindro!$B$9+10*(Presion_cilindro!$B$9-1)*Presion_cilindro!$B$33*(IF(Presion_cilindro!N405&gt;(-K$4+Presion_cilindro!$B$34),1-EXP(-Presion_cilindro!$B$16*((Presion_cilindro!N405-(-K$4+Presion_cilindro!$B$34))/Presion_cilindro!$B$35)^(Presion_cilindro!$B$17+1)),0)-IF(Presion_cilindro!N404&gt;(-K$4+Presion_cilindro!$B$34),1-EXP(-Presion_cilindro!$B$16*((Presion_cilindro!N404-(-K$4+Presion_cilindro!$B$34))/Presion_cilindro!$B$35)^(Presion_cilindro!$B$17+1)),0))/((Presion_cilindro!O404+Presion_cilindro!O405)/2)</f>
        <v>32.418910618706128</v>
      </c>
      <c r="L413" s="27">
        <f>L412*(Presion_cilindro!O404/Presion_cilindro!O405)^Presion_cilindro!$B$9+10*(Presion_cilindro!$B$9-1)*Presion_cilindro!$B$33*(IF(Presion_cilindro!N405&gt;(-L$4+Presion_cilindro!$B$34),1-EXP(-Presion_cilindro!$B$16*((Presion_cilindro!N405-(-L$4+Presion_cilindro!$B$34))/Presion_cilindro!$B$35)^(Presion_cilindro!$B$17+1)),0)-IF(Presion_cilindro!N404&gt;(-L$4+Presion_cilindro!$B$34),1-EXP(-Presion_cilindro!$B$16*((Presion_cilindro!N404-(-L$4+Presion_cilindro!$B$34))/Presion_cilindro!$B$35)^(Presion_cilindro!$B$17+1)),0))/((Presion_cilindro!O404+Presion_cilindro!O405)/2)</f>
        <v>33.078444106969506</v>
      </c>
      <c r="M413" s="27">
        <f>M412*(Presion_cilindro!O404/Presion_cilindro!O405)^Presion_cilindro!$B$9+10*(Presion_cilindro!$B$9-1)*Presion_cilindro!$B$33*(IF(Presion_cilindro!N405&gt;(-M$4+Presion_cilindro!$B$34),1-EXP(-Presion_cilindro!$B$16*((Presion_cilindro!N405-(-M$4+Presion_cilindro!$B$34))/Presion_cilindro!$B$35)^(Presion_cilindro!$B$17+1)),0)-IF(Presion_cilindro!N404&gt;(-M$4+Presion_cilindro!$B$34),1-EXP(-Presion_cilindro!$B$16*((Presion_cilindro!N404-(-M$4+Presion_cilindro!$B$34))/Presion_cilindro!$B$35)^(Presion_cilindro!$B$17+1)),0))/((Presion_cilindro!O404+Presion_cilindro!O405)/2)</f>
        <v>33.916249667992766</v>
      </c>
      <c r="N413" s="27">
        <f>N412*(Presion_cilindro!O404/Presion_cilindro!O405)^Presion_cilindro!$B$9+10*(Presion_cilindro!$B$9-1)*Presion_cilindro!$B$33*(IF(Presion_cilindro!N405&gt;(-N$4+Presion_cilindro!$B$34),1-EXP(-Presion_cilindro!$B$16*((Presion_cilindro!N405-(-N$4+Presion_cilindro!$B$34))/Presion_cilindro!$B$35)^(Presion_cilindro!$B$17+1)),0)-IF(Presion_cilindro!N404&gt;(-N$4+Presion_cilindro!$B$34),1-EXP(-Presion_cilindro!$B$16*((Presion_cilindro!N404-(-N$4+Presion_cilindro!$B$34))/Presion_cilindro!$B$35)^(Presion_cilindro!$B$17+1)),0))/((Presion_cilindro!O404+Presion_cilindro!O405)/2)</f>
        <v>34.895445206868466</v>
      </c>
    </row>
    <row r="414" spans="1:14" x14ac:dyDescent="0.25">
      <c r="A414" s="21">
        <f>Presion_cilindro!N406</f>
        <v>21</v>
      </c>
      <c r="B414" s="27">
        <f>B413*(Presion_cilindro!O405/Presion_cilindro!O406)^Presion_cilindro!$B$9+10*(Presion_cilindro!$B$9-1)*Presion_cilindro!$B$33*(IF(Presion_cilindro!N406&gt;(-B$4+Presion_cilindro!$B$34),1-EXP(-Presion_cilindro!$B$16*((Presion_cilindro!N406-(-B$4+Presion_cilindro!$B$34))/Presion_cilindro!$B$35)^(Presion_cilindro!$B$17+1)),0)-IF(Presion_cilindro!N405&gt;(-B$4+Presion_cilindro!$B$34),1-EXP(-Presion_cilindro!$B$16*((Presion_cilindro!N405-(-B$4+Presion_cilindro!$B$34))/Presion_cilindro!$B$35)^(Presion_cilindro!$B$17+1)),0))/((Presion_cilindro!O405+Presion_cilindro!O406)/2)</f>
        <v>12.325240887336717</v>
      </c>
      <c r="C414" s="27">
        <f>C413*(Presion_cilindro!O405/Presion_cilindro!O406)^Presion_cilindro!$B$9+10*(Presion_cilindro!$B$9-1)*Presion_cilindro!$B$33*(IF(Presion_cilindro!N406&gt;(-C$4+Presion_cilindro!$B$34),1-EXP(-Presion_cilindro!$B$16*((Presion_cilindro!N406-(-C$4+Presion_cilindro!$B$34))/Presion_cilindro!$B$35)^(Presion_cilindro!$B$17+1)),0)-IF(Presion_cilindro!N405&gt;(-C$4+Presion_cilindro!$B$34),1-EXP(-Presion_cilindro!$B$16*((Presion_cilindro!N405-(-C$4+Presion_cilindro!$B$34))/Presion_cilindro!$B$35)^(Presion_cilindro!$B$17+1)),0))/((Presion_cilindro!O405+Presion_cilindro!O406)/2)</f>
        <v>15.355443366916971</v>
      </c>
      <c r="D414" s="27">
        <f>D413*(Presion_cilindro!O405/Presion_cilindro!O406)^Presion_cilindro!$B$9+10*(Presion_cilindro!$B$9-1)*Presion_cilindro!$B$33*(IF(Presion_cilindro!N406&gt;(-D$4+Presion_cilindro!$B$34),1-EXP(-Presion_cilindro!$B$16*((Presion_cilindro!N406-(-D$4+Presion_cilindro!$B$34))/Presion_cilindro!$B$35)^(Presion_cilindro!$B$17+1)),0)-IF(Presion_cilindro!N405&gt;(-D$4+Presion_cilindro!$B$34),1-EXP(-Presion_cilindro!$B$16*((Presion_cilindro!N405-(-D$4+Presion_cilindro!$B$34))/Presion_cilindro!$B$35)^(Presion_cilindro!$B$17+1)),0))/((Presion_cilindro!O405+Presion_cilindro!O406)/2)</f>
        <v>19.424016718512217</v>
      </c>
      <c r="E414" s="27">
        <f>E413*(Presion_cilindro!O405/Presion_cilindro!O406)^Presion_cilindro!$B$9+10*(Presion_cilindro!$B$9-1)*Presion_cilindro!$B$33*(IF(Presion_cilindro!N406&gt;(-E$4+Presion_cilindro!$B$34),1-EXP(-Presion_cilindro!$B$16*((Presion_cilindro!N406-(-E$4+Presion_cilindro!$B$34))/Presion_cilindro!$B$35)^(Presion_cilindro!$B$17+1)),0)-IF(Presion_cilindro!N405&gt;(-E$4+Presion_cilindro!$B$34),1-EXP(-Presion_cilindro!$B$16*((Presion_cilindro!N405-(-E$4+Presion_cilindro!$B$34))/Presion_cilindro!$B$35)^(Presion_cilindro!$B$17+1)),0))/((Presion_cilindro!O405+Presion_cilindro!O406)/2)</f>
        <v>23.695389205955998</v>
      </c>
      <c r="F414" s="27">
        <f>F413*(Presion_cilindro!O405/Presion_cilindro!O406)^Presion_cilindro!$B$9+10*(Presion_cilindro!$B$9-1)*Presion_cilindro!$B$33*(IF(Presion_cilindro!N406&gt;(-F$4+Presion_cilindro!$B$34),1-EXP(-Presion_cilindro!$B$16*((Presion_cilindro!N406-(-F$4+Presion_cilindro!$B$34))/Presion_cilindro!$B$35)^(Presion_cilindro!$B$17+1)),0)-IF(Presion_cilindro!N405&gt;(-F$4+Presion_cilindro!$B$34),1-EXP(-Presion_cilindro!$B$16*((Presion_cilindro!N405-(-F$4+Presion_cilindro!$B$34))/Presion_cilindro!$B$35)^(Presion_cilindro!$B$17+1)),0))/((Presion_cilindro!O405+Presion_cilindro!O406)/2)</f>
        <v>27.218283822792944</v>
      </c>
      <c r="G414" s="27">
        <f>G413*(Presion_cilindro!O405/Presion_cilindro!O406)^Presion_cilindro!$B$9+10*(Presion_cilindro!$B$9-1)*Presion_cilindro!$B$33*(IF(Presion_cilindro!N406&gt;(-G$4+Presion_cilindro!$B$34),1-EXP(-Presion_cilindro!$B$16*((Presion_cilindro!N406-(-G$4+Presion_cilindro!$B$34))/Presion_cilindro!$B$35)^(Presion_cilindro!$B$17+1)),0)-IF(Presion_cilindro!N405&gt;(-G$4+Presion_cilindro!$B$34),1-EXP(-Presion_cilindro!$B$16*((Presion_cilindro!N405-(-G$4+Presion_cilindro!$B$34))/Presion_cilindro!$B$35)^(Presion_cilindro!$B$17+1)),0))/((Presion_cilindro!O405+Presion_cilindro!O406)/2)</f>
        <v>29.471736741459786</v>
      </c>
      <c r="H414" s="27">
        <f>H413*(Presion_cilindro!O405/Presion_cilindro!O406)^Presion_cilindro!$B$9+10*(Presion_cilindro!$B$9-1)*Presion_cilindro!$B$33*(IF(Presion_cilindro!N406&gt;(-H$4+Presion_cilindro!$B$34),1-EXP(-Presion_cilindro!$B$16*((Presion_cilindro!N406-(-H$4+Presion_cilindro!$B$34))/Presion_cilindro!$B$35)^(Presion_cilindro!$B$17+1)),0)-IF(Presion_cilindro!N405&gt;(-H$4+Presion_cilindro!$B$34),1-EXP(-Presion_cilindro!$B$16*((Presion_cilindro!N405-(-H$4+Presion_cilindro!$B$34))/Presion_cilindro!$B$35)^(Presion_cilindro!$B$17+1)),0))/((Presion_cilindro!O405+Presion_cilindro!O406)/2)</f>
        <v>30.584214529240707</v>
      </c>
      <c r="I414" s="27">
        <f>I413*(Presion_cilindro!O405/Presion_cilindro!O406)^Presion_cilindro!$B$9+10*(Presion_cilindro!$B$9-1)*Presion_cilindro!$B$33*(IF(Presion_cilindro!N406&gt;(-I$4+Presion_cilindro!$B$34),1-EXP(-Presion_cilindro!$B$16*((Presion_cilindro!N406-(-I$4+Presion_cilindro!$B$34))/Presion_cilindro!$B$35)^(Presion_cilindro!$B$17+1)),0)-IF(Presion_cilindro!N405&gt;(-I$4+Presion_cilindro!$B$34),1-EXP(-Presion_cilindro!$B$16*((Presion_cilindro!N405-(-I$4+Presion_cilindro!$B$34))/Presion_cilindro!$B$35)^(Presion_cilindro!$B$17+1)),0))/((Presion_cilindro!O405+Presion_cilindro!O406)/2)</f>
        <v>31.06949172436542</v>
      </c>
      <c r="J414" s="27">
        <f>J413*(Presion_cilindro!O405/Presion_cilindro!O406)^Presion_cilindro!$B$9+10*(Presion_cilindro!$B$9-1)*Presion_cilindro!$B$33*(IF(Presion_cilindro!N406&gt;(-J$4+Presion_cilindro!$B$34),1-EXP(-Presion_cilindro!$B$16*((Presion_cilindro!N406-(-J$4+Presion_cilindro!$B$34))/Presion_cilindro!$B$35)^(Presion_cilindro!$B$17+1)),0)-IF(Presion_cilindro!N405&gt;(-J$4+Presion_cilindro!$B$34),1-EXP(-Presion_cilindro!$B$16*((Presion_cilindro!N405-(-J$4+Presion_cilindro!$B$34))/Presion_cilindro!$B$35)^(Presion_cilindro!$B$17+1)),0))/((Presion_cilindro!O405+Presion_cilindro!O406)/2)</f>
        <v>31.412097268882498</v>
      </c>
      <c r="K414" s="27">
        <f>K413*(Presion_cilindro!O405/Presion_cilindro!O406)^Presion_cilindro!$B$9+10*(Presion_cilindro!$B$9-1)*Presion_cilindro!$B$33*(IF(Presion_cilindro!N406&gt;(-K$4+Presion_cilindro!$B$34),1-EXP(-Presion_cilindro!$B$16*((Presion_cilindro!N406-(-K$4+Presion_cilindro!$B$34))/Presion_cilindro!$B$35)^(Presion_cilindro!$B$17+1)),0)-IF(Presion_cilindro!N405&gt;(-K$4+Presion_cilindro!$B$34),1-EXP(-Presion_cilindro!$B$16*((Presion_cilindro!N405-(-K$4+Presion_cilindro!$B$34))/Presion_cilindro!$B$35)^(Presion_cilindro!$B$17+1)),0))/((Presion_cilindro!O405+Presion_cilindro!O406)/2)</f>
        <v>31.87061218601194</v>
      </c>
      <c r="L414" s="27">
        <f>L413*(Presion_cilindro!O405/Presion_cilindro!O406)^Presion_cilindro!$B$9+10*(Presion_cilindro!$B$9-1)*Presion_cilindro!$B$33*(IF(Presion_cilindro!N406&gt;(-L$4+Presion_cilindro!$B$34),1-EXP(-Presion_cilindro!$B$16*((Presion_cilindro!N406-(-L$4+Presion_cilindro!$B$34))/Presion_cilindro!$B$35)^(Presion_cilindro!$B$17+1)),0)-IF(Presion_cilindro!N405&gt;(-L$4+Presion_cilindro!$B$34),1-EXP(-Presion_cilindro!$B$16*((Presion_cilindro!N405-(-L$4+Presion_cilindro!$B$34))/Presion_cilindro!$B$35)^(Presion_cilindro!$B$17+1)),0))/((Presion_cilindro!O405+Presion_cilindro!O406)/2)</f>
        <v>32.517806150218348</v>
      </c>
      <c r="M414" s="27">
        <f>M413*(Presion_cilindro!O405/Presion_cilindro!O406)^Presion_cilindro!$B$9+10*(Presion_cilindro!$B$9-1)*Presion_cilindro!$B$33*(IF(Presion_cilindro!N406&gt;(-M$4+Presion_cilindro!$B$34),1-EXP(-Presion_cilindro!$B$16*((Presion_cilindro!N406-(-M$4+Presion_cilindro!$B$34))/Presion_cilindro!$B$35)^(Presion_cilindro!$B$17+1)),0)-IF(Presion_cilindro!N405&gt;(-M$4+Presion_cilindro!$B$34),1-EXP(-Presion_cilindro!$B$16*((Presion_cilindro!N405-(-M$4+Presion_cilindro!$B$34))/Presion_cilindro!$B$35)^(Presion_cilindro!$B$17+1)),0))/((Presion_cilindro!O405+Presion_cilindro!O406)/2)</f>
        <v>33.341263835205545</v>
      </c>
      <c r="N414" s="27">
        <f>N413*(Presion_cilindro!O405/Presion_cilindro!O406)^Presion_cilindro!$B$9+10*(Presion_cilindro!$B$9-1)*Presion_cilindro!$B$33*(IF(Presion_cilindro!N406&gt;(-N$4+Presion_cilindro!$B$34),1-EXP(-Presion_cilindro!$B$16*((Presion_cilindro!N406-(-N$4+Presion_cilindro!$B$34))/Presion_cilindro!$B$35)^(Presion_cilindro!$B$17+1)),0)-IF(Presion_cilindro!N405&gt;(-N$4+Presion_cilindro!$B$34),1-EXP(-Presion_cilindro!$B$16*((Presion_cilindro!N405-(-N$4+Presion_cilindro!$B$34))/Presion_cilindro!$B$35)^(Presion_cilindro!$B$17+1)),0))/((Presion_cilindro!O405+Presion_cilindro!O406)/2)</f>
        <v>34.30384677855335</v>
      </c>
    </row>
    <row r="415" spans="1:14" x14ac:dyDescent="0.25">
      <c r="A415" s="21">
        <f>Presion_cilindro!N407</f>
        <v>21.5</v>
      </c>
      <c r="B415" s="27">
        <f>B414*(Presion_cilindro!O406/Presion_cilindro!O407)^Presion_cilindro!$B$9+10*(Presion_cilindro!$B$9-1)*Presion_cilindro!$B$33*(IF(Presion_cilindro!N407&gt;(-B$4+Presion_cilindro!$B$34),1-EXP(-Presion_cilindro!$B$16*((Presion_cilindro!N407-(-B$4+Presion_cilindro!$B$34))/Presion_cilindro!$B$35)^(Presion_cilindro!$B$17+1)),0)-IF(Presion_cilindro!N406&gt;(-B$4+Presion_cilindro!$B$34),1-EXP(-Presion_cilindro!$B$16*((Presion_cilindro!N406-(-B$4+Presion_cilindro!$B$34))/Presion_cilindro!$B$35)^(Presion_cilindro!$B$17+1)),0))/((Presion_cilindro!O406+Presion_cilindro!O407)/2)</f>
        <v>12.362920104944939</v>
      </c>
      <c r="C415" s="27">
        <f>C414*(Presion_cilindro!O406/Presion_cilindro!O407)^Presion_cilindro!$B$9+10*(Presion_cilindro!$B$9-1)*Presion_cilindro!$B$33*(IF(Presion_cilindro!N407&gt;(-C$4+Presion_cilindro!$B$34),1-EXP(-Presion_cilindro!$B$16*((Presion_cilindro!N407-(-C$4+Presion_cilindro!$B$34))/Presion_cilindro!$B$35)^(Presion_cilindro!$B$17+1)),0)-IF(Presion_cilindro!N406&gt;(-C$4+Presion_cilindro!$B$34),1-EXP(-Presion_cilindro!$B$16*((Presion_cilindro!N406-(-C$4+Presion_cilindro!$B$34))/Presion_cilindro!$B$35)^(Presion_cilindro!$B$17+1)),0))/((Presion_cilindro!O406+Presion_cilindro!O407)/2)</f>
        <v>15.478338581159628</v>
      </c>
      <c r="D415" s="27">
        <f>D414*(Presion_cilindro!O406/Presion_cilindro!O407)^Presion_cilindro!$B$9+10*(Presion_cilindro!$B$9-1)*Presion_cilindro!$B$33*(IF(Presion_cilindro!N407&gt;(-D$4+Presion_cilindro!$B$34),1-EXP(-Presion_cilindro!$B$16*((Presion_cilindro!N407-(-D$4+Presion_cilindro!$B$34))/Presion_cilindro!$B$35)^(Presion_cilindro!$B$17+1)),0)-IF(Presion_cilindro!N406&gt;(-D$4+Presion_cilindro!$B$34),1-EXP(-Presion_cilindro!$B$16*((Presion_cilindro!N406-(-D$4+Presion_cilindro!$B$34))/Presion_cilindro!$B$35)^(Presion_cilindro!$B$17+1)),0))/((Presion_cilindro!O406+Presion_cilindro!O407)/2)</f>
        <v>19.553071379751966</v>
      </c>
      <c r="E415" s="27">
        <f>E414*(Presion_cilindro!O406/Presion_cilindro!O407)^Presion_cilindro!$B$9+10*(Presion_cilindro!$B$9-1)*Presion_cilindro!$B$33*(IF(Presion_cilindro!N407&gt;(-E$4+Presion_cilindro!$B$34),1-EXP(-Presion_cilindro!$B$16*((Presion_cilindro!N407-(-E$4+Presion_cilindro!$B$34))/Presion_cilindro!$B$35)^(Presion_cilindro!$B$17+1)),0)-IF(Presion_cilindro!N406&gt;(-E$4+Presion_cilindro!$B$34),1-EXP(-Presion_cilindro!$B$16*((Presion_cilindro!N406-(-E$4+Presion_cilindro!$B$34))/Presion_cilindro!$B$35)^(Presion_cilindro!$B$17+1)),0))/((Presion_cilindro!O406+Presion_cilindro!O407)/2)</f>
        <v>23.72591056372239</v>
      </c>
      <c r="F415" s="27">
        <f>F414*(Presion_cilindro!O406/Presion_cilindro!O407)^Presion_cilindro!$B$9+10*(Presion_cilindro!$B$9-1)*Presion_cilindro!$B$33*(IF(Presion_cilindro!N407&gt;(-F$4+Presion_cilindro!$B$34),1-EXP(-Presion_cilindro!$B$16*((Presion_cilindro!N407-(-F$4+Presion_cilindro!$B$34))/Presion_cilindro!$B$35)^(Presion_cilindro!$B$17+1)),0)-IF(Presion_cilindro!N406&gt;(-F$4+Presion_cilindro!$B$34),1-EXP(-Presion_cilindro!$B$16*((Presion_cilindro!N406-(-F$4+Presion_cilindro!$B$34))/Presion_cilindro!$B$35)^(Presion_cilindro!$B$17+1)),0))/((Presion_cilindro!O406+Presion_cilindro!O407)/2)</f>
        <v>27.077041351564581</v>
      </c>
      <c r="G415" s="27">
        <f>G414*(Presion_cilindro!O406/Presion_cilindro!O407)^Presion_cilindro!$B$9+10*(Presion_cilindro!$B$9-1)*Presion_cilindro!$B$33*(IF(Presion_cilindro!N407&gt;(-G$4+Presion_cilindro!$B$34),1-EXP(-Presion_cilindro!$B$16*((Presion_cilindro!N407-(-G$4+Presion_cilindro!$B$34))/Presion_cilindro!$B$35)^(Presion_cilindro!$B$17+1)),0)-IF(Presion_cilindro!N406&gt;(-G$4+Presion_cilindro!$B$34),1-EXP(-Presion_cilindro!$B$16*((Presion_cilindro!N406-(-G$4+Presion_cilindro!$B$34))/Presion_cilindro!$B$35)^(Presion_cilindro!$B$17+1)),0))/((Presion_cilindro!O406+Presion_cilindro!O407)/2)</f>
        <v>29.15502990852325</v>
      </c>
      <c r="H415" s="27">
        <f>H414*(Presion_cilindro!O406/Presion_cilindro!O407)^Presion_cilindro!$B$9+10*(Presion_cilindro!$B$9-1)*Presion_cilindro!$B$33*(IF(Presion_cilindro!N407&gt;(-H$4+Presion_cilindro!$B$34),1-EXP(-Presion_cilindro!$B$16*((Presion_cilindro!N407-(-H$4+Presion_cilindro!$B$34))/Presion_cilindro!$B$35)^(Presion_cilindro!$B$17+1)),0)-IF(Presion_cilindro!N406&gt;(-H$4+Presion_cilindro!$B$34),1-EXP(-Presion_cilindro!$B$16*((Presion_cilindro!N406-(-H$4+Presion_cilindro!$B$34))/Presion_cilindro!$B$35)^(Presion_cilindro!$B$17+1)),0))/((Presion_cilindro!O406+Presion_cilindro!O407)/2)</f>
        <v>30.143453834315533</v>
      </c>
      <c r="I415" s="27">
        <f>I414*(Presion_cilindro!O406/Presion_cilindro!O407)^Presion_cilindro!$B$9+10*(Presion_cilindro!$B$9-1)*Presion_cilindro!$B$33*(IF(Presion_cilindro!N407&gt;(-I$4+Presion_cilindro!$B$34),1-EXP(-Presion_cilindro!$B$16*((Presion_cilindro!N407-(-I$4+Presion_cilindro!$B$34))/Presion_cilindro!$B$35)^(Presion_cilindro!$B$17+1)),0)-IF(Presion_cilindro!N406&gt;(-I$4+Presion_cilindro!$B$34),1-EXP(-Presion_cilindro!$B$16*((Presion_cilindro!N406-(-I$4+Presion_cilindro!$B$34))/Presion_cilindro!$B$35)^(Presion_cilindro!$B$17+1)),0))/((Presion_cilindro!O406+Presion_cilindro!O407)/2)</f>
        <v>30.564919467813727</v>
      </c>
      <c r="J415" s="27">
        <f>J414*(Presion_cilindro!O406/Presion_cilindro!O407)^Presion_cilindro!$B$9+10*(Presion_cilindro!$B$9-1)*Presion_cilindro!$B$33*(IF(Presion_cilindro!N407&gt;(-J$4+Presion_cilindro!$B$34),1-EXP(-Presion_cilindro!$B$16*((Presion_cilindro!N407-(-J$4+Presion_cilindro!$B$34))/Presion_cilindro!$B$35)^(Presion_cilindro!$B$17+1)),0)-IF(Presion_cilindro!N406&gt;(-J$4+Presion_cilindro!$B$34),1-EXP(-Presion_cilindro!$B$16*((Presion_cilindro!N406-(-J$4+Presion_cilindro!$B$34))/Presion_cilindro!$B$35)^(Presion_cilindro!$B$17+1)),0))/((Presion_cilindro!O406+Presion_cilindro!O407)/2)</f>
        <v>30.881083127862677</v>
      </c>
      <c r="K415" s="27">
        <f>K414*(Presion_cilindro!O406/Presion_cilindro!O407)^Presion_cilindro!$B$9+10*(Presion_cilindro!$B$9-1)*Presion_cilindro!$B$33*(IF(Presion_cilindro!N407&gt;(-K$4+Presion_cilindro!$B$34),1-EXP(-Presion_cilindro!$B$16*((Presion_cilindro!N407-(-K$4+Presion_cilindro!$B$34))/Presion_cilindro!$B$35)^(Presion_cilindro!$B$17+1)),0)-IF(Presion_cilindro!N406&gt;(-K$4+Presion_cilindro!$B$34),1-EXP(-Presion_cilindro!$B$16*((Presion_cilindro!N406-(-K$4+Presion_cilindro!$B$34))/Presion_cilindro!$B$35)^(Presion_cilindro!$B$17+1)),0))/((Presion_cilindro!O406+Presion_cilindro!O407)/2)</f>
        <v>31.326431747204488</v>
      </c>
      <c r="L415" s="27">
        <f>L414*(Presion_cilindro!O406/Presion_cilindro!O407)^Presion_cilindro!$B$9+10*(Presion_cilindro!$B$9-1)*Presion_cilindro!$B$33*(IF(Presion_cilindro!N407&gt;(-L$4+Presion_cilindro!$B$34),1-EXP(-Presion_cilindro!$B$16*((Presion_cilindro!N407-(-L$4+Presion_cilindro!$B$34))/Presion_cilindro!$B$35)^(Presion_cilindro!$B$17+1)),0)-IF(Presion_cilindro!N406&gt;(-L$4+Presion_cilindro!$B$34),1-EXP(-Presion_cilindro!$B$16*((Presion_cilindro!N406-(-L$4+Presion_cilindro!$B$34))/Presion_cilindro!$B$35)^(Presion_cilindro!$B$17+1)),0))/((Presion_cilindro!O406+Presion_cilindro!O407)/2)</f>
        <v>31.961608228185803</v>
      </c>
      <c r="M415" s="27">
        <f>M414*(Presion_cilindro!O406/Presion_cilindro!O407)^Presion_cilindro!$B$9+10*(Presion_cilindro!$B$9-1)*Presion_cilindro!$B$33*(IF(Presion_cilindro!N407&gt;(-M$4+Presion_cilindro!$B$34),1-EXP(-Presion_cilindro!$B$16*((Presion_cilindro!N407-(-M$4+Presion_cilindro!$B$34))/Presion_cilindro!$B$35)^(Presion_cilindro!$B$17+1)),0)-IF(Presion_cilindro!N406&gt;(-M$4+Presion_cilindro!$B$34),1-EXP(-Presion_cilindro!$B$16*((Presion_cilindro!N406-(-M$4+Presion_cilindro!$B$34))/Presion_cilindro!$B$35)^(Presion_cilindro!$B$17+1)),0))/((Presion_cilindro!O406+Presion_cilindro!O407)/2)</f>
        <v>32.770865087740056</v>
      </c>
      <c r="N415" s="27">
        <f>N414*(Presion_cilindro!O406/Presion_cilindro!O407)^Presion_cilindro!$B$9+10*(Presion_cilindro!$B$9-1)*Presion_cilindro!$B$33*(IF(Presion_cilindro!N407&gt;(-N$4+Presion_cilindro!$B$34),1-EXP(-Presion_cilindro!$B$16*((Presion_cilindro!N407-(-N$4+Presion_cilindro!$B$34))/Presion_cilindro!$B$35)^(Presion_cilindro!$B$17+1)),0)-IF(Presion_cilindro!N406&gt;(-N$4+Presion_cilindro!$B$34),1-EXP(-Presion_cilindro!$B$16*((Presion_cilindro!N406-(-N$4+Presion_cilindro!$B$34))/Presion_cilindro!$B$35)^(Presion_cilindro!$B$17+1)),0))/((Presion_cilindro!O406+Presion_cilindro!O407)/2)</f>
        <v>33.716971117642302</v>
      </c>
    </row>
    <row r="416" spans="1:14" x14ac:dyDescent="0.25">
      <c r="A416" s="21">
        <f>Presion_cilindro!N408</f>
        <v>22</v>
      </c>
      <c r="B416" s="27">
        <f>B415*(Presion_cilindro!O407/Presion_cilindro!O408)^Presion_cilindro!$B$9+10*(Presion_cilindro!$B$9-1)*Presion_cilindro!$B$33*(IF(Presion_cilindro!N408&gt;(-B$4+Presion_cilindro!$B$34),1-EXP(-Presion_cilindro!$B$16*((Presion_cilindro!N408-(-B$4+Presion_cilindro!$B$34))/Presion_cilindro!$B$35)^(Presion_cilindro!$B$17+1)),0)-IF(Presion_cilindro!N407&gt;(-B$4+Presion_cilindro!$B$34),1-EXP(-Presion_cilindro!$B$16*((Presion_cilindro!N407-(-B$4+Presion_cilindro!$B$34))/Presion_cilindro!$B$35)^(Presion_cilindro!$B$17+1)),0))/((Presion_cilindro!O407+Presion_cilindro!O408)/2)</f>
        <v>12.409440043874302</v>
      </c>
      <c r="C416" s="27">
        <f>C415*(Presion_cilindro!O407/Presion_cilindro!O408)^Presion_cilindro!$B$9+10*(Presion_cilindro!$B$9-1)*Presion_cilindro!$B$33*(IF(Presion_cilindro!N408&gt;(-C$4+Presion_cilindro!$B$34),1-EXP(-Presion_cilindro!$B$16*((Presion_cilindro!N408-(-C$4+Presion_cilindro!$B$34))/Presion_cilindro!$B$35)^(Presion_cilindro!$B$17+1)),0)-IF(Presion_cilindro!N407&gt;(-C$4+Presion_cilindro!$B$34),1-EXP(-Presion_cilindro!$B$16*((Presion_cilindro!N407-(-C$4+Presion_cilindro!$B$34))/Presion_cilindro!$B$35)^(Presion_cilindro!$B$17+1)),0))/((Presion_cilindro!O407+Presion_cilindro!O408)/2)</f>
        <v>15.603077762411987</v>
      </c>
      <c r="D416" s="27">
        <f>D415*(Presion_cilindro!O407/Presion_cilindro!O408)^Presion_cilindro!$B$9+10*(Presion_cilindro!$B$9-1)*Presion_cilindro!$B$33*(IF(Presion_cilindro!N408&gt;(-D$4+Presion_cilindro!$B$34),1-EXP(-Presion_cilindro!$B$16*((Presion_cilindro!N408-(-D$4+Presion_cilindro!$B$34))/Presion_cilindro!$B$35)^(Presion_cilindro!$B$17+1)),0)-IF(Presion_cilindro!N407&gt;(-D$4+Presion_cilindro!$B$34),1-EXP(-Presion_cilindro!$B$16*((Presion_cilindro!N407-(-D$4+Presion_cilindro!$B$34))/Presion_cilindro!$B$35)^(Presion_cilindro!$B$17+1)),0))/((Presion_cilindro!O407+Presion_cilindro!O408)/2)</f>
        <v>19.673348657754641</v>
      </c>
      <c r="E416" s="27">
        <f>E415*(Presion_cilindro!O407/Presion_cilindro!O408)^Presion_cilindro!$B$9+10*(Presion_cilindro!$B$9-1)*Presion_cilindro!$B$33*(IF(Presion_cilindro!N408&gt;(-E$4+Presion_cilindro!$B$34),1-EXP(-Presion_cilindro!$B$16*((Presion_cilindro!N408-(-E$4+Presion_cilindro!$B$34))/Presion_cilindro!$B$35)^(Presion_cilindro!$B$17+1)),0)-IF(Presion_cilindro!N407&gt;(-E$4+Presion_cilindro!$B$34),1-EXP(-Presion_cilindro!$B$16*((Presion_cilindro!N407-(-E$4+Presion_cilindro!$B$34))/Presion_cilindro!$B$35)^(Presion_cilindro!$B$17+1)),0))/((Presion_cilindro!O407+Presion_cilindro!O408)/2)</f>
        <v>23.738908458969743</v>
      </c>
      <c r="F416" s="27">
        <f>F415*(Presion_cilindro!O407/Presion_cilindro!O408)^Presion_cilindro!$B$9+10*(Presion_cilindro!$B$9-1)*Presion_cilindro!$B$33*(IF(Presion_cilindro!N408&gt;(-F$4+Presion_cilindro!$B$34),1-EXP(-Presion_cilindro!$B$16*((Presion_cilindro!N408-(-F$4+Presion_cilindro!$B$34))/Presion_cilindro!$B$35)^(Presion_cilindro!$B$17+1)),0)-IF(Presion_cilindro!N407&gt;(-F$4+Presion_cilindro!$B$34),1-EXP(-Presion_cilindro!$B$16*((Presion_cilindro!N407-(-F$4+Presion_cilindro!$B$34))/Presion_cilindro!$B$35)^(Presion_cilindro!$B$17+1)),0))/((Presion_cilindro!O407+Presion_cilindro!O408)/2)</f>
        <v>26.916594875512736</v>
      </c>
      <c r="G416" s="27">
        <f>G415*(Presion_cilindro!O407/Presion_cilindro!O408)^Presion_cilindro!$B$9+10*(Presion_cilindro!$B$9-1)*Presion_cilindro!$B$33*(IF(Presion_cilindro!N408&gt;(-G$4+Presion_cilindro!$B$34),1-EXP(-Presion_cilindro!$B$16*((Presion_cilindro!N408-(-G$4+Presion_cilindro!$B$34))/Presion_cilindro!$B$35)^(Presion_cilindro!$B$17+1)),0)-IF(Presion_cilindro!N407&gt;(-G$4+Presion_cilindro!$B$34),1-EXP(-Presion_cilindro!$B$16*((Presion_cilindro!N407-(-G$4+Presion_cilindro!$B$34))/Presion_cilindro!$B$35)^(Presion_cilindro!$B$17+1)),0))/((Presion_cilindro!O407+Presion_cilindro!O408)/2)</f>
        <v>28.824696533770595</v>
      </c>
      <c r="H416" s="27">
        <f>H415*(Presion_cilindro!O407/Presion_cilindro!O408)^Presion_cilindro!$B$9+10*(Presion_cilindro!$B$9-1)*Presion_cilindro!$B$33*(IF(Presion_cilindro!N408&gt;(-H$4+Presion_cilindro!$B$34),1-EXP(-Presion_cilindro!$B$16*((Presion_cilindro!N408-(-H$4+Presion_cilindro!$B$34))/Presion_cilindro!$B$35)^(Presion_cilindro!$B$17+1)),0)-IF(Presion_cilindro!N407&gt;(-H$4+Presion_cilindro!$B$34),1-EXP(-Presion_cilindro!$B$16*((Presion_cilindro!N407-(-H$4+Presion_cilindro!$B$34))/Presion_cilindro!$B$35)^(Presion_cilindro!$B$17+1)),0))/((Presion_cilindro!O407+Presion_cilindro!O408)/2)</f>
        <v>29.697225121705912</v>
      </c>
      <c r="I416" s="27">
        <f>I415*(Presion_cilindro!O407/Presion_cilindro!O408)^Presion_cilindro!$B$9+10*(Presion_cilindro!$B$9-1)*Presion_cilindro!$B$33*(IF(Presion_cilindro!N408&gt;(-I$4+Presion_cilindro!$B$34),1-EXP(-Presion_cilindro!$B$16*((Presion_cilindro!N408-(-I$4+Presion_cilindro!$B$34))/Presion_cilindro!$B$35)^(Presion_cilindro!$B$17+1)),0)-IF(Presion_cilindro!N407&gt;(-I$4+Presion_cilindro!$B$34),1-EXP(-Presion_cilindro!$B$16*((Presion_cilindro!N407-(-I$4+Presion_cilindro!$B$34))/Presion_cilindro!$B$35)^(Presion_cilindro!$B$17+1)),0))/((Presion_cilindro!O407+Presion_cilindro!O408)/2)</f>
        <v>30.061007130530438</v>
      </c>
      <c r="J416" s="27">
        <f>J415*(Presion_cilindro!O407/Presion_cilindro!O408)^Presion_cilindro!$B$9+10*(Presion_cilindro!$B$9-1)*Presion_cilindro!$B$33*(IF(Presion_cilindro!N408&gt;(-J$4+Presion_cilindro!$B$34),1-EXP(-Presion_cilindro!$B$16*((Presion_cilindro!N408-(-J$4+Presion_cilindro!$B$34))/Presion_cilindro!$B$35)^(Presion_cilindro!$B$17+1)),0)-IF(Presion_cilindro!N407&gt;(-J$4+Presion_cilindro!$B$34),1-EXP(-Presion_cilindro!$B$16*((Presion_cilindro!N407-(-J$4+Presion_cilindro!$B$34))/Presion_cilindro!$B$35)^(Presion_cilindro!$B$17+1)),0))/((Presion_cilindro!O407+Presion_cilindro!O408)/2)</f>
        <v>30.353678316641275</v>
      </c>
      <c r="K416" s="27">
        <f>K415*(Presion_cilindro!O407/Presion_cilindro!O408)^Presion_cilindro!$B$9+10*(Presion_cilindro!$B$9-1)*Presion_cilindro!$B$33*(IF(Presion_cilindro!N408&gt;(-K$4+Presion_cilindro!$B$34),1-EXP(-Presion_cilindro!$B$16*((Presion_cilindro!N408-(-K$4+Presion_cilindro!$B$34))/Presion_cilindro!$B$35)^(Presion_cilindro!$B$17+1)),0)-IF(Presion_cilindro!N407&gt;(-K$4+Presion_cilindro!$B$34),1-EXP(-Presion_cilindro!$B$16*((Presion_cilindro!N407-(-K$4+Presion_cilindro!$B$34))/Presion_cilindro!$B$35)^(Presion_cilindro!$B$17+1)),0))/((Presion_cilindro!O407+Presion_cilindro!O408)/2)</f>
        <v>30.786847673780418</v>
      </c>
      <c r="L416" s="27">
        <f>L415*(Presion_cilindro!O407/Presion_cilindro!O408)^Presion_cilindro!$B$9+10*(Presion_cilindro!$B$9-1)*Presion_cilindro!$B$33*(IF(Presion_cilindro!N408&gt;(-L$4+Presion_cilindro!$B$34),1-EXP(-Presion_cilindro!$B$16*((Presion_cilindro!N408-(-L$4+Presion_cilindro!$B$34))/Presion_cilindro!$B$35)^(Presion_cilindro!$B$17+1)),0)-IF(Presion_cilindro!N407&gt;(-L$4+Presion_cilindro!$B$34),1-EXP(-Presion_cilindro!$B$16*((Presion_cilindro!N407-(-L$4+Presion_cilindro!$B$34))/Presion_cilindro!$B$35)^(Presion_cilindro!$B$17+1)),0))/((Presion_cilindro!O407+Presion_cilindro!O408)/2)</f>
        <v>31.410297771972335</v>
      </c>
      <c r="M416" s="27">
        <f>M415*(Presion_cilindro!O407/Presion_cilindro!O408)^Presion_cilindro!$B$9+10*(Presion_cilindro!$B$9-1)*Presion_cilindro!$B$33*(IF(Presion_cilindro!N408&gt;(-M$4+Presion_cilindro!$B$34),1-EXP(-Presion_cilindro!$B$16*((Presion_cilindro!N408-(-M$4+Presion_cilindro!$B$34))/Presion_cilindro!$B$35)^(Presion_cilindro!$B$17+1)),0)-IF(Presion_cilindro!N407&gt;(-M$4+Presion_cilindro!$B$34),1-EXP(-Presion_cilindro!$B$16*((Presion_cilindro!N407-(-M$4+Presion_cilindro!$B$34))/Presion_cilindro!$B$35)^(Presion_cilindro!$B$17+1)),0))/((Presion_cilindro!O407+Presion_cilindro!O408)/2)</f>
        <v>32.205505086414334</v>
      </c>
      <c r="N416" s="27">
        <f>N415*(Presion_cilindro!O407/Presion_cilindro!O408)^Presion_cilindro!$B$9+10*(Presion_cilindro!$B$9-1)*Presion_cilindro!$B$33*(IF(Presion_cilindro!N408&gt;(-N$4+Presion_cilindro!$B$34),1-EXP(-Presion_cilindro!$B$16*((Presion_cilindro!N408-(-N$4+Presion_cilindro!$B$34))/Presion_cilindro!$B$35)^(Presion_cilindro!$B$17+1)),0)-IF(Presion_cilindro!N407&gt;(-N$4+Presion_cilindro!$B$34),1-EXP(-Presion_cilindro!$B$16*((Presion_cilindro!N407-(-N$4+Presion_cilindro!$B$34))/Presion_cilindro!$B$35)^(Presion_cilindro!$B$17+1)),0))/((Presion_cilindro!O407+Presion_cilindro!O408)/2)</f>
        <v>33.135282145312281</v>
      </c>
    </row>
    <row r="417" spans="1:14" x14ac:dyDescent="0.25">
      <c r="A417" s="21">
        <f>Presion_cilindro!N409</f>
        <v>22.5</v>
      </c>
      <c r="B417" s="27">
        <f>B416*(Presion_cilindro!O408/Presion_cilindro!O409)^Presion_cilindro!$B$9+10*(Presion_cilindro!$B$9-1)*Presion_cilindro!$B$33*(IF(Presion_cilindro!N409&gt;(-B$4+Presion_cilindro!$B$34),1-EXP(-Presion_cilindro!$B$16*((Presion_cilindro!N409-(-B$4+Presion_cilindro!$B$34))/Presion_cilindro!$B$35)^(Presion_cilindro!$B$17+1)),0)-IF(Presion_cilindro!N408&gt;(-B$4+Presion_cilindro!$B$34),1-EXP(-Presion_cilindro!$B$16*((Presion_cilindro!N408-(-B$4+Presion_cilindro!$B$34))/Presion_cilindro!$B$35)^(Presion_cilindro!$B$17+1)),0))/((Presion_cilindro!O408+Presion_cilindro!O409)/2)</f>
        <v>12.464364775585205</v>
      </c>
      <c r="C417" s="27">
        <f>C416*(Presion_cilindro!O408/Presion_cilindro!O409)^Presion_cilindro!$B$9+10*(Presion_cilindro!$B$9-1)*Presion_cilindro!$B$33*(IF(Presion_cilindro!N409&gt;(-C$4+Presion_cilindro!$B$34),1-EXP(-Presion_cilindro!$B$16*((Presion_cilindro!N409-(-C$4+Presion_cilindro!$B$34))/Presion_cilindro!$B$35)^(Presion_cilindro!$B$17+1)),0)-IF(Presion_cilindro!N408&gt;(-C$4+Presion_cilindro!$B$34),1-EXP(-Presion_cilindro!$B$16*((Presion_cilindro!N408-(-C$4+Presion_cilindro!$B$34))/Presion_cilindro!$B$35)^(Presion_cilindro!$B$17+1)),0))/((Presion_cilindro!O408+Presion_cilindro!O409)/2)</f>
        <v>15.728815715344558</v>
      </c>
      <c r="D417" s="27">
        <f>D416*(Presion_cilindro!O408/Presion_cilindro!O409)^Presion_cilindro!$B$9+10*(Presion_cilindro!$B$9-1)*Presion_cilindro!$B$33*(IF(Presion_cilindro!N409&gt;(-D$4+Presion_cilindro!$B$34),1-EXP(-Presion_cilindro!$B$16*((Presion_cilindro!N409-(-D$4+Presion_cilindro!$B$34))/Presion_cilindro!$B$35)^(Presion_cilindro!$B$17+1)),0)-IF(Presion_cilindro!N408&gt;(-D$4+Presion_cilindro!$B$34),1-EXP(-Presion_cilindro!$B$16*((Presion_cilindro!N408-(-D$4+Presion_cilindro!$B$34))/Presion_cilindro!$B$35)^(Presion_cilindro!$B$17+1)),0))/((Presion_cilindro!O408+Presion_cilindro!O409)/2)</f>
        <v>19.784092415665302</v>
      </c>
      <c r="E417" s="27">
        <f>E416*(Presion_cilindro!O408/Presion_cilindro!O409)^Presion_cilindro!$B$9+10*(Presion_cilindro!$B$9-1)*Presion_cilindro!$B$33*(IF(Presion_cilindro!N409&gt;(-E$4+Presion_cilindro!$B$34),1-EXP(-Presion_cilindro!$B$16*((Presion_cilindro!N409-(-E$4+Presion_cilindro!$B$34))/Presion_cilindro!$B$35)^(Presion_cilindro!$B$17+1)),0)-IF(Presion_cilindro!N408&gt;(-E$4+Presion_cilindro!$B$34),1-EXP(-Presion_cilindro!$B$16*((Presion_cilindro!N408-(-E$4+Presion_cilindro!$B$34))/Presion_cilindro!$B$35)^(Presion_cilindro!$B$17+1)),0))/((Presion_cilindro!O408+Presion_cilindro!O409)/2)</f>
        <v>23.734331426742852</v>
      </c>
      <c r="F417" s="27">
        <f>F416*(Presion_cilindro!O408/Presion_cilindro!O409)^Presion_cilindro!$B$9+10*(Presion_cilindro!$B$9-1)*Presion_cilindro!$B$33*(IF(Presion_cilindro!N409&gt;(-F$4+Presion_cilindro!$B$34),1-EXP(-Presion_cilindro!$B$16*((Presion_cilindro!N409-(-F$4+Presion_cilindro!$B$34))/Presion_cilindro!$B$35)^(Presion_cilindro!$B$17+1)),0)-IF(Presion_cilindro!N408&gt;(-F$4+Presion_cilindro!$B$34),1-EXP(-Presion_cilindro!$B$16*((Presion_cilindro!N408-(-F$4+Presion_cilindro!$B$34))/Presion_cilindro!$B$35)^(Presion_cilindro!$B$17+1)),0))/((Presion_cilindro!O408+Presion_cilindro!O409)/2)</f>
        <v>26.73780230238604</v>
      </c>
      <c r="G417" s="27">
        <f>G416*(Presion_cilindro!O408/Presion_cilindro!O409)^Presion_cilindro!$B$9+10*(Presion_cilindro!$B$9-1)*Presion_cilindro!$B$33*(IF(Presion_cilindro!N409&gt;(-G$4+Presion_cilindro!$B$34),1-EXP(-Presion_cilindro!$B$16*((Presion_cilindro!N409-(-G$4+Presion_cilindro!$B$34))/Presion_cilindro!$B$35)^(Presion_cilindro!$B$17+1)),0)-IF(Presion_cilindro!N408&gt;(-G$4+Presion_cilindro!$B$34),1-EXP(-Presion_cilindro!$B$16*((Presion_cilindro!N408-(-G$4+Presion_cilindro!$B$34))/Presion_cilindro!$B$35)^(Presion_cilindro!$B$17+1)),0))/((Presion_cilindro!O408+Presion_cilindro!O409)/2)</f>
        <v>28.48208893098144</v>
      </c>
      <c r="H417" s="27">
        <f>H416*(Presion_cilindro!O408/Presion_cilindro!O409)^Presion_cilindro!$B$9+10*(Presion_cilindro!$B$9-1)*Presion_cilindro!$B$33*(IF(Presion_cilindro!N409&gt;(-H$4+Presion_cilindro!$B$34),1-EXP(-Presion_cilindro!$B$16*((Presion_cilindro!N409-(-H$4+Presion_cilindro!$B$34))/Presion_cilindro!$B$35)^(Presion_cilindro!$B$17+1)),0)-IF(Presion_cilindro!N408&gt;(-H$4+Presion_cilindro!$B$34),1-EXP(-Presion_cilindro!$B$16*((Presion_cilindro!N408-(-H$4+Presion_cilindro!$B$34))/Presion_cilindro!$B$35)^(Presion_cilindro!$B$17+1)),0))/((Presion_cilindro!O408+Presion_cilindro!O409)/2)</f>
        <v>29.246768345167009</v>
      </c>
      <c r="I417" s="27">
        <f>I416*(Presion_cilindro!O408/Presion_cilindro!O409)^Presion_cilindro!$B$9+10*(Presion_cilindro!$B$9-1)*Presion_cilindro!$B$33*(IF(Presion_cilindro!N409&gt;(-I$4+Presion_cilindro!$B$34),1-EXP(-Presion_cilindro!$B$16*((Presion_cilindro!N409-(-I$4+Presion_cilindro!$B$34))/Presion_cilindro!$B$35)^(Presion_cilindro!$B$17+1)),0)-IF(Presion_cilindro!N408&gt;(-I$4+Presion_cilindro!$B$34),1-EXP(-Presion_cilindro!$B$16*((Presion_cilindro!N408-(-I$4+Presion_cilindro!$B$34))/Presion_cilindro!$B$35)^(Presion_cilindro!$B$17+1)),0))/((Presion_cilindro!O408+Presion_cilindro!O409)/2)</f>
        <v>29.558608391517421</v>
      </c>
      <c r="J417" s="27">
        <f>J416*(Presion_cilindro!O408/Presion_cilindro!O409)^Presion_cilindro!$B$9+10*(Presion_cilindro!$B$9-1)*Presion_cilindro!$B$33*(IF(Presion_cilindro!N409&gt;(-J$4+Presion_cilindro!$B$34),1-EXP(-Presion_cilindro!$B$16*((Presion_cilindro!N409-(-J$4+Presion_cilindro!$B$34))/Presion_cilindro!$B$35)^(Presion_cilindro!$B$17+1)),0)-IF(Presion_cilindro!N408&gt;(-J$4+Presion_cilindro!$B$34),1-EXP(-Presion_cilindro!$B$16*((Presion_cilindro!N408-(-J$4+Presion_cilindro!$B$34))/Presion_cilindro!$B$35)^(Presion_cilindro!$B$17+1)),0))/((Presion_cilindro!O408+Presion_cilindro!O409)/2)</f>
        <v>29.830440387746979</v>
      </c>
      <c r="K417" s="27">
        <f>K416*(Presion_cilindro!O408/Presion_cilindro!O409)^Presion_cilindro!$B$9+10*(Presion_cilindro!$B$9-1)*Presion_cilindro!$B$33*(IF(Presion_cilindro!N409&gt;(-K$4+Presion_cilindro!$B$34),1-EXP(-Presion_cilindro!$B$16*((Presion_cilindro!N409-(-K$4+Presion_cilindro!$B$34))/Presion_cilindro!$B$35)^(Presion_cilindro!$B$17+1)),0)-IF(Presion_cilindro!N408&gt;(-K$4+Presion_cilindro!$B$34),1-EXP(-Presion_cilindro!$B$16*((Presion_cilindro!N408-(-K$4+Presion_cilindro!$B$34))/Presion_cilindro!$B$35)^(Presion_cilindro!$B$17+1)),0))/((Presion_cilindro!O408+Presion_cilindro!O409)/2)</f>
        <v>30.252295207193882</v>
      </c>
      <c r="L417" s="27">
        <f>L416*(Presion_cilindro!O408/Presion_cilindro!O409)^Presion_cilindro!$B$9+10*(Presion_cilindro!$B$9-1)*Presion_cilindro!$B$33*(IF(Presion_cilindro!N409&gt;(-L$4+Presion_cilindro!$B$34),1-EXP(-Presion_cilindro!$B$16*((Presion_cilindro!N409-(-L$4+Presion_cilindro!$B$34))/Presion_cilindro!$B$35)^(Presion_cilindro!$B$17+1)),0)-IF(Presion_cilindro!N408&gt;(-L$4+Presion_cilindro!$B$34),1-EXP(-Presion_cilindro!$B$16*((Presion_cilindro!N408-(-L$4+Presion_cilindro!$B$34))/Presion_cilindro!$B$35)^(Presion_cilindro!$B$17+1)),0))/((Presion_cilindro!O408+Presion_cilindro!O409)/2)</f>
        <v>30.864284367861178</v>
      </c>
      <c r="M417" s="27">
        <f>M416*(Presion_cilindro!O408/Presion_cilindro!O409)^Presion_cilindro!$B$9+10*(Presion_cilindro!$B$9-1)*Presion_cilindro!$B$33*(IF(Presion_cilindro!N409&gt;(-M$4+Presion_cilindro!$B$34),1-EXP(-Presion_cilindro!$B$16*((Presion_cilindro!N409-(-M$4+Presion_cilindro!$B$34))/Presion_cilindro!$B$35)^(Presion_cilindro!$B$17+1)),0)-IF(Presion_cilindro!N408&gt;(-M$4+Presion_cilindro!$B$34),1-EXP(-Presion_cilindro!$B$16*((Presion_cilindro!N408-(-M$4+Presion_cilindro!$B$34))/Presion_cilindro!$B$35)^(Presion_cilindro!$B$17+1)),0))/((Presion_cilindro!O408+Presion_cilindro!O409)/2)</f>
        <v>31.645598039289148</v>
      </c>
      <c r="N417" s="27">
        <f>N416*(Presion_cilindro!O408/Presion_cilindro!O409)^Presion_cilindro!$B$9+10*(Presion_cilindro!$B$9-1)*Presion_cilindro!$B$33*(IF(Presion_cilindro!N409&gt;(-N$4+Presion_cilindro!$B$34),1-EXP(-Presion_cilindro!$B$16*((Presion_cilindro!N409-(-N$4+Presion_cilindro!$B$34))/Presion_cilindro!$B$35)^(Presion_cilindro!$B$17+1)),0)-IF(Presion_cilindro!N408&gt;(-N$4+Presion_cilindro!$B$34),1-EXP(-Presion_cilindro!$B$16*((Presion_cilindro!N408-(-N$4+Presion_cilindro!$B$34))/Presion_cilindro!$B$35)^(Presion_cilindro!$B$17+1)),0))/((Presion_cilindro!O408+Presion_cilindro!O409)/2)</f>
        <v>32.559205426091268</v>
      </c>
    </row>
    <row r="418" spans="1:14" x14ac:dyDescent="0.25">
      <c r="A418" s="21">
        <f>Presion_cilindro!N410</f>
        <v>23</v>
      </c>
      <c r="B418" s="27">
        <f>B417*(Presion_cilindro!O409/Presion_cilindro!O410)^Presion_cilindro!$B$9+10*(Presion_cilindro!$B$9-1)*Presion_cilindro!$B$33*(IF(Presion_cilindro!N410&gt;(-B$4+Presion_cilindro!$B$34),1-EXP(-Presion_cilindro!$B$16*((Presion_cilindro!N410-(-B$4+Presion_cilindro!$B$34))/Presion_cilindro!$B$35)^(Presion_cilindro!$B$17+1)),0)-IF(Presion_cilindro!N409&gt;(-B$4+Presion_cilindro!$B$34),1-EXP(-Presion_cilindro!$B$16*((Presion_cilindro!N409-(-B$4+Presion_cilindro!$B$34))/Presion_cilindro!$B$35)^(Presion_cilindro!$B$17+1)),0))/((Presion_cilindro!O409+Presion_cilindro!O410)/2)</f>
        <v>12.527206105947105</v>
      </c>
      <c r="C418" s="27">
        <f>C417*(Presion_cilindro!O409/Presion_cilindro!O410)^Presion_cilindro!$B$9+10*(Presion_cilindro!$B$9-1)*Presion_cilindro!$B$33*(IF(Presion_cilindro!N410&gt;(-C$4+Presion_cilindro!$B$34),1-EXP(-Presion_cilindro!$B$16*((Presion_cilindro!N410-(-C$4+Presion_cilindro!$B$34))/Presion_cilindro!$B$35)^(Presion_cilindro!$B$17+1)),0)-IF(Presion_cilindro!N409&gt;(-C$4+Presion_cilindro!$B$34),1-EXP(-Presion_cilindro!$B$16*((Presion_cilindro!N409-(-C$4+Presion_cilindro!$B$34))/Presion_cilindro!$B$35)^(Presion_cilindro!$B$17+1)),0))/((Presion_cilindro!O409+Presion_cilindro!O410)/2)</f>
        <v>15.854697334611245</v>
      </c>
      <c r="D418" s="27">
        <f>D417*(Presion_cilindro!O409/Presion_cilindro!O410)^Presion_cilindro!$B$9+10*(Presion_cilindro!$B$9-1)*Presion_cilindro!$B$33*(IF(Presion_cilindro!N410&gt;(-D$4+Presion_cilindro!$B$34),1-EXP(-Presion_cilindro!$B$16*((Presion_cilindro!N410-(-D$4+Presion_cilindro!$B$34))/Presion_cilindro!$B$35)^(Presion_cilindro!$B$17+1)),0)-IF(Presion_cilindro!N409&gt;(-D$4+Presion_cilindro!$B$34),1-EXP(-Presion_cilindro!$B$16*((Presion_cilindro!N409-(-D$4+Presion_cilindro!$B$34))/Presion_cilindro!$B$35)^(Presion_cilindro!$B$17+1)),0))/((Presion_cilindro!O409+Presion_cilindro!O410)/2)</f>
        <v>19.884600705022681</v>
      </c>
      <c r="E418" s="27">
        <f>E417*(Presion_cilindro!O409/Presion_cilindro!O410)^Presion_cilindro!$B$9+10*(Presion_cilindro!$B$9-1)*Presion_cilindro!$B$33*(IF(Presion_cilindro!N410&gt;(-E$4+Presion_cilindro!$B$34),1-EXP(-Presion_cilindro!$B$16*((Presion_cilindro!N410-(-E$4+Presion_cilindro!$B$34))/Presion_cilindro!$B$35)^(Presion_cilindro!$B$17+1)),0)-IF(Presion_cilindro!N409&gt;(-E$4+Presion_cilindro!$B$34),1-EXP(-Presion_cilindro!$B$16*((Presion_cilindro!N409-(-E$4+Presion_cilindro!$B$34))/Presion_cilindro!$B$35)^(Presion_cilindro!$B$17+1)),0))/((Presion_cilindro!O409+Presion_cilindro!O410)/2)</f>
        <v>23.712217505252074</v>
      </c>
      <c r="F418" s="27">
        <f>F417*(Presion_cilindro!O409/Presion_cilindro!O410)^Presion_cilindro!$B$9+10*(Presion_cilindro!$B$9-1)*Presion_cilindro!$B$33*(IF(Presion_cilindro!N410&gt;(-F$4+Presion_cilindro!$B$34),1-EXP(-Presion_cilindro!$B$16*((Presion_cilindro!N410-(-F$4+Presion_cilindro!$B$34))/Presion_cilindro!$B$35)^(Presion_cilindro!$B$17+1)),0)-IF(Presion_cilindro!N409&gt;(-F$4+Presion_cilindro!$B$34),1-EXP(-Presion_cilindro!$B$16*((Presion_cilindro!N409-(-F$4+Presion_cilindro!$B$34))/Presion_cilindro!$B$35)^(Presion_cilindro!$B$17+1)),0))/((Presion_cilindro!O409+Presion_cilindro!O410)/2)</f>
        <v>26.541577076143174</v>
      </c>
      <c r="G418" s="27">
        <f>G417*(Presion_cilindro!O409/Presion_cilindro!O410)^Presion_cilindro!$B$9+10*(Presion_cilindro!$B$9-1)*Presion_cilindro!$B$33*(IF(Presion_cilindro!N410&gt;(-G$4+Presion_cilindro!$B$34),1-EXP(-Presion_cilindro!$B$16*((Presion_cilindro!N410-(-G$4+Presion_cilindro!$B$34))/Presion_cilindro!$B$35)^(Presion_cilindro!$B$17+1)),0)-IF(Presion_cilindro!N409&gt;(-G$4+Presion_cilindro!$B$34),1-EXP(-Presion_cilindro!$B$16*((Presion_cilindro!N409-(-G$4+Presion_cilindro!$B$34))/Presion_cilindro!$B$35)^(Presion_cilindro!$B$17+1)),0))/((Presion_cilindro!O409+Presion_cilindro!O410)/2)</f>
        <v>28.128538703494279</v>
      </c>
      <c r="H418" s="27">
        <f>H417*(Presion_cilindro!O409/Presion_cilindro!O410)^Presion_cilindro!$B$9+10*(Presion_cilindro!$B$9-1)*Presion_cilindro!$B$33*(IF(Presion_cilindro!N410&gt;(-H$4+Presion_cilindro!$B$34),1-EXP(-Presion_cilindro!$B$16*((Presion_cilindro!N410-(-H$4+Presion_cilindro!$B$34))/Presion_cilindro!$B$35)^(Presion_cilindro!$B$17+1)),0)-IF(Presion_cilindro!N409&gt;(-H$4+Presion_cilindro!$B$34),1-EXP(-Presion_cilindro!$B$16*((Presion_cilindro!N409-(-H$4+Presion_cilindro!$B$34))/Presion_cilindro!$B$35)^(Presion_cilindro!$B$17+1)),0))/((Presion_cilindro!O409+Presion_cilindro!O410)/2)</f>
        <v>28.793250852640508</v>
      </c>
      <c r="I418" s="27">
        <f>I417*(Presion_cilindro!O409/Presion_cilindro!O410)^Presion_cilindro!$B$9+10*(Presion_cilindro!$B$9-1)*Presion_cilindro!$B$33*(IF(Presion_cilindro!N410&gt;(-I$4+Presion_cilindro!$B$34),1-EXP(-Presion_cilindro!$B$16*((Presion_cilindro!N410-(-I$4+Presion_cilindro!$B$34))/Presion_cilindro!$B$35)^(Presion_cilindro!$B$17+1)),0)-IF(Presion_cilindro!N409&gt;(-I$4+Presion_cilindro!$B$34),1-EXP(-Presion_cilindro!$B$16*((Presion_cilindro!N409-(-I$4+Presion_cilindro!$B$34))/Presion_cilindro!$B$35)^(Presion_cilindro!$B$17+1)),0))/((Presion_cilindro!O409+Presion_cilindro!O410)/2)</f>
        <v>29.058502051980543</v>
      </c>
      <c r="J418" s="27">
        <f>J417*(Presion_cilindro!O409/Presion_cilindro!O410)^Presion_cilindro!$B$9+10*(Presion_cilindro!$B$9-1)*Presion_cilindro!$B$33*(IF(Presion_cilindro!N410&gt;(-J$4+Presion_cilindro!$B$34),1-EXP(-Presion_cilindro!$B$16*((Presion_cilindro!N410-(-J$4+Presion_cilindro!$B$34))/Presion_cilindro!$B$35)^(Presion_cilindro!$B$17+1)),0)-IF(Presion_cilindro!N409&gt;(-J$4+Presion_cilindro!$B$34),1-EXP(-Presion_cilindro!$B$16*((Presion_cilindro!N409-(-J$4+Presion_cilindro!$B$34))/Presion_cilindro!$B$35)^(Presion_cilindro!$B$17+1)),0))/((Presion_cilindro!O409+Presion_cilindro!O410)/2)</f>
        <v>29.311871791788754</v>
      </c>
      <c r="K418" s="27">
        <f>K417*(Presion_cilindro!O409/Presion_cilindro!O410)^Presion_cilindro!$B$9+10*(Presion_cilindro!$B$9-1)*Presion_cilindro!$B$33*(IF(Presion_cilindro!N410&gt;(-K$4+Presion_cilindro!$B$34),1-EXP(-Presion_cilindro!$B$16*((Presion_cilindro!N410-(-K$4+Presion_cilindro!$B$34))/Presion_cilindro!$B$35)^(Presion_cilindro!$B$17+1)),0)-IF(Presion_cilindro!N409&gt;(-K$4+Presion_cilindro!$B$34),1-EXP(-Presion_cilindro!$B$16*((Presion_cilindro!N409-(-K$4+Presion_cilindro!$B$34))/Presion_cilindro!$B$35)^(Presion_cilindro!$B$17+1)),0))/((Presion_cilindro!O409+Presion_cilindro!O410)/2)</f>
        <v>29.723168667317914</v>
      </c>
      <c r="L418" s="27">
        <f>L417*(Presion_cilindro!O409/Presion_cilindro!O410)^Presion_cilindro!$B$9+10*(Presion_cilindro!$B$9-1)*Presion_cilindro!$B$33*(IF(Presion_cilindro!N410&gt;(-L$4+Presion_cilindro!$B$34),1-EXP(-Presion_cilindro!$B$16*((Presion_cilindro!N410-(-L$4+Presion_cilindro!$B$34))/Presion_cilindro!$B$35)^(Presion_cilindro!$B$17+1)),0)-IF(Presion_cilindro!N409&gt;(-L$4+Presion_cilindro!$B$34),1-EXP(-Presion_cilindro!$B$16*((Presion_cilindro!N409-(-L$4+Presion_cilindro!$B$34))/Presion_cilindro!$B$35)^(Presion_cilindro!$B$17+1)),0))/((Presion_cilindro!O409+Presion_cilindro!O410)/2)</f>
        <v>30.323941222879153</v>
      </c>
      <c r="M418" s="27">
        <f>M417*(Presion_cilindro!O409/Presion_cilindro!O410)^Presion_cilindro!$B$9+10*(Presion_cilindro!$B$9-1)*Presion_cilindro!$B$33*(IF(Presion_cilindro!N410&gt;(-M$4+Presion_cilindro!$B$34),1-EXP(-Presion_cilindro!$B$16*((Presion_cilindro!N410-(-M$4+Presion_cilindro!$B$34))/Presion_cilindro!$B$35)^(Presion_cilindro!$B$17+1)),0)-IF(Presion_cilindro!N409&gt;(-M$4+Presion_cilindro!$B$34),1-EXP(-Presion_cilindro!$B$16*((Presion_cilindro!N409-(-M$4+Presion_cilindro!$B$34))/Presion_cilindro!$B$35)^(Presion_cilindro!$B$17+1)),0))/((Presion_cilindro!O409+Presion_cilindro!O410)/2)</f>
        <v>31.091521970507412</v>
      </c>
      <c r="N418" s="27">
        <f>N417*(Presion_cilindro!O409/Presion_cilindro!O410)^Presion_cilindro!$B$9+10*(Presion_cilindro!$B$9-1)*Presion_cilindro!$B$33*(IF(Presion_cilindro!N410&gt;(-N$4+Presion_cilindro!$B$34),1-EXP(-Presion_cilindro!$B$16*((Presion_cilindro!N410-(-N$4+Presion_cilindro!$B$34))/Presion_cilindro!$B$35)^(Presion_cilindro!$B$17+1)),0)-IF(Presion_cilindro!N409&gt;(-N$4+Presion_cilindro!$B$34),1-EXP(-Presion_cilindro!$B$16*((Presion_cilindro!N409-(-N$4+Presion_cilindro!$B$34))/Presion_cilindro!$B$35)^(Presion_cilindro!$B$17+1)),0))/((Presion_cilindro!O409+Presion_cilindro!O410)/2)</f>
        <v>31.98912943528893</v>
      </c>
    </row>
    <row r="419" spans="1:14" x14ac:dyDescent="0.25">
      <c r="A419" s="21">
        <f>Presion_cilindro!N411</f>
        <v>23.5</v>
      </c>
      <c r="B419" s="27">
        <f>B418*(Presion_cilindro!O410/Presion_cilindro!O411)^Presion_cilindro!$B$9+10*(Presion_cilindro!$B$9-1)*Presion_cilindro!$B$33*(IF(Presion_cilindro!N411&gt;(-B$4+Presion_cilindro!$B$34),1-EXP(-Presion_cilindro!$B$16*((Presion_cilindro!N411-(-B$4+Presion_cilindro!$B$34))/Presion_cilindro!$B$35)^(Presion_cilindro!$B$17+1)),0)-IF(Presion_cilindro!N410&gt;(-B$4+Presion_cilindro!$B$34),1-EXP(-Presion_cilindro!$B$16*((Presion_cilindro!N410-(-B$4+Presion_cilindro!$B$34))/Presion_cilindro!$B$35)^(Presion_cilindro!$B$17+1)),0))/((Presion_cilindro!O410+Presion_cilindro!O411)/2)</f>
        <v>12.597427397140187</v>
      </c>
      <c r="C419" s="27">
        <f>C418*(Presion_cilindro!O410/Presion_cilindro!O411)^Presion_cilindro!$B$9+10*(Presion_cilindro!$B$9-1)*Presion_cilindro!$B$33*(IF(Presion_cilindro!N411&gt;(-C$4+Presion_cilindro!$B$34),1-EXP(-Presion_cilindro!$B$16*((Presion_cilindro!N411-(-C$4+Presion_cilindro!$B$34))/Presion_cilindro!$B$35)^(Presion_cilindro!$B$17+1)),0)-IF(Presion_cilindro!N410&gt;(-C$4+Presion_cilindro!$B$34),1-EXP(-Presion_cilindro!$B$16*((Presion_cilindro!N410-(-C$4+Presion_cilindro!$B$34))/Presion_cilindro!$B$35)^(Presion_cilindro!$B$17+1)),0))/((Presion_cilindro!O410+Presion_cilindro!O411)/2)</f>
        <v>15.979863913045028</v>
      </c>
      <c r="D419" s="27">
        <f>D418*(Presion_cilindro!O410/Presion_cilindro!O411)^Presion_cilindro!$B$9+10*(Presion_cilindro!$B$9-1)*Presion_cilindro!$B$33*(IF(Presion_cilindro!N411&gt;(-D$4+Presion_cilindro!$B$34),1-EXP(-Presion_cilindro!$B$16*((Presion_cilindro!N411-(-D$4+Presion_cilindro!$B$34))/Presion_cilindro!$B$35)^(Presion_cilindro!$B$17+1)),0)-IF(Presion_cilindro!N410&gt;(-D$4+Presion_cilindro!$B$34),1-EXP(-Presion_cilindro!$B$16*((Presion_cilindro!N410-(-D$4+Presion_cilindro!$B$34))/Presion_cilindro!$B$35)^(Presion_cilindro!$B$17+1)),0))/((Presion_cilindro!O410+Presion_cilindro!O411)/2)</f>
        <v>19.974230400221177</v>
      </c>
      <c r="E419" s="27">
        <f>E418*(Presion_cilindro!O410/Presion_cilindro!O411)^Presion_cilindro!$B$9+10*(Presion_cilindro!$B$9-1)*Presion_cilindro!$B$33*(IF(Presion_cilindro!N411&gt;(-E$4+Presion_cilindro!$B$34),1-EXP(-Presion_cilindro!$B$16*((Presion_cilindro!N411-(-E$4+Presion_cilindro!$B$34))/Presion_cilindro!$B$35)^(Presion_cilindro!$B$17+1)),0)-IF(Presion_cilindro!N410&gt;(-E$4+Presion_cilindro!$B$34),1-EXP(-Presion_cilindro!$B$16*((Presion_cilindro!N410-(-E$4+Presion_cilindro!$B$34))/Presion_cilindro!$B$35)^(Presion_cilindro!$B$17+1)),0))/((Presion_cilindro!O410+Presion_cilindro!O411)/2)</f>
        <v>23.672691952316043</v>
      </c>
      <c r="F419" s="27">
        <f>F418*(Presion_cilindro!O410/Presion_cilindro!O411)^Presion_cilindro!$B$9+10*(Presion_cilindro!$B$9-1)*Presion_cilindro!$B$33*(IF(Presion_cilindro!N411&gt;(-F$4+Presion_cilindro!$B$34),1-EXP(-Presion_cilindro!$B$16*((Presion_cilindro!N411-(-F$4+Presion_cilindro!$B$34))/Presion_cilindro!$B$35)^(Presion_cilindro!$B$17+1)),0)-IF(Presion_cilindro!N410&gt;(-F$4+Presion_cilindro!$B$34),1-EXP(-Presion_cilindro!$B$16*((Presion_cilindro!N410-(-F$4+Presion_cilindro!$B$34))/Presion_cilindro!$B$35)^(Presion_cilindro!$B$17+1)),0))/((Presion_cilindro!O410+Presion_cilindro!O411)/2)</f>
        <v>26.328879575531648</v>
      </c>
      <c r="G419" s="27">
        <f>G418*(Presion_cilindro!O410/Presion_cilindro!O411)^Presion_cilindro!$B$9+10*(Presion_cilindro!$B$9-1)*Presion_cilindro!$B$33*(IF(Presion_cilindro!N411&gt;(-G$4+Presion_cilindro!$B$34),1-EXP(-Presion_cilindro!$B$16*((Presion_cilindro!N411-(-G$4+Presion_cilindro!$B$34))/Presion_cilindro!$B$35)^(Presion_cilindro!$B$17+1)),0)-IF(Presion_cilindro!N410&gt;(-G$4+Presion_cilindro!$B$34),1-EXP(-Presion_cilindro!$B$16*((Presion_cilindro!N410-(-G$4+Presion_cilindro!$B$34))/Presion_cilindro!$B$35)^(Presion_cilindro!$B$17+1)),0))/((Presion_cilindro!O410+Presion_cilindro!O411)/2)</f>
        <v>27.765349074453553</v>
      </c>
      <c r="H419" s="27">
        <f>H418*(Presion_cilindro!O410/Presion_cilindro!O411)^Presion_cilindro!$B$9+10*(Presion_cilindro!$B$9-1)*Presion_cilindro!$B$33*(IF(Presion_cilindro!N411&gt;(-H$4+Presion_cilindro!$B$34),1-EXP(-Presion_cilindro!$B$16*((Presion_cilindro!N411-(-H$4+Presion_cilindro!$B$34))/Presion_cilindro!$B$35)^(Presion_cilindro!$B$17+1)),0)-IF(Presion_cilindro!N410&gt;(-H$4+Presion_cilindro!$B$34),1-EXP(-Presion_cilindro!$B$16*((Presion_cilindro!N410-(-H$4+Presion_cilindro!$B$34))/Presion_cilindro!$B$35)^(Presion_cilindro!$B$17+1)),0))/((Presion_cilindro!O410+Presion_cilindro!O411)/2)</f>
        <v>28.337765950319962</v>
      </c>
      <c r="I419" s="27">
        <f>I418*(Presion_cilindro!O410/Presion_cilindro!O411)^Presion_cilindro!$B$9+10*(Presion_cilindro!$B$9-1)*Presion_cilindro!$B$33*(IF(Presion_cilindro!N411&gt;(-I$4+Presion_cilindro!$B$34),1-EXP(-Presion_cilindro!$B$16*((Presion_cilindro!N411-(-I$4+Presion_cilindro!$B$34))/Presion_cilindro!$B$35)^(Presion_cilindro!$B$17+1)),0)-IF(Presion_cilindro!N410&gt;(-I$4+Presion_cilindro!$B$34),1-EXP(-Presion_cilindro!$B$16*((Presion_cilindro!N410-(-I$4+Presion_cilindro!$B$34))/Presion_cilindro!$B$35)^(Presion_cilindro!$B$17+1)),0))/((Presion_cilindro!O410+Presion_cilindro!O411)/2)</f>
        <v>28.561395016483541</v>
      </c>
      <c r="J419" s="27">
        <f>J418*(Presion_cilindro!O410/Presion_cilindro!O411)^Presion_cilindro!$B$9+10*(Presion_cilindro!$B$9-1)*Presion_cilindro!$B$33*(IF(Presion_cilindro!N411&gt;(-J$4+Presion_cilindro!$B$34),1-EXP(-Presion_cilindro!$B$16*((Presion_cilindro!N411-(-J$4+Presion_cilindro!$B$34))/Presion_cilindro!$B$35)^(Presion_cilindro!$B$17+1)),0)-IF(Presion_cilindro!N410&gt;(-J$4+Presion_cilindro!$B$34),1-EXP(-Presion_cilindro!$B$16*((Presion_cilindro!N410-(-J$4+Presion_cilindro!$B$34))/Presion_cilindro!$B$35)^(Presion_cilindro!$B$17+1)),0))/((Presion_cilindro!O410+Presion_cilindro!O411)/2)</f>
        <v>28.798423184097334</v>
      </c>
      <c r="K419" s="27">
        <f>K418*(Presion_cilindro!O410/Presion_cilindro!O411)^Presion_cilindro!$B$9+10*(Presion_cilindro!$B$9-1)*Presion_cilindro!$B$33*(IF(Presion_cilindro!N411&gt;(-K$4+Presion_cilindro!$B$34),1-EXP(-Presion_cilindro!$B$16*((Presion_cilindro!N411-(-K$4+Presion_cilindro!$B$34))/Presion_cilindro!$B$35)^(Presion_cilindro!$B$17+1)),0)-IF(Presion_cilindro!N410&gt;(-K$4+Presion_cilindro!$B$34),1-EXP(-Presion_cilindro!$B$16*((Presion_cilindro!N410-(-K$4+Presion_cilindro!$B$34))/Presion_cilindro!$B$35)^(Presion_cilindro!$B$17+1)),0))/((Presion_cilindro!O410+Presion_cilindro!O411)/2)</f>
        <v>29.199823622926708</v>
      </c>
      <c r="L419" s="27">
        <f>L418*(Presion_cilindro!O410/Presion_cilindro!O411)^Presion_cilindro!$B$9+10*(Presion_cilindro!$B$9-1)*Presion_cilindro!$B$33*(IF(Presion_cilindro!N411&gt;(-L$4+Presion_cilindro!$B$34),1-EXP(-Presion_cilindro!$B$16*((Presion_cilindro!N411-(-L$4+Presion_cilindro!$B$34))/Presion_cilindro!$B$35)^(Presion_cilindro!$B$17+1)),0)-IF(Presion_cilindro!N410&gt;(-L$4+Presion_cilindro!$B$34),1-EXP(-Presion_cilindro!$B$16*((Presion_cilindro!N410-(-L$4+Presion_cilindro!$B$34))/Presion_cilindro!$B$35)^(Presion_cilindro!$B$17+1)),0))/((Presion_cilindro!O410+Presion_cilindro!O411)/2)</f>
        <v>29.789606664011263</v>
      </c>
      <c r="M419" s="27">
        <f>M418*(Presion_cilindro!O410/Presion_cilindro!O411)^Presion_cilindro!$B$9+10*(Presion_cilindro!$B$9-1)*Presion_cilindro!$B$33*(IF(Presion_cilindro!N411&gt;(-M$4+Presion_cilindro!$B$34),1-EXP(-Presion_cilindro!$B$16*((Presion_cilindro!N411-(-M$4+Presion_cilindro!$B$34))/Presion_cilindro!$B$35)^(Presion_cilindro!$B$17+1)),0)-IF(Presion_cilindro!N410&gt;(-M$4+Presion_cilindro!$B$34),1-EXP(-Presion_cilindro!$B$16*((Presion_cilindro!N410-(-M$4+Presion_cilindro!$B$34))/Presion_cilindro!$B$35)^(Presion_cilindro!$B$17+1)),0))/((Presion_cilindro!O410+Presion_cilindro!O411)/2)</f>
        <v>30.54362005903473</v>
      </c>
      <c r="N419" s="27">
        <f>N418*(Presion_cilindro!O410/Presion_cilindro!O411)^Presion_cilindro!$B$9+10*(Presion_cilindro!$B$9-1)*Presion_cilindro!$B$33*(IF(Presion_cilindro!N411&gt;(-N$4+Presion_cilindro!$B$34),1-EXP(-Presion_cilindro!$B$16*((Presion_cilindro!N411-(-N$4+Presion_cilindro!$B$34))/Presion_cilindro!$B$35)^(Presion_cilindro!$B$17+1)),0)-IF(Presion_cilindro!N410&gt;(-N$4+Presion_cilindro!$B$34),1-EXP(-Presion_cilindro!$B$16*((Presion_cilindro!N410-(-N$4+Presion_cilindro!$B$34))/Presion_cilindro!$B$35)^(Presion_cilindro!$B$17+1)),0))/((Presion_cilindro!O410+Presion_cilindro!O411)/2)</f>
        <v>31.425406905912759</v>
      </c>
    </row>
    <row r="420" spans="1:14" x14ac:dyDescent="0.25">
      <c r="A420" s="21">
        <f>Presion_cilindro!N412</f>
        <v>24</v>
      </c>
      <c r="B420" s="27">
        <f>B419*(Presion_cilindro!O411/Presion_cilindro!O412)^Presion_cilindro!$B$9+10*(Presion_cilindro!$B$9-1)*Presion_cilindro!$B$33*(IF(Presion_cilindro!N412&gt;(-B$4+Presion_cilindro!$B$34),1-EXP(-Presion_cilindro!$B$16*((Presion_cilindro!N412-(-B$4+Presion_cilindro!$B$34))/Presion_cilindro!$B$35)^(Presion_cilindro!$B$17+1)),0)-IF(Presion_cilindro!N411&gt;(-B$4+Presion_cilindro!$B$34),1-EXP(-Presion_cilindro!$B$16*((Presion_cilindro!N411-(-B$4+Presion_cilindro!$B$34))/Presion_cilindro!$B$35)^(Presion_cilindro!$B$17+1)),0))/((Presion_cilindro!O411+Presion_cilindro!O412)/2)</f>
        <v>12.674447622084775</v>
      </c>
      <c r="C420" s="27">
        <f>C419*(Presion_cilindro!O411/Presion_cilindro!O412)^Presion_cilindro!$B$9+10*(Presion_cilindro!$B$9-1)*Presion_cilindro!$B$33*(IF(Presion_cilindro!N412&gt;(-C$4+Presion_cilindro!$B$34),1-EXP(-Presion_cilindro!$B$16*((Presion_cilindro!N412-(-C$4+Presion_cilindro!$B$34))/Presion_cilindro!$B$35)^(Presion_cilindro!$B$17+1)),0)-IF(Presion_cilindro!N411&gt;(-C$4+Presion_cilindro!$B$34),1-EXP(-Presion_cilindro!$B$16*((Presion_cilindro!N411-(-C$4+Presion_cilindro!$B$34))/Presion_cilindro!$B$35)^(Presion_cilindro!$B$17+1)),0))/((Presion_cilindro!O411+Presion_cilindro!O412)/2)</f>
        <v>16.103459393376365</v>
      </c>
      <c r="D420" s="27">
        <f>D419*(Presion_cilindro!O411/Presion_cilindro!O412)^Presion_cilindro!$B$9+10*(Presion_cilindro!$B$9-1)*Presion_cilindro!$B$33*(IF(Presion_cilindro!N412&gt;(-D$4+Presion_cilindro!$B$34),1-EXP(-Presion_cilindro!$B$16*((Presion_cilindro!N412-(-D$4+Presion_cilindro!$B$34))/Presion_cilindro!$B$35)^(Presion_cilindro!$B$17+1)),0)-IF(Presion_cilindro!N411&gt;(-D$4+Presion_cilindro!$B$34),1-EXP(-Presion_cilindro!$B$16*((Presion_cilindro!N411-(-D$4+Presion_cilindro!$B$34))/Presion_cilindro!$B$35)^(Presion_cilindro!$B$17+1)),0))/((Presion_cilindro!O411+Presion_cilindro!O412)/2)</f>
        <v>20.052401244748012</v>
      </c>
      <c r="E420" s="27">
        <f>E419*(Presion_cilindro!O411/Presion_cilindro!O412)^Presion_cilindro!$B$9+10*(Presion_cilindro!$B$9-1)*Presion_cilindro!$B$33*(IF(Presion_cilindro!N412&gt;(-E$4+Presion_cilindro!$B$34),1-EXP(-Presion_cilindro!$B$16*((Presion_cilindro!N412-(-E$4+Presion_cilindro!$B$34))/Presion_cilindro!$B$35)^(Presion_cilindro!$B$17+1)),0)-IF(Presion_cilindro!N411&gt;(-E$4+Presion_cilindro!$B$34),1-EXP(-Presion_cilindro!$B$16*((Presion_cilindro!N411-(-E$4+Presion_cilindro!$B$34))/Presion_cilindro!$B$35)^(Presion_cilindro!$B$17+1)),0))/((Presion_cilindro!O411+Presion_cilindro!O412)/2)</f>
        <v>23.615964244890034</v>
      </c>
      <c r="F420" s="27">
        <f>F419*(Presion_cilindro!O411/Presion_cilindro!O412)^Presion_cilindro!$B$9+10*(Presion_cilindro!$B$9-1)*Presion_cilindro!$B$33*(IF(Presion_cilindro!N412&gt;(-F$4+Presion_cilindro!$B$34),1-EXP(-Presion_cilindro!$B$16*((Presion_cilindro!N412-(-F$4+Presion_cilindro!$B$34))/Presion_cilindro!$B$35)^(Presion_cilindro!$B$17+1)),0)-IF(Presion_cilindro!N411&gt;(-F$4+Presion_cilindro!$B$34),1-EXP(-Presion_cilindro!$B$16*((Presion_cilindro!N411-(-F$4+Presion_cilindro!$B$34))/Presion_cilindro!$B$35)^(Presion_cilindro!$B$17+1)),0))/((Presion_cilindro!O411+Presion_cilindro!O412)/2)</f>
        <v>26.100708489576554</v>
      </c>
      <c r="G420" s="27">
        <f>G419*(Presion_cilindro!O411/Presion_cilindro!O412)^Presion_cilindro!$B$9+10*(Presion_cilindro!$B$9-1)*Presion_cilindro!$B$33*(IF(Presion_cilindro!N412&gt;(-G$4+Presion_cilindro!$B$34),1-EXP(-Presion_cilindro!$B$16*((Presion_cilindro!N412-(-G$4+Presion_cilindro!$B$34))/Presion_cilindro!$B$35)^(Presion_cilindro!$B$17+1)),0)-IF(Presion_cilindro!N411&gt;(-G$4+Presion_cilindro!$B$34),1-EXP(-Presion_cilindro!$B$16*((Presion_cilindro!N411-(-G$4+Presion_cilindro!$B$34))/Presion_cilindro!$B$35)^(Presion_cilindro!$B$17+1)),0))/((Presion_cilindro!O411+Presion_cilindro!O412)/2)</f>
        <v>27.393788010597063</v>
      </c>
      <c r="H420" s="27">
        <f>H419*(Presion_cilindro!O411/Presion_cilindro!O412)^Presion_cilindro!$B$9+10*(Presion_cilindro!$B$9-1)*Presion_cilindro!$B$33*(IF(Presion_cilindro!N412&gt;(-H$4+Presion_cilindro!$B$34),1-EXP(-Presion_cilindro!$B$16*((Presion_cilindro!N412-(-H$4+Presion_cilindro!$B$34))/Presion_cilindro!$B$35)^(Presion_cilindro!$B$17+1)),0)-IF(Presion_cilindro!N411&gt;(-H$4+Presion_cilindro!$B$34),1-EXP(-Presion_cilindro!$B$16*((Presion_cilindro!N411-(-H$4+Presion_cilindro!$B$34))/Presion_cilindro!$B$35)^(Presion_cilindro!$B$17+1)),0))/((Presion_cilindro!O411+Presion_cilindro!O412)/2)</f>
        <v>27.881332282959097</v>
      </c>
      <c r="I420" s="27">
        <f>I419*(Presion_cilindro!O411/Presion_cilindro!O412)^Presion_cilindro!$B$9+10*(Presion_cilindro!$B$9-1)*Presion_cilindro!$B$33*(IF(Presion_cilindro!N412&gt;(-I$4+Presion_cilindro!$B$34),1-EXP(-Presion_cilindro!$B$16*((Presion_cilindro!N412-(-I$4+Presion_cilindro!$B$34))/Presion_cilindro!$B$35)^(Presion_cilindro!$B$17+1)),0)-IF(Presion_cilindro!N411&gt;(-I$4+Presion_cilindro!$B$34),1-EXP(-Presion_cilindro!$B$16*((Presion_cilindro!N411-(-I$4+Presion_cilindro!$B$34))/Presion_cilindro!$B$35)^(Presion_cilindro!$B$17+1)),0))/((Presion_cilindro!O411+Presion_cilindro!O412)/2)</f>
        <v>28.067925559218722</v>
      </c>
      <c r="J420" s="27">
        <f>J419*(Presion_cilindro!O411/Presion_cilindro!O412)^Presion_cilindro!$B$9+10*(Presion_cilindro!$B$9-1)*Presion_cilindro!$B$33*(IF(Presion_cilindro!N412&gt;(-J$4+Presion_cilindro!$B$34),1-EXP(-Presion_cilindro!$B$16*((Presion_cilindro!N412-(-J$4+Presion_cilindro!$B$34))/Presion_cilindro!$B$35)^(Presion_cilindro!$B$17+1)),0)-IF(Presion_cilindro!N411&gt;(-J$4+Presion_cilindro!$B$34),1-EXP(-Presion_cilindro!$B$16*((Presion_cilindro!N411-(-J$4+Presion_cilindro!$B$34))/Presion_cilindro!$B$35)^(Presion_cilindro!$B$17+1)),0))/((Presion_cilindro!O411+Presion_cilindro!O412)/2)</f>
        <v>28.290496686513919</v>
      </c>
      <c r="K420" s="27">
        <f>K419*(Presion_cilindro!O411/Presion_cilindro!O412)^Presion_cilindro!$B$9+10*(Presion_cilindro!$B$9-1)*Presion_cilindro!$B$33*(IF(Presion_cilindro!N412&gt;(-K$4+Presion_cilindro!$B$34),1-EXP(-Presion_cilindro!$B$16*((Presion_cilindro!N412-(-K$4+Presion_cilindro!$B$34))/Presion_cilindro!$B$35)^(Presion_cilindro!$B$17+1)),0)-IF(Presion_cilindro!N411&gt;(-K$4+Presion_cilindro!$B$34),1-EXP(-Presion_cilindro!$B$16*((Presion_cilindro!N411-(-K$4+Presion_cilindro!$B$34))/Presion_cilindro!$B$35)^(Presion_cilindro!$B$17+1)),0))/((Presion_cilindro!O411+Presion_cilindro!O412)/2)</f>
        <v>28.682579014842691</v>
      </c>
      <c r="L420" s="27">
        <f>L419*(Presion_cilindro!O411/Presion_cilindro!O412)^Presion_cilindro!$B$9+10*(Presion_cilindro!$B$9-1)*Presion_cilindro!$B$33*(IF(Presion_cilindro!N412&gt;(-L$4+Presion_cilindro!$B$34),1-EXP(-Presion_cilindro!$B$16*((Presion_cilindro!N412-(-L$4+Presion_cilindro!$B$34))/Presion_cilindro!$B$35)^(Presion_cilindro!$B$17+1)),0)-IF(Presion_cilindro!N411&gt;(-L$4+Presion_cilindro!$B$34),1-EXP(-Presion_cilindro!$B$16*((Presion_cilindro!N411-(-L$4+Presion_cilindro!$B$34))/Presion_cilindro!$B$35)^(Presion_cilindro!$B$17+1)),0))/((Presion_cilindro!O411+Presion_cilindro!O412)/2)</f>
        <v>29.261585660466285</v>
      </c>
      <c r="M420" s="27">
        <f>M419*(Presion_cilindro!O411/Presion_cilindro!O412)^Presion_cilindro!$B$9+10*(Presion_cilindro!$B$9-1)*Presion_cilindro!$B$33*(IF(Presion_cilindro!N412&gt;(-M$4+Presion_cilindro!$B$34),1-EXP(-Presion_cilindro!$B$16*((Presion_cilindro!N412-(-M$4+Presion_cilindro!$B$34))/Presion_cilindro!$B$35)^(Presion_cilindro!$B$17+1)),0)-IF(Presion_cilindro!N411&gt;(-M$4+Presion_cilindro!$B$34),1-EXP(-Presion_cilindro!$B$16*((Presion_cilindro!N411-(-M$4+Presion_cilindro!$B$34))/Presion_cilindro!$B$35)^(Presion_cilindro!$B$17+1)),0))/((Presion_cilindro!O411+Presion_cilindro!O412)/2)</f>
        <v>30.002202032174477</v>
      </c>
      <c r="N420" s="27">
        <f>N419*(Presion_cilindro!O411/Presion_cilindro!O412)^Presion_cilindro!$B$9+10*(Presion_cilindro!$B$9-1)*Presion_cilindro!$B$33*(IF(Presion_cilindro!N412&gt;(-N$4+Presion_cilindro!$B$34),1-EXP(-Presion_cilindro!$B$16*((Presion_cilindro!N412-(-N$4+Presion_cilindro!$B$34))/Presion_cilindro!$B$35)^(Presion_cilindro!$B$17+1)),0)-IF(Presion_cilindro!N411&gt;(-N$4+Presion_cilindro!$B$34),1-EXP(-Presion_cilindro!$B$16*((Presion_cilindro!N411-(-N$4+Presion_cilindro!$B$34))/Presion_cilindro!$B$35)^(Presion_cilindro!$B$17+1)),0))/((Presion_cilindro!O411+Presion_cilindro!O412)/2)</f>
        <v>30.868356238146966</v>
      </c>
    </row>
    <row r="421" spans="1:14" x14ac:dyDescent="0.25">
      <c r="A421" s="21">
        <f>Presion_cilindro!N413</f>
        <v>24.5</v>
      </c>
      <c r="B421" s="27">
        <f>B420*(Presion_cilindro!O412/Presion_cilindro!O413)^Presion_cilindro!$B$9+10*(Presion_cilindro!$B$9-1)*Presion_cilindro!$B$33*(IF(Presion_cilindro!N413&gt;(-B$4+Presion_cilindro!$B$34),1-EXP(-Presion_cilindro!$B$16*((Presion_cilindro!N413-(-B$4+Presion_cilindro!$B$34))/Presion_cilindro!$B$35)^(Presion_cilindro!$B$17+1)),0)-IF(Presion_cilindro!N412&gt;(-B$4+Presion_cilindro!$B$34),1-EXP(-Presion_cilindro!$B$16*((Presion_cilindro!N412-(-B$4+Presion_cilindro!$B$34))/Presion_cilindro!$B$35)^(Presion_cilindro!$B$17+1)),0))/((Presion_cilindro!O412+Presion_cilindro!O413)/2)</f>
        <v>12.757645630772444</v>
      </c>
      <c r="C421" s="27">
        <f>C420*(Presion_cilindro!O412/Presion_cilindro!O413)^Presion_cilindro!$B$9+10*(Presion_cilindro!$B$9-1)*Presion_cilindro!$B$33*(IF(Presion_cilindro!N413&gt;(-C$4+Presion_cilindro!$B$34),1-EXP(-Presion_cilindro!$B$16*((Presion_cilindro!N413-(-C$4+Presion_cilindro!$B$34))/Presion_cilindro!$B$35)^(Presion_cilindro!$B$17+1)),0)-IF(Presion_cilindro!N412&gt;(-C$4+Presion_cilindro!$B$34),1-EXP(-Presion_cilindro!$B$16*((Presion_cilindro!N412-(-C$4+Presion_cilindro!$B$34))/Presion_cilindro!$B$35)^(Presion_cilindro!$B$17+1)),0))/((Presion_cilindro!O412+Presion_cilindro!O413)/2)</f>
        <v>16.224636515871971</v>
      </c>
      <c r="D421" s="27">
        <f>D420*(Presion_cilindro!O412/Presion_cilindro!O413)^Presion_cilindro!$B$9+10*(Presion_cilindro!$B$9-1)*Presion_cilindro!$B$33*(IF(Presion_cilindro!N413&gt;(-D$4+Presion_cilindro!$B$34),1-EXP(-Presion_cilindro!$B$16*((Presion_cilindro!N413-(-D$4+Presion_cilindro!$B$34))/Presion_cilindro!$B$35)^(Presion_cilindro!$B$17+1)),0)-IF(Presion_cilindro!N412&gt;(-D$4+Presion_cilindro!$B$34),1-EXP(-Presion_cilindro!$B$16*((Presion_cilindro!N412-(-D$4+Presion_cilindro!$B$34))/Presion_cilindro!$B$35)^(Presion_cilindro!$B$17+1)),0))/((Presion_cilindro!O412+Presion_cilindro!O413)/2)</f>
        <v>20.118599281134333</v>
      </c>
      <c r="E421" s="27">
        <f>E420*(Presion_cilindro!O412/Presion_cilindro!O413)^Presion_cilindro!$B$9+10*(Presion_cilindro!$B$9-1)*Presion_cilindro!$B$33*(IF(Presion_cilindro!N413&gt;(-E$4+Presion_cilindro!$B$34),1-EXP(-Presion_cilindro!$B$16*((Presion_cilindro!N413-(-E$4+Presion_cilindro!$B$34))/Presion_cilindro!$B$35)^(Presion_cilindro!$B$17+1)),0)-IF(Presion_cilindro!N412&gt;(-E$4+Presion_cilindro!$B$34),1-EXP(-Presion_cilindro!$B$16*((Presion_cilindro!N412-(-E$4+Presion_cilindro!$B$34))/Presion_cilindro!$B$35)^(Presion_cilindro!$B$17+1)),0))/((Presion_cilindro!O412+Presion_cilindro!O413)/2)</f>
        <v>23.542324414803886</v>
      </c>
      <c r="F421" s="27">
        <f>F420*(Presion_cilindro!O412/Presion_cilindro!O413)^Presion_cilindro!$B$9+10*(Presion_cilindro!$B$9-1)*Presion_cilindro!$B$33*(IF(Presion_cilindro!N413&gt;(-F$4+Presion_cilindro!$B$34),1-EXP(-Presion_cilindro!$B$16*((Presion_cilindro!N413-(-F$4+Presion_cilindro!$B$34))/Presion_cilindro!$B$35)^(Presion_cilindro!$B$17+1)),0)-IF(Presion_cilindro!N412&gt;(-F$4+Presion_cilindro!$B$34),1-EXP(-Presion_cilindro!$B$16*((Presion_cilindro!N412-(-F$4+Presion_cilindro!$B$34))/Presion_cilindro!$B$35)^(Presion_cilindro!$B$17+1)),0))/((Presion_cilindro!O412+Presion_cilindro!O413)/2)</f>
        <v>25.858092266027988</v>
      </c>
      <c r="G421" s="27">
        <f>G420*(Presion_cilindro!O412/Presion_cilindro!O413)^Presion_cilindro!$B$9+10*(Presion_cilindro!$B$9-1)*Presion_cilindro!$B$33*(IF(Presion_cilindro!N413&gt;(-G$4+Presion_cilindro!$B$34),1-EXP(-Presion_cilindro!$B$16*((Presion_cilindro!N413-(-G$4+Presion_cilindro!$B$34))/Presion_cilindro!$B$35)^(Presion_cilindro!$B$17+1)),0)-IF(Presion_cilindro!N412&gt;(-G$4+Presion_cilindro!$B$34),1-EXP(-Presion_cilindro!$B$16*((Presion_cilindro!N412-(-G$4+Presion_cilindro!$B$34))/Presion_cilindro!$B$35)^(Presion_cilindro!$B$17+1)),0))/((Presion_cilindro!O412+Presion_cilindro!O413)/2)</f>
        <v>27.015082160669785</v>
      </c>
      <c r="H421" s="27">
        <f>H420*(Presion_cilindro!O412/Presion_cilindro!O413)^Presion_cilindro!$B$9+10*(Presion_cilindro!$B$9-1)*Presion_cilindro!$B$33*(IF(Presion_cilindro!N413&gt;(-H$4+Presion_cilindro!$B$34),1-EXP(-Presion_cilindro!$B$16*((Presion_cilindro!N413-(-H$4+Presion_cilindro!$B$34))/Presion_cilindro!$B$35)^(Presion_cilindro!$B$17+1)),0)-IF(Presion_cilindro!N412&gt;(-H$4+Presion_cilindro!$B$34),1-EXP(-Presion_cilindro!$B$16*((Presion_cilindro!N412-(-H$4+Presion_cilindro!$B$34))/Presion_cilindro!$B$35)^(Presion_cilindro!$B$17+1)),0))/((Presion_cilindro!O412+Presion_cilindro!O413)/2)</f>
        <v>27.424893956934543</v>
      </c>
      <c r="I421" s="27">
        <f>I420*(Presion_cilindro!O412/Presion_cilindro!O413)^Presion_cilindro!$B$9+10*(Presion_cilindro!$B$9-1)*Presion_cilindro!$B$33*(IF(Presion_cilindro!N413&gt;(-I$4+Presion_cilindro!$B$34),1-EXP(-Presion_cilindro!$B$16*((Presion_cilindro!N413-(-I$4+Presion_cilindro!$B$34))/Presion_cilindro!$B$35)^(Presion_cilindro!$B$17+1)),0)-IF(Presion_cilindro!N412&gt;(-I$4+Presion_cilindro!$B$34),1-EXP(-Presion_cilindro!$B$16*((Presion_cilindro!N412-(-I$4+Presion_cilindro!$B$34))/Presion_cilindro!$B$35)^(Presion_cilindro!$B$17+1)),0))/((Presion_cilindro!O412+Presion_cilindro!O413)/2)</f>
        <v>27.578666800580979</v>
      </c>
      <c r="J421" s="27">
        <f>J420*(Presion_cilindro!O412/Presion_cilindro!O413)^Presion_cilindro!$B$9+10*(Presion_cilindro!$B$9-1)*Presion_cilindro!$B$33*(IF(Presion_cilindro!N413&gt;(-J$4+Presion_cilindro!$B$34),1-EXP(-Presion_cilindro!$B$16*((Presion_cilindro!N413-(-J$4+Presion_cilindro!$B$34))/Presion_cilindro!$B$35)^(Presion_cilindro!$B$17+1)),0)-IF(Presion_cilindro!N412&gt;(-J$4+Presion_cilindro!$B$34),1-EXP(-Presion_cilindro!$B$16*((Presion_cilindro!N412-(-J$4+Presion_cilindro!$B$34))/Presion_cilindro!$B$35)^(Presion_cilindro!$B$17+1)),0))/((Presion_cilindro!O412+Presion_cilindro!O413)/2)</f>
        <v>27.788449076201076</v>
      </c>
      <c r="K421" s="27">
        <f>K420*(Presion_cilindro!O412/Presion_cilindro!O413)^Presion_cilindro!$B$9+10*(Presion_cilindro!$B$9-1)*Presion_cilindro!$B$33*(IF(Presion_cilindro!N413&gt;(-K$4+Presion_cilindro!$B$34),1-EXP(-Presion_cilindro!$B$16*((Presion_cilindro!N413-(-K$4+Presion_cilindro!$B$34))/Presion_cilindro!$B$35)^(Presion_cilindro!$B$17+1)),0)-IF(Presion_cilindro!N412&gt;(-K$4+Presion_cilindro!$B$34),1-EXP(-Presion_cilindro!$B$16*((Presion_cilindro!N412-(-K$4+Presion_cilindro!$B$34))/Presion_cilindro!$B$35)^(Presion_cilindro!$B$17+1)),0))/((Presion_cilindro!O412+Presion_cilindro!O413)/2)</f>
        <v>28.171719224430937</v>
      </c>
      <c r="L421" s="27">
        <f>L420*(Presion_cilindro!O412/Presion_cilindro!O413)^Presion_cilindro!$B$9+10*(Presion_cilindro!$B$9-1)*Presion_cilindro!$B$33*(IF(Presion_cilindro!N413&gt;(-L$4+Presion_cilindro!$B$34),1-EXP(-Presion_cilindro!$B$16*((Presion_cilindro!N413-(-L$4+Presion_cilindro!$B$34))/Presion_cilindro!$B$35)^(Presion_cilindro!$B$17+1)),0)-IF(Presion_cilindro!N412&gt;(-L$4+Presion_cilindro!$B$34),1-EXP(-Presion_cilindro!$B$16*((Presion_cilindro!N412-(-L$4+Presion_cilindro!$B$34))/Presion_cilindro!$B$35)^(Presion_cilindro!$B$17+1)),0))/((Presion_cilindro!O412+Presion_cilindro!O413)/2)</f>
        <v>28.740151359145283</v>
      </c>
      <c r="M421" s="27">
        <f>M420*(Presion_cilindro!O412/Presion_cilindro!O413)^Presion_cilindro!$B$9+10*(Presion_cilindro!$B$9-1)*Presion_cilindro!$B$33*(IF(Presion_cilindro!N413&gt;(-M$4+Presion_cilindro!$B$34),1-EXP(-Presion_cilindro!$B$16*((Presion_cilindro!N413-(-M$4+Presion_cilindro!$B$34))/Presion_cilindro!$B$35)^(Presion_cilindro!$B$17+1)),0)-IF(Presion_cilindro!N412&gt;(-M$4+Presion_cilindro!$B$34),1-EXP(-Presion_cilindro!$B$16*((Presion_cilindro!N412-(-M$4+Presion_cilindro!$B$34))/Presion_cilindro!$B$35)^(Presion_cilindro!$B$17+1)),0))/((Presion_cilindro!O412+Presion_cilindro!O413)/2)</f>
        <v>29.467545599777331</v>
      </c>
      <c r="N421" s="27">
        <f>N420*(Presion_cilindro!O412/Presion_cilindro!O413)^Presion_cilindro!$B$9+10*(Presion_cilindro!$B$9-1)*Presion_cilindro!$B$33*(IF(Presion_cilindro!N413&gt;(-N$4+Presion_cilindro!$B$34),1-EXP(-Presion_cilindro!$B$16*((Presion_cilindro!N413-(-N$4+Presion_cilindro!$B$34))/Presion_cilindro!$B$35)^(Presion_cilindro!$B$17+1)),0)-IF(Presion_cilindro!N412&gt;(-N$4+Presion_cilindro!$B$34),1-EXP(-Presion_cilindro!$B$16*((Presion_cilindro!N412-(-N$4+Presion_cilindro!$B$34))/Presion_cilindro!$B$35)^(Presion_cilindro!$B$17+1)),0))/((Presion_cilindro!O412+Presion_cilindro!O413)/2)</f>
        <v>30.318262955757575</v>
      </c>
    </row>
    <row r="422" spans="1:14" x14ac:dyDescent="0.25">
      <c r="A422" s="21">
        <f>Presion_cilindro!N414</f>
        <v>25</v>
      </c>
      <c r="B422" s="27">
        <f>B421*(Presion_cilindro!O413/Presion_cilindro!O414)^Presion_cilindro!$B$9+10*(Presion_cilindro!$B$9-1)*Presion_cilindro!$B$33*(IF(Presion_cilindro!N414&gt;(-B$4+Presion_cilindro!$B$34),1-EXP(-Presion_cilindro!$B$16*((Presion_cilindro!N414-(-B$4+Presion_cilindro!$B$34))/Presion_cilindro!$B$35)^(Presion_cilindro!$B$17+1)),0)-IF(Presion_cilindro!N413&gt;(-B$4+Presion_cilindro!$B$34),1-EXP(-Presion_cilindro!$B$16*((Presion_cilindro!N413-(-B$4+Presion_cilindro!$B$34))/Presion_cilindro!$B$35)^(Presion_cilindro!$B$17+1)),0))/((Presion_cilindro!O413+Presion_cilindro!O414)/2)</f>
        <v>12.846364606332708</v>
      </c>
      <c r="C422" s="27">
        <f>C421*(Presion_cilindro!O413/Presion_cilindro!O414)^Presion_cilindro!$B$9+10*(Presion_cilindro!$B$9-1)*Presion_cilindro!$B$33*(IF(Presion_cilindro!N414&gt;(-C$4+Presion_cilindro!$B$34),1-EXP(-Presion_cilindro!$B$16*((Presion_cilindro!N414-(-C$4+Presion_cilindro!$B$34))/Presion_cilindro!$B$35)^(Presion_cilindro!$B$17+1)),0)-IF(Presion_cilindro!N413&gt;(-C$4+Presion_cilindro!$B$34),1-EXP(-Presion_cilindro!$B$16*((Presion_cilindro!N413-(-C$4+Presion_cilindro!$B$34))/Presion_cilindro!$B$35)^(Presion_cilindro!$B$17+1)),0))/((Presion_cilindro!O413+Presion_cilindro!O414)/2)</f>
        <v>16.342562814924435</v>
      </c>
      <c r="D422" s="27">
        <f>D421*(Presion_cilindro!O413/Presion_cilindro!O414)^Presion_cilindro!$B$9+10*(Presion_cilindro!$B$9-1)*Presion_cilindro!$B$33*(IF(Presion_cilindro!N414&gt;(-D$4+Presion_cilindro!$B$34),1-EXP(-Presion_cilindro!$B$16*((Presion_cilindro!N414-(-D$4+Presion_cilindro!$B$34))/Presion_cilindro!$B$35)^(Presion_cilindro!$B$17+1)),0)-IF(Presion_cilindro!N413&gt;(-D$4+Presion_cilindro!$B$34),1-EXP(-Presion_cilindro!$B$16*((Presion_cilindro!N413-(-D$4+Presion_cilindro!$B$34))/Presion_cilindro!$B$35)^(Presion_cilindro!$B$17+1)),0))/((Presion_cilindro!O413+Presion_cilindro!O414)/2)</f>
        <v>20.17237964320535</v>
      </c>
      <c r="E422" s="27">
        <f>E421*(Presion_cilindro!O413/Presion_cilindro!O414)^Presion_cilindro!$B$9+10*(Presion_cilindro!$B$9-1)*Presion_cilindro!$B$33*(IF(Presion_cilindro!N414&gt;(-E$4+Presion_cilindro!$B$34),1-EXP(-Presion_cilindro!$B$16*((Presion_cilindro!N414-(-E$4+Presion_cilindro!$B$34))/Presion_cilindro!$B$35)^(Presion_cilindro!$B$17+1)),0)-IF(Presion_cilindro!N413&gt;(-E$4+Presion_cilindro!$B$34),1-EXP(-Presion_cilindro!$B$16*((Presion_cilindro!N413-(-E$4+Presion_cilindro!$B$34))/Presion_cilindro!$B$35)^(Presion_cilindro!$B$17+1)),0))/((Presion_cilindro!O413+Presion_cilindro!O414)/2)</f>
        <v>23.452138780113199</v>
      </c>
      <c r="F422" s="27">
        <f>F421*(Presion_cilindro!O413/Presion_cilindro!O414)^Presion_cilindro!$B$9+10*(Presion_cilindro!$B$9-1)*Presion_cilindro!$B$33*(IF(Presion_cilindro!N414&gt;(-F$4+Presion_cilindro!$B$34),1-EXP(-Presion_cilindro!$B$16*((Presion_cilindro!N414-(-F$4+Presion_cilindro!$B$34))/Presion_cilindro!$B$35)^(Presion_cilindro!$B$17+1)),0)-IF(Presion_cilindro!N413&gt;(-F$4+Presion_cilindro!$B$34),1-EXP(-Presion_cilindro!$B$16*((Presion_cilindro!N413-(-F$4+Presion_cilindro!$B$34))/Presion_cilindro!$B$35)^(Presion_cilindro!$B$17+1)),0))/((Presion_cilindro!O413+Presion_cilindro!O414)/2)</f>
        <v>25.602080723132307</v>
      </c>
      <c r="G422" s="27">
        <f>G421*(Presion_cilindro!O413/Presion_cilindro!O414)^Presion_cilindro!$B$9+10*(Presion_cilindro!$B$9-1)*Presion_cilindro!$B$33*(IF(Presion_cilindro!N414&gt;(-G$4+Presion_cilindro!$B$34),1-EXP(-Presion_cilindro!$B$16*((Presion_cilindro!N414-(-G$4+Presion_cilindro!$B$34))/Presion_cilindro!$B$35)^(Presion_cilindro!$B$17+1)),0)-IF(Presion_cilindro!N413&gt;(-G$4+Presion_cilindro!$B$34),1-EXP(-Presion_cilindro!$B$16*((Presion_cilindro!N413-(-G$4+Presion_cilindro!$B$34))/Presion_cilindro!$B$35)^(Presion_cilindro!$B$17+1)),0))/((Presion_cilindro!O413+Presion_cilindro!O414)/2)</f>
        <v>26.630411616866422</v>
      </c>
      <c r="H422" s="27">
        <f>H421*(Presion_cilindro!O413/Presion_cilindro!O414)^Presion_cilindro!$B$9+10*(Presion_cilindro!$B$9-1)*Presion_cilindro!$B$33*(IF(Presion_cilindro!N414&gt;(-H$4+Presion_cilindro!$B$34),1-EXP(-Presion_cilindro!$B$16*((Presion_cilindro!N414-(-H$4+Presion_cilindro!$B$34))/Presion_cilindro!$B$35)^(Presion_cilindro!$B$17+1)),0)-IF(Presion_cilindro!N413&gt;(-H$4+Presion_cilindro!$B$34),1-EXP(-Presion_cilindro!$B$16*((Presion_cilindro!N413-(-H$4+Presion_cilindro!$B$34))/Presion_cilindro!$B$35)^(Presion_cilindro!$B$17+1)),0))/((Presion_cilindro!O413+Presion_cilindro!O414)/2)</f>
        <v>26.969321329316838</v>
      </c>
      <c r="I422" s="27">
        <f>I421*(Presion_cilindro!O413/Presion_cilindro!O414)^Presion_cilindro!$B$9+10*(Presion_cilindro!$B$9-1)*Presion_cilindro!$B$33*(IF(Presion_cilindro!N414&gt;(-I$4+Presion_cilindro!$B$34),1-EXP(-Presion_cilindro!$B$16*((Presion_cilindro!N414-(-I$4+Presion_cilindro!$B$34))/Presion_cilindro!$B$35)^(Presion_cilindro!$B$17+1)),0)-IF(Presion_cilindro!N413&gt;(-I$4+Presion_cilindro!$B$34),1-EXP(-Presion_cilindro!$B$16*((Presion_cilindro!N413-(-I$4+Presion_cilindro!$B$34))/Presion_cilindro!$B$35)^(Presion_cilindro!$B$17+1)),0))/((Presion_cilindro!O413+Presion_cilindro!O414)/2)</f>
        <v>27.094130325912516</v>
      </c>
      <c r="J422" s="27">
        <f>J421*(Presion_cilindro!O413/Presion_cilindro!O414)^Presion_cilindro!$B$9+10*(Presion_cilindro!$B$9-1)*Presion_cilindro!$B$33*(IF(Presion_cilindro!N414&gt;(-J$4+Presion_cilindro!$B$34),1-EXP(-Presion_cilindro!$B$16*((Presion_cilindro!N414-(-J$4+Presion_cilindro!$B$34))/Presion_cilindro!$B$35)^(Presion_cilindro!$B$17+1)),0)-IF(Presion_cilindro!N413&gt;(-J$4+Presion_cilindro!$B$34),1-EXP(-Presion_cilindro!$B$16*((Presion_cilindro!N413-(-J$4+Presion_cilindro!$B$34))/Presion_cilindro!$B$35)^(Presion_cilindro!$B$17+1)),0))/((Presion_cilindro!O413+Presion_cilindro!O414)/2)</f>
        <v>27.292594879000166</v>
      </c>
      <c r="K422" s="27">
        <f>K421*(Presion_cilindro!O413/Presion_cilindro!O414)^Presion_cilindro!$B$9+10*(Presion_cilindro!$B$9-1)*Presion_cilindro!$B$33*(IF(Presion_cilindro!N414&gt;(-K$4+Presion_cilindro!$B$34),1-EXP(-Presion_cilindro!$B$16*((Presion_cilindro!N414-(-K$4+Presion_cilindro!$B$34))/Presion_cilindro!$B$35)^(Presion_cilindro!$B$17+1)),0)-IF(Presion_cilindro!N413&gt;(-K$4+Presion_cilindro!$B$34),1-EXP(-Presion_cilindro!$B$16*((Presion_cilindro!N413-(-K$4+Presion_cilindro!$B$34))/Presion_cilindro!$B$35)^(Presion_cilindro!$B$17+1)),0))/((Presion_cilindro!O413+Presion_cilindro!O414)/2)</f>
        <v>27.667496081860438</v>
      </c>
      <c r="L422" s="27">
        <f>L421*(Presion_cilindro!O413/Presion_cilindro!O414)^Presion_cilindro!$B$9+10*(Presion_cilindro!$B$9-1)*Presion_cilindro!$B$33*(IF(Presion_cilindro!N414&gt;(-L$4+Presion_cilindro!$B$34),1-EXP(-Presion_cilindro!$B$16*((Presion_cilindro!N414-(-L$4+Presion_cilindro!$B$34))/Presion_cilindro!$B$35)^(Presion_cilindro!$B$17+1)),0)-IF(Presion_cilindro!N413&gt;(-L$4+Presion_cilindro!$B$34),1-EXP(-Presion_cilindro!$B$16*((Presion_cilindro!N413-(-L$4+Presion_cilindro!$B$34))/Presion_cilindro!$B$35)^(Presion_cilindro!$B$17+1)),0))/((Presion_cilindro!O413+Presion_cilindro!O414)/2)</f>
        <v>28.225546624230692</v>
      </c>
      <c r="M422" s="27">
        <f>M421*(Presion_cilindro!O413/Presion_cilindro!O414)^Presion_cilindro!$B$9+10*(Presion_cilindro!$B$9-1)*Presion_cilindro!$B$33*(IF(Presion_cilindro!N414&gt;(-M$4+Presion_cilindro!$B$34),1-EXP(-Presion_cilindro!$B$16*((Presion_cilindro!N414-(-M$4+Presion_cilindro!$B$34))/Presion_cilindro!$B$35)^(Presion_cilindro!$B$17+1)),0)-IF(Presion_cilindro!N413&gt;(-M$4+Presion_cilindro!$B$34),1-EXP(-Presion_cilindro!$B$16*((Presion_cilindro!N413-(-M$4+Presion_cilindro!$B$34))/Presion_cilindro!$B$35)^(Presion_cilindro!$B$17+1)),0))/((Presion_cilindro!O413+Presion_cilindro!O414)/2)</f>
        <v>28.939897916162703</v>
      </c>
      <c r="N422" s="27">
        <f>N421*(Presion_cilindro!O413/Presion_cilindro!O414)^Presion_cilindro!$B$9+10*(Presion_cilindro!$B$9-1)*Presion_cilindro!$B$33*(IF(Presion_cilindro!N414&gt;(-N$4+Presion_cilindro!$B$34),1-EXP(-Presion_cilindro!$B$16*((Presion_cilindro!N414-(-N$4+Presion_cilindro!$B$34))/Presion_cilindro!$B$35)^(Presion_cilindro!$B$17+1)),0)-IF(Presion_cilindro!N413&gt;(-N$4+Presion_cilindro!$B$34),1-EXP(-Presion_cilindro!$B$16*((Presion_cilindro!N413-(-N$4+Presion_cilindro!$B$34))/Presion_cilindro!$B$35)^(Presion_cilindro!$B$17+1)),0))/((Presion_cilindro!O413+Presion_cilindro!O414)/2)</f>
        <v>29.775381195101613</v>
      </c>
    </row>
    <row r="423" spans="1:14" x14ac:dyDescent="0.25">
      <c r="A423" s="21">
        <f>Presion_cilindro!N415</f>
        <v>25.5</v>
      </c>
      <c r="B423" s="27">
        <f>B422*(Presion_cilindro!O414/Presion_cilindro!O415)^Presion_cilindro!$B$9+10*(Presion_cilindro!$B$9-1)*Presion_cilindro!$B$33*(IF(Presion_cilindro!N415&gt;(-B$4+Presion_cilindro!$B$34),1-EXP(-Presion_cilindro!$B$16*((Presion_cilindro!N415-(-B$4+Presion_cilindro!$B$34))/Presion_cilindro!$B$35)^(Presion_cilindro!$B$17+1)),0)-IF(Presion_cilindro!N414&gt;(-B$4+Presion_cilindro!$B$34),1-EXP(-Presion_cilindro!$B$16*((Presion_cilindro!N414-(-B$4+Presion_cilindro!$B$34))/Presion_cilindro!$B$35)^(Presion_cilindro!$B$17+1)),0))/((Presion_cilindro!O414+Presion_cilindro!O415)/2)</f>
        <v>12.939916687091189</v>
      </c>
      <c r="C423" s="27">
        <f>C422*(Presion_cilindro!O414/Presion_cilindro!O415)^Presion_cilindro!$B$9+10*(Presion_cilindro!$B$9-1)*Presion_cilindro!$B$33*(IF(Presion_cilindro!N415&gt;(-C$4+Presion_cilindro!$B$34),1-EXP(-Presion_cilindro!$B$16*((Presion_cilindro!N415-(-C$4+Presion_cilindro!$B$34))/Presion_cilindro!$B$35)^(Presion_cilindro!$B$17+1)),0)-IF(Presion_cilindro!N414&gt;(-C$4+Presion_cilindro!$B$34),1-EXP(-Presion_cilindro!$B$16*((Presion_cilindro!N414-(-C$4+Presion_cilindro!$B$34))/Presion_cilindro!$B$35)^(Presion_cilindro!$B$17+1)),0))/((Presion_cilindro!O414+Presion_cilindro!O415)/2)</f>
        <v>16.456426418639889</v>
      </c>
      <c r="D423" s="27">
        <f>D422*(Presion_cilindro!O414/Presion_cilindro!O415)^Presion_cilindro!$B$9+10*(Presion_cilindro!$B$9-1)*Presion_cilindro!$B$33*(IF(Presion_cilindro!N415&gt;(-D$4+Presion_cilindro!$B$34),1-EXP(-Presion_cilindro!$B$16*((Presion_cilindro!N415-(-D$4+Presion_cilindro!$B$34))/Presion_cilindro!$B$35)^(Presion_cilindro!$B$17+1)),0)-IF(Presion_cilindro!N414&gt;(-D$4+Presion_cilindro!$B$34),1-EXP(-Presion_cilindro!$B$16*((Presion_cilindro!N414-(-D$4+Presion_cilindro!$B$34))/Presion_cilindro!$B$35)^(Presion_cilindro!$B$17+1)),0))/((Presion_cilindro!O414+Presion_cilindro!O415)/2)</f>
        <v>20.213368696063249</v>
      </c>
      <c r="E423" s="27">
        <f>E422*(Presion_cilindro!O414/Presion_cilindro!O415)^Presion_cilindro!$B$9+10*(Presion_cilindro!$B$9-1)*Presion_cilindro!$B$33*(IF(Presion_cilindro!N415&gt;(-E$4+Presion_cilindro!$B$34),1-EXP(-Presion_cilindro!$B$16*((Presion_cilindro!N415-(-E$4+Presion_cilindro!$B$34))/Presion_cilindro!$B$35)^(Presion_cilindro!$B$17+1)),0)-IF(Presion_cilindro!N414&gt;(-E$4+Presion_cilindro!$B$34),1-EXP(-Presion_cilindro!$B$16*((Presion_cilindro!N414-(-E$4+Presion_cilindro!$B$34))/Presion_cilindro!$B$35)^(Presion_cilindro!$B$17+1)),0))/((Presion_cilindro!O414+Presion_cilindro!O415)/2)</f>
        <v>23.345845136816049</v>
      </c>
      <c r="F423" s="27">
        <f>F422*(Presion_cilindro!O414/Presion_cilindro!O415)^Presion_cilindro!$B$9+10*(Presion_cilindro!$B$9-1)*Presion_cilindro!$B$33*(IF(Presion_cilindro!N415&gt;(-F$4+Presion_cilindro!$B$34),1-EXP(-Presion_cilindro!$B$16*((Presion_cilindro!N415-(-F$4+Presion_cilindro!$B$34))/Presion_cilindro!$B$35)^(Presion_cilindro!$B$17+1)),0)-IF(Presion_cilindro!N414&gt;(-F$4+Presion_cilindro!$B$34),1-EXP(-Presion_cilindro!$B$16*((Presion_cilindro!N414-(-F$4+Presion_cilindro!$B$34))/Presion_cilindro!$B$35)^(Presion_cilindro!$B$17+1)),0))/((Presion_cilindro!O414+Presion_cilindro!O415)/2)</f>
        <v>25.333736908378338</v>
      </c>
      <c r="G423" s="27">
        <f>G422*(Presion_cilindro!O414/Presion_cilindro!O415)^Presion_cilindro!$B$9+10*(Presion_cilindro!$B$9-1)*Presion_cilindro!$B$33*(IF(Presion_cilindro!N415&gt;(-G$4+Presion_cilindro!$B$34),1-EXP(-Presion_cilindro!$B$16*((Presion_cilindro!N415-(-G$4+Presion_cilindro!$B$34))/Presion_cilindro!$B$35)^(Presion_cilindro!$B$17+1)),0)-IF(Presion_cilindro!N414&gt;(-G$4+Presion_cilindro!$B$34),1-EXP(-Presion_cilindro!$B$16*((Presion_cilindro!N414-(-G$4+Presion_cilindro!$B$34))/Presion_cilindro!$B$35)^(Presion_cilindro!$B$17+1)),0))/((Presion_cilindro!O414+Presion_cilindro!O415)/2)</f>
        <v>26.240905495831402</v>
      </c>
      <c r="H423" s="27">
        <f>H422*(Presion_cilindro!O414/Presion_cilindro!O415)^Presion_cilindro!$B$9+10*(Presion_cilindro!$B$9-1)*Presion_cilindro!$B$33*(IF(Presion_cilindro!N415&gt;(-H$4+Presion_cilindro!$B$34),1-EXP(-Presion_cilindro!$B$16*((Presion_cilindro!N415-(-H$4+Presion_cilindro!$B$34))/Presion_cilindro!$B$35)^(Presion_cilindro!$B$17+1)),0)-IF(Presion_cilindro!N414&gt;(-H$4+Presion_cilindro!$B$34),1-EXP(-Presion_cilindro!$B$16*((Presion_cilindro!N414-(-H$4+Presion_cilindro!$B$34))/Presion_cilindro!$B$35)^(Presion_cilindro!$B$17+1)),0))/((Presion_cilindro!O414+Presion_cilindro!O415)/2)</f>
        <v>26.515412384578411</v>
      </c>
      <c r="I423" s="27">
        <f>I422*(Presion_cilindro!O414/Presion_cilindro!O415)^Presion_cilindro!$B$9+10*(Presion_cilindro!$B$9-1)*Presion_cilindro!$B$33*(IF(Presion_cilindro!N415&gt;(-I$4+Presion_cilindro!$B$34),1-EXP(-Presion_cilindro!$B$16*((Presion_cilindro!N415-(-I$4+Presion_cilindro!$B$34))/Presion_cilindro!$B$35)^(Presion_cilindro!$B$17+1)),0)-IF(Presion_cilindro!N414&gt;(-I$4+Presion_cilindro!$B$34),1-EXP(-Presion_cilindro!$B$16*((Presion_cilindro!N414-(-I$4+Presion_cilindro!$B$34))/Presion_cilindro!$B$35)^(Presion_cilindro!$B$17+1)),0))/((Presion_cilindro!O414+Presion_cilindro!O415)/2)</f>
        <v>26.614769885292546</v>
      </c>
      <c r="J423" s="27">
        <f>J422*(Presion_cilindro!O414/Presion_cilindro!O415)^Presion_cilindro!$B$9+10*(Presion_cilindro!$B$9-1)*Presion_cilindro!$B$33*(IF(Presion_cilindro!N415&gt;(-J$4+Presion_cilindro!$B$34),1-EXP(-Presion_cilindro!$B$16*((Presion_cilindro!N415-(-J$4+Presion_cilindro!$B$34))/Presion_cilindro!$B$35)^(Presion_cilindro!$B$17+1)),0)-IF(Presion_cilindro!N414&gt;(-J$4+Presion_cilindro!$B$34),1-EXP(-Presion_cilindro!$B$16*((Presion_cilindro!N414-(-J$4+Presion_cilindro!$B$34))/Presion_cilindro!$B$35)^(Presion_cilindro!$B$17+1)),0))/((Presion_cilindro!O414+Presion_cilindro!O415)/2)</f>
        <v>26.80320934995969</v>
      </c>
      <c r="K423" s="27">
        <f>K422*(Presion_cilindro!O414/Presion_cilindro!O415)^Presion_cilindro!$B$9+10*(Presion_cilindro!$B$9-1)*Presion_cilindro!$B$33*(IF(Presion_cilindro!N415&gt;(-K$4+Presion_cilindro!$B$34),1-EXP(-Presion_cilindro!$B$16*((Presion_cilindro!N415-(-K$4+Presion_cilindro!$B$34))/Presion_cilindro!$B$35)^(Presion_cilindro!$B$17+1)),0)-IF(Presion_cilindro!N414&gt;(-K$4+Presion_cilindro!$B$34),1-EXP(-Presion_cilindro!$B$16*((Presion_cilindro!N414-(-K$4+Presion_cilindro!$B$34))/Presion_cilindro!$B$35)^(Presion_cilindro!$B$17+1)),0))/((Presion_cilindro!O414+Presion_cilindro!O415)/2)</f>
        <v>27.170130810003727</v>
      </c>
      <c r="L423" s="27">
        <f>L422*(Presion_cilindro!O414/Presion_cilindro!O415)^Presion_cilindro!$B$9+10*(Presion_cilindro!$B$9-1)*Presion_cilindro!$B$33*(IF(Presion_cilindro!N415&gt;(-L$4+Presion_cilindro!$B$34),1-EXP(-Presion_cilindro!$B$16*((Presion_cilindro!N415-(-L$4+Presion_cilindro!$B$34))/Presion_cilindro!$B$35)^(Presion_cilindro!$B$17+1)),0)-IF(Presion_cilindro!N414&gt;(-L$4+Presion_cilindro!$B$34),1-EXP(-Presion_cilindro!$B$16*((Presion_cilindro!N414-(-L$4+Presion_cilindro!$B$34))/Presion_cilindro!$B$35)^(Presion_cilindro!$B$17+1)),0))/((Presion_cilindro!O414+Presion_cilindro!O415)/2)</f>
        <v>27.717985572572715</v>
      </c>
      <c r="M423" s="27">
        <f>M422*(Presion_cilindro!O414/Presion_cilindro!O415)^Presion_cilindro!$B$9+10*(Presion_cilindro!$B$9-1)*Presion_cilindro!$B$33*(IF(Presion_cilindro!N415&gt;(-M$4+Presion_cilindro!$B$34),1-EXP(-Presion_cilindro!$B$16*((Presion_cilindro!N415-(-M$4+Presion_cilindro!$B$34))/Presion_cilindro!$B$35)^(Presion_cilindro!$B$17+1)),0)-IF(Presion_cilindro!N414&gt;(-M$4+Presion_cilindro!$B$34),1-EXP(-Presion_cilindro!$B$16*((Presion_cilindro!N414-(-M$4+Presion_cilindro!$B$34))/Presion_cilindro!$B$35)^(Presion_cilindro!$B$17+1)),0))/((Presion_cilindro!O414+Presion_cilindro!O415)/2)</f>
        <v>28.41947705788197</v>
      </c>
      <c r="N423" s="27">
        <f>N422*(Presion_cilindro!O414/Presion_cilindro!O415)^Presion_cilindro!$B$9+10*(Presion_cilindro!$B$9-1)*Presion_cilindro!$B$33*(IF(Presion_cilindro!N415&gt;(-N$4+Presion_cilindro!$B$34),1-EXP(-Presion_cilindro!$B$16*((Presion_cilindro!N415-(-N$4+Presion_cilindro!$B$34))/Presion_cilindro!$B$35)^(Presion_cilindro!$B$17+1)),0)-IF(Presion_cilindro!N414&gt;(-N$4+Presion_cilindro!$B$34),1-EXP(-Presion_cilindro!$B$16*((Presion_cilindro!N414-(-N$4+Presion_cilindro!$B$34))/Presion_cilindro!$B$35)^(Presion_cilindro!$B$17+1)),0))/((Presion_cilindro!O414+Presion_cilindro!O415)/2)</f>
        <v>29.239935213725101</v>
      </c>
    </row>
    <row r="424" spans="1:14" x14ac:dyDescent="0.25">
      <c r="A424" s="21">
        <f>Presion_cilindro!N416</f>
        <v>26</v>
      </c>
      <c r="B424" s="27">
        <f>B423*(Presion_cilindro!O415/Presion_cilindro!O416)^Presion_cilindro!$B$9+10*(Presion_cilindro!$B$9-1)*Presion_cilindro!$B$33*(IF(Presion_cilindro!N416&gt;(-B$4+Presion_cilindro!$B$34),1-EXP(-Presion_cilindro!$B$16*((Presion_cilindro!N416-(-B$4+Presion_cilindro!$B$34))/Presion_cilindro!$B$35)^(Presion_cilindro!$B$17+1)),0)-IF(Presion_cilindro!N415&gt;(-B$4+Presion_cilindro!$B$34),1-EXP(-Presion_cilindro!$B$16*((Presion_cilindro!N415-(-B$4+Presion_cilindro!$B$34))/Presion_cilindro!$B$35)^(Presion_cilindro!$B$17+1)),0))/((Presion_cilindro!O415+Presion_cilindro!O416)/2)</f>
        <v>13.037587729291847</v>
      </c>
      <c r="C424" s="27">
        <f>C423*(Presion_cilindro!O415/Presion_cilindro!O416)^Presion_cilindro!$B$9+10*(Presion_cilindro!$B$9-1)*Presion_cilindro!$B$33*(IF(Presion_cilindro!N416&gt;(-C$4+Presion_cilindro!$B$34),1-EXP(-Presion_cilindro!$B$16*((Presion_cilindro!N416-(-C$4+Presion_cilindro!$B$34))/Presion_cilindro!$B$35)^(Presion_cilindro!$B$17+1)),0)-IF(Presion_cilindro!N415&gt;(-C$4+Presion_cilindro!$B$34),1-EXP(-Presion_cilindro!$B$16*((Presion_cilindro!N415-(-C$4+Presion_cilindro!$B$34))/Presion_cilindro!$B$35)^(Presion_cilindro!$B$17+1)),0))/((Presion_cilindro!O415+Presion_cilindro!O416)/2)</f>
        <v>16.565441606895469</v>
      </c>
      <c r="D424" s="27">
        <f>D423*(Presion_cilindro!O415/Presion_cilindro!O416)^Presion_cilindro!$B$9+10*(Presion_cilindro!$B$9-1)*Presion_cilindro!$B$33*(IF(Presion_cilindro!N416&gt;(-D$4+Presion_cilindro!$B$34),1-EXP(-Presion_cilindro!$B$16*((Presion_cilindro!N416-(-D$4+Presion_cilindro!$B$34))/Presion_cilindro!$B$35)^(Presion_cilindro!$B$17+1)),0)-IF(Presion_cilindro!N415&gt;(-D$4+Presion_cilindro!$B$34),1-EXP(-Presion_cilindro!$B$16*((Presion_cilindro!N415-(-D$4+Presion_cilindro!$B$34))/Presion_cilindro!$B$35)^(Presion_cilindro!$B$17+1)),0))/((Presion_cilindro!O415+Presion_cilindro!O416)/2)</f>
        <v>20.241265516219773</v>
      </c>
      <c r="E424" s="27">
        <f>E423*(Presion_cilindro!O415/Presion_cilindro!O416)^Presion_cilindro!$B$9+10*(Presion_cilindro!$B$9-1)*Presion_cilindro!$B$33*(IF(Presion_cilindro!N416&gt;(-E$4+Presion_cilindro!$B$34),1-EXP(-Presion_cilindro!$B$16*((Presion_cilindro!N416-(-E$4+Presion_cilindro!$B$34))/Presion_cilindro!$B$35)^(Presion_cilindro!$B$17+1)),0)-IF(Presion_cilindro!N415&gt;(-E$4+Presion_cilindro!$B$34),1-EXP(-Presion_cilindro!$B$16*((Presion_cilindro!N415-(-E$4+Presion_cilindro!$B$34))/Presion_cilindro!$B$35)^(Presion_cilindro!$B$17+1)),0))/((Presion_cilindro!O415+Presion_cilindro!O416)/2)</f>
        <v>23.223947480058456</v>
      </c>
      <c r="F424" s="27">
        <f>F423*(Presion_cilindro!O415/Presion_cilindro!O416)^Presion_cilindro!$B$9+10*(Presion_cilindro!$B$9-1)*Presion_cilindro!$B$33*(IF(Presion_cilindro!N416&gt;(-F$4+Presion_cilindro!$B$34),1-EXP(-Presion_cilindro!$B$16*((Presion_cilindro!N416-(-F$4+Presion_cilindro!$B$34))/Presion_cilindro!$B$35)^(Presion_cilindro!$B$17+1)),0)-IF(Presion_cilindro!N415&gt;(-F$4+Presion_cilindro!$B$34),1-EXP(-Presion_cilindro!$B$16*((Presion_cilindro!N415-(-F$4+Presion_cilindro!$B$34))/Presion_cilindro!$B$35)^(Presion_cilindro!$B$17+1)),0))/((Presion_cilindro!O415+Presion_cilindro!O416)/2)</f>
        <v>25.054129280288329</v>
      </c>
      <c r="G424" s="27">
        <f>G423*(Presion_cilindro!O415/Presion_cilindro!O416)^Presion_cilindro!$B$9+10*(Presion_cilindro!$B$9-1)*Presion_cilindro!$B$33*(IF(Presion_cilindro!N416&gt;(-G$4+Presion_cilindro!$B$34),1-EXP(-Presion_cilindro!$B$16*((Presion_cilindro!N416-(-G$4+Presion_cilindro!$B$34))/Presion_cilindro!$B$35)^(Presion_cilindro!$B$17+1)),0)-IF(Presion_cilindro!N415&gt;(-G$4+Presion_cilindro!$B$34),1-EXP(-Presion_cilindro!$B$16*((Presion_cilindro!N415-(-G$4+Presion_cilindro!$B$34))/Presion_cilindro!$B$35)^(Presion_cilindro!$B$17+1)),0))/((Presion_cilindro!O415+Presion_cilindro!O416)/2)</f>
        <v>25.847638324841562</v>
      </c>
      <c r="H424" s="27">
        <f>H423*(Presion_cilindro!O415/Presion_cilindro!O416)^Presion_cilindro!$B$9+10*(Presion_cilindro!$B$9-1)*Presion_cilindro!$B$33*(IF(Presion_cilindro!N416&gt;(-H$4+Presion_cilindro!$B$34),1-EXP(-Presion_cilindro!$B$16*((Presion_cilindro!N416-(-H$4+Presion_cilindro!$B$34))/Presion_cilindro!$B$35)^(Presion_cilindro!$B$17+1)),0)-IF(Presion_cilindro!N415&gt;(-H$4+Presion_cilindro!$B$34),1-EXP(-Presion_cilindro!$B$16*((Presion_cilindro!N415-(-H$4+Presion_cilindro!$B$34))/Presion_cilindro!$B$35)^(Presion_cilindro!$B$17+1)),0))/((Presion_cilindro!O415+Presion_cilindro!O416)/2)</f>
        <v>26.063894620446771</v>
      </c>
      <c r="I424" s="27">
        <f>I423*(Presion_cilindro!O415/Presion_cilindro!O416)^Presion_cilindro!$B$9+10*(Presion_cilindro!$B$9-1)*Presion_cilindro!$B$33*(IF(Presion_cilindro!N416&gt;(-I$4+Presion_cilindro!$B$34),1-EXP(-Presion_cilindro!$B$16*((Presion_cilindro!N416-(-I$4+Presion_cilindro!$B$34))/Presion_cilindro!$B$35)^(Presion_cilindro!$B$17+1)),0)-IF(Presion_cilindro!N415&gt;(-I$4+Presion_cilindro!$B$34),1-EXP(-Presion_cilindro!$B$16*((Presion_cilindro!N415-(-I$4+Presion_cilindro!$B$34))/Presion_cilindro!$B$35)^(Presion_cilindro!$B$17+1)),0))/((Presion_cilindro!O415+Presion_cilindro!O416)/2)</f>
        <v>26.140985120399598</v>
      </c>
      <c r="J424" s="27">
        <f>J423*(Presion_cilindro!O415/Presion_cilindro!O416)^Presion_cilindro!$B$9+10*(Presion_cilindro!$B$9-1)*Presion_cilindro!$B$33*(IF(Presion_cilindro!N416&gt;(-J$4+Presion_cilindro!$B$34),1-EXP(-Presion_cilindro!$B$16*((Presion_cilindro!N416-(-J$4+Presion_cilindro!$B$34))/Presion_cilindro!$B$35)^(Presion_cilindro!$B$17+1)),0)-IF(Presion_cilindro!N415&gt;(-J$4+Presion_cilindro!$B$34),1-EXP(-Presion_cilindro!$B$16*((Presion_cilindro!N415-(-J$4+Presion_cilindro!$B$34))/Presion_cilindro!$B$35)^(Presion_cilindro!$B$17+1)),0))/((Presion_cilindro!O415+Presion_cilindro!O416)/2)</f>
        <v>26.320531328202378</v>
      </c>
      <c r="K424" s="27">
        <f>K423*(Presion_cilindro!O415/Presion_cilindro!O416)^Presion_cilindro!$B$9+10*(Presion_cilindro!$B$9-1)*Presion_cilindro!$B$33*(IF(Presion_cilindro!N416&gt;(-K$4+Presion_cilindro!$B$34),1-EXP(-Presion_cilindro!$B$16*((Presion_cilindro!N416-(-K$4+Presion_cilindro!$B$34))/Presion_cilindro!$B$35)^(Presion_cilindro!$B$17+1)),0)-IF(Presion_cilindro!N415&gt;(-K$4+Presion_cilindro!$B$34),1-EXP(-Presion_cilindro!$B$16*((Presion_cilindro!N415-(-K$4+Presion_cilindro!$B$34))/Presion_cilindro!$B$35)^(Presion_cilindro!$B$17+1)),0))/((Presion_cilindro!O415+Presion_cilindro!O416)/2)</f>
        <v>26.679815901058596</v>
      </c>
      <c r="L424" s="27">
        <f>L423*(Presion_cilindro!O415/Presion_cilindro!O416)^Presion_cilindro!$B$9+10*(Presion_cilindro!$B$9-1)*Presion_cilindro!$B$33*(IF(Presion_cilindro!N416&gt;(-L$4+Presion_cilindro!$B$34),1-EXP(-Presion_cilindro!$B$16*((Presion_cilindro!N416-(-L$4+Presion_cilindro!$B$34))/Presion_cilindro!$B$35)^(Presion_cilindro!$B$17+1)),0)-IF(Presion_cilindro!N415&gt;(-L$4+Presion_cilindro!$B$34),1-EXP(-Presion_cilindro!$B$16*((Presion_cilindro!N415-(-L$4+Presion_cilindro!$B$34))/Presion_cilindro!$B$35)^(Presion_cilindro!$B$17+1)),0))/((Presion_cilindro!O415+Presion_cilindro!O416)/2)</f>
        <v>27.217655097311454</v>
      </c>
      <c r="M424" s="27">
        <f>M423*(Presion_cilindro!O415/Presion_cilindro!O416)^Presion_cilindro!$B$9+10*(Presion_cilindro!$B$9-1)*Presion_cilindro!$B$33*(IF(Presion_cilindro!N416&gt;(-M$4+Presion_cilindro!$B$34),1-EXP(-Presion_cilindro!$B$16*((Presion_cilindro!N416-(-M$4+Presion_cilindro!$B$34))/Presion_cilindro!$B$35)^(Presion_cilindro!$B$17+1)),0)-IF(Presion_cilindro!N415&gt;(-M$4+Presion_cilindro!$B$34),1-EXP(-Presion_cilindro!$B$16*((Presion_cilindro!N415-(-M$4+Presion_cilindro!$B$34))/Presion_cilindro!$B$35)^(Presion_cilindro!$B$17+1)),0))/((Presion_cilindro!O415+Presion_cilindro!O416)/2)</f>
        <v>27.9064735065752</v>
      </c>
      <c r="N424" s="27">
        <f>N423*(Presion_cilindro!O415/Presion_cilindro!O416)^Presion_cilindro!$B$9+10*(Presion_cilindro!$B$9-1)*Presion_cilindro!$B$33*(IF(Presion_cilindro!N416&gt;(-N$4+Presion_cilindro!$B$34),1-EXP(-Presion_cilindro!$B$16*((Presion_cilindro!N416-(-N$4+Presion_cilindro!$B$34))/Presion_cilindro!$B$35)^(Presion_cilindro!$B$17+1)),0)-IF(Presion_cilindro!N415&gt;(-N$4+Presion_cilindro!$B$34),1-EXP(-Presion_cilindro!$B$16*((Presion_cilindro!N415-(-N$4+Presion_cilindro!$B$34))/Presion_cilindro!$B$35)^(Presion_cilindro!$B$17+1)),0))/((Presion_cilindro!O415+Presion_cilindro!O416)/2)</f>
        <v>28.712120906828837</v>
      </c>
    </row>
    <row r="425" spans="1:14" x14ac:dyDescent="0.25">
      <c r="A425" s="21">
        <f>Presion_cilindro!N417</f>
        <v>26.5</v>
      </c>
      <c r="B425" s="27">
        <f>B424*(Presion_cilindro!O416/Presion_cilindro!O417)^Presion_cilindro!$B$9+10*(Presion_cilindro!$B$9-1)*Presion_cilindro!$B$33*(IF(Presion_cilindro!N417&gt;(-B$4+Presion_cilindro!$B$34),1-EXP(-Presion_cilindro!$B$16*((Presion_cilindro!N417-(-B$4+Presion_cilindro!$B$34))/Presion_cilindro!$B$35)^(Presion_cilindro!$B$17+1)),0)-IF(Presion_cilindro!N416&gt;(-B$4+Presion_cilindro!$B$34),1-EXP(-Presion_cilindro!$B$16*((Presion_cilindro!N416-(-B$4+Presion_cilindro!$B$34))/Presion_cilindro!$B$35)^(Presion_cilindro!$B$17+1)),0))/((Presion_cilindro!O416+Presion_cilindro!O417)/2)</f>
        <v>13.138642183593293</v>
      </c>
      <c r="C425" s="27">
        <f>C424*(Presion_cilindro!O416/Presion_cilindro!O417)^Presion_cilindro!$B$9+10*(Presion_cilindro!$B$9-1)*Presion_cilindro!$B$33*(IF(Presion_cilindro!N417&gt;(-C$4+Presion_cilindro!$B$34),1-EXP(-Presion_cilindro!$B$16*((Presion_cilindro!N417-(-C$4+Presion_cilindro!$B$34))/Presion_cilindro!$B$35)^(Presion_cilindro!$B$17+1)),0)-IF(Presion_cilindro!N416&gt;(-C$4+Presion_cilindro!$B$34),1-EXP(-Presion_cilindro!$B$16*((Presion_cilindro!N416-(-C$4+Presion_cilindro!$B$34))/Presion_cilindro!$B$35)^(Presion_cilindro!$B$17+1)),0))/((Presion_cilindro!O416+Presion_cilindro!O417)/2)</f>
        <v>16.66885408517841</v>
      </c>
      <c r="D425" s="27">
        <f>D424*(Presion_cilindro!O416/Presion_cilindro!O417)^Presion_cilindro!$B$9+10*(Presion_cilindro!$B$9-1)*Presion_cilindro!$B$33*(IF(Presion_cilindro!N417&gt;(-D$4+Presion_cilindro!$B$34),1-EXP(-Presion_cilindro!$B$16*((Presion_cilindro!N417-(-D$4+Presion_cilindro!$B$34))/Presion_cilindro!$B$35)^(Presion_cilindro!$B$17+1)),0)-IF(Presion_cilindro!N416&gt;(-D$4+Presion_cilindro!$B$34),1-EXP(-Presion_cilindro!$B$16*((Presion_cilindro!N416-(-D$4+Presion_cilindro!$B$34))/Presion_cilindro!$B$35)^(Presion_cilindro!$B$17+1)),0))/((Presion_cilindro!O416+Presion_cilindro!O417)/2)</f>
        <v>20.255842711327155</v>
      </c>
      <c r="E425" s="27">
        <f>E424*(Presion_cilindro!O416/Presion_cilindro!O417)^Presion_cilindro!$B$9+10*(Presion_cilindro!$B$9-1)*Presion_cilindro!$B$33*(IF(Presion_cilindro!N417&gt;(-E$4+Presion_cilindro!$B$34),1-EXP(-Presion_cilindro!$B$16*((Presion_cilindro!N417-(-E$4+Presion_cilindro!$B$34))/Presion_cilindro!$B$35)^(Presion_cilindro!$B$17+1)),0)-IF(Presion_cilindro!N416&gt;(-E$4+Presion_cilindro!$B$34),1-EXP(-Presion_cilindro!$B$16*((Presion_cilindro!N416-(-E$4+Presion_cilindro!$B$34))/Presion_cilindro!$B$35)^(Presion_cilindro!$B$17+1)),0))/((Presion_cilindro!O416+Presion_cilindro!O417)/2)</f>
        <v>23.087010327294145</v>
      </c>
      <c r="F425" s="27">
        <f>F424*(Presion_cilindro!O416/Presion_cilindro!O417)^Presion_cilindro!$B$9+10*(Presion_cilindro!$B$9-1)*Presion_cilindro!$B$33*(IF(Presion_cilindro!N417&gt;(-F$4+Presion_cilindro!$B$34),1-EXP(-Presion_cilindro!$B$16*((Presion_cilindro!N417-(-F$4+Presion_cilindro!$B$34))/Presion_cilindro!$B$35)^(Presion_cilindro!$B$17+1)),0)-IF(Presion_cilindro!N416&gt;(-F$4+Presion_cilindro!$B$34),1-EXP(-Presion_cilindro!$B$16*((Presion_cilindro!N416-(-F$4+Presion_cilindro!$B$34))/Presion_cilindro!$B$35)^(Presion_cilindro!$B$17+1)),0))/((Presion_cilindro!O416+Presion_cilindro!O417)/2)</f>
        <v>24.764324281026653</v>
      </c>
      <c r="G425" s="27">
        <f>G424*(Presion_cilindro!O416/Presion_cilindro!O417)^Presion_cilindro!$B$9+10*(Presion_cilindro!$B$9-1)*Presion_cilindro!$B$33*(IF(Presion_cilindro!N417&gt;(-G$4+Presion_cilindro!$B$34),1-EXP(-Presion_cilindro!$B$16*((Presion_cilindro!N417-(-G$4+Presion_cilindro!$B$34))/Presion_cilindro!$B$35)^(Presion_cilindro!$B$17+1)),0)-IF(Presion_cilindro!N416&gt;(-G$4+Presion_cilindro!$B$34),1-EXP(-Presion_cilindro!$B$16*((Presion_cilindro!N416-(-G$4+Presion_cilindro!$B$34))/Presion_cilindro!$B$35)^(Presion_cilindro!$B$17+1)),0))/((Presion_cilindro!O416+Presion_cilindro!O417)/2)</f>
        <v>25.451627208970539</v>
      </c>
      <c r="H425" s="27">
        <f>H424*(Presion_cilindro!O416/Presion_cilindro!O417)^Presion_cilindro!$B$9+10*(Presion_cilindro!$B$9-1)*Presion_cilindro!$B$33*(IF(Presion_cilindro!N417&gt;(-H$4+Presion_cilindro!$B$34),1-EXP(-Presion_cilindro!$B$16*((Presion_cilindro!N417-(-H$4+Presion_cilindro!$B$34))/Presion_cilindro!$B$35)^(Presion_cilindro!$B$17+1)),0)-IF(Presion_cilindro!N416&gt;(-H$4+Presion_cilindro!$B$34),1-EXP(-Presion_cilindro!$B$16*((Presion_cilindro!N416-(-H$4+Presion_cilindro!$B$34))/Presion_cilindro!$B$35)^(Presion_cilindro!$B$17+1)),0))/((Presion_cilindro!O416+Presion_cilindro!O417)/2)</f>
        <v>25.615427365628221</v>
      </c>
      <c r="I425" s="27">
        <f>I424*(Presion_cilindro!O416/Presion_cilindro!O417)^Presion_cilindro!$B$9+10*(Presion_cilindro!$B$9-1)*Presion_cilindro!$B$33*(IF(Presion_cilindro!N417&gt;(-I$4+Presion_cilindro!$B$34),1-EXP(-Presion_cilindro!$B$16*((Presion_cilindro!N417-(-I$4+Presion_cilindro!$B$34))/Presion_cilindro!$B$35)^(Presion_cilindro!$B$17+1)),0)-IF(Presion_cilindro!N416&gt;(-I$4+Presion_cilindro!$B$34),1-EXP(-Presion_cilindro!$B$16*((Presion_cilindro!N416-(-I$4+Presion_cilindro!$B$34))/Presion_cilindro!$B$35)^(Presion_cilindro!$B$17+1)),0))/((Presion_cilindro!O416+Presion_cilindro!O417)/2)</f>
        <v>25.673125271594596</v>
      </c>
      <c r="J425" s="27">
        <f>J424*(Presion_cilindro!O416/Presion_cilindro!O417)^Presion_cilindro!$B$9+10*(Presion_cilindro!$B$9-1)*Presion_cilindro!$B$33*(IF(Presion_cilindro!N417&gt;(-J$4+Presion_cilindro!$B$34),1-EXP(-Presion_cilindro!$B$16*((Presion_cilindro!N417-(-J$4+Presion_cilindro!$B$34))/Presion_cilindro!$B$35)^(Presion_cilindro!$B$17+1)),0)-IF(Presion_cilindro!N416&gt;(-J$4+Presion_cilindro!$B$34),1-EXP(-Presion_cilindro!$B$16*((Presion_cilindro!N416-(-J$4+Presion_cilindro!$B$34))/Presion_cilindro!$B$35)^(Presion_cilindro!$B$17+1)),0))/((Presion_cilindro!O416+Presion_cilindro!O417)/2)</f>
        <v>25.844765957273353</v>
      </c>
      <c r="K425" s="27">
        <f>K424*(Presion_cilindro!O416/Presion_cilindro!O417)^Presion_cilindro!$B$9+10*(Presion_cilindro!$B$9-1)*Presion_cilindro!$B$33*(IF(Presion_cilindro!N417&gt;(-K$4+Presion_cilindro!$B$34),1-EXP(-Presion_cilindro!$B$16*((Presion_cilindro!N417-(-K$4+Presion_cilindro!$B$34))/Presion_cilindro!$B$35)^(Presion_cilindro!$B$17+1)),0)-IF(Presion_cilindro!N416&gt;(-K$4+Presion_cilindro!$B$34),1-EXP(-Presion_cilindro!$B$16*((Presion_cilindro!N416-(-K$4+Presion_cilindro!$B$34))/Presion_cilindro!$B$35)^(Presion_cilindro!$B$17+1)),0))/((Presion_cilindro!O416+Presion_cilindro!O417)/2)</f>
        <v>26.19671692396841</v>
      </c>
      <c r="L425" s="27">
        <f>L424*(Presion_cilindro!O416/Presion_cilindro!O417)^Presion_cilindro!$B$9+10*(Presion_cilindro!$B$9-1)*Presion_cilindro!$B$33*(IF(Presion_cilindro!N417&gt;(-L$4+Presion_cilindro!$B$34),1-EXP(-Presion_cilindro!$B$16*((Presion_cilindro!N417-(-L$4+Presion_cilindro!$B$34))/Presion_cilindro!$B$35)^(Presion_cilindro!$B$17+1)),0)-IF(Presion_cilindro!N416&gt;(-L$4+Presion_cilindro!$B$34),1-EXP(-Presion_cilindro!$B$16*((Presion_cilindro!N416-(-L$4+Presion_cilindro!$B$34))/Presion_cilindro!$B$35)^(Presion_cilindro!$B$17+1)),0))/((Presion_cilindro!O416+Presion_cilindro!O417)/2)</f>
        <v>26.724716372921659</v>
      </c>
      <c r="M425" s="27">
        <f>M424*(Presion_cilindro!O416/Presion_cilindro!O417)^Presion_cilindro!$B$9+10*(Presion_cilindro!$B$9-1)*Presion_cilindro!$B$33*(IF(Presion_cilindro!N417&gt;(-M$4+Presion_cilindro!$B$34),1-EXP(-Presion_cilindro!$B$16*((Presion_cilindro!N417-(-M$4+Presion_cilindro!$B$34))/Presion_cilindro!$B$35)^(Presion_cilindro!$B$17+1)),0)-IF(Presion_cilindro!N416&gt;(-M$4+Presion_cilindro!$B$34),1-EXP(-Presion_cilindro!$B$16*((Presion_cilindro!N416-(-M$4+Presion_cilindro!$B$34))/Presion_cilindro!$B$35)^(Presion_cilindro!$B$17+1)),0))/((Presion_cilindro!O416+Presion_cilindro!O417)/2)</f>
        <v>27.401051627277376</v>
      </c>
      <c r="N425" s="27">
        <f>N424*(Presion_cilindro!O416/Presion_cilindro!O417)^Presion_cilindro!$B$9+10*(Presion_cilindro!$B$9-1)*Presion_cilindro!$B$33*(IF(Presion_cilindro!N417&gt;(-N$4+Presion_cilindro!$B$34),1-EXP(-Presion_cilindro!$B$16*((Presion_cilindro!N417-(-N$4+Presion_cilindro!$B$34))/Presion_cilindro!$B$35)^(Presion_cilindro!$B$17+1)),0)-IF(Presion_cilindro!N416&gt;(-N$4+Presion_cilindro!$B$34),1-EXP(-Presion_cilindro!$B$16*((Presion_cilindro!N416-(-N$4+Presion_cilindro!$B$34))/Presion_cilindro!$B$35)^(Presion_cilindro!$B$17+1)),0))/((Presion_cilindro!O416+Presion_cilindro!O417)/2)</f>
        <v>28.192107321137104</v>
      </c>
    </row>
    <row r="426" spans="1:14" x14ac:dyDescent="0.25">
      <c r="A426" s="21">
        <f>Presion_cilindro!N418</f>
        <v>27</v>
      </c>
      <c r="B426" s="27">
        <f>B425*(Presion_cilindro!O417/Presion_cilindro!O418)^Presion_cilindro!$B$9+10*(Presion_cilindro!$B$9-1)*Presion_cilindro!$B$33*(IF(Presion_cilindro!N418&gt;(-B$4+Presion_cilindro!$B$34),1-EXP(-Presion_cilindro!$B$16*((Presion_cilindro!N418-(-B$4+Presion_cilindro!$B$34))/Presion_cilindro!$B$35)^(Presion_cilindro!$B$17+1)),0)-IF(Presion_cilindro!N417&gt;(-B$4+Presion_cilindro!$B$34),1-EXP(-Presion_cilindro!$B$16*((Presion_cilindro!N417-(-B$4+Presion_cilindro!$B$34))/Presion_cilindro!$B$35)^(Presion_cilindro!$B$17+1)),0))/((Presion_cilindro!O417+Presion_cilindro!O418)/2)</f>
        <v>13.242328056944068</v>
      </c>
      <c r="C426" s="27">
        <f>C425*(Presion_cilindro!O417/Presion_cilindro!O418)^Presion_cilindro!$B$9+10*(Presion_cilindro!$B$9-1)*Presion_cilindro!$B$33*(IF(Presion_cilindro!N418&gt;(-C$4+Presion_cilindro!$B$34),1-EXP(-Presion_cilindro!$B$16*((Presion_cilindro!N418-(-C$4+Presion_cilindro!$B$34))/Presion_cilindro!$B$35)^(Presion_cilindro!$B$17+1)),0)-IF(Presion_cilindro!N417&gt;(-C$4+Presion_cilindro!$B$34),1-EXP(-Presion_cilindro!$B$16*((Presion_cilindro!N417-(-C$4+Presion_cilindro!$B$34))/Presion_cilindro!$B$35)^(Presion_cilindro!$B$17+1)),0))/((Presion_cilindro!O417+Presion_cilindro!O418)/2)</f>
        <v>16.765945933784185</v>
      </c>
      <c r="D426" s="27">
        <f>D425*(Presion_cilindro!O417/Presion_cilindro!O418)^Presion_cilindro!$B$9+10*(Presion_cilindro!$B$9-1)*Presion_cilindro!$B$33*(IF(Presion_cilindro!N418&gt;(-D$4+Presion_cilindro!$B$34),1-EXP(-Presion_cilindro!$B$16*((Presion_cilindro!N418-(-D$4+Presion_cilindro!$B$34))/Presion_cilindro!$B$35)^(Presion_cilindro!$B$17+1)),0)-IF(Presion_cilindro!N417&gt;(-D$4+Presion_cilindro!$B$34),1-EXP(-Presion_cilindro!$B$16*((Presion_cilindro!N417-(-D$4+Presion_cilindro!$B$34))/Presion_cilindro!$B$35)^(Presion_cilindro!$B$17+1)),0))/((Presion_cilindro!O417+Presion_cilindro!O418)/2)</f>
        <v>20.256946585956268</v>
      </c>
      <c r="E426" s="27">
        <f>E425*(Presion_cilindro!O417/Presion_cilindro!O418)^Presion_cilindro!$B$9+10*(Presion_cilindro!$B$9-1)*Presion_cilindro!$B$33*(IF(Presion_cilindro!N418&gt;(-E$4+Presion_cilindro!$B$34),1-EXP(-Presion_cilindro!$B$16*((Presion_cilindro!N418-(-E$4+Presion_cilindro!$B$34))/Presion_cilindro!$B$35)^(Presion_cilindro!$B$17+1)),0)-IF(Presion_cilindro!N417&gt;(-E$4+Presion_cilindro!$B$34),1-EXP(-Presion_cilindro!$B$16*((Presion_cilindro!N417-(-E$4+Presion_cilindro!$B$34))/Presion_cilindro!$B$35)^(Presion_cilindro!$B$17+1)),0))/((Presion_cilindro!O417+Presion_cilindro!O418)/2)</f>
        <v>22.935652718156696</v>
      </c>
      <c r="F426" s="27">
        <f>F425*(Presion_cilindro!O417/Presion_cilindro!O418)^Presion_cilindro!$B$9+10*(Presion_cilindro!$B$9-1)*Presion_cilindro!$B$33*(IF(Presion_cilindro!N418&gt;(-F$4+Presion_cilindro!$B$34),1-EXP(-Presion_cilindro!$B$16*((Presion_cilindro!N418-(-F$4+Presion_cilindro!$B$34))/Presion_cilindro!$B$35)^(Presion_cilindro!$B$17+1)),0)-IF(Presion_cilindro!N417&gt;(-F$4+Presion_cilindro!$B$34),1-EXP(-Presion_cilindro!$B$16*((Presion_cilindro!N417-(-F$4+Presion_cilindro!$B$34))/Presion_cilindro!$B$35)^(Presion_cilindro!$B$17+1)),0))/((Presion_cilindro!O417+Presion_cilindro!O418)/2)</f>
        <v>24.465379358757829</v>
      </c>
      <c r="G426" s="27">
        <f>G425*(Presion_cilindro!O417/Presion_cilindro!O418)^Presion_cilindro!$B$9+10*(Presion_cilindro!$B$9-1)*Presion_cilindro!$B$33*(IF(Presion_cilindro!N418&gt;(-G$4+Presion_cilindro!$B$34),1-EXP(-Presion_cilindro!$B$16*((Presion_cilindro!N418-(-G$4+Presion_cilindro!$B$34))/Presion_cilindro!$B$35)^(Presion_cilindro!$B$17+1)),0)-IF(Presion_cilindro!N417&gt;(-G$4+Presion_cilindro!$B$34),1-EXP(-Presion_cilindro!$B$16*((Presion_cilindro!N417-(-G$4+Presion_cilindro!$B$34))/Presion_cilindro!$B$35)^(Presion_cilindro!$B$17+1)),0))/((Presion_cilindro!O417+Presion_cilindro!O418)/2)</f>
        <v>25.053829746379407</v>
      </c>
      <c r="H426" s="27">
        <f>H425*(Presion_cilindro!O417/Presion_cilindro!O418)^Presion_cilindro!$B$9+10*(Presion_cilindro!$B$9-1)*Presion_cilindro!$B$33*(IF(Presion_cilindro!N418&gt;(-H$4+Presion_cilindro!$B$34),1-EXP(-Presion_cilindro!$B$16*((Presion_cilindro!N418-(-H$4+Presion_cilindro!$B$34))/Presion_cilindro!$B$35)^(Presion_cilindro!$B$17+1)),0)-IF(Presion_cilindro!N417&gt;(-H$4+Presion_cilindro!$B$34),1-EXP(-Presion_cilindro!$B$16*((Presion_cilindro!N417-(-H$4+Presion_cilindro!$B$34))/Presion_cilindro!$B$35)^(Presion_cilindro!$B$17+1)),0))/((Presion_cilindro!O417+Presion_cilindro!O418)/2)</f>
        <v>25.170604454518109</v>
      </c>
      <c r="I426" s="27">
        <f>I425*(Presion_cilindro!O417/Presion_cilindro!O418)^Presion_cilindro!$B$9+10*(Presion_cilindro!$B$9-1)*Presion_cilindro!$B$33*(IF(Presion_cilindro!N418&gt;(-I$4+Presion_cilindro!$B$34),1-EXP(-Presion_cilindro!$B$16*((Presion_cilindro!N418-(-I$4+Presion_cilindro!$B$34))/Presion_cilindro!$B$35)^(Presion_cilindro!$B$17+1)),0)-IF(Presion_cilindro!N417&gt;(-I$4+Presion_cilindro!$B$34),1-EXP(-Presion_cilindro!$B$16*((Presion_cilindro!N417-(-I$4+Presion_cilindro!$B$34))/Presion_cilindro!$B$35)^(Presion_cilindro!$B$17+1)),0))/((Presion_cilindro!O417+Presion_cilindro!O418)/2)</f>
        <v>25.211492825321848</v>
      </c>
      <c r="J426" s="27">
        <f>J425*(Presion_cilindro!O417/Presion_cilindro!O418)^Presion_cilindro!$B$9+10*(Presion_cilindro!$B$9-1)*Presion_cilindro!$B$33*(IF(Presion_cilindro!N418&gt;(-J$4+Presion_cilindro!$B$34),1-EXP(-Presion_cilindro!$B$16*((Presion_cilindro!N418-(-J$4+Presion_cilindro!$B$34))/Presion_cilindro!$B$35)^(Presion_cilindro!$B$17+1)),0)-IF(Presion_cilindro!N417&gt;(-J$4+Presion_cilindro!$B$34),1-EXP(-Presion_cilindro!$B$16*((Presion_cilindro!N417-(-J$4+Presion_cilindro!$B$34))/Presion_cilindro!$B$35)^(Presion_cilindro!$B$17+1)),0))/((Presion_cilindro!O417+Presion_cilindro!O418)/2)</f>
        <v>25.376087265535457</v>
      </c>
      <c r="K426" s="27">
        <f>K425*(Presion_cilindro!O417/Presion_cilindro!O418)^Presion_cilindro!$B$9+10*(Presion_cilindro!$B$9-1)*Presion_cilindro!$B$33*(IF(Presion_cilindro!N418&gt;(-K$4+Presion_cilindro!$B$34),1-EXP(-Presion_cilindro!$B$16*((Presion_cilindro!N418-(-K$4+Presion_cilindro!$B$34))/Presion_cilindro!$B$35)^(Presion_cilindro!$B$17+1)),0)-IF(Presion_cilindro!N417&gt;(-K$4+Presion_cilindro!$B$34),1-EXP(-Presion_cilindro!$B$16*((Presion_cilindro!N417-(-K$4+Presion_cilindro!$B$34))/Presion_cilindro!$B$35)^(Presion_cilindro!$B$17+1)),0))/((Presion_cilindro!O417+Presion_cilindro!O418)/2)</f>
        <v>25.720974261528376</v>
      </c>
      <c r="L426" s="27">
        <f>L425*(Presion_cilindro!O417/Presion_cilindro!O418)^Presion_cilindro!$B$9+10*(Presion_cilindro!$B$9-1)*Presion_cilindro!$B$33*(IF(Presion_cilindro!N418&gt;(-L$4+Presion_cilindro!$B$34),1-EXP(-Presion_cilindro!$B$16*((Presion_cilindro!N418-(-L$4+Presion_cilindro!$B$34))/Presion_cilindro!$B$35)^(Presion_cilindro!$B$17+1)),0)-IF(Presion_cilindro!N417&gt;(-L$4+Presion_cilindro!$B$34),1-EXP(-Presion_cilindro!$B$16*((Presion_cilindro!N417-(-L$4+Presion_cilindro!$B$34))/Presion_cilindro!$B$35)^(Presion_cilindro!$B$17+1)),0))/((Presion_cilindro!O417+Presion_cilindro!O418)/2)</f>
        <v>26.239306335603768</v>
      </c>
      <c r="M426" s="27">
        <f>M425*(Presion_cilindro!O417/Presion_cilindro!O418)^Presion_cilindro!$B$9+10*(Presion_cilindro!$B$9-1)*Presion_cilindro!$B$33*(IF(Presion_cilindro!N418&gt;(-M$4+Presion_cilindro!$B$34),1-EXP(-Presion_cilindro!$B$16*((Presion_cilindro!N418-(-M$4+Presion_cilindro!$B$34))/Presion_cilindro!$B$35)^(Presion_cilindro!$B$17+1)),0)-IF(Presion_cilindro!N417&gt;(-M$4+Presion_cilindro!$B$34),1-EXP(-Presion_cilindro!$B$16*((Presion_cilindro!N417-(-M$4+Presion_cilindro!$B$34))/Presion_cilindro!$B$35)^(Presion_cilindro!$B$17+1)),0))/((Presion_cilindro!O417+Presion_cilindro!O418)/2)</f>
        <v>26.903351133608997</v>
      </c>
      <c r="N426" s="27">
        <f>N425*(Presion_cilindro!O417/Presion_cilindro!O418)^Presion_cilindro!$B$9+10*(Presion_cilindro!$B$9-1)*Presion_cilindro!$B$33*(IF(Presion_cilindro!N418&gt;(-N$4+Presion_cilindro!$B$34),1-EXP(-Presion_cilindro!$B$16*((Presion_cilindro!N418-(-N$4+Presion_cilindro!$B$34))/Presion_cilindro!$B$35)^(Presion_cilindro!$B$17+1)),0)-IF(Presion_cilindro!N417&gt;(-N$4+Presion_cilindro!$B$34),1-EXP(-Presion_cilindro!$B$16*((Presion_cilindro!N417-(-N$4+Presion_cilindro!$B$34))/Presion_cilindro!$B$35)^(Presion_cilindro!$B$17+1)),0))/((Presion_cilindro!O417+Presion_cilindro!O418)/2)</f>
        <v>27.680038156915931</v>
      </c>
    </row>
    <row r="427" spans="1:14" x14ac:dyDescent="0.25">
      <c r="A427" s="21">
        <f>Presion_cilindro!N419</f>
        <v>27.5</v>
      </c>
      <c r="B427" s="27">
        <f>B426*(Presion_cilindro!O418/Presion_cilindro!O419)^Presion_cilindro!$B$9+10*(Presion_cilindro!$B$9-1)*Presion_cilindro!$B$33*(IF(Presion_cilindro!N419&gt;(-B$4+Presion_cilindro!$B$34),1-EXP(-Presion_cilindro!$B$16*((Presion_cilindro!N419-(-B$4+Presion_cilindro!$B$34))/Presion_cilindro!$B$35)^(Presion_cilindro!$B$17+1)),0)-IF(Presion_cilindro!N418&gt;(-B$4+Presion_cilindro!$B$34),1-EXP(-Presion_cilindro!$B$16*((Presion_cilindro!N418-(-B$4+Presion_cilindro!$B$34))/Presion_cilindro!$B$35)^(Presion_cilindro!$B$17+1)),0))/((Presion_cilindro!O418+Presion_cilindro!O419)/2)</f>
        <v>13.347881930030095</v>
      </c>
      <c r="C427" s="27">
        <f>C426*(Presion_cilindro!O418/Presion_cilindro!O419)^Presion_cilindro!$B$9+10*(Presion_cilindro!$B$9-1)*Presion_cilindro!$B$33*(IF(Presion_cilindro!N419&gt;(-C$4+Presion_cilindro!$B$34),1-EXP(-Presion_cilindro!$B$16*((Presion_cilindro!N419-(-C$4+Presion_cilindro!$B$34))/Presion_cilindro!$B$35)^(Presion_cilindro!$B$17+1)),0)-IF(Presion_cilindro!N418&gt;(-C$4+Presion_cilindro!$B$34),1-EXP(-Presion_cilindro!$B$16*((Presion_cilindro!N418-(-C$4+Presion_cilindro!$B$34))/Presion_cilindro!$B$35)^(Presion_cilindro!$B$17+1)),0))/((Presion_cilindro!O418+Presion_cilindro!O419)/2)</f>
        <v>16.856040194642457</v>
      </c>
      <c r="D427" s="27">
        <f>D426*(Presion_cilindro!O418/Presion_cilindro!O419)^Presion_cilindro!$B$9+10*(Presion_cilindro!$B$9-1)*Presion_cilindro!$B$33*(IF(Presion_cilindro!N419&gt;(-D$4+Presion_cilindro!$B$34),1-EXP(-Presion_cilindro!$B$16*((Presion_cilindro!N419-(-D$4+Presion_cilindro!$B$34))/Presion_cilindro!$B$35)^(Presion_cilindro!$B$17+1)),0)-IF(Presion_cilindro!N418&gt;(-D$4+Presion_cilindro!$B$34),1-EXP(-Presion_cilindro!$B$16*((Presion_cilindro!N418-(-D$4+Presion_cilindro!$B$34))/Presion_cilindro!$B$35)^(Presion_cilindro!$B$17+1)),0))/((Presion_cilindro!O418+Presion_cilindro!O419)/2)</f>
        <v>20.244496666752067</v>
      </c>
      <c r="E427" s="27">
        <f>E426*(Presion_cilindro!O418/Presion_cilindro!O419)^Presion_cilindro!$B$9+10*(Presion_cilindro!$B$9-1)*Presion_cilindro!$B$33*(IF(Presion_cilindro!N419&gt;(-E$4+Presion_cilindro!$B$34),1-EXP(-Presion_cilindro!$B$16*((Presion_cilindro!N419-(-E$4+Presion_cilindro!$B$34))/Presion_cilindro!$B$35)^(Presion_cilindro!$B$17+1)),0)-IF(Presion_cilindro!N418&gt;(-E$4+Presion_cilindro!$B$34),1-EXP(-Presion_cilindro!$B$16*((Presion_cilindro!N418-(-E$4+Presion_cilindro!$B$34))/Presion_cilindro!$B$35)^(Presion_cilindro!$B$17+1)),0))/((Presion_cilindro!O418+Presion_cilindro!O419)/2)</f>
        <v>22.770541967031654</v>
      </c>
      <c r="F427" s="27">
        <f>F426*(Presion_cilindro!O418/Presion_cilindro!O419)^Presion_cilindro!$B$9+10*(Presion_cilindro!$B$9-1)*Presion_cilindro!$B$33*(IF(Presion_cilindro!N419&gt;(-F$4+Presion_cilindro!$B$34),1-EXP(-Presion_cilindro!$B$16*((Presion_cilindro!N419-(-F$4+Presion_cilindro!$B$34))/Presion_cilindro!$B$35)^(Presion_cilindro!$B$17+1)),0)-IF(Presion_cilindro!N418&gt;(-F$4+Presion_cilindro!$B$34),1-EXP(-Presion_cilindro!$B$16*((Presion_cilindro!N418-(-F$4+Presion_cilindro!$B$34))/Presion_cilindro!$B$35)^(Presion_cilindro!$B$17+1)),0))/((Presion_cilindro!O418+Presion_cilindro!O419)/2)</f>
        <v>24.158336489466514</v>
      </c>
      <c r="G427" s="27">
        <f>G426*(Presion_cilindro!O418/Presion_cilindro!O419)^Presion_cilindro!$B$9+10*(Presion_cilindro!$B$9-1)*Presion_cilindro!$B$33*(IF(Presion_cilindro!N419&gt;(-G$4+Presion_cilindro!$B$34),1-EXP(-Presion_cilindro!$B$16*((Presion_cilindro!N419-(-G$4+Presion_cilindro!$B$34))/Presion_cilindro!$B$35)^(Presion_cilindro!$B$17+1)),0)-IF(Presion_cilindro!N418&gt;(-G$4+Presion_cilindro!$B$34),1-EXP(-Presion_cilindro!$B$16*((Presion_cilindro!N418-(-G$4+Presion_cilindro!$B$34))/Presion_cilindro!$B$35)^(Presion_cilindro!$B$17+1)),0))/((Presion_cilindro!O418+Presion_cilindro!O419)/2)</f>
        <v>24.655142651452493</v>
      </c>
      <c r="H427" s="27">
        <f>H426*(Presion_cilindro!O418/Presion_cilindro!O419)^Presion_cilindro!$B$9+10*(Presion_cilindro!$B$9-1)*Presion_cilindro!$B$33*(IF(Presion_cilindro!N419&gt;(-H$4+Presion_cilindro!$B$34),1-EXP(-Presion_cilindro!$B$16*((Presion_cilindro!N419-(-H$4+Presion_cilindro!$B$34))/Presion_cilindro!$B$35)^(Presion_cilindro!$B$17+1)),0)-IF(Presion_cilindro!N418&gt;(-H$4+Presion_cilindro!$B$34),1-EXP(-Presion_cilindro!$B$16*((Presion_cilindro!N418-(-H$4+Presion_cilindro!$B$34))/Presion_cilindro!$B$35)^(Presion_cilindro!$B$17+1)),0))/((Presion_cilindro!O418+Presion_cilindro!O419)/2)</f>
        <v>24.72995718740059</v>
      </c>
      <c r="I427" s="27">
        <f>I426*(Presion_cilindro!O418/Presion_cilindro!O419)^Presion_cilindro!$B$9+10*(Presion_cilindro!$B$9-1)*Presion_cilindro!$B$33*(IF(Presion_cilindro!N419&gt;(-I$4+Presion_cilindro!$B$34),1-EXP(-Presion_cilindro!$B$16*((Presion_cilindro!N419-(-I$4+Presion_cilindro!$B$34))/Presion_cilindro!$B$35)^(Presion_cilindro!$B$17+1)),0)-IF(Presion_cilindro!N418&gt;(-I$4+Presion_cilindro!$B$34),1-EXP(-Presion_cilindro!$B$16*((Presion_cilindro!N418-(-I$4+Presion_cilindro!$B$34))/Presion_cilindro!$B$35)^(Presion_cilindro!$B$17+1)),0))/((Presion_cilindro!O418+Presion_cilindro!O419)/2)</f>
        <v>24.75634706858024</v>
      </c>
      <c r="J427" s="27">
        <f>J426*(Presion_cilindro!O418/Presion_cilindro!O419)^Presion_cilindro!$B$9+10*(Presion_cilindro!$B$9-1)*Presion_cilindro!$B$33*(IF(Presion_cilindro!N419&gt;(-J$4+Presion_cilindro!$B$34),1-EXP(-Presion_cilindro!$B$16*((Presion_cilindro!N419-(-J$4+Presion_cilindro!$B$34))/Presion_cilindro!$B$35)^(Presion_cilindro!$B$17+1)),0)-IF(Presion_cilindro!N418&gt;(-J$4+Presion_cilindro!$B$34),1-EXP(-Presion_cilindro!$B$16*((Presion_cilindro!N418-(-J$4+Presion_cilindro!$B$34))/Presion_cilindro!$B$35)^(Presion_cilindro!$B$17+1)),0))/((Presion_cilindro!O418+Presion_cilindro!O419)/2)</f>
        <v>24.914640604074034</v>
      </c>
      <c r="K427" s="27">
        <f>K426*(Presion_cilindro!O418/Presion_cilindro!O419)^Presion_cilindro!$B$9+10*(Presion_cilindro!$B$9-1)*Presion_cilindro!$B$33*(IF(Presion_cilindro!N419&gt;(-K$4+Presion_cilindro!$B$34),1-EXP(-Presion_cilindro!$B$16*((Presion_cilindro!N419-(-K$4+Presion_cilindro!$B$34))/Presion_cilindro!$B$35)^(Presion_cilindro!$B$17+1)),0)-IF(Presion_cilindro!N418&gt;(-K$4+Presion_cilindro!$B$34),1-EXP(-Presion_cilindro!$B$16*((Presion_cilindro!N418-(-K$4+Presion_cilindro!$B$34))/Presion_cilindro!$B$35)^(Presion_cilindro!$B$17+1)),0))/((Presion_cilindro!O418+Presion_cilindro!O419)/2)</f>
        <v>25.252704776719145</v>
      </c>
      <c r="L427" s="27">
        <f>L426*(Presion_cilindro!O418/Presion_cilindro!O419)^Presion_cilindro!$B$9+10*(Presion_cilindro!$B$9-1)*Presion_cilindro!$B$33*(IF(Presion_cilindro!N419&gt;(-L$4+Presion_cilindro!$B$34),1-EXP(-Presion_cilindro!$B$16*((Presion_cilindro!N419-(-L$4+Presion_cilindro!$B$34))/Presion_cilindro!$B$35)^(Presion_cilindro!$B$17+1)),0)-IF(Presion_cilindro!N418&gt;(-L$4+Presion_cilindro!$B$34),1-EXP(-Presion_cilindro!$B$16*((Presion_cilindro!N418-(-L$4+Presion_cilindro!$B$34))/Presion_cilindro!$B$35)^(Presion_cilindro!$B$17+1)),0))/((Presion_cilindro!O418+Presion_cilindro!O419)/2)</f>
        <v>25.761539133662662</v>
      </c>
      <c r="M427" s="27">
        <f>M426*(Presion_cilindro!O418/Presion_cilindro!O419)^Presion_cilindro!$B$9+10*(Presion_cilindro!$B$9-1)*Presion_cilindro!$B$33*(IF(Presion_cilindro!N419&gt;(-M$4+Presion_cilindro!$B$34),1-EXP(-Presion_cilindro!$B$16*((Presion_cilindro!N419-(-M$4+Presion_cilindro!$B$34))/Presion_cilindro!$B$35)^(Presion_cilindro!$B$17+1)),0)-IF(Presion_cilindro!N418&gt;(-M$4+Presion_cilindro!$B$34),1-EXP(-Presion_cilindro!$B$16*((Presion_cilindro!N418-(-M$4+Presion_cilindro!$B$34))/Presion_cilindro!$B$35)^(Presion_cilindro!$B$17+1)),0))/((Presion_cilindro!O418+Presion_cilindro!O419)/2)</f>
        <v>26.413488532326291</v>
      </c>
      <c r="N427" s="27">
        <f>N426*(Presion_cilindro!O418/Presion_cilindro!O419)^Presion_cilindro!$B$9+10*(Presion_cilindro!$B$9-1)*Presion_cilindro!$B$33*(IF(Presion_cilindro!N419&gt;(-N$4+Presion_cilindro!$B$34),1-EXP(-Presion_cilindro!$B$16*((Presion_cilindro!N419-(-N$4+Presion_cilindro!$B$34))/Presion_cilindro!$B$35)^(Presion_cilindro!$B$17+1)),0)-IF(Presion_cilindro!N418&gt;(-N$4+Presion_cilindro!$B$34),1-EXP(-Presion_cilindro!$B$16*((Presion_cilindro!N418-(-N$4+Presion_cilindro!$B$34))/Presion_cilindro!$B$35)^(Presion_cilindro!$B$17+1)),0))/((Presion_cilindro!O418+Presion_cilindro!O419)/2)</f>
        <v>27.176033250043069</v>
      </c>
    </row>
    <row r="428" spans="1:14" x14ac:dyDescent="0.25">
      <c r="A428" s="21">
        <f>Presion_cilindro!N420</f>
        <v>28</v>
      </c>
      <c r="B428" s="27">
        <f>B427*(Presion_cilindro!O419/Presion_cilindro!O420)^Presion_cilindro!$B$9+10*(Presion_cilindro!$B$9-1)*Presion_cilindro!$B$33*(IF(Presion_cilindro!N420&gt;(-B$4+Presion_cilindro!$B$34),1-EXP(-Presion_cilindro!$B$16*((Presion_cilindro!N420-(-B$4+Presion_cilindro!$B$34))/Presion_cilindro!$B$35)^(Presion_cilindro!$B$17+1)),0)-IF(Presion_cilindro!N419&gt;(-B$4+Presion_cilindro!$B$34),1-EXP(-Presion_cilindro!$B$16*((Presion_cilindro!N419-(-B$4+Presion_cilindro!$B$34))/Presion_cilindro!$B$35)^(Presion_cilindro!$B$17+1)),0))/((Presion_cilindro!O419+Presion_cilindro!O420)/2)</f>
        <v>13.454533999207083</v>
      </c>
      <c r="C428" s="27">
        <f>C427*(Presion_cilindro!O419/Presion_cilindro!O420)^Presion_cilindro!$B$9+10*(Presion_cilindro!$B$9-1)*Presion_cilindro!$B$33*(IF(Presion_cilindro!N420&gt;(-C$4+Presion_cilindro!$B$34),1-EXP(-Presion_cilindro!$B$16*((Presion_cilindro!N420-(-C$4+Presion_cilindro!$B$34))/Presion_cilindro!$B$35)^(Presion_cilindro!$B$17+1)),0)-IF(Presion_cilindro!N419&gt;(-C$4+Presion_cilindro!$B$34),1-EXP(-Presion_cilindro!$B$16*((Presion_cilindro!N419-(-C$4+Presion_cilindro!$B$34))/Presion_cilindro!$B$35)^(Presion_cilindro!$B$17+1)),0))/((Presion_cilindro!O419+Presion_cilindro!O420)/2)</f>
        <v>16.938505061149399</v>
      </c>
      <c r="D428" s="27">
        <f>D427*(Presion_cilindro!O419/Presion_cilindro!O420)^Presion_cilindro!$B$9+10*(Presion_cilindro!$B$9-1)*Presion_cilindro!$B$33*(IF(Presion_cilindro!N420&gt;(-D$4+Presion_cilindro!$B$34),1-EXP(-Presion_cilindro!$B$16*((Presion_cilindro!N420-(-D$4+Presion_cilindro!$B$34))/Presion_cilindro!$B$35)^(Presion_cilindro!$B$17+1)),0)-IF(Presion_cilindro!N419&gt;(-D$4+Presion_cilindro!$B$34),1-EXP(-Presion_cilindro!$B$16*((Presion_cilindro!N419-(-D$4+Presion_cilindro!$B$34))/Presion_cilindro!$B$35)^(Presion_cilindro!$B$17+1)),0))/((Presion_cilindro!O419+Presion_cilindro!O420)/2)</f>
        <v>20.218484606970641</v>
      </c>
      <c r="E428" s="27">
        <f>E427*(Presion_cilindro!O419/Presion_cilindro!O420)^Presion_cilindro!$B$9+10*(Presion_cilindro!$B$9-1)*Presion_cilindro!$B$33*(IF(Presion_cilindro!N420&gt;(-E$4+Presion_cilindro!$B$34),1-EXP(-Presion_cilindro!$B$16*((Presion_cilindro!N420-(-E$4+Presion_cilindro!$B$34))/Presion_cilindro!$B$35)^(Presion_cilindro!$B$17+1)),0)-IF(Presion_cilindro!N419&gt;(-E$4+Presion_cilindro!$B$34),1-EXP(-Presion_cilindro!$B$16*((Presion_cilindro!N419-(-E$4+Presion_cilindro!$B$34))/Presion_cilindro!$B$35)^(Presion_cilindro!$B$17+1)),0))/((Presion_cilindro!O419+Presion_cilindro!O420)/2)</f>
        <v>22.592387244489267</v>
      </c>
      <c r="F428" s="27">
        <f>F427*(Presion_cilindro!O419/Presion_cilindro!O420)^Presion_cilindro!$B$9+10*(Presion_cilindro!$B$9-1)*Presion_cilindro!$B$33*(IF(Presion_cilindro!N420&gt;(-F$4+Presion_cilindro!$B$34),1-EXP(-Presion_cilindro!$B$16*((Presion_cilindro!N420-(-F$4+Presion_cilindro!$B$34))/Presion_cilindro!$B$35)^(Presion_cilindro!$B$17+1)),0)-IF(Presion_cilindro!N419&gt;(-F$4+Presion_cilindro!$B$34),1-EXP(-Presion_cilindro!$B$16*((Presion_cilindro!N419-(-F$4+Presion_cilindro!$B$34))/Presion_cilindro!$B$35)^(Presion_cilindro!$B$17+1)),0))/((Presion_cilindro!O419+Presion_cilindro!O420)/2)</f>
        <v>23.84421623852236</v>
      </c>
      <c r="G428" s="27">
        <f>G427*(Presion_cilindro!O419/Presion_cilindro!O420)^Presion_cilindro!$B$9+10*(Presion_cilindro!$B$9-1)*Presion_cilindro!$B$33*(IF(Presion_cilindro!N420&gt;(-G$4+Presion_cilindro!$B$34),1-EXP(-Presion_cilindro!$B$16*((Presion_cilindro!N420-(-G$4+Presion_cilindro!$B$34))/Presion_cilindro!$B$35)^(Presion_cilindro!$B$17+1)),0)-IF(Presion_cilindro!N419&gt;(-G$4+Presion_cilindro!$B$34),1-EXP(-Presion_cilindro!$B$16*((Presion_cilindro!N419-(-G$4+Presion_cilindro!$B$34))/Presion_cilindro!$B$35)^(Presion_cilindro!$B$17+1)),0))/((Presion_cilindro!O419+Presion_cilindro!O420)/2)</f>
        <v>24.256401039331205</v>
      </c>
      <c r="H428" s="27">
        <f>H427*(Presion_cilindro!O419/Presion_cilindro!O420)^Presion_cilindro!$B$9+10*(Presion_cilindro!$B$9-1)*Presion_cilindro!$B$33*(IF(Presion_cilindro!N420&gt;(-H$4+Presion_cilindro!$B$34),1-EXP(-Presion_cilindro!$B$16*((Presion_cilindro!N420-(-H$4+Presion_cilindro!$B$34))/Presion_cilindro!$B$35)^(Presion_cilindro!$B$17+1)),0)-IF(Presion_cilindro!N419&gt;(-H$4+Presion_cilindro!$B$34),1-EXP(-Presion_cilindro!$B$16*((Presion_cilindro!N419-(-H$4+Presion_cilindro!$B$34))/Presion_cilindro!$B$35)^(Presion_cilindro!$B$17+1)),0))/((Presion_cilindro!O419+Presion_cilindro!O420)/2)</f>
        <v>24.293957508844937</v>
      </c>
      <c r="I428" s="27">
        <f>I427*(Presion_cilindro!O419/Presion_cilindro!O420)^Presion_cilindro!$B$9+10*(Presion_cilindro!$B$9-1)*Presion_cilindro!$B$33*(IF(Presion_cilindro!N420&gt;(-I$4+Presion_cilindro!$B$34),1-EXP(-Presion_cilindro!$B$16*((Presion_cilindro!N420-(-I$4+Presion_cilindro!$B$34))/Presion_cilindro!$B$35)^(Presion_cilindro!$B$17+1)),0)-IF(Presion_cilindro!N419&gt;(-I$4+Presion_cilindro!$B$34),1-EXP(-Presion_cilindro!$B$16*((Presion_cilindro!N419-(-I$4+Presion_cilindro!$B$34))/Presion_cilindro!$B$35)^(Presion_cilindro!$B$17+1)),0))/((Presion_cilindro!O419+Presion_cilindro!O420)/2)</f>
        <v>24.307907523481909</v>
      </c>
      <c r="J428" s="27">
        <f>J427*(Presion_cilindro!O419/Presion_cilindro!O420)^Presion_cilindro!$B$9+10*(Presion_cilindro!$B$9-1)*Presion_cilindro!$B$33*(IF(Presion_cilindro!N420&gt;(-J$4+Presion_cilindro!$B$34),1-EXP(-Presion_cilindro!$B$16*((Presion_cilindro!N420-(-J$4+Presion_cilindro!$B$34))/Presion_cilindro!$B$35)^(Presion_cilindro!$B$17+1)),0)-IF(Presion_cilindro!N419&gt;(-J$4+Presion_cilindro!$B$34),1-EXP(-Presion_cilindro!$B$16*((Presion_cilindro!N419-(-J$4+Presion_cilindro!$B$34))/Presion_cilindro!$B$35)^(Presion_cilindro!$B$17+1)),0))/((Presion_cilindro!O419+Presion_cilindro!O420)/2)</f>
        <v>24.460544941974479</v>
      </c>
      <c r="K428" s="27">
        <f>K427*(Presion_cilindro!O419/Presion_cilindro!O420)^Presion_cilindro!$B$9+10*(Presion_cilindro!$B$9-1)*Presion_cilindro!$B$33*(IF(Presion_cilindro!N420&gt;(-K$4+Presion_cilindro!$B$34),1-EXP(-Presion_cilindro!$B$16*((Presion_cilindro!N420-(-K$4+Presion_cilindro!$B$34))/Presion_cilindro!$B$35)^(Presion_cilindro!$B$17+1)),0)-IF(Presion_cilindro!N419&gt;(-K$4+Presion_cilindro!$B$34),1-EXP(-Presion_cilindro!$B$16*((Presion_cilindro!N419-(-K$4+Presion_cilindro!$B$34))/Presion_cilindro!$B$35)^(Presion_cilindro!$B$17+1)),0))/((Presion_cilindro!O419+Presion_cilindro!O420)/2)</f>
        <v>24.792003408332061</v>
      </c>
      <c r="L428" s="27">
        <f>L427*(Presion_cilindro!O419/Presion_cilindro!O420)^Presion_cilindro!$B$9+10*(Presion_cilindro!$B$9-1)*Presion_cilindro!$B$33*(IF(Presion_cilindro!N420&gt;(-L$4+Presion_cilindro!$B$34),1-EXP(-Presion_cilindro!$B$16*((Presion_cilindro!N420-(-L$4+Presion_cilindro!$B$34))/Presion_cilindro!$B$35)^(Presion_cilindro!$B$17+1)),0)-IF(Presion_cilindro!N419&gt;(-L$4+Presion_cilindro!$B$34),1-EXP(-Presion_cilindro!$B$16*((Presion_cilindro!N419-(-L$4+Presion_cilindro!$B$34))/Presion_cilindro!$B$35)^(Presion_cilindro!$B$17+1)),0))/((Presion_cilindro!O419+Presion_cilindro!O420)/2)</f>
        <v>25.291507543208475</v>
      </c>
      <c r="M428" s="27">
        <f>M427*(Presion_cilindro!O419/Presion_cilindro!O420)^Presion_cilindro!$B$9+10*(Presion_cilindro!$B$9-1)*Presion_cilindro!$B$33*(IF(Presion_cilindro!N420&gt;(-M$4+Presion_cilindro!$B$34),1-EXP(-Presion_cilindro!$B$16*((Presion_cilindro!N420-(-M$4+Presion_cilindro!$B$34))/Presion_cilindro!$B$35)^(Presion_cilindro!$B$17+1)),0)-IF(Presion_cilindro!N419&gt;(-M$4+Presion_cilindro!$B$34),1-EXP(-Presion_cilindro!$B$16*((Presion_cilindro!N419-(-M$4+Presion_cilindro!$B$34))/Presion_cilindro!$B$35)^(Presion_cilindro!$B$17+1)),0))/((Presion_cilindro!O419+Presion_cilindro!O420)/2)</f>
        <v>25.93155854069791</v>
      </c>
      <c r="N428" s="27">
        <f>N427*(Presion_cilindro!O419/Presion_cilindro!O420)^Presion_cilindro!$B$9+10*(Presion_cilindro!$B$9-1)*Presion_cilindro!$B$33*(IF(Presion_cilindro!N420&gt;(-N$4+Presion_cilindro!$B$34),1-EXP(-Presion_cilindro!$B$16*((Presion_cilindro!N420-(-N$4+Presion_cilindro!$B$34))/Presion_cilindro!$B$35)^(Presion_cilindro!$B$17+1)),0)-IF(Presion_cilindro!N419&gt;(-N$4+Presion_cilindro!$B$34),1-EXP(-Presion_cilindro!$B$16*((Presion_cilindro!N419-(-N$4+Presion_cilindro!$B$34))/Presion_cilindro!$B$35)^(Presion_cilindro!$B$17+1)),0))/((Presion_cilindro!O419+Presion_cilindro!O420)/2)</f>
        <v>26.680190027122933</v>
      </c>
    </row>
    <row r="429" spans="1:14" x14ac:dyDescent="0.25">
      <c r="A429" s="21">
        <f>Presion_cilindro!N421</f>
        <v>28.5</v>
      </c>
      <c r="B429" s="27">
        <f>B428*(Presion_cilindro!O420/Presion_cilindro!O421)^Presion_cilindro!$B$9+10*(Presion_cilindro!$B$9-1)*Presion_cilindro!$B$33*(IF(Presion_cilindro!N421&gt;(-B$4+Presion_cilindro!$B$34),1-EXP(-Presion_cilindro!$B$16*((Presion_cilindro!N421-(-B$4+Presion_cilindro!$B$34))/Presion_cilindro!$B$35)^(Presion_cilindro!$B$17+1)),0)-IF(Presion_cilindro!N420&gt;(-B$4+Presion_cilindro!$B$34),1-EXP(-Presion_cilindro!$B$16*((Presion_cilindro!N420-(-B$4+Presion_cilindro!$B$34))/Presion_cilindro!$B$35)^(Presion_cilindro!$B$17+1)),0))/((Presion_cilindro!O420+Presion_cilindro!O421)/2)</f>
        <v>13.56151311072249</v>
      </c>
      <c r="C429" s="27">
        <f>C428*(Presion_cilindro!O420/Presion_cilindro!O421)^Presion_cilindro!$B$9+10*(Presion_cilindro!$B$9-1)*Presion_cilindro!$B$33*(IF(Presion_cilindro!N421&gt;(-C$4+Presion_cilindro!$B$34),1-EXP(-Presion_cilindro!$B$16*((Presion_cilindro!N421-(-C$4+Presion_cilindro!$B$34))/Presion_cilindro!$B$35)^(Presion_cilindro!$B$17+1)),0)-IF(Presion_cilindro!N420&gt;(-C$4+Presion_cilindro!$B$34),1-EXP(-Presion_cilindro!$B$16*((Presion_cilindro!N420-(-C$4+Presion_cilindro!$B$34))/Presion_cilindro!$B$35)^(Presion_cilindro!$B$17+1)),0))/((Presion_cilindro!O420+Presion_cilindro!O421)/2)</f>
        <v>17.012757639901384</v>
      </c>
      <c r="D429" s="27">
        <f>D428*(Presion_cilindro!O420/Presion_cilindro!O421)^Presion_cilindro!$B$9+10*(Presion_cilindro!$B$9-1)*Presion_cilindro!$B$33*(IF(Presion_cilindro!N421&gt;(-D$4+Presion_cilindro!$B$34),1-EXP(-Presion_cilindro!$B$16*((Presion_cilindro!N421-(-D$4+Presion_cilindro!$B$34))/Presion_cilindro!$B$35)^(Presion_cilindro!$B$17+1)),0)-IF(Presion_cilindro!N420&gt;(-D$4+Presion_cilindro!$B$34),1-EXP(-Presion_cilindro!$B$16*((Presion_cilindro!N420-(-D$4+Presion_cilindro!$B$34))/Presion_cilindro!$B$35)^(Presion_cilindro!$B$17+1)),0))/((Presion_cilindro!O420+Presion_cilindro!O421)/2)</f>
        <v>20.17897249678369</v>
      </c>
      <c r="E429" s="27">
        <f>E428*(Presion_cilindro!O420/Presion_cilindro!O421)^Presion_cilindro!$B$9+10*(Presion_cilindro!$B$9-1)*Presion_cilindro!$B$33*(IF(Presion_cilindro!N421&gt;(-E$4+Presion_cilindro!$B$34),1-EXP(-Presion_cilindro!$B$16*((Presion_cilindro!N421-(-E$4+Presion_cilindro!$B$34))/Presion_cilindro!$B$35)^(Presion_cilindro!$B$17+1)),0)-IF(Presion_cilindro!N420&gt;(-E$4+Presion_cilindro!$B$34),1-EXP(-Presion_cilindro!$B$16*((Presion_cilindro!N420-(-E$4+Presion_cilindro!$B$34))/Presion_cilindro!$B$35)^(Presion_cilindro!$B$17+1)),0))/((Presion_cilindro!O420+Presion_cilindro!O421)/2)</f>
        <v>22.401933062878616</v>
      </c>
      <c r="F429" s="27">
        <f>F428*(Presion_cilindro!O420/Presion_cilindro!O421)^Presion_cilindro!$B$9+10*(Presion_cilindro!$B$9-1)*Presion_cilindro!$B$33*(IF(Presion_cilindro!N421&gt;(-F$4+Presion_cilindro!$B$34),1-EXP(-Presion_cilindro!$B$16*((Presion_cilindro!N421-(-F$4+Presion_cilindro!$B$34))/Presion_cilindro!$B$35)^(Presion_cilindro!$B$17+1)),0)-IF(Presion_cilindro!N420&gt;(-F$4+Presion_cilindro!$B$34),1-EXP(-Presion_cilindro!$B$16*((Presion_cilindro!N420-(-F$4+Presion_cilindro!$B$34))/Presion_cilindro!$B$35)^(Presion_cilindro!$B$17+1)),0))/((Presion_cilindro!O420+Presion_cilindro!O421)/2)</f>
        <v>23.524012392798003</v>
      </c>
      <c r="G429" s="27">
        <f>G428*(Presion_cilindro!O420/Presion_cilindro!O421)^Presion_cilindro!$B$9+10*(Presion_cilindro!$B$9-1)*Presion_cilindro!$B$33*(IF(Presion_cilindro!N421&gt;(-G$4+Presion_cilindro!$B$34),1-EXP(-Presion_cilindro!$B$16*((Presion_cilindro!N421-(-G$4+Presion_cilindro!$B$34))/Presion_cilindro!$B$35)^(Presion_cilindro!$B$17+1)),0)-IF(Presion_cilindro!N420&gt;(-G$4+Presion_cilindro!$B$34),1-EXP(-Presion_cilindro!$B$16*((Presion_cilindro!N420-(-G$4+Presion_cilindro!$B$34))/Presion_cilindro!$B$35)^(Presion_cilindro!$B$17+1)),0))/((Presion_cilindro!O420+Presion_cilindro!O421)/2)</f>
        <v>23.858378320498456</v>
      </c>
      <c r="H429" s="27">
        <f>H428*(Presion_cilindro!O420/Presion_cilindro!O421)^Presion_cilindro!$B$9+10*(Presion_cilindro!$B$9-1)*Presion_cilindro!$B$33*(IF(Presion_cilindro!N421&gt;(-H$4+Presion_cilindro!$B$34),1-EXP(-Presion_cilindro!$B$16*((Presion_cilindro!N421-(-H$4+Presion_cilindro!$B$34))/Presion_cilindro!$B$35)^(Presion_cilindro!$B$17+1)),0)-IF(Presion_cilindro!N420&gt;(-H$4+Presion_cilindro!$B$34),1-EXP(-Presion_cilindro!$B$16*((Presion_cilindro!N420-(-H$4+Presion_cilindro!$B$34))/Presion_cilindro!$B$35)^(Presion_cilindro!$B$17+1)),0))/((Presion_cilindro!O420+Presion_cilindro!O421)/2)</f>
        <v>23.863021341854235</v>
      </c>
      <c r="I429" s="27">
        <f>I428*(Presion_cilindro!O420/Presion_cilindro!O421)^Presion_cilindro!$B$9+10*(Presion_cilindro!$B$9-1)*Presion_cilindro!$B$33*(IF(Presion_cilindro!N421&gt;(-I$4+Presion_cilindro!$B$34),1-EXP(-Presion_cilindro!$B$16*((Presion_cilindro!N421-(-I$4+Presion_cilindro!$B$34))/Presion_cilindro!$B$35)^(Presion_cilindro!$B$17+1)),0)-IF(Presion_cilindro!N420&gt;(-I$4+Presion_cilindro!$B$34),1-EXP(-Presion_cilindro!$B$16*((Presion_cilindro!N420-(-I$4+Presion_cilindro!$B$34))/Presion_cilindro!$B$35)^(Presion_cilindro!$B$17+1)),0))/((Presion_cilindro!O420+Presion_cilindro!O421)/2)</f>
        <v>23.866357240720099</v>
      </c>
      <c r="J429" s="27">
        <f>J428*(Presion_cilindro!O420/Presion_cilindro!O421)^Presion_cilindro!$B$9+10*(Presion_cilindro!$B$9-1)*Presion_cilindro!$B$33*(IF(Presion_cilindro!N421&gt;(-J$4+Presion_cilindro!$B$34),1-EXP(-Presion_cilindro!$B$16*((Presion_cilindro!N421-(-J$4+Presion_cilindro!$B$34))/Presion_cilindro!$B$35)^(Presion_cilindro!$B$17+1)),0)-IF(Presion_cilindro!N420&gt;(-J$4+Presion_cilindro!$B$34),1-EXP(-Presion_cilindro!$B$16*((Presion_cilindro!N420-(-J$4+Presion_cilindro!$B$34))/Presion_cilindro!$B$35)^(Presion_cilindro!$B$17+1)),0))/((Presion_cilindro!O420+Presion_cilindro!O421)/2)</f>
        <v>24.013895020784929</v>
      </c>
      <c r="K429" s="27">
        <f>K428*(Presion_cilindro!O420/Presion_cilindro!O421)^Presion_cilindro!$B$9+10*(Presion_cilindro!$B$9-1)*Presion_cilindro!$B$33*(IF(Presion_cilindro!N421&gt;(-K$4+Presion_cilindro!$B$34),1-EXP(-Presion_cilindro!$B$16*((Presion_cilindro!N421-(-K$4+Presion_cilindro!$B$34))/Presion_cilindro!$B$35)^(Presion_cilindro!$B$17+1)),0)-IF(Presion_cilindro!N420&gt;(-K$4+Presion_cilindro!$B$34),1-EXP(-Presion_cilindro!$B$16*((Presion_cilindro!N420-(-K$4+Presion_cilindro!$B$34))/Presion_cilindro!$B$35)^(Presion_cilindro!$B$17+1)),0))/((Presion_cilindro!O420+Presion_cilindro!O421)/2)</f>
        <v>24.338944696367488</v>
      </c>
      <c r="L429" s="27">
        <f>L428*(Presion_cilindro!O420/Presion_cilindro!O421)^Presion_cilindro!$B$9+10*(Presion_cilindro!$B$9-1)*Presion_cilindro!$B$33*(IF(Presion_cilindro!N421&gt;(-L$4+Presion_cilindro!$B$34),1-EXP(-Presion_cilindro!$B$16*((Presion_cilindro!N421-(-L$4+Presion_cilindro!$B$34))/Presion_cilindro!$B$35)^(Presion_cilindro!$B$17+1)),0)-IF(Presion_cilindro!N420&gt;(-L$4+Presion_cilindro!$B$34),1-EXP(-Presion_cilindro!$B$16*((Presion_cilindro!N420-(-L$4+Presion_cilindro!$B$34))/Presion_cilindro!$B$35)^(Presion_cilindro!$B$17+1)),0))/((Presion_cilindro!O420+Presion_cilindro!O421)/2)</f>
        <v>24.82928434518039</v>
      </c>
      <c r="M429" s="27">
        <f>M428*(Presion_cilindro!O420/Presion_cilindro!O421)^Presion_cilindro!$B$9+10*(Presion_cilindro!$B$9-1)*Presion_cilindro!$B$33*(IF(Presion_cilindro!N421&gt;(-M$4+Presion_cilindro!$B$34),1-EXP(-Presion_cilindro!$B$16*((Presion_cilindro!N421-(-M$4+Presion_cilindro!$B$34))/Presion_cilindro!$B$35)^(Presion_cilindro!$B$17+1)),0)-IF(Presion_cilindro!N420&gt;(-M$4+Presion_cilindro!$B$34),1-EXP(-Presion_cilindro!$B$16*((Presion_cilindro!N420-(-M$4+Presion_cilindro!$B$34))/Presion_cilindro!$B$35)^(Presion_cilindro!$B$17+1)),0))/((Presion_cilindro!O420+Presion_cilindro!O421)/2)</f>
        <v>25.457635471113878</v>
      </c>
      <c r="N429" s="27">
        <f>N428*(Presion_cilindro!O420/Presion_cilindro!O421)^Presion_cilindro!$B$9+10*(Presion_cilindro!$B$9-1)*Presion_cilindro!$B$33*(IF(Presion_cilindro!N421&gt;(-N$4+Presion_cilindro!$B$34),1-EXP(-Presion_cilindro!$B$16*((Presion_cilindro!N421-(-N$4+Presion_cilindro!$B$34))/Presion_cilindro!$B$35)^(Presion_cilindro!$B$17+1)),0)-IF(Presion_cilindro!N420&gt;(-N$4+Presion_cilindro!$B$34),1-EXP(-Presion_cilindro!$B$16*((Presion_cilindro!N420-(-N$4+Presion_cilindro!$B$34))/Presion_cilindro!$B$35)^(Presion_cilindro!$B$17+1)),0))/((Presion_cilindro!O420+Presion_cilindro!O421)/2)</f>
        <v>26.192584927663916</v>
      </c>
    </row>
    <row r="430" spans="1:14" x14ac:dyDescent="0.25">
      <c r="A430" s="21">
        <f>Presion_cilindro!N422</f>
        <v>29</v>
      </c>
      <c r="B430" s="27">
        <f>B429*(Presion_cilindro!O421/Presion_cilindro!O422)^Presion_cilindro!$B$9+10*(Presion_cilindro!$B$9-1)*Presion_cilindro!$B$33*(IF(Presion_cilindro!N422&gt;(-B$4+Presion_cilindro!$B$34),1-EXP(-Presion_cilindro!$B$16*((Presion_cilindro!N422-(-B$4+Presion_cilindro!$B$34))/Presion_cilindro!$B$35)^(Presion_cilindro!$B$17+1)),0)-IF(Presion_cilindro!N421&gt;(-B$4+Presion_cilindro!$B$34),1-EXP(-Presion_cilindro!$B$16*((Presion_cilindro!N421-(-B$4+Presion_cilindro!$B$34))/Presion_cilindro!$B$35)^(Presion_cilindro!$B$17+1)),0))/((Presion_cilindro!O421+Presion_cilindro!O422)/2)</f>
        <v>13.668051754133097</v>
      </c>
      <c r="C430" s="27">
        <f>C429*(Presion_cilindro!O421/Presion_cilindro!O422)^Presion_cilindro!$B$9+10*(Presion_cilindro!$B$9-1)*Presion_cilindro!$B$33*(IF(Presion_cilindro!N422&gt;(-C$4+Presion_cilindro!$B$34),1-EXP(-Presion_cilindro!$B$16*((Presion_cilindro!N422-(-C$4+Presion_cilindro!$B$34))/Presion_cilindro!$B$35)^(Presion_cilindro!$B$17+1)),0)-IF(Presion_cilindro!N421&gt;(-C$4+Presion_cilindro!$B$34),1-EXP(-Presion_cilindro!$B$16*((Presion_cilindro!N421-(-C$4+Presion_cilindro!$B$34))/Presion_cilindro!$B$35)^(Presion_cilindro!$B$17+1)),0))/((Presion_cilindro!O421+Presion_cilindro!O422)/2)</f>
        <v>17.078267257123979</v>
      </c>
      <c r="D430" s="27">
        <f>D429*(Presion_cilindro!O421/Presion_cilindro!O422)^Presion_cilindro!$B$9+10*(Presion_cilindro!$B$9-1)*Presion_cilindro!$B$33*(IF(Presion_cilindro!N422&gt;(-D$4+Presion_cilindro!$B$34),1-EXP(-Presion_cilindro!$B$16*((Presion_cilindro!N422-(-D$4+Presion_cilindro!$B$34))/Presion_cilindro!$B$35)^(Presion_cilindro!$B$17+1)),0)-IF(Presion_cilindro!N421&gt;(-D$4+Presion_cilindro!$B$34),1-EXP(-Presion_cilindro!$B$16*((Presion_cilindro!N421-(-D$4+Presion_cilindro!$B$34))/Presion_cilindro!$B$35)^(Presion_cilindro!$B$17+1)),0))/((Presion_cilindro!O421+Presion_cilindro!O422)/2)</f>
        <v>20.126090611738991</v>
      </c>
      <c r="E430" s="27">
        <f>E429*(Presion_cilindro!O421/Presion_cilindro!O422)^Presion_cilindro!$B$9+10*(Presion_cilindro!$B$9-1)*Presion_cilindro!$B$33*(IF(Presion_cilindro!N422&gt;(-E$4+Presion_cilindro!$B$34),1-EXP(-Presion_cilindro!$B$16*((Presion_cilindro!N422-(-E$4+Presion_cilindro!$B$34))/Presion_cilindro!$B$35)^(Presion_cilindro!$B$17+1)),0)-IF(Presion_cilindro!N421&gt;(-E$4+Presion_cilindro!$B$34),1-EXP(-Presion_cilindro!$B$16*((Presion_cilindro!N421-(-E$4+Presion_cilindro!$B$34))/Presion_cilindro!$B$35)^(Presion_cilindro!$B$17+1)),0))/((Presion_cilindro!O421+Presion_cilindro!O422)/2)</f>
        <v>22.199952739529781</v>
      </c>
      <c r="F430" s="27">
        <f>F429*(Presion_cilindro!O421/Presion_cilindro!O422)^Presion_cilindro!$B$9+10*(Presion_cilindro!$B$9-1)*Presion_cilindro!$B$33*(IF(Presion_cilindro!N422&gt;(-F$4+Presion_cilindro!$B$34),1-EXP(-Presion_cilindro!$B$16*((Presion_cilindro!N422-(-F$4+Presion_cilindro!$B$34))/Presion_cilindro!$B$35)^(Presion_cilindro!$B$17+1)),0)-IF(Presion_cilindro!N421&gt;(-F$4+Presion_cilindro!$B$34),1-EXP(-Presion_cilindro!$B$16*((Presion_cilindro!N421-(-F$4+Presion_cilindro!$B$34))/Presion_cilindro!$B$35)^(Presion_cilindro!$B$17+1)),0))/((Presion_cilindro!O421+Presion_cilindro!O422)/2)</f>
        <v>23.19868718478476</v>
      </c>
      <c r="G430" s="27">
        <f>G429*(Presion_cilindro!O421/Presion_cilindro!O422)^Presion_cilindro!$B$9+10*(Presion_cilindro!$B$9-1)*Presion_cilindro!$B$33*(IF(Presion_cilindro!N422&gt;(-G$4+Presion_cilindro!$B$34),1-EXP(-Presion_cilindro!$B$16*((Presion_cilindro!N422-(-G$4+Presion_cilindro!$B$34))/Presion_cilindro!$B$35)^(Presion_cilindro!$B$17+1)),0)-IF(Presion_cilindro!N421&gt;(-G$4+Presion_cilindro!$B$34),1-EXP(-Presion_cilindro!$B$16*((Presion_cilindro!N421-(-G$4+Presion_cilindro!$B$34))/Presion_cilindro!$B$35)^(Presion_cilindro!$B$17+1)),0))/((Presion_cilindro!O421+Presion_cilindro!O422)/2)</f>
        <v>23.461786650410257</v>
      </c>
      <c r="H430" s="27">
        <f>H429*(Presion_cilindro!O421/Presion_cilindro!O422)^Presion_cilindro!$B$9+10*(Presion_cilindro!$B$9-1)*Presion_cilindro!$B$33*(IF(Presion_cilindro!N422&gt;(-H$4+Presion_cilindro!$B$34),1-EXP(-Presion_cilindro!$B$16*((Presion_cilindro!N422-(-H$4+Presion_cilindro!$B$34))/Presion_cilindro!$B$35)^(Presion_cilindro!$B$17+1)),0)-IF(Presion_cilindro!N421&gt;(-H$4+Presion_cilindro!$B$34),1-EXP(-Presion_cilindro!$B$16*((Presion_cilindro!N421-(-H$4+Presion_cilindro!$B$34))/Presion_cilindro!$B$35)^(Presion_cilindro!$B$17+1)),0))/((Presion_cilindro!O421+Presion_cilindro!O422)/2)</f>
        <v>23.437512020644785</v>
      </c>
      <c r="I430" s="27">
        <f>I429*(Presion_cilindro!O421/Presion_cilindro!O422)^Presion_cilindro!$B$9+10*(Presion_cilindro!$B$9-1)*Presion_cilindro!$B$33*(IF(Presion_cilindro!N422&gt;(-I$4+Presion_cilindro!$B$34),1-EXP(-Presion_cilindro!$B$16*((Presion_cilindro!N422-(-I$4+Presion_cilindro!$B$34))/Presion_cilindro!$B$35)^(Presion_cilindro!$B$17+1)),0)-IF(Presion_cilindro!N421&gt;(-I$4+Presion_cilindro!$B$34),1-EXP(-Presion_cilindro!$B$16*((Presion_cilindro!N421-(-I$4+Presion_cilindro!$B$34))/Presion_cilindro!$B$35)^(Presion_cilindro!$B$17+1)),0))/((Presion_cilindro!O421+Presion_cilindro!O422)/2)</f>
        <v>23.431845936059563</v>
      </c>
      <c r="J430" s="27">
        <f>J429*(Presion_cilindro!O421/Presion_cilindro!O422)^Presion_cilindro!$B$9+10*(Presion_cilindro!$B$9-1)*Presion_cilindro!$B$33*(IF(Presion_cilindro!N422&gt;(-J$4+Presion_cilindro!$B$34),1-EXP(-Presion_cilindro!$B$16*((Presion_cilindro!N422-(-J$4+Presion_cilindro!$B$34))/Presion_cilindro!$B$35)^(Presion_cilindro!$B$17+1)),0)-IF(Presion_cilindro!N421&gt;(-J$4+Presion_cilindro!$B$34),1-EXP(-Presion_cilindro!$B$16*((Presion_cilindro!N421-(-J$4+Presion_cilindro!$B$34))/Presion_cilindro!$B$35)^(Presion_cilindro!$B$17+1)),0))/((Presion_cilindro!O421+Presion_cilindro!O422)/2)</f>
        <v>23.574763371515342</v>
      </c>
      <c r="K430" s="27">
        <f>K429*(Presion_cilindro!O421/Presion_cilindro!O422)^Presion_cilindro!$B$9+10*(Presion_cilindro!$B$9-1)*Presion_cilindro!$B$33*(IF(Presion_cilindro!N422&gt;(-K$4+Presion_cilindro!$B$34),1-EXP(-Presion_cilindro!$B$16*((Presion_cilindro!N422-(-K$4+Presion_cilindro!$B$34))/Presion_cilindro!$B$35)^(Presion_cilindro!$B$17+1)),0)-IF(Presion_cilindro!N421&gt;(-K$4+Presion_cilindro!$B$34),1-EXP(-Presion_cilindro!$B$16*((Presion_cilindro!N421-(-K$4+Presion_cilindro!$B$34))/Presion_cilindro!$B$35)^(Presion_cilindro!$B$17+1)),0))/((Presion_cilindro!O421+Presion_cilindro!O422)/2)</f>
        <v>23.893584238016977</v>
      </c>
      <c r="L430" s="27">
        <f>L429*(Presion_cilindro!O421/Presion_cilindro!O422)^Presion_cilindro!$B$9+10*(Presion_cilindro!$B$9-1)*Presion_cilindro!$B$33*(IF(Presion_cilindro!N422&gt;(-L$4+Presion_cilindro!$B$34),1-EXP(-Presion_cilindro!$B$16*((Presion_cilindro!N422-(-L$4+Presion_cilindro!$B$34))/Presion_cilindro!$B$35)^(Presion_cilindro!$B$17+1)),0)-IF(Presion_cilindro!N421&gt;(-L$4+Presion_cilindro!$B$34),1-EXP(-Presion_cilindro!$B$16*((Presion_cilindro!N421-(-L$4+Presion_cilindro!$B$34))/Presion_cilindro!$B$35)^(Presion_cilindro!$B$17+1)),0))/((Presion_cilindro!O421+Presion_cilindro!O422)/2)</f>
        <v>24.37492366032826</v>
      </c>
      <c r="M430" s="27">
        <f>M429*(Presion_cilindro!O421/Presion_cilindro!O422)^Presion_cilindro!$B$9+10*(Presion_cilindro!$B$9-1)*Presion_cilindro!$B$33*(IF(Presion_cilindro!N422&gt;(-M$4+Presion_cilindro!$B$34),1-EXP(-Presion_cilindro!$B$16*((Presion_cilindro!N422-(-M$4+Presion_cilindro!$B$34))/Presion_cilindro!$B$35)^(Presion_cilindro!$B$17+1)),0)-IF(Presion_cilindro!N421&gt;(-M$4+Presion_cilindro!$B$34),1-EXP(-Presion_cilindro!$B$16*((Presion_cilindro!N421-(-M$4+Presion_cilindro!$B$34))/Presion_cilindro!$B$35)^(Presion_cilindro!$B$17+1)),0))/((Presion_cilindro!O421+Presion_cilindro!O422)/2)</f>
        <v>24.991774578211512</v>
      </c>
      <c r="N430" s="27">
        <f>N429*(Presion_cilindro!O421/Presion_cilindro!O422)^Presion_cilindro!$B$9+10*(Presion_cilindro!$B$9-1)*Presion_cilindro!$B$33*(IF(Presion_cilindro!N422&gt;(-N$4+Presion_cilindro!$B$34),1-EXP(-Presion_cilindro!$B$16*((Presion_cilindro!N422-(-N$4+Presion_cilindro!$B$34))/Presion_cilindro!$B$35)^(Presion_cilindro!$B$17+1)),0)-IF(Presion_cilindro!N421&gt;(-N$4+Presion_cilindro!$B$34),1-EXP(-Presion_cilindro!$B$16*((Presion_cilindro!N421-(-N$4+Presion_cilindro!$B$34))/Presion_cilindro!$B$35)^(Presion_cilindro!$B$17+1)),0))/((Presion_cilindro!O421+Presion_cilindro!O422)/2)</f>
        <v>25.713274788287602</v>
      </c>
    </row>
    <row r="431" spans="1:14" x14ac:dyDescent="0.25">
      <c r="A431" s="21">
        <f>Presion_cilindro!N423</f>
        <v>29.5</v>
      </c>
      <c r="B431" s="27">
        <f>B430*(Presion_cilindro!O422/Presion_cilindro!O423)^Presion_cilindro!$B$9+10*(Presion_cilindro!$B$9-1)*Presion_cilindro!$B$33*(IF(Presion_cilindro!N423&gt;(-B$4+Presion_cilindro!$B$34),1-EXP(-Presion_cilindro!$B$16*((Presion_cilindro!N423-(-B$4+Presion_cilindro!$B$34))/Presion_cilindro!$B$35)^(Presion_cilindro!$B$17+1)),0)-IF(Presion_cilindro!N422&gt;(-B$4+Presion_cilindro!$B$34),1-EXP(-Presion_cilindro!$B$16*((Presion_cilindro!N422-(-B$4+Presion_cilindro!$B$34))/Presion_cilindro!$B$35)^(Presion_cilindro!$B$17+1)),0))/((Presion_cilindro!O422+Presion_cilindro!O423)/2)</f>
        <v>13.773390981173687</v>
      </c>
      <c r="C431" s="27">
        <f>C430*(Presion_cilindro!O422/Presion_cilindro!O423)^Presion_cilindro!$B$9+10*(Presion_cilindro!$B$9-1)*Presion_cilindro!$B$33*(IF(Presion_cilindro!N423&gt;(-C$4+Presion_cilindro!$B$34),1-EXP(-Presion_cilindro!$B$16*((Presion_cilindro!N423-(-C$4+Presion_cilindro!$B$34))/Presion_cilindro!$B$35)^(Presion_cilindro!$B$17+1)),0)-IF(Presion_cilindro!N422&gt;(-C$4+Presion_cilindro!$B$34),1-EXP(-Presion_cilindro!$B$16*((Presion_cilindro!N422-(-C$4+Presion_cilindro!$B$34))/Presion_cilindro!$B$35)^(Presion_cilindro!$B$17+1)),0))/((Presion_cilindro!O422+Presion_cilindro!O423)/2)</f>
        <v>17.134558286842392</v>
      </c>
      <c r="D431" s="27">
        <f>D430*(Presion_cilindro!O422/Presion_cilindro!O423)^Presion_cilindro!$B$9+10*(Presion_cilindro!$B$9-1)*Presion_cilindro!$B$33*(IF(Presion_cilindro!N423&gt;(-D$4+Presion_cilindro!$B$34),1-EXP(-Presion_cilindro!$B$16*((Presion_cilindro!N423-(-D$4+Presion_cilindro!$B$34))/Presion_cilindro!$B$35)^(Presion_cilindro!$B$17+1)),0)-IF(Presion_cilindro!N422&gt;(-D$4+Presion_cilindro!$B$34),1-EXP(-Presion_cilindro!$B$16*((Presion_cilindro!N422-(-D$4+Presion_cilindro!$B$34))/Presion_cilindro!$B$35)^(Presion_cilindro!$B$17+1)),0))/((Presion_cilindro!O422+Presion_cilindro!O423)/2)</f>
        <v>20.060034637306888</v>
      </c>
      <c r="E431" s="27">
        <f>E430*(Presion_cilindro!O422/Presion_cilindro!O423)^Presion_cilindro!$B$9+10*(Presion_cilindro!$B$9-1)*Presion_cilindro!$B$33*(IF(Presion_cilindro!N423&gt;(-E$4+Presion_cilindro!$B$34),1-EXP(-Presion_cilindro!$B$16*((Presion_cilindro!N423-(-E$4+Presion_cilindro!$B$34))/Presion_cilindro!$B$35)^(Presion_cilindro!$B$17+1)),0)-IF(Presion_cilindro!N422&gt;(-E$4+Presion_cilindro!$B$34),1-EXP(-Presion_cilindro!$B$16*((Presion_cilindro!N422-(-E$4+Presion_cilindro!$B$34))/Presion_cilindro!$B$35)^(Presion_cilindro!$B$17+1)),0))/((Presion_cilindro!O422+Presion_cilindro!O423)/2)</f>
        <v>21.987241908215118</v>
      </c>
      <c r="F431" s="27">
        <f>F430*(Presion_cilindro!O422/Presion_cilindro!O423)^Presion_cilindro!$B$9+10*(Presion_cilindro!$B$9-1)*Presion_cilindro!$B$33*(IF(Presion_cilindro!N423&gt;(-F$4+Presion_cilindro!$B$34),1-EXP(-Presion_cilindro!$B$16*((Presion_cilindro!N423-(-F$4+Presion_cilindro!$B$34))/Presion_cilindro!$B$35)^(Presion_cilindro!$B$17+1)),0)-IF(Presion_cilindro!N422&gt;(-F$4+Presion_cilindro!$B$34),1-EXP(-Presion_cilindro!$B$16*((Presion_cilindro!N422-(-F$4+Presion_cilindro!$B$34))/Presion_cilindro!$B$35)^(Presion_cilindro!$B$17+1)),0))/((Presion_cilindro!O422+Presion_cilindro!O423)/2)</f>
        <v>22.86916712104405</v>
      </c>
      <c r="G431" s="27">
        <f>G430*(Presion_cilindro!O422/Presion_cilindro!O423)^Presion_cilindro!$B$9+10*(Presion_cilindro!$B$9-1)*Presion_cilindro!$B$33*(IF(Presion_cilindro!N423&gt;(-G$4+Presion_cilindro!$B$34),1-EXP(-Presion_cilindro!$B$16*((Presion_cilindro!N423-(-G$4+Presion_cilindro!$B$34))/Presion_cilindro!$B$35)^(Presion_cilindro!$B$17+1)),0)-IF(Presion_cilindro!N422&gt;(-G$4+Presion_cilindro!$B$34),1-EXP(-Presion_cilindro!$B$16*((Presion_cilindro!N422-(-G$4+Presion_cilindro!$B$34))/Presion_cilindro!$B$35)^(Presion_cilindro!$B$17+1)),0))/((Presion_cilindro!O422+Presion_cilindro!O423)/2)</f>
        <v>23.067277876714737</v>
      </c>
      <c r="H431" s="27">
        <f>H430*(Presion_cilindro!O422/Presion_cilindro!O423)^Presion_cilindro!$B$9+10*(Presion_cilindro!$B$9-1)*Presion_cilindro!$B$33*(IF(Presion_cilindro!N423&gt;(-H$4+Presion_cilindro!$B$34),1-EXP(-Presion_cilindro!$B$16*((Presion_cilindro!N423-(-H$4+Presion_cilindro!$B$34))/Presion_cilindro!$B$35)^(Presion_cilindro!$B$17+1)),0)-IF(Presion_cilindro!N422&gt;(-H$4+Presion_cilindro!$B$34),1-EXP(-Presion_cilindro!$B$16*((Presion_cilindro!N422-(-H$4+Presion_cilindro!$B$34))/Presion_cilindro!$B$35)^(Presion_cilindro!$B$17+1)),0))/((Presion_cilindro!O422+Presion_cilindro!O423)/2)</f>
        <v>23.01774377057065</v>
      </c>
      <c r="I431" s="27">
        <f>I430*(Presion_cilindro!O422/Presion_cilindro!O423)^Presion_cilindro!$B$9+10*(Presion_cilindro!$B$9-1)*Presion_cilindro!$B$33*(IF(Presion_cilindro!N423&gt;(-I$4+Presion_cilindro!$B$34),1-EXP(-Presion_cilindro!$B$16*((Presion_cilindro!N423-(-I$4+Presion_cilindro!$B$34))/Presion_cilindro!$B$35)^(Presion_cilindro!$B$17+1)),0)-IF(Presion_cilindro!N422&gt;(-I$4+Presion_cilindro!$B$34),1-EXP(-Presion_cilindro!$B$16*((Presion_cilindro!N422-(-I$4+Presion_cilindro!$B$34))/Presion_cilindro!$B$35)^(Presion_cilindro!$B$17+1)),0))/((Presion_cilindro!O422+Presion_cilindro!O423)/2)</f>
        <v>23.004492958709633</v>
      </c>
      <c r="J431" s="27">
        <f>J430*(Presion_cilindro!O422/Presion_cilindro!O423)^Presion_cilindro!$B$9+10*(Presion_cilindro!$B$9-1)*Presion_cilindro!$B$33*(IF(Presion_cilindro!N423&gt;(-J$4+Presion_cilindro!$B$34),1-EXP(-Presion_cilindro!$B$16*((Presion_cilindro!N423-(-J$4+Presion_cilindro!$B$34))/Presion_cilindro!$B$35)^(Presion_cilindro!$B$17+1)),0)-IF(Presion_cilindro!N422&gt;(-J$4+Presion_cilindro!$B$34),1-EXP(-Presion_cilindro!$B$16*((Presion_cilindro!N422-(-J$4+Presion_cilindro!$B$34))/Presion_cilindro!$B$35)^(Presion_cilindro!$B$17+1)),0))/((Presion_cilindro!O422+Presion_cilindro!O423)/2)</f>
        <v>23.14320219869931</v>
      </c>
      <c r="K431" s="27">
        <f>K430*(Presion_cilindro!O422/Presion_cilindro!O423)^Presion_cilindro!$B$9+10*(Presion_cilindro!$B$9-1)*Presion_cilindro!$B$33*(IF(Presion_cilindro!N423&gt;(-K$4+Presion_cilindro!$B$34),1-EXP(-Presion_cilindro!$B$16*((Presion_cilindro!N423-(-K$4+Presion_cilindro!$B$34))/Presion_cilindro!$B$35)^(Presion_cilindro!$B$17+1)),0)-IF(Presion_cilindro!N422&gt;(-K$4+Presion_cilindro!$B$34),1-EXP(-Presion_cilindro!$B$16*((Presion_cilindro!N422-(-K$4+Presion_cilindro!$B$34))/Presion_cilindro!$B$35)^(Presion_cilindro!$B$17+1)),0))/((Presion_cilindro!O422+Presion_cilindro!O423)/2)</f>
        <v>23.455960075298361</v>
      </c>
      <c r="L431" s="27">
        <f>L430*(Presion_cilindro!O422/Presion_cilindro!O423)^Presion_cilindro!$B$9+10*(Presion_cilindro!$B$9-1)*Presion_cilindro!$B$33*(IF(Presion_cilindro!N423&gt;(-L$4+Presion_cilindro!$B$34),1-EXP(-Presion_cilindro!$B$16*((Presion_cilindro!N423-(-L$4+Presion_cilindro!$B$34))/Presion_cilindro!$B$35)^(Presion_cilindro!$B$17+1)),0)-IF(Presion_cilindro!N422&gt;(-L$4+Presion_cilindro!$B$34),1-EXP(-Presion_cilindro!$B$16*((Presion_cilindro!N422-(-L$4+Presion_cilindro!$B$34))/Presion_cilindro!$B$35)^(Presion_cilindro!$B$17+1)),0))/((Presion_cilindro!O422+Presion_cilindro!O423)/2)</f>
        <v>23.928462239384551</v>
      </c>
      <c r="M431" s="27">
        <f>M430*(Presion_cilindro!O422/Presion_cilindro!O423)^Presion_cilindro!$B$9+10*(Presion_cilindro!$B$9-1)*Presion_cilindro!$B$33*(IF(Presion_cilindro!N423&gt;(-M$4+Presion_cilindro!$B$34),1-EXP(-Presion_cilindro!$B$16*((Presion_cilindro!N423-(-M$4+Presion_cilindro!$B$34))/Presion_cilindro!$B$35)^(Presion_cilindro!$B$17+1)),0)-IF(Presion_cilindro!N422&gt;(-M$4+Presion_cilindro!$B$34),1-EXP(-Presion_cilindro!$B$16*((Presion_cilindro!N422-(-M$4+Presion_cilindro!$B$34))/Presion_cilindro!$B$35)^(Presion_cilindro!$B$17+1)),0))/((Presion_cilindro!O422+Presion_cilindro!O423)/2)</f>
        <v>24.534013364618477</v>
      </c>
      <c r="N431" s="27">
        <f>N430*(Presion_cilindro!O422/Presion_cilindro!O423)^Presion_cilindro!$B$9+10*(Presion_cilindro!$B$9-1)*Presion_cilindro!$B$33*(IF(Presion_cilindro!N423&gt;(-N$4+Presion_cilindro!$B$34),1-EXP(-Presion_cilindro!$B$16*((Presion_cilindro!N423-(-N$4+Presion_cilindro!$B$34))/Presion_cilindro!$B$35)^(Presion_cilindro!$B$17+1)),0)-IF(Presion_cilindro!N422&gt;(-N$4+Presion_cilindro!$B$34),1-EXP(-Presion_cilindro!$B$16*((Presion_cilindro!N422-(-N$4+Presion_cilindro!$B$34))/Presion_cilindro!$B$35)^(Presion_cilindro!$B$17+1)),0))/((Presion_cilindro!O422+Presion_cilindro!O423)/2)</f>
        <v>25.242298184816754</v>
      </c>
    </row>
    <row r="432" spans="1:14" x14ac:dyDescent="0.25">
      <c r="A432" s="21">
        <f>Presion_cilindro!N424</f>
        <v>30</v>
      </c>
      <c r="B432" s="27">
        <f>B431*(Presion_cilindro!O423/Presion_cilindro!O424)^Presion_cilindro!$B$9+10*(Presion_cilindro!$B$9-1)*Presion_cilindro!$B$33*(IF(Presion_cilindro!N424&gt;(-B$4+Presion_cilindro!$B$34),1-EXP(-Presion_cilindro!$B$16*((Presion_cilindro!N424-(-B$4+Presion_cilindro!$B$34))/Presion_cilindro!$B$35)^(Presion_cilindro!$B$17+1)),0)-IF(Presion_cilindro!N423&gt;(-B$4+Presion_cilindro!$B$34),1-EXP(-Presion_cilindro!$B$16*((Presion_cilindro!N423-(-B$4+Presion_cilindro!$B$34))/Presion_cilindro!$B$35)^(Presion_cilindro!$B$17+1)),0))/((Presion_cilindro!O423+Presion_cilindro!O424)/2)</f>
        <v>13.876785215966951</v>
      </c>
      <c r="C432" s="27">
        <f>C431*(Presion_cilindro!O423/Presion_cilindro!O424)^Presion_cilindro!$B$9+10*(Presion_cilindro!$B$9-1)*Presion_cilindro!$B$33*(IF(Presion_cilindro!N424&gt;(-C$4+Presion_cilindro!$B$34),1-EXP(-Presion_cilindro!$B$16*((Presion_cilindro!N424-(-C$4+Presion_cilindro!$B$34))/Presion_cilindro!$B$35)^(Presion_cilindro!$B$17+1)),0)-IF(Presion_cilindro!N423&gt;(-C$4+Presion_cilindro!$B$34),1-EXP(-Presion_cilindro!$B$16*((Presion_cilindro!N423-(-C$4+Presion_cilindro!$B$34))/Presion_cilindro!$B$35)^(Presion_cilindro!$B$17+1)),0))/((Presion_cilindro!O423+Presion_cilindro!O424)/2)</f>
        <v>17.181212482407641</v>
      </c>
      <c r="D432" s="27">
        <f>D431*(Presion_cilindro!O423/Presion_cilindro!O424)^Presion_cilindro!$B$9+10*(Presion_cilindro!$B$9-1)*Presion_cilindro!$B$33*(IF(Presion_cilindro!N424&gt;(-D$4+Presion_cilindro!$B$34),1-EXP(-Presion_cilindro!$B$16*((Presion_cilindro!N424-(-D$4+Presion_cilindro!$B$34))/Presion_cilindro!$B$35)^(Presion_cilindro!$B$17+1)),0)-IF(Presion_cilindro!N423&gt;(-D$4+Presion_cilindro!$B$34),1-EXP(-Presion_cilindro!$B$16*((Presion_cilindro!N423-(-D$4+Presion_cilindro!$B$34))/Presion_cilindro!$B$35)^(Presion_cilindro!$B$17+1)),0))/((Presion_cilindro!O423+Presion_cilindro!O424)/2)</f>
        <v>19.981062412450346</v>
      </c>
      <c r="E432" s="27">
        <f>E431*(Presion_cilindro!O423/Presion_cilindro!O424)^Presion_cilindro!$B$9+10*(Presion_cilindro!$B$9-1)*Presion_cilindro!$B$33*(IF(Presion_cilindro!N424&gt;(-E$4+Presion_cilindro!$B$34),1-EXP(-Presion_cilindro!$B$16*((Presion_cilindro!N424-(-E$4+Presion_cilindro!$B$34))/Presion_cilindro!$B$35)^(Presion_cilindro!$B$17+1)),0)-IF(Presion_cilindro!N423&gt;(-E$4+Presion_cilindro!$B$34),1-EXP(-Presion_cilindro!$B$16*((Presion_cilindro!N423-(-E$4+Presion_cilindro!$B$34))/Presion_cilindro!$B$35)^(Presion_cilindro!$B$17+1)),0))/((Presion_cilindro!O423+Presion_cilindro!O424)/2)</f>
        <v>21.764612145857726</v>
      </c>
      <c r="F432" s="27">
        <f>F431*(Presion_cilindro!O423/Presion_cilindro!O424)^Presion_cilindro!$B$9+10*(Presion_cilindro!$B$9-1)*Presion_cilindro!$B$33*(IF(Presion_cilindro!N424&gt;(-F$4+Presion_cilindro!$B$34),1-EXP(-Presion_cilindro!$B$16*((Presion_cilindro!N424-(-F$4+Presion_cilindro!$B$34))/Presion_cilindro!$B$35)^(Presion_cilindro!$B$17+1)),0)-IF(Presion_cilindro!N423&gt;(-F$4+Presion_cilindro!$B$34),1-EXP(-Presion_cilindro!$B$16*((Presion_cilindro!N423-(-F$4+Presion_cilindro!$B$34))/Presion_cilindro!$B$35)^(Presion_cilindro!$B$17+1)),0))/((Presion_cilindro!O423+Presion_cilindro!O424)/2)</f>
        <v>22.536339418623381</v>
      </c>
      <c r="G432" s="27">
        <f>G431*(Presion_cilindro!O423/Presion_cilindro!O424)^Presion_cilindro!$B$9+10*(Presion_cilindro!$B$9-1)*Presion_cilindro!$B$33*(IF(Presion_cilindro!N424&gt;(-G$4+Presion_cilindro!$B$34),1-EXP(-Presion_cilindro!$B$16*((Presion_cilindro!N424-(-G$4+Presion_cilindro!$B$34))/Presion_cilindro!$B$35)^(Presion_cilindro!$B$17+1)),0)-IF(Presion_cilindro!N423&gt;(-G$4+Presion_cilindro!$B$34),1-EXP(-Presion_cilindro!$B$16*((Presion_cilindro!N423-(-G$4+Presion_cilindro!$B$34))/Presion_cilindro!$B$35)^(Presion_cilindro!$B$17+1)),0))/((Presion_cilindro!O423+Presion_cilindro!O424)/2)</f>
        <v>22.675444925284204</v>
      </c>
      <c r="H432" s="27">
        <f>H431*(Presion_cilindro!O423/Presion_cilindro!O424)^Presion_cilindro!$B$9+10*(Presion_cilindro!$B$9-1)*Presion_cilindro!$B$33*(IF(Presion_cilindro!N424&gt;(-H$4+Presion_cilindro!$B$34),1-EXP(-Presion_cilindro!$B$16*((Presion_cilindro!N424-(-H$4+Presion_cilindro!$B$34))/Presion_cilindro!$B$35)^(Presion_cilindro!$B$17+1)),0)-IF(Presion_cilindro!N423&gt;(-H$4+Presion_cilindro!$B$34),1-EXP(-Presion_cilindro!$B$16*((Presion_cilindro!N423-(-H$4+Presion_cilindro!$B$34))/Presion_cilindro!$B$35)^(Presion_cilindro!$B$17+1)),0))/((Presion_cilindro!O423+Presion_cilindro!O424)/2)</f>
        <v>22.603985189514507</v>
      </c>
      <c r="I432" s="27">
        <f>I431*(Presion_cilindro!O423/Presion_cilindro!O424)^Presion_cilindro!$B$9+10*(Presion_cilindro!$B$9-1)*Presion_cilindro!$B$33*(IF(Presion_cilindro!N424&gt;(-I$4+Presion_cilindro!$B$34),1-EXP(-Presion_cilindro!$B$16*((Presion_cilindro!N424-(-I$4+Presion_cilindro!$B$34))/Presion_cilindro!$B$35)^(Presion_cilindro!$B$17+1)),0)-IF(Presion_cilindro!N423&gt;(-I$4+Presion_cilindro!$B$34),1-EXP(-Presion_cilindro!$B$16*((Presion_cilindro!N423-(-I$4+Presion_cilindro!$B$34))/Presion_cilindro!$B$35)^(Presion_cilindro!$B$17+1)),0))/((Presion_cilindro!O423+Presion_cilindro!O424)/2)</f>
        <v>22.584390084633249</v>
      </c>
      <c r="J432" s="27">
        <f>J431*(Presion_cilindro!O423/Presion_cilindro!O424)^Presion_cilindro!$B$9+10*(Presion_cilindro!$B$9-1)*Presion_cilindro!$B$33*(IF(Presion_cilindro!N424&gt;(-J$4+Presion_cilindro!$B$34),1-EXP(-Presion_cilindro!$B$16*((Presion_cilindro!N424-(-J$4+Presion_cilindro!$B$34))/Presion_cilindro!$B$35)^(Presion_cilindro!$B$17+1)),0)-IF(Presion_cilindro!N423&gt;(-J$4+Presion_cilindro!$B$34),1-EXP(-Presion_cilindro!$B$16*((Presion_cilindro!N423-(-J$4+Presion_cilindro!$B$34))/Presion_cilindro!$B$35)^(Presion_cilindro!$B$17+1)),0))/((Presion_cilindro!O423+Presion_cilindro!O424)/2)</f>
        <v>22.719245136906348</v>
      </c>
      <c r="K432" s="27">
        <f>K431*(Presion_cilindro!O423/Presion_cilindro!O424)^Presion_cilindro!$B$9+10*(Presion_cilindro!$B$9-1)*Presion_cilindro!$B$33*(IF(Presion_cilindro!N424&gt;(-K$4+Presion_cilindro!$B$34),1-EXP(-Presion_cilindro!$B$16*((Presion_cilindro!N424-(-K$4+Presion_cilindro!$B$34))/Presion_cilindro!$B$35)^(Presion_cilindro!$B$17+1)),0)-IF(Presion_cilindro!N423&gt;(-K$4+Presion_cilindro!$B$34),1-EXP(-Presion_cilindro!$B$16*((Presion_cilindro!N423-(-K$4+Presion_cilindro!$B$34))/Presion_cilindro!$B$35)^(Presion_cilindro!$B$17+1)),0))/((Presion_cilindro!O423+Presion_cilindro!O424)/2)</f>
        <v>23.026094015618639</v>
      </c>
      <c r="L432" s="27">
        <f>L431*(Presion_cilindro!O423/Presion_cilindro!O424)^Presion_cilindro!$B$9+10*(Presion_cilindro!$B$9-1)*Presion_cilindro!$B$33*(IF(Presion_cilindro!N424&gt;(-L$4+Presion_cilindro!$B$34),1-EXP(-Presion_cilindro!$B$16*((Presion_cilindro!N424-(-L$4+Presion_cilindro!$B$34))/Presion_cilindro!$B$35)^(Presion_cilindro!$B$17+1)),0)-IF(Presion_cilindro!N423&gt;(-L$4+Presion_cilindro!$B$34),1-EXP(-Presion_cilindro!$B$16*((Presion_cilindro!N423-(-L$4+Presion_cilindro!$B$34))/Presion_cilindro!$B$35)^(Presion_cilindro!$B$17+1)),0))/((Presion_cilindro!O423+Presion_cilindro!O424)/2)</f>
        <v>23.489920706222044</v>
      </c>
      <c r="M432" s="27">
        <f>M431*(Presion_cilindro!O423/Presion_cilindro!O424)^Presion_cilindro!$B$9+10*(Presion_cilindro!$B$9-1)*Presion_cilindro!$B$33*(IF(Presion_cilindro!N424&gt;(-M$4+Presion_cilindro!$B$34),1-EXP(-Presion_cilindro!$B$16*((Presion_cilindro!N424-(-M$4+Presion_cilindro!$B$34))/Presion_cilindro!$B$35)^(Presion_cilindro!$B$17+1)),0)-IF(Presion_cilindro!N423&gt;(-M$4+Presion_cilindro!$B$34),1-EXP(-Presion_cilindro!$B$16*((Presion_cilindro!N423-(-M$4+Presion_cilindro!$B$34))/Presion_cilindro!$B$35)^(Presion_cilindro!$B$17+1)),0))/((Presion_cilindro!O423+Presion_cilindro!O424)/2)</f>
        <v>24.084372842167291</v>
      </c>
      <c r="N432" s="27">
        <f>N431*(Presion_cilindro!O423/Presion_cilindro!O424)^Presion_cilindro!$B$9+10*(Presion_cilindro!$B$9-1)*Presion_cilindro!$B$33*(IF(Presion_cilindro!N424&gt;(-N$4+Presion_cilindro!$B$34),1-EXP(-Presion_cilindro!$B$16*((Presion_cilindro!N424-(-N$4+Presion_cilindro!$B$34))/Presion_cilindro!$B$35)^(Presion_cilindro!$B$17+1)),0)-IF(Presion_cilindro!N423&gt;(-N$4+Presion_cilindro!$B$34),1-EXP(-Presion_cilindro!$B$16*((Presion_cilindro!N423-(-N$4+Presion_cilindro!$B$34))/Presion_cilindro!$B$35)^(Presion_cilindro!$B$17+1)),0))/((Presion_cilindro!O423+Presion_cilindro!O424)/2)</f>
        <v>24.779676728896128</v>
      </c>
    </row>
    <row r="433" spans="1:14" x14ac:dyDescent="0.25">
      <c r="A433" s="21">
        <f>Presion_cilindro!N425</f>
        <v>30.5</v>
      </c>
      <c r="B433" s="27">
        <f>B432*(Presion_cilindro!O424/Presion_cilindro!O425)^Presion_cilindro!$B$9+10*(Presion_cilindro!$B$9-1)*Presion_cilindro!$B$33*(IF(Presion_cilindro!N425&gt;(-B$4+Presion_cilindro!$B$34),1-EXP(-Presion_cilindro!$B$16*((Presion_cilindro!N425-(-B$4+Presion_cilindro!$B$34))/Presion_cilindro!$B$35)^(Presion_cilindro!$B$17+1)),0)-IF(Presion_cilindro!N424&gt;(-B$4+Presion_cilindro!$B$34),1-EXP(-Presion_cilindro!$B$16*((Presion_cilindro!N424-(-B$4+Presion_cilindro!$B$34))/Presion_cilindro!$B$35)^(Presion_cilindro!$B$17+1)),0))/((Presion_cilindro!O424+Presion_cilindro!O425)/2)</f>
        <v>13.977506922414179</v>
      </c>
      <c r="C433" s="27">
        <f>C432*(Presion_cilindro!O424/Presion_cilindro!O425)^Presion_cilindro!$B$9+10*(Presion_cilindro!$B$9-1)*Presion_cilindro!$B$33*(IF(Presion_cilindro!N425&gt;(-C$4+Presion_cilindro!$B$34),1-EXP(-Presion_cilindro!$B$16*((Presion_cilindro!N425-(-C$4+Presion_cilindro!$B$34))/Presion_cilindro!$B$35)^(Presion_cilindro!$B$17+1)),0)-IF(Presion_cilindro!N424&gt;(-C$4+Presion_cilindro!$B$34),1-EXP(-Presion_cilindro!$B$16*((Presion_cilindro!N424-(-C$4+Presion_cilindro!$B$34))/Presion_cilindro!$B$35)^(Presion_cilindro!$B$17+1)),0))/((Presion_cilindro!O424+Presion_cilindro!O425)/2)</f>
        <v>17.217870797828176</v>
      </c>
      <c r="D433" s="27">
        <f>D432*(Presion_cilindro!O424/Presion_cilindro!O425)^Presion_cilindro!$B$9+10*(Presion_cilindro!$B$9-1)*Presion_cilindro!$B$33*(IF(Presion_cilindro!N425&gt;(-D$4+Presion_cilindro!$B$34),1-EXP(-Presion_cilindro!$B$16*((Presion_cilindro!N425-(-D$4+Presion_cilindro!$B$34))/Presion_cilindro!$B$35)^(Presion_cilindro!$B$17+1)),0)-IF(Presion_cilindro!N424&gt;(-D$4+Presion_cilindro!$B$34),1-EXP(-Presion_cilindro!$B$16*((Presion_cilindro!N424-(-D$4+Presion_cilindro!$B$34))/Presion_cilindro!$B$35)^(Presion_cilindro!$B$17+1)),0))/((Presion_cilindro!O424+Presion_cilindro!O425)/2)</f>
        <v>19.889490239555457</v>
      </c>
      <c r="E433" s="27">
        <f>E432*(Presion_cilindro!O424/Presion_cilindro!O425)^Presion_cilindro!$B$9+10*(Presion_cilindro!$B$9-1)*Presion_cilindro!$B$33*(IF(Presion_cilindro!N425&gt;(-E$4+Presion_cilindro!$B$34),1-EXP(-Presion_cilindro!$B$16*((Presion_cilindro!N425-(-E$4+Presion_cilindro!$B$34))/Presion_cilindro!$B$35)^(Presion_cilindro!$B$17+1)),0)-IF(Presion_cilindro!N424&gt;(-E$4+Presion_cilindro!$B$34),1-EXP(-Presion_cilindro!$B$16*((Presion_cilindro!N424-(-E$4+Presion_cilindro!$B$34))/Presion_cilindro!$B$35)^(Presion_cilindro!$B$17+1)),0))/((Presion_cilindro!O424+Presion_cilindro!O425)/2)</f>
        <v>21.532884777021245</v>
      </c>
      <c r="F433" s="27">
        <f>F432*(Presion_cilindro!O424/Presion_cilindro!O425)^Presion_cilindro!$B$9+10*(Presion_cilindro!$B$9-1)*Presion_cilindro!$B$33*(IF(Presion_cilindro!N425&gt;(-F$4+Presion_cilindro!$B$34),1-EXP(-Presion_cilindro!$B$16*((Presion_cilindro!N425-(-F$4+Presion_cilindro!$B$34))/Presion_cilindro!$B$35)^(Presion_cilindro!$B$17+1)),0)-IF(Presion_cilindro!N424&gt;(-F$4+Presion_cilindro!$B$34),1-EXP(-Presion_cilindro!$B$16*((Presion_cilindro!N424-(-F$4+Presion_cilindro!$B$34))/Presion_cilindro!$B$35)^(Presion_cilindro!$B$17+1)),0))/((Presion_cilindro!O424+Presion_cilindro!O425)/2)</f>
        <v>22.201049044868412</v>
      </c>
      <c r="G433" s="27">
        <f>G432*(Presion_cilindro!O424/Presion_cilindro!O425)^Presion_cilindro!$B$9+10*(Presion_cilindro!$B$9-1)*Presion_cilindro!$B$33*(IF(Presion_cilindro!N425&gt;(-G$4+Presion_cilindro!$B$34),1-EXP(-Presion_cilindro!$B$16*((Presion_cilindro!N425-(-G$4+Presion_cilindro!$B$34))/Presion_cilindro!$B$35)^(Presion_cilindro!$B$17+1)),0)-IF(Presion_cilindro!N424&gt;(-G$4+Presion_cilindro!$B$34),1-EXP(-Presion_cilindro!$B$16*((Presion_cilindro!N424-(-G$4+Presion_cilindro!$B$34))/Presion_cilindro!$B$35)^(Presion_cilindro!$B$17+1)),0))/((Presion_cilindro!O424+Presion_cilindro!O425)/2)</f>
        <v>22.286823566026026</v>
      </c>
      <c r="H433" s="27">
        <f>H432*(Presion_cilindro!O424/Presion_cilindro!O425)^Presion_cilindro!$B$9+10*(Presion_cilindro!$B$9-1)*Presion_cilindro!$B$33*(IF(Presion_cilindro!N425&gt;(-H$4+Presion_cilindro!$B$34),1-EXP(-Presion_cilindro!$B$16*((Presion_cilindro!N425-(-H$4+Presion_cilindro!$B$34))/Presion_cilindro!$B$35)^(Presion_cilindro!$B$17+1)),0)-IF(Presion_cilindro!N424&gt;(-H$4+Presion_cilindro!$B$34),1-EXP(-Presion_cilindro!$B$16*((Presion_cilindro!N424-(-H$4+Presion_cilindro!$B$34))/Presion_cilindro!$B$35)^(Presion_cilindro!$B$17+1)),0))/((Presion_cilindro!O424+Presion_cilindro!O425)/2)</f>
        <v>22.196462690903896</v>
      </c>
      <c r="I433" s="27">
        <f>I432*(Presion_cilindro!O424/Presion_cilindro!O425)^Presion_cilindro!$B$9+10*(Presion_cilindro!$B$9-1)*Presion_cilindro!$B$33*(IF(Presion_cilindro!N425&gt;(-I$4+Presion_cilindro!$B$34),1-EXP(-Presion_cilindro!$B$16*((Presion_cilindro!N425-(-I$4+Presion_cilindro!$B$34))/Presion_cilindro!$B$35)^(Presion_cilindro!$B$17+1)),0)-IF(Presion_cilindro!N424&gt;(-I$4+Presion_cilindro!$B$34),1-EXP(-Presion_cilindro!$B$16*((Presion_cilindro!N424-(-I$4+Presion_cilindro!$B$34))/Presion_cilindro!$B$35)^(Presion_cilindro!$B$17+1)),0))/((Presion_cilindro!O424+Presion_cilindro!O425)/2)</f>
        <v>22.171604131479988</v>
      </c>
      <c r="J433" s="27">
        <f>J432*(Presion_cilindro!O424/Presion_cilindro!O425)^Presion_cilindro!$B$9+10*(Presion_cilindro!$B$9-1)*Presion_cilindro!$B$33*(IF(Presion_cilindro!N425&gt;(-J$4+Presion_cilindro!$B$34),1-EXP(-Presion_cilindro!$B$16*((Presion_cilindro!N425-(-J$4+Presion_cilindro!$B$34))/Presion_cilindro!$B$35)^(Presion_cilindro!$B$17+1)),0)-IF(Presion_cilindro!N424&gt;(-J$4+Presion_cilindro!$B$34),1-EXP(-Presion_cilindro!$B$16*((Presion_cilindro!N424-(-J$4+Presion_cilindro!$B$34))/Presion_cilindro!$B$35)^(Presion_cilindro!$B$17+1)),0))/((Presion_cilindro!O424+Presion_cilindro!O425)/2)</f>
        <v>22.302908885679802</v>
      </c>
      <c r="K433" s="27">
        <f>K432*(Presion_cilindro!O424/Presion_cilindro!O425)^Presion_cilindro!$B$9+10*(Presion_cilindro!$B$9-1)*Presion_cilindro!$B$33*(IF(Presion_cilindro!N425&gt;(-K$4+Presion_cilindro!$B$34),1-EXP(-Presion_cilindro!$B$16*((Presion_cilindro!N425-(-K$4+Presion_cilindro!$B$34))/Presion_cilindro!$B$35)^(Presion_cilindro!$B$17+1)),0)-IF(Presion_cilindro!N424&gt;(-K$4+Presion_cilindro!$B$34),1-EXP(-Presion_cilindro!$B$16*((Presion_cilindro!N424-(-K$4+Presion_cilindro!$B$34))/Presion_cilindro!$B$35)^(Presion_cilindro!$B$17+1)),0))/((Presion_cilindro!O424+Presion_cilindro!O425)/2)</f>
        <v>22.603992886698389</v>
      </c>
      <c r="L433" s="27">
        <f>L432*(Presion_cilindro!O424/Presion_cilindro!O425)^Presion_cilindro!$B$9+10*(Presion_cilindro!$B$9-1)*Presion_cilindro!$B$33*(IF(Presion_cilindro!N425&gt;(-L$4+Presion_cilindro!$B$34),1-EXP(-Presion_cilindro!$B$16*((Presion_cilindro!N425-(-L$4+Presion_cilindro!$B$34))/Presion_cilindro!$B$35)^(Presion_cilindro!$B$17+1)),0)-IF(Presion_cilindro!N424&gt;(-L$4+Presion_cilindro!$B$34),1-EXP(-Presion_cilindro!$B$16*((Presion_cilindro!N424-(-L$4+Presion_cilindro!$B$34))/Presion_cilindro!$B$35)^(Presion_cilindro!$B$17+1)),0))/((Presion_cilindro!O424+Presion_cilindro!O425)/2)</f>
        <v>23.059304752312446</v>
      </c>
      <c r="M433" s="27">
        <f>M432*(Presion_cilindro!O424/Presion_cilindro!O425)^Presion_cilindro!$B$9+10*(Presion_cilindro!$B$9-1)*Presion_cilindro!$B$33*(IF(Presion_cilindro!N425&gt;(-M$4+Presion_cilindro!$B$34),1-EXP(-Presion_cilindro!$B$16*((Presion_cilindro!N425-(-M$4+Presion_cilindro!$B$34))/Presion_cilindro!$B$35)^(Presion_cilindro!$B$17+1)),0)-IF(Presion_cilindro!N424&gt;(-M$4+Presion_cilindro!$B$34),1-EXP(-Presion_cilindro!$B$16*((Presion_cilindro!N424-(-M$4+Presion_cilindro!$B$34))/Presion_cilindro!$B$35)^(Presion_cilindro!$B$17+1)),0))/((Presion_cilindro!O424+Presion_cilindro!O425)/2)</f>
        <v>23.642858746121856</v>
      </c>
      <c r="N433" s="27">
        <f>N432*(Presion_cilindro!O424/Presion_cilindro!O425)^Presion_cilindro!$B$9+10*(Presion_cilindro!$B$9-1)*Presion_cilindro!$B$33*(IF(Presion_cilindro!N425&gt;(-N$4+Presion_cilindro!$B$34),1-EXP(-Presion_cilindro!$B$16*((Presion_cilindro!N425-(-N$4+Presion_cilindro!$B$34))/Presion_cilindro!$B$35)^(Presion_cilindro!$B$17+1)),0)-IF(Presion_cilindro!N424&gt;(-N$4+Presion_cilindro!$B$34),1-EXP(-Presion_cilindro!$B$16*((Presion_cilindro!N424-(-N$4+Presion_cilindro!$B$34))/Presion_cilindro!$B$35)^(Presion_cilindro!$B$17+1)),0))/((Presion_cilindro!O424+Presion_cilindro!O425)/2)</f>
        <v>24.325416316530699</v>
      </c>
    </row>
    <row r="434" spans="1:14" x14ac:dyDescent="0.25">
      <c r="A434" s="21">
        <f>Presion_cilindro!N426</f>
        <v>31</v>
      </c>
      <c r="B434" s="27">
        <f>B433*(Presion_cilindro!O425/Presion_cilindro!O426)^Presion_cilindro!$B$9+10*(Presion_cilindro!$B$9-1)*Presion_cilindro!$B$33*(IF(Presion_cilindro!N426&gt;(-B$4+Presion_cilindro!$B$34),1-EXP(-Presion_cilindro!$B$16*((Presion_cilindro!N426-(-B$4+Presion_cilindro!$B$34))/Presion_cilindro!$B$35)^(Presion_cilindro!$B$17+1)),0)-IF(Presion_cilindro!N425&gt;(-B$4+Presion_cilindro!$B$34),1-EXP(-Presion_cilindro!$B$16*((Presion_cilindro!N425-(-B$4+Presion_cilindro!$B$34))/Presion_cilindro!$B$35)^(Presion_cilindro!$B$17+1)),0))/((Presion_cilindro!O425+Presion_cilindro!O426)/2)</f>
        <v>14.074851094902098</v>
      </c>
      <c r="C434" s="27">
        <f>C433*(Presion_cilindro!O425/Presion_cilindro!O426)^Presion_cilindro!$B$9+10*(Presion_cilindro!$B$9-1)*Presion_cilindro!$B$33*(IF(Presion_cilindro!N426&gt;(-C$4+Presion_cilindro!$B$34),1-EXP(-Presion_cilindro!$B$16*((Presion_cilindro!N426-(-C$4+Presion_cilindro!$B$34))/Presion_cilindro!$B$35)^(Presion_cilindro!$B$17+1)),0)-IF(Presion_cilindro!N425&gt;(-C$4+Presion_cilindro!$B$34),1-EXP(-Presion_cilindro!$B$16*((Presion_cilindro!N425-(-C$4+Presion_cilindro!$B$34))/Presion_cilindro!$B$35)^(Presion_cilindro!$B$17+1)),0))/((Presion_cilindro!O425+Presion_cilindro!O426)/2)</f>
        <v>17.244234690408948</v>
      </c>
      <c r="D434" s="27">
        <f>D433*(Presion_cilindro!O425/Presion_cilindro!O426)^Presion_cilindro!$B$9+10*(Presion_cilindro!$B$9-1)*Presion_cilindro!$B$33*(IF(Presion_cilindro!N426&gt;(-D$4+Presion_cilindro!$B$34),1-EXP(-Presion_cilindro!$B$16*((Presion_cilindro!N426-(-D$4+Presion_cilindro!$B$34))/Presion_cilindro!$B$35)^(Presion_cilindro!$B$17+1)),0)-IF(Presion_cilindro!N425&gt;(-D$4+Presion_cilindro!$B$34),1-EXP(-Presion_cilindro!$B$16*((Presion_cilindro!N425-(-D$4+Presion_cilindro!$B$34))/Presion_cilindro!$B$35)^(Presion_cilindro!$B$17+1)),0))/((Presion_cilindro!O425+Presion_cilindro!O426)/2)</f>
        <v>19.785688811795268</v>
      </c>
      <c r="E434" s="27">
        <f>E433*(Presion_cilindro!O425/Presion_cilindro!O426)^Presion_cilindro!$B$9+10*(Presion_cilindro!$B$9-1)*Presion_cilindro!$B$33*(IF(Presion_cilindro!N426&gt;(-E$4+Presion_cilindro!$B$34),1-EXP(-Presion_cilindro!$B$16*((Presion_cilindro!N426-(-E$4+Presion_cilindro!$B$34))/Presion_cilindro!$B$35)^(Presion_cilindro!$B$17+1)),0)-IF(Presion_cilindro!N425&gt;(-E$4+Presion_cilindro!$B$34),1-EXP(-Presion_cilindro!$B$16*((Presion_cilindro!N425-(-E$4+Presion_cilindro!$B$34))/Presion_cilindro!$B$35)^(Presion_cilindro!$B$17+1)),0))/((Presion_cilindro!O425+Presion_cilindro!O426)/2)</f>
        <v>21.292884913570639</v>
      </c>
      <c r="F434" s="27">
        <f>F433*(Presion_cilindro!O425/Presion_cilindro!O426)^Presion_cilindro!$B$9+10*(Presion_cilindro!$B$9-1)*Presion_cilindro!$B$33*(IF(Presion_cilindro!N426&gt;(-F$4+Presion_cilindro!$B$34),1-EXP(-Presion_cilindro!$B$16*((Presion_cilindro!N426-(-F$4+Presion_cilindro!$B$34))/Presion_cilindro!$B$35)^(Presion_cilindro!$B$17+1)),0)-IF(Presion_cilindro!N425&gt;(-F$4+Presion_cilindro!$B$34),1-EXP(-Presion_cilindro!$B$16*((Presion_cilindro!N425-(-F$4+Presion_cilindro!$B$34))/Presion_cilindro!$B$35)^(Presion_cilindro!$B$17+1)),0))/((Presion_cilindro!O425+Presion_cilindro!O426)/2)</f>
        <v>21.864096348489795</v>
      </c>
      <c r="G434" s="27">
        <f>G433*(Presion_cilindro!O425/Presion_cilindro!O426)^Presion_cilindro!$B$9+10*(Presion_cilindro!$B$9-1)*Presion_cilindro!$B$33*(IF(Presion_cilindro!N426&gt;(-G$4+Presion_cilindro!$B$34),1-EXP(-Presion_cilindro!$B$16*((Presion_cilindro!N426-(-G$4+Presion_cilindro!$B$34))/Presion_cilindro!$B$35)^(Presion_cilindro!$B$17+1)),0)-IF(Presion_cilindro!N425&gt;(-G$4+Presion_cilindro!$B$34),1-EXP(-Presion_cilindro!$B$16*((Presion_cilindro!N425-(-G$4+Presion_cilindro!$B$34))/Presion_cilindro!$B$35)^(Presion_cilindro!$B$17+1)),0))/((Presion_cilindro!O425+Presion_cilindro!O426)/2)</f>
        <v>21.901894500146334</v>
      </c>
      <c r="H434" s="27">
        <f>H433*(Presion_cilindro!O425/Presion_cilindro!O426)^Presion_cilindro!$B$9+10*(Presion_cilindro!$B$9-1)*Presion_cilindro!$B$33*(IF(Presion_cilindro!N426&gt;(-H$4+Presion_cilindro!$B$34),1-EXP(-Presion_cilindro!$B$16*((Presion_cilindro!N426-(-H$4+Presion_cilindro!$B$34))/Presion_cilindro!$B$35)^(Presion_cilindro!$B$17+1)),0)-IF(Presion_cilindro!N425&gt;(-H$4+Presion_cilindro!$B$34),1-EXP(-Presion_cilindro!$B$16*((Presion_cilindro!N425-(-H$4+Presion_cilindro!$B$34))/Presion_cilindro!$B$35)^(Presion_cilindro!$B$17+1)),0))/((Presion_cilindro!O425+Presion_cilindro!O426)/2)</f>
        <v>21.795363874270361</v>
      </c>
      <c r="I434" s="27">
        <f>I433*(Presion_cilindro!O425/Presion_cilindro!O426)^Presion_cilindro!$B$9+10*(Presion_cilindro!$B$9-1)*Presion_cilindro!$B$33*(IF(Presion_cilindro!N426&gt;(-I$4+Presion_cilindro!$B$34),1-EXP(-Presion_cilindro!$B$16*((Presion_cilindro!N426-(-I$4+Presion_cilindro!$B$34))/Presion_cilindro!$B$35)^(Presion_cilindro!$B$17+1)),0)-IF(Presion_cilindro!N425&gt;(-I$4+Presion_cilindro!$B$34),1-EXP(-Presion_cilindro!$B$16*((Presion_cilindro!N425-(-I$4+Presion_cilindro!$B$34))/Presion_cilindro!$B$35)^(Presion_cilindro!$B$17+1)),0))/((Presion_cilindro!O425+Presion_cilindro!O426)/2)</f>
        <v>21.766179394929026</v>
      </c>
      <c r="J434" s="27">
        <f>J433*(Presion_cilindro!O425/Presion_cilindro!O426)^Presion_cilindro!$B$9+10*(Presion_cilindro!$B$9-1)*Presion_cilindro!$B$33*(IF(Presion_cilindro!N426&gt;(-J$4+Presion_cilindro!$B$34),1-EXP(-Presion_cilindro!$B$16*((Presion_cilindro!N426-(-J$4+Presion_cilindro!$B$34))/Presion_cilindro!$B$35)^(Presion_cilindro!$B$17+1)),0)-IF(Presion_cilindro!N425&gt;(-J$4+Presion_cilindro!$B$34),1-EXP(-Presion_cilindro!$B$16*((Presion_cilindro!N425-(-J$4+Presion_cilindro!$B$34))/Presion_cilindro!$B$35)^(Presion_cilindro!$B$17+1)),0))/((Presion_cilindro!O425+Presion_cilindro!O426)/2)</f>
        <v>21.894194729238659</v>
      </c>
      <c r="K434" s="27">
        <f>K433*(Presion_cilindro!O425/Presion_cilindro!O426)^Presion_cilindro!$B$9+10*(Presion_cilindro!$B$9-1)*Presion_cilindro!$B$33*(IF(Presion_cilindro!N426&gt;(-K$4+Presion_cilindro!$B$34),1-EXP(-Presion_cilindro!$B$16*((Presion_cilindro!N426-(-K$4+Presion_cilindro!$B$34))/Presion_cilindro!$B$35)^(Presion_cilindro!$B$17+1)),0)-IF(Presion_cilindro!N425&gt;(-K$4+Presion_cilindro!$B$34),1-EXP(-Presion_cilindro!$B$16*((Presion_cilindro!N425-(-K$4+Presion_cilindro!$B$34))/Presion_cilindro!$B$35)^(Presion_cilindro!$B$17+1)),0))/((Presion_cilindro!O425+Presion_cilindro!O426)/2)</f>
        <v>22.18964972741945</v>
      </c>
      <c r="L434" s="27">
        <f>L433*(Presion_cilindro!O425/Presion_cilindro!O426)^Presion_cilindro!$B$9+10*(Presion_cilindro!$B$9-1)*Presion_cilindro!$B$33*(IF(Presion_cilindro!N426&gt;(-L$4+Presion_cilindro!$B$34),1-EXP(-Presion_cilindro!$B$16*((Presion_cilindro!N426-(-L$4+Presion_cilindro!$B$34))/Presion_cilindro!$B$35)^(Presion_cilindro!$B$17+1)),0)-IF(Presion_cilindro!N425&gt;(-L$4+Presion_cilindro!$B$34),1-EXP(-Presion_cilindro!$B$16*((Presion_cilindro!N425-(-L$4+Presion_cilindro!$B$34))/Presion_cilindro!$B$35)^(Presion_cilindro!$B$17+1)),0))/((Presion_cilindro!O425+Presion_cilindro!O426)/2)</f>
        <v>22.636606281283381</v>
      </c>
      <c r="M434" s="27">
        <f>M433*(Presion_cilindro!O425/Presion_cilindro!O426)^Presion_cilindro!$B$9+10*(Presion_cilindro!$B$9-1)*Presion_cilindro!$B$33*(IF(Presion_cilindro!N426&gt;(-M$4+Presion_cilindro!$B$34),1-EXP(-Presion_cilindro!$B$16*((Presion_cilindro!N426-(-M$4+Presion_cilindro!$B$34))/Presion_cilindro!$B$35)^(Presion_cilindro!$B$17+1)),0)-IF(Presion_cilindro!N425&gt;(-M$4+Presion_cilindro!$B$34),1-EXP(-Presion_cilindro!$B$16*((Presion_cilindro!N425-(-M$4+Presion_cilindro!$B$34))/Presion_cilindro!$B$35)^(Presion_cilindro!$B$17+1)),0))/((Presion_cilindro!O425+Presion_cilindro!O426)/2)</f>
        <v>23.209462700582112</v>
      </c>
      <c r="N434" s="27">
        <f>N433*(Presion_cilindro!O425/Presion_cilindro!O426)^Presion_cilindro!$B$9+10*(Presion_cilindro!$B$9-1)*Presion_cilindro!$B$33*(IF(Presion_cilindro!N426&gt;(-N$4+Presion_cilindro!$B$34),1-EXP(-Presion_cilindro!$B$16*((Presion_cilindro!N426-(-N$4+Presion_cilindro!$B$34))/Presion_cilindro!$B$35)^(Presion_cilindro!$B$17+1)),0)-IF(Presion_cilindro!N425&gt;(-N$4+Presion_cilindro!$B$34),1-EXP(-Presion_cilindro!$B$16*((Presion_cilindro!N425-(-N$4+Presion_cilindro!$B$34))/Presion_cilindro!$B$35)^(Presion_cilindro!$B$17+1)),0))/((Presion_cilindro!O425+Presion_cilindro!O426)/2)</f>
        <v>23.879508326589285</v>
      </c>
    </row>
    <row r="435" spans="1:14" x14ac:dyDescent="0.25">
      <c r="A435" s="21">
        <f>Presion_cilindro!N427</f>
        <v>31.5</v>
      </c>
      <c r="B435" s="27">
        <f>B434*(Presion_cilindro!O426/Presion_cilindro!O427)^Presion_cilindro!$B$9+10*(Presion_cilindro!$B$9-1)*Presion_cilindro!$B$33*(IF(Presion_cilindro!N427&gt;(-B$4+Presion_cilindro!$B$34),1-EXP(-Presion_cilindro!$B$16*((Presion_cilindro!N427-(-B$4+Presion_cilindro!$B$34))/Presion_cilindro!$B$35)^(Presion_cilindro!$B$17+1)),0)-IF(Presion_cilindro!N426&gt;(-B$4+Presion_cilindro!$B$34),1-EXP(-Presion_cilindro!$B$16*((Presion_cilindro!N426-(-B$4+Presion_cilindro!$B$34))/Presion_cilindro!$B$35)^(Presion_cilindro!$B$17+1)),0))/((Presion_cilindro!O426+Presion_cilindro!O427)/2)</f>
        <v>14.168139539123789</v>
      </c>
      <c r="C435" s="27">
        <f>C434*(Presion_cilindro!O426/Presion_cilindro!O427)^Presion_cilindro!$B$9+10*(Presion_cilindro!$B$9-1)*Presion_cilindro!$B$33*(IF(Presion_cilindro!N427&gt;(-C$4+Presion_cilindro!$B$34),1-EXP(-Presion_cilindro!$B$16*((Presion_cilindro!N427-(-C$4+Presion_cilindro!$B$34))/Presion_cilindro!$B$35)^(Presion_cilindro!$B$17+1)),0)-IF(Presion_cilindro!N426&gt;(-C$4+Presion_cilindro!$B$34),1-EXP(-Presion_cilindro!$B$16*((Presion_cilindro!N426-(-C$4+Presion_cilindro!$B$34))/Presion_cilindro!$B$35)^(Presion_cilindro!$B$17+1)),0))/((Presion_cilindro!O426+Presion_cilindro!O427)/2)</f>
        <v>17.26006690140553</v>
      </c>
      <c r="D435" s="27">
        <f>D434*(Presion_cilindro!O426/Presion_cilindro!O427)^Presion_cilindro!$B$9+10*(Presion_cilindro!$B$9-1)*Presion_cilindro!$B$33*(IF(Presion_cilindro!N427&gt;(-D$4+Presion_cilindro!$B$34),1-EXP(-Presion_cilindro!$B$16*((Presion_cilindro!N427-(-D$4+Presion_cilindro!$B$34))/Presion_cilindro!$B$35)^(Presion_cilindro!$B$17+1)),0)-IF(Presion_cilindro!N426&gt;(-D$4+Presion_cilindro!$B$34),1-EXP(-Presion_cilindro!$B$16*((Presion_cilindro!N426-(-D$4+Presion_cilindro!$B$34))/Presion_cilindro!$B$35)^(Presion_cilindro!$B$17+1)),0))/((Presion_cilindro!O426+Presion_cilindro!O427)/2)</f>
        <v>19.670078812016666</v>
      </c>
      <c r="E435" s="27">
        <f>E434*(Presion_cilindro!O426/Presion_cilindro!O427)^Presion_cilindro!$B$9+10*(Presion_cilindro!$B$9-1)*Presion_cilindro!$B$33*(IF(Presion_cilindro!N427&gt;(-E$4+Presion_cilindro!$B$34),1-EXP(-Presion_cilindro!$B$16*((Presion_cilindro!N427-(-E$4+Presion_cilindro!$B$34))/Presion_cilindro!$B$35)^(Presion_cilindro!$B$17+1)),0)-IF(Presion_cilindro!N426&gt;(-E$4+Presion_cilindro!$B$34),1-EXP(-Presion_cilindro!$B$16*((Presion_cilindro!N426-(-E$4+Presion_cilindro!$B$34))/Presion_cilindro!$B$35)^(Presion_cilindro!$B$17+1)),0))/((Presion_cilindro!O426+Presion_cilindro!O427)/2)</f>
        <v>21.045435781157163</v>
      </c>
      <c r="F435" s="27">
        <f>F434*(Presion_cilindro!O426/Presion_cilindro!O427)^Presion_cilindro!$B$9+10*(Presion_cilindro!$B$9-1)*Presion_cilindro!$B$33*(IF(Presion_cilindro!N427&gt;(-F$4+Presion_cilindro!$B$34),1-EXP(-Presion_cilindro!$B$16*((Presion_cilindro!N427-(-F$4+Presion_cilindro!$B$34))/Presion_cilindro!$B$35)^(Presion_cilindro!$B$17+1)),0)-IF(Presion_cilindro!N426&gt;(-F$4+Presion_cilindro!$B$34),1-EXP(-Presion_cilindro!$B$16*((Presion_cilindro!N426-(-F$4+Presion_cilindro!$B$34))/Presion_cilindro!$B$35)^(Presion_cilindro!$B$17+1)),0))/((Presion_cilindro!O426+Presion_cilindro!O427)/2)</f>
        <v>21.526235262876426</v>
      </c>
      <c r="G435" s="27">
        <f>G434*(Presion_cilindro!O426/Presion_cilindro!O427)^Presion_cilindro!$B$9+10*(Presion_cilindro!$B$9-1)*Presion_cilindro!$B$33*(IF(Presion_cilindro!N427&gt;(-G$4+Presion_cilindro!$B$34),1-EXP(-Presion_cilindro!$B$16*((Presion_cilindro!N427-(-G$4+Presion_cilindro!$B$34))/Presion_cilindro!$B$35)^(Presion_cilindro!$B$17+1)),0)-IF(Presion_cilindro!N426&gt;(-G$4+Presion_cilindro!$B$34),1-EXP(-Presion_cilindro!$B$16*((Presion_cilindro!N426-(-G$4+Presion_cilindro!$B$34))/Presion_cilindro!$B$35)^(Presion_cilindro!$B$17+1)),0))/((Presion_cilindro!O426+Presion_cilindro!O427)/2)</f>
        <v>21.521085712105751</v>
      </c>
      <c r="H435" s="27">
        <f>H434*(Presion_cilindro!O426/Presion_cilindro!O427)^Presion_cilindro!$B$9+10*(Presion_cilindro!$B$9-1)*Presion_cilindro!$B$33*(IF(Presion_cilindro!N427&gt;(-H$4+Presion_cilindro!$B$34),1-EXP(-Presion_cilindro!$B$16*((Presion_cilindro!N427-(-H$4+Presion_cilindro!$B$34))/Presion_cilindro!$B$35)^(Presion_cilindro!$B$17+1)),0)-IF(Presion_cilindro!N426&gt;(-H$4+Presion_cilindro!$B$34),1-EXP(-Presion_cilindro!$B$16*((Presion_cilindro!N426-(-H$4+Presion_cilindro!$B$34))/Presion_cilindro!$B$35)^(Presion_cilindro!$B$17+1)),0))/((Presion_cilindro!O426+Presion_cilindro!O427)/2)</f>
        <v>21.400840794840811</v>
      </c>
      <c r="I435" s="27">
        <f>I434*(Presion_cilindro!O426/Presion_cilindro!O427)^Presion_cilindro!$B$9+10*(Presion_cilindro!$B$9-1)*Presion_cilindro!$B$33*(IF(Presion_cilindro!N427&gt;(-I$4+Presion_cilindro!$B$34),1-EXP(-Presion_cilindro!$B$16*((Presion_cilindro!N427-(-I$4+Presion_cilindro!$B$34))/Presion_cilindro!$B$35)^(Presion_cilindro!$B$17+1)),0)-IF(Presion_cilindro!N426&gt;(-I$4+Presion_cilindro!$B$34),1-EXP(-Presion_cilindro!$B$16*((Presion_cilindro!N426-(-I$4+Presion_cilindro!$B$34))/Presion_cilindro!$B$35)^(Presion_cilindro!$B$17+1)),0))/((Presion_cilindro!O426+Presion_cilindro!O427)/2)</f>
        <v>21.368139908807834</v>
      </c>
      <c r="J435" s="27">
        <f>J434*(Presion_cilindro!O426/Presion_cilindro!O427)^Presion_cilindro!$B$9+10*(Presion_cilindro!$B$9-1)*Presion_cilindro!$B$33*(IF(Presion_cilindro!N427&gt;(-J$4+Presion_cilindro!$B$34),1-EXP(-Presion_cilindro!$B$16*((Presion_cilindro!N427-(-J$4+Presion_cilindro!$B$34))/Presion_cilindro!$B$35)^(Presion_cilindro!$B$17+1)),0)-IF(Presion_cilindro!N426&gt;(-J$4+Presion_cilindro!$B$34),1-EXP(-Presion_cilindro!$B$16*((Presion_cilindro!N426-(-J$4+Presion_cilindro!$B$34))/Presion_cilindro!$B$35)^(Presion_cilindro!$B$17+1)),0))/((Presion_cilindro!O426+Presion_cilindro!O427)/2)</f>
        <v>21.493089947454408</v>
      </c>
      <c r="K435" s="27">
        <f>K434*(Presion_cilindro!O426/Presion_cilindro!O427)^Presion_cilindro!$B$9+10*(Presion_cilindro!$B$9-1)*Presion_cilindro!$B$33*(IF(Presion_cilindro!N427&gt;(-K$4+Presion_cilindro!$B$34),1-EXP(-Presion_cilindro!$B$16*((Presion_cilindro!N427-(-K$4+Presion_cilindro!$B$34))/Presion_cilindro!$B$35)^(Presion_cilindro!$B$17+1)),0)-IF(Presion_cilindro!N426&gt;(-K$4+Presion_cilindro!$B$34),1-EXP(-Presion_cilindro!$B$16*((Presion_cilindro!N426-(-K$4+Presion_cilindro!$B$34))/Presion_cilindro!$B$35)^(Presion_cilindro!$B$17+1)),0))/((Presion_cilindro!O426+Presion_cilindro!O427)/2)</f>
        <v>21.783044916256419</v>
      </c>
      <c r="L435" s="27">
        <f>L434*(Presion_cilindro!O426/Presion_cilindro!O427)^Presion_cilindro!$B$9+10*(Presion_cilindro!$B$9-1)*Presion_cilindro!$B$33*(IF(Presion_cilindro!N427&gt;(-L$4+Presion_cilindro!$B$34),1-EXP(-Presion_cilindro!$B$16*((Presion_cilindro!N427-(-L$4+Presion_cilindro!$B$34))/Presion_cilindro!$B$35)^(Presion_cilindro!$B$17+1)),0)-IF(Presion_cilindro!N426&gt;(-L$4+Presion_cilindro!$B$34),1-EXP(-Presion_cilindro!$B$16*((Presion_cilindro!N426-(-L$4+Presion_cilindro!$B$34))/Presion_cilindro!$B$35)^(Presion_cilindro!$B$17+1)),0))/((Presion_cilindro!O426+Presion_cilindro!O427)/2)</f>
        <v>22.221804502809032</v>
      </c>
      <c r="M435" s="27">
        <f>M434*(Presion_cilindro!O426/Presion_cilindro!O427)^Presion_cilindro!$B$9+10*(Presion_cilindro!$B$9-1)*Presion_cilindro!$B$33*(IF(Presion_cilindro!N427&gt;(-M$4+Presion_cilindro!$B$34),1-EXP(-Presion_cilindro!$B$16*((Presion_cilindro!N427-(-M$4+Presion_cilindro!$B$34))/Presion_cilindro!$B$35)^(Presion_cilindro!$B$17+1)),0)-IF(Presion_cilindro!N426&gt;(-M$4+Presion_cilindro!$B$34),1-EXP(-Presion_cilindro!$B$16*((Presion_cilindro!N426-(-M$4+Presion_cilindro!$B$34))/Presion_cilindro!$B$35)^(Presion_cilindro!$B$17+1)),0))/((Presion_cilindro!O426+Presion_cilindro!O427)/2)</f>
        <v>22.784163333793092</v>
      </c>
      <c r="N435" s="27">
        <f>N434*(Presion_cilindro!O426/Presion_cilindro!O427)^Presion_cilindro!$B$9+10*(Presion_cilindro!$B$9-1)*Presion_cilindro!$B$33*(IF(Presion_cilindro!N427&gt;(-N$4+Presion_cilindro!$B$34),1-EXP(-Presion_cilindro!$B$16*((Presion_cilindro!N427-(-N$4+Presion_cilindro!$B$34))/Presion_cilindro!$B$35)^(Presion_cilindro!$B$17+1)),0)-IF(Presion_cilindro!N426&gt;(-N$4+Presion_cilindro!$B$34),1-EXP(-Presion_cilindro!$B$16*((Presion_cilindro!N426-(-N$4+Presion_cilindro!$B$34))/Presion_cilindro!$B$35)^(Presion_cilindro!$B$17+1)),0))/((Presion_cilindro!O426+Presion_cilindro!O427)/2)</f>
        <v>23.441930767913174</v>
      </c>
    </row>
    <row r="436" spans="1:14" x14ac:dyDescent="0.25">
      <c r="A436" s="21">
        <f>Presion_cilindro!N428</f>
        <v>32</v>
      </c>
      <c r="B436" s="27">
        <f>B435*(Presion_cilindro!O427/Presion_cilindro!O428)^Presion_cilindro!$B$9+10*(Presion_cilindro!$B$9-1)*Presion_cilindro!$B$33*(IF(Presion_cilindro!N428&gt;(-B$4+Presion_cilindro!$B$34),1-EXP(-Presion_cilindro!$B$16*((Presion_cilindro!N428-(-B$4+Presion_cilindro!$B$34))/Presion_cilindro!$B$35)^(Presion_cilindro!$B$17+1)),0)-IF(Presion_cilindro!N427&gt;(-B$4+Presion_cilindro!$B$34),1-EXP(-Presion_cilindro!$B$16*((Presion_cilindro!N427-(-B$4+Presion_cilindro!$B$34))/Presion_cilindro!$B$35)^(Presion_cilindro!$B$17+1)),0))/((Presion_cilindro!O427+Presion_cilindro!O428)/2)</f>
        <v>14.256724910861408</v>
      </c>
      <c r="C436" s="27">
        <f>C435*(Presion_cilindro!O427/Presion_cilindro!O428)^Presion_cilindro!$B$9+10*(Presion_cilindro!$B$9-1)*Presion_cilindro!$B$33*(IF(Presion_cilindro!N428&gt;(-C$4+Presion_cilindro!$B$34),1-EXP(-Presion_cilindro!$B$16*((Presion_cilindro!N428-(-C$4+Presion_cilindro!$B$34))/Presion_cilindro!$B$35)^(Presion_cilindro!$B$17+1)),0)-IF(Presion_cilindro!N427&gt;(-C$4+Presion_cilindro!$B$34),1-EXP(-Presion_cilindro!$B$16*((Presion_cilindro!N427-(-C$4+Presion_cilindro!$B$34))/Presion_cilindro!$B$35)^(Presion_cilindro!$B$17+1)),0))/((Presion_cilindro!O427+Presion_cilindro!O428)/2)</f>
        <v>17.265191716698062</v>
      </c>
      <c r="D436" s="27">
        <f>D435*(Presion_cilindro!O427/Presion_cilindro!O428)^Presion_cilindro!$B$9+10*(Presion_cilindro!$B$9-1)*Presion_cilindro!$B$33*(IF(Presion_cilindro!N428&gt;(-D$4+Presion_cilindro!$B$34),1-EXP(-Presion_cilindro!$B$16*((Presion_cilindro!N428-(-D$4+Presion_cilindro!$B$34))/Presion_cilindro!$B$35)^(Presion_cilindro!$B$17+1)),0)-IF(Presion_cilindro!N427&gt;(-D$4+Presion_cilindro!$B$34),1-EXP(-Presion_cilindro!$B$16*((Presion_cilindro!N427-(-D$4+Presion_cilindro!$B$34))/Presion_cilindro!$B$35)^(Presion_cilindro!$B$17+1)),0))/((Presion_cilindro!O427+Presion_cilindro!O428)/2)</f>
        <v>19.543126239504261</v>
      </c>
      <c r="E436" s="27">
        <f>E435*(Presion_cilindro!O427/Presion_cilindro!O428)^Presion_cilindro!$B$9+10*(Presion_cilindro!$B$9-1)*Presion_cilindro!$B$33*(IF(Presion_cilindro!N428&gt;(-E$4+Presion_cilindro!$B$34),1-EXP(-Presion_cilindro!$B$16*((Presion_cilindro!N428-(-E$4+Presion_cilindro!$B$34))/Presion_cilindro!$B$35)^(Presion_cilindro!$B$17+1)),0)-IF(Presion_cilindro!N427&gt;(-E$4+Presion_cilindro!$B$34),1-EXP(-Presion_cilindro!$B$16*((Presion_cilindro!N427-(-E$4+Presion_cilindro!$B$34))/Presion_cilindro!$B$35)^(Presion_cilindro!$B$17+1)),0))/((Presion_cilindro!O427+Presion_cilindro!O428)/2)</f>
        <v>20.791353377969962</v>
      </c>
      <c r="F436" s="27">
        <f>F435*(Presion_cilindro!O427/Presion_cilindro!O428)^Presion_cilindro!$B$9+10*(Presion_cilindro!$B$9-1)*Presion_cilindro!$B$33*(IF(Presion_cilindro!N428&gt;(-F$4+Presion_cilindro!$B$34),1-EXP(-Presion_cilindro!$B$16*((Presion_cilindro!N428-(-F$4+Presion_cilindro!$B$34))/Presion_cilindro!$B$35)^(Presion_cilindro!$B$17+1)),0)-IF(Presion_cilindro!N427&gt;(-F$4+Presion_cilindro!$B$34),1-EXP(-Presion_cilindro!$B$16*((Presion_cilindro!N427-(-F$4+Presion_cilindro!$B$34))/Presion_cilindro!$B$35)^(Presion_cilindro!$B$17+1)),0))/((Presion_cilindro!O427+Presion_cilindro!O428)/2)</f>
        <v>21.188172056561847</v>
      </c>
      <c r="G436" s="27">
        <f>G435*(Presion_cilindro!O427/Presion_cilindro!O428)^Presion_cilindro!$B$9+10*(Presion_cilindro!$B$9-1)*Presion_cilindro!$B$33*(IF(Presion_cilindro!N428&gt;(-G$4+Presion_cilindro!$B$34),1-EXP(-Presion_cilindro!$B$16*((Presion_cilindro!N428-(-G$4+Presion_cilindro!$B$34))/Presion_cilindro!$B$35)^(Presion_cilindro!$B$17+1)),0)-IF(Presion_cilindro!N427&gt;(-G$4+Presion_cilindro!$B$34),1-EXP(-Presion_cilindro!$B$16*((Presion_cilindro!N427-(-G$4+Presion_cilindro!$B$34))/Presion_cilindro!$B$35)^(Presion_cilindro!$B$17+1)),0))/((Presion_cilindro!O427+Presion_cilindro!O428)/2)</f>
        <v>21.144775031822746</v>
      </c>
      <c r="H436" s="27">
        <f>H435*(Presion_cilindro!O427/Presion_cilindro!O428)^Presion_cilindro!$B$9+10*(Presion_cilindro!$B$9-1)*Presion_cilindro!$B$33*(IF(Presion_cilindro!N428&gt;(-H$4+Presion_cilindro!$B$34),1-EXP(-Presion_cilindro!$B$16*((Presion_cilindro!N428-(-H$4+Presion_cilindro!$B$34))/Presion_cilindro!$B$35)^(Presion_cilindro!$B$17+1)),0)-IF(Presion_cilindro!N427&gt;(-H$4+Presion_cilindro!$B$34),1-EXP(-Presion_cilindro!$B$16*((Presion_cilindro!N427-(-H$4+Presion_cilindro!$B$34))/Presion_cilindro!$B$35)^(Presion_cilindro!$B$17+1)),0))/((Presion_cilindro!O427+Presion_cilindro!O428)/2)</f>
        <v>21.013013108957981</v>
      </c>
      <c r="I436" s="27">
        <f>I435*(Presion_cilindro!O427/Presion_cilindro!O428)^Presion_cilindro!$B$9+10*(Presion_cilindro!$B$9-1)*Presion_cilindro!$B$33*(IF(Presion_cilindro!N428&gt;(-I$4+Presion_cilindro!$B$34),1-EXP(-Presion_cilindro!$B$16*((Presion_cilindro!N428-(-I$4+Presion_cilindro!$B$34))/Presion_cilindro!$B$35)^(Presion_cilindro!$B$17+1)),0)-IF(Presion_cilindro!N427&gt;(-I$4+Presion_cilindro!$B$34),1-EXP(-Presion_cilindro!$B$16*((Presion_cilindro!N427-(-I$4+Presion_cilindro!$B$34))/Presion_cilindro!$B$35)^(Presion_cilindro!$B$17+1)),0))/((Presion_cilindro!O427+Presion_cilindro!O428)/2)</f>
        <v>20.977491533453438</v>
      </c>
      <c r="J436" s="27">
        <f>J435*(Presion_cilindro!O427/Presion_cilindro!O428)^Presion_cilindro!$B$9+10*(Presion_cilindro!$B$9-1)*Presion_cilindro!$B$33*(IF(Presion_cilindro!N428&gt;(-J$4+Presion_cilindro!$B$34),1-EXP(-Presion_cilindro!$B$16*((Presion_cilindro!N428-(-J$4+Presion_cilindro!$B$34))/Presion_cilindro!$B$35)^(Presion_cilindro!$B$17+1)),0)-IF(Presion_cilindro!N427&gt;(-J$4+Presion_cilindro!$B$34),1-EXP(-Presion_cilindro!$B$16*((Presion_cilindro!N427-(-J$4+Presion_cilindro!$B$34))/Presion_cilindro!$B$35)^(Presion_cilindro!$B$17+1)),0))/((Presion_cilindro!O427+Presion_cilindro!O428)/2)</f>
        <v>21.099569124639817</v>
      </c>
      <c r="K436" s="27">
        <f>K435*(Presion_cilindro!O427/Presion_cilindro!O428)^Presion_cilindro!$B$9+10*(Presion_cilindro!$B$9-1)*Presion_cilindro!$B$33*(IF(Presion_cilindro!N428&gt;(-K$4+Presion_cilindro!$B$34),1-EXP(-Presion_cilindro!$B$16*((Presion_cilindro!N428-(-K$4+Presion_cilindro!$B$34))/Presion_cilindro!$B$35)^(Presion_cilindro!$B$17+1)),0)-IF(Presion_cilindro!N427&gt;(-K$4+Presion_cilindro!$B$34),1-EXP(-Presion_cilindro!$B$16*((Presion_cilindro!N427-(-K$4+Presion_cilindro!$B$34))/Presion_cilindro!$B$35)^(Presion_cilindro!$B$17+1)),0))/((Presion_cilindro!O427+Presion_cilindro!O428)/2)</f>
        <v>21.384147239033755</v>
      </c>
      <c r="L436" s="27">
        <f>L435*(Presion_cilindro!O427/Presion_cilindro!O428)^Presion_cilindro!$B$9+10*(Presion_cilindro!$B$9-1)*Presion_cilindro!$B$33*(IF(Presion_cilindro!N428&gt;(-L$4+Presion_cilindro!$B$34),1-EXP(-Presion_cilindro!$B$16*((Presion_cilindro!N428-(-L$4+Presion_cilindro!$B$34))/Presion_cilindro!$B$35)^(Presion_cilindro!$B$17+1)),0)-IF(Presion_cilindro!N427&gt;(-L$4+Presion_cilindro!$B$34),1-EXP(-Presion_cilindro!$B$16*((Presion_cilindro!N427-(-L$4+Presion_cilindro!$B$34))/Presion_cilindro!$B$35)^(Presion_cilindro!$B$17+1)),0))/((Presion_cilindro!O427+Presion_cilindro!O428)/2)</f>
        <v>21.814866975469524</v>
      </c>
      <c r="M436" s="27">
        <f>M435*(Presion_cilindro!O427/Presion_cilindro!O428)^Presion_cilindro!$B$9+10*(Presion_cilindro!$B$9-1)*Presion_cilindro!$B$33*(IF(Presion_cilindro!N428&gt;(-M$4+Presion_cilindro!$B$34),1-EXP(-Presion_cilindro!$B$16*((Presion_cilindro!N428-(-M$4+Presion_cilindro!$B$34))/Presion_cilindro!$B$35)^(Presion_cilindro!$B$17+1)),0)-IF(Presion_cilindro!N427&gt;(-M$4+Presion_cilindro!$B$34),1-EXP(-Presion_cilindro!$B$16*((Presion_cilindro!N427-(-M$4+Presion_cilindro!$B$34))/Presion_cilindro!$B$35)^(Presion_cilindro!$B$17+1)),0))/((Presion_cilindro!O427+Presion_cilindro!O428)/2)</f>
        <v>22.366927342588028</v>
      </c>
      <c r="N436" s="27">
        <f>N435*(Presion_cilindro!O427/Presion_cilindro!O428)^Presion_cilindro!$B$9+10*(Presion_cilindro!$B$9-1)*Presion_cilindro!$B$33*(IF(Presion_cilindro!N428&gt;(-N$4+Presion_cilindro!$B$34),1-EXP(-Presion_cilindro!$B$16*((Presion_cilindro!N428-(-N$4+Presion_cilindro!$B$34))/Presion_cilindro!$B$35)^(Presion_cilindro!$B$17+1)),0)-IF(Presion_cilindro!N427&gt;(-N$4+Presion_cilindro!$B$34),1-EXP(-Presion_cilindro!$B$16*((Presion_cilindro!N427-(-N$4+Presion_cilindro!$B$34))/Presion_cilindro!$B$35)^(Presion_cilindro!$B$17+1)),0))/((Presion_cilindro!O427+Presion_cilindro!O428)/2)</f>
        <v>23.012649374199253</v>
      </c>
    </row>
    <row r="437" spans="1:14" x14ac:dyDescent="0.25">
      <c r="A437" s="21">
        <f>Presion_cilindro!N429</f>
        <v>32.5</v>
      </c>
      <c r="B437" s="27">
        <f>B436*(Presion_cilindro!O428/Presion_cilindro!O429)^Presion_cilindro!$B$9+10*(Presion_cilindro!$B$9-1)*Presion_cilindro!$B$33*(IF(Presion_cilindro!N429&gt;(-B$4+Presion_cilindro!$B$34),1-EXP(-Presion_cilindro!$B$16*((Presion_cilindro!N429-(-B$4+Presion_cilindro!$B$34))/Presion_cilindro!$B$35)^(Presion_cilindro!$B$17+1)),0)-IF(Presion_cilindro!N428&gt;(-B$4+Presion_cilindro!$B$34),1-EXP(-Presion_cilindro!$B$16*((Presion_cilindro!N428-(-B$4+Presion_cilindro!$B$34))/Presion_cilindro!$B$35)^(Presion_cilindro!$B$17+1)),0))/((Presion_cilindro!O428+Presion_cilindro!O429)/2)</f>
        <v>14.339994482022638</v>
      </c>
      <c r="C437" s="27">
        <f>C436*(Presion_cilindro!O428/Presion_cilindro!O429)^Presion_cilindro!$B$9+10*(Presion_cilindro!$B$9-1)*Presion_cilindro!$B$33*(IF(Presion_cilindro!N429&gt;(-C$4+Presion_cilindro!$B$34),1-EXP(-Presion_cilindro!$B$16*((Presion_cilindro!N429-(-C$4+Presion_cilindro!$B$34))/Presion_cilindro!$B$35)^(Presion_cilindro!$B$17+1)),0)-IF(Presion_cilindro!N428&gt;(-C$4+Presion_cilindro!$B$34),1-EXP(-Presion_cilindro!$B$16*((Presion_cilindro!N428-(-C$4+Presion_cilindro!$B$34))/Presion_cilindro!$B$35)^(Presion_cilindro!$B$17+1)),0))/((Presion_cilindro!O428+Presion_cilindro!O429)/2)</f>
        <v>17.259494714802706</v>
      </c>
      <c r="D437" s="27">
        <f>D436*(Presion_cilindro!O428/Presion_cilindro!O429)^Presion_cilindro!$B$9+10*(Presion_cilindro!$B$9-1)*Presion_cilindro!$B$33*(IF(Presion_cilindro!N429&gt;(-D$4+Presion_cilindro!$B$34),1-EXP(-Presion_cilindro!$B$16*((Presion_cilindro!N429-(-D$4+Presion_cilindro!$B$34))/Presion_cilindro!$B$35)^(Presion_cilindro!$B$17+1)),0)-IF(Presion_cilindro!N428&gt;(-D$4+Presion_cilindro!$B$34),1-EXP(-Presion_cilindro!$B$16*((Presion_cilindro!N428-(-D$4+Presion_cilindro!$B$34))/Presion_cilindro!$B$35)^(Presion_cilindro!$B$17+1)),0))/((Presion_cilindro!O428+Presion_cilindro!O429)/2)</f>
        <v>19.405337522452889</v>
      </c>
      <c r="E437" s="27">
        <f>E436*(Presion_cilindro!O428/Presion_cilindro!O429)^Presion_cilindro!$B$9+10*(Presion_cilindro!$B$9-1)*Presion_cilindro!$B$33*(IF(Presion_cilindro!N429&gt;(-E$4+Presion_cilindro!$B$34),1-EXP(-Presion_cilindro!$B$16*((Presion_cilindro!N429-(-E$4+Presion_cilindro!$B$34))/Presion_cilindro!$B$35)^(Presion_cilindro!$B$17+1)),0)-IF(Presion_cilindro!N428&gt;(-E$4+Presion_cilindro!$B$34),1-EXP(-Presion_cilindro!$B$16*((Presion_cilindro!N428-(-E$4+Presion_cilindro!$B$34))/Presion_cilindro!$B$35)^(Presion_cilindro!$B$17+1)),0))/((Presion_cilindro!O428+Presion_cilindro!O429)/2)</f>
        <v>20.531441504621398</v>
      </c>
      <c r="F437" s="27">
        <f>F436*(Presion_cilindro!O428/Presion_cilindro!O429)^Presion_cilindro!$B$9+10*(Presion_cilindro!$B$9-1)*Presion_cilindro!$B$33*(IF(Presion_cilindro!N429&gt;(-F$4+Presion_cilindro!$B$34),1-EXP(-Presion_cilindro!$B$16*((Presion_cilindro!N429-(-F$4+Presion_cilindro!$B$34))/Presion_cilindro!$B$35)^(Presion_cilindro!$B$17+1)),0)-IF(Presion_cilindro!N428&gt;(-F$4+Presion_cilindro!$B$34),1-EXP(-Presion_cilindro!$B$16*((Presion_cilindro!N428-(-F$4+Presion_cilindro!$B$34))/Presion_cilindro!$B$35)^(Presion_cilindro!$B$17+1)),0))/((Presion_cilindro!O428+Presion_cilindro!O429)/2)</f>
        <v>20.850564600491218</v>
      </c>
      <c r="G437" s="27">
        <f>G436*(Presion_cilindro!O428/Presion_cilindro!O429)^Presion_cilindro!$B$9+10*(Presion_cilindro!$B$9-1)*Presion_cilindro!$B$33*(IF(Presion_cilindro!N429&gt;(-G$4+Presion_cilindro!$B$34),1-EXP(-Presion_cilindro!$B$16*((Presion_cilindro!N429-(-G$4+Presion_cilindro!$B$34))/Presion_cilindro!$B$35)^(Presion_cilindro!$B$17+1)),0)-IF(Presion_cilindro!N428&gt;(-G$4+Presion_cilindro!$B$34),1-EXP(-Presion_cilindro!$B$16*((Presion_cilindro!N428-(-G$4+Presion_cilindro!$B$34))/Presion_cilindro!$B$35)^(Presion_cilindro!$B$17+1)),0))/((Presion_cilindro!O428+Presion_cilindro!O429)/2)</f>
        <v>20.773292855623868</v>
      </c>
      <c r="H437" s="27">
        <f>H436*(Presion_cilindro!O428/Presion_cilindro!O429)^Presion_cilindro!$B$9+10*(Presion_cilindro!$B$9-1)*Presion_cilindro!$B$33*(IF(Presion_cilindro!N429&gt;(-H$4+Presion_cilindro!$B$34),1-EXP(-Presion_cilindro!$B$16*((Presion_cilindro!N429-(-H$4+Presion_cilindro!$B$34))/Presion_cilindro!$B$35)^(Presion_cilindro!$B$17+1)),0)-IF(Presion_cilindro!N428&gt;(-H$4+Presion_cilindro!$B$34),1-EXP(-Presion_cilindro!$B$16*((Presion_cilindro!N428-(-H$4+Presion_cilindro!$B$34))/Presion_cilindro!$B$35)^(Presion_cilindro!$B$17+1)),0))/((Presion_cilindro!O428+Presion_cilindro!O429)/2)</f>
        <v>20.631971077095468</v>
      </c>
      <c r="I437" s="27">
        <f>I436*(Presion_cilindro!O428/Presion_cilindro!O429)^Presion_cilindro!$B$9+10*(Presion_cilindro!$B$9-1)*Presion_cilindro!$B$33*(IF(Presion_cilindro!N429&gt;(-I$4+Presion_cilindro!$B$34),1-EXP(-Presion_cilindro!$B$16*((Presion_cilindro!N429-(-I$4+Presion_cilindro!$B$34))/Presion_cilindro!$B$35)^(Presion_cilindro!$B$17+1)),0)-IF(Presion_cilindro!N428&gt;(-I$4+Presion_cilindro!$B$34),1-EXP(-Presion_cilindro!$B$16*((Presion_cilindro!N428-(-I$4+Presion_cilindro!$B$34))/Presion_cilindro!$B$35)^(Presion_cilindro!$B$17+1)),0))/((Presion_cilindro!O428+Presion_cilindro!O429)/2)</f>
        <v>20.594223878437109</v>
      </c>
      <c r="J437" s="27">
        <f>J436*(Presion_cilindro!O428/Presion_cilindro!O429)^Presion_cilindro!$B$9+10*(Presion_cilindro!$B$9-1)*Presion_cilindro!$B$33*(IF(Presion_cilindro!N429&gt;(-J$4+Presion_cilindro!$B$34),1-EXP(-Presion_cilindro!$B$16*((Presion_cilindro!N429-(-J$4+Presion_cilindro!$B$34))/Presion_cilindro!$B$35)^(Presion_cilindro!$B$17+1)),0)-IF(Presion_cilindro!N428&gt;(-J$4+Presion_cilindro!$B$34),1-EXP(-Presion_cilindro!$B$16*((Presion_cilindro!N428-(-J$4+Presion_cilindro!$B$34))/Presion_cilindro!$B$35)^(Presion_cilindro!$B$17+1)),0))/((Presion_cilindro!O428+Presion_cilindro!O429)/2)</f>
        <v>20.713595362590219</v>
      </c>
      <c r="K437" s="27">
        <f>K436*(Presion_cilindro!O428/Presion_cilindro!O429)^Presion_cilindro!$B$9+10*(Presion_cilindro!$B$9-1)*Presion_cilindro!$B$33*(IF(Presion_cilindro!N429&gt;(-K$4+Presion_cilindro!$B$34),1-EXP(-Presion_cilindro!$B$16*((Presion_cilindro!N429-(-K$4+Presion_cilindro!$B$34))/Presion_cilindro!$B$35)^(Presion_cilindro!$B$17+1)),0)-IF(Presion_cilindro!N428&gt;(-K$4+Presion_cilindro!$B$34),1-EXP(-Presion_cilindro!$B$16*((Presion_cilindro!N428-(-K$4+Presion_cilindro!$B$34))/Presion_cilindro!$B$35)^(Presion_cilindro!$B$17+1)),0))/((Presion_cilindro!O428+Presion_cilindro!O429)/2)</f>
        <v>20.99291489781146</v>
      </c>
      <c r="L437" s="27">
        <f>L436*(Presion_cilindro!O428/Presion_cilindro!O429)^Presion_cilindro!$B$9+10*(Presion_cilindro!$B$9-1)*Presion_cilindro!$B$33*(IF(Presion_cilindro!N429&gt;(-L$4+Presion_cilindro!$B$34),1-EXP(-Presion_cilindro!$B$16*((Presion_cilindro!N429-(-L$4+Presion_cilindro!$B$34))/Presion_cilindro!$B$35)^(Presion_cilindro!$B$17+1)),0)-IF(Presion_cilindro!N428&gt;(-L$4+Presion_cilindro!$B$34),1-EXP(-Presion_cilindro!$B$16*((Presion_cilindro!N428-(-L$4+Presion_cilindro!$B$34))/Presion_cilindro!$B$35)^(Presion_cilindro!$B$17+1)),0))/((Presion_cilindro!O428+Presion_cilindro!O429)/2)</f>
        <v>21.415750598568991</v>
      </c>
      <c r="M437" s="27">
        <f>M436*(Presion_cilindro!O428/Presion_cilindro!O429)^Presion_cilindro!$B$9+10*(Presion_cilindro!$B$9-1)*Presion_cilindro!$B$33*(IF(Presion_cilindro!N429&gt;(-M$4+Presion_cilindro!$B$34),1-EXP(-Presion_cilindro!$B$16*((Presion_cilindro!N429-(-M$4+Presion_cilindro!$B$34))/Presion_cilindro!$B$35)^(Presion_cilindro!$B$17+1)),0)-IF(Presion_cilindro!N428&gt;(-M$4+Presion_cilindro!$B$34),1-EXP(-Presion_cilindro!$B$16*((Presion_cilindro!N428-(-M$4+Presion_cilindro!$B$34))/Presion_cilindro!$B$35)^(Presion_cilindro!$B$17+1)),0))/((Presion_cilindro!O428+Presion_cilindro!O429)/2)</f>
        <v>21.957710505636797</v>
      </c>
      <c r="N437" s="27">
        <f>N436*(Presion_cilindro!O428/Presion_cilindro!O429)^Presion_cilindro!$B$9+10*(Presion_cilindro!$B$9-1)*Presion_cilindro!$B$33*(IF(Presion_cilindro!N429&gt;(-N$4+Presion_cilindro!$B$34),1-EXP(-Presion_cilindro!$B$16*((Presion_cilindro!N429-(-N$4+Presion_cilindro!$B$34))/Presion_cilindro!$B$35)^(Presion_cilindro!$B$17+1)),0)-IF(Presion_cilindro!N428&gt;(-N$4+Presion_cilindro!$B$34),1-EXP(-Presion_cilindro!$B$16*((Presion_cilindro!N428-(-N$4+Presion_cilindro!$B$34))/Presion_cilindro!$B$35)^(Presion_cilindro!$B$17+1)),0))/((Presion_cilindro!O428+Presion_cilindro!O429)/2)</f>
        <v>22.591618646290868</v>
      </c>
    </row>
    <row r="438" spans="1:14" x14ac:dyDescent="0.25">
      <c r="A438" s="21">
        <f>Presion_cilindro!N430</f>
        <v>33</v>
      </c>
      <c r="B438" s="27">
        <f>B437*(Presion_cilindro!O429/Presion_cilindro!O430)^Presion_cilindro!$B$9+10*(Presion_cilindro!$B$9-1)*Presion_cilindro!$B$33*(IF(Presion_cilindro!N430&gt;(-B$4+Presion_cilindro!$B$34),1-EXP(-Presion_cilindro!$B$16*((Presion_cilindro!N430-(-B$4+Presion_cilindro!$B$34))/Presion_cilindro!$B$35)^(Presion_cilindro!$B$17+1)),0)-IF(Presion_cilindro!N429&gt;(-B$4+Presion_cilindro!$B$34),1-EXP(-Presion_cilindro!$B$16*((Presion_cilindro!N429-(-B$4+Presion_cilindro!$B$34))/Presion_cilindro!$B$35)^(Presion_cilindro!$B$17+1)),0))/((Presion_cilindro!O429+Presion_cilindro!O430)/2)</f>
        <v>14.417373605070065</v>
      </c>
      <c r="C438" s="27">
        <f>C437*(Presion_cilindro!O429/Presion_cilindro!O430)^Presion_cilindro!$B$9+10*(Presion_cilindro!$B$9-1)*Presion_cilindro!$B$33*(IF(Presion_cilindro!N430&gt;(-C$4+Presion_cilindro!$B$34),1-EXP(-Presion_cilindro!$B$16*((Presion_cilindro!N430-(-C$4+Presion_cilindro!$B$34))/Presion_cilindro!$B$35)^(Presion_cilindro!$B$17+1)),0)-IF(Presion_cilindro!N429&gt;(-C$4+Presion_cilindro!$B$34),1-EXP(-Presion_cilindro!$B$16*((Presion_cilindro!N429-(-C$4+Presion_cilindro!$B$34))/Presion_cilindro!$B$35)^(Presion_cilindro!$B$17+1)),0))/((Presion_cilindro!O429+Presion_cilindro!O430)/2)</f>
        <v>17.242922014800328</v>
      </c>
      <c r="D438" s="27">
        <f>D437*(Presion_cilindro!O429/Presion_cilindro!O430)^Presion_cilindro!$B$9+10*(Presion_cilindro!$B$9-1)*Presion_cilindro!$B$33*(IF(Presion_cilindro!N430&gt;(-D$4+Presion_cilindro!$B$34),1-EXP(-Presion_cilindro!$B$16*((Presion_cilindro!N430-(-D$4+Presion_cilindro!$B$34))/Presion_cilindro!$B$35)^(Presion_cilindro!$B$17+1)),0)-IF(Presion_cilindro!N429&gt;(-D$4+Presion_cilindro!$B$34),1-EXP(-Presion_cilindro!$B$16*((Presion_cilindro!N429-(-D$4+Presion_cilindro!$B$34))/Presion_cilindro!$B$35)^(Presion_cilindro!$B$17+1)),0))/((Presion_cilindro!O429+Presion_cilindro!O430)/2)</f>
        <v>19.257254474666443</v>
      </c>
      <c r="E438" s="27">
        <f>E437*(Presion_cilindro!O429/Presion_cilindro!O430)^Presion_cilindro!$B$9+10*(Presion_cilindro!$B$9-1)*Presion_cilindro!$B$33*(IF(Presion_cilindro!N430&gt;(-E$4+Presion_cilindro!$B$34),1-EXP(-Presion_cilindro!$B$16*((Presion_cilindro!N430-(-E$4+Presion_cilindro!$B$34))/Presion_cilindro!$B$35)^(Presion_cilindro!$B$17+1)),0)-IF(Presion_cilindro!N429&gt;(-E$4+Presion_cilindro!$B$34),1-EXP(-Presion_cilindro!$B$16*((Presion_cilindro!N429-(-E$4+Presion_cilindro!$B$34))/Presion_cilindro!$B$35)^(Presion_cilindro!$B$17+1)),0))/((Presion_cilindro!O429+Presion_cilindro!O430)/2)</f>
        <v>20.266487197222514</v>
      </c>
      <c r="F438" s="27">
        <f>F437*(Presion_cilindro!O429/Presion_cilindro!O430)^Presion_cilindro!$B$9+10*(Presion_cilindro!$B$9-1)*Presion_cilindro!$B$33*(IF(Presion_cilindro!N430&gt;(-F$4+Presion_cilindro!$B$34),1-EXP(-Presion_cilindro!$B$16*((Presion_cilindro!N430-(-F$4+Presion_cilindro!$B$34))/Presion_cilindro!$B$35)^(Presion_cilindro!$B$17+1)),0)-IF(Presion_cilindro!N429&gt;(-F$4+Presion_cilindro!$B$34),1-EXP(-Presion_cilindro!$B$16*((Presion_cilindro!N429-(-F$4+Presion_cilindro!$B$34))/Presion_cilindro!$B$35)^(Presion_cilindro!$B$17+1)),0))/((Presion_cilindro!O429+Presion_cilindro!O430)/2)</f>
        <v>20.514022117343305</v>
      </c>
      <c r="G438" s="27">
        <f>G437*(Presion_cilindro!O429/Presion_cilindro!O430)^Presion_cilindro!$B$9+10*(Presion_cilindro!$B$9-1)*Presion_cilindro!$B$33*(IF(Presion_cilindro!N430&gt;(-G$4+Presion_cilindro!$B$34),1-EXP(-Presion_cilindro!$B$16*((Presion_cilindro!N430-(-G$4+Presion_cilindro!$B$34))/Presion_cilindro!$B$35)^(Presion_cilindro!$B$17+1)),0)-IF(Presion_cilindro!N429&gt;(-G$4+Presion_cilindro!$B$34),1-EXP(-Presion_cilindro!$B$16*((Presion_cilindro!N429-(-G$4+Presion_cilindro!$B$34))/Presion_cilindro!$B$35)^(Presion_cilindro!$B$17+1)),0))/((Presion_cilindro!O429+Presion_cilindro!O430)/2)</f>
        <v>20.406924977901788</v>
      </c>
      <c r="H438" s="27">
        <f>H437*(Presion_cilindro!O429/Presion_cilindro!O430)^Presion_cilindro!$B$9+10*(Presion_cilindro!$B$9-1)*Presion_cilindro!$B$33*(IF(Presion_cilindro!N430&gt;(-H$4+Presion_cilindro!$B$34),1-EXP(-Presion_cilindro!$B$16*((Presion_cilindro!N430-(-H$4+Presion_cilindro!$B$34))/Presion_cilindro!$B$35)^(Presion_cilindro!$B$17+1)),0)-IF(Presion_cilindro!N429&gt;(-H$4+Presion_cilindro!$B$34),1-EXP(-Presion_cilindro!$B$16*((Presion_cilindro!N429-(-H$4+Presion_cilindro!$B$34))/Presion_cilindro!$B$35)^(Presion_cilindro!$B$17+1)),0))/((Presion_cilindro!O429+Presion_cilindro!O430)/2)</f>
        <v>20.257778410820436</v>
      </c>
      <c r="I438" s="27">
        <f>I437*(Presion_cilindro!O429/Presion_cilindro!O430)^Presion_cilindro!$B$9+10*(Presion_cilindro!$B$9-1)*Presion_cilindro!$B$33*(IF(Presion_cilindro!N430&gt;(-I$4+Presion_cilindro!$B$34),1-EXP(-Presion_cilindro!$B$16*((Presion_cilindro!N430-(-I$4+Presion_cilindro!$B$34))/Presion_cilindro!$B$35)^(Presion_cilindro!$B$17+1)),0)-IF(Presion_cilindro!N429&gt;(-I$4+Presion_cilindro!$B$34),1-EXP(-Presion_cilindro!$B$16*((Presion_cilindro!N429-(-I$4+Presion_cilindro!$B$34))/Presion_cilindro!$B$35)^(Presion_cilindro!$B$17+1)),0))/((Presion_cilindro!O429+Presion_cilindro!O430)/2)</f>
        <v>20.218312067031857</v>
      </c>
      <c r="J438" s="27">
        <f>J437*(Presion_cilindro!O429/Presion_cilindro!O430)^Presion_cilindro!$B$9+10*(Presion_cilindro!$B$9-1)*Presion_cilindro!$B$33*(IF(Presion_cilindro!N430&gt;(-J$4+Presion_cilindro!$B$34),1-EXP(-Presion_cilindro!$B$16*((Presion_cilindro!N430-(-J$4+Presion_cilindro!$B$34))/Presion_cilindro!$B$35)^(Presion_cilindro!$B$17+1)),0)-IF(Presion_cilindro!N429&gt;(-J$4+Presion_cilindro!$B$34),1-EXP(-Presion_cilindro!$B$16*((Presion_cilindro!N429-(-J$4+Presion_cilindro!$B$34))/Presion_cilindro!$B$35)^(Presion_cilindro!$B$17+1)),0))/((Presion_cilindro!O429+Presion_cilindro!O430)/2)</f>
        <v>20.335121404137205</v>
      </c>
      <c r="K438" s="27">
        <f>K437*(Presion_cilindro!O429/Presion_cilindro!O430)^Presion_cilindro!$B$9+10*(Presion_cilindro!$B$9-1)*Presion_cilindro!$B$33*(IF(Presion_cilindro!N430&gt;(-K$4+Presion_cilindro!$B$34),1-EXP(-Presion_cilindro!$B$16*((Presion_cilindro!N430-(-K$4+Presion_cilindro!$B$34))/Presion_cilindro!$B$35)^(Presion_cilindro!$B$17+1)),0)-IF(Presion_cilindro!N429&gt;(-K$4+Presion_cilindro!$B$34),1-EXP(-Presion_cilindro!$B$16*((Presion_cilindro!N429-(-K$4+Presion_cilindro!$B$34))/Presion_cilindro!$B$35)^(Presion_cilindro!$B$17+1)),0))/((Presion_cilindro!O429+Presion_cilindro!O430)/2)</f>
        <v>20.609296462755008</v>
      </c>
      <c r="L438" s="27">
        <f>L437*(Presion_cilindro!O429/Presion_cilindro!O430)^Presion_cilindro!$B$9+10*(Presion_cilindro!$B$9-1)*Presion_cilindro!$B$33*(IF(Presion_cilindro!N430&gt;(-L$4+Presion_cilindro!$B$34),1-EXP(-Presion_cilindro!$B$16*((Presion_cilindro!N430-(-L$4+Presion_cilindro!$B$34))/Presion_cilindro!$B$35)^(Presion_cilindro!$B$17+1)),0)-IF(Presion_cilindro!N429&gt;(-L$4+Presion_cilindro!$B$34),1-EXP(-Presion_cilindro!$B$16*((Presion_cilindro!N429-(-L$4+Presion_cilindro!$B$34))/Presion_cilindro!$B$35)^(Presion_cilindro!$B$17+1)),0))/((Presion_cilindro!O429+Presion_cilindro!O430)/2)</f>
        <v>21.024402553222316</v>
      </c>
      <c r="M438" s="27">
        <f>M437*(Presion_cilindro!O429/Presion_cilindro!O430)^Presion_cilindro!$B$9+10*(Presion_cilindro!$B$9-1)*Presion_cilindro!$B$33*(IF(Presion_cilindro!N430&gt;(-M$4+Presion_cilindro!$B$34),1-EXP(-Presion_cilindro!$B$16*((Presion_cilindro!N430-(-M$4+Presion_cilindro!$B$34))/Presion_cilindro!$B$35)^(Presion_cilindro!$B$17+1)),0)-IF(Presion_cilindro!N429&gt;(-M$4+Presion_cilindro!$B$34),1-EXP(-Presion_cilindro!$B$16*((Presion_cilindro!N429-(-M$4+Presion_cilindro!$B$34))/Presion_cilindro!$B$35)^(Presion_cilindro!$B$17+1)),0))/((Presion_cilindro!O429+Presion_cilindro!O430)/2)</f>
        <v>21.556458645563392</v>
      </c>
      <c r="N438" s="27">
        <f>N437*(Presion_cilindro!O429/Presion_cilindro!O430)^Presion_cilindro!$B$9+10*(Presion_cilindro!$B$9-1)*Presion_cilindro!$B$33*(IF(Presion_cilindro!N430&gt;(-N$4+Presion_cilindro!$B$34),1-EXP(-Presion_cilindro!$B$16*((Presion_cilindro!N430-(-N$4+Presion_cilindro!$B$34))/Presion_cilindro!$B$35)^(Presion_cilindro!$B$17+1)),0)-IF(Presion_cilindro!N429&gt;(-N$4+Presion_cilindro!$B$34),1-EXP(-Presion_cilindro!$B$16*((Presion_cilindro!N429-(-N$4+Presion_cilindro!$B$34))/Presion_cilindro!$B$35)^(Presion_cilindro!$B$17+1)),0))/((Presion_cilindro!O429+Presion_cilindro!O430)/2)</f>
        <v>22.17878284192054</v>
      </c>
    </row>
    <row r="439" spans="1:14" x14ac:dyDescent="0.25">
      <c r="A439" s="21">
        <f>Presion_cilindro!N431</f>
        <v>33.5</v>
      </c>
      <c r="B439" s="27">
        <f>B438*(Presion_cilindro!O430/Presion_cilindro!O431)^Presion_cilindro!$B$9+10*(Presion_cilindro!$B$9-1)*Presion_cilindro!$B$33*(IF(Presion_cilindro!N431&gt;(-B$4+Presion_cilindro!$B$34),1-EXP(-Presion_cilindro!$B$16*((Presion_cilindro!N431-(-B$4+Presion_cilindro!$B$34))/Presion_cilindro!$B$35)^(Presion_cilindro!$B$17+1)),0)-IF(Presion_cilindro!N430&gt;(-B$4+Presion_cilindro!$B$34),1-EXP(-Presion_cilindro!$B$16*((Presion_cilindro!N430-(-B$4+Presion_cilindro!$B$34))/Presion_cilindro!$B$35)^(Presion_cilindro!$B$17+1)),0))/((Presion_cilindro!O430+Presion_cilindro!O431)/2)</f>
        <v>14.488328849224034</v>
      </c>
      <c r="C439" s="27">
        <f>C438*(Presion_cilindro!O430/Presion_cilindro!O431)^Presion_cilindro!$B$9+10*(Presion_cilindro!$B$9-1)*Presion_cilindro!$B$33*(IF(Presion_cilindro!N431&gt;(-C$4+Presion_cilindro!$B$34),1-EXP(-Presion_cilindro!$B$16*((Presion_cilindro!N431-(-C$4+Presion_cilindro!$B$34))/Presion_cilindro!$B$35)^(Presion_cilindro!$B$17+1)),0)-IF(Presion_cilindro!N430&gt;(-C$4+Presion_cilindro!$B$34),1-EXP(-Presion_cilindro!$B$16*((Presion_cilindro!N430-(-C$4+Presion_cilindro!$B$34))/Presion_cilindro!$B$35)^(Presion_cilindro!$B$17+1)),0))/((Presion_cilindro!O430+Presion_cilindro!O431)/2)</f>
        <v>17.215479041890386</v>
      </c>
      <c r="D439" s="27">
        <f>D438*(Presion_cilindro!O430/Presion_cilindro!O431)^Presion_cilindro!$B$9+10*(Presion_cilindro!$B$9-1)*Presion_cilindro!$B$33*(IF(Presion_cilindro!N431&gt;(-D$4+Presion_cilindro!$B$34),1-EXP(-Presion_cilindro!$B$16*((Presion_cilindro!N431-(-D$4+Presion_cilindro!$B$34))/Presion_cilindro!$B$35)^(Presion_cilindro!$B$17+1)),0)-IF(Presion_cilindro!N430&gt;(-D$4+Presion_cilindro!$B$34),1-EXP(-Presion_cilindro!$B$16*((Presion_cilindro!N430-(-D$4+Presion_cilindro!$B$34))/Presion_cilindro!$B$35)^(Presion_cilindro!$B$17+1)),0))/((Presion_cilindro!O430+Presion_cilindro!O431)/2)</f>
        <v>19.099449154885786</v>
      </c>
      <c r="E439" s="27">
        <f>E438*(Presion_cilindro!O430/Presion_cilindro!O431)^Presion_cilindro!$B$9+10*(Presion_cilindro!$B$9-1)*Presion_cilindro!$B$33*(IF(Presion_cilindro!N431&gt;(-E$4+Presion_cilindro!$B$34),1-EXP(-Presion_cilindro!$B$16*((Presion_cilindro!N431-(-E$4+Presion_cilindro!$B$34))/Presion_cilindro!$B$35)^(Presion_cilindro!$B$17+1)),0)-IF(Presion_cilindro!N430&gt;(-E$4+Presion_cilindro!$B$34),1-EXP(-Presion_cilindro!$B$16*((Presion_cilindro!N430-(-E$4+Presion_cilindro!$B$34))/Presion_cilindro!$B$35)^(Presion_cilindro!$B$17+1)),0))/((Presion_cilindro!O430+Presion_cilindro!O431)/2)</f>
        <v>19.997256588769915</v>
      </c>
      <c r="F439" s="27">
        <f>F438*(Presion_cilindro!O430/Presion_cilindro!O431)^Presion_cilindro!$B$9+10*(Presion_cilindro!$B$9-1)*Presion_cilindro!$B$33*(IF(Presion_cilindro!N431&gt;(-F$4+Presion_cilindro!$B$34),1-EXP(-Presion_cilindro!$B$16*((Presion_cilindro!N431-(-F$4+Presion_cilindro!$B$34))/Presion_cilindro!$B$35)^(Presion_cilindro!$B$17+1)),0)-IF(Presion_cilindro!N430&gt;(-F$4+Presion_cilindro!$B$34),1-EXP(-Presion_cilindro!$B$16*((Presion_cilindro!N430-(-F$4+Presion_cilindro!$B$34))/Presion_cilindro!$B$35)^(Presion_cilindro!$B$17+1)),0))/((Presion_cilindro!O430+Presion_cilindro!O431)/2)</f>
        <v>20.179105374639963</v>
      </c>
      <c r="G439" s="27">
        <f>G438*(Presion_cilindro!O430/Presion_cilindro!O431)^Presion_cilindro!$B$9+10*(Presion_cilindro!$B$9-1)*Presion_cilindro!$B$33*(IF(Presion_cilindro!N431&gt;(-G$4+Presion_cilindro!$B$34),1-EXP(-Presion_cilindro!$B$16*((Presion_cilindro!N431-(-G$4+Presion_cilindro!$B$34))/Presion_cilindro!$B$35)^(Presion_cilindro!$B$17+1)),0)-IF(Presion_cilindro!N430&gt;(-G$4+Presion_cilindro!$B$34),1-EXP(-Presion_cilindro!$B$16*((Presion_cilindro!N430-(-G$4+Presion_cilindro!$B$34))/Presion_cilindro!$B$35)^(Presion_cilindro!$B$17+1)),0))/((Presion_cilindro!O430+Presion_cilindro!O431)/2)</f>
        <v>20.04591548929567</v>
      </c>
      <c r="H439" s="27">
        <f>H438*(Presion_cilindro!O430/Presion_cilindro!O431)^Presion_cilindro!$B$9+10*(Presion_cilindro!$B$9-1)*Presion_cilindro!$B$33*(IF(Presion_cilindro!N431&gt;(-H$4+Presion_cilindro!$B$34),1-EXP(-Presion_cilindro!$B$16*((Presion_cilindro!N431-(-H$4+Presion_cilindro!$B$34))/Presion_cilindro!$B$35)^(Presion_cilindro!$B$17+1)),0)-IF(Presion_cilindro!N430&gt;(-H$4+Presion_cilindro!$B$34),1-EXP(-Presion_cilindro!$B$16*((Presion_cilindro!N430-(-H$4+Presion_cilindro!$B$34))/Presion_cilindro!$B$35)^(Presion_cilindro!$B$17+1)),0))/((Presion_cilindro!O430+Presion_cilindro!O431)/2)</f>
        <v>19.89047495421876</v>
      </c>
      <c r="I439" s="27">
        <f>I438*(Presion_cilindro!O430/Presion_cilindro!O431)^Presion_cilindro!$B$9+10*(Presion_cilindro!$B$9-1)*Presion_cilindro!$B$33*(IF(Presion_cilindro!N431&gt;(-I$4+Presion_cilindro!$B$34),1-EXP(-Presion_cilindro!$B$16*((Presion_cilindro!N431-(-I$4+Presion_cilindro!$B$34))/Presion_cilindro!$B$35)^(Presion_cilindro!$B$17+1)),0)-IF(Presion_cilindro!N430&gt;(-I$4+Presion_cilindro!$B$34),1-EXP(-Presion_cilindro!$B$16*((Presion_cilindro!N430-(-I$4+Presion_cilindro!$B$34))/Presion_cilindro!$B$35)^(Presion_cilindro!$B$17+1)),0))/((Presion_cilindro!O430+Presion_cilindro!O431)/2)</f>
        <v>19.849718350700797</v>
      </c>
      <c r="J439" s="27">
        <f>J438*(Presion_cilindro!O430/Presion_cilindro!O431)^Presion_cilindro!$B$9+10*(Presion_cilindro!$B$9-1)*Presion_cilindro!$B$33*(IF(Presion_cilindro!N431&gt;(-J$4+Presion_cilindro!$B$34),1-EXP(-Presion_cilindro!$B$16*((Presion_cilindro!N431-(-J$4+Presion_cilindro!$B$34))/Presion_cilindro!$B$35)^(Presion_cilindro!$B$17+1)),0)-IF(Presion_cilindro!N430&gt;(-J$4+Presion_cilindro!$B$34),1-EXP(-Presion_cilindro!$B$16*((Presion_cilindro!N430-(-J$4+Presion_cilindro!$B$34))/Presion_cilindro!$B$35)^(Presion_cilindro!$B$17+1)),0))/((Presion_cilindro!O430+Presion_cilindro!O431)/2)</f>
        <v>19.964090673225112</v>
      </c>
      <c r="K439" s="27">
        <f>K438*(Presion_cilindro!O430/Presion_cilindro!O431)^Presion_cilindro!$B$9+10*(Presion_cilindro!$B$9-1)*Presion_cilindro!$B$33*(IF(Presion_cilindro!N431&gt;(-K$4+Presion_cilindro!$B$34),1-EXP(-Presion_cilindro!$B$16*((Presion_cilindro!N431-(-K$4+Presion_cilindro!$B$34))/Presion_cilindro!$B$35)^(Presion_cilindro!$B$17+1)),0)-IF(Presion_cilindro!N430&gt;(-K$4+Presion_cilindro!$B$34),1-EXP(-Presion_cilindro!$B$16*((Presion_cilindro!N430-(-K$4+Presion_cilindro!$B$34))/Presion_cilindro!$B$35)^(Presion_cilindro!$B$17+1)),0))/((Presion_cilindro!O430+Presion_cilindro!O431)/2)</f>
        <v>20.233231768882803</v>
      </c>
      <c r="L439" s="27">
        <f>L438*(Presion_cilindro!O430/Presion_cilindro!O431)^Presion_cilindro!$B$9+10*(Presion_cilindro!$B$9-1)*Presion_cilindro!$B$33*(IF(Presion_cilindro!N431&gt;(-L$4+Presion_cilindro!$B$34),1-EXP(-Presion_cilindro!$B$16*((Presion_cilindro!N431-(-L$4+Presion_cilindro!$B$34))/Presion_cilindro!$B$35)^(Presion_cilindro!$B$17+1)),0)-IF(Presion_cilindro!N430&gt;(-L$4+Presion_cilindro!$B$34),1-EXP(-Presion_cilindro!$B$16*((Presion_cilindro!N430-(-L$4+Presion_cilindro!$B$34))/Presion_cilindro!$B$35)^(Presion_cilindro!$B$17+1)),0))/((Presion_cilindro!O430+Presion_cilindro!O431)/2)</f>
        <v>20.640761193297759</v>
      </c>
      <c r="M439" s="27">
        <f>M438*(Presion_cilindro!O430/Presion_cilindro!O431)^Presion_cilindro!$B$9+10*(Presion_cilindro!$B$9-1)*Presion_cilindro!$B$33*(IF(Presion_cilindro!N431&gt;(-M$4+Presion_cilindro!$B$34),1-EXP(-Presion_cilindro!$B$16*((Presion_cilindro!N431-(-M$4+Presion_cilindro!$B$34))/Presion_cilindro!$B$35)^(Presion_cilindro!$B$17+1)),0)-IF(Presion_cilindro!N430&gt;(-M$4+Presion_cilindro!$B$34),1-EXP(-Presion_cilindro!$B$16*((Presion_cilindro!N430-(-M$4+Presion_cilindro!$B$34))/Presion_cilindro!$B$35)^(Presion_cilindro!$B$17+1)),0))/((Presion_cilindro!O430+Presion_cilindro!O431)/2)</f>
        <v>21.163108540333074</v>
      </c>
      <c r="N439" s="27">
        <f>N438*(Presion_cilindro!O430/Presion_cilindro!O431)^Presion_cilindro!$B$9+10*(Presion_cilindro!$B$9-1)*Presion_cilindro!$B$33*(IF(Presion_cilindro!N431&gt;(-N$4+Presion_cilindro!$B$34),1-EXP(-Presion_cilindro!$B$16*((Presion_cilindro!N431-(-N$4+Presion_cilindro!$B$34))/Presion_cilindro!$B$35)^(Presion_cilindro!$B$17+1)),0)-IF(Presion_cilindro!N430&gt;(-N$4+Presion_cilindro!$B$34),1-EXP(-Presion_cilindro!$B$16*((Presion_cilindro!N430-(-N$4+Presion_cilindro!$B$34))/Presion_cilindro!$B$35)^(Presion_cilindro!$B$17+1)),0))/((Presion_cilindro!O430+Presion_cilindro!O431)/2)</f>
        <v>21.774076913300739</v>
      </c>
    </row>
    <row r="440" spans="1:14" x14ac:dyDescent="0.25">
      <c r="A440" s="21">
        <f>Presion_cilindro!N432</f>
        <v>34</v>
      </c>
      <c r="B440" s="27">
        <f>B439*(Presion_cilindro!O431/Presion_cilindro!O432)^Presion_cilindro!$B$9+10*(Presion_cilindro!$B$9-1)*Presion_cilindro!$B$33*(IF(Presion_cilindro!N432&gt;(-B$4+Presion_cilindro!$B$34),1-EXP(-Presion_cilindro!$B$16*((Presion_cilindro!N432-(-B$4+Presion_cilindro!$B$34))/Presion_cilindro!$B$35)^(Presion_cilindro!$B$17+1)),0)-IF(Presion_cilindro!N431&gt;(-B$4+Presion_cilindro!$B$34),1-EXP(-Presion_cilindro!$B$16*((Presion_cilindro!N431-(-B$4+Presion_cilindro!$B$34))/Presion_cilindro!$B$35)^(Presion_cilindro!$B$17+1)),0))/((Presion_cilindro!O431+Presion_cilindro!O432)/2)</f>
        <v>14.552370784446939</v>
      </c>
      <c r="C440" s="27">
        <f>C439*(Presion_cilindro!O431/Presion_cilindro!O432)^Presion_cilindro!$B$9+10*(Presion_cilindro!$B$9-1)*Presion_cilindro!$B$33*(IF(Presion_cilindro!N432&gt;(-C$4+Presion_cilindro!$B$34),1-EXP(-Presion_cilindro!$B$16*((Presion_cilindro!N432-(-C$4+Presion_cilindro!$B$34))/Presion_cilindro!$B$35)^(Presion_cilindro!$B$17+1)),0)-IF(Presion_cilindro!N431&gt;(-C$4+Presion_cilindro!$B$34),1-EXP(-Presion_cilindro!$B$16*((Presion_cilindro!N431-(-C$4+Presion_cilindro!$B$34))/Presion_cilindro!$B$35)^(Presion_cilindro!$B$17+1)),0))/((Presion_cilindro!O431+Presion_cilindro!O432)/2)</f>
        <v>17.177228833202612</v>
      </c>
      <c r="D440" s="27">
        <f>D439*(Presion_cilindro!O431/Presion_cilindro!O432)^Presion_cilindro!$B$9+10*(Presion_cilindro!$B$9-1)*Presion_cilindro!$B$33*(IF(Presion_cilindro!N432&gt;(-D$4+Presion_cilindro!$B$34),1-EXP(-Presion_cilindro!$B$16*((Presion_cilindro!N432-(-D$4+Presion_cilindro!$B$34))/Presion_cilindro!$B$35)^(Presion_cilindro!$B$17+1)),0)-IF(Presion_cilindro!N431&gt;(-D$4+Presion_cilindro!$B$34),1-EXP(-Presion_cilindro!$B$16*((Presion_cilindro!N431-(-D$4+Presion_cilindro!$B$34))/Presion_cilindro!$B$35)^(Presion_cilindro!$B$17+1)),0))/((Presion_cilindro!O431+Presion_cilindro!O432)/2)</f>
        <v>18.932518686253665</v>
      </c>
      <c r="E440" s="27">
        <f>E439*(Presion_cilindro!O431/Presion_cilindro!O432)^Presion_cilindro!$B$9+10*(Presion_cilindro!$B$9-1)*Presion_cilindro!$B$33*(IF(Presion_cilindro!N432&gt;(-E$4+Presion_cilindro!$B$34),1-EXP(-Presion_cilindro!$B$16*((Presion_cilindro!N432-(-E$4+Presion_cilindro!$B$34))/Presion_cilindro!$B$35)^(Presion_cilindro!$B$17+1)),0)-IF(Presion_cilindro!N431&gt;(-E$4+Presion_cilindro!$B$34),1-EXP(-Presion_cilindro!$B$16*((Presion_cilindro!N431-(-E$4+Presion_cilindro!$B$34))/Presion_cilindro!$B$35)^(Presion_cilindro!$B$17+1)),0))/((Presion_cilindro!O431+Presion_cilindro!O432)/2)</f>
        <v>19.724491217031826</v>
      </c>
      <c r="F440" s="27">
        <f>F439*(Presion_cilindro!O431/Presion_cilindro!O432)^Presion_cilindro!$B$9+10*(Presion_cilindro!$B$9-1)*Presion_cilindro!$B$33*(IF(Presion_cilindro!N432&gt;(-F$4+Presion_cilindro!$B$34),1-EXP(-Presion_cilindro!$B$16*((Presion_cilindro!N432-(-F$4+Presion_cilindro!$B$34))/Presion_cilindro!$B$35)^(Presion_cilindro!$B$17+1)),0)-IF(Presion_cilindro!N431&gt;(-F$4+Presion_cilindro!$B$34),1-EXP(-Presion_cilindro!$B$16*((Presion_cilindro!N431-(-F$4+Presion_cilindro!$B$34))/Presion_cilindro!$B$35)^(Presion_cilindro!$B$17+1)),0))/((Presion_cilindro!O431+Presion_cilindro!O432)/2)</f>
        <v>19.84632728072722</v>
      </c>
      <c r="G440" s="27">
        <f>G439*(Presion_cilindro!O431/Presion_cilindro!O432)^Presion_cilindro!$B$9+10*(Presion_cilindro!$B$9-1)*Presion_cilindro!$B$33*(IF(Presion_cilindro!N432&gt;(-G$4+Presion_cilindro!$B$34),1-EXP(-Presion_cilindro!$B$16*((Presion_cilindro!N432-(-G$4+Presion_cilindro!$B$34))/Presion_cilindro!$B$35)^(Presion_cilindro!$B$17+1)),0)-IF(Presion_cilindro!N431&gt;(-G$4+Presion_cilindro!$B$34),1-EXP(-Presion_cilindro!$B$16*((Presion_cilindro!N431-(-G$4+Presion_cilindro!$B$34))/Presion_cilindro!$B$35)^(Presion_cilindro!$B$17+1)),0))/((Presion_cilindro!O431+Presion_cilindro!O432)/2)</f>
        <v>19.690469701348281</v>
      </c>
      <c r="H440" s="27">
        <f>H439*(Presion_cilindro!O431/Presion_cilindro!O432)^Presion_cilindro!$B$9+10*(Presion_cilindro!$B$9-1)*Presion_cilindro!$B$33*(IF(Presion_cilindro!N432&gt;(-H$4+Presion_cilindro!$B$34),1-EXP(-Presion_cilindro!$B$16*((Presion_cilindro!N432-(-H$4+Presion_cilindro!$B$34))/Presion_cilindro!$B$35)^(Presion_cilindro!$B$17+1)),0)-IF(Presion_cilindro!N431&gt;(-H$4+Presion_cilindro!$B$34),1-EXP(-Presion_cilindro!$B$16*((Presion_cilindro!N431-(-H$4+Presion_cilindro!$B$34))/Presion_cilindro!$B$35)^(Presion_cilindro!$B$17+1)),0))/((Presion_cilindro!O431+Presion_cilindro!O432)/2)</f>
        <v>19.53007919401869</v>
      </c>
      <c r="I440" s="27">
        <f>I439*(Presion_cilindro!O431/Presion_cilindro!O432)^Presion_cilindro!$B$9+10*(Presion_cilindro!$B$9-1)*Presion_cilindro!$B$33*(IF(Presion_cilindro!N432&gt;(-I$4+Presion_cilindro!$B$34),1-EXP(-Presion_cilindro!$B$16*((Presion_cilindro!N432-(-I$4+Presion_cilindro!$B$34))/Presion_cilindro!$B$35)^(Presion_cilindro!$B$17+1)),0)-IF(Presion_cilindro!N431&gt;(-I$4+Presion_cilindro!$B$34),1-EXP(-Presion_cilindro!$B$16*((Presion_cilindro!N431-(-I$4+Presion_cilindro!$B$34))/Presion_cilindro!$B$35)^(Presion_cilindro!$B$17+1)),0))/((Presion_cilindro!O431+Presion_cilindro!O432)/2)</f>
        <v>19.488393582475943</v>
      </c>
      <c r="J440" s="27">
        <f>J439*(Presion_cilindro!O431/Presion_cilindro!O432)^Presion_cilindro!$B$9+10*(Presion_cilindro!$B$9-1)*Presion_cilindro!$B$33*(IF(Presion_cilindro!N432&gt;(-J$4+Presion_cilindro!$B$34),1-EXP(-Presion_cilindro!$B$16*((Presion_cilindro!N432-(-J$4+Presion_cilindro!$B$34))/Presion_cilindro!$B$35)^(Presion_cilindro!$B$17+1)),0)-IF(Presion_cilindro!N431&gt;(-J$4+Presion_cilindro!$B$34),1-EXP(-Presion_cilindro!$B$16*((Presion_cilindro!N431-(-J$4+Presion_cilindro!$B$34))/Presion_cilindro!$B$35)^(Presion_cilindro!$B$17+1)),0))/((Presion_cilindro!O431+Presion_cilindro!O432)/2)</f>
        <v>19.60043823722998</v>
      </c>
      <c r="K440" s="27">
        <f>K439*(Presion_cilindro!O431/Presion_cilindro!O432)^Presion_cilindro!$B$9+10*(Presion_cilindro!$B$9-1)*Presion_cilindro!$B$33*(IF(Presion_cilindro!N432&gt;(-K$4+Presion_cilindro!$B$34),1-EXP(-Presion_cilindro!$B$16*((Presion_cilindro!N432-(-K$4+Presion_cilindro!$B$34))/Presion_cilindro!$B$35)^(Presion_cilindro!$B$17+1)),0)-IF(Presion_cilindro!N431&gt;(-K$4+Presion_cilindro!$B$34),1-EXP(-Presion_cilindro!$B$16*((Presion_cilindro!N431-(-K$4+Presion_cilindro!$B$34))/Presion_cilindro!$B$35)^(Presion_cilindro!$B$17+1)),0))/((Presion_cilindro!O431+Presion_cilindro!O432)/2)</f>
        <v>19.864652759615556</v>
      </c>
      <c r="L440" s="27">
        <f>L439*(Presion_cilindro!O431/Presion_cilindro!O432)^Presion_cilindro!$B$9+10*(Presion_cilindro!$B$9-1)*Presion_cilindro!$B$33*(IF(Presion_cilindro!N432&gt;(-L$4+Presion_cilindro!$B$34),1-EXP(-Presion_cilindro!$B$16*((Presion_cilindro!N432-(-L$4+Presion_cilindro!$B$34))/Presion_cilindro!$B$35)^(Presion_cilindro!$B$17+1)),0)-IF(Presion_cilindro!N431&gt;(-L$4+Presion_cilindro!$B$34),1-EXP(-Presion_cilindro!$B$16*((Presion_cilindro!N431-(-L$4+Presion_cilindro!$B$34))/Presion_cilindro!$B$35)^(Presion_cilindro!$B$17+1)),0))/((Presion_cilindro!O431+Presion_cilindro!O432)/2)</f>
        <v>20.264756887046147</v>
      </c>
      <c r="M440" s="27">
        <f>M439*(Presion_cilindro!O431/Presion_cilindro!O432)^Presion_cilindro!$B$9+10*(Presion_cilindro!$B$9-1)*Presion_cilindro!$B$33*(IF(Presion_cilindro!N432&gt;(-M$4+Presion_cilindro!$B$34),1-EXP(-Presion_cilindro!$B$16*((Presion_cilindro!N432-(-M$4+Presion_cilindro!$B$34))/Presion_cilindro!$B$35)^(Presion_cilindro!$B$17+1)),0)-IF(Presion_cilindro!N431&gt;(-M$4+Presion_cilindro!$B$34),1-EXP(-Presion_cilindro!$B$16*((Presion_cilindro!N431-(-M$4+Presion_cilindro!$B$34))/Presion_cilindro!$B$35)^(Presion_cilindro!$B$17+1)),0))/((Presion_cilindro!O431+Presion_cilindro!O432)/2)</f>
        <v>20.777588784602184</v>
      </c>
      <c r="N440" s="27">
        <f>N439*(Presion_cilindro!O431/Presion_cilindro!O432)^Presion_cilindro!$B$9+10*(Presion_cilindro!$B$9-1)*Presion_cilindro!$B$33*(IF(Presion_cilindro!N432&gt;(-N$4+Presion_cilindro!$B$34),1-EXP(-Presion_cilindro!$B$16*((Presion_cilindro!N432-(-N$4+Presion_cilindro!$B$34))/Presion_cilindro!$B$35)^(Presion_cilindro!$B$17+1)),0)-IF(Presion_cilindro!N431&gt;(-N$4+Presion_cilindro!$B$34),1-EXP(-Presion_cilindro!$B$16*((Presion_cilindro!N431-(-N$4+Presion_cilindro!$B$34))/Presion_cilindro!$B$35)^(Presion_cilindro!$B$17+1)),0))/((Presion_cilindro!O431+Presion_cilindro!O432)/2)</f>
        <v>21.377427393263915</v>
      </c>
    </row>
    <row r="441" spans="1:14" x14ac:dyDescent="0.25">
      <c r="A441" s="21">
        <f>Presion_cilindro!N433</f>
        <v>34.5</v>
      </c>
      <c r="B441" s="27">
        <f>B440*(Presion_cilindro!O432/Presion_cilindro!O433)^Presion_cilindro!$B$9+10*(Presion_cilindro!$B$9-1)*Presion_cilindro!$B$33*(IF(Presion_cilindro!N433&gt;(-B$4+Presion_cilindro!$B$34),1-EXP(-Presion_cilindro!$B$16*((Presion_cilindro!N433-(-B$4+Presion_cilindro!$B$34))/Presion_cilindro!$B$35)^(Presion_cilindro!$B$17+1)),0)-IF(Presion_cilindro!N432&gt;(-B$4+Presion_cilindro!$B$34),1-EXP(-Presion_cilindro!$B$16*((Presion_cilindro!N432-(-B$4+Presion_cilindro!$B$34))/Presion_cilindro!$B$35)^(Presion_cilindro!$B$17+1)),0))/((Presion_cilindro!O432+Presion_cilindro!O433)/2)</f>
        <v>14.60905639220902</v>
      </c>
      <c r="C441" s="27">
        <f>C440*(Presion_cilindro!O432/Presion_cilindro!O433)^Presion_cilindro!$B$9+10*(Presion_cilindro!$B$9-1)*Presion_cilindro!$B$33*(IF(Presion_cilindro!N433&gt;(-C$4+Presion_cilindro!$B$34),1-EXP(-Presion_cilindro!$B$16*((Presion_cilindro!N433-(-C$4+Presion_cilindro!$B$34))/Presion_cilindro!$B$35)^(Presion_cilindro!$B$17+1)),0)-IF(Presion_cilindro!N432&gt;(-C$4+Presion_cilindro!$B$34),1-EXP(-Presion_cilindro!$B$16*((Presion_cilindro!N432-(-C$4+Presion_cilindro!$B$34))/Presion_cilindro!$B$35)^(Presion_cilindro!$B$17+1)),0))/((Presion_cilindro!O432+Presion_cilindro!O433)/2)</f>
        <v>17.128289911141984</v>
      </c>
      <c r="D441" s="27">
        <f>D440*(Presion_cilindro!O432/Presion_cilindro!O433)^Presion_cilindro!$B$9+10*(Presion_cilindro!$B$9-1)*Presion_cilindro!$B$33*(IF(Presion_cilindro!N433&gt;(-D$4+Presion_cilindro!$B$34),1-EXP(-Presion_cilindro!$B$16*((Presion_cilindro!N433-(-D$4+Presion_cilindro!$B$34))/Presion_cilindro!$B$35)^(Presion_cilindro!$B$17+1)),0)-IF(Presion_cilindro!N432&gt;(-D$4+Presion_cilindro!$B$34),1-EXP(-Presion_cilindro!$B$16*((Presion_cilindro!N432-(-D$4+Presion_cilindro!$B$34))/Presion_cilindro!$B$35)^(Presion_cilindro!$B$17+1)),0))/((Presion_cilindro!O432+Presion_cilindro!O433)/2)</f>
        <v>18.757080091772256</v>
      </c>
      <c r="E441" s="27">
        <f>E440*(Presion_cilindro!O432/Presion_cilindro!O433)^Presion_cilindro!$B$9+10*(Presion_cilindro!$B$9-1)*Presion_cilindro!$B$33*(IF(Presion_cilindro!N433&gt;(-E$4+Presion_cilindro!$B$34),1-EXP(-Presion_cilindro!$B$16*((Presion_cilindro!N433-(-E$4+Presion_cilindro!$B$34))/Presion_cilindro!$B$35)^(Presion_cilindro!$B$17+1)),0)-IF(Presion_cilindro!N432&gt;(-E$4+Presion_cilindro!$B$34),1-EXP(-Presion_cilindro!$B$16*((Presion_cilindro!N432-(-E$4+Presion_cilindro!$B$34))/Presion_cilindro!$B$35)^(Presion_cilindro!$B$17+1)),0))/((Presion_cilindro!O432+Presion_cilindro!O433)/2)</f>
        <v>19.448904790298545</v>
      </c>
      <c r="F441" s="27">
        <f>F440*(Presion_cilindro!O432/Presion_cilindro!O433)^Presion_cilindro!$B$9+10*(Presion_cilindro!$B$9-1)*Presion_cilindro!$B$33*(IF(Presion_cilindro!N433&gt;(-F$4+Presion_cilindro!$B$34),1-EXP(-Presion_cilindro!$B$16*((Presion_cilindro!N433-(-F$4+Presion_cilindro!$B$34))/Presion_cilindro!$B$35)^(Presion_cilindro!$B$17+1)),0)-IF(Presion_cilindro!N432&gt;(-F$4+Presion_cilindro!$B$34),1-EXP(-Presion_cilindro!$B$16*((Presion_cilindro!N432-(-F$4+Presion_cilindro!$B$34))/Presion_cilindro!$B$35)^(Presion_cilindro!$B$17+1)),0))/((Presion_cilindro!O432+Presion_cilindro!O433)/2)</f>
        <v>19.516153840912601</v>
      </c>
      <c r="G441" s="27">
        <f>G440*(Presion_cilindro!O432/Presion_cilindro!O433)^Presion_cilindro!$B$9+10*(Presion_cilindro!$B$9-1)*Presion_cilindro!$B$33*(IF(Presion_cilindro!N433&gt;(-G$4+Presion_cilindro!$B$34),1-EXP(-Presion_cilindro!$B$16*((Presion_cilindro!N433-(-G$4+Presion_cilindro!$B$34))/Presion_cilindro!$B$35)^(Presion_cilindro!$B$17+1)),0)-IF(Presion_cilindro!N432&gt;(-G$4+Presion_cilindro!$B$34),1-EXP(-Presion_cilindro!$B$16*((Presion_cilindro!N432-(-G$4+Presion_cilindro!$B$34))/Presion_cilindro!$B$35)^(Presion_cilindro!$B$17+1)),0))/((Presion_cilindro!O432+Presion_cilindro!O433)/2)</f>
        <v>19.340757061908494</v>
      </c>
      <c r="H441" s="27">
        <f>H440*(Presion_cilindro!O432/Presion_cilindro!O433)^Presion_cilindro!$B$9+10*(Presion_cilindro!$B$9-1)*Presion_cilindro!$B$33*(IF(Presion_cilindro!N433&gt;(-H$4+Presion_cilindro!$B$34),1-EXP(-Presion_cilindro!$B$16*((Presion_cilindro!N433-(-H$4+Presion_cilindro!$B$34))/Presion_cilindro!$B$35)^(Presion_cilindro!$B$17+1)),0)-IF(Presion_cilindro!N432&gt;(-H$4+Presion_cilindro!$B$34),1-EXP(-Presion_cilindro!$B$16*((Presion_cilindro!N432-(-H$4+Presion_cilindro!$B$34))/Presion_cilindro!$B$35)^(Presion_cilindro!$B$17+1)),0))/((Presion_cilindro!O432+Presion_cilindro!O433)/2)</f>
        <v>19.176590595917148</v>
      </c>
      <c r="I441" s="27">
        <f>I440*(Presion_cilindro!O432/Presion_cilindro!O433)^Presion_cilindro!$B$9+10*(Presion_cilindro!$B$9-1)*Presion_cilindro!$B$33*(IF(Presion_cilindro!N433&gt;(-I$4+Presion_cilindro!$B$34),1-EXP(-Presion_cilindro!$B$16*((Presion_cilindro!N433-(-I$4+Presion_cilindro!$B$34))/Presion_cilindro!$B$35)^(Presion_cilindro!$B$17+1)),0)-IF(Presion_cilindro!N432&gt;(-I$4+Presion_cilindro!$B$34),1-EXP(-Presion_cilindro!$B$16*((Presion_cilindro!N432-(-I$4+Presion_cilindro!$B$34))/Presion_cilindro!$B$35)^(Presion_cilindro!$B$17+1)),0))/((Presion_cilindro!O432+Presion_cilindro!O433)/2)</f>
        <v>19.134278558421421</v>
      </c>
      <c r="J441" s="27">
        <f>J440*(Presion_cilindro!O432/Presion_cilindro!O433)^Presion_cilindro!$B$9+10*(Presion_cilindro!$B$9-1)*Presion_cilindro!$B$33*(IF(Presion_cilindro!N433&gt;(-J$4+Presion_cilindro!$B$34),1-EXP(-Presion_cilindro!$B$16*((Presion_cilindro!N433-(-J$4+Presion_cilindro!$B$34))/Presion_cilindro!$B$35)^(Presion_cilindro!$B$17+1)),0)-IF(Presion_cilindro!N432&gt;(-J$4+Presion_cilindro!$B$34),1-EXP(-Presion_cilindro!$B$16*((Presion_cilindro!N432-(-J$4+Presion_cilindro!$B$34))/Presion_cilindro!$B$35)^(Presion_cilindro!$B$17+1)),0))/((Presion_cilindro!O432+Presion_cilindro!O433)/2)</f>
        <v>19.244091696921714</v>
      </c>
      <c r="K441" s="27">
        <f>K440*(Presion_cilindro!O432/Presion_cilindro!O433)^Presion_cilindro!$B$9+10*(Presion_cilindro!$B$9-1)*Presion_cilindro!$B$33*(IF(Presion_cilindro!N433&gt;(-K$4+Presion_cilindro!$B$34),1-EXP(-Presion_cilindro!$B$16*((Presion_cilindro!N433-(-K$4+Presion_cilindro!$B$34))/Presion_cilindro!$B$35)^(Presion_cilindro!$B$17+1)),0)-IF(Presion_cilindro!N432&gt;(-K$4+Presion_cilindro!$B$34),1-EXP(-Presion_cilindro!$B$16*((Presion_cilindro!N432-(-K$4+Presion_cilindro!$B$34))/Presion_cilindro!$B$35)^(Presion_cilindro!$B$17+1)),0))/((Presion_cilindro!O432+Presion_cilindro!O433)/2)</f>
        <v>19.503484279073323</v>
      </c>
      <c r="L441" s="27">
        <f>L440*(Presion_cilindro!O432/Presion_cilindro!O433)^Presion_cilindro!$B$9+10*(Presion_cilindro!$B$9-1)*Presion_cilindro!$B$33*(IF(Presion_cilindro!N433&gt;(-L$4+Presion_cilindro!$B$34),1-EXP(-Presion_cilindro!$B$16*((Presion_cilindro!N433-(-L$4+Presion_cilindro!$B$34))/Presion_cilindro!$B$35)^(Presion_cilindro!$B$17+1)),0)-IF(Presion_cilindro!N432&gt;(-L$4+Presion_cilindro!$B$34),1-EXP(-Presion_cilindro!$B$16*((Presion_cilindro!N432-(-L$4+Presion_cilindro!$B$34))/Presion_cilindro!$B$35)^(Presion_cilindro!$B$17+1)),0))/((Presion_cilindro!O432+Presion_cilindro!O433)/2)</f>
        <v>19.896312810454749</v>
      </c>
      <c r="M441" s="27">
        <f>M440*(Presion_cilindro!O432/Presion_cilindro!O433)^Presion_cilindro!$B$9+10*(Presion_cilindro!$B$9-1)*Presion_cilindro!$B$33*(IF(Presion_cilindro!N433&gt;(-M$4+Presion_cilindro!$B$34),1-EXP(-Presion_cilindro!$B$16*((Presion_cilindro!N433-(-M$4+Presion_cilindro!$B$34))/Presion_cilindro!$B$35)^(Presion_cilindro!$B$17+1)),0)-IF(Presion_cilindro!N432&gt;(-M$4+Presion_cilindro!$B$34),1-EXP(-Presion_cilindro!$B$16*((Presion_cilindro!N432-(-M$4+Presion_cilindro!$B$34))/Presion_cilindro!$B$35)^(Presion_cilindro!$B$17+1)),0))/((Presion_cilindro!O432+Presion_cilindro!O433)/2)</f>
        <v>20.399820601970855</v>
      </c>
      <c r="N441" s="27">
        <f>N440*(Presion_cilindro!O432/Presion_cilindro!O433)^Presion_cilindro!$B$9+10*(Presion_cilindro!$B$9-1)*Presion_cilindro!$B$33*(IF(Presion_cilindro!N433&gt;(-N$4+Presion_cilindro!$B$34),1-EXP(-Presion_cilindro!$B$16*((Presion_cilindro!N433-(-N$4+Presion_cilindro!$B$34))/Presion_cilindro!$B$35)^(Presion_cilindro!$B$17+1)),0)-IF(Presion_cilindro!N432&gt;(-N$4+Presion_cilindro!$B$34),1-EXP(-Presion_cilindro!$B$16*((Presion_cilindro!N432-(-N$4+Presion_cilindro!$B$34))/Presion_cilindro!$B$35)^(Presion_cilindro!$B$17+1)),0))/((Presion_cilindro!O432+Presion_cilindro!O433)/2)</f>
        <v>20.988753230910461</v>
      </c>
    </row>
    <row r="442" spans="1:14" x14ac:dyDescent="0.25">
      <c r="A442" s="21">
        <f>Presion_cilindro!N434</f>
        <v>35</v>
      </c>
      <c r="B442" s="27">
        <f>B441*(Presion_cilindro!O433/Presion_cilindro!O434)^Presion_cilindro!$B$9+10*(Presion_cilindro!$B$9-1)*Presion_cilindro!$B$33*(IF(Presion_cilindro!N434&gt;(-B$4+Presion_cilindro!$B$34),1-EXP(-Presion_cilindro!$B$16*((Presion_cilindro!N434-(-B$4+Presion_cilindro!$B$34))/Presion_cilindro!$B$35)^(Presion_cilindro!$B$17+1)),0)-IF(Presion_cilindro!N433&gt;(-B$4+Presion_cilindro!$B$34),1-EXP(-Presion_cilindro!$B$16*((Presion_cilindro!N433-(-B$4+Presion_cilindro!$B$34))/Presion_cilindro!$B$35)^(Presion_cilindro!$B$17+1)),0))/((Presion_cilindro!O433+Presion_cilindro!O434)/2)</f>
        <v>14.657991085365296</v>
      </c>
      <c r="C442" s="27">
        <f>C441*(Presion_cilindro!O433/Presion_cilindro!O434)^Presion_cilindro!$B$9+10*(Presion_cilindro!$B$9-1)*Presion_cilindro!$B$33*(IF(Presion_cilindro!N434&gt;(-C$4+Presion_cilindro!$B$34),1-EXP(-Presion_cilindro!$B$16*((Presion_cilindro!N434-(-C$4+Presion_cilindro!$B$34))/Presion_cilindro!$B$35)^(Presion_cilindro!$B$17+1)),0)-IF(Presion_cilindro!N433&gt;(-C$4+Presion_cilindro!$B$34),1-EXP(-Presion_cilindro!$B$16*((Presion_cilindro!N433-(-C$4+Presion_cilindro!$B$34))/Presion_cilindro!$B$35)^(Presion_cilindro!$B$17+1)),0))/((Presion_cilindro!O433+Presion_cilindro!O434)/2)</f>
        <v>17.068833755834714</v>
      </c>
      <c r="D442" s="27">
        <f>D441*(Presion_cilindro!O433/Presion_cilindro!O434)^Presion_cilindro!$B$9+10*(Presion_cilindro!$B$9-1)*Presion_cilindro!$B$33*(IF(Presion_cilindro!N434&gt;(-D$4+Presion_cilindro!$B$34),1-EXP(-Presion_cilindro!$B$16*((Presion_cilindro!N434-(-D$4+Presion_cilindro!$B$34))/Presion_cilindro!$B$35)^(Presion_cilindro!$B$17+1)),0)-IF(Presion_cilindro!N433&gt;(-D$4+Presion_cilindro!$B$34),1-EXP(-Presion_cilindro!$B$16*((Presion_cilindro!N433-(-D$4+Presion_cilindro!$B$34))/Presion_cilindro!$B$35)^(Presion_cilindro!$B$17+1)),0))/((Presion_cilindro!O433+Presion_cilindro!O434)/2)</f>
        <v>18.573765199242665</v>
      </c>
      <c r="E442" s="27">
        <f>E441*(Presion_cilindro!O433/Presion_cilindro!O434)^Presion_cilindro!$B$9+10*(Presion_cilindro!$B$9-1)*Presion_cilindro!$B$33*(IF(Presion_cilindro!N434&gt;(-E$4+Presion_cilindro!$B$34),1-EXP(-Presion_cilindro!$B$16*((Presion_cilindro!N434-(-E$4+Presion_cilindro!$B$34))/Presion_cilindro!$B$35)^(Presion_cilindro!$B$17+1)),0)-IF(Presion_cilindro!N433&gt;(-E$4+Presion_cilindro!$B$34),1-EXP(-Presion_cilindro!$B$16*((Presion_cilindro!N433-(-E$4+Presion_cilindro!$B$34))/Presion_cilindro!$B$35)^(Presion_cilindro!$B$17+1)),0))/((Presion_cilindro!O433+Presion_cilindro!O434)/2)</f>
        <v>19.171180415761878</v>
      </c>
      <c r="F442" s="27">
        <f>F441*(Presion_cilindro!O433/Presion_cilindro!O434)^Presion_cilindro!$B$9+10*(Presion_cilindro!$B$9-1)*Presion_cilindro!$B$33*(IF(Presion_cilindro!N434&gt;(-F$4+Presion_cilindro!$B$34),1-EXP(-Presion_cilindro!$B$16*((Presion_cilindro!N434-(-F$4+Presion_cilindro!$B$34))/Presion_cilindro!$B$35)^(Presion_cilindro!$B$17+1)),0)-IF(Presion_cilindro!N433&gt;(-F$4+Presion_cilindro!$B$34),1-EXP(-Presion_cilindro!$B$16*((Presion_cilindro!N433-(-F$4+Presion_cilindro!$B$34))/Presion_cilindro!$B$35)^(Presion_cilindro!$B$17+1)),0))/((Presion_cilindro!O433+Presion_cilindro!O434)/2)</f>
        <v>19.189005430059474</v>
      </c>
      <c r="G442" s="27">
        <f>G441*(Presion_cilindro!O433/Presion_cilindro!O434)^Presion_cilindro!$B$9+10*(Presion_cilindro!$B$9-1)*Presion_cilindro!$B$33*(IF(Presion_cilindro!N434&gt;(-G$4+Presion_cilindro!$B$34),1-EXP(-Presion_cilindro!$B$16*((Presion_cilindro!N434-(-G$4+Presion_cilindro!$B$34))/Presion_cilindro!$B$35)^(Presion_cilindro!$B$17+1)),0)-IF(Presion_cilindro!N433&gt;(-G$4+Presion_cilindro!$B$34),1-EXP(-Presion_cilindro!$B$16*((Presion_cilindro!N433-(-G$4+Presion_cilindro!$B$34))/Presion_cilindro!$B$35)^(Presion_cilindro!$B$17+1)),0))/((Presion_cilindro!O433+Presion_cilindro!O434)/2)</f>
        <v>18.996914029940456</v>
      </c>
      <c r="H442" s="27">
        <f>H441*(Presion_cilindro!O433/Presion_cilindro!O434)^Presion_cilindro!$B$9+10*(Presion_cilindro!$B$9-1)*Presion_cilindro!$B$33*(IF(Presion_cilindro!N434&gt;(-H$4+Presion_cilindro!$B$34),1-EXP(-Presion_cilindro!$B$16*((Presion_cilindro!N434-(-H$4+Presion_cilindro!$B$34))/Presion_cilindro!$B$35)^(Presion_cilindro!$B$17+1)),0)-IF(Presion_cilindro!N433&gt;(-H$4+Presion_cilindro!$B$34),1-EXP(-Presion_cilindro!$B$16*((Presion_cilindro!N433-(-H$4+Presion_cilindro!$B$34))/Presion_cilindro!$B$35)^(Presion_cilindro!$B$17+1)),0))/((Presion_cilindro!O433+Presion_cilindro!O434)/2)</f>
        <v>18.829991767432585</v>
      </c>
      <c r="I442" s="27">
        <f>I441*(Presion_cilindro!O433/Presion_cilindro!O434)^Presion_cilindro!$B$9+10*(Presion_cilindro!$B$9-1)*Presion_cilindro!$B$33*(IF(Presion_cilindro!N434&gt;(-I$4+Presion_cilindro!$B$34),1-EXP(-Presion_cilindro!$B$16*((Presion_cilindro!N434-(-I$4+Presion_cilindro!$B$34))/Presion_cilindro!$B$35)^(Presion_cilindro!$B$17+1)),0)-IF(Presion_cilindro!N433&gt;(-I$4+Presion_cilindro!$B$34),1-EXP(-Presion_cilindro!$B$16*((Presion_cilindro!N433-(-I$4+Presion_cilindro!$B$34))/Presion_cilindro!$B$35)^(Presion_cilindro!$B$17+1)),0))/((Presion_cilindro!O433+Presion_cilindro!O434)/2)</f>
        <v>18.787305236478389</v>
      </c>
      <c r="J442" s="27">
        <f>J441*(Presion_cilindro!O433/Presion_cilindro!O434)^Presion_cilindro!$B$9+10*(Presion_cilindro!$B$9-1)*Presion_cilindro!$B$33*(IF(Presion_cilindro!N434&gt;(-J$4+Presion_cilindro!$B$34),1-EXP(-Presion_cilindro!$B$16*((Presion_cilindro!N434-(-J$4+Presion_cilindro!$B$34))/Presion_cilindro!$B$35)^(Presion_cilindro!$B$17+1)),0)-IF(Presion_cilindro!N433&gt;(-J$4+Presion_cilindro!$B$34),1-EXP(-Presion_cilindro!$B$16*((Presion_cilindro!N433-(-J$4+Presion_cilindro!$B$34))/Presion_cilindro!$B$35)^(Presion_cilindro!$B$17+1)),0))/((Presion_cilindro!O433+Presion_cilindro!O434)/2)</f>
        <v>18.894972009139714</v>
      </c>
      <c r="K442" s="27">
        <f>K441*(Presion_cilindro!O433/Presion_cilindro!O434)^Presion_cilindro!$B$9+10*(Presion_cilindro!$B$9-1)*Presion_cilindro!$B$33*(IF(Presion_cilindro!N434&gt;(-K$4+Presion_cilindro!$B$34),1-EXP(-Presion_cilindro!$B$16*((Presion_cilindro!N434-(-K$4+Presion_cilindro!$B$34))/Presion_cilindro!$B$35)^(Presion_cilindro!$B$17+1)),0)-IF(Presion_cilindro!N433&gt;(-K$4+Presion_cilindro!$B$34),1-EXP(-Presion_cilindro!$B$16*((Presion_cilindro!N433-(-K$4+Presion_cilindro!$B$34))/Presion_cilindro!$B$35)^(Presion_cilindro!$B$17+1)),0))/((Presion_cilindro!O433+Presion_cilindro!O434)/2)</f>
        <v>19.149644815080961</v>
      </c>
      <c r="L442" s="27">
        <f>L441*(Presion_cilindro!O433/Presion_cilindro!O434)^Presion_cilindro!$B$9+10*(Presion_cilindro!$B$9-1)*Presion_cilindro!$B$33*(IF(Presion_cilindro!N434&gt;(-L$4+Presion_cilindro!$B$34),1-EXP(-Presion_cilindro!$B$16*((Presion_cilindro!N434-(-L$4+Presion_cilindro!$B$34))/Presion_cilindro!$B$35)^(Presion_cilindro!$B$17+1)),0)-IF(Presion_cilindro!N433&gt;(-L$4+Presion_cilindro!$B$34),1-EXP(-Presion_cilindro!$B$16*((Presion_cilindro!N433-(-L$4+Presion_cilindro!$B$34))/Presion_cilindro!$B$35)^(Presion_cilindro!$B$17+1)),0))/((Presion_cilindro!O433+Presion_cilindro!O434)/2)</f>
        <v>19.535345693540343</v>
      </c>
      <c r="M442" s="27">
        <f>M441*(Presion_cilindro!O433/Presion_cilindro!O434)^Presion_cilindro!$B$9+10*(Presion_cilindro!$B$9-1)*Presion_cilindro!$B$33*(IF(Presion_cilindro!N434&gt;(-M$4+Presion_cilindro!$B$34),1-EXP(-Presion_cilindro!$B$16*((Presion_cilindro!N434-(-M$4+Presion_cilindro!$B$34))/Presion_cilindro!$B$35)^(Presion_cilindro!$B$17+1)),0)-IF(Presion_cilindro!N433&gt;(-M$4+Presion_cilindro!$B$34),1-EXP(-Presion_cilindro!$B$16*((Presion_cilindro!N433-(-M$4+Presion_cilindro!$B$34))/Presion_cilindro!$B$35)^(Presion_cilindro!$B$17+1)),0))/((Presion_cilindro!O433+Presion_cilindro!O434)/2)</f>
        <v>20.029718609287404</v>
      </c>
      <c r="N442" s="27">
        <f>N441*(Presion_cilindro!O433/Presion_cilindro!O434)^Presion_cilindro!$B$9+10*(Presion_cilindro!$B$9-1)*Presion_cilindro!$B$33*(IF(Presion_cilindro!N434&gt;(-N$4+Presion_cilindro!$B$34),1-EXP(-Presion_cilindro!$B$16*((Presion_cilindro!N434-(-N$4+Presion_cilindro!$B$34))/Presion_cilindro!$B$35)^(Presion_cilindro!$B$17+1)),0)-IF(Presion_cilindro!N433&gt;(-N$4+Presion_cilindro!$B$34),1-EXP(-Presion_cilindro!$B$16*((Presion_cilindro!N433-(-N$4+Presion_cilindro!$B$34))/Presion_cilindro!$B$35)^(Presion_cilindro!$B$17+1)),0))/((Presion_cilindro!O433+Presion_cilindro!O434)/2)</f>
        <v>20.607966577940157</v>
      </c>
    </row>
    <row r="443" spans="1:14" x14ac:dyDescent="0.25">
      <c r="A443" s="21">
        <f>Presion_cilindro!N435</f>
        <v>35.5</v>
      </c>
      <c r="B443" s="27">
        <f>B442*(Presion_cilindro!O434/Presion_cilindro!O435)^Presion_cilindro!$B$9+10*(Presion_cilindro!$B$9-1)*Presion_cilindro!$B$33*(IF(Presion_cilindro!N435&gt;(-B$4+Presion_cilindro!$B$34),1-EXP(-Presion_cilindro!$B$16*((Presion_cilindro!N435-(-B$4+Presion_cilindro!$B$34))/Presion_cilindro!$B$35)^(Presion_cilindro!$B$17+1)),0)-IF(Presion_cilindro!N434&gt;(-B$4+Presion_cilindro!$B$34),1-EXP(-Presion_cilindro!$B$16*((Presion_cilindro!N434-(-B$4+Presion_cilindro!$B$34))/Presion_cilindro!$B$35)^(Presion_cilindro!$B$17+1)),0))/((Presion_cilindro!O434+Presion_cilindro!O435)/2)</f>
        <v>14.698830323104186</v>
      </c>
      <c r="C443" s="27">
        <f>C442*(Presion_cilindro!O434/Presion_cilindro!O435)^Presion_cilindro!$B$9+10*(Presion_cilindro!$B$9-1)*Presion_cilindro!$B$33*(IF(Presion_cilindro!N435&gt;(-C$4+Presion_cilindro!$B$34),1-EXP(-Presion_cilindro!$B$16*((Presion_cilindro!N435-(-C$4+Presion_cilindro!$B$34))/Presion_cilindro!$B$35)^(Presion_cilindro!$B$17+1)),0)-IF(Presion_cilindro!N434&gt;(-C$4+Presion_cilindro!$B$34),1-EXP(-Presion_cilindro!$B$16*((Presion_cilindro!N434-(-C$4+Presion_cilindro!$B$34))/Presion_cilindro!$B$35)^(Presion_cilindro!$B$17+1)),0))/((Presion_cilindro!O434+Presion_cilindro!O435)/2)</f>
        <v>16.999081912115134</v>
      </c>
      <c r="D443" s="27">
        <f>D442*(Presion_cilindro!O434/Presion_cilindro!O435)^Presion_cilindro!$B$9+10*(Presion_cilindro!$B$9-1)*Presion_cilindro!$B$33*(IF(Presion_cilindro!N435&gt;(-D$4+Presion_cilindro!$B$34),1-EXP(-Presion_cilindro!$B$16*((Presion_cilindro!N435-(-D$4+Presion_cilindro!$B$34))/Presion_cilindro!$B$35)^(Presion_cilindro!$B$17+1)),0)-IF(Presion_cilindro!N434&gt;(-D$4+Presion_cilindro!$B$34),1-EXP(-Presion_cilindro!$B$16*((Presion_cilindro!N434-(-D$4+Presion_cilindro!$B$34))/Presion_cilindro!$B$35)^(Presion_cilindro!$B$17+1)),0))/((Presion_cilindro!O434+Presion_cilindro!O435)/2)</f>
        <v>18.383215666145368</v>
      </c>
      <c r="E443" s="27">
        <f>E442*(Presion_cilindro!O434/Presion_cilindro!O435)^Presion_cilindro!$B$9+10*(Presion_cilindro!$B$9-1)*Presion_cilindro!$B$33*(IF(Presion_cilindro!N435&gt;(-E$4+Presion_cilindro!$B$34),1-EXP(-Presion_cilindro!$B$16*((Presion_cilindro!N435-(-E$4+Presion_cilindro!$B$34))/Presion_cilindro!$B$35)^(Presion_cilindro!$B$17+1)),0)-IF(Presion_cilindro!N434&gt;(-E$4+Presion_cilindro!$B$34),1-EXP(-Presion_cilindro!$B$16*((Presion_cilindro!N434-(-E$4+Presion_cilindro!$B$34))/Presion_cilindro!$B$35)^(Presion_cilindro!$B$17+1)),0))/((Presion_cilindro!O434+Presion_cilindro!O435)/2)</f>
        <v>18.89196828900474</v>
      </c>
      <c r="F443" s="27">
        <f>F442*(Presion_cilindro!O434/Presion_cilindro!O435)^Presion_cilindro!$B$9+10*(Presion_cilindro!$B$9-1)*Presion_cilindro!$B$33*(IF(Presion_cilindro!N435&gt;(-F$4+Presion_cilindro!$B$34),1-EXP(-Presion_cilindro!$B$16*((Presion_cilindro!N435-(-F$4+Presion_cilindro!$B$34))/Presion_cilindro!$B$35)^(Presion_cilindro!$B$17+1)),0)-IF(Presion_cilindro!N434&gt;(-F$4+Presion_cilindro!$B$34),1-EXP(-Presion_cilindro!$B$16*((Presion_cilindro!N434-(-F$4+Presion_cilindro!$B$34))/Presion_cilindro!$B$35)^(Presion_cilindro!$B$17+1)),0))/((Presion_cilindro!O434+Presion_cilindro!O435)/2)</f>
        <v>18.865258337719162</v>
      </c>
      <c r="G443" s="27">
        <f>G442*(Presion_cilindro!O434/Presion_cilindro!O435)^Presion_cilindro!$B$9+10*(Presion_cilindro!$B$9-1)*Presion_cilindro!$B$33*(IF(Presion_cilindro!N435&gt;(-G$4+Presion_cilindro!$B$34),1-EXP(-Presion_cilindro!$B$16*((Presion_cilindro!N435-(-G$4+Presion_cilindro!$B$34))/Presion_cilindro!$B$35)^(Presion_cilindro!$B$17+1)),0)-IF(Presion_cilindro!N434&gt;(-G$4+Presion_cilindro!$B$34),1-EXP(-Presion_cilindro!$B$16*((Presion_cilindro!N434-(-G$4+Presion_cilindro!$B$34))/Presion_cilindro!$B$35)^(Presion_cilindro!$B$17+1)),0))/((Presion_cilindro!O434+Presion_cilindro!O435)/2)</f>
        <v>18.65904688277822</v>
      </c>
      <c r="H443" s="27">
        <f>H442*(Presion_cilindro!O434/Presion_cilindro!O435)^Presion_cilindro!$B$9+10*(Presion_cilindro!$B$9-1)*Presion_cilindro!$B$33*(IF(Presion_cilindro!N435&gt;(-H$4+Presion_cilindro!$B$34),1-EXP(-Presion_cilindro!$B$16*((Presion_cilindro!N435-(-H$4+Presion_cilindro!$B$34))/Presion_cilindro!$B$35)^(Presion_cilindro!$B$17+1)),0)-IF(Presion_cilindro!N434&gt;(-H$4+Presion_cilindro!$B$34),1-EXP(-Presion_cilindro!$B$16*((Presion_cilindro!N434-(-H$4+Presion_cilindro!$B$34))/Presion_cilindro!$B$35)^(Presion_cilindro!$B$17+1)),0))/((Presion_cilindro!O434+Presion_cilindro!O435)/2)</f>
        <v>18.490250449989208</v>
      </c>
      <c r="I443" s="27">
        <f>I442*(Presion_cilindro!O434/Presion_cilindro!O435)^Presion_cilindro!$B$9+10*(Presion_cilindro!$B$9-1)*Presion_cilindro!$B$33*(IF(Presion_cilindro!N435&gt;(-I$4+Presion_cilindro!$B$34),1-EXP(-Presion_cilindro!$B$16*((Presion_cilindro!N435-(-I$4+Presion_cilindro!$B$34))/Presion_cilindro!$B$35)^(Presion_cilindro!$B$17+1)),0)-IF(Presion_cilindro!N434&gt;(-I$4+Presion_cilindro!$B$34),1-EXP(-Presion_cilindro!$B$16*((Presion_cilindro!N434-(-I$4+Presion_cilindro!$B$34))/Presion_cilindro!$B$35)^(Presion_cilindro!$B$17+1)),0))/((Presion_cilindro!O434+Presion_cilindro!O435)/2)</f>
        <v>18.447397841907971</v>
      </c>
      <c r="J443" s="27">
        <f>J442*(Presion_cilindro!O434/Presion_cilindro!O435)^Presion_cilindro!$B$9+10*(Presion_cilindro!$B$9-1)*Presion_cilindro!$B$33*(IF(Presion_cilindro!N435&gt;(-J$4+Presion_cilindro!$B$34),1-EXP(-Presion_cilindro!$B$16*((Presion_cilindro!N435-(-J$4+Presion_cilindro!$B$34))/Presion_cilindro!$B$35)^(Presion_cilindro!$B$17+1)),0)-IF(Presion_cilindro!N434&gt;(-J$4+Presion_cilindro!$B$34),1-EXP(-Presion_cilindro!$B$16*((Presion_cilindro!N434-(-J$4+Presion_cilindro!$B$34))/Presion_cilindro!$B$35)^(Presion_cilindro!$B$17+1)),0))/((Presion_cilindro!O434+Presion_cilindro!O435)/2)</f>
        <v>18.552994246917773</v>
      </c>
      <c r="K443" s="27">
        <f>K442*(Presion_cilindro!O434/Presion_cilindro!O435)^Presion_cilindro!$B$9+10*(Presion_cilindro!$B$9-1)*Presion_cilindro!$B$33*(IF(Presion_cilindro!N435&gt;(-K$4+Presion_cilindro!$B$34),1-EXP(-Presion_cilindro!$B$16*((Presion_cilindro!N435-(-K$4+Presion_cilindro!$B$34))/Presion_cilindro!$B$35)^(Presion_cilindro!$B$17+1)),0)-IF(Presion_cilindro!N434&gt;(-K$4+Presion_cilindro!$B$34),1-EXP(-Presion_cilindro!$B$16*((Presion_cilindro!N434-(-K$4+Presion_cilindro!$B$34))/Presion_cilindro!$B$35)^(Presion_cilindro!$B$17+1)),0))/((Presion_cilindro!O434+Presion_cilindro!O435)/2)</f>
        <v>18.803047194849142</v>
      </c>
      <c r="L443" s="27">
        <f>L442*(Presion_cilindro!O434/Presion_cilindro!O435)^Presion_cilindro!$B$9+10*(Presion_cilindro!$B$9-1)*Presion_cilindro!$B$33*(IF(Presion_cilindro!N435&gt;(-L$4+Presion_cilindro!$B$34),1-EXP(-Presion_cilindro!$B$16*((Presion_cilindro!N435-(-L$4+Presion_cilindro!$B$34))/Presion_cilindro!$B$35)^(Presion_cilindro!$B$17+1)),0)-IF(Presion_cilindro!N434&gt;(-L$4+Presion_cilindro!$B$34),1-EXP(-Presion_cilindro!$B$16*((Presion_cilindro!N434-(-L$4+Presion_cilindro!$B$34))/Presion_cilindro!$B$35)^(Presion_cilindro!$B$17+1)),0))/((Presion_cilindro!O434+Presion_cilindro!O435)/2)</f>
        <v>19.181766520940769</v>
      </c>
      <c r="M443" s="27">
        <f>M442*(Presion_cilindro!O434/Presion_cilindro!O435)^Presion_cilindro!$B$9+10*(Presion_cilindro!$B$9-1)*Presion_cilindro!$B$33*(IF(Presion_cilindro!N435&gt;(-M$4+Presion_cilindro!$B$34),1-EXP(-Presion_cilindro!$B$16*((Presion_cilindro!N435-(-M$4+Presion_cilindro!$B$34))/Presion_cilindro!$B$35)^(Presion_cilindro!$B$17+1)),0)-IF(Presion_cilindro!N434&gt;(-M$4+Presion_cilindro!$B$34),1-EXP(-Presion_cilindro!$B$16*((Presion_cilindro!N434-(-M$4+Presion_cilindro!$B$34))/Presion_cilindro!$B$35)^(Presion_cilindro!$B$17+1)),0))/((Presion_cilindro!O434+Presion_cilindro!O435)/2)</f>
        <v>19.667191534323415</v>
      </c>
      <c r="N443" s="27">
        <f>N442*(Presion_cilindro!O434/Presion_cilindro!O435)^Presion_cilindro!$B$9+10*(Presion_cilindro!$B$9-1)*Presion_cilindro!$B$33*(IF(Presion_cilindro!N435&gt;(-N$4+Presion_cilindro!$B$34),1-EXP(-Presion_cilindro!$B$16*((Presion_cilindro!N435-(-N$4+Presion_cilindro!$B$34))/Presion_cilindro!$B$35)^(Presion_cilindro!$B$17+1)),0)-IF(Presion_cilindro!N434&gt;(-N$4+Presion_cilindro!$B$34),1-EXP(-Presion_cilindro!$B$16*((Presion_cilindro!N434-(-N$4+Presion_cilindro!$B$34))/Presion_cilindro!$B$35)^(Presion_cilindro!$B$17+1)),0))/((Presion_cilindro!O434+Presion_cilindro!O435)/2)</f>
        <v>20.23497352701963</v>
      </c>
    </row>
    <row r="444" spans="1:14" x14ac:dyDescent="0.25">
      <c r="A444" s="21">
        <f>Presion_cilindro!N436</f>
        <v>36</v>
      </c>
      <c r="B444" s="27">
        <f>B443*(Presion_cilindro!O435/Presion_cilindro!O436)^Presion_cilindro!$B$9+10*(Presion_cilindro!$B$9-1)*Presion_cilindro!$B$33*(IF(Presion_cilindro!N436&gt;(-B$4+Presion_cilindro!$B$34),1-EXP(-Presion_cilindro!$B$16*((Presion_cilindro!N436-(-B$4+Presion_cilindro!$B$34))/Presion_cilindro!$B$35)^(Presion_cilindro!$B$17+1)),0)-IF(Presion_cilindro!N435&gt;(-B$4+Presion_cilindro!$B$34),1-EXP(-Presion_cilindro!$B$16*((Presion_cilindro!N435-(-B$4+Presion_cilindro!$B$34))/Presion_cilindro!$B$35)^(Presion_cilindro!$B$17+1)),0))/((Presion_cilindro!O435+Presion_cilindro!O436)/2)</f>
        <v>14.731280810818806</v>
      </c>
      <c r="C444" s="27">
        <f>C443*(Presion_cilindro!O435/Presion_cilindro!O436)^Presion_cilindro!$B$9+10*(Presion_cilindro!$B$9-1)*Presion_cilindro!$B$33*(IF(Presion_cilindro!N436&gt;(-C$4+Presion_cilindro!$B$34),1-EXP(-Presion_cilindro!$B$16*((Presion_cilindro!N436-(-C$4+Presion_cilindro!$B$34))/Presion_cilindro!$B$35)^(Presion_cilindro!$B$17+1)),0)-IF(Presion_cilindro!N435&gt;(-C$4+Presion_cilindro!$B$34),1-EXP(-Presion_cilindro!$B$16*((Presion_cilindro!N435-(-C$4+Presion_cilindro!$B$34))/Presion_cilindro!$B$35)^(Presion_cilindro!$B$17+1)),0))/((Presion_cilindro!O435+Presion_cilindro!O436)/2)</f>
        <v>16.919302769887075</v>
      </c>
      <c r="D444" s="27">
        <f>D443*(Presion_cilindro!O435/Presion_cilindro!O436)^Presion_cilindro!$B$9+10*(Presion_cilindro!$B$9-1)*Presion_cilindro!$B$33*(IF(Presion_cilindro!N436&gt;(-D$4+Presion_cilindro!$B$34),1-EXP(-Presion_cilindro!$B$16*((Presion_cilindro!N436-(-D$4+Presion_cilindro!$B$34))/Presion_cilindro!$B$35)^(Presion_cilindro!$B$17+1)),0)-IF(Presion_cilindro!N435&gt;(-D$4+Presion_cilindro!$B$34),1-EXP(-Presion_cilindro!$B$16*((Presion_cilindro!N435-(-D$4+Presion_cilindro!$B$34))/Presion_cilindro!$B$35)^(Presion_cilindro!$B$17+1)),0))/((Presion_cilindro!O435+Presion_cilindro!O436)/2)</f>
        <v>18.18607817129265</v>
      </c>
      <c r="E444" s="27">
        <f>E443*(Presion_cilindro!O435/Presion_cilindro!O436)^Presion_cilindro!$B$9+10*(Presion_cilindro!$B$9-1)*Presion_cilindro!$B$33*(IF(Presion_cilindro!N436&gt;(-E$4+Presion_cilindro!$B$34),1-EXP(-Presion_cilindro!$B$16*((Presion_cilindro!N436-(-E$4+Presion_cilindro!$B$34))/Presion_cilindro!$B$35)^(Presion_cilindro!$B$17+1)),0)-IF(Presion_cilindro!N435&gt;(-E$4+Presion_cilindro!$B$34),1-EXP(-Presion_cilindro!$B$16*((Presion_cilindro!N435-(-E$4+Presion_cilindro!$B$34))/Presion_cilindro!$B$35)^(Presion_cilindro!$B$17+1)),0))/((Presion_cilindro!O435+Presion_cilindro!O436)/2)</f>
        <v>18.611883837208094</v>
      </c>
      <c r="F444" s="27">
        <f>F443*(Presion_cilindro!O435/Presion_cilindro!O436)^Presion_cilindro!$B$9+10*(Presion_cilindro!$B$9-1)*Presion_cilindro!$B$33*(IF(Presion_cilindro!N436&gt;(-F$4+Presion_cilindro!$B$34),1-EXP(-Presion_cilindro!$B$16*((Presion_cilindro!N436-(-F$4+Presion_cilindro!$B$34))/Presion_cilindro!$B$35)^(Presion_cilindro!$B$17+1)),0)-IF(Presion_cilindro!N435&gt;(-F$4+Presion_cilindro!$B$34),1-EXP(-Presion_cilindro!$B$16*((Presion_cilindro!N435-(-F$4+Presion_cilindro!$B$34))/Presion_cilindro!$B$35)^(Presion_cilindro!$B$17+1)),0))/((Presion_cilindro!O435+Presion_cilindro!O436)/2)</f>
        <v>18.545246542367785</v>
      </c>
      <c r="G444" s="27">
        <f>G443*(Presion_cilindro!O435/Presion_cilindro!O436)^Presion_cilindro!$B$9+10*(Presion_cilindro!$B$9-1)*Presion_cilindro!$B$33*(IF(Presion_cilindro!N436&gt;(-G$4+Presion_cilindro!$B$34),1-EXP(-Presion_cilindro!$B$16*((Presion_cilindro!N436-(-G$4+Presion_cilindro!$B$34))/Presion_cilindro!$B$35)^(Presion_cilindro!$B$17+1)),0)-IF(Presion_cilindro!N435&gt;(-G$4+Presion_cilindro!$B$34),1-EXP(-Presion_cilindro!$B$16*((Presion_cilindro!N435-(-G$4+Presion_cilindro!$B$34))/Presion_cilindro!$B$35)^(Presion_cilindro!$B$17+1)),0))/((Presion_cilindro!O435+Presion_cilindro!O436)/2)</f>
        <v>18.327234433150313</v>
      </c>
      <c r="H444" s="27">
        <f>H443*(Presion_cilindro!O435/Presion_cilindro!O436)^Presion_cilindro!$B$9+10*(Presion_cilindro!$B$9-1)*Presion_cilindro!$B$33*(IF(Presion_cilindro!N436&gt;(-H$4+Presion_cilindro!$B$34),1-EXP(-Presion_cilindro!$B$16*((Presion_cilindro!N436-(-H$4+Presion_cilindro!$B$34))/Presion_cilindro!$B$35)^(Presion_cilindro!$B$17+1)),0)-IF(Presion_cilindro!N435&gt;(-H$4+Presion_cilindro!$B$34),1-EXP(-Presion_cilindro!$B$16*((Presion_cilindro!N435-(-H$4+Presion_cilindro!$B$34))/Presion_cilindro!$B$35)^(Presion_cilindro!$B$17+1)),0))/((Presion_cilindro!O435+Presion_cilindro!O436)/2)</f>
        <v>18.157321344902225</v>
      </c>
      <c r="I444" s="27">
        <f>I443*(Presion_cilindro!O435/Presion_cilindro!O436)^Presion_cilindro!$B$9+10*(Presion_cilindro!$B$9-1)*Presion_cilindro!$B$33*(IF(Presion_cilindro!N436&gt;(-I$4+Presion_cilindro!$B$34),1-EXP(-Presion_cilindro!$B$16*((Presion_cilindro!N436-(-I$4+Presion_cilindro!$B$34))/Presion_cilindro!$B$35)^(Presion_cilindro!$B$17+1)),0)-IF(Presion_cilindro!N435&gt;(-I$4+Presion_cilindro!$B$34),1-EXP(-Presion_cilindro!$B$16*((Presion_cilindro!N435-(-I$4+Presion_cilindro!$B$34))/Presion_cilindro!$B$35)^(Presion_cilindro!$B$17+1)),0))/((Presion_cilindro!O435+Presion_cilindro!O436)/2)</f>
        <v>18.114473868323827</v>
      </c>
      <c r="J444" s="27">
        <f>J443*(Presion_cilindro!O435/Presion_cilindro!O436)^Presion_cilindro!$B$9+10*(Presion_cilindro!$B$9-1)*Presion_cilindro!$B$33*(IF(Presion_cilindro!N436&gt;(-J$4+Presion_cilindro!$B$34),1-EXP(-Presion_cilindro!$B$16*((Presion_cilindro!N436-(-J$4+Presion_cilindro!$B$34))/Presion_cilindro!$B$35)^(Presion_cilindro!$B$17+1)),0)-IF(Presion_cilindro!N435&gt;(-J$4+Presion_cilindro!$B$34),1-EXP(-Presion_cilindro!$B$16*((Presion_cilindro!N435-(-J$4+Presion_cilindro!$B$34))/Presion_cilindro!$B$35)^(Presion_cilindro!$B$17+1)),0))/((Presion_cilindro!O435+Presion_cilindro!O436)/2)</f>
        <v>18.218068301467273</v>
      </c>
      <c r="K444" s="27">
        <f>K443*(Presion_cilindro!O435/Presion_cilindro!O436)^Presion_cilindro!$B$9+10*(Presion_cilindro!$B$9-1)*Presion_cilindro!$B$33*(IF(Presion_cilindro!N436&gt;(-K$4+Presion_cilindro!$B$34),1-EXP(-Presion_cilindro!$B$16*((Presion_cilindro!N436-(-K$4+Presion_cilindro!$B$34))/Presion_cilindro!$B$35)^(Presion_cilindro!$B$17+1)),0)-IF(Presion_cilindro!N435&gt;(-K$4+Presion_cilindro!$B$34),1-EXP(-Presion_cilindro!$B$16*((Presion_cilindro!N435-(-K$4+Presion_cilindro!$B$34))/Presion_cilindro!$B$35)^(Presion_cilindro!$B$17+1)),0))/((Presion_cilindro!O435+Presion_cilindro!O436)/2)</f>
        <v>18.463599235298972</v>
      </c>
      <c r="L444" s="27">
        <f>L443*(Presion_cilindro!O435/Presion_cilindro!O436)^Presion_cilindro!$B$9+10*(Presion_cilindro!$B$9-1)*Presion_cilindro!$B$33*(IF(Presion_cilindro!N436&gt;(-L$4+Presion_cilindro!$B$34),1-EXP(-Presion_cilindro!$B$16*((Presion_cilindro!N436-(-L$4+Presion_cilindro!$B$34))/Presion_cilindro!$B$35)^(Presion_cilindro!$B$17+1)),0)-IF(Presion_cilindro!N435&gt;(-L$4+Presion_cilindro!$B$34),1-EXP(-Presion_cilindro!$B$16*((Presion_cilindro!N435-(-L$4+Presion_cilindro!$B$34))/Presion_cilindro!$B$35)^(Presion_cilindro!$B$17+1)),0))/((Presion_cilindro!O435+Presion_cilindro!O436)/2)</f>
        <v>18.83548118828293</v>
      </c>
      <c r="M444" s="27">
        <f>M443*(Presion_cilindro!O435/Presion_cilindro!O436)^Presion_cilindro!$B$9+10*(Presion_cilindro!$B$9-1)*Presion_cilindro!$B$33*(IF(Presion_cilindro!N436&gt;(-M$4+Presion_cilindro!$B$34),1-EXP(-Presion_cilindro!$B$16*((Presion_cilindro!N436-(-M$4+Presion_cilindro!$B$34))/Presion_cilindro!$B$35)^(Presion_cilindro!$B$17+1)),0)-IF(Presion_cilindro!N435&gt;(-M$4+Presion_cilindro!$B$34),1-EXP(-Presion_cilindro!$B$16*((Presion_cilindro!N435-(-M$4+Presion_cilindro!$B$34))/Presion_cilindro!$B$35)^(Presion_cilindro!$B$17+1)),0))/((Presion_cilindro!O435+Presion_cilindro!O436)/2)</f>
        <v>19.312142888277751</v>
      </c>
      <c r="N444" s="27">
        <f>N443*(Presion_cilindro!O435/Presion_cilindro!O436)^Presion_cilindro!$B$9+10*(Presion_cilindro!$B$9-1)*Presion_cilindro!$B$33*(IF(Presion_cilindro!N436&gt;(-N$4+Presion_cilindro!$B$34),1-EXP(-Presion_cilindro!$B$16*((Presion_cilindro!N436-(-N$4+Presion_cilindro!$B$34))/Presion_cilindro!$B$35)^(Presion_cilindro!$B$17+1)),0)-IF(Presion_cilindro!N435&gt;(-N$4+Presion_cilindro!$B$34),1-EXP(-Presion_cilindro!$B$16*((Presion_cilindro!N435-(-N$4+Presion_cilindro!$B$34))/Presion_cilindro!$B$35)^(Presion_cilindro!$B$17+1)),0))/((Presion_cilindro!O435+Presion_cilindro!O436)/2)</f>
        <v>19.869674803682724</v>
      </c>
    </row>
    <row r="445" spans="1:14" x14ac:dyDescent="0.25">
      <c r="A445" s="21">
        <f>Presion_cilindro!N437</f>
        <v>36.5</v>
      </c>
      <c r="B445" s="27">
        <f>B444*(Presion_cilindro!O436/Presion_cilindro!O437)^Presion_cilindro!$B$9+10*(Presion_cilindro!$B$9-1)*Presion_cilindro!$B$33*(IF(Presion_cilindro!N437&gt;(-B$4+Presion_cilindro!$B$34),1-EXP(-Presion_cilindro!$B$16*((Presion_cilindro!N437-(-B$4+Presion_cilindro!$B$34))/Presion_cilindro!$B$35)^(Presion_cilindro!$B$17+1)),0)-IF(Presion_cilindro!N436&gt;(-B$4+Presion_cilindro!$B$34),1-EXP(-Presion_cilindro!$B$16*((Presion_cilindro!N436-(-B$4+Presion_cilindro!$B$34))/Presion_cilindro!$B$35)^(Presion_cilindro!$B$17+1)),0))/((Presion_cilindro!O436+Presion_cilindro!O437)/2)</f>
        <v>14.755101278851308</v>
      </c>
      <c r="C445" s="27">
        <f>C444*(Presion_cilindro!O436/Presion_cilindro!O437)^Presion_cilindro!$B$9+10*(Presion_cilindro!$B$9-1)*Presion_cilindro!$B$33*(IF(Presion_cilindro!N437&gt;(-C$4+Presion_cilindro!$B$34),1-EXP(-Presion_cilindro!$B$16*((Presion_cilindro!N437-(-C$4+Presion_cilindro!$B$34))/Presion_cilindro!$B$35)^(Presion_cilindro!$B$17+1)),0)-IF(Presion_cilindro!N436&gt;(-C$4+Presion_cilindro!$B$34),1-EXP(-Presion_cilindro!$B$16*((Presion_cilindro!N436-(-C$4+Presion_cilindro!$B$34))/Presion_cilindro!$B$35)^(Presion_cilindro!$B$17+1)),0))/((Presion_cilindro!O436+Presion_cilindro!O437)/2)</f>
        <v>16.829808059553269</v>
      </c>
      <c r="D445" s="27">
        <f>D444*(Presion_cilindro!O436/Presion_cilindro!O437)^Presion_cilindro!$B$9+10*(Presion_cilindro!$B$9-1)*Presion_cilindro!$B$33*(IF(Presion_cilindro!N437&gt;(-D$4+Presion_cilindro!$B$34),1-EXP(-Presion_cilindro!$B$16*((Presion_cilindro!N437-(-D$4+Presion_cilindro!$B$34))/Presion_cilindro!$B$35)^(Presion_cilindro!$B$17+1)),0)-IF(Presion_cilindro!N436&gt;(-D$4+Presion_cilindro!$B$34),1-EXP(-Presion_cilindro!$B$16*((Presion_cilindro!N436-(-D$4+Presion_cilindro!$B$34))/Presion_cilindro!$B$35)^(Presion_cilindro!$B$17+1)),0))/((Presion_cilindro!O436+Presion_cilindro!O437)/2)</f>
        <v>17.982999815930267</v>
      </c>
      <c r="E445" s="27">
        <f>E444*(Presion_cilindro!O436/Presion_cilindro!O437)^Presion_cilindro!$B$9+10*(Presion_cilindro!$B$9-1)*Presion_cilindro!$B$33*(IF(Presion_cilindro!N437&gt;(-E$4+Presion_cilindro!$B$34),1-EXP(-Presion_cilindro!$B$16*((Presion_cilindro!N437-(-E$4+Presion_cilindro!$B$34))/Presion_cilindro!$B$35)^(Presion_cilindro!$B$17+1)),0)-IF(Presion_cilindro!N436&gt;(-E$4+Presion_cilindro!$B$34),1-EXP(-Presion_cilindro!$B$16*((Presion_cilindro!N436-(-E$4+Presion_cilindro!$B$34))/Presion_cilindro!$B$35)^(Presion_cilindro!$B$17+1)),0))/((Presion_cilindro!O436+Presion_cilindro!O437)/2)</f>
        <v>18.331506303291015</v>
      </c>
      <c r="F445" s="27">
        <f>F444*(Presion_cilindro!O436/Presion_cilindro!O437)^Presion_cilindro!$B$9+10*(Presion_cilindro!$B$9-1)*Presion_cilindro!$B$33*(IF(Presion_cilindro!N437&gt;(-F$4+Presion_cilindro!$B$34),1-EXP(-Presion_cilindro!$B$16*((Presion_cilindro!N437-(-F$4+Presion_cilindro!$B$34))/Presion_cilindro!$B$35)^(Presion_cilindro!$B$17+1)),0)-IF(Presion_cilindro!N436&gt;(-F$4+Presion_cilindro!$B$34),1-EXP(-Presion_cilindro!$B$16*((Presion_cilindro!N436-(-F$4+Presion_cilindro!$B$34))/Presion_cilindro!$B$35)^(Presion_cilindro!$B$17+1)),0))/((Presion_cilindro!O436+Presion_cilindro!O437)/2)</f>
        <v>18.229263672435042</v>
      </c>
      <c r="G445" s="27">
        <f>G444*(Presion_cilindro!O436/Presion_cilindro!O437)^Presion_cilindro!$B$9+10*(Presion_cilindro!$B$9-1)*Presion_cilindro!$B$33*(IF(Presion_cilindro!N437&gt;(-G$4+Presion_cilindro!$B$34),1-EXP(-Presion_cilindro!$B$16*((Presion_cilindro!N437-(-G$4+Presion_cilindro!$B$34))/Presion_cilindro!$B$35)^(Presion_cilindro!$B$17+1)),0)-IF(Presion_cilindro!N436&gt;(-G$4+Presion_cilindro!$B$34),1-EXP(-Presion_cilindro!$B$16*((Presion_cilindro!N436-(-G$4+Presion_cilindro!$B$34))/Presion_cilindro!$B$35)^(Presion_cilindro!$B$17+1)),0))/((Presion_cilindro!O436+Presion_cilindro!O437)/2)</f>
        <v>18.001530637421251</v>
      </c>
      <c r="H445" s="27">
        <f>H444*(Presion_cilindro!O436/Presion_cilindro!O437)^Presion_cilindro!$B$9+10*(Presion_cilindro!$B$9-1)*Presion_cilindro!$B$33*(IF(Presion_cilindro!N437&gt;(-H$4+Presion_cilindro!$B$34),1-EXP(-Presion_cilindro!$B$16*((Presion_cilindro!N437-(-H$4+Presion_cilindro!$B$34))/Presion_cilindro!$B$35)^(Presion_cilindro!$B$17+1)),0)-IF(Presion_cilindro!N436&gt;(-H$4+Presion_cilindro!$B$34),1-EXP(-Presion_cilindro!$B$16*((Presion_cilindro!N436-(-H$4+Presion_cilindro!$B$34))/Presion_cilindro!$B$35)^(Presion_cilindro!$B$17+1)),0))/((Presion_cilindro!O436+Presion_cilindro!O437)/2)</f>
        <v>17.831147779506029</v>
      </c>
      <c r="I445" s="27">
        <f>I444*(Presion_cilindro!O436/Presion_cilindro!O437)^Presion_cilindro!$B$9+10*(Presion_cilindro!$B$9-1)*Presion_cilindro!$B$33*(IF(Presion_cilindro!N437&gt;(-I$4+Presion_cilindro!$B$34),1-EXP(-Presion_cilindro!$B$16*((Presion_cilindro!N437-(-I$4+Presion_cilindro!$B$34))/Presion_cilindro!$B$35)^(Presion_cilindro!$B$17+1)),0)-IF(Presion_cilindro!N436&gt;(-I$4+Presion_cilindro!$B$34),1-EXP(-Presion_cilindro!$B$16*((Presion_cilindro!N436-(-I$4+Presion_cilindro!$B$34))/Presion_cilindro!$B$35)^(Presion_cilindro!$B$17+1)),0))/((Presion_cilindro!O436+Presion_cilindro!O437)/2)</f>
        <v>17.788444982967615</v>
      </c>
      <c r="J445" s="27">
        <f>J444*(Presion_cilindro!O436/Presion_cilindro!O437)^Presion_cilindro!$B$9+10*(Presion_cilindro!$B$9-1)*Presion_cilindro!$B$33*(IF(Presion_cilindro!N437&gt;(-J$4+Presion_cilindro!$B$34),1-EXP(-Presion_cilindro!$B$16*((Presion_cilindro!N437-(-J$4+Presion_cilindro!$B$34))/Presion_cilindro!$B$35)^(Presion_cilindro!$B$17+1)),0)-IF(Presion_cilindro!N436&gt;(-J$4+Presion_cilindro!$B$34),1-EXP(-Presion_cilindro!$B$16*((Presion_cilindro!N436-(-J$4+Presion_cilindro!$B$34))/Presion_cilindro!$B$35)^(Presion_cilindro!$B$17+1)),0))/((Presion_cilindro!O436+Presion_cilindro!O437)/2)</f>
        <v>17.890099530111495</v>
      </c>
      <c r="K445" s="27">
        <f>K444*(Presion_cilindro!O436/Presion_cilindro!O437)^Presion_cilindro!$B$9+10*(Presion_cilindro!$B$9-1)*Presion_cilindro!$B$33*(IF(Presion_cilindro!N437&gt;(-K$4+Presion_cilindro!$B$34),1-EXP(-Presion_cilindro!$B$16*((Presion_cilindro!N437-(-K$4+Presion_cilindro!$B$34))/Presion_cilindro!$B$35)^(Presion_cilindro!$B$17+1)),0)-IF(Presion_cilindro!N436&gt;(-K$4+Presion_cilindro!$B$34),1-EXP(-Presion_cilindro!$B$16*((Presion_cilindro!N436-(-K$4+Presion_cilindro!$B$34))/Presion_cilindro!$B$35)^(Presion_cilindro!$B$17+1)),0))/((Presion_cilindro!O436+Presion_cilindro!O437)/2)</f>
        <v>18.131204349991251</v>
      </c>
      <c r="L445" s="27">
        <f>L444*(Presion_cilindro!O436/Presion_cilindro!O437)^Presion_cilindro!$B$9+10*(Presion_cilindro!$B$9-1)*Presion_cilindro!$B$33*(IF(Presion_cilindro!N437&gt;(-L$4+Presion_cilindro!$B$34),1-EXP(-Presion_cilindro!$B$16*((Presion_cilindro!N437-(-L$4+Presion_cilindro!$B$34))/Presion_cilindro!$B$35)^(Presion_cilindro!$B$17+1)),0)-IF(Presion_cilindro!N436&gt;(-L$4+Presion_cilindro!$B$34),1-EXP(-Presion_cilindro!$B$16*((Presion_cilindro!N436-(-L$4+Presion_cilindro!$B$34))/Presion_cilindro!$B$35)^(Presion_cilindro!$B$17+1)),0))/((Presion_cilindro!O436+Presion_cilindro!O437)/2)</f>
        <v>18.4963911158973</v>
      </c>
      <c r="M445" s="27">
        <f>M444*(Presion_cilindro!O436/Presion_cilindro!O437)^Presion_cilindro!$B$9+10*(Presion_cilindro!$B$9-1)*Presion_cilindro!$B$33*(IF(Presion_cilindro!N437&gt;(-M$4+Presion_cilindro!$B$34),1-EXP(-Presion_cilindro!$B$16*((Presion_cilindro!N437-(-M$4+Presion_cilindro!$B$34))/Presion_cilindro!$B$35)^(Presion_cilindro!$B$17+1)),0)-IF(Presion_cilindro!N436&gt;(-M$4+Presion_cilindro!$B$34),1-EXP(-Presion_cilindro!$B$16*((Presion_cilindro!N436-(-M$4+Presion_cilindro!$B$34))/Presion_cilindro!$B$35)^(Presion_cilindro!$B$17+1)),0))/((Presion_cilindro!O436+Presion_cilindro!O437)/2)</f>
        <v>18.964471594675555</v>
      </c>
      <c r="N445" s="27">
        <f>N444*(Presion_cilindro!O436/Presion_cilindro!O437)^Presion_cilindro!$B$9+10*(Presion_cilindro!$B$9-1)*Presion_cilindro!$B$33*(IF(Presion_cilindro!N437&gt;(-N$4+Presion_cilindro!$B$34),1-EXP(-Presion_cilindro!$B$16*((Presion_cilindro!N437-(-N$4+Presion_cilindro!$B$34))/Presion_cilindro!$B$35)^(Presion_cilindro!$B$17+1)),0)-IF(Presion_cilindro!N436&gt;(-N$4+Presion_cilindro!$B$34),1-EXP(-Presion_cilindro!$B$16*((Presion_cilindro!N436-(-N$4+Presion_cilindro!$B$34))/Presion_cilindro!$B$35)^(Presion_cilindro!$B$17+1)),0))/((Presion_cilindro!O436+Presion_cilindro!O437)/2)</f>
        <v>19.511966413372768</v>
      </c>
    </row>
    <row r="446" spans="1:14" x14ac:dyDescent="0.25">
      <c r="A446" s="21">
        <f>Presion_cilindro!N438</f>
        <v>37</v>
      </c>
      <c r="B446" s="27">
        <f>B445*(Presion_cilindro!O437/Presion_cilindro!O438)^Presion_cilindro!$B$9+10*(Presion_cilindro!$B$9-1)*Presion_cilindro!$B$33*(IF(Presion_cilindro!N438&gt;(-B$4+Presion_cilindro!$B$34),1-EXP(-Presion_cilindro!$B$16*((Presion_cilindro!N438-(-B$4+Presion_cilindro!$B$34))/Presion_cilindro!$B$35)^(Presion_cilindro!$B$17+1)),0)-IF(Presion_cilindro!N437&gt;(-B$4+Presion_cilindro!$B$34),1-EXP(-Presion_cilindro!$B$16*((Presion_cilindro!N437-(-B$4+Presion_cilindro!$B$34))/Presion_cilindro!$B$35)^(Presion_cilindro!$B$17+1)),0))/((Presion_cilindro!O437+Presion_cilindro!O438)/2)</f>
        <v>14.77010283831441</v>
      </c>
      <c r="C446" s="27">
        <f>C445*(Presion_cilindro!O437/Presion_cilindro!O438)^Presion_cilindro!$B$9+10*(Presion_cilindro!$B$9-1)*Presion_cilindro!$B$33*(IF(Presion_cilindro!N438&gt;(-C$4+Presion_cilindro!$B$34),1-EXP(-Presion_cilindro!$B$16*((Presion_cilindro!N438-(-C$4+Presion_cilindro!$B$34))/Presion_cilindro!$B$35)^(Presion_cilindro!$B$17+1)),0)-IF(Presion_cilindro!N437&gt;(-C$4+Presion_cilindro!$B$34),1-EXP(-Presion_cilindro!$B$16*((Presion_cilindro!N437-(-C$4+Presion_cilindro!$B$34))/Presion_cilindro!$B$35)^(Presion_cilindro!$B$17+1)),0))/((Presion_cilindro!O437+Presion_cilindro!O438)/2)</f>
        <v>16.730949106489593</v>
      </c>
      <c r="D446" s="27">
        <f>D445*(Presion_cilindro!O437/Presion_cilindro!O438)^Presion_cilindro!$B$9+10*(Presion_cilindro!$B$9-1)*Presion_cilindro!$B$33*(IF(Presion_cilindro!N438&gt;(-D$4+Presion_cilindro!$B$34),1-EXP(-Presion_cilindro!$B$16*((Presion_cilindro!N438-(-D$4+Presion_cilindro!$B$34))/Presion_cilindro!$B$35)^(Presion_cilindro!$B$17+1)),0)-IF(Presion_cilindro!N437&gt;(-D$4+Presion_cilindro!$B$34),1-EXP(-Presion_cilindro!$B$16*((Presion_cilindro!N437-(-D$4+Presion_cilindro!$B$34))/Presion_cilindro!$B$35)^(Presion_cilindro!$B$17+1)),0))/((Presion_cilindro!O437+Presion_cilindro!O438)/2)</f>
        <v>17.774623772369392</v>
      </c>
      <c r="E446" s="27">
        <f>E445*(Presion_cilindro!O437/Presion_cilindro!O438)^Presion_cilindro!$B$9+10*(Presion_cilindro!$B$9-1)*Presion_cilindro!$B$33*(IF(Presion_cilindro!N438&gt;(-E$4+Presion_cilindro!$B$34),1-EXP(-Presion_cilindro!$B$16*((Presion_cilindro!N438-(-E$4+Presion_cilindro!$B$34))/Presion_cilindro!$B$35)^(Presion_cilindro!$B$17+1)),0)-IF(Presion_cilindro!N437&gt;(-E$4+Presion_cilindro!$B$34),1-EXP(-Presion_cilindro!$B$16*((Presion_cilindro!N437-(-E$4+Presion_cilindro!$B$34))/Presion_cilindro!$B$35)^(Presion_cilindro!$B$17+1)),0))/((Presion_cilindro!O437+Presion_cilindro!O438)/2)</f>
        <v>18.051377753356764</v>
      </c>
      <c r="F446" s="27">
        <f>F445*(Presion_cilindro!O437/Presion_cilindro!O438)^Presion_cilindro!$B$9+10*(Presion_cilindro!$B$9-1)*Presion_cilindro!$B$33*(IF(Presion_cilindro!N438&gt;(-F$4+Presion_cilindro!$B$34),1-EXP(-Presion_cilindro!$B$16*((Presion_cilindro!N438-(-F$4+Presion_cilindro!$B$34))/Presion_cilindro!$B$35)^(Presion_cilindro!$B$17+1)),0)-IF(Presion_cilindro!N437&gt;(-F$4+Presion_cilindro!$B$34),1-EXP(-Presion_cilindro!$B$16*((Presion_cilindro!N437-(-F$4+Presion_cilindro!$B$34))/Presion_cilindro!$B$35)^(Presion_cilindro!$B$17+1)),0))/((Presion_cilindro!O437+Presion_cilindro!O438)/2)</f>
        <v>17.917565113491552</v>
      </c>
      <c r="G446" s="27">
        <f>G445*(Presion_cilindro!O437/Presion_cilindro!O438)^Presion_cilindro!$B$9+10*(Presion_cilindro!$B$9-1)*Presion_cilindro!$B$33*(IF(Presion_cilindro!N438&gt;(-G$4+Presion_cilindro!$B$34),1-EXP(-Presion_cilindro!$B$16*((Presion_cilindro!N438-(-G$4+Presion_cilindro!$B$34))/Presion_cilindro!$B$35)^(Presion_cilindro!$B$17+1)),0)-IF(Presion_cilindro!N437&gt;(-G$4+Presion_cilindro!$B$34),1-EXP(-Presion_cilindro!$B$16*((Presion_cilindro!N437-(-G$4+Presion_cilindro!$B$34))/Presion_cilindro!$B$35)^(Presion_cilindro!$B$17+1)),0))/((Presion_cilindro!O437+Presion_cilindro!O438)/2)</f>
        <v>17.681967080400643</v>
      </c>
      <c r="H446" s="27">
        <f>H445*(Presion_cilindro!O437/Presion_cilindro!O438)^Presion_cilindro!$B$9+10*(Presion_cilindro!$B$9-1)*Presion_cilindro!$B$33*(IF(Presion_cilindro!N438&gt;(-H$4+Presion_cilindro!$B$34),1-EXP(-Presion_cilindro!$B$16*((Presion_cilindro!N438-(-H$4+Presion_cilindro!$B$34))/Presion_cilindro!$B$35)^(Presion_cilindro!$B$17+1)),0)-IF(Presion_cilindro!N437&gt;(-H$4+Presion_cilindro!$B$34),1-EXP(-Presion_cilindro!$B$16*((Presion_cilindro!N437-(-H$4+Presion_cilindro!$B$34))/Presion_cilindro!$B$35)^(Presion_cilindro!$B$17+1)),0))/((Presion_cilindro!O437+Presion_cilindro!O438)/2)</f>
        <v>17.511663220879896</v>
      </c>
      <c r="I446" s="27">
        <f>I445*(Presion_cilindro!O437/Presion_cilindro!O438)^Presion_cilindro!$B$9+10*(Presion_cilindro!$B$9-1)*Presion_cilindro!$B$33*(IF(Presion_cilindro!N438&gt;(-I$4+Presion_cilindro!$B$34),1-EXP(-Presion_cilindro!$B$16*((Presion_cilindro!N438-(-I$4+Presion_cilindro!$B$34))/Presion_cilindro!$B$35)^(Presion_cilindro!$B$17+1)),0)-IF(Presion_cilindro!N437&gt;(-I$4+Presion_cilindro!$B$34),1-EXP(-Presion_cilindro!$B$16*((Presion_cilindro!N437-(-I$4+Presion_cilindro!$B$34))/Presion_cilindro!$B$35)^(Presion_cilindro!$B$17+1)),0))/((Presion_cilindro!O437+Presion_cilindro!O438)/2)</f>
        <v>17.469217844460619</v>
      </c>
      <c r="J446" s="27">
        <f>J445*(Presion_cilindro!O437/Presion_cilindro!O438)^Presion_cilindro!$B$9+10*(Presion_cilindro!$B$9-1)*Presion_cilindro!$B$33*(IF(Presion_cilindro!N438&gt;(-J$4+Presion_cilindro!$B$34),1-EXP(-Presion_cilindro!$B$16*((Presion_cilindro!N438-(-J$4+Presion_cilindro!$B$34))/Presion_cilindro!$B$35)^(Presion_cilindro!$B$17+1)),0)-IF(Presion_cilindro!N437&gt;(-J$4+Presion_cilindro!$B$34),1-EXP(-Presion_cilindro!$B$16*((Presion_cilindro!N437-(-J$4+Presion_cilindro!$B$34))/Presion_cilindro!$B$35)^(Presion_cilindro!$B$17+1)),0))/((Presion_cilindro!O437+Presion_cilindro!O438)/2)</f>
        <v>17.568989353964433</v>
      </c>
      <c r="K446" s="27">
        <f>K445*(Presion_cilindro!O437/Presion_cilindro!O438)^Presion_cilindro!$B$9+10*(Presion_cilindro!$B$9-1)*Presion_cilindro!$B$33*(IF(Presion_cilindro!N438&gt;(-K$4+Presion_cilindro!$B$34),1-EXP(-Presion_cilindro!$B$16*((Presion_cilindro!N438-(-K$4+Presion_cilindro!$B$34))/Presion_cilindro!$B$35)^(Presion_cilindro!$B$17+1)),0)-IF(Presion_cilindro!N437&gt;(-K$4+Presion_cilindro!$B$34),1-EXP(-Presion_cilindro!$B$16*((Presion_cilindro!N437-(-K$4+Presion_cilindro!$B$34))/Presion_cilindro!$B$35)^(Presion_cilindro!$B$17+1)),0))/((Presion_cilindro!O437+Presion_cilindro!O438)/2)</f>
        <v>17.805762114608708</v>
      </c>
      <c r="L446" s="27">
        <f>L445*(Presion_cilindro!O437/Presion_cilindro!O438)^Presion_cilindro!$B$9+10*(Presion_cilindro!$B$9-1)*Presion_cilindro!$B$33*(IF(Presion_cilindro!N438&gt;(-L$4+Presion_cilindro!$B$34),1-EXP(-Presion_cilindro!$B$16*((Presion_cilindro!N438-(-L$4+Presion_cilindro!$B$34))/Presion_cilindro!$B$35)^(Presion_cilindro!$B$17+1)),0)-IF(Presion_cilindro!N437&gt;(-L$4+Presion_cilindro!$B$34),1-EXP(-Presion_cilindro!$B$16*((Presion_cilindro!N437-(-L$4+Presion_cilindro!$B$34))/Presion_cilindro!$B$35)^(Presion_cilindro!$B$17+1)),0))/((Presion_cilindro!O437+Presion_cilindro!O438)/2)</f>
        <v>18.164393821519091</v>
      </c>
      <c r="M446" s="27">
        <f>M445*(Presion_cilindro!O437/Presion_cilindro!O438)^Presion_cilindro!$B$9+10*(Presion_cilindro!$B$9-1)*Presion_cilindro!$B$33*(IF(Presion_cilindro!N438&gt;(-M$4+Presion_cilindro!$B$34),1-EXP(-Presion_cilindro!$B$16*((Presion_cilindro!N438-(-M$4+Presion_cilindro!$B$34))/Presion_cilindro!$B$35)^(Presion_cilindro!$B$17+1)),0)-IF(Presion_cilindro!N437&gt;(-M$4+Presion_cilindro!$B$34),1-EXP(-Presion_cilindro!$B$16*((Presion_cilindro!N437-(-M$4+Presion_cilindro!$B$34))/Presion_cilindro!$B$35)^(Presion_cilindro!$B$17+1)),0))/((Presion_cilindro!O437+Presion_cilindro!O438)/2)</f>
        <v>18.624072576310827</v>
      </c>
      <c r="N446" s="27">
        <f>N445*(Presion_cilindro!O437/Presion_cilindro!O438)^Presion_cilindro!$B$9+10*(Presion_cilindro!$B$9-1)*Presion_cilindro!$B$33*(IF(Presion_cilindro!N438&gt;(-N$4+Presion_cilindro!$B$34),1-EXP(-Presion_cilindro!$B$16*((Presion_cilindro!N438-(-N$4+Presion_cilindro!$B$34))/Presion_cilindro!$B$35)^(Presion_cilindro!$B$17+1)),0)-IF(Presion_cilindro!N437&gt;(-N$4+Presion_cilindro!$B$34),1-EXP(-Presion_cilindro!$B$16*((Presion_cilindro!N437-(-N$4+Presion_cilindro!$B$34))/Presion_cilindro!$B$35)^(Presion_cilindro!$B$17+1)),0))/((Presion_cilindro!O437+Presion_cilindro!O438)/2)</f>
        <v>19.161740245321095</v>
      </c>
    </row>
    <row r="447" spans="1:14" x14ac:dyDescent="0.25">
      <c r="A447" s="21">
        <f>Presion_cilindro!N439</f>
        <v>37.5</v>
      </c>
      <c r="B447" s="27">
        <f>B446*(Presion_cilindro!O438/Presion_cilindro!O439)^Presion_cilindro!$B$9+10*(Presion_cilindro!$B$9-1)*Presion_cilindro!$B$33*(IF(Presion_cilindro!N439&gt;(-B$4+Presion_cilindro!$B$34),1-EXP(-Presion_cilindro!$B$16*((Presion_cilindro!N439-(-B$4+Presion_cilindro!$B$34))/Presion_cilindro!$B$35)^(Presion_cilindro!$B$17+1)),0)-IF(Presion_cilindro!N438&gt;(-B$4+Presion_cilindro!$B$34),1-EXP(-Presion_cilindro!$B$16*((Presion_cilindro!N438-(-B$4+Presion_cilindro!$B$34))/Presion_cilindro!$B$35)^(Presion_cilindro!$B$17+1)),0))/((Presion_cilindro!O438+Presion_cilindro!O439)/2)</f>
        <v>14.776148916541882</v>
      </c>
      <c r="C447" s="27">
        <f>C446*(Presion_cilindro!O438/Presion_cilindro!O439)^Presion_cilindro!$B$9+10*(Presion_cilindro!$B$9-1)*Presion_cilindro!$B$33*(IF(Presion_cilindro!N439&gt;(-C$4+Presion_cilindro!$B$34),1-EXP(-Presion_cilindro!$B$16*((Presion_cilindro!N439-(-C$4+Presion_cilindro!$B$34))/Presion_cilindro!$B$35)^(Presion_cilindro!$B$17+1)),0)-IF(Presion_cilindro!N438&gt;(-C$4+Presion_cilindro!$B$34),1-EXP(-Presion_cilindro!$B$16*((Presion_cilindro!N438-(-C$4+Presion_cilindro!$B$34))/Presion_cilindro!$B$35)^(Presion_cilindro!$B$17+1)),0))/((Presion_cilindro!O438+Presion_cilindro!O439)/2)</f>
        <v>16.623112890212557</v>
      </c>
      <c r="D447" s="27">
        <f>D446*(Presion_cilindro!O438/Presion_cilindro!O439)^Presion_cilindro!$B$9+10*(Presion_cilindro!$B$9-1)*Presion_cilindro!$B$33*(IF(Presion_cilindro!N439&gt;(-D$4+Presion_cilindro!$B$34),1-EXP(-Presion_cilindro!$B$16*((Presion_cilindro!N439-(-D$4+Presion_cilindro!$B$34))/Presion_cilindro!$B$35)^(Presion_cilindro!$B$17+1)),0)-IF(Presion_cilindro!N438&gt;(-D$4+Presion_cilindro!$B$34),1-EXP(-Presion_cilindro!$B$16*((Presion_cilindro!N438-(-D$4+Presion_cilindro!$B$34))/Presion_cilindro!$B$35)^(Presion_cilindro!$B$17+1)),0))/((Presion_cilindro!O438+Presion_cilindro!O439)/2)</f>
        <v>17.561585213279258</v>
      </c>
      <c r="E447" s="27">
        <f>E446*(Presion_cilindro!O438/Presion_cilindro!O439)^Presion_cilindro!$B$9+10*(Presion_cilindro!$B$9-1)*Presion_cilindro!$B$33*(IF(Presion_cilindro!N439&gt;(-E$4+Presion_cilindro!$B$34),1-EXP(-Presion_cilindro!$B$16*((Presion_cilindro!N439-(-E$4+Presion_cilindro!$B$34))/Presion_cilindro!$B$35)^(Presion_cilindro!$B$17+1)),0)-IF(Presion_cilindro!N438&gt;(-E$4+Presion_cilindro!$B$34),1-EXP(-Presion_cilindro!$B$16*((Presion_cilindro!N438-(-E$4+Presion_cilindro!$B$34))/Presion_cilindro!$B$35)^(Presion_cilindro!$B$17+1)),0))/((Presion_cilindro!O438+Presion_cilindro!O439)/2)</f>
        <v>17.772002485572088</v>
      </c>
      <c r="F447" s="27">
        <f>F446*(Presion_cilindro!O438/Presion_cilindro!O439)^Presion_cilindro!$B$9+10*(Presion_cilindro!$B$9-1)*Presion_cilindro!$B$33*(IF(Presion_cilindro!N439&gt;(-F$4+Presion_cilindro!$B$34),1-EXP(-Presion_cilindro!$B$16*((Presion_cilindro!N439-(-F$4+Presion_cilindro!$B$34))/Presion_cilindro!$B$35)^(Presion_cilindro!$B$17+1)),0)-IF(Presion_cilindro!N438&gt;(-F$4+Presion_cilindro!$B$34),1-EXP(-Presion_cilindro!$B$16*((Presion_cilindro!N438-(-F$4+Presion_cilindro!$B$34))/Presion_cilindro!$B$35)^(Presion_cilindro!$B$17+1)),0))/((Presion_cilindro!O438+Presion_cilindro!O439)/2)</f>
        <v>17.610370223118323</v>
      </c>
      <c r="G447" s="27">
        <f>G446*(Presion_cilindro!O438/Presion_cilindro!O439)^Presion_cilindro!$B$9+10*(Presion_cilindro!$B$9-1)*Presion_cilindro!$B$33*(IF(Presion_cilindro!N439&gt;(-G$4+Presion_cilindro!$B$34),1-EXP(-Presion_cilindro!$B$16*((Presion_cilindro!N439-(-G$4+Presion_cilindro!$B$34))/Presion_cilindro!$B$35)^(Presion_cilindro!$B$17+1)),0)-IF(Presion_cilindro!N438&gt;(-G$4+Presion_cilindro!$B$34),1-EXP(-Presion_cilindro!$B$16*((Presion_cilindro!N438-(-G$4+Presion_cilindro!$B$34))/Presion_cilindro!$B$35)^(Presion_cilindro!$B$17+1)),0))/((Presion_cilindro!O438+Presion_cilindro!O439)/2)</f>
        <v>17.36855532570905</v>
      </c>
      <c r="H447" s="27">
        <f>H446*(Presion_cilindro!O438/Presion_cilindro!O439)^Presion_cilindro!$B$9+10*(Presion_cilindro!$B$9-1)*Presion_cilindro!$B$33*(IF(Presion_cilindro!N439&gt;(-H$4+Presion_cilindro!$B$34),1-EXP(-Presion_cilindro!$B$16*((Presion_cilindro!N439-(-H$4+Presion_cilindro!$B$34))/Presion_cilindro!$B$35)^(Presion_cilindro!$B$17+1)),0)-IF(Presion_cilindro!N438&gt;(-H$4+Presion_cilindro!$B$34),1-EXP(-Presion_cilindro!$B$16*((Presion_cilindro!N438-(-H$4+Presion_cilindro!$B$34))/Presion_cilindro!$B$35)^(Presion_cilindro!$B$17+1)),0))/((Presion_cilindro!O438+Presion_cilindro!O439)/2)</f>
        <v>17.198792645512182</v>
      </c>
      <c r="I447" s="27">
        <f>I446*(Presion_cilindro!O438/Presion_cilindro!O439)^Presion_cilindro!$B$9+10*(Presion_cilindro!$B$9-1)*Presion_cilindro!$B$33*(IF(Presion_cilindro!N439&gt;(-I$4+Presion_cilindro!$B$34),1-EXP(-Presion_cilindro!$B$16*((Presion_cilindro!N439-(-I$4+Presion_cilindro!$B$34))/Presion_cilindro!$B$35)^(Presion_cilindro!$B$17+1)),0)-IF(Presion_cilindro!N438&gt;(-I$4+Presion_cilindro!$B$34),1-EXP(-Presion_cilindro!$B$16*((Presion_cilindro!N438-(-I$4+Presion_cilindro!$B$34))/Presion_cilindro!$B$35)^(Presion_cilindro!$B$17+1)),0))/((Presion_cilindro!O438+Presion_cilindro!O439)/2)</f>
        <v>17.156694840787903</v>
      </c>
      <c r="J447" s="27">
        <f>J446*(Presion_cilindro!O438/Presion_cilindro!O439)^Presion_cilindro!$B$9+10*(Presion_cilindro!$B$9-1)*Presion_cilindro!$B$33*(IF(Presion_cilindro!N439&gt;(-J$4+Presion_cilindro!$B$34),1-EXP(-Presion_cilindro!$B$16*((Presion_cilindro!N439-(-J$4+Presion_cilindro!$B$34))/Presion_cilindro!$B$35)^(Presion_cilindro!$B$17+1)),0)-IF(Presion_cilindro!N438&gt;(-J$4+Presion_cilindro!$B$34),1-EXP(-Presion_cilindro!$B$16*((Presion_cilindro!N438-(-J$4+Presion_cilindro!$B$34))/Presion_cilindro!$B$35)^(Presion_cilindro!$B$17+1)),0))/((Presion_cilindro!O438+Presion_cilindro!O439)/2)</f>
        <v>17.254635808866716</v>
      </c>
      <c r="K447" s="27">
        <f>K446*(Presion_cilindro!O438/Presion_cilindro!O439)^Presion_cilindro!$B$9+10*(Presion_cilindro!$B$9-1)*Presion_cilindro!$B$33*(IF(Presion_cilindro!N439&gt;(-K$4+Presion_cilindro!$B$34),1-EXP(-Presion_cilindro!$B$16*((Presion_cilindro!N439-(-K$4+Presion_cilindro!$B$34))/Presion_cilindro!$B$35)^(Presion_cilindro!$B$17+1)),0)-IF(Presion_cilindro!N438&gt;(-K$4+Presion_cilindro!$B$34),1-EXP(-Presion_cilindro!$B$16*((Presion_cilindro!N438-(-K$4+Presion_cilindro!$B$34))/Presion_cilindro!$B$35)^(Presion_cilindro!$B$17+1)),0))/((Presion_cilindro!O438+Presion_cilindro!O439)/2)</f>
        <v>17.487168792920663</v>
      </c>
      <c r="L447" s="27">
        <f>L446*(Presion_cilindro!O438/Presion_cilindro!O439)^Presion_cilindro!$B$9+10*(Presion_cilindro!$B$9-1)*Presion_cilindro!$B$33*(IF(Presion_cilindro!N439&gt;(-L$4+Presion_cilindro!$B$34),1-EXP(-Presion_cilindro!$B$16*((Presion_cilindro!N439-(-L$4+Presion_cilindro!$B$34))/Presion_cilindro!$B$35)^(Presion_cilindro!$B$17+1)),0)-IF(Presion_cilindro!N438&gt;(-L$4+Presion_cilindro!$B$34),1-EXP(-Presion_cilindro!$B$16*((Presion_cilindro!N438-(-L$4+Presion_cilindro!$B$34))/Presion_cilindro!$B$35)^(Presion_cilindro!$B$17+1)),0))/((Presion_cilindro!O438+Presion_cilindro!O439)/2)</f>
        <v>17.839383453665853</v>
      </c>
      <c r="M447" s="27">
        <f>M446*(Presion_cilindro!O438/Presion_cilindro!O439)^Presion_cilindro!$B$9+10*(Presion_cilindro!$B$9-1)*Presion_cilindro!$B$33*(IF(Presion_cilindro!N439&gt;(-M$4+Presion_cilindro!$B$34),1-EXP(-Presion_cilindro!$B$16*((Presion_cilindro!N439-(-M$4+Presion_cilindro!$B$34))/Presion_cilindro!$B$35)^(Presion_cilindro!$B$17+1)),0)-IF(Presion_cilindro!N438&gt;(-M$4+Presion_cilindro!$B$34),1-EXP(-Presion_cilindro!$B$16*((Presion_cilindro!N438-(-M$4+Presion_cilindro!$B$34))/Presion_cilindro!$B$35)^(Presion_cilindro!$B$17+1)),0))/((Presion_cilindro!O438+Presion_cilindro!O439)/2)</f>
        <v>18.290837301940133</v>
      </c>
      <c r="N447" s="27">
        <f>N446*(Presion_cilindro!O438/Presion_cilindro!O439)^Presion_cilindro!$B$9+10*(Presion_cilindro!$B$9-1)*Presion_cilindro!$B$33*(IF(Presion_cilindro!N439&gt;(-N$4+Presion_cilindro!$B$34),1-EXP(-Presion_cilindro!$B$16*((Presion_cilindro!N439-(-N$4+Presion_cilindro!$B$34))/Presion_cilindro!$B$35)^(Presion_cilindro!$B$17+1)),0)-IF(Presion_cilindro!N438&gt;(-N$4+Presion_cilindro!$B$34),1-EXP(-Presion_cilindro!$B$16*((Presion_cilindro!N438-(-N$4+Presion_cilindro!$B$34))/Presion_cilindro!$B$35)^(Presion_cilindro!$B$17+1)),0))/((Presion_cilindro!O438+Presion_cilindro!O439)/2)</f>
        <v>18.818884635017554</v>
      </c>
    </row>
    <row r="448" spans="1:14" x14ac:dyDescent="0.25">
      <c r="A448" s="21">
        <f>Presion_cilindro!N440</f>
        <v>38</v>
      </c>
      <c r="B448" s="27">
        <f>B447*(Presion_cilindro!O439/Presion_cilindro!O440)^Presion_cilindro!$B$9+10*(Presion_cilindro!$B$9-1)*Presion_cilindro!$B$33*(IF(Presion_cilindro!N440&gt;(-B$4+Presion_cilindro!$B$34),1-EXP(-Presion_cilindro!$B$16*((Presion_cilindro!N440-(-B$4+Presion_cilindro!$B$34))/Presion_cilindro!$B$35)^(Presion_cilindro!$B$17+1)),0)-IF(Presion_cilindro!N439&gt;(-B$4+Presion_cilindro!$B$34),1-EXP(-Presion_cilindro!$B$16*((Presion_cilindro!N439-(-B$4+Presion_cilindro!$B$34))/Presion_cilindro!$B$35)^(Presion_cilindro!$B$17+1)),0))/((Presion_cilindro!O439+Presion_cilindro!O440)/2)</f>
        <v>14.773154779096529</v>
      </c>
      <c r="C448" s="27">
        <f>C447*(Presion_cilindro!O439/Presion_cilindro!O440)^Presion_cilindro!$B$9+10*(Presion_cilindro!$B$9-1)*Presion_cilindro!$B$33*(IF(Presion_cilindro!N440&gt;(-C$4+Presion_cilindro!$B$34),1-EXP(-Presion_cilindro!$B$16*((Presion_cilindro!N440-(-C$4+Presion_cilindro!$B$34))/Presion_cilindro!$B$35)^(Presion_cilindro!$B$17+1)),0)-IF(Presion_cilindro!N439&gt;(-C$4+Presion_cilindro!$B$34),1-EXP(-Presion_cilindro!$B$16*((Presion_cilindro!N439-(-C$4+Presion_cilindro!$B$34))/Presion_cilindro!$B$35)^(Presion_cilindro!$B$17+1)),0))/((Presion_cilindro!O439+Presion_cilindro!O440)/2)</f>
        <v>16.506717954924394</v>
      </c>
      <c r="D448" s="27">
        <f>D447*(Presion_cilindro!O439/Presion_cilindro!O440)^Presion_cilindro!$B$9+10*(Presion_cilindro!$B$9-1)*Presion_cilindro!$B$33*(IF(Presion_cilindro!N440&gt;(-D$4+Presion_cilindro!$B$34),1-EXP(-Presion_cilindro!$B$16*((Presion_cilindro!N440-(-D$4+Presion_cilindro!$B$34))/Presion_cilindro!$B$35)^(Presion_cilindro!$B$17+1)),0)-IF(Presion_cilindro!N439&gt;(-D$4+Presion_cilindro!$B$34),1-EXP(-Presion_cilindro!$B$16*((Presion_cilindro!N439-(-D$4+Presion_cilindro!$B$34))/Presion_cilindro!$B$35)^(Presion_cilindro!$B$17+1)),0))/((Presion_cilindro!O439+Presion_cilindro!O440)/2)</f>
        <v>17.344507549558294</v>
      </c>
      <c r="E448" s="27">
        <f>E447*(Presion_cilindro!O439/Presion_cilindro!O440)^Presion_cilindro!$B$9+10*(Presion_cilindro!$B$9-1)*Presion_cilindro!$B$33*(IF(Presion_cilindro!N440&gt;(-E$4+Presion_cilindro!$B$34),1-EXP(-Presion_cilindro!$B$16*((Presion_cilindro!N440-(-E$4+Presion_cilindro!$B$34))/Presion_cilindro!$B$35)^(Presion_cilindro!$B$17+1)),0)-IF(Presion_cilindro!N439&gt;(-E$4+Presion_cilindro!$B$34),1-EXP(-Presion_cilindro!$B$16*((Presion_cilindro!N439-(-E$4+Presion_cilindro!$B$34))/Presion_cilindro!$B$35)^(Presion_cilindro!$B$17+1)),0))/((Presion_cilindro!O439+Presion_cilindro!O440)/2)</f>
        <v>17.493846814993027</v>
      </c>
      <c r="F448" s="27">
        <f>F447*(Presion_cilindro!O439/Presion_cilindro!O440)^Presion_cilindro!$B$9+10*(Presion_cilindro!$B$9-1)*Presion_cilindro!$B$33*(IF(Presion_cilindro!N440&gt;(-F$4+Presion_cilindro!$B$34),1-EXP(-Presion_cilindro!$B$16*((Presion_cilindro!N440-(-F$4+Presion_cilindro!$B$34))/Presion_cilindro!$B$35)^(Presion_cilindro!$B$17+1)),0)-IF(Presion_cilindro!N439&gt;(-F$4+Presion_cilindro!$B$34),1-EXP(-Presion_cilindro!$B$16*((Presion_cilindro!N439-(-F$4+Presion_cilindro!$B$34))/Presion_cilindro!$B$35)^(Presion_cilindro!$B$17+1)),0))/((Presion_cilindro!O439+Presion_cilindro!O440)/2)</f>
        <v>17.307864617531148</v>
      </c>
      <c r="G448" s="27">
        <f>G447*(Presion_cilindro!O439/Presion_cilindro!O440)^Presion_cilindro!$B$9+10*(Presion_cilindro!$B$9-1)*Presion_cilindro!$B$33*(IF(Presion_cilindro!N440&gt;(-G$4+Presion_cilindro!$B$34),1-EXP(-Presion_cilindro!$B$16*((Presion_cilindro!N440-(-G$4+Presion_cilindro!$B$34))/Presion_cilindro!$B$35)^(Presion_cilindro!$B$17+1)),0)-IF(Presion_cilindro!N439&gt;(-G$4+Presion_cilindro!$B$34),1-EXP(-Presion_cilindro!$B$16*((Presion_cilindro!N439-(-G$4+Presion_cilindro!$B$34))/Presion_cilindro!$B$35)^(Presion_cilindro!$B$17+1)),0))/((Presion_cilindro!O439+Presion_cilindro!O440)/2)</f>
        <v>17.061289124027336</v>
      </c>
      <c r="H448" s="27">
        <f>H447*(Presion_cilindro!O439/Presion_cilindro!O440)^Presion_cilindro!$B$9+10*(Presion_cilindro!$B$9-1)*Presion_cilindro!$B$33*(IF(Presion_cilindro!N440&gt;(-H$4+Presion_cilindro!$B$34),1-EXP(-Presion_cilindro!$B$16*((Presion_cilindro!N440-(-H$4+Presion_cilindro!$B$34))/Presion_cilindro!$B$35)^(Presion_cilindro!$B$17+1)),0)-IF(Presion_cilindro!N439&gt;(-H$4+Presion_cilindro!$B$34),1-EXP(-Presion_cilindro!$B$16*((Presion_cilindro!N439-(-H$4+Presion_cilindro!$B$34))/Presion_cilindro!$B$35)^(Presion_cilindro!$B$17+1)),0))/((Presion_cilindro!O439+Presion_cilindro!O440)/2)</f>
        <v>16.892453773839375</v>
      </c>
      <c r="I448" s="27">
        <f>I447*(Presion_cilindro!O439/Presion_cilindro!O440)^Presion_cilindro!$B$9+10*(Presion_cilindro!$B$9-1)*Presion_cilindro!$B$33*(IF(Presion_cilindro!N440&gt;(-I$4+Presion_cilindro!$B$34),1-EXP(-Presion_cilindro!$B$16*((Presion_cilindro!N440-(-I$4+Presion_cilindro!$B$34))/Presion_cilindro!$B$35)^(Presion_cilindro!$B$17+1)),0)-IF(Presion_cilindro!N439&gt;(-I$4+Presion_cilindro!$B$34),1-EXP(-Presion_cilindro!$B$16*((Presion_cilindro!N439-(-I$4+Presion_cilindro!$B$34))/Presion_cilindro!$B$35)^(Presion_cilindro!$B$17+1)),0))/((Presion_cilindro!O439+Presion_cilindro!O440)/2)</f>
        <v>16.850774754758586</v>
      </c>
      <c r="J448" s="27">
        <f>J447*(Presion_cilindro!O439/Presion_cilindro!O440)^Presion_cilindro!$B$9+10*(Presion_cilindro!$B$9-1)*Presion_cilindro!$B$33*(IF(Presion_cilindro!N440&gt;(-J$4+Presion_cilindro!$B$34),1-EXP(-Presion_cilindro!$B$16*((Presion_cilindro!N440-(-J$4+Presion_cilindro!$B$34))/Presion_cilindro!$B$35)^(Presion_cilindro!$B$17+1)),0)-IF(Presion_cilindro!N439&gt;(-J$4+Presion_cilindro!$B$34),1-EXP(-Presion_cilindro!$B$16*((Presion_cilindro!N439-(-J$4+Presion_cilindro!$B$34))/Presion_cilindro!$B$35)^(Presion_cilindro!$B$17+1)),0))/((Presion_cilindro!O439+Presion_cilindro!O440)/2)</f>
        <v>16.94693405282948</v>
      </c>
      <c r="K448" s="27">
        <f>K447*(Presion_cilindro!O439/Presion_cilindro!O440)^Presion_cilindro!$B$9+10*(Presion_cilindro!$B$9-1)*Presion_cilindro!$B$33*(IF(Presion_cilindro!N440&gt;(-K$4+Presion_cilindro!$B$34),1-EXP(-Presion_cilindro!$B$16*((Presion_cilindro!N440-(-K$4+Presion_cilindro!$B$34))/Presion_cilindro!$B$35)^(Presion_cilindro!$B$17+1)),0)-IF(Presion_cilindro!N439&gt;(-K$4+Presion_cilindro!$B$34),1-EXP(-Presion_cilindro!$B$16*((Presion_cilindro!N439-(-K$4+Presion_cilindro!$B$34))/Presion_cilindro!$B$35)^(Presion_cilindro!$B$17+1)),0))/((Presion_cilindro!O439+Presion_cilindro!O440)/2)</f>
        <v>17.175317825133948</v>
      </c>
      <c r="L448" s="27">
        <f>L447*(Presion_cilindro!O439/Presion_cilindro!O440)^Presion_cilindro!$B$9+10*(Presion_cilindro!$B$9-1)*Presion_cilindro!$B$33*(IF(Presion_cilindro!N440&gt;(-L$4+Presion_cilindro!$B$34),1-EXP(-Presion_cilindro!$B$16*((Presion_cilindro!N440-(-L$4+Presion_cilindro!$B$34))/Presion_cilindro!$B$35)^(Presion_cilindro!$B$17+1)),0)-IF(Presion_cilindro!N439&gt;(-L$4+Presion_cilindro!$B$34),1-EXP(-Presion_cilindro!$B$16*((Presion_cilindro!N439-(-L$4+Presion_cilindro!$B$34))/Presion_cilindro!$B$35)^(Presion_cilindro!$B$17+1)),0))/((Presion_cilindro!O439+Presion_cilindro!O440)/2)</f>
        <v>17.521251287411786</v>
      </c>
      <c r="M448" s="27">
        <f>M447*(Presion_cilindro!O439/Presion_cilindro!O440)^Presion_cilindro!$B$9+10*(Presion_cilindro!$B$9-1)*Presion_cilindro!$B$33*(IF(Presion_cilindro!N440&gt;(-M$4+Presion_cilindro!$B$34),1-EXP(-Presion_cilindro!$B$16*((Presion_cilindro!N440-(-M$4+Presion_cilindro!$B$34))/Presion_cilindro!$B$35)^(Presion_cilindro!$B$17+1)),0)-IF(Presion_cilindro!N439&gt;(-M$4+Presion_cilindro!$B$34),1-EXP(-Presion_cilindro!$B$16*((Presion_cilindro!N439-(-M$4+Presion_cilindro!$B$34))/Presion_cilindro!$B$35)^(Presion_cilindro!$B$17+1)),0))/((Presion_cilindro!O439+Presion_cilindro!O440)/2)</f>
        <v>17.964654294472659</v>
      </c>
      <c r="N448" s="27">
        <f>N447*(Presion_cilindro!O439/Presion_cilindro!O440)^Presion_cilindro!$B$9+10*(Presion_cilindro!$B$9-1)*Presion_cilindro!$B$33*(IF(Presion_cilindro!N440&gt;(-N$4+Presion_cilindro!$B$34),1-EXP(-Presion_cilindro!$B$16*((Presion_cilindro!N440-(-N$4+Presion_cilindro!$B$34))/Presion_cilindro!$B$35)^(Presion_cilindro!$B$17+1)),0)-IF(Presion_cilindro!N439&gt;(-N$4+Presion_cilindro!$B$34),1-EXP(-Presion_cilindro!$B$16*((Presion_cilindro!N439-(-N$4+Presion_cilindro!$B$34))/Presion_cilindro!$B$35)^(Presion_cilindro!$B$17+1)),0))/((Presion_cilindro!O439+Presion_cilindro!O440)/2)</f>
        <v>18.483284887067661</v>
      </c>
    </row>
    <row r="449" spans="1:14" x14ac:dyDescent="0.25">
      <c r="A449" s="21">
        <f>Presion_cilindro!N441</f>
        <v>38.5</v>
      </c>
      <c r="B449" s="27">
        <f>B448*(Presion_cilindro!O440/Presion_cilindro!O441)^Presion_cilindro!$B$9+10*(Presion_cilindro!$B$9-1)*Presion_cilindro!$B$33*(IF(Presion_cilindro!N441&gt;(-B$4+Presion_cilindro!$B$34),1-EXP(-Presion_cilindro!$B$16*((Presion_cilindro!N441-(-B$4+Presion_cilindro!$B$34))/Presion_cilindro!$B$35)^(Presion_cilindro!$B$17+1)),0)-IF(Presion_cilindro!N440&gt;(-B$4+Presion_cilindro!$B$34),1-EXP(-Presion_cilindro!$B$16*((Presion_cilindro!N440-(-B$4+Presion_cilindro!$B$34))/Presion_cilindro!$B$35)^(Presion_cilindro!$B$17+1)),0))/((Presion_cilindro!O440+Presion_cilindro!O441)/2)</f>
        <v>14.761086649603849</v>
      </c>
      <c r="C449" s="27">
        <f>C448*(Presion_cilindro!O440/Presion_cilindro!O441)^Presion_cilindro!$B$9+10*(Presion_cilindro!$B$9-1)*Presion_cilindro!$B$33*(IF(Presion_cilindro!N441&gt;(-C$4+Presion_cilindro!$B$34),1-EXP(-Presion_cilindro!$B$16*((Presion_cilindro!N441-(-C$4+Presion_cilindro!$B$34))/Presion_cilindro!$B$35)^(Presion_cilindro!$B$17+1)),0)-IF(Presion_cilindro!N440&gt;(-C$4+Presion_cilindro!$B$34),1-EXP(-Presion_cilindro!$B$16*((Presion_cilindro!N440-(-C$4+Presion_cilindro!$B$34))/Presion_cilindro!$B$35)^(Presion_cilindro!$B$17+1)),0))/((Presion_cilindro!O440+Presion_cilindro!O441)/2)</f>
        <v>16.382210218508789</v>
      </c>
      <c r="D449" s="27">
        <f>D448*(Presion_cilindro!O440/Presion_cilindro!O441)^Presion_cilindro!$B$9+10*(Presion_cilindro!$B$9-1)*Presion_cilindro!$B$33*(IF(Presion_cilindro!N441&gt;(-D$4+Presion_cilindro!$B$34),1-EXP(-Presion_cilindro!$B$16*((Presion_cilindro!N441-(-D$4+Presion_cilindro!$B$34))/Presion_cilindro!$B$35)^(Presion_cilindro!$B$17+1)),0)-IF(Presion_cilindro!N440&gt;(-D$4+Presion_cilindro!$B$34),1-EXP(-Presion_cilindro!$B$16*((Presion_cilindro!N440-(-D$4+Presion_cilindro!$B$34))/Presion_cilindro!$B$35)^(Presion_cilindro!$B$17+1)),0))/((Presion_cilindro!O440+Presion_cilindro!O441)/2)</f>
        <v>17.123998999322875</v>
      </c>
      <c r="E449" s="27">
        <f>E448*(Presion_cilindro!O440/Presion_cilindro!O441)^Presion_cilindro!$B$9+10*(Presion_cilindro!$B$9-1)*Presion_cilindro!$B$33*(IF(Presion_cilindro!N441&gt;(-E$4+Presion_cilindro!$B$34),1-EXP(-Presion_cilindro!$B$16*((Presion_cilindro!N441-(-E$4+Presion_cilindro!$B$34))/Presion_cilindro!$B$35)^(Presion_cilindro!$B$17+1)),0)-IF(Presion_cilindro!N440&gt;(-E$4+Presion_cilindro!$B$34),1-EXP(-Presion_cilindro!$B$16*((Presion_cilindro!N440-(-E$4+Presion_cilindro!$B$34))/Presion_cilindro!$B$35)^(Presion_cilindro!$B$17+1)),0))/((Presion_cilindro!O440+Presion_cilindro!O441)/2)</f>
        <v>17.217339205890536</v>
      </c>
      <c r="F449" s="27">
        <f>F448*(Presion_cilindro!O440/Presion_cilindro!O441)^Presion_cilindro!$B$9+10*(Presion_cilindro!$B$9-1)*Presion_cilindro!$B$33*(IF(Presion_cilindro!N441&gt;(-F$4+Presion_cilindro!$B$34),1-EXP(-Presion_cilindro!$B$16*((Presion_cilindro!N441-(-F$4+Presion_cilindro!$B$34))/Presion_cilindro!$B$35)^(Presion_cilindro!$B$17+1)),0)-IF(Presion_cilindro!N440&gt;(-F$4+Presion_cilindro!$B$34),1-EXP(-Presion_cilindro!$B$16*((Presion_cilindro!N440-(-F$4+Presion_cilindro!$B$34))/Presion_cilindro!$B$35)^(Presion_cilindro!$B$17+1)),0))/((Presion_cilindro!O440+Presion_cilindro!O441)/2)</f>
        <v>17.010202496891793</v>
      </c>
      <c r="G449" s="27">
        <f>G448*(Presion_cilindro!O440/Presion_cilindro!O441)^Presion_cilindro!$B$9+10*(Presion_cilindro!$B$9-1)*Presion_cilindro!$B$33*(IF(Presion_cilindro!N441&gt;(-G$4+Presion_cilindro!$B$34),1-EXP(-Presion_cilindro!$B$16*((Presion_cilindro!N441-(-G$4+Presion_cilindro!$B$34))/Presion_cilindro!$B$35)^(Presion_cilindro!$B$17+1)),0)-IF(Presion_cilindro!N440&gt;(-G$4+Presion_cilindro!$B$34),1-EXP(-Presion_cilindro!$B$16*((Presion_cilindro!N440-(-G$4+Presion_cilindro!$B$34))/Presion_cilindro!$B$35)^(Presion_cilindro!$B$17+1)),0))/((Presion_cilindro!O440+Presion_cilindro!O441)/2)</f>
        <v>16.760146474570341</v>
      </c>
      <c r="H449" s="27">
        <f>H448*(Presion_cilindro!O440/Presion_cilindro!O441)^Presion_cilindro!$B$9+10*(Presion_cilindro!$B$9-1)*Presion_cilindro!$B$33*(IF(Presion_cilindro!N441&gt;(-H$4+Presion_cilindro!$B$34),1-EXP(-Presion_cilindro!$B$16*((Presion_cilindro!N441-(-H$4+Presion_cilindro!$B$34))/Presion_cilindro!$B$35)^(Presion_cilindro!$B$17+1)),0)-IF(Presion_cilindro!N440&gt;(-H$4+Presion_cilindro!$B$34),1-EXP(-Presion_cilindro!$B$16*((Presion_cilindro!N440-(-H$4+Presion_cilindro!$B$34))/Presion_cilindro!$B$35)^(Presion_cilindro!$B$17+1)),0))/((Presion_cilindro!O440+Presion_cilindro!O441)/2)</f>
        <v>16.592558178938724</v>
      </c>
      <c r="I449" s="27">
        <f>I448*(Presion_cilindro!O440/Presion_cilindro!O441)^Presion_cilindro!$B$9+10*(Presion_cilindro!$B$9-1)*Presion_cilindro!$B$33*(IF(Presion_cilindro!N441&gt;(-I$4+Presion_cilindro!$B$34),1-EXP(-Presion_cilindro!$B$16*((Presion_cilindro!N441-(-I$4+Presion_cilindro!$B$34))/Presion_cilindro!$B$35)^(Presion_cilindro!$B$17+1)),0)-IF(Presion_cilindro!N440&gt;(-I$4+Presion_cilindro!$B$34),1-EXP(-Presion_cilindro!$B$16*((Presion_cilindro!N440-(-I$4+Presion_cilindro!$B$34))/Presion_cilindro!$B$35)^(Presion_cilindro!$B$17+1)),0))/((Presion_cilindro!O440+Presion_cilindro!O441)/2)</f>
        <v>16.551353363657018</v>
      </c>
      <c r="J449" s="27">
        <f>J448*(Presion_cilindro!O440/Presion_cilindro!O441)^Presion_cilindro!$B$9+10*(Presion_cilindro!$B$9-1)*Presion_cilindro!$B$33*(IF(Presion_cilindro!N441&gt;(-J$4+Presion_cilindro!$B$34),1-EXP(-Presion_cilindro!$B$16*((Presion_cilindro!N441-(-J$4+Presion_cilindro!$B$34))/Presion_cilindro!$B$35)^(Presion_cilindro!$B$17+1)),0)-IF(Presion_cilindro!N440&gt;(-J$4+Presion_cilindro!$B$34),1-EXP(-Presion_cilindro!$B$16*((Presion_cilindro!N440-(-J$4+Presion_cilindro!$B$34))/Presion_cilindro!$B$35)^(Presion_cilindro!$B$17+1)),0))/((Presion_cilindro!O440+Presion_cilindro!O441)/2)</f>
        <v>16.645776832996216</v>
      </c>
      <c r="K449" s="27">
        <f>K448*(Presion_cilindro!O440/Presion_cilindro!O441)^Presion_cilindro!$B$9+10*(Presion_cilindro!$B$9-1)*Presion_cilindro!$B$33*(IF(Presion_cilindro!N441&gt;(-K$4+Presion_cilindro!$B$34),1-EXP(-Presion_cilindro!$B$16*((Presion_cilindro!N441-(-K$4+Presion_cilindro!$B$34))/Presion_cilindro!$B$35)^(Presion_cilindro!$B$17+1)),0)-IF(Presion_cilindro!N440&gt;(-K$4+Presion_cilindro!$B$34),1-EXP(-Presion_cilindro!$B$16*((Presion_cilindro!N440-(-K$4+Presion_cilindro!$B$34))/Presion_cilindro!$B$35)^(Presion_cilindro!$B$17+1)),0))/((Presion_cilindro!O440+Presion_cilindro!O441)/2)</f>
        <v>16.870100280503312</v>
      </c>
      <c r="L449" s="27">
        <f>L448*(Presion_cilindro!O440/Presion_cilindro!O441)^Presion_cilindro!$B$9+10*(Presion_cilindro!$B$9-1)*Presion_cilindro!$B$33*(IF(Presion_cilindro!N441&gt;(-L$4+Presion_cilindro!$B$34),1-EXP(-Presion_cilindro!$B$16*((Presion_cilindro!N441-(-L$4+Presion_cilindro!$B$34))/Presion_cilindro!$B$35)^(Presion_cilindro!$B$17+1)),0)-IF(Presion_cilindro!N440&gt;(-L$4+Presion_cilindro!$B$34),1-EXP(-Presion_cilindro!$B$16*((Presion_cilindro!N440-(-L$4+Presion_cilindro!$B$34))/Presion_cilindro!$B$35)^(Presion_cilindro!$B$17+1)),0))/((Presion_cilindro!O440+Presion_cilindro!O441)/2)</f>
        <v>17.209886184294103</v>
      </c>
      <c r="M449" s="27">
        <f>M448*(Presion_cilindro!O440/Presion_cilindro!O441)^Presion_cilindro!$B$9+10*(Presion_cilindro!$B$9-1)*Presion_cilindro!$B$33*(IF(Presion_cilindro!N441&gt;(-M$4+Presion_cilindro!$B$34),1-EXP(-Presion_cilindro!$B$16*((Presion_cilindro!N441-(-M$4+Presion_cilindro!$B$34))/Presion_cilindro!$B$35)^(Presion_cilindro!$B$17+1)),0)-IF(Presion_cilindro!N440&gt;(-M$4+Presion_cilindro!$B$34),1-EXP(-Presion_cilindro!$B$16*((Presion_cilindro!N440-(-M$4+Presion_cilindro!$B$34))/Presion_cilindro!$B$35)^(Presion_cilindro!$B$17+1)),0))/((Presion_cilindro!O440+Presion_cilindro!O441)/2)</f>
        <v>17.645409602421868</v>
      </c>
      <c r="N449" s="27">
        <f>N448*(Presion_cilindro!O440/Presion_cilindro!O441)^Presion_cilindro!$B$9+10*(Presion_cilindro!$B$9-1)*Presion_cilindro!$B$33*(IF(Presion_cilindro!N441&gt;(-N$4+Presion_cilindro!$B$34),1-EXP(-Presion_cilindro!$B$16*((Presion_cilindro!N441-(-N$4+Presion_cilindro!$B$34))/Presion_cilindro!$B$35)^(Presion_cilindro!$B$17+1)),0)-IF(Presion_cilindro!N440&gt;(-N$4+Presion_cilindro!$B$34),1-EXP(-Presion_cilindro!$B$16*((Presion_cilindro!N440-(-N$4+Presion_cilindro!$B$34))/Presion_cilindro!$B$35)^(Presion_cilindro!$B$17+1)),0))/((Presion_cilindro!O440+Presion_cilindro!O441)/2)</f>
        <v>18.154823760252107</v>
      </c>
    </row>
    <row r="450" spans="1:14" x14ac:dyDescent="0.25">
      <c r="A450" s="21">
        <f>Presion_cilindro!N442</f>
        <v>39</v>
      </c>
      <c r="B450" s="27">
        <f>B449*(Presion_cilindro!O441/Presion_cilindro!O442)^Presion_cilindro!$B$9+10*(Presion_cilindro!$B$9-1)*Presion_cilindro!$B$33*(IF(Presion_cilindro!N442&gt;(-B$4+Presion_cilindro!$B$34),1-EXP(-Presion_cilindro!$B$16*((Presion_cilindro!N442-(-B$4+Presion_cilindro!$B$34))/Presion_cilindro!$B$35)^(Presion_cilindro!$B$17+1)),0)-IF(Presion_cilindro!N441&gt;(-B$4+Presion_cilindro!$B$34),1-EXP(-Presion_cilindro!$B$16*((Presion_cilindro!N441-(-B$4+Presion_cilindro!$B$34))/Presion_cilindro!$B$35)^(Presion_cilindro!$B$17+1)),0))/((Presion_cilindro!O441+Presion_cilindro!O442)/2)</f>
        <v>14.739960442914835</v>
      </c>
      <c r="C450" s="27">
        <f>C449*(Presion_cilindro!O441/Presion_cilindro!O442)^Presion_cilindro!$B$9+10*(Presion_cilindro!$B$9-1)*Presion_cilindro!$B$33*(IF(Presion_cilindro!N442&gt;(-C$4+Presion_cilindro!$B$34),1-EXP(-Presion_cilindro!$B$16*((Presion_cilindro!N442-(-C$4+Presion_cilindro!$B$34))/Presion_cilindro!$B$35)^(Presion_cilindro!$B$17+1)),0)-IF(Presion_cilindro!N441&gt;(-C$4+Presion_cilindro!$B$34),1-EXP(-Presion_cilindro!$B$16*((Presion_cilindro!N441-(-C$4+Presion_cilindro!$B$34))/Presion_cilindro!$B$35)^(Presion_cilindro!$B$17+1)),0))/((Presion_cilindro!O441+Presion_cilindro!O442)/2)</f>
        <v>16.25005872679229</v>
      </c>
      <c r="D450" s="27">
        <f>D449*(Presion_cilindro!O441/Presion_cilindro!O442)^Presion_cilindro!$B$9+10*(Presion_cilindro!$B$9-1)*Presion_cilindro!$B$33*(IF(Presion_cilindro!N442&gt;(-D$4+Presion_cilindro!$B$34),1-EXP(-Presion_cilindro!$B$16*((Presion_cilindro!N442-(-D$4+Presion_cilindro!$B$34))/Presion_cilindro!$B$35)^(Presion_cilindro!$B$17+1)),0)-IF(Presion_cilindro!N441&gt;(-D$4+Presion_cilindro!$B$34),1-EXP(-Presion_cilindro!$B$16*((Presion_cilindro!N441-(-D$4+Presion_cilindro!$B$34))/Presion_cilindro!$B$35)^(Presion_cilindro!$B$17+1)),0))/((Presion_cilindro!O441+Presion_cilindro!O442)/2)</f>
        <v>16.900649505104511</v>
      </c>
      <c r="E450" s="27">
        <f>E449*(Presion_cilindro!O441/Presion_cilindro!O442)^Presion_cilindro!$B$9+10*(Presion_cilindro!$B$9-1)*Presion_cilindro!$B$33*(IF(Presion_cilindro!N442&gt;(-E$4+Presion_cilindro!$B$34),1-EXP(-Presion_cilindro!$B$16*((Presion_cilindro!N442-(-E$4+Presion_cilindro!$B$34))/Presion_cilindro!$B$35)^(Presion_cilindro!$B$17+1)),0)-IF(Presion_cilindro!N441&gt;(-E$4+Presion_cilindro!$B$34),1-EXP(-Presion_cilindro!$B$16*((Presion_cilindro!N441-(-E$4+Presion_cilindro!$B$34))/Presion_cilindro!$B$35)^(Presion_cilindro!$B$17+1)),0))/((Presion_cilindro!O441+Presion_cilindro!O442)/2)</f>
        <v>16.942870720830051</v>
      </c>
      <c r="F450" s="27">
        <f>F449*(Presion_cilindro!O441/Presion_cilindro!O442)^Presion_cilindro!$B$9+10*(Presion_cilindro!$B$9-1)*Presion_cilindro!$B$33*(IF(Presion_cilindro!N442&gt;(-F$4+Presion_cilindro!$B$34),1-EXP(-Presion_cilindro!$B$16*((Presion_cilindro!N442-(-F$4+Presion_cilindro!$B$34))/Presion_cilindro!$B$35)^(Presion_cilindro!$B$17+1)),0)-IF(Presion_cilindro!N441&gt;(-F$4+Presion_cilindro!$B$34),1-EXP(-Presion_cilindro!$B$16*((Presion_cilindro!N441-(-F$4+Presion_cilindro!$B$34))/Presion_cilindro!$B$35)^(Presion_cilindro!$B$17+1)),0))/((Presion_cilindro!O441+Presion_cilindro!O442)/2)</f>
        <v>16.71750897932349</v>
      </c>
      <c r="G450" s="27">
        <f>G449*(Presion_cilindro!O441/Presion_cilindro!O442)^Presion_cilindro!$B$9+10*(Presion_cilindro!$B$9-1)*Presion_cilindro!$B$33*(IF(Presion_cilindro!N442&gt;(-G$4+Presion_cilindro!$B$34),1-EXP(-Presion_cilindro!$B$16*((Presion_cilindro!N442-(-G$4+Presion_cilindro!$B$34))/Presion_cilindro!$B$35)^(Presion_cilindro!$B$17+1)),0)-IF(Presion_cilindro!N441&gt;(-G$4+Presion_cilindro!$B$34),1-EXP(-Presion_cilindro!$B$16*((Presion_cilindro!N441-(-G$4+Presion_cilindro!$B$34))/Presion_cilindro!$B$35)^(Presion_cilindro!$B$17+1)),0))/((Presion_cilindro!O441+Presion_cilindro!O442)/2)</f>
        <v>16.465091537802319</v>
      </c>
      <c r="H450" s="27">
        <f>H449*(Presion_cilindro!O441/Presion_cilindro!O442)^Presion_cilindro!$B$9+10*(Presion_cilindro!$B$9-1)*Presion_cilindro!$B$33*(IF(Presion_cilindro!N442&gt;(-H$4+Presion_cilindro!$B$34),1-EXP(-Presion_cilindro!$B$16*((Presion_cilindro!N442-(-H$4+Presion_cilindro!$B$34))/Presion_cilindro!$B$35)^(Presion_cilindro!$B$17+1)),0)-IF(Presion_cilindro!N441&gt;(-H$4+Presion_cilindro!$B$34),1-EXP(-Presion_cilindro!$B$16*((Presion_cilindro!N441-(-H$4+Presion_cilindro!$B$34))/Presion_cilindro!$B$35)^(Presion_cilindro!$B$17+1)),0))/((Presion_cilindro!O441+Presion_cilindro!O442)/2)</f>
        <v>16.29901227877864</v>
      </c>
      <c r="I450" s="27">
        <f>I449*(Presion_cilindro!O441/Presion_cilindro!O442)^Presion_cilindro!$B$9+10*(Presion_cilindro!$B$9-1)*Presion_cilindro!$B$33*(IF(Presion_cilindro!N442&gt;(-I$4+Presion_cilindro!$B$34),1-EXP(-Presion_cilindro!$B$16*((Presion_cilindro!N442-(-I$4+Presion_cilindro!$B$34))/Presion_cilindro!$B$35)^(Presion_cilindro!$B$17+1)),0)-IF(Presion_cilindro!N441&gt;(-I$4+Presion_cilindro!$B$34),1-EXP(-Presion_cilindro!$B$16*((Presion_cilindro!N441-(-I$4+Presion_cilindro!$B$34))/Presion_cilindro!$B$35)^(Presion_cilindro!$B$17+1)),0))/((Presion_cilindro!O441+Presion_cilindro!O442)/2)</f>
        <v>16.258323979269129</v>
      </c>
      <c r="J450" s="27">
        <f>J449*(Presion_cilindro!O441/Presion_cilindro!O442)^Presion_cilindro!$B$9+10*(Presion_cilindro!$B$9-1)*Presion_cilindro!$B$33*(IF(Presion_cilindro!N442&gt;(-J$4+Presion_cilindro!$B$34),1-EXP(-Presion_cilindro!$B$16*((Presion_cilindro!N442-(-J$4+Presion_cilindro!$B$34))/Presion_cilindro!$B$35)^(Presion_cilindro!$B$17+1)),0)-IF(Presion_cilindro!N441&gt;(-J$4+Presion_cilindro!$B$34),1-EXP(-Presion_cilindro!$B$16*((Presion_cilindro!N441-(-J$4+Presion_cilindro!$B$34))/Presion_cilindro!$B$35)^(Presion_cilindro!$B$17+1)),0))/((Presion_cilindro!O441+Presion_cilindro!O442)/2)</f>
        <v>16.351054914911821</v>
      </c>
      <c r="K450" s="27">
        <f>K449*(Presion_cilindro!O441/Presion_cilindro!O442)^Presion_cilindro!$B$9+10*(Presion_cilindro!$B$9-1)*Presion_cilindro!$B$33*(IF(Presion_cilindro!N442&gt;(-K$4+Presion_cilindro!$B$34),1-EXP(-Presion_cilindro!$B$16*((Presion_cilindro!N442-(-K$4+Presion_cilindro!$B$34))/Presion_cilindro!$B$35)^(Presion_cilindro!$B$17+1)),0)-IF(Presion_cilindro!N441&gt;(-K$4+Presion_cilindro!$B$34),1-EXP(-Presion_cilindro!$B$16*((Presion_cilindro!N441-(-K$4+Presion_cilindro!$B$34))/Presion_cilindro!$B$35)^(Presion_cilindro!$B$17+1)),0))/((Presion_cilindro!O441+Presion_cilindro!O442)/2)</f>
        <v>16.571405276038981</v>
      </c>
      <c r="L450" s="27">
        <f>L449*(Presion_cilindro!O441/Presion_cilindro!O442)^Presion_cilindro!$B$9+10*(Presion_cilindro!$B$9-1)*Presion_cilindro!$B$33*(IF(Presion_cilindro!N442&gt;(-L$4+Presion_cilindro!$B$34),1-EXP(-Presion_cilindro!$B$16*((Presion_cilindro!N442-(-L$4+Presion_cilindro!$B$34))/Presion_cilindro!$B$35)^(Presion_cilindro!$B$17+1)),0)-IF(Presion_cilindro!N441&gt;(-L$4+Presion_cilindro!$B$34),1-EXP(-Presion_cilindro!$B$16*((Presion_cilindro!N441-(-L$4+Presion_cilindro!$B$34))/Presion_cilindro!$B$35)^(Presion_cilindro!$B$17+1)),0))/((Presion_cilindro!O441+Presion_cilindro!O442)/2)</f>
        <v>16.905175018088112</v>
      </c>
      <c r="M450" s="27">
        <f>M449*(Presion_cilindro!O441/Presion_cilindro!O442)^Presion_cilindro!$B$9+10*(Presion_cilindro!$B$9-1)*Presion_cilindro!$B$33*(IF(Presion_cilindro!N442&gt;(-M$4+Presion_cilindro!$B$34),1-EXP(-Presion_cilindro!$B$16*((Presion_cilindro!N442-(-M$4+Presion_cilindro!$B$34))/Presion_cilindro!$B$35)^(Presion_cilindro!$B$17+1)),0)-IF(Presion_cilindro!N441&gt;(-M$4+Presion_cilindro!$B$34),1-EXP(-Presion_cilindro!$B$16*((Presion_cilindro!N441-(-M$4+Presion_cilindro!$B$34))/Presion_cilindro!$B$35)^(Presion_cilindro!$B$17+1)),0))/((Presion_cilindro!O441+Presion_cilindro!O442)/2)</f>
        <v>17.332987236389183</v>
      </c>
      <c r="N450" s="27">
        <f>N449*(Presion_cilindro!O441/Presion_cilindro!O442)^Presion_cilindro!$B$9+10*(Presion_cilindro!$B$9-1)*Presion_cilindro!$B$33*(IF(Presion_cilindro!N442&gt;(-N$4+Presion_cilindro!$B$34),1-EXP(-Presion_cilindro!$B$16*((Presion_cilindro!N442-(-N$4+Presion_cilindro!$B$34))/Presion_cilindro!$B$35)^(Presion_cilindro!$B$17+1)),0)-IF(Presion_cilindro!N441&gt;(-N$4+Presion_cilindro!$B$34),1-EXP(-Presion_cilindro!$B$16*((Presion_cilindro!N441-(-N$4+Presion_cilindro!$B$34))/Presion_cilindro!$B$35)^(Presion_cilindro!$B$17+1)),0))/((Presion_cilindro!O441+Presion_cilindro!O442)/2)</f>
        <v>17.833381916609632</v>
      </c>
    </row>
    <row r="451" spans="1:14" x14ac:dyDescent="0.25">
      <c r="A451" s="21">
        <f>Presion_cilindro!N443</f>
        <v>39.5</v>
      </c>
      <c r="B451" s="27">
        <f>B450*(Presion_cilindro!O442/Presion_cilindro!O443)^Presion_cilindro!$B$9+10*(Presion_cilindro!$B$9-1)*Presion_cilindro!$B$33*(IF(Presion_cilindro!N443&gt;(-B$4+Presion_cilindro!$B$34),1-EXP(-Presion_cilindro!$B$16*((Presion_cilindro!N443-(-B$4+Presion_cilindro!$B$34))/Presion_cilindro!$B$35)^(Presion_cilindro!$B$17+1)),0)-IF(Presion_cilindro!N442&gt;(-B$4+Presion_cilindro!$B$34),1-EXP(-Presion_cilindro!$B$16*((Presion_cilindro!N442-(-B$4+Presion_cilindro!$B$34))/Presion_cilindro!$B$35)^(Presion_cilindro!$B$17+1)),0))/((Presion_cilindro!O442+Presion_cilindro!O443)/2)</f>
        <v>14.709840131162203</v>
      </c>
      <c r="C451" s="27">
        <f>C450*(Presion_cilindro!O442/Presion_cilindro!O443)^Presion_cilindro!$B$9+10*(Presion_cilindro!$B$9-1)*Presion_cilindro!$B$33*(IF(Presion_cilindro!N443&gt;(-C$4+Presion_cilindro!$B$34),1-EXP(-Presion_cilindro!$B$16*((Presion_cilindro!N443-(-C$4+Presion_cilindro!$B$34))/Presion_cilindro!$B$35)^(Presion_cilindro!$B$17+1)),0)-IF(Presion_cilindro!N442&gt;(-C$4+Presion_cilindro!$B$34),1-EXP(-Presion_cilindro!$B$16*((Presion_cilindro!N442-(-C$4+Presion_cilindro!$B$34))/Presion_cilindro!$B$35)^(Presion_cilindro!$B$17+1)),0))/((Presion_cilindro!O442+Presion_cilindro!O443)/2)</f>
        <v>16.110751398991109</v>
      </c>
      <c r="D451" s="27">
        <f>D450*(Presion_cilindro!O442/Presion_cilindro!O443)^Presion_cilindro!$B$9+10*(Presion_cilindro!$B$9-1)*Presion_cilindro!$B$33*(IF(Presion_cilindro!N443&gt;(-D$4+Presion_cilindro!$B$34),1-EXP(-Presion_cilindro!$B$16*((Presion_cilindro!N443-(-D$4+Presion_cilindro!$B$34))/Presion_cilindro!$B$35)^(Presion_cilindro!$B$17+1)),0)-IF(Presion_cilindro!N442&gt;(-D$4+Presion_cilindro!$B$34),1-EXP(-Presion_cilindro!$B$16*((Presion_cilindro!N442-(-D$4+Presion_cilindro!$B$34))/Presion_cilindro!$B$35)^(Presion_cilindro!$B$17+1)),0))/((Presion_cilindro!O442+Presion_cilindro!O443)/2)</f>
        <v>16.675028010919657</v>
      </c>
      <c r="E451" s="27">
        <f>E450*(Presion_cilindro!O442/Presion_cilindro!O443)^Presion_cilindro!$B$9+10*(Presion_cilindro!$B$9-1)*Presion_cilindro!$B$33*(IF(Presion_cilindro!N443&gt;(-E$4+Presion_cilindro!$B$34),1-EXP(-Presion_cilindro!$B$16*((Presion_cilindro!N443-(-E$4+Presion_cilindro!$B$34))/Presion_cilindro!$B$35)^(Presion_cilindro!$B$17+1)),0)-IF(Presion_cilindro!N442&gt;(-E$4+Presion_cilindro!$B$34),1-EXP(-Presion_cilindro!$B$16*((Presion_cilindro!N442-(-E$4+Presion_cilindro!$B$34))/Presion_cilindro!$B$35)^(Presion_cilindro!$B$17+1)),0))/((Presion_cilindro!O442+Presion_cilindro!O443)/2)</f>
        <v>16.670795754111978</v>
      </c>
      <c r="F451" s="27">
        <f>F450*(Presion_cilindro!O442/Presion_cilindro!O443)^Presion_cilindro!$B$9+10*(Presion_cilindro!$B$9-1)*Presion_cilindro!$B$33*(IF(Presion_cilindro!N443&gt;(-F$4+Presion_cilindro!$B$34),1-EXP(-Presion_cilindro!$B$16*((Presion_cilindro!N443-(-F$4+Presion_cilindro!$B$34))/Presion_cilindro!$B$35)^(Presion_cilindro!$B$17+1)),0)-IF(Presion_cilindro!N442&gt;(-F$4+Presion_cilindro!$B$34),1-EXP(-Presion_cilindro!$B$16*((Presion_cilindro!N442-(-F$4+Presion_cilindro!$B$34))/Presion_cilindro!$B$35)^(Presion_cilindro!$B$17+1)),0))/((Presion_cilindro!O442+Presion_cilindro!O443)/2)</f>
        <v>16.429882416879135</v>
      </c>
      <c r="G451" s="27">
        <f>G450*(Presion_cilindro!O442/Presion_cilindro!O443)^Presion_cilindro!$B$9+10*(Presion_cilindro!$B$9-1)*Presion_cilindro!$B$33*(IF(Presion_cilindro!N443&gt;(-G$4+Presion_cilindro!$B$34),1-EXP(-Presion_cilindro!$B$16*((Presion_cilindro!N443-(-G$4+Presion_cilindro!$B$34))/Presion_cilindro!$B$35)^(Presion_cilindro!$B$17+1)),0)-IF(Presion_cilindro!N442&gt;(-G$4+Presion_cilindro!$B$34),1-EXP(-Presion_cilindro!$B$16*((Presion_cilindro!N442-(-G$4+Presion_cilindro!$B$34))/Presion_cilindro!$B$35)^(Presion_cilindro!$B$17+1)),0))/((Presion_cilindro!O442+Presion_cilindro!O443)/2)</f>
        <v>16.176076399743597</v>
      </c>
      <c r="H451" s="27">
        <f>H450*(Presion_cilindro!O442/Presion_cilindro!O443)^Presion_cilindro!$B$9+10*(Presion_cilindro!$B$9-1)*Presion_cilindro!$B$33*(IF(Presion_cilindro!N443&gt;(-H$4+Presion_cilindro!$B$34),1-EXP(-Presion_cilindro!$B$16*((Presion_cilindro!N443-(-H$4+Presion_cilindro!$B$34))/Presion_cilindro!$B$35)^(Presion_cilindro!$B$17+1)),0)-IF(Presion_cilindro!N442&gt;(-H$4+Presion_cilindro!$B$34),1-EXP(-Presion_cilindro!$B$16*((Presion_cilindro!N442-(-H$4+Presion_cilindro!$B$34))/Presion_cilindro!$B$35)^(Presion_cilindro!$B$17+1)),0))/((Presion_cilindro!O442+Presion_cilindro!O443)/2)</f>
        <v>16.011718221373112</v>
      </c>
      <c r="I451" s="27">
        <f>I450*(Presion_cilindro!O442/Presion_cilindro!O443)^Presion_cilindro!$B$9+10*(Presion_cilindro!$B$9-1)*Presion_cilindro!$B$33*(IF(Presion_cilindro!N443&gt;(-I$4+Presion_cilindro!$B$34),1-EXP(-Presion_cilindro!$B$16*((Presion_cilindro!N443-(-I$4+Presion_cilindro!$B$34))/Presion_cilindro!$B$35)^(Presion_cilindro!$B$17+1)),0)-IF(Presion_cilindro!N442&gt;(-I$4+Presion_cilindro!$B$34),1-EXP(-Presion_cilindro!$B$16*((Presion_cilindro!N442-(-I$4+Presion_cilindro!$B$34))/Presion_cilindro!$B$35)^(Presion_cilindro!$B$17+1)),0))/((Presion_cilindro!O442+Presion_cilindro!O443)/2)</f>
        <v>15.971577933946058</v>
      </c>
      <c r="J451" s="27">
        <f>J450*(Presion_cilindro!O442/Presion_cilindro!O443)^Presion_cilindro!$B$9+10*(Presion_cilindro!$B$9-1)*Presion_cilindro!$B$33*(IF(Presion_cilindro!N443&gt;(-J$4+Presion_cilindro!$B$34),1-EXP(-Presion_cilindro!$B$16*((Presion_cilindro!N443-(-J$4+Presion_cilindro!$B$34))/Presion_cilindro!$B$35)^(Presion_cilindro!$B$17+1)),0)-IF(Presion_cilindro!N442&gt;(-J$4+Presion_cilindro!$B$34),1-EXP(-Presion_cilindro!$B$16*((Presion_cilindro!N442-(-J$4+Presion_cilindro!$B$34))/Presion_cilindro!$B$35)^(Presion_cilindro!$B$17+1)),0))/((Presion_cilindro!O442+Presion_cilindro!O443)/2)</f>
        <v>16.062657476685207</v>
      </c>
      <c r="K451" s="27">
        <f>K450*(Presion_cilindro!O442/Presion_cilindro!O443)^Presion_cilindro!$B$9+10*(Presion_cilindro!$B$9-1)*Presion_cilindro!$B$33*(IF(Presion_cilindro!N443&gt;(-K$4+Presion_cilindro!$B$34),1-EXP(-Presion_cilindro!$B$16*((Presion_cilindro!N443-(-K$4+Presion_cilindro!$B$34))/Presion_cilindro!$B$35)^(Presion_cilindro!$B$17+1)),0)-IF(Presion_cilindro!N442&gt;(-K$4+Presion_cilindro!$B$34),1-EXP(-Presion_cilindro!$B$16*((Presion_cilindro!N442-(-K$4+Presion_cilindro!$B$34))/Presion_cilindro!$B$35)^(Presion_cilindro!$B$17+1)),0))/((Presion_cilindro!O442+Presion_cilindro!O443)/2)</f>
        <v>16.279120363107481</v>
      </c>
      <c r="L451" s="27">
        <f>L450*(Presion_cilindro!O442/Presion_cilindro!O443)^Presion_cilindro!$B$9+10*(Presion_cilindro!$B$9-1)*Presion_cilindro!$B$33*(IF(Presion_cilindro!N443&gt;(-L$4+Presion_cilindro!$B$34),1-EXP(-Presion_cilindro!$B$16*((Presion_cilindro!N443-(-L$4+Presion_cilindro!$B$34))/Presion_cilindro!$B$35)^(Presion_cilindro!$B$17+1)),0)-IF(Presion_cilindro!N442&gt;(-L$4+Presion_cilindro!$B$34),1-EXP(-Presion_cilindro!$B$16*((Presion_cilindro!N442-(-L$4+Presion_cilindro!$B$34))/Presion_cilindro!$B$35)^(Presion_cilindro!$B$17+1)),0))/((Presion_cilindro!O442+Presion_cilindro!O443)/2)</f>
        <v>16.607003068175313</v>
      </c>
      <c r="M451" s="27">
        <f>M450*(Presion_cilindro!O442/Presion_cilindro!O443)^Presion_cilindro!$B$9+10*(Presion_cilindro!$B$9-1)*Presion_cilindro!$B$33*(IF(Presion_cilindro!N443&gt;(-M$4+Presion_cilindro!$B$34),1-EXP(-Presion_cilindro!$B$16*((Presion_cilindro!N443-(-M$4+Presion_cilindro!$B$34))/Presion_cilindro!$B$35)^(Presion_cilindro!$B$17+1)),0)-IF(Presion_cilindro!N442&gt;(-M$4+Presion_cilindro!$B$34),1-EXP(-Presion_cilindro!$B$16*((Presion_cilindro!N442-(-M$4+Presion_cilindro!$B$34))/Presion_cilindro!$B$35)^(Presion_cilindro!$B$17+1)),0))/((Presion_cilindro!O442+Presion_cilindro!O443)/2)</f>
        <v>17.02726957234001</v>
      </c>
      <c r="N451" s="27">
        <f>N450*(Presion_cilindro!O442/Presion_cilindro!O443)^Presion_cilindro!$B$9+10*(Presion_cilindro!$B$9-1)*Presion_cilindro!$B$33*(IF(Presion_cilindro!N443&gt;(-N$4+Presion_cilindro!$B$34),1-EXP(-Presion_cilindro!$B$16*((Presion_cilindro!N443-(-N$4+Presion_cilindro!$B$34))/Presion_cilindro!$B$35)^(Presion_cilindro!$B$17+1)),0)-IF(Presion_cilindro!N442&gt;(-N$4+Presion_cilindro!$B$34),1-EXP(-Presion_cilindro!$B$16*((Presion_cilindro!N442-(-N$4+Presion_cilindro!$B$34))/Presion_cilindro!$B$35)^(Presion_cilindro!$B$17+1)),0))/((Presion_cilindro!O442+Presion_cilindro!O443)/2)</f>
        <v>17.518838336354204</v>
      </c>
    </row>
    <row r="452" spans="1:14" x14ac:dyDescent="0.25">
      <c r="A452" s="21">
        <f>Presion_cilindro!N444</f>
        <v>40</v>
      </c>
      <c r="B452" s="27">
        <f>B451*(Presion_cilindro!O443/Presion_cilindro!O444)^Presion_cilindro!$B$9+10*(Presion_cilindro!$B$9-1)*Presion_cilindro!$B$33*(IF(Presion_cilindro!N444&gt;(-B$4+Presion_cilindro!$B$34),1-EXP(-Presion_cilindro!$B$16*((Presion_cilindro!N444-(-B$4+Presion_cilindro!$B$34))/Presion_cilindro!$B$35)^(Presion_cilindro!$B$17+1)),0)-IF(Presion_cilindro!N443&gt;(-B$4+Presion_cilindro!$B$34),1-EXP(-Presion_cilindro!$B$16*((Presion_cilindro!N443-(-B$4+Presion_cilindro!$B$34))/Presion_cilindro!$B$35)^(Presion_cilindro!$B$17+1)),0))/((Presion_cilindro!O443+Presion_cilindro!O444)/2)</f>
        <v>14.670835766097694</v>
      </c>
      <c r="C452" s="27">
        <f>C451*(Presion_cilindro!O443/Presion_cilindro!O444)^Presion_cilindro!$B$9+10*(Presion_cilindro!$B$9-1)*Presion_cilindro!$B$33*(IF(Presion_cilindro!N444&gt;(-C$4+Presion_cilindro!$B$34),1-EXP(-Presion_cilindro!$B$16*((Presion_cilindro!N444-(-C$4+Presion_cilindro!$B$34))/Presion_cilindro!$B$35)^(Presion_cilindro!$B$17+1)),0)-IF(Presion_cilindro!N443&gt;(-C$4+Presion_cilindro!$B$34),1-EXP(-Presion_cilindro!$B$16*((Presion_cilindro!N443-(-C$4+Presion_cilindro!$B$34))/Presion_cilindro!$B$35)^(Presion_cilindro!$B$17+1)),0))/((Presion_cilindro!O443+Presion_cilindro!O444)/2)</f>
        <v>15.964790808757076</v>
      </c>
      <c r="D452" s="27">
        <f>D451*(Presion_cilindro!O443/Presion_cilindro!O444)^Presion_cilindro!$B$9+10*(Presion_cilindro!$B$9-1)*Presion_cilindro!$B$33*(IF(Presion_cilindro!N444&gt;(-D$4+Presion_cilindro!$B$34),1-EXP(-Presion_cilindro!$B$16*((Presion_cilindro!N444-(-D$4+Presion_cilindro!$B$34))/Presion_cilindro!$B$35)^(Presion_cilindro!$B$17+1)),0)-IF(Presion_cilindro!N443&gt;(-D$4+Presion_cilindro!$B$34),1-EXP(-Presion_cilindro!$B$16*((Presion_cilindro!N443-(-D$4+Presion_cilindro!$B$34))/Presion_cilindro!$B$35)^(Presion_cilindro!$B$17+1)),0))/((Presion_cilindro!O443+Presion_cilindro!O444)/2)</f>
        <v>16.447680105565496</v>
      </c>
      <c r="E452" s="27">
        <f>E451*(Presion_cilindro!O443/Presion_cilindro!O444)^Presion_cilindro!$B$9+10*(Presion_cilindro!$B$9-1)*Presion_cilindro!$B$33*(IF(Presion_cilindro!N444&gt;(-E$4+Presion_cilindro!$B$34),1-EXP(-Presion_cilindro!$B$16*((Presion_cilindro!N444-(-E$4+Presion_cilindro!$B$34))/Presion_cilindro!$B$35)^(Presion_cilindro!$B$17+1)),0)-IF(Presion_cilindro!N443&gt;(-E$4+Presion_cilindro!$B$34),1-EXP(-Presion_cilindro!$B$16*((Presion_cilindro!N443-(-E$4+Presion_cilindro!$B$34))/Presion_cilindro!$B$35)^(Presion_cilindro!$B$17+1)),0))/((Presion_cilindro!O443+Presion_cilindro!O444)/2)</f>
        <v>16.401433016169207</v>
      </c>
      <c r="F452" s="27">
        <f>F451*(Presion_cilindro!O443/Presion_cilindro!O444)^Presion_cilindro!$B$9+10*(Presion_cilindro!$B$9-1)*Presion_cilindro!$B$33*(IF(Presion_cilindro!N444&gt;(-F$4+Presion_cilindro!$B$34),1-EXP(-Presion_cilindro!$B$16*((Presion_cilindro!N444-(-F$4+Presion_cilindro!$B$34))/Presion_cilindro!$B$35)^(Presion_cilindro!$B$17+1)),0)-IF(Presion_cilindro!N443&gt;(-F$4+Presion_cilindro!$B$34),1-EXP(-Presion_cilindro!$B$16*((Presion_cilindro!N443-(-F$4+Presion_cilindro!$B$34))/Presion_cilindro!$B$35)^(Presion_cilindro!$B$17+1)),0))/((Presion_cilindro!O443+Presion_cilindro!O444)/2)</f>
        <v>16.147396670015336</v>
      </c>
      <c r="G452" s="27">
        <f>G451*(Presion_cilindro!O443/Presion_cilindro!O444)^Presion_cilindro!$B$9+10*(Presion_cilindro!$B$9-1)*Presion_cilindro!$B$33*(IF(Presion_cilindro!N444&gt;(-G$4+Presion_cilindro!$B$34),1-EXP(-Presion_cilindro!$B$16*((Presion_cilindro!N444-(-G$4+Presion_cilindro!$B$34))/Presion_cilindro!$B$35)^(Presion_cilindro!$B$17+1)),0)-IF(Presion_cilindro!N443&gt;(-G$4+Presion_cilindro!$B$34),1-EXP(-Presion_cilindro!$B$16*((Presion_cilindro!N443-(-G$4+Presion_cilindro!$B$34))/Presion_cilindro!$B$35)^(Presion_cilindro!$B$17+1)),0))/((Presion_cilindro!O443+Presion_cilindro!O444)/2)</f>
        <v>15.893042690211935</v>
      </c>
      <c r="H452" s="27">
        <f>H451*(Presion_cilindro!O443/Presion_cilindro!O444)^Presion_cilindro!$B$9+10*(Presion_cilindro!$B$9-1)*Presion_cilindro!$B$33*(IF(Presion_cilindro!N444&gt;(-H$4+Presion_cilindro!$B$34),1-EXP(-Presion_cilindro!$B$16*((Presion_cilindro!N444-(-H$4+Presion_cilindro!$B$34))/Presion_cilindro!$B$35)^(Presion_cilindro!$B$17+1)),0)-IF(Presion_cilindro!N443&gt;(-H$4+Presion_cilindro!$B$34),1-EXP(-Presion_cilindro!$B$16*((Presion_cilindro!N443-(-H$4+Presion_cilindro!$B$34))/Presion_cilindro!$B$35)^(Presion_cilindro!$B$17+1)),0))/((Presion_cilindro!O443+Presion_cilindro!O444)/2)</f>
        <v>15.73057467198123</v>
      </c>
      <c r="I452" s="27">
        <f>I451*(Presion_cilindro!O443/Presion_cilindro!O444)^Presion_cilindro!$B$9+10*(Presion_cilindro!$B$9-1)*Presion_cilindro!$B$33*(IF(Presion_cilindro!N444&gt;(-I$4+Presion_cilindro!$B$34),1-EXP(-Presion_cilindro!$B$16*((Presion_cilindro!N444-(-I$4+Presion_cilindro!$B$34))/Presion_cilindro!$B$35)^(Presion_cilindro!$B$17+1)),0)-IF(Presion_cilindro!N443&gt;(-I$4+Presion_cilindro!$B$34),1-EXP(-Presion_cilindro!$B$16*((Presion_cilindro!N443-(-I$4+Presion_cilindro!$B$34))/Presion_cilindro!$B$35)^(Presion_cilindro!$B$17+1)),0))/((Presion_cilindro!O443+Presion_cilindro!O444)/2)</f>
        <v>15.691005017865656</v>
      </c>
      <c r="J452" s="27">
        <f>J451*(Presion_cilindro!O443/Presion_cilindro!O444)^Presion_cilindro!$B$9+10*(Presion_cilindro!$B$9-1)*Presion_cilindro!$B$33*(IF(Presion_cilindro!N444&gt;(-J$4+Presion_cilindro!$B$34),1-EXP(-Presion_cilindro!$B$16*((Presion_cilindro!N444-(-J$4+Presion_cilindro!$B$34))/Presion_cilindro!$B$35)^(Presion_cilindro!$B$17+1)),0)-IF(Presion_cilindro!N443&gt;(-J$4+Presion_cilindro!$B$34),1-EXP(-Presion_cilindro!$B$16*((Presion_cilindro!N443-(-J$4+Presion_cilindro!$B$34))/Presion_cilindro!$B$35)^(Presion_cilindro!$B$17+1)),0))/((Presion_cilindro!O443+Presion_cilindro!O444)/2)</f>
        <v>15.780472470448291</v>
      </c>
      <c r="K452" s="27">
        <f>K451*(Presion_cilindro!O443/Presion_cilindro!O444)^Presion_cilindro!$B$9+10*(Presion_cilindro!$B$9-1)*Presion_cilindro!$B$33*(IF(Presion_cilindro!N444&gt;(-K$4+Presion_cilindro!$B$34),1-EXP(-Presion_cilindro!$B$16*((Presion_cilindro!N444-(-K$4+Presion_cilindro!$B$34))/Presion_cilindro!$B$35)^(Presion_cilindro!$B$17+1)),0)-IF(Presion_cilindro!N443&gt;(-K$4+Presion_cilindro!$B$34),1-EXP(-Presion_cilindro!$B$16*((Presion_cilindro!N443-(-K$4+Presion_cilindro!$B$34))/Presion_cilindro!$B$35)^(Presion_cilindro!$B$17+1)),0))/((Presion_cilindro!O443+Presion_cilindro!O444)/2)</f>
        <v>15.993131883677517</v>
      </c>
      <c r="L452" s="27">
        <f>L451*(Presion_cilindro!O443/Presion_cilindro!O444)^Presion_cilindro!$B$9+10*(Presion_cilindro!$B$9-1)*Presion_cilindro!$B$33*(IF(Presion_cilindro!N444&gt;(-L$4+Presion_cilindro!$B$34),1-EXP(-Presion_cilindro!$B$16*((Presion_cilindro!N444-(-L$4+Presion_cilindro!$B$34))/Presion_cilindro!$B$35)^(Presion_cilindro!$B$17+1)),0)-IF(Presion_cilindro!N443&gt;(-L$4+Presion_cilindro!$B$34),1-EXP(-Presion_cilindro!$B$16*((Presion_cilindro!N443-(-L$4+Presion_cilindro!$B$34))/Presion_cilindro!$B$35)^(Presion_cilindro!$B$17+1)),0))/((Presion_cilindro!O443+Presion_cilindro!O444)/2)</f>
        <v>16.315254382207872</v>
      </c>
      <c r="M452" s="27">
        <f>M451*(Presion_cilindro!O443/Presion_cilindro!O444)^Presion_cilindro!$B$9+10*(Presion_cilindro!$B$9-1)*Presion_cilindro!$B$33*(IF(Presion_cilindro!N444&gt;(-M$4+Presion_cilindro!$B$34),1-EXP(-Presion_cilindro!$B$16*((Presion_cilindro!N444-(-M$4+Presion_cilindro!$B$34))/Presion_cilindro!$B$35)^(Presion_cilindro!$B$17+1)),0)-IF(Presion_cilindro!N443&gt;(-M$4+Presion_cilindro!$B$34),1-EXP(-Presion_cilindro!$B$16*((Presion_cilindro!N443-(-M$4+Presion_cilindro!$B$34))/Presion_cilindro!$B$35)^(Presion_cilindro!$B$17+1)),0))/((Presion_cilindro!O443+Presion_cilindro!O444)/2)</f>
        <v>16.728137723413077</v>
      </c>
      <c r="N452" s="27">
        <f>N451*(Presion_cilindro!O443/Presion_cilindro!O444)^Presion_cilindro!$B$9+10*(Presion_cilindro!$B$9-1)*Presion_cilindro!$B$33*(IF(Presion_cilindro!N444&gt;(-N$4+Presion_cilindro!$B$34),1-EXP(-Presion_cilindro!$B$16*((Presion_cilindro!N444-(-N$4+Presion_cilindro!$B$34))/Presion_cilindro!$B$35)^(Presion_cilindro!$B$17+1)),0)-IF(Presion_cilindro!N443&gt;(-N$4+Presion_cilindro!$B$34),1-EXP(-Presion_cilindro!$B$16*((Presion_cilindro!N443-(-N$4+Presion_cilindro!$B$34))/Presion_cilindro!$B$35)^(Presion_cilindro!$B$17+1)),0))/((Presion_cilindro!O443+Presion_cilindro!O444)/2)</f>
        <v>17.21107070041748</v>
      </c>
    </row>
    <row r="453" spans="1:14" x14ac:dyDescent="0.25">
      <c r="A453" s="21">
        <f>Presion_cilindro!N445</f>
        <v>40.5</v>
      </c>
      <c r="B453" s="27">
        <f>B452*(Presion_cilindro!O444/Presion_cilindro!O445)^Presion_cilindro!$B$9+10*(Presion_cilindro!$B$9-1)*Presion_cilindro!$B$33*(IF(Presion_cilindro!N445&gt;(-B$4+Presion_cilindro!$B$34),1-EXP(-Presion_cilindro!$B$16*((Presion_cilindro!N445-(-B$4+Presion_cilindro!$B$34))/Presion_cilindro!$B$35)^(Presion_cilindro!$B$17+1)),0)-IF(Presion_cilindro!N444&gt;(-B$4+Presion_cilindro!$B$34),1-EXP(-Presion_cilindro!$B$16*((Presion_cilindro!N444-(-B$4+Presion_cilindro!$B$34))/Presion_cilindro!$B$35)^(Presion_cilindro!$B$17+1)),0))/((Presion_cilindro!O444+Presion_cilindro!O445)/2)</f>
        <v>14.623101184618038</v>
      </c>
      <c r="C453" s="27">
        <f>C452*(Presion_cilindro!O444/Presion_cilindro!O445)^Presion_cilindro!$B$9+10*(Presion_cilindro!$B$9-1)*Presion_cilindro!$B$33*(IF(Presion_cilindro!N445&gt;(-C$4+Presion_cilindro!$B$34),1-EXP(-Presion_cilindro!$B$16*((Presion_cilindro!N445-(-C$4+Presion_cilindro!$B$34))/Presion_cilindro!$B$35)^(Presion_cilindro!$B$17+1)),0)-IF(Presion_cilindro!N444&gt;(-C$4+Presion_cilindro!$B$34),1-EXP(-Presion_cilindro!$B$16*((Presion_cilindro!N444-(-C$4+Presion_cilindro!$B$34))/Presion_cilindro!$B$35)^(Presion_cilindro!$B$17+1)),0))/((Presion_cilindro!O444+Presion_cilindro!O445)/2)</f>
        <v>15.812690043151806</v>
      </c>
      <c r="D453" s="27">
        <f>D452*(Presion_cilindro!O444/Presion_cilindro!O445)^Presion_cilindro!$B$9+10*(Presion_cilindro!$B$9-1)*Presion_cilindro!$B$33*(IF(Presion_cilindro!N445&gt;(-D$4+Presion_cilindro!$B$34),1-EXP(-Presion_cilindro!$B$16*((Presion_cilindro!N445-(-D$4+Presion_cilindro!$B$34))/Presion_cilindro!$B$35)^(Presion_cilindro!$B$17+1)),0)-IF(Presion_cilindro!N444&gt;(-D$4+Presion_cilindro!$B$34),1-EXP(-Presion_cilindro!$B$16*((Presion_cilindro!N444-(-D$4+Presion_cilindro!$B$34))/Presion_cilindro!$B$35)^(Presion_cilindro!$B$17+1)),0))/((Presion_cilindro!O444+Presion_cilindro!O445)/2)</f>
        <v>16.21912603338054</v>
      </c>
      <c r="E453" s="27">
        <f>E452*(Presion_cilindro!O444/Presion_cilindro!O445)^Presion_cilindro!$B$9+10*(Presion_cilindro!$B$9-1)*Presion_cilindro!$B$33*(IF(Presion_cilindro!N445&gt;(-E$4+Presion_cilindro!$B$34),1-EXP(-Presion_cilindro!$B$16*((Presion_cilindro!N445-(-E$4+Presion_cilindro!$B$34))/Presion_cilindro!$B$35)^(Presion_cilindro!$B$17+1)),0)-IF(Presion_cilindro!N444&gt;(-E$4+Presion_cilindro!$B$34),1-EXP(-Presion_cilindro!$B$16*((Presion_cilindro!N444-(-E$4+Presion_cilindro!$B$34))/Presion_cilindro!$B$35)^(Presion_cilindro!$B$17+1)),0))/((Presion_cilindro!O444+Presion_cilindro!O445)/2)</f>
        <v>16.135066735109248</v>
      </c>
      <c r="F453" s="27">
        <f>F452*(Presion_cilindro!O444/Presion_cilindro!O445)^Presion_cilindro!$B$9+10*(Presion_cilindro!$B$9-1)*Presion_cilindro!$B$33*(IF(Presion_cilindro!N445&gt;(-F$4+Presion_cilindro!$B$34),1-EXP(-Presion_cilindro!$B$16*((Presion_cilindro!N445-(-F$4+Presion_cilindro!$B$34))/Presion_cilindro!$B$35)^(Presion_cilindro!$B$17+1)),0)-IF(Presion_cilindro!N444&gt;(-F$4+Presion_cilindro!$B$34),1-EXP(-Presion_cilindro!$B$16*((Presion_cilindro!N444-(-F$4+Presion_cilindro!$B$34))/Presion_cilindro!$B$35)^(Presion_cilindro!$B$17+1)),0))/((Presion_cilindro!O444+Presion_cilindro!O445)/2)</f>
        <v>15.87010332043187</v>
      </c>
      <c r="G453" s="27">
        <f>G452*(Presion_cilindro!O444/Presion_cilindro!O445)^Presion_cilindro!$B$9+10*(Presion_cilindro!$B$9-1)*Presion_cilindro!$B$33*(IF(Presion_cilindro!N445&gt;(-G$4+Presion_cilindro!$B$34),1-EXP(-Presion_cilindro!$B$16*((Presion_cilindro!N445-(-G$4+Presion_cilindro!$B$34))/Presion_cilindro!$B$35)^(Presion_cilindro!$B$17+1)),0)-IF(Presion_cilindro!N444&gt;(-G$4+Presion_cilindro!$B$34),1-EXP(-Presion_cilindro!$B$16*((Presion_cilindro!N444-(-G$4+Presion_cilindro!$B$34))/Presion_cilindro!$B$35)^(Presion_cilindro!$B$17+1)),0))/((Presion_cilindro!O444+Presion_cilindro!O445)/2)</f>
        <v>15.61592305900462</v>
      </c>
      <c r="H453" s="27">
        <f>H452*(Presion_cilindro!O444/Presion_cilindro!O445)^Presion_cilindro!$B$9+10*(Presion_cilindro!$B$9-1)*Presion_cilindro!$B$33*(IF(Presion_cilindro!N445&gt;(-H$4+Presion_cilindro!$B$34),1-EXP(-Presion_cilindro!$B$16*((Presion_cilindro!N445-(-H$4+Presion_cilindro!$B$34))/Presion_cilindro!$B$35)^(Presion_cilindro!$B$17+1)),0)-IF(Presion_cilindro!N444&gt;(-H$4+Presion_cilindro!$B$34),1-EXP(-Presion_cilindro!$B$16*((Presion_cilindro!N444-(-H$4+Presion_cilindro!$B$34))/Presion_cilindro!$B$35)^(Presion_cilindro!$B$17+1)),0))/((Presion_cilindro!O444+Presion_cilindro!O445)/2)</f>
        <v>15.455477511168239</v>
      </c>
      <c r="I453" s="27">
        <f>I452*(Presion_cilindro!O444/Presion_cilindro!O445)^Presion_cilindro!$B$9+10*(Presion_cilindro!$B$9-1)*Presion_cilindro!$B$33*(IF(Presion_cilindro!N445&gt;(-I$4+Presion_cilindro!$B$34),1-EXP(-Presion_cilindro!$B$16*((Presion_cilindro!N445-(-I$4+Presion_cilindro!$B$34))/Presion_cilindro!$B$35)^(Presion_cilindro!$B$17+1)),0)-IF(Presion_cilindro!N444&gt;(-I$4+Presion_cilindro!$B$34),1-EXP(-Presion_cilindro!$B$16*((Presion_cilindro!N444-(-I$4+Presion_cilindro!$B$34))/Presion_cilindro!$B$35)^(Presion_cilindro!$B$17+1)),0))/((Presion_cilindro!O444+Presion_cilindro!O445)/2)</f>
        <v>15.416493872174431</v>
      </c>
      <c r="J453" s="27">
        <f>J452*(Presion_cilindro!O444/Presion_cilindro!O445)^Presion_cilindro!$B$9+10*(Presion_cilindro!$B$9-1)*Presion_cilindro!$B$33*(IF(Presion_cilindro!N445&gt;(-J$4+Presion_cilindro!$B$34),1-EXP(-Presion_cilindro!$B$16*((Presion_cilindro!N445-(-J$4+Presion_cilindro!$B$34))/Presion_cilindro!$B$35)^(Presion_cilindro!$B$17+1)),0)-IF(Presion_cilindro!N444&gt;(-J$4+Presion_cilindro!$B$34),1-EXP(-Presion_cilindro!$B$16*((Presion_cilindro!N444-(-J$4+Presion_cilindro!$B$34))/Presion_cilindro!$B$35)^(Presion_cilindro!$B$17+1)),0))/((Presion_cilindro!O444+Presion_cilindro!O445)/2)</f>
        <v>15.504386953345611</v>
      </c>
      <c r="K453" s="27">
        <f>K452*(Presion_cilindro!O444/Presion_cilindro!O445)^Presion_cilindro!$B$9+10*(Presion_cilindro!$B$9-1)*Presion_cilindro!$B$33*(IF(Presion_cilindro!N445&gt;(-K$4+Presion_cilindro!$B$34),1-EXP(-Presion_cilindro!$B$16*((Presion_cilindro!N445-(-K$4+Presion_cilindro!$B$34))/Presion_cilindro!$B$35)^(Presion_cilindro!$B$17+1)),0)-IF(Presion_cilindro!N444&gt;(-K$4+Presion_cilindro!$B$34),1-EXP(-Presion_cilindro!$B$16*((Presion_cilindro!N444-(-K$4+Presion_cilindro!$B$34))/Presion_cilindro!$B$35)^(Presion_cilindro!$B$17+1)),0))/((Presion_cilindro!O444+Presion_cilindro!O445)/2)</f>
        <v>15.713325297913169</v>
      </c>
      <c r="L453" s="27">
        <f>L452*(Presion_cilindro!O444/Presion_cilindro!O445)^Presion_cilindro!$B$9+10*(Presion_cilindro!$B$9-1)*Presion_cilindro!$B$33*(IF(Presion_cilindro!N445&gt;(-L$4+Presion_cilindro!$B$34),1-EXP(-Presion_cilindro!$B$16*((Presion_cilindro!N445-(-L$4+Presion_cilindro!$B$34))/Presion_cilindro!$B$35)^(Presion_cilindro!$B$17+1)),0)-IF(Presion_cilindro!N444&gt;(-L$4+Presion_cilindro!$B$34),1-EXP(-Presion_cilindro!$B$16*((Presion_cilindro!N444-(-L$4+Presion_cilindro!$B$34))/Presion_cilindro!$B$35)^(Presion_cilindro!$B$17+1)),0))/((Presion_cilindro!O444+Presion_cilindro!O445)/2)</f>
        <v>16.0298121097413</v>
      </c>
      <c r="M453" s="27">
        <f>M452*(Presion_cilindro!O444/Presion_cilindro!O445)^Presion_cilindro!$B$9+10*(Presion_cilindro!$B$9-1)*Presion_cilindro!$B$33*(IF(Presion_cilindro!N445&gt;(-M$4+Presion_cilindro!$B$34),1-EXP(-Presion_cilindro!$B$16*((Presion_cilindro!N445-(-M$4+Presion_cilindro!$B$34))/Presion_cilindro!$B$35)^(Presion_cilindro!$B$17+1)),0)-IF(Presion_cilindro!N444&gt;(-M$4+Presion_cilindro!$B$34),1-EXP(-Presion_cilindro!$B$16*((Presion_cilindro!N444-(-M$4+Presion_cilindro!$B$34))/Presion_cilindro!$B$35)^(Presion_cilindro!$B$17+1)),0))/((Presion_cilindro!O444+Presion_cilindro!O445)/2)</f>
        <v>16.435471881973189</v>
      </c>
      <c r="N453" s="27">
        <f>N452*(Presion_cilindro!O444/Presion_cilindro!O445)^Presion_cilindro!$B$9+10*(Presion_cilindro!$B$9-1)*Presion_cilindro!$B$33*(IF(Presion_cilindro!N445&gt;(-N$4+Presion_cilindro!$B$34),1-EXP(-Presion_cilindro!$B$16*((Presion_cilindro!N445-(-N$4+Presion_cilindro!$B$34))/Presion_cilindro!$B$35)^(Presion_cilindro!$B$17+1)),0)-IF(Presion_cilindro!N444&gt;(-N$4+Presion_cilindro!$B$34),1-EXP(-Presion_cilindro!$B$16*((Presion_cilindro!N444-(-N$4+Presion_cilindro!$B$34))/Presion_cilindro!$B$35)^(Presion_cilindro!$B$17+1)),0))/((Presion_cilindro!O444+Presion_cilindro!O445)/2)</f>
        <v>16.909955742375921</v>
      </c>
    </row>
    <row r="454" spans="1:14" x14ac:dyDescent="0.25">
      <c r="A454" s="21">
        <f>Presion_cilindro!N446</f>
        <v>41</v>
      </c>
      <c r="B454" s="27">
        <f>B453*(Presion_cilindro!O445/Presion_cilindro!O446)^Presion_cilindro!$B$9+10*(Presion_cilindro!$B$9-1)*Presion_cilindro!$B$33*(IF(Presion_cilindro!N446&gt;(-B$4+Presion_cilindro!$B$34),1-EXP(-Presion_cilindro!$B$16*((Presion_cilindro!N446-(-B$4+Presion_cilindro!$B$34))/Presion_cilindro!$B$35)^(Presion_cilindro!$B$17+1)),0)-IF(Presion_cilindro!N445&gt;(-B$4+Presion_cilindro!$B$34),1-EXP(-Presion_cilindro!$B$16*((Presion_cilindro!N445-(-B$4+Presion_cilindro!$B$34))/Presion_cilindro!$B$35)^(Presion_cilindro!$B$17+1)),0))/((Presion_cilindro!O445+Presion_cilindro!O446)/2)</f>
        <v>14.566831427547159</v>
      </c>
      <c r="C454" s="27">
        <f>C453*(Presion_cilindro!O445/Presion_cilindro!O446)^Presion_cilindro!$B$9+10*(Presion_cilindro!$B$9-1)*Presion_cilindro!$B$33*(IF(Presion_cilindro!N446&gt;(-C$4+Presion_cilindro!$B$34),1-EXP(-Presion_cilindro!$B$16*((Presion_cilindro!N446-(-C$4+Presion_cilindro!$B$34))/Presion_cilindro!$B$35)^(Presion_cilindro!$B$17+1)),0)-IF(Presion_cilindro!N445&gt;(-C$4+Presion_cilindro!$B$34),1-EXP(-Presion_cilindro!$B$16*((Presion_cilindro!N445-(-C$4+Presion_cilindro!$B$34))/Presion_cilindro!$B$35)^(Presion_cilindro!$B$17+1)),0))/((Presion_cilindro!O445+Presion_cilindro!O446)/2)</f>
        <v>15.654968679261913</v>
      </c>
      <c r="D454" s="27">
        <f>D453*(Presion_cilindro!O445/Presion_cilindro!O446)^Presion_cilindro!$B$9+10*(Presion_cilindro!$B$9-1)*Presion_cilindro!$B$33*(IF(Presion_cilindro!N446&gt;(-D$4+Presion_cilindro!$B$34),1-EXP(-Presion_cilindro!$B$16*((Presion_cilindro!N446-(-D$4+Presion_cilindro!$B$34))/Presion_cilindro!$B$35)^(Presion_cilindro!$B$17+1)),0)-IF(Presion_cilindro!N445&gt;(-D$4+Presion_cilindro!$B$34),1-EXP(-Presion_cilindro!$B$16*((Presion_cilindro!N445-(-D$4+Presion_cilindro!$B$34))/Presion_cilindro!$B$35)^(Presion_cilindro!$B$17+1)),0))/((Presion_cilindro!O445+Presion_cilindro!O446)/2)</f>
        <v>15.989859068871349</v>
      </c>
      <c r="E454" s="27">
        <f>E453*(Presion_cilindro!O445/Presion_cilindro!O446)^Presion_cilindro!$B$9+10*(Presion_cilindro!$B$9-1)*Presion_cilindro!$B$33*(IF(Presion_cilindro!N446&gt;(-E$4+Presion_cilindro!$B$34),1-EXP(-Presion_cilindro!$B$16*((Presion_cilindro!N446-(-E$4+Presion_cilindro!$B$34))/Presion_cilindro!$B$35)^(Presion_cilindro!$B$17+1)),0)-IF(Presion_cilindro!N445&gt;(-E$4+Presion_cilindro!$B$34),1-EXP(-Presion_cilindro!$B$16*((Presion_cilindro!N445-(-E$4+Presion_cilindro!$B$34))/Presion_cilindro!$B$35)^(Presion_cilindro!$B$17+1)),0))/((Presion_cilindro!O445+Presion_cilindro!O446)/2)</f>
        <v>15.871948041744167</v>
      </c>
      <c r="F454" s="27">
        <f>F453*(Presion_cilindro!O445/Presion_cilindro!O446)^Presion_cilindro!$B$9+10*(Presion_cilindro!$B$9-1)*Presion_cilindro!$B$33*(IF(Presion_cilindro!N446&gt;(-F$4+Presion_cilindro!$B$34),1-EXP(-Presion_cilindro!$B$16*((Presion_cilindro!N446-(-F$4+Presion_cilindro!$B$34))/Presion_cilindro!$B$35)^(Presion_cilindro!$B$17+1)),0)-IF(Presion_cilindro!N445&gt;(-F$4+Presion_cilindro!$B$34),1-EXP(-Presion_cilindro!$B$16*((Presion_cilindro!N445-(-F$4+Presion_cilindro!$B$34))/Presion_cilindro!$B$35)^(Presion_cilindro!$B$17+1)),0))/((Presion_cilindro!O445+Presion_cilindro!O446)/2)</f>
        <v>15.598033805385448</v>
      </c>
      <c r="G454" s="27">
        <f>G453*(Presion_cilindro!O445/Presion_cilindro!O446)^Presion_cilindro!$B$9+10*(Presion_cilindro!$B$9-1)*Presion_cilindro!$B$33*(IF(Presion_cilindro!N446&gt;(-G$4+Presion_cilindro!$B$34),1-EXP(-Presion_cilindro!$B$16*((Presion_cilindro!N446-(-G$4+Presion_cilindro!$B$34))/Presion_cilindro!$B$35)^(Presion_cilindro!$B$17+1)),0)-IF(Presion_cilindro!N445&gt;(-G$4+Presion_cilindro!$B$34),1-EXP(-Presion_cilindro!$B$16*((Presion_cilindro!N445-(-G$4+Presion_cilindro!$B$34))/Presion_cilindro!$B$35)^(Presion_cilindro!$B$17+1)),0))/((Presion_cilindro!O445+Presion_cilindro!O446)/2)</f>
        <v>15.344642515376746</v>
      </c>
      <c r="H454" s="27">
        <f>H453*(Presion_cilindro!O445/Presion_cilindro!O446)^Presion_cilindro!$B$9+10*(Presion_cilindro!$B$9-1)*Presion_cilindro!$B$33*(IF(Presion_cilindro!N446&gt;(-H$4+Presion_cilindro!$B$34),1-EXP(-Presion_cilindro!$B$16*((Presion_cilindro!N446-(-H$4+Presion_cilindro!$B$34))/Presion_cilindro!$B$35)^(Presion_cilindro!$B$17+1)),0)-IF(Presion_cilindro!N445&gt;(-H$4+Presion_cilindro!$B$34),1-EXP(-Presion_cilindro!$B$16*((Presion_cilindro!N445-(-H$4+Presion_cilindro!$B$34))/Presion_cilindro!$B$35)^(Presion_cilindro!$B$17+1)),0))/((Presion_cilindro!O445+Presion_cilindro!O446)/2)</f>
        <v>15.186320452130909</v>
      </c>
      <c r="I454" s="27">
        <f>I453*(Presion_cilindro!O445/Presion_cilindro!O446)^Presion_cilindro!$B$9+10*(Presion_cilindro!$B$9-1)*Presion_cilindro!$B$33*(IF(Presion_cilindro!N446&gt;(-I$4+Presion_cilindro!$B$34),1-EXP(-Presion_cilindro!$B$16*((Presion_cilindro!N446-(-I$4+Presion_cilindro!$B$34))/Presion_cilindro!$B$35)^(Presion_cilindro!$B$17+1)),0)-IF(Presion_cilindro!N445&gt;(-I$4+Presion_cilindro!$B$34),1-EXP(-Presion_cilindro!$B$16*((Presion_cilindro!N445-(-I$4+Presion_cilindro!$B$34))/Presion_cilindro!$B$35)^(Presion_cilindro!$B$17+1)),0))/((Presion_cilindro!O445+Presion_cilindro!O446)/2)</f>
        <v>15.14793234224523</v>
      </c>
      <c r="J454" s="27">
        <f>J453*(Presion_cilindro!O445/Presion_cilindro!O446)^Presion_cilindro!$B$9+10*(Presion_cilindro!$B$9-1)*Presion_cilindro!$B$33*(IF(Presion_cilindro!N446&gt;(-J$4+Presion_cilindro!$B$34),1-EXP(-Presion_cilindro!$B$16*((Presion_cilindro!N446-(-J$4+Presion_cilindro!$B$34))/Presion_cilindro!$B$35)^(Presion_cilindro!$B$17+1)),0)-IF(Presion_cilindro!N445&gt;(-J$4+Presion_cilindro!$B$34),1-EXP(-Presion_cilindro!$B$16*((Presion_cilindro!N445-(-J$4+Presion_cilindro!$B$34))/Presion_cilindro!$B$35)^(Presion_cilindro!$B$17+1)),0))/((Presion_cilindro!O445+Presion_cilindro!O446)/2)</f>
        <v>15.234287390136082</v>
      </c>
      <c r="K454" s="27">
        <f>K453*(Presion_cilindro!O445/Presion_cilindro!O446)^Presion_cilindro!$B$9+10*(Presion_cilindro!$B$9-1)*Presion_cilindro!$B$33*(IF(Presion_cilindro!N446&gt;(-K$4+Presion_cilindro!$B$34),1-EXP(-Presion_cilindro!$B$16*((Presion_cilindro!N446-(-K$4+Presion_cilindro!$B$34))/Presion_cilindro!$B$35)^(Presion_cilindro!$B$17+1)),0)-IF(Presion_cilindro!N445&gt;(-K$4+Presion_cilindro!$B$34),1-EXP(-Presion_cilindro!$B$16*((Presion_cilindro!N445-(-K$4+Presion_cilindro!$B$34))/Presion_cilindro!$B$35)^(Presion_cilindro!$B$17+1)),0))/((Presion_cilindro!O445+Presion_cilindro!O446)/2)</f>
        <v>15.439585484764745</v>
      </c>
      <c r="L454" s="27">
        <f>L453*(Presion_cilindro!O445/Presion_cilindro!O446)^Presion_cilindro!$B$9+10*(Presion_cilindro!$B$9-1)*Presion_cilindro!$B$33*(IF(Presion_cilindro!N446&gt;(-L$4+Presion_cilindro!$B$34),1-EXP(-Presion_cilindro!$B$16*((Presion_cilindro!N446-(-L$4+Presion_cilindro!$B$34))/Presion_cilindro!$B$35)^(Presion_cilindro!$B$17+1)),0)-IF(Presion_cilindro!N445&gt;(-L$4+Presion_cilindro!$B$34),1-EXP(-Presion_cilindro!$B$16*((Presion_cilindro!N445-(-L$4+Presion_cilindro!$B$34))/Presion_cilindro!$B$35)^(Presion_cilindro!$B$17+1)),0))/((Presion_cilindro!O445+Presion_cilindro!O446)/2)</f>
        <v>15.750558808469371</v>
      </c>
      <c r="M454" s="27">
        <f>M453*(Presion_cilindro!O445/Presion_cilindro!O446)^Presion_cilindro!$B$9+10*(Presion_cilindro!$B$9-1)*Presion_cilindro!$B$33*(IF(Presion_cilindro!N446&gt;(-M$4+Presion_cilindro!$B$34),1-EXP(-Presion_cilindro!$B$16*((Presion_cilindro!N446-(-M$4+Presion_cilindro!$B$34))/Presion_cilindro!$B$35)^(Presion_cilindro!$B$17+1)),0)-IF(Presion_cilindro!N445&gt;(-M$4+Presion_cilindro!$B$34),1-EXP(-Presion_cilindro!$B$16*((Presion_cilindro!N445-(-M$4+Presion_cilindro!$B$34))/Presion_cilindro!$B$35)^(Presion_cilindro!$B$17+1)),0))/((Presion_cilindro!O445+Presion_cilindro!O446)/2)</f>
        <v>16.149151633579923</v>
      </c>
      <c r="N454" s="27">
        <f>N453*(Presion_cilindro!O445/Presion_cilindro!O446)^Presion_cilindro!$B$9+10*(Presion_cilindro!$B$9-1)*Presion_cilindro!$B$33*(IF(Presion_cilindro!N446&gt;(-N$4+Presion_cilindro!$B$34),1-EXP(-Presion_cilindro!$B$16*((Presion_cilindro!N446-(-N$4+Presion_cilindro!$B$34))/Presion_cilindro!$B$35)^(Presion_cilindro!$B$17+1)),0)-IF(Presion_cilindro!N445&gt;(-N$4+Presion_cilindro!$B$34),1-EXP(-Presion_cilindro!$B$16*((Presion_cilindro!N445-(-N$4+Presion_cilindro!$B$34))/Presion_cilindro!$B$35)^(Presion_cilindro!$B$17+1)),0))/((Presion_cilindro!O445+Presion_cilindro!O446)/2)</f>
        <v>16.615369571483242</v>
      </c>
    </row>
    <row r="455" spans="1:14" x14ac:dyDescent="0.25">
      <c r="A455" s="21">
        <f>Presion_cilindro!N447</f>
        <v>41.5</v>
      </c>
      <c r="B455" s="27">
        <f>B454*(Presion_cilindro!O446/Presion_cilindro!O447)^Presion_cilindro!$B$9+10*(Presion_cilindro!$B$9-1)*Presion_cilindro!$B$33*(IF(Presion_cilindro!N447&gt;(-B$4+Presion_cilindro!$B$34),1-EXP(-Presion_cilindro!$B$16*((Presion_cilindro!N447-(-B$4+Presion_cilindro!$B$34))/Presion_cilindro!$B$35)^(Presion_cilindro!$B$17+1)),0)-IF(Presion_cilindro!N446&gt;(-B$4+Presion_cilindro!$B$34),1-EXP(-Presion_cilindro!$B$16*((Presion_cilindro!N446-(-B$4+Presion_cilindro!$B$34))/Presion_cilindro!$B$35)^(Presion_cilindro!$B$17+1)),0))/((Presion_cilindro!O446+Presion_cilindro!O447)/2)</f>
        <v>14.502259904489128</v>
      </c>
      <c r="C455" s="27">
        <f>C454*(Presion_cilindro!O446/Presion_cilindro!O447)^Presion_cilindro!$B$9+10*(Presion_cilindro!$B$9-1)*Presion_cilindro!$B$33*(IF(Presion_cilindro!N447&gt;(-C$4+Presion_cilindro!$B$34),1-EXP(-Presion_cilindro!$B$16*((Presion_cilindro!N447-(-C$4+Presion_cilindro!$B$34))/Presion_cilindro!$B$35)^(Presion_cilindro!$B$17+1)),0)-IF(Presion_cilindro!N446&gt;(-C$4+Presion_cilindro!$B$34),1-EXP(-Presion_cilindro!$B$16*((Presion_cilindro!N446-(-C$4+Presion_cilindro!$B$34))/Presion_cilindro!$B$35)^(Presion_cilindro!$B$17+1)),0))/((Presion_cilindro!O446+Presion_cilindro!O447)/2)</f>
        <v>15.492148915074642</v>
      </c>
      <c r="D455" s="27">
        <f>D454*(Presion_cilindro!O446/Presion_cilindro!O447)^Presion_cilindro!$B$9+10*(Presion_cilindro!$B$9-1)*Presion_cilindro!$B$33*(IF(Presion_cilindro!N447&gt;(-D$4+Presion_cilindro!$B$34),1-EXP(-Presion_cilindro!$B$16*((Presion_cilindro!N447-(-D$4+Presion_cilindro!$B$34))/Presion_cilindro!$B$35)^(Presion_cilindro!$B$17+1)),0)-IF(Presion_cilindro!N446&gt;(-D$4+Presion_cilindro!$B$34),1-EXP(-Presion_cilindro!$B$16*((Presion_cilindro!N446-(-D$4+Presion_cilindro!$B$34))/Presion_cilindro!$B$35)^(Presion_cilindro!$B$17+1)),0))/((Presion_cilindro!O446+Presion_cilindro!O447)/2)</f>
        <v>15.760344247113288</v>
      </c>
      <c r="E455" s="27">
        <f>E454*(Presion_cilindro!O446/Presion_cilindro!O447)^Presion_cilindro!$B$9+10*(Presion_cilindro!$B$9-1)*Presion_cilindro!$B$33*(IF(Presion_cilindro!N447&gt;(-E$4+Presion_cilindro!$B$34),1-EXP(-Presion_cilindro!$B$16*((Presion_cilindro!N447-(-E$4+Presion_cilindro!$B$34))/Presion_cilindro!$B$35)^(Presion_cilindro!$B$17+1)),0)-IF(Presion_cilindro!N446&gt;(-E$4+Presion_cilindro!$B$34),1-EXP(-Presion_cilindro!$B$16*((Presion_cilindro!N446-(-E$4+Presion_cilindro!$B$34))/Presion_cilindro!$B$35)^(Presion_cilindro!$B$17+1)),0))/((Presion_cilindro!O446+Presion_cilindro!O447)/2)</f>
        <v>15.612296505122019</v>
      </c>
      <c r="F455" s="27">
        <f>F454*(Presion_cilindro!O446/Presion_cilindro!O447)^Presion_cilindro!$B$9+10*(Presion_cilindro!$B$9-1)*Presion_cilindro!$B$33*(IF(Presion_cilindro!N447&gt;(-F$4+Presion_cilindro!$B$34),1-EXP(-Presion_cilindro!$B$16*((Presion_cilindro!N447-(-F$4+Presion_cilindro!$B$34))/Presion_cilindro!$B$35)^(Presion_cilindro!$B$17+1)),0)-IF(Presion_cilindro!N446&gt;(-F$4+Presion_cilindro!$B$34),1-EXP(-Presion_cilindro!$B$16*((Presion_cilindro!N446-(-F$4+Presion_cilindro!$B$34))/Presion_cilindro!$B$35)^(Presion_cilindro!$B$17+1)),0))/((Presion_cilindro!O446+Presion_cilindro!O447)/2)</f>
        <v>15.331201459723895</v>
      </c>
      <c r="G455" s="27">
        <f>G454*(Presion_cilindro!O446/Presion_cilindro!O447)^Presion_cilindro!$B$9+10*(Presion_cilindro!$B$9-1)*Presion_cilindro!$B$33*(IF(Presion_cilindro!N447&gt;(-G$4+Presion_cilindro!$B$34),1-EXP(-Presion_cilindro!$B$16*((Presion_cilindro!N447-(-G$4+Presion_cilindro!$B$34))/Presion_cilindro!$B$35)^(Presion_cilindro!$B$17+1)),0)-IF(Presion_cilindro!N446&gt;(-G$4+Presion_cilindro!$B$34),1-EXP(-Presion_cilindro!$B$16*((Presion_cilindro!N446-(-G$4+Presion_cilindro!$B$34))/Presion_cilindro!$B$35)^(Presion_cilindro!$B$17+1)),0))/((Presion_cilindro!O446+Presion_cilindro!O447)/2)</f>
        <v>15.079119637226912</v>
      </c>
      <c r="H455" s="27">
        <f>H454*(Presion_cilindro!O446/Presion_cilindro!O447)^Presion_cilindro!$B$9+10*(Presion_cilindro!$B$9-1)*Presion_cilindro!$B$33*(IF(Presion_cilindro!N447&gt;(-H$4+Presion_cilindro!$B$34),1-EXP(-Presion_cilindro!$B$16*((Presion_cilindro!N447-(-H$4+Presion_cilindro!$B$34))/Presion_cilindro!$B$35)^(Presion_cilindro!$B$17+1)),0)-IF(Presion_cilindro!N446&gt;(-H$4+Presion_cilindro!$B$34),1-EXP(-Presion_cilindro!$B$16*((Presion_cilindro!N446-(-H$4+Presion_cilindro!$B$34))/Presion_cilindro!$B$35)^(Presion_cilindro!$B$17+1)),0))/((Presion_cilindro!O446+Presion_cilindro!O447)/2)</f>
        <v>14.922995585211469</v>
      </c>
      <c r="I455" s="27">
        <f>I454*(Presion_cilindro!O446/Presion_cilindro!O447)^Presion_cilindro!$B$9+10*(Presion_cilindro!$B$9-1)*Presion_cilindro!$B$33*(IF(Presion_cilindro!N447&gt;(-I$4+Presion_cilindro!$B$34),1-EXP(-Presion_cilindro!$B$16*((Presion_cilindro!N447-(-I$4+Presion_cilindro!$B$34))/Presion_cilindro!$B$35)^(Presion_cilindro!$B$17+1)),0)-IF(Presion_cilindro!N446&gt;(-I$4+Presion_cilindro!$B$34),1-EXP(-Presion_cilindro!$B$16*((Presion_cilindro!N446-(-I$4+Presion_cilindro!$B$34))/Presion_cilindro!$B$35)^(Presion_cilindro!$B$17+1)),0))/((Presion_cilindro!O446+Presion_cilindro!O447)/2)</f>
        <v>14.885207794871096</v>
      </c>
      <c r="J455" s="27">
        <f>J454*(Presion_cilindro!O446/Presion_cilindro!O447)^Presion_cilindro!$B$9+10*(Presion_cilindro!$B$9-1)*Presion_cilindro!$B$33*(IF(Presion_cilindro!N447&gt;(-J$4+Presion_cilindro!$B$34),1-EXP(-Presion_cilindro!$B$16*((Presion_cilindro!N447-(-J$4+Presion_cilindro!$B$34))/Presion_cilindro!$B$35)^(Presion_cilindro!$B$17+1)),0)-IF(Presion_cilindro!N446&gt;(-J$4+Presion_cilindro!$B$34),1-EXP(-Presion_cilindro!$B$16*((Presion_cilindro!N446-(-J$4+Presion_cilindro!$B$34))/Presion_cilindro!$B$35)^(Presion_cilindro!$B$17+1)),0))/((Presion_cilindro!O446+Presion_cilindro!O447)/2)</f>
        <v>14.970059929349247</v>
      </c>
      <c r="K455" s="27">
        <f>K454*(Presion_cilindro!O446/Presion_cilindro!O447)^Presion_cilindro!$B$9+10*(Presion_cilindro!$B$9-1)*Presion_cilindro!$B$33*(IF(Presion_cilindro!N447&gt;(-K$4+Presion_cilindro!$B$34),1-EXP(-Presion_cilindro!$B$16*((Presion_cilindro!N447-(-K$4+Presion_cilindro!$B$34))/Presion_cilindro!$B$35)^(Presion_cilindro!$B$17+1)),0)-IF(Presion_cilindro!N446&gt;(-K$4+Presion_cilindro!$B$34),1-EXP(-Presion_cilindro!$B$16*((Presion_cilindro!N446-(-K$4+Presion_cilindro!$B$34))/Presion_cilindro!$B$35)^(Presion_cilindro!$B$17+1)),0))/((Presion_cilindro!O446+Presion_cilindro!O447)/2)</f>
        <v>15.171797017153111</v>
      </c>
      <c r="L455" s="27">
        <f>L454*(Presion_cilindro!O446/Presion_cilindro!O447)^Presion_cilindro!$B$9+10*(Presion_cilindro!$B$9-1)*Presion_cilindro!$B$33*(IF(Presion_cilindro!N447&gt;(-L$4+Presion_cilindro!$B$34),1-EXP(-Presion_cilindro!$B$16*((Presion_cilindro!N447-(-L$4+Presion_cilindro!$B$34))/Presion_cilindro!$B$35)^(Presion_cilindro!$B$17+1)),0)-IF(Presion_cilindro!N446&gt;(-L$4+Presion_cilindro!$B$34),1-EXP(-Presion_cilindro!$B$16*((Presion_cilindro!N446-(-L$4+Presion_cilindro!$B$34))/Presion_cilindro!$B$35)^(Presion_cilindro!$B$17+1)),0))/((Presion_cilindro!O446+Presion_cilindro!O447)/2)</f>
        <v>15.477376724651405</v>
      </c>
      <c r="M455" s="27">
        <f>M454*(Presion_cilindro!O446/Presion_cilindro!O447)^Presion_cilindro!$B$9+10*(Presion_cilindro!$B$9-1)*Presion_cilindro!$B$33*(IF(Presion_cilindro!N447&gt;(-M$4+Presion_cilindro!$B$34),1-EXP(-Presion_cilindro!$B$16*((Presion_cilindro!N447-(-M$4+Presion_cilindro!$B$34))/Presion_cilindro!$B$35)^(Presion_cilindro!$B$17+1)),0)-IF(Presion_cilindro!N446&gt;(-M$4+Presion_cilindro!$B$34),1-EXP(-Presion_cilindro!$B$16*((Presion_cilindro!N446-(-M$4+Presion_cilindro!$B$34))/Presion_cilindro!$B$35)^(Presion_cilindro!$B$17+1)),0))/((Presion_cilindro!O446+Presion_cilindro!O447)/2)</f>
        <v>15.869056244500491</v>
      </c>
      <c r="N455" s="27">
        <f>N454*(Presion_cilindro!O446/Presion_cilindro!O447)^Presion_cilindro!$B$9+10*(Presion_cilindro!$B$9-1)*Presion_cilindro!$B$33*(IF(Presion_cilindro!N447&gt;(-N$4+Presion_cilindro!$B$34),1-EXP(-Presion_cilindro!$B$16*((Presion_cilindro!N447-(-N$4+Presion_cilindro!$B$34))/Presion_cilindro!$B$35)^(Presion_cilindro!$B$17+1)),0)-IF(Presion_cilindro!N446&gt;(-N$4+Presion_cilindro!$B$34),1-EXP(-Presion_cilindro!$B$16*((Presion_cilindro!N446-(-N$4+Presion_cilindro!$B$34))/Presion_cilindro!$B$35)^(Presion_cilindro!$B$17+1)),0))/((Presion_cilindro!O446+Presion_cilindro!O447)/2)</f>
        <v>16.327187968483404</v>
      </c>
    </row>
    <row r="456" spans="1:14" x14ac:dyDescent="0.25">
      <c r="A456" s="21">
        <f>Presion_cilindro!N448</f>
        <v>42</v>
      </c>
      <c r="B456" s="27">
        <f>B455*(Presion_cilindro!O447/Presion_cilindro!O448)^Presion_cilindro!$B$9+10*(Presion_cilindro!$B$9-1)*Presion_cilindro!$B$33*(IF(Presion_cilindro!N448&gt;(-B$4+Presion_cilindro!$B$34),1-EXP(-Presion_cilindro!$B$16*((Presion_cilindro!N448-(-B$4+Presion_cilindro!$B$34))/Presion_cilindro!$B$35)^(Presion_cilindro!$B$17+1)),0)-IF(Presion_cilindro!N447&gt;(-B$4+Presion_cilindro!$B$34),1-EXP(-Presion_cilindro!$B$16*((Presion_cilindro!N447-(-B$4+Presion_cilindro!$B$34))/Presion_cilindro!$B$35)^(Presion_cilindro!$B$17+1)),0))/((Presion_cilindro!O447+Presion_cilindro!O448)/2)</f>
        <v>14.429655339853356</v>
      </c>
      <c r="C456" s="27">
        <f>C455*(Presion_cilindro!O447/Presion_cilindro!O448)^Presion_cilindro!$B$9+10*(Presion_cilindro!$B$9-1)*Presion_cilindro!$B$33*(IF(Presion_cilindro!N448&gt;(-C$4+Presion_cilindro!$B$34),1-EXP(-Presion_cilindro!$B$16*((Presion_cilindro!N448-(-C$4+Presion_cilindro!$B$34))/Presion_cilindro!$B$35)^(Presion_cilindro!$B$17+1)),0)-IF(Presion_cilindro!N447&gt;(-C$4+Presion_cilindro!$B$34),1-EXP(-Presion_cilindro!$B$16*((Presion_cilindro!N447-(-C$4+Presion_cilindro!$B$34))/Presion_cilindro!$B$35)^(Presion_cilindro!$B$17+1)),0))/((Presion_cilindro!O447+Presion_cilindro!O448)/2)</f>
        <v>15.324751887723924</v>
      </c>
      <c r="D456" s="27">
        <f>D455*(Presion_cilindro!O447/Presion_cilindro!O448)^Presion_cilindro!$B$9+10*(Presion_cilindro!$B$9-1)*Presion_cilindro!$B$33*(IF(Presion_cilindro!N448&gt;(-D$4+Presion_cilindro!$B$34),1-EXP(-Presion_cilindro!$B$16*((Presion_cilindro!N448-(-D$4+Presion_cilindro!$B$34))/Presion_cilindro!$B$35)^(Presion_cilindro!$B$17+1)),0)-IF(Presion_cilindro!N447&gt;(-D$4+Presion_cilindro!$B$34),1-EXP(-Presion_cilindro!$B$16*((Presion_cilindro!N447-(-D$4+Presion_cilindro!$B$34))/Presion_cilindro!$B$35)^(Presion_cilindro!$B$17+1)),0))/((Presion_cilindro!O447+Presion_cilindro!O448)/2)</f>
        <v>15.531017437741696</v>
      </c>
      <c r="E456" s="27">
        <f>E455*(Presion_cilindro!O447/Presion_cilindro!O448)^Presion_cilindro!$B$9+10*(Presion_cilindro!$B$9-1)*Presion_cilindro!$B$33*(IF(Presion_cilindro!N448&gt;(-E$4+Presion_cilindro!$B$34),1-EXP(-Presion_cilindro!$B$16*((Presion_cilindro!N448-(-E$4+Presion_cilindro!$B$34))/Presion_cilindro!$B$35)^(Presion_cilindro!$B$17+1)),0)-IF(Presion_cilindro!N447&gt;(-E$4+Presion_cilindro!$B$34),1-EXP(-Presion_cilindro!$B$16*((Presion_cilindro!N447-(-E$4+Presion_cilindro!$B$34))/Presion_cilindro!$B$35)^(Presion_cilindro!$B$17+1)),0))/((Presion_cilindro!O447+Presion_cilindro!O448)/2)</f>
        <v>15.356301786701193</v>
      </c>
      <c r="F456" s="27">
        <f>F455*(Presion_cilindro!O447/Presion_cilindro!O448)^Presion_cilindro!$B$9+10*(Presion_cilindro!$B$9-1)*Presion_cilindro!$B$33*(IF(Presion_cilindro!N448&gt;(-F$4+Presion_cilindro!$B$34),1-EXP(-Presion_cilindro!$B$16*((Presion_cilindro!N448-(-F$4+Presion_cilindro!$B$34))/Presion_cilindro!$B$35)^(Presion_cilindro!$B$17+1)),0)-IF(Presion_cilindro!N447&gt;(-F$4+Presion_cilindro!$B$34),1-EXP(-Presion_cilindro!$B$16*((Presion_cilindro!N447-(-F$4+Presion_cilindro!$B$34))/Presion_cilindro!$B$35)^(Presion_cilindro!$B$17+1)),0))/((Presion_cilindro!O447+Presion_cilindro!O448)/2)</f>
        <v>15.069603454865449</v>
      </c>
      <c r="G456" s="27">
        <f>G455*(Presion_cilindro!O447/Presion_cilindro!O448)^Presion_cilindro!$B$9+10*(Presion_cilindro!$B$9-1)*Presion_cilindro!$B$33*(IF(Presion_cilindro!N448&gt;(-G$4+Presion_cilindro!$B$34),1-EXP(-Presion_cilindro!$B$16*((Presion_cilindro!N448-(-G$4+Presion_cilindro!$B$34))/Presion_cilindro!$B$35)^(Presion_cilindro!$B$17+1)),0)-IF(Presion_cilindro!N447&gt;(-G$4+Presion_cilindro!$B$34),1-EXP(-Presion_cilindro!$B$16*((Presion_cilindro!N447-(-G$4+Presion_cilindro!$B$34))/Presion_cilindro!$B$35)^(Presion_cilindro!$B$17+1)),0))/((Presion_cilindro!O447+Presion_cilindro!O448)/2)</f>
        <v>14.819267657186199</v>
      </c>
      <c r="H456" s="27">
        <f>H455*(Presion_cilindro!O447/Presion_cilindro!O448)^Presion_cilindro!$B$9+10*(Presion_cilindro!$B$9-1)*Presion_cilindro!$B$33*(IF(Presion_cilindro!N448&gt;(-H$4+Presion_cilindro!$B$34),1-EXP(-Presion_cilindro!$B$16*((Presion_cilindro!N448-(-H$4+Presion_cilindro!$B$34))/Presion_cilindro!$B$35)^(Presion_cilindro!$B$17+1)),0)-IF(Presion_cilindro!N447&gt;(-H$4+Presion_cilindro!$B$34),1-EXP(-Presion_cilindro!$B$16*((Presion_cilindro!N447-(-H$4+Presion_cilindro!$B$34))/Presion_cilindro!$B$35)^(Presion_cilindro!$B$17+1)),0))/((Presion_cilindro!O447+Presion_cilindro!O448)/2)</f>
        <v>14.665393857001613</v>
      </c>
      <c r="I456" s="27">
        <f>I455*(Presion_cilindro!O447/Presion_cilindro!O448)^Presion_cilindro!$B$9+10*(Presion_cilindro!$B$9-1)*Presion_cilindro!$B$33*(IF(Presion_cilindro!N448&gt;(-I$4+Presion_cilindro!$B$34),1-EXP(-Presion_cilindro!$B$16*((Presion_cilindro!N448-(-I$4+Presion_cilindro!$B$34))/Presion_cilindro!$B$35)^(Presion_cilindro!$B$17+1)),0)-IF(Presion_cilindro!N447&gt;(-I$4+Presion_cilindro!$B$34),1-EXP(-Presion_cilindro!$B$16*((Presion_cilindro!N447-(-I$4+Presion_cilindro!$B$34))/Presion_cilindro!$B$35)^(Presion_cilindro!$B$17+1)),0))/((Presion_cilindro!O447+Presion_cilindro!O448)/2)</f>
        <v>14.628207402833123</v>
      </c>
      <c r="J456" s="27">
        <f>J455*(Presion_cilindro!O447/Presion_cilindro!O448)^Presion_cilindro!$B$9+10*(Presion_cilindro!$B$9-1)*Presion_cilindro!$B$33*(IF(Presion_cilindro!N448&gt;(-J$4+Presion_cilindro!$B$34),1-EXP(-Presion_cilindro!$B$16*((Presion_cilindro!N448-(-J$4+Presion_cilindro!$B$34))/Presion_cilindro!$B$35)^(Presion_cilindro!$B$17+1)),0)-IF(Presion_cilindro!N447&gt;(-J$4+Presion_cilindro!$B$34),1-EXP(-Presion_cilindro!$B$16*((Presion_cilindro!N447-(-J$4+Presion_cilindro!$B$34))/Presion_cilindro!$B$35)^(Presion_cilindro!$B$17+1)),0))/((Presion_cilindro!O447+Presion_cilindro!O448)/2)</f>
        <v>14.711590654809839</v>
      </c>
      <c r="K456" s="27">
        <f>K455*(Presion_cilindro!O447/Presion_cilindro!O448)^Presion_cilindro!$B$9+10*(Presion_cilindro!$B$9-1)*Presion_cilindro!$B$33*(IF(Presion_cilindro!N448&gt;(-K$4+Presion_cilindro!$B$34),1-EXP(-Presion_cilindro!$B$16*((Presion_cilindro!N448-(-K$4+Presion_cilindro!$B$34))/Presion_cilindro!$B$35)^(Presion_cilindro!$B$17+1)),0)-IF(Presion_cilindro!N447&gt;(-K$4+Presion_cilindro!$B$34),1-EXP(-Presion_cilindro!$B$16*((Presion_cilindro!N447-(-K$4+Presion_cilindro!$B$34))/Presion_cilindro!$B$35)^(Presion_cilindro!$B$17+1)),0))/((Presion_cilindro!O447+Presion_cilindro!O448)/2)</f>
        <v>14.909844413285247</v>
      </c>
      <c r="L456" s="27">
        <f>L455*(Presion_cilindro!O447/Presion_cilindro!O448)^Presion_cilindro!$B$9+10*(Presion_cilindro!$B$9-1)*Presion_cilindro!$B$33*(IF(Presion_cilindro!N448&gt;(-L$4+Presion_cilindro!$B$34),1-EXP(-Presion_cilindro!$B$16*((Presion_cilindro!N448-(-L$4+Presion_cilindro!$B$34))/Presion_cilindro!$B$35)^(Presion_cilindro!$B$17+1)),0)-IF(Presion_cilindro!N447&gt;(-L$4+Presion_cilindro!$B$34),1-EXP(-Presion_cilindro!$B$16*((Presion_cilindro!N447-(-L$4+Presion_cilindro!$B$34))/Presion_cilindro!$B$35)^(Presion_cilindro!$B$17+1)),0))/((Presion_cilindro!O447+Presion_cilindro!O448)/2)</f>
        <v>15.210148049272009</v>
      </c>
      <c r="M456" s="27">
        <f>M455*(Presion_cilindro!O447/Presion_cilindro!O448)^Presion_cilindro!$B$9+10*(Presion_cilindro!$B$9-1)*Presion_cilindro!$B$33*(IF(Presion_cilindro!N448&gt;(-M$4+Presion_cilindro!$B$34),1-EXP(-Presion_cilindro!$B$16*((Presion_cilindro!N448-(-M$4+Presion_cilindro!$B$34))/Presion_cilindro!$B$35)^(Presion_cilindro!$B$17+1)),0)-IF(Presion_cilindro!N447&gt;(-M$4+Presion_cilindro!$B$34),1-EXP(-Presion_cilindro!$B$16*((Presion_cilindro!N447-(-M$4+Presion_cilindro!$B$34))/Presion_cilindro!$B$35)^(Presion_cilindro!$B$17+1)),0))/((Presion_cilindro!O447+Presion_cilindro!O448)/2)</f>
        <v>15.59506492434442</v>
      </c>
      <c r="N456" s="27">
        <f>N455*(Presion_cilindro!O447/Presion_cilindro!O448)^Presion_cilindro!$B$9+10*(Presion_cilindro!$B$9-1)*Presion_cilindro!$B$33*(IF(Presion_cilindro!N448&gt;(-N$4+Presion_cilindro!$B$34),1-EXP(-Presion_cilindro!$B$16*((Presion_cilindro!N448-(-N$4+Presion_cilindro!$B$34))/Presion_cilindro!$B$35)^(Presion_cilindro!$B$17+1)),0)-IF(Presion_cilindro!N447&gt;(-N$4+Presion_cilindro!$B$34),1-EXP(-Presion_cilindro!$B$16*((Presion_cilindro!N447-(-N$4+Presion_cilindro!$B$34))/Presion_cilindro!$B$35)^(Presion_cilindro!$B$17+1)),0))/((Presion_cilindro!O447+Presion_cilindro!O448)/2)</f>
        <v>16.045286655827272</v>
      </c>
    </row>
    <row r="457" spans="1:14" x14ac:dyDescent="0.25">
      <c r="A457" s="21">
        <f>Presion_cilindro!N449</f>
        <v>42.5</v>
      </c>
      <c r="B457" s="27">
        <f>B456*(Presion_cilindro!O448/Presion_cilindro!O449)^Presion_cilindro!$B$9+10*(Presion_cilindro!$B$9-1)*Presion_cilindro!$B$33*(IF(Presion_cilindro!N449&gt;(-B$4+Presion_cilindro!$B$34),1-EXP(-Presion_cilindro!$B$16*((Presion_cilindro!N449-(-B$4+Presion_cilindro!$B$34))/Presion_cilindro!$B$35)^(Presion_cilindro!$B$17+1)),0)-IF(Presion_cilindro!N448&gt;(-B$4+Presion_cilindro!$B$34),1-EXP(-Presion_cilindro!$B$16*((Presion_cilindro!N448-(-B$4+Presion_cilindro!$B$34))/Presion_cilindro!$B$35)^(Presion_cilindro!$B$17+1)),0))/((Presion_cilindro!O448+Presion_cilindro!O449)/2)</f>
        <v>14.34931853694623</v>
      </c>
      <c r="C457" s="27">
        <f>C456*(Presion_cilindro!O448/Presion_cilindro!O449)^Presion_cilindro!$B$9+10*(Presion_cilindro!$B$9-1)*Presion_cilindro!$B$33*(IF(Presion_cilindro!N449&gt;(-C$4+Presion_cilindro!$B$34),1-EXP(-Presion_cilindro!$B$16*((Presion_cilindro!N449-(-C$4+Presion_cilindro!$B$34))/Presion_cilindro!$B$35)^(Presion_cilindro!$B$17+1)),0)-IF(Presion_cilindro!N448&gt;(-C$4+Presion_cilindro!$B$34),1-EXP(-Presion_cilindro!$B$16*((Presion_cilindro!N448-(-C$4+Presion_cilindro!$B$34))/Presion_cilindro!$B$35)^(Presion_cilindro!$B$17+1)),0))/((Presion_cilindro!O448+Presion_cilindro!O449)/2)</f>
        <v>15.153294208364731</v>
      </c>
      <c r="D457" s="27">
        <f>D456*(Presion_cilindro!O448/Presion_cilindro!O449)^Presion_cilindro!$B$9+10*(Presion_cilindro!$B$9-1)*Presion_cilindro!$B$33*(IF(Presion_cilindro!N449&gt;(-D$4+Presion_cilindro!$B$34),1-EXP(-Presion_cilindro!$B$16*((Presion_cilindro!N449-(-D$4+Presion_cilindro!$B$34))/Presion_cilindro!$B$35)^(Presion_cilindro!$B$17+1)),0)-IF(Presion_cilindro!N448&gt;(-D$4+Presion_cilindro!$B$34),1-EXP(-Presion_cilindro!$B$16*((Presion_cilindro!N448-(-D$4+Presion_cilindro!$B$34))/Presion_cilindro!$B$35)^(Presion_cilindro!$B$17+1)),0))/((Presion_cilindro!O448+Presion_cilindro!O449)/2)</f>
        <v>15.302284746711409</v>
      </c>
      <c r="E457" s="27">
        <f>E456*(Presion_cilindro!O448/Presion_cilindro!O449)^Presion_cilindro!$B$9+10*(Presion_cilindro!$B$9-1)*Presion_cilindro!$B$33*(IF(Presion_cilindro!N449&gt;(-E$4+Presion_cilindro!$B$34),1-EXP(-Presion_cilindro!$B$16*((Presion_cilindro!N449-(-E$4+Presion_cilindro!$B$34))/Presion_cilindro!$B$35)^(Presion_cilindro!$B$17+1)),0)-IF(Presion_cilindro!N448&gt;(-E$4+Presion_cilindro!$B$34),1-EXP(-Presion_cilindro!$B$16*((Presion_cilindro!N448-(-E$4+Presion_cilindro!$B$34))/Presion_cilindro!$B$35)^(Presion_cilindro!$B$17+1)),0))/((Presion_cilindro!O448+Presion_cilindro!O449)/2)</f>
        <v>15.104125382837893</v>
      </c>
      <c r="F457" s="27">
        <f>F456*(Presion_cilindro!O448/Presion_cilindro!O449)^Presion_cilindro!$B$9+10*(Presion_cilindro!$B$9-1)*Presion_cilindro!$B$33*(IF(Presion_cilindro!N449&gt;(-F$4+Presion_cilindro!$B$34),1-EXP(-Presion_cilindro!$B$16*((Presion_cilindro!N449-(-F$4+Presion_cilindro!$B$34))/Presion_cilindro!$B$35)^(Presion_cilindro!$B$17+1)),0)-IF(Presion_cilindro!N448&gt;(-F$4+Presion_cilindro!$B$34),1-EXP(-Presion_cilindro!$B$16*((Presion_cilindro!N448-(-F$4+Presion_cilindro!$B$34))/Presion_cilindro!$B$35)^(Presion_cilindro!$B$17+1)),0))/((Presion_cilindro!O448+Presion_cilindro!O449)/2)</f>
        <v>14.813222626734159</v>
      </c>
      <c r="G457" s="27">
        <f>G456*(Presion_cilindro!O448/Presion_cilindro!O449)^Presion_cilindro!$B$9+10*(Presion_cilindro!$B$9-1)*Presion_cilindro!$B$33*(IF(Presion_cilindro!N449&gt;(-G$4+Presion_cilindro!$B$34),1-EXP(-Presion_cilindro!$B$16*((Presion_cilindro!N449-(-G$4+Presion_cilindro!$B$34))/Presion_cilindro!$B$35)^(Presion_cilindro!$B$17+1)),0)-IF(Presion_cilindro!N448&gt;(-G$4+Presion_cilindro!$B$34),1-EXP(-Presion_cilindro!$B$16*((Presion_cilindro!N448-(-G$4+Presion_cilindro!$B$34))/Presion_cilindro!$B$35)^(Presion_cilindro!$B$17+1)),0))/((Presion_cilindro!O448+Presion_cilindro!O449)/2)</f>
        <v>14.564995433349436</v>
      </c>
      <c r="H457" s="27">
        <f>H456*(Presion_cilindro!O448/Presion_cilindro!O449)^Presion_cilindro!$B$9+10*(Presion_cilindro!$B$9-1)*Presion_cilindro!$B$33*(IF(Presion_cilindro!N449&gt;(-H$4+Presion_cilindro!$B$34),1-EXP(-Presion_cilindro!$B$16*((Presion_cilindro!N449-(-H$4+Presion_cilindro!$B$34))/Presion_cilindro!$B$35)^(Presion_cilindro!$B$17+1)),0)-IF(Presion_cilindro!N448&gt;(-H$4+Presion_cilindro!$B$34),1-EXP(-Presion_cilindro!$B$16*((Presion_cilindro!N448-(-H$4+Presion_cilindro!$B$34))/Presion_cilindro!$B$35)^(Presion_cilindro!$B$17+1)),0))/((Presion_cilindro!O448+Presion_cilindro!O449)/2)</f>
        <v>14.413405490893423</v>
      </c>
      <c r="I457" s="27">
        <f>I456*(Presion_cilindro!O448/Presion_cilindro!O449)^Presion_cilindro!$B$9+10*(Presion_cilindro!$B$9-1)*Presion_cilindro!$B$33*(IF(Presion_cilindro!N449&gt;(-I$4+Presion_cilindro!$B$34),1-EXP(-Presion_cilindro!$B$16*((Presion_cilindro!N449-(-I$4+Presion_cilindro!$B$34))/Presion_cilindro!$B$35)^(Presion_cilindro!$B$17+1)),0)-IF(Presion_cilindro!N448&gt;(-I$4+Presion_cilindro!$B$34),1-EXP(-Presion_cilindro!$B$16*((Presion_cilindro!N448-(-I$4+Presion_cilindro!$B$34))/Presion_cilindro!$B$35)^(Presion_cilindro!$B$17+1)),0))/((Presion_cilindro!O448+Presion_cilindro!O449)/2)</f>
        <v>14.376818399933549</v>
      </c>
      <c r="J457" s="27">
        <f>J456*(Presion_cilindro!O448/Presion_cilindro!O449)^Presion_cilindro!$B$9+10*(Presion_cilindro!$B$9-1)*Presion_cilindro!$B$33*(IF(Presion_cilindro!N449&gt;(-J$4+Presion_cilindro!$B$34),1-EXP(-Presion_cilindro!$B$16*((Presion_cilindro!N449-(-J$4+Presion_cilindro!$B$34))/Presion_cilindro!$B$35)^(Presion_cilindro!$B$17+1)),0)-IF(Presion_cilindro!N448&gt;(-J$4+Presion_cilindro!$B$34),1-EXP(-Presion_cilindro!$B$16*((Presion_cilindro!N448-(-J$4+Presion_cilindro!$B$34))/Presion_cilindro!$B$35)^(Presion_cilindro!$B$17+1)),0))/((Presion_cilindro!O448+Presion_cilindro!O449)/2)</f>
        <v>14.4587658142287</v>
      </c>
      <c r="K457" s="27">
        <f>K456*(Presion_cilindro!O448/Presion_cilindro!O449)^Presion_cilindro!$B$9+10*(Presion_cilindro!$B$9-1)*Presion_cilindro!$B$33*(IF(Presion_cilindro!N449&gt;(-K$4+Presion_cilindro!$B$34),1-EXP(-Presion_cilindro!$B$16*((Presion_cilindro!N449-(-K$4+Presion_cilindro!$B$34))/Presion_cilindro!$B$35)^(Presion_cilindro!$B$17+1)),0)-IF(Presion_cilindro!N448&gt;(-K$4+Presion_cilindro!$B$34),1-EXP(-Presion_cilindro!$B$16*((Presion_cilindro!N448-(-K$4+Presion_cilindro!$B$34))/Presion_cilindro!$B$35)^(Presion_cilindro!$B$17+1)),0))/((Presion_cilindro!O448+Presion_cilindro!O449)/2)</f>
        <v>14.653612365581308</v>
      </c>
      <c r="L457" s="27">
        <f>L456*(Presion_cilindro!O448/Presion_cilindro!O449)^Presion_cilindro!$B$9+10*(Presion_cilindro!$B$9-1)*Presion_cilindro!$B$33*(IF(Presion_cilindro!N449&gt;(-L$4+Presion_cilindro!$B$34),1-EXP(-Presion_cilindro!$B$16*((Presion_cilindro!N449-(-L$4+Presion_cilindro!$B$34))/Presion_cilindro!$B$35)^(Presion_cilindro!$B$17+1)),0)-IF(Presion_cilindro!N448&gt;(-L$4+Presion_cilindro!$B$34),1-EXP(-Presion_cilindro!$B$16*((Presion_cilindro!N448-(-L$4+Presion_cilindro!$B$34))/Presion_cilindro!$B$35)^(Presion_cilindro!$B$17+1)),0))/((Presion_cilindro!O448+Presion_cilindro!O449)/2)</f>
        <v>14.948755151421773</v>
      </c>
      <c r="M457" s="27">
        <f>M456*(Presion_cilindro!O448/Presion_cilindro!O449)^Presion_cilindro!$B$9+10*(Presion_cilindro!$B$9-1)*Presion_cilindro!$B$33*(IF(Presion_cilindro!N449&gt;(-M$4+Presion_cilindro!$B$34),1-EXP(-Presion_cilindro!$B$16*((Presion_cilindro!N449-(-M$4+Presion_cilindro!$B$34))/Presion_cilindro!$B$35)^(Presion_cilindro!$B$17+1)),0)-IF(Presion_cilindro!N448&gt;(-M$4+Presion_cilindro!$B$34),1-EXP(-Presion_cilindro!$B$16*((Presion_cilindro!N448-(-M$4+Presion_cilindro!$B$34))/Presion_cilindro!$B$35)^(Presion_cilindro!$B$17+1)),0))/((Presion_cilindro!O448+Presion_cilindro!O449)/2)</f>
        <v>15.327057065345123</v>
      </c>
      <c r="N457" s="27">
        <f>N456*(Presion_cilindro!O448/Presion_cilindro!O449)^Presion_cilindro!$B$9+10*(Presion_cilindro!$B$9-1)*Presion_cilindro!$B$33*(IF(Presion_cilindro!N449&gt;(-N$4+Presion_cilindro!$B$34),1-EXP(-Presion_cilindro!$B$16*((Presion_cilindro!N449-(-N$4+Presion_cilindro!$B$34))/Presion_cilindro!$B$35)^(Presion_cilindro!$B$17+1)),0)-IF(Presion_cilindro!N448&gt;(-N$4+Presion_cilindro!$B$34),1-EXP(-Presion_cilindro!$B$16*((Presion_cilindro!N448-(-N$4+Presion_cilindro!$B$34))/Presion_cilindro!$B$35)^(Presion_cilindro!$B$17+1)),0))/((Presion_cilindro!O448+Presion_cilindro!O449)/2)</f>
        <v>15.769541543862015</v>
      </c>
    </row>
    <row r="458" spans="1:14" x14ac:dyDescent="0.25">
      <c r="A458" s="21">
        <f>Presion_cilindro!N450</f>
        <v>43</v>
      </c>
      <c r="B458" s="27">
        <f>B457*(Presion_cilindro!O449/Presion_cilindro!O450)^Presion_cilindro!$B$9+10*(Presion_cilindro!$B$9-1)*Presion_cilindro!$B$33*(IF(Presion_cilindro!N450&gt;(-B$4+Presion_cilindro!$B$34),1-EXP(-Presion_cilindro!$B$16*((Presion_cilindro!N450-(-B$4+Presion_cilindro!$B$34))/Presion_cilindro!$B$35)^(Presion_cilindro!$B$17+1)),0)-IF(Presion_cilindro!N449&gt;(-B$4+Presion_cilindro!$B$34),1-EXP(-Presion_cilindro!$B$16*((Presion_cilindro!N449-(-B$4+Presion_cilindro!$B$34))/Presion_cilindro!$B$35)^(Presion_cilindro!$B$17+1)),0))/((Presion_cilindro!O449+Presion_cilindro!O450)/2)</f>
        <v>14.261578998289561</v>
      </c>
      <c r="C458" s="27">
        <f>C457*(Presion_cilindro!O449/Presion_cilindro!O450)^Presion_cilindro!$B$9+10*(Presion_cilindro!$B$9-1)*Presion_cilindro!$B$33*(IF(Presion_cilindro!N450&gt;(-C$4+Presion_cilindro!$B$34),1-EXP(-Presion_cilindro!$B$16*((Presion_cilindro!N450-(-C$4+Presion_cilindro!$B$34))/Presion_cilindro!$B$35)^(Presion_cilindro!$B$17+1)),0)-IF(Presion_cilindro!N449&gt;(-C$4+Presion_cilindro!$B$34),1-EXP(-Presion_cilindro!$B$16*((Presion_cilindro!N449-(-C$4+Presion_cilindro!$B$34))/Presion_cilindro!$B$35)^(Presion_cilindro!$B$17+1)),0))/((Presion_cilindro!O449+Presion_cilindro!O450)/2)</f>
        <v>14.978284738808751</v>
      </c>
      <c r="D458" s="27">
        <f>D457*(Presion_cilindro!O449/Presion_cilindro!O450)^Presion_cilindro!$B$9+10*(Presion_cilindro!$B$9-1)*Presion_cilindro!$B$33*(IF(Presion_cilindro!N450&gt;(-D$4+Presion_cilindro!$B$34),1-EXP(-Presion_cilindro!$B$16*((Presion_cilindro!N450-(-D$4+Presion_cilindro!$B$34))/Presion_cilindro!$B$35)^(Presion_cilindro!$B$17+1)),0)-IF(Presion_cilindro!N449&gt;(-D$4+Presion_cilindro!$B$34),1-EXP(-Presion_cilindro!$B$16*((Presion_cilindro!N449-(-D$4+Presion_cilindro!$B$34))/Presion_cilindro!$B$35)^(Presion_cilindro!$B$17+1)),0))/((Presion_cilindro!O449+Presion_cilindro!O450)/2)</f>
        <v>15.074522226848933</v>
      </c>
      <c r="E458" s="27">
        <f>E457*(Presion_cilindro!O449/Presion_cilindro!O450)^Presion_cilindro!$B$9+10*(Presion_cilindro!$B$9-1)*Presion_cilindro!$B$33*(IF(Presion_cilindro!N450&gt;(-E$4+Presion_cilindro!$B$34),1-EXP(-Presion_cilindro!$B$16*((Presion_cilindro!N450-(-E$4+Presion_cilindro!$B$34))/Presion_cilindro!$B$35)^(Presion_cilindro!$B$17+1)),0)-IF(Presion_cilindro!N449&gt;(-E$4+Presion_cilindro!$B$34),1-EXP(-Presion_cilindro!$B$16*((Presion_cilindro!N449-(-E$4+Presion_cilindro!$B$34))/Presion_cilindro!$B$35)^(Presion_cilindro!$B$17+1)),0))/((Presion_cilindro!O449+Presion_cilindro!O450)/2)</f>
        <v>14.855902427117558</v>
      </c>
      <c r="F458" s="27">
        <f>F457*(Presion_cilindro!O449/Presion_cilindro!O450)^Presion_cilindro!$B$9+10*(Presion_cilindro!$B$9-1)*Presion_cilindro!$B$33*(IF(Presion_cilindro!N450&gt;(-F$4+Presion_cilindro!$B$34),1-EXP(-Presion_cilindro!$B$16*((Presion_cilindro!N450-(-F$4+Presion_cilindro!$B$34))/Presion_cilindro!$B$35)^(Presion_cilindro!$B$17+1)),0)-IF(Presion_cilindro!N449&gt;(-F$4+Presion_cilindro!$B$34),1-EXP(-Presion_cilindro!$B$16*((Presion_cilindro!N449-(-F$4+Presion_cilindro!$B$34))/Presion_cilindro!$B$35)^(Presion_cilindro!$B$17+1)),0))/((Presion_cilindro!O449+Presion_cilindro!O450)/2)</f>
        <v>14.562029187222683</v>
      </c>
      <c r="G458" s="27">
        <f>G457*(Presion_cilindro!O449/Presion_cilindro!O450)^Presion_cilindro!$B$9+10*(Presion_cilindro!$B$9-1)*Presion_cilindro!$B$33*(IF(Presion_cilindro!N450&gt;(-G$4+Presion_cilindro!$B$34),1-EXP(-Presion_cilindro!$B$16*((Presion_cilindro!N450-(-G$4+Presion_cilindro!$B$34))/Presion_cilindro!$B$35)^(Presion_cilindro!$B$17+1)),0)-IF(Presion_cilindro!N449&gt;(-G$4+Presion_cilindro!$B$34),1-EXP(-Presion_cilindro!$B$16*((Presion_cilindro!N449-(-G$4+Presion_cilindro!$B$34))/Presion_cilindro!$B$35)^(Presion_cilindro!$B$17+1)),0))/((Presion_cilindro!O449+Presion_cilindro!O450)/2)</f>
        <v>14.31620831271209</v>
      </c>
      <c r="H458" s="27">
        <f>H457*(Presion_cilindro!O449/Presion_cilindro!O450)^Presion_cilindro!$B$9+10*(Presion_cilindro!$B$9-1)*Presion_cilindro!$B$33*(IF(Presion_cilindro!N450&gt;(-H$4+Presion_cilindro!$B$34),1-EXP(-Presion_cilindro!$B$16*((Presion_cilindro!N450-(-H$4+Presion_cilindro!$B$34))/Presion_cilindro!$B$35)^(Presion_cilindro!$B$17+1)),0)-IF(Presion_cilindro!N449&gt;(-H$4+Presion_cilindro!$B$34),1-EXP(-Presion_cilindro!$B$16*((Presion_cilindro!N449-(-H$4+Presion_cilindro!$B$34))/Presion_cilindro!$B$35)^(Presion_cilindro!$B$17+1)),0))/((Presion_cilindro!O449+Presion_cilindro!O450)/2)</f>
        <v>14.166920355378206</v>
      </c>
      <c r="I458" s="27">
        <f>I457*(Presion_cilindro!O449/Presion_cilindro!O450)^Presion_cilindro!$B$9+10*(Presion_cilindro!$B$9-1)*Presion_cilindro!$B$33*(IF(Presion_cilindro!N450&gt;(-I$4+Presion_cilindro!$B$34),1-EXP(-Presion_cilindro!$B$16*((Presion_cilindro!N450-(-I$4+Presion_cilindro!$B$34))/Presion_cilindro!$B$35)^(Presion_cilindro!$B$17+1)),0)-IF(Presion_cilindro!N449&gt;(-I$4+Presion_cilindro!$B$34),1-EXP(-Presion_cilindro!$B$16*((Presion_cilindro!N449-(-I$4+Presion_cilindro!$B$34))/Presion_cilindro!$B$35)^(Presion_cilindro!$B$17+1)),0))/((Presion_cilindro!O449+Presion_cilindro!O450)/2)</f>
        <v>14.13092830926883</v>
      </c>
      <c r="J458" s="27">
        <f>J457*(Presion_cilindro!O449/Presion_cilindro!O450)^Presion_cilindro!$B$9+10*(Presion_cilindro!$B$9-1)*Presion_cilindro!$B$33*(IF(Presion_cilindro!N450&gt;(-J$4+Presion_cilindro!$B$34),1-EXP(-Presion_cilindro!$B$16*((Presion_cilindro!N450-(-J$4+Presion_cilindro!$B$34))/Presion_cilindro!$B$35)^(Presion_cilindro!$B$17+1)),0)-IF(Presion_cilindro!N449&gt;(-J$4+Presion_cilindro!$B$34),1-EXP(-Presion_cilindro!$B$16*((Presion_cilindro!N449-(-J$4+Presion_cilindro!$B$34))/Presion_cilindro!$B$35)^(Presion_cilindro!$B$17+1)),0))/((Presion_cilindro!O449+Presion_cilindro!O450)/2)</f>
        <v>14.211472026449087</v>
      </c>
      <c r="K458" s="27">
        <f>K457*(Presion_cilindro!O449/Presion_cilindro!O450)^Presion_cilindro!$B$9+10*(Presion_cilindro!$B$9-1)*Presion_cilindro!$B$33*(IF(Presion_cilindro!N450&gt;(-K$4+Presion_cilindro!$B$34),1-EXP(-Presion_cilindro!$B$16*((Presion_cilindro!N450-(-K$4+Presion_cilindro!$B$34))/Presion_cilindro!$B$35)^(Presion_cilindro!$B$17+1)),0)-IF(Presion_cilindro!N449&gt;(-K$4+Presion_cilindro!$B$34),1-EXP(-Presion_cilindro!$B$16*((Presion_cilindro!N449-(-K$4+Presion_cilindro!$B$34))/Presion_cilindro!$B$35)^(Presion_cilindro!$B$17+1)),0))/((Presion_cilindro!O449+Presion_cilindro!O450)/2)</f>
        <v>14.40298594863196</v>
      </c>
      <c r="L458" s="27">
        <f>L457*(Presion_cilindro!O449/Presion_cilindro!O450)^Presion_cilindro!$B$9+10*(Presion_cilindro!$B$9-1)*Presion_cilindro!$B$33*(IF(Presion_cilindro!N450&gt;(-L$4+Presion_cilindro!$B$34),1-EXP(-Presion_cilindro!$B$16*((Presion_cilindro!N450-(-L$4+Presion_cilindro!$B$34))/Presion_cilindro!$B$35)^(Presion_cilindro!$B$17+1)),0)-IF(Presion_cilindro!N449&gt;(-L$4+Presion_cilindro!$B$34),1-EXP(-Presion_cilindro!$B$16*((Presion_cilindro!N449-(-L$4+Presion_cilindro!$B$34))/Presion_cilindro!$B$35)^(Presion_cilindro!$B$17+1)),0))/((Presion_cilindro!O449+Presion_cilindro!O450)/2)</f>
        <v>14.693080790330171</v>
      </c>
      <c r="M458" s="27">
        <f>M457*(Presion_cilindro!O449/Presion_cilindro!O450)^Presion_cilindro!$B$9+10*(Presion_cilindro!$B$9-1)*Presion_cilindro!$B$33*(IF(Presion_cilindro!N450&gt;(-M$4+Presion_cilindro!$B$34),1-EXP(-Presion_cilindro!$B$16*((Presion_cilindro!N450-(-M$4+Presion_cilindro!$B$34))/Presion_cilindro!$B$35)^(Presion_cilindro!$B$17+1)),0)-IF(Presion_cilindro!N449&gt;(-M$4+Presion_cilindro!$B$34),1-EXP(-Presion_cilindro!$B$16*((Presion_cilindro!N449-(-M$4+Presion_cilindro!$B$34))/Presion_cilindro!$B$35)^(Presion_cilindro!$B$17+1)),0))/((Presion_cilindro!O449+Presion_cilindro!O450)/2)</f>
        <v>15.064912459755087</v>
      </c>
      <c r="N458" s="27">
        <f>N457*(Presion_cilindro!O449/Presion_cilindro!O450)^Presion_cilindro!$B$9+10*(Presion_cilindro!$B$9-1)*Presion_cilindro!$B$33*(IF(Presion_cilindro!N450&gt;(-N$4+Presion_cilindro!$B$34),1-EXP(-Presion_cilindro!$B$16*((Presion_cilindro!N450-(-N$4+Presion_cilindro!$B$34))/Presion_cilindro!$B$35)^(Presion_cilindro!$B$17+1)),0)-IF(Presion_cilindro!N449&gt;(-N$4+Presion_cilindro!$B$34),1-EXP(-Presion_cilindro!$B$16*((Presion_cilindro!N449-(-N$4+Presion_cilindro!$B$34))/Presion_cilindro!$B$35)^(Presion_cilindro!$B$17+1)),0))/((Presion_cilindro!O449+Presion_cilindro!O450)/2)</f>
        <v>15.499828954502345</v>
      </c>
    </row>
    <row r="459" spans="1:14" x14ac:dyDescent="0.25">
      <c r="A459" s="21">
        <f>Presion_cilindro!N451</f>
        <v>43.5</v>
      </c>
      <c r="B459" s="27">
        <f>B458*(Presion_cilindro!O450/Presion_cilindro!O451)^Presion_cilindro!$B$9+10*(Presion_cilindro!$B$9-1)*Presion_cilindro!$B$33*(IF(Presion_cilindro!N451&gt;(-B$4+Presion_cilindro!$B$34),1-EXP(-Presion_cilindro!$B$16*((Presion_cilindro!N451-(-B$4+Presion_cilindro!$B$34))/Presion_cilindro!$B$35)^(Presion_cilindro!$B$17+1)),0)-IF(Presion_cilindro!N450&gt;(-B$4+Presion_cilindro!$B$34),1-EXP(-Presion_cilindro!$B$16*((Presion_cilindro!N450-(-B$4+Presion_cilindro!$B$34))/Presion_cilindro!$B$35)^(Presion_cilindro!$B$17+1)),0))/((Presion_cilindro!O450+Presion_cilindro!O451)/2)</f>
        <v>14.166791441052473</v>
      </c>
      <c r="C459" s="27">
        <f>C458*(Presion_cilindro!O450/Presion_cilindro!O451)^Presion_cilindro!$B$9+10*(Presion_cilindro!$B$9-1)*Presion_cilindro!$B$33*(IF(Presion_cilindro!N451&gt;(-C$4+Presion_cilindro!$B$34),1-EXP(-Presion_cilindro!$B$16*((Presion_cilindro!N451-(-C$4+Presion_cilindro!$B$34))/Presion_cilindro!$B$35)^(Presion_cilindro!$B$17+1)),0)-IF(Presion_cilindro!N450&gt;(-C$4+Presion_cilindro!$B$34),1-EXP(-Presion_cilindro!$B$16*((Presion_cilindro!N450-(-C$4+Presion_cilindro!$B$34))/Presion_cilindro!$B$35)^(Presion_cilindro!$B$17+1)),0))/((Presion_cilindro!O450+Presion_cilindro!O451)/2)</f>
        <v>14.800221630740683</v>
      </c>
      <c r="D459" s="27">
        <f>D458*(Presion_cilindro!O450/Presion_cilindro!O451)^Presion_cilindro!$B$9+10*(Presion_cilindro!$B$9-1)*Presion_cilindro!$B$33*(IF(Presion_cilindro!N451&gt;(-D$4+Presion_cilindro!$B$34),1-EXP(-Presion_cilindro!$B$16*((Presion_cilindro!N451-(-D$4+Presion_cilindro!$B$34))/Presion_cilindro!$B$35)^(Presion_cilindro!$B$17+1)),0)-IF(Presion_cilindro!N450&gt;(-D$4+Presion_cilindro!$B$34),1-EXP(-Presion_cilindro!$B$16*((Presion_cilindro!N450-(-D$4+Presion_cilindro!$B$34))/Presion_cilindro!$B$35)^(Presion_cilindro!$B$17+1)),0))/((Presion_cilindro!O450+Presion_cilindro!O451)/2)</f>
        <v>14.848075875583437</v>
      </c>
      <c r="E459" s="27">
        <f>E458*(Presion_cilindro!O450/Presion_cilindro!O451)^Presion_cilindro!$B$9+10*(Presion_cilindro!$B$9-1)*Presion_cilindro!$B$33*(IF(Presion_cilindro!N451&gt;(-E$4+Presion_cilindro!$B$34),1-EXP(-Presion_cilindro!$B$16*((Presion_cilindro!N451-(-E$4+Presion_cilindro!$B$34))/Presion_cilindro!$B$35)^(Presion_cilindro!$B$17+1)),0)-IF(Presion_cilindro!N450&gt;(-E$4+Presion_cilindro!$B$34),1-EXP(-Presion_cilindro!$B$16*((Presion_cilindro!N450-(-E$4+Presion_cilindro!$B$34))/Presion_cilindro!$B$35)^(Presion_cilindro!$B$17+1)),0))/((Presion_cilindro!O450+Presion_cilindro!O451)/2)</f>
        <v>14.611743526194818</v>
      </c>
      <c r="F459" s="27">
        <f>F458*(Presion_cilindro!O450/Presion_cilindro!O451)^Presion_cilindro!$B$9+10*(Presion_cilindro!$B$9-1)*Presion_cilindro!$B$33*(IF(Presion_cilindro!N451&gt;(-F$4+Presion_cilindro!$B$34),1-EXP(-Presion_cilindro!$B$16*((Presion_cilindro!N451-(-F$4+Presion_cilindro!$B$34))/Presion_cilindro!$B$35)^(Presion_cilindro!$B$17+1)),0)-IF(Presion_cilindro!N450&gt;(-F$4+Presion_cilindro!$B$34),1-EXP(-Presion_cilindro!$B$16*((Presion_cilindro!N450-(-F$4+Presion_cilindro!$B$34))/Presion_cilindro!$B$35)^(Presion_cilindro!$B$17+1)),0))/((Presion_cilindro!O450+Presion_cilindro!O451)/2)</f>
        <v>14.315982316073901</v>
      </c>
      <c r="G459" s="27">
        <f>G458*(Presion_cilindro!O450/Presion_cilindro!O451)^Presion_cilindro!$B$9+10*(Presion_cilindro!$B$9-1)*Presion_cilindro!$B$33*(IF(Presion_cilindro!N451&gt;(-G$4+Presion_cilindro!$B$34),1-EXP(-Presion_cilindro!$B$16*((Presion_cilindro!N451-(-G$4+Presion_cilindro!$B$34))/Presion_cilindro!$B$35)^(Presion_cilindro!$B$17+1)),0)-IF(Presion_cilindro!N450&gt;(-G$4+Presion_cilindro!$B$34),1-EXP(-Presion_cilindro!$B$16*((Presion_cilindro!N450-(-G$4+Presion_cilindro!$B$34))/Presion_cilindro!$B$35)^(Presion_cilindro!$B$17+1)),0))/((Presion_cilindro!O450+Presion_cilindro!O451)/2)</f>
        <v>14.072808895515941</v>
      </c>
      <c r="H459" s="27">
        <f>H458*(Presion_cilindro!O450/Presion_cilindro!O451)^Presion_cilindro!$B$9+10*(Presion_cilindro!$B$9-1)*Presion_cilindro!$B$33*(IF(Presion_cilindro!N451&gt;(-H$4+Presion_cilindro!$B$34),1-EXP(-Presion_cilindro!$B$16*((Presion_cilindro!N451-(-H$4+Presion_cilindro!$B$34))/Presion_cilindro!$B$35)^(Presion_cilindro!$B$17+1)),0)-IF(Presion_cilindro!N450&gt;(-H$4+Presion_cilindro!$B$34),1-EXP(-Presion_cilindro!$B$16*((Presion_cilindro!N450-(-H$4+Presion_cilindro!$B$34))/Presion_cilindro!$B$35)^(Presion_cilindro!$B$17+1)),0))/((Presion_cilindro!O450+Presion_cilindro!O451)/2)</f>
        <v>13.925828285846409</v>
      </c>
      <c r="I459" s="27">
        <f>I458*(Presion_cilindro!O450/Presion_cilindro!O451)^Presion_cilindro!$B$9+10*(Presion_cilindro!$B$9-1)*Presion_cilindro!$B$33*(IF(Presion_cilindro!N451&gt;(-I$4+Presion_cilindro!$B$34),1-EXP(-Presion_cilindro!$B$16*((Presion_cilindro!N451-(-I$4+Presion_cilindro!$B$34))/Presion_cilindro!$B$35)^(Presion_cilindro!$B$17+1)),0)-IF(Presion_cilindro!N450&gt;(-I$4+Presion_cilindro!$B$34),1-EXP(-Presion_cilindro!$B$16*((Presion_cilindro!N450-(-I$4+Presion_cilindro!$B$34))/Presion_cilindro!$B$35)^(Presion_cilindro!$B$17+1)),0))/((Presion_cilindro!O450+Presion_cilindro!O451)/2)</f>
        <v>13.890425147235721</v>
      </c>
      <c r="J459" s="27">
        <f>J458*(Presion_cilindro!O450/Presion_cilindro!O451)^Presion_cilindro!$B$9+10*(Presion_cilindro!$B$9-1)*Presion_cilindro!$B$33*(IF(Presion_cilindro!N451&gt;(-J$4+Presion_cilindro!$B$34),1-EXP(-Presion_cilindro!$B$16*((Presion_cilindro!N451-(-J$4+Presion_cilindro!$B$34))/Presion_cilindro!$B$35)^(Presion_cilindro!$B$17+1)),0)-IF(Presion_cilindro!N450&gt;(-J$4+Presion_cilindro!$B$34),1-EXP(-Presion_cilindro!$B$16*((Presion_cilindro!N450-(-J$4+Presion_cilindro!$B$34))/Presion_cilindro!$B$35)^(Presion_cilindro!$B$17+1)),0))/((Presion_cilindro!O450+Presion_cilindro!O451)/2)</f>
        <v>13.969596468839766</v>
      </c>
      <c r="K459" s="27">
        <f>K458*(Presion_cilindro!O450/Presion_cilindro!O451)^Presion_cilindro!$B$9+10*(Presion_cilindro!$B$9-1)*Presion_cilindro!$B$33*(IF(Presion_cilindro!N451&gt;(-K$4+Presion_cilindro!$B$34),1-EXP(-Presion_cilindro!$B$16*((Presion_cilindro!N451-(-K$4+Presion_cilindro!$B$34))/Presion_cilindro!$B$35)^(Presion_cilindro!$B$17+1)),0)-IF(Presion_cilindro!N450&gt;(-K$4+Presion_cilindro!$B$34),1-EXP(-Presion_cilindro!$B$16*((Presion_cilindro!N450-(-K$4+Presion_cilindro!$B$34))/Presion_cilindro!$B$35)^(Presion_cilindro!$B$17+1)),0))/((Presion_cilindro!O450+Presion_cilindro!O451)/2)</f>
        <v>14.157850807545982</v>
      </c>
      <c r="L459" s="27">
        <f>L458*(Presion_cilindro!O450/Presion_cilindro!O451)^Presion_cilindro!$B$9+10*(Presion_cilindro!$B$9-1)*Presion_cilindro!$B$33*(IF(Presion_cilindro!N451&gt;(-L$4+Presion_cilindro!$B$34),1-EXP(-Presion_cilindro!$B$16*((Presion_cilindro!N451-(-L$4+Presion_cilindro!$B$34))/Presion_cilindro!$B$35)^(Presion_cilindro!$B$17+1)),0)-IF(Presion_cilindro!N450&gt;(-L$4+Presion_cilindro!$B$34),1-EXP(-Presion_cilindro!$B$16*((Presion_cilindro!N450-(-L$4+Presion_cilindro!$B$34))/Presion_cilindro!$B$35)^(Presion_cilindro!$B$17+1)),0))/((Presion_cilindro!O450+Presion_cilindro!O451)/2)</f>
        <v>14.443008307425968</v>
      </c>
      <c r="M459" s="27">
        <f>M458*(Presion_cilindro!O450/Presion_cilindro!O451)^Presion_cilindro!$B$9+10*(Presion_cilindro!$B$9-1)*Presion_cilindro!$B$33*(IF(Presion_cilindro!N451&gt;(-M$4+Presion_cilindro!$B$34),1-EXP(-Presion_cilindro!$B$16*((Presion_cilindro!N451-(-M$4+Presion_cilindro!$B$34))/Presion_cilindro!$B$35)^(Presion_cilindro!$B$17+1)),0)-IF(Presion_cilindro!N450&gt;(-M$4+Presion_cilindro!$B$34),1-EXP(-Presion_cilindro!$B$16*((Presion_cilindro!N450-(-M$4+Presion_cilindro!$B$34))/Presion_cilindro!$B$35)^(Presion_cilindro!$B$17+1)),0))/((Presion_cilindro!O450+Presion_cilindro!O451)/2)</f>
        <v>14.808511496764302</v>
      </c>
      <c r="N459" s="27">
        <f>N458*(Presion_cilindro!O450/Presion_cilindro!O451)^Presion_cilindro!$B$9+10*(Presion_cilindro!$B$9-1)*Presion_cilindro!$B$33*(IF(Presion_cilindro!N451&gt;(-N$4+Presion_cilindro!$B$34),1-EXP(-Presion_cilindro!$B$16*((Presion_cilindro!N451-(-N$4+Presion_cilindro!$B$34))/Presion_cilindro!$B$35)^(Presion_cilindro!$B$17+1)),0)-IF(Presion_cilindro!N450&gt;(-N$4+Presion_cilindro!$B$34),1-EXP(-Presion_cilindro!$B$16*((Presion_cilindro!N450-(-N$4+Presion_cilindro!$B$34))/Presion_cilindro!$B$35)^(Presion_cilindro!$B$17+1)),0))/((Presion_cilindro!O450+Presion_cilindro!O451)/2)</f>
        <v>15.236025823833828</v>
      </c>
    </row>
    <row r="460" spans="1:14" x14ac:dyDescent="0.25">
      <c r="A460" s="21">
        <f>Presion_cilindro!N452</f>
        <v>44</v>
      </c>
      <c r="B460" s="27">
        <f>B459*(Presion_cilindro!O451/Presion_cilindro!O452)^Presion_cilindro!$B$9+10*(Presion_cilindro!$B$9-1)*Presion_cilindro!$B$33*(IF(Presion_cilindro!N452&gt;(-B$4+Presion_cilindro!$B$34),1-EXP(-Presion_cilindro!$B$16*((Presion_cilindro!N452-(-B$4+Presion_cilindro!$B$34))/Presion_cilindro!$B$35)^(Presion_cilindro!$B$17+1)),0)-IF(Presion_cilindro!N451&gt;(-B$4+Presion_cilindro!$B$34),1-EXP(-Presion_cilindro!$B$16*((Presion_cilindro!N451-(-B$4+Presion_cilindro!$B$34))/Presion_cilindro!$B$35)^(Presion_cilindro!$B$17+1)),0))/((Presion_cilindro!O451+Presion_cilindro!O452)/2)</f>
        <v>14.065332246655348</v>
      </c>
      <c r="C460" s="27">
        <f>C459*(Presion_cilindro!O451/Presion_cilindro!O452)^Presion_cilindro!$B$9+10*(Presion_cilindro!$B$9-1)*Presion_cilindro!$B$33*(IF(Presion_cilindro!N452&gt;(-C$4+Presion_cilindro!$B$34),1-EXP(-Presion_cilindro!$B$16*((Presion_cilindro!N452-(-C$4+Presion_cilindro!$B$34))/Presion_cilindro!$B$35)^(Presion_cilindro!$B$17+1)),0)-IF(Presion_cilindro!N451&gt;(-C$4+Presion_cilindro!$B$34),1-EXP(-Presion_cilindro!$B$16*((Presion_cilindro!N451-(-C$4+Presion_cilindro!$B$34))/Presion_cilindro!$B$35)^(Presion_cilindro!$B$17+1)),0))/((Presion_cilindro!O451+Presion_cilindro!O452)/2)</f>
        <v>14.619589643904805</v>
      </c>
      <c r="D460" s="27">
        <f>D459*(Presion_cilindro!O451/Presion_cilindro!O452)^Presion_cilindro!$B$9+10*(Presion_cilindro!$B$9-1)*Presion_cilindro!$B$33*(IF(Presion_cilindro!N452&gt;(-D$4+Presion_cilindro!$B$34),1-EXP(-Presion_cilindro!$B$16*((Presion_cilindro!N452-(-D$4+Presion_cilindro!$B$34))/Presion_cilindro!$B$35)^(Presion_cilindro!$B$17+1)),0)-IF(Presion_cilindro!N451&gt;(-D$4+Presion_cilindro!$B$34),1-EXP(-Presion_cilindro!$B$16*((Presion_cilindro!N451-(-D$4+Presion_cilindro!$B$34))/Presion_cilindro!$B$35)^(Presion_cilindro!$B$17+1)),0))/((Presion_cilindro!O451+Presion_cilindro!O452)/2)</f>
        <v>14.6232618961262</v>
      </c>
      <c r="E460" s="27">
        <f>E459*(Presion_cilindro!O451/Presion_cilindro!O452)^Presion_cilindro!$B$9+10*(Presion_cilindro!$B$9-1)*Presion_cilindro!$B$33*(IF(Presion_cilindro!N452&gt;(-E$4+Presion_cilindro!$B$34),1-EXP(-Presion_cilindro!$B$16*((Presion_cilindro!N452-(-E$4+Presion_cilindro!$B$34))/Presion_cilindro!$B$35)^(Presion_cilindro!$B$17+1)),0)-IF(Presion_cilindro!N451&gt;(-E$4+Presion_cilindro!$B$34),1-EXP(-Presion_cilindro!$B$16*((Presion_cilindro!N451-(-E$4+Presion_cilindro!$B$34))/Presion_cilindro!$B$35)^(Presion_cilindro!$B$17+1)),0))/((Presion_cilindro!O451+Presion_cilindro!O452)/2)</f>
        <v>14.371736605141216</v>
      </c>
      <c r="F460" s="27">
        <f>F459*(Presion_cilindro!O451/Presion_cilindro!O452)^Presion_cilindro!$B$9+10*(Presion_cilindro!$B$9-1)*Presion_cilindro!$B$33*(IF(Presion_cilindro!N452&gt;(-F$4+Presion_cilindro!$B$34),1-EXP(-Presion_cilindro!$B$16*((Presion_cilindro!N452-(-F$4+Presion_cilindro!$B$34))/Presion_cilindro!$B$35)^(Presion_cilindro!$B$17+1)),0)-IF(Presion_cilindro!N451&gt;(-F$4+Presion_cilindro!$B$34),1-EXP(-Presion_cilindro!$B$16*((Presion_cilindro!N451-(-F$4+Presion_cilindro!$B$34))/Presion_cilindro!$B$35)^(Presion_cilindro!$B$17+1)),0))/((Presion_cilindro!O451+Presion_cilindro!O452)/2)</f>
        <v>14.075031632132623</v>
      </c>
      <c r="G460" s="27">
        <f>G459*(Presion_cilindro!O451/Presion_cilindro!O452)^Presion_cilindro!$B$9+10*(Presion_cilindro!$B$9-1)*Presion_cilindro!$B$33*(IF(Presion_cilindro!N452&gt;(-G$4+Presion_cilindro!$B$34),1-EXP(-Presion_cilindro!$B$16*((Presion_cilindro!N452-(-G$4+Presion_cilindro!$B$34))/Presion_cilindro!$B$35)^(Presion_cilindro!$B$17+1)),0)-IF(Presion_cilindro!N451&gt;(-G$4+Presion_cilindro!$B$34),1-EXP(-Presion_cilindro!$B$16*((Presion_cilindro!N451-(-G$4+Presion_cilindro!$B$34))/Presion_cilindro!$B$35)^(Presion_cilindro!$B$17+1)),0))/((Presion_cilindro!O451+Presion_cilindro!O452)/2)</f>
        <v>13.834697708682423</v>
      </c>
      <c r="H460" s="27">
        <f>H459*(Presion_cilindro!O451/Presion_cilindro!O452)^Presion_cilindro!$B$9+10*(Presion_cilindro!$B$9-1)*Presion_cilindro!$B$33*(IF(Presion_cilindro!N452&gt;(-H$4+Presion_cilindro!$B$34),1-EXP(-Presion_cilindro!$B$16*((Presion_cilindro!N452-(-H$4+Presion_cilindro!$B$34))/Presion_cilindro!$B$35)^(Presion_cilindro!$B$17+1)),0)-IF(Presion_cilindro!N451&gt;(-H$4+Presion_cilindro!$B$34),1-EXP(-Presion_cilindro!$B$16*((Presion_cilindro!N451-(-H$4+Presion_cilindro!$B$34))/Presion_cilindro!$B$35)^(Presion_cilindro!$B$17+1)),0))/((Presion_cilindro!O451+Presion_cilindro!O452)/2)</f>
        <v>13.690019365104755</v>
      </c>
      <c r="I460" s="27">
        <f>I459*(Presion_cilindro!O451/Presion_cilindro!O452)^Presion_cilindro!$B$9+10*(Presion_cilindro!$B$9-1)*Presion_cilindro!$B$33*(IF(Presion_cilindro!N452&gt;(-I$4+Presion_cilindro!$B$34),1-EXP(-Presion_cilindro!$B$16*((Presion_cilindro!N452-(-I$4+Presion_cilindro!$B$34))/Presion_cilindro!$B$35)^(Presion_cilindro!$B$17+1)),0)-IF(Presion_cilindro!N451&gt;(-I$4+Presion_cilindro!$B$34),1-EXP(-Presion_cilindro!$B$16*((Presion_cilindro!N451-(-I$4+Presion_cilindro!$B$34))/Presion_cilindro!$B$35)^(Presion_cilindro!$B$17+1)),0))/((Presion_cilindro!O451+Presion_cilindro!O452)/2)</f>
        <v>13.655197605507542</v>
      </c>
      <c r="J460" s="27">
        <f>J459*(Presion_cilindro!O451/Presion_cilindro!O452)^Presion_cilindro!$B$9+10*(Presion_cilindro!$B$9-1)*Presion_cilindro!$B$33*(IF(Presion_cilindro!N452&gt;(-J$4+Presion_cilindro!$B$34),1-EXP(-Presion_cilindro!$B$16*((Presion_cilindro!N452-(-J$4+Presion_cilindro!$B$34))/Presion_cilindro!$B$35)^(Presion_cilindro!$B$17+1)),0)-IF(Presion_cilindro!N451&gt;(-J$4+Presion_cilindro!$B$34),1-EXP(-Presion_cilindro!$B$16*((Presion_cilindro!N451-(-J$4+Presion_cilindro!$B$34))/Presion_cilindro!$B$35)^(Presion_cilindro!$B$17+1)),0))/((Presion_cilindro!O451+Presion_cilindro!O452)/2)</f>
        <v>13.733027046232094</v>
      </c>
      <c r="K460" s="27">
        <f>K459*(Presion_cilindro!O451/Presion_cilindro!O452)^Presion_cilindro!$B$9+10*(Presion_cilindro!$B$9-1)*Presion_cilindro!$B$33*(IF(Presion_cilindro!N452&gt;(-K$4+Presion_cilindro!$B$34),1-EXP(-Presion_cilindro!$B$16*((Presion_cilindro!N452-(-K$4+Presion_cilindro!$B$34))/Presion_cilindro!$B$35)^(Presion_cilindro!$B$17+1)),0)-IF(Presion_cilindro!N451&gt;(-K$4+Presion_cilindro!$B$34),1-EXP(-Presion_cilindro!$B$16*((Presion_cilindro!N451-(-K$4+Presion_cilindro!$B$34))/Presion_cilindro!$B$35)^(Presion_cilindro!$B$17+1)),0))/((Presion_cilindro!O451+Presion_cilindro!O452)/2)</f>
        <v>13.918093327985053</v>
      </c>
      <c r="L460" s="27">
        <f>L459*(Presion_cilindro!O451/Presion_cilindro!O452)^Presion_cilindro!$B$9+10*(Presion_cilindro!$B$9-1)*Presion_cilindro!$B$33*(IF(Presion_cilindro!N452&gt;(-L$4+Presion_cilindro!$B$34),1-EXP(-Presion_cilindro!$B$16*((Presion_cilindro!N452-(-L$4+Presion_cilindro!$B$34))/Presion_cilindro!$B$35)^(Presion_cilindro!$B$17+1)),0)-IF(Presion_cilindro!N451&gt;(-L$4+Presion_cilindro!$B$34),1-EXP(-Presion_cilindro!$B$16*((Presion_cilindro!N451-(-L$4+Presion_cilindro!$B$34))/Presion_cilindro!$B$35)^(Presion_cilindro!$B$17+1)),0))/((Presion_cilindro!O451+Presion_cilindro!O452)/2)</f>
        <v>14.198421799739348</v>
      </c>
      <c r="M460" s="27">
        <f>M459*(Presion_cilindro!O451/Presion_cilindro!O452)^Presion_cilindro!$B$9+10*(Presion_cilindro!$B$9-1)*Presion_cilindro!$B$33*(IF(Presion_cilindro!N452&gt;(-M$4+Presion_cilindro!$B$34),1-EXP(-Presion_cilindro!$B$16*((Presion_cilindro!N452-(-M$4+Presion_cilindro!$B$34))/Presion_cilindro!$B$35)^(Presion_cilindro!$B$17+1)),0)-IF(Presion_cilindro!N451&gt;(-M$4+Presion_cilindro!$B$34),1-EXP(-Presion_cilindro!$B$16*((Presion_cilindro!N451-(-M$4+Presion_cilindro!$B$34))/Presion_cilindro!$B$35)^(Presion_cilindro!$B$17+1)),0))/((Presion_cilindro!O451+Presion_cilindro!O452)/2)</f>
        <v>14.557735340288989</v>
      </c>
      <c r="N460" s="27">
        <f>N459*(Presion_cilindro!O451/Presion_cilindro!O452)^Presion_cilindro!$B$9+10*(Presion_cilindro!$B$9-1)*Presion_cilindro!$B$33*(IF(Presion_cilindro!N452&gt;(-N$4+Presion_cilindro!$B$34),1-EXP(-Presion_cilindro!$B$16*((Presion_cilindro!N452-(-N$4+Presion_cilindro!$B$34))/Presion_cilindro!$B$35)^(Presion_cilindro!$B$17+1)),0)-IF(Presion_cilindro!N451&gt;(-N$4+Presion_cilindro!$B$34),1-EXP(-Presion_cilindro!$B$16*((Presion_cilindro!N451-(-N$4+Presion_cilindro!$B$34))/Presion_cilindro!$B$35)^(Presion_cilindro!$B$17+1)),0))/((Presion_cilindro!O451+Presion_cilindro!O452)/2)</f>
        <v>14.978009885034259</v>
      </c>
    </row>
    <row r="461" spans="1:14" x14ac:dyDescent="0.25">
      <c r="A461" s="21">
        <f>Presion_cilindro!N453</f>
        <v>44.5</v>
      </c>
      <c r="B461" s="27">
        <f>B460*(Presion_cilindro!O452/Presion_cilindro!O453)^Presion_cilindro!$B$9+10*(Presion_cilindro!$B$9-1)*Presion_cilindro!$B$33*(IF(Presion_cilindro!N453&gt;(-B$4+Presion_cilindro!$B$34),1-EXP(-Presion_cilindro!$B$16*((Presion_cilindro!N453-(-B$4+Presion_cilindro!$B$34))/Presion_cilindro!$B$35)^(Presion_cilindro!$B$17+1)),0)-IF(Presion_cilindro!N452&gt;(-B$4+Presion_cilindro!$B$34),1-EXP(-Presion_cilindro!$B$16*((Presion_cilindro!N452-(-B$4+Presion_cilindro!$B$34))/Presion_cilindro!$B$35)^(Presion_cilindro!$B$17+1)),0))/((Presion_cilindro!O452+Presion_cilindro!O453)/2)</f>
        <v>13.957595883231839</v>
      </c>
      <c r="C461" s="27">
        <f>C460*(Presion_cilindro!O452/Presion_cilindro!O453)^Presion_cilindro!$B$9+10*(Presion_cilindro!$B$9-1)*Presion_cilindro!$B$33*(IF(Presion_cilindro!N453&gt;(-C$4+Presion_cilindro!$B$34),1-EXP(-Presion_cilindro!$B$16*((Presion_cilindro!N453-(-C$4+Presion_cilindro!$B$34))/Presion_cilindro!$B$35)^(Presion_cilindro!$B$17+1)),0)-IF(Presion_cilindro!N452&gt;(-C$4+Presion_cilindro!$B$34),1-EXP(-Presion_cilindro!$B$16*((Presion_cilindro!N452-(-C$4+Presion_cilindro!$B$34))/Presion_cilindro!$B$35)^(Presion_cilindro!$B$17+1)),0))/((Presion_cilindro!O452+Presion_cilindro!O453)/2)</f>
        <v>14.436857755193104</v>
      </c>
      <c r="D461" s="27">
        <f>D460*(Presion_cilindro!O452/Presion_cilindro!O453)^Presion_cilindro!$B$9+10*(Presion_cilindro!$B$9-1)*Presion_cilindro!$B$33*(IF(Presion_cilindro!N453&gt;(-D$4+Presion_cilindro!$B$34),1-EXP(-Presion_cilindro!$B$16*((Presion_cilindro!N453-(-D$4+Presion_cilindro!$B$34))/Presion_cilindro!$B$35)^(Presion_cilindro!$B$17+1)),0)-IF(Presion_cilindro!N452&gt;(-D$4+Presion_cilindro!$B$34),1-EXP(-Presion_cilindro!$B$16*((Presion_cilindro!N452-(-D$4+Presion_cilindro!$B$34))/Presion_cilindro!$B$35)^(Presion_cilindro!$B$17+1)),0))/((Presion_cilindro!O452+Presion_cilindro!O453)/2)</f>
        <v>14.400367196782803</v>
      </c>
      <c r="E461" s="27">
        <f>E460*(Presion_cilindro!O452/Presion_cilindro!O453)^Presion_cilindro!$B$9+10*(Presion_cilindro!$B$9-1)*Presion_cilindro!$B$33*(IF(Presion_cilindro!N453&gt;(-E$4+Presion_cilindro!$B$34),1-EXP(-Presion_cilindro!$B$16*((Presion_cilindro!N453-(-E$4+Presion_cilindro!$B$34))/Presion_cilindro!$B$35)^(Presion_cilindro!$B$17+1)),0)-IF(Presion_cilindro!N452&gt;(-E$4+Presion_cilindro!$B$34),1-EXP(-Presion_cilindro!$B$16*((Presion_cilindro!N452-(-E$4+Presion_cilindro!$B$34))/Presion_cilindro!$B$35)^(Presion_cilindro!$B$17+1)),0))/((Presion_cilindro!O452+Presion_cilindro!O453)/2)</f>
        <v>14.135948740780332</v>
      </c>
      <c r="F461" s="27">
        <f>F460*(Presion_cilindro!O452/Presion_cilindro!O453)^Presion_cilindro!$B$9+10*(Presion_cilindro!$B$9-1)*Presion_cilindro!$B$33*(IF(Presion_cilindro!N453&gt;(-F$4+Presion_cilindro!$B$34),1-EXP(-Presion_cilindro!$B$16*((Presion_cilindro!N453-(-F$4+Presion_cilindro!$B$34))/Presion_cilindro!$B$35)^(Presion_cilindro!$B$17+1)),0)-IF(Presion_cilindro!N452&gt;(-F$4+Presion_cilindro!$B$34),1-EXP(-Presion_cilindro!$B$16*((Presion_cilindro!N452-(-F$4+Presion_cilindro!$B$34))/Presion_cilindro!$B$35)^(Presion_cilindro!$B$17+1)),0))/((Presion_cilindro!O452+Presion_cilindro!O453)/2)</f>
        <v>13.839118544720463</v>
      </c>
      <c r="G461" s="27">
        <f>G460*(Presion_cilindro!O452/Presion_cilindro!O453)^Presion_cilindro!$B$9+10*(Presion_cilindro!$B$9-1)*Presion_cilindro!$B$33*(IF(Presion_cilindro!N453&gt;(-G$4+Presion_cilindro!$B$34),1-EXP(-Presion_cilindro!$B$16*((Presion_cilindro!N453-(-G$4+Presion_cilindro!$B$34))/Presion_cilindro!$B$35)^(Presion_cilindro!$B$17+1)),0)-IF(Presion_cilindro!N452&gt;(-G$4+Presion_cilindro!$B$34),1-EXP(-Presion_cilindro!$B$16*((Presion_cilindro!N452-(-G$4+Presion_cilindro!$B$34))/Presion_cilindro!$B$35)^(Presion_cilindro!$B$17+1)),0))/((Presion_cilindro!O452+Presion_cilindro!O453)/2)</f>
        <v>13.601773796359376</v>
      </c>
      <c r="H461" s="27">
        <f>H460*(Presion_cilindro!O452/Presion_cilindro!O453)^Presion_cilindro!$B$9+10*(Presion_cilindro!$B$9-1)*Presion_cilindro!$B$33*(IF(Presion_cilindro!N453&gt;(-H$4+Presion_cilindro!$B$34),1-EXP(-Presion_cilindro!$B$16*((Presion_cilindro!N453-(-H$4+Presion_cilindro!$B$34))/Presion_cilindro!$B$35)^(Presion_cilindro!$B$17+1)),0)-IF(Presion_cilindro!N452&gt;(-H$4+Presion_cilindro!$B$34),1-EXP(-Presion_cilindro!$B$16*((Presion_cilindro!N452-(-H$4+Presion_cilindro!$B$34))/Presion_cilindro!$B$35)^(Presion_cilindro!$B$17+1)),0))/((Presion_cilindro!O452+Presion_cilindro!O453)/2)</f>
        <v>13.459384167316585</v>
      </c>
      <c r="I461" s="27">
        <f>I460*(Presion_cilindro!O452/Presion_cilindro!O453)^Presion_cilindro!$B$9+10*(Presion_cilindro!$B$9-1)*Presion_cilindro!$B$33*(IF(Presion_cilindro!N453&gt;(-I$4+Presion_cilindro!$B$34),1-EXP(-Presion_cilindro!$B$16*((Presion_cilindro!N453-(-I$4+Presion_cilindro!$B$34))/Presion_cilindro!$B$35)^(Presion_cilindro!$B$17+1)),0)-IF(Presion_cilindro!N452&gt;(-I$4+Presion_cilindro!$B$34),1-EXP(-Presion_cilindro!$B$16*((Presion_cilindro!N452-(-I$4+Presion_cilindro!$B$34))/Presion_cilindro!$B$35)^(Presion_cilindro!$B$17+1)),0))/((Presion_cilindro!O452+Presion_cilindro!O453)/2)</f>
        <v>13.425135212993192</v>
      </c>
      <c r="J461" s="27">
        <f>J460*(Presion_cilindro!O452/Presion_cilindro!O453)^Presion_cilindro!$B$9+10*(Presion_cilindro!$B$9-1)*Presion_cilindro!$B$33*(IF(Presion_cilindro!N453&gt;(-J$4+Presion_cilindro!$B$34),1-EXP(-Presion_cilindro!$B$16*((Presion_cilindro!N453-(-J$4+Presion_cilindro!$B$34))/Presion_cilindro!$B$35)^(Presion_cilindro!$B$17+1)),0)-IF(Presion_cilindro!N452&gt;(-J$4+Presion_cilindro!$B$34),1-EXP(-Presion_cilindro!$B$16*((Presion_cilindro!N452-(-J$4+Presion_cilindro!$B$34))/Presion_cilindro!$B$35)^(Presion_cilindro!$B$17+1)),0))/((Presion_cilindro!O452+Presion_cilindro!O453)/2)</f>
        <v>13.501652542714499</v>
      </c>
      <c r="K461" s="27">
        <f>K460*(Presion_cilindro!O452/Presion_cilindro!O453)^Presion_cilindro!$B$9+10*(Presion_cilindro!$B$9-1)*Presion_cilindro!$B$33*(IF(Presion_cilindro!N453&gt;(-K$4+Presion_cilindro!$B$34),1-EXP(-Presion_cilindro!$B$16*((Presion_cilindro!N453-(-K$4+Presion_cilindro!$B$34))/Presion_cilindro!$B$35)^(Presion_cilindro!$B$17+1)),0)-IF(Presion_cilindro!N452&gt;(-K$4+Presion_cilindro!$B$34),1-EXP(-Presion_cilindro!$B$16*((Presion_cilindro!N452-(-K$4+Presion_cilindro!$B$34))/Presion_cilindro!$B$35)^(Presion_cilindro!$B$17+1)),0))/((Presion_cilindro!O452+Presion_cilindro!O453)/2)</f>
        <v>13.683600789123735</v>
      </c>
      <c r="L461" s="27">
        <f>L460*(Presion_cilindro!O452/Presion_cilindro!O453)^Presion_cilindro!$B$9+10*(Presion_cilindro!$B$9-1)*Presion_cilindro!$B$33*(IF(Presion_cilindro!N453&gt;(-L$4+Presion_cilindro!$B$34),1-EXP(-Presion_cilindro!$B$16*((Presion_cilindro!N453-(-L$4+Presion_cilindro!$B$34))/Presion_cilindro!$B$35)^(Presion_cilindro!$B$17+1)),0)-IF(Presion_cilindro!N452&gt;(-L$4+Presion_cilindro!$B$34),1-EXP(-Presion_cilindro!$B$16*((Presion_cilindro!N452-(-L$4+Presion_cilindro!$B$34))/Presion_cilindro!$B$35)^(Presion_cilindro!$B$17+1)),0))/((Presion_cilindro!O452+Presion_cilindro!O453)/2)</f>
        <v>13.959206275902147</v>
      </c>
      <c r="M461" s="27">
        <f>M460*(Presion_cilindro!O452/Presion_cilindro!O453)^Presion_cilindro!$B$9+10*(Presion_cilindro!$B$9-1)*Presion_cilindro!$B$33*(IF(Presion_cilindro!N453&gt;(-M$4+Presion_cilindro!$B$34),1-EXP(-Presion_cilindro!$B$16*((Presion_cilindro!N453-(-M$4+Presion_cilindro!$B$34))/Presion_cilindro!$B$35)^(Presion_cilindro!$B$17+1)),0)-IF(Presion_cilindro!N452&gt;(-M$4+Presion_cilindro!$B$34),1-EXP(-Presion_cilindro!$B$16*((Presion_cilindro!N452-(-M$4+Presion_cilindro!$B$34))/Presion_cilindro!$B$35)^(Presion_cilindro!$B$17+1)),0))/((Presion_cilindro!O452+Presion_cilindro!O453)/2)</f>
        <v>14.312466088918606</v>
      </c>
      <c r="N461" s="27">
        <f>N460*(Presion_cilindro!O452/Presion_cilindro!O453)^Presion_cilindro!$B$9+10*(Presion_cilindro!$B$9-1)*Presion_cilindro!$B$33*(IF(Presion_cilindro!N453&gt;(-N$4+Presion_cilindro!$B$34),1-EXP(-Presion_cilindro!$B$16*((Presion_cilindro!N453-(-N$4+Presion_cilindro!$B$34))/Presion_cilindro!$B$35)^(Presion_cilindro!$B$17+1)),0)-IF(Presion_cilindro!N452&gt;(-N$4+Presion_cilindro!$B$34),1-EXP(-Presion_cilindro!$B$16*((Presion_cilindro!N452-(-N$4+Presion_cilindro!$B$34))/Presion_cilindro!$B$35)^(Presion_cilindro!$B$17+1)),0))/((Presion_cilindro!O452+Presion_cilindro!O453)/2)</f>
        <v>14.725659832938252</v>
      </c>
    </row>
    <row r="462" spans="1:14" x14ac:dyDescent="0.25">
      <c r="A462" s="21">
        <f>Presion_cilindro!N454</f>
        <v>45</v>
      </c>
      <c r="B462" s="27">
        <f>B461*(Presion_cilindro!O453/Presion_cilindro!O454)^Presion_cilindro!$B$9+10*(Presion_cilindro!$B$9-1)*Presion_cilindro!$B$33*(IF(Presion_cilindro!N454&gt;(-B$4+Presion_cilindro!$B$34),1-EXP(-Presion_cilindro!$B$16*((Presion_cilindro!N454-(-B$4+Presion_cilindro!$B$34))/Presion_cilindro!$B$35)^(Presion_cilindro!$B$17+1)),0)-IF(Presion_cilindro!N453&gt;(-B$4+Presion_cilindro!$B$34),1-EXP(-Presion_cilindro!$B$16*((Presion_cilindro!N453-(-B$4+Presion_cilindro!$B$34))/Presion_cilindro!$B$35)^(Presion_cilindro!$B$17+1)),0))/((Presion_cilindro!O453+Presion_cilindro!O454)/2)</f>
        <v>13.843991338723393</v>
      </c>
      <c r="C462" s="27">
        <f>C461*(Presion_cilindro!O453/Presion_cilindro!O454)^Presion_cilindro!$B$9+10*(Presion_cilindro!$B$9-1)*Presion_cilindro!$B$33*(IF(Presion_cilindro!N454&gt;(-C$4+Presion_cilindro!$B$34),1-EXP(-Presion_cilindro!$B$16*((Presion_cilindro!N454-(-C$4+Presion_cilindro!$B$34))/Presion_cilindro!$B$35)^(Presion_cilindro!$B$17+1)),0)-IF(Presion_cilindro!N453&gt;(-C$4+Presion_cilindro!$B$34),1-EXP(-Presion_cilindro!$B$16*((Presion_cilindro!N453-(-C$4+Presion_cilindro!$B$34))/Presion_cilindro!$B$35)^(Presion_cilindro!$B$17+1)),0))/((Presion_cilindro!O453+Presion_cilindro!O454)/2)</f>
        <v>14.252477066149492</v>
      </c>
      <c r="D462" s="27">
        <f>D461*(Presion_cilindro!O453/Presion_cilindro!O454)^Presion_cilindro!$B$9+10*(Presion_cilindro!$B$9-1)*Presion_cilindro!$B$33*(IF(Presion_cilindro!N454&gt;(-D$4+Presion_cilindro!$B$34),1-EXP(-Presion_cilindro!$B$16*((Presion_cilindro!N454-(-D$4+Presion_cilindro!$B$34))/Presion_cilindro!$B$35)^(Presion_cilindro!$B$17+1)),0)-IF(Presion_cilindro!N453&gt;(-D$4+Presion_cilindro!$B$34),1-EXP(-Presion_cilindro!$B$16*((Presion_cilindro!N453-(-D$4+Presion_cilindro!$B$34))/Presion_cilindro!$B$35)^(Presion_cilindro!$B$17+1)),0))/((Presion_cilindro!O453+Presion_cilindro!O454)/2)</f>
        <v>14.179650102011705</v>
      </c>
      <c r="E462" s="27">
        <f>E461*(Presion_cilindro!O453/Presion_cilindro!O454)^Presion_cilindro!$B$9+10*(Presion_cilindro!$B$9-1)*Presion_cilindro!$B$33*(IF(Presion_cilindro!N454&gt;(-E$4+Presion_cilindro!$B$34),1-EXP(-Presion_cilindro!$B$16*((Presion_cilindro!N454-(-E$4+Presion_cilindro!$B$34))/Presion_cilindro!$B$35)^(Presion_cilindro!$B$17+1)),0)-IF(Presion_cilindro!N453&gt;(-E$4+Presion_cilindro!$B$34),1-EXP(-Presion_cilindro!$B$16*((Presion_cilindro!N453-(-E$4+Presion_cilindro!$B$34))/Presion_cilindro!$B$35)^(Presion_cilindro!$B$17+1)),0))/((Presion_cilindro!O453+Presion_cilindro!O454)/2)</f>
        <v>13.90442796404828</v>
      </c>
      <c r="F462" s="27">
        <f>F461*(Presion_cilindro!O453/Presion_cilindro!O454)^Presion_cilindro!$B$9+10*(Presion_cilindro!$B$9-1)*Presion_cilindro!$B$33*(IF(Presion_cilindro!N454&gt;(-F$4+Presion_cilindro!$B$34),1-EXP(-Presion_cilindro!$B$16*((Presion_cilindro!N454-(-F$4+Presion_cilindro!$B$34))/Presion_cilindro!$B$35)^(Presion_cilindro!$B$17+1)),0)-IF(Presion_cilindro!N453&gt;(-F$4+Presion_cilindro!$B$34),1-EXP(-Presion_cilindro!$B$16*((Presion_cilindro!N453-(-F$4+Presion_cilindro!$B$34))/Presion_cilindro!$B$35)^(Presion_cilindro!$B$17+1)),0))/((Presion_cilindro!O453+Presion_cilindro!O454)/2)</f>
        <v>13.608177487424213</v>
      </c>
      <c r="G462" s="27">
        <f>G461*(Presion_cilindro!O453/Presion_cilindro!O454)^Presion_cilindro!$B$9+10*(Presion_cilindro!$B$9-1)*Presion_cilindro!$B$33*(IF(Presion_cilindro!N454&gt;(-G$4+Presion_cilindro!$B$34),1-EXP(-Presion_cilindro!$B$16*((Presion_cilindro!N454-(-G$4+Presion_cilindro!$B$34))/Presion_cilindro!$B$35)^(Presion_cilindro!$B$17+1)),0)-IF(Presion_cilindro!N453&gt;(-G$4+Presion_cilindro!$B$34),1-EXP(-Presion_cilindro!$B$16*((Presion_cilindro!N453-(-G$4+Presion_cilindro!$B$34))/Presion_cilindro!$B$35)^(Presion_cilindro!$B$17+1)),0))/((Presion_cilindro!O453+Presion_cilindro!O454)/2)</f>
        <v>13.373935235342627</v>
      </c>
      <c r="H462" s="27">
        <f>H461*(Presion_cilindro!O453/Presion_cilindro!O454)^Presion_cilindro!$B$9+10*(Presion_cilindro!$B$9-1)*Presion_cilindro!$B$33*(IF(Presion_cilindro!N454&gt;(-H$4+Presion_cilindro!$B$34),1-EXP(-Presion_cilindro!$B$16*((Presion_cilindro!N454-(-H$4+Presion_cilindro!$B$34))/Presion_cilindro!$B$35)^(Presion_cilindro!$B$17+1)),0)-IF(Presion_cilindro!N453&gt;(-H$4+Presion_cilindro!$B$34),1-EXP(-Presion_cilindro!$B$16*((Presion_cilindro!N453-(-H$4+Presion_cilindro!$B$34))/Presion_cilindro!$B$35)^(Presion_cilindro!$B$17+1)),0))/((Presion_cilindro!O453+Presion_cilindro!O454)/2)</f>
        <v>13.233813969586238</v>
      </c>
      <c r="I462" s="27">
        <f>I461*(Presion_cilindro!O453/Presion_cilindro!O454)^Presion_cilindro!$B$9+10*(Presion_cilindro!$B$9-1)*Presion_cilindro!$B$33*(IF(Presion_cilindro!N454&gt;(-I$4+Presion_cilindro!$B$34),1-EXP(-Presion_cilindro!$B$16*((Presion_cilindro!N454-(-I$4+Presion_cilindro!$B$34))/Presion_cilindro!$B$35)^(Presion_cilindro!$B$17+1)),0)-IF(Presion_cilindro!N453&gt;(-I$4+Presion_cilindro!$B$34),1-EXP(-Presion_cilindro!$B$16*((Presion_cilindro!N453-(-I$4+Presion_cilindro!$B$34))/Presion_cilindro!$B$35)^(Presion_cilindro!$B$17+1)),0))/((Presion_cilindro!O453+Presion_cilindro!O454)/2)</f>
        <v>13.200128479588745</v>
      </c>
      <c r="J462" s="27">
        <f>J461*(Presion_cilindro!O453/Presion_cilindro!O454)^Presion_cilindro!$B$9+10*(Presion_cilindro!$B$9-1)*Presion_cilindro!$B$33*(IF(Presion_cilindro!N454&gt;(-J$4+Presion_cilindro!$B$34),1-EXP(-Presion_cilindro!$B$16*((Presion_cilindro!N454-(-J$4+Presion_cilindro!$B$34))/Presion_cilindro!$B$35)^(Presion_cilindro!$B$17+1)),0)-IF(Presion_cilindro!N453&gt;(-J$4+Presion_cilindro!$B$34),1-EXP(-Presion_cilindro!$B$16*((Presion_cilindro!N453-(-J$4+Presion_cilindro!$B$34))/Presion_cilindro!$B$35)^(Presion_cilindro!$B$17+1)),0))/((Presion_cilindro!O453+Presion_cilindro!O454)/2)</f>
        <v>13.275362757516238</v>
      </c>
      <c r="K462" s="27">
        <f>K461*(Presion_cilindro!O453/Presion_cilindro!O454)^Presion_cilindro!$B$9+10*(Presion_cilindro!$B$9-1)*Presion_cilindro!$B$33*(IF(Presion_cilindro!N454&gt;(-K$4+Presion_cilindro!$B$34),1-EXP(-Presion_cilindro!$B$16*((Presion_cilindro!N454-(-K$4+Presion_cilindro!$B$34))/Presion_cilindro!$B$35)^(Presion_cilindro!$B$17+1)),0)-IF(Presion_cilindro!N453&gt;(-K$4+Presion_cilindro!$B$34),1-EXP(-Presion_cilindro!$B$16*((Presion_cilindro!N453-(-K$4+Presion_cilindro!$B$34))/Presion_cilindro!$B$35)^(Presion_cilindro!$B$17+1)),0))/((Presion_cilindro!O453+Presion_cilindro!O454)/2)</f>
        <v>13.454261500710945</v>
      </c>
      <c r="L462" s="27">
        <f>L461*(Presion_cilindro!O453/Presion_cilindro!O454)^Presion_cilindro!$B$9+10*(Presion_cilindro!$B$9-1)*Presion_cilindro!$B$33*(IF(Presion_cilindro!N454&gt;(-L$4+Presion_cilindro!$B$34),1-EXP(-Presion_cilindro!$B$16*((Presion_cilindro!N454-(-L$4+Presion_cilindro!$B$34))/Presion_cilindro!$B$35)^(Presion_cilindro!$B$17+1)),0)-IF(Presion_cilindro!N453&gt;(-L$4+Presion_cilindro!$B$34),1-EXP(-Presion_cilindro!$B$16*((Presion_cilindro!N453-(-L$4+Presion_cilindro!$B$34))/Presion_cilindro!$B$35)^(Presion_cilindro!$B$17+1)),0))/((Presion_cilindro!O453+Presion_cilindro!O454)/2)</f>
        <v>13.725247795941396</v>
      </c>
      <c r="M462" s="27">
        <f>M461*(Presion_cilindro!O453/Presion_cilindro!O454)^Presion_cilindro!$B$9+10*(Presion_cilindro!$B$9-1)*Presion_cilindro!$B$33*(IF(Presion_cilindro!N454&gt;(-M$4+Presion_cilindro!$B$34),1-EXP(-Presion_cilindro!$B$16*((Presion_cilindro!N454-(-M$4+Presion_cilindro!$B$34))/Presion_cilindro!$B$35)^(Presion_cilindro!$B$17+1)),0)-IF(Presion_cilindro!N453&gt;(-M$4+Presion_cilindro!$B$34),1-EXP(-Presion_cilindro!$B$16*((Presion_cilindro!N453-(-M$4+Presion_cilindro!$B$34))/Presion_cilindro!$B$35)^(Presion_cilindro!$B$17+1)),0))/((Presion_cilindro!O453+Presion_cilindro!O454)/2)</f>
        <v>14.072586919246366</v>
      </c>
      <c r="N462" s="27">
        <f>N461*(Presion_cilindro!O453/Presion_cilindro!O454)^Presion_cilindro!$B$9+10*(Presion_cilindro!$B$9-1)*Presion_cilindro!$B$33*(IF(Presion_cilindro!N454&gt;(-N$4+Presion_cilindro!$B$34),1-EXP(-Presion_cilindro!$B$16*((Presion_cilindro!N454-(-N$4+Presion_cilindro!$B$34))/Presion_cilindro!$B$35)^(Presion_cilindro!$B$17+1)),0)-IF(Presion_cilindro!N453&gt;(-N$4+Presion_cilindro!$B$34),1-EXP(-Presion_cilindro!$B$16*((Presion_cilindro!N453-(-N$4+Presion_cilindro!$B$34))/Presion_cilindro!$B$35)^(Presion_cilindro!$B$17+1)),0))/((Presion_cilindro!O453+Presion_cilindro!O454)/2)</f>
        <v>14.478855471505613</v>
      </c>
    </row>
    <row r="463" spans="1:14" x14ac:dyDescent="0.25">
      <c r="A463" s="21">
        <f>Presion_cilindro!N455</f>
        <v>45.5</v>
      </c>
      <c r="B463" s="27">
        <f>B462*(Presion_cilindro!O454/Presion_cilindro!O455)^Presion_cilindro!$B$9+10*(Presion_cilindro!$B$9-1)*Presion_cilindro!$B$33*(IF(Presion_cilindro!N455&gt;(-B$4+Presion_cilindro!$B$34),1-EXP(-Presion_cilindro!$B$16*((Presion_cilindro!N455-(-B$4+Presion_cilindro!$B$34))/Presion_cilindro!$B$35)^(Presion_cilindro!$B$17+1)),0)-IF(Presion_cilindro!N454&gt;(-B$4+Presion_cilindro!$B$34),1-EXP(-Presion_cilindro!$B$16*((Presion_cilindro!N454-(-B$4+Presion_cilindro!$B$34))/Presion_cilindro!$B$35)^(Presion_cilindro!$B$17+1)),0))/((Presion_cilindro!O454+Presion_cilindro!O455)/2)</f>
        <v>13.724938600959501</v>
      </c>
      <c r="C463" s="27">
        <f>C462*(Presion_cilindro!O454/Presion_cilindro!O455)^Presion_cilindro!$B$9+10*(Presion_cilindro!$B$9-1)*Presion_cilindro!$B$33*(IF(Presion_cilindro!N455&gt;(-C$4+Presion_cilindro!$B$34),1-EXP(-Presion_cilindro!$B$16*((Presion_cilindro!N455-(-C$4+Presion_cilindro!$B$34))/Presion_cilindro!$B$35)^(Presion_cilindro!$B$17+1)),0)-IF(Presion_cilindro!N454&gt;(-C$4+Presion_cilindro!$B$34),1-EXP(-Presion_cilindro!$B$16*((Presion_cilindro!N454-(-C$4+Presion_cilindro!$B$34))/Presion_cilindro!$B$35)^(Presion_cilindro!$B$17+1)),0))/((Presion_cilindro!O454+Presion_cilindro!O455)/2)</f>
        <v>14.0668790121091</v>
      </c>
      <c r="D463" s="27">
        <f>D462*(Presion_cilindro!O454/Presion_cilindro!O455)^Presion_cilindro!$B$9+10*(Presion_cilindro!$B$9-1)*Presion_cilindro!$B$33*(IF(Presion_cilindro!N455&gt;(-D$4+Presion_cilindro!$B$34),1-EXP(-Presion_cilindro!$B$16*((Presion_cilindro!N455-(-D$4+Presion_cilindro!$B$34))/Presion_cilindro!$B$35)^(Presion_cilindro!$B$17+1)),0)-IF(Presion_cilindro!N454&gt;(-D$4+Presion_cilindro!$B$34),1-EXP(-Presion_cilindro!$B$16*((Presion_cilindro!N454-(-D$4+Presion_cilindro!$B$34))/Presion_cilindro!$B$35)^(Presion_cilindro!$B$17+1)),0))/((Presion_cilindro!O454+Presion_cilindro!O455)/2)</f>
        <v>13.961341248274026</v>
      </c>
      <c r="E463" s="27">
        <f>E462*(Presion_cilindro!O454/Presion_cilindro!O455)^Presion_cilindro!$B$9+10*(Presion_cilindro!$B$9-1)*Presion_cilindro!$B$33*(IF(Presion_cilindro!N455&gt;(-E$4+Presion_cilindro!$B$34),1-EXP(-Presion_cilindro!$B$16*((Presion_cilindro!N455-(-E$4+Presion_cilindro!$B$34))/Presion_cilindro!$B$35)^(Presion_cilindro!$B$17+1)),0)-IF(Presion_cilindro!N454&gt;(-E$4+Presion_cilindro!$B$34),1-EXP(-Presion_cilindro!$B$16*((Presion_cilindro!N454-(-E$4+Presion_cilindro!$B$34))/Presion_cilindro!$B$35)^(Presion_cilindro!$B$17+1)),0))/((Presion_cilindro!O454+Presion_cilindro!O455)/2)</f>
        <v>13.677205015003784</v>
      </c>
      <c r="F463" s="27">
        <f>F462*(Presion_cilindro!O454/Presion_cilindro!O455)^Presion_cilindro!$B$9+10*(Presion_cilindro!$B$9-1)*Presion_cilindro!$B$33*(IF(Presion_cilindro!N455&gt;(-F$4+Presion_cilindro!$B$34),1-EXP(-Presion_cilindro!$B$16*((Presion_cilindro!N455-(-F$4+Presion_cilindro!$B$34))/Presion_cilindro!$B$35)^(Presion_cilindro!$B$17+1)),0)-IF(Presion_cilindro!N454&gt;(-F$4+Presion_cilindro!$B$34),1-EXP(-Presion_cilindro!$B$16*((Presion_cilindro!N454-(-F$4+Presion_cilindro!$B$34))/Presion_cilindro!$B$35)^(Presion_cilindro!$B$17+1)),0))/((Presion_cilindro!O454+Presion_cilindro!O455)/2)</f>
        <v>13.382137037872564</v>
      </c>
      <c r="G463" s="27">
        <f>G462*(Presion_cilindro!O454/Presion_cilindro!O455)^Presion_cilindro!$B$9+10*(Presion_cilindro!$B$9-1)*Presion_cilindro!$B$33*(IF(Presion_cilindro!N455&gt;(-G$4+Presion_cilindro!$B$34),1-EXP(-Presion_cilindro!$B$16*((Presion_cilindro!N455-(-G$4+Presion_cilindro!$B$34))/Presion_cilindro!$B$35)^(Presion_cilindro!$B$17+1)),0)-IF(Presion_cilindro!N454&gt;(-G$4+Presion_cilindro!$B$34),1-EXP(-Presion_cilindro!$B$16*((Presion_cilindro!N454-(-G$4+Presion_cilindro!$B$34))/Presion_cilindro!$B$35)^(Presion_cilindro!$B$17+1)),0))/((Presion_cilindro!O454+Presion_cilindro!O455)/2)</f>
        <v>13.151079582788228</v>
      </c>
      <c r="H463" s="27">
        <f>H462*(Presion_cilindro!O454/Presion_cilindro!O455)^Presion_cilindro!$B$9+10*(Presion_cilindro!$B$9-1)*Presion_cilindro!$B$33*(IF(Presion_cilindro!N455&gt;(-H$4+Presion_cilindro!$B$34),1-EXP(-Presion_cilindro!$B$16*((Presion_cilindro!N455-(-H$4+Presion_cilindro!$B$34))/Presion_cilindro!$B$35)^(Presion_cilindro!$B$17+1)),0)-IF(Presion_cilindro!N454&gt;(-H$4+Presion_cilindro!$B$34),1-EXP(-Presion_cilindro!$B$16*((Presion_cilindro!N454-(-H$4+Presion_cilindro!$B$34))/Presion_cilindro!$B$35)^(Presion_cilindro!$B$17+1)),0))/((Presion_cilindro!O454+Presion_cilindro!O455)/2)</f>
        <v>13.013200934957858</v>
      </c>
      <c r="I463" s="27">
        <f>I462*(Presion_cilindro!O454/Presion_cilindro!O455)^Presion_cilindro!$B$9+10*(Presion_cilindro!$B$9-1)*Presion_cilindro!$B$33*(IF(Presion_cilindro!N455&gt;(-I$4+Presion_cilindro!$B$34),1-EXP(-Presion_cilindro!$B$16*((Presion_cilindro!N455-(-I$4+Presion_cilindro!$B$34))/Presion_cilindro!$B$35)^(Presion_cilindro!$B$17+1)),0)-IF(Presion_cilindro!N454&gt;(-I$4+Presion_cilindro!$B$34),1-EXP(-Presion_cilindro!$B$16*((Presion_cilindro!N454-(-I$4+Presion_cilindro!$B$34))/Presion_cilindro!$B$35)^(Presion_cilindro!$B$17+1)),0))/((Presion_cilindro!O454+Presion_cilindro!O455)/2)</f>
        <v>12.980069023353792</v>
      </c>
      <c r="J463" s="27">
        <f>J462*(Presion_cilindro!O454/Presion_cilindro!O455)^Presion_cilindro!$B$9+10*(Presion_cilindro!$B$9-1)*Presion_cilindro!$B$33*(IF(Presion_cilindro!N455&gt;(-J$4+Presion_cilindro!$B$34),1-EXP(-Presion_cilindro!$B$16*((Presion_cilindro!N455-(-J$4+Presion_cilindro!$B$34))/Presion_cilindro!$B$35)^(Presion_cilindro!$B$17+1)),0)-IF(Presion_cilindro!N454&gt;(-J$4+Presion_cilindro!$B$34),1-EXP(-Presion_cilindro!$B$16*((Presion_cilindro!N454-(-J$4+Presion_cilindro!$B$34))/Presion_cilindro!$B$35)^(Presion_cilindro!$B$17+1)),0))/((Presion_cilindro!O454+Presion_cilindro!O455)/2)</f>
        <v>13.054048626138231</v>
      </c>
      <c r="K463" s="27">
        <f>K462*(Presion_cilindro!O454/Presion_cilindro!O455)^Presion_cilindro!$B$9+10*(Presion_cilindro!$B$9-1)*Presion_cilindro!$B$33*(IF(Presion_cilindro!N455&gt;(-K$4+Presion_cilindro!$B$34),1-EXP(-Presion_cilindro!$B$16*((Presion_cilindro!N455-(-K$4+Presion_cilindro!$B$34))/Presion_cilindro!$B$35)^(Presion_cilindro!$B$17+1)),0)-IF(Presion_cilindro!N454&gt;(-K$4+Presion_cilindro!$B$34),1-EXP(-Presion_cilindro!$B$16*((Presion_cilindro!N454-(-K$4+Presion_cilindro!$B$34))/Presion_cilindro!$B$35)^(Presion_cilindro!$B$17+1)),0))/((Presion_cilindro!O454+Presion_cilindro!O455)/2)</f>
        <v>13.229964925350515</v>
      </c>
      <c r="L463" s="27">
        <f>L462*(Presion_cilindro!O454/Presion_cilindro!O455)^Presion_cilindro!$B$9+10*(Presion_cilindro!$B$9-1)*Presion_cilindro!$B$33*(IF(Presion_cilindro!N455&gt;(-L$4+Presion_cilindro!$B$34),1-EXP(-Presion_cilindro!$B$16*((Presion_cilindro!N455-(-L$4+Presion_cilindro!$B$34))/Presion_cilindro!$B$35)^(Presion_cilindro!$B$17+1)),0)-IF(Presion_cilindro!N454&gt;(-L$4+Presion_cilindro!$B$34),1-EXP(-Presion_cilindro!$B$16*((Presion_cilindro!N454-(-L$4+Presion_cilindro!$B$34))/Presion_cilindro!$B$35)^(Presion_cilindro!$B$17+1)),0))/((Presion_cilindro!O454+Presion_cilindro!O455)/2)</f>
        <v>13.496433596002834</v>
      </c>
      <c r="M463" s="27">
        <f>M462*(Presion_cilindro!O454/Presion_cilindro!O455)^Presion_cilindro!$B$9+10*(Presion_cilindro!$B$9-1)*Presion_cilindro!$B$33*(IF(Presion_cilindro!N455&gt;(-M$4+Presion_cilindro!$B$34),1-EXP(-Presion_cilindro!$B$16*((Presion_cilindro!N455-(-M$4+Presion_cilindro!$B$34))/Presion_cilindro!$B$35)^(Presion_cilindro!$B$17+1)),0)-IF(Presion_cilindro!N454&gt;(-M$4+Presion_cilindro!$B$34),1-EXP(-Presion_cilindro!$B$16*((Presion_cilindro!N454-(-M$4+Presion_cilindro!$B$34))/Presion_cilindro!$B$35)^(Presion_cilindro!$B$17+1)),0))/((Presion_cilindro!O454+Presion_cilindro!O455)/2)</f>
        <v>13.837982213748607</v>
      </c>
      <c r="N463" s="27">
        <f>N462*(Presion_cilindro!O454/Presion_cilindro!O455)^Presion_cilindro!$B$9+10*(Presion_cilindro!$B$9-1)*Presion_cilindro!$B$33*(IF(Presion_cilindro!N455&gt;(-N$4+Presion_cilindro!$B$34),1-EXP(-Presion_cilindro!$B$16*((Presion_cilindro!N455-(-N$4+Presion_cilindro!$B$34))/Presion_cilindro!$B$35)^(Presion_cilindro!$B$17+1)),0)-IF(Presion_cilindro!N454&gt;(-N$4+Presion_cilindro!$B$34),1-EXP(-Presion_cilindro!$B$16*((Presion_cilindro!N454-(-N$4+Presion_cilindro!$B$34))/Presion_cilindro!$B$35)^(Presion_cilindro!$B$17+1)),0))/((Presion_cilindro!O454+Presion_cilindro!O455)/2)</f>
        <v>14.237477845392537</v>
      </c>
    </row>
    <row r="464" spans="1:14" x14ac:dyDescent="0.25">
      <c r="A464" s="21">
        <f>Presion_cilindro!N456</f>
        <v>46</v>
      </c>
      <c r="B464" s="27">
        <f>B463*(Presion_cilindro!O455/Presion_cilindro!O456)^Presion_cilindro!$B$9+10*(Presion_cilindro!$B$9-1)*Presion_cilindro!$B$33*(IF(Presion_cilindro!N456&gt;(-B$4+Presion_cilindro!$B$34),1-EXP(-Presion_cilindro!$B$16*((Presion_cilindro!N456-(-B$4+Presion_cilindro!$B$34))/Presion_cilindro!$B$35)^(Presion_cilindro!$B$17+1)),0)-IF(Presion_cilindro!N455&gt;(-B$4+Presion_cilindro!$B$34),1-EXP(-Presion_cilindro!$B$16*((Presion_cilindro!N455-(-B$4+Presion_cilindro!$B$34))/Presion_cilindro!$B$35)^(Presion_cilindro!$B$17+1)),0))/((Presion_cilindro!O455+Presion_cilindro!O456)/2)</f>
        <v>13.60086521917369</v>
      </c>
      <c r="C464" s="27">
        <f>C463*(Presion_cilindro!O455/Presion_cilindro!O456)^Presion_cilindro!$B$9+10*(Presion_cilindro!$B$9-1)*Presion_cilindro!$B$33*(IF(Presion_cilindro!N456&gt;(-C$4+Presion_cilindro!$B$34),1-EXP(-Presion_cilindro!$B$16*((Presion_cilindro!N456-(-C$4+Presion_cilindro!$B$34))/Presion_cilindro!$B$35)^(Presion_cilindro!$B$17+1)),0)-IF(Presion_cilindro!N455&gt;(-C$4+Presion_cilindro!$B$34),1-EXP(-Presion_cilindro!$B$16*((Presion_cilindro!N455-(-C$4+Presion_cilindro!$B$34))/Presion_cilindro!$B$35)^(Presion_cilindro!$B$17+1)),0))/((Presion_cilindro!O455+Presion_cilindro!O456)/2)</f>
        <v>13.880473872081929</v>
      </c>
      <c r="D464" s="27">
        <f>D463*(Presion_cilindro!O455/Presion_cilindro!O456)^Presion_cilindro!$B$9+10*(Presion_cilindro!$B$9-1)*Presion_cilindro!$B$33*(IF(Presion_cilindro!N456&gt;(-D$4+Presion_cilindro!$B$34),1-EXP(-Presion_cilindro!$B$16*((Presion_cilindro!N456-(-D$4+Presion_cilindro!$B$34))/Presion_cilindro!$B$35)^(Presion_cilindro!$B$17+1)),0)-IF(Presion_cilindro!N455&gt;(-D$4+Presion_cilindro!$B$34),1-EXP(-Presion_cilindro!$B$16*((Presion_cilindro!N455-(-D$4+Presion_cilindro!$B$34))/Presion_cilindro!$B$35)^(Presion_cilindro!$B$17+1)),0))/((Presion_cilindro!O455+Presion_cilindro!O456)/2)</f>
        <v>13.745644637619755</v>
      </c>
      <c r="E464" s="27">
        <f>E463*(Presion_cilindro!O455/Presion_cilindro!O456)^Presion_cilindro!$B$9+10*(Presion_cilindro!$B$9-1)*Presion_cilindro!$B$33*(IF(Presion_cilindro!N456&gt;(-E$4+Presion_cilindro!$B$34),1-EXP(-Presion_cilindro!$B$16*((Presion_cilindro!N456-(-E$4+Presion_cilindro!$B$34))/Presion_cilindro!$B$35)^(Presion_cilindro!$B$17+1)),0)-IF(Presion_cilindro!N455&gt;(-E$4+Presion_cilindro!$B$34),1-EXP(-Presion_cilindro!$B$16*((Presion_cilindro!N455-(-E$4+Presion_cilindro!$B$34))/Presion_cilindro!$B$35)^(Presion_cilindro!$B$17+1)),0))/((Presion_cilindro!O455+Presion_cilindro!O456)/2)</f>
        <v>13.454295036670862</v>
      </c>
      <c r="F464" s="27">
        <f>F463*(Presion_cilindro!O455/Presion_cilindro!O456)^Presion_cilindro!$B$9+10*(Presion_cilindro!$B$9-1)*Presion_cilindro!$B$33*(IF(Presion_cilindro!N456&gt;(-F$4+Presion_cilindro!$B$34),1-EXP(-Presion_cilindro!$B$16*((Presion_cilindro!N456-(-F$4+Presion_cilindro!$B$34))/Presion_cilindro!$B$35)^(Presion_cilindro!$B$17+1)),0)-IF(Presion_cilindro!N455&gt;(-F$4+Presion_cilindro!$B$34),1-EXP(-Presion_cilindro!$B$16*((Presion_cilindro!N455-(-F$4+Presion_cilindro!$B$34))/Presion_cilindro!$B$35)^(Presion_cilindro!$B$17+1)),0))/((Presion_cilindro!O455+Presion_cilindro!O456)/2)</f>
        <v>13.160920928114816</v>
      </c>
      <c r="G464" s="27">
        <f>G463*(Presion_cilindro!O455/Presion_cilindro!O456)^Presion_cilindro!$B$9+10*(Presion_cilindro!$B$9-1)*Presion_cilindro!$B$33*(IF(Presion_cilindro!N456&gt;(-G$4+Presion_cilindro!$B$34),1-EXP(-Presion_cilindro!$B$16*((Presion_cilindro!N456-(-G$4+Presion_cilindro!$B$34))/Presion_cilindro!$B$35)^(Presion_cilindro!$B$17+1)),0)-IF(Presion_cilindro!N455&gt;(-G$4+Presion_cilindro!$B$34),1-EXP(-Presion_cilindro!$B$16*((Presion_cilindro!N455-(-G$4+Presion_cilindro!$B$34))/Presion_cilindro!$B$35)^(Presion_cilindro!$B$17+1)),0))/((Presion_cilindro!O455+Presion_cilindro!O456)/2)</f>
        <v>12.933104263221258</v>
      </c>
      <c r="H464" s="27">
        <f>H463*(Presion_cilindro!O455/Presion_cilindro!O456)^Presion_cilindro!$B$9+10*(Presion_cilindro!$B$9-1)*Presion_cilindro!$B$33*(IF(Presion_cilindro!N456&gt;(-H$4+Presion_cilindro!$B$34),1-EXP(-Presion_cilindro!$B$16*((Presion_cilindro!N456-(-H$4+Presion_cilindro!$B$34))/Presion_cilindro!$B$35)^(Presion_cilindro!$B$17+1)),0)-IF(Presion_cilindro!N455&gt;(-H$4+Presion_cilindro!$B$34),1-EXP(-Presion_cilindro!$B$16*((Presion_cilindro!N455-(-H$4+Presion_cilindro!$B$34))/Presion_cilindro!$B$35)^(Presion_cilindro!$B$17+1)),0))/((Presion_cilindro!O455+Presion_cilindro!O456)/2)</f>
        <v>12.797438270181381</v>
      </c>
      <c r="I464" s="27">
        <f>I463*(Presion_cilindro!O455/Presion_cilindro!O456)^Presion_cilindro!$B$9+10*(Presion_cilindro!$B$9-1)*Presion_cilindro!$B$33*(IF(Presion_cilindro!N456&gt;(-I$4+Presion_cilindro!$B$34),1-EXP(-Presion_cilindro!$B$16*((Presion_cilindro!N456-(-I$4+Presion_cilindro!$B$34))/Presion_cilindro!$B$35)^(Presion_cilindro!$B$17+1)),0)-IF(Presion_cilindro!N455&gt;(-I$4+Presion_cilindro!$B$34),1-EXP(-Presion_cilindro!$B$16*((Presion_cilindro!N455-(-I$4+Presion_cilindro!$B$34))/Presion_cilindro!$B$35)^(Presion_cilindro!$B$17+1)),0))/((Presion_cilindro!O455+Presion_cilindro!O456)/2)</f>
        <v>12.764849682585545</v>
      </c>
      <c r="J464" s="27">
        <f>J463*(Presion_cilindro!O455/Presion_cilindro!O456)^Presion_cilindro!$B$9+10*(Presion_cilindro!$B$9-1)*Presion_cilindro!$B$33*(IF(Presion_cilindro!N456&gt;(-J$4+Presion_cilindro!$B$34),1-EXP(-Presion_cilindro!$B$16*((Presion_cilindro!N456-(-J$4+Presion_cilindro!$B$34))/Presion_cilindro!$B$35)^(Presion_cilindro!$B$17+1)),0)-IF(Presion_cilindro!N455&gt;(-J$4+Presion_cilindro!$B$34),1-EXP(-Presion_cilindro!$B$16*((Presion_cilindro!N455-(-J$4+Presion_cilindro!$B$34))/Presion_cilindro!$B$35)^(Presion_cilindro!$B$17+1)),0))/((Presion_cilindro!O455+Presion_cilindro!O456)/2)</f>
        <v>12.837602327817347</v>
      </c>
      <c r="K464" s="27">
        <f>K463*(Presion_cilindro!O455/Presion_cilindro!O456)^Presion_cilindro!$B$9+10*(Presion_cilindro!$B$9-1)*Presion_cilindro!$B$33*(IF(Presion_cilindro!N456&gt;(-K$4+Presion_cilindro!$B$34),1-EXP(-Presion_cilindro!$B$16*((Presion_cilindro!N456-(-K$4+Presion_cilindro!$B$34))/Presion_cilindro!$B$35)^(Presion_cilindro!$B$17+1)),0)-IF(Presion_cilindro!N455&gt;(-K$4+Presion_cilindro!$B$34),1-EXP(-Presion_cilindro!$B$16*((Presion_cilindro!N455-(-K$4+Presion_cilindro!$B$34))/Presion_cilindro!$B$35)^(Presion_cilindro!$B$17+1)),0))/((Presion_cilindro!O455+Presion_cilindro!O456)/2)</f>
        <v>13.010601787059121</v>
      </c>
      <c r="L464" s="27">
        <f>L463*(Presion_cilindro!O455/Presion_cilindro!O456)^Presion_cilindro!$B$9+10*(Presion_cilindro!$B$9-1)*Presion_cilindro!$B$33*(IF(Presion_cilindro!N456&gt;(-L$4+Presion_cilindro!$B$34),1-EXP(-Presion_cilindro!$B$16*((Presion_cilindro!N456-(-L$4+Presion_cilindro!$B$34))/Presion_cilindro!$B$35)^(Presion_cilindro!$B$17+1)),0)-IF(Presion_cilindro!N455&gt;(-L$4+Presion_cilindro!$B$34),1-EXP(-Presion_cilindro!$B$16*((Presion_cilindro!N455-(-L$4+Presion_cilindro!$B$34))/Presion_cilindro!$B$35)^(Presion_cilindro!$B$17+1)),0))/((Presion_cilindro!O455+Presion_cilindro!O456)/2)</f>
        <v>13.272652199081483</v>
      </c>
      <c r="M464" s="27">
        <f>M463*(Presion_cilindro!O455/Presion_cilindro!O456)^Presion_cilindro!$B$9+10*(Presion_cilindro!$B$9-1)*Presion_cilindro!$B$33*(IF(Presion_cilindro!N456&gt;(-M$4+Presion_cilindro!$B$34),1-EXP(-Presion_cilindro!$B$16*((Presion_cilindro!N456-(-M$4+Presion_cilindro!$B$34))/Presion_cilindro!$B$35)^(Presion_cilindro!$B$17+1)),0)-IF(Presion_cilindro!N455&gt;(-M$4+Presion_cilindro!$B$34),1-EXP(-Presion_cilindro!$B$16*((Presion_cilindro!N455-(-M$4+Presion_cilindro!$B$34))/Presion_cilindro!$B$35)^(Presion_cilindro!$B$17+1)),0))/((Presion_cilindro!O455+Presion_cilindro!O456)/2)</f>
        <v>13.608537674317279</v>
      </c>
      <c r="N464" s="27">
        <f>N463*(Presion_cilindro!O455/Presion_cilindro!O456)^Presion_cilindro!$B$9+10*(Presion_cilindro!$B$9-1)*Presion_cilindro!$B$33*(IF(Presion_cilindro!N456&gt;(-N$4+Presion_cilindro!$B$34),1-EXP(-Presion_cilindro!$B$16*((Presion_cilindro!N456-(-N$4+Presion_cilindro!$B$34))/Presion_cilindro!$B$35)^(Presion_cilindro!$B$17+1)),0)-IF(Presion_cilindro!N455&gt;(-N$4+Presion_cilindro!$B$34),1-EXP(-Presion_cilindro!$B$16*((Presion_cilindro!N455-(-N$4+Presion_cilindro!$B$34))/Presion_cilindro!$B$35)^(Presion_cilindro!$B$17+1)),0))/((Presion_cilindro!O455+Presion_cilindro!O456)/2)</f>
        <v>14.001409356761696</v>
      </c>
    </row>
    <row r="465" spans="1:14" x14ac:dyDescent="0.25">
      <c r="A465" s="21">
        <f>Presion_cilindro!N457</f>
        <v>46.5</v>
      </c>
      <c r="B465" s="27">
        <f>B464*(Presion_cilindro!O456/Presion_cilindro!O457)^Presion_cilindro!$B$9+10*(Presion_cilindro!$B$9-1)*Presion_cilindro!$B$33*(IF(Presion_cilindro!N457&gt;(-B$4+Presion_cilindro!$B$34),1-EXP(-Presion_cilindro!$B$16*((Presion_cilindro!N457-(-B$4+Presion_cilindro!$B$34))/Presion_cilindro!$B$35)^(Presion_cilindro!$B$17+1)),0)-IF(Presion_cilindro!N456&gt;(-B$4+Presion_cilindro!$B$34),1-EXP(-Presion_cilindro!$B$16*((Presion_cilindro!N456-(-B$4+Presion_cilindro!$B$34))/Presion_cilindro!$B$35)^(Presion_cilindro!$B$17+1)),0))/((Presion_cilindro!O456+Presion_cilindro!O457)/2)</f>
        <v>13.472202979066065</v>
      </c>
      <c r="C465" s="27">
        <f>C464*(Presion_cilindro!O456/Presion_cilindro!O457)^Presion_cilindro!$B$9+10*(Presion_cilindro!$B$9-1)*Presion_cilindro!$B$33*(IF(Presion_cilindro!N457&gt;(-C$4+Presion_cilindro!$B$34),1-EXP(-Presion_cilindro!$B$16*((Presion_cilindro!N457-(-C$4+Presion_cilindro!$B$34))/Presion_cilindro!$B$35)^(Presion_cilindro!$B$17+1)),0)-IF(Presion_cilindro!N456&gt;(-C$4+Presion_cilindro!$B$34),1-EXP(-Presion_cilindro!$B$16*((Presion_cilindro!N456-(-C$4+Presion_cilindro!$B$34))/Presion_cilindro!$B$35)^(Presion_cilindro!$B$17+1)),0))/((Presion_cilindro!O456+Presion_cilindro!O457)/2)</f>
        <v>13.693649574631912</v>
      </c>
      <c r="D465" s="27">
        <f>D464*(Presion_cilindro!O456/Presion_cilindro!O457)^Presion_cilindro!$B$9+10*(Presion_cilindro!$B$9-1)*Presion_cilindro!$B$33*(IF(Presion_cilindro!N457&gt;(-D$4+Presion_cilindro!$B$34),1-EXP(-Presion_cilindro!$B$16*((Presion_cilindro!N457-(-D$4+Presion_cilindro!$B$34))/Presion_cilindro!$B$35)^(Presion_cilindro!$B$17+1)),0)-IF(Presion_cilindro!N456&gt;(-D$4+Presion_cilindro!$B$34),1-EXP(-Presion_cilindro!$B$16*((Presion_cilindro!N456-(-D$4+Presion_cilindro!$B$34))/Presion_cilindro!$B$35)^(Presion_cilindro!$B$17+1)),0))/((Presion_cilindro!O456+Presion_cilindro!O457)/2)</f>
        <v>13.532738822293878</v>
      </c>
      <c r="E465" s="27">
        <f>E464*(Presion_cilindro!O456/Presion_cilindro!O457)^Presion_cilindro!$B$9+10*(Presion_cilindro!$B$9-1)*Presion_cilindro!$B$33*(IF(Presion_cilindro!N457&gt;(-E$4+Presion_cilindro!$B$34),1-EXP(-Presion_cilindro!$B$16*((Presion_cilindro!N457-(-E$4+Presion_cilindro!$B$34))/Presion_cilindro!$B$35)^(Presion_cilindro!$B$17+1)),0)-IF(Presion_cilindro!N456&gt;(-E$4+Presion_cilindro!$B$34),1-EXP(-Presion_cilindro!$B$16*((Presion_cilindro!N456-(-E$4+Presion_cilindro!$B$34))/Presion_cilindro!$B$35)^(Presion_cilindro!$B$17+1)),0))/((Presion_cilindro!O456+Presion_cilindro!O457)/2)</f>
        <v>13.235699196387053</v>
      </c>
      <c r="F465" s="27">
        <f>F464*(Presion_cilindro!O456/Presion_cilindro!O457)^Presion_cilindro!$B$9+10*(Presion_cilindro!$B$9-1)*Presion_cilindro!$B$33*(IF(Presion_cilindro!N457&gt;(-F$4+Presion_cilindro!$B$34),1-EXP(-Presion_cilindro!$B$16*((Presion_cilindro!N457-(-F$4+Presion_cilindro!$B$34))/Presion_cilindro!$B$35)^(Presion_cilindro!$B$17+1)),0)-IF(Presion_cilindro!N456&gt;(-F$4+Presion_cilindro!$B$34),1-EXP(-Presion_cilindro!$B$16*((Presion_cilindro!N456-(-F$4+Presion_cilindro!$B$34))/Presion_cilindro!$B$35)^(Presion_cilindro!$B$17+1)),0))/((Presion_cilindro!O456+Presion_cilindro!O457)/2)</f>
        <v>12.944448951026352</v>
      </c>
      <c r="G465" s="27">
        <f>G464*(Presion_cilindro!O456/Presion_cilindro!O457)^Presion_cilindro!$B$9+10*(Presion_cilindro!$B$9-1)*Presion_cilindro!$B$33*(IF(Presion_cilindro!N457&gt;(-G$4+Presion_cilindro!$B$34),1-EXP(-Presion_cilindro!$B$16*((Presion_cilindro!N457-(-G$4+Presion_cilindro!$B$34))/Presion_cilindro!$B$35)^(Presion_cilindro!$B$17+1)),0)-IF(Presion_cilindro!N456&gt;(-G$4+Presion_cilindro!$B$34),1-EXP(-Presion_cilindro!$B$16*((Presion_cilindro!N456-(-G$4+Presion_cilindro!$B$34))/Presion_cilindro!$B$35)^(Presion_cilindro!$B$17+1)),0))/((Presion_cilindro!O456+Presion_cilindro!O457)/2)</f>
        <v>12.719906901395674</v>
      </c>
      <c r="H465" s="27">
        <f>H464*(Presion_cilindro!O456/Presion_cilindro!O457)^Presion_cilindro!$B$9+10*(Presion_cilindro!$B$9-1)*Presion_cilindro!$B$33*(IF(Presion_cilindro!N457&gt;(-H$4+Presion_cilindro!$B$34),1-EXP(-Presion_cilindro!$B$16*((Presion_cilindro!N457-(-H$4+Presion_cilindro!$B$34))/Presion_cilindro!$B$35)^(Presion_cilindro!$B$17+1)),0)-IF(Presion_cilindro!N456&gt;(-H$4+Presion_cilindro!$B$34),1-EXP(-Presion_cilindro!$B$16*((Presion_cilindro!N456-(-H$4+Presion_cilindro!$B$34))/Presion_cilindro!$B$35)^(Presion_cilindro!$B$17+1)),0))/((Presion_cilindro!O456+Presion_cilindro!O457)/2)</f>
        <v>12.586420361218142</v>
      </c>
      <c r="I465" s="27">
        <f>I464*(Presion_cilindro!O456/Presion_cilindro!O457)^Presion_cilindro!$B$9+10*(Presion_cilindro!$B$9-1)*Presion_cilindro!$B$33*(IF(Presion_cilindro!N457&gt;(-I$4+Presion_cilindro!$B$34),1-EXP(-Presion_cilindro!$B$16*((Presion_cilindro!N457-(-I$4+Presion_cilindro!$B$34))/Presion_cilindro!$B$35)^(Presion_cilindro!$B$17+1)),0)-IF(Presion_cilindro!N456&gt;(-I$4+Presion_cilindro!$B$34),1-EXP(-Presion_cilindro!$B$16*((Presion_cilindro!N456-(-I$4+Presion_cilindro!$B$34))/Presion_cilindro!$B$35)^(Presion_cilindro!$B$17+1)),0))/((Presion_cilindro!O456+Presion_cilindro!O457)/2)</f>
        <v>12.554364614124399</v>
      </c>
      <c r="J465" s="27">
        <f>J464*(Presion_cilindro!O456/Presion_cilindro!O457)^Presion_cilindro!$B$9+10*(Presion_cilindro!$B$9-1)*Presion_cilindro!$B$33*(IF(Presion_cilindro!N457&gt;(-J$4+Presion_cilindro!$B$34),1-EXP(-Presion_cilindro!$B$16*((Presion_cilindro!N457-(-J$4+Presion_cilindro!$B$34))/Presion_cilindro!$B$35)^(Presion_cilindro!$B$17+1)),0)-IF(Presion_cilindro!N456&gt;(-J$4+Presion_cilindro!$B$34),1-EXP(-Presion_cilindro!$B$16*((Presion_cilindro!N456-(-J$4+Presion_cilindro!$B$34))/Presion_cilindro!$B$35)^(Presion_cilindro!$B$17+1)),0))/((Presion_cilindro!O456+Presion_cilindro!O457)/2)</f>
        <v>12.625917380344935</v>
      </c>
      <c r="K465" s="27">
        <f>K464*(Presion_cilindro!O456/Presion_cilindro!O457)^Presion_cilindro!$B$9+10*(Presion_cilindro!$B$9-1)*Presion_cilindro!$B$33*(IF(Presion_cilindro!N457&gt;(-K$4+Presion_cilindro!$B$34),1-EXP(-Presion_cilindro!$B$16*((Presion_cilindro!N457-(-K$4+Presion_cilindro!$B$34))/Presion_cilindro!$B$35)^(Presion_cilindro!$B$17+1)),0)-IF(Presion_cilindro!N456&gt;(-K$4+Presion_cilindro!$B$34),1-EXP(-Presion_cilindro!$B$16*((Presion_cilindro!N456-(-K$4+Presion_cilindro!$B$34))/Presion_cilindro!$B$35)^(Presion_cilindro!$B$17+1)),0))/((Presion_cilindro!O456+Presion_cilindro!O457)/2)</f>
        <v>12.796064167103548</v>
      </c>
      <c r="L465" s="27">
        <f>L464*(Presion_cilindro!O456/Presion_cilindro!O457)^Presion_cilindro!$B$9+10*(Presion_cilindro!$B$9-1)*Presion_cilindro!$B$33*(IF(Presion_cilindro!N457&gt;(-L$4+Presion_cilindro!$B$34),1-EXP(-Presion_cilindro!$B$16*((Presion_cilindro!N457-(-L$4+Presion_cilindro!$B$34))/Presion_cilindro!$B$35)^(Presion_cilindro!$B$17+1)),0)-IF(Presion_cilindro!N456&gt;(-L$4+Presion_cilindro!$B$34),1-EXP(-Presion_cilindro!$B$16*((Presion_cilindro!N456-(-L$4+Presion_cilindro!$B$34))/Presion_cilindro!$B$35)^(Presion_cilindro!$B$17+1)),0))/((Presion_cilindro!O456+Presion_cilindro!O457)/2)</f>
        <v>13.053793512779597</v>
      </c>
      <c r="M465" s="27">
        <f>M464*(Presion_cilindro!O456/Presion_cilindro!O457)^Presion_cilindro!$B$9+10*(Presion_cilindro!$B$9-1)*Presion_cilindro!$B$33*(IF(Presion_cilindro!N457&gt;(-M$4+Presion_cilindro!$B$34),1-EXP(-Presion_cilindro!$B$16*((Presion_cilindro!N457-(-M$4+Presion_cilindro!$B$34))/Presion_cilindro!$B$35)^(Presion_cilindro!$B$17+1)),0)-IF(Presion_cilindro!N456&gt;(-M$4+Presion_cilindro!$B$34),1-EXP(-Presion_cilindro!$B$16*((Presion_cilindro!N456-(-M$4+Presion_cilindro!$B$34))/Presion_cilindro!$B$35)^(Presion_cilindro!$B$17+1)),0))/((Presion_cilindro!O456+Presion_cilindro!O457)/2)</f>
        <v>13.384140422491601</v>
      </c>
      <c r="N465" s="27">
        <f>N464*(Presion_cilindro!O456/Presion_cilindro!O457)^Presion_cilindro!$B$9+10*(Presion_cilindro!$B$9-1)*Presion_cilindro!$B$33*(IF(Presion_cilindro!N457&gt;(-N$4+Presion_cilindro!$B$34),1-EXP(-Presion_cilindro!$B$16*((Presion_cilindro!N457-(-N$4+Presion_cilindro!$B$34))/Presion_cilindro!$B$35)^(Presion_cilindro!$B$17+1)),0)-IF(Presion_cilindro!N456&gt;(-N$4+Presion_cilindro!$B$34),1-EXP(-Presion_cilindro!$B$16*((Presion_cilindro!N456-(-N$4+Presion_cilindro!$B$34))/Presion_cilindro!$B$35)^(Presion_cilindro!$B$17+1)),0))/((Presion_cilindro!O456+Presion_cilindro!O457)/2)</f>
        <v>13.770533868407549</v>
      </c>
    </row>
    <row r="466" spans="1:14" x14ac:dyDescent="0.25">
      <c r="A466" s="21">
        <f>Presion_cilindro!N458</f>
        <v>47</v>
      </c>
      <c r="B466" s="27">
        <f>B465*(Presion_cilindro!O457/Presion_cilindro!O458)^Presion_cilindro!$B$9+10*(Presion_cilindro!$B$9-1)*Presion_cilindro!$B$33*(IF(Presion_cilindro!N458&gt;(-B$4+Presion_cilindro!$B$34),1-EXP(-Presion_cilindro!$B$16*((Presion_cilindro!N458-(-B$4+Presion_cilindro!$B$34))/Presion_cilindro!$B$35)^(Presion_cilindro!$B$17+1)),0)-IF(Presion_cilindro!N457&gt;(-B$4+Presion_cilindro!$B$34),1-EXP(-Presion_cilindro!$B$16*((Presion_cilindro!N457-(-B$4+Presion_cilindro!$B$34))/Presion_cilindro!$B$35)^(Presion_cilindro!$B$17+1)),0))/((Presion_cilindro!O457+Presion_cilindro!O458)/2)</f>
        <v>13.339384720793698</v>
      </c>
      <c r="C466" s="27">
        <f>C465*(Presion_cilindro!O457/Presion_cilindro!O458)^Presion_cilindro!$B$9+10*(Presion_cilindro!$B$9-1)*Presion_cilindro!$B$33*(IF(Presion_cilindro!N458&gt;(-C$4+Presion_cilindro!$B$34),1-EXP(-Presion_cilindro!$B$16*((Presion_cilindro!N458-(-C$4+Presion_cilindro!$B$34))/Presion_cilindro!$B$35)^(Presion_cilindro!$B$17+1)),0)-IF(Presion_cilindro!N457&gt;(-C$4+Presion_cilindro!$B$34),1-EXP(-Presion_cilindro!$B$16*((Presion_cilindro!N457-(-C$4+Presion_cilindro!$B$34))/Presion_cilindro!$B$35)^(Presion_cilindro!$B$17+1)),0))/((Presion_cilindro!O457+Presion_cilindro!O458)/2)</f>
        <v>13.506770791446836</v>
      </c>
      <c r="D466" s="27">
        <f>D465*(Presion_cilindro!O457/Presion_cilindro!O458)^Presion_cilindro!$B$9+10*(Presion_cilindro!$B$9-1)*Presion_cilindro!$B$33*(IF(Presion_cilindro!N458&gt;(-D$4+Presion_cilindro!$B$34),1-EXP(-Presion_cilindro!$B$16*((Presion_cilindro!N458-(-D$4+Presion_cilindro!$B$34))/Presion_cilindro!$B$35)^(Presion_cilindro!$B$17+1)),0)-IF(Presion_cilindro!N457&gt;(-D$4+Presion_cilindro!$B$34),1-EXP(-Presion_cilindro!$B$16*((Presion_cilindro!N457-(-D$4+Presion_cilindro!$B$34))/Presion_cilindro!$B$35)^(Presion_cilindro!$B$17+1)),0))/((Presion_cilindro!O457+Presion_cilindro!O458)/2)</f>
        <v>13.322778194376312</v>
      </c>
      <c r="E466" s="27">
        <f>E465*(Presion_cilindro!O457/Presion_cilindro!O458)^Presion_cilindro!$B$9+10*(Presion_cilindro!$B$9-1)*Presion_cilindro!$B$33*(IF(Presion_cilindro!N458&gt;(-E$4+Presion_cilindro!$B$34),1-EXP(-Presion_cilindro!$B$16*((Presion_cilindro!N458-(-E$4+Presion_cilindro!$B$34))/Presion_cilindro!$B$35)^(Presion_cilindro!$B$17+1)),0)-IF(Presion_cilindro!N457&gt;(-E$4+Presion_cilindro!$B$34),1-EXP(-Presion_cilindro!$B$16*((Presion_cilindro!N457-(-E$4+Presion_cilindro!$B$34))/Presion_cilindro!$B$35)^(Presion_cilindro!$B$17+1)),0))/((Presion_cilindro!O457+Presion_cilindro!O458)/2)</f>
        <v>13.021406225708956</v>
      </c>
      <c r="F466" s="27">
        <f>F465*(Presion_cilindro!O457/Presion_cilindro!O458)^Presion_cilindro!$B$9+10*(Presion_cilindro!$B$9-1)*Presion_cilindro!$B$33*(IF(Presion_cilindro!N458&gt;(-F$4+Presion_cilindro!$B$34),1-EXP(-Presion_cilindro!$B$16*((Presion_cilindro!N458-(-F$4+Presion_cilindro!$B$34))/Presion_cilindro!$B$35)^(Presion_cilindro!$B$17+1)),0)-IF(Presion_cilindro!N457&gt;(-F$4+Presion_cilindro!$B$34),1-EXP(-Presion_cilindro!$B$16*((Presion_cilindro!N457-(-F$4+Presion_cilindro!$B$34))/Presion_cilindro!$B$35)^(Presion_cilindro!$B$17+1)),0))/((Presion_cilindro!O457+Presion_cilindro!O458)/2)</f>
        <v>12.732637768763913</v>
      </c>
      <c r="G466" s="27">
        <f>G465*(Presion_cilindro!O457/Presion_cilindro!O458)^Presion_cilindro!$B$9+10*(Presion_cilindro!$B$9-1)*Presion_cilindro!$B$33*(IF(Presion_cilindro!N458&gt;(-G$4+Presion_cilindro!$B$34),1-EXP(-Presion_cilindro!$B$16*((Presion_cilindro!N458-(-G$4+Presion_cilindro!$B$34))/Presion_cilindro!$B$35)^(Presion_cilindro!$B$17+1)),0)-IF(Presion_cilindro!N457&gt;(-G$4+Presion_cilindro!$B$34),1-EXP(-Presion_cilindro!$B$16*((Presion_cilindro!N457-(-G$4+Presion_cilindro!$B$34))/Presion_cilindro!$B$35)^(Presion_cilindro!$B$17+1)),0))/((Presion_cilindro!O457+Presion_cilindro!O458)/2)</f>
        <v>12.5113856070805</v>
      </c>
      <c r="H466" s="27">
        <f>H465*(Presion_cilindro!O457/Presion_cilindro!O458)^Presion_cilindro!$B$9+10*(Presion_cilindro!$B$9-1)*Presion_cilindro!$B$33*(IF(Presion_cilindro!N458&gt;(-H$4+Presion_cilindro!$B$34),1-EXP(-Presion_cilindro!$B$16*((Presion_cilindro!N458-(-H$4+Presion_cilindro!$B$34))/Presion_cilindro!$B$35)^(Presion_cilindro!$B$17+1)),0)-IF(Presion_cilindro!N457&gt;(-H$4+Presion_cilindro!$B$34),1-EXP(-Presion_cilindro!$B$16*((Presion_cilindro!N457-(-H$4+Presion_cilindro!$B$34))/Presion_cilindro!$B$35)^(Presion_cilindro!$B$17+1)),0))/((Presion_cilindro!O457+Presion_cilindro!O458)/2)</f>
        <v>12.380042889111989</v>
      </c>
      <c r="I466" s="27">
        <f>I465*(Presion_cilindro!O457/Presion_cilindro!O458)^Presion_cilindro!$B$9+10*(Presion_cilindro!$B$9-1)*Presion_cilindro!$B$33*(IF(Presion_cilindro!N458&gt;(-I$4+Presion_cilindro!$B$34),1-EXP(-Presion_cilindro!$B$16*((Presion_cilindro!N458-(-I$4+Presion_cilindro!$B$34))/Presion_cilindro!$B$35)^(Presion_cilindro!$B$17+1)),0)-IF(Presion_cilindro!N457&gt;(-I$4+Presion_cilindro!$B$34),1-EXP(-Presion_cilindro!$B$16*((Presion_cilindro!N457-(-I$4+Presion_cilindro!$B$34))/Presion_cilindro!$B$35)^(Presion_cilindro!$B$17+1)),0))/((Presion_cilindro!O457+Presion_cilindro!O458)/2)</f>
        <v>12.348509379099813</v>
      </c>
      <c r="J466" s="27">
        <f>J465*(Presion_cilindro!O457/Presion_cilindro!O458)^Presion_cilindro!$B$9+10*(Presion_cilindro!$B$9-1)*Presion_cilindro!$B$33*(IF(Presion_cilindro!N458&gt;(-J$4+Presion_cilindro!$B$34),1-EXP(-Presion_cilindro!$B$16*((Presion_cilindro!N458-(-J$4+Presion_cilindro!$B$34))/Presion_cilindro!$B$35)^(Presion_cilindro!$B$17+1)),0)-IF(Presion_cilindro!N457&gt;(-J$4+Presion_cilindro!$B$34),1-EXP(-Presion_cilindro!$B$16*((Presion_cilindro!N457-(-J$4+Presion_cilindro!$B$34))/Presion_cilindro!$B$35)^(Presion_cilindro!$B$17+1)),0))/((Presion_cilindro!O457+Presion_cilindro!O458)/2)</f>
        <v>12.41888872319686</v>
      </c>
      <c r="K466" s="27">
        <f>K465*(Presion_cilindro!O457/Presion_cilindro!O458)^Presion_cilindro!$B$9+10*(Presion_cilindro!$B$9-1)*Presion_cilindro!$B$33*(IF(Presion_cilindro!N458&gt;(-K$4+Presion_cilindro!$B$34),1-EXP(-Presion_cilindro!$B$16*((Presion_cilindro!N458-(-K$4+Presion_cilindro!$B$34))/Presion_cilindro!$B$35)^(Presion_cilindro!$B$17+1)),0)-IF(Presion_cilindro!N457&gt;(-K$4+Presion_cilindro!$B$34),1-EXP(-Presion_cilindro!$B$16*((Presion_cilindro!N457-(-K$4+Presion_cilindro!$B$34))/Presion_cilindro!$B$35)^(Presion_cilindro!$B$17+1)),0))/((Presion_cilindro!O457+Presion_cilindro!O458)/2)</f>
        <v>12.586245588062717</v>
      </c>
      <c r="L466" s="27">
        <f>L465*(Presion_cilindro!O457/Presion_cilindro!O458)^Presion_cilindro!$B$9+10*(Presion_cilindro!$B$9-1)*Presion_cilindro!$B$33*(IF(Presion_cilindro!N458&gt;(-L$4+Presion_cilindro!$B$34),1-EXP(-Presion_cilindro!$B$16*((Presion_cilindro!N458-(-L$4+Presion_cilindro!$B$34))/Presion_cilindro!$B$35)^(Presion_cilindro!$B$17+1)),0)-IF(Presion_cilindro!N457&gt;(-L$4+Presion_cilindro!$B$34),1-EXP(-Presion_cilindro!$B$16*((Presion_cilindro!N457-(-L$4+Presion_cilindro!$B$34))/Presion_cilindro!$B$35)^(Presion_cilindro!$B$17+1)),0))/((Presion_cilindro!O457+Presion_cilindro!O458)/2)</f>
        <v>12.839748915055225</v>
      </c>
      <c r="M466" s="27">
        <f>M465*(Presion_cilindro!O457/Presion_cilindro!O458)^Presion_cilindro!$B$9+10*(Presion_cilindro!$B$9-1)*Presion_cilindro!$B$33*(IF(Presion_cilindro!N458&gt;(-M$4+Presion_cilindro!$B$34),1-EXP(-Presion_cilindro!$B$16*((Presion_cilindro!N458-(-M$4+Presion_cilindro!$B$34))/Presion_cilindro!$B$35)^(Presion_cilindro!$B$17+1)),0)-IF(Presion_cilindro!N457&gt;(-M$4+Presion_cilindro!$B$34),1-EXP(-Presion_cilindro!$B$16*((Presion_cilindro!N457-(-M$4+Presion_cilindro!$B$34))/Presion_cilindro!$B$35)^(Presion_cilindro!$B$17+1)),0))/((Presion_cilindro!O457+Presion_cilindro!O458)/2)</f>
        <v>13.164679087376504</v>
      </c>
      <c r="N466" s="27">
        <f>N465*(Presion_cilindro!O457/Presion_cilindro!O458)^Presion_cilindro!$B$9+10*(Presion_cilindro!$B$9-1)*Presion_cilindro!$B$33*(IF(Presion_cilindro!N458&gt;(-N$4+Presion_cilindro!$B$34),1-EXP(-Presion_cilindro!$B$16*((Presion_cilindro!N458-(-N$4+Presion_cilindro!$B$34))/Presion_cilindro!$B$35)^(Presion_cilindro!$B$17+1)),0)-IF(Presion_cilindro!N457&gt;(-N$4+Presion_cilindro!$B$34),1-EXP(-Presion_cilindro!$B$16*((Presion_cilindro!N457-(-N$4+Presion_cilindro!$B$34))/Presion_cilindro!$B$35)^(Presion_cilindro!$B$17+1)),0))/((Presion_cilindro!O457+Presion_cilindro!O458)/2)</f>
        <v>13.544736794212932</v>
      </c>
    </row>
    <row r="467" spans="1:14" x14ac:dyDescent="0.25">
      <c r="A467" s="21">
        <f>Presion_cilindro!N459</f>
        <v>47.5</v>
      </c>
      <c r="B467" s="27">
        <f>B466*(Presion_cilindro!O458/Presion_cilindro!O459)^Presion_cilindro!$B$9+10*(Presion_cilindro!$B$9-1)*Presion_cilindro!$B$33*(IF(Presion_cilindro!N459&gt;(-B$4+Presion_cilindro!$B$34),1-EXP(-Presion_cilindro!$B$16*((Presion_cilindro!N459-(-B$4+Presion_cilindro!$B$34))/Presion_cilindro!$B$35)^(Presion_cilindro!$B$17+1)),0)-IF(Presion_cilindro!N458&gt;(-B$4+Presion_cilindro!$B$34),1-EXP(-Presion_cilindro!$B$16*((Presion_cilindro!N458-(-B$4+Presion_cilindro!$B$34))/Presion_cilindro!$B$35)^(Presion_cilindro!$B$17+1)),0))/((Presion_cilindro!O458+Presion_cilindro!O459)/2)</f>
        <v>13.202841326209427</v>
      </c>
      <c r="C467" s="27">
        <f>C466*(Presion_cilindro!O458/Presion_cilindro!O459)^Presion_cilindro!$B$9+10*(Presion_cilindro!$B$9-1)*Presion_cilindro!$B$33*(IF(Presion_cilindro!N459&gt;(-C$4+Presion_cilindro!$B$34),1-EXP(-Presion_cilindro!$B$16*((Presion_cilindro!N459-(-C$4+Presion_cilindro!$B$34))/Presion_cilindro!$B$35)^(Presion_cilindro!$B$17+1)),0)-IF(Presion_cilindro!N458&gt;(-C$4+Presion_cilindro!$B$34),1-EXP(-Presion_cilindro!$B$16*((Presion_cilindro!N458-(-C$4+Presion_cilindro!$B$34))/Presion_cilindro!$B$35)^(Presion_cilindro!$B$17+1)),0))/((Presion_cilindro!O458+Presion_cilindro!O459)/2)</f>
        <v>13.320178307090167</v>
      </c>
      <c r="D467" s="27">
        <f>D466*(Presion_cilindro!O458/Presion_cilindro!O459)^Presion_cilindro!$B$9+10*(Presion_cilindro!$B$9-1)*Presion_cilindro!$B$33*(IF(Presion_cilindro!N459&gt;(-D$4+Presion_cilindro!$B$34),1-EXP(-Presion_cilindro!$B$16*((Presion_cilindro!N459-(-D$4+Presion_cilindro!$B$34))/Presion_cilindro!$B$35)^(Presion_cilindro!$B$17+1)),0)-IF(Presion_cilindro!N458&gt;(-D$4+Presion_cilindro!$B$34),1-EXP(-Presion_cilindro!$B$16*((Presion_cilindro!N458-(-D$4+Presion_cilindro!$B$34))/Presion_cilindro!$B$35)^(Presion_cilindro!$B$17+1)),0))/((Presion_cilindro!O458+Presion_cilindro!O459)/2)</f>
        <v>13.115894355548516</v>
      </c>
      <c r="E467" s="27">
        <f>E466*(Presion_cilindro!O458/Presion_cilindro!O459)^Presion_cilindro!$B$9+10*(Presion_cilindro!$B$9-1)*Presion_cilindro!$B$33*(IF(Presion_cilindro!N459&gt;(-E$4+Presion_cilindro!$B$34),1-EXP(-Presion_cilindro!$B$16*((Presion_cilindro!N459-(-E$4+Presion_cilindro!$B$34))/Presion_cilindro!$B$35)^(Presion_cilindro!$B$17+1)),0)-IF(Presion_cilindro!N458&gt;(-E$4+Presion_cilindro!$B$34),1-EXP(-Presion_cilindro!$B$16*((Presion_cilindro!N458-(-E$4+Presion_cilindro!$B$34))/Presion_cilindro!$B$35)^(Presion_cilindro!$B$17+1)),0))/((Presion_cilindro!O458+Presion_cilindro!O459)/2)</f>
        <v>12.811393872165251</v>
      </c>
      <c r="F467" s="27">
        <f>F466*(Presion_cilindro!O458/Presion_cilindro!O459)^Presion_cilindro!$B$9+10*(Presion_cilindro!$B$9-1)*Presion_cilindro!$B$33*(IF(Presion_cilindro!N459&gt;(-F$4+Presion_cilindro!$B$34),1-EXP(-Presion_cilindro!$B$16*((Presion_cilindro!N459-(-F$4+Presion_cilindro!$B$34))/Presion_cilindro!$B$35)^(Presion_cilindro!$B$17+1)),0)-IF(Presion_cilindro!N458&gt;(-F$4+Presion_cilindro!$B$34),1-EXP(-Presion_cilindro!$B$16*((Presion_cilindro!N458-(-F$4+Presion_cilindro!$B$34))/Presion_cilindro!$B$35)^(Presion_cilindro!$B$17+1)),0))/((Presion_cilindro!O458+Presion_cilindro!O459)/2)</f>
        <v>12.525401629701451</v>
      </c>
      <c r="G467" s="27">
        <f>G466*(Presion_cilindro!O458/Presion_cilindro!O459)^Presion_cilindro!$B$9+10*(Presion_cilindro!$B$9-1)*Presion_cilindro!$B$33*(IF(Presion_cilindro!N459&gt;(-G$4+Presion_cilindro!$B$34),1-EXP(-Presion_cilindro!$B$16*((Presion_cilindro!N459-(-G$4+Presion_cilindro!$B$34))/Presion_cilindro!$B$35)^(Presion_cilindro!$B$17+1)),0)-IF(Presion_cilindro!N458&gt;(-G$4+Presion_cilindro!$B$34),1-EXP(-Presion_cilindro!$B$16*((Presion_cilindro!N458-(-G$4+Presion_cilindro!$B$34))/Presion_cilindro!$B$35)^(Presion_cilindro!$B$17+1)),0))/((Presion_cilindro!O458+Presion_cilindro!O459)/2)</f>
        <v>12.307439217357523</v>
      </c>
      <c r="H467" s="27">
        <f>H466*(Presion_cilindro!O458/Presion_cilindro!O459)^Presion_cilindro!$B$9+10*(Presion_cilindro!$B$9-1)*Presion_cilindro!$B$33*(IF(Presion_cilindro!N459&gt;(-H$4+Presion_cilindro!$B$34),1-EXP(-Presion_cilindro!$B$16*((Presion_cilindro!N459-(-H$4+Presion_cilindro!$B$34))/Presion_cilindro!$B$35)^(Presion_cilindro!$B$17+1)),0)-IF(Presion_cilindro!N458&gt;(-H$4+Presion_cilindro!$B$34),1-EXP(-Presion_cilindro!$B$16*((Presion_cilindro!N458-(-H$4+Presion_cilindro!$B$34))/Presion_cilindro!$B$35)^(Presion_cilindro!$B$17+1)),0))/((Presion_cilindro!O458+Presion_cilindro!O459)/2)</f>
        <v>12.178202928541296</v>
      </c>
      <c r="I467" s="27">
        <f>I466*(Presion_cilindro!O458/Presion_cilindro!O459)^Presion_cilindro!$B$9+10*(Presion_cilindro!$B$9-1)*Presion_cilindro!$B$33*(IF(Presion_cilindro!N459&gt;(-I$4+Presion_cilindro!$B$34),1-EXP(-Presion_cilindro!$B$16*((Presion_cilindro!N459-(-I$4+Presion_cilindro!$B$34))/Presion_cilindro!$B$35)^(Presion_cilindro!$B$17+1)),0)-IF(Presion_cilindro!N458&gt;(-I$4+Presion_cilindro!$B$34),1-EXP(-Presion_cilindro!$B$16*((Presion_cilindro!N458-(-I$4+Presion_cilindro!$B$34))/Presion_cilindro!$B$35)^(Presion_cilindro!$B$17+1)),0))/((Presion_cilindro!O458+Presion_cilindro!O459)/2)</f>
        <v>12.147181017215699</v>
      </c>
      <c r="J467" s="27">
        <f>J466*(Presion_cilindro!O458/Presion_cilindro!O459)^Presion_cilindro!$B$9+10*(Presion_cilindro!$B$9-1)*Presion_cilindro!$B$33*(IF(Presion_cilindro!N459&gt;(-J$4+Presion_cilindro!$B$34),1-EXP(-Presion_cilindro!$B$16*((Presion_cilindro!N459-(-J$4+Presion_cilindro!$B$34))/Presion_cilindro!$B$35)^(Presion_cilindro!$B$17+1)),0)-IF(Presion_cilindro!N458&gt;(-J$4+Presion_cilindro!$B$34),1-EXP(-Presion_cilindro!$B$16*((Presion_cilindro!N458-(-J$4+Presion_cilindro!$B$34))/Presion_cilindro!$B$35)^(Presion_cilindro!$B$17+1)),0))/((Presion_cilindro!O458+Presion_cilindro!O459)/2)</f>
        <v>12.216412789873521</v>
      </c>
      <c r="K467" s="27">
        <f>K466*(Presion_cilindro!O458/Presion_cilindro!O459)^Presion_cilindro!$B$9+10*(Presion_cilindro!$B$9-1)*Presion_cilindro!$B$33*(IF(Presion_cilindro!N459&gt;(-K$4+Presion_cilindro!$B$34),1-EXP(-Presion_cilindro!$B$16*((Presion_cilindro!N459-(-K$4+Presion_cilindro!$B$34))/Presion_cilindro!$B$35)^(Presion_cilindro!$B$17+1)),0)-IF(Presion_cilindro!N458&gt;(-K$4+Presion_cilindro!$B$34),1-EXP(-Presion_cilindro!$B$16*((Presion_cilindro!N458-(-K$4+Presion_cilindro!$B$34))/Presion_cilindro!$B$35)^(Presion_cilindro!$B$17+1)),0))/((Presion_cilindro!O458+Presion_cilindro!O459)/2)</f>
        <v>12.381041087006471</v>
      </c>
      <c r="L467" s="27">
        <f>L466*(Presion_cilindro!O458/Presion_cilindro!O459)^Presion_cilindro!$B$9+10*(Presion_cilindro!$B$9-1)*Presion_cilindro!$B$33*(IF(Presion_cilindro!N459&gt;(-L$4+Presion_cilindro!$B$34),1-EXP(-Presion_cilindro!$B$16*((Presion_cilindro!N459-(-L$4+Presion_cilindro!$B$34))/Presion_cilindro!$B$35)^(Presion_cilindro!$B$17+1)),0)-IF(Presion_cilindro!N458&gt;(-L$4+Presion_cilindro!$B$34),1-EXP(-Presion_cilindro!$B$16*((Presion_cilindro!N458-(-L$4+Presion_cilindro!$B$34))/Presion_cilindro!$B$35)^(Presion_cilindro!$B$17+1)),0))/((Presion_cilindro!O458+Presion_cilindro!O459)/2)</f>
        <v>12.630411328870412</v>
      </c>
      <c r="M467" s="27">
        <f>M466*(Presion_cilindro!O458/Presion_cilindro!O459)^Presion_cilindro!$B$9+10*(Presion_cilindro!$B$9-1)*Presion_cilindro!$B$33*(IF(Presion_cilindro!N459&gt;(-M$4+Presion_cilindro!$B$34),1-EXP(-Presion_cilindro!$B$16*((Presion_cilindro!N459-(-M$4+Presion_cilindro!$B$34))/Presion_cilindro!$B$35)^(Presion_cilindro!$B$17+1)),0)-IF(Presion_cilindro!N458&gt;(-M$4+Presion_cilindro!$B$34),1-EXP(-Presion_cilindro!$B$16*((Presion_cilindro!N458-(-M$4+Presion_cilindro!$B$34))/Presion_cilindro!$B$35)^(Presion_cilindro!$B$17+1)),0))/((Presion_cilindro!O458+Presion_cilindro!O459)/2)</f>
        <v>12.950043882179827</v>
      </c>
      <c r="N467" s="27">
        <f>N466*(Presion_cilindro!O458/Presion_cilindro!O459)^Presion_cilindro!$B$9+10*(Presion_cilindro!$B$9-1)*Presion_cilindro!$B$33*(IF(Presion_cilindro!N459&gt;(-N$4+Presion_cilindro!$B$34),1-EXP(-Presion_cilindro!$B$16*((Presion_cilindro!N459-(-N$4+Presion_cilindro!$B$34))/Presion_cilindro!$B$35)^(Presion_cilindro!$B$17+1)),0)-IF(Presion_cilindro!N458&gt;(-N$4+Presion_cilindro!$B$34),1-EXP(-Presion_cilindro!$B$16*((Presion_cilindro!N458-(-N$4+Presion_cilindro!$B$34))/Presion_cilindro!$B$35)^(Presion_cilindro!$B$17+1)),0))/((Presion_cilindro!O458+Presion_cilindro!O459)/2)</f>
        <v>13.323905177895861</v>
      </c>
    </row>
    <row r="468" spans="1:14" x14ac:dyDescent="0.25">
      <c r="A468" s="21">
        <f>Presion_cilindro!N460</f>
        <v>48</v>
      </c>
      <c r="B468" s="27">
        <f>B467*(Presion_cilindro!O459/Presion_cilindro!O460)^Presion_cilindro!$B$9+10*(Presion_cilindro!$B$9-1)*Presion_cilindro!$B$33*(IF(Presion_cilindro!N460&gt;(-B$4+Presion_cilindro!$B$34),1-EXP(-Presion_cilindro!$B$16*((Presion_cilindro!N460-(-B$4+Presion_cilindro!$B$34))/Presion_cilindro!$B$35)^(Presion_cilindro!$B$17+1)),0)-IF(Presion_cilindro!N459&gt;(-B$4+Presion_cilindro!$B$34),1-EXP(-Presion_cilindro!$B$16*((Presion_cilindro!N459-(-B$4+Presion_cilindro!$B$34))/Presion_cilindro!$B$35)^(Presion_cilindro!$B$17+1)),0))/((Presion_cilindro!O459+Presion_cilindro!O460)/2)</f>
        <v>13.062998898337147</v>
      </c>
      <c r="C468" s="27">
        <f>C467*(Presion_cilindro!O459/Presion_cilindro!O460)^Presion_cilindro!$B$9+10*(Presion_cilindro!$B$9-1)*Presion_cilindro!$B$33*(IF(Presion_cilindro!N460&gt;(-C$4+Presion_cilindro!$B$34),1-EXP(-Presion_cilindro!$B$16*((Presion_cilindro!N460-(-C$4+Presion_cilindro!$B$34))/Presion_cilindro!$B$35)^(Presion_cilindro!$B$17+1)),0)-IF(Presion_cilindro!N459&gt;(-C$4+Presion_cilindro!$B$34),1-EXP(-Presion_cilindro!$B$16*((Presion_cilindro!N459-(-C$4+Presion_cilindro!$B$34))/Presion_cilindro!$B$35)^(Presion_cilindro!$B$17+1)),0))/((Presion_cilindro!O459+Presion_cilindro!O460)/2)</f>
        <v>13.134188650606777</v>
      </c>
      <c r="D468" s="27">
        <f>D467*(Presion_cilindro!O459/Presion_cilindro!O460)^Presion_cilindro!$B$9+10*(Presion_cilindro!$B$9-1)*Presion_cilindro!$B$33*(IF(Presion_cilindro!N460&gt;(-D$4+Presion_cilindro!$B$34),1-EXP(-Presion_cilindro!$B$16*((Presion_cilindro!N460-(-D$4+Presion_cilindro!$B$34))/Presion_cilindro!$B$35)^(Presion_cilindro!$B$17+1)),0)-IF(Presion_cilindro!N459&gt;(-D$4+Presion_cilindro!$B$34),1-EXP(-Presion_cilindro!$B$16*((Presion_cilindro!N459-(-D$4+Presion_cilindro!$B$34))/Presion_cilindro!$B$35)^(Presion_cilindro!$B$17+1)),0))/((Presion_cilindro!O459+Presion_cilindro!O460)/2)</f>
        <v>12.912197543454434</v>
      </c>
      <c r="E468" s="27">
        <f>E467*(Presion_cilindro!O459/Presion_cilindro!O460)^Presion_cilindro!$B$9+10*(Presion_cilindro!$B$9-1)*Presion_cilindro!$B$33*(IF(Presion_cilindro!N460&gt;(-E$4+Presion_cilindro!$B$34),1-EXP(-Presion_cilindro!$B$16*((Presion_cilindro!N460-(-E$4+Presion_cilindro!$B$34))/Presion_cilindro!$B$35)^(Presion_cilindro!$B$17+1)),0)-IF(Presion_cilindro!N459&gt;(-E$4+Presion_cilindro!$B$34),1-EXP(-Presion_cilindro!$B$16*((Presion_cilindro!N459-(-E$4+Presion_cilindro!$B$34))/Presion_cilindro!$B$35)^(Presion_cilindro!$B$17+1)),0))/((Presion_cilindro!O459+Presion_cilindro!O460)/2)</f>
        <v>12.605630258217472</v>
      </c>
      <c r="F468" s="27">
        <f>F467*(Presion_cilindro!O459/Presion_cilindro!O460)^Presion_cilindro!$B$9+10*(Presion_cilindro!$B$9-1)*Presion_cilindro!$B$33*(IF(Presion_cilindro!N460&gt;(-F$4+Presion_cilindro!$B$34),1-EXP(-Presion_cilindro!$B$16*((Presion_cilindro!N460-(-F$4+Presion_cilindro!$B$34))/Presion_cilindro!$B$35)^(Presion_cilindro!$B$17+1)),0)-IF(Presion_cilindro!N459&gt;(-F$4+Presion_cilindro!$B$34),1-EXP(-Presion_cilindro!$B$16*((Presion_cilindro!N459-(-F$4+Presion_cilindro!$B$34))/Presion_cilindro!$B$35)^(Presion_cilindro!$B$17+1)),0))/((Presion_cilindro!O459+Presion_cilindro!O460)/2)</f>
        <v>12.322653000513577</v>
      </c>
      <c r="G468" s="27">
        <f>G467*(Presion_cilindro!O459/Presion_cilindro!O460)^Presion_cilindro!$B$9+10*(Presion_cilindro!$B$9-1)*Presion_cilindro!$B$33*(IF(Presion_cilindro!N460&gt;(-G$4+Presion_cilindro!$B$34),1-EXP(-Presion_cilindro!$B$16*((Presion_cilindro!N460-(-G$4+Presion_cilindro!$B$34))/Presion_cilindro!$B$35)^(Presion_cilindro!$B$17+1)),0)-IF(Presion_cilindro!N459&gt;(-G$4+Presion_cilindro!$B$34),1-EXP(-Presion_cilindro!$B$16*((Presion_cilindro!N459-(-G$4+Presion_cilindro!$B$34))/Presion_cilindro!$B$35)^(Presion_cilindro!$B$17+1)),0))/((Presion_cilindro!O459+Presion_cilindro!O460)/2)</f>
        <v>12.107967501524527</v>
      </c>
      <c r="H468" s="27">
        <f>H467*(Presion_cilindro!O459/Presion_cilindro!O460)^Presion_cilindro!$B$9+10*(Presion_cilindro!$B$9-1)*Presion_cilindro!$B$33*(IF(Presion_cilindro!N460&gt;(-H$4+Presion_cilindro!$B$34),1-EXP(-Presion_cilindro!$B$16*((Presion_cilindro!N460-(-H$4+Presion_cilindro!$B$34))/Presion_cilindro!$B$35)^(Presion_cilindro!$B$17+1)),0)-IF(Presion_cilindro!N459&gt;(-H$4+Presion_cilindro!$B$34),1-EXP(-Presion_cilindro!$B$16*((Presion_cilindro!N459-(-H$4+Presion_cilindro!$B$34))/Presion_cilindro!$B$35)^(Presion_cilindro!$B$17+1)),0))/((Presion_cilindro!O459+Presion_cilindro!O460)/2)</f>
        <v>11.980799031088489</v>
      </c>
      <c r="I468" s="27">
        <f>I467*(Presion_cilindro!O459/Presion_cilindro!O460)^Presion_cilindro!$B$9+10*(Presion_cilindro!$B$9-1)*Presion_cilindro!$B$33*(IF(Presion_cilindro!N460&gt;(-I$4+Presion_cilindro!$B$34),1-EXP(-Presion_cilindro!$B$16*((Presion_cilindro!N460-(-I$4+Presion_cilindro!$B$34))/Presion_cilindro!$B$35)^(Presion_cilindro!$B$17+1)),0)-IF(Presion_cilindro!N459&gt;(-I$4+Presion_cilindro!$B$34),1-EXP(-Presion_cilindro!$B$16*((Presion_cilindro!N459-(-I$4+Presion_cilindro!$B$34))/Presion_cilindro!$B$35)^(Presion_cilindro!$B$17+1)),0))/((Presion_cilindro!O459+Presion_cilindro!O460)/2)</f>
        <v>11.950278110576178</v>
      </c>
      <c r="J468" s="27">
        <f>J467*(Presion_cilindro!O459/Presion_cilindro!O460)^Presion_cilindro!$B$9+10*(Presion_cilindro!$B$9-1)*Presion_cilindro!$B$33*(IF(Presion_cilindro!N460&gt;(-J$4+Presion_cilindro!$B$34),1-EXP(-Presion_cilindro!$B$16*((Presion_cilindro!N460-(-J$4+Presion_cilindro!$B$34))/Presion_cilindro!$B$35)^(Presion_cilindro!$B$17+1)),0)-IF(Presion_cilindro!N459&gt;(-J$4+Presion_cilindro!$B$34),1-EXP(-Presion_cilindro!$B$16*((Presion_cilindro!N459-(-J$4+Presion_cilindro!$B$34))/Presion_cilindro!$B$35)^(Presion_cilindro!$B$17+1)),0))/((Presion_cilindro!O459+Presion_cilindro!O460)/2)</f>
        <v>12.018387570291562</v>
      </c>
      <c r="K468" s="27">
        <f>K467*(Presion_cilindro!O459/Presion_cilindro!O460)^Presion_cilindro!$B$9+10*(Presion_cilindro!$B$9-1)*Presion_cilindro!$B$33*(IF(Presion_cilindro!N460&gt;(-K$4+Presion_cilindro!$B$34),1-EXP(-Presion_cilindro!$B$16*((Presion_cilindro!N460-(-K$4+Presion_cilindro!$B$34))/Presion_cilindro!$B$35)^(Presion_cilindro!$B$17+1)),0)-IF(Presion_cilindro!N459&gt;(-K$4+Presion_cilindro!$B$34),1-EXP(-Presion_cilindro!$B$16*((Presion_cilindro!N459-(-K$4+Presion_cilindro!$B$34))/Presion_cilindro!$B$35)^(Presion_cilindro!$B$17+1)),0))/((Presion_cilindro!O459+Presion_cilindro!O460)/2)</f>
        <v>12.180347278630252</v>
      </c>
      <c r="L468" s="27">
        <f>L467*(Presion_cilindro!O459/Presion_cilindro!O460)^Presion_cilindro!$B$9+10*(Presion_cilindro!$B$9-1)*Presion_cilindro!$B$33*(IF(Presion_cilindro!N460&gt;(-L$4+Presion_cilindro!$B$34),1-EXP(-Presion_cilindro!$B$16*((Presion_cilindro!N460-(-L$4+Presion_cilindro!$B$34))/Presion_cilindro!$B$35)^(Presion_cilindro!$B$17+1)),0)-IF(Presion_cilindro!N459&gt;(-L$4+Presion_cilindro!$B$34),1-EXP(-Presion_cilindro!$B$16*((Presion_cilindro!N459-(-L$4+Presion_cilindro!$B$34))/Presion_cilindro!$B$35)^(Presion_cilindro!$B$17+1)),0))/((Presion_cilindro!O459+Presion_cilindro!O460)/2)</f>
        <v>12.425675286594419</v>
      </c>
      <c r="M468" s="27">
        <f>M467*(Presion_cilindro!O459/Presion_cilindro!O460)^Presion_cilindro!$B$9+10*(Presion_cilindro!$B$9-1)*Presion_cilindro!$B$33*(IF(Presion_cilindro!N460&gt;(-M$4+Presion_cilindro!$B$34),1-EXP(-Presion_cilindro!$B$16*((Presion_cilindro!N460-(-M$4+Presion_cilindro!$B$34))/Presion_cilindro!$B$35)^(Presion_cilindro!$B$17+1)),0)-IF(Presion_cilindro!N459&gt;(-M$4+Presion_cilindro!$B$34),1-EXP(-Presion_cilindro!$B$16*((Presion_cilindro!N459-(-M$4+Presion_cilindro!$B$34))/Presion_cilindro!$B$35)^(Presion_cilindro!$B$17+1)),0))/((Presion_cilindro!O459+Presion_cilindro!O460)/2)</f>
        <v>12.740126670245321</v>
      </c>
      <c r="N468" s="27">
        <f>N467*(Presion_cilindro!O459/Presion_cilindro!O460)^Presion_cilindro!$B$9+10*(Presion_cilindro!$B$9-1)*Presion_cilindro!$B$33*(IF(Presion_cilindro!N460&gt;(-N$4+Presion_cilindro!$B$34),1-EXP(-Presion_cilindro!$B$16*((Presion_cilindro!N460-(-N$4+Presion_cilindro!$B$34))/Presion_cilindro!$B$35)^(Presion_cilindro!$B$17+1)),0)-IF(Presion_cilindro!N459&gt;(-N$4+Presion_cilindro!$B$34),1-EXP(-Presion_cilindro!$B$16*((Presion_cilindro!N459-(-N$4+Presion_cilindro!$B$34))/Presion_cilindro!$B$35)^(Presion_cilindro!$B$17+1)),0))/((Presion_cilindro!O459+Presion_cilindro!O460)/2)</f>
        <v>13.107927760948851</v>
      </c>
    </row>
    <row r="469" spans="1:14" x14ac:dyDescent="0.25">
      <c r="A469" s="21">
        <f>Presion_cilindro!N461</f>
        <v>48.5</v>
      </c>
      <c r="B469" s="27">
        <f>B468*(Presion_cilindro!O460/Presion_cilindro!O461)^Presion_cilindro!$B$9+10*(Presion_cilindro!$B$9-1)*Presion_cilindro!$B$33*(IF(Presion_cilindro!N461&gt;(-B$4+Presion_cilindro!$B$34),1-EXP(-Presion_cilindro!$B$16*((Presion_cilindro!N461-(-B$4+Presion_cilindro!$B$34))/Presion_cilindro!$B$35)^(Presion_cilindro!$B$17+1)),0)-IF(Presion_cilindro!N460&gt;(-B$4+Presion_cilindro!$B$34),1-EXP(-Presion_cilindro!$B$16*((Presion_cilindro!N460-(-B$4+Presion_cilindro!$B$34))/Presion_cilindro!$B$35)^(Presion_cilindro!$B$17+1)),0))/((Presion_cilindro!O460+Presion_cilindro!O461)/2)</f>
        <v>12.920276152534813</v>
      </c>
      <c r="C469" s="27">
        <f>C468*(Presion_cilindro!O460/Presion_cilindro!O461)^Presion_cilindro!$B$9+10*(Presion_cilindro!$B$9-1)*Presion_cilindro!$B$33*(IF(Presion_cilindro!N461&gt;(-C$4+Presion_cilindro!$B$34),1-EXP(-Presion_cilindro!$B$16*((Presion_cilindro!N461-(-C$4+Presion_cilindro!$B$34))/Presion_cilindro!$B$35)^(Presion_cilindro!$B$17+1)),0)-IF(Presion_cilindro!N460&gt;(-C$4+Presion_cilindro!$B$34),1-EXP(-Presion_cilindro!$B$16*((Presion_cilindro!N460-(-C$4+Presion_cilindro!$B$34))/Presion_cilindro!$B$35)^(Presion_cilindro!$B$17+1)),0))/((Presion_cilindro!O460+Presion_cilindro!O461)/2)</f>
        <v>12.949093972249941</v>
      </c>
      <c r="D469" s="27">
        <f>D468*(Presion_cilindro!O460/Presion_cilindro!O461)^Presion_cilindro!$B$9+10*(Presion_cilindro!$B$9-1)*Presion_cilindro!$B$33*(IF(Presion_cilindro!N461&gt;(-D$4+Presion_cilindro!$B$34),1-EXP(-Presion_cilindro!$B$16*((Presion_cilindro!N461-(-D$4+Presion_cilindro!$B$34))/Presion_cilindro!$B$35)^(Presion_cilindro!$B$17+1)),0)-IF(Presion_cilindro!N460&gt;(-D$4+Presion_cilindro!$B$34),1-EXP(-Presion_cilindro!$B$16*((Presion_cilindro!N460-(-D$4+Presion_cilindro!$B$34))/Presion_cilindro!$B$35)^(Presion_cilindro!$B$17+1)),0))/((Presion_cilindro!O460+Presion_cilindro!O461)/2)</f>
        <v>12.71177809274427</v>
      </c>
      <c r="E469" s="27">
        <f>E468*(Presion_cilindro!O460/Presion_cilindro!O461)^Presion_cilindro!$B$9+10*(Presion_cilindro!$B$9-1)*Presion_cilindro!$B$33*(IF(Presion_cilindro!N461&gt;(-E$4+Presion_cilindro!$B$34),1-EXP(-Presion_cilindro!$B$16*((Presion_cilindro!N461-(-E$4+Presion_cilindro!$B$34))/Presion_cilindro!$B$35)^(Presion_cilindro!$B$17+1)),0)-IF(Presion_cilindro!N460&gt;(-E$4+Presion_cilindro!$B$34),1-EXP(-Presion_cilindro!$B$16*((Presion_cilindro!N460-(-E$4+Presion_cilindro!$B$34))/Presion_cilindro!$B$35)^(Presion_cilindro!$B$17+1)),0))/((Presion_cilindro!O460+Presion_cilindro!O461)/2)</f>
        <v>12.404075144673991</v>
      </c>
      <c r="F469" s="27">
        <f>F468*(Presion_cilindro!O460/Presion_cilindro!O461)^Presion_cilindro!$B$9+10*(Presion_cilindro!$B$9-1)*Presion_cilindro!$B$33*(IF(Presion_cilindro!N461&gt;(-F$4+Presion_cilindro!$B$34),1-EXP(-Presion_cilindro!$B$16*((Presion_cilindro!N461-(-F$4+Presion_cilindro!$B$34))/Presion_cilindro!$B$35)^(Presion_cilindro!$B$17+1)),0)-IF(Presion_cilindro!N460&gt;(-F$4+Presion_cilindro!$B$34),1-EXP(-Presion_cilindro!$B$16*((Presion_cilindro!N460-(-F$4+Presion_cilindro!$B$34))/Presion_cilindro!$B$35)^(Presion_cilindro!$B$17+1)),0))/((Presion_cilindro!O460+Presion_cilindro!O461)/2)</f>
        <v>12.124303120162644</v>
      </c>
      <c r="G469" s="27">
        <f>G468*(Presion_cilindro!O460/Presion_cilindro!O461)^Presion_cilindro!$B$9+10*(Presion_cilindro!$B$9-1)*Presion_cilindro!$B$33*(IF(Presion_cilindro!N461&gt;(-G$4+Presion_cilindro!$B$34),1-EXP(-Presion_cilindro!$B$16*((Presion_cilindro!N461-(-G$4+Presion_cilindro!$B$34))/Presion_cilindro!$B$35)^(Presion_cilindro!$B$17+1)),0)-IF(Presion_cilindro!N460&gt;(-G$4+Presion_cilindro!$B$34),1-EXP(-Presion_cilindro!$B$16*((Presion_cilindro!N460-(-G$4+Presion_cilindro!$B$34))/Presion_cilindro!$B$35)^(Presion_cilindro!$B$17+1)),0))/((Presion_cilindro!O460+Presion_cilindro!O461)/2)</f>
        <v>11.912871333218144</v>
      </c>
      <c r="H469" s="27">
        <f>H468*(Presion_cilindro!O460/Presion_cilindro!O461)^Presion_cilindro!$B$9+10*(Presion_cilindro!$B$9-1)*Presion_cilindro!$B$33*(IF(Presion_cilindro!N461&gt;(-H$4+Presion_cilindro!$B$34),1-EXP(-Presion_cilindro!$B$16*((Presion_cilindro!N461-(-H$4+Presion_cilindro!$B$34))/Presion_cilindro!$B$35)^(Presion_cilindro!$B$17+1)),0)-IF(Presion_cilindro!N460&gt;(-H$4+Presion_cilindro!$B$34),1-EXP(-Presion_cilindro!$B$16*((Presion_cilindro!N460-(-H$4+Presion_cilindro!$B$34))/Presion_cilindro!$B$35)^(Presion_cilindro!$B$17+1)),0))/((Presion_cilindro!O460+Presion_cilindro!O461)/2)</f>
        <v>11.787731295017448</v>
      </c>
      <c r="I469" s="27">
        <f>I468*(Presion_cilindro!O460/Presion_cilindro!O461)^Presion_cilindro!$B$9+10*(Presion_cilindro!$B$9-1)*Presion_cilindro!$B$33*(IF(Presion_cilindro!N461&gt;(-I$4+Presion_cilindro!$B$34),1-EXP(-Presion_cilindro!$B$16*((Presion_cilindro!N461-(-I$4+Presion_cilindro!$B$34))/Presion_cilindro!$B$35)^(Presion_cilindro!$B$17+1)),0)-IF(Presion_cilindro!N460&gt;(-I$4+Presion_cilindro!$B$34),1-EXP(-Presion_cilindro!$B$16*((Presion_cilindro!N460-(-I$4+Presion_cilindro!$B$34))/Presion_cilindro!$B$35)^(Presion_cilindro!$B$17+1)),0))/((Presion_cilindro!O460+Presion_cilindro!O461)/2)</f>
        <v>11.757700837966134</v>
      </c>
      <c r="J469" s="27">
        <f>J468*(Presion_cilindro!O460/Presion_cilindro!O461)^Presion_cilindro!$B$9+10*(Presion_cilindro!$B$9-1)*Presion_cilindro!$B$33*(IF(Presion_cilindro!N461&gt;(-J$4+Presion_cilindro!$B$34),1-EXP(-Presion_cilindro!$B$16*((Presion_cilindro!N461-(-J$4+Presion_cilindro!$B$34))/Presion_cilindro!$B$35)^(Presion_cilindro!$B$17+1)),0)-IF(Presion_cilindro!N460&gt;(-J$4+Presion_cilindro!$B$34),1-EXP(-Presion_cilindro!$B$16*((Presion_cilindro!N460-(-J$4+Presion_cilindro!$B$34))/Presion_cilindro!$B$35)^(Presion_cilindro!$B$17+1)),0))/((Presion_cilindro!O460+Presion_cilindro!O461)/2)</f>
        <v>11.82471266401652</v>
      </c>
      <c r="K469" s="27">
        <f>K468*(Presion_cilindro!O460/Presion_cilindro!O461)^Presion_cilindro!$B$9+10*(Presion_cilindro!$B$9-1)*Presion_cilindro!$B$33*(IF(Presion_cilindro!N461&gt;(-K$4+Presion_cilindro!$B$34),1-EXP(-Presion_cilindro!$B$16*((Presion_cilindro!N461-(-K$4+Presion_cilindro!$B$34))/Presion_cilindro!$B$35)^(Presion_cilindro!$B$17+1)),0)-IF(Presion_cilindro!N460&gt;(-K$4+Presion_cilindro!$B$34),1-EXP(-Presion_cilindro!$B$16*((Presion_cilindro!N460-(-K$4+Presion_cilindro!$B$34))/Presion_cilindro!$B$35)^(Presion_cilindro!$B$17+1)),0))/((Presion_cilindro!O460+Presion_cilindro!O461)/2)</f>
        <v>11.98406240913515</v>
      </c>
      <c r="L469" s="27">
        <f>L468*(Presion_cilindro!O460/Presion_cilindro!O461)^Presion_cilindro!$B$9+10*(Presion_cilindro!$B$9-1)*Presion_cilindro!$B$33*(IF(Presion_cilindro!N461&gt;(-L$4+Presion_cilindro!$B$34),1-EXP(-Presion_cilindro!$B$16*((Presion_cilindro!N461-(-L$4+Presion_cilindro!$B$34))/Presion_cilindro!$B$35)^(Presion_cilindro!$B$17+1)),0)-IF(Presion_cilindro!N460&gt;(-L$4+Presion_cilindro!$B$34),1-EXP(-Presion_cilindro!$B$16*((Presion_cilindro!N460-(-L$4+Presion_cilindro!$B$34))/Presion_cilindro!$B$35)^(Presion_cilindro!$B$17+1)),0))/((Presion_cilindro!O460+Presion_cilindro!O461)/2)</f>
        <v>12.225436984966908</v>
      </c>
      <c r="M469" s="27">
        <f>M468*(Presion_cilindro!O460/Presion_cilindro!O461)^Presion_cilindro!$B$9+10*(Presion_cilindro!$B$9-1)*Presion_cilindro!$B$33*(IF(Presion_cilindro!N461&gt;(-M$4+Presion_cilindro!$B$34),1-EXP(-Presion_cilindro!$B$16*((Presion_cilindro!N461-(-M$4+Presion_cilindro!$B$34))/Presion_cilindro!$B$35)^(Presion_cilindro!$B$17+1)),0)-IF(Presion_cilindro!N460&gt;(-M$4+Presion_cilindro!$B$34),1-EXP(-Presion_cilindro!$B$16*((Presion_cilindro!N460-(-M$4+Presion_cilindro!$B$34))/Presion_cilindro!$B$35)^(Presion_cilindro!$B$17+1)),0))/((Presion_cilindro!O460+Presion_cilindro!O461)/2)</f>
        <v>12.534821021406726</v>
      </c>
      <c r="N469" s="27">
        <f>N468*(Presion_cilindro!O460/Presion_cilindro!O461)^Presion_cilindro!$B$9+10*(Presion_cilindro!$B$9-1)*Presion_cilindro!$B$33*(IF(Presion_cilindro!N461&gt;(-N$4+Presion_cilindro!$B$34),1-EXP(-Presion_cilindro!$B$16*((Presion_cilindro!N461-(-N$4+Presion_cilindro!$B$34))/Presion_cilindro!$B$35)^(Presion_cilindro!$B$17+1)),0)-IF(Presion_cilindro!N460&gt;(-N$4+Presion_cilindro!$B$34),1-EXP(-Presion_cilindro!$B$16*((Presion_cilindro!N460-(-N$4+Presion_cilindro!$B$34))/Presion_cilindro!$B$35)^(Presion_cilindro!$B$17+1)),0))/((Presion_cilindro!O460+Presion_cilindro!O461)/2)</f>
        <v>12.896695040619923</v>
      </c>
    </row>
    <row r="470" spans="1:14" x14ac:dyDescent="0.25">
      <c r="A470" s="21">
        <f>Presion_cilindro!N462</f>
        <v>49</v>
      </c>
      <c r="B470" s="27">
        <f>B469*(Presion_cilindro!O461/Presion_cilindro!O462)^Presion_cilindro!$B$9+10*(Presion_cilindro!$B$9-1)*Presion_cilindro!$B$33*(IF(Presion_cilindro!N462&gt;(-B$4+Presion_cilindro!$B$34),1-EXP(-Presion_cilindro!$B$16*((Presion_cilindro!N462-(-B$4+Presion_cilindro!$B$34))/Presion_cilindro!$B$35)^(Presion_cilindro!$B$17+1)),0)-IF(Presion_cilindro!N461&gt;(-B$4+Presion_cilindro!$B$34),1-EXP(-Presion_cilindro!$B$16*((Presion_cilindro!N461-(-B$4+Presion_cilindro!$B$34))/Presion_cilindro!$B$35)^(Presion_cilindro!$B$17+1)),0))/((Presion_cilindro!O461+Presion_cilindro!O462)/2)</f>
        <v>12.775082035120452</v>
      </c>
      <c r="C470" s="27">
        <f>C469*(Presion_cilindro!O461/Presion_cilindro!O462)^Presion_cilindro!$B$9+10*(Presion_cilindro!$B$9-1)*Presion_cilindro!$B$33*(IF(Presion_cilindro!N462&gt;(-C$4+Presion_cilindro!$B$34),1-EXP(-Presion_cilindro!$B$16*((Presion_cilindro!N462-(-C$4+Presion_cilindro!$B$34))/Presion_cilindro!$B$35)^(Presion_cilindro!$B$17+1)),0)-IF(Presion_cilindro!N461&gt;(-C$4+Presion_cilindro!$B$34),1-EXP(-Presion_cilindro!$B$16*((Presion_cilindro!N461-(-C$4+Presion_cilindro!$B$34))/Presion_cilindro!$B$35)^(Presion_cilindro!$B$17+1)),0))/((Presion_cilindro!O461+Presion_cilindro!O462)/2)</f>
        <v>12.765162146620531</v>
      </c>
      <c r="D470" s="27">
        <f>D469*(Presion_cilindro!O461/Presion_cilindro!O462)^Presion_cilindro!$B$9+10*(Presion_cilindro!$B$9-1)*Presion_cilindro!$B$33*(IF(Presion_cilindro!N462&gt;(-D$4+Presion_cilindro!$B$34),1-EXP(-Presion_cilindro!$B$16*((Presion_cilindro!N462-(-D$4+Presion_cilindro!$B$34))/Presion_cilindro!$B$35)^(Presion_cilindro!$B$17+1)),0)-IF(Presion_cilindro!N461&gt;(-D$4+Presion_cilindro!$B$34),1-EXP(-Presion_cilindro!$B$16*((Presion_cilindro!N461-(-D$4+Presion_cilindro!$B$34))/Presion_cilindro!$B$35)^(Presion_cilindro!$B$17+1)),0))/((Presion_cilindro!O461+Presion_cilindro!O462)/2)</f>
        <v>12.514707910700702</v>
      </c>
      <c r="E470" s="27">
        <f>E469*(Presion_cilindro!O461/Presion_cilindro!O462)^Presion_cilindro!$B$9+10*(Presion_cilindro!$B$9-1)*Presion_cilindro!$B$33*(IF(Presion_cilindro!N462&gt;(-E$4+Presion_cilindro!$B$34),1-EXP(-Presion_cilindro!$B$16*((Presion_cilindro!N462-(-E$4+Presion_cilindro!$B$34))/Presion_cilindro!$B$35)^(Presion_cilindro!$B$17+1)),0)-IF(Presion_cilindro!N461&gt;(-E$4+Presion_cilindro!$B$34),1-EXP(-Presion_cilindro!$B$16*((Presion_cilindro!N461-(-E$4+Presion_cilindro!$B$34))/Presion_cilindro!$B$35)^(Presion_cilindro!$B$17+1)),0))/((Presion_cilindro!O461+Presion_cilindro!O462)/2)</f>
        <v>12.206681097487285</v>
      </c>
      <c r="F470" s="27">
        <f>F469*(Presion_cilindro!O461/Presion_cilindro!O462)^Presion_cilindro!$B$9+10*(Presion_cilindro!$B$9-1)*Presion_cilindro!$B$33*(IF(Presion_cilindro!N462&gt;(-F$4+Presion_cilindro!$B$34),1-EXP(-Presion_cilindro!$B$16*((Presion_cilindro!N462-(-F$4+Presion_cilindro!$B$34))/Presion_cilindro!$B$35)^(Presion_cilindro!$B$17+1)),0)-IF(Presion_cilindro!N461&gt;(-F$4+Presion_cilindro!$B$34),1-EXP(-Presion_cilindro!$B$16*((Presion_cilindro!N461-(-F$4+Presion_cilindro!$B$34))/Presion_cilindro!$B$35)^(Presion_cilindro!$B$17+1)),0))/((Presion_cilindro!O461+Presion_cilindro!O462)/2)</f>
        <v>11.930262482505812</v>
      </c>
      <c r="G470" s="27">
        <f>G469*(Presion_cilindro!O461/Presion_cilindro!O462)^Presion_cilindro!$B$9+10*(Presion_cilindro!$B$9-1)*Presion_cilindro!$B$33*(IF(Presion_cilindro!N462&gt;(-G$4+Presion_cilindro!$B$34),1-EXP(-Presion_cilindro!$B$16*((Presion_cilindro!N462-(-G$4+Presion_cilindro!$B$34))/Presion_cilindro!$B$35)^(Presion_cilindro!$B$17+1)),0)-IF(Presion_cilindro!N461&gt;(-G$4+Presion_cilindro!$B$34),1-EXP(-Presion_cilindro!$B$16*((Presion_cilindro!N461-(-G$4+Presion_cilindro!$B$34))/Presion_cilindro!$B$35)^(Presion_cilindro!$B$17+1)),0))/((Presion_cilindro!O461+Presion_cilindro!O462)/2)</f>
        <v>11.722052833906201</v>
      </c>
      <c r="H470" s="27">
        <f>H469*(Presion_cilindro!O461/Presion_cilindro!O462)^Presion_cilindro!$B$9+10*(Presion_cilindro!$B$9-1)*Presion_cilindro!$B$33*(IF(Presion_cilindro!N462&gt;(-H$4+Presion_cilindro!$B$34),1-EXP(-Presion_cilindro!$B$16*((Presion_cilindro!N462-(-H$4+Presion_cilindro!$B$34))/Presion_cilindro!$B$35)^(Presion_cilindro!$B$17+1)),0)-IF(Presion_cilindro!N461&gt;(-H$4+Presion_cilindro!$B$34),1-EXP(-Presion_cilindro!$B$16*((Presion_cilindro!N461-(-H$4+Presion_cilindro!$B$34))/Presion_cilindro!$B$35)^(Presion_cilindro!$B$17+1)),0))/((Presion_cilindro!O461+Presion_cilindro!O462)/2)</f>
        <v>11.598901423130007</v>
      </c>
      <c r="I470" s="27">
        <f>I469*(Presion_cilindro!O461/Presion_cilindro!O462)^Presion_cilindro!$B$9+10*(Presion_cilindro!$B$9-1)*Presion_cilindro!$B$33*(IF(Presion_cilindro!N462&gt;(-I$4+Presion_cilindro!$B$34),1-EXP(-Presion_cilindro!$B$16*((Presion_cilindro!N462-(-I$4+Presion_cilindro!$B$34))/Presion_cilindro!$B$35)^(Presion_cilindro!$B$17+1)),0)-IF(Presion_cilindro!N461&gt;(-I$4+Presion_cilindro!$B$34),1-EXP(-Presion_cilindro!$B$16*((Presion_cilindro!N461-(-I$4+Presion_cilindro!$B$34))/Presion_cilindro!$B$35)^(Presion_cilindro!$B$17+1)),0))/((Presion_cilindro!O461+Presion_cilindro!O462)/2)</f>
        <v>11.5693510204223</v>
      </c>
      <c r="J470" s="27">
        <f>J469*(Presion_cilindro!O461/Presion_cilindro!O462)^Presion_cilindro!$B$9+10*(Presion_cilindro!$B$9-1)*Presion_cilindro!$B$33*(IF(Presion_cilindro!N462&gt;(-J$4+Presion_cilindro!$B$34),1-EXP(-Presion_cilindro!$B$16*((Presion_cilindro!N462-(-J$4+Presion_cilindro!$B$34))/Presion_cilindro!$B$35)^(Presion_cilindro!$B$17+1)),0)-IF(Presion_cilindro!N461&gt;(-J$4+Presion_cilindro!$B$34),1-EXP(-Presion_cilindro!$B$16*((Presion_cilindro!N461-(-J$4+Presion_cilindro!$B$34))/Presion_cilindro!$B$35)^(Presion_cilindro!$B$17+1)),0))/((Presion_cilindro!O461+Presion_cilindro!O462)/2)</f>
        <v>11.635289325074412</v>
      </c>
      <c r="K470" s="27">
        <f>K469*(Presion_cilindro!O461/Presion_cilindro!O462)^Presion_cilindro!$B$9+10*(Presion_cilindro!$B$9-1)*Presion_cilindro!$B$33*(IF(Presion_cilindro!N462&gt;(-K$4+Presion_cilindro!$B$34),1-EXP(-Presion_cilindro!$B$16*((Presion_cilindro!N462-(-K$4+Presion_cilindro!$B$34))/Presion_cilindro!$B$35)^(Presion_cilindro!$B$17+1)),0)-IF(Presion_cilindro!N461&gt;(-K$4+Presion_cilindro!$B$34),1-EXP(-Presion_cilindro!$B$16*((Presion_cilindro!N461-(-K$4+Presion_cilindro!$B$34))/Presion_cilindro!$B$35)^(Presion_cilindro!$B$17+1)),0))/((Presion_cilindro!O461+Presion_cilindro!O462)/2)</f>
        <v>11.792086401593622</v>
      </c>
      <c r="L470" s="27">
        <f>L469*(Presion_cilindro!O461/Presion_cilindro!O462)^Presion_cilindro!$B$9+10*(Presion_cilindro!$B$9-1)*Presion_cilindro!$B$33*(IF(Presion_cilindro!N462&gt;(-L$4+Presion_cilindro!$B$34),1-EXP(-Presion_cilindro!$B$16*((Presion_cilindro!N462-(-L$4+Presion_cilindro!$B$34))/Presion_cilindro!$B$35)^(Presion_cilindro!$B$17+1)),0)-IF(Presion_cilindro!N461&gt;(-L$4+Presion_cilindro!$B$34),1-EXP(-Presion_cilindro!$B$16*((Presion_cilindro!N461-(-L$4+Presion_cilindro!$B$34))/Presion_cilindro!$B$35)^(Presion_cilindro!$B$17+1)),0))/((Presion_cilindro!O461+Presion_cilindro!O462)/2)</f>
        <v>12.029594331375998</v>
      </c>
      <c r="M470" s="27">
        <f>M469*(Presion_cilindro!O461/Presion_cilindro!O462)^Presion_cilindro!$B$9+10*(Presion_cilindro!$B$9-1)*Presion_cilindro!$B$33*(IF(Presion_cilindro!N462&gt;(-M$4+Presion_cilindro!$B$34),1-EXP(-Presion_cilindro!$B$16*((Presion_cilindro!N462-(-M$4+Presion_cilindro!$B$34))/Presion_cilindro!$B$35)^(Presion_cilindro!$B$17+1)),0)-IF(Presion_cilindro!N461&gt;(-M$4+Presion_cilindro!$B$34),1-EXP(-Presion_cilindro!$B$16*((Presion_cilindro!N461-(-M$4+Presion_cilindro!$B$34))/Presion_cilindro!$B$35)^(Presion_cilindro!$B$17+1)),0))/((Presion_cilindro!O461+Presion_cilindro!O462)/2)</f>
        <v>12.334022259436939</v>
      </c>
      <c r="N470" s="27">
        <f>N469*(Presion_cilindro!O461/Presion_cilindro!O462)^Presion_cilindro!$B$9+10*(Presion_cilindro!$B$9-1)*Presion_cilindro!$B$33*(IF(Presion_cilindro!N462&gt;(-N$4+Presion_cilindro!$B$34),1-EXP(-Presion_cilindro!$B$16*((Presion_cilindro!N462-(-N$4+Presion_cilindro!$B$34))/Presion_cilindro!$B$35)^(Presion_cilindro!$B$17+1)),0)-IF(Presion_cilindro!N461&gt;(-N$4+Presion_cilindro!$B$34),1-EXP(-Presion_cilindro!$B$16*((Presion_cilindro!N461-(-N$4+Presion_cilindro!$B$34))/Presion_cilindro!$B$35)^(Presion_cilindro!$B$17+1)),0))/((Presion_cilindro!O461+Presion_cilindro!O462)/2)</f>
        <v>12.690099318731605</v>
      </c>
    </row>
    <row r="471" spans="1:14" x14ac:dyDescent="0.25">
      <c r="A471" s="21">
        <f>Presion_cilindro!N463</f>
        <v>49.5</v>
      </c>
      <c r="B471" s="27">
        <f>B470*(Presion_cilindro!O462/Presion_cilindro!O463)^Presion_cilindro!$B$9+10*(Presion_cilindro!$B$9-1)*Presion_cilindro!$B$33*(IF(Presion_cilindro!N463&gt;(-B$4+Presion_cilindro!$B$34),1-EXP(-Presion_cilindro!$B$16*((Presion_cilindro!N463-(-B$4+Presion_cilindro!$B$34))/Presion_cilindro!$B$35)^(Presion_cilindro!$B$17+1)),0)-IF(Presion_cilindro!N462&gt;(-B$4+Presion_cilindro!$B$34),1-EXP(-Presion_cilindro!$B$16*((Presion_cilindro!N462-(-B$4+Presion_cilindro!$B$34))/Presion_cilindro!$B$35)^(Presion_cilindro!$B$17+1)),0))/((Presion_cilindro!O462+Presion_cilindro!O463)/2)</f>
        <v>12.627813581492703</v>
      </c>
      <c r="C471" s="27">
        <f>C470*(Presion_cilindro!O462/Presion_cilindro!O463)^Presion_cilindro!$B$9+10*(Presion_cilindro!$B$9-1)*Presion_cilindro!$B$33*(IF(Presion_cilindro!N463&gt;(-C$4+Presion_cilindro!$B$34),1-EXP(-Presion_cilindro!$B$16*((Presion_cilindro!N463-(-C$4+Presion_cilindro!$B$34))/Presion_cilindro!$B$35)^(Presion_cilindro!$B$17+1)),0)-IF(Presion_cilindro!N462&gt;(-C$4+Presion_cilindro!$B$34),1-EXP(-Presion_cilindro!$B$16*((Presion_cilindro!N462-(-C$4+Presion_cilindro!$B$34))/Presion_cilindro!$B$35)^(Presion_cilindro!$B$17+1)),0))/((Presion_cilindro!O462+Presion_cilindro!O463)/2)</f>
        <v>12.582637081971502</v>
      </c>
      <c r="D471" s="27">
        <f>D470*(Presion_cilindro!O462/Presion_cilindro!O463)^Presion_cilindro!$B$9+10*(Presion_cilindro!$B$9-1)*Presion_cilindro!$B$33*(IF(Presion_cilindro!N463&gt;(-D$4+Presion_cilindro!$B$34),1-EXP(-Presion_cilindro!$B$16*((Presion_cilindro!N463-(-D$4+Presion_cilindro!$B$34))/Presion_cilindro!$B$35)^(Presion_cilindro!$B$17+1)),0)-IF(Presion_cilindro!N462&gt;(-D$4+Presion_cilindro!$B$34),1-EXP(-Presion_cilindro!$B$16*((Presion_cilindro!N462-(-D$4+Presion_cilindro!$B$34))/Presion_cilindro!$B$35)^(Presion_cilindro!$B$17+1)),0))/((Presion_cilindro!O462+Presion_cilindro!O463)/2)</f>
        <v>12.321041949299476</v>
      </c>
      <c r="E471" s="27">
        <f>E470*(Presion_cilindro!O462/Presion_cilindro!O463)^Presion_cilindro!$B$9+10*(Presion_cilindro!$B$9-1)*Presion_cilindro!$B$33*(IF(Presion_cilindro!N463&gt;(-E$4+Presion_cilindro!$B$34),1-EXP(-Presion_cilindro!$B$16*((Presion_cilindro!N463-(-E$4+Presion_cilindro!$B$34))/Presion_cilindro!$B$35)^(Presion_cilindro!$B$17+1)),0)-IF(Presion_cilindro!N462&gt;(-E$4+Presion_cilindro!$B$34),1-EXP(-Presion_cilindro!$B$16*((Presion_cilindro!N462-(-E$4+Presion_cilindro!$B$34))/Presion_cilindro!$B$35)^(Presion_cilindro!$B$17+1)),0))/((Presion_cilindro!O462+Presion_cilindro!O463)/2)</f>
        <v>12.013394558345016</v>
      </c>
      <c r="F471" s="27">
        <f>F470*(Presion_cilindro!O462/Presion_cilindro!O463)^Presion_cilindro!$B$9+10*(Presion_cilindro!$B$9-1)*Presion_cilindro!$B$33*(IF(Presion_cilindro!N463&gt;(-F$4+Presion_cilindro!$B$34),1-EXP(-Presion_cilindro!$B$16*((Presion_cilindro!N463-(-F$4+Presion_cilindro!$B$34))/Presion_cilindro!$B$35)^(Presion_cilindro!$B$17+1)),0)-IF(Presion_cilindro!N462&gt;(-F$4+Presion_cilindro!$B$34),1-EXP(-Presion_cilindro!$B$16*((Presion_cilindro!N462-(-F$4+Presion_cilindro!$B$34))/Presion_cilindro!$B$35)^(Presion_cilindro!$B$17+1)),0))/((Presion_cilindro!O462+Presion_cilindro!O463)/2)</f>
        <v>11.74044125409481</v>
      </c>
      <c r="G471" s="27">
        <f>G470*(Presion_cilindro!O462/Presion_cilindro!O463)^Presion_cilindro!$B$9+10*(Presion_cilindro!$B$9-1)*Presion_cilindro!$B$33*(IF(Presion_cilindro!N463&gt;(-G$4+Presion_cilindro!$B$34),1-EXP(-Presion_cilindro!$B$16*((Presion_cilindro!N463-(-G$4+Presion_cilindro!$B$34))/Presion_cilindro!$B$35)^(Presion_cilindro!$B$17+1)),0)-IF(Presion_cilindro!N462&gt;(-G$4+Presion_cilindro!$B$34),1-EXP(-Presion_cilindro!$B$16*((Presion_cilindro!N462-(-G$4+Presion_cilindro!$B$34))/Presion_cilindro!$B$35)^(Presion_cilindro!$B$17+1)),0))/((Presion_cilindro!O462+Presion_cilindro!O463)/2)</f>
        <v>11.535415491460252</v>
      </c>
      <c r="H471" s="27">
        <f>H470*(Presion_cilindro!O462/Presion_cilindro!O463)^Presion_cilindro!$B$9+10*(Presion_cilindro!$B$9-1)*Presion_cilindro!$B$33*(IF(Presion_cilindro!N463&gt;(-H$4+Presion_cilindro!$B$34),1-EXP(-Presion_cilindro!$B$16*((Presion_cilindro!N463-(-H$4+Presion_cilindro!$B$34))/Presion_cilindro!$B$35)^(Presion_cilindro!$B$17+1)),0)-IF(Presion_cilindro!N462&gt;(-H$4+Presion_cilindro!$B$34),1-EXP(-Presion_cilindro!$B$16*((Presion_cilindro!N462-(-H$4+Presion_cilindro!$B$34))/Presion_cilindro!$B$35)^(Presion_cilindro!$B$17+1)),0))/((Presion_cilindro!O462+Presion_cilindro!O463)/2)</f>
        <v>11.414212770081532</v>
      </c>
      <c r="I471" s="27">
        <f>I470*(Presion_cilindro!O462/Presion_cilindro!O463)^Presion_cilindro!$B$9+10*(Presion_cilindro!$B$9-1)*Presion_cilindro!$B$33*(IF(Presion_cilindro!N463&gt;(-I$4+Presion_cilindro!$B$34),1-EXP(-Presion_cilindro!$B$16*((Presion_cilindro!N463-(-I$4+Presion_cilindro!$B$34))/Presion_cilindro!$B$35)^(Presion_cilindro!$B$17+1)),0)-IF(Presion_cilindro!N462&gt;(-I$4+Presion_cilindro!$B$34),1-EXP(-Presion_cilindro!$B$16*((Presion_cilindro!N462-(-I$4+Presion_cilindro!$B$34))/Presion_cilindro!$B$35)^(Presion_cilindro!$B$17+1)),0))/((Presion_cilindro!O462+Presion_cilindro!O463)/2)</f>
        <v>11.385132158861555</v>
      </c>
      <c r="J471" s="27">
        <f>J470*(Presion_cilindro!O462/Presion_cilindro!O463)^Presion_cilindro!$B$9+10*(Presion_cilindro!$B$9-1)*Presion_cilindro!$B$33*(IF(Presion_cilindro!N463&gt;(-J$4+Presion_cilindro!$B$34),1-EXP(-Presion_cilindro!$B$16*((Presion_cilindro!N463-(-J$4+Presion_cilindro!$B$34))/Presion_cilindro!$B$35)^(Presion_cilindro!$B$17+1)),0)-IF(Presion_cilindro!N462&gt;(-J$4+Presion_cilindro!$B$34),1-EXP(-Presion_cilindro!$B$16*((Presion_cilindro!N462-(-J$4+Presion_cilindro!$B$34))/Presion_cilindro!$B$35)^(Presion_cilindro!$B$17+1)),0))/((Presion_cilindro!O462+Presion_cilindro!O463)/2)</f>
        <v>11.450020499033128</v>
      </c>
      <c r="K471" s="27">
        <f>K470*(Presion_cilindro!O462/Presion_cilindro!O463)^Presion_cilindro!$B$9+10*(Presion_cilindro!$B$9-1)*Presion_cilindro!$B$33*(IF(Presion_cilindro!N463&gt;(-K$4+Presion_cilindro!$B$34),1-EXP(-Presion_cilindro!$B$16*((Presion_cilindro!N463-(-K$4+Presion_cilindro!$B$34))/Presion_cilindro!$B$35)^(Presion_cilindro!$B$17+1)),0)-IF(Presion_cilindro!N462&gt;(-K$4+Presion_cilindro!$B$34),1-EXP(-Presion_cilindro!$B$16*((Presion_cilindro!N462-(-K$4+Presion_cilindro!$B$34))/Presion_cilindro!$B$35)^(Presion_cilindro!$B$17+1)),0))/((Presion_cilindro!O462+Presion_cilindro!O463)/2)</f>
        <v>11.604320893495402</v>
      </c>
      <c r="L471" s="27">
        <f>L470*(Presion_cilindro!O462/Presion_cilindro!O463)^Presion_cilindro!$B$9+10*(Presion_cilindro!$B$9-1)*Presion_cilindro!$B$33*(IF(Presion_cilindro!N463&gt;(-L$4+Presion_cilindro!$B$34),1-EXP(-Presion_cilindro!$B$16*((Presion_cilindro!N463-(-L$4+Presion_cilindro!$B$34))/Presion_cilindro!$B$35)^(Presion_cilindro!$B$17+1)),0)-IF(Presion_cilindro!N462&gt;(-L$4+Presion_cilindro!$B$34),1-EXP(-Presion_cilindro!$B$16*((Presion_cilindro!N462-(-L$4+Presion_cilindro!$B$34))/Presion_cilindro!$B$35)^(Presion_cilindro!$B$17+1)),0))/((Presion_cilindro!O462+Presion_cilindro!O463)/2)</f>
        <v>11.83804698215947</v>
      </c>
      <c r="M471" s="27">
        <f>M470*(Presion_cilindro!O462/Presion_cilindro!O463)^Presion_cilindro!$B$9+10*(Presion_cilindro!$B$9-1)*Presion_cilindro!$B$33*(IF(Presion_cilindro!N463&gt;(-M$4+Presion_cilindro!$B$34),1-EXP(-Presion_cilindro!$B$16*((Presion_cilindro!N463-(-M$4+Presion_cilindro!$B$34))/Presion_cilindro!$B$35)^(Presion_cilindro!$B$17+1)),0)-IF(Presion_cilindro!N462&gt;(-M$4+Presion_cilindro!$B$34),1-EXP(-Presion_cilindro!$B$16*((Presion_cilindro!N462-(-M$4+Presion_cilindro!$B$34))/Presion_cilindro!$B$35)^(Presion_cilindro!$B$17+1)),0))/((Presion_cilindro!O462+Presion_cilindro!O463)/2)</f>
        <v>12.137627501318486</v>
      </c>
      <c r="N471" s="27">
        <f>N470*(Presion_cilindro!O462/Presion_cilindro!O463)^Presion_cilindro!$B$9+10*(Presion_cilindro!$B$9-1)*Presion_cilindro!$B$33*(IF(Presion_cilindro!N463&gt;(-N$4+Presion_cilindro!$B$34),1-EXP(-Presion_cilindro!$B$16*((Presion_cilindro!N463-(-N$4+Presion_cilindro!$B$34))/Presion_cilindro!$B$35)^(Presion_cilindro!$B$17+1)),0)-IF(Presion_cilindro!N462&gt;(-N$4+Presion_cilindro!$B$34),1-EXP(-Presion_cilindro!$B$16*((Presion_cilindro!N462-(-N$4+Presion_cilindro!$B$34))/Presion_cilindro!$B$35)^(Presion_cilindro!$B$17+1)),0))/((Presion_cilindro!O462+Presion_cilindro!O463)/2)</f>
        <v>12.488034742085119</v>
      </c>
    </row>
    <row r="472" spans="1:14" x14ac:dyDescent="0.25">
      <c r="A472" s="21">
        <f>Presion_cilindro!N464</f>
        <v>50</v>
      </c>
      <c r="B472" s="27">
        <f>B471*(Presion_cilindro!O463/Presion_cilindro!O464)^Presion_cilindro!$B$9+10*(Presion_cilindro!$B$9-1)*Presion_cilindro!$B$33*(IF(Presion_cilindro!N464&gt;(-B$4+Presion_cilindro!$B$34),1-EXP(-Presion_cilindro!$B$16*((Presion_cilindro!N464-(-B$4+Presion_cilindro!$B$34))/Presion_cilindro!$B$35)^(Presion_cilindro!$B$17+1)),0)-IF(Presion_cilindro!N463&gt;(-B$4+Presion_cilindro!$B$34),1-EXP(-Presion_cilindro!$B$16*((Presion_cilindro!N463-(-B$4+Presion_cilindro!$B$34))/Presion_cilindro!$B$35)^(Presion_cilindro!$B$17+1)),0))/((Presion_cilindro!O463+Presion_cilindro!O464)/2)</f>
        <v>12.478854022031074</v>
      </c>
      <c r="C472" s="27">
        <f>C471*(Presion_cilindro!O463/Presion_cilindro!O464)^Presion_cilindro!$B$9+10*(Presion_cilindro!$B$9-1)*Presion_cilindro!$B$33*(IF(Presion_cilindro!N464&gt;(-C$4+Presion_cilindro!$B$34),1-EXP(-Presion_cilindro!$B$16*((Presion_cilindro!N464-(-C$4+Presion_cilindro!$B$34))/Presion_cilindro!$B$35)^(Presion_cilindro!$B$17+1)),0)-IF(Presion_cilindro!N463&gt;(-C$4+Presion_cilindro!$B$34),1-EXP(-Presion_cilindro!$B$16*((Presion_cilindro!N463-(-C$4+Presion_cilindro!$B$34))/Presion_cilindro!$B$35)^(Presion_cilindro!$B$17+1)),0))/((Presion_cilindro!O463+Presion_cilindro!O464)/2)</f>
        <v>12.401739214326033</v>
      </c>
      <c r="D472" s="27">
        <f>D471*(Presion_cilindro!O463/Presion_cilindro!O464)^Presion_cilindro!$B$9+10*(Presion_cilindro!$B$9-1)*Presion_cilindro!$B$33*(IF(Presion_cilindro!N464&gt;(-D$4+Presion_cilindro!$B$34),1-EXP(-Presion_cilindro!$B$16*((Presion_cilindro!N464-(-D$4+Presion_cilindro!$B$34))/Presion_cilindro!$B$35)^(Presion_cilindro!$B$17+1)),0)-IF(Presion_cilindro!N463&gt;(-D$4+Presion_cilindro!$B$34),1-EXP(-Presion_cilindro!$B$16*((Presion_cilindro!N463-(-D$4+Presion_cilindro!$B$34))/Presion_cilindro!$B$35)^(Presion_cilindro!$B$17+1)),0))/((Presion_cilindro!O463+Presion_cilindro!O464)/2)</f>
        <v>12.130819657596774</v>
      </c>
      <c r="E472" s="27">
        <f>E471*(Presion_cilindro!O463/Presion_cilindro!O464)^Presion_cilindro!$B$9+10*(Presion_cilindro!$B$9-1)*Presion_cilindro!$B$33*(IF(Presion_cilindro!N464&gt;(-E$4+Presion_cilindro!$B$34),1-EXP(-Presion_cilindro!$B$16*((Presion_cilindro!N464-(-E$4+Presion_cilindro!$B$34))/Presion_cilindro!$B$35)^(Presion_cilindro!$B$17+1)),0)-IF(Presion_cilindro!N463&gt;(-E$4+Presion_cilindro!$B$34),1-EXP(-Presion_cilindro!$B$16*((Presion_cilindro!N463-(-E$4+Presion_cilindro!$B$34))/Presion_cilindro!$B$35)^(Presion_cilindro!$B$17+1)),0))/((Presion_cilindro!O463+Presion_cilindro!O464)/2)</f>
        <v>11.82415682073732</v>
      </c>
      <c r="F472" s="27">
        <f>F471*(Presion_cilindro!O463/Presion_cilindro!O464)^Presion_cilindro!$B$9+10*(Presion_cilindro!$B$9-1)*Presion_cilindro!$B$33*(IF(Presion_cilindro!N464&gt;(-F$4+Presion_cilindro!$B$34),1-EXP(-Presion_cilindro!$B$16*((Presion_cilindro!N464-(-F$4+Presion_cilindro!$B$34))/Presion_cilindro!$B$35)^(Presion_cilindro!$B$17+1)),0)-IF(Presion_cilindro!N463&gt;(-F$4+Presion_cilindro!$B$34),1-EXP(-Presion_cilindro!$B$16*((Presion_cilindro!N463-(-F$4+Presion_cilindro!$B$34))/Presion_cilindro!$B$35)^(Presion_cilindro!$B$17+1)),0))/((Presion_cilindro!O463+Presion_cilindro!O464)/2)</f>
        <v>11.554749633510514</v>
      </c>
      <c r="G472" s="27">
        <f>G471*(Presion_cilindro!O463/Presion_cilindro!O464)^Presion_cilindro!$B$9+10*(Presion_cilindro!$B$9-1)*Presion_cilindro!$B$33*(IF(Presion_cilindro!N464&gt;(-G$4+Presion_cilindro!$B$34),1-EXP(-Presion_cilindro!$B$16*((Presion_cilindro!N464-(-G$4+Presion_cilindro!$B$34))/Presion_cilindro!$B$35)^(Presion_cilindro!$B$17+1)),0)-IF(Presion_cilindro!N463&gt;(-G$4+Presion_cilindro!$B$34),1-EXP(-Presion_cilindro!$B$16*((Presion_cilindro!N463-(-G$4+Presion_cilindro!$B$34))/Presion_cilindro!$B$35)^(Presion_cilindro!$B$17+1)),0))/((Presion_cilindro!O463+Presion_cilindro!O464)/2)</f>
        <v>11.352864257105864</v>
      </c>
      <c r="H472" s="27">
        <f>H471*(Presion_cilindro!O463/Presion_cilindro!O464)^Presion_cilindro!$B$9+10*(Presion_cilindro!$B$9-1)*Presion_cilindro!$B$33*(IF(Presion_cilindro!N464&gt;(-H$4+Presion_cilindro!$B$34),1-EXP(-Presion_cilindro!$B$16*((Presion_cilindro!N464-(-H$4+Presion_cilindro!$B$34))/Presion_cilindro!$B$35)^(Presion_cilindro!$B$17+1)),0)-IF(Presion_cilindro!N463&gt;(-H$4+Presion_cilindro!$B$34),1-EXP(-Presion_cilindro!$B$16*((Presion_cilindro!N463-(-H$4+Presion_cilindro!$B$34))/Presion_cilindro!$B$35)^(Presion_cilindro!$B$17+1)),0))/((Presion_cilindro!O463+Presion_cilindro!O464)/2)</f>
        <v>11.233570380366951</v>
      </c>
      <c r="I472" s="27">
        <f>I471*(Presion_cilindro!O463/Presion_cilindro!O464)^Presion_cilindro!$B$9+10*(Presion_cilindro!$B$9-1)*Presion_cilindro!$B$33*(IF(Presion_cilindro!N464&gt;(-I$4+Presion_cilindro!$B$34),1-EXP(-Presion_cilindro!$B$16*((Presion_cilindro!N464-(-I$4+Presion_cilindro!$B$34))/Presion_cilindro!$B$35)^(Presion_cilindro!$B$17+1)),0)-IF(Presion_cilindro!N463&gt;(-I$4+Presion_cilindro!$B$34),1-EXP(-Presion_cilindro!$B$16*((Presion_cilindro!N463-(-I$4+Presion_cilindro!$B$34))/Presion_cilindro!$B$35)^(Presion_cilindro!$B$17+1)),0))/((Presion_cilindro!O463+Presion_cilindro!O464)/2)</f>
        <v>11.204949464469742</v>
      </c>
      <c r="J472" s="27">
        <f>J471*(Presion_cilindro!O463/Presion_cilindro!O464)^Presion_cilindro!$B$9+10*(Presion_cilindro!$B$9-1)*Presion_cilindro!$B$33*(IF(Presion_cilindro!N464&gt;(-J$4+Presion_cilindro!$B$34),1-EXP(-Presion_cilindro!$B$16*((Presion_cilindro!N464-(-J$4+Presion_cilindro!$B$34))/Presion_cilindro!$B$35)^(Presion_cilindro!$B$17+1)),0)-IF(Presion_cilindro!N463&gt;(-J$4+Presion_cilindro!$B$34),1-EXP(-Presion_cilindro!$B$16*((Presion_cilindro!N463-(-J$4+Presion_cilindro!$B$34))/Presion_cilindro!$B$35)^(Presion_cilindro!$B$17+1)),0))/((Presion_cilindro!O463+Presion_cilindro!O464)/2)</f>
        <v>11.268810852998779</v>
      </c>
      <c r="K472" s="27">
        <f>K471*(Presion_cilindro!O463/Presion_cilindro!O464)^Presion_cilindro!$B$9+10*(Presion_cilindro!$B$9-1)*Presion_cilindro!$B$33*(IF(Presion_cilindro!N464&gt;(-K$4+Presion_cilindro!$B$34),1-EXP(-Presion_cilindro!$B$16*((Presion_cilindro!N464-(-K$4+Presion_cilindro!$B$34))/Presion_cilindro!$B$35)^(Presion_cilindro!$B$17+1)),0)-IF(Presion_cilindro!N463&gt;(-K$4+Presion_cilindro!$B$34),1-EXP(-Presion_cilindro!$B$16*((Presion_cilindro!N463-(-K$4+Presion_cilindro!$B$34))/Presion_cilindro!$B$35)^(Presion_cilindro!$B$17+1)),0))/((Presion_cilindro!O463+Presion_cilindro!O464)/2)</f>
        <v>11.420669267123325</v>
      </c>
      <c r="L472" s="27">
        <f>L471*(Presion_cilindro!O463/Presion_cilindro!O464)^Presion_cilindro!$B$9+10*(Presion_cilindro!$B$9-1)*Presion_cilindro!$B$33*(IF(Presion_cilindro!N464&gt;(-L$4+Presion_cilindro!$B$34),1-EXP(-Presion_cilindro!$B$16*((Presion_cilindro!N464-(-L$4+Presion_cilindro!$B$34))/Presion_cilindro!$B$35)^(Presion_cilindro!$B$17+1)),0)-IF(Presion_cilindro!N463&gt;(-L$4+Presion_cilindro!$B$34),1-EXP(-Presion_cilindro!$B$16*((Presion_cilindro!N463-(-L$4+Presion_cilindro!$B$34))/Presion_cilindro!$B$35)^(Presion_cilindro!$B$17+1)),0))/((Presion_cilindro!O463+Presion_cilindro!O464)/2)</f>
        <v>11.650696373591778</v>
      </c>
      <c r="M472" s="27">
        <f>M471*(Presion_cilindro!O463/Presion_cilindro!O464)^Presion_cilindro!$B$9+10*(Presion_cilindro!$B$9-1)*Presion_cilindro!$B$33*(IF(Presion_cilindro!N464&gt;(-M$4+Presion_cilindro!$B$34),1-EXP(-Presion_cilindro!$B$16*((Presion_cilindro!N464-(-M$4+Presion_cilindro!$B$34))/Presion_cilindro!$B$35)^(Presion_cilindro!$B$17+1)),0)-IF(Presion_cilindro!N463&gt;(-M$4+Presion_cilindro!$B$34),1-EXP(-Presion_cilindro!$B$16*((Presion_cilindro!N463-(-M$4+Presion_cilindro!$B$34))/Presion_cilindro!$B$35)^(Presion_cilindro!$B$17+1)),0))/((Presion_cilindro!O463+Presion_cilindro!O464)/2)</f>
        <v>11.945535689014687</v>
      </c>
      <c r="N472" s="27">
        <f>N471*(Presion_cilindro!O463/Presion_cilindro!O464)^Presion_cilindro!$B$9+10*(Presion_cilindro!$B$9-1)*Presion_cilindro!$B$33*(IF(Presion_cilindro!N464&gt;(-N$4+Presion_cilindro!$B$34),1-EXP(-Presion_cilindro!$B$16*((Presion_cilindro!N464-(-N$4+Presion_cilindro!$B$34))/Presion_cilindro!$B$35)^(Presion_cilindro!$B$17+1)),0)-IF(Presion_cilindro!N463&gt;(-N$4+Presion_cilindro!$B$34),1-EXP(-Presion_cilindro!$B$16*((Presion_cilindro!N463-(-N$4+Presion_cilindro!$B$34))/Presion_cilindro!$B$35)^(Presion_cilindro!$B$17+1)),0))/((Presion_cilindro!O463+Presion_cilindro!O464)/2)</f>
        <v>12.290397335148768</v>
      </c>
    </row>
    <row r="473" spans="1:14" x14ac:dyDescent="0.25">
      <c r="A473" s="21">
        <f>Presion_cilindro!N465</f>
        <v>50.5</v>
      </c>
      <c r="B473" s="27">
        <f>B472*(Presion_cilindro!O464/Presion_cilindro!O465)^Presion_cilindro!$B$9+10*(Presion_cilindro!$B$9-1)*Presion_cilindro!$B$33*(IF(Presion_cilindro!N465&gt;(-B$4+Presion_cilindro!$B$34),1-EXP(-Presion_cilindro!$B$16*((Presion_cilindro!N465-(-B$4+Presion_cilindro!$B$34))/Presion_cilindro!$B$35)^(Presion_cilindro!$B$17+1)),0)-IF(Presion_cilindro!N464&gt;(-B$4+Presion_cilindro!$B$34),1-EXP(-Presion_cilindro!$B$16*((Presion_cilindro!N464-(-B$4+Presion_cilindro!$B$34))/Presion_cilindro!$B$35)^(Presion_cilindro!$B$17+1)),0))/((Presion_cilindro!O464+Presion_cilindro!O465)/2)</f>
        <v>12.328571140379591</v>
      </c>
      <c r="C473" s="27">
        <f>C472*(Presion_cilindro!O464/Presion_cilindro!O465)^Presion_cilindro!$B$9+10*(Presion_cilindro!$B$9-1)*Presion_cilindro!$B$33*(IF(Presion_cilindro!N465&gt;(-C$4+Presion_cilindro!$B$34),1-EXP(-Presion_cilindro!$B$16*((Presion_cilindro!N465-(-C$4+Presion_cilindro!$B$34))/Presion_cilindro!$B$35)^(Presion_cilindro!$B$17+1)),0)-IF(Presion_cilindro!N464&gt;(-C$4+Presion_cilindro!$B$34),1-EXP(-Presion_cilindro!$B$16*((Presion_cilindro!N464-(-C$4+Presion_cilindro!$B$34))/Presion_cilindro!$B$35)^(Presion_cilindro!$B$17+1)),0))/((Presion_cilindro!O464+Presion_cilindro!O465)/2)</f>
        <v>12.222666164377545</v>
      </c>
      <c r="D473" s="27">
        <f>D472*(Presion_cilindro!O464/Presion_cilindro!O465)^Presion_cilindro!$B$9+10*(Presion_cilindro!$B$9-1)*Presion_cilindro!$B$33*(IF(Presion_cilindro!N465&gt;(-D$4+Presion_cilindro!$B$34),1-EXP(-Presion_cilindro!$B$16*((Presion_cilindro!N465-(-D$4+Presion_cilindro!$B$34))/Presion_cilindro!$B$35)^(Presion_cilindro!$B$17+1)),0)-IF(Presion_cilindro!N464&gt;(-D$4+Presion_cilindro!$B$34),1-EXP(-Presion_cilindro!$B$16*((Presion_cilindro!N464-(-D$4+Presion_cilindro!$B$34))/Presion_cilindro!$B$35)^(Presion_cilindro!$B$17+1)),0))/((Presion_cilindro!O464+Presion_cilindro!O465)/2)</f>
        <v>11.94406640041935</v>
      </c>
      <c r="E473" s="27">
        <f>E472*(Presion_cilindro!O464/Presion_cilindro!O465)^Presion_cilindro!$B$9+10*(Presion_cilindro!$B$9-1)*Presion_cilindro!$B$33*(IF(Presion_cilindro!N465&gt;(-E$4+Presion_cilindro!$B$34),1-EXP(-Presion_cilindro!$B$16*((Presion_cilindro!N465-(-E$4+Presion_cilindro!$B$34))/Presion_cilindro!$B$35)^(Presion_cilindro!$B$17+1)),0)-IF(Presion_cilindro!N464&gt;(-E$4+Presion_cilindro!$B$34),1-EXP(-Presion_cilindro!$B$16*((Presion_cilindro!N464-(-E$4+Presion_cilindro!$B$34))/Presion_cilindro!$B$35)^(Presion_cilindro!$B$17+1)),0))/((Presion_cilindro!O464+Presion_cilindro!O465)/2)</f>
        <v>11.638904914251604</v>
      </c>
      <c r="F473" s="27">
        <f>F472*(Presion_cilindro!O464/Presion_cilindro!O465)^Presion_cilindro!$B$9+10*(Presion_cilindro!$B$9-1)*Presion_cilindro!$B$33*(IF(Presion_cilindro!N465&gt;(-F$4+Presion_cilindro!$B$34),1-EXP(-Presion_cilindro!$B$16*((Presion_cilindro!N465-(-F$4+Presion_cilindro!$B$34))/Presion_cilindro!$B$35)^(Presion_cilindro!$B$17+1)),0)-IF(Presion_cilindro!N464&gt;(-F$4+Presion_cilindro!$B$34),1-EXP(-Presion_cilindro!$B$16*((Presion_cilindro!N464-(-F$4+Presion_cilindro!$B$34))/Presion_cilindro!$B$35)^(Presion_cilindro!$B$17+1)),0))/((Presion_cilindro!O464+Presion_cilindro!O465)/2)</f>
        <v>11.373098158278358</v>
      </c>
      <c r="G473" s="27">
        <f>G472*(Presion_cilindro!O464/Presion_cilindro!O465)^Presion_cilindro!$B$9+10*(Presion_cilindro!$B$9-1)*Presion_cilindro!$B$33*(IF(Presion_cilindro!N465&gt;(-G$4+Presion_cilindro!$B$34),1-EXP(-Presion_cilindro!$B$16*((Presion_cilindro!N465-(-G$4+Presion_cilindro!$B$34))/Presion_cilindro!$B$35)^(Presion_cilindro!$B$17+1)),0)-IF(Presion_cilindro!N464&gt;(-G$4+Presion_cilindro!$B$34),1-EXP(-Presion_cilindro!$B$16*((Presion_cilindro!N464-(-G$4+Presion_cilindro!$B$34))/Presion_cilindro!$B$35)^(Presion_cilindro!$B$17+1)),0))/((Presion_cilindro!O464+Presion_cilindro!O465)/2)</f>
        <v>11.174305623666324</v>
      </c>
      <c r="H473" s="27">
        <f>H472*(Presion_cilindro!O464/Presion_cilindro!O465)^Presion_cilindro!$B$9+10*(Presion_cilindro!$B$9-1)*Presion_cilindro!$B$33*(IF(Presion_cilindro!N465&gt;(-H$4+Presion_cilindro!$B$34),1-EXP(-Presion_cilindro!$B$16*((Presion_cilindro!N465-(-H$4+Presion_cilindro!$B$34))/Presion_cilindro!$B$35)^(Presion_cilindro!$B$17+1)),0)-IF(Presion_cilindro!N464&gt;(-H$4+Presion_cilindro!$B$34),1-EXP(-Presion_cilindro!$B$16*((Presion_cilindro!N464-(-H$4+Presion_cilindro!$B$34))/Presion_cilindro!$B$35)^(Presion_cilindro!$B$17+1)),0))/((Presion_cilindro!O464+Presion_cilindro!O465)/2)</f>
        <v>11.056881018042384</v>
      </c>
      <c r="I473" s="27">
        <f>I472*(Presion_cilindro!O464/Presion_cilindro!O465)^Presion_cilindro!$B$9+10*(Presion_cilindro!$B$9-1)*Presion_cilindro!$B$33*(IF(Presion_cilindro!N465&gt;(-I$4+Presion_cilindro!$B$34),1-EXP(-Presion_cilindro!$B$16*((Presion_cilindro!N465-(-I$4+Presion_cilindro!$B$34))/Presion_cilindro!$B$35)^(Presion_cilindro!$B$17+1)),0)-IF(Presion_cilindro!N464&gt;(-I$4+Presion_cilindro!$B$34),1-EXP(-Presion_cilindro!$B$16*((Presion_cilindro!N464-(-I$4+Presion_cilindro!$B$34))/Presion_cilindro!$B$35)^(Presion_cilindro!$B$17+1)),0))/((Presion_cilindro!O464+Presion_cilindro!O465)/2)</f>
        <v>11.028709882498109</v>
      </c>
      <c r="J473" s="27">
        <f>J472*(Presion_cilindro!O464/Presion_cilindro!O465)^Presion_cilindro!$B$9+10*(Presion_cilindro!$B$9-1)*Presion_cilindro!$B$33*(IF(Presion_cilindro!N465&gt;(-J$4+Presion_cilindro!$B$34),1-EXP(-Presion_cilindro!$B$16*((Presion_cilindro!N465-(-J$4+Presion_cilindro!$B$34))/Presion_cilindro!$B$35)^(Presion_cilindro!$B$17+1)),0)-IF(Presion_cilindro!N464&gt;(-J$4+Presion_cilindro!$B$34),1-EXP(-Presion_cilindro!$B$16*((Presion_cilindro!N464-(-J$4+Presion_cilindro!$B$34))/Presion_cilindro!$B$35)^(Presion_cilindro!$B$17+1)),0))/((Presion_cilindro!O464+Presion_cilindro!O465)/2)</f>
        <v>11.091566799129685</v>
      </c>
      <c r="K473" s="27">
        <f>K472*(Presion_cilindro!O464/Presion_cilindro!O465)^Presion_cilindro!$B$9+10*(Presion_cilindro!$B$9-1)*Presion_cilindro!$B$33*(IF(Presion_cilindro!N465&gt;(-K$4+Presion_cilindro!$B$34),1-EXP(-Presion_cilindro!$B$16*((Presion_cilindro!N465-(-K$4+Presion_cilindro!$B$34))/Presion_cilindro!$B$35)^(Presion_cilindro!$B$17+1)),0)-IF(Presion_cilindro!N464&gt;(-K$4+Presion_cilindro!$B$34),1-EXP(-Presion_cilindro!$B$16*((Presion_cilindro!N464-(-K$4+Presion_cilindro!$B$34))/Presion_cilindro!$B$35)^(Presion_cilindro!$B$17+1)),0))/((Presion_cilindro!O464+Presion_cilindro!O465)/2)</f>
        <v>11.24103667336688</v>
      </c>
      <c r="L473" s="27">
        <f>L472*(Presion_cilindro!O464/Presion_cilindro!O465)^Presion_cilindro!$B$9+10*(Presion_cilindro!$B$9-1)*Presion_cilindro!$B$33*(IF(Presion_cilindro!N465&gt;(-L$4+Presion_cilindro!$B$34),1-EXP(-Presion_cilindro!$B$16*((Presion_cilindro!N465-(-L$4+Presion_cilindro!$B$34))/Presion_cilindro!$B$35)^(Presion_cilindro!$B$17+1)),0)-IF(Presion_cilindro!N464&gt;(-L$4+Presion_cilindro!$B$34),1-EXP(-Presion_cilindro!$B$16*((Presion_cilindro!N464-(-L$4+Presion_cilindro!$B$34))/Presion_cilindro!$B$35)^(Presion_cilindro!$B$17+1)),0))/((Presion_cilindro!O464+Presion_cilindro!O465)/2)</f>
        <v>11.46744574617682</v>
      </c>
      <c r="M473" s="27">
        <f>M472*(Presion_cilindro!O464/Presion_cilindro!O465)^Presion_cilindro!$B$9+10*(Presion_cilindro!$B$9-1)*Presion_cilindro!$B$33*(IF(Presion_cilindro!N465&gt;(-M$4+Presion_cilindro!$B$34),1-EXP(-Presion_cilindro!$B$16*((Presion_cilindro!N465-(-M$4+Presion_cilindro!$B$34))/Presion_cilindro!$B$35)^(Presion_cilindro!$B$17+1)),0)-IF(Presion_cilindro!N464&gt;(-M$4+Presion_cilindro!$B$34),1-EXP(-Presion_cilindro!$B$16*((Presion_cilindro!N464-(-M$4+Presion_cilindro!$B$34))/Presion_cilindro!$B$35)^(Presion_cilindro!$B$17+1)),0))/((Presion_cilindro!O464+Presion_cilindro!O465)/2)</f>
        <v>11.757647614377206</v>
      </c>
      <c r="N473" s="27">
        <f>N472*(Presion_cilindro!O464/Presion_cilindro!O465)^Presion_cilindro!$B$9+10*(Presion_cilindro!$B$9-1)*Presion_cilindro!$B$33*(IF(Presion_cilindro!N465&gt;(-N$4+Presion_cilindro!$B$34),1-EXP(-Presion_cilindro!$B$16*((Presion_cilindro!N465-(-N$4+Presion_cilindro!$B$34))/Presion_cilindro!$B$35)^(Presion_cilindro!$B$17+1)),0)-IF(Presion_cilindro!N464&gt;(-N$4+Presion_cilindro!$B$34),1-EXP(-Presion_cilindro!$B$16*((Presion_cilindro!N464-(-N$4+Presion_cilindro!$B$34))/Presion_cilindro!$B$35)^(Presion_cilindro!$B$17+1)),0))/((Presion_cilindro!O464+Presion_cilindro!O465)/2)</f>
        <v>12.097085025684544</v>
      </c>
    </row>
    <row r="474" spans="1:14" x14ac:dyDescent="0.25">
      <c r="A474" s="21">
        <f>Presion_cilindro!N466</f>
        <v>51</v>
      </c>
      <c r="B474" s="27">
        <f>B473*(Presion_cilindro!O465/Presion_cilindro!O466)^Presion_cilindro!$B$9+10*(Presion_cilindro!$B$9-1)*Presion_cilindro!$B$33*(IF(Presion_cilindro!N466&gt;(-B$4+Presion_cilindro!$B$34),1-EXP(-Presion_cilindro!$B$16*((Presion_cilindro!N466-(-B$4+Presion_cilindro!$B$34))/Presion_cilindro!$B$35)^(Presion_cilindro!$B$17+1)),0)-IF(Presion_cilindro!N465&gt;(-B$4+Presion_cilindro!$B$34),1-EXP(-Presion_cilindro!$B$16*((Presion_cilindro!N465-(-B$4+Presion_cilindro!$B$34))/Presion_cilindro!$B$35)^(Presion_cilindro!$B$17+1)),0))/((Presion_cilindro!O465+Presion_cilindro!O466)/2)</f>
        <v>12.177315885160603</v>
      </c>
      <c r="C474" s="27">
        <f>C473*(Presion_cilindro!O465/Presion_cilindro!O466)^Presion_cilindro!$B$9+10*(Presion_cilindro!$B$9-1)*Presion_cilindro!$B$33*(IF(Presion_cilindro!N466&gt;(-C$4+Presion_cilindro!$B$34),1-EXP(-Presion_cilindro!$B$16*((Presion_cilindro!N466-(-C$4+Presion_cilindro!$B$34))/Presion_cilindro!$B$35)^(Presion_cilindro!$B$17+1)),0)-IF(Presion_cilindro!N465&gt;(-C$4+Presion_cilindro!$B$34),1-EXP(-Presion_cilindro!$B$16*((Presion_cilindro!N465-(-C$4+Presion_cilindro!$B$34))/Presion_cilindro!$B$35)^(Presion_cilindro!$B$17+1)),0))/((Presion_cilindro!O465+Presion_cilindro!O466)/2)</f>
        <v>12.045593534862537</v>
      </c>
      <c r="D474" s="27">
        <f>D473*(Presion_cilindro!O465/Presion_cilindro!O466)^Presion_cilindro!$B$9+10*(Presion_cilindro!$B$9-1)*Presion_cilindro!$B$33*(IF(Presion_cilindro!N466&gt;(-D$4+Presion_cilindro!$B$34),1-EXP(-Presion_cilindro!$B$16*((Presion_cilindro!N466-(-D$4+Presion_cilindro!$B$34))/Presion_cilindro!$B$35)^(Presion_cilindro!$B$17+1)),0)-IF(Presion_cilindro!N465&gt;(-D$4+Presion_cilindro!$B$34),1-EXP(-Presion_cilindro!$B$16*((Presion_cilindro!N465-(-D$4+Presion_cilindro!$B$34))/Presion_cilindro!$B$35)^(Presion_cilindro!$B$17+1)),0))/((Presion_cilindro!O465+Presion_cilindro!O466)/2)</f>
        <v>11.760794831414202</v>
      </c>
      <c r="E474" s="27">
        <f>E473*(Presion_cilindro!O465/Presion_cilindro!O466)^Presion_cilindro!$B$9+10*(Presion_cilindro!$B$9-1)*Presion_cilindro!$B$33*(IF(Presion_cilindro!N466&gt;(-E$4+Presion_cilindro!$B$34),1-EXP(-Presion_cilindro!$B$16*((Presion_cilindro!N466-(-E$4+Presion_cilindro!$B$34))/Presion_cilindro!$B$35)^(Presion_cilindro!$B$17+1)),0)-IF(Presion_cilindro!N465&gt;(-E$4+Presion_cilindro!$B$34),1-EXP(-Presion_cilindro!$B$16*((Presion_cilindro!N465-(-E$4+Presion_cilindro!$B$34))/Presion_cilindro!$B$35)^(Presion_cilindro!$B$17+1)),0))/((Presion_cilindro!O465+Presion_cilindro!O466)/2)</f>
        <v>11.457572400717218</v>
      </c>
      <c r="F474" s="27">
        <f>F473*(Presion_cilindro!O465/Presion_cilindro!O466)^Presion_cilindro!$B$9+10*(Presion_cilindro!$B$9-1)*Presion_cilindro!$B$33*(IF(Presion_cilindro!N466&gt;(-F$4+Presion_cilindro!$B$34),1-EXP(-Presion_cilindro!$B$16*((Presion_cilindro!N466-(-F$4+Presion_cilindro!$B$34))/Presion_cilindro!$B$35)^(Presion_cilindro!$B$17+1)),0)-IF(Presion_cilindro!N465&gt;(-F$4+Presion_cilindro!$B$34),1-EXP(-Presion_cilindro!$B$16*((Presion_cilindro!N465-(-F$4+Presion_cilindro!$B$34))/Presion_cilindro!$B$35)^(Presion_cilindro!$B$17+1)),0))/((Presion_cilindro!O465+Presion_cilindro!O466)/2)</f>
        <v>11.195397965063872</v>
      </c>
      <c r="G474" s="27">
        <f>G473*(Presion_cilindro!O465/Presion_cilindro!O466)^Presion_cilindro!$B$9+10*(Presion_cilindro!$B$9-1)*Presion_cilindro!$B$33*(IF(Presion_cilindro!N466&gt;(-G$4+Presion_cilindro!$B$34),1-EXP(-Presion_cilindro!$B$16*((Presion_cilindro!N466-(-G$4+Presion_cilindro!$B$34))/Presion_cilindro!$B$35)^(Presion_cilindro!$B$17+1)),0)-IF(Presion_cilindro!N465&gt;(-G$4+Presion_cilindro!$B$34),1-EXP(-Presion_cilindro!$B$16*((Presion_cilindro!N465-(-G$4+Presion_cilindro!$B$34))/Presion_cilindro!$B$35)^(Presion_cilindro!$B$17+1)),0))/((Presion_cilindro!O465+Presion_cilindro!O466)/2)</f>
        <v>10.999647687664062</v>
      </c>
      <c r="H474" s="27">
        <f>H473*(Presion_cilindro!O465/Presion_cilindro!O466)^Presion_cilindro!$B$9+10*(Presion_cilindro!$B$9-1)*Presion_cilindro!$B$33*(IF(Presion_cilindro!N466&gt;(-H$4+Presion_cilindro!$B$34),1-EXP(-Presion_cilindro!$B$16*((Presion_cilindro!N466-(-H$4+Presion_cilindro!$B$34))/Presion_cilindro!$B$35)^(Presion_cilindro!$B$17+1)),0)-IF(Presion_cilindro!N465&gt;(-H$4+Presion_cilindro!$B$34),1-EXP(-Presion_cilindro!$B$16*((Presion_cilindro!N465-(-H$4+Presion_cilindro!$B$34))/Presion_cilindro!$B$35)^(Presion_cilindro!$B$17+1)),0))/((Presion_cilindro!O465+Presion_cilindro!O466)/2)</f>
        <v>10.884053189119314</v>
      </c>
      <c r="I474" s="27">
        <f>I473*(Presion_cilindro!O465/Presion_cilindro!O466)^Presion_cilindro!$B$9+10*(Presion_cilindro!$B$9-1)*Presion_cilindro!$B$33*(IF(Presion_cilindro!N466&gt;(-I$4+Presion_cilindro!$B$34),1-EXP(-Presion_cilindro!$B$16*((Presion_cilindro!N466-(-I$4+Presion_cilindro!$B$34))/Presion_cilindro!$B$35)^(Presion_cilindro!$B$17+1)),0)-IF(Presion_cilindro!N465&gt;(-I$4+Presion_cilindro!$B$34),1-EXP(-Presion_cilindro!$B$16*((Presion_cilindro!N465-(-I$4+Presion_cilindro!$B$34))/Presion_cilindro!$B$35)^(Presion_cilindro!$B$17+1)),0))/((Presion_cilindro!O465+Presion_cilindro!O466)/2)</f>
        <v>10.856322110062548</v>
      </c>
      <c r="J474" s="27">
        <f>J473*(Presion_cilindro!O465/Presion_cilindro!O466)^Presion_cilindro!$B$9+10*(Presion_cilindro!$B$9-1)*Presion_cilindro!$B$33*(IF(Presion_cilindro!N466&gt;(-J$4+Presion_cilindro!$B$34),1-EXP(-Presion_cilindro!$B$16*((Presion_cilindro!N466-(-J$4+Presion_cilindro!$B$34))/Presion_cilindro!$B$35)^(Presion_cilindro!$B$17+1)),0)-IF(Presion_cilindro!N465&gt;(-J$4+Presion_cilindro!$B$34),1-EXP(-Presion_cilindro!$B$16*((Presion_cilindro!N465-(-J$4+Presion_cilindro!$B$34))/Presion_cilindro!$B$35)^(Presion_cilindro!$B$17+1)),0))/((Presion_cilindro!O465+Presion_cilindro!O466)/2)</f>
        <v>10.918196512229725</v>
      </c>
      <c r="K474" s="27">
        <f>K473*(Presion_cilindro!O465/Presion_cilindro!O466)^Presion_cilindro!$B$9+10*(Presion_cilindro!$B$9-1)*Presion_cilindro!$B$33*(IF(Presion_cilindro!N466&gt;(-K$4+Presion_cilindro!$B$34),1-EXP(-Presion_cilindro!$B$16*((Presion_cilindro!N466-(-K$4+Presion_cilindro!$B$34))/Presion_cilindro!$B$35)^(Presion_cilindro!$B$17+1)),0)-IF(Presion_cilindro!N465&gt;(-K$4+Presion_cilindro!$B$34),1-EXP(-Presion_cilindro!$B$16*((Presion_cilindro!N465-(-K$4+Presion_cilindro!$B$34))/Presion_cilindro!$B$35)^(Presion_cilindro!$B$17+1)),0))/((Presion_cilindro!O465+Presion_cilindro!O466)/2)</f>
        <v>11.06533004954059</v>
      </c>
      <c r="L474" s="27">
        <f>L473*(Presion_cilindro!O465/Presion_cilindro!O466)^Presion_cilindro!$B$9+10*(Presion_cilindro!$B$9-1)*Presion_cilindro!$B$33*(IF(Presion_cilindro!N466&gt;(-L$4+Presion_cilindro!$B$34),1-EXP(-Presion_cilindro!$B$16*((Presion_cilindro!N466-(-L$4+Presion_cilindro!$B$34))/Presion_cilindro!$B$35)^(Presion_cilindro!$B$17+1)),0)-IF(Presion_cilindro!N465&gt;(-L$4+Presion_cilindro!$B$34),1-EXP(-Presion_cilindro!$B$16*((Presion_cilindro!N465-(-L$4+Presion_cilindro!$B$34))/Presion_cilindro!$B$35)^(Presion_cilindro!$B$17+1)),0))/((Presion_cilindro!O465+Presion_cilindro!O466)/2)</f>
        <v>11.288200162824944</v>
      </c>
      <c r="M474" s="27">
        <f>M473*(Presion_cilindro!O465/Presion_cilindro!O466)^Presion_cilindro!$B$9+10*(Presion_cilindro!$B$9-1)*Presion_cilindro!$B$33*(IF(Presion_cilindro!N466&gt;(-M$4+Presion_cilindro!$B$34),1-EXP(-Presion_cilindro!$B$16*((Presion_cilindro!N466-(-M$4+Presion_cilindro!$B$34))/Presion_cilindro!$B$35)^(Presion_cilindro!$B$17+1)),0)-IF(Presion_cilindro!N465&gt;(-M$4+Presion_cilindro!$B$34),1-EXP(-Presion_cilindro!$B$16*((Presion_cilindro!N465-(-M$4+Presion_cilindro!$B$34))/Presion_cilindro!$B$35)^(Presion_cilindro!$B$17+1)),0))/((Presion_cilindro!O465+Presion_cilindro!O466)/2)</f>
        <v>11.57386593778304</v>
      </c>
      <c r="N474" s="27">
        <f>N473*(Presion_cilindro!O465/Presion_cilindro!O466)^Presion_cilindro!$B$9+10*(Presion_cilindro!$B$9-1)*Presion_cilindro!$B$33*(IF(Presion_cilindro!N466&gt;(-N$4+Presion_cilindro!$B$34),1-EXP(-Presion_cilindro!$B$16*((Presion_cilindro!N466-(-N$4+Presion_cilindro!$B$34))/Presion_cilindro!$B$35)^(Presion_cilindro!$B$17+1)),0)-IF(Presion_cilindro!N465&gt;(-N$4+Presion_cilindro!$B$34),1-EXP(-Presion_cilindro!$B$16*((Presion_cilindro!N465-(-N$4+Presion_cilindro!$B$34))/Presion_cilindro!$B$35)^(Presion_cilindro!$B$17+1)),0))/((Presion_cilindro!O465+Presion_cilindro!O466)/2)</f>
        <v>11.907997663923172</v>
      </c>
    </row>
    <row r="475" spans="1:14" x14ac:dyDescent="0.25">
      <c r="A475" s="21">
        <f>Presion_cilindro!N467</f>
        <v>51.5</v>
      </c>
      <c r="B475" s="27">
        <f>B474*(Presion_cilindro!O466/Presion_cilindro!O467)^Presion_cilindro!$B$9+10*(Presion_cilindro!$B$9-1)*Presion_cilindro!$B$33*(IF(Presion_cilindro!N467&gt;(-B$4+Presion_cilindro!$B$34),1-EXP(-Presion_cilindro!$B$16*((Presion_cilindro!N467-(-B$4+Presion_cilindro!$B$34))/Presion_cilindro!$B$35)^(Presion_cilindro!$B$17+1)),0)-IF(Presion_cilindro!N466&gt;(-B$4+Presion_cilindro!$B$34),1-EXP(-Presion_cilindro!$B$16*((Presion_cilindro!N466-(-B$4+Presion_cilindro!$B$34))/Presion_cilindro!$B$35)^(Presion_cilindro!$B$17+1)),0))/((Presion_cilindro!O466+Presion_cilindro!O467)/2)</f>
        <v>12.025421232791667</v>
      </c>
      <c r="C475" s="27">
        <f>C474*(Presion_cilindro!O466/Presion_cilindro!O467)^Presion_cilindro!$B$9+10*(Presion_cilindro!$B$9-1)*Presion_cilindro!$B$33*(IF(Presion_cilindro!N467&gt;(-C$4+Presion_cilindro!$B$34),1-EXP(-Presion_cilindro!$B$16*((Presion_cilindro!N467-(-C$4+Presion_cilindro!$B$34))/Presion_cilindro!$B$35)^(Presion_cilindro!$B$17+1)),0)-IF(Presion_cilindro!N466&gt;(-C$4+Presion_cilindro!$B$34),1-EXP(-Presion_cilindro!$B$16*((Presion_cilindro!N466-(-C$4+Presion_cilindro!$B$34))/Presion_cilindro!$B$35)^(Presion_cilindro!$B$17+1)),0))/((Presion_cilindro!O466+Presion_cilindro!O467)/2)</f>
        <v>11.870675826199118</v>
      </c>
      <c r="D475" s="27">
        <f>D474*(Presion_cilindro!O466/Presion_cilindro!O467)^Presion_cilindro!$B$9+10*(Presion_cilindro!$B$9-1)*Presion_cilindro!$B$33*(IF(Presion_cilindro!N467&gt;(-D$4+Presion_cilindro!$B$34),1-EXP(-Presion_cilindro!$B$16*((Presion_cilindro!N467-(-D$4+Presion_cilindro!$B$34))/Presion_cilindro!$B$35)^(Presion_cilindro!$B$17+1)),0)-IF(Presion_cilindro!N466&gt;(-D$4+Presion_cilindro!$B$34),1-EXP(-Presion_cilindro!$B$16*((Presion_cilindro!N466-(-D$4+Presion_cilindro!$B$34))/Presion_cilindro!$B$35)^(Presion_cilindro!$B$17+1)),0))/((Presion_cilindro!O466+Presion_cilindro!O467)/2)</f>
        <v>11.581006210555687</v>
      </c>
      <c r="E475" s="27">
        <f>E474*(Presion_cilindro!O466/Presion_cilindro!O467)^Presion_cilindro!$B$9+10*(Presion_cilindro!$B$9-1)*Presion_cilindro!$B$33*(IF(Presion_cilindro!N467&gt;(-E$4+Presion_cilindro!$B$34),1-EXP(-Presion_cilindro!$B$16*((Presion_cilindro!N467-(-E$4+Presion_cilindro!$B$34))/Presion_cilindro!$B$35)^(Presion_cilindro!$B$17+1)),0)-IF(Presion_cilindro!N466&gt;(-E$4+Presion_cilindro!$B$34),1-EXP(-Presion_cilindro!$B$16*((Presion_cilindro!N466-(-E$4+Presion_cilindro!$B$34))/Presion_cilindro!$B$35)^(Presion_cilindro!$B$17+1)),0))/((Presion_cilindro!O466+Presion_cilindro!O467)/2)</f>
        <v>11.280090086508226</v>
      </c>
      <c r="F475" s="27">
        <f>F474*(Presion_cilindro!O466/Presion_cilindro!O467)^Presion_cilindro!$B$9+10*(Presion_cilindro!$B$9-1)*Presion_cilindro!$B$33*(IF(Presion_cilindro!N467&gt;(-F$4+Presion_cilindro!$B$34),1-EXP(-Presion_cilindro!$B$16*((Presion_cilindro!N467-(-F$4+Presion_cilindro!$B$34))/Presion_cilindro!$B$35)^(Presion_cilindro!$B$17+1)),0)-IF(Presion_cilindro!N466&gt;(-F$4+Presion_cilindro!$B$34),1-EXP(-Presion_cilindro!$B$16*((Presion_cilindro!N466-(-F$4+Presion_cilindro!$B$34))/Presion_cilindro!$B$35)^(Presion_cilindro!$B$17+1)),0))/((Presion_cilindro!O466+Presion_cilindro!O467)/2)</f>
        <v>11.021561008467836</v>
      </c>
      <c r="G475" s="27">
        <f>G474*(Presion_cilindro!O466/Presion_cilindro!O467)^Presion_cilindro!$B$9+10*(Presion_cilindro!$B$9-1)*Presion_cilindro!$B$33*(IF(Presion_cilindro!N467&gt;(-G$4+Presion_cilindro!$B$34),1-EXP(-Presion_cilindro!$B$16*((Presion_cilindro!N467-(-G$4+Presion_cilindro!$B$34))/Presion_cilindro!$B$35)^(Presion_cilindro!$B$17+1)),0)-IF(Presion_cilindro!N466&gt;(-G$4+Presion_cilindro!$B$34),1-EXP(-Presion_cilindro!$B$16*((Presion_cilindro!N466-(-G$4+Presion_cilindro!$B$34))/Presion_cilindro!$B$35)^(Presion_cilindro!$B$17+1)),0))/((Presion_cilindro!O466+Presion_cilindro!O467)/2)</f>
        <v>10.828800197525537</v>
      </c>
      <c r="H475" s="27">
        <f>H474*(Presion_cilindro!O466/Presion_cilindro!O467)^Presion_cilindro!$B$9+10*(Presion_cilindro!$B$9-1)*Presion_cilindro!$B$33*(IF(Presion_cilindro!N467&gt;(-H$4+Presion_cilindro!$B$34),1-EXP(-Presion_cilindro!$B$16*((Presion_cilindro!N467-(-H$4+Presion_cilindro!$B$34))/Presion_cilindro!$B$35)^(Presion_cilindro!$B$17+1)),0)-IF(Presion_cilindro!N466&gt;(-H$4+Presion_cilindro!$B$34),1-EXP(-Presion_cilindro!$B$16*((Presion_cilindro!N466-(-H$4+Presion_cilindro!$B$34))/Presion_cilindro!$B$35)^(Presion_cilindro!$B$17+1)),0))/((Presion_cilindro!O466+Presion_cilindro!O467)/2)</f>
        <v>10.714997157457699</v>
      </c>
      <c r="I475" s="27">
        <f>I474*(Presion_cilindro!O466/Presion_cilindro!O467)^Presion_cilindro!$B$9+10*(Presion_cilindro!$B$9-1)*Presion_cilindro!$B$33*(IF(Presion_cilindro!N467&gt;(-I$4+Presion_cilindro!$B$34),1-EXP(-Presion_cilindro!$B$16*((Presion_cilindro!N467-(-I$4+Presion_cilindro!$B$34))/Presion_cilindro!$B$35)^(Presion_cilindro!$B$17+1)),0)-IF(Presion_cilindro!N466&gt;(-I$4+Presion_cilindro!$B$34),1-EXP(-Presion_cilindro!$B$16*((Presion_cilindro!N466-(-I$4+Presion_cilindro!$B$34))/Presion_cilindro!$B$35)^(Presion_cilindro!$B$17+1)),0))/((Presion_cilindro!O466+Presion_cilindro!O467)/2)</f>
        <v>10.687696608494333</v>
      </c>
      <c r="J475" s="27">
        <f>J474*(Presion_cilindro!O466/Presion_cilindro!O467)^Presion_cilindro!$B$9+10*(Presion_cilindro!$B$9-1)*Presion_cilindro!$B$33*(IF(Presion_cilindro!N467&gt;(-J$4+Presion_cilindro!$B$34),1-EXP(-Presion_cilindro!$B$16*((Presion_cilindro!N467-(-J$4+Presion_cilindro!$B$34))/Presion_cilindro!$B$35)^(Presion_cilindro!$B$17+1)),0)-IF(Presion_cilindro!N466&gt;(-J$4+Presion_cilindro!$B$34),1-EXP(-Presion_cilindro!$B$16*((Presion_cilindro!N466-(-J$4+Presion_cilindro!$B$34))/Presion_cilindro!$B$35)^(Presion_cilindro!$B$17+1)),0))/((Presion_cilindro!O466+Presion_cilindro!O467)/2)</f>
        <v>10.748609941944762</v>
      </c>
      <c r="K475" s="27">
        <f>K474*(Presion_cilindro!O466/Presion_cilindro!O467)^Presion_cilindro!$B$9+10*(Presion_cilindro!$B$9-1)*Presion_cilindro!$B$33*(IF(Presion_cilindro!N467&gt;(-K$4+Presion_cilindro!$B$34),1-EXP(-Presion_cilindro!$B$16*((Presion_cilindro!N467-(-K$4+Presion_cilindro!$B$34))/Presion_cilindro!$B$35)^(Presion_cilindro!$B$17+1)),0)-IF(Presion_cilindro!N466&gt;(-K$4+Presion_cilindro!$B$34),1-EXP(-Presion_cilindro!$B$16*((Presion_cilindro!N466-(-K$4+Presion_cilindro!$B$34))/Presion_cilindro!$B$35)^(Presion_cilindro!$B$17+1)),0))/((Presion_cilindro!O466+Presion_cilindro!O467)/2)</f>
        <v>10.893458131736464</v>
      </c>
      <c r="L475" s="27">
        <f>L474*(Presion_cilindro!O466/Presion_cilindro!O467)^Presion_cilindro!$B$9+10*(Presion_cilindro!$B$9-1)*Presion_cilindro!$B$33*(IF(Presion_cilindro!N467&gt;(-L$4+Presion_cilindro!$B$34),1-EXP(-Presion_cilindro!$B$16*((Presion_cilindro!N467-(-L$4+Presion_cilindro!$B$34))/Presion_cilindro!$B$35)^(Presion_cilindro!$B$17+1)),0)-IF(Presion_cilindro!N466&gt;(-L$4+Presion_cilindro!$B$34),1-EXP(-Presion_cilindro!$B$16*((Presion_cilindro!N466-(-L$4+Presion_cilindro!$B$34))/Presion_cilindro!$B$35)^(Presion_cilindro!$B$17+1)),0))/((Presion_cilindro!O466+Presion_cilindro!O467)/2)</f>
        <v>11.112866521454018</v>
      </c>
      <c r="M475" s="27">
        <f>M474*(Presion_cilindro!O466/Presion_cilindro!O467)^Presion_cilindro!$B$9+10*(Presion_cilindro!$B$9-1)*Presion_cilindro!$B$33*(IF(Presion_cilindro!N467&gt;(-M$4+Presion_cilindro!$B$34),1-EXP(-Presion_cilindro!$B$16*((Presion_cilindro!N467-(-M$4+Presion_cilindro!$B$34))/Presion_cilindro!$B$35)^(Presion_cilindro!$B$17+1)),0)-IF(Presion_cilindro!N466&gt;(-M$4+Presion_cilindro!$B$34),1-EXP(-Presion_cilindro!$B$16*((Presion_cilindro!N466-(-M$4+Presion_cilindro!$B$34))/Presion_cilindro!$B$35)^(Presion_cilindro!$B$17+1)),0))/((Presion_cilindro!O466+Presion_cilindro!O467)/2)</f>
        <v>11.394095201054476</v>
      </c>
      <c r="N475" s="27">
        <f>N474*(Presion_cilindro!O466/Presion_cilindro!O467)^Presion_cilindro!$B$9+10*(Presion_cilindro!$B$9-1)*Presion_cilindro!$B$33*(IF(Presion_cilindro!N467&gt;(-N$4+Presion_cilindro!$B$34),1-EXP(-Presion_cilindro!$B$16*((Presion_cilindro!N467-(-N$4+Presion_cilindro!$B$34))/Presion_cilindro!$B$35)^(Presion_cilindro!$B$17+1)),0)-IF(Presion_cilindro!N466&gt;(-N$4+Presion_cilindro!$B$34),1-EXP(-Presion_cilindro!$B$16*((Presion_cilindro!N466-(-N$4+Presion_cilindro!$B$34))/Presion_cilindro!$B$35)^(Presion_cilindro!$B$17+1)),0))/((Presion_cilindro!O466+Presion_cilindro!O467)/2)</f>
        <v>11.723037035857047</v>
      </c>
    </row>
    <row r="476" spans="1:14" x14ac:dyDescent="0.25">
      <c r="A476" s="21">
        <f>Presion_cilindro!N468</f>
        <v>52</v>
      </c>
      <c r="B476" s="27">
        <f>B475*(Presion_cilindro!O467/Presion_cilindro!O468)^Presion_cilindro!$B$9+10*(Presion_cilindro!$B$9-1)*Presion_cilindro!$B$33*(IF(Presion_cilindro!N468&gt;(-B$4+Presion_cilindro!$B$34),1-EXP(-Presion_cilindro!$B$16*((Presion_cilindro!N468-(-B$4+Presion_cilindro!$B$34))/Presion_cilindro!$B$35)^(Presion_cilindro!$B$17+1)),0)-IF(Presion_cilindro!N467&gt;(-B$4+Presion_cilindro!$B$34),1-EXP(-Presion_cilindro!$B$16*((Presion_cilindro!N467-(-B$4+Presion_cilindro!$B$34))/Presion_cilindro!$B$35)^(Presion_cilindro!$B$17+1)),0))/((Presion_cilindro!O467+Presion_cilindro!O468)/2)</f>
        <v>11.873201295936781</v>
      </c>
      <c r="C476" s="27">
        <f>C475*(Presion_cilindro!O467/Presion_cilindro!O468)^Presion_cilindro!$B$9+10*(Presion_cilindro!$B$9-1)*Presion_cilindro!$B$33*(IF(Presion_cilindro!N468&gt;(-C$4+Presion_cilindro!$B$34),1-EXP(-Presion_cilindro!$B$16*((Presion_cilindro!N468-(-C$4+Presion_cilindro!$B$34))/Presion_cilindro!$B$35)^(Presion_cilindro!$B$17+1)),0)-IF(Presion_cilindro!N467&gt;(-C$4+Presion_cilindro!$B$34),1-EXP(-Presion_cilindro!$B$16*((Presion_cilindro!N467-(-C$4+Presion_cilindro!$B$34))/Presion_cilindro!$B$35)^(Presion_cilindro!$B$17+1)),0))/((Presion_cilindro!O467+Presion_cilindro!O468)/2)</f>
        <v>11.698047448630808</v>
      </c>
      <c r="D476" s="27">
        <f>D475*(Presion_cilindro!O467/Presion_cilindro!O468)^Presion_cilindro!$B$9+10*(Presion_cilindro!$B$9-1)*Presion_cilindro!$B$33*(IF(Presion_cilindro!N468&gt;(-D$4+Presion_cilindro!$B$34),1-EXP(-Presion_cilindro!$B$16*((Presion_cilindro!N468-(-D$4+Presion_cilindro!$B$34))/Presion_cilindro!$B$35)^(Presion_cilindro!$B$17+1)),0)-IF(Presion_cilindro!N467&gt;(-D$4+Presion_cilindro!$B$34),1-EXP(-Presion_cilindro!$B$16*((Presion_cilindro!N467-(-D$4+Presion_cilindro!$B$34))/Presion_cilindro!$B$35)^(Presion_cilindro!$B$17+1)),0))/((Presion_cilindro!O467+Presion_cilindro!O468)/2)</f>
        <v>11.404691658173574</v>
      </c>
      <c r="E476" s="27">
        <f>E475*(Presion_cilindro!O467/Presion_cilindro!O468)^Presion_cilindro!$B$9+10*(Presion_cilindro!$B$9-1)*Presion_cilindro!$B$33*(IF(Presion_cilindro!N468&gt;(-E$4+Presion_cilindro!$B$34),1-EXP(-Presion_cilindro!$B$16*((Presion_cilindro!N468-(-E$4+Presion_cilindro!$B$34))/Presion_cilindro!$B$35)^(Presion_cilindro!$B$17+1)),0)-IF(Presion_cilindro!N467&gt;(-E$4+Presion_cilindro!$B$34),1-EXP(-Presion_cilindro!$B$16*((Presion_cilindro!N467-(-E$4+Presion_cilindro!$B$34))/Presion_cilindro!$B$35)^(Presion_cilindro!$B$17+1)),0))/((Presion_cilindro!O467+Presion_cilindro!O468)/2)</f>
        <v>11.106386655825034</v>
      </c>
      <c r="F476" s="27">
        <f>F475*(Presion_cilindro!O467/Presion_cilindro!O468)^Presion_cilindro!$B$9+10*(Presion_cilindro!$B$9-1)*Presion_cilindro!$B$33*(IF(Presion_cilindro!N468&gt;(-F$4+Presion_cilindro!$B$34),1-EXP(-Presion_cilindro!$B$16*((Presion_cilindro!N468-(-F$4+Presion_cilindro!$B$34))/Presion_cilindro!$B$35)^(Presion_cilindro!$B$17+1)),0)-IF(Presion_cilindro!N467&gt;(-F$4+Presion_cilindro!$B$34),1-EXP(-Presion_cilindro!$B$16*((Presion_cilindro!N467-(-F$4+Presion_cilindro!$B$34))/Presion_cilindro!$B$35)^(Presion_cilindro!$B$17+1)),0))/((Presion_cilindro!O467+Presion_cilindro!O468)/2)</f>
        <v>10.851500243339716</v>
      </c>
      <c r="G476" s="27">
        <f>G475*(Presion_cilindro!O467/Presion_cilindro!O468)^Presion_cilindro!$B$9+10*(Presion_cilindro!$B$9-1)*Presion_cilindro!$B$33*(IF(Presion_cilindro!N468&gt;(-G$4+Presion_cilindro!$B$34),1-EXP(-Presion_cilindro!$B$16*((Presion_cilindro!N468-(-G$4+Presion_cilindro!$B$34))/Presion_cilindro!$B$35)^(Presion_cilindro!$B$17+1)),0)-IF(Presion_cilindro!N467&gt;(-G$4+Presion_cilindro!$B$34),1-EXP(-Presion_cilindro!$B$16*((Presion_cilindro!N467-(-G$4+Presion_cilindro!$B$34))/Presion_cilindro!$B$35)^(Presion_cilindro!$B$17+1)),0))/((Presion_cilindro!O467+Presion_cilindro!O468)/2)</f>
        <v>10.661674589847882</v>
      </c>
      <c r="H476" s="27">
        <f>H475*(Presion_cilindro!O467/Presion_cilindro!O468)^Presion_cilindro!$B$9+10*(Presion_cilindro!$B$9-1)*Presion_cilindro!$B$33*(IF(Presion_cilindro!N468&gt;(-H$4+Presion_cilindro!$B$34),1-EXP(-Presion_cilindro!$B$16*((Presion_cilindro!N468-(-H$4+Presion_cilindro!$B$34))/Presion_cilindro!$B$35)^(Presion_cilindro!$B$17+1)),0)-IF(Presion_cilindro!N467&gt;(-H$4+Presion_cilindro!$B$34),1-EXP(-Presion_cilindro!$B$16*((Presion_cilindro!N467-(-H$4+Presion_cilindro!$B$34))/Presion_cilindro!$B$35)^(Presion_cilindro!$B$17+1)),0))/((Presion_cilindro!O467+Presion_cilindro!O468)/2)</f>
        <v>10.549624954888108</v>
      </c>
      <c r="I476" s="27">
        <f>I475*(Presion_cilindro!O467/Presion_cilindro!O468)^Presion_cilindro!$B$9+10*(Presion_cilindro!$B$9-1)*Presion_cilindro!$B$33*(IF(Presion_cilindro!N468&gt;(-I$4+Presion_cilindro!$B$34),1-EXP(-Presion_cilindro!$B$16*((Presion_cilindro!N468-(-I$4+Presion_cilindro!$B$34))/Presion_cilindro!$B$35)^(Presion_cilindro!$B$17+1)),0)-IF(Presion_cilindro!N467&gt;(-I$4+Presion_cilindro!$B$34),1-EXP(-Presion_cilindro!$B$16*((Presion_cilindro!N467-(-I$4+Presion_cilindro!$B$34))/Presion_cilindro!$B$35)^(Presion_cilindro!$B$17+1)),0))/((Presion_cilindro!O467+Presion_cilindro!O468)/2)</f>
        <v>10.522745610748304</v>
      </c>
      <c r="J476" s="27">
        <f>J475*(Presion_cilindro!O467/Presion_cilindro!O468)^Presion_cilindro!$B$9+10*(Presion_cilindro!$B$9-1)*Presion_cilindro!$B$33*(IF(Presion_cilindro!N468&gt;(-J$4+Presion_cilindro!$B$34),1-EXP(-Presion_cilindro!$B$16*((Presion_cilindro!N468-(-J$4+Presion_cilindro!$B$34))/Presion_cilindro!$B$35)^(Presion_cilindro!$B$17+1)),0)-IF(Presion_cilindro!N467&gt;(-J$4+Presion_cilindro!$B$34),1-EXP(-Presion_cilindro!$B$16*((Presion_cilindro!N467-(-J$4+Presion_cilindro!$B$34))/Presion_cilindro!$B$35)^(Presion_cilindro!$B$17+1)),0))/((Presion_cilindro!O467+Presion_cilindro!O468)/2)</f>
        <v>10.582718820049607</v>
      </c>
      <c r="K476" s="27">
        <f>K475*(Presion_cilindro!O467/Presion_cilindro!O468)^Presion_cilindro!$B$9+10*(Presion_cilindro!$B$9-1)*Presion_cilindro!$B$33*(IF(Presion_cilindro!N468&gt;(-K$4+Presion_cilindro!$B$34),1-EXP(-Presion_cilindro!$B$16*((Presion_cilindro!N468-(-K$4+Presion_cilindro!$B$34))/Presion_cilindro!$B$35)^(Presion_cilindro!$B$17+1)),0)-IF(Presion_cilindro!N467&gt;(-K$4+Presion_cilindro!$B$34),1-EXP(-Presion_cilindro!$B$16*((Presion_cilindro!N467-(-K$4+Presion_cilindro!$B$34))/Presion_cilindro!$B$35)^(Presion_cilindro!$B$17+1)),0))/((Presion_cilindro!O467+Presion_cilindro!O468)/2)</f>
        <v>10.725331462203423</v>
      </c>
      <c r="L476" s="27">
        <f>L475*(Presion_cilindro!O467/Presion_cilindro!O468)^Presion_cilindro!$B$9+10*(Presion_cilindro!$B$9-1)*Presion_cilindro!$B$33*(IF(Presion_cilindro!N468&gt;(-L$4+Presion_cilindro!$B$34),1-EXP(-Presion_cilindro!$B$16*((Presion_cilindro!N468-(-L$4+Presion_cilindro!$B$34))/Presion_cilindro!$B$35)^(Presion_cilindro!$B$17+1)),0)-IF(Presion_cilindro!N467&gt;(-L$4+Presion_cilindro!$B$34),1-EXP(-Presion_cilindro!$B$16*((Presion_cilindro!N467-(-L$4+Presion_cilindro!$B$34))/Presion_cilindro!$B$35)^(Presion_cilindro!$B$17+1)),0))/((Presion_cilindro!O467+Presion_cilindro!O468)/2)</f>
        <v>10.941353562517365</v>
      </c>
      <c r="M476" s="27">
        <f>M475*(Presion_cilindro!O467/Presion_cilindro!O468)^Presion_cilindro!$B$9+10*(Presion_cilindro!$B$9-1)*Presion_cilindro!$B$33*(IF(Presion_cilindro!N468&gt;(-M$4+Presion_cilindro!$B$34),1-EXP(-Presion_cilindro!$B$16*((Presion_cilindro!N468-(-M$4+Presion_cilindro!$B$34))/Presion_cilindro!$B$35)^(Presion_cilindro!$B$17+1)),0)-IF(Presion_cilindro!N467&gt;(-M$4+Presion_cilindro!$B$34),1-EXP(-Presion_cilindro!$B$16*((Presion_cilindro!N467-(-M$4+Presion_cilindro!$B$34))/Presion_cilindro!$B$35)^(Presion_cilindro!$B$17+1)),0))/((Presion_cilindro!O467+Presion_cilindro!O468)/2)</f>
        <v>11.218241835177539</v>
      </c>
      <c r="N476" s="27">
        <f>N475*(Presion_cilindro!O467/Presion_cilindro!O468)^Presion_cilindro!$B$9+10*(Presion_cilindro!$B$9-1)*Presion_cilindro!$B$33*(IF(Presion_cilindro!N468&gt;(-N$4+Presion_cilindro!$B$34),1-EXP(-Presion_cilindro!$B$16*((Presion_cilindro!N468-(-N$4+Presion_cilindro!$B$34))/Presion_cilindro!$B$35)^(Presion_cilindro!$B$17+1)),0)-IF(Presion_cilindro!N467&gt;(-N$4+Presion_cilindro!$B$34),1-EXP(-Presion_cilindro!$B$16*((Presion_cilindro!N467-(-N$4+Presion_cilindro!$B$34))/Presion_cilindro!$B$35)^(Presion_cilindro!$B$17+1)),0))/((Presion_cilindro!O467+Presion_cilindro!O468)/2)</f>
        <v>11.542106871181515</v>
      </c>
    </row>
    <row r="477" spans="1:14" x14ac:dyDescent="0.25">
      <c r="A477" s="21">
        <f>Presion_cilindro!N469</f>
        <v>52.5</v>
      </c>
      <c r="B477" s="27">
        <f>B476*(Presion_cilindro!O468/Presion_cilindro!O469)^Presion_cilindro!$B$9+10*(Presion_cilindro!$B$9-1)*Presion_cilindro!$B$33*(IF(Presion_cilindro!N469&gt;(-B$4+Presion_cilindro!$B$34),1-EXP(-Presion_cilindro!$B$16*((Presion_cilindro!N469-(-B$4+Presion_cilindro!$B$34))/Presion_cilindro!$B$35)^(Presion_cilindro!$B$17+1)),0)-IF(Presion_cilindro!N468&gt;(-B$4+Presion_cilindro!$B$34),1-EXP(-Presion_cilindro!$B$16*((Presion_cilindro!N468-(-B$4+Presion_cilindro!$B$34))/Presion_cilindro!$B$35)^(Presion_cilindro!$B$17+1)),0))/((Presion_cilindro!O468+Presion_cilindro!O469)/2)</f>
        <v>11.72095066925753</v>
      </c>
      <c r="C477" s="27">
        <f>C476*(Presion_cilindro!O468/Presion_cilindro!O469)^Presion_cilindro!$B$9+10*(Presion_cilindro!$B$9-1)*Presion_cilindro!$B$33*(IF(Presion_cilindro!N469&gt;(-C$4+Presion_cilindro!$B$34),1-EXP(-Presion_cilindro!$B$16*((Presion_cilindro!N469-(-C$4+Presion_cilindro!$B$34))/Presion_cilindro!$B$35)^(Presion_cilindro!$B$17+1)),0)-IF(Presion_cilindro!N468&gt;(-C$4+Presion_cilindro!$B$34),1-EXP(-Presion_cilindro!$B$16*((Presion_cilindro!N468-(-C$4+Presion_cilindro!$B$34))/Presion_cilindro!$B$35)^(Presion_cilindro!$B$17+1)),0))/((Presion_cilindro!O468+Presion_cilindro!O469)/2)</f>
        <v>11.527823809870815</v>
      </c>
      <c r="D477" s="27">
        <f>D476*(Presion_cilindro!O468/Presion_cilindro!O469)^Presion_cilindro!$B$9+10*(Presion_cilindro!$B$9-1)*Presion_cilindro!$B$33*(IF(Presion_cilindro!N469&gt;(-D$4+Presion_cilindro!$B$34),1-EXP(-Presion_cilindro!$B$16*((Presion_cilindro!N469-(-D$4+Presion_cilindro!$B$34))/Presion_cilindro!$B$35)^(Presion_cilindro!$B$17+1)),0)-IF(Presion_cilindro!N468&gt;(-D$4+Presion_cilindro!$B$34),1-EXP(-Presion_cilindro!$B$16*((Presion_cilindro!N468-(-D$4+Presion_cilindro!$B$34))/Presion_cilindro!$B$35)^(Presion_cilindro!$B$17+1)),0))/((Presion_cilindro!O468+Presion_cilindro!O469)/2)</f>
        <v>11.231833339427199</v>
      </c>
      <c r="E477" s="27">
        <f>E476*(Presion_cilindro!O468/Presion_cilindro!O469)^Presion_cilindro!$B$9+10*(Presion_cilindro!$B$9-1)*Presion_cilindro!$B$33*(IF(Presion_cilindro!N469&gt;(-E$4+Presion_cilindro!$B$34),1-EXP(-Presion_cilindro!$B$16*((Presion_cilindro!N469-(-E$4+Presion_cilindro!$B$34))/Presion_cilindro!$B$35)^(Presion_cilindro!$B$17+1)),0)-IF(Presion_cilindro!N468&gt;(-E$4+Presion_cilindro!$B$34),1-EXP(-Presion_cilindro!$B$16*((Presion_cilindro!N468-(-E$4+Presion_cilindro!$B$34))/Presion_cilindro!$B$35)^(Presion_cilindro!$B$17+1)),0))/((Presion_cilindro!O468+Presion_cilindro!O469)/2)</f>
        <v>10.936389230130397</v>
      </c>
      <c r="F477" s="27">
        <f>F476*(Presion_cilindro!O468/Presion_cilindro!O469)^Presion_cilindro!$B$9+10*(Presion_cilindro!$B$9-1)*Presion_cilindro!$B$33*(IF(Presion_cilindro!N469&gt;(-F$4+Presion_cilindro!$B$34),1-EXP(-Presion_cilindro!$B$16*((Presion_cilindro!N469-(-F$4+Presion_cilindro!$B$34))/Presion_cilindro!$B$35)^(Presion_cilindro!$B$17+1)),0)-IF(Presion_cilindro!N468&gt;(-F$4+Presion_cilindro!$B$34),1-EXP(-Presion_cilindro!$B$16*((Presion_cilindro!N468-(-F$4+Presion_cilindro!$B$34))/Presion_cilindro!$B$35)^(Presion_cilindro!$B$17+1)),0))/((Presion_cilindro!O468+Presion_cilindro!O469)/2)</f>
        <v>10.685129775118178</v>
      </c>
      <c r="G477" s="27">
        <f>G476*(Presion_cilindro!O468/Presion_cilindro!O469)^Presion_cilindro!$B$9+10*(Presion_cilindro!$B$9-1)*Presion_cilindro!$B$33*(IF(Presion_cilindro!N469&gt;(-G$4+Presion_cilindro!$B$34),1-EXP(-Presion_cilindro!$B$16*((Presion_cilindro!N469-(-G$4+Presion_cilindro!$B$34))/Presion_cilindro!$B$35)^(Presion_cilindro!$B$17+1)),0)-IF(Presion_cilindro!N468&gt;(-G$4+Presion_cilindro!$B$34),1-EXP(-Presion_cilindro!$B$16*((Presion_cilindro!N468-(-G$4+Presion_cilindro!$B$34))/Presion_cilindro!$B$35)^(Presion_cilindro!$B$17+1)),0))/((Presion_cilindro!O468+Presion_cilindro!O469)/2)</f>
        <v>10.498184015428478</v>
      </c>
      <c r="H477" s="27">
        <f>H476*(Presion_cilindro!O468/Presion_cilindro!O469)^Presion_cilindro!$B$9+10*(Presion_cilindro!$B$9-1)*Presion_cilindro!$B$33*(IF(Presion_cilindro!N469&gt;(-H$4+Presion_cilindro!$B$34),1-EXP(-Presion_cilindro!$B$16*((Presion_cilindro!N469-(-H$4+Presion_cilindro!$B$34))/Presion_cilindro!$B$35)^(Presion_cilindro!$B$17+1)),0)-IF(Presion_cilindro!N468&gt;(-H$4+Presion_cilindro!$B$34),1-EXP(-Presion_cilindro!$B$16*((Presion_cilindro!N468-(-H$4+Presion_cilindro!$B$34))/Presion_cilindro!$B$35)^(Presion_cilindro!$B$17+1)),0))/((Presion_cilindro!O468+Presion_cilindro!O469)/2)</f>
        <v>10.387850386209212</v>
      </c>
      <c r="I477" s="27">
        <f>I476*(Presion_cilindro!O468/Presion_cilindro!O469)^Presion_cilindro!$B$9+10*(Presion_cilindro!$B$9-1)*Presion_cilindro!$B$33*(IF(Presion_cilindro!N469&gt;(-I$4+Presion_cilindro!$B$34),1-EXP(-Presion_cilindro!$B$16*((Presion_cilindro!N469-(-I$4+Presion_cilindro!$B$34))/Presion_cilindro!$B$35)^(Presion_cilindro!$B$17+1)),0)-IF(Presion_cilindro!N468&gt;(-I$4+Presion_cilindro!$B$34),1-EXP(-Presion_cilindro!$B$16*((Presion_cilindro!N468-(-I$4+Presion_cilindro!$B$34))/Presion_cilindro!$B$35)^(Presion_cilindro!$B$17+1)),0))/((Presion_cilindro!O468+Presion_cilindro!O469)/2)</f>
        <v>10.361383124334957</v>
      </c>
      <c r="J477" s="27">
        <f>J476*(Presion_cilindro!O468/Presion_cilindro!O469)^Presion_cilindro!$B$9+10*(Presion_cilindro!$B$9-1)*Presion_cilindro!$B$33*(IF(Presion_cilindro!N469&gt;(-J$4+Presion_cilindro!$B$34),1-EXP(-Presion_cilindro!$B$16*((Presion_cilindro!N469-(-J$4+Presion_cilindro!$B$34))/Presion_cilindro!$B$35)^(Presion_cilindro!$B$17+1)),0)-IF(Presion_cilindro!N468&gt;(-J$4+Presion_cilindro!$B$34),1-EXP(-Presion_cilindro!$B$16*((Presion_cilindro!N468-(-J$4+Presion_cilindro!$B$34))/Presion_cilindro!$B$35)^(Presion_cilindro!$B$17+1)),0))/((Presion_cilindro!O468+Presion_cilindro!O469)/2)</f>
        <v>10.420436663278599</v>
      </c>
      <c r="K477" s="27">
        <f>K476*(Presion_cilindro!O468/Presion_cilindro!O469)^Presion_cilindro!$B$9+10*(Presion_cilindro!$B$9-1)*Presion_cilindro!$B$33*(IF(Presion_cilindro!N469&gt;(-K$4+Presion_cilindro!$B$34),1-EXP(-Presion_cilindro!$B$16*((Presion_cilindro!N469-(-K$4+Presion_cilindro!$B$34))/Presion_cilindro!$B$35)^(Presion_cilindro!$B$17+1)),0)-IF(Presion_cilindro!N468&gt;(-K$4+Presion_cilindro!$B$34),1-EXP(-Presion_cilindro!$B$16*((Presion_cilindro!N468-(-K$4+Presion_cilindro!$B$34))/Presion_cilindro!$B$35)^(Presion_cilindro!$B$17+1)),0))/((Presion_cilindro!O468+Presion_cilindro!O469)/2)</f>
        <v>10.560862392212092</v>
      </c>
      <c r="L477" s="27">
        <f>L476*(Presion_cilindro!O468/Presion_cilindro!O469)^Presion_cilindro!$B$9+10*(Presion_cilindro!$B$9-1)*Presion_cilindro!$B$33*(IF(Presion_cilindro!N469&gt;(-L$4+Presion_cilindro!$B$34),1-EXP(-Presion_cilindro!$B$16*((Presion_cilindro!N469-(-L$4+Presion_cilindro!$B$34))/Presion_cilindro!$B$35)^(Presion_cilindro!$B$17+1)),0)-IF(Presion_cilindro!N468&gt;(-L$4+Presion_cilindro!$B$34),1-EXP(-Presion_cilindro!$B$16*((Presion_cilindro!N468-(-L$4+Presion_cilindro!$B$34))/Presion_cilindro!$B$35)^(Presion_cilindro!$B$17+1)),0))/((Presion_cilindro!O468+Presion_cilindro!O469)/2)</f>
        <v>10.773571871926194</v>
      </c>
      <c r="M477" s="27">
        <f>M476*(Presion_cilindro!O468/Presion_cilindro!O469)^Presion_cilindro!$B$9+10*(Presion_cilindro!$B$9-1)*Presion_cilindro!$B$33*(IF(Presion_cilindro!N469&gt;(-M$4+Presion_cilindro!$B$34),1-EXP(-Presion_cilindro!$B$16*((Presion_cilindro!N469-(-M$4+Presion_cilindro!$B$34))/Presion_cilindro!$B$35)^(Presion_cilindro!$B$17+1)),0)-IF(Presion_cilindro!N468&gt;(-M$4+Presion_cilindro!$B$34),1-EXP(-Presion_cilindro!$B$16*((Presion_cilindro!N468-(-M$4+Presion_cilindro!$B$34))/Presion_cilindro!$B$35)^(Presion_cilindro!$B$17+1)),0))/((Presion_cilindro!O468+Presion_cilindro!O469)/2)</f>
        <v>11.046214163298369</v>
      </c>
      <c r="N477" s="27">
        <f>N476*(Presion_cilindro!O468/Presion_cilindro!O469)^Presion_cilindro!$B$9+10*(Presion_cilindro!$B$9-1)*Presion_cilindro!$B$33*(IF(Presion_cilindro!N469&gt;(-N$4+Presion_cilindro!$B$34),1-EXP(-Presion_cilindro!$B$16*((Presion_cilindro!N469-(-N$4+Presion_cilindro!$B$34))/Presion_cilindro!$B$35)^(Presion_cilindro!$B$17+1)),0)-IF(Presion_cilindro!N468&gt;(-N$4+Presion_cilindro!$B$34),1-EXP(-Presion_cilindro!$B$16*((Presion_cilindro!N468-(-N$4+Presion_cilindro!$B$34))/Presion_cilindro!$B$35)^(Presion_cilindro!$B$17+1)),0))/((Presion_cilindro!O468+Presion_cilindro!O469)/2)</f>
        <v>11.365112846377761</v>
      </c>
    </row>
    <row r="478" spans="1:14" x14ac:dyDescent="0.25">
      <c r="A478" s="21">
        <f>Presion_cilindro!N470</f>
        <v>53</v>
      </c>
      <c r="B478" s="27">
        <f>B477*(Presion_cilindro!O469/Presion_cilindro!O470)^Presion_cilindro!$B$9+10*(Presion_cilindro!$B$9-1)*Presion_cilindro!$B$33*(IF(Presion_cilindro!N470&gt;(-B$4+Presion_cilindro!$B$34),1-EXP(-Presion_cilindro!$B$16*((Presion_cilindro!N470-(-B$4+Presion_cilindro!$B$34))/Presion_cilindro!$B$35)^(Presion_cilindro!$B$17+1)),0)-IF(Presion_cilindro!N469&gt;(-B$4+Presion_cilindro!$B$34),1-EXP(-Presion_cilindro!$B$16*((Presion_cilindro!N469-(-B$4+Presion_cilindro!$B$34))/Presion_cilindro!$B$35)^(Presion_cilindro!$B$17+1)),0))/((Presion_cilindro!O469+Presion_cilindro!O470)/2)</f>
        <v>11.568944001576124</v>
      </c>
      <c r="C478" s="27">
        <f>C477*(Presion_cilindro!O469/Presion_cilindro!O470)^Presion_cilindro!$B$9+10*(Presion_cilindro!$B$9-1)*Presion_cilindro!$B$33*(IF(Presion_cilindro!N470&gt;(-C$4+Presion_cilindro!$B$34),1-EXP(-Presion_cilindro!$B$16*((Presion_cilindro!N470-(-C$4+Presion_cilindro!$B$34))/Presion_cilindro!$B$35)^(Presion_cilindro!$B$17+1)),0)-IF(Presion_cilindro!N469&gt;(-C$4+Presion_cilindro!$B$34),1-EXP(-Presion_cilindro!$B$16*((Presion_cilindro!N469-(-C$4+Presion_cilindro!$B$34))/Presion_cilindro!$B$35)^(Presion_cilindro!$B$17+1)),0))/((Presion_cilindro!O469+Presion_cilindro!O470)/2)</f>
        <v>11.360102458265867</v>
      </c>
      <c r="D478" s="27">
        <f>D477*(Presion_cilindro!O469/Presion_cilindro!O470)^Presion_cilindro!$B$9+10*(Presion_cilindro!$B$9-1)*Presion_cilindro!$B$33*(IF(Presion_cilindro!N470&gt;(-D$4+Presion_cilindro!$B$34),1-EXP(-Presion_cilindro!$B$16*((Presion_cilindro!N470-(-D$4+Presion_cilindro!$B$34))/Presion_cilindro!$B$35)^(Presion_cilindro!$B$17+1)),0)-IF(Presion_cilindro!N469&gt;(-D$4+Presion_cilindro!$B$34),1-EXP(-Presion_cilindro!$B$16*((Presion_cilindro!N469-(-D$4+Presion_cilindro!$B$34))/Presion_cilindro!$B$35)^(Presion_cilindro!$B$17+1)),0))/((Presion_cilindro!O469+Presion_cilindro!O470)/2)</f>
        <v>11.062405574885791</v>
      </c>
      <c r="E478" s="27">
        <f>E477*(Presion_cilindro!O469/Presion_cilindro!O470)^Presion_cilindro!$B$9+10*(Presion_cilindro!$B$9-1)*Presion_cilindro!$B$33*(IF(Presion_cilindro!N470&gt;(-E$4+Presion_cilindro!$B$34),1-EXP(-Presion_cilindro!$B$16*((Presion_cilindro!N470-(-E$4+Presion_cilindro!$B$34))/Presion_cilindro!$B$35)^(Presion_cilindro!$B$17+1)),0)-IF(Presion_cilindro!N469&gt;(-E$4+Presion_cilindro!$B$34),1-EXP(-Presion_cilindro!$B$16*((Presion_cilindro!N469-(-E$4+Presion_cilindro!$B$34))/Presion_cilindro!$B$35)^(Presion_cilindro!$B$17+1)),0))/((Presion_cilindro!O469+Presion_cilindro!O470)/2)</f>
        <v>10.770023859129395</v>
      </c>
      <c r="F478" s="27">
        <f>F477*(Presion_cilindro!O469/Presion_cilindro!O470)^Presion_cilindro!$B$9+10*(Presion_cilindro!$B$9-1)*Presion_cilindro!$B$33*(IF(Presion_cilindro!N470&gt;(-F$4+Presion_cilindro!$B$34),1-EXP(-Presion_cilindro!$B$16*((Presion_cilindro!N470-(-F$4+Presion_cilindro!$B$34))/Presion_cilindro!$B$35)^(Presion_cilindro!$B$17+1)),0)-IF(Presion_cilindro!N469&gt;(-F$4+Presion_cilindro!$B$34),1-EXP(-Presion_cilindro!$B$16*((Presion_cilindro!N469-(-F$4+Presion_cilindro!$B$34))/Presion_cilindro!$B$35)^(Presion_cilindro!$B$17+1)),0))/((Presion_cilindro!O469+Presion_cilindro!O470)/2)</f>
        <v>10.522364982298836</v>
      </c>
      <c r="G478" s="27">
        <f>G477*(Presion_cilindro!O469/Presion_cilindro!O470)^Presion_cilindro!$B$9+10*(Presion_cilindro!$B$9-1)*Presion_cilindro!$B$33*(IF(Presion_cilindro!N470&gt;(-G$4+Presion_cilindro!$B$34),1-EXP(-Presion_cilindro!$B$16*((Presion_cilindro!N470-(-G$4+Presion_cilindro!$B$34))/Presion_cilindro!$B$35)^(Presion_cilindro!$B$17+1)),0)-IF(Presion_cilindro!N469&gt;(-G$4+Presion_cilindro!$B$34),1-EXP(-Presion_cilindro!$B$16*((Presion_cilindro!N469-(-G$4+Presion_cilindro!$B$34))/Presion_cilindro!$B$35)^(Presion_cilindro!$B$17+1)),0))/((Presion_cilindro!O469+Presion_cilindro!O470)/2)</f>
        <v>10.338243356530709</v>
      </c>
      <c r="H478" s="27">
        <f>H477*(Presion_cilindro!O469/Presion_cilindro!O470)^Presion_cilindro!$B$9+10*(Presion_cilindro!$B$9-1)*Presion_cilindro!$B$33*(IF(Presion_cilindro!N470&gt;(-H$4+Presion_cilindro!$B$34),1-EXP(-Presion_cilindro!$B$16*((Presion_cilindro!N470-(-H$4+Presion_cilindro!$B$34))/Presion_cilindro!$B$35)^(Presion_cilindro!$B$17+1)),0)-IF(Presion_cilindro!N469&gt;(-H$4+Presion_cilindro!$B$34),1-EXP(-Presion_cilindro!$B$16*((Presion_cilindro!N469-(-H$4+Presion_cilindro!$B$34))/Presion_cilindro!$B$35)^(Presion_cilindro!$B$17+1)),0))/((Presion_cilindro!O469+Presion_cilindro!O470)/2)</f>
        <v>10.22958902963471</v>
      </c>
      <c r="I478" s="27">
        <f>I477*(Presion_cilindro!O469/Presion_cilindro!O470)^Presion_cilindro!$B$9+10*(Presion_cilindro!$B$9-1)*Presion_cilindro!$B$33*(IF(Presion_cilindro!N470&gt;(-I$4+Presion_cilindro!$B$34),1-EXP(-Presion_cilindro!$B$16*((Presion_cilindro!N470-(-I$4+Presion_cilindro!$B$34))/Presion_cilindro!$B$35)^(Presion_cilindro!$B$17+1)),0)-IF(Presion_cilindro!N469&gt;(-I$4+Presion_cilindro!$B$34),1-EXP(-Presion_cilindro!$B$16*((Presion_cilindro!N469-(-I$4+Presion_cilindro!$B$34))/Presion_cilindro!$B$35)^(Presion_cilindro!$B$17+1)),0))/((Presion_cilindro!O469+Presion_cilindro!O470)/2)</f>
        <v>10.203524930207076</v>
      </c>
      <c r="J478" s="27">
        <f>J477*(Presion_cilindro!O469/Presion_cilindro!O470)^Presion_cilindro!$B$9+10*(Presion_cilindro!$B$9-1)*Presion_cilindro!$B$33*(IF(Presion_cilindro!N470&gt;(-J$4+Presion_cilindro!$B$34),1-EXP(-Presion_cilindro!$B$16*((Presion_cilindro!N470-(-J$4+Presion_cilindro!$B$34))/Presion_cilindro!$B$35)^(Presion_cilindro!$B$17+1)),0)-IF(Presion_cilindro!N469&gt;(-J$4+Presion_cilindro!$B$34),1-EXP(-Presion_cilindro!$B$16*((Presion_cilindro!N469-(-J$4+Presion_cilindro!$B$34))/Presion_cilindro!$B$35)^(Presion_cilindro!$B$17+1)),0))/((Presion_cilindro!O469+Presion_cilindro!O470)/2)</f>
        <v>10.261678772120842</v>
      </c>
      <c r="K478" s="27">
        <f>K477*(Presion_cilindro!O469/Presion_cilindro!O470)^Presion_cilindro!$B$9+10*(Presion_cilindro!$B$9-1)*Presion_cilindro!$B$33*(IF(Presion_cilindro!N470&gt;(-K$4+Presion_cilindro!$B$34),1-EXP(-Presion_cilindro!$B$16*((Presion_cilindro!N470-(-K$4+Presion_cilindro!$B$34))/Presion_cilindro!$B$35)^(Presion_cilindro!$B$17+1)),0)-IF(Presion_cilindro!N469&gt;(-K$4+Presion_cilindro!$B$34),1-EXP(-Presion_cilindro!$B$16*((Presion_cilindro!N469-(-K$4+Presion_cilindro!$B$34))/Presion_cilindro!$B$35)^(Presion_cilindro!$B$17+1)),0))/((Presion_cilindro!O469+Presion_cilindro!O470)/2)</f>
        <v>10.399965080831143</v>
      </c>
      <c r="L478" s="27">
        <f>L477*(Presion_cilindro!O469/Presion_cilindro!O470)^Presion_cilindro!$B$9+10*(Presion_cilindro!$B$9-1)*Presion_cilindro!$B$33*(IF(Presion_cilindro!N470&gt;(-L$4+Presion_cilindro!$B$34),1-EXP(-Presion_cilindro!$B$16*((Presion_cilindro!N470-(-L$4+Presion_cilindro!$B$34))/Presion_cilindro!$B$35)^(Presion_cilindro!$B$17+1)),0)-IF(Presion_cilindro!N469&gt;(-L$4+Presion_cilindro!$B$34),1-EXP(-Presion_cilindro!$B$16*((Presion_cilindro!N469-(-L$4+Presion_cilindro!$B$34))/Presion_cilindro!$B$35)^(Presion_cilindro!$B$17+1)),0))/((Presion_cilindro!O469+Presion_cilindro!O470)/2)</f>
        <v>10.609433879801234</v>
      </c>
      <c r="M478" s="27">
        <f>M477*(Presion_cilindro!O469/Presion_cilindro!O470)^Presion_cilindro!$B$9+10*(Presion_cilindro!$B$9-1)*Presion_cilindro!$B$33*(IF(Presion_cilindro!N470&gt;(-M$4+Presion_cilindro!$B$34),1-EXP(-Presion_cilindro!$B$16*((Presion_cilindro!N470-(-M$4+Presion_cilindro!$B$34))/Presion_cilindro!$B$35)^(Presion_cilindro!$B$17+1)),0)-IF(Presion_cilindro!N469&gt;(-M$4+Presion_cilindro!$B$34),1-EXP(-Presion_cilindro!$B$16*((Presion_cilindro!N469-(-M$4+Presion_cilindro!$B$34))/Presion_cilindro!$B$35)^(Presion_cilindro!$B$17+1)),0))/((Presion_cilindro!O469+Presion_cilindro!O470)/2)</f>
        <v>10.877922399443273</v>
      </c>
      <c r="N478" s="27">
        <f>N477*(Presion_cilindro!O469/Presion_cilindro!O470)^Presion_cilindro!$B$9+10*(Presion_cilindro!$B$9-1)*Presion_cilindro!$B$33*(IF(Presion_cilindro!N470&gt;(-N$4+Presion_cilindro!$B$34),1-EXP(-Presion_cilindro!$B$16*((Presion_cilindro!N470-(-N$4+Presion_cilindro!$B$34))/Presion_cilindro!$B$35)^(Presion_cilindro!$B$17+1)),0)-IF(Presion_cilindro!N469&gt;(-N$4+Presion_cilindro!$B$34),1-EXP(-Presion_cilindro!$B$16*((Presion_cilindro!N469-(-N$4+Presion_cilindro!$B$34))/Presion_cilindro!$B$35)^(Presion_cilindro!$B$17+1)),0))/((Presion_cilindro!O469+Presion_cilindro!O470)/2)</f>
        <v>11.191962583395895</v>
      </c>
    </row>
    <row r="479" spans="1:14" x14ac:dyDescent="0.25">
      <c r="A479" s="21">
        <f>Presion_cilindro!N471</f>
        <v>53.5</v>
      </c>
      <c r="B479" s="27">
        <f>B478*(Presion_cilindro!O470/Presion_cilindro!O471)^Presion_cilindro!$B$9+10*(Presion_cilindro!$B$9-1)*Presion_cilindro!$B$33*(IF(Presion_cilindro!N471&gt;(-B$4+Presion_cilindro!$B$34),1-EXP(-Presion_cilindro!$B$16*((Presion_cilindro!N471-(-B$4+Presion_cilindro!$B$34))/Presion_cilindro!$B$35)^(Presion_cilindro!$B$17+1)),0)-IF(Presion_cilindro!N470&gt;(-B$4+Presion_cilindro!$B$34),1-EXP(-Presion_cilindro!$B$16*((Presion_cilindro!N470-(-B$4+Presion_cilindro!$B$34))/Presion_cilindro!$B$35)^(Presion_cilindro!$B$17+1)),0))/((Presion_cilindro!O470+Presion_cilindro!O471)/2)</f>
        <v>11.417435781347875</v>
      </c>
      <c r="C479" s="27">
        <f>C478*(Presion_cilindro!O470/Presion_cilindro!O471)^Presion_cilindro!$B$9+10*(Presion_cilindro!$B$9-1)*Presion_cilindro!$B$33*(IF(Presion_cilindro!N471&gt;(-C$4+Presion_cilindro!$B$34),1-EXP(-Presion_cilindro!$B$16*((Presion_cilindro!N471-(-C$4+Presion_cilindro!$B$34))/Presion_cilindro!$B$35)^(Presion_cilindro!$B$17+1)),0)-IF(Presion_cilindro!N470&gt;(-C$4+Presion_cilindro!$B$34),1-EXP(-Presion_cilindro!$B$16*((Presion_cilindro!N470-(-C$4+Presion_cilindro!$B$34))/Presion_cilindro!$B$35)^(Presion_cilindro!$B$17+1)),0))/((Presion_cilindro!O470+Presion_cilindro!O471)/2)</f>
        <v>11.19496426274778</v>
      </c>
      <c r="D479" s="27">
        <f>D478*(Presion_cilindro!O470/Presion_cilindro!O471)^Presion_cilindro!$B$9+10*(Presion_cilindro!$B$9-1)*Presion_cilindro!$B$33*(IF(Presion_cilindro!N471&gt;(-D$4+Presion_cilindro!$B$34),1-EXP(-Presion_cilindro!$B$16*((Presion_cilindro!N471-(-D$4+Presion_cilindro!$B$34))/Presion_cilindro!$B$35)^(Presion_cilindro!$B$17+1)),0)-IF(Presion_cilindro!N470&gt;(-D$4+Presion_cilindro!$B$34),1-EXP(-Presion_cilindro!$B$16*((Presion_cilindro!N470-(-D$4+Presion_cilindro!$B$34))/Presion_cilindro!$B$35)^(Presion_cilindro!$B$17+1)),0))/((Presion_cilindro!O470+Presion_cilindro!O471)/2)</f>
        <v>10.896375874464525</v>
      </c>
      <c r="E479" s="27">
        <f>E478*(Presion_cilindro!O470/Presion_cilindro!O471)^Presion_cilindro!$B$9+10*(Presion_cilindro!$B$9-1)*Presion_cilindro!$B$33*(IF(Presion_cilindro!N471&gt;(-E$4+Presion_cilindro!$B$34),1-EXP(-Presion_cilindro!$B$16*((Presion_cilindro!N471-(-E$4+Presion_cilindro!$B$34))/Presion_cilindro!$B$35)^(Presion_cilindro!$B$17+1)),0)-IF(Presion_cilindro!N470&gt;(-E$4+Presion_cilindro!$B$34),1-EXP(-Presion_cilindro!$B$16*((Presion_cilindro!N470-(-E$4+Presion_cilindro!$B$34))/Presion_cilindro!$B$35)^(Presion_cilindro!$B$17+1)),0))/((Presion_cilindro!O470+Presion_cilindro!O471)/2)</f>
        <v>10.607215948773323</v>
      </c>
      <c r="F479" s="27">
        <f>F478*(Presion_cilindro!O470/Presion_cilindro!O471)^Presion_cilindro!$B$9+10*(Presion_cilindro!$B$9-1)*Presion_cilindro!$B$33*(IF(Presion_cilindro!N471&gt;(-F$4+Presion_cilindro!$B$34),1-EXP(-Presion_cilindro!$B$16*((Presion_cilindro!N471-(-F$4+Presion_cilindro!$B$34))/Presion_cilindro!$B$35)^(Presion_cilindro!$B$17+1)),0)-IF(Presion_cilindro!N470&gt;(-F$4+Presion_cilindro!$B$34),1-EXP(-Presion_cilindro!$B$16*((Presion_cilindro!N470-(-F$4+Presion_cilindro!$B$34))/Presion_cilindro!$B$35)^(Presion_cilindro!$B$17+1)),0))/((Presion_cilindro!O470+Presion_cilindro!O471)/2)</f>
        <v>10.363122614729569</v>
      </c>
      <c r="G479" s="27">
        <f>G478*(Presion_cilindro!O470/Presion_cilindro!O471)^Presion_cilindro!$B$9+10*(Presion_cilindro!$B$9-1)*Presion_cilindro!$B$33*(IF(Presion_cilindro!N471&gt;(-G$4+Presion_cilindro!$B$34),1-EXP(-Presion_cilindro!$B$16*((Presion_cilindro!N471-(-G$4+Presion_cilindro!$B$34))/Presion_cilindro!$B$35)^(Presion_cilindro!$B$17+1)),0)-IF(Presion_cilindro!N470&gt;(-G$4+Presion_cilindro!$B$34),1-EXP(-Presion_cilindro!$B$16*((Presion_cilindro!N470-(-G$4+Presion_cilindro!$B$34))/Presion_cilindro!$B$35)^(Presion_cilindro!$B$17+1)),0))/((Presion_cilindro!O470+Presion_cilindro!O471)/2)</f>
        <v>10.181769236658255</v>
      </c>
      <c r="H479" s="27">
        <f>H478*(Presion_cilindro!O470/Presion_cilindro!O471)^Presion_cilindro!$B$9+10*(Presion_cilindro!$B$9-1)*Presion_cilindro!$B$33*(IF(Presion_cilindro!N471&gt;(-H$4+Presion_cilindro!$B$34),1-EXP(-Presion_cilindro!$B$16*((Presion_cilindro!N471-(-H$4+Presion_cilindro!$B$34))/Presion_cilindro!$B$35)^(Presion_cilindro!$B$17+1)),0)-IF(Presion_cilindro!N470&gt;(-H$4+Presion_cilindro!$B$34),1-EXP(-Presion_cilindro!$B$16*((Presion_cilindro!N470-(-H$4+Presion_cilindro!$B$34))/Presion_cilindro!$B$35)^(Presion_cilindro!$B$17+1)),0))/((Presion_cilindro!O470+Presion_cilindro!O471)/2)</f>
        <v>10.074758233200905</v>
      </c>
      <c r="I479" s="27">
        <f>I478*(Presion_cilindro!O470/Presion_cilindro!O471)^Presion_cilindro!$B$9+10*(Presion_cilindro!$B$9-1)*Presion_cilindro!$B$33*(IF(Presion_cilindro!N471&gt;(-I$4+Presion_cilindro!$B$34),1-EXP(-Presion_cilindro!$B$16*((Presion_cilindro!N471-(-I$4+Presion_cilindro!$B$34))/Presion_cilindro!$B$35)^(Presion_cilindro!$B$17+1)),0)-IF(Presion_cilindro!N470&gt;(-I$4+Presion_cilindro!$B$34),1-EXP(-Presion_cilindro!$B$16*((Presion_cilindro!N470-(-I$4+Presion_cilindro!$B$34))/Presion_cilindro!$B$35)^(Presion_cilindro!$B$17+1)),0))/((Presion_cilindro!O470+Presion_cilindro!O471)/2)</f>
        <v>10.04908857799844</v>
      </c>
      <c r="J479" s="27">
        <f>J478*(Presion_cilindro!O470/Presion_cilindro!O471)^Presion_cilindro!$B$9+10*(Presion_cilindro!$B$9-1)*Presion_cilindro!$B$33*(IF(Presion_cilindro!N471&gt;(-J$4+Presion_cilindro!$B$34),1-EXP(-Presion_cilindro!$B$16*((Presion_cilindro!N471-(-J$4+Presion_cilindro!$B$34))/Presion_cilindro!$B$35)^(Presion_cilindro!$B$17+1)),0)-IF(Presion_cilindro!N470&gt;(-J$4+Presion_cilindro!$B$34),1-EXP(-Presion_cilindro!$B$16*((Presion_cilindro!N470-(-J$4+Presion_cilindro!$B$34))/Presion_cilindro!$B$35)^(Presion_cilindro!$B$17+1)),0))/((Presion_cilindro!O470+Presion_cilindro!O471)/2)</f>
        <v>10.1063622259709</v>
      </c>
      <c r="K479" s="27">
        <f>K478*(Presion_cilindro!O470/Presion_cilindro!O471)^Presion_cilindro!$B$9+10*(Presion_cilindro!$B$9-1)*Presion_cilindro!$B$33*(IF(Presion_cilindro!N471&gt;(-K$4+Presion_cilindro!$B$34),1-EXP(-Presion_cilindro!$B$16*((Presion_cilindro!N471-(-K$4+Presion_cilindro!$B$34))/Presion_cilindro!$B$35)^(Presion_cilindro!$B$17+1)),0)-IF(Presion_cilindro!N470&gt;(-K$4+Presion_cilindro!$B$34),1-EXP(-Presion_cilindro!$B$16*((Presion_cilindro!N470-(-K$4+Presion_cilindro!$B$34))/Presion_cilindro!$B$35)^(Presion_cilindro!$B$17+1)),0))/((Presion_cilindro!O470+Presion_cilindro!O471)/2)</f>
        <v>10.242555490010814</v>
      </c>
      <c r="L479" s="27">
        <f>L478*(Presion_cilindro!O470/Presion_cilindro!O471)^Presion_cilindro!$B$9+10*(Presion_cilindro!$B$9-1)*Presion_cilindro!$B$33*(IF(Presion_cilindro!N471&gt;(-L$4+Presion_cilindro!$B$34),1-EXP(-Presion_cilindro!$B$16*((Presion_cilindro!N471-(-L$4+Presion_cilindro!$B$34))/Presion_cilindro!$B$35)^(Presion_cilindro!$B$17+1)),0)-IF(Presion_cilindro!N470&gt;(-L$4+Presion_cilindro!$B$34),1-EXP(-Presion_cilindro!$B$16*((Presion_cilindro!N470-(-L$4+Presion_cilindro!$B$34))/Presion_cilindro!$B$35)^(Presion_cilindro!$B$17+1)),0))/((Presion_cilindro!O470+Presion_cilindro!O471)/2)</f>
        <v>10.448853855457214</v>
      </c>
      <c r="M479" s="27">
        <f>M478*(Presion_cilindro!O470/Presion_cilindro!O471)^Presion_cilindro!$B$9+10*(Presion_cilindro!$B$9-1)*Presion_cilindro!$B$33*(IF(Presion_cilindro!N471&gt;(-M$4+Presion_cilindro!$B$34),1-EXP(-Presion_cilindro!$B$16*((Presion_cilindro!N471-(-M$4+Presion_cilindro!$B$34))/Presion_cilindro!$B$35)^(Presion_cilindro!$B$17+1)),0)-IF(Presion_cilindro!N470&gt;(-M$4+Presion_cilindro!$B$34),1-EXP(-Presion_cilindro!$B$16*((Presion_cilindro!N470-(-M$4+Presion_cilindro!$B$34))/Presion_cilindro!$B$35)^(Presion_cilindro!$B$17+1)),0))/((Presion_cilindro!O470+Presion_cilindro!O471)/2)</f>
        <v>10.713278643376272</v>
      </c>
      <c r="N479" s="27">
        <f>N478*(Presion_cilindro!O470/Presion_cilindro!O471)^Presion_cilindro!$B$9+10*(Presion_cilindro!$B$9-1)*Presion_cilindro!$B$33*(IF(Presion_cilindro!N471&gt;(-N$4+Presion_cilindro!$B$34),1-EXP(-Presion_cilindro!$B$16*((Presion_cilindro!N471-(-N$4+Presion_cilindro!$B$34))/Presion_cilindro!$B$35)^(Presion_cilindro!$B$17+1)),0)-IF(Presion_cilindro!N470&gt;(-N$4+Presion_cilindro!$B$34),1-EXP(-Presion_cilindro!$B$16*((Presion_cilindro!N470-(-N$4+Presion_cilindro!$B$34))/Presion_cilindro!$B$35)^(Presion_cilindro!$B$17+1)),0))/((Presion_cilindro!O470+Presion_cilindro!O471)/2)</f>
        <v>11.02256564436405</v>
      </c>
    </row>
    <row r="480" spans="1:14" x14ac:dyDescent="0.25">
      <c r="A480" s="21">
        <f>Presion_cilindro!N472</f>
        <v>54</v>
      </c>
      <c r="B480" s="27">
        <f>B479*(Presion_cilindro!O471/Presion_cilindro!O472)^Presion_cilindro!$B$9+10*(Presion_cilindro!$B$9-1)*Presion_cilindro!$B$33*(IF(Presion_cilindro!N472&gt;(-B$4+Presion_cilindro!$B$34),1-EXP(-Presion_cilindro!$B$16*((Presion_cilindro!N472-(-B$4+Presion_cilindro!$B$34))/Presion_cilindro!$B$35)^(Presion_cilindro!$B$17+1)),0)-IF(Presion_cilindro!N471&gt;(-B$4+Presion_cilindro!$B$34),1-EXP(-Presion_cilindro!$B$16*((Presion_cilindro!N471-(-B$4+Presion_cilindro!$B$34))/Presion_cilindro!$B$35)^(Presion_cilindro!$B$17+1)),0))/((Presion_cilindro!O471+Presion_cilindro!O472)/2)</f>
        <v>11.266660320483973</v>
      </c>
      <c r="C480" s="27">
        <f>C479*(Presion_cilindro!O471/Presion_cilindro!O472)^Presion_cilindro!$B$9+10*(Presion_cilindro!$B$9-1)*Presion_cilindro!$B$33*(IF(Presion_cilindro!N472&gt;(-C$4+Presion_cilindro!$B$34),1-EXP(-Presion_cilindro!$B$16*((Presion_cilindro!N472-(-C$4+Presion_cilindro!$B$34))/Presion_cilindro!$B$35)^(Presion_cilindro!$B$17+1)),0)-IF(Presion_cilindro!N471&gt;(-C$4+Presion_cilindro!$B$34),1-EXP(-Presion_cilindro!$B$16*((Presion_cilindro!N471-(-C$4+Presion_cilindro!$B$34))/Presion_cilindro!$B$35)^(Presion_cilindro!$B$17+1)),0))/((Presion_cilindro!O471+Presion_cilindro!O472)/2)</f>
        <v>11.032474612270944</v>
      </c>
      <c r="D480" s="27">
        <f>D479*(Presion_cilindro!O471/Presion_cilindro!O472)^Presion_cilindro!$B$9+10*(Presion_cilindro!$B$9-1)*Presion_cilindro!$B$33*(IF(Presion_cilindro!N472&gt;(-D$4+Presion_cilindro!$B$34),1-EXP(-Presion_cilindro!$B$16*((Presion_cilindro!N472-(-D$4+Presion_cilindro!$B$34))/Presion_cilindro!$B$35)^(Presion_cilindro!$B$17+1)),0)-IF(Presion_cilindro!N471&gt;(-D$4+Presion_cilindro!$B$34),1-EXP(-Presion_cilindro!$B$16*((Presion_cilindro!N471-(-D$4+Presion_cilindro!$B$34))/Presion_cilindro!$B$35)^(Presion_cilindro!$B$17+1)),0))/((Presion_cilindro!O471+Presion_cilindro!O472)/2)</f>
        <v>10.733705893397349</v>
      </c>
      <c r="E480" s="27">
        <f>E479*(Presion_cilindro!O471/Presion_cilindro!O472)^Presion_cilindro!$B$9+10*(Presion_cilindro!$B$9-1)*Presion_cilindro!$B$33*(IF(Presion_cilindro!N472&gt;(-E$4+Presion_cilindro!$B$34),1-EXP(-Presion_cilindro!$B$16*((Presion_cilindro!N472-(-E$4+Presion_cilindro!$B$34))/Presion_cilindro!$B$35)^(Presion_cilindro!$B$17+1)),0)-IF(Presion_cilindro!N471&gt;(-E$4+Presion_cilindro!$B$34),1-EXP(-Presion_cilindro!$B$16*((Presion_cilindro!N471-(-E$4+Presion_cilindro!$B$34))/Presion_cilindro!$B$35)^(Presion_cilindro!$B$17+1)),0))/((Presion_cilindro!O471+Presion_cilindro!O472)/2)</f>
        <v>10.447890631750985</v>
      </c>
      <c r="F480" s="27">
        <f>F479*(Presion_cilindro!O471/Presion_cilindro!O472)^Presion_cilindro!$B$9+10*(Presion_cilindro!$B$9-1)*Presion_cilindro!$B$33*(IF(Presion_cilindro!N472&gt;(-F$4+Presion_cilindro!$B$34),1-EXP(-Presion_cilindro!$B$16*((Presion_cilindro!N472-(-F$4+Presion_cilindro!$B$34))/Presion_cilindro!$B$35)^(Presion_cilindro!$B$17+1)),0)-IF(Presion_cilindro!N471&gt;(-F$4+Presion_cilindro!$B$34),1-EXP(-Presion_cilindro!$B$16*((Presion_cilindro!N471-(-F$4+Presion_cilindro!$B$34))/Presion_cilindro!$B$35)^(Presion_cilindro!$B$17+1)),0))/((Presion_cilindro!O471+Presion_cilindro!O472)/2)</f>
        <v>10.207320871048642</v>
      </c>
      <c r="G480" s="27">
        <f>G479*(Presion_cilindro!O471/Presion_cilindro!O472)^Presion_cilindro!$B$9+10*(Presion_cilindro!$B$9-1)*Presion_cilindro!$B$33*(IF(Presion_cilindro!N472&gt;(-G$4+Presion_cilindro!$B$34),1-EXP(-Presion_cilindro!$B$16*((Presion_cilindro!N472-(-G$4+Presion_cilindro!$B$34))/Presion_cilindro!$B$35)^(Presion_cilindro!$B$17+1)),0)-IF(Presion_cilindro!N471&gt;(-G$4+Presion_cilindro!$B$34),1-EXP(-Presion_cilindro!$B$16*((Presion_cilindro!N471-(-G$4+Presion_cilindro!$B$34))/Presion_cilindro!$B$35)^(Presion_cilindro!$B$17+1)),0))/((Presion_cilindro!O471+Presion_cilindro!O472)/2)</f>
        <v>10.028680023933985</v>
      </c>
      <c r="H480" s="27">
        <f>H479*(Presion_cilindro!O471/Presion_cilindro!O472)^Presion_cilindro!$B$9+10*(Presion_cilindro!$B$9-1)*Presion_cilindro!$B$33*(IF(Presion_cilindro!N472&gt;(-H$4+Presion_cilindro!$B$34),1-EXP(-Presion_cilindro!$B$16*((Presion_cilindro!N472-(-H$4+Presion_cilindro!$B$34))/Presion_cilindro!$B$35)^(Presion_cilindro!$B$17+1)),0)-IF(Presion_cilindro!N471&gt;(-H$4+Presion_cilindro!$B$34),1-EXP(-Presion_cilindro!$B$16*((Presion_cilindro!N471-(-H$4+Presion_cilindro!$B$34))/Presion_cilindro!$B$35)^(Presion_cilindro!$B$17+1)),0))/((Presion_cilindro!O471+Presion_cilindro!O472)/2)</f>
        <v>9.923277107591236</v>
      </c>
      <c r="I480" s="27">
        <f>I479*(Presion_cilindro!O471/Presion_cilindro!O472)^Presion_cilindro!$B$9+10*(Presion_cilindro!$B$9-1)*Presion_cilindro!$B$33*(IF(Presion_cilindro!N472&gt;(-I$4+Presion_cilindro!$B$34),1-EXP(-Presion_cilindro!$B$16*((Presion_cilindro!N472-(-I$4+Presion_cilindro!$B$34))/Presion_cilindro!$B$35)^(Presion_cilindro!$B$17+1)),0)-IF(Presion_cilindro!N471&gt;(-I$4+Presion_cilindro!$B$34),1-EXP(-Presion_cilindro!$B$16*((Presion_cilindro!N471-(-I$4+Presion_cilindro!$B$34))/Presion_cilindro!$B$35)^(Presion_cilindro!$B$17+1)),0))/((Presion_cilindro!O471+Presion_cilindro!O472)/2)</f>
        <v>9.897993377981237</v>
      </c>
      <c r="J480" s="27">
        <f>J479*(Presion_cilindro!O471/Presion_cilindro!O472)^Presion_cilindro!$B$9+10*(Presion_cilindro!$B$9-1)*Presion_cilindro!$B$33*(IF(Presion_cilindro!N472&gt;(-J$4+Presion_cilindro!$B$34),1-EXP(-Presion_cilindro!$B$16*((Presion_cilindro!N472-(-J$4+Presion_cilindro!$B$34))/Presion_cilindro!$B$35)^(Presion_cilindro!$B$17+1)),0)-IF(Presion_cilindro!N471&gt;(-J$4+Presion_cilindro!$B$34),1-EXP(-Presion_cilindro!$B$16*((Presion_cilindro!N471-(-J$4+Presion_cilindro!$B$34))/Presion_cilindro!$B$35)^(Presion_cilindro!$B$17+1)),0))/((Presion_cilindro!O471+Presion_cilindro!O472)/2)</f>
        <v>9.9544058749970521</v>
      </c>
      <c r="K480" s="27">
        <f>K479*(Presion_cilindro!O471/Presion_cilindro!O472)^Presion_cilindro!$B$9+10*(Presion_cilindro!$B$9-1)*Presion_cilindro!$B$33*(IF(Presion_cilindro!N472&gt;(-K$4+Presion_cilindro!$B$34),1-EXP(-Presion_cilindro!$B$16*((Presion_cilindro!N472-(-K$4+Presion_cilindro!$B$34))/Presion_cilindro!$B$35)^(Presion_cilindro!$B$17+1)),0)-IF(Presion_cilindro!N471&gt;(-K$4+Presion_cilindro!$B$34),1-EXP(-Presion_cilindro!$B$16*((Presion_cilindro!N471-(-K$4+Presion_cilindro!$B$34))/Presion_cilindro!$B$35)^(Presion_cilindro!$B$17+1)),0))/((Presion_cilindro!O471+Presion_cilindro!O472)/2)</f>
        <v>10.088551376340385</v>
      </c>
      <c r="L480" s="27">
        <f>L479*(Presion_cilindro!O471/Presion_cilindro!O472)^Presion_cilindro!$B$9+10*(Presion_cilindro!$B$9-1)*Presion_cilindro!$B$33*(IF(Presion_cilindro!N472&gt;(-L$4+Presion_cilindro!$B$34),1-EXP(-Presion_cilindro!$B$16*((Presion_cilindro!N472-(-L$4+Presion_cilindro!$B$34))/Presion_cilindro!$B$35)^(Presion_cilindro!$B$17+1)),0)-IF(Presion_cilindro!N471&gt;(-L$4+Presion_cilindro!$B$34),1-EXP(-Presion_cilindro!$B$16*((Presion_cilindro!N471-(-L$4+Presion_cilindro!$B$34))/Presion_cilindro!$B$35)^(Presion_cilindro!$B$17+1)),0))/((Presion_cilindro!O471+Presion_cilindro!O472)/2)</f>
        <v>10.29174789899429</v>
      </c>
      <c r="M480" s="27">
        <f>M479*(Presion_cilindro!O471/Presion_cilindro!O472)^Presion_cilindro!$B$9+10*(Presion_cilindro!$B$9-1)*Presion_cilindro!$B$33*(IF(Presion_cilindro!N472&gt;(-M$4+Presion_cilindro!$B$34),1-EXP(-Presion_cilindro!$B$16*((Presion_cilindro!N472-(-M$4+Presion_cilindro!$B$34))/Presion_cilindro!$B$35)^(Presion_cilindro!$B$17+1)),0)-IF(Presion_cilindro!N471&gt;(-M$4+Presion_cilindro!$B$34),1-EXP(-Presion_cilindro!$B$16*((Presion_cilindro!N471-(-M$4+Presion_cilindro!$B$34))/Presion_cilindro!$B$35)^(Presion_cilindro!$B$17+1)),0))/((Presion_cilindro!O471+Presion_cilindro!O472)/2)</f>
        <v>10.552196871977738</v>
      </c>
      <c r="N480" s="27">
        <f>N479*(Presion_cilindro!O471/Presion_cilindro!O472)^Presion_cilindro!$B$9+10*(Presion_cilindro!$B$9-1)*Presion_cilindro!$B$33*(IF(Presion_cilindro!N472&gt;(-N$4+Presion_cilindro!$B$34),1-EXP(-Presion_cilindro!$B$16*((Presion_cilindro!N472-(-N$4+Presion_cilindro!$B$34))/Presion_cilindro!$B$35)^(Presion_cilindro!$B$17+1)),0)-IF(Presion_cilindro!N471&gt;(-N$4+Presion_cilindro!$B$34),1-EXP(-Presion_cilindro!$B$16*((Presion_cilindro!N471-(-N$4+Presion_cilindro!$B$34))/Presion_cilindro!$B$35)^(Presion_cilindro!$B$17+1)),0))/((Presion_cilindro!O471+Presion_cilindro!O472)/2)</f>
        <v>10.856833522718121</v>
      </c>
    </row>
    <row r="481" spans="1:14" x14ac:dyDescent="0.25">
      <c r="A481" s="21">
        <f>Presion_cilindro!N473</f>
        <v>54.5</v>
      </c>
      <c r="B481" s="27">
        <f>B480*(Presion_cilindro!O472/Presion_cilindro!O473)^Presion_cilindro!$B$9+10*(Presion_cilindro!$B$9-1)*Presion_cilindro!$B$33*(IF(Presion_cilindro!N473&gt;(-B$4+Presion_cilindro!$B$34),1-EXP(-Presion_cilindro!$B$16*((Presion_cilindro!N473-(-B$4+Presion_cilindro!$B$34))/Presion_cilindro!$B$35)^(Presion_cilindro!$B$17+1)),0)-IF(Presion_cilindro!N472&gt;(-B$4+Presion_cilindro!$B$34),1-EXP(-Presion_cilindro!$B$16*((Presion_cilindro!N472-(-B$4+Presion_cilindro!$B$34))/Presion_cilindro!$B$35)^(Presion_cilindro!$B$17+1)),0))/((Presion_cilindro!O472+Presion_cilindro!O473)/2)</f>
        <v>11.116831920077484</v>
      </c>
      <c r="C481" s="27">
        <f>C480*(Presion_cilindro!O472/Presion_cilindro!O473)^Presion_cilindro!$B$9+10*(Presion_cilindro!$B$9-1)*Presion_cilindro!$B$33*(IF(Presion_cilindro!N473&gt;(-C$4+Presion_cilindro!$B$34),1-EXP(-Presion_cilindro!$B$16*((Presion_cilindro!N473-(-C$4+Presion_cilindro!$B$34))/Presion_cilindro!$B$35)^(Presion_cilindro!$B$17+1)),0)-IF(Presion_cilindro!N472&gt;(-C$4+Presion_cilindro!$B$34),1-EXP(-Presion_cilindro!$B$16*((Presion_cilindro!N472-(-C$4+Presion_cilindro!$B$34))/Presion_cilindro!$B$35)^(Presion_cilindro!$B$17+1)),0))/((Presion_cilindro!O472+Presion_cilindro!O473)/2)</f>
        <v>10.872684619001133</v>
      </c>
      <c r="D481" s="27">
        <f>D480*(Presion_cilindro!O472/Presion_cilindro!O473)^Presion_cilindro!$B$9+10*(Presion_cilindro!$B$9-1)*Presion_cilindro!$B$33*(IF(Presion_cilindro!N473&gt;(-D$4+Presion_cilindro!$B$34),1-EXP(-Presion_cilindro!$B$16*((Presion_cilindro!N473-(-D$4+Presion_cilindro!$B$34))/Presion_cilindro!$B$35)^(Presion_cilindro!$B$17+1)),0)-IF(Presion_cilindro!N472&gt;(-D$4+Presion_cilindro!$B$34),1-EXP(-Presion_cilindro!$B$16*((Presion_cilindro!N472-(-D$4+Presion_cilindro!$B$34))/Presion_cilindro!$B$35)^(Presion_cilindro!$B$17+1)),0))/((Presion_cilindro!O472+Presion_cilindro!O473)/2)</f>
        <v>10.574352310193415</v>
      </c>
      <c r="E481" s="27">
        <f>E480*(Presion_cilindro!O472/Presion_cilindro!O473)^Presion_cilindro!$B$9+10*(Presion_cilindro!$B$9-1)*Presion_cilindro!$B$33*(IF(Presion_cilindro!N473&gt;(-E$4+Presion_cilindro!$B$34),1-EXP(-Presion_cilindro!$B$16*((Presion_cilindro!N473-(-E$4+Presion_cilindro!$B$34))/Presion_cilindro!$B$35)^(Presion_cilindro!$B$17+1)),0)-IF(Presion_cilindro!N472&gt;(-E$4+Presion_cilindro!$B$34),1-EXP(-Presion_cilindro!$B$16*((Presion_cilindro!N472-(-E$4+Presion_cilindro!$B$34))/Presion_cilindro!$B$35)^(Presion_cilindro!$B$17+1)),0))/((Presion_cilindro!O472+Presion_cilindro!O473)/2)</f>
        <v>10.2919730858256</v>
      </c>
      <c r="F481" s="27">
        <f>F480*(Presion_cilindro!O472/Presion_cilindro!O473)^Presion_cilindro!$B$9+10*(Presion_cilindro!$B$9-1)*Presion_cilindro!$B$33*(IF(Presion_cilindro!N473&gt;(-F$4+Presion_cilindro!$B$34),1-EXP(-Presion_cilindro!$B$16*((Presion_cilindro!N473-(-F$4+Presion_cilindro!$B$34))/Presion_cilindro!$B$35)^(Presion_cilindro!$B$17+1)),0)-IF(Presion_cilindro!N472&gt;(-F$4+Presion_cilindro!$B$34),1-EXP(-Presion_cilindro!$B$16*((Presion_cilindro!N472-(-F$4+Presion_cilindro!$B$34))/Presion_cilindro!$B$35)^(Presion_cilindro!$B$17+1)),0))/((Presion_cilindro!O472+Presion_cilindro!O473)/2)</f>
        <v>10.054879458215884</v>
      </c>
      <c r="G481" s="27">
        <f>G480*(Presion_cilindro!O472/Presion_cilindro!O473)^Presion_cilindro!$B$9+10*(Presion_cilindro!$B$9-1)*Presion_cilindro!$B$33*(IF(Presion_cilindro!N473&gt;(-G$4+Presion_cilindro!$B$34),1-EXP(-Presion_cilindro!$B$16*((Presion_cilindro!N473-(-G$4+Presion_cilindro!$B$34))/Presion_cilindro!$B$35)^(Presion_cilindro!$B$17+1)),0)-IF(Presion_cilindro!N472&gt;(-G$4+Presion_cilindro!$B$34),1-EXP(-Presion_cilindro!$B$16*((Presion_cilindro!N472-(-G$4+Presion_cilindro!$B$34))/Presion_cilindro!$B$35)^(Presion_cilindro!$B$17+1)),0))/((Presion_cilindro!O472+Presion_cilindro!O473)/2)</f>
        <v>9.8788958290260176</v>
      </c>
      <c r="H481" s="27">
        <f>H480*(Presion_cilindro!O472/Presion_cilindro!O473)^Presion_cilindro!$B$9+10*(Presion_cilindro!$B$9-1)*Presion_cilindro!$B$33*(IF(Presion_cilindro!N473&gt;(-H$4+Presion_cilindro!$B$34),1-EXP(-Presion_cilindro!$B$16*((Presion_cilindro!N473-(-H$4+Presion_cilindro!$B$34))/Presion_cilindro!$B$35)^(Presion_cilindro!$B$17+1)),0)-IF(Presion_cilindro!N472&gt;(-H$4+Presion_cilindro!$B$34),1-EXP(-Presion_cilindro!$B$16*((Presion_cilindro!N472-(-H$4+Presion_cilindro!$B$34))/Presion_cilindro!$B$35)^(Presion_cilindro!$B$17+1)),0))/((Presion_cilindro!O472+Presion_cilindro!O473)/2)</f>
        <v>9.7750665157861683</v>
      </c>
      <c r="I481" s="27">
        <f>I480*(Presion_cilindro!O472/Presion_cilindro!O473)^Presion_cilindro!$B$9+10*(Presion_cilindro!$B$9-1)*Presion_cilindro!$B$33*(IF(Presion_cilindro!N473&gt;(-I$4+Presion_cilindro!$B$34),1-EXP(-Presion_cilindro!$B$16*((Presion_cilindro!N473-(-I$4+Presion_cilindro!$B$34))/Presion_cilindro!$B$35)^(Presion_cilindro!$B$17+1)),0)-IF(Presion_cilindro!N472&gt;(-I$4+Presion_cilindro!$B$34),1-EXP(-Presion_cilindro!$B$16*((Presion_cilindro!N472-(-I$4+Presion_cilindro!$B$34))/Presion_cilindro!$B$35)^(Presion_cilindro!$B$17+1)),0))/((Presion_cilindro!O472+Presion_cilindro!O473)/2)</f>
        <v>9.7501603900804295</v>
      </c>
      <c r="J481" s="27">
        <f>J480*(Presion_cilindro!O472/Presion_cilindro!O473)^Presion_cilindro!$B$9+10*(Presion_cilindro!$B$9-1)*Presion_cilindro!$B$33*(IF(Presion_cilindro!N473&gt;(-J$4+Presion_cilindro!$B$34),1-EXP(-Presion_cilindro!$B$16*((Presion_cilindro!N473-(-J$4+Presion_cilindro!$B$34))/Presion_cilindro!$B$35)^(Presion_cilindro!$B$17+1)),0)-IF(Presion_cilindro!N472&gt;(-J$4+Presion_cilindro!$B$34),1-EXP(-Presion_cilindro!$B$16*((Presion_cilindro!N472-(-J$4+Presion_cilindro!$B$34))/Presion_cilindro!$B$35)^(Presion_cilindro!$B$17+1)),0))/((Presion_cilindro!O472+Presion_cilindro!O473)/2)</f>
        <v>9.8057303290623761</v>
      </c>
      <c r="K481" s="27">
        <f>K480*(Presion_cilindro!O472/Presion_cilindro!O473)^Presion_cilindro!$B$9+10*(Presion_cilindro!$B$9-1)*Presion_cilindro!$B$33*(IF(Presion_cilindro!N473&gt;(-K$4+Presion_cilindro!$B$34),1-EXP(-Presion_cilindro!$B$16*((Presion_cilindro!N473-(-K$4+Presion_cilindro!$B$34))/Presion_cilindro!$B$35)^(Presion_cilindro!$B$17+1)),0)-IF(Presion_cilindro!N472&gt;(-K$4+Presion_cilindro!$B$34),1-EXP(-Presion_cilindro!$B$16*((Presion_cilindro!N472-(-K$4+Presion_cilindro!$B$34))/Presion_cilindro!$B$35)^(Presion_cilindro!$B$17+1)),0))/((Presion_cilindro!O472+Presion_cilindro!O473)/2)</f>
        <v>9.9378722798191301</v>
      </c>
      <c r="L481" s="27">
        <f>L480*(Presion_cilindro!O472/Presion_cilindro!O473)^Presion_cilindro!$B$9+10*(Presion_cilindro!$B$9-1)*Presion_cilindro!$B$33*(IF(Presion_cilindro!N473&gt;(-L$4+Presion_cilindro!$B$34),1-EXP(-Presion_cilindro!$B$16*((Presion_cilindro!N473-(-L$4+Presion_cilindro!$B$34))/Presion_cilindro!$B$35)^(Presion_cilindro!$B$17+1)),0)-IF(Presion_cilindro!N472&gt;(-L$4+Presion_cilindro!$B$34),1-EXP(-Presion_cilindro!$B$16*((Presion_cilindro!N472-(-L$4+Presion_cilindro!$B$34))/Presion_cilindro!$B$35)^(Presion_cilindro!$B$17+1)),0))/((Presion_cilindro!O472+Presion_cilindro!O473)/2)</f>
        <v>10.138033929842836</v>
      </c>
      <c r="M481" s="27">
        <f>M480*(Presion_cilindro!O472/Presion_cilindro!O473)^Presion_cilindro!$B$9+10*(Presion_cilindro!$B$9-1)*Presion_cilindro!$B$33*(IF(Presion_cilindro!N473&gt;(-M$4+Presion_cilindro!$B$34),1-EXP(-Presion_cilindro!$B$16*((Presion_cilindro!N473-(-M$4+Presion_cilindro!$B$34))/Presion_cilindro!$B$35)^(Presion_cilindro!$B$17+1)),0)-IF(Presion_cilindro!N472&gt;(-M$4+Presion_cilindro!$B$34),1-EXP(-Presion_cilindro!$B$16*((Presion_cilindro!N472-(-M$4+Presion_cilindro!$B$34))/Presion_cilindro!$B$35)^(Presion_cilindro!$B$17+1)),0))/((Presion_cilindro!O472+Presion_cilindro!O473)/2)</f>
        <v>10.394592927499291</v>
      </c>
      <c r="N481" s="27">
        <f>N480*(Presion_cilindro!O472/Presion_cilindro!O473)^Presion_cilindro!$B$9+10*(Presion_cilindro!$B$9-1)*Presion_cilindro!$B$33*(IF(Presion_cilindro!N473&gt;(-N$4+Presion_cilindro!$B$34),1-EXP(-Presion_cilindro!$B$16*((Presion_cilindro!N473-(-N$4+Presion_cilindro!$B$34))/Presion_cilindro!$B$35)^(Presion_cilindro!$B$17+1)),0)-IF(Presion_cilindro!N472&gt;(-N$4+Presion_cilindro!$B$34),1-EXP(-Presion_cilindro!$B$16*((Presion_cilindro!N472-(-N$4+Presion_cilindro!$B$34))/Presion_cilindro!$B$35)^(Presion_cilindro!$B$17+1)),0))/((Presion_cilindro!O472+Presion_cilindro!O473)/2)</f>
        <v>10.694679631117584</v>
      </c>
    </row>
    <row r="482" spans="1:14" x14ac:dyDescent="0.25">
      <c r="A482" s="21">
        <f>Presion_cilindro!N474</f>
        <v>55</v>
      </c>
      <c r="B482" s="27">
        <f>B481*(Presion_cilindro!O473/Presion_cilindro!O474)^Presion_cilindro!$B$9+10*(Presion_cilindro!$B$9-1)*Presion_cilindro!$B$33*(IF(Presion_cilindro!N474&gt;(-B$4+Presion_cilindro!$B$34),1-EXP(-Presion_cilindro!$B$16*((Presion_cilindro!N474-(-B$4+Presion_cilindro!$B$34))/Presion_cilindro!$B$35)^(Presion_cilindro!$B$17+1)),0)-IF(Presion_cilindro!N473&gt;(-B$4+Presion_cilindro!$B$34),1-EXP(-Presion_cilindro!$B$16*((Presion_cilindro!N473-(-B$4+Presion_cilindro!$B$34))/Presion_cilindro!$B$35)^(Presion_cilindro!$B$17+1)),0))/((Presion_cilindro!O473+Presion_cilindro!O474)/2)</f>
        <v>10.968145200468596</v>
      </c>
      <c r="C482" s="27">
        <f>C481*(Presion_cilindro!O473/Presion_cilindro!O474)^Presion_cilindro!$B$9+10*(Presion_cilindro!$B$9-1)*Presion_cilindro!$B$33*(IF(Presion_cilindro!N474&gt;(-C$4+Presion_cilindro!$B$34),1-EXP(-Presion_cilindro!$B$16*((Presion_cilindro!N474-(-C$4+Presion_cilindro!$B$34))/Presion_cilindro!$B$35)^(Presion_cilindro!$B$17+1)),0)-IF(Presion_cilindro!N473&gt;(-C$4+Presion_cilindro!$B$34),1-EXP(-Presion_cilindro!$B$16*((Presion_cilindro!N473-(-C$4+Presion_cilindro!$B$34))/Presion_cilindro!$B$35)^(Presion_cilindro!$B$17+1)),0))/((Presion_cilindro!O473+Presion_cilindro!O474)/2)</f>
        <v>10.715632311182969</v>
      </c>
      <c r="D482" s="27">
        <f>D481*(Presion_cilindro!O473/Presion_cilindro!O474)^Presion_cilindro!$B$9+10*(Presion_cilindro!$B$9-1)*Presion_cilindro!$B$33*(IF(Presion_cilindro!N474&gt;(-D$4+Presion_cilindro!$B$34),1-EXP(-Presion_cilindro!$B$16*((Presion_cilindro!N474-(-D$4+Presion_cilindro!$B$34))/Presion_cilindro!$B$35)^(Presion_cilindro!$B$17+1)),0)-IF(Presion_cilindro!N473&gt;(-D$4+Presion_cilindro!$B$34),1-EXP(-Presion_cilindro!$B$16*((Presion_cilindro!N473-(-D$4+Presion_cilindro!$B$34))/Presion_cilindro!$B$35)^(Presion_cilindro!$B$17+1)),0))/((Presion_cilindro!O473+Presion_cilindro!O474)/2)</f>
        <v>10.418267627621566</v>
      </c>
      <c r="E482" s="27">
        <f>E481*(Presion_cilindro!O473/Presion_cilindro!O474)^Presion_cilindro!$B$9+10*(Presion_cilindro!$B$9-1)*Presion_cilindro!$B$33*(IF(Presion_cilindro!N474&gt;(-E$4+Presion_cilindro!$B$34),1-EXP(-Presion_cilindro!$B$16*((Presion_cilindro!N474-(-E$4+Presion_cilindro!$B$34))/Presion_cilindro!$B$35)^(Presion_cilindro!$B$17+1)),0)-IF(Presion_cilindro!N473&gt;(-E$4+Presion_cilindro!$B$34),1-EXP(-Presion_cilindro!$B$16*((Presion_cilindro!N473-(-E$4+Presion_cilindro!$B$34))/Presion_cilindro!$B$35)^(Presion_cilindro!$B$17+1)),0))/((Presion_cilindro!O473+Presion_cilindro!O474)/2)</f>
        <v>10.139388805197855</v>
      </c>
      <c r="F482" s="27">
        <f>F481*(Presion_cilindro!O473/Presion_cilindro!O474)^Presion_cilindro!$B$9+10*(Presion_cilindro!$B$9-1)*Presion_cilindro!$B$33*(IF(Presion_cilindro!N474&gt;(-F$4+Presion_cilindro!$B$34),1-EXP(-Presion_cilindro!$B$16*((Presion_cilindro!N474-(-F$4+Presion_cilindro!$B$34))/Presion_cilindro!$B$35)^(Presion_cilindro!$B$17+1)),0)-IF(Presion_cilindro!N473&gt;(-F$4+Presion_cilindro!$B$34),1-EXP(-Presion_cilindro!$B$16*((Presion_cilindro!N473-(-F$4+Presion_cilindro!$B$34))/Presion_cilindro!$B$35)^(Presion_cilindro!$B$17+1)),0))/((Presion_cilindro!O473+Presion_cilindro!O474)/2)</f>
        <v>9.9057196357457773</v>
      </c>
      <c r="G482" s="27">
        <f>G481*(Presion_cilindro!O473/Presion_cilindro!O474)^Presion_cilindro!$B$9+10*(Presion_cilindro!$B$9-1)*Presion_cilindro!$B$33*(IF(Presion_cilindro!N474&gt;(-G$4+Presion_cilindro!$B$34),1-EXP(-Presion_cilindro!$B$16*((Presion_cilindro!N474-(-G$4+Presion_cilindro!$B$34))/Presion_cilindro!$B$35)^(Presion_cilindro!$B$17+1)),0)-IF(Presion_cilindro!N473&gt;(-G$4+Presion_cilindro!$B$34),1-EXP(-Presion_cilindro!$B$16*((Presion_cilindro!N473-(-G$4+Presion_cilindro!$B$34))/Presion_cilindro!$B$35)^(Presion_cilindro!$B$17+1)),0))/((Presion_cilindro!O473+Presion_cilindro!O474)/2)</f>
        <v>9.7323384984309342</v>
      </c>
      <c r="H482" s="27">
        <f>H481*(Presion_cilindro!O473/Presion_cilindro!O474)^Presion_cilindro!$B$9+10*(Presion_cilindro!$B$9-1)*Presion_cilindro!$B$33*(IF(Presion_cilindro!N474&gt;(-H$4+Presion_cilindro!$B$34),1-EXP(-Presion_cilindro!$B$16*((Presion_cilindro!N474-(-H$4+Presion_cilindro!$B$34))/Presion_cilindro!$B$35)^(Presion_cilindro!$B$17+1)),0)-IF(Presion_cilindro!N473&gt;(-H$4+Presion_cilindro!$B$34),1-EXP(-Presion_cilindro!$B$16*((Presion_cilindro!N473-(-H$4+Presion_cilindro!$B$34))/Presion_cilindro!$B$35)^(Presion_cilindro!$B$17+1)),0))/((Presion_cilindro!O473+Presion_cilindro!O474)/2)</f>
        <v>9.6300490599054367</v>
      </c>
      <c r="I482" s="27">
        <f>I481*(Presion_cilindro!O473/Presion_cilindro!O474)^Presion_cilindro!$B$9+10*(Presion_cilindro!$B$9-1)*Presion_cilindro!$B$33*(IF(Presion_cilindro!N474&gt;(-I$4+Presion_cilindro!$B$34),1-EXP(-Presion_cilindro!$B$16*((Presion_cilindro!N474-(-I$4+Presion_cilindro!$B$34))/Presion_cilindro!$B$35)^(Presion_cilindro!$B$17+1)),0)-IF(Presion_cilindro!N473&gt;(-I$4+Presion_cilindro!$B$34),1-EXP(-Presion_cilindro!$B$16*((Presion_cilindro!N473-(-I$4+Presion_cilindro!$B$34))/Presion_cilindro!$B$35)^(Presion_cilindro!$B$17+1)),0))/((Presion_cilindro!O473+Presion_cilindro!O474)/2)</f>
        <v>9.605512410257294</v>
      </c>
      <c r="J482" s="27">
        <f>J481*(Presion_cilindro!O473/Presion_cilindro!O474)^Presion_cilindro!$B$9+10*(Presion_cilindro!$B$9-1)*Presion_cilindro!$B$33*(IF(Presion_cilindro!N474&gt;(-J$4+Presion_cilindro!$B$34),1-EXP(-Presion_cilindro!$B$16*((Presion_cilindro!N474-(-J$4+Presion_cilindro!$B$34))/Presion_cilindro!$B$35)^(Presion_cilindro!$B$17+1)),0)-IF(Presion_cilindro!N473&gt;(-J$4+Presion_cilindro!$B$34),1-EXP(-Presion_cilindro!$B$16*((Presion_cilindro!N473-(-J$4+Presion_cilindro!$B$34))/Presion_cilindro!$B$35)^(Presion_cilindro!$B$17+1)),0))/((Presion_cilindro!O473+Presion_cilindro!O474)/2)</f>
        <v>9.6602579440090963</v>
      </c>
      <c r="K482" s="27">
        <f>K481*(Presion_cilindro!O473/Presion_cilindro!O474)^Presion_cilindro!$B$9+10*(Presion_cilindro!$B$9-1)*Presion_cilindro!$B$33*(IF(Presion_cilindro!N474&gt;(-K$4+Presion_cilindro!$B$34),1-EXP(-Presion_cilindro!$B$16*((Presion_cilindro!N474-(-K$4+Presion_cilindro!$B$34))/Presion_cilindro!$B$35)^(Presion_cilindro!$B$17+1)),0)-IF(Presion_cilindro!N473&gt;(-K$4+Presion_cilindro!$B$34),1-EXP(-Presion_cilindro!$B$16*((Presion_cilindro!N473-(-K$4+Presion_cilindro!$B$34))/Presion_cilindro!$B$35)^(Presion_cilindro!$B$17+1)),0))/((Presion_cilindro!O473+Presion_cilindro!O474)/2)</f>
        <v>9.7904395099553074</v>
      </c>
      <c r="L482" s="27">
        <f>L481*(Presion_cilindro!O473/Presion_cilindro!O474)^Presion_cilindro!$B$9+10*(Presion_cilindro!$B$9-1)*Presion_cilindro!$B$33*(IF(Presion_cilindro!N474&gt;(-L$4+Presion_cilindro!$B$34),1-EXP(-Presion_cilindro!$B$16*((Presion_cilindro!N474-(-L$4+Presion_cilindro!$B$34))/Presion_cilindro!$B$35)^(Presion_cilindro!$B$17+1)),0)-IF(Presion_cilindro!N473&gt;(-L$4+Presion_cilindro!$B$34),1-EXP(-Presion_cilindro!$B$16*((Presion_cilindro!N473-(-L$4+Presion_cilindro!$B$34))/Presion_cilindro!$B$35)^(Presion_cilindro!$B$17+1)),0))/((Presion_cilindro!O473+Presion_cilindro!O474)/2)</f>
        <v>9.987631672582415</v>
      </c>
      <c r="M482" s="27">
        <f>M481*(Presion_cilindro!O473/Presion_cilindro!O474)^Presion_cilindro!$B$9+10*(Presion_cilindro!$B$9-1)*Presion_cilindro!$B$33*(IF(Presion_cilindro!N474&gt;(-M$4+Presion_cilindro!$B$34),1-EXP(-Presion_cilindro!$B$16*((Presion_cilindro!N474-(-M$4+Presion_cilindro!$B$34))/Presion_cilindro!$B$35)^(Presion_cilindro!$B$17+1)),0)-IF(Presion_cilindro!N473&gt;(-M$4+Presion_cilindro!$B$34),1-EXP(-Presion_cilindro!$B$16*((Presion_cilindro!N473-(-M$4+Presion_cilindro!$B$34))/Presion_cilindro!$B$35)^(Presion_cilindro!$B$17+1)),0))/((Presion_cilindro!O473+Presion_cilindro!O474)/2)</f>
        <v>10.240384503023902</v>
      </c>
      <c r="N482" s="27">
        <f>N481*(Presion_cilindro!O473/Presion_cilindro!O474)^Presion_cilindro!$B$9+10*(Presion_cilindro!$B$9-1)*Presion_cilindro!$B$33*(IF(Presion_cilindro!N474&gt;(-N$4+Presion_cilindro!$B$34),1-EXP(-Presion_cilindro!$B$16*((Presion_cilindro!N474-(-N$4+Presion_cilindro!$B$34))/Presion_cilindro!$B$35)^(Presion_cilindro!$B$17+1)),0)-IF(Presion_cilindro!N473&gt;(-N$4+Presion_cilindro!$B$34),1-EXP(-Presion_cilindro!$B$16*((Presion_cilindro!N473-(-N$4+Presion_cilindro!$B$34))/Presion_cilindro!$B$35)^(Presion_cilindro!$B$17+1)),0))/((Presion_cilindro!O473+Presion_cilindro!O474)/2)</f>
        <v>10.536019286485844</v>
      </c>
    </row>
    <row r="483" spans="1:14" x14ac:dyDescent="0.25">
      <c r="A483" s="21">
        <f>Presion_cilindro!N475</f>
        <v>55.5</v>
      </c>
      <c r="B483" s="27">
        <f>B482*(Presion_cilindro!O474/Presion_cilindro!O475)^Presion_cilindro!$B$9+10*(Presion_cilindro!$B$9-1)*Presion_cilindro!$B$33*(IF(Presion_cilindro!N475&gt;(-B$4+Presion_cilindro!$B$34),1-EXP(-Presion_cilindro!$B$16*((Presion_cilindro!N475-(-B$4+Presion_cilindro!$B$34))/Presion_cilindro!$B$35)^(Presion_cilindro!$B$17+1)),0)-IF(Presion_cilindro!N474&gt;(-B$4+Presion_cilindro!$B$34),1-EXP(-Presion_cilindro!$B$16*((Presion_cilindro!N474-(-B$4+Presion_cilindro!$B$34))/Presion_cilindro!$B$35)^(Presion_cilindro!$B$17+1)),0))/((Presion_cilindro!O474+Presion_cilindro!O475)/2)</f>
        <v>10.820775577332508</v>
      </c>
      <c r="C483" s="27">
        <f>C482*(Presion_cilindro!O474/Presion_cilindro!O475)^Presion_cilindro!$B$9+10*(Presion_cilindro!$B$9-1)*Presion_cilindro!$B$33*(IF(Presion_cilindro!N475&gt;(-C$4+Presion_cilindro!$B$34),1-EXP(-Presion_cilindro!$B$16*((Presion_cilindro!N475-(-C$4+Presion_cilindro!$B$34))/Presion_cilindro!$B$35)^(Presion_cilindro!$B$17+1)),0)-IF(Presion_cilindro!N474&gt;(-C$4+Presion_cilindro!$B$34),1-EXP(-Presion_cilindro!$B$16*((Presion_cilindro!N474-(-C$4+Presion_cilindro!$B$34))/Presion_cilindro!$B$35)^(Presion_cilindro!$B$17+1)),0))/((Presion_cilindro!O474+Presion_cilindro!O475)/2)</f>
        <v>10.561343803327834</v>
      </c>
      <c r="D483" s="27">
        <f>D482*(Presion_cilindro!O474/Presion_cilindro!O475)^Presion_cilindro!$B$9+10*(Presion_cilindro!$B$9-1)*Presion_cilindro!$B$33*(IF(Presion_cilindro!N475&gt;(-D$4+Presion_cilindro!$B$34),1-EXP(-Presion_cilindro!$B$16*((Presion_cilindro!N475-(-D$4+Presion_cilindro!$B$34))/Presion_cilindro!$B$35)^(Presion_cilindro!$B$17+1)),0)-IF(Presion_cilindro!N474&gt;(-D$4+Presion_cilindro!$B$34),1-EXP(-Presion_cilindro!$B$16*((Presion_cilindro!N474-(-D$4+Presion_cilindro!$B$34))/Presion_cilindro!$B$35)^(Presion_cilindro!$B$17+1)),0))/((Presion_cilindro!O474+Presion_cilindro!O475)/2)</f>
        <v>10.265400898696308</v>
      </c>
      <c r="E483" s="27">
        <f>E482*(Presion_cilindro!O474/Presion_cilindro!O475)^Presion_cilindro!$B$9+10*(Presion_cilindro!$B$9-1)*Presion_cilindro!$B$33*(IF(Presion_cilindro!N475&gt;(-E$4+Presion_cilindro!$B$34),1-EXP(-Presion_cilindro!$B$16*((Presion_cilindro!N475-(-E$4+Presion_cilindro!$B$34))/Presion_cilindro!$B$35)^(Presion_cilindro!$B$17+1)),0)-IF(Presion_cilindro!N474&gt;(-E$4+Presion_cilindro!$B$34),1-EXP(-Presion_cilindro!$B$16*((Presion_cilindro!N474-(-E$4+Presion_cilindro!$B$34))/Presion_cilindro!$B$35)^(Presion_cilindro!$B$17+1)),0))/((Presion_cilindro!O474+Presion_cilindro!O475)/2)</f>
        <v>9.9900638298400199</v>
      </c>
      <c r="F483" s="27">
        <f>F482*(Presion_cilindro!O474/Presion_cilindro!O475)^Presion_cilindro!$B$9+10*(Presion_cilindro!$B$9-1)*Presion_cilindro!$B$33*(IF(Presion_cilindro!N475&gt;(-F$4+Presion_cilindro!$B$34),1-EXP(-Presion_cilindro!$B$16*((Presion_cilindro!N475-(-F$4+Presion_cilindro!$B$34))/Presion_cilindro!$B$35)^(Presion_cilindro!$B$17+1)),0)-IF(Presion_cilindro!N474&gt;(-F$4+Presion_cilindro!$B$34),1-EXP(-Presion_cilindro!$B$16*((Presion_cilindro!N474-(-F$4+Presion_cilindro!$B$34))/Presion_cilindro!$B$35)^(Presion_cilindro!$B$17+1)),0))/((Presion_cilindro!O474+Presion_cilindro!O475)/2)</f>
        <v>9.7597642469345427</v>
      </c>
      <c r="G483" s="27">
        <f>G482*(Presion_cilindro!O474/Presion_cilindro!O475)^Presion_cilindro!$B$9+10*(Presion_cilindro!$B$9-1)*Presion_cilindro!$B$33*(IF(Presion_cilindro!N475&gt;(-G$4+Presion_cilindro!$B$34),1-EXP(-Presion_cilindro!$B$16*((Presion_cilindro!N475-(-G$4+Presion_cilindro!$B$34))/Presion_cilindro!$B$35)^(Presion_cilindro!$B$17+1)),0)-IF(Presion_cilindro!N474&gt;(-G$4+Presion_cilindro!$B$34),1-EXP(-Presion_cilindro!$B$16*((Presion_cilindro!N474-(-G$4+Presion_cilindro!$B$34))/Presion_cilindro!$B$35)^(Presion_cilindro!$B$17+1)),0))/((Presion_cilindro!O474+Presion_cilindro!O475)/2)</f>
        <v>9.5889316038089643</v>
      </c>
      <c r="H483" s="27">
        <f>H482*(Presion_cilindro!O474/Presion_cilindro!O475)^Presion_cilindro!$B$9+10*(Presion_cilindro!$B$9-1)*Presion_cilindro!$B$33*(IF(Presion_cilindro!N475&gt;(-H$4+Presion_cilindro!$B$34),1-EXP(-Presion_cilindro!$B$16*((Presion_cilindro!N475-(-H$4+Presion_cilindro!$B$34))/Presion_cilindro!$B$35)^(Presion_cilindro!$B$17+1)),0)-IF(Presion_cilindro!N474&gt;(-H$4+Presion_cilindro!$B$34),1-EXP(-Presion_cilindro!$B$16*((Presion_cilindro!N474-(-H$4+Presion_cilindro!$B$34))/Presion_cilindro!$B$35)^(Presion_cilindro!$B$17+1)),0))/((Presion_cilindro!O474+Presion_cilindro!O475)/2)</f>
        <v>9.4881490655724292</v>
      </c>
      <c r="I483" s="27">
        <f>I482*(Presion_cilindro!O474/Presion_cilindro!O475)^Presion_cilindro!$B$9+10*(Presion_cilindro!$B$9-1)*Presion_cilindro!$B$33*(IF(Presion_cilindro!N475&gt;(-I$4+Presion_cilindro!$B$34),1-EXP(-Presion_cilindro!$B$16*((Presion_cilindro!N475-(-I$4+Presion_cilindro!$B$34))/Presion_cilindro!$B$35)^(Presion_cilindro!$B$17+1)),0)-IF(Presion_cilindro!N474&gt;(-I$4+Presion_cilindro!$B$34),1-EXP(-Presion_cilindro!$B$16*((Presion_cilindro!N474-(-I$4+Presion_cilindro!$B$34))/Presion_cilindro!$B$35)^(Presion_cilindro!$B$17+1)),0))/((Presion_cilindro!O474+Presion_cilindro!O475)/2)</f>
        <v>9.4639739545495516</v>
      </c>
      <c r="J483" s="27">
        <f>J482*(Presion_cilindro!O474/Presion_cilindro!O475)^Presion_cilindro!$B$9+10*(Presion_cilindro!$B$9-1)*Presion_cilindro!$B$33*(IF(Presion_cilindro!N475&gt;(-J$4+Presion_cilindro!$B$34),1-EXP(-Presion_cilindro!$B$16*((Presion_cilindro!N475-(-J$4+Presion_cilindro!$B$34))/Presion_cilindro!$B$35)^(Presion_cilindro!$B$17+1)),0)-IF(Presion_cilindro!N474&gt;(-J$4+Presion_cilindro!$B$34),1-EXP(-Presion_cilindro!$B$16*((Presion_cilindro!N474-(-J$4+Presion_cilindro!$B$34))/Presion_cilindro!$B$35)^(Presion_cilindro!$B$17+1)),0))/((Presion_cilindro!O474+Presion_cilindro!O475)/2)</f>
        <v>9.517912805592637</v>
      </c>
      <c r="K483" s="27">
        <f>K482*(Presion_cilindro!O474/Presion_cilindro!O475)^Presion_cilindro!$B$9+10*(Presion_cilindro!$B$9-1)*Presion_cilindro!$B$33*(IF(Presion_cilindro!N475&gt;(-K$4+Presion_cilindro!$B$34),1-EXP(-Presion_cilindro!$B$16*((Presion_cilindro!N475-(-K$4+Presion_cilindro!$B$34))/Presion_cilindro!$B$35)^(Presion_cilindro!$B$17+1)),0)-IF(Presion_cilindro!N474&gt;(-K$4+Presion_cilindro!$B$34),1-EXP(-Presion_cilindro!$B$16*((Presion_cilindro!N474-(-K$4+Presion_cilindro!$B$34))/Presion_cilindro!$B$35)^(Presion_cilindro!$B$17+1)),0))/((Presion_cilindro!O474+Presion_cilindro!O475)/2)</f>
        <v>9.646176129483333</v>
      </c>
      <c r="L483" s="27">
        <f>L482*(Presion_cilindro!O474/Presion_cilindro!O475)^Presion_cilindro!$B$9+10*(Presion_cilindro!$B$9-1)*Presion_cilindro!$B$33*(IF(Presion_cilindro!N475&gt;(-L$4+Presion_cilindro!$B$34),1-EXP(-Presion_cilindro!$B$16*((Presion_cilindro!N475-(-L$4+Presion_cilindro!$B$34))/Presion_cilindro!$B$35)^(Presion_cilindro!$B$17+1)),0)-IF(Presion_cilindro!N474&gt;(-L$4+Presion_cilindro!$B$34),1-EXP(-Presion_cilindro!$B$16*((Presion_cilindro!N474-(-L$4+Presion_cilindro!$B$34))/Presion_cilindro!$B$35)^(Presion_cilindro!$B$17+1)),0))/((Presion_cilindro!O474+Presion_cilindro!O475)/2)</f>
        <v>9.8404626403310207</v>
      </c>
      <c r="M483" s="27">
        <f>M482*(Presion_cilindro!O474/Presion_cilindro!O475)^Presion_cilindro!$B$9+10*(Presion_cilindro!$B$9-1)*Presion_cilindro!$B$33*(IF(Presion_cilindro!N475&gt;(-M$4+Presion_cilindro!$B$34),1-EXP(-Presion_cilindro!$B$16*((Presion_cilindro!N475-(-M$4+Presion_cilindro!$B$34))/Presion_cilindro!$B$35)^(Presion_cilindro!$B$17+1)),0)-IF(Presion_cilindro!N474&gt;(-M$4+Presion_cilindro!$B$34),1-EXP(-Presion_cilindro!$B$16*((Presion_cilindro!N474-(-M$4+Presion_cilindro!$B$34))/Presion_cilindro!$B$35)^(Presion_cilindro!$B$17+1)),0))/((Presion_cilindro!O474+Presion_cilindro!O475)/2)</f>
        <v>10.089491125434765</v>
      </c>
      <c r="N483" s="27">
        <f>N482*(Presion_cilindro!O474/Presion_cilindro!O475)^Presion_cilindro!$B$9+10*(Presion_cilindro!$B$9-1)*Presion_cilindro!$B$33*(IF(Presion_cilindro!N475&gt;(-N$4+Presion_cilindro!$B$34),1-EXP(-Presion_cilindro!$B$16*((Presion_cilindro!N475-(-N$4+Presion_cilindro!$B$34))/Presion_cilindro!$B$35)^(Presion_cilindro!$B$17+1)),0)-IF(Presion_cilindro!N474&gt;(-N$4+Presion_cilindro!$B$34),1-EXP(-Presion_cilindro!$B$16*((Presion_cilindro!N474-(-N$4+Presion_cilindro!$B$34))/Presion_cilindro!$B$35)^(Presion_cilindro!$B$17+1)),0))/((Presion_cilindro!O474+Presion_cilindro!O475)/2)</f>
        <v>10.380769692487428</v>
      </c>
    </row>
    <row r="484" spans="1:14" x14ac:dyDescent="0.25">
      <c r="A484" s="21">
        <f>Presion_cilindro!N476</f>
        <v>56</v>
      </c>
      <c r="B484" s="27">
        <f>B483*(Presion_cilindro!O475/Presion_cilindro!O476)^Presion_cilindro!$B$9+10*(Presion_cilindro!$B$9-1)*Presion_cilindro!$B$33*(IF(Presion_cilindro!N476&gt;(-B$4+Presion_cilindro!$B$34),1-EXP(-Presion_cilindro!$B$16*((Presion_cilindro!N476-(-B$4+Presion_cilindro!$B$34))/Presion_cilindro!$B$35)^(Presion_cilindro!$B$17+1)),0)-IF(Presion_cilindro!N475&gt;(-B$4+Presion_cilindro!$B$34),1-EXP(-Presion_cilindro!$B$16*((Presion_cilindro!N475-(-B$4+Presion_cilindro!$B$34))/Presion_cilindro!$B$35)^(Presion_cilindro!$B$17+1)),0))/((Presion_cilindro!O475+Presion_cilindro!O476)/2)</f>
        <v>10.674879865073185</v>
      </c>
      <c r="C484" s="27">
        <f>C483*(Presion_cilindro!O475/Presion_cilindro!O476)^Presion_cilindro!$B$9+10*(Presion_cilindro!$B$9-1)*Presion_cilindro!$B$33*(IF(Presion_cilindro!N476&gt;(-C$4+Presion_cilindro!$B$34),1-EXP(-Presion_cilindro!$B$16*((Presion_cilindro!N476-(-C$4+Presion_cilindro!$B$34))/Presion_cilindro!$B$35)^(Presion_cilindro!$B$17+1)),0)-IF(Presion_cilindro!N475&gt;(-C$4+Presion_cilindro!$B$34),1-EXP(-Presion_cilindro!$B$16*((Presion_cilindro!N475-(-C$4+Presion_cilindro!$B$34))/Presion_cilindro!$B$35)^(Presion_cilindro!$B$17+1)),0))/((Presion_cilindro!O475+Presion_cilindro!O476)/2)</f>
        <v>10.409834433094353</v>
      </c>
      <c r="D484" s="27">
        <f>D483*(Presion_cilindro!O475/Presion_cilindro!O476)^Presion_cilindro!$B$9+10*(Presion_cilindro!$B$9-1)*Presion_cilindro!$B$33*(IF(Presion_cilindro!N476&gt;(-D$4+Presion_cilindro!$B$34),1-EXP(-Presion_cilindro!$B$16*((Presion_cilindro!N476-(-D$4+Presion_cilindro!$B$34))/Presion_cilindro!$B$35)^(Presion_cilindro!$B$17+1)),0)-IF(Presion_cilindro!N475&gt;(-D$4+Presion_cilindro!$B$34),1-EXP(-Presion_cilindro!$B$16*((Presion_cilindro!N475-(-D$4+Presion_cilindro!$B$34))/Presion_cilindro!$B$35)^(Presion_cilindro!$B$17+1)),0))/((Presion_cilindro!O475+Presion_cilindro!O476)/2)</f>
        <v>10.115698380405151</v>
      </c>
      <c r="E484" s="27">
        <f>E483*(Presion_cilindro!O475/Presion_cilindro!O476)^Presion_cilindro!$B$9+10*(Presion_cilindro!$B$9-1)*Presion_cilindro!$B$33*(IF(Presion_cilindro!N476&gt;(-E$4+Presion_cilindro!$B$34),1-EXP(-Presion_cilindro!$B$16*((Presion_cilindro!N476-(-E$4+Presion_cilindro!$B$34))/Presion_cilindro!$B$35)^(Presion_cilindro!$B$17+1)),0)-IF(Presion_cilindro!N475&gt;(-E$4+Presion_cilindro!$B$34),1-EXP(-Presion_cilindro!$B$16*((Presion_cilindro!N475-(-E$4+Presion_cilindro!$B$34))/Presion_cilindro!$B$35)^(Presion_cilindro!$B$17+1)),0))/((Presion_cilindro!O475+Presion_cilindro!O476)/2)</f>
        <v>9.8439249374681115</v>
      </c>
      <c r="F484" s="27">
        <f>F483*(Presion_cilindro!O475/Presion_cilindro!O476)^Presion_cilindro!$B$9+10*(Presion_cilindro!$B$9-1)*Presion_cilindro!$B$33*(IF(Presion_cilindro!N476&gt;(-F$4+Presion_cilindro!$B$34),1-EXP(-Presion_cilindro!$B$16*((Presion_cilindro!N476-(-F$4+Presion_cilindro!$B$34))/Presion_cilindro!$B$35)^(Presion_cilindro!$B$17+1)),0)-IF(Presion_cilindro!N475&gt;(-F$4+Presion_cilindro!$B$34),1-EXP(-Presion_cilindro!$B$16*((Presion_cilindro!N475-(-F$4+Presion_cilindro!$B$34))/Presion_cilindro!$B$35)^(Presion_cilindro!$B$17+1)),0))/((Presion_cilindro!O475+Presion_cilindro!O476)/2)</f>
        <v>9.6169377390838591</v>
      </c>
      <c r="G484" s="27">
        <f>G483*(Presion_cilindro!O475/Presion_cilindro!O476)^Presion_cilindro!$B$9+10*(Presion_cilindro!$B$9-1)*Presion_cilindro!$B$33*(IF(Presion_cilindro!N476&gt;(-G$4+Presion_cilindro!$B$34),1-EXP(-Presion_cilindro!$B$16*((Presion_cilindro!N476-(-G$4+Presion_cilindro!$B$34))/Presion_cilindro!$B$35)^(Presion_cilindro!$B$17+1)),0)-IF(Presion_cilindro!N475&gt;(-G$4+Presion_cilindro!$B$34),1-EXP(-Presion_cilindro!$B$16*((Presion_cilindro!N475-(-G$4+Presion_cilindro!$B$34))/Presion_cilindro!$B$35)^(Presion_cilindro!$B$17+1)),0))/((Presion_cilindro!O475+Presion_cilindro!O476)/2)</f>
        <v>9.4486004279676195</v>
      </c>
      <c r="H484" s="27">
        <f>H483*(Presion_cilindro!O475/Presion_cilindro!O476)^Presion_cilindro!$B$9+10*(Presion_cilindro!$B$9-1)*Presion_cilindro!$B$33*(IF(Presion_cilindro!N476&gt;(-H$4+Presion_cilindro!$B$34),1-EXP(-Presion_cilindro!$B$16*((Presion_cilindro!N476-(-H$4+Presion_cilindro!$B$34))/Presion_cilindro!$B$35)^(Presion_cilindro!$B$17+1)),0)-IF(Presion_cilindro!N475&gt;(-H$4+Presion_cilindro!$B$34),1-EXP(-Presion_cilindro!$B$16*((Presion_cilindro!N475-(-H$4+Presion_cilindro!$B$34))/Presion_cilindro!$B$35)^(Presion_cilindro!$B$17+1)),0))/((Presion_cilindro!O475+Presion_cilindro!O476)/2)</f>
        <v>9.3492925640982829</v>
      </c>
      <c r="I484" s="27">
        <f>I483*(Presion_cilindro!O475/Presion_cilindro!O476)^Presion_cilindro!$B$9+10*(Presion_cilindro!$B$9-1)*Presion_cilindro!$B$33*(IF(Presion_cilindro!N476&gt;(-I$4+Presion_cilindro!$B$34),1-EXP(-Presion_cilindro!$B$16*((Presion_cilindro!N476-(-I$4+Presion_cilindro!$B$34))/Presion_cilindro!$B$35)^(Presion_cilindro!$B$17+1)),0)-IF(Presion_cilindro!N475&gt;(-I$4+Presion_cilindro!$B$34),1-EXP(-Presion_cilindro!$B$16*((Presion_cilindro!N475-(-I$4+Presion_cilindro!$B$34))/Presion_cilindro!$B$35)^(Presion_cilindro!$B$17+1)),0))/((Presion_cilindro!O475+Presion_cilindro!O476)/2)</f>
        <v>9.3254712410329788</v>
      </c>
      <c r="J484" s="27">
        <f>J483*(Presion_cilindro!O475/Presion_cilindro!O476)^Presion_cilindro!$B$9+10*(Presion_cilindro!$B$9-1)*Presion_cilindro!$B$33*(IF(Presion_cilindro!N476&gt;(-J$4+Presion_cilindro!$B$34),1-EXP(-Presion_cilindro!$B$16*((Presion_cilindro!N476-(-J$4+Presion_cilindro!$B$34))/Presion_cilindro!$B$35)^(Presion_cilindro!$B$17+1)),0)-IF(Presion_cilindro!N475&gt;(-J$4+Presion_cilindro!$B$34),1-EXP(-Presion_cilindro!$B$16*((Presion_cilindro!N475-(-J$4+Presion_cilindro!$B$34))/Presion_cilindro!$B$35)^(Presion_cilindro!$B$17+1)),0))/((Presion_cilindro!O475+Presion_cilindro!O476)/2)</f>
        <v>9.3786207113298961</v>
      </c>
      <c r="K484" s="27">
        <f>K483*(Presion_cilindro!O475/Presion_cilindro!O476)^Presion_cilindro!$B$9+10*(Presion_cilindro!$B$9-1)*Presion_cilindro!$B$33*(IF(Presion_cilindro!N476&gt;(-K$4+Presion_cilindro!$B$34),1-EXP(-Presion_cilindro!$B$16*((Presion_cilindro!N476-(-K$4+Presion_cilindro!$B$34))/Presion_cilindro!$B$35)^(Presion_cilindro!$B$17+1)),0)-IF(Presion_cilindro!N475&gt;(-K$4+Presion_cilindro!$B$34),1-EXP(-Presion_cilindro!$B$16*((Presion_cilindro!N475-(-K$4+Presion_cilindro!$B$34))/Presion_cilindro!$B$35)^(Presion_cilindro!$B$17+1)),0))/((Presion_cilindro!O475+Presion_cilindro!O476)/2)</f>
        <v>9.50500693596722</v>
      </c>
      <c r="L484" s="27">
        <f>L483*(Presion_cilindro!O475/Presion_cilindro!O476)^Presion_cilindro!$B$9+10*(Presion_cilindro!$B$9-1)*Presion_cilindro!$B$33*(IF(Presion_cilindro!N476&gt;(-L$4+Presion_cilindro!$B$34),1-EXP(-Presion_cilindro!$B$16*((Presion_cilindro!N476-(-L$4+Presion_cilindro!$B$34))/Presion_cilindro!$B$35)^(Presion_cilindro!$B$17+1)),0)-IF(Presion_cilindro!N475&gt;(-L$4+Presion_cilindro!$B$34),1-EXP(-Presion_cilindro!$B$16*((Presion_cilindro!N475-(-L$4+Presion_cilindro!$B$34))/Presion_cilindro!$B$35)^(Presion_cilindro!$B$17+1)),0))/((Presion_cilindro!O475+Presion_cilindro!O476)/2)</f>
        <v>9.6964501159779619</v>
      </c>
      <c r="M484" s="27">
        <f>M483*(Presion_cilindro!O475/Presion_cilindro!O476)^Presion_cilindro!$B$9+10*(Presion_cilindro!$B$9-1)*Presion_cilindro!$B$33*(IF(Presion_cilindro!N476&gt;(-M$4+Presion_cilindro!$B$34),1-EXP(-Presion_cilindro!$B$16*((Presion_cilindro!N476-(-M$4+Presion_cilindro!$B$34))/Presion_cilindro!$B$35)^(Presion_cilindro!$B$17+1)),0)-IF(Presion_cilindro!N475&gt;(-M$4+Presion_cilindro!$B$34),1-EXP(-Presion_cilindro!$B$16*((Presion_cilindro!N475-(-M$4+Presion_cilindro!$B$34))/Presion_cilindro!$B$35)^(Presion_cilindro!$B$17+1)),0))/((Presion_cilindro!O475+Presion_cilindro!O476)/2)</f>
        <v>9.9418341361732558</v>
      </c>
      <c r="N484" s="27">
        <f>N483*(Presion_cilindro!O475/Presion_cilindro!O476)^Presion_cilindro!$B$9+10*(Presion_cilindro!$B$9-1)*Presion_cilindro!$B$33*(IF(Presion_cilindro!N476&gt;(-N$4+Presion_cilindro!$B$34),1-EXP(-Presion_cilindro!$B$16*((Presion_cilindro!N476-(-N$4+Presion_cilindro!$B$34))/Presion_cilindro!$B$35)^(Presion_cilindro!$B$17+1)),0)-IF(Presion_cilindro!N475&gt;(-N$4+Presion_cilindro!$B$34),1-EXP(-Presion_cilindro!$B$16*((Presion_cilindro!N475-(-N$4+Presion_cilindro!$B$34))/Presion_cilindro!$B$35)^(Presion_cilindro!$B$17+1)),0))/((Presion_cilindro!O475+Presion_cilindro!O476)/2)</f>
        <v>10.228849919730429</v>
      </c>
    </row>
    <row r="485" spans="1:14" x14ac:dyDescent="0.25">
      <c r="A485" s="21">
        <f>Presion_cilindro!N477</f>
        <v>56.5</v>
      </c>
      <c r="B485" s="27">
        <f>B484*(Presion_cilindro!O476/Presion_cilindro!O477)^Presion_cilindro!$B$9+10*(Presion_cilindro!$B$9-1)*Presion_cilindro!$B$33*(IF(Presion_cilindro!N477&gt;(-B$4+Presion_cilindro!$B$34),1-EXP(-Presion_cilindro!$B$16*((Presion_cilindro!N477-(-B$4+Presion_cilindro!$B$34))/Presion_cilindro!$B$35)^(Presion_cilindro!$B$17+1)),0)-IF(Presion_cilindro!N476&gt;(-B$4+Presion_cilindro!$B$34),1-EXP(-Presion_cilindro!$B$16*((Presion_cilindro!N476-(-B$4+Presion_cilindro!$B$34))/Presion_cilindro!$B$35)^(Presion_cilindro!$B$17+1)),0))/((Presion_cilindro!O476+Presion_cilindro!O477)/2)</f>
        <v>10.530596988739008</v>
      </c>
      <c r="C485" s="27">
        <f>C484*(Presion_cilindro!O476/Presion_cilindro!O477)^Presion_cilindro!$B$9+10*(Presion_cilindro!$B$9-1)*Presion_cilindro!$B$33*(IF(Presion_cilindro!N477&gt;(-C$4+Presion_cilindro!$B$34),1-EXP(-Presion_cilindro!$B$16*((Presion_cilindro!N477-(-C$4+Presion_cilindro!$B$34))/Presion_cilindro!$B$35)^(Presion_cilindro!$B$17+1)),0)-IF(Presion_cilindro!N476&gt;(-C$4+Presion_cilindro!$B$34),1-EXP(-Presion_cilindro!$B$16*((Presion_cilindro!N476-(-C$4+Presion_cilindro!$B$34))/Presion_cilindro!$B$35)^(Presion_cilindro!$B$17+1)),0))/((Presion_cilindro!O476+Presion_cilindro!O477)/2)</f>
        <v>10.261109855944756</v>
      </c>
      <c r="D485" s="27">
        <f>D484*(Presion_cilindro!O476/Presion_cilindro!O477)^Presion_cilindro!$B$9+10*(Presion_cilindro!$B$9-1)*Presion_cilindro!$B$33*(IF(Presion_cilindro!N477&gt;(-D$4+Presion_cilindro!$B$34),1-EXP(-Presion_cilindro!$B$16*((Presion_cilindro!N477-(-D$4+Presion_cilindro!$B$34))/Presion_cilindro!$B$35)^(Presion_cilindro!$B$17+1)),0)-IF(Presion_cilindro!N476&gt;(-D$4+Presion_cilindro!$B$34),1-EXP(-Presion_cilindro!$B$16*((Presion_cilindro!N476-(-D$4+Presion_cilindro!$B$34))/Presion_cilindro!$B$35)^(Presion_cilindro!$B$17+1)),0))/((Presion_cilindro!O476+Presion_cilindro!O477)/2)</f>
        <v>9.9691041185281986</v>
      </c>
      <c r="E485" s="27">
        <f>E484*(Presion_cilindro!O476/Presion_cilindro!O477)^Presion_cilindro!$B$9+10*(Presion_cilindro!$B$9-1)*Presion_cilindro!$B$33*(IF(Presion_cilindro!N477&gt;(-E$4+Presion_cilindro!$B$34),1-EXP(-Presion_cilindro!$B$16*((Presion_cilindro!N477-(-E$4+Presion_cilindro!$B$34))/Presion_cilindro!$B$35)^(Presion_cilindro!$B$17+1)),0)-IF(Presion_cilindro!N476&gt;(-E$4+Presion_cilindro!$B$34),1-EXP(-Presion_cilindro!$B$16*((Presion_cilindro!N476-(-E$4+Presion_cilindro!$B$34))/Presion_cilindro!$B$35)^(Presion_cilindro!$B$17+1)),0))/((Presion_cilindro!O476+Presion_cilindro!O477)/2)</f>
        <v>9.7008998025111843</v>
      </c>
      <c r="F485" s="27">
        <f>F484*(Presion_cilindro!O476/Presion_cilindro!O477)^Presion_cilindro!$B$9+10*(Presion_cilindro!$B$9-1)*Presion_cilindro!$B$33*(IF(Presion_cilindro!N477&gt;(-F$4+Presion_cilindro!$B$34),1-EXP(-Presion_cilindro!$B$16*((Presion_cilindro!N477-(-F$4+Presion_cilindro!$B$34))/Presion_cilindro!$B$35)^(Presion_cilindro!$B$17+1)),0)-IF(Presion_cilindro!N476&gt;(-F$4+Presion_cilindro!$B$34),1-EXP(-Presion_cilindro!$B$16*((Presion_cilindro!N476-(-F$4+Presion_cilindro!$B$34))/Presion_cilindro!$B$35)^(Presion_cilindro!$B$17+1)),0))/((Presion_cilindro!O476+Presion_cilindro!O477)/2)</f>
        <v>9.4771661744613294</v>
      </c>
      <c r="G485" s="27">
        <f>G484*(Presion_cilindro!O476/Presion_cilindro!O477)^Presion_cilindro!$B$9+10*(Presion_cilindro!$B$9-1)*Presion_cilindro!$B$33*(IF(Presion_cilindro!N477&gt;(-G$4+Presion_cilindro!$B$34),1-EXP(-Presion_cilindro!$B$16*((Presion_cilindro!N477-(-G$4+Presion_cilindro!$B$34))/Presion_cilindro!$B$35)^(Presion_cilindro!$B$17+1)),0)-IF(Presion_cilindro!N476&gt;(-G$4+Presion_cilindro!$B$34),1-EXP(-Presion_cilindro!$B$16*((Presion_cilindro!N476-(-G$4+Presion_cilindro!$B$34))/Presion_cilindro!$B$35)^(Presion_cilindro!$B$17+1)),0))/((Presion_cilindro!O476+Presion_cilindro!O477)/2)</f>
        <v>9.3112719480061177</v>
      </c>
      <c r="H485" s="27">
        <f>H484*(Presion_cilindro!O476/Presion_cilindro!O477)^Presion_cilindro!$B$9+10*(Presion_cilindro!$B$9-1)*Presion_cilindro!$B$33*(IF(Presion_cilindro!N477&gt;(-H$4+Presion_cilindro!$B$34),1-EXP(-Presion_cilindro!$B$16*((Presion_cilindro!N477-(-H$4+Presion_cilindro!$B$34))/Presion_cilindro!$B$35)^(Presion_cilindro!$B$17+1)),0)-IF(Presion_cilindro!N476&gt;(-H$4+Presion_cilindro!$B$34),1-EXP(-Presion_cilindro!$B$16*((Presion_cilindro!N476-(-H$4+Presion_cilindro!$B$34))/Presion_cilindro!$B$35)^(Presion_cilindro!$B$17+1)),0))/((Presion_cilindro!O476+Presion_cilindro!O477)/2)</f>
        <v>9.2134072727548748</v>
      </c>
      <c r="I485" s="27">
        <f>I484*(Presion_cilindro!O476/Presion_cilindro!O477)^Presion_cilindro!$B$9+10*(Presion_cilindro!$B$9-1)*Presion_cilindro!$B$33*(IF(Presion_cilindro!N477&gt;(-I$4+Presion_cilindro!$B$34),1-EXP(-Presion_cilindro!$B$16*((Presion_cilindro!N477-(-I$4+Presion_cilindro!$B$34))/Presion_cilindro!$B$35)^(Presion_cilindro!$B$17+1)),0)-IF(Presion_cilindro!N476&gt;(-I$4+Presion_cilindro!$B$34),1-EXP(-Presion_cilindro!$B$16*((Presion_cilindro!N476-(-I$4+Presion_cilindro!$B$34))/Presion_cilindro!$B$35)^(Presion_cilindro!$B$17+1)),0))/((Presion_cilindro!O476+Presion_cilindro!O477)/2)</f>
        <v>9.1899321699486123</v>
      </c>
      <c r="J485" s="27">
        <f>J484*(Presion_cilindro!O476/Presion_cilindro!O477)^Presion_cilindro!$B$9+10*(Presion_cilindro!$B$9-1)*Presion_cilindro!$B$33*(IF(Presion_cilindro!N477&gt;(-J$4+Presion_cilindro!$B$34),1-EXP(-Presion_cilindro!$B$16*((Presion_cilindro!N477-(-J$4+Presion_cilindro!$B$34))/Presion_cilindro!$B$35)^(Presion_cilindro!$B$17+1)),0)-IF(Presion_cilindro!N476&gt;(-J$4+Presion_cilindro!$B$34),1-EXP(-Presion_cilindro!$B$16*((Presion_cilindro!N476-(-J$4+Presion_cilindro!$B$34))/Presion_cilindro!$B$35)^(Presion_cilindro!$B$17+1)),0))/((Presion_cilindro!O476+Presion_cilindro!O477)/2)</f>
        <v>9.2423091505058927</v>
      </c>
      <c r="K485" s="27">
        <f>K484*(Presion_cilindro!O476/Presion_cilindro!O477)^Presion_cilindro!$B$9+10*(Presion_cilindro!$B$9-1)*Presion_cilindro!$B$33*(IF(Presion_cilindro!N477&gt;(-K$4+Presion_cilindro!$B$34),1-EXP(-Presion_cilindro!$B$16*((Presion_cilindro!N477-(-K$4+Presion_cilindro!$B$34))/Presion_cilindro!$B$35)^(Presion_cilindro!$B$17+1)),0)-IF(Presion_cilindro!N476&gt;(-K$4+Presion_cilindro!$B$34),1-EXP(-Presion_cilindro!$B$16*((Presion_cilindro!N476-(-K$4+Presion_cilindro!$B$34))/Presion_cilindro!$B$35)^(Presion_cilindro!$B$17+1)),0))/((Presion_cilindro!O476+Presion_cilindro!O477)/2)</f>
        <v>9.366858441537639</v>
      </c>
      <c r="L485" s="27">
        <f>L484*(Presion_cilindro!O476/Presion_cilindro!O477)^Presion_cilindro!$B$9+10*(Presion_cilindro!$B$9-1)*Presion_cilindro!$B$33*(IF(Presion_cilindro!N477&gt;(-L$4+Presion_cilindro!$B$34),1-EXP(-Presion_cilindro!$B$16*((Presion_cilindro!N477-(-L$4+Presion_cilindro!$B$34))/Presion_cilindro!$B$35)^(Presion_cilindro!$B$17+1)),0)-IF(Presion_cilindro!N476&gt;(-L$4+Presion_cilindro!$B$34),1-EXP(-Presion_cilindro!$B$16*((Presion_cilindro!N476-(-L$4+Presion_cilindro!$B$34))/Presion_cilindro!$B$35)^(Presion_cilindro!$B$17+1)),0))/((Presion_cilindro!O476+Presion_cilindro!O477)/2)</f>
        <v>9.5555191315128081</v>
      </c>
      <c r="M485" s="27">
        <f>M484*(Presion_cilindro!O476/Presion_cilindro!O477)^Presion_cilindro!$B$9+10*(Presion_cilindro!$B$9-1)*Presion_cilindro!$B$33*(IF(Presion_cilindro!N477&gt;(-M$4+Presion_cilindro!$B$34),1-EXP(-Presion_cilindro!$B$16*((Presion_cilindro!N477-(-M$4+Presion_cilindro!$B$34))/Presion_cilindro!$B$35)^(Presion_cilindro!$B$17+1)),0)-IF(Presion_cilindro!N476&gt;(-M$4+Presion_cilindro!$B$34),1-EXP(-Presion_cilindro!$B$16*((Presion_cilindro!N476-(-M$4+Presion_cilindro!$B$34))/Presion_cilindro!$B$35)^(Presion_cilindro!$B$17+1)),0))/((Presion_cilindro!O476+Presion_cilindro!O477)/2)</f>
        <v>9.7973366700447606</v>
      </c>
      <c r="N485" s="27">
        <f>N484*(Presion_cilindro!O476/Presion_cilindro!O477)^Presion_cilindro!$B$9+10*(Presion_cilindro!$B$9-1)*Presion_cilindro!$B$33*(IF(Presion_cilindro!N477&gt;(-N$4+Presion_cilindro!$B$34),1-EXP(-Presion_cilindro!$B$16*((Presion_cilindro!N477-(-N$4+Presion_cilindro!$B$34))/Presion_cilindro!$B$35)^(Presion_cilindro!$B$17+1)),0)-IF(Presion_cilindro!N476&gt;(-N$4+Presion_cilindro!$B$34),1-EXP(-Presion_cilindro!$B$16*((Presion_cilindro!N476-(-N$4+Presion_cilindro!$B$34))/Presion_cilindro!$B$35)^(Presion_cilindro!$B$17+1)),0))/((Presion_cilindro!O476+Presion_cilindro!O477)/2)</f>
        <v>10.080180883960473</v>
      </c>
    </row>
    <row r="486" spans="1:14" x14ac:dyDescent="0.25">
      <c r="A486" s="21">
        <f>Presion_cilindro!N478</f>
        <v>57</v>
      </c>
      <c r="B486" s="27">
        <f>B485*(Presion_cilindro!O477/Presion_cilindro!O478)^Presion_cilindro!$B$9+10*(Presion_cilindro!$B$9-1)*Presion_cilindro!$B$33*(IF(Presion_cilindro!N478&gt;(-B$4+Presion_cilindro!$B$34),1-EXP(-Presion_cilindro!$B$16*((Presion_cilindro!N478-(-B$4+Presion_cilindro!$B$34))/Presion_cilindro!$B$35)^(Presion_cilindro!$B$17+1)),0)-IF(Presion_cilindro!N477&gt;(-B$4+Presion_cilindro!$B$34),1-EXP(-Presion_cilindro!$B$16*((Presion_cilindro!N477-(-B$4+Presion_cilindro!$B$34))/Presion_cilindro!$B$35)^(Presion_cilindro!$B$17+1)),0))/((Presion_cilindro!O477+Presion_cilindro!O478)/2)</f>
        <v>10.388048785915235</v>
      </c>
      <c r="C486" s="27">
        <f>C485*(Presion_cilindro!O477/Presion_cilindro!O478)^Presion_cilindro!$B$9+10*(Presion_cilindro!$B$9-1)*Presion_cilindro!$B$33*(IF(Presion_cilindro!N478&gt;(-C$4+Presion_cilindro!$B$34),1-EXP(-Presion_cilindro!$B$16*((Presion_cilindro!N478-(-C$4+Presion_cilindro!$B$34))/Presion_cilindro!$B$35)^(Presion_cilindro!$B$17+1)),0)-IF(Presion_cilindro!N477&gt;(-C$4+Presion_cilindro!$B$34),1-EXP(-Presion_cilindro!$B$16*((Presion_cilindro!N477-(-C$4+Presion_cilindro!$B$34))/Presion_cilindro!$B$35)^(Presion_cilindro!$B$17+1)),0))/((Presion_cilindro!O477+Presion_cilindro!O478)/2)</f>
        <v>10.115167090320742</v>
      </c>
      <c r="D486" s="27">
        <f>D485*(Presion_cilindro!O477/Presion_cilindro!O478)^Presion_cilindro!$B$9+10*(Presion_cilindro!$B$9-1)*Presion_cilindro!$B$33*(IF(Presion_cilindro!N478&gt;(-D$4+Presion_cilindro!$B$34),1-EXP(-Presion_cilindro!$B$16*((Presion_cilindro!N478-(-D$4+Presion_cilindro!$B$34))/Presion_cilindro!$B$35)^(Presion_cilindro!$B$17+1)),0)-IF(Presion_cilindro!N477&gt;(-D$4+Presion_cilindro!$B$34),1-EXP(-Presion_cilindro!$B$16*((Presion_cilindro!N477-(-D$4+Presion_cilindro!$B$34))/Presion_cilindro!$B$35)^(Presion_cilindro!$B$17+1)),0))/((Presion_cilindro!O477+Presion_cilindro!O478)/2)</f>
        <v>9.8255604673653973</v>
      </c>
      <c r="E486" s="27">
        <f>E485*(Presion_cilindro!O477/Presion_cilindro!O478)^Presion_cilindro!$B$9+10*(Presion_cilindro!$B$9-1)*Presion_cilindro!$B$33*(IF(Presion_cilindro!N478&gt;(-E$4+Presion_cilindro!$B$34),1-EXP(-Presion_cilindro!$B$16*((Presion_cilindro!N478-(-E$4+Presion_cilindro!$B$34))/Presion_cilindro!$B$35)^(Presion_cilindro!$B$17+1)),0)-IF(Presion_cilindro!N477&gt;(-E$4+Presion_cilindro!$B$34),1-EXP(-Presion_cilindro!$B$16*((Presion_cilindro!N477-(-E$4+Presion_cilindro!$B$34))/Presion_cilindro!$B$35)^(Presion_cilindro!$B$17+1)),0))/((Presion_cilindro!O477+Presion_cilindro!O478)/2)</f>
        <v>9.5609171261093078</v>
      </c>
      <c r="F486" s="27">
        <f>F485*(Presion_cilindro!O477/Presion_cilindro!O478)^Presion_cilindro!$B$9+10*(Presion_cilindro!$B$9-1)*Presion_cilindro!$B$33*(IF(Presion_cilindro!N478&gt;(-F$4+Presion_cilindro!$B$34),1-EXP(-Presion_cilindro!$B$16*((Presion_cilindro!N478-(-F$4+Presion_cilindro!$B$34))/Presion_cilindro!$B$35)^(Presion_cilindro!$B$17+1)),0)-IF(Presion_cilindro!N477&gt;(-F$4+Presion_cilindro!$B$34),1-EXP(-Presion_cilindro!$B$16*((Presion_cilindro!N477-(-F$4+Presion_cilindro!$B$34))/Presion_cilindro!$B$35)^(Presion_cilindro!$B$17+1)),0))/((Presion_cilindro!O477+Presion_cilindro!O478)/2)</f>
        <v>9.3403772335009716</v>
      </c>
      <c r="G486" s="27">
        <f>G485*(Presion_cilindro!O477/Presion_cilindro!O478)^Presion_cilindro!$B$9+10*(Presion_cilindro!$B$9-1)*Presion_cilindro!$B$33*(IF(Presion_cilindro!N478&gt;(-G$4+Presion_cilindro!$B$34),1-EXP(-Presion_cilindro!$B$16*((Presion_cilindro!N478-(-G$4+Presion_cilindro!$B$34))/Presion_cilindro!$B$35)^(Presion_cilindro!$B$17+1)),0)-IF(Presion_cilindro!N477&gt;(-G$4+Presion_cilindro!$B$34),1-EXP(-Presion_cilindro!$B$16*((Presion_cilindro!N477-(-G$4+Presion_cilindro!$B$34))/Presion_cilindro!$B$35)^(Presion_cilindro!$B$17+1)),0))/((Presion_cilindro!O477+Presion_cilindro!O478)/2)</f>
        <v>9.1768748160602787</v>
      </c>
      <c r="H486" s="27">
        <f>H485*(Presion_cilindro!O477/Presion_cilindro!O478)^Presion_cilindro!$B$9+10*(Presion_cilindro!$B$9-1)*Presion_cilindro!$B$33*(IF(Presion_cilindro!N478&gt;(-H$4+Presion_cilindro!$B$34),1-EXP(-Presion_cilindro!$B$16*((Presion_cilindro!N478-(-H$4+Presion_cilindro!$B$34))/Presion_cilindro!$B$35)^(Presion_cilindro!$B$17+1)),0)-IF(Presion_cilindro!N477&gt;(-H$4+Presion_cilindro!$B$34),1-EXP(-Presion_cilindro!$B$16*((Presion_cilindro!N477-(-H$4+Presion_cilindro!$B$34))/Presion_cilindro!$B$35)^(Presion_cilindro!$B$17+1)),0))/((Presion_cilindro!O477+Presion_cilindro!O478)/2)</f>
        <v>9.0804225733796713</v>
      </c>
      <c r="I486" s="27">
        <f>I485*(Presion_cilindro!O477/Presion_cilindro!O478)^Presion_cilindro!$B$9+10*(Presion_cilindro!$B$9-1)*Presion_cilindro!$B$33*(IF(Presion_cilindro!N478&gt;(-I$4+Presion_cilindro!$B$34),1-EXP(-Presion_cilindro!$B$16*((Presion_cilindro!N478-(-I$4+Presion_cilindro!$B$34))/Presion_cilindro!$B$35)^(Presion_cilindro!$B$17+1)),0)-IF(Presion_cilindro!N477&gt;(-I$4+Presion_cilindro!$B$34),1-EXP(-Presion_cilindro!$B$16*((Presion_cilindro!N477-(-I$4+Presion_cilindro!$B$34))/Presion_cilindro!$B$35)^(Presion_cilindro!$B$17+1)),0))/((Presion_cilindro!O477+Presion_cilindro!O478)/2)</f>
        <v>9.0572863022194117</v>
      </c>
      <c r="J486" s="27">
        <f>J485*(Presion_cilindro!O477/Presion_cilindro!O478)^Presion_cilindro!$B$9+10*(Presion_cilindro!$B$9-1)*Presion_cilindro!$B$33*(IF(Presion_cilindro!N478&gt;(-J$4+Presion_cilindro!$B$34),1-EXP(-Presion_cilindro!$B$16*((Presion_cilindro!N478-(-J$4+Presion_cilindro!$B$34))/Presion_cilindro!$B$35)^(Presion_cilindro!$B$17+1)),0)-IF(Presion_cilindro!N477&gt;(-J$4+Presion_cilindro!$B$34),1-EXP(-Presion_cilindro!$B$16*((Presion_cilindro!N477-(-J$4+Presion_cilindro!$B$34))/Presion_cilindro!$B$35)^(Presion_cilindro!$B$17+1)),0))/((Presion_cilindro!O477+Presion_cilindro!O478)/2)</f>
        <v>9.108907282562976</v>
      </c>
      <c r="K486" s="27">
        <f>K485*(Presion_cilindro!O477/Presion_cilindro!O478)^Presion_cilindro!$B$9+10*(Presion_cilindro!$B$9-1)*Presion_cilindro!$B$33*(IF(Presion_cilindro!N478&gt;(-K$4+Presion_cilindro!$B$34),1-EXP(-Presion_cilindro!$B$16*((Presion_cilindro!N478-(-K$4+Presion_cilindro!$B$34))/Presion_cilindro!$B$35)^(Presion_cilindro!$B$17+1)),0)-IF(Presion_cilindro!N477&gt;(-K$4+Presion_cilindro!$B$34),1-EXP(-Presion_cilindro!$B$16*((Presion_cilindro!N477-(-K$4+Presion_cilindro!$B$34))/Presion_cilindro!$B$35)^(Presion_cilindro!$B$17+1)),0))/((Presion_cilindro!O477+Presion_cilindro!O478)/2)</f>
        <v>9.2316588509897901</v>
      </c>
      <c r="L486" s="27">
        <f>L485*(Presion_cilindro!O477/Presion_cilindro!O478)^Presion_cilindro!$B$9+10*(Presion_cilindro!$B$9-1)*Presion_cilindro!$B$33*(IF(Presion_cilindro!N478&gt;(-L$4+Presion_cilindro!$B$34),1-EXP(-Presion_cilindro!$B$16*((Presion_cilindro!N478-(-L$4+Presion_cilindro!$B$34))/Presion_cilindro!$B$35)^(Presion_cilindro!$B$17+1)),0)-IF(Presion_cilindro!N477&gt;(-L$4+Presion_cilindro!$B$34),1-EXP(-Presion_cilindro!$B$16*((Presion_cilindro!N477-(-L$4+Presion_cilindro!$B$34))/Presion_cilindro!$B$35)^(Presion_cilindro!$B$17+1)),0))/((Presion_cilindro!O477+Presion_cilindro!O478)/2)</f>
        <v>9.4175964456821202</v>
      </c>
      <c r="M486" s="27">
        <f>M485*(Presion_cilindro!O477/Presion_cilindro!O478)^Presion_cilindro!$B$9+10*(Presion_cilindro!$B$9-1)*Presion_cilindro!$B$33*(IF(Presion_cilindro!N478&gt;(-M$4+Presion_cilindro!$B$34),1-EXP(-Presion_cilindro!$B$16*((Presion_cilindro!N478-(-M$4+Presion_cilindro!$B$34))/Presion_cilindro!$B$35)^(Presion_cilindro!$B$17+1)),0)-IF(Presion_cilindro!N477&gt;(-M$4+Presion_cilindro!$B$34),1-EXP(-Presion_cilindro!$B$16*((Presion_cilindro!N477-(-M$4+Presion_cilindro!$B$34))/Presion_cilindro!$B$35)^(Presion_cilindro!$B$17+1)),0))/((Presion_cilindro!O477+Presion_cilindro!O478)/2)</f>
        <v>9.6559236323099782</v>
      </c>
      <c r="N486" s="27">
        <f>N485*(Presion_cilindro!O477/Presion_cilindro!O478)^Presion_cilindro!$B$9+10*(Presion_cilindro!$B$9-1)*Presion_cilindro!$B$33*(IF(Presion_cilindro!N478&gt;(-N$4+Presion_cilindro!$B$34),1-EXP(-Presion_cilindro!$B$16*((Presion_cilindro!N478-(-N$4+Presion_cilindro!$B$34))/Presion_cilindro!$B$35)^(Presion_cilindro!$B$17+1)),0)-IF(Presion_cilindro!N477&gt;(-N$4+Presion_cilindro!$B$34),1-EXP(-Presion_cilindro!$B$16*((Presion_cilindro!N477-(-N$4+Presion_cilindro!$B$34))/Presion_cilindro!$B$35)^(Presion_cilindro!$B$17+1)),0))/((Presion_cilindro!O477+Presion_cilindro!O478)/2)</f>
        <v>9.9346853224906617</v>
      </c>
    </row>
    <row r="487" spans="1:14" x14ac:dyDescent="0.25">
      <c r="A487" s="21">
        <f>Presion_cilindro!N479</f>
        <v>57.5</v>
      </c>
      <c r="B487" s="27">
        <f>B486*(Presion_cilindro!O478/Presion_cilindro!O479)^Presion_cilindro!$B$9+10*(Presion_cilindro!$B$9-1)*Presion_cilindro!$B$33*(IF(Presion_cilindro!N479&gt;(-B$4+Presion_cilindro!$B$34),1-EXP(-Presion_cilindro!$B$16*((Presion_cilindro!N479-(-B$4+Presion_cilindro!$B$34))/Presion_cilindro!$B$35)^(Presion_cilindro!$B$17+1)),0)-IF(Presion_cilindro!N478&gt;(-B$4+Presion_cilindro!$B$34),1-EXP(-Presion_cilindro!$B$16*((Presion_cilindro!N478-(-B$4+Presion_cilindro!$B$34))/Presion_cilindro!$B$35)^(Presion_cilindro!$B$17+1)),0))/((Presion_cilindro!O478+Presion_cilindro!O479)/2)</f>
        <v>10.247340880566673</v>
      </c>
      <c r="C487" s="27">
        <f>C486*(Presion_cilindro!O478/Presion_cilindro!O479)^Presion_cilindro!$B$9+10*(Presion_cilindro!$B$9-1)*Presion_cilindro!$B$33*(IF(Presion_cilindro!N479&gt;(-C$4+Presion_cilindro!$B$34),1-EXP(-Presion_cilindro!$B$16*((Presion_cilindro!N479-(-C$4+Presion_cilindro!$B$34))/Presion_cilindro!$B$35)^(Presion_cilindro!$B$17+1)),0)-IF(Presion_cilindro!N478&gt;(-C$4+Presion_cilindro!$B$34),1-EXP(-Presion_cilindro!$B$16*((Presion_cilindro!N478-(-C$4+Presion_cilindro!$B$34))/Presion_cilindro!$B$35)^(Presion_cilindro!$B$17+1)),0))/((Presion_cilindro!O478+Presion_cilindro!O479)/2)</f>
        <v>9.9719955076680993</v>
      </c>
      <c r="D487" s="27">
        <f>D486*(Presion_cilindro!O478/Presion_cilindro!O479)^Presion_cilindro!$B$9+10*(Presion_cilindro!$B$9-1)*Presion_cilindro!$B$33*(IF(Presion_cilindro!N479&gt;(-D$4+Presion_cilindro!$B$34),1-EXP(-Presion_cilindro!$B$16*((Presion_cilindro!N479-(-D$4+Presion_cilindro!$B$34))/Presion_cilindro!$B$35)^(Presion_cilindro!$B$17+1)),0)-IF(Presion_cilindro!N478&gt;(-D$4+Presion_cilindro!$B$34),1-EXP(-Presion_cilindro!$B$16*((Presion_cilindro!N478-(-D$4+Presion_cilindro!$B$34))/Presion_cilindro!$B$35)^(Presion_cilindro!$B$17+1)),0))/((Presion_cilindro!O478+Presion_cilindro!O479)/2)</f>
        <v>9.6850085485191215</v>
      </c>
      <c r="E487" s="27">
        <f>E486*(Presion_cilindro!O478/Presion_cilindro!O479)^Presion_cilindro!$B$9+10*(Presion_cilindro!$B$9-1)*Presion_cilindro!$B$33*(IF(Presion_cilindro!N479&gt;(-E$4+Presion_cilindro!$B$34),1-EXP(-Presion_cilindro!$B$16*((Presion_cilindro!N479-(-E$4+Presion_cilindro!$B$34))/Presion_cilindro!$B$35)^(Presion_cilindro!$B$17+1)),0)-IF(Presion_cilindro!N478&gt;(-E$4+Presion_cilindro!$B$34),1-EXP(-Presion_cilindro!$B$16*((Presion_cilindro!N478-(-E$4+Presion_cilindro!$B$34))/Presion_cilindro!$B$35)^(Presion_cilindro!$B$17+1)),0))/((Presion_cilindro!O478+Presion_cilindro!O479)/2)</f>
        <v>9.4239067408367223</v>
      </c>
      <c r="F487" s="27">
        <f>F486*(Presion_cilindro!O478/Presion_cilindro!O479)^Presion_cilindro!$B$9+10*(Presion_cilindro!$B$9-1)*Presion_cilindro!$B$33*(IF(Presion_cilindro!N479&gt;(-F$4+Presion_cilindro!$B$34),1-EXP(-Presion_cilindro!$B$16*((Presion_cilindro!N479-(-F$4+Presion_cilindro!$B$34))/Presion_cilindro!$B$35)^(Presion_cilindro!$B$17+1)),0)-IF(Presion_cilindro!N478&gt;(-F$4+Presion_cilindro!$B$34),1-EXP(-Presion_cilindro!$B$16*((Presion_cilindro!N478-(-F$4+Presion_cilindro!$B$34))/Presion_cilindro!$B$35)^(Presion_cilindro!$B$17+1)),0))/((Presion_cilindro!O478+Presion_cilindro!O479)/2)</f>
        <v>9.2065002115371506</v>
      </c>
      <c r="G487" s="27">
        <f>G486*(Presion_cilindro!O478/Presion_cilindro!O479)^Presion_cilindro!$B$9+10*(Presion_cilindro!$B$9-1)*Presion_cilindro!$B$33*(IF(Presion_cilindro!N479&gt;(-G$4+Presion_cilindro!$B$34),1-EXP(-Presion_cilindro!$B$16*((Presion_cilindro!N479-(-G$4+Presion_cilindro!$B$34))/Presion_cilindro!$B$35)^(Presion_cilindro!$B$17+1)),0)-IF(Presion_cilindro!N478&gt;(-G$4+Presion_cilindro!$B$34),1-EXP(-Presion_cilindro!$B$16*((Presion_cilindro!N478-(-G$4+Presion_cilindro!$B$34))/Presion_cilindro!$B$35)^(Presion_cilindro!$B$17+1)),0))/((Presion_cilindro!O478+Presion_cilindro!O479)/2)</f>
        <v>9.0453393380268761</v>
      </c>
      <c r="H487" s="27">
        <f>H486*(Presion_cilindro!O478/Presion_cilindro!O479)^Presion_cilindro!$B$9+10*(Presion_cilindro!$B$9-1)*Presion_cilindro!$B$33*(IF(Presion_cilindro!N479&gt;(-H$4+Presion_cilindro!$B$34),1-EXP(-Presion_cilindro!$B$16*((Presion_cilindro!N479-(-H$4+Presion_cilindro!$B$34))/Presion_cilindro!$B$35)^(Presion_cilindro!$B$17+1)),0)-IF(Presion_cilindro!N478&gt;(-H$4+Presion_cilindro!$B$34),1-EXP(-Presion_cilindro!$B$16*((Presion_cilindro!N478-(-H$4+Presion_cilindro!$B$34))/Presion_cilindro!$B$35)^(Presion_cilindro!$B$17+1)),0))/((Presion_cilindro!O478+Presion_cilindro!O479)/2)</f>
        <v>8.9502694895333601</v>
      </c>
      <c r="I487" s="27">
        <f>I486*(Presion_cilindro!O478/Presion_cilindro!O479)^Presion_cilindro!$B$9+10*(Presion_cilindro!$B$9-1)*Presion_cilindro!$B$33*(IF(Presion_cilindro!N479&gt;(-I$4+Presion_cilindro!$B$34),1-EXP(-Presion_cilindro!$B$16*((Presion_cilindro!N479-(-I$4+Presion_cilindro!$B$34))/Presion_cilindro!$B$35)^(Presion_cilindro!$B$17+1)),0)-IF(Presion_cilindro!N478&gt;(-I$4+Presion_cilindro!$B$34),1-EXP(-Presion_cilindro!$B$16*((Presion_cilindro!N478-(-I$4+Presion_cilindro!$B$34))/Presion_cilindro!$B$35)^(Presion_cilindro!$B$17+1)),0))/((Presion_cilindro!O478+Presion_cilindro!O479)/2)</f>
        <v>8.9274648365627591</v>
      </c>
      <c r="J487" s="27">
        <f>J486*(Presion_cilindro!O478/Presion_cilindro!O479)^Presion_cilindro!$B$9+10*(Presion_cilindro!$B$9-1)*Presion_cilindro!$B$33*(IF(Presion_cilindro!N479&gt;(-J$4+Presion_cilindro!$B$34),1-EXP(-Presion_cilindro!$B$16*((Presion_cilindro!N479-(-J$4+Presion_cilindro!$B$34))/Presion_cilindro!$B$35)^(Presion_cilindro!$B$17+1)),0)-IF(Presion_cilindro!N478&gt;(-J$4+Presion_cilindro!$B$34),1-EXP(-Presion_cilindro!$B$16*((Presion_cilindro!N478-(-J$4+Presion_cilindro!$B$34))/Presion_cilindro!$B$35)^(Presion_cilindro!$B$17+1)),0))/((Presion_cilindro!O478+Presion_cilindro!O479)/2)</f>
        <v>8.9783459140794388</v>
      </c>
      <c r="K487" s="27">
        <f>K486*(Presion_cilindro!O478/Presion_cilindro!O479)^Presion_cilindro!$B$9+10*(Presion_cilindro!$B$9-1)*Presion_cilindro!$B$33*(IF(Presion_cilindro!N479&gt;(-K$4+Presion_cilindro!$B$34),1-EXP(-Presion_cilindro!$B$16*((Presion_cilindro!N479-(-K$4+Presion_cilindro!$B$34))/Presion_cilindro!$B$35)^(Presion_cilindro!$B$17+1)),0)-IF(Presion_cilindro!N478&gt;(-K$4+Presion_cilindro!$B$34),1-EXP(-Presion_cilindro!$B$16*((Presion_cilindro!N478-(-K$4+Presion_cilindro!$B$34))/Presion_cilindro!$B$35)^(Presion_cilindro!$B$17+1)),0))/((Presion_cilindro!O478+Presion_cilindro!O479)/2)</f>
        <v>9.0993380384517248</v>
      </c>
      <c r="L487" s="27">
        <f>L486*(Presion_cilindro!O478/Presion_cilindro!O479)^Presion_cilindro!$B$9+10*(Presion_cilindro!$B$9-1)*Presion_cilindro!$B$33*(IF(Presion_cilindro!N479&gt;(-L$4+Presion_cilindro!$B$34),1-EXP(-Presion_cilindro!$B$16*((Presion_cilindro!N479-(-L$4+Presion_cilindro!$B$34))/Presion_cilindro!$B$35)^(Presion_cilindro!$B$17+1)),0)-IF(Presion_cilindro!N478&gt;(-L$4+Presion_cilindro!$B$34),1-EXP(-Presion_cilindro!$B$16*((Presion_cilindro!N478-(-L$4+Presion_cilindro!$B$34))/Presion_cilindro!$B$35)^(Presion_cilindro!$B$17+1)),0))/((Presion_cilindro!O478+Presion_cilindro!O479)/2)</f>
        <v>9.2826105201878448</v>
      </c>
      <c r="M487" s="27">
        <f>M486*(Presion_cilindro!O478/Presion_cilindro!O479)^Presion_cilindro!$B$9+10*(Presion_cilindro!$B$9-1)*Presion_cilindro!$B$33*(IF(Presion_cilindro!N479&gt;(-M$4+Presion_cilindro!$B$34),1-EXP(-Presion_cilindro!$B$16*((Presion_cilindro!N479-(-M$4+Presion_cilindro!$B$34))/Presion_cilindro!$B$35)^(Presion_cilindro!$B$17+1)),0)-IF(Presion_cilindro!N478&gt;(-M$4+Presion_cilindro!$B$34),1-EXP(-Presion_cilindro!$B$16*((Presion_cilindro!N478-(-M$4+Presion_cilindro!$B$34))/Presion_cilindro!$B$35)^(Presion_cilindro!$B$17+1)),0))/((Presion_cilindro!O478+Presion_cilindro!O479)/2)</f>
        <v>9.5175216742809727</v>
      </c>
      <c r="N487" s="27">
        <f>N486*(Presion_cilindro!O478/Presion_cilindro!O479)^Presion_cilindro!$B$9+10*(Presion_cilindro!$B$9-1)*Presion_cilindro!$B$33*(IF(Presion_cilindro!N479&gt;(-N$4+Presion_cilindro!$B$34),1-EXP(-Presion_cilindro!$B$16*((Presion_cilindro!N479-(-N$4+Presion_cilindro!$B$34))/Presion_cilindro!$B$35)^(Presion_cilindro!$B$17+1)),0)-IF(Presion_cilindro!N478&gt;(-N$4+Presion_cilindro!$B$34),1-EXP(-Presion_cilindro!$B$16*((Presion_cilindro!N478-(-N$4+Presion_cilindro!$B$34))/Presion_cilindro!$B$35)^(Presion_cilindro!$B$17+1)),0))/((Presion_cilindro!O478+Presion_cilindro!O479)/2)</f>
        <v>9.7922877690930914</v>
      </c>
    </row>
    <row r="488" spans="1:14" x14ac:dyDescent="0.25">
      <c r="A488" s="21">
        <f>Presion_cilindro!N480</f>
        <v>58</v>
      </c>
      <c r="B488" s="27">
        <f>B487*(Presion_cilindro!O479/Presion_cilindro!O480)^Presion_cilindro!$B$9+10*(Presion_cilindro!$B$9-1)*Presion_cilindro!$B$33*(IF(Presion_cilindro!N480&gt;(-B$4+Presion_cilindro!$B$34),1-EXP(-Presion_cilindro!$B$16*((Presion_cilindro!N480-(-B$4+Presion_cilindro!$B$34))/Presion_cilindro!$B$35)^(Presion_cilindro!$B$17+1)),0)-IF(Presion_cilindro!N479&gt;(-B$4+Presion_cilindro!$B$34),1-EXP(-Presion_cilindro!$B$16*((Presion_cilindro!N479-(-B$4+Presion_cilindro!$B$34))/Presion_cilindro!$B$35)^(Presion_cilindro!$B$17+1)),0))/((Presion_cilindro!O479+Presion_cilindro!O480)/2)</f>
        <v>10.108563611565268</v>
      </c>
      <c r="C488" s="27">
        <f>C487*(Presion_cilindro!O479/Presion_cilindro!O480)^Presion_cilindro!$B$9+10*(Presion_cilindro!$B$9-1)*Presion_cilindro!$B$33*(IF(Presion_cilindro!N480&gt;(-C$4+Presion_cilindro!$B$34),1-EXP(-Presion_cilindro!$B$16*((Presion_cilindro!N480-(-C$4+Presion_cilindro!$B$34))/Presion_cilindro!$B$35)^(Presion_cilindro!$B$17+1)),0)-IF(Presion_cilindro!N479&gt;(-C$4+Presion_cilindro!$B$34),1-EXP(-Presion_cilindro!$B$16*((Presion_cilindro!N479-(-C$4+Presion_cilindro!$B$34))/Presion_cilindro!$B$35)^(Presion_cilindro!$B$17+1)),0))/((Presion_cilindro!O479+Presion_cilindro!O480)/2)</f>
        <v>9.8315777631258747</v>
      </c>
      <c r="D488" s="27">
        <f>D487*(Presion_cilindro!O479/Presion_cilindro!O480)^Presion_cilindro!$B$9+10*(Presion_cilindro!$B$9-1)*Presion_cilindro!$B$33*(IF(Presion_cilindro!N480&gt;(-D$4+Presion_cilindro!$B$34),1-EXP(-Presion_cilindro!$B$16*((Presion_cilindro!N480-(-D$4+Presion_cilindro!$B$34))/Presion_cilindro!$B$35)^(Presion_cilindro!$B$17+1)),0)-IF(Presion_cilindro!N479&gt;(-D$4+Presion_cilindro!$B$34),1-EXP(-Presion_cilindro!$B$16*((Presion_cilindro!N479-(-D$4+Presion_cilindro!$B$34))/Presion_cilindro!$B$35)^(Presion_cilindro!$B$17+1)),0))/((Presion_cilindro!O479+Presion_cilindro!O480)/2)</f>
        <v>9.5473886530902377</v>
      </c>
      <c r="E488" s="27">
        <f>E487*(Presion_cilindro!O479/Presion_cilindro!O480)^Presion_cilindro!$B$9+10*(Presion_cilindro!$B$9-1)*Presion_cilindro!$B$33*(IF(Presion_cilindro!N480&gt;(-E$4+Presion_cilindro!$B$34),1-EXP(-Presion_cilindro!$B$16*((Presion_cilindro!N480-(-E$4+Presion_cilindro!$B$34))/Presion_cilindro!$B$35)^(Presion_cilindro!$B$17+1)),0)-IF(Presion_cilindro!N479&gt;(-E$4+Presion_cilindro!$B$34),1-EXP(-Presion_cilindro!$B$16*((Presion_cilindro!N479-(-E$4+Presion_cilindro!$B$34))/Presion_cilindro!$B$35)^(Presion_cilindro!$B$17+1)),0))/((Presion_cilindro!O479+Presion_cilindro!O480)/2)</f>
        <v>9.2897996935097478</v>
      </c>
      <c r="F488" s="27">
        <f>F487*(Presion_cilindro!O479/Presion_cilindro!O480)^Presion_cilindro!$B$9+10*(Presion_cilindro!$B$9-1)*Presion_cilindro!$B$33*(IF(Presion_cilindro!N480&gt;(-F$4+Presion_cilindro!$B$34),1-EXP(-Presion_cilindro!$B$16*((Presion_cilindro!N480-(-F$4+Presion_cilindro!$B$34))/Presion_cilindro!$B$35)^(Presion_cilindro!$B$17+1)),0)-IF(Presion_cilindro!N479&gt;(-F$4+Presion_cilindro!$B$34),1-EXP(-Presion_cilindro!$B$16*((Presion_cilindro!N479-(-F$4+Presion_cilindro!$B$34))/Presion_cilindro!$B$35)^(Presion_cilindro!$B$17+1)),0))/((Presion_cilindro!O479+Presion_cilindro!O480)/2)</f>
        <v>9.0754660101785252</v>
      </c>
      <c r="G488" s="27">
        <f>G487*(Presion_cilindro!O479/Presion_cilindro!O480)^Presion_cilindro!$B$9+10*(Presion_cilindro!$B$9-1)*Presion_cilindro!$B$33*(IF(Presion_cilindro!N480&gt;(-G$4+Presion_cilindro!$B$34),1-EXP(-Presion_cilindro!$B$16*((Presion_cilindro!N480-(-G$4+Presion_cilindro!$B$34))/Presion_cilindro!$B$35)^(Presion_cilindro!$B$17+1)),0)-IF(Presion_cilindro!N479&gt;(-G$4+Presion_cilindro!$B$34),1-EXP(-Presion_cilindro!$B$16*((Presion_cilindro!N479-(-G$4+Presion_cilindro!$B$34))/Presion_cilindro!$B$35)^(Presion_cilindro!$B$17+1)),0))/((Presion_cilindro!O479+Presion_cilindro!O480)/2)</f>
        <v>8.9165974505936294</v>
      </c>
      <c r="H488" s="27">
        <f>H487*(Presion_cilindro!O479/Presion_cilindro!O480)^Presion_cilindro!$B$9+10*(Presion_cilindro!$B$9-1)*Presion_cilindro!$B$33*(IF(Presion_cilindro!N480&gt;(-H$4+Presion_cilindro!$B$34),1-EXP(-Presion_cilindro!$B$16*((Presion_cilindro!N480-(-H$4+Presion_cilindro!$B$34))/Presion_cilindro!$B$35)^(Presion_cilindro!$B$17+1)),0)-IF(Presion_cilindro!N479&gt;(-H$4+Presion_cilindro!$B$34),1-EXP(-Presion_cilindro!$B$16*((Presion_cilindro!N479-(-H$4+Presion_cilindro!$B$34))/Presion_cilindro!$B$35)^(Presion_cilindro!$B$17+1)),0))/((Presion_cilindro!O479+Presion_cilindro!O480)/2)</f>
        <v>8.8228806624100731</v>
      </c>
      <c r="I488" s="27">
        <f>I487*(Presion_cilindro!O479/Presion_cilindro!O480)^Presion_cilindro!$B$9+10*(Presion_cilindro!$B$9-1)*Presion_cilindro!$B$33*(IF(Presion_cilindro!N480&gt;(-I$4+Presion_cilindro!$B$34),1-EXP(-Presion_cilindro!$B$16*((Presion_cilindro!N480-(-I$4+Presion_cilindro!$B$34))/Presion_cilindro!$B$35)^(Presion_cilindro!$B$17+1)),0)-IF(Presion_cilindro!N479&gt;(-I$4+Presion_cilindro!$B$34),1-EXP(-Presion_cilindro!$B$16*((Presion_cilindro!N479-(-I$4+Presion_cilindro!$B$34))/Presion_cilindro!$B$35)^(Presion_cilindro!$B$17+1)),0))/((Presion_cilindro!O479+Presion_cilindro!O480)/2)</f>
        <v>8.8004005853876777</v>
      </c>
      <c r="J488" s="27">
        <f>J487*(Presion_cilindro!O479/Presion_cilindro!O480)^Presion_cilindro!$B$9+10*(Presion_cilindro!$B$9-1)*Presion_cilindro!$B$33*(IF(Presion_cilindro!N480&gt;(-J$4+Presion_cilindro!$B$34),1-EXP(-Presion_cilindro!$B$16*((Presion_cilindro!N480-(-J$4+Presion_cilindro!$B$34))/Presion_cilindro!$B$35)^(Presion_cilindro!$B$17+1)),0)-IF(Presion_cilindro!N479&gt;(-J$4+Presion_cilindro!$B$34),1-EXP(-Presion_cilindro!$B$16*((Presion_cilindro!N479-(-J$4+Presion_cilindro!$B$34))/Presion_cilindro!$B$35)^(Presion_cilindro!$B$17+1)),0))/((Presion_cilindro!O479+Presion_cilindro!O480)/2)</f>
        <v>8.8505574745270117</v>
      </c>
      <c r="K488" s="27">
        <f>K487*(Presion_cilindro!O479/Presion_cilindro!O480)^Presion_cilindro!$B$9+10*(Presion_cilindro!$B$9-1)*Presion_cilindro!$B$33*(IF(Presion_cilindro!N480&gt;(-K$4+Presion_cilindro!$B$34),1-EXP(-Presion_cilindro!$B$16*((Presion_cilindro!N480-(-K$4+Presion_cilindro!$B$34))/Presion_cilindro!$B$35)^(Presion_cilindro!$B$17+1)),0)-IF(Presion_cilindro!N479&gt;(-K$4+Presion_cilindro!$B$34),1-EXP(-Presion_cilindro!$B$16*((Presion_cilindro!N479-(-K$4+Presion_cilindro!$B$34))/Presion_cilindro!$B$35)^(Presion_cilindro!$B$17+1)),0))/((Presion_cilindro!O479+Presion_cilindro!O480)/2)</f>
        <v>8.9698275228151125</v>
      </c>
      <c r="L488" s="27">
        <f>L487*(Presion_cilindro!O479/Presion_cilindro!O480)^Presion_cilindro!$B$9+10*(Presion_cilindro!$B$9-1)*Presion_cilindro!$B$33*(IF(Presion_cilindro!N480&gt;(-L$4+Presion_cilindro!$B$34),1-EXP(-Presion_cilindro!$B$16*((Presion_cilindro!N480-(-L$4+Presion_cilindro!$B$34))/Presion_cilindro!$B$35)^(Presion_cilindro!$B$17+1)),0)-IF(Presion_cilindro!N479&gt;(-L$4+Presion_cilindro!$B$34),1-EXP(-Presion_cilindro!$B$16*((Presion_cilindro!N479-(-L$4+Presion_cilindro!$B$34))/Presion_cilindro!$B$35)^(Presion_cilindro!$B$17+1)),0))/((Presion_cilindro!O479+Presion_cilindro!O480)/2)</f>
        <v>9.1504914946232176</v>
      </c>
      <c r="M488" s="27">
        <f>M487*(Presion_cilindro!O479/Presion_cilindro!O480)^Presion_cilindro!$B$9+10*(Presion_cilindro!$B$9-1)*Presion_cilindro!$B$33*(IF(Presion_cilindro!N480&gt;(-M$4+Presion_cilindro!$B$34),1-EXP(-Presion_cilindro!$B$16*((Presion_cilindro!N480-(-M$4+Presion_cilindro!$B$34))/Presion_cilindro!$B$35)^(Presion_cilindro!$B$17+1)),0)-IF(Presion_cilindro!N479&gt;(-M$4+Presion_cilindro!$B$34),1-EXP(-Presion_cilindro!$B$16*((Presion_cilindro!N479-(-M$4+Presion_cilindro!$B$34))/Presion_cilindro!$B$35)^(Presion_cilindro!$B$17+1)),0))/((Presion_cilindro!O479+Presion_cilindro!O480)/2)</f>
        <v>9.3820591676227938</v>
      </c>
      <c r="N488" s="27">
        <f>N487*(Presion_cilindro!O479/Presion_cilindro!O480)^Presion_cilindro!$B$9+10*(Presion_cilindro!$B$9-1)*Presion_cilindro!$B$33*(IF(Presion_cilindro!N480&gt;(-N$4+Presion_cilindro!$B$34),1-EXP(-Presion_cilindro!$B$16*((Presion_cilindro!N480-(-N$4+Presion_cilindro!$B$34))/Presion_cilindro!$B$35)^(Presion_cilindro!$B$17+1)),0)-IF(Presion_cilindro!N479&gt;(-N$4+Presion_cilindro!$B$34),1-EXP(-Presion_cilindro!$B$16*((Presion_cilindro!N479-(-N$4+Presion_cilindro!$B$34))/Presion_cilindro!$B$35)^(Presion_cilindro!$B$17+1)),0))/((Presion_cilindro!O479+Presion_cilindro!O480)/2)</f>
        <v>9.6529145275585737</v>
      </c>
    </row>
    <row r="489" spans="1:14" x14ac:dyDescent="0.25">
      <c r="A489" s="21">
        <f>Presion_cilindro!N481</f>
        <v>58.5</v>
      </c>
      <c r="B489" s="27">
        <f>B488*(Presion_cilindro!O480/Presion_cilindro!O481)^Presion_cilindro!$B$9+10*(Presion_cilindro!$B$9-1)*Presion_cilindro!$B$33*(IF(Presion_cilindro!N481&gt;(-B$4+Presion_cilindro!$B$34),1-EXP(-Presion_cilindro!$B$16*((Presion_cilindro!N481-(-B$4+Presion_cilindro!$B$34))/Presion_cilindro!$B$35)^(Presion_cilindro!$B$17+1)),0)-IF(Presion_cilindro!N480&gt;(-B$4+Presion_cilindro!$B$34),1-EXP(-Presion_cilindro!$B$16*((Presion_cilindro!N480-(-B$4+Presion_cilindro!$B$34))/Presion_cilindro!$B$35)^(Presion_cilindro!$B$17+1)),0))/((Presion_cilindro!O480+Presion_cilindro!O481)/2)</f>
        <v>9.9717929996086525</v>
      </c>
      <c r="C489" s="27">
        <f>C488*(Presion_cilindro!O480/Presion_cilindro!O481)^Presion_cilindro!$B$9+10*(Presion_cilindro!$B$9-1)*Presion_cilindro!$B$33*(IF(Presion_cilindro!N481&gt;(-C$4+Presion_cilindro!$B$34),1-EXP(-Presion_cilindro!$B$16*((Presion_cilindro!N481-(-C$4+Presion_cilindro!$B$34))/Presion_cilindro!$B$35)^(Presion_cilindro!$B$17+1)),0)-IF(Presion_cilindro!N480&gt;(-C$4+Presion_cilindro!$B$34),1-EXP(-Presion_cilindro!$B$16*((Presion_cilindro!N480-(-C$4+Presion_cilindro!$B$34))/Presion_cilindro!$B$35)^(Presion_cilindro!$B$17+1)),0))/((Presion_cilindro!O480+Presion_cilindro!O481)/2)</f>
        <v>9.6938906640686007</v>
      </c>
      <c r="D489" s="27">
        <f>D488*(Presion_cilindro!O480/Presion_cilindro!O481)^Presion_cilindro!$B$9+10*(Presion_cilindro!$B$9-1)*Presion_cilindro!$B$33*(IF(Presion_cilindro!N481&gt;(-D$4+Presion_cilindro!$B$34),1-EXP(-Presion_cilindro!$B$16*((Presion_cilindro!N481-(-D$4+Presion_cilindro!$B$34))/Presion_cilindro!$B$35)^(Presion_cilindro!$B$17+1)),0)-IF(Presion_cilindro!N480&gt;(-D$4+Presion_cilindro!$B$34),1-EXP(-Presion_cilindro!$B$16*((Presion_cilindro!N480-(-D$4+Presion_cilindro!$B$34))/Presion_cilindro!$B$35)^(Presion_cilindro!$B$17+1)),0))/((Presion_cilindro!O480+Presion_cilindro!O481)/2)</f>
        <v>9.4126405917509892</v>
      </c>
      <c r="E489" s="27">
        <f>E488*(Presion_cilindro!O480/Presion_cilindro!O481)^Presion_cilindro!$B$9+10*(Presion_cilindro!$B$9-1)*Presion_cilindro!$B$33*(IF(Presion_cilindro!N481&gt;(-E$4+Presion_cilindro!$B$34),1-EXP(-Presion_cilindro!$B$16*((Presion_cilindro!N481-(-E$4+Presion_cilindro!$B$34))/Presion_cilindro!$B$35)^(Presion_cilindro!$B$17+1)),0)-IF(Presion_cilindro!N480&gt;(-E$4+Presion_cilindro!$B$34),1-EXP(-Presion_cilindro!$B$16*((Presion_cilindro!N480-(-E$4+Presion_cilindro!$B$34))/Presion_cilindro!$B$35)^(Presion_cilindro!$B$17+1)),0))/((Presion_cilindro!O480+Presion_cilindro!O481)/2)</f>
        <v>9.1585283091093999</v>
      </c>
      <c r="F489" s="27">
        <f>F488*(Presion_cilindro!O480/Presion_cilindro!O481)^Presion_cilindro!$B$9+10*(Presion_cilindro!$B$9-1)*Presion_cilindro!$B$33*(IF(Presion_cilindro!N481&gt;(-F$4+Presion_cilindro!$B$34),1-EXP(-Presion_cilindro!$B$16*((Presion_cilindro!N481-(-F$4+Presion_cilindro!$B$34))/Presion_cilindro!$B$35)^(Presion_cilindro!$B$17+1)),0)-IF(Presion_cilindro!N480&gt;(-F$4+Presion_cilindro!$B$34),1-EXP(-Presion_cilindro!$B$16*((Presion_cilindro!N480-(-F$4+Presion_cilindro!$B$34))/Presion_cilindro!$B$35)^(Presion_cilindro!$B$17+1)),0))/((Presion_cilindro!O480+Presion_cilindro!O481)/2)</f>
        <v>8.947207124265578</v>
      </c>
      <c r="G489" s="27">
        <f>G488*(Presion_cilindro!O480/Presion_cilindro!O481)^Presion_cilindro!$B$9+10*(Presion_cilindro!$B$9-1)*Presion_cilindro!$B$33*(IF(Presion_cilindro!N481&gt;(-G$4+Presion_cilindro!$B$34),1-EXP(-Presion_cilindro!$B$16*((Presion_cilindro!N481-(-G$4+Presion_cilindro!$B$34))/Presion_cilindro!$B$35)^(Presion_cilindro!$B$17+1)),0)-IF(Presion_cilindro!N480&gt;(-G$4+Presion_cilindro!$B$34),1-EXP(-Presion_cilindro!$B$16*((Presion_cilindro!N480-(-G$4+Presion_cilindro!$B$34))/Presion_cilindro!$B$35)^(Presion_cilindro!$B$17+1)),0))/((Presion_cilindro!O480+Presion_cilindro!O481)/2)</f>
        <v>8.790582696857113</v>
      </c>
      <c r="H489" s="27">
        <f>H488*(Presion_cilindro!O480/Presion_cilindro!O481)^Presion_cilindro!$B$9+10*(Presion_cilindro!$B$9-1)*Presion_cilindro!$B$33*(IF(Presion_cilindro!N481&gt;(-H$4+Presion_cilindro!$B$34),1-EXP(-Presion_cilindro!$B$16*((Presion_cilindro!N481-(-H$4+Presion_cilindro!$B$34))/Presion_cilindro!$B$35)^(Presion_cilindro!$B$17+1)),0)-IF(Presion_cilindro!N480&gt;(-H$4+Presion_cilindro!$B$34),1-EXP(-Presion_cilindro!$B$16*((Presion_cilindro!N480-(-H$4+Presion_cilindro!$B$34))/Presion_cilindro!$B$35)^(Presion_cilindro!$B$17+1)),0))/((Presion_cilindro!O480+Presion_cilindro!O481)/2)</f>
        <v>8.6981903256821287</v>
      </c>
      <c r="I489" s="27">
        <f>I488*(Presion_cilindro!O480/Presion_cilindro!O481)^Presion_cilindro!$B$9+10*(Presion_cilindro!$B$9-1)*Presion_cilindro!$B$33*(IF(Presion_cilindro!N481&gt;(-I$4+Presion_cilindro!$B$34),1-EXP(-Presion_cilindro!$B$16*((Presion_cilindro!N481-(-I$4+Presion_cilindro!$B$34))/Presion_cilindro!$B$35)^(Presion_cilindro!$B$17+1)),0)-IF(Presion_cilindro!N480&gt;(-I$4+Presion_cilindro!$B$34),1-EXP(-Presion_cilindro!$B$16*((Presion_cilindro!N480-(-I$4+Presion_cilindro!$B$34))/Presion_cilindro!$B$35)^(Presion_cilindro!$B$17+1)),0))/((Presion_cilindro!O480+Presion_cilindro!O481)/2)</f>
        <v>8.6760279496503525</v>
      </c>
      <c r="J489" s="27">
        <f>J488*(Presion_cilindro!O480/Presion_cilindro!O481)^Presion_cilindro!$B$9+10*(Presion_cilindro!$B$9-1)*Presion_cilindro!$B$33*(IF(Presion_cilindro!N481&gt;(-J$4+Presion_cilindro!$B$34),1-EXP(-Presion_cilindro!$B$16*((Presion_cilindro!N481-(-J$4+Presion_cilindro!$B$34))/Presion_cilindro!$B$35)^(Presion_cilindro!$B$17+1)),0)-IF(Presion_cilindro!N480&gt;(-J$4+Presion_cilindro!$B$34),1-EXP(-Presion_cilindro!$B$16*((Presion_cilindro!N480-(-J$4+Presion_cilindro!$B$34))/Presion_cilindro!$B$35)^(Presion_cilindro!$B$17+1)),0))/((Presion_cilindro!O480+Presion_cilindro!O481)/2)</f>
        <v>8.7254759909815114</v>
      </c>
      <c r="K489" s="27">
        <f>K488*(Presion_cilindro!O480/Presion_cilindro!O481)^Presion_cilindro!$B$9+10*(Presion_cilindro!$B$9-1)*Presion_cilindro!$B$33*(IF(Presion_cilindro!N481&gt;(-K$4+Presion_cilindro!$B$34),1-EXP(-Presion_cilindro!$B$16*((Presion_cilindro!N481-(-K$4+Presion_cilindro!$B$34))/Presion_cilindro!$B$35)^(Presion_cilindro!$B$17+1)),0)-IF(Presion_cilindro!N480&gt;(-K$4+Presion_cilindro!$B$34),1-EXP(-Presion_cilindro!$B$16*((Presion_cilindro!N480-(-K$4+Presion_cilindro!$B$34))/Presion_cilindro!$B$35)^(Presion_cilindro!$B$17+1)),0))/((Presion_cilindro!O480+Presion_cilindro!O481)/2)</f>
        <v>8.8430604421050436</v>
      </c>
      <c r="L489" s="27">
        <f>L488*(Presion_cilindro!O480/Presion_cilindro!O481)^Presion_cilindro!$B$9+10*(Presion_cilindro!$B$9-1)*Presion_cilindro!$B$33*(IF(Presion_cilindro!N481&gt;(-L$4+Presion_cilindro!$B$34),1-EXP(-Presion_cilindro!$B$16*((Presion_cilindro!N481-(-L$4+Presion_cilindro!$B$34))/Presion_cilindro!$B$35)^(Presion_cilindro!$B$17+1)),0)-IF(Presion_cilindro!N480&gt;(-L$4+Presion_cilindro!$B$34),1-EXP(-Presion_cilindro!$B$16*((Presion_cilindro!N480-(-L$4+Presion_cilindro!$B$34))/Presion_cilindro!$B$35)^(Presion_cilindro!$B$17+1)),0))/((Presion_cilindro!O480+Presion_cilindro!O481)/2)</f>
        <v>9.0211711603263485</v>
      </c>
      <c r="M489" s="27">
        <f>M488*(Presion_cilindro!O480/Presion_cilindro!O481)^Presion_cilindro!$B$9+10*(Presion_cilindro!$B$9-1)*Presion_cilindro!$B$33*(IF(Presion_cilindro!N481&gt;(-M$4+Presion_cilindro!$B$34),1-EXP(-Presion_cilindro!$B$16*((Presion_cilindro!N481-(-M$4+Presion_cilindro!$B$34))/Presion_cilindro!$B$35)^(Presion_cilindro!$B$17+1)),0)-IF(Presion_cilindro!N480&gt;(-M$4+Presion_cilindro!$B$34),1-EXP(-Presion_cilindro!$B$16*((Presion_cilindro!N480-(-M$4+Presion_cilindro!$B$34))/Presion_cilindro!$B$35)^(Presion_cilindro!$B$17+1)),0))/((Presion_cilindro!O480+Presion_cilindro!O481)/2)</f>
        <v>9.2494661775453846</v>
      </c>
      <c r="N489" s="27">
        <f>N488*(Presion_cilindro!O480/Presion_cilindro!O481)^Presion_cilindro!$B$9+10*(Presion_cilindro!$B$9-1)*Presion_cilindro!$B$33*(IF(Presion_cilindro!N481&gt;(-N$4+Presion_cilindro!$B$34),1-EXP(-Presion_cilindro!$B$16*((Presion_cilindro!N481-(-N$4+Presion_cilindro!$B$34))/Presion_cilindro!$B$35)^(Presion_cilindro!$B$17+1)),0)-IF(Presion_cilindro!N480&gt;(-N$4+Presion_cilindro!$B$34),1-EXP(-Presion_cilindro!$B$16*((Presion_cilindro!N480-(-N$4+Presion_cilindro!$B$34))/Presion_cilindro!$B$35)^(Presion_cilindro!$B$17+1)),0))/((Presion_cilindro!O480+Presion_cilindro!O481)/2)</f>
        <v>9.5164936441146093</v>
      </c>
    </row>
    <row r="490" spans="1:14" x14ac:dyDescent="0.25">
      <c r="A490" s="21">
        <f>Presion_cilindro!N482</f>
        <v>59</v>
      </c>
      <c r="B490" s="27">
        <f>B489*(Presion_cilindro!O481/Presion_cilindro!O482)^Presion_cilindro!$B$9+10*(Presion_cilindro!$B$9-1)*Presion_cilindro!$B$33*(IF(Presion_cilindro!N482&gt;(-B$4+Presion_cilindro!$B$34),1-EXP(-Presion_cilindro!$B$16*((Presion_cilindro!N482-(-B$4+Presion_cilindro!$B$34))/Presion_cilindro!$B$35)^(Presion_cilindro!$B$17+1)),0)-IF(Presion_cilindro!N481&gt;(-B$4+Presion_cilindro!$B$34),1-EXP(-Presion_cilindro!$B$16*((Presion_cilindro!N481-(-B$4+Presion_cilindro!$B$34))/Presion_cilindro!$B$35)^(Presion_cilindro!$B$17+1)),0))/((Presion_cilindro!O481+Presion_cilindro!O482)/2)</f>
        <v>9.8370917373773104</v>
      </c>
      <c r="C490" s="27">
        <f>C489*(Presion_cilindro!O481/Presion_cilindro!O482)^Presion_cilindro!$B$9+10*(Presion_cilindro!$B$9-1)*Presion_cilindro!$B$33*(IF(Presion_cilindro!N482&gt;(-C$4+Presion_cilindro!$B$34),1-EXP(-Presion_cilindro!$B$16*((Presion_cilindro!N482-(-C$4+Presion_cilindro!$B$34))/Presion_cilindro!$B$35)^(Presion_cilindro!$B$17+1)),0)-IF(Presion_cilindro!N481&gt;(-C$4+Presion_cilindro!$B$34),1-EXP(-Presion_cilindro!$B$16*((Presion_cilindro!N481-(-C$4+Presion_cilindro!$B$34))/Presion_cilindro!$B$35)^(Presion_cilindro!$B$17+1)),0))/((Presion_cilindro!O481+Presion_cilindro!O482)/2)</f>
        <v>9.5589059749343335</v>
      </c>
      <c r="D490" s="27">
        <f>D489*(Presion_cilindro!O481/Presion_cilindro!O482)^Presion_cilindro!$B$9+10*(Presion_cilindro!$B$9-1)*Presion_cilindro!$B$33*(IF(Presion_cilindro!N482&gt;(-D$4+Presion_cilindro!$B$34),1-EXP(-Presion_cilindro!$B$16*((Presion_cilindro!N482-(-D$4+Presion_cilindro!$B$34))/Presion_cilindro!$B$35)^(Presion_cilindro!$B$17+1)),0)-IF(Presion_cilindro!N481&gt;(-D$4+Presion_cilindro!$B$34),1-EXP(-Presion_cilindro!$B$16*((Presion_cilindro!N481-(-D$4+Presion_cilindro!$B$34))/Presion_cilindro!$B$35)^(Presion_cilindro!$B$17+1)),0))/((Presion_cilindro!O481+Presion_cilindro!O482)/2)</f>
        <v>9.2807039971699297</v>
      </c>
      <c r="E490" s="27">
        <f>E489*(Presion_cilindro!O481/Presion_cilindro!O482)^Presion_cilindro!$B$9+10*(Presion_cilindro!$B$9-1)*Presion_cilindro!$B$33*(IF(Presion_cilindro!N482&gt;(-E$4+Presion_cilindro!$B$34),1-EXP(-Presion_cilindro!$B$16*((Presion_cilindro!N482-(-E$4+Presion_cilindro!$B$34))/Presion_cilindro!$B$35)^(Presion_cilindro!$B$17+1)),0)-IF(Presion_cilindro!N481&gt;(-E$4+Presion_cilindro!$B$34),1-EXP(-Presion_cilindro!$B$16*((Presion_cilindro!N481-(-E$4+Presion_cilindro!$B$34))/Presion_cilindro!$B$35)^(Presion_cilindro!$B$17+1)),0))/((Presion_cilindro!O481+Presion_cilindro!O482)/2)</f>
        <v>9.0300262385297252</v>
      </c>
      <c r="F490" s="27">
        <f>F489*(Presion_cilindro!O481/Presion_cilindro!O482)^Presion_cilindro!$B$9+10*(Presion_cilindro!$B$9-1)*Presion_cilindro!$B$33*(IF(Presion_cilindro!N482&gt;(-F$4+Presion_cilindro!$B$34),1-EXP(-Presion_cilindro!$B$16*((Presion_cilindro!N482-(-F$4+Presion_cilindro!$B$34))/Presion_cilindro!$B$35)^(Presion_cilindro!$B$17+1)),0)-IF(Presion_cilindro!N481&gt;(-F$4+Presion_cilindro!$B$34),1-EXP(-Presion_cilindro!$B$16*((Presion_cilindro!N481-(-F$4+Presion_cilindro!$B$34))/Presion_cilindro!$B$35)^(Presion_cilindro!$B$17+1)),0))/((Presion_cilindro!O481+Presion_cilindro!O482)/2)</f>
        <v>8.8216576252121275</v>
      </c>
      <c r="G490" s="27">
        <f>G489*(Presion_cilindro!O481/Presion_cilindro!O482)^Presion_cilindro!$B$9+10*(Presion_cilindro!$B$9-1)*Presion_cilindro!$B$33*(IF(Presion_cilindro!N482&gt;(-G$4+Presion_cilindro!$B$34),1-EXP(-Presion_cilindro!$B$16*((Presion_cilindro!N482-(-G$4+Presion_cilindro!$B$34))/Presion_cilindro!$B$35)^(Presion_cilindro!$B$17+1)),0)-IF(Presion_cilindro!N481&gt;(-G$4+Presion_cilindro!$B$34),1-EXP(-Presion_cilindro!$B$16*((Presion_cilindro!N481-(-G$4+Presion_cilindro!$B$34))/Presion_cilindro!$B$35)^(Presion_cilindro!$B$17+1)),0))/((Presion_cilindro!O481+Presion_cilindro!O482)/2)</f>
        <v>8.6672302007725719</v>
      </c>
      <c r="H490" s="27">
        <f>H489*(Presion_cilindro!O481/Presion_cilindro!O482)^Presion_cilindro!$B$9+10*(Presion_cilindro!$B$9-1)*Presion_cilindro!$B$33*(IF(Presion_cilindro!N482&gt;(-H$4+Presion_cilindro!$B$34),1-EXP(-Presion_cilindro!$B$16*((Presion_cilindro!N482-(-H$4+Presion_cilindro!$B$34))/Presion_cilindro!$B$35)^(Presion_cilindro!$B$17+1)),0)-IF(Presion_cilindro!N481&gt;(-H$4+Presion_cilindro!$B$34),1-EXP(-Presion_cilindro!$B$16*((Presion_cilindro!N481-(-H$4+Presion_cilindro!$B$34))/Presion_cilindro!$B$35)^(Presion_cilindro!$B$17+1)),0))/((Presion_cilindro!O481+Presion_cilindro!O482)/2)</f>
        <v>8.5761342794439468</v>
      </c>
      <c r="I490" s="27">
        <f>I489*(Presion_cilindro!O481/Presion_cilindro!O482)^Presion_cilindro!$B$9+10*(Presion_cilindro!$B$9-1)*Presion_cilindro!$B$33*(IF(Presion_cilindro!N482&gt;(-I$4+Presion_cilindro!$B$34),1-EXP(-Presion_cilindro!$B$16*((Presion_cilindro!N482-(-I$4+Presion_cilindro!$B$34))/Presion_cilindro!$B$35)^(Presion_cilindro!$B$17+1)),0)-IF(Presion_cilindro!N481&gt;(-I$4+Presion_cilindro!$B$34),1-EXP(-Presion_cilindro!$B$16*((Presion_cilindro!N481-(-I$4+Presion_cilindro!$B$34))/Presion_cilindro!$B$35)^(Presion_cilindro!$B$17+1)),0))/((Presion_cilindro!O481+Presion_cilindro!O482)/2)</f>
        <v>8.5542828928264871</v>
      </c>
      <c r="J490" s="27">
        <f>J489*(Presion_cilindro!O481/Presion_cilindro!O482)^Presion_cilindro!$B$9+10*(Presion_cilindro!$B$9-1)*Presion_cilindro!$B$33*(IF(Presion_cilindro!N482&gt;(-J$4+Presion_cilindro!$B$34),1-EXP(-Presion_cilindro!$B$16*((Presion_cilindro!N482-(-J$4+Presion_cilindro!$B$34))/Presion_cilindro!$B$35)^(Presion_cilindro!$B$17+1)),0)-IF(Presion_cilindro!N481&gt;(-J$4+Presion_cilindro!$B$34),1-EXP(-Presion_cilindro!$B$16*((Presion_cilindro!N481-(-J$4+Presion_cilindro!$B$34))/Presion_cilindro!$B$35)^(Presion_cilindro!$B$17+1)),0))/((Presion_cilindro!O481+Presion_cilindro!O482)/2)</f>
        <v>8.6030370619457646</v>
      </c>
      <c r="K490" s="27">
        <f>K489*(Presion_cilindro!O481/Presion_cilindro!O482)^Presion_cilindro!$B$9+10*(Presion_cilindro!$B$9-1)*Presion_cilindro!$B$33*(IF(Presion_cilindro!N482&gt;(-K$4+Presion_cilindro!$B$34),1-EXP(-Presion_cilindro!$B$16*((Presion_cilindro!N482-(-K$4+Presion_cilindro!$B$34))/Presion_cilindro!$B$35)^(Presion_cilindro!$B$17+1)),0)-IF(Presion_cilindro!N481&gt;(-K$4+Presion_cilindro!$B$34),1-EXP(-Presion_cilindro!$B$16*((Presion_cilindro!N481-(-K$4+Presion_cilindro!$B$34))/Presion_cilindro!$B$35)^(Presion_cilindro!$B$17+1)),0))/((Presion_cilindro!O481+Presion_cilindro!O482)/2)</f>
        <v>8.71897152695019</v>
      </c>
      <c r="L490" s="27">
        <f>L489*(Presion_cilindro!O481/Presion_cilindro!O482)^Presion_cilindro!$B$9+10*(Presion_cilindro!$B$9-1)*Presion_cilindro!$B$33*(IF(Presion_cilindro!N482&gt;(-L$4+Presion_cilindro!$B$34),1-EXP(-Presion_cilindro!$B$16*((Presion_cilindro!N482-(-L$4+Presion_cilindro!$B$34))/Presion_cilindro!$B$35)^(Presion_cilindro!$B$17+1)),0)-IF(Presion_cilindro!N481&gt;(-L$4+Presion_cilindro!$B$34),1-EXP(-Presion_cilindro!$B$16*((Presion_cilindro!N481-(-L$4+Presion_cilindro!$B$34))/Presion_cilindro!$B$35)^(Presion_cilindro!$B$17+1)),0))/((Presion_cilindro!O481+Presion_cilindro!O482)/2)</f>
        <v>8.8945829333160322</v>
      </c>
      <c r="M490" s="27">
        <f>M489*(Presion_cilindro!O481/Presion_cilindro!O482)^Presion_cilindro!$B$9+10*(Presion_cilindro!$B$9-1)*Presion_cilindro!$B$33*(IF(Presion_cilindro!N482&gt;(-M$4+Presion_cilindro!$B$34),1-EXP(-Presion_cilindro!$B$16*((Presion_cilindro!N482-(-M$4+Presion_cilindro!$B$34))/Presion_cilindro!$B$35)^(Presion_cilindro!$B$17+1)),0)-IF(Presion_cilindro!N481&gt;(-M$4+Presion_cilindro!$B$34),1-EXP(-Presion_cilindro!$B$16*((Presion_cilindro!N481-(-M$4+Presion_cilindro!$B$34))/Presion_cilindro!$B$35)^(Presion_cilindro!$B$17+1)),0))/((Presion_cilindro!O481+Presion_cilindro!O482)/2)</f>
        <v>9.11967443505449</v>
      </c>
      <c r="N490" s="27">
        <f>N489*(Presion_cilindro!O481/Presion_cilindro!O482)^Presion_cilindro!$B$9+10*(Presion_cilindro!$B$9-1)*Presion_cilindro!$B$33*(IF(Presion_cilindro!N482&gt;(-N$4+Presion_cilindro!$B$34),1-EXP(-Presion_cilindro!$B$16*((Presion_cilindro!N482-(-N$4+Presion_cilindro!$B$34))/Presion_cilindro!$B$35)^(Presion_cilindro!$B$17+1)),0)-IF(Presion_cilindro!N481&gt;(-N$4+Presion_cilindro!$B$34),1-EXP(-Presion_cilindro!$B$16*((Presion_cilindro!N481-(-N$4+Presion_cilindro!$B$34))/Presion_cilindro!$B$35)^(Presion_cilindro!$B$17+1)),0))/((Presion_cilindro!O481+Presion_cilindro!O482)/2)</f>
        <v>9.3829548788751929</v>
      </c>
    </row>
    <row r="491" spans="1:14" x14ac:dyDescent="0.25">
      <c r="A491" s="21">
        <f>Presion_cilindro!N483</f>
        <v>59.5</v>
      </c>
      <c r="B491" s="27">
        <f>B490*(Presion_cilindro!O482/Presion_cilindro!O483)^Presion_cilindro!$B$9+10*(Presion_cilindro!$B$9-1)*Presion_cilindro!$B$33*(IF(Presion_cilindro!N483&gt;(-B$4+Presion_cilindro!$B$34),1-EXP(-Presion_cilindro!$B$16*((Presion_cilindro!N483-(-B$4+Presion_cilindro!$B$34))/Presion_cilindro!$B$35)^(Presion_cilindro!$B$17+1)),0)-IF(Presion_cilindro!N482&gt;(-B$4+Presion_cilindro!$B$34),1-EXP(-Presion_cilindro!$B$16*((Presion_cilindro!N482-(-B$4+Presion_cilindro!$B$34))/Presion_cilindro!$B$35)^(Presion_cilindro!$B$17+1)),0))/((Presion_cilindro!O482+Presion_cilindro!O483)/2)</f>
        <v>9.7045101890546803</v>
      </c>
      <c r="C491" s="27">
        <f>C490*(Presion_cilindro!O482/Presion_cilindro!O483)^Presion_cilindro!$B$9+10*(Presion_cilindro!$B$9-1)*Presion_cilindro!$B$33*(IF(Presion_cilindro!N483&gt;(-C$4+Presion_cilindro!$B$34),1-EXP(-Presion_cilindro!$B$16*((Presion_cilindro!N483-(-C$4+Presion_cilindro!$B$34))/Presion_cilindro!$B$35)^(Presion_cilindro!$B$17+1)),0)-IF(Presion_cilindro!N482&gt;(-C$4+Presion_cilindro!$B$34),1-EXP(-Presion_cilindro!$B$16*((Presion_cilindro!N482-(-C$4+Presion_cilindro!$B$34))/Presion_cilindro!$B$35)^(Presion_cilindro!$B$17+1)),0))/((Presion_cilindro!O482+Presion_cilindro!O483)/2)</f>
        <v>9.4265911578809316</v>
      </c>
      <c r="D491" s="27">
        <f>D490*(Presion_cilindro!O482/Presion_cilindro!O483)^Presion_cilindro!$B$9+10*(Presion_cilindro!$B$9-1)*Presion_cilindro!$B$33*(IF(Presion_cilindro!N483&gt;(-D$4+Presion_cilindro!$B$34),1-EXP(-Presion_cilindro!$B$16*((Presion_cilindro!N483-(-D$4+Presion_cilindro!$B$34))/Presion_cilindro!$B$35)^(Presion_cilindro!$B$17+1)),0)-IF(Presion_cilindro!N482&gt;(-D$4+Presion_cilindro!$B$34),1-EXP(-Presion_cilindro!$B$16*((Presion_cilindro!N482-(-D$4+Presion_cilindro!$B$34))/Presion_cilindro!$B$35)^(Presion_cilindro!$B$17+1)),0))/((Presion_cilindro!O482+Presion_cilindro!O483)/2)</f>
        <v>9.1515185831993655</v>
      </c>
      <c r="E491" s="27">
        <f>E490*(Presion_cilindro!O482/Presion_cilindro!O483)^Presion_cilindro!$B$9+10*(Presion_cilindro!$B$9-1)*Presion_cilindro!$B$33*(IF(Presion_cilindro!N483&gt;(-E$4+Presion_cilindro!$B$34),1-EXP(-Presion_cilindro!$B$16*((Presion_cilindro!N483-(-E$4+Presion_cilindro!$B$34))/Presion_cilindro!$B$35)^(Presion_cilindro!$B$17+1)),0)-IF(Presion_cilindro!N482&gt;(-E$4+Presion_cilindro!$B$34),1-EXP(-Presion_cilindro!$B$16*((Presion_cilindro!N482-(-E$4+Presion_cilindro!$B$34))/Presion_cilindro!$B$35)^(Presion_cilindro!$B$17+1)),0))/((Presion_cilindro!O482+Presion_cilindro!O483)/2)</f>
        <v>8.9042284925608648</v>
      </c>
      <c r="F491" s="27">
        <f>F490*(Presion_cilindro!O482/Presion_cilindro!O483)^Presion_cilindro!$B$9+10*(Presion_cilindro!$B$9-1)*Presion_cilindro!$B$33*(IF(Presion_cilindro!N483&gt;(-F$4+Presion_cilindro!$B$34),1-EXP(-Presion_cilindro!$B$16*((Presion_cilindro!N483-(-F$4+Presion_cilindro!$B$34))/Presion_cilindro!$B$35)^(Presion_cilindro!$B$17+1)),0)-IF(Presion_cilindro!N482&gt;(-F$4+Presion_cilindro!$B$34),1-EXP(-Presion_cilindro!$B$16*((Presion_cilindro!N482-(-F$4+Presion_cilindro!$B$34))/Presion_cilindro!$B$35)^(Presion_cilindro!$B$17+1)),0))/((Presion_cilindro!O482+Presion_cilindro!O483)/2)</f>
        <v>8.6987531414083534</v>
      </c>
      <c r="G491" s="27">
        <f>G490*(Presion_cilindro!O482/Presion_cilindro!O483)^Presion_cilindro!$B$9+10*(Presion_cilindro!$B$9-1)*Presion_cilindro!$B$33*(IF(Presion_cilindro!N483&gt;(-G$4+Presion_cilindro!$B$34),1-EXP(-Presion_cilindro!$B$16*((Presion_cilindro!N483-(-G$4+Presion_cilindro!$B$34))/Presion_cilindro!$B$35)^(Presion_cilindro!$B$17+1)),0)-IF(Presion_cilindro!N482&gt;(-G$4+Presion_cilindro!$B$34),1-EXP(-Presion_cilindro!$B$16*((Presion_cilindro!N482-(-G$4+Presion_cilindro!$B$34))/Presion_cilindro!$B$35)^(Presion_cilindro!$B$17+1)),0))/((Presion_cilindro!O482+Presion_cilindro!O483)/2)</f>
        <v>8.5464766406480859</v>
      </c>
      <c r="H491" s="27">
        <f>H490*(Presion_cilindro!O482/Presion_cilindro!O483)^Presion_cilindro!$B$9+10*(Presion_cilindro!$B$9-1)*Presion_cilindro!$B$33*(IF(Presion_cilindro!N483&gt;(-H$4+Presion_cilindro!$B$34),1-EXP(-Presion_cilindro!$B$16*((Presion_cilindro!N483-(-H$4+Presion_cilindro!$B$34))/Presion_cilindro!$B$35)^(Presion_cilindro!$B$17+1)),0)-IF(Presion_cilindro!N482&gt;(-H$4+Presion_cilindro!$B$34),1-EXP(-Presion_cilindro!$B$16*((Presion_cilindro!N482-(-H$4+Presion_cilindro!$B$34))/Presion_cilindro!$B$35)^(Presion_cilindro!$B$17+1)),0))/((Presion_cilindro!O482+Presion_cilindro!O483)/2)</f>
        <v>8.4566498634052749</v>
      </c>
      <c r="I491" s="27">
        <f>I490*(Presion_cilindro!O482/Presion_cilindro!O483)^Presion_cilindro!$B$9+10*(Presion_cilindro!$B$9-1)*Presion_cilindro!$B$33*(IF(Presion_cilindro!N483&gt;(-I$4+Presion_cilindro!$B$34),1-EXP(-Presion_cilindro!$B$16*((Presion_cilindro!N483-(-I$4+Presion_cilindro!$B$34))/Presion_cilindro!$B$35)^(Presion_cilindro!$B$17+1)),0)-IF(Presion_cilindro!N482&gt;(-I$4+Presion_cilindro!$B$34),1-EXP(-Presion_cilindro!$B$16*((Presion_cilindro!N482-(-I$4+Presion_cilindro!$B$34))/Presion_cilindro!$B$35)^(Presion_cilindro!$B$17+1)),0))/((Presion_cilindro!O482+Presion_cilindro!O483)/2)</f>
        <v>8.4351029141459204</v>
      </c>
      <c r="J491" s="27">
        <f>J490*(Presion_cilindro!O482/Presion_cilindro!O483)^Presion_cilindro!$B$9+10*(Presion_cilindro!$B$9-1)*Presion_cilindro!$B$33*(IF(Presion_cilindro!N483&gt;(-J$4+Presion_cilindro!$B$34),1-EXP(-Presion_cilindro!$B$16*((Presion_cilindro!N483-(-J$4+Presion_cilindro!$B$34))/Presion_cilindro!$B$35)^(Presion_cilindro!$B$17+1)),0)-IF(Presion_cilindro!N482&gt;(-J$4+Presion_cilindro!$B$34),1-EXP(-Presion_cilindro!$B$16*((Presion_cilindro!N482-(-J$4+Presion_cilindro!$B$34))/Presion_cilindro!$B$35)^(Presion_cilindro!$B$17+1)),0))/((Presion_cilindro!O482+Presion_cilindro!O483)/2)</f>
        <v>8.4831778304309786</v>
      </c>
      <c r="K491" s="27">
        <f>K490*(Presion_cilindro!O482/Presion_cilindro!O483)^Presion_cilindro!$B$9+10*(Presion_cilindro!$B$9-1)*Presion_cilindro!$B$33*(IF(Presion_cilindro!N483&gt;(-K$4+Presion_cilindro!$B$34),1-EXP(-Presion_cilindro!$B$16*((Presion_cilindro!N483-(-K$4+Presion_cilindro!$B$34))/Presion_cilindro!$B$35)^(Presion_cilindro!$B$17+1)),0)-IF(Presion_cilindro!N482&gt;(-K$4+Presion_cilindro!$B$34),1-EXP(-Presion_cilindro!$B$16*((Presion_cilindro!N482-(-K$4+Presion_cilindro!$B$34))/Presion_cilindro!$B$35)^(Presion_cilindro!$B$17+1)),0))/((Presion_cilindro!O482+Presion_cilindro!O483)/2)</f>
        <v>8.5974970733014118</v>
      </c>
      <c r="L491" s="27">
        <f>L490*(Presion_cilindro!O482/Presion_cilindro!O483)^Presion_cilindro!$B$9+10*(Presion_cilindro!$B$9-1)*Presion_cilindro!$B$33*(IF(Presion_cilindro!N483&gt;(-L$4+Presion_cilindro!$B$34),1-EXP(-Presion_cilindro!$B$16*((Presion_cilindro!N483-(-L$4+Presion_cilindro!$B$34))/Presion_cilindro!$B$35)^(Presion_cilindro!$B$17+1)),0)-IF(Presion_cilindro!N482&gt;(-L$4+Presion_cilindro!$B$34),1-EXP(-Presion_cilindro!$B$16*((Presion_cilindro!N482-(-L$4+Presion_cilindro!$B$34))/Presion_cilindro!$B$35)^(Presion_cilindro!$B$17+1)),0))/((Presion_cilindro!O482+Presion_cilindro!O483)/2)</f>
        <v>8.7706618264608665</v>
      </c>
      <c r="M491" s="27">
        <f>M490*(Presion_cilindro!O482/Presion_cilindro!O483)^Presion_cilindro!$B$9+10*(Presion_cilindro!$B$9-1)*Presion_cilindro!$B$33*(IF(Presion_cilindro!N483&gt;(-M$4+Presion_cilindro!$B$34),1-EXP(-Presion_cilindro!$B$16*((Presion_cilindro!N483-(-M$4+Presion_cilindro!$B$34))/Presion_cilindro!$B$35)^(Presion_cilindro!$B$17+1)),0)-IF(Presion_cilindro!N482&gt;(-M$4+Presion_cilindro!$B$34),1-EXP(-Presion_cilindro!$B$16*((Presion_cilindro!N482-(-M$4+Presion_cilindro!$B$34))/Presion_cilindro!$B$35)^(Presion_cilindro!$B$17+1)),0))/((Presion_cilindro!O482+Presion_cilindro!O483)/2)</f>
        <v>8.9926173084164702</v>
      </c>
      <c r="N491" s="27">
        <f>N490*(Presion_cilindro!O482/Presion_cilindro!O483)^Presion_cilindro!$B$9+10*(Presion_cilindro!$B$9-1)*Presion_cilindro!$B$33*(IF(Presion_cilindro!N483&gt;(-N$4+Presion_cilindro!$B$34),1-EXP(-Presion_cilindro!$B$16*((Presion_cilindro!N483-(-N$4+Presion_cilindro!$B$34))/Presion_cilindro!$B$35)^(Presion_cilindro!$B$17+1)),0)-IF(Presion_cilindro!N482&gt;(-N$4+Presion_cilindro!$B$34),1-EXP(-Presion_cilindro!$B$16*((Presion_cilindro!N482-(-N$4+Presion_cilindro!$B$34))/Presion_cilindro!$B$35)^(Presion_cilindro!$B$17+1)),0))/((Presion_cilindro!O482+Presion_cilindro!O483)/2)</f>
        <v>9.2522296764818304</v>
      </c>
    </row>
    <row r="492" spans="1:14" x14ac:dyDescent="0.25">
      <c r="A492" s="21">
        <f>Presion_cilindro!N484</f>
        <v>60</v>
      </c>
      <c r="B492" s="27">
        <f>B491*(Presion_cilindro!O483/Presion_cilindro!O484)^Presion_cilindro!$B$9+10*(Presion_cilindro!$B$9-1)*Presion_cilindro!$B$33*(IF(Presion_cilindro!N484&gt;(-B$4+Presion_cilindro!$B$34),1-EXP(-Presion_cilindro!$B$16*((Presion_cilindro!N484-(-B$4+Presion_cilindro!$B$34))/Presion_cilindro!$B$35)^(Presion_cilindro!$B$17+1)),0)-IF(Presion_cilindro!N483&gt;(-B$4+Presion_cilindro!$B$34),1-EXP(-Presion_cilindro!$B$16*((Presion_cilindro!N483-(-B$4+Presion_cilindro!$B$34))/Presion_cilindro!$B$35)^(Presion_cilindro!$B$17+1)),0))/((Presion_cilindro!O483+Presion_cilindro!O484)/2)</f>
        <v>9.5740873867065819</v>
      </c>
      <c r="C492" s="27">
        <f>C491*(Presion_cilindro!O483/Presion_cilindro!O484)^Presion_cilindro!$B$9+10*(Presion_cilindro!$B$9-1)*Presion_cilindro!$B$33*(IF(Presion_cilindro!N484&gt;(-C$4+Presion_cilindro!$B$34),1-EXP(-Presion_cilindro!$B$16*((Presion_cilindro!N484-(-C$4+Presion_cilindro!$B$34))/Presion_cilindro!$B$35)^(Presion_cilindro!$B$17+1)),0)-IF(Presion_cilindro!N483&gt;(-C$4+Presion_cilindro!$B$34),1-EXP(-Presion_cilindro!$B$16*((Presion_cilindro!N483-(-C$4+Presion_cilindro!$B$34))/Presion_cilindro!$B$35)^(Presion_cilindro!$B$17+1)),0))/((Presion_cilindro!O483+Presion_cilindro!O484)/2)</f>
        <v>9.2969100497815624</v>
      </c>
      <c r="D492" s="27">
        <f>D491*(Presion_cilindro!O483/Presion_cilindro!O484)^Presion_cilindro!$B$9+10*(Presion_cilindro!$B$9-1)*Presion_cilindro!$B$33*(IF(Presion_cilindro!N484&gt;(-D$4+Presion_cilindro!$B$34),1-EXP(-Presion_cilindro!$B$16*((Presion_cilindro!N484-(-D$4+Presion_cilindro!$B$34))/Presion_cilindro!$B$35)^(Presion_cilindro!$B$17+1)),0)-IF(Presion_cilindro!N483&gt;(-D$4+Presion_cilindro!$B$34),1-EXP(-Presion_cilindro!$B$16*((Presion_cilindro!N483-(-D$4+Presion_cilindro!$B$34))/Presion_cilindro!$B$35)^(Presion_cilindro!$B$17+1)),0))/((Presion_cilindro!O483+Presion_cilindro!O484)/2)</f>
        <v>9.0250243651056579</v>
      </c>
      <c r="E492" s="27">
        <f>E491*(Presion_cilindro!O483/Presion_cilindro!O484)^Presion_cilindro!$B$9+10*(Presion_cilindro!$B$9-1)*Presion_cilindro!$B$33*(IF(Presion_cilindro!N484&gt;(-E$4+Presion_cilindro!$B$34),1-EXP(-Presion_cilindro!$B$16*((Presion_cilindro!N484-(-E$4+Presion_cilindro!$B$34))/Presion_cilindro!$B$35)^(Presion_cilindro!$B$17+1)),0)-IF(Presion_cilindro!N483&gt;(-E$4+Presion_cilindro!$B$34),1-EXP(-Presion_cilindro!$B$16*((Presion_cilindro!N483-(-E$4+Presion_cilindro!$B$34))/Presion_cilindro!$B$35)^(Presion_cilindro!$B$17+1)),0))/((Presion_cilindro!O483+Presion_cilindro!O484)/2)</f>
        <v>8.7810714642315926</v>
      </c>
      <c r="F492" s="27">
        <f>F491*(Presion_cilindro!O483/Presion_cilindro!O484)^Presion_cilindro!$B$9+10*(Presion_cilindro!$B$9-1)*Presion_cilindro!$B$33*(IF(Presion_cilindro!N484&gt;(-F$4+Presion_cilindro!$B$34),1-EXP(-Presion_cilindro!$B$16*((Presion_cilindro!N484-(-F$4+Presion_cilindro!$B$34))/Presion_cilindro!$B$35)^(Presion_cilindro!$B$17+1)),0)-IF(Presion_cilindro!N483&gt;(-F$4+Presion_cilindro!$B$34),1-EXP(-Presion_cilindro!$B$16*((Presion_cilindro!N483-(-F$4+Presion_cilindro!$B$34))/Presion_cilindro!$B$35)^(Presion_cilindro!$B$17+1)),0))/((Presion_cilindro!O483+Presion_cilindro!O484)/2)</f>
        <v>8.5784308362559791</v>
      </c>
      <c r="G492" s="27">
        <f>G491*(Presion_cilindro!O483/Presion_cilindro!O484)^Presion_cilindro!$B$9+10*(Presion_cilindro!$B$9-1)*Presion_cilindro!$B$33*(IF(Presion_cilindro!N484&gt;(-G$4+Presion_cilindro!$B$34),1-EXP(-Presion_cilindro!$B$16*((Presion_cilindro!N484-(-G$4+Presion_cilindro!$B$34))/Presion_cilindro!$B$35)^(Presion_cilindro!$B$17+1)),0)-IF(Presion_cilindro!N483&gt;(-G$4+Presion_cilindro!$B$34),1-EXP(-Presion_cilindro!$B$16*((Presion_cilindro!N483-(-G$4+Presion_cilindro!$B$34))/Presion_cilindro!$B$35)^(Presion_cilindro!$B$17+1)),0))/((Presion_cilindro!O483+Presion_cilindro!O484)/2)</f>
        <v>8.4282602218676619</v>
      </c>
      <c r="H492" s="27">
        <f>H491*(Presion_cilindro!O483/Presion_cilindro!O484)^Presion_cilindro!$B$9+10*(Presion_cilindro!$B$9-1)*Presion_cilindro!$B$33*(IF(Presion_cilindro!N484&gt;(-H$4+Presion_cilindro!$B$34),1-EXP(-Presion_cilindro!$B$16*((Presion_cilindro!N484-(-H$4+Presion_cilindro!$B$34))/Presion_cilindro!$B$35)^(Presion_cilindro!$B$17+1)),0)-IF(Presion_cilindro!N483&gt;(-H$4+Presion_cilindro!$B$34),1-EXP(-Presion_cilindro!$B$16*((Presion_cilindro!N483-(-H$4+Presion_cilindro!$B$34))/Presion_cilindro!$B$35)^(Presion_cilindro!$B$17+1)),0))/((Presion_cilindro!O483+Presion_cilindro!O484)/2)</f>
        <v>8.339675929469605</v>
      </c>
      <c r="I492" s="27">
        <f>I491*(Presion_cilindro!O483/Presion_cilindro!O484)^Presion_cilindro!$B$9+10*(Presion_cilindro!$B$9-1)*Presion_cilindro!$B$33*(IF(Presion_cilindro!N484&gt;(-I$4+Presion_cilindro!$B$34),1-EXP(-Presion_cilindro!$B$16*((Presion_cilindro!N484-(-I$4+Presion_cilindro!$B$34))/Presion_cilindro!$B$35)^(Presion_cilindro!$B$17+1)),0)-IF(Presion_cilindro!N483&gt;(-I$4+Presion_cilindro!$B$34),1-EXP(-Presion_cilindro!$B$16*((Presion_cilindro!N483-(-I$4+Presion_cilindro!$B$34))/Presion_cilindro!$B$35)^(Presion_cilindro!$B$17+1)),0))/((Presion_cilindro!O483+Presion_cilindro!O484)/2)</f>
        <v>8.3184270212219626</v>
      </c>
      <c r="J492" s="27">
        <f>J491*(Presion_cilindro!O483/Presion_cilindro!O484)^Presion_cilindro!$B$9+10*(Presion_cilindro!$B$9-1)*Presion_cilindro!$B$33*(IF(Presion_cilindro!N484&gt;(-J$4+Presion_cilindro!$B$34),1-EXP(-Presion_cilindro!$B$16*((Presion_cilindro!N484-(-J$4+Presion_cilindro!$B$34))/Presion_cilindro!$B$35)^(Presion_cilindro!$B$17+1)),0)-IF(Presion_cilindro!N483&gt;(-J$4+Presion_cilindro!$B$34),1-EXP(-Presion_cilindro!$B$16*((Presion_cilindro!N483-(-J$4+Presion_cilindro!$B$34))/Presion_cilindro!$B$35)^(Presion_cilindro!$B$17+1)),0))/((Presion_cilindro!O483+Presion_cilindro!O484)/2)</f>
        <v>8.3658369564295967</v>
      </c>
      <c r="K492" s="27">
        <f>K491*(Presion_cilindro!O483/Presion_cilindro!O484)^Presion_cilindro!$B$9+10*(Presion_cilindro!$B$9-1)*Presion_cilindro!$B$33*(IF(Presion_cilindro!N484&gt;(-K$4+Presion_cilindro!$B$34),1-EXP(-Presion_cilindro!$B$16*((Presion_cilindro!N484-(-K$4+Presion_cilindro!$B$34))/Presion_cilindro!$B$35)^(Presion_cilindro!$B$17+1)),0)-IF(Presion_cilindro!N483&gt;(-K$4+Presion_cilindro!$B$34),1-EXP(-Presion_cilindro!$B$16*((Presion_cilindro!N483-(-K$4+Presion_cilindro!$B$34))/Presion_cilindro!$B$35)^(Presion_cilindro!$B$17+1)),0))/((Presion_cilindro!O483+Presion_cilindro!O484)/2)</f>
        <v>8.4785749145336329</v>
      </c>
      <c r="L492" s="27">
        <f>L491*(Presion_cilindro!O483/Presion_cilindro!O484)^Presion_cilindro!$B$9+10*(Presion_cilindro!$B$9-1)*Presion_cilindro!$B$33*(IF(Presion_cilindro!N484&gt;(-L$4+Presion_cilindro!$B$34),1-EXP(-Presion_cilindro!$B$16*((Presion_cilindro!N484-(-L$4+Presion_cilindro!$B$34))/Presion_cilindro!$B$35)^(Presion_cilindro!$B$17+1)),0)-IF(Presion_cilindro!N483&gt;(-L$4+Presion_cilindro!$B$34),1-EXP(-Presion_cilindro!$B$16*((Presion_cilindro!N483-(-L$4+Presion_cilindro!$B$34))/Presion_cilindro!$B$35)^(Presion_cilindro!$B$17+1)),0))/((Presion_cilindro!O483+Presion_cilindro!O484)/2)</f>
        <v>8.6493444210192436</v>
      </c>
      <c r="M492" s="27">
        <f>M491*(Presion_cilindro!O483/Presion_cilindro!O484)^Presion_cilindro!$B$9+10*(Presion_cilindro!$B$9-1)*Presion_cilindro!$B$33*(IF(Presion_cilindro!N484&gt;(-M$4+Presion_cilindro!$B$34),1-EXP(-Presion_cilindro!$B$16*((Presion_cilindro!N484-(-M$4+Presion_cilindro!$B$34))/Presion_cilindro!$B$35)^(Presion_cilindro!$B$17+1)),0)-IF(Presion_cilindro!N483&gt;(-M$4+Presion_cilindro!$B$34),1-EXP(-Presion_cilindro!$B$16*((Presion_cilindro!N483-(-M$4+Presion_cilindro!$B$34))/Presion_cilindro!$B$35)^(Presion_cilindro!$B$17+1)),0))/((Presion_cilindro!O483+Presion_cilindro!O484)/2)</f>
        <v>8.8682297739780633</v>
      </c>
      <c r="N492" s="27">
        <f>N491*(Presion_cilindro!O483/Presion_cilindro!O484)^Presion_cilindro!$B$9+10*(Presion_cilindro!$B$9-1)*Presion_cilindro!$B$33*(IF(Presion_cilindro!N484&gt;(-N$4+Presion_cilindro!$B$34),1-EXP(-Presion_cilindro!$B$16*((Presion_cilindro!N484-(-N$4+Presion_cilindro!$B$34))/Presion_cilindro!$B$35)^(Presion_cilindro!$B$17+1)),0)-IF(Presion_cilindro!N483&gt;(-N$4+Presion_cilindro!$B$34),1-EXP(-Presion_cilindro!$B$16*((Presion_cilindro!N483-(-N$4+Presion_cilindro!$B$34))/Presion_cilindro!$B$35)^(Presion_cilindro!$B$17+1)),0))/((Presion_cilindro!O483+Presion_cilindro!O484)/2)</f>
        <v>9.1242511360808827</v>
      </c>
    </row>
    <row r="493" spans="1:14" x14ac:dyDescent="0.25">
      <c r="A493" s="21">
        <f>Presion_cilindro!N485</f>
        <v>60.5</v>
      </c>
      <c r="B493" s="27">
        <f>B492*(Presion_cilindro!O484/Presion_cilindro!O485)^Presion_cilindro!$B$9+10*(Presion_cilindro!$B$9-1)*Presion_cilindro!$B$33*(IF(Presion_cilindro!N485&gt;(-B$4+Presion_cilindro!$B$34),1-EXP(-Presion_cilindro!$B$16*((Presion_cilindro!N485-(-B$4+Presion_cilindro!$B$34))/Presion_cilindro!$B$35)^(Presion_cilindro!$B$17+1)),0)-IF(Presion_cilindro!N484&gt;(-B$4+Presion_cilindro!$B$34),1-EXP(-Presion_cilindro!$B$16*((Presion_cilindro!N484-(-B$4+Presion_cilindro!$B$34))/Presion_cilindro!$B$35)^(Presion_cilindro!$B$17+1)),0))/((Presion_cilindro!O484+Presion_cilindro!O485)/2)</f>
        <v>9.4458520124502456</v>
      </c>
      <c r="C493" s="27">
        <f>C492*(Presion_cilindro!O484/Presion_cilindro!O485)^Presion_cilindro!$B$9+10*(Presion_cilindro!$B$9-1)*Presion_cilindro!$B$33*(IF(Presion_cilindro!N485&gt;(-C$4+Presion_cilindro!$B$34),1-EXP(-Presion_cilindro!$B$16*((Presion_cilindro!N485-(-C$4+Presion_cilindro!$B$34))/Presion_cilindro!$B$35)^(Presion_cilindro!$B$17+1)),0)-IF(Presion_cilindro!N484&gt;(-C$4+Presion_cilindro!$B$34),1-EXP(-Presion_cilindro!$B$16*((Presion_cilindro!N484-(-C$4+Presion_cilindro!$B$34))/Presion_cilindro!$B$35)^(Presion_cilindro!$B$17+1)),0))/((Presion_cilindro!O484+Presion_cilindro!O485)/2)</f>
        <v>9.169823476899305</v>
      </c>
      <c r="D493" s="27">
        <f>D492*(Presion_cilindro!O484/Presion_cilindro!O485)^Presion_cilindro!$B$9+10*(Presion_cilindro!$B$9-1)*Presion_cilindro!$B$33*(IF(Presion_cilindro!N485&gt;(-D$4+Presion_cilindro!$B$34),1-EXP(-Presion_cilindro!$B$16*((Presion_cilindro!N485-(-D$4+Presion_cilindro!$B$34))/Presion_cilindro!$B$35)^(Presion_cilindro!$B$17+1)),0)-IF(Presion_cilindro!N484&gt;(-D$4+Presion_cilindro!$B$34),1-EXP(-Presion_cilindro!$B$16*((Presion_cilindro!N484-(-D$4+Presion_cilindro!$B$34))/Presion_cilindro!$B$35)^(Presion_cilindro!$B$17+1)),0))/((Presion_cilindro!O484+Presion_cilindro!O485)/2)</f>
        <v>8.901161844942358</v>
      </c>
      <c r="E493" s="27">
        <f>E492*(Presion_cilindro!O484/Presion_cilindro!O485)^Presion_cilindro!$B$9+10*(Presion_cilindro!$B$9-1)*Presion_cilindro!$B$33*(IF(Presion_cilindro!N485&gt;(-E$4+Presion_cilindro!$B$34),1-EXP(-Presion_cilindro!$B$16*((Presion_cilindro!N485-(-E$4+Presion_cilindro!$B$34))/Presion_cilindro!$B$35)^(Presion_cilindro!$B$17+1)),0)-IF(Presion_cilindro!N484&gt;(-E$4+Presion_cilindro!$B$34),1-EXP(-Presion_cilindro!$B$16*((Presion_cilindro!N484-(-E$4+Presion_cilindro!$B$34))/Presion_cilindro!$B$35)^(Presion_cilindro!$B$17+1)),0))/((Presion_cilindro!O484+Presion_cilindro!O485)/2)</f>
        <v>8.6604929413734553</v>
      </c>
      <c r="F493" s="27">
        <f>F492*(Presion_cilindro!O484/Presion_cilindro!O485)^Presion_cilindro!$B$9+10*(Presion_cilindro!$B$9-1)*Presion_cilindro!$B$33*(IF(Presion_cilindro!N485&gt;(-F$4+Presion_cilindro!$B$34),1-EXP(-Presion_cilindro!$B$16*((Presion_cilindro!N485-(-F$4+Presion_cilindro!$B$34))/Presion_cilindro!$B$35)^(Presion_cilindro!$B$17+1)),0)-IF(Presion_cilindro!N484&gt;(-F$4+Presion_cilindro!$B$34),1-EXP(-Presion_cilindro!$B$16*((Presion_cilindro!N484-(-F$4+Presion_cilindro!$B$34))/Presion_cilindro!$B$35)^(Presion_cilindro!$B$17+1)),0))/((Presion_cilindro!O484+Presion_cilindro!O485)/2)</f>
        <v>8.4606293843155296</v>
      </c>
      <c r="G493" s="27">
        <f>G492*(Presion_cilindro!O484/Presion_cilindro!O485)^Presion_cilindro!$B$9+10*(Presion_cilindro!$B$9-1)*Presion_cilindro!$B$33*(IF(Presion_cilindro!N485&gt;(-G$4+Presion_cilindro!$B$34),1-EXP(-Presion_cilindro!$B$16*((Presion_cilindro!N485-(-G$4+Presion_cilindro!$B$34))/Presion_cilindro!$B$35)^(Presion_cilindro!$B$17+1)),0)-IF(Presion_cilindro!N484&gt;(-G$4+Presion_cilindro!$B$34),1-EXP(-Presion_cilindro!$B$16*((Presion_cilindro!N484-(-G$4+Presion_cilindro!$B$34))/Presion_cilindro!$B$35)^(Presion_cilindro!$B$17+1)),0))/((Presion_cilindro!O484+Presion_cilindro!O485)/2)</f>
        <v>8.312520649004707</v>
      </c>
      <c r="H493" s="27">
        <f>H492*(Presion_cilindro!O484/Presion_cilindro!O485)^Presion_cilindro!$B$9+10*(Presion_cilindro!$B$9-1)*Presion_cilindro!$B$33*(IF(Presion_cilindro!N485&gt;(-H$4+Presion_cilindro!$B$34),1-EXP(-Presion_cilindro!$B$16*((Presion_cilindro!N485-(-H$4+Presion_cilindro!$B$34))/Presion_cilindro!$B$35)^(Presion_cilindro!$B$17+1)),0)-IF(Presion_cilindro!N484&gt;(-H$4+Presion_cilindro!$B$34),1-EXP(-Presion_cilindro!$B$16*((Presion_cilindro!N484-(-H$4+Presion_cilindro!$B$34))/Presion_cilindro!$B$35)^(Presion_cilindro!$B$17+1)),0))/((Presion_cilindro!O484+Presion_cilindro!O485)/2)</f>
        <v>8.225152813821353</v>
      </c>
      <c r="I493" s="27">
        <f>I492*(Presion_cilindro!O484/Presion_cilindro!O485)^Presion_cilindro!$B$9+10*(Presion_cilindro!$B$9-1)*Presion_cilindro!$B$33*(IF(Presion_cilindro!N485&gt;(-I$4+Presion_cilindro!$B$34),1-EXP(-Presion_cilindro!$B$16*((Presion_cilindro!N485-(-I$4+Presion_cilindro!$B$34))/Presion_cilindro!$B$35)^(Presion_cilindro!$B$17+1)),0)-IF(Presion_cilindro!N484&gt;(-I$4+Presion_cilindro!$B$34),1-EXP(-Presion_cilindro!$B$16*((Presion_cilindro!N484-(-I$4+Presion_cilindro!$B$34))/Presion_cilindro!$B$35)^(Presion_cilindro!$B$17+1)),0))/((Presion_cilindro!O484+Presion_cilindro!O485)/2)</f>
        <v>8.2041957021964169</v>
      </c>
      <c r="J493" s="27">
        <f>J492*(Presion_cilindro!O484/Presion_cilindro!O485)^Presion_cilindro!$B$9+10*(Presion_cilindro!$B$9-1)*Presion_cilindro!$B$33*(IF(Presion_cilindro!N485&gt;(-J$4+Presion_cilindro!$B$34),1-EXP(-Presion_cilindro!$B$16*((Presion_cilindro!N485-(-J$4+Presion_cilindro!$B$34))/Presion_cilindro!$B$35)^(Presion_cilindro!$B$17+1)),0)-IF(Presion_cilindro!N484&gt;(-J$4+Presion_cilindro!$B$34),1-EXP(-Presion_cilindro!$B$16*((Presion_cilindro!N484-(-J$4+Presion_cilindro!$B$34))/Presion_cilindro!$B$35)^(Presion_cilindro!$B$17+1)),0))/((Presion_cilindro!O484+Presion_cilindro!O485)/2)</f>
        <v>8.2509545889012514</v>
      </c>
      <c r="K493" s="27">
        <f>K492*(Presion_cilindro!O484/Presion_cilindro!O485)^Presion_cilindro!$B$9+10*(Presion_cilindro!$B$9-1)*Presion_cilindro!$B$33*(IF(Presion_cilindro!N485&gt;(-K$4+Presion_cilindro!$B$34),1-EXP(-Presion_cilindro!$B$16*((Presion_cilindro!N485-(-K$4+Presion_cilindro!$B$34))/Presion_cilindro!$B$35)^(Presion_cilindro!$B$17+1)),0)-IF(Presion_cilindro!N484&gt;(-K$4+Presion_cilindro!$B$34),1-EXP(-Presion_cilindro!$B$16*((Presion_cilindro!N484-(-K$4+Presion_cilindro!$B$34))/Presion_cilindro!$B$35)^(Presion_cilindro!$B$17+1)),0))/((Presion_cilindro!O484+Presion_cilindro!O485)/2)</f>
        <v>8.362144393054292</v>
      </c>
      <c r="L493" s="27">
        <f>L492*(Presion_cilindro!O484/Presion_cilindro!O485)^Presion_cilindro!$B$9+10*(Presion_cilindro!$B$9-1)*Presion_cilindro!$B$33*(IF(Presion_cilindro!N485&gt;(-L$4+Presion_cilindro!$B$34),1-EXP(-Presion_cilindro!$B$16*((Presion_cilindro!N485-(-L$4+Presion_cilindro!$B$34))/Presion_cilindro!$B$35)^(Presion_cilindro!$B$17+1)),0)-IF(Presion_cilindro!N484&gt;(-L$4+Presion_cilindro!$B$34),1-EXP(-Presion_cilindro!$B$16*((Presion_cilindro!N484-(-L$4+Presion_cilindro!$B$34))/Presion_cilindro!$B$35)^(Presion_cilindro!$B$17+1)),0))/((Presion_cilindro!O484+Presion_cilindro!O485)/2)</f>
        <v>8.5305688376759328</v>
      </c>
      <c r="M493" s="27">
        <f>M492*(Presion_cilindro!O484/Presion_cilindro!O485)^Presion_cilindro!$B$9+10*(Presion_cilindro!$B$9-1)*Presion_cilindro!$B$33*(IF(Presion_cilindro!N485&gt;(-M$4+Presion_cilindro!$B$34),1-EXP(-Presion_cilindro!$B$16*((Presion_cilindro!N485-(-M$4+Presion_cilindro!$B$34))/Presion_cilindro!$B$35)^(Presion_cilindro!$B$17+1)),0)-IF(Presion_cilindro!N484&gt;(-M$4+Presion_cilindro!$B$34),1-EXP(-Presion_cilindro!$B$16*((Presion_cilindro!N484-(-M$4+Presion_cilindro!$B$34))/Presion_cilindro!$B$35)^(Presion_cilindro!$B$17+1)),0))/((Presion_cilindro!O484+Presion_cilindro!O485)/2)</f>
        <v>8.7464483864700107</v>
      </c>
      <c r="N493" s="27">
        <f>N492*(Presion_cilindro!O484/Presion_cilindro!O485)^Presion_cilindro!$B$9+10*(Presion_cilindro!$B$9-1)*Presion_cilindro!$B$33*(IF(Presion_cilindro!N485&gt;(-N$4+Presion_cilindro!$B$34),1-EXP(-Presion_cilindro!$B$16*((Presion_cilindro!N485-(-N$4+Presion_cilindro!$B$34))/Presion_cilindro!$B$35)^(Presion_cilindro!$B$17+1)),0)-IF(Presion_cilindro!N484&gt;(-N$4+Presion_cilindro!$B$34),1-EXP(-Presion_cilindro!$B$16*((Presion_cilindro!N484-(-N$4+Presion_cilindro!$B$34))/Presion_cilindro!$B$35)^(Presion_cilindro!$B$17+1)),0))/((Presion_cilindro!O484+Presion_cilindro!O485)/2)</f>
        <v>8.9989539807698709</v>
      </c>
    </row>
    <row r="494" spans="1:14" x14ac:dyDescent="0.25">
      <c r="A494" s="21">
        <f>Presion_cilindro!N486</f>
        <v>61</v>
      </c>
      <c r="B494" s="27">
        <f>B493*(Presion_cilindro!O485/Presion_cilindro!O486)^Presion_cilindro!$B$9+10*(Presion_cilindro!$B$9-1)*Presion_cilindro!$B$33*(IF(Presion_cilindro!N486&gt;(-B$4+Presion_cilindro!$B$34),1-EXP(-Presion_cilindro!$B$16*((Presion_cilindro!N486-(-B$4+Presion_cilindro!$B$34))/Presion_cilindro!$B$35)^(Presion_cilindro!$B$17+1)),0)-IF(Presion_cilindro!N485&gt;(-B$4+Presion_cilindro!$B$34),1-EXP(-Presion_cilindro!$B$16*((Presion_cilindro!N485-(-B$4+Presion_cilindro!$B$34))/Presion_cilindro!$B$35)^(Presion_cilindro!$B$17+1)),0))/((Presion_cilindro!O485+Presion_cilindro!O486)/2)</f>
        <v>9.3198233568037079</v>
      </c>
      <c r="C494" s="27">
        <f>C493*(Presion_cilindro!O485/Presion_cilindro!O486)^Presion_cilindro!$B$9+10*(Presion_cilindro!$B$9-1)*Presion_cilindro!$B$33*(IF(Presion_cilindro!N486&gt;(-C$4+Presion_cilindro!$B$34),1-EXP(-Presion_cilindro!$B$16*((Presion_cilindro!N486-(-C$4+Presion_cilindro!$B$34))/Presion_cilindro!$B$35)^(Presion_cilindro!$B$17+1)),0)-IF(Presion_cilindro!N485&gt;(-C$4+Presion_cilindro!$B$34),1-EXP(-Presion_cilindro!$B$16*((Presion_cilindro!N485-(-C$4+Presion_cilindro!$B$34))/Presion_cilindro!$B$35)^(Presion_cilindro!$B$17+1)),0))/((Presion_cilindro!O485+Presion_cilindro!O486)/2)</f>
        <v>9.0452898092711038</v>
      </c>
      <c r="D494" s="27">
        <f>D493*(Presion_cilindro!O485/Presion_cilindro!O486)^Presion_cilindro!$B$9+10*(Presion_cilindro!$B$9-1)*Presion_cilindro!$B$33*(IF(Presion_cilindro!N486&gt;(-D$4+Presion_cilindro!$B$34),1-EXP(-Presion_cilindro!$B$16*((Presion_cilindro!N486-(-D$4+Presion_cilindro!$B$34))/Presion_cilindro!$B$35)^(Presion_cilindro!$B$17+1)),0)-IF(Presion_cilindro!N485&gt;(-D$4+Presion_cilindro!$B$34),1-EXP(-Presion_cilindro!$B$16*((Presion_cilindro!N485-(-D$4+Presion_cilindro!$B$34))/Presion_cilindro!$B$35)^(Presion_cilindro!$B$17+1)),0))/((Presion_cilindro!O485+Presion_cilindro!O486)/2)</f>
        <v>8.7798721659464238</v>
      </c>
      <c r="E494" s="27">
        <f>E493*(Presion_cilindro!O485/Presion_cilindro!O486)^Presion_cilindro!$B$9+10*(Presion_cilindro!$B$9-1)*Presion_cilindro!$B$33*(IF(Presion_cilindro!N486&gt;(-E$4+Presion_cilindro!$B$34),1-EXP(-Presion_cilindro!$B$16*((Presion_cilindro!N486-(-E$4+Presion_cilindro!$B$34))/Presion_cilindro!$B$35)^(Presion_cilindro!$B$17+1)),0)-IF(Presion_cilindro!N485&gt;(-E$4+Presion_cilindro!$B$34),1-EXP(-Presion_cilindro!$B$16*((Presion_cilindro!N485-(-E$4+Presion_cilindro!$B$34))/Presion_cilindro!$B$35)^(Presion_cilindro!$B$17+1)),0))/((Presion_cilindro!O485+Presion_cilindro!O486)/2)</f>
        <v>8.5424321110274519</v>
      </c>
      <c r="F494" s="27">
        <f>F493*(Presion_cilindro!O485/Presion_cilindro!O486)^Presion_cilindro!$B$9+10*(Presion_cilindro!$B$9-1)*Presion_cilindro!$B$33*(IF(Presion_cilindro!N486&gt;(-F$4+Presion_cilindro!$B$34),1-EXP(-Presion_cilindro!$B$16*((Presion_cilindro!N486-(-F$4+Presion_cilindro!$B$34))/Presion_cilindro!$B$35)^(Presion_cilindro!$B$17+1)),0)-IF(Presion_cilindro!N485&gt;(-F$4+Presion_cilindro!$B$34),1-EXP(-Presion_cilindro!$B$16*((Presion_cilindro!N485-(-F$4+Presion_cilindro!$B$34))/Presion_cilindro!$B$35)^(Presion_cilindro!$B$17+1)),0))/((Presion_cilindro!O485+Presion_cilindro!O486)/2)</f>
        <v>8.3452889459678907</v>
      </c>
      <c r="G494" s="27">
        <f>G493*(Presion_cilindro!O485/Presion_cilindro!O486)^Presion_cilindro!$B$9+10*(Presion_cilindro!$B$9-1)*Presion_cilindro!$B$33*(IF(Presion_cilindro!N486&gt;(-G$4+Presion_cilindro!$B$34),1-EXP(-Presion_cilindro!$B$16*((Presion_cilindro!N486-(-G$4+Presion_cilindro!$B$34))/Presion_cilindro!$B$35)^(Presion_cilindro!$B$17+1)),0)-IF(Presion_cilindro!N485&gt;(-G$4+Presion_cilindro!$B$34),1-EXP(-Presion_cilindro!$B$16*((Presion_cilindro!N485-(-G$4+Presion_cilindro!$B$34))/Presion_cilindro!$B$35)^(Presion_cilindro!$B$17+1)),0))/((Presion_cilindro!O485+Presion_cilindro!O486)/2)</f>
        <v>8.1991990974671491</v>
      </c>
      <c r="H494" s="27">
        <f>H493*(Presion_cilindro!O485/Presion_cilindro!O486)^Presion_cilindro!$B$9+10*(Presion_cilindro!$B$9-1)*Presion_cilindro!$B$33*(IF(Presion_cilindro!N486&gt;(-H$4+Presion_cilindro!$B$34),1-EXP(-Presion_cilindro!$B$16*((Presion_cilindro!N486-(-H$4+Presion_cilindro!$B$34))/Presion_cilindro!$B$35)^(Presion_cilindro!$B$17+1)),0)-IF(Presion_cilindro!N485&gt;(-H$4+Presion_cilindro!$B$34),1-EXP(-Presion_cilindro!$B$16*((Presion_cilindro!N485-(-H$4+Presion_cilindro!$B$34))/Presion_cilindro!$B$35)^(Presion_cilindro!$B$17+1)),0))/((Presion_cilindro!O485+Presion_cilindro!O486)/2)</f>
        <v>8.1130223086337914</v>
      </c>
      <c r="I494" s="27">
        <f>I493*(Presion_cilindro!O485/Presion_cilindro!O486)^Presion_cilindro!$B$9+10*(Presion_cilindro!$B$9-1)*Presion_cilindro!$B$33*(IF(Presion_cilindro!N486&gt;(-I$4+Presion_cilindro!$B$34),1-EXP(-Presion_cilindro!$B$16*((Presion_cilindro!N486-(-I$4+Presion_cilindro!$B$34))/Presion_cilindro!$B$35)^(Presion_cilindro!$B$17+1)),0)-IF(Presion_cilindro!N485&gt;(-I$4+Presion_cilindro!$B$34),1-EXP(-Presion_cilindro!$B$16*((Presion_cilindro!N485-(-I$4+Presion_cilindro!$B$34))/Presion_cilindro!$B$35)^(Presion_cilindro!$B$17+1)),0))/((Presion_cilindro!O485+Presion_cilindro!O486)/2)</f>
        <v>8.0923508975103289</v>
      </c>
      <c r="J494" s="27">
        <f>J493*(Presion_cilindro!O485/Presion_cilindro!O486)^Presion_cilindro!$B$9+10*(Presion_cilindro!$B$9-1)*Presion_cilindro!$B$33*(IF(Presion_cilindro!N486&gt;(-J$4+Presion_cilindro!$B$34),1-EXP(-Presion_cilindro!$B$16*((Presion_cilindro!N486-(-J$4+Presion_cilindro!$B$34))/Presion_cilindro!$B$35)^(Presion_cilindro!$B$17+1)),0)-IF(Presion_cilindro!N485&gt;(-J$4+Presion_cilindro!$B$34),1-EXP(-Presion_cilindro!$B$16*((Presion_cilindro!N485-(-J$4+Presion_cilindro!$B$34))/Presion_cilindro!$B$35)^(Presion_cilindro!$B$17+1)),0))/((Presion_cilindro!O485+Presion_cilindro!O486)/2)</f>
        <v>8.1384723373824155</v>
      </c>
      <c r="K494" s="27">
        <f>K493*(Presion_cilindro!O485/Presion_cilindro!O486)^Presion_cilindro!$B$9+10*(Presion_cilindro!$B$9-1)*Presion_cilindro!$B$33*(IF(Presion_cilindro!N486&gt;(-K$4+Presion_cilindro!$B$34),1-EXP(-Presion_cilindro!$B$16*((Presion_cilindro!N486-(-K$4+Presion_cilindro!$B$34))/Presion_cilindro!$B$35)^(Presion_cilindro!$B$17+1)),0)-IF(Presion_cilindro!N485&gt;(-K$4+Presion_cilindro!$B$34),1-EXP(-Presion_cilindro!$B$16*((Presion_cilindro!N485-(-K$4+Presion_cilindro!$B$34))/Presion_cilindro!$B$35)^(Presion_cilindro!$B$17+1)),0))/((Presion_cilindro!O485+Presion_cilindro!O486)/2)</f>
        <v>8.2481463315303944</v>
      </c>
      <c r="L494" s="27">
        <f>L493*(Presion_cilindro!O485/Presion_cilindro!O486)^Presion_cilindro!$B$9+10*(Presion_cilindro!$B$9-1)*Presion_cilindro!$B$33*(IF(Presion_cilindro!N486&gt;(-L$4+Presion_cilindro!$B$34),1-EXP(-Presion_cilindro!$B$16*((Presion_cilindro!N486-(-L$4+Presion_cilindro!$B$34))/Presion_cilindro!$B$35)^(Presion_cilindro!$B$17+1)),0)-IF(Presion_cilindro!N485&gt;(-L$4+Presion_cilindro!$B$34),1-EXP(-Presion_cilindro!$B$16*((Presion_cilindro!N485-(-L$4+Presion_cilindro!$B$34))/Presion_cilindro!$B$35)^(Presion_cilindro!$B$17+1)),0))/((Presion_cilindro!O485+Presion_cilindro!O486)/2)</f>
        <v>8.4142747071896213</v>
      </c>
      <c r="M494" s="27">
        <f>M493*(Presion_cilindro!O485/Presion_cilindro!O486)^Presion_cilindro!$B$9+10*(Presion_cilindro!$B$9-1)*Presion_cilindro!$B$33*(IF(Presion_cilindro!N486&gt;(-M$4+Presion_cilindro!$B$34),1-EXP(-Presion_cilindro!$B$16*((Presion_cilindro!N486-(-M$4+Presion_cilindro!$B$34))/Presion_cilindro!$B$35)^(Presion_cilindro!$B$17+1)),0)-IF(Presion_cilindro!N485&gt;(-M$4+Presion_cilindro!$B$34),1-EXP(-Presion_cilindro!$B$16*((Presion_cilindro!N485-(-M$4+Presion_cilindro!$B$34))/Presion_cilindro!$B$35)^(Presion_cilindro!$B$17+1)),0))/((Presion_cilindro!O485+Presion_cilindro!O486)/2)</f>
        <v>8.6272112489117792</v>
      </c>
      <c r="N494" s="27">
        <f>N493*(Presion_cilindro!O485/Presion_cilindro!O486)^Presion_cilindro!$B$9+10*(Presion_cilindro!$B$9-1)*Presion_cilindro!$B$33*(IF(Presion_cilindro!N486&gt;(-N$4+Presion_cilindro!$B$34),1-EXP(-Presion_cilindro!$B$16*((Presion_cilindro!N486-(-N$4+Presion_cilindro!$B$34))/Presion_cilindro!$B$35)^(Presion_cilindro!$B$17+1)),0)-IF(Presion_cilindro!N485&gt;(-N$4+Presion_cilindro!$B$34),1-EXP(-Presion_cilindro!$B$16*((Presion_cilindro!N485-(-N$4+Presion_cilindro!$B$34))/Presion_cilindro!$B$35)^(Presion_cilindro!$B$17+1)),0))/((Presion_cilindro!O485+Presion_cilindro!O486)/2)</f>
        <v>8.8762745266333667</v>
      </c>
    </row>
    <row r="495" spans="1:14" x14ac:dyDescent="0.25">
      <c r="A495" s="21">
        <f>Presion_cilindro!N487</f>
        <v>61.5</v>
      </c>
      <c r="B495" s="27">
        <f>B494*(Presion_cilindro!O486/Presion_cilindro!O487)^Presion_cilindro!$B$9+10*(Presion_cilindro!$B$9-1)*Presion_cilindro!$B$33*(IF(Presion_cilindro!N487&gt;(-B$4+Presion_cilindro!$B$34),1-EXP(-Presion_cilindro!$B$16*((Presion_cilindro!N487-(-B$4+Presion_cilindro!$B$34))/Presion_cilindro!$B$35)^(Presion_cilindro!$B$17+1)),0)-IF(Presion_cilindro!N486&gt;(-B$4+Presion_cilindro!$B$34),1-EXP(-Presion_cilindro!$B$16*((Presion_cilindro!N486-(-B$4+Presion_cilindro!$B$34))/Presion_cilindro!$B$35)^(Presion_cilindro!$B$17+1)),0))/((Presion_cilindro!O486+Presion_cilindro!O487)/2)</f>
        <v>9.1960122450634927</v>
      </c>
      <c r="C495" s="27">
        <f>C494*(Presion_cilindro!O486/Presion_cilindro!O487)^Presion_cilindro!$B$9+10*(Presion_cilindro!$B$9-1)*Presion_cilindro!$B$33*(IF(Presion_cilindro!N487&gt;(-C$4+Presion_cilindro!$B$34),1-EXP(-Presion_cilindro!$B$16*((Presion_cilindro!N487-(-C$4+Presion_cilindro!$B$34))/Presion_cilindro!$B$35)^(Presion_cilindro!$B$17+1)),0)-IF(Presion_cilindro!N486&gt;(-C$4+Presion_cilindro!$B$34),1-EXP(-Presion_cilindro!$B$16*((Presion_cilindro!N486-(-C$4+Presion_cilindro!$B$34))/Presion_cilindro!$B$35)^(Presion_cilindro!$B$17+1)),0))/((Presion_cilindro!O486+Presion_cilindro!O487)/2)</f>
        <v>8.9232654573893981</v>
      </c>
      <c r="D495" s="27">
        <f>D494*(Presion_cilindro!O486/Presion_cilindro!O487)^Presion_cilindro!$B$9+10*(Presion_cilindro!$B$9-1)*Presion_cilindro!$B$33*(IF(Presion_cilindro!N487&gt;(-D$4+Presion_cilindro!$B$34),1-EXP(-Presion_cilindro!$B$16*((Presion_cilindro!N487-(-D$4+Presion_cilindro!$B$34))/Presion_cilindro!$B$35)^(Presion_cilindro!$B$17+1)),0)-IF(Presion_cilindro!N486&gt;(-D$4+Presion_cilindro!$B$34),1-EXP(-Presion_cilindro!$B$16*((Presion_cilindro!N486-(-D$4+Presion_cilindro!$B$34))/Presion_cilindro!$B$35)^(Presion_cilindro!$B$17+1)),0))/((Presion_cilindro!O486+Presion_cilindro!O487)/2)</f>
        <v>8.6610972395901413</v>
      </c>
      <c r="E495" s="27">
        <f>E494*(Presion_cilindro!O486/Presion_cilindro!O487)^Presion_cilindro!$B$9+10*(Presion_cilindro!$B$9-1)*Presion_cilindro!$B$33*(IF(Presion_cilindro!N487&gt;(-E$4+Presion_cilindro!$B$34),1-EXP(-Presion_cilindro!$B$16*((Presion_cilindro!N487-(-E$4+Presion_cilindro!$B$34))/Presion_cilindro!$B$35)^(Presion_cilindro!$B$17+1)),0)-IF(Presion_cilindro!N486&gt;(-E$4+Presion_cilindro!$B$34),1-EXP(-Presion_cilindro!$B$16*((Presion_cilindro!N486-(-E$4+Presion_cilindro!$B$34))/Presion_cilindro!$B$35)^(Presion_cilindro!$B$17+1)),0))/((Presion_cilindro!O486+Presion_cilindro!O487)/2)</f>
        <v>8.4268295570955942</v>
      </c>
      <c r="F495" s="27">
        <f>F494*(Presion_cilindro!O486/Presion_cilindro!O487)^Presion_cilindro!$B$9+10*(Presion_cilindro!$B$9-1)*Presion_cilindro!$B$33*(IF(Presion_cilindro!N487&gt;(-F$4+Presion_cilindro!$B$34),1-EXP(-Presion_cilindro!$B$16*((Presion_cilindro!N487-(-F$4+Presion_cilindro!$B$34))/Presion_cilindro!$B$35)^(Presion_cilindro!$B$17+1)),0)-IF(Presion_cilindro!N486&gt;(-F$4+Presion_cilindro!$B$34),1-EXP(-Presion_cilindro!$B$16*((Presion_cilindro!N486-(-F$4+Presion_cilindro!$B$34))/Presion_cilindro!$B$35)^(Presion_cilindro!$B$17+1)),0))/((Presion_cilindro!O486+Presion_cilindro!O487)/2)</f>
        <v>8.2323511409267418</v>
      </c>
      <c r="G495" s="27">
        <f>G494*(Presion_cilindro!O486/Presion_cilindro!O487)^Presion_cilindro!$B$9+10*(Presion_cilindro!$B$9-1)*Presion_cilindro!$B$33*(IF(Presion_cilindro!N487&gt;(-G$4+Presion_cilindro!$B$34),1-EXP(-Presion_cilindro!$B$16*((Presion_cilindro!N487-(-G$4+Presion_cilindro!$B$34))/Presion_cilindro!$B$35)^(Presion_cilindro!$B$17+1)),0)-IF(Presion_cilindro!N486&gt;(-G$4+Presion_cilindro!$B$34),1-EXP(-Presion_cilindro!$B$16*((Presion_cilindro!N486-(-G$4+Presion_cilindro!$B$34))/Presion_cilindro!$B$35)^(Presion_cilindro!$B$17+1)),0))/((Presion_cilindro!O486+Presion_cilindro!O487)/2)</f>
        <v>8.0882381847982305</v>
      </c>
      <c r="H495" s="27">
        <f>H494*(Presion_cilindro!O486/Presion_cilindro!O487)^Presion_cilindro!$B$9+10*(Presion_cilindro!$B$9-1)*Presion_cilindro!$B$33*(IF(Presion_cilindro!N487&gt;(-H$4+Presion_cilindro!$B$34),1-EXP(-Presion_cilindro!$B$16*((Presion_cilindro!N487-(-H$4+Presion_cilindro!$B$34))/Presion_cilindro!$B$35)^(Presion_cilindro!$B$17+1)),0)-IF(Presion_cilindro!N486&gt;(-H$4+Presion_cilindro!$B$34),1-EXP(-Presion_cilindro!$B$16*((Presion_cilindro!N486-(-H$4+Presion_cilindro!$B$34))/Presion_cilindro!$B$35)^(Presion_cilindro!$B$17+1)),0))/((Presion_cilindro!O486+Presion_cilindro!O487)/2)</f>
        <v>8.0032276334991739</v>
      </c>
      <c r="I495" s="27">
        <f>I494*(Presion_cilindro!O486/Presion_cilindro!O487)^Presion_cilindro!$B$9+10*(Presion_cilindro!$B$9-1)*Presion_cilindro!$B$33*(IF(Presion_cilindro!N487&gt;(-I$4+Presion_cilindro!$B$34),1-EXP(-Presion_cilindro!$B$16*((Presion_cilindro!N487-(-I$4+Presion_cilindro!$B$34))/Presion_cilindro!$B$35)^(Presion_cilindro!$B$17+1)),0)-IF(Presion_cilindro!N486&gt;(-I$4+Presion_cilindro!$B$34),1-EXP(-Presion_cilindro!$B$16*((Presion_cilindro!N486-(-I$4+Presion_cilindro!$B$34))/Presion_cilindro!$B$35)^(Presion_cilindro!$B$17+1)),0))/((Presion_cilindro!O486+Presion_cilindro!O487)/2)</f>
        <v>7.9828359714004957</v>
      </c>
      <c r="J495" s="27">
        <f>J494*(Presion_cilindro!O486/Presion_cilindro!O487)^Presion_cilindro!$B$9+10*(Presion_cilindro!$B$9-1)*Presion_cilindro!$B$33*(IF(Presion_cilindro!N487&gt;(-J$4+Presion_cilindro!$B$34),1-EXP(-Presion_cilindro!$B$16*((Presion_cilindro!N487-(-J$4+Presion_cilindro!$B$34))/Presion_cilindro!$B$35)^(Presion_cilindro!$B$17+1)),0)-IF(Presion_cilindro!N486&gt;(-J$4+Presion_cilindro!$B$34),1-EXP(-Presion_cilindro!$B$16*((Presion_cilindro!N486-(-J$4+Presion_cilindro!$B$34))/Presion_cilindro!$B$35)^(Presion_cilindro!$B$17+1)),0))/((Presion_cilindro!O486+Presion_cilindro!O487)/2)</f>
        <v>8.0283332433203238</v>
      </c>
      <c r="K495" s="27">
        <f>K494*(Presion_cilindro!O486/Presion_cilindro!O487)^Presion_cilindro!$B$9+10*(Presion_cilindro!$B$9-1)*Presion_cilindro!$B$33*(IF(Presion_cilindro!N487&gt;(-K$4+Presion_cilindro!$B$34),1-EXP(-Presion_cilindro!$B$16*((Presion_cilindro!N487-(-K$4+Presion_cilindro!$B$34))/Presion_cilindro!$B$35)^(Presion_cilindro!$B$17+1)),0)-IF(Presion_cilindro!N486&gt;(-K$4+Presion_cilindro!$B$34),1-EXP(-Presion_cilindro!$B$16*((Presion_cilindro!N486-(-K$4+Presion_cilindro!$B$34))/Presion_cilindro!$B$35)^(Presion_cilindro!$B$17+1)),0))/((Presion_cilindro!O486+Presion_cilindro!O487)/2)</f>
        <v>8.1365230038361265</v>
      </c>
      <c r="L495" s="27">
        <f>L494*(Presion_cilindro!O486/Presion_cilindro!O487)^Presion_cilindro!$B$9+10*(Presion_cilindro!$B$9-1)*Presion_cilindro!$B$33*(IF(Presion_cilindro!N487&gt;(-L$4+Presion_cilindro!$B$34),1-EXP(-Presion_cilindro!$B$16*((Presion_cilindro!N487-(-L$4+Presion_cilindro!$B$34))/Presion_cilindro!$B$35)^(Presion_cilindro!$B$17+1)),0)-IF(Presion_cilindro!N486&gt;(-L$4+Presion_cilindro!$B$34),1-EXP(-Presion_cilindro!$B$16*((Presion_cilindro!N486-(-L$4+Presion_cilindro!$B$34))/Presion_cilindro!$B$35)^(Presion_cilindro!$B$17+1)),0))/((Presion_cilindro!O486+Presion_cilindro!O487)/2)</f>
        <v>8.3004031407553782</v>
      </c>
      <c r="M495" s="27">
        <f>M494*(Presion_cilindro!O486/Presion_cilindro!O487)^Presion_cilindro!$B$9+10*(Presion_cilindro!$B$9-1)*Presion_cilindro!$B$33*(IF(Presion_cilindro!N487&gt;(-M$4+Presion_cilindro!$B$34),1-EXP(-Presion_cilindro!$B$16*((Presion_cilindro!N487-(-M$4+Presion_cilindro!$B$34))/Presion_cilindro!$B$35)^(Presion_cilindro!$B$17+1)),0)-IF(Presion_cilindro!N486&gt;(-M$4+Presion_cilindro!$B$34),1-EXP(-Presion_cilindro!$B$16*((Presion_cilindro!N486-(-M$4+Presion_cilindro!$B$34))/Presion_cilindro!$B$35)^(Presion_cilindro!$B$17+1)),0))/((Presion_cilindro!O486+Presion_cilindro!O487)/2)</f>
        <v>8.5104579822240041</v>
      </c>
      <c r="N495" s="27">
        <f>N494*(Presion_cilindro!O486/Presion_cilindro!O487)^Presion_cilindro!$B$9+10*(Presion_cilindro!$B$9-1)*Presion_cilindro!$B$33*(IF(Presion_cilindro!N487&gt;(-N$4+Presion_cilindro!$B$34),1-EXP(-Presion_cilindro!$B$16*((Presion_cilindro!N487-(-N$4+Presion_cilindro!$B$34))/Presion_cilindro!$B$35)^(Presion_cilindro!$B$17+1)),0)-IF(Presion_cilindro!N486&gt;(-N$4+Presion_cilindro!$B$34),1-EXP(-Presion_cilindro!$B$16*((Presion_cilindro!N486-(-N$4+Presion_cilindro!$B$34))/Presion_cilindro!$B$35)^(Presion_cilindro!$B$17+1)),0))/((Presion_cilindro!O486+Presion_cilindro!O487)/2)</f>
        <v>8.7561506514781531</v>
      </c>
    </row>
    <row r="496" spans="1:14" x14ac:dyDescent="0.25">
      <c r="A496" s="21">
        <f>Presion_cilindro!N488</f>
        <v>62</v>
      </c>
      <c r="B496" s="27">
        <f>B495*(Presion_cilindro!O487/Presion_cilindro!O488)^Presion_cilindro!$B$9+10*(Presion_cilindro!$B$9-1)*Presion_cilindro!$B$33*(IF(Presion_cilindro!N488&gt;(-B$4+Presion_cilindro!$B$34),1-EXP(-Presion_cilindro!$B$16*((Presion_cilindro!N488-(-B$4+Presion_cilindro!$B$34))/Presion_cilindro!$B$35)^(Presion_cilindro!$B$17+1)),0)-IF(Presion_cilindro!N487&gt;(-B$4+Presion_cilindro!$B$34),1-EXP(-Presion_cilindro!$B$16*((Presion_cilindro!N487-(-B$4+Presion_cilindro!$B$34))/Presion_cilindro!$B$35)^(Presion_cilindro!$B$17+1)),0))/((Presion_cilindro!O487+Presion_cilindro!O488)/2)</f>
        <v>9.0744219249844509</v>
      </c>
      <c r="C496" s="27">
        <f>C495*(Presion_cilindro!O487/Presion_cilindro!O488)^Presion_cilindro!$B$9+10*(Presion_cilindro!$B$9-1)*Presion_cilindro!$B$33*(IF(Presion_cilindro!N488&gt;(-C$4+Presion_cilindro!$B$34),1-EXP(-Presion_cilindro!$B$16*((Presion_cilindro!N488-(-C$4+Presion_cilindro!$B$34))/Presion_cilindro!$B$35)^(Presion_cilindro!$B$17+1)),0)-IF(Presion_cilindro!N487&gt;(-C$4+Presion_cilindro!$B$34),1-EXP(-Presion_cilindro!$B$16*((Presion_cilindro!N487-(-C$4+Presion_cilindro!$B$34))/Presion_cilindro!$B$35)^(Presion_cilindro!$B$17+1)),0))/((Presion_cilindro!O487+Presion_cilindro!O488)/2)</f>
        <v>8.8037053142029418</v>
      </c>
      <c r="D496" s="27">
        <f>D495*(Presion_cilindro!O487/Presion_cilindro!O488)^Presion_cilindro!$B$9+10*(Presion_cilindro!$B$9-1)*Presion_cilindro!$B$33*(IF(Presion_cilindro!N488&gt;(-D$4+Presion_cilindro!$B$34),1-EXP(-Presion_cilindro!$B$16*((Presion_cilindro!N488-(-D$4+Presion_cilindro!$B$34))/Presion_cilindro!$B$35)^(Presion_cilindro!$B$17+1)),0)-IF(Presion_cilindro!N487&gt;(-D$4+Presion_cilindro!$B$34),1-EXP(-Presion_cilindro!$B$16*((Presion_cilindro!N487-(-D$4+Presion_cilindro!$B$34))/Presion_cilindro!$B$35)^(Presion_cilindro!$B$17+1)),0))/((Presion_cilindro!O487+Presion_cilindro!O488)/2)</f>
        <v>8.5447798486558284</v>
      </c>
      <c r="E496" s="27">
        <f>E495*(Presion_cilindro!O487/Presion_cilindro!O488)^Presion_cilindro!$B$9+10*(Presion_cilindro!$B$9-1)*Presion_cilindro!$B$33*(IF(Presion_cilindro!N488&gt;(-E$4+Presion_cilindro!$B$34),1-EXP(-Presion_cilindro!$B$16*((Presion_cilindro!N488-(-E$4+Presion_cilindro!$B$34))/Presion_cilindro!$B$35)^(Presion_cilindro!$B$17+1)),0)-IF(Presion_cilindro!N487&gt;(-E$4+Presion_cilindro!$B$34),1-EXP(-Presion_cilindro!$B$16*((Presion_cilindro!N487-(-E$4+Presion_cilindro!$B$34))/Presion_cilindro!$B$35)^(Presion_cilindro!$B$17+1)),0))/((Presion_cilindro!O487+Presion_cilindro!O488)/2)</f>
        <v>8.3136272524432435</v>
      </c>
      <c r="F496" s="27">
        <f>F495*(Presion_cilindro!O487/Presion_cilindro!O488)^Presion_cilindro!$B$9+10*(Presion_cilindro!$B$9-1)*Presion_cilindro!$B$33*(IF(Presion_cilindro!N488&gt;(-F$4+Presion_cilindro!$B$34),1-EXP(-Presion_cilindro!$B$16*((Presion_cilindro!N488-(-F$4+Presion_cilindro!$B$34))/Presion_cilindro!$B$35)^(Presion_cilindro!$B$17+1)),0)-IF(Presion_cilindro!N487&gt;(-F$4+Presion_cilindro!$B$34),1-EXP(-Presion_cilindro!$B$16*((Presion_cilindro!N487-(-F$4+Presion_cilindro!$B$34))/Presion_cilindro!$B$35)^(Presion_cilindro!$B$17+1)),0))/((Presion_cilindro!O487+Presion_cilindro!O488)/2)</f>
        <v>8.1217590208831698</v>
      </c>
      <c r="G496" s="27">
        <f>G495*(Presion_cilindro!O487/Presion_cilindro!O488)^Presion_cilindro!$B$9+10*(Presion_cilindro!$B$9-1)*Presion_cilindro!$B$33*(IF(Presion_cilindro!N488&gt;(-G$4+Presion_cilindro!$B$34),1-EXP(-Presion_cilindro!$B$16*((Presion_cilindro!N488-(-G$4+Presion_cilindro!$B$34))/Presion_cilindro!$B$35)^(Presion_cilindro!$B$17+1)),0)-IF(Presion_cilindro!N487&gt;(-G$4+Presion_cilindro!$B$34),1-EXP(-Presion_cilindro!$B$16*((Presion_cilindro!N487-(-G$4+Presion_cilindro!$B$34))/Presion_cilindro!$B$35)^(Presion_cilindro!$B$17+1)),0))/((Presion_cilindro!O487+Presion_cilindro!O488)/2)</f>
        <v>7.9795819417422829</v>
      </c>
      <c r="H496" s="27">
        <f>H495*(Presion_cilindro!O487/Presion_cilindro!O488)^Presion_cilindro!$B$9+10*(Presion_cilindro!$B$9-1)*Presion_cilindro!$B$33*(IF(Presion_cilindro!N488&gt;(-H$4+Presion_cilindro!$B$34),1-EXP(-Presion_cilindro!$B$16*((Presion_cilindro!N488-(-H$4+Presion_cilindro!$B$34))/Presion_cilindro!$B$35)^(Presion_cilindro!$B$17+1)),0)-IF(Presion_cilindro!N487&gt;(-H$4+Presion_cilindro!$B$34),1-EXP(-Presion_cilindro!$B$16*((Presion_cilindro!N487-(-H$4+Presion_cilindro!$B$34))/Presion_cilindro!$B$35)^(Presion_cilindro!$B$17+1)),0))/((Presion_cilindro!O487+Presion_cilindro!O488)/2)</f>
        <v>7.8957134066730896</v>
      </c>
      <c r="I496" s="27">
        <f>I495*(Presion_cilindro!O487/Presion_cilindro!O488)^Presion_cilindro!$B$9+10*(Presion_cilindro!$B$9-1)*Presion_cilindro!$B$33*(IF(Presion_cilindro!N488&gt;(-I$4+Presion_cilindro!$B$34),1-EXP(-Presion_cilindro!$B$16*((Presion_cilindro!N488-(-I$4+Presion_cilindro!$B$34))/Presion_cilindro!$B$35)^(Presion_cilindro!$B$17+1)),0)-IF(Presion_cilindro!N487&gt;(-I$4+Presion_cilindro!$B$34),1-EXP(-Presion_cilindro!$B$16*((Presion_cilindro!N487-(-I$4+Presion_cilindro!$B$34))/Presion_cilindro!$B$35)^(Presion_cilindro!$B$17+1)),0))/((Presion_cilindro!O487+Presion_cilindro!O488)/2)</f>
        <v>7.8755956832126577</v>
      </c>
      <c r="J496" s="27">
        <f>J495*(Presion_cilindro!O487/Presion_cilindro!O488)^Presion_cilindro!$B$9+10*(Presion_cilindro!$B$9-1)*Presion_cilindro!$B$33*(IF(Presion_cilindro!N488&gt;(-J$4+Presion_cilindro!$B$34),1-EXP(-Presion_cilindro!$B$16*((Presion_cilindro!N488-(-J$4+Presion_cilindro!$B$34))/Presion_cilindro!$B$35)^(Presion_cilindro!$B$17+1)),0)-IF(Presion_cilindro!N487&gt;(-J$4+Presion_cilindro!$B$34),1-EXP(-Presion_cilindro!$B$16*((Presion_cilindro!N487-(-J$4+Presion_cilindro!$B$34))/Presion_cilindro!$B$35)^(Presion_cilindro!$B$17+1)),0))/((Presion_cilindro!O487+Presion_cilindro!O488)/2)</f>
        <v>7.9204817512225771</v>
      </c>
      <c r="K496" s="27">
        <f>K495*(Presion_cilindro!O487/Presion_cilindro!O488)^Presion_cilindro!$B$9+10*(Presion_cilindro!$B$9-1)*Presion_cilindro!$B$33*(IF(Presion_cilindro!N488&gt;(-K$4+Presion_cilindro!$B$34),1-EXP(-Presion_cilindro!$B$16*((Presion_cilindro!N488-(-K$4+Presion_cilindro!$B$34))/Presion_cilindro!$B$35)^(Presion_cilindro!$B$17+1)),0)-IF(Presion_cilindro!N487&gt;(-K$4+Presion_cilindro!$B$34),1-EXP(-Presion_cilindro!$B$16*((Presion_cilindro!N487-(-K$4+Presion_cilindro!$B$34))/Presion_cilindro!$B$35)^(Presion_cilindro!$B$17+1)),0))/((Presion_cilindro!O487+Presion_cilindro!O488)/2)</f>
        <v>8.0272181058136738</v>
      </c>
      <c r="L496" s="27">
        <f>L495*(Presion_cilindro!O487/Presion_cilindro!O488)^Presion_cilindro!$B$9+10*(Presion_cilindro!$B$9-1)*Presion_cilindro!$B$33*(IF(Presion_cilindro!N488&gt;(-L$4+Presion_cilindro!$B$34),1-EXP(-Presion_cilindro!$B$16*((Presion_cilindro!N488-(-L$4+Presion_cilindro!$B$34))/Presion_cilindro!$B$35)^(Presion_cilindro!$B$17+1)),0)-IF(Presion_cilindro!N487&gt;(-L$4+Presion_cilindro!$B$34),1-EXP(-Presion_cilindro!$B$16*((Presion_cilindro!N487-(-L$4+Presion_cilindro!$B$34))/Presion_cilindro!$B$35)^(Presion_cilindro!$B$17+1)),0))/((Presion_cilindro!O487+Presion_cilindro!O488)/2)</f>
        <v>8.1888967001765511</v>
      </c>
      <c r="M496" s="27">
        <f>M495*(Presion_cilindro!O487/Presion_cilindro!O488)^Presion_cilindro!$B$9+10*(Presion_cilindro!$B$9-1)*Presion_cilindro!$B$33*(IF(Presion_cilindro!N488&gt;(-M$4+Presion_cilindro!$B$34),1-EXP(-Presion_cilindro!$B$16*((Presion_cilindro!N488-(-M$4+Presion_cilindro!$B$34))/Presion_cilindro!$B$35)^(Presion_cilindro!$B$17+1)),0)-IF(Presion_cilindro!N487&gt;(-M$4+Presion_cilindro!$B$34),1-EXP(-Presion_cilindro!$B$16*((Presion_cilindro!N487-(-M$4+Presion_cilindro!$B$34))/Presion_cilindro!$B$35)^(Presion_cilindro!$B$17+1)),0))/((Presion_cilindro!O487+Presion_cilindro!O488)/2)</f>
        <v>8.3961296946455395</v>
      </c>
      <c r="N496" s="27">
        <f>N495*(Presion_cilindro!O487/Presion_cilindro!O488)^Presion_cilindro!$B$9+10*(Presion_cilindro!$B$9-1)*Presion_cilindro!$B$33*(IF(Presion_cilindro!N488&gt;(-N$4+Presion_cilindro!$B$34),1-EXP(-Presion_cilindro!$B$16*((Presion_cilindro!N488-(-N$4+Presion_cilindro!$B$34))/Presion_cilindro!$B$35)^(Presion_cilindro!$B$17+1)),0)-IF(Presion_cilindro!N487&gt;(-N$4+Presion_cilindro!$B$34),1-EXP(-Presion_cilindro!$B$16*((Presion_cilindro!N487-(-N$4+Presion_cilindro!$B$34))/Presion_cilindro!$B$35)^(Presion_cilindro!$B$17+1)),0))/((Presion_cilindro!O487+Presion_cilindro!O488)/2)</f>
        <v>8.6385217633673683</v>
      </c>
    </row>
    <row r="497" spans="1:14" x14ac:dyDescent="0.25">
      <c r="A497" s="21">
        <f>Presion_cilindro!N489</f>
        <v>62.5</v>
      </c>
      <c r="B497" s="27">
        <f>B496*(Presion_cilindro!O488/Presion_cilindro!O489)^Presion_cilindro!$B$9+10*(Presion_cilindro!$B$9-1)*Presion_cilindro!$B$33*(IF(Presion_cilindro!N489&gt;(-B$4+Presion_cilindro!$B$34),1-EXP(-Presion_cilindro!$B$16*((Presion_cilindro!N489-(-B$4+Presion_cilindro!$B$34))/Presion_cilindro!$B$35)^(Presion_cilindro!$B$17+1)),0)-IF(Presion_cilindro!N488&gt;(-B$4+Presion_cilindro!$B$34),1-EXP(-Presion_cilindro!$B$16*((Presion_cilindro!N488-(-B$4+Presion_cilindro!$B$34))/Presion_cilindro!$B$35)^(Presion_cilindro!$B$17+1)),0))/((Presion_cilindro!O488+Presion_cilindro!O489)/2)</f>
        <v>8.9550489104053828</v>
      </c>
      <c r="C497" s="27">
        <f>C496*(Presion_cilindro!O488/Presion_cilindro!O489)^Presion_cilindro!$B$9+10*(Presion_cilindro!$B$9-1)*Presion_cilindro!$B$33*(IF(Presion_cilindro!N489&gt;(-C$4+Presion_cilindro!$B$34),1-EXP(-Presion_cilindro!$B$16*((Presion_cilindro!N489-(-C$4+Presion_cilindro!$B$34))/Presion_cilindro!$B$35)^(Presion_cilindro!$B$17+1)),0)-IF(Presion_cilindro!N488&gt;(-C$4+Presion_cilindro!$B$34),1-EXP(-Presion_cilindro!$B$16*((Presion_cilindro!N488-(-C$4+Presion_cilindro!$B$34))/Presion_cilindro!$B$35)^(Presion_cilindro!$B$17+1)),0))/((Presion_cilindro!O488+Presion_cilindro!O489)/2)</f>
        <v>8.6865631457751853</v>
      </c>
      <c r="D497" s="27">
        <f>D496*(Presion_cilindro!O488/Presion_cilindro!O489)^Presion_cilindro!$B$9+10*(Presion_cilindro!$B$9-1)*Presion_cilindro!$B$33*(IF(Presion_cilindro!N489&gt;(-D$4+Presion_cilindro!$B$34),1-EXP(-Presion_cilindro!$B$16*((Presion_cilindro!N489-(-D$4+Presion_cilindro!$B$34))/Presion_cilindro!$B$35)^(Presion_cilindro!$B$17+1)),0)-IF(Presion_cilindro!N488&gt;(-D$4+Presion_cilindro!$B$34),1-EXP(-Presion_cilindro!$B$16*((Presion_cilindro!N488-(-D$4+Presion_cilindro!$B$34))/Presion_cilindro!$B$35)^(Presion_cilindro!$B$17+1)),0))/((Presion_cilindro!O488+Presion_cilindro!O489)/2)</f>
        <v>8.4308637294243933</v>
      </c>
      <c r="E497" s="27">
        <f>E496*(Presion_cilindro!O488/Presion_cilindro!O489)^Presion_cilindro!$B$9+10*(Presion_cilindro!$B$9-1)*Presion_cilindro!$B$33*(IF(Presion_cilindro!N489&gt;(-E$4+Presion_cilindro!$B$34),1-EXP(-Presion_cilindro!$B$16*((Presion_cilindro!N489-(-E$4+Presion_cilindro!$B$34))/Presion_cilindro!$B$35)^(Presion_cilindro!$B$17+1)),0)-IF(Presion_cilindro!N488&gt;(-E$4+Presion_cilindro!$B$34),1-EXP(-Presion_cilindro!$B$16*((Presion_cilindro!N488-(-E$4+Presion_cilindro!$B$34))/Presion_cilindro!$B$35)^(Presion_cilindro!$B$17+1)),0))/((Presion_cilindro!O488+Presion_cilindro!O489)/2)</f>
        <v>8.2027685464824334</v>
      </c>
      <c r="F497" s="27">
        <f>F496*(Presion_cilindro!O488/Presion_cilindro!O489)^Presion_cilindro!$B$9+10*(Presion_cilindro!$B$9-1)*Presion_cilindro!$B$33*(IF(Presion_cilindro!N489&gt;(-F$4+Presion_cilindro!$B$34),1-EXP(-Presion_cilindro!$B$16*((Presion_cilindro!N489-(-F$4+Presion_cilindro!$B$34))/Presion_cilindro!$B$35)^(Presion_cilindro!$B$17+1)),0)-IF(Presion_cilindro!N488&gt;(-F$4+Presion_cilindro!$B$34),1-EXP(-Presion_cilindro!$B$16*((Presion_cilindro!N488-(-F$4+Presion_cilindro!$B$34))/Presion_cilindro!$B$35)^(Presion_cilindro!$B$17+1)),0))/((Presion_cilindro!O488+Presion_cilindro!O489)/2)</f>
        <v>8.0134570415166113</v>
      </c>
      <c r="G497" s="27">
        <f>G496*(Presion_cilindro!O488/Presion_cilindro!O489)^Presion_cilindro!$B$9+10*(Presion_cilindro!$B$9-1)*Presion_cilindro!$B$33*(IF(Presion_cilindro!N489&gt;(-G$4+Presion_cilindro!$B$34),1-EXP(-Presion_cilindro!$B$16*((Presion_cilindro!N489-(-G$4+Presion_cilindro!$B$34))/Presion_cilindro!$B$35)^(Presion_cilindro!$B$17+1)),0)-IF(Presion_cilindro!N488&gt;(-G$4+Presion_cilindro!$B$34),1-EXP(-Presion_cilindro!$B$16*((Presion_cilindro!N488-(-G$4+Presion_cilindro!$B$34))/Presion_cilindro!$B$35)^(Presion_cilindro!$B$17+1)),0))/((Presion_cilindro!O488+Presion_cilindro!O489)/2)</f>
        <v>7.8731757831713027</v>
      </c>
      <c r="H497" s="27">
        <f>H496*(Presion_cilindro!O488/Presion_cilindro!O489)^Presion_cilindro!$B$9+10*(Presion_cilindro!$B$9-1)*Presion_cilindro!$B$33*(IF(Presion_cilindro!N489&gt;(-H$4+Presion_cilindro!$B$34),1-EXP(-Presion_cilindro!$B$16*((Presion_cilindro!N489-(-H$4+Presion_cilindro!$B$34))/Presion_cilindro!$B$35)^(Presion_cilindro!$B$17+1)),0)-IF(Presion_cilindro!N488&gt;(-H$4+Presion_cilindro!$B$34),1-EXP(-Presion_cilindro!$B$16*((Presion_cilindro!N488-(-H$4+Presion_cilindro!$B$34))/Presion_cilindro!$B$35)^(Presion_cilindro!$B$17+1)),0))/((Presion_cilindro!O488+Presion_cilindro!O489)/2)</f>
        <v>7.7904256162156118</v>
      </c>
      <c r="I497" s="27">
        <f>I496*(Presion_cilindro!O488/Presion_cilindro!O489)^Presion_cilindro!$B$9+10*(Presion_cilindro!$B$9-1)*Presion_cilindro!$B$33*(IF(Presion_cilindro!N489&gt;(-I$4+Presion_cilindro!$B$34),1-EXP(-Presion_cilindro!$B$16*((Presion_cilindro!N489-(-I$4+Presion_cilindro!$B$34))/Presion_cilindro!$B$35)^(Presion_cilindro!$B$17+1)),0)-IF(Presion_cilindro!N488&gt;(-I$4+Presion_cilindro!$B$34),1-EXP(-Presion_cilindro!$B$16*((Presion_cilindro!N488-(-I$4+Presion_cilindro!$B$34))/Presion_cilindro!$B$35)^(Presion_cilindro!$B$17+1)),0))/((Presion_cilindro!O488+Presion_cilindro!O489)/2)</f>
        <v>7.7705761586131521</v>
      </c>
      <c r="J497" s="27">
        <f>J496*(Presion_cilindro!O488/Presion_cilindro!O489)^Presion_cilindro!$B$9+10*(Presion_cilindro!$B$9-1)*Presion_cilindro!$B$33*(IF(Presion_cilindro!N489&gt;(-J$4+Presion_cilindro!$B$34),1-EXP(-Presion_cilindro!$B$16*((Presion_cilindro!N489-(-J$4+Presion_cilindro!$B$34))/Presion_cilindro!$B$35)^(Presion_cilindro!$B$17+1)),0)-IF(Presion_cilindro!N488&gt;(-J$4+Presion_cilindro!$B$34),1-EXP(-Presion_cilindro!$B$16*((Presion_cilindro!N488-(-J$4+Presion_cilindro!$B$34))/Presion_cilindro!$B$35)^(Presion_cilindro!$B$17+1)),0))/((Presion_cilindro!O488+Presion_cilindro!O489)/2)</f>
        <v>7.8148636797046622</v>
      </c>
      <c r="K497" s="27">
        <f>K496*(Presion_cilindro!O488/Presion_cilindro!O489)^Presion_cilindro!$B$9+10*(Presion_cilindro!$B$9-1)*Presion_cilindro!$B$33*(IF(Presion_cilindro!N489&gt;(-K$4+Presion_cilindro!$B$34),1-EXP(-Presion_cilindro!$B$16*((Presion_cilindro!N489-(-K$4+Presion_cilindro!$B$34))/Presion_cilindro!$B$35)^(Presion_cilindro!$B$17+1)),0)-IF(Presion_cilindro!N488&gt;(-K$4+Presion_cilindro!$B$34),1-EXP(-Presion_cilindro!$B$16*((Presion_cilindro!N488-(-K$4+Presion_cilindro!$B$34))/Presion_cilindro!$B$35)^(Presion_cilindro!$B$17+1)),0))/((Presion_cilindro!O488+Presion_cilindro!O489)/2)</f>
        <v>7.9201767259305775</v>
      </c>
      <c r="L497" s="27">
        <f>L496*(Presion_cilindro!O488/Presion_cilindro!O489)^Presion_cilindro!$B$9+10*(Presion_cilindro!$B$9-1)*Presion_cilindro!$B$33*(IF(Presion_cilindro!N489&gt;(-L$4+Presion_cilindro!$B$34),1-EXP(-Presion_cilindro!$B$16*((Presion_cilindro!N489-(-L$4+Presion_cilindro!$B$34))/Presion_cilindro!$B$35)^(Presion_cilindro!$B$17+1)),0)-IF(Presion_cilindro!N488&gt;(-L$4+Presion_cilindro!$B$34),1-EXP(-Presion_cilindro!$B$16*((Presion_cilindro!N488-(-L$4+Presion_cilindro!$B$34))/Presion_cilindro!$B$35)^(Presion_cilindro!$B$17+1)),0))/((Presion_cilindro!O488+Presion_cilindro!O489)/2)</f>
        <v>8.0796993679311253</v>
      </c>
      <c r="M497" s="27">
        <f>M496*(Presion_cilindro!O488/Presion_cilindro!O489)^Presion_cilindro!$B$9+10*(Presion_cilindro!$B$9-1)*Presion_cilindro!$B$33*(IF(Presion_cilindro!N489&gt;(-M$4+Presion_cilindro!$B$34),1-EXP(-Presion_cilindro!$B$16*((Presion_cilindro!N489-(-M$4+Presion_cilindro!$B$34))/Presion_cilindro!$B$35)^(Presion_cilindro!$B$17+1)),0)-IF(Presion_cilindro!N488&gt;(-M$4+Presion_cilindro!$B$34),1-EXP(-Presion_cilindro!$B$16*((Presion_cilindro!N488-(-M$4+Presion_cilindro!$B$34))/Presion_cilindro!$B$35)^(Presion_cilindro!$B$17+1)),0))/((Presion_cilindro!O488+Presion_cilindro!O489)/2)</f>
        <v>8.2841689510422984</v>
      </c>
      <c r="N497" s="27">
        <f>N496*(Presion_cilindro!O488/Presion_cilindro!O489)^Presion_cilindro!$B$9+10*(Presion_cilindro!$B$9-1)*Presion_cilindro!$B$33*(IF(Presion_cilindro!N489&gt;(-N$4+Presion_cilindro!$B$34),1-EXP(-Presion_cilindro!$B$16*((Presion_cilindro!N489-(-N$4+Presion_cilindro!$B$34))/Presion_cilindro!$B$35)^(Presion_cilindro!$B$17+1)),0)-IF(Presion_cilindro!N488&gt;(-N$4+Presion_cilindro!$B$34),1-EXP(-Presion_cilindro!$B$16*((Presion_cilindro!N488-(-N$4+Presion_cilindro!$B$34))/Presion_cilindro!$B$35)^(Presion_cilindro!$B$17+1)),0))/((Presion_cilindro!O488+Presion_cilindro!O489)/2)</f>
        <v>8.5233287690433066</v>
      </c>
    </row>
    <row r="498" spans="1:14" x14ac:dyDescent="0.25">
      <c r="A498" s="21">
        <f>Presion_cilindro!N490</f>
        <v>63</v>
      </c>
      <c r="B498" s="27">
        <f>B497*(Presion_cilindro!O489/Presion_cilindro!O490)^Presion_cilindro!$B$9+10*(Presion_cilindro!$B$9-1)*Presion_cilindro!$B$33*(IF(Presion_cilindro!N490&gt;(-B$4+Presion_cilindro!$B$34),1-EXP(-Presion_cilindro!$B$16*((Presion_cilindro!N490-(-B$4+Presion_cilindro!$B$34))/Presion_cilindro!$B$35)^(Presion_cilindro!$B$17+1)),0)-IF(Presion_cilindro!N489&gt;(-B$4+Presion_cilindro!$B$34),1-EXP(-Presion_cilindro!$B$16*((Presion_cilindro!N489-(-B$4+Presion_cilindro!$B$34))/Presion_cilindro!$B$35)^(Presion_cilindro!$B$17+1)),0))/((Presion_cilindro!O489+Presion_cilindro!O490)/2)</f>
        <v>8.8378837767601066</v>
      </c>
      <c r="C498" s="27">
        <f>C497*(Presion_cilindro!O489/Presion_cilindro!O490)^Presion_cilindro!$B$9+10*(Presion_cilindro!$B$9-1)*Presion_cilindro!$B$33*(IF(Presion_cilindro!N490&gt;(-C$4+Presion_cilindro!$B$34),1-EXP(-Presion_cilindro!$B$16*((Presion_cilindro!N490-(-C$4+Presion_cilindro!$B$34))/Presion_cilindro!$B$35)^(Presion_cilindro!$B$17+1)),0)-IF(Presion_cilindro!N489&gt;(-C$4+Presion_cilindro!$B$34),1-EXP(-Presion_cilindro!$B$16*((Presion_cilindro!N489-(-C$4+Presion_cilindro!$B$34))/Presion_cilindro!$B$35)^(Presion_cilindro!$B$17+1)),0))/((Presion_cilindro!O489+Presion_cilindro!O490)/2)</f>
        <v>8.5717919341520563</v>
      </c>
      <c r="D498" s="27">
        <f>D497*(Presion_cilindro!O489/Presion_cilindro!O490)^Presion_cilindro!$B$9+10*(Presion_cilindro!$B$9-1)*Presion_cilindro!$B$33*(IF(Presion_cilindro!N490&gt;(-D$4+Presion_cilindro!$B$34),1-EXP(-Presion_cilindro!$B$16*((Presion_cilindro!N490-(-D$4+Presion_cilindro!$B$34))/Presion_cilindro!$B$35)^(Presion_cilindro!$B$17+1)),0)-IF(Presion_cilindro!N489&gt;(-D$4+Presion_cilindro!$B$34),1-EXP(-Presion_cilindro!$B$16*((Presion_cilindro!N489-(-D$4+Presion_cilindro!$B$34))/Presion_cilindro!$B$35)^(Presion_cilindro!$B$17+1)),0))/((Presion_cilindro!O489+Presion_cilindro!O490)/2)</f>
        <v>8.3192936357919987</v>
      </c>
      <c r="E498" s="27">
        <f>E497*(Presion_cilindro!O489/Presion_cilindro!O490)^Presion_cilindro!$B$9+10*(Presion_cilindro!$B$9-1)*Presion_cilindro!$B$33*(IF(Presion_cilindro!N490&gt;(-E$4+Presion_cilindro!$B$34),1-EXP(-Presion_cilindro!$B$16*((Presion_cilindro!N490-(-E$4+Presion_cilindro!$B$34))/Presion_cilindro!$B$35)^(Presion_cilindro!$B$17+1)),0)-IF(Presion_cilindro!N489&gt;(-E$4+Presion_cilindro!$B$34),1-EXP(-Presion_cilindro!$B$16*((Presion_cilindro!N489-(-E$4+Presion_cilindro!$B$34))/Presion_cilindro!$B$35)^(Presion_cilindro!$B$17+1)),0))/((Presion_cilindro!O489+Presion_cilindro!O490)/2)</f>
        <v>8.0941981491125077</v>
      </c>
      <c r="F498" s="27">
        <f>F497*(Presion_cilindro!O489/Presion_cilindro!O490)^Presion_cilindro!$B$9+10*(Presion_cilindro!$B$9-1)*Presion_cilindro!$B$33*(IF(Presion_cilindro!N490&gt;(-F$4+Presion_cilindro!$B$34),1-EXP(-Presion_cilindro!$B$16*((Presion_cilindro!N490-(-F$4+Presion_cilindro!$B$34))/Presion_cilindro!$B$35)^(Presion_cilindro!$B$17+1)),0)-IF(Presion_cilindro!N489&gt;(-F$4+Presion_cilindro!$B$34),1-EXP(-Presion_cilindro!$B$16*((Presion_cilindro!N489-(-F$4+Presion_cilindro!$B$34))/Presion_cilindro!$B$35)^(Presion_cilindro!$B$17+1)),0))/((Presion_cilindro!O489+Presion_cilindro!O490)/2)</f>
        <v>7.9073910340681834</v>
      </c>
      <c r="G498" s="27">
        <f>G497*(Presion_cilindro!O489/Presion_cilindro!O490)^Presion_cilindro!$B$9+10*(Presion_cilindro!$B$9-1)*Presion_cilindro!$B$33*(IF(Presion_cilindro!N490&gt;(-G$4+Presion_cilindro!$B$34),1-EXP(-Presion_cilindro!$B$16*((Presion_cilindro!N490-(-G$4+Presion_cilindro!$B$34))/Presion_cilindro!$B$35)^(Presion_cilindro!$B$17+1)),0)-IF(Presion_cilindro!N489&gt;(-G$4+Presion_cilindro!$B$34),1-EXP(-Presion_cilindro!$B$16*((Presion_cilindro!N489-(-G$4+Presion_cilindro!$B$34))/Presion_cilindro!$B$35)^(Presion_cilindro!$B$17+1)),0))/((Presion_cilindro!O489+Presion_cilindro!O490)/2)</f>
        <v>7.7689664789577133</v>
      </c>
      <c r="H498" s="27">
        <f>H497*(Presion_cilindro!O489/Presion_cilindro!O490)^Presion_cilindro!$B$9+10*(Presion_cilindro!$B$9-1)*Presion_cilindro!$B$33*(IF(Presion_cilindro!N490&gt;(-H$4+Presion_cilindro!$B$34),1-EXP(-Presion_cilindro!$B$16*((Presion_cilindro!N490-(-H$4+Presion_cilindro!$B$34))/Presion_cilindro!$B$35)^(Presion_cilindro!$B$17+1)),0)-IF(Presion_cilindro!N489&gt;(-H$4+Presion_cilindro!$B$34),1-EXP(-Presion_cilindro!$B$16*((Presion_cilindro!N489-(-H$4+Presion_cilindro!$B$34))/Presion_cilindro!$B$35)^(Presion_cilindro!$B$17+1)),0))/((Presion_cilindro!O489+Presion_cilindro!O490)/2)</f>
        <v>7.6873115911046321</v>
      </c>
      <c r="I498" s="27">
        <f>I497*(Presion_cilindro!O489/Presion_cilindro!O490)^Presion_cilindro!$B$9+10*(Presion_cilindro!$B$9-1)*Presion_cilindro!$B$33*(IF(Presion_cilindro!N490&gt;(-I$4+Presion_cilindro!$B$34),1-EXP(-Presion_cilindro!$B$16*((Presion_cilindro!N490-(-I$4+Presion_cilindro!$B$34))/Presion_cilindro!$B$35)^(Presion_cilindro!$B$17+1)),0)-IF(Presion_cilindro!N489&gt;(-I$4+Presion_cilindro!$B$34),1-EXP(-Presion_cilindro!$B$16*((Presion_cilindro!N489-(-I$4+Presion_cilindro!$B$34))/Presion_cilindro!$B$35)^(Presion_cilindro!$B$17+1)),0))/((Presion_cilindro!O489+Presion_cilindro!O490)/2)</f>
        <v>7.667724860773772</v>
      </c>
      <c r="J498" s="27">
        <f>J497*(Presion_cilindro!O489/Presion_cilindro!O490)^Presion_cilindro!$B$9+10*(Presion_cilindro!$B$9-1)*Presion_cilindro!$B$33*(IF(Presion_cilindro!N490&gt;(-J$4+Presion_cilindro!$B$34),1-EXP(-Presion_cilindro!$B$16*((Presion_cilindro!N490-(-J$4+Presion_cilindro!$B$34))/Presion_cilindro!$B$35)^(Presion_cilindro!$B$17+1)),0)-IF(Presion_cilindro!N489&gt;(-J$4+Presion_cilindro!$B$34),1-EXP(-Presion_cilindro!$B$16*((Presion_cilindro!N489-(-J$4+Presion_cilindro!$B$34))/Presion_cilindro!$B$35)^(Presion_cilindro!$B$17+1)),0))/((Presion_cilindro!O489+Presion_cilindro!O490)/2)</f>
        <v>7.7114261925105518</v>
      </c>
      <c r="K498" s="27">
        <f>K497*(Presion_cilindro!O489/Presion_cilindro!O490)^Presion_cilindro!$B$9+10*(Presion_cilindro!$B$9-1)*Presion_cilindro!$B$33*(IF(Presion_cilindro!N490&gt;(-K$4+Presion_cilindro!$B$34),1-EXP(-Presion_cilindro!$B$16*((Presion_cilindro!N490-(-K$4+Presion_cilindro!$B$34))/Presion_cilindro!$B$35)^(Presion_cilindro!$B$17+1)),0)-IF(Presion_cilindro!N489&gt;(-K$4+Presion_cilindro!$B$34),1-EXP(-Presion_cilindro!$B$16*((Presion_cilindro!N489-(-K$4+Presion_cilindro!$B$34))/Presion_cilindro!$B$35)^(Presion_cilindro!$B$17+1)),0))/((Presion_cilindro!O489+Presion_cilindro!O490)/2)</f>
        <v>7.8153453159098065</v>
      </c>
      <c r="L498" s="27">
        <f>L497*(Presion_cilindro!O489/Presion_cilindro!O490)^Presion_cilindro!$B$9+10*(Presion_cilindro!$B$9-1)*Presion_cilindro!$B$33*(IF(Presion_cilindro!N490&gt;(-L$4+Presion_cilindro!$B$34),1-EXP(-Presion_cilindro!$B$16*((Presion_cilindro!N490-(-L$4+Presion_cilindro!$B$34))/Presion_cilindro!$B$35)^(Presion_cilindro!$B$17+1)),0)-IF(Presion_cilindro!N489&gt;(-L$4+Presion_cilindro!$B$34),1-EXP(-Presion_cilindro!$B$16*((Presion_cilindro!N489-(-L$4+Presion_cilindro!$B$34))/Presion_cilindro!$B$35)^(Presion_cilindro!$B$17+1)),0))/((Presion_cilindro!O489+Presion_cilindro!O490)/2)</f>
        <v>7.9727565172102492</v>
      </c>
      <c r="M498" s="27">
        <f>M497*(Presion_cilindro!O489/Presion_cilindro!O490)^Presion_cilindro!$B$9+10*(Presion_cilindro!$B$9-1)*Presion_cilindro!$B$33*(IF(Presion_cilindro!N490&gt;(-M$4+Presion_cilindro!$B$34),1-EXP(-Presion_cilindro!$B$16*((Presion_cilindro!N490-(-M$4+Presion_cilindro!$B$34))/Presion_cilindro!$B$35)^(Presion_cilindro!$B$17+1)),0)-IF(Presion_cilindro!N489&gt;(-M$4+Presion_cilindro!$B$34),1-EXP(-Presion_cilindro!$B$16*((Presion_cilindro!N489-(-M$4+Presion_cilindro!$B$34))/Presion_cilindro!$B$35)^(Presion_cilindro!$B$17+1)),0))/((Presion_cilindro!O489+Presion_cilindro!O490)/2)</f>
        <v>8.1745197421875524</v>
      </c>
      <c r="N498" s="27">
        <f>N497*(Presion_cilindro!O489/Presion_cilindro!O490)^Presion_cilindro!$B$9+10*(Presion_cilindro!$B$9-1)*Presion_cilindro!$B$33*(IF(Presion_cilindro!N490&gt;(-N$4+Presion_cilindro!$B$34),1-EXP(-Presion_cilindro!$B$16*((Presion_cilindro!N490-(-N$4+Presion_cilindro!$B$34))/Presion_cilindro!$B$35)^(Presion_cilindro!$B$17+1)),0)-IF(Presion_cilindro!N489&gt;(-N$4+Presion_cilindro!$B$34),1-EXP(-Presion_cilindro!$B$16*((Presion_cilindro!N489-(-N$4+Presion_cilindro!$B$34))/Presion_cilindro!$B$35)^(Presion_cilindro!$B$17+1)),0))/((Presion_cilindro!O489+Presion_cilindro!O490)/2)</f>
        <v>8.41051404232085</v>
      </c>
    </row>
    <row r="499" spans="1:14" x14ac:dyDescent="0.25">
      <c r="A499" s="21">
        <f>Presion_cilindro!N491</f>
        <v>63.5</v>
      </c>
      <c r="B499" s="27">
        <f>B498*(Presion_cilindro!O490/Presion_cilindro!O491)^Presion_cilindro!$B$9+10*(Presion_cilindro!$B$9-1)*Presion_cilindro!$B$33*(IF(Presion_cilindro!N491&gt;(-B$4+Presion_cilindro!$B$34),1-EXP(-Presion_cilindro!$B$16*((Presion_cilindro!N491-(-B$4+Presion_cilindro!$B$34))/Presion_cilindro!$B$35)^(Presion_cilindro!$B$17+1)),0)-IF(Presion_cilindro!N490&gt;(-B$4+Presion_cilindro!$B$34),1-EXP(-Presion_cilindro!$B$16*((Presion_cilindro!N490-(-B$4+Presion_cilindro!$B$34))/Presion_cilindro!$B$35)^(Presion_cilindro!$B$17+1)),0))/((Presion_cilindro!O490+Presion_cilindro!O491)/2)</f>
        <v>8.7229119056154065</v>
      </c>
      <c r="C499" s="27">
        <f>C498*(Presion_cilindro!O490/Presion_cilindro!O491)^Presion_cilindro!$B$9+10*(Presion_cilindro!$B$9-1)*Presion_cilindro!$B$33*(IF(Presion_cilindro!N491&gt;(-C$4+Presion_cilindro!$B$34),1-EXP(-Presion_cilindro!$B$16*((Presion_cilindro!N491-(-C$4+Presion_cilindro!$B$34))/Presion_cilindro!$B$35)^(Presion_cilindro!$B$17+1)),0)-IF(Presion_cilindro!N490&gt;(-C$4+Presion_cilindro!$B$34),1-EXP(-Presion_cilindro!$B$16*((Presion_cilindro!N490-(-C$4+Presion_cilindro!$B$34))/Presion_cilindro!$B$35)^(Presion_cilindro!$B$17+1)),0))/((Presion_cilindro!O490+Presion_cilindro!O491)/2)</f>
        <v>8.459344176108802</v>
      </c>
      <c r="D499" s="27">
        <f>D498*(Presion_cilindro!O490/Presion_cilindro!O491)^Presion_cilindro!$B$9+10*(Presion_cilindro!$B$9-1)*Presion_cilindro!$B$33*(IF(Presion_cilindro!N491&gt;(-D$4+Presion_cilindro!$B$34),1-EXP(-Presion_cilindro!$B$16*((Presion_cilindro!N491-(-D$4+Presion_cilindro!$B$34))/Presion_cilindro!$B$35)^(Presion_cilindro!$B$17+1)),0)-IF(Presion_cilindro!N490&gt;(-D$4+Presion_cilindro!$B$34),1-EXP(-Presion_cilindro!$B$16*((Presion_cilindro!N490-(-D$4+Presion_cilindro!$B$34))/Presion_cilindro!$B$35)^(Presion_cilindro!$B$17+1)),0))/((Presion_cilindro!O490+Presion_cilindro!O491)/2)</f>
        <v>8.2100153878537192</v>
      </c>
      <c r="E499" s="27">
        <f>E498*(Presion_cilindro!O490/Presion_cilindro!O491)^Presion_cilindro!$B$9+10*(Presion_cilindro!$B$9-1)*Presion_cilindro!$B$33*(IF(Presion_cilindro!N491&gt;(-E$4+Presion_cilindro!$B$34),1-EXP(-Presion_cilindro!$B$16*((Presion_cilindro!N491-(-E$4+Presion_cilindro!$B$34))/Presion_cilindro!$B$35)^(Presion_cilindro!$B$17+1)),0)-IF(Presion_cilindro!N490&gt;(-E$4+Presion_cilindro!$B$34),1-EXP(-Presion_cilindro!$B$16*((Presion_cilindro!N490-(-E$4+Presion_cilindro!$B$34))/Presion_cilindro!$B$35)^(Presion_cilindro!$B$17+1)),0))/((Presion_cilindro!O490+Presion_cilindro!O491)/2)</f>
        <v>7.9878621117575594</v>
      </c>
      <c r="F499" s="27">
        <f>F498*(Presion_cilindro!O490/Presion_cilindro!O491)^Presion_cilindro!$B$9+10*(Presion_cilindro!$B$9-1)*Presion_cilindro!$B$33*(IF(Presion_cilindro!N491&gt;(-F$4+Presion_cilindro!$B$34),1-EXP(-Presion_cilindro!$B$16*((Presion_cilindro!N491-(-F$4+Presion_cilindro!$B$34))/Presion_cilindro!$B$35)^(Presion_cilindro!$B$17+1)),0)-IF(Presion_cilindro!N490&gt;(-F$4+Presion_cilindro!$B$34),1-EXP(-Presion_cilindro!$B$16*((Presion_cilindro!N490-(-F$4+Presion_cilindro!$B$34))/Presion_cilindro!$B$35)^(Presion_cilindro!$B$17+1)),0))/((Presion_cilindro!O490+Presion_cilindro!O491)/2)</f>
        <v>7.8035081766386751</v>
      </c>
      <c r="G499" s="27">
        <f>G498*(Presion_cilindro!O490/Presion_cilindro!O491)^Presion_cilindro!$B$9+10*(Presion_cilindro!$B$9-1)*Presion_cilindro!$B$33*(IF(Presion_cilindro!N491&gt;(-G$4+Presion_cilindro!$B$34),1-EXP(-Presion_cilindro!$B$16*((Presion_cilindro!N491-(-G$4+Presion_cilindro!$B$34))/Presion_cilindro!$B$35)^(Presion_cilindro!$B$17+1)),0)-IF(Presion_cilindro!N490&gt;(-G$4+Presion_cilindro!$B$34),1-EXP(-Presion_cilindro!$B$16*((Presion_cilindro!N490-(-G$4+Presion_cilindro!$B$34))/Presion_cilindro!$B$35)^(Presion_cilindro!$B$17+1)),0))/((Presion_cilindro!O490+Presion_cilindro!O491)/2)</f>
        <v>7.6669021248677263</v>
      </c>
      <c r="H499" s="27">
        <f>H498*(Presion_cilindro!O490/Presion_cilindro!O491)^Presion_cilindro!$B$9+10*(Presion_cilindro!$B$9-1)*Presion_cilindro!$B$33*(IF(Presion_cilindro!N491&gt;(-H$4+Presion_cilindro!$B$34),1-EXP(-Presion_cilindro!$B$16*((Presion_cilindro!N491-(-H$4+Presion_cilindro!$B$34))/Presion_cilindro!$B$35)^(Presion_cilindro!$B$17+1)),0)-IF(Presion_cilindro!N490&gt;(-H$4+Presion_cilindro!$B$34),1-EXP(-Presion_cilindro!$B$16*((Presion_cilindro!N490-(-H$4+Presion_cilindro!$B$34))/Presion_cilindro!$B$35)^(Presion_cilindro!$B$17+1)),0))/((Presion_cilindro!O490+Presion_cilindro!O491)/2)</f>
        <v>7.5863199723881154</v>
      </c>
      <c r="I499" s="27">
        <f>I498*(Presion_cilindro!O490/Presion_cilindro!O491)^Presion_cilindro!$B$9+10*(Presion_cilindro!$B$9-1)*Presion_cilindro!$B$33*(IF(Presion_cilindro!N491&gt;(-I$4+Presion_cilindro!$B$34),1-EXP(-Presion_cilindro!$B$16*((Presion_cilindro!N491-(-I$4+Presion_cilindro!$B$34))/Presion_cilindro!$B$35)^(Presion_cilindro!$B$17+1)),0)-IF(Presion_cilindro!N490&gt;(-I$4+Presion_cilindro!$B$34),1-EXP(-Presion_cilindro!$B$16*((Presion_cilindro!N490-(-I$4+Presion_cilindro!$B$34))/Presion_cilindro!$B$35)^(Presion_cilindro!$B$17+1)),0))/((Presion_cilindro!O490+Presion_cilindro!O491)/2)</f>
        <v>7.5669905615961319</v>
      </c>
      <c r="J499" s="27">
        <f>J498*(Presion_cilindro!O490/Presion_cilindro!O491)^Presion_cilindro!$B$9+10*(Presion_cilindro!$B$9-1)*Presion_cilindro!$B$33*(IF(Presion_cilindro!N491&gt;(-J$4+Presion_cilindro!$B$34),1-EXP(-Presion_cilindro!$B$16*((Presion_cilindro!N491-(-J$4+Presion_cilindro!$B$34))/Presion_cilindro!$B$35)^(Presion_cilindro!$B$17+1)),0)-IF(Presion_cilindro!N490&gt;(-J$4+Presion_cilindro!$B$34),1-EXP(-Presion_cilindro!$B$16*((Presion_cilindro!N490-(-J$4+Presion_cilindro!$B$34))/Presion_cilindro!$B$35)^(Presion_cilindro!$B$17+1)),0))/((Presion_cilindro!O490+Presion_cilindro!O491)/2)</f>
        <v>7.6101177695730318</v>
      </c>
      <c r="K499" s="27">
        <f>K498*(Presion_cilindro!O490/Presion_cilindro!O491)^Presion_cilindro!$B$9+10*(Presion_cilindro!$B$9-1)*Presion_cilindro!$B$33*(IF(Presion_cilindro!N491&gt;(-K$4+Presion_cilindro!$B$34),1-EXP(-Presion_cilindro!$B$16*((Presion_cilindro!N491-(-K$4+Presion_cilindro!$B$34))/Presion_cilindro!$B$35)^(Presion_cilindro!$B$17+1)),0)-IF(Presion_cilindro!N490&gt;(-K$4+Presion_cilindro!$B$34),1-EXP(-Presion_cilindro!$B$16*((Presion_cilindro!N490-(-K$4+Presion_cilindro!$B$34))/Presion_cilindro!$B$35)^(Presion_cilindro!$B$17+1)),0))/((Presion_cilindro!O490+Presion_cilindro!O491)/2)</f>
        <v>7.712671661400095</v>
      </c>
      <c r="L499" s="27">
        <f>L498*(Presion_cilindro!O490/Presion_cilindro!O491)^Presion_cilindro!$B$9+10*(Presion_cilindro!$B$9-1)*Presion_cilindro!$B$33*(IF(Presion_cilindro!N491&gt;(-L$4+Presion_cilindro!$B$34),1-EXP(-Presion_cilindro!$B$16*((Presion_cilindro!N491-(-L$4+Presion_cilindro!$B$34))/Presion_cilindro!$B$35)^(Presion_cilindro!$B$17+1)),0)-IF(Presion_cilindro!N490&gt;(-L$4+Presion_cilindro!$B$34),1-EXP(-Presion_cilindro!$B$16*((Presion_cilindro!N490-(-L$4+Presion_cilindro!$B$34))/Presion_cilindro!$B$35)^(Presion_cilindro!$B$17+1)),0))/((Presion_cilindro!O490+Presion_cilindro!O491)/2)</f>
        <v>7.8680148819978326</v>
      </c>
      <c r="M499" s="27">
        <f>M498*(Presion_cilindro!O490/Presion_cilindro!O491)^Presion_cilindro!$B$9+10*(Presion_cilindro!$B$9-1)*Presion_cilindro!$B$33*(IF(Presion_cilindro!N491&gt;(-M$4+Presion_cilindro!$B$34),1-EXP(-Presion_cilindro!$B$16*((Presion_cilindro!N491-(-M$4+Presion_cilindro!$B$34))/Presion_cilindro!$B$35)^(Presion_cilindro!$B$17+1)),0)-IF(Presion_cilindro!N490&gt;(-M$4+Presion_cilindro!$B$34),1-EXP(-Presion_cilindro!$B$16*((Presion_cilindro!N490-(-M$4+Presion_cilindro!$B$34))/Presion_cilindro!$B$35)^(Presion_cilindro!$B$17+1)),0))/((Presion_cilindro!O490+Presion_cilindro!O491)/2)</f>
        <v>8.0671274540843534</v>
      </c>
      <c r="N499" s="27">
        <f>N498*(Presion_cilindro!O490/Presion_cilindro!O491)^Presion_cilindro!$B$9+10*(Presion_cilindro!$B$9-1)*Presion_cilindro!$B$33*(IF(Presion_cilindro!N491&gt;(-N$4+Presion_cilindro!$B$34),1-EXP(-Presion_cilindro!$B$16*((Presion_cilindro!N491-(-N$4+Presion_cilindro!$B$34))/Presion_cilindro!$B$35)^(Presion_cilindro!$B$17+1)),0)-IF(Presion_cilindro!N490&gt;(-N$4+Presion_cilindro!$B$34),1-EXP(-Presion_cilindro!$B$16*((Presion_cilindro!N490-(-N$4+Presion_cilindro!$B$34))/Presion_cilindro!$B$35)^(Presion_cilindro!$B$17+1)),0))/((Presion_cilindro!O490+Presion_cilindro!O491)/2)</f>
        <v>8.3000213925242488</v>
      </c>
    </row>
    <row r="500" spans="1:14" x14ac:dyDescent="0.25">
      <c r="A500" s="21">
        <f>Presion_cilindro!N492</f>
        <v>64</v>
      </c>
      <c r="B500" s="27">
        <f>B499*(Presion_cilindro!O491/Presion_cilindro!O492)^Presion_cilindro!$B$9+10*(Presion_cilindro!$B$9-1)*Presion_cilindro!$B$33*(IF(Presion_cilindro!N492&gt;(-B$4+Presion_cilindro!$B$34),1-EXP(-Presion_cilindro!$B$16*((Presion_cilindro!N492-(-B$4+Presion_cilindro!$B$34))/Presion_cilindro!$B$35)^(Presion_cilindro!$B$17+1)),0)-IF(Presion_cilindro!N491&gt;(-B$4+Presion_cilindro!$B$34),1-EXP(-Presion_cilindro!$B$16*((Presion_cilindro!N491-(-B$4+Presion_cilindro!$B$34))/Presion_cilindro!$B$35)^(Presion_cilindro!$B$17+1)),0))/((Presion_cilindro!O491+Presion_cilindro!O492)/2)</f>
        <v>8.6101141764776976</v>
      </c>
      <c r="C500" s="27">
        <f>C499*(Presion_cilindro!O491/Presion_cilindro!O492)^Presion_cilindro!$B$9+10*(Presion_cilindro!$B$9-1)*Presion_cilindro!$B$33*(IF(Presion_cilindro!N492&gt;(-C$4+Presion_cilindro!$B$34),1-EXP(-Presion_cilindro!$B$16*((Presion_cilindro!N492-(-C$4+Presion_cilindro!$B$34))/Presion_cilindro!$B$35)^(Presion_cilindro!$B$17+1)),0)-IF(Presion_cilindro!N491&gt;(-C$4+Presion_cilindro!$B$34),1-EXP(-Presion_cilindro!$B$16*((Presion_cilindro!N491-(-C$4+Presion_cilindro!$B$34))/Presion_cilindro!$B$35)^(Presion_cilindro!$B$17+1)),0))/((Presion_cilindro!O491+Presion_cilindro!O492)/2)</f>
        <v>8.3491721414843738</v>
      </c>
      <c r="D500" s="27">
        <f>D499*(Presion_cilindro!O491/Presion_cilindro!O492)^Presion_cilindro!$B$9+10*(Presion_cilindro!$B$9-1)*Presion_cilindro!$B$33*(IF(Presion_cilindro!N492&gt;(-D$4+Presion_cilindro!$B$34),1-EXP(-Presion_cilindro!$B$16*((Presion_cilindro!N492-(-D$4+Presion_cilindro!$B$34))/Presion_cilindro!$B$35)^(Presion_cilindro!$B$17+1)),0)-IF(Presion_cilindro!N491&gt;(-D$4+Presion_cilindro!$B$34),1-EXP(-Presion_cilindro!$B$16*((Presion_cilindro!N491-(-D$4+Presion_cilindro!$B$34))/Presion_cilindro!$B$35)^(Presion_cilindro!$B$17+1)),0))/((Presion_cilindro!O491+Presion_cilindro!O492)/2)</f>
        <v>8.102975907228684</v>
      </c>
      <c r="E500" s="27">
        <f>E499*(Presion_cilindro!O491/Presion_cilindro!O492)^Presion_cilindro!$B$9+10*(Presion_cilindro!$B$9-1)*Presion_cilindro!$B$33*(IF(Presion_cilindro!N492&gt;(-E$4+Presion_cilindro!$B$34),1-EXP(-Presion_cilindro!$B$16*((Presion_cilindro!N492-(-E$4+Presion_cilindro!$B$34))/Presion_cilindro!$B$35)^(Presion_cilindro!$B$17+1)),0)-IF(Presion_cilindro!N491&gt;(-E$4+Presion_cilindro!$B$34),1-EXP(-Presion_cilindro!$B$16*((Presion_cilindro!N491-(-E$4+Presion_cilindro!$B$34))/Presion_cilindro!$B$35)^(Presion_cilindro!$B$17+1)),0))/((Presion_cilindro!O491+Presion_cilindro!O492)/2)</f>
        <v>7.8837078061232164</v>
      </c>
      <c r="F500" s="27">
        <f>F499*(Presion_cilindro!O491/Presion_cilindro!O492)^Presion_cilindro!$B$9+10*(Presion_cilindro!$B$9-1)*Presion_cilindro!$B$33*(IF(Presion_cilindro!N492&gt;(-F$4+Presion_cilindro!$B$34),1-EXP(-Presion_cilindro!$B$16*((Presion_cilindro!N492-(-F$4+Presion_cilindro!$B$34))/Presion_cilindro!$B$35)^(Presion_cilindro!$B$17+1)),0)-IF(Presion_cilindro!N491&gt;(-F$4+Presion_cilindro!$B$34),1-EXP(-Presion_cilindro!$B$16*((Presion_cilindro!N491-(-F$4+Presion_cilindro!$B$34))/Presion_cilindro!$B$35)^(Presion_cilindro!$B$17+1)),0))/((Presion_cilindro!O491+Presion_cilindro!O492)/2)</f>
        <v>7.7017569653474789</v>
      </c>
      <c r="G500" s="27">
        <f>G499*(Presion_cilindro!O491/Presion_cilindro!O492)^Presion_cilindro!$B$9+10*(Presion_cilindro!$B$9-1)*Presion_cilindro!$B$33*(IF(Presion_cilindro!N492&gt;(-G$4+Presion_cilindro!$B$34),1-EXP(-Presion_cilindro!$B$16*((Presion_cilindro!N492-(-G$4+Presion_cilindro!$B$34))/Presion_cilindro!$B$35)^(Presion_cilindro!$B$17+1)),0)-IF(Presion_cilindro!N491&gt;(-G$4+Presion_cilindro!$B$34),1-EXP(-Presion_cilindro!$B$16*((Presion_cilindro!N491-(-G$4+Presion_cilindro!$B$34))/Presion_cilindro!$B$35)^(Presion_cilindro!$B$17+1)),0))/((Presion_cilindro!O491+Presion_cilindro!O492)/2)</f>
        <v>7.5669321135420677</v>
      </c>
      <c r="H500" s="27">
        <f>H499*(Presion_cilindro!O491/Presion_cilindro!O492)^Presion_cilindro!$B$9+10*(Presion_cilindro!$B$9-1)*Presion_cilindro!$B$33*(IF(Presion_cilindro!N492&gt;(-H$4+Presion_cilindro!$B$34),1-EXP(-Presion_cilindro!$B$16*((Presion_cilindro!N492-(-H$4+Presion_cilindro!$B$34))/Presion_cilindro!$B$35)^(Presion_cilindro!$B$17+1)),0)-IF(Presion_cilindro!N491&gt;(-H$4+Presion_cilindro!$B$34),1-EXP(-Presion_cilindro!$B$16*((Presion_cilindro!N491-(-H$4+Presion_cilindro!$B$34))/Presion_cilindro!$B$35)^(Presion_cilindro!$B$17+1)),0))/((Presion_cilindro!O491+Presion_cilindro!O492)/2)</f>
        <v>7.487400684436313</v>
      </c>
      <c r="I500" s="27">
        <f>I499*(Presion_cilindro!O491/Presion_cilindro!O492)^Presion_cilindro!$B$9+10*(Presion_cilindro!$B$9-1)*Presion_cilindro!$B$33*(IF(Presion_cilindro!N492&gt;(-I$4+Presion_cilindro!$B$34),1-EXP(-Presion_cilindro!$B$16*((Presion_cilindro!N492-(-I$4+Presion_cilindro!$B$34))/Presion_cilindro!$B$35)^(Presion_cilindro!$B$17+1)),0)-IF(Presion_cilindro!N491&gt;(-I$4+Presion_cilindro!$B$34),1-EXP(-Presion_cilindro!$B$16*((Presion_cilindro!N491-(-I$4+Presion_cilindro!$B$34))/Presion_cilindro!$B$35)^(Presion_cilindro!$B$17+1)),0))/((Presion_cilindro!O491+Presion_cilindro!O492)/2)</f>
        <v>7.4683233130361737</v>
      </c>
      <c r="J500" s="27">
        <f>J499*(Presion_cilindro!O491/Presion_cilindro!O492)^Presion_cilindro!$B$9+10*(Presion_cilindro!$B$9-1)*Presion_cilindro!$B$33*(IF(Presion_cilindro!N492&gt;(-J$4+Presion_cilindro!$B$34),1-EXP(-Presion_cilindro!$B$16*((Presion_cilindro!N492-(-J$4+Presion_cilindro!$B$34))/Presion_cilindro!$B$35)^(Presion_cilindro!$B$17+1)),0)-IF(Presion_cilindro!N491&gt;(-J$4+Presion_cilindro!$B$34),1-EXP(-Presion_cilindro!$B$16*((Presion_cilindro!N491-(-J$4+Presion_cilindro!$B$34))/Presion_cilindro!$B$35)^(Presion_cilindro!$B$17+1)),0))/((Presion_cilindro!O491+Presion_cilindro!O492)/2)</f>
        <v>7.5108881781747661</v>
      </c>
      <c r="K500" s="27">
        <f>K499*(Presion_cilindro!O491/Presion_cilindro!O492)^Presion_cilindro!$B$9+10*(Presion_cilindro!$B$9-1)*Presion_cilindro!$B$33*(IF(Presion_cilindro!N492&gt;(-K$4+Presion_cilindro!$B$34),1-EXP(-Presion_cilindro!$B$16*((Presion_cilindro!N492-(-K$4+Presion_cilindro!$B$34))/Presion_cilindro!$B$35)^(Presion_cilindro!$B$17+1)),0)-IF(Presion_cilindro!N491&gt;(-K$4+Presion_cilindro!$B$34),1-EXP(-Presion_cilindro!$B$16*((Presion_cilindro!N491-(-K$4+Presion_cilindro!$B$34))/Presion_cilindro!$B$35)^(Presion_cilindro!$B$17+1)),0))/((Presion_cilindro!O491+Presion_cilindro!O492)/2)</f>
        <v>7.6121048527483737</v>
      </c>
      <c r="L500" s="27">
        <f>L499*(Presion_cilindro!O491/Presion_cilindro!O492)^Presion_cilindro!$B$9+10*(Presion_cilindro!$B$9-1)*Presion_cilindro!$B$33*(IF(Presion_cilindro!N492&gt;(-L$4+Presion_cilindro!$B$34),1-EXP(-Presion_cilindro!$B$16*((Presion_cilindro!N492-(-L$4+Presion_cilindro!$B$34))/Presion_cilindro!$B$35)^(Presion_cilindro!$B$17+1)),0)-IF(Presion_cilindro!N491&gt;(-L$4+Presion_cilindro!$B$34),1-EXP(-Presion_cilindro!$B$16*((Presion_cilindro!N491-(-L$4+Presion_cilindro!$B$34))/Presion_cilindro!$B$35)^(Presion_cilindro!$B$17+1)),0))/((Presion_cilindro!O491+Presion_cilindro!O492)/2)</f>
        <v>7.7654225272542972</v>
      </c>
      <c r="M500" s="27">
        <f>M499*(Presion_cilindro!O491/Presion_cilindro!O492)^Presion_cilindro!$B$9+10*(Presion_cilindro!$B$9-1)*Presion_cilindro!$B$33*(IF(Presion_cilindro!N492&gt;(-M$4+Presion_cilindro!$B$34),1-EXP(-Presion_cilindro!$B$16*((Presion_cilindro!N492-(-M$4+Presion_cilindro!$B$34))/Presion_cilindro!$B$35)^(Presion_cilindro!$B$17+1)),0)-IF(Presion_cilindro!N491&gt;(-M$4+Presion_cilindro!$B$34),1-EXP(-Presion_cilindro!$B$16*((Presion_cilindro!N491-(-M$4+Presion_cilindro!$B$34))/Presion_cilindro!$B$35)^(Presion_cilindro!$B$17+1)),0))/((Presion_cilindro!O491+Presion_cilindro!O492)/2)</f>
        <v>7.9619388373947286</v>
      </c>
      <c r="N500" s="27">
        <f>N499*(Presion_cilindro!O491/Presion_cilindro!O492)^Presion_cilindro!$B$9+10*(Presion_cilindro!$B$9-1)*Presion_cilindro!$B$33*(IF(Presion_cilindro!N492&gt;(-N$4+Presion_cilindro!$B$34),1-EXP(-Presion_cilindro!$B$16*((Presion_cilindro!N492-(-N$4+Presion_cilindro!$B$34))/Presion_cilindro!$B$35)^(Presion_cilindro!$B$17+1)),0)-IF(Presion_cilindro!N491&gt;(-N$4+Presion_cilindro!$B$34),1-EXP(-Presion_cilindro!$B$16*((Presion_cilindro!N491-(-N$4+Presion_cilindro!$B$34))/Presion_cilindro!$B$35)^(Presion_cilindro!$B$17+1)),0))/((Presion_cilindro!O491+Presion_cilindro!O492)/2)</f>
        <v>8.1917960330337536</v>
      </c>
    </row>
    <row r="501" spans="1:14" x14ac:dyDescent="0.25">
      <c r="A501" s="21">
        <f>Presion_cilindro!N493</f>
        <v>64.5</v>
      </c>
      <c r="B501" s="27">
        <f>B500*(Presion_cilindro!O492/Presion_cilindro!O493)^Presion_cilindro!$B$9+10*(Presion_cilindro!$B$9-1)*Presion_cilindro!$B$33*(IF(Presion_cilindro!N493&gt;(-B$4+Presion_cilindro!$B$34),1-EXP(-Presion_cilindro!$B$16*((Presion_cilindro!N493-(-B$4+Presion_cilindro!$B$34))/Presion_cilindro!$B$35)^(Presion_cilindro!$B$17+1)),0)-IF(Presion_cilindro!N492&gt;(-B$4+Presion_cilindro!$B$34),1-EXP(-Presion_cilindro!$B$16*((Presion_cilindro!N492-(-B$4+Presion_cilindro!$B$34))/Presion_cilindro!$B$35)^(Presion_cilindro!$B$17+1)),0))/((Presion_cilindro!O492+Presion_cilindro!O493)/2)</f>
        <v>8.4994676050954592</v>
      </c>
      <c r="C501" s="27">
        <f>C500*(Presion_cilindro!O492/Presion_cilindro!O493)^Presion_cilindro!$B$9+10*(Presion_cilindro!$B$9-1)*Presion_cilindro!$B$33*(IF(Presion_cilindro!N493&gt;(-C$4+Presion_cilindro!$B$34),1-EXP(-Presion_cilindro!$B$16*((Presion_cilindro!N493-(-C$4+Presion_cilindro!$B$34))/Presion_cilindro!$B$35)^(Presion_cilindro!$B$17+1)),0)-IF(Presion_cilindro!N492&gt;(-C$4+Presion_cilindro!$B$34),1-EXP(-Presion_cilindro!$B$16*((Presion_cilindro!N492-(-C$4+Presion_cilindro!$B$34))/Presion_cilindro!$B$35)^(Presion_cilindro!$B$17+1)),0))/((Presion_cilindro!O492+Presion_cilindro!O493)/2)</f>
        <v>8.2412280947787586</v>
      </c>
      <c r="D501" s="27">
        <f>D500*(Presion_cilindro!O492/Presion_cilindro!O493)^Presion_cilindro!$B$9+10*(Presion_cilindro!$B$9-1)*Presion_cilindro!$B$33*(IF(Presion_cilindro!N493&gt;(-D$4+Presion_cilindro!$B$34),1-EXP(-Presion_cilindro!$B$16*((Presion_cilindro!N493-(-D$4+Presion_cilindro!$B$34))/Presion_cilindro!$B$35)^(Presion_cilindro!$B$17+1)),0)-IF(Presion_cilindro!N492&gt;(-D$4+Presion_cilindro!$B$34),1-EXP(-Presion_cilindro!$B$16*((Presion_cilindro!N492-(-D$4+Presion_cilindro!$B$34))/Presion_cilindro!$B$35)^(Presion_cilindro!$B$17+1)),0))/((Presion_cilindro!O492+Presion_cilindro!O493)/2)</f>
        <v>7.9981232411467467</v>
      </c>
      <c r="E501" s="27">
        <f>E500*(Presion_cilindro!O492/Presion_cilindro!O493)^Presion_cilindro!$B$9+10*(Presion_cilindro!$B$9-1)*Presion_cilindro!$B$33*(IF(Presion_cilindro!N493&gt;(-E$4+Presion_cilindro!$B$34),1-EXP(-Presion_cilindro!$B$16*((Presion_cilindro!N493-(-E$4+Presion_cilindro!$B$34))/Presion_cilindro!$B$35)^(Presion_cilindro!$B$17+1)),0)-IF(Presion_cilindro!N492&gt;(-E$4+Presion_cilindro!$B$34),1-EXP(-Presion_cilindro!$B$16*((Presion_cilindro!N492-(-E$4+Presion_cilindro!$B$34))/Presion_cilindro!$B$35)^(Presion_cilindro!$B$17+1)),0))/((Presion_cilindro!O492+Presion_cilindro!O493)/2)</f>
        <v>7.7816839011923262</v>
      </c>
      <c r="F501" s="27">
        <f>F500*(Presion_cilindro!O492/Presion_cilindro!O493)^Presion_cilindro!$B$9+10*(Presion_cilindro!$B$9-1)*Presion_cilindro!$B$33*(IF(Presion_cilindro!N493&gt;(-F$4+Presion_cilindro!$B$34),1-EXP(-Presion_cilindro!$B$16*((Presion_cilindro!N493-(-F$4+Presion_cilindro!$B$34))/Presion_cilindro!$B$35)^(Presion_cilindro!$B$17+1)),0)-IF(Presion_cilindro!N492&gt;(-F$4+Presion_cilindro!$B$34),1-EXP(-Presion_cilindro!$B$16*((Presion_cilindro!N492-(-F$4+Presion_cilindro!$B$34))/Presion_cilindro!$B$35)^(Presion_cilindro!$B$17+1)),0))/((Presion_cilindro!O492+Presion_cilindro!O493)/2)</f>
        <v>7.6020871854651011</v>
      </c>
      <c r="G501" s="27">
        <f>G500*(Presion_cilindro!O492/Presion_cilindro!O493)^Presion_cilindro!$B$9+10*(Presion_cilindro!$B$9-1)*Presion_cilindro!$B$33*(IF(Presion_cilindro!N493&gt;(-G$4+Presion_cilindro!$B$34),1-EXP(-Presion_cilindro!$B$16*((Presion_cilindro!N493-(-G$4+Presion_cilindro!$B$34))/Presion_cilindro!$B$35)^(Presion_cilindro!$B$17+1)),0)-IF(Presion_cilindro!N492&gt;(-G$4+Presion_cilindro!$B$34),1-EXP(-Presion_cilindro!$B$16*((Presion_cilindro!N492-(-G$4+Presion_cilindro!$B$34))/Presion_cilindro!$B$35)^(Presion_cilindro!$B$17+1)),0))/((Presion_cilindro!O492+Presion_cilindro!O493)/2)</f>
        <v>7.4690071056221585</v>
      </c>
      <c r="H501" s="27">
        <f>H500*(Presion_cilindro!O492/Presion_cilindro!O493)^Presion_cilindro!$B$9+10*(Presion_cilindro!$B$9-1)*Presion_cilindro!$B$33*(IF(Presion_cilindro!N493&gt;(-H$4+Presion_cilindro!$B$34),1-EXP(-Presion_cilindro!$B$16*((Presion_cilindro!N493-(-H$4+Presion_cilindro!$B$34))/Presion_cilindro!$B$35)^(Presion_cilindro!$B$17+1)),0)-IF(Presion_cilindro!N492&gt;(-H$4+Presion_cilindro!$B$34),1-EXP(-Presion_cilindro!$B$16*((Presion_cilindro!N492-(-H$4+Presion_cilindro!$B$34))/Presion_cilindro!$B$35)^(Presion_cilindro!$B$17+1)),0))/((Presion_cilindro!O492+Presion_cilindro!O493)/2)</f>
        <v>7.3905049063476342</v>
      </c>
      <c r="I501" s="27">
        <f>I500*(Presion_cilindro!O492/Presion_cilindro!O493)^Presion_cilindro!$B$9+10*(Presion_cilindro!$B$9-1)*Presion_cilindro!$B$33*(IF(Presion_cilindro!N493&gt;(-I$4+Presion_cilindro!$B$34),1-EXP(-Presion_cilindro!$B$16*((Presion_cilindro!N493-(-I$4+Presion_cilindro!$B$34))/Presion_cilindro!$B$35)^(Presion_cilindro!$B$17+1)),0)-IF(Presion_cilindro!N492&gt;(-I$4+Presion_cilindro!$B$34),1-EXP(-Presion_cilindro!$B$16*((Presion_cilindro!N492-(-I$4+Presion_cilindro!$B$34))/Presion_cilindro!$B$35)^(Presion_cilindro!$B$17+1)),0))/((Presion_cilindro!O492+Presion_cilindro!O493)/2)</f>
        <v>7.3716744185822662</v>
      </c>
      <c r="J501" s="27">
        <f>J500*(Presion_cilindro!O492/Presion_cilindro!O493)^Presion_cilindro!$B$9+10*(Presion_cilindro!$B$9-1)*Presion_cilindro!$B$33*(IF(Presion_cilindro!N493&gt;(-J$4+Presion_cilindro!$B$34),1-EXP(-Presion_cilindro!$B$16*((Presion_cilindro!N493-(-J$4+Presion_cilindro!$B$34))/Presion_cilindro!$B$35)^(Presion_cilindro!$B$17+1)),0)-IF(Presion_cilindro!N492&gt;(-J$4+Presion_cilindro!$B$34),1-EXP(-Presion_cilindro!$B$16*((Presion_cilindro!N492-(-J$4+Presion_cilindro!$B$34))/Presion_cilindro!$B$35)^(Presion_cilindro!$B$17+1)),0))/((Presion_cilindro!O492+Presion_cilindro!O493)/2)</f>
        <v>7.413688444263836</v>
      </c>
      <c r="K501" s="27">
        <f>K500*(Presion_cilindro!O492/Presion_cilindro!O493)^Presion_cilindro!$B$9+10*(Presion_cilindro!$B$9-1)*Presion_cilindro!$B$33*(IF(Presion_cilindro!N493&gt;(-K$4+Presion_cilindro!$B$34),1-EXP(-Presion_cilindro!$B$16*((Presion_cilindro!N493-(-K$4+Presion_cilindro!$B$34))/Presion_cilindro!$B$35)^(Presion_cilindro!$B$17+1)),0)-IF(Presion_cilindro!N492&gt;(-K$4+Presion_cilindro!$B$34),1-EXP(-Presion_cilindro!$B$16*((Presion_cilindro!N492-(-K$4+Presion_cilindro!$B$34))/Presion_cilindro!$B$35)^(Presion_cilindro!$B$17+1)),0))/((Presion_cilindro!O492+Presion_cilindro!O493)/2)</f>
        <v>7.5135952559287533</v>
      </c>
      <c r="L501" s="27">
        <f>L500*(Presion_cilindro!O492/Presion_cilindro!O493)^Presion_cilindro!$B$9+10*(Presion_cilindro!$B$9-1)*Presion_cilindro!$B$33*(IF(Presion_cilindro!N493&gt;(-L$4+Presion_cilindro!$B$34),1-EXP(-Presion_cilindro!$B$16*((Presion_cilindro!N493-(-L$4+Presion_cilindro!$B$34))/Presion_cilindro!$B$35)^(Presion_cilindro!$B$17+1)),0)-IF(Presion_cilindro!N492&gt;(-L$4+Presion_cilindro!$B$34),1-EXP(-Presion_cilindro!$B$16*((Presion_cilindro!N492-(-L$4+Presion_cilindro!$B$34))/Presion_cilindro!$B$35)^(Presion_cilindro!$B$17+1)),0))/((Presion_cilindro!O492+Presion_cilindro!O493)/2)</f>
        <v>7.6649288192600329</v>
      </c>
      <c r="M501" s="27">
        <f>M500*(Presion_cilindro!O492/Presion_cilindro!O493)^Presion_cilindro!$B$9+10*(Presion_cilindro!$B$9-1)*Presion_cilindro!$B$33*(IF(Presion_cilindro!N493&gt;(-M$4+Presion_cilindro!$B$34),1-EXP(-Presion_cilindro!$B$16*((Presion_cilindro!N493-(-M$4+Presion_cilindro!$B$34))/Presion_cilindro!$B$35)^(Presion_cilindro!$B$17+1)),0)-IF(Presion_cilindro!N492&gt;(-M$4+Presion_cilindro!$B$34),1-EXP(-Presion_cilindro!$B$16*((Presion_cilindro!N492-(-M$4+Presion_cilindro!$B$34))/Presion_cilindro!$B$35)^(Presion_cilindro!$B$17+1)),0))/((Presion_cilindro!O492+Presion_cilindro!O493)/2)</f>
        <v>7.8589019770326374</v>
      </c>
      <c r="N501" s="27">
        <f>N500*(Presion_cilindro!O492/Presion_cilindro!O493)^Presion_cilindro!$B$9+10*(Presion_cilindro!$B$9-1)*Presion_cilindro!$B$33*(IF(Presion_cilindro!N493&gt;(-N$4+Presion_cilindro!$B$34),1-EXP(-Presion_cilindro!$B$16*((Presion_cilindro!N493-(-N$4+Presion_cilindro!$B$34))/Presion_cilindro!$B$35)^(Presion_cilindro!$B$17+1)),0)-IF(Presion_cilindro!N492&gt;(-N$4+Presion_cilindro!$B$34),1-EXP(-Presion_cilindro!$B$16*((Presion_cilindro!N492-(-N$4+Presion_cilindro!$B$34))/Presion_cilindro!$B$35)^(Presion_cilindro!$B$17+1)),0))/((Presion_cilindro!O492+Presion_cilindro!O493)/2)</f>
        <v>8.0857845500007315</v>
      </c>
    </row>
    <row r="502" spans="1:14" x14ac:dyDescent="0.25">
      <c r="A502" s="21">
        <f>Presion_cilindro!N494</f>
        <v>65</v>
      </c>
      <c r="B502" s="27">
        <f>B501*(Presion_cilindro!O493/Presion_cilindro!O494)^Presion_cilindro!$B$9+10*(Presion_cilindro!$B$9-1)*Presion_cilindro!$B$33*(IF(Presion_cilindro!N494&gt;(-B$4+Presion_cilindro!$B$34),1-EXP(-Presion_cilindro!$B$16*((Presion_cilindro!N494-(-B$4+Presion_cilindro!$B$34))/Presion_cilindro!$B$35)^(Presion_cilindro!$B$17+1)),0)-IF(Presion_cilindro!N493&gt;(-B$4+Presion_cilindro!$B$34),1-EXP(-Presion_cilindro!$B$16*((Presion_cilindro!N493-(-B$4+Presion_cilindro!$B$34))/Presion_cilindro!$B$35)^(Presion_cilindro!$B$17+1)),0))/((Presion_cilindro!O493+Presion_cilindro!O494)/2)</f>
        <v>8.3909459283539309</v>
      </c>
      <c r="C502" s="27">
        <f>C501*(Presion_cilindro!O493/Presion_cilindro!O494)^Presion_cilindro!$B$9+10*(Presion_cilindro!$B$9-1)*Presion_cilindro!$B$33*(IF(Presion_cilindro!N494&gt;(-C$4+Presion_cilindro!$B$34),1-EXP(-Presion_cilindro!$B$16*((Presion_cilindro!N494-(-C$4+Presion_cilindro!$B$34))/Presion_cilindro!$B$35)^(Presion_cilindro!$B$17+1)),0)-IF(Presion_cilindro!N493&gt;(-C$4+Presion_cilindro!$B$34),1-EXP(-Presion_cilindro!$B$16*((Presion_cilindro!N493-(-C$4+Presion_cilindro!$B$34))/Presion_cilindro!$B$35)^(Presion_cilindro!$B$17+1)),0))/((Presion_cilindro!O493+Presion_cilindro!O494)/2)</f>
        <v>8.1354644835996979</v>
      </c>
      <c r="D502" s="27">
        <f>D501*(Presion_cilindro!O493/Presion_cilindro!O494)^Presion_cilindro!$B$9+10*(Presion_cilindro!$B$9-1)*Presion_cilindro!$B$33*(IF(Presion_cilindro!N494&gt;(-D$4+Presion_cilindro!$B$34),1-EXP(-Presion_cilindro!$B$16*((Presion_cilindro!N494-(-D$4+Presion_cilindro!$B$34))/Presion_cilindro!$B$35)^(Presion_cilindro!$B$17+1)),0)-IF(Presion_cilindro!N493&gt;(-D$4+Presion_cilindro!$B$34),1-EXP(-Presion_cilindro!$B$16*((Presion_cilindro!N493-(-D$4+Presion_cilindro!$B$34))/Presion_cilindro!$B$35)^(Presion_cilindro!$B$17+1)),0))/((Presion_cilindro!O493+Presion_cilindro!O494)/2)</f>
        <v>7.8954065770790942</v>
      </c>
      <c r="E502" s="27">
        <f>E501*(Presion_cilindro!O493/Presion_cilindro!O494)^Presion_cilindro!$B$9+10*(Presion_cilindro!$B$9-1)*Presion_cilindro!$B$33*(IF(Presion_cilindro!N494&gt;(-E$4+Presion_cilindro!$B$34),1-EXP(-Presion_cilindro!$B$16*((Presion_cilindro!N494-(-E$4+Presion_cilindro!$B$34))/Presion_cilindro!$B$35)^(Presion_cilindro!$B$17+1)),0)-IF(Presion_cilindro!N493&gt;(-E$4+Presion_cilindro!$B$34),1-EXP(-Presion_cilindro!$B$16*((Presion_cilindro!N493-(-E$4+Presion_cilindro!$B$34))/Presion_cilindro!$B$35)^(Presion_cilindro!$B$17+1)),0))/((Presion_cilindro!O493+Presion_cilindro!O494)/2)</f>
        <v>7.6817403388922472</v>
      </c>
      <c r="F502" s="27">
        <f>F501*(Presion_cilindro!O493/Presion_cilindro!O494)^Presion_cilindro!$B$9+10*(Presion_cilindro!$B$9-1)*Presion_cilindro!$B$33*(IF(Presion_cilindro!N494&gt;(-F$4+Presion_cilindro!$B$34),1-EXP(-Presion_cilindro!$B$16*((Presion_cilindro!N494-(-F$4+Presion_cilindro!$B$34))/Presion_cilindro!$B$35)^(Presion_cilindro!$B$17+1)),0)-IF(Presion_cilindro!N493&gt;(-F$4+Presion_cilindro!$B$34),1-EXP(-Presion_cilindro!$B$16*((Presion_cilindro!N493-(-F$4+Presion_cilindro!$B$34))/Presion_cilindro!$B$35)^(Presion_cilindro!$B$17+1)),0))/((Presion_cilindro!O493+Presion_cilindro!O494)/2)</f>
        <v>7.5044498826137929</v>
      </c>
      <c r="G502" s="27">
        <f>G501*(Presion_cilindro!O493/Presion_cilindro!O494)^Presion_cilindro!$B$9+10*(Presion_cilindro!$B$9-1)*Presion_cilindro!$B$33*(IF(Presion_cilindro!N494&gt;(-G$4+Presion_cilindro!$B$34),1-EXP(-Presion_cilindro!$B$16*((Presion_cilindro!N494-(-G$4+Presion_cilindro!$B$34))/Presion_cilindro!$B$35)^(Presion_cilindro!$B$17+1)),0)-IF(Presion_cilindro!N493&gt;(-G$4+Presion_cilindro!$B$34),1-EXP(-Presion_cilindro!$B$16*((Presion_cilindro!N493-(-G$4+Presion_cilindro!$B$34))/Presion_cilindro!$B$35)^(Presion_cilindro!$B$17+1)),0))/((Presion_cilindro!O493+Presion_cilindro!O494)/2)</f>
        <v>7.3730790010736564</v>
      </c>
      <c r="H502" s="27">
        <f>H501*(Presion_cilindro!O493/Presion_cilindro!O494)^Presion_cilindro!$B$9+10*(Presion_cilindro!$B$9-1)*Presion_cilindro!$B$33*(IF(Presion_cilindro!N494&gt;(-H$4+Presion_cilindro!$B$34),1-EXP(-Presion_cilindro!$B$16*((Presion_cilindro!N494-(-H$4+Presion_cilindro!$B$34))/Presion_cilindro!$B$35)^(Presion_cilindro!$B$17+1)),0)-IF(Presion_cilindro!N493&gt;(-H$4+Presion_cilindro!$B$34),1-EXP(-Presion_cilindro!$B$16*((Presion_cilindro!N493-(-H$4+Presion_cilindro!$B$34))/Presion_cilindro!$B$35)^(Presion_cilindro!$B$17+1)),0))/((Presion_cilindro!O493+Presion_cilindro!O494)/2)</f>
        <v>7.2955850435568239</v>
      </c>
      <c r="I502" s="27">
        <f>I501*(Presion_cilindro!O493/Presion_cilindro!O494)^Presion_cilindro!$B$9+10*(Presion_cilindro!$B$9-1)*Presion_cilindro!$B$33*(IF(Presion_cilindro!N494&gt;(-I$4+Presion_cilindro!$B$34),1-EXP(-Presion_cilindro!$B$16*((Presion_cilindro!N494-(-I$4+Presion_cilindro!$B$34))/Presion_cilindro!$B$35)^(Presion_cilindro!$B$17+1)),0)-IF(Presion_cilindro!N493&gt;(-I$4+Presion_cilindro!$B$34),1-EXP(-Presion_cilindro!$B$16*((Presion_cilindro!N493-(-I$4+Presion_cilindro!$B$34))/Presion_cilindro!$B$35)^(Presion_cilindro!$B$17+1)),0))/((Presion_cilindro!O493+Presion_cilindro!O494)/2)</f>
        <v>7.2769964049352991</v>
      </c>
      <c r="J502" s="27">
        <f>J501*(Presion_cilindro!O493/Presion_cilindro!O494)^Presion_cilindro!$B$9+10*(Presion_cilindro!$B$9-1)*Presion_cilindro!$B$33*(IF(Presion_cilindro!N494&gt;(-J$4+Presion_cilindro!$B$34),1-EXP(-Presion_cilindro!$B$16*((Presion_cilindro!N494-(-J$4+Presion_cilindro!$B$34))/Presion_cilindro!$B$35)^(Presion_cilindro!$B$17+1)),0)-IF(Presion_cilindro!N493&gt;(-J$4+Presion_cilindro!$B$34),1-EXP(-Presion_cilindro!$B$16*((Presion_cilindro!N493-(-J$4+Presion_cilindro!$B$34))/Presion_cilindro!$B$35)^(Presion_cilindro!$B$17+1)),0))/((Presion_cilindro!O493+Presion_cilindro!O494)/2)</f>
        <v>7.3184708239724054</v>
      </c>
      <c r="K502" s="27">
        <f>K501*(Presion_cilindro!O493/Presion_cilindro!O494)^Presion_cilindro!$B$9+10*(Presion_cilindro!$B$9-1)*Presion_cilindro!$B$33*(IF(Presion_cilindro!N494&gt;(-K$4+Presion_cilindro!$B$34),1-EXP(-Presion_cilindro!$B$16*((Presion_cilindro!N494-(-K$4+Presion_cilindro!$B$34))/Presion_cilindro!$B$35)^(Presion_cilindro!$B$17+1)),0)-IF(Presion_cilindro!N493&gt;(-K$4+Presion_cilindro!$B$34),1-EXP(-Presion_cilindro!$B$16*((Presion_cilindro!N493-(-K$4+Presion_cilindro!$B$34))/Presion_cilindro!$B$35)^(Presion_cilindro!$B$17+1)),0))/((Presion_cilindro!O493+Presion_cilindro!O494)/2)</f>
        <v>7.417094483677384</v>
      </c>
      <c r="L502" s="27">
        <f>L501*(Presion_cilindro!O493/Presion_cilindro!O494)^Presion_cilindro!$B$9+10*(Presion_cilindro!$B$9-1)*Presion_cilindro!$B$33*(IF(Presion_cilindro!N494&gt;(-L$4+Presion_cilindro!$B$34),1-EXP(-Presion_cilindro!$B$16*((Presion_cilindro!N494-(-L$4+Presion_cilindro!$B$34))/Presion_cilindro!$B$35)^(Presion_cilindro!$B$17+1)),0)-IF(Presion_cilindro!N493&gt;(-L$4+Presion_cilindro!$B$34),1-EXP(-Presion_cilindro!$B$16*((Presion_cilindro!N493-(-L$4+Presion_cilindro!$B$34))/Presion_cilindro!$B$35)^(Presion_cilindro!$B$17+1)),0))/((Presion_cilindro!O493+Presion_cilindro!O494)/2)</f>
        <v>7.5664843961688746</v>
      </c>
      <c r="M502" s="27">
        <f>M501*(Presion_cilindro!O493/Presion_cilindro!O494)^Presion_cilindro!$B$9+10*(Presion_cilindro!$B$9-1)*Presion_cilindro!$B$33*(IF(Presion_cilindro!N494&gt;(-M$4+Presion_cilindro!$B$34),1-EXP(-Presion_cilindro!$B$16*((Presion_cilindro!N494-(-M$4+Presion_cilindro!$B$34))/Presion_cilindro!$B$35)^(Presion_cilindro!$B$17+1)),0)-IF(Presion_cilindro!N493&gt;(-M$4+Presion_cilindro!$B$34),1-EXP(-Presion_cilindro!$B$16*((Presion_cilindro!N493-(-M$4+Presion_cilindro!$B$34))/Presion_cilindro!$B$35)^(Presion_cilindro!$B$17+1)),0))/((Presion_cilindro!O493+Presion_cilindro!O494)/2)</f>
        <v>7.7579662619722551</v>
      </c>
      <c r="N502" s="27">
        <f>N501*(Presion_cilindro!O493/Presion_cilindro!O494)^Presion_cilindro!$B$9+10*(Presion_cilindro!$B$9-1)*Presion_cilindro!$B$33*(IF(Presion_cilindro!N494&gt;(-N$4+Presion_cilindro!$B$34),1-EXP(-Presion_cilindro!$B$16*((Presion_cilindro!N494-(-N$4+Presion_cilindro!$B$34))/Presion_cilindro!$B$35)^(Presion_cilindro!$B$17+1)),0)-IF(Presion_cilindro!N493&gt;(-N$4+Presion_cilindro!$B$34),1-EXP(-Presion_cilindro!$B$16*((Presion_cilindro!N493-(-N$4+Presion_cilindro!$B$34))/Presion_cilindro!$B$35)^(Presion_cilindro!$B$17+1)),0))/((Presion_cilindro!O493+Presion_cilindro!O494)/2)</f>
        <v>7.9819348712843325</v>
      </c>
    </row>
    <row r="503" spans="1:14" x14ac:dyDescent="0.25">
      <c r="A503" s="21">
        <f>Presion_cilindro!N495</f>
        <v>65.5</v>
      </c>
      <c r="B503" s="27">
        <f>B502*(Presion_cilindro!O494/Presion_cilindro!O495)^Presion_cilindro!$B$9+10*(Presion_cilindro!$B$9-1)*Presion_cilindro!$B$33*(IF(Presion_cilindro!N495&gt;(-B$4+Presion_cilindro!$B$34),1-EXP(-Presion_cilindro!$B$16*((Presion_cilindro!N495-(-B$4+Presion_cilindro!$B$34))/Presion_cilindro!$B$35)^(Presion_cilindro!$B$17+1)),0)-IF(Presion_cilindro!N494&gt;(-B$4+Presion_cilindro!$B$34),1-EXP(-Presion_cilindro!$B$16*((Presion_cilindro!N494-(-B$4+Presion_cilindro!$B$34))/Presion_cilindro!$B$35)^(Presion_cilindro!$B$17+1)),0))/((Presion_cilindro!O494+Presion_cilindro!O495)/2)</f>
        <v>8.2845201366073979</v>
      </c>
      <c r="C503" s="27">
        <f>C502*(Presion_cilindro!O494/Presion_cilindro!O495)^Presion_cilindro!$B$9+10*(Presion_cilindro!$B$9-1)*Presion_cilindro!$B$33*(IF(Presion_cilindro!N495&gt;(-C$4+Presion_cilindro!$B$34),1-EXP(-Presion_cilindro!$B$16*((Presion_cilindro!N495-(-C$4+Presion_cilindro!$B$34))/Presion_cilindro!$B$35)^(Presion_cilindro!$B$17+1)),0)-IF(Presion_cilindro!N494&gt;(-C$4+Presion_cilindro!$B$34),1-EXP(-Presion_cilindro!$B$16*((Presion_cilindro!N494-(-C$4+Presion_cilindro!$B$34))/Presion_cilindro!$B$35)^(Presion_cilindro!$B$17+1)),0))/((Presion_cilindro!O494+Presion_cilindro!O495)/2)</f>
        <v>8.0318340974083746</v>
      </c>
      <c r="D503" s="27">
        <f>D502*(Presion_cilindro!O494/Presion_cilindro!O495)^Presion_cilindro!$B$9+10*(Presion_cilindro!$B$9-1)*Presion_cilindro!$B$33*(IF(Presion_cilindro!N495&gt;(-D$4+Presion_cilindro!$B$34),1-EXP(-Presion_cilindro!$B$16*((Presion_cilindro!N495-(-D$4+Presion_cilindro!$B$34))/Presion_cilindro!$B$35)^(Presion_cilindro!$B$17+1)),0)-IF(Presion_cilindro!N494&gt;(-D$4+Presion_cilindro!$B$34),1-EXP(-Presion_cilindro!$B$16*((Presion_cilindro!N494-(-D$4+Presion_cilindro!$B$34))/Presion_cilindro!$B$35)^(Presion_cilindro!$B$17+1)),0))/((Presion_cilindro!O494+Presion_cilindro!O495)/2)</f>
        <v>7.7947762494733528</v>
      </c>
      <c r="E503" s="27">
        <f>E502*(Presion_cilindro!O494/Presion_cilindro!O495)^Presion_cilindro!$B$9+10*(Presion_cilindro!$B$9-1)*Presion_cilindro!$B$33*(IF(Presion_cilindro!N495&gt;(-E$4+Presion_cilindro!$B$34),1-EXP(-Presion_cilindro!$B$16*((Presion_cilindro!N495-(-E$4+Presion_cilindro!$B$34))/Presion_cilindro!$B$35)^(Presion_cilindro!$B$17+1)),0)-IF(Presion_cilindro!N494&gt;(-E$4+Presion_cilindro!$B$34),1-EXP(-Presion_cilindro!$B$16*((Presion_cilindro!N494-(-E$4+Presion_cilindro!$B$34))/Presion_cilindro!$B$35)^(Presion_cilindro!$B$17+1)),0))/((Presion_cilindro!O494+Presion_cilindro!O495)/2)</f>
        <v>7.5838283087914515</v>
      </c>
      <c r="F503" s="27">
        <f>F502*(Presion_cilindro!O494/Presion_cilindro!O495)^Presion_cilindro!$B$9+10*(Presion_cilindro!$B$9-1)*Presion_cilindro!$B$33*(IF(Presion_cilindro!N495&gt;(-F$4+Presion_cilindro!$B$34),1-EXP(-Presion_cilindro!$B$16*((Presion_cilindro!N495-(-F$4+Presion_cilindro!$B$34))/Presion_cilindro!$B$35)^(Presion_cilindro!$B$17+1)),0)-IF(Presion_cilindro!N494&gt;(-F$4+Presion_cilindro!$B$34),1-EXP(-Presion_cilindro!$B$16*((Presion_cilindro!N494-(-F$4+Presion_cilindro!$B$34))/Presion_cilindro!$B$35)^(Presion_cilindro!$B$17+1)),0))/((Presion_cilindro!O494+Presion_cilindro!O495)/2)</f>
        <v>7.4087973341148095</v>
      </c>
      <c r="G503" s="27">
        <f>G502*(Presion_cilindro!O494/Presion_cilindro!O495)^Presion_cilindro!$B$9+10*(Presion_cilindro!$B$9-1)*Presion_cilindro!$B$33*(IF(Presion_cilindro!N495&gt;(-G$4+Presion_cilindro!$B$34),1-EXP(-Presion_cilindro!$B$16*((Presion_cilindro!N495-(-G$4+Presion_cilindro!$B$34))/Presion_cilindro!$B$35)^(Presion_cilindro!$B$17+1)),0)-IF(Presion_cilindro!N494&gt;(-G$4+Presion_cilindro!$B$34),1-EXP(-Presion_cilindro!$B$16*((Presion_cilindro!N494-(-G$4+Presion_cilindro!$B$34))/Presion_cilindro!$B$35)^(Presion_cilindro!$B$17+1)),0))/((Presion_cilindro!O494+Presion_cilindro!O495)/2)</f>
        <v>7.2791009107527378</v>
      </c>
      <c r="H503" s="27">
        <f>H502*(Presion_cilindro!O494/Presion_cilindro!O495)^Presion_cilindro!$B$9+10*(Presion_cilindro!$B$9-1)*Presion_cilindro!$B$33*(IF(Presion_cilindro!N495&gt;(-H$4+Presion_cilindro!$B$34),1-EXP(-Presion_cilindro!$B$16*((Presion_cilindro!N495-(-H$4+Presion_cilindro!$B$34))/Presion_cilindro!$B$35)^(Presion_cilindro!$B$17+1)),0)-IF(Presion_cilindro!N494&gt;(-H$4+Presion_cilindro!$B$34),1-EXP(-Presion_cilindro!$B$16*((Presion_cilindro!N494-(-H$4+Presion_cilindro!$B$34))/Presion_cilindro!$B$35)^(Presion_cilindro!$B$17+1)),0))/((Presion_cilindro!O494+Presion_cilindro!O495)/2)</f>
        <v>7.2025946996883272</v>
      </c>
      <c r="I503" s="27">
        <f>I502*(Presion_cilindro!O494/Presion_cilindro!O495)^Presion_cilindro!$B$9+10*(Presion_cilindro!$B$9-1)*Presion_cilindro!$B$33*(IF(Presion_cilindro!N495&gt;(-I$4+Presion_cilindro!$B$34),1-EXP(-Presion_cilindro!$B$16*((Presion_cilindro!N495-(-I$4+Presion_cilindro!$B$34))/Presion_cilindro!$B$35)^(Presion_cilindro!$B$17+1)),0)-IF(Presion_cilindro!N494&gt;(-I$4+Presion_cilindro!$B$34),1-EXP(-Presion_cilindro!$B$16*((Presion_cilindro!N494-(-I$4+Presion_cilindro!$B$34))/Presion_cilindro!$B$35)^(Presion_cilindro!$B$17+1)),0))/((Presion_cilindro!O494+Presion_cilindro!O495)/2)</f>
        <v>7.1842429939334833</v>
      </c>
      <c r="J503" s="27">
        <f>J502*(Presion_cilindro!O494/Presion_cilindro!O495)^Presion_cilindro!$B$9+10*(Presion_cilindro!$B$9-1)*Presion_cilindro!$B$33*(IF(Presion_cilindro!N495&gt;(-J$4+Presion_cilindro!$B$34),1-EXP(-Presion_cilindro!$B$16*((Presion_cilindro!N495-(-J$4+Presion_cilindro!$B$34))/Presion_cilindro!$B$35)^(Presion_cilindro!$B$17+1)),0)-IF(Presion_cilindro!N494&gt;(-J$4+Presion_cilindro!$B$34),1-EXP(-Presion_cilindro!$B$16*((Presion_cilindro!N494-(-J$4+Presion_cilindro!$B$34))/Presion_cilindro!$B$35)^(Presion_cilindro!$B$17+1)),0))/((Presion_cilindro!O494+Presion_cilindro!O495)/2)</f>
        <v>7.2251887753815236</v>
      </c>
      <c r="K503" s="27">
        <f>K502*(Presion_cilindro!O494/Presion_cilindro!O495)^Presion_cilindro!$B$9+10*(Presion_cilindro!$B$9-1)*Presion_cilindro!$B$33*(IF(Presion_cilindro!N495&gt;(-K$4+Presion_cilindro!$B$34),1-EXP(-Presion_cilindro!$B$16*((Presion_cilindro!N495-(-K$4+Presion_cilindro!$B$34))/Presion_cilindro!$B$35)^(Presion_cilindro!$B$17+1)),0)-IF(Presion_cilindro!N494&gt;(-K$4+Presion_cilindro!$B$34),1-EXP(-Presion_cilindro!$B$16*((Presion_cilindro!N494-(-K$4+Presion_cilindro!$B$34))/Presion_cilindro!$B$35)^(Presion_cilindro!$B$17+1)),0))/((Presion_cilindro!O494+Presion_cilindro!O495)/2)</f>
        <v>7.3225553668767507</v>
      </c>
      <c r="L503" s="27">
        <f>L502*(Presion_cilindro!O494/Presion_cilindro!O495)^Presion_cilindro!$B$9+10*(Presion_cilindro!$B$9-1)*Presion_cilindro!$B$33*(IF(Presion_cilindro!N495&gt;(-L$4+Presion_cilindro!$B$34),1-EXP(-Presion_cilindro!$B$16*((Presion_cilindro!N495-(-L$4+Presion_cilindro!$B$34))/Presion_cilindro!$B$35)^(Presion_cilindro!$B$17+1)),0)-IF(Presion_cilindro!N494&gt;(-L$4+Presion_cilindro!$B$34),1-EXP(-Presion_cilindro!$B$16*((Presion_cilindro!N494-(-L$4+Presion_cilindro!$B$34))/Presion_cilindro!$B$35)^(Presion_cilindro!$B$17+1)),0))/((Presion_cilindro!O494+Presion_cilindro!O495)/2)</f>
        <v>7.4700411388160406</v>
      </c>
      <c r="M503" s="27">
        <f>M502*(Presion_cilindro!O494/Presion_cilindro!O495)^Presion_cilindro!$B$9+10*(Presion_cilindro!$B$9-1)*Presion_cilindro!$B$33*(IF(Presion_cilindro!N495&gt;(-M$4+Presion_cilindro!$B$34),1-EXP(-Presion_cilindro!$B$16*((Presion_cilindro!N495-(-M$4+Presion_cilindro!$B$34))/Presion_cilindro!$B$35)^(Presion_cilindro!$B$17+1)),0)-IF(Presion_cilindro!N494&gt;(-M$4+Presion_cilindro!$B$34),1-EXP(-Presion_cilindro!$B$16*((Presion_cilindro!N494-(-M$4+Presion_cilindro!$B$34))/Presion_cilindro!$B$35)^(Presion_cilindro!$B$17+1)),0))/((Presion_cilindro!O494+Presion_cilindro!O495)/2)</f>
        <v>7.6590823553171612</v>
      </c>
      <c r="N503" s="27">
        <f>N502*(Presion_cilindro!O494/Presion_cilindro!O495)^Presion_cilindro!$B$9+10*(Presion_cilindro!$B$9-1)*Presion_cilindro!$B$33*(IF(Presion_cilindro!N495&gt;(-N$4+Presion_cilindro!$B$34),1-EXP(-Presion_cilindro!$B$16*((Presion_cilindro!N495-(-N$4+Presion_cilindro!$B$34))/Presion_cilindro!$B$35)^(Presion_cilindro!$B$17+1)),0)-IF(Presion_cilindro!N494&gt;(-N$4+Presion_cilindro!$B$34),1-EXP(-Presion_cilindro!$B$16*((Presion_cilindro!N494-(-N$4+Presion_cilindro!$B$34))/Presion_cilindro!$B$35)^(Presion_cilindro!$B$17+1)),0))/((Presion_cilindro!O494+Presion_cilindro!O495)/2)</f>
        <v>7.8801962356565891</v>
      </c>
    </row>
    <row r="504" spans="1:14" x14ac:dyDescent="0.25">
      <c r="A504" s="21">
        <f>Presion_cilindro!N496</f>
        <v>66</v>
      </c>
      <c r="B504" s="27">
        <f>B503*(Presion_cilindro!O495/Presion_cilindro!O496)^Presion_cilindro!$B$9+10*(Presion_cilindro!$B$9-1)*Presion_cilindro!$B$33*(IF(Presion_cilindro!N496&gt;(-B$4+Presion_cilindro!$B$34),1-EXP(-Presion_cilindro!$B$16*((Presion_cilindro!N496-(-B$4+Presion_cilindro!$B$34))/Presion_cilindro!$B$35)^(Presion_cilindro!$B$17+1)),0)-IF(Presion_cilindro!N495&gt;(-B$4+Presion_cilindro!$B$34),1-EXP(-Presion_cilindro!$B$16*((Presion_cilindro!N495-(-B$4+Presion_cilindro!$B$34))/Presion_cilindro!$B$35)^(Presion_cilindro!$B$17+1)),0))/((Presion_cilindro!O495+Presion_cilindro!O496)/2)</f>
        <v>8.1801589549252487</v>
      </c>
      <c r="C504" s="27">
        <f>C503*(Presion_cilindro!O495/Presion_cilindro!O496)^Presion_cilindro!$B$9+10*(Presion_cilindro!$B$9-1)*Presion_cilindro!$B$33*(IF(Presion_cilindro!N496&gt;(-C$4+Presion_cilindro!$B$34),1-EXP(-Presion_cilindro!$B$16*((Presion_cilindro!N496-(-C$4+Presion_cilindro!$B$34))/Presion_cilindro!$B$35)^(Presion_cilindro!$B$17+1)),0)-IF(Presion_cilindro!N495&gt;(-C$4+Presion_cilindro!$B$34),1-EXP(-Presion_cilindro!$B$16*((Presion_cilindro!N495-(-C$4+Presion_cilindro!$B$34))/Presion_cilindro!$B$35)^(Presion_cilindro!$B$17+1)),0))/((Presion_cilindro!O495+Presion_cilindro!O496)/2)</f>
        <v>7.9302901998411359</v>
      </c>
      <c r="D504" s="27">
        <f>D503*(Presion_cilindro!O495/Presion_cilindro!O496)^Presion_cilindro!$B$9+10*(Presion_cilindro!$B$9-1)*Presion_cilindro!$B$33*(IF(Presion_cilindro!N496&gt;(-D$4+Presion_cilindro!$B$34),1-EXP(-Presion_cilindro!$B$16*((Presion_cilindro!N496-(-D$4+Presion_cilindro!$B$34))/Presion_cilindro!$B$35)^(Presion_cilindro!$B$17+1)),0)-IF(Presion_cilindro!N495&gt;(-D$4+Presion_cilindro!$B$34),1-EXP(-Presion_cilindro!$B$16*((Presion_cilindro!N495-(-D$4+Presion_cilindro!$B$34))/Presion_cilindro!$B$35)^(Presion_cilindro!$B$17+1)),0))/((Presion_cilindro!O495+Presion_cilindro!O496)/2)</f>
        <v>7.69618373995025</v>
      </c>
      <c r="E504" s="27">
        <f>E503*(Presion_cilindro!O495/Presion_cilindro!O496)^Presion_cilindro!$B$9+10*(Presion_cilindro!$B$9-1)*Presion_cilindro!$B$33*(IF(Presion_cilindro!N496&gt;(-E$4+Presion_cilindro!$B$34),1-EXP(-Presion_cilindro!$B$16*((Presion_cilindro!N496-(-E$4+Presion_cilindro!$B$34))/Presion_cilindro!$B$35)^(Presion_cilindro!$B$17+1)),0)-IF(Presion_cilindro!N495&gt;(-E$4+Presion_cilindro!$B$34),1-EXP(-Presion_cilindro!$B$16*((Presion_cilindro!N495-(-E$4+Presion_cilindro!$B$34))/Presion_cilindro!$B$35)^(Presion_cilindro!$B$17+1)),0))/((Presion_cilindro!O495+Presion_cilindro!O496)/2)</f>
        <v>7.4879002221198814</v>
      </c>
      <c r="F504" s="27">
        <f>F503*(Presion_cilindro!O495/Presion_cilindro!O496)^Presion_cilindro!$B$9+10*(Presion_cilindro!$B$9-1)*Presion_cilindro!$B$33*(IF(Presion_cilindro!N496&gt;(-F$4+Presion_cilindro!$B$34),1-EXP(-Presion_cilindro!$B$16*((Presion_cilindro!N496-(-F$4+Presion_cilindro!$B$34))/Presion_cilindro!$B$35)^(Presion_cilindro!$B$17+1)),0)-IF(Presion_cilindro!N495&gt;(-F$4+Presion_cilindro!$B$34),1-EXP(-Presion_cilindro!$B$16*((Presion_cilindro!N495-(-F$4+Presion_cilindro!$B$34))/Presion_cilindro!$B$35)^(Presion_cilindro!$B$17+1)),0))/((Presion_cilindro!O495+Presion_cilindro!O496)/2)</f>
        <v>7.3150830205477027</v>
      </c>
      <c r="G504" s="27">
        <f>G503*(Presion_cilindro!O495/Presion_cilindro!O496)^Presion_cilindro!$B$9+10*(Presion_cilindro!$B$9-1)*Presion_cilindro!$B$33*(IF(Presion_cilindro!N496&gt;(-G$4+Presion_cilindro!$B$34),1-EXP(-Presion_cilindro!$B$16*((Presion_cilindro!N496-(-G$4+Presion_cilindro!$B$34))/Presion_cilindro!$B$35)^(Presion_cilindro!$B$17+1)),0)-IF(Presion_cilindro!N495&gt;(-G$4+Presion_cilindro!$B$34),1-EXP(-Presion_cilindro!$B$16*((Presion_cilindro!N495-(-G$4+Presion_cilindro!$B$34))/Presion_cilindro!$B$35)^(Presion_cilindro!$B$17+1)),0))/((Presion_cilindro!O495+Presion_cilindro!O496)/2)</f>
        <v>7.1870271282549707</v>
      </c>
      <c r="H504" s="27">
        <f>H503*(Presion_cilindro!O495/Presion_cilindro!O496)^Presion_cilindro!$B$9+10*(Presion_cilindro!$B$9-1)*Presion_cilindro!$B$33*(IF(Presion_cilindro!N496&gt;(-H$4+Presion_cilindro!$B$34),1-EXP(-Presion_cilindro!$B$16*((Presion_cilindro!N496-(-H$4+Presion_cilindro!$B$34))/Presion_cilindro!$B$35)^(Presion_cilindro!$B$17+1)),0)-IF(Presion_cilindro!N495&gt;(-H$4+Presion_cilindro!$B$34),1-EXP(-Presion_cilindro!$B$16*((Presion_cilindro!N495-(-H$4+Presion_cilindro!$B$34))/Presion_cilindro!$B$35)^(Presion_cilindro!$B$17+1)),0))/((Presion_cilindro!O495+Presion_cilindro!O496)/2)</f>
        <v>7.1114886486928386</v>
      </c>
      <c r="I504" s="27">
        <f>I503*(Presion_cilindro!O495/Presion_cilindro!O496)^Presion_cilindro!$B$9+10*(Presion_cilindro!$B$9-1)*Presion_cilindro!$B$33*(IF(Presion_cilindro!N496&gt;(-I$4+Presion_cilindro!$B$34),1-EXP(-Presion_cilindro!$B$16*((Presion_cilindro!N496-(-I$4+Presion_cilindro!$B$34))/Presion_cilindro!$B$35)^(Presion_cilindro!$B$17+1)),0)-IF(Presion_cilindro!N495&gt;(-I$4+Presion_cilindro!$B$34),1-EXP(-Presion_cilindro!$B$16*((Presion_cilindro!N495-(-I$4+Presion_cilindro!$B$34))/Presion_cilindro!$B$35)^(Presion_cilindro!$B$17+1)),0))/((Presion_cilindro!O495+Presion_cilindro!O496)/2)</f>
        <v>7.0933690747597105</v>
      </c>
      <c r="J504" s="27">
        <f>J503*(Presion_cilindro!O495/Presion_cilindro!O496)^Presion_cilindro!$B$9+10*(Presion_cilindro!$B$9-1)*Presion_cilindro!$B$33*(IF(Presion_cilindro!N496&gt;(-J$4+Presion_cilindro!$B$34),1-EXP(-Presion_cilindro!$B$16*((Presion_cilindro!N496-(-J$4+Presion_cilindro!$B$34))/Presion_cilindro!$B$35)^(Presion_cilindro!$B$17+1)),0)-IF(Presion_cilindro!N495&gt;(-J$4+Presion_cilindro!$B$34),1-EXP(-Presion_cilindro!$B$16*((Presion_cilindro!N495-(-J$4+Presion_cilindro!$B$34))/Presion_cilindro!$B$35)^(Presion_cilindro!$B$17+1)),0))/((Presion_cilindro!O495+Presion_cilindro!O496)/2)</f>
        <v>7.1337969305700693</v>
      </c>
      <c r="K504" s="27">
        <f>K503*(Presion_cilindro!O495/Presion_cilindro!O496)^Presion_cilindro!$B$9+10*(Presion_cilindro!$B$9-1)*Presion_cilindro!$B$33*(IF(Presion_cilindro!N496&gt;(-K$4+Presion_cilindro!$B$34),1-EXP(-Presion_cilindro!$B$16*((Presion_cilindro!N496-(-K$4+Presion_cilindro!$B$34))/Presion_cilindro!$B$35)^(Presion_cilindro!$B$17+1)),0)-IF(Presion_cilindro!N495&gt;(-K$4+Presion_cilindro!$B$34),1-EXP(-Presion_cilindro!$B$16*((Presion_cilindro!N495-(-K$4+Presion_cilindro!$B$34))/Presion_cilindro!$B$35)^(Presion_cilindro!$B$17+1)),0))/((Presion_cilindro!O495+Presion_cilindro!O496)/2)</f>
        <v>7.2299319262279571</v>
      </c>
      <c r="L504" s="27">
        <f>L503*(Presion_cilindro!O495/Presion_cilindro!O496)^Presion_cilindro!$B$9+10*(Presion_cilindro!$B$9-1)*Presion_cilindro!$B$33*(IF(Presion_cilindro!N496&gt;(-L$4+Presion_cilindro!$B$34),1-EXP(-Presion_cilindro!$B$16*((Presion_cilindro!N496-(-L$4+Presion_cilindro!$B$34))/Presion_cilindro!$B$35)^(Presion_cilindro!$B$17+1)),0)-IF(Presion_cilindro!N495&gt;(-L$4+Presion_cilindro!$B$34),1-EXP(-Presion_cilindro!$B$16*((Presion_cilindro!N495-(-L$4+Presion_cilindro!$B$34))/Presion_cilindro!$B$35)^(Presion_cilindro!$B$17+1)),0))/((Presion_cilindro!O495+Presion_cilindro!O496)/2)</f>
        <v>7.3755521418198606</v>
      </c>
      <c r="M504" s="27">
        <f>M503*(Presion_cilindro!O495/Presion_cilindro!O496)^Presion_cilindro!$B$9+10*(Presion_cilindro!$B$9-1)*Presion_cilindro!$B$33*(IF(Presion_cilindro!N496&gt;(-M$4+Presion_cilindro!$B$34),1-EXP(-Presion_cilindro!$B$16*((Presion_cilindro!N496-(-M$4+Presion_cilindro!$B$34))/Presion_cilindro!$B$35)^(Presion_cilindro!$B$17+1)),0)-IF(Presion_cilindro!N495&gt;(-M$4+Presion_cilindro!$B$34),1-EXP(-Presion_cilindro!$B$16*((Presion_cilindro!N495-(-M$4+Presion_cilindro!$B$34))/Presion_cilindro!$B$35)^(Presion_cilindro!$B$17+1)),0))/((Presion_cilindro!O495+Presion_cilindro!O496)/2)</f>
        <v>7.5622021646707474</v>
      </c>
      <c r="N504" s="27">
        <f>N503*(Presion_cilindro!O495/Presion_cilindro!O496)^Presion_cilindro!$B$9+10*(Presion_cilindro!$B$9-1)*Presion_cilindro!$B$33*(IF(Presion_cilindro!N496&gt;(-N$4+Presion_cilindro!$B$34),1-EXP(-Presion_cilindro!$B$16*((Presion_cilindro!N496-(-N$4+Presion_cilindro!$B$34))/Presion_cilindro!$B$35)^(Presion_cilindro!$B$17+1)),0)-IF(Presion_cilindro!N495&gt;(-N$4+Presion_cilindro!$B$34),1-EXP(-Presion_cilindro!$B$16*((Presion_cilindro!N495-(-N$4+Presion_cilindro!$B$34))/Presion_cilindro!$B$35)^(Presion_cilindro!$B$17+1)),0))/((Presion_cilindro!O495+Presion_cilindro!O496)/2)</f>
        <v>7.7805191623174359</v>
      </c>
    </row>
    <row r="505" spans="1:14" x14ac:dyDescent="0.25">
      <c r="A505" s="21">
        <f>Presion_cilindro!N497</f>
        <v>66.5</v>
      </c>
      <c r="B505" s="27">
        <f>B504*(Presion_cilindro!O496/Presion_cilindro!O497)^Presion_cilindro!$B$9+10*(Presion_cilindro!$B$9-1)*Presion_cilindro!$B$33*(IF(Presion_cilindro!N497&gt;(-B$4+Presion_cilindro!$B$34),1-EXP(-Presion_cilindro!$B$16*((Presion_cilindro!N497-(-B$4+Presion_cilindro!$B$34))/Presion_cilindro!$B$35)^(Presion_cilindro!$B$17+1)),0)-IF(Presion_cilindro!N496&gt;(-B$4+Presion_cilindro!$B$34),1-EXP(-Presion_cilindro!$B$16*((Presion_cilindro!N496-(-B$4+Presion_cilindro!$B$34))/Presion_cilindro!$B$35)^(Presion_cilindro!$B$17+1)),0))/((Presion_cilindro!O496+Presion_cilindro!O497)/2)</f>
        <v>8.0778292752447598</v>
      </c>
      <c r="C505" s="27">
        <f>C504*(Presion_cilindro!O496/Presion_cilindro!O497)^Presion_cilindro!$B$9+10*(Presion_cilindro!$B$9-1)*Presion_cilindro!$B$33*(IF(Presion_cilindro!N497&gt;(-C$4+Presion_cilindro!$B$34),1-EXP(-Presion_cilindro!$B$16*((Presion_cilindro!N497-(-C$4+Presion_cilindro!$B$34))/Presion_cilindro!$B$35)^(Presion_cilindro!$B$17+1)),0)-IF(Presion_cilindro!N496&gt;(-C$4+Presion_cilindro!$B$34),1-EXP(-Presion_cilindro!$B$16*((Presion_cilindro!N496-(-C$4+Presion_cilindro!$B$34))/Presion_cilindro!$B$35)^(Presion_cilindro!$B$17+1)),0))/((Presion_cilindro!O496+Presion_cilindro!O497)/2)</f>
        <v>7.8307866376855735</v>
      </c>
      <c r="D505" s="27">
        <f>D504*(Presion_cilindro!O496/Presion_cilindro!O497)^Presion_cilindro!$B$9+10*(Presion_cilindro!$B$9-1)*Presion_cilindro!$B$33*(IF(Presion_cilindro!N497&gt;(-D$4+Presion_cilindro!$B$34),1-EXP(-Presion_cilindro!$B$16*((Presion_cilindro!N497-(-D$4+Presion_cilindro!$B$34))/Presion_cilindro!$B$35)^(Presion_cilindro!$B$17+1)),0)-IF(Presion_cilindro!N496&gt;(-D$4+Presion_cilindro!$B$34),1-EXP(-Presion_cilindro!$B$16*((Presion_cilindro!N496-(-D$4+Presion_cilindro!$B$34))/Presion_cilindro!$B$35)^(Presion_cilindro!$B$17+1)),0))/((Presion_cilindro!O496+Presion_cilindro!O497)/2)</f>
        <v>7.5995816721343665</v>
      </c>
      <c r="E505" s="27">
        <f>E504*(Presion_cilindro!O496/Presion_cilindro!O497)^Presion_cilindro!$B$9+10*(Presion_cilindro!$B$9-1)*Presion_cilindro!$B$33*(IF(Presion_cilindro!N497&gt;(-E$4+Presion_cilindro!$B$34),1-EXP(-Presion_cilindro!$B$16*((Presion_cilindro!N497-(-E$4+Presion_cilindro!$B$34))/Presion_cilindro!$B$35)^(Presion_cilindro!$B$17+1)),0)-IF(Presion_cilindro!N496&gt;(-E$4+Presion_cilindro!$B$34),1-EXP(-Presion_cilindro!$B$16*((Presion_cilindro!N496-(-E$4+Presion_cilindro!$B$34))/Presion_cilindro!$B$35)^(Presion_cilindro!$B$17+1)),0))/((Presion_cilindro!O496+Presion_cilindro!O497)/2)</f>
        <v>7.3939096853546324</v>
      </c>
      <c r="F505" s="27">
        <f>F504*(Presion_cilindro!O496/Presion_cilindro!O497)^Presion_cilindro!$B$9+10*(Presion_cilindro!$B$9-1)*Presion_cilindro!$B$33*(IF(Presion_cilindro!N497&gt;(-F$4+Presion_cilindro!$B$34),1-EXP(-Presion_cilindro!$B$16*((Presion_cilindro!N497-(-F$4+Presion_cilindro!$B$34))/Presion_cilindro!$B$35)^(Presion_cilindro!$B$17+1)),0)-IF(Presion_cilindro!N496&gt;(-F$4+Presion_cilindro!$B$34),1-EXP(-Presion_cilindro!$B$16*((Presion_cilindro!N496-(-F$4+Presion_cilindro!$B$34))/Presion_cilindro!$B$35)^(Presion_cilindro!$B$17+1)),0))/((Presion_cilindro!O496+Presion_cilindro!O497)/2)</f>
        <v>7.2232615975765837</v>
      </c>
      <c r="G505" s="27">
        <f>G504*(Presion_cilindro!O496/Presion_cilindro!O497)^Presion_cilindro!$B$9+10*(Presion_cilindro!$B$9-1)*Presion_cilindro!$B$33*(IF(Presion_cilindro!N497&gt;(-G$4+Presion_cilindro!$B$34),1-EXP(-Presion_cilindro!$B$16*((Presion_cilindro!N497-(-G$4+Presion_cilindro!$B$34))/Presion_cilindro!$B$35)^(Presion_cilindro!$B$17+1)),0)-IF(Presion_cilindro!N496&gt;(-G$4+Presion_cilindro!$B$34),1-EXP(-Presion_cilindro!$B$16*((Presion_cilindro!N496-(-G$4+Presion_cilindro!$B$34))/Presion_cilindro!$B$35)^(Presion_cilindro!$B$17+1)),0))/((Presion_cilindro!O496+Presion_cilindro!O497)/2)</f>
        <v>7.0968131020820442</v>
      </c>
      <c r="H505" s="27">
        <f>H504*(Presion_cilindro!O496/Presion_cilindro!O497)^Presion_cilindro!$B$9+10*(Presion_cilindro!$B$9-1)*Presion_cilindro!$B$33*(IF(Presion_cilindro!N497&gt;(-H$4+Presion_cilindro!$B$34),1-EXP(-Presion_cilindro!$B$16*((Presion_cilindro!N497-(-H$4+Presion_cilindro!$B$34))/Presion_cilindro!$B$35)^(Presion_cilindro!$B$17+1)),0)-IF(Presion_cilindro!N496&gt;(-H$4+Presion_cilindro!$B$34),1-EXP(-Presion_cilindro!$B$16*((Presion_cilindro!N496-(-H$4+Presion_cilindro!$B$34))/Presion_cilindro!$B$35)^(Presion_cilindro!$B$17+1)),0))/((Presion_cilindro!O496+Presion_cilindro!O497)/2)</f>
        <v>7.0222228073008708</v>
      </c>
      <c r="I505" s="27">
        <f>I504*(Presion_cilindro!O496/Presion_cilindro!O497)^Presion_cilindro!$B$9+10*(Presion_cilindro!$B$9-1)*Presion_cilindro!$B$33*(IF(Presion_cilindro!N497&gt;(-I$4+Presion_cilindro!$B$34),1-EXP(-Presion_cilindro!$B$16*((Presion_cilindro!N497-(-I$4+Presion_cilindro!$B$34))/Presion_cilindro!$B$35)^(Presion_cilindro!$B$17+1)),0)-IF(Presion_cilindro!N496&gt;(-I$4+Presion_cilindro!$B$34),1-EXP(-Presion_cilindro!$B$16*((Presion_cilindro!N496-(-I$4+Presion_cilindro!$B$34))/Presion_cilindro!$B$35)^(Presion_cilindro!$B$17+1)),0))/((Presion_cilindro!O496+Presion_cilindro!O497)/2)</f>
        <v>7.0043306764651891</v>
      </c>
      <c r="J505" s="27">
        <f>J504*(Presion_cilindro!O496/Presion_cilindro!O497)^Presion_cilindro!$B$9+10*(Presion_cilindro!$B$9-1)*Presion_cilindro!$B$33*(IF(Presion_cilindro!N497&gt;(-J$4+Presion_cilindro!$B$34),1-EXP(-Presion_cilindro!$B$16*((Presion_cilindro!N497-(-J$4+Presion_cilindro!$B$34))/Presion_cilindro!$B$35)^(Presion_cilindro!$B$17+1)),0)-IF(Presion_cilindro!N496&gt;(-J$4+Presion_cilindro!$B$34),1-EXP(-Presion_cilindro!$B$16*((Presion_cilindro!N496-(-J$4+Presion_cilindro!$B$34))/Presion_cilindro!$B$35)^(Presion_cilindro!$B$17+1)),0))/((Presion_cilindro!O496+Presion_cilindro!O497)/2)</f>
        <v>7.04425106798179</v>
      </c>
      <c r="K505" s="27">
        <f>K504*(Presion_cilindro!O496/Presion_cilindro!O497)^Presion_cilindro!$B$9+10*(Presion_cilindro!$B$9-1)*Presion_cilindro!$B$33*(IF(Presion_cilindro!N497&gt;(-K$4+Presion_cilindro!$B$34),1-EXP(-Presion_cilindro!$B$16*((Presion_cilindro!N497-(-K$4+Presion_cilindro!$B$34))/Presion_cilindro!$B$35)^(Presion_cilindro!$B$17+1)),0)-IF(Presion_cilindro!N496&gt;(-K$4+Presion_cilindro!$B$34),1-EXP(-Presion_cilindro!$B$16*((Presion_cilindro!N496-(-K$4+Presion_cilindro!$B$34))/Presion_cilindro!$B$35)^(Presion_cilindro!$B$17+1)),0))/((Presion_cilindro!O496+Presion_cilindro!O497)/2)</f>
        <v>7.1391793442453793</v>
      </c>
      <c r="L505" s="27">
        <f>L504*(Presion_cilindro!O496/Presion_cilindro!O497)^Presion_cilindro!$B$9+10*(Presion_cilindro!$B$9-1)*Presion_cilindro!$B$33*(IF(Presion_cilindro!N497&gt;(-L$4+Presion_cilindro!$B$34),1-EXP(-Presion_cilindro!$B$16*((Presion_cilindro!N497-(-L$4+Presion_cilindro!$B$34))/Presion_cilindro!$B$35)^(Presion_cilindro!$B$17+1)),0)-IF(Presion_cilindro!N496&gt;(-L$4+Presion_cilindro!$B$34),1-EXP(-Presion_cilindro!$B$16*((Presion_cilindro!N496-(-L$4+Presion_cilindro!$B$34))/Presion_cilindro!$B$35)^(Presion_cilindro!$B$17+1)),0))/((Presion_cilindro!O496+Presion_cilindro!O497)/2)</f>
        <v>7.2829716850123649</v>
      </c>
      <c r="M505" s="27">
        <f>M504*(Presion_cilindro!O496/Presion_cilindro!O497)^Presion_cilindro!$B$9+10*(Presion_cilindro!$B$9-1)*Presion_cilindro!$B$33*(IF(Presion_cilindro!N497&gt;(-M$4+Presion_cilindro!$B$34),1-EXP(-Presion_cilindro!$B$16*((Presion_cilindro!N497-(-M$4+Presion_cilindro!$B$34))/Presion_cilindro!$B$35)^(Presion_cilindro!$B$17+1)),0)-IF(Presion_cilindro!N496&gt;(-M$4+Presion_cilindro!$B$34),1-EXP(-Presion_cilindro!$B$16*((Presion_cilindro!N496-(-M$4+Presion_cilindro!$B$34))/Presion_cilindro!$B$35)^(Presion_cilindro!$B$17+1)),0))/((Presion_cilindro!O496+Presion_cilindro!O497)/2)</f>
        <v>7.4672788128438148</v>
      </c>
      <c r="N505" s="27">
        <f>N504*(Presion_cilindro!O496/Presion_cilindro!O497)^Presion_cilindro!$B$9+10*(Presion_cilindro!$B$9-1)*Presion_cilindro!$B$33*(IF(Presion_cilindro!N497&gt;(-N$4+Presion_cilindro!$B$34),1-EXP(-Presion_cilindro!$B$16*((Presion_cilindro!N497-(-N$4+Presion_cilindro!$B$34))/Presion_cilindro!$B$35)^(Presion_cilindro!$B$17+1)),0)-IF(Presion_cilindro!N496&gt;(-N$4+Presion_cilindro!$B$34),1-EXP(-Presion_cilindro!$B$16*((Presion_cilindro!N496-(-N$4+Presion_cilindro!$B$34))/Presion_cilindro!$B$35)^(Presion_cilindro!$B$17+1)),0))/((Presion_cilindro!O496+Presion_cilindro!O497)/2)</f>
        <v>7.6828554207566464</v>
      </c>
    </row>
    <row r="506" spans="1:14" x14ac:dyDescent="0.25">
      <c r="A506" s="21">
        <f>Presion_cilindro!N498</f>
        <v>67</v>
      </c>
      <c r="B506" s="27">
        <f>B505*(Presion_cilindro!O497/Presion_cilindro!O498)^Presion_cilindro!$B$9+10*(Presion_cilindro!$B$9-1)*Presion_cilindro!$B$33*(IF(Presion_cilindro!N498&gt;(-B$4+Presion_cilindro!$B$34),1-EXP(-Presion_cilindro!$B$16*((Presion_cilindro!N498-(-B$4+Presion_cilindro!$B$34))/Presion_cilindro!$B$35)^(Presion_cilindro!$B$17+1)),0)-IF(Presion_cilindro!N497&gt;(-B$4+Presion_cilindro!$B$34),1-EXP(-Presion_cilindro!$B$16*((Presion_cilindro!N497-(-B$4+Presion_cilindro!$B$34))/Presion_cilindro!$B$35)^(Presion_cilindro!$B$17+1)),0))/((Presion_cilindro!O497+Presion_cilindro!O498)/2)</f>
        <v>7.9774965418304609</v>
      </c>
      <c r="C506" s="27">
        <f>C505*(Presion_cilindro!O497/Presion_cilindro!O498)^Presion_cilindro!$B$9+10*(Presion_cilindro!$B$9-1)*Presion_cilindro!$B$33*(IF(Presion_cilindro!N498&gt;(-C$4+Presion_cilindro!$B$34),1-EXP(-Presion_cilindro!$B$16*((Presion_cilindro!N498-(-C$4+Presion_cilindro!$B$34))/Presion_cilindro!$B$35)^(Presion_cilindro!$B$17+1)),0)-IF(Presion_cilindro!N497&gt;(-C$4+Presion_cilindro!$B$34),1-EXP(-Presion_cilindro!$B$16*((Presion_cilindro!N497-(-C$4+Presion_cilindro!$B$34))/Presion_cilindro!$B$35)^(Presion_cilindro!$B$17+1)),0))/((Presion_cilindro!O497+Presion_cilindro!O498)/2)</f>
        <v>7.7332779293717611</v>
      </c>
      <c r="D506" s="27">
        <f>D505*(Presion_cilindro!O497/Presion_cilindro!O498)^Presion_cilindro!$B$9+10*(Presion_cilindro!$B$9-1)*Presion_cilindro!$B$33*(IF(Presion_cilindro!N498&gt;(-D$4+Presion_cilindro!$B$34),1-EXP(-Presion_cilindro!$B$16*((Presion_cilindro!N498-(-D$4+Presion_cilindro!$B$34))/Presion_cilindro!$B$35)^(Presion_cilindro!$B$17+1)),0)-IF(Presion_cilindro!N497&gt;(-D$4+Presion_cilindro!$B$34),1-EXP(-Presion_cilindro!$B$16*((Presion_cilindro!N497-(-D$4+Presion_cilindro!$B$34))/Presion_cilindro!$B$35)^(Presion_cilindro!$B$17+1)),0))/((Presion_cilindro!O497+Presion_cilindro!O498)/2)</f>
        <v>7.5049238021244982</v>
      </c>
      <c r="E506" s="27">
        <f>E505*(Presion_cilindro!O497/Presion_cilindro!O498)^Presion_cilindro!$B$9+10*(Presion_cilindro!$B$9-1)*Presion_cilindro!$B$33*(IF(Presion_cilindro!N498&gt;(-E$4+Presion_cilindro!$B$34),1-EXP(-Presion_cilindro!$B$16*((Presion_cilindro!N498-(-E$4+Presion_cilindro!$B$34))/Presion_cilindro!$B$35)^(Presion_cilindro!$B$17+1)),0)-IF(Presion_cilindro!N497&gt;(-E$4+Presion_cilindro!$B$34),1-EXP(-Presion_cilindro!$B$16*((Presion_cilindro!N497-(-E$4+Presion_cilindro!$B$34))/Presion_cilindro!$B$35)^(Presion_cilindro!$B$17+1)),0))/((Presion_cilindro!O497+Presion_cilindro!O498)/2)</f>
        <v>7.3018114735674589</v>
      </c>
      <c r="F506" s="27">
        <f>F505*(Presion_cilindro!O497/Presion_cilindro!O498)^Presion_cilindro!$B$9+10*(Presion_cilindro!$B$9-1)*Presion_cilindro!$B$33*(IF(Presion_cilindro!N498&gt;(-F$4+Presion_cilindro!$B$34),1-EXP(-Presion_cilindro!$B$16*((Presion_cilindro!N498-(-F$4+Presion_cilindro!$B$34))/Presion_cilindro!$B$35)^(Presion_cilindro!$B$17+1)),0)-IF(Presion_cilindro!N497&gt;(-F$4+Presion_cilindro!$B$34),1-EXP(-Presion_cilindro!$B$16*((Presion_cilindro!N497-(-F$4+Presion_cilindro!$B$34))/Presion_cilindro!$B$35)^(Presion_cilindro!$B$17+1)),0))/((Presion_cilindro!O497+Presion_cilindro!O498)/2)</f>
        <v>7.1332888680886821</v>
      </c>
      <c r="G506" s="27">
        <f>G505*(Presion_cilindro!O497/Presion_cilindro!O498)^Presion_cilindro!$B$9+10*(Presion_cilindro!$B$9-1)*Presion_cilindro!$B$33*(IF(Presion_cilindro!N498&gt;(-G$4+Presion_cilindro!$B$34),1-EXP(-Presion_cilindro!$B$16*((Presion_cilindro!N498-(-G$4+Presion_cilindro!$B$34))/Presion_cilindro!$B$35)^(Presion_cilindro!$B$17+1)),0)-IF(Presion_cilindro!N497&gt;(-G$4+Presion_cilindro!$B$34),1-EXP(-Presion_cilindro!$B$16*((Presion_cilindro!N497-(-G$4+Presion_cilindro!$B$34))/Presion_cilindro!$B$35)^(Presion_cilindro!$B$17+1)),0))/((Presion_cilindro!O497+Presion_cilindro!O498)/2)</f>
        <v>7.0084154081566687</v>
      </c>
      <c r="H506" s="27">
        <f>H505*(Presion_cilindro!O497/Presion_cilindro!O498)^Presion_cilindro!$B$9+10*(Presion_cilindro!$B$9-1)*Presion_cilindro!$B$33*(IF(Presion_cilindro!N498&gt;(-H$4+Presion_cilindro!$B$34),1-EXP(-Presion_cilindro!$B$16*((Presion_cilindro!N498-(-H$4+Presion_cilindro!$B$34))/Presion_cilindro!$B$35)^(Presion_cilindro!$B$17+1)),0)-IF(Presion_cilindro!N497&gt;(-H$4+Presion_cilindro!$B$34),1-EXP(-Presion_cilindro!$B$16*((Presion_cilindro!N497-(-H$4+Presion_cilindro!$B$34))/Presion_cilindro!$B$35)^(Presion_cilindro!$B$17+1)),0))/((Presion_cilindro!O497+Presion_cilindro!O498)/2)</f>
        <v>6.9347542078226061</v>
      </c>
      <c r="I506" s="27">
        <f>I505*(Presion_cilindro!O497/Presion_cilindro!O498)^Presion_cilindro!$B$9+10*(Presion_cilindro!$B$9-1)*Presion_cilindro!$B$33*(IF(Presion_cilindro!N498&gt;(-I$4+Presion_cilindro!$B$34),1-EXP(-Presion_cilindro!$B$16*((Presion_cilindro!N498-(-I$4+Presion_cilindro!$B$34))/Presion_cilindro!$B$35)^(Presion_cilindro!$B$17+1)),0)-IF(Presion_cilindro!N497&gt;(-I$4+Presion_cilindro!$B$34),1-EXP(-Presion_cilindro!$B$16*((Presion_cilindro!N497-(-I$4+Presion_cilindro!$B$34))/Presion_cilindro!$B$35)^(Presion_cilindro!$B$17+1)),0))/((Presion_cilindro!O497+Presion_cilindro!O498)/2)</f>
        <v>6.9170849408385182</v>
      </c>
      <c r="J506" s="27">
        <f>J505*(Presion_cilindro!O497/Presion_cilindro!O498)^Presion_cilindro!$B$9+10*(Presion_cilindro!$B$9-1)*Presion_cilindro!$B$33*(IF(Presion_cilindro!N498&gt;(-J$4+Presion_cilindro!$B$34),1-EXP(-Presion_cilindro!$B$16*((Presion_cilindro!N498-(-J$4+Presion_cilindro!$B$34))/Presion_cilindro!$B$35)^(Presion_cilindro!$B$17+1)),0)-IF(Presion_cilindro!N497&gt;(-J$4+Presion_cilindro!$B$34),1-EXP(-Presion_cilindro!$B$16*((Presion_cilindro!N497-(-J$4+Presion_cilindro!$B$34))/Presion_cilindro!$B$35)^(Presion_cilindro!$B$17+1)),0))/((Presion_cilindro!O497+Presion_cilindro!O498)/2)</f>
        <v>6.9565080851397489</v>
      </c>
      <c r="K506" s="27">
        <f>K505*(Presion_cilindro!O497/Presion_cilindro!O498)^Presion_cilindro!$B$9+10*(Presion_cilindro!$B$9-1)*Presion_cilindro!$B$33*(IF(Presion_cilindro!N498&gt;(-K$4+Presion_cilindro!$B$34),1-EXP(-Presion_cilindro!$B$16*((Presion_cilindro!N498-(-K$4+Presion_cilindro!$B$34))/Presion_cilindro!$B$35)^(Presion_cilindro!$B$17+1)),0)-IF(Presion_cilindro!N497&gt;(-K$4+Presion_cilindro!$B$34),1-EXP(-Presion_cilindro!$B$16*((Presion_cilindro!N497-(-K$4+Presion_cilindro!$B$34))/Presion_cilindro!$B$35)^(Presion_cilindro!$B$17+1)),0))/((Presion_cilindro!O497+Presion_cilindro!O498)/2)</f>
        <v>7.0502539376034141</v>
      </c>
      <c r="L506" s="27">
        <f>L505*(Presion_cilindro!O497/Presion_cilindro!O498)^Presion_cilindro!$B$9+10*(Presion_cilindro!$B$9-1)*Presion_cilindro!$B$33*(IF(Presion_cilindro!N498&gt;(-L$4+Presion_cilindro!$B$34),1-EXP(-Presion_cilindro!$B$16*((Presion_cilindro!N498-(-L$4+Presion_cilindro!$B$34))/Presion_cilindro!$B$35)^(Presion_cilindro!$B$17+1)),0)-IF(Presion_cilindro!N497&gt;(-L$4+Presion_cilindro!$B$34),1-EXP(-Presion_cilindro!$B$16*((Presion_cilindro!N497-(-L$4+Presion_cilindro!$B$34))/Presion_cilindro!$B$35)^(Presion_cilindro!$B$17+1)),0))/((Presion_cilindro!O497+Presion_cilindro!O498)/2)</f>
        <v>7.192255205229058</v>
      </c>
      <c r="M506" s="27">
        <f>M505*(Presion_cilindro!O497/Presion_cilindro!O498)^Presion_cilindro!$B$9+10*(Presion_cilindro!$B$9-1)*Presion_cilindro!$B$33*(IF(Presion_cilindro!N498&gt;(-M$4+Presion_cilindro!$B$34),1-EXP(-Presion_cilindro!$B$16*((Presion_cilindro!N498-(-M$4+Presion_cilindro!$B$34))/Presion_cilindro!$B$35)^(Presion_cilindro!$B$17+1)),0)-IF(Presion_cilindro!N497&gt;(-M$4+Presion_cilindro!$B$34),1-EXP(-Presion_cilindro!$B$16*((Presion_cilindro!N497-(-M$4+Presion_cilindro!$B$34))/Presion_cilindro!$B$35)^(Presion_cilindro!$B$17+1)),0))/((Presion_cilindro!O497+Presion_cilindro!O498)/2)</f>
        <v>7.3742666089304461</v>
      </c>
      <c r="N506" s="27">
        <f>N505*(Presion_cilindro!O497/Presion_cilindro!O498)^Presion_cilindro!$B$9+10*(Presion_cilindro!$B$9-1)*Presion_cilindro!$B$33*(IF(Presion_cilindro!N498&gt;(-N$4+Presion_cilindro!$B$34),1-EXP(-Presion_cilindro!$B$16*((Presion_cilindro!N498-(-N$4+Presion_cilindro!$B$34))/Presion_cilindro!$B$35)^(Presion_cilindro!$B$17+1)),0)-IF(Presion_cilindro!N497&gt;(-N$4+Presion_cilindro!$B$34),1-EXP(-Presion_cilindro!$B$16*((Presion_cilindro!N497-(-N$4+Presion_cilindro!$B$34))/Presion_cilindro!$B$35)^(Presion_cilindro!$B$17+1)),0))/((Presion_cilindro!O497+Presion_cilindro!O498)/2)</f>
        <v>7.5871580009946804</v>
      </c>
    </row>
    <row r="507" spans="1:14" x14ac:dyDescent="0.25">
      <c r="A507" s="21">
        <f>Presion_cilindro!N499</f>
        <v>67.5</v>
      </c>
      <c r="B507" s="27">
        <f>B506*(Presion_cilindro!O498/Presion_cilindro!O499)^Presion_cilindro!$B$9+10*(Presion_cilindro!$B$9-1)*Presion_cilindro!$B$33*(IF(Presion_cilindro!N499&gt;(-B$4+Presion_cilindro!$B$34),1-EXP(-Presion_cilindro!$B$16*((Presion_cilindro!N499-(-B$4+Presion_cilindro!$B$34))/Presion_cilindro!$B$35)^(Presion_cilindro!$B$17+1)),0)-IF(Presion_cilindro!N498&gt;(-B$4+Presion_cilindro!$B$34),1-EXP(-Presion_cilindro!$B$16*((Presion_cilindro!N498-(-B$4+Presion_cilindro!$B$34))/Presion_cilindro!$B$35)^(Presion_cilindro!$B$17+1)),0))/((Presion_cilindro!O498+Presion_cilindro!O499)/2)</f>
        <v>7.8791250927465688</v>
      </c>
      <c r="C507" s="27">
        <f>C506*(Presion_cilindro!O498/Presion_cilindro!O499)^Presion_cilindro!$B$9+10*(Presion_cilindro!$B$9-1)*Presion_cilindro!$B$33*(IF(Presion_cilindro!N499&gt;(-C$4+Presion_cilindro!$B$34),1-EXP(-Presion_cilindro!$B$16*((Presion_cilindro!N499-(-C$4+Presion_cilindro!$B$34))/Presion_cilindro!$B$35)^(Presion_cilindro!$B$17+1)),0)-IF(Presion_cilindro!N498&gt;(-C$4+Presion_cilindro!$B$34),1-EXP(-Presion_cilindro!$B$16*((Presion_cilindro!N498-(-C$4+Presion_cilindro!$B$34))/Presion_cilindro!$B$35)^(Presion_cilindro!$B$17+1)),0))/((Presion_cilindro!O498+Presion_cilindro!O499)/2)</f>
        <v>7.6377193356124033</v>
      </c>
      <c r="D507" s="27">
        <f>D506*(Presion_cilindro!O498/Presion_cilindro!O499)^Presion_cilindro!$B$9+10*(Presion_cilindro!$B$9-1)*Presion_cilindro!$B$33*(IF(Presion_cilindro!N499&gt;(-D$4+Presion_cilindro!$B$34),1-EXP(-Presion_cilindro!$B$16*((Presion_cilindro!N499-(-D$4+Presion_cilindro!$B$34))/Presion_cilindro!$B$35)^(Presion_cilindro!$B$17+1)),0)-IF(Presion_cilindro!N498&gt;(-D$4+Presion_cilindro!$B$34),1-EXP(-Presion_cilindro!$B$16*((Presion_cilindro!N498-(-D$4+Presion_cilindro!$B$34))/Presion_cilindro!$B$35)^(Presion_cilindro!$B$17+1)),0))/((Presion_cilindro!O498+Presion_cilindro!O499)/2)</f>
        <v>7.412165005461131</v>
      </c>
      <c r="E507" s="27">
        <f>E506*(Presion_cilindro!O498/Presion_cilindro!O499)^Presion_cilindro!$B$9+10*(Presion_cilindro!$B$9-1)*Presion_cilindro!$B$33*(IF(Presion_cilindro!N499&gt;(-E$4+Presion_cilindro!$B$34),1-EXP(-Presion_cilindro!$B$16*((Presion_cilindro!N499-(-E$4+Presion_cilindro!$B$34))/Presion_cilindro!$B$35)^(Presion_cilindro!$B$17+1)),0)-IF(Presion_cilindro!N498&gt;(-E$4+Presion_cilindro!$B$34),1-EXP(-Presion_cilindro!$B$16*((Presion_cilindro!N498-(-E$4+Presion_cilindro!$B$34))/Presion_cilindro!$B$35)^(Presion_cilindro!$B$17+1)),0))/((Presion_cilindro!O498+Presion_cilindro!O499)/2)</f>
        <v>7.2115615036938969</v>
      </c>
      <c r="F507" s="27">
        <f>F506*(Presion_cilindro!O498/Presion_cilindro!O499)^Presion_cilindro!$B$9+10*(Presion_cilindro!$B$9-1)*Presion_cilindro!$B$33*(IF(Presion_cilindro!N499&gt;(-F$4+Presion_cilindro!$B$34),1-EXP(-Presion_cilindro!$B$16*((Presion_cilindro!N499-(-F$4+Presion_cilindro!$B$34))/Presion_cilindro!$B$35)^(Presion_cilindro!$B$17+1)),0)-IF(Presion_cilindro!N498&gt;(-F$4+Presion_cilindro!$B$34),1-EXP(-Presion_cilindro!$B$16*((Presion_cilindro!N498-(-F$4+Presion_cilindro!$B$34))/Presion_cilindro!$B$35)^(Presion_cilindro!$B$17+1)),0))/((Presion_cilindro!O498+Presion_cilindro!O499)/2)</f>
        <v>7.0451217546833469</v>
      </c>
      <c r="G507" s="27">
        <f>G506*(Presion_cilindro!O498/Presion_cilindro!O499)^Presion_cilindro!$B$9+10*(Presion_cilindro!$B$9-1)*Presion_cilindro!$B$33*(IF(Presion_cilindro!N499&gt;(-G$4+Presion_cilindro!$B$34),1-EXP(-Presion_cilindro!$B$16*((Presion_cilindro!N499-(-G$4+Presion_cilindro!$B$34))/Presion_cilindro!$B$35)^(Presion_cilindro!$B$17+1)),0)-IF(Presion_cilindro!N498&gt;(-G$4+Presion_cilindro!$B$34),1-EXP(-Presion_cilindro!$B$16*((Presion_cilindro!N498-(-G$4+Presion_cilindro!$B$34))/Presion_cilindro!$B$35)^(Presion_cilindro!$B$17+1)),0))/((Presion_cilindro!O498+Presion_cilindro!O499)/2)</f>
        <v>6.9217917227123635</v>
      </c>
      <c r="H507" s="27">
        <f>H506*(Presion_cilindro!O498/Presion_cilindro!O499)^Presion_cilindro!$B$9+10*(Presion_cilindro!$B$9-1)*Presion_cilindro!$B$33*(IF(Presion_cilindro!N499&gt;(-H$4+Presion_cilindro!$B$34),1-EXP(-Presion_cilindro!$B$16*((Presion_cilindro!N499-(-H$4+Presion_cilindro!$B$34))/Presion_cilindro!$B$35)^(Presion_cilindro!$B$17+1)),0)-IF(Presion_cilindro!N498&gt;(-H$4+Presion_cilindro!$B$34),1-EXP(-Presion_cilindro!$B$16*((Presion_cilindro!N498-(-H$4+Presion_cilindro!$B$34))/Presion_cilindro!$B$35)^(Presion_cilindro!$B$17+1)),0))/((Presion_cilindro!O498+Presion_cilindro!O499)/2)</f>
        <v>6.8490409713199307</v>
      </c>
      <c r="I507" s="27">
        <f>I506*(Presion_cilindro!O498/Presion_cilindro!O499)^Presion_cilindro!$B$9+10*(Presion_cilindro!$B$9-1)*Presion_cilindro!$B$33*(IF(Presion_cilindro!N499&gt;(-I$4+Presion_cilindro!$B$34),1-EXP(-Presion_cilindro!$B$16*((Presion_cilindro!N499-(-I$4+Presion_cilindro!$B$34))/Presion_cilindro!$B$35)^(Presion_cilindro!$B$17+1)),0)-IF(Presion_cilindro!N498&gt;(-I$4+Presion_cilindro!$B$34),1-EXP(-Presion_cilindro!$B$16*((Presion_cilindro!N498-(-I$4+Presion_cilindro!$B$34))/Presion_cilindro!$B$35)^(Presion_cilindro!$B$17+1)),0))/((Presion_cilindro!O498+Presion_cilindro!O499)/2)</f>
        <v>6.8315900956460265</v>
      </c>
      <c r="J507" s="27">
        <f>J506*(Presion_cilindro!O498/Presion_cilindro!O499)^Presion_cilindro!$B$9+10*(Presion_cilindro!$B$9-1)*Presion_cilindro!$B$33*(IF(Presion_cilindro!N499&gt;(-J$4+Presion_cilindro!$B$34),1-EXP(-Presion_cilindro!$B$16*((Presion_cilindro!N499-(-J$4+Presion_cilindro!$B$34))/Presion_cilindro!$B$35)^(Presion_cilindro!$B$17+1)),0)-IF(Presion_cilindro!N498&gt;(-J$4+Presion_cilindro!$B$34),1-EXP(-Presion_cilindro!$B$16*((Presion_cilindro!N498-(-J$4+Presion_cilindro!$B$34))/Presion_cilindro!$B$35)^(Presion_cilindro!$B$17+1)),0))/((Presion_cilindro!O498+Presion_cilindro!O499)/2)</f>
        <v>6.8705259717341471</v>
      </c>
      <c r="K507" s="27">
        <f>K506*(Presion_cilindro!O498/Presion_cilindro!O499)^Presion_cilindro!$B$9+10*(Presion_cilindro!$B$9-1)*Presion_cilindro!$B$33*(IF(Presion_cilindro!N499&gt;(-K$4+Presion_cilindro!$B$34),1-EXP(-Presion_cilindro!$B$16*((Presion_cilindro!N499-(-K$4+Presion_cilindro!$B$34))/Presion_cilindro!$B$35)^(Presion_cilindro!$B$17+1)),0)-IF(Presion_cilindro!N498&gt;(-K$4+Presion_cilindro!$B$34),1-EXP(-Presion_cilindro!$B$16*((Presion_cilindro!N498-(-K$4+Presion_cilindro!$B$34))/Presion_cilindro!$B$35)^(Presion_cilindro!$B$17+1)),0))/((Presion_cilindro!O498+Presion_cilindro!O499)/2)</f>
        <v>6.9631131298616333</v>
      </c>
      <c r="L507" s="27">
        <f>L506*(Presion_cilindro!O498/Presion_cilindro!O499)^Presion_cilindro!$B$9+10*(Presion_cilindro!$B$9-1)*Presion_cilindro!$B$33*(IF(Presion_cilindro!N499&gt;(-L$4+Presion_cilindro!$B$34),1-EXP(-Presion_cilindro!$B$16*((Presion_cilindro!N499-(-L$4+Presion_cilindro!$B$34))/Presion_cilindro!$B$35)^(Presion_cilindro!$B$17+1)),0)-IF(Presion_cilindro!N498&gt;(-L$4+Presion_cilindro!$B$34),1-EXP(-Presion_cilindro!$B$16*((Presion_cilindro!N498-(-L$4+Presion_cilindro!$B$34))/Presion_cilindro!$B$35)^(Presion_cilindro!$B$17+1)),0))/((Presion_cilindro!O498+Presion_cilindro!O499)/2)</f>
        <v>7.1033592684847235</v>
      </c>
      <c r="M507" s="27">
        <f>M506*(Presion_cilindro!O498/Presion_cilindro!O499)^Presion_cilindro!$B$9+10*(Presion_cilindro!$B$9-1)*Presion_cilindro!$B$33*(IF(Presion_cilindro!N499&gt;(-M$4+Presion_cilindro!$B$34),1-EXP(-Presion_cilindro!$B$16*((Presion_cilindro!N499-(-M$4+Presion_cilindro!$B$34))/Presion_cilindro!$B$35)^(Presion_cilindro!$B$17+1)),0)-IF(Presion_cilindro!N498&gt;(-M$4+Presion_cilindro!$B$34),1-EXP(-Presion_cilindro!$B$16*((Presion_cilindro!N498-(-M$4+Presion_cilindro!$B$34))/Presion_cilindro!$B$35)^(Presion_cilindro!$B$17+1)),0))/((Presion_cilindro!O498+Presion_cilindro!O499)/2)</f>
        <v>7.2831210197796707</v>
      </c>
      <c r="N507" s="27">
        <f>N506*(Presion_cilindro!O498/Presion_cilindro!O499)^Presion_cilindro!$B$9+10*(Presion_cilindro!$B$9-1)*Presion_cilindro!$B$33*(IF(Presion_cilindro!N499&gt;(-N$4+Presion_cilindro!$B$34),1-EXP(-Presion_cilindro!$B$16*((Presion_cilindro!N499-(-N$4+Presion_cilindro!$B$34))/Presion_cilindro!$B$35)^(Presion_cilindro!$B$17+1)),0)-IF(Presion_cilindro!N498&gt;(-N$4+Presion_cilindro!$B$34),1-EXP(-Presion_cilindro!$B$16*((Presion_cilindro!N498-(-N$4+Presion_cilindro!$B$34))/Presion_cilindro!$B$35)^(Presion_cilindro!$B$17+1)),0))/((Presion_cilindro!O498+Presion_cilindro!O499)/2)</f>
        <v>7.4933810842307524</v>
      </c>
    </row>
    <row r="508" spans="1:14" x14ac:dyDescent="0.25">
      <c r="A508" s="21">
        <f>Presion_cilindro!N500</f>
        <v>68</v>
      </c>
      <c r="B508" s="27">
        <f>B507*(Presion_cilindro!O499/Presion_cilindro!O500)^Presion_cilindro!$B$9+10*(Presion_cilindro!$B$9-1)*Presion_cilindro!$B$33*(IF(Presion_cilindro!N500&gt;(-B$4+Presion_cilindro!$B$34),1-EXP(-Presion_cilindro!$B$16*((Presion_cilindro!N500-(-B$4+Presion_cilindro!$B$34))/Presion_cilindro!$B$35)^(Presion_cilindro!$B$17+1)),0)-IF(Presion_cilindro!N499&gt;(-B$4+Presion_cilindro!$B$34),1-EXP(-Presion_cilindro!$B$16*((Presion_cilindro!N499-(-B$4+Presion_cilindro!$B$34))/Presion_cilindro!$B$35)^(Presion_cilindro!$B$17+1)),0))/((Presion_cilindro!O499+Presion_cilindro!O500)/2)</f>
        <v>7.7826784602618186</v>
      </c>
      <c r="C508" s="27">
        <f>C507*(Presion_cilindro!O499/Presion_cilindro!O500)^Presion_cilindro!$B$9+10*(Presion_cilindro!$B$9-1)*Presion_cilindro!$B$33*(IF(Presion_cilindro!N500&gt;(-C$4+Presion_cilindro!$B$34),1-EXP(-Presion_cilindro!$B$16*((Presion_cilindro!N500-(-C$4+Presion_cilindro!$B$34))/Presion_cilindro!$B$35)^(Presion_cilindro!$B$17+1)),0)-IF(Presion_cilindro!N499&gt;(-C$4+Presion_cilindro!$B$34),1-EXP(-Presion_cilindro!$B$16*((Presion_cilindro!N499-(-C$4+Presion_cilindro!$B$34))/Presion_cilindro!$B$35)^(Presion_cilindro!$B$17+1)),0))/((Presion_cilindro!O499+Presion_cilindro!O500)/2)</f>
        <v>7.5440669145937411</v>
      </c>
      <c r="D508" s="27">
        <f>D507*(Presion_cilindro!O499/Presion_cilindro!O500)^Presion_cilindro!$B$9+10*(Presion_cilindro!$B$9-1)*Presion_cilindro!$B$33*(IF(Presion_cilindro!N500&gt;(-D$4+Presion_cilindro!$B$34),1-EXP(-Presion_cilindro!$B$16*((Presion_cilindro!N500-(-D$4+Presion_cilindro!$B$34))/Presion_cilindro!$B$35)^(Presion_cilindro!$B$17+1)),0)-IF(Presion_cilindro!N499&gt;(-D$4+Presion_cilindro!$B$34),1-EXP(-Presion_cilindro!$B$16*((Presion_cilindro!N499-(-D$4+Presion_cilindro!$B$34))/Presion_cilindro!$B$35)^(Presion_cilindro!$B$17+1)),0))/((Presion_cilindro!O499+Presion_cilindro!O500)/2)</f>
        <v>7.3212612613167565</v>
      </c>
      <c r="E508" s="27">
        <f>E507*(Presion_cilindro!O499/Presion_cilindro!O500)^Presion_cilindro!$B$9+10*(Presion_cilindro!$B$9-1)*Presion_cilindro!$B$33*(IF(Presion_cilindro!N500&gt;(-E$4+Presion_cilindro!$B$34),1-EXP(-Presion_cilindro!$B$16*((Presion_cilindro!N500-(-E$4+Presion_cilindro!$B$34))/Presion_cilindro!$B$35)^(Presion_cilindro!$B$17+1)),0)-IF(Presion_cilindro!N499&gt;(-E$4+Presion_cilindro!$B$34),1-EXP(-Presion_cilindro!$B$16*((Presion_cilindro!N499-(-E$4+Presion_cilindro!$B$34))/Presion_cilindro!$B$35)^(Presion_cilindro!$B$17+1)),0))/((Presion_cilindro!O499+Presion_cilindro!O500)/2)</f>
        <v>7.1231168078525338</v>
      </c>
      <c r="F508" s="27">
        <f>F507*(Presion_cilindro!O499/Presion_cilindro!O500)^Presion_cilindro!$B$9+10*(Presion_cilindro!$B$9-1)*Presion_cilindro!$B$33*(IF(Presion_cilindro!N500&gt;(-F$4+Presion_cilindro!$B$34),1-EXP(-Presion_cilindro!$B$16*((Presion_cilindro!N500-(-F$4+Presion_cilindro!$B$34))/Presion_cilindro!$B$35)^(Presion_cilindro!$B$17+1)),0)-IF(Presion_cilindro!N499&gt;(-F$4+Presion_cilindro!$B$34),1-EXP(-Presion_cilindro!$B$16*((Presion_cilindro!N499-(-F$4+Presion_cilindro!$B$34))/Presion_cilindro!$B$35)^(Presion_cilindro!$B$17+1)),0))/((Presion_cilindro!O499+Presion_cilindro!O500)/2)</f>
        <v>6.958718272542745</v>
      </c>
      <c r="G508" s="27">
        <f>G507*(Presion_cilindro!O499/Presion_cilindro!O500)^Presion_cilindro!$B$9+10*(Presion_cilindro!$B$9-1)*Presion_cilindro!$B$33*(IF(Presion_cilindro!N500&gt;(-G$4+Presion_cilindro!$B$34),1-EXP(-Presion_cilindro!$B$16*((Presion_cilindro!N500-(-G$4+Presion_cilindro!$B$34))/Presion_cilindro!$B$35)^(Presion_cilindro!$B$17+1)),0)-IF(Presion_cilindro!N499&gt;(-G$4+Presion_cilindro!$B$34),1-EXP(-Presion_cilindro!$B$16*((Presion_cilindro!N499-(-G$4+Presion_cilindro!$B$34))/Presion_cilindro!$B$35)^(Presion_cilindro!$B$17+1)),0))/((Presion_cilindro!O499+Presion_cilindro!O500)/2)</f>
        <v>6.8369007955807755</v>
      </c>
      <c r="H508" s="27">
        <f>H507*(Presion_cilindro!O499/Presion_cilindro!O500)^Presion_cilindro!$B$9+10*(Presion_cilindro!$B$9-1)*Presion_cilindro!$B$33*(IF(Presion_cilindro!N500&gt;(-H$4+Presion_cilindro!$B$34),1-EXP(-Presion_cilindro!$B$16*((Presion_cilindro!N500-(-H$4+Presion_cilindro!$B$34))/Presion_cilindro!$B$35)^(Presion_cilindro!$B$17+1)),0)-IF(Presion_cilindro!N499&gt;(-H$4+Presion_cilindro!$B$34),1-EXP(-Presion_cilindro!$B$16*((Presion_cilindro!N499-(-H$4+Presion_cilindro!$B$34))/Presion_cilindro!$B$35)^(Presion_cilindro!$B$17+1)),0))/((Presion_cilindro!O499+Presion_cilindro!O500)/2)</f>
        <v>6.7650422811726729</v>
      </c>
      <c r="I508" s="27">
        <f>I507*(Presion_cilindro!O499/Presion_cilindro!O500)^Presion_cilindro!$B$9+10*(Presion_cilindro!$B$9-1)*Presion_cilindro!$B$33*(IF(Presion_cilindro!N500&gt;(-I$4+Presion_cilindro!$B$34),1-EXP(-Presion_cilindro!$B$16*((Presion_cilindro!N500-(-I$4+Presion_cilindro!$B$34))/Presion_cilindro!$B$35)^(Presion_cilindro!$B$17+1)),0)-IF(Presion_cilindro!N499&gt;(-I$4+Presion_cilindro!$B$34),1-EXP(-Presion_cilindro!$B$16*((Presion_cilindro!N499-(-I$4+Presion_cilindro!$B$34))/Presion_cilindro!$B$35)^(Presion_cilindro!$B$17+1)),0))/((Presion_cilindro!O499+Presion_cilindro!O500)/2)</f>
        <v>6.7478054282653313</v>
      </c>
      <c r="J508" s="27">
        <f>J507*(Presion_cilindro!O499/Presion_cilindro!O500)^Presion_cilindro!$B$9+10*(Presion_cilindro!$B$9-1)*Presion_cilindro!$B$33*(IF(Presion_cilindro!N500&gt;(-J$4+Presion_cilindro!$B$34),1-EXP(-Presion_cilindro!$B$16*((Presion_cilindro!N500-(-J$4+Presion_cilindro!$B$34))/Presion_cilindro!$B$35)^(Presion_cilindro!$B$17+1)),0)-IF(Presion_cilindro!N499&gt;(-J$4+Presion_cilindro!$B$34),1-EXP(-Presion_cilindro!$B$16*((Presion_cilindro!N499-(-J$4+Presion_cilindro!$B$34))/Presion_cilindro!$B$35)^(Presion_cilindro!$B$17+1)),0))/((Presion_cilindro!O499+Presion_cilindro!O500)/2)</f>
        <v>6.7862637831056078</v>
      </c>
      <c r="K508" s="27">
        <f>K507*(Presion_cilindro!O499/Presion_cilindro!O500)^Presion_cilindro!$B$9+10*(Presion_cilindro!$B$9-1)*Presion_cilindro!$B$33*(IF(Presion_cilindro!N500&gt;(-K$4+Presion_cilindro!$B$34),1-EXP(-Presion_cilindro!$B$16*((Presion_cilindro!N500-(-K$4+Presion_cilindro!$B$34))/Presion_cilindro!$B$35)^(Presion_cilindro!$B$17+1)),0)-IF(Presion_cilindro!N499&gt;(-K$4+Presion_cilindro!$B$34),1-EXP(-Presion_cilindro!$B$16*((Presion_cilindro!N499-(-K$4+Presion_cilindro!$B$34))/Presion_cilindro!$B$35)^(Presion_cilindro!$B$17+1)),0))/((Presion_cilindro!O499+Presion_cilindro!O500)/2)</f>
        <v>6.8777154245907273</v>
      </c>
      <c r="L508" s="27">
        <f>L507*(Presion_cilindro!O499/Presion_cilindro!O500)^Presion_cilindro!$B$9+10*(Presion_cilindro!$B$9-1)*Presion_cilindro!$B$33*(IF(Presion_cilindro!N500&gt;(-L$4+Presion_cilindro!$B$34),1-EXP(-Presion_cilindro!$B$16*((Presion_cilindro!N500-(-L$4+Presion_cilindro!$B$34))/Presion_cilindro!$B$35)^(Presion_cilindro!$B$17+1)),0)-IF(Presion_cilindro!N499&gt;(-L$4+Presion_cilindro!$B$34),1-EXP(-Presion_cilindro!$B$16*((Presion_cilindro!N499-(-L$4+Presion_cilindro!$B$34))/Presion_cilindro!$B$35)^(Presion_cilindro!$B$17+1)),0))/((Presion_cilindro!O499+Presion_cilindro!O500)/2)</f>
        <v>7.0162415425580917</v>
      </c>
      <c r="M508" s="27">
        <f>M507*(Presion_cilindro!O499/Presion_cilindro!O500)^Presion_cilindro!$B$9+10*(Presion_cilindro!$B$9-1)*Presion_cilindro!$B$33*(IF(Presion_cilindro!N500&gt;(-M$4+Presion_cilindro!$B$34),1-EXP(-Presion_cilindro!$B$16*((Presion_cilindro!N500-(-M$4+Presion_cilindro!$B$34))/Presion_cilindro!$B$35)^(Presion_cilindro!$B$17+1)),0)-IF(Presion_cilindro!N499&gt;(-M$4+Presion_cilindro!$B$34),1-EXP(-Presion_cilindro!$B$16*((Presion_cilindro!N499-(-M$4+Presion_cilindro!$B$34))/Presion_cilindro!$B$35)^(Presion_cilindro!$B$17+1)),0))/((Presion_cilindro!O499+Presion_cilindro!O500)/2)</f>
        <v>7.1937986418863442</v>
      </c>
      <c r="N508" s="27">
        <f>N507*(Presion_cilindro!O499/Presion_cilindro!O500)^Presion_cilindro!$B$9+10*(Presion_cilindro!$B$9-1)*Presion_cilindro!$B$33*(IF(Presion_cilindro!N500&gt;(-N$4+Presion_cilindro!$B$34),1-EXP(-Presion_cilindro!$B$16*((Presion_cilindro!N500-(-N$4+Presion_cilindro!$B$34))/Presion_cilindro!$B$35)^(Presion_cilindro!$B$17+1)),0)-IF(Presion_cilindro!N499&gt;(-N$4+Presion_cilindro!$B$34),1-EXP(-Presion_cilindro!$B$16*((Presion_cilindro!N499-(-N$4+Presion_cilindro!$B$34))/Presion_cilindro!$B$35)^(Presion_cilindro!$B$17+1)),0))/((Presion_cilindro!O499+Presion_cilindro!O500)/2)</f>
        <v>7.4014800139222139</v>
      </c>
    </row>
    <row r="509" spans="1:14" x14ac:dyDescent="0.25">
      <c r="A509" s="21">
        <f>Presion_cilindro!N501</f>
        <v>68.5</v>
      </c>
      <c r="B509" s="27">
        <f>B508*(Presion_cilindro!O500/Presion_cilindro!O501)^Presion_cilindro!$B$9+10*(Presion_cilindro!$B$9-1)*Presion_cilindro!$B$33*(IF(Presion_cilindro!N501&gt;(-B$4+Presion_cilindro!$B$34),1-EXP(-Presion_cilindro!$B$16*((Presion_cilindro!N501-(-B$4+Presion_cilindro!$B$34))/Presion_cilindro!$B$35)^(Presion_cilindro!$B$17+1)),0)-IF(Presion_cilindro!N500&gt;(-B$4+Presion_cilindro!$B$34),1-EXP(-Presion_cilindro!$B$16*((Presion_cilindro!N500-(-B$4+Presion_cilindro!$B$34))/Presion_cilindro!$B$35)^(Presion_cilindro!$B$17+1)),0))/((Presion_cilindro!O500+Presion_cilindro!O501)/2)</f>
        <v>7.6881196332368367</v>
      </c>
      <c r="C509" s="27">
        <f>C508*(Presion_cilindro!O500/Presion_cilindro!O501)^Presion_cilindro!$B$9+10*(Presion_cilindro!$B$9-1)*Presion_cilindro!$B$33*(IF(Presion_cilindro!N501&gt;(-C$4+Presion_cilindro!$B$34),1-EXP(-Presion_cilindro!$B$16*((Presion_cilindro!N501-(-C$4+Presion_cilindro!$B$34))/Presion_cilindro!$B$35)^(Presion_cilindro!$B$17+1)),0)-IF(Presion_cilindro!N500&gt;(-C$4+Presion_cilindro!$B$34),1-EXP(-Presion_cilindro!$B$16*((Presion_cilindro!N500-(-C$4+Presion_cilindro!$B$34))/Presion_cilindro!$B$35)^(Presion_cilindro!$B$17+1)),0))/((Presion_cilindro!O500+Presion_cilindro!O501)/2)</f>
        <v>7.4522775638895737</v>
      </c>
      <c r="D509" s="27">
        <f>D508*(Presion_cilindro!O500/Presion_cilindro!O501)^Presion_cilindro!$B$9+10*(Presion_cilindro!$B$9-1)*Presion_cilindro!$B$33*(IF(Presion_cilindro!N501&gt;(-D$4+Presion_cilindro!$B$34),1-EXP(-Presion_cilindro!$B$16*((Presion_cilindro!N501-(-D$4+Presion_cilindro!$B$34))/Presion_cilindro!$B$35)^(Presion_cilindro!$B$17+1)),0)-IF(Presion_cilindro!N500&gt;(-D$4+Presion_cilindro!$B$34),1-EXP(-Presion_cilindro!$B$16*((Presion_cilindro!N500-(-D$4+Presion_cilindro!$B$34))/Presion_cilindro!$B$35)^(Presion_cilindro!$B$17+1)),0))/((Presion_cilindro!O500+Presion_cilindro!O501)/2)</f>
        <v>7.2321696345200523</v>
      </c>
      <c r="E509" s="27">
        <f>E508*(Presion_cilindro!O500/Presion_cilindro!O501)^Presion_cilindro!$B$9+10*(Presion_cilindro!$B$9-1)*Presion_cilindro!$B$33*(IF(Presion_cilindro!N501&gt;(-E$4+Presion_cilindro!$B$34),1-EXP(-Presion_cilindro!$B$16*((Presion_cilindro!N501-(-E$4+Presion_cilindro!$B$34))/Presion_cilindro!$B$35)^(Presion_cilindro!$B$17+1)),0)-IF(Presion_cilindro!N500&gt;(-E$4+Presion_cilindro!$B$34),1-EXP(-Presion_cilindro!$B$16*((Presion_cilindro!N500-(-E$4+Presion_cilindro!$B$34))/Presion_cilindro!$B$35)^(Presion_cilindro!$B$17+1)),0))/((Presion_cilindro!O500+Presion_cilindro!O501)/2)</f>
        <v>7.0364355068180586</v>
      </c>
      <c r="F509" s="27">
        <f>F508*(Presion_cilindro!O500/Presion_cilindro!O501)^Presion_cilindro!$B$9+10*(Presion_cilindro!$B$9-1)*Presion_cilindro!$B$33*(IF(Presion_cilindro!N501&gt;(-F$4+Presion_cilindro!$B$34),1-EXP(-Presion_cilindro!$B$16*((Presion_cilindro!N501-(-F$4+Presion_cilindro!$B$34))/Presion_cilindro!$B$35)^(Presion_cilindro!$B$17+1)),0)-IF(Presion_cilindro!N500&gt;(-F$4+Presion_cilindro!$B$34),1-EXP(-Presion_cilindro!$B$16*((Presion_cilindro!N500-(-F$4+Presion_cilindro!$B$34))/Presion_cilindro!$B$35)^(Presion_cilindro!$B$17+1)),0))/((Presion_cilindro!O500+Presion_cilindro!O501)/2)</f>
        <v>6.8740375027105314</v>
      </c>
      <c r="G509" s="27">
        <f>G508*(Presion_cilindro!O500/Presion_cilindro!O501)^Presion_cilindro!$B$9+10*(Presion_cilindro!$B$9-1)*Presion_cilindro!$B$33*(IF(Presion_cilindro!N501&gt;(-G$4+Presion_cilindro!$B$34),1-EXP(-Presion_cilindro!$B$16*((Presion_cilindro!N501-(-G$4+Presion_cilindro!$B$34))/Presion_cilindro!$B$35)^(Presion_cilindro!$B$17+1)),0)-IF(Presion_cilindro!N500&gt;(-G$4+Presion_cilindro!$B$34),1-EXP(-Presion_cilindro!$B$16*((Presion_cilindro!N500-(-G$4+Presion_cilindro!$B$34))/Presion_cilindro!$B$35)^(Presion_cilindro!$B$17+1)),0))/((Presion_cilindro!O500+Presion_cilindro!O501)/2)</f>
        <v>6.7537024238962813</v>
      </c>
      <c r="H509" s="27">
        <f>H508*(Presion_cilindro!O500/Presion_cilindro!O501)^Presion_cilindro!$B$9+10*(Presion_cilindro!$B$9-1)*Presion_cilindro!$B$33*(IF(Presion_cilindro!N501&gt;(-H$4+Presion_cilindro!$B$34),1-EXP(-Presion_cilindro!$B$16*((Presion_cilindro!N501-(-H$4+Presion_cilindro!$B$34))/Presion_cilindro!$B$35)^(Presion_cilindro!$B$17+1)),0)-IF(Presion_cilindro!N500&gt;(-H$4+Presion_cilindro!$B$34),1-EXP(-Presion_cilindro!$B$16*((Presion_cilindro!N500-(-H$4+Presion_cilindro!$B$34))/Presion_cilindro!$B$35)^(Presion_cilindro!$B$17+1)),0))/((Presion_cilindro!O500+Presion_cilindro!O501)/2)</f>
        <v>6.6827183570583335</v>
      </c>
      <c r="I509" s="27">
        <f>I508*(Presion_cilindro!O500/Presion_cilindro!O501)^Presion_cilindro!$B$9+10*(Presion_cilindro!$B$9-1)*Presion_cilindro!$B$33*(IF(Presion_cilindro!N501&gt;(-I$4+Presion_cilindro!$B$34),1-EXP(-Presion_cilindro!$B$16*((Presion_cilindro!N501-(-I$4+Presion_cilindro!$B$34))/Presion_cilindro!$B$35)^(Presion_cilindro!$B$17+1)),0)-IF(Presion_cilindro!N500&gt;(-I$4+Presion_cilindro!$B$34),1-EXP(-Presion_cilindro!$B$16*((Presion_cilindro!N500-(-I$4+Presion_cilindro!$B$34))/Presion_cilindro!$B$35)^(Presion_cilindro!$B$17+1)),0))/((Presion_cilindro!O500+Presion_cilindro!O501)/2)</f>
        <v>6.6656912597313429</v>
      </c>
      <c r="J509" s="27">
        <f>J508*(Presion_cilindro!O500/Presion_cilindro!O501)^Presion_cilindro!$B$9+10*(Presion_cilindro!$B$9-1)*Presion_cilindro!$B$33*(IF(Presion_cilindro!N501&gt;(-J$4+Presion_cilindro!$B$34),1-EXP(-Presion_cilindro!$B$16*((Presion_cilindro!N501-(-J$4+Presion_cilindro!$B$34))/Presion_cilindro!$B$35)^(Presion_cilindro!$B$17+1)),0)-IF(Presion_cilindro!N500&gt;(-J$4+Presion_cilindro!$B$34),1-EXP(-Presion_cilindro!$B$16*((Presion_cilindro!N500-(-J$4+Presion_cilindro!$B$34))/Presion_cilindro!$B$35)^(Presion_cilindro!$B$17+1)),0))/((Presion_cilindro!O500+Presion_cilindro!O501)/2)</f>
        <v>6.703681614143262</v>
      </c>
      <c r="K509" s="27">
        <f>K508*(Presion_cilindro!O500/Presion_cilindro!O501)^Presion_cilindro!$B$9+10*(Presion_cilindro!$B$9-1)*Presion_cilindro!$B$33*(IF(Presion_cilindro!N501&gt;(-K$4+Presion_cilindro!$B$34),1-EXP(-Presion_cilindro!$B$16*((Presion_cilindro!N501-(-K$4+Presion_cilindro!$B$34))/Presion_cilindro!$B$35)^(Presion_cilindro!$B$17+1)),0)-IF(Presion_cilindro!N500&gt;(-K$4+Presion_cilindro!$B$34),1-EXP(-Presion_cilindro!$B$16*((Presion_cilindro!N500-(-K$4+Presion_cilindro!$B$34))/Presion_cilindro!$B$35)^(Presion_cilindro!$B$17+1)),0))/((Presion_cilindro!O500+Presion_cilindro!O501)/2)</f>
        <v>6.7940203789188427</v>
      </c>
      <c r="L509" s="27">
        <f>L508*(Presion_cilindro!O500/Presion_cilindro!O501)^Presion_cilindro!$B$9+10*(Presion_cilindro!$B$9-1)*Presion_cilindro!$B$33*(IF(Presion_cilindro!N501&gt;(-L$4+Presion_cilindro!$B$34),1-EXP(-Presion_cilindro!$B$16*((Presion_cilindro!N501-(-L$4+Presion_cilindro!$B$34))/Presion_cilindro!$B$35)^(Presion_cilindro!$B$17+1)),0)-IF(Presion_cilindro!N500&gt;(-L$4+Presion_cilindro!$B$34),1-EXP(-Presion_cilindro!$B$16*((Presion_cilindro!N500-(-L$4+Presion_cilindro!$B$34))/Presion_cilindro!$B$35)^(Presion_cilindro!$B$17+1)),0))/((Presion_cilindro!O500+Presion_cilindro!O501)/2)</f>
        <v>6.9308607700053626</v>
      </c>
      <c r="M509" s="27">
        <f>M508*(Presion_cilindro!O500/Presion_cilindro!O501)^Presion_cilindro!$B$9+10*(Presion_cilindro!$B$9-1)*Presion_cilindro!$B$33*(IF(Presion_cilindro!N501&gt;(-M$4+Presion_cilindro!$B$34),1-EXP(-Presion_cilindro!$B$16*((Presion_cilindro!N501-(-M$4+Presion_cilindro!$B$34))/Presion_cilindro!$B$35)^(Presion_cilindro!$B$17+1)),0)-IF(Presion_cilindro!N500&gt;(-M$4+Presion_cilindro!$B$34),1-EXP(-Presion_cilindro!$B$16*((Presion_cilindro!N500-(-M$4+Presion_cilindro!$B$34))/Presion_cilindro!$B$35)^(Presion_cilindro!$B$17+1)),0))/((Presion_cilindro!O500+Presion_cilindro!O501)/2)</f>
        <v>7.1062571737217395</v>
      </c>
      <c r="N509" s="27">
        <f>N508*(Presion_cilindro!O500/Presion_cilindro!O501)^Presion_cilindro!$B$9+10*(Presion_cilindro!$B$9-1)*Presion_cilindro!$B$33*(IF(Presion_cilindro!N501&gt;(-N$4+Presion_cilindro!$B$34),1-EXP(-Presion_cilindro!$B$16*((Presion_cilindro!N501-(-N$4+Presion_cilindro!$B$34))/Presion_cilindro!$B$35)^(Presion_cilindro!$B$17+1)),0)-IF(Presion_cilindro!N500&gt;(-N$4+Presion_cilindro!$B$34),1-EXP(-Presion_cilindro!$B$16*((Presion_cilindro!N500-(-N$4+Presion_cilindro!$B$34))/Presion_cilindro!$B$35)^(Presion_cilindro!$B$17+1)),0))/((Presion_cilindro!O500+Presion_cilindro!O501)/2)</f>
        <v>7.3114112673163412</v>
      </c>
    </row>
    <row r="510" spans="1:14" x14ac:dyDescent="0.25">
      <c r="A510" s="21">
        <f>Presion_cilindro!N502</f>
        <v>69</v>
      </c>
      <c r="B510" s="27">
        <f>B509*(Presion_cilindro!O501/Presion_cilindro!O502)^Presion_cilindro!$B$9+10*(Presion_cilindro!$B$9-1)*Presion_cilindro!$B$33*(IF(Presion_cilindro!N502&gt;(-B$4+Presion_cilindro!$B$34),1-EXP(-Presion_cilindro!$B$16*((Presion_cilindro!N502-(-B$4+Presion_cilindro!$B$34))/Presion_cilindro!$B$35)^(Presion_cilindro!$B$17+1)),0)-IF(Presion_cilindro!N501&gt;(-B$4+Presion_cilindro!$B$34),1-EXP(-Presion_cilindro!$B$16*((Presion_cilindro!N501-(-B$4+Presion_cilindro!$B$34))/Presion_cilindro!$B$35)^(Presion_cilindro!$B$17+1)),0))/((Presion_cilindro!O501+Presion_cilindro!O502)/2)</f>
        <v>7.5954112846009512</v>
      </c>
      <c r="C510" s="27">
        <f>C509*(Presion_cilindro!O501/Presion_cilindro!O502)^Presion_cilindro!$B$9+10*(Presion_cilindro!$B$9-1)*Presion_cilindro!$B$33*(IF(Presion_cilindro!N502&gt;(-C$4+Presion_cilindro!$B$34),1-EXP(-Presion_cilindro!$B$16*((Presion_cilindro!N502-(-C$4+Presion_cilindro!$B$34))/Presion_cilindro!$B$35)^(Presion_cilindro!$B$17+1)),0)-IF(Presion_cilindro!N501&gt;(-C$4+Presion_cilindro!$B$34),1-EXP(-Presion_cilindro!$B$16*((Presion_cilindro!N501-(-C$4+Presion_cilindro!$B$34))/Presion_cilindro!$B$35)^(Presion_cilindro!$B$17+1)),0))/((Presion_cilindro!O501+Presion_cilindro!O502)/2)</f>
        <v>7.3623090510462381</v>
      </c>
      <c r="D510" s="27">
        <f>D509*(Presion_cilindro!O501/Presion_cilindro!O502)^Presion_cilindro!$B$9+10*(Presion_cilindro!$B$9-1)*Presion_cilindro!$B$33*(IF(Presion_cilindro!N502&gt;(-D$4+Presion_cilindro!$B$34),1-EXP(-Presion_cilindro!$B$16*((Presion_cilindro!N502-(-D$4+Presion_cilindro!$B$34))/Presion_cilindro!$B$35)^(Presion_cilindro!$B$17+1)),0)-IF(Presion_cilindro!N501&gt;(-D$4+Presion_cilindro!$B$34),1-EXP(-Presion_cilindro!$B$16*((Presion_cilindro!N501-(-D$4+Presion_cilindro!$B$34))/Presion_cilindro!$B$35)^(Presion_cilindro!$B$17+1)),0))/((Presion_cilindro!O501+Presion_cilindro!O502)/2)</f>
        <v>7.1448482559243978</v>
      </c>
      <c r="E510" s="27">
        <f>E509*(Presion_cilindro!O501/Presion_cilindro!O502)^Presion_cilindro!$B$9+10*(Presion_cilindro!$B$9-1)*Presion_cilindro!$B$33*(IF(Presion_cilindro!N502&gt;(-E$4+Presion_cilindro!$B$34),1-EXP(-Presion_cilindro!$B$16*((Presion_cilindro!N502-(-E$4+Presion_cilindro!$B$34))/Presion_cilindro!$B$35)^(Presion_cilindro!$B$17+1)),0)-IF(Presion_cilindro!N501&gt;(-E$4+Presion_cilindro!$B$34),1-EXP(-Presion_cilindro!$B$16*((Presion_cilindro!N501-(-E$4+Presion_cilindro!$B$34))/Presion_cilindro!$B$35)^(Presion_cilindro!$B$17+1)),0))/((Presion_cilindro!O501+Presion_cilindro!O502)/2)</f>
        <v>6.9514767837304055</v>
      </c>
      <c r="F510" s="27">
        <f>F509*(Presion_cilindro!O501/Presion_cilindro!O502)^Presion_cilindro!$B$9+10*(Presion_cilindro!$B$9-1)*Presion_cilindro!$B$33*(IF(Presion_cilindro!N502&gt;(-F$4+Presion_cilindro!$B$34),1-EXP(-Presion_cilindro!$B$16*((Presion_cilindro!N502-(-F$4+Presion_cilindro!$B$34))/Presion_cilindro!$B$35)^(Presion_cilindro!$B$17+1)),0)-IF(Presion_cilindro!N501&gt;(-F$4+Presion_cilindro!$B$34),1-EXP(-Presion_cilindro!$B$16*((Presion_cilindro!N501-(-F$4+Presion_cilindro!$B$34))/Presion_cilindro!$B$35)^(Presion_cilindro!$B$17+1)),0))/((Presion_cilindro!O501+Presion_cilindro!O502)/2)</f>
        <v>6.7910395657997409</v>
      </c>
      <c r="G510" s="27">
        <f>G509*(Presion_cilindro!O501/Presion_cilindro!O502)^Presion_cilindro!$B$9+10*(Presion_cilindro!$B$9-1)*Presion_cilindro!$B$33*(IF(Presion_cilindro!N502&gt;(-G$4+Presion_cilindro!$B$34),1-EXP(-Presion_cilindro!$B$16*((Presion_cilindro!N502-(-G$4+Presion_cilindro!$B$34))/Presion_cilindro!$B$35)^(Presion_cilindro!$B$17+1)),0)-IF(Presion_cilindro!N501&gt;(-G$4+Presion_cilindro!$B$34),1-EXP(-Presion_cilindro!$B$16*((Presion_cilindro!N501-(-G$4+Presion_cilindro!$B$34))/Presion_cilindro!$B$35)^(Presion_cilindro!$B$17+1)),0))/((Presion_cilindro!O501+Presion_cilindro!O502)/2)</f>
        <v>6.672157426234282</v>
      </c>
      <c r="H510" s="27">
        <f>H509*(Presion_cilindro!O501/Presion_cilindro!O502)^Presion_cilindro!$B$9+10*(Presion_cilindro!$B$9-1)*Presion_cilindro!$B$33*(IF(Presion_cilindro!N502&gt;(-H$4+Presion_cilindro!$B$34),1-EXP(-Presion_cilindro!$B$16*((Presion_cilindro!N502-(-H$4+Presion_cilindro!$B$34))/Presion_cilindro!$B$35)^(Presion_cilindro!$B$17+1)),0)-IF(Presion_cilindro!N501&gt;(-H$4+Presion_cilindro!$B$34),1-EXP(-Presion_cilindro!$B$16*((Presion_cilindro!N501-(-H$4+Presion_cilindro!$B$34))/Presion_cilindro!$B$35)^(Presion_cilindro!$B$17+1)),0))/((Presion_cilindro!O501+Presion_cilindro!O502)/2)</f>
        <v>6.6020304293613501</v>
      </c>
      <c r="I510" s="27">
        <f>I509*(Presion_cilindro!O501/Presion_cilindro!O502)^Presion_cilindro!$B$9+10*(Presion_cilindro!$B$9-1)*Presion_cilindro!$B$33*(IF(Presion_cilindro!N502&gt;(-I$4+Presion_cilindro!$B$34),1-EXP(-Presion_cilindro!$B$16*((Presion_cilindro!N502-(-I$4+Presion_cilindro!$B$34))/Presion_cilindro!$B$35)^(Presion_cilindro!$B$17+1)),0)-IF(Presion_cilindro!N501&gt;(-I$4+Presion_cilindro!$B$34),1-EXP(-Presion_cilindro!$B$16*((Presion_cilindro!N501-(-I$4+Presion_cilindro!$B$34))/Presion_cilindro!$B$35)^(Presion_cilindro!$B$17+1)),0))/((Presion_cilindro!O501+Presion_cilindro!O502)/2)</f>
        <v>6.5852089192107224</v>
      </c>
      <c r="J510" s="27">
        <f>J509*(Presion_cilindro!O501/Presion_cilindro!O502)^Presion_cilindro!$B$9+10*(Presion_cilindro!$B$9-1)*Presion_cilindro!$B$33*(IF(Presion_cilindro!N502&gt;(-J$4+Presion_cilindro!$B$34),1-EXP(-Presion_cilindro!$B$16*((Presion_cilindro!N502-(-J$4+Presion_cilindro!$B$34))/Presion_cilindro!$B$35)^(Presion_cilindro!$B$17+1)),0)-IF(Presion_cilindro!N501&gt;(-J$4+Presion_cilindro!$B$34),1-EXP(-Presion_cilindro!$B$16*((Presion_cilindro!N501-(-J$4+Presion_cilindro!$B$34))/Presion_cilindro!$B$35)^(Presion_cilindro!$B$17+1)),0))/((Presion_cilindro!O501+Presion_cilindro!O502)/2)</f>
        <v>6.6227405736137239</v>
      </c>
      <c r="K510" s="27">
        <f>K509*(Presion_cilindro!O501/Presion_cilindro!O502)^Presion_cilindro!$B$9+10*(Presion_cilindro!$B$9-1)*Presion_cilindro!$B$33*(IF(Presion_cilindro!N502&gt;(-K$4+Presion_cilindro!$B$34),1-EXP(-Presion_cilindro!$B$16*((Presion_cilindro!N502-(-K$4+Presion_cilindro!$B$34))/Presion_cilindro!$B$35)^(Presion_cilindro!$B$17+1)),0)-IF(Presion_cilindro!N501&gt;(-K$4+Presion_cilindro!$B$34),1-EXP(-Presion_cilindro!$B$16*((Presion_cilindro!N501-(-K$4+Presion_cilindro!$B$34))/Presion_cilindro!$B$35)^(Presion_cilindro!$B$17+1)),0))/((Presion_cilindro!O501+Presion_cilindro!O502)/2)</f>
        <v>6.7119885775146146</v>
      </c>
      <c r="L510" s="27">
        <f>L509*(Presion_cilindro!O501/Presion_cilindro!O502)^Presion_cilindro!$B$9+10*(Presion_cilindro!$B$9-1)*Presion_cilindro!$B$33*(IF(Presion_cilindro!N502&gt;(-L$4+Presion_cilindro!$B$34),1-EXP(-Presion_cilindro!$B$16*((Presion_cilindro!N502-(-L$4+Presion_cilindro!$B$34))/Presion_cilindro!$B$35)^(Presion_cilindro!$B$17+1)),0)-IF(Presion_cilindro!N501&gt;(-L$4+Presion_cilindro!$B$34),1-EXP(-Presion_cilindro!$B$16*((Presion_cilindro!N501-(-L$4+Presion_cilindro!$B$34))/Presion_cilindro!$B$35)^(Presion_cilindro!$B$17+1)),0))/((Presion_cilindro!O501+Presion_cilindro!O502)/2)</f>
        <v>6.8471767416192257</v>
      </c>
      <c r="M510" s="27">
        <f>M509*(Presion_cilindro!O501/Presion_cilindro!O502)^Presion_cilindro!$B$9+10*(Presion_cilindro!$B$9-1)*Presion_cilindro!$B$33*(IF(Presion_cilindro!N502&gt;(-M$4+Presion_cilindro!$B$34),1-EXP(-Presion_cilindro!$B$16*((Presion_cilindro!N502-(-M$4+Presion_cilindro!$B$34))/Presion_cilindro!$B$35)^(Presion_cilindro!$B$17+1)),0)-IF(Presion_cilindro!N501&gt;(-M$4+Presion_cilindro!$B$34),1-EXP(-Presion_cilindro!$B$16*((Presion_cilindro!N501-(-M$4+Presion_cilindro!$B$34))/Presion_cilindro!$B$35)^(Presion_cilindro!$B$17+1)),0))/((Presion_cilindro!O501+Presion_cilindro!O502)/2)</f>
        <v>7.0204553885209009</v>
      </c>
      <c r="N510" s="27">
        <f>N509*(Presion_cilindro!O501/Presion_cilindro!O502)^Presion_cilindro!$B$9+10*(Presion_cilindro!$B$9-1)*Presion_cilindro!$B$33*(IF(Presion_cilindro!N502&gt;(-N$4+Presion_cilindro!$B$34),1-EXP(-Presion_cilindro!$B$16*((Presion_cilindro!N502-(-N$4+Presion_cilindro!$B$34))/Presion_cilindro!$B$35)^(Presion_cilindro!$B$17+1)),0)-IF(Presion_cilindro!N501&gt;(-N$4+Presion_cilindro!$B$34),1-EXP(-Presion_cilindro!$B$16*((Presion_cilindro!N501-(-N$4+Presion_cilindro!$B$34))/Presion_cilindro!$B$35)^(Presion_cilindro!$B$17+1)),0))/((Presion_cilindro!O501+Presion_cilindro!O502)/2)</f>
        <v>7.2231324274520761</v>
      </c>
    </row>
    <row r="511" spans="1:14" x14ac:dyDescent="0.25">
      <c r="A511" s="21">
        <f>Presion_cilindro!N503</f>
        <v>69.5</v>
      </c>
      <c r="B511" s="27">
        <f>B510*(Presion_cilindro!O502/Presion_cilindro!O503)^Presion_cilindro!$B$9+10*(Presion_cilindro!$B$9-1)*Presion_cilindro!$B$33*(IF(Presion_cilindro!N503&gt;(-B$4+Presion_cilindro!$B$34),1-EXP(-Presion_cilindro!$B$16*((Presion_cilindro!N503-(-B$4+Presion_cilindro!$B$34))/Presion_cilindro!$B$35)^(Presion_cilindro!$B$17+1)),0)-IF(Presion_cilindro!N502&gt;(-B$4+Presion_cilindro!$B$34),1-EXP(-Presion_cilindro!$B$16*((Presion_cilindro!N502-(-B$4+Presion_cilindro!$B$34))/Presion_cilindro!$B$35)^(Presion_cilindro!$B$17+1)),0))/((Presion_cilindro!O502+Presion_cilindro!O503)/2)</f>
        <v>7.5045159670200823</v>
      </c>
      <c r="C511" s="27">
        <f>C510*(Presion_cilindro!O502/Presion_cilindro!O503)^Presion_cilindro!$B$9+10*(Presion_cilindro!$B$9-1)*Presion_cilindro!$B$33*(IF(Presion_cilindro!N503&gt;(-C$4+Presion_cilindro!$B$34),1-EXP(-Presion_cilindro!$B$16*((Presion_cilindro!N503-(-C$4+Presion_cilindro!$B$34))/Presion_cilindro!$B$35)^(Presion_cilindro!$B$17+1)),0)-IF(Presion_cilindro!N502&gt;(-C$4+Presion_cilindro!$B$34),1-EXP(-Presion_cilindro!$B$16*((Presion_cilindro!N502-(-C$4+Presion_cilindro!$B$34))/Presion_cilindro!$B$35)^(Presion_cilindro!$B$17+1)),0))/((Presion_cilindro!O502+Presion_cilindro!O503)/2)</f>
        <v>7.2741200345719355</v>
      </c>
      <c r="D511" s="27">
        <f>D510*(Presion_cilindro!O502/Presion_cilindro!O503)^Presion_cilindro!$B$9+10*(Presion_cilindro!$B$9-1)*Presion_cilindro!$B$33*(IF(Presion_cilindro!N503&gt;(-D$4+Presion_cilindro!$B$34),1-EXP(-Presion_cilindro!$B$16*((Presion_cilindro!N503-(-D$4+Presion_cilindro!$B$34))/Presion_cilindro!$B$35)^(Presion_cilindro!$B$17+1)),0)-IF(Presion_cilindro!N502&gt;(-D$4+Presion_cilindro!$B$34),1-EXP(-Presion_cilindro!$B$16*((Presion_cilindro!N502-(-D$4+Presion_cilindro!$B$34))/Presion_cilindro!$B$35)^(Presion_cilindro!$B$17+1)),0))/((Presion_cilindro!O502+Presion_cilindro!O503)/2)</f>
        <v>7.0592563015449841</v>
      </c>
      <c r="E511" s="27">
        <f>E510*(Presion_cilindro!O502/Presion_cilindro!O503)^Presion_cilindro!$B$9+10*(Presion_cilindro!$B$9-1)*Presion_cilindro!$B$33*(IF(Presion_cilindro!N503&gt;(-E$4+Presion_cilindro!$B$34),1-EXP(-Presion_cilindro!$B$16*((Presion_cilindro!N503-(-E$4+Presion_cilindro!$B$34))/Presion_cilindro!$B$35)^(Presion_cilindro!$B$17+1)),0)-IF(Presion_cilindro!N502&gt;(-E$4+Presion_cilindro!$B$34),1-EXP(-Presion_cilindro!$B$16*((Presion_cilindro!N502-(-E$4+Presion_cilindro!$B$34))/Presion_cilindro!$B$35)^(Presion_cilindro!$B$17+1)),0))/((Presion_cilindro!O502+Presion_cilindro!O503)/2)</f>
        <v>6.8682008581055811</v>
      </c>
      <c r="F511" s="27">
        <f>F510*(Presion_cilindro!O502/Presion_cilindro!O503)^Presion_cilindro!$B$9+10*(Presion_cilindro!$B$9-1)*Presion_cilindro!$B$33*(IF(Presion_cilindro!N503&gt;(-F$4+Presion_cilindro!$B$34),1-EXP(-Presion_cilindro!$B$16*((Presion_cilindro!N503-(-F$4+Presion_cilindro!$B$34))/Presion_cilindro!$B$35)^(Presion_cilindro!$B$17+1)),0)-IF(Presion_cilindro!N502&gt;(-F$4+Presion_cilindro!$B$34),1-EXP(-Presion_cilindro!$B$16*((Presion_cilindro!N502-(-F$4+Presion_cilindro!$B$34))/Presion_cilindro!$B$35)^(Presion_cilindro!$B$17+1)),0))/((Presion_cilindro!O502+Presion_cilindro!O503)/2)</f>
        <v>6.7096855961475086</v>
      </c>
      <c r="G511" s="27">
        <f>G510*(Presion_cilindro!O502/Presion_cilindro!O503)^Presion_cilindro!$B$9+10*(Presion_cilindro!$B$9-1)*Presion_cilindro!$B$33*(IF(Presion_cilindro!N503&gt;(-G$4+Presion_cilindro!$B$34),1-EXP(-Presion_cilindro!$B$16*((Presion_cilindro!N503-(-G$4+Presion_cilindro!$B$34))/Presion_cilindro!$B$35)^(Presion_cilindro!$B$17+1)),0)-IF(Presion_cilindro!N502&gt;(-G$4+Presion_cilindro!$B$34),1-EXP(-Presion_cilindro!$B$16*((Presion_cilindro!N502-(-G$4+Presion_cilindro!$B$34))/Presion_cilindro!$B$35)^(Presion_cilindro!$B$17+1)),0))/((Presion_cilindro!O502+Presion_cilindro!O503)/2)</f>
        <v>6.5922276171971648</v>
      </c>
      <c r="H511" s="27">
        <f>H510*(Presion_cilindro!O502/Presion_cilindro!O503)^Presion_cilindro!$B$9+10*(Presion_cilindro!$B$9-1)*Presion_cilindro!$B$33*(IF(Presion_cilindro!N503&gt;(-H$4+Presion_cilindro!$B$34),1-EXP(-Presion_cilindro!$B$16*((Presion_cilindro!N503-(-H$4+Presion_cilindro!$B$34))/Presion_cilindro!$B$35)^(Presion_cilindro!$B$17+1)),0)-IF(Presion_cilindro!N502&gt;(-H$4+Presion_cilindro!$B$34),1-EXP(-Presion_cilindro!$B$16*((Presion_cilindro!N502-(-H$4+Presion_cilindro!$B$34))/Presion_cilindro!$B$35)^(Presion_cilindro!$B$17+1)),0))/((Presion_cilindro!O502+Presion_cilindro!O503)/2)</f>
        <v>6.5229407140256113</v>
      </c>
      <c r="I511" s="27">
        <f>I510*(Presion_cilindro!O502/Presion_cilindro!O503)^Presion_cilindro!$B$9+10*(Presion_cilindro!$B$9-1)*Presion_cilindro!$B$33*(IF(Presion_cilindro!N503&gt;(-I$4+Presion_cilindro!$B$34),1-EXP(-Presion_cilindro!$B$16*((Presion_cilindro!N503-(-I$4+Presion_cilindro!$B$34))/Presion_cilindro!$B$35)^(Presion_cilindro!$B$17+1)),0)-IF(Presion_cilindro!N502&gt;(-I$4+Presion_cilindro!$B$34),1-EXP(-Presion_cilindro!$B$16*((Presion_cilindro!N502-(-I$4+Presion_cilindro!$B$34))/Presion_cilindro!$B$35)^(Presion_cilindro!$B$17+1)),0))/((Presion_cilindro!O502+Presion_cilindro!O503)/2)</f>
        <v>6.5063207189184613</v>
      </c>
      <c r="J511" s="27">
        <f>J510*(Presion_cilindro!O502/Presion_cilindro!O503)^Presion_cilindro!$B$9+10*(Presion_cilindro!$B$9-1)*Presion_cilindro!$B$33*(IF(Presion_cilindro!N503&gt;(-J$4+Presion_cilindro!$B$34),1-EXP(-Presion_cilindro!$B$16*((Presion_cilindro!N503-(-J$4+Presion_cilindro!$B$34))/Presion_cilindro!$B$35)^(Presion_cilindro!$B$17+1)),0)-IF(Presion_cilindro!N502&gt;(-J$4+Presion_cilindro!$B$34),1-EXP(-Presion_cilindro!$B$16*((Presion_cilindro!N502-(-J$4+Presion_cilindro!$B$34))/Presion_cilindro!$B$35)^(Presion_cilindro!$B$17+1)),0))/((Presion_cilindro!O502+Presion_cilindro!O503)/2)</f>
        <v>6.5434027589347101</v>
      </c>
      <c r="K511" s="27">
        <f>K510*(Presion_cilindro!O502/Presion_cilindro!O503)^Presion_cilindro!$B$9+10*(Presion_cilindro!$B$9-1)*Presion_cilindro!$B$33*(IF(Presion_cilindro!N503&gt;(-K$4+Presion_cilindro!$B$34),1-EXP(-Presion_cilindro!$B$16*((Presion_cilindro!N503-(-K$4+Presion_cilindro!$B$34))/Presion_cilindro!$B$35)^(Presion_cilindro!$B$17+1)),0)-IF(Presion_cilindro!N502&gt;(-K$4+Presion_cilindro!$B$34),1-EXP(-Presion_cilindro!$B$16*((Presion_cilindro!N502-(-K$4+Presion_cilindro!$B$34))/Presion_cilindro!$B$35)^(Presion_cilindro!$B$17+1)),0))/((Presion_cilindro!O502+Presion_cilindro!O503)/2)</f>
        <v>6.6315816070208351</v>
      </c>
      <c r="L511" s="27">
        <f>L510*(Presion_cilindro!O502/Presion_cilindro!O503)^Presion_cilindro!$B$9+10*(Presion_cilindro!$B$9-1)*Presion_cilindro!$B$33*(IF(Presion_cilindro!N503&gt;(-L$4+Presion_cilindro!$B$34),1-EXP(-Presion_cilindro!$B$16*((Presion_cilindro!N503-(-L$4+Presion_cilindro!$B$34))/Presion_cilindro!$B$35)^(Presion_cilindro!$B$17+1)),0)-IF(Presion_cilindro!N502&gt;(-L$4+Presion_cilindro!$B$34),1-EXP(-Presion_cilindro!$B$16*((Presion_cilindro!N502-(-L$4+Presion_cilindro!$B$34))/Presion_cilindro!$B$35)^(Presion_cilindro!$B$17+1)),0))/((Presion_cilindro!O502+Presion_cilindro!O503)/2)</f>
        <v>6.7651502703475872</v>
      </c>
      <c r="M511" s="27">
        <f>M510*(Presion_cilindro!O502/Presion_cilindro!O503)^Presion_cilindro!$B$9+10*(Presion_cilindro!$B$9-1)*Presion_cilindro!$B$33*(IF(Presion_cilindro!N503&gt;(-M$4+Presion_cilindro!$B$34),1-EXP(-Presion_cilindro!$B$16*((Presion_cilindro!N503-(-M$4+Presion_cilindro!$B$34))/Presion_cilindro!$B$35)^(Presion_cilindro!$B$17+1)),0)-IF(Presion_cilindro!N502&gt;(-M$4+Presion_cilindro!$B$34),1-EXP(-Presion_cilindro!$B$16*((Presion_cilindro!N502-(-M$4+Presion_cilindro!$B$34))/Presion_cilindro!$B$35)^(Presion_cilindro!$B$17+1)),0))/((Presion_cilindro!O502+Presion_cilindro!O503)/2)</f>
        <v>6.9363531075413469</v>
      </c>
      <c r="N511" s="27">
        <f>N510*(Presion_cilindro!O502/Presion_cilindro!O503)^Presion_cilindro!$B$9+10*(Presion_cilindro!$B$9-1)*Presion_cilindro!$B$33*(IF(Presion_cilindro!N503&gt;(-N$4+Presion_cilindro!$B$34),1-EXP(-Presion_cilindro!$B$16*((Presion_cilindro!N503-(-N$4+Presion_cilindro!$B$34))/Presion_cilindro!$B$35)^(Presion_cilindro!$B$17+1)),0)-IF(Presion_cilindro!N502&gt;(-N$4+Presion_cilindro!$B$34),1-EXP(-Presion_cilindro!$B$16*((Presion_cilindro!N502-(-N$4+Presion_cilindro!$B$34))/Presion_cilindro!$B$35)^(Presion_cilindro!$B$17+1)),0))/((Presion_cilindro!O502+Presion_cilindro!O503)/2)</f>
        <v>7.1366021556467176</v>
      </c>
    </row>
    <row r="512" spans="1:14" x14ac:dyDescent="0.25">
      <c r="A512" s="21">
        <f>Presion_cilindro!N504</f>
        <v>70</v>
      </c>
      <c r="B512" s="27">
        <f>B511*(Presion_cilindro!O503/Presion_cilindro!O504)^Presion_cilindro!$B$9+10*(Presion_cilindro!$B$9-1)*Presion_cilindro!$B$33*(IF(Presion_cilindro!N504&gt;(-B$4+Presion_cilindro!$B$34),1-EXP(-Presion_cilindro!$B$16*((Presion_cilindro!N504-(-B$4+Presion_cilindro!$B$34))/Presion_cilindro!$B$35)^(Presion_cilindro!$B$17+1)),0)-IF(Presion_cilindro!N503&gt;(-B$4+Presion_cilindro!$B$34),1-EXP(-Presion_cilindro!$B$16*((Presion_cilindro!N503-(-B$4+Presion_cilindro!$B$34))/Presion_cilindro!$B$35)^(Presion_cilindro!$B$17+1)),0))/((Presion_cilindro!O503+Presion_cilindro!O504)/2)</f>
        <v>7.4153962797985686</v>
      </c>
      <c r="C512" s="27">
        <f>C511*(Presion_cilindro!O503/Presion_cilindro!O504)^Presion_cilindro!$B$9+10*(Presion_cilindro!$B$9-1)*Presion_cilindro!$B$33*(IF(Presion_cilindro!N504&gt;(-C$4+Presion_cilindro!$B$34),1-EXP(-Presion_cilindro!$B$16*((Presion_cilindro!N504-(-C$4+Presion_cilindro!$B$34))/Presion_cilindro!$B$35)^(Presion_cilindro!$B$17+1)),0)-IF(Presion_cilindro!N503&gt;(-C$4+Presion_cilindro!$B$34),1-EXP(-Presion_cilindro!$B$16*((Presion_cilindro!N503-(-C$4+Presion_cilindro!$B$34))/Presion_cilindro!$B$35)^(Presion_cilindro!$B$17+1)),0))/((Presion_cilindro!O503+Presion_cilindro!O504)/2)</f>
        <v>7.1876700768605604</v>
      </c>
      <c r="D512" s="27">
        <f>D511*(Presion_cilindro!O503/Presion_cilindro!O504)^Presion_cilindro!$B$9+10*(Presion_cilindro!$B$9-1)*Presion_cilindro!$B$33*(IF(Presion_cilindro!N504&gt;(-D$4+Presion_cilindro!$B$34),1-EXP(-Presion_cilindro!$B$16*((Presion_cilindro!N504-(-D$4+Presion_cilindro!$B$34))/Presion_cilindro!$B$35)^(Presion_cilindro!$B$17+1)),0)-IF(Presion_cilindro!N503&gt;(-D$4+Presion_cilindro!$B$34),1-EXP(-Presion_cilindro!$B$16*((Presion_cilindro!N503-(-D$4+Presion_cilindro!$B$34))/Presion_cilindro!$B$35)^(Presion_cilindro!$B$17+1)),0))/((Presion_cilindro!O503+Presion_cilindro!O504)/2)</f>
        <v>6.9753539708143251</v>
      </c>
      <c r="E512" s="27">
        <f>E511*(Presion_cilindro!O503/Presion_cilindro!O504)^Presion_cilindro!$B$9+10*(Presion_cilindro!$B$9-1)*Presion_cilindro!$B$33*(IF(Presion_cilindro!N504&gt;(-E$4+Presion_cilindro!$B$34),1-EXP(-Presion_cilindro!$B$16*((Presion_cilindro!N504-(-E$4+Presion_cilindro!$B$34))/Presion_cilindro!$B$35)^(Presion_cilindro!$B$17+1)),0)-IF(Presion_cilindro!N503&gt;(-E$4+Presion_cilindro!$B$34),1-EXP(-Presion_cilindro!$B$16*((Presion_cilindro!N503-(-E$4+Presion_cilindro!$B$34))/Presion_cilindro!$B$35)^(Presion_cilindro!$B$17+1)),0))/((Presion_cilindro!O503+Presion_cilindro!O504)/2)</f>
        <v>6.7865689601994594</v>
      </c>
      <c r="F512" s="27">
        <f>F511*(Presion_cilindro!O503/Presion_cilindro!O504)^Presion_cilindro!$B$9+10*(Presion_cilindro!$B$9-1)*Presion_cilindro!$B$33*(IF(Presion_cilindro!N504&gt;(-F$4+Presion_cilindro!$B$34),1-EXP(-Presion_cilindro!$B$16*((Presion_cilindro!N504-(-F$4+Presion_cilindro!$B$34))/Presion_cilindro!$B$35)^(Presion_cilindro!$B$17+1)),0)-IF(Presion_cilindro!N503&gt;(-F$4+Presion_cilindro!$B$34),1-EXP(-Presion_cilindro!$B$16*((Presion_cilindro!N503-(-F$4+Presion_cilindro!$B$34))/Presion_cilindro!$B$35)^(Presion_cilindro!$B$17+1)),0))/((Presion_cilindro!O503+Presion_cilindro!O504)/2)</f>
        <v>6.6299377164305033</v>
      </c>
      <c r="G512" s="27">
        <f>G511*(Presion_cilindro!O503/Presion_cilindro!O504)^Presion_cilindro!$B$9+10*(Presion_cilindro!$B$9-1)*Presion_cilindro!$B$33*(IF(Presion_cilindro!N504&gt;(-G$4+Presion_cilindro!$B$34),1-EXP(-Presion_cilindro!$B$16*((Presion_cilindro!N504-(-G$4+Presion_cilindro!$B$34))/Presion_cilindro!$B$35)^(Presion_cilindro!$B$17+1)),0)-IF(Presion_cilindro!N503&gt;(-G$4+Presion_cilindro!$B$34),1-EXP(-Presion_cilindro!$B$16*((Presion_cilindro!N503-(-G$4+Presion_cilindro!$B$34))/Presion_cilindro!$B$35)^(Presion_cilindro!$B$17+1)),0))/((Presion_cilindro!O503+Presion_cilindro!O504)/2)</f>
        <v>6.5138757824591424</v>
      </c>
      <c r="H512" s="27">
        <f>H511*(Presion_cilindro!O503/Presion_cilindro!O504)^Presion_cilindro!$B$9+10*(Presion_cilindro!$B$9-1)*Presion_cilindro!$B$33*(IF(Presion_cilindro!N504&gt;(-H$4+Presion_cilindro!$B$34),1-EXP(-Presion_cilindro!$B$16*((Presion_cilindro!N504-(-H$4+Presion_cilindro!$B$34))/Presion_cilindro!$B$35)^(Presion_cilindro!$B$17+1)),0)-IF(Presion_cilindro!N503&gt;(-H$4+Presion_cilindro!$B$34),1-EXP(-Presion_cilindro!$B$16*((Presion_cilindro!N503-(-H$4+Presion_cilindro!$B$34))/Presion_cilindro!$B$35)^(Presion_cilindro!$B$17+1)),0))/((Presion_cilindro!O503+Presion_cilindro!O504)/2)</f>
        <v>6.4454123878612046</v>
      </c>
      <c r="I512" s="27">
        <f>I511*(Presion_cilindro!O503/Presion_cilindro!O504)^Presion_cilindro!$B$9+10*(Presion_cilindro!$B$9-1)*Presion_cilindro!$B$33*(IF(Presion_cilindro!N504&gt;(-I$4+Presion_cilindro!$B$34),1-EXP(-Presion_cilindro!$B$16*((Presion_cilindro!N504-(-I$4+Presion_cilindro!$B$34))/Presion_cilindro!$B$35)^(Presion_cilindro!$B$17+1)),0)-IF(Presion_cilindro!N503&gt;(-I$4+Presion_cilindro!$B$34),1-EXP(-Presion_cilindro!$B$16*((Presion_cilindro!N503-(-I$4+Presion_cilindro!$B$34))/Presion_cilindro!$B$35)^(Presion_cilindro!$B$17+1)),0))/((Presion_cilindro!O503+Presion_cilindro!O504)/2)</f>
        <v>6.4289899294875328</v>
      </c>
      <c r="J512" s="27">
        <f>J511*(Presion_cilindro!O503/Presion_cilindro!O504)^Presion_cilindro!$B$9+10*(Presion_cilindro!$B$9-1)*Presion_cilindro!$B$33*(IF(Presion_cilindro!N504&gt;(-J$4+Presion_cilindro!$B$34),1-EXP(-Presion_cilindro!$B$16*((Presion_cilindro!N504-(-J$4+Presion_cilindro!$B$34))/Presion_cilindro!$B$35)^(Presion_cilindro!$B$17+1)),0)-IF(Presion_cilindro!N503&gt;(-J$4+Presion_cilindro!$B$34),1-EXP(-Presion_cilindro!$B$16*((Presion_cilindro!N503-(-J$4+Presion_cilindro!$B$34))/Presion_cilindro!$B$35)^(Presion_cilindro!$B$17+1)),0))/((Presion_cilindro!O503+Presion_cilindro!O504)/2)</f>
        <v>6.4656312314043163</v>
      </c>
      <c r="K512" s="27">
        <f>K511*(Presion_cilindro!O503/Presion_cilindro!O504)^Presion_cilindro!$B$9+10*(Presion_cilindro!$B$9-1)*Presion_cilindro!$B$33*(IF(Presion_cilindro!N504&gt;(-K$4+Presion_cilindro!$B$34),1-EXP(-Presion_cilindro!$B$16*((Presion_cilindro!N504-(-K$4+Presion_cilindro!$B$34))/Presion_cilindro!$B$35)^(Presion_cilindro!$B$17+1)),0)-IF(Presion_cilindro!N503&gt;(-K$4+Presion_cilindro!$B$34),1-EXP(-Presion_cilindro!$B$16*((Presion_cilindro!N503-(-K$4+Presion_cilindro!$B$34))/Presion_cilindro!$B$35)^(Presion_cilindro!$B$17+1)),0))/((Presion_cilindro!O503+Presion_cilindro!O504)/2)</f>
        <v>6.552762030949923</v>
      </c>
      <c r="L512" s="27">
        <f>L511*(Presion_cilindro!O503/Presion_cilindro!O504)^Presion_cilindro!$B$9+10*(Presion_cilindro!$B$9-1)*Presion_cilindro!$B$33*(IF(Presion_cilindro!N504&gt;(-L$4+Presion_cilindro!$B$34),1-EXP(-Presion_cilindro!$B$16*((Presion_cilindro!N504-(-L$4+Presion_cilindro!$B$34))/Presion_cilindro!$B$35)^(Presion_cilindro!$B$17+1)),0)-IF(Presion_cilindro!N503&gt;(-L$4+Presion_cilindro!$B$34),1-EXP(-Presion_cilindro!$B$16*((Presion_cilindro!N503-(-L$4+Presion_cilindro!$B$34))/Presion_cilindro!$B$35)^(Presion_cilindro!$B$17+1)),0))/((Presion_cilindro!O503+Presion_cilindro!O504)/2)</f>
        <v>6.6847431656834013</v>
      </c>
      <c r="M512" s="27">
        <f>M511*(Presion_cilindro!O503/Presion_cilindro!O504)^Presion_cilindro!$B$9+10*(Presion_cilindro!$B$9-1)*Presion_cilindro!$B$33*(IF(Presion_cilindro!N504&gt;(-M$4+Presion_cilindro!$B$34),1-EXP(-Presion_cilindro!$B$16*((Presion_cilindro!N504-(-M$4+Presion_cilindro!$B$34))/Presion_cilindro!$B$35)^(Presion_cilindro!$B$17+1)),0)-IF(Presion_cilindro!N503&gt;(-M$4+Presion_cilindro!$B$34),1-EXP(-Presion_cilindro!$B$16*((Presion_cilindro!N503-(-M$4+Presion_cilindro!$B$34))/Presion_cilindro!$B$35)^(Presion_cilindro!$B$17+1)),0))/((Presion_cilindro!O503+Presion_cilindro!O504)/2)</f>
        <v>6.8539111738047929</v>
      </c>
      <c r="N512" s="27">
        <f>N511*(Presion_cilindro!O503/Presion_cilindro!O504)^Presion_cilindro!$B$9+10*(Presion_cilindro!$B$9-1)*Presion_cilindro!$B$33*(IF(Presion_cilindro!N504&gt;(-N$4+Presion_cilindro!$B$34),1-EXP(-Presion_cilindro!$B$16*((Presion_cilindro!N504-(-N$4+Presion_cilindro!$B$34))/Presion_cilindro!$B$35)^(Presion_cilindro!$B$17+1)),0)-IF(Presion_cilindro!N503&gt;(-N$4+Presion_cilindro!$B$34),1-EXP(-Presion_cilindro!$B$16*((Presion_cilindro!N503-(-N$4+Presion_cilindro!$B$34))/Presion_cilindro!$B$35)^(Presion_cilindro!$B$17+1)),0))/((Presion_cilindro!O503+Presion_cilindro!O504)/2)</f>
        <v>7.0517801644795863</v>
      </c>
    </row>
    <row r="513" spans="1:14" x14ac:dyDescent="0.25">
      <c r="A513" s="21">
        <f>Presion_cilindro!N505</f>
        <v>70.5</v>
      </c>
      <c r="B513" s="27">
        <f>B512*(Presion_cilindro!O504/Presion_cilindro!O505)^Presion_cilindro!$B$9+10*(Presion_cilindro!$B$9-1)*Presion_cilindro!$B$33*(IF(Presion_cilindro!N505&gt;(-B$4+Presion_cilindro!$B$34),1-EXP(-Presion_cilindro!$B$16*((Presion_cilindro!N505-(-B$4+Presion_cilindro!$B$34))/Presion_cilindro!$B$35)^(Presion_cilindro!$B$17+1)),0)-IF(Presion_cilindro!N504&gt;(-B$4+Presion_cilindro!$B$34),1-EXP(-Presion_cilindro!$B$16*((Presion_cilindro!N504-(-B$4+Presion_cilindro!$B$34))/Presion_cilindro!$B$35)^(Presion_cilindro!$B$17+1)),0))/((Presion_cilindro!O504+Presion_cilindro!O505)/2)</f>
        <v>7.3280150099567667</v>
      </c>
      <c r="C513" s="27">
        <f>C512*(Presion_cilindro!O504/Presion_cilindro!O505)^Presion_cilindro!$B$9+10*(Presion_cilindro!$B$9-1)*Presion_cilindro!$B$33*(IF(Presion_cilindro!N505&gt;(-C$4+Presion_cilindro!$B$34),1-EXP(-Presion_cilindro!$B$16*((Presion_cilindro!N505-(-C$4+Presion_cilindro!$B$34))/Presion_cilindro!$B$35)^(Presion_cilindro!$B$17+1)),0)-IF(Presion_cilindro!N504&gt;(-C$4+Presion_cilindro!$B$34),1-EXP(-Presion_cilindro!$B$16*((Presion_cilindro!N504-(-C$4+Presion_cilindro!$B$34))/Presion_cilindro!$B$35)^(Presion_cilindro!$B$17+1)),0))/((Presion_cilindro!O504+Presion_cilindro!O505)/2)</f>
        <v>7.1029196503914127</v>
      </c>
      <c r="D513" s="27">
        <f>D512*(Presion_cilindro!O504/Presion_cilindro!O505)^Presion_cilindro!$B$9+10*(Presion_cilindro!$B$9-1)*Presion_cilindro!$B$33*(IF(Presion_cilindro!N505&gt;(-D$4+Presion_cilindro!$B$34),1-EXP(-Presion_cilindro!$B$16*((Presion_cilindro!N505-(-D$4+Presion_cilindro!$B$34))/Presion_cilindro!$B$35)^(Presion_cilindro!$B$17+1)),0)-IF(Presion_cilindro!N504&gt;(-D$4+Presion_cilindro!$B$34),1-EXP(-Presion_cilindro!$B$16*((Presion_cilindro!N504-(-D$4+Presion_cilindro!$B$34))/Presion_cilindro!$B$35)^(Presion_cilindro!$B$17+1)),0))/((Presion_cilindro!O504+Presion_cilindro!O505)/2)</f>
        <v>6.8931024642431753</v>
      </c>
      <c r="E513" s="27">
        <f>E512*(Presion_cilindro!O504/Presion_cilindro!O505)^Presion_cilindro!$B$9+10*(Presion_cilindro!$B$9-1)*Presion_cilindro!$B$33*(IF(Presion_cilindro!N505&gt;(-E$4+Presion_cilindro!$B$34),1-EXP(-Presion_cilindro!$B$16*((Presion_cilindro!N505-(-E$4+Presion_cilindro!$B$34))/Presion_cilindro!$B$35)^(Presion_cilindro!$B$17+1)),0)-IF(Presion_cilindro!N504&gt;(-E$4+Presion_cilindro!$B$34),1-EXP(-Presion_cilindro!$B$16*((Presion_cilindro!N504-(-E$4+Presion_cilindro!$B$34))/Presion_cilindro!$B$35)^(Presion_cilindro!$B$17+1)),0))/((Presion_cilindro!O504+Presion_cilindro!O505)/2)</f>
        <v>6.7065433057648605</v>
      </c>
      <c r="F513" s="27">
        <f>F512*(Presion_cilindro!O504/Presion_cilindro!O505)^Presion_cilindro!$B$9+10*(Presion_cilindro!$B$9-1)*Presion_cilindro!$B$33*(IF(Presion_cilindro!N505&gt;(-F$4+Presion_cilindro!$B$34),1-EXP(-Presion_cilindro!$B$16*((Presion_cilindro!N505-(-F$4+Presion_cilindro!$B$34))/Presion_cilindro!$B$35)^(Presion_cilindro!$B$17+1)),0)-IF(Presion_cilindro!N504&gt;(-F$4+Presion_cilindro!$B$34),1-EXP(-Presion_cilindro!$B$16*((Presion_cilindro!N504-(-F$4+Presion_cilindro!$B$34))/Presion_cilindro!$B$35)^(Presion_cilindro!$B$17+1)),0))/((Presion_cilindro!O504+Presion_cilindro!O505)/2)</f>
        <v>6.551759012752318</v>
      </c>
      <c r="G513" s="27">
        <f>G512*(Presion_cilindro!O504/Presion_cilindro!O505)^Presion_cilindro!$B$9+10*(Presion_cilindro!$B$9-1)*Presion_cilindro!$B$33*(IF(Presion_cilindro!N505&gt;(-G$4+Presion_cilindro!$B$34),1-EXP(-Presion_cilindro!$B$16*((Presion_cilindro!N505-(-G$4+Presion_cilindro!$B$34))/Presion_cilindro!$B$35)^(Presion_cilindro!$B$17+1)),0)-IF(Presion_cilindro!N504&gt;(-G$4+Presion_cilindro!$B$34),1-EXP(-Presion_cilindro!$B$16*((Presion_cilindro!N504-(-G$4+Presion_cilindro!$B$34))/Presion_cilindro!$B$35)^(Presion_cilindro!$B$17+1)),0))/((Presion_cilindro!O504+Presion_cilindro!O505)/2)</f>
        <v>6.4370656542792526</v>
      </c>
      <c r="H513" s="27">
        <f>H512*(Presion_cilindro!O504/Presion_cilindro!O505)^Presion_cilindro!$B$9+10*(Presion_cilindro!$B$9-1)*Presion_cilindro!$B$33*(IF(Presion_cilindro!N505&gt;(-H$4+Presion_cilindro!$B$34),1-EXP(-Presion_cilindro!$B$16*((Presion_cilindro!N505-(-H$4+Presion_cilindro!$B$34))/Presion_cilindro!$B$35)^(Presion_cilindro!$B$17+1)),0)-IF(Presion_cilindro!N504&gt;(-H$4+Presion_cilindro!$B$34),1-EXP(-Presion_cilindro!$B$16*((Presion_cilindro!N504-(-H$4+Presion_cilindro!$B$34))/Presion_cilindro!$B$35)^(Presion_cilindro!$B$17+1)),0))/((Presion_cilindro!O504+Presion_cilindro!O505)/2)</f>
        <v>6.3694095643145312</v>
      </c>
      <c r="I513" s="27">
        <f>I512*(Presion_cilindro!O504/Presion_cilindro!O505)^Presion_cilindro!$B$9+10*(Presion_cilindro!$B$9-1)*Presion_cilindro!$B$33*(IF(Presion_cilindro!N505&gt;(-I$4+Presion_cilindro!$B$34),1-EXP(-Presion_cilindro!$B$16*((Presion_cilindro!N505-(-I$4+Presion_cilindro!$B$34))/Presion_cilindro!$B$35)^(Presion_cilindro!$B$17+1)),0)-IF(Presion_cilindro!N504&gt;(-I$4+Presion_cilindro!$B$34),1-EXP(-Presion_cilindro!$B$16*((Presion_cilindro!N504-(-I$4+Presion_cilindro!$B$34))/Presion_cilindro!$B$35)^(Presion_cilindro!$B$17+1)),0))/((Presion_cilindro!O504+Presion_cilindro!O505)/2)</f>
        <v>6.3531807558007536</v>
      </c>
      <c r="J513" s="27">
        <f>J512*(Presion_cilindro!O504/Presion_cilindro!O505)^Presion_cilindro!$B$9+10*(Presion_cilindro!$B$9-1)*Presion_cilindro!$B$33*(IF(Presion_cilindro!N505&gt;(-J$4+Presion_cilindro!$B$34),1-EXP(-Presion_cilindro!$B$16*((Presion_cilindro!N505-(-J$4+Presion_cilindro!$B$34))/Presion_cilindro!$B$35)^(Presion_cilindro!$B$17+1)),0)-IF(Presion_cilindro!N504&gt;(-J$4+Presion_cilindro!$B$34),1-EXP(-Presion_cilindro!$B$16*((Presion_cilindro!N504-(-J$4+Presion_cilindro!$B$34))/Presion_cilindro!$B$35)^(Presion_cilindro!$B$17+1)),0))/((Presion_cilindro!O504+Presion_cilindro!O505)/2)</f>
        <v>6.3893899918951318</v>
      </c>
      <c r="K513" s="27">
        <f>K512*(Presion_cilindro!O504/Presion_cilindro!O505)^Presion_cilindro!$B$9+10*(Presion_cilindro!$B$9-1)*Presion_cilindro!$B$33*(IF(Presion_cilindro!N505&gt;(-K$4+Presion_cilindro!$B$34),1-EXP(-Presion_cilindro!$B$16*((Presion_cilindro!N505-(-K$4+Presion_cilindro!$B$34))/Presion_cilindro!$B$35)^(Presion_cilindro!$B$17+1)),0)-IF(Presion_cilindro!N504&gt;(-K$4+Presion_cilindro!$B$34),1-EXP(-Presion_cilindro!$B$16*((Presion_cilindro!N504-(-K$4+Presion_cilindro!$B$34))/Presion_cilindro!$B$35)^(Presion_cilindro!$B$17+1)),0))/((Presion_cilindro!O504+Presion_cilindro!O505)/2)</f>
        <v>6.475493365050486</v>
      </c>
      <c r="L513" s="27">
        <f>L512*(Presion_cilindro!O504/Presion_cilindro!O505)^Presion_cilindro!$B$9+10*(Presion_cilindro!$B$9-1)*Presion_cilindro!$B$33*(IF(Presion_cilindro!N505&gt;(-L$4+Presion_cilindro!$B$34),1-EXP(-Presion_cilindro!$B$16*((Presion_cilindro!N505-(-L$4+Presion_cilindro!$B$34))/Presion_cilindro!$B$35)^(Presion_cilindro!$B$17+1)),0)-IF(Presion_cilindro!N504&gt;(-L$4+Presion_cilindro!$B$34),1-EXP(-Presion_cilindro!$B$16*((Presion_cilindro!N504-(-L$4+Presion_cilindro!$B$34))/Presion_cilindro!$B$35)^(Presion_cilindro!$B$17+1)),0))/((Presion_cilindro!O504+Presion_cilindro!O505)/2)</f>
        <v>6.605918208535086</v>
      </c>
      <c r="M513" s="27">
        <f>M512*(Presion_cilindro!O504/Presion_cilindro!O505)^Presion_cilindro!$B$9+10*(Presion_cilindro!$B$9-1)*Presion_cilindro!$B$33*(IF(Presion_cilindro!N505&gt;(-M$4+Presion_cilindro!$B$34),1-EXP(-Presion_cilindro!$B$16*((Presion_cilindro!N505-(-M$4+Presion_cilindro!$B$34))/Presion_cilindro!$B$35)^(Presion_cilindro!$B$17+1)),0)-IF(Presion_cilindro!N504&gt;(-M$4+Presion_cilindro!$B$34),1-EXP(-Presion_cilindro!$B$16*((Presion_cilindro!N504-(-M$4+Presion_cilindro!$B$34))/Presion_cilindro!$B$35)^(Presion_cilindro!$B$17+1)),0))/((Presion_cilindro!O504+Presion_cilindro!O505)/2)</f>
        <v>6.7730914263316242</v>
      </c>
      <c r="N513" s="27">
        <f>N512*(Presion_cilindro!O504/Presion_cilindro!O505)^Presion_cilindro!$B$9+10*(Presion_cilindro!$B$9-1)*Presion_cilindro!$B$33*(IF(Presion_cilindro!N505&gt;(-N$4+Presion_cilindro!$B$34),1-EXP(-Presion_cilindro!$B$16*((Presion_cilindro!N505-(-N$4+Presion_cilindro!$B$34))/Presion_cilindro!$B$35)^(Presion_cilindro!$B$17+1)),0)-IF(Presion_cilindro!N504&gt;(-N$4+Presion_cilindro!$B$34),1-EXP(-Presion_cilindro!$B$16*((Presion_cilindro!N504-(-N$4+Presion_cilindro!$B$34))/Presion_cilindro!$B$35)^(Presion_cilindro!$B$17+1)),0))/((Presion_cilindro!O504+Presion_cilindro!O505)/2)</f>
        <v>6.9686271912826552</v>
      </c>
    </row>
    <row r="514" spans="1:14" x14ac:dyDescent="0.25">
      <c r="A514" s="21">
        <f>Presion_cilindro!N506</f>
        <v>71</v>
      </c>
      <c r="B514" s="27">
        <f>B513*(Presion_cilindro!O505/Presion_cilindro!O506)^Presion_cilindro!$B$9+10*(Presion_cilindro!$B$9-1)*Presion_cilindro!$B$33*(IF(Presion_cilindro!N506&gt;(-B$4+Presion_cilindro!$B$34),1-EXP(-Presion_cilindro!$B$16*((Presion_cilindro!N506-(-B$4+Presion_cilindro!$B$34))/Presion_cilindro!$B$35)^(Presion_cilindro!$B$17+1)),0)-IF(Presion_cilindro!N505&gt;(-B$4+Presion_cilindro!$B$34),1-EXP(-Presion_cilindro!$B$16*((Presion_cilindro!N505-(-B$4+Presion_cilindro!$B$34))/Presion_cilindro!$B$35)^(Presion_cilindro!$B$17+1)),0))/((Presion_cilindro!O505+Presion_cilindro!O506)/2)</f>
        <v>7.2423352502906768</v>
      </c>
      <c r="C514" s="27">
        <f>C513*(Presion_cilindro!O505/Presion_cilindro!O506)^Presion_cilindro!$B$9+10*(Presion_cilindro!$B$9-1)*Presion_cilindro!$B$33*(IF(Presion_cilindro!N506&gt;(-C$4+Presion_cilindro!$B$34),1-EXP(-Presion_cilindro!$B$16*((Presion_cilindro!N506-(-C$4+Presion_cilindro!$B$34))/Presion_cilindro!$B$35)^(Presion_cilindro!$B$17+1)),0)-IF(Presion_cilindro!N505&gt;(-C$4+Presion_cilindro!$B$34),1-EXP(-Presion_cilindro!$B$16*((Presion_cilindro!N505-(-C$4+Presion_cilindro!$B$34))/Presion_cilindro!$B$35)^(Presion_cilindro!$B$17+1)),0))/((Presion_cilindro!O505+Presion_cilindro!O506)/2)</f>
        <v>7.0198301383715531</v>
      </c>
      <c r="D514" s="27">
        <f>D513*(Presion_cilindro!O505/Presion_cilindro!O506)^Presion_cilindro!$B$9+10*(Presion_cilindro!$B$9-1)*Presion_cilindro!$B$33*(IF(Presion_cilindro!N506&gt;(-D$4+Presion_cilindro!$B$34),1-EXP(-Presion_cilindro!$B$16*((Presion_cilindro!N506-(-D$4+Presion_cilindro!$B$34))/Presion_cilindro!$B$35)^(Presion_cilindro!$B$17+1)),0)-IF(Presion_cilindro!N505&gt;(-D$4+Presion_cilindro!$B$34),1-EXP(-Presion_cilindro!$B$16*((Presion_cilindro!N505-(-D$4+Presion_cilindro!$B$34))/Presion_cilindro!$B$35)^(Presion_cilindro!$B$17+1)),0))/((Presion_cilindro!O505+Presion_cilindro!O506)/2)</f>
        <v>6.8124639607202324</v>
      </c>
      <c r="E514" s="27">
        <f>E513*(Presion_cilindro!O505/Presion_cilindro!O506)^Presion_cilindro!$B$9+10*(Presion_cilindro!$B$9-1)*Presion_cilindro!$B$33*(IF(Presion_cilindro!N506&gt;(-E$4+Presion_cilindro!$B$34),1-EXP(-Presion_cilindro!$B$16*((Presion_cilindro!N506-(-E$4+Presion_cilindro!$B$34))/Presion_cilindro!$B$35)^(Presion_cilindro!$B$17+1)),0)-IF(Presion_cilindro!N505&gt;(-E$4+Presion_cilindro!$B$34),1-EXP(-Presion_cilindro!$B$16*((Presion_cilindro!N505-(-E$4+Presion_cilindro!$B$34))/Presion_cilindro!$B$35)^(Presion_cilindro!$B$17+1)),0))/((Presion_cilindro!O505+Presion_cilindro!O506)/2)</f>
        <v>6.6280870712326498</v>
      </c>
      <c r="F514" s="27">
        <f>F513*(Presion_cilindro!O505/Presion_cilindro!O506)^Presion_cilindro!$B$9+10*(Presion_cilindro!$B$9-1)*Presion_cilindro!$B$33*(IF(Presion_cilindro!N506&gt;(-F$4+Presion_cilindro!$B$34),1-EXP(-Presion_cilindro!$B$16*((Presion_cilindro!N506-(-F$4+Presion_cilindro!$B$34))/Presion_cilindro!$B$35)^(Presion_cilindro!$B$17+1)),0)-IF(Presion_cilindro!N505&gt;(-F$4+Presion_cilindro!$B$34),1-EXP(-Presion_cilindro!$B$16*((Presion_cilindro!N505-(-F$4+Presion_cilindro!$B$34))/Presion_cilindro!$B$35)^(Presion_cilindro!$B$17+1)),0))/((Presion_cilindro!O505+Presion_cilindro!O506)/2)</f>
        <v>6.4751135102112292</v>
      </c>
      <c r="G514" s="27">
        <f>G513*(Presion_cilindro!O505/Presion_cilindro!O506)^Presion_cilindro!$B$9+10*(Presion_cilindro!$B$9-1)*Presion_cilindro!$B$33*(IF(Presion_cilindro!N506&gt;(-G$4+Presion_cilindro!$B$34),1-EXP(-Presion_cilindro!$B$16*((Presion_cilindro!N506-(-G$4+Presion_cilindro!$B$34))/Presion_cilindro!$B$35)^(Presion_cilindro!$B$17+1)),0)-IF(Presion_cilindro!N505&gt;(-G$4+Presion_cilindro!$B$34),1-EXP(-Presion_cilindro!$B$16*((Presion_cilindro!N505-(-G$4+Presion_cilindro!$B$34))/Presion_cilindro!$B$35)^(Presion_cilindro!$B$17+1)),0))/((Presion_cilindro!O505+Presion_cilindro!O506)/2)</f>
        <v>6.3617618874894868</v>
      </c>
      <c r="H514" s="27">
        <f>H513*(Presion_cilindro!O505/Presion_cilindro!O506)^Presion_cilindro!$B$9+10*(Presion_cilindro!$B$9-1)*Presion_cilindro!$B$33*(IF(Presion_cilindro!N506&gt;(-H$4+Presion_cilindro!$B$34),1-EXP(-Presion_cilindro!$B$16*((Presion_cilindro!N506-(-H$4+Presion_cilindro!$B$34))/Presion_cilindro!$B$35)^(Presion_cilindro!$B$17+1)),0)-IF(Presion_cilindro!N505&gt;(-H$4+Presion_cilindro!$B$34),1-EXP(-Presion_cilindro!$B$16*((Presion_cilindro!N505-(-H$4+Presion_cilindro!$B$34))/Presion_cilindro!$B$35)^(Presion_cilindro!$B$17+1)),0))/((Presion_cilindro!O505+Presion_cilindro!O506)/2)</f>
        <v>6.2948972697086498</v>
      </c>
      <c r="I514" s="27">
        <f>I513*(Presion_cilindro!O505/Presion_cilindro!O506)^Presion_cilindro!$B$9+10*(Presion_cilindro!$B$9-1)*Presion_cilindro!$B$33*(IF(Presion_cilindro!N506&gt;(-I$4+Presion_cilindro!$B$34),1-EXP(-Presion_cilindro!$B$16*((Presion_cilindro!N506-(-I$4+Presion_cilindro!$B$34))/Presion_cilindro!$B$35)^(Presion_cilindro!$B$17+1)),0)-IF(Presion_cilindro!N505&gt;(-I$4+Presion_cilindro!$B$34),1-EXP(-Presion_cilindro!$B$16*((Presion_cilindro!N505-(-I$4+Presion_cilindro!$B$34))/Presion_cilindro!$B$35)^(Presion_cilindro!$B$17+1)),0))/((Presion_cilindro!O505+Presion_cilindro!O506)/2)</f>
        <v>6.27885831329165</v>
      </c>
      <c r="J514" s="27">
        <f>J513*(Presion_cilindro!O505/Presion_cilindro!O506)^Presion_cilindro!$B$9+10*(Presion_cilindro!$B$9-1)*Presion_cilindro!$B$33*(IF(Presion_cilindro!N506&gt;(-J$4+Presion_cilindro!$B$34),1-EXP(-Presion_cilindro!$B$16*((Presion_cilindro!N506-(-J$4+Presion_cilindro!$B$34))/Presion_cilindro!$B$35)^(Presion_cilindro!$B$17+1)),0)-IF(Presion_cilindro!N505&gt;(-J$4+Presion_cilindro!$B$34),1-EXP(-Presion_cilindro!$B$16*((Presion_cilindro!N505-(-J$4+Presion_cilindro!$B$34))/Presion_cilindro!$B$35)^(Presion_cilindro!$B$17+1)),0))/((Presion_cilindro!O505+Presion_cilindro!O506)/2)</f>
        <v>6.3146439570200359</v>
      </c>
      <c r="K514" s="27">
        <f>K513*(Presion_cilindro!O505/Presion_cilindro!O506)^Presion_cilindro!$B$9+10*(Presion_cilindro!$B$9-1)*Presion_cilindro!$B$33*(IF(Presion_cilindro!N506&gt;(-K$4+Presion_cilindro!$B$34),1-EXP(-Presion_cilindro!$B$16*((Presion_cilindro!N506-(-K$4+Presion_cilindro!$B$34))/Presion_cilindro!$B$35)^(Presion_cilindro!$B$17+1)),0)-IF(Presion_cilindro!N505&gt;(-K$4+Presion_cilindro!$B$34),1-EXP(-Presion_cilindro!$B$16*((Presion_cilindro!N505-(-K$4+Presion_cilindro!$B$34))/Presion_cilindro!$B$35)^(Presion_cilindro!$B$17+1)),0))/((Presion_cilindro!O505+Presion_cilindro!O506)/2)</f>
        <v>6.3997400531519348</v>
      </c>
      <c r="L514" s="27">
        <f>L513*(Presion_cilindro!O505/Presion_cilindro!O506)^Presion_cilindro!$B$9+10*(Presion_cilindro!$B$9-1)*Presion_cilindro!$B$33*(IF(Presion_cilindro!N506&gt;(-L$4+Presion_cilindro!$B$34),1-EXP(-Presion_cilindro!$B$16*((Presion_cilindro!N506-(-L$4+Presion_cilindro!$B$34))/Presion_cilindro!$B$35)^(Presion_cilindro!$B$17+1)),0)-IF(Presion_cilindro!N505&gt;(-L$4+Presion_cilindro!$B$34),1-EXP(-Presion_cilindro!$B$16*((Presion_cilindro!N505-(-L$4+Presion_cilindro!$B$34))/Presion_cilindro!$B$35)^(Presion_cilindro!$B$17+1)),0))/((Presion_cilindro!O505+Presion_cilindro!O506)/2)</f>
        <v>6.528639126584614</v>
      </c>
      <c r="M514" s="27">
        <f>M513*(Presion_cilindro!O505/Presion_cilindro!O506)^Presion_cilindro!$B$9+10*(Presion_cilindro!$B$9-1)*Presion_cilindro!$B$33*(IF(Presion_cilindro!N506&gt;(-M$4+Presion_cilindro!$B$34),1-EXP(-Presion_cilindro!$B$16*((Presion_cilindro!N506-(-M$4+Presion_cilindro!$B$34))/Presion_cilindro!$B$35)^(Presion_cilindro!$B$17+1)),0)-IF(Presion_cilindro!N505&gt;(-M$4+Presion_cilindro!$B$34),1-EXP(-Presion_cilindro!$B$16*((Presion_cilindro!N505-(-M$4+Presion_cilindro!$B$34))/Presion_cilindro!$B$35)^(Presion_cilindro!$B$17+1)),0))/((Presion_cilindro!O505+Presion_cilindro!O506)/2)</f>
        <v>6.6938566748753852</v>
      </c>
      <c r="N514" s="27">
        <f>N513*(Presion_cilindro!O505/Presion_cilindro!O506)^Presion_cilindro!$B$9+10*(Presion_cilindro!$B$9-1)*Presion_cilindro!$B$33*(IF(Presion_cilindro!N506&gt;(-N$4+Presion_cilindro!$B$34),1-EXP(-Presion_cilindro!$B$16*((Presion_cilindro!N506-(-N$4+Presion_cilindro!$B$34))/Presion_cilindro!$B$35)^(Presion_cilindro!$B$17+1)),0)-IF(Presion_cilindro!N505&gt;(-N$4+Presion_cilindro!$B$34),1-EXP(-Presion_cilindro!$B$16*((Presion_cilindro!N505-(-N$4+Presion_cilindro!$B$34))/Presion_cilindro!$B$35)^(Presion_cilindro!$B$17+1)),0))/((Presion_cilindro!O505+Presion_cilindro!O506)/2)</f>
        <v>6.8871049721456359</v>
      </c>
    </row>
    <row r="515" spans="1:14" x14ac:dyDescent="0.25">
      <c r="A515" s="21">
        <f>Presion_cilindro!N507</f>
        <v>71.5</v>
      </c>
      <c r="B515" s="27">
        <f>B514*(Presion_cilindro!O506/Presion_cilindro!O507)^Presion_cilindro!$B$9+10*(Presion_cilindro!$B$9-1)*Presion_cilindro!$B$33*(IF(Presion_cilindro!N507&gt;(-B$4+Presion_cilindro!$B$34),1-EXP(-Presion_cilindro!$B$16*((Presion_cilindro!N507-(-B$4+Presion_cilindro!$B$34))/Presion_cilindro!$B$35)^(Presion_cilindro!$B$17+1)),0)-IF(Presion_cilindro!N506&gt;(-B$4+Presion_cilindro!$B$34),1-EXP(-Presion_cilindro!$B$16*((Presion_cilindro!N506-(-B$4+Presion_cilindro!$B$34))/Presion_cilindro!$B$35)^(Presion_cilindro!$B$17+1)),0))/((Presion_cilindro!O506+Presion_cilindro!O507)/2)</f>
        <v>7.1583204970594894</v>
      </c>
      <c r="C515" s="27">
        <f>C514*(Presion_cilindro!O506/Presion_cilindro!O507)^Presion_cilindro!$B$9+10*(Presion_cilindro!$B$9-1)*Presion_cilindro!$B$33*(IF(Presion_cilindro!N507&gt;(-C$4+Presion_cilindro!$B$34),1-EXP(-Presion_cilindro!$B$16*((Presion_cilindro!N507-(-C$4+Presion_cilindro!$B$34))/Presion_cilindro!$B$35)^(Presion_cilindro!$B$17+1)),0)-IF(Presion_cilindro!N506&gt;(-C$4+Presion_cilindro!$B$34),1-EXP(-Presion_cilindro!$B$16*((Presion_cilindro!N506-(-C$4+Presion_cilindro!$B$34))/Presion_cilindro!$B$35)^(Presion_cilindro!$B$17+1)),0))/((Presion_cilindro!O506+Presion_cilindro!O507)/2)</f>
        <v>6.9383638308291093</v>
      </c>
      <c r="D515" s="27">
        <f>D514*(Presion_cilindro!O506/Presion_cilindro!O507)^Presion_cilindro!$B$9+10*(Presion_cilindro!$B$9-1)*Presion_cilindro!$B$33*(IF(Presion_cilindro!N507&gt;(-D$4+Presion_cilindro!$B$34),1-EXP(-Presion_cilindro!$B$16*((Presion_cilindro!N507-(-D$4+Presion_cilindro!$B$34))/Presion_cilindro!$B$35)^(Presion_cilindro!$B$17+1)),0)-IF(Presion_cilindro!N506&gt;(-D$4+Presion_cilindro!$B$34),1-EXP(-Presion_cilindro!$B$16*((Presion_cilindro!N506-(-D$4+Presion_cilindro!$B$34))/Presion_cilindro!$B$35)^(Presion_cilindro!$B$17+1)),0))/((Presion_cilindro!O506+Presion_cilindro!O507)/2)</f>
        <v>6.7334015946395311</v>
      </c>
      <c r="E515" s="27">
        <f>E514*(Presion_cilindro!O506/Presion_cilindro!O507)^Presion_cilindro!$B$9+10*(Presion_cilindro!$B$9-1)*Presion_cilindro!$B$33*(IF(Presion_cilindro!N507&gt;(-E$4+Presion_cilindro!$B$34),1-EXP(-Presion_cilindro!$B$16*((Presion_cilindro!N507-(-E$4+Presion_cilindro!$B$34))/Presion_cilindro!$B$35)^(Presion_cilindro!$B$17+1)),0)-IF(Presion_cilindro!N506&gt;(-E$4+Presion_cilindro!$B$34),1-EXP(-Presion_cilindro!$B$16*((Presion_cilindro!N506-(-E$4+Presion_cilindro!$B$34))/Presion_cilindro!$B$35)^(Presion_cilindro!$B$17+1)),0))/((Presion_cilindro!O506+Presion_cilindro!O507)/2)</f>
        <v>6.5511643693405217</v>
      </c>
      <c r="F515" s="27">
        <f>F514*(Presion_cilindro!O506/Presion_cilindro!O507)^Presion_cilindro!$B$9+10*(Presion_cilindro!$B$9-1)*Presion_cilindro!$B$33*(IF(Presion_cilindro!N507&gt;(-F$4+Presion_cilindro!$B$34),1-EXP(-Presion_cilindro!$B$16*((Presion_cilindro!N507-(-F$4+Presion_cilindro!$B$34))/Presion_cilindro!$B$35)^(Presion_cilindro!$B$17+1)),0)-IF(Presion_cilindro!N506&gt;(-F$4+Presion_cilindro!$B$34),1-EXP(-Presion_cilindro!$B$16*((Presion_cilindro!N506-(-F$4+Presion_cilindro!$B$34))/Presion_cilindro!$B$35)^(Presion_cilindro!$B$17+1)),0))/((Presion_cilindro!O506+Presion_cilindro!O507)/2)</f>
        <v>6.3999661489548263</v>
      </c>
      <c r="G515" s="27">
        <f>G514*(Presion_cilindro!O506/Presion_cilindro!O507)^Presion_cilindro!$B$9+10*(Presion_cilindro!$B$9-1)*Presion_cilindro!$B$33*(IF(Presion_cilindro!N507&gt;(-G$4+Presion_cilindro!$B$34),1-EXP(-Presion_cilindro!$B$16*((Presion_cilindro!N507-(-G$4+Presion_cilindro!$B$34))/Presion_cilindro!$B$35)^(Presion_cilindro!$B$17+1)),0)-IF(Presion_cilindro!N506&gt;(-G$4+Presion_cilindro!$B$34),1-EXP(-Presion_cilindro!$B$16*((Presion_cilindro!N506-(-G$4+Presion_cilindro!$B$34))/Presion_cilindro!$B$35)^(Presion_cilindro!$B$17+1)),0))/((Presion_cilindro!O506+Presion_cilindro!O507)/2)</f>
        <v>6.2879300359634955</v>
      </c>
      <c r="H515" s="27">
        <f>H514*(Presion_cilindro!O506/Presion_cilindro!O507)^Presion_cilindro!$B$9+10*(Presion_cilindro!$B$9-1)*Presion_cilindro!$B$33*(IF(Presion_cilindro!N507&gt;(-H$4+Presion_cilindro!$B$34),1-EXP(-Presion_cilindro!$B$16*((Presion_cilindro!N507-(-H$4+Presion_cilindro!$B$34))/Presion_cilindro!$B$35)^(Presion_cilindro!$B$17+1)),0)-IF(Presion_cilindro!N506&gt;(-H$4+Presion_cilindro!$B$34),1-EXP(-Presion_cilindro!$B$16*((Presion_cilindro!N506-(-H$4+Presion_cilindro!$B$34))/Presion_cilindro!$B$35)^(Presion_cilindro!$B$17+1)),0))/((Presion_cilindro!O506+Presion_cilindro!O507)/2)</f>
        <v>6.2218414199591949</v>
      </c>
      <c r="I515" s="27">
        <f>I514*(Presion_cilindro!O506/Presion_cilindro!O507)^Presion_cilindro!$B$9+10*(Presion_cilindro!$B$9-1)*Presion_cilindro!$B$33*(IF(Presion_cilindro!N507&gt;(-I$4+Presion_cilindro!$B$34),1-EXP(-Presion_cilindro!$B$16*((Presion_cilindro!N507-(-I$4+Presion_cilindro!$B$34))/Presion_cilindro!$B$35)^(Presion_cilindro!$B$17+1)),0)-IF(Presion_cilindro!N506&gt;(-I$4+Presion_cilindro!$B$34),1-EXP(-Presion_cilindro!$B$16*((Presion_cilindro!N506-(-I$4+Presion_cilindro!$B$34))/Presion_cilindro!$B$35)^(Presion_cilindro!$B$17+1)),0))/((Presion_cilindro!O506+Presion_cilindro!O507)/2)</f>
        <v>6.2059886047197068</v>
      </c>
      <c r="J515" s="27">
        <f>J514*(Presion_cilindro!O506/Presion_cilindro!O507)^Presion_cilindro!$B$9+10*(Presion_cilindro!$B$9-1)*Presion_cilindro!$B$33*(IF(Presion_cilindro!N507&gt;(-J$4+Presion_cilindro!$B$34),1-EXP(-Presion_cilindro!$B$16*((Presion_cilindro!N507-(-J$4+Presion_cilindro!$B$34))/Presion_cilindro!$B$35)^(Presion_cilindro!$B$17+1)),0)-IF(Presion_cilindro!N506&gt;(-J$4+Presion_cilindro!$B$34),1-EXP(-Presion_cilindro!$B$16*((Presion_cilindro!N506-(-J$4+Presion_cilindro!$B$34))/Presion_cilindro!$B$35)^(Presion_cilindro!$B$17+1)),0))/((Presion_cilindro!O506+Presion_cilindro!O507)/2)</f>
        <v>6.2413589357750823</v>
      </c>
      <c r="K515" s="27">
        <f>K514*(Presion_cilindro!O506/Presion_cilindro!O507)^Presion_cilindro!$B$9+10*(Presion_cilindro!$B$9-1)*Presion_cilindro!$B$33*(IF(Presion_cilindro!N507&gt;(-K$4+Presion_cilindro!$B$34),1-EXP(-Presion_cilindro!$B$16*((Presion_cilindro!N507-(-K$4+Presion_cilindro!$B$34))/Presion_cilindro!$B$35)^(Presion_cilindro!$B$17+1)),0)-IF(Presion_cilindro!N506&gt;(-K$4+Presion_cilindro!$B$34),1-EXP(-Presion_cilindro!$B$16*((Presion_cilindro!N506-(-K$4+Presion_cilindro!$B$34))/Presion_cilindro!$B$35)^(Presion_cilindro!$B$17+1)),0))/((Presion_cilindro!O506+Presion_cilindro!O507)/2)</f>
        <v>6.3254674434926015</v>
      </c>
      <c r="L515" s="27">
        <f>L514*(Presion_cilindro!O506/Presion_cilindro!O507)^Presion_cilindro!$B$9+10*(Presion_cilindro!$B$9-1)*Presion_cilindro!$B$33*(IF(Presion_cilindro!N507&gt;(-L$4+Presion_cilindro!$B$34),1-EXP(-Presion_cilindro!$B$16*((Presion_cilindro!N507-(-L$4+Presion_cilindro!$B$34))/Presion_cilindro!$B$35)^(Presion_cilindro!$B$17+1)),0)-IF(Presion_cilindro!N506&gt;(-L$4+Presion_cilindro!$B$34),1-EXP(-Presion_cilindro!$B$16*((Presion_cilindro!N506-(-L$4+Presion_cilindro!$B$34))/Presion_cilindro!$B$35)^(Presion_cilindro!$B$17+1)),0))/((Presion_cilindro!O506+Presion_cilindro!O507)/2)</f>
        <v>6.452870570138848</v>
      </c>
      <c r="M515" s="27">
        <f>M514*(Presion_cilindro!O506/Presion_cilindro!O507)^Presion_cilindro!$B$9+10*(Presion_cilindro!$B$9-1)*Presion_cilindro!$B$33*(IF(Presion_cilindro!N507&gt;(-M$4+Presion_cilindro!$B$34),1-EXP(-Presion_cilindro!$B$16*((Presion_cilindro!N507-(-M$4+Presion_cilindro!$B$34))/Presion_cilindro!$B$35)^(Presion_cilindro!$B$17+1)),0)-IF(Presion_cilindro!N506&gt;(-M$4+Presion_cilindro!$B$34),1-EXP(-Presion_cilindro!$B$16*((Presion_cilindro!N506-(-M$4+Presion_cilindro!$B$34))/Presion_cilindro!$B$35)^(Presion_cilindro!$B$17+1)),0))/((Presion_cilindro!O506+Presion_cilindro!O507)/2)</f>
        <v>6.6161706751629934</v>
      </c>
      <c r="N515" s="27">
        <f>N514*(Presion_cilindro!O506/Presion_cilindro!O507)^Presion_cilindro!$B$9+10*(Presion_cilindro!$B$9-1)*Presion_cilindro!$B$33*(IF(Presion_cilindro!N507&gt;(-N$4+Presion_cilindro!$B$34),1-EXP(-Presion_cilindro!$B$16*((Presion_cilindro!N507-(-N$4+Presion_cilindro!$B$34))/Presion_cilindro!$B$35)^(Presion_cilindro!$B$17+1)),0)-IF(Presion_cilindro!N506&gt;(-N$4+Presion_cilindro!$B$34),1-EXP(-Presion_cilindro!$B$16*((Presion_cilindro!N506-(-N$4+Presion_cilindro!$B$34))/Presion_cilindro!$B$35)^(Presion_cilindro!$B$17+1)),0))/((Presion_cilindro!O506+Presion_cilindro!O507)/2)</f>
        <v>6.8071762164413947</v>
      </c>
    </row>
    <row r="516" spans="1:14" x14ac:dyDescent="0.25">
      <c r="A516" s="21">
        <f>Presion_cilindro!N508</f>
        <v>72</v>
      </c>
      <c r="B516" s="27">
        <f>B515*(Presion_cilindro!O507/Presion_cilindro!O508)^Presion_cilindro!$B$9+10*(Presion_cilindro!$B$9-1)*Presion_cilindro!$B$33*(IF(Presion_cilindro!N508&gt;(-B$4+Presion_cilindro!$B$34),1-EXP(-Presion_cilindro!$B$16*((Presion_cilindro!N508-(-B$4+Presion_cilindro!$B$34))/Presion_cilindro!$B$35)^(Presion_cilindro!$B$17+1)),0)-IF(Presion_cilindro!N507&gt;(-B$4+Presion_cilindro!$B$34),1-EXP(-Presion_cilindro!$B$16*((Presion_cilindro!N507-(-B$4+Presion_cilindro!$B$34))/Presion_cilindro!$B$35)^(Presion_cilindro!$B$17+1)),0))/((Presion_cilindro!O507+Presion_cilindro!O508)/2)</f>
        <v>7.075934729768206</v>
      </c>
      <c r="C516" s="27">
        <f>C515*(Presion_cilindro!O507/Presion_cilindro!O508)^Presion_cilindro!$B$9+10*(Presion_cilindro!$B$9-1)*Presion_cilindro!$B$33*(IF(Presion_cilindro!N508&gt;(-C$4+Presion_cilindro!$B$34),1-EXP(-Presion_cilindro!$B$16*((Presion_cilindro!N508-(-C$4+Presion_cilindro!$B$34))/Presion_cilindro!$B$35)^(Presion_cilindro!$B$17+1)),0)-IF(Presion_cilindro!N507&gt;(-C$4+Presion_cilindro!$B$34),1-EXP(-Presion_cilindro!$B$16*((Presion_cilindro!N507-(-C$4+Presion_cilindro!$B$34))/Presion_cilindro!$B$35)^(Presion_cilindro!$B$17+1)),0))/((Presion_cilindro!O507+Presion_cilindro!O508)/2)</f>
        <v>6.8584839170221636</v>
      </c>
      <c r="D516" s="27">
        <f>D515*(Presion_cilindro!O507/Presion_cilindro!O508)^Presion_cilindro!$B$9+10*(Presion_cilindro!$B$9-1)*Presion_cilindro!$B$33*(IF(Presion_cilindro!N508&gt;(-D$4+Presion_cilindro!$B$34),1-EXP(-Presion_cilindro!$B$16*((Presion_cilindro!N508-(-D$4+Presion_cilindro!$B$34))/Presion_cilindro!$B$35)^(Presion_cilindro!$B$17+1)),0)-IF(Presion_cilindro!N507&gt;(-D$4+Presion_cilindro!$B$34),1-EXP(-Presion_cilindro!$B$16*((Presion_cilindro!N507-(-D$4+Presion_cilindro!$B$34))/Presion_cilindro!$B$35)^(Presion_cilindro!$B$17+1)),0))/((Presion_cilindro!O507+Presion_cilindro!O508)/2)</f>
        <v>6.6558794330067679</v>
      </c>
      <c r="E516" s="27">
        <f>E515*(Presion_cilindro!O507/Presion_cilindro!O508)^Presion_cilindro!$B$9+10*(Presion_cilindro!$B$9-1)*Presion_cilindro!$B$33*(IF(Presion_cilindro!N508&gt;(-E$4+Presion_cilindro!$B$34),1-EXP(-Presion_cilindro!$B$16*((Presion_cilindro!N508-(-E$4+Presion_cilindro!$B$34))/Presion_cilindro!$B$35)^(Presion_cilindro!$B$17+1)),0)-IF(Presion_cilindro!N507&gt;(-E$4+Presion_cilindro!$B$34),1-EXP(-Presion_cilindro!$B$16*((Presion_cilindro!N507-(-E$4+Presion_cilindro!$B$34))/Presion_cilindro!$B$35)^(Presion_cilindro!$B$17+1)),0))/((Presion_cilindro!O507+Presion_cilindro!O508)/2)</f>
        <v>6.4757402252267058</v>
      </c>
      <c r="F516" s="27">
        <f>F515*(Presion_cilindro!O507/Presion_cilindro!O508)^Presion_cilindro!$B$9+10*(Presion_cilindro!$B$9-1)*Presion_cilindro!$B$33*(IF(Presion_cilindro!N508&gt;(-F$4+Presion_cilindro!$B$34),1-EXP(-Presion_cilindro!$B$16*((Presion_cilindro!N508-(-F$4+Presion_cilindro!$B$34))/Presion_cilindro!$B$35)^(Presion_cilindro!$B$17+1)),0)-IF(Presion_cilindro!N507&gt;(-F$4+Presion_cilindro!$B$34),1-EXP(-Presion_cilindro!$B$16*((Presion_cilindro!N507-(-F$4+Presion_cilindro!$B$34))/Presion_cilindro!$B$35)^(Presion_cilindro!$B$17+1)),0))/((Presion_cilindro!O507+Presion_cilindro!O508)/2)</f>
        <v>6.3262827607257162</v>
      </c>
      <c r="G516" s="27">
        <f>G515*(Presion_cilindro!O507/Presion_cilindro!O508)^Presion_cilindro!$B$9+10*(Presion_cilindro!$B$9-1)*Presion_cilindro!$B$33*(IF(Presion_cilindro!N508&gt;(-G$4+Presion_cilindro!$B$34),1-EXP(-Presion_cilindro!$B$16*((Presion_cilindro!N508-(-G$4+Presion_cilindro!$B$34))/Presion_cilindro!$B$35)^(Presion_cilindro!$B$17+1)),0)-IF(Presion_cilindro!N507&gt;(-G$4+Presion_cilindro!$B$34),1-EXP(-Presion_cilindro!$B$16*((Presion_cilindro!N507-(-G$4+Presion_cilindro!$B$34))/Presion_cilindro!$B$35)^(Presion_cilindro!$B$17+1)),0))/((Presion_cilindro!O507+Presion_cilindro!O508)/2)</f>
        <v>6.2155365295693654</v>
      </c>
      <c r="H516" s="27">
        <f>H515*(Presion_cilindro!O507/Presion_cilindro!O508)^Presion_cilindro!$B$9+10*(Presion_cilindro!$B$9-1)*Presion_cilindro!$B$33*(IF(Presion_cilindro!N508&gt;(-H$4+Presion_cilindro!$B$34),1-EXP(-Presion_cilindro!$B$16*((Presion_cilindro!N508-(-H$4+Presion_cilindro!$B$34))/Presion_cilindro!$B$35)^(Presion_cilindro!$B$17+1)),0)-IF(Presion_cilindro!N507&gt;(-H$4+Presion_cilindro!$B$34),1-EXP(-Presion_cilindro!$B$16*((Presion_cilindro!N507-(-H$4+Presion_cilindro!$B$34))/Presion_cilindro!$B$35)^(Presion_cilindro!$B$17+1)),0))/((Presion_cilindro!O507+Presion_cilindro!O508)/2)</f>
        <v>6.1502087977693156</v>
      </c>
      <c r="I516" s="27">
        <f>I515*(Presion_cilindro!O507/Presion_cilindro!O508)^Presion_cilindro!$B$9+10*(Presion_cilindro!$B$9-1)*Presion_cilindro!$B$33*(IF(Presion_cilindro!N508&gt;(-I$4+Presion_cilindro!$B$34),1-EXP(-Presion_cilindro!$B$16*((Presion_cilindro!N508-(-I$4+Presion_cilindro!$B$34))/Presion_cilindro!$B$35)^(Presion_cilindro!$B$17+1)),0)-IF(Presion_cilindro!N507&gt;(-I$4+Presion_cilindro!$B$34),1-EXP(-Presion_cilindro!$B$16*((Presion_cilindro!N507-(-I$4+Presion_cilindro!$B$34))/Presion_cilindro!$B$35)^(Presion_cilindro!$B$17+1)),0))/((Presion_cilindro!O507+Presion_cilindro!O508)/2)</f>
        <v>6.1345384974234136</v>
      </c>
      <c r="J516" s="27">
        <f>J515*(Presion_cilindro!O507/Presion_cilindro!O508)^Presion_cilindro!$B$9+10*(Presion_cilindro!$B$9-1)*Presion_cilindro!$B$33*(IF(Presion_cilindro!N508&gt;(-J$4+Presion_cilindro!$B$34),1-EXP(-Presion_cilindro!$B$16*((Presion_cilindro!N508-(-J$4+Presion_cilindro!$B$34))/Presion_cilindro!$B$35)^(Presion_cilindro!$B$17+1)),0)-IF(Presion_cilindro!N507&gt;(-J$4+Presion_cilindro!$B$34),1-EXP(-Presion_cilindro!$B$16*((Presion_cilindro!N507-(-J$4+Presion_cilindro!$B$34))/Presion_cilindro!$B$35)^(Presion_cilindro!$B$17+1)),0))/((Presion_cilindro!O507+Presion_cilindro!O508)/2)</f>
        <v>6.1695016066628989</v>
      </c>
      <c r="K516" s="27">
        <f>K515*(Presion_cilindro!O507/Presion_cilindro!O508)^Presion_cilindro!$B$9+10*(Presion_cilindro!$B$9-1)*Presion_cilindro!$B$33*(IF(Presion_cilindro!N508&gt;(-K$4+Presion_cilindro!$B$34),1-EXP(-Presion_cilindro!$B$16*((Presion_cilindro!N508-(-K$4+Presion_cilindro!$B$34))/Presion_cilindro!$B$35)^(Presion_cilindro!$B$17+1)),0)-IF(Presion_cilindro!N507&gt;(-K$4+Presion_cilindro!$B$34),1-EXP(-Presion_cilindro!$B$16*((Presion_cilindro!N507-(-K$4+Presion_cilindro!$B$34))/Presion_cilindro!$B$35)^(Presion_cilindro!$B$17+1)),0))/((Presion_cilindro!O507+Presion_cilindro!O508)/2)</f>
        <v>6.2526417655348565</v>
      </c>
      <c r="L516" s="27">
        <f>L515*(Presion_cilindro!O507/Presion_cilindro!O508)^Presion_cilindro!$B$9+10*(Presion_cilindro!$B$9-1)*Presion_cilindro!$B$33*(IF(Presion_cilindro!N508&gt;(-L$4+Presion_cilindro!$B$34),1-EXP(-Presion_cilindro!$B$16*((Presion_cilindro!N508-(-L$4+Presion_cilindro!$B$34))/Presion_cilindro!$B$35)^(Presion_cilindro!$B$17+1)),0)-IF(Presion_cilindro!N507&gt;(-L$4+Presion_cilindro!$B$34),1-EXP(-Presion_cilindro!$B$16*((Presion_cilindro!N507-(-L$4+Presion_cilindro!$B$34))/Presion_cilindro!$B$35)^(Presion_cilindro!$B$17+1)),0))/((Presion_cilindro!O507+Presion_cilindro!O508)/2)</f>
        <v>6.3785780884776875</v>
      </c>
      <c r="M516" s="27">
        <f>M515*(Presion_cilindro!O507/Presion_cilindro!O508)^Presion_cilindro!$B$9+10*(Presion_cilindro!$B$9-1)*Presion_cilindro!$B$33*(IF(Presion_cilindro!N508&gt;(-M$4+Presion_cilindro!$B$34),1-EXP(-Presion_cilindro!$B$16*((Presion_cilindro!N508-(-M$4+Presion_cilindro!$B$34))/Presion_cilindro!$B$35)^(Presion_cilindro!$B$17+1)),0)-IF(Presion_cilindro!N507&gt;(-M$4+Presion_cilindro!$B$34),1-EXP(-Presion_cilindro!$B$16*((Presion_cilindro!N507-(-M$4+Presion_cilindro!$B$34))/Presion_cilindro!$B$35)^(Presion_cilindro!$B$17+1)),0))/((Presion_cilindro!O507+Presion_cilindro!O508)/2)</f>
        <v>6.5399981046443383</v>
      </c>
      <c r="N516" s="27">
        <f>N515*(Presion_cilindro!O507/Presion_cilindro!O508)^Presion_cilindro!$B$9+10*(Presion_cilindro!$B$9-1)*Presion_cilindro!$B$33*(IF(Presion_cilindro!N508&gt;(-N$4+Presion_cilindro!$B$34),1-EXP(-Presion_cilindro!$B$16*((Presion_cilindro!N508-(-N$4+Presion_cilindro!$B$34))/Presion_cilindro!$B$35)^(Presion_cilindro!$B$17+1)),0)-IF(Presion_cilindro!N507&gt;(-N$4+Presion_cilindro!$B$34),1-EXP(-Presion_cilindro!$B$16*((Presion_cilindro!N507-(-N$4+Presion_cilindro!$B$34))/Presion_cilindro!$B$35)^(Presion_cilindro!$B$17+1)),0))/((Presion_cilindro!O507+Presion_cilindro!O508)/2)</f>
        <v>6.7288045818754503</v>
      </c>
    </row>
    <row r="517" spans="1:14" x14ac:dyDescent="0.25">
      <c r="A517" s="21">
        <f>Presion_cilindro!N509</f>
        <v>72.5</v>
      </c>
      <c r="B517" s="27">
        <f>B516*(Presion_cilindro!O508/Presion_cilindro!O509)^Presion_cilindro!$B$9+10*(Presion_cilindro!$B$9-1)*Presion_cilindro!$B$33*(IF(Presion_cilindro!N509&gt;(-B$4+Presion_cilindro!$B$34),1-EXP(-Presion_cilindro!$B$16*((Presion_cilindro!N509-(-B$4+Presion_cilindro!$B$34))/Presion_cilindro!$B$35)^(Presion_cilindro!$B$17+1)),0)-IF(Presion_cilindro!N508&gt;(-B$4+Presion_cilindro!$B$34),1-EXP(-Presion_cilindro!$B$16*((Presion_cilindro!N508-(-B$4+Presion_cilindro!$B$34))/Presion_cilindro!$B$35)^(Presion_cilindro!$B$17+1)),0))/((Presion_cilindro!O508+Presion_cilindro!O509)/2)</f>
        <v>6.9951424753231422</v>
      </c>
      <c r="C517" s="27">
        <f>C516*(Presion_cilindro!O508/Presion_cilindro!O509)^Presion_cilindro!$B$9+10*(Presion_cilindro!$B$9-1)*Presion_cilindro!$B$33*(IF(Presion_cilindro!N509&gt;(-C$4+Presion_cilindro!$B$34),1-EXP(-Presion_cilindro!$B$16*((Presion_cilindro!N509-(-C$4+Presion_cilindro!$B$34))/Presion_cilindro!$B$35)^(Presion_cilindro!$B$17+1)),0)-IF(Presion_cilindro!N508&gt;(-C$4+Presion_cilindro!$B$34),1-EXP(-Presion_cilindro!$B$16*((Presion_cilindro!N508-(-C$4+Presion_cilindro!$B$34))/Presion_cilindro!$B$35)^(Presion_cilindro!$B$17+1)),0))/((Presion_cilindro!O508+Presion_cilindro!O509)/2)</f>
        <v>6.7801544748999758</v>
      </c>
      <c r="D517" s="27">
        <f>D516*(Presion_cilindro!O508/Presion_cilindro!O509)^Presion_cilindro!$B$9+10*(Presion_cilindro!$B$9-1)*Presion_cilindro!$B$33*(IF(Presion_cilindro!N509&gt;(-D$4+Presion_cilindro!$B$34),1-EXP(-Presion_cilindro!$B$16*((Presion_cilindro!N509-(-D$4+Presion_cilindro!$B$34))/Presion_cilindro!$B$35)^(Presion_cilindro!$B$17+1)),0)-IF(Presion_cilindro!N508&gt;(-D$4+Presion_cilindro!$B$34),1-EXP(-Presion_cilindro!$B$16*((Presion_cilindro!N508-(-D$4+Presion_cilindro!$B$34))/Presion_cilindro!$B$35)^(Presion_cilindro!$B$17+1)),0))/((Presion_cilindro!O508+Presion_cilindro!O509)/2)</f>
        <v>6.5798624526449316</v>
      </c>
      <c r="E517" s="27">
        <f>E516*(Presion_cilindro!O508/Presion_cilindro!O509)^Presion_cilindro!$B$9+10*(Presion_cilindro!$B$9-1)*Presion_cilindro!$B$33*(IF(Presion_cilindro!N509&gt;(-E$4+Presion_cilindro!$B$34),1-EXP(-Presion_cilindro!$B$16*((Presion_cilindro!N509-(-E$4+Presion_cilindro!$B$34))/Presion_cilindro!$B$35)^(Presion_cilindro!$B$17+1)),0)-IF(Presion_cilindro!N508&gt;(-E$4+Presion_cilindro!$B$34),1-EXP(-Presion_cilindro!$B$16*((Presion_cilindro!N508-(-E$4+Presion_cilindro!$B$34))/Presion_cilindro!$B$35)^(Presion_cilindro!$B$17+1)),0))/((Presion_cilindro!O508+Presion_cilindro!O509)/2)</f>
        <v>6.401780553001112</v>
      </c>
      <c r="F517" s="27">
        <f>F516*(Presion_cilindro!O508/Presion_cilindro!O509)^Presion_cilindro!$B$9+10*(Presion_cilindro!$B$9-1)*Presion_cilindro!$B$33*(IF(Presion_cilindro!N509&gt;(-F$4+Presion_cilindro!$B$34),1-EXP(-Presion_cilindro!$B$16*((Presion_cilindro!N509-(-F$4+Presion_cilindro!$B$34))/Presion_cilindro!$B$35)^(Presion_cilindro!$B$17+1)),0)-IF(Presion_cilindro!N508&gt;(-F$4+Presion_cilindro!$B$34),1-EXP(-Presion_cilindro!$B$16*((Presion_cilindro!N508-(-F$4+Presion_cilindro!$B$34))/Presion_cilindro!$B$35)^(Presion_cilindro!$B$17+1)),0))/((Presion_cilindro!O508+Presion_cilindro!O509)/2)</f>
        <v>6.2540300459009632</v>
      </c>
      <c r="G517" s="27">
        <f>G516*(Presion_cilindro!O508/Presion_cilindro!O509)^Presion_cilindro!$B$9+10*(Presion_cilindro!$B$9-1)*Presion_cilindro!$B$33*(IF(Presion_cilindro!N509&gt;(-G$4+Presion_cilindro!$B$34),1-EXP(-Presion_cilindro!$B$16*((Presion_cilindro!N509-(-G$4+Presion_cilindro!$B$34))/Presion_cilindro!$B$35)^(Presion_cilindro!$B$17+1)),0)-IF(Presion_cilindro!N508&gt;(-G$4+Presion_cilindro!$B$34),1-EXP(-Presion_cilindro!$B$16*((Presion_cilindro!N508-(-G$4+Presion_cilindro!$B$34))/Presion_cilindro!$B$35)^(Presion_cilindro!$B$17+1)),0))/((Presion_cilindro!O508+Presion_cilindro!O509)/2)</f>
        <v>6.144548651608587</v>
      </c>
      <c r="H517" s="27">
        <f>H516*(Presion_cilindro!O508/Presion_cilindro!O509)^Presion_cilindro!$B$9+10*(Presion_cilindro!$B$9-1)*Presion_cilindro!$B$33*(IF(Presion_cilindro!N509&gt;(-H$4+Presion_cilindro!$B$34),1-EXP(-Presion_cilindro!$B$16*((Presion_cilindro!N509-(-H$4+Presion_cilindro!$B$34))/Presion_cilindro!$B$35)^(Presion_cilindro!$B$17+1)),0)-IF(Presion_cilindro!N508&gt;(-H$4+Presion_cilindro!$B$34),1-EXP(-Presion_cilindro!$B$16*((Presion_cilindro!N508-(-H$4+Presion_cilindro!$B$34))/Presion_cilindro!$B$35)^(Presion_cilindro!$B$17+1)),0))/((Presion_cilindro!O508+Presion_cilindro!O509)/2)</f>
        <v>6.0799670303057249</v>
      </c>
      <c r="I517" s="27">
        <f>I516*(Presion_cilindro!O508/Presion_cilindro!O509)^Presion_cilindro!$B$9+10*(Presion_cilindro!$B$9-1)*Presion_cilindro!$B$33*(IF(Presion_cilindro!N509&gt;(-I$4+Presion_cilindro!$B$34),1-EXP(-Presion_cilindro!$B$16*((Presion_cilindro!N509-(-I$4+Presion_cilindro!$B$34))/Presion_cilindro!$B$35)^(Presion_cilindro!$B$17+1)),0)-IF(Presion_cilindro!N508&gt;(-I$4+Presion_cilindro!$B$34),1-EXP(-Presion_cilindro!$B$16*((Presion_cilindro!N508-(-I$4+Presion_cilindro!$B$34))/Presion_cilindro!$B$35)^(Presion_cilindro!$B$17+1)),0))/((Presion_cilindro!O508+Presion_cilindro!O509)/2)</f>
        <v>6.0644757010531896</v>
      </c>
      <c r="J517" s="27">
        <f>J516*(Presion_cilindro!O508/Presion_cilindro!O509)^Presion_cilindro!$B$9+10*(Presion_cilindro!$B$9-1)*Presion_cilindro!$B$33*(IF(Presion_cilindro!N509&gt;(-J$4+Presion_cilindro!$B$34),1-EXP(-Presion_cilindro!$B$16*((Presion_cilindro!N509-(-J$4+Presion_cilindro!$B$34))/Presion_cilindro!$B$35)^(Presion_cilindro!$B$17+1)),0)-IF(Presion_cilindro!N508&gt;(-J$4+Presion_cilindro!$B$34),1-EXP(-Presion_cilindro!$B$16*((Presion_cilindro!N508-(-J$4+Presion_cilindro!$B$34))/Presion_cilindro!$B$35)^(Presion_cilindro!$B$17+1)),0))/((Presion_cilindro!O508+Presion_cilindro!O509)/2)</f>
        <v>6.0990394952987037</v>
      </c>
      <c r="K517" s="27">
        <f>K516*(Presion_cilindro!O508/Presion_cilindro!O509)^Presion_cilindro!$B$9+10*(Presion_cilindro!$B$9-1)*Presion_cilindro!$B$33*(IF(Presion_cilindro!N509&gt;(-K$4+Presion_cilindro!$B$34),1-EXP(-Presion_cilindro!$B$16*((Presion_cilindro!N509-(-K$4+Presion_cilindro!$B$34))/Presion_cilindro!$B$35)^(Presion_cilindro!$B$17+1)),0)-IF(Presion_cilindro!N508&gt;(-K$4+Presion_cilindro!$B$34),1-EXP(-Presion_cilindro!$B$16*((Presion_cilindro!N508-(-K$4+Presion_cilindro!$B$34))/Presion_cilindro!$B$35)^(Presion_cilindro!$B$17+1)),0))/((Presion_cilindro!O508+Presion_cilindro!O509)/2)</f>
        <v>6.1812301072693447</v>
      </c>
      <c r="L517" s="27">
        <f>L516*(Presion_cilindro!O508/Presion_cilindro!O509)^Presion_cilindro!$B$9+10*(Presion_cilindro!$B$9-1)*Presion_cilindro!$B$33*(IF(Presion_cilindro!N509&gt;(-L$4+Presion_cilindro!$B$34),1-EXP(-Presion_cilindro!$B$16*((Presion_cilindro!N509-(-L$4+Presion_cilindro!$B$34))/Presion_cilindro!$B$35)^(Presion_cilindro!$B$17+1)),0)-IF(Presion_cilindro!N508&gt;(-L$4+Presion_cilindro!$B$34),1-EXP(-Presion_cilindro!$B$16*((Presion_cilindro!N508-(-L$4+Presion_cilindro!$B$34))/Presion_cilindro!$B$35)^(Presion_cilindro!$B$17+1)),0))/((Presion_cilindro!O508+Presion_cilindro!O509)/2)</f>
        <v>6.3057281067011788</v>
      </c>
      <c r="M517" s="27">
        <f>M516*(Presion_cilindro!O508/Presion_cilindro!O509)^Presion_cilindro!$B$9+10*(Presion_cilindro!$B$9-1)*Presion_cilindro!$B$33*(IF(Presion_cilindro!N509&gt;(-M$4+Presion_cilindro!$B$34),1-EXP(-Presion_cilindro!$B$16*((Presion_cilindro!N509-(-M$4+Presion_cilindro!$B$34))/Presion_cilindro!$B$35)^(Presion_cilindro!$B$17+1)),0)-IF(Presion_cilindro!N508&gt;(-M$4+Presion_cilindro!$B$34),1-EXP(-Presion_cilindro!$B$16*((Presion_cilindro!N508-(-M$4+Presion_cilindro!$B$34))/Presion_cilindro!$B$35)^(Presion_cilindro!$B$17+1)),0))/((Presion_cilindro!O508+Presion_cilindro!O509)/2)</f>
        <v>6.4653045387534727</v>
      </c>
      <c r="N517" s="27">
        <f>N516*(Presion_cilindro!O508/Presion_cilindro!O509)^Presion_cilindro!$B$9+10*(Presion_cilindro!$B$9-1)*Presion_cilindro!$B$33*(IF(Presion_cilindro!N509&gt;(-N$4+Presion_cilindro!$B$34),1-EXP(-Presion_cilindro!$B$16*((Presion_cilindro!N509-(-N$4+Presion_cilindro!$B$34))/Presion_cilindro!$B$35)^(Presion_cilindro!$B$17+1)),0)-IF(Presion_cilindro!N508&gt;(-N$4+Presion_cilindro!$B$34),1-EXP(-Presion_cilindro!$B$16*((Presion_cilindro!N508-(-N$4+Presion_cilindro!$B$34))/Presion_cilindro!$B$35)^(Presion_cilindro!$B$17+1)),0))/((Presion_cilindro!O508+Presion_cilindro!O509)/2)</f>
        <v>6.6519546500618381</v>
      </c>
    </row>
    <row r="518" spans="1:14" x14ac:dyDescent="0.25">
      <c r="A518" s="21">
        <f>Presion_cilindro!N510</f>
        <v>73</v>
      </c>
      <c r="B518" s="27">
        <f>B517*(Presion_cilindro!O509/Presion_cilindro!O510)^Presion_cilindro!$B$9+10*(Presion_cilindro!$B$9-1)*Presion_cilindro!$B$33*(IF(Presion_cilindro!N510&gt;(-B$4+Presion_cilindro!$B$34),1-EXP(-Presion_cilindro!$B$16*((Presion_cilindro!N510-(-B$4+Presion_cilindro!$B$34))/Presion_cilindro!$B$35)^(Presion_cilindro!$B$17+1)),0)-IF(Presion_cilindro!N509&gt;(-B$4+Presion_cilindro!$B$34),1-EXP(-Presion_cilindro!$B$16*((Presion_cilindro!N509-(-B$4+Presion_cilindro!$B$34))/Presion_cilindro!$B$35)^(Presion_cilindro!$B$17+1)),0))/((Presion_cilindro!O509+Presion_cilindro!O510)/2)</f>
        <v>6.9159088586436237</v>
      </c>
      <c r="C518" s="27">
        <f>C517*(Presion_cilindro!O509/Presion_cilindro!O510)^Presion_cilindro!$B$9+10*(Presion_cilindro!$B$9-1)*Presion_cilindro!$B$33*(IF(Presion_cilindro!N510&gt;(-C$4+Presion_cilindro!$B$34),1-EXP(-Presion_cilindro!$B$16*((Presion_cilindro!N510-(-C$4+Presion_cilindro!$B$34))/Presion_cilindro!$B$35)^(Presion_cilindro!$B$17+1)),0)-IF(Presion_cilindro!N509&gt;(-C$4+Presion_cilindro!$B$34),1-EXP(-Presion_cilindro!$B$16*((Presion_cilindro!N509-(-C$4+Presion_cilindro!$B$34))/Presion_cilindro!$B$35)^(Presion_cilindro!$B$17+1)),0))/((Presion_cilindro!O509+Presion_cilindro!O510)/2)</f>
        <v>6.7033404582400307</v>
      </c>
      <c r="D518" s="27">
        <f>D517*(Presion_cilindro!O509/Presion_cilindro!O510)^Presion_cilindro!$B$9+10*(Presion_cilindro!$B$9-1)*Presion_cilindro!$B$33*(IF(Presion_cilindro!N510&gt;(-D$4+Presion_cilindro!$B$34),1-EXP(-Presion_cilindro!$B$16*((Presion_cilindro!N510-(-D$4+Presion_cilindro!$B$34))/Presion_cilindro!$B$35)^(Presion_cilindro!$B$17+1)),0)-IF(Presion_cilindro!N509&gt;(-D$4+Presion_cilindro!$B$34),1-EXP(-Presion_cilindro!$B$16*((Presion_cilindro!N509-(-D$4+Presion_cilindro!$B$34))/Presion_cilindro!$B$35)^(Presion_cilindro!$B$17+1)),0))/((Presion_cilindro!O509+Presion_cilindro!O510)/2)</f>
        <v>6.5053165175943084</v>
      </c>
      <c r="E518" s="27">
        <f>E517*(Presion_cilindro!O509/Presion_cilindro!O510)^Presion_cilindro!$B$9+10*(Presion_cilindro!$B$9-1)*Presion_cilindro!$B$33*(IF(Presion_cilindro!N510&gt;(-E$4+Presion_cilindro!$B$34),1-EXP(-Presion_cilindro!$B$16*((Presion_cilindro!N510-(-E$4+Presion_cilindro!$B$34))/Presion_cilindro!$B$35)^(Presion_cilindro!$B$17+1)),0)-IF(Presion_cilindro!N509&gt;(-E$4+Presion_cilindro!$B$34),1-EXP(-Presion_cilindro!$B$16*((Presion_cilindro!N509-(-E$4+Presion_cilindro!$B$34))/Presion_cilindro!$B$35)^(Presion_cilindro!$B$17+1)),0))/((Presion_cilindro!O509+Presion_cilindro!O510)/2)</f>
        <v>6.329252132802611</v>
      </c>
      <c r="F518" s="27">
        <f>F517*(Presion_cilindro!O509/Presion_cilindro!O510)^Presion_cilindro!$B$9+10*(Presion_cilindro!$B$9-1)*Presion_cilindro!$B$33*(IF(Presion_cilindro!N510&gt;(-F$4+Presion_cilindro!$B$34),1-EXP(-Presion_cilindro!$B$16*((Presion_cilindro!N510-(-F$4+Presion_cilindro!$B$34))/Presion_cilindro!$B$35)^(Presion_cilindro!$B$17+1)),0)-IF(Presion_cilindro!N509&gt;(-F$4+Presion_cilindro!$B$34),1-EXP(-Presion_cilindro!$B$16*((Presion_cilindro!N509-(-F$4+Presion_cilindro!$B$34))/Presion_cilindro!$B$35)^(Presion_cilindro!$B$17+1)),0))/((Presion_cilindro!O509+Presion_cilindro!O510)/2)</f>
        <v>6.1831755510265829</v>
      </c>
      <c r="G518" s="27">
        <f>G517*(Presion_cilindro!O509/Presion_cilindro!O510)^Presion_cilindro!$B$9+10*(Presion_cilindro!$B$9-1)*Presion_cilindro!$B$33*(IF(Presion_cilindro!N510&gt;(-G$4+Presion_cilindro!$B$34),1-EXP(-Presion_cilindro!$B$16*((Presion_cilindro!N510-(-G$4+Presion_cilindro!$B$34))/Presion_cilindro!$B$35)^(Presion_cilindro!$B$17+1)),0)-IF(Presion_cilindro!N509&gt;(-G$4+Presion_cilindro!$B$34),1-EXP(-Presion_cilindro!$B$16*((Presion_cilindro!N509-(-G$4+Presion_cilindro!$B$34))/Presion_cilindro!$B$35)^(Presion_cilindro!$B$17+1)),0))/((Presion_cilindro!O509+Presion_cilindro!O510)/2)</f>
        <v>6.0749345167421618</v>
      </c>
      <c r="H518" s="27">
        <f>H517*(Presion_cilindro!O509/Presion_cilindro!O510)^Presion_cilindro!$B$9+10*(Presion_cilindro!$B$9-1)*Presion_cilindro!$B$33*(IF(Presion_cilindro!N510&gt;(-H$4+Presion_cilindro!$B$34),1-EXP(-Presion_cilindro!$B$16*((Presion_cilindro!N510-(-H$4+Presion_cilindro!$B$34))/Presion_cilindro!$B$35)^(Presion_cilindro!$B$17+1)),0)-IF(Presion_cilindro!N509&gt;(-H$4+Presion_cilindro!$B$34),1-EXP(-Presion_cilindro!$B$16*((Presion_cilindro!N509-(-H$4+Presion_cilindro!$B$34))/Presion_cilindro!$B$35)^(Presion_cilindro!$B$17+1)),0))/((Presion_cilindro!O509+Presion_cilindro!O510)/2)</f>
        <v>6.0110845673567859</v>
      </c>
      <c r="I518" s="27">
        <f>I517*(Presion_cilindro!O509/Presion_cilindro!O510)^Presion_cilindro!$B$9+10*(Presion_cilindro!$B$9-1)*Presion_cilindro!$B$33*(IF(Presion_cilindro!N510&gt;(-I$4+Presion_cilindro!$B$34),1-EXP(-Presion_cilindro!$B$16*((Presion_cilindro!N510-(-I$4+Presion_cilindro!$B$34))/Presion_cilindro!$B$35)^(Presion_cilindro!$B$17+1)),0)-IF(Presion_cilindro!N509&gt;(-I$4+Presion_cilindro!$B$34),1-EXP(-Presion_cilindro!$B$16*((Presion_cilindro!N509-(-I$4+Presion_cilindro!$B$34))/Presion_cilindro!$B$35)^(Presion_cilindro!$B$17+1)),0))/((Presion_cilindro!O509+Presion_cilindro!O510)/2)</f>
        <v>5.9957687457851208</v>
      </c>
      <c r="J518" s="27">
        <f>J517*(Presion_cilindro!O509/Presion_cilindro!O510)^Presion_cilindro!$B$9+10*(Presion_cilindro!$B$9-1)*Presion_cilindro!$B$33*(IF(Presion_cilindro!N510&gt;(-J$4+Presion_cilindro!$B$34),1-EXP(-Presion_cilindro!$B$16*((Presion_cilindro!N510-(-J$4+Presion_cilindro!$B$34))/Presion_cilindro!$B$35)^(Presion_cilindro!$B$17+1)),0)-IF(Presion_cilindro!N509&gt;(-J$4+Presion_cilindro!$B$34),1-EXP(-Presion_cilindro!$B$16*((Presion_cilindro!N509-(-J$4+Presion_cilindro!$B$34))/Presion_cilindro!$B$35)^(Presion_cilindro!$B$17+1)),0))/((Presion_cilindro!O509+Presion_cilindro!O510)/2)</f>
        <v>6.0299409524998762</v>
      </c>
      <c r="K518" s="27">
        <f>K517*(Presion_cilindro!O509/Presion_cilindro!O510)^Presion_cilindro!$B$9+10*(Presion_cilindro!$B$9-1)*Presion_cilindro!$B$33*(IF(Presion_cilindro!N510&gt;(-K$4+Presion_cilindro!$B$34),1-EXP(-Presion_cilindro!$B$16*((Presion_cilindro!N510-(-K$4+Presion_cilindro!$B$34))/Presion_cilindro!$B$35)^(Presion_cilindro!$B$17+1)),0)-IF(Presion_cilindro!N509&gt;(-K$4+Presion_cilindro!$B$34),1-EXP(-Presion_cilindro!$B$16*((Presion_cilindro!N509-(-K$4+Presion_cilindro!$B$34))/Presion_cilindro!$B$35)^(Presion_cilindro!$B$17+1)),0))/((Presion_cilindro!O509+Presion_cilindro!O510)/2)</f>
        <v>6.1112003930092911</v>
      </c>
      <c r="L518" s="27">
        <f>L517*(Presion_cilindro!O509/Presion_cilindro!O510)^Presion_cilindro!$B$9+10*(Presion_cilindro!$B$9-1)*Presion_cilindro!$B$33*(IF(Presion_cilindro!N510&gt;(-L$4+Presion_cilindro!$B$34),1-EXP(-Presion_cilindro!$B$16*((Presion_cilindro!N510-(-L$4+Presion_cilindro!$B$34))/Presion_cilindro!$B$35)^(Presion_cilindro!$B$17+1)),0)-IF(Presion_cilindro!N509&gt;(-L$4+Presion_cilindro!$B$34),1-EXP(-Presion_cilindro!$B$16*((Presion_cilindro!N509-(-L$4+Presion_cilindro!$B$34))/Presion_cilindro!$B$35)^(Presion_cilindro!$B$17+1)),0))/((Presion_cilindro!O509+Presion_cilindro!O510)/2)</f>
        <v>6.2342879030765719</v>
      </c>
      <c r="M518" s="27">
        <f>M517*(Presion_cilindro!O509/Presion_cilindro!O510)^Presion_cilindro!$B$9+10*(Presion_cilindro!$B$9-1)*Presion_cilindro!$B$33*(IF(Presion_cilindro!N510&gt;(-M$4+Presion_cilindro!$B$34),1-EXP(-Presion_cilindro!$B$16*((Presion_cilindro!N510-(-M$4+Presion_cilindro!$B$34))/Presion_cilindro!$B$35)^(Presion_cilindro!$B$17+1)),0)-IF(Presion_cilindro!N509&gt;(-M$4+Presion_cilindro!$B$34),1-EXP(-Presion_cilindro!$B$16*((Presion_cilindro!N509-(-M$4+Presion_cilindro!$B$34))/Presion_cilindro!$B$35)^(Presion_cilindro!$B$17+1)),0))/((Presion_cilindro!O509+Presion_cilindro!O510)/2)</f>
        <v>6.3920564276823981</v>
      </c>
      <c r="N518" s="27">
        <f>N517*(Presion_cilindro!O509/Presion_cilindro!O510)^Presion_cilindro!$B$9+10*(Presion_cilindro!$B$9-1)*Presion_cilindro!$B$33*(IF(Presion_cilindro!N510&gt;(-N$4+Presion_cilindro!$B$34),1-EXP(-Presion_cilindro!$B$16*((Presion_cilindro!N510-(-N$4+Presion_cilindro!$B$34))/Presion_cilindro!$B$35)^(Presion_cilindro!$B$17+1)),0)-IF(Presion_cilindro!N509&gt;(-N$4+Presion_cilindro!$B$34),1-EXP(-Presion_cilindro!$B$16*((Presion_cilindro!N509-(-N$4+Presion_cilindro!$B$34))/Presion_cilindro!$B$35)^(Presion_cilindro!$B$17+1)),0))/((Presion_cilindro!O509+Presion_cilindro!O510)/2)</f>
        <v>6.5765919026263679</v>
      </c>
    </row>
    <row r="519" spans="1:14" x14ac:dyDescent="0.25">
      <c r="A519" s="21">
        <f>Presion_cilindro!N511</f>
        <v>73.5</v>
      </c>
      <c r="B519" s="27">
        <f>B518*(Presion_cilindro!O510/Presion_cilindro!O511)^Presion_cilindro!$B$9+10*(Presion_cilindro!$B$9-1)*Presion_cilindro!$B$33*(IF(Presion_cilindro!N511&gt;(-B$4+Presion_cilindro!$B$34),1-EXP(-Presion_cilindro!$B$16*((Presion_cilindro!N511-(-B$4+Presion_cilindro!$B$34))/Presion_cilindro!$B$35)^(Presion_cilindro!$B$17+1)),0)-IF(Presion_cilindro!N510&gt;(-B$4+Presion_cilindro!$B$34),1-EXP(-Presion_cilindro!$B$16*((Presion_cilindro!N510-(-B$4+Presion_cilindro!$B$34))/Presion_cilindro!$B$35)^(Presion_cilindro!$B$17+1)),0))/((Presion_cilindro!O510+Presion_cilindro!O511)/2)</f>
        <v>6.8381996416178756</v>
      </c>
      <c r="C519" s="27">
        <f>C518*(Presion_cilindro!O510/Presion_cilindro!O511)^Presion_cilindro!$B$9+10*(Presion_cilindro!$B$9-1)*Presion_cilindro!$B$33*(IF(Presion_cilindro!N511&gt;(-C$4+Presion_cilindro!$B$34),1-EXP(-Presion_cilindro!$B$16*((Presion_cilindro!N511-(-C$4+Presion_cilindro!$B$34))/Presion_cilindro!$B$35)^(Presion_cilindro!$B$17+1)),0)-IF(Presion_cilindro!N510&gt;(-C$4+Presion_cilindro!$B$34),1-EXP(-Presion_cilindro!$B$16*((Presion_cilindro!N510-(-C$4+Presion_cilindro!$B$34))/Presion_cilindro!$B$35)^(Presion_cilindro!$B$17+1)),0))/((Presion_cilindro!O510+Presion_cilindro!O511)/2)</f>
        <v>6.6280076819844167</v>
      </c>
      <c r="D519" s="27">
        <f>D518*(Presion_cilindro!O510/Presion_cilindro!O511)^Presion_cilindro!$B$9+10*(Presion_cilindro!$B$9-1)*Presion_cilindro!$B$33*(IF(Presion_cilindro!N511&gt;(-D$4+Presion_cilindro!$B$34),1-EXP(-Presion_cilindro!$B$16*((Presion_cilindro!N511-(-D$4+Presion_cilindro!$B$34))/Presion_cilindro!$B$35)^(Presion_cilindro!$B$17+1)),0)-IF(Presion_cilindro!N510&gt;(-D$4+Presion_cilindro!$B$34),1-EXP(-Presion_cilindro!$B$16*((Presion_cilindro!N510-(-D$4+Presion_cilindro!$B$34))/Presion_cilindro!$B$35)^(Presion_cilindro!$B$17+1)),0))/((Presion_cilindro!O510+Presion_cilindro!O511)/2)</f>
        <v>6.4322083567806105</v>
      </c>
      <c r="E519" s="27">
        <f>E518*(Presion_cilindro!O510/Presion_cilindro!O511)^Presion_cilindro!$B$9+10*(Presion_cilindro!$B$9-1)*Presion_cilindro!$B$33*(IF(Presion_cilindro!N511&gt;(-E$4+Presion_cilindro!$B$34),1-EXP(-Presion_cilindro!$B$16*((Presion_cilindro!N511-(-E$4+Presion_cilindro!$B$34))/Presion_cilindro!$B$35)^(Presion_cilindro!$B$17+1)),0)-IF(Presion_cilindro!N510&gt;(-E$4+Presion_cilindro!$B$34),1-EXP(-Presion_cilindro!$B$16*((Presion_cilindro!N510-(-E$4+Presion_cilindro!$B$34))/Presion_cilindro!$B$35)^(Presion_cilindro!$B$17+1)),0))/((Presion_cilindro!O510+Presion_cilindro!O511)/2)</f>
        <v>6.2581225883475842</v>
      </c>
      <c r="F519" s="27">
        <f>F518*(Presion_cilindro!O510/Presion_cilindro!O511)^Presion_cilindro!$B$9+10*(Presion_cilindro!$B$9-1)*Presion_cilindro!$B$33*(IF(Presion_cilindro!N511&gt;(-F$4+Presion_cilindro!$B$34),1-EXP(-Presion_cilindro!$B$16*((Presion_cilindro!N511-(-F$4+Presion_cilindro!$B$34))/Presion_cilindro!$B$35)^(Presion_cilindro!$B$17+1)),0)-IF(Presion_cilindro!N510&gt;(-F$4+Presion_cilindro!$B$34),1-EXP(-Presion_cilindro!$B$16*((Presion_cilindro!N510-(-F$4+Presion_cilindro!$B$34))/Presion_cilindro!$B$35)^(Presion_cilindro!$B$17+1)),0))/((Presion_cilindro!O510+Presion_cilindro!O511)/2)</f>
        <v>6.1136876468466745</v>
      </c>
      <c r="G519" s="27">
        <f>G518*(Presion_cilindro!O510/Presion_cilindro!O511)^Presion_cilindro!$B$9+10*(Presion_cilindro!$B$9-1)*Presion_cilindro!$B$33*(IF(Presion_cilindro!N511&gt;(-G$4+Presion_cilindro!$B$34),1-EXP(-Presion_cilindro!$B$16*((Presion_cilindro!N511-(-G$4+Presion_cilindro!$B$34))/Presion_cilindro!$B$35)^(Presion_cilindro!$B$17+1)),0)-IF(Presion_cilindro!N510&gt;(-G$4+Presion_cilindro!$B$34),1-EXP(-Presion_cilindro!$B$16*((Presion_cilindro!N510-(-G$4+Presion_cilindro!$B$34))/Presion_cilindro!$B$35)^(Presion_cilindro!$B$17+1)),0))/((Presion_cilindro!O510+Presion_cilindro!O511)/2)</f>
        <v>6.0066630494032438</v>
      </c>
      <c r="H519" s="27">
        <f>H518*(Presion_cilindro!O510/Presion_cilindro!O511)^Presion_cilindro!$B$9+10*(Presion_cilindro!$B$9-1)*Presion_cilindro!$B$33*(IF(Presion_cilindro!N511&gt;(-H$4+Presion_cilindro!$B$34),1-EXP(-Presion_cilindro!$B$16*((Presion_cilindro!N511-(-H$4+Presion_cilindro!$B$34))/Presion_cilindro!$B$35)^(Presion_cilindro!$B$17+1)),0)-IF(Presion_cilindro!N510&gt;(-H$4+Presion_cilindro!$B$34),1-EXP(-Presion_cilindro!$B$16*((Presion_cilindro!N510-(-H$4+Presion_cilindro!$B$34))/Presion_cilindro!$B$35)^(Presion_cilindro!$B$17+1)),0))/((Presion_cilindro!O510+Presion_cilindro!O511)/2)</f>
        <v>5.9435306599720183</v>
      </c>
      <c r="I519" s="27">
        <f>I518*(Presion_cilindro!O510/Presion_cilindro!O511)^Presion_cilindro!$B$9+10*(Presion_cilindro!$B$9-1)*Presion_cilindro!$B$33*(IF(Presion_cilindro!N511&gt;(-I$4+Presion_cilindro!$B$34),1-EXP(-Presion_cilindro!$B$16*((Presion_cilindro!N511-(-I$4+Presion_cilindro!$B$34))/Presion_cilindro!$B$35)^(Presion_cilindro!$B$17+1)),0)-IF(Presion_cilindro!N510&gt;(-I$4+Presion_cilindro!$B$34),1-EXP(-Presion_cilindro!$B$16*((Presion_cilindro!N510-(-I$4+Presion_cilindro!$B$34))/Presion_cilindro!$B$35)^(Presion_cilindro!$B$17+1)),0))/((Presion_cilindro!O510+Presion_cilindro!O511)/2)</f>
        <v>5.9283869610148958</v>
      </c>
      <c r="J519" s="27">
        <f>J518*(Presion_cilindro!O510/Presion_cilindro!O511)^Presion_cilindro!$B$9+10*(Presion_cilindro!$B$9-1)*Presion_cilindro!$B$33*(IF(Presion_cilindro!N511&gt;(-J$4+Presion_cilindro!$B$34),1-EXP(-Presion_cilindro!$B$16*((Presion_cilindro!N511-(-J$4+Presion_cilindro!$B$34))/Presion_cilindro!$B$35)^(Presion_cilindro!$B$17+1)),0)-IF(Presion_cilindro!N510&gt;(-J$4+Presion_cilindro!$B$34),1-EXP(-Presion_cilindro!$B$16*((Presion_cilindro!N510-(-J$4+Presion_cilindro!$B$34))/Presion_cilindro!$B$35)^(Presion_cilindro!$B$17+1)),0))/((Presion_cilindro!O510+Presion_cilindro!O511)/2)</f>
        <v>5.9621751328584605</v>
      </c>
      <c r="K519" s="27">
        <f>K518*(Presion_cilindro!O510/Presion_cilindro!O511)^Presion_cilindro!$B$9+10*(Presion_cilindro!$B$9-1)*Presion_cilindro!$B$33*(IF(Presion_cilindro!N511&gt;(-K$4+Presion_cilindro!$B$34),1-EXP(-Presion_cilindro!$B$16*((Presion_cilindro!N511-(-K$4+Presion_cilindro!$B$34))/Presion_cilindro!$B$35)^(Presion_cilindro!$B$17+1)),0)-IF(Presion_cilindro!N510&gt;(-K$4+Presion_cilindro!$B$34),1-EXP(-Presion_cilindro!$B$16*((Presion_cilindro!N510-(-K$4+Presion_cilindro!$B$34))/Presion_cilindro!$B$35)^(Presion_cilindro!$B$17+1)),0))/((Presion_cilindro!O510+Presion_cilindro!O511)/2)</f>
        <v>6.042521361674245</v>
      </c>
      <c r="L519" s="27">
        <f>L518*(Presion_cilindro!O510/Presion_cilindro!O511)^Presion_cilindro!$B$9+10*(Presion_cilindro!$B$9-1)*Presion_cilindro!$B$33*(IF(Presion_cilindro!N511&gt;(-L$4+Presion_cilindro!$B$34),1-EXP(-Presion_cilindro!$B$16*((Presion_cilindro!N511-(-L$4+Presion_cilindro!$B$34))/Presion_cilindro!$B$35)^(Presion_cilindro!$B$17+1)),0)-IF(Presion_cilindro!N510&gt;(-L$4+Presion_cilindro!$B$34),1-EXP(-Presion_cilindro!$B$16*((Presion_cilindro!N510-(-L$4+Presion_cilindro!$B$34))/Presion_cilindro!$B$35)^(Presion_cilindro!$B$17+1)),0))/((Presion_cilindro!O510+Presion_cilindro!O511)/2)</f>
        <v>6.1642255868846698</v>
      </c>
      <c r="M519" s="27">
        <f>M518*(Presion_cilindro!O510/Presion_cilindro!O511)^Presion_cilindro!$B$9+10*(Presion_cilindro!$B$9-1)*Presion_cilindro!$B$33*(IF(Presion_cilindro!N511&gt;(-M$4+Presion_cilindro!$B$34),1-EXP(-Presion_cilindro!$B$16*((Presion_cilindro!N511-(-M$4+Presion_cilindro!$B$34))/Presion_cilindro!$B$35)^(Presion_cilindro!$B$17+1)),0)-IF(Presion_cilindro!N510&gt;(-M$4+Presion_cilindro!$B$34),1-EXP(-Presion_cilindro!$B$16*((Presion_cilindro!N510-(-M$4+Presion_cilindro!$B$34))/Presion_cilindro!$B$35)^(Presion_cilindro!$B$17+1)),0))/((Presion_cilindro!O510+Presion_cilindro!O511)/2)</f>
        <v>6.3202210736667839</v>
      </c>
      <c r="N519" s="27">
        <f>N518*(Presion_cilindro!O510/Presion_cilindro!O511)^Presion_cilindro!$B$9+10*(Presion_cilindro!$B$9-1)*Presion_cilindro!$B$33*(IF(Presion_cilindro!N511&gt;(-N$4+Presion_cilindro!$B$34),1-EXP(-Presion_cilindro!$B$16*((Presion_cilindro!N511-(-N$4+Presion_cilindro!$B$34))/Presion_cilindro!$B$35)^(Presion_cilindro!$B$17+1)),0)-IF(Presion_cilindro!N510&gt;(-N$4+Presion_cilindro!$B$34),1-EXP(-Presion_cilindro!$B$16*((Presion_cilindro!N510-(-N$4+Presion_cilindro!$B$34))/Presion_cilindro!$B$35)^(Presion_cilindro!$B$17+1)),0))/((Presion_cilindro!O510+Presion_cilindro!O511)/2)</f>
        <v>6.5026826978365913</v>
      </c>
    </row>
    <row r="520" spans="1:14" x14ac:dyDescent="0.25">
      <c r="A520" s="21">
        <f>Presion_cilindro!N512</f>
        <v>74</v>
      </c>
      <c r="B520" s="27">
        <f>B519*(Presion_cilindro!O511/Presion_cilindro!O512)^Presion_cilindro!$B$9+10*(Presion_cilindro!$B$9-1)*Presion_cilindro!$B$33*(IF(Presion_cilindro!N512&gt;(-B$4+Presion_cilindro!$B$34),1-EXP(-Presion_cilindro!$B$16*((Presion_cilindro!N512-(-B$4+Presion_cilindro!$B$34))/Presion_cilindro!$B$35)^(Presion_cilindro!$B$17+1)),0)-IF(Presion_cilindro!N511&gt;(-B$4+Presion_cilindro!$B$34),1-EXP(-Presion_cilindro!$B$16*((Presion_cilindro!N511-(-B$4+Presion_cilindro!$B$34))/Presion_cilindro!$B$35)^(Presion_cilindro!$B$17+1)),0))/((Presion_cilindro!O511+Presion_cilindro!O512)/2)</f>
        <v>6.7619812521002522</v>
      </c>
      <c r="C520" s="27">
        <f>C519*(Presion_cilindro!O511/Presion_cilindro!O512)^Presion_cilindro!$B$9+10*(Presion_cilindro!$B$9-1)*Presion_cilindro!$B$33*(IF(Presion_cilindro!N512&gt;(-C$4+Presion_cilindro!$B$34),1-EXP(-Presion_cilindro!$B$16*((Presion_cilindro!N512-(-C$4+Presion_cilindro!$B$34))/Presion_cilindro!$B$35)^(Presion_cilindro!$B$17+1)),0)-IF(Presion_cilindro!N511&gt;(-C$4+Presion_cilindro!$B$34),1-EXP(-Presion_cilindro!$B$16*((Presion_cilindro!N511-(-C$4+Presion_cilindro!$B$34))/Presion_cilindro!$B$35)^(Presion_cilindro!$B$17+1)),0))/((Presion_cilindro!O511+Presion_cilindro!O512)/2)</f>
        <v>6.5541228062126544</v>
      </c>
      <c r="D520" s="27">
        <f>D519*(Presion_cilindro!O511/Presion_cilindro!O512)^Presion_cilindro!$B$9+10*(Presion_cilindro!$B$9-1)*Presion_cilindro!$B$33*(IF(Presion_cilindro!N512&gt;(-D$4+Presion_cilindro!$B$34),1-EXP(-Presion_cilindro!$B$16*((Presion_cilindro!N512-(-D$4+Presion_cilindro!$B$34))/Presion_cilindro!$B$35)^(Presion_cilindro!$B$17+1)),0)-IF(Presion_cilindro!N511&gt;(-D$4+Presion_cilindro!$B$34),1-EXP(-Presion_cilindro!$B$16*((Presion_cilindro!N511-(-D$4+Presion_cilindro!$B$34))/Presion_cilindro!$B$35)^(Presion_cilindro!$B$17+1)),0))/((Presion_cilindro!O511+Presion_cilindro!O512)/2)</f>
        <v>6.3605055420083065</v>
      </c>
      <c r="E520" s="27">
        <f>E519*(Presion_cilindro!O511/Presion_cilindro!O512)^Presion_cilindro!$B$9+10*(Presion_cilindro!$B$9-1)*Presion_cilindro!$B$33*(IF(Presion_cilindro!N512&gt;(-E$4+Presion_cilindro!$B$34),1-EXP(-Presion_cilindro!$B$16*((Presion_cilindro!N512-(-E$4+Presion_cilindro!$B$34))/Presion_cilindro!$B$35)^(Presion_cilindro!$B$17+1)),0)-IF(Presion_cilindro!N511&gt;(-E$4+Presion_cilindro!$B$34),1-EXP(-Presion_cilindro!$B$16*((Presion_cilindro!N511-(-E$4+Presion_cilindro!$B$34))/Presion_cilindro!$B$35)^(Presion_cilindro!$B$17+1)),0))/((Presion_cilindro!O511+Presion_cilindro!O512)/2)</f>
        <v>6.188360364972544</v>
      </c>
      <c r="F520" s="27">
        <f>F519*(Presion_cilindro!O511/Presion_cilindro!O512)^Presion_cilindro!$B$9+10*(Presion_cilindro!$B$9-1)*Presion_cilindro!$B$33*(IF(Presion_cilindro!N512&gt;(-F$4+Presion_cilindro!$B$34),1-EXP(-Presion_cilindro!$B$16*((Presion_cilindro!N512-(-F$4+Presion_cilindro!$B$34))/Presion_cilindro!$B$35)^(Presion_cilindro!$B$17+1)),0)-IF(Presion_cilindro!N511&gt;(-F$4+Presion_cilindro!$B$34),1-EXP(-Presion_cilindro!$B$16*((Presion_cilindro!N511-(-F$4+Presion_cilindro!$B$34))/Presion_cilindro!$B$35)^(Presion_cilindro!$B$17+1)),0))/((Presion_cilindro!O511+Presion_cilindro!O512)/2)</f>
        <v>6.0455355068259795</v>
      </c>
      <c r="G520" s="27">
        <f>G519*(Presion_cilindro!O511/Presion_cilindro!O512)^Presion_cilindro!$B$9+10*(Presion_cilindro!$B$9-1)*Presion_cilindro!$B$33*(IF(Presion_cilindro!N512&gt;(-G$4+Presion_cilindro!$B$34),1-EXP(-Presion_cilindro!$B$16*((Presion_cilindro!N512-(-G$4+Presion_cilindro!$B$34))/Presion_cilindro!$B$35)^(Presion_cilindro!$B$17+1)),0)-IF(Presion_cilindro!N511&gt;(-G$4+Presion_cilindro!$B$34),1-EXP(-Presion_cilindro!$B$16*((Presion_cilindro!N511-(-G$4+Presion_cilindro!$B$34))/Presion_cilindro!$B$35)^(Presion_cilindro!$B$17+1)),0))/((Presion_cilindro!O511+Presion_cilindro!O512)/2)</f>
        <v>5.9397039626949084</v>
      </c>
      <c r="H520" s="27">
        <f>H519*(Presion_cilindro!O511/Presion_cilindro!O512)^Presion_cilindro!$B$9+10*(Presion_cilindro!$B$9-1)*Presion_cilindro!$B$33*(IF(Presion_cilindro!N512&gt;(-H$4+Presion_cilindro!$B$34),1-EXP(-Presion_cilindro!$B$16*((Presion_cilindro!N512-(-H$4+Presion_cilindro!$B$34))/Presion_cilindro!$B$35)^(Presion_cilindro!$B$17+1)),0)-IF(Presion_cilindro!N511&gt;(-H$4+Presion_cilindro!$B$34),1-EXP(-Presion_cilindro!$B$16*((Presion_cilindro!N511-(-H$4+Presion_cilindro!$B$34))/Presion_cilindro!$B$35)^(Presion_cilindro!$B$17+1)),0))/((Presion_cilindro!O511+Presion_cilindro!O512)/2)</f>
        <v>5.8772753395816553</v>
      </c>
      <c r="I520" s="27">
        <f>I519*(Presion_cilindro!O511/Presion_cilindro!O512)^Presion_cilindro!$B$9+10*(Presion_cilindro!$B$9-1)*Presion_cilindro!$B$33*(IF(Presion_cilindro!N512&gt;(-I$4+Presion_cilindro!$B$34),1-EXP(-Presion_cilindro!$B$16*((Presion_cilindro!N512-(-I$4+Presion_cilindro!$B$34))/Presion_cilindro!$B$35)^(Presion_cilindro!$B$17+1)),0)-IF(Presion_cilindro!N511&gt;(-I$4+Presion_cilindro!$B$34),1-EXP(-Presion_cilindro!$B$16*((Presion_cilindro!N511-(-I$4+Presion_cilindro!$B$34))/Presion_cilindro!$B$35)^(Presion_cilindro!$B$17+1)),0))/((Presion_cilindro!O511+Presion_cilindro!O512)/2)</f>
        <v>5.8623004545305593</v>
      </c>
      <c r="J520" s="27">
        <f>J519*(Presion_cilindro!O511/Presion_cilindro!O512)^Presion_cilindro!$B$9+10*(Presion_cilindro!$B$9-1)*Presion_cilindro!$B$33*(IF(Presion_cilindro!N512&gt;(-J$4+Presion_cilindro!$B$34),1-EXP(-Presion_cilindro!$B$16*((Presion_cilindro!N512-(-J$4+Presion_cilindro!$B$34))/Presion_cilindro!$B$35)^(Presion_cilindro!$B$17+1)),0)-IF(Presion_cilindro!N511&gt;(-J$4+Presion_cilindro!$B$34),1-EXP(-Presion_cilindro!$B$16*((Presion_cilindro!N511-(-J$4+Presion_cilindro!$B$34))/Presion_cilindro!$B$35)^(Presion_cilindro!$B$17+1)),0))/((Presion_cilindro!O511+Presion_cilindro!O512)/2)</f>
        <v>5.8957119737952155</v>
      </c>
      <c r="K520" s="27">
        <f>K519*(Presion_cilindro!O511/Presion_cilindro!O512)^Presion_cilindro!$B$9+10*(Presion_cilindro!$B$9-1)*Presion_cilindro!$B$33*(IF(Presion_cilindro!N512&gt;(-K$4+Presion_cilindro!$B$34),1-EXP(-Presion_cilindro!$B$16*((Presion_cilindro!N512-(-K$4+Presion_cilindro!$B$34))/Presion_cilindro!$B$35)^(Presion_cilindro!$B$17+1)),0)-IF(Presion_cilindro!N511&gt;(-K$4+Presion_cilindro!$B$34),1-EXP(-Presion_cilindro!$B$16*((Presion_cilindro!N511-(-K$4+Presion_cilindro!$B$34))/Presion_cilindro!$B$35)^(Presion_cilindro!$B$17+1)),0))/((Presion_cilindro!O511+Presion_cilindro!O512)/2)</f>
        <v>5.975162545561866</v>
      </c>
      <c r="L520" s="27">
        <f>L519*(Presion_cilindro!O511/Presion_cilindro!O512)^Presion_cilindro!$B$9+10*(Presion_cilindro!$B$9-1)*Presion_cilindro!$B$33*(IF(Presion_cilindro!N512&gt;(-L$4+Presion_cilindro!$B$34),1-EXP(-Presion_cilindro!$B$16*((Presion_cilindro!N512-(-L$4+Presion_cilindro!$B$34))/Presion_cilindro!$B$35)^(Presion_cilindro!$B$17+1)),0)-IF(Presion_cilindro!N511&gt;(-L$4+Presion_cilindro!$B$34),1-EXP(-Presion_cilindro!$B$16*((Presion_cilindro!N511-(-L$4+Presion_cilindro!$B$34))/Presion_cilindro!$B$35)^(Presion_cilindro!$B$17+1)),0))/((Presion_cilindro!O511+Presion_cilindro!O512)/2)</f>
        <v>6.0955100767640502</v>
      </c>
      <c r="M520" s="27">
        <f>M519*(Presion_cilindro!O511/Presion_cilindro!O512)^Presion_cilindro!$B$9+10*(Presion_cilindro!$B$9-1)*Presion_cilindro!$B$33*(IF(Presion_cilindro!N512&gt;(-M$4+Presion_cilindro!$B$34),1-EXP(-Presion_cilindro!$B$16*((Presion_cilindro!N512-(-M$4+Presion_cilindro!$B$34))/Presion_cilindro!$B$35)^(Presion_cilindro!$B$17+1)),0)-IF(Presion_cilindro!N511&gt;(-M$4+Presion_cilindro!$B$34),1-EXP(-Presion_cilindro!$B$16*((Presion_cilindro!N511-(-M$4+Presion_cilindro!$B$34))/Presion_cilindro!$B$35)^(Presion_cilindro!$B$17+1)),0))/((Presion_cilindro!O511+Presion_cilindro!O512)/2)</f>
        <v>6.2497666087821537</v>
      </c>
      <c r="N520" s="27">
        <f>N519*(Presion_cilindro!O511/Presion_cilindro!O512)^Presion_cilindro!$B$9+10*(Presion_cilindro!$B$9-1)*Presion_cilindro!$B$33*(IF(Presion_cilindro!N512&gt;(-N$4+Presion_cilindro!$B$34),1-EXP(-Presion_cilindro!$B$16*((Presion_cilindro!N512-(-N$4+Presion_cilindro!$B$34))/Presion_cilindro!$B$35)^(Presion_cilindro!$B$17+1)),0)-IF(Presion_cilindro!N511&gt;(-N$4+Presion_cilindro!$B$34),1-EXP(-Presion_cilindro!$B$16*((Presion_cilindro!N511-(-N$4+Presion_cilindro!$B$34))/Presion_cilindro!$B$35)^(Presion_cilindro!$B$17+1)),0))/((Presion_cilindro!O511+Presion_cilindro!O512)/2)</f>
        <v>6.4301942477569769</v>
      </c>
    </row>
    <row r="521" spans="1:14" x14ac:dyDescent="0.25">
      <c r="A521" s="21">
        <f>Presion_cilindro!N513</f>
        <v>74.5</v>
      </c>
      <c r="B521" s="27">
        <f>B520*(Presion_cilindro!O512/Presion_cilindro!O513)^Presion_cilindro!$B$9+10*(Presion_cilindro!$B$9-1)*Presion_cilindro!$B$33*(IF(Presion_cilindro!N513&gt;(-B$4+Presion_cilindro!$B$34),1-EXP(-Presion_cilindro!$B$16*((Presion_cilindro!N513-(-B$4+Presion_cilindro!$B$34))/Presion_cilindro!$B$35)^(Presion_cilindro!$B$17+1)),0)-IF(Presion_cilindro!N512&gt;(-B$4+Presion_cilindro!$B$34),1-EXP(-Presion_cilindro!$B$16*((Presion_cilindro!N512-(-B$4+Presion_cilindro!$B$34))/Presion_cilindro!$B$35)^(Presion_cilindro!$B$17+1)),0))/((Presion_cilindro!O512+Presion_cilindro!O513)/2)</f>
        <v>6.6872208044626227</v>
      </c>
      <c r="C521" s="27">
        <f>C520*(Presion_cilindro!O512/Presion_cilindro!O513)^Presion_cilindro!$B$9+10*(Presion_cilindro!$B$9-1)*Presion_cilindro!$B$33*(IF(Presion_cilindro!N513&gt;(-C$4+Presion_cilindro!$B$34),1-EXP(-Presion_cilindro!$B$16*((Presion_cilindro!N513-(-C$4+Presion_cilindro!$B$34))/Presion_cilindro!$B$35)^(Presion_cilindro!$B$17+1)),0)-IF(Presion_cilindro!N512&gt;(-C$4+Presion_cilindro!$B$34),1-EXP(-Presion_cilindro!$B$16*((Presion_cilindro!N512-(-C$4+Presion_cilindro!$B$34))/Presion_cilindro!$B$35)^(Presion_cilindro!$B$17+1)),0))/((Presion_cilindro!O512+Presion_cilindro!O513)/2)</f>
        <v>6.4816533191129722</v>
      </c>
      <c r="D521" s="27">
        <f>D520*(Presion_cilindro!O512/Presion_cilindro!O513)^Presion_cilindro!$B$9+10*(Presion_cilindro!$B$9-1)*Presion_cilindro!$B$33*(IF(Presion_cilindro!N513&gt;(-D$4+Presion_cilindro!$B$34),1-EXP(-Presion_cilindro!$B$16*((Presion_cilindro!N513-(-D$4+Presion_cilindro!$B$34))/Presion_cilindro!$B$35)^(Presion_cilindro!$B$17+1)),0)-IF(Presion_cilindro!N512&gt;(-D$4+Presion_cilindro!$B$34),1-EXP(-Presion_cilindro!$B$16*((Presion_cilindro!N512-(-D$4+Presion_cilindro!$B$34))/Presion_cilindro!$B$35)^(Presion_cilindro!$B$17+1)),0))/((Presion_cilindro!O512+Presion_cilindro!O513)/2)</f>
        <v>6.2901764663222854</v>
      </c>
      <c r="E521" s="27">
        <f>E520*(Presion_cilindro!O512/Presion_cilindro!O513)^Presion_cilindro!$B$9+10*(Presion_cilindro!$B$9-1)*Presion_cilindro!$B$33*(IF(Presion_cilindro!N513&gt;(-E$4+Presion_cilindro!$B$34),1-EXP(-Presion_cilindro!$B$16*((Presion_cilindro!N513-(-E$4+Presion_cilindro!$B$34))/Presion_cilindro!$B$35)^(Presion_cilindro!$B$17+1)),0)-IF(Presion_cilindro!N512&gt;(-E$4+Presion_cilindro!$B$34),1-EXP(-Presion_cilindro!$B$16*((Presion_cilindro!N512-(-E$4+Presion_cilindro!$B$34))/Presion_cilindro!$B$35)^(Presion_cilindro!$B$17+1)),0))/((Presion_cilindro!O512+Presion_cilindro!O513)/2)</f>
        <v>6.119934708171388</v>
      </c>
      <c r="F521" s="27">
        <f>F520*(Presion_cilindro!O512/Presion_cilindro!O513)^Presion_cilindro!$B$9+10*(Presion_cilindro!$B$9-1)*Presion_cilindro!$B$33*(IF(Presion_cilindro!N513&gt;(-F$4+Presion_cilindro!$B$34),1-EXP(-Presion_cilindro!$B$16*((Presion_cilindro!N513-(-F$4+Presion_cilindro!$B$34))/Presion_cilindro!$B$35)^(Presion_cilindro!$B$17+1)),0)-IF(Presion_cilindro!N512&gt;(-F$4+Presion_cilindro!$B$34),1-EXP(-Presion_cilindro!$B$16*((Presion_cilindro!N512-(-F$4+Presion_cilindro!$B$34))/Presion_cilindro!$B$35)^(Presion_cilindro!$B$17+1)),0))/((Presion_cilindro!O512+Presion_cilindro!O513)/2)</f>
        <v>5.9786890861634072</v>
      </c>
      <c r="G521" s="27">
        <f>G520*(Presion_cilindro!O512/Presion_cilindro!O513)^Presion_cilindro!$B$9+10*(Presion_cilindro!$B$9-1)*Presion_cilindro!$B$33*(IF(Presion_cilindro!N513&gt;(-G$4+Presion_cilindro!$B$34),1-EXP(-Presion_cilindro!$B$16*((Presion_cilindro!N513-(-G$4+Presion_cilindro!$B$34))/Presion_cilindro!$B$35)^(Presion_cilindro!$B$17+1)),0)-IF(Presion_cilindro!N512&gt;(-G$4+Presion_cilindro!$B$34),1-EXP(-Presion_cilindro!$B$16*((Presion_cilindro!N512-(-G$4+Presion_cilindro!$B$34))/Presion_cilindro!$B$35)^(Presion_cilindro!$B$17+1)),0))/((Presion_cilindro!O512+Presion_cilindro!O513)/2)</f>
        <v>5.8740277377705583</v>
      </c>
      <c r="H521" s="27">
        <f>H520*(Presion_cilindro!O512/Presion_cilindro!O513)^Presion_cilindro!$B$9+10*(Presion_cilindro!$B$9-1)*Presion_cilindro!$B$33*(IF(Presion_cilindro!N513&gt;(-H$4+Presion_cilindro!$B$34),1-EXP(-Presion_cilindro!$B$16*((Presion_cilindro!N513-(-H$4+Presion_cilindro!$B$34))/Presion_cilindro!$B$35)^(Presion_cilindro!$B$17+1)),0)-IF(Presion_cilindro!N512&gt;(-H$4+Presion_cilindro!$B$34),1-EXP(-Presion_cilindro!$B$16*((Presion_cilindro!N512-(-H$4+Presion_cilindro!$B$34))/Presion_cilindro!$B$35)^(Presion_cilindro!$B$17+1)),0))/((Presion_cilindro!O512+Presion_cilindro!O513)/2)</f>
        <v>5.8122893975937604</v>
      </c>
      <c r="I521" s="27">
        <f>I520*(Presion_cilindro!O512/Presion_cilindro!O513)^Presion_cilindro!$B$9+10*(Presion_cilindro!$B$9-1)*Presion_cilindro!$B$33*(IF(Presion_cilindro!N513&gt;(-I$4+Presion_cilindro!$B$34),1-EXP(-Presion_cilindro!$B$16*((Presion_cilindro!N513-(-I$4+Presion_cilindro!$B$34))/Presion_cilindro!$B$35)^(Presion_cilindro!$B$17+1)),0)-IF(Presion_cilindro!N512&gt;(-I$4+Presion_cilindro!$B$34),1-EXP(-Presion_cilindro!$B$16*((Presion_cilindro!N512-(-I$4+Presion_cilindro!$B$34))/Presion_cilindro!$B$35)^(Presion_cilindro!$B$17+1)),0))/((Presion_cilindro!O512+Presion_cilindro!O513)/2)</f>
        <v>5.7974800921616163</v>
      </c>
      <c r="J521" s="27">
        <f>J520*(Presion_cilindro!O512/Presion_cilindro!O513)^Presion_cilindro!$B$9+10*(Presion_cilindro!$B$9-1)*Presion_cilindro!$B$33*(IF(Presion_cilindro!N513&gt;(-J$4+Presion_cilindro!$B$34),1-EXP(-Presion_cilindro!$B$16*((Presion_cilindro!N513-(-J$4+Presion_cilindro!$B$34))/Presion_cilindro!$B$35)^(Presion_cilindro!$B$17+1)),0)-IF(Presion_cilindro!N512&gt;(-J$4+Presion_cilindro!$B$34),1-EXP(-Presion_cilindro!$B$16*((Presion_cilindro!N512-(-J$4+Presion_cilindro!$B$34))/Presion_cilindro!$B$35)^(Presion_cilindro!$B$17+1)),0))/((Presion_cilindro!O512+Presion_cilindro!O513)/2)</f>
        <v>5.8305221750927325</v>
      </c>
      <c r="K521" s="27">
        <f>K520*(Presion_cilindro!O512/Presion_cilindro!O513)^Presion_cilindro!$B$9+10*(Presion_cilindro!$B$9-1)*Presion_cilindro!$B$33*(IF(Presion_cilindro!N513&gt;(-K$4+Presion_cilindro!$B$34),1-EXP(-Presion_cilindro!$B$16*((Presion_cilindro!N513-(-K$4+Presion_cilindro!$B$34))/Presion_cilindro!$B$35)^(Presion_cilindro!$B$17+1)),0)-IF(Presion_cilindro!N512&gt;(-K$4+Presion_cilindro!$B$34),1-EXP(-Presion_cilindro!$B$16*((Presion_cilindro!N512-(-K$4+Presion_cilindro!$B$34))/Presion_cilindro!$B$35)^(Presion_cilindro!$B$17+1)),0))/((Presion_cilindro!O512+Presion_cilindro!O513)/2)</f>
        <v>5.9090942496052286</v>
      </c>
      <c r="L521" s="27">
        <f>L520*(Presion_cilindro!O512/Presion_cilindro!O513)^Presion_cilindro!$B$9+10*(Presion_cilindro!$B$9-1)*Presion_cilindro!$B$33*(IF(Presion_cilindro!N513&gt;(-L$4+Presion_cilindro!$B$34),1-EXP(-Presion_cilindro!$B$16*((Presion_cilindro!N513-(-L$4+Presion_cilindro!$B$34))/Presion_cilindro!$B$35)^(Presion_cilindro!$B$17+1)),0)-IF(Presion_cilindro!N512&gt;(-L$4+Presion_cilindro!$B$34),1-EXP(-Presion_cilindro!$B$16*((Presion_cilindro!N512-(-L$4+Presion_cilindro!$B$34))/Presion_cilindro!$B$35)^(Presion_cilindro!$B$17+1)),0))/((Presion_cilindro!O512+Presion_cilindro!O513)/2)</f>
        <v>6.0281110795505866</v>
      </c>
      <c r="M521" s="27">
        <f>M520*(Presion_cilindro!O512/Presion_cilindro!O513)^Presion_cilindro!$B$9+10*(Presion_cilindro!$B$9-1)*Presion_cilindro!$B$33*(IF(Presion_cilindro!N513&gt;(-M$4+Presion_cilindro!$B$34),1-EXP(-Presion_cilindro!$B$16*((Presion_cilindro!N513-(-M$4+Presion_cilindro!$B$34))/Presion_cilindro!$B$35)^(Presion_cilindro!$B$17+1)),0)-IF(Presion_cilindro!N512&gt;(-M$4+Presion_cilindro!$B$34),1-EXP(-Presion_cilindro!$B$16*((Presion_cilindro!N512-(-M$4+Presion_cilindro!$B$34))/Presion_cilindro!$B$35)^(Presion_cilindro!$B$17+1)),0))/((Presion_cilindro!O512+Presion_cilindro!O513)/2)</f>
        <v>6.1806619732479078</v>
      </c>
      <c r="N521" s="27">
        <f>N520*(Presion_cilindro!O512/Presion_cilindro!O513)^Presion_cilindro!$B$9+10*(Presion_cilindro!$B$9-1)*Presion_cilindro!$B$33*(IF(Presion_cilindro!N513&gt;(-N$4+Presion_cilindro!$B$34),1-EXP(-Presion_cilindro!$B$16*((Presion_cilindro!N513-(-N$4+Presion_cilindro!$B$34))/Presion_cilindro!$B$35)^(Presion_cilindro!$B$17+1)),0)-IF(Presion_cilindro!N512&gt;(-N$4+Presion_cilindro!$B$34),1-EXP(-Presion_cilindro!$B$16*((Presion_cilindro!N512-(-N$4+Presion_cilindro!$B$34))/Presion_cilindro!$B$35)^(Presion_cilindro!$B$17+1)),0))/((Presion_cilindro!O512+Presion_cilindro!O513)/2)</f>
        <v>6.3590945959265799</v>
      </c>
    </row>
    <row r="522" spans="1:14" x14ac:dyDescent="0.25">
      <c r="A522" s="21">
        <f>Presion_cilindro!N514</f>
        <v>75</v>
      </c>
      <c r="B522" s="27">
        <f>B521*(Presion_cilindro!O513/Presion_cilindro!O514)^Presion_cilindro!$B$9+10*(Presion_cilindro!$B$9-1)*Presion_cilindro!$B$33*(IF(Presion_cilindro!N514&gt;(-B$4+Presion_cilindro!$B$34),1-EXP(-Presion_cilindro!$B$16*((Presion_cilindro!N514-(-B$4+Presion_cilindro!$B$34))/Presion_cilindro!$B$35)^(Presion_cilindro!$B$17+1)),0)-IF(Presion_cilindro!N513&gt;(-B$4+Presion_cilindro!$B$34),1-EXP(-Presion_cilindro!$B$16*((Presion_cilindro!N513-(-B$4+Presion_cilindro!$B$34))/Presion_cilindro!$B$35)^(Presion_cilindro!$B$17+1)),0))/((Presion_cilindro!O513+Presion_cilindro!O514)/2)</f>
        <v>6.6138861130380358</v>
      </c>
      <c r="C522" s="27">
        <f>C521*(Presion_cilindro!O513/Presion_cilindro!O514)^Presion_cilindro!$B$9+10*(Presion_cilindro!$B$9-1)*Presion_cilindro!$B$33*(IF(Presion_cilindro!N514&gt;(-C$4+Presion_cilindro!$B$34),1-EXP(-Presion_cilindro!$B$16*((Presion_cilindro!N514-(-C$4+Presion_cilindro!$B$34))/Presion_cilindro!$B$35)^(Presion_cilindro!$B$17+1)),0)-IF(Presion_cilindro!N513&gt;(-C$4+Presion_cilindro!$B$34),1-EXP(-Presion_cilindro!$B$16*((Presion_cilindro!N513-(-C$4+Presion_cilindro!$B$34))/Presion_cilindro!$B$35)^(Presion_cilindro!$B$17+1)),0))/((Presion_cilindro!O513+Presion_cilindro!O514)/2)</f>
        <v>6.4105675192498515</v>
      </c>
      <c r="D522" s="27">
        <f>D521*(Presion_cilindro!O513/Presion_cilindro!O514)^Presion_cilindro!$B$9+10*(Presion_cilindro!$B$9-1)*Presion_cilindro!$B$33*(IF(Presion_cilindro!N514&gt;(-D$4+Presion_cilindro!$B$34),1-EXP(-Presion_cilindro!$B$16*((Presion_cilindro!N514-(-D$4+Presion_cilindro!$B$34))/Presion_cilindro!$B$35)^(Presion_cilindro!$B$17+1)),0)-IF(Presion_cilindro!N513&gt;(-D$4+Presion_cilindro!$B$34),1-EXP(-Presion_cilindro!$B$16*((Presion_cilindro!N513-(-D$4+Presion_cilindro!$B$34))/Presion_cilindro!$B$35)^(Presion_cilindro!$B$17+1)),0))/((Presion_cilindro!O513+Presion_cilindro!O514)/2)</f>
        <v>6.2211903227699263</v>
      </c>
      <c r="E522" s="27">
        <f>E521*(Presion_cilindro!O513/Presion_cilindro!O514)^Presion_cilindro!$B$9+10*(Presion_cilindro!$B$9-1)*Presion_cilindro!$B$33*(IF(Presion_cilindro!N514&gt;(-E$4+Presion_cilindro!$B$34),1-EXP(-Presion_cilindro!$B$16*((Presion_cilindro!N514-(-E$4+Presion_cilindro!$B$34))/Presion_cilindro!$B$35)^(Presion_cilindro!$B$17+1)),0)-IF(Presion_cilindro!N513&gt;(-E$4+Presion_cilindro!$B$34),1-EXP(-Presion_cilindro!$B$16*((Presion_cilindro!N513-(-E$4+Presion_cilindro!$B$34))/Presion_cilindro!$B$35)^(Presion_cilindro!$B$17+1)),0))/((Presion_cilindro!O513+Presion_cilindro!O514)/2)</f>
        <v>6.0528156426261415</v>
      </c>
      <c r="F522" s="27">
        <f>F521*(Presion_cilindro!O513/Presion_cilindro!O514)^Presion_cilindro!$B$9+10*(Presion_cilindro!$B$9-1)*Presion_cilindro!$B$33*(IF(Presion_cilindro!N514&gt;(-F$4+Presion_cilindro!$B$34),1-EXP(-Presion_cilindro!$B$16*((Presion_cilindro!N514-(-F$4+Presion_cilindro!$B$34))/Presion_cilindro!$B$35)^(Presion_cilindro!$B$17+1)),0)-IF(Presion_cilindro!N513&gt;(-F$4+Presion_cilindro!$B$34),1-EXP(-Presion_cilindro!$B$16*((Presion_cilindro!N513-(-F$4+Presion_cilindro!$B$34))/Presion_cilindro!$B$35)^(Presion_cilindro!$B$17+1)),0))/((Presion_cilindro!O513+Presion_cilindro!O514)/2)</f>
        <v>5.9131191012932671</v>
      </c>
      <c r="G522" s="27">
        <f>G521*(Presion_cilindro!O513/Presion_cilindro!O514)^Presion_cilindro!$B$9+10*(Presion_cilindro!$B$9-1)*Presion_cilindro!$B$33*(IF(Presion_cilindro!N514&gt;(-G$4+Presion_cilindro!$B$34),1-EXP(-Presion_cilindro!$B$16*((Presion_cilindro!N514-(-G$4+Presion_cilindro!$B$34))/Presion_cilindro!$B$35)^(Presion_cilindro!$B$17+1)),0)-IF(Presion_cilindro!N513&gt;(-G$4+Presion_cilindro!$B$34),1-EXP(-Presion_cilindro!$B$16*((Presion_cilindro!N513-(-G$4+Presion_cilindro!$B$34))/Presion_cilindro!$B$35)^(Presion_cilindro!$B$17+1)),0))/((Presion_cilindro!O513+Presion_cilindro!O514)/2)</f>
        <v>5.8096056036936607</v>
      </c>
      <c r="H522" s="27">
        <f>H521*(Presion_cilindro!O513/Presion_cilindro!O514)^Presion_cilindro!$B$9+10*(Presion_cilindro!$B$9-1)*Presion_cilindro!$B$33*(IF(Presion_cilindro!N514&gt;(-H$4+Presion_cilindro!$B$34),1-EXP(-Presion_cilindro!$B$16*((Presion_cilindro!N514-(-H$4+Presion_cilindro!$B$34))/Presion_cilindro!$B$35)^(Presion_cilindro!$B$17+1)),0)-IF(Presion_cilindro!N513&gt;(-H$4+Presion_cilindro!$B$34),1-EXP(-Presion_cilindro!$B$16*((Presion_cilindro!N513-(-H$4+Presion_cilindro!$B$34))/Presion_cilindro!$B$35)^(Presion_cilindro!$B$17+1)),0))/((Presion_cilindro!O513+Presion_cilindro!O514)/2)</f>
        <v>5.7485443654656363</v>
      </c>
      <c r="I522" s="27">
        <f>I521*(Presion_cilindro!O513/Presion_cilindro!O514)^Presion_cilindro!$B$9+10*(Presion_cilindro!$B$9-1)*Presion_cilindro!$B$33*(IF(Presion_cilindro!N514&gt;(-I$4+Presion_cilindro!$B$34),1-EXP(-Presion_cilindro!$B$16*((Presion_cilindro!N514-(-I$4+Presion_cilindro!$B$34))/Presion_cilindro!$B$35)^(Presion_cilindro!$B$17+1)),0)-IF(Presion_cilindro!N513&gt;(-I$4+Presion_cilindro!$B$34),1-EXP(-Presion_cilindro!$B$16*((Presion_cilindro!N513-(-I$4+Presion_cilindro!$B$34))/Presion_cilindro!$B$35)^(Presion_cilindro!$B$17+1)),0))/((Presion_cilindro!O513+Presion_cilindro!O514)/2)</f>
        <v>5.7338974779012188</v>
      </c>
      <c r="J522" s="27">
        <f>J521*(Presion_cilindro!O513/Presion_cilindro!O514)^Presion_cilindro!$B$9+10*(Presion_cilindro!$B$9-1)*Presion_cilindro!$B$33*(IF(Presion_cilindro!N514&gt;(-J$4+Presion_cilindro!$B$34),1-EXP(-Presion_cilindro!$B$16*((Presion_cilindro!N514-(-J$4+Presion_cilindro!$B$34))/Presion_cilindro!$B$35)^(Presion_cilindro!$B$17+1)),0)-IF(Presion_cilindro!N513&gt;(-J$4+Presion_cilindro!$B$34),1-EXP(-Presion_cilindro!$B$16*((Presion_cilindro!N513-(-J$4+Presion_cilindro!$B$34))/Presion_cilindro!$B$35)^(Presion_cilindro!$B$17+1)),0))/((Presion_cilindro!O513+Presion_cilindro!O514)/2)</f>
        <v>5.7665771789043303</v>
      </c>
      <c r="K522" s="27">
        <f>K521*(Presion_cilindro!O513/Presion_cilindro!O514)^Presion_cilindro!$B$9+10*(Presion_cilindro!$B$9-1)*Presion_cilindro!$B$33*(IF(Presion_cilindro!N514&gt;(-K$4+Presion_cilindro!$B$34),1-EXP(-Presion_cilindro!$B$16*((Presion_cilindro!N514-(-K$4+Presion_cilindro!$B$34))/Presion_cilindro!$B$35)^(Presion_cilindro!$B$17+1)),0)-IF(Presion_cilindro!N513&gt;(-K$4+Presion_cilindro!$B$34),1-EXP(-Presion_cilindro!$B$16*((Presion_cilindro!N513-(-K$4+Presion_cilindro!$B$34))/Presion_cilindro!$B$35)^(Presion_cilindro!$B$17+1)),0))/((Presion_cilindro!O513+Presion_cilindro!O514)/2)</f>
        <v>5.8442875311123164</v>
      </c>
      <c r="L522" s="27">
        <f>L521*(Presion_cilindro!O513/Presion_cilindro!O514)^Presion_cilindro!$B$9+10*(Presion_cilindro!$B$9-1)*Presion_cilindro!$B$33*(IF(Presion_cilindro!N514&gt;(-L$4+Presion_cilindro!$B$34),1-EXP(-Presion_cilindro!$B$16*((Presion_cilindro!N514-(-L$4+Presion_cilindro!$B$34))/Presion_cilindro!$B$35)^(Presion_cilindro!$B$17+1)),0)-IF(Presion_cilindro!N513&gt;(-L$4+Presion_cilindro!$B$34),1-EXP(-Presion_cilindro!$B$16*((Presion_cilindro!N513-(-L$4+Presion_cilindro!$B$34))/Presion_cilindro!$B$35)^(Presion_cilindro!$B$17+1)),0))/((Presion_cilindro!O513+Presion_cilindro!O514)/2)</f>
        <v>5.9619990696088703</v>
      </c>
      <c r="M522" s="27">
        <f>M521*(Presion_cilindro!O513/Presion_cilindro!O514)^Presion_cilindro!$B$9+10*(Presion_cilindro!$B$9-1)*Presion_cilindro!$B$33*(IF(Presion_cilindro!N514&gt;(-M$4+Presion_cilindro!$B$34),1-EXP(-Presion_cilindro!$B$16*((Presion_cilindro!N514-(-M$4+Presion_cilindro!$B$34))/Presion_cilindro!$B$35)^(Presion_cilindro!$B$17+1)),0)-IF(Presion_cilindro!N513&gt;(-M$4+Presion_cilindro!$B$34),1-EXP(-Presion_cilindro!$B$16*((Presion_cilindro!N513-(-M$4+Presion_cilindro!$B$34))/Presion_cilindro!$B$35)^(Presion_cilindro!$B$17+1)),0))/((Presion_cilindro!O513+Presion_cilindro!O514)/2)</f>
        <v>6.1128768942356917</v>
      </c>
      <c r="N522" s="27">
        <f>N521*(Presion_cilindro!O513/Presion_cilindro!O514)^Presion_cilindro!$B$9+10*(Presion_cilindro!$B$9-1)*Presion_cilindro!$B$33*(IF(Presion_cilindro!N514&gt;(-N$4+Presion_cilindro!$B$34),1-EXP(-Presion_cilindro!$B$16*((Presion_cilindro!N514-(-N$4+Presion_cilindro!$B$34))/Presion_cilindro!$B$35)^(Presion_cilindro!$B$17+1)),0)-IF(Presion_cilindro!N513&gt;(-N$4+Presion_cilindro!$B$34),1-EXP(-Presion_cilindro!$B$16*((Presion_cilindro!N513-(-N$4+Presion_cilindro!$B$34))/Presion_cilindro!$B$35)^(Presion_cilindro!$B$17+1)),0))/((Presion_cilindro!O513+Presion_cilindro!O514)/2)</f>
        <v>6.2893525955556191</v>
      </c>
    </row>
    <row r="523" spans="1:14" x14ac:dyDescent="0.25">
      <c r="A523" s="21">
        <f>Presion_cilindro!N515</f>
        <v>75.5</v>
      </c>
      <c r="B523" s="27">
        <f>B522*(Presion_cilindro!O514/Presion_cilindro!O515)^Presion_cilindro!$B$9+10*(Presion_cilindro!$B$9-1)*Presion_cilindro!$B$33*(IF(Presion_cilindro!N515&gt;(-B$4+Presion_cilindro!$B$34),1-EXP(-Presion_cilindro!$B$16*((Presion_cilindro!N515-(-B$4+Presion_cilindro!$B$34))/Presion_cilindro!$B$35)^(Presion_cilindro!$B$17+1)),0)-IF(Presion_cilindro!N514&gt;(-B$4+Presion_cilindro!$B$34),1-EXP(-Presion_cilindro!$B$16*((Presion_cilindro!N514-(-B$4+Presion_cilindro!$B$34))/Presion_cilindro!$B$35)^(Presion_cilindro!$B$17+1)),0))/((Presion_cilindro!O514+Presion_cilindro!O515)/2)</f>
        <v>6.5419456996311309</v>
      </c>
      <c r="C523" s="27">
        <f>C522*(Presion_cilindro!O514/Presion_cilindro!O515)^Presion_cilindro!$B$9+10*(Presion_cilindro!$B$9-1)*Presion_cilindro!$B$33*(IF(Presion_cilindro!N515&gt;(-C$4+Presion_cilindro!$B$34),1-EXP(-Presion_cilindro!$B$16*((Presion_cilindro!N515-(-C$4+Presion_cilindro!$B$34))/Presion_cilindro!$B$35)^(Presion_cilindro!$B$17+1)),0)-IF(Presion_cilindro!N514&gt;(-C$4+Presion_cilindro!$B$34),1-EXP(-Presion_cilindro!$B$16*((Presion_cilindro!N514-(-C$4+Presion_cilindro!$B$34))/Presion_cilindro!$B$35)^(Presion_cilindro!$B$17+1)),0))/((Presion_cilindro!O514+Presion_cilindro!O515)/2)</f>
        <v>6.340834497370861</v>
      </c>
      <c r="D523" s="27">
        <f>D522*(Presion_cilindro!O514/Presion_cilindro!O515)^Presion_cilindro!$B$9+10*(Presion_cilindro!$B$9-1)*Presion_cilindro!$B$33*(IF(Presion_cilindro!N515&gt;(-D$4+Presion_cilindro!$B$34),1-EXP(-Presion_cilindro!$B$16*((Presion_cilindro!N515-(-D$4+Presion_cilindro!$B$34))/Presion_cilindro!$B$35)^(Presion_cilindro!$B$17+1)),0)-IF(Presion_cilindro!N514&gt;(-D$4+Presion_cilindro!$B$34),1-EXP(-Presion_cilindro!$B$16*((Presion_cilindro!N514-(-D$4+Presion_cilindro!$B$34))/Presion_cilindro!$B$35)^(Presion_cilindro!$B$17+1)),0))/((Presion_cilindro!O514+Presion_cilindro!O515)/2)</f>
        <v>6.1535170835866762</v>
      </c>
      <c r="E523" s="27">
        <f>E522*(Presion_cilindro!O514/Presion_cilindro!O515)^Presion_cilindro!$B$9+10*(Presion_cilindro!$B$9-1)*Presion_cilindro!$B$33*(IF(Presion_cilindro!N515&gt;(-E$4+Presion_cilindro!$B$34),1-EXP(-Presion_cilindro!$B$16*((Presion_cilindro!N515-(-E$4+Presion_cilindro!$B$34))/Presion_cilindro!$B$35)^(Presion_cilindro!$B$17+1)),0)-IF(Presion_cilindro!N514&gt;(-E$4+Presion_cilindro!$B$34),1-EXP(-Presion_cilindro!$B$16*((Presion_cilindro!N514-(-E$4+Presion_cilindro!$B$34))/Presion_cilindro!$B$35)^(Presion_cilindro!$B$17+1)),0))/((Presion_cilindro!O514+Presion_cilindro!O515)/2)</f>
        <v>5.9869739517285403</v>
      </c>
      <c r="F523" s="27">
        <f>F522*(Presion_cilindro!O514/Presion_cilindro!O515)^Presion_cilindro!$B$9+10*(Presion_cilindro!$B$9-1)*Presion_cilindro!$B$33*(IF(Presion_cilindro!N515&gt;(-F$4+Presion_cilindro!$B$34),1-EXP(-Presion_cilindro!$B$16*((Presion_cilindro!N515-(-F$4+Presion_cilindro!$B$34))/Presion_cilindro!$B$35)^(Presion_cilindro!$B$17+1)),0)-IF(Presion_cilindro!N514&gt;(-F$4+Presion_cilindro!$B$34),1-EXP(-Presion_cilindro!$B$16*((Presion_cilindro!N514-(-F$4+Presion_cilindro!$B$34))/Presion_cilindro!$B$35)^(Presion_cilindro!$B$17+1)),0))/((Presion_cilindro!O514+Presion_cilindro!O515)/2)</f>
        <v>5.8487970098700091</v>
      </c>
      <c r="G523" s="27">
        <f>G522*(Presion_cilindro!O514/Presion_cilindro!O515)^Presion_cilindro!$B$9+10*(Presion_cilindro!$B$9-1)*Presion_cilindro!$B$33*(IF(Presion_cilindro!N515&gt;(-G$4+Presion_cilindro!$B$34),1-EXP(-Presion_cilindro!$B$16*((Presion_cilindro!N515-(-G$4+Presion_cilindro!$B$34))/Presion_cilindro!$B$35)^(Presion_cilindro!$B$17+1)),0)-IF(Presion_cilindro!N514&gt;(-G$4+Presion_cilindro!$B$34),1-EXP(-Presion_cilindro!$B$16*((Presion_cilindro!N514-(-G$4+Presion_cilindro!$B$34))/Presion_cilindro!$B$35)^(Presion_cilindro!$B$17+1)),0))/((Presion_cilindro!O514+Presion_cilindro!O515)/2)</f>
        <v>5.7464095177726451</v>
      </c>
      <c r="H523" s="27">
        <f>H522*(Presion_cilindro!O514/Presion_cilindro!O515)^Presion_cilindro!$B$9+10*(Presion_cilindro!$B$9-1)*Presion_cilindro!$B$33*(IF(Presion_cilindro!N515&gt;(-H$4+Presion_cilindro!$B$34),1-EXP(-Presion_cilindro!$B$16*((Presion_cilindro!N515-(-H$4+Presion_cilindro!$B$34))/Presion_cilindro!$B$35)^(Presion_cilindro!$B$17+1)),0)-IF(Presion_cilindro!N514&gt;(-H$4+Presion_cilindro!$B$34),1-EXP(-Presion_cilindro!$B$16*((Presion_cilindro!N514-(-H$4+Presion_cilindro!$B$34))/Presion_cilindro!$B$35)^(Presion_cilindro!$B$17+1)),0))/((Presion_cilindro!O514+Presion_cilindro!O515)/2)</f>
        <v>5.6860124952454179</v>
      </c>
      <c r="I523" s="27">
        <f>I522*(Presion_cilindro!O514/Presion_cilindro!O515)^Presion_cilindro!$B$9+10*(Presion_cilindro!$B$9-1)*Presion_cilindro!$B$33*(IF(Presion_cilindro!N515&gt;(-I$4+Presion_cilindro!$B$34),1-EXP(-Presion_cilindro!$B$16*((Presion_cilindro!N515-(-I$4+Presion_cilindro!$B$34))/Presion_cilindro!$B$35)^(Presion_cilindro!$B$17+1)),0)-IF(Presion_cilindro!N514&gt;(-I$4+Presion_cilindro!$B$34),1-EXP(-Presion_cilindro!$B$16*((Presion_cilindro!N514-(-I$4+Presion_cilindro!$B$34))/Presion_cilindro!$B$35)^(Presion_cilindro!$B$17+1)),0))/((Presion_cilindro!O514+Presion_cilindro!O515)/2)</f>
        <v>5.6715249344973344</v>
      </c>
      <c r="J523" s="27">
        <f>J522*(Presion_cilindro!O514/Presion_cilindro!O515)^Presion_cilindro!$B$9+10*(Presion_cilindro!$B$9-1)*Presion_cilindro!$B$33*(IF(Presion_cilindro!N515&gt;(-J$4+Presion_cilindro!$B$34),1-EXP(-Presion_cilindro!$B$16*((Presion_cilindro!N515-(-J$4+Presion_cilindro!$B$34))/Presion_cilindro!$B$35)^(Presion_cilindro!$B$17+1)),0)-IF(Presion_cilindro!N514&gt;(-J$4+Presion_cilindro!$B$34),1-EXP(-Presion_cilindro!$B$16*((Presion_cilindro!N514-(-J$4+Presion_cilindro!$B$34))/Presion_cilindro!$B$35)^(Presion_cilindro!$B$17+1)),0))/((Presion_cilindro!O514+Presion_cilindro!O515)/2)</f>
        <v>5.7038491502346043</v>
      </c>
      <c r="K523" s="27">
        <f>K522*(Presion_cilindro!O514/Presion_cilindro!O515)^Presion_cilindro!$B$9+10*(Presion_cilindro!$B$9-1)*Presion_cilindro!$B$33*(IF(Presion_cilindro!N515&gt;(-K$4+Presion_cilindro!$B$34),1-EXP(-Presion_cilindro!$B$16*((Presion_cilindro!N515-(-K$4+Presion_cilindro!$B$34))/Presion_cilindro!$B$35)^(Presion_cilindro!$B$17+1)),0)-IF(Presion_cilindro!N514&gt;(-K$4+Presion_cilindro!$B$34),1-EXP(-Presion_cilindro!$B$16*((Presion_cilindro!N514-(-K$4+Presion_cilindro!$B$34))/Presion_cilindro!$B$35)^(Presion_cilindro!$B$17+1)),0))/((Presion_cilindro!O514+Presion_cilindro!O515)/2)</f>
        <v>5.7807141799835291</v>
      </c>
      <c r="L523" s="27">
        <f>L522*(Presion_cilindro!O514/Presion_cilindro!O515)^Presion_cilindro!$B$9+10*(Presion_cilindro!$B$9-1)*Presion_cilindro!$B$33*(IF(Presion_cilindro!N515&gt;(-L$4+Presion_cilindro!$B$34),1-EXP(-Presion_cilindro!$B$16*((Presion_cilindro!N515-(-L$4+Presion_cilindro!$B$34))/Presion_cilindro!$B$35)^(Presion_cilindro!$B$17+1)),0)-IF(Presion_cilindro!N514&gt;(-L$4+Presion_cilindro!$B$34),1-EXP(-Presion_cilindro!$B$16*((Presion_cilindro!N514-(-L$4+Presion_cilindro!$B$34))/Presion_cilindro!$B$35)^(Presion_cilindro!$B$17+1)),0))/((Presion_cilindro!O514+Presion_cilindro!O515)/2)</f>
        <v>5.8971452686512693</v>
      </c>
      <c r="M523" s="27">
        <f>M522*(Presion_cilindro!O514/Presion_cilindro!O515)^Presion_cilindro!$B$9+10*(Presion_cilindro!$B$9-1)*Presion_cilindro!$B$33*(IF(Presion_cilindro!N515&gt;(-M$4+Presion_cilindro!$B$34),1-EXP(-Presion_cilindro!$B$16*((Presion_cilindro!N515-(-M$4+Presion_cilindro!$B$34))/Presion_cilindro!$B$35)^(Presion_cilindro!$B$17+1)),0)-IF(Presion_cilindro!N514&gt;(-M$4+Presion_cilindro!$B$34),1-EXP(-Presion_cilindro!$B$16*((Presion_cilindro!N514-(-M$4+Presion_cilindro!$B$34))/Presion_cilindro!$B$35)^(Presion_cilindro!$B$17+1)),0))/((Presion_cilindro!O514+Presion_cilindro!O515)/2)</f>
        <v>6.0463818651777474</v>
      </c>
      <c r="N523" s="27">
        <f>N522*(Presion_cilindro!O514/Presion_cilindro!O515)^Presion_cilindro!$B$9+10*(Presion_cilindro!$B$9-1)*Presion_cilindro!$B$33*(IF(Presion_cilindro!N515&gt;(-N$4+Presion_cilindro!$B$34),1-EXP(-Presion_cilindro!$B$16*((Presion_cilindro!N515-(-N$4+Presion_cilindro!$B$34))/Presion_cilindro!$B$35)^(Presion_cilindro!$B$17+1)),0)-IF(Presion_cilindro!N514&gt;(-N$4+Presion_cilindro!$B$34),1-EXP(-Presion_cilindro!$B$16*((Presion_cilindro!N514-(-N$4+Presion_cilindro!$B$34))/Presion_cilindro!$B$35)^(Presion_cilindro!$B$17+1)),0))/((Presion_cilindro!O514+Presion_cilindro!O515)/2)</f>
        <v>6.2209378882364694</v>
      </c>
    </row>
    <row r="524" spans="1:14" x14ac:dyDescent="0.25">
      <c r="A524" s="21">
        <f>Presion_cilindro!N516</f>
        <v>76</v>
      </c>
      <c r="B524" s="27">
        <f>B523*(Presion_cilindro!O515/Presion_cilindro!O516)^Presion_cilindro!$B$9+10*(Presion_cilindro!$B$9-1)*Presion_cilindro!$B$33*(IF(Presion_cilindro!N516&gt;(-B$4+Presion_cilindro!$B$34),1-EXP(-Presion_cilindro!$B$16*((Presion_cilindro!N516-(-B$4+Presion_cilindro!$B$34))/Presion_cilindro!$B$35)^(Presion_cilindro!$B$17+1)),0)-IF(Presion_cilindro!N515&gt;(-B$4+Presion_cilindro!$B$34),1-EXP(-Presion_cilindro!$B$16*((Presion_cilindro!N515-(-B$4+Presion_cilindro!$B$34))/Presion_cilindro!$B$35)^(Presion_cilindro!$B$17+1)),0))/((Presion_cilindro!O515+Presion_cilindro!O516)/2)</f>
        <v>6.4713687961186244</v>
      </c>
      <c r="C524" s="27">
        <f>C523*(Presion_cilindro!O515/Presion_cilindro!O516)^Presion_cilindro!$B$9+10*(Presion_cilindro!$B$9-1)*Presion_cilindro!$B$33*(IF(Presion_cilindro!N516&gt;(-C$4+Presion_cilindro!$B$34),1-EXP(-Presion_cilindro!$B$16*((Presion_cilindro!N516-(-C$4+Presion_cilindro!$B$34))/Presion_cilindro!$B$35)^(Presion_cilindro!$B$17+1)),0)-IF(Presion_cilindro!N515&gt;(-C$4+Presion_cilindro!$B$34),1-EXP(-Presion_cilindro!$B$16*((Presion_cilindro!N515-(-C$4+Presion_cilindro!$B$34))/Presion_cilindro!$B$35)^(Presion_cilindro!$B$17+1)),0))/((Presion_cilindro!O515+Presion_cilindro!O516)/2)</f>
        <v>6.272424117949682</v>
      </c>
      <c r="D524" s="27">
        <f>D523*(Presion_cilindro!O515/Presion_cilindro!O516)^Presion_cilindro!$B$9+10*(Presion_cilindro!$B$9-1)*Presion_cilindro!$B$33*(IF(Presion_cilindro!N516&gt;(-D$4+Presion_cilindro!$B$34),1-EXP(-Presion_cilindro!$B$16*((Presion_cilindro!N516-(-D$4+Presion_cilindro!$B$34))/Presion_cilindro!$B$35)^(Presion_cilindro!$B$17+1)),0)-IF(Presion_cilindro!N515&gt;(-D$4+Presion_cilindro!$B$34),1-EXP(-Presion_cilindro!$B$16*((Presion_cilindro!N515-(-D$4+Presion_cilindro!$B$34))/Presion_cilindro!$B$35)^(Presion_cilindro!$B$17+1)),0))/((Presion_cilindro!O515+Presion_cilindro!O516)/2)</f>
        <v>6.0871274798212092</v>
      </c>
      <c r="E524" s="27">
        <f>E523*(Presion_cilindro!O515/Presion_cilindro!O516)^Presion_cilindro!$B$9+10*(Presion_cilindro!$B$9-1)*Presion_cilindro!$B$33*(IF(Presion_cilindro!N516&gt;(-E$4+Presion_cilindro!$B$34),1-EXP(-Presion_cilindro!$B$16*((Presion_cilindro!N516-(-E$4+Presion_cilindro!$B$34))/Presion_cilindro!$B$35)^(Presion_cilindro!$B$17+1)),0)-IF(Presion_cilindro!N515&gt;(-E$4+Presion_cilindro!$B$34),1-EXP(-Presion_cilindro!$B$16*((Presion_cilindro!N515-(-E$4+Presion_cilindro!$B$34))/Presion_cilindro!$B$35)^(Presion_cilindro!$B$17+1)),0))/((Presion_cilindro!O515+Presion_cilindro!O516)/2)</f>
        <v>5.922381157588716</v>
      </c>
      <c r="F524" s="27">
        <f>F523*(Presion_cilindro!O515/Presion_cilindro!O516)^Presion_cilindro!$B$9+10*(Presion_cilindro!$B$9-1)*Presion_cilindro!$B$33*(IF(Presion_cilindro!N516&gt;(-F$4+Presion_cilindro!$B$34),1-EXP(-Presion_cilindro!$B$16*((Presion_cilindro!N516-(-F$4+Presion_cilindro!$B$34))/Presion_cilindro!$B$35)^(Presion_cilindro!$B$17+1)),0)-IF(Presion_cilindro!N515&gt;(-F$4+Presion_cilindro!$B$34),1-EXP(-Presion_cilindro!$B$16*((Presion_cilindro!N515-(-F$4+Presion_cilindro!$B$34))/Presion_cilindro!$B$35)^(Presion_cilindro!$B$17+1)),0))/((Presion_cilindro!O515+Presion_cilindro!O516)/2)</f>
        <v>5.7856949912316855</v>
      </c>
      <c r="G524" s="27">
        <f>G523*(Presion_cilindro!O515/Presion_cilindro!O516)^Presion_cilindro!$B$9+10*(Presion_cilindro!$B$9-1)*Presion_cilindro!$B$33*(IF(Presion_cilindro!N516&gt;(-G$4+Presion_cilindro!$B$34),1-EXP(-Presion_cilindro!$B$16*((Presion_cilindro!N516-(-G$4+Presion_cilindro!$B$34))/Presion_cilindro!$B$35)^(Presion_cilindro!$B$17+1)),0)-IF(Presion_cilindro!N515&gt;(-G$4+Presion_cilindro!$B$34),1-EXP(-Presion_cilindro!$B$16*((Presion_cilindro!N515-(-G$4+Presion_cilindro!$B$34))/Presion_cilindro!$B$35)^(Presion_cilindro!$B$17+1)),0))/((Presion_cilindro!O515+Presion_cilindro!O516)/2)</f>
        <v>5.6844121463662161</v>
      </c>
      <c r="H524" s="27">
        <f>H523*(Presion_cilindro!O515/Presion_cilindro!O516)^Presion_cilindro!$B$9+10*(Presion_cilindro!$B$9-1)*Presion_cilindro!$B$33*(IF(Presion_cilindro!N516&gt;(-H$4+Presion_cilindro!$B$34),1-EXP(-Presion_cilindro!$B$16*((Presion_cilindro!N516-(-H$4+Presion_cilindro!$B$34))/Presion_cilindro!$B$35)^(Presion_cilindro!$B$17+1)),0)-IF(Presion_cilindro!N515&gt;(-H$4+Presion_cilindro!$B$34),1-EXP(-Presion_cilindro!$B$16*((Presion_cilindro!N515-(-H$4+Presion_cilindro!$B$34))/Presion_cilindro!$B$35)^(Presion_cilindro!$B$17+1)),0))/((Presion_cilindro!O515+Presion_cilindro!O516)/2)</f>
        <v>5.6246667405791166</v>
      </c>
      <c r="I524" s="27">
        <f>I523*(Presion_cilindro!O515/Presion_cilindro!O516)^Presion_cilindro!$B$9+10*(Presion_cilindro!$B$9-1)*Presion_cilindro!$B$33*(IF(Presion_cilindro!N516&gt;(-I$4+Presion_cilindro!$B$34),1-EXP(-Presion_cilindro!$B$16*((Presion_cilindro!N516-(-I$4+Presion_cilindro!$B$34))/Presion_cilindro!$B$35)^(Presion_cilindro!$B$17+1)),0)-IF(Presion_cilindro!N515&gt;(-I$4+Presion_cilindro!$B$34),1-EXP(-Presion_cilindro!$B$16*((Presion_cilindro!N515-(-I$4+Presion_cilindro!$B$34))/Presion_cilindro!$B$35)^(Presion_cilindro!$B$17+1)),0))/((Presion_cilindro!O515+Presion_cilindro!O516)/2)</f>
        <v>5.6103354845081874</v>
      </c>
      <c r="J524" s="27">
        <f>J523*(Presion_cilindro!O515/Presion_cilindro!O516)^Presion_cilindro!$B$9+10*(Presion_cilindro!$B$9-1)*Presion_cilindro!$B$33*(IF(Presion_cilindro!N516&gt;(-J$4+Presion_cilindro!$B$34),1-EXP(-Presion_cilindro!$B$16*((Presion_cilindro!N516-(-J$4+Presion_cilindro!$B$34))/Presion_cilindro!$B$35)^(Presion_cilindro!$B$17+1)),0)-IF(Presion_cilindro!N515&gt;(-J$4+Presion_cilindro!$B$34),1-EXP(-Presion_cilindro!$B$16*((Presion_cilindro!N515-(-J$4+Presion_cilindro!$B$34))/Presion_cilindro!$B$35)^(Presion_cilindro!$B$17+1)),0))/((Presion_cilindro!O515+Presion_cilindro!O516)/2)</f>
        <v>5.6423109578868962</v>
      </c>
      <c r="K524" s="27">
        <f>K523*(Presion_cilindro!O515/Presion_cilindro!O516)^Presion_cilindro!$B$9+10*(Presion_cilindro!$B$9-1)*Presion_cilindro!$B$33*(IF(Presion_cilindro!N516&gt;(-K$4+Presion_cilindro!$B$34),1-EXP(-Presion_cilindro!$B$16*((Presion_cilindro!N516-(-K$4+Presion_cilindro!$B$34))/Presion_cilindro!$B$35)^(Presion_cilindro!$B$17+1)),0)-IF(Presion_cilindro!N515&gt;(-K$4+Presion_cilindro!$B$34),1-EXP(-Presion_cilindro!$B$16*((Presion_cilindro!N515-(-K$4+Presion_cilindro!$B$34))/Presion_cilindro!$B$35)^(Presion_cilindro!$B$17+1)),0))/((Presion_cilindro!O515+Presion_cilindro!O516)/2)</f>
        <v>5.7183466994023995</v>
      </c>
      <c r="L524" s="27">
        <f>L523*(Presion_cilindro!O515/Presion_cilindro!O516)^Presion_cilindro!$B$9+10*(Presion_cilindro!$B$9-1)*Presion_cilindro!$B$33*(IF(Presion_cilindro!N516&gt;(-L$4+Presion_cilindro!$B$34),1-EXP(-Presion_cilindro!$B$16*((Presion_cilindro!N516-(-L$4+Presion_cilindro!$B$34))/Presion_cilindro!$B$35)^(Presion_cilindro!$B$17+1)),0)-IF(Presion_cilindro!N515&gt;(-L$4+Presion_cilindro!$B$34),1-EXP(-Presion_cilindro!$B$16*((Presion_cilindro!N515-(-L$4+Presion_cilindro!$B$34))/Presion_cilindro!$B$35)^(Presion_cilindro!$B$17+1)),0))/((Presion_cilindro!O515+Presion_cilindro!O516)/2)</f>
        <v>5.833521626039734</v>
      </c>
      <c r="M524" s="27">
        <f>M523*(Presion_cilindro!O515/Presion_cilindro!O516)^Presion_cilindro!$B$9+10*(Presion_cilindro!$B$9-1)*Presion_cilindro!$B$33*(IF(Presion_cilindro!N516&gt;(-M$4+Presion_cilindro!$B$34),1-EXP(-Presion_cilindro!$B$16*((Presion_cilindro!N516-(-M$4+Presion_cilindro!$B$34))/Presion_cilindro!$B$35)^(Presion_cilindro!$B$17+1)),0)-IF(Presion_cilindro!N515&gt;(-M$4+Presion_cilindro!$B$34),1-EXP(-Presion_cilindro!$B$16*((Presion_cilindro!N515-(-M$4+Presion_cilindro!$B$34))/Presion_cilindro!$B$35)^(Presion_cilindro!$B$17+1)),0))/((Presion_cilindro!O515+Presion_cilindro!O516)/2)</f>
        <v>5.9811481255702237</v>
      </c>
      <c r="N524" s="27">
        <f>N523*(Presion_cilindro!O515/Presion_cilindro!O516)^Presion_cilindro!$B$9+10*(Presion_cilindro!$B$9-1)*Presion_cilindro!$B$33*(IF(Presion_cilindro!N516&gt;(-N$4+Presion_cilindro!$B$34),1-EXP(-Presion_cilindro!$B$16*((Presion_cilindro!N516-(-N$4+Presion_cilindro!$B$34))/Presion_cilindro!$B$35)^(Presion_cilindro!$B$17+1)),0)-IF(Presion_cilindro!N515&gt;(-N$4+Presion_cilindro!$B$34),1-EXP(-Presion_cilindro!$B$16*((Presion_cilindro!N515-(-N$4+Presion_cilindro!$B$34))/Presion_cilindro!$B$35)^(Presion_cilindro!$B$17+1)),0))/((Presion_cilindro!O515+Presion_cilindro!O516)/2)</f>
        <v>6.1538208831639052</v>
      </c>
    </row>
    <row r="525" spans="1:14" x14ac:dyDescent="0.25">
      <c r="A525" s="21">
        <f>Presion_cilindro!N517</f>
        <v>76.5</v>
      </c>
      <c r="B525" s="27">
        <f>B524*(Presion_cilindro!O516/Presion_cilindro!O517)^Presion_cilindro!$B$9+10*(Presion_cilindro!$B$9-1)*Presion_cilindro!$B$33*(IF(Presion_cilindro!N517&gt;(-B$4+Presion_cilindro!$B$34),1-EXP(-Presion_cilindro!$B$16*((Presion_cilindro!N517-(-B$4+Presion_cilindro!$B$34))/Presion_cilindro!$B$35)^(Presion_cilindro!$B$17+1)),0)-IF(Presion_cilindro!N516&gt;(-B$4+Presion_cilindro!$B$34),1-EXP(-Presion_cilindro!$B$16*((Presion_cilindro!N516-(-B$4+Presion_cilindro!$B$34))/Presion_cilindro!$B$35)^(Presion_cilindro!$B$17+1)),0))/((Presion_cilindro!O516+Presion_cilindro!O517)/2)</f>
        <v>6.4021253430250473</v>
      </c>
      <c r="C525" s="27">
        <f>C524*(Presion_cilindro!O516/Presion_cilindro!O517)^Presion_cilindro!$B$9+10*(Presion_cilindro!$B$9-1)*Presion_cilindro!$B$33*(IF(Presion_cilindro!N517&gt;(-C$4+Presion_cilindro!$B$34),1-EXP(-Presion_cilindro!$B$16*((Presion_cilindro!N517-(-C$4+Presion_cilindro!$B$34))/Presion_cilindro!$B$35)^(Presion_cilindro!$B$17+1)),0)-IF(Presion_cilindro!N516&gt;(-C$4+Presion_cilindro!$B$34),1-EXP(-Presion_cilindro!$B$16*((Presion_cilindro!N516-(-C$4+Presion_cilindro!$B$34))/Presion_cilindro!$B$35)^(Presion_cilindro!$B$17+1)),0))/((Presion_cilindro!O516+Presion_cilindro!O517)/2)</f>
        <v>6.2053070006235034</v>
      </c>
      <c r="D525" s="27">
        <f>D524*(Presion_cilindro!O516/Presion_cilindro!O517)^Presion_cilindro!$B$9+10*(Presion_cilindro!$B$9-1)*Presion_cilindro!$B$33*(IF(Presion_cilindro!N517&gt;(-D$4+Presion_cilindro!$B$34),1-EXP(-Presion_cilindro!$B$16*((Presion_cilindro!N517-(-D$4+Presion_cilindro!$B$34))/Presion_cilindro!$B$35)^(Presion_cilindro!$B$17+1)),0)-IF(Presion_cilindro!N516&gt;(-D$4+Presion_cilindro!$B$34),1-EXP(-Presion_cilindro!$B$16*((Presion_cilindro!N516-(-D$4+Presion_cilindro!$B$34))/Presion_cilindro!$B$35)^(Presion_cilindro!$B$17+1)),0))/((Presion_cilindro!O516+Presion_cilindro!O517)/2)</f>
        <v>6.0219929814106532</v>
      </c>
      <c r="E525" s="27">
        <f>E524*(Presion_cilindro!O516/Presion_cilindro!O517)^Presion_cilindro!$B$9+10*(Presion_cilindro!$B$9-1)*Presion_cilindro!$B$33*(IF(Presion_cilindro!N517&gt;(-E$4+Presion_cilindro!$B$34),1-EXP(-Presion_cilindro!$B$16*((Presion_cilindro!N517-(-E$4+Presion_cilindro!$B$34))/Presion_cilindro!$B$35)^(Presion_cilindro!$B$17+1)),0)-IF(Presion_cilindro!N516&gt;(-E$4+Presion_cilindro!$B$34),1-EXP(-Presion_cilindro!$B$16*((Presion_cilindro!N516-(-E$4+Presion_cilindro!$B$34))/Presion_cilindro!$B$35)^(Presion_cilindro!$B$17+1)),0))/((Presion_cilindro!O516+Presion_cilindro!O517)/2)</f>
        <v>5.8590095015263213</v>
      </c>
      <c r="F525" s="27">
        <f>F524*(Presion_cilindro!O516/Presion_cilindro!O517)^Presion_cilindro!$B$9+10*(Presion_cilindro!$B$9-1)*Presion_cilindro!$B$33*(IF(Presion_cilindro!N517&gt;(-F$4+Presion_cilindro!$B$34),1-EXP(-Presion_cilindro!$B$16*((Presion_cilindro!N517-(-F$4+Presion_cilindro!$B$34))/Presion_cilindro!$B$35)^(Presion_cilindro!$B$17+1)),0)-IF(Presion_cilindro!N516&gt;(-F$4+Presion_cilindro!$B$34),1-EXP(-Presion_cilindro!$B$16*((Presion_cilindro!N516-(-F$4+Presion_cilindro!$B$34))/Presion_cilindro!$B$35)^(Presion_cilindro!$B$17+1)),0))/((Presion_cilindro!O516+Presion_cilindro!O517)/2)</f>
        <v>5.7237859273367286</v>
      </c>
      <c r="G525" s="27">
        <f>G524*(Presion_cilindro!O516/Presion_cilindro!O517)^Presion_cilindro!$B$9+10*(Presion_cilindro!$B$9-1)*Presion_cilindro!$B$33*(IF(Presion_cilindro!N517&gt;(-G$4+Presion_cilindro!$B$34),1-EXP(-Presion_cilindro!$B$16*((Presion_cilindro!N517-(-G$4+Presion_cilindro!$B$34))/Presion_cilindro!$B$35)^(Presion_cilindro!$B$17+1)),0)-IF(Presion_cilindro!N516&gt;(-G$4+Presion_cilindro!$B$34),1-EXP(-Presion_cilindro!$B$16*((Presion_cilindro!N516-(-G$4+Presion_cilindro!$B$34))/Presion_cilindro!$B$35)^(Presion_cilindro!$B$17+1)),0))/((Presion_cilindro!O516+Presion_cilindro!O517)/2)</f>
        <v>5.623586846153751</v>
      </c>
      <c r="H525" s="27">
        <f>H524*(Presion_cilindro!O516/Presion_cilindro!O517)^Presion_cilindro!$B$9+10*(Presion_cilindro!$B$9-1)*Presion_cilindro!$B$33*(IF(Presion_cilindro!N517&gt;(-H$4+Presion_cilindro!$B$34),1-EXP(-Presion_cilindro!$B$16*((Presion_cilindro!N517-(-H$4+Presion_cilindro!$B$34))/Presion_cilindro!$B$35)^(Presion_cilindro!$B$17+1)),0)-IF(Presion_cilindro!N516&gt;(-H$4+Presion_cilindro!$B$34),1-EXP(-Presion_cilindro!$B$16*((Presion_cilindro!N516-(-H$4+Presion_cilindro!$B$34))/Presion_cilindro!$B$35)^(Presion_cilindro!$B$17+1)),0))/((Presion_cilindro!O516+Presion_cilindro!O517)/2)</f>
        <v>5.5644807381778785</v>
      </c>
      <c r="I525" s="27">
        <f>I524*(Presion_cilindro!O516/Presion_cilindro!O517)^Presion_cilindro!$B$9+10*(Presion_cilindro!$B$9-1)*Presion_cilindro!$B$33*(IF(Presion_cilindro!N517&gt;(-I$4+Presion_cilindro!$B$34),1-EXP(-Presion_cilindro!$B$16*((Presion_cilindro!N517-(-I$4+Presion_cilindro!$B$34))/Presion_cilindro!$B$35)^(Presion_cilindro!$B$17+1)),0)-IF(Presion_cilindro!N516&gt;(-I$4+Presion_cilindro!$B$34),1-EXP(-Presion_cilindro!$B$16*((Presion_cilindro!N516-(-I$4+Presion_cilindro!$B$34))/Presion_cilindro!$B$35)^(Presion_cilindro!$B$17+1)),0))/((Presion_cilindro!O516+Presion_cilindro!O517)/2)</f>
        <v>5.5503028318167331</v>
      </c>
      <c r="J525" s="27">
        <f>J524*(Presion_cilindro!O516/Presion_cilindro!O517)^Presion_cilindro!$B$9+10*(Presion_cilindro!$B$9-1)*Presion_cilindro!$B$33*(IF(Presion_cilindro!N517&gt;(-J$4+Presion_cilindro!$B$34),1-EXP(-Presion_cilindro!$B$16*((Presion_cilindro!N517-(-J$4+Presion_cilindro!$B$34))/Presion_cilindro!$B$35)^(Presion_cilindro!$B$17+1)),0)-IF(Presion_cilindro!N516&gt;(-J$4+Presion_cilindro!$B$34),1-EXP(-Presion_cilindro!$B$16*((Presion_cilindro!N516-(-J$4+Presion_cilindro!$B$34))/Presion_cilindro!$B$35)^(Presion_cilindro!$B$17+1)),0))/((Presion_cilindro!O516+Presion_cilindro!O517)/2)</f>
        <v>5.5819361558724125</v>
      </c>
      <c r="K525" s="27">
        <f>K524*(Presion_cilindro!O516/Presion_cilindro!O517)^Presion_cilindro!$B$9+10*(Presion_cilindro!$B$9-1)*Presion_cilindro!$B$33*(IF(Presion_cilindro!N517&gt;(-K$4+Presion_cilindro!$B$34),1-EXP(-Presion_cilindro!$B$16*((Presion_cilindro!N517-(-K$4+Presion_cilindro!$B$34))/Presion_cilindro!$B$35)^(Presion_cilindro!$B$17+1)),0)-IF(Presion_cilindro!N516&gt;(-K$4+Presion_cilindro!$B$34),1-EXP(-Presion_cilindro!$B$16*((Presion_cilindro!N516-(-K$4+Presion_cilindro!$B$34))/Presion_cilindro!$B$35)^(Presion_cilindro!$B$17+1)),0))/((Presion_cilindro!O516+Presion_cilindro!O517)/2)</f>
        <v>5.6571582869941812</v>
      </c>
      <c r="L525" s="27">
        <f>L524*(Presion_cilindro!O516/Presion_cilindro!O517)^Presion_cilindro!$B$9+10*(Presion_cilindro!$B$9-1)*Presion_cilindro!$B$33*(IF(Presion_cilindro!N517&gt;(-L$4+Presion_cilindro!$B$34),1-EXP(-Presion_cilindro!$B$16*((Presion_cilindro!N517-(-L$4+Presion_cilindro!$B$34))/Presion_cilindro!$B$35)^(Presion_cilindro!$B$17+1)),0)-IF(Presion_cilindro!N516&gt;(-L$4+Presion_cilindro!$B$34),1-EXP(-Presion_cilindro!$B$16*((Presion_cilindro!N516-(-L$4+Presion_cilindro!$B$34))/Presion_cilindro!$B$35)^(Presion_cilindro!$B$17+1)),0))/((Presion_cilindro!O516+Presion_cilindro!O517)/2)</f>
        <v>5.7711007995648922</v>
      </c>
      <c r="M525" s="27">
        <f>M524*(Presion_cilindro!O516/Presion_cilindro!O517)^Presion_cilindro!$B$9+10*(Presion_cilindro!$B$9-1)*Presion_cilindro!$B$33*(IF(Presion_cilindro!N517&gt;(-M$4+Presion_cilindro!$B$34),1-EXP(-Presion_cilindro!$B$16*((Presion_cilindro!N517-(-M$4+Presion_cilindro!$B$34))/Presion_cilindro!$B$35)^(Presion_cilindro!$B$17+1)),0)-IF(Presion_cilindro!N516&gt;(-M$4+Presion_cilindro!$B$34),1-EXP(-Presion_cilindro!$B$16*((Presion_cilindro!N516-(-M$4+Presion_cilindro!$B$34))/Presion_cilindro!$B$35)^(Presion_cilindro!$B$17+1)),0))/((Presion_cilindro!O516+Presion_cilindro!O517)/2)</f>
        <v>5.9171476412658564</v>
      </c>
      <c r="N525" s="27">
        <f>N524*(Presion_cilindro!O516/Presion_cilindro!O517)^Presion_cilindro!$B$9+10*(Presion_cilindro!$B$9-1)*Presion_cilindro!$B$33*(IF(Presion_cilindro!N517&gt;(-N$4+Presion_cilindro!$B$34),1-EXP(-Presion_cilindro!$B$16*((Presion_cilindro!N517-(-N$4+Presion_cilindro!$B$34))/Presion_cilindro!$B$35)^(Presion_cilindro!$B$17+1)),0)-IF(Presion_cilindro!N516&gt;(-N$4+Presion_cilindro!$B$34),1-EXP(-Presion_cilindro!$B$16*((Presion_cilindro!N516-(-N$4+Presion_cilindro!$B$34))/Presion_cilindro!$B$35)^(Presion_cilindro!$B$17+1)),0))/((Presion_cilindro!O516+Presion_cilindro!O517)/2)</f>
        <v>6.0879727368588394</v>
      </c>
    </row>
    <row r="526" spans="1:14" x14ac:dyDescent="0.25">
      <c r="A526" s="21">
        <f>Presion_cilindro!N518</f>
        <v>77</v>
      </c>
      <c r="B526" s="27">
        <f>B525*(Presion_cilindro!O517/Presion_cilindro!O518)^Presion_cilindro!$B$9+10*(Presion_cilindro!$B$9-1)*Presion_cilindro!$B$33*(IF(Presion_cilindro!N518&gt;(-B$4+Presion_cilindro!$B$34),1-EXP(-Presion_cilindro!$B$16*((Presion_cilindro!N518-(-B$4+Presion_cilindro!$B$34))/Presion_cilindro!$B$35)^(Presion_cilindro!$B$17+1)),0)-IF(Presion_cilindro!N517&gt;(-B$4+Presion_cilindro!$B$34),1-EXP(-Presion_cilindro!$B$16*((Presion_cilindro!N517-(-B$4+Presion_cilindro!$B$34))/Presion_cilindro!$B$35)^(Presion_cilindro!$B$17+1)),0))/((Presion_cilindro!O517+Presion_cilindro!O518)/2)</f>
        <v>6.3341859848336419</v>
      </c>
      <c r="C526" s="27">
        <f>C525*(Presion_cilindro!O517/Presion_cilindro!O518)^Presion_cilindro!$B$9+10*(Presion_cilindro!$B$9-1)*Presion_cilindro!$B$33*(IF(Presion_cilindro!N518&gt;(-C$4+Presion_cilindro!$B$34),1-EXP(-Presion_cilindro!$B$16*((Presion_cilindro!N518-(-C$4+Presion_cilindro!$B$34))/Presion_cilindro!$B$35)^(Presion_cilindro!$B$17+1)),0)-IF(Presion_cilindro!N517&gt;(-C$4+Presion_cilindro!$B$34),1-EXP(-Presion_cilindro!$B$16*((Presion_cilindro!N517-(-C$4+Presion_cilindro!$B$34))/Presion_cilindro!$B$35)^(Presion_cilindro!$B$17+1)),0))/((Presion_cilindro!O517+Presion_cilindro!O518)/2)</f>
        <v>6.1394545016505075</v>
      </c>
      <c r="D526" s="27">
        <f>D525*(Presion_cilindro!O517/Presion_cilindro!O518)^Presion_cilindro!$B$9+10*(Presion_cilindro!$B$9-1)*Presion_cilindro!$B$33*(IF(Presion_cilindro!N518&gt;(-D$4+Presion_cilindro!$B$34),1-EXP(-Presion_cilindro!$B$16*((Presion_cilindro!N518-(-D$4+Presion_cilindro!$B$34))/Presion_cilindro!$B$35)^(Presion_cilindro!$B$17+1)),0)-IF(Presion_cilindro!N517&gt;(-D$4+Presion_cilindro!$B$34),1-EXP(-Presion_cilindro!$B$16*((Presion_cilindro!N517-(-D$4+Presion_cilindro!$B$34))/Presion_cilindro!$B$35)^(Presion_cilindro!$B$17+1)),0))/((Presion_cilindro!O517+Presion_cilindro!O518)/2)</f>
        <v>5.9580857777117675</v>
      </c>
      <c r="E526" s="27">
        <f>E525*(Presion_cilindro!O517/Presion_cilindro!O518)^Presion_cilindro!$B$9+10*(Presion_cilindro!$B$9-1)*Presion_cilindro!$B$33*(IF(Presion_cilindro!N518&gt;(-E$4+Presion_cilindro!$B$34),1-EXP(-Presion_cilindro!$B$16*((Presion_cilindro!N518-(-E$4+Presion_cilindro!$B$34))/Presion_cilindro!$B$35)^(Presion_cilindro!$B$17+1)),0)-IF(Presion_cilindro!N517&gt;(-E$4+Presion_cilindro!$B$34),1-EXP(-Presion_cilindro!$B$16*((Presion_cilindro!N517-(-E$4+Presion_cilindro!$B$34))/Presion_cilindro!$B$35)^(Presion_cilindro!$B$17+1)),0))/((Presion_cilindro!O517+Presion_cilindro!O518)/2)</f>
        <v>5.7968319250384823</v>
      </c>
      <c r="F526" s="27">
        <f>F525*(Presion_cilindro!O517/Presion_cilindro!O518)^Presion_cilindro!$B$9+10*(Presion_cilindro!$B$9-1)*Presion_cilindro!$B$33*(IF(Presion_cilindro!N518&gt;(-F$4+Presion_cilindro!$B$34),1-EXP(-Presion_cilindro!$B$16*((Presion_cilindro!N518-(-F$4+Presion_cilindro!$B$34))/Presion_cilindro!$B$35)^(Presion_cilindro!$B$17+1)),0)-IF(Presion_cilindro!N517&gt;(-F$4+Presion_cilindro!$B$34),1-EXP(-Presion_cilindro!$B$16*((Presion_cilindro!N517-(-F$4+Presion_cilindro!$B$34))/Presion_cilindro!$B$35)^(Presion_cilindro!$B$17+1)),0))/((Presion_cilindro!O517+Presion_cilindro!O518)/2)</f>
        <v>5.6630433841679748</v>
      </c>
      <c r="G526" s="27">
        <f>G525*(Presion_cilindro!O517/Presion_cilindro!O518)^Presion_cilindro!$B$9+10*(Presion_cilindro!$B$9-1)*Presion_cilindro!$B$33*(IF(Presion_cilindro!N518&gt;(-G$4+Presion_cilindro!$B$34),1-EXP(-Presion_cilindro!$B$16*((Presion_cilindro!N518-(-G$4+Presion_cilindro!$B$34))/Presion_cilindro!$B$35)^(Presion_cilindro!$B$17+1)),0)-IF(Presion_cilindro!N517&gt;(-G$4+Presion_cilindro!$B$34),1-EXP(-Presion_cilindro!$B$16*((Presion_cilindro!N517-(-G$4+Presion_cilindro!$B$34))/Presion_cilindro!$B$35)^(Presion_cilindro!$B$17+1)),0))/((Presion_cilindro!O517+Presion_cilindro!O518)/2)</f>
        <v>5.5639076458647967</v>
      </c>
      <c r="H526" s="27">
        <f>H525*(Presion_cilindro!O517/Presion_cilindro!O518)^Presion_cilindro!$B$9+10*(Presion_cilindro!$B$9-1)*Presion_cilindro!$B$33*(IF(Presion_cilindro!N518&gt;(-H$4+Presion_cilindro!$B$34),1-EXP(-Presion_cilindro!$B$16*((Presion_cilindro!N518-(-H$4+Presion_cilindro!$B$34))/Presion_cilindro!$B$35)^(Presion_cilindro!$B$17+1)),0)-IF(Presion_cilindro!N517&gt;(-H$4+Presion_cilindro!$B$34),1-EXP(-Presion_cilindro!$B$16*((Presion_cilindro!N517-(-H$4+Presion_cilindro!$B$34))/Presion_cilindro!$B$35)^(Presion_cilindro!$B$17+1)),0))/((Presion_cilindro!O517+Presion_cilindro!O518)/2)</f>
        <v>5.5054287897395087</v>
      </c>
      <c r="I526" s="27">
        <f>I525*(Presion_cilindro!O517/Presion_cilindro!O518)^Presion_cilindro!$B$9+10*(Presion_cilindro!$B$9-1)*Presion_cilindro!$B$33*(IF(Presion_cilindro!N518&gt;(-I$4+Presion_cilindro!$B$34),1-EXP(-Presion_cilindro!$B$16*((Presion_cilindro!N518-(-I$4+Presion_cilindro!$B$34))/Presion_cilindro!$B$35)^(Presion_cilindro!$B$17+1)),0)-IF(Presion_cilindro!N517&gt;(-I$4+Presion_cilindro!$B$34),1-EXP(-Presion_cilindro!$B$16*((Presion_cilindro!N517-(-I$4+Presion_cilindro!$B$34))/Presion_cilindro!$B$35)^(Presion_cilindro!$B$17+1)),0))/((Presion_cilindro!O517+Presion_cilindro!O518)/2)</f>
        <v>5.4914013435982465</v>
      </c>
      <c r="J526" s="27">
        <f>J525*(Presion_cilindro!O517/Presion_cilindro!O518)^Presion_cilindro!$B$9+10*(Presion_cilindro!$B$9-1)*Presion_cilindro!$B$33*(IF(Presion_cilindro!N518&gt;(-J$4+Presion_cilindro!$B$34),1-EXP(-Presion_cilindro!$B$16*((Presion_cilindro!N518-(-J$4+Presion_cilindro!$B$34))/Presion_cilindro!$B$35)^(Presion_cilindro!$B$17+1)),0)-IF(Presion_cilindro!N517&gt;(-J$4+Presion_cilindro!$B$34),1-EXP(-Presion_cilindro!$B$16*((Presion_cilindro!N517-(-J$4+Presion_cilindro!$B$34))/Presion_cilindro!$B$35)^(Presion_cilindro!$B$17+1)),0))/((Presion_cilindro!O517+Presion_cilindro!O518)/2)</f>
        <v>5.5226989652750405</v>
      </c>
      <c r="K526" s="27">
        <f>K525*(Presion_cilindro!O517/Presion_cilindro!O518)^Presion_cilindro!$B$9+10*(Presion_cilindro!$B$9-1)*Presion_cilindro!$B$33*(IF(Presion_cilindro!N518&gt;(-K$4+Presion_cilindro!$B$34),1-EXP(-Presion_cilindro!$B$16*((Presion_cilindro!N518-(-K$4+Presion_cilindro!$B$34))/Presion_cilindro!$B$35)^(Presion_cilindro!$B$17+1)),0)-IF(Presion_cilindro!N517&gt;(-K$4+Presion_cilindro!$B$34),1-EXP(-Presion_cilindro!$B$16*((Presion_cilindro!N517-(-K$4+Presion_cilindro!$B$34))/Presion_cilindro!$B$35)^(Presion_cilindro!$B$17+1)),0))/((Presion_cilindro!O517+Presion_cilindro!O518)/2)</f>
        <v>5.5971228164462739</v>
      </c>
      <c r="L526" s="27">
        <f>L525*(Presion_cilindro!O517/Presion_cilindro!O518)^Presion_cilindro!$B$9+10*(Presion_cilindro!$B$9-1)*Presion_cilindro!$B$33*(IF(Presion_cilindro!N518&gt;(-L$4+Presion_cilindro!$B$34),1-EXP(-Presion_cilindro!$B$16*((Presion_cilindro!N518-(-L$4+Presion_cilindro!$B$34))/Presion_cilindro!$B$35)^(Presion_cilindro!$B$17+1)),0)-IF(Presion_cilindro!N517&gt;(-L$4+Presion_cilindro!$B$34),1-EXP(-Presion_cilindro!$B$16*((Presion_cilindro!N517-(-L$4+Presion_cilindro!$B$34))/Presion_cilindro!$B$35)^(Presion_cilindro!$B$17+1)),0))/((Presion_cilindro!O517+Presion_cilindro!O518)/2)</f>
        <v>5.7098561366962892</v>
      </c>
      <c r="M526" s="27">
        <f>M525*(Presion_cilindro!O517/Presion_cilindro!O518)^Presion_cilindro!$B$9+10*(Presion_cilindro!$B$9-1)*Presion_cilindro!$B$33*(IF(Presion_cilindro!N518&gt;(-M$4+Presion_cilindro!$B$34),1-EXP(-Presion_cilindro!$B$16*((Presion_cilindro!N518-(-M$4+Presion_cilindro!$B$34))/Presion_cilindro!$B$35)^(Presion_cilindro!$B$17+1)),0)-IF(Presion_cilindro!N517&gt;(-M$4+Presion_cilindro!$B$34),1-EXP(-Presion_cilindro!$B$16*((Presion_cilindro!N517-(-M$4+Presion_cilindro!$B$34))/Presion_cilindro!$B$35)^(Presion_cilindro!$B$17+1)),0))/((Presion_cilindro!O517+Presion_cilindro!O518)/2)</f>
        <v>5.8543530852497145</v>
      </c>
      <c r="N526" s="27">
        <f>N525*(Presion_cilindro!O517/Presion_cilindro!O518)^Presion_cilindro!$B$9+10*(Presion_cilindro!$B$9-1)*Presion_cilindro!$B$33*(IF(Presion_cilindro!N518&gt;(-N$4+Presion_cilindro!$B$34),1-EXP(-Presion_cilindro!$B$16*((Presion_cilindro!N518-(-N$4+Presion_cilindro!$B$34))/Presion_cilindro!$B$35)^(Presion_cilindro!$B$17+1)),0)-IF(Presion_cilindro!N517&gt;(-N$4+Presion_cilindro!$B$34),1-EXP(-Presion_cilindro!$B$16*((Presion_cilindro!N517-(-N$4+Presion_cilindro!$B$34))/Presion_cilindro!$B$35)^(Presion_cilindro!$B$17+1)),0))/((Presion_cilindro!O517+Presion_cilindro!O518)/2)</f>
        <v>6.0233653333890755</v>
      </c>
    </row>
    <row r="527" spans="1:14" x14ac:dyDescent="0.25">
      <c r="A527" s="21">
        <f>Presion_cilindro!N519</f>
        <v>77.5</v>
      </c>
      <c r="B527" s="27">
        <f>B526*(Presion_cilindro!O518/Presion_cilindro!O519)^Presion_cilindro!$B$9+10*(Presion_cilindro!$B$9-1)*Presion_cilindro!$B$33*(IF(Presion_cilindro!N519&gt;(-B$4+Presion_cilindro!$B$34),1-EXP(-Presion_cilindro!$B$16*((Presion_cilindro!N519-(-B$4+Presion_cilindro!$B$34))/Presion_cilindro!$B$35)^(Presion_cilindro!$B$17+1)),0)-IF(Presion_cilindro!N518&gt;(-B$4+Presion_cilindro!$B$34),1-EXP(-Presion_cilindro!$B$16*((Presion_cilindro!N518-(-B$4+Presion_cilindro!$B$34))/Presion_cilindro!$B$35)^(Presion_cilindro!$B$17+1)),0))/((Presion_cilindro!O518+Presion_cilindro!O519)/2)</f>
        <v>6.2675220626805084</v>
      </c>
      <c r="C527" s="27">
        <f>C526*(Presion_cilindro!O518/Presion_cilindro!O519)^Presion_cilindro!$B$9+10*(Presion_cilindro!$B$9-1)*Presion_cilindro!$B$33*(IF(Presion_cilindro!N519&gt;(-C$4+Presion_cilindro!$B$34),1-EXP(-Presion_cilindro!$B$16*((Presion_cilindro!N519-(-C$4+Presion_cilindro!$B$34))/Presion_cilindro!$B$35)^(Presion_cilindro!$B$17+1)),0)-IF(Presion_cilindro!N518&gt;(-C$4+Presion_cilindro!$B$34),1-EXP(-Presion_cilindro!$B$16*((Presion_cilindro!N518-(-C$4+Presion_cilindro!$B$34))/Presion_cilindro!$B$35)^(Presion_cilindro!$B$17+1)),0))/((Presion_cilindro!O518+Presion_cilindro!O519)/2)</f>
        <v>6.0748386954865676</v>
      </c>
      <c r="D527" s="27">
        <f>D526*(Presion_cilindro!O518/Presion_cilindro!O519)^Presion_cilindro!$B$9+10*(Presion_cilindro!$B$9-1)*Presion_cilindro!$B$33*(IF(Presion_cilindro!N519&gt;(-D$4+Presion_cilindro!$B$34),1-EXP(-Presion_cilindro!$B$16*((Presion_cilindro!N519-(-D$4+Presion_cilindro!$B$34))/Presion_cilindro!$B$35)^(Presion_cilindro!$B$17+1)),0)-IF(Presion_cilindro!N518&gt;(-D$4+Presion_cilindro!$B$34),1-EXP(-Presion_cilindro!$B$16*((Presion_cilindro!N518-(-D$4+Presion_cilindro!$B$34))/Presion_cilindro!$B$35)^(Presion_cilindro!$B$17+1)),0))/((Presion_cilindro!O518+Presion_cilindro!O519)/2)</f>
        <v>5.8953787584905841</v>
      </c>
      <c r="E527" s="27">
        <f>E526*(Presion_cilindro!O518/Presion_cilindro!O519)^Presion_cilindro!$B$9+10*(Presion_cilindro!$B$9-1)*Presion_cilindro!$B$33*(IF(Presion_cilindro!N519&gt;(-E$4+Presion_cilindro!$B$34),1-EXP(-Presion_cilindro!$B$16*((Presion_cilindro!N519-(-E$4+Presion_cilindro!$B$34))/Presion_cilindro!$B$35)^(Presion_cilindro!$B$17+1)),0)-IF(Presion_cilindro!N518&gt;(-E$4+Presion_cilindro!$B$34),1-EXP(-Presion_cilindro!$B$16*((Presion_cilindro!N518-(-E$4+Presion_cilindro!$B$34))/Presion_cilindro!$B$35)^(Presion_cilindro!$B$17+1)),0))/((Presion_cilindro!O518+Presion_cilindro!O519)/2)</f>
        <v>5.7358220512384337</v>
      </c>
      <c r="F527" s="27">
        <f>F526*(Presion_cilindro!O518/Presion_cilindro!O519)^Presion_cilindro!$B$9+10*(Presion_cilindro!$B$9-1)*Presion_cilindro!$B$33*(IF(Presion_cilindro!N519&gt;(-F$4+Presion_cilindro!$B$34),1-EXP(-Presion_cilindro!$B$16*((Presion_cilindro!N519-(-F$4+Presion_cilindro!$B$34))/Presion_cilindro!$B$35)^(Presion_cilindro!$B$17+1)),0)-IF(Presion_cilindro!N518&gt;(-F$4+Presion_cilindro!$B$34),1-EXP(-Presion_cilindro!$B$16*((Presion_cilindro!N518-(-F$4+Presion_cilindro!$B$34))/Presion_cilindro!$B$35)^(Presion_cilindro!$B$17+1)),0))/((Presion_cilindro!O518+Presion_cilindro!O519)/2)</f>
        <v>5.6034415935975046</v>
      </c>
      <c r="G527" s="27">
        <f>G526*(Presion_cilindro!O518/Presion_cilindro!O519)^Presion_cilindro!$B$9+10*(Presion_cilindro!$B$9-1)*Presion_cilindro!$B$33*(IF(Presion_cilindro!N519&gt;(-G$4+Presion_cilindro!$B$34),1-EXP(-Presion_cilindro!$B$16*((Presion_cilindro!N519-(-G$4+Presion_cilindro!$B$34))/Presion_cilindro!$B$35)^(Presion_cilindro!$B$17+1)),0)-IF(Presion_cilindro!N518&gt;(-G$4+Presion_cilindro!$B$34),1-EXP(-Presion_cilindro!$B$16*((Presion_cilindro!N518-(-G$4+Presion_cilindro!$B$34))/Presion_cilindro!$B$35)^(Presion_cilindro!$B$17+1)),0))/((Presion_cilindro!O518+Presion_cilindro!O519)/2)</f>
        <v>5.5053492284613341</v>
      </c>
      <c r="H527" s="27">
        <f>H526*(Presion_cilindro!O518/Presion_cilindro!O519)^Presion_cilindro!$B$9+10*(Presion_cilindro!$B$9-1)*Presion_cilindro!$B$33*(IF(Presion_cilindro!N519&gt;(-H$4+Presion_cilindro!$B$34),1-EXP(-Presion_cilindro!$B$16*((Presion_cilindro!N519-(-H$4+Presion_cilindro!$B$34))/Presion_cilindro!$B$35)^(Presion_cilindro!$B$17+1)),0)-IF(Presion_cilindro!N518&gt;(-H$4+Presion_cilindro!$B$34),1-EXP(-Presion_cilindro!$B$16*((Presion_cilindro!N518-(-H$4+Presion_cilindro!$B$34))/Presion_cilindro!$B$35)^(Presion_cilindro!$B$17+1)),0))/((Presion_cilindro!O518+Presion_cilindro!O519)/2)</f>
        <v>5.4474858443180079</v>
      </c>
      <c r="I527" s="27">
        <f>I526*(Presion_cilindro!O518/Presion_cilindro!O519)^Presion_cilindro!$B$9+10*(Presion_cilindro!$B$9-1)*Presion_cilindro!$B$33*(IF(Presion_cilindro!N519&gt;(-I$4+Presion_cilindro!$B$34),1-EXP(-Presion_cilindro!$B$16*((Presion_cilindro!N519-(-I$4+Presion_cilindro!$B$34))/Presion_cilindro!$B$35)^(Presion_cilindro!$B$17+1)),0)-IF(Presion_cilindro!N518&gt;(-I$4+Presion_cilindro!$B$34),1-EXP(-Presion_cilindro!$B$16*((Presion_cilindro!N518-(-I$4+Presion_cilindro!$B$34))/Presion_cilindro!$B$35)^(Presion_cilindro!$B$17+1)),0))/((Presion_cilindro!O518+Presion_cilindro!O519)/2)</f>
        <v>5.4336060327347804</v>
      </c>
      <c r="J527" s="27">
        <f>J526*(Presion_cilindro!O518/Presion_cilindro!O519)^Presion_cilindro!$B$9+10*(Presion_cilindro!$B$9-1)*Presion_cilindro!$B$33*(IF(Presion_cilindro!N519&gt;(-J$4+Presion_cilindro!$B$34),1-EXP(-Presion_cilindro!$B$16*((Presion_cilindro!N519-(-J$4+Presion_cilindro!$B$34))/Presion_cilindro!$B$35)^(Presion_cilindro!$B$17+1)),0)-IF(Presion_cilindro!N518&gt;(-J$4+Presion_cilindro!$B$34),1-EXP(-Presion_cilindro!$B$16*((Presion_cilindro!N518-(-J$4+Presion_cilindro!$B$34))/Presion_cilindro!$B$35)^(Presion_cilindro!$B$17+1)),0))/((Presion_cilindro!O518+Presion_cilindro!O519)/2)</f>
        <v>5.4645742565655757</v>
      </c>
      <c r="K527" s="27">
        <f>K526*(Presion_cilindro!O518/Presion_cilindro!O519)^Presion_cilindro!$B$9+10*(Presion_cilindro!$B$9-1)*Presion_cilindro!$B$33*(IF(Presion_cilindro!N519&gt;(-K$4+Presion_cilindro!$B$34),1-EXP(-Presion_cilindro!$B$16*((Presion_cilindro!N519-(-K$4+Presion_cilindro!$B$34))/Presion_cilindro!$B$35)^(Presion_cilindro!$B$17+1)),0)-IF(Presion_cilindro!N518&gt;(-K$4+Presion_cilindro!$B$34),1-EXP(-Presion_cilindro!$B$16*((Presion_cilindro!N518-(-K$4+Presion_cilindro!$B$34))/Presion_cilindro!$B$35)^(Presion_cilindro!$B$17+1)),0))/((Presion_cilindro!O518+Presion_cilindro!O519)/2)</f>
        <v>5.5382148195841205</v>
      </c>
      <c r="L527" s="27">
        <f>L526*(Presion_cilindro!O518/Presion_cilindro!O519)^Presion_cilindro!$B$9+10*(Presion_cilindro!$B$9-1)*Presion_cilindro!$B$33*(IF(Presion_cilindro!N519&gt;(-L$4+Presion_cilindro!$B$34),1-EXP(-Presion_cilindro!$B$16*((Presion_cilindro!N519-(-L$4+Presion_cilindro!$B$34))/Presion_cilindro!$B$35)^(Presion_cilindro!$B$17+1)),0)-IF(Presion_cilindro!N518&gt;(-L$4+Presion_cilindro!$B$34),1-EXP(-Presion_cilindro!$B$16*((Presion_cilindro!N518-(-L$4+Presion_cilindro!$B$34))/Presion_cilindro!$B$35)^(Presion_cilindro!$B$17+1)),0))/((Presion_cilindro!O518+Presion_cilindro!O519)/2)</f>
        <v>5.649761656297267</v>
      </c>
      <c r="M527" s="27">
        <f>M526*(Presion_cilindro!O518/Presion_cilindro!O519)^Presion_cilindro!$B$9+10*(Presion_cilindro!$B$9-1)*Presion_cilindro!$B$33*(IF(Presion_cilindro!N519&gt;(-M$4+Presion_cilindro!$B$34),1-EXP(-Presion_cilindro!$B$16*((Presion_cilindro!N519-(-M$4+Presion_cilindro!$B$34))/Presion_cilindro!$B$35)^(Presion_cilindro!$B$17+1)),0)-IF(Presion_cilindro!N518&gt;(-M$4+Presion_cilindro!$B$34),1-EXP(-Presion_cilindro!$B$16*((Presion_cilindro!N518-(-M$4+Presion_cilindro!$B$34))/Presion_cilindro!$B$35)^(Presion_cilindro!$B$17+1)),0))/((Presion_cilindro!O518+Presion_cilindro!O519)/2)</f>
        <v>5.7927378188913483</v>
      </c>
      <c r="N527" s="27">
        <f>N526*(Presion_cilindro!O518/Presion_cilindro!O519)^Presion_cilindro!$B$9+10*(Presion_cilindro!$B$9-1)*Presion_cilindro!$B$33*(IF(Presion_cilindro!N519&gt;(-N$4+Presion_cilindro!$B$34),1-EXP(-Presion_cilindro!$B$16*((Presion_cilindro!N519-(-N$4+Presion_cilindro!$B$34))/Presion_cilindro!$B$35)^(Presion_cilindro!$B$17+1)),0)-IF(Presion_cilindro!N518&gt;(-N$4+Presion_cilindro!$B$34),1-EXP(-Presion_cilindro!$B$16*((Presion_cilindro!N518-(-N$4+Presion_cilindro!$B$34))/Presion_cilindro!$B$35)^(Presion_cilindro!$B$17+1)),0))/((Presion_cilindro!O518+Presion_cilindro!O519)/2)</f>
        <v>5.9599712650802132</v>
      </c>
    </row>
    <row r="528" spans="1:14" x14ac:dyDescent="0.25">
      <c r="A528" s="21">
        <f>Presion_cilindro!N520</f>
        <v>78</v>
      </c>
      <c r="B528" s="27">
        <f>B527*(Presion_cilindro!O519/Presion_cilindro!O520)^Presion_cilindro!$B$9+10*(Presion_cilindro!$B$9-1)*Presion_cilindro!$B$33*(IF(Presion_cilindro!N520&gt;(-B$4+Presion_cilindro!$B$34),1-EXP(-Presion_cilindro!$B$16*((Presion_cilindro!N520-(-B$4+Presion_cilindro!$B$34))/Presion_cilindro!$B$35)^(Presion_cilindro!$B$17+1)),0)-IF(Presion_cilindro!N519&gt;(-B$4+Presion_cilindro!$B$34),1-EXP(-Presion_cilindro!$B$16*((Presion_cilindro!N519-(-B$4+Presion_cilindro!$B$34))/Presion_cilindro!$B$35)^(Presion_cilindro!$B$17+1)),0))/((Presion_cilindro!O519+Presion_cilindro!O520)/2)</f>
        <v>6.2021056049806296</v>
      </c>
      <c r="C528" s="27">
        <f>C527*(Presion_cilindro!O519/Presion_cilindro!O520)^Presion_cilindro!$B$9+10*(Presion_cilindro!$B$9-1)*Presion_cilindro!$B$33*(IF(Presion_cilindro!N520&gt;(-C$4+Presion_cilindro!$B$34),1-EXP(-Presion_cilindro!$B$16*((Presion_cilindro!N520-(-C$4+Presion_cilindro!$B$34))/Presion_cilindro!$B$35)^(Presion_cilindro!$B$17+1)),0)-IF(Presion_cilindro!N519&gt;(-C$4+Presion_cilindro!$B$34),1-EXP(-Presion_cilindro!$B$16*((Presion_cilindro!N519-(-C$4+Presion_cilindro!$B$34))/Presion_cilindro!$B$35)^(Presion_cilindro!$B$17+1)),0))/((Presion_cilindro!O519+Presion_cilindro!O520)/2)</f>
        <v>6.0114323565583332</v>
      </c>
      <c r="D528" s="27">
        <f>D527*(Presion_cilindro!O519/Presion_cilindro!O520)^Presion_cilindro!$B$9+10*(Presion_cilindro!$B$9-1)*Presion_cilindro!$B$33*(IF(Presion_cilindro!N520&gt;(-D$4+Presion_cilindro!$B$34),1-EXP(-Presion_cilindro!$B$16*((Presion_cilindro!N520-(-D$4+Presion_cilindro!$B$34))/Presion_cilindro!$B$35)^(Presion_cilindro!$B$17+1)),0)-IF(Presion_cilindro!N519&gt;(-D$4+Presion_cilindro!$B$34),1-EXP(-Presion_cilindro!$B$16*((Presion_cilindro!N519-(-D$4+Presion_cilindro!$B$34))/Presion_cilindro!$B$35)^(Presion_cilindro!$B$17+1)),0))/((Presion_cilindro!O519+Presion_cilindro!O520)/2)</f>
        <v>5.8338454953703085</v>
      </c>
      <c r="E528" s="27">
        <f>E527*(Presion_cilindro!O519/Presion_cilindro!O520)^Presion_cilindro!$B$9+10*(Presion_cilindro!$B$9-1)*Presion_cilindro!$B$33*(IF(Presion_cilindro!N520&gt;(-E$4+Presion_cilindro!$B$34),1-EXP(-Presion_cilindro!$B$16*((Presion_cilindro!N520-(-E$4+Presion_cilindro!$B$34))/Presion_cilindro!$B$35)^(Presion_cilindro!$B$17+1)),0)-IF(Presion_cilindro!N519&gt;(-E$4+Presion_cilindro!$B$34),1-EXP(-Presion_cilindro!$B$16*((Presion_cilindro!N519-(-E$4+Presion_cilindro!$B$34))/Presion_cilindro!$B$35)^(Presion_cilindro!$B$17+1)),0))/((Presion_cilindro!O519+Presion_cilindro!O520)/2)</f>
        <v>5.6759541667581717</v>
      </c>
      <c r="F528" s="27">
        <f>F527*(Presion_cilindro!O519/Presion_cilindro!O520)^Presion_cilindro!$B$9+10*(Presion_cilindro!$B$9-1)*Presion_cilindro!$B$33*(IF(Presion_cilindro!N520&gt;(-F$4+Presion_cilindro!$B$34),1-EXP(-Presion_cilindro!$B$16*((Presion_cilindro!N520-(-F$4+Presion_cilindro!$B$34))/Presion_cilindro!$B$35)^(Presion_cilindro!$B$17+1)),0)-IF(Presion_cilindro!N519&gt;(-F$4+Presion_cilindro!$B$34),1-EXP(-Presion_cilindro!$B$16*((Presion_cilindro!N519-(-F$4+Presion_cilindro!$B$34))/Presion_cilindro!$B$35)^(Presion_cilindro!$B$17+1)),0))/((Presion_cilindro!O519+Presion_cilindro!O520)/2)</f>
        <v>5.5449554357054787</v>
      </c>
      <c r="G528" s="27">
        <f>G527*(Presion_cilindro!O519/Presion_cilindro!O520)^Presion_cilindro!$B$9+10*(Presion_cilindro!$B$9-1)*Presion_cilindro!$B$33*(IF(Presion_cilindro!N520&gt;(-G$4+Presion_cilindro!$B$34),1-EXP(-Presion_cilindro!$B$16*((Presion_cilindro!N520-(-G$4+Presion_cilindro!$B$34))/Presion_cilindro!$B$35)^(Presion_cilindro!$B$17+1)),0)-IF(Presion_cilindro!N519&gt;(-G$4+Presion_cilindro!$B$34),1-EXP(-Presion_cilindro!$B$16*((Presion_cilindro!N519-(-G$4+Presion_cilindro!$B$34))/Presion_cilindro!$B$35)^(Presion_cilindro!$B$17+1)),0))/((Presion_cilindro!O519+Presion_cilindro!O520)/2)</f>
        <v>5.4478869137661139</v>
      </c>
      <c r="H528" s="27">
        <f>H527*(Presion_cilindro!O519/Presion_cilindro!O520)^Presion_cilindro!$B$9+10*(Presion_cilindro!$B$9-1)*Presion_cilindro!$B$33*(IF(Presion_cilindro!N520&gt;(-H$4+Presion_cilindro!$B$34),1-EXP(-Presion_cilindro!$B$16*((Presion_cilindro!N520-(-H$4+Presion_cilindro!$B$34))/Presion_cilindro!$B$35)^(Presion_cilindro!$B$17+1)),0)-IF(Presion_cilindro!N519&gt;(-H$4+Presion_cilindro!$B$34),1-EXP(-Presion_cilindro!$B$16*((Presion_cilindro!N519-(-H$4+Presion_cilindro!$B$34))/Presion_cilindro!$B$35)^(Presion_cilindro!$B$17+1)),0))/((Presion_cilindro!O519+Presion_cilindro!O520)/2)</f>
        <v>5.3906274811344872</v>
      </c>
      <c r="I528" s="27">
        <f>I527*(Presion_cilindro!O519/Presion_cilindro!O520)^Presion_cilindro!$B$9+10*(Presion_cilindro!$B$9-1)*Presion_cilindro!$B$33*(IF(Presion_cilindro!N520&gt;(-I$4+Presion_cilindro!$B$34),1-EXP(-Presion_cilindro!$B$16*((Presion_cilindro!N520-(-I$4+Presion_cilindro!$B$34))/Presion_cilindro!$B$35)^(Presion_cilindro!$B$17+1)),0)-IF(Presion_cilindro!N519&gt;(-I$4+Presion_cilindro!$B$34),1-EXP(-Presion_cilindro!$B$16*((Presion_cilindro!N519-(-I$4+Presion_cilindro!$B$34))/Presion_cilindro!$B$35)^(Presion_cilindro!$B$17+1)),0))/((Presion_cilindro!O519+Presion_cilindro!O520)/2)</f>
        <v>5.3768925406698775</v>
      </c>
      <c r="J528" s="27">
        <f>J527*(Presion_cilindro!O519/Presion_cilindro!O520)^Presion_cilindro!$B$9+10*(Presion_cilindro!$B$9-1)*Presion_cilindro!$B$33*(IF(Presion_cilindro!N520&gt;(-J$4+Presion_cilindro!$B$34),1-EXP(-Presion_cilindro!$B$16*((Presion_cilindro!N520-(-J$4+Presion_cilindro!$B$34))/Presion_cilindro!$B$35)^(Presion_cilindro!$B$17+1)),0)-IF(Presion_cilindro!N519&gt;(-J$4+Presion_cilindro!$B$34),1-EXP(-Presion_cilindro!$B$16*((Presion_cilindro!N519-(-J$4+Presion_cilindro!$B$34))/Presion_cilindro!$B$35)^(Presion_cilindro!$B$17+1)),0))/((Presion_cilindro!O519+Presion_cilindro!O520)/2)</f>
        <v>5.4075375323587194</v>
      </c>
      <c r="K528" s="27">
        <f>K527*(Presion_cilindro!O519/Presion_cilindro!O520)^Presion_cilindro!$B$9+10*(Presion_cilindro!$B$9-1)*Presion_cilindro!$B$33*(IF(Presion_cilindro!N520&gt;(-K$4+Presion_cilindro!$B$34),1-EXP(-Presion_cilindro!$B$16*((Presion_cilindro!N520-(-K$4+Presion_cilindro!$B$34))/Presion_cilindro!$B$35)^(Presion_cilindro!$B$17+1)),0)-IF(Presion_cilindro!N519&gt;(-K$4+Presion_cilindro!$B$34),1-EXP(-Presion_cilindro!$B$16*((Presion_cilindro!N519-(-K$4+Presion_cilindro!$B$34))/Presion_cilindro!$B$35)^(Presion_cilindro!$B$17+1)),0))/((Presion_cilindro!O519+Presion_cilindro!O520)/2)</f>
        <v>5.4804094688958358</v>
      </c>
      <c r="L528" s="27">
        <f>L527*(Presion_cilindro!O519/Presion_cilindro!O520)^Presion_cilindro!$B$9+10*(Presion_cilindro!$B$9-1)*Presion_cilindro!$B$33*(IF(Presion_cilindro!N520&gt;(-L$4+Presion_cilindro!$B$34),1-EXP(-Presion_cilindro!$B$16*((Presion_cilindro!N520-(-L$4+Presion_cilindro!$B$34))/Presion_cilindro!$B$35)^(Presion_cilindro!$B$17+1)),0)-IF(Presion_cilindro!N519&gt;(-L$4+Presion_cilindro!$B$34),1-EXP(-Presion_cilindro!$B$16*((Presion_cilindro!N519-(-L$4+Presion_cilindro!$B$34))/Presion_cilindro!$B$35)^(Presion_cilindro!$B$17+1)),0))/((Presion_cilindro!O519+Presion_cilindro!O520)/2)</f>
        <v>5.5907920307976173</v>
      </c>
      <c r="M528" s="27">
        <f>M527*(Presion_cilindro!O519/Presion_cilindro!O520)^Presion_cilindro!$B$9+10*(Presion_cilindro!$B$9-1)*Presion_cilindro!$B$33*(IF(Presion_cilindro!N520&gt;(-M$4+Presion_cilindro!$B$34),1-EXP(-Presion_cilindro!$B$16*((Presion_cilindro!N520-(-M$4+Presion_cilindro!$B$34))/Presion_cilindro!$B$35)^(Presion_cilindro!$B$17+1)),0)-IF(Presion_cilindro!N519&gt;(-M$4+Presion_cilindro!$B$34),1-EXP(-Presion_cilindro!$B$16*((Presion_cilindro!N519-(-M$4+Presion_cilindro!$B$34))/Presion_cilindro!$B$35)^(Presion_cilindro!$B$17+1)),0))/((Presion_cilindro!O519+Presion_cilindro!O520)/2)</f>
        <v>5.73227587366629</v>
      </c>
      <c r="N528" s="27">
        <f>N527*(Presion_cilindro!O519/Presion_cilindro!O520)^Presion_cilindro!$B$9+10*(Presion_cilindro!$B$9-1)*Presion_cilindro!$B$33*(IF(Presion_cilindro!N520&gt;(-N$4+Presion_cilindro!$B$34),1-EXP(-Presion_cilindro!$B$16*((Presion_cilindro!N520-(-N$4+Presion_cilindro!$B$34))/Presion_cilindro!$B$35)^(Presion_cilindro!$B$17+1)),0)-IF(Presion_cilindro!N519&gt;(-N$4+Presion_cilindro!$B$34),1-EXP(-Presion_cilindro!$B$16*((Presion_cilindro!N519-(-N$4+Presion_cilindro!$B$34))/Presion_cilindro!$B$35)^(Presion_cilindro!$B$17+1)),0))/((Presion_cilindro!O519+Presion_cilindro!O520)/2)</f>
        <v>5.897763813709461</v>
      </c>
    </row>
    <row r="529" spans="1:14" x14ac:dyDescent="0.25">
      <c r="A529" s="21">
        <f>Presion_cilindro!N521</f>
        <v>78.5</v>
      </c>
      <c r="B529" s="27">
        <f>B528*(Presion_cilindro!O520/Presion_cilindro!O521)^Presion_cilindro!$B$9+10*(Presion_cilindro!$B$9-1)*Presion_cilindro!$B$33*(IF(Presion_cilindro!N521&gt;(-B$4+Presion_cilindro!$B$34),1-EXP(-Presion_cilindro!$B$16*((Presion_cilindro!N521-(-B$4+Presion_cilindro!$B$34))/Presion_cilindro!$B$35)^(Presion_cilindro!$B$17+1)),0)-IF(Presion_cilindro!N520&gt;(-B$4+Presion_cilindro!$B$34),1-EXP(-Presion_cilindro!$B$16*((Presion_cilindro!N520-(-B$4+Presion_cilindro!$B$34))/Presion_cilindro!$B$35)^(Presion_cilindro!$B$17+1)),0))/((Presion_cilindro!O520+Presion_cilindro!O521)/2)</f>
        <v>6.1379093164468967</v>
      </c>
      <c r="C529" s="27">
        <f>C528*(Presion_cilindro!O520/Presion_cilindro!O521)^Presion_cilindro!$B$9+10*(Presion_cilindro!$B$9-1)*Presion_cilindro!$B$33*(IF(Presion_cilindro!N521&gt;(-C$4+Presion_cilindro!$B$34),1-EXP(-Presion_cilindro!$B$16*((Presion_cilindro!N521-(-C$4+Presion_cilindro!$B$34))/Presion_cilindro!$B$35)^(Presion_cilindro!$B$17+1)),0)-IF(Presion_cilindro!N520&gt;(-C$4+Presion_cilindro!$B$34),1-EXP(-Presion_cilindro!$B$16*((Presion_cilindro!N520-(-C$4+Presion_cilindro!$B$34))/Presion_cilindro!$B$35)^(Presion_cilindro!$B$17+1)),0))/((Presion_cilindro!O520+Presion_cilindro!O521)/2)</f>
        <v>5.9492089412918743</v>
      </c>
      <c r="D529" s="27">
        <f>D528*(Presion_cilindro!O520/Presion_cilindro!O521)^Presion_cilindro!$B$9+10*(Presion_cilindro!$B$9-1)*Presion_cilindro!$B$33*(IF(Presion_cilindro!N521&gt;(-D$4+Presion_cilindro!$B$34),1-EXP(-Presion_cilindro!$B$16*((Presion_cilindro!N521-(-D$4+Presion_cilindro!$B$34))/Presion_cilindro!$B$35)^(Presion_cilindro!$B$17+1)),0)-IF(Presion_cilindro!N520&gt;(-D$4+Presion_cilindro!$B$34),1-EXP(-Presion_cilindro!$B$16*((Presion_cilindro!N520-(-D$4+Presion_cilindro!$B$34))/Presion_cilindro!$B$35)^(Presion_cilindro!$B$17+1)),0))/((Presion_cilindro!O520+Presion_cilindro!O521)/2)</f>
        <v>5.7734602237350607</v>
      </c>
      <c r="E529" s="27">
        <f>E528*(Presion_cilindro!O520/Presion_cilindro!O521)^Presion_cilindro!$B$9+10*(Presion_cilindro!$B$9-1)*Presion_cilindro!$B$33*(IF(Presion_cilindro!N521&gt;(-E$4+Presion_cilindro!$B$34),1-EXP(-Presion_cilindro!$B$16*((Presion_cilindro!N521-(-E$4+Presion_cilindro!$B$34))/Presion_cilindro!$B$35)^(Presion_cilindro!$B$17+1)),0)-IF(Presion_cilindro!N520&gt;(-E$4+Presion_cilindro!$B$34),1-EXP(-Presion_cilindro!$B$16*((Presion_cilindro!N520-(-E$4+Presion_cilindro!$B$34))/Presion_cilindro!$B$35)^(Presion_cilindro!$B$17+1)),0))/((Presion_cilindro!O520+Presion_cilindro!O521)/2)</f>
        <v>5.6172032041079119</v>
      </c>
      <c r="F529" s="27">
        <f>F528*(Presion_cilindro!O520/Presion_cilindro!O521)^Presion_cilindro!$B$9+10*(Presion_cilindro!$B$9-1)*Presion_cilindro!$B$33*(IF(Presion_cilindro!N521&gt;(-F$4+Presion_cilindro!$B$34),1-EXP(-Presion_cilindro!$B$16*((Presion_cilindro!N521-(-F$4+Presion_cilindro!$B$34))/Presion_cilindro!$B$35)^(Presion_cilindro!$B$17+1)),0)-IF(Presion_cilindro!N520&gt;(-F$4+Presion_cilindro!$B$34),1-EXP(-Presion_cilindro!$B$16*((Presion_cilindro!N520-(-F$4+Presion_cilindro!$B$34))/Presion_cilindro!$B$35)^(Presion_cilindro!$B$17+1)),0))/((Presion_cilindro!O520+Presion_cilindro!O521)/2)</f>
        <v>5.4875604215457177</v>
      </c>
      <c r="G529" s="27">
        <f>G528*(Presion_cilindro!O520/Presion_cilindro!O521)^Presion_cilindro!$B$9+10*(Presion_cilindro!$B$9-1)*Presion_cilindro!$B$33*(IF(Presion_cilindro!N521&gt;(-G$4+Presion_cilindro!$B$34),1-EXP(-Presion_cilindro!$B$16*((Presion_cilindro!N521-(-G$4+Presion_cilindro!$B$34))/Presion_cilindro!$B$35)^(Presion_cilindro!$B$17+1)),0)-IF(Presion_cilindro!N520&gt;(-G$4+Presion_cilindro!$B$34),1-EXP(-Presion_cilindro!$B$16*((Presion_cilindro!N520-(-G$4+Presion_cilindro!$B$34))/Presion_cilindro!$B$35)^(Presion_cilindro!$B$17+1)),0))/((Presion_cilindro!O520+Presion_cilindro!O521)/2)</f>
        <v>5.3914966415299164</v>
      </c>
      <c r="H529" s="27">
        <f>H528*(Presion_cilindro!O520/Presion_cilindro!O521)^Presion_cilindro!$B$9+10*(Presion_cilindro!$B$9-1)*Presion_cilindro!$B$33*(IF(Presion_cilindro!N521&gt;(-H$4+Presion_cilindro!$B$34),1-EXP(-Presion_cilindro!$B$16*((Presion_cilindro!N521-(-H$4+Presion_cilindro!$B$34))/Presion_cilindro!$B$35)^(Presion_cilindro!$B$17+1)),0)-IF(Presion_cilindro!N520&gt;(-H$4+Presion_cilindro!$B$34),1-EXP(-Presion_cilindro!$B$16*((Presion_cilindro!N520-(-H$4+Presion_cilindro!$B$34))/Presion_cilindro!$B$35)^(Presion_cilindro!$B$17+1)),0))/((Presion_cilindro!O520+Presion_cilindro!O521)/2)</f>
        <v>5.3348298928224045</v>
      </c>
      <c r="I529" s="27">
        <f>I528*(Presion_cilindro!O520/Presion_cilindro!O521)^Presion_cilindro!$B$9+10*(Presion_cilindro!$B$9-1)*Presion_cilindro!$B$33*(IF(Presion_cilindro!N521&gt;(-I$4+Presion_cilindro!$B$34),1-EXP(-Presion_cilindro!$B$16*((Presion_cilindro!N521-(-I$4+Presion_cilindro!$B$34))/Presion_cilindro!$B$35)^(Presion_cilindro!$B$17+1)),0)-IF(Presion_cilindro!N520&gt;(-I$4+Presion_cilindro!$B$34),1-EXP(-Presion_cilindro!$B$16*((Presion_cilindro!N520-(-I$4+Presion_cilindro!$B$34))/Presion_cilindro!$B$35)^(Presion_cilindro!$B$17+1)),0))/((Presion_cilindro!O520+Presion_cilindro!O521)/2)</f>
        <v>5.3212371206964937</v>
      </c>
      <c r="J529" s="27">
        <f>J528*(Presion_cilindro!O520/Presion_cilindro!O521)^Presion_cilindro!$B$9+10*(Presion_cilindro!$B$9-1)*Presion_cilindro!$B$33*(IF(Presion_cilindro!N521&gt;(-J$4+Presion_cilindro!$B$34),1-EXP(-Presion_cilindro!$B$16*((Presion_cilindro!N521-(-J$4+Presion_cilindro!$B$34))/Presion_cilindro!$B$35)^(Presion_cilindro!$B$17+1)),0)-IF(Presion_cilindro!N520&gt;(-J$4+Presion_cilindro!$B$34),1-EXP(-Presion_cilindro!$B$16*((Presion_cilindro!N520-(-J$4+Presion_cilindro!$B$34))/Presion_cilindro!$B$35)^(Presion_cilindro!$B$17+1)),0))/((Presion_cilindro!O520+Presion_cilindro!O521)/2)</f>
        <v>5.3515649106057532</v>
      </c>
      <c r="K529" s="27">
        <f>K528*(Presion_cilindro!O520/Presion_cilindro!O521)^Presion_cilindro!$B$9+10*(Presion_cilindro!$B$9-1)*Presion_cilindro!$B$33*(IF(Presion_cilindro!N521&gt;(-K$4+Presion_cilindro!$B$34),1-EXP(-Presion_cilindro!$B$16*((Presion_cilindro!N521-(-K$4+Presion_cilindro!$B$34))/Presion_cilindro!$B$35)^(Presion_cilindro!$B$17+1)),0)-IF(Presion_cilindro!N520&gt;(-K$4+Presion_cilindro!$B$34),1-EXP(-Presion_cilindro!$B$16*((Presion_cilindro!N520-(-K$4+Presion_cilindro!$B$34))/Presion_cilindro!$B$35)^(Presion_cilindro!$B$17+1)),0))/((Presion_cilindro!O520+Presion_cilindro!O521)/2)</f>
        <v>5.4236825604983867</v>
      </c>
      <c r="L529" s="27">
        <f>L528*(Presion_cilindro!O520/Presion_cilindro!O521)^Presion_cilindro!$B$9+10*(Presion_cilindro!$B$9-1)*Presion_cilindro!$B$33*(IF(Presion_cilindro!N521&gt;(-L$4+Presion_cilindro!$B$34),1-EXP(-Presion_cilindro!$B$16*((Presion_cilindro!N521-(-L$4+Presion_cilindro!$B$34))/Presion_cilindro!$B$35)^(Presion_cilindro!$B$17+1)),0)-IF(Presion_cilindro!N520&gt;(-L$4+Presion_cilindro!$B$34),1-EXP(-Presion_cilindro!$B$16*((Presion_cilindro!N520-(-L$4+Presion_cilindro!$B$34))/Presion_cilindro!$B$35)^(Presion_cilindro!$B$17+1)),0))/((Presion_cilindro!O520+Presion_cilindro!O521)/2)</f>
        <v>5.5329225688166783</v>
      </c>
      <c r="M529" s="27">
        <f>M528*(Presion_cilindro!O520/Presion_cilindro!O521)^Presion_cilindro!$B$9+10*(Presion_cilindro!$B$9-1)*Presion_cilindro!$B$33*(IF(Presion_cilindro!N521&gt;(-M$4+Presion_cilindro!$B$34),1-EXP(-Presion_cilindro!$B$16*((Presion_cilindro!N521-(-M$4+Presion_cilindro!$B$34))/Presion_cilindro!$B$35)^(Presion_cilindro!$B$17+1)),0)-IF(Presion_cilindro!N520&gt;(-M$4+Presion_cilindro!$B$34),1-EXP(-Presion_cilindro!$B$16*((Presion_cilindro!N520-(-M$4+Presion_cilindro!$B$34))/Presion_cilindro!$B$35)^(Presion_cilindro!$B$17+1)),0))/((Presion_cilindro!O520+Presion_cilindro!O521)/2)</f>
        <v>5.672941933339402</v>
      </c>
      <c r="N529" s="27">
        <f>N528*(Presion_cilindro!O520/Presion_cilindro!O521)^Presion_cilindro!$B$9+10*(Presion_cilindro!$B$9-1)*Presion_cilindro!$B$33*(IF(Presion_cilindro!N521&gt;(-N$4+Presion_cilindro!$B$34),1-EXP(-Presion_cilindro!$B$16*((Presion_cilindro!N521-(-N$4+Presion_cilindro!$B$34))/Presion_cilindro!$B$35)^(Presion_cilindro!$B$17+1)),0)-IF(Presion_cilindro!N520&gt;(-N$4+Presion_cilindro!$B$34),1-EXP(-Presion_cilindro!$B$16*((Presion_cilindro!N520-(-N$4+Presion_cilindro!$B$34))/Presion_cilindro!$B$35)^(Presion_cilindro!$B$17+1)),0))/((Presion_cilindro!O520+Presion_cilindro!O521)/2)</f>
        <v>5.8367169321746228</v>
      </c>
    </row>
    <row r="530" spans="1:14" x14ac:dyDescent="0.25">
      <c r="A530" s="21">
        <f>Presion_cilindro!N522</f>
        <v>79</v>
      </c>
      <c r="B530" s="27">
        <f>B529*(Presion_cilindro!O521/Presion_cilindro!O522)^Presion_cilindro!$B$9+10*(Presion_cilindro!$B$9-1)*Presion_cilindro!$B$33*(IF(Presion_cilindro!N522&gt;(-B$4+Presion_cilindro!$B$34),1-EXP(-Presion_cilindro!$B$16*((Presion_cilindro!N522-(-B$4+Presion_cilindro!$B$34))/Presion_cilindro!$B$35)^(Presion_cilindro!$B$17+1)),0)-IF(Presion_cilindro!N521&gt;(-B$4+Presion_cilindro!$B$34),1-EXP(-Presion_cilindro!$B$16*((Presion_cilindro!N521-(-B$4+Presion_cilindro!$B$34))/Presion_cilindro!$B$35)^(Presion_cilindro!$B$17+1)),0))/((Presion_cilindro!O521+Presion_cilindro!O522)/2)</f>
        <v>6.0749065658868959</v>
      </c>
      <c r="C530" s="27">
        <f>C529*(Presion_cilindro!O521/Presion_cilindro!O522)^Presion_cilindro!$B$9+10*(Presion_cilindro!$B$9-1)*Presion_cilindro!$B$33*(IF(Presion_cilindro!N522&gt;(-C$4+Presion_cilindro!$B$34),1-EXP(-Presion_cilindro!$B$16*((Presion_cilindro!N522-(-C$4+Presion_cilindro!$B$34))/Presion_cilindro!$B$35)^(Presion_cilindro!$B$17+1)),0)-IF(Presion_cilindro!N521&gt;(-C$4+Presion_cilindro!$B$34),1-EXP(-Presion_cilindro!$B$16*((Presion_cilindro!N521-(-C$4+Presion_cilindro!$B$34))/Presion_cilindro!$B$35)^(Presion_cilindro!$B$17+1)),0))/((Presion_cilindro!O521+Presion_cilindro!O522)/2)</f>
        <v>5.8881425704414738</v>
      </c>
      <c r="D530" s="27">
        <f>D529*(Presion_cilindro!O521/Presion_cilindro!O522)^Presion_cilindro!$B$9+10*(Presion_cilindro!$B$9-1)*Presion_cilindro!$B$33*(IF(Presion_cilindro!N522&gt;(-D$4+Presion_cilindro!$B$34),1-EXP(-Presion_cilindro!$B$16*((Presion_cilindro!N522-(-D$4+Presion_cilindro!$B$34))/Presion_cilindro!$B$35)^(Presion_cilindro!$B$17+1)),0)-IF(Presion_cilindro!N521&gt;(-D$4+Presion_cilindro!$B$34),1-EXP(-Presion_cilindro!$B$16*((Presion_cilindro!N521-(-D$4+Presion_cilindro!$B$34))/Presion_cilindro!$B$35)^(Presion_cilindro!$B$17+1)),0))/((Presion_cilindro!O521+Presion_cilindro!O522)/2)</f>
        <v>5.7141978250853711</v>
      </c>
      <c r="E530" s="27">
        <f>E529*(Presion_cilindro!O521/Presion_cilindro!O522)^Presion_cilindro!$B$9+10*(Presion_cilindro!$B$9-1)*Presion_cilindro!$B$33*(IF(Presion_cilindro!N522&gt;(-E$4+Presion_cilindro!$B$34),1-EXP(-Presion_cilindro!$B$16*((Presion_cilindro!N522-(-E$4+Presion_cilindro!$B$34))/Presion_cilindro!$B$35)^(Presion_cilindro!$B$17+1)),0)-IF(Presion_cilindro!N521&gt;(-E$4+Presion_cilindro!$B$34),1-EXP(-Presion_cilindro!$B$16*((Presion_cilindro!N521-(-E$4+Presion_cilindro!$B$34))/Presion_cilindro!$B$35)^(Presion_cilindro!$B$17+1)),0))/((Presion_cilindro!O521+Presion_cilindro!O522)/2)</f>
        <v>5.5595447244847849</v>
      </c>
      <c r="F530" s="27">
        <f>F529*(Presion_cilindro!O521/Presion_cilindro!O522)^Presion_cilindro!$B$9+10*(Presion_cilindro!$B$9-1)*Presion_cilindro!$B$33*(IF(Presion_cilindro!N522&gt;(-F$4+Presion_cilindro!$B$34),1-EXP(-Presion_cilindro!$B$16*((Presion_cilindro!N522-(-F$4+Presion_cilindro!$B$34))/Presion_cilindro!$B$35)^(Presion_cilindro!$B$17+1)),0)-IF(Presion_cilindro!N521&gt;(-F$4+Presion_cilindro!$B$34),1-EXP(-Presion_cilindro!$B$16*((Presion_cilindro!N521-(-F$4+Presion_cilindro!$B$34))/Presion_cilindro!$B$35)^(Presion_cilindro!$B$17+1)),0))/((Presion_cilindro!O521+Presion_cilindro!O522)/2)</f>
        <v>5.4312326763504775</v>
      </c>
      <c r="G530" s="27">
        <f>G529*(Presion_cilindro!O521/Presion_cilindro!O522)^Presion_cilindro!$B$9+10*(Presion_cilindro!$B$9-1)*Presion_cilindro!$B$33*(IF(Presion_cilindro!N522&gt;(-G$4+Presion_cilindro!$B$34),1-EXP(-Presion_cilindro!$B$16*((Presion_cilindro!N522-(-G$4+Presion_cilindro!$B$34))/Presion_cilindro!$B$35)^(Presion_cilindro!$B$17+1)),0)-IF(Presion_cilindro!N521&gt;(-G$4+Presion_cilindro!$B$34),1-EXP(-Presion_cilindro!$B$16*((Presion_cilindro!N521-(-G$4+Presion_cilindro!$B$34))/Presion_cilindro!$B$35)^(Presion_cilindro!$B$17+1)),0))/((Presion_cilindro!O521+Presion_cilindro!O522)/2)</f>
        <v>5.3361549549303318</v>
      </c>
      <c r="H530" s="27">
        <f>H529*(Presion_cilindro!O521/Presion_cilindro!O522)^Presion_cilindro!$B$9+10*(Presion_cilindro!$B$9-1)*Presion_cilindro!$B$33*(IF(Presion_cilindro!N522&gt;(-H$4+Presion_cilindro!$B$34),1-EXP(-Presion_cilindro!$B$16*((Presion_cilindro!N522-(-H$4+Presion_cilindro!$B$34))/Presion_cilindro!$B$35)^(Presion_cilindro!$B$17+1)),0)-IF(Presion_cilindro!N521&gt;(-H$4+Presion_cilindro!$B$34),1-EXP(-Presion_cilindro!$B$16*((Presion_cilindro!N521-(-H$4+Presion_cilindro!$B$34))/Presion_cilindro!$B$35)^(Presion_cilindro!$B$17+1)),0))/((Presion_cilindro!O521+Presion_cilindro!O522)/2)</f>
        <v>5.2800698690997718</v>
      </c>
      <c r="I530" s="27">
        <f>I529*(Presion_cilindro!O521/Presion_cilindro!O522)^Presion_cilindro!$B$9+10*(Presion_cilindro!$B$9-1)*Presion_cilindro!$B$33*(IF(Presion_cilindro!N522&gt;(-I$4+Presion_cilindro!$B$34),1-EXP(-Presion_cilindro!$B$16*((Presion_cilindro!N522-(-I$4+Presion_cilindro!$B$34))/Presion_cilindro!$B$35)^(Presion_cilindro!$B$17+1)),0)-IF(Presion_cilindro!N521&gt;(-I$4+Presion_cilindro!$B$34),1-EXP(-Presion_cilindro!$B$16*((Presion_cilindro!N521-(-I$4+Presion_cilindro!$B$34))/Presion_cilindro!$B$35)^(Presion_cilindro!$B$17+1)),0))/((Presion_cilindro!O521+Presion_cilindro!O522)/2)</f>
        <v>5.2666166216708099</v>
      </c>
      <c r="J530" s="27">
        <f>J529*(Presion_cilindro!O521/Presion_cilindro!O522)^Presion_cilindro!$B$9+10*(Presion_cilindro!$B$9-1)*Presion_cilindro!$B$33*(IF(Presion_cilindro!N522&gt;(-J$4+Presion_cilindro!$B$34),1-EXP(-Presion_cilindro!$B$16*((Presion_cilindro!N522-(-J$4+Presion_cilindro!$B$34))/Presion_cilindro!$B$35)^(Presion_cilindro!$B$17+1)),0)-IF(Presion_cilindro!N521&gt;(-J$4+Presion_cilindro!$B$34),1-EXP(-Presion_cilindro!$B$16*((Presion_cilindro!N521-(-J$4+Presion_cilindro!$B$34))/Presion_cilindro!$B$35)^(Presion_cilindro!$B$17+1)),0))/((Presion_cilindro!O521+Presion_cilindro!O522)/2)</f>
        <v>5.2966331082155298</v>
      </c>
      <c r="K530" s="27">
        <f>K529*(Presion_cilindro!O521/Presion_cilindro!O522)^Presion_cilindro!$B$9+10*(Presion_cilindro!$B$9-1)*Presion_cilindro!$B$33*(IF(Presion_cilindro!N522&gt;(-K$4+Presion_cilindro!$B$34),1-EXP(-Presion_cilindro!$B$16*((Presion_cilindro!N522-(-K$4+Presion_cilindro!$B$34))/Presion_cilindro!$B$35)^(Presion_cilindro!$B$17+1)),0)-IF(Presion_cilindro!N521&gt;(-K$4+Presion_cilindro!$B$34),1-EXP(-Presion_cilindro!$B$16*((Presion_cilindro!N521-(-K$4+Presion_cilindro!$B$34))/Presion_cilindro!$B$35)^(Presion_cilindro!$B$17+1)),0))/((Presion_cilindro!O521+Presion_cilindro!O522)/2)</f>
        <v>5.368010497537858</v>
      </c>
      <c r="L530" s="27">
        <f>L529*(Presion_cilindro!O521/Presion_cilindro!O522)^Presion_cilindro!$B$9+10*(Presion_cilindro!$B$9-1)*Presion_cilindro!$B$33*(IF(Presion_cilindro!N522&gt;(-L$4+Presion_cilindro!$B$34),1-EXP(-Presion_cilindro!$B$16*((Presion_cilindro!N522-(-L$4+Presion_cilindro!$B$34))/Presion_cilindro!$B$35)^(Presion_cilindro!$B$17+1)),0)-IF(Presion_cilindro!N521&gt;(-L$4+Presion_cilindro!$B$34),1-EXP(-Presion_cilindro!$B$16*((Presion_cilindro!N521-(-L$4+Presion_cilindro!$B$34))/Presion_cilindro!$B$35)^(Presion_cilindro!$B$17+1)),0))/((Presion_cilindro!O521+Presion_cilindro!O522)/2)</f>
        <v>5.4761291982292617</v>
      </c>
      <c r="M530" s="27">
        <f>M529*(Presion_cilindro!O521/Presion_cilindro!O522)^Presion_cilindro!$B$9+10*(Presion_cilindro!$B$9-1)*Presion_cilindro!$B$33*(IF(Presion_cilindro!N522&gt;(-M$4+Presion_cilindro!$B$34),1-EXP(-Presion_cilindro!$B$16*((Presion_cilindro!N522-(-M$4+Presion_cilindro!$B$34))/Presion_cilindro!$B$35)^(Presion_cilindro!$B$17+1)),0)-IF(Presion_cilindro!N521&gt;(-M$4+Presion_cilindro!$B$34),1-EXP(-Presion_cilindro!$B$16*((Presion_cilindro!N521-(-M$4+Presion_cilindro!$B$34))/Presion_cilindro!$B$35)^(Presion_cilindro!$B$17+1)),0))/((Presion_cilindro!O521+Presion_cilindro!O522)/2)</f>
        <v>5.6147113166022615</v>
      </c>
      <c r="N530" s="27">
        <f>N529*(Presion_cilindro!O521/Presion_cilindro!O522)^Presion_cilindro!$B$9+10*(Presion_cilindro!$B$9-1)*Presion_cilindro!$B$33*(IF(Presion_cilindro!N522&gt;(-N$4+Presion_cilindro!$B$34),1-EXP(-Presion_cilindro!$B$16*((Presion_cilindro!N522-(-N$4+Presion_cilindro!$B$34))/Presion_cilindro!$B$35)^(Presion_cilindro!$B$17+1)),0)-IF(Presion_cilindro!N521&gt;(-N$4+Presion_cilindro!$B$34),1-EXP(-Presion_cilindro!$B$16*((Presion_cilindro!N521-(-N$4+Presion_cilindro!$B$34))/Presion_cilindro!$B$35)^(Presion_cilindro!$B$17+1)),0))/((Presion_cilindro!O521+Presion_cilindro!O522)/2)</f>
        <v>5.776805226630235</v>
      </c>
    </row>
    <row r="531" spans="1:14" x14ac:dyDescent="0.25">
      <c r="A531" s="21">
        <f>Presion_cilindro!N523</f>
        <v>79.5</v>
      </c>
      <c r="B531" s="27">
        <f>B530*(Presion_cilindro!O522/Presion_cilindro!O523)^Presion_cilindro!$B$9+10*(Presion_cilindro!$B$9-1)*Presion_cilindro!$B$33*(IF(Presion_cilindro!N523&gt;(-B$4+Presion_cilindro!$B$34),1-EXP(-Presion_cilindro!$B$16*((Presion_cilindro!N523-(-B$4+Presion_cilindro!$B$34))/Presion_cilindro!$B$35)^(Presion_cilindro!$B$17+1)),0)-IF(Presion_cilindro!N522&gt;(-B$4+Presion_cilindro!$B$34),1-EXP(-Presion_cilindro!$B$16*((Presion_cilindro!N522-(-B$4+Presion_cilindro!$B$34))/Presion_cilindro!$B$35)^(Presion_cilindro!$B$17+1)),0))/((Presion_cilindro!O522+Presion_cilindro!O523)/2)</f>
        <v>6.0130713730964418</v>
      </c>
      <c r="C531" s="27">
        <f>C530*(Presion_cilindro!O522/Presion_cilindro!O523)^Presion_cilindro!$B$9+10*(Presion_cilindro!$B$9-1)*Presion_cilindro!$B$33*(IF(Presion_cilindro!N523&gt;(-C$4+Presion_cilindro!$B$34),1-EXP(-Presion_cilindro!$B$16*((Presion_cilindro!N523-(-C$4+Presion_cilindro!$B$34))/Presion_cilindro!$B$35)^(Presion_cilindro!$B$17+1)),0)-IF(Presion_cilindro!N522&gt;(-C$4+Presion_cilindro!$B$34),1-EXP(-Presion_cilindro!$B$16*((Presion_cilindro!N522-(-C$4+Presion_cilindro!$B$34))/Presion_cilindro!$B$35)^(Presion_cilindro!$B$17+1)),0))/((Presion_cilindro!O522+Presion_cilindro!O523)/2)</f>
        <v>5.8282080117516664</v>
      </c>
      <c r="D531" s="27">
        <f>D530*(Presion_cilindro!O522/Presion_cilindro!O523)^Presion_cilindro!$B$9+10*(Presion_cilindro!$B$9-1)*Presion_cilindro!$B$33*(IF(Presion_cilindro!N523&gt;(-D$4+Presion_cilindro!$B$34),1-EXP(-Presion_cilindro!$B$16*((Presion_cilindro!N523-(-D$4+Presion_cilindro!$B$34))/Presion_cilindro!$B$35)^(Presion_cilindro!$B$17+1)),0)-IF(Presion_cilindro!N522&gt;(-D$4+Presion_cilindro!$B$34),1-EXP(-Presion_cilindro!$B$16*((Presion_cilindro!N522-(-D$4+Presion_cilindro!$B$34))/Presion_cilindro!$B$35)^(Presion_cilindro!$B$17+1)),0))/((Presion_cilindro!O522+Presion_cilindro!O523)/2)</f>
        <v>5.6560338098402676</v>
      </c>
      <c r="E531" s="27">
        <f>E530*(Presion_cilindro!O522/Presion_cilindro!O523)^Presion_cilindro!$B$9+10*(Presion_cilindro!$B$9-1)*Presion_cilindro!$B$33*(IF(Presion_cilindro!N523&gt;(-E$4+Presion_cilindro!$B$34),1-EXP(-Presion_cilindro!$B$16*((Presion_cilindro!N523-(-E$4+Presion_cilindro!$B$34))/Presion_cilindro!$B$35)^(Presion_cilindro!$B$17+1)),0)-IF(Presion_cilindro!N522&gt;(-E$4+Presion_cilindro!$B$34),1-EXP(-Presion_cilindro!$B$16*((Presion_cilindro!N522-(-E$4+Presion_cilindro!$B$34))/Presion_cilindro!$B$35)^(Presion_cilindro!$B$17+1)),0))/((Presion_cilindro!O522+Presion_cilindro!O523)/2)</f>
        <v>5.5029549010230641</v>
      </c>
      <c r="F531" s="27">
        <f>F530*(Presion_cilindro!O522/Presion_cilindro!O523)^Presion_cilindro!$B$9+10*(Presion_cilindro!$B$9-1)*Presion_cilindro!$B$33*(IF(Presion_cilindro!N523&gt;(-F$4+Presion_cilindro!$B$34),1-EXP(-Presion_cilindro!$B$16*((Presion_cilindro!N523-(-F$4+Presion_cilindro!$B$34))/Presion_cilindro!$B$35)^(Presion_cilindro!$B$17+1)),0)-IF(Presion_cilindro!N522&gt;(-F$4+Presion_cilindro!$B$34),1-EXP(-Presion_cilindro!$B$16*((Presion_cilindro!N522-(-F$4+Presion_cilindro!$B$34))/Presion_cilindro!$B$35)^(Presion_cilindro!$B$17+1)),0))/((Presion_cilindro!O522+Presion_cilindro!O523)/2)</f>
        <v>5.3759489231667983</v>
      </c>
      <c r="G531" s="27">
        <f>G530*(Presion_cilindro!O522/Presion_cilindro!O523)^Presion_cilindro!$B$9+10*(Presion_cilindro!$B$9-1)*Presion_cilindro!$B$33*(IF(Presion_cilindro!N523&gt;(-G$4+Presion_cilindro!$B$34),1-EXP(-Presion_cilindro!$B$16*((Presion_cilindro!N523-(-G$4+Presion_cilindro!$B$34))/Presion_cilindro!$B$35)^(Presion_cilindro!$B$17+1)),0)-IF(Presion_cilindro!N522&gt;(-G$4+Presion_cilindro!$B$34),1-EXP(-Presion_cilindro!$B$16*((Presion_cilindro!N522-(-G$4+Presion_cilindro!$B$34))/Presion_cilindro!$B$35)^(Presion_cilindro!$B$17+1)),0))/((Presion_cilindro!O522+Presion_cilindro!O523)/2)</f>
        <v>5.2818389844945592</v>
      </c>
      <c r="H531" s="27">
        <f>H530*(Presion_cilindro!O522/Presion_cilindro!O523)^Presion_cilindro!$B$9+10*(Presion_cilindro!$B$9-1)*Presion_cilindro!$B$33*(IF(Presion_cilindro!N523&gt;(-H$4+Presion_cilindro!$B$34),1-EXP(-Presion_cilindro!$B$16*((Presion_cilindro!N523-(-H$4+Presion_cilindro!$B$34))/Presion_cilindro!$B$35)^(Presion_cilindro!$B$17+1)),0)-IF(Presion_cilindro!N522&gt;(-H$4+Presion_cilindro!$B$34),1-EXP(-Presion_cilindro!$B$16*((Presion_cilindro!N522-(-H$4+Presion_cilindro!$B$34))/Presion_cilindro!$B$35)^(Presion_cilindro!$B$17+1)),0))/((Presion_cilindro!O522+Presion_cilindro!O523)/2)</f>
        <v>5.2263247808609341</v>
      </c>
      <c r="I531" s="27">
        <f>I530*(Presion_cilindro!O522/Presion_cilindro!O523)^Presion_cilindro!$B$9+10*(Presion_cilindro!$B$9-1)*Presion_cilindro!$B$33*(IF(Presion_cilindro!N523&gt;(-I$4+Presion_cilindro!$B$34),1-EXP(-Presion_cilindro!$B$16*((Presion_cilindro!N523-(-I$4+Presion_cilindro!$B$34))/Presion_cilindro!$B$35)^(Presion_cilindro!$B$17+1)),0)-IF(Presion_cilindro!N522&gt;(-I$4+Presion_cilindro!$B$34),1-EXP(-Presion_cilindro!$B$16*((Presion_cilindro!N522-(-I$4+Presion_cilindro!$B$34))/Presion_cilindro!$B$35)^(Presion_cilindro!$B$17+1)),0))/((Presion_cilindro!O522+Presion_cilindro!O523)/2)</f>
        <v>5.2130084721445451</v>
      </c>
      <c r="J531" s="27">
        <f>J530*(Presion_cilindro!O522/Presion_cilindro!O523)^Presion_cilindro!$B$9+10*(Presion_cilindro!$B$9-1)*Presion_cilindro!$B$33*(IF(Presion_cilindro!N523&gt;(-J$4+Presion_cilindro!$B$34),1-EXP(-Presion_cilindro!$B$16*((Presion_cilindro!N523-(-J$4+Presion_cilindro!$B$34))/Presion_cilindro!$B$35)^(Presion_cilindro!$B$17+1)),0)-IF(Presion_cilindro!N522&gt;(-J$4+Presion_cilindro!$B$34),1-EXP(-Presion_cilindro!$B$16*((Presion_cilindro!N522-(-J$4+Presion_cilindro!$B$34))/Presion_cilindro!$B$35)^(Presion_cilindro!$B$17+1)),0))/((Presion_cilindro!O522+Presion_cilindro!O523)/2)</f>
        <v>5.2427194250963467</v>
      </c>
      <c r="K531" s="27">
        <f>K530*(Presion_cilindro!O522/Presion_cilindro!O523)^Presion_cilindro!$B$9+10*(Presion_cilindro!$B$9-1)*Presion_cilindro!$B$33*(IF(Presion_cilindro!N523&gt;(-K$4+Presion_cilindro!$B$34),1-EXP(-Presion_cilindro!$B$16*((Presion_cilindro!N523-(-K$4+Presion_cilindro!$B$34))/Presion_cilindro!$B$35)^(Presion_cilindro!$B$17+1)),0)-IF(Presion_cilindro!N522&gt;(-K$4+Presion_cilindro!$B$34),1-EXP(-Presion_cilindro!$B$16*((Presion_cilindro!N522-(-K$4+Presion_cilindro!$B$34))/Presion_cilindro!$B$35)^(Presion_cilindro!$B$17+1)),0))/((Presion_cilindro!O522+Presion_cilindro!O523)/2)</f>
        <v>5.3133702740162763</v>
      </c>
      <c r="L531" s="27">
        <f>L530*(Presion_cilindro!O522/Presion_cilindro!O523)^Presion_cilindro!$B$9+10*(Presion_cilindro!$B$9-1)*Presion_cilindro!$B$33*(IF(Presion_cilindro!N523&gt;(-L$4+Presion_cilindro!$B$34),1-EXP(-Presion_cilindro!$B$16*((Presion_cilindro!N523-(-L$4+Presion_cilindro!$B$34))/Presion_cilindro!$B$35)^(Presion_cilindro!$B$17+1)),0)-IF(Presion_cilindro!N522&gt;(-L$4+Presion_cilindro!$B$34),1-EXP(-Presion_cilindro!$B$16*((Presion_cilindro!N522-(-L$4+Presion_cilindro!$B$34))/Presion_cilindro!$B$35)^(Presion_cilindro!$B$17+1)),0))/((Presion_cilindro!O522+Presion_cilindro!O523)/2)</f>
        <v>5.4203884496667269</v>
      </c>
      <c r="M531" s="27">
        <f>M530*(Presion_cilindro!O522/Presion_cilindro!O523)^Presion_cilindro!$B$9+10*(Presion_cilindro!$B$9-1)*Presion_cilindro!$B$33*(IF(Presion_cilindro!N523&gt;(-M$4+Presion_cilindro!$B$34),1-EXP(-Presion_cilindro!$B$16*((Presion_cilindro!N523-(-M$4+Presion_cilindro!$B$34))/Presion_cilindro!$B$35)^(Presion_cilindro!$B$17+1)),0)-IF(Presion_cilindro!N522&gt;(-M$4+Presion_cilindro!$B$34),1-EXP(-Presion_cilindro!$B$16*((Presion_cilindro!N522-(-M$4+Presion_cilindro!$B$34))/Presion_cilindro!$B$35)^(Presion_cilindro!$B$17+1)),0))/((Presion_cilindro!O522+Presion_cilindro!O523)/2)</f>
        <v>5.5575599601567003</v>
      </c>
      <c r="N531" s="27">
        <f>N530*(Presion_cilindro!O522/Presion_cilindro!O523)^Presion_cilindro!$B$9+10*(Presion_cilindro!$B$9-1)*Presion_cilindro!$B$33*(IF(Presion_cilindro!N523&gt;(-N$4+Presion_cilindro!$B$34),1-EXP(-Presion_cilindro!$B$16*((Presion_cilindro!N523-(-N$4+Presion_cilindro!$B$34))/Presion_cilindro!$B$35)^(Presion_cilindro!$B$17+1)),0)-IF(Presion_cilindro!N522&gt;(-N$4+Presion_cilindro!$B$34),1-EXP(-Presion_cilindro!$B$16*((Presion_cilindro!N522-(-N$4+Presion_cilindro!$B$34))/Presion_cilindro!$B$35)^(Presion_cilindro!$B$17+1)),0))/((Presion_cilindro!O522+Presion_cilindro!O523)/2)</f>
        <v>5.7180039390827364</v>
      </c>
    </row>
    <row r="532" spans="1:14" x14ac:dyDescent="0.25">
      <c r="A532" s="21">
        <f>Presion_cilindro!N524</f>
        <v>80</v>
      </c>
      <c r="B532" s="27">
        <f>B531*(Presion_cilindro!O523/Presion_cilindro!O524)^Presion_cilindro!$B$9+10*(Presion_cilindro!$B$9-1)*Presion_cilindro!$B$33*(IF(Presion_cilindro!N524&gt;(-B$4+Presion_cilindro!$B$34),1-EXP(-Presion_cilindro!$B$16*((Presion_cilindro!N524-(-B$4+Presion_cilindro!$B$34))/Presion_cilindro!$B$35)^(Presion_cilindro!$B$17+1)),0)-IF(Presion_cilindro!N523&gt;(-B$4+Presion_cilindro!$B$34),1-EXP(-Presion_cilindro!$B$16*((Presion_cilindro!N523-(-B$4+Presion_cilindro!$B$34))/Presion_cilindro!$B$35)^(Presion_cilindro!$B$17+1)),0))/((Presion_cilindro!O523+Presion_cilindro!O524)/2)</f>
        <v>5.9523783951119018</v>
      </c>
      <c r="C532" s="27">
        <f>C531*(Presion_cilindro!O523/Presion_cilindro!O524)^Presion_cilindro!$B$9+10*(Presion_cilindro!$B$9-1)*Presion_cilindro!$B$33*(IF(Presion_cilindro!N524&gt;(-C$4+Presion_cilindro!$B$34),1-EXP(-Presion_cilindro!$B$16*((Presion_cilindro!N524-(-C$4+Presion_cilindro!$B$34))/Presion_cilindro!$B$35)^(Presion_cilindro!$B$17+1)),0)-IF(Presion_cilindro!N523&gt;(-C$4+Presion_cilindro!$B$34),1-EXP(-Presion_cilindro!$B$16*((Presion_cilindro!N523-(-C$4+Presion_cilindro!$B$34))/Presion_cilindro!$B$35)^(Presion_cilindro!$B$17+1)),0))/((Presion_cilindro!O523+Presion_cilindro!O524)/2)</f>
        <v>5.7693806629759914</v>
      </c>
      <c r="D532" s="27">
        <f>D531*(Presion_cilindro!O523/Presion_cilindro!O524)^Presion_cilindro!$B$9+10*(Presion_cilindro!$B$9-1)*Presion_cilindro!$B$33*(IF(Presion_cilindro!N524&gt;(-D$4+Presion_cilindro!$B$34),1-EXP(-Presion_cilindro!$B$16*((Presion_cilindro!N524-(-D$4+Presion_cilindro!$B$34))/Presion_cilindro!$B$35)^(Presion_cilindro!$B$17+1)),0)-IF(Presion_cilindro!N523&gt;(-D$4+Presion_cilindro!$B$34),1-EXP(-Presion_cilindro!$B$16*((Presion_cilindro!N523-(-D$4+Presion_cilindro!$B$34))/Presion_cilindro!$B$35)^(Presion_cilindro!$B$17+1)),0))/((Presion_cilindro!O523+Presion_cilindro!O524)/2)</f>
        <v>5.5989443005795936</v>
      </c>
      <c r="E532" s="27">
        <f>E531*(Presion_cilindro!O523/Presion_cilindro!O524)^Presion_cilindro!$B$9+10*(Presion_cilindro!$B$9-1)*Presion_cilindro!$B$33*(IF(Presion_cilindro!N524&gt;(-E$4+Presion_cilindro!$B$34),1-EXP(-Presion_cilindro!$B$16*((Presion_cilindro!N524-(-E$4+Presion_cilindro!$B$34))/Presion_cilindro!$B$35)^(Presion_cilindro!$B$17+1)),0)-IF(Presion_cilindro!N523&gt;(-E$4+Presion_cilindro!$B$34),1-EXP(-Presion_cilindro!$B$16*((Presion_cilindro!N523-(-E$4+Presion_cilindro!$B$34))/Presion_cilindro!$B$35)^(Presion_cilindro!$B$17+1)),0))/((Presion_cilindro!O523+Presion_cilindro!O524)/2)</f>
        <v>5.4474105024777808</v>
      </c>
      <c r="F532" s="27">
        <f>F531*(Presion_cilindro!O523/Presion_cilindro!O524)^Presion_cilindro!$B$9+10*(Presion_cilindro!$B$9-1)*Presion_cilindro!$B$33*(IF(Presion_cilindro!N524&gt;(-F$4+Presion_cilindro!$B$34),1-EXP(-Presion_cilindro!$B$16*((Presion_cilindro!N524-(-F$4+Presion_cilindro!$B$34))/Presion_cilindro!$B$35)^(Presion_cilindro!$B$17+1)),0)-IF(Presion_cilindro!N523&gt;(-F$4+Presion_cilindro!$B$34),1-EXP(-Presion_cilindro!$B$16*((Presion_cilindro!N523-(-F$4+Presion_cilindro!$B$34))/Presion_cilindro!$B$35)^(Presion_cilindro!$B$17+1)),0))/((Presion_cilindro!O523+Presion_cilindro!O524)/2)</f>
        <v>5.321686466916379</v>
      </c>
      <c r="G532" s="27">
        <f>G531*(Presion_cilindro!O523/Presion_cilindro!O524)^Presion_cilindro!$B$9+10*(Presion_cilindro!$B$9-1)*Presion_cilindro!$B$33*(IF(Presion_cilindro!N524&gt;(-G$4+Presion_cilindro!$B$34),1-EXP(-Presion_cilindro!$B$16*((Presion_cilindro!N524-(-G$4+Presion_cilindro!$B$34))/Presion_cilindro!$B$35)^(Presion_cilindro!$B$17+1)),0)-IF(Presion_cilindro!N523&gt;(-G$4+Presion_cilindro!$B$34),1-EXP(-Presion_cilindro!$B$16*((Presion_cilindro!N523-(-G$4+Presion_cilindro!$B$34))/Presion_cilindro!$B$35)^(Presion_cilindro!$B$17+1)),0))/((Presion_cilindro!O523+Presion_cilindro!O524)/2)</f>
        <v>5.2285264324383176</v>
      </c>
      <c r="H532" s="27">
        <f>H531*(Presion_cilindro!O523/Presion_cilindro!O524)^Presion_cilindro!$B$9+10*(Presion_cilindro!$B$9-1)*Presion_cilindro!$B$33*(IF(Presion_cilindro!N524&gt;(-H$4+Presion_cilindro!$B$34),1-EXP(-Presion_cilindro!$B$16*((Presion_cilindro!N524-(-H$4+Presion_cilindro!$B$34))/Presion_cilindro!$B$35)^(Presion_cilindro!$B$17+1)),0)-IF(Presion_cilindro!N523&gt;(-H$4+Presion_cilindro!$B$34),1-EXP(-Presion_cilindro!$B$16*((Presion_cilindro!N523-(-H$4+Presion_cilindro!$B$34))/Presion_cilindro!$B$35)^(Presion_cilindro!$B$17+1)),0))/((Presion_cilindro!O523+Presion_cilindro!O524)/2)</f>
        <v>5.1735725646800894</v>
      </c>
      <c r="I532" s="27">
        <f>I531*(Presion_cilindro!O523/Presion_cilindro!O524)^Presion_cilindro!$B$9+10*(Presion_cilindro!$B$9-1)*Presion_cilindro!$B$33*(IF(Presion_cilindro!N524&gt;(-I$4+Presion_cilindro!$B$34),1-EXP(-Presion_cilindro!$B$16*((Presion_cilindro!N524-(-I$4+Presion_cilindro!$B$34))/Presion_cilindro!$B$35)^(Presion_cilindro!$B$17+1)),0)-IF(Presion_cilindro!N523&gt;(-I$4+Presion_cilindro!$B$34),1-EXP(-Presion_cilindro!$B$16*((Presion_cilindro!N523-(-I$4+Presion_cilindro!$B$34))/Presion_cilindro!$B$35)^(Presion_cilindro!$B$17+1)),0))/((Presion_cilindro!O523+Presion_cilindro!O524)/2)</f>
        <v>5.1603906649079567</v>
      </c>
      <c r="J532" s="27">
        <f>J531*(Presion_cilindro!O523/Presion_cilindro!O524)^Presion_cilindro!$B$9+10*(Presion_cilindro!$B$9-1)*Presion_cilindro!$B$33*(IF(Presion_cilindro!N524&gt;(-J$4+Presion_cilindro!$B$34),1-EXP(-Presion_cilindro!$B$16*((Presion_cilindro!N524-(-J$4+Presion_cilindro!$B$34))/Presion_cilindro!$B$35)^(Presion_cilindro!$B$17+1)),0)-IF(Presion_cilindro!N523&gt;(-J$4+Presion_cilindro!$B$34),1-EXP(-Presion_cilindro!$B$16*((Presion_cilindro!N523-(-J$4+Presion_cilindro!$B$34))/Presion_cilindro!$B$35)^(Presion_cilindro!$B$17+1)),0))/((Presion_cilindro!O523+Presion_cilindro!O524)/2)</f>
        <v>5.1898017286108562</v>
      </c>
      <c r="K532" s="27">
        <f>K531*(Presion_cilindro!O523/Presion_cilindro!O524)^Presion_cilindro!$B$9+10*(Presion_cilindro!$B$9-1)*Presion_cilindro!$B$33*(IF(Presion_cilindro!N524&gt;(-K$4+Presion_cilindro!$B$34),1-EXP(-Presion_cilindro!$B$16*((Presion_cilindro!N524-(-K$4+Presion_cilindro!$B$34))/Presion_cilindro!$B$35)^(Presion_cilindro!$B$17+1)),0)-IF(Presion_cilindro!N523&gt;(-K$4+Presion_cilindro!$B$34),1-EXP(-Presion_cilindro!$B$16*((Presion_cilindro!N523-(-K$4+Presion_cilindro!$B$34))/Presion_cilindro!$B$35)^(Presion_cilindro!$B$17+1)),0))/((Presion_cilindro!O523+Presion_cilindro!O524)/2)</f>
        <v>5.2597394590370339</v>
      </c>
      <c r="L532" s="27">
        <f>L531*(Presion_cilindro!O523/Presion_cilindro!O524)^Presion_cilindro!$B$9+10*(Presion_cilindro!$B$9-1)*Presion_cilindro!$B$33*(IF(Presion_cilindro!N524&gt;(-L$4+Presion_cilindro!$B$34),1-EXP(-Presion_cilindro!$B$16*((Presion_cilindro!N524-(-L$4+Presion_cilindro!$B$34))/Presion_cilindro!$B$35)^(Presion_cilindro!$B$17+1)),0)-IF(Presion_cilindro!N523&gt;(-L$4+Presion_cilindro!$B$34),1-EXP(-Presion_cilindro!$B$16*((Presion_cilindro!N523-(-L$4+Presion_cilindro!$B$34))/Presion_cilindro!$B$35)^(Presion_cilindro!$B$17+1)),0))/((Presion_cilindro!O523+Presion_cilindro!O524)/2)</f>
        <v>5.3656774404450855</v>
      </c>
      <c r="M532" s="27">
        <f>M531*(Presion_cilindro!O523/Presion_cilindro!O524)^Presion_cilindro!$B$9+10*(Presion_cilindro!$B$9-1)*Presion_cilindro!$B$33*(IF(Presion_cilindro!N524&gt;(-M$4+Presion_cilindro!$B$34),1-EXP(-Presion_cilindro!$B$16*((Presion_cilindro!N524-(-M$4+Presion_cilindro!$B$34))/Presion_cilindro!$B$35)^(Presion_cilindro!$B$17+1)),0)-IF(Presion_cilindro!N523&gt;(-M$4+Presion_cilindro!$B$34),1-EXP(-Presion_cilindro!$B$16*((Presion_cilindro!N523-(-M$4+Presion_cilindro!$B$34))/Presion_cilindro!$B$35)^(Presion_cilindro!$B$17+1)),0))/((Presion_cilindro!O523+Presion_cilindro!O524)/2)</f>
        <v>5.5014644022361878</v>
      </c>
      <c r="N532" s="27">
        <f>N531*(Presion_cilindro!O523/Presion_cilindro!O524)^Presion_cilindro!$B$9+10*(Presion_cilindro!$B$9-1)*Presion_cilindro!$B$33*(IF(Presion_cilindro!N524&gt;(-N$4+Presion_cilindro!$B$34),1-EXP(-Presion_cilindro!$B$16*((Presion_cilindro!N524-(-N$4+Presion_cilindro!$B$34))/Presion_cilindro!$B$35)^(Presion_cilindro!$B$17+1)),0)-IF(Presion_cilindro!N523&gt;(-N$4+Presion_cilindro!$B$34),1-EXP(-Presion_cilindro!$B$16*((Presion_cilindro!N523-(-N$4+Presion_cilindro!$B$34))/Presion_cilindro!$B$35)^(Presion_cilindro!$B$17+1)),0))/((Presion_cilindro!O523+Presion_cilindro!O524)/2)</f>
        <v>5.6602889304361197</v>
      </c>
    </row>
    <row r="533" spans="1:14" x14ac:dyDescent="0.25">
      <c r="A533" s="21">
        <f>Presion_cilindro!N525</f>
        <v>80.5</v>
      </c>
      <c r="B533" s="27">
        <f>B532*(Presion_cilindro!O524/Presion_cilindro!O525)^Presion_cilindro!$B$9+10*(Presion_cilindro!$B$9-1)*Presion_cilindro!$B$33*(IF(Presion_cilindro!N525&gt;(-B$4+Presion_cilindro!$B$34),1-EXP(-Presion_cilindro!$B$16*((Presion_cilindro!N525-(-B$4+Presion_cilindro!$B$34))/Presion_cilindro!$B$35)^(Presion_cilindro!$B$17+1)),0)-IF(Presion_cilindro!N524&gt;(-B$4+Presion_cilindro!$B$34),1-EXP(-Presion_cilindro!$B$16*((Presion_cilindro!N524-(-B$4+Presion_cilindro!$B$34))/Presion_cilindro!$B$35)^(Presion_cilindro!$B$17+1)),0))/((Presion_cilindro!O524+Presion_cilindro!O525)/2)</f>
        <v>5.8928029120351644</v>
      </c>
      <c r="C533" s="27">
        <f>C532*(Presion_cilindro!O524/Presion_cilindro!O525)^Presion_cilindro!$B$9+10*(Presion_cilindro!$B$9-1)*Presion_cilindro!$B$33*(IF(Presion_cilindro!N525&gt;(-C$4+Presion_cilindro!$B$34),1-EXP(-Presion_cilindro!$B$16*((Presion_cilindro!N525-(-C$4+Presion_cilindro!$B$34))/Presion_cilindro!$B$35)^(Presion_cilindro!$B$17+1)),0)-IF(Presion_cilindro!N524&gt;(-C$4+Presion_cilindro!$B$34),1-EXP(-Presion_cilindro!$B$16*((Presion_cilindro!N524-(-C$4+Presion_cilindro!$B$34))/Presion_cilindro!$B$35)^(Presion_cilindro!$B$17+1)),0))/((Presion_cilindro!O524+Presion_cilindro!O525)/2)</f>
        <v>5.7116365352685889</v>
      </c>
      <c r="D533" s="27">
        <f>D532*(Presion_cilindro!O524/Presion_cilindro!O525)^Presion_cilindro!$B$9+10*(Presion_cilindro!$B$9-1)*Presion_cilindro!$B$33*(IF(Presion_cilindro!N525&gt;(-D$4+Presion_cilindro!$B$34),1-EXP(-Presion_cilindro!$B$16*((Presion_cilindro!N525-(-D$4+Presion_cilindro!$B$34))/Presion_cilindro!$B$35)^(Presion_cilindro!$B$17+1)),0)-IF(Presion_cilindro!N524&gt;(-D$4+Presion_cilindro!$B$34),1-EXP(-Presion_cilindro!$B$16*((Presion_cilindro!N524-(-D$4+Presion_cilindro!$B$34))/Presion_cilindro!$B$35)^(Presion_cilindro!$B$17+1)),0))/((Presion_cilindro!O524+Presion_cilindro!O525)/2)</f>
        <v>5.5429060157195309</v>
      </c>
      <c r="E533" s="27">
        <f>E532*(Presion_cilindro!O524/Presion_cilindro!O525)^Presion_cilindro!$B$9+10*(Presion_cilindro!$B$9-1)*Presion_cilindro!$B$33*(IF(Presion_cilindro!N525&gt;(-E$4+Presion_cilindro!$B$34),1-EXP(-Presion_cilindro!$B$16*((Presion_cilindro!N525-(-E$4+Presion_cilindro!$B$34))/Presion_cilindro!$B$35)^(Presion_cilindro!$B$17+1)),0)-IF(Presion_cilindro!N524&gt;(-E$4+Presion_cilindro!$B$34),1-EXP(-Presion_cilindro!$B$16*((Presion_cilindro!N524-(-E$4+Presion_cilindro!$B$34))/Presion_cilindro!$B$35)^(Presion_cilindro!$B$17+1)),0))/((Presion_cilindro!O524+Presion_cilindro!O525)/2)</f>
        <v>5.3928888773334496</v>
      </c>
      <c r="F533" s="27">
        <f>F532*(Presion_cilindro!O524/Presion_cilindro!O525)^Presion_cilindro!$B$9+10*(Presion_cilindro!$B$9-1)*Presion_cilindro!$B$33*(IF(Presion_cilindro!N525&gt;(-F$4+Presion_cilindro!$B$34),1-EXP(-Presion_cilindro!$B$16*((Presion_cilindro!N525-(-F$4+Presion_cilindro!$B$34))/Presion_cilindro!$B$35)^(Presion_cilindro!$B$17+1)),0)-IF(Presion_cilindro!N524&gt;(-F$4+Presion_cilindro!$B$34),1-EXP(-Presion_cilindro!$B$16*((Presion_cilindro!N524-(-F$4+Presion_cilindro!$B$34))/Presion_cilindro!$B$35)^(Presion_cilindro!$B$17+1)),0))/((Presion_cilindro!O524+Presion_cilindro!O525)/2)</f>
        <v>5.2684231788708695</v>
      </c>
      <c r="G533" s="27">
        <f>G532*(Presion_cilindro!O524/Presion_cilindro!O525)^Presion_cilindro!$B$9+10*(Presion_cilindro!$B$9-1)*Presion_cilindro!$B$33*(IF(Presion_cilindro!N525&gt;(-G$4+Presion_cilindro!$B$34),1-EXP(-Presion_cilindro!$B$16*((Presion_cilindro!N525-(-G$4+Presion_cilindro!$B$34))/Presion_cilindro!$B$35)^(Presion_cilindro!$B$17+1)),0)-IF(Presion_cilindro!N524&gt;(-G$4+Presion_cilindro!$B$34),1-EXP(-Presion_cilindro!$B$16*((Presion_cilindro!N524-(-G$4+Presion_cilindro!$B$34))/Presion_cilindro!$B$35)^(Presion_cilindro!$B$17+1)),0))/((Presion_cilindro!O524+Presion_cilindro!O525)/2)</f>
        <v>5.1761955574129122</v>
      </c>
      <c r="H533" s="27">
        <f>H532*(Presion_cilindro!O524/Presion_cilindro!O525)^Presion_cilindro!$B$9+10*(Presion_cilindro!$B$9-1)*Presion_cilindro!$B$33*(IF(Presion_cilindro!N525&gt;(-H$4+Presion_cilindro!$B$34),1-EXP(-Presion_cilindro!$B$16*((Presion_cilindro!N525-(-H$4+Presion_cilindro!$B$34))/Presion_cilindro!$B$35)^(Presion_cilindro!$B$17+1)),0)-IF(Presion_cilindro!N524&gt;(-H$4+Presion_cilindro!$B$34),1-EXP(-Presion_cilindro!$B$16*((Presion_cilindro!N524-(-H$4+Presion_cilindro!$B$34))/Presion_cilindro!$B$35)^(Presion_cilindro!$B$17+1)),0))/((Presion_cilindro!O524+Presion_cilindro!O525)/2)</f>
        <v>5.1217917077186597</v>
      </c>
      <c r="I533" s="27">
        <f>I532*(Presion_cilindro!O524/Presion_cilindro!O525)^Presion_cilindro!$B$9+10*(Presion_cilindro!$B$9-1)*Presion_cilindro!$B$33*(IF(Presion_cilindro!N525&gt;(-I$4+Presion_cilindro!$B$34),1-EXP(-Presion_cilindro!$B$16*((Presion_cilindro!N525-(-I$4+Presion_cilindro!$B$34))/Presion_cilindro!$B$35)^(Presion_cilindro!$B$17+1)),0)-IF(Presion_cilindro!N524&gt;(-I$4+Presion_cilindro!$B$34),1-EXP(-Presion_cilindro!$B$16*((Presion_cilindro!N524-(-I$4+Presion_cilindro!$B$34))/Presion_cilindro!$B$35)^(Presion_cilindro!$B$17+1)),0))/((Presion_cilindro!O524+Presion_cilindro!O525)/2)</f>
        <v>5.1087417419356704</v>
      </c>
      <c r="J533" s="27">
        <f>J532*(Presion_cilindro!O524/Presion_cilindro!O525)^Presion_cilindro!$B$9+10*(Presion_cilindro!$B$9-1)*Presion_cilindro!$B$33*(IF(Presion_cilindro!N525&gt;(-J$4+Presion_cilindro!$B$34),1-EXP(-Presion_cilindro!$B$16*((Presion_cilindro!N525-(-J$4+Presion_cilindro!$B$34))/Presion_cilindro!$B$35)^(Presion_cilindro!$B$17+1)),0)-IF(Presion_cilindro!N524&gt;(-J$4+Presion_cilindro!$B$34),1-EXP(-Presion_cilindro!$B$16*((Presion_cilindro!N524-(-J$4+Presion_cilindro!$B$34))/Presion_cilindro!$B$35)^(Presion_cilindro!$B$17+1)),0))/((Presion_cilindro!O524+Presion_cilindro!O525)/2)</f>
        <v>5.1378584384360915</v>
      </c>
      <c r="K533" s="27">
        <f>K532*(Presion_cilindro!O524/Presion_cilindro!O525)^Presion_cilindro!$B$9+10*(Presion_cilindro!$B$9-1)*Presion_cilindro!$B$33*(IF(Presion_cilindro!N525&gt;(-K$4+Presion_cilindro!$B$34),1-EXP(-Presion_cilindro!$B$16*((Presion_cilindro!N525-(-K$4+Presion_cilindro!$B$34))/Presion_cilindro!$B$35)^(Presion_cilindro!$B$17+1)),0)-IF(Presion_cilindro!N524&gt;(-K$4+Presion_cilindro!$B$34),1-EXP(-Presion_cilindro!$B$16*((Presion_cilindro!N524-(-K$4+Presion_cilindro!$B$34))/Presion_cilindro!$B$35)^(Presion_cilindro!$B$17+1)),0))/((Presion_cilindro!O524+Presion_cilindro!O525)/2)</f>
        <v>5.2070961814608889</v>
      </c>
      <c r="L533" s="27">
        <f>L532*(Presion_cilindro!O524/Presion_cilindro!O525)^Presion_cilindro!$B$9+10*(Presion_cilindro!$B$9-1)*Presion_cilindro!$B$33*(IF(Presion_cilindro!N525&gt;(-L$4+Presion_cilindro!$B$34),1-EXP(-Presion_cilindro!$B$16*((Presion_cilindro!N525-(-L$4+Presion_cilindro!$B$34))/Presion_cilindro!$B$35)^(Presion_cilindro!$B$17+1)),0)-IF(Presion_cilindro!N524&gt;(-L$4+Presion_cilindro!$B$34),1-EXP(-Presion_cilindro!$B$16*((Presion_cilindro!N524-(-L$4+Presion_cilindro!$B$34))/Presion_cilindro!$B$35)^(Presion_cilindro!$B$17+1)),0))/((Presion_cilindro!O524+Presion_cilindro!O525)/2)</f>
        <v>5.3119738589119567</v>
      </c>
      <c r="M533" s="27">
        <f>M532*(Presion_cilindro!O524/Presion_cilindro!O525)^Presion_cilindro!$B$9+10*(Presion_cilindro!$B$9-1)*Presion_cilindro!$B$33*(IF(Presion_cilindro!N525&gt;(-M$4+Presion_cilindro!$B$34),1-EXP(-Presion_cilindro!$B$16*((Presion_cilindro!N525-(-M$4+Presion_cilindro!$B$34))/Presion_cilindro!$B$35)^(Presion_cilindro!$B$17+1)),0)-IF(Presion_cilindro!N524&gt;(-M$4+Presion_cilindro!$B$34),1-EXP(-Presion_cilindro!$B$16*((Presion_cilindro!N524-(-M$4+Presion_cilindro!$B$34))/Presion_cilindro!$B$35)^(Presion_cilindro!$B$17+1)),0))/((Presion_cilindro!O524+Presion_cilindro!O525)/2)</f>
        <v>5.446401766556658</v>
      </c>
      <c r="N533" s="27">
        <f>N532*(Presion_cilindro!O524/Presion_cilindro!O525)^Presion_cilindro!$B$9+10*(Presion_cilindro!$B$9-1)*Presion_cilindro!$B$33*(IF(Presion_cilindro!N525&gt;(-N$4+Presion_cilindro!$B$34),1-EXP(-Presion_cilindro!$B$16*((Presion_cilindro!N525-(-N$4+Presion_cilindro!$B$34))/Presion_cilindro!$B$35)^(Presion_cilindro!$B$17+1)),0)-IF(Presion_cilindro!N524&gt;(-N$4+Presion_cilindro!$B$34),1-EXP(-Presion_cilindro!$B$16*((Presion_cilindro!N524-(-N$4+Presion_cilindro!$B$34))/Presion_cilindro!$B$35)^(Presion_cilindro!$B$17+1)),0))/((Presion_cilindro!O524+Presion_cilindro!O525)/2)</f>
        <v>5.6036366639794304</v>
      </c>
    </row>
    <row r="534" spans="1:14" x14ac:dyDescent="0.25">
      <c r="A534" s="21">
        <f>Presion_cilindro!N526</f>
        <v>81</v>
      </c>
      <c r="B534" s="27">
        <f>B533*(Presion_cilindro!O525/Presion_cilindro!O526)^Presion_cilindro!$B$9+10*(Presion_cilindro!$B$9-1)*Presion_cilindro!$B$33*(IF(Presion_cilindro!N526&gt;(-B$4+Presion_cilindro!$B$34),1-EXP(-Presion_cilindro!$B$16*((Presion_cilindro!N526-(-B$4+Presion_cilindro!$B$34))/Presion_cilindro!$B$35)^(Presion_cilindro!$B$17+1)),0)-IF(Presion_cilindro!N525&gt;(-B$4+Presion_cilindro!$B$34),1-EXP(-Presion_cilindro!$B$16*((Presion_cilindro!N525-(-B$4+Presion_cilindro!$B$34))/Presion_cilindro!$B$35)^(Presion_cilindro!$B$17+1)),0))/((Presion_cilindro!O525+Presion_cilindro!O526)/2)</f>
        <v>5.8343208126044015</v>
      </c>
      <c r="C534" s="27">
        <f>C533*(Presion_cilindro!O525/Presion_cilindro!O526)^Presion_cilindro!$B$9+10*(Presion_cilindro!$B$9-1)*Presion_cilindro!$B$33*(IF(Presion_cilindro!N526&gt;(-C$4+Presion_cilindro!$B$34),1-EXP(-Presion_cilindro!$B$16*((Presion_cilindro!N526-(-C$4+Presion_cilindro!$B$34))/Presion_cilindro!$B$35)^(Presion_cilindro!$B$17+1)),0)-IF(Presion_cilindro!N525&gt;(-C$4+Presion_cilindro!$B$34),1-EXP(-Presion_cilindro!$B$16*((Presion_cilindro!N525-(-C$4+Presion_cilindro!$B$34))/Presion_cilindro!$B$35)^(Presion_cilindro!$B$17+1)),0))/((Presion_cilindro!O525+Presion_cilindro!O526)/2)</f>
        <v>5.6549522369589722</v>
      </c>
      <c r="D534" s="27">
        <f>D533*(Presion_cilindro!O525/Presion_cilindro!O526)^Presion_cilindro!$B$9+10*(Presion_cilindro!$B$9-1)*Presion_cilindro!$B$33*(IF(Presion_cilindro!N526&gt;(-D$4+Presion_cilindro!$B$34),1-EXP(-Presion_cilindro!$B$16*((Presion_cilindro!N526-(-D$4+Presion_cilindro!$B$34))/Presion_cilindro!$B$35)^(Presion_cilindro!$B$17+1)),0)-IF(Presion_cilindro!N525&gt;(-D$4+Presion_cilindro!$B$34),1-EXP(-Presion_cilindro!$B$16*((Presion_cilindro!N525-(-D$4+Presion_cilindro!$B$34))/Presion_cilindro!$B$35)^(Presion_cilindro!$B$17+1)),0))/((Presion_cilindro!O525+Presion_cilindro!O526)/2)</f>
        <v>5.4878962536138776</v>
      </c>
      <c r="E534" s="27">
        <f>E533*(Presion_cilindro!O525/Presion_cilindro!O526)^Presion_cilindro!$B$9+10*(Presion_cilindro!$B$9-1)*Presion_cilindro!$B$33*(IF(Presion_cilindro!N526&gt;(-E$4+Presion_cilindro!$B$34),1-EXP(-Presion_cilindro!$B$16*((Presion_cilindro!N526-(-E$4+Presion_cilindro!$B$34))/Presion_cilindro!$B$35)^(Presion_cilindro!$B$17+1)),0)-IF(Presion_cilindro!N525&gt;(-E$4+Presion_cilindro!$B$34),1-EXP(-Presion_cilindro!$B$16*((Presion_cilindro!N525-(-E$4+Presion_cilindro!$B$34))/Presion_cilindro!$B$35)^(Presion_cilindro!$B$17+1)),0))/((Presion_cilindro!O525+Presion_cilindro!O526)/2)</f>
        <v>5.339367938329616</v>
      </c>
      <c r="F534" s="27">
        <f>F533*(Presion_cilindro!O525/Presion_cilindro!O526)^Presion_cilindro!$B$9+10*(Presion_cilindro!$B$9-1)*Presion_cilindro!$B$33*(IF(Presion_cilindro!N526&gt;(-F$4+Presion_cilindro!$B$34),1-EXP(-Presion_cilindro!$B$16*((Presion_cilindro!N526-(-F$4+Presion_cilindro!$B$34))/Presion_cilindro!$B$35)^(Presion_cilindro!$B$17+1)),0)-IF(Presion_cilindro!N525&gt;(-F$4+Presion_cilindro!$B$34),1-EXP(-Presion_cilindro!$B$16*((Presion_cilindro!N525-(-F$4+Presion_cilindro!$B$34))/Presion_cilindro!$B$35)^(Presion_cilindro!$B$17+1)),0))/((Presion_cilindro!O525+Presion_cilindro!O526)/2)</f>
        <v>5.2161374815344246</v>
      </c>
      <c r="G534" s="27">
        <f>G533*(Presion_cilindro!O525/Presion_cilindro!O526)^Presion_cilindro!$B$9+10*(Presion_cilindro!$B$9-1)*Presion_cilindro!$B$33*(IF(Presion_cilindro!N526&gt;(-G$4+Presion_cilindro!$B$34),1-EXP(-Presion_cilindro!$B$16*((Presion_cilindro!N526-(-G$4+Presion_cilindro!$B$34))/Presion_cilindro!$B$35)^(Presion_cilindro!$B$17+1)),0)-IF(Presion_cilindro!N525&gt;(-G$4+Presion_cilindro!$B$34),1-EXP(-Presion_cilindro!$B$16*((Presion_cilindro!N525-(-G$4+Presion_cilindro!$B$34))/Presion_cilindro!$B$35)^(Presion_cilindro!$B$17+1)),0))/((Presion_cilindro!O525+Presion_cilindro!O526)/2)</f>
        <v>5.1248251596524215</v>
      </c>
      <c r="H534" s="27">
        <f>H533*(Presion_cilindro!O525/Presion_cilindro!O526)^Presion_cilindro!$B$9+10*(Presion_cilindro!$B$9-1)*Presion_cilindro!$B$33*(IF(Presion_cilindro!N526&gt;(-H$4+Presion_cilindro!$B$34),1-EXP(-Presion_cilindro!$B$16*((Presion_cilindro!N526-(-H$4+Presion_cilindro!$B$34))/Presion_cilindro!$B$35)^(Presion_cilindro!$B$17+1)),0)-IF(Presion_cilindro!N525&gt;(-H$4+Presion_cilindro!$B$34),1-EXP(-Presion_cilindro!$B$16*((Presion_cilindro!N525-(-H$4+Presion_cilindro!$B$34))/Presion_cilindro!$B$35)^(Presion_cilindro!$B$17+1)),0))/((Presion_cilindro!O525+Presion_cilindro!O526)/2)</f>
        <v>5.0709612330285969</v>
      </c>
      <c r="I534" s="27">
        <f>I533*(Presion_cilindro!O525/Presion_cilindro!O526)^Presion_cilindro!$B$9+10*(Presion_cilindro!$B$9-1)*Presion_cilindro!$B$33*(IF(Presion_cilindro!N526&gt;(-I$4+Presion_cilindro!$B$34),1-EXP(-Presion_cilindro!$B$16*((Presion_cilindro!N526-(-I$4+Presion_cilindro!$B$34))/Presion_cilindro!$B$35)^(Presion_cilindro!$B$17+1)),0)-IF(Presion_cilindro!N525&gt;(-I$4+Presion_cilindro!$B$34),1-EXP(-Presion_cilindro!$B$16*((Presion_cilindro!N525-(-I$4+Presion_cilindro!$B$34))/Presion_cilindro!$B$35)^(Presion_cilindro!$B$17+1)),0))/((Presion_cilindro!O525+Presion_cilindro!O526)/2)</f>
        <v>5.0580407797274294</v>
      </c>
      <c r="J534" s="27">
        <f>J533*(Presion_cilindro!O525/Presion_cilindro!O526)^Presion_cilindro!$B$9+10*(Presion_cilindro!$B$9-1)*Presion_cilindro!$B$33*(IF(Presion_cilindro!N526&gt;(-J$4+Presion_cilindro!$B$34),1-EXP(-Presion_cilindro!$B$16*((Presion_cilindro!N526-(-J$4+Presion_cilindro!$B$34))/Presion_cilindro!$B$35)^(Presion_cilindro!$B$17+1)),0)-IF(Presion_cilindro!N525&gt;(-J$4+Presion_cilindro!$B$34),1-EXP(-Presion_cilindro!$B$16*((Presion_cilindro!N525-(-J$4+Presion_cilindro!$B$34))/Presion_cilindro!$B$35)^(Presion_cilindro!$B$17+1)),0))/((Presion_cilindro!O525+Presion_cilindro!O526)/2)</f>
        <v>5.0868685118206693</v>
      </c>
      <c r="K534" s="27">
        <f>K533*(Presion_cilindro!O525/Presion_cilindro!O526)^Presion_cilindro!$B$9+10*(Presion_cilindro!$B$9-1)*Presion_cilindro!$B$33*(IF(Presion_cilindro!N526&gt;(-K$4+Presion_cilindro!$B$34),1-EXP(-Presion_cilindro!$B$16*((Presion_cilindro!N526-(-K$4+Presion_cilindro!$B$34))/Presion_cilindro!$B$35)^(Presion_cilindro!$B$17+1)),0)-IF(Presion_cilindro!N525&gt;(-K$4+Presion_cilindro!$B$34),1-EXP(-Presion_cilindro!$B$16*((Presion_cilindro!N525-(-K$4+Presion_cilindro!$B$34))/Presion_cilindro!$B$35)^(Presion_cilindro!$B$17+1)),0))/((Presion_cilindro!O525+Presion_cilindro!O526)/2)</f>
        <v>5.1554191149644923</v>
      </c>
      <c r="L534" s="27">
        <f>L533*(Presion_cilindro!O525/Presion_cilindro!O526)^Presion_cilindro!$B$9+10*(Presion_cilindro!$B$9-1)*Presion_cilindro!$B$33*(IF(Presion_cilindro!N526&gt;(-L$4+Presion_cilindro!$B$34),1-EXP(-Presion_cilindro!$B$16*((Presion_cilindro!N526-(-L$4+Presion_cilindro!$B$34))/Presion_cilindro!$B$35)^(Presion_cilindro!$B$17+1)),0)-IF(Presion_cilindro!N525&gt;(-L$4+Presion_cilindro!$B$34),1-EXP(-Presion_cilindro!$B$16*((Presion_cilindro!N525-(-L$4+Presion_cilindro!$B$34))/Presion_cilindro!$B$35)^(Presion_cilindro!$B$17+1)),0))/((Presion_cilindro!O525+Presion_cilindro!O526)/2)</f>
        <v>5.2592559492041513</v>
      </c>
      <c r="M534" s="27">
        <f>M533*(Presion_cilindro!O525/Presion_cilindro!O526)^Presion_cilindro!$B$9+10*(Presion_cilindro!$B$9-1)*Presion_cilindro!$B$33*(IF(Presion_cilindro!N526&gt;(-M$4+Presion_cilindro!$B$34),1-EXP(-Presion_cilindro!$B$16*((Presion_cilindro!N526-(-M$4+Presion_cilindro!$B$34))/Presion_cilindro!$B$35)^(Presion_cilindro!$B$17+1)),0)-IF(Presion_cilindro!N525&gt;(-M$4+Presion_cilindro!$B$34),1-EXP(-Presion_cilindro!$B$16*((Presion_cilindro!N525-(-M$4+Presion_cilindro!$B$34))/Presion_cilindro!$B$35)^(Presion_cilindro!$B$17+1)),0))/((Presion_cilindro!O525+Presion_cilindro!O526)/2)</f>
        <v>5.3923497466883639</v>
      </c>
      <c r="N534" s="27">
        <f>N533*(Presion_cilindro!O525/Presion_cilindro!O526)^Presion_cilindro!$B$9+10*(Presion_cilindro!$B$9-1)*Presion_cilindro!$B$33*(IF(Presion_cilindro!N526&gt;(-N$4+Presion_cilindro!$B$34),1-EXP(-Presion_cilindro!$B$16*((Presion_cilindro!N526-(-N$4+Presion_cilindro!$B$34))/Presion_cilindro!$B$35)^(Presion_cilindro!$B$17+1)),0)-IF(Presion_cilindro!N525&gt;(-N$4+Presion_cilindro!$B$34),1-EXP(-Presion_cilindro!$B$16*((Presion_cilindro!N525-(-N$4+Presion_cilindro!$B$34))/Presion_cilindro!$B$35)^(Presion_cilindro!$B$17+1)),0))/((Presion_cilindro!O525+Presion_cilindro!O526)/2)</f>
        <v>5.5480241893074398</v>
      </c>
    </row>
    <row r="535" spans="1:14" x14ac:dyDescent="0.25">
      <c r="A535" s="21">
        <f>Presion_cilindro!N527</f>
        <v>81.5</v>
      </c>
      <c r="B535" s="27">
        <f>B534*(Presion_cilindro!O526/Presion_cilindro!O527)^Presion_cilindro!$B$9+10*(Presion_cilindro!$B$9-1)*Presion_cilindro!$B$33*(IF(Presion_cilindro!N527&gt;(-B$4+Presion_cilindro!$B$34),1-EXP(-Presion_cilindro!$B$16*((Presion_cilindro!N527-(-B$4+Presion_cilindro!$B$34))/Presion_cilindro!$B$35)^(Presion_cilindro!$B$17+1)),0)-IF(Presion_cilindro!N526&gt;(-B$4+Presion_cilindro!$B$34),1-EXP(-Presion_cilindro!$B$16*((Presion_cilindro!N526-(-B$4+Presion_cilindro!$B$34))/Presion_cilindro!$B$35)^(Presion_cilindro!$B$17+1)),0))/((Presion_cilindro!O526+Presion_cilindro!O527)/2)</f>
        <v>5.7769085796493274</v>
      </c>
      <c r="C535" s="27">
        <f>C534*(Presion_cilindro!O526/Presion_cilindro!O527)^Presion_cilindro!$B$9+10*(Presion_cilindro!$B$9-1)*Presion_cilindro!$B$33*(IF(Presion_cilindro!N527&gt;(-C$4+Presion_cilindro!$B$34),1-EXP(-Presion_cilindro!$B$16*((Presion_cilindro!N527-(-C$4+Presion_cilindro!$B$34))/Presion_cilindro!$B$35)^(Presion_cilindro!$B$17+1)),0)-IF(Presion_cilindro!N526&gt;(-C$4+Presion_cilindro!$B$34),1-EXP(-Presion_cilindro!$B$16*((Presion_cilindro!N526-(-C$4+Presion_cilindro!$B$34))/Presion_cilindro!$B$35)^(Presion_cilindro!$B$17+1)),0))/((Presion_cilindro!O526+Presion_cilindro!O527)/2)</f>
        <v>5.5993049577155558</v>
      </c>
      <c r="D535" s="27">
        <f>D534*(Presion_cilindro!O526/Presion_cilindro!O527)^Presion_cilindro!$B$9+10*(Presion_cilindro!$B$9-1)*Presion_cilindro!$B$33*(IF(Presion_cilindro!N527&gt;(-D$4+Presion_cilindro!$B$34),1-EXP(-Presion_cilindro!$B$16*((Presion_cilindro!N527-(-D$4+Presion_cilindro!$B$34))/Presion_cilindro!$B$35)^(Presion_cilindro!$B$17+1)),0)-IF(Presion_cilindro!N526&gt;(-D$4+Presion_cilindro!$B$34),1-EXP(-Presion_cilindro!$B$16*((Presion_cilindro!N526-(-D$4+Presion_cilindro!$B$34))/Presion_cilindro!$B$35)^(Presion_cilindro!$B$17+1)),0))/((Presion_cilindro!O526+Presion_cilindro!O527)/2)</f>
        <v>5.4338928770730348</v>
      </c>
      <c r="E535" s="27">
        <f>E534*(Presion_cilindro!O526/Presion_cilindro!O527)^Presion_cilindro!$B$9+10*(Presion_cilindro!$B$9-1)*Presion_cilindro!$B$33*(IF(Presion_cilindro!N527&gt;(-E$4+Presion_cilindro!$B$34),1-EXP(-Presion_cilindro!$B$16*((Presion_cilindro!N527-(-E$4+Presion_cilindro!$B$34))/Presion_cilindro!$B$35)^(Presion_cilindro!$B$17+1)),0)-IF(Presion_cilindro!N526&gt;(-E$4+Presion_cilindro!$B$34),1-EXP(-Presion_cilindro!$B$16*((Presion_cilindro!N526-(-E$4+Presion_cilindro!$B$34))/Presion_cilindro!$B$35)^(Presion_cilindro!$B$17+1)),0))/((Presion_cilindro!O526+Presion_cilindro!O527)/2)</f>
        <v>5.286826147394641</v>
      </c>
      <c r="F535" s="27">
        <f>F534*(Presion_cilindro!O526/Presion_cilindro!O527)^Presion_cilindro!$B$9+10*(Presion_cilindro!$B$9-1)*Presion_cilindro!$B$33*(IF(Presion_cilindro!N527&gt;(-F$4+Presion_cilindro!$B$34),1-EXP(-Presion_cilindro!$B$16*((Presion_cilindro!N527-(-F$4+Presion_cilindro!$B$34))/Presion_cilindro!$B$35)^(Presion_cilindro!$B$17+1)),0)-IF(Presion_cilindro!N526&gt;(-F$4+Presion_cilindro!$B$34),1-EXP(-Presion_cilindro!$B$16*((Presion_cilindro!N526-(-F$4+Presion_cilindro!$B$34))/Presion_cilindro!$B$35)^(Presion_cilindro!$B$17+1)),0))/((Presion_cilindro!O526+Presion_cilindro!O527)/2)</f>
        <v>5.1648083339251185</v>
      </c>
      <c r="G535" s="27">
        <f>G534*(Presion_cilindro!O526/Presion_cilindro!O527)^Presion_cilindro!$B$9+10*(Presion_cilindro!$B$9-1)*Presion_cilindro!$B$33*(IF(Presion_cilindro!N527&gt;(-G$4+Presion_cilindro!$B$34),1-EXP(-Presion_cilindro!$B$16*((Presion_cilindro!N527-(-G$4+Presion_cilindro!$B$34))/Presion_cilindro!$B$35)^(Presion_cilindro!$B$17+1)),0)-IF(Presion_cilindro!N526&gt;(-G$4+Presion_cilindro!$B$34),1-EXP(-Presion_cilindro!$B$16*((Presion_cilindro!N526-(-G$4+Presion_cilindro!$B$34))/Presion_cilindro!$B$35)^(Presion_cilindro!$B$17+1)),0))/((Presion_cilindro!O526+Presion_cilindro!O527)/2)</f>
        <v>5.074394566512777</v>
      </c>
      <c r="H535" s="27">
        <f>H534*(Presion_cilindro!O526/Presion_cilindro!O527)^Presion_cilindro!$B$9+10*(Presion_cilindro!$B$9-1)*Presion_cilindro!$B$33*(IF(Presion_cilindro!N527&gt;(-H$4+Presion_cilindro!$B$34),1-EXP(-Presion_cilindro!$B$16*((Presion_cilindro!N527-(-H$4+Presion_cilindro!$B$34))/Presion_cilindro!$B$35)^(Presion_cilindro!$B$17+1)),0)-IF(Presion_cilindro!N526&gt;(-H$4+Presion_cilindro!$B$34),1-EXP(-Presion_cilindro!$B$16*((Presion_cilindro!N526-(-H$4+Presion_cilindro!$B$34))/Presion_cilindro!$B$35)^(Presion_cilindro!$B$17+1)),0))/((Presion_cilindro!O526+Presion_cilindro!O527)/2)</f>
        <v>5.0210606852434463</v>
      </c>
      <c r="I535" s="27">
        <f>I534*(Presion_cilindro!O526/Presion_cilindro!O527)^Presion_cilindro!$B$9+10*(Presion_cilindro!$B$9-1)*Presion_cilindro!$B$33*(IF(Presion_cilindro!N527&gt;(-I$4+Presion_cilindro!$B$34),1-EXP(-Presion_cilindro!$B$16*((Presion_cilindro!N527-(-I$4+Presion_cilindro!$B$34))/Presion_cilindro!$B$35)^(Presion_cilindro!$B$17+1)),0)-IF(Presion_cilindro!N526&gt;(-I$4+Presion_cilindro!$B$34),1-EXP(-Presion_cilindro!$B$16*((Presion_cilindro!N526-(-I$4+Presion_cilindro!$B$34))/Presion_cilindro!$B$35)^(Presion_cilindro!$B$17+1)),0))/((Presion_cilindro!O526+Presion_cilindro!O527)/2)</f>
        <v>5.0082673750356159</v>
      </c>
      <c r="J535" s="27">
        <f>J534*(Presion_cilindro!O526/Presion_cilindro!O527)^Presion_cilindro!$B$9+10*(Presion_cilindro!$B$9-1)*Presion_cilindro!$B$33*(IF(Presion_cilindro!N527&gt;(-J$4+Presion_cilindro!$B$34),1-EXP(-Presion_cilindro!$B$16*((Presion_cilindro!N527-(-J$4+Presion_cilindro!$B$34))/Presion_cilindro!$B$35)^(Presion_cilindro!$B$17+1)),0)-IF(Presion_cilindro!N526&gt;(-J$4+Presion_cilindro!$B$34),1-EXP(-Presion_cilindro!$B$16*((Presion_cilindro!N526-(-J$4+Presion_cilindro!$B$34))/Presion_cilindro!$B$35)^(Presion_cilindro!$B$17+1)),0))/((Presion_cilindro!O526+Presion_cilindro!O527)/2)</f>
        <v>5.0368114292309683</v>
      </c>
      <c r="K535" s="27">
        <f>K534*(Presion_cilindro!O526/Presion_cilindro!O527)^Presion_cilindro!$B$9+10*(Presion_cilindro!$B$9-1)*Presion_cilindro!$B$33*(IF(Presion_cilindro!N527&gt;(-K$4+Presion_cilindro!$B$34),1-EXP(-Presion_cilindro!$B$16*((Presion_cilindro!N527-(-K$4+Presion_cilindro!$B$34))/Presion_cilindro!$B$35)^(Presion_cilindro!$B$17+1)),0)-IF(Presion_cilindro!N526&gt;(-K$4+Presion_cilindro!$B$34),1-EXP(-Presion_cilindro!$B$16*((Presion_cilindro!N526-(-K$4+Presion_cilindro!$B$34))/Presion_cilindro!$B$35)^(Presion_cilindro!$B$17+1)),0))/((Presion_cilindro!O526+Presion_cilindro!O527)/2)</f>
        <v>5.1046874634931365</v>
      </c>
      <c r="L535" s="27">
        <f>L534*(Presion_cilindro!O526/Presion_cilindro!O527)^Presion_cilindro!$B$9+10*(Presion_cilindro!$B$9-1)*Presion_cilindro!$B$33*(IF(Presion_cilindro!N527&gt;(-L$4+Presion_cilindro!$B$34),1-EXP(-Presion_cilindro!$B$16*((Presion_cilindro!N527-(-L$4+Presion_cilindro!$B$34))/Presion_cilindro!$B$35)^(Presion_cilindro!$B$17+1)),0)-IF(Presion_cilindro!N526&gt;(-L$4+Presion_cilindro!$B$34),1-EXP(-Presion_cilindro!$B$16*((Presion_cilindro!N526-(-L$4+Presion_cilindro!$B$34))/Presion_cilindro!$B$35)^(Presion_cilindro!$B$17+1)),0))/((Presion_cilindro!O526+Presion_cilindro!O527)/2)</f>
        <v>5.2075024964074199</v>
      </c>
      <c r="M535" s="27">
        <f>M534*(Presion_cilindro!O526/Presion_cilindro!O527)^Presion_cilindro!$B$9+10*(Presion_cilindro!$B$9-1)*Presion_cilindro!$B$33*(IF(Presion_cilindro!N527&gt;(-M$4+Presion_cilindro!$B$34),1-EXP(-Presion_cilindro!$B$16*((Presion_cilindro!N527-(-M$4+Presion_cilindro!$B$34))/Presion_cilindro!$B$35)^(Presion_cilindro!$B$17+1)),0)-IF(Presion_cilindro!N526&gt;(-M$4+Presion_cilindro!$B$34),1-EXP(-Presion_cilindro!$B$16*((Presion_cilindro!N526-(-M$4+Presion_cilindro!$B$34))/Presion_cilindro!$B$35)^(Presion_cilindro!$B$17+1)),0))/((Presion_cilindro!O526+Presion_cilindro!O527)/2)</f>
        <v>5.3392865908400671</v>
      </c>
      <c r="N535" s="27">
        <f>N534*(Presion_cilindro!O526/Presion_cilindro!O527)^Presion_cilindro!$B$9+10*(Presion_cilindro!$B$9-1)*Presion_cilindro!$B$33*(IF(Presion_cilindro!N527&gt;(-N$4+Presion_cilindro!$B$34),1-EXP(-Presion_cilindro!$B$16*((Presion_cilindro!N527-(-N$4+Presion_cilindro!$B$34))/Presion_cilindro!$B$35)^(Presion_cilindro!$B$17+1)),0)-IF(Presion_cilindro!N526&gt;(-N$4+Presion_cilindro!$B$34),1-EXP(-Presion_cilindro!$B$16*((Presion_cilindro!N526-(-N$4+Presion_cilindro!$B$34))/Presion_cilindro!$B$35)^(Presion_cilindro!$B$17+1)),0))/((Presion_cilindro!O526+Presion_cilindro!O527)/2)</f>
        <v>5.4934291266655668</v>
      </c>
    </row>
    <row r="536" spans="1:14" x14ac:dyDescent="0.25">
      <c r="A536" s="21">
        <f>Presion_cilindro!N528</f>
        <v>82</v>
      </c>
      <c r="B536" s="27">
        <f>B535*(Presion_cilindro!O527/Presion_cilindro!O528)^Presion_cilindro!$B$9+10*(Presion_cilindro!$B$9-1)*Presion_cilindro!$B$33*(IF(Presion_cilindro!N528&gt;(-B$4+Presion_cilindro!$B$34),1-EXP(-Presion_cilindro!$B$16*((Presion_cilindro!N528-(-B$4+Presion_cilindro!$B$34))/Presion_cilindro!$B$35)^(Presion_cilindro!$B$17+1)),0)-IF(Presion_cilindro!N527&gt;(-B$4+Presion_cilindro!$B$34),1-EXP(-Presion_cilindro!$B$16*((Presion_cilindro!N527-(-B$4+Presion_cilindro!$B$34))/Presion_cilindro!$B$35)^(Presion_cilindro!$B$17+1)),0))/((Presion_cilindro!O527+Presion_cilindro!O528)/2)</f>
        <v>5.720543275541238</v>
      </c>
      <c r="C536" s="27">
        <f>C535*(Presion_cilindro!O527/Presion_cilindro!O528)^Presion_cilindro!$B$9+10*(Presion_cilindro!$B$9-1)*Presion_cilindro!$B$33*(IF(Presion_cilindro!N528&gt;(-C$4+Presion_cilindro!$B$34),1-EXP(-Presion_cilindro!$B$16*((Presion_cilindro!N528-(-C$4+Presion_cilindro!$B$34))/Presion_cilindro!$B$35)^(Presion_cilindro!$B$17+1)),0)-IF(Presion_cilindro!N527&gt;(-C$4+Presion_cilindro!$B$34),1-EXP(-Presion_cilindro!$B$16*((Presion_cilindro!N527-(-C$4+Presion_cilindro!$B$34))/Presion_cilindro!$B$35)^(Presion_cilindro!$B$17+1)),0))/((Presion_cilindro!O527+Presion_cilindro!O528)/2)</f>
        <v>5.5446724531000564</v>
      </c>
      <c r="D536" s="27">
        <f>D535*(Presion_cilindro!O527/Presion_cilindro!O528)^Presion_cilindro!$B$9+10*(Presion_cilindro!$B$9-1)*Presion_cilindro!$B$33*(IF(Presion_cilindro!N528&gt;(-D$4+Presion_cilindro!$B$34),1-EXP(-Presion_cilindro!$B$16*((Presion_cilindro!N528-(-D$4+Presion_cilindro!$B$34))/Presion_cilindro!$B$35)^(Presion_cilindro!$B$17+1)),0)-IF(Presion_cilindro!N527&gt;(-D$4+Presion_cilindro!$B$34),1-EXP(-Presion_cilindro!$B$16*((Presion_cilindro!N527-(-D$4+Presion_cilindro!$B$34))/Presion_cilindro!$B$35)^(Presion_cilindro!$B$17+1)),0))/((Presion_cilindro!O527+Presion_cilindro!O528)/2)</f>
        <v>5.380874298292504</v>
      </c>
      <c r="E536" s="27">
        <f>E535*(Presion_cilindro!O527/Presion_cilindro!O528)^Presion_cilindro!$B$9+10*(Presion_cilindro!$B$9-1)*Presion_cilindro!$B$33*(IF(Presion_cilindro!N528&gt;(-E$4+Presion_cilindro!$B$34),1-EXP(-Presion_cilindro!$B$16*((Presion_cilindro!N528-(-E$4+Presion_cilindro!$B$34))/Presion_cilindro!$B$35)^(Presion_cilindro!$B$17+1)),0)-IF(Presion_cilindro!N527&gt;(-E$4+Presion_cilindro!$B$34),1-EXP(-Presion_cilindro!$B$16*((Presion_cilindro!N527-(-E$4+Presion_cilindro!$B$34))/Presion_cilindro!$B$35)^(Presion_cilindro!$B$17+1)),0))/((Presion_cilindro!O527+Presion_cilindro!O528)/2)</f>
        <v>5.2352425009792007</v>
      </c>
      <c r="F536" s="27">
        <f>F535*(Presion_cilindro!O527/Presion_cilindro!O528)^Presion_cilindro!$B$9+10*(Presion_cilindro!$B$9-1)*Presion_cilindro!$B$33*(IF(Presion_cilindro!N528&gt;(-F$4+Presion_cilindro!$B$34),1-EXP(-Presion_cilindro!$B$16*((Presion_cilindro!N528-(-F$4+Presion_cilindro!$B$34))/Presion_cilindro!$B$35)^(Presion_cilindro!$B$17+1)),0)-IF(Presion_cilindro!N527&gt;(-F$4+Presion_cilindro!$B$34),1-EXP(-Presion_cilindro!$B$16*((Presion_cilindro!N527-(-F$4+Presion_cilindro!$B$34))/Presion_cilindro!$B$35)^(Presion_cilindro!$B$17+1)),0))/((Presion_cilindro!O527+Presion_cilindro!O528)/2)</f>
        <v>5.1144152172468882</v>
      </c>
      <c r="G536" s="27">
        <f>G535*(Presion_cilindro!O527/Presion_cilindro!O528)^Presion_cilindro!$B$9+10*(Presion_cilindro!$B$9-1)*Presion_cilindro!$B$33*(IF(Presion_cilindro!N528&gt;(-G$4+Presion_cilindro!$B$34),1-EXP(-Presion_cilindro!$B$16*((Presion_cilindro!N528-(-G$4+Presion_cilindro!$B$34))/Presion_cilindro!$B$35)^(Presion_cilindro!$B$17+1)),0)-IF(Presion_cilindro!N527&gt;(-G$4+Presion_cilindro!$B$34),1-EXP(-Presion_cilindro!$B$16*((Presion_cilindro!N527-(-G$4+Presion_cilindro!$B$34))/Presion_cilindro!$B$35)^(Presion_cilindro!$B$17+1)),0))/((Presion_cilindro!O527+Presion_cilindro!O528)/2)</f>
        <v>5.0248836183945267</v>
      </c>
      <c r="H536" s="27">
        <f>H535*(Presion_cilindro!O527/Presion_cilindro!O528)^Presion_cilindro!$B$9+10*(Presion_cilindro!$B$9-1)*Presion_cilindro!$B$33*(IF(Presion_cilindro!N528&gt;(-H$4+Presion_cilindro!$B$34),1-EXP(-Presion_cilindro!$B$16*((Presion_cilindro!N528-(-H$4+Presion_cilindro!$B$34))/Presion_cilindro!$B$35)^(Presion_cilindro!$B$17+1)),0)-IF(Presion_cilindro!N527&gt;(-H$4+Presion_cilindro!$B$34),1-EXP(-Presion_cilindro!$B$16*((Presion_cilindro!N527-(-H$4+Presion_cilindro!$B$34))/Presion_cilindro!$B$35)^(Presion_cilindro!$B$17+1)),0))/((Presion_cilindro!O527+Presion_cilindro!O528)/2)</f>
        <v>4.9720701166490695</v>
      </c>
      <c r="I536" s="27">
        <f>I535*(Presion_cilindro!O527/Presion_cilindro!O528)^Presion_cilindro!$B$9+10*(Presion_cilindro!$B$9-1)*Presion_cilindro!$B$33*(IF(Presion_cilindro!N528&gt;(-I$4+Presion_cilindro!$B$34),1-EXP(-Presion_cilindro!$B$16*((Presion_cilindro!N528-(-I$4+Presion_cilindro!$B$34))/Presion_cilindro!$B$35)^(Presion_cilindro!$B$17+1)),0)-IF(Presion_cilindro!N527&gt;(-I$4+Presion_cilindro!$B$34),1-EXP(-Presion_cilindro!$B$16*((Presion_cilindro!N527-(-I$4+Presion_cilindro!$B$34))/Presion_cilindro!$B$35)^(Presion_cilindro!$B$17+1)),0))/((Presion_cilindro!O527+Presion_cilindro!O528)/2)</f>
        <v>4.9594016309714686</v>
      </c>
      <c r="J536" s="27">
        <f>J535*(Presion_cilindro!O527/Presion_cilindro!O528)^Presion_cilindro!$B$9+10*(Presion_cilindro!$B$9-1)*Presion_cilindro!$B$33*(IF(Presion_cilindro!N528&gt;(-J$4+Presion_cilindro!$B$34),1-EXP(-Presion_cilindro!$B$16*((Presion_cilindro!N528-(-J$4+Presion_cilindro!$B$34))/Presion_cilindro!$B$35)^(Presion_cilindro!$B$17+1)),0)-IF(Presion_cilindro!N527&gt;(-J$4+Presion_cilindro!$B$34),1-EXP(-Presion_cilindro!$B$16*((Presion_cilindro!N527-(-J$4+Presion_cilindro!$B$34))/Presion_cilindro!$B$35)^(Presion_cilindro!$B$17+1)),0))/((Presion_cilindro!O527+Presion_cilindro!O528)/2)</f>
        <v>4.9876671803781552</v>
      </c>
      <c r="K536" s="27">
        <f>K535*(Presion_cilindro!O527/Presion_cilindro!O528)^Presion_cilindro!$B$9+10*(Presion_cilindro!$B$9-1)*Presion_cilindro!$B$33*(IF(Presion_cilindro!N528&gt;(-K$4+Presion_cilindro!$B$34),1-EXP(-Presion_cilindro!$B$16*((Presion_cilindro!N528-(-K$4+Presion_cilindro!$B$34))/Presion_cilindro!$B$35)^(Presion_cilindro!$B$17+1)),0)-IF(Presion_cilindro!N527&gt;(-K$4+Presion_cilindro!$B$34),1-EXP(-Presion_cilindro!$B$16*((Presion_cilindro!N527-(-K$4+Presion_cilindro!$B$34))/Presion_cilindro!$B$35)^(Presion_cilindro!$B$17+1)),0))/((Presion_cilindro!O527+Presion_cilindro!O528)/2)</f>
        <v>5.0548809470994813</v>
      </c>
      <c r="L536" s="27">
        <f>L535*(Presion_cilindro!O527/Presion_cilindro!O528)^Presion_cilindro!$B$9+10*(Presion_cilindro!$B$9-1)*Presion_cilindro!$B$33*(IF(Presion_cilindro!N528&gt;(-L$4+Presion_cilindro!$B$34),1-EXP(-Presion_cilindro!$B$16*((Presion_cilindro!N528-(-L$4+Presion_cilindro!$B$34))/Presion_cilindro!$B$35)^(Presion_cilindro!$B$17+1)),0)-IF(Presion_cilindro!N527&gt;(-L$4+Presion_cilindro!$B$34),1-EXP(-Presion_cilindro!$B$16*((Presion_cilindro!N527-(-L$4+Presion_cilindro!$B$34))/Presion_cilindro!$B$35)^(Presion_cilindro!$B$17+1)),0))/((Presion_cilindro!O527+Presion_cilindro!O528)/2)</f>
        <v>5.1566928121099549</v>
      </c>
      <c r="M536" s="27">
        <f>M535*(Presion_cilindro!O527/Presion_cilindro!O528)^Presion_cilindro!$B$9+10*(Presion_cilindro!$B$9-1)*Presion_cilindro!$B$33*(IF(Presion_cilindro!N528&gt;(-M$4+Presion_cilindro!$B$34),1-EXP(-Presion_cilindro!$B$16*((Presion_cilindro!N528-(-M$4+Presion_cilindro!$B$34))/Presion_cilindro!$B$35)^(Presion_cilindro!$B$17+1)),0)-IF(Presion_cilindro!N527&gt;(-M$4+Presion_cilindro!$B$34),1-EXP(-Presion_cilindro!$B$16*((Presion_cilindro!N527-(-M$4+Presion_cilindro!$B$34))/Presion_cilindro!$B$35)^(Presion_cilindro!$B$17+1)),0))/((Presion_cilindro!O527+Presion_cilindro!O528)/2)</f>
        <v>5.2871910870469474</v>
      </c>
      <c r="N536" s="27">
        <f>N535*(Presion_cilindro!O527/Presion_cilindro!O528)^Presion_cilindro!$B$9+10*(Presion_cilindro!$B$9-1)*Presion_cilindro!$B$33*(IF(Presion_cilindro!N528&gt;(-N$4+Presion_cilindro!$B$34),1-EXP(-Presion_cilindro!$B$16*((Presion_cilindro!N528-(-N$4+Presion_cilindro!$B$34))/Presion_cilindro!$B$35)^(Presion_cilindro!$B$17+1)),0)-IF(Presion_cilindro!N527&gt;(-N$4+Presion_cilindro!$B$34),1-EXP(-Presion_cilindro!$B$16*((Presion_cilindro!N527-(-N$4+Presion_cilindro!$B$34))/Presion_cilindro!$B$35)^(Presion_cilindro!$B$17+1)),0))/((Presion_cilindro!O527+Presion_cilindro!O528)/2)</f>
        <v>5.4398296517101654</v>
      </c>
    </row>
    <row r="537" spans="1:14" x14ac:dyDescent="0.25">
      <c r="A537" s="21">
        <f>Presion_cilindro!N529</f>
        <v>82.5</v>
      </c>
      <c r="B537" s="27">
        <f>B536*(Presion_cilindro!O528/Presion_cilindro!O529)^Presion_cilindro!$B$9+10*(Presion_cilindro!$B$9-1)*Presion_cilindro!$B$33*(IF(Presion_cilindro!N529&gt;(-B$4+Presion_cilindro!$B$34),1-EXP(-Presion_cilindro!$B$16*((Presion_cilindro!N529-(-B$4+Presion_cilindro!$B$34))/Presion_cilindro!$B$35)^(Presion_cilindro!$B$17+1)),0)-IF(Presion_cilindro!N528&gt;(-B$4+Presion_cilindro!$B$34),1-EXP(-Presion_cilindro!$B$16*((Presion_cilindro!N528-(-B$4+Presion_cilindro!$B$34))/Presion_cilindro!$B$35)^(Presion_cilindro!$B$17+1)),0))/((Presion_cilindro!O528+Presion_cilindro!O529)/2)</f>
        <v>5.6652025277244018</v>
      </c>
      <c r="C537" s="27">
        <f>C536*(Presion_cilindro!O528/Presion_cilindro!O529)^Presion_cilindro!$B$9+10*(Presion_cilindro!$B$9-1)*Presion_cilindro!$B$33*(IF(Presion_cilindro!N529&gt;(-C$4+Presion_cilindro!$B$34),1-EXP(-Presion_cilindro!$B$16*((Presion_cilindro!N529-(-C$4+Presion_cilindro!$B$34))/Presion_cilindro!$B$35)^(Presion_cilindro!$B$17+1)),0)-IF(Presion_cilindro!N528&gt;(-C$4+Presion_cilindro!$B$34),1-EXP(-Presion_cilindro!$B$16*((Presion_cilindro!N528-(-C$4+Presion_cilindro!$B$34))/Presion_cilindro!$B$35)^(Presion_cilindro!$B$17+1)),0))/((Presion_cilindro!O528+Presion_cilindro!O529)/2)</f>
        <v>5.4910330295120229</v>
      </c>
      <c r="D537" s="27">
        <f>D536*(Presion_cilindro!O528/Presion_cilindro!O529)^Presion_cilindro!$B$9+10*(Presion_cilindro!$B$9-1)*Presion_cilindro!$B$33*(IF(Presion_cilindro!N529&gt;(-D$4+Presion_cilindro!$B$34),1-EXP(-Presion_cilindro!$B$16*((Presion_cilindro!N529-(-D$4+Presion_cilindro!$B$34))/Presion_cilindro!$B$35)^(Presion_cilindro!$B$17+1)),0)-IF(Presion_cilindro!N528&gt;(-D$4+Presion_cilindro!$B$34),1-EXP(-Presion_cilindro!$B$16*((Presion_cilindro!N528-(-D$4+Presion_cilindro!$B$34))/Presion_cilindro!$B$35)^(Presion_cilindro!$B$17+1)),0))/((Presion_cilindro!O528+Presion_cilindro!O529)/2)</f>
        <v>5.3288194641823932</v>
      </c>
      <c r="E537" s="27">
        <f>E536*(Presion_cilindro!O528/Presion_cilindro!O529)^Presion_cilindro!$B$9+10*(Presion_cilindro!$B$9-1)*Presion_cilindro!$B$33*(IF(Presion_cilindro!N529&gt;(-E$4+Presion_cilindro!$B$34),1-EXP(-Presion_cilindro!$B$16*((Presion_cilindro!N529-(-E$4+Presion_cilindro!$B$34))/Presion_cilindro!$B$35)^(Presion_cilindro!$B$17+1)),0)-IF(Presion_cilindro!N528&gt;(-E$4+Presion_cilindro!$B$34),1-EXP(-Presion_cilindro!$B$16*((Presion_cilindro!N528-(-E$4+Presion_cilindro!$B$34))/Presion_cilindro!$B$35)^(Presion_cilindro!$B$17+1)),0))/((Presion_cilindro!O528+Presion_cilindro!O529)/2)</f>
        <v>5.1845965157808553</v>
      </c>
      <c r="F537" s="27">
        <f>F536*(Presion_cilindro!O528/Presion_cilindro!O529)^Presion_cilindro!$B$9+10*(Presion_cilindro!$B$9-1)*Presion_cilindro!$B$33*(IF(Presion_cilindro!N529&gt;(-F$4+Presion_cilindro!$B$34),1-EXP(-Presion_cilindro!$B$16*((Presion_cilindro!N529-(-F$4+Presion_cilindro!$B$34))/Presion_cilindro!$B$35)^(Presion_cilindro!$B$17+1)),0)-IF(Presion_cilindro!N528&gt;(-F$4+Presion_cilindro!$B$34),1-EXP(-Presion_cilindro!$B$16*((Presion_cilindro!N528-(-F$4+Presion_cilindro!$B$34))/Presion_cilindro!$B$35)^(Presion_cilindro!$B$17+1)),0))/((Presion_cilindro!O528+Presion_cilindro!O529)/2)</f>
        <v>5.0649381209435305</v>
      </c>
      <c r="G537" s="27">
        <f>G536*(Presion_cilindro!O528/Presion_cilindro!O529)^Presion_cilindro!$B$9+10*(Presion_cilindro!$B$9-1)*Presion_cilindro!$B$33*(IF(Presion_cilindro!N529&gt;(-G$4+Presion_cilindro!$B$34),1-EXP(-Presion_cilindro!$B$16*((Presion_cilindro!N529-(-G$4+Presion_cilindro!$B$34))/Presion_cilindro!$B$35)^(Presion_cilindro!$B$17+1)),0)-IF(Presion_cilindro!N528&gt;(-G$4+Presion_cilindro!$B$34),1-EXP(-Presion_cilindro!$B$16*((Presion_cilindro!N528-(-G$4+Presion_cilindro!$B$34))/Presion_cilindro!$B$35)^(Presion_cilindro!$B$17+1)),0))/((Presion_cilindro!O528+Presion_cilindro!O529)/2)</f>
        <v>4.9762726550409671</v>
      </c>
      <c r="H537" s="27">
        <f>H536*(Presion_cilindro!O528/Presion_cilindro!O529)^Presion_cilindro!$B$9+10*(Presion_cilindro!$B$9-1)*Presion_cilindro!$B$33*(IF(Presion_cilindro!N529&gt;(-H$4+Presion_cilindro!$B$34),1-EXP(-Presion_cilindro!$B$16*((Presion_cilindro!N529-(-H$4+Presion_cilindro!$B$34))/Presion_cilindro!$B$35)^(Presion_cilindro!$B$17+1)),0)-IF(Presion_cilindro!N528&gt;(-H$4+Presion_cilindro!$B$34),1-EXP(-Presion_cilindro!$B$16*((Presion_cilindro!N528-(-H$4+Presion_cilindro!$B$34))/Presion_cilindro!$B$35)^(Presion_cilindro!$B$17+1)),0))/((Presion_cilindro!O528+Presion_cilindro!O529)/2)</f>
        <v>4.9239700736257888</v>
      </c>
      <c r="I537" s="27">
        <f>I536*(Presion_cilindro!O528/Presion_cilindro!O529)^Presion_cilindro!$B$9+10*(Presion_cilindro!$B$9-1)*Presion_cilindro!$B$33*(IF(Presion_cilindro!N529&gt;(-I$4+Presion_cilindro!$B$34),1-EXP(-Presion_cilindro!$B$16*((Presion_cilindro!N529-(-I$4+Presion_cilindro!$B$34))/Presion_cilindro!$B$35)^(Presion_cilindro!$B$17+1)),0)-IF(Presion_cilindro!N528&gt;(-I$4+Presion_cilindro!$B$34),1-EXP(-Presion_cilindro!$B$16*((Presion_cilindro!N528-(-I$4+Presion_cilindro!$B$34))/Presion_cilindro!$B$35)^(Presion_cilindro!$B$17+1)),0))/((Presion_cilindro!O528+Presion_cilindro!O529)/2)</f>
        <v>4.9114241434817654</v>
      </c>
      <c r="J537" s="27">
        <f>J536*(Presion_cilindro!O528/Presion_cilindro!O529)^Presion_cilindro!$B$9+10*(Presion_cilindro!$B$9-1)*Presion_cilindro!$B$33*(IF(Presion_cilindro!N529&gt;(-J$4+Presion_cilindro!$B$34),1-EXP(-Presion_cilindro!$B$16*((Presion_cilindro!N529-(-J$4+Presion_cilindro!$B$34))/Presion_cilindro!$B$35)^(Presion_cilindro!$B$17+1)),0)-IF(Presion_cilindro!N528&gt;(-J$4+Presion_cilindro!$B$34),1-EXP(-Presion_cilindro!$B$16*((Presion_cilindro!N528-(-J$4+Presion_cilindro!$B$34))/Presion_cilindro!$B$35)^(Presion_cilindro!$B$17+1)),0))/((Presion_cilindro!O528+Presion_cilindro!O529)/2)</f>
        <v>4.9394162506177999</v>
      </c>
      <c r="K537" s="27">
        <f>K536*(Presion_cilindro!O528/Presion_cilindro!O529)^Presion_cilindro!$B$9+10*(Presion_cilindro!$B$9-1)*Presion_cilindro!$B$33*(IF(Presion_cilindro!N529&gt;(-K$4+Presion_cilindro!$B$34),1-EXP(-Presion_cilindro!$B$16*((Presion_cilindro!N529-(-K$4+Presion_cilindro!$B$34))/Presion_cilindro!$B$35)^(Presion_cilindro!$B$17+1)),0)-IF(Presion_cilindro!N528&gt;(-K$4+Presion_cilindro!$B$34),1-EXP(-Presion_cilindro!$B$16*((Presion_cilindro!N528-(-K$4+Presion_cilindro!$B$34))/Presion_cilindro!$B$35)^(Presion_cilindro!$B$17+1)),0))/((Presion_cilindro!O528+Presion_cilindro!O529)/2)</f>
        <v>5.0059797881598902</v>
      </c>
      <c r="L537" s="27">
        <f>L536*(Presion_cilindro!O528/Presion_cilindro!O529)^Presion_cilindro!$B$9+10*(Presion_cilindro!$B$9-1)*Presion_cilindro!$B$33*(IF(Presion_cilindro!N529&gt;(-L$4+Presion_cilindro!$B$34),1-EXP(-Presion_cilindro!$B$16*((Presion_cilindro!N529-(-L$4+Presion_cilindro!$B$34))/Presion_cilindro!$B$35)^(Presion_cilindro!$B$17+1)),0)-IF(Presion_cilindro!N528&gt;(-L$4+Presion_cilindro!$B$34),1-EXP(-Presion_cilindro!$B$16*((Presion_cilindro!N528-(-L$4+Presion_cilindro!$B$34))/Presion_cilindro!$B$35)^(Presion_cilindro!$B$17+1)),0))/((Presion_cilindro!O528+Presion_cilindro!O529)/2)</f>
        <v>5.1068067203411012</v>
      </c>
      <c r="M537" s="27">
        <f>M536*(Presion_cilindro!O528/Presion_cilindro!O529)^Presion_cilindro!$B$9+10*(Presion_cilindro!$B$9-1)*Presion_cilindro!$B$33*(IF(Presion_cilindro!N529&gt;(-M$4+Presion_cilindro!$B$34),1-EXP(-Presion_cilindro!$B$16*((Presion_cilindro!N529-(-M$4+Presion_cilindro!$B$34))/Presion_cilindro!$B$35)^(Presion_cilindro!$B$17+1)),0)-IF(Presion_cilindro!N528&gt;(-M$4+Presion_cilindro!$B$34),1-EXP(-Presion_cilindro!$B$16*((Presion_cilindro!N528-(-M$4+Presion_cilindro!$B$34))/Presion_cilindro!$B$35)^(Presion_cilindro!$B$17+1)),0))/((Presion_cilindro!O528+Presion_cilindro!O529)/2)</f>
        <v>5.2360425487534732</v>
      </c>
      <c r="N537" s="27">
        <f>N536*(Presion_cilindro!O528/Presion_cilindro!O529)^Presion_cilindro!$B$9+10*(Presion_cilindro!$B$9-1)*Presion_cilindro!$B$33*(IF(Presion_cilindro!N529&gt;(-N$4+Presion_cilindro!$B$34),1-EXP(-Presion_cilindro!$B$16*((Presion_cilindro!N529-(-N$4+Presion_cilindro!$B$34))/Presion_cilindro!$B$35)^(Presion_cilindro!$B$17+1)),0)-IF(Presion_cilindro!N528&gt;(-N$4+Presion_cilindro!$B$34),1-EXP(-Presion_cilindro!$B$16*((Presion_cilindro!N528-(-N$4+Presion_cilindro!$B$34))/Presion_cilindro!$B$35)^(Presion_cilindro!$B$17+1)),0))/((Presion_cilindro!O528+Presion_cilindro!O529)/2)</f>
        <v>5.3872044806751838</v>
      </c>
    </row>
    <row r="538" spans="1:14" x14ac:dyDescent="0.25">
      <c r="A538" s="21">
        <f>Presion_cilindro!N530</f>
        <v>83</v>
      </c>
      <c r="B538" s="27">
        <f>B537*(Presion_cilindro!O529/Presion_cilindro!O530)^Presion_cilindro!$B$9+10*(Presion_cilindro!$B$9-1)*Presion_cilindro!$B$33*(IF(Presion_cilindro!N530&gt;(-B$4+Presion_cilindro!$B$34),1-EXP(-Presion_cilindro!$B$16*((Presion_cilindro!N530-(-B$4+Presion_cilindro!$B$34))/Presion_cilindro!$B$35)^(Presion_cilindro!$B$17+1)),0)-IF(Presion_cilindro!N529&gt;(-B$4+Presion_cilindro!$B$34),1-EXP(-Presion_cilindro!$B$16*((Presion_cilindro!N529-(-B$4+Presion_cilindro!$B$34))/Presion_cilindro!$B$35)^(Presion_cilindro!$B$17+1)),0))/((Presion_cilindro!O529+Presion_cilindro!O530)/2)</f>
        <v>5.6108645143960443</v>
      </c>
      <c r="C538" s="27">
        <f>C537*(Presion_cilindro!O529/Presion_cilindro!O530)^Presion_cilindro!$B$9+10*(Presion_cilindro!$B$9-1)*Presion_cilindro!$B$33*(IF(Presion_cilindro!N530&gt;(-C$4+Presion_cilindro!$B$34),1-EXP(-Presion_cilindro!$B$16*((Presion_cilindro!N530-(-C$4+Presion_cilindro!$B$34))/Presion_cilindro!$B$35)^(Presion_cilindro!$B$17+1)),0)-IF(Presion_cilindro!N529&gt;(-C$4+Presion_cilindro!$B$34),1-EXP(-Presion_cilindro!$B$16*((Presion_cilindro!N529-(-C$4+Presion_cilindro!$B$34))/Presion_cilindro!$B$35)^(Presion_cilindro!$B$17+1)),0))/((Presion_cilindro!O529+Presion_cilindro!O530)/2)</f>
        <v>5.4383655295207429</v>
      </c>
      <c r="D538" s="27">
        <f>D537*(Presion_cilindro!O529/Presion_cilindro!O530)^Presion_cilindro!$B$9+10*(Presion_cilindro!$B$9-1)*Presion_cilindro!$B$33*(IF(Presion_cilindro!N530&gt;(-D$4+Presion_cilindro!$B$34),1-EXP(-Presion_cilindro!$B$16*((Presion_cilindro!N530-(-D$4+Presion_cilindro!$B$34))/Presion_cilindro!$B$35)^(Presion_cilindro!$B$17+1)),0)-IF(Presion_cilindro!N529&gt;(-D$4+Presion_cilindro!$B$34),1-EXP(-Presion_cilindro!$B$16*((Presion_cilindro!N529-(-D$4+Presion_cilindro!$B$34))/Presion_cilindro!$B$35)^(Presion_cilindro!$B$17+1)),0))/((Presion_cilindro!O529+Presion_cilindro!O530)/2)</f>
        <v>5.277707842089387</v>
      </c>
      <c r="E538" s="27">
        <f>E537*(Presion_cilindro!O529/Presion_cilindro!O530)^Presion_cilindro!$B$9+10*(Presion_cilindro!$B$9-1)*Presion_cilindro!$B$33*(IF(Presion_cilindro!N530&gt;(-E$4+Presion_cilindro!$B$34),1-EXP(-Presion_cilindro!$B$16*((Presion_cilindro!N530-(-E$4+Presion_cilindro!$B$34))/Presion_cilindro!$B$35)^(Presion_cilindro!$B$17+1)),0)-IF(Presion_cilindro!N529&gt;(-E$4+Presion_cilindro!$B$34),1-EXP(-Presion_cilindro!$B$16*((Presion_cilindro!N529-(-E$4+Presion_cilindro!$B$34))/Presion_cilindro!$B$35)^(Presion_cilindro!$B$17+1)),0))/((Presion_cilindro!O529+Presion_cilindro!O530)/2)</f>
        <v>5.1348682148510809</v>
      </c>
      <c r="F538" s="27">
        <f>F537*(Presion_cilindro!O529/Presion_cilindro!O530)^Presion_cilindro!$B$9+10*(Presion_cilindro!$B$9-1)*Presion_cilindro!$B$33*(IF(Presion_cilindro!N530&gt;(-F$4+Presion_cilindro!$B$34),1-EXP(-Presion_cilindro!$B$16*((Presion_cilindro!N530-(-F$4+Presion_cilindro!$B$34))/Presion_cilindro!$B$35)^(Presion_cilindro!$B$17+1)),0)-IF(Presion_cilindro!N529&gt;(-F$4+Presion_cilindro!$B$34),1-EXP(-Presion_cilindro!$B$16*((Presion_cilindro!N529-(-F$4+Presion_cilindro!$B$34))/Presion_cilindro!$B$35)^(Presion_cilindro!$B$17+1)),0))/((Presion_cilindro!O529+Presion_cilindro!O530)/2)</f>
        <v>5.0163575291263616</v>
      </c>
      <c r="G538" s="27">
        <f>G537*(Presion_cilindro!O529/Presion_cilindro!O530)^Presion_cilindro!$B$9+10*(Presion_cilindro!$B$9-1)*Presion_cilindro!$B$33*(IF(Presion_cilindro!N530&gt;(-G$4+Presion_cilindro!$B$34),1-EXP(-Presion_cilindro!$B$16*((Presion_cilindro!N530-(-G$4+Presion_cilindro!$B$34))/Presion_cilindro!$B$35)^(Presion_cilindro!$B$17+1)),0)-IF(Presion_cilindro!N529&gt;(-G$4+Presion_cilindro!$B$34),1-EXP(-Presion_cilindro!$B$16*((Presion_cilindro!N529-(-G$4+Presion_cilindro!$B$34))/Presion_cilindro!$B$35)^(Presion_cilindro!$B$17+1)),0))/((Presion_cilindro!O529+Presion_cilindro!O530)/2)</f>
        <v>4.9285425022033928</v>
      </c>
      <c r="H538" s="27">
        <f>H537*(Presion_cilindro!O529/Presion_cilindro!O530)^Presion_cilindro!$B$9+10*(Presion_cilindro!$B$9-1)*Presion_cilindro!$B$33*(IF(Presion_cilindro!N530&gt;(-H$4+Presion_cilindro!$B$34),1-EXP(-Presion_cilindro!$B$16*((Presion_cilindro!N530-(-H$4+Presion_cilindro!$B$34))/Presion_cilindro!$B$35)^(Presion_cilindro!$B$17+1)),0)-IF(Presion_cilindro!N529&gt;(-H$4+Presion_cilindro!$B$34),1-EXP(-Presion_cilindro!$B$16*((Presion_cilindro!N529-(-H$4+Presion_cilindro!$B$34))/Presion_cilindro!$B$35)^(Presion_cilindro!$B$17+1)),0))/((Presion_cilindro!O529+Presion_cilindro!O530)/2)</f>
        <v>4.8767415834537875</v>
      </c>
      <c r="I538" s="27">
        <f>I537*(Presion_cilindro!O529/Presion_cilindro!O530)^Presion_cilindro!$B$9+10*(Presion_cilindro!$B$9-1)*Presion_cilindro!$B$33*(IF(Presion_cilindro!N530&gt;(-I$4+Presion_cilindro!$B$34),1-EXP(-Presion_cilindro!$B$16*((Presion_cilindro!N530-(-I$4+Presion_cilindro!$B$34))/Presion_cilindro!$B$35)^(Presion_cilindro!$B$17+1)),0)-IF(Presion_cilindro!N529&gt;(-I$4+Presion_cilindro!$B$34),1-EXP(-Presion_cilindro!$B$16*((Presion_cilindro!N529-(-I$4+Presion_cilindro!$B$34))/Presion_cilindro!$B$35)^(Presion_cilindro!$B$17+1)),0))/((Presion_cilindro!O529+Presion_cilindro!O530)/2)</f>
        <v>4.8643159881878502</v>
      </c>
      <c r="J538" s="27">
        <f>J537*(Presion_cilindro!O529/Presion_cilindro!O530)^Presion_cilindro!$B$9+10*(Presion_cilindro!$B$9-1)*Presion_cilindro!$B$33*(IF(Presion_cilindro!N530&gt;(-J$4+Presion_cilindro!$B$34),1-EXP(-Presion_cilindro!$B$16*((Presion_cilindro!N530-(-J$4+Presion_cilindro!$B$34))/Presion_cilindro!$B$35)^(Presion_cilindro!$B$17+1)),0)-IF(Presion_cilindro!N529&gt;(-J$4+Presion_cilindro!$B$34),1-EXP(-Presion_cilindro!$B$16*((Presion_cilindro!N529-(-J$4+Presion_cilindro!$B$34))/Presion_cilindro!$B$35)^(Presion_cilindro!$B$17+1)),0))/((Presion_cilindro!O529+Presion_cilindro!O530)/2)</f>
        <v>4.8920396077138868</v>
      </c>
      <c r="K538" s="27">
        <f>K537*(Presion_cilindro!O529/Presion_cilindro!O530)^Presion_cilindro!$B$9+10*(Presion_cilindro!$B$9-1)*Presion_cilindro!$B$33*(IF(Presion_cilindro!N530&gt;(-K$4+Presion_cilindro!$B$34),1-EXP(-Presion_cilindro!$B$16*((Presion_cilindro!N530-(-K$4+Presion_cilindro!$B$34))/Presion_cilindro!$B$35)^(Presion_cilindro!$B$17+1)),0)-IF(Presion_cilindro!N529&gt;(-K$4+Presion_cilindro!$B$34),1-EXP(-Presion_cilindro!$B$16*((Presion_cilindro!N529-(-K$4+Presion_cilindro!$B$34))/Presion_cilindro!$B$35)^(Presion_cilindro!$B$17+1)),0))/((Presion_cilindro!O529+Presion_cilindro!O530)/2)</f>
        <v>4.9579646979600724</v>
      </c>
      <c r="L538" s="27">
        <f>L537*(Presion_cilindro!O529/Presion_cilindro!O530)^Presion_cilindro!$B$9+10*(Presion_cilindro!$B$9-1)*Presion_cilindro!$B$33*(IF(Presion_cilindro!N530&gt;(-L$4+Presion_cilindro!$B$34),1-EXP(-Presion_cilindro!$B$16*((Presion_cilindro!N530-(-L$4+Presion_cilindro!$B$34))/Presion_cilindro!$B$35)^(Presion_cilindro!$B$17+1)),0)-IF(Presion_cilindro!N529&gt;(-L$4+Presion_cilindro!$B$34),1-EXP(-Presion_cilindro!$B$16*((Presion_cilindro!N529-(-L$4+Presion_cilindro!$B$34))/Presion_cilindro!$B$35)^(Presion_cilindro!$B$17+1)),0))/((Presion_cilindro!O529+Presion_cilindro!O530)/2)</f>
        <v>5.0578245438868201</v>
      </c>
      <c r="M538" s="27">
        <f>M537*(Presion_cilindro!O529/Presion_cilindro!O530)^Presion_cilindro!$B$9+10*(Presion_cilindro!$B$9-1)*Presion_cilindro!$B$33*(IF(Presion_cilindro!N530&gt;(-M$4+Presion_cilindro!$B$34),1-EXP(-Presion_cilindro!$B$16*((Presion_cilindro!N530-(-M$4+Presion_cilindro!$B$34))/Presion_cilindro!$B$35)^(Presion_cilindro!$B$17+1)),0)-IF(Presion_cilindro!N529&gt;(-M$4+Presion_cilindro!$B$34),1-EXP(-Presion_cilindro!$B$16*((Presion_cilindro!N529-(-M$4+Presion_cilindro!$B$34))/Presion_cilindro!$B$35)^(Presion_cilindro!$B$17+1)),0))/((Presion_cilindro!O529+Presion_cilindro!O530)/2)</f>
        <v>5.1858208007825537</v>
      </c>
      <c r="N538" s="27">
        <f>N537*(Presion_cilindro!O529/Presion_cilindro!O530)^Presion_cilindro!$B$9+10*(Presion_cilindro!$B$9-1)*Presion_cilindro!$B$33*(IF(Presion_cilindro!N530&gt;(-N$4+Presion_cilindro!$B$34),1-EXP(-Presion_cilindro!$B$16*((Presion_cilindro!N530-(-N$4+Presion_cilindro!$B$34))/Presion_cilindro!$B$35)^(Presion_cilindro!$B$17+1)),0)-IF(Presion_cilindro!N529&gt;(-N$4+Presion_cilindro!$B$34),1-EXP(-Presion_cilindro!$B$16*((Presion_cilindro!N529-(-N$4+Presion_cilindro!$B$34))/Presion_cilindro!$B$35)^(Presion_cilindro!$B$17+1)),0))/((Presion_cilindro!O529+Presion_cilindro!O530)/2)</f>
        <v>5.3355328559362505</v>
      </c>
    </row>
    <row r="539" spans="1:14" x14ac:dyDescent="0.25">
      <c r="A539" s="21">
        <f>Presion_cilindro!N531</f>
        <v>83.5</v>
      </c>
      <c r="B539" s="27">
        <f>B538*(Presion_cilindro!O530/Presion_cilindro!O531)^Presion_cilindro!$B$9+10*(Presion_cilindro!$B$9-1)*Presion_cilindro!$B$33*(IF(Presion_cilindro!N531&gt;(-B$4+Presion_cilindro!$B$34),1-EXP(-Presion_cilindro!$B$16*((Presion_cilindro!N531-(-B$4+Presion_cilindro!$B$34))/Presion_cilindro!$B$35)^(Presion_cilindro!$B$17+1)),0)-IF(Presion_cilindro!N530&gt;(-B$4+Presion_cilindro!$B$34),1-EXP(-Presion_cilindro!$B$16*((Presion_cilindro!N530-(-B$4+Presion_cilindro!$B$34))/Presion_cilindro!$B$35)^(Presion_cilindro!$B$17+1)),0))/((Presion_cilindro!O530+Presion_cilindro!O531)/2)</f>
        <v>5.5575079503863307</v>
      </c>
      <c r="C539" s="27">
        <f>C538*(Presion_cilindro!O530/Presion_cilindro!O531)^Presion_cilindro!$B$9+10*(Presion_cilindro!$B$9-1)*Presion_cilindro!$B$33*(IF(Presion_cilindro!N531&gt;(-C$4+Presion_cilindro!$B$34),1-EXP(-Presion_cilindro!$B$16*((Presion_cilindro!N531-(-C$4+Presion_cilindro!$B$34))/Presion_cilindro!$B$35)^(Presion_cilindro!$B$17+1)),0)-IF(Presion_cilindro!N530&gt;(-C$4+Presion_cilindro!$B$34),1-EXP(-Presion_cilindro!$B$16*((Presion_cilindro!N530-(-C$4+Presion_cilindro!$B$34))/Presion_cilindro!$B$35)^(Presion_cilindro!$B$17+1)),0))/((Presion_cilindro!O530+Presion_cilindro!O531)/2)</f>
        <v>5.3866493175801535</v>
      </c>
      <c r="D539" s="27">
        <f>D538*(Presion_cilindro!O530/Presion_cilindro!O531)^Presion_cilindro!$B$9+10*(Presion_cilindro!$B$9-1)*Presion_cilindro!$B$33*(IF(Presion_cilindro!N531&gt;(-D$4+Presion_cilindro!$B$34),1-EXP(-Presion_cilindro!$B$16*((Presion_cilindro!N531-(-D$4+Presion_cilindro!$B$34))/Presion_cilindro!$B$35)^(Presion_cilindro!$B$17+1)),0)-IF(Presion_cilindro!N530&gt;(-D$4+Presion_cilindro!$B$34),1-EXP(-Presion_cilindro!$B$16*((Presion_cilindro!N530-(-D$4+Presion_cilindro!$B$34))/Presion_cilindro!$B$35)^(Presion_cilindro!$B$17+1)),0))/((Presion_cilindro!O530+Presion_cilindro!O531)/2)</f>
        <v>5.2275194059025294</v>
      </c>
      <c r="E539" s="27">
        <f>E538*(Presion_cilindro!O530/Presion_cilindro!O531)^Presion_cilindro!$B$9+10*(Presion_cilindro!$B$9-1)*Presion_cilindro!$B$33*(IF(Presion_cilindro!N531&gt;(-E$4+Presion_cilindro!$B$34),1-EXP(-Presion_cilindro!$B$16*((Presion_cilindro!N531-(-E$4+Presion_cilindro!$B$34))/Presion_cilindro!$B$35)^(Presion_cilindro!$B$17+1)),0)-IF(Presion_cilindro!N530&gt;(-E$4+Presion_cilindro!$B$34),1-EXP(-Presion_cilindro!$B$16*((Presion_cilindro!N530-(-E$4+Presion_cilindro!$B$34))/Presion_cilindro!$B$35)^(Presion_cilindro!$B$17+1)),0))/((Presion_cilindro!O530+Presion_cilindro!O531)/2)</f>
        <v>5.0860381140761701</v>
      </c>
      <c r="F539" s="27">
        <f>F538*(Presion_cilindro!O530/Presion_cilindro!O531)^Presion_cilindro!$B$9+10*(Presion_cilindro!$B$9-1)*Presion_cilindro!$B$33*(IF(Presion_cilindro!N531&gt;(-F$4+Presion_cilindro!$B$34),1-EXP(-Presion_cilindro!$B$16*((Presion_cilindro!N531-(-F$4+Presion_cilindro!$B$34))/Presion_cilindro!$B$35)^(Presion_cilindro!$B$17+1)),0)-IF(Presion_cilindro!N530&gt;(-F$4+Presion_cilindro!$B$34),1-EXP(-Presion_cilindro!$B$16*((Presion_cilindro!N530-(-F$4+Presion_cilindro!$B$34))/Presion_cilindro!$B$35)^(Presion_cilindro!$B$17+1)),0))/((Presion_cilindro!O530+Presion_cilindro!O531)/2)</f>
        <v>4.9686544073671088</v>
      </c>
      <c r="G539" s="27">
        <f>G538*(Presion_cilindro!O530/Presion_cilindro!O531)^Presion_cilindro!$B$9+10*(Presion_cilindro!$B$9-1)*Presion_cilindro!$B$33*(IF(Presion_cilindro!N531&gt;(-G$4+Presion_cilindro!$B$34),1-EXP(-Presion_cilindro!$B$16*((Presion_cilindro!N531-(-G$4+Presion_cilindro!$B$34))/Presion_cilindro!$B$35)^(Presion_cilindro!$B$17+1)),0)-IF(Presion_cilindro!N530&gt;(-G$4+Presion_cilindro!$B$34),1-EXP(-Presion_cilindro!$B$16*((Presion_cilindro!N530-(-G$4+Presion_cilindro!$B$34))/Presion_cilindro!$B$35)^(Presion_cilindro!$B$17+1)),0))/((Presion_cilindro!O530+Presion_cilindro!O531)/2)</f>
        <v>4.8816744586651941</v>
      </c>
      <c r="H539" s="27">
        <f>H538*(Presion_cilindro!O530/Presion_cilindro!O531)^Presion_cilindro!$B$9+10*(Presion_cilindro!$B$9-1)*Presion_cilindro!$B$33*(IF(Presion_cilindro!N531&gt;(-H$4+Presion_cilindro!$B$34),1-EXP(-Presion_cilindro!$B$16*((Presion_cilindro!N531-(-H$4+Presion_cilindro!$B$34))/Presion_cilindro!$B$35)^(Presion_cilindro!$B$17+1)),0)-IF(Presion_cilindro!N530&gt;(-H$4+Presion_cilindro!$B$34),1-EXP(-Presion_cilindro!$B$16*((Presion_cilindro!N530-(-H$4+Presion_cilindro!$B$34))/Presion_cilindro!$B$35)^(Presion_cilindro!$B$17+1)),0))/((Presion_cilindro!O530+Presion_cilindro!O531)/2)</f>
        <v>4.8303661414735926</v>
      </c>
      <c r="I539" s="27">
        <f>I538*(Presion_cilindro!O530/Presion_cilindro!O531)^Presion_cilindro!$B$9+10*(Presion_cilindro!$B$9-1)*Presion_cilindro!$B$33*(IF(Presion_cilindro!N531&gt;(-I$4+Presion_cilindro!$B$34),1-EXP(-Presion_cilindro!$B$16*((Presion_cilindro!N531-(-I$4+Presion_cilindro!$B$34))/Presion_cilindro!$B$35)^(Presion_cilindro!$B$17+1)),0)-IF(Presion_cilindro!N530&gt;(-I$4+Presion_cilindro!$B$34),1-EXP(-Presion_cilindro!$B$16*((Presion_cilindro!N530-(-I$4+Presion_cilindro!$B$34))/Presion_cilindro!$B$35)^(Presion_cilindro!$B$17+1)),0))/((Presion_cilindro!O530+Presion_cilindro!O531)/2)</f>
        <v>4.8180587075788219</v>
      </c>
      <c r="J539" s="27">
        <f>J538*(Presion_cilindro!O530/Presion_cilindro!O531)^Presion_cilindro!$B$9+10*(Presion_cilindro!$B$9-1)*Presion_cilindro!$B$33*(IF(Presion_cilindro!N531&gt;(-J$4+Presion_cilindro!$B$34),1-EXP(-Presion_cilindro!$B$16*((Presion_cilindro!N531-(-J$4+Presion_cilindro!$B$34))/Presion_cilindro!$B$35)^(Presion_cilindro!$B$17+1)),0)-IF(Presion_cilindro!N530&gt;(-J$4+Presion_cilindro!$B$34),1-EXP(-Presion_cilindro!$B$16*((Presion_cilindro!N530-(-J$4+Presion_cilindro!$B$34))/Presion_cilindro!$B$35)^(Presion_cilindro!$B$17+1)),0))/((Presion_cilindro!O530+Presion_cilindro!O531)/2)</f>
        <v>4.8455186889590172</v>
      </c>
      <c r="K539" s="27">
        <f>K538*(Presion_cilindro!O530/Presion_cilindro!O531)^Presion_cilindro!$B$9+10*(Presion_cilindro!$B$9-1)*Presion_cilindro!$B$33*(IF(Presion_cilindro!N531&gt;(-K$4+Presion_cilindro!$B$34),1-EXP(-Presion_cilindro!$B$16*((Presion_cilindro!N531-(-K$4+Presion_cilindro!$B$34))/Presion_cilindro!$B$35)^(Presion_cilindro!$B$17+1)),0)-IF(Presion_cilindro!N530&gt;(-K$4+Presion_cilindro!$B$34),1-EXP(-Presion_cilindro!$B$16*((Presion_cilindro!N530-(-K$4+Presion_cilindro!$B$34))/Presion_cilindro!$B$35)^(Presion_cilindro!$B$17+1)),0))/((Presion_cilindro!O530+Presion_cilindro!O531)/2)</f>
        <v>4.9108168636417195</v>
      </c>
      <c r="L539" s="27">
        <f>L538*(Presion_cilindro!O530/Presion_cilindro!O531)^Presion_cilindro!$B$9+10*(Presion_cilindro!$B$9-1)*Presion_cilindro!$B$33*(IF(Presion_cilindro!N531&gt;(-L$4+Presion_cilindro!$B$34),1-EXP(-Presion_cilindro!$B$16*((Presion_cilindro!N531-(-L$4+Presion_cilindro!$B$34))/Presion_cilindro!$B$35)^(Presion_cilindro!$B$17+1)),0)-IF(Presion_cilindro!N530&gt;(-L$4+Presion_cilindro!$B$34),1-EXP(-Presion_cilindro!$B$16*((Presion_cilindro!N530-(-L$4+Presion_cilindro!$B$34))/Presion_cilindro!$B$35)^(Presion_cilindro!$B$17+1)),0))/((Presion_cilindro!O530+Presion_cilindro!O531)/2)</f>
        <v>5.0097270909734117</v>
      </c>
      <c r="M539" s="27">
        <f>M538*(Presion_cilindro!O530/Presion_cilindro!O531)^Presion_cilindro!$B$9+10*(Presion_cilindro!$B$9-1)*Presion_cilindro!$B$33*(IF(Presion_cilindro!N531&gt;(-M$4+Presion_cilindro!$B$34),1-EXP(-Presion_cilindro!$B$16*((Presion_cilindro!N531-(-M$4+Presion_cilindro!$B$34))/Presion_cilindro!$B$35)^(Presion_cilindro!$B$17+1)),0)-IF(Presion_cilindro!N530&gt;(-M$4+Presion_cilindro!$B$34),1-EXP(-Presion_cilindro!$B$16*((Presion_cilindro!N530-(-M$4+Presion_cilindro!$B$34))/Presion_cilindro!$B$35)^(Presion_cilindro!$B$17+1)),0))/((Presion_cilindro!O530+Presion_cilindro!O531)/2)</f>
        <v>5.1365061656822748</v>
      </c>
      <c r="N539" s="27">
        <f>N538*(Presion_cilindro!O530/Presion_cilindro!O531)^Presion_cilindro!$B$9+10*(Presion_cilindro!$B$9-1)*Presion_cilindro!$B$33*(IF(Presion_cilindro!N531&gt;(-N$4+Presion_cilindro!$B$34),1-EXP(-Presion_cilindro!$B$16*((Presion_cilindro!N531-(-N$4+Presion_cilindro!$B$34))/Presion_cilindro!$B$35)^(Presion_cilindro!$B$17+1)),0)-IF(Presion_cilindro!N530&gt;(-N$4+Presion_cilindro!$B$34),1-EXP(-Presion_cilindro!$B$16*((Presion_cilindro!N530-(-N$4+Presion_cilindro!$B$34))/Presion_cilindro!$B$35)^(Presion_cilindro!$B$17+1)),0))/((Presion_cilindro!O530+Presion_cilindro!O531)/2)</f>
        <v>5.2847945319632474</v>
      </c>
    </row>
    <row r="540" spans="1:14" x14ac:dyDescent="0.25">
      <c r="A540" s="21">
        <f>Presion_cilindro!N532</f>
        <v>84</v>
      </c>
      <c r="B540" s="27">
        <f>B539*(Presion_cilindro!O531/Presion_cilindro!O532)^Presion_cilindro!$B$9+10*(Presion_cilindro!$B$9-1)*Presion_cilindro!$B$33*(IF(Presion_cilindro!N532&gt;(-B$4+Presion_cilindro!$B$34),1-EXP(-Presion_cilindro!$B$16*((Presion_cilindro!N532-(-B$4+Presion_cilindro!$B$34))/Presion_cilindro!$B$35)^(Presion_cilindro!$B$17+1)),0)-IF(Presion_cilindro!N531&gt;(-B$4+Presion_cilindro!$B$34),1-EXP(-Presion_cilindro!$B$16*((Presion_cilindro!N531-(-B$4+Presion_cilindro!$B$34))/Presion_cilindro!$B$35)^(Presion_cilindro!$B$17+1)),0))/((Presion_cilindro!O531+Presion_cilindro!O532)/2)</f>
        <v>5.5051120732768153</v>
      </c>
      <c r="C540" s="27">
        <f>C539*(Presion_cilindro!O531/Presion_cilindro!O532)^Presion_cilindro!$B$9+10*(Presion_cilindro!$B$9-1)*Presion_cilindro!$B$33*(IF(Presion_cilindro!N532&gt;(-C$4+Presion_cilindro!$B$34),1-EXP(-Presion_cilindro!$B$16*((Presion_cilindro!N532-(-C$4+Presion_cilindro!$B$34))/Presion_cilindro!$B$35)^(Presion_cilindro!$B$17+1)),0)-IF(Presion_cilindro!N531&gt;(-C$4+Presion_cilindro!$B$34),1-EXP(-Presion_cilindro!$B$16*((Presion_cilindro!N531-(-C$4+Presion_cilindro!$B$34))/Presion_cilindro!$B$35)^(Presion_cilindro!$B$17+1)),0))/((Presion_cilindro!O531+Presion_cilindro!O532)/2)</f>
        <v>5.3358642661210736</v>
      </c>
      <c r="D540" s="27">
        <f>D539*(Presion_cilindro!O531/Presion_cilindro!O532)^Presion_cilindro!$B$9+10*(Presion_cilindro!$B$9-1)*Presion_cilindro!$B$33*(IF(Presion_cilindro!N532&gt;(-D$4+Presion_cilindro!$B$34),1-EXP(-Presion_cilindro!$B$16*((Presion_cilindro!N532-(-D$4+Presion_cilindro!$B$34))/Presion_cilindro!$B$35)^(Presion_cilindro!$B$17+1)),0)-IF(Presion_cilindro!N531&gt;(-D$4+Presion_cilindro!$B$34),1-EXP(-Presion_cilindro!$B$16*((Presion_cilindro!N531-(-D$4+Presion_cilindro!$B$34))/Presion_cilindro!$B$35)^(Presion_cilindro!$B$17+1)),0))/((Presion_cilindro!O531+Presion_cilindro!O532)/2)</f>
        <v>5.1782346225340419</v>
      </c>
      <c r="E540" s="27">
        <f>E539*(Presion_cilindro!O531/Presion_cilindro!O532)^Presion_cilindro!$B$9+10*(Presion_cilindro!$B$9-1)*Presion_cilindro!$B$33*(IF(Presion_cilindro!N532&gt;(-E$4+Presion_cilindro!$B$34),1-EXP(-Presion_cilindro!$B$16*((Presion_cilindro!N532-(-E$4+Presion_cilindro!$B$34))/Presion_cilindro!$B$35)^(Presion_cilindro!$B$17+1)),0)-IF(Presion_cilindro!N531&gt;(-E$4+Presion_cilindro!$B$34),1-EXP(-Presion_cilindro!$B$16*((Presion_cilindro!N531-(-E$4+Presion_cilindro!$B$34))/Presion_cilindro!$B$35)^(Presion_cilindro!$B$17+1)),0))/((Presion_cilindro!O531+Presion_cilindro!O532)/2)</f>
        <v>5.0380872090233124</v>
      </c>
      <c r="F540" s="27">
        <f>F539*(Presion_cilindro!O531/Presion_cilindro!O532)^Presion_cilindro!$B$9+10*(Presion_cilindro!$B$9-1)*Presion_cilindro!$B$33*(IF(Presion_cilindro!N532&gt;(-F$4+Presion_cilindro!$B$34),1-EXP(-Presion_cilindro!$B$16*((Presion_cilindro!N532-(-F$4+Presion_cilindro!$B$34))/Presion_cilindro!$B$35)^(Presion_cilindro!$B$17+1)),0)-IF(Presion_cilindro!N531&gt;(-F$4+Presion_cilindro!$B$34),1-EXP(-Presion_cilindro!$B$16*((Presion_cilindro!N531-(-F$4+Presion_cilindro!$B$34))/Presion_cilindro!$B$35)^(Presion_cilindro!$B$17+1)),0))/((Presion_cilindro!O531+Presion_cilindro!O532)/2)</f>
        <v>4.9218101898475703</v>
      </c>
      <c r="G540" s="27">
        <f>G539*(Presion_cilindro!O531/Presion_cilindro!O532)^Presion_cilindro!$B$9+10*(Presion_cilindro!$B$9-1)*Presion_cilindro!$B$33*(IF(Presion_cilindro!N532&gt;(-G$4+Presion_cilindro!$B$34),1-EXP(-Presion_cilindro!$B$16*((Presion_cilindro!N532-(-G$4+Presion_cilindro!$B$34))/Presion_cilindro!$B$35)^(Presion_cilindro!$B$17+1)),0)-IF(Presion_cilindro!N531&gt;(-G$4+Presion_cilindro!$B$34),1-EXP(-Presion_cilindro!$B$16*((Presion_cilindro!N531-(-G$4+Presion_cilindro!$B$34))/Presion_cilindro!$B$35)^(Presion_cilindro!$B$17+1)),0))/((Presion_cilindro!O531+Presion_cilindro!O532)/2)</f>
        <v>4.8356502836164683</v>
      </c>
      <c r="H540" s="27">
        <f>H539*(Presion_cilindro!O531/Presion_cilindro!O532)^Presion_cilindro!$B$9+10*(Presion_cilindro!$B$9-1)*Presion_cilindro!$B$33*(IF(Presion_cilindro!N532&gt;(-H$4+Presion_cilindro!$B$34),1-EXP(-Presion_cilindro!$B$16*((Presion_cilindro!N532-(-H$4+Presion_cilindro!$B$34))/Presion_cilindro!$B$35)^(Presion_cilindro!$B$17+1)),0)-IF(Presion_cilindro!N531&gt;(-H$4+Presion_cilindro!$B$34),1-EXP(-Presion_cilindro!$B$16*((Presion_cilindro!N531-(-H$4+Presion_cilindro!$B$34))/Presion_cilindro!$B$35)^(Presion_cilindro!$B$17+1)),0))/((Presion_cilindro!O531+Presion_cilindro!O532)/2)</f>
        <v>4.7848256985933828</v>
      </c>
      <c r="I540" s="27">
        <f>I539*(Presion_cilindro!O531/Presion_cilindro!O532)^Presion_cilindro!$B$9+10*(Presion_cilindro!$B$9-1)*Presion_cilindro!$B$33*(IF(Presion_cilindro!N532&gt;(-I$4+Presion_cilindro!$B$34),1-EXP(-Presion_cilindro!$B$16*((Presion_cilindro!N532-(-I$4+Presion_cilindro!$B$34))/Presion_cilindro!$B$35)^(Presion_cilindro!$B$17+1)),0)-IF(Presion_cilindro!N531&gt;(-I$4+Presion_cilindro!$B$34),1-EXP(-Presion_cilindro!$B$16*((Presion_cilindro!N531-(-I$4+Presion_cilindro!$B$34))/Presion_cilindro!$B$35)^(Presion_cilindro!$B$17+1)),0))/((Presion_cilindro!O531+Presion_cilindro!O532)/2)</f>
        <v>4.7726342985506793</v>
      </c>
      <c r="J540" s="27">
        <f>J539*(Presion_cilindro!O531/Presion_cilindro!O532)^Presion_cilindro!$B$9+10*(Presion_cilindro!$B$9-1)*Presion_cilindro!$B$33*(IF(Presion_cilindro!N532&gt;(-J$4+Presion_cilindro!$B$34),1-EXP(-Presion_cilindro!$B$16*((Presion_cilindro!N532-(-J$4+Presion_cilindro!$B$34))/Presion_cilindro!$B$35)^(Presion_cilindro!$B$17+1)),0)-IF(Presion_cilindro!N531&gt;(-J$4+Presion_cilindro!$B$34),1-EXP(-Presion_cilindro!$B$16*((Presion_cilindro!N531-(-J$4+Presion_cilindro!$B$34))/Presion_cilindro!$B$35)^(Presion_cilindro!$B$17+1)),0))/((Presion_cilindro!O531+Presion_cilindro!O532)/2)</f>
        <v>4.7998353886425305</v>
      </c>
      <c r="K540" s="27">
        <f>K539*(Presion_cilindro!O531/Presion_cilindro!O532)^Presion_cilindro!$B$9+10*(Presion_cilindro!$B$9-1)*Presion_cilindro!$B$33*(IF(Presion_cilindro!N532&gt;(-K$4+Presion_cilindro!$B$34),1-EXP(-Presion_cilindro!$B$16*((Presion_cilindro!N532-(-K$4+Presion_cilindro!$B$34))/Presion_cilindro!$B$35)^(Presion_cilindro!$B$17+1)),0)-IF(Presion_cilindro!N531&gt;(-K$4+Presion_cilindro!$B$34),1-EXP(-Presion_cilindro!$B$16*((Presion_cilindro!N531-(-K$4+Presion_cilindro!$B$34))/Presion_cilindro!$B$35)^(Presion_cilindro!$B$17+1)),0))/((Presion_cilindro!O531+Presion_cilindro!O532)/2)</f>
        <v>4.8645179355017465</v>
      </c>
      <c r="L540" s="27">
        <f>L539*(Presion_cilindro!O531/Presion_cilindro!O532)^Presion_cilindro!$B$9+10*(Presion_cilindro!$B$9-1)*Presion_cilindro!$B$33*(IF(Presion_cilindro!N532&gt;(-L$4+Presion_cilindro!$B$34),1-EXP(-Presion_cilindro!$B$16*((Presion_cilindro!N532-(-L$4+Presion_cilindro!$B$34))/Presion_cilindro!$B$35)^(Presion_cilindro!$B$17+1)),0)-IF(Presion_cilindro!N531&gt;(-L$4+Presion_cilindro!$B$34),1-EXP(-Presion_cilindro!$B$16*((Presion_cilindro!N531-(-L$4+Presion_cilindro!$B$34))/Presion_cilindro!$B$35)^(Presion_cilindro!$B$17+1)),0))/((Presion_cilindro!O531+Presion_cilindro!O532)/2)</f>
        <v>4.9624956423109481</v>
      </c>
      <c r="M540" s="27">
        <f>M539*(Presion_cilindro!O531/Presion_cilindro!O532)^Presion_cilindro!$B$9+10*(Presion_cilindro!$B$9-1)*Presion_cilindro!$B$33*(IF(Presion_cilindro!N532&gt;(-M$4+Presion_cilindro!$B$34),1-EXP(-Presion_cilindro!$B$16*((Presion_cilindro!N532-(-M$4+Presion_cilindro!$B$34))/Presion_cilindro!$B$35)^(Presion_cilindro!$B$17+1)),0)-IF(Presion_cilindro!N531&gt;(-M$4+Presion_cilindro!$B$34),1-EXP(-Presion_cilindro!$B$16*((Presion_cilindro!N531-(-M$4+Presion_cilindro!$B$34))/Presion_cilindro!$B$35)^(Presion_cilindro!$B$17+1)),0))/((Presion_cilindro!O531+Presion_cilindro!O532)/2)</f>
        <v>5.0880794504414428</v>
      </c>
      <c r="N540" s="27">
        <f>N539*(Presion_cilindro!O531/Presion_cilindro!O532)^Presion_cilindro!$B$9+10*(Presion_cilindro!$B$9-1)*Presion_cilindro!$B$33*(IF(Presion_cilindro!N532&gt;(-N$4+Presion_cilindro!$B$34),1-EXP(-Presion_cilindro!$B$16*((Presion_cilindro!N532-(-N$4+Presion_cilindro!$B$34))/Presion_cilindro!$B$35)^(Presion_cilindro!$B$17+1)),0)-IF(Presion_cilindro!N531&gt;(-N$4+Presion_cilindro!$B$34),1-EXP(-Presion_cilindro!$B$16*((Presion_cilindro!N531-(-N$4+Presion_cilindro!$B$34))/Presion_cilindro!$B$35)^(Presion_cilindro!$B$17+1)),0))/((Presion_cilindro!O531+Presion_cilindro!O532)/2)</f>
        <v>5.2349697616523381</v>
      </c>
    </row>
    <row r="541" spans="1:14" x14ac:dyDescent="0.25">
      <c r="A541" s="21">
        <f>Presion_cilindro!N533</f>
        <v>84.5</v>
      </c>
      <c r="B541" s="27">
        <f>B540*(Presion_cilindro!O532/Presion_cilindro!O533)^Presion_cilindro!$B$9+10*(Presion_cilindro!$B$9-1)*Presion_cilindro!$B$33*(IF(Presion_cilindro!N533&gt;(-B$4+Presion_cilindro!$B$34),1-EXP(-Presion_cilindro!$B$16*((Presion_cilindro!N533-(-B$4+Presion_cilindro!$B$34))/Presion_cilindro!$B$35)^(Presion_cilindro!$B$17+1)),0)-IF(Presion_cilindro!N532&gt;(-B$4+Presion_cilindro!$B$34),1-EXP(-Presion_cilindro!$B$16*((Presion_cilindro!N532-(-B$4+Presion_cilindro!$B$34))/Presion_cilindro!$B$35)^(Presion_cilindro!$B$17+1)),0))/((Presion_cilindro!O532+Presion_cilindro!O533)/2)</f>
        <v>5.4536566297857565</v>
      </c>
      <c r="C541" s="27">
        <f>C540*(Presion_cilindro!O532/Presion_cilindro!O533)^Presion_cilindro!$B$9+10*(Presion_cilindro!$B$9-1)*Presion_cilindro!$B$33*(IF(Presion_cilindro!N533&gt;(-C$4+Presion_cilindro!$B$34),1-EXP(-Presion_cilindro!$B$16*((Presion_cilindro!N533-(-C$4+Presion_cilindro!$B$34))/Presion_cilindro!$B$35)^(Presion_cilindro!$B$17+1)),0)-IF(Presion_cilindro!N532&gt;(-C$4+Presion_cilindro!$B$34),1-EXP(-Presion_cilindro!$B$16*((Presion_cilindro!N532-(-C$4+Presion_cilindro!$B$34))/Presion_cilindro!$B$35)^(Presion_cilindro!$B$17+1)),0))/((Presion_cilindro!O532+Presion_cilindro!O533)/2)</f>
        <v>5.2859907420144499</v>
      </c>
      <c r="D541" s="27">
        <f>D540*(Presion_cilindro!O532/Presion_cilindro!O533)^Presion_cilindro!$B$9+10*(Presion_cilindro!$B$9-1)*Presion_cilindro!$B$33*(IF(Presion_cilindro!N533&gt;(-D$4+Presion_cilindro!$B$34),1-EXP(-Presion_cilindro!$B$16*((Presion_cilindro!N533-(-D$4+Presion_cilindro!$B$34))/Presion_cilindro!$B$35)^(Presion_cilindro!$B$17+1)),0)-IF(Presion_cilindro!N532&gt;(-D$4+Presion_cilindro!$B$34),1-EXP(-Presion_cilindro!$B$16*((Presion_cilindro!N532-(-D$4+Presion_cilindro!$B$34))/Presion_cilindro!$B$35)^(Presion_cilindro!$B$17+1)),0))/((Presion_cilindro!O532+Presion_cilindro!O533)/2)</f>
        <v>5.1298344387666086</v>
      </c>
      <c r="E541" s="27">
        <f>E540*(Presion_cilindro!O532/Presion_cilindro!O533)^Presion_cilindro!$B$9+10*(Presion_cilindro!$B$9-1)*Presion_cilindro!$B$33*(IF(Presion_cilindro!N533&gt;(-E$4+Presion_cilindro!$B$34),1-EXP(-Presion_cilindro!$B$16*((Presion_cilindro!N533-(-E$4+Presion_cilindro!$B$34))/Presion_cilindro!$B$35)^(Presion_cilindro!$B$17+1)),0)-IF(Presion_cilindro!N532&gt;(-E$4+Presion_cilindro!$B$34),1-EXP(-Presion_cilindro!$B$16*((Presion_cilindro!N532-(-E$4+Presion_cilindro!$B$34))/Presion_cilindro!$B$35)^(Presion_cilindro!$B$17+1)),0))/((Presion_cilindro!O532+Presion_cilindro!O533)/2)</f>
        <v>4.9909969621434316</v>
      </c>
      <c r="F541" s="27">
        <f>F540*(Presion_cilindro!O532/Presion_cilindro!O533)^Presion_cilindro!$B$9+10*(Presion_cilindro!$B$9-1)*Presion_cilindro!$B$33*(IF(Presion_cilindro!N533&gt;(-F$4+Presion_cilindro!$B$34),1-EXP(-Presion_cilindro!$B$16*((Presion_cilindro!N533-(-F$4+Presion_cilindro!$B$34))/Presion_cilindro!$B$35)^(Presion_cilindro!$B$17+1)),0)-IF(Presion_cilindro!N532&gt;(-F$4+Presion_cilindro!$B$34),1-EXP(-Presion_cilindro!$B$16*((Presion_cilindro!N532-(-F$4+Presion_cilindro!$B$34))/Presion_cilindro!$B$35)^(Presion_cilindro!$B$17+1)),0))/((Presion_cilindro!O532+Presion_cilindro!O533)/2)</f>
        <v>4.8758067668578065</v>
      </c>
      <c r="G541" s="27">
        <f>G540*(Presion_cilindro!O532/Presion_cilindro!O533)^Presion_cilindro!$B$9+10*(Presion_cilindro!$B$9-1)*Presion_cilindro!$B$33*(IF(Presion_cilindro!N533&gt;(-G$4+Presion_cilindro!$B$34),1-EXP(-Presion_cilindro!$B$16*((Presion_cilindro!N533-(-G$4+Presion_cilindro!$B$34))/Presion_cilindro!$B$35)^(Presion_cilindro!$B$17+1)),0)-IF(Presion_cilindro!N532&gt;(-G$4+Presion_cilindro!$B$34),1-EXP(-Presion_cilindro!$B$16*((Presion_cilindro!N532-(-G$4+Presion_cilindro!$B$34))/Presion_cilindro!$B$35)^(Presion_cilindro!$B$17+1)),0))/((Presion_cilindro!O532+Presion_cilindro!O533)/2)</f>
        <v>4.7904521843710617</v>
      </c>
      <c r="H541" s="27">
        <f>H540*(Presion_cilindro!O532/Presion_cilindro!O533)^Presion_cilindro!$B$9+10*(Presion_cilindro!$B$9-1)*Presion_cilindro!$B$33*(IF(Presion_cilindro!N533&gt;(-H$4+Presion_cilindro!$B$34),1-EXP(-Presion_cilindro!$B$16*((Presion_cilindro!N533-(-H$4+Presion_cilindro!$B$34))/Presion_cilindro!$B$35)^(Presion_cilindro!$B$17+1)),0)-IF(Presion_cilindro!N532&gt;(-H$4+Presion_cilindro!$B$34),1-EXP(-Presion_cilindro!$B$16*((Presion_cilindro!N532-(-H$4+Presion_cilindro!$B$34))/Presion_cilindro!$B$35)^(Presion_cilindro!$B$17+1)),0))/((Presion_cilindro!O532+Presion_cilindro!O533)/2)</f>
        <v>4.740102649135129</v>
      </c>
      <c r="I541" s="27">
        <f>I540*(Presion_cilindro!O532/Presion_cilindro!O533)^Presion_cilindro!$B$9+10*(Presion_cilindro!$B$9-1)*Presion_cilindro!$B$33*(IF(Presion_cilindro!N533&gt;(-I$4+Presion_cilindro!$B$34),1-EXP(-Presion_cilindro!$B$16*((Presion_cilindro!N533-(-I$4+Presion_cilindro!$B$34))/Presion_cilindro!$B$35)^(Presion_cilindro!$B$17+1)),0)-IF(Presion_cilindro!N532&gt;(-I$4+Presion_cilindro!$B$34),1-EXP(-Presion_cilindro!$B$16*((Presion_cilindro!N532-(-I$4+Presion_cilindro!$B$34))/Presion_cilindro!$B$35)^(Presion_cilindro!$B$17+1)),0))/((Presion_cilindro!O532+Presion_cilindro!O533)/2)</f>
        <v>4.7280252002834242</v>
      </c>
      <c r="J541" s="27">
        <f>J540*(Presion_cilindro!O532/Presion_cilindro!O533)^Presion_cilindro!$B$9+10*(Presion_cilindro!$B$9-1)*Presion_cilindro!$B$33*(IF(Presion_cilindro!N533&gt;(-J$4+Presion_cilindro!$B$34),1-EXP(-Presion_cilindro!$B$16*((Presion_cilindro!N533-(-J$4+Presion_cilindro!$B$34))/Presion_cilindro!$B$35)^(Presion_cilindro!$B$17+1)),0)-IF(Presion_cilindro!N532&gt;(-J$4+Presion_cilindro!$B$34),1-EXP(-Presion_cilindro!$B$16*((Presion_cilindro!N532-(-J$4+Presion_cilindro!$B$34))/Presion_cilindro!$B$35)^(Presion_cilindro!$B$17+1)),0))/((Presion_cilindro!O532+Presion_cilindro!O533)/2)</f>
        <v>4.7549720458585201</v>
      </c>
      <c r="K541" s="27">
        <f>K540*(Presion_cilindro!O532/Presion_cilindro!O533)^Presion_cilindro!$B$9+10*(Presion_cilindro!$B$9-1)*Presion_cilindro!$B$33*(IF(Presion_cilindro!N533&gt;(-K$4+Presion_cilindro!$B$34),1-EXP(-Presion_cilindro!$B$16*((Presion_cilindro!N533-(-K$4+Presion_cilindro!$B$34))/Presion_cilindro!$B$35)^(Presion_cilindro!$B$17+1)),0)-IF(Presion_cilindro!N532&gt;(-K$4+Presion_cilindro!$B$34),1-EXP(-Presion_cilindro!$B$16*((Presion_cilindro!N532-(-K$4+Presion_cilindro!$B$34))/Presion_cilindro!$B$35)^(Presion_cilindro!$B$17+1)),0))/((Presion_cilindro!O532+Presion_cilindro!O533)/2)</f>
        <v>4.819050014636006</v>
      </c>
      <c r="L541" s="27">
        <f>L540*(Presion_cilindro!O532/Presion_cilindro!O533)^Presion_cilindro!$B$9+10*(Presion_cilindro!$B$9-1)*Presion_cilindro!$B$33*(IF(Presion_cilindro!N533&gt;(-L$4+Presion_cilindro!$B$34),1-EXP(-Presion_cilindro!$B$16*((Presion_cilindro!N533-(-L$4+Presion_cilindro!$B$34))/Presion_cilindro!$B$35)^(Presion_cilindro!$B$17+1)),0)-IF(Presion_cilindro!N532&gt;(-L$4+Presion_cilindro!$B$34),1-EXP(-Presion_cilindro!$B$16*((Presion_cilindro!N532-(-L$4+Presion_cilindro!$B$34))/Presion_cilindro!$B$35)^(Presion_cilindro!$B$17+1)),0))/((Presion_cilindro!O532+Presion_cilindro!O533)/2)</f>
        <v>4.9161119384881138</v>
      </c>
      <c r="M541" s="27">
        <f>M540*(Presion_cilindro!O532/Presion_cilindro!O533)^Presion_cilindro!$B$9+10*(Presion_cilindro!$B$9-1)*Presion_cilindro!$B$33*(IF(Presion_cilindro!N533&gt;(-M$4+Presion_cilindro!$B$34),1-EXP(-Presion_cilindro!$B$16*((Presion_cilindro!N533-(-M$4+Presion_cilindro!$B$34))/Presion_cilindro!$B$35)^(Presion_cilindro!$B$17+1)),0)-IF(Presion_cilindro!N532&gt;(-M$4+Presion_cilindro!$B$34),1-EXP(-Presion_cilindro!$B$16*((Presion_cilindro!N532-(-M$4+Presion_cilindro!$B$34))/Presion_cilindro!$B$35)^(Presion_cilindro!$B$17+1)),0))/((Presion_cilindro!O532+Presion_cilindro!O533)/2)</f>
        <v>5.0405219335654339</v>
      </c>
      <c r="N541" s="27">
        <f>N540*(Presion_cilindro!O532/Presion_cilindro!O533)^Presion_cilindro!$B$9+10*(Presion_cilindro!$B$9-1)*Presion_cilindro!$B$33*(IF(Presion_cilindro!N533&gt;(-N$4+Presion_cilindro!$B$34),1-EXP(-Presion_cilindro!$B$16*((Presion_cilindro!N533-(-N$4+Presion_cilindro!$B$34))/Presion_cilindro!$B$35)^(Presion_cilindro!$B$17+1)),0)-IF(Presion_cilindro!N532&gt;(-N$4+Presion_cilindro!$B$34),1-EXP(-Presion_cilindro!$B$16*((Presion_cilindro!N532-(-N$4+Presion_cilindro!$B$34))/Presion_cilindro!$B$35)^(Presion_cilindro!$B$17+1)),0))/((Presion_cilindro!O532+Presion_cilindro!O533)/2)</f>
        <v>5.1860392830287037</v>
      </c>
    </row>
    <row r="542" spans="1:14" x14ac:dyDescent="0.25">
      <c r="A542" s="21">
        <f>Presion_cilindro!N534</f>
        <v>85</v>
      </c>
      <c r="B542" s="27">
        <f>B541*(Presion_cilindro!O533/Presion_cilindro!O534)^Presion_cilindro!$B$9+10*(Presion_cilindro!$B$9-1)*Presion_cilindro!$B$33*(IF(Presion_cilindro!N534&gt;(-B$4+Presion_cilindro!$B$34),1-EXP(-Presion_cilindro!$B$16*((Presion_cilindro!N534-(-B$4+Presion_cilindro!$B$34))/Presion_cilindro!$B$35)^(Presion_cilindro!$B$17+1)),0)-IF(Presion_cilindro!N533&gt;(-B$4+Presion_cilindro!$B$34),1-EXP(-Presion_cilindro!$B$16*((Presion_cilindro!N533-(-B$4+Presion_cilindro!$B$34))/Presion_cilindro!$B$35)^(Presion_cilindro!$B$17+1)),0))/((Presion_cilindro!O533+Presion_cilindro!O534)/2)</f>
        <v>5.4031218624402335</v>
      </c>
      <c r="C542" s="27">
        <f>C541*(Presion_cilindro!O533/Presion_cilindro!O534)^Presion_cilindro!$B$9+10*(Presion_cilindro!$B$9-1)*Presion_cilindro!$B$33*(IF(Presion_cilindro!N534&gt;(-C$4+Presion_cilindro!$B$34),1-EXP(-Presion_cilindro!$B$16*((Presion_cilindro!N534-(-C$4+Presion_cilindro!$B$34))/Presion_cilindro!$B$35)^(Presion_cilindro!$B$17+1)),0)-IF(Presion_cilindro!N533&gt;(-C$4+Presion_cilindro!$B$34),1-EXP(-Presion_cilindro!$B$16*((Presion_cilindro!N533-(-C$4+Presion_cilindro!$B$34))/Presion_cilindro!$B$35)^(Presion_cilindro!$B$17+1)),0))/((Presion_cilindro!O533+Presion_cilindro!O534)/2)</f>
        <v>5.2370095933984491</v>
      </c>
      <c r="D542" s="27">
        <f>D541*(Presion_cilindro!O533/Presion_cilindro!O534)^Presion_cilindro!$B$9+10*(Presion_cilindro!$B$9-1)*Presion_cilindro!$B$33*(IF(Presion_cilindro!N534&gt;(-D$4+Presion_cilindro!$B$34),1-EXP(-Presion_cilindro!$B$16*((Presion_cilindro!N534-(-D$4+Presion_cilindro!$B$34))/Presion_cilindro!$B$35)^(Presion_cilindro!$B$17+1)),0)-IF(Presion_cilindro!N533&gt;(-D$4+Presion_cilindro!$B$34),1-EXP(-Presion_cilindro!$B$16*((Presion_cilindro!N533-(-D$4+Presion_cilindro!$B$34))/Presion_cilindro!$B$35)^(Presion_cilindro!$B$17+1)),0))/((Presion_cilindro!O533+Presion_cilindro!O534)/2)</f>
        <v>5.0823002684583916</v>
      </c>
      <c r="E542" s="27">
        <f>E541*(Presion_cilindro!O533/Presion_cilindro!O534)^Presion_cilindro!$B$9+10*(Presion_cilindro!$B$9-1)*Presion_cilindro!$B$33*(IF(Presion_cilindro!N534&gt;(-E$4+Presion_cilindro!$B$34),1-EXP(-Presion_cilindro!$B$16*((Presion_cilindro!N534-(-E$4+Presion_cilindro!$B$34))/Presion_cilindro!$B$35)^(Presion_cilindro!$B$17+1)),0)-IF(Presion_cilindro!N533&gt;(-E$4+Presion_cilindro!$B$34),1-EXP(-Presion_cilindro!$B$16*((Presion_cilindro!N533-(-E$4+Presion_cilindro!$B$34))/Presion_cilindro!$B$35)^(Presion_cilindro!$B$17+1)),0))/((Presion_cilindro!O533+Presion_cilindro!O534)/2)</f>
        <v>4.9447492903222114</v>
      </c>
      <c r="F542" s="27">
        <f>F541*(Presion_cilindro!O533/Presion_cilindro!O534)^Presion_cilindro!$B$9+10*(Presion_cilindro!$B$9-1)*Presion_cilindro!$B$33*(IF(Presion_cilindro!N534&gt;(-F$4+Presion_cilindro!$B$34),1-EXP(-Presion_cilindro!$B$16*((Presion_cilindro!N534-(-F$4+Presion_cilindro!$B$34))/Presion_cilindro!$B$35)^(Presion_cilindro!$B$17+1)),0)-IF(Presion_cilindro!N533&gt;(-F$4+Presion_cilindro!$B$34),1-EXP(-Presion_cilindro!$B$16*((Presion_cilindro!N533-(-F$4+Presion_cilindro!$B$34))/Presion_cilindro!$B$35)^(Presion_cilindro!$B$17+1)),0))/((Presion_cilindro!O533+Presion_cilindro!O534)/2)</f>
        <v>4.8306264726344663</v>
      </c>
      <c r="G542" s="27">
        <f>G541*(Presion_cilindro!O533/Presion_cilindro!O534)^Presion_cilindro!$B$9+10*(Presion_cilindro!$B$9-1)*Presion_cilindro!$B$33*(IF(Presion_cilindro!N534&gt;(-G$4+Presion_cilindro!$B$34),1-EXP(-Presion_cilindro!$B$16*((Presion_cilindro!N534-(-G$4+Presion_cilindro!$B$34))/Presion_cilindro!$B$35)^(Presion_cilindro!$B$17+1)),0)-IF(Presion_cilindro!N533&gt;(-G$4+Presion_cilindro!$B$34),1-EXP(-Presion_cilindro!$B$16*((Presion_cilindro!N533-(-G$4+Presion_cilindro!$B$34))/Presion_cilindro!$B$35)^(Presion_cilindro!$B$17+1)),0))/((Presion_cilindro!O533+Presion_cilindro!O534)/2)</f>
        <v>4.746062804417801</v>
      </c>
      <c r="H542" s="27">
        <f>H541*(Presion_cilindro!O533/Presion_cilindro!O534)^Presion_cilindro!$B$9+10*(Presion_cilindro!$B$9-1)*Presion_cilindro!$B$33*(IF(Presion_cilindro!N534&gt;(-H$4+Presion_cilindro!$B$34),1-EXP(-Presion_cilindro!$B$16*((Presion_cilindro!N534-(-H$4+Presion_cilindro!$B$34))/Presion_cilindro!$B$35)^(Presion_cilindro!$B$17+1)),0)-IF(Presion_cilindro!N533&gt;(-H$4+Presion_cilindro!$B$34),1-EXP(-Presion_cilindro!$B$16*((Presion_cilindro!N533-(-H$4+Presion_cilindro!$B$34))/Presion_cilindro!$B$35)^(Presion_cilindro!$B$17+1)),0))/((Presion_cilindro!O533+Presion_cilindro!O534)/2)</f>
        <v>4.6961798190114132</v>
      </c>
      <c r="I542" s="27">
        <f>I541*(Presion_cilindro!O533/Presion_cilindro!O534)^Presion_cilindro!$B$9+10*(Presion_cilindro!$B$9-1)*Presion_cilindro!$B$33*(IF(Presion_cilindro!N534&gt;(-I$4+Presion_cilindro!$B$34),1-EXP(-Presion_cilindro!$B$16*((Presion_cilindro!N534-(-I$4+Presion_cilindro!$B$34))/Presion_cilindro!$B$35)^(Presion_cilindro!$B$17+1)),0)-IF(Presion_cilindro!N533&gt;(-I$4+Presion_cilindro!$B$34),1-EXP(-Presion_cilindro!$B$16*((Presion_cilindro!N533-(-I$4+Presion_cilindro!$B$34))/Presion_cilindro!$B$35)^(Presion_cilindro!$B$17+1)),0))/((Presion_cilindro!O533+Presion_cilindro!O534)/2)</f>
        <v>4.684214282448008</v>
      </c>
      <c r="J542" s="27">
        <f>J541*(Presion_cilindro!O533/Presion_cilindro!O534)^Presion_cilindro!$B$9+10*(Presion_cilindro!$B$9-1)*Presion_cilindro!$B$33*(IF(Presion_cilindro!N534&gt;(-J$4+Presion_cilindro!$B$34),1-EXP(-Presion_cilindro!$B$16*((Presion_cilindro!N534-(-J$4+Presion_cilindro!$B$34))/Presion_cilindro!$B$35)^(Presion_cilindro!$B$17+1)),0)-IF(Presion_cilindro!N533&gt;(-J$4+Presion_cilindro!$B$34),1-EXP(-Presion_cilindro!$B$16*((Presion_cilindro!N533-(-J$4+Presion_cilindro!$B$34))/Presion_cilindro!$B$35)^(Presion_cilindro!$B$17+1)),0))/((Presion_cilindro!O533+Presion_cilindro!O534)/2)</f>
        <v>4.7109114326455614</v>
      </c>
      <c r="K542" s="27">
        <f>K541*(Presion_cilindro!O533/Presion_cilindro!O534)^Presion_cilindro!$B$9+10*(Presion_cilindro!$B$9-1)*Presion_cilindro!$B$33*(IF(Presion_cilindro!N534&gt;(-K$4+Presion_cilindro!$B$34),1-EXP(-Presion_cilindro!$B$16*((Presion_cilindro!N534-(-K$4+Presion_cilindro!$B$34))/Presion_cilindro!$B$35)^(Presion_cilindro!$B$17+1)),0)-IF(Presion_cilindro!N533&gt;(-K$4+Presion_cilindro!$B$34),1-EXP(-Presion_cilindro!$B$16*((Presion_cilindro!N533-(-K$4+Presion_cilindro!$B$34))/Presion_cilindro!$B$35)^(Presion_cilindro!$B$17+1)),0))/((Presion_cilindro!O533+Presion_cilindro!O534)/2)</f>
        <v>4.7743956409191899</v>
      </c>
      <c r="L542" s="27">
        <f>L541*(Presion_cilindro!O533/Presion_cilindro!O534)^Presion_cilindro!$B$9+10*(Presion_cilindro!$B$9-1)*Presion_cilindro!$B$33*(IF(Presion_cilindro!N534&gt;(-L$4+Presion_cilindro!$B$34),1-EXP(-Presion_cilindro!$B$16*((Presion_cilindro!N534-(-L$4+Presion_cilindro!$B$34))/Presion_cilindro!$B$35)^(Presion_cilindro!$B$17+1)),0)-IF(Presion_cilindro!N533&gt;(-L$4+Presion_cilindro!$B$34),1-EXP(-Presion_cilindro!$B$16*((Presion_cilindro!N533-(-L$4+Presion_cilindro!$B$34))/Presion_cilindro!$B$35)^(Presion_cilindro!$B$17+1)),0))/((Presion_cilindro!O533+Presion_cilindro!O534)/2)</f>
        <v>4.8705581677100094</v>
      </c>
      <c r="M542" s="27">
        <f>M541*(Presion_cilindro!O533/Presion_cilindro!O534)^Presion_cilindro!$B$9+10*(Presion_cilindro!$B$9-1)*Presion_cilindro!$B$33*(IF(Presion_cilindro!N534&gt;(-M$4+Presion_cilindro!$B$34),1-EXP(-Presion_cilindro!$B$16*((Presion_cilindro!N534-(-M$4+Presion_cilindro!$B$34))/Presion_cilindro!$B$35)^(Presion_cilindro!$B$17+1)),0)-IF(Presion_cilindro!N533&gt;(-M$4+Presion_cilindro!$B$34),1-EXP(-Presion_cilindro!$B$16*((Presion_cilindro!N533-(-M$4+Presion_cilindro!$B$34))/Presion_cilindro!$B$35)^(Presion_cilindro!$B$17+1)),0))/((Presion_cilindro!O533+Presion_cilindro!O534)/2)</f>
        <v>4.993815352503681</v>
      </c>
      <c r="N542" s="27">
        <f>N541*(Presion_cilindro!O533/Presion_cilindro!O534)^Presion_cilindro!$B$9+10*(Presion_cilindro!$B$9-1)*Presion_cilindro!$B$33*(IF(Presion_cilindro!N534&gt;(-N$4+Presion_cilindro!$B$34),1-EXP(-Presion_cilindro!$B$16*((Presion_cilindro!N534-(-N$4+Presion_cilindro!$B$34))/Presion_cilindro!$B$35)^(Presion_cilindro!$B$17+1)),0)-IF(Presion_cilindro!N533&gt;(-N$4+Presion_cilindro!$B$34),1-EXP(-Presion_cilindro!$B$16*((Presion_cilindro!N533-(-N$4+Presion_cilindro!$B$34))/Presion_cilindro!$B$35)^(Presion_cilindro!$B$17+1)),0))/((Presion_cilindro!O533+Presion_cilindro!O534)/2)</f>
        <v>5.1379843063110684</v>
      </c>
    </row>
    <row r="543" spans="1:14" x14ac:dyDescent="0.25">
      <c r="A543" s="21">
        <f>Presion_cilindro!N535</f>
        <v>85.5</v>
      </c>
      <c r="B543" s="27">
        <f>B542*(Presion_cilindro!O534/Presion_cilindro!O535)^Presion_cilindro!$B$9+10*(Presion_cilindro!$B$9-1)*Presion_cilindro!$B$33*(IF(Presion_cilindro!N535&gt;(-B$4+Presion_cilindro!$B$34),1-EXP(-Presion_cilindro!$B$16*((Presion_cilindro!N535-(-B$4+Presion_cilindro!$B$34))/Presion_cilindro!$B$35)^(Presion_cilindro!$B$17+1)),0)-IF(Presion_cilindro!N534&gt;(-B$4+Presion_cilindro!$B$34),1-EXP(-Presion_cilindro!$B$16*((Presion_cilindro!N534-(-B$4+Presion_cilindro!$B$34))/Presion_cilindro!$B$35)^(Presion_cilindro!$B$17+1)),0))/((Presion_cilindro!O534+Presion_cilindro!O535)/2)</f>
        <v>5.3534884965485823</v>
      </c>
      <c r="C543" s="27">
        <f>C542*(Presion_cilindro!O534/Presion_cilindro!O535)^Presion_cilindro!$B$9+10*(Presion_cilindro!$B$9-1)*Presion_cilindro!$B$33*(IF(Presion_cilindro!N535&gt;(-C$4+Presion_cilindro!$B$34),1-EXP(-Presion_cilindro!$B$16*((Presion_cilindro!N535-(-C$4+Presion_cilindro!$B$34))/Presion_cilindro!$B$35)^(Presion_cilindro!$B$17+1)),0)-IF(Presion_cilindro!N534&gt;(-C$4+Presion_cilindro!$B$34),1-EXP(-Presion_cilindro!$B$16*((Presion_cilindro!N534-(-C$4+Presion_cilindro!$B$34))/Presion_cilindro!$B$35)^(Presion_cilindro!$B$17+1)),0))/((Presion_cilindro!O534+Presion_cilindro!O535)/2)</f>
        <v>5.1889021368618602</v>
      </c>
      <c r="D543" s="27">
        <f>D542*(Presion_cilindro!O534/Presion_cilindro!O535)^Presion_cilindro!$B$9+10*(Presion_cilindro!$B$9-1)*Presion_cilindro!$B$33*(IF(Presion_cilindro!N535&gt;(-D$4+Presion_cilindro!$B$34),1-EXP(-Presion_cilindro!$B$16*((Presion_cilindro!N535-(-D$4+Presion_cilindro!$B$34))/Presion_cilindro!$B$35)^(Presion_cilindro!$B$17+1)),0)-IF(Presion_cilindro!N534&gt;(-D$4+Presion_cilindro!$B$34),1-EXP(-Presion_cilindro!$B$16*((Presion_cilindro!N534-(-D$4+Presion_cilindro!$B$34))/Presion_cilindro!$B$35)^(Presion_cilindro!$B$17+1)),0))/((Presion_cilindro!O534+Presion_cilindro!O535)/2)</f>
        <v>5.0356139800971542</v>
      </c>
      <c r="E543" s="27">
        <f>E542*(Presion_cilindro!O534/Presion_cilindro!O535)^Presion_cilindro!$B$9+10*(Presion_cilindro!$B$9-1)*Presion_cilindro!$B$33*(IF(Presion_cilindro!N535&gt;(-E$4+Presion_cilindro!$B$34),1-EXP(-Presion_cilindro!$B$16*((Presion_cilindro!N535-(-E$4+Presion_cilindro!$B$34))/Presion_cilindro!$B$35)^(Presion_cilindro!$B$17+1)),0)-IF(Presion_cilindro!N534&gt;(-E$4+Presion_cilindro!$B$34),1-EXP(-Presion_cilindro!$B$16*((Presion_cilindro!N534-(-E$4+Presion_cilindro!$B$34))/Presion_cilindro!$B$35)^(Presion_cilindro!$B$17+1)),0))/((Presion_cilindro!O534+Presion_cilindro!O535)/2)</f>
        <v>4.8993265527708738</v>
      </c>
      <c r="F543" s="27">
        <f>F542*(Presion_cilindro!O534/Presion_cilindro!O535)^Presion_cilindro!$B$9+10*(Presion_cilindro!$B$9-1)*Presion_cilindro!$B$33*(IF(Presion_cilindro!N535&gt;(-F$4+Presion_cilindro!$B$34),1-EXP(-Presion_cilindro!$B$16*((Presion_cilindro!N535-(-F$4+Presion_cilindro!$B$34))/Presion_cilindro!$B$35)^(Presion_cilindro!$B$17+1)),0)-IF(Presion_cilindro!N534&gt;(-F$4+Presion_cilindro!$B$34),1-EXP(-Presion_cilindro!$B$16*((Presion_cilindro!N534-(-F$4+Presion_cilindro!$B$34))/Presion_cilindro!$B$35)^(Presion_cilindro!$B$17+1)),0))/((Presion_cilindro!O534+Presion_cilindro!O535)/2)</f>
        <v>4.7862520735310516</v>
      </c>
      <c r="G543" s="27">
        <f>G542*(Presion_cilindro!O534/Presion_cilindro!O535)^Presion_cilindro!$B$9+10*(Presion_cilindro!$B$9-1)*Presion_cilindro!$B$33*(IF(Presion_cilindro!N535&gt;(-G$4+Presion_cilindro!$B$34),1-EXP(-Presion_cilindro!$B$16*((Presion_cilindro!N535-(-G$4+Presion_cilindro!$B$34))/Presion_cilindro!$B$35)^(Presion_cilindro!$B$17+1)),0)-IF(Presion_cilindro!N534&gt;(-G$4+Presion_cilindro!$B$34),1-EXP(-Presion_cilindro!$B$16*((Presion_cilindro!N534-(-G$4+Presion_cilindro!$B$34))/Presion_cilindro!$B$35)^(Presion_cilindro!$B$17+1)),0))/((Presion_cilindro!O534+Presion_cilindro!O535)/2)</f>
        <v>4.7024652117978416</v>
      </c>
      <c r="H543" s="27">
        <f>H542*(Presion_cilindro!O534/Presion_cilindro!O535)^Presion_cilindro!$B$9+10*(Presion_cilindro!$B$9-1)*Presion_cilindro!$B$33*(IF(Presion_cilindro!N535&gt;(-H$4+Presion_cilindro!$B$34),1-EXP(-Presion_cilindro!$B$16*((Presion_cilindro!N535-(-H$4+Presion_cilindro!$B$34))/Presion_cilindro!$B$35)^(Presion_cilindro!$B$17+1)),0)-IF(Presion_cilindro!N534&gt;(-H$4+Presion_cilindro!$B$34),1-EXP(-Presion_cilindro!$B$16*((Presion_cilindro!N534-(-H$4+Presion_cilindro!$B$34))/Presion_cilindro!$B$35)^(Presion_cilindro!$B$17+1)),0))/((Presion_cilindro!O534+Presion_cilindro!O535)/2)</f>
        <v>4.6530404542249313</v>
      </c>
      <c r="I543" s="27">
        <f>I542*(Presion_cilindro!O534/Presion_cilindro!O535)^Presion_cilindro!$B$9+10*(Presion_cilindro!$B$9-1)*Presion_cilindro!$B$33*(IF(Presion_cilindro!N535&gt;(-I$4+Presion_cilindro!$B$34),1-EXP(-Presion_cilindro!$B$16*((Presion_cilindro!N535-(-I$4+Presion_cilindro!$B$34))/Presion_cilindro!$B$35)^(Presion_cilindro!$B$17+1)),0)-IF(Presion_cilindro!N534&gt;(-I$4+Presion_cilindro!$B$34),1-EXP(-Presion_cilindro!$B$16*((Presion_cilindro!N534-(-I$4+Presion_cilindro!$B$34))/Presion_cilindro!$B$35)^(Presion_cilindro!$B$17+1)),0))/((Presion_cilindro!O534+Presion_cilindro!O535)/2)</f>
        <v>4.6411848337351369</v>
      </c>
      <c r="J543" s="27">
        <f>J542*(Presion_cilindro!O534/Presion_cilindro!O535)^Presion_cilindro!$B$9+10*(Presion_cilindro!$B$9-1)*Presion_cilindro!$B$33*(IF(Presion_cilindro!N535&gt;(-J$4+Presion_cilindro!$B$34),1-EXP(-Presion_cilindro!$B$16*((Presion_cilindro!N535-(-J$4+Presion_cilindro!$B$34))/Presion_cilindro!$B$35)^(Presion_cilindro!$B$17+1)),0)-IF(Presion_cilindro!N534&gt;(-J$4+Presion_cilindro!$B$34),1-EXP(-Presion_cilindro!$B$16*((Presion_cilindro!N534-(-J$4+Presion_cilindro!$B$34))/Presion_cilindro!$B$35)^(Presion_cilindro!$B$17+1)),0))/((Presion_cilindro!O534+Presion_cilindro!O535)/2)</f>
        <v>4.6676367424501413</v>
      </c>
      <c r="K543" s="27">
        <f>K542*(Presion_cilindro!O534/Presion_cilindro!O535)^Presion_cilindro!$B$9+10*(Presion_cilindro!$B$9-1)*Presion_cilindro!$B$33*(IF(Presion_cilindro!N535&gt;(-K$4+Presion_cilindro!$B$34),1-EXP(-Presion_cilindro!$B$16*((Presion_cilindro!N535-(-K$4+Presion_cilindro!$B$34))/Presion_cilindro!$B$35)^(Presion_cilindro!$B$17+1)),0)-IF(Presion_cilindro!N534&gt;(-K$4+Presion_cilindro!$B$34),1-EXP(-Presion_cilindro!$B$16*((Presion_cilindro!N534-(-K$4+Presion_cilindro!$B$34))/Presion_cilindro!$B$35)^(Presion_cilindro!$B$17+1)),0))/((Presion_cilindro!O534+Presion_cilindro!O535)/2)</f>
        <v>4.7305377813127922</v>
      </c>
      <c r="L543" s="27">
        <f>L542*(Presion_cilindro!O534/Presion_cilindro!O535)^Presion_cilindro!$B$9+10*(Presion_cilindro!$B$9-1)*Presion_cilindro!$B$33*(IF(Presion_cilindro!N535&gt;(-L$4+Presion_cilindro!$B$34),1-EXP(-Presion_cilindro!$B$16*((Presion_cilindro!N535-(-L$4+Presion_cilindro!$B$34))/Presion_cilindro!$B$35)^(Presion_cilindro!$B$17+1)),0)-IF(Presion_cilindro!N534&gt;(-L$4+Presion_cilindro!$B$34),1-EXP(-Presion_cilindro!$B$16*((Presion_cilindro!N534-(-L$4+Presion_cilindro!$B$34))/Presion_cilindro!$B$35)^(Presion_cilindro!$B$17+1)),0))/((Presion_cilindro!O534+Presion_cilindro!O535)/2)</f>
        <v>4.8258169538706186</v>
      </c>
      <c r="M543" s="27">
        <f>M542*(Presion_cilindro!O534/Presion_cilindro!O535)^Presion_cilindro!$B$9+10*(Presion_cilindro!$B$9-1)*Presion_cilindro!$B$33*(IF(Presion_cilindro!N535&gt;(-M$4+Presion_cilindro!$B$34),1-EXP(-Presion_cilindro!$B$16*((Presion_cilindro!N535-(-M$4+Presion_cilindro!$B$34))/Presion_cilindro!$B$35)^(Presion_cilindro!$B$17+1)),0)-IF(Presion_cilindro!N534&gt;(-M$4+Presion_cilindro!$B$34),1-EXP(-Presion_cilindro!$B$16*((Presion_cilindro!N534-(-M$4+Presion_cilindro!$B$34))/Presion_cilindro!$B$35)^(Presion_cilindro!$B$17+1)),0))/((Presion_cilindro!O534+Presion_cilindro!O535)/2)</f>
        <v>4.9479418914202977</v>
      </c>
      <c r="N543" s="27">
        <f>N542*(Presion_cilindro!O534/Presion_cilindro!O535)^Presion_cilindro!$B$9+10*(Presion_cilindro!$B$9-1)*Presion_cilindro!$B$33*(IF(Presion_cilindro!N535&gt;(-N$4+Presion_cilindro!$B$34),1-EXP(-Presion_cilindro!$B$16*((Presion_cilindro!N535-(-N$4+Presion_cilindro!$B$34))/Presion_cilindro!$B$35)^(Presion_cilindro!$B$17+1)),0)-IF(Presion_cilindro!N534&gt;(-N$4+Presion_cilindro!$B$34),1-EXP(-Presion_cilindro!$B$16*((Presion_cilindro!N534-(-N$4+Presion_cilindro!$B$34))/Presion_cilindro!$B$35)^(Presion_cilindro!$B$17+1)),0))/((Presion_cilindro!O534+Presion_cilindro!O535)/2)</f>
        <v>5.0907865013292666</v>
      </c>
    </row>
    <row r="544" spans="1:14" x14ac:dyDescent="0.25">
      <c r="A544" s="21">
        <f>Presion_cilindro!N536</f>
        <v>86</v>
      </c>
      <c r="B544" s="27">
        <f>B543*(Presion_cilindro!O535/Presion_cilindro!O536)^Presion_cilindro!$B$9+10*(Presion_cilindro!$B$9-1)*Presion_cilindro!$B$33*(IF(Presion_cilindro!N536&gt;(-B$4+Presion_cilindro!$B$34),1-EXP(-Presion_cilindro!$B$16*((Presion_cilindro!N536-(-B$4+Presion_cilindro!$B$34))/Presion_cilindro!$B$35)^(Presion_cilindro!$B$17+1)),0)-IF(Presion_cilindro!N535&gt;(-B$4+Presion_cilindro!$B$34),1-EXP(-Presion_cilindro!$B$16*((Presion_cilindro!N535-(-B$4+Presion_cilindro!$B$34))/Presion_cilindro!$B$35)^(Presion_cilindro!$B$17+1)),0))/((Presion_cilindro!O535+Presion_cilindro!O536)/2)</f>
        <v>5.3047377274816458</v>
      </c>
      <c r="C544" s="27">
        <f>C543*(Presion_cilindro!O535/Presion_cilindro!O536)^Presion_cilindro!$B$9+10*(Presion_cilindro!$B$9-1)*Presion_cilindro!$B$33*(IF(Presion_cilindro!N536&gt;(-C$4+Presion_cilindro!$B$34),1-EXP(-Presion_cilindro!$B$16*((Presion_cilindro!N536-(-C$4+Presion_cilindro!$B$34))/Presion_cilindro!$B$35)^(Presion_cilindro!$B$17+1)),0)-IF(Presion_cilindro!N535&gt;(-C$4+Presion_cilindro!$B$34),1-EXP(-Presion_cilindro!$B$16*((Presion_cilindro!N535-(-C$4+Presion_cilindro!$B$34))/Presion_cilindro!$B$35)^(Presion_cilindro!$B$17+1)),0))/((Presion_cilindro!O535+Presion_cilindro!O536)/2)</f>
        <v>5.1416501449761132</v>
      </c>
      <c r="D544" s="27">
        <f>D543*(Presion_cilindro!O535/Presion_cilindro!O536)^Presion_cilindro!$B$9+10*(Presion_cilindro!$B$9-1)*Presion_cilindro!$B$33*(IF(Presion_cilindro!N536&gt;(-D$4+Presion_cilindro!$B$34),1-EXP(-Presion_cilindro!$B$16*((Presion_cilindro!N536-(-D$4+Presion_cilindro!$B$34))/Presion_cilindro!$B$35)^(Presion_cilindro!$B$17+1)),0)-IF(Presion_cilindro!N535&gt;(-D$4+Presion_cilindro!$B$34),1-EXP(-Presion_cilindro!$B$16*((Presion_cilindro!N535-(-D$4+Presion_cilindro!$B$34))/Presion_cilindro!$B$35)^(Presion_cilindro!$B$17+1)),0))/((Presion_cilindro!O535+Presion_cilindro!O536)/2)</f>
        <v>4.9897578846950745</v>
      </c>
      <c r="E544" s="27">
        <f>E543*(Presion_cilindro!O535/Presion_cilindro!O536)^Presion_cilindro!$B$9+10*(Presion_cilindro!$B$9-1)*Presion_cilindro!$B$33*(IF(Presion_cilindro!N536&gt;(-E$4+Presion_cilindro!$B$34),1-EXP(-Presion_cilindro!$B$16*((Presion_cilindro!N536-(-E$4+Presion_cilindro!$B$34))/Presion_cilindro!$B$35)^(Presion_cilindro!$B$17+1)),0)-IF(Presion_cilindro!N535&gt;(-E$4+Presion_cilindro!$B$34),1-EXP(-Presion_cilindro!$B$16*((Presion_cilindro!N535-(-E$4+Presion_cilindro!$B$34))/Presion_cilindro!$B$35)^(Presion_cilindro!$B$17+1)),0))/((Presion_cilindro!O535+Presion_cilindro!O536)/2)</f>
        <v>4.8547115392484939</v>
      </c>
      <c r="F544" s="27">
        <f>F543*(Presion_cilindro!O535/Presion_cilindro!O536)^Presion_cilindro!$B$9+10*(Presion_cilindro!$B$9-1)*Presion_cilindro!$B$33*(IF(Presion_cilindro!N536&gt;(-F$4+Presion_cilindro!$B$34),1-EXP(-Presion_cilindro!$B$16*((Presion_cilindro!N536-(-F$4+Presion_cilindro!$B$34))/Presion_cilindro!$B$35)^(Presion_cilindro!$B$17+1)),0)-IF(Presion_cilindro!N535&gt;(-F$4+Presion_cilindro!$B$34),1-EXP(-Presion_cilindro!$B$16*((Presion_cilindro!N535-(-F$4+Presion_cilindro!$B$34))/Presion_cilindro!$B$35)^(Presion_cilindro!$B$17+1)),0))/((Presion_cilindro!O535+Presion_cilindro!O536)/2)</f>
        <v>4.7426667565120475</v>
      </c>
      <c r="G544" s="27">
        <f>G543*(Presion_cilindro!O535/Presion_cilindro!O536)^Presion_cilindro!$B$9+10*(Presion_cilindro!$B$9-1)*Presion_cilindro!$B$33*(IF(Presion_cilindro!N536&gt;(-G$4+Presion_cilindro!$B$34),1-EXP(-Presion_cilindro!$B$16*((Presion_cilindro!N536-(-G$4+Presion_cilindro!$B$34))/Presion_cilindro!$B$35)^(Presion_cilindro!$B$17+1)),0)-IF(Presion_cilindro!N535&gt;(-G$4+Presion_cilindro!$B$34),1-EXP(-Presion_cilindro!$B$16*((Presion_cilindro!N535-(-G$4+Presion_cilindro!$B$34))/Presion_cilindro!$B$35)^(Presion_cilindro!$B$17+1)),0))/((Presion_cilindro!O535+Presion_cilindro!O536)/2)</f>
        <v>4.6596428878002172</v>
      </c>
      <c r="H544" s="27">
        <f>H543*(Presion_cilindro!O535/Presion_cilindro!O536)^Presion_cilindro!$B$9+10*(Presion_cilindro!$B$9-1)*Presion_cilindro!$B$33*(IF(Presion_cilindro!N536&gt;(-H$4+Presion_cilindro!$B$34),1-EXP(-Presion_cilindro!$B$16*((Presion_cilindro!N536-(-H$4+Presion_cilindro!$B$34))/Presion_cilindro!$B$35)^(Presion_cilindro!$B$17+1)),0)-IF(Presion_cilindro!N535&gt;(-H$4+Presion_cilindro!$B$34),1-EXP(-Presion_cilindro!$B$16*((Presion_cilindro!N535-(-H$4+Presion_cilindro!$B$34))/Presion_cilindro!$B$35)^(Presion_cilindro!$B$17+1)),0))/((Presion_cilindro!O535+Presion_cilindro!O536)/2)</f>
        <v>4.6106682096828617</v>
      </c>
      <c r="I544" s="27">
        <f>I543*(Presion_cilindro!O535/Presion_cilindro!O536)^Presion_cilindro!$B$9+10*(Presion_cilindro!$B$9-1)*Presion_cilindro!$B$33*(IF(Presion_cilindro!N536&gt;(-I$4+Presion_cilindro!$B$34),1-EXP(-Presion_cilindro!$B$16*((Presion_cilindro!N536-(-I$4+Presion_cilindro!$B$34))/Presion_cilindro!$B$35)^(Presion_cilindro!$B$17+1)),0)-IF(Presion_cilindro!N535&gt;(-I$4+Presion_cilindro!$B$34),1-EXP(-Presion_cilindro!$B$16*((Presion_cilindro!N535-(-I$4+Presion_cilindro!$B$34))/Presion_cilindro!$B$35)^(Presion_cilindro!$B$17+1)),0))/((Presion_cilindro!O535+Presion_cilindro!O536)/2)</f>
        <v>4.5989205506981374</v>
      </c>
      <c r="J544" s="27">
        <f>J543*(Presion_cilindro!O535/Presion_cilindro!O536)^Presion_cilindro!$B$9+10*(Presion_cilindro!$B$9-1)*Presion_cilindro!$B$33*(IF(Presion_cilindro!N536&gt;(-J$4+Presion_cilindro!$B$34),1-EXP(-Presion_cilindro!$B$16*((Presion_cilindro!N536-(-J$4+Presion_cilindro!$B$34))/Presion_cilindro!$B$35)^(Presion_cilindro!$B$17+1)),0)-IF(Presion_cilindro!N535&gt;(-J$4+Presion_cilindro!$B$34),1-EXP(-Presion_cilindro!$B$16*((Presion_cilindro!N535-(-J$4+Presion_cilindro!$B$34))/Presion_cilindro!$B$35)^(Presion_cilindro!$B$17+1)),0))/((Presion_cilindro!O535+Presion_cilindro!O536)/2)</f>
        <v>4.6251315789059326</v>
      </c>
      <c r="K544" s="27">
        <f>K543*(Presion_cilindro!O535/Presion_cilindro!O536)^Presion_cilindro!$B$9+10*(Presion_cilindro!$B$9-1)*Presion_cilindro!$B$33*(IF(Presion_cilindro!N536&gt;(-K$4+Presion_cilindro!$B$34),1-EXP(-Presion_cilindro!$B$16*((Presion_cilindro!N536-(-K$4+Presion_cilindro!$B$34))/Presion_cilindro!$B$35)^(Presion_cilindro!$B$17+1)),0)-IF(Presion_cilindro!N535&gt;(-K$4+Presion_cilindro!$B$34),1-EXP(-Presion_cilindro!$B$16*((Presion_cilindro!N535-(-K$4+Presion_cilindro!$B$34))/Presion_cilindro!$B$35)^(Presion_cilindro!$B$17+1)),0))/((Presion_cilindro!O535+Presion_cilindro!O536)/2)</f>
        <v>4.6874598184931733</v>
      </c>
      <c r="L544" s="27">
        <f>L543*(Presion_cilindro!O535/Presion_cilindro!O536)^Presion_cilindro!$B$9+10*(Presion_cilindro!$B$9-1)*Presion_cilindro!$B$33*(IF(Presion_cilindro!N536&gt;(-L$4+Presion_cilindro!$B$34),1-EXP(-Presion_cilindro!$B$16*((Presion_cilindro!N536-(-L$4+Presion_cilindro!$B$34))/Presion_cilindro!$B$35)^(Presion_cilindro!$B$17+1)),0)-IF(Presion_cilindro!N535&gt;(-L$4+Presion_cilindro!$B$34),1-EXP(-Presion_cilindro!$B$16*((Presion_cilindro!N535-(-L$4+Presion_cilindro!$B$34))/Presion_cilindro!$B$35)^(Presion_cilindro!$B$17+1)),0))/((Presion_cilindro!O535+Presion_cilindro!O536)/2)</f>
        <v>4.7818713449518295</v>
      </c>
      <c r="M544" s="27">
        <f>M543*(Presion_cilindro!O535/Presion_cilindro!O536)^Presion_cilindro!$B$9+10*(Presion_cilindro!$B$9-1)*Presion_cilindro!$B$33*(IF(Presion_cilindro!N536&gt;(-M$4+Presion_cilindro!$B$34),1-EXP(-Presion_cilindro!$B$16*((Presion_cilindro!N536-(-M$4+Presion_cilindro!$B$34))/Presion_cilindro!$B$35)^(Presion_cilindro!$B$17+1)),0)-IF(Presion_cilindro!N535&gt;(-M$4+Presion_cilindro!$B$34),1-EXP(-Presion_cilindro!$B$16*((Presion_cilindro!N535-(-M$4+Presion_cilindro!$B$34))/Presion_cilindro!$B$35)^(Presion_cilindro!$B$17+1)),0))/((Presion_cilindro!O535+Presion_cilindro!O536)/2)</f>
        <v>4.9028841692995186</v>
      </c>
      <c r="N544" s="27">
        <f>N543*(Presion_cilindro!O535/Presion_cilindro!O536)^Presion_cilindro!$B$9+10*(Presion_cilindro!$B$9-1)*Presion_cilindro!$B$33*(IF(Presion_cilindro!N536&gt;(-N$4+Presion_cilindro!$B$34),1-EXP(-Presion_cilindro!$B$16*((Presion_cilindro!N536-(-N$4+Presion_cilindro!$B$34))/Presion_cilindro!$B$35)^(Presion_cilindro!$B$17+1)),0)-IF(Presion_cilindro!N535&gt;(-N$4+Presion_cilindro!$B$34),1-EXP(-Presion_cilindro!$B$16*((Presion_cilindro!N535-(-N$4+Presion_cilindro!$B$34))/Presion_cilindro!$B$35)^(Presion_cilindro!$B$17+1)),0))/((Presion_cilindro!O535+Presion_cilindro!O536)/2)</f>
        <v>5.0444279852862932</v>
      </c>
    </row>
    <row r="545" spans="1:14" x14ac:dyDescent="0.25">
      <c r="A545" s="21">
        <f>Presion_cilindro!N537</f>
        <v>86.5</v>
      </c>
      <c r="B545" s="27">
        <f>B544*(Presion_cilindro!O536/Presion_cilindro!O537)^Presion_cilindro!$B$9+10*(Presion_cilindro!$B$9-1)*Presion_cilindro!$B$33*(IF(Presion_cilindro!N537&gt;(-B$4+Presion_cilindro!$B$34),1-EXP(-Presion_cilindro!$B$16*((Presion_cilindro!N537-(-B$4+Presion_cilindro!$B$34))/Presion_cilindro!$B$35)^(Presion_cilindro!$B$17+1)),0)-IF(Presion_cilindro!N536&gt;(-B$4+Presion_cilindro!$B$34),1-EXP(-Presion_cilindro!$B$16*((Presion_cilindro!N536-(-B$4+Presion_cilindro!$B$34))/Presion_cilindro!$B$35)^(Presion_cilindro!$B$17+1)),0))/((Presion_cilindro!O536+Presion_cilindro!O537)/2)</f>
        <v>5.2568512082671264</v>
      </c>
      <c r="C545" s="27">
        <f>C544*(Presion_cilindro!O536/Presion_cilindro!O537)^Presion_cilindro!$B$9+10*(Presion_cilindro!$B$9-1)*Presion_cilindro!$B$33*(IF(Presion_cilindro!N537&gt;(-C$4+Presion_cilindro!$B$34),1-EXP(-Presion_cilindro!$B$16*((Presion_cilindro!N537-(-C$4+Presion_cilindro!$B$34))/Presion_cilindro!$B$35)^(Presion_cilindro!$B$17+1)),0)-IF(Presion_cilindro!N536&gt;(-C$4+Presion_cilindro!$B$34),1-EXP(-Presion_cilindro!$B$16*((Presion_cilindro!N536-(-C$4+Presion_cilindro!$B$34))/Presion_cilindro!$B$35)^(Presion_cilindro!$B$17+1)),0))/((Presion_cilindro!O536+Presion_cilindro!O537)/2)</f>
        <v>5.0952358341678048</v>
      </c>
      <c r="D545" s="27">
        <f>D544*(Presion_cilindro!O536/Presion_cilindro!O537)^Presion_cilindro!$B$9+10*(Presion_cilindro!$B$9-1)*Presion_cilindro!$B$33*(IF(Presion_cilindro!N537&gt;(-D$4+Presion_cilindro!$B$34),1-EXP(-Presion_cilindro!$B$16*((Presion_cilindro!N537-(-D$4+Presion_cilindro!$B$34))/Presion_cilindro!$B$35)^(Presion_cilindro!$B$17+1)),0)-IF(Presion_cilindro!N536&gt;(-D$4+Presion_cilindro!$B$34),1-EXP(-Presion_cilindro!$B$16*((Presion_cilindro!N536-(-D$4+Presion_cilindro!$B$34))/Presion_cilindro!$B$35)^(Presion_cilindro!$B$17+1)),0))/((Presion_cilindro!O536+Presion_cilindro!O537)/2)</f>
        <v>4.9447147240156806</v>
      </c>
      <c r="E545" s="27">
        <f>E544*(Presion_cilindro!O536/Presion_cilindro!O537)^Presion_cilindro!$B$9+10*(Presion_cilindro!$B$9-1)*Presion_cilindro!$B$33*(IF(Presion_cilindro!N537&gt;(-E$4+Presion_cilindro!$B$34),1-EXP(-Presion_cilindro!$B$16*((Presion_cilindro!N537-(-E$4+Presion_cilindro!$B$34))/Presion_cilindro!$B$35)^(Presion_cilindro!$B$17+1)),0)-IF(Presion_cilindro!N536&gt;(-E$4+Presion_cilindro!$B$34),1-EXP(-Presion_cilindro!$B$16*((Presion_cilindro!N536-(-E$4+Presion_cilindro!$B$34))/Presion_cilindro!$B$35)^(Presion_cilindro!$B$17+1)),0))/((Presion_cilindro!O536+Presion_cilindro!O537)/2)</f>
        <v>4.8108874586074855</v>
      </c>
      <c r="F545" s="27">
        <f>F544*(Presion_cilindro!O536/Presion_cilindro!O537)^Presion_cilindro!$B$9+10*(Presion_cilindro!$B$9-1)*Presion_cilindro!$B$33*(IF(Presion_cilindro!N537&gt;(-F$4+Presion_cilindro!$B$34),1-EXP(-Presion_cilindro!$B$16*((Presion_cilindro!N537-(-F$4+Presion_cilindro!$B$34))/Presion_cilindro!$B$35)^(Presion_cilindro!$B$17+1)),0)-IF(Presion_cilindro!N536&gt;(-F$4+Presion_cilindro!$B$34),1-EXP(-Presion_cilindro!$B$16*((Presion_cilindro!N536-(-F$4+Presion_cilindro!$B$34))/Presion_cilindro!$B$35)^(Presion_cilindro!$B$17+1)),0))/((Presion_cilindro!O536+Presion_cilindro!O537)/2)</f>
        <v>4.6998541179627731</v>
      </c>
      <c r="G545" s="27">
        <f>G544*(Presion_cilindro!O536/Presion_cilindro!O537)^Presion_cilindro!$B$9+10*(Presion_cilindro!$B$9-1)*Presion_cilindro!$B$33*(IF(Presion_cilindro!N537&gt;(-G$4+Presion_cilindro!$B$34),1-EXP(-Presion_cilindro!$B$16*((Presion_cilindro!N537-(-G$4+Presion_cilindro!$B$34))/Presion_cilindro!$B$35)^(Presion_cilindro!$B$17+1)),0)-IF(Presion_cilindro!N536&gt;(-G$4+Presion_cilindro!$B$34),1-EXP(-Presion_cilindro!$B$16*((Presion_cilindro!N536-(-G$4+Presion_cilindro!$B$34))/Presion_cilindro!$B$35)^(Presion_cilindro!$B$17+1)),0))/((Presion_cilindro!O536+Presion_cilindro!O537)/2)</f>
        <v>4.6175797159675831</v>
      </c>
      <c r="H545" s="27">
        <f>H544*(Presion_cilindro!O536/Presion_cilindro!O537)^Presion_cilindro!$B$9+10*(Presion_cilindro!$B$9-1)*Presion_cilindro!$B$33*(IF(Presion_cilindro!N537&gt;(-H$4+Presion_cilindro!$B$34),1-EXP(-Presion_cilindro!$B$16*((Presion_cilindro!N537-(-H$4+Presion_cilindro!$B$34))/Presion_cilindro!$B$35)^(Presion_cilindro!$B$17+1)),0)-IF(Presion_cilindro!N536&gt;(-H$4+Presion_cilindro!$B$34),1-EXP(-Presion_cilindro!$B$16*((Presion_cilindro!N536-(-H$4+Presion_cilindro!$B$34))/Presion_cilindro!$B$35)^(Presion_cilindro!$B$17+1)),0))/((Presion_cilindro!O536+Presion_cilindro!O537)/2)</f>
        <v>4.5690471383181608</v>
      </c>
      <c r="I545" s="27">
        <f>I544*(Presion_cilindro!O536/Presion_cilindro!O537)^Presion_cilindro!$B$9+10*(Presion_cilindro!$B$9-1)*Presion_cilindro!$B$33*(IF(Presion_cilindro!N537&gt;(-I$4+Presion_cilindro!$B$34),1-EXP(-Presion_cilindro!$B$16*((Presion_cilindro!N537-(-I$4+Presion_cilindro!$B$34))/Presion_cilindro!$B$35)^(Presion_cilindro!$B$17+1)),0)-IF(Presion_cilindro!N536&gt;(-I$4+Presion_cilindro!$B$34),1-EXP(-Presion_cilindro!$B$16*((Presion_cilindro!N536-(-I$4+Presion_cilindro!$B$34))/Presion_cilindro!$B$35)^(Presion_cilindro!$B$17+1)),0))/((Presion_cilindro!O536+Presion_cilindro!O537)/2)</f>
        <v>4.5574055269019746</v>
      </c>
      <c r="J545" s="27">
        <f>J544*(Presion_cilindro!O536/Presion_cilindro!O537)^Presion_cilindro!$B$9+10*(Presion_cilindro!$B$9-1)*Presion_cilindro!$B$33*(IF(Presion_cilindro!N537&gt;(-J$4+Presion_cilindro!$B$34),1-EXP(-Presion_cilindro!$B$16*((Presion_cilindro!N537-(-J$4+Presion_cilindro!$B$34))/Presion_cilindro!$B$35)^(Presion_cilindro!$B$17+1)),0)-IF(Presion_cilindro!N536&gt;(-J$4+Presion_cilindro!$B$34),1-EXP(-Presion_cilindro!$B$16*((Presion_cilindro!N536-(-J$4+Presion_cilindro!$B$34))/Presion_cilindro!$B$35)^(Presion_cilindro!$B$17+1)),0))/((Presion_cilindro!O536+Presion_cilindro!O537)/2)</f>
        <v>4.5833799449209716</v>
      </c>
      <c r="K545" s="27">
        <f>K544*(Presion_cilindro!O536/Presion_cilindro!O537)^Presion_cilindro!$B$9+10*(Presion_cilindro!$B$9-1)*Presion_cilindro!$B$33*(IF(Presion_cilindro!N537&gt;(-K$4+Presion_cilindro!$B$34),1-EXP(-Presion_cilindro!$B$16*((Presion_cilindro!N537-(-K$4+Presion_cilindro!$B$34))/Presion_cilindro!$B$35)^(Presion_cilindro!$B$17+1)),0)-IF(Presion_cilindro!N536&gt;(-K$4+Presion_cilindro!$B$34),1-EXP(-Presion_cilindro!$B$16*((Presion_cilindro!N536-(-K$4+Presion_cilindro!$B$34))/Presion_cilindro!$B$35)^(Presion_cilindro!$B$17+1)),0))/((Presion_cilindro!O536+Presion_cilindro!O537)/2)</f>
        <v>4.6451455397916721</v>
      </c>
      <c r="L545" s="27">
        <f>L544*(Presion_cilindro!O536/Presion_cilindro!O537)^Presion_cilindro!$B$9+10*(Presion_cilindro!$B$9-1)*Presion_cilindro!$B$33*(IF(Presion_cilindro!N537&gt;(-L$4+Presion_cilindro!$B$34),1-EXP(-Presion_cilindro!$B$16*((Presion_cilindro!N537-(-L$4+Presion_cilindro!$B$34))/Presion_cilindro!$B$35)^(Presion_cilindro!$B$17+1)),0)-IF(Presion_cilindro!N536&gt;(-L$4+Presion_cilindro!$B$34),1-EXP(-Presion_cilindro!$B$16*((Presion_cilindro!N536-(-L$4+Presion_cilindro!$B$34))/Presion_cilindro!$B$35)^(Presion_cilindro!$B$17+1)),0))/((Presion_cilindro!O536+Presion_cilindro!O537)/2)</f>
        <v>4.7387048017407869</v>
      </c>
      <c r="M545" s="27">
        <f>M544*(Presion_cilindro!O536/Presion_cilindro!O537)^Presion_cilindro!$B$9+10*(Presion_cilindro!$B$9-1)*Presion_cilindro!$B$33*(IF(Presion_cilindro!N537&gt;(-M$4+Presion_cilindro!$B$34),1-EXP(-Presion_cilindro!$B$16*((Presion_cilindro!N537-(-M$4+Presion_cilindro!$B$34))/Presion_cilindro!$B$35)^(Presion_cilindro!$B$17+1)),0)-IF(Presion_cilindro!N536&gt;(-M$4+Presion_cilindro!$B$34),1-EXP(-Presion_cilindro!$B$16*((Presion_cilindro!N536-(-M$4+Presion_cilindro!$B$34))/Presion_cilindro!$B$35)^(Presion_cilindro!$B$17+1)),0))/((Presion_cilindro!O536+Presion_cilindro!O537)/2)</f>
        <v>4.8586252283775231</v>
      </c>
      <c r="N545" s="27">
        <f>N544*(Presion_cilindro!O536/Presion_cilindro!O537)^Presion_cilindro!$B$9+10*(Presion_cilindro!$B$9-1)*Presion_cilindro!$B$33*(IF(Presion_cilindro!N537&gt;(-N$4+Presion_cilindro!$B$34),1-EXP(-Presion_cilindro!$B$16*((Presion_cilindro!N537-(-N$4+Presion_cilindro!$B$34))/Presion_cilindro!$B$35)^(Presion_cilindro!$B$17+1)),0)-IF(Presion_cilindro!N536&gt;(-N$4+Presion_cilindro!$B$34),1-EXP(-Presion_cilindro!$B$16*((Presion_cilindro!N536-(-N$4+Presion_cilindro!$B$34))/Presion_cilindro!$B$35)^(Presion_cilindro!$B$17+1)),0))/((Presion_cilindro!O536+Presion_cilindro!O537)/2)</f>
        <v>4.9988913108561599</v>
      </c>
    </row>
    <row r="546" spans="1:14" x14ac:dyDescent="0.25">
      <c r="A546" s="21">
        <f>Presion_cilindro!N538</f>
        <v>87</v>
      </c>
      <c r="B546" s="27">
        <f>B545*(Presion_cilindro!O537/Presion_cilindro!O538)^Presion_cilindro!$B$9+10*(Presion_cilindro!$B$9-1)*Presion_cilindro!$B$33*(IF(Presion_cilindro!N538&gt;(-B$4+Presion_cilindro!$B$34),1-EXP(-Presion_cilindro!$B$16*((Presion_cilindro!N538-(-B$4+Presion_cilindro!$B$34))/Presion_cilindro!$B$35)^(Presion_cilindro!$B$17+1)),0)-IF(Presion_cilindro!N537&gt;(-B$4+Presion_cilindro!$B$34),1-EXP(-Presion_cilindro!$B$16*((Presion_cilindro!N537-(-B$4+Presion_cilindro!$B$34))/Presion_cilindro!$B$35)^(Presion_cilindro!$B$17+1)),0))/((Presion_cilindro!O537+Presion_cilindro!O538)/2)</f>
        <v>5.2098110374984881</v>
      </c>
      <c r="C546" s="27">
        <f>C545*(Presion_cilindro!O537/Presion_cilindro!O538)^Presion_cilindro!$B$9+10*(Presion_cilindro!$B$9-1)*Presion_cilindro!$B$33*(IF(Presion_cilindro!N538&gt;(-C$4+Presion_cilindro!$B$34),1-EXP(-Presion_cilindro!$B$16*((Presion_cilindro!N538-(-C$4+Presion_cilindro!$B$34))/Presion_cilindro!$B$35)^(Presion_cilindro!$B$17+1)),0)-IF(Presion_cilindro!N537&gt;(-C$4+Presion_cilindro!$B$34),1-EXP(-Presion_cilindro!$B$16*((Presion_cilindro!N537-(-C$4+Presion_cilindro!$B$34))/Presion_cilindro!$B$35)^(Presion_cilindro!$B$17+1)),0))/((Presion_cilindro!O537+Presion_cilindro!O538)/2)</f>
        <v>5.0496418529237612</v>
      </c>
      <c r="D546" s="27">
        <f>D545*(Presion_cilindro!O537/Presion_cilindro!O538)^Presion_cilindro!$B$9+10*(Presion_cilindro!$B$9-1)*Presion_cilindro!$B$33*(IF(Presion_cilindro!N538&gt;(-D$4+Presion_cilindro!$B$34),1-EXP(-Presion_cilindro!$B$16*((Presion_cilindro!N538-(-D$4+Presion_cilindro!$B$34))/Presion_cilindro!$B$35)^(Presion_cilindro!$B$17+1)),0)-IF(Presion_cilindro!N537&gt;(-D$4+Presion_cilindro!$B$34),1-EXP(-Presion_cilindro!$B$16*((Presion_cilindro!N537-(-D$4+Presion_cilindro!$B$34))/Presion_cilindro!$B$35)^(Presion_cilindro!$B$17+1)),0))/((Presion_cilindro!O537+Presion_cilindro!O538)/2)</f>
        <v>4.9004676591246881</v>
      </c>
      <c r="E546" s="27">
        <f>E545*(Presion_cilindro!O537/Presion_cilindro!O538)^Presion_cilindro!$B$9+10*(Presion_cilindro!$B$9-1)*Presion_cilindro!$B$33*(IF(Presion_cilindro!N538&gt;(-E$4+Presion_cilindro!$B$34),1-EXP(-Presion_cilindro!$B$16*((Presion_cilindro!N538-(-E$4+Presion_cilindro!$B$34))/Presion_cilindro!$B$35)^(Presion_cilindro!$B$17+1)),0)-IF(Presion_cilindro!N537&gt;(-E$4+Presion_cilindro!$B$34),1-EXP(-Presion_cilindro!$B$16*((Presion_cilindro!N537-(-E$4+Presion_cilindro!$B$34))/Presion_cilindro!$B$35)^(Presion_cilindro!$B$17+1)),0))/((Presion_cilindro!O537+Presion_cilindro!O538)/2)</f>
        <v>4.7678379276542548</v>
      </c>
      <c r="F546" s="27">
        <f>F545*(Presion_cilindro!O537/Presion_cilindro!O538)^Presion_cilindro!$B$9+10*(Presion_cilindro!$B$9-1)*Presion_cilindro!$B$33*(IF(Presion_cilindro!N538&gt;(-F$4+Presion_cilindro!$B$34),1-EXP(-Presion_cilindro!$B$16*((Presion_cilindro!N538-(-F$4+Presion_cilindro!$B$34))/Presion_cilindro!$B$35)^(Presion_cilindro!$B$17+1)),0)-IF(Presion_cilindro!N537&gt;(-F$4+Presion_cilindro!$B$34),1-EXP(-Presion_cilindro!$B$16*((Presion_cilindro!N537-(-F$4+Presion_cilindro!$B$34))/Presion_cilindro!$B$35)^(Presion_cilindro!$B$17+1)),0))/((Presion_cilindro!O537+Presion_cilindro!O538)/2)</f>
        <v>4.6577981528071302</v>
      </c>
      <c r="G546" s="27">
        <f>G545*(Presion_cilindro!O537/Presion_cilindro!O538)^Presion_cilindro!$B$9+10*(Presion_cilindro!$B$9-1)*Presion_cilindro!$B$33*(IF(Presion_cilindro!N538&gt;(-G$4+Presion_cilindro!$B$34),1-EXP(-Presion_cilindro!$B$16*((Presion_cilindro!N538-(-G$4+Presion_cilindro!$B$34))/Presion_cilindro!$B$35)^(Presion_cilindro!$B$17+1)),0)-IF(Presion_cilindro!N537&gt;(-G$4+Presion_cilindro!$B$34),1-EXP(-Presion_cilindro!$B$16*((Presion_cilindro!N537-(-G$4+Presion_cilindro!$B$34))/Presion_cilindro!$B$35)^(Presion_cilindro!$B$17+1)),0))/((Presion_cilindro!O537+Presion_cilindro!O538)/2)</f>
        <v>4.5762599714044656</v>
      </c>
      <c r="H546" s="27">
        <f>H545*(Presion_cilindro!O537/Presion_cilindro!O538)^Presion_cilindro!$B$9+10*(Presion_cilindro!$B$9-1)*Presion_cilindro!$B$33*(IF(Presion_cilindro!N538&gt;(-H$4+Presion_cilindro!$B$34),1-EXP(-Presion_cilindro!$B$16*((Presion_cilindro!N538-(-H$4+Presion_cilindro!$B$34))/Presion_cilindro!$B$35)^(Presion_cilindro!$B$17+1)),0)-IF(Presion_cilindro!N537&gt;(-H$4+Presion_cilindro!$B$34),1-EXP(-Presion_cilindro!$B$16*((Presion_cilindro!N537-(-H$4+Presion_cilindro!$B$34))/Presion_cilindro!$B$35)^(Presion_cilindro!$B$17+1)),0))/((Presion_cilindro!O537+Presion_cilindro!O538)/2)</f>
        <v>4.5281616805101867</v>
      </c>
      <c r="I546" s="27">
        <f>I545*(Presion_cilindro!O537/Presion_cilindro!O538)^Presion_cilindro!$B$9+10*(Presion_cilindro!$B$9-1)*Presion_cilindro!$B$33*(IF(Presion_cilindro!N538&gt;(-I$4+Presion_cilindro!$B$34),1-EXP(-Presion_cilindro!$B$16*((Presion_cilindro!N538-(-I$4+Presion_cilindro!$B$34))/Presion_cilindro!$B$35)^(Presion_cilindro!$B$17+1)),0)-IF(Presion_cilindro!N537&gt;(-I$4+Presion_cilindro!$B$34),1-EXP(-Presion_cilindro!$B$16*((Presion_cilindro!N537-(-I$4+Presion_cilindro!$B$34))/Presion_cilindro!$B$35)^(Presion_cilindro!$B$17+1)),0))/((Presion_cilindro!O537+Presion_cilindro!O538)/2)</f>
        <v>4.5166242423708267</v>
      </c>
      <c r="J546" s="27">
        <f>J545*(Presion_cilindro!O537/Presion_cilindro!O538)^Presion_cilindro!$B$9+10*(Presion_cilindro!$B$9-1)*Presion_cilindro!$B$33*(IF(Presion_cilindro!N538&gt;(-J$4+Presion_cilindro!$B$34),1-EXP(-Presion_cilindro!$B$16*((Presion_cilindro!N538-(-J$4+Presion_cilindro!$B$34))/Presion_cilindro!$B$35)^(Presion_cilindro!$B$17+1)),0)-IF(Presion_cilindro!N537&gt;(-J$4+Presion_cilindro!$B$34),1-EXP(-Presion_cilindro!$B$16*((Presion_cilindro!N537-(-J$4+Presion_cilindro!$B$34))/Presion_cilindro!$B$35)^(Presion_cilindro!$B$17+1)),0))/((Presion_cilindro!O537+Presion_cilindro!O538)/2)</f>
        <v>4.5423662320650875</v>
      </c>
      <c r="K546" s="27">
        <f>K545*(Presion_cilindro!O537/Presion_cilindro!O538)^Presion_cilindro!$B$9+10*(Presion_cilindro!$B$9-1)*Presion_cilindro!$B$33*(IF(Presion_cilindro!N538&gt;(-K$4+Presion_cilindro!$B$34),1-EXP(-Presion_cilindro!$B$16*((Presion_cilindro!N538-(-K$4+Presion_cilindro!$B$34))/Presion_cilindro!$B$35)^(Presion_cilindro!$B$17+1)),0)-IF(Presion_cilindro!N537&gt;(-K$4+Presion_cilindro!$B$34),1-EXP(-Presion_cilindro!$B$16*((Presion_cilindro!N537-(-K$4+Presion_cilindro!$B$34))/Presion_cilindro!$B$35)^(Presion_cilindro!$B$17+1)),0))/((Presion_cilindro!O537+Presion_cilindro!O538)/2)</f>
        <v>4.6035791264390271</v>
      </c>
      <c r="L546" s="27">
        <f>L545*(Presion_cilindro!O537/Presion_cilindro!O538)^Presion_cilindro!$B$9+10*(Presion_cilindro!$B$9-1)*Presion_cilindro!$B$33*(IF(Presion_cilindro!N538&gt;(-L$4+Presion_cilindro!$B$34),1-EXP(-Presion_cilindro!$B$16*((Presion_cilindro!N538-(-L$4+Presion_cilindro!$B$34))/Presion_cilindro!$B$35)^(Presion_cilindro!$B$17+1)),0)-IF(Presion_cilindro!N537&gt;(-L$4+Presion_cilindro!$B$34),1-EXP(-Presion_cilindro!$B$16*((Presion_cilindro!N537-(-L$4+Presion_cilindro!$B$34))/Presion_cilindro!$B$35)^(Presion_cilindro!$B$17+1)),0))/((Presion_cilindro!O537+Presion_cilindro!O538)/2)</f>
        <v>4.6963011868576769</v>
      </c>
      <c r="M546" s="27">
        <f>M545*(Presion_cilindro!O537/Presion_cilindro!O538)^Presion_cilindro!$B$9+10*(Presion_cilindro!$B$9-1)*Presion_cilindro!$B$33*(IF(Presion_cilindro!N538&gt;(-M$4+Presion_cilindro!$B$34),1-EXP(-Presion_cilindro!$B$16*((Presion_cilindro!N538-(-M$4+Presion_cilindro!$B$34))/Presion_cilindro!$B$35)^(Presion_cilindro!$B$17+1)),0)-IF(Presion_cilindro!N537&gt;(-M$4+Presion_cilindro!$B$34),1-EXP(-Presion_cilindro!$B$16*((Presion_cilindro!N537-(-M$4+Presion_cilindro!$B$34))/Presion_cilindro!$B$35)^(Presion_cilindro!$B$17+1)),0))/((Presion_cilindro!O537+Presion_cilindro!O538)/2)</f>
        <v>4.8151485228925566</v>
      </c>
      <c r="N546" s="27">
        <f>N545*(Presion_cilindro!O537/Presion_cilindro!O538)^Presion_cilindro!$B$9+10*(Presion_cilindro!$B$9-1)*Presion_cilindro!$B$33*(IF(Presion_cilindro!N538&gt;(-N$4+Presion_cilindro!$B$34),1-EXP(-Presion_cilindro!$B$16*((Presion_cilindro!N538-(-N$4+Presion_cilindro!$B$34))/Presion_cilindro!$B$35)^(Presion_cilindro!$B$17+1)),0)-IF(Presion_cilindro!N537&gt;(-N$4+Presion_cilindro!$B$34),1-EXP(-Presion_cilindro!$B$16*((Presion_cilindro!N537-(-N$4+Presion_cilindro!$B$34))/Presion_cilindro!$B$35)^(Presion_cilindro!$B$17+1)),0))/((Presion_cilindro!O537+Presion_cilindro!O538)/2)</f>
        <v>4.954159454609238</v>
      </c>
    </row>
    <row r="547" spans="1:14" x14ac:dyDescent="0.25">
      <c r="A547" s="21">
        <f>Presion_cilindro!N539</f>
        <v>87.5</v>
      </c>
      <c r="B547" s="27">
        <f>B546*(Presion_cilindro!O538/Presion_cilindro!O539)^Presion_cilindro!$B$9+10*(Presion_cilindro!$B$9-1)*Presion_cilindro!$B$33*(IF(Presion_cilindro!N539&gt;(-B$4+Presion_cilindro!$B$34),1-EXP(-Presion_cilindro!$B$16*((Presion_cilindro!N539-(-B$4+Presion_cilindro!$B$34))/Presion_cilindro!$B$35)^(Presion_cilindro!$B$17+1)),0)-IF(Presion_cilindro!N538&gt;(-B$4+Presion_cilindro!$B$34),1-EXP(-Presion_cilindro!$B$16*((Presion_cilindro!N538-(-B$4+Presion_cilindro!$B$34))/Presion_cilindro!$B$35)^(Presion_cilindro!$B$17+1)),0))/((Presion_cilindro!O538+Presion_cilindro!O539)/2)</f>
        <v>5.1635997475573063</v>
      </c>
      <c r="C547" s="27">
        <f>C546*(Presion_cilindro!O538/Presion_cilindro!O539)^Presion_cilindro!$B$9+10*(Presion_cilindro!$B$9-1)*Presion_cilindro!$B$33*(IF(Presion_cilindro!N539&gt;(-C$4+Presion_cilindro!$B$34),1-EXP(-Presion_cilindro!$B$16*((Presion_cilindro!N539-(-C$4+Presion_cilindro!$B$34))/Presion_cilindro!$B$35)^(Presion_cilindro!$B$17+1)),0)-IF(Presion_cilindro!N538&gt;(-C$4+Presion_cilindro!$B$34),1-EXP(-Presion_cilindro!$B$16*((Presion_cilindro!N538-(-C$4+Presion_cilindro!$B$34))/Presion_cilindro!$B$35)^(Presion_cilindro!$B$17+1)),0))/((Presion_cilindro!O538+Presion_cilindro!O539)/2)</f>
        <v>5.0048512703204642</v>
      </c>
      <c r="D547" s="27">
        <f>D546*(Presion_cilindro!O538/Presion_cilindro!O539)^Presion_cilindro!$B$9+10*(Presion_cilindro!$B$9-1)*Presion_cilindro!$B$33*(IF(Presion_cilindro!N539&gt;(-D$4+Presion_cilindro!$B$34),1-EXP(-Presion_cilindro!$B$16*((Presion_cilindro!N539-(-D$4+Presion_cilindro!$B$34))/Presion_cilindro!$B$35)^(Presion_cilindro!$B$17+1)),0)-IF(Presion_cilindro!N538&gt;(-D$4+Presion_cilindro!$B$34),1-EXP(-Presion_cilindro!$B$16*((Presion_cilindro!N538-(-D$4+Presion_cilindro!$B$34))/Presion_cilindro!$B$35)^(Presion_cilindro!$B$17+1)),0))/((Presion_cilindro!O538+Presion_cilindro!O539)/2)</f>
        <v>4.8570002592564503</v>
      </c>
      <c r="E547" s="27">
        <f>E546*(Presion_cilindro!O538/Presion_cilindro!O539)^Presion_cilindro!$B$9+10*(Presion_cilindro!$B$9-1)*Presion_cilindro!$B$33*(IF(Presion_cilindro!N539&gt;(-E$4+Presion_cilindro!$B$34),1-EXP(-Presion_cilindro!$B$16*((Presion_cilindro!N539-(-E$4+Presion_cilindro!$B$34))/Presion_cilindro!$B$35)^(Presion_cilindro!$B$17+1)),0)-IF(Presion_cilindro!N538&gt;(-E$4+Presion_cilindro!$B$34),1-EXP(-Presion_cilindro!$B$16*((Presion_cilindro!N538-(-E$4+Presion_cilindro!$B$34))/Presion_cilindro!$B$35)^(Presion_cilindro!$B$17+1)),0))/((Presion_cilindro!O538+Presion_cilindro!O539)/2)</f>
        <v>4.725546960316942</v>
      </c>
      <c r="F547" s="27">
        <f>F546*(Presion_cilindro!O538/Presion_cilindro!O539)^Presion_cilindro!$B$9+10*(Presion_cilindro!$B$9-1)*Presion_cilindro!$B$33*(IF(Presion_cilindro!N539&gt;(-F$4+Presion_cilindro!$B$34),1-EXP(-Presion_cilindro!$B$16*((Presion_cilindro!N539-(-F$4+Presion_cilindro!$B$34))/Presion_cilindro!$B$35)^(Presion_cilindro!$B$17+1)),0)-IF(Presion_cilindro!N538&gt;(-F$4+Presion_cilindro!$B$34),1-EXP(-Presion_cilindro!$B$16*((Presion_cilindro!N538-(-F$4+Presion_cilindro!$B$34))/Presion_cilindro!$B$35)^(Presion_cilindro!$B$17+1)),0))/((Presion_cilindro!O538+Presion_cilindro!O539)/2)</f>
        <v>4.6164832439253427</v>
      </c>
      <c r="G547" s="27">
        <f>G546*(Presion_cilindro!O538/Presion_cilindro!O539)^Presion_cilindro!$B$9+10*(Presion_cilindro!$B$9-1)*Presion_cilindro!$B$33*(IF(Presion_cilindro!N539&gt;(-G$4+Presion_cilindro!$B$34),1-EXP(-Presion_cilindro!$B$16*((Presion_cilindro!N539-(-G$4+Presion_cilindro!$B$34))/Presion_cilindro!$B$35)^(Presion_cilindro!$B$17+1)),0)-IF(Presion_cilindro!N538&gt;(-G$4+Presion_cilindro!$B$34),1-EXP(-Presion_cilindro!$B$16*((Presion_cilindro!N538-(-G$4+Presion_cilindro!$B$34))/Presion_cilindro!$B$35)^(Presion_cilindro!$B$17+1)),0))/((Presion_cilindro!O538+Presion_cilindro!O539)/2)</f>
        <v>4.5356683103802542</v>
      </c>
      <c r="H547" s="27">
        <f>H546*(Presion_cilindro!O538/Presion_cilindro!O539)^Presion_cilindro!$B$9+10*(Presion_cilindro!$B$9-1)*Presion_cilindro!$B$33*(IF(Presion_cilindro!N539&gt;(-H$4+Presion_cilindro!$B$34),1-EXP(-Presion_cilindro!$B$16*((Presion_cilindro!N539-(-H$4+Presion_cilindro!$B$34))/Presion_cilindro!$B$35)^(Presion_cilindro!$B$17+1)),0)-IF(Presion_cilindro!N538&gt;(-H$4+Presion_cilindro!$B$34),1-EXP(-Presion_cilindro!$B$16*((Presion_cilindro!N538-(-H$4+Presion_cilindro!$B$34))/Presion_cilindro!$B$35)^(Presion_cilindro!$B$17+1)),0))/((Presion_cilindro!O538+Presion_cilindro!O539)/2)</f>
        <v>4.4879966537969675</v>
      </c>
      <c r="I547" s="27">
        <f>I546*(Presion_cilindro!O538/Presion_cilindro!O539)^Presion_cilindro!$B$9+10*(Presion_cilindro!$B$9-1)*Presion_cilindro!$B$33*(IF(Presion_cilindro!N539&gt;(-I$4+Presion_cilindro!$B$34),1-EXP(-Presion_cilindro!$B$16*((Presion_cilindro!N539-(-I$4+Presion_cilindro!$B$34))/Presion_cilindro!$B$35)^(Presion_cilindro!$B$17+1)),0)-IF(Presion_cilindro!N538&gt;(-I$4+Presion_cilindro!$B$34),1-EXP(-Presion_cilindro!$B$16*((Presion_cilindro!N538-(-I$4+Presion_cilindro!$B$34))/Presion_cilindro!$B$35)^(Presion_cilindro!$B$17+1)),0))/((Presion_cilindro!O538+Presion_cilindro!O539)/2)</f>
        <v>4.4765615533265706</v>
      </c>
      <c r="J547" s="27">
        <f>J546*(Presion_cilindro!O538/Presion_cilindro!O539)^Presion_cilindro!$B$9+10*(Presion_cilindro!$B$9-1)*Presion_cilindro!$B$33*(IF(Presion_cilindro!N539&gt;(-J$4+Presion_cilindro!$B$34),1-EXP(-Presion_cilindro!$B$16*((Presion_cilindro!N539-(-J$4+Presion_cilindro!$B$34))/Presion_cilindro!$B$35)^(Presion_cilindro!$B$17+1)),0)-IF(Presion_cilindro!N538&gt;(-J$4+Presion_cilindro!$B$34),1-EXP(-Presion_cilindro!$B$16*((Presion_cilindro!N538-(-J$4+Presion_cilindro!$B$34))/Presion_cilindro!$B$35)^(Presion_cilindro!$B$17+1)),0))/((Presion_cilindro!O538+Presion_cilindro!O539)/2)</f>
        <v>4.5020752102499033</v>
      </c>
      <c r="K547" s="27">
        <f>K546*(Presion_cilindro!O538/Presion_cilindro!O539)^Presion_cilindro!$B$9+10*(Presion_cilindro!$B$9-1)*Presion_cilindro!$B$33*(IF(Presion_cilindro!N539&gt;(-K$4+Presion_cilindro!$B$34),1-EXP(-Presion_cilindro!$B$16*((Presion_cilindro!N539-(-K$4+Presion_cilindro!$B$34))/Presion_cilindro!$B$35)^(Presion_cilindro!$B$17+1)),0)-IF(Presion_cilindro!N538&gt;(-K$4+Presion_cilindro!$B$34),1-EXP(-Presion_cilindro!$B$16*((Presion_cilindro!N538-(-K$4+Presion_cilindro!$B$34))/Presion_cilindro!$B$35)^(Presion_cilindro!$B$17+1)),0))/((Presion_cilindro!O538+Presion_cilindro!O539)/2)</f>
        <v>4.5627451431063015</v>
      </c>
      <c r="L547" s="27">
        <f>L546*(Presion_cilindro!O538/Presion_cilindro!O539)^Presion_cilindro!$B$9+10*(Presion_cilindro!$B$9-1)*Presion_cilindro!$B$33*(IF(Presion_cilindro!N539&gt;(-L$4+Presion_cilindro!$B$34),1-EXP(-Presion_cilindro!$B$16*((Presion_cilindro!N539-(-L$4+Presion_cilindro!$B$34))/Presion_cilindro!$B$35)^(Presion_cilindro!$B$17+1)),0)-IF(Presion_cilindro!N538&gt;(-L$4+Presion_cilindro!$B$34),1-EXP(-Presion_cilindro!$B$16*((Presion_cilindro!N538-(-L$4+Presion_cilindro!$B$34))/Presion_cilindro!$B$35)^(Presion_cilindro!$B$17+1)),0))/((Presion_cilindro!O538+Presion_cilindro!O539)/2)</f>
        <v>4.6546447540859992</v>
      </c>
      <c r="M547" s="27">
        <f>M546*(Presion_cilindro!O538/Presion_cilindro!O539)^Presion_cilindro!$B$9+10*(Presion_cilindro!$B$9-1)*Presion_cilindro!$B$33*(IF(Presion_cilindro!N539&gt;(-M$4+Presion_cilindro!$B$34),1-EXP(-Presion_cilindro!$B$16*((Presion_cilindro!N539-(-M$4+Presion_cilindro!$B$34))/Presion_cilindro!$B$35)^(Presion_cilindro!$B$17+1)),0)-IF(Presion_cilindro!N538&gt;(-M$4+Presion_cilindro!$B$34),1-EXP(-Presion_cilindro!$B$16*((Presion_cilindro!N538-(-M$4+Presion_cilindro!$B$34))/Presion_cilindro!$B$35)^(Presion_cilindro!$B$17+1)),0))/((Presion_cilindro!O538+Presion_cilindro!O539)/2)</f>
        <v>4.7724379081451813</v>
      </c>
      <c r="N547" s="27">
        <f>N546*(Presion_cilindro!O538/Presion_cilindro!O539)^Presion_cilindro!$B$9+10*(Presion_cilindro!$B$9-1)*Presion_cilindro!$B$33*(IF(Presion_cilindro!N539&gt;(-N$4+Presion_cilindro!$B$34),1-EXP(-Presion_cilindro!$B$16*((Presion_cilindro!N539-(-N$4+Presion_cilindro!$B$34))/Presion_cilindro!$B$35)^(Presion_cilindro!$B$17+1)),0)-IF(Presion_cilindro!N538&gt;(-N$4+Presion_cilindro!$B$34),1-EXP(-Presion_cilindro!$B$16*((Presion_cilindro!N538-(-N$4+Presion_cilindro!$B$34))/Presion_cilindro!$B$35)^(Presion_cilindro!$B$17+1)),0))/((Presion_cilindro!O538+Presion_cilindro!O539)/2)</f>
        <v>4.9102158057566854</v>
      </c>
    </row>
    <row r="548" spans="1:14" x14ac:dyDescent="0.25">
      <c r="A548" s="21">
        <f>Presion_cilindro!N540</f>
        <v>88</v>
      </c>
      <c r="B548" s="27">
        <f>B547*(Presion_cilindro!O539/Presion_cilindro!O540)^Presion_cilindro!$B$9+10*(Presion_cilindro!$B$9-1)*Presion_cilindro!$B$33*(IF(Presion_cilindro!N540&gt;(-B$4+Presion_cilindro!$B$34),1-EXP(-Presion_cilindro!$B$16*((Presion_cilindro!N540-(-B$4+Presion_cilindro!$B$34))/Presion_cilindro!$B$35)^(Presion_cilindro!$B$17+1)),0)-IF(Presion_cilindro!N539&gt;(-B$4+Presion_cilindro!$B$34),1-EXP(-Presion_cilindro!$B$16*((Presion_cilindro!N539-(-B$4+Presion_cilindro!$B$34))/Presion_cilindro!$B$35)^(Presion_cilindro!$B$17+1)),0))/((Presion_cilindro!O539+Presion_cilindro!O540)/2)</f>
        <v>5.1182002931463053</v>
      </c>
      <c r="C548" s="27">
        <f>C547*(Presion_cilindro!O539/Presion_cilindro!O540)^Presion_cilindro!$B$9+10*(Presion_cilindro!$B$9-1)*Presion_cilindro!$B$33*(IF(Presion_cilindro!N540&gt;(-C$4+Presion_cilindro!$B$34),1-EXP(-Presion_cilindro!$B$16*((Presion_cilindro!N540-(-C$4+Presion_cilindro!$B$34))/Presion_cilindro!$B$35)^(Presion_cilindro!$B$17+1)),0)-IF(Presion_cilindro!N539&gt;(-C$4+Presion_cilindro!$B$34),1-EXP(-Presion_cilindro!$B$16*((Presion_cilindro!N539-(-C$4+Presion_cilindro!$B$34))/Presion_cilindro!$B$35)^(Presion_cilindro!$B$17+1)),0))/((Presion_cilindro!O539+Presion_cilindro!O540)/2)</f>
        <v>4.9608475648697903</v>
      </c>
      <c r="D548" s="27">
        <f>D547*(Presion_cilindro!O539/Presion_cilindro!O540)^Presion_cilindro!$B$9+10*(Presion_cilindro!$B$9-1)*Presion_cilindro!$B$33*(IF(Presion_cilindro!N540&gt;(-D$4+Presion_cilindro!$B$34),1-EXP(-Presion_cilindro!$B$16*((Presion_cilindro!N540-(-D$4+Presion_cilindro!$B$34))/Presion_cilindro!$B$35)^(Presion_cilindro!$B$17+1)),0)-IF(Presion_cilindro!N539&gt;(-D$4+Presion_cilindro!$B$34),1-EXP(-Presion_cilindro!$B$16*((Presion_cilindro!N539-(-D$4+Presion_cilindro!$B$34))/Presion_cilindro!$B$35)^(Presion_cilindro!$B$17+1)),0))/((Presion_cilindro!O539+Presion_cilindro!O540)/2)</f>
        <v>4.8142964909879531</v>
      </c>
      <c r="E548" s="27">
        <f>E547*(Presion_cilindro!O539/Presion_cilindro!O540)^Presion_cilindro!$B$9+10*(Presion_cilindro!$B$9-1)*Presion_cilindro!$B$33*(IF(Presion_cilindro!N540&gt;(-E$4+Presion_cilindro!$B$34),1-EXP(-Presion_cilindro!$B$16*((Presion_cilindro!N540-(-E$4+Presion_cilindro!$B$34))/Presion_cilindro!$B$35)^(Presion_cilindro!$B$17+1)),0)-IF(Presion_cilindro!N539&gt;(-E$4+Presion_cilindro!$B$34),1-EXP(-Presion_cilindro!$B$16*((Presion_cilindro!N539-(-E$4+Presion_cilindro!$B$34))/Presion_cilindro!$B$35)^(Presion_cilindro!$B$17+1)),0))/((Presion_cilindro!O539+Presion_cilindro!O540)/2)</f>
        <v>4.6839989571123972</v>
      </c>
      <c r="F548" s="27">
        <f>F547*(Presion_cilindro!O539/Presion_cilindro!O540)^Presion_cilindro!$B$9+10*(Presion_cilindro!$B$9-1)*Presion_cilindro!$B$33*(IF(Presion_cilindro!N540&gt;(-F$4+Presion_cilindro!$B$34),1-EXP(-Presion_cilindro!$B$16*((Presion_cilindro!N540-(-F$4+Presion_cilindro!$B$34))/Presion_cilindro!$B$35)^(Presion_cilindro!$B$17+1)),0)-IF(Presion_cilindro!N539&gt;(-F$4+Presion_cilindro!$B$34),1-EXP(-Presion_cilindro!$B$16*((Presion_cilindro!N539-(-F$4+Presion_cilindro!$B$34))/Presion_cilindro!$B$35)^(Presion_cilindro!$B$17+1)),0))/((Presion_cilindro!O539+Presion_cilindro!O540)/2)</f>
        <v>4.5758941518640341</v>
      </c>
      <c r="G548" s="27">
        <f>G547*(Presion_cilindro!O539/Presion_cilindro!O540)^Presion_cilindro!$B$9+10*(Presion_cilindro!$B$9-1)*Presion_cilindro!$B$33*(IF(Presion_cilindro!N540&gt;(-G$4+Presion_cilindro!$B$34),1-EXP(-Presion_cilindro!$B$16*((Presion_cilindro!N540-(-G$4+Presion_cilindro!$B$34))/Presion_cilindro!$B$35)^(Presion_cilindro!$B$17+1)),0)-IF(Presion_cilindro!N539&gt;(-G$4+Presion_cilindro!$B$34),1-EXP(-Presion_cilindro!$B$16*((Presion_cilindro!N539-(-G$4+Presion_cilindro!$B$34))/Presion_cilindro!$B$35)^(Presion_cilindro!$B$17+1)),0))/((Presion_cilindro!O539+Presion_cilindro!O540)/2)</f>
        <v>4.4957897602194077</v>
      </c>
      <c r="H548" s="27">
        <f>H547*(Presion_cilindro!O539/Presion_cilindro!O540)^Presion_cilindro!$B$9+10*(Presion_cilindro!$B$9-1)*Presion_cilindro!$B$33*(IF(Presion_cilindro!N540&gt;(-H$4+Presion_cilindro!$B$34),1-EXP(-Presion_cilindro!$B$16*((Presion_cilindro!N540-(-H$4+Presion_cilindro!$B$34))/Presion_cilindro!$B$35)^(Presion_cilindro!$B$17+1)),0)-IF(Presion_cilindro!N539&gt;(-H$4+Presion_cilindro!$B$34),1-EXP(-Presion_cilindro!$B$16*((Presion_cilindro!N539-(-H$4+Presion_cilindro!$B$34))/Presion_cilindro!$B$35)^(Presion_cilindro!$B$17+1)),0))/((Presion_cilindro!O539+Presion_cilindro!O540)/2)</f>
        <v>4.4485372428716685</v>
      </c>
      <c r="I548" s="27">
        <f>I547*(Presion_cilindro!O539/Presion_cilindro!O540)^Presion_cilindro!$B$9+10*(Presion_cilindro!$B$9-1)*Presion_cilindro!$B$33*(IF(Presion_cilindro!N540&gt;(-I$4+Presion_cilindro!$B$34),1-EXP(-Presion_cilindro!$B$16*((Presion_cilindro!N540-(-I$4+Presion_cilindro!$B$34))/Presion_cilindro!$B$35)^(Presion_cilindro!$B$17+1)),0)-IF(Presion_cilindro!N539&gt;(-I$4+Presion_cilindro!$B$34),1-EXP(-Presion_cilindro!$B$16*((Presion_cilindro!N539-(-I$4+Presion_cilindro!$B$34))/Presion_cilindro!$B$35)^(Presion_cilindro!$B$17+1)),0))/((Presion_cilindro!O539+Presion_cilindro!O540)/2)</f>
        <v>4.4372026822107324</v>
      </c>
      <c r="J548" s="27">
        <f>J547*(Presion_cilindro!O539/Presion_cilindro!O540)^Presion_cilindro!$B$9+10*(Presion_cilindro!$B$9-1)*Presion_cilindro!$B$33*(IF(Presion_cilindro!N540&gt;(-J$4+Presion_cilindro!$B$34),1-EXP(-Presion_cilindro!$B$16*((Presion_cilindro!N540-(-J$4+Presion_cilindro!$B$34))/Presion_cilindro!$B$35)^(Presion_cilindro!$B$17+1)),0)-IF(Presion_cilindro!N539&gt;(-J$4+Presion_cilindro!$B$34),1-EXP(-Presion_cilindro!$B$16*((Presion_cilindro!N539-(-J$4+Presion_cilindro!$B$34))/Presion_cilindro!$B$35)^(Presion_cilindro!$B$17+1)),0))/((Presion_cilindro!O539+Presion_cilindro!O540)/2)</f>
        <v>4.4624920176939202</v>
      </c>
      <c r="K548" s="27">
        <f>K547*(Presion_cilindro!O539/Presion_cilindro!O540)^Presion_cilindro!$B$9+10*(Presion_cilindro!$B$9-1)*Presion_cilindro!$B$33*(IF(Presion_cilindro!N540&gt;(-K$4+Presion_cilindro!$B$34),1-EXP(-Presion_cilindro!$B$16*((Presion_cilindro!N540-(-K$4+Presion_cilindro!$B$34))/Presion_cilindro!$B$35)^(Presion_cilindro!$B$17+1)),0)-IF(Presion_cilindro!N539&gt;(-K$4+Presion_cilindro!$B$34),1-EXP(-Presion_cilindro!$B$16*((Presion_cilindro!N539-(-K$4+Presion_cilindro!$B$34))/Presion_cilindro!$B$35)^(Presion_cilindro!$B$17+1)),0))/((Presion_cilindro!O539+Presion_cilindro!O540)/2)</f>
        <v>4.522628527734736</v>
      </c>
      <c r="L548" s="27">
        <f>L547*(Presion_cilindro!O539/Presion_cilindro!O540)^Presion_cilindro!$B$9+10*(Presion_cilindro!$B$9-1)*Presion_cilindro!$B$33*(IF(Presion_cilindro!N540&gt;(-L$4+Presion_cilindro!$B$34),1-EXP(-Presion_cilindro!$B$16*((Presion_cilindro!N540-(-L$4+Presion_cilindro!$B$34))/Presion_cilindro!$B$35)^(Presion_cilindro!$B$17+1)),0)-IF(Presion_cilindro!N539&gt;(-L$4+Presion_cilindro!$B$34),1-EXP(-Presion_cilindro!$B$16*((Presion_cilindro!N539-(-L$4+Presion_cilindro!$B$34))/Presion_cilindro!$B$35)^(Presion_cilindro!$B$17+1)),0))/((Presion_cilindro!O539+Presion_cilindro!O540)/2)</f>
        <v>4.6137201379975759</v>
      </c>
      <c r="M548" s="27">
        <f>M547*(Presion_cilindro!O539/Presion_cilindro!O540)^Presion_cilindro!$B$9+10*(Presion_cilindro!$B$9-1)*Presion_cilindro!$B$33*(IF(Presion_cilindro!N540&gt;(-M$4+Presion_cilindro!$B$34),1-EXP(-Presion_cilindro!$B$16*((Presion_cilindro!N540-(-M$4+Presion_cilindro!$B$34))/Presion_cilindro!$B$35)^(Presion_cilindro!$B$17+1)),0)-IF(Presion_cilindro!N539&gt;(-M$4+Presion_cilindro!$B$34),1-EXP(-Presion_cilindro!$B$16*((Presion_cilindro!N539-(-M$4+Presion_cilindro!$B$34))/Presion_cilindro!$B$35)^(Presion_cilindro!$B$17+1)),0))/((Presion_cilindro!O539+Presion_cilindro!O540)/2)</f>
        <v>4.7304776298607365</v>
      </c>
      <c r="N548" s="27">
        <f>N547*(Presion_cilindro!O539/Presion_cilindro!O540)^Presion_cilindro!$B$9+10*(Presion_cilindro!$B$9-1)*Presion_cilindro!$B$33*(IF(Presion_cilindro!N540&gt;(-N$4+Presion_cilindro!$B$34),1-EXP(-Presion_cilindro!$B$16*((Presion_cilindro!N540-(-N$4+Presion_cilindro!$B$34))/Presion_cilindro!$B$35)^(Presion_cilindro!$B$17+1)),0)-IF(Presion_cilindro!N539&gt;(-N$4+Presion_cilindro!$B$34),1-EXP(-Presion_cilindro!$B$16*((Presion_cilindro!N539-(-N$4+Presion_cilindro!$B$34))/Presion_cilindro!$B$35)^(Presion_cilindro!$B$17+1)),0))/((Presion_cilindro!O539+Presion_cilindro!O540)/2)</f>
        <v>4.8670441552058028</v>
      </c>
    </row>
    <row r="549" spans="1:14" x14ac:dyDescent="0.25">
      <c r="A549" s="21">
        <f>Presion_cilindro!N541</f>
        <v>88.5</v>
      </c>
      <c r="B549" s="27">
        <f>B548*(Presion_cilindro!O540/Presion_cilindro!O541)^Presion_cilindro!$B$9+10*(Presion_cilindro!$B$9-1)*Presion_cilindro!$B$33*(IF(Presion_cilindro!N541&gt;(-B$4+Presion_cilindro!$B$34),1-EXP(-Presion_cilindro!$B$16*((Presion_cilindro!N541-(-B$4+Presion_cilindro!$B$34))/Presion_cilindro!$B$35)^(Presion_cilindro!$B$17+1)),0)-IF(Presion_cilindro!N540&gt;(-B$4+Presion_cilindro!$B$34),1-EXP(-Presion_cilindro!$B$16*((Presion_cilindro!N540-(-B$4+Presion_cilindro!$B$34))/Presion_cilindro!$B$35)^(Presion_cilindro!$B$17+1)),0))/((Presion_cilindro!O540+Presion_cilindro!O541)/2)</f>
        <v>5.0735960401289653</v>
      </c>
      <c r="C549" s="27">
        <f>C548*(Presion_cilindro!O540/Presion_cilindro!O541)^Presion_cilindro!$B$9+10*(Presion_cilindro!$B$9-1)*Presion_cilindro!$B$33*(IF(Presion_cilindro!N541&gt;(-C$4+Presion_cilindro!$B$34),1-EXP(-Presion_cilindro!$B$16*((Presion_cilindro!N541-(-C$4+Presion_cilindro!$B$34))/Presion_cilindro!$B$35)^(Presion_cilindro!$B$17+1)),0)-IF(Presion_cilindro!N540&gt;(-C$4+Presion_cilindro!$B$34),1-EXP(-Presion_cilindro!$B$16*((Presion_cilindro!N540-(-C$4+Presion_cilindro!$B$34))/Presion_cilindro!$B$35)^(Presion_cilindro!$B$17+1)),0))/((Presion_cilindro!O540+Presion_cilindro!O541)/2)</f>
        <v>4.9176146136730434</v>
      </c>
      <c r="D549" s="27">
        <f>D548*(Presion_cilindro!O540/Presion_cilindro!O541)^Presion_cilindro!$B$9+10*(Presion_cilindro!$B$9-1)*Presion_cilindro!$B$33*(IF(Presion_cilindro!N541&gt;(-D$4+Presion_cilindro!$B$34),1-EXP(-Presion_cilindro!$B$16*((Presion_cilindro!N541-(-D$4+Presion_cilindro!$B$34))/Presion_cilindro!$B$35)^(Presion_cilindro!$B$17+1)),0)-IF(Presion_cilindro!N540&gt;(-D$4+Presion_cilindro!$B$34),1-EXP(-Presion_cilindro!$B$16*((Presion_cilindro!N540-(-D$4+Presion_cilindro!$B$34))/Presion_cilindro!$B$35)^(Presion_cilindro!$B$17+1)),0))/((Presion_cilindro!O540+Presion_cilindro!O541)/2)</f>
        <v>4.7723407077123969</v>
      </c>
      <c r="E549" s="27">
        <f>E548*(Presion_cilindro!O540/Presion_cilindro!O541)^Presion_cilindro!$B$9+10*(Presion_cilindro!$B$9-1)*Presion_cilindro!$B$33*(IF(Presion_cilindro!N541&gt;(-E$4+Presion_cilindro!$B$34),1-EXP(-Presion_cilindro!$B$16*((Presion_cilindro!N541-(-E$4+Presion_cilindro!$B$34))/Presion_cilindro!$B$35)^(Presion_cilindro!$B$17+1)),0)-IF(Presion_cilindro!N540&gt;(-E$4+Presion_cilindro!$B$34),1-EXP(-Presion_cilindro!$B$16*((Presion_cilindro!N540-(-E$4+Presion_cilindro!$B$34))/Presion_cilindro!$B$35)^(Presion_cilindro!$B$17+1)),0))/((Presion_cilindro!O540+Presion_cilindro!O541)/2)</f>
        <v>4.6431786949046412</v>
      </c>
      <c r="F549" s="27">
        <f>F548*(Presion_cilindro!O540/Presion_cilindro!O541)^Presion_cilindro!$B$9+10*(Presion_cilindro!$B$9-1)*Presion_cilindro!$B$33*(IF(Presion_cilindro!N541&gt;(-F$4+Presion_cilindro!$B$34),1-EXP(-Presion_cilindro!$B$16*((Presion_cilindro!N541-(-F$4+Presion_cilindro!$B$34))/Presion_cilindro!$B$35)^(Presion_cilindro!$B$17+1)),0)-IF(Presion_cilindro!N540&gt;(-F$4+Presion_cilindro!$B$34),1-EXP(-Presion_cilindro!$B$16*((Presion_cilindro!N540-(-F$4+Presion_cilindro!$B$34))/Presion_cilindro!$B$35)^(Presion_cilindro!$B$17+1)),0))/((Presion_cilindro!O540+Presion_cilindro!O541)/2)</f>
        <v>4.5360160048310592</v>
      </c>
      <c r="G549" s="27">
        <f>G548*(Presion_cilindro!O540/Presion_cilindro!O541)^Presion_cilindro!$B$9+10*(Presion_cilindro!$B$9-1)*Presion_cilindro!$B$33*(IF(Presion_cilindro!N541&gt;(-G$4+Presion_cilindro!$B$34),1-EXP(-Presion_cilindro!$B$16*((Presion_cilindro!N541-(-G$4+Presion_cilindro!$B$34))/Presion_cilindro!$B$35)^(Presion_cilindro!$B$17+1)),0)-IF(Presion_cilindro!N540&gt;(-G$4+Presion_cilindro!$B$34),1-EXP(-Presion_cilindro!$B$16*((Presion_cilindro!N540-(-G$4+Presion_cilindro!$B$34))/Presion_cilindro!$B$35)^(Presion_cilindro!$B$17+1)),0))/((Presion_cilindro!O540+Presion_cilindro!O541)/2)</f>
        <v>4.4566097094714374</v>
      </c>
      <c r="H549" s="27">
        <f>H548*(Presion_cilindro!O540/Presion_cilindro!O541)^Presion_cilindro!$B$9+10*(Presion_cilindro!$B$9-1)*Presion_cilindro!$B$33*(IF(Presion_cilindro!N541&gt;(-H$4+Presion_cilindro!$B$34),1-EXP(-Presion_cilindro!$B$16*((Presion_cilindro!N541-(-H$4+Presion_cilindro!$B$34))/Presion_cilindro!$B$35)^(Presion_cilindro!$B$17+1)),0)-IF(Presion_cilindro!N540&gt;(-H$4+Presion_cilindro!$B$34),1-EXP(-Presion_cilindro!$B$16*((Presion_cilindro!N540-(-H$4+Presion_cilindro!$B$34))/Presion_cilindro!$B$35)^(Presion_cilindro!$B$17+1)),0))/((Presion_cilindro!O540+Presion_cilindro!O541)/2)</f>
        <v>4.4097689898558867</v>
      </c>
      <c r="I549" s="27">
        <f>I548*(Presion_cilindro!O540/Presion_cilindro!O541)^Presion_cilindro!$B$9+10*(Presion_cilindro!$B$9-1)*Presion_cilindro!$B$33*(IF(Presion_cilindro!N541&gt;(-I$4+Presion_cilindro!$B$34),1-EXP(-Presion_cilindro!$B$16*((Presion_cilindro!N541-(-I$4+Presion_cilindro!$B$34))/Presion_cilindro!$B$35)^(Presion_cilindro!$B$17+1)),0)-IF(Presion_cilindro!N540&gt;(-I$4+Presion_cilindro!$B$34),1-EXP(-Presion_cilindro!$B$16*((Presion_cilindro!N540-(-I$4+Presion_cilindro!$B$34))/Presion_cilindro!$B$35)^(Presion_cilindro!$B$17+1)),0))/((Presion_cilindro!O540+Presion_cilindro!O541)/2)</f>
        <v>4.3985332079825685</v>
      </c>
      <c r="J549" s="27">
        <f>J548*(Presion_cilindro!O540/Presion_cilindro!O541)^Presion_cilindro!$B$9+10*(Presion_cilindro!$B$9-1)*Presion_cilindro!$B$33*(IF(Presion_cilindro!N541&gt;(-J$4+Presion_cilindro!$B$34),1-EXP(-Presion_cilindro!$B$16*((Presion_cilindro!N541-(-J$4+Presion_cilindro!$B$34))/Presion_cilindro!$B$35)^(Presion_cilindro!$B$17+1)),0)-IF(Presion_cilindro!N540&gt;(-J$4+Presion_cilindro!$B$34),1-EXP(-Presion_cilindro!$B$16*((Presion_cilindro!N540-(-J$4+Presion_cilindro!$B$34))/Presion_cilindro!$B$35)^(Presion_cilindro!$B$17+1)),0))/((Presion_cilindro!O540+Presion_cilindro!O541)/2)</f>
        <v>4.4236021511653023</v>
      </c>
      <c r="K549" s="27">
        <f>K548*(Presion_cilindro!O540/Presion_cilindro!O541)^Presion_cilindro!$B$9+10*(Presion_cilindro!$B$9-1)*Presion_cilindro!$B$33*(IF(Presion_cilindro!N541&gt;(-K$4+Presion_cilindro!$B$34),1-EXP(-Presion_cilindro!$B$16*((Presion_cilindro!N541-(-K$4+Presion_cilindro!$B$34))/Presion_cilindro!$B$35)^(Presion_cilindro!$B$17+1)),0)-IF(Presion_cilindro!N540&gt;(-K$4+Presion_cilindro!$B$34),1-EXP(-Presion_cilindro!$B$16*((Presion_cilindro!N540-(-K$4+Presion_cilindro!$B$34))/Presion_cilindro!$B$35)^(Presion_cilindro!$B$17+1)),0))/((Presion_cilindro!O540+Presion_cilindro!O541)/2)</f>
        <v>4.483214581647049</v>
      </c>
      <c r="L549" s="27">
        <f>L548*(Presion_cilindro!O540/Presion_cilindro!O541)^Presion_cilindro!$B$9+10*(Presion_cilindro!$B$9-1)*Presion_cilindro!$B$33*(IF(Presion_cilindro!N541&gt;(-L$4+Presion_cilindro!$B$34),1-EXP(-Presion_cilindro!$B$16*((Presion_cilindro!N541-(-L$4+Presion_cilindro!$B$34))/Presion_cilindro!$B$35)^(Presion_cilindro!$B$17+1)),0)-IF(Presion_cilindro!N540&gt;(-L$4+Presion_cilindro!$B$34),1-EXP(-Presion_cilindro!$B$16*((Presion_cilindro!N540-(-L$4+Presion_cilindro!$B$34))/Presion_cilindro!$B$35)^(Presion_cilindro!$B$17+1)),0))/((Presion_cilindro!O540+Presion_cilindro!O541)/2)</f>
        <v>4.5735123438646816</v>
      </c>
      <c r="M549" s="27">
        <f>M548*(Presion_cilindro!O540/Presion_cilindro!O541)^Presion_cilindro!$B$9+10*(Presion_cilindro!$B$9-1)*Presion_cilindro!$B$33*(IF(Presion_cilindro!N541&gt;(-M$4+Presion_cilindro!$B$34),1-EXP(-Presion_cilindro!$B$16*((Presion_cilindro!N541-(-M$4+Presion_cilindro!$B$34))/Presion_cilindro!$B$35)^(Presion_cilindro!$B$17+1)),0)-IF(Presion_cilindro!N540&gt;(-M$4+Presion_cilindro!$B$34),1-EXP(-Presion_cilindro!$B$16*((Presion_cilindro!N540-(-M$4+Presion_cilindro!$B$34))/Presion_cilindro!$B$35)^(Presion_cilindro!$B$17+1)),0))/((Presion_cilindro!O540+Presion_cilindro!O541)/2)</f>
        <v>4.6892523138461737</v>
      </c>
      <c r="N549" s="27">
        <f>N548*(Presion_cilindro!O540/Presion_cilindro!O541)^Presion_cilindro!$B$9+10*(Presion_cilindro!$B$9-1)*Presion_cilindro!$B$33*(IF(Presion_cilindro!N541&gt;(-N$4+Presion_cilindro!$B$34),1-EXP(-Presion_cilindro!$B$16*((Presion_cilindro!N541-(-N$4+Presion_cilindro!$B$34))/Presion_cilindro!$B$35)^(Presion_cilindro!$B$17+1)),0)-IF(Presion_cilindro!N540&gt;(-N$4+Presion_cilindro!$B$34),1-EXP(-Presion_cilindro!$B$16*((Presion_cilindro!N540-(-N$4+Presion_cilindro!$B$34))/Presion_cilindro!$B$35)^(Presion_cilindro!$B$17+1)),0))/((Presion_cilindro!O540+Presion_cilindro!O541)/2)</f>
        <v>4.8246286849182711</v>
      </c>
    </row>
    <row r="550" spans="1:14" x14ac:dyDescent="0.25">
      <c r="A550" s="21">
        <f>Presion_cilindro!N542</f>
        <v>89</v>
      </c>
      <c r="B550" s="27">
        <f>B549*(Presion_cilindro!O541/Presion_cilindro!O542)^Presion_cilindro!$B$9+10*(Presion_cilindro!$B$9-1)*Presion_cilindro!$B$33*(IF(Presion_cilindro!N542&gt;(-B$4+Presion_cilindro!$B$34),1-EXP(-Presion_cilindro!$B$16*((Presion_cilindro!N542-(-B$4+Presion_cilindro!$B$34))/Presion_cilindro!$B$35)^(Presion_cilindro!$B$17+1)),0)-IF(Presion_cilindro!N541&gt;(-B$4+Presion_cilindro!$B$34),1-EXP(-Presion_cilindro!$B$16*((Presion_cilindro!N541-(-B$4+Presion_cilindro!$B$34))/Presion_cilindro!$B$35)^(Presion_cilindro!$B$17+1)),0))/((Presion_cilindro!O541+Presion_cilindro!O542)/2)</f>
        <v>5.0297707546705723</v>
      </c>
      <c r="C550" s="27">
        <f>C549*(Presion_cilindro!O541/Presion_cilindro!O542)^Presion_cilindro!$B$9+10*(Presion_cilindro!$B$9-1)*Presion_cilindro!$B$33*(IF(Presion_cilindro!N542&gt;(-C$4+Presion_cilindro!$B$34),1-EXP(-Presion_cilindro!$B$16*((Presion_cilindro!N542-(-C$4+Presion_cilindro!$B$34))/Presion_cilindro!$B$35)^(Presion_cilindro!$B$17+1)),0)-IF(Presion_cilindro!N541&gt;(-C$4+Presion_cilindro!$B$34),1-EXP(-Presion_cilindro!$B$16*((Presion_cilindro!N541-(-C$4+Presion_cilindro!$B$34))/Presion_cilindro!$B$35)^(Presion_cilindro!$B$17+1)),0))/((Presion_cilindro!O541+Presion_cilindro!O542)/2)</f>
        <v>4.8751366818752988</v>
      </c>
      <c r="D550" s="27">
        <f>D549*(Presion_cilindro!O541/Presion_cilindro!O542)^Presion_cilindro!$B$9+10*(Presion_cilindro!$B$9-1)*Presion_cilindro!$B$33*(IF(Presion_cilindro!N542&gt;(-D$4+Presion_cilindro!$B$34),1-EXP(-Presion_cilindro!$B$16*((Presion_cilindro!N542-(-D$4+Presion_cilindro!$B$34))/Presion_cilindro!$B$35)^(Presion_cilindro!$B$17+1)),0)-IF(Presion_cilindro!N541&gt;(-D$4+Presion_cilindro!$B$34),1-EXP(-Presion_cilindro!$B$16*((Presion_cilindro!N541-(-D$4+Presion_cilindro!$B$34))/Presion_cilindro!$B$35)^(Presion_cilindro!$B$17+1)),0))/((Presion_cilindro!O541+Presion_cilindro!O542)/2)</f>
        <v>4.7311176394044976</v>
      </c>
      <c r="E550" s="27">
        <f>E549*(Presion_cilindro!O541/Presion_cilindro!O542)^Presion_cilindro!$B$9+10*(Presion_cilindro!$B$9-1)*Presion_cilindro!$B$33*(IF(Presion_cilindro!N542&gt;(-E$4+Presion_cilindro!$B$34),1-EXP(-Presion_cilindro!$B$16*((Presion_cilindro!N542-(-E$4+Presion_cilindro!$B$34))/Presion_cilindro!$B$35)^(Presion_cilindro!$B$17+1)),0)-IF(Presion_cilindro!N541&gt;(-E$4+Presion_cilindro!$B$34),1-EXP(-Presion_cilindro!$B$16*((Presion_cilindro!N541-(-E$4+Presion_cilindro!$B$34))/Presion_cilindro!$B$35)^(Presion_cilindro!$B$17+1)),0))/((Presion_cilindro!O541+Presion_cilindro!O542)/2)</f>
        <v>4.6030713169471547</v>
      </c>
      <c r="F550" s="27">
        <f>F549*(Presion_cilindro!O541/Presion_cilindro!O542)^Presion_cilindro!$B$9+10*(Presion_cilindro!$B$9-1)*Presion_cilindro!$B$33*(IF(Presion_cilindro!N542&gt;(-F$4+Presion_cilindro!$B$34),1-EXP(-Presion_cilindro!$B$16*((Presion_cilindro!N542-(-F$4+Presion_cilindro!$B$34))/Presion_cilindro!$B$35)^(Presion_cilindro!$B$17+1)),0)-IF(Presion_cilindro!N541&gt;(-F$4+Presion_cilindro!$B$34),1-EXP(-Presion_cilindro!$B$16*((Presion_cilindro!N541-(-F$4+Presion_cilindro!$B$34))/Presion_cilindro!$B$35)^(Presion_cilindro!$B$17+1)),0))/((Presion_cilindro!O541+Presion_cilindro!O542)/2)</f>
        <v>4.4968342889676123</v>
      </c>
      <c r="G550" s="27">
        <f>G549*(Presion_cilindro!O541/Presion_cilindro!O542)^Presion_cilindro!$B$9+10*(Presion_cilindro!$B$9-1)*Presion_cilindro!$B$33*(IF(Presion_cilindro!N542&gt;(-G$4+Presion_cilindro!$B$34),1-EXP(-Presion_cilindro!$B$16*((Presion_cilindro!N542-(-G$4+Presion_cilindro!$B$34))/Presion_cilindro!$B$35)^(Presion_cilindro!$B$17+1)),0)-IF(Presion_cilindro!N541&gt;(-G$4+Presion_cilindro!$B$34),1-EXP(-Presion_cilindro!$B$16*((Presion_cilindro!N541-(-G$4+Presion_cilindro!$B$34))/Presion_cilindro!$B$35)^(Presion_cilindro!$B$17+1)),0))/((Presion_cilindro!O541+Presion_cilindro!O542)/2)</f>
        <v>4.4181138983533073</v>
      </c>
      <c r="H550" s="27">
        <f>H549*(Presion_cilindro!O541/Presion_cilindro!O542)^Presion_cilindro!$B$9+10*(Presion_cilindro!$B$9-1)*Presion_cilindro!$B$33*(IF(Presion_cilindro!N542&gt;(-H$4+Presion_cilindro!$B$34),1-EXP(-Presion_cilindro!$B$16*((Presion_cilindro!N542-(-H$4+Presion_cilindro!$B$34))/Presion_cilindro!$B$35)^(Presion_cilindro!$B$17+1)),0)-IF(Presion_cilindro!N541&gt;(-H$4+Presion_cilindro!$B$34),1-EXP(-Presion_cilindro!$B$16*((Presion_cilindro!N541-(-H$4+Presion_cilindro!$B$34))/Presion_cilindro!$B$35)^(Presion_cilindro!$B$17+1)),0))/((Presion_cilindro!O541+Presion_cilindro!O542)/2)</f>
        <v>4.371677784842511</v>
      </c>
      <c r="I550" s="27">
        <f>I549*(Presion_cilindro!O541/Presion_cilindro!O542)^Presion_cilindro!$B$9+10*(Presion_cilindro!$B$9-1)*Presion_cilindro!$B$33*(IF(Presion_cilindro!N542&gt;(-I$4+Presion_cilindro!$B$34),1-EXP(-Presion_cilindro!$B$16*((Presion_cilindro!N542-(-I$4+Presion_cilindro!$B$34))/Presion_cilindro!$B$35)^(Presion_cilindro!$B$17+1)),0)-IF(Presion_cilindro!N541&gt;(-I$4+Presion_cilindro!$B$34),1-EXP(-Presion_cilindro!$B$16*((Presion_cilindro!N541-(-I$4+Presion_cilindro!$B$34))/Presion_cilindro!$B$35)^(Presion_cilindro!$B$17+1)),0))/((Presion_cilindro!O541+Presion_cilindro!O542)/2)</f>
        <v>4.3605390566860214</v>
      </c>
      <c r="J550" s="27">
        <f>J549*(Presion_cilindro!O541/Presion_cilindro!O542)^Presion_cilindro!$B$9+10*(Presion_cilindro!$B$9-1)*Presion_cilindro!$B$33*(IF(Presion_cilindro!N542&gt;(-J$4+Presion_cilindro!$B$34),1-EXP(-Presion_cilindro!$B$16*((Presion_cilindro!N542-(-J$4+Presion_cilindro!$B$34))/Presion_cilindro!$B$35)^(Presion_cilindro!$B$17+1)),0)-IF(Presion_cilindro!N541&gt;(-J$4+Presion_cilindro!$B$34),1-EXP(-Presion_cilindro!$B$16*((Presion_cilindro!N541-(-J$4+Presion_cilindro!$B$34))/Presion_cilindro!$B$35)^(Presion_cilindro!$B$17+1)),0))/((Presion_cilindro!O541+Presion_cilindro!O542)/2)</f>
        <v>4.3853914564950687</v>
      </c>
      <c r="K550" s="27">
        <f>K549*(Presion_cilindro!O541/Presion_cilindro!O542)^Presion_cilindro!$B$9+10*(Presion_cilindro!$B$9-1)*Presion_cilindro!$B$33*(IF(Presion_cilindro!N542&gt;(-K$4+Presion_cilindro!$B$34),1-EXP(-Presion_cilindro!$B$16*((Presion_cilindro!N542-(-K$4+Presion_cilindro!$B$34))/Presion_cilindro!$B$35)^(Presion_cilindro!$B$17+1)),0)-IF(Presion_cilindro!N541&gt;(-K$4+Presion_cilindro!$B$34),1-EXP(-Presion_cilindro!$B$16*((Presion_cilindro!N541-(-K$4+Presion_cilindro!$B$34))/Presion_cilindro!$B$35)^(Presion_cilindro!$B$17+1)),0))/((Presion_cilindro!O541+Presion_cilindro!O542)/2)</f>
        <v>4.4444889599327801</v>
      </c>
      <c r="L550" s="27">
        <f>L549*(Presion_cilindro!O541/Presion_cilindro!O542)^Presion_cilindro!$B$9+10*(Presion_cilindro!$B$9-1)*Presion_cilindro!$B$33*(IF(Presion_cilindro!N542&gt;(-L$4+Presion_cilindro!$B$34),1-EXP(-Presion_cilindro!$B$16*((Presion_cilindro!N542-(-L$4+Presion_cilindro!$B$34))/Presion_cilindro!$B$35)^(Presion_cilindro!$B$17+1)),0)-IF(Presion_cilindro!N541&gt;(-L$4+Presion_cilindro!$B$34),1-EXP(-Presion_cilindro!$B$16*((Presion_cilindro!N541-(-L$4+Presion_cilindro!$B$34))/Presion_cilindro!$B$35)^(Presion_cilindro!$B$17+1)),0))/((Presion_cilindro!O541+Presion_cilindro!O542)/2)</f>
        <v>4.534006737851735</v>
      </c>
      <c r="M550" s="27">
        <f>M549*(Presion_cilindro!O541/Presion_cilindro!O542)^Presion_cilindro!$B$9+10*(Presion_cilindro!$B$9-1)*Presion_cilindro!$B$33*(IF(Presion_cilindro!N542&gt;(-M$4+Presion_cilindro!$B$34),1-EXP(-Presion_cilindro!$B$16*((Presion_cilindro!N542-(-M$4+Presion_cilindro!$B$34))/Presion_cilindro!$B$35)^(Presion_cilindro!$B$17+1)),0)-IF(Presion_cilindro!N541&gt;(-M$4+Presion_cilindro!$B$34),1-EXP(-Presion_cilindro!$B$16*((Presion_cilindro!N541-(-M$4+Presion_cilindro!$B$34))/Presion_cilindro!$B$35)^(Presion_cilindro!$B$17+1)),0))/((Presion_cilindro!O541+Presion_cilindro!O542)/2)</f>
        <v>4.6487469559335368</v>
      </c>
      <c r="N550" s="27">
        <f>N549*(Presion_cilindro!O541/Presion_cilindro!O542)^Presion_cilindro!$B$9+10*(Presion_cilindro!$B$9-1)*Presion_cilindro!$B$33*(IF(Presion_cilindro!N542&gt;(-N$4+Presion_cilindro!$B$34),1-EXP(-Presion_cilindro!$B$16*((Presion_cilindro!N542-(-N$4+Presion_cilindro!$B$34))/Presion_cilindro!$B$35)^(Presion_cilindro!$B$17+1)),0)-IF(Presion_cilindro!N541&gt;(-N$4+Presion_cilindro!$B$34),1-EXP(-Presion_cilindro!$B$16*((Presion_cilindro!N541-(-N$4+Presion_cilindro!$B$34))/Presion_cilindro!$B$35)^(Presion_cilindro!$B$17+1)),0))/((Presion_cilindro!O541+Presion_cilindro!O542)/2)</f>
        <v>4.7829539575633033</v>
      </c>
    </row>
    <row r="551" spans="1:14" x14ac:dyDescent="0.25">
      <c r="A551" s="21">
        <f>Presion_cilindro!N543</f>
        <v>89.5</v>
      </c>
      <c r="B551" s="27">
        <f>B550*(Presion_cilindro!O542/Presion_cilindro!O543)^Presion_cilindro!$B$9+10*(Presion_cilindro!$B$9-1)*Presion_cilindro!$B$33*(IF(Presion_cilindro!N543&gt;(-B$4+Presion_cilindro!$B$34),1-EXP(-Presion_cilindro!$B$16*((Presion_cilindro!N543-(-B$4+Presion_cilindro!$B$34))/Presion_cilindro!$B$35)^(Presion_cilindro!$B$17+1)),0)-IF(Presion_cilindro!N542&gt;(-B$4+Presion_cilindro!$B$34),1-EXP(-Presion_cilindro!$B$16*((Presion_cilindro!N542-(-B$4+Presion_cilindro!$B$34))/Presion_cilindro!$B$35)^(Presion_cilindro!$B$17+1)),0))/((Presion_cilindro!O542+Presion_cilindro!O543)/2)</f>
        <v>4.9867085926750256</v>
      </c>
      <c r="C551" s="27">
        <f>C550*(Presion_cilindro!O542/Presion_cilindro!O543)^Presion_cilindro!$B$9+10*(Presion_cilindro!$B$9-1)*Presion_cilindro!$B$33*(IF(Presion_cilindro!N543&gt;(-C$4+Presion_cilindro!$B$34),1-EXP(-Presion_cilindro!$B$16*((Presion_cilindro!N543-(-C$4+Presion_cilindro!$B$34))/Presion_cilindro!$B$35)^(Presion_cilindro!$B$17+1)),0)-IF(Presion_cilindro!N542&gt;(-C$4+Presion_cilindro!$B$34),1-EXP(-Presion_cilindro!$B$16*((Presion_cilindro!N542-(-C$4+Presion_cilindro!$B$34))/Presion_cilindro!$B$35)^(Presion_cilindro!$B$17+1)),0))/((Presion_cilindro!O542+Presion_cilindro!O543)/2)</f>
        <v>4.8333984124123246</v>
      </c>
      <c r="D551" s="27">
        <f>D550*(Presion_cilindro!O542/Presion_cilindro!O543)^Presion_cilindro!$B$9+10*(Presion_cilindro!$B$9-1)*Presion_cilindro!$B$33*(IF(Presion_cilindro!N543&gt;(-D$4+Presion_cilindro!$B$34),1-EXP(-Presion_cilindro!$B$16*((Presion_cilindro!N543-(-D$4+Presion_cilindro!$B$34))/Presion_cilindro!$B$35)^(Presion_cilindro!$B$17+1)),0)-IF(Presion_cilindro!N542&gt;(-D$4+Presion_cilindro!$B$34),1-EXP(-Presion_cilindro!$B$16*((Presion_cilindro!N542-(-D$4+Presion_cilindro!$B$34))/Presion_cilindro!$B$35)^(Presion_cilindro!$B$17+1)),0))/((Presion_cilindro!O542+Presion_cilindro!O543)/2)</f>
        <v>4.6906123826699124</v>
      </c>
      <c r="E551" s="27">
        <f>E550*(Presion_cilindro!O542/Presion_cilindro!O543)^Presion_cilindro!$B$9+10*(Presion_cilindro!$B$9-1)*Presion_cilindro!$B$33*(IF(Presion_cilindro!N543&gt;(-E$4+Presion_cilindro!$B$34),1-EXP(-Presion_cilindro!$B$16*((Presion_cilindro!N543-(-E$4+Presion_cilindro!$B$34))/Presion_cilindro!$B$35)^(Presion_cilindro!$B$17+1)),0)-IF(Presion_cilindro!N542&gt;(-E$4+Presion_cilindro!$B$34),1-EXP(-Presion_cilindro!$B$16*((Presion_cilindro!N542-(-E$4+Presion_cilindro!$B$34))/Presion_cilindro!$B$35)^(Presion_cilindro!$B$17+1)),0))/((Presion_cilindro!O542+Presion_cilindro!O543)/2)</f>
        <v>4.5636623232016129</v>
      </c>
      <c r="F551" s="27">
        <f>F550*(Presion_cilindro!O542/Presion_cilindro!O543)^Presion_cilindro!$B$9+10*(Presion_cilindro!$B$9-1)*Presion_cilindro!$B$33*(IF(Presion_cilindro!N543&gt;(-F$4+Presion_cilindro!$B$34),1-EXP(-Presion_cilindro!$B$16*((Presion_cilindro!N543-(-F$4+Presion_cilindro!$B$34))/Presion_cilindro!$B$35)^(Presion_cilindro!$B$17+1)),0)-IF(Presion_cilindro!N542&gt;(-F$4+Presion_cilindro!$B$34),1-EXP(-Presion_cilindro!$B$16*((Presion_cilindro!N542-(-F$4+Presion_cilindro!$B$34))/Presion_cilindro!$B$35)^(Presion_cilindro!$B$17+1)),0))/((Presion_cilindro!O542+Presion_cilindro!O543)/2)</f>
        <v>4.4583348388903978</v>
      </c>
      <c r="G551" s="27">
        <f>G550*(Presion_cilindro!O542/Presion_cilindro!O543)^Presion_cilindro!$B$9+10*(Presion_cilindro!$B$9-1)*Presion_cilindro!$B$33*(IF(Presion_cilindro!N543&gt;(-G$4+Presion_cilindro!$B$34),1-EXP(-Presion_cilindro!$B$16*((Presion_cilindro!N543-(-G$4+Presion_cilindro!$B$34))/Presion_cilindro!$B$35)^(Presion_cilindro!$B$17+1)),0)-IF(Presion_cilindro!N542&gt;(-G$4+Presion_cilindro!$B$34),1-EXP(-Presion_cilindro!$B$16*((Presion_cilindro!N542-(-G$4+Presion_cilindro!$B$34))/Presion_cilindro!$B$35)^(Presion_cilindro!$B$17+1)),0))/((Presion_cilindro!O542+Presion_cilindro!O543)/2)</f>
        <v>4.3802884094571732</v>
      </c>
      <c r="H551" s="27">
        <f>H550*(Presion_cilindro!O542/Presion_cilindro!O543)^Presion_cilindro!$B$9+10*(Presion_cilindro!$B$9-1)*Presion_cilindro!$B$33*(IF(Presion_cilindro!N543&gt;(-H$4+Presion_cilindro!$B$34),1-EXP(-Presion_cilindro!$B$16*((Presion_cilindro!N543-(-H$4+Presion_cilindro!$B$34))/Presion_cilindro!$B$35)^(Presion_cilindro!$B$17+1)),0)-IF(Presion_cilindro!N542&gt;(-H$4+Presion_cilindro!$B$34),1-EXP(-Presion_cilindro!$B$16*((Presion_cilindro!N542-(-H$4+Presion_cilindro!$B$34))/Presion_cilindro!$B$35)^(Presion_cilindro!$B$17+1)),0))/((Presion_cilindro!O542+Presion_cilindro!O543)/2)</f>
        <v>4.3342498567011223</v>
      </c>
      <c r="I551" s="27">
        <f>I550*(Presion_cilindro!O542/Presion_cilindro!O543)^Presion_cilindro!$B$9+10*(Presion_cilindro!$B$9-1)*Presion_cilindro!$B$33*(IF(Presion_cilindro!N543&gt;(-I$4+Presion_cilindro!$B$34),1-EXP(-Presion_cilindro!$B$16*((Presion_cilindro!N543-(-I$4+Presion_cilindro!$B$34))/Presion_cilindro!$B$35)^(Presion_cilindro!$B$17+1)),0)-IF(Presion_cilindro!N542&gt;(-I$4+Presion_cilindro!$B$34),1-EXP(-Presion_cilindro!$B$16*((Presion_cilindro!N542-(-I$4+Presion_cilindro!$B$34))/Presion_cilindro!$B$35)^(Presion_cilindro!$B$17+1)),0))/((Presion_cilindro!O542+Presion_cilindro!O543)/2)</f>
        <v>4.3232064922785458</v>
      </c>
      <c r="J551" s="27">
        <f>J550*(Presion_cilindro!O542/Presion_cilindro!O543)^Presion_cilindro!$B$9+10*(Presion_cilindro!$B$9-1)*Presion_cilindro!$B$33*(IF(Presion_cilindro!N543&gt;(-J$4+Presion_cilindro!$B$34),1-EXP(-Presion_cilindro!$B$16*((Presion_cilindro!N543-(-J$4+Presion_cilindro!$B$34))/Presion_cilindro!$B$35)^(Presion_cilindro!$B$17+1)),0)-IF(Presion_cilindro!N542&gt;(-J$4+Presion_cilindro!$B$34),1-EXP(-Presion_cilindro!$B$16*((Presion_cilindro!N542-(-J$4+Presion_cilindro!$B$34))/Presion_cilindro!$B$35)^(Presion_cilindro!$B$17+1)),0))/((Presion_cilindro!O542+Presion_cilindro!O543)/2)</f>
        <v>4.3478461193536511</v>
      </c>
      <c r="K551" s="27">
        <f>K550*(Presion_cilindro!O542/Presion_cilindro!O543)^Presion_cilindro!$B$9+10*(Presion_cilindro!$B$9-1)*Presion_cilindro!$B$33*(IF(Presion_cilindro!N543&gt;(-K$4+Presion_cilindro!$B$34),1-EXP(-Presion_cilindro!$B$16*((Presion_cilindro!N543-(-K$4+Presion_cilindro!$B$34))/Presion_cilindro!$B$35)^(Presion_cilindro!$B$17+1)),0)-IF(Presion_cilindro!N542&gt;(-K$4+Presion_cilindro!$B$34),1-EXP(-Presion_cilindro!$B$16*((Presion_cilindro!N542-(-K$4+Presion_cilindro!$B$34))/Presion_cilindro!$B$35)^(Presion_cilindro!$B$17+1)),0))/((Presion_cilindro!O542+Presion_cilindro!O543)/2)</f>
        <v>4.4064376621005561</v>
      </c>
      <c r="L551" s="27">
        <f>L550*(Presion_cilindro!O542/Presion_cilindro!O543)^Presion_cilindro!$B$9+10*(Presion_cilindro!$B$9-1)*Presion_cilindro!$B$33*(IF(Presion_cilindro!N543&gt;(-L$4+Presion_cilindro!$B$34),1-EXP(-Presion_cilindro!$B$16*((Presion_cilindro!N543-(-L$4+Presion_cilindro!$B$34))/Presion_cilindro!$B$35)^(Presion_cilindro!$B$17+1)),0)-IF(Presion_cilindro!N542&gt;(-L$4+Presion_cilindro!$B$34),1-EXP(-Presion_cilindro!$B$16*((Presion_cilindro!N542-(-L$4+Presion_cilindro!$B$34))/Presion_cilindro!$B$35)^(Presion_cilindro!$B$17+1)),0))/((Presion_cilindro!O542+Presion_cilindro!O543)/2)</f>
        <v>4.4951890374792907</v>
      </c>
      <c r="M551" s="27">
        <f>M550*(Presion_cilindro!O542/Presion_cilindro!O543)^Presion_cilindro!$B$9+10*(Presion_cilindro!$B$9-1)*Presion_cilindro!$B$33*(IF(Presion_cilindro!N543&gt;(-M$4+Presion_cilindro!$B$34),1-EXP(-Presion_cilindro!$B$16*((Presion_cilindro!N543-(-M$4+Presion_cilindro!$B$34))/Presion_cilindro!$B$35)^(Presion_cilindro!$B$17+1)),0)-IF(Presion_cilindro!N542&gt;(-M$4+Presion_cilindro!$B$34),1-EXP(-Presion_cilindro!$B$16*((Presion_cilindro!N542-(-M$4+Presion_cilindro!$B$34))/Presion_cilindro!$B$35)^(Presion_cilindro!$B$17+1)),0))/((Presion_cilindro!O542+Presion_cilindro!O543)/2)</f>
        <v>4.6089469122026268</v>
      </c>
      <c r="N551" s="27">
        <f>N550*(Presion_cilindro!O542/Presion_cilindro!O543)^Presion_cilindro!$B$9+10*(Presion_cilindro!$B$9-1)*Presion_cilindro!$B$33*(IF(Presion_cilindro!N543&gt;(-N$4+Presion_cilindro!$B$34),1-EXP(-Presion_cilindro!$B$16*((Presion_cilindro!N543-(-N$4+Presion_cilindro!$B$34))/Presion_cilindro!$B$35)^(Presion_cilindro!$B$17+1)),0)-IF(Presion_cilindro!N542&gt;(-N$4+Presion_cilindro!$B$34),1-EXP(-Presion_cilindro!$B$16*((Presion_cilindro!N542-(-N$4+Presion_cilindro!$B$34))/Presion_cilindro!$B$35)^(Presion_cilindro!$B$17+1)),0))/((Presion_cilindro!O542+Presion_cilindro!O543)/2)</f>
        <v>4.7420049064580425</v>
      </c>
    </row>
    <row r="552" spans="1:14" x14ac:dyDescent="0.25">
      <c r="A552" s="21">
        <f>Presion_cilindro!N544</f>
        <v>90</v>
      </c>
      <c r="B552" s="27">
        <f>B551*(Presion_cilindro!O543/Presion_cilindro!O544)^Presion_cilindro!$B$9+10*(Presion_cilindro!$B$9-1)*Presion_cilindro!$B$33*(IF(Presion_cilindro!N544&gt;(-B$4+Presion_cilindro!$B$34),1-EXP(-Presion_cilindro!$B$16*((Presion_cilindro!N544-(-B$4+Presion_cilindro!$B$34))/Presion_cilindro!$B$35)^(Presion_cilindro!$B$17+1)),0)-IF(Presion_cilindro!N543&gt;(-B$4+Presion_cilindro!$B$34),1-EXP(-Presion_cilindro!$B$16*((Presion_cilindro!N543-(-B$4+Presion_cilindro!$B$34))/Presion_cilindro!$B$35)^(Presion_cilindro!$B$17+1)),0))/((Presion_cilindro!O543+Presion_cilindro!O544)/2)</f>
        <v>4.9443940895109906</v>
      </c>
      <c r="C552" s="27">
        <f>C551*(Presion_cilindro!O543/Presion_cilindro!O544)^Presion_cilindro!$B$9+10*(Presion_cilindro!$B$9-1)*Presion_cilindro!$B$33*(IF(Presion_cilindro!N544&gt;(-C$4+Presion_cilindro!$B$34),1-EXP(-Presion_cilindro!$B$16*((Presion_cilindro!N544-(-C$4+Presion_cilindro!$B$34))/Presion_cilindro!$B$35)^(Presion_cilindro!$B$17+1)),0)-IF(Presion_cilindro!N543&gt;(-C$4+Presion_cilindro!$B$34),1-EXP(-Presion_cilindro!$B$16*((Presion_cilindro!N543-(-C$4+Presion_cilindro!$B$34))/Presion_cilindro!$B$35)^(Presion_cilindro!$B$17+1)),0))/((Presion_cilindro!O543+Presion_cilindro!O544)/2)</f>
        <v>4.7923848160422207</v>
      </c>
      <c r="D552" s="27">
        <f>D551*(Presion_cilindro!O543/Presion_cilindro!O544)^Presion_cilindro!$B$9+10*(Presion_cilindro!$B$9-1)*Presion_cilindro!$B$33*(IF(Presion_cilindro!N544&gt;(-D$4+Presion_cilindro!$B$34),1-EXP(-Presion_cilindro!$B$16*((Presion_cilindro!N544-(-D$4+Presion_cilindro!$B$34))/Presion_cilindro!$B$35)^(Presion_cilindro!$B$17+1)),0)-IF(Presion_cilindro!N543&gt;(-D$4+Presion_cilindro!$B$34),1-EXP(-Presion_cilindro!$B$16*((Presion_cilindro!N543-(-D$4+Presion_cilindro!$B$34))/Presion_cilindro!$B$35)^(Presion_cilindro!$B$17+1)),0))/((Presion_cilindro!O543+Presion_cilindro!O544)/2)</f>
        <v>4.6508103910710936</v>
      </c>
      <c r="E552" s="27">
        <f>E551*(Presion_cilindro!O543/Presion_cilindro!O544)^Presion_cilindro!$B$9+10*(Presion_cilindro!$B$9-1)*Presion_cilindro!$B$33*(IF(Presion_cilindro!N544&gt;(-E$4+Presion_cilindro!$B$34),1-EXP(-Presion_cilindro!$B$16*((Presion_cilindro!N544-(-E$4+Presion_cilindro!$B$34))/Presion_cilindro!$B$35)^(Presion_cilindro!$B$17+1)),0)-IF(Presion_cilindro!N543&gt;(-E$4+Presion_cilindro!$B$34),1-EXP(-Presion_cilindro!$B$16*((Presion_cilindro!N543-(-E$4+Presion_cilindro!$B$34))/Presion_cilindro!$B$35)^(Presion_cilindro!$B$17+1)),0))/((Presion_cilindro!O543+Presion_cilindro!O544)/2)</f>
        <v>4.5249375609255571</v>
      </c>
      <c r="F552" s="27">
        <f>F551*(Presion_cilindro!O543/Presion_cilindro!O544)^Presion_cilindro!$B$9+10*(Presion_cilindro!$B$9-1)*Presion_cilindro!$B$33*(IF(Presion_cilindro!N544&gt;(-F$4+Presion_cilindro!$B$34),1-EXP(-Presion_cilindro!$B$16*((Presion_cilindro!N544-(-F$4+Presion_cilindro!$B$34))/Presion_cilindro!$B$35)^(Presion_cilindro!$B$17+1)),0)-IF(Presion_cilindro!N543&gt;(-F$4+Presion_cilindro!$B$34),1-EXP(-Presion_cilindro!$B$16*((Presion_cilindro!N543-(-F$4+Presion_cilindro!$B$34))/Presion_cilindro!$B$35)^(Presion_cilindro!$B$17+1)),0))/((Presion_cilindro!O543+Presion_cilindro!O544)/2)</f>
        <v>4.4205038284965417</v>
      </c>
      <c r="G552" s="27">
        <f>G551*(Presion_cilindro!O543/Presion_cilindro!O544)^Presion_cilindro!$B$9+10*(Presion_cilindro!$B$9-1)*Presion_cilindro!$B$33*(IF(Presion_cilindro!N544&gt;(-G$4+Presion_cilindro!$B$34),1-EXP(-Presion_cilindro!$B$16*((Presion_cilindro!N544-(-G$4+Presion_cilindro!$B$34))/Presion_cilindro!$B$35)^(Presion_cilindro!$B$17+1)),0)-IF(Presion_cilindro!N543&gt;(-G$4+Presion_cilindro!$B$34),1-EXP(-Presion_cilindro!$B$16*((Presion_cilindro!N543-(-G$4+Presion_cilindro!$B$34))/Presion_cilindro!$B$35)^(Presion_cilindro!$B$17+1)),0))/((Presion_cilindro!O543+Presion_cilindro!O544)/2)</f>
        <v>4.3431196587162573</v>
      </c>
      <c r="H552" s="27">
        <f>H551*(Presion_cilindro!O543/Presion_cilindro!O544)^Presion_cilindro!$B$9+10*(Presion_cilindro!$B$9-1)*Presion_cilindro!$B$33*(IF(Presion_cilindro!N544&gt;(-H$4+Presion_cilindro!$B$34),1-EXP(-Presion_cilindro!$B$16*((Presion_cilindro!N544-(-H$4+Presion_cilindro!$B$34))/Presion_cilindro!$B$35)^(Presion_cilindro!$B$17+1)),0)-IF(Presion_cilindro!N543&gt;(-H$4+Presion_cilindro!$B$34),1-EXP(-Presion_cilindro!$B$16*((Presion_cilindro!N543-(-H$4+Presion_cilindro!$B$34))/Presion_cilindro!$B$35)^(Presion_cilindro!$B$17+1)),0))/((Presion_cilindro!O543+Presion_cilindro!O544)/2)</f>
        <v>4.297471764138824</v>
      </c>
      <c r="I552" s="27">
        <f>I551*(Presion_cilindro!O543/Presion_cilindro!O544)^Presion_cilindro!$B$9+10*(Presion_cilindro!$B$9-1)*Presion_cilindro!$B$33*(IF(Presion_cilindro!N544&gt;(-I$4+Presion_cilindro!$B$34),1-EXP(-Presion_cilindro!$B$16*((Presion_cilindro!N544-(-I$4+Presion_cilindro!$B$34))/Presion_cilindro!$B$35)^(Presion_cilindro!$B$17+1)),0)-IF(Presion_cilindro!N543&gt;(-I$4+Presion_cilindro!$B$34),1-EXP(-Presion_cilindro!$B$16*((Presion_cilindro!N543-(-I$4+Presion_cilindro!$B$34))/Presion_cilindro!$B$35)^(Presion_cilindro!$B$17+1)),0))/((Presion_cilindro!O543+Presion_cilindro!O544)/2)</f>
        <v>4.286522107714716</v>
      </c>
      <c r="J552" s="27">
        <f>J551*(Presion_cilindro!O543/Presion_cilindro!O544)^Presion_cilindro!$B$9+10*(Presion_cilindro!$B$9-1)*Presion_cilindro!$B$33*(IF(Presion_cilindro!N544&gt;(-J$4+Presion_cilindro!$B$34),1-EXP(-Presion_cilindro!$B$16*((Presion_cilindro!N544-(-J$4+Presion_cilindro!$B$34))/Presion_cilindro!$B$35)^(Presion_cilindro!$B$17+1)),0)-IF(Presion_cilindro!N543&gt;(-J$4+Presion_cilindro!$B$34),1-EXP(-Presion_cilindro!$B$16*((Presion_cilindro!N543-(-J$4+Presion_cilindro!$B$34))/Presion_cilindro!$B$35)^(Presion_cilindro!$B$17+1)),0))/((Presion_cilindro!O543+Presion_cilindro!O544)/2)</f>
        <v>4.3109526562836828</v>
      </c>
      <c r="K552" s="27">
        <f>K551*(Presion_cilindro!O543/Presion_cilindro!O544)^Presion_cilindro!$B$9+10*(Presion_cilindro!$B$9-1)*Presion_cilindro!$B$33*(IF(Presion_cilindro!N544&gt;(-K$4+Presion_cilindro!$B$34),1-EXP(-Presion_cilindro!$B$16*((Presion_cilindro!N544-(-K$4+Presion_cilindro!$B$34))/Presion_cilindro!$B$35)^(Presion_cilindro!$B$17+1)),0)-IF(Presion_cilindro!N543&gt;(-K$4+Presion_cilindro!$B$34),1-EXP(-Presion_cilindro!$B$16*((Presion_cilindro!N543-(-K$4+Presion_cilindro!$B$34))/Presion_cilindro!$B$35)^(Presion_cilindro!$B$17+1)),0))/((Presion_cilindro!O543+Presion_cilindro!O544)/2)</f>
        <v>4.3690470229900376</v>
      </c>
      <c r="L552" s="27">
        <f>L551*(Presion_cilindro!O543/Presion_cilindro!O544)^Presion_cilindro!$B$9+10*(Presion_cilindro!$B$9-1)*Presion_cilindro!$B$33*(IF(Presion_cilindro!N544&gt;(-L$4+Presion_cilindro!$B$34),1-EXP(-Presion_cilindro!$B$16*((Presion_cilindro!N544-(-L$4+Presion_cilindro!$B$34))/Presion_cilindro!$B$35)^(Presion_cilindro!$B$17+1)),0)-IF(Presion_cilindro!N543&gt;(-L$4+Presion_cilindro!$B$34),1-EXP(-Presion_cilindro!$B$16*((Presion_cilindro!N543-(-L$4+Presion_cilindro!$B$34))/Presion_cilindro!$B$35)^(Presion_cilindro!$B$17+1)),0))/((Presion_cilindro!O543+Presion_cilindro!O544)/2)</f>
        <v>4.4570453023529382</v>
      </c>
      <c r="M552" s="27">
        <f>M551*(Presion_cilindro!O543/Presion_cilindro!O544)^Presion_cilindro!$B$9+10*(Presion_cilindro!$B$9-1)*Presion_cilindro!$B$33*(IF(Presion_cilindro!N544&gt;(-M$4+Presion_cilindro!$B$34),1-EXP(-Presion_cilindro!$B$16*((Presion_cilindro!N544-(-M$4+Presion_cilindro!$B$34))/Presion_cilindro!$B$35)^(Presion_cilindro!$B$17+1)),0)-IF(Presion_cilindro!N543&gt;(-M$4+Presion_cilindro!$B$34),1-EXP(-Presion_cilindro!$B$16*((Presion_cilindro!N543-(-M$4+Presion_cilindro!$B$34))/Presion_cilindro!$B$35)^(Presion_cilindro!$B$17+1)),0))/((Presion_cilindro!O543+Presion_cilindro!O544)/2)</f>
        <v>4.5698378894752842</v>
      </c>
      <c r="N552" s="27">
        <f>N551*(Presion_cilindro!O543/Presion_cilindro!O544)^Presion_cilindro!$B$9+10*(Presion_cilindro!$B$9-1)*Presion_cilindro!$B$33*(IF(Presion_cilindro!N544&gt;(-N$4+Presion_cilindro!$B$34),1-EXP(-Presion_cilindro!$B$16*((Presion_cilindro!N544-(-N$4+Presion_cilindro!$B$34))/Presion_cilindro!$B$35)^(Presion_cilindro!$B$17+1)),0)-IF(Presion_cilindro!N543&gt;(-N$4+Presion_cilindro!$B$34),1-EXP(-Presion_cilindro!$B$16*((Presion_cilindro!N543-(-N$4+Presion_cilindro!$B$34))/Presion_cilindro!$B$35)^(Presion_cilindro!$B$17+1)),0))/((Presion_cilindro!O543+Presion_cilindro!O544)/2)</f>
        <v>4.7017668257874172</v>
      </c>
    </row>
    <row r="553" spans="1:14" x14ac:dyDescent="0.25">
      <c r="A553" s="21">
        <f>Presion_cilindro!N545</f>
        <v>90.5</v>
      </c>
      <c r="B553" s="27">
        <f>B552*(Presion_cilindro!O544/Presion_cilindro!O545)^Presion_cilindro!$B$9+10*(Presion_cilindro!$B$9-1)*Presion_cilindro!$B$33*(IF(Presion_cilindro!N545&gt;(-B$4+Presion_cilindro!$B$34),1-EXP(-Presion_cilindro!$B$16*((Presion_cilindro!N545-(-B$4+Presion_cilindro!$B$34))/Presion_cilindro!$B$35)^(Presion_cilindro!$B$17+1)),0)-IF(Presion_cilindro!N544&gt;(-B$4+Presion_cilindro!$B$34),1-EXP(-Presion_cilindro!$B$16*((Presion_cilindro!N544-(-B$4+Presion_cilindro!$B$34))/Presion_cilindro!$B$35)^(Presion_cilindro!$B$17+1)),0))/((Presion_cilindro!O544+Presion_cilindro!O545)/2)</f>
        <v>4.9028121500209725</v>
      </c>
      <c r="C553" s="27">
        <f>C552*(Presion_cilindro!O544/Presion_cilindro!O545)^Presion_cilindro!$B$9+10*(Presion_cilindro!$B$9-1)*Presion_cilindro!$B$33*(IF(Presion_cilindro!N545&gt;(-C$4+Presion_cilindro!$B$34),1-EXP(-Presion_cilindro!$B$16*((Presion_cilindro!N545-(-C$4+Presion_cilindro!$B$34))/Presion_cilindro!$B$35)^(Presion_cilindro!$B$17+1)),0)-IF(Presion_cilindro!N544&gt;(-C$4+Presion_cilindro!$B$34),1-EXP(-Presion_cilindro!$B$16*((Presion_cilindro!N544-(-C$4+Presion_cilindro!$B$34))/Presion_cilindro!$B$35)^(Presion_cilindro!$B$17+1)),0))/((Presion_cilindro!O544+Presion_cilindro!O545)/2)</f>
        <v>4.7520812616543502</v>
      </c>
      <c r="D553" s="27">
        <f>D552*(Presion_cilindro!O544/Presion_cilindro!O545)^Presion_cilindro!$B$9+10*(Presion_cilindro!$B$9-1)*Presion_cilindro!$B$33*(IF(Presion_cilindro!N545&gt;(-D$4+Presion_cilindro!$B$34),1-EXP(-Presion_cilindro!$B$16*((Presion_cilindro!N545-(-D$4+Presion_cilindro!$B$34))/Presion_cilindro!$B$35)^(Presion_cilindro!$B$17+1)),0)-IF(Presion_cilindro!N544&gt;(-D$4+Presion_cilindro!$B$34),1-EXP(-Presion_cilindro!$B$16*((Presion_cilindro!N544-(-D$4+Presion_cilindro!$B$34))/Presion_cilindro!$B$35)^(Presion_cilindro!$B$17+1)),0))/((Presion_cilindro!O544+Presion_cilindro!O545)/2)</f>
        <v>4.6116974657223384</v>
      </c>
      <c r="E553" s="27">
        <f>E552*(Presion_cilindro!O544/Presion_cilindro!O545)^Presion_cilindro!$B$9+10*(Presion_cilindro!$B$9-1)*Presion_cilindro!$B$33*(IF(Presion_cilindro!N545&gt;(-E$4+Presion_cilindro!$B$34),1-EXP(-Presion_cilindro!$B$16*((Presion_cilindro!N545-(-E$4+Presion_cilindro!$B$34))/Presion_cilindro!$B$35)^(Presion_cilindro!$B$17+1)),0)-IF(Presion_cilindro!N544&gt;(-E$4+Presion_cilindro!$B$34),1-EXP(-Presion_cilindro!$B$16*((Presion_cilindro!N544-(-E$4+Presion_cilindro!$B$34))/Presion_cilindro!$B$35)^(Presion_cilindro!$B$17+1)),0))/((Presion_cilindro!O544+Presion_cilindro!O545)/2)</f>
        <v>4.4868832155219902</v>
      </c>
      <c r="F553" s="27">
        <f>F552*(Presion_cilindro!O544/Presion_cilindro!O545)^Presion_cilindro!$B$9+10*(Presion_cilindro!$B$9-1)*Presion_cilindro!$B$33*(IF(Presion_cilindro!N545&gt;(-F$4+Presion_cilindro!$B$34),1-EXP(-Presion_cilindro!$B$16*((Presion_cilindro!N545-(-F$4+Presion_cilindro!$B$34))/Presion_cilindro!$B$35)^(Presion_cilindro!$B$17+1)),0)-IF(Presion_cilindro!N544&gt;(-F$4+Presion_cilindro!$B$34),1-EXP(-Presion_cilindro!$B$16*((Presion_cilindro!N544-(-F$4+Presion_cilindro!$B$34))/Presion_cilindro!$B$35)^(Presion_cilindro!$B$17+1)),0))/((Presion_cilindro!O544+Presion_cilindro!O545)/2)</f>
        <v>4.3833277620243694</v>
      </c>
      <c r="G553" s="27">
        <f>G552*(Presion_cilindro!O544/Presion_cilindro!O545)^Presion_cilindro!$B$9+10*(Presion_cilindro!$B$9-1)*Presion_cilindro!$B$33*(IF(Presion_cilindro!N545&gt;(-G$4+Presion_cilindro!$B$34),1-EXP(-Presion_cilindro!$B$16*((Presion_cilindro!N545-(-G$4+Presion_cilindro!$B$34))/Presion_cilindro!$B$35)^(Presion_cilindro!$B$17+1)),0)-IF(Presion_cilindro!N544&gt;(-G$4+Presion_cilindro!$B$34),1-EXP(-Presion_cilindro!$B$16*((Presion_cilindro!N544-(-G$4+Presion_cilindro!$B$34))/Presion_cilindro!$B$35)^(Presion_cilindro!$B$17+1)),0))/((Presion_cilindro!O544+Presion_cilindro!O545)/2)</f>
        <v>4.3065943866221152</v>
      </c>
      <c r="H553" s="27">
        <f>H552*(Presion_cilindro!O544/Presion_cilindro!O545)^Presion_cilindro!$B$9+10*(Presion_cilindro!$B$9-1)*Presion_cilindro!$B$33*(IF(Presion_cilindro!N545&gt;(-H$4+Presion_cilindro!$B$34),1-EXP(-Presion_cilindro!$B$16*((Presion_cilindro!N545-(-H$4+Presion_cilindro!$B$34))/Presion_cilindro!$B$35)^(Presion_cilindro!$B$17+1)),0)-IF(Presion_cilindro!N544&gt;(-H$4+Presion_cilindro!$B$34),1-EXP(-Presion_cilindro!$B$16*((Presion_cilindro!N544-(-H$4+Presion_cilindro!$B$34))/Presion_cilindro!$B$35)^(Presion_cilindro!$B$17+1)),0))/((Presion_cilindro!O544+Presion_cilindro!O545)/2)</f>
        <v>4.261330387009818</v>
      </c>
      <c r="I553" s="27">
        <f>I552*(Presion_cilindro!O544/Presion_cilindro!O545)^Presion_cilindro!$B$9+10*(Presion_cilindro!$B$9-1)*Presion_cilindro!$B$33*(IF(Presion_cilindro!N545&gt;(-I$4+Presion_cilindro!$B$34),1-EXP(-Presion_cilindro!$B$16*((Presion_cilindro!N545-(-I$4+Presion_cilindro!$B$34))/Presion_cilindro!$B$35)^(Presion_cilindro!$B$17+1)),0)-IF(Presion_cilindro!N544&gt;(-I$4+Presion_cilindro!$B$34),1-EXP(-Presion_cilindro!$B$16*((Presion_cilindro!N544-(-I$4+Presion_cilindro!$B$34))/Presion_cilindro!$B$35)^(Presion_cilindro!$B$17+1)),0))/((Presion_cilindro!O544+Presion_cilindro!O545)/2)</f>
        <v>4.2504728162779442</v>
      </c>
      <c r="J553" s="27">
        <f>J552*(Presion_cilindro!O544/Presion_cilindro!O545)^Presion_cilindro!$B$9+10*(Presion_cilindro!$B$9-1)*Presion_cilindro!$B$33*(IF(Presion_cilindro!N545&gt;(-J$4+Presion_cilindro!$B$34),1-EXP(-Presion_cilindro!$B$16*((Presion_cilindro!N545-(-J$4+Presion_cilindro!$B$34))/Presion_cilindro!$B$35)^(Presion_cilindro!$B$17+1)),0)-IF(Presion_cilindro!N544&gt;(-J$4+Presion_cilindro!$B$34),1-EXP(-Presion_cilindro!$B$16*((Presion_cilindro!N544-(-J$4+Presion_cilindro!$B$34))/Presion_cilindro!$B$35)^(Presion_cilindro!$B$17+1)),0))/((Presion_cilindro!O544+Presion_cilindro!O545)/2)</f>
        <v>4.2746979059823138</v>
      </c>
      <c r="K553" s="27">
        <f>K552*(Presion_cilindro!O544/Presion_cilindro!O545)^Presion_cilindro!$B$9+10*(Presion_cilindro!$B$9-1)*Presion_cilindro!$B$33*(IF(Presion_cilindro!N545&gt;(-K$4+Presion_cilindro!$B$34),1-EXP(-Presion_cilindro!$B$16*((Presion_cilindro!N545-(-K$4+Presion_cilindro!$B$34))/Presion_cilindro!$B$35)^(Presion_cilindro!$B$17+1)),0)-IF(Presion_cilindro!N544&gt;(-K$4+Presion_cilindro!$B$34),1-EXP(-Presion_cilindro!$B$16*((Presion_cilindro!N544-(-K$4+Presion_cilindro!$B$34))/Presion_cilindro!$B$35)^(Presion_cilindro!$B$17+1)),0))/((Presion_cilindro!O544+Presion_cilindro!O545)/2)</f>
        <v>4.3323037039367511</v>
      </c>
      <c r="L553" s="27">
        <f>L552*(Presion_cilindro!O544/Presion_cilindro!O545)^Presion_cilindro!$B$9+10*(Presion_cilindro!$B$9-1)*Presion_cilindro!$B$33*(IF(Presion_cilindro!N545&gt;(-L$4+Presion_cilindro!$B$34),1-EXP(-Presion_cilindro!$B$16*((Presion_cilindro!N545-(-L$4+Presion_cilindro!$B$34))/Presion_cilindro!$B$35)^(Presion_cilindro!$B$17+1)),0)-IF(Presion_cilindro!N544&gt;(-L$4+Presion_cilindro!$B$34),1-EXP(-Presion_cilindro!$B$16*((Presion_cilindro!N544-(-L$4+Presion_cilindro!$B$34))/Presion_cilindro!$B$35)^(Presion_cilindro!$B$17+1)),0))/((Presion_cilindro!O544+Presion_cilindro!O545)/2)</f>
        <v>4.4195619251501839</v>
      </c>
      <c r="M553" s="27">
        <f>M552*(Presion_cilindro!O544/Presion_cilindro!O545)^Presion_cilindro!$B$9+10*(Presion_cilindro!$B$9-1)*Presion_cilindro!$B$33*(IF(Presion_cilindro!N545&gt;(-M$4+Presion_cilindro!$B$34),1-EXP(-Presion_cilindro!$B$16*((Presion_cilindro!N545-(-M$4+Presion_cilindro!$B$34))/Presion_cilindro!$B$35)^(Presion_cilindro!$B$17+1)),0)-IF(Presion_cilindro!N544&gt;(-M$4+Presion_cilindro!$B$34),1-EXP(-Presion_cilindro!$B$16*((Presion_cilindro!N544-(-M$4+Presion_cilindro!$B$34))/Presion_cilindro!$B$35)^(Presion_cilindro!$B$17+1)),0))/((Presion_cilindro!O544+Presion_cilindro!O545)/2)</f>
        <v>4.5314059360741794</v>
      </c>
      <c r="N553" s="27">
        <f>N552*(Presion_cilindro!O544/Presion_cilindro!O545)^Presion_cilindro!$B$9+10*(Presion_cilindro!$B$9-1)*Presion_cilindro!$B$33*(IF(Presion_cilindro!N545&gt;(-N$4+Presion_cilindro!$B$34),1-EXP(-Presion_cilindro!$B$16*((Presion_cilindro!N545-(-N$4+Presion_cilindro!$B$34))/Presion_cilindro!$B$35)^(Presion_cilindro!$B$17+1)),0)-IF(Presion_cilindro!N544&gt;(-N$4+Presion_cilindro!$B$34),1-EXP(-Presion_cilindro!$B$16*((Presion_cilindro!N544-(-N$4+Presion_cilindro!$B$34))/Presion_cilindro!$B$35)^(Presion_cilindro!$B$17+1)),0))/((Presion_cilindro!O544+Presion_cilindro!O545)/2)</f>
        <v>4.6622253610961462</v>
      </c>
    </row>
    <row r="554" spans="1:14" x14ac:dyDescent="0.25">
      <c r="A554" s="21">
        <f>Presion_cilindro!N546</f>
        <v>91</v>
      </c>
      <c r="B554" s="27">
        <f>B553*(Presion_cilindro!O545/Presion_cilindro!O546)^Presion_cilindro!$B$9+10*(Presion_cilindro!$B$9-1)*Presion_cilindro!$B$33*(IF(Presion_cilindro!N546&gt;(-B$4+Presion_cilindro!$B$34),1-EXP(-Presion_cilindro!$B$16*((Presion_cilindro!N546-(-B$4+Presion_cilindro!$B$34))/Presion_cilindro!$B$35)^(Presion_cilindro!$B$17+1)),0)-IF(Presion_cilindro!N545&gt;(-B$4+Presion_cilindro!$B$34),1-EXP(-Presion_cilindro!$B$16*((Presion_cilindro!N545-(-B$4+Presion_cilindro!$B$34))/Presion_cilindro!$B$35)^(Presion_cilindro!$B$17+1)),0))/((Presion_cilindro!O545+Presion_cilindro!O546)/2)</f>
        <v>4.8619480388064522</v>
      </c>
      <c r="C554" s="27">
        <f>C553*(Presion_cilindro!O545/Presion_cilindro!O546)^Presion_cilindro!$B$9+10*(Presion_cilindro!$B$9-1)*Presion_cilindro!$B$33*(IF(Presion_cilindro!N546&gt;(-C$4+Presion_cilindro!$B$34),1-EXP(-Presion_cilindro!$B$16*((Presion_cilindro!N546-(-C$4+Presion_cilindro!$B$34))/Presion_cilindro!$B$35)^(Presion_cilindro!$B$17+1)),0)-IF(Presion_cilindro!N545&gt;(-C$4+Presion_cilindro!$B$34),1-EXP(-Presion_cilindro!$B$16*((Presion_cilindro!N545-(-C$4+Presion_cilindro!$B$34))/Presion_cilindro!$B$35)^(Presion_cilindro!$B$17+1)),0))/((Presion_cilindro!O545+Presion_cilindro!O546)/2)</f>
        <v>4.7124734668480226</v>
      </c>
      <c r="D554" s="27">
        <f>D553*(Presion_cilindro!O545/Presion_cilindro!O546)^Presion_cilindro!$B$9+10*(Presion_cilindro!$B$9-1)*Presion_cilindro!$B$33*(IF(Presion_cilindro!N546&gt;(-D$4+Presion_cilindro!$B$34),1-EXP(-Presion_cilindro!$B$16*((Presion_cilindro!N546-(-D$4+Presion_cilindro!$B$34))/Presion_cilindro!$B$35)^(Presion_cilindro!$B$17+1)),0)-IF(Presion_cilindro!N545&gt;(-D$4+Presion_cilindro!$B$34),1-EXP(-Presion_cilindro!$B$16*((Presion_cilindro!N545-(-D$4+Presion_cilindro!$B$34))/Presion_cilindro!$B$35)^(Presion_cilindro!$B$17+1)),0))/((Presion_cilindro!O545+Presion_cilindro!O546)/2)</f>
        <v>4.5732597461466753</v>
      </c>
      <c r="E554" s="27">
        <f>E553*(Presion_cilindro!O545/Presion_cilindro!O546)^Presion_cilindro!$B$9+10*(Presion_cilindro!$B$9-1)*Presion_cilindro!$B$33*(IF(Presion_cilindro!N546&gt;(-E$4+Presion_cilindro!$B$34),1-EXP(-Presion_cilindro!$B$16*((Presion_cilindro!N546-(-E$4+Presion_cilindro!$B$34))/Presion_cilindro!$B$35)^(Presion_cilindro!$B$17+1)),0)-IF(Presion_cilindro!N545&gt;(-E$4+Presion_cilindro!$B$34),1-EXP(-Presion_cilindro!$B$16*((Presion_cilindro!N545-(-E$4+Presion_cilindro!$B$34))/Presion_cilindro!$B$35)^(Presion_cilindro!$B$17+1)),0))/((Presion_cilindro!O545+Presion_cilindro!O546)/2)</f>
        <v>4.4494858016437142</v>
      </c>
      <c r="F554" s="27">
        <f>F553*(Presion_cilindro!O545/Presion_cilindro!O546)^Presion_cilindro!$B$9+10*(Presion_cilindro!$B$9-1)*Presion_cilindro!$B$33*(IF(Presion_cilindro!N546&gt;(-F$4+Presion_cilindro!$B$34),1-EXP(-Presion_cilindro!$B$16*((Presion_cilindro!N546-(-F$4+Presion_cilindro!$B$34))/Presion_cilindro!$B$35)^(Presion_cilindro!$B$17+1)),0)-IF(Presion_cilindro!N545&gt;(-F$4+Presion_cilindro!$B$34),1-EXP(-Presion_cilindro!$B$16*((Presion_cilindro!N545-(-F$4+Presion_cilindro!$B$34))/Presion_cilindro!$B$35)^(Presion_cilindro!$B$17+1)),0))/((Presion_cilindro!O545+Presion_cilindro!O546)/2)</f>
        <v>4.3467934653630529</v>
      </c>
      <c r="G554" s="27">
        <f>G553*(Presion_cilindro!O545/Presion_cilindro!O546)^Presion_cilindro!$B$9+10*(Presion_cilindro!$B$9-1)*Presion_cilindro!$B$33*(IF(Presion_cilindro!N546&gt;(-G$4+Presion_cilindro!$B$34),1-EXP(-Presion_cilindro!$B$16*((Presion_cilindro!N546-(-G$4+Presion_cilindro!$B$34))/Presion_cilindro!$B$35)^(Presion_cilindro!$B$17+1)),0)-IF(Presion_cilindro!N545&gt;(-G$4+Presion_cilindro!$B$34),1-EXP(-Presion_cilindro!$B$16*((Presion_cilindro!N545-(-G$4+Presion_cilindro!$B$34))/Presion_cilindro!$B$35)^(Presion_cilindro!$B$17+1)),0))/((Presion_cilindro!O545+Presion_cilindro!O546)/2)</f>
        <v>4.2706996496864162</v>
      </c>
      <c r="H554" s="27">
        <f>H553*(Presion_cilindro!O545/Presion_cilindro!O546)^Presion_cilindro!$B$9+10*(Presion_cilindro!$B$9-1)*Presion_cilindro!$B$33*(IF(Presion_cilindro!N546&gt;(-H$4+Presion_cilindro!$B$34),1-EXP(-Presion_cilindro!$B$16*((Presion_cilindro!N546-(-H$4+Presion_cilindro!$B$34))/Presion_cilindro!$B$35)^(Presion_cilindro!$B$17+1)),0)-IF(Presion_cilindro!N545&gt;(-H$4+Presion_cilindro!$B$34),1-EXP(-Presion_cilindro!$B$16*((Presion_cilindro!N545-(-H$4+Presion_cilindro!$B$34))/Presion_cilindro!$B$35)^(Presion_cilindro!$B$17+1)),0))/((Presion_cilindro!O545+Presion_cilindro!O546)/2)</f>
        <v>4.2258129178669224</v>
      </c>
      <c r="I554" s="27">
        <f>I553*(Presion_cilindro!O545/Presion_cilindro!O546)^Presion_cilindro!$B$9+10*(Presion_cilindro!$B$9-1)*Presion_cilindro!$B$33*(IF(Presion_cilindro!N546&gt;(-I$4+Presion_cilindro!$B$34),1-EXP(-Presion_cilindro!$B$16*((Presion_cilindro!N546-(-I$4+Presion_cilindro!$B$34))/Presion_cilindro!$B$35)^(Presion_cilindro!$B$17+1)),0)-IF(Presion_cilindro!N545&gt;(-I$4+Presion_cilindro!$B$34),1-EXP(-Presion_cilindro!$B$16*((Presion_cilindro!N545-(-I$4+Presion_cilindro!$B$34))/Presion_cilindro!$B$35)^(Presion_cilindro!$B$17+1)),0))/((Presion_cilindro!O545+Presion_cilindro!O546)/2)</f>
        <v>4.2150458431535247</v>
      </c>
      <c r="J554" s="27">
        <f>J553*(Presion_cilindro!O545/Presion_cilindro!O546)^Presion_cilindro!$B$9+10*(Presion_cilindro!$B$9-1)*Presion_cilindro!$B$33*(IF(Presion_cilindro!N546&gt;(-J$4+Presion_cilindro!$B$34),1-EXP(-Presion_cilindro!$B$16*((Presion_cilindro!N546-(-J$4+Presion_cilindro!$B$34))/Presion_cilindro!$B$35)^(Presion_cilindro!$B$17+1)),0)-IF(Presion_cilindro!N545&gt;(-J$4+Presion_cilindro!$B$34),1-EXP(-Presion_cilindro!$B$16*((Presion_cilindro!N545-(-J$4+Presion_cilindro!$B$34))/Presion_cilindro!$B$35)^(Presion_cilindro!$B$17+1)),0))/((Presion_cilindro!O545+Presion_cilindro!O546)/2)</f>
        <v>4.2390690208262241</v>
      </c>
      <c r="K554" s="27">
        <f>K553*(Presion_cilindro!O545/Presion_cilindro!O546)^Presion_cilindro!$B$9+10*(Presion_cilindro!$B$9-1)*Presion_cilindro!$B$33*(IF(Presion_cilindro!N546&gt;(-K$4+Presion_cilindro!$B$34),1-EXP(-Presion_cilindro!$B$16*((Presion_cilindro!N546-(-K$4+Presion_cilindro!$B$34))/Presion_cilindro!$B$35)^(Presion_cilindro!$B$17+1)),0)-IF(Presion_cilindro!N545&gt;(-K$4+Presion_cilindro!$B$34),1-EXP(-Presion_cilindro!$B$16*((Presion_cilindro!N545-(-K$4+Presion_cilindro!$B$34))/Presion_cilindro!$B$35)^(Presion_cilindro!$B$17+1)),0))/((Presion_cilindro!O545+Presion_cilindro!O546)/2)</f>
        <v>4.2961946841828995</v>
      </c>
      <c r="L554" s="27">
        <f>L553*(Presion_cilindro!O545/Presion_cilindro!O546)^Presion_cilindro!$B$9+10*(Presion_cilindro!$B$9-1)*Presion_cilindro!$B$33*(IF(Presion_cilindro!N546&gt;(-L$4+Presion_cilindro!$B$34),1-EXP(-Presion_cilindro!$B$16*((Presion_cilindro!N546-(-L$4+Presion_cilindro!$B$34))/Presion_cilindro!$B$35)^(Presion_cilindro!$B$17+1)),0)-IF(Presion_cilindro!N545&gt;(-L$4+Presion_cilindro!$B$34),1-EXP(-Presion_cilindro!$B$16*((Presion_cilindro!N545-(-L$4+Presion_cilindro!$B$34))/Presion_cilindro!$B$35)^(Presion_cilindro!$B$17+1)),0))/((Presion_cilindro!O545+Presion_cilindro!O546)/2)</f>
        <v>4.3827256228582634</v>
      </c>
      <c r="M554" s="27">
        <f>M553*(Presion_cilindro!O545/Presion_cilindro!O546)^Presion_cilindro!$B$9+10*(Presion_cilindro!$B$9-1)*Presion_cilindro!$B$33*(IF(Presion_cilindro!N546&gt;(-M$4+Presion_cilindro!$B$34),1-EXP(-Presion_cilindro!$B$16*((Presion_cilindro!N546-(-M$4+Presion_cilindro!$B$34))/Presion_cilindro!$B$35)^(Presion_cilindro!$B$17+1)),0)-IF(Presion_cilindro!N545&gt;(-M$4+Presion_cilindro!$B$34),1-EXP(-Presion_cilindro!$B$16*((Presion_cilindro!N545-(-M$4+Presion_cilindro!$B$34))/Presion_cilindro!$B$35)^(Presion_cilindro!$B$17+1)),0))/((Presion_cilindro!O545+Presion_cilindro!O546)/2)</f>
        <v>4.4936374328388826</v>
      </c>
      <c r="N554" s="27">
        <f>N553*(Presion_cilindro!O545/Presion_cilindro!O546)^Presion_cilindro!$B$9+10*(Presion_cilindro!$B$9-1)*Presion_cilindro!$B$33*(IF(Presion_cilindro!N546&gt;(-N$4+Presion_cilindro!$B$34),1-EXP(-Presion_cilindro!$B$16*((Presion_cilindro!N546-(-N$4+Presion_cilindro!$B$34))/Presion_cilindro!$B$35)^(Presion_cilindro!$B$17+1)),0)-IF(Presion_cilindro!N545&gt;(-N$4+Presion_cilindro!$B$34),1-EXP(-Presion_cilindro!$B$16*((Presion_cilindro!N545-(-N$4+Presion_cilindro!$B$34))/Presion_cilindro!$B$35)^(Presion_cilindro!$B$17+1)),0))/((Presion_cilindro!O545+Presion_cilindro!O546)/2)</f>
        <v>4.6233665000454414</v>
      </c>
    </row>
    <row r="555" spans="1:14" x14ac:dyDescent="0.25">
      <c r="A555" s="21">
        <f>Presion_cilindro!N547</f>
        <v>91.5</v>
      </c>
      <c r="B555" s="27">
        <f>B554*(Presion_cilindro!O546/Presion_cilindro!O547)^Presion_cilindro!$B$9+10*(Presion_cilindro!$B$9-1)*Presion_cilindro!$B$33*(IF(Presion_cilindro!N547&gt;(-B$4+Presion_cilindro!$B$34),1-EXP(-Presion_cilindro!$B$16*((Presion_cilindro!N547-(-B$4+Presion_cilindro!$B$34))/Presion_cilindro!$B$35)^(Presion_cilindro!$B$17+1)),0)-IF(Presion_cilindro!N546&gt;(-B$4+Presion_cilindro!$B$34),1-EXP(-Presion_cilindro!$B$16*((Presion_cilindro!N546-(-B$4+Presion_cilindro!$B$34))/Presion_cilindro!$B$35)^(Presion_cilindro!$B$17+1)),0))/((Presion_cilindro!O546+Presion_cilindro!O547)/2)</f>
        <v>4.8217873707822507</v>
      </c>
      <c r="C555" s="27">
        <f>C554*(Presion_cilindro!O546/Presion_cilindro!O547)^Presion_cilindro!$B$9+10*(Presion_cilindro!$B$9-1)*Presion_cilindro!$B$33*(IF(Presion_cilindro!N547&gt;(-C$4+Presion_cilindro!$B$34),1-EXP(-Presion_cilindro!$B$16*((Presion_cilindro!N547-(-C$4+Presion_cilindro!$B$34))/Presion_cilindro!$B$35)^(Presion_cilindro!$B$17+1)),0)-IF(Presion_cilindro!N546&gt;(-C$4+Presion_cilindro!$B$34),1-EXP(-Presion_cilindro!$B$16*((Presion_cilindro!N546-(-C$4+Presion_cilindro!$B$34))/Presion_cilindro!$B$35)^(Presion_cilindro!$B$17+1)),0))/((Presion_cilindro!O546+Presion_cilindro!O547)/2)</f>
        <v>4.6735474887736892</v>
      </c>
      <c r="D555" s="27">
        <f>D554*(Presion_cilindro!O546/Presion_cilindro!O547)^Presion_cilindro!$B$9+10*(Presion_cilindro!$B$9-1)*Presion_cilindro!$B$33*(IF(Presion_cilindro!N547&gt;(-D$4+Presion_cilindro!$B$34),1-EXP(-Presion_cilindro!$B$16*((Presion_cilindro!N547-(-D$4+Presion_cilindro!$B$34))/Presion_cilindro!$B$35)^(Presion_cilindro!$B$17+1)),0)-IF(Presion_cilindro!N546&gt;(-D$4+Presion_cilindro!$B$34),1-EXP(-Presion_cilindro!$B$16*((Presion_cilindro!N546-(-D$4+Presion_cilindro!$B$34))/Presion_cilindro!$B$35)^(Presion_cilindro!$B$17+1)),0))/((Presion_cilindro!O546+Presion_cilindro!O547)/2)</f>
        <v>4.5354837013875517</v>
      </c>
      <c r="E555" s="27">
        <f>E554*(Presion_cilindro!O546/Presion_cilindro!O547)^Presion_cilindro!$B$9+10*(Presion_cilindro!$B$9-1)*Presion_cilindro!$B$33*(IF(Presion_cilindro!N547&gt;(-E$4+Presion_cilindro!$B$34),1-EXP(-Presion_cilindro!$B$16*((Presion_cilindro!N547-(-E$4+Presion_cilindro!$B$34))/Presion_cilindro!$B$35)^(Presion_cilindro!$B$17+1)),0)-IF(Presion_cilindro!N546&gt;(-E$4+Presion_cilindro!$B$34),1-EXP(-Presion_cilindro!$B$16*((Presion_cilindro!N546-(-E$4+Presion_cilindro!$B$34))/Presion_cilindro!$B$35)^(Presion_cilindro!$B$17+1)),0))/((Presion_cilindro!O546+Presion_cilindro!O547)/2)</f>
        <v>4.4127321545455755</v>
      </c>
      <c r="F555" s="27">
        <f>F554*(Presion_cilindro!O546/Presion_cilindro!O547)^Presion_cilindro!$B$9+10*(Presion_cilindro!$B$9-1)*Presion_cilindro!$B$33*(IF(Presion_cilindro!N547&gt;(-F$4+Presion_cilindro!$B$34),1-EXP(-Presion_cilindro!$B$16*((Presion_cilindro!N547-(-F$4+Presion_cilindro!$B$34))/Presion_cilindro!$B$35)^(Presion_cilindro!$B$17+1)),0)-IF(Presion_cilindro!N546&gt;(-F$4+Presion_cilindro!$B$34),1-EXP(-Presion_cilindro!$B$16*((Presion_cilindro!N546-(-F$4+Presion_cilindro!$B$34))/Presion_cilindro!$B$35)^(Presion_cilindro!$B$17+1)),0))/((Presion_cilindro!O546+Presion_cilindro!O547)/2)</f>
        <v>4.3108880776044423</v>
      </c>
      <c r="G555" s="27">
        <f>G554*(Presion_cilindro!O546/Presion_cilindro!O547)^Presion_cilindro!$B$9+10*(Presion_cilindro!$B$9-1)*Presion_cilindro!$B$33*(IF(Presion_cilindro!N547&gt;(-G$4+Presion_cilindro!$B$34),1-EXP(-Presion_cilindro!$B$16*((Presion_cilindro!N547-(-G$4+Presion_cilindro!$B$34))/Presion_cilindro!$B$35)^(Presion_cilindro!$B$17+1)),0)-IF(Presion_cilindro!N546&gt;(-G$4+Presion_cilindro!$B$34),1-EXP(-Presion_cilindro!$B$16*((Presion_cilindro!N546-(-G$4+Presion_cilindro!$B$34))/Presion_cilindro!$B$35)^(Presion_cilindro!$B$17+1)),0))/((Presion_cilindro!O546+Presion_cilindro!O547)/2)</f>
        <v>4.2354228121406639</v>
      </c>
      <c r="H555" s="27">
        <f>H554*(Presion_cilindro!O546/Presion_cilindro!O547)^Presion_cilindro!$B$9+10*(Presion_cilindro!$B$9-1)*Presion_cilindro!$B$33*(IF(Presion_cilindro!N547&gt;(-H$4+Presion_cilindro!$B$34),1-EXP(-Presion_cilindro!$B$16*((Presion_cilindro!N547-(-H$4+Presion_cilindro!$B$34))/Presion_cilindro!$B$35)^(Presion_cilindro!$B$17+1)),0)-IF(Presion_cilindro!N546&gt;(-H$4+Presion_cilindro!$B$34),1-EXP(-Presion_cilindro!$B$16*((Presion_cilindro!N546-(-H$4+Presion_cilindro!$B$34))/Presion_cilindro!$B$35)^(Presion_cilindro!$B$17+1)),0))/((Presion_cilindro!O546+Presion_cilindro!O547)/2)</f>
        <v>4.1909068537485332</v>
      </c>
      <c r="I555" s="27">
        <f>I554*(Presion_cilindro!O546/Presion_cilindro!O547)^Presion_cilindro!$B$9+10*(Presion_cilindro!$B$9-1)*Presion_cilindro!$B$33*(IF(Presion_cilindro!N547&gt;(-I$4+Presion_cilindro!$B$34),1-EXP(-Presion_cilindro!$B$16*((Presion_cilindro!N547-(-I$4+Presion_cilindro!$B$34))/Presion_cilindro!$B$35)^(Presion_cilindro!$B$17+1)),0)-IF(Presion_cilindro!N546&gt;(-I$4+Presion_cilindro!$B$34),1-EXP(-Presion_cilindro!$B$16*((Presion_cilindro!N546-(-I$4+Presion_cilindro!$B$34))/Presion_cilindro!$B$35)^(Presion_cilindro!$B$17+1)),0))/((Presion_cilindro!O546+Presion_cilindro!O547)/2)</f>
        <v>4.1802287172365231</v>
      </c>
      <c r="J555" s="27">
        <f>J554*(Presion_cilindro!O546/Presion_cilindro!O547)^Presion_cilindro!$B$9+10*(Presion_cilindro!$B$9-1)*Presion_cilindro!$B$33*(IF(Presion_cilindro!N547&gt;(-J$4+Presion_cilindro!$B$34),1-EXP(-Presion_cilindro!$B$16*((Presion_cilindro!N547-(-J$4+Presion_cilindro!$B$34))/Presion_cilindro!$B$35)^(Presion_cilindro!$B$17+1)),0)-IF(Presion_cilindro!N546&gt;(-J$4+Presion_cilindro!$B$34),1-EXP(-Presion_cilindro!$B$16*((Presion_cilindro!N546-(-J$4+Presion_cilindro!$B$34))/Presion_cilindro!$B$35)^(Presion_cilindro!$B$17+1)),0))/((Presion_cilindro!O546+Presion_cilindro!O547)/2)</f>
        <v>4.204053458632826</v>
      </c>
      <c r="K555" s="27">
        <f>K554*(Presion_cilindro!O546/Presion_cilindro!O547)^Presion_cilindro!$B$9+10*(Presion_cilindro!$B$9-1)*Presion_cilindro!$B$33*(IF(Presion_cilindro!N547&gt;(-K$4+Presion_cilindro!$B$34),1-EXP(-Presion_cilindro!$B$16*((Presion_cilindro!N547-(-K$4+Presion_cilindro!$B$34))/Presion_cilindro!$B$35)^(Presion_cilindro!$B$17+1)),0)-IF(Presion_cilindro!N546&gt;(-K$4+Presion_cilindro!$B$34),1-EXP(-Presion_cilindro!$B$16*((Presion_cilindro!N546-(-K$4+Presion_cilindro!$B$34))/Presion_cilindro!$B$35)^(Presion_cilindro!$B$17+1)),0))/((Presion_cilindro!O546+Presion_cilindro!O547)/2)</f>
        <v>4.2607072525275322</v>
      </c>
      <c r="L555" s="27">
        <f>L554*(Presion_cilindro!O546/Presion_cilindro!O547)^Presion_cilindro!$B$9+10*(Presion_cilindro!$B$9-1)*Presion_cilindro!$B$33*(IF(Presion_cilindro!N547&gt;(-L$4+Presion_cilindro!$B$34),1-EXP(-Presion_cilindro!$B$16*((Presion_cilindro!N547-(-L$4+Presion_cilindro!$B$34))/Presion_cilindro!$B$35)^(Presion_cilindro!$B$17+1)),0)-IF(Presion_cilindro!N546&gt;(-L$4+Presion_cilindro!$B$34),1-EXP(-Presion_cilindro!$B$16*((Presion_cilindro!N546-(-L$4+Presion_cilindro!$B$34))/Presion_cilindro!$B$35)^(Presion_cilindro!$B$17+1)),0))/((Presion_cilindro!O546+Presion_cilindro!O547)/2)</f>
        <v>4.3465234282561376</v>
      </c>
      <c r="M555" s="27">
        <f>M554*(Presion_cilindro!O546/Presion_cilindro!O547)^Presion_cilindro!$B$9+10*(Presion_cilindro!$B$9-1)*Presion_cilindro!$B$33*(IF(Presion_cilindro!N547&gt;(-M$4+Presion_cilindro!$B$34),1-EXP(-Presion_cilindro!$B$16*((Presion_cilindro!N547-(-M$4+Presion_cilindro!$B$34))/Presion_cilindro!$B$35)^(Presion_cilindro!$B$17+1)),0)-IF(Presion_cilindro!N546&gt;(-M$4+Presion_cilindro!$B$34),1-EXP(-Presion_cilindro!$B$16*((Presion_cilindro!N546-(-M$4+Presion_cilindro!$B$34))/Presion_cilindro!$B$35)^(Presion_cilindro!$B$17+1)),0))/((Presion_cilindro!O546+Presion_cilindro!O547)/2)</f>
        <v>4.4565190843922977</v>
      </c>
      <c r="N555" s="27">
        <f>N554*(Presion_cilindro!O546/Presion_cilindro!O547)^Presion_cilindro!$B$9+10*(Presion_cilindro!$B$9-1)*Presion_cilindro!$B$33*(IF(Presion_cilindro!N547&gt;(-N$4+Presion_cilindro!$B$34),1-EXP(-Presion_cilindro!$B$16*((Presion_cilindro!N547-(-N$4+Presion_cilindro!$B$34))/Presion_cilindro!$B$35)^(Presion_cilindro!$B$17+1)),0)-IF(Presion_cilindro!N546&gt;(-N$4+Presion_cilindro!$B$34),1-EXP(-Presion_cilindro!$B$16*((Presion_cilindro!N546-(-N$4+Presion_cilindro!$B$34))/Presion_cilindro!$B$35)^(Presion_cilindro!$B$17+1)),0))/((Presion_cilindro!O546+Presion_cilindro!O547)/2)</f>
        <v>4.5851765634273152</v>
      </c>
    </row>
    <row r="556" spans="1:14" x14ac:dyDescent="0.25">
      <c r="A556" s="21">
        <f>Presion_cilindro!N548</f>
        <v>92</v>
      </c>
      <c r="B556" s="27">
        <f>B555*(Presion_cilindro!O547/Presion_cilindro!O548)^Presion_cilindro!$B$9+10*(Presion_cilindro!$B$9-1)*Presion_cilindro!$B$33*(IF(Presion_cilindro!N548&gt;(-B$4+Presion_cilindro!$B$34),1-EXP(-Presion_cilindro!$B$16*((Presion_cilindro!N548-(-B$4+Presion_cilindro!$B$34))/Presion_cilindro!$B$35)^(Presion_cilindro!$B$17+1)),0)-IF(Presion_cilindro!N547&gt;(-B$4+Presion_cilindro!$B$34),1-EXP(-Presion_cilindro!$B$16*((Presion_cilindro!N547-(-B$4+Presion_cilindro!$B$34))/Presion_cilindro!$B$35)^(Presion_cilindro!$B$17+1)),0))/((Presion_cilindro!O547+Presion_cilindro!O548)/2)</f>
        <v>4.7823161019931941</v>
      </c>
      <c r="C556" s="27">
        <f>C555*(Presion_cilindro!O547/Presion_cilindro!O548)^Presion_cilindro!$B$9+10*(Presion_cilindro!$B$9-1)*Presion_cilindro!$B$33*(IF(Presion_cilindro!N548&gt;(-C$4+Presion_cilindro!$B$34),1-EXP(-Presion_cilindro!$B$16*((Presion_cilindro!N548-(-C$4+Presion_cilindro!$B$34))/Presion_cilindro!$B$35)^(Presion_cilindro!$B$17+1)),0)-IF(Presion_cilindro!N547&gt;(-C$4+Presion_cilindro!$B$34),1-EXP(-Presion_cilindro!$B$16*((Presion_cilindro!N547-(-C$4+Presion_cilindro!$B$34))/Presion_cilindro!$B$35)^(Presion_cilindro!$B$17+1)),0))/((Presion_cilindro!O547+Presion_cilindro!O548)/2)</f>
        <v>4.6352897152294625</v>
      </c>
      <c r="D556" s="27">
        <f>D555*(Presion_cilindro!O547/Presion_cilindro!O548)^Presion_cilindro!$B$9+10*(Presion_cilindro!$B$9-1)*Presion_cilindro!$B$33*(IF(Presion_cilindro!N548&gt;(-D$4+Presion_cilindro!$B$34),1-EXP(-Presion_cilindro!$B$16*((Presion_cilindro!N548-(-D$4+Presion_cilindro!$B$34))/Presion_cilindro!$B$35)^(Presion_cilindro!$B$17+1)),0)-IF(Presion_cilindro!N547&gt;(-D$4+Presion_cilindro!$B$34),1-EXP(-Presion_cilindro!$B$16*((Presion_cilindro!N547-(-D$4+Presion_cilindro!$B$34))/Presion_cilindro!$B$35)^(Presion_cilindro!$B$17+1)),0))/((Presion_cilindro!O547+Presion_cilindro!O548)/2)</f>
        <v>4.4983561213683245</v>
      </c>
      <c r="E556" s="27">
        <f>E555*(Presion_cilindro!O547/Presion_cilindro!O548)^Presion_cilindro!$B$9+10*(Presion_cilindro!$B$9-1)*Presion_cilindro!$B$33*(IF(Presion_cilindro!N548&gt;(-E$4+Presion_cilindro!$B$34),1-EXP(-Presion_cilindro!$B$16*((Presion_cilindro!N548-(-E$4+Presion_cilindro!$B$34))/Presion_cilindro!$B$35)^(Presion_cilindro!$B$17+1)),0)-IF(Presion_cilindro!N547&gt;(-E$4+Presion_cilindro!$B$34),1-EXP(-Presion_cilindro!$B$16*((Presion_cilindro!N547-(-E$4+Presion_cilindro!$B$34))/Presion_cilindro!$B$35)^(Presion_cilindro!$B$17+1)),0))/((Presion_cilindro!O547+Presion_cilindro!O548)/2)</f>
        <v>4.376609421677812</v>
      </c>
      <c r="F556" s="27">
        <f>F555*(Presion_cilindro!O547/Presion_cilindro!O548)^Presion_cilindro!$B$9+10*(Presion_cilindro!$B$9-1)*Presion_cilindro!$B$33*(IF(Presion_cilindro!N548&gt;(-F$4+Presion_cilindro!$B$34),1-EXP(-Presion_cilindro!$B$16*((Presion_cilindro!N548-(-F$4+Presion_cilindro!$B$34))/Presion_cilindro!$B$35)^(Presion_cilindro!$B$17+1)),0)-IF(Presion_cilindro!N547&gt;(-F$4+Presion_cilindro!$B$34),1-EXP(-Presion_cilindro!$B$16*((Presion_cilindro!N547-(-F$4+Presion_cilindro!$B$34))/Presion_cilindro!$B$35)^(Presion_cilindro!$B$17+1)),0))/((Presion_cilindro!O547+Presion_cilindro!O548)/2)</f>
        <v>4.2755990428304367</v>
      </c>
      <c r="G556" s="27">
        <f>G555*(Presion_cilindro!O547/Presion_cilindro!O548)^Presion_cilindro!$B$9+10*(Presion_cilindro!$B$9-1)*Presion_cilindro!$B$33*(IF(Presion_cilindro!N548&gt;(-G$4+Presion_cilindro!$B$34),1-EXP(-Presion_cilindro!$B$16*((Presion_cilindro!N548-(-G$4+Presion_cilindro!$B$34))/Presion_cilindro!$B$35)^(Presion_cilindro!$B$17+1)),0)-IF(Presion_cilindro!N547&gt;(-G$4+Presion_cilindro!$B$34),1-EXP(-Presion_cilindro!$B$16*((Presion_cilindro!N547-(-G$4+Presion_cilindro!$B$34))/Presion_cilindro!$B$35)^(Presion_cilindro!$B$17+1)),0))/((Presion_cilindro!O547+Presion_cilindro!O548)/2)</f>
        <v>4.2007515378673341</v>
      </c>
      <c r="H556" s="27">
        <f>H555*(Presion_cilindro!O547/Presion_cilindro!O548)^Presion_cilindro!$B$9+10*(Presion_cilindro!$B$9-1)*Presion_cilindro!$B$33*(IF(Presion_cilindro!N548&gt;(-H$4+Presion_cilindro!$B$34),1-EXP(-Presion_cilindro!$B$16*((Presion_cilindro!N548-(-H$4+Presion_cilindro!$B$34))/Presion_cilindro!$B$35)^(Presion_cilindro!$B$17+1)),0)-IF(Presion_cilindro!N547&gt;(-H$4+Presion_cilindro!$B$34),1-EXP(-Presion_cilindro!$B$16*((Presion_cilindro!N547-(-H$4+Presion_cilindro!$B$34))/Presion_cilindro!$B$35)^(Presion_cilindro!$B$17+1)),0))/((Presion_cilindro!O547+Presion_cilindro!O548)/2)</f>
        <v>4.1565999881945714</v>
      </c>
      <c r="I556" s="27">
        <f>I555*(Presion_cilindro!O547/Presion_cilindro!O548)^Presion_cilindro!$B$9+10*(Presion_cilindro!$B$9-1)*Presion_cilindro!$B$33*(IF(Presion_cilindro!N548&gt;(-I$4+Presion_cilindro!$B$34),1-EXP(-Presion_cilindro!$B$16*((Presion_cilindro!N548-(-I$4+Presion_cilindro!$B$34))/Presion_cilindro!$B$35)^(Presion_cilindro!$B$17+1)),0)-IF(Presion_cilindro!N547&gt;(-I$4+Presion_cilindro!$B$34),1-EXP(-Presion_cilindro!$B$16*((Presion_cilindro!N547-(-I$4+Presion_cilindro!$B$34))/Presion_cilindro!$B$35)^(Presion_cilindro!$B$17+1)),0))/((Presion_cilindro!O547+Presion_cilindro!O548)/2)</f>
        <v>4.1460092631680627</v>
      </c>
      <c r="J556" s="27">
        <f>J555*(Presion_cilindro!O547/Presion_cilindro!O548)^Presion_cilindro!$B$9+10*(Presion_cilindro!$B$9-1)*Presion_cilindro!$B$33*(IF(Presion_cilindro!N548&gt;(-J$4+Presion_cilindro!$B$34),1-EXP(-Presion_cilindro!$B$16*((Presion_cilindro!N548-(-J$4+Presion_cilindro!$B$34))/Presion_cilindro!$B$35)^(Presion_cilindro!$B$17+1)),0)-IF(Presion_cilindro!N547&gt;(-J$4+Presion_cilindro!$B$34),1-EXP(-Presion_cilindro!$B$16*((Presion_cilindro!N547-(-J$4+Presion_cilindro!$B$34))/Presion_cilindro!$B$35)^(Presion_cilindro!$B$17+1)),0))/((Presion_cilindro!O547+Presion_cilindro!O548)/2)</f>
        <v>4.1696389746511597</v>
      </c>
      <c r="K556" s="27">
        <f>K555*(Presion_cilindro!O547/Presion_cilindro!O548)^Presion_cilindro!$B$9+10*(Presion_cilindro!$B$9-1)*Presion_cilindro!$B$33*(IF(Presion_cilindro!N548&gt;(-K$4+Presion_cilindro!$B$34),1-EXP(-Presion_cilindro!$B$16*((Presion_cilindro!N548-(-K$4+Presion_cilindro!$B$34))/Presion_cilindro!$B$35)^(Presion_cilindro!$B$17+1)),0)-IF(Presion_cilindro!N547&gt;(-K$4+Presion_cilindro!$B$34),1-EXP(-Presion_cilindro!$B$16*((Presion_cilindro!N547-(-K$4+Presion_cilindro!$B$34))/Presion_cilindro!$B$35)^(Presion_cilindro!$B$17+1)),0))/((Presion_cilindro!O547+Presion_cilindro!O548)/2)</f>
        <v>4.2258289992095159</v>
      </c>
      <c r="L556" s="27">
        <f>L555*(Presion_cilindro!O547/Presion_cilindro!O548)^Presion_cilindro!$B$9+10*(Presion_cilindro!$B$9-1)*Presion_cilindro!$B$33*(IF(Presion_cilindro!N548&gt;(-L$4+Presion_cilindro!$B$34),1-EXP(-Presion_cilindro!$B$16*((Presion_cilindro!N548-(-L$4+Presion_cilindro!$B$34))/Presion_cilindro!$B$35)^(Presion_cilindro!$B$17+1)),0)-IF(Presion_cilindro!N547&gt;(-L$4+Presion_cilindro!$B$34),1-EXP(-Presion_cilindro!$B$16*((Presion_cilindro!N547-(-L$4+Presion_cilindro!$B$34))/Presion_cilindro!$B$35)^(Presion_cilindro!$B$17+1)),0))/((Presion_cilindro!O547+Presion_cilindro!O548)/2)</f>
        <v>4.3109426816339713</v>
      </c>
      <c r="M556" s="27">
        <f>M555*(Presion_cilindro!O547/Presion_cilindro!O548)^Presion_cilindro!$B$9+10*(Presion_cilindro!$B$9-1)*Presion_cilindro!$B$33*(IF(Presion_cilindro!N548&gt;(-M$4+Presion_cilindro!$B$34),1-EXP(-Presion_cilindro!$B$16*((Presion_cilindro!N548-(-M$4+Presion_cilindro!$B$34))/Presion_cilindro!$B$35)^(Presion_cilindro!$B$17+1)),0)-IF(Presion_cilindro!N547&gt;(-M$4+Presion_cilindro!$B$34),1-EXP(-Presion_cilindro!$B$16*((Presion_cilindro!N547-(-M$4+Presion_cilindro!$B$34))/Presion_cilindro!$B$35)^(Presion_cilindro!$B$17+1)),0))/((Presion_cilindro!O547+Presion_cilindro!O548)/2)</f>
        <v>4.4200379106505903</v>
      </c>
      <c r="N556" s="27">
        <f>N555*(Presion_cilindro!O547/Presion_cilindro!O548)^Presion_cilindro!$B$9+10*(Presion_cilindro!$B$9-1)*Presion_cilindro!$B$33*(IF(Presion_cilindro!N548&gt;(-N$4+Presion_cilindro!$B$34),1-EXP(-Presion_cilindro!$B$16*((Presion_cilindro!N548-(-N$4+Presion_cilindro!$B$34))/Presion_cilindro!$B$35)^(Presion_cilindro!$B$17+1)),0)-IF(Presion_cilindro!N547&gt;(-N$4+Presion_cilindro!$B$34),1-EXP(-Presion_cilindro!$B$16*((Presion_cilindro!N547-(-N$4+Presion_cilindro!$B$34))/Presion_cilindro!$B$35)^(Presion_cilindro!$B$17+1)),0))/((Presion_cilindro!O547+Presion_cilindro!O548)/2)</f>
        <v>4.5476421964293996</v>
      </c>
    </row>
    <row r="557" spans="1:14" x14ac:dyDescent="0.25">
      <c r="A557" s="21">
        <f>Presion_cilindro!N549</f>
        <v>92.5</v>
      </c>
      <c r="B557" s="27">
        <f>B556*(Presion_cilindro!O548/Presion_cilindro!O549)^Presion_cilindro!$B$9+10*(Presion_cilindro!$B$9-1)*Presion_cilindro!$B$33*(IF(Presion_cilindro!N549&gt;(-B$4+Presion_cilindro!$B$34),1-EXP(-Presion_cilindro!$B$16*((Presion_cilindro!N549-(-B$4+Presion_cilindro!$B$34))/Presion_cilindro!$B$35)^(Presion_cilindro!$B$17+1)),0)-IF(Presion_cilindro!N548&gt;(-B$4+Presion_cilindro!$B$34),1-EXP(-Presion_cilindro!$B$16*((Presion_cilindro!N548-(-B$4+Presion_cilindro!$B$34))/Presion_cilindro!$B$35)^(Presion_cilindro!$B$17+1)),0))/((Presion_cilindro!O548+Presion_cilindro!O549)/2)</f>
        <v>4.7435205206862854</v>
      </c>
      <c r="C557" s="27">
        <f>C556*(Presion_cilindro!O548/Presion_cilindro!O549)^Presion_cilindro!$B$9+10*(Presion_cilindro!$B$9-1)*Presion_cilindro!$B$33*(IF(Presion_cilindro!N549&gt;(-C$4+Presion_cilindro!$B$34),1-EXP(-Presion_cilindro!$B$16*((Presion_cilindro!N549-(-C$4+Presion_cilindro!$B$34))/Presion_cilindro!$B$35)^(Presion_cilindro!$B$17+1)),0)-IF(Presion_cilindro!N548&gt;(-C$4+Presion_cilindro!$B$34),1-EXP(-Presion_cilindro!$B$16*((Presion_cilindro!N548-(-C$4+Presion_cilindro!$B$34))/Presion_cilindro!$B$35)^(Presion_cilindro!$B$17+1)),0))/((Presion_cilindro!O548+Presion_cilindro!O549)/2)</f>
        <v>4.5976868560060673</v>
      </c>
      <c r="D557" s="27">
        <f>D556*(Presion_cilindro!O548/Presion_cilindro!O549)^Presion_cilindro!$B$9+10*(Presion_cilindro!$B$9-1)*Presion_cilindro!$B$33*(IF(Presion_cilindro!N549&gt;(-D$4+Presion_cilindro!$B$34),1-EXP(-Presion_cilindro!$B$16*((Presion_cilindro!N549-(-D$4+Presion_cilindro!$B$34))/Presion_cilindro!$B$35)^(Presion_cilindro!$B$17+1)),0)-IF(Presion_cilindro!N548&gt;(-D$4+Presion_cilindro!$B$34),1-EXP(-Presion_cilindro!$B$16*((Presion_cilindro!N548-(-D$4+Presion_cilindro!$B$34))/Presion_cilindro!$B$35)^(Presion_cilindro!$B$17+1)),0))/((Presion_cilindro!O548+Presion_cilindro!O549)/2)</f>
        <v>4.4618641084928603</v>
      </c>
      <c r="E557" s="27">
        <f>E556*(Presion_cilindro!O548/Presion_cilindro!O549)^Presion_cilindro!$B$9+10*(Presion_cilindro!$B$9-1)*Presion_cilindro!$B$33*(IF(Presion_cilindro!N549&gt;(-E$4+Presion_cilindro!$B$34),1-EXP(-Presion_cilindro!$B$16*((Presion_cilindro!N549-(-E$4+Presion_cilindro!$B$34))/Presion_cilindro!$B$35)^(Presion_cilindro!$B$17+1)),0)-IF(Presion_cilindro!N548&gt;(-E$4+Presion_cilindro!$B$34),1-EXP(-Presion_cilindro!$B$16*((Presion_cilindro!N548-(-E$4+Presion_cilindro!$B$34))/Presion_cilindro!$B$35)^(Presion_cilindro!$B$17+1)),0))/((Presion_cilindro!O548+Presion_cilindro!O549)/2)</f>
        <v>4.3411050545139762</v>
      </c>
      <c r="F557" s="27">
        <f>F556*(Presion_cilindro!O548/Presion_cilindro!O549)^Presion_cilindro!$B$9+10*(Presion_cilindro!$B$9-1)*Presion_cilindro!$B$33*(IF(Presion_cilindro!N549&gt;(-F$4+Presion_cilindro!$B$34),1-EXP(-Presion_cilindro!$B$16*((Presion_cilindro!N549-(-F$4+Presion_cilindro!$B$34))/Presion_cilindro!$B$35)^(Presion_cilindro!$B$17+1)),0)-IF(Presion_cilindro!N548&gt;(-F$4+Presion_cilindro!$B$34),1-EXP(-Presion_cilindro!$B$16*((Presion_cilindro!N548-(-F$4+Presion_cilindro!$B$34))/Presion_cilindro!$B$35)^(Presion_cilindro!$B$17+1)),0))/((Presion_cilindro!O548+Presion_cilindro!O549)/2)</f>
        <v>4.2409141021295129</v>
      </c>
      <c r="G557" s="27">
        <f>G556*(Presion_cilindro!O548/Presion_cilindro!O549)^Presion_cilindro!$B$9+10*(Presion_cilindro!$B$9-1)*Presion_cilindro!$B$33*(IF(Presion_cilindro!N549&gt;(-G$4+Presion_cilindro!$B$34),1-EXP(-Presion_cilindro!$B$16*((Presion_cilindro!N549-(-G$4+Presion_cilindro!$B$34))/Presion_cilindro!$B$35)^(Presion_cilindro!$B$17+1)),0)-IF(Presion_cilindro!N548&gt;(-G$4+Presion_cilindro!$B$34),1-EXP(-Presion_cilindro!$B$16*((Presion_cilindro!N548-(-G$4+Presion_cilindro!$B$34))/Presion_cilindro!$B$35)^(Presion_cilindro!$B$17+1)),0))/((Presion_cilindro!O548+Presion_cilindro!O549)/2)</f>
        <v>4.1666737825561659</v>
      </c>
      <c r="H557" s="27">
        <f>H556*(Presion_cilindro!O548/Presion_cilindro!O549)^Presion_cilindro!$B$9+10*(Presion_cilindro!$B$9-1)*Presion_cilindro!$B$33*(IF(Presion_cilindro!N549&gt;(-H$4+Presion_cilindro!$B$34),1-EXP(-Presion_cilindro!$B$16*((Presion_cilindro!N549-(-H$4+Presion_cilindro!$B$34))/Presion_cilindro!$B$35)^(Presion_cilindro!$B$17+1)),0)-IF(Presion_cilindro!N548&gt;(-H$4+Presion_cilindro!$B$34),1-EXP(-Presion_cilindro!$B$16*((Presion_cilindro!N548-(-H$4+Presion_cilindro!$B$34))/Presion_cilindro!$B$35)^(Presion_cilindro!$B$17+1)),0))/((Presion_cilindro!O548+Presion_cilindro!O549)/2)</f>
        <v>4.1228804034852091</v>
      </c>
      <c r="I557" s="27">
        <f>I556*(Presion_cilindro!O548/Presion_cilindro!O549)^Presion_cilindro!$B$9+10*(Presion_cilindro!$B$9-1)*Presion_cilindro!$B$33*(IF(Presion_cilindro!N549&gt;(-I$4+Presion_cilindro!$B$34),1-EXP(-Presion_cilindro!$B$16*((Presion_cilindro!N549-(-I$4+Presion_cilindro!$B$34))/Presion_cilindro!$B$35)^(Presion_cilindro!$B$17+1)),0)-IF(Presion_cilindro!N548&gt;(-I$4+Presion_cilindro!$B$34),1-EXP(-Presion_cilindro!$B$16*((Presion_cilindro!N548-(-I$4+Presion_cilindro!$B$34))/Presion_cilindro!$B$35)^(Presion_cilindro!$B$17+1)),0))/((Presion_cilindro!O548+Presion_cilindro!O549)/2)</f>
        <v>4.1123755935938302</v>
      </c>
      <c r="J557" s="27">
        <f>J556*(Presion_cilindro!O548/Presion_cilindro!O549)^Presion_cilindro!$B$9+10*(Presion_cilindro!$B$9-1)*Presion_cilindro!$B$33*(IF(Presion_cilindro!N549&gt;(-J$4+Presion_cilindro!$B$34),1-EXP(-Presion_cilindro!$B$16*((Presion_cilindro!N549-(-J$4+Presion_cilindro!$B$34))/Presion_cilindro!$B$35)^(Presion_cilindro!$B$17+1)),0)-IF(Presion_cilindro!N548&gt;(-J$4+Presion_cilindro!$B$34),1-EXP(-Presion_cilindro!$B$16*((Presion_cilindro!N548-(-J$4+Presion_cilindro!$B$34))/Presion_cilindro!$B$35)^(Presion_cilindro!$B$17+1)),0))/((Presion_cilindro!O548+Presion_cilindro!O549)/2)</f>
        <v>4.1358136137762793</v>
      </c>
      <c r="K557" s="27">
        <f>K556*(Presion_cilindro!O548/Presion_cilindro!O549)^Presion_cilindro!$B$9+10*(Presion_cilindro!$B$9-1)*Presion_cilindro!$B$33*(IF(Presion_cilindro!N549&gt;(-K$4+Presion_cilindro!$B$34),1-EXP(-Presion_cilindro!$B$16*((Presion_cilindro!N549-(-K$4+Presion_cilindro!$B$34))/Presion_cilindro!$B$35)^(Presion_cilindro!$B$17+1)),0)-IF(Presion_cilindro!N548&gt;(-K$4+Presion_cilindro!$B$34),1-EXP(-Presion_cilindro!$B$16*((Presion_cilindro!N548-(-K$4+Presion_cilindro!$B$34))/Presion_cilindro!$B$35)^(Presion_cilindro!$B$17+1)),0))/((Presion_cilindro!O548+Presion_cilindro!O549)/2)</f>
        <v>4.1915478080169963</v>
      </c>
      <c r="L557" s="27">
        <f>L556*(Presion_cilindro!O548/Presion_cilindro!O549)^Presion_cilindro!$B$9+10*(Presion_cilindro!$B$9-1)*Presion_cilindro!$B$33*(IF(Presion_cilindro!N549&gt;(-L$4+Presion_cilindro!$B$34),1-EXP(-Presion_cilindro!$B$16*((Presion_cilindro!N549-(-L$4+Presion_cilindro!$B$34))/Presion_cilindro!$B$35)^(Presion_cilindro!$B$17+1)),0)-IF(Presion_cilindro!N548&gt;(-L$4+Presion_cilindro!$B$34),1-EXP(-Presion_cilindro!$B$16*((Presion_cilindro!N548-(-L$4+Presion_cilindro!$B$34))/Presion_cilindro!$B$35)^(Presion_cilindro!$B$17+1)),0))/((Presion_cilindro!O548+Presion_cilindro!O549)/2)</f>
        <v>4.2759710227436729</v>
      </c>
      <c r="M557" s="27">
        <f>M556*(Presion_cilindro!O548/Presion_cilindro!O549)^Presion_cilindro!$B$9+10*(Presion_cilindro!$B$9-1)*Presion_cilindro!$B$33*(IF(Presion_cilindro!N549&gt;(-M$4+Presion_cilindro!$B$34),1-EXP(-Presion_cilindro!$B$16*((Presion_cilindro!N549-(-M$4+Presion_cilindro!$B$34))/Presion_cilindro!$B$35)^(Presion_cilindro!$B$17+1)),0)-IF(Presion_cilindro!N548&gt;(-M$4+Presion_cilindro!$B$34),1-EXP(-Presion_cilindro!$B$16*((Presion_cilindro!N548-(-M$4+Presion_cilindro!$B$34))/Presion_cilindro!$B$35)^(Presion_cilindro!$B$17+1)),0))/((Presion_cilindro!O548+Presion_cilindro!O549)/2)</f>
        <v>4.384181238570025</v>
      </c>
      <c r="N557" s="27">
        <f>N556*(Presion_cilindro!O548/Presion_cilindro!O549)^Presion_cilindro!$B$9+10*(Presion_cilindro!$B$9-1)*Presion_cilindro!$B$33*(IF(Presion_cilindro!N549&gt;(-N$4+Presion_cilindro!$B$34),1-EXP(-Presion_cilindro!$B$16*((Presion_cilindro!N549-(-N$4+Presion_cilindro!$B$34))/Presion_cilindro!$B$35)^(Presion_cilindro!$B$17+1)),0)-IF(Presion_cilindro!N548&gt;(-N$4+Presion_cilindro!$B$34),1-EXP(-Presion_cilindro!$B$16*((Presion_cilindro!N548-(-N$4+Presion_cilindro!$B$34))/Presion_cilindro!$B$35)^(Presion_cilindro!$B$17+1)),0))/((Presion_cilindro!O548+Presion_cilindro!O549)/2)</f>
        <v>4.5107503601435184</v>
      </c>
    </row>
    <row r="558" spans="1:14" x14ac:dyDescent="0.25">
      <c r="A558" s="21">
        <f>Presion_cilindro!N550</f>
        <v>93</v>
      </c>
      <c r="B558" s="27">
        <f>B557*(Presion_cilindro!O549/Presion_cilindro!O550)^Presion_cilindro!$B$9+10*(Presion_cilindro!$B$9-1)*Presion_cilindro!$B$33*(IF(Presion_cilindro!N550&gt;(-B$4+Presion_cilindro!$B$34),1-EXP(-Presion_cilindro!$B$16*((Presion_cilindro!N550-(-B$4+Presion_cilindro!$B$34))/Presion_cilindro!$B$35)^(Presion_cilindro!$B$17+1)),0)-IF(Presion_cilindro!N549&gt;(-B$4+Presion_cilindro!$B$34),1-EXP(-Presion_cilindro!$B$16*((Presion_cilindro!N549-(-B$4+Presion_cilindro!$B$34))/Presion_cilindro!$B$35)^(Presion_cilindro!$B$17+1)),0))/((Presion_cilindro!O549+Presion_cilindro!O550)/2)</f>
        <v>4.705387238631471</v>
      </c>
      <c r="C558" s="27">
        <f>C557*(Presion_cilindro!O549/Presion_cilindro!O550)^Presion_cilindro!$B$9+10*(Presion_cilindro!$B$9-1)*Presion_cilindro!$B$33*(IF(Presion_cilindro!N550&gt;(-C$4+Presion_cilindro!$B$34),1-EXP(-Presion_cilindro!$B$16*((Presion_cilindro!N550-(-C$4+Presion_cilindro!$B$34))/Presion_cilindro!$B$35)^(Presion_cilindro!$B$17+1)),0)-IF(Presion_cilindro!N549&gt;(-C$4+Presion_cilindro!$B$34),1-EXP(-Presion_cilindro!$B$16*((Presion_cilindro!N549-(-C$4+Presion_cilindro!$B$34))/Presion_cilindro!$B$35)^(Presion_cilindro!$B$17+1)),0))/((Presion_cilindro!O549+Presion_cilindro!O550)/2)</f>
        <v>4.5607259344732647</v>
      </c>
      <c r="D558" s="27">
        <f>D557*(Presion_cilindro!O549/Presion_cilindro!O550)^Presion_cilindro!$B$9+10*(Presion_cilindro!$B$9-1)*Presion_cilindro!$B$33*(IF(Presion_cilindro!N550&gt;(-D$4+Presion_cilindro!$B$34),1-EXP(-Presion_cilindro!$B$16*((Presion_cilindro!N550-(-D$4+Presion_cilindro!$B$34))/Presion_cilindro!$B$35)^(Presion_cilindro!$B$17+1)),0)-IF(Presion_cilindro!N549&gt;(-D$4+Presion_cilindro!$B$34),1-EXP(-Presion_cilindro!$B$16*((Presion_cilindro!N549-(-D$4+Presion_cilindro!$B$34))/Presion_cilindro!$B$35)^(Presion_cilindro!$B$17+1)),0))/((Presion_cilindro!O549+Presion_cilindro!O550)/2)</f>
        <v>4.4259950694804946</v>
      </c>
      <c r="E558" s="27">
        <f>E557*(Presion_cilindro!O549/Presion_cilindro!O550)^Presion_cilindro!$B$9+10*(Presion_cilindro!$B$9-1)*Presion_cilindro!$B$33*(IF(Presion_cilindro!N550&gt;(-E$4+Presion_cilindro!$B$34),1-EXP(-Presion_cilindro!$B$16*((Presion_cilindro!N550-(-E$4+Presion_cilindro!$B$34))/Presion_cilindro!$B$35)^(Presion_cilindro!$B$17+1)),0)-IF(Presion_cilindro!N549&gt;(-E$4+Presion_cilindro!$B$34),1-EXP(-Presion_cilindro!$B$16*((Presion_cilindro!N549-(-E$4+Presion_cilindro!$B$34))/Presion_cilindro!$B$35)^(Presion_cilindro!$B$17+1)),0))/((Presion_cilindro!O549+Presion_cilindro!O550)/2)</f>
        <v>4.3062068006068799</v>
      </c>
      <c r="F558" s="27">
        <f>F557*(Presion_cilindro!O549/Presion_cilindro!O550)^Presion_cilindro!$B$9+10*(Presion_cilindro!$B$9-1)*Presion_cilindro!$B$33*(IF(Presion_cilindro!N550&gt;(-F$4+Presion_cilindro!$B$34),1-EXP(-Presion_cilindro!$B$16*((Presion_cilindro!N550-(-F$4+Presion_cilindro!$B$34))/Presion_cilindro!$B$35)^(Presion_cilindro!$B$17+1)),0)-IF(Presion_cilindro!N549&gt;(-F$4+Presion_cilindro!$B$34),1-EXP(-Presion_cilindro!$B$16*((Presion_cilindro!N549-(-F$4+Presion_cilindro!$B$34))/Presion_cilindro!$B$35)^(Presion_cilindro!$B$17+1)),0))/((Presion_cilindro!O549+Presion_cilindro!O550)/2)</f>
        <v>4.2068212858360194</v>
      </c>
      <c r="G558" s="27">
        <f>G557*(Presion_cilindro!O549/Presion_cilindro!O550)^Presion_cilindro!$B$9+10*(Presion_cilindro!$B$9-1)*Presion_cilindro!$B$33*(IF(Presion_cilindro!N550&gt;(-G$4+Presion_cilindro!$B$34),1-EXP(-Presion_cilindro!$B$16*((Presion_cilindro!N550-(-G$4+Presion_cilindro!$B$34))/Presion_cilindro!$B$35)^(Presion_cilindro!$B$17+1)),0)-IF(Presion_cilindro!N549&gt;(-G$4+Presion_cilindro!$B$34),1-EXP(-Presion_cilindro!$B$16*((Presion_cilindro!N549-(-G$4+Presion_cilindro!$B$34))/Presion_cilindro!$B$35)^(Presion_cilindro!$B$17+1)),0))/((Presion_cilindro!O549+Presion_cilindro!O550)/2)</f>
        <v>4.1331777860793038</v>
      </c>
      <c r="H558" s="27">
        <f>H557*(Presion_cilindro!O549/Presion_cilindro!O550)^Presion_cilindro!$B$9+10*(Presion_cilindro!$B$9-1)*Presion_cilindro!$B$33*(IF(Presion_cilindro!N550&gt;(-H$4+Presion_cilindro!$B$34),1-EXP(-Presion_cilindro!$B$16*((Presion_cilindro!N550-(-H$4+Presion_cilindro!$B$34))/Presion_cilindro!$B$35)^(Presion_cilindro!$B$17+1)),0)-IF(Presion_cilindro!N549&gt;(-H$4+Presion_cilindro!$B$34),1-EXP(-Presion_cilindro!$B$16*((Presion_cilindro!N549-(-H$4+Presion_cilindro!$B$34))/Presion_cilindro!$B$35)^(Presion_cilindro!$B$17+1)),0))/((Presion_cilindro!O549+Presion_cilindro!O550)/2)</f>
        <v>4.0897364630961581</v>
      </c>
      <c r="I558" s="27">
        <f>I557*(Presion_cilindro!O549/Presion_cilindro!O550)^Presion_cilindro!$B$9+10*(Presion_cilindro!$B$9-1)*Presion_cilindro!$B$33*(IF(Presion_cilindro!N550&gt;(-I$4+Presion_cilindro!$B$34),1-EXP(-Presion_cilindro!$B$16*((Presion_cilindro!N550-(-I$4+Presion_cilindro!$B$34))/Presion_cilindro!$B$35)^(Presion_cilindro!$B$17+1)),0)-IF(Presion_cilindro!N549&gt;(-I$4+Presion_cilindro!$B$34),1-EXP(-Presion_cilindro!$B$16*((Presion_cilindro!N549-(-I$4+Presion_cilindro!$B$34))/Presion_cilindro!$B$35)^(Presion_cilindro!$B$17+1)),0))/((Presion_cilindro!O549+Presion_cilindro!O550)/2)</f>
        <v>4.0793161016385833</v>
      </c>
      <c r="J558" s="27">
        <f>J557*(Presion_cilindro!O549/Presion_cilindro!O550)^Presion_cilindro!$B$9+10*(Presion_cilindro!$B$9-1)*Presion_cilindro!$B$33*(IF(Presion_cilindro!N550&gt;(-J$4+Presion_cilindro!$B$34),1-EXP(-Presion_cilindro!$B$16*((Presion_cilindro!N550-(-J$4+Presion_cilindro!$B$34))/Presion_cilindro!$B$35)^(Presion_cilindro!$B$17+1)),0)-IF(Presion_cilindro!N549&gt;(-J$4+Presion_cilindro!$B$34),1-EXP(-Presion_cilindro!$B$16*((Presion_cilindro!N549-(-J$4+Presion_cilindro!$B$34))/Presion_cilindro!$B$35)^(Presion_cilindro!$B$17+1)),0))/((Presion_cilindro!O549+Presion_cilindro!O550)/2)</f>
        <v>4.1025657029808675</v>
      </c>
      <c r="K558" s="27">
        <f>K557*(Presion_cilindro!O549/Presion_cilindro!O550)^Presion_cilindro!$B$9+10*(Presion_cilindro!$B$9-1)*Presion_cilindro!$B$33*(IF(Presion_cilindro!N550&gt;(-K$4+Presion_cilindro!$B$34),1-EXP(-Presion_cilindro!$B$16*((Presion_cilindro!N550-(-K$4+Presion_cilindro!$B$34))/Presion_cilindro!$B$35)^(Presion_cilindro!$B$17+1)),0)-IF(Presion_cilindro!N549&gt;(-K$4+Presion_cilindro!$B$34),1-EXP(-Presion_cilindro!$B$16*((Presion_cilindro!N549-(-K$4+Presion_cilindro!$B$34))/Presion_cilindro!$B$35)^(Presion_cilindro!$B$17+1)),0))/((Presion_cilindro!O549+Presion_cilindro!O550)/2)</f>
        <v>4.1578518486170255</v>
      </c>
      <c r="L558" s="27">
        <f>L557*(Presion_cilindro!O549/Presion_cilindro!O550)^Presion_cilindro!$B$9+10*(Presion_cilindro!$B$9-1)*Presion_cilindro!$B$33*(IF(Presion_cilindro!N550&gt;(-L$4+Presion_cilindro!$B$34),1-EXP(-Presion_cilindro!$B$16*((Presion_cilindro!N550-(-L$4+Presion_cilindro!$B$34))/Presion_cilindro!$B$35)^(Presion_cilindro!$B$17+1)),0)-IF(Presion_cilindro!N549&gt;(-L$4+Presion_cilindro!$B$34),1-EXP(-Presion_cilindro!$B$16*((Presion_cilindro!N549-(-L$4+Presion_cilindro!$B$34))/Presion_cilindro!$B$35)^(Presion_cilindro!$B$17+1)),0))/((Presion_cilindro!O549+Presion_cilindro!O550)/2)</f>
        <v>4.2415963829740297</v>
      </c>
      <c r="M558" s="27">
        <f>M557*(Presion_cilindro!O549/Presion_cilindro!O550)^Presion_cilindro!$B$9+10*(Presion_cilindro!$B$9-1)*Presion_cilindro!$B$33*(IF(Presion_cilindro!N550&gt;(-M$4+Presion_cilindro!$B$34),1-EXP(-Presion_cilindro!$B$16*((Presion_cilindro!N550-(-M$4+Presion_cilindro!$B$34))/Presion_cilindro!$B$35)^(Presion_cilindro!$B$17+1)),0)-IF(Presion_cilindro!N549&gt;(-M$4+Presion_cilindro!$B$34),1-EXP(-Presion_cilindro!$B$16*((Presion_cilindro!N549-(-M$4+Presion_cilindro!$B$34))/Presion_cilindro!$B$35)^(Presion_cilindro!$B$17+1)),0))/((Presion_cilindro!O549+Presion_cilindro!O550)/2)</f>
        <v>4.3489366941240775</v>
      </c>
      <c r="N558" s="27">
        <f>N557*(Presion_cilindro!O549/Presion_cilindro!O550)^Presion_cilindro!$B$9+10*(Presion_cilindro!$B$9-1)*Presion_cilindro!$B$33*(IF(Presion_cilindro!N550&gt;(-N$4+Presion_cilindro!$B$34),1-EXP(-Presion_cilindro!$B$16*((Presion_cilindro!N550-(-N$4+Presion_cilindro!$B$34))/Presion_cilindro!$B$35)^(Presion_cilindro!$B$17+1)),0)-IF(Presion_cilindro!N549&gt;(-N$4+Presion_cilindro!$B$34),1-EXP(-Presion_cilindro!$B$16*((Presion_cilindro!N549-(-N$4+Presion_cilindro!$B$34))/Presion_cilindro!$B$35)^(Presion_cilindro!$B$17+1)),0))/((Presion_cilindro!O549+Presion_cilindro!O550)/2)</f>
        <v>4.474488323311185</v>
      </c>
    </row>
    <row r="559" spans="1:14" x14ac:dyDescent="0.25">
      <c r="A559" s="21">
        <f>Presion_cilindro!N551</f>
        <v>93.5</v>
      </c>
      <c r="B559" s="27">
        <f>B558*(Presion_cilindro!O550/Presion_cilindro!O551)^Presion_cilindro!$B$9+10*(Presion_cilindro!$B$9-1)*Presion_cilindro!$B$33*(IF(Presion_cilindro!N551&gt;(-B$4+Presion_cilindro!$B$34),1-EXP(-Presion_cilindro!$B$16*((Presion_cilindro!N551-(-B$4+Presion_cilindro!$B$34))/Presion_cilindro!$B$35)^(Presion_cilindro!$B$17+1)),0)-IF(Presion_cilindro!N550&gt;(-B$4+Presion_cilindro!$B$34),1-EXP(-Presion_cilindro!$B$16*((Presion_cilindro!N550-(-B$4+Presion_cilindro!$B$34))/Presion_cilindro!$B$35)^(Presion_cilindro!$B$17+1)),0))/((Presion_cilindro!O550+Presion_cilindro!O551)/2)</f>
        <v>4.6679031826843644</v>
      </c>
      <c r="C559" s="27">
        <f>C558*(Presion_cilindro!O550/Presion_cilindro!O551)^Presion_cilindro!$B$9+10*(Presion_cilindro!$B$9-1)*Presion_cilindro!$B$33*(IF(Presion_cilindro!N551&gt;(-C$4+Presion_cilindro!$B$34),1-EXP(-Presion_cilindro!$B$16*((Presion_cilindro!N551-(-C$4+Presion_cilindro!$B$34))/Presion_cilindro!$B$35)^(Presion_cilindro!$B$17+1)),0)-IF(Presion_cilindro!N550&gt;(-C$4+Presion_cilindro!$B$34),1-EXP(-Presion_cilindro!$B$16*((Presion_cilindro!N550-(-C$4+Presion_cilindro!$B$34))/Presion_cilindro!$B$35)^(Presion_cilindro!$B$17+1)),0))/((Presion_cilindro!O550+Presion_cilindro!O551)/2)</f>
        <v>4.5243942794011813</v>
      </c>
      <c r="D559" s="27">
        <f>D558*(Presion_cilindro!O550/Presion_cilindro!O551)^Presion_cilindro!$B$9+10*(Presion_cilindro!$B$9-1)*Presion_cilindro!$B$33*(IF(Presion_cilindro!N551&gt;(-D$4+Presion_cilindro!$B$34),1-EXP(-Presion_cilindro!$B$16*((Presion_cilindro!N551-(-D$4+Presion_cilindro!$B$34))/Presion_cilindro!$B$35)^(Presion_cilindro!$B$17+1)),0)-IF(Presion_cilindro!N550&gt;(-D$4+Presion_cilindro!$B$34),1-EXP(-Presion_cilindro!$B$16*((Presion_cilindro!N550-(-D$4+Presion_cilindro!$B$34))/Presion_cilindro!$B$35)^(Presion_cilindro!$B$17+1)),0))/((Presion_cilindro!O550+Presion_cilindro!O551)/2)</f>
        <v>4.3907367074289523</v>
      </c>
      <c r="E559" s="27">
        <f>E558*(Presion_cilindro!O550/Presion_cilindro!O551)^Presion_cilindro!$B$9+10*(Presion_cilindro!$B$9-1)*Presion_cilindro!$B$33*(IF(Presion_cilindro!N551&gt;(-E$4+Presion_cilindro!$B$34),1-EXP(-Presion_cilindro!$B$16*((Presion_cilindro!N551-(-E$4+Presion_cilindro!$B$34))/Presion_cilindro!$B$35)^(Presion_cilindro!$B$17+1)),0)-IF(Presion_cilindro!N550&gt;(-E$4+Presion_cilindro!$B$34),1-EXP(-Presion_cilindro!$B$16*((Presion_cilindro!N550-(-E$4+Presion_cilindro!$B$34))/Presion_cilindro!$B$35)^(Presion_cilindro!$B$17+1)),0))/((Presion_cilindro!O550+Presion_cilindro!O551)/2)</f>
        <v>4.2719026958663298</v>
      </c>
      <c r="F559" s="27">
        <f>F558*(Presion_cilindro!O550/Presion_cilindro!O551)^Presion_cilindro!$B$9+10*(Presion_cilindro!$B$9-1)*Presion_cilindro!$B$33*(IF(Presion_cilindro!N551&gt;(-F$4+Presion_cilindro!$B$34),1-EXP(-Presion_cilindro!$B$16*((Presion_cilindro!N551-(-F$4+Presion_cilindro!$B$34))/Presion_cilindro!$B$35)^(Presion_cilindro!$B$17+1)),0)-IF(Presion_cilindro!N550&gt;(-F$4+Presion_cilindro!$B$34),1-EXP(-Presion_cilindro!$B$16*((Presion_cilindro!N550-(-F$4+Presion_cilindro!$B$34))/Presion_cilindro!$B$35)^(Presion_cilindro!$B$17+1)),0))/((Presion_cilindro!O550+Presion_cilindro!O551)/2)</f>
        <v>4.1733089059861346</v>
      </c>
      <c r="G559" s="27">
        <f>G558*(Presion_cilindro!O550/Presion_cilindro!O551)^Presion_cilindro!$B$9+10*(Presion_cilindro!$B$9-1)*Presion_cilindro!$B$33*(IF(Presion_cilindro!N551&gt;(-G$4+Presion_cilindro!$B$34),1-EXP(-Presion_cilindro!$B$16*((Presion_cilindro!N551-(-G$4+Presion_cilindro!$B$34))/Presion_cilindro!$B$35)^(Presion_cilindro!$B$17+1)),0)-IF(Presion_cilindro!N550&gt;(-G$4+Presion_cilindro!$B$34),1-EXP(-Presion_cilindro!$B$16*((Presion_cilindro!N550-(-G$4+Presion_cilindro!$B$34))/Presion_cilindro!$B$35)^(Presion_cilindro!$B$17+1)),0))/((Presion_cilindro!O550+Presion_cilindro!O551)/2)</f>
        <v>4.1002520650793288</v>
      </c>
      <c r="H559" s="27">
        <f>H558*(Presion_cilindro!O550/Presion_cilindro!O551)^Presion_cilindro!$B$9+10*(Presion_cilindro!$B$9-1)*Presion_cilindro!$B$33*(IF(Presion_cilindro!N551&gt;(-H$4+Presion_cilindro!$B$34),1-EXP(-Presion_cilindro!$B$16*((Presion_cilindro!N551-(-H$4+Presion_cilindro!$B$34))/Presion_cilindro!$B$35)^(Presion_cilindro!$B$17+1)),0)-IF(Presion_cilindro!N550&gt;(-H$4+Presion_cilindro!$B$34),1-EXP(-Presion_cilindro!$B$16*((Presion_cilindro!N550-(-H$4+Presion_cilindro!$B$34))/Presion_cilindro!$B$35)^(Presion_cilindro!$B$17+1)),0))/((Presion_cilindro!O550+Presion_cilindro!O551)/2)</f>
        <v>4.057156804364598</v>
      </c>
      <c r="I559" s="27">
        <f>I558*(Presion_cilindro!O550/Presion_cilindro!O551)^Presion_cilindro!$B$9+10*(Presion_cilindro!$B$9-1)*Presion_cilindro!$B$33*(IF(Presion_cilindro!N551&gt;(-I$4+Presion_cilindro!$B$34),1-EXP(-Presion_cilindro!$B$16*((Presion_cilindro!N551-(-I$4+Presion_cilindro!$B$34))/Presion_cilindro!$B$35)^(Presion_cilindro!$B$17+1)),0)-IF(Presion_cilindro!N550&gt;(-I$4+Presion_cilindro!$B$34),1-EXP(-Presion_cilindro!$B$16*((Presion_cilindro!N550-(-I$4+Presion_cilindro!$B$34))/Presion_cilindro!$B$35)^(Presion_cilindro!$B$17+1)),0))/((Presion_cilindro!O550+Presion_cilindro!O551)/2)</f>
        <v>4.0468194535907704</v>
      </c>
      <c r="J559" s="27">
        <f>J558*(Presion_cilindro!O550/Presion_cilindro!O551)^Presion_cilindro!$B$9+10*(Presion_cilindro!$B$9-1)*Presion_cilindro!$B$33*(IF(Presion_cilindro!N551&gt;(-J$4+Presion_cilindro!$B$34),1-EXP(-Presion_cilindro!$B$16*((Presion_cilindro!N551-(-J$4+Presion_cilindro!$B$34))/Presion_cilindro!$B$35)^(Presion_cilindro!$B$17+1)),0)-IF(Presion_cilindro!N550&gt;(-J$4+Presion_cilindro!$B$34),1-EXP(-Presion_cilindro!$B$16*((Presion_cilindro!N550-(-J$4+Presion_cilindro!$B$34))/Presion_cilindro!$B$35)^(Presion_cilindro!$B$17+1)),0))/((Presion_cilindro!O550+Presion_cilindro!O551)/2)</f>
        <v>4.0698838439581637</v>
      </c>
      <c r="K559" s="27">
        <f>K558*(Presion_cilindro!O550/Presion_cilindro!O551)^Presion_cilindro!$B$9+10*(Presion_cilindro!$B$9-1)*Presion_cilindro!$B$33*(IF(Presion_cilindro!N551&gt;(-K$4+Presion_cilindro!$B$34),1-EXP(-Presion_cilindro!$B$16*((Presion_cilindro!N551-(-K$4+Presion_cilindro!$B$34))/Presion_cilindro!$B$35)^(Presion_cilindro!$B$17+1)),0)-IF(Presion_cilindro!N550&gt;(-K$4+Presion_cilindro!$B$34),1-EXP(-Presion_cilindro!$B$16*((Presion_cilindro!N550-(-K$4+Presion_cilindro!$B$34))/Presion_cilindro!$B$35)^(Presion_cilindro!$B$17+1)),0))/((Presion_cilindro!O550+Presion_cilindro!O551)/2)</f>
        <v>4.1247295690993431</v>
      </c>
      <c r="L559" s="27">
        <f>L558*(Presion_cilindro!O550/Presion_cilindro!O551)^Presion_cilindro!$B$9+10*(Presion_cilindro!$B$9-1)*Presion_cilindro!$B$33*(IF(Presion_cilindro!N551&gt;(-L$4+Presion_cilindro!$B$34),1-EXP(-Presion_cilindro!$B$16*((Presion_cilindro!N551-(-L$4+Presion_cilindro!$B$34))/Presion_cilindro!$B$35)^(Presion_cilindro!$B$17+1)),0)-IF(Presion_cilindro!N550&gt;(-L$4+Presion_cilindro!$B$34),1-EXP(-Presion_cilindro!$B$16*((Presion_cilindro!N550-(-L$4+Presion_cilindro!$B$34))/Presion_cilindro!$B$35)^(Presion_cilindro!$B$17+1)),0))/((Presion_cilindro!O550+Presion_cilindro!O551)/2)</f>
        <v>4.2078069777443101</v>
      </c>
      <c r="M559" s="27">
        <f>M558*(Presion_cilindro!O550/Presion_cilindro!O551)^Presion_cilindro!$B$9+10*(Presion_cilindro!$B$9-1)*Presion_cilindro!$B$33*(IF(Presion_cilindro!N551&gt;(-M$4+Presion_cilindro!$B$34),1-EXP(-Presion_cilindro!$B$16*((Presion_cilindro!N551-(-M$4+Presion_cilindro!$B$34))/Presion_cilindro!$B$35)^(Presion_cilindro!$B$17+1)),0)-IF(Presion_cilindro!N550&gt;(-M$4+Presion_cilindro!$B$34),1-EXP(-Presion_cilindro!$B$16*((Presion_cilindro!N550-(-M$4+Presion_cilindro!$B$34))/Presion_cilindro!$B$35)^(Presion_cilindro!$B$17+1)),0))/((Presion_cilindro!O550+Presion_cilindro!O551)/2)</f>
        <v>4.3142921945045449</v>
      </c>
      <c r="N559" s="27">
        <f>N558*(Presion_cilindro!O550/Presion_cilindro!O551)^Presion_cilindro!$B$9+10*(Presion_cilindro!$B$9-1)*Presion_cilindro!$B$33*(IF(Presion_cilindro!N551&gt;(-N$4+Presion_cilindro!$B$34),1-EXP(-Presion_cilindro!$B$16*((Presion_cilindro!N551-(-N$4+Presion_cilindro!$B$34))/Presion_cilindro!$B$35)^(Presion_cilindro!$B$17+1)),0)-IF(Presion_cilindro!N550&gt;(-N$4+Presion_cilindro!$B$34),1-EXP(-Presion_cilindro!$B$16*((Presion_cilindro!N550-(-N$4+Presion_cilindro!$B$34))/Presion_cilindro!$B$35)^(Presion_cilindro!$B$17+1)),0))/((Presion_cilindro!O550+Presion_cilindro!O551)/2)</f>
        <v>4.4388436542995615</v>
      </c>
    </row>
    <row r="560" spans="1:14" x14ac:dyDescent="0.25">
      <c r="A560" s="21">
        <f>Presion_cilindro!N552</f>
        <v>94</v>
      </c>
      <c r="B560" s="27">
        <f>B559*(Presion_cilindro!O551/Presion_cilindro!O552)^Presion_cilindro!$B$9+10*(Presion_cilindro!$B$9-1)*Presion_cilindro!$B$33*(IF(Presion_cilindro!N552&gt;(-B$4+Presion_cilindro!$B$34),1-EXP(-Presion_cilindro!$B$16*((Presion_cilindro!N552-(-B$4+Presion_cilindro!$B$34))/Presion_cilindro!$B$35)^(Presion_cilindro!$B$17+1)),0)-IF(Presion_cilindro!N551&gt;(-B$4+Presion_cilindro!$B$34),1-EXP(-Presion_cilindro!$B$16*((Presion_cilindro!N551-(-B$4+Presion_cilindro!$B$34))/Presion_cilindro!$B$35)^(Presion_cilindro!$B$17+1)),0))/((Presion_cilindro!O551+Presion_cilindro!O552)/2)</f>
        <v>4.6310555865843108</v>
      </c>
      <c r="C560" s="27">
        <f>C559*(Presion_cilindro!O551/Presion_cilindro!O552)^Presion_cilindro!$B$9+10*(Presion_cilindro!$B$9-1)*Presion_cilindro!$B$33*(IF(Presion_cilindro!N552&gt;(-C$4+Presion_cilindro!$B$34),1-EXP(-Presion_cilindro!$B$16*((Presion_cilindro!N552-(-C$4+Presion_cilindro!$B$34))/Presion_cilindro!$B$35)^(Presion_cilindro!$B$17+1)),0)-IF(Presion_cilindro!N551&gt;(-C$4+Presion_cilindro!$B$34),1-EXP(-Presion_cilindro!$B$16*((Presion_cilindro!N551-(-C$4+Presion_cilindro!$B$34))/Presion_cilindro!$B$35)^(Presion_cilindro!$B$17+1)),0))/((Presion_cilindro!O551+Presion_cilindro!O552)/2)</f>
        <v>4.4886795170099889</v>
      </c>
      <c r="D560" s="27">
        <f>D559*(Presion_cilindro!O551/Presion_cilindro!O552)^Presion_cilindro!$B$9+10*(Presion_cilindro!$B$9-1)*Presion_cilindro!$B$33*(IF(Presion_cilindro!N552&gt;(-D$4+Presion_cilindro!$B$34),1-EXP(-Presion_cilindro!$B$16*((Presion_cilindro!N552-(-D$4+Presion_cilindro!$B$34))/Presion_cilindro!$B$35)^(Presion_cilindro!$B$17+1)),0)-IF(Presion_cilindro!N551&gt;(-D$4+Presion_cilindro!$B$34),1-EXP(-Presion_cilindro!$B$16*((Presion_cilindro!N551-(-D$4+Presion_cilindro!$B$34))/Presion_cilindro!$B$35)^(Presion_cilindro!$B$17+1)),0))/((Presion_cilindro!O551+Presion_cilindro!O552)/2)</f>
        <v>4.3560770140988838</v>
      </c>
      <c r="E560" s="27">
        <f>E559*(Presion_cilindro!O551/Presion_cilindro!O552)^Presion_cilindro!$B$9+10*(Presion_cilindro!$B$9-1)*Presion_cilindro!$B$33*(IF(Presion_cilindro!N552&gt;(-E$4+Presion_cilindro!$B$34),1-EXP(-Presion_cilindro!$B$16*((Presion_cilindro!N552-(-E$4+Presion_cilindro!$B$34))/Presion_cilindro!$B$35)^(Presion_cilindro!$B$17+1)),0)-IF(Presion_cilindro!N551&gt;(-E$4+Presion_cilindro!$B$34),1-EXP(-Presion_cilindro!$B$16*((Presion_cilindro!N551-(-E$4+Presion_cilindro!$B$34))/Presion_cilindro!$B$35)^(Presion_cilindro!$B$17+1)),0))/((Presion_cilindro!O551+Presion_cilindro!O552)/2)</f>
        <v>4.2381810570524827</v>
      </c>
      <c r="F560" s="27">
        <f>F559*(Presion_cilindro!O551/Presion_cilindro!O552)^Presion_cilindro!$B$9+10*(Presion_cilindro!$B$9-1)*Presion_cilindro!$B$33*(IF(Presion_cilindro!N552&gt;(-F$4+Presion_cilindro!$B$34),1-EXP(-Presion_cilindro!$B$16*((Presion_cilindro!N552-(-F$4+Presion_cilindro!$B$34))/Presion_cilindro!$B$35)^(Presion_cilindro!$B$17+1)),0)-IF(Presion_cilindro!N551&gt;(-F$4+Presion_cilindro!$B$34),1-EXP(-Presion_cilindro!$B$16*((Presion_cilindro!N551-(-F$4+Presion_cilindro!$B$34))/Presion_cilindro!$B$35)^(Presion_cilindro!$B$17+1)),0))/((Presion_cilindro!O551+Presion_cilindro!O552)/2)</f>
        <v>4.1403655489844757</v>
      </c>
      <c r="G560" s="27">
        <f>G559*(Presion_cilindro!O551/Presion_cilindro!O552)^Presion_cilindro!$B$9+10*(Presion_cilindro!$B$9-1)*Presion_cilindro!$B$33*(IF(Presion_cilindro!N552&gt;(-G$4+Presion_cilindro!$B$34),1-EXP(-Presion_cilindro!$B$16*((Presion_cilindro!N552-(-G$4+Presion_cilindro!$B$34))/Presion_cilindro!$B$35)^(Presion_cilindro!$B$17+1)),0)-IF(Presion_cilindro!N551&gt;(-G$4+Presion_cilindro!$B$34),1-EXP(-Presion_cilindro!$B$16*((Presion_cilindro!N551-(-G$4+Presion_cilindro!$B$34))/Presion_cilindro!$B$35)^(Presion_cilindro!$B$17+1)),0))/((Presion_cilindro!O551+Presion_cilindro!O552)/2)</f>
        <v>4.0678854057642351</v>
      </c>
      <c r="H560" s="27">
        <f>H559*(Presion_cilindro!O551/Presion_cilindro!O552)^Presion_cilindro!$B$9+10*(Presion_cilindro!$B$9-1)*Presion_cilindro!$B$33*(IF(Presion_cilindro!N552&gt;(-H$4+Presion_cilindro!$B$34),1-EXP(-Presion_cilindro!$B$16*((Presion_cilindro!N552-(-H$4+Presion_cilindro!$B$34))/Presion_cilindro!$B$35)^(Presion_cilindro!$B$17+1)),0)-IF(Presion_cilindro!N551&gt;(-H$4+Presion_cilindro!$B$34),1-EXP(-Presion_cilindro!$B$16*((Presion_cilindro!N551-(-H$4+Presion_cilindro!$B$34))/Presion_cilindro!$B$35)^(Presion_cilindro!$B$17+1)),0))/((Presion_cilindro!O551+Presion_cilindro!O552)/2)</f>
        <v>4.0251303313598852</v>
      </c>
      <c r="I560" s="27">
        <f>I559*(Presion_cilindro!O551/Presion_cilindro!O552)^Presion_cilindro!$B$9+10*(Presion_cilindro!$B$9-1)*Presion_cilindro!$B$33*(IF(Presion_cilindro!N552&gt;(-I$4+Presion_cilindro!$B$34),1-EXP(-Presion_cilindro!$B$16*((Presion_cilindro!N552-(-I$4+Presion_cilindro!$B$34))/Presion_cilindro!$B$35)^(Presion_cilindro!$B$17+1)),0)-IF(Presion_cilindro!N551&gt;(-I$4+Presion_cilindro!$B$34),1-EXP(-Presion_cilindro!$B$16*((Presion_cilindro!N551-(-I$4+Presion_cilindro!$B$34))/Presion_cilindro!$B$35)^(Presion_cilindro!$B$17+1)),0))/((Presion_cilindro!O551+Presion_cilindro!O552)/2)</f>
        <v>4.0148745817913998</v>
      </c>
      <c r="J560" s="27">
        <f>J559*(Presion_cilindro!O551/Presion_cilindro!O552)^Presion_cilindro!$B$9+10*(Presion_cilindro!$B$9-1)*Presion_cilindro!$B$33*(IF(Presion_cilindro!N552&gt;(-J$4+Presion_cilindro!$B$34),1-EXP(-Presion_cilindro!$B$16*((Presion_cilindro!N552-(-J$4+Presion_cilindro!$B$34))/Presion_cilindro!$B$35)^(Presion_cilindro!$B$17+1)),0)-IF(Presion_cilindro!N551&gt;(-J$4+Presion_cilindro!$B$34),1-EXP(-Presion_cilindro!$B$16*((Presion_cilindro!N551-(-J$4+Presion_cilindro!$B$34))/Presion_cilindro!$B$35)^(Presion_cilindro!$B$17+1)),0))/((Presion_cilindro!O551+Presion_cilindro!O552)/2)</f>
        <v>4.037756905970304</v>
      </c>
      <c r="K560" s="27">
        <f>K559*(Presion_cilindro!O551/Presion_cilindro!O552)^Presion_cilindro!$B$9+10*(Presion_cilindro!$B$9-1)*Presion_cilindro!$B$33*(IF(Presion_cilindro!N552&gt;(-K$4+Presion_cilindro!$B$34),1-EXP(-Presion_cilindro!$B$16*((Presion_cilindro!N552-(-K$4+Presion_cilindro!$B$34))/Presion_cilindro!$B$35)^(Presion_cilindro!$B$17+1)),0)-IF(Presion_cilindro!N551&gt;(-K$4+Presion_cilindro!$B$34),1-EXP(-Presion_cilindro!$B$16*((Presion_cilindro!N551-(-K$4+Presion_cilindro!$B$34))/Presion_cilindro!$B$35)^(Presion_cilindro!$B$17+1)),0))/((Presion_cilindro!O551+Presion_cilindro!O552)/2)</f>
        <v>4.092169688728343</v>
      </c>
      <c r="L560" s="27">
        <f>L559*(Presion_cilindro!O551/Presion_cilindro!O552)^Presion_cilindro!$B$9+10*(Presion_cilindro!$B$9-1)*Presion_cilindro!$B$33*(IF(Presion_cilindro!N552&gt;(-L$4+Presion_cilindro!$B$34),1-EXP(-Presion_cilindro!$B$16*((Presion_cilindro!N552-(-L$4+Presion_cilindro!$B$34))/Presion_cilindro!$B$35)^(Presion_cilindro!$B$17+1)),0)-IF(Presion_cilindro!N551&gt;(-L$4+Presion_cilindro!$B$34),1-EXP(-Presion_cilindro!$B$16*((Presion_cilindro!N551-(-L$4+Presion_cilindro!$B$34))/Presion_cilindro!$B$35)^(Presion_cilindro!$B$17+1)),0))/((Presion_cilindro!O551+Presion_cilindro!O552)/2)</f>
        <v>4.1745912991102481</v>
      </c>
      <c r="M560" s="27">
        <f>M559*(Presion_cilindro!O551/Presion_cilindro!O552)^Presion_cilindro!$B$9+10*(Presion_cilindro!$B$9-1)*Presion_cilindro!$B$33*(IF(Presion_cilindro!N552&gt;(-M$4+Presion_cilindro!$B$34),1-EXP(-Presion_cilindro!$B$16*((Presion_cilindro!N552-(-M$4+Presion_cilindro!$B$34))/Presion_cilindro!$B$35)^(Presion_cilindro!$B$17+1)),0)-IF(Presion_cilindro!N551&gt;(-M$4+Presion_cilindro!$B$34),1-EXP(-Presion_cilindro!$B$16*((Presion_cilindro!N551-(-M$4+Presion_cilindro!$B$34))/Presion_cilindro!$B$35)^(Presion_cilindro!$B$17+1)),0))/((Presion_cilindro!O551+Presion_cilindro!O552)/2)</f>
        <v>4.2802359405404138</v>
      </c>
      <c r="N560" s="27">
        <f>N559*(Presion_cilindro!O551/Presion_cilindro!O552)^Presion_cilindro!$B$9+10*(Presion_cilindro!$B$9-1)*Presion_cilindro!$B$33*(IF(Presion_cilindro!N552&gt;(-N$4+Presion_cilindro!$B$34),1-EXP(-Presion_cilindro!$B$16*((Presion_cilindro!N552-(-N$4+Presion_cilindro!$B$34))/Presion_cilindro!$B$35)^(Presion_cilindro!$B$17+1)),0)-IF(Presion_cilindro!N551&gt;(-N$4+Presion_cilindro!$B$34),1-EXP(-Presion_cilindro!$B$16*((Presion_cilindro!N551-(-N$4+Presion_cilindro!$B$34))/Presion_cilindro!$B$35)^(Presion_cilindro!$B$17+1)),0))/((Presion_cilindro!O551+Presion_cilindro!O552)/2)</f>
        <v>4.4038042133014628</v>
      </c>
    </row>
    <row r="561" spans="1:14" x14ac:dyDescent="0.25">
      <c r="A561" s="21">
        <f>Presion_cilindro!N553</f>
        <v>94.5</v>
      </c>
      <c r="B561" s="27">
        <f>B560*(Presion_cilindro!O552/Presion_cilindro!O553)^Presion_cilindro!$B$9+10*(Presion_cilindro!$B$9-1)*Presion_cilindro!$B$33*(IF(Presion_cilindro!N553&gt;(-B$4+Presion_cilindro!$B$34),1-EXP(-Presion_cilindro!$B$16*((Presion_cilindro!N553-(-B$4+Presion_cilindro!$B$34))/Presion_cilindro!$B$35)^(Presion_cilindro!$B$17+1)),0)-IF(Presion_cilindro!N552&gt;(-B$4+Presion_cilindro!$B$34),1-EXP(-Presion_cilindro!$B$16*((Presion_cilindro!N552-(-B$4+Presion_cilindro!$B$34))/Presion_cilindro!$B$35)^(Presion_cilindro!$B$17+1)),0))/((Presion_cilindro!O552+Presion_cilindro!O553)/2)</f>
        <v>4.5948319829812494</v>
      </c>
      <c r="C561" s="27">
        <f>C560*(Presion_cilindro!O552/Presion_cilindro!O553)^Presion_cilindro!$B$9+10*(Presion_cilindro!$B$9-1)*Presion_cilindro!$B$33*(IF(Presion_cilindro!N553&gt;(-C$4+Presion_cilindro!$B$34),1-EXP(-Presion_cilindro!$B$16*((Presion_cilindro!N553-(-C$4+Presion_cilindro!$B$34))/Presion_cilindro!$B$35)^(Presion_cilindro!$B$17+1)),0)-IF(Presion_cilindro!N552&gt;(-C$4+Presion_cilindro!$B$34),1-EXP(-Presion_cilindro!$B$16*((Presion_cilindro!N552-(-C$4+Presion_cilindro!$B$34))/Presion_cilindro!$B$35)^(Presion_cilindro!$B$17+1)),0))/((Presion_cilindro!O552+Presion_cilindro!O553)/2)</f>
        <v>4.4535695632415315</v>
      </c>
      <c r="D561" s="27">
        <f>D560*(Presion_cilindro!O552/Presion_cilindro!O553)^Presion_cilindro!$B$9+10*(Presion_cilindro!$B$9-1)*Presion_cilindro!$B$33*(IF(Presion_cilindro!N553&gt;(-D$4+Presion_cilindro!$B$34),1-EXP(-Presion_cilindro!$B$16*((Presion_cilindro!N553-(-D$4+Presion_cilindro!$B$34))/Presion_cilindro!$B$35)^(Presion_cilindro!$B$17+1)),0)-IF(Presion_cilindro!N552&gt;(-D$4+Presion_cilindro!$B$34),1-EXP(-Presion_cilindro!$B$16*((Presion_cilindro!N552-(-D$4+Presion_cilindro!$B$34))/Presion_cilindro!$B$35)^(Presion_cilindro!$B$17+1)),0))/((Presion_cilindro!O552+Presion_cilindro!O553)/2)</f>
        <v>4.3220042624138024</v>
      </c>
      <c r="E561" s="27">
        <f>E560*(Presion_cilindro!O552/Presion_cilindro!O553)^Presion_cilindro!$B$9+10*(Presion_cilindro!$B$9-1)*Presion_cilindro!$B$33*(IF(Presion_cilindro!N553&gt;(-E$4+Presion_cilindro!$B$34),1-EXP(-Presion_cilindro!$B$16*((Presion_cilindro!N553-(-E$4+Presion_cilindro!$B$34))/Presion_cilindro!$B$35)^(Presion_cilindro!$B$17+1)),0)-IF(Presion_cilindro!N552&gt;(-E$4+Presion_cilindro!$B$34),1-EXP(-Presion_cilindro!$B$16*((Presion_cilindro!N552-(-E$4+Presion_cilindro!$B$34))/Presion_cilindro!$B$35)^(Presion_cilindro!$B$17+1)),0))/((Presion_cilindro!O552+Presion_cilindro!O553)/2)</f>
        <v>4.2050304744787628</v>
      </c>
      <c r="F561" s="27">
        <f>F560*(Presion_cilindro!O552/Presion_cilindro!O553)^Presion_cilindro!$B$9+10*(Presion_cilindro!$B$9-1)*Presion_cilindro!$B$33*(IF(Presion_cilindro!N553&gt;(-F$4+Presion_cilindro!$B$34),1-EXP(-Presion_cilindro!$B$16*((Presion_cilindro!N553-(-F$4+Presion_cilindro!$B$34))/Presion_cilindro!$B$35)^(Presion_cilindro!$B$17+1)),0)-IF(Presion_cilindro!N552&gt;(-F$4+Presion_cilindro!$B$34),1-EXP(-Presion_cilindro!$B$16*((Presion_cilindro!N552-(-F$4+Presion_cilindro!$B$34))/Presion_cilindro!$B$35)^(Presion_cilindro!$B$17+1)),0))/((Presion_cilindro!O552+Presion_cilindro!O553)/2)</f>
        <v>4.1079800684754257</v>
      </c>
      <c r="G561" s="27">
        <f>G560*(Presion_cilindro!O552/Presion_cilindro!O553)^Presion_cilindro!$B$9+10*(Presion_cilindro!$B$9-1)*Presion_cilindro!$B$33*(IF(Presion_cilindro!N553&gt;(-G$4+Presion_cilindro!$B$34),1-EXP(-Presion_cilindro!$B$16*((Presion_cilindro!N553-(-G$4+Presion_cilindro!$B$34))/Presion_cilindro!$B$35)^(Presion_cilindro!$B$17+1)),0)-IF(Presion_cilindro!N552&gt;(-G$4+Presion_cilindro!$B$34),1-EXP(-Presion_cilindro!$B$16*((Presion_cilindro!N552-(-G$4+Presion_cilindro!$B$34))/Presion_cilindro!$B$35)^(Presion_cilindro!$B$17+1)),0))/((Presion_cilindro!O552+Presion_cilindro!O553)/2)</f>
        <v>4.0360668569035587</v>
      </c>
      <c r="H561" s="27">
        <f>H560*(Presion_cilindro!O552/Presion_cilindro!O553)^Presion_cilindro!$B$9+10*(Presion_cilindro!$B$9-1)*Presion_cilindro!$B$33*(IF(Presion_cilindro!N553&gt;(-H$4+Presion_cilindro!$B$34),1-EXP(-Presion_cilindro!$B$16*((Presion_cilindro!N553-(-H$4+Presion_cilindro!$B$34))/Presion_cilindro!$B$35)^(Presion_cilindro!$B$17+1)),0)-IF(Presion_cilindro!N552&gt;(-H$4+Presion_cilindro!$B$34),1-EXP(-Presion_cilindro!$B$16*((Presion_cilindro!N552-(-H$4+Presion_cilindro!$B$34))/Presion_cilindro!$B$35)^(Presion_cilindro!$B$17+1)),0))/((Presion_cilindro!O552+Presion_cilindro!O553)/2)</f>
        <v>3.9936462079532906</v>
      </c>
      <c r="I561" s="27">
        <f>I560*(Presion_cilindro!O552/Presion_cilindro!O553)^Presion_cilindro!$B$9+10*(Presion_cilindro!$B$9-1)*Presion_cilindro!$B$33*(IF(Presion_cilindro!N553&gt;(-I$4+Presion_cilindro!$B$34),1-EXP(-Presion_cilindro!$B$16*((Presion_cilindro!N553-(-I$4+Presion_cilindro!$B$34))/Presion_cilindro!$B$35)^(Presion_cilindro!$B$17+1)),0)-IF(Presion_cilindro!N552&gt;(-I$4+Presion_cilindro!$B$34),1-EXP(-Presion_cilindro!$B$16*((Presion_cilindro!N552-(-I$4+Presion_cilindro!$B$34))/Presion_cilindro!$B$35)^(Presion_cilindro!$B$17+1)),0))/((Presion_cilindro!O552+Presion_cilindro!O553)/2)</f>
        <v>3.9834706777214377</v>
      </c>
      <c r="J561" s="27">
        <f>J560*(Presion_cilindro!O552/Presion_cilindro!O553)^Presion_cilindro!$B$9+10*(Presion_cilindro!$B$9-1)*Presion_cilindro!$B$33*(IF(Presion_cilindro!N553&gt;(-J$4+Presion_cilindro!$B$34),1-EXP(-Presion_cilindro!$B$16*((Presion_cilindro!N553-(-J$4+Presion_cilindro!$B$34))/Presion_cilindro!$B$35)^(Presion_cilindro!$B$17+1)),0)-IF(Presion_cilindro!N552&gt;(-J$4+Presion_cilindro!$B$34),1-EXP(-Presion_cilindro!$B$16*((Presion_cilindro!N552-(-J$4+Presion_cilindro!$B$34))/Presion_cilindro!$B$35)^(Presion_cilindro!$B$17+1)),0))/((Presion_cilindro!O552+Presion_cilindro!O553)/2)</f>
        <v>4.0061740188963224</v>
      </c>
      <c r="K561" s="27">
        <f>K560*(Presion_cilindro!O552/Presion_cilindro!O553)^Presion_cilindro!$B$9+10*(Presion_cilindro!$B$9-1)*Presion_cilindro!$B$33*(IF(Presion_cilindro!N553&gt;(-K$4+Presion_cilindro!$B$34),1-EXP(-Presion_cilindro!$B$16*((Presion_cilindro!N553-(-K$4+Presion_cilindro!$B$34))/Presion_cilindro!$B$35)^(Presion_cilindro!$B$17+1)),0)-IF(Presion_cilindro!N552&gt;(-K$4+Presion_cilindro!$B$34),1-EXP(-Presion_cilindro!$B$16*((Presion_cilindro!N552-(-K$4+Presion_cilindro!$B$34))/Presion_cilindro!$B$35)^(Presion_cilindro!$B$17+1)),0))/((Presion_cilindro!O552+Presion_cilindro!O553)/2)</f>
        <v>4.0601611908973867</v>
      </c>
      <c r="L561" s="27">
        <f>L560*(Presion_cilindro!O552/Presion_cilindro!O553)^Presion_cilindro!$B$9+10*(Presion_cilindro!$B$9-1)*Presion_cilindro!$B$33*(IF(Presion_cilindro!N553&gt;(-L$4+Presion_cilindro!$B$34),1-EXP(-Presion_cilindro!$B$16*((Presion_cilindro!N553-(-L$4+Presion_cilindro!$B$34))/Presion_cilindro!$B$35)^(Presion_cilindro!$B$17+1)),0)-IF(Presion_cilindro!N552&gt;(-L$4+Presion_cilindro!$B$34),1-EXP(-Presion_cilindro!$B$16*((Presion_cilindro!N552-(-L$4+Presion_cilindro!$B$34))/Presion_cilindro!$B$35)^(Presion_cilindro!$B$17+1)),0))/((Presion_cilindro!O552+Presion_cilindro!O553)/2)</f>
        <v>4.1419381085764453</v>
      </c>
      <c r="M561" s="27">
        <f>M560*(Presion_cilindro!O552/Presion_cilindro!O553)^Presion_cilindro!$B$9+10*(Presion_cilindro!$B$9-1)*Presion_cilindro!$B$33*(IF(Presion_cilindro!N553&gt;(-M$4+Presion_cilindro!$B$34),1-EXP(-Presion_cilindro!$B$16*((Presion_cilindro!N553-(-M$4+Presion_cilindro!$B$34))/Presion_cilindro!$B$35)^(Presion_cilindro!$B$17+1)),0)-IF(Presion_cilindro!N552&gt;(-M$4+Presion_cilindro!$B$34),1-EXP(-Presion_cilindro!$B$16*((Presion_cilindro!N552-(-M$4+Presion_cilindro!$B$34))/Presion_cilindro!$B$35)^(Presion_cilindro!$B$17+1)),0))/((Presion_cilindro!O552+Presion_cilindro!O553)/2)</f>
        <v>4.2467564093283681</v>
      </c>
      <c r="N561" s="27">
        <f>N560*(Presion_cilindro!O552/Presion_cilindro!O553)^Presion_cilindro!$B$9+10*(Presion_cilindro!$B$9-1)*Presion_cilindro!$B$33*(IF(Presion_cilindro!N553&gt;(-N$4+Presion_cilindro!$B$34),1-EXP(-Presion_cilindro!$B$16*((Presion_cilindro!N553-(-N$4+Presion_cilindro!$B$34))/Presion_cilindro!$B$35)^(Presion_cilindro!$B$17+1)),0)-IF(Presion_cilindro!N552&gt;(-N$4+Presion_cilindro!$B$34),1-EXP(-Presion_cilindro!$B$16*((Presion_cilindro!N552-(-N$4+Presion_cilindro!$B$34))/Presion_cilindro!$B$35)^(Presion_cilindro!$B$17+1)),0))/((Presion_cilindro!O552+Presion_cilindro!O553)/2)</f>
        <v>4.3693581447531127</v>
      </c>
    </row>
    <row r="562" spans="1:14" x14ac:dyDescent="0.25">
      <c r="A562" s="21">
        <f>Presion_cilindro!N554</f>
        <v>95</v>
      </c>
      <c r="B562" s="27">
        <f>B561*(Presion_cilindro!O553/Presion_cilindro!O554)^Presion_cilindro!$B$9+10*(Presion_cilindro!$B$9-1)*Presion_cilindro!$B$33*(IF(Presion_cilindro!N554&gt;(-B$4+Presion_cilindro!$B$34),1-EXP(-Presion_cilindro!$B$16*((Presion_cilindro!N554-(-B$4+Presion_cilindro!$B$34))/Presion_cilindro!$B$35)^(Presion_cilindro!$B$17+1)),0)-IF(Presion_cilindro!N553&gt;(-B$4+Presion_cilindro!$B$34),1-EXP(-Presion_cilindro!$B$16*((Presion_cilindro!N553-(-B$4+Presion_cilindro!$B$34))/Presion_cilindro!$B$35)^(Presion_cilindro!$B$17+1)),0))/((Presion_cilindro!O553+Presion_cilindro!O554)/2)</f>
        <v>4.5592201956851008</v>
      </c>
      <c r="C562" s="27">
        <f>C561*(Presion_cilindro!O553/Presion_cilindro!O554)^Presion_cilindro!$B$9+10*(Presion_cilindro!$B$9-1)*Presion_cilindro!$B$33*(IF(Presion_cilindro!N554&gt;(-C$4+Presion_cilindro!$B$34),1-EXP(-Presion_cilindro!$B$16*((Presion_cilindro!N554-(-C$4+Presion_cilindro!$B$34))/Presion_cilindro!$B$35)^(Presion_cilindro!$B$17+1)),0)-IF(Presion_cilindro!N553&gt;(-C$4+Presion_cilindro!$B$34),1-EXP(-Presion_cilindro!$B$16*((Presion_cilindro!N553-(-C$4+Presion_cilindro!$B$34))/Presion_cilindro!$B$35)^(Presion_cilindro!$B$17+1)),0))/((Presion_cilindro!O553+Presion_cilindro!O554)/2)</f>
        <v>4.4190526162467485</v>
      </c>
      <c r="D562" s="27">
        <f>D561*(Presion_cilindro!O553/Presion_cilindro!O554)^Presion_cilindro!$B$9+10*(Presion_cilindro!$B$9-1)*Presion_cilindro!$B$33*(IF(Presion_cilindro!N554&gt;(-D$4+Presion_cilindro!$B$34),1-EXP(-Presion_cilindro!$B$16*((Presion_cilindro!N554-(-D$4+Presion_cilindro!$B$34))/Presion_cilindro!$B$35)^(Presion_cilindro!$B$17+1)),0)-IF(Presion_cilindro!N553&gt;(-D$4+Presion_cilindro!$B$34),1-EXP(-Presion_cilindro!$B$16*((Presion_cilindro!N553-(-D$4+Presion_cilindro!$B$34))/Presion_cilindro!$B$35)^(Presion_cilindro!$B$17+1)),0))/((Presion_cilindro!O553+Presion_cilindro!O554)/2)</f>
        <v>4.2885069991694245</v>
      </c>
      <c r="E562" s="27">
        <f>E561*(Presion_cilindro!O553/Presion_cilindro!O554)^Presion_cilindro!$B$9+10*(Presion_cilindro!$B$9-1)*Presion_cilindro!$B$33*(IF(Presion_cilindro!N554&gt;(-E$4+Presion_cilindro!$B$34),1-EXP(-Presion_cilindro!$B$16*((Presion_cilindro!N554-(-E$4+Presion_cilindro!$B$34))/Presion_cilindro!$B$35)^(Presion_cilindro!$B$17+1)),0)-IF(Presion_cilindro!N553&gt;(-E$4+Presion_cilindro!$B$34),1-EXP(-Presion_cilindro!$B$16*((Presion_cilindro!N553-(-E$4+Presion_cilindro!$B$34))/Presion_cilindro!$B$35)^(Presion_cilindro!$B$17+1)),0))/((Presion_cilindro!O553+Presion_cilindro!O554)/2)</f>
        <v>4.1724398049185298</v>
      </c>
      <c r="F562" s="27">
        <f>F561*(Presion_cilindro!O553/Presion_cilindro!O554)^Presion_cilindro!$B$9+10*(Presion_cilindro!$B$9-1)*Presion_cilindro!$B$33*(IF(Presion_cilindro!N554&gt;(-F$4+Presion_cilindro!$B$34),1-EXP(-Presion_cilindro!$B$16*((Presion_cilindro!N554-(-F$4+Presion_cilindro!$B$34))/Presion_cilindro!$B$35)^(Presion_cilindro!$B$17+1)),0)-IF(Presion_cilindro!N553&gt;(-F$4+Presion_cilindro!$B$34),1-EXP(-Presion_cilindro!$B$16*((Presion_cilindro!N553-(-F$4+Presion_cilindro!$B$34))/Presion_cilindro!$B$35)^(Presion_cilindro!$B$17+1)),0))/((Presion_cilindro!O553+Presion_cilindro!O554)/2)</f>
        <v>4.0761415784135195</v>
      </c>
      <c r="G562" s="27">
        <f>G561*(Presion_cilindro!O553/Presion_cilindro!O554)^Presion_cilindro!$B$9+10*(Presion_cilindro!$B$9-1)*Presion_cilindro!$B$33*(IF(Presion_cilindro!N554&gt;(-G$4+Presion_cilindro!$B$34),1-EXP(-Presion_cilindro!$B$16*((Presion_cilindro!N554-(-G$4+Presion_cilindro!$B$34))/Presion_cilindro!$B$35)^(Presion_cilindro!$B$17+1)),0)-IF(Presion_cilindro!N553&gt;(-G$4+Presion_cilindro!$B$34),1-EXP(-Presion_cilindro!$B$16*((Presion_cilindro!N553-(-G$4+Presion_cilindro!$B$34))/Presion_cilindro!$B$35)^(Presion_cilindro!$B$17+1)),0))/((Presion_cilindro!O553+Presion_cilindro!O554)/2)</f>
        <v>4.0047857230200625</v>
      </c>
      <c r="H562" s="27">
        <f>H561*(Presion_cilindro!O553/Presion_cilindro!O554)^Presion_cilindro!$B$9+10*(Presion_cilindro!$B$9-1)*Presion_cilindro!$B$33*(IF(Presion_cilindro!N554&gt;(-H$4+Presion_cilindro!$B$34),1-EXP(-Presion_cilindro!$B$16*((Presion_cilindro!N554-(-H$4+Presion_cilindro!$B$34))/Presion_cilindro!$B$35)^(Presion_cilindro!$B$17+1)),0)-IF(Presion_cilindro!N553&gt;(-H$4+Presion_cilindro!$B$34),1-EXP(-Presion_cilindro!$B$16*((Presion_cilindro!N553-(-H$4+Presion_cilindro!$B$34))/Presion_cilindro!$B$35)^(Presion_cilindro!$B$17+1)),0))/((Presion_cilindro!O553+Presion_cilindro!O554)/2)</f>
        <v>3.9626938510812475</v>
      </c>
      <c r="I562" s="27">
        <f>I561*(Presion_cilindro!O553/Presion_cilindro!O554)^Presion_cilindro!$B$9+10*(Presion_cilindro!$B$9-1)*Presion_cilindro!$B$33*(IF(Presion_cilindro!N554&gt;(-I$4+Presion_cilindro!$B$34),1-EXP(-Presion_cilindro!$B$16*((Presion_cilindro!N554-(-I$4+Presion_cilindro!$B$34))/Presion_cilindro!$B$35)^(Presion_cilindro!$B$17+1)),0)-IF(Presion_cilindro!N553&gt;(-I$4+Presion_cilindro!$B$34),1-EXP(-Presion_cilindro!$B$16*((Presion_cilindro!N553-(-I$4+Presion_cilindro!$B$34))/Presion_cilindro!$B$35)^(Presion_cilindro!$B$17+1)),0))/((Presion_cilindro!O553+Presion_cilindro!O554)/2)</f>
        <v>3.952597185282221</v>
      </c>
      <c r="J562" s="27">
        <f>J561*(Presion_cilindro!O553/Presion_cilindro!O554)^Presion_cilindro!$B$9+10*(Presion_cilindro!$B$9-1)*Presion_cilindro!$B$33*(IF(Presion_cilindro!N554&gt;(-J$4+Presion_cilindro!$B$34),1-EXP(-Presion_cilindro!$B$16*((Presion_cilindro!N554-(-J$4+Presion_cilindro!$B$34))/Presion_cilindro!$B$35)^(Presion_cilindro!$B$17+1)),0)-IF(Presion_cilindro!N553&gt;(-J$4+Presion_cilindro!$B$34),1-EXP(-Presion_cilindro!$B$16*((Presion_cilindro!N553-(-J$4+Presion_cilindro!$B$34))/Presion_cilindro!$B$35)^(Presion_cilindro!$B$17+1)),0))/((Presion_cilindro!O553+Presion_cilindro!O554)/2)</f>
        <v>3.9751245664742627</v>
      </c>
      <c r="K562" s="27">
        <f>K561*(Presion_cilindro!O553/Presion_cilindro!O554)^Presion_cilindro!$B$9+10*(Presion_cilindro!$B$9-1)*Presion_cilindro!$B$33*(IF(Presion_cilindro!N554&gt;(-K$4+Presion_cilindro!$B$34),1-EXP(-Presion_cilindro!$B$16*((Presion_cilindro!N554-(-K$4+Presion_cilindro!$B$34))/Presion_cilindro!$B$35)^(Presion_cilindro!$B$17+1)),0)-IF(Presion_cilindro!N553&gt;(-K$4+Presion_cilindro!$B$34),1-EXP(-Presion_cilindro!$B$16*((Presion_cilindro!N553-(-K$4+Presion_cilindro!$B$34))/Presion_cilindro!$B$35)^(Presion_cilindro!$B$17+1)),0))/((Presion_cilindro!O553+Presion_cilindro!O554)/2)</f>
        <v>4.0286933162798499</v>
      </c>
      <c r="L562" s="27">
        <f>L561*(Presion_cilindro!O553/Presion_cilindro!O554)^Presion_cilindro!$B$9+10*(Presion_cilindro!$B$9-1)*Presion_cilindro!$B$33*(IF(Presion_cilindro!N554&gt;(-L$4+Presion_cilindro!$B$34),1-EXP(-Presion_cilindro!$B$16*((Presion_cilindro!N554-(-L$4+Presion_cilindro!$B$34))/Presion_cilindro!$B$35)^(Presion_cilindro!$B$17+1)),0)-IF(Presion_cilindro!N553&gt;(-L$4+Presion_cilindro!$B$34),1-EXP(-Presion_cilindro!$B$16*((Presion_cilindro!N553-(-L$4+Presion_cilindro!$B$34))/Presion_cilindro!$B$35)^(Presion_cilindro!$B$17+1)),0))/((Presion_cilindro!O553+Presion_cilindro!O554)/2)</f>
        <v>4.1098364301094694</v>
      </c>
      <c r="M562" s="27">
        <f>M561*(Presion_cilindro!O553/Presion_cilindro!O554)^Presion_cilindro!$B$9+10*(Presion_cilindro!$B$9-1)*Presion_cilindro!$B$33*(IF(Presion_cilindro!N554&gt;(-M$4+Presion_cilindro!$B$34),1-EXP(-Presion_cilindro!$B$16*((Presion_cilindro!N554-(-M$4+Presion_cilindro!$B$34))/Presion_cilindro!$B$35)^(Presion_cilindro!$B$17+1)),0)-IF(Presion_cilindro!N553&gt;(-M$4+Presion_cilindro!$B$34),1-EXP(-Presion_cilindro!$B$16*((Presion_cilindro!N553-(-M$4+Presion_cilindro!$B$34))/Presion_cilindro!$B$35)^(Presion_cilindro!$B$17+1)),0))/((Presion_cilindro!O553+Presion_cilindro!O554)/2)</f>
        <v>4.2138423470690745</v>
      </c>
      <c r="N562" s="27">
        <f>N561*(Presion_cilindro!O553/Presion_cilindro!O554)^Presion_cilindro!$B$9+10*(Presion_cilindro!$B$9-1)*Presion_cilindro!$B$33*(IF(Presion_cilindro!N554&gt;(-N$4+Presion_cilindro!$B$34),1-EXP(-Presion_cilindro!$B$16*((Presion_cilindro!N554-(-N$4+Presion_cilindro!$B$34))/Presion_cilindro!$B$35)^(Presion_cilindro!$B$17+1)),0)-IF(Presion_cilindro!N553&gt;(-N$4+Presion_cilindro!$B$34),1-EXP(-Presion_cilindro!$B$16*((Presion_cilindro!N553-(-N$4+Presion_cilindro!$B$34))/Presion_cilindro!$B$35)^(Presion_cilindro!$B$17+1)),0))/((Presion_cilindro!O553+Presion_cilindro!O554)/2)</f>
        <v>4.3354938699636145</v>
      </c>
    </row>
    <row r="563" spans="1:14" x14ac:dyDescent="0.25">
      <c r="A563" s="21">
        <f>Presion_cilindro!N555</f>
        <v>95.5</v>
      </c>
      <c r="B563" s="27">
        <f>B562*(Presion_cilindro!O554/Presion_cilindro!O555)^Presion_cilindro!$B$9+10*(Presion_cilindro!$B$9-1)*Presion_cilindro!$B$33*(IF(Presion_cilindro!N555&gt;(-B$4+Presion_cilindro!$B$34),1-EXP(-Presion_cilindro!$B$16*((Presion_cilindro!N555-(-B$4+Presion_cilindro!$B$34))/Presion_cilindro!$B$35)^(Presion_cilindro!$B$17+1)),0)-IF(Presion_cilindro!N554&gt;(-B$4+Presion_cilindro!$B$34),1-EXP(-Presion_cilindro!$B$16*((Presion_cilindro!N554-(-B$4+Presion_cilindro!$B$34))/Presion_cilindro!$B$35)^(Presion_cilindro!$B$17+1)),0))/((Presion_cilindro!O554+Presion_cilindro!O555)/2)</f>
        <v>4.524208332131443</v>
      </c>
      <c r="C563" s="27">
        <f>C562*(Presion_cilindro!O554/Presion_cilindro!O555)^Presion_cilindro!$B$9+10*(Presion_cilindro!$B$9-1)*Presion_cilindro!$B$33*(IF(Presion_cilindro!N555&gt;(-C$4+Presion_cilindro!$B$34),1-EXP(-Presion_cilindro!$B$16*((Presion_cilindro!N555-(-C$4+Presion_cilindro!$B$34))/Presion_cilindro!$B$35)^(Presion_cilindro!$B$17+1)),0)-IF(Presion_cilindro!N554&gt;(-C$4+Presion_cilindro!$B$34),1-EXP(-Presion_cilindro!$B$16*((Presion_cilindro!N554-(-C$4+Presion_cilindro!$B$34))/Presion_cilindro!$B$35)^(Presion_cilindro!$B$17+1)),0))/((Presion_cilindro!O554+Presion_cilindro!O555)/2)</f>
        <v>4.3851171490828262</v>
      </c>
      <c r="D563" s="27">
        <f>D562*(Presion_cilindro!O554/Presion_cilindro!O555)^Presion_cilindro!$B$9+10*(Presion_cilindro!$B$9-1)*Presion_cilindro!$B$33*(IF(Presion_cilindro!N555&gt;(-D$4+Presion_cilindro!$B$34),1-EXP(-Presion_cilindro!$B$16*((Presion_cilindro!N555-(-D$4+Presion_cilindro!$B$34))/Presion_cilindro!$B$35)^(Presion_cilindro!$B$17+1)),0)-IF(Presion_cilindro!N554&gt;(-D$4+Presion_cilindro!$B$34),1-EXP(-Presion_cilindro!$B$16*((Presion_cilindro!N554-(-D$4+Presion_cilindro!$B$34))/Presion_cilindro!$B$35)^(Presion_cilindro!$B$17+1)),0))/((Presion_cilindro!O554+Presion_cilindro!O555)/2)</f>
        <v>4.2555740379465687</v>
      </c>
      <c r="E563" s="27">
        <f>E562*(Presion_cilindro!O554/Presion_cilindro!O555)^Presion_cilindro!$B$9+10*(Presion_cilindro!$B$9-1)*Presion_cilindro!$B$33*(IF(Presion_cilindro!N555&gt;(-E$4+Presion_cilindro!$B$34),1-EXP(-Presion_cilindro!$B$16*((Presion_cilindro!N555-(-E$4+Presion_cilindro!$B$34))/Presion_cilindro!$B$35)^(Presion_cilindro!$B$17+1)),0)-IF(Presion_cilindro!N554&gt;(-E$4+Presion_cilindro!$B$34),1-EXP(-Presion_cilindro!$B$16*((Presion_cilindro!N554-(-E$4+Presion_cilindro!$B$34))/Presion_cilindro!$B$35)^(Presion_cilindro!$B$17+1)),0))/((Presion_cilindro!O554+Presion_cilindro!O555)/2)</f>
        <v>4.1403981647097821</v>
      </c>
      <c r="F563" s="27">
        <f>F562*(Presion_cilindro!O554/Presion_cilindro!O555)^Presion_cilindro!$B$9+10*(Presion_cilindro!$B$9-1)*Presion_cilindro!$B$33*(IF(Presion_cilindro!N555&gt;(-F$4+Presion_cilindro!$B$34),1-EXP(-Presion_cilindro!$B$16*((Presion_cilindro!N555-(-F$4+Presion_cilindro!$B$34))/Presion_cilindro!$B$35)^(Presion_cilindro!$B$17+1)),0)-IF(Presion_cilindro!N554&gt;(-F$4+Presion_cilindro!$B$34),1-EXP(-Presion_cilindro!$B$16*((Presion_cilindro!N554-(-F$4+Presion_cilindro!$B$34))/Presion_cilindro!$B$35)^(Presion_cilindro!$B$17+1)),0))/((Presion_cilindro!O554+Presion_cilindro!O555)/2)</f>
        <v>4.0448394463272797</v>
      </c>
      <c r="G563" s="27">
        <f>G562*(Presion_cilindro!O554/Presion_cilindro!O555)^Presion_cilindro!$B$9+10*(Presion_cilindro!$B$9-1)*Presion_cilindro!$B$33*(IF(Presion_cilindro!N555&gt;(-G$4+Presion_cilindro!$B$34),1-EXP(-Presion_cilindro!$B$16*((Presion_cilindro!N555-(-G$4+Presion_cilindro!$B$34))/Presion_cilindro!$B$35)^(Presion_cilindro!$B$17+1)),0)-IF(Presion_cilindro!N554&gt;(-G$4+Presion_cilindro!$B$34),1-EXP(-Presion_cilindro!$B$16*((Presion_cilindro!N554-(-G$4+Presion_cilindro!$B$34))/Presion_cilindro!$B$35)^(Presion_cilindro!$B$17+1)),0))/((Presion_cilindro!O554+Presion_cilindro!O555)/2)</f>
        <v>3.9740315577715015</v>
      </c>
      <c r="H563" s="27">
        <f>H562*(Presion_cilindro!O554/Presion_cilindro!O555)^Presion_cilindro!$B$9+10*(Presion_cilindro!$B$9-1)*Presion_cilindro!$B$33*(IF(Presion_cilindro!N555&gt;(-H$4+Presion_cilindro!$B$34),1-EXP(-Presion_cilindro!$B$16*((Presion_cilindro!N555-(-H$4+Presion_cilindro!$B$34))/Presion_cilindro!$B$35)^(Presion_cilindro!$B$17+1)),0)-IF(Presion_cilindro!N554&gt;(-H$4+Presion_cilindro!$B$34),1-EXP(-Presion_cilindro!$B$16*((Presion_cilindro!N554-(-H$4+Presion_cilindro!$B$34))/Presion_cilindro!$B$35)^(Presion_cilindro!$B$17+1)),0))/((Presion_cilindro!O554+Presion_cilindro!O555)/2)</f>
        <v>3.9322629241966736</v>
      </c>
      <c r="I563" s="27">
        <f>I562*(Presion_cilindro!O554/Presion_cilindro!O555)^Presion_cilindro!$B$9+10*(Presion_cilindro!$B$9-1)*Presion_cilindro!$B$33*(IF(Presion_cilindro!N555&gt;(-I$4+Presion_cilindro!$B$34),1-EXP(-Presion_cilindro!$B$16*((Presion_cilindro!N555-(-I$4+Presion_cilindro!$B$34))/Presion_cilindro!$B$35)^(Presion_cilindro!$B$17+1)),0)-IF(Presion_cilindro!N554&gt;(-I$4+Presion_cilindro!$B$34),1-EXP(-Presion_cilindro!$B$16*((Presion_cilindro!N554-(-I$4+Presion_cilindro!$B$34))/Presion_cilindro!$B$35)^(Presion_cilindro!$B$17+1)),0))/((Presion_cilindro!O554+Presion_cilindro!O555)/2)</f>
        <v>3.9222437942634629</v>
      </c>
      <c r="J563" s="27">
        <f>J562*(Presion_cilindro!O554/Presion_cilindro!O555)^Presion_cilindro!$B$9+10*(Presion_cilindro!$B$9-1)*Presion_cilindro!$B$33*(IF(Presion_cilindro!N555&gt;(-J$4+Presion_cilindro!$B$34),1-EXP(-Presion_cilindro!$B$16*((Presion_cilindro!N555-(-J$4+Presion_cilindro!$B$34))/Presion_cilindro!$B$35)^(Presion_cilindro!$B$17+1)),0)-IF(Presion_cilindro!N554&gt;(-J$4+Presion_cilindro!$B$34),1-EXP(-Presion_cilindro!$B$16*((Presion_cilindro!N554-(-J$4+Presion_cilindro!$B$34))/Presion_cilindro!$B$35)^(Presion_cilindro!$B$17+1)),0))/((Presion_cilindro!O554+Presion_cilindro!O555)/2)</f>
        <v>3.9445981797319596</v>
      </c>
      <c r="K563" s="27">
        <f>K562*(Presion_cilindro!O554/Presion_cilindro!O555)^Presion_cilindro!$B$9+10*(Presion_cilindro!$B$9-1)*Presion_cilindro!$B$33*(IF(Presion_cilindro!N555&gt;(-K$4+Presion_cilindro!$B$34),1-EXP(-Presion_cilindro!$B$16*((Presion_cilindro!N555-(-K$4+Presion_cilindro!$B$34))/Presion_cilindro!$B$35)^(Presion_cilindro!$B$17+1)),0)-IF(Presion_cilindro!N554&gt;(-K$4+Presion_cilindro!$B$34),1-EXP(-Presion_cilindro!$B$16*((Presion_cilindro!N554-(-K$4+Presion_cilindro!$B$34))/Presion_cilindro!$B$35)^(Presion_cilindro!$B$17+1)),0))/((Presion_cilindro!O554+Presion_cilindro!O555)/2)</f>
        <v>3.997755556171374</v>
      </c>
      <c r="L563" s="27">
        <f>L562*(Presion_cilindro!O554/Presion_cilindro!O555)^Presion_cilindro!$B$9+10*(Presion_cilindro!$B$9-1)*Presion_cilindro!$B$33*(IF(Presion_cilindro!N555&gt;(-L$4+Presion_cilindro!$B$34),1-EXP(-Presion_cilindro!$B$16*((Presion_cilindro!N555-(-L$4+Presion_cilindro!$B$34))/Presion_cilindro!$B$35)^(Presion_cilindro!$B$17+1)),0)-IF(Presion_cilindro!N554&gt;(-L$4+Presion_cilindro!$B$34),1-EXP(-Presion_cilindro!$B$16*((Presion_cilindro!N554-(-L$4+Presion_cilindro!$B$34))/Presion_cilindro!$B$35)^(Presion_cilindro!$B$17+1)),0))/((Presion_cilindro!O554+Presion_cilindro!O555)/2)</f>
        <v>4.0782755433460132</v>
      </c>
      <c r="M563" s="27">
        <f>M562*(Presion_cilindro!O554/Presion_cilindro!O555)^Presion_cilindro!$B$9+10*(Presion_cilindro!$B$9-1)*Presion_cilindro!$B$33*(IF(Presion_cilindro!N555&gt;(-M$4+Presion_cilindro!$B$34),1-EXP(-Presion_cilindro!$B$16*((Presion_cilindro!N555-(-M$4+Presion_cilindro!$B$34))/Presion_cilindro!$B$35)^(Presion_cilindro!$B$17+1)),0)-IF(Presion_cilindro!N554&gt;(-M$4+Presion_cilindro!$B$34),1-EXP(-Presion_cilindro!$B$16*((Presion_cilindro!N554-(-M$4+Presion_cilindro!$B$34))/Presion_cilindro!$B$35)^(Presion_cilindro!$B$17+1)),0))/((Presion_cilindro!O554+Presion_cilindro!O555)/2)</f>
        <v>4.1814827621034603</v>
      </c>
      <c r="N563" s="27">
        <f>N562*(Presion_cilindro!O554/Presion_cilindro!O555)^Presion_cilindro!$B$9+10*(Presion_cilindro!$B$9-1)*Presion_cilindro!$B$33*(IF(Presion_cilindro!N555&gt;(-N$4+Presion_cilindro!$B$34),1-EXP(-Presion_cilindro!$B$16*((Presion_cilindro!N555-(-N$4+Presion_cilindro!$B$34))/Presion_cilindro!$B$35)^(Presion_cilindro!$B$17+1)),0)-IF(Presion_cilindro!N554&gt;(-N$4+Presion_cilindro!$B$34),1-EXP(-Presion_cilindro!$B$16*((Presion_cilindro!N554-(-N$4+Presion_cilindro!$B$34))/Presion_cilindro!$B$35)^(Presion_cilindro!$B$17+1)),0))/((Presion_cilindro!O554+Presion_cilindro!O555)/2)</f>
        <v>4.3022000799501914</v>
      </c>
    </row>
    <row r="564" spans="1:14" x14ac:dyDescent="0.25">
      <c r="A564" s="21">
        <f>Presion_cilindro!N556</f>
        <v>96</v>
      </c>
      <c r="B564" s="27">
        <f>B563*(Presion_cilindro!O555/Presion_cilindro!O556)^Presion_cilindro!$B$9+10*(Presion_cilindro!$B$9-1)*Presion_cilindro!$B$33*(IF(Presion_cilindro!N556&gt;(-B$4+Presion_cilindro!$B$34),1-EXP(-Presion_cilindro!$B$16*((Presion_cilindro!N556-(-B$4+Presion_cilindro!$B$34))/Presion_cilindro!$B$35)^(Presion_cilindro!$B$17+1)),0)-IF(Presion_cilindro!N555&gt;(-B$4+Presion_cilindro!$B$34),1-EXP(-Presion_cilindro!$B$16*((Presion_cilindro!N555-(-B$4+Presion_cilindro!$B$34))/Presion_cilindro!$B$35)^(Presion_cilindro!$B$17+1)),0))/((Presion_cilindro!O555+Presion_cilindro!O556)/2)</f>
        <v>4.4897847760573857</v>
      </c>
      <c r="C564" s="27">
        <f>C563*(Presion_cilindro!O555/Presion_cilindro!O556)^Presion_cilindro!$B$9+10*(Presion_cilindro!$B$9-1)*Presion_cilindro!$B$33*(IF(Presion_cilindro!N556&gt;(-C$4+Presion_cilindro!$B$34),1-EXP(-Presion_cilindro!$B$16*((Presion_cilindro!N556-(-C$4+Presion_cilindro!$B$34))/Presion_cilindro!$B$35)^(Presion_cilindro!$B$17+1)),0)-IF(Presion_cilindro!N555&gt;(-C$4+Presion_cilindro!$B$34),1-EXP(-Presion_cilindro!$B$16*((Presion_cilindro!N555-(-C$4+Presion_cilindro!$B$34))/Presion_cilindro!$B$35)^(Presion_cilindro!$B$17+1)),0))/((Presion_cilindro!O555+Presion_cilindro!O556)/2)</f>
        <v>4.3517519026141347</v>
      </c>
      <c r="D564" s="27">
        <f>D563*(Presion_cilindro!O555/Presion_cilindro!O556)^Presion_cilindro!$B$9+10*(Presion_cilindro!$B$9-1)*Presion_cilindro!$B$33*(IF(Presion_cilindro!N556&gt;(-D$4+Presion_cilindro!$B$34),1-EXP(-Presion_cilindro!$B$16*((Presion_cilindro!N556-(-D$4+Presion_cilindro!$B$34))/Presion_cilindro!$B$35)^(Presion_cilindro!$B$17+1)),0)-IF(Presion_cilindro!N555&gt;(-D$4+Presion_cilindro!$B$34),1-EXP(-Presion_cilindro!$B$16*((Presion_cilindro!N555-(-D$4+Presion_cilindro!$B$34))/Presion_cilindro!$B$35)^(Presion_cilindro!$B$17+1)),0))/((Presion_cilindro!O555+Presion_cilindro!O556)/2)</f>
        <v>4.2231944522217999</v>
      </c>
      <c r="E564" s="27">
        <f>E563*(Presion_cilindro!O555/Presion_cilindro!O556)^Presion_cilindro!$B$9+10*(Presion_cilindro!$B$9-1)*Presion_cilindro!$B$33*(IF(Presion_cilindro!N556&gt;(-E$4+Presion_cilindro!$B$34),1-EXP(-Presion_cilindro!$B$16*((Presion_cilindro!N556-(-E$4+Presion_cilindro!$B$34))/Presion_cilindro!$B$35)^(Presion_cilindro!$B$17+1)),0)-IF(Presion_cilindro!N555&gt;(-E$4+Presion_cilindro!$B$34),1-EXP(-Presion_cilindro!$B$16*((Presion_cilindro!N555-(-E$4+Presion_cilindro!$B$34))/Presion_cilindro!$B$35)^(Presion_cilindro!$B$17+1)),0))/((Presion_cilindro!O555+Presion_cilindro!O556)/2)</f>
        <v>4.1088949230522624</v>
      </c>
      <c r="F564" s="27">
        <f>F563*(Presion_cilindro!O555/Presion_cilindro!O556)^Presion_cilindro!$B$9+10*(Presion_cilindro!$B$9-1)*Presion_cilindro!$B$33*(IF(Presion_cilindro!N556&gt;(-F$4+Presion_cilindro!$B$34),1-EXP(-Presion_cilindro!$B$16*((Presion_cilindro!N556-(-F$4+Presion_cilindro!$B$34))/Presion_cilindro!$B$35)^(Presion_cilindro!$B$17+1)),0)-IF(Presion_cilindro!N555&gt;(-F$4+Presion_cilindro!$B$34),1-EXP(-Presion_cilindro!$B$16*((Presion_cilindro!N555-(-F$4+Presion_cilindro!$B$34))/Presion_cilindro!$B$35)^(Presion_cilindro!$B$17+1)),0))/((Presion_cilindro!O555+Presion_cilindro!O556)/2)</f>
        <v>4.0140632867710284</v>
      </c>
      <c r="G564" s="27">
        <f>G563*(Presion_cilindro!O555/Presion_cilindro!O556)^Presion_cilindro!$B$9+10*(Presion_cilindro!$B$9-1)*Presion_cilindro!$B$33*(IF(Presion_cilindro!N556&gt;(-G$4+Presion_cilindro!$B$34),1-EXP(-Presion_cilindro!$B$16*((Presion_cilindro!N556-(-G$4+Presion_cilindro!$B$34))/Presion_cilindro!$B$35)^(Presion_cilindro!$B$17+1)),0)-IF(Presion_cilindro!N555&gt;(-G$4+Presion_cilindro!$B$34),1-EXP(-Presion_cilindro!$B$16*((Presion_cilindro!N555-(-G$4+Presion_cilindro!$B$34))/Presion_cilindro!$B$35)^(Presion_cilindro!$B$17+1)),0))/((Presion_cilindro!O555+Presion_cilindro!O556)/2)</f>
        <v>3.9437941575170599</v>
      </c>
      <c r="H564" s="27">
        <f>H563*(Presion_cilindro!O555/Presion_cilindro!O556)^Presion_cilindro!$B$9+10*(Presion_cilindro!$B$9-1)*Presion_cilindro!$B$33*(IF(Presion_cilindro!N556&gt;(-H$4+Presion_cilindro!$B$34),1-EXP(-Presion_cilindro!$B$16*((Presion_cilindro!N556-(-H$4+Presion_cilindro!$B$34))/Presion_cilindro!$B$35)^(Presion_cilindro!$B$17+1)),0)-IF(Presion_cilindro!N555&gt;(-H$4+Presion_cilindro!$B$34),1-EXP(-Presion_cilindro!$B$16*((Presion_cilindro!N555-(-H$4+Presion_cilindro!$B$34))/Presion_cilindro!$B$35)^(Presion_cilindro!$B$17+1)),0))/((Presion_cilindro!O555+Presion_cilindro!O556)/2)</f>
        <v>3.9023433309030282</v>
      </c>
      <c r="I564" s="27">
        <f>I563*(Presion_cilindro!O555/Presion_cilindro!O556)^Presion_cilindro!$B$9+10*(Presion_cilindro!$B$9-1)*Presion_cilindro!$B$33*(IF(Presion_cilindro!N556&gt;(-I$4+Presion_cilindro!$B$34),1-EXP(-Presion_cilindro!$B$16*((Presion_cilindro!N556-(-I$4+Presion_cilindro!$B$34))/Presion_cilindro!$B$35)^(Presion_cilindro!$B$17+1)),0)-IF(Presion_cilindro!N555&gt;(-I$4+Presion_cilindro!$B$34),1-EXP(-Presion_cilindro!$B$16*((Presion_cilindro!N555-(-I$4+Presion_cilindro!$B$34))/Presion_cilindro!$B$35)^(Presion_cilindro!$B$17+1)),0))/((Presion_cilindro!O555+Presion_cilindro!O556)/2)</f>
        <v>3.8924004339935334</v>
      </c>
      <c r="J564" s="27">
        <f>J563*(Presion_cilindro!O555/Presion_cilindro!O556)^Presion_cilindro!$B$9+10*(Presion_cilindro!$B$9-1)*Presion_cilindro!$B$33*(IF(Presion_cilindro!N556&gt;(-J$4+Presion_cilindro!$B$34),1-EXP(-Presion_cilindro!$B$16*((Presion_cilindro!N556-(-J$4+Presion_cilindro!$B$34))/Presion_cilindro!$B$35)^(Presion_cilindro!$B$17+1)),0)-IF(Presion_cilindro!N555&gt;(-J$4+Presion_cilindro!$B$34),1-EXP(-Presion_cilindro!$B$16*((Presion_cilindro!N555-(-J$4+Presion_cilindro!$B$34))/Presion_cilindro!$B$35)^(Presion_cilindro!$B$17+1)),0))/((Presion_cilindro!O555+Presion_cilindro!O556)/2)</f>
        <v>3.9145847306011272</v>
      </c>
      <c r="K564" s="27">
        <f>K563*(Presion_cilindro!O555/Presion_cilindro!O556)^Presion_cilindro!$B$9+10*(Presion_cilindro!$B$9-1)*Presion_cilindro!$B$33*(IF(Presion_cilindro!N556&gt;(-K$4+Presion_cilindro!$B$34),1-EXP(-Presion_cilindro!$B$16*((Presion_cilindro!N556-(-K$4+Presion_cilindro!$B$34))/Presion_cilindro!$B$35)^(Presion_cilindro!$B$17+1)),0)-IF(Presion_cilindro!N555&gt;(-K$4+Presion_cilindro!$B$34),1-EXP(-Presion_cilindro!$B$16*((Presion_cilindro!N555-(-K$4+Presion_cilindro!$B$34))/Presion_cilindro!$B$35)^(Presion_cilindro!$B$17+1)),0))/((Presion_cilindro!O555+Presion_cilindro!O556)/2)</f>
        <v>3.967337646017898</v>
      </c>
      <c r="L564" s="27">
        <f>L563*(Presion_cilindro!O555/Presion_cilindro!O556)^Presion_cilindro!$B$9+10*(Presion_cilindro!$B$9-1)*Presion_cilindro!$B$33*(IF(Presion_cilindro!N556&gt;(-L$4+Presion_cilindro!$B$34),1-EXP(-Presion_cilindro!$B$16*((Presion_cilindro!N556-(-L$4+Presion_cilindro!$B$34))/Presion_cilindro!$B$35)^(Presion_cilindro!$B$17+1)),0)-IF(Presion_cilindro!N555&gt;(-L$4+Presion_cilindro!$B$34),1-EXP(-Presion_cilindro!$B$16*((Presion_cilindro!N555-(-L$4+Presion_cilindro!$B$34))/Presion_cilindro!$B$35)^(Presion_cilindro!$B$17+1)),0))/((Presion_cilindro!O555+Presion_cilindro!O556)/2)</f>
        <v>4.0472449769905703</v>
      </c>
      <c r="M564" s="27">
        <f>M563*(Presion_cilindro!O555/Presion_cilindro!O556)^Presion_cilindro!$B$9+10*(Presion_cilindro!$B$9-1)*Presion_cilindro!$B$33*(IF(Presion_cilindro!N556&gt;(-M$4+Presion_cilindro!$B$34),1-EXP(-Presion_cilindro!$B$16*((Presion_cilindro!N556-(-M$4+Presion_cilindro!$B$34))/Presion_cilindro!$B$35)^(Presion_cilindro!$B$17+1)),0)-IF(Presion_cilindro!N555&gt;(-M$4+Presion_cilindro!$B$34),1-EXP(-Presion_cilindro!$B$16*((Presion_cilindro!N555-(-M$4+Presion_cilindro!$B$34))/Presion_cilindro!$B$35)^(Presion_cilindro!$B$17+1)),0))/((Presion_cilindro!O555+Presion_cilindro!O556)/2)</f>
        <v>4.1496669181433106</v>
      </c>
      <c r="N564" s="27">
        <f>N563*(Presion_cilindro!O555/Presion_cilindro!O556)^Presion_cilindro!$B$9+10*(Presion_cilindro!$B$9-1)*Presion_cilindro!$B$33*(IF(Presion_cilindro!N556&gt;(-N$4+Presion_cilindro!$B$34),1-EXP(-Presion_cilindro!$B$16*((Presion_cilindro!N556-(-N$4+Presion_cilindro!$B$34))/Presion_cilindro!$B$35)^(Presion_cilindro!$B$17+1)),0)-IF(Presion_cilindro!N555&gt;(-N$4+Presion_cilindro!$B$34),1-EXP(-Presion_cilindro!$B$16*((Presion_cilindro!N555-(-N$4+Presion_cilindro!$B$34))/Presion_cilindro!$B$35)^(Presion_cilindro!$B$17+1)),0))/((Presion_cilindro!O555+Presion_cilindro!O556)/2)</f>
        <v>4.2694657284733522</v>
      </c>
    </row>
    <row r="565" spans="1:14" x14ac:dyDescent="0.25">
      <c r="A565" s="21">
        <f>Presion_cilindro!N557</f>
        <v>96.5</v>
      </c>
      <c r="B565" s="27">
        <f>B564*(Presion_cilindro!O556/Presion_cilindro!O557)^Presion_cilindro!$B$9+10*(Presion_cilindro!$B$9-1)*Presion_cilindro!$B$33*(IF(Presion_cilindro!N557&gt;(-B$4+Presion_cilindro!$B$34),1-EXP(-Presion_cilindro!$B$16*((Presion_cilindro!N557-(-B$4+Presion_cilindro!$B$34))/Presion_cilindro!$B$35)^(Presion_cilindro!$B$17+1)),0)-IF(Presion_cilindro!N556&gt;(-B$4+Presion_cilindro!$B$34),1-EXP(-Presion_cilindro!$B$16*((Presion_cilindro!N556-(-B$4+Presion_cilindro!$B$34))/Presion_cilindro!$B$35)^(Presion_cilindro!$B$17+1)),0))/((Presion_cilindro!O556+Presion_cilindro!O557)/2)</f>
        <v>4.4559381803817706</v>
      </c>
      <c r="C565" s="27">
        <f>C564*(Presion_cilindro!O556/Presion_cilindro!O557)^Presion_cilindro!$B$9+10*(Presion_cilindro!$B$9-1)*Presion_cilindro!$B$33*(IF(Presion_cilindro!N557&gt;(-C$4+Presion_cilindro!$B$34),1-EXP(-Presion_cilindro!$B$16*((Presion_cilindro!N557-(-C$4+Presion_cilindro!$B$34))/Presion_cilindro!$B$35)^(Presion_cilindro!$B$17+1)),0)-IF(Presion_cilindro!N556&gt;(-C$4+Presion_cilindro!$B$34),1-EXP(-Presion_cilindro!$B$16*((Presion_cilindro!N556-(-C$4+Presion_cilindro!$B$34))/Presion_cilindro!$B$35)^(Presion_cilindro!$B$17+1)),0))/((Presion_cilindro!O556+Presion_cilindro!O557)/2)</f>
        <v>4.3189458786112462</v>
      </c>
      <c r="D565" s="27">
        <f>D564*(Presion_cilindro!O556/Presion_cilindro!O557)^Presion_cilindro!$B$9+10*(Presion_cilindro!$B$9-1)*Presion_cilindro!$B$33*(IF(Presion_cilindro!N557&gt;(-D$4+Presion_cilindro!$B$34),1-EXP(-Presion_cilindro!$B$16*((Presion_cilindro!N557-(-D$4+Presion_cilindro!$B$34))/Presion_cilindro!$B$35)^(Presion_cilindro!$B$17+1)),0)-IF(Presion_cilindro!N556&gt;(-D$4+Presion_cilindro!$B$34),1-EXP(-Presion_cilindro!$B$16*((Presion_cilindro!N556-(-D$4+Presion_cilindro!$B$34))/Presion_cilindro!$B$35)^(Presion_cilindro!$B$17+1)),0))/((Presion_cilindro!O556+Presion_cilindro!O557)/2)</f>
        <v>4.1913575686703162</v>
      </c>
      <c r="E565" s="27">
        <f>E564*(Presion_cilindro!O556/Presion_cilindro!O557)^Presion_cilindro!$B$9+10*(Presion_cilindro!$B$9-1)*Presion_cilindro!$B$33*(IF(Presion_cilindro!N557&gt;(-E$4+Presion_cilindro!$B$34),1-EXP(-Presion_cilindro!$B$16*((Presion_cilindro!N557-(-E$4+Presion_cilindro!$B$34))/Presion_cilindro!$B$35)^(Presion_cilindro!$B$17+1)),0)-IF(Presion_cilindro!N556&gt;(-E$4+Presion_cilindro!$B$34),1-EXP(-Presion_cilindro!$B$16*((Presion_cilindro!N556-(-E$4+Presion_cilindro!$B$34))/Presion_cilindro!$B$35)^(Presion_cilindro!$B$17+1)),0))/((Presion_cilindro!O556+Presion_cilindro!O557)/2)</f>
        <v>4.0779196954915999</v>
      </c>
      <c r="F565" s="27">
        <f>F564*(Presion_cilindro!O556/Presion_cilindro!O557)^Presion_cilindro!$B$9+10*(Presion_cilindro!$B$9-1)*Presion_cilindro!$B$33*(IF(Presion_cilindro!N557&gt;(-F$4+Presion_cilindro!$B$34),1-EXP(-Presion_cilindro!$B$16*((Presion_cilindro!N557-(-F$4+Presion_cilindro!$B$34))/Presion_cilindro!$B$35)^(Presion_cilindro!$B$17+1)),0)-IF(Presion_cilindro!N556&gt;(-F$4+Presion_cilindro!$B$34),1-EXP(-Presion_cilindro!$B$16*((Presion_cilindro!N556-(-F$4+Presion_cilindro!$B$34))/Presion_cilindro!$B$35)^(Presion_cilindro!$B$17+1)),0))/((Presion_cilindro!O556+Presion_cilindro!O557)/2)</f>
        <v>3.9838029549594109</v>
      </c>
      <c r="G565" s="27">
        <f>G564*(Presion_cilindro!O556/Presion_cilindro!O557)^Presion_cilindro!$B$9+10*(Presion_cilindro!$B$9-1)*Presion_cilindro!$B$33*(IF(Presion_cilindro!N557&gt;(-G$4+Presion_cilindro!$B$34),1-EXP(-Presion_cilindro!$B$16*((Presion_cilindro!N557-(-G$4+Presion_cilindro!$B$34))/Presion_cilindro!$B$35)^(Presion_cilindro!$B$17+1)),0)-IF(Presion_cilindro!N556&gt;(-G$4+Presion_cilindro!$B$34),1-EXP(-Presion_cilindro!$B$16*((Presion_cilindro!N556-(-G$4+Presion_cilindro!$B$34))/Presion_cilindro!$B$35)^(Presion_cilindro!$B$17+1)),0))/((Presion_cilindro!O556+Presion_cilindro!O557)/2)</f>
        <v>3.9140635550633092</v>
      </c>
      <c r="H565" s="27">
        <f>H564*(Presion_cilindro!O556/Presion_cilindro!O557)^Presion_cilindro!$B$9+10*(Presion_cilindro!$B$9-1)*Presion_cilindro!$B$33*(IF(Presion_cilindro!N557&gt;(-H$4+Presion_cilindro!$B$34),1-EXP(-Presion_cilindro!$B$16*((Presion_cilindro!N557-(-H$4+Presion_cilindro!$B$34))/Presion_cilindro!$B$35)^(Presion_cilindro!$B$17+1)),0)-IF(Presion_cilindro!N556&gt;(-H$4+Presion_cilindro!$B$34),1-EXP(-Presion_cilindro!$B$16*((Presion_cilindro!N556-(-H$4+Presion_cilindro!$B$34))/Presion_cilindro!$B$35)^(Presion_cilindro!$B$17+1)),0))/((Presion_cilindro!O556+Presion_cilindro!O557)/2)</f>
        <v>3.8729252087660031</v>
      </c>
      <c r="I565" s="27">
        <f>I564*(Presion_cilindro!O556/Presion_cilindro!O557)^Presion_cilindro!$B$9+10*(Presion_cilindro!$B$9-1)*Presion_cilindro!$B$33*(IF(Presion_cilindro!N557&gt;(-I$4+Presion_cilindro!$B$34),1-EXP(-Presion_cilindro!$B$16*((Presion_cilindro!N557-(-I$4+Presion_cilindro!$B$34))/Presion_cilindro!$B$35)^(Presion_cilindro!$B$17+1)),0)-IF(Presion_cilindro!N556&gt;(-I$4+Presion_cilindro!$B$34),1-EXP(-Presion_cilindro!$B$16*((Presion_cilindro!N556-(-I$4+Presion_cilindro!$B$34))/Presion_cilindro!$B$35)^(Presion_cilindro!$B$17+1)),0))/((Presion_cilindro!O556+Presion_cilindro!O557)/2)</f>
        <v>3.8630572671669143</v>
      </c>
      <c r="J565" s="27">
        <f>J564*(Presion_cilindro!O556/Presion_cilindro!O557)^Presion_cilindro!$B$9+10*(Presion_cilindro!$B$9-1)*Presion_cilindro!$B$33*(IF(Presion_cilindro!N557&gt;(-J$4+Presion_cilindro!$B$34),1-EXP(-Presion_cilindro!$B$16*((Presion_cilindro!N557-(-J$4+Presion_cilindro!$B$34))/Presion_cilindro!$B$35)^(Presion_cilindro!$B$17+1)),0)-IF(Presion_cilindro!N556&gt;(-J$4+Presion_cilindro!$B$34),1-EXP(-Presion_cilindro!$B$16*((Presion_cilindro!N556-(-J$4+Presion_cilindro!$B$34))/Presion_cilindro!$B$35)^(Presion_cilindro!$B$17+1)),0))/((Presion_cilindro!O556+Presion_cilindro!O557)/2)</f>
        <v>3.8850743257096365</v>
      </c>
      <c r="K565" s="27">
        <f>K564*(Presion_cilindro!O556/Presion_cilindro!O557)^Presion_cilindro!$B$9+10*(Presion_cilindro!$B$9-1)*Presion_cilindro!$B$33*(IF(Presion_cilindro!N557&gt;(-K$4+Presion_cilindro!$B$34),1-EXP(-Presion_cilindro!$B$16*((Presion_cilindro!N557-(-K$4+Presion_cilindro!$B$34))/Presion_cilindro!$B$35)^(Presion_cilindro!$B$17+1)),0)-IF(Presion_cilindro!N556&gt;(-K$4+Presion_cilindro!$B$34),1-EXP(-Presion_cilindro!$B$16*((Presion_cilindro!N556-(-K$4+Presion_cilindro!$B$34))/Presion_cilindro!$B$35)^(Presion_cilindro!$B$17+1)),0))/((Presion_cilindro!O556+Presion_cilindro!O557)/2)</f>
        <v>3.9374295591242814</v>
      </c>
      <c r="L565" s="27">
        <f>L564*(Presion_cilindro!O556/Presion_cilindro!O557)^Presion_cilindro!$B$9+10*(Presion_cilindro!$B$9-1)*Presion_cilindro!$B$33*(IF(Presion_cilindro!N557&gt;(-L$4+Presion_cilindro!$B$34),1-EXP(-Presion_cilindro!$B$16*((Presion_cilindro!N557-(-L$4+Presion_cilindro!$B$34))/Presion_cilindro!$B$35)^(Presion_cilindro!$B$17+1)),0)-IF(Presion_cilindro!N556&gt;(-L$4+Presion_cilindro!$B$34),1-EXP(-Presion_cilindro!$B$16*((Presion_cilindro!N556-(-L$4+Presion_cilindro!$B$34))/Presion_cilindro!$B$35)^(Presion_cilindro!$B$17+1)),0))/((Presion_cilindro!O556+Presion_cilindro!O557)/2)</f>
        <v>4.016734502397342</v>
      </c>
      <c r="M565" s="27">
        <f>M564*(Presion_cilindro!O556/Presion_cilindro!O557)^Presion_cilindro!$B$9+10*(Presion_cilindro!$B$9-1)*Presion_cilindro!$B$33*(IF(Presion_cilindro!N557&gt;(-M$4+Presion_cilindro!$B$34),1-EXP(-Presion_cilindro!$B$16*((Presion_cilindro!N557-(-M$4+Presion_cilindro!$B$34))/Presion_cilindro!$B$35)^(Presion_cilindro!$B$17+1)),0)-IF(Presion_cilindro!N556&gt;(-M$4+Presion_cilindro!$B$34),1-EXP(-Presion_cilindro!$B$16*((Presion_cilindro!N556-(-M$4+Presion_cilindro!$B$34))/Presion_cilindro!$B$35)^(Presion_cilindro!$B$17+1)),0))/((Presion_cilindro!O556+Presion_cilindro!O557)/2)</f>
        <v>4.1183843276907517</v>
      </c>
      <c r="N565" s="27">
        <f>N564*(Presion_cilindro!O556/Presion_cilindro!O557)^Presion_cilindro!$B$9+10*(Presion_cilindro!$B$9-1)*Presion_cilindro!$B$33*(IF(Presion_cilindro!N557&gt;(-N$4+Presion_cilindro!$B$34),1-EXP(-Presion_cilindro!$B$16*((Presion_cilindro!N557-(-N$4+Presion_cilindro!$B$34))/Presion_cilindro!$B$35)^(Presion_cilindro!$B$17+1)),0)-IF(Presion_cilindro!N556&gt;(-N$4+Presion_cilindro!$B$34),1-EXP(-Presion_cilindro!$B$16*((Presion_cilindro!N556-(-N$4+Presion_cilindro!$B$34))/Presion_cilindro!$B$35)^(Presion_cilindro!$B$17+1)),0))/((Presion_cilindro!O556+Presion_cilindro!O557)/2)</f>
        <v>4.2372800252664007</v>
      </c>
    </row>
    <row r="566" spans="1:14" x14ac:dyDescent="0.25">
      <c r="A566" s="21">
        <f>Presion_cilindro!N558</f>
        <v>97</v>
      </c>
      <c r="B566" s="27">
        <f>B565*(Presion_cilindro!O557/Presion_cilindro!O558)^Presion_cilindro!$B$9+10*(Presion_cilindro!$B$9-1)*Presion_cilindro!$B$33*(IF(Presion_cilindro!N558&gt;(-B$4+Presion_cilindro!$B$34),1-EXP(-Presion_cilindro!$B$16*((Presion_cilindro!N558-(-B$4+Presion_cilindro!$B$34))/Presion_cilindro!$B$35)^(Presion_cilindro!$B$17+1)),0)-IF(Presion_cilindro!N557&gt;(-B$4+Presion_cilindro!$B$34),1-EXP(-Presion_cilindro!$B$16*((Presion_cilindro!N557-(-B$4+Presion_cilindro!$B$34))/Presion_cilindro!$B$35)^(Presion_cilindro!$B$17+1)),0))/((Presion_cilindro!O557+Presion_cilindro!O558)/2)</f>
        <v>4.4226574602838777</v>
      </c>
      <c r="C566" s="27">
        <f>C565*(Presion_cilindro!O557/Presion_cilindro!O558)^Presion_cilindro!$B$9+10*(Presion_cilindro!$B$9-1)*Presion_cilindro!$B$33*(IF(Presion_cilindro!N558&gt;(-C$4+Presion_cilindro!$B$34),1-EXP(-Presion_cilindro!$B$16*((Presion_cilindro!N558-(-C$4+Presion_cilindro!$B$34))/Presion_cilindro!$B$35)^(Presion_cilindro!$B$17+1)),0)-IF(Presion_cilindro!N557&gt;(-C$4+Presion_cilindro!$B$34),1-EXP(-Presion_cilindro!$B$16*((Presion_cilindro!N557-(-C$4+Presion_cilindro!$B$34))/Presion_cilindro!$B$35)^(Presion_cilindro!$B$17+1)),0))/((Presion_cilindro!O557+Presion_cilindro!O558)/2)</f>
        <v>4.2866883330423828</v>
      </c>
      <c r="D566" s="27">
        <f>D565*(Presion_cilindro!O557/Presion_cilindro!O558)^Presion_cilindro!$B$9+10*(Presion_cilindro!$B$9-1)*Presion_cilindro!$B$33*(IF(Presion_cilindro!N558&gt;(-D$4+Presion_cilindro!$B$34),1-EXP(-Presion_cilindro!$B$16*((Presion_cilindro!N558-(-D$4+Presion_cilindro!$B$34))/Presion_cilindro!$B$35)^(Presion_cilindro!$B$17+1)),0)-IF(Presion_cilindro!N557&gt;(-D$4+Presion_cilindro!$B$34),1-EXP(-Presion_cilindro!$B$16*((Presion_cilindro!N557-(-D$4+Presion_cilindro!$B$34))/Presion_cilindro!$B$35)^(Presion_cilindro!$B$17+1)),0))/((Presion_cilindro!O557+Presion_cilindro!O558)/2)</f>
        <v>4.1600529606555776</v>
      </c>
      <c r="E566" s="27">
        <f>E565*(Presion_cilindro!O557/Presion_cilindro!O558)^Presion_cilindro!$B$9+10*(Presion_cilindro!$B$9-1)*Presion_cilindro!$B$33*(IF(Presion_cilindro!N558&gt;(-E$4+Presion_cilindro!$B$34),1-EXP(-Presion_cilindro!$B$16*((Presion_cilindro!N558-(-E$4+Presion_cilindro!$B$34))/Presion_cilindro!$B$35)^(Presion_cilindro!$B$17+1)),0)-IF(Presion_cilindro!N557&gt;(-E$4+Presion_cilindro!$B$34),1-EXP(-Presion_cilindro!$B$16*((Presion_cilindro!N557-(-E$4+Presion_cilindro!$B$34))/Presion_cilindro!$B$35)^(Presion_cilindro!$B$17+1)),0))/((Presion_cilindro!O557+Presion_cilindro!O558)/2)</f>
        <v>4.0474623375851388</v>
      </c>
      <c r="F566" s="27">
        <f>F565*(Presion_cilindro!O557/Presion_cilindro!O558)^Presion_cilindro!$B$9+10*(Presion_cilindro!$B$9-1)*Presion_cilindro!$B$33*(IF(Presion_cilindro!N558&gt;(-F$4+Presion_cilindro!$B$34),1-EXP(-Presion_cilindro!$B$16*((Presion_cilindro!N558-(-F$4+Presion_cilindro!$B$34))/Presion_cilindro!$B$35)^(Presion_cilindro!$B$17+1)),0)-IF(Presion_cilindro!N557&gt;(-F$4+Presion_cilindro!$B$34),1-EXP(-Presion_cilindro!$B$16*((Presion_cilindro!N557-(-F$4+Presion_cilindro!$B$34))/Presion_cilindro!$B$35)^(Presion_cilindro!$B$17+1)),0))/((Presion_cilindro!O557+Presion_cilindro!O558)/2)</f>
        <v>3.9540485405794121</v>
      </c>
      <c r="G566" s="27">
        <f>G565*(Presion_cilindro!O557/Presion_cilindro!O558)^Presion_cilindro!$B$9+10*(Presion_cilindro!$B$9-1)*Presion_cilindro!$B$33*(IF(Presion_cilindro!N558&gt;(-G$4+Presion_cilindro!$B$34),1-EXP(-Presion_cilindro!$B$16*((Presion_cilindro!N558-(-G$4+Presion_cilindro!$B$34))/Presion_cilindro!$B$35)^(Presion_cilindro!$B$17+1)),0)-IF(Presion_cilindro!N557&gt;(-G$4+Presion_cilindro!$B$34),1-EXP(-Presion_cilindro!$B$16*((Presion_cilindro!N557-(-G$4+Presion_cilindro!$B$34))/Presion_cilindro!$B$35)^(Presion_cilindro!$B$17+1)),0))/((Presion_cilindro!O557+Presion_cilindro!O558)/2)</f>
        <v>3.8848300135845508</v>
      </c>
      <c r="H566" s="27">
        <f>H565*(Presion_cilindro!O557/Presion_cilindro!O558)^Presion_cilindro!$B$9+10*(Presion_cilindro!$B$9-1)*Presion_cilindro!$B$33*(IF(Presion_cilindro!N558&gt;(-H$4+Presion_cilindro!$B$34),1-EXP(-Presion_cilindro!$B$16*((Presion_cilindro!N558-(-H$4+Presion_cilindro!$B$34))/Presion_cilindro!$B$35)^(Presion_cilindro!$B$17+1)),0)-IF(Presion_cilindro!N557&gt;(-H$4+Presion_cilindro!$B$34),1-EXP(-Presion_cilindro!$B$16*((Presion_cilindro!N557-(-H$4+Presion_cilindro!$B$34))/Presion_cilindro!$B$35)^(Presion_cilindro!$B$17+1)),0))/((Presion_cilindro!O557+Presion_cilindro!O558)/2)</f>
        <v>3.8439989232977649</v>
      </c>
      <c r="I566" s="27">
        <f>I565*(Presion_cilindro!O557/Presion_cilindro!O558)^Presion_cilindro!$B$9+10*(Presion_cilindro!$B$9-1)*Presion_cilindro!$B$33*(IF(Presion_cilindro!N558&gt;(-I$4+Presion_cilindro!$B$34),1-EXP(-Presion_cilindro!$B$16*((Presion_cilindro!N558-(-I$4+Presion_cilindro!$B$34))/Presion_cilindro!$B$35)^(Presion_cilindro!$B$17+1)),0)-IF(Presion_cilindro!N557&gt;(-I$4+Presion_cilindro!$B$34),1-EXP(-Presion_cilindro!$B$16*((Presion_cilindro!N557-(-I$4+Presion_cilindro!$B$34))/Presion_cilindro!$B$35)^(Presion_cilindro!$B$17+1)),0))/((Presion_cilindro!O557+Presion_cilindro!O558)/2)</f>
        <v>3.8342046838437711</v>
      </c>
      <c r="J566" s="27">
        <f>J565*(Presion_cilindro!O557/Presion_cilindro!O558)^Presion_cilindro!$B$9+10*(Presion_cilindro!$B$9-1)*Presion_cilindro!$B$33*(IF(Presion_cilindro!N558&gt;(-J$4+Presion_cilindro!$B$34),1-EXP(-Presion_cilindro!$B$16*((Presion_cilindro!N558-(-J$4+Presion_cilindro!$B$34))/Presion_cilindro!$B$35)^(Presion_cilindro!$B$17+1)),0)-IF(Presion_cilindro!N557&gt;(-J$4+Presion_cilindro!$B$34),1-EXP(-Presion_cilindro!$B$16*((Presion_cilindro!N557-(-J$4+Presion_cilindro!$B$34))/Presion_cilindro!$B$35)^(Presion_cilindro!$B$17+1)),0))/((Presion_cilindro!O557+Presion_cilindro!O558)/2)</f>
        <v>3.8560573003468854</v>
      </c>
      <c r="K566" s="27">
        <f>K565*(Presion_cilindro!O557/Presion_cilindro!O558)^Presion_cilindro!$B$9+10*(Presion_cilindro!$B$9-1)*Presion_cilindro!$B$33*(IF(Presion_cilindro!N558&gt;(-K$4+Presion_cilindro!$B$34),1-EXP(-Presion_cilindro!$B$16*((Presion_cilindro!N558-(-K$4+Presion_cilindro!$B$34))/Presion_cilindro!$B$35)^(Presion_cilindro!$B$17+1)),0)-IF(Presion_cilindro!N557&gt;(-K$4+Presion_cilindro!$B$34),1-EXP(-Presion_cilindro!$B$16*((Presion_cilindro!N557-(-K$4+Presion_cilindro!$B$34))/Presion_cilindro!$B$35)^(Presion_cilindro!$B$17+1)),0))/((Presion_cilindro!O557+Presion_cilindro!O558)/2)</f>
        <v>3.9080215005383532</v>
      </c>
      <c r="L566" s="27">
        <f>L565*(Presion_cilindro!O557/Presion_cilindro!O558)^Presion_cilindro!$B$9+10*(Presion_cilindro!$B$9-1)*Presion_cilindro!$B$33*(IF(Presion_cilindro!N558&gt;(-L$4+Presion_cilindro!$B$34),1-EXP(-Presion_cilindro!$B$16*((Presion_cilindro!N558-(-L$4+Presion_cilindro!$B$34))/Presion_cilindro!$B$35)^(Presion_cilindro!$B$17+1)),0)-IF(Presion_cilindro!N557&gt;(-L$4+Presion_cilindro!$B$34),1-EXP(-Presion_cilindro!$B$16*((Presion_cilindro!N557-(-L$4+Presion_cilindro!$B$34))/Presion_cilindro!$B$35)^(Presion_cilindro!$B$17+1)),0))/((Presion_cilindro!O557+Presion_cilindro!O558)/2)</f>
        <v>3.9867341273311041</v>
      </c>
      <c r="M566" s="27">
        <f>M565*(Presion_cilindro!O557/Presion_cilindro!O558)^Presion_cilindro!$B$9+10*(Presion_cilindro!$B$9-1)*Presion_cilindro!$B$33*(IF(Presion_cilindro!N558&gt;(-M$4+Presion_cilindro!$B$34),1-EXP(-Presion_cilindro!$B$16*((Presion_cilindro!N558-(-M$4+Presion_cilindro!$B$34))/Presion_cilindro!$B$35)^(Presion_cilindro!$B$17+1)),0)-IF(Presion_cilindro!N557&gt;(-M$4+Presion_cilindro!$B$34),1-EXP(-Presion_cilindro!$B$16*((Presion_cilindro!N557-(-M$4+Presion_cilindro!$B$34))/Presion_cilindro!$B$35)^(Presion_cilindro!$B$17+1)),0))/((Presion_cilindro!O557+Presion_cilindro!O558)/2)</f>
        <v>4.0876247456412296</v>
      </c>
      <c r="N566" s="27">
        <f>N565*(Presion_cilindro!O557/Presion_cilindro!O558)^Presion_cilindro!$B$9+10*(Presion_cilindro!$B$9-1)*Presion_cilindro!$B$33*(IF(Presion_cilindro!N558&gt;(-N$4+Presion_cilindro!$B$34),1-EXP(-Presion_cilindro!$B$16*((Presion_cilindro!N558-(-N$4+Presion_cilindro!$B$34))/Presion_cilindro!$B$35)^(Presion_cilindro!$B$17+1)),0)-IF(Presion_cilindro!N557&gt;(-N$4+Presion_cilindro!$B$34),1-EXP(-Presion_cilindro!$B$16*((Presion_cilindro!N557-(-N$4+Presion_cilindro!$B$34))/Presion_cilindro!$B$35)^(Presion_cilindro!$B$17+1)),0))/((Presion_cilindro!O557+Presion_cilindro!O558)/2)</f>
        <v>4.2056324294537326</v>
      </c>
    </row>
    <row r="567" spans="1:14" x14ac:dyDescent="0.25">
      <c r="A567" s="21">
        <f>Presion_cilindro!N559</f>
        <v>97.5</v>
      </c>
      <c r="B567" s="27">
        <f>B566*(Presion_cilindro!O558/Presion_cilindro!O559)^Presion_cilindro!$B$9+10*(Presion_cilindro!$B$9-1)*Presion_cilindro!$B$33*(IF(Presion_cilindro!N559&gt;(-B$4+Presion_cilindro!$B$34),1-EXP(-Presion_cilindro!$B$16*((Presion_cilindro!N559-(-B$4+Presion_cilindro!$B$34))/Presion_cilindro!$B$35)^(Presion_cilindro!$B$17+1)),0)-IF(Presion_cilindro!N558&gt;(-B$4+Presion_cilindro!$B$34),1-EXP(-Presion_cilindro!$B$16*((Presion_cilindro!N558-(-B$4+Presion_cilindro!$B$34))/Presion_cilindro!$B$35)^(Presion_cilindro!$B$17+1)),0))/((Presion_cilindro!O558+Presion_cilindro!O559)/2)</f>
        <v>4.3899317864750511</v>
      </c>
      <c r="C567" s="27">
        <f>C566*(Presion_cilindro!O558/Presion_cilindro!O559)^Presion_cilindro!$B$9+10*(Presion_cilindro!$B$9-1)*Presion_cilindro!$B$33*(IF(Presion_cilindro!N559&gt;(-C$4+Presion_cilindro!$B$34),1-EXP(-Presion_cilindro!$B$16*((Presion_cilindro!N559-(-C$4+Presion_cilindro!$B$34))/Presion_cilindro!$B$35)^(Presion_cilindro!$B$17+1)),0)-IF(Presion_cilindro!N558&gt;(-C$4+Presion_cilindro!$B$34),1-EXP(-Presion_cilindro!$B$16*((Presion_cilindro!N558-(-C$4+Presion_cilindro!$B$34))/Presion_cilindro!$B$35)^(Presion_cilindro!$B$17+1)),0))/((Presion_cilindro!O558+Presion_cilindro!O559)/2)</f>
        <v>4.2549687695518656</v>
      </c>
      <c r="D567" s="27">
        <f>D566*(Presion_cilindro!O558/Presion_cilindro!O559)^Presion_cilindro!$B$9+10*(Presion_cilindro!$B$9-1)*Presion_cilindro!$B$33*(IF(Presion_cilindro!N559&gt;(-D$4+Presion_cilindro!$B$34),1-EXP(-Presion_cilindro!$B$16*((Presion_cilindro!N559-(-D$4+Presion_cilindro!$B$34))/Presion_cilindro!$B$35)^(Presion_cilindro!$B$17+1)),0)-IF(Presion_cilindro!N558&gt;(-D$4+Presion_cilindro!$B$34),1-EXP(-Presion_cilindro!$B$16*((Presion_cilindro!N558-(-D$4+Presion_cilindro!$B$34))/Presion_cilindro!$B$35)^(Presion_cilindro!$B$17+1)),0))/((Presion_cilindro!O558+Presion_cilindro!O559)/2)</f>
        <v>4.1292704419004105</v>
      </c>
      <c r="E567" s="27">
        <f>E566*(Presion_cilindro!O558/Presion_cilindro!O559)^Presion_cilindro!$B$9+10*(Presion_cilindro!$B$9-1)*Presion_cilindro!$B$33*(IF(Presion_cilindro!N559&gt;(-E$4+Presion_cilindro!$B$34),1-EXP(-Presion_cilindro!$B$16*((Presion_cilindro!N559-(-E$4+Presion_cilindro!$B$34))/Presion_cilindro!$B$35)^(Presion_cilindro!$B$17+1)),0)-IF(Presion_cilindro!N558&gt;(-E$4+Presion_cilindro!$B$34),1-EXP(-Presion_cilindro!$B$16*((Presion_cilindro!N558-(-E$4+Presion_cilindro!$B$34))/Presion_cilindro!$B$35)^(Presion_cilindro!$B$17+1)),0))/((Presion_cilindro!O558+Presion_cilindro!O559)/2)</f>
        <v>4.0175129387443338</v>
      </c>
      <c r="F567" s="27">
        <f>F566*(Presion_cilindro!O558/Presion_cilindro!O559)^Presion_cilindro!$B$9+10*(Presion_cilindro!$B$9-1)*Presion_cilindro!$B$33*(IF(Presion_cilindro!N559&gt;(-F$4+Presion_cilindro!$B$34),1-EXP(-Presion_cilindro!$B$16*((Presion_cilindro!N559-(-F$4+Presion_cilindro!$B$34))/Presion_cilindro!$B$35)^(Presion_cilindro!$B$17+1)),0)-IF(Presion_cilindro!N558&gt;(-F$4+Presion_cilindro!$B$34),1-EXP(-Presion_cilindro!$B$16*((Presion_cilindro!N558-(-F$4+Presion_cilindro!$B$34))/Presion_cilindro!$B$35)^(Presion_cilindro!$B$17+1)),0))/((Presion_cilindro!O558+Presion_cilindro!O559)/2)</f>
        <v>3.9247903617748698</v>
      </c>
      <c r="G567" s="27">
        <f>G566*(Presion_cilindro!O558/Presion_cilindro!O559)^Presion_cilindro!$B$9+10*(Presion_cilindro!$B$9-1)*Presion_cilindro!$B$33*(IF(Presion_cilindro!N559&gt;(-G$4+Presion_cilindro!$B$34),1-EXP(-Presion_cilindro!$B$16*((Presion_cilindro!N559-(-G$4+Presion_cilindro!$B$34))/Presion_cilindro!$B$35)^(Presion_cilindro!$B$17+1)),0)-IF(Presion_cilindro!N558&gt;(-G$4+Presion_cilindro!$B$34),1-EXP(-Presion_cilindro!$B$16*((Presion_cilindro!N558-(-G$4+Presion_cilindro!$B$34))/Presion_cilindro!$B$35)^(Presion_cilindro!$B$17+1)),0))/((Presion_cilindro!O558+Presion_cilindro!O559)/2)</f>
        <v>3.8560840207126339</v>
      </c>
      <c r="H567" s="27">
        <f>H566*(Presion_cilindro!O558/Presion_cilindro!O559)^Presion_cilindro!$B$9+10*(Presion_cilindro!$B$9-1)*Presion_cilindro!$B$33*(IF(Presion_cilindro!N559&gt;(-H$4+Presion_cilindro!$B$34),1-EXP(-Presion_cilindro!$B$16*((Presion_cilindro!N559-(-H$4+Presion_cilindro!$B$34))/Presion_cilindro!$B$35)^(Presion_cilindro!$B$17+1)),0)-IF(Presion_cilindro!N558&gt;(-H$4+Presion_cilindro!$B$34),1-EXP(-Presion_cilindro!$B$16*((Presion_cilindro!N558-(-H$4+Presion_cilindro!$B$34))/Presion_cilindro!$B$35)^(Presion_cilindro!$B$17+1)),0))/((Presion_cilindro!O558+Presion_cilindro!O559)/2)</f>
        <v>3.8155550621088903</v>
      </c>
      <c r="I567" s="27">
        <f>I566*(Presion_cilindro!O558/Presion_cilindro!O559)^Presion_cilindro!$B$9+10*(Presion_cilindro!$B$9-1)*Presion_cilindro!$B$33*(IF(Presion_cilindro!N559&gt;(-I$4+Presion_cilindro!$B$34),1-EXP(-Presion_cilindro!$B$16*((Presion_cilindro!N559-(-I$4+Presion_cilindro!$B$34))/Presion_cilindro!$B$35)^(Presion_cilindro!$B$17+1)),0)-IF(Presion_cilindro!N558&gt;(-I$4+Presion_cilindro!$B$34),1-EXP(-Presion_cilindro!$B$16*((Presion_cilindro!N558-(-I$4+Presion_cilindro!$B$34))/Presion_cilindro!$B$35)^(Presion_cilindro!$B$17+1)),0))/((Presion_cilindro!O558+Presion_cilindro!O559)/2)</f>
        <v>3.8058332956167882</v>
      </c>
      <c r="J567" s="27">
        <f>J566*(Presion_cilindro!O558/Presion_cilindro!O559)^Presion_cilindro!$B$9+10*(Presion_cilindro!$B$9-1)*Presion_cilindro!$B$33*(IF(Presion_cilindro!N559&gt;(-J$4+Presion_cilindro!$B$34),1-EXP(-Presion_cilindro!$B$16*((Presion_cilindro!N559-(-J$4+Presion_cilindro!$B$34))/Presion_cilindro!$B$35)^(Presion_cilindro!$B$17+1)),0)-IF(Presion_cilindro!N558&gt;(-J$4+Presion_cilindro!$B$34),1-EXP(-Presion_cilindro!$B$16*((Presion_cilindro!N558-(-J$4+Presion_cilindro!$B$34))/Presion_cilindro!$B$35)^(Presion_cilindro!$B$17+1)),0))/((Presion_cilindro!O558+Presion_cilindro!O559)/2)</f>
        <v>3.8275242125973916</v>
      </c>
      <c r="K567" s="27">
        <f>K566*(Presion_cilindro!O558/Presion_cilindro!O559)^Presion_cilindro!$B$9+10*(Presion_cilindro!$B$9-1)*Presion_cilindro!$B$33*(IF(Presion_cilindro!N559&gt;(-K$4+Presion_cilindro!$B$34),1-EXP(-Presion_cilindro!$B$16*((Presion_cilindro!N559-(-K$4+Presion_cilindro!$B$34))/Presion_cilindro!$B$35)^(Presion_cilindro!$B$17+1)),0)-IF(Presion_cilindro!N558&gt;(-K$4+Presion_cilindro!$B$34),1-EXP(-Presion_cilindro!$B$16*((Presion_cilindro!N558-(-K$4+Presion_cilindro!$B$34))/Presion_cilindro!$B$35)^(Presion_cilindro!$B$17+1)),0))/((Presion_cilindro!O558+Presion_cilindro!O559)/2)</f>
        <v>3.879103901105446</v>
      </c>
      <c r="L567" s="27">
        <f>L566*(Presion_cilindro!O558/Presion_cilindro!O559)^Presion_cilindro!$B$9+10*(Presion_cilindro!$B$9-1)*Presion_cilindro!$B$33*(IF(Presion_cilindro!N559&gt;(-L$4+Presion_cilindro!$B$34),1-EXP(-Presion_cilindro!$B$16*((Presion_cilindro!N559-(-L$4+Presion_cilindro!$B$34))/Presion_cilindro!$B$35)^(Presion_cilindro!$B$17+1)),0)-IF(Presion_cilindro!N558&gt;(-L$4+Presion_cilindro!$B$34),1-EXP(-Presion_cilindro!$B$16*((Presion_cilindro!N558-(-L$4+Presion_cilindro!$B$34))/Presion_cilindro!$B$35)^(Presion_cilindro!$B$17+1)),0))/((Presion_cilindro!O558+Presion_cilindro!O559)/2)</f>
        <v>3.9572340899019909</v>
      </c>
      <c r="M567" s="27">
        <f>M566*(Presion_cilindro!O558/Presion_cilindro!O559)^Presion_cilindro!$B$9+10*(Presion_cilindro!$B$9-1)*Presion_cilindro!$B$33*(IF(Presion_cilindro!N559&gt;(-M$4+Presion_cilindro!$B$34),1-EXP(-Presion_cilindro!$B$16*((Presion_cilindro!N559-(-M$4+Presion_cilindro!$B$34))/Presion_cilindro!$B$35)^(Presion_cilindro!$B$17+1)),0)-IF(Presion_cilindro!N558&gt;(-M$4+Presion_cilindro!$B$34),1-EXP(-Presion_cilindro!$B$16*((Presion_cilindro!N558-(-M$4+Presion_cilindro!$B$34))/Presion_cilindro!$B$35)^(Presion_cilindro!$B$17+1)),0))/((Presion_cilindro!O558+Presion_cilindro!O559)/2)</f>
        <v>4.0573781630648007</v>
      </c>
      <c r="N567" s="27">
        <f>N566*(Presion_cilindro!O558/Presion_cilindro!O559)^Presion_cilindro!$B$9+10*(Presion_cilindro!$B$9-1)*Presion_cilindro!$B$33*(IF(Presion_cilindro!N559&gt;(-N$4+Presion_cilindro!$B$34),1-EXP(-Presion_cilindro!$B$16*((Presion_cilindro!N559-(-N$4+Presion_cilindro!$B$34))/Presion_cilindro!$B$35)^(Presion_cilindro!$B$17+1)),0)-IF(Presion_cilindro!N558&gt;(-N$4+Presion_cilindro!$B$34),1-EXP(-Presion_cilindro!$B$16*((Presion_cilindro!N558-(-N$4+Presion_cilindro!$B$34))/Presion_cilindro!$B$35)^(Presion_cilindro!$B$17+1)),0))/((Presion_cilindro!O558+Presion_cilindro!O559)/2)</f>
        <v>4.1745126431525996</v>
      </c>
    </row>
    <row r="568" spans="1:14" x14ac:dyDescent="0.25">
      <c r="A568" s="21">
        <f>Presion_cilindro!N560</f>
        <v>98</v>
      </c>
      <c r="B568" s="27">
        <f>B567*(Presion_cilindro!O559/Presion_cilindro!O560)^Presion_cilindro!$B$9+10*(Presion_cilindro!$B$9-1)*Presion_cilindro!$B$33*(IF(Presion_cilindro!N560&gt;(-B$4+Presion_cilindro!$B$34),1-EXP(-Presion_cilindro!$B$16*((Presion_cilindro!N560-(-B$4+Presion_cilindro!$B$34))/Presion_cilindro!$B$35)^(Presion_cilindro!$B$17+1)),0)-IF(Presion_cilindro!N559&gt;(-B$4+Presion_cilindro!$B$34),1-EXP(-Presion_cilindro!$B$16*((Presion_cilindro!N559-(-B$4+Presion_cilindro!$B$34))/Presion_cilindro!$B$35)^(Presion_cilindro!$B$17+1)),0))/((Presion_cilindro!O559+Presion_cilindro!O560)/2)</f>
        <v>4.357750578657769</v>
      </c>
      <c r="C568" s="27">
        <f>C567*(Presion_cilindro!O559/Presion_cilindro!O560)^Presion_cilindro!$B$9+10*(Presion_cilindro!$B$9-1)*Presion_cilindro!$B$33*(IF(Presion_cilindro!N560&gt;(-C$4+Presion_cilindro!$B$34),1-EXP(-Presion_cilindro!$B$16*((Presion_cilindro!N560-(-C$4+Presion_cilindro!$B$34))/Presion_cilindro!$B$35)^(Presion_cilindro!$B$17+1)),0)-IF(Presion_cilindro!N559&gt;(-C$4+Presion_cilindro!$B$34),1-EXP(-Presion_cilindro!$B$16*((Presion_cilindro!N559-(-C$4+Presion_cilindro!$B$34))/Presion_cilindro!$B$35)^(Presion_cilindro!$B$17+1)),0))/((Presion_cilindro!O559+Presion_cilindro!O560)/2)</f>
        <v>4.2237769331202637</v>
      </c>
      <c r="D568" s="27">
        <f>D567*(Presion_cilindro!O559/Presion_cilindro!O560)^Presion_cilindro!$B$9+10*(Presion_cilindro!$B$9-1)*Presion_cilindro!$B$33*(IF(Presion_cilindro!N560&gt;(-D$4+Presion_cilindro!$B$34),1-EXP(-Presion_cilindro!$B$16*((Presion_cilindro!N560-(-D$4+Presion_cilindro!$B$34))/Presion_cilindro!$B$35)^(Presion_cilindro!$B$17+1)),0)-IF(Presion_cilindro!N559&gt;(-D$4+Presion_cilindro!$B$34),1-EXP(-Presion_cilindro!$B$16*((Presion_cilindro!N559-(-D$4+Presion_cilindro!$B$34))/Presion_cilindro!$B$35)^(Presion_cilindro!$B$17+1)),0))/((Presion_cilindro!O559+Presion_cilindro!O560)/2)</f>
        <v>4.0990000603344434</v>
      </c>
      <c r="E568" s="27">
        <f>E567*(Presion_cilindro!O559/Presion_cilindro!O560)^Presion_cilindro!$B$9+10*(Presion_cilindro!$B$9-1)*Presion_cilindro!$B$33*(IF(Presion_cilindro!N560&gt;(-E$4+Presion_cilindro!$B$34),1-EXP(-Presion_cilindro!$B$16*((Presion_cilindro!N560-(-E$4+Presion_cilindro!$B$34))/Presion_cilindro!$B$35)^(Presion_cilindro!$B$17+1)),0)-IF(Presion_cilindro!N559&gt;(-E$4+Presion_cilindro!$B$34),1-EXP(-Presion_cilindro!$B$16*((Presion_cilindro!N559-(-E$4+Presion_cilindro!$B$34))/Presion_cilindro!$B$35)^(Presion_cilindro!$B$17+1)),0))/((Presion_cilindro!O559+Presion_cilindro!O560)/2)</f>
        <v>3.988061816248702</v>
      </c>
      <c r="F568" s="27">
        <f>F567*(Presion_cilindro!O559/Presion_cilindro!O560)^Presion_cilindro!$B$9+10*(Presion_cilindro!$B$9-1)*Presion_cilindro!$B$33*(IF(Presion_cilindro!N560&gt;(-F$4+Presion_cilindro!$B$34),1-EXP(-Presion_cilindro!$B$16*((Presion_cilindro!N560-(-F$4+Presion_cilindro!$B$34))/Presion_cilindro!$B$35)^(Presion_cilindro!$B$17+1)),0)-IF(Presion_cilindro!N559&gt;(-F$4+Presion_cilindro!$B$34),1-EXP(-Presion_cilindro!$B$16*((Presion_cilindro!N559-(-F$4+Presion_cilindro!$B$34))/Presion_cilindro!$B$35)^(Presion_cilindro!$B$17+1)),0))/((Presion_cilindro!O559+Presion_cilindro!O560)/2)</f>
        <v>3.8960189592985821</v>
      </c>
      <c r="G568" s="27">
        <f>G567*(Presion_cilindro!O559/Presion_cilindro!O560)^Presion_cilindro!$B$9+10*(Presion_cilindro!$B$9-1)*Presion_cilindro!$B$33*(IF(Presion_cilindro!N560&gt;(-G$4+Presion_cilindro!$B$34),1-EXP(-Presion_cilindro!$B$16*((Presion_cilindro!N560-(-G$4+Presion_cilindro!$B$34))/Presion_cilindro!$B$35)^(Presion_cilindro!$B$17+1)),0)-IF(Presion_cilindro!N559&gt;(-G$4+Presion_cilindro!$B$34),1-EXP(-Presion_cilindro!$B$16*((Presion_cilindro!N559-(-G$4+Presion_cilindro!$B$34))/Presion_cilindro!$B$35)^(Presion_cilindro!$B$17+1)),0))/((Presion_cilindro!O559+Presion_cilindro!O560)/2)</f>
        <v>3.8278162827914337</v>
      </c>
      <c r="H568" s="27">
        <f>H567*(Presion_cilindro!O559/Presion_cilindro!O560)^Presion_cilindro!$B$9+10*(Presion_cilindro!$B$9-1)*Presion_cilindro!$B$33*(IF(Presion_cilindro!N560&gt;(-H$4+Presion_cilindro!$B$34),1-EXP(-Presion_cilindro!$B$16*((Presion_cilindro!N560-(-H$4+Presion_cilindro!$B$34))/Presion_cilindro!$B$35)^(Presion_cilindro!$B$17+1)),0)-IF(Presion_cilindro!N559&gt;(-H$4+Presion_cilindro!$B$34),1-EXP(-Presion_cilindro!$B$16*((Presion_cilindro!N559-(-H$4+Presion_cilindro!$B$34))/Presion_cilindro!$B$35)^(Presion_cilindro!$B$17+1)),0))/((Presion_cilindro!O559+Presion_cilindro!O560)/2)</f>
        <v>3.7875844292232328</v>
      </c>
      <c r="I568" s="27">
        <f>I567*(Presion_cilindro!O559/Presion_cilindro!O560)^Presion_cilindro!$B$9+10*(Presion_cilindro!$B$9-1)*Presion_cilindro!$B$33*(IF(Presion_cilindro!N560&gt;(-I$4+Presion_cilindro!$B$34),1-EXP(-Presion_cilindro!$B$16*((Presion_cilindro!N560-(-I$4+Presion_cilindro!$B$34))/Presion_cilindro!$B$35)^(Presion_cilindro!$B$17+1)),0)-IF(Presion_cilindro!N559&gt;(-I$4+Presion_cilindro!$B$34),1-EXP(-Presion_cilindro!$B$16*((Presion_cilindro!N559-(-I$4+Presion_cilindro!$B$34))/Presion_cilindro!$B$35)^(Presion_cilindro!$B$17+1)),0))/((Presion_cilindro!O559+Presion_cilindro!O560)/2)</f>
        <v>3.7779339299405206</v>
      </c>
      <c r="J568" s="27">
        <f>J567*(Presion_cilindro!O559/Presion_cilindro!O560)^Presion_cilindro!$B$9+10*(Presion_cilindro!$B$9-1)*Presion_cilindro!$B$33*(IF(Presion_cilindro!N560&gt;(-J$4+Presion_cilindro!$B$34),1-EXP(-Presion_cilindro!$B$16*((Presion_cilindro!N560-(-J$4+Presion_cilindro!$B$34))/Presion_cilindro!$B$35)^(Presion_cilindro!$B$17+1)),0)-IF(Presion_cilindro!N559&gt;(-J$4+Presion_cilindro!$B$34),1-EXP(-Presion_cilindro!$B$16*((Presion_cilindro!N559-(-J$4+Presion_cilindro!$B$34))/Presion_cilindro!$B$35)^(Presion_cilindro!$B$17+1)),0))/((Presion_cilindro!O559+Presion_cilindro!O560)/2)</f>
        <v>3.7994658376378241</v>
      </c>
      <c r="K568" s="27">
        <f>K567*(Presion_cilindro!O559/Presion_cilindro!O560)^Presion_cilindro!$B$9+10*(Presion_cilindro!$B$9-1)*Presion_cilindro!$B$33*(IF(Presion_cilindro!N560&gt;(-K$4+Presion_cilindro!$B$34),1-EXP(-Presion_cilindro!$B$16*((Presion_cilindro!N560-(-K$4+Presion_cilindro!$B$34))/Presion_cilindro!$B$35)^(Presion_cilindro!$B$17+1)),0)-IF(Presion_cilindro!N559&gt;(-K$4+Presion_cilindro!$B$34),1-EXP(-Presion_cilindro!$B$16*((Presion_cilindro!N559-(-K$4+Presion_cilindro!$B$34))/Presion_cilindro!$B$35)^(Presion_cilindro!$B$17+1)),0))/((Presion_cilindro!O559+Presion_cilindro!O560)/2)</f>
        <v>3.8506674116885766</v>
      </c>
      <c r="L568" s="27">
        <f>L567*(Presion_cilindro!O559/Presion_cilindro!O560)^Presion_cilindro!$B$9+10*(Presion_cilindro!$B$9-1)*Presion_cilindro!$B$33*(IF(Presion_cilindro!N560&gt;(-L$4+Presion_cilindro!$B$34),1-EXP(-Presion_cilindro!$B$16*((Presion_cilindro!N560-(-L$4+Presion_cilindro!$B$34))/Presion_cilindro!$B$35)^(Presion_cilindro!$B$17+1)),0)-IF(Presion_cilindro!N559&gt;(-L$4+Presion_cilindro!$B$34),1-EXP(-Presion_cilindro!$B$16*((Presion_cilindro!N559-(-L$4+Presion_cilindro!$B$34))/Presion_cilindro!$B$35)^(Presion_cilindro!$B$17+1)),0))/((Presion_cilindro!O559+Presion_cilindro!O560)/2)</f>
        <v>3.9282248526692616</v>
      </c>
      <c r="M568" s="27">
        <f>M567*(Presion_cilindro!O559/Presion_cilindro!O560)^Presion_cilindro!$B$9+10*(Presion_cilindro!$B$9-1)*Presion_cilindro!$B$33*(IF(Presion_cilindro!N560&gt;(-M$4+Presion_cilindro!$B$34),1-EXP(-Presion_cilindro!$B$16*((Presion_cilindro!N560-(-M$4+Presion_cilindro!$B$34))/Presion_cilindro!$B$35)^(Presion_cilindro!$B$17+1)),0)-IF(Presion_cilindro!N559&gt;(-M$4+Presion_cilindro!$B$34),1-EXP(-Presion_cilindro!$B$16*((Presion_cilindro!N559-(-M$4+Presion_cilindro!$B$34))/Presion_cilindro!$B$35)^(Presion_cilindro!$B$17+1)),0))/((Presion_cilindro!O559+Presion_cilindro!O560)/2)</f>
        <v>4.0276348011606888</v>
      </c>
      <c r="N568" s="27">
        <f>N567*(Presion_cilindro!O559/Presion_cilindro!O560)^Presion_cilindro!$B$9+10*(Presion_cilindro!$B$9-1)*Presion_cilindro!$B$33*(IF(Presion_cilindro!N560&gt;(-N$4+Presion_cilindro!$B$34),1-EXP(-Presion_cilindro!$B$16*((Presion_cilindro!N560-(-N$4+Presion_cilindro!$B$34))/Presion_cilindro!$B$35)^(Presion_cilindro!$B$17+1)),0)-IF(Presion_cilindro!N559&gt;(-N$4+Presion_cilindro!$B$34),1-EXP(-Presion_cilindro!$B$16*((Presion_cilindro!N559-(-N$4+Presion_cilindro!$B$34))/Presion_cilindro!$B$35)^(Presion_cilindro!$B$17+1)),0))/((Presion_cilindro!O559+Presion_cilindro!O560)/2)</f>
        <v>4.1439106052531329</v>
      </c>
    </row>
    <row r="569" spans="1:14" x14ac:dyDescent="0.25">
      <c r="A569" s="21">
        <f>Presion_cilindro!N561</f>
        <v>98.5</v>
      </c>
      <c r="B569" s="27">
        <f>B568*(Presion_cilindro!O560/Presion_cilindro!O561)^Presion_cilindro!$B$9+10*(Presion_cilindro!$B$9-1)*Presion_cilindro!$B$33*(IF(Presion_cilindro!N561&gt;(-B$4+Presion_cilindro!$B$34),1-EXP(-Presion_cilindro!$B$16*((Presion_cilindro!N561-(-B$4+Presion_cilindro!$B$34))/Presion_cilindro!$B$35)^(Presion_cilindro!$B$17+1)),0)-IF(Presion_cilindro!N560&gt;(-B$4+Presion_cilindro!$B$34),1-EXP(-Presion_cilindro!$B$16*((Presion_cilindro!N560-(-B$4+Presion_cilindro!$B$34))/Presion_cilindro!$B$35)^(Presion_cilindro!$B$17+1)),0))/((Presion_cilindro!O560+Presion_cilindro!O561)/2)</f>
        <v>4.3261034991667424</v>
      </c>
      <c r="C569" s="27">
        <f>C568*(Presion_cilindro!O560/Presion_cilindro!O561)^Presion_cilindro!$B$9+10*(Presion_cilindro!$B$9-1)*Presion_cilindro!$B$33*(IF(Presion_cilindro!N561&gt;(-C$4+Presion_cilindro!$B$34),1-EXP(-Presion_cilindro!$B$16*((Presion_cilindro!N561-(-C$4+Presion_cilindro!$B$34))/Presion_cilindro!$B$35)^(Presion_cilindro!$B$17+1)),0)-IF(Presion_cilindro!N560&gt;(-C$4+Presion_cilindro!$B$34),1-EXP(-Presion_cilindro!$B$16*((Presion_cilindro!N560-(-C$4+Presion_cilindro!$B$34))/Presion_cilindro!$B$35)^(Presion_cilindro!$B$17+1)),0))/((Presion_cilindro!O560+Presion_cilindro!O561)/2)</f>
        <v>4.1931028039009721</v>
      </c>
      <c r="D569" s="27">
        <f>D568*(Presion_cilindro!O560/Presion_cilindro!O561)^Presion_cilindro!$B$9+10*(Presion_cilindro!$B$9-1)*Presion_cilindro!$B$33*(IF(Presion_cilindro!N561&gt;(-D$4+Presion_cilindro!$B$34),1-EXP(-Presion_cilindro!$B$16*((Presion_cilindro!N561-(-D$4+Presion_cilindro!$B$34))/Presion_cilindro!$B$35)^(Presion_cilindro!$B$17+1)),0)-IF(Presion_cilindro!N560&gt;(-D$4+Presion_cilindro!$B$34),1-EXP(-Presion_cilindro!$B$16*((Presion_cilindro!N560-(-D$4+Presion_cilindro!$B$34))/Presion_cilindro!$B$35)^(Presion_cilindro!$B$17+1)),0))/((Presion_cilindro!O560+Presion_cilindro!O561)/2)</f>
        <v>4.069232092112764</v>
      </c>
      <c r="E569" s="27">
        <f>E568*(Presion_cilindro!O560/Presion_cilindro!O561)^Presion_cilindro!$B$9+10*(Presion_cilindro!$B$9-1)*Presion_cilindro!$B$33*(IF(Presion_cilindro!N561&gt;(-E$4+Presion_cilindro!$B$34),1-EXP(-Presion_cilindro!$B$16*((Presion_cilindro!N561-(-E$4+Presion_cilindro!$B$34))/Presion_cilindro!$B$35)^(Presion_cilindro!$B$17+1)),0)-IF(Presion_cilindro!N560&gt;(-E$4+Presion_cilindro!$B$34),1-EXP(-Presion_cilindro!$B$16*((Presion_cilindro!N560-(-E$4+Presion_cilindro!$B$34))/Presion_cilindro!$B$35)^(Presion_cilindro!$B$17+1)),0))/((Presion_cilindro!O560+Presion_cilindro!O561)/2)</f>
        <v>3.9590995094263648</v>
      </c>
      <c r="F569" s="27">
        <f>F568*(Presion_cilindro!O560/Presion_cilindro!O561)^Presion_cilindro!$B$9+10*(Presion_cilindro!$B$9-1)*Presion_cilindro!$B$33*(IF(Presion_cilindro!N561&gt;(-F$4+Presion_cilindro!$B$34),1-EXP(-Presion_cilindro!$B$16*((Presion_cilindro!N561-(-F$4+Presion_cilindro!$B$34))/Presion_cilindro!$B$35)^(Presion_cilindro!$B$17+1)),0)-IF(Presion_cilindro!N560&gt;(-F$4+Presion_cilindro!$B$34),1-EXP(-Presion_cilindro!$B$16*((Presion_cilindro!N560-(-F$4+Presion_cilindro!$B$34))/Presion_cilindro!$B$35)^(Presion_cilindro!$B$17+1)),0))/((Presion_cilindro!O560+Presion_cilindro!O561)/2)</f>
        <v>3.8677250908271583</v>
      </c>
      <c r="G569" s="27">
        <f>G568*(Presion_cilindro!O560/Presion_cilindro!O561)^Presion_cilindro!$B$9+10*(Presion_cilindro!$B$9-1)*Presion_cilindro!$B$33*(IF(Presion_cilindro!N561&gt;(-G$4+Presion_cilindro!$B$34),1-EXP(-Presion_cilindro!$B$16*((Presion_cilindro!N561-(-G$4+Presion_cilindro!$B$34))/Presion_cilindro!$B$35)^(Presion_cilindro!$B$17+1)),0)-IF(Presion_cilindro!N560&gt;(-G$4+Presion_cilindro!$B$34),1-EXP(-Presion_cilindro!$B$16*((Presion_cilindro!N560-(-G$4+Presion_cilindro!$B$34))/Presion_cilindro!$B$35)^(Presion_cilindro!$B$17+1)),0))/((Presion_cilindro!O560+Presion_cilindro!O561)/2)</f>
        <v>3.8000177192912257</v>
      </c>
      <c r="H569" s="27">
        <f>H568*(Presion_cilindro!O560/Presion_cilindro!O561)^Presion_cilindro!$B$9+10*(Presion_cilindro!$B$9-1)*Presion_cilindro!$B$33*(IF(Presion_cilindro!N561&gt;(-H$4+Presion_cilindro!$B$34),1-EXP(-Presion_cilindro!$B$16*((Presion_cilindro!N561-(-H$4+Presion_cilindro!$B$34))/Presion_cilindro!$B$35)^(Presion_cilindro!$B$17+1)),0)-IF(Presion_cilindro!N560&gt;(-H$4+Presion_cilindro!$B$34),1-EXP(-Presion_cilindro!$B$16*((Presion_cilindro!N560-(-H$4+Presion_cilindro!$B$34))/Presion_cilindro!$B$35)^(Presion_cilindro!$B$17+1)),0))/((Presion_cilindro!O560+Presion_cilindro!O561)/2)</f>
        <v>3.7600780395510047</v>
      </c>
      <c r="I569" s="27">
        <f>I568*(Presion_cilindro!O560/Presion_cilindro!O561)^Presion_cilindro!$B$9+10*(Presion_cilindro!$B$9-1)*Presion_cilindro!$B$33*(IF(Presion_cilindro!N561&gt;(-I$4+Presion_cilindro!$B$34),1-EXP(-Presion_cilindro!$B$16*((Presion_cilindro!N561-(-I$4+Presion_cilindro!$B$34))/Presion_cilindro!$B$35)^(Presion_cilindro!$B$17+1)),0)-IF(Presion_cilindro!N560&gt;(-I$4+Presion_cilindro!$B$34),1-EXP(-Presion_cilindro!$B$16*((Presion_cilindro!N560-(-I$4+Presion_cilindro!$B$34))/Presion_cilindro!$B$35)^(Presion_cilindro!$B$17+1)),0))/((Presion_cilindro!O560+Presion_cilindro!O561)/2)</f>
        <v>3.7504976246185588</v>
      </c>
      <c r="J569" s="27">
        <f>J568*(Presion_cilindro!O560/Presion_cilindro!O561)^Presion_cilindro!$B$9+10*(Presion_cilindro!$B$9-1)*Presion_cilindro!$B$33*(IF(Presion_cilindro!N561&gt;(-J$4+Presion_cilindro!$B$34),1-EXP(-Presion_cilindro!$B$16*((Presion_cilindro!N561-(-J$4+Presion_cilindro!$B$34))/Presion_cilindro!$B$35)^(Presion_cilindro!$B$17+1)),0)-IF(Presion_cilindro!N560&gt;(-J$4+Presion_cilindro!$B$34),1-EXP(-Presion_cilindro!$B$16*((Presion_cilindro!N560-(-J$4+Presion_cilindro!$B$34))/Presion_cilindro!$B$35)^(Presion_cilindro!$B$17+1)),0))/((Presion_cilindro!O560+Presion_cilindro!O561)/2)</f>
        <v>3.771873162192747</v>
      </c>
      <c r="K569" s="27">
        <f>K568*(Presion_cilindro!O560/Presion_cilindro!O561)^Presion_cilindro!$B$9+10*(Presion_cilindro!$B$9-1)*Presion_cilindro!$B$33*(IF(Presion_cilindro!N561&gt;(-K$4+Presion_cilindro!$B$34),1-EXP(-Presion_cilindro!$B$16*((Presion_cilindro!N561-(-K$4+Presion_cilindro!$B$34))/Presion_cilindro!$B$35)^(Presion_cilindro!$B$17+1)),0)-IF(Presion_cilindro!N560&gt;(-K$4+Presion_cilindro!$B$34),1-EXP(-Presion_cilindro!$B$16*((Presion_cilindro!N560-(-K$4+Presion_cilindro!$B$34))/Presion_cilindro!$B$35)^(Presion_cilindro!$B$17+1)),0))/((Presion_cilindro!O560+Presion_cilindro!O561)/2)</f>
        <v>3.8227028975494743</v>
      </c>
      <c r="L569" s="27">
        <f>L568*(Presion_cilindro!O560/Presion_cilindro!O561)^Presion_cilindro!$B$9+10*(Presion_cilindro!$B$9-1)*Presion_cilindro!$B$33*(IF(Presion_cilindro!N561&gt;(-L$4+Presion_cilindro!$B$34),1-EXP(-Presion_cilindro!$B$16*((Presion_cilindro!N561-(-L$4+Presion_cilindro!$B$34))/Presion_cilindro!$B$35)^(Presion_cilindro!$B$17+1)),0)-IF(Presion_cilindro!N560&gt;(-L$4+Presion_cilindro!$B$34),1-EXP(-Presion_cilindro!$B$16*((Presion_cilindro!N560-(-L$4+Presion_cilindro!$B$34))/Presion_cilindro!$B$35)^(Presion_cilindro!$B$17+1)),0))/((Presion_cilindro!O560+Presion_cilindro!O561)/2)</f>
        <v>3.8996970969091578</v>
      </c>
      <c r="M569" s="27">
        <f>M568*(Presion_cilindro!O560/Presion_cilindro!O561)^Presion_cilindro!$B$9+10*(Presion_cilindro!$B$9-1)*Presion_cilindro!$B$33*(IF(Presion_cilindro!N561&gt;(-M$4+Presion_cilindro!$B$34),1-EXP(-Presion_cilindro!$B$16*((Presion_cilindro!N561-(-M$4+Presion_cilindro!$B$34))/Presion_cilindro!$B$35)^(Presion_cilindro!$B$17+1)),0)-IF(Presion_cilindro!N560&gt;(-M$4+Presion_cilindro!$B$34),1-EXP(-Presion_cilindro!$B$16*((Presion_cilindro!N560-(-M$4+Presion_cilindro!$B$34))/Presion_cilindro!$B$35)^(Presion_cilindro!$B$17+1)),0))/((Presion_cilindro!O560+Presion_cilindro!O561)/2)</f>
        <v>3.9983851053800792</v>
      </c>
      <c r="N569" s="27">
        <f>N568*(Presion_cilindro!O560/Presion_cilindro!O561)^Presion_cilindro!$B$9+10*(Presion_cilindro!$B$9-1)*Presion_cilindro!$B$33*(IF(Presion_cilindro!N561&gt;(-N$4+Presion_cilindro!$B$34),1-EXP(-Presion_cilindro!$B$16*((Presion_cilindro!N561-(-N$4+Presion_cilindro!$B$34))/Presion_cilindro!$B$35)^(Presion_cilindro!$B$17+1)),0)-IF(Presion_cilindro!N560&gt;(-N$4+Presion_cilindro!$B$34),1-EXP(-Presion_cilindro!$B$16*((Presion_cilindro!N560-(-N$4+Presion_cilindro!$B$34))/Presion_cilindro!$B$35)^(Presion_cilindro!$B$17+1)),0))/((Presion_cilindro!O560+Presion_cilindro!O561)/2)</f>
        <v>4.1138164853714683</v>
      </c>
    </row>
    <row r="570" spans="1:14" x14ac:dyDescent="0.25">
      <c r="A570" s="21">
        <f>Presion_cilindro!N562</f>
        <v>99</v>
      </c>
      <c r="B570" s="27">
        <f>B569*(Presion_cilindro!O561/Presion_cilindro!O562)^Presion_cilindro!$B$9+10*(Presion_cilindro!$B$9-1)*Presion_cilindro!$B$33*(IF(Presion_cilindro!N562&gt;(-B$4+Presion_cilindro!$B$34),1-EXP(-Presion_cilindro!$B$16*((Presion_cilindro!N562-(-B$4+Presion_cilindro!$B$34))/Presion_cilindro!$B$35)^(Presion_cilindro!$B$17+1)),0)-IF(Presion_cilindro!N561&gt;(-B$4+Presion_cilindro!$B$34),1-EXP(-Presion_cilindro!$B$16*((Presion_cilindro!N561-(-B$4+Presion_cilindro!$B$34))/Presion_cilindro!$B$35)^(Presion_cilindro!$B$17+1)),0))/((Presion_cilindro!O561+Presion_cilindro!O562)/2)</f>
        <v>4.2949804467869814</v>
      </c>
      <c r="C570" s="27">
        <f>C569*(Presion_cilindro!O561/Presion_cilindro!O562)^Presion_cilindro!$B$9+10*(Presion_cilindro!$B$9-1)*Presion_cilindro!$B$33*(IF(Presion_cilindro!N562&gt;(-C$4+Presion_cilindro!$B$34),1-EXP(-Presion_cilindro!$B$16*((Presion_cilindro!N562-(-C$4+Presion_cilindro!$B$34))/Presion_cilindro!$B$35)^(Presion_cilindro!$B$17+1)),0)-IF(Presion_cilindro!N561&gt;(-C$4+Presion_cilindro!$B$34),1-EXP(-Presion_cilindro!$B$16*((Presion_cilindro!N561-(-C$4+Presion_cilindro!$B$34))/Presion_cilindro!$B$35)^(Presion_cilindro!$B$17+1)),0))/((Presion_cilindro!O561+Presion_cilindro!O562)/2)</f>
        <v>4.1629365912283216</v>
      </c>
      <c r="D570" s="27">
        <f>D569*(Presion_cilindro!O561/Presion_cilindro!O562)^Presion_cilindro!$B$9+10*(Presion_cilindro!$B$9-1)*Presion_cilindro!$B$33*(IF(Presion_cilindro!N562&gt;(-D$4+Presion_cilindro!$B$34),1-EXP(-Presion_cilindro!$B$16*((Presion_cilindro!N562-(-D$4+Presion_cilindro!$B$34))/Presion_cilindro!$B$35)^(Presion_cilindro!$B$17+1)),0)-IF(Presion_cilindro!N561&gt;(-D$4+Presion_cilindro!$B$34),1-EXP(-Presion_cilindro!$B$16*((Presion_cilindro!N561-(-D$4+Presion_cilindro!$B$34))/Presion_cilindro!$B$35)^(Presion_cilindro!$B$17+1)),0))/((Presion_cilindro!O561+Presion_cilindro!O562)/2)</f>
        <v>4.0399570358010406</v>
      </c>
      <c r="E570" s="27">
        <f>E569*(Presion_cilindro!O561/Presion_cilindro!O562)^Presion_cilindro!$B$9+10*(Presion_cilindro!$B$9-1)*Presion_cilindro!$B$33*(IF(Presion_cilindro!N562&gt;(-E$4+Presion_cilindro!$B$34),1-EXP(-Presion_cilindro!$B$16*((Presion_cilindro!N562-(-E$4+Presion_cilindro!$B$34))/Presion_cilindro!$B$35)^(Presion_cilindro!$B$17+1)),0)-IF(Presion_cilindro!N561&gt;(-E$4+Presion_cilindro!$B$34),1-EXP(-Presion_cilindro!$B$16*((Presion_cilindro!N561-(-E$4+Presion_cilindro!$B$34))/Presion_cilindro!$B$35)^(Presion_cilindro!$B$17+1)),0))/((Presion_cilindro!O561+Presion_cilindro!O562)/2)</f>
        <v>3.9306167739965465</v>
      </c>
      <c r="F570" s="27">
        <f>F569*(Presion_cilindro!O561/Presion_cilindro!O562)^Presion_cilindro!$B$9+10*(Presion_cilindro!$B$9-1)*Presion_cilindro!$B$33*(IF(Presion_cilindro!N562&gt;(-F$4+Presion_cilindro!$B$34),1-EXP(-Presion_cilindro!$B$16*((Presion_cilindro!N562-(-F$4+Presion_cilindro!$B$34))/Presion_cilindro!$B$35)^(Presion_cilindro!$B$17+1)),0)-IF(Presion_cilindro!N561&gt;(-F$4+Presion_cilindro!$B$34),1-EXP(-Presion_cilindro!$B$16*((Presion_cilindro!N561-(-F$4+Presion_cilindro!$B$34))/Presion_cilindro!$B$35)^(Presion_cilindro!$B$17+1)),0))/((Presion_cilindro!O561+Presion_cilindro!O562)/2)</f>
        <v>3.8398997254340914</v>
      </c>
      <c r="G570" s="27">
        <f>G569*(Presion_cilindro!O561/Presion_cilindro!O562)^Presion_cilindro!$B$9+10*(Presion_cilindro!$B$9-1)*Presion_cilindro!$B$33*(IF(Presion_cilindro!N562&gt;(-G$4+Presion_cilindro!$B$34),1-EXP(-Presion_cilindro!$B$16*((Presion_cilindro!N562-(-G$4+Presion_cilindro!$B$34))/Presion_cilindro!$B$35)^(Presion_cilindro!$B$17+1)),0)-IF(Presion_cilindro!N561&gt;(-G$4+Presion_cilindro!$B$34),1-EXP(-Presion_cilindro!$B$16*((Presion_cilindro!N561-(-G$4+Presion_cilindro!$B$34))/Presion_cilindro!$B$35)^(Presion_cilindro!$B$17+1)),0))/((Presion_cilindro!O561+Presion_cilindro!O562)/2)</f>
        <v>3.7726794573785121</v>
      </c>
      <c r="H570" s="27">
        <f>H569*(Presion_cilindro!O561/Presion_cilindro!O562)^Presion_cilindro!$B$9+10*(Presion_cilindro!$B$9-1)*Presion_cilindro!$B$33*(IF(Presion_cilindro!N562&gt;(-H$4+Presion_cilindro!$B$34),1-EXP(-Presion_cilindro!$B$16*((Presion_cilindro!N562-(-H$4+Presion_cilindro!$B$34))/Presion_cilindro!$B$35)^(Presion_cilindro!$B$17+1)),0)-IF(Presion_cilindro!N561&gt;(-H$4+Presion_cilindro!$B$34),1-EXP(-Presion_cilindro!$B$16*((Presion_cilindro!N561-(-H$4+Presion_cilindro!$B$34))/Presion_cilindro!$B$35)^(Presion_cilindro!$B$17+1)),0))/((Presion_cilindro!O561+Presion_cilindro!O562)/2)</f>
        <v>3.7330271135156754</v>
      </c>
      <c r="I570" s="27">
        <f>I569*(Presion_cilindro!O561/Presion_cilindro!O562)^Presion_cilindro!$B$9+10*(Presion_cilindro!$B$9-1)*Presion_cilindro!$B$33*(IF(Presion_cilindro!N562&gt;(-I$4+Presion_cilindro!$B$34),1-EXP(-Presion_cilindro!$B$16*((Presion_cilindro!N562-(-I$4+Presion_cilindro!$B$34))/Presion_cilindro!$B$35)^(Presion_cilindro!$B$17+1)),0)-IF(Presion_cilindro!N561&gt;(-I$4+Presion_cilindro!$B$34),1-EXP(-Presion_cilindro!$B$16*((Presion_cilindro!N561-(-I$4+Presion_cilindro!$B$34))/Presion_cilindro!$B$35)^(Presion_cilindro!$B$17+1)),0))/((Presion_cilindro!O561+Presion_cilindro!O562)/2)</f>
        <v>3.723515622444117</v>
      </c>
      <c r="J570" s="27">
        <f>J569*(Presion_cilindro!O561/Presion_cilindro!O562)^Presion_cilindro!$B$9+10*(Presion_cilindro!$B$9-1)*Presion_cilindro!$B$33*(IF(Presion_cilindro!N562&gt;(-J$4+Presion_cilindro!$B$34),1-EXP(-Presion_cilindro!$B$16*((Presion_cilindro!N562-(-J$4+Presion_cilindro!$B$34))/Presion_cilindro!$B$35)^(Presion_cilindro!$B$17+1)),0)-IF(Presion_cilindro!N561&gt;(-J$4+Presion_cilindro!$B$34),1-EXP(-Presion_cilindro!$B$16*((Presion_cilindro!N561-(-J$4+Presion_cilindro!$B$34))/Presion_cilindro!$B$35)^(Presion_cilindro!$B$17+1)),0))/((Presion_cilindro!O561+Presion_cilindro!O562)/2)</f>
        <v>3.7447373791446634</v>
      </c>
      <c r="K570" s="27">
        <f>K569*(Presion_cilindro!O561/Presion_cilindro!O562)^Presion_cilindro!$B$9+10*(Presion_cilindro!$B$9-1)*Presion_cilindro!$B$33*(IF(Presion_cilindro!N562&gt;(-K$4+Presion_cilindro!$B$34),1-EXP(-Presion_cilindro!$B$16*((Presion_cilindro!N562-(-K$4+Presion_cilindro!$B$34))/Presion_cilindro!$B$35)^(Presion_cilindro!$B$17+1)),0)-IF(Presion_cilindro!N561&gt;(-K$4+Presion_cilindro!$B$34),1-EXP(-Presion_cilindro!$B$16*((Presion_cilindro!N561-(-K$4+Presion_cilindro!$B$34))/Presion_cilindro!$B$35)^(Presion_cilindro!$B$17+1)),0))/((Presion_cilindro!O561+Presion_cilindro!O562)/2)</f>
        <v>3.7952014328859911</v>
      </c>
      <c r="L570" s="27">
        <f>L569*(Presion_cilindro!O561/Presion_cilindro!O562)^Presion_cilindro!$B$9+10*(Presion_cilindro!$B$9-1)*Presion_cilindro!$B$33*(IF(Presion_cilindro!N562&gt;(-L$4+Presion_cilindro!$B$34),1-EXP(-Presion_cilindro!$B$16*((Presion_cilindro!N562-(-L$4+Presion_cilindro!$B$34))/Presion_cilindro!$B$35)^(Presion_cilindro!$B$17+1)),0)-IF(Presion_cilindro!N561&gt;(-L$4+Presion_cilindro!$B$34),1-EXP(-Presion_cilindro!$B$16*((Presion_cilindro!N561-(-L$4+Presion_cilindro!$B$34))/Presion_cilindro!$B$35)^(Presion_cilindro!$B$17+1)),0))/((Presion_cilindro!O561+Presion_cilindro!O562)/2)</f>
        <v>3.8716417170422881</v>
      </c>
      <c r="M570" s="27">
        <f>M569*(Presion_cilindro!O561/Presion_cilindro!O562)^Presion_cilindro!$B$9+10*(Presion_cilindro!$B$9-1)*Presion_cilindro!$B$33*(IF(Presion_cilindro!N562&gt;(-M$4+Presion_cilindro!$B$34),1-EXP(-Presion_cilindro!$B$16*((Presion_cilindro!N562-(-M$4+Presion_cilindro!$B$34))/Presion_cilindro!$B$35)^(Presion_cilindro!$B$17+1)),0)-IF(Presion_cilindro!N561&gt;(-M$4+Presion_cilindro!$B$34),1-EXP(-Presion_cilindro!$B$16*((Presion_cilindro!N561-(-M$4+Presion_cilindro!$B$34))/Presion_cilindro!$B$35)^(Presion_cilindro!$B$17+1)),0))/((Presion_cilindro!O561+Presion_cilindro!O562)/2)</f>
        <v>3.9696197397124786</v>
      </c>
      <c r="N570" s="27">
        <f>N569*(Presion_cilindro!O561/Presion_cilindro!O562)^Presion_cilindro!$B$9+10*(Presion_cilindro!$B$9-1)*Presion_cilindro!$B$33*(IF(Presion_cilindro!N562&gt;(-N$4+Presion_cilindro!$B$34),1-EXP(-Presion_cilindro!$B$16*((Presion_cilindro!N562-(-N$4+Presion_cilindro!$B$34))/Presion_cilindro!$B$35)^(Presion_cilindro!$B$17+1)),0)-IF(Presion_cilindro!N561&gt;(-N$4+Presion_cilindro!$B$34),1-EXP(-Presion_cilindro!$B$16*((Presion_cilindro!N561-(-N$4+Presion_cilindro!$B$34))/Presion_cilindro!$B$35)^(Presion_cilindro!$B$17+1)),0))/((Presion_cilindro!O561+Presion_cilindro!O562)/2)</f>
        <v>4.0842206779711541</v>
      </c>
    </row>
    <row r="571" spans="1:14" x14ac:dyDescent="0.25">
      <c r="A571" s="21">
        <f>Presion_cilindro!N563</f>
        <v>99.5</v>
      </c>
      <c r="B571" s="27">
        <f>B570*(Presion_cilindro!O562/Presion_cilindro!O563)^Presion_cilindro!$B$9+10*(Presion_cilindro!$B$9-1)*Presion_cilindro!$B$33*(IF(Presion_cilindro!N563&gt;(-B$4+Presion_cilindro!$B$34),1-EXP(-Presion_cilindro!$B$16*((Presion_cilindro!N563-(-B$4+Presion_cilindro!$B$34))/Presion_cilindro!$B$35)^(Presion_cilindro!$B$17+1)),0)-IF(Presion_cilindro!N562&gt;(-B$4+Presion_cilindro!$B$34),1-EXP(-Presion_cilindro!$B$16*((Presion_cilindro!N562-(-B$4+Presion_cilindro!$B$34))/Presion_cilindro!$B$35)^(Presion_cilindro!$B$17+1)),0))/((Presion_cilindro!O562+Presion_cilindro!O563)/2)</f>
        <v>4.2643715507436344</v>
      </c>
      <c r="C571" s="27">
        <f>C570*(Presion_cilindro!O562/Presion_cilindro!O563)^Presion_cilindro!$B$9+10*(Presion_cilindro!$B$9-1)*Presion_cilindro!$B$33*(IF(Presion_cilindro!N563&gt;(-C$4+Presion_cilindro!$B$34),1-EXP(-Presion_cilindro!$B$16*((Presion_cilindro!N563-(-C$4+Presion_cilindro!$B$34))/Presion_cilindro!$B$35)^(Presion_cilindro!$B$17+1)),0)-IF(Presion_cilindro!N562&gt;(-C$4+Presion_cilindro!$B$34),1-EXP(-Presion_cilindro!$B$16*((Presion_cilindro!N562-(-C$4+Presion_cilindro!$B$34))/Presion_cilindro!$B$35)^(Presion_cilindro!$B$17+1)),0))/((Presion_cilindro!O562+Presion_cilindro!O563)/2)</f>
        <v>4.1332687277922009</v>
      </c>
      <c r="D571" s="27">
        <f>D570*(Presion_cilindro!O562/Presion_cilindro!O563)^Presion_cilindro!$B$9+10*(Presion_cilindro!$B$9-1)*Presion_cilindro!$B$33*(IF(Presion_cilindro!N563&gt;(-D$4+Presion_cilindro!$B$34),1-EXP(-Presion_cilindro!$B$16*((Presion_cilindro!N563-(-D$4+Presion_cilindro!$B$34))/Presion_cilindro!$B$35)^(Presion_cilindro!$B$17+1)),0)-IF(Presion_cilindro!N562&gt;(-D$4+Presion_cilindro!$B$34),1-EXP(-Presion_cilindro!$B$16*((Presion_cilindro!N562-(-D$4+Presion_cilindro!$B$34))/Presion_cilindro!$B$35)^(Presion_cilindro!$B$17+1)),0))/((Presion_cilindro!O562+Presion_cilindro!O563)/2)</f>
        <v>4.0111656067222281</v>
      </c>
      <c r="E571" s="27">
        <f>E570*(Presion_cilindro!O562/Presion_cilindro!O563)^Presion_cilindro!$B$9+10*(Presion_cilindro!$B$9-1)*Presion_cilindro!$B$33*(IF(Presion_cilindro!N563&gt;(-E$4+Presion_cilindro!$B$34),1-EXP(-Presion_cilindro!$B$16*((Presion_cilindro!N563-(-E$4+Presion_cilindro!$B$34))/Presion_cilindro!$B$35)^(Presion_cilindro!$B$17+1)),0)-IF(Presion_cilindro!N562&gt;(-E$4+Presion_cilindro!$B$34),1-EXP(-Presion_cilindro!$B$16*((Presion_cilindro!N562-(-E$4+Presion_cilindro!$B$34))/Presion_cilindro!$B$35)^(Presion_cilindro!$B$17+1)),0))/((Presion_cilindro!O562+Presion_cilindro!O563)/2)</f>
        <v>3.9026045765692854</v>
      </c>
      <c r="F571" s="27">
        <f>F570*(Presion_cilindro!O562/Presion_cilindro!O563)^Presion_cilindro!$B$9+10*(Presion_cilindro!$B$9-1)*Presion_cilindro!$B$33*(IF(Presion_cilindro!N563&gt;(-F$4+Presion_cilindro!$B$34),1-EXP(-Presion_cilindro!$B$16*((Presion_cilindro!N563-(-F$4+Presion_cilindro!$B$34))/Presion_cilindro!$B$35)^(Presion_cilindro!$B$17+1)),0)-IF(Presion_cilindro!N562&gt;(-F$4+Presion_cilindro!$B$34),1-EXP(-Presion_cilindro!$B$16*((Presion_cilindro!N562-(-F$4+Presion_cilindro!$B$34))/Presion_cilindro!$B$35)^(Presion_cilindro!$B$17+1)),0))/((Presion_cilindro!O562+Presion_cilindro!O563)/2)</f>
        <v>3.8125340382164139</v>
      </c>
      <c r="G571" s="27">
        <f>G570*(Presion_cilindro!O562/Presion_cilindro!O563)^Presion_cilindro!$B$9+10*(Presion_cilindro!$B$9-1)*Presion_cilindro!$B$33*(IF(Presion_cilindro!N563&gt;(-G$4+Presion_cilindro!$B$34),1-EXP(-Presion_cilindro!$B$16*((Presion_cilindro!N563-(-G$4+Presion_cilindro!$B$34))/Presion_cilindro!$B$35)^(Presion_cilindro!$B$17+1)),0)-IF(Presion_cilindro!N562&gt;(-G$4+Presion_cilindro!$B$34),1-EXP(-Presion_cilindro!$B$16*((Presion_cilindro!N562-(-G$4+Presion_cilindro!$B$34))/Presion_cilindro!$B$35)^(Presion_cilindro!$B$17+1)),0))/((Presion_cilindro!O562+Presion_cilindro!O563)/2)</f>
        <v>3.7457928266367402</v>
      </c>
      <c r="H571" s="27">
        <f>H570*(Presion_cilindro!O562/Presion_cilindro!O563)^Presion_cilindro!$B$9+10*(Presion_cilindro!$B$9-1)*Presion_cilindro!$B$33*(IF(Presion_cilindro!N563&gt;(-H$4+Presion_cilindro!$B$34),1-EXP(-Presion_cilindro!$B$16*((Presion_cilindro!N563-(-H$4+Presion_cilindro!$B$34))/Presion_cilindro!$B$35)^(Presion_cilindro!$B$17+1)),0)-IF(Presion_cilindro!N562&gt;(-H$4+Presion_cilindro!$B$34),1-EXP(-Presion_cilindro!$B$16*((Presion_cilindro!N562-(-H$4+Presion_cilindro!$B$34))/Presion_cilindro!$B$35)^(Presion_cilindro!$B$17+1)),0))/((Presion_cilindro!O562+Presion_cilindro!O563)/2)</f>
        <v>3.7064230718301778</v>
      </c>
      <c r="I571" s="27">
        <f>I570*(Presion_cilindro!O562/Presion_cilindro!O563)^Presion_cilindro!$B$9+10*(Presion_cilindro!$B$9-1)*Presion_cilindro!$B$33*(IF(Presion_cilindro!N563&gt;(-I$4+Presion_cilindro!$B$34),1-EXP(-Presion_cilindro!$B$16*((Presion_cilindro!N563-(-I$4+Presion_cilindro!$B$34))/Presion_cilindro!$B$35)^(Presion_cilindro!$B$17+1)),0)-IF(Presion_cilindro!N562&gt;(-I$4+Presion_cilindro!$B$34),1-EXP(-Presion_cilindro!$B$16*((Presion_cilindro!N562-(-I$4+Presion_cilindro!$B$34))/Presion_cilindro!$B$35)^(Presion_cilindro!$B$17+1)),0))/((Presion_cilindro!O562+Presion_cilindro!O563)/2)</f>
        <v>3.69697936598955</v>
      </c>
      <c r="J571" s="27">
        <f>J570*(Presion_cilindro!O562/Presion_cilindro!O563)^Presion_cilindro!$B$9+10*(Presion_cilindro!$B$9-1)*Presion_cilindro!$B$33*(IF(Presion_cilindro!N563&gt;(-J$4+Presion_cilindro!$B$34),1-EXP(-Presion_cilindro!$B$16*((Presion_cilindro!N563-(-J$4+Presion_cilindro!$B$34))/Presion_cilindro!$B$35)^(Presion_cilindro!$B$17+1)),0)-IF(Presion_cilindro!N562&gt;(-J$4+Presion_cilindro!$B$34),1-EXP(-Presion_cilindro!$B$16*((Presion_cilindro!N562-(-J$4+Presion_cilindro!$B$34))/Presion_cilindro!$B$35)^(Presion_cilindro!$B$17+1)),0))/((Presion_cilindro!O562+Presion_cilindro!O563)/2)</f>
        <v>3.7180498822938355</v>
      </c>
      <c r="K571" s="27">
        <f>K570*(Presion_cilindro!O562/Presion_cilindro!O563)^Presion_cilindro!$B$9+10*(Presion_cilindro!$B$9-1)*Presion_cilindro!$B$33*(IF(Presion_cilindro!N563&gt;(-K$4+Presion_cilindro!$B$34),1-EXP(-Presion_cilindro!$B$16*((Presion_cilindro!N563-(-K$4+Presion_cilindro!$B$34))/Presion_cilindro!$B$35)^(Presion_cilindro!$B$17+1)),0)-IF(Presion_cilindro!N562&gt;(-K$4+Presion_cilindro!$B$34),1-EXP(-Presion_cilindro!$B$16*((Presion_cilindro!N562-(-K$4+Presion_cilindro!$B$34))/Presion_cilindro!$B$35)^(Presion_cilindro!$B$17+1)),0))/((Presion_cilindro!O562+Presion_cilindro!O563)/2)</f>
        <v>3.7681542955213043</v>
      </c>
      <c r="L571" s="27">
        <f>L570*(Presion_cilindro!O562/Presion_cilindro!O563)^Presion_cilindro!$B$9+10*(Presion_cilindro!$B$9-1)*Presion_cilindro!$B$33*(IF(Presion_cilindro!N563&gt;(-L$4+Presion_cilindro!$B$34),1-EXP(-Presion_cilindro!$B$16*((Presion_cilindro!N563-(-L$4+Presion_cilindro!$B$34))/Presion_cilindro!$B$35)^(Presion_cilindro!$B$17+1)),0)-IF(Presion_cilindro!N562&gt;(-L$4+Presion_cilindro!$B$34),1-EXP(-Presion_cilindro!$B$16*((Presion_cilindro!N562-(-L$4+Presion_cilindro!$B$34))/Presion_cilindro!$B$35)^(Presion_cilindro!$B$17+1)),0))/((Presion_cilindro!O562+Presion_cilindro!O563)/2)</f>
        <v>3.8440498152158638</v>
      </c>
      <c r="M571" s="27">
        <f>M570*(Presion_cilindro!O562/Presion_cilindro!O563)^Presion_cilindro!$B$9+10*(Presion_cilindro!$B$9-1)*Presion_cilindro!$B$33*(IF(Presion_cilindro!N563&gt;(-M$4+Presion_cilindro!$B$34),1-EXP(-Presion_cilindro!$B$16*((Presion_cilindro!N563-(-M$4+Presion_cilindro!$B$34))/Presion_cilindro!$B$35)^(Presion_cilindro!$B$17+1)),0)-IF(Presion_cilindro!N562&gt;(-M$4+Presion_cilindro!$B$34),1-EXP(-Presion_cilindro!$B$16*((Presion_cilindro!N562-(-M$4+Presion_cilindro!$B$34))/Presion_cilindro!$B$35)^(Presion_cilindro!$B$17+1)),0))/((Presion_cilindro!O562+Presion_cilindro!O563)/2)</f>
        <v>3.941329581130848</v>
      </c>
      <c r="N571" s="27">
        <f>N570*(Presion_cilindro!O562/Presion_cilindro!O563)^Presion_cilindro!$B$9+10*(Presion_cilindro!$B$9-1)*Presion_cilindro!$B$33*(IF(Presion_cilindro!N563&gt;(-N$4+Presion_cilindro!$B$34),1-EXP(-Presion_cilindro!$B$16*((Presion_cilindro!N563-(-N$4+Presion_cilindro!$B$34))/Presion_cilindro!$B$35)^(Presion_cilindro!$B$17+1)),0)-IF(Presion_cilindro!N562&gt;(-N$4+Presion_cilindro!$B$34),1-EXP(-Presion_cilindro!$B$16*((Presion_cilindro!N562-(-N$4+Presion_cilindro!$B$34))/Presion_cilindro!$B$35)^(Presion_cilindro!$B$17+1)),0))/((Presion_cilindro!O562+Presion_cilindro!O563)/2)</f>
        <v>4.0551137966479205</v>
      </c>
    </row>
    <row r="572" spans="1:14" x14ac:dyDescent="0.25">
      <c r="A572" s="21">
        <f>Presion_cilindro!N564</f>
        <v>100</v>
      </c>
      <c r="B572" s="27">
        <f>B571*(Presion_cilindro!O563/Presion_cilindro!O564)^Presion_cilindro!$B$9+10*(Presion_cilindro!$B$9-1)*Presion_cilindro!$B$33*(IF(Presion_cilindro!N564&gt;(-B$4+Presion_cilindro!$B$34),1-EXP(-Presion_cilindro!$B$16*((Presion_cilindro!N564-(-B$4+Presion_cilindro!$B$34))/Presion_cilindro!$B$35)^(Presion_cilindro!$B$17+1)),0)-IF(Presion_cilindro!N563&gt;(-B$4+Presion_cilindro!$B$34),1-EXP(-Presion_cilindro!$B$16*((Presion_cilindro!N563-(-B$4+Presion_cilindro!$B$34))/Presion_cilindro!$B$35)^(Presion_cilindro!$B$17+1)),0))/((Presion_cilindro!O563+Presion_cilindro!O564)/2)</f>
        <v>4.2342671648587835</v>
      </c>
      <c r="C572" s="27">
        <f>C571*(Presion_cilindro!O563/Presion_cilindro!O564)^Presion_cilindro!$B$9+10*(Presion_cilindro!$B$9-1)*Presion_cilindro!$B$33*(IF(Presion_cilindro!N564&gt;(-C$4+Presion_cilindro!$B$34),1-EXP(-Presion_cilindro!$B$16*((Presion_cilindro!N564-(-C$4+Presion_cilindro!$B$34))/Presion_cilindro!$B$35)^(Presion_cilindro!$B$17+1)),0)-IF(Presion_cilindro!N563&gt;(-C$4+Presion_cilindro!$B$34),1-EXP(-Presion_cilindro!$B$16*((Presion_cilindro!N563-(-C$4+Presion_cilindro!$B$34))/Presion_cilindro!$B$35)^(Presion_cilindro!$B$17+1)),0))/((Presion_cilindro!O563+Presion_cilindro!O564)/2)</f>
        <v>4.1040898639744778</v>
      </c>
      <c r="D572" s="27">
        <f>D571*(Presion_cilindro!O563/Presion_cilindro!O564)^Presion_cilindro!$B$9+10*(Presion_cilindro!$B$9-1)*Presion_cilindro!$B$33*(IF(Presion_cilindro!N564&gt;(-D$4+Presion_cilindro!$B$34),1-EXP(-Presion_cilindro!$B$16*((Presion_cilindro!N564-(-D$4+Presion_cilindro!$B$34))/Presion_cilindro!$B$35)^(Presion_cilindro!$B$17+1)),0)-IF(Presion_cilindro!N563&gt;(-D$4+Presion_cilindro!$B$34),1-EXP(-Presion_cilindro!$B$16*((Presion_cilindro!N563-(-D$4+Presion_cilindro!$B$34))/Presion_cilindro!$B$35)^(Presion_cilindro!$B$17+1)),0))/((Presion_cilindro!O563+Presion_cilindro!O564)/2)</f>
        <v>3.9828487314603089</v>
      </c>
      <c r="E572" s="27">
        <f>E571*(Presion_cilindro!O563/Presion_cilindro!O564)^Presion_cilindro!$B$9+10*(Presion_cilindro!$B$9-1)*Presion_cilindro!$B$33*(IF(Presion_cilindro!N564&gt;(-E$4+Presion_cilindro!$B$34),1-EXP(-Presion_cilindro!$B$16*((Presion_cilindro!N564-(-E$4+Presion_cilindro!$B$34))/Presion_cilindro!$B$35)^(Presion_cilindro!$B$17+1)),0)-IF(Presion_cilindro!N563&gt;(-E$4+Presion_cilindro!$B$34),1-EXP(-Presion_cilindro!$B$16*((Presion_cilindro!N563-(-E$4+Presion_cilindro!$B$34))/Presion_cilindro!$B$35)^(Presion_cilindro!$B$17+1)),0))/((Presion_cilindro!O563+Presion_cilindro!O564)/2)</f>
        <v>3.8750540892979277</v>
      </c>
      <c r="F572" s="27">
        <f>F571*(Presion_cilindro!O563/Presion_cilindro!O564)^Presion_cilindro!$B$9+10*(Presion_cilindro!$B$9-1)*Presion_cilindro!$B$33*(IF(Presion_cilindro!N564&gt;(-F$4+Presion_cilindro!$B$34),1-EXP(-Presion_cilindro!$B$16*((Presion_cilindro!N564-(-F$4+Presion_cilindro!$B$34))/Presion_cilindro!$B$35)^(Presion_cilindro!$B$17+1)),0)-IF(Presion_cilindro!N563&gt;(-F$4+Presion_cilindro!$B$34),1-EXP(-Presion_cilindro!$B$16*((Presion_cilindro!N563-(-F$4+Presion_cilindro!$B$34))/Presion_cilindro!$B$35)^(Presion_cilindro!$B$17+1)),0))/((Presion_cilindro!O563+Presion_cilindro!O564)/2)</f>
        <v>3.7856194050706096</v>
      </c>
      <c r="G572" s="27">
        <f>G571*(Presion_cilindro!O563/Presion_cilindro!O564)^Presion_cilindro!$B$9+10*(Presion_cilindro!$B$9-1)*Presion_cilindro!$B$33*(IF(Presion_cilindro!N564&gt;(-G$4+Presion_cilindro!$B$34),1-EXP(-Presion_cilindro!$B$16*((Presion_cilindro!N564-(-G$4+Presion_cilindro!$B$34))/Presion_cilindro!$B$35)^(Presion_cilindro!$B$17+1)),0)-IF(Presion_cilindro!N563&gt;(-G$4+Presion_cilindro!$B$34),1-EXP(-Presion_cilindro!$B$16*((Presion_cilindro!N563-(-G$4+Presion_cilindro!$B$34))/Presion_cilindro!$B$35)^(Presion_cilindro!$B$17+1)),0))/((Presion_cilindro!O563+Presion_cilindro!O564)/2)</f>
        <v>3.7193493539336671</v>
      </c>
      <c r="H572" s="27">
        <f>H571*(Presion_cilindro!O563/Presion_cilindro!O564)^Presion_cilindro!$B$9+10*(Presion_cilindro!$B$9-1)*Presion_cilindro!$B$33*(IF(Presion_cilindro!N564&gt;(-H$4+Presion_cilindro!$B$34),1-EXP(-Presion_cilindro!$B$16*((Presion_cilindro!N564-(-H$4+Presion_cilindro!$B$34))/Presion_cilindro!$B$35)^(Presion_cilindro!$B$17+1)),0)-IF(Presion_cilindro!N563&gt;(-H$4+Presion_cilindro!$B$34),1-EXP(-Presion_cilindro!$B$16*((Presion_cilindro!N563-(-H$4+Presion_cilindro!$B$34))/Presion_cilindro!$B$35)^(Presion_cilindro!$B$17+1)),0))/((Presion_cilindro!O563+Presion_cilindro!O564)/2)</f>
        <v>3.6802575304182192</v>
      </c>
      <c r="I572" s="27">
        <f>I571*(Presion_cilindro!O563/Presion_cilindro!O564)^Presion_cilindro!$B$9+10*(Presion_cilindro!$B$9-1)*Presion_cilindro!$B$33*(IF(Presion_cilindro!N564&gt;(-I$4+Presion_cilindro!$B$34),1-EXP(-Presion_cilindro!$B$16*((Presion_cilindro!N564-(-I$4+Presion_cilindro!$B$34))/Presion_cilindro!$B$35)^(Presion_cilindro!$B$17+1)),0)-IF(Presion_cilindro!N563&gt;(-I$4+Presion_cilindro!$B$34),1-EXP(-Presion_cilindro!$B$16*((Presion_cilindro!N563-(-I$4+Presion_cilindro!$B$34))/Presion_cilindro!$B$35)^(Presion_cilindro!$B$17+1)),0))/((Presion_cilindro!O563+Presion_cilindro!O564)/2)</f>
        <v>3.670880492540602</v>
      </c>
      <c r="J572" s="27">
        <f>J571*(Presion_cilindro!O563/Presion_cilindro!O564)^Presion_cilindro!$B$9+10*(Presion_cilindro!$B$9-1)*Presion_cilindro!$B$33*(IF(Presion_cilindro!N564&gt;(-J$4+Presion_cilindro!$B$34),1-EXP(-Presion_cilindro!$B$16*((Presion_cilindro!N564-(-J$4+Presion_cilindro!$B$34))/Presion_cilindro!$B$35)^(Presion_cilindro!$B$17+1)),0)-IF(Presion_cilindro!N563&gt;(-J$4+Presion_cilindro!$B$34),1-EXP(-Presion_cilindro!$B$16*((Presion_cilindro!N563-(-J$4+Presion_cilindro!$B$34))/Presion_cilindro!$B$35)^(Presion_cilindro!$B$17+1)),0))/((Presion_cilindro!O563+Presion_cilindro!O564)/2)</f>
        <v>3.6918022612636627</v>
      </c>
      <c r="K572" s="27">
        <f>K571*(Presion_cilindro!O563/Presion_cilindro!O564)^Presion_cilindro!$B$9+10*(Presion_cilindro!$B$9-1)*Presion_cilindro!$B$33*(IF(Presion_cilindro!N564&gt;(-K$4+Presion_cilindro!$B$34),1-EXP(-Presion_cilindro!$B$16*((Presion_cilindro!N564-(-K$4+Presion_cilindro!$B$34))/Presion_cilindro!$B$35)^(Presion_cilindro!$B$17+1)),0)-IF(Presion_cilindro!N563&gt;(-K$4+Presion_cilindro!$B$34),1-EXP(-Presion_cilindro!$B$16*((Presion_cilindro!N563-(-K$4+Presion_cilindro!$B$34))/Presion_cilindro!$B$35)^(Presion_cilindro!$B$17+1)),0))/((Presion_cilindro!O563+Presion_cilindro!O564)/2)</f>
        <v>3.7415529617406391</v>
      </c>
      <c r="L572" s="27">
        <f>L571*(Presion_cilindro!O563/Presion_cilindro!O564)^Presion_cilindro!$B$9+10*(Presion_cilindro!$B$9-1)*Presion_cilindro!$B$33*(IF(Presion_cilindro!N564&gt;(-L$4+Presion_cilindro!$B$34),1-EXP(-Presion_cilindro!$B$16*((Presion_cilindro!N564-(-L$4+Presion_cilindro!$B$34))/Presion_cilindro!$B$35)^(Presion_cilindro!$B$17+1)),0)-IF(Presion_cilindro!N563&gt;(-L$4+Presion_cilindro!$B$34),1-EXP(-Presion_cilindro!$B$16*((Presion_cilindro!N563-(-L$4+Presion_cilindro!$B$34))/Presion_cilindro!$B$35)^(Presion_cilindro!$B$17+1)),0))/((Presion_cilindro!O563+Presion_cilindro!O564)/2)</f>
        <v>3.8169126960364288</v>
      </c>
      <c r="M572" s="27">
        <f>M571*(Presion_cilindro!O563/Presion_cilindro!O564)^Presion_cilindro!$B$9+10*(Presion_cilindro!$B$9-1)*Presion_cilindro!$B$33*(IF(Presion_cilindro!N564&gt;(-M$4+Presion_cilindro!$B$34),1-EXP(-Presion_cilindro!$B$16*((Presion_cilindro!N564-(-M$4+Presion_cilindro!$B$34))/Presion_cilindro!$B$35)^(Presion_cilindro!$B$17+1)),0)-IF(Presion_cilindro!N563&gt;(-M$4+Presion_cilindro!$B$34),1-EXP(-Presion_cilindro!$B$16*((Presion_cilindro!N563-(-M$4+Presion_cilindro!$B$34))/Presion_cilindro!$B$35)^(Presion_cilindro!$B$17+1)),0))/((Presion_cilindro!O563+Presion_cilindro!O564)/2)</f>
        <v>3.9135057141910345</v>
      </c>
      <c r="N572" s="27">
        <f>N571*(Presion_cilindro!O563/Presion_cilindro!O564)^Presion_cilindro!$B$9+10*(Presion_cilindro!$B$9-1)*Presion_cilindro!$B$33*(IF(Presion_cilindro!N564&gt;(-N$4+Presion_cilindro!$B$34),1-EXP(-Presion_cilindro!$B$16*((Presion_cilindro!N564-(-N$4+Presion_cilindro!$B$34))/Presion_cilindro!$B$35)^(Presion_cilindro!$B$17+1)),0)-IF(Presion_cilindro!N563&gt;(-N$4+Presion_cilindro!$B$34),1-EXP(-Presion_cilindro!$B$16*((Presion_cilindro!N563-(-N$4+Presion_cilindro!$B$34))/Presion_cilindro!$B$35)^(Presion_cilindro!$B$17+1)),0))/((Presion_cilindro!O563+Presion_cilindro!O564)/2)</f>
        <v>4.0264866685731961</v>
      </c>
    </row>
    <row r="573" spans="1:14" x14ac:dyDescent="0.25">
      <c r="A573" s="21">
        <f>Presion_cilindro!N565</f>
        <v>100.5</v>
      </c>
      <c r="B573" s="27">
        <f>B572*(Presion_cilindro!O564/Presion_cilindro!O565)^Presion_cilindro!$B$9+10*(Presion_cilindro!$B$9-1)*Presion_cilindro!$B$33*(IF(Presion_cilindro!N565&gt;(-B$4+Presion_cilindro!$B$34),1-EXP(-Presion_cilindro!$B$16*((Presion_cilindro!N565-(-B$4+Presion_cilindro!$B$34))/Presion_cilindro!$B$35)^(Presion_cilindro!$B$17+1)),0)-IF(Presion_cilindro!N564&gt;(-B$4+Presion_cilindro!$B$34),1-EXP(-Presion_cilindro!$B$16*((Presion_cilindro!N564-(-B$4+Presion_cilindro!$B$34))/Presion_cilindro!$B$35)^(Presion_cilindro!$B$17+1)),0))/((Presion_cilindro!O564+Presion_cilindro!O565)/2)</f>
        <v>4.2046578618703583</v>
      </c>
      <c r="C573" s="27">
        <f>C572*(Presion_cilindro!O564/Presion_cilindro!O565)^Presion_cilindro!$B$9+10*(Presion_cilindro!$B$9-1)*Presion_cilindro!$B$33*(IF(Presion_cilindro!N565&gt;(-C$4+Presion_cilindro!$B$34),1-EXP(-Presion_cilindro!$B$16*((Presion_cilindro!N565-(-C$4+Presion_cilindro!$B$34))/Presion_cilindro!$B$35)^(Presion_cilindro!$B$17+1)),0)-IF(Presion_cilindro!N564&gt;(-C$4+Presion_cilindro!$B$34),1-EXP(-Presion_cilindro!$B$16*((Presion_cilindro!N564-(-C$4+Presion_cilindro!$B$34))/Presion_cilindro!$B$35)^(Presion_cilindro!$B$17+1)),0))/((Presion_cilindro!O564+Presion_cilindro!O565)/2)</f>
        <v>4.0753908623425756</v>
      </c>
      <c r="D573" s="27">
        <f>D572*(Presion_cilindro!O564/Presion_cilindro!O565)^Presion_cilindro!$B$9+10*(Presion_cilindro!$B$9-1)*Presion_cilindro!$B$33*(IF(Presion_cilindro!N565&gt;(-D$4+Presion_cilindro!$B$34),1-EXP(-Presion_cilindro!$B$16*((Presion_cilindro!N565-(-D$4+Presion_cilindro!$B$34))/Presion_cilindro!$B$35)^(Presion_cilindro!$B$17+1)),0)-IF(Presion_cilindro!N564&gt;(-D$4+Presion_cilindro!$B$34),1-EXP(-Presion_cilindro!$B$16*((Presion_cilindro!N564-(-D$4+Presion_cilindro!$B$34))/Presion_cilindro!$B$35)^(Presion_cilindro!$B$17+1)),0))/((Presion_cilindro!O564+Presion_cilindro!O565)/2)</f>
        <v>3.9549975425165305</v>
      </c>
      <c r="E573" s="27">
        <f>E572*(Presion_cilindro!O564/Presion_cilindro!O565)^Presion_cilindro!$B$9+10*(Presion_cilindro!$B$9-1)*Presion_cilindro!$B$33*(IF(Presion_cilindro!N565&gt;(-E$4+Presion_cilindro!$B$34),1-EXP(-Presion_cilindro!$B$16*((Presion_cilindro!N565-(-E$4+Presion_cilindro!$B$34))/Presion_cilindro!$B$35)^(Presion_cilindro!$B$17+1)),0)-IF(Presion_cilindro!N564&gt;(-E$4+Presion_cilindro!$B$34),1-EXP(-Presion_cilindro!$B$16*((Presion_cilindro!N564-(-E$4+Presion_cilindro!$B$34))/Presion_cilindro!$B$35)^(Presion_cilindro!$B$17+1)),0))/((Presion_cilindro!O564+Presion_cilindro!O565)/2)</f>
        <v>3.8479566846799953</v>
      </c>
      <c r="F573" s="27">
        <f>F572*(Presion_cilindro!O564/Presion_cilindro!O565)^Presion_cilindro!$B$9+10*(Presion_cilindro!$B$9-1)*Presion_cilindro!$B$33*(IF(Presion_cilindro!N565&gt;(-F$4+Presion_cilindro!$B$34),1-EXP(-Presion_cilindro!$B$16*((Presion_cilindro!N565-(-F$4+Presion_cilindro!$B$34))/Presion_cilindro!$B$35)^(Presion_cilindro!$B$17+1)),0)-IF(Presion_cilindro!N564&gt;(-F$4+Presion_cilindro!$B$34),1-EXP(-Presion_cilindro!$B$16*((Presion_cilindro!N564-(-F$4+Presion_cilindro!$B$34))/Presion_cilindro!$B$35)^(Presion_cilindro!$B$17+1)),0))/((Presion_cilindro!O564+Presion_cilindro!O565)/2)</f>
        <v>3.7591473976134751</v>
      </c>
      <c r="G573" s="27">
        <f>G572*(Presion_cilindro!O564/Presion_cilindro!O565)^Presion_cilindro!$B$9+10*(Presion_cilindro!$B$9-1)*Presion_cilindro!$B$33*(IF(Presion_cilindro!N565&gt;(-G$4+Presion_cilindro!$B$34),1-EXP(-Presion_cilindro!$B$16*((Presion_cilindro!N565-(-G$4+Presion_cilindro!$B$34))/Presion_cilindro!$B$35)^(Presion_cilindro!$B$17+1)),0)-IF(Presion_cilindro!N564&gt;(-G$4+Presion_cilindro!$B$34),1-EXP(-Presion_cilindro!$B$16*((Presion_cilindro!N564-(-G$4+Presion_cilindro!$B$34))/Presion_cilindro!$B$35)^(Presion_cilindro!$B$17+1)),0))/((Presion_cilindro!O564+Presion_cilindro!O565)/2)</f>
        <v>3.6933407584311344</v>
      </c>
      <c r="H573" s="27">
        <f>H572*(Presion_cilindro!O564/Presion_cilindro!O565)^Presion_cilindro!$B$9+10*(Presion_cilindro!$B$9-1)*Presion_cilindro!$B$33*(IF(Presion_cilindro!N565&gt;(-H$4+Presion_cilindro!$B$34),1-EXP(-Presion_cilindro!$B$16*((Presion_cilindro!N565-(-H$4+Presion_cilindro!$B$34))/Presion_cilindro!$B$35)^(Presion_cilindro!$B$17+1)),0)-IF(Presion_cilindro!N564&gt;(-H$4+Presion_cilindro!$B$34),1-EXP(-Presion_cilindro!$B$16*((Presion_cilindro!N564-(-H$4+Presion_cilindro!$B$34))/Presion_cilindro!$B$35)^(Presion_cilindro!$B$17+1)),0))/((Presion_cilindro!O564+Presion_cilindro!O565)/2)</f>
        <v>3.6545222954765046</v>
      </c>
      <c r="I573" s="27">
        <f>I572*(Presion_cilindro!O564/Presion_cilindro!O565)^Presion_cilindro!$B$9+10*(Presion_cilindro!$B$9-1)*Presion_cilindro!$B$33*(IF(Presion_cilindro!N565&gt;(-I$4+Presion_cilindro!$B$34),1-EXP(-Presion_cilindro!$B$16*((Presion_cilindro!N565-(-I$4+Presion_cilindro!$B$34))/Presion_cilindro!$B$35)^(Presion_cilindro!$B$17+1)),0)-IF(Presion_cilindro!N564&gt;(-I$4+Presion_cilindro!$B$34),1-EXP(-Presion_cilindro!$B$16*((Presion_cilindro!N564-(-I$4+Presion_cilindro!$B$34))/Presion_cilindro!$B$35)^(Presion_cilindro!$B$17+1)),0))/((Presion_cilindro!O564+Presion_cilindro!O565)/2)</f>
        <v>3.6452108291712144</v>
      </c>
      <c r="J573" s="27">
        <f>J572*(Presion_cilindro!O564/Presion_cilindro!O565)^Presion_cilindro!$B$9+10*(Presion_cilindro!$B$9-1)*Presion_cilindro!$B$33*(IF(Presion_cilindro!N565&gt;(-J$4+Presion_cilindro!$B$34),1-EXP(-Presion_cilindro!$B$16*((Presion_cilindro!N565-(-J$4+Presion_cilindro!$B$34))/Presion_cilindro!$B$35)^(Presion_cilindro!$B$17+1)),0)-IF(Presion_cilindro!N564&gt;(-J$4+Presion_cilindro!$B$34),1-EXP(-Presion_cilindro!$B$16*((Presion_cilindro!N564-(-J$4+Presion_cilindro!$B$34))/Presion_cilindro!$B$35)^(Presion_cilindro!$B$17+1)),0))/((Presion_cilindro!O564+Presion_cilindro!O565)/2)</f>
        <v>3.665986296547417</v>
      </c>
      <c r="K573" s="27">
        <f>K572*(Presion_cilindro!O564/Presion_cilindro!O565)^Presion_cilindro!$B$9+10*(Presion_cilindro!$B$9-1)*Presion_cilindro!$B$33*(IF(Presion_cilindro!N565&gt;(-K$4+Presion_cilindro!$B$34),1-EXP(-Presion_cilindro!$B$16*((Presion_cilindro!N565-(-K$4+Presion_cilindro!$B$34))/Presion_cilindro!$B$35)^(Presion_cilindro!$B$17+1)),0)-IF(Presion_cilindro!N564&gt;(-K$4+Presion_cilindro!$B$34),1-EXP(-Presion_cilindro!$B$16*((Presion_cilindro!N564-(-K$4+Presion_cilindro!$B$34))/Presion_cilindro!$B$35)^(Presion_cilindro!$B$17+1)),0))/((Presion_cilindro!O564+Presion_cilindro!O565)/2)</f>
        <v>3.7153891012712545</v>
      </c>
      <c r="L573" s="27">
        <f>L572*(Presion_cilindro!O564/Presion_cilindro!O565)^Presion_cilindro!$B$9+10*(Presion_cilindro!$B$9-1)*Presion_cilindro!$B$33*(IF(Presion_cilindro!N565&gt;(-L$4+Presion_cilindro!$B$34),1-EXP(-Presion_cilindro!$B$16*((Presion_cilindro!N565-(-L$4+Presion_cilindro!$B$34))/Presion_cilindro!$B$35)^(Presion_cilindro!$B$17+1)),0)-IF(Presion_cilindro!N564&gt;(-L$4+Presion_cilindro!$B$34),1-EXP(-Presion_cilindro!$B$16*((Presion_cilindro!N564-(-L$4+Presion_cilindro!$B$34))/Presion_cilindro!$B$35)^(Presion_cilindro!$B$17+1)),0))/((Presion_cilindro!O564+Presion_cilindro!O565)/2)</f>
        <v>3.790221861448734</v>
      </c>
      <c r="M573" s="27">
        <f>M572*(Presion_cilindro!O564/Presion_cilindro!O565)^Presion_cilindro!$B$9+10*(Presion_cilindro!$B$9-1)*Presion_cilindro!$B$33*(IF(Presion_cilindro!N565&gt;(-M$4+Presion_cilindro!$B$34),1-EXP(-Presion_cilindro!$B$16*((Presion_cilindro!N565-(-M$4+Presion_cilindro!$B$34))/Presion_cilindro!$B$35)^(Presion_cilindro!$B$17+1)),0)-IF(Presion_cilindro!N564&gt;(-M$4+Presion_cilindro!$B$34),1-EXP(-Presion_cilindro!$B$16*((Presion_cilindro!N564-(-M$4+Presion_cilindro!$B$34))/Presion_cilindro!$B$35)^(Presion_cilindro!$B$17+1)),0))/((Presion_cilindro!O564+Presion_cilindro!O565)/2)</f>
        <v>3.8861394257810482</v>
      </c>
      <c r="N573" s="27">
        <f>N572*(Presion_cilindro!O564/Presion_cilindro!O565)^Presion_cilindro!$B$9+10*(Presion_cilindro!$B$9-1)*Presion_cilindro!$B$33*(IF(Presion_cilindro!N565&gt;(-N$4+Presion_cilindro!$B$34),1-EXP(-Presion_cilindro!$B$16*((Presion_cilindro!N565-(-N$4+Presion_cilindro!$B$34))/Presion_cilindro!$B$35)^(Presion_cilindro!$B$17+1)),0)-IF(Presion_cilindro!N564&gt;(-N$4+Presion_cilindro!$B$34),1-EXP(-Presion_cilindro!$B$16*((Presion_cilindro!N564-(-N$4+Presion_cilindro!$B$34))/Presion_cilindro!$B$35)^(Presion_cilindro!$B$17+1)),0))/((Presion_cilindro!O564+Presion_cilindro!O565)/2)</f>
        <v>3.998330329091802</v>
      </c>
    </row>
    <row r="574" spans="1:14" x14ac:dyDescent="0.25">
      <c r="A574" s="21">
        <f>Presion_cilindro!N566</f>
        <v>101</v>
      </c>
      <c r="B574" s="27">
        <f>B573*(Presion_cilindro!O565/Presion_cilindro!O566)^Presion_cilindro!$B$9+10*(Presion_cilindro!$B$9-1)*Presion_cilindro!$B$33*(IF(Presion_cilindro!N566&gt;(-B$4+Presion_cilindro!$B$34),1-EXP(-Presion_cilindro!$B$16*((Presion_cilindro!N566-(-B$4+Presion_cilindro!$B$34))/Presion_cilindro!$B$35)^(Presion_cilindro!$B$17+1)),0)-IF(Presion_cilindro!N565&gt;(-B$4+Presion_cilindro!$B$34),1-EXP(-Presion_cilindro!$B$16*((Presion_cilindro!N565-(-B$4+Presion_cilindro!$B$34))/Presion_cilindro!$B$35)^(Presion_cilindro!$B$17+1)),0))/((Presion_cilindro!O565+Presion_cilindro!O566)/2)</f>
        <v>4.1755344279085467</v>
      </c>
      <c r="C574" s="27">
        <f>C573*(Presion_cilindro!O565/Presion_cilindro!O566)^Presion_cilindro!$B$9+10*(Presion_cilindro!$B$9-1)*Presion_cilindro!$B$33*(IF(Presion_cilindro!N566&gt;(-C$4+Presion_cilindro!$B$34),1-EXP(-Presion_cilindro!$B$16*((Presion_cilindro!N566-(-C$4+Presion_cilindro!$B$34))/Presion_cilindro!$B$35)^(Presion_cilindro!$B$17+1)),0)-IF(Presion_cilindro!N565&gt;(-C$4+Presion_cilindro!$B$34),1-EXP(-Presion_cilindro!$B$16*((Presion_cilindro!N565-(-C$4+Presion_cilindro!$B$34))/Presion_cilindro!$B$35)^(Presion_cilindro!$B$17+1)),0))/((Presion_cilindro!O565+Presion_cilindro!O566)/2)</f>
        <v>4.0471627922956985</v>
      </c>
      <c r="D574" s="27">
        <f>D573*(Presion_cilindro!O565/Presion_cilindro!O566)^Presion_cilindro!$B$9+10*(Presion_cilindro!$B$9-1)*Presion_cilindro!$B$33*(IF(Presion_cilindro!N566&gt;(-D$4+Presion_cilindro!$B$34),1-EXP(-Presion_cilindro!$B$16*((Presion_cilindro!N566-(-D$4+Presion_cilindro!$B$34))/Presion_cilindro!$B$35)^(Presion_cilindro!$B$17+1)),0)-IF(Presion_cilindro!N565&gt;(-D$4+Presion_cilindro!$B$34),1-EXP(-Presion_cilindro!$B$16*((Presion_cilindro!N565-(-D$4+Presion_cilindro!$B$34))/Presion_cilindro!$B$35)^(Presion_cilindro!$B$17+1)),0))/((Presion_cilindro!O565+Presion_cilindro!O566)/2)</f>
        <v>3.9276033731137927</v>
      </c>
      <c r="E574" s="27">
        <f>E573*(Presion_cilindro!O565/Presion_cilindro!O566)^Presion_cilindro!$B$9+10*(Presion_cilindro!$B$9-1)*Presion_cilindro!$B$33*(IF(Presion_cilindro!N566&gt;(-E$4+Presion_cilindro!$B$34),1-EXP(-Presion_cilindro!$B$16*((Presion_cilindro!N566-(-E$4+Presion_cilindro!$B$34))/Presion_cilindro!$B$35)^(Presion_cilindro!$B$17+1)),0)-IF(Presion_cilindro!N565&gt;(-E$4+Presion_cilindro!$B$34),1-EXP(-Presion_cilindro!$B$16*((Presion_cilindro!N565-(-E$4+Presion_cilindro!$B$34))/Presion_cilindro!$B$35)^(Presion_cilindro!$B$17+1)),0))/((Presion_cilindro!O565+Presion_cilindro!O566)/2)</f>
        <v>3.821303930502189</v>
      </c>
      <c r="F574" s="27">
        <f>F573*(Presion_cilindro!O565/Presion_cilindro!O566)^Presion_cilindro!$B$9+10*(Presion_cilindro!$B$9-1)*Presion_cilindro!$B$33*(IF(Presion_cilindro!N566&gt;(-F$4+Presion_cilindro!$B$34),1-EXP(-Presion_cilindro!$B$16*((Presion_cilindro!N566-(-F$4+Presion_cilindro!$B$34))/Presion_cilindro!$B$35)^(Presion_cilindro!$B$17+1)),0)-IF(Presion_cilindro!N565&gt;(-F$4+Presion_cilindro!$B$34),1-EXP(-Presion_cilindro!$B$16*((Presion_cilindro!N565-(-F$4+Presion_cilindro!$B$34))/Presion_cilindro!$B$35)^(Presion_cilindro!$B$17+1)),0))/((Presion_cilindro!O565+Presion_cilindro!O566)/2)</f>
        <v>3.7331097782437901</v>
      </c>
      <c r="G574" s="27">
        <f>G573*(Presion_cilindro!O565/Presion_cilindro!O566)^Presion_cilindro!$B$9+10*(Presion_cilindro!$B$9-1)*Presion_cilindro!$B$33*(IF(Presion_cilindro!N566&gt;(-G$4+Presion_cilindro!$B$34),1-EXP(-Presion_cilindro!$B$16*((Presion_cilindro!N566-(-G$4+Presion_cilindro!$B$34))/Presion_cilindro!$B$35)^(Presion_cilindro!$B$17+1)),0)-IF(Presion_cilindro!N565&gt;(-G$4+Presion_cilindro!$B$34),1-EXP(-Presion_cilindro!$B$16*((Presion_cilindro!N565-(-G$4+Presion_cilindro!$B$34))/Presion_cilindro!$B$35)^(Presion_cilindro!$B$17+1)),0))/((Presion_cilindro!O565+Presion_cilindro!O566)/2)</f>
        <v>3.6677589467331879</v>
      </c>
      <c r="H574" s="27">
        <f>H573*(Presion_cilindro!O565/Presion_cilindro!O566)^Presion_cilindro!$B$9+10*(Presion_cilindro!$B$9-1)*Presion_cilindro!$B$33*(IF(Presion_cilindro!N566&gt;(-H$4+Presion_cilindro!$B$34),1-EXP(-Presion_cilindro!$B$16*((Presion_cilindro!N566-(-H$4+Presion_cilindro!$B$34))/Presion_cilindro!$B$35)^(Presion_cilindro!$B$17+1)),0)-IF(Presion_cilindro!N565&gt;(-H$4+Presion_cilindro!$B$34),1-EXP(-Presion_cilindro!$B$16*((Presion_cilindro!N565-(-H$4+Presion_cilindro!$B$34))/Presion_cilindro!$B$35)^(Presion_cilindro!$B$17+1)),0))/((Presion_cilindro!O565+Presion_cilindro!O566)/2)</f>
        <v>3.6292093586738523</v>
      </c>
      <c r="I574" s="27">
        <f>I573*(Presion_cilindro!O565/Presion_cilindro!O566)^Presion_cilindro!$B$9+10*(Presion_cilindro!$B$9-1)*Presion_cilindro!$B$33*(IF(Presion_cilindro!N566&gt;(-I$4+Presion_cilindro!$B$34),1-EXP(-Presion_cilindro!$B$16*((Presion_cilindro!N566-(-I$4+Presion_cilindro!$B$34))/Presion_cilindro!$B$35)^(Presion_cilindro!$B$17+1)),0)-IF(Presion_cilindro!N565&gt;(-I$4+Presion_cilindro!$B$34),1-EXP(-Presion_cilindro!$B$16*((Presion_cilindro!N565-(-I$4+Presion_cilindro!$B$34))/Presion_cilindro!$B$35)^(Presion_cilindro!$B$17+1)),0))/((Presion_cilindro!O565+Presion_cilindro!O566)/2)</f>
        <v>3.619962387954871</v>
      </c>
      <c r="J574" s="27">
        <f>J573*(Presion_cilindro!O565/Presion_cilindro!O566)^Presion_cilindro!$B$9+10*(Presion_cilindro!$B$9-1)*Presion_cilindro!$B$33*(IF(Presion_cilindro!N566&gt;(-J$4+Presion_cilindro!$B$34),1-EXP(-Presion_cilindro!$B$16*((Presion_cilindro!N566-(-J$4+Presion_cilindro!$B$34))/Presion_cilindro!$B$35)^(Presion_cilindro!$B$17+1)),0)-IF(Presion_cilindro!N565&gt;(-J$4+Presion_cilindro!$B$34),1-EXP(-Presion_cilindro!$B$16*((Presion_cilindro!N565-(-J$4+Presion_cilindro!$B$34))/Presion_cilindro!$B$35)^(Presion_cilindro!$B$17+1)),0))/((Presion_cilindro!O565+Presion_cilindro!O566)/2)</f>
        <v>3.6405939546922981</v>
      </c>
      <c r="K574" s="27">
        <f>K573*(Presion_cilindro!O565/Presion_cilindro!O566)^Presion_cilindro!$B$9+10*(Presion_cilindro!$B$9-1)*Presion_cilindro!$B$33*(IF(Presion_cilindro!N566&gt;(-K$4+Presion_cilindro!$B$34),1-EXP(-Presion_cilindro!$B$16*((Presion_cilindro!N566-(-K$4+Presion_cilindro!$B$34))/Presion_cilindro!$B$35)^(Presion_cilindro!$B$17+1)),0)-IF(Presion_cilindro!N565&gt;(-K$4+Presion_cilindro!$B$34),1-EXP(-Presion_cilindro!$B$16*((Presion_cilindro!N565-(-K$4+Presion_cilindro!$B$34))/Presion_cilindro!$B$35)^(Presion_cilindro!$B$17+1)),0))/((Presion_cilindro!O565+Presion_cilindro!O566)/2)</f>
        <v>3.6896545724015981</v>
      </c>
      <c r="L574" s="27">
        <f>L573*(Presion_cilindro!O565/Presion_cilindro!O566)^Presion_cilindro!$B$9+10*(Presion_cilindro!$B$9-1)*Presion_cilindro!$B$33*(IF(Presion_cilindro!N566&gt;(-L$4+Presion_cilindro!$B$34),1-EXP(-Presion_cilindro!$B$16*((Presion_cilindro!N566-(-L$4+Presion_cilindro!$B$34))/Presion_cilindro!$B$35)^(Presion_cilindro!$B$17+1)),0)-IF(Presion_cilindro!N565&gt;(-L$4+Presion_cilindro!$B$34),1-EXP(-Presion_cilindro!$B$16*((Presion_cilindro!N565-(-L$4+Presion_cilindro!$B$34))/Presion_cilindro!$B$35)^(Presion_cilindro!$B$17+1)),0))/((Presion_cilindro!O565+Presion_cilindro!O566)/2)</f>
        <v>3.7639690057565858</v>
      </c>
      <c r="M574" s="27">
        <f>M573*(Presion_cilindro!O565/Presion_cilindro!O566)^Presion_cilindro!$B$9+10*(Presion_cilindro!$B$9-1)*Presion_cilindro!$B$33*(IF(Presion_cilindro!N566&gt;(-M$4+Presion_cilindro!$B$34),1-EXP(-Presion_cilindro!$B$16*((Presion_cilindro!N566-(-M$4+Presion_cilindro!$B$34))/Presion_cilindro!$B$35)^(Presion_cilindro!$B$17+1)),0)-IF(Presion_cilindro!N565&gt;(-M$4+Presion_cilindro!$B$34),1-EXP(-Presion_cilindro!$B$16*((Presion_cilindro!N565-(-M$4+Presion_cilindro!$B$34))/Presion_cilindro!$B$35)^(Presion_cilindro!$B$17+1)),0))/((Presion_cilindro!O565+Presion_cilindro!O566)/2)</f>
        <v>3.8592222000159047</v>
      </c>
      <c r="N574" s="27">
        <f>N573*(Presion_cilindro!O565/Presion_cilindro!O566)^Presion_cilindro!$B$9+10*(Presion_cilindro!$B$9-1)*Presion_cilindro!$B$33*(IF(Presion_cilindro!N566&gt;(-N$4+Presion_cilindro!$B$34),1-EXP(-Presion_cilindro!$B$16*((Presion_cilindro!N566-(-N$4+Presion_cilindro!$B$34))/Presion_cilindro!$B$35)^(Presion_cilindro!$B$17+1)),0)-IF(Presion_cilindro!N565&gt;(-N$4+Presion_cilindro!$B$34),1-EXP(-Presion_cilindro!$B$16*((Presion_cilindro!N565-(-N$4+Presion_cilindro!$B$34))/Presion_cilindro!$B$35)^(Presion_cilindro!$B$17+1)),0))/((Presion_cilindro!O565+Presion_cilindro!O566)/2)</f>
        <v>3.9706360164694097</v>
      </c>
    </row>
    <row r="575" spans="1:14" x14ac:dyDescent="0.25">
      <c r="A575" s="21">
        <f>Presion_cilindro!N567</f>
        <v>101.5</v>
      </c>
      <c r="B575" s="27">
        <f>B574*(Presion_cilindro!O566/Presion_cilindro!O567)^Presion_cilindro!$B$9+10*(Presion_cilindro!$B$9-1)*Presion_cilindro!$B$33*(IF(Presion_cilindro!N567&gt;(-B$4+Presion_cilindro!$B$34),1-EXP(-Presion_cilindro!$B$16*((Presion_cilindro!N567-(-B$4+Presion_cilindro!$B$34))/Presion_cilindro!$B$35)^(Presion_cilindro!$B$17+1)),0)-IF(Presion_cilindro!N566&gt;(-B$4+Presion_cilindro!$B$34),1-EXP(-Presion_cilindro!$B$16*((Presion_cilindro!N566-(-B$4+Presion_cilindro!$B$34))/Presion_cilindro!$B$35)^(Presion_cilindro!$B$17+1)),0))/((Presion_cilindro!O566+Presion_cilindro!O567)/2)</f>
        <v>4.1468878571251233</v>
      </c>
      <c r="C575" s="27">
        <f>C574*(Presion_cilindro!O566/Presion_cilindro!O567)^Presion_cilindro!$B$9+10*(Presion_cilindro!$B$9-1)*Presion_cilindro!$B$33*(IF(Presion_cilindro!N567&gt;(-C$4+Presion_cilindro!$B$34),1-EXP(-Presion_cilindro!$B$16*((Presion_cilindro!N567-(-C$4+Presion_cilindro!$B$34))/Presion_cilindro!$B$35)^(Presion_cilindro!$B$17+1)),0)-IF(Presion_cilindro!N566&gt;(-C$4+Presion_cilindro!$B$34),1-EXP(-Presion_cilindro!$B$16*((Presion_cilindro!N566-(-C$4+Presion_cilindro!$B$34))/Presion_cilindro!$B$35)^(Presion_cilindro!$B$17+1)),0))/((Presion_cilindro!O566+Presion_cilindro!O567)/2)</f>
        <v>4.0193969248592696</v>
      </c>
      <c r="D575" s="27">
        <f>D574*(Presion_cilindro!O566/Presion_cilindro!O567)^Presion_cilindro!$B$9+10*(Presion_cilindro!$B$9-1)*Presion_cilindro!$B$33*(IF(Presion_cilindro!N567&gt;(-D$4+Presion_cilindro!$B$34),1-EXP(-Presion_cilindro!$B$16*((Presion_cilindro!N567-(-D$4+Presion_cilindro!$B$34))/Presion_cilindro!$B$35)^(Presion_cilindro!$B$17+1)),0)-IF(Presion_cilindro!N566&gt;(-D$4+Presion_cilindro!$B$34),1-EXP(-Presion_cilindro!$B$16*((Presion_cilindro!N566-(-D$4+Presion_cilindro!$B$34))/Presion_cilindro!$B$35)^(Presion_cilindro!$B$17+1)),0))/((Presion_cilindro!O566+Presion_cilindro!O567)/2)</f>
        <v>3.9006577521448649</v>
      </c>
      <c r="E575" s="27">
        <f>E574*(Presion_cilindro!O566/Presion_cilindro!O567)^Presion_cilindro!$B$9+10*(Presion_cilindro!$B$9-1)*Presion_cilindro!$B$33*(IF(Presion_cilindro!N567&gt;(-E$4+Presion_cilindro!$B$34),1-EXP(-Presion_cilindro!$B$16*((Presion_cilindro!N567-(-E$4+Presion_cilindro!$B$34))/Presion_cilindro!$B$35)^(Presion_cilindro!$B$17+1)),0)-IF(Presion_cilindro!N566&gt;(-E$4+Presion_cilindro!$B$34),1-EXP(-Presion_cilindro!$B$16*((Presion_cilindro!N566-(-E$4+Presion_cilindro!$B$34))/Presion_cilindro!$B$35)^(Presion_cilindro!$B$17+1)),0))/((Presion_cilindro!O566+Presion_cilindro!O567)/2)</f>
        <v>3.7950875849253305</v>
      </c>
      <c r="F575" s="27">
        <f>F574*(Presion_cilindro!O566/Presion_cilindro!O567)^Presion_cilindro!$B$9+10*(Presion_cilindro!$B$9-1)*Presion_cilindro!$B$33*(IF(Presion_cilindro!N567&gt;(-F$4+Presion_cilindro!$B$34),1-EXP(-Presion_cilindro!$B$16*((Presion_cilindro!N567-(-F$4+Presion_cilindro!$B$34))/Presion_cilindro!$B$35)^(Presion_cilindro!$B$17+1)),0)-IF(Presion_cilindro!N566&gt;(-F$4+Presion_cilindro!$B$34),1-EXP(-Presion_cilindro!$B$16*((Presion_cilindro!N566-(-F$4+Presion_cilindro!$B$34))/Presion_cilindro!$B$35)^(Presion_cilindro!$B$17+1)),0))/((Presion_cilindro!O566+Presion_cilindro!O567)/2)</f>
        <v>3.707498495340698</v>
      </c>
      <c r="G575" s="27">
        <f>G574*(Presion_cilindro!O566/Presion_cilindro!O567)^Presion_cilindro!$B$9+10*(Presion_cilindro!$B$9-1)*Presion_cilindro!$B$33*(IF(Presion_cilindro!N567&gt;(-G$4+Presion_cilindro!$B$34),1-EXP(-Presion_cilindro!$B$16*((Presion_cilindro!N567-(-G$4+Presion_cilindro!$B$34))/Presion_cilindro!$B$35)^(Presion_cilindro!$B$17+1)),0)-IF(Presion_cilindro!N566&gt;(-G$4+Presion_cilindro!$B$34),1-EXP(-Presion_cilindro!$B$16*((Presion_cilindro!N566-(-G$4+Presion_cilindro!$B$34))/Presion_cilindro!$B$35)^(Presion_cilindro!$B$17+1)),0))/((Presion_cilindro!O566+Presion_cilindro!O567)/2)</f>
        <v>3.6425960081685145</v>
      </c>
      <c r="H575" s="27">
        <f>H574*(Presion_cilindro!O566/Presion_cilindro!O567)^Presion_cilindro!$B$9+10*(Presion_cilindro!$B$9-1)*Presion_cilindro!$B$33*(IF(Presion_cilindro!N567&gt;(-H$4+Presion_cilindro!$B$34),1-EXP(-Presion_cilindro!$B$16*((Presion_cilindro!N567-(-H$4+Presion_cilindro!$B$34))/Presion_cilindro!$B$35)^(Presion_cilindro!$B$17+1)),0)-IF(Presion_cilindro!N566&gt;(-H$4+Presion_cilindro!$B$34),1-EXP(-Presion_cilindro!$B$16*((Presion_cilindro!N566-(-H$4+Presion_cilindro!$B$34))/Presion_cilindro!$B$35)^(Presion_cilindro!$B$17+1)),0))/((Presion_cilindro!O566+Presion_cilindro!O567)/2)</f>
        <v>3.6043108924832139</v>
      </c>
      <c r="I575" s="27">
        <f>I574*(Presion_cilindro!O566/Presion_cilindro!O567)^Presion_cilindro!$B$9+10*(Presion_cilindro!$B$9-1)*Presion_cilindro!$B$33*(IF(Presion_cilindro!N567&gt;(-I$4+Presion_cilindro!$B$34),1-EXP(-Presion_cilindro!$B$16*((Presion_cilindro!N567-(-I$4+Presion_cilindro!$B$34))/Presion_cilindro!$B$35)^(Presion_cilindro!$B$17+1)),0)-IF(Presion_cilindro!N566&gt;(-I$4+Presion_cilindro!$B$34),1-EXP(-Presion_cilindro!$B$16*((Presion_cilindro!N566-(-I$4+Presion_cilindro!$B$34))/Presion_cilindro!$B$35)^(Presion_cilindro!$B$17+1)),0))/((Presion_cilindro!O566+Presion_cilindro!O567)/2)</f>
        <v>3.5951273613085131</v>
      </c>
      <c r="J575" s="27">
        <f>J574*(Presion_cilindro!O566/Presion_cilindro!O567)^Presion_cilindro!$B$9+10*(Presion_cilindro!$B$9-1)*Presion_cilindro!$B$33*(IF(Presion_cilindro!N567&gt;(-J$4+Presion_cilindro!$B$34),1-EXP(-Presion_cilindro!$B$16*((Presion_cilindro!N567-(-J$4+Presion_cilindro!$B$34))/Presion_cilindro!$B$35)^(Presion_cilindro!$B$17+1)),0)-IF(Presion_cilindro!N566&gt;(-J$4+Presion_cilindro!$B$34),1-EXP(-Presion_cilindro!$B$16*((Presion_cilindro!N566-(-J$4+Presion_cilindro!$B$34))/Presion_cilindro!$B$35)^(Presion_cilindro!$B$17+1)),0))/((Presion_cilindro!O566+Presion_cilindro!O567)/2)</f>
        <v>3.6156173836168084</v>
      </c>
      <c r="K575" s="27">
        <f>K574*(Presion_cilindro!O566/Presion_cilindro!O567)^Presion_cilindro!$B$9+10*(Presion_cilindro!$B$9-1)*Presion_cilindro!$B$33*(IF(Presion_cilindro!N567&gt;(-K$4+Presion_cilindro!$B$34),1-EXP(-Presion_cilindro!$B$16*((Presion_cilindro!N567-(-K$4+Presion_cilindro!$B$34))/Presion_cilindro!$B$35)^(Presion_cilindro!$B$17+1)),0)-IF(Presion_cilindro!N566&gt;(-K$4+Presion_cilindro!$B$34),1-EXP(-Presion_cilindro!$B$16*((Presion_cilindro!N566-(-K$4+Presion_cilindro!$B$34))/Presion_cilindro!$B$35)^(Presion_cilindro!$B$17+1)),0))/((Presion_cilindro!O566+Presion_cilindro!O567)/2)</f>
        <v>3.6643414172355802</v>
      </c>
      <c r="L575" s="27">
        <f>L574*(Presion_cilindro!O566/Presion_cilindro!O567)^Presion_cilindro!$B$9+10*(Presion_cilindro!$B$9-1)*Presion_cilindro!$B$33*(IF(Presion_cilindro!N567&gt;(-L$4+Presion_cilindro!$B$34),1-EXP(-Presion_cilindro!$B$16*((Presion_cilindro!N567-(-L$4+Presion_cilindro!$B$34))/Presion_cilindro!$B$35)^(Presion_cilindro!$B$17+1)),0)-IF(Presion_cilindro!N566&gt;(-L$4+Presion_cilindro!$B$34),1-EXP(-Presion_cilindro!$B$16*((Presion_cilindro!N566-(-L$4+Presion_cilindro!$B$34))/Presion_cilindro!$B$35)^(Presion_cilindro!$B$17+1)),0))/((Presion_cilindro!O566+Presion_cilindro!O567)/2)</f>
        <v>3.7381460107815352</v>
      </c>
      <c r="M575" s="27">
        <f>M574*(Presion_cilindro!O566/Presion_cilindro!O567)^Presion_cilindro!$B$9+10*(Presion_cilindro!$B$9-1)*Presion_cilindro!$B$33*(IF(Presion_cilindro!N567&gt;(-M$4+Presion_cilindro!$B$34),1-EXP(-Presion_cilindro!$B$16*((Presion_cilindro!N567-(-M$4+Presion_cilindro!$B$34))/Presion_cilindro!$B$35)^(Presion_cilindro!$B$17+1)),0)-IF(Presion_cilindro!N566&gt;(-M$4+Presion_cilindro!$B$34),1-EXP(-Presion_cilindro!$B$16*((Presion_cilindro!N566-(-M$4+Presion_cilindro!$B$34))/Presion_cilindro!$B$35)^(Presion_cilindro!$B$17+1)),0))/((Presion_cilindro!O566+Presion_cilindro!O567)/2)</f>
        <v>3.8327457132737979</v>
      </c>
      <c r="N575" s="27">
        <f>N574*(Presion_cilindro!O566/Presion_cilindro!O567)^Presion_cilindro!$B$9+10*(Presion_cilindro!$B$9-1)*Presion_cilindro!$B$33*(IF(Presion_cilindro!N567&gt;(-N$4+Presion_cilindro!$B$34),1-EXP(-Presion_cilindro!$B$16*((Presion_cilindro!N567-(-N$4+Presion_cilindro!$B$34))/Presion_cilindro!$B$35)^(Presion_cilindro!$B$17+1)),0)-IF(Presion_cilindro!N566&gt;(-N$4+Presion_cilindro!$B$34),1-EXP(-Presion_cilindro!$B$16*((Presion_cilindro!N566-(-N$4+Presion_cilindro!$B$34))/Presion_cilindro!$B$35)^(Presion_cilindro!$B$17+1)),0))/((Presion_cilindro!O566+Presion_cilindro!O567)/2)</f>
        <v>3.943395166785411</v>
      </c>
    </row>
    <row r="576" spans="1:14" x14ac:dyDescent="0.25">
      <c r="A576" s="21">
        <f>Presion_cilindro!N568</f>
        <v>102</v>
      </c>
      <c r="B576" s="27">
        <f>B575*(Presion_cilindro!O567/Presion_cilindro!O568)^Presion_cilindro!$B$9+10*(Presion_cilindro!$B$9-1)*Presion_cilindro!$B$33*(IF(Presion_cilindro!N568&gt;(-B$4+Presion_cilindro!$B$34),1-EXP(-Presion_cilindro!$B$16*((Presion_cilindro!N568-(-B$4+Presion_cilindro!$B$34))/Presion_cilindro!$B$35)^(Presion_cilindro!$B$17+1)),0)-IF(Presion_cilindro!N567&gt;(-B$4+Presion_cilindro!$B$34),1-EXP(-Presion_cilindro!$B$16*((Presion_cilindro!N567-(-B$4+Presion_cilindro!$B$34))/Presion_cilindro!$B$35)^(Presion_cilindro!$B$17+1)),0))/((Presion_cilindro!O567+Presion_cilindro!O568)/2)</f>
        <v>4.1187093464713991</v>
      </c>
      <c r="C576" s="27">
        <f>C575*(Presion_cilindro!O567/Presion_cilindro!O568)^Presion_cilindro!$B$9+10*(Presion_cilindro!$B$9-1)*Presion_cilindro!$B$33*(IF(Presion_cilindro!N568&gt;(-C$4+Presion_cilindro!$B$34),1-EXP(-Presion_cilindro!$B$16*((Presion_cilindro!N568-(-C$4+Presion_cilindro!$B$34))/Presion_cilindro!$B$35)^(Presion_cilindro!$B$17+1)),0)-IF(Presion_cilindro!N567&gt;(-C$4+Presion_cilindro!$B$34),1-EXP(-Presion_cilindro!$B$16*((Presion_cilindro!N567-(-C$4+Presion_cilindro!$B$34))/Presion_cilindro!$B$35)^(Presion_cilindro!$B$17+1)),0))/((Presion_cilindro!O567+Presion_cilindro!O568)/2)</f>
        <v>3.9920847276234315</v>
      </c>
      <c r="D576" s="27">
        <f>D575*(Presion_cilindro!O567/Presion_cilindro!O568)^Presion_cilindro!$B$9+10*(Presion_cilindro!$B$9-1)*Presion_cilindro!$B$33*(IF(Presion_cilindro!N568&gt;(-D$4+Presion_cilindro!$B$34),1-EXP(-Presion_cilindro!$B$16*((Presion_cilindro!N568-(-D$4+Presion_cilindro!$B$34))/Presion_cilindro!$B$35)^(Presion_cilindro!$B$17+1)),0)-IF(Presion_cilindro!N567&gt;(-D$4+Presion_cilindro!$B$34),1-EXP(-Presion_cilindro!$B$16*((Presion_cilindro!N567-(-D$4+Presion_cilindro!$B$34))/Presion_cilindro!$B$35)^(Presion_cilindro!$B$17+1)),0))/((Presion_cilindro!O567+Presion_cilindro!O568)/2)</f>
        <v>3.8741523992604114</v>
      </c>
      <c r="E576" s="27">
        <f>E575*(Presion_cilindro!O567/Presion_cilindro!O568)^Presion_cilindro!$B$9+10*(Presion_cilindro!$B$9-1)*Presion_cilindro!$B$33*(IF(Presion_cilindro!N568&gt;(-E$4+Presion_cilindro!$B$34),1-EXP(-Presion_cilindro!$B$16*((Presion_cilindro!N568-(-E$4+Presion_cilindro!$B$34))/Presion_cilindro!$B$35)^(Presion_cilindro!$B$17+1)),0)-IF(Presion_cilindro!N567&gt;(-E$4+Presion_cilindro!$B$34),1-EXP(-Presion_cilindro!$B$16*((Presion_cilindro!N567-(-E$4+Presion_cilindro!$B$34))/Presion_cilindro!$B$35)^(Presion_cilindro!$B$17+1)),0))/((Presion_cilindro!O567+Presion_cilindro!O568)/2)</f>
        <v>3.7692995917053298</v>
      </c>
      <c r="F576" s="27">
        <f>F575*(Presion_cilindro!O567/Presion_cilindro!O568)^Presion_cilindro!$B$9+10*(Presion_cilindro!$B$9-1)*Presion_cilindro!$B$33*(IF(Presion_cilindro!N568&gt;(-F$4+Presion_cilindro!$B$34),1-EXP(-Presion_cilindro!$B$16*((Presion_cilindro!N568-(-F$4+Presion_cilindro!$B$34))/Presion_cilindro!$B$35)^(Presion_cilindro!$B$17+1)),0)-IF(Presion_cilindro!N567&gt;(-F$4+Presion_cilindro!$B$34),1-EXP(-Presion_cilindro!$B$16*((Presion_cilindro!N567-(-F$4+Presion_cilindro!$B$34))/Presion_cilindro!$B$35)^(Presion_cilindro!$B$17+1)),0))/((Presion_cilindro!O567+Presion_cilindro!O568)/2)</f>
        <v>3.6823056785949708</v>
      </c>
      <c r="G576" s="27">
        <f>G575*(Presion_cilindro!O567/Presion_cilindro!O568)^Presion_cilindro!$B$9+10*(Presion_cilindro!$B$9-1)*Presion_cilindro!$B$33*(IF(Presion_cilindro!N568&gt;(-G$4+Presion_cilindro!$B$34),1-EXP(-Presion_cilindro!$B$16*((Presion_cilindro!N568-(-G$4+Presion_cilindro!$B$34))/Presion_cilindro!$B$35)^(Presion_cilindro!$B$17+1)),0)-IF(Presion_cilindro!N567&gt;(-G$4+Presion_cilindro!$B$34),1-EXP(-Presion_cilindro!$B$16*((Presion_cilindro!N567-(-G$4+Presion_cilindro!$B$34))/Presion_cilindro!$B$35)^(Presion_cilindro!$B$17+1)),0))/((Presion_cilindro!O567+Presion_cilindro!O568)/2)</f>
        <v>3.6178442102034358</v>
      </c>
      <c r="H576" s="27">
        <f>H575*(Presion_cilindro!O567/Presion_cilindro!O568)^Presion_cilindro!$B$9+10*(Presion_cilindro!$B$9-1)*Presion_cilindro!$B$33*(IF(Presion_cilindro!N568&gt;(-H$4+Presion_cilindro!$B$34),1-EXP(-Presion_cilindro!$B$16*((Presion_cilindro!N568-(-H$4+Presion_cilindro!$B$34))/Presion_cilindro!$B$35)^(Presion_cilindro!$B$17+1)),0)-IF(Presion_cilindro!N567&gt;(-H$4+Presion_cilindro!$B$34),1-EXP(-Presion_cilindro!$B$16*((Presion_cilindro!N567-(-H$4+Presion_cilindro!$B$34))/Presion_cilindro!$B$35)^(Presion_cilindro!$B$17+1)),0))/((Presion_cilindro!O567+Presion_cilindro!O568)/2)</f>
        <v>3.579819245642879</v>
      </c>
      <c r="I576" s="27">
        <f>I575*(Presion_cilindro!O567/Presion_cilindro!O568)^Presion_cilindro!$B$9+10*(Presion_cilindro!$B$9-1)*Presion_cilindro!$B$33*(IF(Presion_cilindro!N568&gt;(-I$4+Presion_cilindro!$B$34),1-EXP(-Presion_cilindro!$B$16*((Presion_cilindro!N568-(-I$4+Presion_cilindro!$B$34))/Presion_cilindro!$B$35)^(Presion_cilindro!$B$17+1)),0)-IF(Presion_cilindro!N567&gt;(-I$4+Presion_cilindro!$B$34),1-EXP(-Presion_cilindro!$B$16*((Presion_cilindro!N567-(-I$4+Presion_cilindro!$B$34))/Presion_cilindro!$B$35)^(Presion_cilindro!$B$17+1)),0))/((Presion_cilindro!O567+Presion_cilindro!O568)/2)</f>
        <v>3.5706981174653079</v>
      </c>
      <c r="J576" s="27">
        <f>J575*(Presion_cilindro!O567/Presion_cilindro!O568)^Presion_cilindro!$B$9+10*(Presion_cilindro!$B$9-1)*Presion_cilindro!$B$33*(IF(Presion_cilindro!N568&gt;(-J$4+Presion_cilindro!$B$34),1-EXP(-Presion_cilindro!$B$16*((Presion_cilindro!N568-(-J$4+Presion_cilindro!$B$34))/Presion_cilindro!$B$35)^(Presion_cilindro!$B$17+1)),0)-IF(Presion_cilindro!N567&gt;(-J$4+Presion_cilindro!$B$34),1-EXP(-Presion_cilindro!$B$16*((Presion_cilindro!N567-(-J$4+Presion_cilindro!$B$34))/Presion_cilindro!$B$35)^(Presion_cilindro!$B$17+1)),0))/((Presion_cilindro!O567+Presion_cilindro!O568)/2)</f>
        <v>3.591048908057723</v>
      </c>
      <c r="K576" s="27">
        <f>K575*(Presion_cilindro!O567/Presion_cilindro!O568)^Presion_cilindro!$B$9+10*(Presion_cilindro!$B$9-1)*Presion_cilindro!$B$33*(IF(Presion_cilindro!N568&gt;(-K$4+Presion_cilindro!$B$34),1-EXP(-Presion_cilindro!$B$16*((Presion_cilindro!N568-(-K$4+Presion_cilindro!$B$34))/Presion_cilindro!$B$35)^(Presion_cilindro!$B$17+1)),0)-IF(Presion_cilindro!N567&gt;(-K$4+Presion_cilindro!$B$34),1-EXP(-Presion_cilindro!$B$16*((Presion_cilindro!N567-(-K$4+Presion_cilindro!$B$34))/Presion_cilindro!$B$35)^(Presion_cilindro!$B$17+1)),0))/((Presion_cilindro!O567+Presion_cilindro!O568)/2)</f>
        <v>3.6394418570781832</v>
      </c>
      <c r="L576" s="27">
        <f>L575*(Presion_cilindro!O567/Presion_cilindro!O568)^Presion_cilindro!$B$9+10*(Presion_cilindro!$B$9-1)*Presion_cilindro!$B$33*(IF(Presion_cilindro!N568&gt;(-L$4+Presion_cilindro!$B$34),1-EXP(-Presion_cilindro!$B$16*((Presion_cilindro!N568-(-L$4+Presion_cilindro!$B$34))/Presion_cilindro!$B$35)^(Presion_cilindro!$B$17+1)),0)-IF(Presion_cilindro!N567&gt;(-L$4+Presion_cilindro!$B$34),1-EXP(-Presion_cilindro!$B$16*((Presion_cilindro!N567-(-L$4+Presion_cilindro!$B$34))/Presion_cilindro!$B$35)^(Presion_cilindro!$B$17+1)),0))/((Presion_cilindro!O567+Presion_cilindro!O568)/2)</f>
        <v>3.7127449411555484</v>
      </c>
      <c r="M576" s="27">
        <f>M575*(Presion_cilindro!O567/Presion_cilindro!O568)^Presion_cilindro!$B$9+10*(Presion_cilindro!$B$9-1)*Presion_cilindro!$B$33*(IF(Presion_cilindro!N568&gt;(-M$4+Presion_cilindro!$B$34),1-EXP(-Presion_cilindro!$B$16*((Presion_cilindro!N568-(-M$4+Presion_cilindro!$B$34))/Presion_cilindro!$B$35)^(Presion_cilindro!$B$17+1)),0)-IF(Presion_cilindro!N567&gt;(-M$4+Presion_cilindro!$B$34),1-EXP(-Presion_cilindro!$B$16*((Presion_cilindro!N567-(-M$4+Presion_cilindro!$B$34))/Presion_cilindro!$B$35)^(Presion_cilindro!$B$17+1)),0))/((Presion_cilindro!O567+Presion_cilindro!O568)/2)</f>
        <v>3.806701829369644</v>
      </c>
      <c r="N576" s="27">
        <f>N575*(Presion_cilindro!O567/Presion_cilindro!O568)^Presion_cilindro!$B$9+10*(Presion_cilindro!$B$9-1)*Presion_cilindro!$B$33*(IF(Presion_cilindro!N568&gt;(-N$4+Presion_cilindro!$B$34),1-EXP(-Presion_cilindro!$B$16*((Presion_cilindro!N568-(-N$4+Presion_cilindro!$B$34))/Presion_cilindro!$B$35)^(Presion_cilindro!$B$17+1)),0)-IF(Presion_cilindro!N567&gt;(-N$4+Presion_cilindro!$B$34),1-EXP(-Presion_cilindro!$B$16*((Presion_cilindro!N567-(-N$4+Presion_cilindro!$B$34))/Presion_cilindro!$B$35)^(Presion_cilindro!$B$17+1)),0))/((Presion_cilindro!O567+Presion_cilindro!O568)/2)</f>
        <v>3.9165994089671243</v>
      </c>
    </row>
    <row r="577" spans="1:14" x14ac:dyDescent="0.25">
      <c r="A577" s="21">
        <f>Presion_cilindro!N569</f>
        <v>102.5</v>
      </c>
      <c r="B577" s="27">
        <f>B576*(Presion_cilindro!O568/Presion_cilindro!O569)^Presion_cilindro!$B$9+10*(Presion_cilindro!$B$9-1)*Presion_cilindro!$B$33*(IF(Presion_cilindro!N569&gt;(-B$4+Presion_cilindro!$B$34),1-EXP(-Presion_cilindro!$B$16*((Presion_cilindro!N569-(-B$4+Presion_cilindro!$B$34))/Presion_cilindro!$B$35)^(Presion_cilindro!$B$17+1)),0)-IF(Presion_cilindro!N568&gt;(-B$4+Presion_cilindro!$B$34),1-EXP(-Presion_cilindro!$B$16*((Presion_cilindro!N568-(-B$4+Presion_cilindro!$B$34))/Presion_cilindro!$B$35)^(Presion_cilindro!$B$17+1)),0))/((Presion_cilindro!O568+Presion_cilindro!O569)/2)</f>
        <v>4.0909902906204074</v>
      </c>
      <c r="C577" s="27">
        <f>C576*(Presion_cilindro!O568/Presion_cilindro!O569)^Presion_cilindro!$B$9+10*(Presion_cilindro!$B$9-1)*Presion_cilindro!$B$33*(IF(Presion_cilindro!N569&gt;(-C$4+Presion_cilindro!$B$34),1-EXP(-Presion_cilindro!$B$16*((Presion_cilindro!N569-(-C$4+Presion_cilindro!$B$34))/Presion_cilindro!$B$35)^(Presion_cilindro!$B$17+1)),0)-IF(Presion_cilindro!N568&gt;(-C$4+Presion_cilindro!$B$34),1-EXP(-Presion_cilindro!$B$16*((Presion_cilindro!N568-(-C$4+Presion_cilindro!$B$34))/Presion_cilindro!$B$35)^(Presion_cilindro!$B$17+1)),0))/((Presion_cilindro!O568+Presion_cilindro!O569)/2)</f>
        <v>3.9652178598213395</v>
      </c>
      <c r="D577" s="27">
        <f>D576*(Presion_cilindro!O568/Presion_cilindro!O569)^Presion_cilindro!$B$9+10*(Presion_cilindro!$B$9-1)*Presion_cilindro!$B$33*(IF(Presion_cilindro!N569&gt;(-D$4+Presion_cilindro!$B$34),1-EXP(-Presion_cilindro!$B$16*((Presion_cilindro!N569-(-D$4+Presion_cilindro!$B$34))/Presion_cilindro!$B$35)^(Presion_cilindro!$B$17+1)),0)-IF(Presion_cilindro!N568&gt;(-D$4+Presion_cilindro!$B$34),1-EXP(-Presion_cilindro!$B$16*((Presion_cilindro!N568-(-D$4+Presion_cilindro!$B$34))/Presion_cilindro!$B$35)^(Presion_cilindro!$B$17+1)),0))/((Presion_cilindro!O568+Presion_cilindro!O569)/2)</f>
        <v>3.8480792200926803</v>
      </c>
      <c r="E577" s="27">
        <f>E576*(Presion_cilindro!O568/Presion_cilindro!O569)^Presion_cilindro!$B$9+10*(Presion_cilindro!$B$9-1)*Presion_cilindro!$B$33*(IF(Presion_cilindro!N569&gt;(-E$4+Presion_cilindro!$B$34),1-EXP(-Presion_cilindro!$B$16*((Presion_cilindro!N569-(-E$4+Presion_cilindro!$B$34))/Presion_cilindro!$B$35)^(Presion_cilindro!$B$17+1)),0)-IF(Presion_cilindro!N568&gt;(-E$4+Presion_cilindro!$B$34),1-EXP(-Presion_cilindro!$B$16*((Presion_cilindro!N568-(-E$4+Presion_cilindro!$B$34))/Presion_cilindro!$B$35)^(Presion_cilindro!$B$17+1)),0))/((Presion_cilindro!O568+Presion_cilindro!O569)/2)</f>
        <v>3.7439320755461436</v>
      </c>
      <c r="F577" s="27">
        <f>F576*(Presion_cilindro!O568/Presion_cilindro!O569)^Presion_cilindro!$B$9+10*(Presion_cilindro!$B$9-1)*Presion_cilindro!$B$33*(IF(Presion_cilindro!N569&gt;(-F$4+Presion_cilindro!$B$34),1-EXP(-Presion_cilindro!$B$16*((Presion_cilindro!N569-(-F$4+Presion_cilindro!$B$34))/Presion_cilindro!$B$35)^(Presion_cilindro!$B$17+1)),0)-IF(Presion_cilindro!N568&gt;(-F$4+Presion_cilindro!$B$34),1-EXP(-Presion_cilindro!$B$16*((Presion_cilindro!N568-(-F$4+Presion_cilindro!$B$34))/Presion_cilindro!$B$35)^(Presion_cilindro!$B$17+1)),0))/((Presion_cilindro!O568+Presion_cilindro!O569)/2)</f>
        <v>3.6575236344692188</v>
      </c>
      <c r="G577" s="27">
        <f>G576*(Presion_cilindro!O568/Presion_cilindro!O569)^Presion_cilindro!$B$9+10*(Presion_cilindro!$B$9-1)*Presion_cilindro!$B$33*(IF(Presion_cilindro!N569&gt;(-G$4+Presion_cilindro!$B$34),1-EXP(-Presion_cilindro!$B$16*((Presion_cilindro!N569-(-G$4+Presion_cilindro!$B$34))/Presion_cilindro!$B$35)^(Presion_cilindro!$B$17+1)),0)-IF(Presion_cilindro!N568&gt;(-G$4+Presion_cilindro!$B$34),1-EXP(-Presion_cilindro!$B$16*((Presion_cilindro!N568-(-G$4+Presion_cilindro!$B$34))/Presion_cilindro!$B$35)^(Presion_cilindro!$B$17+1)),0))/((Presion_cilindro!O568+Presion_cilindro!O569)/2)</f>
        <v>3.5934959939815907</v>
      </c>
      <c r="H577" s="27">
        <f>H576*(Presion_cilindro!O568/Presion_cilindro!O569)^Presion_cilindro!$B$9+10*(Presion_cilindro!$B$9-1)*Presion_cilindro!$B$33*(IF(Presion_cilindro!N569&gt;(-H$4+Presion_cilindro!$B$34),1-EXP(-Presion_cilindro!$B$16*((Presion_cilindro!N569-(-H$4+Presion_cilindro!$B$34))/Presion_cilindro!$B$35)^(Presion_cilindro!$B$17+1)),0)-IF(Presion_cilindro!N568&gt;(-H$4+Presion_cilindro!$B$34),1-EXP(-Presion_cilindro!$B$16*((Presion_cilindro!N568-(-H$4+Presion_cilindro!$B$34))/Presion_cilindro!$B$35)^(Presion_cilindro!$B$17+1)),0))/((Presion_cilindro!O568+Presion_cilindro!O569)/2)</f>
        <v>3.5557269387430379</v>
      </c>
      <c r="I577" s="27">
        <f>I576*(Presion_cilindro!O568/Presion_cilindro!O569)^Presion_cilindro!$B$9+10*(Presion_cilindro!$B$9-1)*Presion_cilindro!$B$33*(IF(Presion_cilindro!N569&gt;(-I$4+Presion_cilindro!$B$34),1-EXP(-Presion_cilindro!$B$16*((Presion_cilindro!N569-(-I$4+Presion_cilindro!$B$34))/Presion_cilindro!$B$35)^(Presion_cilindro!$B$17+1)),0)-IF(Presion_cilindro!N568&gt;(-I$4+Presion_cilindro!$B$34),1-EXP(-Presion_cilindro!$B$16*((Presion_cilindro!N568-(-I$4+Presion_cilindro!$B$34))/Presion_cilindro!$B$35)^(Presion_cilindro!$B$17+1)),0))/((Presion_cilindro!O568+Presion_cilindro!O569)/2)</f>
        <v>3.5466671960724567</v>
      </c>
      <c r="J577" s="27">
        <f>J576*(Presion_cilindro!O568/Presion_cilindro!O569)^Presion_cilindro!$B$9+10*(Presion_cilindro!$B$9-1)*Presion_cilindro!$B$33*(IF(Presion_cilindro!N569&gt;(-J$4+Presion_cilindro!$B$34),1-EXP(-Presion_cilindro!$B$16*((Presion_cilindro!N569-(-J$4+Presion_cilindro!$B$34))/Presion_cilindro!$B$35)^(Presion_cilindro!$B$17+1)),0)-IF(Presion_cilindro!N568&gt;(-J$4+Presion_cilindro!$B$34),1-EXP(-Presion_cilindro!$B$16*((Presion_cilindro!N568-(-J$4+Presion_cilindro!$B$34))/Presion_cilindro!$B$35)^(Presion_cilindro!$B$17+1)),0))/((Presion_cilindro!O568+Presion_cilindro!O569)/2)</f>
        <v>3.5668810251428051</v>
      </c>
      <c r="K577" s="27">
        <f>K576*(Presion_cilindro!O568/Presion_cilindro!O569)^Presion_cilindro!$B$9+10*(Presion_cilindro!$B$9-1)*Presion_cilindro!$B$33*(IF(Presion_cilindro!N569&gt;(-K$4+Presion_cilindro!$B$34),1-EXP(-Presion_cilindro!$B$16*((Presion_cilindro!N569-(-K$4+Presion_cilindro!$B$34))/Presion_cilindro!$B$35)^(Presion_cilindro!$B$17+1)),0)-IF(Presion_cilindro!N568&gt;(-K$4+Presion_cilindro!$B$34),1-EXP(-Presion_cilindro!$B$16*((Presion_cilindro!N568-(-K$4+Presion_cilindro!$B$34))/Presion_cilindro!$B$35)^(Presion_cilindro!$B$17+1)),0))/((Presion_cilindro!O568+Presion_cilindro!O569)/2)</f>
        <v>3.6149482879485193</v>
      </c>
      <c r="L577" s="27">
        <f>L576*(Presion_cilindro!O568/Presion_cilindro!O569)^Presion_cilindro!$B$9+10*(Presion_cilindro!$B$9-1)*Presion_cilindro!$B$33*(IF(Presion_cilindro!N569&gt;(-L$4+Presion_cilindro!$B$34),1-EXP(-Presion_cilindro!$B$16*((Presion_cilindro!N569-(-L$4+Presion_cilindro!$B$34))/Presion_cilindro!$B$35)^(Presion_cilindro!$B$17+1)),0)-IF(Presion_cilindro!N568&gt;(-L$4+Presion_cilindro!$B$34),1-EXP(-Presion_cilindro!$B$16*((Presion_cilindro!N568-(-L$4+Presion_cilindro!$B$34))/Presion_cilindro!$B$35)^(Presion_cilindro!$B$17+1)),0))/((Presion_cilindro!O568+Presion_cilindro!O569)/2)</f>
        <v>3.6877580397436898</v>
      </c>
      <c r="M577" s="27">
        <f>M576*(Presion_cilindro!O568/Presion_cilindro!O569)^Presion_cilindro!$B$9+10*(Presion_cilindro!$B$9-1)*Presion_cilindro!$B$33*(IF(Presion_cilindro!N569&gt;(-M$4+Presion_cilindro!$B$34),1-EXP(-Presion_cilindro!$B$16*((Presion_cilindro!N569-(-M$4+Presion_cilindro!$B$34))/Presion_cilindro!$B$35)^(Presion_cilindro!$B$17+1)),0)-IF(Presion_cilindro!N568&gt;(-M$4+Presion_cilindro!$B$34),1-EXP(-Presion_cilindro!$B$16*((Presion_cilindro!N568-(-M$4+Presion_cilindro!$B$34))/Presion_cilindro!$B$35)^(Presion_cilindro!$B$17+1)),0))/((Presion_cilindro!O568+Presion_cilindro!O569)/2)</f>
        <v>3.7810825948619278</v>
      </c>
      <c r="N577" s="27">
        <f>N576*(Presion_cilindro!O568/Presion_cilindro!O569)^Presion_cilindro!$B$9+10*(Presion_cilindro!$B$9-1)*Presion_cilindro!$B$33*(IF(Presion_cilindro!N569&gt;(-N$4+Presion_cilindro!$B$34),1-EXP(-Presion_cilindro!$B$16*((Presion_cilindro!N569-(-N$4+Presion_cilindro!$B$34))/Presion_cilindro!$B$35)^(Presion_cilindro!$B$17+1)),0)-IF(Presion_cilindro!N568&gt;(-N$4+Presion_cilindro!$B$34),1-EXP(-Presion_cilindro!$B$16*((Presion_cilindro!N568-(-N$4+Presion_cilindro!$B$34))/Presion_cilindro!$B$35)^(Presion_cilindro!$B$17+1)),0))/((Presion_cilindro!O568+Presion_cilindro!O569)/2)</f>
        <v>3.8902405599611525</v>
      </c>
    </row>
    <row r="578" spans="1:14" x14ac:dyDescent="0.25">
      <c r="A578" s="21">
        <f>Presion_cilindro!N570</f>
        <v>103</v>
      </c>
      <c r="B578" s="27">
        <f>B577*(Presion_cilindro!O569/Presion_cilindro!O570)^Presion_cilindro!$B$9+10*(Presion_cilindro!$B$9-1)*Presion_cilindro!$B$33*(IF(Presion_cilindro!N570&gt;(-B$4+Presion_cilindro!$B$34),1-EXP(-Presion_cilindro!$B$16*((Presion_cilindro!N570-(-B$4+Presion_cilindro!$B$34))/Presion_cilindro!$B$35)^(Presion_cilindro!$B$17+1)),0)-IF(Presion_cilindro!N569&gt;(-B$4+Presion_cilindro!$B$34),1-EXP(-Presion_cilindro!$B$16*((Presion_cilindro!N569-(-B$4+Presion_cilindro!$B$34))/Presion_cilindro!$B$35)^(Presion_cilindro!$B$17+1)),0))/((Presion_cilindro!O569+Presion_cilindro!O570)/2)</f>
        <v>4.0637222770292256</v>
      </c>
      <c r="C578" s="27">
        <f>C577*(Presion_cilindro!O569/Presion_cilindro!O570)^Presion_cilindro!$B$9+10*(Presion_cilindro!$B$9-1)*Presion_cilindro!$B$33*(IF(Presion_cilindro!N570&gt;(-C$4+Presion_cilindro!$B$34),1-EXP(-Presion_cilindro!$B$16*((Presion_cilindro!N570-(-C$4+Presion_cilindro!$B$34))/Presion_cilindro!$B$35)^(Presion_cilindro!$B$17+1)),0)-IF(Presion_cilindro!N569&gt;(-C$4+Presion_cilindro!$B$34),1-EXP(-Presion_cilindro!$B$16*((Presion_cilindro!N569-(-C$4+Presion_cilindro!$B$34))/Presion_cilindro!$B$35)^(Presion_cilindro!$B$17+1)),0))/((Presion_cilindro!O569+Presion_cilindro!O570)/2)</f>
        <v>3.9387881675432848</v>
      </c>
      <c r="D578" s="27">
        <f>D577*(Presion_cilindro!O569/Presion_cilindro!O570)^Presion_cilindro!$B$9+10*(Presion_cilindro!$B$9-1)*Presion_cilindro!$B$33*(IF(Presion_cilindro!N570&gt;(-D$4+Presion_cilindro!$B$34),1-EXP(-Presion_cilindro!$B$16*((Presion_cilindro!N570-(-D$4+Presion_cilindro!$B$34))/Presion_cilindro!$B$35)^(Presion_cilindro!$B$17+1)),0)-IF(Presion_cilindro!N569&gt;(-D$4+Presion_cilindro!$B$34),1-EXP(-Presion_cilindro!$B$16*((Presion_cilindro!N569-(-D$4+Presion_cilindro!$B$34))/Presion_cilindro!$B$35)^(Presion_cilindro!$B$17+1)),0))/((Presion_cilindro!O569+Presion_cilindro!O570)/2)</f>
        <v>3.8224303016110084</v>
      </c>
      <c r="E578" s="27">
        <f>E577*(Presion_cilindro!O569/Presion_cilindro!O570)^Presion_cilindro!$B$9+10*(Presion_cilindro!$B$9-1)*Presion_cilindro!$B$33*(IF(Presion_cilindro!N570&gt;(-E$4+Presion_cilindro!$B$34),1-EXP(-Presion_cilindro!$B$16*((Presion_cilindro!N570-(-E$4+Presion_cilindro!$B$34))/Presion_cilindro!$B$35)^(Presion_cilindro!$B$17+1)),0)-IF(Presion_cilindro!N569&gt;(-E$4+Presion_cilindro!$B$34),1-EXP(-Presion_cilindro!$B$16*((Presion_cilindro!N569-(-E$4+Presion_cilindro!$B$34))/Presion_cilindro!$B$35)^(Presion_cilindro!$B$17+1)),0))/((Presion_cilindro!O569+Presion_cilindro!O570)/2)</f>
        <v>3.7189773375809811</v>
      </c>
      <c r="F578" s="27">
        <f>F577*(Presion_cilindro!O569/Presion_cilindro!O570)^Presion_cilindro!$B$9+10*(Presion_cilindro!$B$9-1)*Presion_cilindro!$B$33*(IF(Presion_cilindro!N570&gt;(-F$4+Presion_cilindro!$B$34),1-EXP(-Presion_cilindro!$B$16*((Presion_cilindro!N570-(-F$4+Presion_cilindro!$B$34))/Presion_cilindro!$B$35)^(Presion_cilindro!$B$17+1)),0)-IF(Presion_cilindro!N569&gt;(-F$4+Presion_cilindro!$B$34),1-EXP(-Presion_cilindro!$B$16*((Presion_cilindro!N569-(-F$4+Presion_cilindro!$B$34))/Presion_cilindro!$B$35)^(Presion_cilindro!$B$17+1)),0))/((Presion_cilindro!O569+Presion_cilindro!O570)/2)</f>
        <v>3.6331448417833889</v>
      </c>
      <c r="G578" s="27">
        <f>G577*(Presion_cilindro!O569/Presion_cilindro!O570)^Presion_cilindro!$B$9+10*(Presion_cilindro!$B$9-1)*Presion_cilindro!$B$33*(IF(Presion_cilindro!N570&gt;(-G$4+Presion_cilindro!$B$34),1-EXP(-Presion_cilindro!$B$16*((Presion_cilindro!N570-(-G$4+Presion_cilindro!$B$34))/Presion_cilindro!$B$35)^(Presion_cilindro!$B$17+1)),0)-IF(Presion_cilindro!N569&gt;(-G$4+Presion_cilindro!$B$34),1-EXP(-Presion_cilindro!$B$16*((Presion_cilindro!N569-(-G$4+Presion_cilindro!$B$34))/Presion_cilindro!$B$35)^(Presion_cilindro!$B$17+1)),0))/((Presion_cilindro!O569+Presion_cilindro!O570)/2)</f>
        <v>3.5695439699867135</v>
      </c>
      <c r="H578" s="27">
        <f>H577*(Presion_cilindro!O569/Presion_cilindro!O570)^Presion_cilindro!$B$9+10*(Presion_cilindro!$B$9-1)*Presion_cilindro!$B$33*(IF(Presion_cilindro!N570&gt;(-H$4+Presion_cilindro!$B$34),1-EXP(-Presion_cilindro!$B$16*((Presion_cilindro!N570-(-H$4+Presion_cilindro!$B$34))/Presion_cilindro!$B$35)^(Presion_cilindro!$B$17+1)),0)-IF(Presion_cilindro!N569&gt;(-H$4+Presion_cilindro!$B$34),1-EXP(-Presion_cilindro!$B$16*((Presion_cilindro!N569-(-H$4+Presion_cilindro!$B$34))/Presion_cilindro!$B$35)^(Presion_cilindro!$B$17+1)),0))/((Presion_cilindro!O569+Presion_cilindro!O570)/2)</f>
        <v>3.5320266599341448</v>
      </c>
      <c r="I578" s="27">
        <f>I577*(Presion_cilindro!O569/Presion_cilindro!O570)^Presion_cilindro!$B$9+10*(Presion_cilindro!$B$9-1)*Presion_cilindro!$B$33*(IF(Presion_cilindro!N570&gt;(-I$4+Presion_cilindro!$B$34),1-EXP(-Presion_cilindro!$B$16*((Presion_cilindro!N570-(-I$4+Presion_cilindro!$B$34))/Presion_cilindro!$B$35)^(Presion_cilindro!$B$17+1)),0)-IF(Presion_cilindro!N569&gt;(-I$4+Presion_cilindro!$B$34),1-EXP(-Presion_cilindro!$B$16*((Presion_cilindro!N569-(-I$4+Presion_cilindro!$B$34))/Presion_cilindro!$B$35)^(Presion_cilindro!$B$17+1)),0))/((Presion_cilindro!O569+Presion_cilindro!O570)/2)</f>
        <v>3.5230273039104936</v>
      </c>
      <c r="J578" s="27">
        <f>J577*(Presion_cilindro!O569/Presion_cilindro!O570)^Presion_cilindro!$B$9+10*(Presion_cilindro!$B$9-1)*Presion_cilindro!$B$33*(IF(Presion_cilindro!N570&gt;(-J$4+Presion_cilindro!$B$34),1-EXP(-Presion_cilindro!$B$16*((Presion_cilindro!N570-(-J$4+Presion_cilindro!$B$34))/Presion_cilindro!$B$35)^(Presion_cilindro!$B$17+1)),0)-IF(Presion_cilindro!N569&gt;(-J$4+Presion_cilindro!$B$34),1-EXP(-Presion_cilindro!$B$16*((Presion_cilindro!N569-(-J$4+Presion_cilindro!$B$34))/Presion_cilindro!$B$35)^(Presion_cilindro!$B$17+1)),0))/((Presion_cilindro!O569+Presion_cilindro!O570)/2)</f>
        <v>3.543106400085708</v>
      </c>
      <c r="K578" s="27">
        <f>K577*(Presion_cilindro!O569/Presion_cilindro!O570)^Presion_cilindro!$B$9+10*(Presion_cilindro!$B$9-1)*Presion_cilindro!$B$33*(IF(Presion_cilindro!N570&gt;(-K$4+Presion_cilindro!$B$34),1-EXP(-Presion_cilindro!$B$16*((Presion_cilindro!N570-(-K$4+Presion_cilindro!$B$34))/Presion_cilindro!$B$35)^(Presion_cilindro!$B$17+1)),0)-IF(Presion_cilindro!N569&gt;(-K$4+Presion_cilindro!$B$34),1-EXP(-Presion_cilindro!$B$16*((Presion_cilindro!N569-(-K$4+Presion_cilindro!$B$34))/Presion_cilindro!$B$35)^(Presion_cilindro!$B$17+1)),0))/((Presion_cilindro!O569+Presion_cilindro!O570)/2)</f>
        <v>3.5908532762167136</v>
      </c>
      <c r="L578" s="27">
        <f>L577*(Presion_cilindro!O569/Presion_cilindro!O570)^Presion_cilindro!$B$9+10*(Presion_cilindro!$B$9-1)*Presion_cilindro!$B$33*(IF(Presion_cilindro!N570&gt;(-L$4+Presion_cilindro!$B$34),1-EXP(-Presion_cilindro!$B$16*((Presion_cilindro!N570-(-L$4+Presion_cilindro!$B$34))/Presion_cilindro!$B$35)^(Presion_cilindro!$B$17+1)),0)-IF(Presion_cilindro!N569&gt;(-L$4+Presion_cilindro!$B$34),1-EXP(-Presion_cilindro!$B$16*((Presion_cilindro!N569-(-L$4+Presion_cilindro!$B$34))/Presion_cilindro!$B$35)^(Presion_cilindro!$B$17+1)),0))/((Presion_cilindro!O569+Presion_cilindro!O570)/2)</f>
        <v>3.6631777231931282</v>
      </c>
      <c r="M578" s="27">
        <f>M577*(Presion_cilindro!O569/Presion_cilindro!O570)^Presion_cilindro!$B$9+10*(Presion_cilindro!$B$9-1)*Presion_cilindro!$B$33*(IF(Presion_cilindro!N570&gt;(-M$4+Presion_cilindro!$B$34),1-EXP(-Presion_cilindro!$B$16*((Presion_cilindro!N570-(-M$4+Presion_cilindro!$B$34))/Presion_cilindro!$B$35)^(Presion_cilindro!$B$17+1)),0)-IF(Presion_cilindro!N569&gt;(-M$4+Presion_cilindro!$B$34),1-EXP(-Presion_cilindro!$B$16*((Presion_cilindro!N569-(-M$4+Presion_cilindro!$B$34))/Presion_cilindro!$B$35)^(Presion_cilindro!$B$17+1)),0))/((Presion_cilindro!O569+Presion_cilindro!O570)/2)</f>
        <v>3.7558802344890698</v>
      </c>
      <c r="N578" s="27">
        <f>N577*(Presion_cilindro!O569/Presion_cilindro!O570)^Presion_cilindro!$B$9+10*(Presion_cilindro!$B$9-1)*Presion_cilindro!$B$33*(IF(Presion_cilindro!N570&gt;(-N$4+Presion_cilindro!$B$34),1-EXP(-Presion_cilindro!$B$16*((Presion_cilindro!N570-(-N$4+Presion_cilindro!$B$34))/Presion_cilindro!$B$35)^(Presion_cilindro!$B$17+1)),0)-IF(Presion_cilindro!N569&gt;(-N$4+Presion_cilindro!$B$34),1-EXP(-Presion_cilindro!$B$16*((Presion_cilindro!N569-(-N$4+Presion_cilindro!$B$34))/Presion_cilindro!$B$35)^(Presion_cilindro!$B$17+1)),0))/((Presion_cilindro!O569+Presion_cilindro!O570)/2)</f>
        <v>3.8643106200379993</v>
      </c>
    </row>
    <row r="579" spans="1:14" x14ac:dyDescent="0.25">
      <c r="A579" s="21">
        <f>Presion_cilindro!N571</f>
        <v>103.5</v>
      </c>
      <c r="B579" s="27">
        <f>B578*(Presion_cilindro!O570/Presion_cilindro!O571)^Presion_cilindro!$B$9+10*(Presion_cilindro!$B$9-1)*Presion_cilindro!$B$33*(IF(Presion_cilindro!N571&gt;(-B$4+Presion_cilindro!$B$34),1-EXP(-Presion_cilindro!$B$16*((Presion_cilindro!N571-(-B$4+Presion_cilindro!$B$34))/Presion_cilindro!$B$35)^(Presion_cilindro!$B$17+1)),0)-IF(Presion_cilindro!N570&gt;(-B$4+Presion_cilindro!$B$34),1-EXP(-Presion_cilindro!$B$16*((Presion_cilindro!N570-(-B$4+Presion_cilindro!$B$34))/Presion_cilindro!$B$35)^(Presion_cilindro!$B$17+1)),0))/((Presion_cilindro!O570+Presion_cilindro!O571)/2)</f>
        <v>4.0368970811374467</v>
      </c>
      <c r="C579" s="27">
        <f>C578*(Presion_cilindro!O570/Presion_cilindro!O571)^Presion_cilindro!$B$9+10*(Presion_cilindro!$B$9-1)*Presion_cilindro!$B$33*(IF(Presion_cilindro!N571&gt;(-C$4+Presion_cilindro!$B$34),1-EXP(-Presion_cilindro!$B$16*((Presion_cilindro!N571-(-C$4+Presion_cilindro!$B$34))/Presion_cilindro!$B$35)^(Presion_cilindro!$B$17+1)),0)-IF(Presion_cilindro!N570&gt;(-C$4+Presion_cilindro!$B$34),1-EXP(-Presion_cilindro!$B$16*((Presion_cilindro!N570-(-C$4+Presion_cilindro!$B$34))/Presion_cilindro!$B$35)^(Presion_cilindro!$B$17+1)),0))/((Presion_cilindro!O570+Presion_cilindro!O571)/2)</f>
        <v>3.9127876790827854</v>
      </c>
      <c r="D579" s="27">
        <f>D578*(Presion_cilindro!O570/Presion_cilindro!O571)^Presion_cilindro!$B$9+10*(Presion_cilindro!$B$9-1)*Presion_cilindro!$B$33*(IF(Presion_cilindro!N571&gt;(-D$4+Presion_cilindro!$B$34),1-EXP(-Presion_cilindro!$B$16*((Presion_cilindro!N571-(-D$4+Presion_cilindro!$B$34))/Presion_cilindro!$B$35)^(Presion_cilindro!$B$17+1)),0)-IF(Presion_cilindro!N570&gt;(-D$4+Presion_cilindro!$B$34),1-EXP(-Presion_cilindro!$B$16*((Presion_cilindro!N570-(-D$4+Presion_cilindro!$B$34))/Presion_cilindro!$B$35)^(Presion_cilindro!$B$17+1)),0))/((Presion_cilindro!O570+Presion_cilindro!O571)/2)</f>
        <v>3.797197907605395</v>
      </c>
      <c r="E579" s="27">
        <f>E578*(Presion_cilindro!O570/Presion_cilindro!O571)^Presion_cilindro!$B$9+10*(Presion_cilindro!$B$9-1)*Presion_cilindro!$B$33*(IF(Presion_cilindro!N571&gt;(-E$4+Presion_cilindro!$B$34),1-EXP(-Presion_cilindro!$B$16*((Presion_cilindro!N571-(-E$4+Presion_cilindro!$B$34))/Presion_cilindro!$B$35)^(Presion_cilindro!$B$17+1)),0)-IF(Presion_cilindro!N570&gt;(-E$4+Presion_cilindro!$B$34),1-EXP(-Presion_cilindro!$B$16*((Presion_cilindro!N570-(-E$4+Presion_cilindro!$B$34))/Presion_cilindro!$B$35)^(Presion_cilindro!$B$17+1)),0))/((Presion_cilindro!O570+Presion_cilindro!O571)/2)</f>
        <v>3.6944278509781148</v>
      </c>
      <c r="F579" s="27">
        <f>F578*(Presion_cilindro!O570/Presion_cilindro!O571)^Presion_cilindro!$B$9+10*(Presion_cilindro!$B$9-1)*Presion_cilindro!$B$33*(IF(Presion_cilindro!N571&gt;(-F$4+Presion_cilindro!$B$34),1-EXP(-Presion_cilindro!$B$16*((Presion_cilindro!N571-(-F$4+Presion_cilindro!$B$34))/Presion_cilindro!$B$35)^(Presion_cilindro!$B$17+1)),0)-IF(Presion_cilindro!N570&gt;(-F$4+Presion_cilindro!$B$34),1-EXP(-Presion_cilindro!$B$16*((Presion_cilindro!N570-(-F$4+Presion_cilindro!$B$34))/Presion_cilindro!$B$35)^(Presion_cilindro!$B$17+1)),0))/((Presion_cilindro!O570+Presion_cilindro!O571)/2)</f>
        <v>3.6091619474219918</v>
      </c>
      <c r="G579" s="27">
        <f>G578*(Presion_cilindro!O570/Presion_cilindro!O571)^Presion_cilindro!$B$9+10*(Presion_cilindro!$B$9-1)*Presion_cilindro!$B$33*(IF(Presion_cilindro!N571&gt;(-G$4+Presion_cilindro!$B$34),1-EXP(-Presion_cilindro!$B$16*((Presion_cilindro!N571-(-G$4+Presion_cilindro!$B$34))/Presion_cilindro!$B$35)^(Presion_cilindro!$B$17+1)),0)-IF(Presion_cilindro!N570&gt;(-G$4+Presion_cilindro!$B$34),1-EXP(-Presion_cilindro!$B$16*((Presion_cilindro!N570-(-G$4+Presion_cilindro!$B$34))/Presion_cilindro!$B$35)^(Presion_cilindro!$B$17+1)),0))/((Presion_cilindro!O570+Presion_cilindro!O571)/2)</f>
        <v>3.5459809138250078</v>
      </c>
      <c r="H579" s="27">
        <f>H578*(Presion_cilindro!O570/Presion_cilindro!O571)^Presion_cilindro!$B$9+10*(Presion_cilindro!$B$9-1)*Presion_cilindro!$B$33*(IF(Presion_cilindro!N571&gt;(-H$4+Presion_cilindro!$B$34),1-EXP(-Presion_cilindro!$B$16*((Presion_cilindro!N571-(-H$4+Presion_cilindro!$B$34))/Presion_cilindro!$B$35)^(Presion_cilindro!$B$17+1)),0)-IF(Presion_cilindro!N570&gt;(-H$4+Presion_cilindro!$B$34),1-EXP(-Presion_cilindro!$B$16*((Presion_cilindro!N570-(-H$4+Presion_cilindro!$B$34))/Presion_cilindro!$B$35)^(Presion_cilindro!$B$17+1)),0))/((Presion_cilindro!O570+Presion_cilindro!O571)/2)</f>
        <v>3.5087112607536217</v>
      </c>
      <c r="I579" s="27">
        <f>I578*(Presion_cilindro!O570/Presion_cilindro!O571)^Presion_cilindro!$B$9+10*(Presion_cilindro!$B$9-1)*Presion_cilindro!$B$33*(IF(Presion_cilindro!N571&gt;(-I$4+Presion_cilindro!$B$34),1-EXP(-Presion_cilindro!$B$16*((Presion_cilindro!N571-(-I$4+Presion_cilindro!$B$34))/Presion_cilindro!$B$35)^(Presion_cilindro!$B$17+1)),0)-IF(Presion_cilindro!N570&gt;(-I$4+Presion_cilindro!$B$34),1-EXP(-Presion_cilindro!$B$16*((Presion_cilindro!N570-(-I$4+Presion_cilindro!$B$34))/Presion_cilindro!$B$35)^(Presion_cilindro!$B$17+1)),0))/((Presion_cilindro!O570+Presion_cilindro!O571)/2)</f>
        <v>3.4997713107306212</v>
      </c>
      <c r="J579" s="27">
        <f>J578*(Presion_cilindro!O570/Presion_cilindro!O571)^Presion_cilindro!$B$9+10*(Presion_cilindro!$B$9-1)*Presion_cilindro!$B$33*(IF(Presion_cilindro!N571&gt;(-J$4+Presion_cilindro!$B$34),1-EXP(-Presion_cilindro!$B$16*((Presion_cilindro!N571-(-J$4+Presion_cilindro!$B$34))/Presion_cilindro!$B$35)^(Presion_cilindro!$B$17+1)),0)-IF(Presion_cilindro!N570&gt;(-J$4+Presion_cilindro!$B$34),1-EXP(-Presion_cilindro!$B$16*((Presion_cilindro!N570-(-J$4+Presion_cilindro!$B$34))/Presion_cilindro!$B$35)^(Presion_cilindro!$B$17+1)),0))/((Presion_cilindro!O570+Presion_cilindro!O571)/2)</f>
        <v>3.5197178619995868</v>
      </c>
      <c r="K579" s="27">
        <f>K578*(Presion_cilindro!O570/Presion_cilindro!O571)^Presion_cilindro!$B$9+10*(Presion_cilindro!$B$9-1)*Presion_cilindro!$B$33*(IF(Presion_cilindro!N571&gt;(-K$4+Presion_cilindro!$B$34),1-EXP(-Presion_cilindro!$B$16*((Presion_cilindro!N571-(-K$4+Presion_cilindro!$B$34))/Presion_cilindro!$B$35)^(Presion_cilindro!$B$17+1)),0)-IF(Presion_cilindro!N570&gt;(-K$4+Presion_cilindro!$B$34),1-EXP(-Presion_cilindro!$B$16*((Presion_cilindro!N570-(-K$4+Presion_cilindro!$B$34))/Presion_cilindro!$B$35)^(Presion_cilindro!$B$17+1)),0))/((Presion_cilindro!O570+Presion_cilindro!O571)/2)</f>
        <v>3.5671495543611025</v>
      </c>
      <c r="L579" s="27">
        <f>L578*(Presion_cilindro!O570/Presion_cilindro!O571)^Presion_cilindro!$B$9+10*(Presion_cilindro!$B$9-1)*Presion_cilindro!$B$33*(IF(Presion_cilindro!N571&gt;(-L$4+Presion_cilindro!$B$34),1-EXP(-Presion_cilindro!$B$16*((Presion_cilindro!N571-(-L$4+Presion_cilindro!$B$34))/Presion_cilindro!$B$35)^(Presion_cilindro!$B$17+1)),0)-IF(Presion_cilindro!N570&gt;(-L$4+Presion_cilindro!$B$34),1-EXP(-Presion_cilindro!$B$16*((Presion_cilindro!N570-(-L$4+Presion_cilindro!$B$34))/Presion_cilindro!$B$35)^(Presion_cilindro!$B$17+1)),0))/((Presion_cilindro!O570+Presion_cilindro!O571)/2)</f>
        <v>3.6389965776048783</v>
      </c>
      <c r="M579" s="27">
        <f>M578*(Presion_cilindro!O570/Presion_cilindro!O571)^Presion_cilindro!$B$9+10*(Presion_cilindro!$B$9-1)*Presion_cilindro!$B$33*(IF(Presion_cilindro!N571&gt;(-M$4+Presion_cilindro!$B$34),1-EXP(-Presion_cilindro!$B$16*((Presion_cilindro!N571-(-M$4+Presion_cilindro!$B$34))/Presion_cilindro!$B$35)^(Presion_cilindro!$B$17+1)),0)-IF(Presion_cilindro!N570&gt;(-M$4+Presion_cilindro!$B$34),1-EXP(-Presion_cilindro!$B$16*((Presion_cilindro!N570-(-M$4+Presion_cilindro!$B$34))/Presion_cilindro!$B$35)^(Presion_cilindro!$B$17+1)),0))/((Presion_cilindro!O570+Presion_cilindro!O571)/2)</f>
        <v>3.731087146731634</v>
      </c>
      <c r="N579" s="27">
        <f>N578*(Presion_cilindro!O570/Presion_cilindro!O571)^Presion_cilindro!$B$9+10*(Presion_cilindro!$B$9-1)*Presion_cilindro!$B$33*(IF(Presion_cilindro!N571&gt;(-N$4+Presion_cilindro!$B$34),1-EXP(-Presion_cilindro!$B$16*((Presion_cilindro!N571-(-N$4+Presion_cilindro!$B$34))/Presion_cilindro!$B$35)^(Presion_cilindro!$B$17+1)),0)-IF(Presion_cilindro!N570&gt;(-N$4+Presion_cilindro!$B$34),1-EXP(-Presion_cilindro!$B$16*((Presion_cilindro!N570-(-N$4+Presion_cilindro!$B$34))/Presion_cilindro!$B$35)^(Presion_cilindro!$B$17+1)),0))/((Presion_cilindro!O570+Presion_cilindro!O571)/2)</f>
        <v>3.8388017682261615</v>
      </c>
    </row>
    <row r="580" spans="1:14" x14ac:dyDescent="0.25">
      <c r="A580" s="21">
        <f>Presion_cilindro!N572</f>
        <v>104</v>
      </c>
      <c r="B580" s="27">
        <f>B579*(Presion_cilindro!O571/Presion_cilindro!O572)^Presion_cilindro!$B$9+10*(Presion_cilindro!$B$9-1)*Presion_cilindro!$B$33*(IF(Presion_cilindro!N572&gt;(-B$4+Presion_cilindro!$B$34),1-EXP(-Presion_cilindro!$B$16*((Presion_cilindro!N572-(-B$4+Presion_cilindro!$B$34))/Presion_cilindro!$B$35)^(Presion_cilindro!$B$17+1)),0)-IF(Presion_cilindro!N571&gt;(-B$4+Presion_cilindro!$B$34),1-EXP(-Presion_cilindro!$B$16*((Presion_cilindro!N571-(-B$4+Presion_cilindro!$B$34))/Presion_cilindro!$B$35)^(Presion_cilindro!$B$17+1)),0))/((Presion_cilindro!O571+Presion_cilindro!O572)/2)</f>
        <v>4.0105066616977467</v>
      </c>
      <c r="C580" s="27">
        <f>C579*(Presion_cilindro!O571/Presion_cilindro!O572)^Presion_cilindro!$B$9+10*(Presion_cilindro!$B$9-1)*Presion_cilindro!$B$33*(IF(Presion_cilindro!N572&gt;(-C$4+Presion_cilindro!$B$34),1-EXP(-Presion_cilindro!$B$16*((Presion_cilindro!N572-(-C$4+Presion_cilindro!$B$34))/Presion_cilindro!$B$35)^(Presion_cilindro!$B$17+1)),0)-IF(Presion_cilindro!N571&gt;(-C$4+Presion_cilindro!$B$34),1-EXP(-Presion_cilindro!$B$16*((Presion_cilindro!N571-(-C$4+Presion_cilindro!$B$34))/Presion_cilindro!$B$35)^(Presion_cilindro!$B$17+1)),0))/((Presion_cilindro!O571+Presion_cilindro!O572)/2)</f>
        <v>3.8872086004107107</v>
      </c>
      <c r="D580" s="27">
        <f>D579*(Presion_cilindro!O571/Presion_cilindro!O572)^Presion_cilindro!$B$9+10*(Presion_cilindro!$B$9-1)*Presion_cilindro!$B$33*(IF(Presion_cilindro!N572&gt;(-D$4+Presion_cilindro!$B$34),1-EXP(-Presion_cilindro!$B$16*((Presion_cilindro!N572-(-D$4+Presion_cilindro!$B$34))/Presion_cilindro!$B$35)^(Presion_cilindro!$B$17+1)),0)-IF(Presion_cilindro!N571&gt;(-D$4+Presion_cilindro!$B$34),1-EXP(-Presion_cilindro!$B$16*((Presion_cilindro!N571-(-D$4+Presion_cilindro!$B$34))/Presion_cilindro!$B$35)^(Presion_cilindro!$B$17+1)),0))/((Presion_cilindro!O571+Presion_cilindro!O572)/2)</f>
        <v>3.7723744742943279</v>
      </c>
      <c r="E580" s="27">
        <f>E579*(Presion_cilindro!O571/Presion_cilindro!O572)^Presion_cilindro!$B$9+10*(Presion_cilindro!$B$9-1)*Presion_cilindro!$B$33*(IF(Presion_cilindro!N572&gt;(-E$4+Presion_cilindro!$B$34),1-EXP(-Presion_cilindro!$B$16*((Presion_cilindro!N572-(-E$4+Presion_cilindro!$B$34))/Presion_cilindro!$B$35)^(Presion_cilindro!$B$17+1)),0)-IF(Presion_cilindro!N571&gt;(-E$4+Presion_cilindro!$B$34),1-EXP(-Presion_cilindro!$B$16*((Presion_cilindro!N571-(-E$4+Presion_cilindro!$B$34))/Presion_cilindro!$B$35)^(Presion_cilindro!$B$17+1)),0))/((Presion_cilindro!O571+Presion_cilindro!O572)/2)</f>
        <v>3.6702762566675782</v>
      </c>
      <c r="F580" s="27">
        <f>F579*(Presion_cilindro!O571/Presion_cilindro!O572)^Presion_cilindro!$B$9+10*(Presion_cilindro!$B$9-1)*Presion_cilindro!$B$33*(IF(Presion_cilindro!N572&gt;(-F$4+Presion_cilindro!$B$34),1-EXP(-Presion_cilindro!$B$16*((Presion_cilindro!N572-(-F$4+Presion_cilindro!$B$34))/Presion_cilindro!$B$35)^(Presion_cilindro!$B$17+1)),0)-IF(Presion_cilindro!N571&gt;(-F$4+Presion_cilindro!$B$34),1-EXP(-Presion_cilindro!$B$16*((Presion_cilindro!N571-(-F$4+Presion_cilindro!$B$34))/Presion_cilindro!$B$35)^(Presion_cilindro!$B$17+1)),0))/((Presion_cilindro!O571+Presion_cilindro!O572)/2)</f>
        <v>3.5855677621594255</v>
      </c>
      <c r="G580" s="27">
        <f>G579*(Presion_cilindro!O571/Presion_cilindro!O572)^Presion_cilindro!$B$9+10*(Presion_cilindro!$B$9-1)*Presion_cilindro!$B$33*(IF(Presion_cilindro!N572&gt;(-G$4+Presion_cilindro!$B$34),1-EXP(-Presion_cilindro!$B$16*((Presion_cilindro!N572-(-G$4+Presion_cilindro!$B$34))/Presion_cilindro!$B$35)^(Presion_cilindro!$B$17+1)),0)-IF(Presion_cilindro!N571&gt;(-G$4+Presion_cilindro!$B$34),1-EXP(-Presion_cilindro!$B$16*((Presion_cilindro!N571-(-G$4+Presion_cilindro!$B$34))/Presion_cilindro!$B$35)^(Presion_cilindro!$B$17+1)),0))/((Presion_cilindro!O571+Presion_cilindro!O572)/2)</f>
        <v>3.5227997621235518</v>
      </c>
      <c r="H580" s="27">
        <f>H579*(Presion_cilindro!O571/Presion_cilindro!O572)^Presion_cilindro!$B$9+10*(Presion_cilindro!$B$9-1)*Presion_cilindro!$B$33*(IF(Presion_cilindro!N572&gt;(-H$4+Presion_cilindro!$B$34),1-EXP(-Presion_cilindro!$B$16*((Presion_cilindro!N572-(-H$4+Presion_cilindro!$B$34))/Presion_cilindro!$B$35)^(Presion_cilindro!$B$17+1)),0)-IF(Presion_cilindro!N571&gt;(-H$4+Presion_cilindro!$B$34),1-EXP(-Presion_cilindro!$B$16*((Presion_cilindro!N571-(-H$4+Presion_cilindro!$B$34))/Presion_cilindro!$B$35)^(Presion_cilindro!$B$17+1)),0))/((Presion_cilindro!O571+Presion_cilindro!O572)/2)</f>
        <v>3.4857737520673724</v>
      </c>
      <c r="I580" s="27">
        <f>I579*(Presion_cilindro!O571/Presion_cilindro!O572)^Presion_cilindro!$B$9+10*(Presion_cilindro!$B$9-1)*Presion_cilindro!$B$33*(IF(Presion_cilindro!N572&gt;(-I$4+Presion_cilindro!$B$34),1-EXP(-Presion_cilindro!$B$16*((Presion_cilindro!N572-(-I$4+Presion_cilindro!$B$34))/Presion_cilindro!$B$35)^(Presion_cilindro!$B$17+1)),0)-IF(Presion_cilindro!N571&gt;(-I$4+Presion_cilindro!$B$34),1-EXP(-Presion_cilindro!$B$16*((Presion_cilindro!N571-(-I$4+Presion_cilindro!$B$34))/Presion_cilindro!$B$35)^(Presion_cilindro!$B$17+1)),0))/((Presion_cilindro!O571+Presion_cilindro!O572)/2)</f>
        <v>3.4768922452065665</v>
      </c>
      <c r="J580" s="27">
        <f>J579*(Presion_cilindro!O571/Presion_cilindro!O572)^Presion_cilindro!$B$9+10*(Presion_cilindro!$B$9-1)*Presion_cilindro!$B$33*(IF(Presion_cilindro!N572&gt;(-J$4+Presion_cilindro!$B$34),1-EXP(-Presion_cilindro!$B$16*((Presion_cilindro!N572-(-J$4+Presion_cilindro!$B$34))/Presion_cilindro!$B$35)^(Presion_cilindro!$B$17+1)),0)-IF(Presion_cilindro!N571&gt;(-J$4+Presion_cilindro!$B$34),1-EXP(-Presion_cilindro!$B$16*((Presion_cilindro!N571-(-J$4+Presion_cilindro!$B$34))/Presion_cilindro!$B$35)^(Presion_cilindro!$B$17+1)),0))/((Presion_cilindro!O571+Presion_cilindro!O572)/2)</f>
        <v>3.4967083998258817</v>
      </c>
      <c r="K580" s="27">
        <f>K579*(Presion_cilindro!O571/Presion_cilindro!O572)^Presion_cilindro!$B$9+10*(Presion_cilindro!$B$9-1)*Presion_cilindro!$B$33*(IF(Presion_cilindro!N572&gt;(-K$4+Presion_cilindro!$B$34),1-EXP(-Presion_cilindro!$B$16*((Presion_cilindro!N572-(-K$4+Presion_cilindro!$B$34))/Presion_cilindro!$B$35)^(Presion_cilindro!$B$17+1)),0)-IF(Presion_cilindro!N571&gt;(-K$4+Presion_cilindro!$B$34),1-EXP(-Presion_cilindro!$B$16*((Presion_cilindro!N571-(-K$4+Presion_cilindro!$B$34))/Presion_cilindro!$B$35)^(Presion_cilindro!$B$17+1)),0))/((Presion_cilindro!O571+Presion_cilindro!O572)/2)</f>
        <v>3.5438300168421519</v>
      </c>
      <c r="L580" s="27">
        <f>L579*(Presion_cilindro!O571/Presion_cilindro!O572)^Presion_cilindro!$B$9+10*(Presion_cilindro!$B$9-1)*Presion_cilindro!$B$33*(IF(Presion_cilindro!N572&gt;(-L$4+Presion_cilindro!$B$34),1-EXP(-Presion_cilindro!$B$16*((Presion_cilindro!N572-(-L$4+Presion_cilindro!$B$34))/Presion_cilindro!$B$35)^(Presion_cilindro!$B$17+1)),0)-IF(Presion_cilindro!N571&gt;(-L$4+Presion_cilindro!$B$34),1-EXP(-Presion_cilindro!$B$16*((Presion_cilindro!N571-(-L$4+Presion_cilindro!$B$34))/Presion_cilindro!$B$35)^(Presion_cilindro!$B$17+1)),0))/((Presion_cilindro!O571+Presion_cilindro!O572)/2)</f>
        <v>3.6152073543246144</v>
      </c>
      <c r="M580" s="27">
        <f>M579*(Presion_cilindro!O571/Presion_cilindro!O572)^Presion_cilindro!$B$9+10*(Presion_cilindro!$B$9-1)*Presion_cilindro!$B$33*(IF(Presion_cilindro!N572&gt;(-M$4+Presion_cilindro!$B$34),1-EXP(-Presion_cilindro!$B$16*((Presion_cilindro!N572-(-M$4+Presion_cilindro!$B$34))/Presion_cilindro!$B$35)^(Presion_cilindro!$B$17+1)),0)-IF(Presion_cilindro!N571&gt;(-M$4+Presion_cilindro!$B$34),1-EXP(-Presion_cilindro!$B$16*((Presion_cilindro!N571-(-M$4+Presion_cilindro!$B$34))/Presion_cilindro!$B$35)^(Presion_cilindro!$B$17+1)),0))/((Presion_cilindro!O571+Presion_cilindro!O572)/2)</f>
        <v>3.7066958994966224</v>
      </c>
      <c r="N580" s="27">
        <f>N579*(Presion_cilindro!O571/Presion_cilindro!O572)^Presion_cilindro!$B$9+10*(Presion_cilindro!$B$9-1)*Presion_cilindro!$B$33*(IF(Presion_cilindro!N572&gt;(-N$4+Presion_cilindro!$B$34),1-EXP(-Presion_cilindro!$B$16*((Presion_cilindro!N572-(-N$4+Presion_cilindro!$B$34))/Presion_cilindro!$B$35)^(Presion_cilindro!$B$17+1)),0)-IF(Presion_cilindro!N571&gt;(-N$4+Presion_cilindro!$B$34),1-EXP(-Presion_cilindro!$B$16*((Presion_cilindro!N571-(-N$4+Presion_cilindro!$B$34))/Presion_cilindro!$B$35)^(Presion_cilindro!$B$17+1)),0))/((Presion_cilindro!O571+Presion_cilindro!O572)/2)</f>
        <v>3.8137063578718293</v>
      </c>
    </row>
    <row r="581" spans="1:14" x14ac:dyDescent="0.25">
      <c r="A581" s="21">
        <f>Presion_cilindro!N573</f>
        <v>104.5</v>
      </c>
      <c r="B581" s="27">
        <f>B580*(Presion_cilindro!O572/Presion_cilindro!O573)^Presion_cilindro!$B$9+10*(Presion_cilindro!$B$9-1)*Presion_cilindro!$B$33*(IF(Presion_cilindro!N573&gt;(-B$4+Presion_cilindro!$B$34),1-EXP(-Presion_cilindro!$B$16*((Presion_cilindro!N573-(-B$4+Presion_cilindro!$B$34))/Presion_cilindro!$B$35)^(Presion_cilindro!$B$17+1)),0)-IF(Presion_cilindro!N572&gt;(-B$4+Presion_cilindro!$B$34),1-EXP(-Presion_cilindro!$B$16*((Presion_cilindro!N572-(-B$4+Presion_cilindro!$B$34))/Presion_cilindro!$B$35)^(Presion_cilindro!$B$17+1)),0))/((Presion_cilindro!O572+Presion_cilindro!O573)/2)</f>
        <v>3.9845431562348979</v>
      </c>
      <c r="C581" s="27">
        <f>C580*(Presion_cilindro!O572/Presion_cilindro!O573)^Presion_cilindro!$B$9+10*(Presion_cilindro!$B$9-1)*Presion_cilindro!$B$33*(IF(Presion_cilindro!N573&gt;(-C$4+Presion_cilindro!$B$34),1-EXP(-Presion_cilindro!$B$16*((Presion_cilindro!N573-(-C$4+Presion_cilindro!$B$34))/Presion_cilindro!$B$35)^(Presion_cilindro!$B$17+1)),0)-IF(Presion_cilindro!N572&gt;(-C$4+Presion_cilindro!$B$34),1-EXP(-Presion_cilindro!$B$16*((Presion_cilindro!N572-(-C$4+Presion_cilindro!$B$34))/Presion_cilindro!$B$35)^(Presion_cilindro!$B$17+1)),0))/((Presion_cilindro!O572+Presion_cilindro!O573)/2)</f>
        <v>3.8620433107738958</v>
      </c>
      <c r="D581" s="27">
        <f>D580*(Presion_cilindro!O572/Presion_cilindro!O573)^Presion_cilindro!$B$9+10*(Presion_cilindro!$B$9-1)*Presion_cilindro!$B$33*(IF(Presion_cilindro!N573&gt;(-D$4+Presion_cilindro!$B$34),1-EXP(-Presion_cilindro!$B$16*((Presion_cilindro!N573-(-D$4+Presion_cilindro!$B$34))/Presion_cilindro!$B$35)^(Presion_cilindro!$B$17+1)),0)-IF(Presion_cilindro!N572&gt;(-D$4+Presion_cilindro!$B$34),1-EXP(-Presion_cilindro!$B$16*((Presion_cilindro!N572-(-D$4+Presion_cilindro!$B$34))/Presion_cilindro!$B$35)^(Presion_cilindro!$B$17+1)),0))/((Presion_cilindro!O572+Presion_cilindro!O573)/2)</f>
        <v>3.7479526060534227</v>
      </c>
      <c r="E581" s="27">
        <f>E580*(Presion_cilindro!O572/Presion_cilindro!O573)^Presion_cilindro!$B$9+10*(Presion_cilindro!$B$9-1)*Presion_cilindro!$B$33*(IF(Presion_cilindro!N573&gt;(-E$4+Presion_cilindro!$B$34),1-EXP(-Presion_cilindro!$B$16*((Presion_cilindro!N573-(-E$4+Presion_cilindro!$B$34))/Presion_cilindro!$B$35)^(Presion_cilindro!$B$17+1)),0)-IF(Presion_cilindro!N572&gt;(-E$4+Presion_cilindro!$B$34),1-EXP(-Presion_cilindro!$B$16*((Presion_cilindro!N572-(-E$4+Presion_cilindro!$B$34))/Presion_cilindro!$B$35)^(Presion_cilindro!$B$17+1)),0))/((Presion_cilindro!O572+Presion_cilindro!O573)/2)</f>
        <v>3.6465153591854094</v>
      </c>
      <c r="F581" s="27">
        <f>F580*(Presion_cilindro!O572/Presion_cilindro!O573)^Presion_cilindro!$B$9+10*(Presion_cilindro!$B$9-1)*Presion_cilindro!$B$33*(IF(Presion_cilindro!N573&gt;(-F$4+Presion_cilindro!$B$34),1-EXP(-Presion_cilindro!$B$16*((Presion_cilindro!N573-(-F$4+Presion_cilindro!$B$34))/Presion_cilindro!$B$35)^(Presion_cilindro!$B$17+1)),0)-IF(Presion_cilindro!N572&gt;(-F$4+Presion_cilindro!$B$34),1-EXP(-Presion_cilindro!$B$16*((Presion_cilindro!N572-(-F$4+Presion_cilindro!$B$34))/Presion_cilindro!$B$35)^(Presion_cilindro!$B$17+1)),0))/((Presion_cilindro!O572+Presion_cilindro!O573)/2)</f>
        <v>3.562355256600132</v>
      </c>
      <c r="G581" s="27">
        <f>G580*(Presion_cilindro!O572/Presion_cilindro!O573)^Presion_cilindro!$B$9+10*(Presion_cilindro!$B$9-1)*Presion_cilindro!$B$33*(IF(Presion_cilindro!N573&gt;(-G$4+Presion_cilindro!$B$34),1-EXP(-Presion_cilindro!$B$16*((Presion_cilindro!N573-(-G$4+Presion_cilindro!$B$34))/Presion_cilindro!$B$35)^(Presion_cilindro!$B$17+1)),0)-IF(Presion_cilindro!N572&gt;(-G$4+Presion_cilindro!$B$34),1-EXP(-Presion_cilindro!$B$16*((Presion_cilindro!N572-(-G$4+Presion_cilindro!$B$34))/Presion_cilindro!$B$35)^(Presion_cilindro!$B$17+1)),0))/((Presion_cilindro!O572+Presion_cilindro!O573)/2)</f>
        <v>3.4999936085415251</v>
      </c>
      <c r="H581" s="27">
        <f>H580*(Presion_cilindro!O572/Presion_cilindro!O573)^Presion_cilindro!$B$9+10*(Presion_cilindro!$B$9-1)*Presion_cilindro!$B$33*(IF(Presion_cilindro!N573&gt;(-H$4+Presion_cilindro!$B$34),1-EXP(-Presion_cilindro!$B$16*((Presion_cilindro!N573-(-H$4+Presion_cilindro!$B$34))/Presion_cilindro!$B$35)^(Presion_cilindro!$B$17+1)),0)-IF(Presion_cilindro!N572&gt;(-H$4+Presion_cilindro!$B$34),1-EXP(-Presion_cilindro!$B$16*((Presion_cilindro!N572-(-H$4+Presion_cilindro!$B$34))/Presion_cilindro!$B$35)^(Presion_cilindro!$B$17+1)),0))/((Presion_cilindro!O572+Presion_cilindro!O573)/2)</f>
        <v>3.4632073001229324</v>
      </c>
      <c r="I581" s="27">
        <f>I580*(Presion_cilindro!O572/Presion_cilindro!O573)^Presion_cilindro!$B$9+10*(Presion_cilindro!$B$9-1)*Presion_cilindro!$B$33*(IF(Presion_cilindro!N573&gt;(-I$4+Presion_cilindro!$B$34),1-EXP(-Presion_cilindro!$B$16*((Presion_cilindro!N573-(-I$4+Presion_cilindro!$B$34))/Presion_cilindro!$B$35)^(Presion_cilindro!$B$17+1)),0)-IF(Presion_cilindro!N572&gt;(-I$4+Presion_cilindro!$B$34),1-EXP(-Presion_cilindro!$B$16*((Presion_cilindro!N572-(-I$4+Presion_cilindro!$B$34))/Presion_cilindro!$B$35)^(Presion_cilindro!$B$17+1)),0))/((Presion_cilindro!O572+Presion_cilindro!O573)/2)</f>
        <v>3.4543832909977872</v>
      </c>
      <c r="J581" s="27">
        <f>J580*(Presion_cilindro!O572/Presion_cilindro!O573)^Presion_cilindro!$B$9+10*(Presion_cilindro!$B$9-1)*Presion_cilindro!$B$33*(IF(Presion_cilindro!N573&gt;(-J$4+Presion_cilindro!$B$34),1-EXP(-Presion_cilindro!$B$16*((Presion_cilindro!N573-(-J$4+Presion_cilindro!$B$34))/Presion_cilindro!$B$35)^(Presion_cilindro!$B$17+1)),0)-IF(Presion_cilindro!N572&gt;(-J$4+Presion_cilindro!$B$34),1-EXP(-Presion_cilindro!$B$16*((Presion_cilindro!N572-(-J$4+Presion_cilindro!$B$34))/Presion_cilindro!$B$35)^(Presion_cilindro!$B$17+1)),0))/((Presion_cilindro!O572+Presion_cilindro!O573)/2)</f>
        <v>3.4740711583750872</v>
      </c>
      <c r="K581" s="27">
        <f>K580*(Presion_cilindro!O572/Presion_cilindro!O573)^Presion_cilindro!$B$9+10*(Presion_cilindro!$B$9-1)*Presion_cilindro!$B$33*(IF(Presion_cilindro!N573&gt;(-K$4+Presion_cilindro!$B$34),1-EXP(-Presion_cilindro!$B$16*((Presion_cilindro!N573-(-K$4+Presion_cilindro!$B$34))/Presion_cilindro!$B$35)^(Presion_cilindro!$B$17+1)),0)-IF(Presion_cilindro!N572&gt;(-K$4+Presion_cilindro!$B$34),1-EXP(-Presion_cilindro!$B$16*((Presion_cilindro!N572-(-K$4+Presion_cilindro!$B$34))/Presion_cilindro!$B$35)^(Presion_cilindro!$B$17+1)),0))/((Presion_cilindro!O572+Presion_cilindro!O573)/2)</f>
        <v>3.5208877160898724</v>
      </c>
      <c r="L581" s="27">
        <f>L580*(Presion_cilindro!O572/Presion_cilindro!O573)^Presion_cilindro!$B$9+10*(Presion_cilindro!$B$9-1)*Presion_cilindro!$B$33*(IF(Presion_cilindro!N573&gt;(-L$4+Presion_cilindro!$B$34),1-EXP(-Presion_cilindro!$B$16*((Presion_cilindro!N573-(-L$4+Presion_cilindro!$B$34))/Presion_cilindro!$B$35)^(Presion_cilindro!$B$17+1)),0)-IF(Presion_cilindro!N572&gt;(-L$4+Presion_cilindro!$B$34),1-EXP(-Presion_cilindro!$B$16*((Presion_cilindro!N572-(-L$4+Presion_cilindro!$B$34))/Presion_cilindro!$B$35)^(Presion_cilindro!$B$17+1)),0))/((Presion_cilindro!O572+Presion_cilindro!O573)/2)</f>
        <v>3.5918029658492676</v>
      </c>
      <c r="M581" s="27">
        <f>M580*(Presion_cilindro!O572/Presion_cilindro!O573)^Presion_cilindro!$B$9+10*(Presion_cilindro!$B$9-1)*Presion_cilindro!$B$33*(IF(Presion_cilindro!N573&gt;(-M$4+Presion_cilindro!$B$34),1-EXP(-Presion_cilindro!$B$16*((Presion_cilindro!N573-(-M$4+Presion_cilindro!$B$34))/Presion_cilindro!$B$35)^(Presion_cilindro!$B$17+1)),0)-IF(Presion_cilindro!N572&gt;(-M$4+Presion_cilindro!$B$34),1-EXP(-Presion_cilindro!$B$16*((Presion_cilindro!N572-(-M$4+Presion_cilindro!$B$34))/Presion_cilindro!$B$35)^(Presion_cilindro!$B$17+1)),0))/((Presion_cilindro!O572+Presion_cilindro!O573)/2)</f>
        <v>3.6826992259204809</v>
      </c>
      <c r="N581" s="27">
        <f>N580*(Presion_cilindro!O572/Presion_cilindro!O573)^Presion_cilindro!$B$9+10*(Presion_cilindro!$B$9-1)*Presion_cilindro!$B$33*(IF(Presion_cilindro!N573&gt;(-N$4+Presion_cilindro!$B$34),1-EXP(-Presion_cilindro!$B$16*((Presion_cilindro!N573-(-N$4+Presion_cilindro!$B$34))/Presion_cilindro!$B$35)^(Presion_cilindro!$B$17+1)),0)-IF(Presion_cilindro!N572&gt;(-N$4+Presion_cilindro!$B$34),1-EXP(-Presion_cilindro!$B$16*((Presion_cilindro!N572-(-N$4+Presion_cilindro!$B$34))/Presion_cilindro!$B$35)^(Presion_cilindro!$B$17+1)),0))/((Presion_cilindro!O572+Presion_cilindro!O573)/2)</f>
        <v>3.7890169123207298</v>
      </c>
    </row>
    <row r="582" spans="1:14" x14ac:dyDescent="0.25">
      <c r="A582" s="21">
        <f>Presion_cilindro!N574</f>
        <v>105</v>
      </c>
      <c r="B582" s="27">
        <f>B581*(Presion_cilindro!O573/Presion_cilindro!O574)^Presion_cilindro!$B$9+10*(Presion_cilindro!$B$9-1)*Presion_cilindro!$B$33*(IF(Presion_cilindro!N574&gt;(-B$4+Presion_cilindro!$B$34),1-EXP(-Presion_cilindro!$B$16*((Presion_cilindro!N574-(-B$4+Presion_cilindro!$B$34))/Presion_cilindro!$B$35)^(Presion_cilindro!$B$17+1)),0)-IF(Presion_cilindro!N573&gt;(-B$4+Presion_cilindro!$B$34),1-EXP(-Presion_cilindro!$B$16*((Presion_cilindro!N573-(-B$4+Presion_cilindro!$B$34))/Presion_cilindro!$B$35)^(Presion_cilindro!$B$17+1)),0))/((Presion_cilindro!O573+Presion_cilindro!O574)/2)</f>
        <v>3.9589988766293827</v>
      </c>
      <c r="C582" s="27">
        <f>C581*(Presion_cilindro!O573/Presion_cilindro!O574)^Presion_cilindro!$B$9+10*(Presion_cilindro!$B$9-1)*Presion_cilindro!$B$33*(IF(Presion_cilindro!N574&gt;(-C$4+Presion_cilindro!$B$34),1-EXP(-Presion_cilindro!$B$16*((Presion_cilindro!N574-(-C$4+Presion_cilindro!$B$34))/Presion_cilindro!$B$35)^(Presion_cilindro!$B$17+1)),0)-IF(Presion_cilindro!N573&gt;(-C$4+Presion_cilindro!$B$34),1-EXP(-Presion_cilindro!$B$16*((Presion_cilindro!N573-(-C$4+Presion_cilindro!$B$34))/Presion_cilindro!$B$35)^(Presion_cilindro!$B$17+1)),0))/((Presion_cilindro!O573+Presion_cilindro!O574)/2)</f>
        <v>3.8372843584145397</v>
      </c>
      <c r="D582" s="27">
        <f>D581*(Presion_cilindro!O573/Presion_cilindro!O574)^Presion_cilindro!$B$9+10*(Presion_cilindro!$B$9-1)*Presion_cilindro!$B$33*(IF(Presion_cilindro!N574&gt;(-D$4+Presion_cilindro!$B$34),1-EXP(-Presion_cilindro!$B$16*((Presion_cilindro!N574-(-D$4+Presion_cilindro!$B$34))/Presion_cilindro!$B$35)^(Presion_cilindro!$B$17+1)),0)-IF(Presion_cilindro!N573&gt;(-D$4+Presion_cilindro!$B$34),1-EXP(-Presion_cilindro!$B$16*((Presion_cilindro!N573-(-D$4+Presion_cilindro!$B$34))/Presion_cilindro!$B$35)^(Presion_cilindro!$B$17+1)),0))/((Presion_cilindro!O573+Presion_cilindro!O574)/2)</f>
        <v>3.723925071261275</v>
      </c>
      <c r="E582" s="27">
        <f>E581*(Presion_cilindro!O573/Presion_cilindro!O574)^Presion_cilindro!$B$9+10*(Presion_cilindro!$B$9-1)*Presion_cilindro!$B$33*(IF(Presion_cilindro!N574&gt;(-E$4+Presion_cilindro!$B$34),1-EXP(-Presion_cilindro!$B$16*((Presion_cilindro!N574-(-E$4+Presion_cilindro!$B$34))/Presion_cilindro!$B$35)^(Presion_cilindro!$B$17+1)),0)-IF(Presion_cilindro!N573&gt;(-E$4+Presion_cilindro!$B$34),1-EXP(-Presion_cilindro!$B$16*((Presion_cilindro!N573-(-E$4+Presion_cilindro!$B$34))/Presion_cilindro!$B$35)^(Presion_cilindro!$B$17+1)),0))/((Presion_cilindro!O573+Presion_cilindro!O574)/2)</f>
        <v>3.6231381226319335</v>
      </c>
      <c r="F582" s="27">
        <f>F581*(Presion_cilindro!O573/Presion_cilindro!O574)^Presion_cilindro!$B$9+10*(Presion_cilindro!$B$9-1)*Presion_cilindro!$B$33*(IF(Presion_cilindro!N574&gt;(-F$4+Presion_cilindro!$B$34),1-EXP(-Presion_cilindro!$B$16*((Presion_cilindro!N574-(-F$4+Presion_cilindro!$B$34))/Presion_cilindro!$B$35)^(Presion_cilindro!$B$17+1)),0)-IF(Presion_cilindro!N573&gt;(-F$4+Presion_cilindro!$B$34),1-EXP(-Presion_cilindro!$B$16*((Presion_cilindro!N573-(-F$4+Presion_cilindro!$B$34))/Presion_cilindro!$B$35)^(Presion_cilindro!$B$17+1)),0))/((Presion_cilindro!O573+Presion_cilindro!O574)/2)</f>
        <v>3.5395175572301603</v>
      </c>
      <c r="G582" s="27">
        <f>G581*(Presion_cilindro!O573/Presion_cilindro!O574)^Presion_cilindro!$B$9+10*(Presion_cilindro!$B$9-1)*Presion_cilindro!$B$33*(IF(Presion_cilindro!N574&gt;(-G$4+Presion_cilindro!$B$34),1-EXP(-Presion_cilindro!$B$16*((Presion_cilindro!N574-(-G$4+Presion_cilindro!$B$34))/Presion_cilindro!$B$35)^(Presion_cilindro!$B$17+1)),0)-IF(Presion_cilindro!N573&gt;(-G$4+Presion_cilindro!$B$34),1-EXP(-Presion_cilindro!$B$16*((Presion_cilindro!N573-(-G$4+Presion_cilindro!$B$34))/Presion_cilindro!$B$35)^(Presion_cilindro!$B$17+1)),0))/((Presion_cilindro!O573+Presion_cilindro!O574)/2)</f>
        <v>3.477555699890893</v>
      </c>
      <c r="H582" s="27">
        <f>H581*(Presion_cilindro!O573/Presion_cilindro!O574)^Presion_cilindro!$B$9+10*(Presion_cilindro!$B$9-1)*Presion_cilindro!$B$33*(IF(Presion_cilindro!N574&gt;(-H$4+Presion_cilindro!$B$34),1-EXP(-Presion_cilindro!$B$16*((Presion_cilindro!N574-(-H$4+Presion_cilindro!$B$34))/Presion_cilindro!$B$35)^(Presion_cilindro!$B$17+1)),0)-IF(Presion_cilindro!N573&gt;(-H$4+Presion_cilindro!$B$34),1-EXP(-Presion_cilindro!$B$16*((Presion_cilindro!N573-(-H$4+Presion_cilindro!$B$34))/Presion_cilindro!$B$35)^(Presion_cilindro!$B$17+1)),0))/((Presion_cilindro!O573+Presion_cilindro!O574)/2)</f>
        <v>3.4410052227109276</v>
      </c>
      <c r="I582" s="27">
        <f>I581*(Presion_cilindro!O573/Presion_cilindro!O574)^Presion_cilindro!$B$9+10*(Presion_cilindro!$B$9-1)*Presion_cilindro!$B$33*(IF(Presion_cilindro!N574&gt;(-I$4+Presion_cilindro!$B$34),1-EXP(-Presion_cilindro!$B$16*((Presion_cilindro!N574-(-I$4+Presion_cilindro!$B$34))/Presion_cilindro!$B$35)^(Presion_cilindro!$B$17+1)),0)-IF(Presion_cilindro!N573&gt;(-I$4+Presion_cilindro!$B$34),1-EXP(-Presion_cilindro!$B$16*((Presion_cilindro!N573-(-I$4+Presion_cilindro!$B$34))/Presion_cilindro!$B$35)^(Presion_cilindro!$B$17+1)),0))/((Presion_cilindro!O573+Presion_cilindro!O574)/2)</f>
        <v>3.4322377829207089</v>
      </c>
      <c r="J582" s="27">
        <f>J581*(Presion_cilindro!O573/Presion_cilindro!O574)^Presion_cilindro!$B$9+10*(Presion_cilindro!$B$9-1)*Presion_cilindro!$B$33*(IF(Presion_cilindro!N574&gt;(-J$4+Presion_cilindro!$B$34),1-EXP(-Presion_cilindro!$B$16*((Presion_cilindro!N574-(-J$4+Presion_cilindro!$B$34))/Presion_cilindro!$B$35)^(Presion_cilindro!$B$17+1)),0)-IF(Presion_cilindro!N573&gt;(-J$4+Presion_cilindro!$B$34),1-EXP(-Presion_cilindro!$B$16*((Presion_cilindro!N573-(-J$4+Presion_cilindro!$B$34))/Presion_cilindro!$B$35)^(Presion_cilindro!$B$17+1)),0))/((Presion_cilindro!O573+Presion_cilindro!O574)/2)</f>
        <v>3.4517994344761687</v>
      </c>
      <c r="K582" s="27">
        <f>K581*(Presion_cilindro!O573/Presion_cilindro!O574)^Presion_cilindro!$B$9+10*(Presion_cilindro!$B$9-1)*Presion_cilindro!$B$33*(IF(Presion_cilindro!N574&gt;(-K$4+Presion_cilindro!$B$34),1-EXP(-Presion_cilindro!$B$16*((Presion_cilindro!N574-(-K$4+Presion_cilindro!$B$34))/Presion_cilindro!$B$35)^(Presion_cilindro!$B$17+1)),0)-IF(Presion_cilindro!N573&gt;(-K$4+Presion_cilindro!$B$34),1-EXP(-Presion_cilindro!$B$16*((Presion_cilindro!N573-(-K$4+Presion_cilindro!$B$34))/Presion_cilindro!$B$35)^(Presion_cilindro!$B$17+1)),0))/((Presion_cilindro!O573+Presion_cilindro!O574)/2)</f>
        <v>3.4983158586013445</v>
      </c>
      <c r="L582" s="27">
        <f>L581*(Presion_cilindro!O573/Presion_cilindro!O574)^Presion_cilindro!$B$9+10*(Presion_cilindro!$B$9-1)*Presion_cilindro!$B$33*(IF(Presion_cilindro!N574&gt;(-L$4+Presion_cilindro!$B$34),1-EXP(-Presion_cilindro!$B$16*((Presion_cilindro!N574-(-L$4+Presion_cilindro!$B$34))/Presion_cilindro!$B$35)^(Presion_cilindro!$B$17+1)),0)-IF(Presion_cilindro!N573&gt;(-L$4+Presion_cilindro!$B$34),1-EXP(-Presion_cilindro!$B$16*((Presion_cilindro!N573-(-L$4+Presion_cilindro!$B$34))/Presion_cilindro!$B$35)^(Presion_cilindro!$B$17+1)),0))/((Presion_cilindro!O573+Presion_cilindro!O574)/2)</f>
        <v>3.56877648184595</v>
      </c>
      <c r="M582" s="27">
        <f>M581*(Presion_cilindro!O573/Presion_cilindro!O574)^Presion_cilindro!$B$9+10*(Presion_cilindro!$B$9-1)*Presion_cilindro!$B$33*(IF(Presion_cilindro!N574&gt;(-M$4+Presion_cilindro!$B$34),1-EXP(-Presion_cilindro!$B$16*((Presion_cilindro!N574-(-M$4+Presion_cilindro!$B$34))/Presion_cilindro!$B$35)^(Presion_cilindro!$B$17+1)),0)-IF(Presion_cilindro!N573&gt;(-M$4+Presion_cilindro!$B$34),1-EXP(-Presion_cilindro!$B$16*((Presion_cilindro!N573-(-M$4+Presion_cilindro!$B$34))/Presion_cilindro!$B$35)^(Presion_cilindro!$B$17+1)),0))/((Presion_cilindro!O573+Presion_cilindro!O574)/2)</f>
        <v>3.6590900202872767</v>
      </c>
      <c r="N582" s="27">
        <f>N581*(Presion_cilindro!O573/Presion_cilindro!O574)^Presion_cilindro!$B$9+10*(Presion_cilindro!$B$9-1)*Presion_cilindro!$B$33*(IF(Presion_cilindro!N574&gt;(-N$4+Presion_cilindro!$B$34),1-EXP(-Presion_cilindro!$B$16*((Presion_cilindro!N574-(-N$4+Presion_cilindro!$B$34))/Presion_cilindro!$B$35)^(Presion_cilindro!$B$17+1)),0)-IF(Presion_cilindro!N573&gt;(-N$4+Presion_cilindro!$B$34),1-EXP(-Presion_cilindro!$B$16*((Presion_cilindro!N573-(-N$4+Presion_cilindro!$B$34))/Presion_cilindro!$B$35)^(Presion_cilindro!$B$17+1)),0))/((Presion_cilindro!O573+Presion_cilindro!O574)/2)</f>
        <v>3.7647261207184615</v>
      </c>
    </row>
    <row r="583" spans="1:14" x14ac:dyDescent="0.25">
      <c r="A583" s="21">
        <f>Presion_cilindro!N575</f>
        <v>105.5</v>
      </c>
      <c r="B583" s="27">
        <f>B582*(Presion_cilindro!O574/Presion_cilindro!O575)^Presion_cilindro!$B$9+10*(Presion_cilindro!$B$9-1)*Presion_cilindro!$B$33*(IF(Presion_cilindro!N575&gt;(-B$4+Presion_cilindro!$B$34),1-EXP(-Presion_cilindro!$B$16*((Presion_cilindro!N575-(-B$4+Presion_cilindro!$B$34))/Presion_cilindro!$B$35)^(Presion_cilindro!$B$17+1)),0)-IF(Presion_cilindro!N574&gt;(-B$4+Presion_cilindro!$B$34),1-EXP(-Presion_cilindro!$B$16*((Presion_cilindro!N574-(-B$4+Presion_cilindro!$B$34))/Presion_cilindro!$B$35)^(Presion_cilindro!$B$17+1)),0))/((Presion_cilindro!O574+Presion_cilindro!O575)/2)</f>
        <v>3.9338663048221401</v>
      </c>
      <c r="C583" s="27">
        <f>C582*(Presion_cilindro!O574/Presion_cilindro!O575)^Presion_cilindro!$B$9+10*(Presion_cilindro!$B$9-1)*Presion_cilindro!$B$33*(IF(Presion_cilindro!N575&gt;(-C$4+Presion_cilindro!$B$34),1-EXP(-Presion_cilindro!$B$16*((Presion_cilindro!N575-(-C$4+Presion_cilindro!$B$34))/Presion_cilindro!$B$35)^(Presion_cilindro!$B$17+1)),0)-IF(Presion_cilindro!N574&gt;(-C$4+Presion_cilindro!$B$34),1-EXP(-Presion_cilindro!$B$16*((Presion_cilindro!N574-(-C$4+Presion_cilindro!$B$34))/Presion_cilindro!$B$35)^(Presion_cilindro!$B$17+1)),0))/((Presion_cilindro!O574+Presion_cilindro!O575)/2)</f>
        <v>3.8129244564069973</v>
      </c>
      <c r="D583" s="27">
        <f>D582*(Presion_cilindro!O574/Presion_cilindro!O575)^Presion_cilindro!$B$9+10*(Presion_cilindro!$B$9-1)*Presion_cilindro!$B$33*(IF(Presion_cilindro!N575&gt;(-D$4+Presion_cilindro!$B$34),1-EXP(-Presion_cilindro!$B$16*((Presion_cilindro!N575-(-D$4+Presion_cilindro!$B$34))/Presion_cilindro!$B$35)^(Presion_cilindro!$B$17+1)),0)-IF(Presion_cilindro!N574&gt;(-D$4+Presion_cilindro!$B$34),1-EXP(-Presion_cilindro!$B$16*((Presion_cilindro!N574-(-D$4+Presion_cilindro!$B$34))/Presion_cilindro!$B$35)^(Presion_cilindro!$B$17+1)),0))/((Presion_cilindro!O574+Presion_cilindro!O575)/2)</f>
        <v>3.7002847982592408</v>
      </c>
      <c r="E583" s="27">
        <f>E582*(Presion_cilindro!O574/Presion_cilindro!O575)^Presion_cilindro!$B$9+10*(Presion_cilindro!$B$9-1)*Presion_cilindro!$B$33*(IF(Presion_cilindro!N575&gt;(-E$4+Presion_cilindro!$B$34),1-EXP(-Presion_cilindro!$B$16*((Presion_cilindro!N575-(-E$4+Presion_cilindro!$B$34))/Presion_cilindro!$B$35)^(Presion_cilindro!$B$17+1)),0)-IF(Presion_cilindro!N574&gt;(-E$4+Presion_cilindro!$B$34),1-EXP(-Presion_cilindro!$B$16*((Presion_cilindro!N574-(-E$4+Presion_cilindro!$B$34))/Presion_cilindro!$B$35)^(Presion_cilindro!$B$17+1)),0))/((Presion_cilindro!O574+Presion_cilindro!O575)/2)</f>
        <v>3.6001376667408898</v>
      </c>
      <c r="F583" s="27">
        <f>F582*(Presion_cilindro!O574/Presion_cilindro!O575)^Presion_cilindro!$B$9+10*(Presion_cilindro!$B$9-1)*Presion_cilindro!$B$33*(IF(Presion_cilindro!N575&gt;(-F$4+Presion_cilindro!$B$34),1-EXP(-Presion_cilindro!$B$16*((Presion_cilindro!N575-(-F$4+Presion_cilindro!$B$34))/Presion_cilindro!$B$35)^(Presion_cilindro!$B$17+1)),0)-IF(Presion_cilindro!N574&gt;(-F$4+Presion_cilindro!$B$34),1-EXP(-Presion_cilindro!$B$16*((Presion_cilindro!N574-(-F$4+Presion_cilindro!$B$34))/Presion_cilindro!$B$35)^(Presion_cilindro!$B$17+1)),0))/((Presion_cilindro!O574+Presion_cilindro!O575)/2)</f>
        <v>3.5170479425770185</v>
      </c>
      <c r="G583" s="27">
        <f>G582*(Presion_cilindro!O574/Presion_cilindro!O575)^Presion_cilindro!$B$9+10*(Presion_cilindro!$B$9-1)*Presion_cilindro!$B$33*(IF(Presion_cilindro!N575&gt;(-G$4+Presion_cilindro!$B$34),1-EXP(-Presion_cilindro!$B$16*((Presion_cilindro!N575-(-G$4+Presion_cilindro!$B$34))/Presion_cilindro!$B$35)^(Presion_cilindro!$B$17+1)),0)-IF(Presion_cilindro!N574&gt;(-G$4+Presion_cilindro!$B$34),1-EXP(-Presion_cilindro!$B$16*((Presion_cilindro!N574-(-G$4+Presion_cilindro!$B$34))/Presion_cilindro!$B$35)^(Presion_cilindro!$B$17+1)),0))/((Presion_cilindro!O574+Presion_cilindro!O575)/2)</f>
        <v>3.455479432363481</v>
      </c>
      <c r="H583" s="27">
        <f>H582*(Presion_cilindro!O574/Presion_cilindro!O575)^Presion_cilindro!$B$9+10*(Presion_cilindro!$B$9-1)*Presion_cilindro!$B$33*(IF(Presion_cilindro!N575&gt;(-H$4+Presion_cilindro!$B$34),1-EXP(-Presion_cilindro!$B$16*((Presion_cilindro!N575-(-H$4+Presion_cilindro!$B$34))/Presion_cilindro!$B$35)^(Presion_cilindro!$B$17+1)),0)-IF(Presion_cilindro!N574&gt;(-H$4+Presion_cilindro!$B$34),1-EXP(-Presion_cilindro!$B$16*((Presion_cilindro!N574-(-H$4+Presion_cilindro!$B$34))/Presion_cilindro!$B$35)^(Presion_cilindro!$B$17+1)),0))/((Presion_cilindro!O574+Presion_cilindro!O575)/2)</f>
        <v>3.419160985431803</v>
      </c>
      <c r="I583" s="27">
        <f>I582*(Presion_cilindro!O574/Presion_cilindro!O575)^Presion_cilindro!$B$9+10*(Presion_cilindro!$B$9-1)*Presion_cilindro!$B$33*(IF(Presion_cilindro!N575&gt;(-I$4+Presion_cilindro!$B$34),1-EXP(-Presion_cilindro!$B$16*((Presion_cilindro!N575-(-I$4+Presion_cilindro!$B$34))/Presion_cilindro!$B$35)^(Presion_cilindro!$B$17+1)),0)-IF(Presion_cilindro!N574&gt;(-I$4+Presion_cilindro!$B$34),1-EXP(-Presion_cilindro!$B$16*((Presion_cilindro!N574-(-I$4+Presion_cilindro!$B$34))/Presion_cilindro!$B$35)^(Presion_cilindro!$B$17+1)),0))/((Presion_cilindro!O574+Presion_cilindro!O575)/2)</f>
        <v>3.4104492032249687</v>
      </c>
      <c r="J583" s="27">
        <f>J582*(Presion_cilindro!O574/Presion_cilindro!O575)^Presion_cilindro!$B$9+10*(Presion_cilindro!$B$9-1)*Presion_cilindro!$B$33*(IF(Presion_cilindro!N575&gt;(-J$4+Presion_cilindro!$B$34),1-EXP(-Presion_cilindro!$B$16*((Presion_cilindro!N575-(-J$4+Presion_cilindro!$B$34))/Presion_cilindro!$B$35)^(Presion_cilindro!$B$17+1)),0)-IF(Presion_cilindro!N574&gt;(-J$4+Presion_cilindro!$B$34),1-EXP(-Presion_cilindro!$B$16*((Presion_cilindro!N574-(-J$4+Presion_cilindro!$B$34))/Presion_cilindro!$B$35)^(Presion_cilindro!$B$17+1)),0))/((Presion_cilindro!O574+Presion_cilindro!O575)/2)</f>
        <v>3.4298866732315805</v>
      </c>
      <c r="K583" s="27">
        <f>K582*(Presion_cilindro!O574/Presion_cilindro!O575)^Presion_cilindro!$B$9+10*(Presion_cilindro!$B$9-1)*Presion_cilindro!$B$33*(IF(Presion_cilindro!N575&gt;(-K$4+Presion_cilindro!$B$34),1-EXP(-Presion_cilindro!$B$16*((Presion_cilindro!N575-(-K$4+Presion_cilindro!$B$34))/Presion_cilindro!$B$35)^(Presion_cilindro!$B$17+1)),0)-IF(Presion_cilindro!N574&gt;(-K$4+Presion_cilindro!$B$34),1-EXP(-Presion_cilindro!$B$16*((Presion_cilindro!N574-(-K$4+Presion_cilindro!$B$34))/Presion_cilindro!$B$35)^(Presion_cilindro!$B$17+1)),0))/((Presion_cilindro!O574+Presion_cilindro!O575)/2)</f>
        <v>3.4761078011452717</v>
      </c>
      <c r="L583" s="27">
        <f>L582*(Presion_cilindro!O574/Presion_cilindro!O575)^Presion_cilindro!$B$9+10*(Presion_cilindro!$B$9-1)*Presion_cilindro!$B$33*(IF(Presion_cilindro!N575&gt;(-L$4+Presion_cilindro!$B$34),1-EXP(-Presion_cilindro!$B$16*((Presion_cilindro!N575-(-L$4+Presion_cilindro!$B$34))/Presion_cilindro!$B$35)^(Presion_cilindro!$B$17+1)),0)-IF(Presion_cilindro!N574&gt;(-L$4+Presion_cilindro!$B$34),1-EXP(-Presion_cilindro!$B$16*((Presion_cilindro!N574-(-L$4+Presion_cilindro!$B$34))/Presion_cilindro!$B$35)^(Presion_cilindro!$B$17+1)),0))/((Presion_cilindro!O574+Presion_cilindro!O575)/2)</f>
        <v>3.5461211252800613</v>
      </c>
      <c r="M583" s="27">
        <f>M582*(Presion_cilindro!O574/Presion_cilindro!O575)^Presion_cilindro!$B$9+10*(Presion_cilindro!$B$9-1)*Presion_cilindro!$B$33*(IF(Presion_cilindro!N575&gt;(-M$4+Presion_cilindro!$B$34),1-EXP(-Presion_cilindro!$B$16*((Presion_cilindro!N575-(-M$4+Presion_cilindro!$B$34))/Presion_cilindro!$B$35)^(Presion_cilindro!$B$17+1)),0)-IF(Presion_cilindro!N574&gt;(-M$4+Presion_cilindro!$B$34),1-EXP(-Presion_cilindro!$B$16*((Presion_cilindro!N574-(-M$4+Presion_cilindro!$B$34))/Presion_cilindro!$B$35)^(Presion_cilindro!$B$17+1)),0))/((Presion_cilindro!O574+Presion_cilindro!O575)/2)</f>
        <v>3.6358613340588204</v>
      </c>
      <c r="N583" s="27">
        <f>N582*(Presion_cilindro!O574/Presion_cilindro!O575)^Presion_cilindro!$B$9+10*(Presion_cilindro!$B$9-1)*Presion_cilindro!$B$33*(IF(Presion_cilindro!N575&gt;(-N$4+Presion_cilindro!$B$34),1-EXP(-Presion_cilindro!$B$16*((Presion_cilindro!N575-(-N$4+Presion_cilindro!$B$34))/Presion_cilindro!$B$35)^(Presion_cilindro!$B$17+1)),0)-IF(Presion_cilindro!N574&gt;(-N$4+Presion_cilindro!$B$34),1-EXP(-Presion_cilindro!$B$16*((Presion_cilindro!N574-(-N$4+Presion_cilindro!$B$34))/Presion_cilindro!$B$35)^(Presion_cilindro!$B$17+1)),0))/((Presion_cilindro!O574+Presion_cilindro!O575)/2)</f>
        <v>3.7408268339260102</v>
      </c>
    </row>
    <row r="584" spans="1:14" x14ac:dyDescent="0.25">
      <c r="A584" s="21">
        <f>Presion_cilindro!N576</f>
        <v>106</v>
      </c>
      <c r="B584" s="27">
        <f>B583*(Presion_cilindro!O575/Presion_cilindro!O576)^Presion_cilindro!$B$9+10*(Presion_cilindro!$B$9-1)*Presion_cilindro!$B$33*(IF(Presion_cilindro!N576&gt;(-B$4+Presion_cilindro!$B$34),1-EXP(-Presion_cilindro!$B$16*((Presion_cilindro!N576-(-B$4+Presion_cilindro!$B$34))/Presion_cilindro!$B$35)^(Presion_cilindro!$B$17+1)),0)-IF(Presion_cilindro!N575&gt;(-B$4+Presion_cilindro!$B$34),1-EXP(-Presion_cilindro!$B$16*((Presion_cilindro!N575-(-B$4+Presion_cilindro!$B$34))/Presion_cilindro!$B$35)^(Presion_cilindro!$B$17+1)),0))/((Presion_cilindro!O575+Presion_cilindro!O576)/2)</f>
        <v>3.9091380886368663</v>
      </c>
      <c r="C584" s="27">
        <f>C583*(Presion_cilindro!O575/Presion_cilindro!O576)^Presion_cilindro!$B$9+10*(Presion_cilindro!$B$9-1)*Presion_cilindro!$B$33*(IF(Presion_cilindro!N576&gt;(-C$4+Presion_cilindro!$B$34),1-EXP(-Presion_cilindro!$B$16*((Presion_cilindro!N576-(-C$4+Presion_cilindro!$B$34))/Presion_cilindro!$B$35)^(Presion_cilindro!$B$17+1)),0)-IF(Presion_cilindro!N575&gt;(-C$4+Presion_cilindro!$B$34),1-EXP(-Presion_cilindro!$B$16*((Presion_cilindro!N575-(-C$4+Presion_cilindro!$B$34))/Presion_cilindro!$B$35)^(Presion_cilindro!$B$17+1)),0))/((Presion_cilindro!O575+Presion_cilindro!O576)/2)</f>
        <v>3.7889564786085215</v>
      </c>
      <c r="D584" s="27">
        <f>D583*(Presion_cilindro!O575/Presion_cilindro!O576)^Presion_cilindro!$B$9+10*(Presion_cilindro!$B$9-1)*Presion_cilindro!$B$33*(IF(Presion_cilindro!N576&gt;(-D$4+Presion_cilindro!$B$34),1-EXP(-Presion_cilindro!$B$16*((Presion_cilindro!N576-(-D$4+Presion_cilindro!$B$34))/Presion_cilindro!$B$35)^(Presion_cilindro!$B$17+1)),0)-IF(Presion_cilindro!N575&gt;(-D$4+Presion_cilindro!$B$34),1-EXP(-Presion_cilindro!$B$16*((Presion_cilindro!N575-(-D$4+Presion_cilindro!$B$34))/Presion_cilindro!$B$35)^(Presion_cilindro!$B$17+1)),0))/((Presion_cilindro!O575+Presion_cilindro!O576)/2)</f>
        <v>3.6770248714217999</v>
      </c>
      <c r="E584" s="27">
        <f>E583*(Presion_cilindro!O575/Presion_cilindro!O576)^Presion_cilindro!$B$9+10*(Presion_cilindro!$B$9-1)*Presion_cilindro!$B$33*(IF(Presion_cilindro!N576&gt;(-E$4+Presion_cilindro!$B$34),1-EXP(-Presion_cilindro!$B$16*((Presion_cilindro!N576-(-E$4+Presion_cilindro!$B$34))/Presion_cilindro!$B$35)^(Presion_cilindro!$B$17+1)),0)-IF(Presion_cilindro!N575&gt;(-E$4+Presion_cilindro!$B$34),1-EXP(-Presion_cilindro!$B$16*((Presion_cilindro!N575-(-E$4+Presion_cilindro!$B$34))/Presion_cilindro!$B$35)^(Presion_cilindro!$B$17+1)),0))/((Presion_cilindro!O575+Presion_cilindro!O576)/2)</f>
        <v>3.5775072630561513</v>
      </c>
      <c r="F584" s="27">
        <f>F583*(Presion_cilindro!O575/Presion_cilindro!O576)^Presion_cilindro!$B$9+10*(Presion_cilindro!$B$9-1)*Presion_cilindro!$B$33*(IF(Presion_cilindro!N576&gt;(-F$4+Presion_cilindro!$B$34),1-EXP(-Presion_cilindro!$B$16*((Presion_cilindro!N576-(-F$4+Presion_cilindro!$B$34))/Presion_cilindro!$B$35)^(Presion_cilindro!$B$17+1)),0)-IF(Presion_cilindro!N575&gt;(-F$4+Presion_cilindro!$B$34),1-EXP(-Presion_cilindro!$B$16*((Presion_cilindro!N575-(-F$4+Presion_cilindro!$B$34))/Presion_cilindro!$B$35)^(Presion_cilindro!$B$17+1)),0))/((Presion_cilindro!O575+Presion_cilindro!O576)/2)</f>
        <v>3.4949398394746307</v>
      </c>
      <c r="G584" s="27">
        <f>G583*(Presion_cilindro!O575/Presion_cilindro!O576)^Presion_cilindro!$B$9+10*(Presion_cilindro!$B$9-1)*Presion_cilindro!$B$33*(IF(Presion_cilindro!N576&gt;(-G$4+Presion_cilindro!$B$34),1-EXP(-Presion_cilindro!$B$16*((Presion_cilindro!N576-(-G$4+Presion_cilindro!$B$34))/Presion_cilindro!$B$35)^(Presion_cilindro!$B$17+1)),0)-IF(Presion_cilindro!N575&gt;(-G$4+Presion_cilindro!$B$34),1-EXP(-Presion_cilindro!$B$16*((Presion_cilindro!N575-(-G$4+Presion_cilindro!$B$34))/Presion_cilindro!$B$35)^(Presion_cilindro!$B$17+1)),0))/((Presion_cilindro!O575+Presion_cilindro!O576)/2)</f>
        <v>3.4337583478613185</v>
      </c>
      <c r="H584" s="27">
        <f>H583*(Presion_cilindro!O575/Presion_cilindro!O576)^Presion_cilindro!$B$9+10*(Presion_cilindro!$B$9-1)*Presion_cilindro!$B$33*(IF(Presion_cilindro!N576&gt;(-H$4+Presion_cilindro!$B$34),1-EXP(-Presion_cilindro!$B$16*((Presion_cilindro!N576-(-H$4+Presion_cilindro!$B$34))/Presion_cilindro!$B$35)^(Presion_cilindro!$B$17+1)),0)-IF(Presion_cilindro!N575&gt;(-H$4+Presion_cilindro!$B$34),1-EXP(-Presion_cilindro!$B$16*((Presion_cilindro!N575-(-H$4+Presion_cilindro!$B$34))/Presion_cilindro!$B$35)^(Presion_cilindro!$B$17+1)),0))/((Presion_cilindro!O575+Presion_cilindro!O576)/2)</f>
        <v>3.3976681980647361</v>
      </c>
      <c r="I584" s="27">
        <f>I583*(Presion_cilindro!O575/Presion_cilindro!O576)^Presion_cilindro!$B$9+10*(Presion_cilindro!$B$9-1)*Presion_cilindro!$B$33*(IF(Presion_cilindro!N576&gt;(-I$4+Presion_cilindro!$B$34),1-EXP(-Presion_cilindro!$B$16*((Presion_cilindro!N576-(-I$4+Presion_cilindro!$B$34))/Presion_cilindro!$B$35)^(Presion_cilindro!$B$17+1)),0)-IF(Presion_cilindro!N575&gt;(-I$4+Presion_cilindro!$B$34),1-EXP(-Presion_cilindro!$B$16*((Presion_cilindro!N575-(-I$4+Presion_cilindro!$B$34))/Presion_cilindro!$B$35)^(Presion_cilindro!$B$17+1)),0))/((Presion_cilindro!O575+Presion_cilindro!O576)/2)</f>
        <v>3.3890111779715775</v>
      </c>
      <c r="J584" s="27">
        <f>J583*(Presion_cilindro!O575/Presion_cilindro!O576)^Presion_cilindro!$B$9+10*(Presion_cilindro!$B$9-1)*Presion_cilindro!$B$33*(IF(Presion_cilindro!N576&gt;(-J$4+Presion_cilindro!$B$34),1-EXP(-Presion_cilindro!$B$16*((Presion_cilindro!N576-(-J$4+Presion_cilindro!$B$34))/Presion_cilindro!$B$35)^(Presion_cilindro!$B$17+1)),0)-IF(Presion_cilindro!N575&gt;(-J$4+Presion_cilindro!$B$34),1-EXP(-Presion_cilindro!$B$16*((Presion_cilindro!N575-(-J$4+Presion_cilindro!$B$34))/Presion_cilindro!$B$35)^(Presion_cilindro!$B$17+1)),0))/((Presion_cilindro!O575+Presion_cilindro!O576)/2)</f>
        <v>3.408326464374789</v>
      </c>
      <c r="K584" s="27">
        <f>K583*(Presion_cilindro!O575/Presion_cilindro!O576)^Presion_cilindro!$B$9+10*(Presion_cilindro!$B$9-1)*Presion_cilindro!$B$33*(IF(Presion_cilindro!N576&gt;(-K$4+Presion_cilindro!$B$34),1-EXP(-Presion_cilindro!$B$16*((Presion_cilindro!N576-(-K$4+Presion_cilindro!$B$34))/Presion_cilindro!$B$35)^(Presion_cilindro!$B$17+1)),0)-IF(Presion_cilindro!N575&gt;(-K$4+Presion_cilindro!$B$34),1-EXP(-Presion_cilindro!$B$16*((Presion_cilindro!N575-(-K$4+Presion_cilindro!$B$34))/Presion_cilindro!$B$35)^(Presion_cilindro!$B$17+1)),0))/((Presion_cilindro!O575+Presion_cilindro!O576)/2)</f>
        <v>3.4542570470704144</v>
      </c>
      <c r="L584" s="27">
        <f>L583*(Presion_cilindro!O575/Presion_cilindro!O576)^Presion_cilindro!$B$9+10*(Presion_cilindro!$B$9-1)*Presion_cilindro!$B$33*(IF(Presion_cilindro!N576&gt;(-L$4+Presion_cilindro!$B$34),1-EXP(-Presion_cilindro!$B$16*((Presion_cilindro!N576-(-L$4+Presion_cilindro!$B$34))/Presion_cilindro!$B$35)^(Presion_cilindro!$B$17+1)),0)-IF(Presion_cilindro!N575&gt;(-L$4+Presion_cilindro!$B$34),1-EXP(-Presion_cilindro!$B$16*((Presion_cilindro!N575-(-L$4+Presion_cilindro!$B$34))/Presion_cilindro!$B$35)^(Presion_cilindro!$B$17+1)),0))/((Presion_cilindro!O575+Presion_cilindro!O576)/2)</f>
        <v>3.5238302686493714</v>
      </c>
      <c r="M584" s="27">
        <f>M583*(Presion_cilindro!O575/Presion_cilindro!O576)^Presion_cilindro!$B$9+10*(Presion_cilindro!$B$9-1)*Presion_cilindro!$B$33*(IF(Presion_cilindro!N576&gt;(-M$4+Presion_cilindro!$B$34),1-EXP(-Presion_cilindro!$B$16*((Presion_cilindro!N576-(-M$4+Presion_cilindro!$B$34))/Presion_cilindro!$B$35)^(Presion_cilindro!$B$17+1)),0)-IF(Presion_cilindro!N575&gt;(-M$4+Presion_cilindro!$B$34),1-EXP(-Presion_cilindro!$B$16*((Presion_cilindro!N575-(-M$4+Presion_cilindro!$B$34))/Presion_cilindro!$B$35)^(Presion_cilindro!$B$17+1)),0))/((Presion_cilindro!O575+Presion_cilindro!O576)/2)</f>
        <v>3.6130063720134467</v>
      </c>
      <c r="N584" s="27">
        <f>N583*(Presion_cilindro!O575/Presion_cilindro!O576)^Presion_cilindro!$B$9+10*(Presion_cilindro!$B$9-1)*Presion_cilindro!$B$33*(IF(Presion_cilindro!N576&gt;(-N$4+Presion_cilindro!$B$34),1-EXP(-Presion_cilindro!$B$16*((Presion_cilindro!N576-(-N$4+Presion_cilindro!$B$34))/Presion_cilindro!$B$35)^(Presion_cilindro!$B$17+1)),0)-IF(Presion_cilindro!N575&gt;(-N$4+Presion_cilindro!$B$34),1-EXP(-Presion_cilindro!$B$16*((Presion_cilindro!N575-(-N$4+Presion_cilindro!$B$34))/Presion_cilindro!$B$35)^(Presion_cilindro!$B$17+1)),0))/((Presion_cilindro!O575+Presion_cilindro!O576)/2)</f>
        <v>3.7173120605470564</v>
      </c>
    </row>
    <row r="585" spans="1:14" x14ac:dyDescent="0.25">
      <c r="A585" s="21">
        <f>Presion_cilindro!N577</f>
        <v>106.5</v>
      </c>
      <c r="B585" s="27">
        <f>B584*(Presion_cilindro!O576/Presion_cilindro!O577)^Presion_cilindro!$B$9+10*(Presion_cilindro!$B$9-1)*Presion_cilindro!$B$33*(IF(Presion_cilindro!N577&gt;(-B$4+Presion_cilindro!$B$34),1-EXP(-Presion_cilindro!$B$16*((Presion_cilindro!N577-(-B$4+Presion_cilindro!$B$34))/Presion_cilindro!$B$35)^(Presion_cilindro!$B$17+1)),0)-IF(Presion_cilindro!N576&gt;(-B$4+Presion_cilindro!$B$34),1-EXP(-Presion_cilindro!$B$16*((Presion_cilindro!N576-(-B$4+Presion_cilindro!$B$34))/Presion_cilindro!$B$35)^(Presion_cilindro!$B$17+1)),0))/((Presion_cilindro!O576+Presion_cilindro!O577)/2)</f>
        <v>3.8848070377165045</v>
      </c>
      <c r="C585" s="27">
        <f>C584*(Presion_cilindro!O576/Presion_cilindro!O577)^Presion_cilindro!$B$9+10*(Presion_cilindro!$B$9-1)*Presion_cilindro!$B$33*(IF(Presion_cilindro!N577&gt;(-C$4+Presion_cilindro!$B$34),1-EXP(-Presion_cilindro!$B$16*((Presion_cilindro!N577-(-C$4+Presion_cilindro!$B$34))/Presion_cilindro!$B$35)^(Presion_cilindro!$B$17+1)),0)-IF(Presion_cilindro!N576&gt;(-C$4+Presion_cilindro!$B$34),1-EXP(-Presion_cilindro!$B$16*((Presion_cilindro!N576-(-C$4+Presion_cilindro!$B$34))/Presion_cilindro!$B$35)^(Presion_cilindro!$B$17+1)),0))/((Presion_cilindro!O576+Presion_cilindro!O577)/2)</f>
        <v>3.7653734557206793</v>
      </c>
      <c r="D585" s="27">
        <f>D584*(Presion_cilindro!O576/Presion_cilindro!O577)^Presion_cilindro!$B$9+10*(Presion_cilindro!$B$9-1)*Presion_cilindro!$B$33*(IF(Presion_cilindro!N577&gt;(-D$4+Presion_cilindro!$B$34),1-EXP(-Presion_cilindro!$B$16*((Presion_cilindro!N577-(-D$4+Presion_cilindro!$B$34))/Presion_cilindro!$B$35)^(Presion_cilindro!$B$17+1)),0)-IF(Presion_cilindro!N576&gt;(-D$4+Presion_cilindro!$B$34),1-EXP(-Presion_cilindro!$B$16*((Presion_cilindro!N576-(-D$4+Presion_cilindro!$B$34))/Presion_cilindro!$B$35)^(Presion_cilindro!$B$17+1)),0))/((Presion_cilindro!O576+Presion_cilindro!O577)/2)</f>
        <v>3.6541385273343243</v>
      </c>
      <c r="E585" s="27">
        <f>E584*(Presion_cilindro!O576/Presion_cilindro!O577)^Presion_cilindro!$B$9+10*(Presion_cilindro!$B$9-1)*Presion_cilindro!$B$33*(IF(Presion_cilindro!N577&gt;(-E$4+Presion_cilindro!$B$34),1-EXP(-Presion_cilindro!$B$16*((Presion_cilindro!N577-(-E$4+Presion_cilindro!$B$34))/Presion_cilindro!$B$35)^(Presion_cilindro!$B$17+1)),0)-IF(Presion_cilindro!N576&gt;(-E$4+Presion_cilindro!$B$34),1-EXP(-Presion_cilindro!$B$16*((Presion_cilindro!N576-(-E$4+Presion_cilindro!$B$34))/Presion_cilindro!$B$35)^(Presion_cilindro!$B$17+1)),0))/((Presion_cilindro!O576+Presion_cilindro!O577)/2)</f>
        <v>3.5552403312129388</v>
      </c>
      <c r="F585" s="27">
        <f>F584*(Presion_cilindro!O576/Presion_cilindro!O577)^Presion_cilindro!$B$9+10*(Presion_cilindro!$B$9-1)*Presion_cilindro!$B$33*(IF(Presion_cilindro!N577&gt;(-F$4+Presion_cilindro!$B$34),1-EXP(-Presion_cilindro!$B$16*((Presion_cilindro!N577-(-F$4+Presion_cilindro!$B$34))/Presion_cilindro!$B$35)^(Presion_cilindro!$B$17+1)),0)-IF(Presion_cilindro!N576&gt;(-F$4+Presion_cilindro!$B$34),1-EXP(-Presion_cilindro!$B$16*((Presion_cilindro!N576-(-F$4+Presion_cilindro!$B$34))/Presion_cilindro!$B$35)^(Presion_cilindro!$B$17+1)),0))/((Presion_cilindro!O576+Presion_cilindro!O577)/2)</f>
        <v>3.473186819430381</v>
      </c>
      <c r="G585" s="27">
        <f>G584*(Presion_cilindro!O576/Presion_cilindro!O577)^Presion_cilindro!$B$9+10*(Presion_cilindro!$B$9-1)*Presion_cilindro!$B$33*(IF(Presion_cilindro!N577&gt;(-G$4+Presion_cilindro!$B$34),1-EXP(-Presion_cilindro!$B$16*((Presion_cilindro!N577-(-G$4+Presion_cilindro!$B$34))/Presion_cilindro!$B$35)^(Presion_cilindro!$B$17+1)),0)-IF(Presion_cilindro!N576&gt;(-G$4+Presion_cilindro!$B$34),1-EXP(-Presion_cilindro!$B$16*((Presion_cilindro!N576-(-G$4+Presion_cilindro!$B$34))/Presion_cilindro!$B$35)^(Presion_cilindro!$B$17+1)),0))/((Presion_cilindro!O576+Presion_cilindro!O577)/2)</f>
        <v>3.4123861304272793</v>
      </c>
      <c r="H585" s="27">
        <f>H584*(Presion_cilindro!O576/Presion_cilindro!O577)^Presion_cilindro!$B$9+10*(Presion_cilindro!$B$9-1)*Presion_cilindro!$B$33*(IF(Presion_cilindro!N577&gt;(-H$4+Presion_cilindro!$B$34),1-EXP(-Presion_cilindro!$B$16*((Presion_cilindro!N577-(-H$4+Presion_cilindro!$B$34))/Presion_cilindro!$B$35)^(Presion_cilindro!$B$17+1)),0)-IF(Presion_cilindro!N576&gt;(-H$4+Presion_cilindro!$B$34),1-EXP(-Presion_cilindro!$B$16*((Presion_cilindro!N576-(-H$4+Presion_cilindro!$B$34))/Presion_cilindro!$B$35)^(Presion_cilindro!$B$17+1)),0))/((Presion_cilindro!O576+Presion_cilindro!O577)/2)</f>
        <v>3.3765206110357924</v>
      </c>
      <c r="I585" s="27">
        <f>I584*(Presion_cilindro!O576/Presion_cilindro!O577)^Presion_cilindro!$B$9+10*(Presion_cilindro!$B$9-1)*Presion_cilindro!$B$33*(IF(Presion_cilindro!N577&gt;(-I$4+Presion_cilindro!$B$34),1-EXP(-Presion_cilindro!$B$16*((Presion_cilindro!N577-(-I$4+Presion_cilindro!$B$34))/Presion_cilindro!$B$35)^(Presion_cilindro!$B$17+1)),0)-IF(Presion_cilindro!N576&gt;(-I$4+Presion_cilindro!$B$34),1-EXP(-Presion_cilindro!$B$16*((Presion_cilindro!N576-(-I$4+Presion_cilindro!$B$34))/Presion_cilindro!$B$35)^(Presion_cilindro!$B$17+1)),0))/((Presion_cilindro!O576+Presion_cilindro!O577)/2)</f>
        <v>3.3679174735100768</v>
      </c>
      <c r="J585" s="27">
        <f>J584*(Presion_cilindro!O576/Presion_cilindro!O577)^Presion_cilindro!$B$9+10*(Presion_cilindro!$B$9-1)*Presion_cilindro!$B$33*(IF(Presion_cilindro!N577&gt;(-J$4+Presion_cilindro!$B$34),1-EXP(-Presion_cilindro!$B$16*((Presion_cilindro!N577-(-J$4+Presion_cilindro!$B$34))/Presion_cilindro!$B$35)^(Presion_cilindro!$B$17+1)),0)-IF(Presion_cilindro!N576&gt;(-J$4+Presion_cilindro!$B$34),1-EXP(-Presion_cilindro!$B$16*((Presion_cilindro!N576-(-J$4+Presion_cilindro!$B$34))/Presion_cilindro!$B$35)^(Presion_cilindro!$B$17+1)),0))/((Presion_cilindro!O576+Presion_cilindro!O577)/2)</f>
        <v>3.3871125387273486</v>
      </c>
      <c r="K585" s="27">
        <f>K584*(Presion_cilindro!O576/Presion_cilindro!O577)^Presion_cilindro!$B$9+10*(Presion_cilindro!$B$9-1)*Presion_cilindro!$B$33*(IF(Presion_cilindro!N577&gt;(-K$4+Presion_cilindro!$B$34),1-EXP(-Presion_cilindro!$B$16*((Presion_cilindro!N577-(-K$4+Presion_cilindro!$B$34))/Presion_cilindro!$B$35)^(Presion_cilindro!$B$17+1)),0)-IF(Presion_cilindro!N576&gt;(-K$4+Presion_cilindro!$B$34),1-EXP(-Presion_cilindro!$B$16*((Presion_cilindro!N576-(-K$4+Presion_cilindro!$B$34))/Presion_cilindro!$B$35)^(Presion_cilindro!$B$17+1)),0))/((Presion_cilindro!O576+Presion_cilindro!O577)/2)</f>
        <v>3.4327572427149238</v>
      </c>
      <c r="L585" s="27">
        <f>L584*(Presion_cilindro!O576/Presion_cilindro!O577)^Presion_cilindro!$B$9+10*(Presion_cilindro!$B$9-1)*Presion_cilindro!$B$33*(IF(Presion_cilindro!N577&gt;(-L$4+Presion_cilindro!$B$34),1-EXP(-Presion_cilindro!$B$16*((Presion_cilindro!N577-(-L$4+Presion_cilindro!$B$34))/Presion_cilindro!$B$35)^(Presion_cilindro!$B$17+1)),0)-IF(Presion_cilindro!N576&gt;(-L$4+Presion_cilindro!$B$34),1-EXP(-Presion_cilindro!$B$16*((Presion_cilindro!N576-(-L$4+Presion_cilindro!$B$34))/Presion_cilindro!$B$35)^(Presion_cilindro!$B$17+1)),0))/((Presion_cilindro!O576+Presion_cilindro!O577)/2)</f>
        <v>3.5018974303210335</v>
      </c>
      <c r="M585" s="27">
        <f>M584*(Presion_cilindro!O576/Presion_cilindro!O577)^Presion_cilindro!$B$9+10*(Presion_cilindro!$B$9-1)*Presion_cilindro!$B$33*(IF(Presion_cilindro!N577&gt;(-M$4+Presion_cilindro!$B$34),1-EXP(-Presion_cilindro!$B$16*((Presion_cilindro!N577-(-M$4+Presion_cilindro!$B$34))/Presion_cilindro!$B$35)^(Presion_cilindro!$B$17+1)),0)-IF(Presion_cilindro!N576&gt;(-M$4+Presion_cilindro!$B$34),1-EXP(-Presion_cilindro!$B$16*((Presion_cilindro!N576-(-M$4+Presion_cilindro!$B$34))/Presion_cilindro!$B$35)^(Presion_cilindro!$B$17+1)),0))/((Presion_cilindro!O576+Presion_cilindro!O577)/2)</f>
        <v>3.5905184884903285</v>
      </c>
      <c r="N585" s="27">
        <f>N584*(Presion_cilindro!O576/Presion_cilindro!O577)^Presion_cilindro!$B$9+10*(Presion_cilindro!$B$9-1)*Presion_cilindro!$B$33*(IF(Presion_cilindro!N577&gt;(-N$4+Presion_cilindro!$B$34),1-EXP(-Presion_cilindro!$B$16*((Presion_cilindro!N577-(-N$4+Presion_cilindro!$B$34))/Presion_cilindro!$B$35)^(Presion_cilindro!$B$17+1)),0)-IF(Presion_cilindro!N576&gt;(-N$4+Presion_cilindro!$B$34),1-EXP(-Presion_cilindro!$B$16*((Presion_cilindro!N576-(-N$4+Presion_cilindro!$B$34))/Presion_cilindro!$B$35)^(Presion_cilindro!$B$17+1)),0))/((Presion_cilindro!O576+Presion_cilindro!O577)/2)</f>
        <v>3.6941749630638658</v>
      </c>
    </row>
    <row r="586" spans="1:14" x14ac:dyDescent="0.25">
      <c r="A586" s="21">
        <f>Presion_cilindro!N578</f>
        <v>107</v>
      </c>
      <c r="B586" s="27">
        <f>B585*(Presion_cilindro!O577/Presion_cilindro!O578)^Presion_cilindro!$B$9+10*(Presion_cilindro!$B$9-1)*Presion_cilindro!$B$33*(IF(Presion_cilindro!N578&gt;(-B$4+Presion_cilindro!$B$34),1-EXP(-Presion_cilindro!$B$16*((Presion_cilindro!N578-(-B$4+Presion_cilindro!$B$34))/Presion_cilindro!$B$35)^(Presion_cilindro!$B$17+1)),0)-IF(Presion_cilindro!N577&gt;(-B$4+Presion_cilindro!$B$34),1-EXP(-Presion_cilindro!$B$16*((Presion_cilindro!N577-(-B$4+Presion_cilindro!$B$34))/Presion_cilindro!$B$35)^(Presion_cilindro!$B$17+1)),0))/((Presion_cilindro!O577+Presion_cilindro!O578)/2)</f>
        <v>3.8608661195706913</v>
      </c>
      <c r="C586" s="27">
        <f>C585*(Presion_cilindro!O577/Presion_cilindro!O578)^Presion_cilindro!$B$9+10*(Presion_cilindro!$B$9-1)*Presion_cilindro!$B$33*(IF(Presion_cilindro!N578&gt;(-C$4+Presion_cilindro!$B$34),1-EXP(-Presion_cilindro!$B$16*((Presion_cilindro!N578-(-C$4+Presion_cilindro!$B$34))/Presion_cilindro!$B$35)^(Presion_cilindro!$B$17+1)),0)-IF(Presion_cilindro!N577&gt;(-C$4+Presion_cilindro!$B$34),1-EXP(-Presion_cilindro!$B$16*((Presion_cilindro!N577-(-C$4+Presion_cilindro!$B$34))/Presion_cilindro!$B$35)^(Presion_cilindro!$B$17+1)),0))/((Presion_cilindro!O577+Presion_cilindro!O578)/2)</f>
        <v>3.7421685714583157</v>
      </c>
      <c r="D586" s="27">
        <f>D585*(Presion_cilindro!O577/Presion_cilindro!O578)^Presion_cilindro!$B$9+10*(Presion_cilindro!$B$9-1)*Presion_cilindro!$B$33*(IF(Presion_cilindro!N578&gt;(-D$4+Presion_cilindro!$B$34),1-EXP(-Presion_cilindro!$B$16*((Presion_cilindro!N578-(-D$4+Presion_cilindro!$B$34))/Presion_cilindro!$B$35)^(Presion_cilindro!$B$17+1)),0)-IF(Presion_cilindro!N577&gt;(-D$4+Presion_cilindro!$B$34),1-EXP(-Presion_cilindro!$B$16*((Presion_cilindro!N577-(-D$4+Presion_cilindro!$B$34))/Presion_cilindro!$B$35)^(Presion_cilindro!$B$17+1)),0))/((Presion_cilindro!O577+Presion_cilindro!O578)/2)</f>
        <v>3.6316191510752152</v>
      </c>
      <c r="E586" s="27">
        <f>E585*(Presion_cilindro!O577/Presion_cilindro!O578)^Presion_cilindro!$B$9+10*(Presion_cilindro!$B$9-1)*Presion_cilindro!$B$33*(IF(Presion_cilindro!N578&gt;(-E$4+Presion_cilindro!$B$34),1-EXP(-Presion_cilindro!$B$16*((Presion_cilindro!N578-(-E$4+Presion_cilindro!$B$34))/Presion_cilindro!$B$35)^(Presion_cilindro!$B$17+1)),0)-IF(Presion_cilindro!N577&gt;(-E$4+Presion_cilindro!$B$34),1-EXP(-Presion_cilindro!$B$16*((Presion_cilindro!N577-(-E$4+Presion_cilindro!$B$34))/Presion_cilindro!$B$35)^(Presion_cilindro!$B$17+1)),0))/((Presion_cilindro!O577+Presion_cilindro!O578)/2)</f>
        <v>3.5333304353205821</v>
      </c>
      <c r="F586" s="27">
        <f>F585*(Presion_cilindro!O577/Presion_cilindro!O578)^Presion_cilindro!$B$9+10*(Presion_cilindro!$B$9-1)*Presion_cilindro!$B$33*(IF(Presion_cilindro!N578&gt;(-F$4+Presion_cilindro!$B$34),1-EXP(-Presion_cilindro!$B$16*((Presion_cilindro!N578-(-F$4+Presion_cilindro!$B$34))/Presion_cilindro!$B$35)^(Presion_cilindro!$B$17+1)),0)-IF(Presion_cilindro!N577&gt;(-F$4+Presion_cilindro!$B$34),1-EXP(-Presion_cilindro!$B$16*((Presion_cilindro!N577-(-F$4+Presion_cilindro!$B$34))/Presion_cilindro!$B$35)^(Presion_cilindro!$B$17+1)),0))/((Presion_cilindro!O577+Presion_cilindro!O578)/2)</f>
        <v>3.4517825950913577</v>
      </c>
      <c r="G586" s="27">
        <f>G585*(Presion_cilindro!O577/Presion_cilindro!O578)^Presion_cilindro!$B$9+10*(Presion_cilindro!$B$9-1)*Presion_cilindro!$B$33*(IF(Presion_cilindro!N578&gt;(-G$4+Presion_cilindro!$B$34),1-EXP(-Presion_cilindro!$B$16*((Presion_cilindro!N578-(-G$4+Presion_cilindro!$B$34))/Presion_cilindro!$B$35)^(Presion_cilindro!$B$17+1)),0)-IF(Presion_cilindro!N577&gt;(-G$4+Presion_cilindro!$B$34),1-EXP(-Presion_cilindro!$B$16*((Presion_cilindro!N577-(-G$4+Presion_cilindro!$B$34))/Presion_cilindro!$B$35)^(Presion_cilindro!$B$17+1)),0))/((Presion_cilindro!O577+Presion_cilindro!O578)/2)</f>
        <v>3.3913566027731878</v>
      </c>
      <c r="H586" s="27">
        <f>H585*(Presion_cilindro!O577/Presion_cilindro!O578)^Presion_cilindro!$B$9+10*(Presion_cilindro!$B$9-1)*Presion_cilindro!$B$33*(IF(Presion_cilindro!N578&gt;(-H$4+Presion_cilindro!$B$34),1-EXP(-Presion_cilindro!$B$16*((Presion_cilindro!N578-(-H$4+Presion_cilindro!$B$34))/Presion_cilindro!$B$35)^(Presion_cilindro!$B$17+1)),0)-IF(Presion_cilindro!N577&gt;(-H$4+Presion_cilindro!$B$34),1-EXP(-Presion_cilindro!$B$16*((Presion_cilindro!N577-(-H$4+Presion_cilindro!$B$34))/Presion_cilindro!$B$35)^(Presion_cilindro!$B$17+1)),0))/((Presion_cilindro!O577+Presion_cilindro!O578)/2)</f>
        <v>3.3557121119825228</v>
      </c>
      <c r="I586" s="27">
        <f>I585*(Presion_cilindro!O577/Presion_cilindro!O578)^Presion_cilindro!$B$9+10*(Presion_cilindro!$B$9-1)*Presion_cilindro!$B$33*(IF(Presion_cilindro!N578&gt;(-I$4+Presion_cilindro!$B$34),1-EXP(-Presion_cilindro!$B$16*((Presion_cilindro!N578-(-I$4+Presion_cilindro!$B$34))/Presion_cilindro!$B$35)^(Presion_cilindro!$B$17+1)),0)-IF(Presion_cilindro!N577&gt;(-I$4+Presion_cilindro!$B$34),1-EXP(-Presion_cilindro!$B$16*((Presion_cilindro!N577-(-I$4+Presion_cilindro!$B$34))/Presion_cilindro!$B$35)^(Presion_cilindro!$B$17+1)),0))/((Presion_cilindro!O577+Presion_cilindro!O578)/2)</f>
        <v>3.3471619930518881</v>
      </c>
      <c r="J586" s="27">
        <f>J585*(Presion_cilindro!O577/Presion_cilindro!O578)^Presion_cilindro!$B$9+10*(Presion_cilindro!$B$9-1)*Presion_cilindro!$B$33*(IF(Presion_cilindro!N578&gt;(-J$4+Presion_cilindro!$B$34),1-EXP(-Presion_cilindro!$B$16*((Presion_cilindro!N578-(-J$4+Presion_cilindro!$B$34))/Presion_cilindro!$B$35)^(Presion_cilindro!$B$17+1)),0)-IF(Presion_cilindro!N577&gt;(-J$4+Presion_cilindro!$B$34),1-EXP(-Presion_cilindro!$B$16*((Presion_cilindro!N577-(-J$4+Presion_cilindro!$B$34))/Presion_cilindro!$B$35)^(Presion_cilindro!$B$17+1)),0))/((Presion_cilindro!O577+Presion_cilindro!O578)/2)</f>
        <v>3.366238764752723</v>
      </c>
      <c r="K586" s="27">
        <f>K585*(Presion_cilindro!O577/Presion_cilindro!O578)^Presion_cilindro!$B$9+10*(Presion_cilindro!$B$9-1)*Presion_cilindro!$B$33*(IF(Presion_cilindro!N578&gt;(-K$4+Presion_cilindro!$B$34),1-EXP(-Presion_cilindro!$B$16*((Presion_cilindro!N578-(-K$4+Presion_cilindro!$B$34))/Presion_cilindro!$B$35)^(Presion_cilindro!$B$17+1)),0)-IF(Presion_cilindro!N577&gt;(-K$4+Presion_cilindro!$B$34),1-EXP(-Presion_cilindro!$B$16*((Presion_cilindro!N577-(-K$4+Presion_cilindro!$B$34))/Presion_cilindro!$B$35)^(Presion_cilindro!$B$17+1)),0))/((Presion_cilindro!O577+Presion_cilindro!O578)/2)</f>
        <v>3.4116021739137219</v>
      </c>
      <c r="L586" s="27">
        <f>L585*(Presion_cilindro!O577/Presion_cilindro!O578)^Presion_cilindro!$B$9+10*(Presion_cilindro!$B$9-1)*Presion_cilindro!$B$33*(IF(Presion_cilindro!N578&gt;(-L$4+Presion_cilindro!$B$34),1-EXP(-Presion_cilindro!$B$16*((Presion_cilindro!N578-(-L$4+Presion_cilindro!$B$34))/Presion_cilindro!$B$35)^(Presion_cilindro!$B$17+1)),0)-IF(Presion_cilindro!N577&gt;(-L$4+Presion_cilindro!$B$34),1-EXP(-Presion_cilindro!$B$16*((Presion_cilindro!N577-(-L$4+Presion_cilindro!$B$34))/Presion_cilindro!$B$35)^(Presion_cilindro!$B$17+1)),0))/((Presion_cilindro!O577+Presion_cilindro!O578)/2)</f>
        <v>3.4803162709686171</v>
      </c>
      <c r="M586" s="27">
        <f>M585*(Presion_cilindro!O577/Presion_cilindro!O578)^Presion_cilindro!$B$9+10*(Presion_cilindro!$B$9-1)*Presion_cilindro!$B$33*(IF(Presion_cilindro!N578&gt;(-M$4+Presion_cilindro!$B$34),1-EXP(-Presion_cilindro!$B$16*((Presion_cilindro!N578-(-M$4+Presion_cilindro!$B$34))/Presion_cilindro!$B$35)^(Presion_cilindro!$B$17+1)),0)-IF(Presion_cilindro!N577&gt;(-M$4+Presion_cilindro!$B$34),1-EXP(-Presion_cilindro!$B$16*((Presion_cilindro!N577-(-M$4+Presion_cilindro!$B$34))/Presion_cilindro!$B$35)^(Presion_cilindro!$B$17+1)),0))/((Presion_cilindro!O577+Presion_cilindro!O578)/2)</f>
        <v>3.5683911837363445</v>
      </c>
      <c r="N586" s="27">
        <f>N585*(Presion_cilindro!O577/Presion_cilindro!O578)^Presion_cilindro!$B$9+10*(Presion_cilindro!$B$9-1)*Presion_cilindro!$B$33*(IF(Presion_cilindro!N578&gt;(-N$4+Presion_cilindro!$B$34),1-EXP(-Presion_cilindro!$B$16*((Presion_cilindro!N578-(-N$4+Presion_cilindro!$B$34))/Presion_cilindro!$B$35)^(Presion_cilindro!$B$17+1)),0)-IF(Presion_cilindro!N577&gt;(-N$4+Presion_cilindro!$B$34),1-EXP(-Presion_cilindro!$B$16*((Presion_cilindro!N577-(-N$4+Presion_cilindro!$B$34))/Presion_cilindro!$B$35)^(Presion_cilindro!$B$17+1)),0))/((Presion_cilindro!O577+Presion_cilindro!O578)/2)</f>
        <v>3.6714088540786918</v>
      </c>
    </row>
    <row r="587" spans="1:14" x14ac:dyDescent="0.25">
      <c r="A587" s="21">
        <f>Presion_cilindro!N579</f>
        <v>107.5</v>
      </c>
      <c r="B587" s="27">
        <f>B586*(Presion_cilindro!O578/Presion_cilindro!O579)^Presion_cilindro!$B$9+10*(Presion_cilindro!$B$9-1)*Presion_cilindro!$B$33*(IF(Presion_cilindro!N579&gt;(-B$4+Presion_cilindro!$B$34),1-EXP(-Presion_cilindro!$B$16*((Presion_cilindro!N579-(-B$4+Presion_cilindro!$B$34))/Presion_cilindro!$B$35)^(Presion_cilindro!$B$17+1)),0)-IF(Presion_cilindro!N578&gt;(-B$4+Presion_cilindro!$B$34),1-EXP(-Presion_cilindro!$B$16*((Presion_cilindro!N578-(-B$4+Presion_cilindro!$B$34))/Presion_cilindro!$B$35)^(Presion_cilindro!$B$17+1)),0))/((Presion_cilindro!O578+Presion_cilindro!O579)/2)</f>
        <v>3.8373084557308648</v>
      </c>
      <c r="C587" s="27">
        <f>C586*(Presion_cilindro!O578/Presion_cilindro!O579)^Presion_cilindro!$B$9+10*(Presion_cilindro!$B$9-1)*Presion_cilindro!$B$33*(IF(Presion_cilindro!N579&gt;(-C$4+Presion_cilindro!$B$34),1-EXP(-Presion_cilindro!$B$16*((Presion_cilindro!N579-(-C$4+Presion_cilindro!$B$34))/Presion_cilindro!$B$35)^(Presion_cilindro!$B$17+1)),0)-IF(Presion_cilindro!N578&gt;(-C$4+Presion_cilindro!$B$34),1-EXP(-Presion_cilindro!$B$16*((Presion_cilindro!N578-(-C$4+Presion_cilindro!$B$34))/Presion_cilindro!$B$35)^(Presion_cilindro!$B$17+1)),0))/((Presion_cilindro!O578+Presion_cilindro!O579)/2)</f>
        <v>3.7193351588228678</v>
      </c>
      <c r="D587" s="27">
        <f>D586*(Presion_cilindro!O578/Presion_cilindro!O579)^Presion_cilindro!$B$9+10*(Presion_cilindro!$B$9-1)*Presion_cilindro!$B$33*(IF(Presion_cilindro!N579&gt;(-D$4+Presion_cilindro!$B$34),1-EXP(-Presion_cilindro!$B$16*((Presion_cilindro!N579-(-D$4+Presion_cilindro!$B$34))/Presion_cilindro!$B$35)^(Presion_cilindro!$B$17+1)),0)-IF(Presion_cilindro!N578&gt;(-D$4+Presion_cilindro!$B$34),1-EXP(-Presion_cilindro!$B$16*((Presion_cilindro!N578-(-D$4+Presion_cilindro!$B$34))/Presion_cilindro!$B$35)^(Presion_cilindro!$B$17+1)),0))/((Presion_cilindro!O578+Presion_cilindro!O579)/2)</f>
        <v>3.6094602725993101</v>
      </c>
      <c r="E587" s="27">
        <f>E586*(Presion_cilindro!O578/Presion_cilindro!O579)^Presion_cilindro!$B$9+10*(Presion_cilindro!$B$9-1)*Presion_cilindro!$B$33*(IF(Presion_cilindro!N579&gt;(-E$4+Presion_cilindro!$B$34),1-EXP(-Presion_cilindro!$B$16*((Presion_cilindro!N579-(-E$4+Presion_cilindro!$B$34))/Presion_cilindro!$B$35)^(Presion_cilindro!$B$17+1)),0)-IF(Presion_cilindro!N578&gt;(-E$4+Presion_cilindro!$B$34),1-EXP(-Presion_cilindro!$B$16*((Presion_cilindro!N578-(-E$4+Presion_cilindro!$B$34))/Presion_cilindro!$B$35)^(Presion_cilindro!$B$17+1)),0))/((Presion_cilindro!O578+Presion_cilindro!O579)/2)</f>
        <v>3.511771280443809</v>
      </c>
      <c r="F587" s="27">
        <f>F586*(Presion_cilindro!O578/Presion_cilindro!O579)^Presion_cilindro!$B$9+10*(Presion_cilindro!$B$9-1)*Presion_cilindro!$B$33*(IF(Presion_cilindro!N579&gt;(-F$4+Presion_cilindro!$B$34),1-EXP(-Presion_cilindro!$B$16*((Presion_cilindro!N579-(-F$4+Presion_cilindro!$B$34))/Presion_cilindro!$B$35)^(Presion_cilindro!$B$17+1)),0)-IF(Presion_cilindro!N578&gt;(-F$4+Presion_cilindro!$B$34),1-EXP(-Presion_cilindro!$B$16*((Presion_cilindro!N578-(-F$4+Presion_cilindro!$B$34))/Presion_cilindro!$B$35)^(Presion_cilindro!$B$17+1)),0))/((Presion_cilindro!O578+Presion_cilindro!O579)/2)</f>
        <v>3.4307210168068543</v>
      </c>
      <c r="G587" s="27">
        <f>G586*(Presion_cilindro!O578/Presion_cilindro!O579)^Presion_cilindro!$B$9+10*(Presion_cilindro!$B$9-1)*Presion_cilindro!$B$33*(IF(Presion_cilindro!N579&gt;(-G$4+Presion_cilindro!$B$34),1-EXP(-Presion_cilindro!$B$16*((Presion_cilindro!N579-(-G$4+Presion_cilindro!$B$34))/Presion_cilindro!$B$35)^(Presion_cilindro!$B$17+1)),0)-IF(Presion_cilindro!N578&gt;(-G$4+Presion_cilindro!$B$34),1-EXP(-Presion_cilindro!$B$16*((Presion_cilindro!N578-(-G$4+Presion_cilindro!$B$34))/Presion_cilindro!$B$35)^(Presion_cilindro!$B$17+1)),0))/((Presion_cilindro!O578+Presion_cilindro!O579)/2)</f>
        <v>3.3706637229024947</v>
      </c>
      <c r="H587" s="27">
        <f>H586*(Presion_cilindro!O578/Presion_cilindro!O579)^Presion_cilindro!$B$9+10*(Presion_cilindro!$B$9-1)*Presion_cilindro!$B$33*(IF(Presion_cilindro!N579&gt;(-H$4+Presion_cilindro!$B$34),1-EXP(-Presion_cilindro!$B$16*((Presion_cilindro!N579-(-H$4+Presion_cilindro!$B$34))/Presion_cilindro!$B$35)^(Presion_cilindro!$B$17+1)),0)-IF(Presion_cilindro!N578&gt;(-H$4+Presion_cilindro!$B$34),1-EXP(-Presion_cilindro!$B$16*((Presion_cilindro!N578-(-H$4+Presion_cilindro!$B$34))/Presion_cilindro!$B$35)^(Presion_cilindro!$B$17+1)),0))/((Presion_cilindro!O578+Presion_cilindro!O579)/2)</f>
        <v>3.335236722412136</v>
      </c>
      <c r="I587" s="27">
        <f>I586*(Presion_cilindro!O578/Presion_cilindro!O579)^Presion_cilindro!$B$9+10*(Presion_cilindro!$B$9-1)*Presion_cilindro!$B$33*(IF(Presion_cilindro!N579&gt;(-I$4+Presion_cilindro!$B$34),1-EXP(-Presion_cilindro!$B$16*((Presion_cilindro!N579-(-I$4+Presion_cilindro!$B$34))/Presion_cilindro!$B$35)^(Presion_cilindro!$B$17+1)),0)-IF(Presion_cilindro!N578&gt;(-I$4+Presion_cilindro!$B$34),1-EXP(-Presion_cilindro!$B$16*((Presion_cilindro!N578-(-I$4+Presion_cilindro!$B$34))/Presion_cilindro!$B$35)^(Presion_cilindro!$B$17+1)),0))/((Presion_cilindro!O578+Presion_cilindro!O579)/2)</f>
        <v>3.326738773337</v>
      </c>
      <c r="J587" s="27">
        <f>J586*(Presion_cilindro!O578/Presion_cilindro!O579)^Presion_cilindro!$B$9+10*(Presion_cilindro!$B$9-1)*Presion_cilindro!$B$33*(IF(Presion_cilindro!N579&gt;(-J$4+Presion_cilindro!$B$34),1-EXP(-Presion_cilindro!$B$16*((Presion_cilindro!N579-(-J$4+Presion_cilindro!$B$34))/Presion_cilindro!$B$35)^(Presion_cilindro!$B$17+1)),0)-IF(Presion_cilindro!N578&gt;(-J$4+Presion_cilindro!$B$34),1-EXP(-Presion_cilindro!$B$16*((Presion_cilindro!N578-(-J$4+Presion_cilindro!$B$34))/Presion_cilindro!$B$35)^(Presion_cilindro!$B$17+1)),0))/((Presion_cilindro!O578+Presion_cilindro!O579)/2)</f>
        <v>3.3456991452039739</v>
      </c>
      <c r="K587" s="27">
        <f>K586*(Presion_cilindro!O578/Presion_cilindro!O579)^Presion_cilindro!$B$9+10*(Presion_cilindro!$B$9-1)*Presion_cilindro!$B$33*(IF(Presion_cilindro!N579&gt;(-K$4+Presion_cilindro!$B$34),1-EXP(-Presion_cilindro!$B$16*((Presion_cilindro!N579-(-K$4+Presion_cilindro!$B$34))/Presion_cilindro!$B$35)^(Presion_cilindro!$B$17+1)),0)-IF(Presion_cilindro!N578&gt;(-K$4+Presion_cilindro!$B$34),1-EXP(-Presion_cilindro!$B$16*((Presion_cilindro!N578-(-K$4+Presion_cilindro!$B$34))/Presion_cilindro!$B$35)^(Presion_cilindro!$B$17+1)),0))/((Presion_cilindro!O578+Presion_cilindro!O579)/2)</f>
        <v>3.3907857626010145</v>
      </c>
      <c r="L587" s="27">
        <f>L586*(Presion_cilindro!O578/Presion_cilindro!O579)^Presion_cilindro!$B$9+10*(Presion_cilindro!$B$9-1)*Presion_cilindro!$B$33*(IF(Presion_cilindro!N579&gt;(-L$4+Presion_cilindro!$B$34),1-EXP(-Presion_cilindro!$B$16*((Presion_cilindro!N579-(-L$4+Presion_cilindro!$B$34))/Presion_cilindro!$B$35)^(Presion_cilindro!$B$17+1)),0)-IF(Presion_cilindro!N578&gt;(-L$4+Presion_cilindro!$B$34),1-EXP(-Presion_cilindro!$B$16*((Presion_cilindro!N578-(-L$4+Presion_cilindro!$B$34))/Presion_cilindro!$B$35)^(Presion_cilindro!$B$17+1)),0))/((Presion_cilindro!O578+Presion_cilindro!O579)/2)</f>
        <v>3.4590805901061912</v>
      </c>
      <c r="M587" s="27">
        <f>M586*(Presion_cilindro!O578/Presion_cilindro!O579)^Presion_cilindro!$B$9+10*(Presion_cilindro!$B$9-1)*Presion_cilindro!$B$33*(IF(Presion_cilindro!N579&gt;(-M$4+Presion_cilindro!$B$34),1-EXP(-Presion_cilindro!$B$16*((Presion_cilindro!N579-(-M$4+Presion_cilindro!$B$34))/Presion_cilindro!$B$35)^(Presion_cilindro!$B$17+1)),0)-IF(Presion_cilindro!N578&gt;(-M$4+Presion_cilindro!$B$34),1-EXP(-Presion_cilindro!$B$16*((Presion_cilindro!N578-(-M$4+Presion_cilindro!$B$34))/Presion_cilindro!$B$35)^(Presion_cilindro!$B$17+1)),0))/((Presion_cilindro!O578+Presion_cilindro!O579)/2)</f>
        <v>3.5466181003524513</v>
      </c>
      <c r="N587" s="27">
        <f>N586*(Presion_cilindro!O578/Presion_cilindro!O579)^Presion_cilindro!$B$9+10*(Presion_cilindro!$B$9-1)*Presion_cilindro!$B$33*(IF(Presion_cilindro!N579&gt;(-N$4+Presion_cilindro!$B$34),1-EXP(-Presion_cilindro!$B$16*((Presion_cilindro!N579-(-N$4+Presion_cilindro!$B$34))/Presion_cilindro!$B$35)^(Presion_cilindro!$B$17+1)),0)-IF(Presion_cilindro!N578&gt;(-N$4+Presion_cilindro!$B$34),1-EXP(-Presion_cilindro!$B$16*((Presion_cilindro!N578-(-N$4+Presion_cilindro!$B$34))/Presion_cilindro!$B$35)^(Presion_cilindro!$B$17+1)),0))/((Presion_cilindro!O578+Presion_cilindro!O579)/2)</f>
        <v>3.6490071926575585</v>
      </c>
    </row>
    <row r="588" spans="1:14" x14ac:dyDescent="0.25">
      <c r="A588" s="21">
        <f>Presion_cilindro!N580</f>
        <v>108</v>
      </c>
      <c r="B588" s="27">
        <f>B587*(Presion_cilindro!O579/Presion_cilindro!O580)^Presion_cilindro!$B$9+10*(Presion_cilindro!$B$9-1)*Presion_cilindro!$B$33*(IF(Presion_cilindro!N580&gt;(-B$4+Presion_cilindro!$B$34),1-EXP(-Presion_cilindro!$B$16*((Presion_cilindro!N580-(-B$4+Presion_cilindro!$B$34))/Presion_cilindro!$B$35)^(Presion_cilindro!$B$17+1)),0)-IF(Presion_cilindro!N579&gt;(-B$4+Presion_cilindro!$B$34),1-EXP(-Presion_cilindro!$B$16*((Presion_cilindro!N579-(-B$4+Presion_cilindro!$B$34))/Presion_cilindro!$B$35)^(Presion_cilindro!$B$17+1)),0))/((Presion_cilindro!O579+Presion_cilindro!O580)/2)</f>
        <v>3.8141273180100335</v>
      </c>
      <c r="C588" s="27">
        <f>C587*(Presion_cilindro!O579/Presion_cilindro!O580)^Presion_cilindro!$B$9+10*(Presion_cilindro!$B$9-1)*Presion_cilindro!$B$33*(IF(Presion_cilindro!N580&gt;(-C$4+Presion_cilindro!$B$34),1-EXP(-Presion_cilindro!$B$16*((Presion_cilindro!N580-(-C$4+Presion_cilindro!$B$34))/Presion_cilindro!$B$35)^(Presion_cilindro!$B$17+1)),0)-IF(Presion_cilindro!N579&gt;(-C$4+Presion_cilindro!$B$34),1-EXP(-Presion_cilindro!$B$16*((Presion_cilindro!N579-(-C$4+Presion_cilindro!$B$34))/Presion_cilindro!$B$35)^(Presion_cilindro!$B$17+1)),0))/((Presion_cilindro!O579+Presion_cilindro!O580)/2)</f>
        <v>3.6968666964771213</v>
      </c>
      <c r="D588" s="27">
        <f>D587*(Presion_cilindro!O579/Presion_cilindro!O580)^Presion_cilindro!$B$9+10*(Presion_cilindro!$B$9-1)*Presion_cilindro!$B$33*(IF(Presion_cilindro!N580&gt;(-D$4+Presion_cilindro!$B$34),1-EXP(-Presion_cilindro!$B$16*((Presion_cilindro!N580-(-D$4+Presion_cilindro!$B$34))/Presion_cilindro!$B$35)^(Presion_cilindro!$B$17+1)),0)-IF(Presion_cilindro!N579&gt;(-D$4+Presion_cilindro!$B$34),1-EXP(-Presion_cilindro!$B$16*((Presion_cilindro!N579-(-D$4+Presion_cilindro!$B$34))/Presion_cilindro!$B$35)^(Presion_cilindro!$B$17+1)),0))/((Presion_cilindro!O579+Presion_cilindro!O580)/2)</f>
        <v>3.587655563219736</v>
      </c>
      <c r="E588" s="27">
        <f>E587*(Presion_cilindro!O579/Presion_cilindro!O580)^Presion_cilindro!$B$9+10*(Presion_cilindro!$B$9-1)*Presion_cilindro!$B$33*(IF(Presion_cilindro!N580&gt;(-E$4+Presion_cilindro!$B$34),1-EXP(-Presion_cilindro!$B$16*((Presion_cilindro!N580-(-E$4+Presion_cilindro!$B$34))/Presion_cilindro!$B$35)^(Presion_cilindro!$B$17+1)),0)-IF(Presion_cilindro!N579&gt;(-E$4+Presion_cilindro!$B$34),1-EXP(-Presion_cilindro!$B$16*((Presion_cilindro!N579-(-E$4+Presion_cilindro!$B$34))/Presion_cilindro!$B$35)^(Presion_cilindro!$B$17+1)),0))/((Presion_cilindro!O579+Presion_cilindro!O580)/2)</f>
        <v>3.4905567091798151</v>
      </c>
      <c r="F588" s="27">
        <f>F587*(Presion_cilindro!O579/Presion_cilindro!O580)^Presion_cilindro!$B$9+10*(Presion_cilindro!$B$9-1)*Presion_cilindro!$B$33*(IF(Presion_cilindro!N580&gt;(-F$4+Presion_cilindro!$B$34),1-EXP(-Presion_cilindro!$B$16*((Presion_cilindro!N580-(-F$4+Presion_cilindro!$B$34))/Presion_cilindro!$B$35)^(Presion_cilindro!$B$17+1)),0)-IF(Presion_cilindro!N579&gt;(-F$4+Presion_cilindro!$B$34),1-EXP(-Presion_cilindro!$B$16*((Presion_cilindro!N579-(-F$4+Presion_cilindro!$B$34))/Presion_cilindro!$B$35)^(Presion_cilindro!$B$17+1)),0))/((Presion_cilindro!O579+Presion_cilindro!O580)/2)</f>
        <v>3.4099960692844369</v>
      </c>
      <c r="G588" s="27">
        <f>G587*(Presion_cilindro!O579/Presion_cilindro!O580)^Presion_cilindro!$B$9+10*(Presion_cilindro!$B$9-1)*Presion_cilindro!$B$33*(IF(Presion_cilindro!N580&gt;(-G$4+Presion_cilindro!$B$34),1-EXP(-Presion_cilindro!$B$16*((Presion_cilindro!N580-(-G$4+Presion_cilindro!$B$34))/Presion_cilindro!$B$35)^(Presion_cilindro!$B$17+1)),0)-IF(Presion_cilindro!N579&gt;(-G$4+Presion_cilindro!$B$34),1-EXP(-Presion_cilindro!$B$16*((Presion_cilindro!N579-(-G$4+Presion_cilindro!$B$34))/Presion_cilindro!$B$35)^(Presion_cilindro!$B$17+1)),0))/((Presion_cilindro!O579+Presion_cilindro!O580)/2)</f>
        <v>3.3503015808248828</v>
      </c>
      <c r="H588" s="27">
        <f>H587*(Presion_cilindro!O579/Presion_cilindro!O580)^Presion_cilindro!$B$9+10*(Presion_cilindro!$B$9-1)*Presion_cilindro!$B$33*(IF(Presion_cilindro!N580&gt;(-H$4+Presion_cilindro!$B$34),1-EXP(-Presion_cilindro!$B$16*((Presion_cilindro!N580-(-H$4+Presion_cilindro!$B$34))/Presion_cilindro!$B$35)^(Presion_cilindro!$B$17+1)),0)-IF(Presion_cilindro!N579&gt;(-H$4+Presion_cilindro!$B$34),1-EXP(-Presion_cilindro!$B$16*((Presion_cilindro!N579-(-H$4+Presion_cilindro!$B$34))/Presion_cilindro!$B$35)^(Presion_cilindro!$B$17+1)),0))/((Presion_cilindro!O579+Presion_cilindro!O580)/2)</f>
        <v>3.3150885944506365</v>
      </c>
      <c r="I588" s="27">
        <f>I587*(Presion_cilindro!O579/Presion_cilindro!O580)^Presion_cilindro!$B$9+10*(Presion_cilindro!$B$9-1)*Presion_cilindro!$B$33*(IF(Presion_cilindro!N580&gt;(-I$4+Presion_cilindro!$B$34),1-EXP(-Presion_cilindro!$B$16*((Presion_cilindro!N580-(-I$4+Presion_cilindro!$B$34))/Presion_cilindro!$B$35)^(Presion_cilindro!$B$17+1)),0)-IF(Presion_cilindro!N579&gt;(-I$4+Presion_cilindro!$B$34),1-EXP(-Presion_cilindro!$B$16*((Presion_cilindro!N579-(-I$4+Presion_cilindro!$B$34))/Presion_cilindro!$B$35)^(Presion_cilindro!$B$17+1)),0))/((Presion_cilindro!O579+Presion_cilindro!O580)/2)</f>
        <v>3.3066419813913894</v>
      </c>
      <c r="J588" s="27">
        <f>J587*(Presion_cilindro!O579/Presion_cilindro!O580)^Presion_cilindro!$B$9+10*(Presion_cilindro!$B$9-1)*Presion_cilindro!$B$33*(IF(Presion_cilindro!N580&gt;(-J$4+Presion_cilindro!$B$34),1-EXP(-Presion_cilindro!$B$16*((Presion_cilindro!N580-(-J$4+Presion_cilindro!$B$34))/Presion_cilindro!$B$35)^(Presion_cilindro!$B$17+1)),0)-IF(Presion_cilindro!N579&gt;(-J$4+Presion_cilindro!$B$34),1-EXP(-Presion_cilindro!$B$16*((Presion_cilindro!N579-(-J$4+Presion_cilindro!$B$34))/Presion_cilindro!$B$35)^(Presion_cilindro!$B$17+1)),0))/((Presion_cilindro!O579+Presion_cilindro!O580)/2)</f>
        <v>3.325487813862702</v>
      </c>
      <c r="K588" s="27">
        <f>K587*(Presion_cilindro!O579/Presion_cilindro!O580)^Presion_cilindro!$B$9+10*(Presion_cilindro!$B$9-1)*Presion_cilindro!$B$33*(IF(Presion_cilindro!N580&gt;(-K$4+Presion_cilindro!$B$34),1-EXP(-Presion_cilindro!$B$16*((Presion_cilindro!N580-(-K$4+Presion_cilindro!$B$34))/Presion_cilindro!$B$35)^(Presion_cilindro!$B$17+1)),0)-IF(Presion_cilindro!N579&gt;(-K$4+Presion_cilindro!$B$34),1-EXP(-Presion_cilindro!$B$16*((Presion_cilindro!N579-(-K$4+Presion_cilindro!$B$34))/Presion_cilindro!$B$35)^(Presion_cilindro!$B$17+1)),0))/((Presion_cilindro!O579+Presion_cilindro!O580)/2)</f>
        <v>3.3703020635052852</v>
      </c>
      <c r="L588" s="27">
        <f>L587*(Presion_cilindro!O579/Presion_cilindro!O580)^Presion_cilindro!$B$9+10*(Presion_cilindro!$B$9-1)*Presion_cilindro!$B$33*(IF(Presion_cilindro!N580&gt;(-L$4+Presion_cilindro!$B$34),1-EXP(-Presion_cilindro!$B$16*((Presion_cilindro!N580-(-L$4+Presion_cilindro!$B$34))/Presion_cilindro!$B$35)^(Presion_cilindro!$B$17+1)),0)-IF(Presion_cilindro!N579&gt;(-L$4+Presion_cilindro!$B$34),1-EXP(-Presion_cilindro!$B$16*((Presion_cilindro!N579-(-L$4+Presion_cilindro!$B$34))/Presion_cilindro!$B$35)^(Presion_cilindro!$B$17+1)),0))/((Presion_cilindro!O579+Presion_cilindro!O580)/2)</f>
        <v>3.4381843227167526</v>
      </c>
      <c r="M588" s="27">
        <f>M587*(Presion_cilindro!O579/Presion_cilindro!O580)^Presion_cilindro!$B$9+10*(Presion_cilindro!$B$9-1)*Presion_cilindro!$B$33*(IF(Presion_cilindro!N580&gt;(-M$4+Presion_cilindro!$B$34),1-EXP(-Presion_cilindro!$B$16*((Presion_cilindro!N580-(-M$4+Presion_cilindro!$B$34))/Presion_cilindro!$B$35)^(Presion_cilindro!$B$17+1)),0)-IF(Presion_cilindro!N579&gt;(-M$4+Presion_cilindro!$B$34),1-EXP(-Presion_cilindro!$B$16*((Presion_cilindro!N579-(-M$4+Presion_cilindro!$B$34))/Presion_cilindro!$B$35)^(Presion_cilindro!$B$17+1)),0))/((Presion_cilindro!O579+Presion_cilindro!O580)/2)</f>
        <v>3.5251930198367893</v>
      </c>
      <c r="N588" s="27">
        <f>N587*(Presion_cilindro!O579/Presion_cilindro!O580)^Presion_cilindro!$B$9+10*(Presion_cilindro!$B$9-1)*Presion_cilindro!$B$33*(IF(Presion_cilindro!N580&gt;(-N$4+Presion_cilindro!$B$34),1-EXP(-Presion_cilindro!$B$16*((Presion_cilindro!N580-(-N$4+Presion_cilindro!$B$34))/Presion_cilindro!$B$35)^(Presion_cilindro!$B$17+1)),0)-IF(Presion_cilindro!N579&gt;(-N$4+Presion_cilindro!$B$34),1-EXP(-Presion_cilindro!$B$16*((Presion_cilindro!N579-(-N$4+Presion_cilindro!$B$34))/Presion_cilindro!$B$35)^(Presion_cilindro!$B$17+1)),0))/((Presion_cilindro!O579+Presion_cilindro!O580)/2)</f>
        <v>3.6269635807735647</v>
      </c>
    </row>
    <row r="589" spans="1:14" x14ac:dyDescent="0.25">
      <c r="A589" s="21">
        <f>Presion_cilindro!N581</f>
        <v>108.5</v>
      </c>
      <c r="B589" s="27">
        <f>B588*(Presion_cilindro!O580/Presion_cilindro!O581)^Presion_cilindro!$B$9+10*(Presion_cilindro!$B$9-1)*Presion_cilindro!$B$33*(IF(Presion_cilindro!N581&gt;(-B$4+Presion_cilindro!$B$34),1-EXP(-Presion_cilindro!$B$16*((Presion_cilindro!N581-(-B$4+Presion_cilindro!$B$34))/Presion_cilindro!$B$35)^(Presion_cilindro!$B$17+1)),0)-IF(Presion_cilindro!N580&gt;(-B$4+Presion_cilindro!$B$34),1-EXP(-Presion_cilindro!$B$16*((Presion_cilindro!N580-(-B$4+Presion_cilindro!$B$34))/Presion_cilindro!$B$35)^(Presion_cilindro!$B$17+1)),0))/((Presion_cilindro!O580+Presion_cilindro!O581)/2)</f>
        <v>3.7913161248641121</v>
      </c>
      <c r="C589" s="27">
        <f>C588*(Presion_cilindro!O580/Presion_cilindro!O581)^Presion_cilindro!$B$9+10*(Presion_cilindro!$B$9-1)*Presion_cilindro!$B$33*(IF(Presion_cilindro!N581&gt;(-C$4+Presion_cilindro!$B$34),1-EXP(-Presion_cilindro!$B$16*((Presion_cilindro!N581-(-C$4+Presion_cilindro!$B$34))/Presion_cilindro!$B$35)^(Presion_cilindro!$B$17+1)),0)-IF(Presion_cilindro!N580&gt;(-C$4+Presion_cilindro!$B$34),1-EXP(-Presion_cilindro!$B$16*((Presion_cilindro!N580-(-C$4+Presion_cilindro!$B$34))/Presion_cilindro!$B$35)^(Presion_cilindro!$B$17+1)),0))/((Presion_cilindro!O580+Presion_cilindro!O581)/2)</f>
        <v>3.6747568052184145</v>
      </c>
      <c r="D589" s="27">
        <f>D588*(Presion_cilindro!O580/Presion_cilindro!O581)^Presion_cilindro!$B$9+10*(Presion_cilindro!$B$9-1)*Presion_cilindro!$B$33*(IF(Presion_cilindro!N581&gt;(-D$4+Presion_cilindro!$B$34),1-EXP(-Presion_cilindro!$B$16*((Presion_cilindro!N581-(-D$4+Presion_cilindro!$B$34))/Presion_cilindro!$B$35)^(Presion_cilindro!$B$17+1)),0)-IF(Presion_cilindro!N580&gt;(-D$4+Presion_cilindro!$B$34),1-EXP(-Presion_cilindro!$B$16*((Presion_cilindro!N580-(-D$4+Presion_cilindro!$B$34))/Presion_cilindro!$B$35)^(Presion_cilindro!$B$17+1)),0))/((Presion_cilindro!O580+Presion_cilindro!O581)/2)</f>
        <v>3.5661988321852975</v>
      </c>
      <c r="E589" s="27">
        <f>E588*(Presion_cilindro!O580/Presion_cilindro!O581)^Presion_cilindro!$B$9+10*(Presion_cilindro!$B$9-1)*Presion_cilindro!$B$33*(IF(Presion_cilindro!N581&gt;(-E$4+Presion_cilindro!$B$34),1-EXP(-Presion_cilindro!$B$16*((Presion_cilindro!N581-(-E$4+Presion_cilindro!$B$34))/Presion_cilindro!$B$35)^(Presion_cilindro!$B$17+1)),0)-IF(Presion_cilindro!N580&gt;(-E$4+Presion_cilindro!$B$34),1-EXP(-Presion_cilindro!$B$16*((Presion_cilindro!N580-(-E$4+Presion_cilindro!$B$34))/Presion_cilindro!$B$35)^(Presion_cilindro!$B$17+1)),0))/((Presion_cilindro!O580+Presion_cilindro!O581)/2)</f>
        <v>3.4696806983282853</v>
      </c>
      <c r="F589" s="27">
        <f>F588*(Presion_cilindro!O580/Presion_cilindro!O581)^Presion_cilindro!$B$9+10*(Presion_cilindro!$B$9-1)*Presion_cilindro!$B$33*(IF(Presion_cilindro!N581&gt;(-F$4+Presion_cilindro!$B$34),1-EXP(-Presion_cilindro!$B$16*((Presion_cilindro!N581-(-F$4+Presion_cilindro!$B$34))/Presion_cilindro!$B$35)^(Presion_cilindro!$B$17+1)),0)-IF(Presion_cilindro!N580&gt;(-F$4+Presion_cilindro!$B$34),1-EXP(-Presion_cilindro!$B$16*((Presion_cilindro!N580-(-F$4+Presion_cilindro!$B$34))/Presion_cilindro!$B$35)^(Presion_cilindro!$B$17+1)),0))/((Presion_cilindro!O580+Presion_cilindro!O581)/2)</f>
        <v>3.3896018683368228</v>
      </c>
      <c r="G589" s="27">
        <f>G588*(Presion_cilindro!O580/Presion_cilindro!O581)^Presion_cilindro!$B$9+10*(Presion_cilindro!$B$9-1)*Presion_cilindro!$B$33*(IF(Presion_cilindro!N581&gt;(-G$4+Presion_cilindro!$B$34),1-EXP(-Presion_cilindro!$B$16*((Presion_cilindro!N581-(-G$4+Presion_cilindro!$B$34))/Presion_cilindro!$B$35)^(Presion_cilindro!$B$17+1)),0)-IF(Presion_cilindro!N580&gt;(-G$4+Presion_cilindro!$B$34),1-EXP(-Presion_cilindro!$B$16*((Presion_cilindro!N580-(-G$4+Presion_cilindro!$B$34))/Presion_cilindro!$B$35)^(Presion_cilindro!$B$17+1)),0))/((Presion_cilindro!O580+Presion_cilindro!O581)/2)</f>
        <v>3.3302643953600946</v>
      </c>
      <c r="H589" s="27">
        <f>H588*(Presion_cilindro!O580/Presion_cilindro!O581)^Presion_cilindro!$B$9+10*(Presion_cilindro!$B$9-1)*Presion_cilindro!$B$33*(IF(Presion_cilindro!N581&gt;(-H$4+Presion_cilindro!$B$34),1-EXP(-Presion_cilindro!$B$16*((Presion_cilindro!N581-(-H$4+Presion_cilindro!$B$34))/Presion_cilindro!$B$35)^(Presion_cilindro!$B$17+1)),0)-IF(Presion_cilindro!N580&gt;(-H$4+Presion_cilindro!$B$34),1-EXP(-Presion_cilindro!$B$16*((Presion_cilindro!N580-(-H$4+Presion_cilindro!$B$34))/Presion_cilindro!$B$35)^(Presion_cilindro!$B$17+1)),0))/((Presion_cilindro!O580+Presion_cilindro!O581)/2)</f>
        <v>3.2952620076802428</v>
      </c>
      <c r="I589" s="27">
        <f>I588*(Presion_cilindro!O580/Presion_cilindro!O581)^Presion_cilindro!$B$9+10*(Presion_cilindro!$B$9-1)*Presion_cilindro!$B$33*(IF(Presion_cilindro!N581&gt;(-I$4+Presion_cilindro!$B$34),1-EXP(-Presion_cilindro!$B$16*((Presion_cilindro!N581-(-I$4+Presion_cilindro!$B$34))/Presion_cilindro!$B$35)^(Presion_cilindro!$B$17+1)),0)-IF(Presion_cilindro!N580&gt;(-I$4+Presion_cilindro!$B$34),1-EXP(-Presion_cilindro!$B$16*((Presion_cilindro!N580-(-I$4+Presion_cilindro!$B$34))/Presion_cilindro!$B$35)^(Presion_cilindro!$B$17+1)),0))/((Presion_cilindro!O580+Presion_cilindro!O581)/2)</f>
        <v>3.2868659113724985</v>
      </c>
      <c r="J589" s="27">
        <f>J588*(Presion_cilindro!O580/Presion_cilindro!O581)^Presion_cilindro!$B$9+10*(Presion_cilindro!$B$9-1)*Presion_cilindro!$B$33*(IF(Presion_cilindro!N581&gt;(-J$4+Presion_cilindro!$B$34),1-EXP(-Presion_cilindro!$B$16*((Presion_cilindro!N581-(-J$4+Presion_cilindro!$B$34))/Presion_cilindro!$B$35)^(Presion_cilindro!$B$17+1)),0)-IF(Presion_cilindro!N580&gt;(-J$4+Presion_cilindro!$B$34),1-EXP(-Presion_cilindro!$B$16*((Presion_cilindro!N580-(-J$4+Presion_cilindro!$B$34))/Presion_cilindro!$B$35)^(Presion_cilindro!$B$17+1)),0))/((Presion_cilindro!O580+Presion_cilindro!O581)/2)</f>
        <v>3.3055990323665436</v>
      </c>
      <c r="K589" s="27">
        <f>K588*(Presion_cilindro!O580/Presion_cilindro!O581)^Presion_cilindro!$B$9+10*(Presion_cilindro!$B$9-1)*Presion_cilindro!$B$33*(IF(Presion_cilindro!N581&gt;(-K$4+Presion_cilindro!$B$34),1-EXP(-Presion_cilindro!$B$16*((Presion_cilindro!N581-(-K$4+Presion_cilindro!$B$34))/Presion_cilindro!$B$35)^(Presion_cilindro!$B$17+1)),0)-IF(Presion_cilindro!N580&gt;(-K$4+Presion_cilindro!$B$34),1-EXP(-Presion_cilindro!$B$16*((Presion_cilindro!N580-(-K$4+Presion_cilindro!$B$34))/Presion_cilindro!$B$35)^(Presion_cilindro!$B$17+1)),0))/((Presion_cilindro!O580+Presion_cilindro!O581)/2)</f>
        <v>3.350145260934041</v>
      </c>
      <c r="L589" s="27">
        <f>L588*(Presion_cilindro!O580/Presion_cilindro!O581)^Presion_cilindro!$B$9+10*(Presion_cilindro!$B$9-1)*Presion_cilindro!$B$33*(IF(Presion_cilindro!N581&gt;(-L$4+Presion_cilindro!$B$34),1-EXP(-Presion_cilindro!$B$16*((Presion_cilindro!N581-(-L$4+Presion_cilindro!$B$34))/Presion_cilindro!$B$35)^(Presion_cilindro!$B$17+1)),0)-IF(Presion_cilindro!N580&gt;(-L$4+Presion_cilindro!$B$34),1-EXP(-Presion_cilindro!$B$16*((Presion_cilindro!N580-(-L$4+Presion_cilindro!$B$34))/Presion_cilindro!$B$35)^(Presion_cilindro!$B$17+1)),0))/((Presion_cilindro!O580+Presion_cilindro!O581)/2)</f>
        <v>3.4176215359722106</v>
      </c>
      <c r="M589" s="27">
        <f>M588*(Presion_cilindro!O580/Presion_cilindro!O581)^Presion_cilindro!$B$9+10*(Presion_cilindro!$B$9-1)*Presion_cilindro!$B$33*(IF(Presion_cilindro!N581&gt;(-M$4+Presion_cilindro!$B$34),1-EXP(-Presion_cilindro!$B$16*((Presion_cilindro!N581-(-M$4+Presion_cilindro!$B$34))/Presion_cilindro!$B$35)^(Presion_cilindro!$B$17+1)),0)-IF(Presion_cilindro!N580&gt;(-M$4+Presion_cilindro!$B$34),1-EXP(-Presion_cilindro!$B$16*((Presion_cilindro!N580-(-M$4+Presion_cilindro!$B$34))/Presion_cilindro!$B$35)^(Presion_cilindro!$B$17+1)),0))/((Presion_cilindro!O580+Presion_cilindro!O581)/2)</f>
        <v>3.5041098592216615</v>
      </c>
      <c r="N589" s="27">
        <f>N588*(Presion_cilindro!O580/Presion_cilindro!O581)^Presion_cilindro!$B$9+10*(Presion_cilindro!$B$9-1)*Presion_cilindro!$B$33*(IF(Presion_cilindro!N581&gt;(-N$4+Presion_cilindro!$B$34),1-EXP(-Presion_cilindro!$B$16*((Presion_cilindro!N581-(-N$4+Presion_cilindro!$B$34))/Presion_cilindro!$B$35)^(Presion_cilindro!$B$17+1)),0)-IF(Presion_cilindro!N580&gt;(-N$4+Presion_cilindro!$B$34),1-EXP(-Presion_cilindro!$B$16*((Presion_cilindro!N580-(-N$4+Presion_cilindro!$B$34))/Presion_cilindro!$B$35)^(Presion_cilindro!$B$17+1)),0))/((Presion_cilindro!O580+Presion_cilindro!O581)/2)</f>
        <v>3.6052717598467754</v>
      </c>
    </row>
    <row r="590" spans="1:14" x14ac:dyDescent="0.25">
      <c r="A590" s="21">
        <f>Presion_cilindro!N582</f>
        <v>109</v>
      </c>
      <c r="B590" s="27">
        <f>B589*(Presion_cilindro!O581/Presion_cilindro!O582)^Presion_cilindro!$B$9+10*(Presion_cilindro!$B$9-1)*Presion_cilindro!$B$33*(IF(Presion_cilindro!N582&gt;(-B$4+Presion_cilindro!$B$34),1-EXP(-Presion_cilindro!$B$16*((Presion_cilindro!N582-(-B$4+Presion_cilindro!$B$34))/Presion_cilindro!$B$35)^(Presion_cilindro!$B$17+1)),0)-IF(Presion_cilindro!N581&gt;(-B$4+Presion_cilindro!$B$34),1-EXP(-Presion_cilindro!$B$16*((Presion_cilindro!N581-(-B$4+Presion_cilindro!$B$34))/Presion_cilindro!$B$35)^(Presion_cilindro!$B$17+1)),0))/((Presion_cilindro!O581+Presion_cilindro!O582)/2)</f>
        <v>3.768868437851979</v>
      </c>
      <c r="C590" s="27">
        <f>C589*(Presion_cilindro!O581/Presion_cilindro!O582)^Presion_cilindro!$B$9+10*(Presion_cilindro!$B$9-1)*Presion_cilindro!$B$33*(IF(Presion_cilindro!N582&gt;(-C$4+Presion_cilindro!$B$34),1-EXP(-Presion_cilindro!$B$16*((Presion_cilindro!N582-(-C$4+Presion_cilindro!$B$34))/Presion_cilindro!$B$35)^(Presion_cilindro!$B$17+1)),0)-IF(Presion_cilindro!N581&gt;(-C$4+Presion_cilindro!$B$34),1-EXP(-Presion_cilindro!$B$16*((Presion_cilindro!N581-(-C$4+Presion_cilindro!$B$34))/Presion_cilindro!$B$35)^(Presion_cilindro!$B$17+1)),0))/((Presion_cilindro!O581+Presion_cilindro!O582)/2)</f>
        <v>3.6529992445475257</v>
      </c>
      <c r="D590" s="27">
        <f>D589*(Presion_cilindro!O581/Presion_cilindro!O582)^Presion_cilindro!$B$9+10*(Presion_cilindro!$B$9-1)*Presion_cilindro!$B$33*(IF(Presion_cilindro!N582&gt;(-D$4+Presion_cilindro!$B$34),1-EXP(-Presion_cilindro!$B$16*((Presion_cilindro!N582-(-D$4+Presion_cilindro!$B$34))/Presion_cilindro!$B$35)^(Presion_cilindro!$B$17+1)),0)-IF(Presion_cilindro!N581&gt;(-D$4+Presion_cilindro!$B$34),1-EXP(-Presion_cilindro!$B$16*((Presion_cilindro!N581-(-D$4+Presion_cilindro!$B$34))/Presion_cilindro!$B$35)^(Presion_cilindro!$B$17+1)),0))/((Presion_cilindro!O581+Presion_cilindro!O582)/2)</f>
        <v>3.5450840233507268</v>
      </c>
      <c r="E590" s="27">
        <f>E589*(Presion_cilindro!O581/Presion_cilindro!O582)^Presion_cilindro!$B$9+10*(Presion_cilindro!$B$9-1)*Presion_cilindro!$B$33*(IF(Presion_cilindro!N582&gt;(-E$4+Presion_cilindro!$B$34),1-EXP(-Presion_cilindro!$B$16*((Presion_cilindro!N582-(-E$4+Presion_cilindro!$B$34))/Presion_cilindro!$B$35)^(Presion_cilindro!$B$17+1)),0)-IF(Presion_cilindro!N581&gt;(-E$4+Presion_cilindro!$B$34),1-EXP(-Presion_cilindro!$B$16*((Presion_cilindro!N581-(-E$4+Presion_cilindro!$B$34))/Presion_cilindro!$B$35)^(Presion_cilindro!$B$17+1)),0))/((Presion_cilindro!O581+Presion_cilindro!O582)/2)</f>
        <v>3.4491373556517617</v>
      </c>
      <c r="F590" s="27">
        <f>F589*(Presion_cilindro!O581/Presion_cilindro!O582)^Presion_cilindro!$B$9+10*(Presion_cilindro!$B$9-1)*Presion_cilindro!$B$33*(IF(Presion_cilindro!N582&gt;(-F$4+Presion_cilindro!$B$34),1-EXP(-Presion_cilindro!$B$16*((Presion_cilindro!N582-(-F$4+Presion_cilindro!$B$34))/Presion_cilindro!$B$35)^(Presion_cilindro!$B$17+1)),0)-IF(Presion_cilindro!N581&gt;(-F$4+Presion_cilindro!$B$34),1-EXP(-Presion_cilindro!$B$16*((Presion_cilindro!N581-(-F$4+Presion_cilindro!$B$34))/Presion_cilindro!$B$35)^(Presion_cilindro!$B$17+1)),0))/((Presion_cilindro!O581+Presion_cilindro!O582)/2)</f>
        <v>3.3695326577170159</v>
      </c>
      <c r="G590" s="27">
        <f>G589*(Presion_cilindro!O581/Presion_cilindro!O582)^Presion_cilindro!$B$9+10*(Presion_cilindro!$B$9-1)*Presion_cilindro!$B$33*(IF(Presion_cilindro!N582&gt;(-G$4+Presion_cilindro!$B$34),1-EXP(-Presion_cilindro!$B$16*((Presion_cilindro!N582-(-G$4+Presion_cilindro!$B$34))/Presion_cilindro!$B$35)^(Presion_cilindro!$B$17+1)),0)-IF(Presion_cilindro!N581&gt;(-G$4+Presion_cilindro!$B$34),1-EXP(-Presion_cilindro!$B$16*((Presion_cilindro!N581-(-G$4+Presion_cilindro!$B$34))/Presion_cilindro!$B$35)^(Presion_cilindro!$B$17+1)),0))/((Presion_cilindro!O581+Presion_cilindro!O582)/2)</f>
        <v>3.3105465110284698</v>
      </c>
      <c r="H590" s="27">
        <f>H589*(Presion_cilindro!O581/Presion_cilindro!O582)^Presion_cilindro!$B$9+10*(Presion_cilindro!$B$9-1)*Presion_cilindro!$B$33*(IF(Presion_cilindro!N582&gt;(-H$4+Presion_cilindro!$B$34),1-EXP(-Presion_cilindro!$B$16*((Presion_cilindro!N582-(-H$4+Presion_cilindro!$B$34))/Presion_cilindro!$B$35)^(Presion_cilindro!$B$17+1)),0)-IF(Presion_cilindro!N581&gt;(-H$4+Presion_cilindro!$B$34),1-EXP(-Presion_cilindro!$B$16*((Presion_cilindro!N581-(-H$4+Presion_cilindro!$B$34))/Presion_cilindro!$B$35)^(Presion_cilindro!$B$17+1)),0))/((Presion_cilindro!O581+Presion_cilindro!O582)/2)</f>
        <v>3.2757513660626092</v>
      </c>
      <c r="I590" s="27">
        <f>I589*(Presion_cilindro!O581/Presion_cilindro!O582)^Presion_cilindro!$B$9+10*(Presion_cilindro!$B$9-1)*Presion_cilindro!$B$33*(IF(Presion_cilindro!N582&gt;(-I$4+Presion_cilindro!$B$34),1-EXP(-Presion_cilindro!$B$16*((Presion_cilindro!N582-(-I$4+Presion_cilindro!$B$34))/Presion_cilindro!$B$35)^(Presion_cilindro!$B$17+1)),0)-IF(Presion_cilindro!N581&gt;(-I$4+Presion_cilindro!$B$34),1-EXP(-Presion_cilindro!$B$16*((Presion_cilindro!N581-(-I$4+Presion_cilindro!$B$34))/Presion_cilindro!$B$35)^(Presion_cilindro!$B$17+1)),0))/((Presion_cilindro!O581+Presion_cilindro!O582)/2)</f>
        <v>3.2674049815002939</v>
      </c>
      <c r="J590" s="27">
        <f>J589*(Presion_cilindro!O581/Presion_cilindro!O582)^Presion_cilindro!$B$9+10*(Presion_cilindro!$B$9-1)*Presion_cilindro!$B$33*(IF(Presion_cilindro!N582&gt;(-J$4+Presion_cilindro!$B$34),1-EXP(-Presion_cilindro!$B$16*((Presion_cilindro!N582-(-J$4+Presion_cilindro!$B$34))/Presion_cilindro!$B$35)^(Presion_cilindro!$B$17+1)),0)-IF(Presion_cilindro!N581&gt;(-J$4+Presion_cilindro!$B$34),1-EXP(-Presion_cilindro!$B$16*((Presion_cilindro!N581-(-J$4+Presion_cilindro!$B$34))/Presion_cilindro!$B$35)^(Presion_cilindro!$B$17+1)),0))/((Presion_cilindro!O581+Presion_cilindro!O582)/2)</f>
        <v>3.2860271871227407</v>
      </c>
      <c r="K590" s="27">
        <f>K589*(Presion_cilindro!O581/Presion_cilindro!O582)^Presion_cilindro!$B$9+10*(Presion_cilindro!$B$9-1)*Presion_cilindro!$B$33*(IF(Presion_cilindro!N582&gt;(-K$4+Presion_cilindro!$B$34),1-EXP(-Presion_cilindro!$B$16*((Presion_cilindro!N582-(-K$4+Presion_cilindro!$B$34))/Presion_cilindro!$B$35)^(Presion_cilindro!$B$17+1)),0)-IF(Presion_cilindro!N581&gt;(-K$4+Presion_cilindro!$B$34),1-EXP(-Presion_cilindro!$B$16*((Presion_cilindro!N581-(-K$4+Presion_cilindro!$B$34))/Presion_cilindro!$B$35)^(Presion_cilindro!$B$17+1)),0))/((Presion_cilindro!O581+Presion_cilindro!O582)/2)</f>
        <v>3.3303096656457889</v>
      </c>
      <c r="L590" s="27">
        <f>L589*(Presion_cilindro!O581/Presion_cilindro!O582)^Presion_cilindro!$B$9+10*(Presion_cilindro!$B$9-1)*Presion_cilindro!$B$33*(IF(Presion_cilindro!N582&gt;(-L$4+Presion_cilindro!$B$34),1-EXP(-Presion_cilindro!$B$16*((Presion_cilindro!N582-(-L$4+Presion_cilindro!$B$34))/Presion_cilindro!$B$35)^(Presion_cilindro!$B$17+1)),0)-IF(Presion_cilindro!N581&gt;(-L$4+Presion_cilindro!$B$34),1-EXP(-Presion_cilindro!$B$16*((Presion_cilindro!N581-(-L$4+Presion_cilindro!$B$34))/Presion_cilindro!$B$35)^(Presion_cilindro!$B$17+1)),0))/((Presion_cilindro!O581+Presion_cilindro!O582)/2)</f>
        <v>3.3973864260423627</v>
      </c>
      <c r="M590" s="27">
        <f>M589*(Presion_cilindro!O581/Presion_cilindro!O582)^Presion_cilindro!$B$9+10*(Presion_cilindro!$B$9-1)*Presion_cilindro!$B$33*(IF(Presion_cilindro!N582&gt;(-M$4+Presion_cilindro!$B$34),1-EXP(-Presion_cilindro!$B$16*((Presion_cilindro!N582-(-M$4+Presion_cilindro!$B$34))/Presion_cilindro!$B$35)^(Presion_cilindro!$B$17+1)),0)-IF(Presion_cilindro!N581&gt;(-M$4+Presion_cilindro!$B$34),1-EXP(-Presion_cilindro!$B$16*((Presion_cilindro!N581-(-M$4+Presion_cilindro!$B$34))/Presion_cilindro!$B$35)^(Presion_cilindro!$B$17+1)),0))/((Presion_cilindro!O581+Presion_cilindro!O582)/2)</f>
        <v>3.483362667801754</v>
      </c>
      <c r="N590" s="27">
        <f>N589*(Presion_cilindro!O581/Presion_cilindro!O582)^Presion_cilindro!$B$9+10*(Presion_cilindro!$B$9-1)*Presion_cilindro!$B$33*(IF(Presion_cilindro!N582&gt;(-N$4+Presion_cilindro!$B$34),1-EXP(-Presion_cilindro!$B$16*((Presion_cilindro!N582-(-N$4+Presion_cilindro!$B$34))/Presion_cilindro!$B$35)^(Presion_cilindro!$B$17+1)),0)-IF(Presion_cilindro!N581&gt;(-N$4+Presion_cilindro!$B$34),1-EXP(-Presion_cilindro!$B$16*((Presion_cilindro!N581-(-N$4+Presion_cilindro!$B$34))/Presion_cilindro!$B$35)^(Presion_cilindro!$B$17+1)),0))/((Presion_cilindro!O581+Presion_cilindro!O582)/2)</f>
        <v>3.5839256073779877</v>
      </c>
    </row>
    <row r="591" spans="1:14" x14ac:dyDescent="0.25">
      <c r="A591" s="21">
        <f>Presion_cilindro!N583</f>
        <v>109.5</v>
      </c>
      <c r="B591" s="27">
        <f>B590*(Presion_cilindro!O582/Presion_cilindro!O583)^Presion_cilindro!$B$9+10*(Presion_cilindro!$B$9-1)*Presion_cilindro!$B$33*(IF(Presion_cilindro!N583&gt;(-B$4+Presion_cilindro!$B$34),1-EXP(-Presion_cilindro!$B$16*((Presion_cilindro!N583-(-B$4+Presion_cilindro!$B$34))/Presion_cilindro!$B$35)^(Presion_cilindro!$B$17+1)),0)-IF(Presion_cilindro!N582&gt;(-B$4+Presion_cilindro!$B$34),1-EXP(-Presion_cilindro!$B$16*((Presion_cilindro!N582-(-B$4+Presion_cilindro!$B$34))/Presion_cilindro!$B$35)^(Presion_cilindro!$B$17+1)),0))/((Presion_cilindro!O582+Presion_cilindro!O583)/2)</f>
        <v>3.7467779581913607</v>
      </c>
      <c r="C591" s="27">
        <f>C590*(Presion_cilindro!O582/Presion_cilindro!O583)^Presion_cilindro!$B$9+10*(Presion_cilindro!$B$9-1)*Presion_cilindro!$B$33*(IF(Presion_cilindro!N583&gt;(-C$4+Presion_cilindro!$B$34),1-EXP(-Presion_cilindro!$B$16*((Presion_cilindro!N583-(-C$4+Presion_cilindro!$B$34))/Presion_cilindro!$B$35)^(Presion_cilindro!$B$17+1)),0)-IF(Presion_cilindro!N582&gt;(-C$4+Presion_cilindro!$B$34),1-EXP(-Presion_cilindro!$B$16*((Presion_cilindro!N582-(-C$4+Presion_cilindro!$B$34))/Presion_cilindro!$B$35)^(Presion_cilindro!$B$17+1)),0))/((Presion_cilindro!O582+Presion_cilindro!O583)/2)</f>
        <v>3.6315879093304431</v>
      </c>
      <c r="D591" s="27">
        <f>D590*(Presion_cilindro!O582/Presion_cilindro!O583)^Presion_cilindro!$B$9+10*(Presion_cilindro!$B$9-1)*Presion_cilindro!$B$33*(IF(Presion_cilindro!N583&gt;(-D$4+Presion_cilindro!$B$34),1-EXP(-Presion_cilindro!$B$16*((Presion_cilindro!N583-(-D$4+Presion_cilindro!$B$34))/Presion_cilindro!$B$35)^(Presion_cilindro!$B$17+1)),0)-IF(Presion_cilindro!N582&gt;(-D$4+Presion_cilindro!$B$34),1-EXP(-Presion_cilindro!$B$16*((Presion_cilindro!N582-(-D$4+Presion_cilindro!$B$34))/Presion_cilindro!$B$35)^(Presion_cilindro!$B$17+1)),0))/((Presion_cilindro!O582+Presion_cilindro!O583)/2)</f>
        <v>3.5243052119370692</v>
      </c>
      <c r="E591" s="27">
        <f>E590*(Presion_cilindro!O582/Presion_cilindro!O583)^Presion_cilindro!$B$9+10*(Presion_cilindro!$B$9-1)*Presion_cilindro!$B$33*(IF(Presion_cilindro!N583&gt;(-E$4+Presion_cilindro!$B$34),1-EXP(-Presion_cilindro!$B$16*((Presion_cilindro!N583-(-E$4+Presion_cilindro!$B$34))/Presion_cilindro!$B$35)^(Presion_cilindro!$B$17+1)),0)-IF(Presion_cilindro!N582&gt;(-E$4+Presion_cilindro!$B$34),1-EXP(-Presion_cilindro!$B$16*((Presion_cilindro!N582-(-E$4+Presion_cilindro!$B$34))/Presion_cilindro!$B$35)^(Presion_cilindro!$B$17+1)),0))/((Presion_cilindro!O582+Presion_cilindro!O583)/2)</f>
        <v>3.4289209167237078</v>
      </c>
      <c r="F591" s="27">
        <f>F590*(Presion_cilindro!O582/Presion_cilindro!O583)^Presion_cilindro!$B$9+10*(Presion_cilindro!$B$9-1)*Presion_cilindro!$B$33*(IF(Presion_cilindro!N583&gt;(-F$4+Presion_cilindro!$B$34),1-EXP(-Presion_cilindro!$B$16*((Presion_cilindro!N583-(-F$4+Presion_cilindro!$B$34))/Presion_cilindro!$B$35)^(Presion_cilindro!$B$17+1)),0)-IF(Presion_cilindro!N582&gt;(-F$4+Presion_cilindro!$B$34),1-EXP(-Presion_cilindro!$B$16*((Presion_cilindro!N582-(-F$4+Presion_cilindro!$B$34))/Presion_cilindro!$B$35)^(Presion_cilindro!$B$17+1)),0))/((Presion_cilindro!O582+Presion_cilindro!O583)/2)</f>
        <v>3.3497828060391179</v>
      </c>
      <c r="G591" s="27">
        <f>G590*(Presion_cilindro!O582/Presion_cilindro!O583)^Presion_cilindro!$B$9+10*(Presion_cilindro!$B$9-1)*Presion_cilindro!$B$33*(IF(Presion_cilindro!N583&gt;(-G$4+Presion_cilindro!$B$34),1-EXP(-Presion_cilindro!$B$16*((Presion_cilindro!N583-(-G$4+Presion_cilindro!$B$34))/Presion_cilindro!$B$35)^(Presion_cilindro!$B$17+1)),0)-IF(Presion_cilindro!N582&gt;(-G$4+Presion_cilindro!$B$34),1-EXP(-Presion_cilindro!$B$16*((Presion_cilindro!N582-(-G$4+Presion_cilindro!$B$34))/Presion_cilindro!$B$35)^(Presion_cilindro!$B$17+1)),0))/((Presion_cilindro!O582+Presion_cilindro!O583)/2)</f>
        <v>3.2911423950256609</v>
      </c>
      <c r="H591" s="27">
        <f>H590*(Presion_cilindro!O582/Presion_cilindro!O583)^Presion_cilindro!$B$9+10*(Presion_cilindro!$B$9-1)*Presion_cilindro!$B$33*(IF(Presion_cilindro!N583&gt;(-H$4+Presion_cilindro!$B$34),1-EXP(-Presion_cilindro!$B$16*((Presion_cilindro!N583-(-H$4+Presion_cilindro!$B$34))/Presion_cilindro!$B$35)^(Presion_cilindro!$B$17+1)),0)-IF(Presion_cilindro!N582&gt;(-H$4+Presion_cilindro!$B$34),1-EXP(-Presion_cilindro!$B$16*((Presion_cilindro!N582-(-H$4+Presion_cilindro!$B$34))/Presion_cilindro!$B$35)^(Presion_cilindro!$B$17+1)),0))/((Presion_cilindro!O582+Presion_cilindro!O583)/2)</f>
        <v>3.2565511949453358</v>
      </c>
      <c r="I591" s="27">
        <f>I590*(Presion_cilindro!O582/Presion_cilindro!O583)^Presion_cilindro!$B$9+10*(Presion_cilindro!$B$9-1)*Presion_cilindro!$B$33*(IF(Presion_cilindro!N583&gt;(-I$4+Presion_cilindro!$B$34),1-EXP(-Presion_cilindro!$B$16*((Presion_cilindro!N583-(-I$4+Presion_cilindro!$B$34))/Presion_cilindro!$B$35)^(Presion_cilindro!$B$17+1)),0)-IF(Presion_cilindro!N582&gt;(-I$4+Presion_cilindro!$B$34),1-EXP(-Presion_cilindro!$B$16*((Presion_cilindro!N582-(-I$4+Presion_cilindro!$B$34))/Presion_cilindro!$B$35)^(Presion_cilindro!$B$17+1)),0))/((Presion_cilindro!O582+Presion_cilindro!O583)/2)</f>
        <v>3.2482537310714057</v>
      </c>
      <c r="J591" s="27">
        <f>J590*(Presion_cilindro!O582/Presion_cilindro!O583)^Presion_cilindro!$B$9+10*(Presion_cilindro!$B$9-1)*Presion_cilindro!$B$33*(IF(Presion_cilindro!N583&gt;(-J$4+Presion_cilindro!$B$34),1-EXP(-Presion_cilindro!$B$16*((Presion_cilindro!N583-(-J$4+Presion_cilindro!$B$34))/Presion_cilindro!$B$35)^(Presion_cilindro!$B$17+1)),0)-IF(Presion_cilindro!N582&gt;(-J$4+Presion_cilindro!$B$34),1-EXP(-Presion_cilindro!$B$16*((Presion_cilindro!N582-(-J$4+Presion_cilindro!$B$34))/Presion_cilindro!$B$35)^(Presion_cilindro!$B$17+1)),0))/((Presion_cilindro!O582+Presion_cilindro!O583)/2)</f>
        <v>3.2667667863052618</v>
      </c>
      <c r="K591" s="27">
        <f>K590*(Presion_cilindro!O582/Presion_cilindro!O583)^Presion_cilindro!$B$9+10*(Presion_cilindro!$B$9-1)*Presion_cilindro!$B$33*(IF(Presion_cilindro!N583&gt;(-K$4+Presion_cilindro!$B$34),1-EXP(-Presion_cilindro!$B$16*((Presion_cilindro!N583-(-K$4+Presion_cilindro!$B$34))/Presion_cilindro!$B$35)^(Presion_cilindro!$B$17+1)),0)-IF(Presion_cilindro!N582&gt;(-K$4+Presion_cilindro!$B$34),1-EXP(-Presion_cilindro!$B$16*((Presion_cilindro!N582-(-K$4+Presion_cilindro!$B$34))/Presion_cilindro!$B$35)^(Presion_cilindro!$B$17+1)),0))/((Presion_cilindro!O582+Presion_cilindro!O583)/2)</f>
        <v>3.3107897118066898</v>
      </c>
      <c r="L591" s="27">
        <f>L590*(Presion_cilindro!O582/Presion_cilindro!O583)^Presion_cilindro!$B$9+10*(Presion_cilindro!$B$9-1)*Presion_cilindro!$B$33*(IF(Presion_cilindro!N583&gt;(-L$4+Presion_cilindro!$B$34),1-EXP(-Presion_cilindro!$B$16*((Presion_cilindro!N583-(-L$4+Presion_cilindro!$B$34))/Presion_cilindro!$B$35)^(Presion_cilindro!$B$17+1)),0)-IF(Presion_cilindro!N582&gt;(-L$4+Presion_cilindro!$B$34),1-EXP(-Presion_cilindro!$B$16*((Presion_cilindro!N582-(-L$4+Presion_cilindro!$B$34))/Presion_cilindro!$B$35)^(Presion_cilindro!$B$17+1)),0))/((Presion_cilindro!O582+Presion_cilindro!O583)/2)</f>
        <v>3.3774733149902501</v>
      </c>
      <c r="M591" s="27">
        <f>M590*(Presion_cilindro!O582/Presion_cilindro!O583)^Presion_cilindro!$B$9+10*(Presion_cilindro!$B$9-1)*Presion_cilindro!$B$33*(IF(Presion_cilindro!N583&gt;(-M$4+Presion_cilindro!$B$34),1-EXP(-Presion_cilindro!$B$16*((Presion_cilindro!N583-(-M$4+Presion_cilindro!$B$34))/Presion_cilindro!$B$35)^(Presion_cilindro!$B$17+1)),0)-IF(Presion_cilindro!N582&gt;(-M$4+Presion_cilindro!$B$34),1-EXP(-Presion_cilindro!$B$16*((Presion_cilindro!N582-(-M$4+Presion_cilindro!$B$34))/Presion_cilindro!$B$35)^(Presion_cilindro!$B$17+1)),0))/((Presion_cilindro!O582+Presion_cilindro!O583)/2)</f>
        <v>3.4629456239509242</v>
      </c>
      <c r="N591" s="27">
        <f>N590*(Presion_cilindro!O582/Presion_cilindro!O583)^Presion_cilindro!$B$9+10*(Presion_cilindro!$B$9-1)*Presion_cilindro!$B$33*(IF(Presion_cilindro!N583&gt;(-N$4+Presion_cilindro!$B$34),1-EXP(-Presion_cilindro!$B$16*((Presion_cilindro!N583-(-N$4+Presion_cilindro!$B$34))/Presion_cilindro!$B$35)^(Presion_cilindro!$B$17+1)),0)-IF(Presion_cilindro!N582&gt;(-N$4+Presion_cilindro!$B$34),1-EXP(-Presion_cilindro!$B$16*((Presion_cilindro!N582-(-N$4+Presion_cilindro!$B$34))/Presion_cilindro!$B$35)^(Presion_cilindro!$B$17+1)),0))/((Presion_cilindro!O582+Presion_cilindro!O583)/2)</f>
        <v>3.5629191336736215</v>
      </c>
    </row>
    <row r="592" spans="1:14" x14ac:dyDescent="0.25">
      <c r="A592" s="21">
        <f>Presion_cilindro!N584</f>
        <v>110</v>
      </c>
      <c r="B592" s="27">
        <f>B591*(Presion_cilindro!O583/Presion_cilindro!O584)^Presion_cilindro!$B$9+10*(Presion_cilindro!$B$9-1)*Presion_cilindro!$B$33*(IF(Presion_cilindro!N584&gt;(-B$4+Presion_cilindro!$B$34),1-EXP(-Presion_cilindro!$B$16*((Presion_cilindro!N584-(-B$4+Presion_cilindro!$B$34))/Presion_cilindro!$B$35)^(Presion_cilindro!$B$17+1)),0)-IF(Presion_cilindro!N583&gt;(-B$4+Presion_cilindro!$B$34),1-EXP(-Presion_cilindro!$B$16*((Presion_cilindro!N583-(-B$4+Presion_cilindro!$B$34))/Presion_cilindro!$B$35)^(Presion_cilindro!$B$17+1)),0))/((Presion_cilindro!O583+Presion_cilindro!O584)/2)</f>
        <v>3.7250385234078314</v>
      </c>
      <c r="C592" s="27">
        <f>C591*(Presion_cilindro!O583/Presion_cilindro!O584)^Presion_cilindro!$B$9+10*(Presion_cilindro!$B$9-1)*Presion_cilindro!$B$33*(IF(Presion_cilindro!N584&gt;(-C$4+Presion_cilindro!$B$34),1-EXP(-Presion_cilindro!$B$16*((Presion_cilindro!N584-(-C$4+Presion_cilindro!$B$34))/Presion_cilindro!$B$35)^(Presion_cilindro!$B$17+1)),0)-IF(Presion_cilindro!N583&gt;(-C$4+Presion_cilindro!$B$34),1-EXP(-Presion_cilindro!$B$16*((Presion_cilindro!N583-(-C$4+Presion_cilindro!$B$34))/Presion_cilindro!$B$35)^(Presion_cilindro!$B$17+1)),0))/((Presion_cilindro!O583+Presion_cilindro!O584)/2)</f>
        <v>3.610516826550386</v>
      </c>
      <c r="D592" s="27">
        <f>D591*(Presion_cilindro!O583/Presion_cilindro!O584)^Presion_cilindro!$B$9+10*(Presion_cilindro!$B$9-1)*Presion_cilindro!$B$33*(IF(Presion_cilindro!N584&gt;(-D$4+Presion_cilindro!$B$34),1-EXP(-Presion_cilindro!$B$16*((Presion_cilindro!N584-(-D$4+Presion_cilindro!$B$34))/Presion_cilindro!$B$35)^(Presion_cilindro!$B$17+1)),0)-IF(Presion_cilindro!N583&gt;(-D$4+Presion_cilindro!$B$34),1-EXP(-Presion_cilindro!$B$16*((Presion_cilindro!N583-(-D$4+Presion_cilindro!$B$34))/Presion_cilindro!$B$35)^(Presion_cilindro!$B$17+1)),0))/((Presion_cilindro!O583+Presion_cilindro!O584)/2)</f>
        <v>3.5038566013796553</v>
      </c>
      <c r="E592" s="27">
        <f>E591*(Presion_cilindro!O583/Presion_cilindro!O584)^Presion_cilindro!$B$9+10*(Presion_cilindro!$B$9-1)*Presion_cilindro!$B$33*(IF(Presion_cilindro!N584&gt;(-E$4+Presion_cilindro!$B$34),1-EXP(-Presion_cilindro!$B$16*((Presion_cilindro!N584-(-E$4+Presion_cilindro!$B$34))/Presion_cilindro!$B$35)^(Presion_cilindro!$B$17+1)),0)-IF(Presion_cilindro!N583&gt;(-E$4+Presion_cilindro!$B$34),1-EXP(-Presion_cilindro!$B$16*((Presion_cilindro!N583-(-E$4+Presion_cilindro!$B$34))/Presion_cilindro!$B$35)^(Presion_cilindro!$B$17+1)),0))/((Presion_cilindro!O583+Presion_cilindro!O584)/2)</f>
        <v>3.4090257418617904</v>
      </c>
      <c r="F592" s="27">
        <f>F591*(Presion_cilindro!O583/Presion_cilindro!O584)^Presion_cilindro!$B$9+10*(Presion_cilindro!$B$9-1)*Presion_cilindro!$B$33*(IF(Presion_cilindro!N584&gt;(-F$4+Presion_cilindro!$B$34),1-EXP(-Presion_cilindro!$B$16*((Presion_cilindro!N584-(-F$4+Presion_cilindro!$B$34))/Presion_cilindro!$B$35)^(Presion_cilindro!$B$17+1)),0)-IF(Presion_cilindro!N583&gt;(-F$4+Presion_cilindro!$B$34),1-EXP(-Presion_cilindro!$B$16*((Presion_cilindro!N583-(-F$4+Presion_cilindro!$B$34))/Presion_cilindro!$B$35)^(Presion_cilindro!$B$17+1)),0))/((Presion_cilindro!O583+Presion_cilindro!O584)/2)</f>
        <v>3.3303468037823873</v>
      </c>
      <c r="G592" s="27">
        <f>G591*(Presion_cilindro!O583/Presion_cilindro!O584)^Presion_cilindro!$B$9+10*(Presion_cilindro!$B$9-1)*Presion_cilindro!$B$33*(IF(Presion_cilindro!N584&gt;(-G$4+Presion_cilindro!$B$34),1-EXP(-Presion_cilindro!$B$16*((Presion_cilindro!N584-(-G$4+Presion_cilindro!$B$34))/Presion_cilindro!$B$35)^(Presion_cilindro!$B$17+1)),0)-IF(Presion_cilindro!N583&gt;(-G$4+Presion_cilindro!$B$34),1-EXP(-Presion_cilindro!$B$16*((Presion_cilindro!N583-(-G$4+Presion_cilindro!$B$34))/Presion_cilindro!$B$35)^(Presion_cilindro!$B$17+1)),0))/((Presion_cilindro!O583+Presion_cilindro!O584)/2)</f>
        <v>3.2720466342791377</v>
      </c>
      <c r="H592" s="27">
        <f>H591*(Presion_cilindro!O583/Presion_cilindro!O584)^Presion_cilindro!$B$9+10*(Presion_cilindro!$B$9-1)*Presion_cilindro!$B$33*(IF(Presion_cilindro!N584&gt;(-H$4+Presion_cilindro!$B$34),1-EXP(-Presion_cilindro!$B$16*((Presion_cilindro!N584-(-H$4+Presion_cilindro!$B$34))/Presion_cilindro!$B$35)^(Presion_cilindro!$B$17+1)),0)-IF(Presion_cilindro!N583&gt;(-H$4+Presion_cilindro!$B$34),1-EXP(-Presion_cilindro!$B$16*((Presion_cilindro!N583-(-H$4+Presion_cilindro!$B$34))/Presion_cilindro!$B$35)^(Presion_cilindro!$B$17+1)),0))/((Presion_cilindro!O583+Presion_cilindro!O584)/2)</f>
        <v>3.2376561381494127</v>
      </c>
      <c r="I592" s="27">
        <f>I591*(Presion_cilindro!O583/Presion_cilindro!O584)^Presion_cilindro!$B$9+10*(Presion_cilindro!$B$9-1)*Presion_cilindro!$B$33*(IF(Presion_cilindro!N584&gt;(-I$4+Presion_cilindro!$B$34),1-EXP(-Presion_cilindro!$B$16*((Presion_cilindro!N584-(-I$4+Presion_cilindro!$B$34))/Presion_cilindro!$B$35)^(Presion_cilindro!$B$17+1)),0)-IF(Presion_cilindro!N583&gt;(-I$4+Presion_cilindro!$B$34),1-EXP(-Presion_cilindro!$B$16*((Presion_cilindro!N583-(-I$4+Presion_cilindro!$B$34))/Presion_cilindro!$B$35)^(Presion_cilindro!$B$17+1)),0))/((Presion_cilindro!O583+Presion_cilindro!O584)/2)</f>
        <v>3.2294068175539925</v>
      </c>
      <c r="J592" s="27">
        <f>J591*(Presion_cilindro!O583/Presion_cilindro!O584)^Presion_cilindro!$B$9+10*(Presion_cilindro!$B$9-1)*Presion_cilindro!$B$33*(IF(Presion_cilindro!N584&gt;(-J$4+Presion_cilindro!$B$34),1-EXP(-Presion_cilindro!$B$16*((Presion_cilindro!N584-(-J$4+Presion_cilindro!$B$34))/Presion_cilindro!$B$35)^(Presion_cilindro!$B$17+1)),0)-IF(Presion_cilindro!N583&gt;(-J$4+Presion_cilindro!$B$34),1-EXP(-Presion_cilindro!$B$16*((Presion_cilindro!N583-(-J$4+Presion_cilindro!$B$34))/Presion_cilindro!$B$35)^(Presion_cilindro!$B$17+1)),0))/((Presion_cilindro!O583+Presion_cilindro!O584)/2)</f>
        <v>3.2478124569331084</v>
      </c>
      <c r="K592" s="27">
        <f>K591*(Presion_cilindro!O583/Presion_cilindro!O584)^Presion_cilindro!$B$9+10*(Presion_cilindro!$B$9-1)*Presion_cilindro!$B$33*(IF(Presion_cilindro!N584&gt;(-K$4+Presion_cilindro!$B$34),1-EXP(-Presion_cilindro!$B$16*((Presion_cilindro!N584-(-K$4+Presion_cilindro!$B$34))/Presion_cilindro!$B$35)^(Presion_cilindro!$B$17+1)),0)-IF(Presion_cilindro!N583&gt;(-K$4+Presion_cilindro!$B$34),1-EXP(-Presion_cilindro!$B$16*((Presion_cilindro!N583-(-K$4+Presion_cilindro!$B$34))/Presion_cilindro!$B$35)^(Presion_cilindro!$B$17+1)),0))/((Presion_cilindro!O583+Presion_cilindro!O584)/2)</f>
        <v>3.2915799540294914</v>
      </c>
      <c r="L592" s="27">
        <f>L591*(Presion_cilindro!O583/Presion_cilindro!O584)^Presion_cilindro!$B$9+10*(Presion_cilindro!$B$9-1)*Presion_cilindro!$B$33*(IF(Presion_cilindro!N584&gt;(-L$4+Presion_cilindro!$B$34),1-EXP(-Presion_cilindro!$B$16*((Presion_cilindro!N584-(-L$4+Presion_cilindro!$B$34))/Presion_cilindro!$B$35)^(Presion_cilindro!$B$17+1)),0)-IF(Presion_cilindro!N583&gt;(-L$4+Presion_cilindro!$B$34),1-EXP(-Presion_cilindro!$B$16*((Presion_cilindro!N583-(-L$4+Presion_cilindro!$B$34))/Presion_cilindro!$B$35)^(Presion_cilindro!$B$17+1)),0))/((Presion_cilindro!O583+Presion_cilindro!O584)/2)</f>
        <v>3.3578766477514517</v>
      </c>
      <c r="M592" s="27">
        <f>M591*(Presion_cilindro!O583/Presion_cilindro!O584)^Presion_cilindro!$B$9+10*(Presion_cilindro!$B$9-1)*Presion_cilindro!$B$33*(IF(Presion_cilindro!N584&gt;(-M$4+Presion_cilindro!$B$34),1-EXP(-Presion_cilindro!$B$16*((Presion_cilindro!N584-(-M$4+Presion_cilindro!$B$34))/Presion_cilindro!$B$35)^(Presion_cilindro!$B$17+1)),0)-IF(Presion_cilindro!N583&gt;(-M$4+Presion_cilindro!$B$34),1-EXP(-Presion_cilindro!$B$16*((Presion_cilindro!N583-(-M$4+Presion_cilindro!$B$34))/Presion_cilindro!$B$35)^(Presion_cilindro!$B$17+1)),0))/((Presion_cilindro!O583+Presion_cilindro!O584)/2)</f>
        <v>3.4428530320250528</v>
      </c>
      <c r="N592" s="27">
        <f>N591*(Presion_cilindro!O583/Presion_cilindro!O584)^Presion_cilindro!$B$9+10*(Presion_cilindro!$B$9-1)*Presion_cilindro!$B$33*(IF(Presion_cilindro!N584&gt;(-N$4+Presion_cilindro!$B$34),1-EXP(-Presion_cilindro!$B$16*((Presion_cilindro!N584-(-N$4+Presion_cilindro!$B$34))/Presion_cilindro!$B$35)^(Presion_cilindro!$B$17+1)),0)-IF(Presion_cilindro!N583&gt;(-N$4+Presion_cilindro!$B$34),1-EXP(-Presion_cilindro!$B$16*((Presion_cilindro!N583-(-N$4+Presion_cilindro!$B$34))/Presion_cilindro!$B$35)^(Presion_cilindro!$B$17+1)),0))/((Presion_cilindro!O583+Presion_cilindro!O584)/2)</f>
        <v>3.5422464786591576</v>
      </c>
    </row>
    <row r="593" spans="1:14" x14ac:dyDescent="0.25">
      <c r="A593" s="21">
        <f>Presion_cilindro!N585</f>
        <v>110.5</v>
      </c>
      <c r="B593" s="27">
        <f>B592*(Presion_cilindro!O584/Presion_cilindro!O585)^Presion_cilindro!$B$9+10*(Presion_cilindro!$B$9-1)*Presion_cilindro!$B$33*(IF(Presion_cilindro!N585&gt;(-B$4+Presion_cilindro!$B$34),1-EXP(-Presion_cilindro!$B$16*((Presion_cilindro!N585-(-B$4+Presion_cilindro!$B$34))/Presion_cilindro!$B$35)^(Presion_cilindro!$B$17+1)),0)-IF(Presion_cilindro!N584&gt;(-B$4+Presion_cilindro!$B$34),1-EXP(-Presion_cilindro!$B$16*((Presion_cilindro!N584-(-B$4+Presion_cilindro!$B$34))/Presion_cilindro!$B$35)^(Presion_cilindro!$B$17+1)),0))/((Presion_cilindro!O584+Presion_cilindro!O585)/2)</f>
        <v>3.7036441040742178</v>
      </c>
      <c r="C593" s="27">
        <f>C592*(Presion_cilindro!O584/Presion_cilindro!O585)^Presion_cilindro!$B$9+10*(Presion_cilindro!$B$9-1)*Presion_cilindro!$B$33*(IF(Presion_cilindro!N585&gt;(-C$4+Presion_cilindro!$B$34),1-EXP(-Presion_cilindro!$B$16*((Presion_cilindro!N585-(-C$4+Presion_cilindro!$B$34))/Presion_cilindro!$B$35)^(Presion_cilindro!$B$17+1)),0)-IF(Presion_cilindro!N584&gt;(-C$4+Presion_cilindro!$B$34),1-EXP(-Presion_cilindro!$B$16*((Presion_cilindro!N584-(-C$4+Presion_cilindro!$B$34))/Presion_cilindro!$B$35)^(Presion_cilindro!$B$17+1)),0))/((Presion_cilindro!O584+Presion_cilindro!O585)/2)</f>
        <v>3.5897801521474539</v>
      </c>
      <c r="D593" s="27">
        <f>D592*(Presion_cilindro!O584/Presion_cilindro!O585)^Presion_cilindro!$B$9+10*(Presion_cilindro!$B$9-1)*Presion_cilindro!$B$33*(IF(Presion_cilindro!N585&gt;(-D$4+Presion_cilindro!$B$34),1-EXP(-Presion_cilindro!$B$16*((Presion_cilindro!N585-(-D$4+Presion_cilindro!$B$34))/Presion_cilindro!$B$35)^(Presion_cilindro!$B$17+1)),0)-IF(Presion_cilindro!N584&gt;(-D$4+Presion_cilindro!$B$34),1-EXP(-Presion_cilindro!$B$16*((Presion_cilindro!N584-(-D$4+Presion_cilindro!$B$34))/Presion_cilindro!$B$35)^(Presion_cilindro!$B$17+1)),0))/((Presion_cilindro!O584+Presion_cilindro!O585)/2)</f>
        <v>3.4837325202611096</v>
      </c>
      <c r="E593" s="27">
        <f>E592*(Presion_cilindro!O584/Presion_cilindro!O585)^Presion_cilindro!$B$9+10*(Presion_cilindro!$B$9-1)*Presion_cilindro!$B$33*(IF(Presion_cilindro!N585&gt;(-E$4+Presion_cilindro!$B$34),1-EXP(-Presion_cilindro!$B$16*((Presion_cilindro!N585-(-E$4+Presion_cilindro!$B$34))/Presion_cilindro!$B$35)^(Presion_cilindro!$B$17+1)),0)-IF(Presion_cilindro!N584&gt;(-E$4+Presion_cilindro!$B$34),1-EXP(-Presion_cilindro!$B$16*((Presion_cilindro!N584-(-E$4+Presion_cilindro!$B$34))/Presion_cilindro!$B$35)^(Presion_cilindro!$B$17+1)),0))/((Presion_cilindro!O584+Presion_cilindro!O585)/2)</f>
        <v>3.3894463131438961</v>
      </c>
      <c r="F593" s="27">
        <f>F592*(Presion_cilindro!O584/Presion_cilindro!O585)^Presion_cilindro!$B$9+10*(Presion_cilindro!$B$9-1)*Presion_cilindro!$B$33*(IF(Presion_cilindro!N585&gt;(-F$4+Presion_cilindro!$B$34),1-EXP(-Presion_cilindro!$B$16*((Presion_cilindro!N585-(-F$4+Presion_cilindro!$B$34))/Presion_cilindro!$B$35)^(Presion_cilindro!$B$17+1)),0)-IF(Presion_cilindro!N584&gt;(-F$4+Presion_cilindro!$B$34),1-EXP(-Presion_cilindro!$B$16*((Presion_cilindro!N584-(-F$4+Presion_cilindro!$B$34))/Presion_cilindro!$B$35)^(Presion_cilindro!$B$17+1)),0))/((Presion_cilindro!O584+Presion_cilindro!O585)/2)</f>
        <v>3.3112192603761255</v>
      </c>
      <c r="G593" s="27">
        <f>G592*(Presion_cilindro!O584/Presion_cilindro!O585)^Presion_cilindro!$B$9+10*(Presion_cilindro!$B$9-1)*Presion_cilindro!$B$33*(IF(Presion_cilindro!N585&gt;(-G$4+Presion_cilindro!$B$34),1-EXP(-Presion_cilindro!$B$16*((Presion_cilindro!N585-(-G$4+Presion_cilindro!$B$34))/Presion_cilindro!$B$35)^(Presion_cilindro!$B$17+1)),0)-IF(Presion_cilindro!N584&gt;(-G$4+Presion_cilindro!$B$34),1-EXP(-Presion_cilindro!$B$16*((Presion_cilindro!N584-(-G$4+Presion_cilindro!$B$34))/Presion_cilindro!$B$35)^(Presion_cilindro!$B$17+1)),0))/((Presion_cilindro!O584+Presion_cilindro!O585)/2)</f>
        <v>3.2532539325841054</v>
      </c>
      <c r="H593" s="27">
        <f>H592*(Presion_cilindro!O584/Presion_cilindro!O585)^Presion_cilindro!$B$9+10*(Presion_cilindro!$B$9-1)*Presion_cilindro!$B$33*(IF(Presion_cilindro!N585&gt;(-H$4+Presion_cilindro!$B$34),1-EXP(-Presion_cilindro!$B$16*((Presion_cilindro!N585-(-H$4+Presion_cilindro!$B$34))/Presion_cilindro!$B$35)^(Presion_cilindro!$B$17+1)),0)-IF(Presion_cilindro!N584&gt;(-H$4+Presion_cilindro!$B$34),1-EXP(-Presion_cilindro!$B$16*((Presion_cilindro!N584-(-H$4+Presion_cilindro!$B$34))/Presion_cilindro!$B$35)^(Presion_cilindro!$B$17+1)),0))/((Presion_cilindro!O584+Presion_cilindro!O585)/2)</f>
        <v>3.2190609551352387</v>
      </c>
      <c r="I593" s="27">
        <f>I592*(Presion_cilindro!O584/Presion_cilindro!O585)^Presion_cilindro!$B$9+10*(Presion_cilindro!$B$9-1)*Presion_cilindro!$B$33*(IF(Presion_cilindro!N585&gt;(-I$4+Presion_cilindro!$B$34),1-EXP(-Presion_cilindro!$B$16*((Presion_cilindro!N585-(-I$4+Presion_cilindro!$B$34))/Presion_cilindro!$B$35)^(Presion_cilindro!$B$17+1)),0)-IF(Presion_cilindro!N584&gt;(-I$4+Presion_cilindro!$B$34),1-EXP(-Presion_cilindro!$B$16*((Presion_cilindro!N584-(-I$4+Presion_cilindro!$B$34))/Presion_cilindro!$B$35)^(Presion_cilindro!$B$17+1)),0))/((Presion_cilindro!O584+Presion_cilindro!O585)/2)</f>
        <v>3.21085901376098</v>
      </c>
      <c r="J593" s="27">
        <f>J592*(Presion_cilindro!O584/Presion_cilindro!O585)^Presion_cilindro!$B$9+10*(Presion_cilindro!$B$9-1)*Presion_cilindro!$B$33*(IF(Presion_cilindro!N585&gt;(-J$4+Presion_cilindro!$B$34),1-EXP(-Presion_cilindro!$B$16*((Presion_cilindro!N585-(-J$4+Presion_cilindro!$B$34))/Presion_cilindro!$B$35)^(Presion_cilindro!$B$17+1)),0)-IF(Presion_cilindro!N584&gt;(-J$4+Presion_cilindro!$B$34),1-EXP(-Presion_cilindro!$B$16*((Presion_cilindro!N584-(-J$4+Presion_cilindro!$B$34))/Presion_cilindro!$B$35)^(Presion_cilindro!$B$17+1)),0))/((Presion_cilindro!O584+Presion_cilindro!O585)/2)</f>
        <v>3.2291589420274445</v>
      </c>
      <c r="K593" s="27">
        <f>K592*(Presion_cilindro!O584/Presion_cilindro!O585)^Presion_cilindro!$B$9+10*(Presion_cilindro!$B$9-1)*Presion_cilindro!$B$33*(IF(Presion_cilindro!N585&gt;(-K$4+Presion_cilindro!$B$34),1-EXP(-Presion_cilindro!$B$16*((Presion_cilindro!N585-(-K$4+Presion_cilindro!$B$34))/Presion_cilindro!$B$35)^(Presion_cilindro!$B$17+1)),0)-IF(Presion_cilindro!N584&gt;(-K$4+Presion_cilindro!$B$34),1-EXP(-Presion_cilindro!$B$16*((Presion_cilindro!N584-(-K$4+Presion_cilindro!$B$34))/Presion_cilindro!$B$35)^(Presion_cilindro!$B$17+1)),0))/((Presion_cilindro!O584+Presion_cilindro!O585)/2)</f>
        <v>3.2726750644923492</v>
      </c>
      <c r="L593" s="27">
        <f>L592*(Presion_cilindro!O584/Presion_cilindro!O585)^Presion_cilindro!$B$9+10*(Presion_cilindro!$B$9-1)*Presion_cilindro!$B$33*(IF(Presion_cilindro!N585&gt;(-L$4+Presion_cilindro!$B$34),1-EXP(-Presion_cilindro!$B$16*((Presion_cilindro!N585-(-L$4+Presion_cilindro!$B$34))/Presion_cilindro!$B$35)^(Presion_cilindro!$B$17+1)),0)-IF(Presion_cilindro!N584&gt;(-L$4+Presion_cilindro!$B$34),1-EXP(-Presion_cilindro!$B$16*((Presion_cilindro!N584-(-L$4+Presion_cilindro!$B$34))/Presion_cilindro!$B$35)^(Presion_cilindro!$B$17+1)),0))/((Presion_cilindro!O584+Presion_cilindro!O585)/2)</f>
        <v>3.3385909891948735</v>
      </c>
      <c r="M593" s="27">
        <f>M592*(Presion_cilindro!O584/Presion_cilindro!O585)^Presion_cilindro!$B$9+10*(Presion_cilindro!$B$9-1)*Presion_cilindro!$B$33*(IF(Presion_cilindro!N585&gt;(-M$4+Presion_cilindro!$B$34),1-EXP(-Presion_cilindro!$B$16*((Presion_cilindro!N585-(-M$4+Presion_cilindro!$B$34))/Presion_cilindro!$B$35)^(Presion_cilindro!$B$17+1)),0)-IF(Presion_cilindro!N584&gt;(-M$4+Presion_cilindro!$B$34),1-EXP(-Presion_cilindro!$B$16*((Presion_cilindro!N584-(-M$4+Presion_cilindro!$B$34))/Presion_cilindro!$B$35)^(Presion_cilindro!$B$17+1)),0))/((Presion_cilindro!O584+Presion_cilindro!O585)/2)</f>
        <v>3.423079319348449</v>
      </c>
      <c r="N593" s="27">
        <f>N592*(Presion_cilindro!O584/Presion_cilindro!O585)^Presion_cilindro!$B$9+10*(Presion_cilindro!$B$9-1)*Presion_cilindro!$B$33*(IF(Presion_cilindro!N585&gt;(-N$4+Presion_cilindro!$B$34),1-EXP(-Presion_cilindro!$B$16*((Presion_cilindro!N585-(-N$4+Presion_cilindro!$B$34))/Presion_cilindro!$B$35)^(Presion_cilindro!$B$17+1)),0)-IF(Presion_cilindro!N584&gt;(-N$4+Presion_cilindro!$B$34),1-EXP(-Presion_cilindro!$B$16*((Presion_cilindro!N584-(-N$4+Presion_cilindro!$B$34))/Presion_cilindro!$B$35)^(Presion_cilindro!$B$17+1)),0))/((Presion_cilindro!O584+Presion_cilindro!O585)/2)</f>
        <v>3.5219019087785437</v>
      </c>
    </row>
    <row r="594" spans="1:14" x14ac:dyDescent="0.25">
      <c r="A594" s="21">
        <f>Presion_cilindro!N586</f>
        <v>111</v>
      </c>
      <c r="B594" s="27">
        <f>B593*(Presion_cilindro!O585/Presion_cilindro!O586)^Presion_cilindro!$B$9+10*(Presion_cilindro!$B$9-1)*Presion_cilindro!$B$33*(IF(Presion_cilindro!N586&gt;(-B$4+Presion_cilindro!$B$34),1-EXP(-Presion_cilindro!$B$16*((Presion_cilindro!N586-(-B$4+Presion_cilindro!$B$34))/Presion_cilindro!$B$35)^(Presion_cilindro!$B$17+1)),0)-IF(Presion_cilindro!N585&gt;(-B$4+Presion_cilindro!$B$34),1-EXP(-Presion_cilindro!$B$16*((Presion_cilindro!N585-(-B$4+Presion_cilindro!$B$34))/Presion_cilindro!$B$35)^(Presion_cilindro!$B$17+1)),0))/((Presion_cilindro!O585+Presion_cilindro!O586)/2)</f>
        <v>3.6825888006378826</v>
      </c>
      <c r="C594" s="27">
        <f>C593*(Presion_cilindro!O585/Presion_cilindro!O586)^Presion_cilindro!$B$9+10*(Presion_cilindro!$B$9-1)*Presion_cilindro!$B$33*(IF(Presion_cilindro!N586&gt;(-C$4+Presion_cilindro!$B$34),1-EXP(-Presion_cilindro!$B$16*((Presion_cilindro!N586-(-C$4+Presion_cilindro!$B$34))/Presion_cilindro!$B$35)^(Presion_cilindro!$B$17+1)),0)-IF(Presion_cilindro!N585&gt;(-C$4+Presion_cilindro!$B$34),1-EXP(-Presion_cilindro!$B$16*((Presion_cilindro!N585-(-C$4+Presion_cilindro!$B$34))/Presion_cilindro!$B$35)^(Presion_cilindro!$B$17+1)),0))/((Presion_cilindro!O585+Presion_cilindro!O586)/2)</f>
        <v>3.5693721679434502</v>
      </c>
      <c r="D594" s="27">
        <f>D593*(Presion_cilindro!O585/Presion_cilindro!O586)^Presion_cilindro!$B$9+10*(Presion_cilindro!$B$9-1)*Presion_cilindro!$B$33*(IF(Presion_cilindro!N586&gt;(-D$4+Presion_cilindro!$B$34),1-EXP(-Presion_cilindro!$B$16*((Presion_cilindro!N586-(-D$4+Presion_cilindro!$B$34))/Presion_cilindro!$B$35)^(Presion_cilindro!$B$17+1)),0)-IF(Presion_cilindro!N585&gt;(-D$4+Presion_cilindro!$B$34),1-EXP(-Presion_cilindro!$B$16*((Presion_cilindro!N585-(-D$4+Presion_cilindro!$B$34))/Presion_cilindro!$B$35)^(Presion_cilindro!$B$17+1)),0))/((Presion_cilindro!O585+Presion_cilindro!O586)/2)</f>
        <v>3.4639274193270224</v>
      </c>
      <c r="E594" s="27">
        <f>E593*(Presion_cilindro!O585/Presion_cilindro!O586)^Presion_cilindro!$B$9+10*(Presion_cilindro!$B$9-1)*Presion_cilindro!$B$33*(IF(Presion_cilindro!N586&gt;(-E$4+Presion_cilindro!$B$34),1-EXP(-Presion_cilindro!$B$16*((Presion_cilindro!N586-(-E$4+Presion_cilindro!$B$34))/Presion_cilindro!$B$35)^(Presion_cilindro!$B$17+1)),0)-IF(Presion_cilindro!N585&gt;(-E$4+Presion_cilindro!$B$34),1-EXP(-Presion_cilindro!$B$16*((Presion_cilindro!N585-(-E$4+Presion_cilindro!$B$34))/Presion_cilindro!$B$35)^(Presion_cilindro!$B$17+1)),0))/((Presion_cilindro!O585+Presion_cilindro!O586)/2)</f>
        <v>3.3701772315045706</v>
      </c>
      <c r="F594" s="27">
        <f>F593*(Presion_cilindro!O585/Presion_cilindro!O586)^Presion_cilindro!$B$9+10*(Presion_cilindro!$B$9-1)*Presion_cilindro!$B$33*(IF(Presion_cilindro!N586&gt;(-F$4+Presion_cilindro!$B$34),1-EXP(-Presion_cilindro!$B$16*((Presion_cilindro!N586-(-F$4+Presion_cilindro!$B$34))/Presion_cilindro!$B$35)^(Presion_cilindro!$B$17+1)),0)-IF(Presion_cilindro!N585&gt;(-F$4+Presion_cilindro!$B$34),1-EXP(-Presion_cilindro!$B$16*((Presion_cilindro!N585-(-F$4+Presion_cilindro!$B$34))/Presion_cilindro!$B$35)^(Presion_cilindro!$B$17+1)),0))/((Presion_cilindro!O585+Presion_cilindro!O586)/2)</f>
        <v>3.2923949013631302</v>
      </c>
      <c r="G594" s="27">
        <f>G593*(Presion_cilindro!O585/Presion_cilindro!O586)^Presion_cilindro!$B$9+10*(Presion_cilindro!$B$9-1)*Presion_cilindro!$B$33*(IF(Presion_cilindro!N586&gt;(-G$4+Presion_cilindro!$B$34),1-EXP(-Presion_cilindro!$B$16*((Presion_cilindro!N586-(-G$4+Presion_cilindro!$B$34))/Presion_cilindro!$B$35)^(Presion_cilindro!$B$17+1)),0)-IF(Presion_cilindro!N585&gt;(-G$4+Presion_cilindro!$B$34),1-EXP(-Presion_cilindro!$B$16*((Presion_cilindro!N585-(-G$4+Presion_cilindro!$B$34))/Presion_cilindro!$B$35)^(Presion_cilindro!$B$17+1)),0))/((Presion_cilindro!O585+Presion_cilindro!O586)/2)</f>
        <v>3.2347591078166129</v>
      </c>
      <c r="H594" s="27">
        <f>H593*(Presion_cilindro!O585/Presion_cilindro!O586)^Presion_cilindro!$B$9+10*(Presion_cilindro!$B$9-1)*Presion_cilindro!$B$33*(IF(Presion_cilindro!N586&gt;(-H$4+Presion_cilindro!$B$34),1-EXP(-Presion_cilindro!$B$16*((Presion_cilindro!N586-(-H$4+Presion_cilindro!$B$34))/Presion_cilindro!$B$35)^(Presion_cilindro!$B$17+1)),0)-IF(Presion_cilindro!N585&gt;(-H$4+Presion_cilindro!$B$34),1-EXP(-Presion_cilindro!$B$16*((Presion_cilindro!N585-(-H$4+Presion_cilindro!$B$34))/Presion_cilindro!$B$35)^(Presion_cilindro!$B$17+1)),0))/((Presion_cilindro!O585+Presion_cilindro!O586)/2)</f>
        <v>3.2007605182450227</v>
      </c>
      <c r="I594" s="27">
        <f>I593*(Presion_cilindro!O585/Presion_cilindro!O586)^Presion_cilindro!$B$9+10*(Presion_cilindro!$B$9-1)*Presion_cilindro!$B$33*(IF(Presion_cilindro!N586&gt;(-I$4+Presion_cilindro!$B$34),1-EXP(-Presion_cilindro!$B$16*((Presion_cilindro!N586-(-I$4+Presion_cilindro!$B$34))/Presion_cilindro!$B$35)^(Presion_cilindro!$B$17+1)),0)-IF(Presion_cilindro!N585&gt;(-I$4+Presion_cilindro!$B$34),1-EXP(-Presion_cilindro!$B$16*((Presion_cilindro!N585-(-I$4+Presion_cilindro!$B$34))/Presion_cilindro!$B$35)^(Presion_cilindro!$B$17+1)),0))/((Presion_cilindro!O585+Presion_cilindro!O586)/2)</f>
        <v>3.1926052050994893</v>
      </c>
      <c r="J594" s="27">
        <f>J593*(Presion_cilindro!O585/Presion_cilindro!O586)^Presion_cilindro!$B$9+10*(Presion_cilindro!$B$9-1)*Presion_cilindro!$B$33*(IF(Presion_cilindro!N586&gt;(-J$4+Presion_cilindro!$B$34),1-EXP(-Presion_cilindro!$B$16*((Presion_cilindro!N586-(-J$4+Presion_cilindro!$B$34))/Presion_cilindro!$B$35)^(Presion_cilindro!$B$17+1)),0)-IF(Presion_cilindro!N585&gt;(-J$4+Presion_cilindro!$B$34),1-EXP(-Presion_cilindro!$B$16*((Presion_cilindro!N585-(-J$4+Presion_cilindro!$B$34))/Presion_cilindro!$B$35)^(Presion_cilindro!$B$17+1)),0))/((Presion_cilindro!O585+Presion_cilindro!O586)/2)</f>
        <v>3.2108010978453461</v>
      </c>
      <c r="K594" s="27">
        <f>K593*(Presion_cilindro!O585/Presion_cilindro!O586)^Presion_cilindro!$B$9+10*(Presion_cilindro!$B$9-1)*Presion_cilindro!$B$33*(IF(Presion_cilindro!N586&gt;(-K$4+Presion_cilindro!$B$34),1-EXP(-Presion_cilindro!$B$16*((Presion_cilindro!N586-(-K$4+Presion_cilindro!$B$34))/Presion_cilindro!$B$35)^(Presion_cilindro!$B$17+1)),0)-IF(Presion_cilindro!N585&gt;(-K$4+Presion_cilindro!$B$34),1-EXP(-Presion_cilindro!$B$16*((Presion_cilindro!N585-(-K$4+Presion_cilindro!$B$34))/Presion_cilindro!$B$35)^(Presion_cilindro!$B$17+1)),0))/((Presion_cilindro!O585+Presion_cilindro!O586)/2)</f>
        <v>3.2540698301352973</v>
      </c>
      <c r="L594" s="27">
        <f>L593*(Presion_cilindro!O585/Presion_cilindro!O586)^Presion_cilindro!$B$9+10*(Presion_cilindro!$B$9-1)*Presion_cilindro!$B$33*(IF(Presion_cilindro!N586&gt;(-L$4+Presion_cilindro!$B$34),1-EXP(-Presion_cilindro!$B$16*((Presion_cilindro!N586-(-L$4+Presion_cilindro!$B$34))/Presion_cilindro!$B$35)^(Presion_cilindro!$B$17+1)),0)-IF(Presion_cilindro!N585&gt;(-L$4+Presion_cilindro!$B$34),1-EXP(-Presion_cilindro!$B$16*((Presion_cilindro!N585-(-L$4+Presion_cilindro!$B$34))/Presion_cilindro!$B$35)^(Presion_cilindro!$B$17+1)),0))/((Presion_cilindro!O585+Presion_cilindro!O586)/2)</f>
        <v>3.3196110212627539</v>
      </c>
      <c r="M594" s="27">
        <f>M593*(Presion_cilindro!O585/Presion_cilindro!O586)^Presion_cilindro!$B$9+10*(Presion_cilindro!$B$9-1)*Presion_cilindro!$B$33*(IF(Presion_cilindro!N586&gt;(-M$4+Presion_cilindro!$B$34),1-EXP(-Presion_cilindro!$B$16*((Presion_cilindro!N586-(-M$4+Presion_cilindro!$B$34))/Presion_cilindro!$B$35)^(Presion_cilindro!$B$17+1)),0)-IF(Presion_cilindro!N585&gt;(-M$4+Presion_cilindro!$B$34),1-EXP(-Presion_cilindro!$B$16*((Presion_cilindro!N585-(-M$4+Presion_cilindro!$B$34))/Presion_cilindro!$B$35)^(Presion_cilindro!$B$17+1)),0))/((Presion_cilindro!O585+Presion_cilindro!O586)/2)</f>
        <v>3.4036190332814806</v>
      </c>
      <c r="N594" s="27">
        <f>N593*(Presion_cilindro!O585/Presion_cilindro!O586)^Presion_cilindro!$B$9+10*(Presion_cilindro!$B$9-1)*Presion_cilindro!$B$33*(IF(Presion_cilindro!N586&gt;(-N$4+Presion_cilindro!$B$34),1-EXP(-Presion_cilindro!$B$16*((Presion_cilindro!N586-(-N$4+Presion_cilindro!$B$34))/Presion_cilindro!$B$35)^(Presion_cilindro!$B$17+1)),0)-IF(Presion_cilindro!N585&gt;(-N$4+Presion_cilindro!$B$34),1-EXP(-Presion_cilindro!$B$16*((Presion_cilindro!N585-(-N$4+Presion_cilindro!$B$34))/Presion_cilindro!$B$35)^(Presion_cilindro!$B$17+1)),0))/((Presion_cilindro!O585+Presion_cilindro!O586)/2)</f>
        <v>3.5018798139771654</v>
      </c>
    </row>
    <row r="595" spans="1:14" x14ac:dyDescent="0.25">
      <c r="A595" s="21">
        <f>Presion_cilindro!N587</f>
        <v>111.5</v>
      </c>
      <c r="B595" s="27">
        <f>B594*(Presion_cilindro!O586/Presion_cilindro!O587)^Presion_cilindro!$B$9+10*(Presion_cilindro!$B$9-1)*Presion_cilindro!$B$33*(IF(Presion_cilindro!N587&gt;(-B$4+Presion_cilindro!$B$34),1-EXP(-Presion_cilindro!$B$16*((Presion_cilindro!N587-(-B$4+Presion_cilindro!$B$34))/Presion_cilindro!$B$35)^(Presion_cilindro!$B$17+1)),0)-IF(Presion_cilindro!N586&gt;(-B$4+Presion_cilindro!$B$34),1-EXP(-Presion_cilindro!$B$16*((Presion_cilindro!N586-(-B$4+Presion_cilindro!$B$34))/Presion_cilindro!$B$35)^(Presion_cilindro!$B$17+1)),0))/((Presion_cilindro!O586+Presion_cilindro!O587)/2)</f>
        <v>3.6618668403332864</v>
      </c>
      <c r="C595" s="27">
        <f>C594*(Presion_cilindro!O586/Presion_cilindro!O587)^Presion_cilindro!$B$9+10*(Presion_cilindro!$B$9-1)*Presion_cilindro!$B$33*(IF(Presion_cilindro!N587&gt;(-C$4+Presion_cilindro!$B$34),1-EXP(-Presion_cilindro!$B$16*((Presion_cilindro!N587-(-C$4+Presion_cilindro!$B$34))/Presion_cilindro!$B$35)^(Presion_cilindro!$B$17+1)),0)-IF(Presion_cilindro!N586&gt;(-C$4+Presion_cilindro!$B$34),1-EXP(-Presion_cilindro!$B$16*((Presion_cilindro!N586-(-C$4+Presion_cilindro!$B$34))/Presion_cilindro!$B$35)^(Presion_cilindro!$B$17+1)),0))/((Presion_cilindro!O586+Presion_cilindro!O587)/2)</f>
        <v>3.5492872786493637</v>
      </c>
      <c r="D595" s="27">
        <f>D594*(Presion_cilindro!O586/Presion_cilindro!O587)^Presion_cilindro!$B$9+10*(Presion_cilindro!$B$9-1)*Presion_cilindro!$B$33*(IF(Presion_cilindro!N587&gt;(-D$4+Presion_cilindro!$B$34),1-EXP(-Presion_cilindro!$B$16*((Presion_cilindro!N587-(-D$4+Presion_cilindro!$B$34))/Presion_cilindro!$B$35)^(Presion_cilindro!$B$17+1)),0)-IF(Presion_cilindro!N586&gt;(-D$4+Presion_cilindro!$B$34),1-EXP(-Presion_cilindro!$B$16*((Presion_cilindro!N586-(-D$4+Presion_cilindro!$B$34))/Presion_cilindro!$B$35)^(Presion_cilindro!$B$17+1)),0))/((Presion_cilindro!O586+Presion_cilindro!O587)/2)</f>
        <v>3.4444358685818339</v>
      </c>
      <c r="E595" s="27">
        <f>E594*(Presion_cilindro!O586/Presion_cilindro!O587)^Presion_cilindro!$B$9+10*(Presion_cilindro!$B$9-1)*Presion_cilindro!$B$33*(IF(Presion_cilindro!N587&gt;(-E$4+Presion_cilindro!$B$34),1-EXP(-Presion_cilindro!$B$16*((Presion_cilindro!N587-(-E$4+Presion_cilindro!$B$34))/Presion_cilindro!$B$35)^(Presion_cilindro!$B$17+1)),0)-IF(Presion_cilindro!N586&gt;(-E$4+Presion_cilindro!$B$34),1-EXP(-Presion_cilindro!$B$16*((Presion_cilindro!N586-(-E$4+Presion_cilindro!$B$34))/Presion_cilindro!$B$35)^(Presion_cilindro!$B$17+1)),0))/((Presion_cilindro!O586+Presion_cilindro!O587)/2)</f>
        <v>3.3512132139095043</v>
      </c>
      <c r="F595" s="27">
        <f>F594*(Presion_cilindro!O586/Presion_cilindro!O587)^Presion_cilindro!$B$9+10*(Presion_cilindro!$B$9-1)*Presion_cilindro!$B$33*(IF(Presion_cilindro!N587&gt;(-F$4+Presion_cilindro!$B$34),1-EXP(-Presion_cilindro!$B$16*((Presion_cilindro!N587-(-F$4+Presion_cilindro!$B$34))/Presion_cilindro!$B$35)^(Presion_cilindro!$B$17+1)),0)-IF(Presion_cilindro!N586&gt;(-F$4+Presion_cilindro!$B$34),1-EXP(-Presion_cilindro!$B$16*((Presion_cilindro!N586-(-F$4+Presion_cilindro!$B$34))/Presion_cilindro!$B$35)^(Presion_cilindro!$B$17+1)),0))/((Presion_cilindro!O586+Presion_cilindro!O587)/2)</f>
        <v>3.2738685656393907</v>
      </c>
      <c r="G595" s="27">
        <f>G594*(Presion_cilindro!O586/Presion_cilindro!O587)^Presion_cilindro!$B$9+10*(Presion_cilindro!$B$9-1)*Presion_cilindro!$B$33*(IF(Presion_cilindro!N587&gt;(-G$4+Presion_cilindro!$B$34),1-EXP(-Presion_cilindro!$B$16*((Presion_cilindro!N587-(-G$4+Presion_cilindro!$B$34))/Presion_cilindro!$B$35)^(Presion_cilindro!$B$17+1)),0)-IF(Presion_cilindro!N586&gt;(-G$4+Presion_cilindro!$B$34),1-EXP(-Presion_cilindro!$B$16*((Presion_cilindro!N586-(-G$4+Presion_cilindro!$B$34))/Presion_cilindro!$B$35)^(Presion_cilindro!$B$17+1)),0))/((Presion_cilindro!O586+Presion_cilindro!O587)/2)</f>
        <v>3.2165570892215705</v>
      </c>
      <c r="H595" s="27">
        <f>H594*(Presion_cilindro!O586/Presion_cilindro!O587)^Presion_cilindro!$B$9+10*(Presion_cilindro!$B$9-1)*Presion_cilindro!$B$33*(IF(Presion_cilindro!N587&gt;(-H$4+Presion_cilindro!$B$34),1-EXP(-Presion_cilindro!$B$16*((Presion_cilindro!N587-(-H$4+Presion_cilindro!$B$34))/Presion_cilindro!$B$35)^(Presion_cilindro!$B$17+1)),0)-IF(Presion_cilindro!N586&gt;(-H$4+Presion_cilindro!$B$34),1-EXP(-Presion_cilindro!$B$16*((Presion_cilindro!N586-(-H$4+Presion_cilindro!$B$34))/Presion_cilindro!$B$35)^(Presion_cilindro!$B$17+1)),0))/((Presion_cilindro!O586+Presion_cilindro!O587)/2)</f>
        <v>3.182749810019303</v>
      </c>
      <c r="I595" s="27">
        <f>I594*(Presion_cilindro!O586/Presion_cilindro!O587)^Presion_cilindro!$B$9+10*(Presion_cilindro!$B$9-1)*Presion_cilindro!$B$33*(IF(Presion_cilindro!N587&gt;(-I$4+Presion_cilindro!$B$34),1-EXP(-Presion_cilindro!$B$16*((Presion_cilindro!N587-(-I$4+Presion_cilindro!$B$34))/Presion_cilindro!$B$35)^(Presion_cilindro!$B$17+1)),0)-IF(Presion_cilindro!N586&gt;(-I$4+Presion_cilindro!$B$34),1-EXP(-Presion_cilindro!$B$16*((Presion_cilindro!N586-(-I$4+Presion_cilindro!$B$34))/Presion_cilindro!$B$35)^(Presion_cilindro!$B$17+1)),0))/((Presion_cilindro!O586+Presion_cilindro!O587)/2)</f>
        <v>3.1746403868941933</v>
      </c>
      <c r="J595" s="27">
        <f>J594*(Presion_cilindro!O586/Presion_cilindro!O587)^Presion_cilindro!$B$9+10*(Presion_cilindro!$B$9-1)*Presion_cilindro!$B$33*(IF(Presion_cilindro!N587&gt;(-J$4+Presion_cilindro!$B$34),1-EXP(-Presion_cilindro!$B$16*((Presion_cilindro!N587-(-J$4+Presion_cilindro!$B$34))/Presion_cilindro!$B$35)^(Presion_cilindro!$B$17+1)),0)-IF(Presion_cilindro!N586&gt;(-J$4+Presion_cilindro!$B$34),1-EXP(-Presion_cilindro!$B$16*((Presion_cilindro!N586-(-J$4+Presion_cilindro!$B$34))/Presion_cilindro!$B$35)^(Presion_cilindro!$B$17+1)),0))/((Presion_cilindro!O586+Presion_cilindro!O587)/2)</f>
        <v>3.1927338911879044</v>
      </c>
      <c r="K595" s="27">
        <f>K594*(Presion_cilindro!O586/Presion_cilindro!O587)^Presion_cilindro!$B$9+10*(Presion_cilindro!$B$9-1)*Presion_cilindro!$B$33*(IF(Presion_cilindro!N587&gt;(-K$4+Presion_cilindro!$B$34),1-EXP(-Presion_cilindro!$B$16*((Presion_cilindro!N587-(-K$4+Presion_cilindro!$B$34))/Presion_cilindro!$B$35)^(Presion_cilindro!$B$17+1)),0)-IF(Presion_cilindro!N586&gt;(-K$4+Presion_cilindro!$B$34),1-EXP(-Presion_cilindro!$B$16*((Presion_cilindro!N586-(-K$4+Presion_cilindro!$B$34))/Presion_cilindro!$B$35)^(Presion_cilindro!$B$17+1)),0))/((Presion_cilindro!O586+Presion_cilindro!O587)/2)</f>
        <v>3.235759149932075</v>
      </c>
      <c r="L595" s="27">
        <f>L594*(Presion_cilindro!O586/Presion_cilindro!O587)^Presion_cilindro!$B$9+10*(Presion_cilindro!$B$9-1)*Presion_cilindro!$B$33*(IF(Presion_cilindro!N587&gt;(-L$4+Presion_cilindro!$B$34),1-EXP(-Presion_cilindro!$B$16*((Presion_cilindro!N587-(-L$4+Presion_cilindro!$B$34))/Presion_cilindro!$B$35)^(Presion_cilindro!$B$17+1)),0)-IF(Presion_cilindro!N586&gt;(-L$4+Presion_cilindro!$B$34),1-EXP(-Presion_cilindro!$B$16*((Presion_cilindro!N586-(-L$4+Presion_cilindro!$B$34))/Presion_cilindro!$B$35)^(Presion_cilindro!$B$17+1)),0))/((Presion_cilindro!O586+Presion_cilindro!O587)/2)</f>
        <v>3.3009315401875408</v>
      </c>
      <c r="M595" s="27">
        <f>M594*(Presion_cilindro!O586/Presion_cilindro!O587)^Presion_cilindro!$B$9+10*(Presion_cilindro!$B$9-1)*Presion_cilindro!$B$33*(IF(Presion_cilindro!N587&gt;(-M$4+Presion_cilindro!$B$34),1-EXP(-Presion_cilindro!$B$16*((Presion_cilindro!N587-(-M$4+Presion_cilindro!$B$34))/Presion_cilindro!$B$35)^(Presion_cilindro!$B$17+1)),0)-IF(Presion_cilindro!N586&gt;(-M$4+Presion_cilindro!$B$34),1-EXP(-Presion_cilindro!$B$16*((Presion_cilindro!N586-(-M$4+Presion_cilindro!$B$34))/Presion_cilindro!$B$35)^(Presion_cilindro!$B$17+1)),0))/((Presion_cilindro!O586+Presion_cilindro!O587)/2)</f>
        <v>3.38446683836702</v>
      </c>
      <c r="N595" s="27">
        <f>N594*(Presion_cilindro!O586/Presion_cilindro!O587)^Presion_cilindro!$B$9+10*(Presion_cilindro!$B$9-1)*Presion_cilindro!$B$33*(IF(Presion_cilindro!N587&gt;(-N$4+Presion_cilindro!$B$34),1-EXP(-Presion_cilindro!$B$16*((Presion_cilindro!N587-(-N$4+Presion_cilindro!$B$34))/Presion_cilindro!$B$35)^(Presion_cilindro!$B$17+1)),0)-IF(Presion_cilindro!N586&gt;(-N$4+Presion_cilindro!$B$34),1-EXP(-Presion_cilindro!$B$16*((Presion_cilindro!N586-(-N$4+Presion_cilindro!$B$34))/Presion_cilindro!$B$35)^(Presion_cilindro!$B$17+1)),0))/((Presion_cilindro!O586+Presion_cilindro!O587)/2)</f>
        <v>3.4821747047659137</v>
      </c>
    </row>
    <row r="596" spans="1:14" x14ac:dyDescent="0.25">
      <c r="A596" s="21">
        <f>Presion_cilindro!N588</f>
        <v>112</v>
      </c>
      <c r="B596" s="27">
        <f>B595*(Presion_cilindro!O587/Presion_cilindro!O588)^Presion_cilindro!$B$9+10*(Presion_cilindro!$B$9-1)*Presion_cilindro!$B$33*(IF(Presion_cilindro!N588&gt;(-B$4+Presion_cilindro!$B$34),1-EXP(-Presion_cilindro!$B$16*((Presion_cilindro!N588-(-B$4+Presion_cilindro!$B$34))/Presion_cilindro!$B$35)^(Presion_cilindro!$B$17+1)),0)-IF(Presion_cilindro!N587&gt;(-B$4+Presion_cilindro!$B$34),1-EXP(-Presion_cilindro!$B$16*((Presion_cilindro!N587-(-B$4+Presion_cilindro!$B$34))/Presion_cilindro!$B$35)^(Presion_cilindro!$B$17+1)),0))/((Presion_cilindro!O587+Presion_cilindro!O588)/2)</f>
        <v>3.6414725741774574</v>
      </c>
      <c r="C596" s="27">
        <f>C595*(Presion_cilindro!O587/Presion_cilindro!O588)^Presion_cilindro!$B$9+10*(Presion_cilindro!$B$9-1)*Presion_cilindro!$B$33*(IF(Presion_cilindro!N588&gt;(-C$4+Presion_cilindro!$B$34),1-EXP(-Presion_cilindro!$B$16*((Presion_cilindro!N588-(-C$4+Presion_cilindro!$B$34))/Presion_cilindro!$B$35)^(Presion_cilindro!$B$17+1)),0)-IF(Presion_cilindro!N587&gt;(-C$4+Presion_cilindro!$B$34),1-EXP(-Presion_cilindro!$B$16*((Presion_cilindro!N587-(-C$4+Presion_cilindro!$B$34))/Presion_cilindro!$B$35)^(Presion_cilindro!$B$17+1)),0))/((Presion_cilindro!O587+Presion_cilindro!O588)/2)</f>
        <v>3.5295200089532091</v>
      </c>
      <c r="D596" s="27">
        <f>D595*(Presion_cilindro!O587/Presion_cilindro!O588)^Presion_cilindro!$B$9+10*(Presion_cilindro!$B$9-1)*Presion_cilindro!$B$33*(IF(Presion_cilindro!N588&gt;(-D$4+Presion_cilindro!$B$34),1-EXP(-Presion_cilindro!$B$16*((Presion_cilindro!N588-(-D$4+Presion_cilindro!$B$34))/Presion_cilindro!$B$35)^(Presion_cilindro!$B$17+1)),0)-IF(Presion_cilindro!N587&gt;(-D$4+Presion_cilindro!$B$34),1-EXP(-Presion_cilindro!$B$16*((Presion_cilindro!N587-(-D$4+Presion_cilindro!$B$34))/Presion_cilindro!$B$35)^(Presion_cilindro!$B$17+1)),0))/((Presion_cilindro!O587+Presion_cilindro!O588)/2)</f>
        <v>3.4252525544627033</v>
      </c>
      <c r="E596" s="27">
        <f>E595*(Presion_cilindro!O587/Presion_cilindro!O588)^Presion_cilindro!$B$9+10*(Presion_cilindro!$B$9-1)*Presion_cilindro!$B$33*(IF(Presion_cilindro!N588&gt;(-E$4+Presion_cilindro!$B$34),1-EXP(-Presion_cilindro!$B$16*((Presion_cilindro!N588-(-E$4+Presion_cilindro!$B$34))/Presion_cilindro!$B$35)^(Presion_cilindro!$B$17+1)),0)-IF(Presion_cilindro!N587&gt;(-E$4+Presion_cilindro!$B$34),1-EXP(-Presion_cilindro!$B$16*((Presion_cilindro!N587-(-E$4+Presion_cilindro!$B$34))/Presion_cilindro!$B$35)^(Presion_cilindro!$B$17+1)),0))/((Presion_cilindro!O587+Presion_cilindro!O588)/2)</f>
        <v>3.3325490906058888</v>
      </c>
      <c r="F596" s="27">
        <f>F595*(Presion_cilindro!O587/Presion_cilindro!O588)^Presion_cilindro!$B$9+10*(Presion_cilindro!$B$9-1)*Presion_cilindro!$B$33*(IF(Presion_cilindro!N588&gt;(-F$4+Presion_cilindro!$B$34),1-EXP(-Presion_cilindro!$B$16*((Presion_cilindro!N588-(-F$4+Presion_cilindro!$B$34))/Presion_cilindro!$B$35)^(Presion_cilindro!$B$17+1)),0)-IF(Presion_cilindro!N587&gt;(-F$4+Presion_cilindro!$B$34),1-EXP(-Presion_cilindro!$B$16*((Presion_cilindro!N587-(-F$4+Presion_cilindro!$B$34))/Presion_cilindro!$B$35)^(Presion_cilindro!$B$17+1)),0))/((Presion_cilindro!O587+Presion_cilindro!O588)/2)</f>
        <v>3.2556352027679063</v>
      </c>
      <c r="G596" s="27">
        <f>G595*(Presion_cilindro!O587/Presion_cilindro!O588)^Presion_cilindro!$B$9+10*(Presion_cilindro!$B$9-1)*Presion_cilindro!$B$33*(IF(Presion_cilindro!N588&gt;(-G$4+Presion_cilindro!$B$34),1-EXP(-Presion_cilindro!$B$16*((Presion_cilindro!N588-(-G$4+Presion_cilindro!$B$34))/Presion_cilindro!$B$35)^(Presion_cilindro!$B$17+1)),0)-IF(Presion_cilindro!N587&gt;(-G$4+Presion_cilindro!$B$34),1-EXP(-Presion_cilindro!$B$16*((Presion_cilindro!N587-(-G$4+Presion_cilindro!$B$34))/Presion_cilindro!$B$35)^(Presion_cilindro!$B$17+1)),0))/((Presion_cilindro!O587+Presion_cilindro!O588)/2)</f>
        <v>3.1986429147735906</v>
      </c>
      <c r="H596" s="27">
        <f>H595*(Presion_cilindro!O587/Presion_cilindro!O588)^Presion_cilindro!$B$9+10*(Presion_cilindro!$B$9-1)*Presion_cilindro!$B$33*(IF(Presion_cilindro!N588&gt;(-H$4+Presion_cilindro!$B$34),1-EXP(-Presion_cilindro!$B$16*((Presion_cilindro!N588-(-H$4+Presion_cilindro!$B$34))/Presion_cilindro!$B$35)^(Presion_cilindro!$B$17+1)),0)-IF(Presion_cilindro!N587&gt;(-H$4+Presion_cilindro!$B$34),1-EXP(-Presion_cilindro!$B$16*((Presion_cilindro!N587-(-H$4+Presion_cilindro!$B$34))/Presion_cilindro!$B$35)^(Presion_cilindro!$B$17+1)),0))/((Presion_cilindro!O587+Presion_cilindro!O588)/2)</f>
        <v>3.1650239205855297</v>
      </c>
      <c r="I596" s="27">
        <f>I595*(Presion_cilindro!O587/Presion_cilindro!O588)^Presion_cilindro!$B$9+10*(Presion_cilindro!$B$9-1)*Presion_cilindro!$B$33*(IF(Presion_cilindro!N588&gt;(-I$4+Presion_cilindro!$B$34),1-EXP(-Presion_cilindro!$B$16*((Presion_cilindro!N588-(-I$4+Presion_cilindro!$B$34))/Presion_cilindro!$B$35)^(Presion_cilindro!$B$17+1)),0)-IF(Presion_cilindro!N587&gt;(-I$4+Presion_cilindro!$B$34),1-EXP(-Presion_cilindro!$B$16*((Presion_cilindro!N587-(-I$4+Presion_cilindro!$B$34))/Presion_cilindro!$B$35)^(Presion_cilindro!$B$17+1)),0))/((Presion_cilindro!O587+Presion_cilindro!O588)/2)</f>
        <v>3.1569596617825528</v>
      </c>
      <c r="J596" s="27">
        <f>J595*(Presion_cilindro!O587/Presion_cilindro!O588)^Presion_cilindro!$B$9+10*(Presion_cilindro!$B$9-1)*Presion_cilindro!$B$33*(IF(Presion_cilindro!N588&gt;(-J$4+Presion_cilindro!$B$34),1-EXP(-Presion_cilindro!$B$16*((Presion_cilindro!N588-(-J$4+Presion_cilindro!$B$34))/Presion_cilindro!$B$35)^(Presion_cilindro!$B$17+1)),0)-IF(Presion_cilindro!N587&gt;(-J$4+Presion_cilindro!$B$34),1-EXP(-Presion_cilindro!$B$16*((Presion_cilindro!N587-(-J$4+Presion_cilindro!$B$34))/Presion_cilindro!$B$35)^(Presion_cilindro!$B$17+1)),0))/((Presion_cilindro!O587+Presion_cilindro!O588)/2)</f>
        <v>3.1749523967806157</v>
      </c>
      <c r="K596" s="27">
        <f>K595*(Presion_cilindro!O587/Presion_cilindro!O588)^Presion_cilindro!$B$9+10*(Presion_cilindro!$B$9-1)*Presion_cilindro!$B$33*(IF(Presion_cilindro!N588&gt;(-K$4+Presion_cilindro!$B$34),1-EXP(-Presion_cilindro!$B$16*((Presion_cilindro!N588-(-K$4+Presion_cilindro!$B$34))/Presion_cilindro!$B$35)^(Presion_cilindro!$B$17+1)),0)-IF(Presion_cilindro!N587&gt;(-K$4+Presion_cilindro!$B$34),1-EXP(-Presion_cilindro!$B$16*((Presion_cilindro!N587-(-K$4+Presion_cilindro!$B$34))/Presion_cilindro!$B$35)^(Presion_cilindro!$B$17+1)),0))/((Presion_cilindro!O587+Presion_cilindro!O588)/2)</f>
        <v>3.2177380322352152</v>
      </c>
      <c r="L596" s="27">
        <f>L595*(Presion_cilindro!O587/Presion_cilindro!O588)^Presion_cilindro!$B$9+10*(Presion_cilindro!$B$9-1)*Presion_cilindro!$B$33*(IF(Presion_cilindro!N588&gt;(-L$4+Presion_cilindro!$B$34),1-EXP(-Presion_cilindro!$B$16*((Presion_cilindro!N588-(-L$4+Presion_cilindro!$B$34))/Presion_cilindro!$B$35)^(Presion_cilindro!$B$17+1)),0)-IF(Presion_cilindro!N587&gt;(-L$4+Presion_cilindro!$B$34),1-EXP(-Presion_cilindro!$B$16*((Presion_cilindro!N587-(-L$4+Presion_cilindro!$B$34))/Presion_cilindro!$B$35)^(Presion_cilindro!$B$17+1)),0))/((Presion_cilindro!O587+Presion_cilindro!O588)/2)</f>
        <v>3.2825474537835064</v>
      </c>
      <c r="M596" s="27">
        <f>M595*(Presion_cilindro!O587/Presion_cilindro!O588)^Presion_cilindro!$B$9+10*(Presion_cilindro!$B$9-1)*Presion_cilindro!$B$33*(IF(Presion_cilindro!N588&gt;(-M$4+Presion_cilindro!$B$34),1-EXP(-Presion_cilindro!$B$16*((Presion_cilindro!N588-(-M$4+Presion_cilindro!$B$34))/Presion_cilindro!$B$35)^(Presion_cilindro!$B$17+1)),0)-IF(Presion_cilindro!N587&gt;(-M$4+Presion_cilindro!$B$34),1-EXP(-Presion_cilindro!$B$16*((Presion_cilindro!N587-(-M$4+Presion_cilindro!$B$34))/Presion_cilindro!$B$35)^(Presion_cilindro!$B$17+1)),0))/((Presion_cilindro!O587+Presion_cilindro!O588)/2)</f>
        <v>3.3656175135535182</v>
      </c>
      <c r="N596" s="27">
        <f>N595*(Presion_cilindro!O587/Presion_cilindro!O588)^Presion_cilindro!$B$9+10*(Presion_cilindro!$B$9-1)*Presion_cilindro!$B$33*(IF(Presion_cilindro!N588&gt;(-N$4+Presion_cilindro!$B$34),1-EXP(-Presion_cilindro!$B$16*((Presion_cilindro!N588-(-N$4+Presion_cilindro!$B$34))/Presion_cilindro!$B$35)^(Presion_cilindro!$B$17+1)),0)-IF(Presion_cilindro!N587&gt;(-N$4+Presion_cilindro!$B$34),1-EXP(-Presion_cilindro!$B$16*((Presion_cilindro!N587-(-N$4+Presion_cilindro!$B$34))/Presion_cilindro!$B$35)^(Presion_cilindro!$B$17+1)),0))/((Presion_cilindro!O587+Presion_cilindro!O588)/2)</f>
        <v>3.4627812093640906</v>
      </c>
    </row>
    <row r="597" spans="1:14" x14ac:dyDescent="0.25">
      <c r="A597" s="21">
        <f>Presion_cilindro!N589</f>
        <v>112.5</v>
      </c>
      <c r="B597" s="27">
        <f>B596*(Presion_cilindro!O588/Presion_cilindro!O589)^Presion_cilindro!$B$9+10*(Presion_cilindro!$B$9-1)*Presion_cilindro!$B$33*(IF(Presion_cilindro!N589&gt;(-B$4+Presion_cilindro!$B$34),1-EXP(-Presion_cilindro!$B$16*((Presion_cilindro!N589-(-B$4+Presion_cilindro!$B$34))/Presion_cilindro!$B$35)^(Presion_cilindro!$B$17+1)),0)-IF(Presion_cilindro!N588&gt;(-B$4+Presion_cilindro!$B$34),1-EXP(-Presion_cilindro!$B$16*((Presion_cilindro!N588-(-B$4+Presion_cilindro!$B$34))/Presion_cilindro!$B$35)^(Presion_cilindro!$B$17+1)),0))/((Presion_cilindro!O588+Presion_cilindro!O589)/2)</f>
        <v>3.6214004740459713</v>
      </c>
      <c r="C597" s="27">
        <f>C596*(Presion_cilindro!O588/Presion_cilindro!O589)^Presion_cilindro!$B$9+10*(Presion_cilindro!$B$9-1)*Presion_cilindro!$B$33*(IF(Presion_cilindro!N589&gt;(-C$4+Presion_cilindro!$B$34),1-EXP(-Presion_cilindro!$B$16*((Presion_cilindro!N589-(-C$4+Presion_cilindro!$B$34))/Presion_cilindro!$B$35)^(Presion_cilindro!$B$17+1)),0)-IF(Presion_cilindro!N588&gt;(-C$4+Presion_cilindro!$B$34),1-EXP(-Presion_cilindro!$B$16*((Presion_cilindro!N588-(-C$4+Presion_cilindro!$B$34))/Presion_cilindro!$B$35)^(Presion_cilindro!$B$17+1)),0))/((Presion_cilindro!O588+Presion_cilindro!O589)/2)</f>
        <v>3.5100650006859024</v>
      </c>
      <c r="D597" s="27">
        <f>D596*(Presion_cilindro!O588/Presion_cilindro!O589)^Presion_cilindro!$B$9+10*(Presion_cilindro!$B$9-1)*Presion_cilindro!$B$33*(IF(Presion_cilindro!N589&gt;(-D$4+Presion_cilindro!$B$34),1-EXP(-Presion_cilindro!$B$16*((Presion_cilindro!N589-(-D$4+Presion_cilindro!$B$34))/Presion_cilindro!$B$35)^(Presion_cilindro!$B$17+1)),0)-IF(Presion_cilindro!N588&gt;(-D$4+Presion_cilindro!$B$34),1-EXP(-Presion_cilindro!$B$16*((Presion_cilindro!N588-(-D$4+Presion_cilindro!$B$34))/Presion_cilindro!$B$35)^(Presion_cilindro!$B$17+1)),0))/((Presion_cilindro!O588+Presion_cilindro!O589)/2)</f>
        <v>3.4063722770891096</v>
      </c>
      <c r="E597" s="27">
        <f>E596*(Presion_cilindro!O588/Presion_cilindro!O589)^Presion_cilindro!$B$9+10*(Presion_cilindro!$B$9-1)*Presion_cilindro!$B$33*(IF(Presion_cilindro!N589&gt;(-E$4+Presion_cilindro!$B$34),1-EXP(-Presion_cilindro!$B$16*((Presion_cilindro!N589-(-E$4+Presion_cilindro!$B$34))/Presion_cilindro!$B$35)^(Presion_cilindro!$B$17+1)),0)-IF(Presion_cilindro!N588&gt;(-E$4+Presion_cilindro!$B$34),1-EXP(-Presion_cilindro!$B$16*((Presion_cilindro!N588-(-E$4+Presion_cilindro!$B$34))/Presion_cilindro!$B$35)^(Presion_cilindro!$B$17+1)),0))/((Presion_cilindro!O588+Presion_cilindro!O589)/2)</f>
        <v>3.3141798024464566</v>
      </c>
      <c r="F597" s="27">
        <f>F596*(Presion_cilindro!O588/Presion_cilindro!O589)^Presion_cilindro!$B$9+10*(Presion_cilindro!$B$9-1)*Presion_cilindro!$B$33*(IF(Presion_cilindro!N589&gt;(-F$4+Presion_cilindro!$B$34),1-EXP(-Presion_cilindro!$B$16*((Presion_cilindro!N589-(-F$4+Presion_cilindro!$B$34))/Presion_cilindro!$B$35)^(Presion_cilindro!$B$17+1)),0)-IF(Presion_cilindro!N588&gt;(-F$4+Presion_cilindro!$B$34),1-EXP(-Presion_cilindro!$B$16*((Presion_cilindro!N588-(-F$4+Presion_cilindro!$B$34))/Presion_cilindro!$B$35)^(Presion_cilindro!$B$17+1)),0))/((Presion_cilindro!O588+Presion_cilindro!O589)/2)</f>
        <v>3.2376898703644872</v>
      </c>
      <c r="G597" s="27">
        <f>G596*(Presion_cilindro!O588/Presion_cilindro!O589)^Presion_cilindro!$B$9+10*(Presion_cilindro!$B$9-1)*Presion_cilindro!$B$33*(IF(Presion_cilindro!N589&gt;(-G$4+Presion_cilindro!$B$34),1-EXP(-Presion_cilindro!$B$16*((Presion_cilindro!N589-(-G$4+Presion_cilindro!$B$34))/Presion_cilindro!$B$35)^(Presion_cilindro!$B$17+1)),0)-IF(Presion_cilindro!N588&gt;(-G$4+Presion_cilindro!$B$34),1-EXP(-Presion_cilindro!$B$16*((Presion_cilindro!N588-(-G$4+Presion_cilindro!$B$34))/Presion_cilindro!$B$35)^(Presion_cilindro!$B$17+1)),0))/((Presion_cilindro!O588+Presion_cilindro!O589)/2)</f>
        <v>3.181011728608552</v>
      </c>
      <c r="H597" s="27">
        <f>H596*(Presion_cilindro!O588/Presion_cilindro!O589)^Presion_cilindro!$B$9+10*(Presion_cilindro!$B$9-1)*Presion_cilindro!$B$33*(IF(Presion_cilindro!N589&gt;(-H$4+Presion_cilindro!$B$34),1-EXP(-Presion_cilindro!$B$16*((Presion_cilindro!N589-(-H$4+Presion_cilindro!$B$34))/Presion_cilindro!$B$35)^(Presion_cilindro!$B$17+1)),0)-IF(Presion_cilindro!N588&gt;(-H$4+Presion_cilindro!$B$34),1-EXP(-Presion_cilindro!$B$16*((Presion_cilindro!N588-(-H$4+Presion_cilindro!$B$34))/Presion_cilindro!$B$35)^(Presion_cilindro!$B$17+1)),0))/((Presion_cilindro!O588+Presion_cilindro!O589)/2)</f>
        <v>3.1475780451166222</v>
      </c>
      <c r="I597" s="27">
        <f>I596*(Presion_cilindro!O588/Presion_cilindro!O589)^Presion_cilindro!$B$9+10*(Presion_cilindro!$B$9-1)*Presion_cilindro!$B$33*(IF(Presion_cilindro!N589&gt;(-I$4+Presion_cilindro!$B$34),1-EXP(-Presion_cilindro!$B$16*((Presion_cilindro!N589-(-I$4+Presion_cilindro!$B$34))/Presion_cilindro!$B$35)^(Presion_cilindro!$B$17+1)),0)-IF(Presion_cilindro!N588&gt;(-I$4+Presion_cilindro!$B$34),1-EXP(-Presion_cilindro!$B$16*((Presion_cilindro!N588-(-I$4+Presion_cilindro!$B$34))/Presion_cilindro!$B$35)^(Presion_cilindro!$B$17+1)),0))/((Presion_cilindro!O588+Presion_cilindro!O589)/2)</f>
        <v>3.1395582371798492</v>
      </c>
      <c r="J597" s="27">
        <f>J596*(Presion_cilindro!O588/Presion_cilindro!O589)^Presion_cilindro!$B$9+10*(Presion_cilindro!$B$9-1)*Presion_cilindro!$B$33*(IF(Presion_cilindro!N589&gt;(-J$4+Presion_cilindro!$B$34),1-EXP(-Presion_cilindro!$B$16*((Presion_cilindro!N589-(-J$4+Presion_cilindro!$B$34))/Presion_cilindro!$B$35)^(Presion_cilindro!$B$17+1)),0)-IF(Presion_cilindro!N588&gt;(-J$4+Presion_cilindro!$B$34),1-EXP(-Presion_cilindro!$B$16*((Presion_cilindro!N588-(-J$4+Presion_cilindro!$B$34))/Presion_cilindro!$B$35)^(Presion_cilindro!$B$17+1)),0))/((Presion_cilindro!O588+Presion_cilindro!O589)/2)</f>
        <v>3.1574517947239662</v>
      </c>
      <c r="K597" s="27">
        <f>K596*(Presion_cilindro!O588/Presion_cilindro!O589)^Presion_cilindro!$B$9+10*(Presion_cilindro!$B$9-1)*Presion_cilindro!$B$33*(IF(Presion_cilindro!N589&gt;(-K$4+Presion_cilindro!$B$34),1-EXP(-Presion_cilindro!$B$16*((Presion_cilindro!N589-(-K$4+Presion_cilindro!$B$34))/Presion_cilindro!$B$35)^(Presion_cilindro!$B$17+1)),0)-IF(Presion_cilindro!N588&gt;(-K$4+Presion_cilindro!$B$34),1-EXP(-Presion_cilindro!$B$16*((Presion_cilindro!N588-(-K$4+Presion_cilindro!$B$34))/Presion_cilindro!$B$35)^(Presion_cilindro!$B$17+1)),0))/((Presion_cilindro!O588+Presion_cilindro!O589)/2)</f>
        <v>3.2000015921922729</v>
      </c>
      <c r="L597" s="27">
        <f>L596*(Presion_cilindro!O588/Presion_cilindro!O589)^Presion_cilindro!$B$9+10*(Presion_cilindro!$B$9-1)*Presion_cilindro!$B$33*(IF(Presion_cilindro!N589&gt;(-L$4+Presion_cilindro!$B$34),1-EXP(-Presion_cilindro!$B$16*((Presion_cilindro!N589-(-L$4+Presion_cilindro!$B$34))/Presion_cilindro!$B$35)^(Presion_cilindro!$B$17+1)),0)-IF(Presion_cilindro!N588&gt;(-L$4+Presion_cilindro!$B$34),1-EXP(-Presion_cilindro!$B$16*((Presion_cilindro!N588-(-L$4+Presion_cilindro!$B$34))/Presion_cilindro!$B$35)^(Presion_cilindro!$B$17+1)),0))/((Presion_cilindro!O588+Presion_cilindro!O589)/2)</f>
        <v>3.2644537788109358</v>
      </c>
      <c r="M597" s="27">
        <f>M596*(Presion_cilindro!O588/Presion_cilindro!O589)^Presion_cilindro!$B$9+10*(Presion_cilindro!$B$9-1)*Presion_cilindro!$B$33*(IF(Presion_cilindro!N589&gt;(-M$4+Presion_cilindro!$B$34),1-EXP(-Presion_cilindro!$B$16*((Presion_cilindro!N589-(-M$4+Presion_cilindro!$B$34))/Presion_cilindro!$B$35)^(Presion_cilindro!$B$17+1)),0)-IF(Presion_cilindro!N588&gt;(-M$4+Presion_cilindro!$B$34),1-EXP(-Presion_cilindro!$B$16*((Presion_cilindro!N588-(-M$4+Presion_cilindro!$B$34))/Presion_cilindro!$B$35)^(Presion_cilindro!$B$17+1)),0))/((Presion_cilindro!O588+Presion_cilindro!O589)/2)</f>
        <v>3.3470659494924901</v>
      </c>
      <c r="N597" s="27">
        <f>N596*(Presion_cilindro!O588/Presion_cilindro!O589)^Presion_cilindro!$B$9+10*(Presion_cilindro!$B$9-1)*Presion_cilindro!$B$33*(IF(Presion_cilindro!N589&gt;(-N$4+Presion_cilindro!$B$34),1-EXP(-Presion_cilindro!$B$16*((Presion_cilindro!N589-(-N$4+Presion_cilindro!$B$34))/Presion_cilindro!$B$35)^(Presion_cilindro!$B$17+1)),0)-IF(Presion_cilindro!N588&gt;(-N$4+Presion_cilindro!$B$34),1-EXP(-Presion_cilindro!$B$16*((Presion_cilindro!N588-(-N$4+Presion_cilindro!$B$34))/Presion_cilindro!$B$35)^(Presion_cilindro!$B$17+1)),0))/((Presion_cilindro!O588+Presion_cilindro!O589)/2)</f>
        <v>3.4436940709188737</v>
      </c>
    </row>
    <row r="598" spans="1:14" x14ac:dyDescent="0.25">
      <c r="A598" s="21">
        <f>Presion_cilindro!N590</f>
        <v>113</v>
      </c>
      <c r="B598" s="27">
        <f>B597*(Presion_cilindro!O589/Presion_cilindro!O590)^Presion_cilindro!$B$9+10*(Presion_cilindro!$B$9-1)*Presion_cilindro!$B$33*(IF(Presion_cilindro!N590&gt;(-B$4+Presion_cilindro!$B$34),1-EXP(-Presion_cilindro!$B$16*((Presion_cilindro!N590-(-B$4+Presion_cilindro!$B$34))/Presion_cilindro!$B$35)^(Presion_cilindro!$B$17+1)),0)-IF(Presion_cilindro!N589&gt;(-B$4+Presion_cilindro!$B$34),1-EXP(-Presion_cilindro!$B$16*((Presion_cilindro!N589-(-B$4+Presion_cilindro!$B$34))/Presion_cilindro!$B$35)^(Presion_cilindro!$B$17+1)),0))/((Presion_cilindro!O589+Presion_cilindro!O590)/2)</f>
        <v>3.6016451298271468</v>
      </c>
      <c r="C598" s="27">
        <f>C597*(Presion_cilindro!O589/Presion_cilindro!O590)^Presion_cilindro!$B$9+10*(Presion_cilindro!$B$9-1)*Presion_cilindro!$B$33*(IF(Presion_cilindro!N590&gt;(-C$4+Presion_cilindro!$B$34),1-EXP(-Presion_cilindro!$B$16*((Presion_cilindro!N590-(-C$4+Presion_cilindro!$B$34))/Presion_cilindro!$B$35)^(Presion_cilindro!$B$17+1)),0)-IF(Presion_cilindro!N589&gt;(-C$4+Presion_cilindro!$B$34),1-EXP(-Presion_cilindro!$B$16*((Presion_cilindro!N589-(-C$4+Presion_cilindro!$B$34))/Presion_cilindro!$B$35)^(Presion_cilindro!$B$17+1)),0))/((Presion_cilindro!O589+Presion_cilindro!O590)/2)</f>
        <v>3.490917010062947</v>
      </c>
      <c r="D598" s="27">
        <f>D597*(Presion_cilindro!O589/Presion_cilindro!O590)^Presion_cilindro!$B$9+10*(Presion_cilindro!$B$9-1)*Presion_cilindro!$B$33*(IF(Presion_cilindro!N590&gt;(-D$4+Presion_cilindro!$B$34),1-EXP(-Presion_cilindro!$B$16*((Presion_cilindro!N590-(-D$4+Presion_cilindro!$B$34))/Presion_cilindro!$B$35)^(Presion_cilindro!$B$17+1)),0)-IF(Presion_cilindro!N589&gt;(-D$4+Presion_cilindro!$B$34),1-EXP(-Presion_cilindro!$B$16*((Presion_cilindro!N589-(-D$4+Presion_cilindro!$B$34))/Presion_cilindro!$B$35)^(Presion_cilindro!$B$17+1)),0))/((Presion_cilindro!O589+Presion_cilindro!O590)/2)</f>
        <v>3.3877899475860227</v>
      </c>
      <c r="E598" s="27">
        <f>E597*(Presion_cilindro!O589/Presion_cilindro!O590)^Presion_cilindro!$B$9+10*(Presion_cilindro!$B$9-1)*Presion_cilindro!$B$33*(IF(Presion_cilindro!N590&gt;(-E$4+Presion_cilindro!$B$34),1-EXP(-Presion_cilindro!$B$16*((Presion_cilindro!N590-(-E$4+Presion_cilindro!$B$34))/Presion_cilindro!$B$35)^(Presion_cilindro!$B$17+1)),0)-IF(Presion_cilindro!N589&gt;(-E$4+Presion_cilindro!$B$34),1-EXP(-Presion_cilindro!$B$16*((Presion_cilindro!N589-(-E$4+Presion_cilindro!$B$34))/Presion_cilindro!$B$35)^(Presion_cilindro!$B$17+1)),0))/((Presion_cilindro!O589+Presion_cilindro!O590)/2)</f>
        <v>3.2961003982850996</v>
      </c>
      <c r="F598" s="27">
        <f>F597*(Presion_cilindro!O589/Presion_cilindro!O590)^Presion_cilindro!$B$9+10*(Presion_cilindro!$B$9-1)*Presion_cilindro!$B$33*(IF(Presion_cilindro!N590&gt;(-F$4+Presion_cilindro!$B$34),1-EXP(-Presion_cilindro!$B$16*((Presion_cilindro!N590-(-F$4+Presion_cilindro!$B$34))/Presion_cilindro!$B$35)^(Presion_cilindro!$B$17+1)),0)-IF(Presion_cilindro!N589&gt;(-F$4+Presion_cilindro!$B$34),1-EXP(-Presion_cilindro!$B$16*((Presion_cilindro!N589-(-F$4+Presion_cilindro!$B$34))/Presion_cilindro!$B$35)^(Presion_cilindro!$B$17+1)),0))/((Presion_cilindro!O589+Presion_cilindro!O590)/2)</f>
        <v>3.2200277315534787</v>
      </c>
      <c r="G598" s="27">
        <f>G597*(Presion_cilindro!O589/Presion_cilindro!O590)^Presion_cilindro!$B$9+10*(Presion_cilindro!$B$9-1)*Presion_cilindro!$B$33*(IF(Presion_cilindro!N590&gt;(-G$4+Presion_cilindro!$B$34),1-EXP(-Presion_cilindro!$B$16*((Presion_cilindro!N590-(-G$4+Presion_cilindro!$B$34))/Presion_cilindro!$B$35)^(Presion_cilindro!$B$17+1)),0)-IF(Presion_cilindro!N589&gt;(-G$4+Presion_cilindro!$B$34),1-EXP(-Presion_cilindro!$B$16*((Presion_cilindro!N589-(-G$4+Presion_cilindro!$B$34))/Presion_cilindro!$B$35)^(Presion_cilindro!$B$17+1)),0))/((Presion_cilindro!O589+Presion_cilindro!O590)/2)</f>
        <v>3.1636587785238652</v>
      </c>
      <c r="H598" s="27">
        <f>H597*(Presion_cilindro!O589/Presion_cilindro!O590)^Presion_cilindro!$B$9+10*(Presion_cilindro!$B$9-1)*Presion_cilindro!$B$33*(IF(Presion_cilindro!N590&gt;(-H$4+Presion_cilindro!$B$34),1-EXP(-Presion_cilindro!$B$16*((Presion_cilindro!N590-(-H$4+Presion_cilindro!$B$34))/Presion_cilindro!$B$35)^(Presion_cilindro!$B$17+1)),0)-IF(Presion_cilindro!N589&gt;(-H$4+Presion_cilindro!$B$34),1-EXP(-Presion_cilindro!$B$16*((Presion_cilindro!N589-(-H$4+Presion_cilindro!$B$34))/Presion_cilindro!$B$35)^(Presion_cilindro!$B$17+1)),0))/((Presion_cilindro!O589+Presion_cilindro!O590)/2)</f>
        <v>3.1304074813575076</v>
      </c>
      <c r="I598" s="27">
        <f>I597*(Presion_cilindro!O589/Presion_cilindro!O590)^Presion_cilindro!$B$9+10*(Presion_cilindro!$B$9-1)*Presion_cilindro!$B$33*(IF(Presion_cilindro!N590&gt;(-I$4+Presion_cilindro!$B$34),1-EXP(-Presion_cilindro!$B$16*((Presion_cilindro!N590-(-I$4+Presion_cilindro!$B$34))/Presion_cilindro!$B$35)^(Presion_cilindro!$B$17+1)),0)-IF(Presion_cilindro!N589&gt;(-I$4+Presion_cilindro!$B$34),1-EXP(-Presion_cilindro!$B$16*((Presion_cilindro!N589-(-I$4+Presion_cilindro!$B$34))/Presion_cilindro!$B$35)^(Presion_cilindro!$B$17+1)),0))/((Presion_cilindro!O589+Presion_cilindro!O590)/2)</f>
        <v>3.1224314228120256</v>
      </c>
      <c r="J598" s="27">
        <f>J597*(Presion_cilindro!O589/Presion_cilindro!O590)^Presion_cilindro!$B$9+10*(Presion_cilindro!$B$9-1)*Presion_cilindro!$B$33*(IF(Presion_cilindro!N590&gt;(-J$4+Presion_cilindro!$B$34),1-EXP(-Presion_cilindro!$B$16*((Presion_cilindro!N590-(-J$4+Presion_cilindro!$B$34))/Presion_cilindro!$B$35)^(Presion_cilindro!$B$17+1)),0)-IF(Presion_cilindro!N589&gt;(-J$4+Presion_cilindro!$B$34),1-EXP(-Presion_cilindro!$B$16*((Presion_cilindro!N589-(-J$4+Presion_cilindro!$B$34))/Presion_cilindro!$B$35)^(Presion_cilindro!$B$17+1)),0))/((Presion_cilindro!O589+Presion_cilindro!O590)/2)</f>
        <v>3.1402273680122117</v>
      </c>
      <c r="K598" s="27">
        <f>K597*(Presion_cilindro!O589/Presion_cilindro!O590)^Presion_cilindro!$B$9+10*(Presion_cilindro!$B$9-1)*Presion_cilindro!$B$33*(IF(Presion_cilindro!N590&gt;(-K$4+Presion_cilindro!$B$34),1-EXP(-Presion_cilindro!$B$16*((Presion_cilindro!N590-(-K$4+Presion_cilindro!$B$34))/Presion_cilindro!$B$35)^(Presion_cilindro!$B$17+1)),0)-IF(Presion_cilindro!N589&gt;(-K$4+Presion_cilindro!$B$34),1-EXP(-Presion_cilindro!$B$16*((Presion_cilindro!N589-(-K$4+Presion_cilindro!$B$34))/Presion_cilindro!$B$35)^(Presion_cilindro!$B$17+1)),0))/((Presion_cilindro!O589+Presion_cilindro!O590)/2)</f>
        <v>3.1825450492311691</v>
      </c>
      <c r="L598" s="27">
        <f>L597*(Presion_cilindro!O589/Presion_cilindro!O590)^Presion_cilindro!$B$9+10*(Presion_cilindro!$B$9-1)*Presion_cilindro!$B$33*(IF(Presion_cilindro!N590&gt;(-L$4+Presion_cilindro!$B$34),1-EXP(-Presion_cilindro!$B$16*((Presion_cilindro!N590-(-L$4+Presion_cilindro!$B$34))/Presion_cilindro!$B$35)^(Presion_cilindro!$B$17+1)),0)-IF(Presion_cilindro!N589&gt;(-L$4+Presion_cilindro!$B$34),1-EXP(-Presion_cilindro!$B$16*((Presion_cilindro!N589-(-L$4+Presion_cilindro!$B$34))/Presion_cilindro!$B$35)^(Presion_cilindro!$B$17+1)),0))/((Presion_cilindro!O589+Presion_cilindro!O590)/2)</f>
        <v>3.2466456384108211</v>
      </c>
      <c r="M598" s="27">
        <f>M597*(Presion_cilindro!O589/Presion_cilindro!O590)^Presion_cilindro!$B$9+10*(Presion_cilindro!$B$9-1)*Presion_cilindro!$B$33*(IF(Presion_cilindro!N590&gt;(-M$4+Presion_cilindro!$B$34),1-EXP(-Presion_cilindro!$B$16*((Presion_cilindro!N590-(-M$4+Presion_cilindro!$B$34))/Presion_cilindro!$B$35)^(Presion_cilindro!$B$17+1)),0)-IF(Presion_cilindro!N589&gt;(-M$4+Presion_cilindro!$B$34),1-EXP(-Presion_cilindro!$B$16*((Presion_cilindro!N589-(-M$4+Presion_cilindro!$B$34))/Presion_cilindro!$B$35)^(Presion_cilindro!$B$17+1)),0))/((Presion_cilindro!O589+Presion_cilindro!O590)/2)</f>
        <v>3.3288071459082911</v>
      </c>
      <c r="N598" s="27">
        <f>N597*(Presion_cilindro!O589/Presion_cilindro!O590)^Presion_cilindro!$B$9+10*(Presion_cilindro!$B$9-1)*Presion_cilindro!$B$33*(IF(Presion_cilindro!N590&gt;(-N$4+Presion_cilindro!$B$34),1-EXP(-Presion_cilindro!$B$16*((Presion_cilindro!N590-(-N$4+Presion_cilindro!$B$34))/Presion_cilindro!$B$35)^(Presion_cilindro!$B$17+1)),0)-IF(Presion_cilindro!N589&gt;(-N$4+Presion_cilindro!$B$34),1-EXP(-Presion_cilindro!$B$16*((Presion_cilindro!N589-(-N$4+Presion_cilindro!$B$34))/Presion_cilindro!$B$35)^(Presion_cilindro!$B$17+1)),0))/((Presion_cilindro!O589+Presion_cilindro!O590)/2)</f>
        <v>3.4249081447991587</v>
      </c>
    </row>
    <row r="599" spans="1:14" x14ac:dyDescent="0.25">
      <c r="A599" s="21">
        <f>Presion_cilindro!N591</f>
        <v>113.5</v>
      </c>
      <c r="B599" s="27">
        <f>B598*(Presion_cilindro!O590/Presion_cilindro!O591)^Presion_cilindro!$B$9+10*(Presion_cilindro!$B$9-1)*Presion_cilindro!$B$33*(IF(Presion_cilindro!N591&gt;(-B$4+Presion_cilindro!$B$34),1-EXP(-Presion_cilindro!$B$16*((Presion_cilindro!N591-(-B$4+Presion_cilindro!$B$34))/Presion_cilindro!$B$35)^(Presion_cilindro!$B$17+1)),0)-IF(Presion_cilindro!N590&gt;(-B$4+Presion_cilindro!$B$34),1-EXP(-Presion_cilindro!$B$16*((Presion_cilindro!N590-(-B$4+Presion_cilindro!$B$34))/Presion_cilindro!$B$35)^(Presion_cilindro!$B$17+1)),0))/((Presion_cilindro!O590+Presion_cilindro!O591)/2)</f>
        <v>3.5822012466522311</v>
      </c>
      <c r="C599" s="27">
        <f>C598*(Presion_cilindro!O590/Presion_cilindro!O591)^Presion_cilindro!$B$9+10*(Presion_cilindro!$B$9-1)*Presion_cilindro!$B$33*(IF(Presion_cilindro!N591&gt;(-C$4+Presion_cilindro!$B$34),1-EXP(-Presion_cilindro!$B$16*((Presion_cilindro!N591-(-C$4+Presion_cilindro!$B$34))/Presion_cilindro!$B$35)^(Presion_cilindro!$B$17+1)),0)-IF(Presion_cilindro!N590&gt;(-C$4+Presion_cilindro!$B$34),1-EXP(-Presion_cilindro!$B$16*((Presion_cilindro!N590-(-C$4+Presion_cilindro!$B$34))/Presion_cilindro!$B$35)^(Presion_cilindro!$B$17+1)),0))/((Presion_cilindro!O590+Presion_cilindro!O591)/2)</f>
        <v>3.4720709049997733</v>
      </c>
      <c r="D599" s="27">
        <f>D598*(Presion_cilindro!O590/Presion_cilindro!O591)^Presion_cilindro!$B$9+10*(Presion_cilindro!$B$9-1)*Presion_cilindro!$B$33*(IF(Presion_cilindro!N591&gt;(-D$4+Presion_cilindro!$B$34),1-EXP(-Presion_cilindro!$B$16*((Presion_cilindro!N591-(-D$4+Presion_cilindro!$B$34))/Presion_cilindro!$B$35)^(Presion_cilindro!$B$17+1)),0)-IF(Presion_cilindro!N590&gt;(-D$4+Presion_cilindro!$B$34),1-EXP(-Presion_cilindro!$B$16*((Presion_cilindro!N590-(-D$4+Presion_cilindro!$B$34))/Presion_cilindro!$B$35)^(Presion_cilindro!$B$17+1)),0))/((Presion_cilindro!O590+Presion_cilindro!O591)/2)</f>
        <v>3.3695005854785522</v>
      </c>
      <c r="E599" s="27">
        <f>E598*(Presion_cilindro!O590/Presion_cilindro!O591)^Presion_cilindro!$B$9+10*(Presion_cilindro!$B$9-1)*Presion_cilindro!$B$33*(IF(Presion_cilindro!N591&gt;(-E$4+Presion_cilindro!$B$34),1-EXP(-Presion_cilindro!$B$16*((Presion_cilindro!N591-(-E$4+Presion_cilindro!$B$34))/Presion_cilindro!$B$35)^(Presion_cilindro!$B$17+1)),0)-IF(Presion_cilindro!N590&gt;(-E$4+Presion_cilindro!$B$34),1-EXP(-Presion_cilindro!$B$16*((Presion_cilindro!N590-(-E$4+Presion_cilindro!$B$34))/Presion_cilindro!$B$35)^(Presion_cilindro!$B$17+1)),0))/((Presion_cilindro!O590+Presion_cilindro!O591)/2)</f>
        <v>3.2783060324420314</v>
      </c>
      <c r="F599" s="27">
        <f>F598*(Presion_cilindro!O590/Presion_cilindro!O591)^Presion_cilindro!$B$9+10*(Presion_cilindro!$B$9-1)*Presion_cilindro!$B$33*(IF(Presion_cilindro!N591&gt;(-F$4+Presion_cilindro!$B$34),1-EXP(-Presion_cilindro!$B$16*((Presion_cilindro!N591-(-F$4+Presion_cilindro!$B$34))/Presion_cilindro!$B$35)^(Presion_cilindro!$B$17+1)),0)-IF(Presion_cilindro!N590&gt;(-F$4+Presion_cilindro!$B$34),1-EXP(-Presion_cilindro!$B$16*((Presion_cilindro!N590-(-F$4+Presion_cilindro!$B$34))/Presion_cilindro!$B$35)^(Presion_cilindro!$B$17+1)),0))/((Presion_cilindro!O590+Presion_cilindro!O591)/2)</f>
        <v>3.2026440524914275</v>
      </c>
      <c r="G599" s="27">
        <f>G598*(Presion_cilindro!O590/Presion_cilindro!O591)^Presion_cilindro!$B$9+10*(Presion_cilindro!$B$9-1)*Presion_cilindro!$B$33*(IF(Presion_cilindro!N591&gt;(-G$4+Presion_cilindro!$B$34),1-EXP(-Presion_cilindro!$B$16*((Presion_cilindro!N591-(-G$4+Presion_cilindro!$B$34))/Presion_cilindro!$B$35)^(Presion_cilindro!$B$17+1)),0)-IF(Presion_cilindro!N590&gt;(-G$4+Presion_cilindro!$B$34),1-EXP(-Presion_cilindro!$B$16*((Presion_cilindro!N590-(-G$4+Presion_cilindro!$B$34))/Presion_cilindro!$B$35)^(Presion_cilindro!$B$17+1)),0))/((Presion_cilindro!O590+Presion_cilindro!O591)/2)</f>
        <v>3.1465794135454872</v>
      </c>
      <c r="H599" s="27">
        <f>H598*(Presion_cilindro!O590/Presion_cilindro!O591)^Presion_cilindro!$B$9+10*(Presion_cilindro!$B$9-1)*Presion_cilindro!$B$33*(IF(Presion_cilindro!N591&gt;(-H$4+Presion_cilindro!$B$34),1-EXP(-Presion_cilindro!$B$16*((Presion_cilindro!N591-(-H$4+Presion_cilindro!$B$34))/Presion_cilindro!$B$35)^(Presion_cilindro!$B$17+1)),0)-IF(Presion_cilindro!N590&gt;(-H$4+Presion_cilindro!$B$34),1-EXP(-Presion_cilindro!$B$16*((Presion_cilindro!N590-(-H$4+Presion_cilindro!$B$34))/Presion_cilindro!$B$35)^(Presion_cilindro!$B$17+1)),0))/((Presion_cilindro!O590+Presion_cilindro!O591)/2)</f>
        <v>3.1135076272177082</v>
      </c>
      <c r="I599" s="27">
        <f>I598*(Presion_cilindro!O590/Presion_cilindro!O591)^Presion_cilindro!$B$9+10*(Presion_cilindro!$B$9-1)*Presion_cilindro!$B$33*(IF(Presion_cilindro!N591&gt;(-I$4+Presion_cilindro!$B$34),1-EXP(-Presion_cilindro!$B$16*((Presion_cilindro!N591-(-I$4+Presion_cilindro!$B$34))/Presion_cilindro!$B$35)^(Presion_cilindro!$B$17+1)),0)-IF(Presion_cilindro!N590&gt;(-I$4+Presion_cilindro!$B$34),1-EXP(-Presion_cilindro!$B$16*((Presion_cilindro!N590-(-I$4+Presion_cilindro!$B$34))/Presion_cilindro!$B$35)^(Presion_cilindro!$B$17+1)),0))/((Presion_cilindro!O590+Presion_cilindro!O591)/2)</f>
        <v>3.1055746283144074</v>
      </c>
      <c r="J599" s="27">
        <f>J598*(Presion_cilindro!O590/Presion_cilindro!O591)^Presion_cilindro!$B$9+10*(Presion_cilindro!$B$9-1)*Presion_cilindro!$B$33*(IF(Presion_cilindro!N591&gt;(-J$4+Presion_cilindro!$B$34),1-EXP(-Presion_cilindro!$B$16*((Presion_cilindro!N591-(-J$4+Presion_cilindro!$B$34))/Presion_cilindro!$B$35)^(Presion_cilindro!$B$17+1)),0)-IF(Presion_cilindro!N590&gt;(-J$4+Presion_cilindro!$B$34),1-EXP(-Presion_cilindro!$B$16*((Presion_cilindro!N590-(-J$4+Presion_cilindro!$B$34))/Presion_cilindro!$B$35)^(Presion_cilindro!$B$17+1)),0))/((Presion_cilindro!O590+Presion_cilindro!O591)/2)</f>
        <v>3.1232745001184132</v>
      </c>
      <c r="K599" s="27">
        <f>K598*(Presion_cilindro!O590/Presion_cilindro!O591)^Presion_cilindro!$B$9+10*(Presion_cilindro!$B$9-1)*Presion_cilindro!$B$33*(IF(Presion_cilindro!N591&gt;(-K$4+Presion_cilindro!$B$34),1-EXP(-Presion_cilindro!$B$16*((Presion_cilindro!N591-(-K$4+Presion_cilindro!$B$34))/Presion_cilindro!$B$35)^(Presion_cilindro!$B$17+1)),0)-IF(Presion_cilindro!N590&gt;(-K$4+Presion_cilindro!$B$34),1-EXP(-Presion_cilindro!$B$16*((Presion_cilindro!N590-(-K$4+Presion_cilindro!$B$34))/Presion_cilindro!$B$35)^(Presion_cilindro!$B$17+1)),0))/((Presion_cilindro!O590+Presion_cilindro!O591)/2)</f>
        <v>3.1653637246126807</v>
      </c>
      <c r="L599" s="27">
        <f>L598*(Presion_cilindro!O590/Presion_cilindro!O591)^Presion_cilindro!$B$9+10*(Presion_cilindro!$B$9-1)*Presion_cilindro!$B$33*(IF(Presion_cilindro!N591&gt;(-L$4+Presion_cilindro!$B$34),1-EXP(-Presion_cilindro!$B$16*((Presion_cilindro!N591-(-L$4+Presion_cilindro!$B$34))/Presion_cilindro!$B$35)^(Presion_cilindro!$B$17+1)),0)-IF(Presion_cilindro!N590&gt;(-L$4+Presion_cilindro!$B$34),1-EXP(-Presion_cilindro!$B$16*((Presion_cilindro!N590-(-L$4+Presion_cilindro!$B$34))/Presion_cilindro!$B$35)^(Presion_cilindro!$B$17+1)),0))/((Presion_cilindro!O590+Presion_cilindro!O591)/2)</f>
        <v>3.2291182596080574</v>
      </c>
      <c r="M599" s="27">
        <f>M598*(Presion_cilindro!O590/Presion_cilindro!O591)^Presion_cilindro!$B$9+10*(Presion_cilindro!$B$9-1)*Presion_cilindro!$B$33*(IF(Presion_cilindro!N591&gt;(-M$4+Presion_cilindro!$B$34),1-EXP(-Presion_cilindro!$B$16*((Presion_cilindro!N591-(-M$4+Presion_cilindro!$B$34))/Presion_cilindro!$B$35)^(Presion_cilindro!$B$17+1)),0)-IF(Presion_cilindro!N590&gt;(-M$4+Presion_cilindro!$B$34),1-EXP(-Presion_cilindro!$B$16*((Presion_cilindro!N590-(-M$4+Presion_cilindro!$B$34))/Presion_cilindro!$B$35)^(Presion_cilindro!$B$17+1)),0))/((Presion_cilindro!O590+Presion_cilindro!O591)/2)</f>
        <v>3.3108362090381247</v>
      </c>
      <c r="N599" s="27">
        <f>N598*(Presion_cilindro!O590/Presion_cilindro!O591)^Presion_cilindro!$B$9+10*(Presion_cilindro!$B$9-1)*Presion_cilindro!$B$33*(IF(Presion_cilindro!N591&gt;(-N$4+Presion_cilindro!$B$34),1-EXP(-Presion_cilindro!$B$16*((Presion_cilindro!N591-(-N$4+Presion_cilindro!$B$34))/Presion_cilindro!$B$35)^(Presion_cilindro!$B$17+1)),0)-IF(Presion_cilindro!N590&gt;(-N$4+Presion_cilindro!$B$34),1-EXP(-Presion_cilindro!$B$16*((Presion_cilindro!N590-(-N$4+Presion_cilindro!$B$34))/Presion_cilindro!$B$35)^(Presion_cilindro!$B$17+1)),0))/((Presion_cilindro!O590+Presion_cilindro!O591)/2)</f>
        <v>3.4064183959616634</v>
      </c>
    </row>
    <row r="600" spans="1:14" x14ac:dyDescent="0.25">
      <c r="A600" s="21">
        <f>Presion_cilindro!N592</f>
        <v>114</v>
      </c>
      <c r="B600" s="27">
        <f>B599*(Presion_cilindro!O591/Presion_cilindro!O592)^Presion_cilindro!$B$9+10*(Presion_cilindro!$B$9-1)*Presion_cilindro!$B$33*(IF(Presion_cilindro!N592&gt;(-B$4+Presion_cilindro!$B$34),1-EXP(-Presion_cilindro!$B$16*((Presion_cilindro!N592-(-B$4+Presion_cilindro!$B$34))/Presion_cilindro!$B$35)^(Presion_cilindro!$B$17+1)),0)-IF(Presion_cilindro!N591&gt;(-B$4+Presion_cilindro!$B$34),1-EXP(-Presion_cilindro!$B$16*((Presion_cilindro!N591-(-B$4+Presion_cilindro!$B$34))/Presion_cilindro!$B$35)^(Presion_cilindro!$B$17+1)),0))/((Presion_cilindro!O591+Presion_cilindro!O592)/2)</f>
        <v>3.5630636421994004</v>
      </c>
      <c r="C600" s="27">
        <f>C599*(Presion_cilindro!O591/Presion_cilindro!O592)^Presion_cilindro!$B$9+10*(Presion_cilindro!$B$9-1)*Presion_cilindro!$B$33*(IF(Presion_cilindro!N592&gt;(-C$4+Presion_cilindro!$B$34),1-EXP(-Presion_cilindro!$B$16*((Presion_cilindro!N592-(-C$4+Presion_cilindro!$B$34))/Presion_cilindro!$B$35)^(Presion_cilindro!$B$17+1)),0)-IF(Presion_cilindro!N591&gt;(-C$4+Presion_cilindro!$B$34),1-EXP(-Presion_cilindro!$B$16*((Presion_cilindro!N591-(-C$4+Presion_cilindro!$B$34))/Presion_cilindro!$B$35)^(Presion_cilindro!$B$17+1)),0))/((Presion_cilindro!O591+Presion_cilindro!O592)/2)</f>
        <v>3.4535216624986251</v>
      </c>
      <c r="D600" s="27">
        <f>D599*(Presion_cilindro!O591/Presion_cilindro!O592)^Presion_cilindro!$B$9+10*(Presion_cilindro!$B$9-1)*Presion_cilindro!$B$33*(IF(Presion_cilindro!N592&gt;(-D$4+Presion_cilindro!$B$34),1-EXP(-Presion_cilindro!$B$16*((Presion_cilindro!N592-(-D$4+Presion_cilindro!$B$34))/Presion_cilindro!$B$35)^(Presion_cilindro!$B$17+1)),0)-IF(Presion_cilindro!N591&gt;(-D$4+Presion_cilindro!$B$34),1-EXP(-Presion_cilindro!$B$16*((Presion_cilindro!N591-(-D$4+Presion_cilindro!$B$34))/Presion_cilindro!$B$35)^(Presion_cilindro!$B$17+1)),0))/((Presion_cilindro!O591+Presion_cilindro!O592)/2)</f>
        <v>3.3514993161560276</v>
      </c>
      <c r="E600" s="27">
        <f>E599*(Presion_cilindro!O591/Presion_cilindro!O592)^Presion_cilindro!$B$9+10*(Presion_cilindro!$B$9-1)*Presion_cilindro!$B$33*(IF(Presion_cilindro!N592&gt;(-E$4+Presion_cilindro!$B$34),1-EXP(-Presion_cilindro!$B$16*((Presion_cilindro!N592-(-E$4+Presion_cilindro!$B$34))/Presion_cilindro!$B$35)^(Presion_cilindro!$B$17+1)),0)-IF(Presion_cilindro!N591&gt;(-E$4+Presion_cilindro!$B$34),1-EXP(-Presion_cilindro!$B$16*((Presion_cilindro!N591-(-E$4+Presion_cilindro!$B$34))/Presion_cilindro!$B$35)^(Presion_cilindro!$B$17+1)),0))/((Presion_cilindro!O591+Presion_cilindro!O592)/2)</f>
        <v>3.2607919622365014</v>
      </c>
      <c r="F600" s="27">
        <f>F599*(Presion_cilindro!O591/Presion_cilindro!O592)^Presion_cilindro!$B$9+10*(Presion_cilindro!$B$9-1)*Presion_cilindro!$B$33*(IF(Presion_cilindro!N592&gt;(-F$4+Presion_cilindro!$B$34),1-EXP(-Presion_cilindro!$B$16*((Presion_cilindro!N592-(-F$4+Presion_cilindro!$B$34))/Presion_cilindro!$B$35)^(Presion_cilindro!$B$17+1)),0)-IF(Presion_cilindro!N591&gt;(-F$4+Presion_cilindro!$B$34),1-EXP(-Presion_cilindro!$B$16*((Presion_cilindro!N591-(-F$4+Presion_cilindro!$B$34))/Presion_cilindro!$B$35)^(Presion_cilindro!$B$17+1)),0))/((Presion_cilindro!O591+Presion_cilindro!O592)/2)</f>
        <v>3.1855341999567406</v>
      </c>
      <c r="G600" s="27">
        <f>G599*(Presion_cilindro!O591/Presion_cilindro!O592)^Presion_cilindro!$B$9+10*(Presion_cilindro!$B$9-1)*Presion_cilindro!$B$33*(IF(Presion_cilindro!N592&gt;(-G$4+Presion_cilindro!$B$34),1-EXP(-Presion_cilindro!$B$16*((Presion_cilindro!N592-(-G$4+Presion_cilindro!$B$34))/Presion_cilindro!$B$35)^(Presion_cilindro!$B$17+1)),0)-IF(Presion_cilindro!N591&gt;(-G$4+Presion_cilindro!$B$34),1-EXP(-Presion_cilindro!$B$16*((Presion_cilindro!N591-(-G$4+Presion_cilindro!$B$34))/Presion_cilindro!$B$35)^(Presion_cilindro!$B$17+1)),0))/((Presion_cilindro!O591+Presion_cilindro!O592)/2)</f>
        <v>3.1297690815597758</v>
      </c>
      <c r="H600" s="27">
        <f>H599*(Presion_cilindro!O591/Presion_cilindro!O592)^Presion_cilindro!$B$9+10*(Presion_cilindro!$B$9-1)*Presion_cilindro!$B$33*(IF(Presion_cilindro!N592&gt;(-H$4+Presion_cilindro!$B$34),1-EXP(-Presion_cilindro!$B$16*((Presion_cilindro!N592-(-H$4+Presion_cilindro!$B$34))/Presion_cilindro!$B$35)^(Presion_cilindro!$B$17+1)),0)-IF(Presion_cilindro!N591&gt;(-H$4+Presion_cilindro!$B$34),1-EXP(-Presion_cilindro!$B$16*((Presion_cilindro!N591-(-H$4+Presion_cilindro!$B$34))/Presion_cilindro!$B$35)^(Presion_cilindro!$B$17+1)),0))/((Presion_cilindro!O591+Presion_cilindro!O592)/2)</f>
        <v>3.0968739784280852</v>
      </c>
      <c r="I600" s="27">
        <f>I599*(Presion_cilindro!O591/Presion_cilindro!O592)^Presion_cilindro!$B$9+10*(Presion_cilindro!$B$9-1)*Presion_cilindro!$B$33*(IF(Presion_cilindro!N592&gt;(-I$4+Presion_cilindro!$B$34),1-EXP(-Presion_cilindro!$B$16*((Presion_cilindro!N592-(-I$4+Presion_cilindro!$B$34))/Presion_cilindro!$B$35)^(Presion_cilindro!$B$17+1)),0)-IF(Presion_cilindro!N591&gt;(-I$4+Presion_cilindro!$B$34),1-EXP(-Presion_cilindro!$B$16*((Presion_cilindro!N591-(-I$4+Presion_cilindro!$B$34))/Presion_cilindro!$B$35)^(Presion_cilindro!$B$17+1)),0))/((Presion_cilindro!O591+Presion_cilindro!O592)/2)</f>
        <v>3.0889833608944177</v>
      </c>
      <c r="J600" s="27">
        <f>J599*(Presion_cilindro!O591/Presion_cilindro!O592)^Presion_cilindro!$B$9+10*(Presion_cilindro!$B$9-1)*Presion_cilindro!$B$33*(IF(Presion_cilindro!N592&gt;(-J$4+Presion_cilindro!$B$34),1-EXP(-Presion_cilindro!$B$16*((Presion_cilindro!N592-(-J$4+Presion_cilindro!$B$34))/Presion_cilindro!$B$35)^(Presion_cilindro!$B$17+1)),0)-IF(Presion_cilindro!N591&gt;(-J$4+Presion_cilindro!$B$34),1-EXP(-Presion_cilindro!$B$16*((Presion_cilindro!N591-(-J$4+Presion_cilindro!$B$34))/Presion_cilindro!$B$35)^(Presion_cilindro!$B$17+1)),0))/((Presion_cilindro!O591+Presion_cilindro!O592)/2)</f>
        <v>3.1065886726438294</v>
      </c>
      <c r="K600" s="27">
        <f>K599*(Presion_cilindro!O591/Presion_cilindro!O592)^Presion_cilindro!$B$9+10*(Presion_cilindro!$B$9-1)*Presion_cilindro!$B$33*(IF(Presion_cilindro!N592&gt;(-K$4+Presion_cilindro!$B$34),1-EXP(-Presion_cilindro!$B$16*((Presion_cilindro!N592-(-K$4+Presion_cilindro!$B$34))/Presion_cilindro!$B$35)^(Presion_cilindro!$B$17+1)),0)-IF(Presion_cilindro!N591&gt;(-K$4+Presion_cilindro!$B$34),1-EXP(-Presion_cilindro!$B$16*((Presion_cilindro!N591-(-K$4+Presion_cilindro!$B$34))/Presion_cilindro!$B$35)^(Presion_cilindro!$B$17+1)),0))/((Presion_cilindro!O591+Presion_cilindro!O592)/2)</f>
        <v>3.1484530390481584</v>
      </c>
      <c r="L600" s="27">
        <f>L599*(Presion_cilindro!O591/Presion_cilindro!O592)^Presion_cilindro!$B$9+10*(Presion_cilindro!$B$9-1)*Presion_cilindro!$B$33*(IF(Presion_cilindro!N592&gt;(-L$4+Presion_cilindro!$B$34),1-EXP(-Presion_cilindro!$B$16*((Presion_cilindro!N592-(-L$4+Presion_cilindro!$B$34))/Presion_cilindro!$B$35)^(Presion_cilindro!$B$17+1)),0)-IF(Presion_cilindro!N591&gt;(-L$4+Presion_cilindro!$B$34),1-EXP(-Presion_cilindro!$B$16*((Presion_cilindro!N591-(-L$4+Presion_cilindro!$B$34))/Presion_cilindro!$B$35)^(Presion_cilindro!$B$17+1)),0))/((Presion_cilindro!O591+Presion_cilindro!O592)/2)</f>
        <v>3.211866970881176</v>
      </c>
      <c r="M600" s="27">
        <f>M599*(Presion_cilindro!O591/Presion_cilindro!O592)^Presion_cilindro!$B$9+10*(Presion_cilindro!$B$9-1)*Presion_cilindro!$B$33*(IF(Presion_cilindro!N592&gt;(-M$4+Presion_cilindro!$B$34),1-EXP(-Presion_cilindro!$B$16*((Presion_cilindro!N592-(-M$4+Presion_cilindro!$B$34))/Presion_cilindro!$B$35)^(Presion_cilindro!$B$17+1)),0)-IF(Presion_cilindro!N591&gt;(-M$4+Presion_cilindro!$B$34),1-EXP(-Presion_cilindro!$B$16*((Presion_cilindro!N591-(-M$4+Presion_cilindro!$B$34))/Presion_cilindro!$B$35)^(Presion_cilindro!$B$17+1)),0))/((Presion_cilindro!O591+Presion_cilindro!O592)/2)</f>
        <v>3.2931483491402767</v>
      </c>
      <c r="N600" s="27">
        <f>N599*(Presion_cilindro!O591/Presion_cilindro!O592)^Presion_cilindro!$B$9+10*(Presion_cilindro!$B$9-1)*Presion_cilindro!$B$33*(IF(Presion_cilindro!N592&gt;(-N$4+Presion_cilindro!$B$34),1-EXP(-Presion_cilindro!$B$16*((Presion_cilindro!N592-(-N$4+Presion_cilindro!$B$34))/Presion_cilindro!$B$35)^(Presion_cilindro!$B$17+1)),0)-IF(Presion_cilindro!N591&gt;(-N$4+Presion_cilindro!$B$34),1-EXP(-Presion_cilindro!$B$16*((Presion_cilindro!N591-(-N$4+Presion_cilindro!$B$34))/Presion_cilindro!$B$35)^(Presion_cilindro!$B$17+1)),0))/((Presion_cilindro!O591+Presion_cilindro!O592)/2)</f>
        <v>3.388219896387223</v>
      </c>
    </row>
    <row r="601" spans="1:14" x14ac:dyDescent="0.25">
      <c r="A601" s="21">
        <f>Presion_cilindro!N593</f>
        <v>114.5</v>
      </c>
      <c r="B601" s="27">
        <f>B600*(Presion_cilindro!O592/Presion_cilindro!O593)^Presion_cilindro!$B$9+10*(Presion_cilindro!$B$9-1)*Presion_cilindro!$B$33*(IF(Presion_cilindro!N593&gt;(-B$4+Presion_cilindro!$B$34),1-EXP(-Presion_cilindro!$B$16*((Presion_cilindro!N593-(-B$4+Presion_cilindro!$B$34))/Presion_cilindro!$B$35)^(Presion_cilindro!$B$17+1)),0)-IF(Presion_cilindro!N592&gt;(-B$4+Presion_cilindro!$B$34),1-EXP(-Presion_cilindro!$B$16*((Presion_cilindro!N592-(-B$4+Presion_cilindro!$B$34))/Presion_cilindro!$B$35)^(Presion_cilindro!$B$17+1)),0))/((Presion_cilindro!O592+Presion_cilindro!O593)/2)</f>
        <v>3.5442272440695062</v>
      </c>
      <c r="C601" s="27">
        <f>C600*(Presion_cilindro!O592/Presion_cilindro!O593)^Presion_cilindro!$B$9+10*(Presion_cilindro!$B$9-1)*Presion_cilindro!$B$33*(IF(Presion_cilindro!N593&gt;(-C$4+Presion_cilindro!$B$34),1-EXP(-Presion_cilindro!$B$16*((Presion_cilindro!N593-(-C$4+Presion_cilindro!$B$34))/Presion_cilindro!$B$35)^(Presion_cilindro!$B$17+1)),0)-IF(Presion_cilindro!N592&gt;(-C$4+Presion_cilindro!$B$34),1-EXP(-Presion_cilindro!$B$16*((Presion_cilindro!N592-(-C$4+Presion_cilindro!$B$34))/Presion_cilindro!$B$35)^(Presion_cilindro!$B$17+1)),0))/((Presion_cilindro!O592+Presion_cilindro!O593)/2)</f>
        <v>3.4352643661049851</v>
      </c>
      <c r="D601" s="27">
        <f>D600*(Presion_cilindro!O592/Presion_cilindro!O593)^Presion_cilindro!$B$9+10*(Presion_cilindro!$B$9-1)*Presion_cilindro!$B$33*(IF(Presion_cilindro!N593&gt;(-D$4+Presion_cilindro!$B$34),1-EXP(-Presion_cilindro!$B$16*((Presion_cilindro!N593-(-D$4+Presion_cilindro!$B$34))/Presion_cilindro!$B$35)^(Presion_cilindro!$B$17+1)),0)-IF(Presion_cilindro!N592&gt;(-D$4+Presion_cilindro!$B$34),1-EXP(-Presion_cilindro!$B$16*((Presion_cilindro!N592-(-D$4+Presion_cilindro!$B$34))/Presion_cilindro!$B$35)^(Presion_cilindro!$B$17+1)),0))/((Presion_cilindro!O592+Presion_cilindro!O593)/2)</f>
        <v>3.3337813684035664</v>
      </c>
      <c r="E601" s="27">
        <f>E600*(Presion_cilindro!O592/Presion_cilindro!O593)^Presion_cilindro!$B$9+10*(Presion_cilindro!$B$9-1)*Presion_cilindro!$B$33*(IF(Presion_cilindro!N593&gt;(-E$4+Presion_cilindro!$B$34),1-EXP(-Presion_cilindro!$B$16*((Presion_cilindro!N593-(-E$4+Presion_cilindro!$B$34))/Presion_cilindro!$B$35)^(Presion_cilindro!$B$17+1)),0)-IF(Presion_cilindro!N592&gt;(-E$4+Presion_cilindro!$B$34),1-EXP(-Presion_cilindro!$B$16*((Presion_cilindro!N592-(-E$4+Presion_cilindro!$B$34))/Presion_cilindro!$B$35)^(Presion_cilindro!$B$17+1)),0))/((Presion_cilindro!O592+Presion_cilindro!O593)/2)</f>
        <v>3.2435535455851694</v>
      </c>
      <c r="F601" s="27">
        <f>F600*(Presion_cilindro!O592/Presion_cilindro!O593)^Presion_cilindro!$B$9+10*(Presion_cilindro!$B$9-1)*Presion_cilindro!$B$33*(IF(Presion_cilindro!N593&gt;(-F$4+Presion_cilindro!$B$34),1-EXP(-Presion_cilindro!$B$16*((Presion_cilindro!N593-(-F$4+Presion_cilindro!$B$34))/Presion_cilindro!$B$35)^(Presion_cilindro!$B$17+1)),0)-IF(Presion_cilindro!N592&gt;(-F$4+Presion_cilindro!$B$34),1-EXP(-Presion_cilindro!$B$16*((Presion_cilindro!N592-(-F$4+Presion_cilindro!$B$34))/Presion_cilindro!$B$35)^(Presion_cilindro!$B$17+1)),0))/((Presion_cilindro!O592+Presion_cilindro!O593)/2)</f>
        <v>3.1686936390034877</v>
      </c>
      <c r="G601" s="27">
        <f>G600*(Presion_cilindro!O592/Presion_cilindro!O593)^Presion_cilindro!$B$9+10*(Presion_cilindro!$B$9-1)*Presion_cilindro!$B$33*(IF(Presion_cilindro!N593&gt;(-G$4+Presion_cilindro!$B$34),1-EXP(-Presion_cilindro!$B$16*((Presion_cilindro!N593-(-G$4+Presion_cilindro!$B$34))/Presion_cilindro!$B$35)^(Presion_cilindro!$B$17+1)),0)-IF(Presion_cilindro!N592&gt;(-G$4+Presion_cilindro!$B$34),1-EXP(-Presion_cilindro!$B$16*((Presion_cilindro!N592-(-G$4+Presion_cilindro!$B$34))/Presion_cilindro!$B$35)^(Presion_cilindro!$B$17+1)),0))/((Presion_cilindro!O592+Presion_cilindro!O593)/2)</f>
        <v>3.1132233270083636</v>
      </c>
      <c r="H601" s="27">
        <f>H600*(Presion_cilindro!O592/Presion_cilindro!O593)^Presion_cilindro!$B$9+10*(Presion_cilindro!$B$9-1)*Presion_cilindro!$B$33*(IF(Presion_cilindro!N593&gt;(-H$4+Presion_cilindro!$B$34),1-EXP(-Presion_cilindro!$B$16*((Presion_cilindro!N593-(-H$4+Presion_cilindro!$B$34))/Presion_cilindro!$B$35)^(Presion_cilindro!$B$17+1)),0)-IF(Presion_cilindro!N592&gt;(-H$4+Presion_cilindro!$B$34),1-EXP(-Presion_cilindro!$B$16*((Presion_cilindro!N592-(-H$4+Presion_cilindro!$B$34))/Presion_cilindro!$B$35)^(Presion_cilindro!$B$17+1)),0))/((Presion_cilindro!O592+Presion_cilindro!O593)/2)</f>
        <v>3.0805021262599404</v>
      </c>
      <c r="I601" s="27">
        <f>I600*(Presion_cilindro!O592/Presion_cilindro!O593)^Presion_cilindro!$B$9+10*(Presion_cilindro!$B$9-1)*Presion_cilindro!$B$33*(IF(Presion_cilindro!N593&gt;(-I$4+Presion_cilindro!$B$34),1-EXP(-Presion_cilindro!$B$16*((Presion_cilindro!N593-(-I$4+Presion_cilindro!$B$34))/Presion_cilindro!$B$35)^(Presion_cilindro!$B$17+1)),0)-IF(Presion_cilindro!N592&gt;(-I$4+Presion_cilindro!$B$34),1-EXP(-Presion_cilindro!$B$16*((Presion_cilindro!N592-(-I$4+Presion_cilindro!$B$34))/Presion_cilindro!$B$35)^(Presion_cilindro!$B$17+1)),0))/((Presion_cilindro!O592+Presion_cilindro!O593)/2)</f>
        <v>3.07265322305649</v>
      </c>
      <c r="J601" s="27">
        <f>J600*(Presion_cilindro!O592/Presion_cilindro!O593)^Presion_cilindro!$B$9+10*(Presion_cilindro!$B$9-1)*Presion_cilindro!$B$33*(IF(Presion_cilindro!N593&gt;(-J$4+Presion_cilindro!$B$34),1-EXP(-Presion_cilindro!$B$16*((Presion_cilindro!N593-(-J$4+Presion_cilindro!$B$34))/Presion_cilindro!$B$35)^(Presion_cilindro!$B$17+1)),0)-IF(Presion_cilindro!N592&gt;(-J$4+Presion_cilindro!$B$34),1-EXP(-Presion_cilindro!$B$16*((Presion_cilindro!N592-(-J$4+Presion_cilindro!$B$34))/Presion_cilindro!$B$35)^(Presion_cilindro!$B$17+1)),0))/((Presion_cilindro!O592+Presion_cilindro!O593)/2)</f>
        <v>3.0901654630298645</v>
      </c>
      <c r="K601" s="27">
        <f>K600*(Presion_cilindro!O592/Presion_cilindro!O593)^Presion_cilindro!$B$9+10*(Presion_cilindro!$B$9-1)*Presion_cilindro!$B$33*(IF(Presion_cilindro!N593&gt;(-K$4+Presion_cilindro!$B$34),1-EXP(-Presion_cilindro!$B$16*((Presion_cilindro!N593-(-K$4+Presion_cilindro!$B$34))/Presion_cilindro!$B$35)^(Presion_cilindro!$B$17+1)),0)-IF(Presion_cilindro!N592&gt;(-K$4+Presion_cilindro!$B$34),1-EXP(-Presion_cilindro!$B$16*((Presion_cilindro!N592-(-K$4+Presion_cilindro!$B$34))/Presion_cilindro!$B$35)^(Presion_cilindro!$B$17+1)),0))/((Presion_cilindro!O592+Presion_cilindro!O593)/2)</f>
        <v>3.1318085103806386</v>
      </c>
      <c r="L601" s="27">
        <f>L600*(Presion_cilindro!O592/Presion_cilindro!O593)^Presion_cilindro!$B$9+10*(Presion_cilindro!$B$9-1)*Presion_cilindro!$B$33*(IF(Presion_cilindro!N593&gt;(-L$4+Presion_cilindro!$B$34),1-EXP(-Presion_cilindro!$B$16*((Presion_cilindro!N593-(-L$4+Presion_cilindro!$B$34))/Presion_cilindro!$B$35)^(Presion_cilindro!$B$17+1)),0)-IF(Presion_cilindro!N592&gt;(-L$4+Presion_cilindro!$B$34),1-EXP(-Presion_cilindro!$B$16*((Presion_cilindro!N592-(-L$4+Presion_cilindro!$B$34))/Presion_cilindro!$B$35)^(Presion_cilindro!$B$17+1)),0))/((Presion_cilindro!O592+Presion_cilindro!O593)/2)</f>
        <v>3.1948871997967534</v>
      </c>
      <c r="M601" s="27">
        <f>M600*(Presion_cilindro!O592/Presion_cilindro!O593)^Presion_cilindro!$B$9+10*(Presion_cilindro!$B$9-1)*Presion_cilindro!$B$33*(IF(Presion_cilindro!N593&gt;(-M$4+Presion_cilindro!$B$34),1-EXP(-Presion_cilindro!$B$16*((Presion_cilindro!N593-(-M$4+Presion_cilindro!$B$34))/Presion_cilindro!$B$35)^(Presion_cilindro!$B$17+1)),0)-IF(Presion_cilindro!N592&gt;(-M$4+Presion_cilindro!$B$34),1-EXP(-Presion_cilindro!$B$16*((Presion_cilindro!N592-(-M$4+Presion_cilindro!$B$34))/Presion_cilindro!$B$35)^(Presion_cilindro!$B$17+1)),0))/((Presion_cilindro!O592+Presion_cilindro!O593)/2)</f>
        <v>3.2757388780686569</v>
      </c>
      <c r="N601" s="27">
        <f>N600*(Presion_cilindro!O592/Presion_cilindro!O593)^Presion_cilindro!$B$9+10*(Presion_cilindro!$B$9-1)*Presion_cilindro!$B$33*(IF(Presion_cilindro!N593&gt;(-N$4+Presion_cilindro!$B$34),1-EXP(-Presion_cilindro!$B$16*((Presion_cilindro!N593-(-N$4+Presion_cilindro!$B$34))/Presion_cilindro!$B$35)^(Presion_cilindro!$B$17+1)),0)-IF(Presion_cilindro!N592&gt;(-N$4+Presion_cilindro!$B$34),1-EXP(-Presion_cilindro!$B$16*((Presion_cilindro!N592-(-N$4+Presion_cilindro!$B$34))/Presion_cilindro!$B$35)^(Presion_cilindro!$B$17+1)),0))/((Presion_cilindro!O592+Presion_cilindro!O593)/2)</f>
        <v>3.3703078225853127</v>
      </c>
    </row>
    <row r="602" spans="1:14" x14ac:dyDescent="0.25">
      <c r="A602" s="21">
        <f>Presion_cilindro!N594</f>
        <v>115</v>
      </c>
      <c r="B602" s="27">
        <f>B601*(Presion_cilindro!O593/Presion_cilindro!O594)^Presion_cilindro!$B$9+10*(Presion_cilindro!$B$9-1)*Presion_cilindro!$B$33*(IF(Presion_cilindro!N594&gt;(-B$4+Presion_cilindro!$B$34),1-EXP(-Presion_cilindro!$B$16*((Presion_cilindro!N594-(-B$4+Presion_cilindro!$B$34))/Presion_cilindro!$B$35)^(Presion_cilindro!$B$17+1)),0)-IF(Presion_cilindro!N593&gt;(-B$4+Presion_cilindro!$B$34),1-EXP(-Presion_cilindro!$B$16*((Presion_cilindro!N593-(-B$4+Presion_cilindro!$B$34))/Presion_cilindro!$B$35)^(Presion_cilindro!$B$17+1)),0))/((Presion_cilindro!O593+Presion_cilindro!O594)/2)</f>
        <v>3.5256870872314874</v>
      </c>
      <c r="C602" s="27">
        <f>C601*(Presion_cilindro!O593/Presion_cilindro!O594)^Presion_cilindro!$B$9+10*(Presion_cilindro!$B$9-1)*Presion_cilindro!$B$33*(IF(Presion_cilindro!N594&gt;(-C$4+Presion_cilindro!$B$34),1-EXP(-Presion_cilindro!$B$16*((Presion_cilindro!N594-(-C$4+Presion_cilindro!$B$34))/Presion_cilindro!$B$35)^(Presion_cilindro!$B$17+1)),0)-IF(Presion_cilindro!N593&gt;(-C$4+Presion_cilindro!$B$34),1-EXP(-Presion_cilindro!$B$16*((Presion_cilindro!N593-(-C$4+Presion_cilindro!$B$34))/Presion_cilindro!$B$35)^(Presion_cilindro!$B$17+1)),0))/((Presion_cilindro!O593+Presion_cilindro!O594)/2)</f>
        <v>3.4172942034315232</v>
      </c>
      <c r="D602" s="27">
        <f>D601*(Presion_cilindro!O593/Presion_cilindro!O594)^Presion_cilindro!$B$9+10*(Presion_cilindro!$B$9-1)*Presion_cilindro!$B$33*(IF(Presion_cilindro!N594&gt;(-D$4+Presion_cilindro!$B$34),1-EXP(-Presion_cilindro!$B$16*((Presion_cilindro!N594-(-D$4+Presion_cilindro!$B$34))/Presion_cilindro!$B$35)^(Presion_cilindro!$B$17+1)),0)-IF(Presion_cilindro!N593&gt;(-D$4+Presion_cilindro!$B$34),1-EXP(-Presion_cilindro!$B$16*((Presion_cilindro!N593-(-D$4+Presion_cilindro!$B$34))/Presion_cilindro!$B$35)^(Presion_cilindro!$B$17+1)),0))/((Presion_cilindro!O593+Presion_cilindro!O594)/2)</f>
        <v>3.3163420719991694</v>
      </c>
      <c r="E602" s="27">
        <f>E601*(Presion_cilindro!O593/Presion_cilindro!O594)^Presion_cilindro!$B$9+10*(Presion_cilindro!$B$9-1)*Presion_cilindro!$B$33*(IF(Presion_cilindro!N594&gt;(-E$4+Presion_cilindro!$B$34),1-EXP(-Presion_cilindro!$B$16*((Presion_cilindro!N594-(-E$4+Presion_cilindro!$B$34))/Presion_cilindro!$B$35)^(Presion_cilindro!$B$17+1)),0)-IF(Presion_cilindro!N593&gt;(-E$4+Presion_cilindro!$B$34),1-EXP(-Presion_cilindro!$B$16*((Presion_cilindro!N593-(-E$4+Presion_cilindro!$B$34))/Presion_cilindro!$B$35)^(Presion_cilindro!$B$17+1)),0))/((Presion_cilindro!O593+Presion_cilindro!O594)/2)</f>
        <v>3.2265862386642361</v>
      </c>
      <c r="F602" s="27">
        <f>F601*(Presion_cilindro!O593/Presion_cilindro!O594)^Presion_cilindro!$B$9+10*(Presion_cilindro!$B$9-1)*Presion_cilindro!$B$33*(IF(Presion_cilindro!N594&gt;(-F$4+Presion_cilindro!$B$34),1-EXP(-Presion_cilindro!$B$16*((Presion_cilindro!N594-(-F$4+Presion_cilindro!$B$34))/Presion_cilindro!$B$35)^(Presion_cilindro!$B$17+1)),0)-IF(Presion_cilindro!N593&gt;(-F$4+Presion_cilindro!$B$34),1-EXP(-Presion_cilindro!$B$16*((Presion_cilindro!N593-(-F$4+Presion_cilindro!$B$34))/Presion_cilindro!$B$35)^(Presion_cilindro!$B$17+1)),0))/((Presion_cilindro!O593+Presion_cilindro!O594)/2)</f>
        <v>3.152117930677488</v>
      </c>
      <c r="G602" s="27">
        <f>G601*(Presion_cilindro!O593/Presion_cilindro!O594)^Presion_cilindro!$B$9+10*(Presion_cilindro!$B$9-1)*Presion_cilindro!$B$33*(IF(Presion_cilindro!N594&gt;(-G$4+Presion_cilindro!$B$34),1-EXP(-Presion_cilindro!$B$16*((Presion_cilindro!N594-(-G$4+Presion_cilindro!$B$34))/Presion_cilindro!$B$35)^(Presion_cilindro!$B$17+1)),0)-IF(Presion_cilindro!N593&gt;(-G$4+Presion_cilindro!$B$34),1-EXP(-Presion_cilindro!$B$16*((Presion_cilindro!N593-(-G$4+Presion_cilindro!$B$34))/Presion_cilindro!$B$35)^(Presion_cilindro!$B$17+1)),0))/((Presion_cilindro!O593+Presion_cilindro!O594)/2)</f>
        <v>3.0969377886442264</v>
      </c>
      <c r="H602" s="27">
        <f>H601*(Presion_cilindro!O593/Presion_cilindro!O594)^Presion_cilindro!$B$9+10*(Presion_cilindro!$B$9-1)*Presion_cilindro!$B$33*(IF(Presion_cilindro!N594&gt;(-H$4+Presion_cilindro!$B$34),1-EXP(-Presion_cilindro!$B$16*((Presion_cilindro!N594-(-H$4+Presion_cilindro!$B$34))/Presion_cilindro!$B$35)^(Presion_cilindro!$B$17+1)),0)-IF(Presion_cilindro!N593&gt;(-H$4+Presion_cilindro!$B$34),1-EXP(-Presion_cilindro!$B$16*((Presion_cilindro!N593-(-H$4+Presion_cilindro!$B$34))/Presion_cilindro!$B$35)^(Presion_cilindro!$B$17+1)),0))/((Presion_cilindro!O593+Presion_cilindro!O594)/2)</f>
        <v>3.0643877553046703</v>
      </c>
      <c r="I602" s="27">
        <f>I601*(Presion_cilindro!O593/Presion_cilindro!O594)^Presion_cilindro!$B$9+10*(Presion_cilindro!$B$9-1)*Presion_cilindro!$B$33*(IF(Presion_cilindro!N594&gt;(-I$4+Presion_cilindro!$B$34),1-EXP(-Presion_cilindro!$B$16*((Presion_cilindro!N594-(-I$4+Presion_cilindro!$B$34))/Presion_cilindro!$B$35)^(Presion_cilindro!$B$17+1)),0)-IF(Presion_cilindro!N593&gt;(-I$4+Presion_cilindro!$B$34),1-EXP(-Presion_cilindro!$B$16*((Presion_cilindro!N593-(-I$4+Presion_cilindro!$B$34))/Presion_cilindro!$B$35)^(Presion_cilindro!$B$17+1)),0))/((Presion_cilindro!O593+Presion_cilindro!O594)/2)</f>
        <v>3.056579910387379</v>
      </c>
      <c r="J602" s="27">
        <f>J601*(Presion_cilindro!O593/Presion_cilindro!O594)^Presion_cilindro!$B$9+10*(Presion_cilindro!$B$9-1)*Presion_cilindro!$B$33*(IF(Presion_cilindro!N594&gt;(-J$4+Presion_cilindro!$B$34),1-EXP(-Presion_cilindro!$B$16*((Presion_cilindro!N594-(-J$4+Presion_cilindro!$B$34))/Presion_cilindro!$B$35)^(Presion_cilindro!$B$17+1)),0)-IF(Presion_cilindro!N593&gt;(-J$4+Presion_cilindro!$B$34),1-EXP(-Presion_cilindro!$B$16*((Presion_cilindro!N593-(-J$4+Presion_cilindro!$B$34))/Presion_cilindro!$B$35)^(Presion_cilindro!$B$17+1)),0))/((Presion_cilindro!O593+Presion_cilindro!O594)/2)</f>
        <v>3.0740005423307561</v>
      </c>
      <c r="K602" s="27">
        <f>K601*(Presion_cilindro!O593/Presion_cilindro!O594)^Presion_cilindro!$B$9+10*(Presion_cilindro!$B$9-1)*Presion_cilindro!$B$33*(IF(Presion_cilindro!N594&gt;(-K$4+Presion_cilindro!$B$34),1-EXP(-Presion_cilindro!$B$16*((Presion_cilindro!N594-(-K$4+Presion_cilindro!$B$34))/Presion_cilindro!$B$35)^(Presion_cilindro!$B$17+1)),0)-IF(Presion_cilindro!N593&gt;(-K$4+Presion_cilindro!$B$34),1-EXP(-Presion_cilindro!$B$16*((Presion_cilindro!N593-(-K$4+Presion_cilindro!$B$34))/Presion_cilindro!$B$35)^(Presion_cilindro!$B$17+1)),0))/((Presion_cilindro!O593+Presion_cilindro!O594)/2)</f>
        <v>3.1154257513275172</v>
      </c>
      <c r="L602" s="27">
        <f>L601*(Presion_cilindro!O593/Presion_cilindro!O594)^Presion_cilindro!$B$9+10*(Presion_cilindro!$B$9-1)*Presion_cilindro!$B$33*(IF(Presion_cilindro!N594&gt;(-L$4+Presion_cilindro!$B$34),1-EXP(-Presion_cilindro!$B$16*((Presion_cilindro!N594-(-L$4+Presion_cilindro!$B$34))/Presion_cilindro!$B$35)^(Presion_cilindro!$B$17+1)),0)-IF(Presion_cilindro!N593&gt;(-L$4+Presion_cilindro!$B$34),1-EXP(-Presion_cilindro!$B$16*((Presion_cilindro!N593-(-L$4+Presion_cilindro!$B$34))/Presion_cilindro!$B$35)^(Presion_cilindro!$B$17+1)),0))/((Presion_cilindro!O593+Presion_cilindro!O594)/2)</f>
        <v>3.178174470706618</v>
      </c>
      <c r="M602" s="27">
        <f>M601*(Presion_cilindro!O593/Presion_cilindro!O594)^Presion_cilindro!$B$9+10*(Presion_cilindro!$B$9-1)*Presion_cilindro!$B$33*(IF(Presion_cilindro!N594&gt;(-M$4+Presion_cilindro!$B$34),1-EXP(-Presion_cilindro!$B$16*((Presion_cilindro!N594-(-M$4+Presion_cilindro!$B$34))/Presion_cilindro!$B$35)^(Presion_cilindro!$B$17+1)),0)-IF(Presion_cilindro!N593&gt;(-M$4+Presion_cilindro!$B$34),1-EXP(-Presion_cilindro!$B$16*((Presion_cilindro!N593-(-M$4+Presion_cilindro!$B$34))/Presion_cilindro!$B$35)^(Presion_cilindro!$B$17+1)),0))/((Presion_cilindro!O593+Presion_cilindro!O594)/2)</f>
        <v>3.2586032069117321</v>
      </c>
      <c r="N602" s="27">
        <f>N601*(Presion_cilindro!O593/Presion_cilindro!O594)^Presion_cilindro!$B$9+10*(Presion_cilindro!$B$9-1)*Presion_cilindro!$B$33*(IF(Presion_cilindro!N594&gt;(-N$4+Presion_cilindro!$B$34),1-EXP(-Presion_cilindro!$B$16*((Presion_cilindro!N594-(-N$4+Presion_cilindro!$B$34))/Presion_cilindro!$B$35)^(Presion_cilindro!$B$17+1)),0)-IF(Presion_cilindro!N593&gt;(-N$4+Presion_cilindro!$B$34),1-EXP(-Presion_cilindro!$B$16*((Presion_cilindro!N593-(-N$4+Presion_cilindro!$B$34))/Presion_cilindro!$B$35)^(Presion_cilindro!$B$17+1)),0))/((Presion_cilindro!O593+Presion_cilindro!O594)/2)</f>
        <v>3.3526774531648162</v>
      </c>
    </row>
    <row r="603" spans="1:14" x14ac:dyDescent="0.25">
      <c r="A603" s="21">
        <f>Presion_cilindro!N595</f>
        <v>115.5</v>
      </c>
      <c r="B603" s="27">
        <f>B602*(Presion_cilindro!O594/Presion_cilindro!O595)^Presion_cilindro!$B$9+10*(Presion_cilindro!$B$9-1)*Presion_cilindro!$B$33*(IF(Presion_cilindro!N595&gt;(-B$4+Presion_cilindro!$B$34),1-EXP(-Presion_cilindro!$B$16*((Presion_cilindro!N595-(-B$4+Presion_cilindro!$B$34))/Presion_cilindro!$B$35)^(Presion_cilindro!$B$17+1)),0)-IF(Presion_cilindro!N594&gt;(-B$4+Presion_cilindro!$B$34),1-EXP(-Presion_cilindro!$B$16*((Presion_cilindro!N594-(-B$4+Presion_cilindro!$B$34))/Presion_cilindro!$B$35)^(Presion_cilindro!$B$17+1)),0))/((Presion_cilindro!O594+Presion_cilindro!O595)/2)</f>
        <v>3.5074383115355174</v>
      </c>
      <c r="C603" s="27">
        <f>C602*(Presion_cilindro!O594/Presion_cilindro!O595)^Presion_cilindro!$B$9+10*(Presion_cilindro!$B$9-1)*Presion_cilindro!$B$33*(IF(Presion_cilindro!N595&gt;(-C$4+Presion_cilindro!$B$34),1-EXP(-Presion_cilindro!$B$16*((Presion_cilindro!N595-(-C$4+Presion_cilindro!$B$34))/Presion_cilindro!$B$35)^(Presion_cilindro!$B$17+1)),0)-IF(Presion_cilindro!N594&gt;(-C$4+Presion_cilindro!$B$34),1-EXP(-Presion_cilindro!$B$16*((Presion_cilindro!N594-(-C$4+Presion_cilindro!$B$34))/Presion_cilindro!$B$35)^(Presion_cilindro!$B$17+1)),0))/((Presion_cilindro!O594+Presion_cilindro!O595)/2)</f>
        <v>3.3996064637477019</v>
      </c>
      <c r="D603" s="27">
        <f>D602*(Presion_cilindro!O594/Presion_cilindro!O595)^Presion_cilindro!$B$9+10*(Presion_cilindro!$B$9-1)*Presion_cilindro!$B$33*(IF(Presion_cilindro!N595&gt;(-D$4+Presion_cilindro!$B$34),1-EXP(-Presion_cilindro!$B$16*((Presion_cilindro!N595-(-D$4+Presion_cilindro!$B$34))/Presion_cilindro!$B$35)^(Presion_cilindro!$B$17+1)),0)-IF(Presion_cilindro!N594&gt;(-D$4+Presion_cilindro!$B$34),1-EXP(-Presion_cilindro!$B$16*((Presion_cilindro!N594-(-D$4+Presion_cilindro!$B$34))/Presion_cilindro!$B$35)^(Presion_cilindro!$B$17+1)),0))/((Presion_cilindro!O594+Presion_cilindro!O595)/2)</f>
        <v>3.2991768553745304</v>
      </c>
      <c r="E603" s="27">
        <f>E602*(Presion_cilindro!O594/Presion_cilindro!O595)^Presion_cilindro!$B$9+10*(Presion_cilindro!$B$9-1)*Presion_cilindro!$B$33*(IF(Presion_cilindro!N595&gt;(-E$4+Presion_cilindro!$B$34),1-EXP(-Presion_cilindro!$B$16*((Presion_cilindro!N595-(-E$4+Presion_cilindro!$B$34))/Presion_cilindro!$B$35)^(Presion_cilindro!$B$17+1)),0)-IF(Presion_cilindro!N594&gt;(-E$4+Presion_cilindro!$B$34),1-EXP(-Presion_cilindro!$B$16*((Presion_cilindro!N594-(-E$4+Presion_cilindro!$B$34))/Presion_cilindro!$B$35)^(Presion_cilindro!$B$17+1)),0))/((Presion_cilindro!O594+Presion_cilindro!O595)/2)</f>
        <v>3.2098855936335613</v>
      </c>
      <c r="F603" s="27">
        <f>F602*(Presion_cilindro!O594/Presion_cilindro!O595)^Presion_cilindro!$B$9+10*(Presion_cilindro!$B$9-1)*Presion_cilindro!$B$33*(IF(Presion_cilindro!N595&gt;(-F$4+Presion_cilindro!$B$34),1-EXP(-Presion_cilindro!$B$16*((Presion_cilindro!N595-(-F$4+Presion_cilindro!$B$34))/Presion_cilindro!$B$35)^(Presion_cilindro!$B$17+1)),0)-IF(Presion_cilindro!N594&gt;(-F$4+Presion_cilindro!$B$34),1-EXP(-Presion_cilindro!$B$16*((Presion_cilindro!N594-(-F$4+Presion_cilindro!$B$34))/Presion_cilindro!$B$35)^(Presion_cilindro!$B$17+1)),0))/((Presion_cilindro!O594+Presion_cilindro!O595)/2)</f>
        <v>3.1358027297929567</v>
      </c>
      <c r="G603" s="27">
        <f>G602*(Presion_cilindro!O594/Presion_cilindro!O595)^Presion_cilindro!$B$9+10*(Presion_cilindro!$B$9-1)*Presion_cilindro!$B$33*(IF(Presion_cilindro!N595&gt;(-G$4+Presion_cilindro!$B$34),1-EXP(-Presion_cilindro!$B$16*((Presion_cilindro!N595-(-G$4+Presion_cilindro!$B$34))/Presion_cilindro!$B$35)^(Presion_cilindro!$B$17+1)),0)-IF(Presion_cilindro!N594&gt;(-G$4+Presion_cilindro!$B$34),1-EXP(-Presion_cilindro!$B$16*((Presion_cilindro!N594-(-G$4+Presion_cilindro!$B$34))/Presion_cilindro!$B$35)^(Presion_cilindro!$B$17+1)),0))/((Presion_cilindro!O594+Presion_cilindro!O595)/2)</f>
        <v>3.0809081973472514</v>
      </c>
      <c r="H603" s="27">
        <f>H602*(Presion_cilindro!O594/Presion_cilindro!O595)^Presion_cilindro!$B$9+10*(Presion_cilindro!$B$9-1)*Presion_cilindro!$B$33*(IF(Presion_cilindro!N595&gt;(-H$4+Presion_cilindro!$B$34),1-EXP(-Presion_cilindro!$B$16*((Presion_cilindro!N595-(-H$4+Presion_cilindro!$B$34))/Presion_cilindro!$B$35)^(Presion_cilindro!$B$17+1)),0)-IF(Presion_cilindro!N594&gt;(-H$4+Presion_cilindro!$B$34),1-EXP(-Presion_cilindro!$B$16*((Presion_cilindro!N594-(-H$4+Presion_cilindro!$B$34))/Presion_cilindro!$B$35)^(Presion_cilindro!$B$17+1)),0))/((Presion_cilindro!O594+Presion_cilindro!O595)/2)</f>
        <v>3.0485266413122929</v>
      </c>
      <c r="I603" s="27">
        <f>I602*(Presion_cilindro!O594/Presion_cilindro!O595)^Presion_cilindro!$B$9+10*(Presion_cilindro!$B$9-1)*Presion_cilindro!$B$33*(IF(Presion_cilindro!N595&gt;(-I$4+Presion_cilindro!$B$34),1-EXP(-Presion_cilindro!$B$16*((Presion_cilindro!N595-(-I$4+Presion_cilindro!$B$34))/Presion_cilindro!$B$35)^(Presion_cilindro!$B$17+1)),0)-IF(Presion_cilindro!N594&gt;(-I$4+Presion_cilindro!$B$34),1-EXP(-Presion_cilindro!$B$16*((Presion_cilindro!N594-(-I$4+Presion_cilindro!$B$34))/Presion_cilindro!$B$35)^(Presion_cilindro!$B$17+1)),0))/((Presion_cilindro!O594+Presion_cilindro!O595)/2)</f>
        <v>3.0407592094001941</v>
      </c>
      <c r="J603" s="27">
        <f>J602*(Presion_cilindro!O594/Presion_cilindro!O595)^Presion_cilindro!$B$9+10*(Presion_cilindro!$B$9-1)*Presion_cilindro!$B$33*(IF(Presion_cilindro!N595&gt;(-J$4+Presion_cilindro!$B$34),1-EXP(-Presion_cilindro!$B$16*((Presion_cilindro!N595-(-J$4+Presion_cilindro!$B$34))/Presion_cilindro!$B$35)^(Presion_cilindro!$B$17+1)),0)-IF(Presion_cilindro!N594&gt;(-J$4+Presion_cilindro!$B$34),1-EXP(-Presion_cilindro!$B$16*((Presion_cilindro!N594-(-J$4+Presion_cilindro!$B$34))/Presion_cilindro!$B$35)^(Presion_cilindro!$B$17+1)),0))/((Presion_cilindro!O594+Presion_cilindro!O595)/2)</f>
        <v>3.0580896730453215</v>
      </c>
      <c r="K603" s="27">
        <f>K602*(Presion_cilindro!O594/Presion_cilindro!O595)^Presion_cilindro!$B$9+10*(Presion_cilindro!$B$9-1)*Presion_cilindro!$B$33*(IF(Presion_cilindro!N595&gt;(-K$4+Presion_cilindro!$B$34),1-EXP(-Presion_cilindro!$B$16*((Presion_cilindro!N595-(-K$4+Presion_cilindro!$B$34))/Presion_cilindro!$B$35)^(Presion_cilindro!$B$17+1)),0)-IF(Presion_cilindro!N594&gt;(-K$4+Presion_cilindro!$B$34),1-EXP(-Presion_cilindro!$B$16*((Presion_cilindro!N594-(-K$4+Presion_cilindro!$B$34))/Presion_cilindro!$B$35)^(Presion_cilindro!$B$17+1)),0))/((Presion_cilindro!O594+Presion_cilindro!O595)/2)</f>
        <v>3.0993004672830762</v>
      </c>
      <c r="L603" s="27">
        <f>L602*(Presion_cilindro!O594/Presion_cilindro!O595)^Presion_cilindro!$B$9+10*(Presion_cilindro!$B$9-1)*Presion_cilindro!$B$33*(IF(Presion_cilindro!N595&gt;(-L$4+Presion_cilindro!$B$34),1-EXP(-Presion_cilindro!$B$16*((Presion_cilindro!N595-(-L$4+Presion_cilindro!$B$34))/Presion_cilindro!$B$35)^(Presion_cilindro!$B$17+1)),0)-IF(Presion_cilindro!N594&gt;(-L$4+Presion_cilindro!$B$34),1-EXP(-Presion_cilindro!$B$16*((Presion_cilindro!N594-(-L$4+Presion_cilindro!$B$34))/Presion_cilindro!$B$35)^(Presion_cilindro!$B$17+1)),0))/((Presion_cilindro!O594+Presion_cilindro!O595)/2)</f>
        <v>3.1617244025061169</v>
      </c>
      <c r="M603" s="27">
        <f>M602*(Presion_cilindro!O594/Presion_cilindro!O595)^Presion_cilindro!$B$9+10*(Presion_cilindro!$B$9-1)*Presion_cilindro!$B$33*(IF(Presion_cilindro!N595&gt;(-M$4+Presion_cilindro!$B$34),1-EXP(-Presion_cilindro!$B$16*((Presion_cilindro!N595-(-M$4+Presion_cilindro!$B$34))/Presion_cilindro!$B$35)^(Presion_cilindro!$B$17+1)),0)-IF(Presion_cilindro!N594&gt;(-M$4+Presion_cilindro!$B$34),1-EXP(-Presion_cilindro!$B$16*((Presion_cilindro!N594-(-M$4+Presion_cilindro!$B$34))/Presion_cilindro!$B$35)^(Presion_cilindro!$B$17+1)),0))/((Presion_cilindro!O594+Presion_cilindro!O595)/2)</f>
        <v>3.2417368436940603</v>
      </c>
      <c r="N603" s="27">
        <f>N602*(Presion_cilindro!O594/Presion_cilindro!O595)^Presion_cilindro!$B$9+10*(Presion_cilindro!$B$9-1)*Presion_cilindro!$B$33*(IF(Presion_cilindro!N595&gt;(-N$4+Presion_cilindro!$B$34),1-EXP(-Presion_cilindro!$B$16*((Presion_cilindro!N595-(-N$4+Presion_cilindro!$B$34))/Presion_cilindro!$B$35)^(Presion_cilindro!$B$17+1)),0)-IF(Presion_cilindro!N594&gt;(-N$4+Presion_cilindro!$B$34),1-EXP(-Presion_cilindro!$B$16*((Presion_cilindro!N594-(-N$4+Presion_cilindro!$B$34))/Presion_cilindro!$B$35)^(Presion_cilindro!$B$17+1)),0))/((Presion_cilindro!O594+Presion_cilindro!O595)/2)</f>
        <v>3.3353241664692055</v>
      </c>
    </row>
    <row r="604" spans="1:14" x14ac:dyDescent="0.25">
      <c r="A604" s="21">
        <f>Presion_cilindro!N596</f>
        <v>116</v>
      </c>
      <c r="B604" s="27">
        <f>B603*(Presion_cilindro!O595/Presion_cilindro!O596)^Presion_cilindro!$B$9+10*(Presion_cilindro!$B$9-1)*Presion_cilindro!$B$33*(IF(Presion_cilindro!N596&gt;(-B$4+Presion_cilindro!$B$34),1-EXP(-Presion_cilindro!$B$16*((Presion_cilindro!N596-(-B$4+Presion_cilindro!$B$34))/Presion_cilindro!$B$35)^(Presion_cilindro!$B$17+1)),0)-IF(Presion_cilindro!N595&gt;(-B$4+Presion_cilindro!$B$34),1-EXP(-Presion_cilindro!$B$16*((Presion_cilindro!N595-(-B$4+Presion_cilindro!$B$34))/Presion_cilindro!$B$35)^(Presion_cilindro!$B$17+1)),0))/((Presion_cilindro!O595+Presion_cilindro!O596)/2)</f>
        <v>3.4894761592919279</v>
      </c>
      <c r="C604" s="27">
        <f>C603*(Presion_cilindro!O595/Presion_cilindro!O596)^Presion_cilindro!$B$9+10*(Presion_cilindro!$B$9-1)*Presion_cilindro!$B$33*(IF(Presion_cilindro!N596&gt;(-C$4+Presion_cilindro!$B$34),1-EXP(-Presion_cilindro!$B$16*((Presion_cilindro!N596-(-C$4+Presion_cilindro!$B$34))/Presion_cilindro!$B$35)^(Presion_cilindro!$B$17+1)),0)-IF(Presion_cilindro!N595&gt;(-C$4+Presion_cilindro!$B$34),1-EXP(-Presion_cilindro!$B$16*((Presion_cilindro!N595-(-C$4+Presion_cilindro!$B$34))/Presion_cilindro!$B$35)^(Presion_cilindro!$B$17+1)),0))/((Presion_cilindro!O595+Presion_cilindro!O596)/2)</f>
        <v>3.3821965356331303</v>
      </c>
      <c r="D604" s="27">
        <f>D603*(Presion_cilindro!O595/Presion_cilindro!O596)^Presion_cilindro!$B$9+10*(Presion_cilindro!$B$9-1)*Presion_cilindro!$B$33*(IF(Presion_cilindro!N596&gt;(-D$4+Presion_cilindro!$B$34),1-EXP(-Presion_cilindro!$B$16*((Presion_cilindro!N596-(-D$4+Presion_cilindro!$B$34))/Presion_cilindro!$B$35)^(Presion_cilindro!$B$17+1)),0)-IF(Presion_cilindro!N595&gt;(-D$4+Presion_cilindro!$B$34),1-EXP(-Presion_cilindro!$B$16*((Presion_cilindro!N595-(-D$4+Presion_cilindro!$B$34))/Presion_cilindro!$B$35)^(Presion_cilindro!$B$17+1)),0))/((Presion_cilindro!O595+Presion_cilindro!O596)/2)</f>
        <v>3.282281243337716</v>
      </c>
      <c r="E604" s="27">
        <f>E603*(Presion_cilindro!O595/Presion_cilindro!O596)^Presion_cilindro!$B$9+10*(Presion_cilindro!$B$9-1)*Presion_cilindro!$B$33*(IF(Presion_cilindro!N596&gt;(-E$4+Presion_cilindro!$B$34),1-EXP(-Presion_cilindro!$B$16*((Presion_cilindro!N596-(-E$4+Presion_cilindro!$B$34))/Presion_cilindro!$B$35)^(Presion_cilindro!$B$17+1)),0)-IF(Presion_cilindro!N595&gt;(-E$4+Presion_cilindro!$B$34),1-EXP(-Presion_cilindro!$B$16*((Presion_cilindro!N595-(-E$4+Presion_cilindro!$B$34))/Presion_cilindro!$B$35)^(Presion_cilindro!$B$17+1)),0))/((Presion_cilindro!O595+Presion_cilindro!O596)/2)</f>
        <v>3.193447256420979</v>
      </c>
      <c r="F604" s="27">
        <f>F603*(Presion_cilindro!O595/Presion_cilindro!O596)^Presion_cilindro!$B$9+10*(Presion_cilindro!$B$9-1)*Presion_cilindro!$B$33*(IF(Presion_cilindro!N596&gt;(-F$4+Presion_cilindro!$B$34),1-EXP(-Presion_cilindro!$B$16*((Presion_cilindro!N596-(-F$4+Presion_cilindro!$B$34))/Presion_cilindro!$B$35)^(Presion_cilindro!$B$17+1)),0)-IF(Presion_cilindro!N595&gt;(-F$4+Presion_cilindro!$B$34),1-EXP(-Presion_cilindro!$B$16*((Presion_cilindro!N595-(-F$4+Presion_cilindro!$B$34))/Presion_cilindro!$B$35)^(Presion_cilindro!$B$17+1)),0))/((Presion_cilindro!O595+Presion_cilindro!O596)/2)</f>
        <v>3.1197437827679564</v>
      </c>
      <c r="G604" s="27">
        <f>G603*(Presion_cilindro!O595/Presion_cilindro!O596)^Presion_cilindro!$B$9+10*(Presion_cilindro!$B$9-1)*Presion_cilindro!$B$33*(IF(Presion_cilindro!N596&gt;(-G$4+Presion_cilindro!$B$34),1-EXP(-Presion_cilindro!$B$16*((Presion_cilindro!N596-(-G$4+Presion_cilindro!$B$34))/Presion_cilindro!$B$35)^(Presion_cilindro!$B$17+1)),0)-IF(Presion_cilindro!N595&gt;(-G$4+Presion_cilindro!$B$34),1-EXP(-Presion_cilindro!$B$16*((Presion_cilindro!N595-(-G$4+Presion_cilindro!$B$34))/Presion_cilindro!$B$35)^(Presion_cilindro!$B$17+1)),0))/((Presion_cilindro!O595+Presion_cilindro!O596)/2)</f>
        <v>3.0651303739975808</v>
      </c>
      <c r="H604" s="27">
        <f>H603*(Presion_cilindro!O595/Presion_cilindro!O596)^Presion_cilindro!$B$9+10*(Presion_cilindro!$B$9-1)*Presion_cilindro!$B$33*(IF(Presion_cilindro!N596&gt;(-H$4+Presion_cilindro!$B$34),1-EXP(-Presion_cilindro!$B$16*((Presion_cilindro!N596-(-H$4+Presion_cilindro!$B$34))/Presion_cilindro!$B$35)^(Presion_cilindro!$B$17+1)),0)-IF(Presion_cilindro!N595&gt;(-H$4+Presion_cilindro!$B$34),1-EXP(-Presion_cilindro!$B$16*((Presion_cilindro!N595-(-H$4+Presion_cilindro!$B$34))/Presion_cilindro!$B$35)^(Presion_cilindro!$B$17+1)),0))/((Presion_cilindro!O595+Presion_cilindro!O596)/2)</f>
        <v>3.0329146490871417</v>
      </c>
      <c r="I604" s="27">
        <f>I603*(Presion_cilindro!O595/Presion_cilindro!O596)^Presion_cilindro!$B$9+10*(Presion_cilindro!$B$9-1)*Presion_cilindro!$B$33*(IF(Presion_cilindro!N596&gt;(-I$4+Presion_cilindro!$B$34),1-EXP(-Presion_cilindro!$B$16*((Presion_cilindro!N596-(-I$4+Presion_cilindro!$B$34))/Presion_cilindro!$B$35)^(Presion_cilindro!$B$17+1)),0)-IF(Presion_cilindro!N595&gt;(-I$4+Presion_cilindro!$B$34),1-EXP(-Presion_cilindro!$B$16*((Presion_cilindro!N595-(-I$4+Presion_cilindro!$B$34))/Presion_cilindro!$B$35)^(Presion_cilindro!$B$17+1)),0))/((Presion_cilindro!O595+Presion_cilindro!O596)/2)</f>
        <v>3.0251869954354582</v>
      </c>
      <c r="J604" s="27">
        <f>J603*(Presion_cilindro!O595/Presion_cilindro!O596)^Presion_cilindro!$B$9+10*(Presion_cilindro!$B$9-1)*Presion_cilindro!$B$33*(IF(Presion_cilindro!N596&gt;(-J$4+Presion_cilindro!$B$34),1-EXP(-Presion_cilindro!$B$16*((Presion_cilindro!N596-(-J$4+Presion_cilindro!$B$34))/Presion_cilindro!$B$35)^(Presion_cilindro!$B$17+1)),0)-IF(Presion_cilindro!N595&gt;(-J$4+Presion_cilindro!$B$34),1-EXP(-Presion_cilindro!$B$16*((Presion_cilindro!N595-(-J$4+Presion_cilindro!$B$34))/Presion_cilindro!$B$35)^(Presion_cilindro!$B$17+1)),0))/((Presion_cilindro!O595+Presion_cilindro!O596)/2)</f>
        <v>3.0424287070060525</v>
      </c>
      <c r="K604" s="27">
        <f>K603*(Presion_cilindro!O595/Presion_cilindro!O596)^Presion_cilindro!$B$9+10*(Presion_cilindro!$B$9-1)*Presion_cilindro!$B$33*(IF(Presion_cilindro!N596&gt;(-K$4+Presion_cilindro!$B$34),1-EXP(-Presion_cilindro!$B$16*((Presion_cilindro!N596-(-K$4+Presion_cilindro!$B$34))/Presion_cilindro!$B$35)^(Presion_cilindro!$B$17+1)),0)-IF(Presion_cilindro!N595&gt;(-K$4+Presion_cilindro!$B$34),1-EXP(-Presion_cilindro!$B$16*((Presion_cilindro!N595-(-K$4+Presion_cilindro!$B$34))/Presion_cilindro!$B$35)^(Presion_cilindro!$B$17+1)),0))/((Presion_cilindro!O595+Presion_cilindro!O596)/2)</f>
        <v>3.0834284541791321</v>
      </c>
      <c r="L604" s="27">
        <f>L603*(Presion_cilindro!O595/Presion_cilindro!O596)^Presion_cilindro!$B$9+10*(Presion_cilindro!$B$9-1)*Presion_cilindro!$B$33*(IF(Presion_cilindro!N596&gt;(-L$4+Presion_cilindro!$B$34),1-EXP(-Presion_cilindro!$B$16*((Presion_cilindro!N596-(-L$4+Presion_cilindro!$B$34))/Presion_cilindro!$B$35)^(Presion_cilindro!$B$17+1)),0)-IF(Presion_cilindro!N595&gt;(-L$4+Presion_cilindro!$B$34),1-EXP(-Presion_cilindro!$B$16*((Presion_cilindro!N595-(-L$4+Presion_cilindro!$B$34))/Presion_cilindro!$B$35)^(Presion_cilindro!$B$17+1)),0))/((Presion_cilindro!O595+Presion_cilindro!O596)/2)</f>
        <v>3.1455327064516752</v>
      </c>
      <c r="M604" s="27">
        <f>M603*(Presion_cilindro!O595/Presion_cilindro!O596)^Presion_cilindro!$B$9+10*(Presion_cilindro!$B$9-1)*Presion_cilindro!$B$33*(IF(Presion_cilindro!N596&gt;(-M$4+Presion_cilindro!$B$34),1-EXP(-Presion_cilindro!$B$16*((Presion_cilindro!N596-(-M$4+Presion_cilindro!$B$34))/Presion_cilindro!$B$35)^(Presion_cilindro!$B$17+1)),0)-IF(Presion_cilindro!N595&gt;(-M$4+Presion_cilindro!$B$34),1-EXP(-Presion_cilindro!$B$16*((Presion_cilindro!N595-(-M$4+Presion_cilindro!$B$34))/Presion_cilindro!$B$35)^(Presion_cilindro!$B$17+1)),0))/((Presion_cilindro!O595+Presion_cilindro!O596)/2)</f>
        <v>3.2251353911386214</v>
      </c>
      <c r="N604" s="27">
        <f>N603*(Presion_cilindro!O595/Presion_cilindro!O596)^Presion_cilindro!$B$9+10*(Presion_cilindro!$B$9-1)*Presion_cilindro!$B$33*(IF(Presion_cilindro!N596&gt;(-N$4+Presion_cilindro!$B$34),1-EXP(-Presion_cilindro!$B$16*((Presion_cilindro!N596-(-N$4+Presion_cilindro!$B$34))/Presion_cilindro!$B$35)^(Presion_cilindro!$B$17+1)),0)-IF(Presion_cilindro!N595&gt;(-N$4+Presion_cilindro!$B$34),1-EXP(-Presion_cilindro!$B$16*((Presion_cilindro!N595-(-N$4+Presion_cilindro!$B$34))/Presion_cilindro!$B$35)^(Presion_cilindro!$B$17+1)),0))/((Presion_cilindro!O595+Presion_cilindro!O596)/2)</f>
        <v>3.3182434382742696</v>
      </c>
    </row>
    <row r="605" spans="1:14" x14ac:dyDescent="0.25">
      <c r="A605" s="21">
        <f>Presion_cilindro!N597</f>
        <v>116.5</v>
      </c>
      <c r="B605" s="27">
        <f>B604*(Presion_cilindro!O596/Presion_cilindro!O597)^Presion_cilindro!$B$9+10*(Presion_cilindro!$B$9-1)*Presion_cilindro!$B$33*(IF(Presion_cilindro!N597&gt;(-B$4+Presion_cilindro!$B$34),1-EXP(-Presion_cilindro!$B$16*((Presion_cilindro!N597-(-B$4+Presion_cilindro!$B$34))/Presion_cilindro!$B$35)^(Presion_cilindro!$B$17+1)),0)-IF(Presion_cilindro!N596&gt;(-B$4+Presion_cilindro!$B$34),1-EXP(-Presion_cilindro!$B$16*((Presion_cilindro!N596-(-B$4+Presion_cilindro!$B$34))/Presion_cilindro!$B$35)^(Presion_cilindro!$B$17+1)),0))/((Presion_cilindro!O596+Presion_cilindro!O597)/2)</f>
        <v>3.4717959729141055</v>
      </c>
      <c r="C605" s="27">
        <f>C604*(Presion_cilindro!O596/Presion_cilindro!O597)^Presion_cilindro!$B$9+10*(Presion_cilindro!$B$9-1)*Presion_cilindro!$B$33*(IF(Presion_cilindro!N597&gt;(-C$4+Presion_cilindro!$B$34),1-EXP(-Presion_cilindro!$B$16*((Presion_cilindro!N597-(-C$4+Presion_cilindro!$B$34))/Presion_cilindro!$B$35)^(Presion_cilindro!$B$17+1)),0)-IF(Presion_cilindro!N596&gt;(-C$4+Presion_cilindro!$B$34),1-EXP(-Presion_cilindro!$B$16*((Presion_cilindro!N596-(-C$4+Presion_cilindro!$B$34))/Presion_cilindro!$B$35)^(Presion_cilindro!$B$17+1)),0))/((Presion_cilindro!O596+Presion_cilindro!O597)/2)</f>
        <v>3.3650599046929281</v>
      </c>
      <c r="D605" s="27">
        <f>D604*(Presion_cilindro!O596/Presion_cilindro!O597)^Presion_cilindro!$B$9+10*(Presion_cilindro!$B$9-1)*Presion_cilindro!$B$33*(IF(Presion_cilindro!N597&gt;(-D$4+Presion_cilindro!$B$34),1-EXP(-Presion_cilindro!$B$16*((Presion_cilindro!N597-(-D$4+Presion_cilindro!$B$34))/Presion_cilindro!$B$35)^(Presion_cilindro!$B$17+1)),0)-IF(Presion_cilindro!N596&gt;(-D$4+Presion_cilindro!$B$34),1-EXP(-Presion_cilindro!$B$16*((Presion_cilindro!N596-(-D$4+Presion_cilindro!$B$34))/Presion_cilindro!$B$35)^(Presion_cilindro!$B$17+1)),0))/((Presion_cilindro!O596+Presion_cilindro!O597)/2)</f>
        <v>3.2656508548560197</v>
      </c>
      <c r="E605" s="27">
        <f>E604*(Presion_cilindro!O596/Presion_cilindro!O597)^Presion_cilindro!$B$9+10*(Presion_cilindro!$B$9-1)*Presion_cilindro!$B$33*(IF(Presion_cilindro!N597&gt;(-E$4+Presion_cilindro!$B$34),1-EXP(-Presion_cilindro!$B$16*((Presion_cilindro!N597-(-E$4+Presion_cilindro!$B$34))/Presion_cilindro!$B$35)^(Presion_cilindro!$B$17+1)),0)-IF(Presion_cilindro!N596&gt;(-E$4+Presion_cilindro!$B$34),1-EXP(-Presion_cilindro!$B$16*((Presion_cilindro!N596-(-E$4+Presion_cilindro!$B$34))/Presion_cilindro!$B$35)^(Presion_cilindro!$B$17+1)),0))/((Presion_cilindro!O596+Presion_cilindro!O597)/2)</f>
        <v>3.1772669645651592</v>
      </c>
      <c r="F605" s="27">
        <f>F604*(Presion_cilindro!O596/Presion_cilindro!O597)^Presion_cilindro!$B$9+10*(Presion_cilindro!$B$9-1)*Presion_cilindro!$B$33*(IF(Presion_cilindro!N597&gt;(-F$4+Presion_cilindro!$B$34),1-EXP(-Presion_cilindro!$B$16*((Presion_cilindro!N597-(-F$4+Presion_cilindro!$B$34))/Presion_cilindro!$B$35)^(Presion_cilindro!$B$17+1)),0)-IF(Presion_cilindro!N596&gt;(-F$4+Presion_cilindro!$B$34),1-EXP(-Presion_cilindro!$B$16*((Presion_cilindro!N596-(-F$4+Presion_cilindro!$B$34))/Presion_cilindro!$B$35)^(Presion_cilindro!$B$17+1)),0))/((Presion_cilindro!O596+Presion_cilindro!O597)/2)</f>
        <v>3.1039369255170435</v>
      </c>
      <c r="G605" s="27">
        <f>G604*(Presion_cilindro!O596/Presion_cilindro!O597)^Presion_cilindro!$B$9+10*(Presion_cilindro!$B$9-1)*Presion_cilindro!$B$33*(IF(Presion_cilindro!N597&gt;(-G$4+Presion_cilindro!$B$34),1-EXP(-Presion_cilindro!$B$16*((Presion_cilindro!N597-(-G$4+Presion_cilindro!$B$34))/Presion_cilindro!$B$35)^(Presion_cilindro!$B$17+1)),0)-IF(Presion_cilindro!N596&gt;(-G$4+Presion_cilindro!$B$34),1-EXP(-Presion_cilindro!$B$16*((Presion_cilindro!N596-(-G$4+Presion_cilindro!$B$34))/Presion_cilindro!$B$35)^(Presion_cilindro!$B$17+1)),0))/((Presion_cilindro!O596+Presion_cilindro!O597)/2)</f>
        <v>3.0496002274051484</v>
      </c>
      <c r="H605" s="27">
        <f>H604*(Presion_cilindro!O596/Presion_cilindro!O597)^Presion_cilindro!$B$9+10*(Presion_cilindro!$B$9-1)*Presion_cilindro!$B$33*(IF(Presion_cilindro!N597&gt;(-H$4+Presion_cilindro!$B$34),1-EXP(-Presion_cilindro!$B$16*((Presion_cilindro!N597-(-H$4+Presion_cilindro!$B$34))/Presion_cilindro!$B$35)^(Presion_cilindro!$B$17+1)),0)-IF(Presion_cilindro!N596&gt;(-H$4+Presion_cilindro!$B$34),1-EXP(-Presion_cilindro!$B$16*((Presion_cilindro!N596-(-H$4+Presion_cilindro!$B$34))/Presion_cilindro!$B$35)^(Presion_cilindro!$B$17+1)),0))/((Presion_cilindro!O596+Presion_cilindro!O597)/2)</f>
        <v>3.017547730439166</v>
      </c>
      <c r="I605" s="27">
        <f>I604*(Presion_cilindro!O596/Presion_cilindro!O597)^Presion_cilindro!$B$9+10*(Presion_cilindro!$B$9-1)*Presion_cilindro!$B$33*(IF(Presion_cilindro!N597&gt;(-I$4+Presion_cilindro!$B$34),1-EXP(-Presion_cilindro!$B$16*((Presion_cilindro!N597-(-I$4+Presion_cilindro!$B$34))/Presion_cilindro!$B$35)^(Presion_cilindro!$B$17+1)),0)-IF(Presion_cilindro!N596&gt;(-I$4+Presion_cilindro!$B$34),1-EXP(-Presion_cilindro!$B$16*((Presion_cilindro!N596-(-I$4+Presion_cilindro!$B$34))/Presion_cilindro!$B$35)^(Presion_cilindro!$B$17+1)),0))/((Presion_cilindro!O596+Presion_cilindro!O597)/2)</f>
        <v>3.0098592306176246</v>
      </c>
      <c r="J605" s="27">
        <f>J604*(Presion_cilindro!O596/Presion_cilindro!O597)^Presion_cilindro!$B$9+10*(Presion_cilindro!$B$9-1)*Presion_cilindro!$B$33*(IF(Presion_cilindro!N597&gt;(-J$4+Presion_cilindro!$B$34),1-EXP(-Presion_cilindro!$B$16*((Presion_cilindro!N597-(-J$4+Presion_cilindro!$B$34))/Presion_cilindro!$B$35)^(Presion_cilindro!$B$17+1)),0)-IF(Presion_cilindro!N596&gt;(-J$4+Presion_cilindro!$B$34),1-EXP(-Presion_cilindro!$B$16*((Presion_cilindro!N596-(-J$4+Presion_cilindro!$B$34))/Presion_cilindro!$B$35)^(Presion_cilindro!$B$17+1)),0))/((Presion_cilindro!O596+Presion_cilindro!O597)/2)</f>
        <v>3.0270135833239866</v>
      </c>
      <c r="K605" s="27">
        <f>K604*(Presion_cilindro!O596/Presion_cilindro!O597)^Presion_cilindro!$B$9+10*(Presion_cilindro!$B$9-1)*Presion_cilindro!$B$33*(IF(Presion_cilindro!N597&gt;(-K$4+Presion_cilindro!$B$34),1-EXP(-Presion_cilindro!$B$16*((Presion_cilindro!N597-(-K$4+Presion_cilindro!$B$34))/Presion_cilindro!$B$35)^(Presion_cilindro!$B$17+1)),0)-IF(Presion_cilindro!N596&gt;(-K$4+Presion_cilindro!$B$34),1-EXP(-Presion_cilindro!$B$16*((Presion_cilindro!N596-(-K$4+Presion_cilindro!$B$34))/Presion_cilindro!$B$35)^(Presion_cilindro!$B$17+1)),0))/((Presion_cilindro!O596+Presion_cilindro!O597)/2)</f>
        <v>3.0678055964022128</v>
      </c>
      <c r="L605" s="27">
        <f>L604*(Presion_cilindro!O596/Presion_cilindro!O597)^Presion_cilindro!$B$9+10*(Presion_cilindro!$B$9-1)*Presion_cilindro!$B$33*(IF(Presion_cilindro!N597&gt;(-L$4+Presion_cilindro!$B$34),1-EXP(-Presion_cilindro!$B$16*((Presion_cilindro!N597-(-L$4+Presion_cilindro!$B$34))/Presion_cilindro!$B$35)^(Presion_cilindro!$B$17+1)),0)-IF(Presion_cilindro!N596&gt;(-L$4+Presion_cilindro!$B$34),1-EXP(-Presion_cilindro!$B$16*((Presion_cilindro!N596-(-L$4+Presion_cilindro!$B$34))/Presion_cilindro!$B$35)^(Presion_cilindro!$B$17+1)),0))/((Presion_cilindro!O596+Presion_cilindro!O597)/2)</f>
        <v>3.1295951840360221</v>
      </c>
      <c r="M605" s="27">
        <f>M604*(Presion_cilindro!O596/Presion_cilindro!O597)^Presion_cilindro!$B$9+10*(Presion_cilindro!$B$9-1)*Presion_cilindro!$B$33*(IF(Presion_cilindro!N597&gt;(-M$4+Presion_cilindro!$B$34),1-EXP(-Presion_cilindro!$B$16*((Presion_cilindro!N597-(-M$4+Presion_cilindro!$B$34))/Presion_cilindro!$B$35)^(Presion_cilindro!$B$17+1)),0)-IF(Presion_cilindro!N596&gt;(-M$4+Presion_cilindro!$B$34),1-EXP(-Presion_cilindro!$B$16*((Presion_cilindro!N596-(-M$4+Presion_cilindro!$B$34))/Presion_cilindro!$B$35)^(Presion_cilindro!$B$17+1)),0))/((Presion_cilindro!O596+Presion_cilindro!O597)/2)</f>
        <v>3.2087945444882711</v>
      </c>
      <c r="N605" s="27">
        <f>N604*(Presion_cilindro!O596/Presion_cilindro!O597)^Presion_cilindro!$B$9+10*(Presion_cilindro!$B$9-1)*Presion_cilindro!$B$33*(IF(Presion_cilindro!N597&gt;(-N$4+Presion_cilindro!$B$34),1-EXP(-Presion_cilindro!$B$16*((Presion_cilindro!N597-(-N$4+Presion_cilindro!$B$34))/Presion_cilindro!$B$35)^(Presion_cilindro!$B$17+1)),0)-IF(Presion_cilindro!N596&gt;(-N$4+Presion_cilindro!$B$34),1-EXP(-Presion_cilindro!$B$16*((Presion_cilindro!N596-(-N$4+Presion_cilindro!$B$34))/Presion_cilindro!$B$35)^(Presion_cilindro!$B$17+1)),0))/((Presion_cilindro!O596+Presion_cilindro!O597)/2)</f>
        <v>3.3014308395466769</v>
      </c>
    </row>
    <row r="606" spans="1:14" x14ac:dyDescent="0.25">
      <c r="A606" s="21">
        <f>Presion_cilindro!N598</f>
        <v>117</v>
      </c>
      <c r="B606" s="27">
        <f>B605*(Presion_cilindro!O597/Presion_cilindro!O598)^Presion_cilindro!$B$9+10*(Presion_cilindro!$B$9-1)*Presion_cilindro!$B$33*(IF(Presion_cilindro!N598&gt;(-B$4+Presion_cilindro!$B$34),1-EXP(-Presion_cilindro!$B$16*((Presion_cilindro!N598-(-B$4+Presion_cilindro!$B$34))/Presion_cilindro!$B$35)^(Presion_cilindro!$B$17+1)),0)-IF(Presion_cilindro!N597&gt;(-B$4+Presion_cilindro!$B$34),1-EXP(-Presion_cilindro!$B$16*((Presion_cilindro!N597-(-B$4+Presion_cilindro!$B$34))/Presion_cilindro!$B$35)^(Presion_cilindro!$B$17+1)),0))/((Presion_cilindro!O597+Presion_cilindro!O598)/2)</f>
        <v>3.4543931926234692</v>
      </c>
      <c r="C606" s="27">
        <f>C605*(Presion_cilindro!O597/Presion_cilindro!O598)^Presion_cilindro!$B$9+10*(Presion_cilindro!$B$9-1)*Presion_cilindro!$B$33*(IF(Presion_cilindro!N598&gt;(-C$4+Presion_cilindro!$B$34),1-EXP(-Presion_cilindro!$B$16*((Presion_cilindro!N598-(-C$4+Presion_cilindro!$B$34))/Presion_cilindro!$B$35)^(Presion_cilindro!$B$17+1)),0)-IF(Presion_cilindro!N597&gt;(-C$4+Presion_cilindro!$B$34),1-EXP(-Presion_cilindro!$B$16*((Presion_cilindro!N597-(-C$4+Presion_cilindro!$B$34))/Presion_cilindro!$B$35)^(Presion_cilindro!$B$17+1)),0))/((Presion_cilindro!O597+Presion_cilindro!O598)/2)</f>
        <v>3.3481921513332611</v>
      </c>
      <c r="D606" s="27">
        <f>D605*(Presion_cilindro!O597/Presion_cilindro!O598)^Presion_cilindro!$B$9+10*(Presion_cilindro!$B$9-1)*Presion_cilindro!$B$33*(IF(Presion_cilindro!N598&gt;(-D$4+Presion_cilindro!$B$34),1-EXP(-Presion_cilindro!$B$16*((Presion_cilindro!N598-(-D$4+Presion_cilindro!$B$34))/Presion_cilindro!$B$35)^(Presion_cilindro!$B$17+1)),0)-IF(Presion_cilindro!N597&gt;(-D$4+Presion_cilindro!$B$34),1-EXP(-Presion_cilindro!$B$16*((Presion_cilindro!N597-(-D$4+Presion_cilindro!$B$34))/Presion_cilindro!$B$35)^(Presion_cilindro!$B$17+1)),0))/((Presion_cilindro!O597+Presion_cilindro!O598)/2)</f>
        <v>3.2492814008972131</v>
      </c>
      <c r="E606" s="27">
        <f>E605*(Presion_cilindro!O597/Presion_cilindro!O598)^Presion_cilindro!$B$9+10*(Presion_cilindro!$B$9-1)*Presion_cilindro!$B$33*(IF(Presion_cilindro!N598&gt;(-E$4+Presion_cilindro!$B$34),1-EXP(-Presion_cilindro!$B$16*((Presion_cilindro!N598-(-E$4+Presion_cilindro!$B$34))/Presion_cilindro!$B$35)^(Presion_cilindro!$B$17+1)),0)-IF(Presion_cilindro!N597&gt;(-E$4+Presion_cilindro!$B$34),1-EXP(-Presion_cilindro!$B$16*((Presion_cilindro!N597-(-E$4+Presion_cilindro!$B$34))/Presion_cilindro!$B$35)^(Presion_cilindro!$B$17+1)),0))/((Presion_cilindro!O597+Presion_cilindro!O598)/2)</f>
        <v>3.1613405451152823</v>
      </c>
      <c r="F606" s="27">
        <f>F605*(Presion_cilindro!O597/Presion_cilindro!O598)^Presion_cilindro!$B$9+10*(Presion_cilindro!$B$9-1)*Presion_cilindro!$B$33*(IF(Presion_cilindro!N598&gt;(-F$4+Presion_cilindro!$B$34),1-EXP(-Presion_cilindro!$B$16*((Presion_cilindro!N598-(-F$4+Presion_cilindro!$B$34))/Presion_cilindro!$B$35)^(Presion_cilindro!$B$17+1)),0)-IF(Presion_cilindro!N597&gt;(-F$4+Presion_cilindro!$B$34),1-EXP(-Presion_cilindro!$B$16*((Presion_cilindro!N597-(-F$4+Presion_cilindro!$B$34))/Presion_cilindro!$B$35)^(Presion_cilindro!$B$17+1)),0))/((Presion_cilindro!O597+Presion_cilindro!O598)/2)</f>
        <v>3.0883780813994193</v>
      </c>
      <c r="G606" s="27">
        <f>G605*(Presion_cilindro!O597/Presion_cilindro!O598)^Presion_cilindro!$B$9+10*(Presion_cilindro!$B$9-1)*Presion_cilindro!$B$33*(IF(Presion_cilindro!N598&gt;(-G$4+Presion_cilindro!$B$34),1-EXP(-Presion_cilindro!$B$16*((Presion_cilindro!N598-(-G$4+Presion_cilindro!$B$34))/Presion_cilindro!$B$35)^(Presion_cilindro!$B$17+1)),0)-IF(Presion_cilindro!N597&gt;(-G$4+Presion_cilindro!$B$34),1-EXP(-Presion_cilindro!$B$16*((Presion_cilindro!N597-(-G$4+Presion_cilindro!$B$34))/Presion_cilindro!$B$35)^(Presion_cilindro!$B$17+1)),0))/((Presion_cilindro!O597+Presion_cilindro!O598)/2)</f>
        <v>3.0343137522937496</v>
      </c>
      <c r="H606" s="27">
        <f>H605*(Presion_cilindro!O597/Presion_cilindro!O598)^Presion_cilindro!$B$9+10*(Presion_cilindro!$B$9-1)*Presion_cilindro!$B$33*(IF(Presion_cilindro!N598&gt;(-H$4+Presion_cilindro!$B$34),1-EXP(-Presion_cilindro!$B$16*((Presion_cilindro!N598-(-H$4+Presion_cilindro!$B$34))/Presion_cilindro!$B$35)^(Presion_cilindro!$B$17+1)),0)-IF(Presion_cilindro!N597&gt;(-H$4+Presion_cilindro!$B$34),1-EXP(-Presion_cilindro!$B$16*((Presion_cilindro!N597-(-H$4+Presion_cilindro!$B$34))/Presion_cilindro!$B$35)^(Presion_cilindro!$B$17+1)),0))/((Presion_cilindro!O597+Presion_cilindro!O598)/2)</f>
        <v>3.002421922189189</v>
      </c>
      <c r="I606" s="27">
        <f>I605*(Presion_cilindro!O597/Presion_cilindro!O598)^Presion_cilindro!$B$9+10*(Presion_cilindro!$B$9-1)*Presion_cilindro!$B$33*(IF(Presion_cilindro!N598&gt;(-I$4+Presion_cilindro!$B$34),1-EXP(-Presion_cilindro!$B$16*((Presion_cilindro!N598-(-I$4+Presion_cilindro!$B$34))/Presion_cilindro!$B$35)^(Presion_cilindro!$B$17+1)),0)-IF(Presion_cilindro!N597&gt;(-I$4+Presion_cilindro!$B$34),1-EXP(-Presion_cilindro!$B$16*((Presion_cilindro!N597-(-I$4+Presion_cilindro!$B$34))/Presion_cilindro!$B$35)^(Presion_cilindro!$B$17+1)),0))/((Presion_cilindro!O597+Presion_cilindro!O598)/2)</f>
        <v>2.9947719618654185</v>
      </c>
      <c r="J606" s="27">
        <f>J605*(Presion_cilindro!O597/Presion_cilindro!O598)^Presion_cilindro!$B$9+10*(Presion_cilindro!$B$9-1)*Presion_cilindro!$B$33*(IF(Presion_cilindro!N598&gt;(-J$4+Presion_cilindro!$B$34),1-EXP(-Presion_cilindro!$B$16*((Presion_cilindro!N598-(-J$4+Presion_cilindro!$B$34))/Presion_cilindro!$B$35)^(Presion_cilindro!$B$17+1)),0)-IF(Presion_cilindro!N597&gt;(-J$4+Presion_cilindro!$B$34),1-EXP(-Presion_cilindro!$B$16*((Presion_cilindro!N597-(-J$4+Presion_cilindro!$B$34))/Presion_cilindro!$B$35)^(Presion_cilindro!$B$17+1)),0))/((Presion_cilindro!O597+Presion_cilindro!O598)/2)</f>
        <v>3.0118403263877092</v>
      </c>
      <c r="K606" s="27">
        <f>K605*(Presion_cilindro!O597/Presion_cilindro!O598)^Presion_cilindro!$B$9+10*(Presion_cilindro!$B$9-1)*Presion_cilindro!$B$33*(IF(Presion_cilindro!N598&gt;(-K$4+Presion_cilindro!$B$34),1-EXP(-Presion_cilindro!$B$16*((Presion_cilindro!N598-(-K$4+Presion_cilindro!$B$34))/Presion_cilindro!$B$35)^(Presion_cilindro!$B$17+1)),0)-IF(Presion_cilindro!N597&gt;(-K$4+Presion_cilindro!$B$34),1-EXP(-Presion_cilindro!$B$16*((Presion_cilindro!N597-(-K$4+Presion_cilindro!$B$34))/Presion_cilindro!$B$35)^(Presion_cilindro!$B$17+1)),0))/((Presion_cilindro!O597+Presion_cilindro!O598)/2)</f>
        <v>3.0524278647655927</v>
      </c>
      <c r="L606" s="27">
        <f>L605*(Presion_cilindro!O597/Presion_cilindro!O598)^Presion_cilindro!$B$9+10*(Presion_cilindro!$B$9-1)*Presion_cilindro!$B$33*(IF(Presion_cilindro!N598&gt;(-L$4+Presion_cilindro!$B$34),1-EXP(-Presion_cilindro!$B$16*((Presion_cilindro!N598-(-L$4+Presion_cilindro!$B$34))/Presion_cilindro!$B$35)^(Presion_cilindro!$B$17+1)),0)-IF(Presion_cilindro!N597&gt;(-L$4+Presion_cilindro!$B$34),1-EXP(-Presion_cilindro!$B$16*((Presion_cilindro!N597-(-L$4+Presion_cilindro!$B$34))/Presion_cilindro!$B$35)^(Presion_cilindro!$B$17+1)),0))/((Presion_cilindro!O597+Presion_cilindro!O598)/2)</f>
        <v>3.1139077249193803</v>
      </c>
      <c r="M606" s="27">
        <f>M605*(Presion_cilindro!O597/Presion_cilindro!O598)^Presion_cilindro!$B$9+10*(Presion_cilindro!$B$9-1)*Presion_cilindro!$B$33*(IF(Presion_cilindro!N598&gt;(-M$4+Presion_cilindro!$B$34),1-EXP(-Presion_cilindro!$B$16*((Presion_cilindro!N598-(-M$4+Presion_cilindro!$B$34))/Presion_cilindro!$B$35)^(Presion_cilindro!$B$17+1)),0)-IF(Presion_cilindro!N597&gt;(-M$4+Presion_cilindro!$B$34),1-EXP(-Presion_cilindro!$B$16*((Presion_cilindro!N597-(-M$4+Presion_cilindro!$B$34))/Presion_cilindro!$B$35)^(Presion_cilindro!$B$17+1)),0))/((Presion_cilindro!O597+Presion_cilindro!O598)/2)</f>
        <v>3.1927100893845775</v>
      </c>
      <c r="N606" s="27">
        <f>N605*(Presion_cilindro!O597/Presion_cilindro!O598)^Presion_cilindro!$B$9+10*(Presion_cilindro!$B$9-1)*Presion_cilindro!$B$33*(IF(Presion_cilindro!N598&gt;(-N$4+Presion_cilindro!$B$34),1-EXP(-Presion_cilindro!$B$16*((Presion_cilindro!N598-(-N$4+Presion_cilindro!$B$34))/Presion_cilindro!$B$35)^(Presion_cilindro!$B$17+1)),0)-IF(Presion_cilindro!N597&gt;(-N$4+Presion_cilindro!$B$34),1-EXP(-Presion_cilindro!$B$16*((Presion_cilindro!N597-(-N$4+Presion_cilindro!$B$34))/Presion_cilindro!$B$35)^(Presion_cilindro!$B$17+1)),0))/((Presion_cilindro!O597+Presion_cilindro!O598)/2)</f>
        <v>3.2848820342615737</v>
      </c>
    </row>
    <row r="607" spans="1:14" x14ac:dyDescent="0.25">
      <c r="A607" s="21">
        <f>Presion_cilindro!N599</f>
        <v>117.5</v>
      </c>
      <c r="B607" s="27">
        <f>B606*(Presion_cilindro!O598/Presion_cilindro!O599)^Presion_cilindro!$B$9+10*(Presion_cilindro!$B$9-1)*Presion_cilindro!$B$33*(IF(Presion_cilindro!N599&gt;(-B$4+Presion_cilindro!$B$34),1-EXP(-Presion_cilindro!$B$16*((Presion_cilindro!N599-(-B$4+Presion_cilindro!$B$34))/Presion_cilindro!$B$35)^(Presion_cilindro!$B$17+1)),0)-IF(Presion_cilindro!N598&gt;(-B$4+Presion_cilindro!$B$34),1-EXP(-Presion_cilindro!$B$16*((Presion_cilindro!N598-(-B$4+Presion_cilindro!$B$34))/Presion_cilindro!$B$35)^(Presion_cilindro!$B$17+1)),0))/((Presion_cilindro!O598+Presion_cilindro!O599)/2)</f>
        <v>3.4372633542148852</v>
      </c>
      <c r="C607" s="27">
        <f>C606*(Presion_cilindro!O598/Presion_cilindro!O599)^Presion_cilindro!$B$9+10*(Presion_cilindro!$B$9-1)*Presion_cilindro!$B$33*(IF(Presion_cilindro!N599&gt;(-C$4+Presion_cilindro!$B$34),1-EXP(-Presion_cilindro!$B$16*((Presion_cilindro!N599-(-C$4+Presion_cilindro!$B$34))/Presion_cilindro!$B$35)^(Presion_cilindro!$B$17+1)),0)-IF(Presion_cilindro!N598&gt;(-C$4+Presion_cilindro!$B$34),1-EXP(-Presion_cilindro!$B$16*((Presion_cilindro!N598-(-C$4+Presion_cilindro!$B$34))/Presion_cilindro!$B$35)^(Presion_cilindro!$B$17+1)),0))/((Presion_cilindro!O598+Presion_cilindro!O599)/2)</f>
        <v>3.3315889485954537</v>
      </c>
      <c r="D607" s="27">
        <f>D606*(Presion_cilindro!O598/Presion_cilindro!O599)^Presion_cilindro!$B$9+10*(Presion_cilindro!$B$9-1)*Presion_cilindro!$B$33*(IF(Presion_cilindro!N599&gt;(-D$4+Presion_cilindro!$B$34),1-EXP(-Presion_cilindro!$B$16*((Presion_cilindro!N599-(-D$4+Presion_cilindro!$B$34))/Presion_cilindro!$B$35)^(Presion_cilindro!$B$17+1)),0)-IF(Presion_cilindro!N598&gt;(-D$4+Presion_cilindro!$B$34),1-EXP(-Presion_cilindro!$B$16*((Presion_cilindro!N598-(-D$4+Presion_cilindro!$B$34))/Presion_cilindro!$B$35)^(Presion_cilindro!$B$17+1)),0))/((Presion_cilindro!O598+Presion_cilindro!O599)/2)</f>
        <v>3.2331686823276411</v>
      </c>
      <c r="E607" s="27">
        <f>E606*(Presion_cilindro!O598/Presion_cilindro!O599)^Presion_cilindro!$B$9+10*(Presion_cilindro!$B$9-1)*Presion_cilindro!$B$33*(IF(Presion_cilindro!N599&gt;(-E$4+Presion_cilindro!$B$34),1-EXP(-Presion_cilindro!$B$16*((Presion_cilindro!N599-(-E$4+Presion_cilindro!$B$34))/Presion_cilindro!$B$35)^(Presion_cilindro!$B$17+1)),0)-IF(Presion_cilindro!N598&gt;(-E$4+Presion_cilindro!$B$34),1-EXP(-Presion_cilindro!$B$16*((Presion_cilindro!N598-(-E$4+Presion_cilindro!$B$34))/Presion_cilindro!$B$35)^(Presion_cilindro!$B$17+1)),0))/((Presion_cilindro!O598+Presion_cilindro!O599)/2)</f>
        <v>3.145663912586024</v>
      </c>
      <c r="F607" s="27">
        <f>F606*(Presion_cilindro!O598/Presion_cilindro!O599)^Presion_cilindro!$B$9+10*(Presion_cilindro!$B$9-1)*Presion_cilindro!$B$33*(IF(Presion_cilindro!N599&gt;(-F$4+Presion_cilindro!$B$34),1-EXP(-Presion_cilindro!$B$16*((Presion_cilindro!N599-(-F$4+Presion_cilindro!$B$34))/Presion_cilindro!$B$35)^(Presion_cilindro!$B$17+1)),0)-IF(Presion_cilindro!N598&gt;(-F$4+Presion_cilindro!$B$34),1-EXP(-Presion_cilindro!$B$16*((Presion_cilindro!N598-(-F$4+Presion_cilindro!$B$34))/Presion_cilindro!$B$35)^(Presion_cilindro!$B$17+1)),0))/((Presion_cilindro!O598+Presion_cilindro!O599)/2)</f>
        <v>3.0730632592211116</v>
      </c>
      <c r="G607" s="27">
        <f>G606*(Presion_cilindro!O598/Presion_cilindro!O599)^Presion_cilindro!$B$9+10*(Presion_cilindro!$B$9-1)*Presion_cilindro!$B$33*(IF(Presion_cilindro!N599&gt;(-G$4+Presion_cilindro!$B$34),1-EXP(-Presion_cilindro!$B$16*((Presion_cilindro!N599-(-G$4+Presion_cilindro!$B$34))/Presion_cilindro!$B$35)^(Presion_cilindro!$B$17+1)),0)-IF(Presion_cilindro!N598&gt;(-G$4+Presion_cilindro!$B$34),1-EXP(-Presion_cilindro!$B$16*((Presion_cilindro!N598-(-G$4+Presion_cilindro!$B$34))/Presion_cilindro!$B$35)^(Presion_cilindro!$B$17+1)),0))/((Presion_cilindro!O598+Presion_cilindro!O599)/2)</f>
        <v>3.0192670273381976</v>
      </c>
      <c r="H607" s="27">
        <f>H606*(Presion_cilindro!O598/Presion_cilindro!O599)^Presion_cilindro!$B$9+10*(Presion_cilindro!$B$9-1)*Presion_cilindro!$B$33*(IF(Presion_cilindro!N599&gt;(-H$4+Presion_cilindro!$B$34),1-EXP(-Presion_cilindro!$B$16*((Presion_cilindro!N599-(-H$4+Presion_cilindro!$B$34))/Presion_cilindro!$B$35)^(Presion_cilindro!$B$17+1)),0)-IF(Presion_cilindro!N598&gt;(-H$4+Presion_cilindro!$B$34),1-EXP(-Presion_cilindro!$B$16*((Presion_cilindro!N598-(-H$4+Presion_cilindro!$B$34))/Presion_cilindro!$B$35)^(Presion_cilindro!$B$17+1)),0))/((Presion_cilindro!O598+Presion_cilindro!O599)/2)</f>
        <v>2.9875333442266925</v>
      </c>
      <c r="I607" s="27">
        <f>I606*(Presion_cilindro!O598/Presion_cilindro!O599)^Presion_cilindro!$B$9+10*(Presion_cilindro!$B$9-1)*Presion_cilindro!$B$33*(IF(Presion_cilindro!N599&gt;(-I$4+Presion_cilindro!$B$34),1-EXP(-Presion_cilindro!$B$16*((Presion_cilindro!N599-(-I$4+Presion_cilindro!$B$34))/Presion_cilindro!$B$35)^(Presion_cilindro!$B$17+1)),0)-IF(Presion_cilindro!N598&gt;(-I$4+Presion_cilindro!$B$34),1-EXP(-Presion_cilindro!$B$16*((Presion_cilindro!N598-(-I$4+Presion_cilindro!$B$34))/Presion_cilindro!$B$35)^(Presion_cilindro!$B$17+1)),0))/((Presion_cilindro!O598+Presion_cilindro!O599)/2)</f>
        <v>2.9799213189545712</v>
      </c>
      <c r="J607" s="27">
        <f>J606*(Presion_cilindro!O598/Presion_cilindro!O599)^Presion_cilindro!$B$9+10*(Presion_cilindro!$B$9-1)*Presion_cilindro!$B$33*(IF(Presion_cilindro!N599&gt;(-J$4+Presion_cilindro!$B$34),1-EXP(-Presion_cilindro!$B$16*((Presion_cilindro!N599-(-J$4+Presion_cilindro!$B$34))/Presion_cilindro!$B$35)^(Presion_cilindro!$B$17+1)),0)-IF(Presion_cilindro!N598&gt;(-J$4+Presion_cilindro!$B$34),1-EXP(-Presion_cilindro!$B$16*((Presion_cilindro!N598-(-J$4+Presion_cilindro!$B$34))/Presion_cilindro!$B$35)^(Presion_cilindro!$B$17+1)),0))/((Presion_cilindro!O598+Presion_cilindro!O599)/2)</f>
        <v>2.9969050439150453</v>
      </c>
      <c r="K607" s="27">
        <f>K606*(Presion_cilindro!O598/Presion_cilindro!O599)^Presion_cilindro!$B$9+10*(Presion_cilindro!$B$9-1)*Presion_cilindro!$B$33*(IF(Presion_cilindro!N599&gt;(-K$4+Presion_cilindro!$B$34),1-EXP(-Presion_cilindro!$B$16*((Presion_cilindro!N599-(-K$4+Presion_cilindro!$B$34))/Presion_cilindro!$B$35)^(Presion_cilindro!$B$17+1)),0)-IF(Presion_cilindro!N598&gt;(-K$4+Presion_cilindro!$B$34),1-EXP(-Presion_cilindro!$B$16*((Presion_cilindro!N598-(-K$4+Presion_cilindro!$B$34))/Presion_cilindro!$B$35)^(Presion_cilindro!$B$17+1)),0))/((Presion_cilindro!O598+Presion_cilindro!O599)/2)</f>
        <v>3.0372913145347304</v>
      </c>
      <c r="L607" s="27">
        <f>L606*(Presion_cilindro!O598/Presion_cilindro!O599)^Presion_cilindro!$B$9+10*(Presion_cilindro!$B$9-1)*Presion_cilindro!$B$33*(IF(Presion_cilindro!N599&gt;(-L$4+Presion_cilindro!$B$34),1-EXP(-Presion_cilindro!$B$16*((Presion_cilindro!N599-(-L$4+Presion_cilindro!$B$34))/Presion_cilindro!$B$35)^(Presion_cilindro!$B$17+1)),0)-IF(Presion_cilindro!N598&gt;(-L$4+Presion_cilindro!$B$34),1-EXP(-Presion_cilindro!$B$16*((Presion_cilindro!N598-(-L$4+Presion_cilindro!$B$34))/Presion_cilindro!$B$35)^(Presion_cilindro!$B$17+1)),0))/((Presion_cilindro!O598+Presion_cilindro!O599)/2)</f>
        <v>3.0984663049151333</v>
      </c>
      <c r="M607" s="27">
        <f>M606*(Presion_cilindro!O598/Presion_cilindro!O599)^Presion_cilindro!$B$9+10*(Presion_cilindro!$B$9-1)*Presion_cilindro!$B$33*(IF(Presion_cilindro!N599&gt;(-M$4+Presion_cilindro!$B$34),1-EXP(-Presion_cilindro!$B$16*((Presion_cilindro!N599-(-M$4+Presion_cilindro!$B$34))/Presion_cilindro!$B$35)^(Presion_cilindro!$B$17+1)),0)-IF(Presion_cilindro!N598&gt;(-M$4+Presion_cilindro!$B$34),1-EXP(-Presion_cilindro!$B$16*((Presion_cilindro!N598-(-M$4+Presion_cilindro!$B$34))/Presion_cilindro!$B$35)^(Presion_cilindro!$B$17+1)),0))/((Presion_cilindro!O598+Presion_cilindro!O599)/2)</f>
        <v>3.1768778998025113</v>
      </c>
      <c r="N607" s="27">
        <f>N606*(Presion_cilindro!O598/Presion_cilindro!O599)^Presion_cilindro!$B$9+10*(Presion_cilindro!$B$9-1)*Presion_cilindro!$B$33*(IF(Presion_cilindro!N599&gt;(-N$4+Presion_cilindro!$B$34),1-EXP(-Presion_cilindro!$B$16*((Presion_cilindro!N599-(-N$4+Presion_cilindro!$B$34))/Presion_cilindro!$B$35)^(Presion_cilindro!$B$17+1)),0)-IF(Presion_cilindro!N598&gt;(-N$4+Presion_cilindro!$B$34),1-EXP(-Presion_cilindro!$B$16*((Presion_cilindro!N598-(-N$4+Presion_cilindro!$B$34))/Presion_cilindro!$B$35)^(Presion_cilindro!$B$17+1)),0))/((Presion_cilindro!O598+Presion_cilindro!O599)/2)</f>
        <v>3.2685927772776493</v>
      </c>
    </row>
    <row r="608" spans="1:14" x14ac:dyDescent="0.25">
      <c r="A608" s="21">
        <f>Presion_cilindro!N600</f>
        <v>118</v>
      </c>
      <c r="B608" s="27">
        <f>B607*(Presion_cilindro!O599/Presion_cilindro!O600)^Presion_cilindro!$B$9+10*(Presion_cilindro!$B$9-1)*Presion_cilindro!$B$33*(IF(Presion_cilindro!N600&gt;(-B$4+Presion_cilindro!$B$34),1-EXP(-Presion_cilindro!$B$16*((Presion_cilindro!N600-(-B$4+Presion_cilindro!$B$34))/Presion_cilindro!$B$35)^(Presion_cilindro!$B$17+1)),0)-IF(Presion_cilindro!N599&gt;(-B$4+Presion_cilindro!$B$34),1-EXP(-Presion_cilindro!$B$16*((Presion_cilindro!N599-(-B$4+Presion_cilindro!$B$34))/Presion_cilindro!$B$35)^(Presion_cilindro!$B$17+1)),0))/((Presion_cilindro!O599+Presion_cilindro!O600)/2)</f>
        <v>3.4204020868807286</v>
      </c>
      <c r="C608" s="27">
        <f>C607*(Presion_cilindro!O599/Presion_cilindro!O600)^Presion_cilindro!$B$9+10*(Presion_cilindro!$B$9-1)*Presion_cilindro!$B$33*(IF(Presion_cilindro!N600&gt;(-C$4+Presion_cilindro!$B$34),1-EXP(-Presion_cilindro!$B$16*((Presion_cilindro!N600-(-C$4+Presion_cilindro!$B$34))/Presion_cilindro!$B$35)^(Presion_cilindro!$B$17+1)),0)-IF(Presion_cilindro!N599&gt;(-C$4+Presion_cilindro!$B$34),1-EXP(-Presion_cilindro!$B$16*((Presion_cilindro!N599-(-C$4+Presion_cilindro!$B$34))/Presion_cilindro!$B$35)^(Presion_cilindro!$B$17+1)),0))/((Presion_cilindro!O599+Presion_cilindro!O600)/2)</f>
        <v>3.3152460600469502</v>
      </c>
      <c r="D608" s="27">
        <f>D607*(Presion_cilindro!O599/Presion_cilindro!O600)^Presion_cilindro!$B$9+10*(Presion_cilindro!$B$9-1)*Presion_cilindro!$B$33*(IF(Presion_cilindro!N600&gt;(-D$4+Presion_cilindro!$B$34),1-EXP(-Presion_cilindro!$B$16*((Presion_cilindro!N600-(-D$4+Presion_cilindro!$B$34))/Presion_cilindro!$B$35)^(Presion_cilindro!$B$17+1)),0)-IF(Presion_cilindro!N599&gt;(-D$4+Presion_cilindro!$B$34),1-EXP(-Presion_cilindro!$B$16*((Presion_cilindro!N599-(-D$4+Presion_cilindro!$B$34))/Presion_cilindro!$B$35)^(Presion_cilindro!$B$17+1)),0))/((Presion_cilindro!O599+Presion_cilindro!O600)/2)</f>
        <v>3.217308587865487</v>
      </c>
      <c r="E608" s="27">
        <f>E607*(Presion_cilindro!O599/Presion_cilindro!O600)^Presion_cilindro!$B$9+10*(Presion_cilindro!$B$9-1)*Presion_cilindro!$B$33*(IF(Presion_cilindro!N600&gt;(-E$4+Presion_cilindro!$B$34),1-EXP(-Presion_cilindro!$B$16*((Presion_cilindro!N600-(-E$4+Presion_cilindro!$B$34))/Presion_cilindro!$B$35)^(Presion_cilindro!$B$17+1)),0)-IF(Presion_cilindro!N599&gt;(-E$4+Presion_cilindro!$B$34),1-EXP(-Presion_cilindro!$B$16*((Presion_cilindro!N599-(-E$4+Presion_cilindro!$B$34))/Presion_cilindro!$B$35)^(Presion_cilindro!$B$17+1)),0))/((Presion_cilindro!O599+Presion_cilindro!O600)/2)</f>
        <v>3.1302330669662135</v>
      </c>
      <c r="F608" s="27">
        <f>F607*(Presion_cilindro!O599/Presion_cilindro!O600)^Presion_cilindro!$B$9+10*(Presion_cilindro!$B$9-1)*Presion_cilindro!$B$33*(IF(Presion_cilindro!N600&gt;(-F$4+Presion_cilindro!$B$34),1-EXP(-Presion_cilindro!$B$16*((Presion_cilindro!N600-(-F$4+Presion_cilindro!$B$34))/Presion_cilindro!$B$35)^(Presion_cilindro!$B$17+1)),0)-IF(Presion_cilindro!N599&gt;(-F$4+Presion_cilindro!$B$34),1-EXP(-Presion_cilindro!$B$16*((Presion_cilindro!N599-(-F$4+Presion_cilindro!$B$34))/Presion_cilindro!$B$35)^(Presion_cilindro!$B$17+1)),0))/((Presion_cilindro!O599+Presion_cilindro!O600)/2)</f>
        <v>3.057988551289593</v>
      </c>
      <c r="G608" s="27">
        <f>G607*(Presion_cilindro!O599/Presion_cilindro!O600)^Presion_cilindro!$B$9+10*(Presion_cilindro!$B$9-1)*Presion_cilindro!$B$33*(IF(Presion_cilindro!N600&gt;(-G$4+Presion_cilindro!$B$34),1-EXP(-Presion_cilindro!$B$16*((Presion_cilindro!N600-(-G$4+Presion_cilindro!$B$34))/Presion_cilindro!$B$35)^(Presion_cilindro!$B$17+1)),0)-IF(Presion_cilindro!N599&gt;(-G$4+Presion_cilindro!$B$34),1-EXP(-Presion_cilindro!$B$16*((Presion_cilindro!N599-(-G$4+Presion_cilindro!$B$34))/Presion_cilindro!$B$35)^(Presion_cilindro!$B$17+1)),0))/((Presion_cilindro!O599+Presion_cilindro!O600)/2)</f>
        <v>3.0044562132529959</v>
      </c>
      <c r="H608" s="27">
        <f>H607*(Presion_cilindro!O599/Presion_cilindro!O600)^Presion_cilindro!$B$9+10*(Presion_cilindro!$B$9-1)*Presion_cilindro!$B$33*(IF(Presion_cilindro!N600&gt;(-H$4+Presion_cilindro!$B$34),1-EXP(-Presion_cilindro!$B$16*((Presion_cilindro!N600-(-H$4+Presion_cilindro!$B$34))/Presion_cilindro!$B$35)^(Presion_cilindro!$B$17+1)),0)-IF(Presion_cilindro!N599&gt;(-H$4+Presion_cilindro!$B$34),1-EXP(-Presion_cilindro!$B$16*((Presion_cilindro!N599-(-H$4+Presion_cilindro!$B$34))/Presion_cilindro!$B$35)^(Presion_cilindro!$B$17+1)),0))/((Presion_cilindro!O599+Presion_cilindro!O600)/2)</f>
        <v>2.9728781976185794</v>
      </c>
      <c r="I608" s="27">
        <f>I607*(Presion_cilindro!O599/Presion_cilindro!O600)^Presion_cilindro!$B$9+10*(Presion_cilindro!$B$9-1)*Presion_cilindro!$B$33*(IF(Presion_cilindro!N600&gt;(-I$4+Presion_cilindro!$B$34),1-EXP(-Presion_cilindro!$B$16*((Presion_cilindro!N600-(-I$4+Presion_cilindro!$B$34))/Presion_cilindro!$B$35)^(Presion_cilindro!$B$17+1)),0)-IF(Presion_cilindro!N599&gt;(-I$4+Presion_cilindro!$B$34),1-EXP(-Presion_cilindro!$B$16*((Presion_cilindro!N599-(-I$4+Presion_cilindro!$B$34))/Presion_cilindro!$B$35)^(Presion_cilindro!$B$17+1)),0))/((Presion_cilindro!O599+Presion_cilindro!O600)/2)</f>
        <v>2.9653035126314005</v>
      </c>
      <c r="J608" s="27">
        <f>J607*(Presion_cilindro!O599/Presion_cilindro!O600)^Presion_cilindro!$B$9+10*(Presion_cilindro!$B$9-1)*Presion_cilindro!$B$33*(IF(Presion_cilindro!N600&gt;(-J$4+Presion_cilindro!$B$34),1-EXP(-Presion_cilindro!$B$16*((Presion_cilindro!N600-(-J$4+Presion_cilindro!$B$34))/Presion_cilindro!$B$35)^(Presion_cilindro!$B$17+1)),0)-IF(Presion_cilindro!N599&gt;(-J$4+Presion_cilindro!$B$34),1-EXP(-Presion_cilindro!$B$16*((Presion_cilindro!N599-(-J$4+Presion_cilindro!$B$34))/Presion_cilindro!$B$35)^(Presion_cilindro!$B$17+1)),0))/((Presion_cilindro!O599+Presion_cilindro!O600)/2)</f>
        <v>2.9822039250558894</v>
      </c>
      <c r="K608" s="27">
        <f>K607*(Presion_cilindro!O599/Presion_cilindro!O600)^Presion_cilindro!$B$9+10*(Presion_cilindro!$B$9-1)*Presion_cilindro!$B$33*(IF(Presion_cilindro!N600&gt;(-K$4+Presion_cilindro!$B$34),1-EXP(-Presion_cilindro!$B$16*((Presion_cilindro!N600-(-K$4+Presion_cilindro!$B$34))/Presion_cilindro!$B$35)^(Presion_cilindro!$B$17+1)),0)-IF(Presion_cilindro!N599&gt;(-K$4+Presion_cilindro!$B$34),1-EXP(-Presion_cilindro!$B$16*((Presion_cilindro!N599-(-K$4+Presion_cilindro!$B$34))/Presion_cilindro!$B$35)^(Presion_cilindro!$B$17+1)),0))/((Presion_cilindro!O599+Presion_cilindro!O600)/2)</f>
        <v>3.0223920835045321</v>
      </c>
      <c r="L608" s="27">
        <f>L607*(Presion_cilindro!O599/Presion_cilindro!O600)^Presion_cilindro!$B$9+10*(Presion_cilindro!$B$9-1)*Presion_cilindro!$B$33*(IF(Presion_cilindro!N600&gt;(-L$4+Presion_cilindro!$B$34),1-EXP(-Presion_cilindro!$B$16*((Presion_cilindro!N600-(-L$4+Presion_cilindro!$B$34))/Presion_cilindro!$B$35)^(Presion_cilindro!$B$17+1)),0)-IF(Presion_cilindro!N599&gt;(-L$4+Presion_cilindro!$B$34),1-EXP(-Presion_cilindro!$B$16*((Presion_cilindro!N599-(-L$4+Presion_cilindro!$B$34))/Presion_cilindro!$B$35)^(Presion_cilindro!$B$17+1)),0))/((Presion_cilindro!O599+Presion_cilindro!O600)/2)</f>
        <v>3.0832669840283624</v>
      </c>
      <c r="M608" s="27">
        <f>M607*(Presion_cilindro!O599/Presion_cilindro!O600)^Presion_cilindro!$B$9+10*(Presion_cilindro!$B$9-1)*Presion_cilindro!$B$33*(IF(Presion_cilindro!N600&gt;(-M$4+Presion_cilindro!$B$34),1-EXP(-Presion_cilindro!$B$16*((Presion_cilindro!N600-(-M$4+Presion_cilindro!$B$34))/Presion_cilindro!$B$35)^(Presion_cilindro!$B$17+1)),0)-IF(Presion_cilindro!N599&gt;(-M$4+Presion_cilindro!$B$34),1-EXP(-Presion_cilindro!$B$16*((Presion_cilindro!N599-(-M$4+Presion_cilindro!$B$34))/Presion_cilindro!$B$35)^(Presion_cilindro!$B$17+1)),0))/((Presion_cilindro!O599+Presion_cilindro!O600)/2)</f>
        <v>3.1612939360393453</v>
      </c>
      <c r="N608" s="27">
        <f>N607*(Presion_cilindro!O599/Presion_cilindro!O600)^Presion_cilindro!$B$9+10*(Presion_cilindro!$B$9-1)*Presion_cilindro!$B$33*(IF(Presion_cilindro!N600&gt;(-N$4+Presion_cilindro!$B$34),1-EXP(-Presion_cilindro!$B$16*((Presion_cilindro!N600-(-N$4+Presion_cilindro!$B$34))/Presion_cilindro!$B$35)^(Presion_cilindro!$B$17+1)),0)-IF(Presion_cilindro!N599&gt;(-N$4+Presion_cilindro!$B$34),1-EXP(-Presion_cilindro!$B$16*((Presion_cilindro!N599-(-N$4+Presion_cilindro!$B$34))/Presion_cilindro!$B$35)^(Presion_cilindro!$B$17+1)),0))/((Presion_cilindro!O599+Presion_cilindro!O600)/2)</f>
        <v>3.2525589122679781</v>
      </c>
    </row>
    <row r="609" spans="1:14" x14ac:dyDescent="0.25">
      <c r="A609" s="21">
        <f>Presion_cilindro!N601</f>
        <v>118.5</v>
      </c>
      <c r="B609" s="27">
        <f>B608*(Presion_cilindro!O600/Presion_cilindro!O601)^Presion_cilindro!$B$9+10*(Presion_cilindro!$B$9-1)*Presion_cilindro!$B$33*(IF(Presion_cilindro!N601&gt;(-B$4+Presion_cilindro!$B$34),1-EXP(-Presion_cilindro!$B$16*((Presion_cilindro!N601-(-B$4+Presion_cilindro!$B$34))/Presion_cilindro!$B$35)^(Presion_cilindro!$B$17+1)),0)-IF(Presion_cilindro!N600&gt;(-B$4+Presion_cilindro!$B$34),1-EXP(-Presion_cilindro!$B$16*((Presion_cilindro!N600-(-B$4+Presion_cilindro!$B$34))/Presion_cilindro!$B$35)^(Presion_cilindro!$B$17+1)),0))/((Presion_cilindro!O600+Presion_cilindro!O601)/2)</f>
        <v>3.4038051110920091</v>
      </c>
      <c r="C609" s="27">
        <f>C608*(Presion_cilindro!O600/Presion_cilindro!O601)^Presion_cilindro!$B$9+10*(Presion_cilindro!$B$9-1)*Presion_cilindro!$B$33*(IF(Presion_cilindro!N601&gt;(-C$4+Presion_cilindro!$B$34),1-EXP(-Presion_cilindro!$B$16*((Presion_cilindro!N601-(-C$4+Presion_cilindro!$B$34))/Presion_cilindro!$B$35)^(Presion_cilindro!$B$17+1)),0)-IF(Presion_cilindro!N600&gt;(-C$4+Presion_cilindro!$B$34),1-EXP(-Presion_cilindro!$B$16*((Presion_cilindro!N600-(-C$4+Presion_cilindro!$B$34))/Presion_cilindro!$B$35)^(Presion_cilindro!$B$17+1)),0))/((Presion_cilindro!O600+Presion_cilindro!O601)/2)</f>
        <v>3.2991593377275796</v>
      </c>
      <c r="D609" s="27">
        <f>D608*(Presion_cilindro!O600/Presion_cilindro!O601)^Presion_cilindro!$B$9+10*(Presion_cilindro!$B$9-1)*Presion_cilindro!$B$33*(IF(Presion_cilindro!N601&gt;(-D$4+Presion_cilindro!$B$34),1-EXP(-Presion_cilindro!$B$16*((Presion_cilindro!N601-(-D$4+Presion_cilindro!$B$34))/Presion_cilindro!$B$35)^(Presion_cilindro!$B$17+1)),0)-IF(Presion_cilindro!N600&gt;(-D$4+Presion_cilindro!$B$34),1-EXP(-Presion_cilindro!$B$16*((Presion_cilindro!N600-(-D$4+Presion_cilindro!$B$34))/Presion_cilindro!$B$35)^(Presion_cilindro!$B$17+1)),0))/((Presion_cilindro!O600+Presion_cilindro!O601)/2)</f>
        <v>3.2016970920877088</v>
      </c>
      <c r="E609" s="27">
        <f>E608*(Presion_cilindro!O600/Presion_cilindro!O601)^Presion_cilindro!$B$9+10*(Presion_cilindro!$B$9-1)*Presion_cilindro!$B$33*(IF(Presion_cilindro!N601&gt;(-E$4+Presion_cilindro!$B$34),1-EXP(-Presion_cilindro!$B$16*((Presion_cilindro!N601-(-E$4+Presion_cilindro!$B$34))/Presion_cilindro!$B$35)^(Presion_cilindro!$B$17+1)),0)-IF(Presion_cilindro!N600&gt;(-E$4+Presion_cilindro!$B$34),1-EXP(-Presion_cilindro!$B$16*((Presion_cilindro!N600-(-E$4+Presion_cilindro!$B$34))/Presion_cilindro!$B$35)^(Presion_cilindro!$B$17+1)),0))/((Presion_cilindro!O600+Presion_cilindro!O601)/2)</f>
        <v>3.1150440917797129</v>
      </c>
      <c r="F609" s="27">
        <f>F608*(Presion_cilindro!O600/Presion_cilindro!O601)^Presion_cilindro!$B$9+10*(Presion_cilindro!$B$9-1)*Presion_cilindro!$B$33*(IF(Presion_cilindro!N601&gt;(-F$4+Presion_cilindro!$B$34),1-EXP(-Presion_cilindro!$B$16*((Presion_cilindro!N601-(-F$4+Presion_cilindro!$B$34))/Presion_cilindro!$B$35)^(Presion_cilindro!$B$17+1)),0)-IF(Presion_cilindro!N600&gt;(-F$4+Presion_cilindro!$B$34),1-EXP(-Presion_cilindro!$B$16*((Presion_cilindro!N600-(-F$4+Presion_cilindro!$B$34))/Presion_cilindro!$B$35)^(Presion_cilindro!$B$17+1)),0))/((Presion_cilindro!O600+Presion_cilindro!O601)/2)</f>
        <v>3.0431501315194134</v>
      </c>
      <c r="G609" s="27">
        <f>G608*(Presion_cilindro!O600/Presion_cilindro!O601)^Presion_cilindro!$B$9+10*(Presion_cilindro!$B$9-1)*Presion_cilindro!$B$33*(IF(Presion_cilindro!N601&gt;(-G$4+Presion_cilindro!$B$34),1-EXP(-Presion_cilindro!$B$16*((Presion_cilindro!N601-(-G$4+Presion_cilindro!$B$34))/Presion_cilindro!$B$35)^(Presion_cilindro!$B$17+1)),0)-IF(Presion_cilindro!N600&gt;(-G$4+Presion_cilindro!$B$34),1-EXP(-Presion_cilindro!$B$16*((Presion_cilindro!N600-(-G$4+Presion_cilindro!$B$34))/Presion_cilindro!$B$35)^(Presion_cilindro!$B$17+1)),0))/((Presion_cilindro!O600+Presion_cilindro!O601)/2)</f>
        <v>2.9898775509311335</v>
      </c>
      <c r="H609" s="27">
        <f>H608*(Presion_cilindro!O600/Presion_cilindro!O601)^Presion_cilindro!$B$9+10*(Presion_cilindro!$B$9-1)*Presion_cilindro!$B$33*(IF(Presion_cilindro!N601&gt;(-H$4+Presion_cilindro!$B$34),1-EXP(-Presion_cilindro!$B$16*((Presion_cilindro!N601-(-H$4+Presion_cilindro!$B$34))/Presion_cilindro!$B$35)^(Presion_cilindro!$B$17+1)),0)-IF(Presion_cilindro!N600&gt;(-H$4+Presion_cilindro!$B$34),1-EXP(-Presion_cilindro!$B$16*((Presion_cilindro!N600-(-H$4+Presion_cilindro!$B$34))/Presion_cilindro!$B$35)^(Presion_cilindro!$B$17+1)),0))/((Presion_cilindro!O600+Presion_cilindro!O601)/2)</f>
        <v>2.9584527627675312</v>
      </c>
      <c r="I609" s="27">
        <f>I608*(Presion_cilindro!O600/Presion_cilindro!O601)^Presion_cilindro!$B$9+10*(Presion_cilindro!$B$9-1)*Presion_cilindro!$B$33*(IF(Presion_cilindro!N601&gt;(-I$4+Presion_cilindro!$B$34),1-EXP(-Presion_cilindro!$B$16*((Presion_cilindro!N601-(-I$4+Presion_cilindro!$B$34))/Presion_cilindro!$B$35)^(Presion_cilindro!$B$17+1)),0)-IF(Presion_cilindro!N600&gt;(-I$4+Presion_cilindro!$B$34),1-EXP(-Presion_cilindro!$B$16*((Presion_cilindro!N600-(-I$4+Presion_cilindro!$B$34))/Presion_cilindro!$B$35)^(Presion_cilindro!$B$17+1)),0))/((Presion_cilindro!O600+Presion_cilindro!O601)/2)</f>
        <v>2.9509148327758603</v>
      </c>
      <c r="J609" s="27">
        <f>J608*(Presion_cilindro!O600/Presion_cilindro!O601)^Presion_cilindro!$B$9+10*(Presion_cilindro!$B$9-1)*Presion_cilindro!$B$33*(IF(Presion_cilindro!N601&gt;(-J$4+Presion_cilindro!$B$34),1-EXP(-Presion_cilindro!$B$16*((Presion_cilindro!N601-(-J$4+Presion_cilindro!$B$34))/Presion_cilindro!$B$35)^(Presion_cilindro!$B$17+1)),0)-IF(Presion_cilindro!N600&gt;(-J$4+Presion_cilindro!$B$34),1-EXP(-Presion_cilindro!$B$16*((Presion_cilindro!N600-(-J$4+Presion_cilindro!$B$34))/Presion_cilindro!$B$35)^(Presion_cilindro!$B$17+1)),0))/((Presion_cilindro!O600+Presion_cilindro!O601)/2)</f>
        <v>2.9677332385447857</v>
      </c>
      <c r="K609" s="27">
        <f>K608*(Presion_cilindro!O600/Presion_cilindro!O601)^Presion_cilindro!$B$9+10*(Presion_cilindro!$B$9-1)*Presion_cilindro!$B$33*(IF(Presion_cilindro!N601&gt;(-K$4+Presion_cilindro!$B$34),1-EXP(-Presion_cilindro!$B$16*((Presion_cilindro!N601-(-K$4+Presion_cilindro!$B$34))/Presion_cilindro!$B$35)^(Presion_cilindro!$B$17+1)),0)-IF(Presion_cilindro!N600&gt;(-K$4+Presion_cilindro!$B$34),1-EXP(-Presion_cilindro!$B$16*((Presion_cilindro!N600-(-K$4+Presion_cilindro!$B$34))/Presion_cilindro!$B$35)^(Presion_cilindro!$B$17+1)),0))/((Presion_cilindro!O600+Presion_cilindro!O601)/2)</f>
        <v>3.0077263901270359</v>
      </c>
      <c r="L609" s="27">
        <f>L608*(Presion_cilindro!O600/Presion_cilindro!O601)^Presion_cilindro!$B$9+10*(Presion_cilindro!$B$9-1)*Presion_cilindro!$B$33*(IF(Presion_cilindro!N601&gt;(-L$4+Presion_cilindro!$B$34),1-EXP(-Presion_cilindro!$B$16*((Presion_cilindro!N601-(-L$4+Presion_cilindro!$B$34))/Presion_cilindro!$B$35)^(Presion_cilindro!$B$17+1)),0)-IF(Presion_cilindro!N600&gt;(-L$4+Presion_cilindro!$B$34),1-EXP(-Presion_cilindro!$B$16*((Presion_cilindro!N600-(-L$4+Presion_cilindro!$B$34))/Presion_cilindro!$B$35)^(Presion_cilindro!$B$17+1)),0))/((Presion_cilindro!O600+Presion_cilindro!O601)/2)</f>
        <v>3.0683059045458201</v>
      </c>
      <c r="M609" s="27">
        <f>M608*(Presion_cilindro!O600/Presion_cilindro!O601)^Presion_cilindro!$B$9+10*(Presion_cilindro!$B$9-1)*Presion_cilindro!$B$33*(IF(Presion_cilindro!N601&gt;(-M$4+Presion_cilindro!$B$34),1-EXP(-Presion_cilindro!$B$16*((Presion_cilindro!N601-(-M$4+Presion_cilindro!$B$34))/Presion_cilindro!$B$35)^(Presion_cilindro!$B$17+1)),0)-IF(Presion_cilindro!N600&gt;(-M$4+Presion_cilindro!$B$34),1-EXP(-Presion_cilindro!$B$16*((Presion_cilindro!N600-(-M$4+Presion_cilindro!$B$34))/Presion_cilindro!$B$35)^(Presion_cilindro!$B$17+1)),0))/((Presion_cilindro!O600+Presion_cilindro!O601)/2)</f>
        <v>3.1459542427562908</v>
      </c>
      <c r="N609" s="27">
        <f>N608*(Presion_cilindro!O600/Presion_cilindro!O601)^Presion_cilindro!$B$9+10*(Presion_cilindro!$B$9-1)*Presion_cilindro!$B$33*(IF(Presion_cilindro!N601&gt;(-N$4+Presion_cilindro!$B$34),1-EXP(-Presion_cilindro!$B$16*((Presion_cilindro!N601-(-N$4+Presion_cilindro!$B$34))/Presion_cilindro!$B$35)^(Presion_cilindro!$B$17+1)),0)-IF(Presion_cilindro!N600&gt;(-N$4+Presion_cilindro!$B$34),1-EXP(-Presion_cilindro!$B$16*((Presion_cilindro!N600-(-N$4+Presion_cilindro!$B$34))/Presion_cilindro!$B$35)^(Presion_cilindro!$B$17+1)),0))/((Presion_cilindro!O600+Presion_cilindro!O601)/2)</f>
        <v>3.2367763697051166</v>
      </c>
    </row>
    <row r="610" spans="1:14" x14ac:dyDescent="0.25">
      <c r="A610" s="21">
        <f>Presion_cilindro!N602</f>
        <v>119</v>
      </c>
      <c r="B610" s="27">
        <f>B609*(Presion_cilindro!O601/Presion_cilindro!O602)^Presion_cilindro!$B$9+10*(Presion_cilindro!$B$9-1)*Presion_cilindro!$B$33*(IF(Presion_cilindro!N602&gt;(-B$4+Presion_cilindro!$B$34),1-EXP(-Presion_cilindro!$B$16*((Presion_cilindro!N602-(-B$4+Presion_cilindro!$B$34))/Presion_cilindro!$B$35)^(Presion_cilindro!$B$17+1)),0)-IF(Presion_cilindro!N601&gt;(-B$4+Presion_cilindro!$B$34),1-EXP(-Presion_cilindro!$B$16*((Presion_cilindro!N601-(-B$4+Presion_cilindro!$B$34))/Presion_cilindro!$B$35)^(Presion_cilindro!$B$17+1)),0))/((Presion_cilindro!O601+Presion_cilindro!O602)/2)</f>
        <v>3.3874682365349118</v>
      </c>
      <c r="C610" s="27">
        <f>C609*(Presion_cilindro!O601/Presion_cilindro!O602)^Presion_cilindro!$B$9+10*(Presion_cilindro!$B$9-1)*Presion_cilindro!$B$33*(IF(Presion_cilindro!N602&gt;(-C$4+Presion_cilindro!$B$34),1-EXP(-Presion_cilindro!$B$16*((Presion_cilindro!N602-(-C$4+Presion_cilindro!$B$34))/Presion_cilindro!$B$35)^(Presion_cilindro!$B$17+1)),0)-IF(Presion_cilindro!N601&gt;(-C$4+Presion_cilindro!$B$34),1-EXP(-Presion_cilindro!$B$16*((Presion_cilindro!N601-(-C$4+Presion_cilindro!$B$34))/Presion_cilindro!$B$35)^(Presion_cilindro!$B$17+1)),0))/((Presion_cilindro!O601+Presion_cilindro!O602)/2)</f>
        <v>3.2833247201495364</v>
      </c>
      <c r="D610" s="27">
        <f>D609*(Presion_cilindro!O601/Presion_cilindro!O602)^Presion_cilindro!$B$9+10*(Presion_cilindro!$B$9-1)*Presion_cilindro!$B$33*(IF(Presion_cilindro!N602&gt;(-D$4+Presion_cilindro!$B$34),1-EXP(-Presion_cilindro!$B$16*((Presion_cilindro!N602-(-D$4+Presion_cilindro!$B$34))/Presion_cilindro!$B$35)^(Presion_cilindro!$B$17+1)),0)-IF(Presion_cilindro!N601&gt;(-D$4+Presion_cilindro!$B$34),1-EXP(-Presion_cilindro!$B$16*((Presion_cilindro!N601-(-D$4+Presion_cilindro!$B$34))/Presion_cilindro!$B$35)^(Presion_cilindro!$B$17+1)),0))/((Presion_cilindro!O601+Presion_cilindro!O602)/2)</f>
        <v>3.1863302534891034</v>
      </c>
      <c r="E610" s="27">
        <f>E609*(Presion_cilindro!O601/Presion_cilindro!O602)^Presion_cilindro!$B$9+10*(Presion_cilindro!$B$9-1)*Presion_cilindro!$B$33*(IF(Presion_cilindro!N602&gt;(-E$4+Presion_cilindro!$B$34),1-EXP(-Presion_cilindro!$B$16*((Presion_cilindro!N602-(-E$4+Presion_cilindro!$B$34))/Presion_cilindro!$B$35)^(Presion_cilindro!$B$17+1)),0)-IF(Presion_cilindro!N601&gt;(-E$4+Presion_cilindro!$B$34),1-EXP(-Presion_cilindro!$B$16*((Presion_cilindro!N601-(-E$4+Presion_cilindro!$B$34))/Presion_cilindro!$B$35)^(Presion_cilindro!$B$17+1)),0))/((Presion_cilindro!O601+Presion_cilindro!O602)/2)</f>
        <v>3.1000931521970099</v>
      </c>
      <c r="F610" s="27">
        <f>F609*(Presion_cilindro!O601/Presion_cilindro!O602)^Presion_cilindro!$B$9+10*(Presion_cilindro!$B$9-1)*Presion_cilindro!$B$33*(IF(Presion_cilindro!N602&gt;(-F$4+Presion_cilindro!$B$34),1-EXP(-Presion_cilindro!$B$16*((Presion_cilindro!N602-(-F$4+Presion_cilindro!$B$34))/Presion_cilindro!$B$35)^(Presion_cilindro!$B$17+1)),0)-IF(Presion_cilindro!N601&gt;(-F$4+Presion_cilindro!$B$34),1-EXP(-Presion_cilindro!$B$16*((Presion_cilindro!N601-(-F$4+Presion_cilindro!$B$34))/Presion_cilindro!$B$35)^(Presion_cilindro!$B$17+1)),0))/((Presion_cilindro!O601+Presion_cilindro!O602)/2)</f>
        <v>3.0285442535873783</v>
      </c>
      <c r="G610" s="27">
        <f>G609*(Presion_cilindro!O601/Presion_cilindro!O602)^Presion_cilindro!$B$9+10*(Presion_cilindro!$B$9-1)*Presion_cilindro!$B$33*(IF(Presion_cilindro!N602&gt;(-G$4+Presion_cilindro!$B$34),1-EXP(-Presion_cilindro!$B$16*((Presion_cilindro!N602-(-G$4+Presion_cilindro!$B$34))/Presion_cilindro!$B$35)^(Presion_cilindro!$B$17+1)),0)-IF(Presion_cilindro!N601&gt;(-G$4+Presion_cilindro!$B$34),1-EXP(-Presion_cilindro!$B$16*((Presion_cilindro!N601-(-G$4+Presion_cilindro!$B$34))/Presion_cilindro!$B$35)^(Presion_cilindro!$B$17+1)),0))/((Presion_cilindro!O601+Presion_cilindro!O602)/2)</f>
        <v>2.9755273596315579</v>
      </c>
      <c r="H610" s="27">
        <f>H609*(Presion_cilindro!O601/Presion_cilindro!O602)^Presion_cilindro!$B$9+10*(Presion_cilindro!$B$9-1)*Presion_cilindro!$B$33*(IF(Presion_cilindro!N602&gt;(-H$4+Presion_cilindro!$B$34),1-EXP(-Presion_cilindro!$B$16*((Presion_cilindro!N602-(-H$4+Presion_cilindro!$B$34))/Presion_cilindro!$B$35)^(Presion_cilindro!$B$17+1)),0)-IF(Presion_cilindro!N601&gt;(-H$4+Presion_cilindro!$B$34),1-EXP(-Presion_cilindro!$B$16*((Presion_cilindro!N601-(-H$4+Presion_cilindro!$B$34))/Presion_cilindro!$B$35)^(Presion_cilindro!$B$17+1)),0))/((Presion_cilindro!O601+Presion_cilindro!O602)/2)</f>
        <v>2.9442533976185303</v>
      </c>
      <c r="I610" s="27">
        <f>I609*(Presion_cilindro!O601/Presion_cilindro!O602)^Presion_cilindro!$B$9+10*(Presion_cilindro!$B$9-1)*Presion_cilindro!$B$33*(IF(Presion_cilindro!N602&gt;(-I$4+Presion_cilindro!$B$34),1-EXP(-Presion_cilindro!$B$16*((Presion_cilindro!N602-(-I$4+Presion_cilindro!$B$34))/Presion_cilindro!$B$35)^(Presion_cilindro!$B$17+1)),0)-IF(Presion_cilindro!N601&gt;(-I$4+Presion_cilindro!$B$34),1-EXP(-Presion_cilindro!$B$16*((Presion_cilindro!N601-(-I$4+Presion_cilindro!$B$34))/Presion_cilindro!$B$35)^(Presion_cilindro!$B$17+1)),0))/((Presion_cilindro!O601+Presion_cilindro!O602)/2)</f>
        <v>2.9367516466126342</v>
      </c>
      <c r="J610" s="27">
        <f>J609*(Presion_cilindro!O601/Presion_cilindro!O602)^Presion_cilindro!$B$9+10*(Presion_cilindro!$B$9-1)*Presion_cilindro!$B$33*(IF(Presion_cilindro!N602&gt;(-J$4+Presion_cilindro!$B$34),1-EXP(-Presion_cilindro!$B$16*((Presion_cilindro!N602-(-J$4+Presion_cilindro!$B$34))/Presion_cilindro!$B$35)^(Presion_cilindro!$B$17+1)),0)-IF(Presion_cilindro!N601&gt;(-J$4+Presion_cilindro!$B$34),1-EXP(-Presion_cilindro!$B$16*((Presion_cilindro!N601-(-J$4+Presion_cilindro!$B$34))/Presion_cilindro!$B$35)^(Presion_cilindro!$B$17+1)),0))/((Presion_cilindro!O601+Presion_cilindro!O602)/2)</f>
        <v>2.9534893309018244</v>
      </c>
      <c r="K610" s="27">
        <f>K609*(Presion_cilindro!O601/Presion_cilindro!O602)^Presion_cilindro!$B$9+10*(Presion_cilindro!$B$9-1)*Presion_cilindro!$B$33*(IF(Presion_cilindro!N602&gt;(-K$4+Presion_cilindro!$B$34),1-EXP(-Presion_cilindro!$B$16*((Presion_cilindro!N602-(-K$4+Presion_cilindro!$B$34))/Presion_cilindro!$B$35)^(Presion_cilindro!$B$17+1)),0)-IF(Presion_cilindro!N601&gt;(-K$4+Presion_cilindro!$B$34),1-EXP(-Presion_cilindro!$B$16*((Presion_cilindro!N601-(-K$4+Presion_cilindro!$B$34))/Presion_cilindro!$B$35)^(Presion_cilindro!$B$17+1)),0))/((Presion_cilindro!O601+Presion_cilindro!O602)/2)</f>
        <v>2.9932905316880634</v>
      </c>
      <c r="L610" s="27">
        <f>L609*(Presion_cilindro!O601/Presion_cilindro!O602)^Presion_cilindro!$B$9+10*(Presion_cilindro!$B$9-1)*Presion_cilindro!$B$33*(IF(Presion_cilindro!N602&gt;(-L$4+Presion_cilindro!$B$34),1-EXP(-Presion_cilindro!$B$16*((Presion_cilindro!N602-(-L$4+Presion_cilindro!$B$34))/Presion_cilindro!$B$35)^(Presion_cilindro!$B$17+1)),0)-IF(Presion_cilindro!N601&gt;(-L$4+Presion_cilindro!$B$34),1-EXP(-Presion_cilindro!$B$16*((Presion_cilindro!N601-(-L$4+Presion_cilindro!$B$34))/Presion_cilindro!$B$35)^(Presion_cilindro!$B$17+1)),0))/((Presion_cilindro!O601+Presion_cilindro!O602)/2)</f>
        <v>3.0535792891758571</v>
      </c>
      <c r="M610" s="27">
        <f>M609*(Presion_cilindro!O601/Presion_cilindro!O602)^Presion_cilindro!$B$9+10*(Presion_cilindro!$B$9-1)*Presion_cilindro!$B$33*(IF(Presion_cilindro!N602&gt;(-M$4+Presion_cilindro!$B$34),1-EXP(-Presion_cilindro!$B$16*((Presion_cilindro!N602-(-M$4+Presion_cilindro!$B$34))/Presion_cilindro!$B$35)^(Presion_cilindro!$B$17+1)),0)-IF(Presion_cilindro!N601&gt;(-M$4+Presion_cilindro!$B$34),1-EXP(-Presion_cilindro!$B$16*((Presion_cilindro!N601-(-M$4+Presion_cilindro!$B$34))/Presion_cilindro!$B$35)^(Presion_cilindro!$B$17+1)),0))/((Presion_cilindro!O601+Presion_cilindro!O602)/2)</f>
        <v>3.130854947071354</v>
      </c>
      <c r="N610" s="27">
        <f>N609*(Presion_cilindro!O601/Presion_cilindro!O602)^Presion_cilindro!$B$9+10*(Presion_cilindro!$B$9-1)*Presion_cilindro!$B$33*(IF(Presion_cilindro!N602&gt;(-N$4+Presion_cilindro!$B$34),1-EXP(-Presion_cilindro!$B$16*((Presion_cilindro!N602-(-N$4+Presion_cilindro!$B$34))/Presion_cilindro!$B$35)^(Presion_cilindro!$B$17+1)),0)-IF(Presion_cilindro!N601&gt;(-N$4+Presion_cilindro!$B$34),1-EXP(-Presion_cilindro!$B$16*((Presion_cilindro!N601-(-N$4+Presion_cilindro!$B$34))/Presion_cilindro!$B$35)^(Presion_cilindro!$B$17+1)),0))/((Presion_cilindro!O601+Presion_cilindro!O602)/2)</f>
        <v>3.2212411648989034</v>
      </c>
    </row>
    <row r="611" spans="1:14" x14ac:dyDescent="0.25">
      <c r="A611" s="21">
        <f>Presion_cilindro!N603</f>
        <v>119.5</v>
      </c>
      <c r="B611" s="27">
        <f>B610*(Presion_cilindro!O602/Presion_cilindro!O603)^Presion_cilindro!$B$9+10*(Presion_cilindro!$B$9-1)*Presion_cilindro!$B$33*(IF(Presion_cilindro!N603&gt;(-B$4+Presion_cilindro!$B$34),1-EXP(-Presion_cilindro!$B$16*((Presion_cilindro!N603-(-B$4+Presion_cilindro!$B$34))/Presion_cilindro!$B$35)^(Presion_cilindro!$B$17+1)),0)-IF(Presion_cilindro!N602&gt;(-B$4+Presion_cilindro!$B$34),1-EXP(-Presion_cilindro!$B$16*((Presion_cilindro!N602-(-B$4+Presion_cilindro!$B$34))/Presion_cilindro!$B$35)^(Presion_cilindro!$B$17+1)),0))/((Presion_cilindro!O602+Presion_cilindro!O603)/2)</f>
        <v>3.3713873601012456</v>
      </c>
      <c r="C611" s="27">
        <f>C610*(Presion_cilindro!O602/Presion_cilindro!O603)^Presion_cilindro!$B$9+10*(Presion_cilindro!$B$9-1)*Presion_cilindro!$B$33*(IF(Presion_cilindro!N603&gt;(-C$4+Presion_cilindro!$B$34),1-EXP(-Presion_cilindro!$B$16*((Presion_cilindro!N603-(-C$4+Presion_cilindro!$B$34))/Presion_cilindro!$B$35)^(Presion_cilindro!$B$17+1)),0)-IF(Presion_cilindro!N602&gt;(-C$4+Presion_cilindro!$B$34),1-EXP(-Presion_cilindro!$B$16*((Presion_cilindro!N602-(-C$4+Presion_cilindro!$B$34))/Presion_cilindro!$B$35)^(Presion_cilindro!$B$17+1)),0))/((Presion_cilindro!O602+Presion_cilindro!O603)/2)</f>
        <v>3.2677382303496101</v>
      </c>
      <c r="D611" s="27">
        <f>D610*(Presion_cilindro!O602/Presion_cilindro!O603)^Presion_cilindro!$B$9+10*(Presion_cilindro!$B$9-1)*Presion_cilindro!$B$33*(IF(Presion_cilindro!N603&gt;(-D$4+Presion_cilindro!$B$34),1-EXP(-Presion_cilindro!$B$16*((Presion_cilindro!N603-(-D$4+Presion_cilindro!$B$34))/Presion_cilindro!$B$35)^(Presion_cilindro!$B$17+1)),0)-IF(Presion_cilindro!N602&gt;(-D$4+Presion_cilindro!$B$34),1-EXP(-Presion_cilindro!$B$16*((Presion_cilindro!N602-(-D$4+Presion_cilindro!$B$34))/Presion_cilindro!$B$35)^(Presion_cilindro!$B$17+1)),0))/((Presion_cilindro!O602+Presion_cilindro!O603)/2)</f>
        <v>3.1712042125920754</v>
      </c>
      <c r="E611" s="27">
        <f>E610*(Presion_cilindro!O602/Presion_cilindro!O603)^Presion_cilindro!$B$9+10*(Presion_cilindro!$B$9-1)*Presion_cilindro!$B$33*(IF(Presion_cilindro!N603&gt;(-E$4+Presion_cilindro!$B$34),1-EXP(-Presion_cilindro!$B$16*((Presion_cilindro!N603-(-E$4+Presion_cilindro!$B$34))/Presion_cilindro!$B$35)^(Presion_cilindro!$B$17+1)),0)-IF(Presion_cilindro!N602&gt;(-E$4+Presion_cilindro!$B$34),1-EXP(-Presion_cilindro!$B$16*((Presion_cilindro!N602-(-E$4+Presion_cilindro!$B$34))/Presion_cilindro!$B$35)^(Presion_cilindro!$B$17+1)),0))/((Presion_cilindro!O602+Presion_cilindro!O603)/2)</f>
        <v>3.085376493196148</v>
      </c>
      <c r="F611" s="27">
        <f>F610*(Presion_cilindro!O602/Presion_cilindro!O603)^Presion_cilindro!$B$9+10*(Presion_cilindro!$B$9-1)*Presion_cilindro!$B$33*(IF(Presion_cilindro!N603&gt;(-F$4+Presion_cilindro!$B$34),1-EXP(-Presion_cilindro!$B$16*((Presion_cilindro!N603-(-F$4+Presion_cilindro!$B$34))/Presion_cilindro!$B$35)^(Presion_cilindro!$B$17+1)),0)-IF(Presion_cilindro!N602&gt;(-F$4+Presion_cilindro!$B$34),1-EXP(-Presion_cilindro!$B$16*((Presion_cilindro!N602-(-F$4+Presion_cilindro!$B$34))/Presion_cilindro!$B$35)^(Presion_cilindro!$B$17+1)),0))/((Presion_cilindro!O602+Presion_cilindro!O603)/2)</f>
        <v>3.0141672491359226</v>
      </c>
      <c r="G611" s="27">
        <f>G610*(Presion_cilindro!O602/Presion_cilindro!O603)^Presion_cilindro!$B$9+10*(Presion_cilindro!$B$9-1)*Presion_cilindro!$B$33*(IF(Presion_cilindro!N603&gt;(-G$4+Presion_cilindro!$B$34),1-EXP(-Presion_cilindro!$B$16*((Presion_cilindro!N603-(-G$4+Presion_cilindro!$B$34))/Presion_cilindro!$B$35)^(Presion_cilindro!$B$17+1)),0)-IF(Presion_cilindro!N602&gt;(-G$4+Presion_cilindro!$B$34),1-EXP(-Presion_cilindro!$B$16*((Presion_cilindro!N602-(-G$4+Presion_cilindro!$B$34))/Presion_cilindro!$B$35)^(Presion_cilindro!$B$17+1)),0))/((Presion_cilindro!O602+Presion_cilindro!O603)/2)</f>
        <v>2.9614020352140003</v>
      </c>
      <c r="H611" s="27">
        <f>H610*(Presion_cilindro!O602/Presion_cilindro!O603)^Presion_cilindro!$B$9+10*(Presion_cilindro!$B$9-1)*Presion_cilindro!$B$33*(IF(Presion_cilindro!N603&gt;(-H$4+Presion_cilindro!$B$34),1-EXP(-Presion_cilindro!$B$16*((Presion_cilindro!N603-(-H$4+Presion_cilindro!$B$34))/Presion_cilindro!$B$35)^(Presion_cilindro!$B$17+1)),0)-IF(Presion_cilindro!N602&gt;(-H$4+Presion_cilindro!$B$34),1-EXP(-Presion_cilindro!$B$16*((Presion_cilindro!N602-(-H$4+Presion_cilindro!$B$34))/Presion_cilindro!$B$35)^(Presion_cilindro!$B$17+1)),0))/((Presion_cilindro!O602+Presion_cilindro!O603)/2)</f>
        <v>2.9302765359122382</v>
      </c>
      <c r="I611" s="27">
        <f>I610*(Presion_cilindro!O602/Presion_cilindro!O603)^Presion_cilindro!$B$9+10*(Presion_cilindro!$B$9-1)*Presion_cilindro!$B$33*(IF(Presion_cilindro!N603&gt;(-I$4+Presion_cilindro!$B$34),1-EXP(-Presion_cilindro!$B$16*((Presion_cilindro!N603-(-I$4+Presion_cilindro!$B$34))/Presion_cilindro!$B$35)^(Presion_cilindro!$B$17+1)),0)-IF(Presion_cilindro!N602&gt;(-I$4+Presion_cilindro!$B$34),1-EXP(-Presion_cilindro!$B$16*((Presion_cilindro!N602-(-I$4+Presion_cilindro!$B$34))/Presion_cilindro!$B$35)^(Presion_cilindro!$B$17+1)),0))/((Presion_cilindro!O602+Presion_cilindro!O603)/2)</f>
        <v>2.9228103969689623</v>
      </c>
      <c r="J611" s="27">
        <f>J610*(Presion_cilindro!O602/Presion_cilindro!O603)^Presion_cilindro!$B$9+10*(Presion_cilindro!$B$9-1)*Presion_cilindro!$B$33*(IF(Presion_cilindro!N603&gt;(-J$4+Presion_cilindro!$B$34),1-EXP(-Presion_cilindro!$B$16*((Presion_cilindro!N603-(-J$4+Presion_cilindro!$B$34))/Presion_cilindro!$B$35)^(Presion_cilindro!$B$17+1)),0)-IF(Presion_cilindro!N602&gt;(-J$4+Presion_cilindro!$B$34),1-EXP(-Presion_cilindro!$B$16*((Presion_cilindro!N602-(-J$4+Presion_cilindro!$B$34))/Presion_cilindro!$B$35)^(Presion_cilindro!$B$17+1)),0))/((Presion_cilindro!O602+Presion_cilindro!O603)/2)</f>
        <v>2.9394686246805417</v>
      </c>
      <c r="K611" s="27">
        <f>K610*(Presion_cilindro!O602/Presion_cilindro!O603)^Presion_cilindro!$B$9+10*(Presion_cilindro!$B$9-1)*Presion_cilindro!$B$33*(IF(Presion_cilindro!N603&gt;(-K$4+Presion_cilindro!$B$34),1-EXP(-Presion_cilindro!$B$16*((Presion_cilindro!N603-(-K$4+Presion_cilindro!$B$34))/Presion_cilindro!$B$35)^(Presion_cilindro!$B$17+1)),0)-IF(Presion_cilindro!N602&gt;(-K$4+Presion_cilindro!$B$34),1-EXP(-Presion_cilindro!$B$16*((Presion_cilindro!N602-(-K$4+Presion_cilindro!$B$34))/Presion_cilindro!$B$35)^(Presion_cilindro!$B$17+1)),0))/((Presion_cilindro!O602+Presion_cilindro!O603)/2)</f>
        <v>2.9790808825315076</v>
      </c>
      <c r="L611" s="27">
        <f>L610*(Presion_cilindro!O602/Presion_cilindro!O603)^Presion_cilindro!$B$9+10*(Presion_cilindro!$B$9-1)*Presion_cilindro!$B$33*(IF(Presion_cilindro!N603&gt;(-L$4+Presion_cilindro!$B$34),1-EXP(-Presion_cilindro!$B$16*((Presion_cilindro!N603-(-L$4+Presion_cilindro!$B$34))/Presion_cilindro!$B$35)^(Presion_cilindro!$B$17+1)),0)-IF(Presion_cilindro!N602&gt;(-L$4+Presion_cilindro!$B$34),1-EXP(-Presion_cilindro!$B$16*((Presion_cilindro!N602-(-L$4+Presion_cilindro!$B$34))/Presion_cilindro!$B$35)^(Presion_cilindro!$B$17+1)),0))/((Presion_cilindro!O602+Presion_cilindro!O603)/2)</f>
        <v>3.0390834392369457</v>
      </c>
      <c r="M611" s="27">
        <f>M610*(Presion_cilindro!O602/Presion_cilindro!O603)^Presion_cilindro!$B$9+10*(Presion_cilindro!$B$9-1)*Presion_cilindro!$B$33*(IF(Presion_cilindro!N603&gt;(-M$4+Presion_cilindro!$B$34),1-EXP(-Presion_cilindro!$B$16*((Presion_cilindro!N603-(-M$4+Presion_cilindro!$B$34))/Presion_cilindro!$B$35)^(Presion_cilindro!$B$17+1)),0)-IF(Presion_cilindro!N602&gt;(-M$4+Presion_cilindro!$B$34),1-EXP(-Presion_cilindro!$B$16*((Presion_cilindro!N602-(-M$4+Presion_cilindro!$B$34))/Presion_cilindro!$B$35)^(Presion_cilindro!$B$17+1)),0))/((Presion_cilindro!O602+Presion_cilindro!O603)/2)</f>
        <v>3.115992256702016</v>
      </c>
      <c r="N611" s="27">
        <f>N610*(Presion_cilindro!O602/Presion_cilindro!O603)^Presion_cilindro!$B$9+10*(Presion_cilindro!$B$9-1)*Presion_cilindro!$B$33*(IF(Presion_cilindro!N603&gt;(-N$4+Presion_cilindro!$B$34),1-EXP(-Presion_cilindro!$B$16*((Presion_cilindro!N603-(-N$4+Presion_cilindro!$B$34))/Presion_cilindro!$B$35)^(Presion_cilindro!$B$17+1)),0)-IF(Presion_cilindro!N602&gt;(-N$4+Presion_cilindro!$B$34),1-EXP(-Presion_cilindro!$B$16*((Presion_cilindro!N602-(-N$4+Presion_cilindro!$B$34))/Presion_cilindro!$B$35)^(Presion_cilindro!$B$17+1)),0))/((Presion_cilindro!O602+Presion_cilindro!O603)/2)</f>
        <v>3.2059493960855181</v>
      </c>
    </row>
    <row r="612" spans="1:14" x14ac:dyDescent="0.25">
      <c r="A612" s="21">
        <f>Presion_cilindro!N604</f>
        <v>120</v>
      </c>
      <c r="B612" s="27">
        <f>B611*(Presion_cilindro!O603/Presion_cilindro!O604)^Presion_cilindro!$B$9+10*(Presion_cilindro!$B$9-1)*Presion_cilindro!$B$33*(IF(Presion_cilindro!N604&gt;(-B$4+Presion_cilindro!$B$34),1-EXP(-Presion_cilindro!$B$16*((Presion_cilindro!N604-(-B$4+Presion_cilindro!$B$34))/Presion_cilindro!$B$35)^(Presion_cilindro!$B$17+1)),0)-IF(Presion_cilindro!N603&gt;(-B$4+Presion_cilindro!$B$34),1-EXP(-Presion_cilindro!$B$16*((Presion_cilindro!N603-(-B$4+Presion_cilindro!$B$34))/Presion_cilindro!$B$35)^(Presion_cilindro!$B$17+1)),0))/((Presion_cilindro!O603+Presion_cilindro!O604)/2)</f>
        <v>3.3555584639312732</v>
      </c>
      <c r="C612" s="27">
        <f>C611*(Presion_cilindro!O603/Presion_cilindro!O604)^Presion_cilindro!$B$9+10*(Presion_cilindro!$B$9-1)*Presion_cilindro!$B$33*(IF(Presion_cilindro!N604&gt;(-C$4+Presion_cilindro!$B$34),1-EXP(-Presion_cilindro!$B$16*((Presion_cilindro!N604-(-C$4+Presion_cilindro!$B$34))/Presion_cilindro!$B$35)^(Presion_cilindro!$B$17+1)),0)-IF(Presion_cilindro!N603&gt;(-C$4+Presion_cilindro!$B$34),1-EXP(-Presion_cilindro!$B$16*((Presion_cilindro!N603-(-C$4+Presion_cilindro!$B$34))/Presion_cilindro!$B$35)^(Presion_cilindro!$B$17+1)),0))/((Presion_cilindro!O603+Presion_cilindro!O604)/2)</f>
        <v>3.2523959739921859</v>
      </c>
      <c r="D612" s="27">
        <f>D611*(Presion_cilindro!O603/Presion_cilindro!O604)^Presion_cilindro!$B$9+10*(Presion_cilindro!$B$9-1)*Presion_cilindro!$B$33*(IF(Presion_cilindro!N604&gt;(-D$4+Presion_cilindro!$B$34),1-EXP(-Presion_cilindro!$B$16*((Presion_cilindro!N604-(-D$4+Presion_cilindro!$B$34))/Presion_cilindro!$B$35)^(Presion_cilindro!$B$17+1)),0)-IF(Presion_cilindro!N603&gt;(-D$4+Presion_cilindro!$B$34),1-EXP(-Presion_cilindro!$B$16*((Presion_cilindro!N603-(-D$4+Presion_cilindro!$B$34))/Presion_cilindro!$B$35)^(Presion_cilindro!$B$17+1)),0))/((Presion_cilindro!O603+Presion_cilindro!O604)/2)</f>
        <v>3.1563151901056794</v>
      </c>
      <c r="E612" s="27">
        <f>E611*(Presion_cilindro!O603/Presion_cilindro!O604)^Presion_cilindro!$B$9+10*(Presion_cilindro!$B$9-1)*Presion_cilindro!$B$33*(IF(Presion_cilindro!N604&gt;(-E$4+Presion_cilindro!$B$34),1-EXP(-Presion_cilindro!$B$16*((Presion_cilindro!N604-(-E$4+Presion_cilindro!$B$34))/Presion_cilindro!$B$35)^(Presion_cilindro!$B$17+1)),0)-IF(Presion_cilindro!N603&gt;(-E$4+Presion_cilindro!$B$34),1-EXP(-Presion_cilindro!$B$16*((Presion_cilindro!N603-(-E$4+Presion_cilindro!$B$34))/Presion_cilindro!$B$35)^(Presion_cilindro!$B$17+1)),0))/((Presion_cilindro!O603+Presion_cilindro!O604)/2)</f>
        <v>3.0708904377715918</v>
      </c>
      <c r="F612" s="27">
        <f>F611*(Presion_cilindro!O603/Presion_cilindro!O604)^Presion_cilindro!$B$9+10*(Presion_cilindro!$B$9-1)*Presion_cilindro!$B$33*(IF(Presion_cilindro!N604&gt;(-F$4+Presion_cilindro!$B$34),1-EXP(-Presion_cilindro!$B$16*((Presion_cilindro!N604-(-F$4+Presion_cilindro!$B$34))/Presion_cilindro!$B$35)^(Presion_cilindro!$B$17+1)),0)-IF(Presion_cilindro!N603&gt;(-F$4+Presion_cilindro!$B$34),1-EXP(-Presion_cilindro!$B$16*((Presion_cilindro!N603-(-F$4+Presion_cilindro!$B$34))/Presion_cilindro!$B$35)^(Presion_cilindro!$B$17+1)),0))/((Presion_cilindro!O603+Presion_cilindro!O604)/2)</f>
        <v>3.0000155260233132</v>
      </c>
      <c r="G612" s="27">
        <f>G611*(Presion_cilindro!O603/Presion_cilindro!O604)^Presion_cilindro!$B$9+10*(Presion_cilindro!$B$9-1)*Presion_cilindro!$B$33*(IF(Presion_cilindro!N604&gt;(-G$4+Presion_cilindro!$B$34),1-EXP(-Presion_cilindro!$B$16*((Presion_cilindro!N604-(-G$4+Presion_cilindro!$B$34))/Presion_cilindro!$B$35)^(Presion_cilindro!$B$17+1)),0)-IF(Presion_cilindro!N603&gt;(-G$4+Presion_cilindro!$B$34),1-EXP(-Presion_cilindro!$B$16*((Presion_cilindro!N603-(-G$4+Presion_cilindro!$B$34))/Presion_cilindro!$B$35)^(Presion_cilindro!$B$17+1)),0))/((Presion_cilindro!O603+Presion_cilindro!O604)/2)</f>
        <v>2.9474980484198103</v>
      </c>
      <c r="H612" s="27">
        <f>H611*(Presion_cilindro!O603/Presion_cilindro!O604)^Presion_cilindro!$B$9+10*(Presion_cilindro!$B$9-1)*Presion_cilindro!$B$33*(IF(Presion_cilindro!N604&gt;(-H$4+Presion_cilindro!$B$34),1-EXP(-Presion_cilindro!$B$16*((Presion_cilindro!N604-(-H$4+Presion_cilindro!$B$34))/Presion_cilindro!$B$35)^(Presion_cilindro!$B$17+1)),0)-IF(Presion_cilindro!N603&gt;(-H$4+Presion_cilindro!$B$34),1-EXP(-Presion_cilindro!$B$16*((Presion_cilindro!N603-(-H$4+Presion_cilindro!$B$34))/Presion_cilindro!$B$35)^(Presion_cilindro!$B$17+1)),0))/((Presion_cilindro!O603+Presion_cilindro!O604)/2)</f>
        <v>2.9165186854839007</v>
      </c>
      <c r="I612" s="27">
        <f>I611*(Presion_cilindro!O603/Presion_cilindro!O604)^Presion_cilindro!$B$9+10*(Presion_cilindro!$B$9-1)*Presion_cilindro!$B$33*(IF(Presion_cilindro!N604&gt;(-I$4+Presion_cilindro!$B$34),1-EXP(-Presion_cilindro!$B$16*((Presion_cilindro!N604-(-I$4+Presion_cilindro!$B$34))/Presion_cilindro!$B$35)^(Presion_cilindro!$B$17+1)),0)-IF(Presion_cilindro!N603&gt;(-I$4+Presion_cilindro!$B$34),1-EXP(-Presion_cilindro!$B$16*((Presion_cilindro!N603-(-I$4+Presion_cilindro!$B$34))/Presion_cilindro!$B$35)^(Presion_cilindro!$B$17+1)),0))/((Presion_cilindro!O603+Presion_cilindro!O604)/2)</f>
        <v>2.9090876005778803</v>
      </c>
      <c r="J612" s="27">
        <f>J611*(Presion_cilindro!O603/Presion_cilindro!O604)^Presion_cilindro!$B$9+10*(Presion_cilindro!$B$9-1)*Presion_cilindro!$B$33*(IF(Presion_cilindro!N604&gt;(-J$4+Presion_cilindro!$B$34),1-EXP(-Presion_cilindro!$B$16*((Presion_cilindro!N604-(-J$4+Presion_cilindro!$B$34))/Presion_cilindro!$B$35)^(Presion_cilindro!$B$17+1)),0)-IF(Presion_cilindro!N603&gt;(-J$4+Presion_cilindro!$B$34),1-EXP(-Presion_cilindro!$B$16*((Presion_cilindro!N603-(-J$4+Presion_cilindro!$B$34))/Presion_cilindro!$B$35)^(Presion_cilindro!$B$17+1)),0))/((Presion_cilindro!O603+Presion_cilindro!O604)/2)</f>
        <v>2.9256676167614866</v>
      </c>
      <c r="K612" s="27">
        <f>K611*(Presion_cilindro!O603/Presion_cilindro!O604)^Presion_cilindro!$B$9+10*(Presion_cilindro!$B$9-1)*Presion_cilindro!$B$33*(IF(Presion_cilindro!N604&gt;(-K$4+Presion_cilindro!$B$34),1-EXP(-Presion_cilindro!$B$16*((Presion_cilindro!N604-(-K$4+Presion_cilindro!$B$34))/Presion_cilindro!$B$35)^(Presion_cilindro!$B$17+1)),0)-IF(Presion_cilindro!N603&gt;(-K$4+Presion_cilindro!$B$34),1-EXP(-Presion_cilindro!$B$16*((Presion_cilindro!N603-(-K$4+Presion_cilindro!$B$34))/Presion_cilindro!$B$35)^(Presion_cilindro!$B$17+1)),0))/((Presion_cilindro!O603+Presion_cilindro!O604)/2)</f>
        <v>2.9650938923299055</v>
      </c>
      <c r="L612" s="27">
        <f>L611*(Presion_cilindro!O603/Presion_cilindro!O604)^Presion_cilindro!$B$9+10*(Presion_cilindro!$B$9-1)*Presion_cilindro!$B$33*(IF(Presion_cilindro!N604&gt;(-L$4+Presion_cilindro!$B$34),1-EXP(-Presion_cilindro!$B$16*((Presion_cilindro!N604-(-L$4+Presion_cilindro!$B$34))/Presion_cilindro!$B$35)^(Presion_cilindro!$B$17+1)),0)-IF(Presion_cilindro!N603&gt;(-L$4+Presion_cilindro!$B$34),1-EXP(-Presion_cilindro!$B$16*((Presion_cilindro!N603-(-L$4+Presion_cilindro!$B$34))/Presion_cilindro!$B$35)^(Presion_cilindro!$B$17+1)),0))/((Presion_cilindro!O603+Presion_cilindro!O604)/2)</f>
        <v>3.0248147328934185</v>
      </c>
      <c r="M612" s="27">
        <f>M611*(Presion_cilindro!O603/Presion_cilindro!O604)^Presion_cilindro!$B$9+10*(Presion_cilindro!$B$9-1)*Presion_cilindro!$B$33*(IF(Presion_cilindro!N604&gt;(-M$4+Presion_cilindro!$B$34),1-EXP(-Presion_cilindro!$B$16*((Presion_cilindro!N604-(-M$4+Presion_cilindro!$B$34))/Presion_cilindro!$B$35)^(Presion_cilindro!$B$17+1)),0)-IF(Presion_cilindro!N603&gt;(-M$4+Presion_cilindro!$B$34),1-EXP(-Presion_cilindro!$B$16*((Presion_cilindro!N603-(-M$4+Presion_cilindro!$B$34))/Presion_cilindro!$B$35)^(Presion_cilindro!$B$17+1)),0))/((Presion_cilindro!O603+Presion_cilindro!O604)/2)</f>
        <v>3.1013624581563239</v>
      </c>
      <c r="N612" s="27">
        <f>N611*(Presion_cilindro!O603/Presion_cilindro!O604)^Presion_cilindro!$B$9+10*(Presion_cilindro!$B$9-1)*Presion_cilindro!$B$33*(IF(Presion_cilindro!N604&gt;(-N$4+Presion_cilindro!$B$34),1-EXP(-Presion_cilindro!$B$16*((Presion_cilindro!N604-(-N$4+Presion_cilindro!$B$34))/Presion_cilindro!$B$35)^(Presion_cilindro!$B$17+1)),0)-IF(Presion_cilindro!N603&gt;(-N$4+Presion_cilindro!$B$34),1-EXP(-Presion_cilindro!$B$16*((Presion_cilindro!N603-(-N$4+Presion_cilindro!$B$34))/Presion_cilindro!$B$35)^(Presion_cilindro!$B$17+1)),0))/((Presion_cilindro!O603+Presion_cilindro!O604)/2)</f>
        <v>3.1908972425663511</v>
      </c>
    </row>
    <row r="613" spans="1:14" x14ac:dyDescent="0.25">
      <c r="A613" s="21">
        <f>Presion_cilindro!N605</f>
        <v>120.5</v>
      </c>
      <c r="B613" s="27">
        <f>B612*(Presion_cilindro!O604/Presion_cilindro!O605)^Presion_cilindro!$B$9+10*(Presion_cilindro!$B$9-1)*Presion_cilindro!$B$33*(IF(Presion_cilindro!N605&gt;(-B$4+Presion_cilindro!$B$34),1-EXP(-Presion_cilindro!$B$16*((Presion_cilindro!N605-(-B$4+Presion_cilindro!$B$34))/Presion_cilindro!$B$35)^(Presion_cilindro!$B$17+1)),0)-IF(Presion_cilindro!N604&gt;(-B$4+Presion_cilindro!$B$34),1-EXP(-Presion_cilindro!$B$16*((Presion_cilindro!N604-(-B$4+Presion_cilindro!$B$34))/Presion_cilindro!$B$35)^(Presion_cilindro!$B$17+1)),0))/((Presion_cilindro!O604+Presion_cilindro!O605)/2)</f>
        <v>3.339977613507449</v>
      </c>
      <c r="C613" s="27">
        <f>C612*(Presion_cilindro!O604/Presion_cilindro!O605)^Presion_cilindro!$B$9+10*(Presion_cilindro!$B$9-1)*Presion_cilindro!$B$33*(IF(Presion_cilindro!N605&gt;(-C$4+Presion_cilindro!$B$34),1-EXP(-Presion_cilindro!$B$16*((Presion_cilindro!N605-(-C$4+Presion_cilindro!$B$34))/Presion_cilindro!$B$35)^(Presion_cilindro!$B$17+1)),0)-IF(Presion_cilindro!N604&gt;(-C$4+Presion_cilindro!$B$34),1-EXP(-Presion_cilindro!$B$16*((Presion_cilindro!N604-(-C$4+Presion_cilindro!$B$34))/Presion_cilindro!$B$35)^(Presion_cilindro!$B$17+1)),0))/((Presion_cilindro!O604+Presion_cilindro!O605)/2)</f>
        <v>3.2372941375215882</v>
      </c>
      <c r="D613" s="27">
        <f>D612*(Presion_cilindro!O604/Presion_cilindro!O605)^Presion_cilindro!$B$9+10*(Presion_cilindro!$B$9-1)*Presion_cilindro!$B$33*(IF(Presion_cilindro!N605&gt;(-D$4+Presion_cilindro!$B$34),1-EXP(-Presion_cilindro!$B$16*((Presion_cilindro!N605-(-D$4+Presion_cilindro!$B$34))/Presion_cilindro!$B$35)^(Presion_cilindro!$B$17+1)),0)-IF(Presion_cilindro!N604&gt;(-D$4+Presion_cilindro!$B$34),1-EXP(-Presion_cilindro!$B$16*((Presion_cilindro!N604-(-D$4+Presion_cilindro!$B$34))/Presion_cilindro!$B$35)^(Presion_cilindro!$B$17+1)),0))/((Presion_cilindro!O604+Presion_cilindro!O605)/2)</f>
        <v>3.141659485132545</v>
      </c>
      <c r="E613" s="27">
        <f>E612*(Presion_cilindro!O604/Presion_cilindro!O605)^Presion_cilindro!$B$9+10*(Presion_cilindro!$B$9-1)*Presion_cilindro!$B$33*(IF(Presion_cilindro!N605&gt;(-E$4+Presion_cilindro!$B$34),1-EXP(-Presion_cilindro!$B$16*((Presion_cilindro!N605-(-E$4+Presion_cilindro!$B$34))/Presion_cilindro!$B$35)^(Presion_cilindro!$B$17+1)),0)-IF(Presion_cilindro!N604&gt;(-E$4+Presion_cilindro!$B$34),1-EXP(-Presion_cilindro!$B$16*((Presion_cilindro!N604-(-E$4+Presion_cilindro!$B$34))/Presion_cilindro!$B$35)^(Presion_cilindro!$B$17+1)),0))/((Presion_cilindro!O604+Presion_cilindro!O605)/2)</f>
        <v>3.0566313851896814</v>
      </c>
      <c r="F613" s="27">
        <f>F612*(Presion_cilindro!O604/Presion_cilindro!O605)^Presion_cilindro!$B$9+10*(Presion_cilindro!$B$9-1)*Presion_cilindro!$B$33*(IF(Presion_cilindro!N605&gt;(-F$4+Presion_cilindro!$B$34),1-EXP(-Presion_cilindro!$B$16*((Presion_cilindro!N605-(-F$4+Presion_cilindro!$B$34))/Presion_cilindro!$B$35)^(Presion_cilindro!$B$17+1)),0)-IF(Presion_cilindro!N604&gt;(-F$4+Presion_cilindro!$B$34),1-EXP(-Presion_cilindro!$B$16*((Presion_cilindro!N604-(-F$4+Presion_cilindro!$B$34))/Presion_cilindro!$B$35)^(Presion_cilindro!$B$17+1)),0))/((Presion_cilindro!O604+Presion_cilindro!O605)/2)</f>
        <v>2.9860855666193706</v>
      </c>
      <c r="G613" s="27">
        <f>G612*(Presion_cilindro!O604/Presion_cilindro!O605)^Presion_cilindro!$B$9+10*(Presion_cilindro!$B$9-1)*Presion_cilindro!$B$33*(IF(Presion_cilindro!N605&gt;(-G$4+Presion_cilindro!$B$34),1-EXP(-Presion_cilindro!$B$16*((Presion_cilindro!N605-(-G$4+Presion_cilindro!$B$34))/Presion_cilindro!$B$35)^(Presion_cilindro!$B$17+1)),0)-IF(Presion_cilindro!N604&gt;(-G$4+Presion_cilindro!$B$34),1-EXP(-Presion_cilindro!$B$16*((Presion_cilindro!N604-(-G$4+Presion_cilindro!$B$34))/Presion_cilindro!$B$35)^(Presion_cilindro!$B$17+1)),0))/((Presion_cilindro!O604+Presion_cilindro!O605)/2)</f>
        <v>2.9338119431975103</v>
      </c>
      <c r="H613" s="27">
        <f>H612*(Presion_cilindro!O604/Presion_cilindro!O605)^Presion_cilindro!$B$9+10*(Presion_cilindro!$B$9-1)*Presion_cilindro!$B$33*(IF(Presion_cilindro!N605&gt;(-H$4+Presion_cilindro!$B$34),1-EXP(-Presion_cilindro!$B$16*((Presion_cilindro!N605-(-H$4+Presion_cilindro!$B$34))/Presion_cilindro!$B$35)^(Presion_cilindro!$B$17+1)),0)-IF(Presion_cilindro!N604&gt;(-H$4+Presion_cilindro!$B$34),1-EXP(-Presion_cilindro!$B$16*((Presion_cilindro!N604-(-H$4+Presion_cilindro!$B$34))/Presion_cilindro!$B$35)^(Presion_cilindro!$B$17+1)),0))/((Presion_cilindro!O604+Presion_cilindro!O605)/2)</f>
        <v>2.9029764266064992</v>
      </c>
      <c r="I613" s="27">
        <f>I612*(Presion_cilindro!O604/Presion_cilindro!O605)^Presion_cilindro!$B$9+10*(Presion_cilindro!$B$9-1)*Presion_cilindro!$B$33*(IF(Presion_cilindro!N605&gt;(-I$4+Presion_cilindro!$B$34),1-EXP(-Presion_cilindro!$B$16*((Presion_cilindro!N605-(-I$4+Presion_cilindro!$B$34))/Presion_cilindro!$B$35)^(Presion_cilindro!$B$17+1)),0)-IF(Presion_cilindro!N604&gt;(-I$4+Presion_cilindro!$B$34),1-EXP(-Presion_cilindro!$B$16*((Presion_cilindro!N604-(-I$4+Presion_cilindro!$B$34))/Presion_cilindro!$B$35)^(Presion_cilindro!$B$17+1)),0))/((Presion_cilindro!O604+Presion_cilindro!O605)/2)</f>
        <v>2.8955798464255946</v>
      </c>
      <c r="J613" s="27">
        <f>J612*(Presion_cilindro!O604/Presion_cilindro!O605)^Presion_cilindro!$B$9+10*(Presion_cilindro!$B$9-1)*Presion_cilindro!$B$33*(IF(Presion_cilindro!N605&gt;(-J$4+Presion_cilindro!$B$34),1-EXP(-Presion_cilindro!$B$16*((Presion_cilindro!N605-(-J$4+Presion_cilindro!$B$34))/Presion_cilindro!$B$35)^(Presion_cilindro!$B$17+1)),0)-IF(Presion_cilindro!N604&gt;(-J$4+Presion_cilindro!$B$34),1-EXP(-Presion_cilindro!$B$16*((Presion_cilindro!N604-(-J$4+Presion_cilindro!$B$34))/Presion_cilindro!$B$35)^(Presion_cilindro!$B$17+1)),0))/((Presion_cilindro!O604+Presion_cilindro!O605)/2)</f>
        <v>2.9120828766901776</v>
      </c>
      <c r="K613" s="27">
        <f>K612*(Presion_cilindro!O604/Presion_cilindro!O605)^Presion_cilindro!$B$9+10*(Presion_cilindro!$B$9-1)*Presion_cilindro!$B$33*(IF(Presion_cilindro!N605&gt;(-K$4+Presion_cilindro!$B$34),1-EXP(-Presion_cilindro!$B$16*((Presion_cilindro!N605-(-K$4+Presion_cilindro!$B$34))/Presion_cilindro!$B$35)^(Presion_cilindro!$B$17+1)),0)-IF(Presion_cilindro!N604&gt;(-K$4+Presion_cilindro!$B$34),1-EXP(-Presion_cilindro!$B$16*((Presion_cilindro!N604-(-K$4+Presion_cilindro!$B$34))/Presion_cilindro!$B$35)^(Presion_cilindro!$B$17+1)),0))/((Presion_cilindro!O604+Presion_cilindro!O605)/2)</f>
        <v>2.9513260843999962</v>
      </c>
      <c r="L613" s="27">
        <f>L612*(Presion_cilindro!O604/Presion_cilindro!O605)^Presion_cilindro!$B$9+10*(Presion_cilindro!$B$9-1)*Presion_cilindro!$B$33*(IF(Presion_cilindro!N605&gt;(-L$4+Presion_cilindro!$B$34),1-EXP(-Presion_cilindro!$B$16*((Presion_cilindro!N605-(-L$4+Presion_cilindro!$B$34))/Presion_cilindro!$B$35)^(Presion_cilindro!$B$17+1)),0)-IF(Presion_cilindro!N604&gt;(-L$4+Presion_cilindro!$B$34),1-EXP(-Presion_cilindro!$B$16*((Presion_cilindro!N604-(-L$4+Presion_cilindro!$B$34))/Presion_cilindro!$B$35)^(Presion_cilindro!$B$17+1)),0))/((Presion_cilindro!O604+Presion_cilindro!O605)/2)</f>
        <v>3.0107696234370995</v>
      </c>
      <c r="M613" s="27">
        <f>M612*(Presion_cilindro!O604/Presion_cilindro!O605)^Presion_cilindro!$B$9+10*(Presion_cilindro!$B$9-1)*Presion_cilindro!$B$33*(IF(Presion_cilindro!N605&gt;(-M$4+Presion_cilindro!$B$34),1-EXP(-Presion_cilindro!$B$16*((Presion_cilindro!N605-(-M$4+Presion_cilindro!$B$34))/Presion_cilindro!$B$35)^(Presion_cilindro!$B$17+1)),0)-IF(Presion_cilindro!N604&gt;(-M$4+Presion_cilindro!$B$34),1-EXP(-Presion_cilindro!$B$16*((Presion_cilindro!N604-(-M$4+Presion_cilindro!$B$34))/Presion_cilindro!$B$35)^(Presion_cilindro!$B$17+1)),0))/((Presion_cilindro!O604+Presion_cilindro!O605)/2)</f>
        <v>3.0869619149710372</v>
      </c>
      <c r="N613" s="27">
        <f>N612*(Presion_cilindro!O604/Presion_cilindro!O605)^Presion_cilindro!$B$9+10*(Presion_cilindro!$B$9-1)*Presion_cilindro!$B$33*(IF(Presion_cilindro!N605&gt;(-N$4+Presion_cilindro!$B$34),1-EXP(-Presion_cilindro!$B$16*((Presion_cilindro!N605-(-N$4+Presion_cilindro!$B$34))/Presion_cilindro!$B$35)^(Presion_cilindro!$B$17+1)),0)-IF(Presion_cilindro!N604&gt;(-N$4+Presion_cilindro!$B$34),1-EXP(-Presion_cilindro!$B$16*((Presion_cilindro!N604-(-N$4+Presion_cilindro!$B$34))/Presion_cilindro!$B$35)^(Presion_cilindro!$B$17+1)),0))/((Presion_cilindro!O604+Presion_cilindro!O605)/2)</f>
        <v>3.1760809628952851</v>
      </c>
    </row>
    <row r="614" spans="1:14" x14ac:dyDescent="0.25">
      <c r="A614" s="21">
        <f>Presion_cilindro!N606</f>
        <v>121</v>
      </c>
      <c r="B614" s="27">
        <f>B613*(Presion_cilindro!O605/Presion_cilindro!O606)^Presion_cilindro!$B$9+10*(Presion_cilindro!$B$9-1)*Presion_cilindro!$B$33*(IF(Presion_cilindro!N606&gt;(-B$4+Presion_cilindro!$B$34),1-EXP(-Presion_cilindro!$B$16*((Presion_cilindro!N606-(-B$4+Presion_cilindro!$B$34))/Presion_cilindro!$B$35)^(Presion_cilindro!$B$17+1)),0)-IF(Presion_cilindro!N605&gt;(-B$4+Presion_cilindro!$B$34),1-EXP(-Presion_cilindro!$B$16*((Presion_cilindro!N605-(-B$4+Presion_cilindro!$B$34))/Presion_cilindro!$B$35)^(Presion_cilindro!$B$17+1)),0))/((Presion_cilindro!O605+Presion_cilindro!O606)/2)</f>
        <v>3.3246409557976953</v>
      </c>
      <c r="C614" s="27">
        <f>C613*(Presion_cilindro!O605/Presion_cilindro!O606)^Presion_cilindro!$B$9+10*(Presion_cilindro!$B$9-1)*Presion_cilindro!$B$33*(IF(Presion_cilindro!N606&gt;(-C$4+Presion_cilindro!$B$34),1-EXP(-Presion_cilindro!$B$16*((Presion_cilindro!N606-(-C$4+Presion_cilindro!$B$34))/Presion_cilindro!$B$35)^(Presion_cilindro!$B$17+1)),0)-IF(Presion_cilindro!N605&gt;(-C$4+Presion_cilindro!$B$34),1-EXP(-Presion_cilindro!$B$16*((Presion_cilindro!N605-(-C$4+Presion_cilindro!$B$34))/Presion_cilindro!$B$35)^(Presion_cilindro!$B$17+1)),0))/((Presion_cilindro!O605+Presion_cilindro!O606)/2)</f>
        <v>3.2224289863624396</v>
      </c>
      <c r="D614" s="27">
        <f>D613*(Presion_cilindro!O605/Presion_cilindro!O606)^Presion_cilindro!$B$9+10*(Presion_cilindro!$B$9-1)*Presion_cilindro!$B$33*(IF(Presion_cilindro!N606&gt;(-D$4+Presion_cilindro!$B$34),1-EXP(-Presion_cilindro!$B$16*((Presion_cilindro!N606-(-D$4+Presion_cilindro!$B$34))/Presion_cilindro!$B$35)^(Presion_cilindro!$B$17+1)),0)-IF(Presion_cilindro!N605&gt;(-D$4+Presion_cilindro!$B$34),1-EXP(-Presion_cilindro!$B$16*((Presion_cilindro!N605-(-D$4+Presion_cilindro!$B$34))/Presion_cilindro!$B$35)^(Presion_cilindro!$B$17+1)),0))/((Presion_cilindro!O605+Presion_cilindro!O606)/2)</f>
        <v>3.1272334734224003</v>
      </c>
      <c r="E614" s="27">
        <f>E613*(Presion_cilindro!O605/Presion_cilindro!O606)^Presion_cilindro!$B$9+10*(Presion_cilindro!$B$9-1)*Presion_cilindro!$B$33*(IF(Presion_cilindro!N606&gt;(-E$4+Presion_cilindro!$B$34),1-EXP(-Presion_cilindro!$B$16*((Presion_cilindro!N606-(-E$4+Presion_cilindro!$B$34))/Presion_cilindro!$B$35)^(Presion_cilindro!$B$17+1)),0)-IF(Presion_cilindro!N605&gt;(-E$4+Presion_cilindro!$B$34),1-EXP(-Presion_cilindro!$B$16*((Presion_cilindro!N605-(-E$4+Presion_cilindro!$B$34))/Presion_cilindro!$B$35)^(Presion_cilindro!$B$17+1)),0))/((Presion_cilindro!O605+Presion_cilindro!O606)/2)</f>
        <v>3.0425958092894239</v>
      </c>
      <c r="F614" s="27">
        <f>F613*(Presion_cilindro!O605/Presion_cilindro!O606)^Presion_cilindro!$B$9+10*(Presion_cilindro!$B$9-1)*Presion_cilindro!$B$33*(IF(Presion_cilindro!N606&gt;(-F$4+Presion_cilindro!$B$34),1-EXP(-Presion_cilindro!$B$16*((Presion_cilindro!N606-(-F$4+Presion_cilindro!$B$34))/Presion_cilindro!$B$35)^(Presion_cilindro!$B$17+1)),0)-IF(Presion_cilindro!N605&gt;(-F$4+Presion_cilindro!$B$34),1-EXP(-Presion_cilindro!$B$16*((Presion_cilindro!N605-(-F$4+Presion_cilindro!$B$34))/Presion_cilindro!$B$35)^(Presion_cilindro!$B$17+1)),0))/((Presion_cilindro!O605+Presion_cilindro!O606)/2)</f>
        <v>2.9723739261454738</v>
      </c>
      <c r="G614" s="27">
        <f>G613*(Presion_cilindro!O605/Presion_cilindro!O606)^Presion_cilindro!$B$9+10*(Presion_cilindro!$B$9-1)*Presion_cilindro!$B$33*(IF(Presion_cilindro!N606&gt;(-G$4+Presion_cilindro!$B$34),1-EXP(-Presion_cilindro!$B$16*((Presion_cilindro!N606-(-G$4+Presion_cilindro!$B$34))/Presion_cilindro!$B$35)^(Presion_cilindro!$B$17+1)),0)-IF(Presion_cilindro!N605&gt;(-G$4+Presion_cilindro!$B$34),1-EXP(-Presion_cilindro!$B$16*((Presion_cilindro!N605-(-G$4+Presion_cilindro!$B$34))/Presion_cilindro!$B$35)^(Presion_cilindro!$B$17+1)),0))/((Presion_cilindro!O605+Presion_cilindro!O606)/2)</f>
        <v>2.9203403350718626</v>
      </c>
      <c r="H614" s="27">
        <f>H613*(Presion_cilindro!O605/Presion_cilindro!O606)^Presion_cilindro!$B$9+10*(Presion_cilindro!$B$9-1)*Presion_cilindro!$B$33*(IF(Presion_cilindro!N606&gt;(-H$4+Presion_cilindro!$B$34),1-EXP(-Presion_cilindro!$B$16*((Presion_cilindro!N606-(-H$4+Presion_cilindro!$B$34))/Presion_cilindro!$B$35)^(Presion_cilindro!$B$17+1)),0)-IF(Presion_cilindro!N605&gt;(-H$4+Presion_cilindro!$B$34),1-EXP(-Presion_cilindro!$B$16*((Presion_cilindro!N605-(-H$4+Presion_cilindro!$B$34))/Presion_cilindro!$B$35)^(Presion_cilindro!$B$17+1)),0))/((Presion_cilindro!O605+Presion_cilindro!O606)/2)</f>
        <v>2.8896464103769612</v>
      </c>
      <c r="I614" s="27">
        <f>I613*(Presion_cilindro!O605/Presion_cilindro!O606)^Presion_cilindro!$B$9+10*(Presion_cilindro!$B$9-1)*Presion_cilindro!$B$33*(IF(Presion_cilindro!N606&gt;(-I$4+Presion_cilindro!$B$34),1-EXP(-Presion_cilindro!$B$16*((Presion_cilindro!N606-(-I$4+Presion_cilindro!$B$34))/Presion_cilindro!$B$35)^(Presion_cilindro!$B$17+1)),0)-IF(Presion_cilindro!N605&gt;(-I$4+Presion_cilindro!$B$34),1-EXP(-Presion_cilindro!$B$16*((Presion_cilindro!N605-(-I$4+Presion_cilindro!$B$34))/Presion_cilindro!$B$35)^(Presion_cilindro!$B$17+1)),0))/((Presion_cilindro!O605+Presion_cilindro!O606)/2)</f>
        <v>2.8822837941418022</v>
      </c>
      <c r="J614" s="27">
        <f>J613*(Presion_cilindro!O605/Presion_cilindro!O606)^Presion_cilindro!$B$9+10*(Presion_cilindro!$B$9-1)*Presion_cilindro!$B$33*(IF(Presion_cilindro!N606&gt;(-J$4+Presion_cilindro!$B$34),1-EXP(-Presion_cilindro!$B$16*((Presion_cilindro!N606-(-J$4+Presion_cilindro!$B$34))/Presion_cilindro!$B$35)^(Presion_cilindro!$B$17+1)),0)-IF(Presion_cilindro!N605&gt;(-J$4+Presion_cilindro!$B$34),1-EXP(-Presion_cilindro!$B$16*((Presion_cilindro!N605-(-J$4+Presion_cilindro!$B$34))/Presion_cilindro!$B$35)^(Presion_cilindro!$B$17+1)),0))/((Presion_cilindro!O605+Presion_cilindro!O606)/2)</f>
        <v>2.8987110450582487</v>
      </c>
      <c r="K614" s="27">
        <f>K613*(Presion_cilindro!O605/Presion_cilindro!O606)^Presion_cilindro!$B$9+10*(Presion_cilindro!$B$9-1)*Presion_cilindro!$B$33*(IF(Presion_cilindro!N606&gt;(-K$4+Presion_cilindro!$B$34),1-EXP(-Presion_cilindro!$B$16*((Presion_cilindro!N606-(-K$4+Presion_cilindro!$B$34))/Presion_cilindro!$B$35)^(Presion_cilindro!$B$17+1)),0)-IF(Presion_cilindro!N605&gt;(-K$4+Presion_cilindro!$B$34),1-EXP(-Presion_cilindro!$B$16*((Presion_cilindro!N605-(-K$4+Presion_cilindro!$B$34))/Presion_cilindro!$B$35)^(Presion_cilindro!$B$17+1)),0))/((Presion_cilindro!O605+Presion_cilindro!O606)/2)</f>
        <v>2.9377740540620509</v>
      </c>
      <c r="L614" s="27">
        <f>L613*(Presion_cilindro!O605/Presion_cilindro!O606)^Presion_cilindro!$B$9+10*(Presion_cilindro!$B$9-1)*Presion_cilindro!$B$33*(IF(Presion_cilindro!N606&gt;(-L$4+Presion_cilindro!$B$34),1-EXP(-Presion_cilindro!$B$16*((Presion_cilindro!N606-(-L$4+Presion_cilindro!$B$34))/Presion_cilindro!$B$35)^(Presion_cilindro!$B$17+1)),0)-IF(Presion_cilindro!N605&gt;(-L$4+Presion_cilindro!$B$34),1-EXP(-Presion_cilindro!$B$16*((Presion_cilindro!N605-(-L$4+Presion_cilindro!$B$34))/Presion_cilindro!$B$35)^(Presion_cilindro!$B$17+1)),0))/((Presion_cilindro!O605+Presion_cilindro!O606)/2)</f>
        <v>2.99694463761359</v>
      </c>
      <c r="M614" s="27">
        <f>M613*(Presion_cilindro!O605/Presion_cilindro!O606)^Presion_cilindro!$B$9+10*(Presion_cilindro!$B$9-1)*Presion_cilindro!$B$33*(IF(Presion_cilindro!N606&gt;(-M$4+Presion_cilindro!$B$34),1-EXP(-Presion_cilindro!$B$16*((Presion_cilindro!N606-(-M$4+Presion_cilindro!$B$34))/Presion_cilindro!$B$35)^(Presion_cilindro!$B$17+1)),0)-IF(Presion_cilindro!N605&gt;(-M$4+Presion_cilindro!$B$34),1-EXP(-Presion_cilindro!$B$16*((Presion_cilindro!N605-(-M$4+Presion_cilindro!$B$34))/Presion_cilindro!$B$35)^(Presion_cilindro!$B$17+1)),0))/((Presion_cilindro!O605+Presion_cilindro!O606)/2)</f>
        <v>3.0727870659955556</v>
      </c>
      <c r="N614" s="27">
        <f>N613*(Presion_cilindro!O605/Presion_cilindro!O606)^Presion_cilindro!$B$9+10*(Presion_cilindro!$B$9-1)*Presion_cilindro!$B$33*(IF(Presion_cilindro!N606&gt;(-N$4+Presion_cilindro!$B$34),1-EXP(-Presion_cilindro!$B$16*((Presion_cilindro!N606-(-N$4+Presion_cilindro!$B$34))/Presion_cilindro!$B$35)^(Presion_cilindro!$B$17+1)),0)-IF(Presion_cilindro!N605&gt;(-N$4+Presion_cilindro!$B$34),1-EXP(-Presion_cilindro!$B$16*((Presion_cilindro!N605-(-N$4+Presion_cilindro!$B$34))/Presion_cilindro!$B$35)^(Presion_cilindro!$B$17+1)),0))/((Presion_cilindro!O605+Presion_cilindro!O606)/2)</f>
        <v>3.1614968931130814</v>
      </c>
    </row>
    <row r="615" spans="1:14" x14ac:dyDescent="0.25">
      <c r="A615" s="21">
        <f>Presion_cilindro!N607</f>
        <v>121.5</v>
      </c>
      <c r="B615" s="27">
        <f>B614*(Presion_cilindro!O606/Presion_cilindro!O607)^Presion_cilindro!$B$9+10*(Presion_cilindro!$B$9-1)*Presion_cilindro!$B$33*(IF(Presion_cilindro!N607&gt;(-B$4+Presion_cilindro!$B$34),1-EXP(-Presion_cilindro!$B$16*((Presion_cilindro!N607-(-B$4+Presion_cilindro!$B$34))/Presion_cilindro!$B$35)^(Presion_cilindro!$B$17+1)),0)-IF(Presion_cilindro!N606&gt;(-B$4+Presion_cilindro!$B$34),1-EXP(-Presion_cilindro!$B$16*((Presion_cilindro!N606-(-B$4+Presion_cilindro!$B$34))/Presion_cilindro!$B$35)^(Presion_cilindro!$B$17+1)),0))/((Presion_cilindro!O606+Presion_cilindro!O607)/2)</f>
        <v>3.3095447174467716</v>
      </c>
      <c r="C615" s="27">
        <f>C614*(Presion_cilindro!O606/Presion_cilindro!O607)^Presion_cilindro!$B$9+10*(Presion_cilindro!$B$9-1)*Presion_cilindro!$B$33*(IF(Presion_cilindro!N607&gt;(-C$4+Presion_cilindro!$B$34),1-EXP(-Presion_cilindro!$B$16*((Presion_cilindro!N607-(-C$4+Presion_cilindro!$B$34))/Presion_cilindro!$B$35)^(Presion_cilindro!$B$17+1)),0)-IF(Presion_cilindro!N606&gt;(-C$4+Presion_cilindro!$B$34),1-EXP(-Presion_cilindro!$B$16*((Presion_cilindro!N606-(-C$4+Presion_cilindro!$B$34))/Presion_cilindro!$B$35)^(Presion_cilindro!$B$17+1)),0))/((Presion_cilindro!O606+Presion_cilindro!O607)/2)</f>
        <v>3.2077968631666338</v>
      </c>
      <c r="D615" s="27">
        <f>D614*(Presion_cilindro!O606/Presion_cilindro!O607)^Presion_cilindro!$B$9+10*(Presion_cilindro!$B$9-1)*Presion_cilindro!$B$33*(IF(Presion_cilindro!N607&gt;(-D$4+Presion_cilindro!$B$34),1-EXP(-Presion_cilindro!$B$16*((Presion_cilindro!N607-(-D$4+Presion_cilindro!$B$34))/Presion_cilindro!$B$35)^(Presion_cilindro!$B$17+1)),0)-IF(Presion_cilindro!N606&gt;(-D$4+Presion_cilindro!$B$34),1-EXP(-Presion_cilindro!$B$16*((Presion_cilindro!N606-(-D$4+Presion_cilindro!$B$34))/Presion_cilindro!$B$35)^(Presion_cilindro!$B$17+1)),0))/((Presion_cilindro!O606+Presion_cilindro!O607)/2)</f>
        <v>3.1130336056708328</v>
      </c>
      <c r="E615" s="27">
        <f>E614*(Presion_cilindro!O606/Presion_cilindro!O607)^Presion_cilindro!$B$9+10*(Presion_cilindro!$B$9-1)*Presion_cilindro!$B$33*(IF(Presion_cilindro!N607&gt;(-E$4+Presion_cilindro!$B$34),1-EXP(-Presion_cilindro!$B$16*((Presion_cilindro!N607-(-E$4+Presion_cilindro!$B$34))/Presion_cilindro!$B$35)^(Presion_cilindro!$B$17+1)),0)-IF(Presion_cilindro!N606&gt;(-E$4+Presion_cilindro!$B$34),1-EXP(-Presion_cilindro!$B$16*((Presion_cilindro!N606-(-E$4+Presion_cilindro!$B$34))/Presion_cilindro!$B$35)^(Presion_cilindro!$B$17+1)),0))/((Presion_cilindro!O606+Presion_cilindro!O607)/2)</f>
        <v>3.0287802568272979</v>
      </c>
      <c r="F615" s="27">
        <f>F614*(Presion_cilindro!O606/Presion_cilindro!O607)^Presion_cilindro!$B$9+10*(Presion_cilindro!$B$9-1)*Presion_cilindro!$B$33*(IF(Presion_cilindro!N607&gt;(-F$4+Presion_cilindro!$B$34),1-EXP(-Presion_cilindro!$B$16*((Presion_cilindro!N607-(-F$4+Presion_cilindro!$B$34))/Presion_cilindro!$B$35)^(Presion_cilindro!$B$17+1)),0)-IF(Presion_cilindro!N606&gt;(-F$4+Presion_cilindro!$B$34),1-EXP(-Presion_cilindro!$B$16*((Presion_cilindro!N606-(-F$4+Presion_cilindro!$B$34))/Presion_cilindro!$B$35)^(Presion_cilindro!$B$17+1)),0))/((Presion_cilindro!O606+Presion_cilindro!O607)/2)</f>
        <v>2.9588772310575684</v>
      </c>
      <c r="G615" s="27">
        <f>G614*(Presion_cilindro!O606/Presion_cilindro!O607)^Presion_cilindro!$B$9+10*(Presion_cilindro!$B$9-1)*Presion_cilindro!$B$33*(IF(Presion_cilindro!N607&gt;(-G$4+Presion_cilindro!$B$34),1-EXP(-Presion_cilindro!$B$16*((Presion_cilindro!N607-(-G$4+Presion_cilindro!$B$34))/Presion_cilindro!$B$35)^(Presion_cilindro!$B$17+1)),0)-IF(Presion_cilindro!N606&gt;(-G$4+Presion_cilindro!$B$34),1-EXP(-Presion_cilindro!$B$16*((Presion_cilindro!N606-(-G$4+Presion_cilindro!$B$34))/Presion_cilindro!$B$35)^(Presion_cilindro!$B$17+1)),0))/((Presion_cilindro!O606+Presion_cilindro!O607)/2)</f>
        <v>2.9070799095551818</v>
      </c>
      <c r="H615" s="27">
        <f>H614*(Presion_cilindro!O606/Presion_cilindro!O607)^Presion_cilindro!$B$9+10*(Presion_cilindro!$B$9-1)*Presion_cilindro!$B$33*(IF(Presion_cilindro!N607&gt;(-H$4+Presion_cilindro!$B$34),1-EXP(-Presion_cilindro!$B$16*((Presion_cilindro!N607-(-H$4+Presion_cilindro!$B$34))/Presion_cilindro!$B$35)^(Presion_cilindro!$B$17+1)),0)-IF(Presion_cilindro!N606&gt;(-H$4+Presion_cilindro!$B$34),1-EXP(-Presion_cilindro!$B$16*((Presion_cilindro!N606-(-H$4+Presion_cilindro!$B$34))/Presion_cilindro!$B$35)^(Presion_cilindro!$B$17+1)),0))/((Presion_cilindro!O606+Presion_cilindro!O607)/2)</f>
        <v>2.8765253571441693</v>
      </c>
      <c r="I615" s="27">
        <f>I614*(Presion_cilindro!O606/Presion_cilindro!O607)^Presion_cilindro!$B$9+10*(Presion_cilindro!$B$9-1)*Presion_cilindro!$B$33*(IF(Presion_cilindro!N607&gt;(-I$4+Presion_cilindro!$B$34),1-EXP(-Presion_cilindro!$B$16*((Presion_cilindro!N607-(-I$4+Presion_cilindro!$B$34))/Presion_cilindro!$B$35)^(Presion_cilindro!$B$17+1)),0)-IF(Presion_cilindro!N606&gt;(-I$4+Presion_cilindro!$B$34),1-EXP(-Presion_cilindro!$B$16*((Presion_cilindro!N606-(-I$4+Presion_cilindro!$B$34))/Presion_cilindro!$B$35)^(Presion_cilindro!$B$17+1)),0))/((Presion_cilindro!O606+Presion_cilindro!O607)/2)</f>
        <v>2.8691961724317072</v>
      </c>
      <c r="J615" s="27">
        <f>J614*(Presion_cilindro!O606/Presion_cilindro!O607)^Presion_cilindro!$B$9+10*(Presion_cilindro!$B$9-1)*Presion_cilindro!$B$33*(IF(Presion_cilindro!N607&gt;(-J$4+Presion_cilindro!$B$34),1-EXP(-Presion_cilindro!$B$16*((Presion_cilindro!N607-(-J$4+Presion_cilindro!$B$34))/Presion_cilindro!$B$35)^(Presion_cilindro!$B$17+1)),0)-IF(Presion_cilindro!N606&gt;(-J$4+Presion_cilindro!$B$34),1-EXP(-Presion_cilindro!$B$16*((Presion_cilindro!N606-(-J$4+Presion_cilindro!$B$34))/Presion_cilindro!$B$35)^(Presion_cilindro!$B$17+1)),0))/((Presion_cilindro!O606+Presion_cilindro!O607)/2)</f>
        <v>2.8855488319265286</v>
      </c>
      <c r="K615" s="27">
        <f>K614*(Presion_cilindro!O606/Presion_cilindro!O607)^Presion_cilindro!$B$9+10*(Presion_cilindro!$B$9-1)*Presion_cilindro!$B$33*(IF(Presion_cilindro!N607&gt;(-K$4+Presion_cilindro!$B$34),1-EXP(-Presion_cilindro!$B$16*((Presion_cilindro!N607-(-K$4+Presion_cilindro!$B$34))/Presion_cilindro!$B$35)^(Presion_cilindro!$B$17+1)),0)-IF(Presion_cilindro!N606&gt;(-K$4+Presion_cilindro!$B$34),1-EXP(-Presion_cilindro!$B$16*((Presion_cilindro!N606-(-K$4+Presion_cilindro!$B$34))/Presion_cilindro!$B$35)^(Presion_cilindro!$B$17+1)),0))/((Presion_cilindro!O606+Presion_cilindro!O607)/2)</f>
        <v>2.9244344670417015</v>
      </c>
      <c r="L615" s="27">
        <f>L614*(Presion_cilindro!O606/Presion_cilindro!O607)^Presion_cilindro!$B$9+10*(Presion_cilindro!$B$9-1)*Presion_cilindro!$B$33*(IF(Presion_cilindro!N607&gt;(-L$4+Presion_cilindro!$B$34),1-EXP(-Presion_cilindro!$B$16*((Presion_cilindro!N607-(-L$4+Presion_cilindro!$B$34))/Presion_cilindro!$B$35)^(Presion_cilindro!$B$17+1)),0)-IF(Presion_cilindro!N606&gt;(-L$4+Presion_cilindro!$B$34),1-EXP(-Presion_cilindro!$B$16*((Presion_cilindro!N606-(-L$4+Presion_cilindro!$B$34))/Presion_cilindro!$B$35)^(Presion_cilindro!$B$17+1)),0))/((Presion_cilindro!O606+Presion_cilindro!O607)/2)</f>
        <v>2.9833363739919077</v>
      </c>
      <c r="M615" s="27">
        <f>M614*(Presion_cilindro!O606/Presion_cilindro!O607)^Presion_cilindro!$B$9+10*(Presion_cilindro!$B$9-1)*Presion_cilindro!$B$33*(IF(Presion_cilindro!N607&gt;(-M$4+Presion_cilindro!$B$34),1-EXP(-Presion_cilindro!$B$16*((Presion_cilindro!N607-(-M$4+Presion_cilindro!$B$34))/Presion_cilindro!$B$35)^(Presion_cilindro!$B$17+1)),0)-IF(Presion_cilindro!N606&gt;(-M$4+Presion_cilindro!$B$34),1-EXP(-Presion_cilindro!$B$16*((Presion_cilindro!N606-(-M$4+Presion_cilindro!$B$34))/Presion_cilindro!$B$35)^(Presion_cilindro!$B$17+1)),0))/((Presion_cilindro!O606+Presion_cilindro!O607)/2)</f>
        <v>3.0588344237203016</v>
      </c>
      <c r="N615" s="27">
        <f>N614*(Presion_cilindro!O606/Presion_cilindro!O607)^Presion_cilindro!$B$9+10*(Presion_cilindro!$B$9-1)*Presion_cilindro!$B$33*(IF(Presion_cilindro!N607&gt;(-N$4+Presion_cilindro!$B$34),1-EXP(-Presion_cilindro!$B$16*((Presion_cilindro!N607-(-N$4+Presion_cilindro!$B$34))/Presion_cilindro!$B$35)^(Presion_cilindro!$B$17+1)),0)-IF(Presion_cilindro!N606&gt;(-N$4+Presion_cilindro!$B$34),1-EXP(-Presion_cilindro!$B$16*((Presion_cilindro!N606-(-N$4+Presion_cilindro!$B$34))/Presion_cilindro!$B$35)^(Presion_cilindro!$B$17+1)),0))/((Presion_cilindro!O606+Presion_cilindro!O607)/2)</f>
        <v>3.1471414450275033</v>
      </c>
    </row>
    <row r="616" spans="1:14" x14ac:dyDescent="0.25">
      <c r="A616" s="21">
        <f>Presion_cilindro!N608</f>
        <v>122</v>
      </c>
      <c r="B616" s="27">
        <f>B615*(Presion_cilindro!O607/Presion_cilindro!O608)^Presion_cilindro!$B$9+10*(Presion_cilindro!$B$9-1)*Presion_cilindro!$B$33*(IF(Presion_cilindro!N608&gt;(-B$4+Presion_cilindro!$B$34),1-EXP(-Presion_cilindro!$B$16*((Presion_cilindro!N608-(-B$4+Presion_cilindro!$B$34))/Presion_cilindro!$B$35)^(Presion_cilindro!$B$17+1)),0)-IF(Presion_cilindro!N607&gt;(-B$4+Presion_cilindro!$B$34),1-EXP(-Presion_cilindro!$B$16*((Presion_cilindro!N607-(-B$4+Presion_cilindro!$B$34))/Presion_cilindro!$B$35)^(Presion_cilindro!$B$17+1)),0))/((Presion_cilindro!O607+Presion_cilindro!O608)/2)</f>
        <v>3.2946852030144997</v>
      </c>
      <c r="C616" s="27">
        <f>C615*(Presion_cilindro!O607/Presion_cilindro!O608)^Presion_cilindro!$B$9+10*(Presion_cilindro!$B$9-1)*Presion_cilindro!$B$33*(IF(Presion_cilindro!N608&gt;(-C$4+Presion_cilindro!$B$34),1-EXP(-Presion_cilindro!$B$16*((Presion_cilindro!N608-(-C$4+Presion_cilindro!$B$34))/Presion_cilindro!$B$35)^(Presion_cilindro!$B$17+1)),0)-IF(Presion_cilindro!N607&gt;(-C$4+Presion_cilindro!$B$34),1-EXP(-Presion_cilindro!$B$16*((Presion_cilindro!N607-(-C$4+Presion_cilindro!$B$34))/Presion_cilindro!$B$35)^(Presion_cilindro!$B$17+1)),0))/((Presion_cilindro!O607+Presion_cilindro!O608)/2)</f>
        <v>3.1933941861057256</v>
      </c>
      <c r="D616" s="27">
        <f>D615*(Presion_cilindro!O607/Presion_cilindro!O608)^Presion_cilindro!$B$9+10*(Presion_cilindro!$B$9-1)*Presion_cilindro!$B$33*(IF(Presion_cilindro!N608&gt;(-D$4+Presion_cilindro!$B$34),1-EXP(-Presion_cilindro!$B$16*((Presion_cilindro!N608-(-D$4+Presion_cilindro!$B$34))/Presion_cilindro!$B$35)^(Presion_cilindro!$B$17+1)),0)-IF(Presion_cilindro!N607&gt;(-D$4+Presion_cilindro!$B$34),1-EXP(-Presion_cilindro!$B$16*((Presion_cilindro!N607-(-D$4+Presion_cilindro!$B$34))/Presion_cilindro!$B$35)^(Presion_cilindro!$B$17+1)),0))/((Presion_cilindro!O607+Presion_cilindro!O608)/2)</f>
        <v>3.0990564058621231</v>
      </c>
      <c r="E616" s="27">
        <f>E615*(Presion_cilindro!O607/Presion_cilindro!O608)^Presion_cilindro!$B$9+10*(Presion_cilindro!$B$9-1)*Presion_cilindro!$B$33*(IF(Presion_cilindro!N608&gt;(-E$4+Presion_cilindro!$B$34),1-EXP(-Presion_cilindro!$B$16*((Presion_cilindro!N608-(-E$4+Presion_cilindro!$B$34))/Presion_cilindro!$B$35)^(Presion_cilindro!$B$17+1)),0)-IF(Presion_cilindro!N607&gt;(-E$4+Presion_cilindro!$B$34),1-EXP(-Presion_cilindro!$B$16*((Presion_cilindro!N607-(-E$4+Presion_cilindro!$B$34))/Presion_cilindro!$B$35)^(Presion_cilindro!$B$17+1)),0))/((Presion_cilindro!O607+Presion_cilindro!O608)/2)</f>
        <v>3.0151813458649386</v>
      </c>
      <c r="F616" s="27">
        <f>F615*(Presion_cilindro!O607/Presion_cilindro!O608)^Presion_cilindro!$B$9+10*(Presion_cilindro!$B$9-1)*Presion_cilindro!$B$33*(IF(Presion_cilindro!N608&gt;(-F$4+Presion_cilindro!$B$34),1-EXP(-Presion_cilindro!$B$16*((Presion_cilindro!N608-(-F$4+Presion_cilindro!$B$34))/Presion_cilindro!$B$35)^(Presion_cilindro!$B$17+1)),0)-IF(Presion_cilindro!N607&gt;(-F$4+Presion_cilindro!$B$34),1-EXP(-Presion_cilindro!$B$16*((Presion_cilindro!N607-(-F$4+Presion_cilindro!$B$34))/Presion_cilindro!$B$35)^(Presion_cilindro!$B$17+1)),0))/((Presion_cilindro!O607+Presion_cilindro!O608)/2)</f>
        <v>2.9455921774710618</v>
      </c>
      <c r="G616" s="27">
        <f>G615*(Presion_cilindro!O607/Presion_cilindro!O608)^Presion_cilindro!$B$9+10*(Presion_cilindro!$B$9-1)*Presion_cilindro!$B$33*(IF(Presion_cilindro!N608&gt;(-G$4+Presion_cilindro!$B$34),1-EXP(-Presion_cilindro!$B$16*((Presion_cilindro!N608-(-G$4+Presion_cilindro!$B$34))/Presion_cilindro!$B$35)^(Presion_cilindro!$B$17+1)),0)-IF(Presion_cilindro!N607&gt;(-G$4+Presion_cilindro!$B$34),1-EXP(-Presion_cilindro!$B$16*((Presion_cilindro!N607-(-G$4+Presion_cilindro!$B$34))/Presion_cilindro!$B$35)^(Presion_cilindro!$B$17+1)),0))/((Presion_cilindro!O607+Presion_cilindro!O608)/2)</f>
        <v>2.8940274205998042</v>
      </c>
      <c r="H616" s="27">
        <f>H615*(Presion_cilindro!O607/Presion_cilindro!O608)^Presion_cilindro!$B$9+10*(Presion_cilindro!$B$9-1)*Presion_cilindro!$B$33*(IF(Presion_cilindro!N608&gt;(-H$4+Presion_cilindro!$B$34),1-EXP(-Presion_cilindro!$B$16*((Presion_cilindro!N608-(-H$4+Presion_cilindro!$B$34))/Presion_cilindro!$B$35)^(Presion_cilindro!$B$17+1)),0)-IF(Presion_cilindro!N607&gt;(-H$4+Presion_cilindro!$B$34),1-EXP(-Presion_cilindro!$B$16*((Presion_cilindro!N607-(-H$4+Presion_cilindro!$B$34))/Presion_cilindro!$B$35)^(Presion_cilindro!$B$17+1)),0))/((Presion_cilindro!O607+Presion_cilindro!O608)/2)</f>
        <v>2.8636100549776962</v>
      </c>
      <c r="I616" s="27">
        <f>I615*(Presion_cilindro!O607/Presion_cilindro!O608)^Presion_cilindro!$B$9+10*(Presion_cilindro!$B$9-1)*Presion_cilindro!$B$33*(IF(Presion_cilindro!N608&gt;(-I$4+Presion_cilindro!$B$34),1-EXP(-Presion_cilindro!$B$16*((Presion_cilindro!N608-(-I$4+Presion_cilindro!$B$34))/Presion_cilindro!$B$35)^(Presion_cilindro!$B$17+1)),0)-IF(Presion_cilindro!N607&gt;(-I$4+Presion_cilindro!$B$34),1-EXP(-Presion_cilindro!$B$16*((Presion_cilindro!N607-(-I$4+Presion_cilindro!$B$34))/Presion_cilindro!$B$35)^(Presion_cilindro!$B$17+1)),0))/((Presion_cilindro!O607+Presion_cilindro!O608)/2)</f>
        <v>2.8563137775486553</v>
      </c>
      <c r="J616" s="27">
        <f>J615*(Presion_cilindro!O607/Presion_cilindro!O608)^Presion_cilindro!$B$9+10*(Presion_cilindro!$B$9-1)*Presion_cilindro!$B$33*(IF(Presion_cilindro!N608&gt;(-J$4+Presion_cilindro!$B$34),1-EXP(-Presion_cilindro!$B$16*((Presion_cilindro!N608-(-J$4+Presion_cilindro!$B$34))/Presion_cilindro!$B$35)^(Presion_cilindro!$B$17+1)),0)-IF(Presion_cilindro!N607&gt;(-J$4+Presion_cilindro!$B$34),1-EXP(-Presion_cilindro!$B$16*((Presion_cilindro!N607-(-J$4+Presion_cilindro!$B$34))/Presion_cilindro!$B$35)^(Presion_cilindro!$B$17+1)),0))/((Presion_cilindro!O607+Presion_cilindro!O608)/2)</f>
        <v>2.8725930152889712</v>
      </c>
      <c r="K616" s="27">
        <f>K615*(Presion_cilindro!O607/Presion_cilindro!O608)^Presion_cilindro!$B$9+10*(Presion_cilindro!$B$9-1)*Presion_cilindro!$B$33*(IF(Presion_cilindro!N608&gt;(-K$4+Presion_cilindro!$B$34),1-EXP(-Presion_cilindro!$B$16*((Presion_cilindro!N608-(-K$4+Presion_cilindro!$B$34))/Presion_cilindro!$B$35)^(Presion_cilindro!$B$17+1)),0)-IF(Presion_cilindro!N607&gt;(-K$4+Presion_cilindro!$B$34),1-EXP(-Presion_cilindro!$B$16*((Presion_cilindro!N607-(-K$4+Presion_cilindro!$B$34))/Presion_cilindro!$B$35)^(Presion_cilindro!$B$17+1)),0))/((Presion_cilindro!O607+Presion_cilindro!O608)/2)</f>
        <v>2.9113040579131719</v>
      </c>
      <c r="L616" s="27">
        <f>L615*(Presion_cilindro!O607/Presion_cilindro!O608)^Presion_cilindro!$B$9+10*(Presion_cilindro!$B$9-1)*Presion_cilindro!$B$33*(IF(Presion_cilindro!N608&gt;(-L$4+Presion_cilindro!$B$34),1-EXP(-Presion_cilindro!$B$16*((Presion_cilindro!N608-(-L$4+Presion_cilindro!$B$34))/Presion_cilindro!$B$35)^(Presion_cilindro!$B$17+1)),0)-IF(Presion_cilindro!N607&gt;(-L$4+Presion_cilindro!$B$34),1-EXP(-Presion_cilindro!$B$16*((Presion_cilindro!N607-(-L$4+Presion_cilindro!$B$34))/Presion_cilindro!$B$35)^(Presion_cilindro!$B$17+1)),0))/((Presion_cilindro!O607+Presion_cilindro!O608)/2)</f>
        <v>2.9699415013763613</v>
      </c>
      <c r="M616" s="27">
        <f>M615*(Presion_cilindro!O607/Presion_cilindro!O608)^Presion_cilindro!$B$9+10*(Presion_cilindro!$B$9-1)*Presion_cilindro!$B$33*(IF(Presion_cilindro!N608&gt;(-M$4+Presion_cilindro!$B$34),1-EXP(-Presion_cilindro!$B$16*((Presion_cilindro!N608-(-M$4+Presion_cilindro!$B$34))/Presion_cilindro!$B$35)^(Presion_cilindro!$B$17+1)),0)-IF(Presion_cilindro!N607&gt;(-M$4+Presion_cilindro!$B$34),1-EXP(-Presion_cilindro!$B$16*((Presion_cilindro!N607-(-M$4+Presion_cilindro!$B$34))/Presion_cilindro!$B$35)^(Presion_cilindro!$B$17+1)),0))/((Presion_cilindro!O607+Presion_cilindro!O608)/2)</f>
        <v>3.0451005726484031</v>
      </c>
      <c r="N616" s="27">
        <f>N615*(Presion_cilindro!O607/Presion_cilindro!O608)^Presion_cilindro!$B$9+10*(Presion_cilindro!$B$9-1)*Presion_cilindro!$B$33*(IF(Presion_cilindro!N608&gt;(-N$4+Presion_cilindro!$B$34),1-EXP(-Presion_cilindro!$B$16*((Presion_cilindro!N608-(-N$4+Presion_cilindro!$B$34))/Presion_cilindro!$B$35)^(Presion_cilindro!$B$17+1)),0)-IF(Presion_cilindro!N607&gt;(-N$4+Presion_cilindro!$B$34),1-EXP(-Presion_cilindro!$B$16*((Presion_cilindro!N607-(-N$4+Presion_cilindro!$B$34))/Presion_cilindro!$B$35)^(Presion_cilindro!$B$17+1)),0))/((Presion_cilindro!O607+Presion_cilindro!O608)/2)</f>
        <v>3.1330111045379918</v>
      </c>
    </row>
    <row r="617" spans="1:14" x14ac:dyDescent="0.25">
      <c r="A617" s="21">
        <f>Presion_cilindro!N609</f>
        <v>122.5</v>
      </c>
      <c r="B617" s="27">
        <f>B616*(Presion_cilindro!O608/Presion_cilindro!O609)^Presion_cilindro!$B$9+10*(Presion_cilindro!$B$9-1)*Presion_cilindro!$B$33*(IF(Presion_cilindro!N609&gt;(-B$4+Presion_cilindro!$B$34),1-EXP(-Presion_cilindro!$B$16*((Presion_cilindro!N609-(-B$4+Presion_cilindro!$B$34))/Presion_cilindro!$B$35)^(Presion_cilindro!$B$17+1)),0)-IF(Presion_cilindro!N608&gt;(-B$4+Presion_cilindro!$B$34),1-EXP(-Presion_cilindro!$B$16*((Presion_cilindro!N608-(-B$4+Presion_cilindro!$B$34))/Presion_cilindro!$B$35)^(Presion_cilindro!$B$17+1)),0))/((Presion_cilindro!O608+Presion_cilindro!O609)/2)</f>
        <v>3.2800587932594323</v>
      </c>
      <c r="C617" s="27">
        <f>C616*(Presion_cilindro!O608/Presion_cilindro!O609)^Presion_cilindro!$B$9+10*(Presion_cilindro!$B$9-1)*Presion_cilindro!$B$33*(IF(Presion_cilindro!N609&gt;(-C$4+Presion_cilindro!$B$34),1-EXP(-Presion_cilindro!$B$16*((Presion_cilindro!N609-(-C$4+Presion_cilindro!$B$34))/Presion_cilindro!$B$35)^(Presion_cilindro!$B$17+1)),0)-IF(Presion_cilindro!N608&gt;(-C$4+Presion_cilindro!$B$34),1-EXP(-Presion_cilindro!$B$16*((Presion_cilindro!N608-(-C$4+Presion_cilindro!$B$34))/Presion_cilindro!$B$35)^(Presion_cilindro!$B$17+1)),0))/((Presion_cilindro!O608+Presion_cilindro!O609)/2)</f>
        <v>3.179217447207364</v>
      </c>
      <c r="D617" s="27">
        <f>D616*(Presion_cilindro!O608/Presion_cilindro!O609)^Presion_cilindro!$B$9+10*(Presion_cilindro!$B$9-1)*Presion_cilindro!$B$33*(IF(Presion_cilindro!N609&gt;(-D$4+Presion_cilindro!$B$34),1-EXP(-Presion_cilindro!$B$16*((Presion_cilindro!N609-(-D$4+Presion_cilindro!$B$34))/Presion_cilindro!$B$35)^(Presion_cilindro!$B$17+1)),0)-IF(Presion_cilindro!N608&gt;(-D$4+Presion_cilindro!$B$34),1-EXP(-Presion_cilindro!$B$16*((Presion_cilindro!N608-(-D$4+Presion_cilindro!$B$34))/Presion_cilindro!$B$35)^(Presion_cilindro!$B$17+1)),0))/((Presion_cilindro!O608+Presion_cilindro!O609)/2)</f>
        <v>3.0852984696548238</v>
      </c>
      <c r="E617" s="27">
        <f>E616*(Presion_cilindro!O608/Presion_cilindro!O609)^Presion_cilindro!$B$9+10*(Presion_cilindro!$B$9-1)*Presion_cilindro!$B$33*(IF(Presion_cilindro!N609&gt;(-E$4+Presion_cilindro!$B$34),1-EXP(-Presion_cilindro!$B$16*((Presion_cilindro!N609-(-E$4+Presion_cilindro!$B$34))/Presion_cilindro!$B$35)^(Presion_cilindro!$B$17+1)),0)-IF(Presion_cilindro!N608&gt;(-E$4+Presion_cilindro!$B$34),1-EXP(-Presion_cilindro!$B$16*((Presion_cilindro!N608-(-E$4+Presion_cilindro!$B$34))/Presion_cilindro!$B$35)^(Presion_cilindro!$B$17+1)),0))/((Presion_cilindro!O608+Presion_cilindro!O609)/2)</f>
        <v>3.001795764198409</v>
      </c>
      <c r="F617" s="27">
        <f>F616*(Presion_cilindro!O608/Presion_cilindro!O609)^Presion_cilindro!$B$9+10*(Presion_cilindro!$B$9-1)*Presion_cilindro!$B$33*(IF(Presion_cilindro!N609&gt;(-F$4+Presion_cilindro!$B$34),1-EXP(-Presion_cilindro!$B$16*((Presion_cilindro!N609-(-F$4+Presion_cilindro!$B$34))/Presion_cilindro!$B$35)^(Presion_cilindro!$B$17+1)),0)-IF(Presion_cilindro!N608&gt;(-F$4+Presion_cilindro!$B$34),1-EXP(-Presion_cilindro!$B$16*((Presion_cilindro!N608-(-F$4+Presion_cilindro!$B$34))/Presion_cilindro!$B$35)^(Presion_cilindro!$B$17+1)),0))/((Presion_cilindro!O608+Presion_cilindro!O609)/2)</f>
        <v>2.9325155296263472</v>
      </c>
      <c r="G617" s="27">
        <f>G616*(Presion_cilindro!O608/Presion_cilindro!O609)^Presion_cilindro!$B$9+10*(Presion_cilindro!$B$9-1)*Presion_cilindro!$B$33*(IF(Presion_cilindro!N609&gt;(-G$4+Presion_cilindro!$B$34),1-EXP(-Presion_cilindro!$B$16*((Presion_cilindro!N609-(-G$4+Presion_cilindro!$B$34))/Presion_cilindro!$B$35)^(Presion_cilindro!$B$17+1)),0)-IF(Presion_cilindro!N608&gt;(-G$4+Presion_cilindro!$B$34),1-EXP(-Presion_cilindro!$B$16*((Presion_cilindro!N608-(-G$4+Presion_cilindro!$B$34))/Presion_cilindro!$B$35)^(Presion_cilindro!$B$17+1)),0))/((Presion_cilindro!O608+Presion_cilindro!O609)/2)</f>
        <v>2.8811796890904739</v>
      </c>
      <c r="H617" s="27">
        <f>H616*(Presion_cilindro!O608/Presion_cilindro!O609)^Presion_cilindro!$B$9+10*(Presion_cilindro!$B$9-1)*Presion_cilindro!$B$33*(IF(Presion_cilindro!N609&gt;(-H$4+Presion_cilindro!$B$34),1-EXP(-Presion_cilindro!$B$16*((Presion_cilindro!N609-(-H$4+Presion_cilindro!$B$34))/Presion_cilindro!$B$35)^(Presion_cilindro!$B$17+1)),0)-IF(Presion_cilindro!N608&gt;(-H$4+Presion_cilindro!$B$34),1-EXP(-Presion_cilindro!$B$16*((Presion_cilindro!N608-(-H$4+Presion_cilindro!$B$34))/Presion_cilindro!$B$35)^(Presion_cilindro!$B$17+1)),0))/((Presion_cilindro!O608+Presion_cilindro!O609)/2)</f>
        <v>2.8508973581760375</v>
      </c>
      <c r="I617" s="27">
        <f>I616*(Presion_cilindro!O608/Presion_cilindro!O609)^Presion_cilindro!$B$9+10*(Presion_cilindro!$B$9-1)*Presion_cilindro!$B$33*(IF(Presion_cilindro!N609&gt;(-I$4+Presion_cilindro!$B$34),1-EXP(-Presion_cilindro!$B$16*((Presion_cilindro!N609-(-I$4+Presion_cilindro!$B$34))/Presion_cilindro!$B$35)^(Presion_cilindro!$B$17+1)),0)-IF(Presion_cilindro!N608&gt;(-I$4+Presion_cilindro!$B$34),1-EXP(-Presion_cilindro!$B$16*((Presion_cilindro!N608-(-I$4+Presion_cilindro!$B$34))/Presion_cilindro!$B$35)^(Presion_cilindro!$B$17+1)),0))/((Presion_cilindro!O608+Presion_cilindro!O609)/2)</f>
        <v>2.8436334718061684</v>
      </c>
      <c r="J617" s="27">
        <f>J616*(Presion_cilindro!O608/Presion_cilindro!O609)^Presion_cilindro!$B$9+10*(Presion_cilindro!$B$9-1)*Presion_cilindro!$B$33*(IF(Presion_cilindro!N609&gt;(-J$4+Presion_cilindro!$B$34),1-EXP(-Presion_cilindro!$B$16*((Presion_cilindro!N609-(-J$4+Presion_cilindro!$B$34))/Presion_cilindro!$B$35)^(Presion_cilindro!$B$17+1)),0)-IF(Presion_cilindro!N608&gt;(-J$4+Presion_cilindro!$B$34),1-EXP(-Presion_cilindro!$B$16*((Presion_cilindro!N608-(-J$4+Presion_cilindro!$B$34))/Presion_cilindro!$B$35)^(Presion_cilindro!$B$17+1)),0))/((Presion_cilindro!O608+Presion_cilindro!O609)/2)</f>
        <v>2.8598404395762085</v>
      </c>
      <c r="K617" s="27">
        <f>K616*(Presion_cilindro!O608/Presion_cilindro!O609)^Presion_cilindro!$B$9+10*(Presion_cilindro!$B$9-1)*Presion_cilindro!$B$33*(IF(Presion_cilindro!N609&gt;(-K$4+Presion_cilindro!$B$34),1-EXP(-Presion_cilindro!$B$16*((Presion_cilindro!N609-(-K$4+Presion_cilindro!$B$34))/Presion_cilindro!$B$35)^(Presion_cilindro!$B$17+1)),0)-IF(Presion_cilindro!N608&gt;(-K$4+Presion_cilindro!$B$34),1-EXP(-Presion_cilindro!$B$16*((Presion_cilindro!N608-(-K$4+Presion_cilindro!$B$34))/Presion_cilindro!$B$35)^(Presion_cilindro!$B$17+1)),0))/((Presion_cilindro!O608+Presion_cilindro!O609)/2)</f>
        <v>2.8983796285826648</v>
      </c>
      <c r="L617" s="27">
        <f>L616*(Presion_cilindro!O608/Presion_cilindro!O609)^Presion_cilindro!$B$9+10*(Presion_cilindro!$B$9-1)*Presion_cilindro!$B$33*(IF(Presion_cilindro!N609&gt;(-L$4+Presion_cilindro!$B$34),1-EXP(-Presion_cilindro!$B$16*((Presion_cilindro!N609-(-L$4+Presion_cilindro!$B$34))/Presion_cilindro!$B$35)^(Presion_cilindro!$B$17+1)),0)-IF(Presion_cilindro!N608&gt;(-L$4+Presion_cilindro!$B$34),1-EXP(-Presion_cilindro!$B$16*((Presion_cilindro!N608-(-L$4+Presion_cilindro!$B$34))/Presion_cilindro!$B$35)^(Presion_cilindro!$B$17+1)),0))/((Presion_cilindro!O608+Presion_cilindro!O609)/2)</f>
        <v>2.956756757259392</v>
      </c>
      <c r="M617" s="27">
        <f>M616*(Presion_cilindro!O608/Presion_cilindro!O609)^Presion_cilindro!$B$9+10*(Presion_cilindro!$B$9-1)*Presion_cilindro!$B$33*(IF(Presion_cilindro!N609&gt;(-M$4+Presion_cilindro!$B$34),1-EXP(-Presion_cilindro!$B$16*((Presion_cilindro!N609-(-M$4+Presion_cilindro!$B$34))/Presion_cilindro!$B$35)^(Presion_cilindro!$B$17+1)),0)-IF(Presion_cilindro!N608&gt;(-M$4+Presion_cilindro!$B$34),1-EXP(-Presion_cilindro!$B$16*((Presion_cilindro!N608-(-M$4+Presion_cilindro!$B$34))/Presion_cilindro!$B$35)^(Presion_cilindro!$B$17+1)),0))/((Presion_cilindro!O608+Presion_cilindro!O609)/2)</f>
        <v>3.0315821677093835</v>
      </c>
      <c r="N617" s="27">
        <f>N616*(Presion_cilindro!O608/Presion_cilindro!O609)^Presion_cilindro!$B$9+10*(Presion_cilindro!$B$9-1)*Presion_cilindro!$B$33*(IF(Presion_cilindro!N609&gt;(-N$4+Presion_cilindro!$B$34),1-EXP(-Presion_cilindro!$B$16*((Presion_cilindro!N609-(-N$4+Presion_cilindro!$B$34))/Presion_cilindro!$B$35)^(Presion_cilindro!$B$17+1)),0)-IF(Presion_cilindro!N608&gt;(-N$4+Presion_cilindro!$B$34),1-EXP(-Presion_cilindro!$B$16*((Presion_cilindro!N608-(-N$4+Presion_cilindro!$B$34))/Presion_cilindro!$B$35)^(Presion_cilindro!$B$17+1)),0))/((Presion_cilindro!O608+Presion_cilindro!O609)/2)</f>
        <v>3.1191024300035561</v>
      </c>
    </row>
    <row r="618" spans="1:14" x14ac:dyDescent="0.25">
      <c r="A618" s="21">
        <f>Presion_cilindro!N610</f>
        <v>123</v>
      </c>
      <c r="B618" s="27">
        <f>B617*(Presion_cilindro!O609/Presion_cilindro!O610)^Presion_cilindro!$B$9+10*(Presion_cilindro!$B$9-1)*Presion_cilindro!$B$33*(IF(Presion_cilindro!N610&gt;(-B$4+Presion_cilindro!$B$34),1-EXP(-Presion_cilindro!$B$16*((Presion_cilindro!N610-(-B$4+Presion_cilindro!$B$34))/Presion_cilindro!$B$35)^(Presion_cilindro!$B$17+1)),0)-IF(Presion_cilindro!N609&gt;(-B$4+Presion_cilindro!$B$34),1-EXP(-Presion_cilindro!$B$16*((Presion_cilindro!N609-(-B$4+Presion_cilindro!$B$34))/Presion_cilindro!$B$35)^(Presion_cilindro!$B$17+1)),0))/((Presion_cilindro!O609+Presion_cilindro!O610)/2)</f>
        <v>3.2656619434668386</v>
      </c>
      <c r="C618" s="27">
        <f>C617*(Presion_cilindro!O609/Presion_cilindro!O610)^Presion_cilindro!$B$9+10*(Presion_cilindro!$B$9-1)*Presion_cilindro!$B$33*(IF(Presion_cilindro!N610&gt;(-C$4+Presion_cilindro!$B$34),1-EXP(-Presion_cilindro!$B$16*((Presion_cilindro!N610-(-C$4+Presion_cilindro!$B$34))/Presion_cilindro!$B$35)^(Presion_cilindro!$B$17+1)),0)-IF(Presion_cilindro!N609&gt;(-C$4+Presion_cilindro!$B$34),1-EXP(-Presion_cilindro!$B$16*((Presion_cilindro!N609-(-C$4+Presion_cilindro!$B$34))/Presion_cilindro!$B$35)^(Presion_cilindro!$B$17+1)),0))/((Presion_cilindro!O609+Presion_cilindro!O610)/2)</f>
        <v>3.1652632107346834</v>
      </c>
      <c r="D618" s="27">
        <f>D617*(Presion_cilindro!O609/Presion_cilindro!O610)^Presion_cilindro!$B$9+10*(Presion_cilindro!$B$9-1)*Presion_cilindro!$B$33*(IF(Presion_cilindro!N610&gt;(-D$4+Presion_cilindro!$B$34),1-EXP(-Presion_cilindro!$B$16*((Presion_cilindro!N610-(-D$4+Presion_cilindro!$B$34))/Presion_cilindro!$B$35)^(Presion_cilindro!$B$17+1)),0)-IF(Presion_cilindro!N609&gt;(-D$4+Presion_cilindro!$B$34),1-EXP(-Presion_cilindro!$B$16*((Presion_cilindro!N609-(-D$4+Presion_cilindro!$B$34))/Presion_cilindro!$B$35)^(Presion_cilindro!$B$17+1)),0))/((Presion_cilindro!O609+Presion_cilindro!O610)/2)</f>
        <v>3.0717564628090255</v>
      </c>
      <c r="E618" s="27">
        <f>E617*(Presion_cilindro!O609/Presion_cilindro!O610)^Presion_cilindro!$B$9+10*(Presion_cilindro!$B$9-1)*Presion_cilindro!$B$33*(IF(Presion_cilindro!N610&gt;(-E$4+Presion_cilindro!$B$34),1-EXP(-Presion_cilindro!$B$16*((Presion_cilindro!N610-(-E$4+Presion_cilindro!$B$34))/Presion_cilindro!$B$35)^(Presion_cilindro!$B$17+1)),0)-IF(Presion_cilindro!N609&gt;(-E$4+Presion_cilindro!$B$34),1-EXP(-Presion_cilindro!$B$16*((Presion_cilindro!N609-(-E$4+Presion_cilindro!$B$34))/Presion_cilindro!$B$35)^(Presion_cilindro!$B$17+1)),0))/((Presion_cilindro!O609+Presion_cilindro!O610)/2)</f>
        <v>2.9886202678280331</v>
      </c>
      <c r="F618" s="27">
        <f>F617*(Presion_cilindro!O609/Presion_cilindro!O610)^Presion_cilindro!$B$9+10*(Presion_cilindro!$B$9-1)*Presion_cilindro!$B$33*(IF(Presion_cilindro!N610&gt;(-F$4+Presion_cilindro!$B$34),1-EXP(-Presion_cilindro!$B$16*((Presion_cilindro!N610-(-F$4+Presion_cilindro!$B$34))/Presion_cilindro!$B$35)^(Presion_cilindro!$B$17+1)),0)-IF(Presion_cilindro!N609&gt;(-F$4+Presion_cilindro!$B$34),1-EXP(-Presion_cilindro!$B$16*((Presion_cilindro!N609-(-F$4+Presion_cilindro!$B$34))/Presion_cilindro!$B$35)^(Presion_cilindro!$B$17+1)),0))/((Presion_cilindro!O609+Presion_cilindro!O610)/2)</f>
        <v>2.919644118393951</v>
      </c>
      <c r="G618" s="27">
        <f>G617*(Presion_cilindro!O609/Presion_cilindro!O610)^Presion_cilindro!$B$9+10*(Presion_cilindro!$B$9-1)*Presion_cilindro!$B$33*(IF(Presion_cilindro!N610&gt;(-G$4+Presion_cilindro!$B$34),1-EXP(-Presion_cilindro!$B$16*((Presion_cilindro!N610-(-G$4+Presion_cilindro!$B$34))/Presion_cilindro!$B$35)^(Presion_cilindro!$B$17+1)),0)-IF(Presion_cilindro!N609&gt;(-G$4+Presion_cilindro!$B$34),1-EXP(-Presion_cilindro!$B$16*((Presion_cilindro!N609-(-G$4+Presion_cilindro!$B$34))/Presion_cilindro!$B$35)^(Presion_cilindro!$B$17+1)),0))/((Presion_cilindro!O609+Presion_cilindro!O610)/2)</f>
        <v>2.8685336013756593</v>
      </c>
      <c r="H618" s="27">
        <f>H617*(Presion_cilindro!O609/Presion_cilindro!O610)^Presion_cilindro!$B$9+10*(Presion_cilindro!$B$9-1)*Presion_cilindro!$B$33*(IF(Presion_cilindro!N610&gt;(-H$4+Presion_cilindro!$B$34),1-EXP(-Presion_cilindro!$B$16*((Presion_cilindro!N610-(-H$4+Presion_cilindro!$B$34))/Presion_cilindro!$B$35)^(Presion_cilindro!$B$17+1)),0)-IF(Presion_cilindro!N609&gt;(-H$4+Presion_cilindro!$B$34),1-EXP(-Presion_cilindro!$B$16*((Presion_cilindro!N609-(-H$4+Presion_cilindro!$B$34))/Presion_cilindro!$B$35)^(Presion_cilindro!$B$17+1)),0))/((Presion_cilindro!O609+Presion_cilindro!O610)/2)</f>
        <v>2.8383841858133625</v>
      </c>
      <c r="I618" s="27">
        <f>I617*(Presion_cilindro!O609/Presion_cilindro!O610)^Presion_cilindro!$B$9+10*(Presion_cilindro!$B$9-1)*Presion_cilindro!$B$33*(IF(Presion_cilindro!N610&gt;(-I$4+Presion_cilindro!$B$34),1-EXP(-Presion_cilindro!$B$16*((Presion_cilindro!N610-(-I$4+Presion_cilindro!$B$34))/Presion_cilindro!$B$35)^(Presion_cilindro!$B$17+1)),0)-IF(Presion_cilindro!N609&gt;(-I$4+Presion_cilindro!$B$34),1-EXP(-Presion_cilindro!$B$16*((Presion_cilindro!N609-(-I$4+Presion_cilindro!$B$34))/Presion_cilindro!$B$35)^(Presion_cilindro!$B$17+1)),0))/((Presion_cilindro!O609+Presion_cilindro!O610)/2)</f>
        <v>2.8311521821283989</v>
      </c>
      <c r="J618" s="27">
        <f>J617*(Presion_cilindro!O609/Presion_cilindro!O610)^Presion_cilindro!$B$9+10*(Presion_cilindro!$B$9-1)*Presion_cilindro!$B$33*(IF(Presion_cilindro!N610&gt;(-J$4+Presion_cilindro!$B$34),1-EXP(-Presion_cilindro!$B$16*((Presion_cilindro!N610-(-J$4+Presion_cilindro!$B$34))/Presion_cilindro!$B$35)^(Presion_cilindro!$B$17+1)),0)-IF(Presion_cilindro!N609&gt;(-J$4+Presion_cilindro!$B$34),1-EXP(-Presion_cilindro!$B$16*((Presion_cilindro!N609-(-J$4+Presion_cilindro!$B$34))/Presion_cilindro!$B$35)^(Presion_cilindro!$B$17+1)),0))/((Presion_cilindro!O609+Presion_cilindro!O610)/2)</f>
        <v>2.8472880141977446</v>
      </c>
      <c r="K618" s="27">
        <f>K617*(Presion_cilindro!O609/Presion_cilindro!O610)^Presion_cilindro!$B$9+10*(Presion_cilindro!$B$9-1)*Presion_cilindro!$B$33*(IF(Presion_cilindro!N610&gt;(-K$4+Presion_cilindro!$B$34),1-EXP(-Presion_cilindro!$B$16*((Presion_cilindro!N610-(-K$4+Presion_cilindro!$B$34))/Presion_cilindro!$B$35)^(Presion_cilindro!$B$17+1)),0)-IF(Presion_cilindro!N609&gt;(-K$4+Presion_cilindro!$B$34),1-EXP(-Presion_cilindro!$B$16*((Presion_cilindro!N609-(-K$4+Presion_cilindro!$B$34))/Presion_cilindro!$B$35)^(Presion_cilindro!$B$17+1)),0))/((Presion_cilindro!O609+Presion_cilindro!O610)/2)</f>
        <v>2.8856580468109083</v>
      </c>
      <c r="L618" s="27">
        <f>L617*(Presion_cilindro!O609/Presion_cilindro!O610)^Presion_cilindro!$B$9+10*(Presion_cilindro!$B$9-1)*Presion_cilindro!$B$33*(IF(Presion_cilindro!N610&gt;(-L$4+Presion_cilindro!$B$34),1-EXP(-Presion_cilindro!$B$16*((Presion_cilindro!N610-(-L$4+Presion_cilindro!$B$34))/Presion_cilindro!$B$35)^(Presion_cilindro!$B$17+1)),0)-IF(Presion_cilindro!N609&gt;(-L$4+Presion_cilindro!$B$34),1-EXP(-Presion_cilindro!$B$16*((Presion_cilindro!N609-(-L$4+Presion_cilindro!$B$34))/Presion_cilindro!$B$35)^(Presion_cilindro!$B$17+1)),0))/((Presion_cilindro!O609+Presion_cilindro!O610)/2)</f>
        <v>2.9437789463143633</v>
      </c>
      <c r="M618" s="27">
        <f>M617*(Presion_cilindro!O609/Presion_cilindro!O610)^Presion_cilindro!$B$9+10*(Presion_cilindro!$B$9-1)*Presion_cilindro!$B$33*(IF(Presion_cilindro!N610&gt;(-M$4+Presion_cilindro!$B$34),1-EXP(-Presion_cilindro!$B$16*((Presion_cilindro!N610-(-M$4+Presion_cilindro!$B$34))/Presion_cilindro!$B$35)^(Presion_cilindro!$B$17+1)),0)-IF(Presion_cilindro!N609&gt;(-M$4+Presion_cilindro!$B$34),1-EXP(-Presion_cilindro!$B$16*((Presion_cilindro!N609-(-M$4+Presion_cilindro!$B$34))/Presion_cilindro!$B$35)^(Presion_cilindro!$B$17+1)),0))/((Presion_cilindro!O609+Presion_cilindro!O610)/2)</f>
        <v>3.0182759327138067</v>
      </c>
      <c r="N618" s="27">
        <f>N617*(Presion_cilindro!O609/Presion_cilindro!O610)^Presion_cilindro!$B$9+10*(Presion_cilindro!$B$9-1)*Presion_cilindro!$B$33*(IF(Presion_cilindro!N610&gt;(-N$4+Presion_cilindro!$B$34),1-EXP(-Presion_cilindro!$B$16*((Presion_cilindro!N610-(-N$4+Presion_cilindro!$B$34))/Presion_cilindro!$B$35)^(Presion_cilindro!$B$17+1)),0)-IF(Presion_cilindro!N609&gt;(-N$4+Presion_cilindro!$B$34),1-EXP(-Presion_cilindro!$B$16*((Presion_cilindro!N609-(-N$4+Presion_cilindro!$B$34))/Presion_cilindro!$B$35)^(Presion_cilindro!$B$17+1)),0))/((Presion_cilindro!O609+Presion_cilindro!O610)/2)</f>
        <v>3.1054120506528089</v>
      </c>
    </row>
    <row r="619" spans="1:14" x14ac:dyDescent="0.25">
      <c r="A619" s="21">
        <f>Presion_cilindro!N611</f>
        <v>123.5</v>
      </c>
      <c r="B619" s="27">
        <f>B618*(Presion_cilindro!O610/Presion_cilindro!O611)^Presion_cilindro!$B$9+10*(Presion_cilindro!$B$9-1)*Presion_cilindro!$B$33*(IF(Presion_cilindro!N611&gt;(-B$4+Presion_cilindro!$B$34),1-EXP(-Presion_cilindro!$B$16*((Presion_cilindro!N611-(-B$4+Presion_cilindro!$B$34))/Presion_cilindro!$B$35)^(Presion_cilindro!$B$17+1)),0)-IF(Presion_cilindro!N610&gt;(-B$4+Presion_cilindro!$B$34),1-EXP(-Presion_cilindro!$B$16*((Presion_cilindro!N610-(-B$4+Presion_cilindro!$B$34))/Presion_cilindro!$B$35)^(Presion_cilindro!$B$17+1)),0))/((Presion_cilindro!O610+Presion_cilindro!O611)/2)</f>
        <v>3.2514911818196728</v>
      </c>
      <c r="C619" s="27">
        <f>C618*(Presion_cilindro!O610/Presion_cilindro!O611)^Presion_cilindro!$B$9+10*(Presion_cilindro!$B$9-1)*Presion_cilindro!$B$33*(IF(Presion_cilindro!N611&gt;(-C$4+Presion_cilindro!$B$34),1-EXP(-Presion_cilindro!$B$16*((Presion_cilindro!N611-(-C$4+Presion_cilindro!$B$34))/Presion_cilindro!$B$35)^(Presion_cilindro!$B$17+1)),0)-IF(Presion_cilindro!N610&gt;(-C$4+Presion_cilindro!$B$34),1-EXP(-Presion_cilindro!$B$16*((Presion_cilindro!N610-(-C$4+Presion_cilindro!$B$34))/Presion_cilindro!$B$35)^(Presion_cilindro!$B$17+1)),0))/((Presion_cilindro!O610+Presion_cilindro!O611)/2)</f>
        <v>3.1515281116073539</v>
      </c>
      <c r="D619" s="27">
        <f>D618*(Presion_cilindro!O610/Presion_cilindro!O611)^Presion_cilindro!$B$9+10*(Presion_cilindro!$B$9-1)*Presion_cilindro!$B$33*(IF(Presion_cilindro!N611&gt;(-D$4+Presion_cilindro!$B$34),1-EXP(-Presion_cilindro!$B$16*((Presion_cilindro!N611-(-D$4+Presion_cilindro!$B$34))/Presion_cilindro!$B$35)^(Presion_cilindro!$B$17+1)),0)-IF(Presion_cilindro!N610&gt;(-D$4+Presion_cilindro!$B$34),1-EXP(-Presion_cilindro!$B$16*((Presion_cilindro!N610-(-D$4+Presion_cilindro!$B$34))/Presion_cilindro!$B$35)^(Presion_cilindro!$B$17+1)),0))/((Presion_cilindro!O610+Presion_cilindro!O611)/2)</f>
        <v>3.0584271196540516</v>
      </c>
      <c r="E619" s="27">
        <f>E618*(Presion_cilindro!O610/Presion_cilindro!O611)^Presion_cilindro!$B$9+10*(Presion_cilindro!$B$9-1)*Presion_cilindro!$B$33*(IF(Presion_cilindro!N611&gt;(-E$4+Presion_cilindro!$B$34),1-EXP(-Presion_cilindro!$B$16*((Presion_cilindro!N611-(-E$4+Presion_cilindro!$B$34))/Presion_cilindro!$B$35)^(Presion_cilindro!$B$17+1)),0)-IF(Presion_cilindro!N610&gt;(-E$4+Presion_cilindro!$B$34),1-EXP(-Presion_cilindro!$B$16*((Presion_cilindro!N610-(-E$4+Presion_cilindro!$B$34))/Presion_cilindro!$B$35)^(Presion_cilindro!$B$17+1)),0))/((Presion_cilindro!O610+Presion_cilindro!O611)/2)</f>
        <v>2.9756516794675614</v>
      </c>
      <c r="F619" s="27">
        <f>F618*(Presion_cilindro!O610/Presion_cilindro!O611)^Presion_cilindro!$B$9+10*(Presion_cilindro!$B$9-1)*Presion_cilindro!$B$33*(IF(Presion_cilindro!N611&gt;(-F$4+Presion_cilindro!$B$34),1-EXP(-Presion_cilindro!$B$16*((Presion_cilindro!N611-(-F$4+Presion_cilindro!$B$34))/Presion_cilindro!$B$35)^(Presion_cilindro!$B$17+1)),0)-IF(Presion_cilindro!N610&gt;(-F$4+Presion_cilindro!$B$34),1-EXP(-Presion_cilindro!$B$16*((Presion_cilindro!N610-(-F$4+Presion_cilindro!$B$34))/Presion_cilindro!$B$35)^(Presion_cilindro!$B$17+1)),0))/((Presion_cilindro!O610+Presion_cilindro!O611)/2)</f>
        <v>2.9069748398181079</v>
      </c>
      <c r="G619" s="27">
        <f>G618*(Presion_cilindro!O610/Presion_cilindro!O611)^Presion_cilindro!$B$9+10*(Presion_cilindro!$B$9-1)*Presion_cilindro!$B$33*(IF(Presion_cilindro!N611&gt;(-G$4+Presion_cilindro!$B$34),1-EXP(-Presion_cilindro!$B$16*((Presion_cilindro!N611-(-G$4+Presion_cilindro!$B$34))/Presion_cilindro!$B$35)^(Presion_cilindro!$B$17+1)),0)-IF(Presion_cilindro!N610&gt;(-G$4+Presion_cilindro!$B$34),1-EXP(-Presion_cilindro!$B$16*((Presion_cilindro!N610-(-G$4+Presion_cilindro!$B$34))/Presion_cilindro!$B$35)^(Presion_cilindro!$B$17+1)),0))/((Presion_cilindro!O610+Presion_cilindro!O611)/2)</f>
        <v>2.8560861078366226</v>
      </c>
      <c r="H619" s="27">
        <f>H618*(Presion_cilindro!O610/Presion_cilindro!O611)^Presion_cilindro!$B$9+10*(Presion_cilindro!$B$9-1)*Presion_cilindro!$B$33*(IF(Presion_cilindro!N611&gt;(-H$4+Presion_cilindro!$B$34),1-EXP(-Presion_cilindro!$B$16*((Presion_cilindro!N611-(-H$4+Presion_cilindro!$B$34))/Presion_cilindro!$B$35)^(Presion_cilindro!$B$17+1)),0)-IF(Presion_cilindro!N610&gt;(-H$4+Presion_cilindro!$B$34),1-EXP(-Presion_cilindro!$B$16*((Presion_cilindro!N610-(-H$4+Presion_cilindro!$B$34))/Presion_cilindro!$B$35)^(Presion_cilindro!$B$17+1)),0))/((Presion_cilindro!O610+Presion_cilindro!O611)/2)</f>
        <v>2.8260675203236252</v>
      </c>
      <c r="I619" s="27">
        <f>I618*(Presion_cilindro!O610/Presion_cilindro!O611)^Presion_cilindro!$B$9+10*(Presion_cilindro!$B$9-1)*Presion_cilindro!$B$33*(IF(Presion_cilindro!N611&gt;(-I$4+Presion_cilindro!$B$34),1-EXP(-Presion_cilindro!$B$16*((Presion_cilindro!N611-(-I$4+Presion_cilindro!$B$34))/Presion_cilindro!$B$35)^(Presion_cilindro!$B$17+1)),0)-IF(Presion_cilindro!N610&gt;(-I$4+Presion_cilindro!$B$34),1-EXP(-Presion_cilindro!$B$16*((Presion_cilindro!N610-(-I$4+Presion_cilindro!$B$34))/Presion_cilindro!$B$35)^(Presion_cilindro!$B$17+1)),0))/((Presion_cilindro!O610+Presion_cilindro!O611)/2)</f>
        <v>2.8188668986378476</v>
      </c>
      <c r="J619" s="27">
        <f>J618*(Presion_cilindro!O610/Presion_cilindro!O611)^Presion_cilindro!$B$9+10*(Presion_cilindro!$B$9-1)*Presion_cilindro!$B$33*(IF(Presion_cilindro!N611&gt;(-J$4+Presion_cilindro!$B$34),1-EXP(-Presion_cilindro!$B$16*((Presion_cilindro!N611-(-J$4+Presion_cilindro!$B$34))/Presion_cilindro!$B$35)^(Presion_cilindro!$B$17+1)),0)-IF(Presion_cilindro!N610&gt;(-J$4+Presion_cilindro!$B$34),1-EXP(-Presion_cilindro!$B$16*((Presion_cilindro!N610-(-J$4+Presion_cilindro!$B$34))/Presion_cilindro!$B$35)^(Presion_cilindro!$B$17+1)),0))/((Presion_cilindro!O610+Presion_cilindro!O611)/2)</f>
        <v>2.8349327121216223</v>
      </c>
      <c r="K619" s="27">
        <f>K618*(Presion_cilindro!O610/Presion_cilindro!O611)^Presion_cilindro!$B$9+10*(Presion_cilindro!$B$9-1)*Presion_cilindro!$B$33*(IF(Presion_cilindro!N611&gt;(-K$4+Presion_cilindro!$B$34),1-EXP(-Presion_cilindro!$B$16*((Presion_cilindro!N611-(-K$4+Presion_cilindro!$B$34))/Presion_cilindro!$B$35)^(Presion_cilindro!$B$17+1)),0)-IF(Presion_cilindro!N610&gt;(-K$4+Presion_cilindro!$B$34),1-EXP(-Presion_cilindro!$B$16*((Presion_cilindro!N610-(-K$4+Presion_cilindro!$B$34))/Presion_cilindro!$B$35)^(Presion_cilindro!$B$17+1)),0))/((Presion_cilindro!O610+Presion_cilindro!O611)/2)</f>
        <v>2.8731362447736855</v>
      </c>
      <c r="L619" s="27">
        <f>L618*(Presion_cilindro!O610/Presion_cilindro!O611)^Presion_cilindro!$B$9+10*(Presion_cilindro!$B$9-1)*Presion_cilindro!$B$33*(IF(Presion_cilindro!N611&gt;(-L$4+Presion_cilindro!$B$34),1-EXP(-Presion_cilindro!$B$16*((Presion_cilindro!N611-(-L$4+Presion_cilindro!$B$34))/Presion_cilindro!$B$35)^(Presion_cilindro!$B$17+1)),0)-IF(Presion_cilindro!N610&gt;(-L$4+Presion_cilindro!$B$34),1-EXP(-Presion_cilindro!$B$16*((Presion_cilindro!N610-(-L$4+Presion_cilindro!$B$34))/Presion_cilindro!$B$35)^(Presion_cilindro!$B$17+1)),0))/((Presion_cilindro!O610+Presion_cilindro!O611)/2)</f>
        <v>2.9310049389270949</v>
      </c>
      <c r="M619" s="27">
        <f>M618*(Presion_cilindro!O610/Presion_cilindro!O611)^Presion_cilindro!$B$9+10*(Presion_cilindro!$B$9-1)*Presion_cilindro!$B$33*(IF(Presion_cilindro!N611&gt;(-M$4+Presion_cilindro!$B$34),1-EXP(-Presion_cilindro!$B$16*((Presion_cilindro!N611-(-M$4+Presion_cilindro!$B$34))/Presion_cilindro!$B$35)^(Presion_cilindro!$B$17+1)),0)-IF(Presion_cilindro!N610&gt;(-M$4+Presion_cilindro!$B$34),1-EXP(-Presion_cilindro!$B$16*((Presion_cilindro!N610-(-M$4+Presion_cilindro!$B$34))/Presion_cilindro!$B$35)^(Presion_cilindro!$B$17+1)),0))/((Presion_cilindro!O610+Presion_cilindro!O611)/2)</f>
        <v>3.0051786588476519</v>
      </c>
      <c r="N619" s="27">
        <f>N618*(Presion_cilindro!O610/Presion_cilindro!O611)^Presion_cilindro!$B$9+10*(Presion_cilindro!$B$9-1)*Presion_cilindro!$B$33*(IF(Presion_cilindro!N611&gt;(-N$4+Presion_cilindro!$B$34),1-EXP(-Presion_cilindro!$B$16*((Presion_cilindro!N611-(-N$4+Presion_cilindro!$B$34))/Presion_cilindro!$B$35)^(Presion_cilindro!$B$17+1)),0)-IF(Presion_cilindro!N610&gt;(-N$4+Presion_cilindro!$B$34),1-EXP(-Presion_cilindro!$B$16*((Presion_cilindro!N610-(-N$4+Presion_cilindro!$B$34))/Presion_cilindro!$B$35)^(Presion_cilindro!$B$17+1)),0))/((Presion_cilindro!O610+Presion_cilindro!O611)/2)</f>
        <v>3.0919366650348716</v>
      </c>
    </row>
    <row r="620" spans="1:14" x14ac:dyDescent="0.25">
      <c r="A620" s="21">
        <f>Presion_cilindro!N612</f>
        <v>124</v>
      </c>
      <c r="B620" s="27">
        <f>B619*(Presion_cilindro!O611/Presion_cilindro!O612)^Presion_cilindro!$B$9+10*(Presion_cilindro!$B$9-1)*Presion_cilindro!$B$33*(IF(Presion_cilindro!N612&gt;(-B$4+Presion_cilindro!$B$34),1-EXP(-Presion_cilindro!$B$16*((Presion_cilindro!N612-(-B$4+Presion_cilindro!$B$34))/Presion_cilindro!$B$35)^(Presion_cilindro!$B$17+1)),0)-IF(Presion_cilindro!N611&gt;(-B$4+Presion_cilindro!$B$34),1-EXP(-Presion_cilindro!$B$16*((Presion_cilindro!N611-(-B$4+Presion_cilindro!$B$34))/Presion_cilindro!$B$35)^(Presion_cilindro!$B$17+1)),0))/((Presion_cilindro!O611+Presion_cilindro!O612)/2)</f>
        <v>3.237543107811427</v>
      </c>
      <c r="C620" s="27">
        <f>C619*(Presion_cilindro!O611/Presion_cilindro!O612)^Presion_cilindro!$B$9+10*(Presion_cilindro!$B$9-1)*Presion_cilindro!$B$33*(IF(Presion_cilindro!N612&gt;(-C$4+Presion_cilindro!$B$34),1-EXP(-Presion_cilindro!$B$16*((Presion_cilindro!N612-(-C$4+Presion_cilindro!$B$34))/Presion_cilindro!$B$35)^(Presion_cilindro!$B$17+1)),0)-IF(Presion_cilindro!N611&gt;(-C$4+Presion_cilindro!$B$34),1-EXP(-Presion_cilindro!$B$16*((Presion_cilindro!N611-(-C$4+Presion_cilindro!$B$34))/Presion_cilindro!$B$35)^(Presion_cilindro!$B$17+1)),0))/((Presion_cilindro!O611+Presion_cilindro!O612)/2)</f>
        <v>3.13800885386323</v>
      </c>
      <c r="D620" s="27">
        <f>D619*(Presion_cilindro!O611/Presion_cilindro!O612)^Presion_cilindro!$B$9+10*(Presion_cilindro!$B$9-1)*Presion_cilindro!$B$33*(IF(Presion_cilindro!N612&gt;(-D$4+Presion_cilindro!$B$34),1-EXP(-Presion_cilindro!$B$16*((Presion_cilindro!N612-(-D$4+Presion_cilindro!$B$34))/Presion_cilindro!$B$35)^(Presion_cilindro!$B$17+1)),0)-IF(Presion_cilindro!N611&gt;(-D$4+Presion_cilindro!$B$34),1-EXP(-Presion_cilindro!$B$16*((Presion_cilindro!N611-(-D$4+Presion_cilindro!$B$34))/Presion_cilindro!$B$35)^(Presion_cilindro!$B$17+1)),0))/((Presion_cilindro!O611+Presion_cilindro!O612)/2)</f>
        <v>3.0453072415955522</v>
      </c>
      <c r="E620" s="27">
        <f>E619*(Presion_cilindro!O611/Presion_cilindro!O612)^Presion_cilindro!$B$9+10*(Presion_cilindro!$B$9-1)*Presion_cilindro!$B$33*(IF(Presion_cilindro!N612&gt;(-E$4+Presion_cilindro!$B$34),1-EXP(-Presion_cilindro!$B$16*((Presion_cilindro!N612-(-E$4+Presion_cilindro!$B$34))/Presion_cilindro!$B$35)^(Presion_cilindro!$B$17+1)),0)-IF(Presion_cilindro!N611&gt;(-E$4+Presion_cilindro!$B$34),1-EXP(-Presion_cilindro!$B$16*((Presion_cilindro!N611-(-E$4+Presion_cilindro!$B$34))/Presion_cilindro!$B$35)^(Presion_cilindro!$B$17+1)),0))/((Presion_cilindro!O611+Presion_cilindro!O612)/2)</f>
        <v>2.9628868870916687</v>
      </c>
      <c r="F620" s="27">
        <f>F619*(Presion_cilindro!O611/Presion_cilindro!O612)^Presion_cilindro!$B$9+10*(Presion_cilindro!$B$9-1)*Presion_cilindro!$B$33*(IF(Presion_cilindro!N612&gt;(-F$4+Presion_cilindro!$B$34),1-EXP(-Presion_cilindro!$B$16*((Presion_cilindro!N612-(-F$4+Presion_cilindro!$B$34))/Presion_cilindro!$B$35)^(Presion_cilindro!$B$17+1)),0)-IF(Presion_cilindro!N611&gt;(-F$4+Presion_cilindro!$B$34),1-EXP(-Presion_cilindro!$B$16*((Presion_cilindro!N611-(-F$4+Presion_cilindro!$B$34))/Presion_cilindro!$B$35)^(Presion_cilindro!$B$17+1)),0))/((Presion_cilindro!O611+Presion_cilindro!O612)/2)</f>
        <v>2.8945046536977816</v>
      </c>
      <c r="G620" s="27">
        <f>G619*(Presion_cilindro!O611/Presion_cilindro!O612)^Presion_cilindro!$B$9+10*(Presion_cilindro!$B$9-1)*Presion_cilindro!$B$33*(IF(Presion_cilindro!N612&gt;(-G$4+Presion_cilindro!$B$34),1-EXP(-Presion_cilindro!$B$16*((Presion_cilindro!N612-(-G$4+Presion_cilindro!$B$34))/Presion_cilindro!$B$35)^(Presion_cilindro!$B$17+1)),0)-IF(Presion_cilindro!N611&gt;(-G$4+Presion_cilindro!$B$34),1-EXP(-Presion_cilindro!$B$16*((Presion_cilindro!N611-(-G$4+Presion_cilindro!$B$34))/Presion_cilindro!$B$35)^(Presion_cilindro!$B$17+1)),0))/((Presion_cilindro!O611+Presion_cilindro!O612)/2)</f>
        <v>2.8438342214932826</v>
      </c>
      <c r="H620" s="27">
        <f>H619*(Presion_cilindro!O611/Presion_cilindro!O612)^Presion_cilindro!$B$9+10*(Presion_cilindro!$B$9-1)*Presion_cilindro!$B$33*(IF(Presion_cilindro!N612&gt;(-H$4+Presion_cilindro!$B$34),1-EXP(-Presion_cilindro!$B$16*((Presion_cilindro!N612-(-H$4+Presion_cilindro!$B$34))/Presion_cilindro!$B$35)^(Presion_cilindro!$B$17+1)),0)-IF(Presion_cilindro!N611&gt;(-H$4+Presion_cilindro!$B$34),1-EXP(-Presion_cilindro!$B$16*((Presion_cilindro!N611-(-H$4+Presion_cilindro!$B$34))/Presion_cilindro!$B$35)^(Presion_cilindro!$B$17+1)),0))/((Presion_cilindro!O611+Presion_cilindro!O612)/2)</f>
        <v>2.8139444061210783</v>
      </c>
      <c r="I620" s="27">
        <f>I619*(Presion_cilindro!O611/Presion_cilindro!O612)^Presion_cilindro!$B$9+10*(Presion_cilindro!$B$9-1)*Presion_cilindro!$B$33*(IF(Presion_cilindro!N612&gt;(-I$4+Presion_cilindro!$B$34),1-EXP(-Presion_cilindro!$B$16*((Presion_cilindro!N612-(-I$4+Presion_cilindro!$B$34))/Presion_cilindro!$B$35)^(Presion_cilindro!$B$17+1)),0)-IF(Presion_cilindro!N611&gt;(-I$4+Presion_cilindro!$B$34),1-EXP(-Presion_cilindro!$B$16*((Presion_cilindro!N611-(-I$4+Presion_cilindro!$B$34))/Presion_cilindro!$B$35)^(Presion_cilindro!$B$17+1)),0))/((Presion_cilindro!O611+Presion_cilindro!O612)/2)</f>
        <v>2.8067746732793921</v>
      </c>
      <c r="J620" s="27">
        <f>J619*(Presion_cilindro!O611/Presion_cilindro!O612)^Presion_cilindro!$B$9+10*(Presion_cilindro!$B$9-1)*Presion_cilindro!$B$33*(IF(Presion_cilindro!N612&gt;(-J$4+Presion_cilindro!$B$34),1-EXP(-Presion_cilindro!$B$16*((Presion_cilindro!N612-(-J$4+Presion_cilindro!$B$34))/Presion_cilindro!$B$35)^(Presion_cilindro!$B$17+1)),0)-IF(Presion_cilindro!N611&gt;(-J$4+Presion_cilindro!$B$34),1-EXP(-Presion_cilindro!$B$16*((Presion_cilindro!N611-(-J$4+Presion_cilindro!$B$34))/Presion_cilindro!$B$35)^(Presion_cilindro!$B$17+1)),0))/((Presion_cilindro!O611+Presion_cilindro!O612)/2)</f>
        <v>2.8227715684906132</v>
      </c>
      <c r="K620" s="27">
        <f>K619*(Presion_cilindro!O611/Presion_cilindro!O612)^Presion_cilindro!$B$9+10*(Presion_cilindro!$B$9-1)*Presion_cilindro!$B$33*(IF(Presion_cilindro!N612&gt;(-K$4+Presion_cilindro!$B$34),1-EXP(-Presion_cilindro!$B$16*((Presion_cilindro!N612-(-K$4+Presion_cilindro!$B$34))/Presion_cilindro!$B$35)^(Presion_cilindro!$B$17+1)),0)-IF(Presion_cilindro!N611&gt;(-K$4+Presion_cilindro!$B$34),1-EXP(-Presion_cilindro!$B$16*((Presion_cilindro!N611-(-K$4+Presion_cilindro!$B$34))/Presion_cilindro!$B$35)^(Presion_cilindro!$B$17+1)),0))/((Presion_cilindro!O611+Presion_cilindro!O612)/2)</f>
        <v>2.8608112176593727</v>
      </c>
      <c r="L620" s="27">
        <f>L619*(Presion_cilindro!O611/Presion_cilindro!O612)^Presion_cilindro!$B$9+10*(Presion_cilindro!$B$9-1)*Presion_cilindro!$B$33*(IF(Presion_cilindro!N612&gt;(-L$4+Presion_cilindro!$B$34),1-EXP(-Presion_cilindro!$B$16*((Presion_cilindro!N612-(-L$4+Presion_cilindro!$B$34))/Presion_cilindro!$B$35)^(Presion_cilindro!$B$17+1)),0)-IF(Presion_cilindro!N611&gt;(-L$4+Presion_cilindro!$B$34),1-EXP(-Presion_cilindro!$B$16*((Presion_cilindro!N611-(-L$4+Presion_cilindro!$B$34))/Presion_cilindro!$B$35)^(Presion_cilindro!$B$17+1)),0))/((Presion_cilindro!O611+Presion_cilindro!O612)/2)</f>
        <v>2.9184316697651562</v>
      </c>
      <c r="M620" s="27">
        <f>M619*(Presion_cilindro!O611/Presion_cilindro!O612)^Presion_cilindro!$B$9+10*(Presion_cilindro!$B$9-1)*Presion_cilindro!$B$33*(IF(Presion_cilindro!N612&gt;(-M$4+Presion_cilindro!$B$34),1-EXP(-Presion_cilindro!$B$16*((Presion_cilindro!N612-(-M$4+Presion_cilindro!$B$34))/Presion_cilindro!$B$35)^(Presion_cilindro!$B$17+1)),0)-IF(Presion_cilindro!N611&gt;(-M$4+Presion_cilindro!$B$34),1-EXP(-Presion_cilindro!$B$16*((Presion_cilindro!N611-(-M$4+Presion_cilindro!$B$34))/Presion_cilindro!$B$35)^(Presion_cilindro!$B$17+1)),0))/((Presion_cilindro!O611+Presion_cilindro!O612)/2)</f>
        <v>2.992287203205398</v>
      </c>
      <c r="N620" s="27">
        <f>N619*(Presion_cilindro!O611/Presion_cilindro!O612)^Presion_cilindro!$B$9+10*(Presion_cilindro!$B$9-1)*Presion_cilindro!$B$33*(IF(Presion_cilindro!N612&gt;(-N$4+Presion_cilindro!$B$34),1-EXP(-Presion_cilindro!$B$16*((Presion_cilindro!N612-(-N$4+Presion_cilindro!$B$34))/Presion_cilindro!$B$35)^(Presion_cilindro!$B$17+1)),0)-IF(Presion_cilindro!N611&gt;(-N$4+Presion_cilindro!$B$34),1-EXP(-Presion_cilindro!$B$16*((Presion_cilindro!N611-(-N$4+Presion_cilindro!$B$34))/Presion_cilindro!$B$35)^(Presion_cilindro!$B$17+1)),0))/((Presion_cilindro!O611+Presion_cilindro!O612)/2)</f>
        <v>3.0786730395101118</v>
      </c>
    </row>
    <row r="621" spans="1:14" x14ac:dyDescent="0.25">
      <c r="A621" s="21">
        <f>Presion_cilindro!N613</f>
        <v>124.5</v>
      </c>
      <c r="B621" s="27">
        <f>B620*(Presion_cilindro!O612/Presion_cilindro!O613)^Presion_cilindro!$B$9+10*(Presion_cilindro!$B$9-1)*Presion_cilindro!$B$33*(IF(Presion_cilindro!N613&gt;(-B$4+Presion_cilindro!$B$34),1-EXP(-Presion_cilindro!$B$16*((Presion_cilindro!N613-(-B$4+Presion_cilindro!$B$34))/Presion_cilindro!$B$35)^(Presion_cilindro!$B$17+1)),0)-IF(Presion_cilindro!N612&gt;(-B$4+Presion_cilindro!$B$34),1-EXP(-Presion_cilindro!$B$16*((Presion_cilindro!N612-(-B$4+Presion_cilindro!$B$34))/Presion_cilindro!$B$35)^(Presion_cilindro!$B$17+1)),0))/((Presion_cilindro!O612+Presion_cilindro!O613)/2)</f>
        <v>3.2238143906996863</v>
      </c>
      <c r="C621" s="27">
        <f>C620*(Presion_cilindro!O612/Presion_cilindro!O613)^Presion_cilindro!$B$9+10*(Presion_cilindro!$B$9-1)*Presion_cilindro!$B$33*(IF(Presion_cilindro!N613&gt;(-C$4+Presion_cilindro!$B$34),1-EXP(-Presion_cilindro!$B$16*((Presion_cilindro!N613-(-C$4+Presion_cilindro!$B$34))/Presion_cilindro!$B$35)^(Presion_cilindro!$B$17+1)),0)-IF(Presion_cilindro!N612&gt;(-C$4+Presion_cilindro!$B$34),1-EXP(-Presion_cilindro!$B$16*((Presion_cilindro!N612-(-C$4+Presion_cilindro!$B$34))/Presion_cilindro!$B$35)^(Presion_cilindro!$B$17+1)),0))/((Presion_cilindro!O612+Presion_cilindro!O613)/2)</f>
        <v>3.1247022091594476</v>
      </c>
      <c r="D621" s="27">
        <f>D620*(Presion_cilindro!O612/Presion_cilindro!O613)^Presion_cilindro!$B$9+10*(Presion_cilindro!$B$9-1)*Presion_cilindro!$B$33*(IF(Presion_cilindro!N613&gt;(-D$4+Presion_cilindro!$B$34),1-EXP(-Presion_cilindro!$B$16*((Presion_cilindro!N613-(-D$4+Presion_cilindro!$B$34))/Presion_cilindro!$B$35)^(Presion_cilindro!$B$17+1)),0)-IF(Presion_cilindro!N612&gt;(-D$4+Presion_cilindro!$B$34),1-EXP(-Presion_cilindro!$B$16*((Presion_cilindro!N612-(-D$4+Presion_cilindro!$B$34))/Presion_cilindro!$B$35)^(Presion_cilindro!$B$17+1)),0))/((Presion_cilindro!O612+Presion_cilindro!O613)/2)</f>
        <v>3.0323936956608808</v>
      </c>
      <c r="E621" s="27">
        <f>E620*(Presion_cilindro!O612/Presion_cilindro!O613)^Presion_cilindro!$B$9+10*(Presion_cilindro!$B$9-1)*Presion_cilindro!$B$33*(IF(Presion_cilindro!N613&gt;(-E$4+Presion_cilindro!$B$34),1-EXP(-Presion_cilindro!$B$16*((Presion_cilindro!N613-(-E$4+Presion_cilindro!$B$34))/Presion_cilindro!$B$35)^(Presion_cilindro!$B$17+1)),0)-IF(Presion_cilindro!N612&gt;(-E$4+Presion_cilindro!$B$34),1-EXP(-Presion_cilindro!$B$16*((Presion_cilindro!N612-(-E$4+Presion_cilindro!$B$34))/Presion_cilindro!$B$35)^(Presion_cilindro!$B$17+1)),0))/((Presion_cilindro!O612+Presion_cilindro!O613)/2)</f>
        <v>2.9503228425207024</v>
      </c>
      <c r="F621" s="27">
        <f>F620*(Presion_cilindro!O612/Presion_cilindro!O613)^Presion_cilindro!$B$9+10*(Presion_cilindro!$B$9-1)*Presion_cilindro!$B$33*(IF(Presion_cilindro!N613&gt;(-F$4+Presion_cilindro!$B$34),1-EXP(-Presion_cilindro!$B$16*((Presion_cilindro!N613-(-F$4+Presion_cilindro!$B$34))/Presion_cilindro!$B$35)^(Presion_cilindro!$B$17+1)),0)-IF(Presion_cilindro!N612&gt;(-F$4+Presion_cilindro!$B$34),1-EXP(-Presion_cilindro!$B$16*((Presion_cilindro!N612-(-F$4+Presion_cilindro!$B$34))/Presion_cilindro!$B$35)^(Presion_cilindro!$B$17+1)),0))/((Presion_cilindro!O612+Presion_cilindro!O613)/2)</f>
        <v>2.882230582204075</v>
      </c>
      <c r="G621" s="27">
        <f>G620*(Presion_cilindro!O612/Presion_cilindro!O613)^Presion_cilindro!$B$9+10*(Presion_cilindro!$B$9-1)*Presion_cilindro!$B$33*(IF(Presion_cilindro!N613&gt;(-G$4+Presion_cilindro!$B$34),1-EXP(-Presion_cilindro!$B$16*((Presion_cilindro!N613-(-G$4+Presion_cilindro!$B$34))/Presion_cilindro!$B$35)^(Presion_cilindro!$B$17+1)),0)-IF(Presion_cilindro!N612&gt;(-G$4+Presion_cilindro!$B$34),1-EXP(-Presion_cilindro!$B$16*((Presion_cilindro!N612-(-G$4+Presion_cilindro!$B$34))/Presion_cilindro!$B$35)^(Presion_cilindro!$B$17+1)),0))/((Presion_cilindro!O612+Presion_cilindro!O613)/2)</f>
        <v>2.831775016645826</v>
      </c>
      <c r="H621" s="27">
        <f>H620*(Presion_cilindro!O612/Presion_cilindro!O613)^Presion_cilindro!$B$9+10*(Presion_cilindro!$B$9-1)*Presion_cilindro!$B$33*(IF(Presion_cilindro!N613&gt;(-H$4+Presion_cilindro!$B$34),1-EXP(-Presion_cilindro!$B$16*((Presion_cilindro!N613-(-H$4+Presion_cilindro!$B$34))/Presion_cilindro!$B$35)^(Presion_cilindro!$B$17+1)),0)-IF(Presion_cilindro!N612&gt;(-H$4+Presion_cilindro!$B$34),1-EXP(-Presion_cilindro!$B$16*((Presion_cilindro!N612-(-H$4+Presion_cilindro!$B$34))/Presion_cilindro!$B$35)^(Presion_cilindro!$B$17+1)),0))/((Presion_cilindro!O612+Presion_cilindro!O613)/2)</f>
        <v>2.8020119482561645</v>
      </c>
      <c r="I621" s="27">
        <f>I620*(Presion_cilindro!O612/Presion_cilindro!O613)^Presion_cilindro!$B$9+10*(Presion_cilindro!$B$9-1)*Presion_cilindro!$B$33*(IF(Presion_cilindro!N613&gt;(-I$4+Presion_cilindro!$B$34),1-EXP(-Presion_cilindro!$B$16*((Presion_cilindro!N613-(-I$4+Presion_cilindro!$B$34))/Presion_cilindro!$B$35)^(Presion_cilindro!$B$17+1)),0)-IF(Presion_cilindro!N612&gt;(-I$4+Presion_cilindro!$B$34),1-EXP(-Presion_cilindro!$B$16*((Presion_cilindro!N612-(-I$4+Presion_cilindro!$B$34))/Presion_cilindro!$B$35)^(Presion_cilindro!$B$17+1)),0))/((Presion_cilindro!O612+Presion_cilindro!O613)/2)</f>
        <v>2.7948726184796029</v>
      </c>
      <c r="J621" s="27">
        <f>J620*(Presion_cilindro!O612/Presion_cilindro!O613)^Presion_cilindro!$B$9+10*(Presion_cilindro!$B$9-1)*Presion_cilindro!$B$33*(IF(Presion_cilindro!N613&gt;(-J$4+Presion_cilindro!$B$34),1-EXP(-Presion_cilindro!$B$16*((Presion_cilindro!N613-(-J$4+Presion_cilindro!$B$34))/Presion_cilindro!$B$35)^(Presion_cilindro!$B$17+1)),0)-IF(Presion_cilindro!N612&gt;(-J$4+Presion_cilindro!$B$34),1-EXP(-Presion_cilindro!$B$16*((Presion_cilindro!N612-(-J$4+Presion_cilindro!$B$34))/Presion_cilindro!$B$35)^(Presion_cilindro!$B$17+1)),0))/((Presion_cilindro!O612+Presion_cilindro!O613)/2)</f>
        <v>2.8108016792738888</v>
      </c>
      <c r="K621" s="27">
        <f>K620*(Presion_cilindro!O612/Presion_cilindro!O613)^Presion_cilindro!$B$9+10*(Presion_cilindro!$B$9-1)*Presion_cilindro!$B$33*(IF(Presion_cilindro!N613&gt;(-K$4+Presion_cilindro!$B$34),1-EXP(-Presion_cilindro!$B$16*((Presion_cilindro!N613-(-K$4+Presion_cilindro!$B$34))/Presion_cilindro!$B$35)^(Presion_cilindro!$B$17+1)),0)-IF(Presion_cilindro!N612&gt;(-K$4+Presion_cilindro!$B$34),1-EXP(-Presion_cilindro!$B$16*((Presion_cilindro!N612-(-K$4+Presion_cilindro!$B$34))/Presion_cilindro!$B$35)^(Presion_cilindro!$B$17+1)),0))/((Presion_cilindro!O612+Presion_cilindro!O613)/2)</f>
        <v>2.8486800223024433</v>
      </c>
      <c r="L621" s="27">
        <f>L620*(Presion_cilindro!O612/Presion_cilindro!O613)^Presion_cilindro!$B$9+10*(Presion_cilindro!$B$9-1)*Presion_cilindro!$B$33*(IF(Presion_cilindro!N613&gt;(-L$4+Presion_cilindro!$B$34),1-EXP(-Presion_cilindro!$B$16*((Presion_cilindro!N613-(-L$4+Presion_cilindro!$B$34))/Presion_cilindro!$B$35)^(Presion_cilindro!$B$17+1)),0)-IF(Presion_cilindro!N612&gt;(-L$4+Presion_cilindro!$B$34),1-EXP(-Presion_cilindro!$B$16*((Presion_cilindro!N612-(-L$4+Presion_cilindro!$B$34))/Presion_cilindro!$B$35)^(Presion_cilindro!$B$17+1)),0))/((Presion_cilindro!O612+Presion_cilindro!O613)/2)</f>
        <v>2.906056136383846</v>
      </c>
      <c r="M621" s="27">
        <f>M620*(Presion_cilindro!O612/Presion_cilindro!O613)^Presion_cilindro!$B$9+10*(Presion_cilindro!$B$9-1)*Presion_cilindro!$B$33*(IF(Presion_cilindro!N613&gt;(-M$4+Presion_cilindro!$B$34),1-EXP(-Presion_cilindro!$B$16*((Presion_cilindro!N613-(-M$4+Presion_cilindro!$B$34))/Presion_cilindro!$B$35)^(Presion_cilindro!$B$17+1)),0)-IF(Presion_cilindro!N612&gt;(-M$4+Presion_cilindro!$B$34),1-EXP(-Presion_cilindro!$B$16*((Presion_cilindro!N612-(-M$4+Presion_cilindro!$B$34))/Presion_cilindro!$B$35)^(Presion_cilindro!$B$17+1)),0))/((Presion_cilindro!O612+Presion_cilindro!O613)/2)</f>
        <v>2.979598487360728</v>
      </c>
      <c r="N621" s="27">
        <f>N620*(Presion_cilindro!O612/Presion_cilindro!O613)^Presion_cilindro!$B$9+10*(Presion_cilindro!$B$9-1)*Presion_cilindro!$B$33*(IF(Presion_cilindro!N613&gt;(-N$4+Presion_cilindro!$B$34),1-EXP(-Presion_cilindro!$B$16*((Presion_cilindro!N613-(-N$4+Presion_cilindro!$B$34))/Presion_cilindro!$B$35)^(Presion_cilindro!$B$17+1)),0)-IF(Presion_cilindro!N612&gt;(-N$4+Presion_cilindro!$B$34),1-EXP(-Presion_cilindro!$B$16*((Presion_cilindro!N612-(-N$4+Presion_cilindro!$B$34))/Presion_cilindro!$B$35)^(Presion_cilindro!$B$17+1)),0))/((Presion_cilindro!O612+Presion_cilindro!O613)/2)</f>
        <v>3.0656180067795824</v>
      </c>
    </row>
    <row r="622" spans="1:14" x14ac:dyDescent="0.25">
      <c r="A622" s="21">
        <f>Presion_cilindro!N614</f>
        <v>125</v>
      </c>
      <c r="B622" s="27">
        <f>B621*(Presion_cilindro!O613/Presion_cilindro!O614)^Presion_cilindro!$B$9+10*(Presion_cilindro!$B$9-1)*Presion_cilindro!$B$33*(IF(Presion_cilindro!N614&gt;(-B$4+Presion_cilindro!$B$34),1-EXP(-Presion_cilindro!$B$16*((Presion_cilindro!N614-(-B$4+Presion_cilindro!$B$34))/Presion_cilindro!$B$35)^(Presion_cilindro!$B$17+1)),0)-IF(Presion_cilindro!N613&gt;(-B$4+Presion_cilindro!$B$34),1-EXP(-Presion_cilindro!$B$16*((Presion_cilindro!N613-(-B$4+Presion_cilindro!$B$34))/Presion_cilindro!$B$35)^(Presion_cilindro!$B$17+1)),0))/((Presion_cilindro!O613+Presion_cilindro!O614)/2)</f>
        <v>3.2103017679992689</v>
      </c>
      <c r="C622" s="27">
        <f>C621*(Presion_cilindro!O613/Presion_cilindro!O614)^Presion_cilindro!$B$9+10*(Presion_cilindro!$B$9-1)*Presion_cilindro!$B$33*(IF(Presion_cilindro!N614&gt;(-C$4+Presion_cilindro!$B$34),1-EXP(-Presion_cilindro!$B$16*((Presion_cilindro!N614-(-C$4+Presion_cilindro!$B$34))/Presion_cilindro!$B$35)^(Presion_cilindro!$B$17+1)),0)-IF(Presion_cilindro!N613&gt;(-C$4+Presion_cilindro!$B$34),1-EXP(-Presion_cilindro!$B$16*((Presion_cilindro!N613-(-C$4+Presion_cilindro!$B$34))/Presion_cilindro!$B$35)^(Presion_cilindro!$B$17+1)),0))/((Presion_cilindro!O613+Presion_cilindro!O614)/2)</f>
        <v>3.1116050153118922</v>
      </c>
      <c r="D622" s="27">
        <f>D621*(Presion_cilindro!O613/Presion_cilindro!O614)^Presion_cilindro!$B$9+10*(Presion_cilindro!$B$9-1)*Presion_cilindro!$B$33*(IF(Presion_cilindro!N614&gt;(-D$4+Presion_cilindro!$B$34),1-EXP(-Presion_cilindro!$B$16*((Presion_cilindro!N614-(-D$4+Presion_cilindro!$B$34))/Presion_cilindro!$B$35)^(Presion_cilindro!$B$17+1)),0)-IF(Presion_cilindro!N613&gt;(-D$4+Presion_cilindro!$B$34),1-EXP(-Presion_cilindro!$B$16*((Presion_cilindro!N613-(-D$4+Presion_cilindro!$B$34))/Presion_cilindro!$B$35)^(Presion_cilindro!$B$17+1)),0))/((Presion_cilindro!O613+Presion_cilindro!O614)/2)</f>
        <v>3.0196834130817098</v>
      </c>
      <c r="E622" s="27">
        <f>E621*(Presion_cilindro!O613/Presion_cilindro!O614)^Presion_cilindro!$B$9+10*(Presion_cilindro!$B$9-1)*Presion_cilindro!$B$33*(IF(Presion_cilindro!N614&gt;(-E$4+Presion_cilindro!$B$34),1-EXP(-Presion_cilindro!$B$16*((Presion_cilindro!N614-(-E$4+Presion_cilindro!$B$34))/Presion_cilindro!$B$35)^(Presion_cilindro!$B$17+1)),0)-IF(Presion_cilindro!N613&gt;(-E$4+Presion_cilindro!$B$34),1-EXP(-Presion_cilindro!$B$16*((Presion_cilindro!N613-(-E$4+Presion_cilindro!$B$34))/Presion_cilindro!$B$35)^(Presion_cilindro!$B$17+1)),0))/((Presion_cilindro!O613+Presion_cilindro!O614)/2)</f>
        <v>2.9379565600416564</v>
      </c>
      <c r="F622" s="27">
        <f>F621*(Presion_cilindro!O613/Presion_cilindro!O614)^Presion_cilindro!$B$9+10*(Presion_cilindro!$B$9-1)*Presion_cilindro!$B$33*(IF(Presion_cilindro!N614&gt;(-F$4+Presion_cilindro!$B$34),1-EXP(-Presion_cilindro!$B$16*((Presion_cilindro!N614-(-F$4+Presion_cilindro!$B$34))/Presion_cilindro!$B$35)^(Presion_cilindro!$B$17+1)),0)-IF(Presion_cilindro!N613&gt;(-F$4+Presion_cilindro!$B$34),1-EXP(-Presion_cilindro!$B$16*((Presion_cilindro!N613-(-F$4+Presion_cilindro!$B$34))/Presion_cilindro!$B$35)^(Presion_cilindro!$B$17+1)),0))/((Presion_cilindro!O613+Presion_cilindro!O614)/2)</f>
        <v>2.8701497085330336</v>
      </c>
      <c r="G622" s="27">
        <f>G621*(Presion_cilindro!O613/Presion_cilindro!O614)^Presion_cilindro!$B$9+10*(Presion_cilindro!$B$9-1)*Presion_cilindro!$B$33*(IF(Presion_cilindro!N614&gt;(-G$4+Presion_cilindro!$B$34),1-EXP(-Presion_cilindro!$B$16*((Presion_cilindro!N614-(-G$4+Presion_cilindro!$B$34))/Presion_cilindro!$B$35)^(Presion_cilindro!$B$17+1)),0)-IF(Presion_cilindro!N613&gt;(-G$4+Presion_cilindro!$B$34),1-EXP(-Presion_cilindro!$B$16*((Presion_cilindro!N613-(-G$4+Presion_cilindro!$B$34))/Presion_cilindro!$B$35)^(Presion_cilindro!$B$17+1)),0))/((Presion_cilindro!O613+Presion_cilindro!O614)/2)</f>
        <v>2.8199056275510963</v>
      </c>
      <c r="H622" s="27">
        <f>H621*(Presion_cilindro!O613/Presion_cilindro!O614)^Presion_cilindro!$B$9+10*(Presion_cilindro!$B$9-1)*Presion_cilindro!$B$33*(IF(Presion_cilindro!N614&gt;(-H$4+Presion_cilindro!$B$34),1-EXP(-Presion_cilindro!$B$16*((Presion_cilindro!N614-(-H$4+Presion_cilindro!$B$34))/Presion_cilindro!$B$35)^(Presion_cilindro!$B$17+1)),0)-IF(Presion_cilindro!N613&gt;(-H$4+Presion_cilindro!$B$34),1-EXP(-Presion_cilindro!$B$16*((Presion_cilindro!N613-(-H$4+Presion_cilindro!$B$34))/Presion_cilindro!$B$35)^(Presion_cilindro!$B$17+1)),0))/((Presion_cilindro!O613+Presion_cilindro!O614)/2)</f>
        <v>2.7902673111058136</v>
      </c>
      <c r="I622" s="27">
        <f>I621*(Presion_cilindro!O613/Presion_cilindro!O614)^Presion_cilindro!$B$9+10*(Presion_cilindro!$B$9-1)*Presion_cilindro!$B$33*(IF(Presion_cilindro!N614&gt;(-I$4+Presion_cilindro!$B$34),1-EXP(-Presion_cilindro!$B$16*((Presion_cilindro!N614-(-I$4+Presion_cilindro!$B$34))/Presion_cilindro!$B$35)^(Presion_cilindro!$B$17+1)),0)-IF(Presion_cilindro!N613&gt;(-I$4+Presion_cilindro!$B$34),1-EXP(-Presion_cilindro!$B$16*((Presion_cilindro!N613-(-I$4+Presion_cilindro!$B$34))/Presion_cilindro!$B$35)^(Presion_cilindro!$B$17+1)),0))/((Presion_cilindro!O613+Presion_cilindro!O614)/2)</f>
        <v>2.7831579058403784</v>
      </c>
      <c r="J622" s="27">
        <f>J621*(Presion_cilindro!O613/Presion_cilindro!O614)^Presion_cilindro!$B$9+10*(Presion_cilindro!$B$9-1)*Presion_cilindro!$B$33*(IF(Presion_cilindro!N614&gt;(-J$4+Presion_cilindro!$B$34),1-EXP(-Presion_cilindro!$B$16*((Presion_cilindro!N614-(-J$4+Presion_cilindro!$B$34))/Presion_cilindro!$B$35)^(Presion_cilindro!$B$17+1)),0)-IF(Presion_cilindro!N613&gt;(-J$4+Presion_cilindro!$B$34),1-EXP(-Presion_cilindro!$B$16*((Presion_cilindro!N613-(-J$4+Presion_cilindro!$B$34))/Presion_cilindro!$B$35)^(Presion_cilindro!$B$17+1)),0))/((Presion_cilindro!O613+Presion_cilindro!O614)/2)</f>
        <v>2.7990201999532123</v>
      </c>
      <c r="K622" s="27">
        <f>K621*(Presion_cilindro!O613/Presion_cilindro!O614)^Presion_cilindro!$B$9+10*(Presion_cilindro!$B$9-1)*Presion_cilindro!$B$33*(IF(Presion_cilindro!N614&gt;(-K$4+Presion_cilindro!$B$34),1-EXP(-Presion_cilindro!$B$16*((Presion_cilindro!N614-(-K$4+Presion_cilindro!$B$34))/Presion_cilindro!$B$35)^(Presion_cilindro!$B$17+1)),0)-IF(Presion_cilindro!N613&gt;(-K$4+Presion_cilindro!$B$34),1-EXP(-Presion_cilindro!$B$16*((Presion_cilindro!N613-(-K$4+Presion_cilindro!$B$34))/Presion_cilindro!$B$35)^(Presion_cilindro!$B$17+1)),0))/((Presion_cilindro!O613+Presion_cilindro!O614)/2)</f>
        <v>2.8367397758519535</v>
      </c>
      <c r="L622" s="27">
        <f>L621*(Presion_cilindro!O613/Presion_cilindro!O614)^Presion_cilindro!$B$9+10*(Presion_cilindro!$B$9-1)*Presion_cilindro!$B$33*(IF(Presion_cilindro!N614&gt;(-L$4+Presion_cilindro!$B$34),1-EXP(-Presion_cilindro!$B$16*((Presion_cilindro!N614-(-L$4+Presion_cilindro!$B$34))/Presion_cilindro!$B$35)^(Presion_cilindro!$B$17+1)),0)-IF(Presion_cilindro!N613&gt;(-L$4+Presion_cilindro!$B$34),1-EXP(-Presion_cilindro!$B$16*((Presion_cilindro!N613-(-L$4+Presion_cilindro!$B$34))/Presion_cilindro!$B$35)^(Presion_cilindro!$B$17+1)),0))/((Presion_cilindro!O613+Presion_cilindro!O614)/2)</f>
        <v>2.8938753978678591</v>
      </c>
      <c r="M622" s="27">
        <f>M621*(Presion_cilindro!O613/Presion_cilindro!O614)^Presion_cilindro!$B$9+10*(Presion_cilindro!$B$9-1)*Presion_cilindro!$B$33*(IF(Presion_cilindro!N614&gt;(-M$4+Presion_cilindro!$B$34),1-EXP(-Presion_cilindro!$B$16*((Presion_cilindro!N614-(-M$4+Presion_cilindro!$B$34))/Presion_cilindro!$B$35)^(Presion_cilindro!$B$17+1)),0)-IF(Presion_cilindro!N613&gt;(-M$4+Presion_cilindro!$B$34),1-EXP(-Presion_cilindro!$B$16*((Presion_cilindro!N613-(-M$4+Presion_cilindro!$B$34))/Presion_cilindro!$B$35)^(Presion_cilindro!$B$17+1)),0))/((Presion_cilindro!O613+Presion_cilindro!O614)/2)</f>
        <v>2.9671094959738191</v>
      </c>
      <c r="N622" s="27">
        <f>N621*(Presion_cilindro!O613/Presion_cilindro!O614)^Presion_cilindro!$B$9+10*(Presion_cilindro!$B$9-1)*Presion_cilindro!$B$33*(IF(Presion_cilindro!N614&gt;(-N$4+Presion_cilindro!$B$34),1-EXP(-Presion_cilindro!$B$16*((Presion_cilindro!N614-(-N$4+Presion_cilindro!$B$34))/Presion_cilindro!$B$35)^(Presion_cilindro!$B$17+1)),0)-IF(Presion_cilindro!N613&gt;(-N$4+Presion_cilindro!$B$34),1-EXP(-Presion_cilindro!$B$16*((Presion_cilindro!N613-(-N$4+Presion_cilindro!$B$34))/Presion_cilindro!$B$35)^(Presion_cilindro!$B$17+1)),0))/((Presion_cilindro!O613+Presion_cilindro!O614)/2)</f>
        <v>3.0527684644521074</v>
      </c>
    </row>
    <row r="623" spans="1:14" x14ac:dyDescent="0.25">
      <c r="A623" s="21">
        <f>Presion_cilindro!N615</f>
        <v>125.5</v>
      </c>
      <c r="B623" s="27">
        <f>B622*(Presion_cilindro!O614/Presion_cilindro!O615)^Presion_cilindro!$B$9+10*(Presion_cilindro!$B$9-1)*Presion_cilindro!$B$33*(IF(Presion_cilindro!N615&gt;(-B$4+Presion_cilindro!$B$34),1-EXP(-Presion_cilindro!$B$16*((Presion_cilindro!N615-(-B$4+Presion_cilindro!$B$34))/Presion_cilindro!$B$35)^(Presion_cilindro!$B$17+1)),0)-IF(Presion_cilindro!N614&gt;(-B$4+Presion_cilindro!$B$34),1-EXP(-Presion_cilindro!$B$16*((Presion_cilindro!N614-(-B$4+Presion_cilindro!$B$34))/Presion_cilindro!$B$35)^(Presion_cilindro!$B$17+1)),0))/((Presion_cilindro!O614+Presion_cilindro!O615)/2)</f>
        <v>3.1970020440139018</v>
      </c>
      <c r="C623" s="27">
        <f>C622*(Presion_cilindro!O614/Presion_cilindro!O615)^Presion_cilindro!$B$9+10*(Presion_cilindro!$B$9-1)*Presion_cilindro!$B$33*(IF(Presion_cilindro!N615&gt;(-C$4+Presion_cilindro!$B$34),1-EXP(-Presion_cilindro!$B$16*((Presion_cilindro!N615-(-C$4+Presion_cilindro!$B$34))/Presion_cilindro!$B$35)^(Presion_cilindro!$B$17+1)),0)-IF(Presion_cilindro!N614&gt;(-C$4+Presion_cilindro!$B$34),1-EXP(-Presion_cilindro!$B$16*((Presion_cilindro!N614-(-C$4+Presion_cilindro!$B$34))/Presion_cilindro!$B$35)^(Presion_cilindro!$B$17+1)),0))/((Presion_cilindro!O614+Presion_cilindro!O615)/2)</f>
        <v>3.0987141748720153</v>
      </c>
      <c r="D623" s="27">
        <f>D622*(Presion_cilindro!O614/Presion_cilindro!O615)^Presion_cilindro!$B$9+10*(Presion_cilindro!$B$9-1)*Presion_cilindro!$B$33*(IF(Presion_cilindro!N615&gt;(-D$4+Presion_cilindro!$B$34),1-EXP(-Presion_cilindro!$B$16*((Presion_cilindro!N615-(-D$4+Presion_cilindro!$B$34))/Presion_cilindro!$B$35)^(Presion_cilindro!$B$17+1)),0)-IF(Presion_cilindro!N614&gt;(-D$4+Presion_cilindro!$B$34),1-EXP(-Presion_cilindro!$B$16*((Presion_cilindro!N614-(-D$4+Presion_cilindro!$B$34))/Presion_cilindro!$B$35)^(Presion_cilindro!$B$17+1)),0))/((Presion_cilindro!O614+Presion_cilindro!O615)/2)</f>
        <v>3.0071733879128897</v>
      </c>
      <c r="E623" s="27">
        <f>E622*(Presion_cilindro!O614/Presion_cilindro!O615)^Presion_cilindro!$B$9+10*(Presion_cilindro!$B$9-1)*Presion_cilindro!$B$33*(IF(Presion_cilindro!N615&gt;(-E$4+Presion_cilindro!$B$34),1-EXP(-Presion_cilindro!$B$16*((Presion_cilindro!N615-(-E$4+Presion_cilindro!$B$34))/Presion_cilindro!$B$35)^(Presion_cilindro!$B$17+1)),0)-IF(Presion_cilindro!N614&gt;(-E$4+Presion_cilindro!$B$34),1-EXP(-Presion_cilindro!$B$16*((Presion_cilindro!N614-(-E$4+Presion_cilindro!$B$34))/Presion_cilindro!$B$35)^(Presion_cilindro!$B$17+1)),0))/((Presion_cilindro!O614+Presion_cilindro!O615)/2)</f>
        <v>2.9257851150644121</v>
      </c>
      <c r="F623" s="27">
        <f>F622*(Presion_cilindro!O614/Presion_cilindro!O615)^Presion_cilindro!$B$9+10*(Presion_cilindro!$B$9-1)*Presion_cilindro!$B$33*(IF(Presion_cilindro!N615&gt;(-F$4+Presion_cilindro!$B$34),1-EXP(-Presion_cilindro!$B$16*((Presion_cilindro!N615-(-F$4+Presion_cilindro!$B$34))/Presion_cilindro!$B$35)^(Presion_cilindro!$B$17+1)),0)-IF(Presion_cilindro!N614&gt;(-F$4+Presion_cilindro!$B$34),1-EXP(-Presion_cilindro!$B$16*((Presion_cilindro!N614-(-F$4+Presion_cilindro!$B$34))/Presion_cilindro!$B$35)^(Presion_cilindro!$B$17+1)),0))/((Presion_cilindro!O614+Presion_cilindro!O615)/2)</f>
        <v>2.8582591755928979</v>
      </c>
      <c r="G623" s="27">
        <f>G622*(Presion_cilindro!O614/Presion_cilindro!O615)^Presion_cilindro!$B$9+10*(Presion_cilindro!$B$9-1)*Presion_cilindro!$B$33*(IF(Presion_cilindro!N615&gt;(-G$4+Presion_cilindro!$B$34),1-EXP(-Presion_cilindro!$B$16*((Presion_cilindro!N615-(-G$4+Presion_cilindro!$B$34))/Presion_cilindro!$B$35)^(Presion_cilindro!$B$17+1)),0)-IF(Presion_cilindro!N614&gt;(-G$4+Presion_cilindro!$B$34),1-EXP(-Presion_cilindro!$B$16*((Presion_cilindro!N614-(-G$4+Presion_cilindro!$B$34))/Presion_cilindro!$B$35)^(Presion_cilindro!$B$17+1)),0))/((Presion_cilindro!O614+Presion_cilindro!O615)/2)</f>
        <v>2.8082232471328257</v>
      </c>
      <c r="H623" s="27">
        <f>H622*(Presion_cilindro!O614/Presion_cilindro!O615)^Presion_cilindro!$B$9+10*(Presion_cilindro!$B$9-1)*Presion_cilindro!$B$33*(IF(Presion_cilindro!N615&gt;(-H$4+Presion_cilindro!$B$34),1-EXP(-Presion_cilindro!$B$16*((Presion_cilindro!N615-(-H$4+Presion_cilindro!$B$34))/Presion_cilindro!$B$35)^(Presion_cilindro!$B$17+1)),0)-IF(Presion_cilindro!N614&gt;(-H$4+Presion_cilindro!$B$34),1-EXP(-Presion_cilindro!$B$16*((Presion_cilindro!N614-(-H$4+Presion_cilindro!$B$34))/Presion_cilindro!$B$35)^(Presion_cilindro!$B$17+1)),0))/((Presion_cilindro!O614+Presion_cilindro!O615)/2)</f>
        <v>2.778707717097233</v>
      </c>
      <c r="I623" s="27">
        <f>I622*(Presion_cilindro!O614/Presion_cilindro!O615)^Presion_cilindro!$B$9+10*(Presion_cilindro!$B$9-1)*Presion_cilindro!$B$33*(IF(Presion_cilindro!N615&gt;(-I$4+Presion_cilindro!$B$34),1-EXP(-Presion_cilindro!$B$16*((Presion_cilindro!N615-(-I$4+Presion_cilindro!$B$34))/Presion_cilindro!$B$35)^(Presion_cilindro!$B$17+1)),0)-IF(Presion_cilindro!N614&gt;(-I$4+Presion_cilindro!$B$34),1-EXP(-Presion_cilindro!$B$16*((Presion_cilindro!N614-(-I$4+Presion_cilindro!$B$34))/Presion_cilindro!$B$35)^(Presion_cilindro!$B$17+1)),0))/((Presion_cilindro!O614+Presion_cilindro!O615)/2)</f>
        <v>2.7716277648659866</v>
      </c>
      <c r="J623" s="27">
        <f>J622*(Presion_cilindro!O614/Presion_cilindro!O615)^Presion_cilindro!$B$9+10*(Presion_cilindro!$B$9-1)*Presion_cilindro!$B$33*(IF(Presion_cilindro!N615&gt;(-J$4+Presion_cilindro!$B$34),1-EXP(-Presion_cilindro!$B$16*((Presion_cilindro!N615-(-J$4+Presion_cilindro!$B$34))/Presion_cilindro!$B$35)^(Presion_cilindro!$B$17+1)),0)-IF(Presion_cilindro!N614&gt;(-J$4+Presion_cilindro!$B$34),1-EXP(-Presion_cilindro!$B$16*((Presion_cilindro!N614-(-J$4+Presion_cilindro!$B$34))/Presion_cilindro!$B$35)^(Presion_cilindro!$B$17+1)),0))/((Presion_cilindro!O614+Presion_cilindro!O615)/2)</f>
        <v>2.7874243442427238</v>
      </c>
      <c r="K623" s="27">
        <f>K622*(Presion_cilindro!O614/Presion_cilindro!O615)^Presion_cilindro!$B$9+10*(Presion_cilindro!$B$9-1)*Presion_cilindro!$B$33*(IF(Presion_cilindro!N615&gt;(-K$4+Presion_cilindro!$B$34),1-EXP(-Presion_cilindro!$B$16*((Presion_cilindro!N615-(-K$4+Presion_cilindro!$B$34))/Presion_cilindro!$B$35)^(Presion_cilindro!$B$17+1)),0)-IF(Presion_cilindro!N614&gt;(-K$4+Presion_cilindro!$B$34),1-EXP(-Presion_cilindro!$B$16*((Presion_cilindro!N614-(-K$4+Presion_cilindro!$B$34))/Presion_cilindro!$B$35)^(Presion_cilindro!$B$17+1)),0))/((Presion_cilindro!O614+Presion_cilindro!O615)/2)</f>
        <v>2.8249876544740755</v>
      </c>
      <c r="L623" s="27">
        <f>L622*(Presion_cilindro!O614/Presion_cilindro!O615)^Presion_cilindro!$B$9+10*(Presion_cilindro!$B$9-1)*Presion_cilindro!$B$33*(IF(Presion_cilindro!N615&gt;(-L$4+Presion_cilindro!$B$34),1-EXP(-Presion_cilindro!$B$16*((Presion_cilindro!N615-(-L$4+Presion_cilindro!$B$34))/Presion_cilindro!$B$35)^(Presion_cilindro!$B$17+1)),0)-IF(Presion_cilindro!N614&gt;(-L$4+Presion_cilindro!$B$34),1-EXP(-Presion_cilindro!$B$16*((Presion_cilindro!N614-(-L$4+Presion_cilindro!$B$34))/Presion_cilindro!$B$35)^(Presion_cilindro!$B$17+1)),0))/((Presion_cilindro!O614+Presion_cilindro!O615)/2)</f>
        <v>2.8818865735076886</v>
      </c>
      <c r="M623" s="27">
        <f>M622*(Presion_cilindro!O614/Presion_cilindro!O615)^Presion_cilindro!$B$9+10*(Presion_cilindro!$B$9-1)*Presion_cilindro!$B$33*(IF(Presion_cilindro!N615&gt;(-M$4+Presion_cilindro!$B$34),1-EXP(-Presion_cilindro!$B$16*((Presion_cilindro!N615-(-M$4+Presion_cilindro!$B$34))/Presion_cilindro!$B$35)^(Presion_cilindro!$B$17+1)),0)-IF(Presion_cilindro!N614&gt;(-M$4+Presion_cilindro!$B$34),1-EXP(-Presion_cilindro!$B$16*((Presion_cilindro!N614-(-M$4+Presion_cilindro!$B$34))/Presion_cilindro!$B$35)^(Presion_cilindro!$B$17+1)),0))/((Presion_cilindro!O614+Presion_cilindro!O615)/2)</f>
        <v>2.9548172754342503</v>
      </c>
      <c r="N623" s="27">
        <f>N622*(Presion_cilindro!O614/Presion_cilindro!O615)^Presion_cilindro!$B$9+10*(Presion_cilindro!$B$9-1)*Presion_cilindro!$B$33*(IF(Presion_cilindro!N615&gt;(-N$4+Presion_cilindro!$B$34),1-EXP(-Presion_cilindro!$B$16*((Presion_cilindro!N615-(-N$4+Presion_cilindro!$B$34))/Presion_cilindro!$B$35)^(Presion_cilindro!$B$17+1)),0)-IF(Presion_cilindro!N614&gt;(-N$4+Presion_cilindro!$B$34),1-EXP(-Presion_cilindro!$B$16*((Presion_cilindro!N614-(-N$4+Presion_cilindro!$B$34))/Presion_cilindro!$B$35)^(Presion_cilindro!$B$17+1)),0))/((Presion_cilindro!O614+Presion_cilindro!O615)/2)</f>
        <v>3.0401213736480082</v>
      </c>
    </row>
    <row r="624" spans="1:14" x14ac:dyDescent="0.25">
      <c r="A624" s="21">
        <f>Presion_cilindro!N616</f>
        <v>126</v>
      </c>
      <c r="B624" s="27">
        <f>B623*(Presion_cilindro!O615/Presion_cilindro!O616)^Presion_cilindro!$B$9+10*(Presion_cilindro!$B$9-1)*Presion_cilindro!$B$33*(IF(Presion_cilindro!N616&gt;(-B$4+Presion_cilindro!$B$34),1-EXP(-Presion_cilindro!$B$16*((Presion_cilindro!N616-(-B$4+Presion_cilindro!$B$34))/Presion_cilindro!$B$35)^(Presion_cilindro!$B$17+1)),0)-IF(Presion_cilindro!N615&gt;(-B$4+Presion_cilindro!$B$34),1-EXP(-Presion_cilindro!$B$16*((Presion_cilindro!N615-(-B$4+Presion_cilindro!$B$34))/Presion_cilindro!$B$35)^(Presion_cilindro!$B$17+1)),0))/((Presion_cilindro!O615+Presion_cilindro!O616)/2)</f>
        <v>3.1839120884053416</v>
      </c>
      <c r="C624" s="27">
        <f>C623*(Presion_cilindro!O615/Presion_cilindro!O616)^Presion_cilindro!$B$9+10*(Presion_cilindro!$B$9-1)*Presion_cilindro!$B$33*(IF(Presion_cilindro!N616&gt;(-C$4+Presion_cilindro!$B$34),1-EXP(-Presion_cilindro!$B$16*((Presion_cilindro!N616-(-C$4+Presion_cilindro!$B$34))/Presion_cilindro!$B$35)^(Presion_cilindro!$B$17+1)),0)-IF(Presion_cilindro!N615&gt;(-C$4+Presion_cilindro!$B$34),1-EXP(-Presion_cilindro!$B$16*((Presion_cilindro!N615-(-C$4+Presion_cilindro!$B$34))/Presion_cilindro!$B$35)^(Presion_cilindro!$B$17+1)),0))/((Presion_cilindro!O615+Presion_cilindro!O616)/2)</f>
        <v>3.086026653739947</v>
      </c>
      <c r="D624" s="27">
        <f>D623*(Presion_cilindro!O615/Presion_cilindro!O616)^Presion_cilindro!$B$9+10*(Presion_cilindro!$B$9-1)*Presion_cilindro!$B$33*(IF(Presion_cilindro!N616&gt;(-D$4+Presion_cilindro!$B$34),1-EXP(-Presion_cilindro!$B$16*((Presion_cilindro!N616-(-D$4+Presion_cilindro!$B$34))/Presion_cilindro!$B$35)^(Presion_cilindro!$B$17+1)),0)-IF(Presion_cilindro!N615&gt;(-D$4+Presion_cilindro!$B$34),1-EXP(-Presion_cilindro!$B$16*((Presion_cilindro!N615-(-D$4+Presion_cilindro!$B$34))/Presion_cilindro!$B$35)^(Presion_cilindro!$B$17+1)),0))/((Presion_cilindro!O615+Presion_cilindro!O616)/2)</f>
        <v>2.9948606756865308</v>
      </c>
      <c r="E624" s="27">
        <f>E623*(Presion_cilindro!O615/Presion_cilindro!O616)^Presion_cilindro!$B$9+10*(Presion_cilindro!$B$9-1)*Presion_cilindro!$B$33*(IF(Presion_cilindro!N616&gt;(-E$4+Presion_cilindro!$B$34),1-EXP(-Presion_cilindro!$B$16*((Presion_cilindro!N616-(-E$4+Presion_cilindro!$B$34))/Presion_cilindro!$B$35)^(Presion_cilindro!$B$17+1)),0)-IF(Presion_cilindro!N615&gt;(-E$4+Presion_cilindro!$B$34),1-EXP(-Presion_cilindro!$B$16*((Presion_cilindro!N615-(-E$4+Presion_cilindro!$B$34))/Presion_cilindro!$B$35)^(Presion_cilindro!$B$17+1)),0))/((Presion_cilindro!O615+Presion_cilindro!O616)/2)</f>
        <v>2.913805642812247</v>
      </c>
      <c r="F624" s="27">
        <f>F623*(Presion_cilindro!O615/Presion_cilindro!O616)^Presion_cilindro!$B$9+10*(Presion_cilindro!$B$9-1)*Presion_cilindro!$B$33*(IF(Presion_cilindro!N616&gt;(-F$4+Presion_cilindro!$B$34),1-EXP(-Presion_cilindro!$B$16*((Presion_cilindro!N616-(-F$4+Presion_cilindro!$B$34))/Presion_cilindro!$B$35)^(Presion_cilindro!$B$17+1)),0)-IF(Presion_cilindro!N615&gt;(-F$4+Presion_cilindro!$B$34),1-EXP(-Presion_cilindro!$B$16*((Presion_cilindro!N615-(-F$4+Presion_cilindro!$B$34))/Presion_cilindro!$B$35)^(Presion_cilindro!$B$17+1)),0))/((Presion_cilindro!O615+Presion_cilindro!O616)/2)</f>
        <v>2.8465561847248355</v>
      </c>
      <c r="G624" s="27">
        <f>G623*(Presion_cilindro!O615/Presion_cilindro!O616)^Presion_cilindro!$B$9+10*(Presion_cilindro!$B$9-1)*Presion_cilindro!$B$33*(IF(Presion_cilindro!N616&gt;(-G$4+Presion_cilindro!$B$34),1-EXP(-Presion_cilindro!$B$16*((Presion_cilindro!N616-(-G$4+Presion_cilindro!$B$34))/Presion_cilindro!$B$35)^(Presion_cilindro!$B$17+1)),0)-IF(Presion_cilindro!N615&gt;(-G$4+Presion_cilindro!$B$34),1-EXP(-Presion_cilindro!$B$16*((Presion_cilindro!N615-(-G$4+Presion_cilindro!$B$34))/Presion_cilindro!$B$35)^(Presion_cilindro!$B$17+1)),0))/((Presion_cilindro!O615+Presion_cilindro!O616)/2)</f>
        <v>2.796725125724763</v>
      </c>
      <c r="H624" s="27">
        <f>H623*(Presion_cilindro!O615/Presion_cilindro!O616)^Presion_cilindro!$B$9+10*(Presion_cilindro!$B$9-1)*Presion_cilindro!$B$33*(IF(Presion_cilindro!N616&gt;(-H$4+Presion_cilindro!$B$34),1-EXP(-Presion_cilindro!$B$16*((Presion_cilindro!N616-(-H$4+Presion_cilindro!$B$34))/Presion_cilindro!$B$35)^(Presion_cilindro!$B$17+1)),0)-IF(Presion_cilindro!N615&gt;(-H$4+Presion_cilindro!$B$34),1-EXP(-Presion_cilindro!$B$16*((Presion_cilindro!N615-(-H$4+Presion_cilindro!$B$34))/Presion_cilindro!$B$35)^(Presion_cilindro!$B$17+1)),0))/((Presion_cilindro!O615+Presion_cilindro!O616)/2)</f>
        <v>2.767330445464244</v>
      </c>
      <c r="I624" s="27">
        <f>I623*(Presion_cilindro!O615/Presion_cilindro!O616)^Presion_cilindro!$B$9+10*(Presion_cilindro!$B$9-1)*Presion_cilindro!$B$33*(IF(Presion_cilindro!N616&gt;(-I$4+Presion_cilindro!$B$34),1-EXP(-Presion_cilindro!$B$16*((Presion_cilindro!N616-(-I$4+Presion_cilindro!$B$34))/Presion_cilindro!$B$35)^(Presion_cilindro!$B$17+1)),0)-IF(Presion_cilindro!N615&gt;(-I$4+Presion_cilindro!$B$34),1-EXP(-Presion_cilindro!$B$16*((Presion_cilindro!N615-(-I$4+Presion_cilindro!$B$34))/Presion_cilindro!$B$35)^(Presion_cilindro!$B$17+1)),0))/((Presion_cilindro!O615+Presion_cilindro!O616)/2)</f>
        <v>2.7602794817225709</v>
      </c>
      <c r="J624" s="27">
        <f>J623*(Presion_cilindro!O615/Presion_cilindro!O616)^Presion_cilindro!$B$9+10*(Presion_cilindro!$B$9-1)*Presion_cilindro!$B$33*(IF(Presion_cilindro!N616&gt;(-J$4+Presion_cilindro!$B$34),1-EXP(-Presion_cilindro!$B$16*((Presion_cilindro!N616-(-J$4+Presion_cilindro!$B$34))/Presion_cilindro!$B$35)^(Presion_cilindro!$B$17+1)),0)-IF(Presion_cilindro!N615&gt;(-J$4+Presion_cilindro!$B$34),1-EXP(-Presion_cilindro!$B$16*((Presion_cilindro!N615-(-J$4+Presion_cilindro!$B$34))/Presion_cilindro!$B$35)^(Presion_cilindro!$B$17+1)),0))/((Presion_cilindro!O615+Presion_cilindro!O616)/2)</f>
        <v>2.7760113828413768</v>
      </c>
      <c r="K624" s="27">
        <f>K623*(Presion_cilindro!O615/Presion_cilindro!O616)^Presion_cilindro!$B$9+10*(Presion_cilindro!$B$9-1)*Presion_cilindro!$B$33*(IF(Presion_cilindro!N616&gt;(-K$4+Presion_cilindro!$B$34),1-EXP(-Presion_cilindro!$B$16*((Presion_cilindro!N616-(-K$4+Presion_cilindro!$B$34))/Presion_cilindro!$B$35)^(Presion_cilindro!$B$17+1)),0)-IF(Presion_cilindro!N615&gt;(-K$4+Presion_cilindro!$B$34),1-EXP(-Presion_cilindro!$B$16*((Presion_cilindro!N615-(-K$4+Presion_cilindro!$B$34))/Presion_cilindro!$B$35)^(Presion_cilindro!$B$17+1)),0))/((Presion_cilindro!O615+Presion_cilindro!O616)/2)</f>
        <v>2.8134208920877217</v>
      </c>
      <c r="L624" s="27">
        <f>L623*(Presion_cilindro!O615/Presion_cilindro!O616)^Presion_cilindro!$B$9+10*(Presion_cilindro!$B$9-1)*Presion_cilindro!$B$33*(IF(Presion_cilindro!N616&gt;(-L$4+Presion_cilindro!$B$34),1-EXP(-Presion_cilindro!$B$16*((Presion_cilindro!N616-(-L$4+Presion_cilindro!$B$34))/Presion_cilindro!$B$35)^(Presion_cilindro!$B$17+1)),0)-IF(Presion_cilindro!N615&gt;(-L$4+Presion_cilindro!$B$34),1-EXP(-Presion_cilindro!$B$16*((Presion_cilindro!N615-(-L$4+Presion_cilindro!$B$34))/Presion_cilindro!$B$35)^(Presion_cilindro!$B$17+1)),0))/((Presion_cilindro!O615+Presion_cilindro!O616)/2)</f>
        <v>2.8700868415097824</v>
      </c>
      <c r="M624" s="27">
        <f>M623*(Presion_cilindro!O615/Presion_cilindro!O616)^Presion_cilindro!$B$9+10*(Presion_cilindro!$B$9-1)*Presion_cilindro!$B$33*(IF(Presion_cilindro!N616&gt;(-M$4+Presion_cilindro!$B$34),1-EXP(-Presion_cilindro!$B$16*((Presion_cilindro!N616-(-M$4+Presion_cilindro!$B$34))/Presion_cilindro!$B$35)^(Presion_cilindro!$B$17+1)),0)-IF(Presion_cilindro!N615&gt;(-M$4+Presion_cilindro!$B$34),1-EXP(-Presion_cilindro!$B$16*((Presion_cilindro!N615-(-M$4+Presion_cilindro!$B$34))/Presion_cilindro!$B$35)^(Presion_cilindro!$B$17+1)),0))/((Presion_cilindro!O615+Presion_cilindro!O616)/2)</f>
        <v>2.9427189325385168</v>
      </c>
      <c r="N624" s="27">
        <f>N623*(Presion_cilindro!O615/Presion_cilindro!O616)^Presion_cilindro!$B$9+10*(Presion_cilindro!$B$9-1)*Presion_cilindro!$B$33*(IF(Presion_cilindro!N616&gt;(-N$4+Presion_cilindro!$B$34),1-EXP(-Presion_cilindro!$B$16*((Presion_cilindro!N616-(-N$4+Presion_cilindro!$B$34))/Presion_cilindro!$B$35)^(Presion_cilindro!$B$17+1)),0)-IF(Presion_cilindro!N615&gt;(-N$4+Presion_cilindro!$B$34),1-EXP(-Presion_cilindro!$B$16*((Presion_cilindro!N615-(-N$4+Presion_cilindro!$B$34))/Presion_cilindro!$B$35)^(Presion_cilindro!$B$17+1)),0))/((Presion_cilindro!O615+Presion_cilindro!O616)/2)</f>
        <v>3.0276737576384405</v>
      </c>
    </row>
    <row r="625" spans="1:14" x14ac:dyDescent="0.25">
      <c r="A625" s="21">
        <f>Presion_cilindro!N617</f>
        <v>126.5</v>
      </c>
      <c r="B625" s="27">
        <f>B624*(Presion_cilindro!O616/Presion_cilindro!O617)^Presion_cilindro!$B$9+10*(Presion_cilindro!$B$9-1)*Presion_cilindro!$B$33*(IF(Presion_cilindro!N617&gt;(-B$4+Presion_cilindro!$B$34),1-EXP(-Presion_cilindro!$B$16*((Presion_cilindro!N617-(-B$4+Presion_cilindro!$B$34))/Presion_cilindro!$B$35)^(Presion_cilindro!$B$17+1)),0)-IF(Presion_cilindro!N616&gt;(-B$4+Presion_cilindro!$B$34),1-EXP(-Presion_cilindro!$B$16*((Presion_cilindro!N616-(-B$4+Presion_cilindro!$B$34))/Presion_cilindro!$B$35)^(Presion_cilindro!$B$17+1)),0))/((Presion_cilindro!O616+Presion_cilindro!O617)/2)</f>
        <v>3.1710288347989675</v>
      </c>
      <c r="C625" s="27">
        <f>C624*(Presion_cilindro!O616/Presion_cilindro!O617)^Presion_cilindro!$B$9+10*(Presion_cilindro!$B$9-1)*Presion_cilindro!$B$33*(IF(Presion_cilindro!N617&gt;(-C$4+Presion_cilindro!$B$34),1-EXP(-Presion_cilindro!$B$16*((Presion_cilindro!N617-(-C$4+Presion_cilindro!$B$34))/Presion_cilindro!$B$35)^(Presion_cilindro!$B$17+1)),0)-IF(Presion_cilindro!N616&gt;(-C$4+Presion_cilindro!$B$34),1-EXP(-Presion_cilindro!$B$16*((Presion_cilindro!N616-(-C$4+Presion_cilindro!$B$34))/Presion_cilindro!$B$35)^(Presion_cilindro!$B$17+1)),0))/((Presion_cilindro!O616+Presion_cilindro!O617)/2)</f>
        <v>3.0735394798129576</v>
      </c>
      <c r="D625" s="27">
        <f>D624*(Presion_cilindro!O616/Presion_cilindro!O617)^Presion_cilindro!$B$9+10*(Presion_cilindro!$B$9-1)*Presion_cilindro!$B$33*(IF(Presion_cilindro!N617&gt;(-D$4+Presion_cilindro!$B$34),1-EXP(-Presion_cilindro!$B$16*((Presion_cilindro!N617-(-D$4+Presion_cilindro!$B$34))/Presion_cilindro!$B$35)^(Presion_cilindro!$B$17+1)),0)-IF(Presion_cilindro!N616&gt;(-D$4+Presion_cilindro!$B$34),1-EXP(-Presion_cilindro!$B$16*((Presion_cilindro!N616-(-D$4+Presion_cilindro!$B$34))/Presion_cilindro!$B$35)^(Presion_cilindro!$B$17+1)),0))/((Presion_cilindro!O616+Presion_cilindro!O617)/2)</f>
        <v>2.9827423921003935</v>
      </c>
      <c r="E625" s="27">
        <f>E624*(Presion_cilindro!O616/Presion_cilindro!O617)^Presion_cilindro!$B$9+10*(Presion_cilindro!$B$9-1)*Presion_cilindro!$B$33*(IF(Presion_cilindro!N617&gt;(-E$4+Presion_cilindro!$B$34),1-EXP(-Presion_cilindro!$B$16*((Presion_cilindro!N617-(-E$4+Presion_cilindro!$B$34))/Presion_cilindro!$B$35)^(Presion_cilindro!$B$17+1)),0)-IF(Presion_cilindro!N616&gt;(-E$4+Presion_cilindro!$B$34),1-EXP(-Presion_cilindro!$B$16*((Presion_cilindro!N616-(-E$4+Presion_cilindro!$B$34))/Presion_cilindro!$B$35)^(Presion_cilindro!$B$17+1)),0))/((Presion_cilindro!O616+Presion_cilindro!O617)/2)</f>
        <v>2.902015337045722</v>
      </c>
      <c r="F625" s="27">
        <f>F624*(Presion_cilindro!O616/Presion_cilindro!O617)^Presion_cilindro!$B$9+10*(Presion_cilindro!$B$9-1)*Presion_cilindro!$B$33*(IF(Presion_cilindro!N617&gt;(-F$4+Presion_cilindro!$B$34),1-EXP(-Presion_cilindro!$B$16*((Presion_cilindro!N617-(-F$4+Presion_cilindro!$B$34))/Presion_cilindro!$B$35)^(Presion_cilindro!$B$17+1)),0)-IF(Presion_cilindro!N616&gt;(-F$4+Presion_cilindro!$B$34),1-EXP(-Presion_cilindro!$B$16*((Presion_cilindro!N616-(-F$4+Presion_cilindro!$B$34))/Presion_cilindro!$B$35)^(Presion_cilindro!$B$17+1)),0))/((Presion_cilindro!O616+Presion_cilindro!O617)/2)</f>
        <v>2.8350379944562811</v>
      </c>
      <c r="G625" s="27">
        <f>G624*(Presion_cilindro!O616/Presion_cilindro!O617)^Presion_cilindro!$B$9+10*(Presion_cilindro!$B$9-1)*Presion_cilindro!$B$33*(IF(Presion_cilindro!N617&gt;(-G$4+Presion_cilindro!$B$34),1-EXP(-Presion_cilindro!$B$16*((Presion_cilindro!N617-(-G$4+Presion_cilindro!$B$34))/Presion_cilindro!$B$35)^(Presion_cilindro!$B$17+1)),0)-IF(Presion_cilindro!N616&gt;(-G$4+Presion_cilindro!$B$34),1-EXP(-Presion_cilindro!$B$16*((Presion_cilindro!N616-(-G$4+Presion_cilindro!$B$34))/Presion_cilindro!$B$35)^(Presion_cilindro!$B$17+1)),0))/((Presion_cilindro!O616+Presion_cilindro!O617)/2)</f>
        <v>2.7854085698458357</v>
      </c>
      <c r="H625" s="27">
        <f>H624*(Presion_cilindro!O616/Presion_cilindro!O617)^Presion_cilindro!$B$9+10*(Presion_cilindro!$B$9-1)*Presion_cilindro!$B$33*(IF(Presion_cilindro!N617&gt;(-H$4+Presion_cilindro!$B$34),1-EXP(-Presion_cilindro!$B$16*((Presion_cilindro!N617-(-H$4+Presion_cilindro!$B$34))/Presion_cilindro!$B$35)^(Presion_cilindro!$B$17+1)),0)-IF(Presion_cilindro!N616&gt;(-H$4+Presion_cilindro!$B$34),1-EXP(-Presion_cilindro!$B$16*((Presion_cilindro!N616-(-H$4+Presion_cilindro!$B$34))/Presion_cilindro!$B$35)^(Presion_cilindro!$B$17+1)),0))/((Presion_cilindro!O616+Presion_cilindro!O617)/2)</f>
        <v>2.7561328310353188</v>
      </c>
      <c r="I625" s="27">
        <f>I624*(Presion_cilindro!O616/Presion_cilindro!O617)^Presion_cilindro!$B$9+10*(Presion_cilindro!$B$9-1)*Presion_cilindro!$B$33*(IF(Presion_cilindro!N617&gt;(-I$4+Presion_cilindro!$B$34),1-EXP(-Presion_cilindro!$B$16*((Presion_cilindro!N617-(-I$4+Presion_cilindro!$B$34))/Presion_cilindro!$B$35)^(Presion_cilindro!$B$17+1)),0)-IF(Presion_cilindro!N616&gt;(-I$4+Presion_cilindro!$B$34),1-EXP(-Presion_cilindro!$B$16*((Presion_cilindro!N616-(-I$4+Presion_cilindro!$B$34))/Presion_cilindro!$B$35)^(Presion_cilindro!$B$17+1)),0))/((Presion_cilindro!O616+Presion_cilindro!O617)/2)</f>
        <v>2.7491103980292726</v>
      </c>
      <c r="J625" s="27">
        <f>J624*(Presion_cilindro!O616/Presion_cilindro!O617)^Presion_cilindro!$B$9+10*(Presion_cilindro!$B$9-1)*Presion_cilindro!$B$33*(IF(Presion_cilindro!N617&gt;(-J$4+Presion_cilindro!$B$34),1-EXP(-Presion_cilindro!$B$16*((Presion_cilindro!N617-(-J$4+Presion_cilindro!$B$34))/Presion_cilindro!$B$35)^(Presion_cilindro!$B$17+1)),0)-IF(Presion_cilindro!N616&gt;(-J$4+Presion_cilindro!$B$34),1-EXP(-Presion_cilindro!$B$16*((Presion_cilindro!N616-(-J$4+Presion_cilindro!$B$34))/Presion_cilindro!$B$35)^(Presion_cilindro!$B$17+1)),0))/((Presion_cilindro!O616+Presion_cilindro!O617)/2)</f>
        <v>2.7647786422171721</v>
      </c>
      <c r="K625" s="27">
        <f>K624*(Presion_cilindro!O616/Presion_cilindro!O617)^Presion_cilindro!$B$9+10*(Presion_cilindro!$B$9-1)*Presion_cilindro!$B$33*(IF(Presion_cilindro!N617&gt;(-K$4+Presion_cilindro!$B$34),1-EXP(-Presion_cilindro!$B$16*((Presion_cilindro!N617-(-K$4+Presion_cilindro!$B$34))/Presion_cilindro!$B$35)^(Presion_cilindro!$B$17+1)),0)-IF(Presion_cilindro!N616&gt;(-K$4+Presion_cilindro!$B$34),1-EXP(-Presion_cilindro!$B$16*((Presion_cilindro!N616-(-K$4+Presion_cilindro!$B$34))/Presion_cilindro!$B$35)^(Presion_cilindro!$B$17+1)),0))/((Presion_cilindro!O616+Presion_cilindro!O617)/2)</f>
        <v>2.8020367791323948</v>
      </c>
      <c r="L625" s="27">
        <f>L624*(Presion_cilindro!O616/Presion_cilindro!O617)^Presion_cilindro!$B$9+10*(Presion_cilindro!$B$9-1)*Presion_cilindro!$B$33*(IF(Presion_cilindro!N617&gt;(-L$4+Presion_cilindro!$B$34),1-EXP(-Presion_cilindro!$B$16*((Presion_cilindro!N617-(-L$4+Presion_cilindro!$B$34))/Presion_cilindro!$B$35)^(Presion_cilindro!$B$17+1)),0)-IF(Presion_cilindro!N616&gt;(-L$4+Presion_cilindro!$B$34),1-EXP(-Presion_cilindro!$B$16*((Presion_cilindro!N616-(-L$4+Presion_cilindro!$B$34))/Presion_cilindro!$B$35)^(Presion_cilindro!$B$17+1)),0))/((Presion_cilindro!O616+Presion_cilindro!O617)/2)</f>
        <v>2.8584734377395775</v>
      </c>
      <c r="M625" s="27">
        <f>M624*(Presion_cilindro!O616/Presion_cilindro!O617)^Presion_cilindro!$B$9+10*(Presion_cilindro!$B$9-1)*Presion_cilindro!$B$33*(IF(Presion_cilindro!N617&gt;(-M$4+Presion_cilindro!$B$34),1-EXP(-Presion_cilindro!$B$16*((Presion_cilindro!N617-(-M$4+Presion_cilindro!$B$34))/Presion_cilindro!$B$35)^(Presion_cilindro!$B$17+1)),0)-IF(Presion_cilindro!N616&gt;(-M$4+Presion_cilindro!$B$34),1-EXP(-Presion_cilindro!$B$16*((Presion_cilindro!N616-(-M$4+Presion_cilindro!$B$34))/Presion_cilindro!$B$35)^(Presion_cilindro!$B$17+1)),0))/((Presion_cilindro!O616+Presion_cilindro!O617)/2)</f>
        <v>2.9308116332012539</v>
      </c>
      <c r="N625" s="27">
        <f>N624*(Presion_cilindro!O616/Presion_cilindro!O617)^Presion_cilindro!$B$9+10*(Presion_cilindro!$B$9-1)*Presion_cilindro!$B$33*(IF(Presion_cilindro!N617&gt;(-N$4+Presion_cilindro!$B$34),1-EXP(-Presion_cilindro!$B$16*((Presion_cilindro!N617-(-N$4+Presion_cilindro!$B$34))/Presion_cilindro!$B$35)^(Presion_cilindro!$B$17+1)),0)-IF(Presion_cilindro!N616&gt;(-N$4+Presion_cilindro!$B$34),1-EXP(-Presion_cilindro!$B$16*((Presion_cilindro!N616-(-N$4+Presion_cilindro!$B$34))/Presion_cilindro!$B$35)^(Presion_cilindro!$B$17+1)),0))/((Presion_cilindro!O616+Presion_cilindro!O617)/2)</f>
        <v>3.0154227005194119</v>
      </c>
    </row>
    <row r="626" spans="1:14" x14ac:dyDescent="0.25">
      <c r="A626" s="21">
        <f>Presion_cilindro!N618</f>
        <v>127</v>
      </c>
      <c r="B626" s="27">
        <f>B625*(Presion_cilindro!O617/Presion_cilindro!O618)^Presion_cilindro!$B$9+10*(Presion_cilindro!$B$9-1)*Presion_cilindro!$B$33*(IF(Presion_cilindro!N618&gt;(-B$4+Presion_cilindro!$B$34),1-EXP(-Presion_cilindro!$B$16*((Presion_cilindro!N618-(-B$4+Presion_cilindro!$B$34))/Presion_cilindro!$B$35)^(Presion_cilindro!$B$17+1)),0)-IF(Presion_cilindro!N617&gt;(-B$4+Presion_cilindro!$B$34),1-EXP(-Presion_cilindro!$B$16*((Presion_cilindro!N617-(-B$4+Presion_cilindro!$B$34))/Presion_cilindro!$B$35)^(Presion_cilindro!$B$17+1)),0))/((Presion_cilindro!O617+Presion_cilindro!O618)/2)</f>
        <v>3.1583492794248307</v>
      </c>
      <c r="C626" s="27">
        <f>C625*(Presion_cilindro!O617/Presion_cilindro!O618)^Presion_cilindro!$B$9+10*(Presion_cilindro!$B$9-1)*Presion_cilindro!$B$33*(IF(Presion_cilindro!N618&gt;(-C$4+Presion_cilindro!$B$34),1-EXP(-Presion_cilindro!$B$16*((Presion_cilindro!N618-(-C$4+Presion_cilindro!$B$34))/Presion_cilindro!$B$35)^(Presion_cilindro!$B$17+1)),0)-IF(Presion_cilindro!N617&gt;(-C$4+Presion_cilindro!$B$34),1-EXP(-Presion_cilindro!$B$16*((Presion_cilindro!N617-(-C$4+Presion_cilindro!$B$34))/Presion_cilindro!$B$35)^(Presion_cilindro!$B$17+1)),0))/((Presion_cilindro!O617+Presion_cilindro!O618)/2)</f>
        <v>3.0612497416682856</v>
      </c>
      <c r="D626" s="27">
        <f>D625*(Presion_cilindro!O617/Presion_cilindro!O618)^Presion_cilindro!$B$9+10*(Presion_cilindro!$B$9-1)*Presion_cilindro!$B$33*(IF(Presion_cilindro!N618&gt;(-D$4+Presion_cilindro!$B$34),1-EXP(-Presion_cilindro!$B$16*((Presion_cilindro!N618-(-D$4+Presion_cilindro!$B$34))/Presion_cilindro!$B$35)^(Presion_cilindro!$B$17+1)),0)-IF(Presion_cilindro!N617&gt;(-D$4+Presion_cilindro!$B$34),1-EXP(-Presion_cilindro!$B$16*((Presion_cilindro!N617-(-D$4+Presion_cilindro!$B$34))/Presion_cilindro!$B$35)^(Presion_cilindro!$B$17+1)),0))/((Presion_cilindro!O617+Presion_cilindro!O618)/2)</f>
        <v>2.9708157117396268</v>
      </c>
      <c r="E626" s="27">
        <f>E625*(Presion_cilindro!O617/Presion_cilindro!O618)^Presion_cilindro!$B$9+10*(Presion_cilindro!$B$9-1)*Presion_cilindro!$B$33*(IF(Presion_cilindro!N618&gt;(-E$4+Presion_cilindro!$B$34),1-EXP(-Presion_cilindro!$B$16*((Presion_cilindro!N618-(-E$4+Presion_cilindro!$B$34))/Presion_cilindro!$B$35)^(Presion_cilindro!$B$17+1)),0)-IF(Presion_cilindro!N617&gt;(-E$4+Presion_cilindro!$B$34),1-EXP(-Presion_cilindro!$B$16*((Presion_cilindro!N617-(-E$4+Presion_cilindro!$B$34))/Presion_cilindro!$B$35)^(Presion_cilindro!$B$17+1)),0))/((Presion_cilindro!O617+Presion_cilindro!O618)/2)</f>
        <v>2.8904114488190169</v>
      </c>
      <c r="F626" s="27">
        <f>F625*(Presion_cilindro!O617/Presion_cilindro!O618)^Presion_cilindro!$B$9+10*(Presion_cilindro!$B$9-1)*Presion_cilindro!$B$33*(IF(Presion_cilindro!N618&gt;(-F$4+Presion_cilindro!$B$34),1-EXP(-Presion_cilindro!$B$16*((Presion_cilindro!N618-(-F$4+Presion_cilindro!$B$34))/Presion_cilindro!$B$35)^(Presion_cilindro!$B$17+1)),0)-IF(Presion_cilindro!N617&gt;(-F$4+Presion_cilindro!$B$34),1-EXP(-Presion_cilindro!$B$16*((Presion_cilindro!N617-(-F$4+Presion_cilindro!$B$34))/Presion_cilindro!$B$35)^(Presion_cilindro!$B$17+1)),0))/((Presion_cilindro!O617+Presion_cilindro!O618)/2)</f>
        <v>2.8237019192859747</v>
      </c>
      <c r="G626" s="27">
        <f>G625*(Presion_cilindro!O617/Presion_cilindro!O618)^Presion_cilindro!$B$9+10*(Presion_cilindro!$B$9-1)*Presion_cilindro!$B$33*(IF(Presion_cilindro!N618&gt;(-G$4+Presion_cilindro!$B$34),1-EXP(-Presion_cilindro!$B$16*((Presion_cilindro!N618-(-G$4+Presion_cilindro!$B$34))/Presion_cilindro!$B$35)^(Presion_cilindro!$B$17+1)),0)-IF(Presion_cilindro!N617&gt;(-G$4+Presion_cilindro!$B$34),1-EXP(-Presion_cilindro!$B$16*((Presion_cilindro!N617-(-G$4+Presion_cilindro!$B$34))/Presion_cilindro!$B$35)^(Presion_cilindro!$B$17+1)),0))/((Presion_cilindro!O617+Presion_cilindro!O618)/2)</f>
        <v>2.7742709410064581</v>
      </c>
      <c r="H626" s="27">
        <f>H625*(Presion_cilindro!O617/Presion_cilindro!O618)^Presion_cilindro!$B$9+10*(Presion_cilindro!$B$9-1)*Presion_cilindro!$B$33*(IF(Presion_cilindro!N618&gt;(-H$4+Presion_cilindro!$B$34),1-EXP(-Presion_cilindro!$B$16*((Presion_cilindro!N618-(-H$4+Presion_cilindro!$B$34))/Presion_cilindro!$B$35)^(Presion_cilindro!$B$17+1)),0)-IF(Presion_cilindro!N617&gt;(-H$4+Presion_cilindro!$B$34),1-EXP(-Presion_cilindro!$B$16*((Presion_cilindro!N617-(-H$4+Presion_cilindro!$B$34))/Presion_cilindro!$B$35)^(Presion_cilindro!$B$17+1)),0))/((Presion_cilindro!O617+Presion_cilindro!O618)/2)</f>
        <v>2.7451122630524343</v>
      </c>
      <c r="I626" s="27">
        <f>I625*(Presion_cilindro!O617/Presion_cilindro!O618)^Presion_cilindro!$B$9+10*(Presion_cilindro!$B$9-1)*Presion_cilindro!$B$33*(IF(Presion_cilindro!N618&gt;(-I$4+Presion_cilindro!$B$34),1-EXP(-Presion_cilindro!$B$16*((Presion_cilindro!N618-(-I$4+Presion_cilindro!$B$34))/Presion_cilindro!$B$35)^(Presion_cilindro!$B$17+1)),0)-IF(Presion_cilindro!N617&gt;(-I$4+Presion_cilindro!$B$34),1-EXP(-Presion_cilindro!$B$16*((Presion_cilindro!N617-(-I$4+Presion_cilindro!$B$34))/Presion_cilindro!$B$35)^(Presion_cilindro!$B$17+1)),0))/((Presion_cilindro!O617+Presion_cilindro!O618)/2)</f>
        <v>2.7381179096800969</v>
      </c>
      <c r="J626" s="27">
        <f>J625*(Presion_cilindro!O617/Presion_cilindro!O618)^Presion_cilindro!$B$9+10*(Presion_cilindro!$B$9-1)*Presion_cilindro!$B$33*(IF(Presion_cilindro!N618&gt;(-J$4+Presion_cilindro!$B$34),1-EXP(-Presion_cilindro!$B$16*((Presion_cilindro!N618-(-J$4+Presion_cilindro!$B$34))/Presion_cilindro!$B$35)^(Presion_cilindro!$B$17+1)),0)-IF(Presion_cilindro!N617&gt;(-J$4+Presion_cilindro!$B$34),1-EXP(-Presion_cilindro!$B$16*((Presion_cilindro!N617-(-J$4+Presion_cilindro!$B$34))/Presion_cilindro!$B$35)^(Presion_cilindro!$B$17+1)),0))/((Presion_cilindro!O617+Presion_cilindro!O618)/2)</f>
        <v>2.7537235034223064</v>
      </c>
      <c r="K626" s="27">
        <f>K625*(Presion_cilindro!O617/Presion_cilindro!O618)^Presion_cilindro!$B$9+10*(Presion_cilindro!$B$9-1)*Presion_cilindro!$B$33*(IF(Presion_cilindro!N618&gt;(-K$4+Presion_cilindro!$B$34),1-EXP(-Presion_cilindro!$B$16*((Presion_cilindro!N618-(-K$4+Presion_cilindro!$B$34))/Presion_cilindro!$B$35)^(Presion_cilindro!$B$17+1)),0)-IF(Presion_cilindro!N617&gt;(-K$4+Presion_cilindro!$B$34),1-EXP(-Presion_cilindro!$B$16*((Presion_cilindro!N617-(-K$4+Presion_cilindro!$B$34))/Presion_cilindro!$B$35)^(Presion_cilindro!$B$17+1)),0))/((Presion_cilindro!O617+Presion_cilindro!O618)/2)</f>
        <v>2.7908326613673697</v>
      </c>
      <c r="L626" s="27">
        <f>L625*(Presion_cilindro!O617/Presion_cilindro!O618)^Presion_cilindro!$B$9+10*(Presion_cilindro!$B$9-1)*Presion_cilindro!$B$33*(IF(Presion_cilindro!N618&gt;(-L$4+Presion_cilindro!$B$34),1-EXP(-Presion_cilindro!$B$16*((Presion_cilindro!N618-(-L$4+Presion_cilindro!$B$34))/Presion_cilindro!$B$35)^(Presion_cilindro!$B$17+1)),0)-IF(Presion_cilindro!N617&gt;(-L$4+Presion_cilindro!$B$34),1-EXP(-Presion_cilindro!$B$16*((Presion_cilindro!N617-(-L$4+Presion_cilindro!$B$34))/Presion_cilindro!$B$35)^(Presion_cilindro!$B$17+1)),0))/((Presion_cilindro!O617+Presion_cilindro!O618)/2)</f>
        <v>2.8470436544964945</v>
      </c>
      <c r="M626" s="27">
        <f>M625*(Presion_cilindro!O617/Presion_cilindro!O618)^Presion_cilindro!$B$9+10*(Presion_cilindro!$B$9-1)*Presion_cilindro!$B$33*(IF(Presion_cilindro!N618&gt;(-M$4+Presion_cilindro!$B$34),1-EXP(-Presion_cilindro!$B$16*((Presion_cilindro!N618-(-M$4+Presion_cilindro!$B$34))/Presion_cilindro!$B$35)^(Presion_cilindro!$B$17+1)),0)-IF(Presion_cilindro!N617&gt;(-M$4+Presion_cilindro!$B$34),1-EXP(-Presion_cilindro!$B$16*((Presion_cilindro!N617-(-M$4+Presion_cilindro!$B$34))/Presion_cilindro!$B$35)^(Presion_cilindro!$B$17+1)),0))/((Presion_cilindro!O617+Presion_cilindro!O618)/2)</f>
        <v>2.9190926011992331</v>
      </c>
      <c r="N626" s="27">
        <f>N625*(Presion_cilindro!O617/Presion_cilindro!O618)^Presion_cilindro!$B$9+10*(Presion_cilindro!$B$9-1)*Presion_cilindro!$B$33*(IF(Presion_cilindro!N618&gt;(-N$4+Presion_cilindro!$B$34),1-EXP(-Presion_cilindro!$B$16*((Presion_cilindro!N618-(-N$4+Presion_cilindro!$B$34))/Presion_cilindro!$B$35)^(Presion_cilindro!$B$17+1)),0)-IF(Presion_cilindro!N617&gt;(-N$4+Presion_cilindro!$B$34),1-EXP(-Presion_cilindro!$B$16*((Presion_cilindro!N617-(-N$4+Presion_cilindro!$B$34))/Presion_cilindro!$B$35)^(Presion_cilindro!$B$17+1)),0))/((Presion_cilindro!O617+Presion_cilindro!O618)/2)</f>
        <v>3.0033653459195162</v>
      </c>
    </row>
    <row r="627" spans="1:14" x14ac:dyDescent="0.25">
      <c r="A627" s="21">
        <f>Presion_cilindro!N619</f>
        <v>127.5</v>
      </c>
      <c r="B627" s="27">
        <f>B626*(Presion_cilindro!O618/Presion_cilindro!O619)^Presion_cilindro!$B$9+10*(Presion_cilindro!$B$9-1)*Presion_cilindro!$B$33*(IF(Presion_cilindro!N619&gt;(-B$4+Presion_cilindro!$B$34),1-EXP(-Presion_cilindro!$B$16*((Presion_cilindro!N619-(-B$4+Presion_cilindro!$B$34))/Presion_cilindro!$B$35)^(Presion_cilindro!$B$17+1)),0)-IF(Presion_cilindro!N618&gt;(-B$4+Presion_cilindro!$B$34),1-EXP(-Presion_cilindro!$B$16*((Presion_cilindro!N618-(-B$4+Presion_cilindro!$B$34))/Presion_cilindro!$B$35)^(Presion_cilindro!$B$17+1)),0))/((Presion_cilindro!O618+Presion_cilindro!O619)/2)</f>
        <v>3.1458704797932255</v>
      </c>
      <c r="C627" s="27">
        <f>C626*(Presion_cilindro!O618/Presion_cilindro!O619)^Presion_cilindro!$B$9+10*(Presion_cilindro!$B$9-1)*Presion_cilindro!$B$33*(IF(Presion_cilindro!N619&gt;(-C$4+Presion_cilindro!$B$34),1-EXP(-Presion_cilindro!$B$16*((Presion_cilindro!N619-(-C$4+Presion_cilindro!$B$34))/Presion_cilindro!$B$35)^(Presion_cilindro!$B$17+1)),0)-IF(Presion_cilindro!N618&gt;(-C$4+Presion_cilindro!$B$34),1-EXP(-Presion_cilindro!$B$16*((Presion_cilindro!N618-(-C$4+Presion_cilindro!$B$34))/Presion_cilindro!$B$35)^(Presion_cilindro!$B$17+1)),0))/((Presion_cilindro!O618+Presion_cilindro!O619)/2)</f>
        <v>3.0491545872794275</v>
      </c>
      <c r="D627" s="27">
        <f>D626*(Presion_cilindro!O618/Presion_cilindro!O619)^Presion_cilindro!$B$9+10*(Presion_cilindro!$B$9-1)*Presion_cilindro!$B$33*(IF(Presion_cilindro!N619&gt;(-D$4+Presion_cilindro!$B$34),1-EXP(-Presion_cilindro!$B$16*((Presion_cilindro!N619-(-D$4+Presion_cilindro!$B$34))/Presion_cilindro!$B$35)^(Presion_cilindro!$B$17+1)),0)-IF(Presion_cilindro!N618&gt;(-D$4+Presion_cilindro!$B$34),1-EXP(-Presion_cilindro!$B$16*((Presion_cilindro!N618-(-D$4+Presion_cilindro!$B$34))/Presion_cilindro!$B$35)^(Presion_cilindro!$B$17+1)),0))/((Presion_cilindro!O618+Presion_cilindro!O619)/2)</f>
        <v>2.9590778668309805</v>
      </c>
      <c r="E627" s="27">
        <f>E626*(Presion_cilindro!O618/Presion_cilindro!O619)^Presion_cilindro!$B$9+10*(Presion_cilindro!$B$9-1)*Presion_cilindro!$B$33*(IF(Presion_cilindro!N619&gt;(-E$4+Presion_cilindro!$B$34),1-EXP(-Presion_cilindro!$B$16*((Presion_cilindro!N619-(-E$4+Presion_cilindro!$B$34))/Presion_cilindro!$B$35)^(Presion_cilindro!$B$17+1)),0)-IF(Presion_cilindro!N618&gt;(-E$4+Presion_cilindro!$B$34),1-EXP(-Presion_cilindro!$B$16*((Presion_cilindro!N618-(-E$4+Presion_cilindro!$B$34))/Presion_cilindro!$B$35)^(Presion_cilindro!$B$17+1)),0))/((Presion_cilindro!O618+Presion_cilindro!O619)/2)</f>
        <v>2.8789912852678596</v>
      </c>
      <c r="F627" s="27">
        <f>F626*(Presion_cilindro!O618/Presion_cilindro!O619)^Presion_cilindro!$B$9+10*(Presion_cilindro!$B$9-1)*Presion_cilindro!$B$33*(IF(Presion_cilindro!N619&gt;(-F$4+Presion_cilindro!$B$34),1-EXP(-Presion_cilindro!$B$16*((Presion_cilindro!N619-(-F$4+Presion_cilindro!$B$34))/Presion_cilindro!$B$35)^(Presion_cilindro!$B$17+1)),0)-IF(Presion_cilindro!N618&gt;(-F$4+Presion_cilindro!$B$34),1-EXP(-Presion_cilindro!$B$16*((Presion_cilindro!N618-(-F$4+Presion_cilindro!$B$34))/Presion_cilindro!$B$35)^(Presion_cilindro!$B$17+1)),0))/((Presion_cilindro!O618+Presion_cilindro!O619)/2)</f>
        <v>2.8125453284998643</v>
      </c>
      <c r="G627" s="27">
        <f>G626*(Presion_cilindro!O618/Presion_cilindro!O619)^Presion_cilindro!$B$9+10*(Presion_cilindro!$B$9-1)*Presion_cilindro!$B$33*(IF(Presion_cilindro!N619&gt;(-G$4+Presion_cilindro!$B$34),1-EXP(-Presion_cilindro!$B$16*((Presion_cilindro!N619-(-G$4+Presion_cilindro!$B$34))/Presion_cilindro!$B$35)^(Presion_cilindro!$B$17+1)),0)-IF(Presion_cilindro!N618&gt;(-G$4+Presion_cilindro!$B$34),1-EXP(-Presion_cilindro!$B$16*((Presion_cilindro!N618-(-G$4+Presion_cilindro!$B$34))/Presion_cilindro!$B$35)^(Presion_cilindro!$B$17+1)),0))/((Presion_cilindro!O618+Presion_cilindro!O619)/2)</f>
        <v>2.7633096545451616</v>
      </c>
      <c r="H627" s="27">
        <f>H626*(Presion_cilindro!O618/Presion_cilindro!O619)^Presion_cilindro!$B$9+10*(Presion_cilindro!$B$9-1)*Presion_cilindro!$B$33*(IF(Presion_cilindro!N619&gt;(-H$4+Presion_cilindro!$B$34),1-EXP(-Presion_cilindro!$B$16*((Presion_cilindro!N619-(-H$4+Presion_cilindro!$B$34))/Presion_cilindro!$B$35)^(Presion_cilindro!$B$17+1)),0)-IF(Presion_cilindro!N618&gt;(-H$4+Presion_cilindro!$B$34),1-EXP(-Presion_cilindro!$B$16*((Presion_cilindro!N618-(-H$4+Presion_cilindro!$B$34))/Presion_cilindro!$B$35)^(Presion_cilindro!$B$17+1)),0))/((Presion_cilindro!O618+Presion_cilindro!O619)/2)</f>
        <v>2.7342661840199303</v>
      </c>
      <c r="I627" s="27">
        <f>I626*(Presion_cilindro!O618/Presion_cilindro!O619)^Presion_cilindro!$B$9+10*(Presion_cilindro!$B$9-1)*Presion_cilindro!$B$33*(IF(Presion_cilindro!N619&gt;(-I$4+Presion_cilindro!$B$34),1-EXP(-Presion_cilindro!$B$16*((Presion_cilindro!N619-(-I$4+Presion_cilindro!$B$34))/Presion_cilindro!$B$35)^(Presion_cilindro!$B$17+1)),0)-IF(Presion_cilindro!N618&gt;(-I$4+Presion_cilindro!$B$34),1-EXP(-Presion_cilindro!$B$16*((Presion_cilindro!N618-(-I$4+Presion_cilindro!$B$34))/Presion_cilindro!$B$35)^(Presion_cilindro!$B$17+1)),0))/((Presion_cilindro!O618+Presion_cilindro!O619)/2)</f>
        <v>2.7272994656957033</v>
      </c>
      <c r="J627" s="27">
        <f>J626*(Presion_cilindro!O618/Presion_cilindro!O619)^Presion_cilindro!$B$9+10*(Presion_cilindro!$B$9-1)*Presion_cilindro!$B$33*(IF(Presion_cilindro!N619&gt;(-J$4+Presion_cilindro!$B$34),1-EXP(-Presion_cilindro!$B$16*((Presion_cilindro!N619-(-J$4+Presion_cilindro!$B$34))/Presion_cilindro!$B$35)^(Presion_cilindro!$B$17+1)),0)-IF(Presion_cilindro!N618&gt;(-J$4+Presion_cilindro!$B$34),1-EXP(-Presion_cilindro!$B$16*((Presion_cilindro!N618-(-J$4+Presion_cilindro!$B$34))/Presion_cilindro!$B$35)^(Presion_cilindro!$B$17+1)),0))/((Presion_cilindro!O618+Presion_cilindro!O619)/2)</f>
        <v>2.7428434009384204</v>
      </c>
      <c r="K627" s="27">
        <f>K626*(Presion_cilindro!O618/Presion_cilindro!O619)^Presion_cilindro!$B$9+10*(Presion_cilindro!$B$9-1)*Presion_cilindro!$B$33*(IF(Presion_cilindro!N619&gt;(-K$4+Presion_cilindro!$B$34),1-EXP(-Presion_cilindro!$B$16*((Presion_cilindro!N619-(-K$4+Presion_cilindro!$B$34))/Presion_cilindro!$B$35)^(Presion_cilindro!$B$17+1)),0)-IF(Presion_cilindro!N618&gt;(-K$4+Presion_cilindro!$B$34),1-EXP(-Presion_cilindro!$B$16*((Presion_cilindro!N618-(-K$4+Presion_cilindro!$B$34))/Presion_cilindro!$B$35)^(Presion_cilindro!$B$17+1)),0))/((Presion_cilindro!O618+Presion_cilindro!O619)/2)</f>
        <v>2.7798059387013807</v>
      </c>
      <c r="L627" s="27">
        <f>L626*(Presion_cilindro!O618/Presion_cilindro!O619)^Presion_cilindro!$B$9+10*(Presion_cilindro!$B$9-1)*Presion_cilindro!$B$33*(IF(Presion_cilindro!N619&gt;(-L$4+Presion_cilindro!$B$34),1-EXP(-Presion_cilindro!$B$16*((Presion_cilindro!N619-(-L$4+Presion_cilindro!$B$34))/Presion_cilindro!$B$35)^(Presion_cilindro!$B$17+1)),0)-IF(Presion_cilindro!N618&gt;(-L$4+Presion_cilindro!$B$34),1-EXP(-Presion_cilindro!$B$16*((Presion_cilindro!N618-(-L$4+Presion_cilindro!$B$34))/Presion_cilindro!$B$35)^(Presion_cilindro!$B$17+1)),0))/((Presion_cilindro!O618+Presion_cilindro!O619)/2)</f>
        <v>2.8357948393200538</v>
      </c>
      <c r="M627" s="27">
        <f>M626*(Presion_cilindro!O618/Presion_cilindro!O619)^Presion_cilindro!$B$9+10*(Presion_cilindro!$B$9-1)*Presion_cilindro!$B$33*(IF(Presion_cilindro!N619&gt;(-M$4+Presion_cilindro!$B$34),1-EXP(-Presion_cilindro!$B$16*((Presion_cilindro!N619-(-M$4+Presion_cilindro!$B$34))/Presion_cilindro!$B$35)^(Presion_cilindro!$B$17+1)),0)-IF(Presion_cilindro!N618&gt;(-M$4+Presion_cilindro!$B$34),1-EXP(-Presion_cilindro!$B$16*((Presion_cilindro!N618-(-M$4+Presion_cilindro!$B$34))/Presion_cilindro!$B$35)^(Presion_cilindro!$B$17+1)),0))/((Presion_cilindro!O618+Presion_cilindro!O619)/2)</f>
        <v>2.907559116947263</v>
      </c>
      <c r="N627" s="27">
        <f>N626*(Presion_cilindro!O618/Presion_cilindro!O619)^Presion_cilindro!$B$9+10*(Presion_cilindro!$B$9-1)*Presion_cilindro!$B$33*(IF(Presion_cilindro!N619&gt;(-N$4+Presion_cilindro!$B$34),1-EXP(-Presion_cilindro!$B$16*((Presion_cilindro!N619-(-N$4+Presion_cilindro!$B$34))/Presion_cilindro!$B$35)^(Presion_cilindro!$B$17+1)),0)-IF(Presion_cilindro!N618&gt;(-N$4+Presion_cilindro!$B$34),1-EXP(-Presion_cilindro!$B$16*((Presion_cilindro!N618-(-N$4+Presion_cilindro!$B$34))/Presion_cilindro!$B$35)^(Presion_cilindro!$B$17+1)),0))/((Presion_cilindro!O618+Presion_cilindro!O619)/2)</f>
        <v>2.9914988957404969</v>
      </c>
    </row>
    <row r="628" spans="1:14" x14ac:dyDescent="0.25">
      <c r="A628" s="21">
        <f>Presion_cilindro!N620</f>
        <v>128</v>
      </c>
      <c r="B628" s="27">
        <f>B627*(Presion_cilindro!O619/Presion_cilindro!O620)^Presion_cilindro!$B$9+10*(Presion_cilindro!$B$9-1)*Presion_cilindro!$B$33*(IF(Presion_cilindro!N620&gt;(-B$4+Presion_cilindro!$B$34),1-EXP(-Presion_cilindro!$B$16*((Presion_cilindro!N620-(-B$4+Presion_cilindro!$B$34))/Presion_cilindro!$B$35)^(Presion_cilindro!$B$17+1)),0)-IF(Presion_cilindro!N619&gt;(-B$4+Presion_cilindro!$B$34),1-EXP(-Presion_cilindro!$B$16*((Presion_cilindro!N619-(-B$4+Presion_cilindro!$B$34))/Presion_cilindro!$B$35)^(Presion_cilindro!$B$17+1)),0))/((Presion_cilindro!O619+Presion_cilindro!O620)/2)</f>
        <v>3.133589553403819</v>
      </c>
      <c r="C628" s="27">
        <f>C627*(Presion_cilindro!O619/Presion_cilindro!O620)^Presion_cilindro!$B$9+10*(Presion_cilindro!$B$9-1)*Presion_cilindro!$B$33*(IF(Presion_cilindro!N620&gt;(-C$4+Presion_cilindro!$B$34),1-EXP(-Presion_cilindro!$B$16*((Presion_cilindro!N620-(-C$4+Presion_cilindro!$B$34))/Presion_cilindro!$B$35)^(Presion_cilindro!$B$17+1)),0)-IF(Presion_cilindro!N619&gt;(-C$4+Presion_cilindro!$B$34),1-EXP(-Presion_cilindro!$B$16*((Presion_cilindro!N619-(-C$4+Presion_cilindro!$B$34))/Presion_cilindro!$B$35)^(Presion_cilindro!$B$17+1)),0))/((Presion_cilindro!O619+Presion_cilindro!O620)/2)</f>
        <v>3.0372512227649544</v>
      </c>
      <c r="D628" s="27">
        <f>D627*(Presion_cilindro!O619/Presion_cilindro!O620)^Presion_cilindro!$B$9+10*(Presion_cilindro!$B$9-1)*Presion_cilindro!$B$33*(IF(Presion_cilindro!N620&gt;(-D$4+Presion_cilindro!$B$34),1-EXP(-Presion_cilindro!$B$16*((Presion_cilindro!N620-(-D$4+Presion_cilindro!$B$34))/Presion_cilindro!$B$35)^(Presion_cilindro!$B$17+1)),0)-IF(Presion_cilindro!N619&gt;(-D$4+Presion_cilindro!$B$34),1-EXP(-Presion_cilindro!$B$16*((Presion_cilindro!N619-(-D$4+Presion_cilindro!$B$34))/Presion_cilindro!$B$35)^(Presion_cilindro!$B$17+1)),0))/((Presion_cilindro!O619+Presion_cilindro!O620)/2)</f>
        <v>2.9475261460285838</v>
      </c>
      <c r="E628" s="27">
        <f>E627*(Presion_cilindro!O619/Presion_cilindro!O620)^Presion_cilindro!$B$9+10*(Presion_cilindro!$B$9-1)*Presion_cilindro!$B$33*(IF(Presion_cilindro!N620&gt;(-E$4+Presion_cilindro!$B$34),1-EXP(-Presion_cilindro!$B$16*((Presion_cilindro!N620-(-E$4+Presion_cilindro!$B$34))/Presion_cilindro!$B$35)^(Presion_cilindro!$B$17+1)),0)-IF(Presion_cilindro!N619&gt;(-E$4+Presion_cilindro!$B$34),1-EXP(-Presion_cilindro!$B$16*((Presion_cilindro!N619-(-E$4+Presion_cilindro!$B$34))/Presion_cilindro!$B$35)^(Presion_cilindro!$B$17+1)),0))/((Presion_cilindro!O619+Presion_cilindro!O620)/2)</f>
        <v>2.867752208428167</v>
      </c>
      <c r="F628" s="27">
        <f>F627*(Presion_cilindro!O619/Presion_cilindro!O620)^Presion_cilindro!$B$9+10*(Presion_cilindro!$B$9-1)*Presion_cilindro!$B$33*(IF(Presion_cilindro!N620&gt;(-F$4+Presion_cilindro!$B$34),1-EXP(-Presion_cilindro!$B$16*((Presion_cilindro!N620-(-F$4+Presion_cilindro!$B$34))/Presion_cilindro!$B$35)^(Presion_cilindro!$B$17+1)),0)-IF(Presion_cilindro!N619&gt;(-F$4+Presion_cilindro!$B$34),1-EXP(-Presion_cilindro!$B$16*((Presion_cilindro!N619-(-F$4+Presion_cilindro!$B$34))/Presion_cilindro!$B$35)^(Presion_cilindro!$B$17+1)),0))/((Presion_cilindro!O619+Presion_cilindro!O620)/2)</f>
        <v>2.8015656450170128</v>
      </c>
      <c r="G628" s="27">
        <f>G627*(Presion_cilindro!O619/Presion_cilindro!O620)^Presion_cilindro!$B$9+10*(Presion_cilindro!$B$9-1)*Presion_cilindro!$B$33*(IF(Presion_cilindro!N620&gt;(-G$4+Presion_cilindro!$B$34),1-EXP(-Presion_cilindro!$B$16*((Presion_cilindro!N620-(-G$4+Presion_cilindro!$B$34))/Presion_cilindro!$B$35)^(Presion_cilindro!$B$17+1)),0)-IF(Presion_cilindro!N619&gt;(-G$4+Presion_cilindro!$B$34),1-EXP(-Presion_cilindro!$B$16*((Presion_cilindro!N619-(-G$4+Presion_cilindro!$B$34))/Presion_cilindro!$B$35)^(Presion_cilindro!$B$17+1)),0))/((Presion_cilindro!O619+Presion_cilindro!O620)/2)</f>
        <v>2.752522178494706</v>
      </c>
      <c r="H628" s="27">
        <f>H627*(Presion_cilindro!O619/Presion_cilindro!O620)^Presion_cilindro!$B$9+10*(Presion_cilindro!$B$9-1)*Presion_cilindro!$B$33*(IF(Presion_cilindro!N620&gt;(-H$4+Presion_cilindro!$B$34),1-EXP(-Presion_cilindro!$B$16*((Presion_cilindro!N620-(-H$4+Presion_cilindro!$B$34))/Presion_cilindro!$B$35)^(Presion_cilindro!$B$17+1)),0)-IF(Presion_cilindro!N619&gt;(-H$4+Presion_cilindro!$B$34),1-EXP(-Presion_cilindro!$B$16*((Presion_cilindro!N619-(-H$4+Presion_cilindro!$B$34))/Presion_cilindro!$B$35)^(Presion_cilindro!$B$17+1)),0))/((Presion_cilindro!O619+Presion_cilindro!O620)/2)</f>
        <v>2.7235920885825369</v>
      </c>
      <c r="I628" s="27">
        <f>I627*(Presion_cilindro!O619/Presion_cilindro!O620)^Presion_cilindro!$B$9+10*(Presion_cilindro!$B$9-1)*Presion_cilindro!$B$33*(IF(Presion_cilindro!N620&gt;(-I$4+Presion_cilindro!$B$34),1-EXP(-Presion_cilindro!$B$16*((Presion_cilindro!N620-(-I$4+Presion_cilindro!$B$34))/Presion_cilindro!$B$35)^(Presion_cilindro!$B$17+1)),0)-IF(Presion_cilindro!N619&gt;(-I$4+Presion_cilindro!$B$34),1-EXP(-Presion_cilindro!$B$16*((Presion_cilindro!N619-(-I$4+Presion_cilindro!$B$34))/Presion_cilindro!$B$35)^(Presion_cilindro!$B$17+1)),0))/((Presion_cilindro!O619+Presion_cilindro!O620)/2)</f>
        <v>2.7166525671042909</v>
      </c>
      <c r="J628" s="27">
        <f>J627*(Presion_cilindro!O619/Presion_cilindro!O620)^Presion_cilindro!$B$9+10*(Presion_cilindro!$B$9-1)*Presion_cilindro!$B$33*(IF(Presion_cilindro!N620&gt;(-J$4+Presion_cilindro!$B$34),1-EXP(-Presion_cilindro!$B$16*((Presion_cilindro!N620-(-J$4+Presion_cilindro!$B$34))/Presion_cilindro!$B$35)^(Presion_cilindro!$B$17+1)),0)-IF(Presion_cilindro!N619&gt;(-J$4+Presion_cilindro!$B$34),1-EXP(-Presion_cilindro!$B$16*((Presion_cilindro!N619-(-J$4+Presion_cilindro!$B$34))/Presion_cilindro!$B$35)^(Presion_cilindro!$B$17+1)),0))/((Presion_cilindro!O619+Presion_cilindro!O620)/2)</f>
        <v>2.7321358215511062</v>
      </c>
      <c r="K628" s="27">
        <f>K627*(Presion_cilindro!O619/Presion_cilindro!O620)^Presion_cilindro!$B$9+10*(Presion_cilindro!$B$9-1)*Presion_cilindro!$B$33*(IF(Presion_cilindro!N620&gt;(-K$4+Presion_cilindro!$B$34),1-EXP(-Presion_cilindro!$B$16*((Presion_cilindro!N620-(-K$4+Presion_cilindro!$B$34))/Presion_cilindro!$B$35)^(Presion_cilindro!$B$17+1)),0)-IF(Presion_cilindro!N619&gt;(-K$4+Presion_cilindro!$B$34),1-EXP(-Presion_cilindro!$B$16*((Presion_cilindro!N619-(-K$4+Presion_cilindro!$B$34))/Presion_cilindro!$B$35)^(Presion_cilindro!$B$17+1)),0))/((Presion_cilindro!O619+Presion_cilindro!O620)/2)</f>
        <v>2.768954064051961</v>
      </c>
      <c r="L628" s="27">
        <f>L627*(Presion_cilindro!O619/Presion_cilindro!O620)^Presion_cilindro!$B$9+10*(Presion_cilindro!$B$9-1)*Presion_cilindro!$B$33*(IF(Presion_cilindro!N620&gt;(-L$4+Presion_cilindro!$B$34),1-EXP(-Presion_cilindro!$B$16*((Presion_cilindro!N620-(-L$4+Presion_cilindro!$B$34))/Presion_cilindro!$B$35)^(Presion_cilindro!$B$17+1)),0)-IF(Presion_cilindro!N619&gt;(-L$4+Presion_cilindro!$B$34),1-EXP(-Presion_cilindro!$B$16*((Presion_cilindro!N619-(-L$4+Presion_cilindro!$B$34))/Presion_cilindro!$B$35)^(Presion_cilindro!$B$17+1)),0))/((Presion_cilindro!O619+Presion_cilindro!O620)/2)</f>
        <v>2.8247243938262403</v>
      </c>
      <c r="M628" s="27">
        <f>M627*(Presion_cilindro!O619/Presion_cilindro!O620)^Presion_cilindro!$B$9+10*(Presion_cilindro!$B$9-1)*Presion_cilindro!$B$33*(IF(Presion_cilindro!N620&gt;(-M$4+Presion_cilindro!$B$34),1-EXP(-Presion_cilindro!$B$16*((Presion_cilindro!N620-(-M$4+Presion_cilindro!$B$34))/Presion_cilindro!$B$35)^(Presion_cilindro!$B$17+1)),0)-IF(Presion_cilindro!N619&gt;(-M$4+Presion_cilindro!$B$34),1-EXP(-Presion_cilindro!$B$16*((Presion_cilindro!N619-(-M$4+Presion_cilindro!$B$34))/Presion_cilindro!$B$35)^(Presion_cilindro!$B$17+1)),0))/((Presion_cilindro!O619+Presion_cilindro!O620)/2)</f>
        <v>2.8962085163051081</v>
      </c>
      <c r="N628" s="27">
        <f>N627*(Presion_cilindro!O619/Presion_cilindro!O620)^Presion_cilindro!$B$9+10*(Presion_cilindro!$B$9-1)*Presion_cilindro!$B$33*(IF(Presion_cilindro!N620&gt;(-N$4+Presion_cilindro!$B$34),1-EXP(-Presion_cilindro!$B$16*((Presion_cilindro!N620-(-N$4+Presion_cilindro!$B$34))/Presion_cilindro!$B$35)^(Presion_cilindro!$B$17+1)),0)-IF(Presion_cilindro!N619&gt;(-N$4+Presion_cilindro!$B$34),1-EXP(-Presion_cilindro!$B$16*((Presion_cilindro!N619-(-N$4+Presion_cilindro!$B$34))/Presion_cilindro!$B$35)^(Presion_cilindro!$B$17+1)),0))/((Presion_cilindro!O619+Presion_cilindro!O620)/2)</f>
        <v>2.9798206089297206</v>
      </c>
    </row>
    <row r="629" spans="1:14" x14ac:dyDescent="0.25">
      <c r="A629" s="21">
        <f>Presion_cilindro!N621</f>
        <v>128.5</v>
      </c>
      <c r="B629" s="27">
        <f>B628*(Presion_cilindro!O620/Presion_cilindro!O621)^Presion_cilindro!$B$9+10*(Presion_cilindro!$B$9-1)*Presion_cilindro!$B$33*(IF(Presion_cilindro!N621&gt;(-B$4+Presion_cilindro!$B$34),1-EXP(-Presion_cilindro!$B$16*((Presion_cilindro!N621-(-B$4+Presion_cilindro!$B$34))/Presion_cilindro!$B$35)^(Presion_cilindro!$B$17+1)),0)-IF(Presion_cilindro!N620&gt;(-B$4+Presion_cilindro!$B$34),1-EXP(-Presion_cilindro!$B$16*((Presion_cilindro!N620-(-B$4+Presion_cilindro!$B$34))/Presion_cilindro!$B$35)^(Presion_cilindro!$B$17+1)),0))/((Presion_cilindro!O620+Presion_cilindro!O621)/2)</f>
        <v>3.1215036764874915</v>
      </c>
      <c r="C629" s="27">
        <f>C628*(Presion_cilindro!O620/Presion_cilindro!O621)^Presion_cilindro!$B$9+10*(Presion_cilindro!$B$9-1)*Presion_cilindro!$B$33*(IF(Presion_cilindro!N621&gt;(-C$4+Presion_cilindro!$B$34),1-EXP(-Presion_cilindro!$B$16*((Presion_cilindro!N621-(-C$4+Presion_cilindro!$B$34))/Presion_cilindro!$B$35)^(Presion_cilindro!$B$17+1)),0)-IF(Presion_cilindro!N620&gt;(-C$4+Presion_cilindro!$B$34),1-EXP(-Presion_cilindro!$B$16*((Presion_cilindro!N620-(-C$4+Presion_cilindro!$B$34))/Presion_cilindro!$B$35)^(Presion_cilindro!$B$17+1)),0))/((Presion_cilindro!O620+Presion_cilindro!O621)/2)</f>
        <v>3.0255369111690311</v>
      </c>
      <c r="D629" s="27">
        <f>D628*(Presion_cilindro!O620/Presion_cilindro!O621)^Presion_cilindro!$B$9+10*(Presion_cilindro!$B$9-1)*Presion_cilindro!$B$33*(IF(Presion_cilindro!N621&gt;(-D$4+Presion_cilindro!$B$34),1-EXP(-Presion_cilindro!$B$16*((Presion_cilindro!N621-(-D$4+Presion_cilindro!$B$34))/Presion_cilindro!$B$35)^(Presion_cilindro!$B$17+1)),0)-IF(Presion_cilindro!N620&gt;(-D$4+Presion_cilindro!$B$34),1-EXP(-Presion_cilindro!$B$16*((Presion_cilindro!N620-(-D$4+Presion_cilindro!$B$34))/Presion_cilindro!$B$35)^(Presion_cilindro!$B$17+1)),0))/((Presion_cilindro!O620+Presion_cilindro!O621)/2)</f>
        <v>2.9361578932304906</v>
      </c>
      <c r="E629" s="27">
        <f>E628*(Presion_cilindro!O620/Presion_cilindro!O621)^Presion_cilindro!$B$9+10*(Presion_cilindro!$B$9-1)*Presion_cilindro!$B$33*(IF(Presion_cilindro!N621&gt;(-E$4+Presion_cilindro!$B$34),1-EXP(-Presion_cilindro!$B$16*((Presion_cilindro!N621-(-E$4+Presion_cilindro!$B$34))/Presion_cilindro!$B$35)^(Presion_cilindro!$B$17+1)),0)-IF(Presion_cilindro!N620&gt;(-E$4+Presion_cilindro!$B$34),1-EXP(-Presion_cilindro!$B$16*((Presion_cilindro!N620-(-E$4+Presion_cilindro!$B$34))/Presion_cilindro!$B$35)^(Presion_cilindro!$B$17+1)),0))/((Presion_cilindro!O620+Presion_cilindro!O621)/2)</f>
        <v>2.8566916340846187</v>
      </c>
      <c r="F629" s="27">
        <f>F628*(Presion_cilindro!O620/Presion_cilindro!O621)^Presion_cilindro!$B$9+10*(Presion_cilindro!$B$9-1)*Presion_cilindro!$B$33*(IF(Presion_cilindro!N621&gt;(-F$4+Presion_cilindro!$B$34),1-EXP(-Presion_cilindro!$B$16*((Presion_cilindro!N621-(-F$4+Presion_cilindro!$B$34))/Presion_cilindro!$B$35)^(Presion_cilindro!$B$17+1)),0)-IF(Presion_cilindro!N620&gt;(-F$4+Presion_cilindro!$B$34),1-EXP(-Presion_cilindro!$B$16*((Presion_cilindro!N620-(-F$4+Presion_cilindro!$B$34))/Presion_cilindro!$B$35)^(Presion_cilindro!$B$17+1)),0))/((Presion_cilindro!O620+Presion_cilindro!O621)/2)</f>
        <v>2.7907603442647471</v>
      </c>
      <c r="G629" s="27">
        <f>G628*(Presion_cilindro!O620/Presion_cilindro!O621)^Presion_cilindro!$B$9+10*(Presion_cilindro!$B$9-1)*Presion_cilindro!$B$33*(IF(Presion_cilindro!N621&gt;(-G$4+Presion_cilindro!$B$34),1-EXP(-Presion_cilindro!$B$16*((Presion_cilindro!N621-(-G$4+Presion_cilindro!$B$34))/Presion_cilindro!$B$35)^(Presion_cilindro!$B$17+1)),0)-IF(Presion_cilindro!N620&gt;(-G$4+Presion_cilindro!$B$34),1-EXP(-Presion_cilindro!$B$16*((Presion_cilindro!N620-(-G$4+Presion_cilindro!$B$34))/Presion_cilindro!$B$35)^(Presion_cilindro!$B$17+1)),0))/((Presion_cilindro!O620+Presion_cilindro!O621)/2)</f>
        <v>2.7419060324769187</v>
      </c>
      <c r="H629" s="27">
        <f>H628*(Presion_cilindro!O620/Presion_cilindro!O621)^Presion_cilindro!$B$9+10*(Presion_cilindro!$B$9-1)*Presion_cilindro!$B$33*(IF(Presion_cilindro!N621&gt;(-H$4+Presion_cilindro!$B$34),1-EXP(-Presion_cilindro!$B$16*((Presion_cilindro!N621-(-H$4+Presion_cilindro!$B$34))/Presion_cilindro!$B$35)^(Presion_cilindro!$B$17+1)),0)-IF(Presion_cilindro!N620&gt;(-H$4+Presion_cilindro!$B$34),1-EXP(-Presion_cilindro!$B$16*((Presion_cilindro!N620-(-H$4+Presion_cilindro!$B$34))/Presion_cilindro!$B$35)^(Presion_cilindro!$B$17+1)),0))/((Presion_cilindro!O620+Presion_cilindro!O621)/2)</f>
        <v>2.7130875224318309</v>
      </c>
      <c r="I629" s="27">
        <f>I628*(Presion_cilindro!O620/Presion_cilindro!O621)^Presion_cilindro!$B$9+10*(Presion_cilindro!$B$9-1)*Presion_cilindro!$B$33*(IF(Presion_cilindro!N621&gt;(-I$4+Presion_cilindro!$B$34),1-EXP(-Presion_cilindro!$B$16*((Presion_cilindro!N621-(-I$4+Presion_cilindro!$B$34))/Presion_cilindro!$B$35)^(Presion_cilindro!$B$17+1)),0)-IF(Presion_cilindro!N620&gt;(-I$4+Presion_cilindro!$B$34),1-EXP(-Presion_cilindro!$B$16*((Presion_cilindro!N620-(-I$4+Presion_cilindro!$B$34))/Presion_cilindro!$B$35)^(Presion_cilindro!$B$17+1)),0))/((Presion_cilindro!O620+Presion_cilindro!O621)/2)</f>
        <v>2.7061747658508426</v>
      </c>
      <c r="J629" s="27">
        <f>J628*(Presion_cilindro!O620/Presion_cilindro!O621)^Presion_cilindro!$B$9+10*(Presion_cilindro!$B$9-1)*Presion_cilindro!$B$33*(IF(Presion_cilindro!N621&gt;(-J$4+Presion_cilindro!$B$34),1-EXP(-Presion_cilindro!$B$16*((Presion_cilindro!N621-(-J$4+Presion_cilindro!$B$34))/Presion_cilindro!$B$35)^(Presion_cilindro!$B$17+1)),0)-IF(Presion_cilindro!N620&gt;(-J$4+Presion_cilindro!$B$34),1-EXP(-Presion_cilindro!$B$16*((Presion_cilindro!N620-(-J$4+Presion_cilindro!$B$34))/Presion_cilindro!$B$35)^(Presion_cilindro!$B$17+1)),0))/((Presion_cilindro!O620+Presion_cilindro!O621)/2)</f>
        <v>2.7215983032529336</v>
      </c>
      <c r="K629" s="27">
        <f>K628*(Presion_cilindro!O620/Presion_cilindro!O621)^Presion_cilindro!$B$9+10*(Presion_cilindro!$B$9-1)*Presion_cilindro!$B$33*(IF(Presion_cilindro!N621&gt;(-K$4+Presion_cilindro!$B$34),1-EXP(-Presion_cilindro!$B$16*((Presion_cilindro!N621-(-K$4+Presion_cilindro!$B$34))/Presion_cilindro!$B$35)^(Presion_cilindro!$B$17+1)),0)-IF(Presion_cilindro!N620&gt;(-K$4+Presion_cilindro!$B$34),1-EXP(-Presion_cilindro!$B$16*((Presion_cilindro!N620-(-K$4+Presion_cilindro!$B$34))/Presion_cilindro!$B$35)^(Presion_cilindro!$B$17+1)),0))/((Presion_cilindro!O620+Presion_cilindro!O621)/2)</f>
        <v>2.7582745422336856</v>
      </c>
      <c r="L629" s="27">
        <f>L628*(Presion_cilindro!O620/Presion_cilindro!O621)^Presion_cilindro!$B$9+10*(Presion_cilindro!$B$9-1)*Presion_cilindro!$B$33*(IF(Presion_cilindro!N621&gt;(-L$4+Presion_cilindro!$B$34),1-EXP(-Presion_cilindro!$B$16*((Presion_cilindro!N621-(-L$4+Presion_cilindro!$B$34))/Presion_cilindro!$B$35)^(Presion_cilindro!$B$17+1)),0)-IF(Presion_cilindro!N620&gt;(-L$4+Presion_cilindro!$B$34),1-EXP(-Presion_cilindro!$B$16*((Presion_cilindro!N620-(-L$4+Presion_cilindro!$B$34))/Presion_cilindro!$B$35)^(Presion_cilindro!$B$17+1)),0))/((Presion_cilindro!O620+Presion_cilindro!O621)/2)</f>
        <v>2.8138297725733552</v>
      </c>
      <c r="M629" s="27">
        <f>M628*(Presion_cilindro!O620/Presion_cilindro!O621)^Presion_cilindro!$B$9+10*(Presion_cilindro!$B$9-1)*Presion_cilindro!$B$33*(IF(Presion_cilindro!N621&gt;(-M$4+Presion_cilindro!$B$34),1-EXP(-Presion_cilindro!$B$16*((Presion_cilindro!N621-(-M$4+Presion_cilindro!$B$34))/Presion_cilindro!$B$35)^(Presion_cilindro!$B$17+1)),0)-IF(Presion_cilindro!N620&gt;(-M$4+Presion_cilindro!$B$34),1-EXP(-Presion_cilindro!$B$16*((Presion_cilindro!N620-(-M$4+Presion_cilindro!$B$34))/Presion_cilindro!$B$35)^(Presion_cilindro!$B$17+1)),0))/((Presion_cilindro!O620+Presion_cilindro!O621)/2)</f>
        <v>2.885038189414638</v>
      </c>
      <c r="N629" s="27">
        <f>N628*(Presion_cilindro!O620/Presion_cilindro!O621)^Presion_cilindro!$B$9+10*(Presion_cilindro!$B$9-1)*Presion_cilindro!$B$33*(IF(Presion_cilindro!N621&gt;(-N$4+Presion_cilindro!$B$34),1-EXP(-Presion_cilindro!$B$16*((Presion_cilindro!N621-(-N$4+Presion_cilindro!$B$34))/Presion_cilindro!$B$35)^(Presion_cilindro!$B$17+1)),0)-IF(Presion_cilindro!N620&gt;(-N$4+Presion_cilindro!$B$34),1-EXP(-Presion_cilindro!$B$16*((Presion_cilindro!N620-(-N$4+Presion_cilindro!$B$34))/Presion_cilindro!$B$35)^(Presion_cilindro!$B$17+1)),0))/((Presion_cilindro!O620+Presion_cilindro!O621)/2)</f>
        <v>2.968327800283757</v>
      </c>
    </row>
    <row r="630" spans="1:14" x14ac:dyDescent="0.25">
      <c r="A630" s="21">
        <f>Presion_cilindro!N622</f>
        <v>129</v>
      </c>
      <c r="B630" s="27">
        <f>B629*(Presion_cilindro!O621/Presion_cilindro!O622)^Presion_cilindro!$B$9+10*(Presion_cilindro!$B$9-1)*Presion_cilindro!$B$33*(IF(Presion_cilindro!N622&gt;(-B$4+Presion_cilindro!$B$34),1-EXP(-Presion_cilindro!$B$16*((Presion_cilindro!N622-(-B$4+Presion_cilindro!$B$34))/Presion_cilindro!$B$35)^(Presion_cilindro!$B$17+1)),0)-IF(Presion_cilindro!N621&gt;(-B$4+Presion_cilindro!$B$34),1-EXP(-Presion_cilindro!$B$16*((Presion_cilindro!N621-(-B$4+Presion_cilindro!$B$34))/Presion_cilindro!$B$35)^(Presion_cilindro!$B$17+1)),0))/((Presion_cilindro!O621+Presion_cilindro!O622)/2)</f>
        <v>3.1096100827799558</v>
      </c>
      <c r="C630" s="27">
        <f>C629*(Presion_cilindro!O621/Presion_cilindro!O622)^Presion_cilindro!$B$9+10*(Presion_cilindro!$B$9-1)*Presion_cilindro!$B$33*(IF(Presion_cilindro!N622&gt;(-C$4+Presion_cilindro!$B$34),1-EXP(-Presion_cilindro!$B$16*((Presion_cilindro!N622-(-C$4+Presion_cilindro!$B$34))/Presion_cilindro!$B$35)^(Presion_cilindro!$B$17+1)),0)-IF(Presion_cilindro!N621&gt;(-C$4+Presion_cilindro!$B$34),1-EXP(-Presion_cilindro!$B$16*((Presion_cilindro!N621-(-C$4+Presion_cilindro!$B$34))/Presion_cilindro!$B$35)^(Presion_cilindro!$B$17+1)),0))/((Presion_cilindro!O621+Presion_cilindro!O622)/2)</f>
        <v>3.0140089712727405</v>
      </c>
      <c r="D630" s="27">
        <f>D629*(Presion_cilindro!O621/Presion_cilindro!O622)^Presion_cilindro!$B$9+10*(Presion_cilindro!$B$9-1)*Presion_cilindro!$B$33*(IF(Presion_cilindro!N622&gt;(-D$4+Presion_cilindro!$B$34),1-EXP(-Presion_cilindro!$B$16*((Presion_cilindro!N622-(-D$4+Presion_cilindro!$B$34))/Presion_cilindro!$B$35)^(Presion_cilindro!$B$17+1)),0)-IF(Presion_cilindro!N621&gt;(-D$4+Presion_cilindro!$B$34),1-EXP(-Presion_cilindro!$B$16*((Presion_cilindro!N621-(-D$4+Presion_cilindro!$B$34))/Presion_cilindro!$B$35)^(Presion_cilindro!$B$17+1)),0))/((Presion_cilindro!O621+Presion_cilindro!O622)/2)</f>
        <v>2.9249705064251179</v>
      </c>
      <c r="E630" s="27">
        <f>E629*(Presion_cilindro!O621/Presion_cilindro!O622)^Presion_cilindro!$B$9+10*(Presion_cilindro!$B$9-1)*Presion_cilindro!$B$33*(IF(Presion_cilindro!N622&gt;(-E$4+Presion_cilindro!$B$34),1-EXP(-Presion_cilindro!$B$16*((Presion_cilindro!N622-(-E$4+Presion_cilindro!$B$34))/Presion_cilindro!$B$35)^(Presion_cilindro!$B$17+1)),0)-IF(Presion_cilindro!N621&gt;(-E$4+Presion_cilindro!$B$34),1-EXP(-Presion_cilindro!$B$16*((Presion_cilindro!N621-(-E$4+Presion_cilindro!$B$34))/Presion_cilindro!$B$35)^(Presion_cilindro!$B$17+1)),0))/((Presion_cilindro!O621+Presion_cilindro!O622)/2)</f>
        <v>2.8458070306483183</v>
      </c>
      <c r="F630" s="27">
        <f>F629*(Presion_cilindro!O621/Presion_cilindro!O622)^Presion_cilindro!$B$9+10*(Presion_cilindro!$B$9-1)*Presion_cilindro!$B$33*(IF(Presion_cilindro!N622&gt;(-F$4+Presion_cilindro!$B$34),1-EXP(-Presion_cilindro!$B$16*((Presion_cilindro!N622-(-F$4+Presion_cilindro!$B$34))/Presion_cilindro!$B$35)^(Presion_cilindro!$B$17+1)),0)-IF(Presion_cilindro!N621&gt;(-F$4+Presion_cilindro!$B$34),1-EXP(-Presion_cilindro!$B$16*((Presion_cilindro!N621-(-F$4+Presion_cilindro!$B$34))/Presion_cilindro!$B$35)^(Presion_cilindro!$B$17+1)),0))/((Presion_cilindro!O621+Presion_cilindro!O622)/2)</f>
        <v>2.7801269530822199</v>
      </c>
      <c r="G630" s="27">
        <f>G629*(Presion_cilindro!O621/Presion_cilindro!O622)^Presion_cilindro!$B$9+10*(Presion_cilindro!$B$9-1)*Presion_cilindro!$B$33*(IF(Presion_cilindro!N622&gt;(-G$4+Presion_cilindro!$B$34),1-EXP(-Presion_cilindro!$B$16*((Presion_cilindro!N622-(-G$4+Presion_cilindro!$B$34))/Presion_cilindro!$B$35)^(Presion_cilindro!$B$17+1)),0)-IF(Presion_cilindro!N621&gt;(-G$4+Presion_cilindro!$B$34),1-EXP(-Presion_cilindro!$B$16*((Presion_cilindro!N621-(-G$4+Presion_cilindro!$B$34))/Presion_cilindro!$B$35)^(Presion_cilindro!$B$17+1)),0))/((Presion_cilindro!O621+Presion_cilindro!O622)/2)</f>
        <v>2.7314587866254518</v>
      </c>
      <c r="H630" s="27">
        <f>H629*(Presion_cilindro!O621/Presion_cilindro!O622)^Presion_cilindro!$B$9+10*(Presion_cilindro!$B$9-1)*Presion_cilindro!$B$33*(IF(Presion_cilindro!N622&gt;(-H$4+Presion_cilindro!$B$34),1-EXP(-Presion_cilindro!$B$16*((Presion_cilindro!N622-(-H$4+Presion_cilindro!$B$34))/Presion_cilindro!$B$35)^(Presion_cilindro!$B$17+1)),0)-IF(Presion_cilindro!N621&gt;(-H$4+Presion_cilindro!$B$34),1-EXP(-Presion_cilindro!$B$16*((Presion_cilindro!N621-(-H$4+Presion_cilindro!$B$34))/Presion_cilindro!$B$35)^(Presion_cilindro!$B$17+1)),0))/((Presion_cilindro!O621+Presion_cilindro!O622)/2)</f>
        <v>2.7027500812403153</v>
      </c>
      <c r="I630" s="27">
        <f>I629*(Presion_cilindro!O621/Presion_cilindro!O622)^Presion_cilindro!$B$9+10*(Presion_cilindro!$B$9-1)*Presion_cilindro!$B$33*(IF(Presion_cilindro!N622&gt;(-I$4+Presion_cilindro!$B$34),1-EXP(-Presion_cilindro!$B$16*((Presion_cilindro!N622-(-I$4+Presion_cilindro!$B$34))/Presion_cilindro!$B$35)^(Presion_cilindro!$B$17+1)),0)-IF(Presion_cilindro!N621&gt;(-I$4+Presion_cilindro!$B$34),1-EXP(-Presion_cilindro!$B$16*((Presion_cilindro!N621-(-I$4+Presion_cilindro!$B$34))/Presion_cilindro!$B$35)^(Presion_cilindro!$B$17+1)),0))/((Presion_cilindro!O621+Presion_cilindro!O622)/2)</f>
        <v>2.6958636637339186</v>
      </c>
      <c r="J630" s="27">
        <f>J629*(Presion_cilindro!O621/Presion_cilindro!O622)^Presion_cilindro!$B$9+10*(Presion_cilindro!$B$9-1)*Presion_cilindro!$B$33*(IF(Presion_cilindro!N622&gt;(-J$4+Presion_cilindro!$B$34),1-EXP(-Presion_cilindro!$B$16*((Presion_cilindro!N622-(-J$4+Presion_cilindro!$B$34))/Presion_cilindro!$B$35)^(Presion_cilindro!$B$17+1)),0)-IF(Presion_cilindro!N621&gt;(-J$4+Presion_cilindro!$B$34),1-EXP(-Presion_cilindro!$B$16*((Presion_cilindro!N621-(-J$4+Presion_cilindro!$B$34))/Presion_cilindro!$B$35)^(Presion_cilindro!$B$17+1)),0))/((Presion_cilindro!O621+Presion_cilindro!O622)/2)</f>
        <v>2.7112284341741844</v>
      </c>
      <c r="K630" s="27">
        <f>K629*(Presion_cilindro!O621/Presion_cilindro!O622)^Presion_cilindro!$B$9+10*(Presion_cilindro!$B$9-1)*Presion_cilindro!$B$33*(IF(Presion_cilindro!N622&gt;(-K$4+Presion_cilindro!$B$34),1-EXP(-Presion_cilindro!$B$16*((Presion_cilindro!N622-(-K$4+Presion_cilindro!$B$34))/Presion_cilindro!$B$35)^(Presion_cilindro!$B$17+1)),0)-IF(Presion_cilindro!N621&gt;(-K$4+Presion_cilindro!$B$34),1-EXP(-Presion_cilindro!$B$16*((Presion_cilindro!N621-(-K$4+Presion_cilindro!$B$34))/Presion_cilindro!$B$35)^(Presion_cilindro!$B$17+1)),0))/((Presion_cilindro!O621+Presion_cilindro!O622)/2)</f>
        <v>2.7477649288744979</v>
      </c>
      <c r="L630" s="27">
        <f>L629*(Presion_cilindro!O621/Presion_cilindro!O622)^Presion_cilindro!$B$9+10*(Presion_cilindro!$B$9-1)*Presion_cilindro!$B$33*(IF(Presion_cilindro!N622&gt;(-L$4+Presion_cilindro!$B$34),1-EXP(-Presion_cilindro!$B$16*((Presion_cilindro!N622-(-L$4+Presion_cilindro!$B$34))/Presion_cilindro!$B$35)^(Presion_cilindro!$B$17+1)),0)-IF(Presion_cilindro!N621&gt;(-L$4+Presion_cilindro!$B$34),1-EXP(-Presion_cilindro!$B$16*((Presion_cilindro!N621-(-L$4+Presion_cilindro!$B$34))/Presion_cilindro!$B$35)^(Presion_cilindro!$B$17+1)),0))/((Presion_cilindro!O621+Presion_cilindro!O622)/2)</f>
        <v>2.8031084819565155</v>
      </c>
      <c r="M630" s="27">
        <f>M629*(Presion_cilindro!O621/Presion_cilindro!O622)^Presion_cilindro!$B$9+10*(Presion_cilindro!$B$9-1)*Presion_cilindro!$B$33*(IF(Presion_cilindro!N622&gt;(-M$4+Presion_cilindro!$B$34),1-EXP(-Presion_cilindro!$B$16*((Presion_cilindro!N622-(-M$4+Presion_cilindro!$B$34))/Presion_cilindro!$B$35)^(Presion_cilindro!$B$17+1)),0)-IF(Presion_cilindro!N621&gt;(-M$4+Presion_cilindro!$B$34),1-EXP(-Presion_cilindro!$B$16*((Presion_cilindro!N621-(-M$4+Presion_cilindro!$B$34))/Presion_cilindro!$B$35)^(Presion_cilindro!$B$17+1)),0))/((Presion_cilindro!O621+Presion_cilindro!O622)/2)</f>
        <v>2.8740455795663502</v>
      </c>
      <c r="N630" s="27">
        <f>N629*(Presion_cilindro!O621/Presion_cilindro!O622)^Presion_cilindro!$B$9+10*(Presion_cilindro!$B$9-1)*Presion_cilindro!$B$33*(IF(Presion_cilindro!N622&gt;(-N$4+Presion_cilindro!$B$34),1-EXP(-Presion_cilindro!$B$16*((Presion_cilindro!N622-(-N$4+Presion_cilindro!$B$34))/Presion_cilindro!$B$35)^(Presion_cilindro!$B$17+1)),0)-IF(Presion_cilindro!N621&gt;(-N$4+Presion_cilindro!$B$34),1-EXP(-Presion_cilindro!$B$16*((Presion_cilindro!N621-(-N$4+Presion_cilindro!$B$34))/Presion_cilindro!$B$35)^(Presion_cilindro!$B$17+1)),0))/((Presion_cilindro!O621+Presion_cilindro!O622)/2)</f>
        <v>2.957017839282178</v>
      </c>
    </row>
    <row r="631" spans="1:14" x14ac:dyDescent="0.25">
      <c r="A631" s="21">
        <f>Presion_cilindro!N623</f>
        <v>129.5</v>
      </c>
      <c r="B631" s="27">
        <f>B630*(Presion_cilindro!O622/Presion_cilindro!O623)^Presion_cilindro!$B$9+10*(Presion_cilindro!$B$9-1)*Presion_cilindro!$B$33*(IF(Presion_cilindro!N623&gt;(-B$4+Presion_cilindro!$B$34),1-EXP(-Presion_cilindro!$B$16*((Presion_cilindro!N623-(-B$4+Presion_cilindro!$B$34))/Presion_cilindro!$B$35)^(Presion_cilindro!$B$17+1)),0)-IF(Presion_cilindro!N622&gt;(-B$4+Presion_cilindro!$B$34),1-EXP(-Presion_cilindro!$B$16*((Presion_cilindro!N622-(-B$4+Presion_cilindro!$B$34))/Presion_cilindro!$B$35)^(Presion_cilindro!$B$17+1)),0))/((Presion_cilindro!O622+Presion_cilindro!O623)/2)</f>
        <v>3.0979060623263504</v>
      </c>
      <c r="C631" s="27">
        <f>C630*(Presion_cilindro!O622/Presion_cilindro!O623)^Presion_cilindro!$B$9+10*(Presion_cilindro!$B$9-1)*Presion_cilindro!$B$33*(IF(Presion_cilindro!N623&gt;(-C$4+Presion_cilindro!$B$34),1-EXP(-Presion_cilindro!$B$16*((Presion_cilindro!N623-(-C$4+Presion_cilindro!$B$34))/Presion_cilindro!$B$35)^(Presion_cilindro!$B$17+1)),0)-IF(Presion_cilindro!N622&gt;(-C$4+Presion_cilindro!$B$34),1-EXP(-Presion_cilindro!$B$16*((Presion_cilindro!N622-(-C$4+Presion_cilindro!$B$34))/Presion_cilindro!$B$35)^(Presion_cilindro!$B$17+1)),0))/((Presion_cilindro!O622+Presion_cilindro!O623)/2)</f>
        <v>3.0026647764354282</v>
      </c>
      <c r="D631" s="27">
        <f>D630*(Presion_cilindro!O622/Presion_cilindro!O623)^Presion_cilindro!$B$9+10*(Presion_cilindro!$B$9-1)*Presion_cilindro!$B$33*(IF(Presion_cilindro!N623&gt;(-D$4+Presion_cilindro!$B$34),1-EXP(-Presion_cilindro!$B$16*((Presion_cilindro!N623-(-D$4+Presion_cilindro!$B$34))/Presion_cilindro!$B$35)^(Presion_cilindro!$B$17+1)),0)-IF(Presion_cilindro!N622&gt;(-D$4+Presion_cilindro!$B$34),1-EXP(-Presion_cilindro!$B$16*((Presion_cilindro!N622-(-D$4+Presion_cilindro!$B$34))/Presion_cilindro!$B$35)^(Presion_cilindro!$B$17+1)),0))/((Presion_cilindro!O622+Presion_cilindro!O623)/2)</f>
        <v>2.9139614365668201</v>
      </c>
      <c r="E631" s="27">
        <f>E630*(Presion_cilindro!O622/Presion_cilindro!O623)^Presion_cilindro!$B$9+10*(Presion_cilindro!$B$9-1)*Presion_cilindro!$B$33*(IF(Presion_cilindro!N623&gt;(-E$4+Presion_cilindro!$B$34),1-EXP(-Presion_cilindro!$B$16*((Presion_cilindro!N623-(-E$4+Presion_cilindro!$B$34))/Presion_cilindro!$B$35)^(Presion_cilindro!$B$17+1)),0)-IF(Presion_cilindro!N622&gt;(-E$4+Presion_cilindro!$B$34),1-EXP(-Presion_cilindro!$B$16*((Presion_cilindro!N622-(-E$4+Presion_cilindro!$B$34))/Presion_cilindro!$B$35)^(Presion_cilindro!$B$17+1)),0))/((Presion_cilindro!O622+Presion_cilindro!O623)/2)</f>
        <v>2.835095918062799</v>
      </c>
      <c r="F631" s="27">
        <f>F630*(Presion_cilindro!O622/Presion_cilindro!O623)^Presion_cilindro!$B$9+10*(Presion_cilindro!$B$9-1)*Presion_cilindro!$B$33*(IF(Presion_cilindro!N623&gt;(-F$4+Presion_cilindro!$B$34),1-EXP(-Presion_cilindro!$B$16*((Presion_cilindro!N623-(-F$4+Presion_cilindro!$B$34))/Presion_cilindro!$B$35)^(Presion_cilindro!$B$17+1)),0)-IF(Presion_cilindro!N622&gt;(-F$4+Presion_cilindro!$B$34),1-EXP(-Presion_cilindro!$B$16*((Presion_cilindro!N622-(-F$4+Presion_cilindro!$B$34))/Presion_cilindro!$B$35)^(Presion_cilindro!$B$17+1)),0))/((Presion_cilindro!O622+Presion_cilindro!O623)/2)</f>
        <v>2.7696630486516667</v>
      </c>
      <c r="G631" s="27">
        <f>G630*(Presion_cilindro!O622/Presion_cilindro!O623)^Presion_cilindro!$B$9+10*(Presion_cilindro!$B$9-1)*Presion_cilindro!$B$33*(IF(Presion_cilindro!N623&gt;(-G$4+Presion_cilindro!$B$34),1-EXP(-Presion_cilindro!$B$16*((Presion_cilindro!N623-(-G$4+Presion_cilindro!$B$34))/Presion_cilindro!$B$35)^(Presion_cilindro!$B$17+1)),0)-IF(Presion_cilindro!N622&gt;(-G$4+Presion_cilindro!$B$34),1-EXP(-Presion_cilindro!$B$16*((Presion_cilindro!N622-(-G$4+Presion_cilindro!$B$34))/Presion_cilindro!$B$35)^(Presion_cilindro!$B$17+1)),0))/((Presion_cilindro!O622+Presion_cilindro!O623)/2)</f>
        <v>2.7211780605357472</v>
      </c>
      <c r="H631" s="27">
        <f>H630*(Presion_cilindro!O622/Presion_cilindro!O623)^Presion_cilindro!$B$9+10*(Presion_cilindro!$B$9-1)*Presion_cilindro!$B$33*(IF(Presion_cilindro!N623&gt;(-H$4+Presion_cilindro!$B$34),1-EXP(-Presion_cilindro!$B$16*((Presion_cilindro!N623-(-H$4+Presion_cilindro!$B$34))/Presion_cilindro!$B$35)^(Presion_cilindro!$B$17+1)),0)-IF(Presion_cilindro!N622&gt;(-H$4+Presion_cilindro!$B$34),1-EXP(-Presion_cilindro!$B$16*((Presion_cilindro!N622-(-H$4+Presion_cilindro!$B$34))/Presion_cilindro!$B$35)^(Presion_cilindro!$B$17+1)),0))/((Presion_cilindro!O622+Presion_cilindro!O623)/2)</f>
        <v>2.6925774096224186</v>
      </c>
      <c r="I631" s="27">
        <f>I630*(Presion_cilindro!O622/Presion_cilindro!O623)^Presion_cilindro!$B$9+10*(Presion_cilindro!$B$9-1)*Presion_cilindro!$B$33*(IF(Presion_cilindro!N623&gt;(-I$4+Presion_cilindro!$B$34),1-EXP(-Presion_cilindro!$B$16*((Presion_cilindro!N623-(-I$4+Presion_cilindro!$B$34))/Presion_cilindro!$B$35)^(Presion_cilindro!$B$17+1)),0)-IF(Presion_cilindro!N622&gt;(-I$4+Presion_cilindro!$B$34),1-EXP(-Presion_cilindro!$B$16*((Presion_cilindro!N622-(-I$4+Presion_cilindro!$B$34))/Presion_cilindro!$B$35)^(Presion_cilindro!$B$17+1)),0))/((Presion_cilindro!O622+Presion_cilindro!O623)/2)</f>
        <v>2.6857169113693051</v>
      </c>
      <c r="J631" s="27">
        <f>J630*(Presion_cilindro!O622/Presion_cilindro!O623)^Presion_cilindro!$B$9+10*(Presion_cilindro!$B$9-1)*Presion_cilindro!$B$33*(IF(Presion_cilindro!N623&gt;(-J$4+Presion_cilindro!$B$34),1-EXP(-Presion_cilindro!$B$16*((Presion_cilindro!N623-(-J$4+Presion_cilindro!$B$34))/Presion_cilindro!$B$35)^(Presion_cilindro!$B$17+1)),0)-IF(Presion_cilindro!N622&gt;(-J$4+Presion_cilindro!$B$34),1-EXP(-Presion_cilindro!$B$16*((Presion_cilindro!N622-(-J$4+Presion_cilindro!$B$34))/Presion_cilindro!$B$35)^(Presion_cilindro!$B$17+1)),0))/((Presion_cilindro!O622+Presion_cilindro!O623)/2)</f>
        <v>2.7010238515405947</v>
      </c>
      <c r="K631" s="27">
        <f>K630*(Presion_cilindro!O622/Presion_cilindro!O623)^Presion_cilindro!$B$9+10*(Presion_cilindro!$B$9-1)*Presion_cilindro!$B$33*(IF(Presion_cilindro!N623&gt;(-K$4+Presion_cilindro!$B$34),1-EXP(-Presion_cilindro!$B$16*((Presion_cilindro!N623-(-K$4+Presion_cilindro!$B$34))/Presion_cilindro!$B$35)^(Presion_cilindro!$B$17+1)),0)-IF(Presion_cilindro!N622&gt;(-K$4+Presion_cilindro!$B$34),1-EXP(-Presion_cilindro!$B$16*((Presion_cilindro!N622-(-K$4+Presion_cilindro!$B$34))/Presion_cilindro!$B$35)^(Presion_cilindro!$B$17+1)),0))/((Presion_cilindro!O622+Presion_cilindro!O623)/2)</f>
        <v>2.7374228293594047</v>
      </c>
      <c r="L631" s="27">
        <f>L630*(Presion_cilindro!O622/Presion_cilindro!O623)^Presion_cilindro!$B$9+10*(Presion_cilindro!$B$9-1)*Presion_cilindro!$B$33*(IF(Presion_cilindro!N623&gt;(-L$4+Presion_cilindro!$B$34),1-EXP(-Presion_cilindro!$B$16*((Presion_cilindro!N623-(-L$4+Presion_cilindro!$B$34))/Presion_cilindro!$B$35)^(Presion_cilindro!$B$17+1)),0)-IF(Presion_cilindro!N622&gt;(-L$4+Presion_cilindro!$B$34),1-EXP(-Presion_cilindro!$B$16*((Presion_cilindro!N622-(-L$4+Presion_cilindro!$B$34))/Presion_cilindro!$B$35)^(Presion_cilindro!$B$17+1)),0))/((Presion_cilindro!O622+Presion_cilindro!O623)/2)</f>
        <v>2.7925580791300737</v>
      </c>
      <c r="M631" s="27">
        <f>M630*(Presion_cilindro!O622/Presion_cilindro!O623)^Presion_cilindro!$B$9+10*(Presion_cilindro!$B$9-1)*Presion_cilindro!$B$33*(IF(Presion_cilindro!N623&gt;(-M$4+Presion_cilindro!$B$34),1-EXP(-Presion_cilindro!$B$16*((Presion_cilindro!N623-(-M$4+Presion_cilindro!$B$34))/Presion_cilindro!$B$35)^(Presion_cilindro!$B$17+1)),0)-IF(Presion_cilindro!N622&gt;(-M$4+Presion_cilindro!$B$34),1-EXP(-Presion_cilindro!$B$16*((Presion_cilindro!N622-(-M$4+Presion_cilindro!$B$34))/Presion_cilindro!$B$35)^(Presion_cilindro!$B$17+1)),0))/((Presion_cilindro!O622+Presion_cilindro!O623)/2)</f>
        <v>2.8632281820945207</v>
      </c>
      <c r="N631" s="27">
        <f>N630*(Presion_cilindro!O622/Presion_cilindro!O623)^Presion_cilindro!$B$9+10*(Presion_cilindro!$B$9-1)*Presion_cilindro!$B$33*(IF(Presion_cilindro!N623&gt;(-N$4+Presion_cilindro!$B$34),1-EXP(-Presion_cilindro!$B$16*((Presion_cilindro!N623-(-N$4+Presion_cilindro!$B$34))/Presion_cilindro!$B$35)^(Presion_cilindro!$B$17+1)),0)-IF(Presion_cilindro!N622&gt;(-N$4+Presion_cilindro!$B$34),1-EXP(-Presion_cilindro!$B$16*((Presion_cilindro!N622-(-N$4+Presion_cilindro!$B$34))/Presion_cilindro!$B$35)^(Presion_cilindro!$B$17+1)),0))/((Presion_cilindro!O622+Presion_cilindro!O623)/2)</f>
        <v>2.9458881489508117</v>
      </c>
    </row>
    <row r="632" spans="1:14" x14ac:dyDescent="0.25">
      <c r="A632" s="21">
        <f>Presion_cilindro!N624</f>
        <v>130</v>
      </c>
      <c r="B632" s="27">
        <f>B631*(Presion_cilindro!O623/Presion_cilindro!O624)^Presion_cilindro!$B$9+10*(Presion_cilindro!$B$9-1)*Presion_cilindro!$B$33*(IF(Presion_cilindro!N624&gt;(-B$4+Presion_cilindro!$B$34),1-EXP(-Presion_cilindro!$B$16*((Presion_cilindro!N624-(-B$4+Presion_cilindro!$B$34))/Presion_cilindro!$B$35)^(Presion_cilindro!$B$17+1)),0)-IF(Presion_cilindro!N623&gt;(-B$4+Presion_cilindro!$B$34),1-EXP(-Presion_cilindro!$B$16*((Presion_cilindro!N623-(-B$4+Presion_cilindro!$B$34))/Presion_cilindro!$B$35)^(Presion_cilindro!$B$17+1)),0))/((Presion_cilindro!O623+Presion_cilindro!O624)/2)</f>
        <v>3.0863889603159578</v>
      </c>
      <c r="C632" s="27">
        <f>C631*(Presion_cilindro!O623/Presion_cilindro!O624)^Presion_cilindro!$B$9+10*(Presion_cilindro!$B$9-1)*Presion_cilindro!$B$33*(IF(Presion_cilindro!N624&gt;(-C$4+Presion_cilindro!$B$34),1-EXP(-Presion_cilindro!$B$16*((Presion_cilindro!N624-(-C$4+Presion_cilindro!$B$34))/Presion_cilindro!$B$35)^(Presion_cilindro!$B$17+1)),0)-IF(Presion_cilindro!N623&gt;(-C$4+Presion_cilindro!$B$34),1-EXP(-Presion_cilindro!$B$16*((Presion_cilindro!N623-(-C$4+Presion_cilindro!$B$34))/Presion_cilindro!$B$35)^(Presion_cilindro!$B$17+1)),0))/((Presion_cilindro!O623+Presion_cilindro!O624)/2)</f>
        <v>2.9915017534652448</v>
      </c>
      <c r="D632" s="27">
        <f>D631*(Presion_cilindro!O623/Presion_cilindro!O624)^Presion_cilindro!$B$9+10*(Presion_cilindro!$B$9-1)*Presion_cilindro!$B$33*(IF(Presion_cilindro!N624&gt;(-D$4+Presion_cilindro!$B$34),1-EXP(-Presion_cilindro!$B$16*((Presion_cilindro!N624-(-D$4+Presion_cilindro!$B$34))/Presion_cilindro!$B$35)^(Presion_cilindro!$B$17+1)),0)-IF(Presion_cilindro!N623&gt;(-D$4+Presion_cilindro!$B$34),1-EXP(-Presion_cilindro!$B$16*((Presion_cilindro!N623-(-D$4+Presion_cilindro!$B$34))/Presion_cilindro!$B$35)^(Presion_cilindro!$B$17+1)),0))/((Presion_cilindro!O623+Presion_cilindro!O624)/2)</f>
        <v>2.9031281864797958</v>
      </c>
      <c r="E632" s="27">
        <f>E631*(Presion_cilindro!O623/Presion_cilindro!O624)^Presion_cilindro!$B$9+10*(Presion_cilindro!$B$9-1)*Presion_cilindro!$B$33*(IF(Presion_cilindro!N624&gt;(-E$4+Presion_cilindro!$B$34),1-EXP(-Presion_cilindro!$B$16*((Presion_cilindro!N624-(-E$4+Presion_cilindro!$B$34))/Presion_cilindro!$B$35)^(Presion_cilindro!$B$17+1)),0)-IF(Presion_cilindro!N623&gt;(-E$4+Presion_cilindro!$B$34),1-EXP(-Presion_cilindro!$B$16*((Presion_cilindro!N623-(-E$4+Presion_cilindro!$B$34))/Presion_cilindro!$B$35)^(Presion_cilindro!$B$17+1)),0))/((Presion_cilindro!O623+Presion_cilindro!O624)/2)</f>
        <v>2.8245558667375961</v>
      </c>
      <c r="F632" s="27">
        <f>F631*(Presion_cilindro!O623/Presion_cilindro!O624)^Presion_cilindro!$B$9+10*(Presion_cilindro!$B$9-1)*Presion_cilindro!$B$33*(IF(Presion_cilindro!N624&gt;(-F$4+Presion_cilindro!$B$34),1-EXP(-Presion_cilindro!$B$16*((Presion_cilindro!N624-(-F$4+Presion_cilindro!$B$34))/Presion_cilindro!$B$35)^(Presion_cilindro!$B$17+1)),0)-IF(Presion_cilindro!N623&gt;(-F$4+Presion_cilindro!$B$34),1-EXP(-Presion_cilindro!$B$16*((Presion_cilindro!N623-(-F$4+Presion_cilindro!$B$34))/Presion_cilindro!$B$35)^(Presion_cilindro!$B$17+1)),0))/((Presion_cilindro!O623+Presion_cilindro!O624)/2)</f>
        <v>2.7593662574565898</v>
      </c>
      <c r="G632" s="27">
        <f>G631*(Presion_cilindro!O623/Presion_cilindro!O624)^Presion_cilindro!$B$9+10*(Presion_cilindro!$B$9-1)*Presion_cilindro!$B$33*(IF(Presion_cilindro!N624&gt;(-G$4+Presion_cilindro!$B$34),1-EXP(-Presion_cilindro!$B$16*((Presion_cilindro!N624-(-G$4+Presion_cilindro!$B$34))/Presion_cilindro!$B$35)^(Presion_cilindro!$B$17+1)),0)-IF(Presion_cilindro!N623&gt;(-G$4+Presion_cilindro!$B$34),1-EXP(-Presion_cilindro!$B$16*((Presion_cilindro!N623-(-G$4+Presion_cilindro!$B$34))/Presion_cilindro!$B$35)^(Presion_cilindro!$B$17+1)),0))/((Presion_cilindro!O623+Presion_cilindro!O624)/2)</f>
        <v>2.7110615222414589</v>
      </c>
      <c r="H632" s="27">
        <f>H631*(Presion_cilindro!O623/Presion_cilindro!O624)^Presion_cilindro!$B$9+10*(Presion_cilindro!$B$9-1)*Presion_cilindro!$B$33*(IF(Presion_cilindro!N624&gt;(-H$4+Presion_cilindro!$B$34),1-EXP(-Presion_cilindro!$B$16*((Presion_cilindro!N624-(-H$4+Presion_cilindro!$B$34))/Presion_cilindro!$B$35)^(Presion_cilindro!$B$17+1)),0)-IF(Presion_cilindro!N623&gt;(-H$4+Presion_cilindro!$B$34),1-EXP(-Presion_cilindro!$B$16*((Presion_cilindro!N623-(-H$4+Presion_cilindro!$B$34))/Presion_cilindro!$B$35)^(Presion_cilindro!$B$17+1)),0))/((Presion_cilindro!O623+Presion_cilindro!O624)/2)</f>
        <v>2.6825672001216785</v>
      </c>
      <c r="I632" s="27">
        <f>I631*(Presion_cilindro!O623/Presion_cilindro!O624)^Presion_cilindro!$B$9+10*(Presion_cilindro!$B$9-1)*Presion_cilindro!$B$33*(IF(Presion_cilindro!N624&gt;(-I$4+Presion_cilindro!$B$34),1-EXP(-Presion_cilindro!$B$16*((Presion_cilindro!N624-(-I$4+Presion_cilindro!$B$34))/Presion_cilindro!$B$35)^(Presion_cilindro!$B$17+1)),0)-IF(Presion_cilindro!N623&gt;(-I$4+Presion_cilindro!$B$34),1-EXP(-Presion_cilindro!$B$16*((Presion_cilindro!N623-(-I$4+Presion_cilindro!$B$34))/Presion_cilindro!$B$35)^(Presion_cilindro!$B$17+1)),0))/((Presion_cilindro!O623+Presion_cilindro!O624)/2)</f>
        <v>2.675732207179776</v>
      </c>
      <c r="J632" s="27">
        <f>J631*(Presion_cilindro!O623/Presion_cilindro!O624)^Presion_cilindro!$B$9+10*(Presion_cilindro!$B$9-1)*Presion_cilindro!$B$33*(IF(Presion_cilindro!N624&gt;(-J$4+Presion_cilindro!$B$34),1-EXP(-Presion_cilindro!$B$16*((Presion_cilindro!N624-(-J$4+Presion_cilindro!$B$34))/Presion_cilindro!$B$35)^(Presion_cilindro!$B$17+1)),0)-IF(Presion_cilindro!N623&gt;(-J$4+Presion_cilindro!$B$34),1-EXP(-Presion_cilindro!$B$16*((Presion_cilindro!N623-(-J$4+Presion_cilindro!$B$34))/Presion_cilindro!$B$35)^(Presion_cilindro!$B$17+1)),0))/((Presion_cilindro!O623+Presion_cilindro!O624)/2)</f>
        <v>2.6909822406573594</v>
      </c>
      <c r="K632" s="27">
        <f>K631*(Presion_cilindro!O623/Presion_cilindro!O624)^Presion_cilindro!$B$9+10*(Presion_cilindro!$B$9-1)*Presion_cilindro!$B$33*(IF(Presion_cilindro!N624&gt;(-K$4+Presion_cilindro!$B$34),1-EXP(-Presion_cilindro!$B$16*((Presion_cilindro!N624-(-K$4+Presion_cilindro!$B$34))/Presion_cilindro!$B$35)^(Presion_cilindro!$B$17+1)),0)-IF(Presion_cilindro!N623&gt;(-K$4+Presion_cilindro!$B$34),1-EXP(-Presion_cilindro!$B$16*((Presion_cilindro!N623-(-K$4+Presion_cilindro!$B$34))/Presion_cilindro!$B$35)^(Presion_cilindro!$B$17+1)),0))/((Presion_cilindro!O623+Presion_cilindro!O624)/2)</f>
        <v>2.727245897800791</v>
      </c>
      <c r="L632" s="27">
        <f>L631*(Presion_cilindro!O623/Presion_cilindro!O624)^Presion_cilindro!$B$9+10*(Presion_cilindro!$B$9-1)*Presion_cilindro!$B$33*(IF(Presion_cilindro!N624&gt;(-L$4+Presion_cilindro!$B$34),1-EXP(-Presion_cilindro!$B$16*((Presion_cilindro!N624-(-L$4+Presion_cilindro!$B$34))/Presion_cilindro!$B$35)^(Presion_cilindro!$B$17+1)),0)-IF(Presion_cilindro!N623&gt;(-L$4+Presion_cilindro!$B$34),1-EXP(-Presion_cilindro!$B$16*((Presion_cilindro!N623-(-L$4+Presion_cilindro!$B$34))/Presion_cilindro!$B$35)^(Presion_cilindro!$B$17+1)),0))/((Presion_cilindro!O623+Presion_cilindro!O624)/2)</f>
        <v>2.7821761709571913</v>
      </c>
      <c r="M632" s="27">
        <f>M631*(Presion_cilindro!O623/Presion_cilindro!O624)^Presion_cilindro!$B$9+10*(Presion_cilindro!$B$9-1)*Presion_cilindro!$B$33*(IF(Presion_cilindro!N624&gt;(-M$4+Presion_cilindro!$B$34),1-EXP(-Presion_cilindro!$B$16*((Presion_cilindro!N624-(-M$4+Presion_cilindro!$B$34))/Presion_cilindro!$B$35)^(Presion_cilindro!$B$17+1)),0)-IF(Presion_cilindro!N623&gt;(-M$4+Presion_cilindro!$B$34),1-EXP(-Presion_cilindro!$B$16*((Presion_cilindro!N623-(-M$4+Presion_cilindro!$B$34))/Presion_cilindro!$B$35)^(Presion_cilindro!$B$17+1)),0))/((Presion_cilindro!O623+Presion_cilindro!O624)/2)</f>
        <v>2.8525835433001956</v>
      </c>
      <c r="N632" s="27">
        <f>N631*(Presion_cilindro!O623/Presion_cilindro!O624)^Presion_cilindro!$B$9+10*(Presion_cilindro!$B$9-1)*Presion_cilindro!$B$33*(IF(Presion_cilindro!N624&gt;(-N$4+Presion_cilindro!$B$34),1-EXP(-Presion_cilindro!$B$16*((Presion_cilindro!N624-(-N$4+Presion_cilindro!$B$34))/Presion_cilindro!$B$35)^(Presion_cilindro!$B$17+1)),0)-IF(Presion_cilindro!N623&gt;(-N$4+Presion_cilindro!$B$34),1-EXP(-Presion_cilindro!$B$16*((Presion_cilindro!N623-(-N$4+Presion_cilindro!$B$34))/Presion_cilindro!$B$35)^(Presion_cilindro!$B$17+1)),0))/((Presion_cilindro!O623+Presion_cilindro!O624)/2)</f>
        <v>2.9349362047536416</v>
      </c>
    </row>
    <row r="633" spans="1:14" x14ac:dyDescent="0.25">
      <c r="A633" s="21">
        <f>Presion_cilindro!N625</f>
        <v>130.5</v>
      </c>
      <c r="B633" s="27">
        <f>B632*(Presion_cilindro!O624/Presion_cilindro!O625)^Presion_cilindro!$B$9+10*(Presion_cilindro!$B$9-1)*Presion_cilindro!$B$33*(IF(Presion_cilindro!N625&gt;(-B$4+Presion_cilindro!$B$34),1-EXP(-Presion_cilindro!$B$16*((Presion_cilindro!N625-(-B$4+Presion_cilindro!$B$34))/Presion_cilindro!$B$35)^(Presion_cilindro!$B$17+1)),0)-IF(Presion_cilindro!N624&gt;(-B$4+Presion_cilindro!$B$34),1-EXP(-Presion_cilindro!$B$16*((Presion_cilindro!N624-(-B$4+Presion_cilindro!$B$34))/Presion_cilindro!$B$35)^(Presion_cilindro!$B$17+1)),0))/((Presion_cilindro!O624+Presion_cilindro!O625)/2)</f>
        <v>3.0750561759462585</v>
      </c>
      <c r="C633" s="27">
        <f>C632*(Presion_cilindro!O624/Presion_cilindro!O625)^Presion_cilindro!$B$9+10*(Presion_cilindro!$B$9-1)*Presion_cilindro!$B$33*(IF(Presion_cilindro!N625&gt;(-C$4+Presion_cilindro!$B$34),1-EXP(-Presion_cilindro!$B$16*((Presion_cilindro!N625-(-C$4+Presion_cilindro!$B$34))/Presion_cilindro!$B$35)^(Presion_cilindro!$B$17+1)),0)-IF(Presion_cilindro!N624&gt;(-C$4+Presion_cilindro!$B$34),1-EXP(-Presion_cilindro!$B$16*((Presion_cilindro!N624-(-C$4+Presion_cilindro!$B$34))/Presion_cilindro!$B$35)^(Presion_cilindro!$B$17+1)),0))/((Presion_cilindro!O624+Presion_cilindro!O625)/2)</f>
        <v>2.9805173815181236</v>
      </c>
      <c r="D633" s="27">
        <f>D632*(Presion_cilindro!O624/Presion_cilindro!O625)^Presion_cilindro!$B$9+10*(Presion_cilindro!$B$9-1)*Presion_cilindro!$B$33*(IF(Presion_cilindro!N625&gt;(-D$4+Presion_cilindro!$B$34),1-EXP(-Presion_cilindro!$B$16*((Presion_cilindro!N625-(-D$4+Presion_cilindro!$B$34))/Presion_cilindro!$B$35)^(Presion_cilindro!$B$17+1)),0)-IF(Presion_cilindro!N624&gt;(-D$4+Presion_cilindro!$B$34),1-EXP(-Presion_cilindro!$B$16*((Presion_cilindro!N624-(-D$4+Presion_cilindro!$B$34))/Presion_cilindro!$B$35)^(Presion_cilindro!$B$17+1)),0))/((Presion_cilindro!O624+Presion_cilindro!O625)/2)</f>
        <v>2.8924683097895927</v>
      </c>
      <c r="E633" s="27">
        <f>E632*(Presion_cilindro!O624/Presion_cilindro!O625)^Presion_cilindro!$B$9+10*(Presion_cilindro!$B$9-1)*Presion_cilindro!$B$33*(IF(Presion_cilindro!N625&gt;(-E$4+Presion_cilindro!$B$34),1-EXP(-Presion_cilindro!$B$16*((Presion_cilindro!N625-(-E$4+Presion_cilindro!$B$34))/Presion_cilindro!$B$35)^(Presion_cilindro!$B$17+1)),0)-IF(Presion_cilindro!N624&gt;(-E$4+Presion_cilindro!$B$34),1-EXP(-Presion_cilindro!$B$16*((Presion_cilindro!N624-(-E$4+Presion_cilindro!$B$34))/Presion_cilindro!$B$35)^(Presion_cilindro!$B$17+1)),0))/((Presion_cilindro!O624+Presion_cilindro!O625)/2)</f>
        <v>2.8141844965086702</v>
      </c>
      <c r="F633" s="27">
        <f>F632*(Presion_cilindro!O624/Presion_cilindro!O625)^Presion_cilindro!$B$9+10*(Presion_cilindro!$B$9-1)*Presion_cilindro!$B$33*(IF(Presion_cilindro!N625&gt;(-F$4+Presion_cilindro!$B$34),1-EXP(-Presion_cilindro!$B$16*((Presion_cilindro!N625-(-F$4+Presion_cilindro!$B$34))/Presion_cilindro!$B$35)^(Presion_cilindro!$B$17+1)),0)-IF(Presion_cilindro!N624&gt;(-F$4+Presion_cilindro!$B$34),1-EXP(-Presion_cilindro!$B$16*((Presion_cilindro!N624-(-F$4+Presion_cilindro!$B$34))/Presion_cilindro!$B$35)^(Presion_cilindro!$B$17+1)),0))/((Presion_cilindro!O624+Presion_cilindro!O625)/2)</f>
        <v>2.7492342542661756</v>
      </c>
      <c r="G633" s="27">
        <f>G632*(Presion_cilindro!O624/Presion_cilindro!O625)^Presion_cilindro!$B$9+10*(Presion_cilindro!$B$9-1)*Presion_cilindro!$B$33*(IF(Presion_cilindro!N625&gt;(-G$4+Presion_cilindro!$B$34),1-EXP(-Presion_cilindro!$B$16*((Presion_cilindro!N625-(-G$4+Presion_cilindro!$B$34))/Presion_cilindro!$B$35)^(Presion_cilindro!$B$17+1)),0)-IF(Presion_cilindro!N624&gt;(-G$4+Presion_cilindro!$B$34),1-EXP(-Presion_cilindro!$B$16*((Presion_cilindro!N624-(-G$4+Presion_cilindro!$B$34))/Presion_cilindro!$B$35)^(Presion_cilindro!$B$17+1)),0))/((Presion_cilindro!O624+Presion_cilindro!O625)/2)</f>
        <v>2.7011068872166479</v>
      </c>
      <c r="H633" s="27">
        <f>H632*(Presion_cilindro!O624/Presion_cilindro!O625)^Presion_cilindro!$B$9+10*(Presion_cilindro!$B$9-1)*Presion_cilindro!$B$33*(IF(Presion_cilindro!N625&gt;(-H$4+Presion_cilindro!$B$34),1-EXP(-Presion_cilindro!$B$16*((Presion_cilindro!N625-(-H$4+Presion_cilindro!$B$34))/Presion_cilindro!$B$35)^(Presion_cilindro!$B$17+1)),0)-IF(Presion_cilindro!N624&gt;(-H$4+Presion_cilindro!$B$34),1-EXP(-Presion_cilindro!$B$16*((Presion_cilindro!N624-(-H$4+Presion_cilindro!$B$34))/Presion_cilindro!$B$35)^(Presion_cilindro!$B$17+1)),0))/((Presion_cilindro!O624+Presion_cilindro!O625)/2)</f>
        <v>2.6727171922234207</v>
      </c>
      <c r="I633" s="27">
        <f>I632*(Presion_cilindro!O624/Presion_cilindro!O625)^Presion_cilindro!$B$9+10*(Presion_cilindro!$B$9-1)*Presion_cilindro!$B$33*(IF(Presion_cilindro!N625&gt;(-I$4+Presion_cilindro!$B$34),1-EXP(-Presion_cilindro!$B$16*((Presion_cilindro!N625-(-I$4+Presion_cilindro!$B$34))/Presion_cilindro!$B$35)^(Presion_cilindro!$B$17+1)),0)-IF(Presion_cilindro!N624&gt;(-I$4+Presion_cilindro!$B$34),1-EXP(-Presion_cilindro!$B$16*((Presion_cilindro!N624-(-I$4+Presion_cilindro!$B$34))/Presion_cilindro!$B$35)^(Presion_cilindro!$B$17+1)),0))/((Presion_cilindro!O624+Presion_cilindro!O625)/2)</f>
        <v>2.6659072964102908</v>
      </c>
      <c r="J633" s="27">
        <f>J632*(Presion_cilindro!O624/Presion_cilindro!O625)^Presion_cilindro!$B$9+10*(Presion_cilindro!$B$9-1)*Presion_cilindro!$B$33*(IF(Presion_cilindro!N625&gt;(-J$4+Presion_cilindro!$B$34),1-EXP(-Presion_cilindro!$B$16*((Presion_cilindro!N625-(-J$4+Presion_cilindro!$B$34))/Presion_cilindro!$B$35)^(Presion_cilindro!$B$17+1)),0)-IF(Presion_cilindro!N624&gt;(-J$4+Presion_cilindro!$B$34),1-EXP(-Presion_cilindro!$B$16*((Presion_cilindro!N624-(-J$4+Presion_cilindro!$B$34))/Presion_cilindro!$B$35)^(Presion_cilindro!$B$17+1)),0))/((Presion_cilindro!O624+Presion_cilindro!O625)/2)</f>
        <v>2.6811013339187162</v>
      </c>
      <c r="K633" s="27">
        <f>K632*(Presion_cilindro!O624/Presion_cilindro!O625)^Presion_cilindro!$B$9+10*(Presion_cilindro!$B$9-1)*Presion_cilindro!$B$33*(IF(Presion_cilindro!N625&gt;(-K$4+Presion_cilindro!$B$34),1-EXP(-Presion_cilindro!$B$16*((Presion_cilindro!N625-(-K$4+Presion_cilindro!$B$34))/Presion_cilindro!$B$35)^(Presion_cilindro!$B$17+1)),0)-IF(Presion_cilindro!N624&gt;(-K$4+Presion_cilindro!$B$34),1-EXP(-Presion_cilindro!$B$16*((Presion_cilindro!N624-(-K$4+Presion_cilindro!$B$34))/Presion_cilindro!$B$35)^(Presion_cilindro!$B$17+1)),0))/((Presion_cilindro!O624+Presion_cilindro!O625)/2)</f>
        <v>2.7172318360346552</v>
      </c>
      <c r="L633" s="27">
        <f>L632*(Presion_cilindro!O624/Presion_cilindro!O625)^Presion_cilindro!$B$9+10*(Presion_cilindro!$B$9-1)*Presion_cilindro!$B$33*(IF(Presion_cilindro!N625&gt;(-L$4+Presion_cilindro!$B$34),1-EXP(-Presion_cilindro!$B$16*((Presion_cilindro!N625-(-L$4+Presion_cilindro!$B$34))/Presion_cilindro!$B$35)^(Presion_cilindro!$B$17+1)),0)-IF(Presion_cilindro!N624&gt;(-L$4+Presion_cilindro!$B$34),1-EXP(-Presion_cilindro!$B$16*((Presion_cilindro!N624-(-L$4+Presion_cilindro!$B$34))/Presion_cilindro!$B$35)^(Presion_cilindro!$B$17+1)),0))/((Presion_cilindro!O624+Presion_cilindro!O625)/2)</f>
        <v>2.771960412985861</v>
      </c>
      <c r="M633" s="27">
        <f>M632*(Presion_cilindro!O624/Presion_cilindro!O625)^Presion_cilindro!$B$9+10*(Presion_cilindro!$B$9-1)*Presion_cilindro!$B$33*(IF(Presion_cilindro!N625&gt;(-M$4+Presion_cilindro!$B$34),1-EXP(-Presion_cilindro!$B$16*((Presion_cilindro!N625-(-M$4+Presion_cilindro!$B$34))/Presion_cilindro!$B$35)^(Presion_cilindro!$B$17+1)),0)-IF(Presion_cilindro!N624&gt;(-M$4+Presion_cilindro!$B$34),1-EXP(-Presion_cilindro!$B$16*((Presion_cilindro!N624-(-M$4+Presion_cilindro!$B$34))/Presion_cilindro!$B$35)^(Presion_cilindro!$B$17+1)),0))/((Presion_cilindro!O624+Presion_cilindro!O625)/2)</f>
        <v>2.8421092594012975</v>
      </c>
      <c r="N633" s="27">
        <f>N632*(Presion_cilindro!O624/Presion_cilindro!O625)^Presion_cilindro!$B$9+10*(Presion_cilindro!$B$9-1)*Presion_cilindro!$B$33*(IF(Presion_cilindro!N625&gt;(-N$4+Presion_cilindro!$B$34),1-EXP(-Presion_cilindro!$B$16*((Presion_cilindro!N625-(-N$4+Presion_cilindro!$B$34))/Presion_cilindro!$B$35)^(Presion_cilindro!$B$17+1)),0)-IF(Presion_cilindro!N624&gt;(-N$4+Presion_cilindro!$B$34),1-EXP(-Presion_cilindro!$B$16*((Presion_cilindro!N624-(-N$4+Presion_cilindro!$B$34))/Presion_cilindro!$B$35)^(Presion_cilindro!$B$17+1)),0))/((Presion_cilindro!O624+Presion_cilindro!O625)/2)</f>
        <v>2.9241595335126025</v>
      </c>
    </row>
    <row r="634" spans="1:14" x14ac:dyDescent="0.25">
      <c r="A634" s="21">
        <f>Presion_cilindro!N626</f>
        <v>131</v>
      </c>
      <c r="B634" s="27">
        <f>B633*(Presion_cilindro!O625/Presion_cilindro!O626)^Presion_cilindro!$B$9+10*(Presion_cilindro!$B$9-1)*Presion_cilindro!$B$33*(IF(Presion_cilindro!N626&gt;(-B$4+Presion_cilindro!$B$34),1-EXP(-Presion_cilindro!$B$16*((Presion_cilindro!N626-(-B$4+Presion_cilindro!$B$34))/Presion_cilindro!$B$35)^(Presion_cilindro!$B$17+1)),0)-IF(Presion_cilindro!N625&gt;(-B$4+Presion_cilindro!$B$34),1-EXP(-Presion_cilindro!$B$16*((Presion_cilindro!N625-(-B$4+Presion_cilindro!$B$34))/Presion_cilindro!$B$35)^(Presion_cilindro!$B$17+1)),0))/((Presion_cilindro!O625+Presion_cilindro!O626)/2)</f>
        <v>3.0639051613155495</v>
      </c>
      <c r="C634" s="27">
        <f>C633*(Presion_cilindro!O625/Presion_cilindro!O626)^Presion_cilindro!$B$9+10*(Presion_cilindro!$B$9-1)*Presion_cilindro!$B$33*(IF(Presion_cilindro!N626&gt;(-C$4+Presion_cilindro!$B$34),1-EXP(-Presion_cilindro!$B$16*((Presion_cilindro!N626-(-C$4+Presion_cilindro!$B$34))/Presion_cilindro!$B$35)^(Presion_cilindro!$B$17+1)),0)-IF(Presion_cilindro!N625&gt;(-C$4+Presion_cilindro!$B$34),1-EXP(-Presion_cilindro!$B$16*((Presion_cilindro!N625-(-C$4+Presion_cilindro!$B$34))/Presion_cilindro!$B$35)^(Presion_cilindro!$B$17+1)),0))/((Presion_cilindro!O625+Presion_cilindro!O626)/2)</f>
        <v>2.9697091910244446</v>
      </c>
      <c r="D634" s="27">
        <f>D633*(Presion_cilindro!O625/Presion_cilindro!O626)^Presion_cilindro!$B$9+10*(Presion_cilindro!$B$9-1)*Presion_cilindro!$B$33*(IF(Presion_cilindro!N626&gt;(-D$4+Presion_cilindro!$B$34),1-EXP(-Presion_cilindro!$B$16*((Presion_cilindro!N626-(-D$4+Presion_cilindro!$B$34))/Presion_cilindro!$B$35)^(Presion_cilindro!$B$17+1)),0)-IF(Presion_cilindro!N625&gt;(-D$4+Presion_cilindro!$B$34),1-EXP(-Presion_cilindro!$B$16*((Presion_cilindro!N625-(-D$4+Presion_cilindro!$B$34))/Presion_cilindro!$B$35)^(Presion_cilindro!$B$17+1)),0))/((Presion_cilindro!O625+Presion_cilindro!O626)/2)</f>
        <v>2.8819794098814793</v>
      </c>
      <c r="E634" s="27">
        <f>E633*(Presion_cilindro!O625/Presion_cilindro!O626)^Presion_cilindro!$B$9+10*(Presion_cilindro!$B$9-1)*Presion_cilindro!$B$33*(IF(Presion_cilindro!N626&gt;(-E$4+Presion_cilindro!$B$34),1-EXP(-Presion_cilindro!$B$16*((Presion_cilindro!N626-(-E$4+Presion_cilindro!$B$34))/Presion_cilindro!$B$35)^(Presion_cilindro!$B$17+1)),0)-IF(Presion_cilindro!N625&gt;(-E$4+Presion_cilindro!$B$34),1-EXP(-Presion_cilindro!$B$16*((Presion_cilindro!N625-(-E$4+Presion_cilindro!$B$34))/Presion_cilindro!$B$35)^(Presion_cilindro!$B$17+1)),0))/((Presion_cilindro!O625+Presion_cilindro!O626)/2)</f>
        <v>2.8039794756249701</v>
      </c>
      <c r="F634" s="27">
        <f>F633*(Presion_cilindro!O625/Presion_cilindro!O626)^Presion_cilindro!$B$9+10*(Presion_cilindro!$B$9-1)*Presion_cilindro!$B$33*(IF(Presion_cilindro!N626&gt;(-F$4+Presion_cilindro!$B$34),1-EXP(-Presion_cilindro!$B$16*((Presion_cilindro!N626-(-F$4+Presion_cilindro!$B$34))/Presion_cilindro!$B$35)^(Presion_cilindro!$B$17+1)),0)-IF(Presion_cilindro!N625&gt;(-F$4+Presion_cilindro!$B$34),1-EXP(-Presion_cilindro!$B$16*((Presion_cilindro!N625-(-F$4+Presion_cilindro!$B$34))/Presion_cilindro!$B$35)^(Presion_cilindro!$B$17+1)),0))/((Presion_cilindro!O625+Presion_cilindro!O626)/2)</f>
        <v>2.7392647611452459</v>
      </c>
      <c r="G634" s="27">
        <f>G633*(Presion_cilindro!O625/Presion_cilindro!O626)^Presion_cilindro!$B$9+10*(Presion_cilindro!$B$9-1)*Presion_cilindro!$B$33*(IF(Presion_cilindro!N626&gt;(-G$4+Presion_cilindro!$B$34),1-EXP(-Presion_cilindro!$B$16*((Presion_cilindro!N626-(-G$4+Presion_cilindro!$B$34))/Presion_cilindro!$B$35)^(Presion_cilindro!$B$17+1)),0)-IF(Presion_cilindro!N625&gt;(-G$4+Presion_cilindro!$B$34),1-EXP(-Presion_cilindro!$B$16*((Presion_cilindro!N625-(-G$4+Presion_cilindro!$B$34))/Presion_cilindro!$B$35)^(Presion_cilindro!$B$17+1)),0))/((Presion_cilindro!O625+Presion_cilindro!O626)/2)</f>
        <v>2.6913119174030662</v>
      </c>
      <c r="H634" s="27">
        <f>H633*(Presion_cilindro!O625/Presion_cilindro!O626)^Presion_cilindro!$B$9+10*(Presion_cilindro!$B$9-1)*Presion_cilindro!$B$33*(IF(Presion_cilindro!N626&gt;(-H$4+Presion_cilindro!$B$34),1-EXP(-Presion_cilindro!$B$16*((Presion_cilindro!N626-(-H$4+Presion_cilindro!$B$34))/Presion_cilindro!$B$35)^(Presion_cilindro!$B$17+1)),0)-IF(Presion_cilindro!N625&gt;(-H$4+Presion_cilindro!$B$34),1-EXP(-Presion_cilindro!$B$16*((Presion_cilindro!N625-(-H$4+Presion_cilindro!$B$34))/Presion_cilindro!$B$35)^(Presion_cilindro!$B$17+1)),0))/((Presion_cilindro!O625+Presion_cilindro!O626)/2)</f>
        <v>2.6630251713922695</v>
      </c>
      <c r="I634" s="27">
        <f>I633*(Presion_cilindro!O625/Presion_cilindro!O626)^Presion_cilindro!$B$9+10*(Presion_cilindro!$B$9-1)*Presion_cilindro!$B$33*(IF(Presion_cilindro!N626&gt;(-I$4+Presion_cilindro!$B$34),1-EXP(-Presion_cilindro!$B$16*((Presion_cilindro!N626-(-I$4+Presion_cilindro!$B$34))/Presion_cilindro!$B$35)^(Presion_cilindro!$B$17+1)),0)-IF(Presion_cilindro!N625&gt;(-I$4+Presion_cilindro!$B$34),1-EXP(-Presion_cilindro!$B$16*((Presion_cilindro!N625-(-I$4+Presion_cilindro!$B$34))/Presion_cilindro!$B$35)^(Presion_cilindro!$B$17+1)),0))/((Presion_cilindro!O625+Presion_cilindro!O626)/2)</f>
        <v>2.6562399701679538</v>
      </c>
      <c r="J634" s="27">
        <f>J633*(Presion_cilindro!O625/Presion_cilindro!O626)^Presion_cilindro!$B$9+10*(Presion_cilindro!$B$9-1)*Presion_cilindro!$B$33*(IF(Presion_cilindro!N626&gt;(-J$4+Presion_cilindro!$B$34),1-EXP(-Presion_cilindro!$B$16*((Presion_cilindro!N626-(-J$4+Presion_cilindro!$B$34))/Presion_cilindro!$B$35)^(Presion_cilindro!$B$17+1)),0)-IF(Presion_cilindro!N625&gt;(-J$4+Presion_cilindro!$B$34),1-EXP(-Presion_cilindro!$B$16*((Presion_cilindro!N625-(-J$4+Presion_cilindro!$B$34))/Presion_cilindro!$B$35)^(Presion_cilindro!$B$17+1)),0))/((Presion_cilindro!O625+Presion_cilindro!O626)/2)</f>
        <v>2.6713789098424336</v>
      </c>
      <c r="K634" s="27">
        <f>K633*(Presion_cilindro!O625/Presion_cilindro!O626)^Presion_cilindro!$B$9+10*(Presion_cilindro!$B$9-1)*Presion_cilindro!$B$33*(IF(Presion_cilindro!N626&gt;(-K$4+Presion_cilindro!$B$34),1-EXP(-Presion_cilindro!$B$16*((Presion_cilindro!N626-(-K$4+Presion_cilindro!$B$34))/Presion_cilindro!$B$35)^(Presion_cilindro!$B$17+1)),0)-IF(Presion_cilindro!N625&gt;(-K$4+Presion_cilindro!$B$34),1-EXP(-Presion_cilindro!$B$16*((Presion_cilindro!N625-(-K$4+Presion_cilindro!$B$34))/Presion_cilindro!$B$35)^(Presion_cilindro!$B$17+1)),0))/((Presion_cilindro!O625+Presion_cilindro!O626)/2)</f>
        <v>2.707378392642088</v>
      </c>
      <c r="L634" s="27">
        <f>L633*(Presion_cilindro!O625/Presion_cilindro!O626)^Presion_cilindro!$B$9+10*(Presion_cilindro!$B$9-1)*Presion_cilindro!$B$33*(IF(Presion_cilindro!N626&gt;(-L$4+Presion_cilindro!$B$34),1-EXP(-Presion_cilindro!$B$16*((Presion_cilindro!N626-(-L$4+Presion_cilindro!$B$34))/Presion_cilindro!$B$35)^(Presion_cilindro!$B$17+1)),0)-IF(Presion_cilindro!N625&gt;(-L$4+Presion_cilindro!$B$34),1-EXP(-Presion_cilindro!$B$16*((Presion_cilindro!N625-(-L$4+Presion_cilindro!$B$34))/Presion_cilindro!$B$35)^(Presion_cilindro!$B$17+1)),0))/((Presion_cilindro!O625+Presion_cilindro!O626)/2)</f>
        <v>2.7619085084506731</v>
      </c>
      <c r="M634" s="27">
        <f>M633*(Presion_cilindro!O625/Presion_cilindro!O626)^Presion_cilindro!$B$9+10*(Presion_cilindro!$B$9-1)*Presion_cilindro!$B$33*(IF(Presion_cilindro!N626&gt;(-M$4+Presion_cilindro!$B$34),1-EXP(-Presion_cilindro!$B$16*((Presion_cilindro!N626-(-M$4+Presion_cilindro!$B$34))/Presion_cilindro!$B$35)^(Presion_cilindro!$B$17+1)),0)-IF(Presion_cilindro!N625&gt;(-M$4+Presion_cilindro!$B$34),1-EXP(-Presion_cilindro!$B$16*((Presion_cilindro!N625-(-M$4+Presion_cilindro!$B$34))/Presion_cilindro!$B$35)^(Presion_cilindro!$B$17+1)),0))/((Presion_cilindro!O625+Presion_cilindro!O626)/2)</f>
        <v>2.8318029755091323</v>
      </c>
      <c r="N634" s="27">
        <f>N633*(Presion_cilindro!O625/Presion_cilindro!O626)^Presion_cilindro!$B$9+10*(Presion_cilindro!$B$9-1)*Presion_cilindro!$B$33*(IF(Presion_cilindro!N626&gt;(-N$4+Presion_cilindro!$B$34),1-EXP(-Presion_cilindro!$B$16*((Presion_cilindro!N626-(-N$4+Presion_cilindro!$B$34))/Presion_cilindro!$B$35)^(Presion_cilindro!$B$17+1)),0)-IF(Presion_cilindro!N625&gt;(-N$4+Presion_cilindro!$B$34),1-EXP(-Presion_cilindro!$B$16*((Presion_cilindro!N625-(-N$4+Presion_cilindro!$B$34))/Presion_cilindro!$B$35)^(Presion_cilindro!$B$17+1)),0))/((Presion_cilindro!O625+Presion_cilindro!O626)/2)</f>
        <v>2.9135557123545412</v>
      </c>
    </row>
    <row r="635" spans="1:14" x14ac:dyDescent="0.25">
      <c r="A635" s="21">
        <f>Presion_cilindro!N627</f>
        <v>131.5</v>
      </c>
      <c r="B635" s="27">
        <f>B634*(Presion_cilindro!O626/Presion_cilindro!O627)^Presion_cilindro!$B$9+10*(Presion_cilindro!$B$9-1)*Presion_cilindro!$B$33*(IF(Presion_cilindro!N627&gt;(-B$4+Presion_cilindro!$B$34),1-EXP(-Presion_cilindro!$B$16*((Presion_cilindro!N627-(-B$4+Presion_cilindro!$B$34))/Presion_cilindro!$B$35)^(Presion_cilindro!$B$17+1)),0)-IF(Presion_cilindro!N626&gt;(-B$4+Presion_cilindro!$B$34),1-EXP(-Presion_cilindro!$B$16*((Presion_cilindro!N626-(-B$4+Presion_cilindro!$B$34))/Presion_cilindro!$B$35)^(Presion_cilindro!$B$17+1)),0))/((Presion_cilindro!O626+Presion_cilindro!O627)/2)</f>
        <v>3.052933420343352</v>
      </c>
      <c r="C635" s="27">
        <f>C634*(Presion_cilindro!O626/Presion_cilindro!O627)^Presion_cilindro!$B$9+10*(Presion_cilindro!$B$9-1)*Presion_cilindro!$B$33*(IF(Presion_cilindro!N627&gt;(-C$4+Presion_cilindro!$B$34),1-EXP(-Presion_cilindro!$B$16*((Presion_cilindro!N627-(-C$4+Presion_cilindro!$B$34))/Presion_cilindro!$B$35)^(Presion_cilindro!$B$17+1)),0)-IF(Presion_cilindro!N626&gt;(-C$4+Presion_cilindro!$B$34),1-EXP(-Presion_cilindro!$B$16*((Presion_cilindro!N626-(-C$4+Presion_cilindro!$B$34))/Presion_cilindro!$B$35)^(Presion_cilindro!$B$17+1)),0))/((Presion_cilindro!O626+Presion_cilindro!O627)/2)</f>
        <v>2.9590747626426328</v>
      </c>
      <c r="D635" s="27">
        <f>D634*(Presion_cilindro!O626/Presion_cilindro!O627)^Presion_cilindro!$B$9+10*(Presion_cilindro!$B$9-1)*Presion_cilindro!$B$33*(IF(Presion_cilindro!N627&gt;(-D$4+Presion_cilindro!$B$34),1-EXP(-Presion_cilindro!$B$16*((Presion_cilindro!N627-(-D$4+Presion_cilindro!$B$34))/Presion_cilindro!$B$35)^(Presion_cilindro!$B$17+1)),0)-IF(Presion_cilindro!N626&gt;(-D$4+Presion_cilindro!$B$34),1-EXP(-Presion_cilindro!$B$16*((Presion_cilindro!N626-(-D$4+Presion_cilindro!$B$34))/Presion_cilindro!$B$35)^(Presion_cilindro!$B$17+1)),0))/((Presion_cilindro!O626+Presion_cilindro!O627)/2)</f>
        <v>2.8716591388849548</v>
      </c>
      <c r="E635" s="27">
        <f>E634*(Presion_cilindro!O626/Presion_cilindro!O627)^Presion_cilindro!$B$9+10*(Presion_cilindro!$B$9-1)*Presion_cilindro!$B$33*(IF(Presion_cilindro!N627&gt;(-E$4+Presion_cilindro!$B$34),1-EXP(-Presion_cilindro!$B$16*((Presion_cilindro!N627-(-E$4+Presion_cilindro!$B$34))/Presion_cilindro!$B$35)^(Presion_cilindro!$B$17+1)),0)-IF(Presion_cilindro!N626&gt;(-E$4+Presion_cilindro!$B$34),1-EXP(-Presion_cilindro!$B$16*((Presion_cilindro!N626-(-E$4+Presion_cilindro!$B$34))/Presion_cilindro!$B$35)^(Presion_cilindro!$B$17+1)),0))/((Presion_cilindro!O626+Presion_cilindro!O627)/2)</f>
        <v>2.793938519760427</v>
      </c>
      <c r="F635" s="27">
        <f>F634*(Presion_cilindro!O626/Presion_cilindro!O627)^Presion_cilindro!$B$9+10*(Presion_cilindro!$B$9-1)*Presion_cilindro!$B$33*(IF(Presion_cilindro!N627&gt;(-F$4+Presion_cilindro!$B$34),1-EXP(-Presion_cilindro!$B$16*((Presion_cilindro!N627-(-F$4+Presion_cilindro!$B$34))/Presion_cilindro!$B$35)^(Presion_cilindro!$B$17+1)),0)-IF(Presion_cilindro!N626&gt;(-F$4+Presion_cilindro!$B$34),1-EXP(-Presion_cilindro!$B$16*((Presion_cilindro!N626-(-F$4+Presion_cilindro!$B$34))/Presion_cilindro!$B$35)^(Presion_cilindro!$B$17+1)),0))/((Presion_cilindro!O626+Presion_cilindro!O627)/2)</f>
        <v>2.7294555464890555</v>
      </c>
      <c r="G635" s="27">
        <f>G634*(Presion_cilindro!O626/Presion_cilindro!O627)^Presion_cilindro!$B$9+10*(Presion_cilindro!$B$9-1)*Presion_cilindro!$B$33*(IF(Presion_cilindro!N627&gt;(-G$4+Presion_cilindro!$B$34),1-EXP(-Presion_cilindro!$B$16*((Presion_cilindro!N627-(-G$4+Presion_cilindro!$B$34))/Presion_cilindro!$B$35)^(Presion_cilindro!$B$17+1)),0)-IF(Presion_cilindro!N626&gt;(-G$4+Presion_cilindro!$B$34),1-EXP(-Presion_cilindro!$B$16*((Presion_cilindro!N626-(-G$4+Presion_cilindro!$B$34))/Presion_cilindro!$B$35)^(Presion_cilindro!$B$17+1)),0))/((Presion_cilindro!O626+Presion_cilindro!O627)/2)</f>
        <v>2.6816744202618503</v>
      </c>
      <c r="H635" s="27">
        <f>H634*(Presion_cilindro!O626/Presion_cilindro!O627)^Presion_cilindro!$B$9+10*(Presion_cilindro!$B$9-1)*Presion_cilindro!$B$33*(IF(Presion_cilindro!N627&gt;(-H$4+Presion_cilindro!$B$34),1-EXP(-Presion_cilindro!$B$16*((Presion_cilindro!N627-(-H$4+Presion_cilindro!$B$34))/Presion_cilindro!$B$35)^(Presion_cilindro!$B$17+1)),0)-IF(Presion_cilindro!N626&gt;(-H$4+Presion_cilindro!$B$34),1-EXP(-Presion_cilindro!$B$16*((Presion_cilindro!N626-(-H$4+Presion_cilindro!$B$34))/Presion_cilindro!$B$35)^(Presion_cilindro!$B$17+1)),0))/((Presion_cilindro!O626+Presion_cilindro!O627)/2)</f>
        <v>2.6534889681338067</v>
      </c>
      <c r="I635" s="27">
        <f>I634*(Presion_cilindro!O626/Presion_cilindro!O627)^Presion_cilindro!$B$9+10*(Presion_cilindro!$B$9-1)*Presion_cilindro!$B$33*(IF(Presion_cilindro!N627&gt;(-I$4+Presion_cilindro!$B$34),1-EXP(-Presion_cilindro!$B$16*((Presion_cilindro!N627-(-I$4+Presion_cilindro!$B$34))/Presion_cilindro!$B$35)^(Presion_cilindro!$B$17+1)),0)-IF(Presion_cilindro!N626&gt;(-I$4+Presion_cilindro!$B$34),1-EXP(-Presion_cilindro!$B$16*((Presion_cilindro!N626-(-I$4+Presion_cilindro!$B$34))/Presion_cilindro!$B$35)^(Presion_cilindro!$B$17+1)),0))/((Presion_cilindro!O626+Presion_cilindro!O627)/2)</f>
        <v>2.6467280644860667</v>
      </c>
      <c r="J635" s="27">
        <f>J634*(Presion_cilindro!O626/Presion_cilindro!O627)^Presion_cilindro!$B$9+10*(Presion_cilindro!$B$9-1)*Presion_cilindro!$B$33*(IF(Presion_cilindro!N627&gt;(-J$4+Presion_cilindro!$B$34),1-EXP(-Presion_cilindro!$B$16*((Presion_cilindro!N627-(-J$4+Presion_cilindro!$B$34))/Presion_cilindro!$B$35)^(Presion_cilindro!$B$17+1)),0)-IF(Presion_cilindro!N626&gt;(-J$4+Presion_cilindro!$B$34),1-EXP(-Presion_cilindro!$B$16*((Presion_cilindro!N626-(-J$4+Presion_cilindro!$B$34))/Presion_cilindro!$B$35)^(Presion_cilindro!$B$17+1)),0))/((Presion_cilindro!O626+Presion_cilindro!O627)/2)</f>
        <v>2.6618127921285297</v>
      </c>
      <c r="K635" s="27">
        <f>K634*(Presion_cilindro!O626/Presion_cilindro!O627)^Presion_cilindro!$B$9+10*(Presion_cilindro!$B$9-1)*Presion_cilindro!$B$33*(IF(Presion_cilindro!N627&gt;(-K$4+Presion_cilindro!$B$34),1-EXP(-Presion_cilindro!$B$16*((Presion_cilindro!N627-(-K$4+Presion_cilindro!$B$34))/Presion_cilindro!$B$35)^(Presion_cilindro!$B$17+1)),0)-IF(Presion_cilindro!N626&gt;(-K$4+Presion_cilindro!$B$34),1-EXP(-Presion_cilindro!$B$16*((Presion_cilindro!N626-(-K$4+Presion_cilindro!$B$34))/Presion_cilindro!$B$35)^(Presion_cilindro!$B$17+1)),0))/((Presion_cilindro!O626+Presion_cilindro!O627)/2)</f>
        <v>2.697683361995304</v>
      </c>
      <c r="L635" s="27">
        <f>L634*(Presion_cilindro!O626/Presion_cilindro!O627)^Presion_cilindro!$B$9+10*(Presion_cilindro!$B$9-1)*Presion_cilindro!$B$33*(IF(Presion_cilindro!N627&gt;(-L$4+Presion_cilindro!$B$34),1-EXP(-Presion_cilindro!$B$16*((Presion_cilindro!N627-(-L$4+Presion_cilindro!$B$34))/Presion_cilindro!$B$35)^(Presion_cilindro!$B$17+1)),0)-IF(Presion_cilindro!N626&gt;(-L$4+Presion_cilindro!$B$34),1-EXP(-Presion_cilindro!$B$16*((Presion_cilindro!N626-(-L$4+Presion_cilindro!$B$34))/Presion_cilindro!$B$35)^(Presion_cilindro!$B$17+1)),0))/((Presion_cilindro!O626+Presion_cilindro!O627)/2)</f>
        <v>2.7520182072996358</v>
      </c>
      <c r="M635" s="27">
        <f>M634*(Presion_cilindro!O626/Presion_cilindro!O627)^Presion_cilindro!$B$9+10*(Presion_cilindro!$B$9-1)*Presion_cilindro!$B$33*(IF(Presion_cilindro!N627&gt;(-M$4+Presion_cilindro!$B$34),1-EXP(-Presion_cilindro!$B$16*((Presion_cilindro!N627-(-M$4+Presion_cilindro!$B$34))/Presion_cilindro!$B$35)^(Presion_cilindro!$B$17+1)),0)-IF(Presion_cilindro!N626&gt;(-M$4+Presion_cilindro!$B$34),1-EXP(-Presion_cilindro!$B$16*((Presion_cilindro!N626-(-M$4+Presion_cilindro!$B$34))/Presion_cilindro!$B$35)^(Presion_cilindro!$B$17+1)),0))/((Presion_cilindro!O626+Presion_cilindro!O627)/2)</f>
        <v>2.8216623846305806</v>
      </c>
      <c r="N635" s="27">
        <f>N634*(Presion_cilindro!O626/Presion_cilindro!O627)^Presion_cilindro!$B$9+10*(Presion_cilindro!$B$9-1)*Presion_cilindro!$B$33*(IF(Presion_cilindro!N627&gt;(-N$4+Presion_cilindro!$B$34),1-EXP(-Presion_cilindro!$B$16*((Presion_cilindro!N627-(-N$4+Presion_cilindro!$B$34))/Presion_cilindro!$B$35)^(Presion_cilindro!$B$17+1)),0)-IF(Presion_cilindro!N626&gt;(-N$4+Presion_cilindro!$B$34),1-EXP(-Presion_cilindro!$B$16*((Presion_cilindro!N626-(-N$4+Presion_cilindro!$B$34))/Presion_cilindro!$B$35)^(Presion_cilindro!$B$17+1)),0))/((Presion_cilindro!O626+Presion_cilindro!O627)/2)</f>
        <v>2.903122367684599</v>
      </c>
    </row>
    <row r="636" spans="1:14" x14ac:dyDescent="0.25">
      <c r="A636" s="21">
        <f>Presion_cilindro!N628</f>
        <v>132</v>
      </c>
      <c r="B636" s="27">
        <f>B635*(Presion_cilindro!O627/Presion_cilindro!O628)^Presion_cilindro!$B$9+10*(Presion_cilindro!$B$9-1)*Presion_cilindro!$B$33*(IF(Presion_cilindro!N628&gt;(-B$4+Presion_cilindro!$B$34),1-EXP(-Presion_cilindro!$B$16*((Presion_cilindro!N628-(-B$4+Presion_cilindro!$B$34))/Presion_cilindro!$B$35)^(Presion_cilindro!$B$17+1)),0)-IF(Presion_cilindro!N627&gt;(-B$4+Presion_cilindro!$B$34),1-EXP(-Presion_cilindro!$B$16*((Presion_cilindro!N627-(-B$4+Presion_cilindro!$B$34))/Presion_cilindro!$B$35)^(Presion_cilindro!$B$17+1)),0))/((Presion_cilindro!O627+Presion_cilindro!O628)/2)</f>
        <v>3.0421385077179224</v>
      </c>
      <c r="C636" s="27">
        <f>C635*(Presion_cilindro!O627/Presion_cilindro!O628)^Presion_cilindro!$B$9+10*(Presion_cilindro!$B$9-1)*Presion_cilindro!$B$33*(IF(Presion_cilindro!N628&gt;(-C$4+Presion_cilindro!$B$34),1-EXP(-Presion_cilindro!$B$16*((Presion_cilindro!N628-(-C$4+Presion_cilindro!$B$34))/Presion_cilindro!$B$35)^(Presion_cilindro!$B$17+1)),0)-IF(Presion_cilindro!N627&gt;(-C$4+Presion_cilindro!$B$34),1-EXP(-Presion_cilindro!$B$16*((Presion_cilindro!N627-(-C$4+Presion_cilindro!$B$34))/Presion_cilindro!$B$35)^(Presion_cilindro!$B$17+1)),0))/((Presion_cilindro!O627+Presion_cilindro!O628)/2)</f>
        <v>2.9486117262390259</v>
      </c>
      <c r="D636" s="27">
        <f>D635*(Presion_cilindro!O627/Presion_cilindro!O628)^Presion_cilindro!$B$9+10*(Presion_cilindro!$B$9-1)*Presion_cilindro!$B$33*(IF(Presion_cilindro!N628&gt;(-D$4+Presion_cilindro!$B$34),1-EXP(-Presion_cilindro!$B$16*((Presion_cilindro!N628-(-D$4+Presion_cilindro!$B$34))/Presion_cilindro!$B$35)^(Presion_cilindro!$B$17+1)),0)-IF(Presion_cilindro!N627&gt;(-D$4+Presion_cilindro!$B$34),1-EXP(-Presion_cilindro!$B$16*((Presion_cilindro!N627-(-D$4+Presion_cilindro!$B$34))/Presion_cilindro!$B$35)^(Presion_cilindro!$B$17+1)),0))/((Presion_cilindro!O627+Presion_cilindro!O628)/2)</f>
        <v>2.8615051966837544</v>
      </c>
      <c r="E636" s="27">
        <f>E635*(Presion_cilindro!O627/Presion_cilindro!O628)^Presion_cilindro!$B$9+10*(Presion_cilindro!$B$9-1)*Presion_cilindro!$B$33*(IF(Presion_cilindro!N628&gt;(-E$4+Presion_cilindro!$B$34),1-EXP(-Presion_cilindro!$B$16*((Presion_cilindro!N628-(-E$4+Presion_cilindro!$B$34))/Presion_cilindro!$B$35)^(Presion_cilindro!$B$17+1)),0)-IF(Presion_cilindro!N627&gt;(-E$4+Presion_cilindro!$B$34),1-EXP(-Presion_cilindro!$B$16*((Presion_cilindro!N627-(-E$4+Presion_cilindro!$B$34))/Presion_cilindro!$B$35)^(Presion_cilindro!$B$17+1)),0))/((Presion_cilindro!O627+Presion_cilindro!O628)/2)</f>
        <v>2.7840593910507536</v>
      </c>
      <c r="F636" s="27">
        <f>F635*(Presion_cilindro!O627/Presion_cilindro!O628)^Presion_cilindro!$B$9+10*(Presion_cilindro!$B$9-1)*Presion_cilindro!$B$33*(IF(Presion_cilindro!N628&gt;(-F$4+Presion_cilindro!$B$34),1-EXP(-Presion_cilindro!$B$16*((Presion_cilindro!N628-(-F$4+Presion_cilindro!$B$34))/Presion_cilindro!$B$35)^(Presion_cilindro!$B$17+1)),0)-IF(Presion_cilindro!N627&gt;(-F$4+Presion_cilindro!$B$34),1-EXP(-Presion_cilindro!$B$16*((Presion_cilindro!N627-(-F$4+Presion_cilindro!$B$34))/Presion_cilindro!$B$35)^(Presion_cilindro!$B$17+1)),0))/((Presion_cilindro!O627+Presion_cilindro!O628)/2)</f>
        <v>2.7198044240823216</v>
      </c>
      <c r="G636" s="27">
        <f>G635*(Presion_cilindro!O627/Presion_cilindro!O628)^Presion_cilindro!$B$9+10*(Presion_cilindro!$B$9-1)*Presion_cilindro!$B$33*(IF(Presion_cilindro!N628&gt;(-G$4+Presion_cilindro!$B$34),1-EXP(-Presion_cilindro!$B$16*((Presion_cilindro!N628-(-G$4+Presion_cilindro!$B$34))/Presion_cilindro!$B$35)^(Presion_cilindro!$B$17+1)),0)-IF(Presion_cilindro!N627&gt;(-G$4+Presion_cilindro!$B$34),1-EXP(-Presion_cilindro!$B$16*((Presion_cilindro!N627-(-G$4+Presion_cilindro!$B$34))/Presion_cilindro!$B$35)^(Presion_cilindro!$B$17+1)),0))/((Presion_cilindro!O627+Presion_cilindro!O628)/2)</f>
        <v>2.6721922478490239</v>
      </c>
      <c r="H636" s="27">
        <f>H635*(Presion_cilindro!O627/Presion_cilindro!O628)^Presion_cilindro!$B$9+10*(Presion_cilindro!$B$9-1)*Presion_cilindro!$B$33*(IF(Presion_cilindro!N628&gt;(-H$4+Presion_cilindro!$B$34),1-EXP(-Presion_cilindro!$B$16*((Presion_cilindro!N628-(-H$4+Presion_cilindro!$B$34))/Presion_cilindro!$B$35)^(Presion_cilindro!$B$17+1)),0)-IF(Presion_cilindro!N627&gt;(-H$4+Presion_cilindro!$B$34),1-EXP(-Presion_cilindro!$B$16*((Presion_cilindro!N627-(-H$4+Presion_cilindro!$B$34))/Presion_cilindro!$B$35)^(Presion_cilindro!$B$17+1)),0))/((Presion_cilindro!O627+Presion_cilindro!O628)/2)</f>
        <v>2.6441064570797912</v>
      </c>
      <c r="I636" s="27">
        <f>I635*(Presion_cilindro!O627/Presion_cilindro!O628)^Presion_cilindro!$B$9+10*(Presion_cilindro!$B$9-1)*Presion_cilindro!$B$33*(IF(Presion_cilindro!N628&gt;(-I$4+Presion_cilindro!$B$34),1-EXP(-Presion_cilindro!$B$16*((Presion_cilindro!N628-(-I$4+Presion_cilindro!$B$34))/Presion_cilindro!$B$35)^(Presion_cilindro!$B$17+1)),0)-IF(Presion_cilindro!N627&gt;(-I$4+Presion_cilindro!$B$34),1-EXP(-Presion_cilindro!$B$16*((Presion_cilindro!N627-(-I$4+Presion_cilindro!$B$34))/Presion_cilindro!$B$35)^(Presion_cilindro!$B$17+1)),0))/((Presion_cilindro!O627+Presion_cilindro!O628)/2)</f>
        <v>2.6373694594116772</v>
      </c>
      <c r="J636" s="27">
        <f>J635*(Presion_cilindro!O627/Presion_cilindro!O628)^Presion_cilindro!$B$9+10*(Presion_cilindro!$B$9-1)*Presion_cilindro!$B$33*(IF(Presion_cilindro!N628&gt;(-J$4+Presion_cilindro!$B$34),1-EXP(-Presion_cilindro!$B$16*((Presion_cilindro!N628-(-J$4+Presion_cilindro!$B$34))/Presion_cilindro!$B$35)^(Presion_cilindro!$B$17+1)),0)-IF(Presion_cilindro!N627&gt;(-J$4+Presion_cilindro!$B$34),1-EXP(-Presion_cilindro!$B$16*((Presion_cilindro!N627-(-J$4+Presion_cilindro!$B$34))/Presion_cilindro!$B$35)^(Presion_cilindro!$B$17+1)),0))/((Presion_cilindro!O627+Presion_cilindro!O628)/2)</f>
        <v>2.6524008487416193</v>
      </c>
      <c r="K636" s="27">
        <f>K635*(Presion_cilindro!O627/Presion_cilindro!O628)^Presion_cilindro!$B$9+10*(Presion_cilindro!$B$9-1)*Presion_cilindro!$B$33*(IF(Presion_cilindro!N628&gt;(-K$4+Presion_cilindro!$B$34),1-EXP(-Presion_cilindro!$B$16*((Presion_cilindro!N628-(-K$4+Presion_cilindro!$B$34))/Presion_cilindro!$B$35)^(Presion_cilindro!$B$17+1)),0)-IF(Presion_cilindro!N627&gt;(-K$4+Presion_cilindro!$B$34),1-EXP(-Presion_cilindro!$B$16*((Presion_cilindro!N627-(-K$4+Presion_cilindro!$B$34))/Presion_cilindro!$B$35)^(Presion_cilindro!$B$17+1)),0))/((Presion_cilindro!O627+Presion_cilindro!O628)/2)</f>
        <v>2.6881445833276256</v>
      </c>
      <c r="L636" s="27">
        <f>L635*(Presion_cilindro!O627/Presion_cilindro!O628)^Presion_cilindro!$B$9+10*(Presion_cilindro!$B$9-1)*Presion_cilindro!$B$33*(IF(Presion_cilindro!N628&gt;(-L$4+Presion_cilindro!$B$34),1-EXP(-Presion_cilindro!$B$16*((Presion_cilindro!N628-(-L$4+Presion_cilindro!$B$34))/Presion_cilindro!$B$35)^(Presion_cilindro!$B$17+1)),0)-IF(Presion_cilindro!N627&gt;(-L$4+Presion_cilindro!$B$34),1-EXP(-Presion_cilindro!$B$16*((Presion_cilindro!N627-(-L$4+Presion_cilindro!$B$34))/Presion_cilindro!$B$35)^(Presion_cilindro!$B$17+1)),0))/((Presion_cilindro!O627+Presion_cilindro!O628)/2)</f>
        <v>2.7422873052454242</v>
      </c>
      <c r="M636" s="27">
        <f>M635*(Presion_cilindro!O627/Presion_cilindro!O628)^Presion_cilindro!$B$9+10*(Presion_cilindro!$B$9-1)*Presion_cilindro!$B$33*(IF(Presion_cilindro!N628&gt;(-M$4+Presion_cilindro!$B$34),1-EXP(-Presion_cilindro!$B$16*((Presion_cilindro!N628-(-M$4+Presion_cilindro!$B$34))/Presion_cilindro!$B$35)^(Presion_cilindro!$B$17+1)),0)-IF(Presion_cilindro!N627&gt;(-M$4+Presion_cilindro!$B$34),1-EXP(-Presion_cilindro!$B$16*((Presion_cilindro!N627-(-M$4+Presion_cilindro!$B$34))/Presion_cilindro!$B$35)^(Presion_cilindro!$B$17+1)),0))/((Presion_cilindro!O627+Presion_cilindro!O628)/2)</f>
        <v>2.8116852266953374</v>
      </c>
      <c r="N636" s="27">
        <f>N635*(Presion_cilindro!O627/Presion_cilindro!O628)^Presion_cilindro!$B$9+10*(Presion_cilindro!$B$9-1)*Presion_cilindro!$B$33*(IF(Presion_cilindro!N628&gt;(-N$4+Presion_cilindro!$B$34),1-EXP(-Presion_cilindro!$B$16*((Presion_cilindro!N628-(-N$4+Presion_cilindro!$B$34))/Presion_cilindro!$B$35)^(Presion_cilindro!$B$17+1)),0)-IF(Presion_cilindro!N627&gt;(-N$4+Presion_cilindro!$B$34),1-EXP(-Presion_cilindro!$B$16*((Presion_cilindro!N627-(-N$4+Presion_cilindro!$B$34))/Presion_cilindro!$B$35)^(Presion_cilindro!$B$17+1)),0))/((Presion_cilindro!O627+Presion_cilindro!O628)/2)</f>
        <v>2.8928571741853708</v>
      </c>
    </row>
    <row r="637" spans="1:14" x14ac:dyDescent="0.25">
      <c r="A637" s="21">
        <f>Presion_cilindro!N629</f>
        <v>132.5</v>
      </c>
      <c r="B637" s="27">
        <f>B636*(Presion_cilindro!O628/Presion_cilindro!O629)^Presion_cilindro!$B$9+10*(Presion_cilindro!$B$9-1)*Presion_cilindro!$B$33*(IF(Presion_cilindro!N629&gt;(-B$4+Presion_cilindro!$B$34),1-EXP(-Presion_cilindro!$B$16*((Presion_cilindro!N629-(-B$4+Presion_cilindro!$B$34))/Presion_cilindro!$B$35)^(Presion_cilindro!$B$17+1)),0)-IF(Presion_cilindro!N628&gt;(-B$4+Presion_cilindro!$B$34),1-EXP(-Presion_cilindro!$B$16*((Presion_cilindro!N628-(-B$4+Presion_cilindro!$B$34))/Presion_cilindro!$B$35)^(Presion_cilindro!$B$17+1)),0))/((Presion_cilindro!O628+Presion_cilindro!O629)/2)</f>
        <v>3.0315180278700913</v>
      </c>
      <c r="C637" s="27">
        <f>C636*(Presion_cilindro!O628/Presion_cilindro!O629)^Presion_cilindro!$B$9+10*(Presion_cilindro!$B$9-1)*Presion_cilindro!$B$33*(IF(Presion_cilindro!N629&gt;(-C$4+Presion_cilindro!$B$34),1-EXP(-Presion_cilindro!$B$16*((Presion_cilindro!N629-(-C$4+Presion_cilindro!$B$34))/Presion_cilindro!$B$35)^(Presion_cilindro!$B$17+1)),0)-IF(Presion_cilindro!N628&gt;(-C$4+Presion_cilindro!$B$34),1-EXP(-Presion_cilindro!$B$16*((Presion_cilindro!N628-(-C$4+Presion_cilindro!$B$34))/Presion_cilindro!$B$35)^(Presion_cilindro!$B$17+1)),0))/((Presion_cilindro!O628+Presion_cilindro!O629)/2)</f>
        <v>2.9383177598932622</v>
      </c>
      <c r="D637" s="27">
        <f>D636*(Presion_cilindro!O628/Presion_cilindro!O629)^Presion_cilindro!$B$9+10*(Presion_cilindro!$B$9-1)*Presion_cilindro!$B$33*(IF(Presion_cilindro!N629&gt;(-D$4+Presion_cilindro!$B$34),1-EXP(-Presion_cilindro!$B$16*((Presion_cilindro!N629-(-D$4+Presion_cilindro!$B$34))/Presion_cilindro!$B$35)^(Presion_cilindro!$B$17+1)),0)-IF(Presion_cilindro!N628&gt;(-D$4+Presion_cilindro!$B$34),1-EXP(-Presion_cilindro!$B$16*((Presion_cilindro!N628-(-D$4+Presion_cilindro!$B$34))/Presion_cilindro!$B$35)^(Presion_cilindro!$B$17+1)),0))/((Presion_cilindro!O628+Presion_cilindro!O629)/2)</f>
        <v>2.8515153299506184</v>
      </c>
      <c r="E637" s="27">
        <f>E636*(Presion_cilindro!O628/Presion_cilindro!O629)^Presion_cilindro!$B$9+10*(Presion_cilindro!$B$9-1)*Presion_cilindro!$B$33*(IF(Presion_cilindro!N629&gt;(-E$4+Presion_cilindro!$B$34),1-EXP(-Presion_cilindro!$B$16*((Presion_cilindro!N629-(-E$4+Presion_cilindro!$B$34))/Presion_cilindro!$B$35)^(Presion_cilindro!$B$17+1)),0)-IF(Presion_cilindro!N628&gt;(-E$4+Presion_cilindro!$B$34),1-EXP(-Presion_cilindro!$B$16*((Presion_cilindro!N628-(-E$4+Presion_cilindro!$B$34))/Presion_cilindro!$B$35)^(Presion_cilindro!$B$17+1)),0))/((Presion_cilindro!O628+Presion_cilindro!O629)/2)</f>
        <v>2.7743398971543369</v>
      </c>
      <c r="F637" s="27">
        <f>F636*(Presion_cilindro!O628/Presion_cilindro!O629)^Presion_cilindro!$B$9+10*(Presion_cilindro!$B$9-1)*Presion_cilindro!$B$33*(IF(Presion_cilindro!N629&gt;(-F$4+Presion_cilindro!$B$34),1-EXP(-Presion_cilindro!$B$16*((Presion_cilindro!N629-(-F$4+Presion_cilindro!$B$34))/Presion_cilindro!$B$35)^(Presion_cilindro!$B$17+1)),0)-IF(Presion_cilindro!N628&gt;(-F$4+Presion_cilindro!$B$34),1-EXP(-Presion_cilindro!$B$16*((Presion_cilindro!N628-(-F$4+Presion_cilindro!$B$34))/Presion_cilindro!$B$35)^(Presion_cilindro!$B$17+1)),0))/((Presion_cilindro!O628+Presion_cilindro!O629)/2)</f>
        <v>2.7103092521817902</v>
      </c>
      <c r="G637" s="27">
        <f>G636*(Presion_cilindro!O628/Presion_cilindro!O629)^Presion_cilindro!$B$9+10*(Presion_cilindro!$B$9-1)*Presion_cilindro!$B$33*(IF(Presion_cilindro!N629&gt;(-G$4+Presion_cilindro!$B$34),1-EXP(-Presion_cilindro!$B$16*((Presion_cilindro!N629-(-G$4+Presion_cilindro!$B$34))/Presion_cilindro!$B$35)^(Presion_cilindro!$B$17+1)),0)-IF(Presion_cilindro!N628&gt;(-G$4+Presion_cilindro!$B$34),1-EXP(-Presion_cilindro!$B$16*((Presion_cilindro!N628-(-G$4+Presion_cilindro!$B$34))/Presion_cilindro!$B$35)^(Presion_cilindro!$B$17+1)),0))/((Presion_cilindro!O628+Presion_cilindro!O629)/2)</f>
        <v>2.6628632959141232</v>
      </c>
      <c r="H637" s="27">
        <f>H636*(Presion_cilindro!O628/Presion_cilindro!O629)^Presion_cilindro!$B$9+10*(Presion_cilindro!$B$9-1)*Presion_cilindro!$B$33*(IF(Presion_cilindro!N629&gt;(-H$4+Presion_cilindro!$B$34),1-EXP(-Presion_cilindro!$B$16*((Presion_cilindro!N629-(-H$4+Presion_cilindro!$B$34))/Presion_cilindro!$B$35)^(Presion_cilindro!$B$17+1)),0)-IF(Presion_cilindro!N628&gt;(-H$4+Presion_cilindro!$B$34),1-EXP(-Presion_cilindro!$B$16*((Presion_cilindro!N628-(-H$4+Presion_cilindro!$B$34))/Presion_cilindro!$B$35)^(Presion_cilindro!$B$17+1)),0))/((Presion_cilindro!O628+Presion_cilindro!O629)/2)</f>
        <v>2.6348755560962585</v>
      </c>
      <c r="I637" s="27">
        <f>I636*(Presion_cilindro!O628/Presion_cilindro!O629)^Presion_cilindro!$B$9+10*(Presion_cilindro!$B$9-1)*Presion_cilindro!$B$33*(IF(Presion_cilindro!N629&gt;(-I$4+Presion_cilindro!$B$34),1-EXP(-Presion_cilindro!$B$16*((Presion_cilindro!N629-(-I$4+Presion_cilindro!$B$34))/Presion_cilindro!$B$35)^(Presion_cilindro!$B$17+1)),0)-IF(Presion_cilindro!N628&gt;(-I$4+Presion_cilindro!$B$34),1-EXP(-Presion_cilindro!$B$16*((Presion_cilindro!N628-(-I$4+Presion_cilindro!$B$34))/Presion_cilindro!$B$35)^(Presion_cilindro!$B$17+1)),0))/((Presion_cilindro!O628+Presion_cilindro!O629)/2)</f>
        <v>2.628162078115952</v>
      </c>
      <c r="J637" s="27">
        <f>J636*(Presion_cilindro!O628/Presion_cilindro!O629)^Presion_cilindro!$B$9+10*(Presion_cilindro!$B$9-1)*Presion_cilindro!$B$33*(IF(Presion_cilindro!N629&gt;(-J$4+Presion_cilindro!$B$34),1-EXP(-Presion_cilindro!$B$16*((Presion_cilindro!N629-(-J$4+Presion_cilindro!$B$34))/Presion_cilindro!$B$35)^(Presion_cilindro!$B$17+1)),0)-IF(Presion_cilindro!N628&gt;(-J$4+Presion_cilindro!$B$34),1-EXP(-Presion_cilindro!$B$16*((Presion_cilindro!N628-(-J$4+Presion_cilindro!$B$34))/Presion_cilindro!$B$35)^(Presion_cilindro!$B$17+1)),0))/((Presion_cilindro!O628+Presion_cilindro!O629)/2)</f>
        <v>2.6431409910162187</v>
      </c>
      <c r="K637" s="27">
        <f>K636*(Presion_cilindro!O628/Presion_cilindro!O629)^Presion_cilindro!$B$9+10*(Presion_cilindro!$B$9-1)*Presion_cilindro!$B$33*(IF(Presion_cilindro!N629&gt;(-K$4+Presion_cilindro!$B$34),1-EXP(-Presion_cilindro!$B$16*((Presion_cilindro!N629-(-K$4+Presion_cilindro!$B$34))/Presion_cilindro!$B$35)^(Presion_cilindro!$B$17+1)),0)-IF(Presion_cilindro!N628&gt;(-K$4+Presion_cilindro!$B$34),1-EXP(-Presion_cilindro!$B$16*((Presion_cilindro!N628-(-K$4+Presion_cilindro!$B$34))/Presion_cilindro!$B$35)^(Presion_cilindro!$B$17+1)),0))/((Presion_cilindro!O628+Presion_cilindro!O629)/2)</f>
        <v>2.6787599398267274</v>
      </c>
      <c r="L637" s="27">
        <f>L636*(Presion_cilindro!O628/Presion_cilindro!O629)^Presion_cilindro!$B$9+10*(Presion_cilindro!$B$9-1)*Presion_cilindro!$B$33*(IF(Presion_cilindro!N629&gt;(-L$4+Presion_cilindro!$B$34),1-EXP(-Presion_cilindro!$B$16*((Presion_cilindro!N629-(-L$4+Presion_cilindro!$B$34))/Presion_cilindro!$B$35)^(Presion_cilindro!$B$17+1)),0)-IF(Presion_cilindro!N628&gt;(-L$4+Presion_cilindro!$B$34),1-EXP(-Presion_cilindro!$B$16*((Presion_cilindro!N628-(-L$4+Presion_cilindro!$B$34))/Presion_cilindro!$B$35)^(Presion_cilindro!$B$17+1)),0))/((Presion_cilindro!O628+Presion_cilindro!O629)/2)</f>
        <v>2.7327136428403649</v>
      </c>
      <c r="M637" s="27">
        <f>M636*(Presion_cilindro!O628/Presion_cilindro!O629)^Presion_cilindro!$B$9+10*(Presion_cilindro!$B$9-1)*Presion_cilindro!$B$33*(IF(Presion_cilindro!N629&gt;(-M$4+Presion_cilindro!$B$34),1-EXP(-Presion_cilindro!$B$16*((Presion_cilindro!N629-(-M$4+Presion_cilindro!$B$34))/Presion_cilindro!$B$35)^(Presion_cilindro!$B$17+1)),0)-IF(Presion_cilindro!N628&gt;(-M$4+Presion_cilindro!$B$34),1-EXP(-Presion_cilindro!$B$16*((Presion_cilindro!N628-(-M$4+Presion_cilindro!$B$34))/Presion_cilindro!$B$35)^(Presion_cilindro!$B$17+1)),0))/((Presion_cilindro!O628+Presion_cilindro!O629)/2)</f>
        <v>2.8018692876074875</v>
      </c>
      <c r="N637" s="27">
        <f>N636*(Presion_cilindro!O628/Presion_cilindro!O629)^Presion_cilindro!$B$9+10*(Presion_cilindro!$B$9-1)*Presion_cilindro!$B$33*(IF(Presion_cilindro!N629&gt;(-N$4+Presion_cilindro!$B$34),1-EXP(-Presion_cilindro!$B$16*((Presion_cilindro!N629-(-N$4+Presion_cilindro!$B$34))/Presion_cilindro!$B$35)^(Presion_cilindro!$B$17+1)),0)-IF(Presion_cilindro!N628&gt;(-N$4+Presion_cilindro!$B$34),1-EXP(-Presion_cilindro!$B$16*((Presion_cilindro!N628-(-N$4+Presion_cilindro!$B$34))/Presion_cilindro!$B$35)^(Presion_cilindro!$B$17+1)),0))/((Presion_cilindro!O628+Presion_cilindro!O629)/2)</f>
        <v>2.8827578538410989</v>
      </c>
    </row>
    <row r="638" spans="1:14" x14ac:dyDescent="0.25">
      <c r="A638" s="21">
        <f>Presion_cilindro!N630</f>
        <v>133</v>
      </c>
      <c r="B638" s="27">
        <f>B637*(Presion_cilindro!O629/Presion_cilindro!O630)^Presion_cilindro!$B$9+10*(Presion_cilindro!$B$9-1)*Presion_cilindro!$B$33*(IF(Presion_cilindro!N630&gt;(-B$4+Presion_cilindro!$B$34),1-EXP(-Presion_cilindro!$B$16*((Presion_cilindro!N630-(-B$4+Presion_cilindro!$B$34))/Presion_cilindro!$B$35)^(Presion_cilindro!$B$17+1)),0)-IF(Presion_cilindro!N629&gt;(-B$4+Presion_cilindro!$B$34),1-EXP(-Presion_cilindro!$B$16*((Presion_cilindro!N629-(-B$4+Presion_cilindro!$B$34))/Presion_cilindro!$B$35)^(Presion_cilindro!$B$17+1)),0))/((Presion_cilindro!O629+Presion_cilindro!O630)/2)</f>
        <v>3.0210696339728131</v>
      </c>
      <c r="C638" s="27">
        <f>C637*(Presion_cilindro!O629/Presion_cilindro!O630)^Presion_cilindro!$B$9+10*(Presion_cilindro!$B$9-1)*Presion_cilindro!$B$33*(IF(Presion_cilindro!N630&gt;(-C$4+Presion_cilindro!$B$34),1-EXP(-Presion_cilindro!$B$16*((Presion_cilindro!N630-(-C$4+Presion_cilindro!$B$34))/Presion_cilindro!$B$35)^(Presion_cilindro!$B$17+1)),0)-IF(Presion_cilindro!N629&gt;(-C$4+Presion_cilindro!$B$34),1-EXP(-Presion_cilindro!$B$16*((Presion_cilindro!N629-(-C$4+Presion_cilindro!$B$34))/Presion_cilindro!$B$35)^(Presion_cilindro!$B$17+1)),0))/((Presion_cilindro!O629+Presion_cilindro!O630)/2)</f>
        <v>2.928190588928588</v>
      </c>
      <c r="D638" s="27">
        <f>D637*(Presion_cilindro!O629/Presion_cilindro!O630)^Presion_cilindro!$B$9+10*(Presion_cilindro!$B$9-1)*Presion_cilindro!$B$33*(IF(Presion_cilindro!N630&gt;(-D$4+Presion_cilindro!$B$34),1-EXP(-Presion_cilindro!$B$16*((Presion_cilindro!N630-(-D$4+Presion_cilindro!$B$34))/Presion_cilindro!$B$35)^(Presion_cilindro!$B$17+1)),0)-IF(Presion_cilindro!N629&gt;(-D$4+Presion_cilindro!$B$34),1-EXP(-Presion_cilindro!$B$16*((Presion_cilindro!N629-(-D$4+Presion_cilindro!$B$34))/Presion_cilindro!$B$35)^(Presion_cilindro!$B$17+1)),0))/((Presion_cilindro!O629+Presion_cilindro!O630)/2)</f>
        <v>2.8416873312062458</v>
      </c>
      <c r="E638" s="27">
        <f>E637*(Presion_cilindro!O629/Presion_cilindro!O630)^Presion_cilindro!$B$9+10*(Presion_cilindro!$B$9-1)*Presion_cilindro!$B$33*(IF(Presion_cilindro!N630&gt;(-E$4+Presion_cilindro!$B$34),1-EXP(-Presion_cilindro!$B$16*((Presion_cilindro!N630-(-E$4+Presion_cilindro!$B$34))/Presion_cilindro!$B$35)^(Presion_cilindro!$B$17+1)),0)-IF(Presion_cilindro!N629&gt;(-E$4+Presion_cilindro!$B$34),1-EXP(-Presion_cilindro!$B$16*((Presion_cilindro!N629-(-E$4+Presion_cilindro!$B$34))/Presion_cilindro!$B$35)^(Presion_cilindro!$B$17+1)),0))/((Presion_cilindro!O629+Presion_cilindro!O630)/2)</f>
        <v>2.7647778903366609</v>
      </c>
      <c r="F638" s="27">
        <f>F637*(Presion_cilindro!O629/Presion_cilindro!O630)^Presion_cilindro!$B$9+10*(Presion_cilindro!$B$9-1)*Presion_cilindro!$B$33*(IF(Presion_cilindro!N630&gt;(-F$4+Presion_cilindro!$B$34),1-EXP(-Presion_cilindro!$B$16*((Presion_cilindro!N630-(-F$4+Presion_cilindro!$B$34))/Presion_cilindro!$B$35)^(Presion_cilindro!$B$17+1)),0)-IF(Presion_cilindro!N629&gt;(-F$4+Presion_cilindro!$B$34),1-EXP(-Presion_cilindro!$B$16*((Presion_cilindro!N629-(-F$4+Presion_cilindro!$B$34))/Presion_cilindro!$B$35)^(Presion_cilindro!$B$17+1)),0))/((Presion_cilindro!O629+Presion_cilindro!O630)/2)</f>
        <v>2.7009679326217912</v>
      </c>
      <c r="G638" s="27">
        <f>G637*(Presion_cilindro!O629/Presion_cilindro!O630)^Presion_cilindro!$B$9+10*(Presion_cilindro!$B$9-1)*Presion_cilindro!$B$33*(IF(Presion_cilindro!N630&gt;(-G$4+Presion_cilindro!$B$34),1-EXP(-Presion_cilindro!$B$16*((Presion_cilindro!N630-(-G$4+Presion_cilindro!$B$34))/Presion_cilindro!$B$35)^(Presion_cilindro!$B$17+1)),0)-IF(Presion_cilindro!N629&gt;(-G$4+Presion_cilindro!$B$34),1-EXP(-Presion_cilindro!$B$16*((Presion_cilindro!N629-(-G$4+Presion_cilindro!$B$34))/Presion_cilindro!$B$35)^(Presion_cilindro!$B$17+1)),0))/((Presion_cilindro!O629+Presion_cilindro!O630)/2)</f>
        <v>2.653685503021411</v>
      </c>
      <c r="H638" s="27">
        <f>H637*(Presion_cilindro!O629/Presion_cilindro!O630)^Presion_cilindro!$B$9+10*(Presion_cilindro!$B$9-1)*Presion_cilindro!$B$33*(IF(Presion_cilindro!N630&gt;(-H$4+Presion_cilindro!$B$34),1-EXP(-Presion_cilindro!$B$16*((Presion_cilindro!N630-(-H$4+Presion_cilindro!$B$34))/Presion_cilindro!$B$35)^(Presion_cilindro!$B$17+1)),0)-IF(Presion_cilindro!N629&gt;(-H$4+Presion_cilindro!$B$34),1-EXP(-Presion_cilindro!$B$16*((Presion_cilindro!N629-(-H$4+Presion_cilindro!$B$34))/Presion_cilindro!$B$35)^(Presion_cilindro!$B$17+1)),0))/((Presion_cilindro!O629+Presion_cilindro!O630)/2)</f>
        <v>2.6257942254139714</v>
      </c>
      <c r="I638" s="27">
        <f>I637*(Presion_cilindro!O629/Presion_cilindro!O630)^Presion_cilindro!$B$9+10*(Presion_cilindro!$B$9-1)*Presion_cilindro!$B$33*(IF(Presion_cilindro!N630&gt;(-I$4+Presion_cilindro!$B$34),1-EXP(-Presion_cilindro!$B$16*((Presion_cilindro!N630-(-I$4+Presion_cilindro!$B$34))/Presion_cilindro!$B$35)^(Presion_cilindro!$B$17+1)),0)-IF(Presion_cilindro!N629&gt;(-I$4+Presion_cilindro!$B$34),1-EXP(-Presion_cilindro!$B$16*((Presion_cilindro!N629-(-I$4+Presion_cilindro!$B$34))/Presion_cilindro!$B$35)^(Presion_cilindro!$B$17+1)),0))/((Presion_cilindro!O629+Presion_cilindro!O630)/2)</f>
        <v>2.619103886026843</v>
      </c>
      <c r="J638" s="27">
        <f>J637*(Presion_cilindro!O629/Presion_cilindro!O630)^Presion_cilindro!$B$9+10*(Presion_cilindro!$B$9-1)*Presion_cilindro!$B$33*(IF(Presion_cilindro!N630&gt;(-J$4+Presion_cilindro!$B$34),1-EXP(-Presion_cilindro!$B$16*((Presion_cilindro!N630-(-J$4+Presion_cilindro!$B$34))/Presion_cilindro!$B$35)^(Presion_cilindro!$B$17+1)),0)-IF(Presion_cilindro!N629&gt;(-J$4+Presion_cilindro!$B$34),1-EXP(-Presion_cilindro!$B$16*((Presion_cilindro!N629-(-J$4+Presion_cilindro!$B$34))/Presion_cilindro!$B$35)^(Presion_cilindro!$B$17+1)),0))/((Presion_cilindro!O629+Presion_cilindro!O630)/2)</f>
        <v>2.6340311727844656</v>
      </c>
      <c r="K638" s="27">
        <f>K637*(Presion_cilindro!O629/Presion_cilindro!O630)^Presion_cilindro!$B$9+10*(Presion_cilindro!$B$9-1)*Presion_cilindro!$B$33*(IF(Presion_cilindro!N630&gt;(-K$4+Presion_cilindro!$B$34),1-EXP(-Presion_cilindro!$B$16*((Presion_cilindro!N630-(-K$4+Presion_cilindro!$B$34))/Presion_cilindro!$B$35)^(Presion_cilindro!$B$17+1)),0)-IF(Presion_cilindro!N629&gt;(-K$4+Presion_cilindro!$B$34),1-EXP(-Presion_cilindro!$B$16*((Presion_cilindro!N629-(-K$4+Presion_cilindro!$B$34))/Presion_cilindro!$B$35)^(Presion_cilindro!$B$17+1)),0))/((Presion_cilindro!O629+Presion_cilindro!O630)/2)</f>
        <v>2.6695273577506042</v>
      </c>
      <c r="L638" s="27">
        <f>L637*(Presion_cilindro!O629/Presion_cilindro!O630)^Presion_cilindro!$B$9+10*(Presion_cilindro!$B$9-1)*Presion_cilindro!$B$33*(IF(Presion_cilindro!N630&gt;(-L$4+Presion_cilindro!$B$34),1-EXP(-Presion_cilindro!$B$16*((Presion_cilindro!N630-(-L$4+Presion_cilindro!$B$34))/Presion_cilindro!$B$35)^(Presion_cilindro!$B$17+1)),0)-IF(Presion_cilindro!N629&gt;(-L$4+Presion_cilindro!$B$34),1-EXP(-Presion_cilindro!$B$16*((Presion_cilindro!N629-(-L$4+Presion_cilindro!$B$34))/Presion_cilindro!$B$35)^(Presion_cilindro!$B$17+1)),0))/((Presion_cilindro!O629+Presion_cilindro!O630)/2)</f>
        <v>2.7232951045745963</v>
      </c>
      <c r="M638" s="27">
        <f>M637*(Presion_cilindro!O629/Presion_cilindro!O630)^Presion_cilindro!$B$9+10*(Presion_cilindro!$B$9-1)*Presion_cilindro!$B$33*(IF(Presion_cilindro!N630&gt;(-M$4+Presion_cilindro!$B$34),1-EXP(-Presion_cilindro!$B$16*((Presion_cilindro!N630-(-M$4+Presion_cilindro!$B$34))/Presion_cilindro!$B$35)^(Presion_cilindro!$B$17+1)),0)-IF(Presion_cilindro!N629&gt;(-M$4+Presion_cilindro!$B$34),1-EXP(-Presion_cilindro!$B$16*((Presion_cilindro!N629-(-M$4+Presion_cilindro!$B$34))/Presion_cilindro!$B$35)^(Presion_cilindro!$B$17+1)),0))/((Presion_cilindro!O629+Presion_cilindro!O630)/2)</f>
        <v>2.7922123983208431</v>
      </c>
      <c r="N638" s="27">
        <f>N637*(Presion_cilindro!O629/Presion_cilindro!O630)^Presion_cilindro!$B$9+10*(Presion_cilindro!$B$9-1)*Presion_cilindro!$B$33*(IF(Presion_cilindro!N630&gt;(-N$4+Presion_cilindro!$B$34),1-EXP(-Presion_cilindro!$B$16*((Presion_cilindro!N630-(-N$4+Presion_cilindro!$B$34))/Presion_cilindro!$B$35)^(Presion_cilindro!$B$17+1)),0)-IF(Presion_cilindro!N629&gt;(-N$4+Presion_cilindro!$B$34),1-EXP(-Presion_cilindro!$B$16*((Presion_cilindro!N629-(-N$4+Presion_cilindro!$B$34))/Presion_cilindro!$B$35)^(Presion_cilindro!$B$17+1)),0))/((Presion_cilindro!O629+Presion_cilindro!O630)/2)</f>
        <v>2.8728221749863154</v>
      </c>
    </row>
    <row r="639" spans="1:14" x14ac:dyDescent="0.25">
      <c r="A639" s="21">
        <f>Presion_cilindro!N631</f>
        <v>133.5</v>
      </c>
      <c r="B639" s="27">
        <f>B638*(Presion_cilindro!O630/Presion_cilindro!O631)^Presion_cilindro!$B$9+10*(Presion_cilindro!$B$9-1)*Presion_cilindro!$B$33*(IF(Presion_cilindro!N631&gt;(-B$4+Presion_cilindro!$B$34),1-EXP(-Presion_cilindro!$B$16*((Presion_cilindro!N631-(-B$4+Presion_cilindro!$B$34))/Presion_cilindro!$B$35)^(Presion_cilindro!$B$17+1)),0)-IF(Presion_cilindro!N630&gt;(-B$4+Presion_cilindro!$B$34),1-EXP(-Presion_cilindro!$B$16*((Presion_cilindro!N630-(-B$4+Presion_cilindro!$B$34))/Presion_cilindro!$B$35)^(Presion_cilindro!$B$17+1)),0))/((Presion_cilindro!O630+Presion_cilindro!O631)/2)</f>
        <v>3.0107910269656979</v>
      </c>
      <c r="C639" s="27">
        <f>C638*(Presion_cilindro!O630/Presion_cilindro!O631)^Presion_cilindro!$B$9+10*(Presion_cilindro!$B$9-1)*Presion_cilindro!$B$33*(IF(Presion_cilindro!N631&gt;(-C$4+Presion_cilindro!$B$34),1-EXP(-Presion_cilindro!$B$16*((Presion_cilindro!N631-(-C$4+Presion_cilindro!$B$34))/Presion_cilindro!$B$35)^(Presion_cilindro!$B$17+1)),0)-IF(Presion_cilindro!N630&gt;(-C$4+Presion_cilindro!$B$34),1-EXP(-Presion_cilindro!$B$16*((Presion_cilindro!N630-(-C$4+Presion_cilindro!$B$34))/Presion_cilindro!$B$35)^(Presion_cilindro!$B$17+1)),0))/((Presion_cilindro!O630+Presion_cilindro!O631)/2)</f>
        <v>2.9182279849663777</v>
      </c>
      <c r="D639" s="27">
        <f>D638*(Presion_cilindro!O630/Presion_cilindro!O631)^Presion_cilindro!$B$9+10*(Presion_cilindro!$B$9-1)*Presion_cilindro!$B$33*(IF(Presion_cilindro!N631&gt;(-D$4+Presion_cilindro!$B$34),1-EXP(-Presion_cilindro!$B$16*((Presion_cilindro!N631-(-D$4+Presion_cilindro!$B$34))/Presion_cilindro!$B$35)^(Presion_cilindro!$B$17+1)),0)-IF(Presion_cilindro!N630&gt;(-D$4+Presion_cilindro!$B$34),1-EXP(-Presion_cilindro!$B$16*((Presion_cilindro!N630-(-D$4+Presion_cilindro!$B$34))/Presion_cilindro!$B$35)^(Presion_cilindro!$B$17+1)),0))/((Presion_cilindro!O630+Presion_cilindro!O631)/2)</f>
        <v>2.832019037901746</v>
      </c>
      <c r="E639" s="27">
        <f>E638*(Presion_cilindro!O630/Presion_cilindro!O631)^Presion_cilindro!$B$9+10*(Presion_cilindro!$B$9-1)*Presion_cilindro!$B$33*(IF(Presion_cilindro!N631&gt;(-E$4+Presion_cilindro!$B$34),1-EXP(-Presion_cilindro!$B$16*((Presion_cilindro!N631-(-E$4+Presion_cilindro!$B$34))/Presion_cilindro!$B$35)^(Presion_cilindro!$B$17+1)),0)-IF(Presion_cilindro!N630&gt;(-E$4+Presion_cilindro!$B$34),1-EXP(-Presion_cilindro!$B$16*((Presion_cilindro!N630-(-E$4+Presion_cilindro!$B$34))/Presion_cilindro!$B$35)^(Presion_cilindro!$B$17+1)),0))/((Presion_cilindro!O630+Presion_cilindro!O631)/2)</f>
        <v>2.7553712665775913</v>
      </c>
      <c r="F639" s="27">
        <f>F638*(Presion_cilindro!O630/Presion_cilindro!O631)^Presion_cilindro!$B$9+10*(Presion_cilindro!$B$9-1)*Presion_cilindro!$B$33*(IF(Presion_cilindro!N631&gt;(-F$4+Presion_cilindro!$B$34),1-EXP(-Presion_cilindro!$B$16*((Presion_cilindro!N631-(-F$4+Presion_cilindro!$B$34))/Presion_cilindro!$B$35)^(Presion_cilindro!$B$17+1)),0)-IF(Presion_cilindro!N630&gt;(-F$4+Presion_cilindro!$B$34),1-EXP(-Presion_cilindro!$B$16*((Presion_cilindro!N630-(-F$4+Presion_cilindro!$B$34))/Presion_cilindro!$B$35)^(Presion_cilindro!$B$17+1)),0))/((Presion_cilindro!O630+Presion_cilindro!O631)/2)</f>
        <v>2.6917784099421262</v>
      </c>
      <c r="G639" s="27">
        <f>G638*(Presion_cilindro!O630/Presion_cilindro!O631)^Presion_cilindro!$B$9+10*(Presion_cilindro!$B$9-1)*Presion_cilindro!$B$33*(IF(Presion_cilindro!N631&gt;(-G$4+Presion_cilindro!$B$34),1-EXP(-Presion_cilindro!$B$16*((Presion_cilindro!N631-(-G$4+Presion_cilindro!$B$34))/Presion_cilindro!$B$35)^(Presion_cilindro!$B$17+1)),0)-IF(Presion_cilindro!N630&gt;(-G$4+Presion_cilindro!$B$34),1-EXP(-Presion_cilindro!$B$16*((Presion_cilindro!N630-(-G$4+Presion_cilindro!$B$34))/Presion_cilindro!$B$35)^(Presion_cilindro!$B$17+1)),0))/((Presion_cilindro!O630+Presion_cilindro!O631)/2)</f>
        <v>2.6446568496930309</v>
      </c>
      <c r="H639" s="27">
        <f>H638*(Presion_cilindro!O630/Presion_cilindro!O631)^Presion_cilindro!$B$9+10*(Presion_cilindro!$B$9-1)*Presion_cilindro!$B$33*(IF(Presion_cilindro!N631&gt;(-H$4+Presion_cilindro!$B$34),1-EXP(-Presion_cilindro!$B$16*((Presion_cilindro!N631-(-H$4+Presion_cilindro!$B$34))/Presion_cilindro!$B$35)^(Presion_cilindro!$B$17+1)),0)-IF(Presion_cilindro!N630&gt;(-H$4+Presion_cilindro!$B$34),1-EXP(-Presion_cilindro!$B$16*((Presion_cilindro!N630-(-H$4+Presion_cilindro!$B$34))/Presion_cilindro!$B$35)^(Presion_cilindro!$B$17+1)),0))/((Presion_cilindro!O630+Presion_cilindro!O631)/2)</f>
        <v>2.6168604667805795</v>
      </c>
      <c r="I639" s="27">
        <f>I638*(Presion_cilindro!O630/Presion_cilindro!O631)^Presion_cilindro!$B$9+10*(Presion_cilindro!$B$9-1)*Presion_cilindro!$B$33*(IF(Presion_cilindro!N631&gt;(-I$4+Presion_cilindro!$B$34),1-EXP(-Presion_cilindro!$B$16*((Presion_cilindro!N631-(-I$4+Presion_cilindro!$B$34))/Presion_cilindro!$B$35)^(Presion_cilindro!$B$17+1)),0)-IF(Presion_cilindro!N630&gt;(-I$4+Presion_cilindro!$B$34),1-EXP(-Presion_cilindro!$B$16*((Presion_cilindro!N630-(-I$4+Presion_cilindro!$B$34))/Presion_cilindro!$B$35)^(Presion_cilindro!$B$17+1)),0))/((Presion_cilindro!O630+Presion_cilindro!O631)/2)</f>
        <v>2.6101928899834062</v>
      </c>
      <c r="J639" s="27">
        <f>J638*(Presion_cilindro!O630/Presion_cilindro!O631)^Presion_cilindro!$B$9+10*(Presion_cilindro!$B$9-1)*Presion_cilindro!$B$33*(IF(Presion_cilindro!N631&gt;(-J$4+Presion_cilindro!$B$34),1-EXP(-Presion_cilindro!$B$16*((Presion_cilindro!N631-(-J$4+Presion_cilindro!$B$34))/Presion_cilindro!$B$35)^(Presion_cilindro!$B$17+1)),0)-IF(Presion_cilindro!N630&gt;(-J$4+Presion_cilindro!$B$34),1-EXP(-Presion_cilindro!$B$16*((Presion_cilindro!N630-(-J$4+Presion_cilindro!$B$34))/Presion_cilindro!$B$35)^(Presion_cilindro!$B$17+1)),0))/((Presion_cilindro!O630+Presion_cilindro!O631)/2)</f>
        <v>2.6250693895256205</v>
      </c>
      <c r="K639" s="27">
        <f>K638*(Presion_cilindro!O630/Presion_cilindro!O631)^Presion_cilindro!$B$9+10*(Presion_cilindro!$B$9-1)*Presion_cilindro!$B$33*(IF(Presion_cilindro!N631&gt;(-K$4+Presion_cilindro!$B$34),1-EXP(-Presion_cilindro!$B$16*((Presion_cilindro!N631-(-K$4+Presion_cilindro!$B$34))/Presion_cilindro!$B$35)^(Presion_cilindro!$B$17+1)),0)-IF(Presion_cilindro!N630&gt;(-K$4+Presion_cilindro!$B$34),1-EXP(-Presion_cilindro!$B$16*((Presion_cilindro!N630-(-K$4+Presion_cilindro!$B$34))/Presion_cilindro!$B$35)^(Presion_cilindro!$B$17+1)),0))/((Presion_cilindro!O630+Presion_cilindro!O631)/2)</f>
        <v>2.6604448055656094</v>
      </c>
      <c r="L639" s="27">
        <f>L638*(Presion_cilindro!O630/Presion_cilindro!O631)^Presion_cilindro!$B$9+10*(Presion_cilindro!$B$9-1)*Presion_cilindro!$B$33*(IF(Presion_cilindro!N631&gt;(-L$4+Presion_cilindro!$B$34),1-EXP(-Presion_cilindro!$B$16*((Presion_cilindro!N631-(-L$4+Presion_cilindro!$B$34))/Presion_cilindro!$B$35)^(Presion_cilindro!$B$17+1)),0)-IF(Presion_cilindro!N630&gt;(-L$4+Presion_cilindro!$B$34),1-EXP(-Presion_cilindro!$B$16*((Presion_cilindro!N630-(-L$4+Presion_cilindro!$B$34))/Presion_cilindro!$B$35)^(Presion_cilindro!$B$17+1)),0))/((Presion_cilindro!O630+Presion_cilindro!O631)/2)</f>
        <v>2.7140296179967471</v>
      </c>
      <c r="M639" s="27">
        <f>M638*(Presion_cilindro!O630/Presion_cilindro!O631)^Presion_cilindro!$B$9+10*(Presion_cilindro!$B$9-1)*Presion_cilindro!$B$33*(IF(Presion_cilindro!N631&gt;(-M$4+Presion_cilindro!$B$34),1-EXP(-Presion_cilindro!$B$16*((Presion_cilindro!N631-(-M$4+Presion_cilindro!$B$34))/Presion_cilindro!$B$35)^(Presion_cilindro!$B$17+1)),0)-IF(Presion_cilindro!N630&gt;(-M$4+Presion_cilindro!$B$34),1-EXP(-Presion_cilindro!$B$16*((Presion_cilindro!N630-(-M$4+Presion_cilindro!$B$34))/Presion_cilindro!$B$35)^(Presion_cilindro!$B$17+1)),0))/((Presion_cilindro!O630+Presion_cilindro!O631)/2)</f>
        <v>2.7827124339373697</v>
      </c>
      <c r="N639" s="27">
        <f>N638*(Presion_cilindro!O630/Presion_cilindro!O631)^Presion_cilindro!$B$9+10*(Presion_cilindro!$B$9-1)*Presion_cilindro!$B$33*(IF(Presion_cilindro!N631&gt;(-N$4+Presion_cilindro!$B$34),1-EXP(-Presion_cilindro!$B$16*((Presion_cilindro!N631-(-N$4+Presion_cilindro!$B$34))/Presion_cilindro!$B$35)^(Presion_cilindro!$B$17+1)),0)-IF(Presion_cilindro!N630&gt;(-N$4+Presion_cilindro!$B$34),1-EXP(-Presion_cilindro!$B$16*((Presion_cilindro!N630-(-N$4+Presion_cilindro!$B$34))/Presion_cilindro!$B$35)^(Presion_cilindro!$B$17+1)),0))/((Presion_cilindro!O630+Presion_cilindro!O631)/2)</f>
        <v>2.8630479513782419</v>
      </c>
    </row>
    <row r="640" spans="1:14" x14ac:dyDescent="0.25">
      <c r="A640" s="21">
        <f>Presion_cilindro!N632</f>
        <v>134</v>
      </c>
      <c r="B640" s="27">
        <f>B639*(Presion_cilindro!O631/Presion_cilindro!O632)^Presion_cilindro!$B$9+10*(Presion_cilindro!$B$9-1)*Presion_cilindro!$B$33*(IF(Presion_cilindro!N632&gt;(-B$4+Presion_cilindro!$B$34),1-EXP(-Presion_cilindro!$B$16*((Presion_cilindro!N632-(-B$4+Presion_cilindro!$B$34))/Presion_cilindro!$B$35)^(Presion_cilindro!$B$17+1)),0)-IF(Presion_cilindro!N631&gt;(-B$4+Presion_cilindro!$B$34),1-EXP(-Presion_cilindro!$B$16*((Presion_cilindro!N631-(-B$4+Presion_cilindro!$B$34))/Presion_cilindro!$B$35)^(Presion_cilindro!$B$17+1)),0))/((Presion_cilindro!O631+Presion_cilindro!O632)/2)</f>
        <v>3.0006799546039211</v>
      </c>
      <c r="C640" s="27">
        <f>C639*(Presion_cilindro!O631/Presion_cilindro!O632)^Presion_cilindro!$B$9+10*(Presion_cilindro!$B$9-1)*Presion_cilindro!$B$33*(IF(Presion_cilindro!N632&gt;(-C$4+Presion_cilindro!$B$34),1-EXP(-Presion_cilindro!$B$16*((Presion_cilindro!N632-(-C$4+Presion_cilindro!$B$34))/Presion_cilindro!$B$35)^(Presion_cilindro!$B$17+1)),0)-IF(Presion_cilindro!N631&gt;(-C$4+Presion_cilindro!$B$34),1-EXP(-Presion_cilindro!$B$16*((Presion_cilindro!N631-(-C$4+Presion_cilindro!$B$34))/Presion_cilindro!$B$35)^(Presion_cilindro!$B$17+1)),0))/((Presion_cilindro!O631+Presion_cilindro!O632)/2)</f>
        <v>2.9084277650042853</v>
      </c>
      <c r="D640" s="27">
        <f>D639*(Presion_cilindro!O631/Presion_cilindro!O632)^Presion_cilindro!$B$9+10*(Presion_cilindro!$B$9-1)*Presion_cilindro!$B$33*(IF(Presion_cilindro!N632&gt;(-D$4+Presion_cilindro!$B$34),1-EXP(-Presion_cilindro!$B$16*((Presion_cilindro!N632-(-D$4+Presion_cilindro!$B$34))/Presion_cilindro!$B$35)^(Presion_cilindro!$B$17+1)),0)-IF(Presion_cilindro!N631&gt;(-D$4+Presion_cilindro!$B$34),1-EXP(-Presion_cilindro!$B$16*((Presion_cilindro!N631-(-D$4+Presion_cilindro!$B$34))/Presion_cilindro!$B$35)^(Presion_cilindro!$B$17+1)),0))/((Presion_cilindro!O631+Presion_cilindro!O632)/2)</f>
        <v>2.8225083315240229</v>
      </c>
      <c r="E640" s="27">
        <f>E639*(Presion_cilindro!O631/Presion_cilindro!O632)^Presion_cilindro!$B$9+10*(Presion_cilindro!$B$9-1)*Presion_cilindro!$B$33*(IF(Presion_cilindro!N632&gt;(-E$4+Presion_cilindro!$B$34),1-EXP(-Presion_cilindro!$B$16*((Presion_cilindro!N632-(-E$4+Presion_cilindro!$B$34))/Presion_cilindro!$B$35)^(Presion_cilindro!$B$17+1)),0)-IF(Presion_cilindro!N631&gt;(-E$4+Presion_cilindro!$B$34),1-EXP(-Presion_cilindro!$B$16*((Presion_cilindro!N631-(-E$4+Presion_cilindro!$B$34))/Presion_cilindro!$B$35)^(Presion_cilindro!$B$17+1)),0))/((Presion_cilindro!O631+Presion_cilindro!O632)/2)</f>
        <v>2.7461179647009732</v>
      </c>
      <c r="F640" s="27">
        <f>F639*(Presion_cilindro!O631/Presion_cilindro!O632)^Presion_cilindro!$B$9+10*(Presion_cilindro!$B$9-1)*Presion_cilindro!$B$33*(IF(Presion_cilindro!N632&gt;(-F$4+Presion_cilindro!$B$34),1-EXP(-Presion_cilindro!$B$16*((Presion_cilindro!N632-(-F$4+Presion_cilindro!$B$34))/Presion_cilindro!$B$35)^(Presion_cilindro!$B$17+1)),0)-IF(Presion_cilindro!N631&gt;(-F$4+Presion_cilindro!$B$34),1-EXP(-Presion_cilindro!$B$16*((Presion_cilindro!N631-(-F$4+Presion_cilindro!$B$34))/Presion_cilindro!$B$35)^(Presion_cilindro!$B$17+1)),0))/((Presion_cilindro!O631+Presion_cilindro!O632)/2)</f>
        <v>2.6827386705377534</v>
      </c>
      <c r="G640" s="27">
        <f>G639*(Presion_cilindro!O631/Presion_cilindro!O632)^Presion_cilindro!$B$9+10*(Presion_cilindro!$B$9-1)*Presion_cilindro!$B$33*(IF(Presion_cilindro!N632&gt;(-G$4+Presion_cilindro!$B$34),1-EXP(-Presion_cilindro!$B$16*((Presion_cilindro!N632-(-G$4+Presion_cilindro!$B$34))/Presion_cilindro!$B$35)^(Presion_cilindro!$B$17+1)),0)-IF(Presion_cilindro!N631&gt;(-G$4+Presion_cilindro!$B$34),1-EXP(-Presion_cilindro!$B$16*((Presion_cilindro!N631-(-G$4+Presion_cilindro!$B$34))/Presion_cilindro!$B$35)^(Presion_cilindro!$B$17+1)),0))/((Presion_cilindro!O631+Presion_cilindro!O632)/2)</f>
        <v>2.6357753575735781</v>
      </c>
      <c r="H640" s="27">
        <f>H639*(Presion_cilindro!O631/Presion_cilindro!O632)^Presion_cilindro!$B$9+10*(Presion_cilindro!$B$9-1)*Presion_cilindro!$B$33*(IF(Presion_cilindro!N632&gt;(-H$4+Presion_cilindro!$B$34),1-EXP(-Presion_cilindro!$B$16*((Presion_cilindro!N632-(-H$4+Presion_cilindro!$B$34))/Presion_cilindro!$B$35)^(Presion_cilindro!$B$17+1)),0)-IF(Presion_cilindro!N631&gt;(-H$4+Presion_cilindro!$B$34),1-EXP(-Presion_cilindro!$B$16*((Presion_cilindro!N631-(-H$4+Presion_cilindro!$B$34))/Presion_cilindro!$B$35)^(Presion_cilindro!$B$17+1)),0))/((Presion_cilindro!O631+Presion_cilindro!O632)/2)</f>
        <v>2.6080723226339702</v>
      </c>
      <c r="I640" s="27">
        <f>I639*(Presion_cilindro!O631/Presion_cilindro!O632)^Presion_cilindro!$B$9+10*(Presion_cilindro!$B$9-1)*Presion_cilindro!$B$33*(IF(Presion_cilindro!N632&gt;(-I$4+Presion_cilindro!$B$34),1-EXP(-Presion_cilindro!$B$16*((Presion_cilindro!N632-(-I$4+Presion_cilindro!$B$34))/Presion_cilindro!$B$35)^(Presion_cilindro!$B$17+1)),0)-IF(Presion_cilindro!N631&gt;(-I$4+Presion_cilindro!$B$34),1-EXP(-Presion_cilindro!$B$16*((Presion_cilindro!N631-(-I$4+Presion_cilindro!$B$34))/Presion_cilindro!$B$35)^(Presion_cilindro!$B$17+1)),0))/((Presion_cilindro!O631+Presion_cilindro!O632)/2)</f>
        <v>2.6014271374112603</v>
      </c>
      <c r="J640" s="27">
        <f>J639*(Presion_cilindro!O631/Presion_cilindro!O632)^Presion_cilindro!$B$9+10*(Presion_cilindro!$B$9-1)*Presion_cilindro!$B$33*(IF(Presion_cilindro!N632&gt;(-J$4+Presion_cilindro!$B$34),1-EXP(-Presion_cilindro!$B$16*((Presion_cilindro!N632-(-J$4+Presion_cilindro!$B$34))/Presion_cilindro!$B$35)^(Presion_cilindro!$B$17+1)),0)-IF(Presion_cilindro!N631&gt;(-J$4+Presion_cilindro!$B$34),1-EXP(-Presion_cilindro!$B$16*((Presion_cilindro!N631-(-J$4+Presion_cilindro!$B$34))/Presion_cilindro!$B$35)^(Presion_cilindro!$B$17+1)),0))/((Presion_cilindro!O631+Presion_cilindro!O632)/2)</f>
        <v>2.6162536775368253</v>
      </c>
      <c r="K640" s="27">
        <f>K639*(Presion_cilindro!O631/Presion_cilindro!O632)^Presion_cilindro!$B$9+10*(Presion_cilindro!$B$9-1)*Presion_cilindro!$B$33*(IF(Presion_cilindro!N632&gt;(-K$4+Presion_cilindro!$B$34),1-EXP(-Presion_cilindro!$B$16*((Presion_cilindro!N632-(-K$4+Presion_cilindro!$B$34))/Presion_cilindro!$B$35)^(Presion_cilindro!$B$17+1)),0)-IF(Presion_cilindro!N631&gt;(-K$4+Presion_cilindro!$B$34),1-EXP(-Presion_cilindro!$B$16*((Presion_cilindro!N631-(-K$4+Presion_cilindro!$B$34))/Presion_cilindro!$B$35)^(Presion_cilindro!$B$17+1)),0))/((Presion_cilindro!O631+Presion_cilindro!O632)/2)</f>
        <v>2.651510293106039</v>
      </c>
      <c r="L640" s="27">
        <f>L639*(Presion_cilindro!O631/Presion_cilindro!O632)^Presion_cilindro!$B$9+10*(Presion_cilindro!$B$9-1)*Presion_cilindro!$B$33*(IF(Presion_cilindro!N632&gt;(-L$4+Presion_cilindro!$B$34),1-EXP(-Presion_cilindro!$B$16*((Presion_cilindro!N632-(-L$4+Presion_cilindro!$B$34))/Presion_cilindro!$B$35)^(Presion_cilindro!$B$17+1)),0)-IF(Presion_cilindro!N631&gt;(-L$4+Presion_cilindro!$B$34),1-EXP(-Presion_cilindro!$B$16*((Presion_cilindro!N631-(-L$4+Presion_cilindro!$B$34))/Presion_cilindro!$B$35)^(Presion_cilindro!$B$17+1)),0))/((Presion_cilindro!O631+Presion_cilindro!O632)/2)</f>
        <v>2.704915152856592</v>
      </c>
      <c r="M640" s="27">
        <f>M639*(Presion_cilindro!O631/Presion_cilindro!O632)^Presion_cilindro!$B$9+10*(Presion_cilindro!$B$9-1)*Presion_cilindro!$B$33*(IF(Presion_cilindro!N632&gt;(-M$4+Presion_cilindro!$B$34),1-EXP(-Presion_cilindro!$B$16*((Presion_cilindro!N632-(-M$4+Presion_cilindro!$B$34))/Presion_cilindro!$B$35)^(Presion_cilindro!$B$17+1)),0)-IF(Presion_cilindro!N631&gt;(-M$4+Presion_cilindro!$B$34),1-EXP(-Presion_cilindro!$B$16*((Presion_cilindro!N631-(-M$4+Presion_cilindro!$B$34))/Presion_cilindro!$B$35)^(Presion_cilindro!$B$17+1)),0))/((Presion_cilindro!O631+Presion_cilindro!O632)/2)</f>
        <v>2.7733673128281464</v>
      </c>
      <c r="N640" s="27">
        <f>N639*(Presion_cilindro!O631/Presion_cilindro!O632)^Presion_cilindro!$B$9+10*(Presion_cilindro!$B$9-1)*Presion_cilindro!$B$33*(IF(Presion_cilindro!N632&gt;(-N$4+Presion_cilindro!$B$34),1-EXP(-Presion_cilindro!$B$16*((Presion_cilindro!N632-(-N$4+Presion_cilindro!$B$34))/Presion_cilindro!$B$35)^(Presion_cilindro!$B$17+1)),0)-IF(Presion_cilindro!N631&gt;(-N$4+Presion_cilindro!$B$34),1-EXP(-Presion_cilindro!$B$16*((Presion_cilindro!N631-(-N$4+Presion_cilindro!$B$34))/Presion_cilindro!$B$35)^(Presion_cilindro!$B$17+1)),0))/((Presion_cilindro!O631+Presion_cilindro!O632)/2)</f>
        <v>2.8534330412923707</v>
      </c>
    </row>
    <row r="641" spans="1:14" x14ac:dyDescent="0.25">
      <c r="A641" s="21">
        <f>Presion_cilindro!N633</f>
        <v>134.5</v>
      </c>
      <c r="B641" s="27">
        <f>B640*(Presion_cilindro!O632/Presion_cilindro!O633)^Presion_cilindro!$B$9+10*(Presion_cilindro!$B$9-1)*Presion_cilindro!$B$33*(IF(Presion_cilindro!N633&gt;(-B$4+Presion_cilindro!$B$34),1-EXP(-Presion_cilindro!$B$16*((Presion_cilindro!N633-(-B$4+Presion_cilindro!$B$34))/Presion_cilindro!$B$35)^(Presion_cilindro!$B$17+1)),0)-IF(Presion_cilindro!N632&gt;(-B$4+Presion_cilindro!$B$34),1-EXP(-Presion_cilindro!$B$16*((Presion_cilindro!N632-(-B$4+Presion_cilindro!$B$34))/Presion_cilindro!$B$35)^(Presion_cilindro!$B$17+1)),0))/((Presion_cilindro!O632+Presion_cilindro!O633)/2)</f>
        <v>2.9907342105308556</v>
      </c>
      <c r="C641" s="27">
        <f>C640*(Presion_cilindro!O632/Presion_cilindro!O633)^Presion_cilindro!$B$9+10*(Presion_cilindro!$B$9-1)*Presion_cilindro!$B$33*(IF(Presion_cilindro!N633&gt;(-C$4+Presion_cilindro!$B$34),1-EXP(-Presion_cilindro!$B$16*((Presion_cilindro!N633-(-C$4+Presion_cilindro!$B$34))/Presion_cilindro!$B$35)^(Presion_cilindro!$B$17+1)),0)-IF(Presion_cilindro!N632&gt;(-C$4+Presion_cilindro!$B$34),1-EXP(-Presion_cilindro!$B$16*((Presion_cilindro!N632-(-C$4+Presion_cilindro!$B$34))/Presion_cilindro!$B$35)^(Presion_cilindro!$B$17+1)),0))/((Presion_cilindro!O632+Presion_cilindro!O633)/2)</f>
        <v>2.8987877905173862</v>
      </c>
      <c r="D641" s="27">
        <f>D640*(Presion_cilindro!O632/Presion_cilindro!O633)^Presion_cilindro!$B$9+10*(Presion_cilindro!$B$9-1)*Presion_cilindro!$B$33*(IF(Presion_cilindro!N633&gt;(-D$4+Presion_cilindro!$B$34),1-EXP(-Presion_cilindro!$B$16*((Presion_cilindro!N633-(-D$4+Presion_cilindro!$B$34))/Presion_cilindro!$B$35)^(Presion_cilindro!$B$17+1)),0)-IF(Presion_cilindro!N632&gt;(-D$4+Presion_cilindro!$B$34),1-EXP(-Presion_cilindro!$B$16*((Presion_cilindro!N632-(-D$4+Presion_cilindro!$B$34))/Presion_cilindro!$B$35)^(Presion_cilindro!$B$17+1)),0))/((Presion_cilindro!O632+Presion_cilindro!O633)/2)</f>
        <v>2.8131531367234701</v>
      </c>
      <c r="E641" s="27">
        <f>E640*(Presion_cilindro!O632/Presion_cilindro!O633)^Presion_cilindro!$B$9+10*(Presion_cilindro!$B$9-1)*Presion_cilindro!$B$33*(IF(Presion_cilindro!N633&gt;(-E$4+Presion_cilindro!$B$34),1-EXP(-Presion_cilindro!$B$16*((Presion_cilindro!N633-(-E$4+Presion_cilindro!$B$34))/Presion_cilindro!$B$35)^(Presion_cilindro!$B$17+1)),0)-IF(Presion_cilindro!N632&gt;(-E$4+Presion_cilindro!$B$34),1-EXP(-Presion_cilindro!$B$16*((Presion_cilindro!N632-(-E$4+Presion_cilindro!$B$34))/Presion_cilindro!$B$35)^(Presion_cilindro!$B$17+1)),0))/((Presion_cilindro!O632+Presion_cilindro!O633)/2)</f>
        <v>2.7370159655259334</v>
      </c>
      <c r="F641" s="27">
        <f>F640*(Presion_cilindro!O632/Presion_cilindro!O633)^Presion_cilindro!$B$9+10*(Presion_cilindro!$B$9-1)*Presion_cilindro!$B$33*(IF(Presion_cilindro!N633&gt;(-F$4+Presion_cilindro!$B$34),1-EXP(-Presion_cilindro!$B$16*((Presion_cilindro!N633-(-F$4+Presion_cilindro!$B$34))/Presion_cilindro!$B$35)^(Presion_cilindro!$B$17+1)),0)-IF(Presion_cilindro!N632&gt;(-F$4+Presion_cilindro!$B$34),1-EXP(-Presion_cilindro!$B$16*((Presion_cilindro!N632-(-F$4+Presion_cilindro!$B$34))/Presion_cilindro!$B$35)^(Presion_cilindro!$B$17+1)),0))/((Presion_cilindro!O632+Presion_cilindro!O633)/2)</f>
        <v>2.6738467418296792</v>
      </c>
      <c r="G641" s="27">
        <f>G640*(Presion_cilindro!O632/Presion_cilindro!O633)^Presion_cilindro!$B$9+10*(Presion_cilindro!$B$9-1)*Presion_cilindro!$B$33*(IF(Presion_cilindro!N633&gt;(-G$4+Presion_cilindro!$B$34),1-EXP(-Presion_cilindro!$B$16*((Presion_cilindro!N633-(-G$4+Presion_cilindro!$B$34))/Presion_cilindro!$B$35)^(Presion_cilindro!$B$17+1)),0)-IF(Presion_cilindro!N632&gt;(-G$4+Presion_cilindro!$B$34),1-EXP(-Presion_cilindro!$B$16*((Presion_cilindro!N632-(-G$4+Presion_cilindro!$B$34))/Presion_cilindro!$B$35)^(Presion_cilindro!$B$17+1)),0))/((Presion_cilindro!O632+Presion_cilindro!O633)/2)</f>
        <v>2.6270390886155046</v>
      </c>
      <c r="H641" s="27">
        <f>H640*(Presion_cilindro!O632/Presion_cilindro!O633)^Presion_cilindro!$B$9+10*(Presion_cilindro!$B$9-1)*Presion_cilindro!$B$33*(IF(Presion_cilindro!N633&gt;(-H$4+Presion_cilindro!$B$34),1-EXP(-Presion_cilindro!$B$16*((Presion_cilindro!N633-(-H$4+Presion_cilindro!$B$34))/Presion_cilindro!$B$35)^(Presion_cilindro!$B$17+1)),0)-IF(Presion_cilindro!N632&gt;(-H$4+Presion_cilindro!$B$34),1-EXP(-Presion_cilindro!$B$16*((Presion_cilindro!N632-(-H$4+Presion_cilindro!$B$34))/Presion_cilindro!$B$35)^(Presion_cilindro!$B$17+1)),0))/((Presion_cilindro!O632+Presion_cilindro!O633)/2)</f>
        <v>2.5994278752962376</v>
      </c>
      <c r="I641" s="27">
        <f>I640*(Presion_cilindro!O632/Presion_cilindro!O633)^Presion_cilindro!$B$9+10*(Presion_cilindro!$B$9-1)*Presion_cilindro!$B$33*(IF(Presion_cilindro!N633&gt;(-I$4+Presion_cilindro!$B$34),1-EXP(-Presion_cilindro!$B$16*((Presion_cilindro!N633-(-I$4+Presion_cilindro!$B$34))/Presion_cilindro!$B$35)^(Presion_cilindro!$B$17+1)),0)-IF(Presion_cilindro!N632&gt;(-I$4+Presion_cilindro!$B$34),1-EXP(-Presion_cilindro!$B$16*((Presion_cilindro!N632-(-I$4+Presion_cilindro!$B$34))/Presion_cilindro!$B$35)^(Presion_cilindro!$B$17+1)),0))/((Presion_cilindro!O632+Presion_cilindro!O633)/2)</f>
        <v>2.592804715518608</v>
      </c>
      <c r="J641" s="27">
        <f>J640*(Presion_cilindro!O632/Presion_cilindro!O633)^Presion_cilindro!$B$9+10*(Presion_cilindro!$B$9-1)*Presion_cilindro!$B$33*(IF(Presion_cilindro!N633&gt;(-J$4+Presion_cilindro!$B$34),1-EXP(-Presion_cilindro!$B$16*((Presion_cilindro!N633-(-J$4+Presion_cilindro!$B$34))/Presion_cilindro!$B$35)^(Presion_cilindro!$B$17+1)),0)-IF(Presion_cilindro!N632&gt;(-J$4+Presion_cilindro!$B$34),1-EXP(-Presion_cilindro!$B$16*((Presion_cilindro!N632-(-J$4+Presion_cilindro!$B$34))/Presion_cilindro!$B$35)^(Presion_cilindro!$B$17+1)),0))/((Presion_cilindro!O632+Presion_cilindro!O633)/2)</f>
        <v>2.6075821131245411</v>
      </c>
      <c r="K641" s="27">
        <f>K640*(Presion_cilindro!O632/Presion_cilindro!O633)^Presion_cilindro!$B$9+10*(Presion_cilindro!$B$9-1)*Presion_cilindro!$B$33*(IF(Presion_cilindro!N633&gt;(-K$4+Presion_cilindro!$B$34),1-EXP(-Presion_cilindro!$B$16*((Presion_cilindro!N633-(-K$4+Presion_cilindro!$B$34))/Presion_cilindro!$B$35)^(Presion_cilindro!$B$17+1)),0)-IF(Presion_cilindro!N632&gt;(-K$4+Presion_cilindro!$B$34),1-EXP(-Presion_cilindro!$B$16*((Presion_cilindro!N632-(-K$4+Presion_cilindro!$B$34))/Presion_cilindro!$B$35)^(Presion_cilindro!$B$17+1)),0))/((Presion_cilindro!O632+Presion_cilindro!O633)/2)</f>
        <v>2.6427218707546745</v>
      </c>
      <c r="L641" s="27">
        <f>L640*(Presion_cilindro!O632/Presion_cilindro!O633)^Presion_cilindro!$B$9+10*(Presion_cilindro!$B$9-1)*Presion_cilindro!$B$33*(IF(Presion_cilindro!N633&gt;(-L$4+Presion_cilindro!$B$34),1-EXP(-Presion_cilindro!$B$16*((Presion_cilindro!N633-(-L$4+Presion_cilindro!$B$34))/Presion_cilindro!$B$35)^(Presion_cilindro!$B$17+1)),0)-IF(Presion_cilindro!N632&gt;(-L$4+Presion_cilindro!$B$34),1-EXP(-Presion_cilindro!$B$16*((Presion_cilindro!N632-(-L$4+Presion_cilindro!$B$34))/Presion_cilindro!$B$35)^(Presion_cilindro!$B$17+1)),0))/((Presion_cilindro!O632+Presion_cilindro!O633)/2)</f>
        <v>2.6959497202690903</v>
      </c>
      <c r="M641" s="27">
        <f>M640*(Presion_cilindro!O632/Presion_cilindro!O633)^Presion_cilindro!$B$9+10*(Presion_cilindro!$B$9-1)*Presion_cilindro!$B$33*(IF(Presion_cilindro!N633&gt;(-M$4+Presion_cilindro!$B$34),1-EXP(-Presion_cilindro!$B$16*((Presion_cilindro!N633-(-M$4+Presion_cilindro!$B$34))/Presion_cilindro!$B$35)^(Presion_cilindro!$B$17+1)),0)-IF(Presion_cilindro!N632&gt;(-M$4+Presion_cilindro!$B$34),1-EXP(-Presion_cilindro!$B$16*((Presion_cilindro!N632-(-M$4+Presion_cilindro!$B$34))/Presion_cilindro!$B$35)^(Presion_cilindro!$B$17+1)),0))/((Presion_cilindro!O632+Presion_cilindro!O633)/2)</f>
        <v>2.7641749957762483</v>
      </c>
      <c r="N641" s="27">
        <f>N640*(Presion_cilindro!O632/Presion_cilindro!O633)^Presion_cilindro!$B$9+10*(Presion_cilindro!$B$9-1)*Presion_cilindro!$B$33*(IF(Presion_cilindro!N633&gt;(-N$4+Presion_cilindro!$B$34),1-EXP(-Presion_cilindro!$B$16*((Presion_cilindro!N633-(-N$4+Presion_cilindro!$B$34))/Presion_cilindro!$B$35)^(Presion_cilindro!$B$17+1)),0)-IF(Presion_cilindro!N632&gt;(-N$4+Presion_cilindro!$B$34),1-EXP(-Presion_cilindro!$B$16*((Presion_cilindro!N632-(-N$4+Presion_cilindro!$B$34))/Presion_cilindro!$B$35)^(Presion_cilindro!$B$17+1)),0))/((Presion_cilindro!O632+Presion_cilindro!O633)/2)</f>
        <v>2.8439753466406033</v>
      </c>
    </row>
    <row r="642" spans="1:14" x14ac:dyDescent="0.25">
      <c r="A642" s="21">
        <f>Presion_cilindro!N634</f>
        <v>135</v>
      </c>
      <c r="B642" s="27">
        <f>B641*(Presion_cilindro!O633/Presion_cilindro!O634)^Presion_cilindro!$B$9+10*(Presion_cilindro!$B$9-1)*Presion_cilindro!$B$33*(IF(Presion_cilindro!N634&gt;(-B$4+Presion_cilindro!$B$34),1-EXP(-Presion_cilindro!$B$16*((Presion_cilindro!N634-(-B$4+Presion_cilindro!$B$34))/Presion_cilindro!$B$35)^(Presion_cilindro!$B$17+1)),0)-IF(Presion_cilindro!N633&gt;(-B$4+Presion_cilindro!$B$34),1-EXP(-Presion_cilindro!$B$16*((Presion_cilindro!N633-(-B$4+Presion_cilindro!$B$34))/Presion_cilindro!$B$35)^(Presion_cilindro!$B$17+1)),0))/((Presion_cilindro!O633+Presion_cilindro!O634)/2)</f>
        <v>2.9809516333738189</v>
      </c>
      <c r="C642" s="27">
        <f>C641*(Presion_cilindro!O633/Presion_cilindro!O634)^Presion_cilindro!$B$9+10*(Presion_cilindro!$B$9-1)*Presion_cilindro!$B$33*(IF(Presion_cilindro!N634&gt;(-C$4+Presion_cilindro!$B$34),1-EXP(-Presion_cilindro!$B$16*((Presion_cilindro!N634-(-C$4+Presion_cilindro!$B$34))/Presion_cilindro!$B$35)^(Presion_cilindro!$B$17+1)),0)-IF(Presion_cilindro!N633&gt;(-C$4+Presion_cilindro!$B$34),1-EXP(-Presion_cilindro!$B$16*((Presion_cilindro!N633-(-C$4+Presion_cilindro!$B$34))/Presion_cilindro!$B$35)^(Presion_cilindro!$B$17+1)),0))/((Presion_cilindro!O633+Presion_cilindro!O634)/2)</f>
        <v>2.8893059665817247</v>
      </c>
      <c r="D642" s="27">
        <f>D641*(Presion_cilindro!O633/Presion_cilindro!O634)^Presion_cilindro!$B$9+10*(Presion_cilindro!$B$9-1)*Presion_cilindro!$B$33*(IF(Presion_cilindro!N634&gt;(-D$4+Presion_cilindro!$B$34),1-EXP(-Presion_cilindro!$B$16*((Presion_cilindro!N634-(-D$4+Presion_cilindro!$B$34))/Presion_cilindro!$B$35)^(Presion_cilindro!$B$17+1)),0)-IF(Presion_cilindro!N633&gt;(-D$4+Presion_cilindro!$B$34),1-EXP(-Presion_cilindro!$B$16*((Presion_cilindro!N633-(-D$4+Presion_cilindro!$B$34))/Presion_cilindro!$B$35)^(Presion_cilindro!$B$17+1)),0))/((Presion_cilindro!O633+Presion_cilindro!O634)/2)</f>
        <v>2.8039514204634108</v>
      </c>
      <c r="E642" s="27">
        <f>E641*(Presion_cilindro!O633/Presion_cilindro!O634)^Presion_cilindro!$B$9+10*(Presion_cilindro!$B$9-1)*Presion_cilindro!$B$33*(IF(Presion_cilindro!N634&gt;(-E$4+Presion_cilindro!$B$34),1-EXP(-Presion_cilindro!$B$16*((Presion_cilindro!N634-(-E$4+Presion_cilindro!$B$34))/Presion_cilindro!$B$35)^(Presion_cilindro!$B$17+1)),0)-IF(Presion_cilindro!N633&gt;(-E$4+Presion_cilindro!$B$34),1-EXP(-Presion_cilindro!$B$16*((Presion_cilindro!N633-(-E$4+Presion_cilindro!$B$34))/Presion_cilindro!$B$35)^(Presion_cilindro!$B$17+1)),0))/((Presion_cilindro!O633+Presion_cilindro!O634)/2)</f>
        <v>2.7280632910393408</v>
      </c>
      <c r="F642" s="27">
        <f>F641*(Presion_cilindro!O633/Presion_cilindro!O634)^Presion_cilindro!$B$9+10*(Presion_cilindro!$B$9-1)*Presion_cilindro!$B$33*(IF(Presion_cilindro!N634&gt;(-F$4+Presion_cilindro!$B$34),1-EXP(-Presion_cilindro!$B$16*((Presion_cilindro!N634-(-F$4+Presion_cilindro!$B$34))/Presion_cilindro!$B$35)^(Presion_cilindro!$B$17+1)),0)-IF(Presion_cilindro!N633&gt;(-F$4+Presion_cilindro!$B$34),1-EXP(-Presion_cilindro!$B$16*((Presion_cilindro!N633-(-F$4+Presion_cilindro!$B$34))/Presion_cilindro!$B$35)^(Presion_cilindro!$B$17+1)),0))/((Presion_cilindro!O633+Presion_cilindro!O634)/2)</f>
        <v>2.6651006914565176</v>
      </c>
      <c r="G642" s="27">
        <f>G641*(Presion_cilindro!O633/Presion_cilindro!O634)^Presion_cilindro!$B$9+10*(Presion_cilindro!$B$9-1)*Presion_cilindro!$B$33*(IF(Presion_cilindro!N634&gt;(-G$4+Presion_cilindro!$B$34),1-EXP(-Presion_cilindro!$B$16*((Presion_cilindro!N634-(-G$4+Presion_cilindro!$B$34))/Presion_cilindro!$B$35)^(Presion_cilindro!$B$17+1)),0)-IF(Presion_cilindro!N633&gt;(-G$4+Presion_cilindro!$B$34),1-EXP(-Presion_cilindro!$B$16*((Presion_cilindro!N633-(-G$4+Presion_cilindro!$B$34))/Presion_cilindro!$B$35)^(Presion_cilindro!$B$17+1)),0))/((Presion_cilindro!O633+Presion_cilindro!O634)/2)</f>
        <v>2.6184461442848308</v>
      </c>
      <c r="H642" s="27">
        <f>H641*(Presion_cilindro!O633/Presion_cilindro!O634)^Presion_cilindro!$B$9+10*(Presion_cilindro!$B$9-1)*Presion_cilindro!$B$33*(IF(Presion_cilindro!N634&gt;(-H$4+Presion_cilindro!$B$34),1-EXP(-Presion_cilindro!$B$16*((Presion_cilindro!N634-(-H$4+Presion_cilindro!$B$34))/Presion_cilindro!$B$35)^(Presion_cilindro!$B$17+1)),0)-IF(Presion_cilindro!N633&gt;(-H$4+Presion_cilindro!$B$34),1-EXP(-Presion_cilindro!$B$16*((Presion_cilindro!N633-(-H$4+Presion_cilindro!$B$34))/Presion_cilindro!$B$35)^(Presion_cilindro!$B$17+1)),0))/((Presion_cilindro!O633+Presion_cilindro!O634)/2)</f>
        <v>2.5909252461877403</v>
      </c>
      <c r="I642" s="27">
        <f>I641*(Presion_cilindro!O633/Presion_cilindro!O634)^Presion_cilindro!$B$9+10*(Presion_cilindro!$B$9-1)*Presion_cilindro!$B$33*(IF(Presion_cilindro!N634&gt;(-I$4+Presion_cilindro!$B$34),1-EXP(-Presion_cilindro!$B$16*((Presion_cilindro!N634-(-I$4+Presion_cilindro!$B$34))/Presion_cilindro!$B$35)^(Presion_cilindro!$B$17+1)),0)-IF(Presion_cilindro!N633&gt;(-I$4+Presion_cilindro!$B$34),1-EXP(-Presion_cilindro!$B$16*((Presion_cilindro!N633-(-I$4+Presion_cilindro!$B$34))/Presion_cilindro!$B$35)^(Presion_cilindro!$B$17+1)),0))/((Presion_cilindro!O633+Presion_cilindro!O634)/2)</f>
        <v>2.5843237505122967</v>
      </c>
      <c r="J642" s="27">
        <f>J641*(Presion_cilindro!O633/Presion_cilindro!O634)^Presion_cilindro!$B$9+10*(Presion_cilindro!$B$9-1)*Presion_cilindro!$B$33*(IF(Presion_cilindro!N634&gt;(-J$4+Presion_cilindro!$B$34),1-EXP(-Presion_cilindro!$B$16*((Presion_cilindro!N634-(-J$4+Presion_cilindro!$B$34))/Presion_cilindro!$B$35)^(Presion_cilindro!$B$17+1)),0)-IF(Presion_cilindro!N633&gt;(-J$4+Presion_cilindro!$B$34),1-EXP(-Presion_cilindro!$B$16*((Presion_cilindro!N633-(-J$4+Presion_cilindro!$B$34))/Presion_cilindro!$B$35)^(Presion_cilindro!$B$17+1)),0))/((Presion_cilindro!O633+Presion_cilindro!O634)/2)</f>
        <v>2.5990528118161436</v>
      </c>
      <c r="K642" s="27">
        <f>K641*(Presion_cilindro!O633/Presion_cilindro!O634)^Presion_cilindro!$B$9+10*(Presion_cilindro!$B$9-1)*Presion_cilindro!$B$33*(IF(Presion_cilindro!N634&gt;(-K$4+Presion_cilindro!$B$34),1-EXP(-Presion_cilindro!$B$16*((Presion_cilindro!N634-(-K$4+Presion_cilindro!$B$34))/Presion_cilindro!$B$35)^(Presion_cilindro!$B$17+1)),0)-IF(Presion_cilindro!N633&gt;(-K$4+Presion_cilindro!$B$34),1-EXP(-Presion_cilindro!$B$16*((Presion_cilindro!N633-(-K$4+Presion_cilindro!$B$34))/Presion_cilindro!$B$35)^(Presion_cilindro!$B$17+1)),0))/((Presion_cilindro!O633+Presion_cilindro!O634)/2)</f>
        <v>2.6340776286437522</v>
      </c>
      <c r="L642" s="27">
        <f>L641*(Presion_cilindro!O633/Presion_cilindro!O634)^Presion_cilindro!$B$9+10*(Presion_cilindro!$B$9-1)*Presion_cilindro!$B$33*(IF(Presion_cilindro!N634&gt;(-L$4+Presion_cilindro!$B$34),1-EXP(-Presion_cilindro!$B$16*((Presion_cilindro!N634-(-L$4+Presion_cilindro!$B$34))/Presion_cilindro!$B$35)^(Presion_cilindro!$B$17+1)),0)-IF(Presion_cilindro!N633&gt;(-L$4+Presion_cilindro!$B$34),1-EXP(-Presion_cilindro!$B$16*((Presion_cilindro!N633-(-L$4+Presion_cilindro!$B$34))/Presion_cilindro!$B$35)^(Presion_cilindro!$B$17+1)),0))/((Presion_cilindro!O633+Presion_cilindro!O634)/2)</f>
        <v>2.687131371899262</v>
      </c>
      <c r="M642" s="27">
        <f>M641*(Presion_cilindro!O633/Presion_cilindro!O634)^Presion_cilindro!$B$9+10*(Presion_cilindro!$B$9-1)*Presion_cilindro!$B$33*(IF(Presion_cilindro!N634&gt;(-M$4+Presion_cilindro!$B$34),1-EXP(-Presion_cilindro!$B$16*((Presion_cilindro!N634-(-M$4+Presion_cilindro!$B$34))/Presion_cilindro!$B$35)^(Presion_cilindro!$B$17+1)),0)-IF(Presion_cilindro!N633&gt;(-M$4+Presion_cilindro!$B$34),1-EXP(-Presion_cilindro!$B$16*((Presion_cilindro!N633-(-M$4+Presion_cilindro!$B$34))/Presion_cilindro!$B$35)^(Presion_cilindro!$B$17+1)),0))/((Presion_cilindro!O633+Presion_cilindro!O634)/2)</f>
        <v>2.7551334851409939</v>
      </c>
      <c r="N642" s="27">
        <f>N641*(Presion_cilindro!O633/Presion_cilindro!O634)^Presion_cilindro!$B$9+10*(Presion_cilindro!$B$9-1)*Presion_cilindro!$B$33*(IF(Presion_cilindro!N634&gt;(-N$4+Presion_cilindro!$B$34),1-EXP(-Presion_cilindro!$B$16*((Presion_cilindro!N634-(-N$4+Presion_cilindro!$B$34))/Presion_cilindro!$B$35)^(Presion_cilindro!$B$17+1)),0)-IF(Presion_cilindro!N633&gt;(-N$4+Presion_cilindro!$B$34),1-EXP(-Presion_cilindro!$B$16*((Presion_cilindro!N633-(-N$4+Presion_cilindro!$B$34))/Presion_cilindro!$B$35)^(Presion_cilindro!$B$17+1)),0))/((Presion_cilindro!O633+Presion_cilindro!O634)/2)</f>
        <v>2.83467281211137</v>
      </c>
    </row>
    <row r="643" spans="1:14" x14ac:dyDescent="0.25">
      <c r="A643" s="21">
        <f>Presion_cilindro!N635</f>
        <v>135.5</v>
      </c>
      <c r="B643" s="27">
        <f>B642*(Presion_cilindro!O634/Presion_cilindro!O635)^Presion_cilindro!$B$9+10*(Presion_cilindro!$B$9-1)*Presion_cilindro!$B$33*(IF(Presion_cilindro!N635&gt;(-B$4+Presion_cilindro!$B$34),1-EXP(-Presion_cilindro!$B$16*((Presion_cilindro!N635-(-B$4+Presion_cilindro!$B$34))/Presion_cilindro!$B$35)^(Presion_cilindro!$B$17+1)),0)-IF(Presion_cilindro!N634&gt;(-B$4+Presion_cilindro!$B$34),1-EXP(-Presion_cilindro!$B$16*((Presion_cilindro!N634-(-B$4+Presion_cilindro!$B$34))/Presion_cilindro!$B$35)^(Presion_cilindro!$B$17+1)),0))/((Presion_cilindro!O634+Presion_cilindro!O635)/2)</f>
        <v>2.9713301058623576</v>
      </c>
      <c r="C643" s="27">
        <f>C642*(Presion_cilindro!O634/Presion_cilindro!O635)^Presion_cilindro!$B$9+10*(Presion_cilindro!$B$9-1)*Presion_cilindro!$B$33*(IF(Presion_cilindro!N635&gt;(-C$4+Presion_cilindro!$B$34),1-EXP(-Presion_cilindro!$B$16*((Presion_cilindro!N635-(-C$4+Presion_cilindro!$B$34))/Presion_cilindro!$B$35)^(Presion_cilindro!$B$17+1)),0)-IF(Presion_cilindro!N634&gt;(-C$4+Presion_cilindro!$B$34),1-EXP(-Presion_cilindro!$B$16*((Presion_cilindro!N634-(-C$4+Presion_cilindro!$B$34))/Presion_cilindro!$B$35)^(Presion_cilindro!$B$17+1)),0))/((Presion_cilindro!O634+Presion_cilindro!O635)/2)</f>
        <v>2.8799802410197057</v>
      </c>
      <c r="D643" s="27">
        <f>D642*(Presion_cilindro!O634/Presion_cilindro!O635)^Presion_cilindro!$B$9+10*(Presion_cilindro!$B$9-1)*Presion_cilindro!$B$33*(IF(Presion_cilindro!N635&gt;(-D$4+Presion_cilindro!$B$34),1-EXP(-Presion_cilindro!$B$16*((Presion_cilindro!N635-(-D$4+Presion_cilindro!$B$34))/Presion_cilindro!$B$35)^(Presion_cilindro!$B$17+1)),0)-IF(Presion_cilindro!N634&gt;(-D$4+Presion_cilindro!$B$34),1-EXP(-Presion_cilindro!$B$16*((Presion_cilindro!N634-(-D$4+Presion_cilindro!$B$34))/Presion_cilindro!$B$35)^(Presion_cilindro!$B$17+1)),0))/((Presion_cilindro!O634+Presion_cilindro!O635)/2)</f>
        <v>2.7949011911907351</v>
      </c>
      <c r="E643" s="27">
        <f>E642*(Presion_cilindro!O634/Presion_cilindro!O635)^Presion_cilindro!$B$9+10*(Presion_cilindro!$B$9-1)*Presion_cilindro!$B$33*(IF(Presion_cilindro!N635&gt;(-E$4+Presion_cilindro!$B$34),1-EXP(-Presion_cilindro!$B$16*((Presion_cilindro!N635-(-E$4+Presion_cilindro!$B$34))/Presion_cilindro!$B$35)^(Presion_cilindro!$B$17+1)),0)-IF(Presion_cilindro!N634&gt;(-E$4+Presion_cilindro!$B$34),1-EXP(-Presion_cilindro!$B$16*((Presion_cilindro!N634-(-E$4+Presion_cilindro!$B$34))/Presion_cilindro!$B$35)^(Presion_cilindro!$B$17+1)),0))/((Presion_cilindro!O634+Presion_cilindro!O635)/2)</f>
        <v>2.7192580035888914</v>
      </c>
      <c r="F643" s="27">
        <f>F642*(Presion_cilindro!O634/Presion_cilindro!O635)^Presion_cilindro!$B$9+10*(Presion_cilindro!$B$9-1)*Presion_cilindro!$B$33*(IF(Presion_cilindro!N635&gt;(-F$4+Presion_cilindro!$B$34),1-EXP(-Presion_cilindro!$B$16*((Presion_cilindro!N635-(-F$4+Presion_cilindro!$B$34))/Presion_cilindro!$B$35)^(Presion_cilindro!$B$17+1)),0)-IF(Presion_cilindro!N634&gt;(-F$4+Presion_cilindro!$B$34),1-EXP(-Presion_cilindro!$B$16*((Presion_cilindro!N634-(-F$4+Presion_cilindro!$B$34))/Presion_cilindro!$B$35)^(Presion_cilindro!$B$17+1)),0))/((Presion_cilindro!O634+Presion_cilindro!O635)/2)</f>
        <v>2.6564986264861972</v>
      </c>
      <c r="G643" s="27">
        <f>G642*(Presion_cilindro!O634/Presion_cilindro!O635)^Presion_cilindro!$B$9+10*(Presion_cilindro!$B$9-1)*Presion_cilindro!$B$33*(IF(Presion_cilindro!N635&gt;(-G$4+Presion_cilindro!$B$34),1-EXP(-Presion_cilindro!$B$16*((Presion_cilindro!N635-(-G$4+Presion_cilindro!$B$34))/Presion_cilindro!$B$35)^(Presion_cilindro!$B$17+1)),0)-IF(Presion_cilindro!N634&gt;(-G$4+Presion_cilindro!$B$34),1-EXP(-Presion_cilindro!$B$16*((Presion_cilindro!N634-(-G$4+Presion_cilindro!$B$34))/Presion_cilindro!$B$35)^(Presion_cilindro!$B$17+1)),0))/((Presion_cilindro!O634+Presion_cilindro!O635)/2)</f>
        <v>2.6099946647866537</v>
      </c>
      <c r="H643" s="27">
        <f>H642*(Presion_cilindro!O634/Presion_cilindro!O635)^Presion_cilindro!$B$9+10*(Presion_cilindro!$B$9-1)*Presion_cilindro!$B$33*(IF(Presion_cilindro!N635&gt;(-H$4+Presion_cilindro!$B$34),1-EXP(-Presion_cilindro!$B$16*((Presion_cilindro!N635-(-H$4+Presion_cilindro!$B$34))/Presion_cilindro!$B$35)^(Presion_cilindro!$B$17+1)),0)-IF(Presion_cilindro!N634&gt;(-H$4+Presion_cilindro!$B$34),1-EXP(-Presion_cilindro!$B$16*((Presion_cilindro!N634-(-H$4+Presion_cilindro!$B$34))/Presion_cilindro!$B$35)^(Presion_cilindro!$B$17+1)),0))/((Presion_cilindro!O634+Presion_cilindro!O635)/2)</f>
        <v>2.5825625950607507</v>
      </c>
      <c r="I643" s="27">
        <f>I642*(Presion_cilindro!O634/Presion_cilindro!O635)^Presion_cilindro!$B$9+10*(Presion_cilindro!$B$9-1)*Presion_cilindro!$B$33*(IF(Presion_cilindro!N635&gt;(-I$4+Presion_cilindro!$B$34),1-EXP(-Presion_cilindro!$B$16*((Presion_cilindro!N635-(-I$4+Presion_cilindro!$B$34))/Presion_cilindro!$B$35)^(Presion_cilindro!$B$17+1)),0)-IF(Presion_cilindro!N634&gt;(-I$4+Presion_cilindro!$B$34),1-EXP(-Presion_cilindro!$B$16*((Presion_cilindro!N634-(-I$4+Presion_cilindro!$B$34))/Presion_cilindro!$B$35)^(Presion_cilindro!$B$17+1)),0))/((Presion_cilindro!O634+Presion_cilindro!O635)/2)</f>
        <v>2.5759824068334209</v>
      </c>
      <c r="J643" s="27">
        <f>J642*(Presion_cilindro!O634/Presion_cilindro!O635)^Presion_cilindro!$B$9+10*(Presion_cilindro!$B$9-1)*Presion_cilindro!$B$33*(IF(Presion_cilindro!N635&gt;(-J$4+Presion_cilindro!$B$34),1-EXP(-Presion_cilindro!$B$16*((Presion_cilindro!N635-(-J$4+Presion_cilindro!$B$34))/Presion_cilindro!$B$35)^(Presion_cilindro!$B$17+1)),0)-IF(Presion_cilindro!N634&gt;(-J$4+Presion_cilindro!$B$34),1-EXP(-Presion_cilindro!$B$16*((Presion_cilindro!N634-(-J$4+Presion_cilindro!$B$34))/Presion_cilindro!$B$35)^(Presion_cilindro!$B$17+1)),0))/((Presion_cilindro!O634+Presion_cilindro!O635)/2)</f>
        <v>2.5906639275911663</v>
      </c>
      <c r="K643" s="27">
        <f>K642*(Presion_cilindro!O634/Presion_cilindro!O635)^Presion_cilindro!$B$9+10*(Presion_cilindro!$B$9-1)*Presion_cilindro!$B$33*(IF(Presion_cilindro!N635&gt;(-K$4+Presion_cilindro!$B$34),1-EXP(-Presion_cilindro!$B$16*((Presion_cilindro!N635-(-K$4+Presion_cilindro!$B$34))/Presion_cilindro!$B$35)^(Presion_cilindro!$B$17+1)),0)-IF(Presion_cilindro!N634&gt;(-K$4+Presion_cilindro!$B$34),1-EXP(-Presion_cilindro!$B$16*((Presion_cilindro!N634-(-K$4+Presion_cilindro!$B$34))/Presion_cilindro!$B$35)^(Presion_cilindro!$B$17+1)),0))/((Presion_cilindro!O634+Presion_cilindro!O635)/2)</f>
        <v>2.6255756958758472</v>
      </c>
      <c r="L643" s="27">
        <f>L642*(Presion_cilindro!O634/Presion_cilindro!O635)^Presion_cilindro!$B$9+10*(Presion_cilindro!$B$9-1)*Presion_cilindro!$B$33*(IF(Presion_cilindro!N635&gt;(-L$4+Presion_cilindro!$B$34),1-EXP(-Presion_cilindro!$B$16*((Presion_cilindro!N635-(-L$4+Presion_cilindro!$B$34))/Presion_cilindro!$B$35)^(Presion_cilindro!$B$17+1)),0)-IF(Presion_cilindro!N634&gt;(-L$4+Presion_cilindro!$B$34),1-EXP(-Presion_cilindro!$B$16*((Presion_cilindro!N634-(-L$4+Presion_cilindro!$B$34))/Presion_cilindro!$B$35)^(Presion_cilindro!$B$17+1)),0))/((Presion_cilindro!O634+Presion_cilindro!O635)/2)</f>
        <v>2.678458199167379</v>
      </c>
      <c r="M643" s="27">
        <f>M642*(Presion_cilindro!O634/Presion_cilindro!O635)^Presion_cilindro!$B$9+10*(Presion_cilindro!$B$9-1)*Presion_cilindro!$B$33*(IF(Presion_cilindro!N635&gt;(-M$4+Presion_cilindro!$B$34),1-EXP(-Presion_cilindro!$B$16*((Presion_cilindro!N635-(-M$4+Presion_cilindro!$B$34))/Presion_cilindro!$B$35)^(Presion_cilindro!$B$17+1)),0)-IF(Presion_cilindro!N634&gt;(-M$4+Presion_cilindro!$B$34),1-EXP(-Presion_cilindro!$B$16*((Presion_cilindro!N634-(-M$4+Presion_cilindro!$B$34))/Presion_cilindro!$B$35)^(Presion_cilindro!$B$17+1)),0))/((Presion_cilindro!O634+Presion_cilindro!O635)/2)</f>
        <v>2.7462408240430243</v>
      </c>
      <c r="N643" s="27">
        <f>N642*(Presion_cilindro!O634/Presion_cilindro!O635)^Presion_cilindro!$B$9+10*(Presion_cilindro!$B$9-1)*Presion_cilindro!$B$33*(IF(Presion_cilindro!N635&gt;(-N$4+Presion_cilindro!$B$34),1-EXP(-Presion_cilindro!$B$16*((Presion_cilindro!N635-(-N$4+Presion_cilindro!$B$34))/Presion_cilindro!$B$35)^(Presion_cilindro!$B$17+1)),0)-IF(Presion_cilindro!N634&gt;(-N$4+Presion_cilindro!$B$34),1-EXP(-Presion_cilindro!$B$16*((Presion_cilindro!N634-(-N$4+Presion_cilindro!$B$34))/Presion_cilindro!$B$35)^(Presion_cilindro!$B$17+1)),0))/((Presion_cilindro!O634+Presion_cilindro!O635)/2)</f>
        <v>2.8255234243311822</v>
      </c>
    </row>
    <row r="644" spans="1:14" x14ac:dyDescent="0.25">
      <c r="A644" s="21">
        <f>Presion_cilindro!N636</f>
        <v>136</v>
      </c>
      <c r="B644" s="27">
        <f>B643*(Presion_cilindro!O635/Presion_cilindro!O636)^Presion_cilindro!$B$9+10*(Presion_cilindro!$B$9-1)*Presion_cilindro!$B$33*(IF(Presion_cilindro!N636&gt;(-B$4+Presion_cilindro!$B$34),1-EXP(-Presion_cilindro!$B$16*((Presion_cilindro!N636-(-B$4+Presion_cilindro!$B$34))/Presion_cilindro!$B$35)^(Presion_cilindro!$B$17+1)),0)-IF(Presion_cilindro!N635&gt;(-B$4+Presion_cilindro!$B$34),1-EXP(-Presion_cilindro!$B$16*((Presion_cilindro!N635-(-B$4+Presion_cilindro!$B$34))/Presion_cilindro!$B$35)^(Presion_cilindro!$B$17+1)),0))/((Presion_cilindro!O635+Presion_cilindro!O636)/2)</f>
        <v>2.9618675539684638</v>
      </c>
      <c r="C644" s="27">
        <f>C643*(Presion_cilindro!O635/Presion_cilindro!O636)^Presion_cilindro!$B$9+10*(Presion_cilindro!$B$9-1)*Presion_cilindro!$B$33*(IF(Presion_cilindro!N636&gt;(-C$4+Presion_cilindro!$B$34),1-EXP(-Presion_cilindro!$B$16*((Presion_cilindro!N636-(-C$4+Presion_cilindro!$B$34))/Presion_cilindro!$B$35)^(Presion_cilindro!$B$17+1)),0)-IF(Presion_cilindro!N635&gt;(-C$4+Presion_cilindro!$B$34),1-EXP(-Presion_cilindro!$B$16*((Presion_cilindro!N635-(-C$4+Presion_cilindro!$B$34))/Presion_cilindro!$B$35)^(Presion_cilindro!$B$17+1)),0))/((Presion_cilindro!O635+Presion_cilindro!O636)/2)</f>
        <v>2.8708086035667448</v>
      </c>
      <c r="D644" s="27">
        <f>D643*(Presion_cilindro!O635/Presion_cilindro!O636)^Presion_cilindro!$B$9+10*(Presion_cilindro!$B$9-1)*Presion_cilindro!$B$33*(IF(Presion_cilindro!N636&gt;(-D$4+Presion_cilindro!$B$34),1-EXP(-Presion_cilindro!$B$16*((Presion_cilindro!N636-(-D$4+Presion_cilindro!$B$34))/Presion_cilindro!$B$35)^(Presion_cilindro!$B$17+1)),0)-IF(Presion_cilindro!N635&gt;(-D$4+Presion_cilindro!$B$34),1-EXP(-Presion_cilindro!$B$16*((Presion_cilindro!N635-(-D$4+Presion_cilindro!$B$34))/Presion_cilindro!$B$35)^(Presion_cilindro!$B$17+1)),0))/((Presion_cilindro!O635+Presion_cilindro!O636)/2)</f>
        <v>2.7860004980271689</v>
      </c>
      <c r="E644" s="27">
        <f>E643*(Presion_cilindro!O635/Presion_cilindro!O636)^Presion_cilindro!$B$9+10*(Presion_cilindro!$B$9-1)*Presion_cilindro!$B$33*(IF(Presion_cilindro!N636&gt;(-E$4+Presion_cilindro!$B$34),1-EXP(-Presion_cilindro!$B$16*((Presion_cilindro!N636-(-E$4+Presion_cilindro!$B$34))/Presion_cilindro!$B$35)^(Presion_cilindro!$B$17+1)),0)-IF(Presion_cilindro!N635&gt;(-E$4+Presion_cilindro!$B$34),1-EXP(-Presion_cilindro!$B$16*((Presion_cilindro!N635-(-E$4+Presion_cilindro!$B$34))/Presion_cilindro!$B$35)^(Presion_cilindro!$B$17+1)),0))/((Presion_cilindro!O635+Presion_cilindro!O636)/2)</f>
        <v>2.7105982050962636</v>
      </c>
      <c r="F644" s="27">
        <f>F643*(Presion_cilindro!O635/Presion_cilindro!O636)^Presion_cilindro!$B$9+10*(Presion_cilindro!$B$9-1)*Presion_cilindro!$B$33*(IF(Presion_cilindro!N636&gt;(-F$4+Presion_cilindro!$B$34),1-EXP(-Presion_cilindro!$B$16*((Presion_cilindro!N636-(-F$4+Presion_cilindro!$B$34))/Presion_cilindro!$B$35)^(Presion_cilindro!$B$17+1)),0)-IF(Presion_cilindro!N635&gt;(-F$4+Presion_cilindro!$B$34),1-EXP(-Presion_cilindro!$B$16*((Presion_cilindro!N635-(-F$4+Presion_cilindro!$B$34))/Presion_cilindro!$B$35)^(Presion_cilindro!$B$17+1)),0))/((Presion_cilindro!O635+Presion_cilindro!O636)/2)</f>
        <v>2.6480386926472783</v>
      </c>
      <c r="G644" s="27">
        <f>G643*(Presion_cilindro!O635/Presion_cilindro!O636)^Presion_cilindro!$B$9+10*(Presion_cilindro!$B$9-1)*Presion_cilindro!$B$33*(IF(Presion_cilindro!N636&gt;(-G$4+Presion_cilindro!$B$34),1-EXP(-Presion_cilindro!$B$16*((Presion_cilindro!N636-(-G$4+Presion_cilindro!$B$34))/Presion_cilindro!$B$35)^(Presion_cilindro!$B$17+1)),0)-IF(Presion_cilindro!N635&gt;(-G$4+Presion_cilindro!$B$34),1-EXP(-Presion_cilindro!$B$16*((Presion_cilindro!N635-(-G$4+Presion_cilindro!$B$34))/Presion_cilindro!$B$35)^(Presion_cilindro!$B$17+1)),0))/((Presion_cilindro!O635+Presion_cilindro!O636)/2)</f>
        <v>2.6016828283099178</v>
      </c>
      <c r="H644" s="27">
        <f>H643*(Presion_cilindro!O635/Presion_cilindro!O636)^Presion_cilindro!$B$9+10*(Presion_cilindro!$B$9-1)*Presion_cilindro!$B$33*(IF(Presion_cilindro!N636&gt;(-H$4+Presion_cilindro!$B$34),1-EXP(-Presion_cilindro!$B$16*((Presion_cilindro!N636-(-H$4+Presion_cilindro!$B$34))/Presion_cilindro!$B$35)^(Presion_cilindro!$B$17+1)),0)-IF(Presion_cilindro!N635&gt;(-H$4+Presion_cilindro!$B$34),1-EXP(-Presion_cilindro!$B$16*((Presion_cilindro!N635-(-H$4+Presion_cilindro!$B$34))/Presion_cilindro!$B$35)^(Presion_cilindro!$B$17+1)),0))/((Presion_cilindro!O635+Presion_cilindro!O636)/2)</f>
        <v>2.5743381192521637</v>
      </c>
      <c r="I644" s="27">
        <f>I643*(Presion_cilindro!O635/Presion_cilindro!O636)^Presion_cilindro!$B$9+10*(Presion_cilindro!$B$9-1)*Presion_cilindro!$B$33*(IF(Presion_cilindro!N636&gt;(-I$4+Presion_cilindro!$B$34),1-EXP(-Presion_cilindro!$B$16*((Presion_cilindro!N636-(-I$4+Presion_cilindro!$B$34))/Presion_cilindro!$B$35)^(Presion_cilindro!$B$17+1)),0)-IF(Presion_cilindro!N635&gt;(-I$4+Presion_cilindro!$B$34),1-EXP(-Presion_cilindro!$B$16*((Presion_cilindro!N635-(-I$4+Presion_cilindro!$B$34))/Presion_cilindro!$B$35)^(Presion_cilindro!$B$17+1)),0))/((Presion_cilindro!O635+Presion_cilindro!O636)/2)</f>
        <v>2.5677788864119346</v>
      </c>
      <c r="J644" s="27">
        <f>J643*(Presion_cilindro!O635/Presion_cilindro!O636)^Presion_cilindro!$B$9+10*(Presion_cilindro!$B$9-1)*Presion_cilindro!$B$33*(IF(Presion_cilindro!N636&gt;(-J$4+Presion_cilindro!$B$34),1-EXP(-Presion_cilindro!$B$16*((Presion_cilindro!N636-(-J$4+Presion_cilindro!$B$34))/Presion_cilindro!$B$35)^(Presion_cilindro!$B$17+1)),0)-IF(Presion_cilindro!N635&gt;(-J$4+Presion_cilindro!$B$34),1-EXP(-Presion_cilindro!$B$16*((Presion_cilindro!N635-(-J$4+Presion_cilindro!$B$34))/Presion_cilindro!$B$35)^(Presion_cilindro!$B$17+1)),0))/((Presion_cilindro!O635+Presion_cilindro!O636)/2)</f>
        <v>2.5824136521316663</v>
      </c>
      <c r="K644" s="27">
        <f>K643*(Presion_cilindro!O635/Presion_cilindro!O636)^Presion_cilindro!$B$9+10*(Presion_cilindro!$B$9-1)*Presion_cilindro!$B$33*(IF(Presion_cilindro!N636&gt;(-K$4+Presion_cilindro!$B$34),1-EXP(-Presion_cilindro!$B$16*((Presion_cilindro!N636-(-K$4+Presion_cilindro!$B$34))/Presion_cilindro!$B$35)^(Presion_cilindro!$B$17+1)),0)-IF(Presion_cilindro!N635&gt;(-K$4+Presion_cilindro!$B$34),1-EXP(-Presion_cilindro!$B$16*((Presion_cilindro!N635-(-K$4+Presion_cilindro!$B$34))/Presion_cilindro!$B$35)^(Presion_cilindro!$B$17+1)),0))/((Presion_cilindro!O635+Presion_cilindro!O636)/2)</f>
        <v>2.6172142397641371</v>
      </c>
      <c r="L644" s="27">
        <f>L643*(Presion_cilindro!O635/Presion_cilindro!O636)^Presion_cilindro!$B$9+10*(Presion_cilindro!$B$9-1)*Presion_cilindro!$B$33*(IF(Presion_cilindro!N636&gt;(-L$4+Presion_cilindro!$B$34),1-EXP(-Presion_cilindro!$B$16*((Presion_cilindro!N636-(-L$4+Presion_cilindro!$B$34))/Presion_cilindro!$B$35)^(Presion_cilindro!$B$17+1)),0)-IF(Presion_cilindro!N635&gt;(-L$4+Presion_cilindro!$B$34),1-EXP(-Presion_cilindro!$B$16*((Presion_cilindro!N635-(-L$4+Presion_cilindro!$B$34))/Presion_cilindro!$B$35)^(Presion_cilindro!$B$17+1)),0))/((Presion_cilindro!O635+Presion_cilindro!O636)/2)</f>
        <v>2.6699283324739271</v>
      </c>
      <c r="M644" s="27">
        <f>M643*(Presion_cilindro!O635/Presion_cilindro!O636)^Presion_cilindro!$B$9+10*(Presion_cilindro!$B$9-1)*Presion_cilindro!$B$33*(IF(Presion_cilindro!N636&gt;(-M$4+Presion_cilindro!$B$34),1-EXP(-Presion_cilindro!$B$16*((Presion_cilindro!N636-(-M$4+Presion_cilindro!$B$34))/Presion_cilindro!$B$35)^(Presion_cilindro!$B$17+1)),0)-IF(Presion_cilindro!N635&gt;(-M$4+Presion_cilindro!$B$34),1-EXP(-Presion_cilindro!$B$16*((Presion_cilindro!N635-(-M$4+Presion_cilindro!$B$34))/Presion_cilindro!$B$35)^(Presion_cilindro!$B$17+1)),0))/((Presion_cilindro!O635+Presion_cilindro!O636)/2)</f>
        <v>2.7374950955696491</v>
      </c>
      <c r="N644" s="27">
        <f>N643*(Presion_cilindro!O635/Presion_cilindro!O636)^Presion_cilindro!$B$9+10*(Presion_cilindro!$B$9-1)*Presion_cilindro!$B$33*(IF(Presion_cilindro!N636&gt;(-N$4+Presion_cilindro!$B$34),1-EXP(-Presion_cilindro!$B$16*((Presion_cilindro!N636-(-N$4+Presion_cilindro!$B$34))/Presion_cilindro!$B$35)^(Presion_cilindro!$B$17+1)),0)-IF(Presion_cilindro!N635&gt;(-N$4+Presion_cilindro!$B$34),1-EXP(-Presion_cilindro!$B$16*((Presion_cilindro!N635-(-N$4+Presion_cilindro!$B$34))/Presion_cilindro!$B$35)^(Presion_cilindro!$B$17+1)),0))/((Presion_cilindro!O635+Presion_cilindro!O636)/2)</f>
        <v>2.8165252110470389</v>
      </c>
    </row>
    <row r="645" spans="1:14" x14ac:dyDescent="0.25">
      <c r="A645" s="21">
        <f>Presion_cilindro!N637</f>
        <v>136.5</v>
      </c>
      <c r="B645" s="27">
        <f>B644*(Presion_cilindro!O636/Presion_cilindro!O637)^Presion_cilindro!$B$9+10*(Presion_cilindro!$B$9-1)*Presion_cilindro!$B$33*(IF(Presion_cilindro!N637&gt;(-B$4+Presion_cilindro!$B$34),1-EXP(-Presion_cilindro!$B$16*((Presion_cilindro!N637-(-B$4+Presion_cilindro!$B$34))/Presion_cilindro!$B$35)^(Presion_cilindro!$B$17+1)),0)-IF(Presion_cilindro!N636&gt;(-B$4+Presion_cilindro!$B$34),1-EXP(-Presion_cilindro!$B$16*((Presion_cilindro!N636-(-B$4+Presion_cilindro!$B$34))/Presion_cilindro!$B$35)^(Presion_cilindro!$B$17+1)),0))/((Presion_cilindro!O636+Presion_cilindro!O637)/2)</f>
        <v>2.9525619460681973</v>
      </c>
      <c r="C645" s="27">
        <f>C644*(Presion_cilindro!O636/Presion_cilindro!O637)^Presion_cilindro!$B$9+10*(Presion_cilindro!$B$9-1)*Presion_cilindro!$B$33*(IF(Presion_cilindro!N637&gt;(-C$4+Presion_cilindro!$B$34),1-EXP(-Presion_cilindro!$B$16*((Presion_cilindro!N637-(-C$4+Presion_cilindro!$B$34))/Presion_cilindro!$B$35)^(Presion_cilindro!$B$17+1)),0)-IF(Presion_cilindro!N636&gt;(-C$4+Presion_cilindro!$B$34),1-EXP(-Presion_cilindro!$B$16*((Presion_cilindro!N636-(-C$4+Presion_cilindro!$B$34))/Presion_cilindro!$B$35)^(Presion_cilindro!$B$17+1)),0))/((Presion_cilindro!O636+Presion_cilindro!O637)/2)</f>
        <v>2.8617890850586636</v>
      </c>
      <c r="D645" s="27">
        <f>D644*(Presion_cilindro!O636/Presion_cilindro!O637)^Presion_cilindro!$B$9+10*(Presion_cilindro!$B$9-1)*Presion_cilindro!$B$33*(IF(Presion_cilindro!N637&gt;(-D$4+Presion_cilindro!$B$34),1-EXP(-Presion_cilindro!$B$16*((Presion_cilindro!N637-(-D$4+Presion_cilindro!$B$34))/Presion_cilindro!$B$35)^(Presion_cilindro!$B$17+1)),0)-IF(Presion_cilindro!N636&gt;(-D$4+Presion_cilindro!$B$34),1-EXP(-Presion_cilindro!$B$16*((Presion_cilindro!N636-(-D$4+Presion_cilindro!$B$34))/Presion_cilindro!$B$35)^(Presion_cilindro!$B$17+1)),0))/((Presion_cilindro!O636+Presion_cilindro!O637)/2)</f>
        <v>2.7772474299806751</v>
      </c>
      <c r="E645" s="27">
        <f>E644*(Presion_cilindro!O636/Presion_cilindro!O637)^Presion_cilindro!$B$9+10*(Presion_cilindro!$B$9-1)*Presion_cilindro!$B$33*(IF(Presion_cilindro!N637&gt;(-E$4+Presion_cilindro!$B$34),1-EXP(-Presion_cilindro!$B$16*((Presion_cilindro!N637-(-E$4+Presion_cilindro!$B$34))/Presion_cilindro!$B$35)^(Presion_cilindro!$B$17+1)),0)-IF(Presion_cilindro!N636&gt;(-E$4+Presion_cilindro!$B$34),1-EXP(-Presion_cilindro!$B$16*((Presion_cilindro!N636-(-E$4+Presion_cilindro!$B$34))/Presion_cilindro!$B$35)^(Presion_cilindro!$B$17+1)),0))/((Presion_cilindro!O636+Presion_cilindro!O637)/2)</f>
        <v>2.7020820362898643</v>
      </c>
      <c r="F645" s="27">
        <f>F644*(Presion_cilindro!O636/Presion_cilindro!O637)^Presion_cilindro!$B$9+10*(Presion_cilindro!$B$9-1)*Presion_cilindro!$B$33*(IF(Presion_cilindro!N637&gt;(-F$4+Presion_cilindro!$B$34),1-EXP(-Presion_cilindro!$B$16*((Presion_cilindro!N637-(-F$4+Presion_cilindro!$B$34))/Presion_cilindro!$B$35)^(Presion_cilindro!$B$17+1)),0)-IF(Presion_cilindro!N636&gt;(-F$4+Presion_cilindro!$B$34),1-EXP(-Presion_cilindro!$B$16*((Presion_cilindro!N636-(-F$4+Presion_cilindro!$B$34))/Presion_cilindro!$B$35)^(Presion_cilindro!$B$17+1)),0))/((Presion_cilindro!O636+Presion_cilindro!O637)/2)</f>
        <v>2.6397190735794056</v>
      </c>
      <c r="G645" s="27">
        <f>G644*(Presion_cilindro!O636/Presion_cilindro!O637)^Presion_cilindro!$B$9+10*(Presion_cilindro!$B$9-1)*Presion_cilindro!$B$33*(IF(Presion_cilindro!N637&gt;(-G$4+Presion_cilindro!$B$34),1-EXP(-Presion_cilindro!$B$16*((Presion_cilindro!N637-(-G$4+Presion_cilindro!$B$34))/Presion_cilindro!$B$35)^(Presion_cilindro!$B$17+1)),0)-IF(Presion_cilindro!N636&gt;(-G$4+Presion_cilindro!$B$34),1-EXP(-Presion_cilindro!$B$16*((Presion_cilindro!N636-(-G$4+Presion_cilindro!$B$34))/Presion_cilindro!$B$35)^(Presion_cilindro!$B$17+1)),0))/((Presion_cilindro!O636+Presion_cilindro!O637)/2)</f>
        <v>2.5935088502909918</v>
      </c>
      <c r="H645" s="27">
        <f>H644*(Presion_cilindro!O636/Presion_cilindro!O637)^Presion_cilindro!$B$9+10*(Presion_cilindro!$B$9-1)*Presion_cilindro!$B$33*(IF(Presion_cilindro!N637&gt;(-H$4+Presion_cilindro!$B$34),1-EXP(-Presion_cilindro!$B$16*((Presion_cilindro!N637-(-H$4+Presion_cilindro!$B$34))/Presion_cilindro!$B$35)^(Presion_cilindro!$B$17+1)),0)-IF(Presion_cilindro!N636&gt;(-H$4+Presion_cilindro!$B$34),1-EXP(-Presion_cilindro!$B$16*((Presion_cilindro!N636-(-H$4+Presion_cilindro!$B$34))/Presion_cilindro!$B$35)^(Presion_cilindro!$B$17+1)),0))/((Presion_cilindro!O636+Presion_cilindro!O637)/2)</f>
        <v>2.5662500529548127</v>
      </c>
      <c r="I645" s="27">
        <f>I644*(Presion_cilindro!O636/Presion_cilindro!O637)^Presion_cilindro!$B$9+10*(Presion_cilindro!$B$9-1)*Presion_cilindro!$B$33*(IF(Presion_cilindro!N637&gt;(-I$4+Presion_cilindro!$B$34),1-EXP(-Presion_cilindro!$B$16*((Presion_cilindro!N637-(-I$4+Presion_cilindro!$B$34))/Presion_cilindro!$B$35)^(Presion_cilindro!$B$17+1)),0)-IF(Presion_cilindro!N636&gt;(-I$4+Presion_cilindro!$B$34),1-EXP(-Presion_cilindro!$B$16*((Presion_cilindro!N636-(-I$4+Presion_cilindro!$B$34))/Presion_cilindro!$B$35)^(Presion_cilindro!$B$17+1)),0))/((Presion_cilindro!O636+Presion_cilindro!O637)/2)</f>
        <v>2.5597114279398241</v>
      </c>
      <c r="J645" s="27">
        <f>J644*(Presion_cilindro!O636/Presion_cilindro!O637)^Presion_cilindro!$B$9+10*(Presion_cilindro!$B$9-1)*Presion_cilindro!$B$33*(IF(Presion_cilindro!N637&gt;(-J$4+Presion_cilindro!$B$34),1-EXP(-Presion_cilindro!$B$16*((Presion_cilindro!N637-(-J$4+Presion_cilindro!$B$34))/Presion_cilindro!$B$35)^(Presion_cilindro!$B$17+1)),0)-IF(Presion_cilindro!N636&gt;(-J$4+Presion_cilindro!$B$34),1-EXP(-Presion_cilindro!$B$16*((Presion_cilindro!N636-(-J$4+Presion_cilindro!$B$34))/Presion_cilindro!$B$35)^(Presion_cilindro!$B$17+1)),0))/((Presion_cilindro!O636+Presion_cilindro!O637)/2)</f>
        <v>2.5743002140912532</v>
      </c>
      <c r="K645" s="27">
        <f>K644*(Presion_cilindro!O636/Presion_cilindro!O637)^Presion_cilindro!$B$9+10*(Presion_cilindro!$B$9-1)*Presion_cilindro!$B$33*(IF(Presion_cilindro!N637&gt;(-K$4+Presion_cilindro!$B$34),1-EXP(-Presion_cilindro!$B$16*((Presion_cilindro!N637-(-K$4+Presion_cilindro!$B$34))/Presion_cilindro!$B$35)^(Presion_cilindro!$B$17+1)),0)-IF(Presion_cilindro!N636&gt;(-K$4+Presion_cilindro!$B$34),1-EXP(-Presion_cilindro!$B$16*((Presion_cilindro!N636-(-K$4+Presion_cilindro!$B$34))/Presion_cilindro!$B$35)^(Presion_cilindro!$B$17+1)),0))/((Presion_cilindro!O636+Presion_cilindro!O637)/2)</f>
        <v>2.6089914650915804</v>
      </c>
      <c r="L645" s="27">
        <f>L644*(Presion_cilindro!O636/Presion_cilindro!O637)^Presion_cilindro!$B$9+10*(Presion_cilindro!$B$9-1)*Presion_cilindro!$B$33*(IF(Presion_cilindro!N637&gt;(-L$4+Presion_cilindro!$B$34),1-EXP(-Presion_cilindro!$B$16*((Presion_cilindro!N637-(-L$4+Presion_cilindro!$B$34))/Presion_cilindro!$B$35)^(Presion_cilindro!$B$17+1)),0)-IF(Presion_cilindro!N636&gt;(-L$4+Presion_cilindro!$B$34),1-EXP(-Presion_cilindro!$B$16*((Presion_cilindro!N636-(-L$4+Presion_cilindro!$B$34))/Presion_cilindro!$B$35)^(Presion_cilindro!$B$17+1)),0))/((Presion_cilindro!O636+Presion_cilindro!O637)/2)</f>
        <v>2.6615399404438631</v>
      </c>
      <c r="M645" s="27">
        <f>M644*(Presion_cilindro!O636/Presion_cilindro!O637)^Presion_cilindro!$B$9+10*(Presion_cilindro!$B$9-1)*Presion_cilindro!$B$33*(IF(Presion_cilindro!N637&gt;(-M$4+Presion_cilindro!$B$34),1-EXP(-Presion_cilindro!$B$16*((Presion_cilindro!N637-(-M$4+Presion_cilindro!$B$34))/Presion_cilindro!$B$35)^(Presion_cilindro!$B$17+1)),0)-IF(Presion_cilindro!N636&gt;(-M$4+Presion_cilindro!$B$34),1-EXP(-Presion_cilindro!$B$16*((Presion_cilindro!N636-(-M$4+Presion_cilindro!$B$34))/Presion_cilindro!$B$35)^(Presion_cilindro!$B$17+1)),0))/((Presion_cilindro!O636+Presion_cilindro!O637)/2)</f>
        <v>2.7288944219999811</v>
      </c>
      <c r="N645" s="27">
        <f>N644*(Presion_cilindro!O636/Presion_cilindro!O637)^Presion_cilindro!$B$9+10*(Presion_cilindro!$B$9-1)*Presion_cilindro!$B$33*(IF(Presion_cilindro!N637&gt;(-N$4+Presion_cilindro!$B$34),1-EXP(-Presion_cilindro!$B$16*((Presion_cilindro!N637-(-N$4+Presion_cilindro!$B$34))/Presion_cilindro!$B$35)^(Presion_cilindro!$B$17+1)),0)-IF(Presion_cilindro!N636&gt;(-N$4+Presion_cilindro!$B$34),1-EXP(-Presion_cilindro!$B$16*((Presion_cilindro!N636-(-N$4+Presion_cilindro!$B$34))/Presion_cilindro!$B$35)^(Presion_cilindro!$B$17+1)),0))/((Presion_cilindro!O636+Presion_cilindro!O637)/2)</f>
        <v>2.8076762403291879</v>
      </c>
    </row>
    <row r="646" spans="1:14" x14ac:dyDescent="0.25">
      <c r="A646" s="21">
        <f>Presion_cilindro!N638</f>
        <v>137</v>
      </c>
      <c r="B646" s="27">
        <f>B645*(Presion_cilindro!O637/Presion_cilindro!O638)^Presion_cilindro!$B$9+10*(Presion_cilindro!$B$9-1)*Presion_cilindro!$B$33*(IF(Presion_cilindro!N638&gt;(-B$4+Presion_cilindro!$B$34),1-EXP(-Presion_cilindro!$B$16*((Presion_cilindro!N638-(-B$4+Presion_cilindro!$B$34))/Presion_cilindro!$B$35)^(Presion_cilindro!$B$17+1)),0)-IF(Presion_cilindro!N637&gt;(-B$4+Presion_cilindro!$B$34),1-EXP(-Presion_cilindro!$B$16*((Presion_cilindro!N637-(-B$4+Presion_cilindro!$B$34))/Presion_cilindro!$B$35)^(Presion_cilindro!$B$17+1)),0))/((Presion_cilindro!O637+Presion_cilindro!O638)/2)</f>
        <v>2.9434112921241531</v>
      </c>
      <c r="C646" s="27">
        <f>C645*(Presion_cilindro!O637/Presion_cilindro!O638)^Presion_cilindro!$B$9+10*(Presion_cilindro!$B$9-1)*Presion_cilindro!$B$33*(IF(Presion_cilindro!N638&gt;(-C$4+Presion_cilindro!$B$34),1-EXP(-Presion_cilindro!$B$16*((Presion_cilindro!N638-(-C$4+Presion_cilindro!$B$34))/Presion_cilindro!$B$35)^(Presion_cilindro!$B$17+1)),0)-IF(Presion_cilindro!N637&gt;(-C$4+Presion_cilindro!$B$34),1-EXP(-Presion_cilindro!$B$16*((Presion_cilindro!N637-(-C$4+Presion_cilindro!$B$34))/Presion_cilindro!$B$35)^(Presion_cilindro!$B$17+1)),0))/((Presion_cilindro!O637+Presion_cilindro!O638)/2)</f>
        <v>2.852919756639293</v>
      </c>
      <c r="D646" s="27">
        <f>D645*(Presion_cilindro!O637/Presion_cilindro!O638)^Presion_cilindro!$B$9+10*(Presion_cilindro!$B$9-1)*Presion_cilindro!$B$33*(IF(Presion_cilindro!N638&gt;(-D$4+Presion_cilindro!$B$34),1-EXP(-Presion_cilindro!$B$16*((Presion_cilindro!N638-(-D$4+Presion_cilindro!$B$34))/Presion_cilindro!$B$35)^(Presion_cilindro!$B$17+1)),0)-IF(Presion_cilindro!N637&gt;(-D$4+Presion_cilindro!$B$34),1-EXP(-Presion_cilindro!$B$16*((Presion_cilindro!N637-(-D$4+Presion_cilindro!$B$34))/Presion_cilindro!$B$35)^(Presion_cilindro!$B$17+1)),0))/((Presion_cilindro!O637+Presion_cilindro!O638)/2)</f>
        <v>2.7686401151764652</v>
      </c>
      <c r="E646" s="27">
        <f>E645*(Presion_cilindro!O637/Presion_cilindro!O638)^Presion_cilindro!$B$9+10*(Presion_cilindro!$B$9-1)*Presion_cilindro!$B$33*(IF(Presion_cilindro!N638&gt;(-E$4+Presion_cilindro!$B$34),1-EXP(-Presion_cilindro!$B$16*((Presion_cilindro!N638-(-E$4+Presion_cilindro!$B$34))/Presion_cilindro!$B$35)^(Presion_cilindro!$B$17+1)),0)-IF(Presion_cilindro!N637&gt;(-E$4+Presion_cilindro!$B$34),1-EXP(-Presion_cilindro!$B$16*((Presion_cilindro!N637-(-E$4+Presion_cilindro!$B$34))/Presion_cilindro!$B$35)^(Presion_cilindro!$B$17+1)),0))/((Presion_cilindro!O637+Presion_cilindro!O638)/2)</f>
        <v>2.6937076759566514</v>
      </c>
      <c r="F646" s="27">
        <f>F645*(Presion_cilindro!O637/Presion_cilindro!O638)^Presion_cilindro!$B$9+10*(Presion_cilindro!$B$9-1)*Presion_cilindro!$B$33*(IF(Presion_cilindro!N638&gt;(-F$4+Presion_cilindro!$B$34),1-EXP(-Presion_cilindro!$B$16*((Presion_cilindro!N638-(-F$4+Presion_cilindro!$B$34))/Presion_cilindro!$B$35)^(Presion_cilindro!$B$17+1)),0)-IF(Presion_cilindro!N637&gt;(-F$4+Presion_cilindro!$B$34),1-EXP(-Presion_cilindro!$B$16*((Presion_cilindro!N637-(-F$4+Presion_cilindro!$B$34))/Presion_cilindro!$B$35)^(Presion_cilindro!$B$17+1)),0))/((Presion_cilindro!O637+Presion_cilindro!O638)/2)</f>
        <v>2.6315379901023985</v>
      </c>
      <c r="G646" s="27">
        <f>G645*(Presion_cilindro!O637/Presion_cilindro!O638)^Presion_cilindro!$B$9+10*(Presion_cilindro!$B$9-1)*Presion_cilindro!$B$33*(IF(Presion_cilindro!N638&gt;(-G$4+Presion_cilindro!$B$34),1-EXP(-Presion_cilindro!$B$16*((Presion_cilindro!N638-(-G$4+Presion_cilindro!$B$34))/Presion_cilindro!$B$35)^(Presion_cilindro!$B$17+1)),0)-IF(Presion_cilindro!N637&gt;(-G$4+Presion_cilindro!$B$34),1-EXP(-Presion_cilindro!$B$16*((Presion_cilindro!N637-(-G$4+Presion_cilindro!$B$34))/Presion_cilindro!$B$35)^(Presion_cilindro!$B$17+1)),0))/((Presion_cilindro!O637+Presion_cilindro!O638)/2)</f>
        <v>2.5854709826955524</v>
      </c>
      <c r="H646" s="27">
        <f>H645*(Presion_cilindro!O637/Presion_cilindro!O638)^Presion_cilindro!$B$9+10*(Presion_cilindro!$B$9-1)*Presion_cilindro!$B$33*(IF(Presion_cilindro!N638&gt;(-H$4+Presion_cilindro!$B$34),1-EXP(-Presion_cilindro!$B$16*((Presion_cilindro!N638-(-H$4+Presion_cilindro!$B$34))/Presion_cilindro!$B$35)^(Presion_cilindro!$B$17+1)),0)-IF(Presion_cilindro!N637&gt;(-H$4+Presion_cilindro!$B$34),1-EXP(-Presion_cilindro!$B$16*((Presion_cilindro!N637-(-H$4+Presion_cilindro!$B$34))/Presion_cilindro!$B$35)^(Presion_cilindro!$B$17+1)),0))/((Presion_cilindro!O637+Presion_cilindro!O638)/2)</f>
        <v>2.558296666506902</v>
      </c>
      <c r="I646" s="27">
        <f>I645*(Presion_cilindro!O637/Presion_cilindro!O638)^Presion_cilindro!$B$9+10*(Presion_cilindro!$B$9-1)*Presion_cilindro!$B$33*(IF(Presion_cilindro!N638&gt;(-I$4+Presion_cilindro!$B$34),1-EXP(-Presion_cilindro!$B$16*((Presion_cilindro!N638-(-I$4+Presion_cilindro!$B$34))/Presion_cilindro!$B$35)^(Presion_cilindro!$B$17+1)),0)-IF(Presion_cilindro!N637&gt;(-I$4+Presion_cilindro!$B$34),1-EXP(-Presion_cilindro!$B$16*((Presion_cilindro!N637-(-I$4+Presion_cilindro!$B$34))/Presion_cilindro!$B$35)^(Presion_cilindro!$B$17+1)),0))/((Presion_cilindro!O637+Presion_cilindro!O638)/2)</f>
        <v>2.5517783061623507</v>
      </c>
      <c r="J646" s="27">
        <f>J645*(Presion_cilindro!O637/Presion_cilindro!O638)^Presion_cilindro!$B$9+10*(Presion_cilindro!$B$9-1)*Presion_cilindro!$B$33*(IF(Presion_cilindro!N638&gt;(-J$4+Presion_cilindro!$B$34),1-EXP(-Presion_cilindro!$B$16*((Presion_cilindro!N638-(-J$4+Presion_cilindro!$B$34))/Presion_cilindro!$B$35)^(Presion_cilindro!$B$17+1)),0)-IF(Presion_cilindro!N637&gt;(-J$4+Presion_cilindro!$B$34),1-EXP(-Presion_cilindro!$B$16*((Presion_cilindro!N637-(-J$4+Presion_cilindro!$B$34))/Presion_cilindro!$B$35)^(Presion_cilindro!$B$17+1)),0))/((Presion_cilindro!O637+Presion_cilindro!O638)/2)</f>
        <v>2.5663218783822943</v>
      </c>
      <c r="K646" s="27">
        <f>K645*(Presion_cilindro!O637/Presion_cilindro!O638)^Presion_cilindro!$B$9+10*(Presion_cilindro!$B$9-1)*Presion_cilindro!$B$33*(IF(Presion_cilindro!N638&gt;(-K$4+Presion_cilindro!$B$34),1-EXP(-Presion_cilindro!$B$16*((Presion_cilindro!N638-(-K$4+Presion_cilindro!$B$34))/Presion_cilindro!$B$35)^(Presion_cilindro!$B$17+1)),0)-IF(Presion_cilindro!N637&gt;(-K$4+Presion_cilindro!$B$34),1-EXP(-Presion_cilindro!$B$16*((Presion_cilindro!N637-(-K$4+Presion_cilindro!$B$34))/Presion_cilindro!$B$35)^(Presion_cilindro!$B$17+1)),0))/((Presion_cilindro!O637+Presion_cilindro!O638)/2)</f>
        <v>2.600905613388516</v>
      </c>
      <c r="L646" s="27">
        <f>L645*(Presion_cilindro!O637/Presion_cilindro!O638)^Presion_cilindro!$B$9+10*(Presion_cilindro!$B$9-1)*Presion_cilindro!$B$33*(IF(Presion_cilindro!N638&gt;(-L$4+Presion_cilindro!$B$34),1-EXP(-Presion_cilindro!$B$16*((Presion_cilindro!N638-(-L$4+Presion_cilindro!$B$34))/Presion_cilindro!$B$35)^(Presion_cilindro!$B$17+1)),0)-IF(Presion_cilindro!N637&gt;(-L$4+Presion_cilindro!$B$34),1-EXP(-Presion_cilindro!$B$16*((Presion_cilindro!N637-(-L$4+Presion_cilindro!$B$34))/Presion_cilindro!$B$35)^(Presion_cilindro!$B$17+1)),0))/((Presion_cilindro!O637+Presion_cilindro!O638)/2)</f>
        <v>2.6532912291896635</v>
      </c>
      <c r="M646" s="27">
        <f>M645*(Presion_cilindro!O637/Presion_cilindro!O638)^Presion_cilindro!$B$9+10*(Presion_cilindro!$B$9-1)*Presion_cilindro!$B$33*(IF(Presion_cilindro!N638&gt;(-M$4+Presion_cilindro!$B$34),1-EXP(-Presion_cilindro!$B$16*((Presion_cilindro!N638-(-M$4+Presion_cilindro!$B$34))/Presion_cilindro!$B$35)^(Presion_cilindro!$B$17+1)),0)-IF(Presion_cilindro!N637&gt;(-M$4+Presion_cilindro!$B$34),1-EXP(-Presion_cilindro!$B$16*((Presion_cilindro!N637-(-M$4+Presion_cilindro!$B$34))/Presion_cilindro!$B$35)^(Presion_cilindro!$B$17+1)),0))/((Presion_cilindro!O637+Presion_cilindro!O638)/2)</f>
        <v>2.7204369640493331</v>
      </c>
      <c r="N646" s="27">
        <f>N645*(Presion_cilindro!O637/Presion_cilindro!O638)^Presion_cilindro!$B$9+10*(Presion_cilindro!$B$9-1)*Presion_cilindro!$B$33*(IF(Presion_cilindro!N638&gt;(-N$4+Presion_cilindro!$B$34),1-EXP(-Presion_cilindro!$B$16*((Presion_cilindro!N638-(-N$4+Presion_cilindro!$B$34))/Presion_cilindro!$B$35)^(Presion_cilindro!$B$17+1)),0)-IF(Presion_cilindro!N637&gt;(-N$4+Presion_cilindro!$B$34),1-EXP(-Presion_cilindro!$B$16*((Presion_cilindro!N637-(-N$4+Presion_cilindro!$B$34))/Presion_cilindro!$B$35)^(Presion_cilindro!$B$17+1)),0))/((Presion_cilindro!O637+Presion_cilindro!O638)/2)</f>
        <v>2.7989746197937131</v>
      </c>
    </row>
    <row r="647" spans="1:14" x14ac:dyDescent="0.25">
      <c r="A647" s="21">
        <f>Presion_cilindro!N639</f>
        <v>137.5</v>
      </c>
      <c r="B647" s="27">
        <f>B646*(Presion_cilindro!O638/Presion_cilindro!O639)^Presion_cilindro!$B$9+10*(Presion_cilindro!$B$9-1)*Presion_cilindro!$B$33*(IF(Presion_cilindro!N639&gt;(-B$4+Presion_cilindro!$B$34),1-EXP(-Presion_cilindro!$B$16*((Presion_cilindro!N639-(-B$4+Presion_cilindro!$B$34))/Presion_cilindro!$B$35)^(Presion_cilindro!$B$17+1)),0)-IF(Presion_cilindro!N638&gt;(-B$4+Presion_cilindro!$B$34),1-EXP(-Presion_cilindro!$B$16*((Presion_cilindro!N638-(-B$4+Presion_cilindro!$B$34))/Presion_cilindro!$B$35)^(Presion_cilindro!$B$17+1)),0))/((Presion_cilindro!O638+Presion_cilindro!O639)/2)</f>
        <v>2.9344136428882344</v>
      </c>
      <c r="C647" s="27">
        <f>C646*(Presion_cilindro!O638/Presion_cilindro!O639)^Presion_cilindro!$B$9+10*(Presion_cilindro!$B$9-1)*Presion_cilindro!$B$33*(IF(Presion_cilindro!N639&gt;(-C$4+Presion_cilindro!$B$34),1-EXP(-Presion_cilindro!$B$16*((Presion_cilindro!N639-(-C$4+Presion_cilindro!$B$34))/Presion_cilindro!$B$35)^(Presion_cilindro!$B$17+1)),0)-IF(Presion_cilindro!N638&gt;(-C$4+Presion_cilindro!$B$34),1-EXP(-Presion_cilindro!$B$16*((Presion_cilindro!N638-(-C$4+Presion_cilindro!$B$34))/Presion_cilindro!$B$35)^(Presion_cilindro!$B$17+1)),0))/((Presion_cilindro!O638+Presion_cilindro!O639)/2)</f>
        <v>2.8441987289877555</v>
      </c>
      <c r="D647" s="27">
        <f>D646*(Presion_cilindro!O638/Presion_cilindro!O639)^Presion_cilindro!$B$9+10*(Presion_cilindro!$B$9-1)*Presion_cilindro!$B$33*(IF(Presion_cilindro!N639&gt;(-D$4+Presion_cilindro!$B$34),1-EXP(-Presion_cilindro!$B$16*((Presion_cilindro!N639-(-D$4+Presion_cilindro!$B$34))/Presion_cilindro!$B$35)^(Presion_cilindro!$B$17+1)),0)-IF(Presion_cilindro!N638&gt;(-D$4+Presion_cilindro!$B$34),1-EXP(-Presion_cilindro!$B$16*((Presion_cilindro!N638-(-D$4+Presion_cilindro!$B$34))/Presion_cilindro!$B$35)^(Presion_cilindro!$B$17+1)),0))/((Presion_cilindro!O638+Presion_cilindro!O639)/2)</f>
        <v>2.760176720107109</v>
      </c>
      <c r="E647" s="27">
        <f>E646*(Presion_cilindro!O638/Presion_cilindro!O639)^Presion_cilindro!$B$9+10*(Presion_cilindro!$B$9-1)*Presion_cilindro!$B$33*(IF(Presion_cilindro!N639&gt;(-E$4+Presion_cilindro!$B$34),1-EXP(-Presion_cilindro!$B$16*((Presion_cilindro!N639-(-E$4+Presion_cilindro!$B$34))/Presion_cilindro!$B$35)^(Presion_cilindro!$B$17+1)),0)-IF(Presion_cilindro!N638&gt;(-E$4+Presion_cilindro!$B$34),1-EXP(-Presion_cilindro!$B$16*((Presion_cilindro!N638-(-E$4+Presion_cilindro!$B$34))/Presion_cilindro!$B$35)^(Presion_cilindro!$B$17+1)),0))/((Presion_cilindro!O638+Presion_cilindro!O639)/2)</f>
        <v>2.6854733402125399</v>
      </c>
      <c r="F647" s="27">
        <f>F646*(Presion_cilindro!O638/Presion_cilindro!O639)^Presion_cilindro!$B$9+10*(Presion_cilindro!$B$9-1)*Presion_cilindro!$B$33*(IF(Presion_cilindro!N639&gt;(-F$4+Presion_cilindro!$B$34),1-EXP(-Presion_cilindro!$B$16*((Presion_cilindro!N639-(-F$4+Presion_cilindro!$B$34))/Presion_cilindro!$B$35)^(Presion_cilindro!$B$17+1)),0)-IF(Presion_cilindro!N638&gt;(-F$4+Presion_cilindro!$B$34),1-EXP(-Presion_cilindro!$B$16*((Presion_cilindro!N638-(-F$4+Presion_cilindro!$B$34))/Presion_cilindro!$B$35)^(Presion_cilindro!$B$17+1)),0))/((Presion_cilindro!O638+Presion_cilindro!O639)/2)</f>
        <v>2.6234936995034968</v>
      </c>
      <c r="G647" s="27">
        <f>G646*(Presion_cilindro!O638/Presion_cilindro!O639)^Presion_cilindro!$B$9+10*(Presion_cilindro!$B$9-1)*Presion_cilindro!$B$33*(IF(Presion_cilindro!N639&gt;(-G$4+Presion_cilindro!$B$34),1-EXP(-Presion_cilindro!$B$16*((Presion_cilindro!N639-(-G$4+Presion_cilindro!$B$34))/Presion_cilindro!$B$35)^(Presion_cilindro!$B$17+1)),0)-IF(Presion_cilindro!N638&gt;(-G$4+Presion_cilindro!$B$34),1-EXP(-Presion_cilindro!$B$16*((Presion_cilindro!N638-(-G$4+Presion_cilindro!$B$34))/Presion_cilindro!$B$35)^(Presion_cilindro!$B$17+1)),0))/((Presion_cilindro!O638+Presion_cilindro!O639)/2)</f>
        <v>2.5775675133183076</v>
      </c>
      <c r="H647" s="27">
        <f>H646*(Presion_cilindro!O638/Presion_cilindro!O639)^Presion_cilindro!$B$9+10*(Presion_cilindro!$B$9-1)*Presion_cilindro!$B$33*(IF(Presion_cilindro!N639&gt;(-H$4+Presion_cilindro!$B$34),1-EXP(-Presion_cilindro!$B$16*((Presion_cilindro!N639-(-H$4+Presion_cilindro!$B$34))/Presion_cilindro!$B$35)^(Presion_cilindro!$B$17+1)),0)-IF(Presion_cilindro!N638&gt;(-H$4+Presion_cilindro!$B$34),1-EXP(-Presion_cilindro!$B$16*((Presion_cilindro!N638-(-H$4+Presion_cilindro!$B$34))/Presion_cilindro!$B$35)^(Presion_cilindro!$B$17+1)),0))/((Presion_cilindro!O638+Presion_cilindro!O639)/2)</f>
        <v>2.5504762656990905</v>
      </c>
      <c r="I647" s="27">
        <f>I646*(Presion_cilindro!O638/Presion_cilindro!O639)^Presion_cilindro!$B$9+10*(Presion_cilindro!$B$9-1)*Presion_cilindro!$B$33*(IF(Presion_cilindro!N639&gt;(-I$4+Presion_cilindro!$B$34),1-EXP(-Presion_cilindro!$B$16*((Presion_cilindro!N639-(-I$4+Presion_cilindro!$B$34))/Presion_cilindro!$B$35)^(Presion_cilindro!$B$17+1)),0)-IF(Presion_cilindro!N638&gt;(-I$4+Presion_cilindro!$B$34),1-EXP(-Presion_cilindro!$B$16*((Presion_cilindro!N638-(-I$4+Presion_cilindro!$B$34))/Presion_cilindro!$B$35)^(Presion_cilindro!$B$17+1)),0))/((Presion_cilindro!O638+Presion_cilindro!O639)/2)</f>
        <v>2.5439778311868992</v>
      </c>
      <c r="J647" s="27">
        <f>J646*(Presion_cilindro!O638/Presion_cilindro!O639)^Presion_cilindro!$B$9+10*(Presion_cilindro!$B$9-1)*Presion_cilindro!$B$33*(IF(Presion_cilindro!N639&gt;(-J$4+Presion_cilindro!$B$34),1-EXP(-Presion_cilindro!$B$16*((Presion_cilindro!N639-(-J$4+Presion_cilindro!$B$34))/Presion_cilindro!$B$35)^(Presion_cilindro!$B$17+1)),0)-IF(Presion_cilindro!N638&gt;(-J$4+Presion_cilindro!$B$34),1-EXP(-Presion_cilindro!$B$16*((Presion_cilindro!N638-(-J$4+Presion_cilindro!$B$34))/Presion_cilindro!$B$35)^(Presion_cilindro!$B$17+1)),0))/((Presion_cilindro!O638+Presion_cilindro!O639)/2)</f>
        <v>2.5584769454808227</v>
      </c>
      <c r="K647" s="27">
        <f>K646*(Presion_cilindro!O638/Presion_cilindro!O639)^Presion_cilindro!$B$9+10*(Presion_cilindro!$B$9-1)*Presion_cilindro!$B$33*(IF(Presion_cilindro!N639&gt;(-K$4+Presion_cilindro!$B$34),1-EXP(-Presion_cilindro!$B$16*((Presion_cilindro!N639-(-K$4+Presion_cilindro!$B$34))/Presion_cilindro!$B$35)^(Presion_cilindro!$B$17+1)),0)-IF(Presion_cilindro!N638&gt;(-K$4+Presion_cilindro!$B$34),1-EXP(-Presion_cilindro!$B$16*((Presion_cilindro!N638-(-K$4+Presion_cilindro!$B$34))/Presion_cilindro!$B$35)^(Presion_cilindro!$B$17+1)),0))/((Presion_cilindro!O638+Presion_cilindro!O639)/2)</f>
        <v>2.5929549622282044</v>
      </c>
      <c r="L647" s="27">
        <f>L646*(Presion_cilindro!O638/Presion_cilindro!O639)^Presion_cilindro!$B$9+10*(Presion_cilindro!$B$9-1)*Presion_cilindro!$B$33*(IF(Presion_cilindro!N639&gt;(-L$4+Presion_cilindro!$B$34),1-EXP(-Presion_cilindro!$B$16*((Presion_cilindro!N639-(-L$4+Presion_cilindro!$B$34))/Presion_cilindro!$B$35)^(Presion_cilindro!$B$17+1)),0)-IF(Presion_cilindro!N638&gt;(-L$4+Presion_cilindro!$B$34),1-EXP(-Presion_cilindro!$B$16*((Presion_cilindro!N638-(-L$4+Presion_cilindro!$B$34))/Presion_cilindro!$B$35)^(Presion_cilindro!$B$17+1)),0))/((Presion_cilindro!O638+Presion_cilindro!O639)/2)</f>
        <v>2.6451804415926778</v>
      </c>
      <c r="M647" s="27">
        <f>M646*(Presion_cilindro!O638/Presion_cilindro!O639)^Presion_cilindro!$B$9+10*(Presion_cilindro!$B$9-1)*Presion_cilindro!$B$33*(IF(Presion_cilindro!N639&gt;(-M$4+Presion_cilindro!$B$34),1-EXP(-Presion_cilindro!$B$16*((Presion_cilindro!N639-(-M$4+Presion_cilindro!$B$34))/Presion_cilindro!$B$35)^(Presion_cilindro!$B$17+1)),0)-IF(Presion_cilindro!N638&gt;(-M$4+Presion_cilindro!$B$34),1-EXP(-Presion_cilindro!$B$16*((Presion_cilindro!N638-(-M$4+Presion_cilindro!$B$34))/Presion_cilindro!$B$35)^(Presion_cilindro!$B$17+1)),0))/((Presion_cilindro!O638+Presion_cilindro!O639)/2)</f>
        <v>2.7121209201323859</v>
      </c>
      <c r="N647" s="27">
        <f>N646*(Presion_cilindro!O638/Presion_cilindro!O639)^Presion_cilindro!$B$9+10*(Presion_cilindro!$B$9-1)*Presion_cilindro!$B$33*(IF(Presion_cilindro!N639&gt;(-N$4+Presion_cilindro!$B$34),1-EXP(-Presion_cilindro!$B$16*((Presion_cilindro!N639-(-N$4+Presion_cilindro!$B$34))/Presion_cilindro!$B$35)^(Presion_cilindro!$B$17+1)),0)-IF(Presion_cilindro!N638&gt;(-N$4+Presion_cilindro!$B$34),1-EXP(-Presion_cilindro!$B$16*((Presion_cilindro!N638-(-N$4+Presion_cilindro!$B$34))/Presion_cilindro!$B$35)^(Presion_cilindro!$B$17+1)),0))/((Presion_cilindro!O638+Presion_cilindro!O639)/2)</f>
        <v>2.7904184958444271</v>
      </c>
    </row>
    <row r="648" spans="1:14" x14ac:dyDescent="0.25">
      <c r="A648" s="21">
        <f>Presion_cilindro!N640</f>
        <v>138</v>
      </c>
      <c r="B648" s="27">
        <f>B647*(Presion_cilindro!O639/Presion_cilindro!O640)^Presion_cilindro!$B$9+10*(Presion_cilindro!$B$9-1)*Presion_cilindro!$B$33*(IF(Presion_cilindro!N640&gt;(-B$4+Presion_cilindro!$B$34),1-EXP(-Presion_cilindro!$B$16*((Presion_cilindro!N640-(-B$4+Presion_cilindro!$B$34))/Presion_cilindro!$B$35)^(Presion_cilindro!$B$17+1)),0)-IF(Presion_cilindro!N639&gt;(-B$4+Presion_cilindro!$B$34),1-EXP(-Presion_cilindro!$B$16*((Presion_cilindro!N639-(-B$4+Presion_cilindro!$B$34))/Presion_cilindro!$B$35)^(Presion_cilindro!$B$17+1)),0))/((Presion_cilindro!O639+Presion_cilindro!O640)/2)</f>
        <v>2.9255670891242533</v>
      </c>
      <c r="C648" s="27">
        <f>C647*(Presion_cilindro!O639/Presion_cilindro!O640)^Presion_cilindro!$B$9+10*(Presion_cilindro!$B$9-1)*Presion_cilindro!$B$33*(IF(Presion_cilindro!N640&gt;(-C$4+Presion_cilindro!$B$34),1-EXP(-Presion_cilindro!$B$16*((Presion_cilindro!N640-(-C$4+Presion_cilindro!$B$34))/Presion_cilindro!$B$35)^(Presion_cilindro!$B$17+1)),0)-IF(Presion_cilindro!N639&gt;(-C$4+Presion_cilindro!$B$34),1-EXP(-Presion_cilindro!$B$16*((Presion_cilindro!N639-(-C$4+Presion_cilindro!$B$34))/Presion_cilindro!$B$35)^(Presion_cilindro!$B$17+1)),0))/((Presion_cilindro!O639+Presion_cilindro!O640)/2)</f>
        <v>2.8356241515649656</v>
      </c>
      <c r="D648" s="27">
        <f>D647*(Presion_cilindro!O639/Presion_cilindro!O640)^Presion_cilindro!$B$9+10*(Presion_cilindro!$B$9-1)*Presion_cilindro!$B$33*(IF(Presion_cilindro!N640&gt;(-D$4+Presion_cilindro!$B$34),1-EXP(-Presion_cilindro!$B$16*((Presion_cilindro!N640-(-D$4+Presion_cilindro!$B$34))/Presion_cilindro!$B$35)^(Presion_cilindro!$B$17+1)),0)-IF(Presion_cilindro!N639&gt;(-D$4+Presion_cilindro!$B$34),1-EXP(-Presion_cilindro!$B$16*((Presion_cilindro!N639-(-D$4+Presion_cilindro!$B$34))/Presion_cilindro!$B$35)^(Presion_cilindro!$B$17+1)),0))/((Presion_cilindro!O639+Presion_cilindro!O640)/2)</f>
        <v>2.7518554489012943</v>
      </c>
      <c r="E648" s="27">
        <f>E647*(Presion_cilindro!O639/Presion_cilindro!O640)^Presion_cilindro!$B$9+10*(Presion_cilindro!$B$9-1)*Presion_cilindro!$B$33*(IF(Presion_cilindro!N640&gt;(-E$4+Presion_cilindro!$B$34),1-EXP(-Presion_cilindro!$B$16*((Presion_cilindro!N640-(-E$4+Presion_cilindro!$B$34))/Presion_cilindro!$B$35)^(Presion_cilindro!$B$17+1)),0)-IF(Presion_cilindro!N639&gt;(-E$4+Presion_cilindro!$B$34),1-EXP(-Presion_cilindro!$B$16*((Presion_cilindro!N639-(-E$4+Presion_cilindro!$B$34))/Presion_cilindro!$B$35)^(Presion_cilindro!$B$17+1)),0))/((Presion_cilindro!O639+Presion_cilindro!O640)/2)</f>
        <v>2.6773772817909518</v>
      </c>
      <c r="F648" s="27">
        <f>F647*(Presion_cilindro!O639/Presion_cilindro!O640)^Presion_cilindro!$B$9+10*(Presion_cilindro!$B$9-1)*Presion_cilindro!$B$33*(IF(Presion_cilindro!N640&gt;(-F$4+Presion_cilindro!$B$34),1-EXP(-Presion_cilindro!$B$16*((Presion_cilindro!N640-(-F$4+Presion_cilindro!$B$34))/Presion_cilindro!$B$35)^(Presion_cilindro!$B$17+1)),0)-IF(Presion_cilindro!N639&gt;(-F$4+Presion_cilindro!$B$34),1-EXP(-Presion_cilindro!$B$16*((Presion_cilindro!N639-(-F$4+Presion_cilindro!$B$34))/Presion_cilindro!$B$35)^(Presion_cilindro!$B$17+1)),0))/((Presion_cilindro!O639+Presion_cilindro!O640)/2)</f>
        <v>2.6155844948423299</v>
      </c>
      <c r="G648" s="27">
        <f>G647*(Presion_cilindro!O639/Presion_cilindro!O640)^Presion_cilindro!$B$9+10*(Presion_cilindro!$B$9-1)*Presion_cilindro!$B$33*(IF(Presion_cilindro!N640&gt;(-G$4+Presion_cilindro!$B$34),1-EXP(-Presion_cilindro!$B$16*((Presion_cilindro!N640-(-G$4+Presion_cilindro!$B$34))/Presion_cilindro!$B$35)^(Presion_cilindro!$B$17+1)),0)-IF(Presion_cilindro!N639&gt;(-G$4+Presion_cilindro!$B$34),1-EXP(-Presion_cilindro!$B$16*((Presion_cilindro!N639-(-G$4+Presion_cilindro!$B$34))/Presion_cilindro!$B$35)^(Presion_cilindro!$B$17+1)),0))/((Presion_cilindro!O639+Presion_cilindro!O640)/2)</f>
        <v>2.5697967651001328</v>
      </c>
      <c r="H648" s="27">
        <f>H647*(Presion_cilindro!O639/Presion_cilindro!O640)^Presion_cilindro!$B$9+10*(Presion_cilindro!$B$9-1)*Presion_cilindro!$B$33*(IF(Presion_cilindro!N640&gt;(-H$4+Presion_cilindro!$B$34),1-EXP(-Presion_cilindro!$B$16*((Presion_cilindro!N640-(-H$4+Presion_cilindro!$B$34))/Presion_cilindro!$B$35)^(Presion_cilindro!$B$17+1)),0)-IF(Presion_cilindro!N639&gt;(-H$4+Presion_cilindro!$B$34),1-EXP(-Presion_cilindro!$B$16*((Presion_cilindro!N639-(-H$4+Presion_cilindro!$B$34))/Presion_cilindro!$B$35)^(Presion_cilindro!$B$17+1)),0))/((Presion_cilindro!O639+Presion_cilindro!O640)/2)</f>
        <v>2.5427871910988045</v>
      </c>
      <c r="I648" s="27">
        <f>I647*(Presion_cilindro!O639/Presion_cilindro!O640)^Presion_cilindro!$B$9+10*(Presion_cilindro!$B$9-1)*Presion_cilindro!$B$33*(IF(Presion_cilindro!N640&gt;(-I$4+Presion_cilindro!$B$34),1-EXP(-Presion_cilindro!$B$16*((Presion_cilindro!N640-(-I$4+Presion_cilindro!$B$34))/Presion_cilindro!$B$35)^(Presion_cilindro!$B$17+1)),0)-IF(Presion_cilindro!N639&gt;(-I$4+Presion_cilindro!$B$34),1-EXP(-Presion_cilindro!$B$16*((Presion_cilindro!N639-(-I$4+Presion_cilindro!$B$34))/Presion_cilindro!$B$35)^(Presion_cilindro!$B$17+1)),0))/((Presion_cilindro!O639+Presion_cilindro!O640)/2)</f>
        <v>2.536308347809014</v>
      </c>
      <c r="J648" s="27">
        <f>J647*(Presion_cilindro!O639/Presion_cilindro!O640)^Presion_cilindro!$B$9+10*(Presion_cilindro!$B$9-1)*Presion_cilindro!$B$33*(IF(Presion_cilindro!N640&gt;(-J$4+Presion_cilindro!$B$34),1-EXP(-Presion_cilindro!$B$16*((Presion_cilindro!N640-(-J$4+Presion_cilindro!$B$34))/Presion_cilindro!$B$35)^(Presion_cilindro!$B$17+1)),0)-IF(Presion_cilindro!N639&gt;(-J$4+Presion_cilindro!$B$34),1-EXP(-Presion_cilindro!$B$16*((Presion_cilindro!N639-(-J$4+Presion_cilindro!$B$34))/Presion_cilindro!$B$35)^(Presion_cilindro!$B$17+1)),0))/((Presion_cilindro!O639+Presion_cilindro!O640)/2)</f>
        <v>2.5507637507487315</v>
      </c>
      <c r="K648" s="27">
        <f>K647*(Presion_cilindro!O639/Presion_cilindro!O640)^Presion_cilindro!$B$9+10*(Presion_cilindro!$B$9-1)*Presion_cilindro!$B$33*(IF(Presion_cilindro!N640&gt;(-K$4+Presion_cilindro!$B$34),1-EXP(-Presion_cilindro!$B$16*((Presion_cilindro!N640-(-K$4+Presion_cilindro!$B$34))/Presion_cilindro!$B$35)^(Presion_cilindro!$B$17+1)),0)-IF(Presion_cilindro!N639&gt;(-K$4+Presion_cilindro!$B$34),1-EXP(-Presion_cilindro!$B$16*((Presion_cilindro!N639-(-K$4+Presion_cilindro!$B$34))/Presion_cilindro!$B$35)^(Presion_cilindro!$B$17+1)),0))/((Presion_cilindro!O639+Presion_cilindro!O640)/2)</f>
        <v>2.5851378245398875</v>
      </c>
      <c r="L648" s="27">
        <f>L647*(Presion_cilindro!O639/Presion_cilindro!O640)^Presion_cilindro!$B$9+10*(Presion_cilindro!$B$9-1)*Presion_cilindro!$B$33*(IF(Presion_cilindro!N640&gt;(-L$4+Presion_cilindro!$B$34),1-EXP(-Presion_cilindro!$B$16*((Presion_cilindro!N640-(-L$4+Presion_cilindro!$B$34))/Presion_cilindro!$B$35)^(Presion_cilindro!$B$17+1)),0)-IF(Presion_cilindro!N639&gt;(-L$4+Presion_cilindro!$B$34),1-EXP(-Presion_cilindro!$B$16*((Presion_cilindro!N639-(-L$4+Presion_cilindro!$B$34))/Presion_cilindro!$B$35)^(Presion_cilindro!$B$17+1)),0))/((Presion_cilindro!O639+Presion_cilindro!O640)/2)</f>
        <v>2.6372058566023533</v>
      </c>
      <c r="M648" s="27">
        <f>M647*(Presion_cilindro!O639/Presion_cilindro!O640)^Presion_cilindro!$B$9+10*(Presion_cilindro!$B$9-1)*Presion_cilindro!$B$33*(IF(Presion_cilindro!N640&gt;(-M$4+Presion_cilindro!$B$34),1-EXP(-Presion_cilindro!$B$16*((Presion_cilindro!N640-(-M$4+Presion_cilindro!$B$34))/Presion_cilindro!$B$35)^(Presion_cilindro!$B$17+1)),0)-IF(Presion_cilindro!N639&gt;(-M$4+Presion_cilindro!$B$34),1-EXP(-Presion_cilindro!$B$16*((Presion_cilindro!N639-(-M$4+Presion_cilindro!$B$34))/Presion_cilindro!$B$35)^(Presion_cilindro!$B$17+1)),0))/((Presion_cilindro!O639+Presion_cilindro!O640)/2)</f>
        <v>2.703944525644677</v>
      </c>
      <c r="N648" s="27">
        <f>N647*(Presion_cilindro!O639/Presion_cilindro!O640)^Presion_cilindro!$B$9+10*(Presion_cilindro!$B$9-1)*Presion_cilindro!$B$33*(IF(Presion_cilindro!N640&gt;(-N$4+Presion_cilindro!$B$34),1-EXP(-Presion_cilindro!$B$16*((Presion_cilindro!N640-(-N$4+Presion_cilindro!$B$34))/Presion_cilindro!$B$35)^(Presion_cilindro!$B$17+1)),0)-IF(Presion_cilindro!N639&gt;(-N$4+Presion_cilindro!$B$34),1-EXP(-Presion_cilindro!$B$16*((Presion_cilindro!N639-(-N$4+Presion_cilindro!$B$34))/Presion_cilindro!$B$35)^(Presion_cilindro!$B$17+1)),0))/((Presion_cilindro!O639+Presion_cilindro!O640)/2)</f>
        <v>2.7820060529336188</v>
      </c>
    </row>
    <row r="649" spans="1:14" x14ac:dyDescent="0.25">
      <c r="A649" s="21">
        <f>Presion_cilindro!N641</f>
        <v>138.5</v>
      </c>
      <c r="B649" s="27">
        <f>B648*(Presion_cilindro!O640/Presion_cilindro!O641)^Presion_cilindro!$B$9+10*(Presion_cilindro!$B$9-1)*Presion_cilindro!$B$33*(IF(Presion_cilindro!N641&gt;(-B$4+Presion_cilindro!$B$34),1-EXP(-Presion_cilindro!$B$16*((Presion_cilindro!N641-(-B$4+Presion_cilindro!$B$34))/Presion_cilindro!$B$35)^(Presion_cilindro!$B$17+1)),0)-IF(Presion_cilindro!N640&gt;(-B$4+Presion_cilindro!$B$34),1-EXP(-Presion_cilindro!$B$16*((Presion_cilindro!N640-(-B$4+Presion_cilindro!$B$34))/Presion_cilindro!$B$35)^(Presion_cilindro!$B$17+1)),0))/((Presion_cilindro!O640+Presion_cilindro!O641)/2)</f>
        <v>2.9168697608498411</v>
      </c>
      <c r="C649" s="27">
        <f>C648*(Presion_cilindro!O640/Presion_cilindro!O641)^Presion_cilindro!$B$9+10*(Presion_cilindro!$B$9-1)*Presion_cilindro!$B$33*(IF(Presion_cilindro!N641&gt;(-C$4+Presion_cilindro!$B$34),1-EXP(-Presion_cilindro!$B$16*((Presion_cilindro!N641-(-C$4+Presion_cilindro!$B$34))/Presion_cilindro!$B$35)^(Presion_cilindro!$B$17+1)),0)-IF(Presion_cilindro!N640&gt;(-C$4+Presion_cilindro!$B$34),1-EXP(-Presion_cilindro!$B$16*((Presion_cilindro!N640-(-C$4+Presion_cilindro!$B$34))/Presion_cilindro!$B$35)^(Presion_cilindro!$B$17+1)),0))/((Presion_cilindro!O640+Presion_cilindro!O641)/2)</f>
        <v>2.8271942118788469</v>
      </c>
      <c r="D649" s="27">
        <f>D648*(Presion_cilindro!O640/Presion_cilindro!O641)^Presion_cilindro!$B$9+10*(Presion_cilindro!$B$9-1)*Presion_cilindro!$B$33*(IF(Presion_cilindro!N641&gt;(-D$4+Presion_cilindro!$B$34),1-EXP(-Presion_cilindro!$B$16*((Presion_cilindro!N641-(-D$4+Presion_cilindro!$B$34))/Presion_cilindro!$B$35)^(Presion_cilindro!$B$17+1)),0)-IF(Presion_cilindro!N640&gt;(-D$4+Presion_cilindro!$B$34),1-EXP(-Presion_cilindro!$B$16*((Presion_cilindro!N640-(-D$4+Presion_cilindro!$B$34))/Presion_cilindro!$B$35)^(Presion_cilindro!$B$17+1)),0))/((Presion_cilindro!O640+Presion_cilindro!O641)/2)</f>
        <v>2.7436745426107505</v>
      </c>
      <c r="E649" s="27">
        <f>E648*(Presion_cilindro!O640/Presion_cilindro!O641)^Presion_cilindro!$B$9+10*(Presion_cilindro!$B$9-1)*Presion_cilindro!$B$33*(IF(Presion_cilindro!N641&gt;(-E$4+Presion_cilindro!$B$34),1-EXP(-Presion_cilindro!$B$16*((Presion_cilindro!N641-(-E$4+Presion_cilindro!$B$34))/Presion_cilindro!$B$35)^(Presion_cilindro!$B$17+1)),0)-IF(Presion_cilindro!N640&gt;(-E$4+Presion_cilindro!$B$34),1-EXP(-Presion_cilindro!$B$16*((Presion_cilindro!N640-(-E$4+Presion_cilindro!$B$34))/Presion_cilindro!$B$35)^(Presion_cilindro!$B$17+1)),0))/((Presion_cilindro!O640+Presion_cilindro!O641)/2)</f>
        <v>2.6694177893490405</v>
      </c>
      <c r="F649" s="27">
        <f>F648*(Presion_cilindro!O640/Presion_cilindro!O641)^Presion_cilindro!$B$9+10*(Presion_cilindro!$B$9-1)*Presion_cilindro!$B$33*(IF(Presion_cilindro!N641&gt;(-F$4+Presion_cilindro!$B$34),1-EXP(-Presion_cilindro!$B$16*((Presion_cilindro!N641-(-F$4+Presion_cilindro!$B$34))/Presion_cilindro!$B$35)^(Presion_cilindro!$B$17+1)),0)-IF(Presion_cilindro!N640&gt;(-F$4+Presion_cilindro!$B$34),1-EXP(-Presion_cilindro!$B$16*((Presion_cilindro!N640-(-F$4+Presion_cilindro!$B$34))/Presion_cilindro!$B$35)^(Presion_cilindro!$B$17+1)),0))/((Presion_cilindro!O640+Presion_cilindro!O641)/2)</f>
        <v>2.607808704273153</v>
      </c>
      <c r="G649" s="27">
        <f>G648*(Presion_cilindro!O640/Presion_cilindro!O641)^Presion_cilindro!$B$9+10*(Presion_cilindro!$B$9-1)*Presion_cilindro!$B$33*(IF(Presion_cilindro!N641&gt;(-G$4+Presion_cilindro!$B$34),1-EXP(-Presion_cilindro!$B$16*((Presion_cilindro!N641-(-G$4+Presion_cilindro!$B$34))/Presion_cilindro!$B$35)^(Presion_cilindro!$B$17+1)),0)-IF(Presion_cilindro!N640&gt;(-G$4+Presion_cilindro!$B$34),1-EXP(-Presion_cilindro!$B$16*((Presion_cilindro!N640-(-G$4+Presion_cilindro!$B$34))/Presion_cilindro!$B$35)^(Presion_cilindro!$B$17+1)),0))/((Presion_cilindro!O640+Presion_cilindro!O641)/2)</f>
        <v>2.5621570954621724</v>
      </c>
      <c r="H649" s="27">
        <f>H648*(Presion_cilindro!O640/Presion_cilindro!O641)^Presion_cilindro!$B$9+10*(Presion_cilindro!$B$9-1)*Presion_cilindro!$B$33*(IF(Presion_cilindro!N641&gt;(-H$4+Presion_cilindro!$B$34),1-EXP(-Presion_cilindro!$B$16*((Presion_cilindro!N641-(-H$4+Presion_cilindro!$B$34))/Presion_cilindro!$B$35)^(Presion_cilindro!$B$17+1)),0)-IF(Presion_cilindro!N640&gt;(-H$4+Presion_cilindro!$B$34),1-EXP(-Presion_cilindro!$B$16*((Presion_cilindro!N640-(-H$4+Presion_cilindro!$B$34))/Presion_cilindro!$B$35)^(Presion_cilindro!$B$17+1)),0))/((Presion_cilindro!O640+Presion_cilindro!O641)/2)</f>
        <v>2.5352278173913376</v>
      </c>
      <c r="I649" s="27">
        <f>I648*(Presion_cilindro!O640/Presion_cilindro!O641)^Presion_cilindro!$B$9+10*(Presion_cilindro!$B$9-1)*Presion_cilindro!$B$33*(IF(Presion_cilindro!N641&gt;(-I$4+Presion_cilindro!$B$34),1-EXP(-Presion_cilindro!$B$16*((Presion_cilindro!N641-(-I$4+Presion_cilindro!$B$34))/Presion_cilindro!$B$35)^(Presion_cilindro!$B$17+1)),0)-IF(Presion_cilindro!N640&gt;(-I$4+Presion_cilindro!$B$34),1-EXP(-Presion_cilindro!$B$16*((Presion_cilindro!N640-(-I$4+Presion_cilindro!$B$34))/Presion_cilindro!$B$35)^(Presion_cilindro!$B$17+1)),0))/((Presion_cilindro!O640+Presion_cilindro!O641)/2)</f>
        <v>2.5287682348551765</v>
      </c>
      <c r="J649" s="27">
        <f>J648*(Presion_cilindro!O640/Presion_cilindro!O641)^Presion_cilindro!$B$9+10*(Presion_cilindro!$B$9-1)*Presion_cilindro!$B$33*(IF(Presion_cilindro!N641&gt;(-J$4+Presion_cilindro!$B$34),1-EXP(-Presion_cilindro!$B$16*((Presion_cilindro!N641-(-J$4+Presion_cilindro!$B$34))/Presion_cilindro!$B$35)^(Presion_cilindro!$B$17+1)),0)-IF(Presion_cilindro!N640&gt;(-J$4+Presion_cilindro!$B$34),1-EXP(-Presion_cilindro!$B$16*((Presion_cilindro!N640-(-J$4+Presion_cilindro!$B$34))/Presion_cilindro!$B$35)^(Presion_cilindro!$B$17+1)),0))/((Presion_cilindro!O640+Presion_cilindro!O641)/2)</f>
        <v>2.5431806637728069</v>
      </c>
      <c r="K649" s="27">
        <f>K648*(Presion_cilindro!O640/Presion_cilindro!O641)^Presion_cilindro!$B$9+10*(Presion_cilindro!$B$9-1)*Presion_cilindro!$B$33*(IF(Presion_cilindro!N641&gt;(-K$4+Presion_cilindro!$B$34),1-EXP(-Presion_cilindro!$B$16*((Presion_cilindro!N641-(-K$4+Presion_cilindro!$B$34))/Presion_cilindro!$B$35)^(Presion_cilindro!$B$17+1)),0)-IF(Presion_cilindro!N640&gt;(-K$4+Presion_cilindro!$B$34),1-EXP(-Presion_cilindro!$B$16*((Presion_cilindro!N640-(-K$4+Presion_cilindro!$B$34))/Presion_cilindro!$B$35)^(Presion_cilindro!$B$17+1)),0))/((Presion_cilindro!O640+Presion_cilindro!O641)/2)</f>
        <v>2.5774525479389148</v>
      </c>
      <c r="L649" s="27">
        <f>L648*(Presion_cilindro!O640/Presion_cilindro!O641)^Presion_cilindro!$B$9+10*(Presion_cilindro!$B$9-1)*Presion_cilindro!$B$33*(IF(Presion_cilindro!N641&gt;(-L$4+Presion_cilindro!$B$34),1-EXP(-Presion_cilindro!$B$16*((Presion_cilindro!N641-(-L$4+Presion_cilindro!$B$34))/Presion_cilindro!$B$35)^(Presion_cilindro!$B$17+1)),0)-IF(Presion_cilindro!N640&gt;(-L$4+Presion_cilindro!$B$34),1-EXP(-Presion_cilindro!$B$16*((Presion_cilindro!N640-(-L$4+Presion_cilindro!$B$34))/Presion_cilindro!$B$35)^(Presion_cilindro!$B$17+1)),0))/((Presion_cilindro!O640+Presion_cilindro!O641)/2)</f>
        <v>2.6293657885528665</v>
      </c>
      <c r="M649" s="27">
        <f>M648*(Presion_cilindro!O640/Presion_cilindro!O641)^Presion_cilindro!$B$9+10*(Presion_cilindro!$B$9-1)*Presion_cilindro!$B$33*(IF(Presion_cilindro!N641&gt;(-M$4+Presion_cilindro!$B$34),1-EXP(-Presion_cilindro!$B$16*((Presion_cilindro!N641-(-M$4+Presion_cilindro!$B$34))/Presion_cilindro!$B$35)^(Presion_cilindro!$B$17+1)),0)-IF(Presion_cilindro!N640&gt;(-M$4+Presion_cilindro!$B$34),1-EXP(-Presion_cilindro!$B$16*((Presion_cilindro!N640-(-M$4+Presion_cilindro!$B$34))/Presion_cilindro!$B$35)^(Presion_cilindro!$B$17+1)),0))/((Presion_cilindro!O640+Presion_cilindro!O641)/2)</f>
        <v>2.6959060522619418</v>
      </c>
      <c r="N649" s="27">
        <f>N648*(Presion_cilindro!O640/Presion_cilindro!O641)^Presion_cilindro!$B$9+10*(Presion_cilindro!$B$9-1)*Presion_cilindro!$B$33*(IF(Presion_cilindro!N641&gt;(-N$4+Presion_cilindro!$B$34),1-EXP(-Presion_cilindro!$B$16*((Presion_cilindro!N641-(-N$4+Presion_cilindro!$B$34))/Presion_cilindro!$B$35)^(Presion_cilindro!$B$17+1)),0)-IF(Presion_cilindro!N640&gt;(-N$4+Presion_cilindro!$B$34),1-EXP(-Presion_cilindro!$B$16*((Presion_cilindro!N640-(-N$4+Presion_cilindro!$B$34))/Presion_cilindro!$B$35)^(Presion_cilindro!$B$17+1)),0))/((Presion_cilindro!O640+Presion_cilindro!O641)/2)</f>
        <v>2.7737355128411649</v>
      </c>
    </row>
    <row r="650" spans="1:14" x14ac:dyDescent="0.25">
      <c r="A650" s="21">
        <f>Presion_cilindro!N642</f>
        <v>139</v>
      </c>
      <c r="B650" s="27">
        <f>B649*(Presion_cilindro!O641/Presion_cilindro!O642)^Presion_cilindro!$B$9+10*(Presion_cilindro!$B$9-1)*Presion_cilindro!$B$33*(IF(Presion_cilindro!N642&gt;(-B$4+Presion_cilindro!$B$34),1-EXP(-Presion_cilindro!$B$16*((Presion_cilindro!N642-(-B$4+Presion_cilindro!$B$34))/Presion_cilindro!$B$35)^(Presion_cilindro!$B$17+1)),0)-IF(Presion_cilindro!N641&gt;(-B$4+Presion_cilindro!$B$34),1-EXP(-Presion_cilindro!$B$16*((Presion_cilindro!N641-(-B$4+Presion_cilindro!$B$34))/Presion_cilindro!$B$35)^(Presion_cilindro!$B$17+1)),0))/((Presion_cilindro!O641+Presion_cilindro!O642)/2)</f>
        <v>2.9083198265971735</v>
      </c>
      <c r="C650" s="27">
        <f>C649*(Presion_cilindro!O641/Presion_cilindro!O642)^Presion_cilindro!$B$9+10*(Presion_cilindro!$B$9-1)*Presion_cilindro!$B$33*(IF(Presion_cilindro!N642&gt;(-C$4+Presion_cilindro!$B$34),1-EXP(-Presion_cilindro!$B$16*((Presion_cilindro!N642-(-C$4+Presion_cilindro!$B$34))/Presion_cilindro!$B$35)^(Presion_cilindro!$B$17+1)),0)-IF(Presion_cilindro!N641&gt;(-C$4+Presion_cilindro!$B$34),1-EXP(-Presion_cilindro!$B$16*((Presion_cilindro!N641-(-C$4+Presion_cilindro!$B$34))/Presion_cilindro!$B$35)^(Presion_cilindro!$B$17+1)),0))/((Presion_cilindro!O641+Presion_cilindro!O642)/2)</f>
        <v>2.8189071347677852</v>
      </c>
      <c r="D650" s="27">
        <f>D649*(Presion_cilindro!O641/Presion_cilindro!O642)^Presion_cilindro!$B$9+10*(Presion_cilindro!$B$9-1)*Presion_cilindro!$B$33*(IF(Presion_cilindro!N642&gt;(-D$4+Presion_cilindro!$B$34),1-EXP(-Presion_cilindro!$B$16*((Presion_cilindro!N642-(-D$4+Presion_cilindro!$B$34))/Presion_cilindro!$B$35)^(Presion_cilindro!$B$17+1)),0)-IF(Presion_cilindro!N641&gt;(-D$4+Presion_cilindro!$B$34),1-EXP(-Presion_cilindro!$B$16*((Presion_cilindro!N641-(-D$4+Presion_cilindro!$B$34))/Presion_cilindro!$B$35)^(Presion_cilindro!$B$17+1)),0))/((Presion_cilindro!O641+Presion_cilindro!O642)/2)</f>
        <v>2.735632278514871</v>
      </c>
      <c r="E650" s="27">
        <f>E649*(Presion_cilindro!O641/Presion_cilindro!O642)^Presion_cilindro!$B$9+10*(Presion_cilindro!$B$9-1)*Presion_cilindro!$B$33*(IF(Presion_cilindro!N642&gt;(-E$4+Presion_cilindro!$B$34),1-EXP(-Presion_cilindro!$B$16*((Presion_cilindro!N642-(-E$4+Presion_cilindro!$B$34))/Presion_cilindro!$B$35)^(Presion_cilindro!$B$17+1)),0)-IF(Presion_cilindro!N641&gt;(-E$4+Presion_cilindro!$B$34),1-EXP(-Presion_cilindro!$B$16*((Presion_cilindro!N641-(-E$4+Presion_cilindro!$B$34))/Presion_cilindro!$B$35)^(Presion_cilindro!$B$17+1)),0))/((Presion_cilindro!O641+Presion_cilindro!O642)/2)</f>
        <v>2.6615931867911304</v>
      </c>
      <c r="F650" s="27">
        <f>F649*(Presion_cilindro!O641/Presion_cilindro!O642)^Presion_cilindro!$B$9+10*(Presion_cilindro!$B$9-1)*Presion_cilindro!$B$33*(IF(Presion_cilindro!N642&gt;(-F$4+Presion_cilindro!$B$34),1-EXP(-Presion_cilindro!$B$16*((Presion_cilindro!N642-(-F$4+Presion_cilindro!$B$34))/Presion_cilindro!$B$35)^(Presion_cilindro!$B$17+1)),0)-IF(Presion_cilindro!N641&gt;(-F$4+Presion_cilindro!$B$34),1-EXP(-Presion_cilindro!$B$16*((Presion_cilindro!N641-(-F$4+Presion_cilindro!$B$34))/Presion_cilindro!$B$35)^(Presion_cilindro!$B$17+1)),0))/((Presion_cilindro!O641+Presion_cilindro!O642)/2)</f>
        <v>2.6001646903839029</v>
      </c>
      <c r="G650" s="27">
        <f>G649*(Presion_cilindro!O641/Presion_cilindro!O642)^Presion_cilindro!$B$9+10*(Presion_cilindro!$B$9-1)*Presion_cilindro!$B$33*(IF(Presion_cilindro!N642&gt;(-G$4+Presion_cilindro!$B$34),1-EXP(-Presion_cilindro!$B$16*((Presion_cilindro!N642-(-G$4+Presion_cilindro!$B$34))/Presion_cilindro!$B$35)^(Presion_cilindro!$B$17+1)),0)-IF(Presion_cilindro!N641&gt;(-G$4+Presion_cilindro!$B$34),1-EXP(-Presion_cilindro!$B$16*((Presion_cilindro!N641-(-G$4+Presion_cilindro!$B$34))/Presion_cilindro!$B$35)^(Presion_cilindro!$B$17+1)),0))/((Presion_cilindro!O641+Presion_cilindro!O642)/2)</f>
        <v>2.5546468956564654</v>
      </c>
      <c r="H650" s="27">
        <f>H649*(Presion_cilindro!O641/Presion_cilindro!O642)^Presion_cilindro!$B$9+10*(Presion_cilindro!$B$9-1)*Presion_cilindro!$B$33*(IF(Presion_cilindro!N642&gt;(-H$4+Presion_cilindro!$B$34),1-EXP(-Presion_cilindro!$B$16*((Presion_cilindro!N642-(-H$4+Presion_cilindro!$B$34))/Presion_cilindro!$B$35)^(Presion_cilindro!$B$17+1)),0)-IF(Presion_cilindro!N641&gt;(-H$4+Presion_cilindro!$B$34),1-EXP(-Presion_cilindro!$B$16*((Presion_cilindro!N641-(-H$4+Presion_cilindro!$B$34))/Presion_cilindro!$B$35)^(Presion_cilindro!$B$17+1)),0))/((Presion_cilindro!O641+Presion_cilindro!O642)/2)</f>
        <v>2.5277965527373016</v>
      </c>
      <c r="I650" s="27">
        <f>I649*(Presion_cilindro!O641/Presion_cilindro!O642)^Presion_cilindro!$B$9+10*(Presion_cilindro!$B$9-1)*Presion_cilindro!$B$33*(IF(Presion_cilindro!N642&gt;(-I$4+Presion_cilindro!$B$34),1-EXP(-Presion_cilindro!$B$16*((Presion_cilindro!N642-(-I$4+Presion_cilindro!$B$34))/Presion_cilindro!$B$35)^(Presion_cilindro!$B$17+1)),0)-IF(Presion_cilindro!N641&gt;(-I$4+Presion_cilindro!$B$34),1-EXP(-Presion_cilindro!$B$16*((Presion_cilindro!N641-(-I$4+Presion_cilindro!$B$34))/Presion_cilindro!$B$35)^(Presion_cilindro!$B$17+1)),0))/((Presion_cilindro!O641+Presion_cilindro!O642)/2)</f>
        <v>2.5213559045418936</v>
      </c>
      <c r="J650" s="27">
        <f>J649*(Presion_cilindro!O641/Presion_cilindro!O642)^Presion_cilindro!$B$9+10*(Presion_cilindro!$B$9-1)*Presion_cilindro!$B$33*(IF(Presion_cilindro!N642&gt;(-J$4+Presion_cilindro!$B$34),1-EXP(-Presion_cilindro!$B$16*((Presion_cilindro!N642-(-J$4+Presion_cilindro!$B$34))/Presion_cilindro!$B$35)^(Presion_cilindro!$B$17+1)),0)-IF(Presion_cilindro!N641&gt;(-J$4+Presion_cilindro!$B$34),1-EXP(-Presion_cilindro!$B$16*((Presion_cilindro!N641-(-J$4+Presion_cilindro!$B$34))/Presion_cilindro!$B$35)^(Presion_cilindro!$B$17+1)),0))/((Presion_cilindro!O641+Presion_cilindro!O642)/2)</f>
        <v>2.5357260877201626</v>
      </c>
      <c r="K650" s="27">
        <f>K649*(Presion_cilindro!O641/Presion_cilindro!O642)^Presion_cilindro!$B$9+10*(Presion_cilindro!$B$9-1)*Presion_cilindro!$B$33*(IF(Presion_cilindro!N642&gt;(-K$4+Presion_cilindro!$B$34),1-EXP(-Presion_cilindro!$B$16*((Presion_cilindro!N642-(-K$4+Presion_cilindro!$B$34))/Presion_cilindro!$B$35)^(Presion_cilindro!$B$17+1)),0)-IF(Presion_cilindro!N641&gt;(-K$4+Presion_cilindro!$B$34),1-EXP(-Presion_cilindro!$B$16*((Presion_cilindro!N641-(-K$4+Presion_cilindro!$B$34))/Presion_cilindro!$B$35)^(Presion_cilindro!$B$17+1)),0))/((Presion_cilindro!O641+Presion_cilindro!O642)/2)</f>
        <v>2.5698975140734919</v>
      </c>
      <c r="L650" s="27">
        <f>L649*(Presion_cilindro!O641/Presion_cilindro!O642)^Presion_cilindro!$B$9+10*(Presion_cilindro!$B$9-1)*Presion_cilindro!$B$33*(IF(Presion_cilindro!N642&gt;(-L$4+Presion_cilindro!$B$34),1-EXP(-Presion_cilindro!$B$16*((Presion_cilindro!N642-(-L$4+Presion_cilindro!$B$34))/Presion_cilindro!$B$35)^(Presion_cilindro!$B$17+1)),0)-IF(Presion_cilindro!N641&gt;(-L$4+Presion_cilindro!$B$34),1-EXP(-Presion_cilindro!$B$16*((Presion_cilindro!N641-(-L$4+Presion_cilindro!$B$34))/Presion_cilindro!$B$35)^(Presion_cilindro!$B$17+1)),0))/((Presion_cilindro!O641+Presion_cilindro!O642)/2)</f>
        <v>2.6216585864967175</v>
      </c>
      <c r="M650" s="27">
        <f>M649*(Presion_cilindro!O641/Presion_cilindro!O642)^Presion_cilindro!$B$9+10*(Presion_cilindro!$B$9-1)*Presion_cilindro!$B$33*(IF(Presion_cilindro!N642&gt;(-M$4+Presion_cilindro!$B$34),1-EXP(-Presion_cilindro!$B$16*((Presion_cilindro!N642-(-M$4+Presion_cilindro!$B$34))/Presion_cilindro!$B$35)^(Presion_cilindro!$B$17+1)),0)-IF(Presion_cilindro!N641&gt;(-M$4+Presion_cilindro!$B$34),1-EXP(-Presion_cilindro!$B$16*((Presion_cilindro!N641-(-M$4+Presion_cilindro!$B$34))/Presion_cilindro!$B$35)^(Presion_cilindro!$B$17+1)),0))/((Presion_cilindro!O641+Presion_cilindro!O642)/2)</f>
        <v>2.6880038072568402</v>
      </c>
      <c r="N650" s="27">
        <f>N649*(Presion_cilindro!O641/Presion_cilindro!O642)^Presion_cilindro!$B$9+10*(Presion_cilindro!$B$9-1)*Presion_cilindro!$B$33*(IF(Presion_cilindro!N642&gt;(-N$4+Presion_cilindro!$B$34),1-EXP(-Presion_cilindro!$B$16*((Presion_cilindro!N642-(-N$4+Presion_cilindro!$B$34))/Presion_cilindro!$B$35)^(Presion_cilindro!$B$17+1)),0)-IF(Presion_cilindro!N641&gt;(-N$4+Presion_cilindro!$B$34),1-EXP(-Presion_cilindro!$B$16*((Presion_cilindro!N641-(-N$4+Presion_cilindro!$B$34))/Presion_cilindro!$B$35)^(Presion_cilindro!$B$17+1)),0))/((Presion_cilindro!O641+Presion_cilindro!O642)/2)</f>
        <v>2.7656051339715333</v>
      </c>
    </row>
    <row r="651" spans="1:14" x14ac:dyDescent="0.25">
      <c r="A651" s="21">
        <f>Presion_cilindro!N643</f>
        <v>139.5</v>
      </c>
      <c r="B651" s="27">
        <f>B650*(Presion_cilindro!O642/Presion_cilindro!O643)^Presion_cilindro!$B$9+10*(Presion_cilindro!$B$9-1)*Presion_cilindro!$B$33*(IF(Presion_cilindro!N643&gt;(-B$4+Presion_cilindro!$B$34),1-EXP(-Presion_cilindro!$B$16*((Presion_cilindro!N643-(-B$4+Presion_cilindro!$B$34))/Presion_cilindro!$B$35)^(Presion_cilindro!$B$17+1)),0)-IF(Presion_cilindro!N642&gt;(-B$4+Presion_cilindro!$B$34),1-EXP(-Presion_cilindro!$B$16*((Presion_cilindro!N642-(-B$4+Presion_cilindro!$B$34))/Presion_cilindro!$B$35)^(Presion_cilindro!$B$17+1)),0))/((Presion_cilindro!O642+Presion_cilindro!O643)/2)</f>
        <v>2.8999154926920769</v>
      </c>
      <c r="C651" s="27">
        <f>C650*(Presion_cilindro!O642/Presion_cilindro!O643)^Presion_cilindro!$B$9+10*(Presion_cilindro!$B$9-1)*Presion_cilindro!$B$33*(IF(Presion_cilindro!N643&gt;(-C$4+Presion_cilindro!$B$34),1-EXP(-Presion_cilindro!$B$16*((Presion_cilindro!N643-(-C$4+Presion_cilindro!$B$34))/Presion_cilindro!$B$35)^(Presion_cilindro!$B$17+1)),0)-IF(Presion_cilindro!N642&gt;(-C$4+Presion_cilindro!$B$34),1-EXP(-Presion_cilindro!$B$16*((Presion_cilindro!N642-(-C$4+Presion_cilindro!$B$34))/Presion_cilindro!$B$35)^(Presion_cilindro!$B$17+1)),0))/((Presion_cilindro!O642+Presion_cilindro!O643)/2)</f>
        <v>2.8107611817018991</v>
      </c>
      <c r="D651" s="27">
        <f>D650*(Presion_cilindro!O642/Presion_cilindro!O643)^Presion_cilindro!$B$9+10*(Presion_cilindro!$B$9-1)*Presion_cilindro!$B$33*(IF(Presion_cilindro!N643&gt;(-D$4+Presion_cilindro!$B$34),1-EXP(-Presion_cilindro!$B$16*((Presion_cilindro!N643-(-D$4+Presion_cilindro!$B$34))/Presion_cilindro!$B$35)^(Presion_cilindro!$B$17+1)),0)-IF(Presion_cilindro!N642&gt;(-D$4+Presion_cilindro!$B$34),1-EXP(-Presion_cilindro!$B$16*((Presion_cilindro!N642-(-D$4+Presion_cilindro!$B$34))/Presion_cilindro!$B$35)^(Presion_cilindro!$B$17+1)),0))/((Presion_cilindro!O642+Presion_cilindro!O643)/2)</f>
        <v>2.7277269694426227</v>
      </c>
      <c r="E651" s="27">
        <f>E650*(Presion_cilindro!O642/Presion_cilindro!O643)^Presion_cilindro!$B$9+10*(Presion_cilindro!$B$9-1)*Presion_cilindro!$B$33*(IF(Presion_cilindro!N643&gt;(-E$4+Presion_cilindro!$B$34),1-EXP(-Presion_cilindro!$B$16*((Presion_cilindro!N643-(-E$4+Presion_cilindro!$B$34))/Presion_cilindro!$B$35)^(Presion_cilindro!$B$17+1)),0)-IF(Presion_cilindro!N642&gt;(-E$4+Presion_cilindro!$B$34),1-EXP(-Presion_cilindro!$B$16*((Presion_cilindro!N642-(-E$4+Presion_cilindro!$B$34))/Presion_cilindro!$B$35)^(Presion_cilindro!$B$17+1)),0))/((Presion_cilindro!O642+Presion_cilindro!O643)/2)</f>
        <v>2.6539018326089825</v>
      </c>
      <c r="F651" s="27">
        <f>F650*(Presion_cilindro!O642/Presion_cilindro!O643)^Presion_cilindro!$B$9+10*(Presion_cilindro!$B$9-1)*Presion_cilindro!$B$33*(IF(Presion_cilindro!N643&gt;(-F$4+Presion_cilindro!$B$34),1-EXP(-Presion_cilindro!$B$16*((Presion_cilindro!N643-(-F$4+Presion_cilindro!$B$34))/Presion_cilindro!$B$35)^(Presion_cilindro!$B$17+1)),0)-IF(Presion_cilindro!N642&gt;(-F$4+Presion_cilindro!$B$34),1-EXP(-Presion_cilindro!$B$16*((Presion_cilindro!N642-(-F$4+Presion_cilindro!$B$34))/Presion_cilindro!$B$35)^(Presion_cilindro!$B$17+1)),0))/((Presion_cilindro!O642+Presion_cilindro!O643)/2)</f>
        <v>2.5926508495516876</v>
      </c>
      <c r="G651" s="27">
        <f>G650*(Presion_cilindro!O642/Presion_cilindro!O643)^Presion_cilindro!$B$9+10*(Presion_cilindro!$B$9-1)*Presion_cilindro!$B$33*(IF(Presion_cilindro!N643&gt;(-G$4+Presion_cilindro!$B$34),1-EXP(-Presion_cilindro!$B$16*((Presion_cilindro!N643-(-G$4+Presion_cilindro!$B$34))/Presion_cilindro!$B$35)^(Presion_cilindro!$B$17+1)),0)-IF(Presion_cilindro!N642&gt;(-G$4+Presion_cilindro!$B$34),1-EXP(-Presion_cilindro!$B$16*((Presion_cilindro!N642-(-G$4+Presion_cilindro!$B$34))/Presion_cilindro!$B$35)^(Presion_cilindro!$B$17+1)),0))/((Presion_cilindro!O642+Presion_cilindro!O643)/2)</f>
        <v>2.5472645901327171</v>
      </c>
      <c r="H651" s="27">
        <f>H650*(Presion_cilindro!O642/Presion_cilindro!O643)^Presion_cilindro!$B$9+10*(Presion_cilindro!$B$9-1)*Presion_cilindro!$B$33*(IF(Presion_cilindro!N643&gt;(-H$4+Presion_cilindro!$B$34),1-EXP(-Presion_cilindro!$B$16*((Presion_cilindro!N643-(-H$4+Presion_cilindro!$B$34))/Presion_cilindro!$B$35)^(Presion_cilindro!$B$17+1)),0)-IF(Presion_cilindro!N642&gt;(-H$4+Presion_cilindro!$B$34),1-EXP(-Presion_cilindro!$B$16*((Presion_cilindro!N642-(-H$4+Presion_cilindro!$B$34))/Presion_cilindro!$B$35)^(Presion_cilindro!$B$17+1)),0))/((Presion_cilindro!O642+Presion_cilindro!O643)/2)</f>
        <v>2.520491838146055</v>
      </c>
      <c r="I651" s="27">
        <f>I650*(Presion_cilindro!O642/Presion_cilindro!O643)^Presion_cilindro!$B$9+10*(Presion_cilindro!$B$9-1)*Presion_cilindro!$B$33*(IF(Presion_cilindro!N643&gt;(-I$4+Presion_cilindro!$B$34),1-EXP(-Presion_cilindro!$B$16*((Presion_cilindro!N643-(-I$4+Presion_cilindro!$B$34))/Presion_cilindro!$B$35)^(Presion_cilindro!$B$17+1)),0)-IF(Presion_cilindro!N642&gt;(-I$4+Presion_cilindro!$B$34),1-EXP(-Presion_cilindro!$B$16*((Presion_cilindro!N642-(-I$4+Presion_cilindro!$B$34))/Presion_cilindro!$B$35)^(Presion_cilindro!$B$17+1)),0))/((Presion_cilindro!O642+Presion_cilindro!O643)/2)</f>
        <v>2.5140698018507224</v>
      </c>
      <c r="J651" s="27">
        <f>J650*(Presion_cilindro!O642/Presion_cilindro!O643)^Presion_cilindro!$B$9+10*(Presion_cilindro!$B$9-1)*Presion_cilindro!$B$33*(IF(Presion_cilindro!N643&gt;(-J$4+Presion_cilindro!$B$34),1-EXP(-Presion_cilindro!$B$16*((Presion_cilindro!N643-(-J$4+Presion_cilindro!$B$34))/Presion_cilindro!$B$35)^(Presion_cilindro!$B$17+1)),0)-IF(Presion_cilindro!N642&gt;(-J$4+Presion_cilindro!$B$34),1-EXP(-Presion_cilindro!$B$16*((Presion_cilindro!N642-(-J$4+Presion_cilindro!$B$34))/Presion_cilindro!$B$35)^(Presion_cilindro!$B$17+1)),0))/((Presion_cilindro!O642+Presion_cilindro!O643)/2)</f>
        <v>2.5283984587097046</v>
      </c>
      <c r="K651" s="27">
        <f>K650*(Presion_cilindro!O642/Presion_cilindro!O643)^Presion_cilindro!$B$9+10*(Presion_cilindro!$B$9-1)*Presion_cilindro!$B$33*(IF(Presion_cilindro!N643&gt;(-K$4+Presion_cilindro!$B$34),1-EXP(-Presion_cilindro!$B$16*((Presion_cilindro!N643-(-K$4+Presion_cilindro!$B$34))/Presion_cilindro!$B$35)^(Presion_cilindro!$B$17+1)),0)-IF(Presion_cilindro!N642&gt;(-K$4+Presion_cilindro!$B$34),1-EXP(-Presion_cilindro!$B$16*((Presion_cilindro!N642-(-K$4+Presion_cilindro!$B$34))/Presion_cilindro!$B$35)^(Presion_cilindro!$B$17+1)),0))/((Presion_cilindro!O642+Presion_cilindro!O643)/2)</f>
        <v>2.5624711379876741</v>
      </c>
      <c r="L651" s="27">
        <f>L650*(Presion_cilindro!O642/Presion_cilindro!O643)^Presion_cilindro!$B$9+10*(Presion_cilindro!$B$9-1)*Presion_cilindro!$B$33*(IF(Presion_cilindro!N643&gt;(-L$4+Presion_cilindro!$B$34),1-EXP(-Presion_cilindro!$B$16*((Presion_cilindro!N643-(-L$4+Presion_cilindro!$B$34))/Presion_cilindro!$B$35)^(Presion_cilindro!$B$17+1)),0)-IF(Presion_cilindro!N642&gt;(-L$4+Presion_cilindro!$B$34),1-EXP(-Presion_cilindro!$B$16*((Presion_cilindro!N642-(-L$4+Presion_cilindro!$B$34))/Presion_cilindro!$B$35)^(Presion_cilindro!$B$17+1)),0))/((Presion_cilindro!O642+Presion_cilindro!O643)/2)</f>
        <v>2.614082633554891</v>
      </c>
      <c r="M651" s="27">
        <f>M650*(Presion_cilindro!O642/Presion_cilindro!O643)^Presion_cilindro!$B$9+10*(Presion_cilindro!$B$9-1)*Presion_cilindro!$B$33*(IF(Presion_cilindro!N643&gt;(-M$4+Presion_cilindro!$B$34),1-EXP(-Presion_cilindro!$B$16*((Presion_cilindro!N643-(-M$4+Presion_cilindro!$B$34))/Presion_cilindro!$B$35)^(Presion_cilindro!$B$17+1)),0)-IF(Presion_cilindro!N642&gt;(-M$4+Presion_cilindro!$B$34),1-EXP(-Presion_cilindro!$B$16*((Presion_cilindro!N642-(-M$4+Presion_cilindro!$B$34))/Presion_cilindro!$B$35)^(Presion_cilindro!$B$17+1)),0))/((Presion_cilindro!O642+Presion_cilindro!O643)/2)</f>
        <v>2.6802361328326731</v>
      </c>
      <c r="N651" s="27">
        <f>N650*(Presion_cilindro!O642/Presion_cilindro!O643)^Presion_cilindro!$B$9+10*(Presion_cilindro!$B$9-1)*Presion_cilindro!$B$33*(IF(Presion_cilindro!N643&gt;(-N$4+Presion_cilindro!$B$34),1-EXP(-Presion_cilindro!$B$16*((Presion_cilindro!N643-(-N$4+Presion_cilindro!$B$34))/Presion_cilindro!$B$35)^(Presion_cilindro!$B$17+1)),0)-IF(Presion_cilindro!N642&gt;(-N$4+Presion_cilindro!$B$34),1-EXP(-Presion_cilindro!$B$16*((Presion_cilindro!N642-(-N$4+Presion_cilindro!$B$34))/Presion_cilindro!$B$35)^(Presion_cilindro!$B$17+1)),0))/((Presion_cilindro!O642+Presion_cilindro!O643)/2)</f>
        <v>2.7576132106682629</v>
      </c>
    </row>
    <row r="652" spans="1:14" x14ac:dyDescent="0.25">
      <c r="A652" s="21">
        <f>Presion_cilindro!N644</f>
        <v>140</v>
      </c>
      <c r="B652" s="27">
        <f>B651*(Presion_cilindro!O643/Presion_cilindro!O644)^Presion_cilindro!$B$9+10*(Presion_cilindro!$B$9-1)*Presion_cilindro!$B$33*(IF(Presion_cilindro!N644&gt;(-B$4+Presion_cilindro!$B$34),1-EXP(-Presion_cilindro!$B$16*((Presion_cilindro!N644-(-B$4+Presion_cilindro!$B$34))/Presion_cilindro!$B$35)^(Presion_cilindro!$B$17+1)),0)-IF(Presion_cilindro!N643&gt;(-B$4+Presion_cilindro!$B$34),1-EXP(-Presion_cilindro!$B$16*((Presion_cilindro!N643-(-B$4+Presion_cilindro!$B$34))/Presion_cilindro!$B$35)^(Presion_cilindro!$B$17+1)),0))/((Presion_cilindro!O643+Presion_cilindro!O644)/2)</f>
        <v>2.8916550025510226</v>
      </c>
      <c r="C652" s="27">
        <f>C651*(Presion_cilindro!O643/Presion_cilindro!O644)^Presion_cilindro!$B$9+10*(Presion_cilindro!$B$9-1)*Presion_cilindro!$B$33*(IF(Presion_cilindro!N644&gt;(-C$4+Presion_cilindro!$B$34),1-EXP(-Presion_cilindro!$B$16*((Presion_cilindro!N644-(-C$4+Presion_cilindro!$B$34))/Presion_cilindro!$B$35)^(Presion_cilindro!$B$17+1)),0)-IF(Presion_cilindro!N643&gt;(-C$4+Presion_cilindro!$B$34),1-EXP(-Presion_cilindro!$B$16*((Presion_cilindro!N643-(-C$4+Presion_cilindro!$B$34))/Presion_cilindro!$B$35)^(Presion_cilindro!$B$17+1)),0))/((Presion_cilindro!O643+Presion_cilindro!O644)/2)</f>
        <v>2.8027546501016447</v>
      </c>
      <c r="D652" s="27">
        <f>D651*(Presion_cilindro!O643/Presion_cilindro!O644)^Presion_cilindro!$B$9+10*(Presion_cilindro!$B$9-1)*Presion_cilindro!$B$33*(IF(Presion_cilindro!N644&gt;(-D$4+Presion_cilindro!$B$34),1-EXP(-Presion_cilindro!$B$16*((Presion_cilindro!N644-(-D$4+Presion_cilindro!$B$34))/Presion_cilindro!$B$35)^(Presion_cilindro!$B$17+1)),0)-IF(Presion_cilindro!N643&gt;(-D$4+Presion_cilindro!$B$34),1-EXP(-Presion_cilindro!$B$16*((Presion_cilindro!N643-(-D$4+Presion_cilindro!$B$34))/Presion_cilindro!$B$35)^(Presion_cilindro!$B$17+1)),0))/((Presion_cilindro!O643+Presion_cilindro!O644)/2)</f>
        <v>2.7199569631112825</v>
      </c>
      <c r="E652" s="27">
        <f>E651*(Presion_cilindro!O643/Presion_cilindro!O644)^Presion_cilindro!$B$9+10*(Presion_cilindro!$B$9-1)*Presion_cilindro!$B$33*(IF(Presion_cilindro!N644&gt;(-E$4+Presion_cilindro!$B$34),1-EXP(-Presion_cilindro!$B$16*((Presion_cilindro!N644-(-E$4+Presion_cilindro!$B$34))/Presion_cilindro!$B$35)^(Presion_cilindro!$B$17+1)),0)-IF(Presion_cilindro!N643&gt;(-E$4+Presion_cilindro!$B$34),1-EXP(-Presion_cilindro!$B$16*((Presion_cilindro!N643-(-E$4+Presion_cilindro!$B$34))/Presion_cilindro!$B$35)^(Presion_cilindro!$B$17+1)),0))/((Presion_cilindro!O643+Presion_cilindro!O644)/2)</f>
        <v>2.6463421192384247</v>
      </c>
      <c r="F652" s="27">
        <f>F651*(Presion_cilindro!O643/Presion_cilindro!O644)^Presion_cilindro!$B$9+10*(Presion_cilindro!$B$9-1)*Presion_cilindro!$B$33*(IF(Presion_cilindro!N644&gt;(-F$4+Presion_cilindro!$B$34),1-EXP(-Presion_cilindro!$B$16*((Presion_cilindro!N644-(-F$4+Presion_cilindro!$B$34))/Presion_cilindro!$B$35)^(Presion_cilindro!$B$17+1)),0)-IF(Presion_cilindro!N643&gt;(-F$4+Presion_cilindro!$B$34),1-EXP(-Presion_cilindro!$B$16*((Presion_cilindro!N643-(-F$4+Presion_cilindro!$B$34))/Presion_cilindro!$B$35)^(Presion_cilindro!$B$17+1)),0))/((Presion_cilindro!O643+Presion_cilindro!O644)/2)</f>
        <v>2.5852656113142669</v>
      </c>
      <c r="G652" s="27">
        <f>G651*(Presion_cilindro!O643/Presion_cilindro!O644)^Presion_cilindro!$B$9+10*(Presion_cilindro!$B$9-1)*Presion_cilindro!$B$33*(IF(Presion_cilindro!N644&gt;(-G$4+Presion_cilindro!$B$34),1-EXP(-Presion_cilindro!$B$16*((Presion_cilindro!N644-(-G$4+Presion_cilindro!$B$34))/Presion_cilindro!$B$35)^(Presion_cilindro!$B$17+1)),0)-IF(Presion_cilindro!N643&gt;(-G$4+Presion_cilindro!$B$34),1-EXP(-Presion_cilindro!$B$16*((Presion_cilindro!N643-(-G$4+Presion_cilindro!$B$34))/Presion_cilindro!$B$35)^(Presion_cilindro!$B$17+1)),0))/((Presion_cilindro!O643+Presion_cilindro!O644)/2)</f>
        <v>2.5400086359207843</v>
      </c>
      <c r="H652" s="27">
        <f>H651*(Presion_cilindro!O643/Presion_cilindro!O644)^Presion_cilindro!$B$9+10*(Presion_cilindro!$B$9-1)*Presion_cilindro!$B$33*(IF(Presion_cilindro!N644&gt;(-H$4+Presion_cilindro!$B$34),1-EXP(-Presion_cilindro!$B$16*((Presion_cilindro!N644-(-H$4+Presion_cilindro!$B$34))/Presion_cilindro!$B$35)^(Presion_cilindro!$B$17+1)),0)-IF(Presion_cilindro!N643&gt;(-H$4+Presion_cilindro!$B$34),1-EXP(-Presion_cilindro!$B$16*((Presion_cilindro!N643-(-H$4+Presion_cilindro!$B$34))/Presion_cilindro!$B$35)^(Presion_cilindro!$B$17+1)),0))/((Presion_cilindro!O643+Presion_cilindro!O644)/2)</f>
        <v>2.5133121468646773</v>
      </c>
      <c r="I652" s="27">
        <f>I651*(Presion_cilindro!O643/Presion_cilindro!O644)^Presion_cilindro!$B$9+10*(Presion_cilindro!$B$9-1)*Presion_cilindro!$B$33*(IF(Presion_cilindro!N644&gt;(-I$4+Presion_cilindro!$B$34),1-EXP(-Presion_cilindro!$B$16*((Presion_cilindro!N644-(-I$4+Presion_cilindro!$B$34))/Presion_cilindro!$B$35)^(Presion_cilindro!$B$17+1)),0)-IF(Presion_cilindro!N643&gt;(-I$4+Presion_cilindro!$B$34),1-EXP(-Presion_cilindro!$B$16*((Presion_cilindro!N643-(-I$4+Presion_cilindro!$B$34))/Presion_cilindro!$B$35)^(Presion_cilindro!$B$17+1)),0))/((Presion_cilindro!O643+Presion_cilindro!O644)/2)</f>
        <v>2.5069084039188017</v>
      </c>
      <c r="J652" s="27">
        <f>J651*(Presion_cilindro!O643/Presion_cilindro!O644)^Presion_cilindro!$B$9+10*(Presion_cilindro!$B$9-1)*Presion_cilindro!$B$33*(IF(Presion_cilindro!N644&gt;(-J$4+Presion_cilindro!$B$34),1-EXP(-Presion_cilindro!$B$16*((Presion_cilindro!N644-(-J$4+Presion_cilindro!$B$34))/Presion_cilindro!$B$35)^(Presion_cilindro!$B$17+1)),0)-IF(Presion_cilindro!N643&gt;(-J$4+Presion_cilindro!$B$34),1-EXP(-Presion_cilindro!$B$16*((Presion_cilindro!N643-(-J$4+Presion_cilindro!$B$34))/Presion_cilindro!$B$35)^(Presion_cilindro!$B$17+1)),0))/((Presion_cilindro!O643+Presion_cilindro!O644)/2)</f>
        <v>2.5211962451991861</v>
      </c>
      <c r="K652" s="27">
        <f>K651*(Presion_cilindro!O643/Presion_cilindro!O644)^Presion_cilindro!$B$9+10*(Presion_cilindro!$B$9-1)*Presion_cilindro!$B$33*(IF(Presion_cilindro!N644&gt;(-K$4+Presion_cilindro!$B$34),1-EXP(-Presion_cilindro!$B$16*((Presion_cilindro!N644-(-K$4+Presion_cilindro!$B$34))/Presion_cilindro!$B$35)^(Presion_cilindro!$B$17+1)),0)-IF(Presion_cilindro!N643&gt;(-K$4+Presion_cilindro!$B$34),1-EXP(-Presion_cilindro!$B$16*((Presion_cilindro!N643-(-K$4+Presion_cilindro!$B$34))/Presion_cilindro!$B$35)^(Presion_cilindro!$B$17+1)),0))/((Presion_cilindro!O643+Presion_cilindro!O644)/2)</f>
        <v>2.5551718675001629</v>
      </c>
      <c r="L652" s="27">
        <f>L651*(Presion_cilindro!O643/Presion_cilindro!O644)^Presion_cilindro!$B$9+10*(Presion_cilindro!$B$9-1)*Presion_cilindro!$B$33*(IF(Presion_cilindro!N644&gt;(-L$4+Presion_cilindro!$B$34),1-EXP(-Presion_cilindro!$B$16*((Presion_cilindro!N644-(-L$4+Presion_cilindro!$B$34))/Presion_cilindro!$B$35)^(Presion_cilindro!$B$17+1)),0)-IF(Presion_cilindro!N643&gt;(-L$4+Presion_cilindro!$B$34),1-EXP(-Presion_cilindro!$B$16*((Presion_cilindro!N643-(-L$4+Presion_cilindro!$B$34))/Presion_cilindro!$B$35)^(Presion_cilindro!$B$17+1)),0))/((Presion_cilindro!O643+Presion_cilindro!O644)/2)</f>
        <v>2.6066363462831417</v>
      </c>
      <c r="M652" s="27">
        <f>M651*(Presion_cilindro!O643/Presion_cilindro!O644)^Presion_cilindro!$B$9+10*(Presion_cilindro!$B$9-1)*Presion_cilindro!$B$33*(IF(Presion_cilindro!N644&gt;(-M$4+Presion_cilindro!$B$34),1-EXP(-Presion_cilindro!$B$16*((Presion_cilindro!N644-(-M$4+Presion_cilindro!$B$34))/Presion_cilindro!$B$35)^(Presion_cilindro!$B$17+1)),0)-IF(Presion_cilindro!N643&gt;(-M$4+Presion_cilindro!$B$34),1-EXP(-Presion_cilindro!$B$16*((Presion_cilindro!N643-(-M$4+Presion_cilindro!$B$34))/Presion_cilindro!$B$35)^(Presion_cilindro!$B$17+1)),0))/((Presion_cilindro!O643+Presion_cilindro!O644)/2)</f>
        <v>2.6726014054736327</v>
      </c>
      <c r="N652" s="27">
        <f>N651*(Presion_cilindro!O643/Presion_cilindro!O644)^Presion_cilindro!$B$9+10*(Presion_cilindro!$B$9-1)*Presion_cilindro!$B$33*(IF(Presion_cilindro!N644&gt;(-N$4+Presion_cilindro!$B$34),1-EXP(-Presion_cilindro!$B$16*((Presion_cilindro!N644-(-N$4+Presion_cilindro!$B$34))/Presion_cilindro!$B$35)^(Presion_cilindro!$B$17+1)),0)-IF(Presion_cilindro!N643&gt;(-N$4+Presion_cilindro!$B$34),1-EXP(-Presion_cilindro!$B$16*((Presion_cilindro!N643-(-N$4+Presion_cilindro!$B$34))/Presion_cilindro!$B$35)^(Presion_cilindro!$B$17+1)),0))/((Presion_cilindro!O643+Presion_cilindro!O644)/2)</f>
        <v>2.7497580725454549</v>
      </c>
    </row>
    <row r="653" spans="1:14" x14ac:dyDescent="0.25">
      <c r="A653" s="21">
        <f>Presion_cilindro!N645</f>
        <v>140.5</v>
      </c>
      <c r="B653" s="27">
        <f>B652*(Presion_cilindro!O644/Presion_cilindro!O645)^Presion_cilindro!$B$9+10*(Presion_cilindro!$B$9-1)*Presion_cilindro!$B$33*(IF(Presion_cilindro!N645&gt;(-B$4+Presion_cilindro!$B$34),1-EXP(-Presion_cilindro!$B$16*((Presion_cilindro!N645-(-B$4+Presion_cilindro!$B$34))/Presion_cilindro!$B$35)^(Presion_cilindro!$B$17+1)),0)-IF(Presion_cilindro!N644&gt;(-B$4+Presion_cilindro!$B$34),1-EXP(-Presion_cilindro!$B$16*((Presion_cilindro!N644-(-B$4+Presion_cilindro!$B$34))/Presion_cilindro!$B$35)^(Presion_cilindro!$B$17+1)),0))/((Presion_cilindro!O644+Presion_cilindro!O645)/2)</f>
        <v>2.8835366359956134</v>
      </c>
      <c r="C653" s="27">
        <f>C652*(Presion_cilindro!O644/Presion_cilindro!O645)^Presion_cilindro!$B$9+10*(Presion_cilindro!$B$9-1)*Presion_cilindro!$B$33*(IF(Presion_cilindro!N645&gt;(-C$4+Presion_cilindro!$B$34),1-EXP(-Presion_cilindro!$B$16*((Presion_cilindro!N645-(-C$4+Presion_cilindro!$B$34))/Presion_cilindro!$B$35)^(Presion_cilindro!$B$17+1)),0)-IF(Presion_cilindro!N644&gt;(-C$4+Presion_cilindro!$B$34),1-EXP(-Presion_cilindro!$B$16*((Presion_cilindro!N644-(-C$4+Presion_cilindro!$B$34))/Presion_cilindro!$B$35)^(Presion_cilindro!$B$17+1)),0))/((Presion_cilindro!O644+Presion_cilindro!O645)/2)</f>
        <v>2.7948858726733796</v>
      </c>
      <c r="D653" s="27">
        <f>D652*(Presion_cilindro!O644/Presion_cilindro!O645)^Presion_cilindro!$B$9+10*(Presion_cilindro!$B$9-1)*Presion_cilindro!$B$33*(IF(Presion_cilindro!N645&gt;(-D$4+Presion_cilindro!$B$34),1-EXP(-Presion_cilindro!$B$16*((Presion_cilindro!N645-(-D$4+Presion_cilindro!$B$34))/Presion_cilindro!$B$35)^(Presion_cilindro!$B$17+1)),0)-IF(Presion_cilindro!N644&gt;(-D$4+Presion_cilindro!$B$34),1-EXP(-Presion_cilindro!$B$16*((Presion_cilindro!N644-(-D$4+Presion_cilindro!$B$34))/Presion_cilindro!$B$35)^(Presion_cilindro!$B$17+1)),0))/((Presion_cilindro!O644+Presion_cilindro!O645)/2)</f>
        <v>2.7123206414816292</v>
      </c>
      <c r="E653" s="27">
        <f>E652*(Presion_cilindro!O644/Presion_cilindro!O645)^Presion_cilindro!$B$9+10*(Presion_cilindro!$B$9-1)*Presion_cilindro!$B$33*(IF(Presion_cilindro!N645&gt;(-E$4+Presion_cilindro!$B$34),1-EXP(-Presion_cilindro!$B$16*((Presion_cilindro!N645-(-E$4+Presion_cilindro!$B$34))/Presion_cilindro!$B$35)^(Presion_cilindro!$B$17+1)),0)-IF(Presion_cilindro!N644&gt;(-E$4+Presion_cilindro!$B$34),1-EXP(-Presion_cilindro!$B$16*((Presion_cilindro!N644-(-E$4+Presion_cilindro!$B$34))/Presion_cilindro!$B$35)^(Presion_cilindro!$B$17+1)),0))/((Presion_cilindro!O644+Presion_cilindro!O645)/2)</f>
        <v>2.6389124724319961</v>
      </c>
      <c r="F653" s="27">
        <f>F652*(Presion_cilindro!O644/Presion_cilindro!O645)^Presion_cilindro!$B$9+10*(Presion_cilindro!$B$9-1)*Presion_cilindro!$B$33*(IF(Presion_cilindro!N645&gt;(-F$4+Presion_cilindro!$B$34),1-EXP(-Presion_cilindro!$B$16*((Presion_cilindro!N645-(-F$4+Presion_cilindro!$B$34))/Presion_cilindro!$B$35)^(Presion_cilindro!$B$17+1)),0)-IF(Presion_cilindro!N644&gt;(-F$4+Presion_cilindro!$B$34),1-EXP(-Presion_cilindro!$B$16*((Presion_cilindro!N644-(-F$4+Presion_cilindro!$B$34))/Presion_cilindro!$B$35)^(Presion_cilindro!$B$17+1)),0))/((Presion_cilindro!O644+Presion_cilindro!O645)/2)</f>
        <v>2.5780074377571767</v>
      </c>
      <c r="G653" s="27">
        <f>G652*(Presion_cilindro!O644/Presion_cilindro!O645)^Presion_cilindro!$B$9+10*(Presion_cilindro!$B$9-1)*Presion_cilindro!$B$33*(IF(Presion_cilindro!N645&gt;(-G$4+Presion_cilindro!$B$34),1-EXP(-Presion_cilindro!$B$16*((Presion_cilindro!N645-(-G$4+Presion_cilindro!$B$34))/Presion_cilindro!$B$35)^(Presion_cilindro!$B$17+1)),0)-IF(Presion_cilindro!N644&gt;(-G$4+Presion_cilindro!$B$34),1-EXP(-Presion_cilindro!$B$16*((Presion_cilindro!N644-(-G$4+Presion_cilindro!$B$34))/Presion_cilindro!$B$35)^(Presion_cilindro!$B$17+1)),0))/((Presion_cilindro!O644+Presion_cilindro!O645)/2)</f>
        <v>2.5328775220285258</v>
      </c>
      <c r="H653" s="27">
        <f>H652*(Presion_cilindro!O644/Presion_cilindro!O645)^Presion_cilindro!$B$9+10*(Presion_cilindro!$B$9-1)*Presion_cilindro!$B$33*(IF(Presion_cilindro!N645&gt;(-H$4+Presion_cilindro!$B$34),1-EXP(-Presion_cilindro!$B$16*((Presion_cilindro!N645-(-H$4+Presion_cilindro!$B$34))/Presion_cilindro!$B$35)^(Presion_cilindro!$B$17+1)),0)-IF(Presion_cilindro!N644&gt;(-H$4+Presion_cilindro!$B$34),1-EXP(-Presion_cilindro!$B$16*((Presion_cilindro!N644-(-H$4+Presion_cilindro!$B$34))/Presion_cilindro!$B$35)^(Presion_cilindro!$B$17+1)),0))/((Presion_cilindro!O644+Presion_cilindro!O645)/2)</f>
        <v>2.5062559837821485</v>
      </c>
      <c r="I653" s="27">
        <f>I652*(Presion_cilindro!O644/Presion_cilindro!O645)^Presion_cilindro!$B$9+10*(Presion_cilindro!$B$9-1)*Presion_cilindro!$B$33*(IF(Presion_cilindro!N645&gt;(-I$4+Presion_cilindro!$B$34),1-EXP(-Presion_cilindro!$B$16*((Presion_cilindro!N645-(-I$4+Presion_cilindro!$B$34))/Presion_cilindro!$B$35)^(Presion_cilindro!$B$17+1)),0)-IF(Presion_cilindro!N644&gt;(-I$4+Presion_cilindro!$B$34),1-EXP(-Presion_cilindro!$B$16*((Presion_cilindro!N644-(-I$4+Presion_cilindro!$B$34))/Presion_cilindro!$B$35)^(Presion_cilindro!$B$17+1)),0))/((Presion_cilindro!O644+Presion_cilindro!O645)/2)</f>
        <v>2.4998702194445492</v>
      </c>
      <c r="J653" s="27">
        <f>J652*(Presion_cilindro!O644/Presion_cilindro!O645)^Presion_cilindro!$B$9+10*(Presion_cilindro!$B$9-1)*Presion_cilindro!$B$33*(IF(Presion_cilindro!N645&gt;(-J$4+Presion_cilindro!$B$34),1-EXP(-Presion_cilindro!$B$16*((Presion_cilindro!N645-(-J$4+Presion_cilindro!$B$34))/Presion_cilindro!$B$35)^(Presion_cilindro!$B$17+1)),0)-IF(Presion_cilindro!N644&gt;(-J$4+Presion_cilindro!$B$34),1-EXP(-Presion_cilindro!$B$16*((Presion_cilindro!N644-(-J$4+Presion_cilindro!$B$34))/Presion_cilindro!$B$35)^(Presion_cilindro!$B$17+1)),0))/((Presion_cilindro!O644+Presion_cilindro!O645)/2)</f>
        <v>2.5141179473875206</v>
      </c>
      <c r="K653" s="27">
        <f>K652*(Presion_cilindro!O644/Presion_cilindro!O645)^Presion_cilindro!$B$9+10*(Presion_cilindro!$B$9-1)*Presion_cilindro!$B$33*(IF(Presion_cilindro!N645&gt;(-K$4+Presion_cilindro!$B$34),1-EXP(-Presion_cilindro!$B$16*((Presion_cilindro!N645-(-K$4+Presion_cilindro!$B$34))/Presion_cilindro!$B$35)^(Presion_cilindro!$B$17+1)),0)-IF(Presion_cilindro!N644&gt;(-K$4+Presion_cilindro!$B$34),1-EXP(-Presion_cilindro!$B$16*((Presion_cilindro!N644-(-K$4+Presion_cilindro!$B$34))/Presion_cilindro!$B$35)^(Presion_cilindro!$B$17+1)),0))/((Presion_cilindro!O644+Presion_cilindro!O645)/2)</f>
        <v>2.5479981825985627</v>
      </c>
      <c r="L653" s="27">
        <f>L652*(Presion_cilindro!O644/Presion_cilindro!O645)^Presion_cilindro!$B$9+10*(Presion_cilindro!$B$9-1)*Presion_cilindro!$B$33*(IF(Presion_cilindro!N645&gt;(-L$4+Presion_cilindro!$B$34),1-EXP(-Presion_cilindro!$B$16*((Presion_cilindro!N645-(-L$4+Presion_cilindro!$B$34))/Presion_cilindro!$B$35)^(Presion_cilindro!$B$17+1)),0)-IF(Presion_cilindro!N644&gt;(-L$4+Presion_cilindro!$B$34),1-EXP(-Presion_cilindro!$B$16*((Presion_cilindro!N644-(-L$4+Presion_cilindro!$B$34))/Presion_cilindro!$B$35)^(Presion_cilindro!$B$17+1)),0))/((Presion_cilindro!O644+Presion_cilindro!O645)/2)</f>
        <v>2.599318174054051</v>
      </c>
      <c r="M653" s="27">
        <f>M652*(Presion_cilindro!O644/Presion_cilindro!O645)^Presion_cilindro!$B$9+10*(Presion_cilindro!$B$9-1)*Presion_cilindro!$B$33*(IF(Presion_cilindro!N645&gt;(-M$4+Presion_cilindro!$B$34),1-EXP(-Presion_cilindro!$B$16*((Presion_cilindro!N645-(-M$4+Presion_cilindro!$B$34))/Presion_cilindro!$B$35)^(Presion_cilindro!$B$17+1)),0)-IF(Presion_cilindro!N644&gt;(-M$4+Presion_cilindro!$B$34),1-EXP(-Presion_cilindro!$B$16*((Presion_cilindro!N644-(-M$4+Presion_cilindro!$B$34))/Presion_cilindro!$B$35)^(Presion_cilindro!$B$17+1)),0))/((Presion_cilindro!O644+Presion_cilindro!O645)/2)</f>
        <v>2.6650980353112184</v>
      </c>
      <c r="N653" s="27">
        <f>N652*(Presion_cilindro!O644/Presion_cilindro!O645)^Presion_cilindro!$B$9+10*(Presion_cilindro!$B$9-1)*Presion_cilindro!$B$33*(IF(Presion_cilindro!N645&gt;(-N$4+Presion_cilindro!$B$34),1-EXP(-Presion_cilindro!$B$16*((Presion_cilindro!N645-(-N$4+Presion_cilindro!$B$34))/Presion_cilindro!$B$35)^(Presion_cilindro!$B$17+1)),0)-IF(Presion_cilindro!N644&gt;(-N$4+Presion_cilindro!$B$34),1-EXP(-Presion_cilindro!$B$16*((Presion_cilindro!N644-(-N$4+Presion_cilindro!$B$34))/Presion_cilindro!$B$35)^(Presion_cilindro!$B$17+1)),0))/((Presion_cilindro!O644+Presion_cilindro!O645)/2)</f>
        <v>2.7420380838359004</v>
      </c>
    </row>
    <row r="654" spans="1:14" x14ac:dyDescent="0.25">
      <c r="A654" s="21">
        <f>Presion_cilindro!N646</f>
        <v>141</v>
      </c>
      <c r="B654" s="27">
        <f>B653*(Presion_cilindro!O645/Presion_cilindro!O646)^Presion_cilindro!$B$9+10*(Presion_cilindro!$B$9-1)*Presion_cilindro!$B$33*(IF(Presion_cilindro!N646&gt;(-B$4+Presion_cilindro!$B$34),1-EXP(-Presion_cilindro!$B$16*((Presion_cilindro!N646-(-B$4+Presion_cilindro!$B$34))/Presion_cilindro!$B$35)^(Presion_cilindro!$B$17+1)),0)-IF(Presion_cilindro!N645&gt;(-B$4+Presion_cilindro!$B$34),1-EXP(-Presion_cilindro!$B$16*((Presion_cilindro!N645-(-B$4+Presion_cilindro!$B$34))/Presion_cilindro!$B$35)^(Presion_cilindro!$B$17+1)),0))/((Presion_cilindro!O645+Presion_cilindro!O646)/2)</f>
        <v>2.875558708584085</v>
      </c>
      <c r="C654" s="27">
        <f>C653*(Presion_cilindro!O645/Presion_cilindro!O646)^Presion_cilindro!$B$9+10*(Presion_cilindro!$B$9-1)*Presion_cilindro!$B$33*(IF(Presion_cilindro!N646&gt;(-C$4+Presion_cilindro!$B$34),1-EXP(-Presion_cilindro!$B$16*((Presion_cilindro!N646-(-C$4+Presion_cilindro!$B$34))/Presion_cilindro!$B$35)^(Presion_cilindro!$B$17+1)),0)-IF(Presion_cilindro!N645&gt;(-C$4+Presion_cilindro!$B$34),1-EXP(-Presion_cilindro!$B$16*((Presion_cilindro!N645-(-C$4+Presion_cilindro!$B$34))/Presion_cilindro!$B$35)^(Presion_cilindro!$B$17+1)),0))/((Presion_cilindro!O645+Presion_cilindro!O646)/2)</f>
        <v>2.7871532167614164</v>
      </c>
      <c r="D654" s="27">
        <f>D653*(Presion_cilindro!O645/Presion_cilindro!O646)^Presion_cilindro!$B$9+10*(Presion_cilindro!$B$9-1)*Presion_cilindro!$B$33*(IF(Presion_cilindro!N646&gt;(-D$4+Presion_cilindro!$B$34),1-EXP(-Presion_cilindro!$B$16*((Presion_cilindro!N646-(-D$4+Presion_cilindro!$B$34))/Presion_cilindro!$B$35)^(Presion_cilindro!$B$17+1)),0)-IF(Presion_cilindro!N645&gt;(-D$4+Presion_cilindro!$B$34),1-EXP(-Presion_cilindro!$B$16*((Presion_cilindro!N645-(-D$4+Presion_cilindro!$B$34))/Presion_cilindro!$B$35)^(Presion_cilindro!$B$17+1)),0))/((Presion_cilindro!O645+Presion_cilindro!O646)/2)</f>
        <v>2.7048164201291374</v>
      </c>
      <c r="E654" s="27">
        <f>E653*(Presion_cilindro!O645/Presion_cilindro!O646)^Presion_cilindro!$B$9+10*(Presion_cilindro!$B$9-1)*Presion_cilindro!$B$33*(IF(Presion_cilindro!N646&gt;(-E$4+Presion_cilindro!$B$34),1-EXP(-Presion_cilindro!$B$16*((Presion_cilindro!N646-(-E$4+Presion_cilindro!$B$34))/Presion_cilindro!$B$35)^(Presion_cilindro!$B$17+1)),0)-IF(Presion_cilindro!N645&gt;(-E$4+Presion_cilindro!$B$34),1-EXP(-Presion_cilindro!$B$16*((Presion_cilindro!N645-(-E$4+Presion_cilindro!$B$34))/Presion_cilindro!$B$35)^(Presion_cilindro!$B$17+1)),0))/((Presion_cilindro!O645+Presion_cilindro!O646)/2)</f>
        <v>2.6316113506471606</v>
      </c>
      <c r="F654" s="27">
        <f>F653*(Presion_cilindro!O645/Presion_cilindro!O646)^Presion_cilindro!$B$9+10*(Presion_cilindro!$B$9-1)*Presion_cilindro!$B$33*(IF(Presion_cilindro!N646&gt;(-F$4+Presion_cilindro!$B$34),1-EXP(-Presion_cilindro!$B$16*((Presion_cilindro!N646-(-F$4+Presion_cilindro!$B$34))/Presion_cilindro!$B$35)^(Presion_cilindro!$B$17+1)),0)-IF(Presion_cilindro!N645&gt;(-F$4+Presion_cilindro!$B$34),1-EXP(-Presion_cilindro!$B$16*((Presion_cilindro!N645-(-F$4+Presion_cilindro!$B$34))/Presion_cilindro!$B$35)^(Presion_cilindro!$B$17+1)),0))/((Presion_cilindro!O645+Presion_cilindro!O646)/2)</f>
        <v>2.5708748229160596</v>
      </c>
      <c r="G654" s="27">
        <f>G653*(Presion_cilindro!O645/Presion_cilindro!O646)^Presion_cilindro!$B$9+10*(Presion_cilindro!$B$9-1)*Presion_cilindro!$B$33*(IF(Presion_cilindro!N646&gt;(-G$4+Presion_cilindro!$B$34),1-EXP(-Presion_cilindro!$B$16*((Presion_cilindro!N646-(-G$4+Presion_cilindro!$B$34))/Presion_cilindro!$B$35)^(Presion_cilindro!$B$17+1)),0)-IF(Presion_cilindro!N645&gt;(-G$4+Presion_cilindro!$B$34),1-EXP(-Presion_cilindro!$B$16*((Presion_cilindro!N645-(-G$4+Presion_cilindro!$B$34))/Presion_cilindro!$B$35)^(Presion_cilindro!$B$17+1)),0))/((Presion_cilindro!O645+Presion_cilindro!O646)/2)</f>
        <v>2.5258697688545979</v>
      </c>
      <c r="H654" s="27">
        <f>H653*(Presion_cilindro!O645/Presion_cilindro!O646)^Presion_cilindro!$B$9+10*(Presion_cilindro!$B$9-1)*Presion_cilindro!$B$33*(IF(Presion_cilindro!N646&gt;(-H$4+Presion_cilindro!$B$34),1-EXP(-Presion_cilindro!$B$16*((Presion_cilindro!N646-(-H$4+Presion_cilindro!$B$34))/Presion_cilindro!$B$35)^(Presion_cilindro!$B$17+1)),0)-IF(Presion_cilindro!N645&gt;(-H$4+Presion_cilindro!$B$34),1-EXP(-Presion_cilindro!$B$16*((Presion_cilindro!N645-(-H$4+Presion_cilindro!$B$34))/Presion_cilindro!$B$35)^(Presion_cilindro!$B$17+1)),0))/((Presion_cilindro!O645+Presion_cilindro!O646)/2)</f>
        <v>2.4993218848483165</v>
      </c>
      <c r="I654" s="27">
        <f>I653*(Presion_cilindro!O645/Presion_cilindro!O646)^Presion_cilindro!$B$9+10*(Presion_cilindro!$B$9-1)*Presion_cilindro!$B$33*(IF(Presion_cilindro!N646&gt;(-I$4+Presion_cilindro!$B$34),1-EXP(-Presion_cilindro!$B$16*((Presion_cilindro!N646-(-I$4+Presion_cilindro!$B$34))/Presion_cilindro!$B$35)^(Presion_cilindro!$B$17+1)),0)-IF(Presion_cilindro!N645&gt;(-I$4+Presion_cilindro!$B$34),1-EXP(-Presion_cilindro!$B$16*((Presion_cilindro!N645-(-I$4+Presion_cilindro!$B$34))/Presion_cilindro!$B$35)^(Presion_cilindro!$B$17+1)),0))/((Presion_cilindro!O645+Presion_cilindro!O646)/2)</f>
        <v>2.4929537881081103</v>
      </c>
      <c r="J654" s="27">
        <f>J653*(Presion_cilindro!O645/Presion_cilindro!O646)^Presion_cilindro!$B$9+10*(Presion_cilindro!$B$9-1)*Presion_cilindro!$B$33*(IF(Presion_cilindro!N646&gt;(-J$4+Presion_cilindro!$B$34),1-EXP(-Presion_cilindro!$B$16*((Presion_cilindro!N646-(-J$4+Presion_cilindro!$B$34))/Presion_cilindro!$B$35)^(Presion_cilindro!$B$17+1)),0)-IF(Presion_cilindro!N645&gt;(-J$4+Presion_cilindro!$B$34),1-EXP(-Presion_cilindro!$B$16*((Presion_cilindro!N645-(-J$4+Presion_cilindro!$B$34))/Presion_cilindro!$B$35)^(Presion_cilindro!$B$17+1)),0))/((Presion_cilindro!O645+Presion_cilindro!O646)/2)</f>
        <v>2.5071620966319248</v>
      </c>
      <c r="K654" s="27">
        <f>K653*(Presion_cilindro!O645/Presion_cilindro!O646)^Presion_cilindro!$B$9+10*(Presion_cilindro!$B$9-1)*Presion_cilindro!$B$33*(IF(Presion_cilindro!N646&gt;(-K$4+Presion_cilindro!$B$34),1-EXP(-Presion_cilindro!$B$16*((Presion_cilindro!N646-(-K$4+Presion_cilindro!$B$34))/Presion_cilindro!$B$35)^(Presion_cilindro!$B$17+1)),0)-IF(Presion_cilindro!N645&gt;(-K$4+Presion_cilindro!$B$34),1-EXP(-Presion_cilindro!$B$16*((Presion_cilindro!N645-(-K$4+Presion_cilindro!$B$34))/Presion_cilindro!$B$35)^(Presion_cilindro!$B$17+1)),0))/((Presion_cilindro!O645+Presion_cilindro!O646)/2)</f>
        <v>2.5409485948486714</v>
      </c>
      <c r="L654" s="27">
        <f>L653*(Presion_cilindro!O645/Presion_cilindro!O646)^Presion_cilindro!$B$9+10*(Presion_cilindro!$B$9-1)*Presion_cilindro!$B$33*(IF(Presion_cilindro!N646&gt;(-L$4+Presion_cilindro!$B$34),1-EXP(-Presion_cilindro!$B$16*((Presion_cilindro!N646-(-L$4+Presion_cilindro!$B$34))/Presion_cilindro!$B$35)^(Presion_cilindro!$B$17+1)),0)-IF(Presion_cilindro!N645&gt;(-L$4+Presion_cilindro!$B$34),1-EXP(-Presion_cilindro!$B$16*((Presion_cilindro!N645-(-L$4+Presion_cilindro!$B$34))/Presion_cilindro!$B$35)^(Presion_cilindro!$B$17+1)),0))/((Presion_cilindro!O645+Presion_cilindro!O646)/2)</f>
        <v>2.5921265984544193</v>
      </c>
      <c r="M654" s="27">
        <f>M653*(Presion_cilindro!O645/Presion_cilindro!O646)^Presion_cilindro!$B$9+10*(Presion_cilindro!$B$9-1)*Presion_cilindro!$B$33*(IF(Presion_cilindro!N646&gt;(-M$4+Presion_cilindro!$B$34),1-EXP(-Presion_cilindro!$B$16*((Presion_cilindro!N646-(-M$4+Presion_cilindro!$B$34))/Presion_cilindro!$B$35)^(Presion_cilindro!$B$17+1)),0)-IF(Presion_cilindro!N645&gt;(-M$4+Presion_cilindro!$B$34),1-EXP(-Presion_cilindro!$B$16*((Presion_cilindro!N645-(-M$4+Presion_cilindro!$B$34))/Presion_cilindro!$B$35)^(Presion_cilindro!$B$17+1)),0))/((Presion_cilindro!O645+Presion_cilindro!O646)/2)</f>
        <v>2.657724465506381</v>
      </c>
      <c r="N654" s="27">
        <f>N653*(Presion_cilindro!O645/Presion_cilindro!O646)^Presion_cilindro!$B$9+10*(Presion_cilindro!$B$9-1)*Presion_cilindro!$B$33*(IF(Presion_cilindro!N646&gt;(-N$4+Presion_cilindro!$B$34),1-EXP(-Presion_cilindro!$B$16*((Presion_cilindro!N646-(-N$4+Presion_cilindro!$B$34))/Presion_cilindro!$B$35)^(Presion_cilindro!$B$17+1)),0)-IF(Presion_cilindro!N645&gt;(-N$4+Presion_cilindro!$B$34),1-EXP(-Presion_cilindro!$B$16*((Presion_cilindro!N645-(-N$4+Presion_cilindro!$B$34))/Presion_cilindro!$B$35)^(Presion_cilindro!$B$17+1)),0))/((Presion_cilindro!O645+Presion_cilindro!O646)/2)</f>
        <v>2.7344516427553849</v>
      </c>
    </row>
    <row r="655" spans="1:14" x14ac:dyDescent="0.25">
      <c r="A655" s="21">
        <f>Presion_cilindro!N647</f>
        <v>141.5</v>
      </c>
      <c r="B655" s="27">
        <f>B654*(Presion_cilindro!O646/Presion_cilindro!O647)^Presion_cilindro!$B$9+10*(Presion_cilindro!$B$9-1)*Presion_cilindro!$B$33*(IF(Presion_cilindro!N647&gt;(-B$4+Presion_cilindro!$B$34),1-EXP(-Presion_cilindro!$B$16*((Presion_cilindro!N647-(-B$4+Presion_cilindro!$B$34))/Presion_cilindro!$B$35)^(Presion_cilindro!$B$17+1)),0)-IF(Presion_cilindro!N646&gt;(-B$4+Presion_cilindro!$B$34),1-EXP(-Presion_cilindro!$B$16*((Presion_cilindro!N646-(-B$4+Presion_cilindro!$B$34))/Presion_cilindro!$B$35)^(Presion_cilindro!$B$17+1)),0))/((Presion_cilindro!O646+Presion_cilindro!O647)/2)</f>
        <v>2.8677195709594354</v>
      </c>
      <c r="C655" s="27">
        <f>C654*(Presion_cilindro!O646/Presion_cilindro!O647)^Presion_cilindro!$B$9+10*(Presion_cilindro!$B$9-1)*Presion_cilindro!$B$33*(IF(Presion_cilindro!N647&gt;(-C$4+Presion_cilindro!$B$34),1-EXP(-Presion_cilindro!$B$16*((Presion_cilindro!N647-(-C$4+Presion_cilindro!$B$34))/Presion_cilindro!$B$35)^(Presion_cilindro!$B$17+1)),0)-IF(Presion_cilindro!N646&gt;(-C$4+Presion_cilindro!$B$34),1-EXP(-Presion_cilindro!$B$16*((Presion_cilindro!N646-(-C$4+Presion_cilindro!$B$34))/Presion_cilindro!$B$35)^(Presion_cilindro!$B$17+1)),0))/((Presion_cilindro!O646+Presion_cilindro!O647)/2)</f>
        <v>2.7795550837161911</v>
      </c>
      <c r="D655" s="27">
        <f>D654*(Presion_cilindro!O646/Presion_cilindro!O647)^Presion_cilindro!$B$9+10*(Presion_cilindro!$B$9-1)*Presion_cilindro!$B$33*(IF(Presion_cilindro!N647&gt;(-D$4+Presion_cilindro!$B$34),1-EXP(-Presion_cilindro!$B$16*((Presion_cilindro!N647-(-D$4+Presion_cilindro!$B$34))/Presion_cilindro!$B$35)^(Presion_cilindro!$B$17+1)),0)-IF(Presion_cilindro!N646&gt;(-D$4+Presion_cilindro!$B$34),1-EXP(-Presion_cilindro!$B$16*((Presion_cilindro!N646-(-D$4+Presion_cilindro!$B$34))/Presion_cilindro!$B$35)^(Presion_cilindro!$B$17+1)),0))/((Presion_cilindro!O646+Presion_cilindro!O647)/2)</f>
        <v>2.6974427476308129</v>
      </c>
      <c r="E655" s="27">
        <f>E654*(Presion_cilindro!O646/Presion_cilindro!O647)^Presion_cilindro!$B$9+10*(Presion_cilindro!$B$9-1)*Presion_cilindro!$B$33*(IF(Presion_cilindro!N647&gt;(-E$4+Presion_cilindro!$B$34),1-EXP(-Presion_cilindro!$B$16*((Presion_cilindro!N647-(-E$4+Presion_cilindro!$B$34))/Presion_cilindro!$B$35)^(Presion_cilindro!$B$17+1)),0)-IF(Presion_cilindro!N646&gt;(-E$4+Presion_cilindro!$B$34),1-EXP(-Presion_cilindro!$B$16*((Presion_cilindro!N646-(-E$4+Presion_cilindro!$B$34))/Presion_cilindro!$B$35)^(Presion_cilindro!$B$17+1)),0))/((Presion_cilindro!O646+Presion_cilindro!O647)/2)</f>
        <v>2.6244372444497355</v>
      </c>
      <c r="F655" s="27">
        <f>F654*(Presion_cilindro!O646/Presion_cilindro!O647)^Presion_cilindro!$B$9+10*(Presion_cilindro!$B$9-1)*Presion_cilindro!$B$33*(IF(Presion_cilindro!N647&gt;(-F$4+Presion_cilindro!$B$34),1-EXP(-Presion_cilindro!$B$16*((Presion_cilindro!N647-(-F$4+Presion_cilindro!$B$34))/Presion_cilindro!$B$35)^(Presion_cilindro!$B$17+1)),0)-IF(Presion_cilindro!N646&gt;(-F$4+Presion_cilindro!$B$34),1-EXP(-Presion_cilindro!$B$16*((Presion_cilindro!N646-(-F$4+Presion_cilindro!$B$34))/Presion_cilindro!$B$35)^(Presion_cilindro!$B$17+1)),0))/((Presion_cilindro!O646+Presion_cilindro!O647)/2)</f>
        <v>2.5638662921938651</v>
      </c>
      <c r="G655" s="27">
        <f>G654*(Presion_cilindro!O646/Presion_cilindro!O647)^Presion_cilindro!$B$9+10*(Presion_cilindro!$B$9-1)*Presion_cilindro!$B$33*(IF(Presion_cilindro!N647&gt;(-G$4+Presion_cilindro!$B$34),1-EXP(-Presion_cilindro!$B$16*((Presion_cilindro!N647-(-G$4+Presion_cilindro!$B$34))/Presion_cilindro!$B$35)^(Presion_cilindro!$B$17+1)),0)-IF(Presion_cilindro!N646&gt;(-G$4+Presion_cilindro!$B$34),1-EXP(-Presion_cilindro!$B$16*((Presion_cilindro!N646-(-G$4+Presion_cilindro!$B$34))/Presion_cilindro!$B$35)^(Presion_cilindro!$B$17+1)),0))/((Presion_cilindro!O646+Presion_cilindro!O647)/2)</f>
        <v>2.5189839276158557</v>
      </c>
      <c r="H655" s="27">
        <f>H654*(Presion_cilindro!O646/Presion_cilindro!O647)^Presion_cilindro!$B$9+10*(Presion_cilindro!$B$9-1)*Presion_cilindro!$B$33*(IF(Presion_cilindro!N647&gt;(-H$4+Presion_cilindro!$B$34),1-EXP(-Presion_cilindro!$B$16*((Presion_cilindro!N647-(-H$4+Presion_cilindro!$B$34))/Presion_cilindro!$B$35)^(Presion_cilindro!$B$17+1)),0)-IF(Presion_cilindro!N646&gt;(-H$4+Presion_cilindro!$B$34),1-EXP(-Presion_cilindro!$B$16*((Presion_cilindro!N646-(-H$4+Presion_cilindro!$B$34))/Presion_cilindro!$B$35)^(Presion_cilindro!$B$17+1)),0))/((Presion_cilindro!O646+Presion_cilindro!O647)/2)</f>
        <v>2.4925084165073166</v>
      </c>
      <c r="I655" s="27">
        <f>I654*(Presion_cilindro!O646/Presion_cilindro!O647)^Presion_cilindro!$B$9+10*(Presion_cilindro!$B$9-1)*Presion_cilindro!$B$33*(IF(Presion_cilindro!N647&gt;(-I$4+Presion_cilindro!$B$34),1-EXP(-Presion_cilindro!$B$16*((Presion_cilindro!N647-(-I$4+Presion_cilindro!$B$34))/Presion_cilindro!$B$35)^(Presion_cilindro!$B$17+1)),0)-IF(Presion_cilindro!N646&gt;(-I$4+Presion_cilindro!$B$34),1-EXP(-Presion_cilindro!$B$16*((Presion_cilindro!N646-(-I$4+Presion_cilindro!$B$34))/Presion_cilindro!$B$35)^(Presion_cilindro!$B$17+1)),0))/((Presion_cilindro!O646+Presion_cilindro!O647)/2)</f>
        <v>2.4861576800062193</v>
      </c>
      <c r="J655" s="27">
        <f>J654*(Presion_cilindro!O646/Presion_cilindro!O647)^Presion_cilindro!$B$9+10*(Presion_cilindro!$B$9-1)*Presion_cilindro!$B$33*(IF(Presion_cilindro!N647&gt;(-J$4+Presion_cilindro!$B$34),1-EXP(-Presion_cilindro!$B$16*((Presion_cilindro!N647-(-J$4+Presion_cilindro!$B$34))/Presion_cilindro!$B$35)^(Presion_cilindro!$B$17+1)),0)-IF(Presion_cilindro!N646&gt;(-J$4+Presion_cilindro!$B$34),1-EXP(-Presion_cilindro!$B$16*((Presion_cilindro!N646-(-J$4+Presion_cilindro!$B$34))/Presion_cilindro!$B$35)^(Presion_cilindro!$B$17+1)),0))/((Presion_cilindro!O646+Presion_cilindro!O647)/2)</f>
        <v>2.5003272548795614</v>
      </c>
      <c r="K655" s="27">
        <f>K654*(Presion_cilindro!O646/Presion_cilindro!O647)^Presion_cilindro!$B$9+10*(Presion_cilindro!$B$9-1)*Presion_cilindro!$B$33*(IF(Presion_cilindro!N647&gt;(-K$4+Presion_cilindro!$B$34),1-EXP(-Presion_cilindro!$B$16*((Presion_cilindro!N647-(-K$4+Presion_cilindro!$B$34))/Presion_cilindro!$B$35)^(Presion_cilindro!$B$17+1)),0)-IF(Presion_cilindro!N646&gt;(-K$4+Presion_cilindro!$B$34),1-EXP(-Presion_cilindro!$B$16*((Presion_cilindro!N646-(-K$4+Presion_cilindro!$B$34))/Presion_cilindro!$B$35)^(Presion_cilindro!$B$17+1)),0))/((Presion_cilindro!O646+Presion_cilindro!O647)/2)</f>
        <v>2.534021646818462</v>
      </c>
      <c r="L655" s="27">
        <f>L654*(Presion_cilindro!O646/Presion_cilindro!O647)^Presion_cilindro!$B$9+10*(Presion_cilindro!$B$9-1)*Presion_cilindro!$B$33*(IF(Presion_cilindro!N647&gt;(-L$4+Presion_cilindro!$B$34),1-EXP(-Presion_cilindro!$B$16*((Presion_cilindro!N647-(-L$4+Presion_cilindro!$B$34))/Presion_cilindro!$B$35)^(Presion_cilindro!$B$17+1)),0)-IF(Presion_cilindro!N646&gt;(-L$4+Presion_cilindro!$B$34),1-EXP(-Presion_cilindro!$B$16*((Presion_cilindro!N646-(-L$4+Presion_cilindro!$B$34))/Presion_cilindro!$B$35)^(Presion_cilindro!$B$17+1)),0))/((Presion_cilindro!O646+Presion_cilindro!O647)/2)</f>
        <v>2.5850601326976466</v>
      </c>
      <c r="M655" s="27">
        <f>M654*(Presion_cilindro!O646/Presion_cilindro!O647)^Presion_cilindro!$B$9+10*(Presion_cilindro!$B$9-1)*Presion_cilindro!$B$33*(IF(Presion_cilindro!N647&gt;(-M$4+Presion_cilindro!$B$34),1-EXP(-Presion_cilindro!$B$16*((Presion_cilindro!N647-(-M$4+Presion_cilindro!$B$34))/Presion_cilindro!$B$35)^(Presion_cilindro!$B$17+1)),0)-IF(Presion_cilindro!N646&gt;(-M$4+Presion_cilindro!$B$34),1-EXP(-Presion_cilindro!$B$16*((Presion_cilindro!N646-(-M$4+Presion_cilindro!$B$34))/Presion_cilindro!$B$35)^(Presion_cilindro!$B$17+1)),0))/((Presion_cilindro!O646+Presion_cilindro!O647)/2)</f>
        <v>2.6504791716470315</v>
      </c>
      <c r="N655" s="27">
        <f>N654*(Presion_cilindro!O646/Presion_cilindro!O647)^Presion_cilindro!$B$9+10*(Presion_cilindro!$B$9-1)*Presion_cilindro!$B$33*(IF(Presion_cilindro!N647&gt;(-N$4+Presion_cilindro!$B$34),1-EXP(-Presion_cilindro!$B$16*((Presion_cilindro!N647-(-N$4+Presion_cilindro!$B$34))/Presion_cilindro!$B$35)^(Presion_cilindro!$B$17+1)),0)-IF(Presion_cilindro!N646&gt;(-N$4+Presion_cilindro!$B$34),1-EXP(-Presion_cilindro!$B$16*((Presion_cilindro!N646-(-N$4+Presion_cilindro!$B$34))/Presion_cilindro!$B$35)^(Presion_cilindro!$B$17+1)),0))/((Presion_cilindro!O646+Presion_cilindro!O647)/2)</f>
        <v>2.7269971808828037</v>
      </c>
    </row>
    <row r="656" spans="1:14" x14ac:dyDescent="0.25">
      <c r="A656" s="21">
        <f>Presion_cilindro!N648</f>
        <v>142</v>
      </c>
      <c r="B656" s="27">
        <f>B655*(Presion_cilindro!O647/Presion_cilindro!O648)^Presion_cilindro!$B$9+10*(Presion_cilindro!$B$9-1)*Presion_cilindro!$B$33*(IF(Presion_cilindro!N648&gt;(-B$4+Presion_cilindro!$B$34),1-EXP(-Presion_cilindro!$B$16*((Presion_cilindro!N648-(-B$4+Presion_cilindro!$B$34))/Presion_cilindro!$B$35)^(Presion_cilindro!$B$17+1)),0)-IF(Presion_cilindro!N647&gt;(-B$4+Presion_cilindro!$B$34),1-EXP(-Presion_cilindro!$B$16*((Presion_cilindro!N647-(-B$4+Presion_cilindro!$B$34))/Presion_cilindro!$B$35)^(Presion_cilindro!$B$17+1)),0))/((Presion_cilindro!O647+Presion_cilindro!O648)/2)</f>
        <v>2.860017608213782</v>
      </c>
      <c r="C656" s="27">
        <f>C655*(Presion_cilindro!O647/Presion_cilindro!O648)^Presion_cilindro!$B$9+10*(Presion_cilindro!$B$9-1)*Presion_cilindro!$B$33*(IF(Presion_cilindro!N648&gt;(-C$4+Presion_cilindro!$B$34),1-EXP(-Presion_cilindro!$B$16*((Presion_cilindro!N648-(-C$4+Presion_cilindro!$B$34))/Presion_cilindro!$B$35)^(Presion_cilindro!$B$17+1)),0)-IF(Presion_cilindro!N647&gt;(-C$4+Presion_cilindro!$B$34),1-EXP(-Presion_cilindro!$B$16*((Presion_cilindro!N647-(-C$4+Presion_cilindro!$B$34))/Presion_cilindro!$B$35)^(Presion_cilindro!$B$17+1)),0))/((Presion_cilindro!O647+Presion_cilindro!O648)/2)</f>
        <v>2.7720899082781649</v>
      </c>
      <c r="D656" s="27">
        <f>D655*(Presion_cilindro!O647/Presion_cilindro!O648)^Presion_cilindro!$B$9+10*(Presion_cilindro!$B$9-1)*Presion_cilindro!$B$33*(IF(Presion_cilindro!N648&gt;(-D$4+Presion_cilindro!$B$34),1-EXP(-Presion_cilindro!$B$16*((Presion_cilindro!N648-(-D$4+Presion_cilindro!$B$34))/Presion_cilindro!$B$35)^(Presion_cilindro!$B$17+1)),0)-IF(Presion_cilindro!N647&gt;(-D$4+Presion_cilindro!$B$34),1-EXP(-Presion_cilindro!$B$16*((Presion_cilindro!N647-(-D$4+Presion_cilindro!$B$34))/Presion_cilindro!$B$35)^(Presion_cilindro!$B$17+1)),0))/((Presion_cilindro!O647+Presion_cilindro!O648)/2)</f>
        <v>2.6901981049672923</v>
      </c>
      <c r="E656" s="27">
        <f>E655*(Presion_cilindro!O647/Presion_cilindro!O648)^Presion_cilindro!$B$9+10*(Presion_cilindro!$B$9-1)*Presion_cilindro!$B$33*(IF(Presion_cilindro!N648&gt;(-E$4+Presion_cilindro!$B$34),1-EXP(-Presion_cilindro!$B$16*((Presion_cilindro!N648-(-E$4+Presion_cilindro!$B$34))/Presion_cilindro!$B$35)^(Presion_cilindro!$B$17+1)),0)-IF(Presion_cilindro!N647&gt;(-E$4+Presion_cilindro!$B$34),1-EXP(-Presion_cilindro!$B$16*((Presion_cilindro!N647-(-E$4+Presion_cilindro!$B$34))/Presion_cilindro!$B$35)^(Presion_cilindro!$B$17+1)),0))/((Presion_cilindro!O647+Presion_cilindro!O648)/2)</f>
        <v>2.6173886759321747</v>
      </c>
      <c r="F656" s="27">
        <f>F655*(Presion_cilindro!O647/Presion_cilindro!O648)^Presion_cilindro!$B$9+10*(Presion_cilindro!$B$9-1)*Presion_cilindro!$B$33*(IF(Presion_cilindro!N648&gt;(-F$4+Presion_cilindro!$B$34),1-EXP(-Presion_cilindro!$B$16*((Presion_cilindro!N648-(-F$4+Presion_cilindro!$B$34))/Presion_cilindro!$B$35)^(Presion_cilindro!$B$17+1)),0)-IF(Presion_cilindro!N647&gt;(-F$4+Presion_cilindro!$B$34),1-EXP(-Presion_cilindro!$B$16*((Presion_cilindro!N647-(-F$4+Presion_cilindro!$B$34))/Presion_cilindro!$B$35)^(Presion_cilindro!$B$17+1)),0))/((Presion_cilindro!O647+Presion_cilindro!O648)/2)</f>
        <v>2.5569804017925568</v>
      </c>
      <c r="G656" s="27">
        <f>G655*(Presion_cilindro!O647/Presion_cilindro!O648)^Presion_cilindro!$B$9+10*(Presion_cilindro!$B$9-1)*Presion_cilindro!$B$33*(IF(Presion_cilindro!N648&gt;(-G$4+Presion_cilindro!$B$34),1-EXP(-Presion_cilindro!$B$16*((Presion_cilindro!N648-(-G$4+Presion_cilindro!$B$34))/Presion_cilindro!$B$35)^(Presion_cilindro!$B$17+1)),0)-IF(Presion_cilindro!N647&gt;(-G$4+Presion_cilindro!$B$34),1-EXP(-Presion_cilindro!$B$16*((Presion_cilindro!N647-(-G$4+Presion_cilindro!$B$34))/Presion_cilindro!$B$35)^(Presion_cilindro!$B$17+1)),0))/((Presion_cilindro!O647+Presion_cilindro!O648)/2)</f>
        <v>2.5122185797890086</v>
      </c>
      <c r="H656" s="27">
        <f>H655*(Presion_cilindro!O647/Presion_cilindro!O648)^Presion_cilindro!$B$9+10*(Presion_cilindro!$B$9-1)*Presion_cilindro!$B$33*(IF(Presion_cilindro!N648&gt;(-H$4+Presion_cilindro!$B$34),1-EXP(-Presion_cilindro!$B$16*((Presion_cilindro!N648-(-H$4+Presion_cilindro!$B$34))/Presion_cilindro!$B$35)^(Presion_cilindro!$B$17+1)),0)-IF(Presion_cilindro!N647&gt;(-H$4+Presion_cilindro!$B$34),1-EXP(-Presion_cilindro!$B$16*((Presion_cilindro!N647-(-H$4+Presion_cilindro!$B$34))/Presion_cilindro!$B$35)^(Presion_cilindro!$B$17+1)),0))/((Presion_cilindro!O647+Presion_cilindro!O648)/2)</f>
        <v>2.4858141751450957</v>
      </c>
      <c r="I656" s="27">
        <f>I655*(Presion_cilindro!O647/Presion_cilindro!O648)^Presion_cilindro!$B$9+10*(Presion_cilindro!$B$9-1)*Presion_cilindro!$B$33*(IF(Presion_cilindro!N648&gt;(-I$4+Presion_cilindro!$B$34),1-EXP(-Presion_cilindro!$B$16*((Presion_cilindro!N648-(-I$4+Presion_cilindro!$B$34))/Presion_cilindro!$B$35)^(Presion_cilindro!$B$17+1)),0)-IF(Presion_cilindro!N647&gt;(-I$4+Presion_cilindro!$B$34),1-EXP(-Presion_cilindro!$B$16*((Presion_cilindro!N647-(-I$4+Presion_cilindro!$B$34))/Presion_cilindro!$B$35)^(Presion_cilindro!$B$17+1)),0))/((Presion_cilindro!O647+Presion_cilindro!O648)/2)</f>
        <v>2.479480495101134</v>
      </c>
      <c r="J656" s="27">
        <f>J655*(Presion_cilindro!O647/Presion_cilindro!O648)^Presion_cilindro!$B$9+10*(Presion_cilindro!$B$9-1)*Presion_cilindro!$B$33*(IF(Presion_cilindro!N648&gt;(-J$4+Presion_cilindro!$B$34),1-EXP(-Presion_cilindro!$B$16*((Presion_cilindro!N648-(-J$4+Presion_cilindro!$B$34))/Presion_cilindro!$B$35)^(Presion_cilindro!$B$17+1)),0)-IF(Presion_cilindro!N647&gt;(-J$4+Presion_cilindro!$B$34),1-EXP(-Presion_cilindro!$B$16*((Presion_cilindro!N647-(-J$4+Presion_cilindro!$B$34))/Presion_cilindro!$B$35)^(Presion_cilindro!$B$17+1)),0))/((Presion_cilindro!O647+Presion_cilindro!O648)/2)</f>
        <v>2.4936120141133307</v>
      </c>
      <c r="K656" s="27">
        <f>K655*(Presion_cilindro!O647/Presion_cilindro!O648)^Presion_cilindro!$B$9+10*(Presion_cilindro!$B$9-1)*Presion_cilindro!$B$33*(IF(Presion_cilindro!N648&gt;(-K$4+Presion_cilindro!$B$34),1-EXP(-Presion_cilindro!$B$16*((Presion_cilindro!N648-(-K$4+Presion_cilindro!$B$34))/Presion_cilindro!$B$35)^(Presion_cilindro!$B$17+1)),0)-IF(Presion_cilindro!N647&gt;(-K$4+Presion_cilindro!$B$34),1-EXP(-Presion_cilindro!$B$16*((Presion_cilindro!N647-(-K$4+Presion_cilindro!$B$34))/Presion_cilindro!$B$35)^(Presion_cilindro!$B$17+1)),0))/((Presion_cilindro!O647+Presion_cilindro!O648)/2)</f>
        <v>2.5272159115164063</v>
      </c>
      <c r="L656" s="27">
        <f>L655*(Presion_cilindro!O647/Presion_cilindro!O648)^Presion_cilindro!$B$9+10*(Presion_cilindro!$B$9-1)*Presion_cilindro!$B$33*(IF(Presion_cilindro!N648&gt;(-L$4+Presion_cilindro!$B$34),1-EXP(-Presion_cilindro!$B$16*((Presion_cilindro!N648-(-L$4+Presion_cilindro!$B$34))/Presion_cilindro!$B$35)^(Presion_cilindro!$B$17+1)),0)-IF(Presion_cilindro!N647&gt;(-L$4+Presion_cilindro!$B$34),1-EXP(-Presion_cilindro!$B$16*((Presion_cilindro!N647-(-L$4+Presion_cilindro!$B$34))/Presion_cilindro!$B$35)^(Presion_cilindro!$B$17+1)),0))/((Presion_cilindro!O647+Presion_cilindro!O648)/2)</f>
        <v>2.5781173210507426</v>
      </c>
      <c r="M656" s="27">
        <f>M655*(Presion_cilindro!O647/Presion_cilindro!O648)^Presion_cilindro!$B$9+10*(Presion_cilindro!$B$9-1)*Presion_cilindro!$B$33*(IF(Presion_cilindro!N648&gt;(-M$4+Presion_cilindro!$B$34),1-EXP(-Presion_cilindro!$B$16*((Presion_cilindro!N648-(-M$4+Presion_cilindro!$B$34))/Presion_cilindro!$B$35)^(Presion_cilindro!$B$17+1)),0)-IF(Presion_cilindro!N647&gt;(-M$4+Presion_cilindro!$B$34),1-EXP(-Presion_cilindro!$B$16*((Presion_cilindro!N647-(-M$4+Presion_cilindro!$B$34))/Presion_cilindro!$B$35)^(Presion_cilindro!$B$17+1)),0))/((Presion_cilindro!O647+Presion_cilindro!O648)/2)</f>
        <v>2.6433606611605525</v>
      </c>
      <c r="N656" s="27">
        <f>N655*(Presion_cilindro!O647/Presion_cilindro!O648)^Presion_cilindro!$B$9+10*(Presion_cilindro!$B$9-1)*Presion_cilindro!$B$33*(IF(Presion_cilindro!N648&gt;(-N$4+Presion_cilindro!$B$34),1-EXP(-Presion_cilindro!$B$16*((Presion_cilindro!N648-(-N$4+Presion_cilindro!$B$34))/Presion_cilindro!$B$35)^(Presion_cilindro!$B$17+1)),0)-IF(Presion_cilindro!N647&gt;(-N$4+Presion_cilindro!$B$34),1-EXP(-Presion_cilindro!$B$16*((Presion_cilindro!N647-(-N$4+Presion_cilindro!$B$34))/Presion_cilindro!$B$35)^(Presion_cilindro!$B$17+1)),0))/((Presion_cilindro!O647+Presion_cilindro!O648)/2)</f>
        <v>2.719673162555714</v>
      </c>
    </row>
    <row r="657" spans="1:14" x14ac:dyDescent="0.25">
      <c r="A657" s="21">
        <f>Presion_cilindro!N649</f>
        <v>142.5</v>
      </c>
      <c r="B657" s="27">
        <f>B656*(Presion_cilindro!O648/Presion_cilindro!O649)^Presion_cilindro!$B$9+10*(Presion_cilindro!$B$9-1)*Presion_cilindro!$B$33*(IF(Presion_cilindro!N649&gt;(-B$4+Presion_cilindro!$B$34),1-EXP(-Presion_cilindro!$B$16*((Presion_cilindro!N649-(-B$4+Presion_cilindro!$B$34))/Presion_cilindro!$B$35)^(Presion_cilindro!$B$17+1)),0)-IF(Presion_cilindro!N648&gt;(-B$4+Presion_cilindro!$B$34),1-EXP(-Presion_cilindro!$B$16*((Presion_cilindro!N648-(-B$4+Presion_cilindro!$B$34))/Presion_cilindro!$B$35)^(Presion_cilindro!$B$17+1)),0))/((Presion_cilindro!O648+Presion_cilindro!O649)/2)</f>
        <v>2.8524512392685355</v>
      </c>
      <c r="C657" s="27">
        <f>C656*(Presion_cilindro!O648/Presion_cilindro!O649)^Presion_cilindro!$B$9+10*(Presion_cilindro!$B$9-1)*Presion_cilindro!$B$33*(IF(Presion_cilindro!N649&gt;(-C$4+Presion_cilindro!$B$34),1-EXP(-Presion_cilindro!$B$16*((Presion_cilindro!N649-(-C$4+Presion_cilindro!$B$34))/Presion_cilindro!$B$35)^(Presion_cilindro!$B$17+1)),0)-IF(Presion_cilindro!N648&gt;(-C$4+Presion_cilindro!$B$34),1-EXP(-Presion_cilindro!$B$16*((Presion_cilindro!N648-(-C$4+Presion_cilindro!$B$34))/Presion_cilindro!$B$35)^(Presion_cilindro!$B$17+1)),0))/((Presion_cilindro!O648+Presion_cilindro!O649)/2)</f>
        <v>2.7647561579770512</v>
      </c>
      <c r="D657" s="27">
        <f>D656*(Presion_cilindro!O648/Presion_cilindro!O649)^Presion_cilindro!$B$9+10*(Presion_cilindro!$B$9-1)*Presion_cilindro!$B$33*(IF(Presion_cilindro!N649&gt;(-D$4+Presion_cilindro!$B$34),1-EXP(-Presion_cilindro!$B$16*((Presion_cilindro!N649-(-D$4+Presion_cilindro!$B$34))/Presion_cilindro!$B$35)^(Presion_cilindro!$B$17+1)),0)-IF(Presion_cilindro!N648&gt;(-D$4+Presion_cilindro!$B$34),1-EXP(-Presion_cilindro!$B$16*((Presion_cilindro!N648-(-D$4+Presion_cilindro!$B$34))/Presion_cilindro!$B$35)^(Presion_cilindro!$B$17+1)),0))/((Presion_cilindro!O648+Presion_cilindro!O649)/2)</f>
        <v>2.683081004939821</v>
      </c>
      <c r="E657" s="27">
        <f>E656*(Presion_cilindro!O648/Presion_cilindro!O649)^Presion_cilindro!$B$9+10*(Presion_cilindro!$B$9-1)*Presion_cilindro!$B$33*(IF(Presion_cilindro!N649&gt;(-E$4+Presion_cilindro!$B$34),1-EXP(-Presion_cilindro!$B$16*((Presion_cilindro!N649-(-E$4+Presion_cilindro!$B$34))/Presion_cilindro!$B$35)^(Presion_cilindro!$B$17+1)),0)-IF(Presion_cilindro!N648&gt;(-E$4+Presion_cilindro!$B$34),1-EXP(-Presion_cilindro!$B$16*((Presion_cilindro!N648-(-E$4+Presion_cilindro!$B$34))/Presion_cilindro!$B$35)^(Presion_cilindro!$B$17+1)),0))/((Presion_cilindro!O648+Presion_cilindro!O649)/2)</f>
        <v>2.6104641981463255</v>
      </c>
      <c r="F657" s="27">
        <f>F656*(Presion_cilindro!O648/Presion_cilindro!O649)^Presion_cilindro!$B$9+10*(Presion_cilindro!$B$9-1)*Presion_cilindro!$B$33*(IF(Presion_cilindro!N649&gt;(-F$4+Presion_cilindro!$B$34),1-EXP(-Presion_cilindro!$B$16*((Presion_cilindro!N649-(-F$4+Presion_cilindro!$B$34))/Presion_cilindro!$B$35)^(Presion_cilindro!$B$17+1)),0)-IF(Presion_cilindro!N648&gt;(-F$4+Presion_cilindro!$B$34),1-EXP(-Presion_cilindro!$B$16*((Presion_cilindro!N648-(-F$4+Presion_cilindro!$B$34))/Presion_cilindro!$B$35)^(Presion_cilindro!$B$17+1)),0))/((Presion_cilindro!O648+Presion_cilindro!O649)/2)</f>
        <v>2.5502157381589607</v>
      </c>
      <c r="G657" s="27">
        <f>G656*(Presion_cilindro!O648/Presion_cilindro!O649)^Presion_cilindro!$B$9+10*(Presion_cilindro!$B$9-1)*Presion_cilindro!$B$33*(IF(Presion_cilindro!N649&gt;(-G$4+Presion_cilindro!$B$34),1-EXP(-Presion_cilindro!$B$16*((Presion_cilindro!N649-(-G$4+Presion_cilindro!$B$34))/Presion_cilindro!$B$35)^(Presion_cilindro!$B$17+1)),0)-IF(Presion_cilindro!N648&gt;(-G$4+Presion_cilindro!$B$34),1-EXP(-Presion_cilindro!$B$16*((Presion_cilindro!N648-(-G$4+Presion_cilindro!$B$34))/Presion_cilindro!$B$35)^(Presion_cilindro!$B$17+1)),0))/((Presion_cilindro!O648+Presion_cilindro!O649)/2)</f>
        <v>2.5055723365661708</v>
      </c>
      <c r="H657" s="27">
        <f>H656*(Presion_cilindro!O648/Presion_cilindro!O649)^Presion_cilindro!$B$9+10*(Presion_cilindro!$B$9-1)*Presion_cilindro!$B$33*(IF(Presion_cilindro!N649&gt;(-H$4+Presion_cilindro!$B$34),1-EXP(-Presion_cilindro!$B$16*((Presion_cilindro!N649-(-H$4+Presion_cilindro!$B$34))/Presion_cilindro!$B$35)^(Presion_cilindro!$B$17+1)),0)-IF(Presion_cilindro!N648&gt;(-H$4+Presion_cilindro!$B$34),1-EXP(-Presion_cilindro!$B$16*((Presion_cilindro!N648-(-H$4+Presion_cilindro!$B$34))/Presion_cilindro!$B$35)^(Presion_cilindro!$B$17+1)),0))/((Presion_cilindro!O648+Presion_cilindro!O649)/2)</f>
        <v>2.4792377865506845</v>
      </c>
      <c r="I657" s="27">
        <f>I656*(Presion_cilindro!O648/Presion_cilindro!O649)^Presion_cilindro!$B$9+10*(Presion_cilindro!$B$9-1)*Presion_cilindro!$B$33*(IF(Presion_cilindro!N649&gt;(-I$4+Presion_cilindro!$B$34),1-EXP(-Presion_cilindro!$B$16*((Presion_cilindro!N649-(-I$4+Presion_cilindro!$B$34))/Presion_cilindro!$B$35)^(Presion_cilindro!$B$17+1)),0)-IF(Presion_cilindro!N648&gt;(-I$4+Presion_cilindro!$B$34),1-EXP(-Presion_cilindro!$B$16*((Presion_cilindro!N648-(-I$4+Presion_cilindro!$B$34))/Presion_cilindro!$B$35)^(Presion_cilindro!$B$17+1)),0))/((Presion_cilindro!O648+Presion_cilindro!O649)/2)</f>
        <v>2.4729208626832779</v>
      </c>
      <c r="J657" s="27">
        <f>J656*(Presion_cilindro!O648/Presion_cilindro!O649)^Presion_cilindro!$B$9+10*(Presion_cilindro!$B$9-1)*Presion_cilindro!$B$33*(IF(Presion_cilindro!N649&gt;(-J$4+Presion_cilindro!$B$34),1-EXP(-Presion_cilindro!$B$16*((Presion_cilindro!N649-(-J$4+Presion_cilindro!$B$34))/Presion_cilindro!$B$35)^(Presion_cilindro!$B$17+1)),0)-IF(Presion_cilindro!N648&gt;(-J$4+Presion_cilindro!$B$34),1-EXP(-Presion_cilindro!$B$16*((Presion_cilindro!N648-(-J$4+Presion_cilindro!$B$34))/Presion_cilindro!$B$35)^(Presion_cilindro!$B$17+1)),0))/((Presion_cilindro!O648+Presion_cilindro!O649)/2)</f>
        <v>2.4870149958114522</v>
      </c>
      <c r="K657" s="27">
        <f>K656*(Presion_cilindro!O648/Presion_cilindro!O649)^Presion_cilindro!$B$9+10*(Presion_cilindro!$B$9-1)*Presion_cilindro!$B$33*(IF(Presion_cilindro!N649&gt;(-K$4+Presion_cilindro!$B$34),1-EXP(-Presion_cilindro!$B$16*((Presion_cilindro!N649-(-K$4+Presion_cilindro!$B$34))/Presion_cilindro!$B$35)^(Presion_cilindro!$B$17+1)),0)-IF(Presion_cilindro!N648&gt;(-K$4+Presion_cilindro!$B$34),1-EXP(-Presion_cilindro!$B$16*((Presion_cilindro!N648-(-K$4+Presion_cilindro!$B$34))/Presion_cilindro!$B$35)^(Presion_cilindro!$B$17+1)),0))/((Presion_cilindro!O648+Presion_cilindro!O649)/2)</f>
        <v>2.520529991843774</v>
      </c>
      <c r="L657" s="27">
        <f>L656*(Presion_cilindro!O648/Presion_cilindro!O649)^Presion_cilindro!$B$9+10*(Presion_cilindro!$B$9-1)*Presion_cilindro!$B$33*(IF(Presion_cilindro!N649&gt;(-L$4+Presion_cilindro!$B$34),1-EXP(-Presion_cilindro!$B$16*((Presion_cilindro!N649-(-L$4+Presion_cilindro!$B$34))/Presion_cilindro!$B$35)^(Presion_cilindro!$B$17+1)),0)-IF(Presion_cilindro!N648&gt;(-L$4+Presion_cilindro!$B$34),1-EXP(-Presion_cilindro!$B$16*((Presion_cilindro!N648-(-L$4+Presion_cilindro!$B$34))/Presion_cilindro!$B$35)^(Presion_cilindro!$B$17+1)),0))/((Presion_cilindro!O648+Presion_cilindro!O649)/2)</f>
        <v>2.5712967382755951</v>
      </c>
      <c r="M657" s="27">
        <f>M656*(Presion_cilindro!O648/Presion_cilindro!O649)^Presion_cilindro!$B$9+10*(Presion_cilindro!$B$9-1)*Presion_cilindro!$B$33*(IF(Presion_cilindro!N649&gt;(-M$4+Presion_cilindro!$B$34),1-EXP(-Presion_cilindro!$B$16*((Presion_cilindro!N649-(-M$4+Presion_cilindro!$B$34))/Presion_cilindro!$B$35)^(Presion_cilindro!$B$17+1)),0)-IF(Presion_cilindro!N648&gt;(-M$4+Presion_cilindro!$B$34),1-EXP(-Presion_cilindro!$B$16*((Presion_cilindro!N648-(-M$4+Presion_cilindro!$B$34))/Presion_cilindro!$B$35)^(Presion_cilindro!$B$17+1)),0))/((Presion_cilindro!O648+Presion_cilindro!O649)/2)</f>
        <v>2.6363674727409245</v>
      </c>
      <c r="N657" s="27">
        <f>N656*(Presion_cilindro!O648/Presion_cilindro!O649)^Presion_cilindro!$B$9+10*(Presion_cilindro!$B$9-1)*Presion_cilindro!$B$33*(IF(Presion_cilindro!N649&gt;(-N$4+Presion_cilindro!$B$34),1-EXP(-Presion_cilindro!$B$16*((Presion_cilindro!N649-(-N$4+Presion_cilindro!$B$34))/Presion_cilindro!$B$35)^(Presion_cilindro!$B$17+1)),0)-IF(Presion_cilindro!N648&gt;(-N$4+Presion_cilindro!$B$34),1-EXP(-Presion_cilindro!$B$16*((Presion_cilindro!N648-(-N$4+Presion_cilindro!$B$34))/Presion_cilindro!$B$35)^(Presion_cilindro!$B$17+1)),0))/((Presion_cilindro!O648+Presion_cilindro!O649)/2)</f>
        <v>2.7124780842809217</v>
      </c>
    </row>
    <row r="658" spans="1:14" x14ac:dyDescent="0.25">
      <c r="A658" s="21">
        <f>Presion_cilindro!N650</f>
        <v>143</v>
      </c>
      <c r="B658" s="27">
        <f>B657*(Presion_cilindro!O649/Presion_cilindro!O650)^Presion_cilindro!$B$9+10*(Presion_cilindro!$B$9-1)*Presion_cilindro!$B$33*(IF(Presion_cilindro!N650&gt;(-B$4+Presion_cilindro!$B$34),1-EXP(-Presion_cilindro!$B$16*((Presion_cilindro!N650-(-B$4+Presion_cilindro!$B$34))/Presion_cilindro!$B$35)^(Presion_cilindro!$B$17+1)),0)-IF(Presion_cilindro!N649&gt;(-B$4+Presion_cilindro!$B$34),1-EXP(-Presion_cilindro!$B$16*((Presion_cilindro!N649-(-B$4+Presion_cilindro!$B$34))/Presion_cilindro!$B$35)^(Presion_cilindro!$B$17+1)),0))/((Presion_cilindro!O649+Presion_cilindro!O650)/2)</f>
        <v>2.8450189162700226</v>
      </c>
      <c r="C658" s="27">
        <f>C657*(Presion_cilindro!O649/Presion_cilindro!O650)^Presion_cilindro!$B$9+10*(Presion_cilindro!$B$9-1)*Presion_cilindro!$B$33*(IF(Presion_cilindro!N650&gt;(-C$4+Presion_cilindro!$B$34),1-EXP(-Presion_cilindro!$B$16*((Presion_cilindro!N650-(-C$4+Presion_cilindro!$B$34))/Presion_cilindro!$B$35)^(Presion_cilindro!$B$17+1)),0)-IF(Presion_cilindro!N649&gt;(-C$4+Presion_cilindro!$B$34),1-EXP(-Presion_cilindro!$B$16*((Presion_cilindro!N649-(-C$4+Presion_cilindro!$B$34))/Presion_cilindro!$B$35)^(Presion_cilindro!$B$17+1)),0))/((Presion_cilindro!O649+Presion_cilindro!O650)/2)</f>
        <v>2.7575523325460223</v>
      </c>
      <c r="D658" s="27">
        <f>D657*(Presion_cilindro!O649/Presion_cilindro!O650)^Presion_cilindro!$B$9+10*(Presion_cilindro!$B$9-1)*Presion_cilindro!$B$33*(IF(Presion_cilindro!N650&gt;(-D$4+Presion_cilindro!$B$34),1-EXP(-Presion_cilindro!$B$16*((Presion_cilindro!N650-(-D$4+Presion_cilindro!$B$34))/Presion_cilindro!$B$35)^(Presion_cilindro!$B$17+1)),0)-IF(Presion_cilindro!N649&gt;(-D$4+Presion_cilindro!$B$34),1-EXP(-Presion_cilindro!$B$16*((Presion_cilindro!N649-(-D$4+Presion_cilindro!$B$34))/Presion_cilindro!$B$35)^(Presion_cilindro!$B$17+1)),0))/((Presion_cilindro!O649+Presion_cilindro!O650)/2)</f>
        <v>2.6760899916017626</v>
      </c>
      <c r="E658" s="27">
        <f>E657*(Presion_cilindro!O649/Presion_cilindro!O650)^Presion_cilindro!$B$9+10*(Presion_cilindro!$B$9-1)*Presion_cilindro!$B$33*(IF(Presion_cilindro!N650&gt;(-E$4+Presion_cilindro!$B$34),1-EXP(-Presion_cilindro!$B$16*((Presion_cilindro!N650-(-E$4+Presion_cilindro!$B$34))/Presion_cilindro!$B$35)^(Presion_cilindro!$B$17+1)),0)-IF(Presion_cilindro!N649&gt;(-E$4+Presion_cilindro!$B$34),1-EXP(-Presion_cilindro!$B$16*((Presion_cilindro!N649-(-E$4+Presion_cilindro!$B$34))/Presion_cilindro!$B$35)^(Presion_cilindro!$B$17+1)),0))/((Presion_cilindro!O649+Presion_cilindro!O650)/2)</f>
        <v>2.6036623945503234</v>
      </c>
      <c r="F658" s="27">
        <f>F657*(Presion_cilindro!O649/Presion_cilindro!O650)^Presion_cilindro!$B$9+10*(Presion_cilindro!$B$9-1)*Presion_cilindro!$B$33*(IF(Presion_cilindro!N650&gt;(-F$4+Presion_cilindro!$B$34),1-EXP(-Presion_cilindro!$B$16*((Presion_cilindro!N650-(-F$4+Presion_cilindro!$B$34))/Presion_cilindro!$B$35)^(Presion_cilindro!$B$17+1)),0)-IF(Presion_cilindro!N649&gt;(-F$4+Presion_cilindro!$B$34),1-EXP(-Presion_cilindro!$B$16*((Presion_cilindro!N649-(-F$4+Presion_cilindro!$B$34))/Presion_cilindro!$B$35)^(Presion_cilindro!$B$17+1)),0))/((Presion_cilindro!O649+Presion_cilindro!O650)/2)</f>
        <v>2.5435709174444274</v>
      </c>
      <c r="G658" s="27">
        <f>G657*(Presion_cilindro!O649/Presion_cilindro!O650)^Presion_cilindro!$B$9+10*(Presion_cilindro!$B$9-1)*Presion_cilindro!$B$33*(IF(Presion_cilindro!N650&gt;(-G$4+Presion_cilindro!$B$34),1-EXP(-Presion_cilindro!$B$16*((Presion_cilindro!N650-(-G$4+Presion_cilindro!$B$34))/Presion_cilindro!$B$35)^(Presion_cilindro!$B$17+1)),0)-IF(Presion_cilindro!N649&gt;(-G$4+Presion_cilindro!$B$34),1-EXP(-Presion_cilindro!$B$16*((Presion_cilindro!N649-(-G$4+Presion_cilindro!$B$34))/Presion_cilindro!$B$35)^(Presion_cilindro!$B$17+1)),0))/((Presion_cilindro!O649+Presion_cilindro!O650)/2)</f>
        <v>2.4990438383239804</v>
      </c>
      <c r="H658" s="27">
        <f>H657*(Presion_cilindro!O649/Presion_cilindro!O650)^Presion_cilindro!$B$9+10*(Presion_cilindro!$B$9-1)*Presion_cilindro!$B$33*(IF(Presion_cilindro!N650&gt;(-H$4+Presion_cilindro!$B$34),1-EXP(-Presion_cilindro!$B$16*((Presion_cilindro!N650-(-H$4+Presion_cilindro!$B$34))/Presion_cilindro!$B$35)^(Presion_cilindro!$B$17+1)),0)-IF(Presion_cilindro!N649&gt;(-H$4+Presion_cilindro!$B$34),1-EXP(-Presion_cilindro!$B$16*((Presion_cilindro!N649-(-H$4+Presion_cilindro!$B$34))/Presion_cilindro!$B$35)^(Presion_cilindro!$B$17+1)),0))/((Presion_cilindro!O649+Presion_cilindro!O650)/2)</f>
        <v>2.4727779053908971</v>
      </c>
      <c r="I658" s="27">
        <f>I657*(Presion_cilindro!O649/Presion_cilindro!O650)^Presion_cilindro!$B$9+10*(Presion_cilindro!$B$9-1)*Presion_cilindro!$B$33*(IF(Presion_cilindro!N650&gt;(-I$4+Presion_cilindro!$B$34),1-EXP(-Presion_cilindro!$B$16*((Presion_cilindro!N650-(-I$4+Presion_cilindro!$B$34))/Presion_cilindro!$B$35)^(Presion_cilindro!$B$17+1)),0)-IF(Presion_cilindro!N649&gt;(-I$4+Presion_cilindro!$B$34),1-EXP(-Presion_cilindro!$B$16*((Presion_cilindro!N649-(-I$4+Presion_cilindro!$B$34))/Presion_cilindro!$B$35)^(Presion_cilindro!$B$17+1)),0))/((Presion_cilindro!O649+Presion_cilindro!O650)/2)</f>
        <v>2.4664774408472798</v>
      </c>
      <c r="J658" s="27">
        <f>J657*(Presion_cilindro!O649/Presion_cilindro!O650)^Presion_cilindro!$B$9+10*(Presion_cilindro!$B$9-1)*Presion_cilindro!$B$33*(IF(Presion_cilindro!N650&gt;(-J$4+Presion_cilindro!$B$34),1-EXP(-Presion_cilindro!$B$16*((Presion_cilindro!N650-(-J$4+Presion_cilindro!$B$34))/Presion_cilindro!$B$35)^(Presion_cilindro!$B$17+1)),0)-IF(Presion_cilindro!N649&gt;(-J$4+Presion_cilindro!$B$34),1-EXP(-Presion_cilindro!$B$16*((Presion_cilindro!N649-(-J$4+Presion_cilindro!$B$34))/Presion_cilindro!$B$35)^(Presion_cilindro!$B$17+1)),0))/((Presion_cilindro!O649+Presion_cilindro!O650)/2)</f>
        <v>2.4805348504205162</v>
      </c>
      <c r="K658" s="27">
        <f>K657*(Presion_cilindro!O649/Presion_cilindro!O650)^Presion_cilindro!$B$9+10*(Presion_cilindro!$B$9-1)*Presion_cilindro!$B$33*(IF(Presion_cilindro!N650&gt;(-K$4+Presion_cilindro!$B$34),1-EXP(-Presion_cilindro!$B$16*((Presion_cilindro!N650-(-K$4+Presion_cilindro!$B$34))/Presion_cilindro!$B$35)^(Presion_cilindro!$B$17+1)),0)-IF(Presion_cilindro!N649&gt;(-K$4+Presion_cilindro!$B$34),1-EXP(-Presion_cilindro!$B$16*((Presion_cilindro!N649-(-K$4+Presion_cilindro!$B$34))/Presion_cilindro!$B$35)^(Presion_cilindro!$B$17+1)),0))/((Presion_cilindro!O649+Presion_cilindro!O650)/2)</f>
        <v>2.5139625200605837</v>
      </c>
      <c r="L658" s="27">
        <f>L657*(Presion_cilindro!O649/Presion_cilindro!O650)^Presion_cilindro!$B$9+10*(Presion_cilindro!$B$9-1)*Presion_cilindro!$B$33*(IF(Presion_cilindro!N650&gt;(-L$4+Presion_cilindro!$B$34),1-EXP(-Presion_cilindro!$B$16*((Presion_cilindro!N650-(-L$4+Presion_cilindro!$B$34))/Presion_cilindro!$B$35)^(Presion_cilindro!$B$17+1)),0)-IF(Presion_cilindro!N649&gt;(-L$4+Presion_cilindro!$B$34),1-EXP(-Presion_cilindro!$B$16*((Presion_cilindro!N649-(-L$4+Presion_cilindro!$B$34))/Presion_cilindro!$B$35)^(Presion_cilindro!$B$17+1)),0))/((Presion_cilindro!O649+Presion_cilindro!O650)/2)</f>
        <v>2.5645969890841638</v>
      </c>
      <c r="M658" s="27">
        <f>M657*(Presion_cilindro!O649/Presion_cilindro!O650)^Presion_cilindro!$B$9+10*(Presion_cilindro!$B$9-1)*Presion_cilindro!$B$33*(IF(Presion_cilindro!N650&gt;(-M$4+Presion_cilindro!$B$34),1-EXP(-Presion_cilindro!$B$16*((Presion_cilindro!N650-(-M$4+Presion_cilindro!$B$34))/Presion_cilindro!$B$35)^(Presion_cilindro!$B$17+1)),0)-IF(Presion_cilindro!N649&gt;(-M$4+Presion_cilindro!$B$34),1-EXP(-Presion_cilindro!$B$16*((Presion_cilindro!N649-(-M$4+Presion_cilindro!$B$34))/Presion_cilindro!$B$35)^(Presion_cilindro!$B$17+1)),0))/((Presion_cilindro!O649+Presion_cilindro!O650)/2)</f>
        <v>2.6294981757901348</v>
      </c>
      <c r="N658" s="27">
        <f>N657*(Presion_cilindro!O649/Presion_cilindro!O650)^Presion_cilindro!$B$9+10*(Presion_cilindro!$B$9-1)*Presion_cilindro!$B$33*(IF(Presion_cilindro!N650&gt;(-N$4+Presion_cilindro!$B$34),1-EXP(-Presion_cilindro!$B$16*((Presion_cilindro!N650-(-N$4+Presion_cilindro!$B$34))/Presion_cilindro!$B$35)^(Presion_cilindro!$B$17+1)),0)-IF(Presion_cilindro!N649&gt;(-N$4+Presion_cilindro!$B$34),1-EXP(-Presion_cilindro!$B$16*((Presion_cilindro!N649-(-N$4+Presion_cilindro!$B$34))/Presion_cilindro!$B$35)^(Presion_cilindro!$B$17+1)),0))/((Presion_cilindro!O649+Presion_cilindro!O650)/2)</f>
        <v>2.705410474159764</v>
      </c>
    </row>
    <row r="659" spans="1:14" x14ac:dyDescent="0.25">
      <c r="A659" s="21">
        <f>Presion_cilindro!N651</f>
        <v>143.5</v>
      </c>
      <c r="B659" s="27">
        <f>B658*(Presion_cilindro!O650/Presion_cilindro!O651)^Presion_cilindro!$B$9+10*(Presion_cilindro!$B$9-1)*Presion_cilindro!$B$33*(IF(Presion_cilindro!N651&gt;(-B$4+Presion_cilindro!$B$34),1-EXP(-Presion_cilindro!$B$16*((Presion_cilindro!N651-(-B$4+Presion_cilindro!$B$34))/Presion_cilindro!$B$35)^(Presion_cilindro!$B$17+1)),0)-IF(Presion_cilindro!N650&gt;(-B$4+Presion_cilindro!$B$34),1-EXP(-Presion_cilindro!$B$16*((Presion_cilindro!N650-(-B$4+Presion_cilindro!$B$34))/Presion_cilindro!$B$35)^(Presion_cilindro!$B$17+1)),0))/((Presion_cilindro!O650+Presion_cilindro!O651)/2)</f>
        <v>2.8377191240001878</v>
      </c>
      <c r="C659" s="27">
        <f>C658*(Presion_cilindro!O650/Presion_cilindro!O651)^Presion_cilindro!$B$9+10*(Presion_cilindro!$B$9-1)*Presion_cilindro!$B$33*(IF(Presion_cilindro!N651&gt;(-C$4+Presion_cilindro!$B$34),1-EXP(-Presion_cilindro!$B$16*((Presion_cilindro!N651-(-C$4+Presion_cilindro!$B$34))/Presion_cilindro!$B$35)^(Presion_cilindro!$B$17+1)),0)-IF(Presion_cilindro!N650&gt;(-C$4+Presion_cilindro!$B$34),1-EXP(-Presion_cilindro!$B$16*((Presion_cilindro!N650-(-C$4+Presion_cilindro!$B$34))/Presion_cilindro!$B$35)^(Presion_cilindro!$B$17+1)),0))/((Presion_cilindro!O650+Presion_cilindro!O651)/2)</f>
        <v>2.7504769633505246</v>
      </c>
      <c r="D659" s="27">
        <f>D658*(Presion_cilindro!O650/Presion_cilindro!O651)^Presion_cilindro!$B$9+10*(Presion_cilindro!$B$9-1)*Presion_cilindro!$B$33*(IF(Presion_cilindro!N651&gt;(-D$4+Presion_cilindro!$B$34),1-EXP(-Presion_cilindro!$B$16*((Presion_cilindro!N651-(-D$4+Presion_cilindro!$B$34))/Presion_cilindro!$B$35)^(Presion_cilindro!$B$17+1)),0)-IF(Presion_cilindro!N650&gt;(-D$4+Presion_cilindro!$B$34),1-EXP(-Presion_cilindro!$B$16*((Presion_cilindro!N650-(-D$4+Presion_cilindro!$B$34))/Presion_cilindro!$B$35)^(Presion_cilindro!$B$17+1)),0))/((Presion_cilindro!O650+Presion_cilindro!O651)/2)</f>
        <v>2.6692236397042897</v>
      </c>
      <c r="E659" s="27">
        <f>E658*(Presion_cilindro!O650/Presion_cilindro!O651)^Presion_cilindro!$B$9+10*(Presion_cilindro!$B$9-1)*Presion_cilindro!$B$33*(IF(Presion_cilindro!N651&gt;(-E$4+Presion_cilindro!$B$34),1-EXP(-Presion_cilindro!$B$16*((Presion_cilindro!N651-(-E$4+Presion_cilindro!$B$34))/Presion_cilindro!$B$35)^(Presion_cilindro!$B$17+1)),0)-IF(Presion_cilindro!N650&gt;(-E$4+Presion_cilindro!$B$34),1-EXP(-Presion_cilindro!$B$16*((Presion_cilindro!N650-(-E$4+Presion_cilindro!$B$34))/Presion_cilindro!$B$35)^(Presion_cilindro!$B$17+1)),0))/((Presion_cilindro!O650+Presion_cilindro!O651)/2)</f>
        <v>2.5969818784692857</v>
      </c>
      <c r="F659" s="27">
        <f>F658*(Presion_cilindro!O650/Presion_cilindro!O651)^Presion_cilindro!$B$9+10*(Presion_cilindro!$B$9-1)*Presion_cilindro!$B$33*(IF(Presion_cilindro!N651&gt;(-F$4+Presion_cilindro!$B$34),1-EXP(-Presion_cilindro!$B$16*((Presion_cilindro!N651-(-F$4+Presion_cilindro!$B$34))/Presion_cilindro!$B$35)^(Presion_cilindro!$B$17+1)),0)-IF(Presion_cilindro!N650&gt;(-F$4+Presion_cilindro!$B$34),1-EXP(-Presion_cilindro!$B$16*((Presion_cilindro!N650-(-F$4+Presion_cilindro!$B$34))/Presion_cilindro!$B$35)^(Presion_cilindro!$B$17+1)),0))/((Presion_cilindro!O650+Presion_cilindro!O651)/2)</f>
        <v>2.5370445849779704</v>
      </c>
      <c r="G659" s="27">
        <f>G658*(Presion_cilindro!O650/Presion_cilindro!O651)^Presion_cilindro!$B$9+10*(Presion_cilindro!$B$9-1)*Presion_cilindro!$B$33*(IF(Presion_cilindro!N651&gt;(-G$4+Presion_cilindro!$B$34),1-EXP(-Presion_cilindro!$B$16*((Presion_cilindro!N651-(-G$4+Presion_cilindro!$B$34))/Presion_cilindro!$B$35)^(Presion_cilindro!$B$17+1)),0)-IF(Presion_cilindro!N650&gt;(-G$4+Presion_cilindro!$B$34),1-EXP(-Presion_cilindro!$B$16*((Presion_cilindro!N650-(-G$4+Presion_cilindro!$B$34))/Presion_cilindro!$B$35)^(Presion_cilindro!$B$17+1)),0))/((Presion_cilindro!O650+Presion_cilindro!O651)/2)</f>
        <v>2.4926317541059628</v>
      </c>
      <c r="H659" s="27">
        <f>H658*(Presion_cilindro!O650/Presion_cilindro!O651)^Presion_cilindro!$B$9+10*(Presion_cilindro!$B$9-1)*Presion_cilindro!$B$33*(IF(Presion_cilindro!N651&gt;(-H$4+Presion_cilindro!$B$34),1-EXP(-Presion_cilindro!$B$16*((Presion_cilindro!N651-(-H$4+Presion_cilindro!$B$34))/Presion_cilindro!$B$35)^(Presion_cilindro!$B$17+1)),0)-IF(Presion_cilindro!N650&gt;(-H$4+Presion_cilindro!$B$34),1-EXP(-Presion_cilindro!$B$16*((Presion_cilindro!N650-(-H$4+Presion_cilindro!$B$34))/Presion_cilindro!$B$35)^(Presion_cilindro!$B$17+1)),0))/((Presion_cilindro!O650+Presion_cilindro!O651)/2)</f>
        <v>2.4664332146981347</v>
      </c>
      <c r="I659" s="27">
        <f>I658*(Presion_cilindro!O650/Presion_cilindro!O651)^Presion_cilindro!$B$9+10*(Presion_cilindro!$B$9-1)*Presion_cilindro!$B$33*(IF(Presion_cilindro!N651&gt;(-I$4+Presion_cilindro!$B$34),1-EXP(-Presion_cilindro!$B$16*((Presion_cilindro!N651-(-I$4+Presion_cilindro!$B$34))/Presion_cilindro!$B$35)^(Presion_cilindro!$B$17+1)),0)-IF(Presion_cilindro!N650&gt;(-I$4+Presion_cilindro!$B$34),1-EXP(-Presion_cilindro!$B$16*((Presion_cilindro!N650-(-I$4+Presion_cilindro!$B$34))/Presion_cilindro!$B$35)^(Presion_cilindro!$B$17+1)),0))/((Presion_cilindro!O650+Presion_cilindro!O651)/2)</f>
        <v>2.4601489159810814</v>
      </c>
      <c r="J659" s="27">
        <f>J658*(Presion_cilindro!O650/Presion_cilindro!O651)^Presion_cilindro!$B$9+10*(Presion_cilindro!$B$9-1)*Presion_cilindro!$B$33*(IF(Presion_cilindro!N651&gt;(-J$4+Presion_cilindro!$B$34),1-EXP(-Presion_cilindro!$B$16*((Presion_cilindro!N651-(-J$4+Presion_cilindro!$B$34))/Presion_cilindro!$B$35)^(Presion_cilindro!$B$17+1)),0)-IF(Presion_cilindro!N650&gt;(-J$4+Presion_cilindro!$B$34),1-EXP(-Presion_cilindro!$B$16*((Presion_cilindro!N650-(-J$4+Presion_cilindro!$B$34))/Presion_cilindro!$B$35)^(Presion_cilindro!$B$17+1)),0))/((Presion_cilindro!O650+Presion_cilindro!O651)/2)</f>
        <v>2.4741702568416812</v>
      </c>
      <c r="K659" s="27">
        <f>K658*(Presion_cilindro!O650/Presion_cilindro!O651)^Presion_cilindro!$B$9+10*(Presion_cilindro!$B$9-1)*Presion_cilindro!$B$33*(IF(Presion_cilindro!N651&gt;(-K$4+Presion_cilindro!$B$34),1-EXP(-Presion_cilindro!$B$16*((Presion_cilindro!N651-(-K$4+Presion_cilindro!$B$34))/Presion_cilindro!$B$35)^(Presion_cilindro!$B$17+1)),0)-IF(Presion_cilindro!N650&gt;(-K$4+Presion_cilindro!$B$34),1-EXP(-Presion_cilindro!$B$16*((Presion_cilindro!N650-(-K$4+Presion_cilindro!$B$34))/Presion_cilindro!$B$35)^(Presion_cilindro!$B$17+1)),0))/((Presion_cilindro!O650+Presion_cilindro!O651)/2)</f>
        <v>2.507512157264876</v>
      </c>
      <c r="L659" s="27">
        <f>L658*(Presion_cilindro!O650/Presion_cilindro!O651)^Presion_cilindro!$B$9+10*(Presion_cilindro!$B$9-1)*Presion_cilindro!$B$33*(IF(Presion_cilindro!N651&gt;(-L$4+Presion_cilindro!$B$34),1-EXP(-Presion_cilindro!$B$16*((Presion_cilindro!N651-(-L$4+Presion_cilindro!$B$34))/Presion_cilindro!$B$35)^(Presion_cilindro!$B$17+1)),0)-IF(Presion_cilindro!N650&gt;(-L$4+Presion_cilindro!$B$34),1-EXP(-Presion_cilindro!$B$16*((Presion_cilindro!N650-(-L$4+Presion_cilindro!$B$34))/Presion_cilindro!$B$35)^(Presion_cilindro!$B$17+1)),0))/((Presion_cilindro!O650+Presion_cilindro!O651)/2)</f>
        <v>2.5580167076072651</v>
      </c>
      <c r="M659" s="27">
        <f>M658*(Presion_cilindro!O650/Presion_cilindro!O651)^Presion_cilindro!$B$9+10*(Presion_cilindro!$B$9-1)*Presion_cilindro!$B$33*(IF(Presion_cilindro!N651&gt;(-M$4+Presion_cilindro!$B$34),1-EXP(-Presion_cilindro!$B$16*((Presion_cilindro!N651-(-M$4+Presion_cilindro!$B$34))/Presion_cilindro!$B$35)^(Presion_cilindro!$B$17+1)),0)-IF(Presion_cilindro!N650&gt;(-M$4+Presion_cilindro!$B$34),1-EXP(-Presion_cilindro!$B$16*((Presion_cilindro!N650-(-M$4+Presion_cilindro!$B$34))/Presion_cilindro!$B$35)^(Presion_cilindro!$B$17+1)),0))/((Presion_cilindro!O650+Presion_cilindro!O651)/2)</f>
        <v>2.6227513698735176</v>
      </c>
      <c r="N659" s="27">
        <f>N658*(Presion_cilindro!O650/Presion_cilindro!O651)^Presion_cilindro!$B$9+10*(Presion_cilindro!$B$9-1)*Presion_cilindro!$B$33*(IF(Presion_cilindro!N651&gt;(-N$4+Presion_cilindro!$B$34),1-EXP(-Presion_cilindro!$B$16*((Presion_cilindro!N651-(-N$4+Presion_cilindro!$B$34))/Presion_cilindro!$B$35)^(Presion_cilindro!$B$17+1)),0)-IF(Presion_cilindro!N650&gt;(-N$4+Presion_cilindro!$B$34),1-EXP(-Presion_cilindro!$B$16*((Presion_cilindro!N650-(-N$4+Presion_cilindro!$B$34))/Presion_cilindro!$B$35)^(Presion_cilindro!$B$17+1)),0))/((Presion_cilindro!O650+Presion_cilindro!O651)/2)</f>
        <v>2.6984688913277264</v>
      </c>
    </row>
    <row r="660" spans="1:14" x14ac:dyDescent="0.25">
      <c r="A660" s="21">
        <f>Presion_cilindro!N652</f>
        <v>144</v>
      </c>
      <c r="B660" s="27">
        <f>B659*(Presion_cilindro!O651/Presion_cilindro!O652)^Presion_cilindro!$B$9+10*(Presion_cilindro!$B$9-1)*Presion_cilindro!$B$33*(IF(Presion_cilindro!N652&gt;(-B$4+Presion_cilindro!$B$34),1-EXP(-Presion_cilindro!$B$16*((Presion_cilindro!N652-(-B$4+Presion_cilindro!$B$34))/Presion_cilindro!$B$35)^(Presion_cilindro!$B$17+1)),0)-IF(Presion_cilindro!N651&gt;(-B$4+Presion_cilindro!$B$34),1-EXP(-Presion_cilindro!$B$16*((Presion_cilindro!N651-(-B$4+Presion_cilindro!$B$34))/Presion_cilindro!$B$35)^(Presion_cilindro!$B$17+1)),0))/((Presion_cilindro!O651+Presion_cilindro!O652)/2)</f>
        <v>2.8305503793020041</v>
      </c>
      <c r="C660" s="27">
        <f>C659*(Presion_cilindro!O651/Presion_cilindro!O652)^Presion_cilindro!$B$9+10*(Presion_cilindro!$B$9-1)*Presion_cilindro!$B$33*(IF(Presion_cilindro!N652&gt;(-C$4+Presion_cilindro!$B$34),1-EXP(-Presion_cilindro!$B$16*((Presion_cilindro!N652-(-C$4+Presion_cilindro!$B$34))/Presion_cilindro!$B$35)^(Presion_cilindro!$B$17+1)),0)-IF(Presion_cilindro!N651&gt;(-C$4+Presion_cilindro!$B$34),1-EXP(-Presion_cilindro!$B$16*((Presion_cilindro!N651-(-C$4+Presion_cilindro!$B$34))/Presion_cilindro!$B$35)^(Presion_cilindro!$B$17+1)),0))/((Presion_cilindro!O651+Presion_cilindro!O652)/2)</f>
        <v>2.7435286128313581</v>
      </c>
      <c r="D660" s="27">
        <f>D659*(Presion_cilindro!O651/Presion_cilindro!O652)^Presion_cilindro!$B$9+10*(Presion_cilindro!$B$9-1)*Presion_cilindro!$B$33*(IF(Presion_cilindro!N652&gt;(-D$4+Presion_cilindro!$B$34),1-EXP(-Presion_cilindro!$B$16*((Presion_cilindro!N652-(-D$4+Presion_cilindro!$B$34))/Presion_cilindro!$B$35)^(Presion_cilindro!$B$17+1)),0)-IF(Presion_cilindro!N651&gt;(-D$4+Presion_cilindro!$B$34),1-EXP(-Presion_cilindro!$B$16*((Presion_cilindro!N651-(-D$4+Presion_cilindro!$B$34))/Presion_cilindro!$B$35)^(Presion_cilindro!$B$17+1)),0))/((Presion_cilindro!O651+Presion_cilindro!O652)/2)</f>
        <v>2.6624805541559136</v>
      </c>
      <c r="E660" s="27">
        <f>E659*(Presion_cilindro!O651/Presion_cilindro!O652)^Presion_cilindro!$B$9+10*(Presion_cilindro!$B$9-1)*Presion_cilindro!$B$33*(IF(Presion_cilindro!N652&gt;(-E$4+Presion_cilindro!$B$34),1-EXP(-Presion_cilindro!$B$16*((Presion_cilindro!N652-(-E$4+Presion_cilindro!$B$34))/Presion_cilindro!$B$35)^(Presion_cilindro!$B$17+1)),0)-IF(Presion_cilindro!N651&gt;(-E$4+Presion_cilindro!$B$34),1-EXP(-Presion_cilindro!$B$16*((Presion_cilindro!N651-(-E$4+Presion_cilindro!$B$34))/Presion_cilindro!$B$35)^(Presion_cilindro!$B$17+1)),0))/((Presion_cilindro!O651+Presion_cilindro!O652)/2)</f>
        <v>2.5904212925694692</v>
      </c>
      <c r="F660" s="27">
        <f>F659*(Presion_cilindro!O651/Presion_cilindro!O652)^Presion_cilindro!$B$9+10*(Presion_cilindro!$B$9-1)*Presion_cilindro!$B$33*(IF(Presion_cilindro!N652&gt;(-F$4+Presion_cilindro!$B$34),1-EXP(-Presion_cilindro!$B$16*((Presion_cilindro!N652-(-F$4+Presion_cilindro!$B$34))/Presion_cilindro!$B$35)^(Presion_cilindro!$B$17+1)),0)-IF(Presion_cilindro!N651&gt;(-F$4+Presion_cilindro!$B$34),1-EXP(-Presion_cilindro!$B$16*((Presion_cilindro!N651-(-F$4+Presion_cilindro!$B$34))/Presion_cilindro!$B$35)^(Presion_cilindro!$B$17+1)),0))/((Presion_cilindro!O651+Presion_cilindro!O652)/2)</f>
        <v>2.5306354147525614</v>
      </c>
      <c r="G660" s="27">
        <f>G659*(Presion_cilindro!O651/Presion_cilindro!O652)^Presion_cilindro!$B$9+10*(Presion_cilindro!$B$9-1)*Presion_cilindro!$B$33*(IF(Presion_cilindro!N652&gt;(-G$4+Presion_cilindro!$B$34),1-EXP(-Presion_cilindro!$B$16*((Presion_cilindro!N652-(-G$4+Presion_cilindro!$B$34))/Presion_cilindro!$B$35)^(Presion_cilindro!$B$17+1)),0)-IF(Presion_cilindro!N651&gt;(-G$4+Presion_cilindro!$B$34),1-EXP(-Presion_cilindro!$B$16*((Presion_cilindro!N651-(-G$4+Presion_cilindro!$B$34))/Presion_cilindro!$B$35)^(Presion_cilindro!$B$17+1)),0))/((Presion_cilindro!O651+Presion_cilindro!O652)/2)</f>
        <v>2.4863347811178182</v>
      </c>
      <c r="H660" s="27">
        <f>H659*(Presion_cilindro!O651/Presion_cilindro!O652)^Presion_cilindro!$B$9+10*(Presion_cilindro!$B$9-1)*Presion_cilindro!$B$33*(IF(Presion_cilindro!N652&gt;(-H$4+Presion_cilindro!$B$34),1-EXP(-Presion_cilindro!$B$16*((Presion_cilindro!N652-(-H$4+Presion_cilindro!$B$34))/Presion_cilindro!$B$35)^(Presion_cilindro!$B$17+1)),0)-IF(Presion_cilindro!N651&gt;(-H$4+Presion_cilindro!$B$34),1-EXP(-Presion_cilindro!$B$16*((Presion_cilindro!N651-(-H$4+Presion_cilindro!$B$34))/Presion_cilindro!$B$35)^(Presion_cilindro!$B$17+1)),0))/((Presion_cilindro!O651+Presion_cilindro!O652)/2)</f>
        <v>2.4602024253709773</v>
      </c>
      <c r="I660" s="27">
        <f>I659*(Presion_cilindro!O651/Presion_cilindro!O652)^Presion_cilindro!$B$9+10*(Presion_cilindro!$B$9-1)*Presion_cilindro!$B$33*(IF(Presion_cilindro!N652&gt;(-I$4+Presion_cilindro!$B$34),1-EXP(-Presion_cilindro!$B$16*((Presion_cilindro!N652-(-I$4+Presion_cilindro!$B$34))/Presion_cilindro!$B$35)^(Presion_cilindro!$B$17+1)),0)-IF(Presion_cilindro!N651&gt;(-I$4+Presion_cilindro!$B$34),1-EXP(-Presion_cilindro!$B$16*((Presion_cilindro!N651-(-I$4+Presion_cilindro!$B$34))/Presion_cilindro!$B$35)^(Presion_cilindro!$B$17+1)),0))/((Presion_cilindro!O651+Presion_cilindro!O652)/2)</f>
        <v>2.4539340022678031</v>
      </c>
      <c r="J660" s="27">
        <f>J659*(Presion_cilindro!O651/Presion_cilindro!O652)^Presion_cilindro!$B$9+10*(Presion_cilindro!$B$9-1)*Presion_cilindro!$B$33*(IF(Presion_cilindro!N652&gt;(-J$4+Presion_cilindro!$B$34),1-EXP(-Presion_cilindro!$B$16*((Presion_cilindro!N652-(-J$4+Presion_cilindro!$B$34))/Presion_cilindro!$B$35)^(Presion_cilindro!$B$17+1)),0)-IF(Presion_cilindro!N651&gt;(-J$4+Presion_cilindro!$B$34),1-EXP(-Presion_cilindro!$B$16*((Presion_cilindro!N651-(-J$4+Presion_cilindro!$B$34))/Presion_cilindro!$B$35)^(Presion_cilindro!$B$17+1)),0))/((Presion_cilindro!O651+Presion_cilindro!O652)/2)</f>
        <v>2.4679199219296994</v>
      </c>
      <c r="K660" s="27">
        <f>K659*(Presion_cilindro!O651/Presion_cilindro!O652)^Presion_cilindro!$B$9+10*(Presion_cilindro!$B$9-1)*Presion_cilindro!$B$33*(IF(Presion_cilindro!N652&gt;(-K$4+Presion_cilindro!$B$34),1-EXP(-Presion_cilindro!$B$16*((Presion_cilindro!N652-(-K$4+Presion_cilindro!$B$34))/Presion_cilindro!$B$35)^(Presion_cilindro!$B$17+1)),0)-IF(Presion_cilindro!N651&gt;(-K$4+Presion_cilindro!$B$34),1-EXP(-Presion_cilindro!$B$16*((Presion_cilindro!N651-(-K$4+Presion_cilindro!$B$34))/Presion_cilindro!$B$35)^(Presion_cilindro!$B$17+1)),0))/((Presion_cilindro!O651+Presion_cilindro!O652)/2)</f>
        <v>2.5011775928849862</v>
      </c>
      <c r="L660" s="27">
        <f>L659*(Presion_cilindro!O651/Presion_cilindro!O652)^Presion_cilindro!$B$9+10*(Presion_cilindro!$B$9-1)*Presion_cilindro!$B$33*(IF(Presion_cilindro!N652&gt;(-L$4+Presion_cilindro!$B$34),1-EXP(-Presion_cilindro!$B$16*((Presion_cilindro!N652-(-L$4+Presion_cilindro!$B$34))/Presion_cilindro!$B$35)^(Presion_cilindro!$B$17+1)),0)-IF(Presion_cilindro!N651&gt;(-L$4+Presion_cilindro!$B$34),1-EXP(-Presion_cilindro!$B$16*((Presion_cilindro!N651-(-L$4+Presion_cilindro!$B$34))/Presion_cilindro!$B$35)^(Presion_cilindro!$B$17+1)),0))/((Presion_cilindro!O651+Presion_cilindro!O652)/2)</f>
        <v>2.5515545568766198</v>
      </c>
      <c r="M660" s="27">
        <f>M659*(Presion_cilindro!O651/Presion_cilindro!O652)^Presion_cilindro!$B$9+10*(Presion_cilindro!$B$9-1)*Presion_cilindro!$B$33*(IF(Presion_cilindro!N652&gt;(-M$4+Presion_cilindro!$B$34),1-EXP(-Presion_cilindro!$B$16*((Presion_cilindro!N652-(-M$4+Presion_cilindro!$B$34))/Presion_cilindro!$B$35)^(Presion_cilindro!$B$17+1)),0)-IF(Presion_cilindro!N651&gt;(-M$4+Presion_cilindro!$B$34),1-EXP(-Presion_cilindro!$B$16*((Presion_cilindro!N651-(-M$4+Presion_cilindro!$B$34))/Presion_cilindro!$B$35)^(Presion_cilindro!$B$17+1)),0))/((Presion_cilindro!O651+Presion_cilindro!O652)/2)</f>
        <v>2.6161256841886953</v>
      </c>
      <c r="N660" s="27">
        <f>N659*(Presion_cilindro!O651/Presion_cilindro!O652)^Presion_cilindro!$B$9+10*(Presion_cilindro!$B$9-1)*Presion_cilindro!$B$33*(IF(Presion_cilindro!N652&gt;(-N$4+Presion_cilindro!$B$34),1-EXP(-Presion_cilindro!$B$16*((Presion_cilindro!N652-(-N$4+Presion_cilindro!$B$34))/Presion_cilindro!$B$35)^(Presion_cilindro!$B$17+1)),0)-IF(Presion_cilindro!N651&gt;(-N$4+Presion_cilindro!$B$34),1-EXP(-Presion_cilindro!$B$16*((Presion_cilindro!N651-(-N$4+Presion_cilindro!$B$34))/Presion_cilindro!$B$35)^(Presion_cilindro!$B$17+1)),0))/((Presion_cilindro!O651+Presion_cilindro!O652)/2)</f>
        <v>2.6916519254080518</v>
      </c>
    </row>
    <row r="661" spans="1:14" x14ac:dyDescent="0.25">
      <c r="A661" s="21">
        <f>Presion_cilindro!N653</f>
        <v>144.5</v>
      </c>
      <c r="B661" s="27">
        <f>B660*(Presion_cilindro!O652/Presion_cilindro!O653)^Presion_cilindro!$B$9+10*(Presion_cilindro!$B$9-1)*Presion_cilindro!$B$33*(IF(Presion_cilindro!N653&gt;(-B$4+Presion_cilindro!$B$34),1-EXP(-Presion_cilindro!$B$16*((Presion_cilindro!N653-(-B$4+Presion_cilindro!$B$34))/Presion_cilindro!$B$35)^(Presion_cilindro!$B$17+1)),0)-IF(Presion_cilindro!N652&gt;(-B$4+Presion_cilindro!$B$34),1-EXP(-Presion_cilindro!$B$16*((Presion_cilindro!N652-(-B$4+Presion_cilindro!$B$34))/Presion_cilindro!$B$35)^(Presion_cilindro!$B$17+1)),0))/((Presion_cilindro!O652+Presion_cilindro!O653)/2)</f>
        <v>2.8235112305192707</v>
      </c>
      <c r="C661" s="27">
        <f>C660*(Presion_cilindro!O652/Presion_cilindro!O653)^Presion_cilindro!$B$9+10*(Presion_cilindro!$B$9-1)*Presion_cilindro!$B$33*(IF(Presion_cilindro!N653&gt;(-C$4+Presion_cilindro!$B$34),1-EXP(-Presion_cilindro!$B$16*((Presion_cilindro!N653-(-C$4+Presion_cilindro!$B$34))/Presion_cilindro!$B$35)^(Presion_cilindro!$B$17+1)),0)-IF(Presion_cilindro!N652&gt;(-C$4+Presion_cilindro!$B$34),1-EXP(-Presion_cilindro!$B$16*((Presion_cilindro!N652-(-C$4+Presion_cilindro!$B$34))/Presion_cilindro!$B$35)^(Presion_cilindro!$B$17+1)),0))/((Presion_cilindro!O652+Presion_cilindro!O653)/2)</f>
        <v>2.7367058739616938</v>
      </c>
      <c r="D661" s="27">
        <f>D660*(Presion_cilindro!O652/Presion_cilindro!O653)^Presion_cilindro!$B$9+10*(Presion_cilindro!$B$9-1)*Presion_cilindro!$B$33*(IF(Presion_cilindro!N653&gt;(-D$4+Presion_cilindro!$B$34),1-EXP(-Presion_cilindro!$B$16*((Presion_cilindro!N653-(-D$4+Presion_cilindro!$B$34))/Presion_cilindro!$B$35)^(Presion_cilindro!$B$17+1)),0)-IF(Presion_cilindro!N652&gt;(-D$4+Presion_cilindro!$B$34),1-EXP(-Presion_cilindro!$B$16*((Presion_cilindro!N652-(-D$4+Presion_cilindro!$B$34))/Presion_cilindro!$B$35)^(Presion_cilindro!$B$17+1)),0))/((Presion_cilindro!O652+Presion_cilindro!O653)/2)</f>
        <v>2.6558593694955435</v>
      </c>
      <c r="E661" s="27">
        <f>E660*(Presion_cilindro!O652/Presion_cilindro!O653)^Presion_cilindro!$B$9+10*(Presion_cilindro!$B$9-1)*Presion_cilindro!$B$33*(IF(Presion_cilindro!N653&gt;(-E$4+Presion_cilindro!$B$34),1-EXP(-Presion_cilindro!$B$16*((Presion_cilindro!N653-(-E$4+Presion_cilindro!$B$34))/Presion_cilindro!$B$35)^(Presion_cilindro!$B$17+1)),0)-IF(Presion_cilindro!N652&gt;(-E$4+Presion_cilindro!$B$34),1-EXP(-Presion_cilindro!$B$16*((Presion_cilindro!N652-(-E$4+Presion_cilindro!$B$34))/Presion_cilindro!$B$35)^(Presion_cilindro!$B$17+1)),0))/((Presion_cilindro!O652+Presion_cilindro!O653)/2)</f>
        <v>2.5839793083455902</v>
      </c>
      <c r="F661" s="27">
        <f>F660*(Presion_cilindro!O652/Presion_cilindro!O653)^Presion_cilindro!$B$9+10*(Presion_cilindro!$B$9-1)*Presion_cilindro!$B$33*(IF(Presion_cilindro!N653&gt;(-F$4+Presion_cilindro!$B$34),1-EXP(-Presion_cilindro!$B$16*((Presion_cilindro!N653-(-F$4+Presion_cilindro!$B$34))/Presion_cilindro!$B$35)^(Presion_cilindro!$B$17+1)),0)-IF(Presion_cilindro!N652&gt;(-F$4+Presion_cilindro!$B$34),1-EXP(-Presion_cilindro!$B$16*((Presion_cilindro!N652-(-F$4+Presion_cilindro!$B$34))/Presion_cilindro!$B$35)^(Presion_cilindro!$B$17+1)),0))/((Presion_cilindro!O652+Presion_cilindro!O653)/2)</f>
        <v>2.5243421089242823</v>
      </c>
      <c r="G661" s="27">
        <f>G660*(Presion_cilindro!O652/Presion_cilindro!O653)^Presion_cilindro!$B$9+10*(Presion_cilindro!$B$9-1)*Presion_cilindro!$B$33*(IF(Presion_cilindro!N653&gt;(-G$4+Presion_cilindro!$B$34),1-EXP(-Presion_cilindro!$B$16*((Presion_cilindro!N653-(-G$4+Presion_cilindro!$B$34))/Presion_cilindro!$B$35)^(Presion_cilindro!$B$17+1)),0)-IF(Presion_cilindro!N652&gt;(-G$4+Presion_cilindro!$B$34),1-EXP(-Presion_cilindro!$B$16*((Presion_cilindro!N652-(-G$4+Presion_cilindro!$B$34))/Presion_cilindro!$B$35)^(Presion_cilindro!$B$17+1)),0))/((Presion_cilindro!O652+Presion_cilindro!O653)/2)</f>
        <v>2.4801516442353404</v>
      </c>
      <c r="H661" s="27">
        <f>H660*(Presion_cilindro!O652/Presion_cilindro!O653)^Presion_cilindro!$B$9+10*(Presion_cilindro!$B$9-1)*Presion_cilindro!$B$33*(IF(Presion_cilindro!N653&gt;(-H$4+Presion_cilindro!$B$34),1-EXP(-Presion_cilindro!$B$16*((Presion_cilindro!N653-(-H$4+Presion_cilindro!$B$34))/Presion_cilindro!$B$35)^(Presion_cilindro!$B$17+1)),0)-IF(Presion_cilindro!N652&gt;(-H$4+Presion_cilindro!$B$34),1-EXP(-Presion_cilindro!$B$16*((Presion_cilindro!N652-(-H$4+Presion_cilindro!$B$34))/Presion_cilindro!$B$35)^(Presion_cilindro!$B$17+1)),0))/((Presion_cilindro!O652+Presion_cilindro!O653)/2)</f>
        <v>2.4540842756872756</v>
      </c>
      <c r="I661" s="27">
        <f>I660*(Presion_cilindro!O652/Presion_cilindro!O653)^Presion_cilindro!$B$9+10*(Presion_cilindro!$B$9-1)*Presion_cilindro!$B$33*(IF(Presion_cilindro!N653&gt;(-I$4+Presion_cilindro!$B$34),1-EXP(-Presion_cilindro!$B$16*((Presion_cilindro!N653-(-I$4+Presion_cilindro!$B$34))/Presion_cilindro!$B$35)^(Presion_cilindro!$B$17+1)),0)-IF(Presion_cilindro!N652&gt;(-I$4+Presion_cilindro!$B$34),1-EXP(-Presion_cilindro!$B$16*((Presion_cilindro!N652-(-I$4+Presion_cilindro!$B$34))/Presion_cilindro!$B$35)^(Presion_cilindro!$B$17+1)),0))/((Presion_cilindro!O652+Presion_cilindro!O653)/2)</f>
        <v>2.4478314412000746</v>
      </c>
      <c r="J661" s="27">
        <f>J660*(Presion_cilindro!O652/Presion_cilindro!O653)^Presion_cilindro!$B$9+10*(Presion_cilindro!$B$9-1)*Presion_cilindro!$B$33*(IF(Presion_cilindro!N653&gt;(-J$4+Presion_cilindro!$B$34),1-EXP(-Presion_cilindro!$B$16*((Presion_cilindro!N653-(-J$4+Presion_cilindro!$B$34))/Presion_cilindro!$B$35)^(Presion_cilindro!$B$17+1)),0)-IF(Presion_cilindro!N652&gt;(-J$4+Presion_cilindro!$B$34),1-EXP(-Presion_cilindro!$B$16*((Presion_cilindro!N652-(-J$4+Presion_cilindro!$B$34))/Presion_cilindro!$B$35)^(Presion_cilindro!$B$17+1)),0))/((Presion_cilindro!O652+Presion_cilindro!O653)/2)</f>
        <v>2.4617825800044804</v>
      </c>
      <c r="K661" s="27">
        <f>K660*(Presion_cilindro!O652/Presion_cilindro!O653)^Presion_cilindro!$B$9+10*(Presion_cilindro!$B$9-1)*Presion_cilindro!$B$33*(IF(Presion_cilindro!N653&gt;(-K$4+Presion_cilindro!$B$34),1-EXP(-Presion_cilindro!$B$16*((Presion_cilindro!N653-(-K$4+Presion_cilindro!$B$34))/Presion_cilindro!$B$35)^(Presion_cilindro!$B$17+1)),0)-IF(Presion_cilindro!N652&gt;(-K$4+Presion_cilindro!$B$34),1-EXP(-Presion_cilindro!$B$16*((Presion_cilindro!N652-(-K$4+Presion_cilindro!$B$34))/Presion_cilindro!$B$35)^(Presion_cilindro!$B$17+1)),0))/((Presion_cilindro!O652+Presion_cilindro!O653)/2)</f>
        <v>2.4949575441845289</v>
      </c>
      <c r="L661" s="27">
        <f>L660*(Presion_cilindro!O652/Presion_cilindro!O653)^Presion_cilindro!$B$9+10*(Presion_cilindro!$B$9-1)*Presion_cilindro!$B$33*(IF(Presion_cilindro!N653&gt;(-L$4+Presion_cilindro!$B$34),1-EXP(-Presion_cilindro!$B$16*((Presion_cilindro!N653-(-L$4+Presion_cilindro!$B$34))/Presion_cilindro!$B$35)^(Presion_cilindro!$B$17+1)),0)-IF(Presion_cilindro!N652&gt;(-L$4+Presion_cilindro!$B$34),1-EXP(-Presion_cilindro!$B$16*((Presion_cilindro!N652-(-L$4+Presion_cilindro!$B$34))/Presion_cilindro!$B$35)^(Presion_cilindro!$B$17+1)),0))/((Presion_cilindro!O652+Presion_cilindro!O653)/2)</f>
        <v>2.5452092283198655</v>
      </c>
      <c r="M661" s="27">
        <f>M660*(Presion_cilindro!O652/Presion_cilindro!O653)^Presion_cilindro!$B$9+10*(Presion_cilindro!$B$9-1)*Presion_cilindro!$B$33*(IF(Presion_cilindro!N653&gt;(-M$4+Presion_cilindro!$B$34),1-EXP(-Presion_cilindro!$B$16*((Presion_cilindro!N653-(-M$4+Presion_cilindro!$B$34))/Presion_cilindro!$B$35)^(Presion_cilindro!$B$17+1)),0)-IF(Presion_cilindro!N652&gt;(-M$4+Presion_cilindro!$B$34),1-EXP(-Presion_cilindro!$B$16*((Presion_cilindro!N652-(-M$4+Presion_cilindro!$B$34))/Presion_cilindro!$B$35)^(Presion_cilindro!$B$17+1)),0))/((Presion_cilindro!O652+Presion_cilindro!O653)/2)</f>
        <v>2.6096197770478105</v>
      </c>
      <c r="N661" s="27">
        <f>N660*(Presion_cilindro!O652/Presion_cilindro!O653)^Presion_cilindro!$B$9+10*(Presion_cilindro!$B$9-1)*Presion_cilindro!$B$33*(IF(Presion_cilindro!N653&gt;(-N$4+Presion_cilindro!$B$34),1-EXP(-Presion_cilindro!$B$16*((Presion_cilindro!N653-(-N$4+Presion_cilindro!$B$34))/Presion_cilindro!$B$35)^(Presion_cilindro!$B$17+1)),0)-IF(Presion_cilindro!N652&gt;(-N$4+Presion_cilindro!$B$34),1-EXP(-Presion_cilindro!$B$16*((Presion_cilindro!N652-(-N$4+Presion_cilindro!$B$34))/Presion_cilindro!$B$35)^(Presion_cilindro!$B$17+1)),0))/((Presion_cilindro!O652+Presion_cilindro!O653)/2)</f>
        <v>2.6849581959790241</v>
      </c>
    </row>
    <row r="662" spans="1:14" x14ac:dyDescent="0.25">
      <c r="A662" s="21">
        <f>Presion_cilindro!N654</f>
        <v>145</v>
      </c>
      <c r="B662" s="27">
        <f>B661*(Presion_cilindro!O653/Presion_cilindro!O654)^Presion_cilindro!$B$9+10*(Presion_cilindro!$B$9-1)*Presion_cilindro!$B$33*(IF(Presion_cilindro!N654&gt;(-B$4+Presion_cilindro!$B$34),1-EXP(-Presion_cilindro!$B$16*((Presion_cilindro!N654-(-B$4+Presion_cilindro!$B$34))/Presion_cilindro!$B$35)^(Presion_cilindro!$B$17+1)),0)-IF(Presion_cilindro!N653&gt;(-B$4+Presion_cilindro!$B$34),1-EXP(-Presion_cilindro!$B$16*((Presion_cilindro!N653-(-B$4+Presion_cilindro!$B$34))/Presion_cilindro!$B$35)^(Presion_cilindro!$B$17+1)),0))/((Presion_cilindro!O653+Presion_cilindro!O654)/2)</f>
        <v>2.8166002569504172</v>
      </c>
      <c r="C662" s="27">
        <f>C661*(Presion_cilindro!O653/Presion_cilindro!O654)^Presion_cilindro!$B$9+10*(Presion_cilindro!$B$9-1)*Presion_cilindro!$B$33*(IF(Presion_cilindro!N654&gt;(-C$4+Presion_cilindro!$B$34),1-EXP(-Presion_cilindro!$B$16*((Presion_cilindro!N654-(-C$4+Presion_cilindro!$B$34))/Presion_cilindro!$B$35)^(Presion_cilindro!$B$17+1)),0)-IF(Presion_cilindro!N653&gt;(-C$4+Presion_cilindro!$B$34),1-EXP(-Presion_cilindro!$B$16*((Presion_cilindro!N653-(-C$4+Presion_cilindro!$B$34))/Presion_cilindro!$B$35)^(Presion_cilindro!$B$17+1)),0))/((Presion_cilindro!O653+Presion_cilindro!O654)/2)</f>
        <v>2.7300073697176725</v>
      </c>
      <c r="D662" s="27">
        <f>D661*(Presion_cilindro!O653/Presion_cilindro!O654)^Presion_cilindro!$B$9+10*(Presion_cilindro!$B$9-1)*Presion_cilindro!$B$33*(IF(Presion_cilindro!N654&gt;(-D$4+Presion_cilindro!$B$34),1-EXP(-Presion_cilindro!$B$16*((Presion_cilindro!N654-(-D$4+Presion_cilindro!$B$34))/Presion_cilindro!$B$35)^(Presion_cilindro!$B$17+1)),0)-IF(Presion_cilindro!N653&gt;(-D$4+Presion_cilindro!$B$34),1-EXP(-Presion_cilindro!$B$16*((Presion_cilindro!N653-(-D$4+Presion_cilindro!$B$34))/Presion_cilindro!$B$35)^(Presion_cilindro!$B$17+1)),0))/((Presion_cilindro!O653+Presion_cilindro!O654)/2)</f>
        <v>2.6493587493787252</v>
      </c>
      <c r="E662" s="27">
        <f>E661*(Presion_cilindro!O653/Presion_cilindro!O654)^Presion_cilindro!$B$9+10*(Presion_cilindro!$B$9-1)*Presion_cilindro!$B$33*(IF(Presion_cilindro!N654&gt;(-E$4+Presion_cilindro!$B$34),1-EXP(-Presion_cilindro!$B$16*((Presion_cilindro!N654-(-E$4+Presion_cilindro!$B$34))/Presion_cilindro!$B$35)^(Presion_cilindro!$B$17+1)),0)-IF(Presion_cilindro!N653&gt;(-E$4+Presion_cilindro!$B$34),1-EXP(-Presion_cilindro!$B$16*((Presion_cilindro!N653-(-E$4+Presion_cilindro!$B$34))/Presion_cilindro!$B$35)^(Presion_cilindro!$B$17+1)),0))/((Presion_cilindro!O653+Presion_cilindro!O654)/2)</f>
        <v>2.5776546256209683</v>
      </c>
      <c r="F662" s="27">
        <f>F661*(Presion_cilindro!O653/Presion_cilindro!O654)^Presion_cilindro!$B$9+10*(Presion_cilindro!$B$9-1)*Presion_cilindro!$B$33*(IF(Presion_cilindro!N654&gt;(-F$4+Presion_cilindro!$B$34),1-EXP(-Presion_cilindro!$B$16*((Presion_cilindro!N654-(-F$4+Presion_cilindro!$B$34))/Presion_cilindro!$B$35)^(Presion_cilindro!$B$17+1)),0)-IF(Presion_cilindro!N653&gt;(-F$4+Presion_cilindro!$B$34),1-EXP(-Presion_cilindro!$B$16*((Presion_cilindro!N653-(-F$4+Presion_cilindro!$B$34))/Presion_cilindro!$B$35)^(Presion_cilindro!$B$17+1)),0))/((Presion_cilindro!O653+Presion_cilindro!O654)/2)</f>
        <v>2.5181633973240061</v>
      </c>
      <c r="G662" s="27">
        <f>G661*(Presion_cilindro!O653/Presion_cilindro!O654)^Presion_cilindro!$B$9+10*(Presion_cilindro!$B$9-1)*Presion_cilindro!$B$33*(IF(Presion_cilindro!N654&gt;(-G$4+Presion_cilindro!$B$34),1-EXP(-Presion_cilindro!$B$16*((Presion_cilindro!N654-(-G$4+Presion_cilindro!$B$34))/Presion_cilindro!$B$35)^(Presion_cilindro!$B$17+1)),0)-IF(Presion_cilindro!N653&gt;(-G$4+Presion_cilindro!$B$34),1-EXP(-Presion_cilindro!$B$16*((Presion_cilindro!N653-(-G$4+Presion_cilindro!$B$34))/Presion_cilindro!$B$35)^(Presion_cilindro!$B$17+1)),0))/((Presion_cilindro!O653+Presion_cilindro!O654)/2)</f>
        <v>2.4740810955246464</v>
      </c>
      <c r="H662" s="27">
        <f>H661*(Presion_cilindro!O653/Presion_cilindro!O654)^Presion_cilindro!$B$9+10*(Presion_cilindro!$B$9-1)*Presion_cilindro!$B$33*(IF(Presion_cilindro!N654&gt;(-H$4+Presion_cilindro!$B$34),1-EXP(-Presion_cilindro!$B$16*((Presion_cilindro!N654-(-H$4+Presion_cilindro!$B$34))/Presion_cilindro!$B$35)^(Presion_cilindro!$B$17+1)),0)-IF(Presion_cilindro!N653&gt;(-H$4+Presion_cilindro!$B$34),1-EXP(-Presion_cilindro!$B$16*((Presion_cilindro!N653-(-H$4+Presion_cilindro!$B$34))/Presion_cilindro!$B$35)^(Presion_cilindro!$B$17+1)),0))/((Presion_cilindro!O653+Presion_cilindro!O654)/2)</f>
        <v>2.4480775308294218</v>
      </c>
      <c r="I662" s="27">
        <f>I661*(Presion_cilindro!O653/Presion_cilindro!O654)^Presion_cilindro!$B$9+10*(Presion_cilindro!$B$9-1)*Presion_cilindro!$B$33*(IF(Presion_cilindro!N654&gt;(-I$4+Presion_cilindro!$B$34),1-EXP(-Presion_cilindro!$B$16*((Presion_cilindro!N654-(-I$4+Presion_cilindro!$B$34))/Presion_cilindro!$B$35)^(Presion_cilindro!$B$17+1)),0)-IF(Presion_cilindro!N653&gt;(-I$4+Presion_cilindro!$B$34),1-EXP(-Presion_cilindro!$B$16*((Presion_cilindro!N653-(-I$4+Presion_cilindro!$B$34))/Presion_cilindro!$B$35)^(Presion_cilindro!$B$17+1)),0))/((Presion_cilindro!O653+Presion_cilindro!O654)/2)</f>
        <v>2.4418400011065171</v>
      </c>
      <c r="J662" s="27">
        <f>J661*(Presion_cilindro!O653/Presion_cilindro!O654)^Presion_cilindro!$B$9+10*(Presion_cilindro!$B$9-1)*Presion_cilindro!$B$33*(IF(Presion_cilindro!N654&gt;(-J$4+Presion_cilindro!$B$34),1-EXP(-Presion_cilindro!$B$16*((Presion_cilindro!N654-(-J$4+Presion_cilindro!$B$34))/Presion_cilindro!$B$35)^(Presion_cilindro!$B$17+1)),0)-IF(Presion_cilindro!N653&gt;(-J$4+Presion_cilindro!$B$34),1-EXP(-Presion_cilindro!$B$16*((Presion_cilindro!N653-(-J$4+Presion_cilindro!$B$34))/Presion_cilindro!$B$35)^(Presion_cilindro!$B$17+1)),0))/((Presion_cilindro!O653+Presion_cilindro!O654)/2)</f>
        <v>2.4557569923748725</v>
      </c>
      <c r="K662" s="27">
        <f>K661*(Presion_cilindro!O653/Presion_cilindro!O654)^Presion_cilindro!$B$9+10*(Presion_cilindro!$B$9-1)*Presion_cilindro!$B$33*(IF(Presion_cilindro!N654&gt;(-K$4+Presion_cilindro!$B$34),1-EXP(-Presion_cilindro!$B$16*((Presion_cilindro!N654-(-K$4+Presion_cilindro!$B$34))/Presion_cilindro!$B$35)^(Presion_cilindro!$B$17+1)),0)-IF(Presion_cilindro!N653&gt;(-K$4+Presion_cilindro!$B$34),1-EXP(-Presion_cilindro!$B$16*((Presion_cilindro!N653-(-K$4+Presion_cilindro!$B$34))/Presion_cilindro!$B$35)^(Presion_cilindro!$B$17+1)),0))/((Presion_cilindro!O653+Presion_cilindro!O654)/2)</f>
        <v>2.4888507557797594</v>
      </c>
      <c r="L662" s="27">
        <f>L661*(Presion_cilindro!O653/Presion_cilindro!O654)^Presion_cilindro!$B$9+10*(Presion_cilindro!$B$9-1)*Presion_cilindro!$B$33*(IF(Presion_cilindro!N654&gt;(-L$4+Presion_cilindro!$B$34),1-EXP(-Presion_cilindro!$B$16*((Presion_cilindro!N654-(-L$4+Presion_cilindro!$B$34))/Presion_cilindro!$B$35)^(Presion_cilindro!$B$17+1)),0)-IF(Presion_cilindro!N653&gt;(-L$4+Presion_cilindro!$B$34),1-EXP(-Presion_cilindro!$B$16*((Presion_cilindro!N653-(-L$4+Presion_cilindro!$B$34))/Presion_cilindro!$B$35)^(Presion_cilindro!$B$17+1)),0))/((Presion_cilindro!O653+Presion_cilindro!O654)/2)</f>
        <v>2.5389794412682001</v>
      </c>
      <c r="M662" s="27">
        <f>M661*(Presion_cilindro!O653/Presion_cilindro!O654)^Presion_cilindro!$B$9+10*(Presion_cilindro!$B$9-1)*Presion_cilindro!$B$33*(IF(Presion_cilindro!N654&gt;(-M$4+Presion_cilindro!$B$34),1-EXP(-Presion_cilindro!$B$16*((Presion_cilindro!N654-(-M$4+Presion_cilindro!$B$34))/Presion_cilindro!$B$35)^(Presion_cilindro!$B$17+1)),0)-IF(Presion_cilindro!N653&gt;(-M$4+Presion_cilindro!$B$34),1-EXP(-Presion_cilindro!$B$16*((Presion_cilindro!N653-(-M$4+Presion_cilindro!$B$34))/Presion_cilindro!$B$35)^(Presion_cilindro!$B$17+1)),0))/((Presion_cilindro!O653+Presion_cilindro!O654)/2)</f>
        <v>2.6032323353727094</v>
      </c>
      <c r="N662" s="27">
        <f>N661*(Presion_cilindro!O653/Presion_cilindro!O654)^Presion_cilindro!$B$9+10*(Presion_cilindro!$B$9-1)*Presion_cilindro!$B$33*(IF(Presion_cilindro!N654&gt;(-N$4+Presion_cilindro!$B$34),1-EXP(-Presion_cilindro!$B$16*((Presion_cilindro!N654-(-N$4+Presion_cilindro!$B$34))/Presion_cilindro!$B$35)^(Presion_cilindro!$B$17+1)),0)-IF(Presion_cilindro!N653&gt;(-N$4+Presion_cilindro!$B$34),1-EXP(-Presion_cilindro!$B$16*((Presion_cilindro!N653-(-N$4+Presion_cilindro!$B$34))/Presion_cilindro!$B$35)^(Presion_cilindro!$B$17+1)),0))/((Presion_cilindro!O653+Presion_cilindro!O654)/2)</f>
        <v>2.6783863520545799</v>
      </c>
    </row>
    <row r="663" spans="1:14" x14ac:dyDescent="0.25">
      <c r="A663" s="21">
        <f>Presion_cilindro!N655</f>
        <v>145.5</v>
      </c>
      <c r="B663" s="27">
        <f>B662*(Presion_cilindro!O654/Presion_cilindro!O655)^Presion_cilindro!$B$9+10*(Presion_cilindro!$B$9-1)*Presion_cilindro!$B$33*(IF(Presion_cilindro!N655&gt;(-B$4+Presion_cilindro!$B$34),1-EXP(-Presion_cilindro!$B$16*((Presion_cilindro!N655-(-B$4+Presion_cilindro!$B$34))/Presion_cilindro!$B$35)^(Presion_cilindro!$B$17+1)),0)-IF(Presion_cilindro!N654&gt;(-B$4+Presion_cilindro!$B$34),1-EXP(-Presion_cilindro!$B$16*((Presion_cilindro!N654-(-B$4+Presion_cilindro!$B$34))/Presion_cilindro!$B$35)^(Presion_cilindro!$B$17+1)),0))/((Presion_cilindro!O654+Presion_cilindro!O655)/2)</f>
        <v>2.8098160683160383</v>
      </c>
      <c r="C663" s="27">
        <f>C662*(Presion_cilindro!O654/Presion_cilindro!O655)^Presion_cilindro!$B$9+10*(Presion_cilindro!$B$9-1)*Presion_cilindro!$B$33*(IF(Presion_cilindro!N655&gt;(-C$4+Presion_cilindro!$B$34),1-EXP(-Presion_cilindro!$B$16*((Presion_cilindro!N655-(-C$4+Presion_cilindro!$B$34))/Presion_cilindro!$B$35)^(Presion_cilindro!$B$17+1)),0)-IF(Presion_cilindro!N654&gt;(-C$4+Presion_cilindro!$B$34),1-EXP(-Presion_cilindro!$B$16*((Presion_cilindro!N654-(-C$4+Presion_cilindro!$B$34))/Presion_cilindro!$B$35)^(Presion_cilindro!$B$17+1)),0))/((Presion_cilindro!O654+Presion_cilindro!O655)/2)</f>
        <v>2.7234317525623073</v>
      </c>
      <c r="D663" s="27">
        <f>D662*(Presion_cilindro!O654/Presion_cilindro!O655)^Presion_cilindro!$B$9+10*(Presion_cilindro!$B$9-1)*Presion_cilindro!$B$33*(IF(Presion_cilindro!N655&gt;(-D$4+Presion_cilindro!$B$34),1-EXP(-Presion_cilindro!$B$16*((Presion_cilindro!N655-(-D$4+Presion_cilindro!$B$34))/Presion_cilindro!$B$35)^(Presion_cilindro!$B$17+1)),0)-IF(Presion_cilindro!N654&gt;(-D$4+Presion_cilindro!$B$34),1-EXP(-Presion_cilindro!$B$16*((Presion_cilindro!N654-(-D$4+Presion_cilindro!$B$34))/Presion_cilindro!$B$35)^(Presion_cilindro!$B$17+1)),0))/((Presion_cilindro!O654+Presion_cilindro!O655)/2)</f>
        <v>2.6429773860767889</v>
      </c>
      <c r="E663" s="27">
        <f>E662*(Presion_cilindro!O654/Presion_cilindro!O655)^Presion_cilindro!$B$9+10*(Presion_cilindro!$B$9-1)*Presion_cilindro!$B$33*(IF(Presion_cilindro!N655&gt;(-E$4+Presion_cilindro!$B$34),1-EXP(-Presion_cilindro!$B$16*((Presion_cilindro!N655-(-E$4+Presion_cilindro!$B$34))/Presion_cilindro!$B$35)^(Presion_cilindro!$B$17+1)),0)-IF(Presion_cilindro!N654&gt;(-E$4+Presion_cilindro!$B$34),1-EXP(-Presion_cilindro!$B$16*((Presion_cilindro!N654-(-E$4+Presion_cilindro!$B$34))/Presion_cilindro!$B$35)^(Presion_cilindro!$B$17+1)),0))/((Presion_cilindro!O654+Presion_cilindro!O655)/2)</f>
        <v>2.5714459720602298</v>
      </c>
      <c r="F663" s="27">
        <f>F662*(Presion_cilindro!O654/Presion_cilindro!O655)^Presion_cilindro!$B$9+10*(Presion_cilindro!$B$9-1)*Presion_cilindro!$B$33*(IF(Presion_cilindro!N655&gt;(-F$4+Presion_cilindro!$B$34),1-EXP(-Presion_cilindro!$B$16*((Presion_cilindro!N655-(-F$4+Presion_cilindro!$B$34))/Presion_cilindro!$B$35)^(Presion_cilindro!$B$17+1)),0)-IF(Presion_cilindro!N654&gt;(-F$4+Presion_cilindro!$B$34),1-EXP(-Presion_cilindro!$B$16*((Presion_cilindro!N654-(-F$4+Presion_cilindro!$B$34))/Presion_cilindro!$B$35)^(Presion_cilindro!$B$17+1)),0))/((Presion_cilindro!O654+Presion_cilindro!O655)/2)</f>
        <v>2.5120980369813455</v>
      </c>
      <c r="G663" s="27">
        <f>G662*(Presion_cilindro!O654/Presion_cilindro!O655)^Presion_cilindro!$B$9+10*(Presion_cilindro!$B$9-1)*Presion_cilindro!$B$33*(IF(Presion_cilindro!N655&gt;(-G$4+Presion_cilindro!$B$34),1-EXP(-Presion_cilindro!$B$16*((Presion_cilindro!N655-(-G$4+Presion_cilindro!$B$34))/Presion_cilindro!$B$35)^(Presion_cilindro!$B$17+1)),0)-IF(Presion_cilindro!N654&gt;(-G$4+Presion_cilindro!$B$34),1-EXP(-Presion_cilindro!$B$16*((Presion_cilindro!N654-(-G$4+Presion_cilindro!$B$34))/Presion_cilindro!$B$35)^(Presion_cilindro!$B$17+1)),0))/((Presion_cilindro!O654+Presion_cilindro!O655)/2)</f>
        <v>2.4681219137744597</v>
      </c>
      <c r="H663" s="27">
        <f>H662*(Presion_cilindro!O654/Presion_cilindro!O655)^Presion_cilindro!$B$9+10*(Presion_cilindro!$B$9-1)*Presion_cilindro!$B$33*(IF(Presion_cilindro!N655&gt;(-H$4+Presion_cilindro!$B$34),1-EXP(-Presion_cilindro!$B$16*((Presion_cilindro!N655-(-H$4+Presion_cilindro!$B$34))/Presion_cilindro!$B$35)^(Presion_cilindro!$B$17+1)),0)-IF(Presion_cilindro!N654&gt;(-H$4+Presion_cilindro!$B$34),1-EXP(-Presion_cilindro!$B$16*((Presion_cilindro!N654-(-H$4+Presion_cilindro!$B$34))/Presion_cilindro!$B$35)^(Presion_cilindro!$B$17+1)),0))/((Presion_cilindro!O654+Presion_cilindro!O655)/2)</f>
        <v>2.4421809824215504</v>
      </c>
      <c r="I663" s="27">
        <f>I662*(Presion_cilindro!O654/Presion_cilindro!O655)^Presion_cilindro!$B$9+10*(Presion_cilindro!$B$9-1)*Presion_cilindro!$B$33*(IF(Presion_cilindro!N655&gt;(-I$4+Presion_cilindro!$B$34),1-EXP(-Presion_cilindro!$B$16*((Presion_cilindro!N655-(-I$4+Presion_cilindro!$B$34))/Presion_cilindro!$B$35)^(Presion_cilindro!$B$17+1)),0)-IF(Presion_cilindro!N654&gt;(-I$4+Presion_cilindro!$B$34),1-EXP(-Presion_cilindro!$B$16*((Presion_cilindro!N654-(-I$4+Presion_cilindro!$B$34))/Presion_cilindro!$B$35)^(Presion_cilindro!$B$17+1)),0))/((Presion_cilindro!O654+Presion_cilindro!O655)/2)</f>
        <v>2.4359584766901219</v>
      </c>
      <c r="J663" s="27">
        <f>J662*(Presion_cilindro!O654/Presion_cilindro!O655)^Presion_cilindro!$B$9+10*(Presion_cilindro!$B$9-1)*Presion_cilindro!$B$33*(IF(Presion_cilindro!N655&gt;(-J$4+Presion_cilindro!$B$34),1-EXP(-Presion_cilindro!$B$16*((Presion_cilindro!N655-(-J$4+Presion_cilindro!$B$34))/Presion_cilindro!$B$35)^(Presion_cilindro!$B$17+1)),0)-IF(Presion_cilindro!N654&gt;(-J$4+Presion_cilindro!$B$34),1-EXP(-Presion_cilindro!$B$16*((Presion_cilindro!N654-(-J$4+Presion_cilindro!$B$34))/Presion_cilindro!$B$35)^(Presion_cilindro!$B$17+1)),0))/((Presion_cilindro!O654+Presion_cilindro!O655)/2)</f>
        <v>2.4498419468744137</v>
      </c>
      <c r="K663" s="27">
        <f>K662*(Presion_cilindro!O654/Presion_cilindro!O655)^Presion_cilindro!$B$9+10*(Presion_cilindro!$B$9-1)*Presion_cilindro!$B$33*(IF(Presion_cilindro!N655&gt;(-K$4+Presion_cilindro!$B$34),1-EXP(-Presion_cilindro!$B$16*((Presion_cilindro!N655-(-K$4+Presion_cilindro!$B$34))/Presion_cilindro!$B$35)^(Presion_cilindro!$B$17+1)),0)-IF(Presion_cilindro!N654&gt;(-K$4+Presion_cilindro!$B$34),1-EXP(-Presion_cilindro!$B$16*((Presion_cilindro!N654-(-K$4+Presion_cilindro!$B$34))/Presion_cilindro!$B$35)^(Presion_cilindro!$B$17+1)),0))/((Presion_cilindro!O654+Presion_cilindro!O655)/2)</f>
        <v>2.4828559991690691</v>
      </c>
      <c r="L663" s="27">
        <f>L662*(Presion_cilindro!O654/Presion_cilindro!O655)^Presion_cilindro!$B$9+10*(Presion_cilindro!$B$9-1)*Presion_cilindro!$B$33*(IF(Presion_cilindro!N655&gt;(-L$4+Presion_cilindro!$B$34),1-EXP(-Presion_cilindro!$B$16*((Presion_cilindro!N655-(-L$4+Presion_cilindro!$B$34))/Presion_cilindro!$B$35)^(Presion_cilindro!$B$17+1)),0)-IF(Presion_cilindro!N654&gt;(-L$4+Presion_cilindro!$B$34),1-EXP(-Presion_cilindro!$B$16*((Presion_cilindro!N654-(-L$4+Presion_cilindro!$B$34))/Presion_cilindro!$B$35)^(Presion_cilindro!$B$17+1)),0))/((Presion_cilindro!O654+Presion_cilindro!O655)/2)</f>
        <v>2.5328639424763968</v>
      </c>
      <c r="M663" s="27">
        <f>M662*(Presion_cilindro!O654/Presion_cilindro!O655)^Presion_cilindro!$B$9+10*(Presion_cilindro!$B$9-1)*Presion_cilindro!$B$33*(IF(Presion_cilindro!N655&gt;(-M$4+Presion_cilindro!$B$34),1-EXP(-Presion_cilindro!$B$16*((Presion_cilindro!N655-(-M$4+Presion_cilindro!$B$34))/Presion_cilindro!$B$35)^(Presion_cilindro!$B$17+1)),0)-IF(Presion_cilindro!N654&gt;(-M$4+Presion_cilindro!$B$34),1-EXP(-Presion_cilindro!$B$16*((Presion_cilindro!N654-(-M$4+Presion_cilindro!$B$34))/Presion_cilindro!$B$35)^(Presion_cilindro!$B$17+1)),0))/((Presion_cilindro!O654+Presion_cilindro!O655)/2)</f>
        <v>2.5969620742028106</v>
      </c>
      <c r="N663" s="27">
        <f>N662*(Presion_cilindro!O654/Presion_cilindro!O655)^Presion_cilindro!$B$9+10*(Presion_cilindro!$B$9-1)*Presion_cilindro!$B$33*(IF(Presion_cilindro!N655&gt;(-N$4+Presion_cilindro!$B$34),1-EXP(-Presion_cilindro!$B$16*((Presion_cilindro!N655-(-N$4+Presion_cilindro!$B$34))/Presion_cilindro!$B$35)^(Presion_cilindro!$B$17+1)),0)-IF(Presion_cilindro!N654&gt;(-N$4+Presion_cilindro!$B$34),1-EXP(-Presion_cilindro!$B$16*((Presion_cilindro!N654-(-N$4+Presion_cilindro!$B$34))/Presion_cilindro!$B$35)^(Presion_cilindro!$B$17+1)),0))/((Presion_cilindro!O654+Presion_cilindro!O655)/2)</f>
        <v>2.6719350715779679</v>
      </c>
    </row>
    <row r="664" spans="1:14" x14ac:dyDescent="0.25">
      <c r="A664" s="21">
        <f>Presion_cilindro!N656</f>
        <v>146</v>
      </c>
      <c r="B664" s="27">
        <f>B663*(Presion_cilindro!O655/Presion_cilindro!O656)^Presion_cilindro!$B$9+10*(Presion_cilindro!$B$9-1)*Presion_cilindro!$B$33*(IF(Presion_cilindro!N656&gt;(-B$4+Presion_cilindro!$B$34),1-EXP(-Presion_cilindro!$B$16*((Presion_cilindro!N656-(-B$4+Presion_cilindro!$B$34))/Presion_cilindro!$B$35)^(Presion_cilindro!$B$17+1)),0)-IF(Presion_cilindro!N655&gt;(-B$4+Presion_cilindro!$B$34),1-EXP(-Presion_cilindro!$B$16*((Presion_cilindro!N655-(-B$4+Presion_cilindro!$B$34))/Presion_cilindro!$B$35)^(Presion_cilindro!$B$17+1)),0))/((Presion_cilindro!O655+Presion_cilindro!O656)/2)</f>
        <v>2.803157304239789</v>
      </c>
      <c r="C664" s="27">
        <f>C663*(Presion_cilindro!O655/Presion_cilindro!O656)^Presion_cilindro!$B$9+10*(Presion_cilindro!$B$9-1)*Presion_cilindro!$B$33*(IF(Presion_cilindro!N656&gt;(-C$4+Presion_cilindro!$B$34),1-EXP(-Presion_cilindro!$B$16*((Presion_cilindro!N656-(-C$4+Presion_cilindro!$B$34))/Presion_cilindro!$B$35)^(Presion_cilindro!$B$17+1)),0)-IF(Presion_cilindro!N655&gt;(-C$4+Presion_cilindro!$B$34),1-EXP(-Presion_cilindro!$B$16*((Presion_cilindro!N655-(-C$4+Presion_cilindro!$B$34))/Presion_cilindro!$B$35)^(Presion_cilindro!$B$17+1)),0))/((Presion_cilindro!O655+Presion_cilindro!O656)/2)</f>
        <v>2.7169777039423395</v>
      </c>
      <c r="D664" s="27">
        <f>D663*(Presion_cilindro!O655/Presion_cilindro!O656)^Presion_cilindro!$B$9+10*(Presion_cilindro!$B$9-1)*Presion_cilindro!$B$33*(IF(Presion_cilindro!N656&gt;(-D$4+Presion_cilindro!$B$34),1-EXP(-Presion_cilindro!$B$16*((Presion_cilindro!N656-(-D$4+Presion_cilindro!$B$34))/Presion_cilindro!$B$35)^(Presion_cilindro!$B$17+1)),0)-IF(Presion_cilindro!N655&gt;(-D$4+Presion_cilindro!$B$34),1-EXP(-Presion_cilindro!$B$16*((Presion_cilindro!N655-(-D$4+Presion_cilindro!$B$34))/Presion_cilindro!$B$35)^(Presion_cilindro!$B$17+1)),0))/((Presion_cilindro!O655+Presion_cilindro!O656)/2)</f>
        <v>2.6367139999885691</v>
      </c>
      <c r="E664" s="27">
        <f>E663*(Presion_cilindro!O655/Presion_cilindro!O656)^Presion_cilindro!$B$9+10*(Presion_cilindro!$B$9-1)*Presion_cilindro!$B$33*(IF(Presion_cilindro!N656&gt;(-E$4+Presion_cilindro!$B$34),1-EXP(-Presion_cilindro!$B$16*((Presion_cilindro!N656-(-E$4+Presion_cilindro!$B$34))/Presion_cilindro!$B$35)^(Presion_cilindro!$B$17+1)),0)-IF(Presion_cilindro!N655&gt;(-E$4+Presion_cilindro!$B$34),1-EXP(-Presion_cilindro!$B$16*((Presion_cilindro!N655-(-E$4+Presion_cilindro!$B$34))/Presion_cilindro!$B$35)^(Presion_cilindro!$B$17+1)),0))/((Presion_cilindro!O655+Presion_cilindro!O656)/2)</f>
        <v>2.5653521026942423</v>
      </c>
      <c r="F664" s="27">
        <f>F663*(Presion_cilindro!O655/Presion_cilindro!O656)^Presion_cilindro!$B$9+10*(Presion_cilindro!$B$9-1)*Presion_cilindro!$B$33*(IF(Presion_cilindro!N656&gt;(-F$4+Presion_cilindro!$B$34),1-EXP(-Presion_cilindro!$B$16*((Presion_cilindro!N656-(-F$4+Presion_cilindro!$B$34))/Presion_cilindro!$B$35)^(Presion_cilindro!$B$17+1)),0)-IF(Presion_cilindro!N655&gt;(-F$4+Presion_cilindro!$B$34),1-EXP(-Presion_cilindro!$B$16*((Presion_cilindro!N655-(-F$4+Presion_cilindro!$B$34))/Presion_cilindro!$B$35)^(Presion_cilindro!$B$17+1)),0))/((Presion_cilindro!O655+Presion_cilindro!O656)/2)</f>
        <v>2.5061448116605534</v>
      </c>
      <c r="G664" s="27">
        <f>G663*(Presion_cilindro!O655/Presion_cilindro!O656)^Presion_cilindro!$B$9+10*(Presion_cilindro!$B$9-1)*Presion_cilindro!$B$33*(IF(Presion_cilindro!N656&gt;(-G$4+Presion_cilindro!$B$34),1-EXP(-Presion_cilindro!$B$16*((Presion_cilindro!N656-(-G$4+Presion_cilindro!$B$34))/Presion_cilindro!$B$35)^(Presion_cilindro!$B$17+1)),0)-IF(Presion_cilindro!N655&gt;(-G$4+Presion_cilindro!$B$34),1-EXP(-Presion_cilindro!$B$16*((Presion_cilindro!N655-(-G$4+Presion_cilindro!$B$34))/Presion_cilindro!$B$35)^(Presion_cilindro!$B$17+1)),0))/((Presion_cilindro!O655+Presion_cilindro!O656)/2)</f>
        <v>2.4622729040401339</v>
      </c>
      <c r="H664" s="27">
        <f>H663*(Presion_cilindro!O655/Presion_cilindro!O656)^Presion_cilindro!$B$9+10*(Presion_cilindro!$B$9-1)*Presion_cilindro!$B$33*(IF(Presion_cilindro!N656&gt;(-H$4+Presion_cilindro!$B$34),1-EXP(-Presion_cilindro!$B$16*((Presion_cilindro!N656-(-H$4+Presion_cilindro!$B$34))/Presion_cilindro!$B$35)^(Presion_cilindro!$B$17+1)),0)-IF(Presion_cilindro!N655&gt;(-H$4+Presion_cilindro!$B$34),1-EXP(-Presion_cilindro!$B$16*((Presion_cilindro!N655-(-H$4+Presion_cilindro!$B$34))/Presion_cilindro!$B$35)^(Presion_cilindro!$B$17+1)),0))/((Presion_cilindro!O655+Presion_cilindro!O656)/2)</f>
        <v>2.4363934480783525</v>
      </c>
      <c r="I664" s="27">
        <f>I663*(Presion_cilindro!O655/Presion_cilindro!O656)^Presion_cilindro!$B$9+10*(Presion_cilindro!$B$9-1)*Presion_cilindro!$B$33*(IF(Presion_cilindro!N656&gt;(-I$4+Presion_cilindro!$B$34),1-EXP(-Presion_cilindro!$B$16*((Presion_cilindro!N656-(-I$4+Presion_cilindro!$B$34))/Presion_cilindro!$B$35)^(Presion_cilindro!$B$17+1)),0)-IF(Presion_cilindro!N655&gt;(-I$4+Presion_cilindro!$B$34),1-EXP(-Presion_cilindro!$B$16*((Presion_cilindro!N655-(-I$4+Presion_cilindro!$B$34))/Presion_cilindro!$B$35)^(Presion_cilindro!$B$17+1)),0))/((Presion_cilindro!O655+Presion_cilindro!O656)/2)</f>
        <v>2.4301856885782152</v>
      </c>
      <c r="J664" s="27">
        <f>J663*(Presion_cilindro!O655/Presion_cilindro!O656)^Presion_cilindro!$B$9+10*(Presion_cilindro!$B$9-1)*Presion_cilindro!$B$33*(IF(Presion_cilindro!N656&gt;(-J$4+Presion_cilindro!$B$34),1-EXP(-Presion_cilindro!$B$16*((Presion_cilindro!N656-(-J$4+Presion_cilindro!$B$34))/Presion_cilindro!$B$35)^(Presion_cilindro!$B$17+1)),0)-IF(Presion_cilindro!N655&gt;(-J$4+Presion_cilindro!$B$34),1-EXP(-Presion_cilindro!$B$16*((Presion_cilindro!N655-(-J$4+Presion_cilindro!$B$34))/Presion_cilindro!$B$35)^(Presion_cilindro!$B$17+1)),0))/((Presion_cilindro!O655+Presion_cilindro!O656)/2)</f>
        <v>2.4440362574087282</v>
      </c>
      <c r="K664" s="27">
        <f>K663*(Presion_cilindro!O655/Presion_cilindro!O656)^Presion_cilindro!$B$9+10*(Presion_cilindro!$B$9-1)*Presion_cilindro!$B$33*(IF(Presion_cilindro!N656&gt;(-K$4+Presion_cilindro!$B$34),1-EXP(-Presion_cilindro!$B$16*((Presion_cilindro!N656-(-K$4+Presion_cilindro!$B$34))/Presion_cilindro!$B$35)^(Presion_cilindro!$B$17+1)),0)-IF(Presion_cilindro!N655&gt;(-K$4+Presion_cilindro!$B$34),1-EXP(-Presion_cilindro!$B$16*((Presion_cilindro!N655-(-K$4+Presion_cilindro!$B$34))/Presion_cilindro!$B$35)^(Presion_cilindro!$B$17+1)),0))/((Presion_cilindro!O655+Presion_cilindro!O656)/2)</f>
        <v>2.476972072274283</v>
      </c>
      <c r="L664" s="27">
        <f>L663*(Presion_cilindro!O655/Presion_cilindro!O656)^Presion_cilindro!$B$9+10*(Presion_cilindro!$B$9-1)*Presion_cilindro!$B$33*(IF(Presion_cilindro!N656&gt;(-L$4+Presion_cilindro!$B$34),1-EXP(-Presion_cilindro!$B$16*((Presion_cilindro!N656-(-L$4+Presion_cilindro!$B$34))/Presion_cilindro!$B$35)^(Presion_cilindro!$B$17+1)),0)-IF(Presion_cilindro!N655&gt;(-L$4+Presion_cilindro!$B$34),1-EXP(-Presion_cilindro!$B$16*((Presion_cilindro!N655-(-L$4+Presion_cilindro!$B$34))/Presion_cilindro!$B$35)^(Presion_cilindro!$B$17+1)),0))/((Presion_cilindro!O655+Presion_cilindro!O656)/2)</f>
        <v>2.5268615056548658</v>
      </c>
      <c r="M664" s="27">
        <f>M663*(Presion_cilindro!O655/Presion_cilindro!O656)^Presion_cilindro!$B$9+10*(Presion_cilindro!$B$9-1)*Presion_cilindro!$B$33*(IF(Presion_cilindro!N656&gt;(-M$4+Presion_cilindro!$B$34),1-EXP(-Presion_cilindro!$B$16*((Presion_cilindro!N656-(-M$4+Presion_cilindro!$B$34))/Presion_cilindro!$B$35)^(Presion_cilindro!$B$17+1)),0)-IF(Presion_cilindro!N655&gt;(-M$4+Presion_cilindro!$B$34),1-EXP(-Presion_cilindro!$B$16*((Presion_cilindro!N655-(-M$4+Presion_cilindro!$B$34))/Presion_cilindro!$B$35)^(Presion_cilindro!$B$17+1)),0))/((Presion_cilindro!O655+Presion_cilindro!O656)/2)</f>
        <v>2.5908077362153255</v>
      </c>
      <c r="N664" s="27">
        <f>N663*(Presion_cilindro!O655/Presion_cilindro!O656)^Presion_cilindro!$B$9+10*(Presion_cilindro!$B$9-1)*Presion_cilindro!$B$33*(IF(Presion_cilindro!N656&gt;(-N$4+Presion_cilindro!$B$34),1-EXP(-Presion_cilindro!$B$16*((Presion_cilindro!N656-(-N$4+Presion_cilindro!$B$34))/Presion_cilindro!$B$35)^(Presion_cilindro!$B$17+1)),0)-IF(Presion_cilindro!N655&gt;(-N$4+Presion_cilindro!$B$34),1-EXP(-Presion_cilindro!$B$16*((Presion_cilindro!N655-(-N$4+Presion_cilindro!$B$34))/Presion_cilindro!$B$35)^(Presion_cilindro!$B$17+1)),0))/((Presion_cilindro!O655+Presion_cilindro!O656)/2)</f>
        <v>2.6656030609281189</v>
      </c>
    </row>
    <row r="665" spans="1:14" x14ac:dyDescent="0.25">
      <c r="A665" s="21">
        <f>Presion_cilindro!N657</f>
        <v>146.5</v>
      </c>
      <c r="B665" s="27">
        <f>B664*(Presion_cilindro!O656/Presion_cilindro!O657)^Presion_cilindro!$B$9+10*(Presion_cilindro!$B$9-1)*Presion_cilindro!$B$33*(IF(Presion_cilindro!N657&gt;(-B$4+Presion_cilindro!$B$34),1-EXP(-Presion_cilindro!$B$16*((Presion_cilindro!N657-(-B$4+Presion_cilindro!$B$34))/Presion_cilindro!$B$35)^(Presion_cilindro!$B$17+1)),0)-IF(Presion_cilindro!N656&gt;(-B$4+Presion_cilindro!$B$34),1-EXP(-Presion_cilindro!$B$16*((Presion_cilindro!N656-(-B$4+Presion_cilindro!$B$34))/Presion_cilindro!$B$35)^(Presion_cilindro!$B$17+1)),0))/((Presion_cilindro!O656+Presion_cilindro!O657)/2)</f>
        <v>2.7966226337423703</v>
      </c>
      <c r="C665" s="27">
        <f>C664*(Presion_cilindro!O656/Presion_cilindro!O657)^Presion_cilindro!$B$9+10*(Presion_cilindro!$B$9-1)*Presion_cilindro!$B$33*(IF(Presion_cilindro!N657&gt;(-C$4+Presion_cilindro!$B$34),1-EXP(-Presion_cilindro!$B$16*((Presion_cilindro!N657-(-C$4+Presion_cilindro!$B$34))/Presion_cilindro!$B$35)^(Presion_cilindro!$B$17+1)),0)-IF(Presion_cilindro!N656&gt;(-C$4+Presion_cilindro!$B$34),1-EXP(-Presion_cilindro!$B$16*((Presion_cilindro!N656-(-C$4+Presion_cilindro!$B$34))/Presion_cilindro!$B$35)^(Presion_cilindro!$B$17+1)),0))/((Presion_cilindro!O656+Presion_cilindro!O657)/2)</f>
        <v>2.7106439337977806</v>
      </c>
      <c r="D665" s="27">
        <f>D664*(Presion_cilindro!O656/Presion_cilindro!O657)^Presion_cilindro!$B$9+10*(Presion_cilindro!$B$9-1)*Presion_cilindro!$B$33*(IF(Presion_cilindro!N657&gt;(-D$4+Presion_cilindro!$B$34),1-EXP(-Presion_cilindro!$B$16*((Presion_cilindro!N657-(-D$4+Presion_cilindro!$B$34))/Presion_cilindro!$B$35)^(Presion_cilindro!$B$17+1)),0)-IF(Presion_cilindro!N656&gt;(-D$4+Presion_cilindro!$B$34),1-EXP(-Presion_cilindro!$B$16*((Presion_cilindro!N656-(-D$4+Presion_cilindro!$B$34))/Presion_cilindro!$B$35)^(Presion_cilindro!$B$17+1)),0))/((Presion_cilindro!O656+Presion_cilindro!O657)/2)</f>
        <v>2.6305673391644349</v>
      </c>
      <c r="E665" s="27">
        <f>E664*(Presion_cilindro!O656/Presion_cilindro!O657)^Presion_cilindro!$B$9+10*(Presion_cilindro!$B$9-1)*Presion_cilindro!$B$33*(IF(Presion_cilindro!N657&gt;(-E$4+Presion_cilindro!$B$34),1-EXP(-Presion_cilindro!$B$16*((Presion_cilindro!N657-(-E$4+Presion_cilindro!$B$34))/Presion_cilindro!$B$35)^(Presion_cilindro!$B$17+1)),0)-IF(Presion_cilindro!N656&gt;(-E$4+Presion_cilindro!$B$34),1-EXP(-Presion_cilindro!$B$16*((Presion_cilindro!N656-(-E$4+Presion_cilindro!$B$34))/Presion_cilindro!$B$35)^(Presion_cilindro!$B$17+1)),0))/((Presion_cilindro!O656+Presion_cilindro!O657)/2)</f>
        <v>2.5593717994570278</v>
      </c>
      <c r="F665" s="27">
        <f>F664*(Presion_cilindro!O656/Presion_cilindro!O657)^Presion_cilindro!$B$9+10*(Presion_cilindro!$B$9-1)*Presion_cilindro!$B$33*(IF(Presion_cilindro!N657&gt;(-F$4+Presion_cilindro!$B$34),1-EXP(-Presion_cilindro!$B$16*((Presion_cilindro!N657-(-F$4+Presion_cilindro!$B$34))/Presion_cilindro!$B$35)^(Presion_cilindro!$B$17+1)),0)-IF(Presion_cilindro!N656&gt;(-F$4+Presion_cilindro!$B$34),1-EXP(-Presion_cilindro!$B$16*((Presion_cilindro!N656-(-F$4+Presion_cilindro!$B$34))/Presion_cilindro!$B$35)^(Presion_cilindro!$B$17+1)),0))/((Presion_cilindro!O656+Presion_cilindro!O657)/2)</f>
        <v>2.5003025314081224</v>
      </c>
      <c r="G665" s="27">
        <f>G664*(Presion_cilindro!O656/Presion_cilindro!O657)^Presion_cilindro!$B$9+10*(Presion_cilindro!$B$9-1)*Presion_cilindro!$B$33*(IF(Presion_cilindro!N657&gt;(-G$4+Presion_cilindro!$B$34),1-EXP(-Presion_cilindro!$B$16*((Presion_cilindro!N657-(-G$4+Presion_cilindro!$B$34))/Presion_cilindro!$B$35)^(Presion_cilindro!$B$17+1)),0)-IF(Presion_cilindro!N656&gt;(-G$4+Presion_cilindro!$B$34),1-EXP(-Presion_cilindro!$B$16*((Presion_cilindro!N656-(-G$4+Presion_cilindro!$B$34))/Presion_cilindro!$B$35)^(Presion_cilindro!$B$17+1)),0))/((Presion_cilindro!O656+Presion_cilindro!O657)/2)</f>
        <v>2.4565328971991733</v>
      </c>
      <c r="H665" s="27">
        <f>H664*(Presion_cilindro!O656/Presion_cilindro!O657)^Presion_cilindro!$B$9+10*(Presion_cilindro!$B$9-1)*Presion_cilindro!$B$33*(IF(Presion_cilindro!N657&gt;(-H$4+Presion_cilindro!$B$34),1-EXP(-Presion_cilindro!$B$16*((Presion_cilindro!N657-(-H$4+Presion_cilindro!$B$34))/Presion_cilindro!$B$35)^(Presion_cilindro!$B$17+1)),0)-IF(Presion_cilindro!N656&gt;(-H$4+Presion_cilindro!$B$34),1-EXP(-Presion_cilindro!$B$16*((Presion_cilindro!N656-(-H$4+Presion_cilindro!$B$34))/Presion_cilindro!$B$35)^(Presion_cilindro!$B$17+1)),0))/((Presion_cilindro!O656+Presion_cilindro!O657)/2)</f>
        <v>2.4307137709652697</v>
      </c>
      <c r="I665" s="27">
        <f>I664*(Presion_cilindro!O656/Presion_cilindro!O657)^Presion_cilindro!$B$9+10*(Presion_cilindro!$B$9-1)*Presion_cilindro!$B$33*(IF(Presion_cilindro!N657&gt;(-I$4+Presion_cilindro!$B$34),1-EXP(-Presion_cilindro!$B$16*((Presion_cilindro!N657-(-I$4+Presion_cilindro!$B$34))/Presion_cilindro!$B$35)^(Presion_cilindro!$B$17+1)),0)-IF(Presion_cilindro!N656&gt;(-I$4+Presion_cilindro!$B$34),1-EXP(-Presion_cilindro!$B$16*((Presion_cilindro!N656-(-I$4+Presion_cilindro!$B$34))/Presion_cilindro!$B$35)^(Presion_cilindro!$B$17+1)),0))/((Presion_cilindro!O656+Presion_cilindro!O657)/2)</f>
        <v>2.4245204828837714</v>
      </c>
      <c r="J665" s="27">
        <f>J664*(Presion_cilindro!O656/Presion_cilindro!O657)^Presion_cilindro!$B$9+10*(Presion_cilindro!$B$9-1)*Presion_cilindro!$B$33*(IF(Presion_cilindro!N657&gt;(-J$4+Presion_cilindro!$B$34),1-EXP(-Presion_cilindro!$B$16*((Presion_cilindro!N657-(-J$4+Presion_cilindro!$B$34))/Presion_cilindro!$B$35)^(Presion_cilindro!$B$17+1)),0)-IF(Presion_cilindro!N656&gt;(-J$4+Presion_cilindro!$B$34),1-EXP(-Presion_cilindro!$B$16*((Presion_cilindro!N656-(-J$4+Presion_cilindro!$B$34))/Presion_cilindro!$B$35)^(Presion_cilindro!$B$17+1)),0))/((Presion_cilindro!O656+Presion_cilindro!O657)/2)</f>
        <v>2.4383387635143419</v>
      </c>
      <c r="K665" s="27">
        <f>K664*(Presion_cilindro!O656/Presion_cilindro!O657)^Presion_cilindro!$B$9+10*(Presion_cilindro!$B$9-1)*Presion_cilindro!$B$33*(IF(Presion_cilindro!N657&gt;(-K$4+Presion_cilindro!$B$34),1-EXP(-Presion_cilindro!$B$16*((Presion_cilindro!N657-(-K$4+Presion_cilindro!$B$34))/Presion_cilindro!$B$35)^(Presion_cilindro!$B$17+1)),0)-IF(Presion_cilindro!N656&gt;(-K$4+Presion_cilindro!$B$34),1-EXP(-Presion_cilindro!$B$16*((Presion_cilindro!N656-(-K$4+Presion_cilindro!$B$34))/Presion_cilindro!$B$35)^(Presion_cilindro!$B$17+1)),0))/((Presion_cilindro!O656+Presion_cilindro!O657)/2)</f>
        <v>2.4711977989935296</v>
      </c>
      <c r="L665" s="27">
        <f>L664*(Presion_cilindro!O656/Presion_cilindro!O657)^Presion_cilindro!$B$9+10*(Presion_cilindro!$B$9-1)*Presion_cilindro!$B$33*(IF(Presion_cilindro!N657&gt;(-L$4+Presion_cilindro!$B$34),1-EXP(-Presion_cilindro!$B$16*((Presion_cilindro!N657-(-L$4+Presion_cilindro!$B$34))/Presion_cilindro!$B$35)^(Presion_cilindro!$B$17+1)),0)-IF(Presion_cilindro!N656&gt;(-L$4+Presion_cilindro!$B$34),1-EXP(-Presion_cilindro!$B$16*((Presion_cilindro!N656-(-L$4+Presion_cilindro!$B$34))/Presion_cilindro!$B$35)^(Presion_cilindro!$B$17+1)),0))/((Presion_cilindro!O656+Presion_cilindro!O657)/2)</f>
        <v>2.5209709310135171</v>
      </c>
      <c r="M665" s="27">
        <f>M664*(Presion_cilindro!O656/Presion_cilindro!O657)^Presion_cilindro!$B$9+10*(Presion_cilindro!$B$9-1)*Presion_cilindro!$B$33*(IF(Presion_cilindro!N657&gt;(-M$4+Presion_cilindro!$B$34),1-EXP(-Presion_cilindro!$B$16*((Presion_cilindro!N657-(-M$4+Presion_cilindro!$B$34))/Presion_cilindro!$B$35)^(Presion_cilindro!$B$17+1)),0)-IF(Presion_cilindro!N656&gt;(-M$4+Presion_cilindro!$B$34),1-EXP(-Presion_cilindro!$B$16*((Presion_cilindro!N656-(-M$4+Presion_cilindro!$B$34))/Presion_cilindro!$B$35)^(Presion_cilindro!$B$17+1)),0))/((Presion_cilindro!O656+Presion_cilindro!O657)/2)</f>
        <v>2.5847680912575761</v>
      </c>
      <c r="N665" s="27">
        <f>N664*(Presion_cilindro!O656/Presion_cilindro!O657)^Presion_cilindro!$B$9+10*(Presion_cilindro!$B$9-1)*Presion_cilindro!$B$33*(IF(Presion_cilindro!N657&gt;(-N$4+Presion_cilindro!$B$34),1-EXP(-Presion_cilindro!$B$16*((Presion_cilindro!N657-(-N$4+Presion_cilindro!$B$34))/Presion_cilindro!$B$35)^(Presion_cilindro!$B$17+1)),0)-IF(Presion_cilindro!N656&gt;(-N$4+Presion_cilindro!$B$34),1-EXP(-Presion_cilindro!$B$16*((Presion_cilindro!N656-(-N$4+Presion_cilindro!$B$34))/Presion_cilindro!$B$35)^(Presion_cilindro!$B$17+1)),0))/((Presion_cilindro!O656+Presion_cilindro!O657)/2)</f>
        <v>2.6593890544384617</v>
      </c>
    </row>
    <row r="666" spans="1:14" x14ac:dyDescent="0.25">
      <c r="A666" s="21">
        <f>Presion_cilindro!N658</f>
        <v>147</v>
      </c>
      <c r="B666" s="27">
        <f>B665*(Presion_cilindro!O657/Presion_cilindro!O658)^Presion_cilindro!$B$9+10*(Presion_cilindro!$B$9-1)*Presion_cilindro!$B$33*(IF(Presion_cilindro!N658&gt;(-B$4+Presion_cilindro!$B$34),1-EXP(-Presion_cilindro!$B$16*((Presion_cilindro!N658-(-B$4+Presion_cilindro!$B$34))/Presion_cilindro!$B$35)^(Presion_cilindro!$B$17+1)),0)-IF(Presion_cilindro!N657&gt;(-B$4+Presion_cilindro!$B$34),1-EXP(-Presion_cilindro!$B$16*((Presion_cilindro!N657-(-B$4+Presion_cilindro!$B$34))/Presion_cilindro!$B$35)^(Presion_cilindro!$B$17+1)),0))/((Presion_cilindro!O657+Presion_cilindro!O658)/2)</f>
        <v>2.7902107547482888</v>
      </c>
      <c r="C666" s="27">
        <f>C665*(Presion_cilindro!O657/Presion_cilindro!O658)^Presion_cilindro!$B$9+10*(Presion_cilindro!$B$9-1)*Presion_cilindro!$B$33*(IF(Presion_cilindro!N658&gt;(-C$4+Presion_cilindro!$B$34),1-EXP(-Presion_cilindro!$B$16*((Presion_cilindro!N658-(-C$4+Presion_cilindro!$B$34))/Presion_cilindro!$B$35)^(Presion_cilindro!$B$17+1)),0)-IF(Presion_cilindro!N657&gt;(-C$4+Presion_cilindro!$B$34),1-EXP(-Presion_cilindro!$B$16*((Presion_cilindro!N657-(-C$4+Presion_cilindro!$B$34))/Presion_cilindro!$B$35)^(Presion_cilindro!$B$17+1)),0))/((Presion_cilindro!O657+Presion_cilindro!O658)/2)</f>
        <v>2.7044291800838356</v>
      </c>
      <c r="D666" s="27">
        <f>D665*(Presion_cilindro!O657/Presion_cilindro!O658)^Presion_cilindro!$B$9+10*(Presion_cilindro!$B$9-1)*Presion_cilindro!$B$33*(IF(Presion_cilindro!N658&gt;(-D$4+Presion_cilindro!$B$34),1-EXP(-Presion_cilindro!$B$16*((Presion_cilindro!N658-(-D$4+Presion_cilindro!$B$34))/Presion_cilindro!$B$35)^(Presion_cilindro!$B$17+1)),0)-IF(Presion_cilindro!N657&gt;(-D$4+Presion_cilindro!$B$34),1-EXP(-Presion_cilindro!$B$16*((Presion_cilindro!N657-(-D$4+Presion_cilindro!$B$34))/Presion_cilindro!$B$35)^(Presion_cilindro!$B$17+1)),0))/((Presion_cilindro!O657+Presion_cilindro!O658)/2)</f>
        <v>2.6245361788423378</v>
      </c>
      <c r="E666" s="27">
        <f>E665*(Presion_cilindro!O657/Presion_cilindro!O658)^Presion_cilindro!$B$9+10*(Presion_cilindro!$B$9-1)*Presion_cilindro!$B$33*(IF(Presion_cilindro!N658&gt;(-E$4+Presion_cilindro!$B$34),1-EXP(-Presion_cilindro!$B$16*((Presion_cilindro!N658-(-E$4+Presion_cilindro!$B$34))/Presion_cilindro!$B$35)^(Presion_cilindro!$B$17+1)),0)-IF(Presion_cilindro!N657&gt;(-E$4+Presion_cilindro!$B$34),1-EXP(-Presion_cilindro!$B$16*((Presion_cilindro!N657-(-E$4+Presion_cilindro!$B$34))/Presion_cilindro!$B$35)^(Presion_cilindro!$B$17+1)),0))/((Presion_cilindro!O657+Presion_cilindro!O658)/2)</f>
        <v>2.553503870734366</v>
      </c>
      <c r="F666" s="27">
        <f>F665*(Presion_cilindro!O657/Presion_cilindro!O658)^Presion_cilindro!$B$9+10*(Presion_cilindro!$B$9-1)*Presion_cilindro!$B$33*(IF(Presion_cilindro!N658&gt;(-F$4+Presion_cilindro!$B$34),1-EXP(-Presion_cilindro!$B$16*((Presion_cilindro!N658-(-F$4+Presion_cilindro!$B$34))/Presion_cilindro!$B$35)^(Presion_cilindro!$B$17+1)),0)-IF(Presion_cilindro!N657&gt;(-F$4+Presion_cilindro!$B$34),1-EXP(-Presion_cilindro!$B$16*((Presion_cilindro!N657-(-F$4+Presion_cilindro!$B$34))/Presion_cilindro!$B$35)^(Presion_cilindro!$B$17+1)),0))/((Presion_cilindro!O657+Presion_cilindro!O658)/2)</f>
        <v>2.4945700321118083</v>
      </c>
      <c r="G666" s="27">
        <f>G665*(Presion_cilindro!O657/Presion_cilindro!O658)^Presion_cilindro!$B$9+10*(Presion_cilindro!$B$9-1)*Presion_cilindro!$B$33*(IF(Presion_cilindro!N658&gt;(-G$4+Presion_cilindro!$B$34),1-EXP(-Presion_cilindro!$B$16*((Presion_cilindro!N658-(-G$4+Presion_cilindro!$B$34))/Presion_cilindro!$B$35)^(Presion_cilindro!$B$17+1)),0)-IF(Presion_cilindro!N657&gt;(-G$4+Presion_cilindro!$B$34),1-EXP(-Presion_cilindro!$B$16*((Presion_cilindro!N657-(-G$4+Presion_cilindro!$B$34))/Presion_cilindro!$B$35)^(Presion_cilindro!$B$17+1)),0))/((Presion_cilindro!O657+Presion_cilindro!O658)/2)</f>
        <v>2.4509007495179742</v>
      </c>
      <c r="H666" s="27">
        <f>H665*(Presion_cilindro!O657/Presion_cilindro!O658)^Presion_cilindro!$B$9+10*(Presion_cilindro!$B$9-1)*Presion_cilindro!$B$33*(IF(Presion_cilindro!N658&gt;(-H$4+Presion_cilindro!$B$34),1-EXP(-Presion_cilindro!$B$16*((Presion_cilindro!N658-(-H$4+Presion_cilindro!$B$34))/Presion_cilindro!$B$35)^(Presion_cilindro!$B$17+1)),0)-IF(Presion_cilindro!N657&gt;(-H$4+Presion_cilindro!$B$34),1-EXP(-Presion_cilindro!$B$16*((Presion_cilindro!N657-(-H$4+Presion_cilindro!$B$34))/Presion_cilindro!$B$35)^(Presion_cilindro!$B$17+1)),0))/((Presion_cilindro!O657+Presion_cilindro!O658)/2)</f>
        <v>2.4251408193697874</v>
      </c>
      <c r="I666" s="27">
        <f>I665*(Presion_cilindro!O657/Presion_cilindro!O658)^Presion_cilindro!$B$9+10*(Presion_cilindro!$B$9-1)*Presion_cilindro!$B$33*(IF(Presion_cilindro!N658&gt;(-I$4+Presion_cilindro!$B$34),1-EXP(-Presion_cilindro!$B$16*((Presion_cilindro!N658-(-I$4+Presion_cilindro!$B$34))/Presion_cilindro!$B$35)^(Presion_cilindro!$B$17+1)),0)-IF(Presion_cilindro!N657&gt;(-I$4+Presion_cilindro!$B$34),1-EXP(-Presion_cilindro!$B$16*((Presion_cilindro!N657-(-I$4+Presion_cilindro!$B$34))/Presion_cilindro!$B$35)^(Presion_cilindro!$B$17+1)),0))/((Presion_cilindro!O657+Presion_cilindro!O658)/2)</f>
        <v>2.4189617307778</v>
      </c>
      <c r="J666" s="27">
        <f>J665*(Presion_cilindro!O657/Presion_cilindro!O658)^Presion_cilindro!$B$9+10*(Presion_cilindro!$B$9-1)*Presion_cilindro!$B$33*(IF(Presion_cilindro!N658&gt;(-J$4+Presion_cilindro!$B$34),1-EXP(-Presion_cilindro!$B$16*((Presion_cilindro!N658-(-J$4+Presion_cilindro!$B$34))/Presion_cilindro!$B$35)^(Presion_cilindro!$B$17+1)),0)-IF(Presion_cilindro!N657&gt;(-J$4+Presion_cilindro!$B$34),1-EXP(-Presion_cilindro!$B$16*((Presion_cilindro!N657-(-J$4+Presion_cilindro!$B$34))/Presion_cilindro!$B$35)^(Presion_cilindro!$B$17+1)),0))/((Presion_cilindro!O657+Presion_cilindro!O658)/2)</f>
        <v>2.4327483299286312</v>
      </c>
      <c r="K666" s="27">
        <f>K665*(Presion_cilindro!O657/Presion_cilindro!O658)^Presion_cilindro!$B$9+10*(Presion_cilindro!$B$9-1)*Presion_cilindro!$B$33*(IF(Presion_cilindro!N658&gt;(-K$4+Presion_cilindro!$B$34),1-EXP(-Presion_cilindro!$B$16*((Presion_cilindro!N658-(-K$4+Presion_cilindro!$B$34))/Presion_cilindro!$B$35)^(Presion_cilindro!$B$17+1)),0)-IF(Presion_cilindro!N657&gt;(-K$4+Presion_cilindro!$B$34),1-EXP(-Presion_cilindro!$B$16*((Presion_cilindro!N657-(-K$4+Presion_cilindro!$B$34))/Presion_cilindro!$B$35)^(Presion_cilindro!$B$17+1)),0))/((Presion_cilindro!O657+Presion_cilindro!O658)/2)</f>
        <v>2.4655320287653941</v>
      </c>
      <c r="L666" s="27">
        <f>L665*(Presion_cilindro!O657/Presion_cilindro!O658)^Presion_cilindro!$B$9+10*(Presion_cilindro!$B$9-1)*Presion_cilindro!$B$33*(IF(Presion_cilindro!N658&gt;(-L$4+Presion_cilindro!$B$34),1-EXP(-Presion_cilindro!$B$16*((Presion_cilindro!N658-(-L$4+Presion_cilindro!$B$34))/Presion_cilindro!$B$35)^(Presion_cilindro!$B$17+1)),0)-IF(Presion_cilindro!N657&gt;(-L$4+Presion_cilindro!$B$34),1-EXP(-Presion_cilindro!$B$16*((Presion_cilindro!N657-(-L$4+Presion_cilindro!$B$34))/Presion_cilindro!$B$35)^(Presion_cilindro!$B$17+1)),0))/((Presion_cilindro!O657+Presion_cilindro!O658)/2)</f>
        <v>2.5151910448171355</v>
      </c>
      <c r="M666" s="27">
        <f>M665*(Presion_cilindro!O657/Presion_cilindro!O658)^Presion_cilindro!$B$9+10*(Presion_cilindro!$B$9-1)*Presion_cilindro!$B$33*(IF(Presion_cilindro!N658&gt;(-M$4+Presion_cilindro!$B$34),1-EXP(-Presion_cilindro!$B$16*((Presion_cilindro!N658-(-M$4+Presion_cilindro!$B$34))/Presion_cilindro!$B$35)^(Presion_cilindro!$B$17+1)),0)-IF(Presion_cilindro!N657&gt;(-M$4+Presion_cilindro!$B$34),1-EXP(-Presion_cilindro!$B$16*((Presion_cilindro!N657-(-M$4+Presion_cilindro!$B$34))/Presion_cilindro!$B$35)^(Presion_cilindro!$B$17+1)),0))/((Presion_cilindro!O657+Presion_cilindro!O658)/2)</f>
        <v>2.5788419358911194</v>
      </c>
      <c r="N666" s="27">
        <f>N665*(Presion_cilindro!O657/Presion_cilindro!O658)^Presion_cilindro!$B$9+10*(Presion_cilindro!$B$9-1)*Presion_cilindro!$B$33*(IF(Presion_cilindro!N658&gt;(-N$4+Presion_cilindro!$B$34),1-EXP(-Presion_cilindro!$B$16*((Presion_cilindro!N658-(-N$4+Presion_cilindro!$B$34))/Presion_cilindro!$B$35)^(Presion_cilindro!$B$17+1)),0)-IF(Presion_cilindro!N657&gt;(-N$4+Presion_cilindro!$B$34),1-EXP(-Presion_cilindro!$B$16*((Presion_cilindro!N657-(-N$4+Presion_cilindro!$B$34))/Presion_cilindro!$B$35)^(Presion_cilindro!$B$17+1)),0))/((Presion_cilindro!O657+Presion_cilindro!O658)/2)</f>
        <v>2.6532918139278872</v>
      </c>
    </row>
    <row r="667" spans="1:14" x14ac:dyDescent="0.25">
      <c r="A667" s="21">
        <f>Presion_cilindro!N659</f>
        <v>147.5</v>
      </c>
      <c r="B667" s="27">
        <f>B666*(Presion_cilindro!O658/Presion_cilindro!O659)^Presion_cilindro!$B$9+10*(Presion_cilindro!$B$9-1)*Presion_cilindro!$B$33*(IF(Presion_cilindro!N659&gt;(-B$4+Presion_cilindro!$B$34),1-EXP(-Presion_cilindro!$B$16*((Presion_cilindro!N659-(-B$4+Presion_cilindro!$B$34))/Presion_cilindro!$B$35)^(Presion_cilindro!$B$17+1)),0)-IF(Presion_cilindro!N658&gt;(-B$4+Presion_cilindro!$B$34),1-EXP(-Presion_cilindro!$B$16*((Presion_cilindro!N658-(-B$4+Presion_cilindro!$B$34))/Presion_cilindro!$B$35)^(Presion_cilindro!$B$17+1)),0))/((Presion_cilindro!O658+Presion_cilindro!O659)/2)</f>
        <v>2.7839203936050834</v>
      </c>
      <c r="C667" s="27">
        <f>C666*(Presion_cilindro!O658/Presion_cilindro!O659)^Presion_cilindro!$B$9+10*(Presion_cilindro!$B$9-1)*Presion_cilindro!$B$33*(IF(Presion_cilindro!N659&gt;(-C$4+Presion_cilindro!$B$34),1-EXP(-Presion_cilindro!$B$16*((Presion_cilindro!N659-(-C$4+Presion_cilindro!$B$34))/Presion_cilindro!$B$35)^(Presion_cilindro!$B$17+1)),0)-IF(Presion_cilindro!N658&gt;(-C$4+Presion_cilindro!$B$34),1-EXP(-Presion_cilindro!$B$16*((Presion_cilindro!N658-(-C$4+Presion_cilindro!$B$34))/Presion_cilindro!$B$35)^(Presion_cilindro!$B$17+1)),0))/((Presion_cilindro!O658+Presion_cilindro!O659)/2)</f>
        <v>2.6983322083049117</v>
      </c>
      <c r="D667" s="27">
        <f>D666*(Presion_cilindro!O658/Presion_cilindro!O659)^Presion_cilindro!$B$9+10*(Presion_cilindro!$B$9-1)*Presion_cilindro!$B$33*(IF(Presion_cilindro!N659&gt;(-D$4+Presion_cilindro!$B$34),1-EXP(-Presion_cilindro!$B$16*((Presion_cilindro!N659-(-D$4+Presion_cilindro!$B$34))/Presion_cilindro!$B$35)^(Presion_cilindro!$B$17+1)),0)-IF(Presion_cilindro!N658&gt;(-D$4+Presion_cilindro!$B$34),1-EXP(-Presion_cilindro!$B$16*((Presion_cilindro!N658-(-D$4+Presion_cilindro!$B$34))/Presion_cilindro!$B$35)^(Presion_cilindro!$B$17+1)),0))/((Presion_cilindro!O658+Presion_cilindro!O659)/2)</f>
        <v>2.618619320995585</v>
      </c>
      <c r="E667" s="27">
        <f>E666*(Presion_cilindro!O658/Presion_cilindro!O659)^Presion_cilindro!$B$9+10*(Presion_cilindro!$B$9-1)*Presion_cilindro!$B$33*(IF(Presion_cilindro!N659&gt;(-E$4+Presion_cilindro!$B$34),1-EXP(-Presion_cilindro!$B$16*((Presion_cilindro!N659-(-E$4+Presion_cilindro!$B$34))/Presion_cilindro!$B$35)^(Presion_cilindro!$B$17+1)),0)-IF(Presion_cilindro!N658&gt;(-E$4+Presion_cilindro!$B$34),1-EXP(-Presion_cilindro!$B$16*((Presion_cilindro!N658-(-E$4+Presion_cilindro!$B$34))/Presion_cilindro!$B$35)^(Presion_cilindro!$B$17+1)),0))/((Presion_cilindro!O658+Presion_cilindro!O659)/2)</f>
        <v>2.5477471509238079</v>
      </c>
      <c r="F667" s="27">
        <f>F666*(Presion_cilindro!O658/Presion_cilindro!O659)^Presion_cilindro!$B$9+10*(Presion_cilindro!$B$9-1)*Presion_cilindro!$B$33*(IF(Presion_cilindro!N659&gt;(-F$4+Presion_cilindro!$B$34),1-EXP(-Presion_cilindro!$B$16*((Presion_cilindro!N659-(-F$4+Presion_cilindro!$B$34))/Presion_cilindro!$B$35)^(Presion_cilindro!$B$17+1)),0)-IF(Presion_cilindro!N658&gt;(-F$4+Presion_cilindro!$B$34),1-EXP(-Presion_cilindro!$B$16*((Presion_cilindro!N658-(-F$4+Presion_cilindro!$B$34))/Presion_cilindro!$B$35)^(Presion_cilindro!$B$17+1)),0))/((Presion_cilindro!O658+Presion_cilindro!O659)/2)</f>
        <v>2.4889461750707955</v>
      </c>
      <c r="G667" s="27">
        <f>G666*(Presion_cilindro!O658/Presion_cilindro!O659)^Presion_cilindro!$B$9+10*(Presion_cilindro!$B$9-1)*Presion_cilindro!$B$33*(IF(Presion_cilindro!N659&gt;(-G$4+Presion_cilindro!$B$34),1-EXP(-Presion_cilindro!$B$16*((Presion_cilindro!N659-(-G$4+Presion_cilindro!$B$34))/Presion_cilindro!$B$35)^(Presion_cilindro!$B$17+1)),0)-IF(Presion_cilindro!N658&gt;(-G$4+Presion_cilindro!$B$34),1-EXP(-Presion_cilindro!$B$16*((Presion_cilindro!N658-(-G$4+Presion_cilindro!$B$34))/Presion_cilindro!$B$35)^(Presion_cilindro!$B$17+1)),0))/((Presion_cilindro!O658+Presion_cilindro!O659)/2)</f>
        <v>2.4453753422295157</v>
      </c>
      <c r="H667" s="27">
        <f>H666*(Presion_cilindro!O658/Presion_cilindro!O659)^Presion_cilindro!$B$9+10*(Presion_cilindro!$B$9-1)*Presion_cilindro!$B$33*(IF(Presion_cilindro!N659&gt;(-H$4+Presion_cilindro!$B$34),1-EXP(-Presion_cilindro!$B$16*((Presion_cilindro!N659-(-H$4+Presion_cilindro!$B$34))/Presion_cilindro!$B$35)^(Presion_cilindro!$B$17+1)),0)-IF(Presion_cilindro!N658&gt;(-H$4+Presion_cilindro!$B$34),1-EXP(-Presion_cilindro!$B$16*((Presion_cilindro!N658-(-H$4+Presion_cilindro!$B$34))/Presion_cilindro!$B$35)^(Presion_cilindro!$B$17+1)),0))/((Presion_cilindro!O658+Presion_cilindro!O659)/2)</f>
        <v>2.4196734862835663</v>
      </c>
      <c r="I667" s="27">
        <f>I666*(Presion_cilindro!O658/Presion_cilindro!O659)^Presion_cilindro!$B$9+10*(Presion_cilindro!$B$9-1)*Presion_cilindro!$B$33*(IF(Presion_cilindro!N659&gt;(-I$4+Presion_cilindro!$B$34),1-EXP(-Presion_cilindro!$B$16*((Presion_cilindro!N659-(-I$4+Presion_cilindro!$B$34))/Presion_cilindro!$B$35)^(Presion_cilindro!$B$17+1)),0)-IF(Presion_cilindro!N658&gt;(-I$4+Presion_cilindro!$B$34),1-EXP(-Presion_cilindro!$B$16*((Presion_cilindro!N658-(-I$4+Presion_cilindro!$B$34))/Presion_cilindro!$B$35)^(Presion_cilindro!$B$17+1)),0))/((Presion_cilindro!O658+Presion_cilindro!O659)/2)</f>
        <v>2.4135083280725413</v>
      </c>
      <c r="J667" s="27">
        <f>J666*(Presion_cilindro!O658/Presion_cilindro!O659)^Presion_cilindro!$B$9+10*(Presion_cilindro!$B$9-1)*Presion_cilindro!$B$33*(IF(Presion_cilindro!N659&gt;(-J$4+Presion_cilindro!$B$34),1-EXP(-Presion_cilindro!$B$16*((Presion_cilindro!N659-(-J$4+Presion_cilindro!$B$34))/Presion_cilindro!$B$35)^(Presion_cilindro!$B$17+1)),0)-IF(Presion_cilindro!N658&gt;(-J$4+Presion_cilindro!$B$34),1-EXP(-Presion_cilindro!$B$16*((Presion_cilindro!N658-(-J$4+Presion_cilindro!$B$34))/Presion_cilindro!$B$35)^(Presion_cilindro!$B$17+1)),0))/((Presion_cilindro!O658+Presion_cilindro!O659)/2)</f>
        <v>2.4272638461706428</v>
      </c>
      <c r="K667" s="27">
        <f>K666*(Presion_cilindro!O658/Presion_cilindro!O659)^Presion_cilindro!$B$9+10*(Presion_cilindro!$B$9-1)*Presion_cilindro!$B$33*(IF(Presion_cilindro!N659&gt;(-K$4+Presion_cilindro!$B$34),1-EXP(-Presion_cilindro!$B$16*((Presion_cilindro!N659-(-K$4+Presion_cilindro!$B$34))/Presion_cilindro!$B$35)^(Presion_cilindro!$B$17+1)),0)-IF(Presion_cilindro!N658&gt;(-K$4+Presion_cilindro!$B$34),1-EXP(-Presion_cilindro!$B$16*((Presion_cilindro!N658-(-K$4+Presion_cilindro!$B$34))/Presion_cilindro!$B$35)^(Presion_cilindro!$B$17+1)),0))/((Presion_cilindro!O658+Presion_cilindro!O659)/2)</f>
        <v>2.4599736361440905</v>
      </c>
      <c r="L667" s="27">
        <f>L666*(Presion_cilindro!O658/Presion_cilindro!O659)^Presion_cilindro!$B$9+10*(Presion_cilindro!$B$9-1)*Presion_cilindro!$B$33*(IF(Presion_cilindro!N659&gt;(-L$4+Presion_cilindro!$B$34),1-EXP(-Presion_cilindro!$B$16*((Presion_cilindro!N659-(-L$4+Presion_cilindro!$B$34))/Presion_cilindro!$B$35)^(Presion_cilindro!$B$17+1)),0)-IF(Presion_cilindro!N658&gt;(-L$4+Presion_cilindro!$B$34),1-EXP(-Presion_cilindro!$B$16*((Presion_cilindro!N658-(-L$4+Presion_cilindro!$B$34))/Presion_cilindro!$B$35)^(Presion_cilindro!$B$17+1)),0))/((Presion_cilindro!O658+Presion_cilindro!O659)/2)</f>
        <v>2.5095206989519956</v>
      </c>
      <c r="M667" s="27">
        <f>M666*(Presion_cilindro!O658/Presion_cilindro!O659)^Presion_cilindro!$B$9+10*(Presion_cilindro!$B$9-1)*Presion_cilindro!$B$33*(IF(Presion_cilindro!N659&gt;(-M$4+Presion_cilindro!$B$34),1-EXP(-Presion_cilindro!$B$16*((Presion_cilindro!N659-(-M$4+Presion_cilindro!$B$34))/Presion_cilindro!$B$35)^(Presion_cilindro!$B$17+1)),0)-IF(Presion_cilindro!N658&gt;(-M$4+Presion_cilindro!$B$34),1-EXP(-Presion_cilindro!$B$16*((Presion_cilindro!N658-(-M$4+Presion_cilindro!$B$34))/Presion_cilindro!$B$35)^(Presion_cilindro!$B$17+1)),0))/((Presion_cilindro!O658+Presion_cilindro!O659)/2)</f>
        <v>2.5730280929473945</v>
      </c>
      <c r="N667" s="27">
        <f>N666*(Presion_cilindro!O658/Presion_cilindro!O659)^Presion_cilindro!$B$9+10*(Presion_cilindro!$B$9-1)*Presion_cilindro!$B$33*(IF(Presion_cilindro!N659&gt;(-N$4+Presion_cilindro!$B$34),1-EXP(-Presion_cilindro!$B$16*((Presion_cilindro!N659-(-N$4+Presion_cilindro!$B$34))/Presion_cilindro!$B$35)^(Presion_cilindro!$B$17+1)),0)-IF(Presion_cilindro!N658&gt;(-N$4+Presion_cilindro!$B$34),1-EXP(-Presion_cilindro!$B$16*((Presion_cilindro!N658-(-N$4+Presion_cilindro!$B$34))/Presion_cilindro!$B$35)^(Presion_cilindro!$B$17+1)),0))/((Presion_cilindro!O658+Presion_cilindro!O659)/2)</f>
        <v>2.6473101282435656</v>
      </c>
    </row>
    <row r="668" spans="1:14" x14ac:dyDescent="0.25">
      <c r="A668" s="21">
        <f>Presion_cilindro!N660</f>
        <v>148</v>
      </c>
      <c r="B668" s="27">
        <f>B667*(Presion_cilindro!O659/Presion_cilindro!O660)^Presion_cilindro!$B$9+10*(Presion_cilindro!$B$9-1)*Presion_cilindro!$B$33*(IF(Presion_cilindro!N660&gt;(-B$4+Presion_cilindro!$B$34),1-EXP(-Presion_cilindro!$B$16*((Presion_cilindro!N660-(-B$4+Presion_cilindro!$B$34))/Presion_cilindro!$B$35)^(Presion_cilindro!$B$17+1)),0)-IF(Presion_cilindro!N659&gt;(-B$4+Presion_cilindro!$B$34),1-EXP(-Presion_cilindro!$B$16*((Presion_cilindro!N659-(-B$4+Presion_cilindro!$B$34))/Presion_cilindro!$B$35)^(Presion_cilindro!$B$17+1)),0))/((Presion_cilindro!O659+Presion_cilindro!O660)/2)</f>
        <v>2.7777503046147811</v>
      </c>
      <c r="C668" s="27">
        <f>C667*(Presion_cilindro!O659/Presion_cilindro!O660)^Presion_cilindro!$B$9+10*(Presion_cilindro!$B$9-1)*Presion_cilindro!$B$33*(IF(Presion_cilindro!N660&gt;(-C$4+Presion_cilindro!$B$34),1-EXP(-Presion_cilindro!$B$16*((Presion_cilindro!N660-(-C$4+Presion_cilindro!$B$34))/Presion_cilindro!$B$35)^(Presion_cilindro!$B$17+1)),0)-IF(Presion_cilindro!N659&gt;(-C$4+Presion_cilindro!$B$34),1-EXP(-Presion_cilindro!$B$16*((Presion_cilindro!N659-(-C$4+Presion_cilindro!$B$34))/Presion_cilindro!$B$35)^(Presion_cilindro!$B$17+1)),0))/((Presion_cilindro!O659+Presion_cilindro!O660)/2)</f>
        <v>2.6923518110604774</v>
      </c>
      <c r="D668" s="27">
        <f>D667*(Presion_cilindro!O659/Presion_cilindro!O660)^Presion_cilindro!$B$9+10*(Presion_cilindro!$B$9-1)*Presion_cilindro!$B$33*(IF(Presion_cilindro!N660&gt;(-D$4+Presion_cilindro!$B$34),1-EXP(-Presion_cilindro!$B$16*((Presion_cilindro!N660-(-D$4+Presion_cilindro!$B$34))/Presion_cilindro!$B$35)^(Presion_cilindro!$B$17+1)),0)-IF(Presion_cilindro!N659&gt;(-D$4+Presion_cilindro!$B$34),1-EXP(-Presion_cilindro!$B$16*((Presion_cilindro!N659-(-D$4+Presion_cilindro!$B$34))/Presion_cilindro!$B$35)^(Presion_cilindro!$B$17+1)),0))/((Presion_cilindro!O659+Presion_cilindro!O660)/2)</f>
        <v>2.6128155938921154</v>
      </c>
      <c r="E668" s="27">
        <f>E667*(Presion_cilindro!O659/Presion_cilindro!O660)^Presion_cilindro!$B$9+10*(Presion_cilindro!$B$9-1)*Presion_cilindro!$B$33*(IF(Presion_cilindro!N660&gt;(-E$4+Presion_cilindro!$B$34),1-EXP(-Presion_cilindro!$B$16*((Presion_cilindro!N660-(-E$4+Presion_cilindro!$B$34))/Presion_cilindro!$B$35)^(Presion_cilindro!$B$17+1)),0)-IF(Presion_cilindro!N659&gt;(-E$4+Presion_cilindro!$B$34),1-EXP(-Presion_cilindro!$B$16*((Presion_cilindro!N659-(-E$4+Presion_cilindro!$B$34))/Presion_cilindro!$B$35)^(Presion_cilindro!$B$17+1)),0))/((Presion_cilindro!O659+Presion_cilindro!O660)/2)</f>
        <v>2.5421005000058798</v>
      </c>
      <c r="F668" s="27">
        <f>F667*(Presion_cilindro!O659/Presion_cilindro!O660)^Presion_cilindro!$B$9+10*(Presion_cilindro!$B$9-1)*Presion_cilindro!$B$33*(IF(Presion_cilindro!N660&gt;(-F$4+Presion_cilindro!$B$34),1-EXP(-Presion_cilindro!$B$16*((Presion_cilindro!N660-(-F$4+Presion_cilindro!$B$34))/Presion_cilindro!$B$35)^(Presion_cilindro!$B$17+1)),0)-IF(Presion_cilindro!N659&gt;(-F$4+Presion_cilindro!$B$34),1-EXP(-Presion_cilindro!$B$16*((Presion_cilindro!N659-(-F$4+Presion_cilindro!$B$34))/Presion_cilindro!$B$35)^(Presion_cilindro!$B$17+1)),0))/((Presion_cilindro!O659+Presion_cilindro!O660)/2)</f>
        <v>2.4834298465767999</v>
      </c>
      <c r="G668" s="27">
        <f>G667*(Presion_cilindro!O659/Presion_cilindro!O660)^Presion_cilindro!$B$9+10*(Presion_cilindro!$B$9-1)*Presion_cilindro!$B$33*(IF(Presion_cilindro!N660&gt;(-G$4+Presion_cilindro!$B$34),1-EXP(-Presion_cilindro!$B$16*((Presion_cilindro!N660-(-G$4+Presion_cilindro!$B$34))/Presion_cilindro!$B$35)^(Presion_cilindro!$B$17+1)),0)-IF(Presion_cilindro!N659&gt;(-G$4+Presion_cilindro!$B$34),1-EXP(-Presion_cilindro!$B$16*((Presion_cilindro!N659-(-G$4+Presion_cilindro!$B$34))/Presion_cilindro!$B$35)^(Presion_cilindro!$B$17+1)),0))/((Presion_cilindro!O659+Presion_cilindro!O660)/2)</f>
        <v>2.4399555811217968</v>
      </c>
      <c r="H668" s="27">
        <f>H667*(Presion_cilindro!O659/Presion_cilindro!O660)^Presion_cilindro!$B$9+10*(Presion_cilindro!$B$9-1)*Presion_cilindro!$B$33*(IF(Presion_cilindro!N660&gt;(-H$4+Presion_cilindro!$B$34),1-EXP(-Presion_cilindro!$B$16*((Presion_cilindro!N660-(-H$4+Presion_cilindro!$B$34))/Presion_cilindro!$B$35)^(Presion_cilindro!$B$17+1)),0)-IF(Presion_cilindro!N659&gt;(-H$4+Presion_cilindro!$B$34),1-EXP(-Presion_cilindro!$B$16*((Presion_cilindro!N659-(-H$4+Presion_cilindro!$B$34))/Presion_cilindro!$B$35)^(Presion_cilindro!$B$17+1)),0))/((Presion_cilindro!O659+Presion_cilindro!O660)/2)</f>
        <v>2.4143106889952031</v>
      </c>
      <c r="I668" s="27">
        <f>I667*(Presion_cilindro!O659/Presion_cilindro!O660)^Presion_cilindro!$B$9+10*(Presion_cilindro!$B$9-1)*Presion_cilindro!$B$33*(IF(Presion_cilindro!N660&gt;(-I$4+Presion_cilindro!$B$34),1-EXP(-Presion_cilindro!$B$16*((Presion_cilindro!N660-(-I$4+Presion_cilindro!$B$34))/Presion_cilindro!$B$35)^(Presion_cilindro!$B$17+1)),0)-IF(Presion_cilindro!N659&gt;(-I$4+Presion_cilindro!$B$34),1-EXP(-Presion_cilindro!$B$16*((Presion_cilindro!N659-(-I$4+Presion_cilindro!$B$34))/Presion_cilindro!$B$35)^(Presion_cilindro!$B$17+1)),0))/((Presion_cilindro!O659+Presion_cilindro!O660)/2)</f>
        <v>2.4081591948152647</v>
      </c>
      <c r="J668" s="27">
        <f>J667*(Presion_cilindro!O659/Presion_cilindro!O660)^Presion_cilindro!$B$9+10*(Presion_cilindro!$B$9-1)*Presion_cilindro!$B$33*(IF(Presion_cilindro!N660&gt;(-J$4+Presion_cilindro!$B$34),1-EXP(-Presion_cilindro!$B$16*((Presion_cilindro!N660-(-J$4+Presion_cilindro!$B$34))/Presion_cilindro!$B$35)^(Presion_cilindro!$B$17+1)),0)-IF(Presion_cilindro!N659&gt;(-J$4+Presion_cilindro!$B$34),1-EXP(-Presion_cilindro!$B$16*((Presion_cilindro!N659-(-J$4+Presion_cilindro!$B$34))/Presion_cilindro!$B$35)^(Presion_cilindro!$B$17+1)),0))/((Presion_cilindro!O659+Presion_cilindro!O660)/2)</f>
        <v>2.4218842261325779</v>
      </c>
      <c r="K668" s="27">
        <f>K667*(Presion_cilindro!O659/Presion_cilindro!O660)^Presion_cilindro!$B$9+10*(Presion_cilindro!$B$9-1)*Presion_cilindro!$B$33*(IF(Presion_cilindro!N660&gt;(-K$4+Presion_cilindro!$B$34),1-EXP(-Presion_cilindro!$B$16*((Presion_cilindro!N660-(-K$4+Presion_cilindro!$B$34))/Presion_cilindro!$B$35)^(Presion_cilindro!$B$17+1)),0)-IF(Presion_cilindro!N659&gt;(-K$4+Presion_cilindro!$B$34),1-EXP(-Presion_cilindro!$B$16*((Presion_cilindro!N659-(-K$4+Presion_cilindro!$B$34))/Presion_cilindro!$B$35)^(Presion_cilindro!$B$17+1)),0))/((Presion_cilindro!O659+Presion_cilindro!O660)/2)</f>
        <v>2.4545215203854389</v>
      </c>
      <c r="L668" s="27">
        <f>L667*(Presion_cilindro!O659/Presion_cilindro!O660)^Presion_cilindro!$B$9+10*(Presion_cilindro!$B$9-1)*Presion_cilindro!$B$33*(IF(Presion_cilindro!N660&gt;(-L$4+Presion_cilindro!$B$34),1-EXP(-Presion_cilindro!$B$16*((Presion_cilindro!N660-(-L$4+Presion_cilindro!$B$34))/Presion_cilindro!$B$35)^(Presion_cilindro!$B$17+1)),0)-IF(Presion_cilindro!N659&gt;(-L$4+Presion_cilindro!$B$34),1-EXP(-Presion_cilindro!$B$16*((Presion_cilindro!N659-(-L$4+Presion_cilindro!$B$34))/Presion_cilindro!$B$35)^(Presion_cilindro!$B$17+1)),0))/((Presion_cilindro!O659+Presion_cilindro!O660)/2)</f>
        <v>2.5039587705035</v>
      </c>
      <c r="M668" s="27">
        <f>M667*(Presion_cilindro!O659/Presion_cilindro!O660)^Presion_cilindro!$B$9+10*(Presion_cilindro!$B$9-1)*Presion_cilindro!$B$33*(IF(Presion_cilindro!N660&gt;(-M$4+Presion_cilindro!$B$34),1-EXP(-Presion_cilindro!$B$16*((Presion_cilindro!N660-(-M$4+Presion_cilindro!$B$34))/Presion_cilindro!$B$35)^(Presion_cilindro!$B$17+1)),0)-IF(Presion_cilindro!N659&gt;(-M$4+Presion_cilindro!$B$34),1-EXP(-Presion_cilindro!$B$16*((Presion_cilindro!N659-(-M$4+Presion_cilindro!$B$34))/Presion_cilindro!$B$35)^(Presion_cilindro!$B$17+1)),0))/((Presion_cilindro!O659+Presion_cilindro!O660)/2)</f>
        <v>2.5673254110946733</v>
      </c>
      <c r="N668" s="27">
        <f>N667*(Presion_cilindro!O659/Presion_cilindro!O660)^Presion_cilindro!$B$9+10*(Presion_cilindro!$B$9-1)*Presion_cilindro!$B$33*(IF(Presion_cilindro!N660&gt;(-N$4+Presion_cilindro!$B$34),1-EXP(-Presion_cilindro!$B$16*((Presion_cilindro!N660-(-N$4+Presion_cilindro!$B$34))/Presion_cilindro!$B$35)^(Presion_cilindro!$B$17+1)),0)-IF(Presion_cilindro!N659&gt;(-N$4+Presion_cilindro!$B$34),1-EXP(-Presion_cilindro!$B$16*((Presion_cilindro!N659-(-N$4+Presion_cilindro!$B$34))/Presion_cilindro!$B$35)^(Presion_cilindro!$B$17+1)),0))/((Presion_cilindro!O659+Presion_cilindro!O660)/2)</f>
        <v>2.6414428128153973</v>
      </c>
    </row>
    <row r="669" spans="1:14" x14ac:dyDescent="0.25">
      <c r="A669" s="21">
        <f>Presion_cilindro!N661</f>
        <v>148.5</v>
      </c>
      <c r="B669" s="27">
        <f>B668*(Presion_cilindro!O660/Presion_cilindro!O661)^Presion_cilindro!$B$9+10*(Presion_cilindro!$B$9-1)*Presion_cilindro!$B$33*(IF(Presion_cilindro!N661&gt;(-B$4+Presion_cilindro!$B$34),1-EXP(-Presion_cilindro!$B$16*((Presion_cilindro!N661-(-B$4+Presion_cilindro!$B$34))/Presion_cilindro!$B$35)^(Presion_cilindro!$B$17+1)),0)-IF(Presion_cilindro!N660&gt;(-B$4+Presion_cilindro!$B$34),1-EXP(-Presion_cilindro!$B$16*((Presion_cilindro!N660-(-B$4+Presion_cilindro!$B$34))/Presion_cilindro!$B$35)^(Presion_cilindro!$B$17+1)),0))/((Presion_cilindro!O660+Presion_cilindro!O661)/2)</f>
        <v>2.7716992695772529</v>
      </c>
      <c r="C669" s="27">
        <f>C668*(Presion_cilindro!O660/Presion_cilindro!O661)^Presion_cilindro!$B$9+10*(Presion_cilindro!$B$9-1)*Presion_cilindro!$B$33*(IF(Presion_cilindro!N661&gt;(-C$4+Presion_cilindro!$B$34),1-EXP(-Presion_cilindro!$B$16*((Presion_cilindro!N661-(-C$4+Presion_cilindro!$B$34))/Presion_cilindro!$B$35)^(Presion_cilindro!$B$17+1)),0)-IF(Presion_cilindro!N660&gt;(-C$4+Presion_cilindro!$B$34),1-EXP(-Presion_cilindro!$B$16*((Presion_cilindro!N660-(-C$4+Presion_cilindro!$B$34))/Presion_cilindro!$B$35)^(Presion_cilindro!$B$17+1)),0))/((Presion_cilindro!O660+Presion_cilindro!O661)/2)</f>
        <v>2.6864868076024582</v>
      </c>
      <c r="D669" s="27">
        <f>D668*(Presion_cilindro!O660/Presion_cilindro!O661)^Presion_cilindro!$B$9+10*(Presion_cilindro!$B$9-1)*Presion_cilindro!$B$33*(IF(Presion_cilindro!N661&gt;(-D$4+Presion_cilindro!$B$34),1-EXP(-Presion_cilindro!$B$16*((Presion_cilindro!N661-(-D$4+Presion_cilindro!$B$34))/Presion_cilindro!$B$35)^(Presion_cilindro!$B$17+1)),0)-IF(Presion_cilindro!N660&gt;(-D$4+Presion_cilindro!$B$34),1-EXP(-Presion_cilindro!$B$16*((Presion_cilindro!N660-(-D$4+Presion_cilindro!$B$34))/Presion_cilindro!$B$35)^(Presion_cilindro!$B$17+1)),0))/((Presion_cilindro!O660+Presion_cilindro!O661)/2)</f>
        <v>2.6071238516649702</v>
      </c>
      <c r="E669" s="27">
        <f>E668*(Presion_cilindro!O660/Presion_cilindro!O661)^Presion_cilindro!$B$9+10*(Presion_cilindro!$B$9-1)*Presion_cilindro!$B$33*(IF(Presion_cilindro!N661&gt;(-E$4+Presion_cilindro!$B$34),1-EXP(-Presion_cilindro!$B$16*((Presion_cilindro!N661-(-E$4+Presion_cilindro!$B$34))/Presion_cilindro!$B$35)^(Presion_cilindro!$B$17+1)),0)-IF(Presion_cilindro!N660&gt;(-E$4+Presion_cilindro!$B$34),1-EXP(-Presion_cilindro!$B$16*((Presion_cilindro!N660-(-E$4+Presion_cilindro!$B$34))/Presion_cilindro!$B$35)^(Presion_cilindro!$B$17+1)),0))/((Presion_cilindro!O660+Presion_cilindro!O661)/2)</f>
        <v>2.5365628031261789</v>
      </c>
      <c r="F669" s="27">
        <f>F668*(Presion_cilindro!O660/Presion_cilindro!O661)^Presion_cilindro!$B$9+10*(Presion_cilindro!$B$9-1)*Presion_cilindro!$B$33*(IF(Presion_cilindro!N661&gt;(-F$4+Presion_cilindro!$B$34),1-EXP(-Presion_cilindro!$B$16*((Presion_cilindro!N661-(-F$4+Presion_cilindro!$B$34))/Presion_cilindro!$B$35)^(Presion_cilindro!$B$17+1)),0)-IF(Presion_cilindro!N660&gt;(-F$4+Presion_cilindro!$B$34),1-EXP(-Presion_cilindro!$B$16*((Presion_cilindro!N660-(-F$4+Presion_cilindro!$B$34))/Presion_cilindro!$B$35)^(Presion_cilindro!$B$17+1)),0))/((Presion_cilindro!O660+Presion_cilindro!O661)/2)</f>
        <v>2.4780199575058077</v>
      </c>
      <c r="G669" s="27">
        <f>G668*(Presion_cilindro!O660/Presion_cilindro!O661)^Presion_cilindro!$B$9+10*(Presion_cilindro!$B$9-1)*Presion_cilindro!$B$33*(IF(Presion_cilindro!N661&gt;(-G$4+Presion_cilindro!$B$34),1-EXP(-Presion_cilindro!$B$16*((Presion_cilindro!N661-(-G$4+Presion_cilindro!$B$34))/Presion_cilindro!$B$35)^(Presion_cilindro!$B$17+1)),0)-IF(Presion_cilindro!N660&gt;(-G$4+Presion_cilindro!$B$34),1-EXP(-Presion_cilindro!$B$16*((Presion_cilindro!N660-(-G$4+Presion_cilindro!$B$34))/Presion_cilindro!$B$35)^(Presion_cilindro!$B$17+1)),0))/((Presion_cilindro!O660+Presion_cilindro!O661)/2)</f>
        <v>2.4346403961367198</v>
      </c>
      <c r="H669" s="27">
        <f>H668*(Presion_cilindro!O660/Presion_cilindro!O661)^Presion_cilindro!$B$9+10*(Presion_cilindro!$B$9-1)*Presion_cilindro!$B$33*(IF(Presion_cilindro!N661&gt;(-H$4+Presion_cilindro!$B$34),1-EXP(-Presion_cilindro!$B$16*((Presion_cilindro!N661-(-H$4+Presion_cilindro!$B$34))/Presion_cilindro!$B$35)^(Presion_cilindro!$B$17+1)),0)-IF(Presion_cilindro!N660&gt;(-H$4+Presion_cilindro!$B$34),1-EXP(-Presion_cilindro!$B$16*((Presion_cilindro!N660-(-H$4+Presion_cilindro!$B$34))/Presion_cilindro!$B$35)^(Presion_cilindro!$B$17+1)),0))/((Presion_cilindro!O660+Presion_cilindro!O661)/2)</f>
        <v>2.4090513686933317</v>
      </c>
      <c r="I669" s="27">
        <f>I668*(Presion_cilindro!O660/Presion_cilindro!O661)^Presion_cilindro!$B$9+10*(Presion_cilindro!$B$9-1)*Presion_cilindro!$B$33*(IF(Presion_cilindro!N661&gt;(-I$4+Presion_cilindro!$B$34),1-EXP(-Presion_cilindro!$B$16*((Presion_cilindro!N661-(-I$4+Presion_cilindro!$B$34))/Presion_cilindro!$B$35)^(Presion_cilindro!$B$17+1)),0)-IF(Presion_cilindro!N660&gt;(-I$4+Presion_cilindro!$B$34),1-EXP(-Presion_cilindro!$B$16*((Presion_cilindro!N660-(-I$4+Presion_cilindro!$B$34))/Presion_cilindro!$B$35)^(Presion_cilindro!$B$17+1)),0))/((Presion_cilindro!O660+Presion_cilindro!O661)/2)</f>
        <v>2.4029132748923816</v>
      </c>
      <c r="J669" s="27">
        <f>J668*(Presion_cilindro!O660/Presion_cilindro!O661)^Presion_cilindro!$B$9+10*(Presion_cilindro!$B$9-1)*Presion_cilindro!$B$33*(IF(Presion_cilindro!N661&gt;(-J$4+Presion_cilindro!$B$34),1-EXP(-Presion_cilindro!$B$16*((Presion_cilindro!N661-(-J$4+Presion_cilindro!$B$34))/Presion_cilindro!$B$35)^(Presion_cilindro!$B$17+1)),0)-IF(Presion_cilindro!N660&gt;(-J$4+Presion_cilindro!$B$34),1-EXP(-Presion_cilindro!$B$16*((Presion_cilindro!N660-(-J$4+Presion_cilindro!$B$34))/Presion_cilindro!$B$35)^(Presion_cilindro!$B$17+1)),0))/((Presion_cilindro!O660+Presion_cilindro!O661)/2)</f>
        <v>2.4166084076816472</v>
      </c>
      <c r="K669" s="27">
        <f>K668*(Presion_cilindro!O660/Presion_cilindro!O661)^Presion_cilindro!$B$9+10*(Presion_cilindro!$B$9-1)*Presion_cilindro!$B$33*(IF(Presion_cilindro!N661&gt;(-K$4+Presion_cilindro!$B$34),1-EXP(-Presion_cilindro!$B$16*((Presion_cilindro!N661-(-K$4+Presion_cilindro!$B$34))/Presion_cilindro!$B$35)^(Presion_cilindro!$B$17+1)),0)-IF(Presion_cilindro!N660&gt;(-K$4+Presion_cilindro!$B$34),1-EXP(-Presion_cilindro!$B$16*((Presion_cilindro!N660-(-K$4+Presion_cilindro!$B$34))/Presion_cilindro!$B$35)^(Presion_cilindro!$B$17+1)),0))/((Presion_cilindro!O660+Presion_cilindro!O661)/2)</f>
        <v>2.449174605043356</v>
      </c>
      <c r="L669" s="27">
        <f>L668*(Presion_cilindro!O660/Presion_cilindro!O661)^Presion_cilindro!$B$9+10*(Presion_cilindro!$B$9-1)*Presion_cilindro!$B$33*(IF(Presion_cilindro!N661&gt;(-L$4+Presion_cilindro!$B$34),1-EXP(-Presion_cilindro!$B$16*((Presion_cilindro!N661-(-L$4+Presion_cilindro!$B$34))/Presion_cilindro!$B$35)^(Presion_cilindro!$B$17+1)),0)-IF(Presion_cilindro!N660&gt;(-L$4+Presion_cilindro!$B$34),1-EXP(-Presion_cilindro!$B$16*((Presion_cilindro!N660-(-L$4+Presion_cilindro!$B$34))/Presion_cilindro!$B$35)^(Presion_cilindro!$B$17+1)),0))/((Presion_cilindro!O660+Presion_cilindro!O661)/2)</f>
        <v>2.4985041613445444</v>
      </c>
      <c r="M669" s="27">
        <f>M668*(Presion_cilindro!O660/Presion_cilindro!O661)^Presion_cilindro!$B$9+10*(Presion_cilindro!$B$9-1)*Presion_cilindro!$B$33*(IF(Presion_cilindro!N661&gt;(-M$4+Presion_cilindro!$B$34),1-EXP(-Presion_cilindro!$B$16*((Presion_cilindro!N661-(-M$4+Presion_cilindro!$B$34))/Presion_cilindro!$B$35)^(Presion_cilindro!$B$17+1)),0)-IF(Presion_cilindro!N660&gt;(-M$4+Presion_cilindro!$B$34),1-EXP(-Presion_cilindro!$B$16*((Presion_cilindro!N660-(-M$4+Presion_cilindro!$B$34))/Presion_cilindro!$B$35)^(Presion_cilindro!$B$17+1)),0))/((Presion_cilindro!O660+Presion_cilindro!O661)/2)</f>
        <v>2.5617327644160062</v>
      </c>
      <c r="N669" s="27">
        <f>N668*(Presion_cilindro!O660/Presion_cilindro!O661)^Presion_cilindro!$B$9+10*(Presion_cilindro!$B$9-1)*Presion_cilindro!$B$33*(IF(Presion_cilindro!N661&gt;(-N$4+Presion_cilindro!$B$34),1-EXP(-Presion_cilindro!$B$16*((Presion_cilindro!N661-(-N$4+Presion_cilindro!$B$34))/Presion_cilindro!$B$35)^(Presion_cilindro!$B$17+1)),0)-IF(Presion_cilindro!N660&gt;(-N$4+Presion_cilindro!$B$34),1-EXP(-Presion_cilindro!$B$16*((Presion_cilindro!N660-(-N$4+Presion_cilindro!$B$34))/Presion_cilindro!$B$35)^(Presion_cilindro!$B$17+1)),0))/((Presion_cilindro!O660+Presion_cilindro!O661)/2)</f>
        <v>2.6356887092217733</v>
      </c>
    </row>
    <row r="670" spans="1:14" x14ac:dyDescent="0.25">
      <c r="A670" s="21">
        <f>Presion_cilindro!N662</f>
        <v>149</v>
      </c>
      <c r="B670" s="27">
        <f>B669*(Presion_cilindro!O661/Presion_cilindro!O662)^Presion_cilindro!$B$9+10*(Presion_cilindro!$B$9-1)*Presion_cilindro!$B$33*(IF(Presion_cilindro!N662&gt;(-B$4+Presion_cilindro!$B$34),1-EXP(-Presion_cilindro!$B$16*((Presion_cilindro!N662-(-B$4+Presion_cilindro!$B$34))/Presion_cilindro!$B$35)^(Presion_cilindro!$B$17+1)),0)-IF(Presion_cilindro!N661&gt;(-B$4+Presion_cilindro!$B$34),1-EXP(-Presion_cilindro!$B$16*((Presion_cilindro!N661-(-B$4+Presion_cilindro!$B$34))/Presion_cilindro!$B$35)^(Presion_cilindro!$B$17+1)),0))/((Presion_cilindro!O661+Presion_cilindro!O662)/2)</f>
        <v>2.7657660973452391</v>
      </c>
      <c r="C670" s="27">
        <f>C669*(Presion_cilindro!O661/Presion_cilindro!O662)^Presion_cilindro!$B$9+10*(Presion_cilindro!$B$9-1)*Presion_cilindro!$B$33*(IF(Presion_cilindro!N662&gt;(-C$4+Presion_cilindro!$B$34),1-EXP(-Presion_cilindro!$B$16*((Presion_cilindro!N662-(-C$4+Presion_cilindro!$B$34))/Presion_cilindro!$B$35)^(Presion_cilindro!$B$17+1)),0)-IF(Presion_cilindro!N661&gt;(-C$4+Presion_cilindro!$B$34),1-EXP(-Presion_cilindro!$B$16*((Presion_cilindro!N661-(-C$4+Presion_cilindro!$B$34))/Presion_cilindro!$B$35)^(Presion_cilindro!$B$17+1)),0))/((Presion_cilindro!O661+Presion_cilindro!O662)/2)</f>
        <v>2.6807360434039418</v>
      </c>
      <c r="D670" s="27">
        <f>D669*(Presion_cilindro!O661/Presion_cilindro!O662)^Presion_cilindro!$B$9+10*(Presion_cilindro!$B$9-1)*Presion_cilindro!$B$33*(IF(Presion_cilindro!N662&gt;(-D$4+Presion_cilindro!$B$34),1-EXP(-Presion_cilindro!$B$16*((Presion_cilindro!N662-(-D$4+Presion_cilindro!$B$34))/Presion_cilindro!$B$35)^(Presion_cilindro!$B$17+1)),0)-IF(Presion_cilindro!N661&gt;(-D$4+Presion_cilindro!$B$34),1-EXP(-Presion_cilindro!$B$16*((Presion_cilindro!N661-(-D$4+Presion_cilindro!$B$34))/Presion_cilindro!$B$35)^(Presion_cilindro!$B$17+1)),0))/((Presion_cilindro!O661+Presion_cilindro!O662)/2)</f>
        <v>2.6015429738937397</v>
      </c>
      <c r="E670" s="27">
        <f>E669*(Presion_cilindro!O661/Presion_cilindro!O662)^Presion_cilindro!$B$9+10*(Presion_cilindro!$B$9-1)*Presion_cilindro!$B$33*(IF(Presion_cilindro!N662&gt;(-E$4+Presion_cilindro!$B$34),1-EXP(-Presion_cilindro!$B$16*((Presion_cilindro!N662-(-E$4+Presion_cilindro!$B$34))/Presion_cilindro!$B$35)^(Presion_cilindro!$B$17+1)),0)-IF(Presion_cilindro!N661&gt;(-E$4+Presion_cilindro!$B$34),1-EXP(-Presion_cilindro!$B$16*((Presion_cilindro!N661-(-E$4+Presion_cilindro!$B$34))/Presion_cilindro!$B$35)^(Presion_cilindro!$B$17+1)),0))/((Presion_cilindro!O661+Presion_cilindro!O662)/2)</f>
        <v>2.531132970188148</v>
      </c>
      <c r="F670" s="27">
        <f>F669*(Presion_cilindro!O661/Presion_cilindro!O662)^Presion_cilindro!$B$9+10*(Presion_cilindro!$B$9-1)*Presion_cilindro!$B$33*(IF(Presion_cilindro!N662&gt;(-F$4+Presion_cilindro!$B$34),1-EXP(-Presion_cilindro!$B$16*((Presion_cilindro!N662-(-F$4+Presion_cilindro!$B$34))/Presion_cilindro!$B$35)^(Presion_cilindro!$B$17+1)),0)-IF(Presion_cilindro!N661&gt;(-F$4+Presion_cilindro!$B$34),1-EXP(-Presion_cilindro!$B$16*((Presion_cilindro!N661-(-F$4+Presion_cilindro!$B$34))/Presion_cilindro!$B$35)^(Presion_cilindro!$B$17+1)),0))/((Presion_cilindro!O661+Presion_cilindro!O662)/2)</f>
        <v>2.4727154429202511</v>
      </c>
      <c r="G670" s="27">
        <f>G669*(Presion_cilindro!O661/Presion_cilindro!O662)^Presion_cilindro!$B$9+10*(Presion_cilindro!$B$9-1)*Presion_cilindro!$B$33*(IF(Presion_cilindro!N662&gt;(-G$4+Presion_cilindro!$B$34),1-EXP(-Presion_cilindro!$B$16*((Presion_cilindro!N662-(-G$4+Presion_cilindro!$B$34))/Presion_cilindro!$B$35)^(Presion_cilindro!$B$17+1)),0)-IF(Presion_cilindro!N661&gt;(-G$4+Presion_cilindro!$B$34),1-EXP(-Presion_cilindro!$B$16*((Presion_cilindro!N661-(-G$4+Presion_cilindro!$B$34))/Presion_cilindro!$B$35)^(Presion_cilindro!$B$17+1)),0))/((Presion_cilindro!O661+Presion_cilindro!O662)/2)</f>
        <v>2.4294287409792319</v>
      </c>
      <c r="H670" s="27">
        <f>H669*(Presion_cilindro!O661/Presion_cilindro!O662)^Presion_cilindro!$B$9+10*(Presion_cilindro!$B$9-1)*Presion_cilindro!$B$33*(IF(Presion_cilindro!N662&gt;(-H$4+Presion_cilindro!$B$34),1-EXP(-Presion_cilindro!$B$16*((Presion_cilindro!N662-(-H$4+Presion_cilindro!$B$34))/Presion_cilindro!$B$35)^(Presion_cilindro!$B$17+1)),0)-IF(Presion_cilindro!N661&gt;(-H$4+Presion_cilindro!$B$34),1-EXP(-Presion_cilindro!$B$16*((Presion_cilindro!N661-(-H$4+Presion_cilindro!$B$34))/Presion_cilindro!$B$35)^(Presion_cilindro!$B$17+1)),0))/((Presion_cilindro!O661+Presion_cilindro!O662)/2)</f>
        <v>2.4038944900798715</v>
      </c>
      <c r="I670" s="27">
        <f>I669*(Presion_cilindro!O661/Presion_cilindro!O662)^Presion_cilindro!$B$9+10*(Presion_cilindro!$B$9-1)*Presion_cilindro!$B$33*(IF(Presion_cilindro!N662&gt;(-I$4+Presion_cilindro!$B$34),1-EXP(-Presion_cilindro!$B$16*((Presion_cilindro!N662-(-I$4+Presion_cilindro!$B$34))/Presion_cilindro!$B$35)^(Presion_cilindro!$B$17+1)),0)-IF(Presion_cilindro!N661&gt;(-I$4+Presion_cilindro!$B$34),1-EXP(-Presion_cilindro!$B$16*((Presion_cilindro!N661-(-I$4+Presion_cilindro!$B$34))/Presion_cilindro!$B$35)^(Presion_cilindro!$B$17+1)),0))/((Presion_cilindro!O661+Presion_cilindro!O662)/2)</f>
        <v>2.3977695356436777</v>
      </c>
      <c r="J670" s="27">
        <f>J669*(Presion_cilindro!O661/Presion_cilindro!O662)^Presion_cilindro!$B$9+10*(Presion_cilindro!$B$9-1)*Presion_cilindro!$B$33*(IF(Presion_cilindro!N662&gt;(-J$4+Presion_cilindro!$B$34),1-EXP(-Presion_cilindro!$B$16*((Presion_cilindro!N662-(-J$4+Presion_cilindro!$B$34))/Presion_cilindro!$B$35)^(Presion_cilindro!$B$17+1)),0)-IF(Presion_cilindro!N661&gt;(-J$4+Presion_cilindro!$B$34),1-EXP(-Presion_cilindro!$B$16*((Presion_cilindro!N661-(-J$4+Presion_cilindro!$B$34))/Presion_cilindro!$B$35)^(Presion_cilindro!$B$17+1)),0))/((Presion_cilindro!O661+Presion_cilindro!O662)/2)</f>
        <v>2.4114353522721061</v>
      </c>
      <c r="K670" s="27">
        <f>K669*(Presion_cilindro!O661/Presion_cilindro!O662)^Presion_cilindro!$B$9+10*(Presion_cilindro!$B$9-1)*Presion_cilindro!$B$33*(IF(Presion_cilindro!N662&gt;(-K$4+Presion_cilindro!$B$34),1-EXP(-Presion_cilindro!$B$16*((Presion_cilindro!N662-(-K$4+Presion_cilindro!$B$34))/Presion_cilindro!$B$35)^(Presion_cilindro!$B$17+1)),0)-IF(Presion_cilindro!N661&gt;(-K$4+Presion_cilindro!$B$34),1-EXP(-Presion_cilindro!$B$16*((Presion_cilindro!N661-(-K$4+Presion_cilindro!$B$34))/Presion_cilindro!$B$35)^(Presion_cilindro!$B$17+1)),0))/((Presion_cilindro!O661+Presion_cilindro!O662)/2)</f>
        <v>2.4439318375766628</v>
      </c>
      <c r="L670" s="27">
        <f>L669*(Presion_cilindro!O661/Presion_cilindro!O662)^Presion_cilindro!$B$9+10*(Presion_cilindro!$B$9-1)*Presion_cilindro!$B$33*(IF(Presion_cilindro!N662&gt;(-L$4+Presion_cilindro!$B$34),1-EXP(-Presion_cilindro!$B$16*((Presion_cilindro!N662-(-L$4+Presion_cilindro!$B$34))/Presion_cilindro!$B$35)^(Presion_cilindro!$B$17+1)),0)-IF(Presion_cilindro!N661&gt;(-L$4+Presion_cilindro!$B$34),1-EXP(-Presion_cilindro!$B$16*((Presion_cilindro!N661-(-L$4+Presion_cilindro!$B$34))/Presion_cilindro!$B$35)^(Presion_cilindro!$B$17+1)),0))/((Presion_cilindro!O661+Presion_cilindro!O662)/2)</f>
        <v>2.4931557977344037</v>
      </c>
      <c r="M670" s="27">
        <f>M669*(Presion_cilindro!O661/Presion_cilindro!O662)^Presion_cilindro!$B$9+10*(Presion_cilindro!$B$9-1)*Presion_cilindro!$B$33*(IF(Presion_cilindro!N662&gt;(-M$4+Presion_cilindro!$B$34),1-EXP(-Presion_cilindro!$B$16*((Presion_cilindro!N662-(-M$4+Presion_cilindro!$B$34))/Presion_cilindro!$B$35)^(Presion_cilindro!$B$17+1)),0)-IF(Presion_cilindro!N661&gt;(-M$4+Presion_cilindro!$B$34),1-EXP(-Presion_cilindro!$B$16*((Presion_cilindro!N661-(-M$4+Presion_cilindro!$B$34))/Presion_cilindro!$B$35)^(Presion_cilindro!$B$17+1)),0))/((Presion_cilindro!O661+Presion_cilindro!O662)/2)</f>
        <v>2.556249051997959</v>
      </c>
      <c r="N670" s="27">
        <f>N669*(Presion_cilindro!O661/Presion_cilindro!O662)^Presion_cilindro!$B$9+10*(Presion_cilindro!$B$9-1)*Presion_cilindro!$B$33*(IF(Presion_cilindro!N662&gt;(-N$4+Presion_cilindro!$B$34),1-EXP(-Presion_cilindro!$B$16*((Presion_cilindro!N662-(-N$4+Presion_cilindro!$B$34))/Presion_cilindro!$B$35)^(Presion_cilindro!$B$17+1)),0)-IF(Presion_cilindro!N661&gt;(-N$4+Presion_cilindro!$B$34),1-EXP(-Presion_cilindro!$B$16*((Presion_cilindro!N661-(-N$4+Presion_cilindro!$B$34))/Presion_cilindro!$B$35)^(Presion_cilindro!$B$17+1)),0))/((Presion_cilindro!O661+Presion_cilindro!O662)/2)</f>
        <v>2.6300466847664392</v>
      </c>
    </row>
    <row r="671" spans="1:14" x14ac:dyDescent="0.25">
      <c r="A671" s="21">
        <f>Presion_cilindro!N663</f>
        <v>149.5</v>
      </c>
      <c r="B671" s="27">
        <f>B670*(Presion_cilindro!O662/Presion_cilindro!O663)^Presion_cilindro!$B$9+10*(Presion_cilindro!$B$9-1)*Presion_cilindro!$B$33*(IF(Presion_cilindro!N663&gt;(-B$4+Presion_cilindro!$B$34),1-EXP(-Presion_cilindro!$B$16*((Presion_cilindro!N663-(-B$4+Presion_cilindro!$B$34))/Presion_cilindro!$B$35)^(Presion_cilindro!$B$17+1)),0)-IF(Presion_cilindro!N662&gt;(-B$4+Presion_cilindro!$B$34),1-EXP(-Presion_cilindro!$B$16*((Presion_cilindro!N662-(-B$4+Presion_cilindro!$B$34))/Presion_cilindro!$B$35)^(Presion_cilindro!$B$17+1)),0))/((Presion_cilindro!O662+Presion_cilindro!O663)/2)</f>
        <v>2.7599496233907805</v>
      </c>
      <c r="C671" s="27">
        <f>C670*(Presion_cilindro!O662/Presion_cilindro!O663)^Presion_cilindro!$B$9+10*(Presion_cilindro!$B$9-1)*Presion_cilindro!$B$33*(IF(Presion_cilindro!N663&gt;(-C$4+Presion_cilindro!$B$34),1-EXP(-Presion_cilindro!$B$16*((Presion_cilindro!N663-(-C$4+Presion_cilindro!$B$34))/Presion_cilindro!$B$35)^(Presion_cilindro!$B$17+1)),0)-IF(Presion_cilindro!N662&gt;(-C$4+Presion_cilindro!$B$34),1-EXP(-Presion_cilindro!$B$16*((Presion_cilindro!N662-(-C$4+Presion_cilindro!$B$34))/Presion_cilindro!$B$35)^(Presion_cilindro!$B$17+1)),0))/((Presion_cilindro!O662+Presion_cilindro!O663)/2)</f>
        <v>2.6750983897389395</v>
      </c>
      <c r="D671" s="27">
        <f>D670*(Presion_cilindro!O662/Presion_cilindro!O663)^Presion_cilindro!$B$9+10*(Presion_cilindro!$B$9-1)*Presion_cilindro!$B$33*(IF(Presion_cilindro!N663&gt;(-D$4+Presion_cilindro!$B$34),1-EXP(-Presion_cilindro!$B$16*((Presion_cilindro!N663-(-D$4+Presion_cilindro!$B$34))/Presion_cilindro!$B$35)^(Presion_cilindro!$B$17+1)),0)-IF(Presion_cilindro!N662&gt;(-D$4+Presion_cilindro!$B$34),1-EXP(-Presion_cilindro!$B$16*((Presion_cilindro!N662-(-D$4+Presion_cilindro!$B$34))/Presion_cilindro!$B$35)^(Presion_cilindro!$B$17+1)),0))/((Presion_cilindro!O662+Presion_cilindro!O663)/2)</f>
        <v>2.596071865196738</v>
      </c>
      <c r="E671" s="27">
        <f>E670*(Presion_cilindro!O662/Presion_cilindro!O663)^Presion_cilindro!$B$9+10*(Presion_cilindro!$B$9-1)*Presion_cilindro!$B$33*(IF(Presion_cilindro!N663&gt;(-E$4+Presion_cilindro!$B$34),1-EXP(-Presion_cilindro!$B$16*((Presion_cilindro!N663-(-E$4+Presion_cilindro!$B$34))/Presion_cilindro!$B$35)^(Presion_cilindro!$B$17+1)),0)-IF(Presion_cilindro!N662&gt;(-E$4+Presion_cilindro!$B$34),1-EXP(-Presion_cilindro!$B$16*((Presion_cilindro!N662-(-E$4+Presion_cilindro!$B$34))/Presion_cilindro!$B$35)^(Presion_cilindro!$B$17+1)),0))/((Presion_cilindro!O662+Presion_cilindro!O663)/2)</f>
        <v>2.5258099354562873</v>
      </c>
      <c r="F671" s="27">
        <f>F670*(Presion_cilindro!O662/Presion_cilindro!O663)^Presion_cilindro!$B$9+10*(Presion_cilindro!$B$9-1)*Presion_cilindro!$B$33*(IF(Presion_cilindro!N663&gt;(-F$4+Presion_cilindro!$B$34),1-EXP(-Presion_cilindro!$B$16*((Presion_cilindro!N663-(-F$4+Presion_cilindro!$B$34))/Presion_cilindro!$B$35)^(Presion_cilindro!$B$17+1)),0)-IF(Presion_cilindro!N662&gt;(-F$4+Presion_cilindro!$B$34),1-EXP(-Presion_cilindro!$B$16*((Presion_cilindro!N662-(-F$4+Presion_cilindro!$B$34))/Presion_cilindro!$B$35)^(Presion_cilindro!$B$17+1)),0))/((Presion_cilindro!O662+Presion_cilindro!O663)/2)</f>
        <v>2.4675152616813754</v>
      </c>
      <c r="G671" s="27">
        <f>G670*(Presion_cilindro!O662/Presion_cilindro!O663)^Presion_cilindro!$B$9+10*(Presion_cilindro!$B$9-1)*Presion_cilindro!$B$33*(IF(Presion_cilindro!N663&gt;(-G$4+Presion_cilindro!$B$34),1-EXP(-Presion_cilindro!$B$16*((Presion_cilindro!N663-(-G$4+Presion_cilindro!$B$34))/Presion_cilindro!$B$35)^(Presion_cilindro!$B$17+1)),0)-IF(Presion_cilindro!N662&gt;(-G$4+Presion_cilindro!$B$34),1-EXP(-Presion_cilindro!$B$16*((Presion_cilindro!N662-(-G$4+Presion_cilindro!$B$34))/Presion_cilindro!$B$35)^(Presion_cilindro!$B$17+1)),0))/((Presion_cilindro!O662+Presion_cilindro!O663)/2)</f>
        <v>2.4243195927364782</v>
      </c>
      <c r="H671" s="27">
        <f>H670*(Presion_cilindro!O662/Presion_cilindro!O663)^Presion_cilindro!$B$9+10*(Presion_cilindro!$B$9-1)*Presion_cilindro!$B$33*(IF(Presion_cilindro!N663&gt;(-H$4+Presion_cilindro!$B$34),1-EXP(-Presion_cilindro!$B$16*((Presion_cilindro!N663-(-H$4+Presion_cilindro!$B$34))/Presion_cilindro!$B$35)^(Presion_cilindro!$B$17+1)),0)-IF(Presion_cilindro!N662&gt;(-H$4+Presion_cilindro!$B$34),1-EXP(-Presion_cilindro!$B$16*((Presion_cilindro!N662-(-H$4+Presion_cilindro!$B$34))/Presion_cilindro!$B$35)^(Presion_cilindro!$B$17+1)),0))/((Presion_cilindro!O662+Presion_cilindro!O663)/2)</f>
        <v>2.3988390409931837</v>
      </c>
      <c r="I671" s="27">
        <f>I670*(Presion_cilindro!O662/Presion_cilindro!O663)^Presion_cilindro!$B$9+10*(Presion_cilindro!$B$9-1)*Presion_cilindro!$B$33*(IF(Presion_cilindro!N663&gt;(-I$4+Presion_cilindro!$B$34),1-EXP(-Presion_cilindro!$B$16*((Presion_cilindro!N663-(-I$4+Presion_cilindro!$B$34))/Presion_cilindro!$B$35)^(Presion_cilindro!$B$17+1)),0)-IF(Presion_cilindro!N662&gt;(-I$4+Presion_cilindro!$B$34),1-EXP(-Presion_cilindro!$B$16*((Presion_cilindro!N662-(-I$4+Presion_cilindro!$B$34))/Presion_cilindro!$B$35)^(Presion_cilindro!$B$17+1)),0))/((Presion_cilindro!O662+Presion_cilindro!O663)/2)</f>
        <v>2.3927269674864307</v>
      </c>
      <c r="J671" s="27">
        <f>J670*(Presion_cilindro!O662/Presion_cilindro!O663)^Presion_cilindro!$B$9+10*(Presion_cilindro!$B$9-1)*Presion_cilindro!$B$33*(IF(Presion_cilindro!N663&gt;(-J$4+Presion_cilindro!$B$34),1-EXP(-Presion_cilindro!$B$16*((Presion_cilindro!N663-(-J$4+Presion_cilindro!$B$34))/Presion_cilindro!$B$35)^(Presion_cilindro!$B$17+1)),0)-IF(Presion_cilindro!N662&gt;(-J$4+Presion_cilindro!$B$34),1-EXP(-Presion_cilindro!$B$16*((Presion_cilindro!N662-(-J$4+Presion_cilindro!$B$34))/Presion_cilindro!$B$35)^(Presion_cilindro!$B$17+1)),0))/((Presion_cilindro!O662+Presion_cilindro!O663)/2)</f>
        <v>2.4063640445672303</v>
      </c>
      <c r="K671" s="27">
        <f>K670*(Presion_cilindro!O662/Presion_cilindro!O663)^Presion_cilindro!$B$9+10*(Presion_cilindro!$B$9-1)*Presion_cilindro!$B$33*(IF(Presion_cilindro!N663&gt;(-K$4+Presion_cilindro!$B$34),1-EXP(-Presion_cilindro!$B$16*((Presion_cilindro!N663-(-K$4+Presion_cilindro!$B$34))/Presion_cilindro!$B$35)^(Presion_cilindro!$B$17+1)),0)-IF(Presion_cilindro!N662&gt;(-K$4+Presion_cilindro!$B$34),1-EXP(-Presion_cilindro!$B$16*((Presion_cilindro!N662-(-K$4+Presion_cilindro!$B$34))/Presion_cilindro!$B$35)^(Presion_cilindro!$B$17+1)),0))/((Presion_cilindro!O662+Presion_cilindro!O663)/2)</f>
        <v>2.4387921889659645</v>
      </c>
      <c r="L671" s="27">
        <f>L670*(Presion_cilindro!O662/Presion_cilindro!O663)^Presion_cilindro!$B$9+10*(Presion_cilindro!$B$9-1)*Presion_cilindro!$B$33*(IF(Presion_cilindro!N663&gt;(-L$4+Presion_cilindro!$B$34),1-EXP(-Presion_cilindro!$B$16*((Presion_cilindro!N663-(-L$4+Presion_cilindro!$B$34))/Presion_cilindro!$B$35)^(Presion_cilindro!$B$17+1)),0)-IF(Presion_cilindro!N662&gt;(-L$4+Presion_cilindro!$B$34),1-EXP(-Presion_cilindro!$B$16*((Presion_cilindro!N662-(-L$4+Presion_cilindro!$B$34))/Presion_cilindro!$B$35)^(Presion_cilindro!$B$17+1)),0))/((Presion_cilindro!O662+Presion_cilindro!O663)/2)</f>
        <v>2.4879126299278962</v>
      </c>
      <c r="M671" s="27">
        <f>M670*(Presion_cilindro!O662/Presion_cilindro!O663)^Presion_cilindro!$B$9+10*(Presion_cilindro!$B$9-1)*Presion_cilindro!$B$33*(IF(Presion_cilindro!N663&gt;(-M$4+Presion_cilindro!$B$34),1-EXP(-Presion_cilindro!$B$16*((Presion_cilindro!N663-(-M$4+Presion_cilindro!$B$34))/Presion_cilindro!$B$35)^(Presion_cilindro!$B$17+1)),0)-IF(Presion_cilindro!N662&gt;(-M$4+Presion_cilindro!$B$34),1-EXP(-Presion_cilindro!$B$16*((Presion_cilindro!N662-(-M$4+Presion_cilindro!$B$34))/Presion_cilindro!$B$35)^(Presion_cilindro!$B$17+1)),0))/((Presion_cilindro!O662+Presion_cilindro!O663)/2)</f>
        <v>2.5508731975298868</v>
      </c>
      <c r="N671" s="27">
        <f>N670*(Presion_cilindro!O662/Presion_cilindro!O663)^Presion_cilindro!$B$9+10*(Presion_cilindro!$B$9-1)*Presion_cilindro!$B$33*(IF(Presion_cilindro!N663&gt;(-N$4+Presion_cilindro!$B$34),1-EXP(-Presion_cilindro!$B$16*((Presion_cilindro!N663-(-N$4+Presion_cilindro!$B$34))/Presion_cilindro!$B$35)^(Presion_cilindro!$B$17+1)),0)-IF(Presion_cilindro!N662&gt;(-N$4+Presion_cilindro!$B$34),1-EXP(-Presion_cilindro!$B$16*((Presion_cilindro!N662-(-N$4+Presion_cilindro!$B$34))/Presion_cilindro!$B$35)^(Presion_cilindro!$B$17+1)),0))/((Presion_cilindro!O662+Presion_cilindro!O663)/2)</f>
        <v>2.6245156320661986</v>
      </c>
    </row>
    <row r="672" spans="1:14" x14ac:dyDescent="0.25">
      <c r="A672" s="21">
        <f>Presion_cilindro!N664</f>
        <v>150</v>
      </c>
      <c r="B672" s="27">
        <f>B671*(Presion_cilindro!O663/Presion_cilindro!O664)^Presion_cilindro!$B$9+10*(Presion_cilindro!$B$9-1)*Presion_cilindro!$B$33*(IF(Presion_cilindro!N664&gt;(-B$4+Presion_cilindro!$B$34),1-EXP(-Presion_cilindro!$B$16*((Presion_cilindro!N664-(-B$4+Presion_cilindro!$B$34))/Presion_cilindro!$B$35)^(Presion_cilindro!$B$17+1)),0)-IF(Presion_cilindro!N663&gt;(-B$4+Presion_cilindro!$B$34),1-EXP(-Presion_cilindro!$B$16*((Presion_cilindro!N663-(-B$4+Presion_cilindro!$B$34))/Presion_cilindro!$B$35)^(Presion_cilindro!$B$17+1)),0))/((Presion_cilindro!O663+Presion_cilindro!O664)/2)</f>
        <v>2.7542487093827872</v>
      </c>
      <c r="C672" s="27">
        <f>C671*(Presion_cilindro!O663/Presion_cilindro!O664)^Presion_cilindro!$B$9+10*(Presion_cilindro!$B$9-1)*Presion_cilindro!$B$33*(IF(Presion_cilindro!N664&gt;(-C$4+Presion_cilindro!$B$34),1-EXP(-Presion_cilindro!$B$16*((Presion_cilindro!N664-(-C$4+Presion_cilindro!$B$34))/Presion_cilindro!$B$35)^(Presion_cilindro!$B$17+1)),0)-IF(Presion_cilindro!N663&gt;(-C$4+Presion_cilindro!$B$34),1-EXP(-Presion_cilindro!$B$16*((Presion_cilindro!N663-(-C$4+Presion_cilindro!$B$34))/Presion_cilindro!$B$35)^(Presion_cilindro!$B$17+1)),0))/((Presion_cilindro!O663+Presion_cilindro!O664)/2)</f>
        <v>2.669572743272941</v>
      </c>
      <c r="D672" s="27">
        <f>D671*(Presion_cilindro!O663/Presion_cilindro!O664)^Presion_cilindro!$B$9+10*(Presion_cilindro!$B$9-1)*Presion_cilindro!$B$33*(IF(Presion_cilindro!N664&gt;(-D$4+Presion_cilindro!$B$34),1-EXP(-Presion_cilindro!$B$16*((Presion_cilindro!N664-(-D$4+Presion_cilindro!$B$34))/Presion_cilindro!$B$35)^(Presion_cilindro!$B$17+1)),0)-IF(Presion_cilindro!N663&gt;(-D$4+Presion_cilindro!$B$34),1-EXP(-Presion_cilindro!$B$16*((Presion_cilindro!N663-(-D$4+Presion_cilindro!$B$34))/Presion_cilindro!$B$35)^(Presion_cilindro!$B$17+1)),0))/((Presion_cilindro!O663+Presion_cilindro!O664)/2)</f>
        <v>2.5907094548336551</v>
      </c>
      <c r="E672" s="27">
        <f>E671*(Presion_cilindro!O663/Presion_cilindro!O664)^Presion_cilindro!$B$9+10*(Presion_cilindro!$B$9-1)*Presion_cilindro!$B$33*(IF(Presion_cilindro!N664&gt;(-E$4+Presion_cilindro!$B$34),1-EXP(-Presion_cilindro!$B$16*((Presion_cilindro!N664-(-E$4+Presion_cilindro!$B$34))/Presion_cilindro!$B$35)^(Presion_cilindro!$B$17+1)),0)-IF(Presion_cilindro!N663&gt;(-E$4+Presion_cilindro!$B$34),1-EXP(-Presion_cilindro!$B$16*((Presion_cilindro!N663-(-E$4+Presion_cilindro!$B$34))/Presion_cilindro!$B$35)^(Presion_cilindro!$B$17+1)),0))/((Presion_cilindro!O663+Presion_cilindro!O664)/2)</f>
        <v>2.520592657169562</v>
      </c>
      <c r="F672" s="27">
        <f>F671*(Presion_cilindro!O663/Presion_cilindro!O664)^Presion_cilindro!$B$9+10*(Presion_cilindro!$B$9-1)*Presion_cilindro!$B$33*(IF(Presion_cilindro!N664&gt;(-F$4+Presion_cilindro!$B$34),1-EXP(-Presion_cilindro!$B$16*((Presion_cilindro!N664-(-F$4+Presion_cilindro!$B$34))/Presion_cilindro!$B$35)^(Presion_cilindro!$B$17+1)),0)-IF(Presion_cilindro!N663&gt;(-F$4+Presion_cilindro!$B$34),1-EXP(-Presion_cilindro!$B$16*((Presion_cilindro!N663-(-F$4+Presion_cilindro!$B$34))/Presion_cilindro!$B$35)^(Presion_cilindro!$B$17+1)),0))/((Presion_cilindro!O663+Presion_cilindro!O664)/2)</f>
        <v>2.4624183960715693</v>
      </c>
      <c r="G672" s="27">
        <f>G671*(Presion_cilindro!O663/Presion_cilindro!O664)^Presion_cilindro!$B$9+10*(Presion_cilindro!$B$9-1)*Presion_cilindro!$B$33*(IF(Presion_cilindro!N664&gt;(-G$4+Presion_cilindro!$B$34),1-EXP(-Presion_cilindro!$B$16*((Presion_cilindro!N664-(-G$4+Presion_cilindro!$B$34))/Presion_cilindro!$B$35)^(Presion_cilindro!$B$17+1)),0)-IF(Presion_cilindro!N663&gt;(-G$4+Presion_cilindro!$B$34),1-EXP(-Presion_cilindro!$B$16*((Presion_cilindro!N663-(-G$4+Presion_cilindro!$B$34))/Presion_cilindro!$B$35)^(Presion_cilindro!$B$17+1)),0))/((Presion_cilindro!O663+Presion_cilindro!O664)/2)</f>
        <v>2.4193119515067427</v>
      </c>
      <c r="H672" s="27">
        <f>H671*(Presion_cilindro!O663/Presion_cilindro!O664)^Presion_cilindro!$B$9+10*(Presion_cilindro!$B$9-1)*Presion_cilindro!$B$33*(IF(Presion_cilindro!N664&gt;(-H$4+Presion_cilindro!$B$34),1-EXP(-Presion_cilindro!$B$16*((Presion_cilindro!N664-(-H$4+Presion_cilindro!$B$34))/Presion_cilindro!$B$35)^(Presion_cilindro!$B$17+1)),0)-IF(Presion_cilindro!N663&gt;(-H$4+Presion_cilindro!$B$34),1-EXP(-Presion_cilindro!$B$16*((Presion_cilindro!N663-(-H$4+Presion_cilindro!$B$34))/Presion_cilindro!$B$35)^(Presion_cilindro!$B$17+1)),0))/((Presion_cilindro!O663+Presion_cilindro!O664)/2)</f>
        <v>2.393884032040912</v>
      </c>
      <c r="I672" s="27">
        <f>I671*(Presion_cilindro!O663/Presion_cilindro!O664)^Presion_cilindro!$B$9+10*(Presion_cilindro!$B$9-1)*Presion_cilindro!$B$33*(IF(Presion_cilindro!N664&gt;(-I$4+Presion_cilindro!$B$34),1-EXP(-Presion_cilindro!$B$16*((Presion_cilindro!N664-(-I$4+Presion_cilindro!$B$34))/Presion_cilindro!$B$35)^(Presion_cilindro!$B$17+1)),0)-IF(Presion_cilindro!N663&gt;(-I$4+Presion_cilindro!$B$34),1-EXP(-Presion_cilindro!$B$16*((Presion_cilindro!N663-(-I$4+Presion_cilindro!$B$34))/Presion_cilindro!$B$35)^(Presion_cilindro!$B$17+1)),0))/((Presion_cilindro!O663+Presion_cilindro!O664)/2)</f>
        <v>2.3877845835491875</v>
      </c>
      <c r="J672" s="27">
        <f>J671*(Presion_cilindro!O663/Presion_cilindro!O664)^Presion_cilindro!$B$9+10*(Presion_cilindro!$B$9-1)*Presion_cilindro!$B$33*(IF(Presion_cilindro!N664&gt;(-J$4+Presion_cilindro!$B$34),1-EXP(-Presion_cilindro!$B$16*((Presion_cilindro!N664-(-J$4+Presion_cilindro!$B$34))/Presion_cilindro!$B$35)^(Presion_cilindro!$B$17+1)),0)-IF(Presion_cilindro!N663&gt;(-J$4+Presion_cilindro!$B$34),1-EXP(-Presion_cilindro!$B$16*((Presion_cilindro!N663-(-J$4+Presion_cilindro!$B$34))/Presion_cilindro!$B$35)^(Presion_cilindro!$B$17+1)),0))/((Presion_cilindro!O663+Presion_cilindro!O664)/2)</f>
        <v>2.4013934920710036</v>
      </c>
      <c r="K672" s="27">
        <f>K671*(Presion_cilindro!O663/Presion_cilindro!O664)^Presion_cilindro!$B$9+10*(Presion_cilindro!$B$9-1)*Presion_cilindro!$B$33*(IF(Presion_cilindro!N664&gt;(-K$4+Presion_cilindro!$B$34),1-EXP(-Presion_cilindro!$B$16*((Presion_cilindro!N664-(-K$4+Presion_cilindro!$B$34))/Presion_cilindro!$B$35)^(Presion_cilindro!$B$17+1)),0)-IF(Presion_cilindro!N663&gt;(-K$4+Presion_cilindro!$B$34),1-EXP(-Presion_cilindro!$B$16*((Presion_cilindro!N663-(-K$4+Presion_cilindro!$B$34))/Presion_cilindro!$B$35)^(Presion_cilindro!$B$17+1)),0))/((Presion_cilindro!O663+Presion_cilindro!O664)/2)</f>
        <v>2.433754653340376</v>
      </c>
      <c r="L672" s="27">
        <f>L671*(Presion_cilindro!O663/Presion_cilindro!O664)^Presion_cilindro!$B$9+10*(Presion_cilindro!$B$9-1)*Presion_cilindro!$B$33*(IF(Presion_cilindro!N664&gt;(-L$4+Presion_cilindro!$B$34),1-EXP(-Presion_cilindro!$B$16*((Presion_cilindro!N664-(-L$4+Presion_cilindro!$B$34))/Presion_cilindro!$B$35)^(Presion_cilindro!$B$17+1)),0)-IF(Presion_cilindro!N663&gt;(-L$4+Presion_cilindro!$B$34),1-EXP(-Presion_cilindro!$B$16*((Presion_cilindro!N663-(-L$4+Presion_cilindro!$B$34))/Presion_cilindro!$B$35)^(Presion_cilindro!$B$17+1)),0))/((Presion_cilindro!O663+Presion_cilindro!O664)/2)</f>
        <v>2.4827736317945917</v>
      </c>
      <c r="M672" s="27">
        <f>M671*(Presion_cilindro!O663/Presion_cilindro!O664)^Presion_cilindro!$B$9+10*(Presion_cilindro!$B$9-1)*Presion_cilindro!$B$33*(IF(Presion_cilindro!N664&gt;(-M$4+Presion_cilindro!$B$34),1-EXP(-Presion_cilindro!$B$16*((Presion_cilindro!N664-(-M$4+Presion_cilindro!$B$34))/Presion_cilindro!$B$35)^(Presion_cilindro!$B$17+1)),0)-IF(Presion_cilindro!N663&gt;(-M$4+Presion_cilindro!$B$34),1-EXP(-Presion_cilindro!$B$16*((Presion_cilindro!N663-(-M$4+Presion_cilindro!$B$34))/Presion_cilindro!$B$35)^(Presion_cilindro!$B$17+1)),0))/((Presion_cilindro!O663+Presion_cilindro!O664)/2)</f>
        <v>2.5456041489135042</v>
      </c>
      <c r="N672" s="27">
        <f>N671*(Presion_cilindro!O663/Presion_cilindro!O664)^Presion_cilindro!$B$9+10*(Presion_cilindro!$B$9-1)*Presion_cilindro!$B$33*(IF(Presion_cilindro!N664&gt;(-N$4+Presion_cilindro!$B$34),1-EXP(-Presion_cilindro!$B$16*((Presion_cilindro!N664-(-N$4+Presion_cilindro!$B$34))/Presion_cilindro!$B$35)^(Presion_cilindro!$B$17+1)),0)-IF(Presion_cilindro!N663&gt;(-N$4+Presion_cilindro!$B$34),1-EXP(-Presion_cilindro!$B$16*((Presion_cilindro!N663-(-N$4+Presion_cilindro!$B$34))/Presion_cilindro!$B$35)^(Presion_cilindro!$B$17+1)),0))/((Presion_cilindro!O663+Presion_cilindro!O664)/2)</f>
        <v>2.619094468649215</v>
      </c>
    </row>
    <row r="673" spans="1:14" x14ac:dyDescent="0.25">
      <c r="A673" s="21">
        <f>Presion_cilindro!N665</f>
        <v>150.5</v>
      </c>
      <c r="B673" s="27">
        <f>B672*(Presion_cilindro!O664/Presion_cilindro!O665)^Presion_cilindro!$B$9+10*(Presion_cilindro!$B$9-1)*Presion_cilindro!$B$33*(IF(Presion_cilindro!N665&gt;(-B$4+Presion_cilindro!$B$34),1-EXP(-Presion_cilindro!$B$16*((Presion_cilindro!N665-(-B$4+Presion_cilindro!$B$34))/Presion_cilindro!$B$35)^(Presion_cilindro!$B$17+1)),0)-IF(Presion_cilindro!N664&gt;(-B$4+Presion_cilindro!$B$34),1-EXP(-Presion_cilindro!$B$16*((Presion_cilindro!N664-(-B$4+Presion_cilindro!$B$34))/Presion_cilindro!$B$35)^(Presion_cilindro!$B$17+1)),0))/((Presion_cilindro!O664+Presion_cilindro!O665)/2)</f>
        <v>2.7486622427755285</v>
      </c>
      <c r="C673" s="27">
        <f>C672*(Presion_cilindro!O664/Presion_cilindro!O665)^Presion_cilindro!$B$9+10*(Presion_cilindro!$B$9-1)*Presion_cilindro!$B$33*(IF(Presion_cilindro!N665&gt;(-C$4+Presion_cilindro!$B$34),1-EXP(-Presion_cilindro!$B$16*((Presion_cilindro!N665-(-C$4+Presion_cilindro!$B$34))/Presion_cilindro!$B$35)^(Presion_cilindro!$B$17+1)),0)-IF(Presion_cilindro!N664&gt;(-C$4+Presion_cilindro!$B$34),1-EXP(-Presion_cilindro!$B$16*((Presion_cilindro!N664-(-C$4+Presion_cilindro!$B$34))/Presion_cilindro!$B$35)^(Presion_cilindro!$B$17+1)),0))/((Presion_cilindro!O664+Presion_cilindro!O665)/2)</f>
        <v>2.6641580256640567</v>
      </c>
      <c r="D673" s="27">
        <f>D672*(Presion_cilindro!O664/Presion_cilindro!O665)^Presion_cilindro!$B$9+10*(Presion_cilindro!$B$9-1)*Presion_cilindro!$B$33*(IF(Presion_cilindro!N665&gt;(-D$4+Presion_cilindro!$B$34),1-EXP(-Presion_cilindro!$B$16*((Presion_cilindro!N665-(-D$4+Presion_cilindro!$B$34))/Presion_cilindro!$B$35)^(Presion_cilindro!$B$17+1)),0)-IF(Presion_cilindro!N664&gt;(-D$4+Presion_cilindro!$B$34),1-EXP(-Presion_cilindro!$B$16*((Presion_cilindro!N664-(-D$4+Presion_cilindro!$B$34))/Presion_cilindro!$B$35)^(Presion_cilindro!$B$17+1)),0))/((Presion_cilindro!O664+Presion_cilindro!O665)/2)</f>
        <v>2.5854546963184806</v>
      </c>
      <c r="E673" s="27">
        <f>E672*(Presion_cilindro!O664/Presion_cilindro!O665)^Presion_cilindro!$B$9+10*(Presion_cilindro!$B$9-1)*Presion_cilindro!$B$33*(IF(Presion_cilindro!N665&gt;(-E$4+Presion_cilindro!$B$34),1-EXP(-Presion_cilindro!$B$16*((Presion_cilindro!N665-(-E$4+Presion_cilindro!$B$34))/Presion_cilindro!$B$35)^(Presion_cilindro!$B$17+1)),0)-IF(Presion_cilindro!N664&gt;(-E$4+Presion_cilindro!$B$34),1-EXP(-Presion_cilindro!$B$16*((Presion_cilindro!N664-(-E$4+Presion_cilindro!$B$34))/Presion_cilindro!$B$35)^(Presion_cilindro!$B$17+1)),0))/((Presion_cilindro!O664+Presion_cilindro!O665)/2)</f>
        <v>2.5154801171648016</v>
      </c>
      <c r="F673" s="27">
        <f>F672*(Presion_cilindro!O664/Presion_cilindro!O665)^Presion_cilindro!$B$9+10*(Presion_cilindro!$B$9-1)*Presion_cilindro!$B$33*(IF(Presion_cilindro!N665&gt;(-F$4+Presion_cilindro!$B$34),1-EXP(-Presion_cilindro!$B$16*((Presion_cilindro!N665-(-F$4+Presion_cilindro!$B$34))/Presion_cilindro!$B$35)^(Presion_cilindro!$B$17+1)),0)-IF(Presion_cilindro!N664&gt;(-F$4+Presion_cilindro!$B$34),1-EXP(-Presion_cilindro!$B$16*((Presion_cilindro!N664-(-F$4+Presion_cilindro!$B$34))/Presion_cilindro!$B$35)^(Presion_cilindro!$B$17+1)),0))/((Presion_cilindro!O664+Presion_cilindro!O665)/2)</f>
        <v>2.4574238514264577</v>
      </c>
      <c r="G673" s="27">
        <f>G672*(Presion_cilindro!O664/Presion_cilindro!O665)^Presion_cilindro!$B$9+10*(Presion_cilindro!$B$9-1)*Presion_cilindro!$B$33*(IF(Presion_cilindro!N665&gt;(-G$4+Presion_cilindro!$B$34),1-EXP(-Presion_cilindro!$B$16*((Presion_cilindro!N665-(-G$4+Presion_cilindro!$B$34))/Presion_cilindro!$B$35)^(Presion_cilindro!$B$17+1)),0)-IF(Presion_cilindro!N664&gt;(-G$4+Presion_cilindro!$B$34),1-EXP(-Presion_cilindro!$B$16*((Presion_cilindro!N664-(-G$4+Presion_cilindro!$B$34))/Presion_cilindro!$B$35)^(Presion_cilindro!$B$17+1)),0))/((Presion_cilindro!O664+Presion_cilindro!O665)/2)</f>
        <v>2.4144048400379812</v>
      </c>
      <c r="H673" s="27">
        <f>H672*(Presion_cilindro!O664/Presion_cilindro!O665)^Presion_cilindro!$B$9+10*(Presion_cilindro!$B$9-1)*Presion_cilindro!$B$33*(IF(Presion_cilindro!N665&gt;(-H$4+Presion_cilindro!$B$34),1-EXP(-Presion_cilindro!$B$16*((Presion_cilindro!N665-(-H$4+Presion_cilindro!$B$34))/Presion_cilindro!$B$35)^(Presion_cilindro!$B$17+1)),0)-IF(Presion_cilindro!N664&gt;(-H$4+Presion_cilindro!$B$34),1-EXP(-Presion_cilindro!$B$16*((Presion_cilindro!N664-(-H$4+Presion_cilindro!$B$34))/Presion_cilindro!$B$35)^(Presion_cilindro!$B$17+1)),0))/((Presion_cilindro!O664+Presion_cilindro!O665)/2)</f>
        <v>2.3890284962423154</v>
      </c>
      <c r="I673" s="27">
        <f>I672*(Presion_cilindro!O664/Presion_cilindro!O665)^Presion_cilindro!$B$9+10*(Presion_cilindro!$B$9-1)*Presion_cilindro!$B$33*(IF(Presion_cilindro!N665&gt;(-I$4+Presion_cilindro!$B$34),1-EXP(-Presion_cilindro!$B$16*((Presion_cilindro!N665-(-I$4+Presion_cilindro!$B$34))/Presion_cilindro!$B$35)^(Presion_cilindro!$B$17+1)),0)-IF(Presion_cilindro!N664&gt;(-I$4+Presion_cilindro!$B$34),1-EXP(-Presion_cilindro!$B$16*((Presion_cilindro!N664-(-I$4+Presion_cilindro!$B$34))/Presion_cilindro!$B$35)^(Presion_cilindro!$B$17+1)),0))/((Presion_cilindro!O664+Presion_cilindro!O665)/2)</f>
        <v>2.3829414193150056</v>
      </c>
      <c r="J673" s="27">
        <f>J672*(Presion_cilindro!O664/Presion_cilindro!O665)^Presion_cilindro!$B$9+10*(Presion_cilindro!$B$9-1)*Presion_cilindro!$B$33*(IF(Presion_cilindro!N665&gt;(-J$4+Presion_cilindro!$B$34),1-EXP(-Presion_cilindro!$B$16*((Presion_cilindro!N665-(-J$4+Presion_cilindro!$B$34))/Presion_cilindro!$B$35)^(Presion_cilindro!$B$17+1)),0)-IF(Presion_cilindro!N664&gt;(-J$4+Presion_cilindro!$B$34),1-EXP(-Presion_cilindro!$B$16*((Presion_cilindro!N664-(-J$4+Presion_cilindro!$B$34))/Presion_cilindro!$B$35)^(Presion_cilindro!$B$17+1)),0))/((Presion_cilindro!O664+Presion_cilindro!O665)/2)</f>
        <v>2.3965227247693286</v>
      </c>
      <c r="K673" s="27">
        <f>K672*(Presion_cilindro!O664/Presion_cilindro!O665)^Presion_cilindro!$B$9+10*(Presion_cilindro!$B$9-1)*Presion_cilindro!$B$33*(IF(Presion_cilindro!N665&gt;(-K$4+Presion_cilindro!$B$34),1-EXP(-Presion_cilindro!$B$16*((Presion_cilindro!N665-(-K$4+Presion_cilindro!$B$34))/Presion_cilindro!$B$35)^(Presion_cilindro!$B$17+1)),0)-IF(Presion_cilindro!N664&gt;(-K$4+Presion_cilindro!$B$34),1-EXP(-Presion_cilindro!$B$16*((Presion_cilindro!N664-(-K$4+Presion_cilindro!$B$34))/Presion_cilindro!$B$35)^(Presion_cilindro!$B$17+1)),0))/((Presion_cilindro!O664+Presion_cilindro!O665)/2)</f>
        <v>2.4288182476138962</v>
      </c>
      <c r="L673" s="27">
        <f>L672*(Presion_cilindro!O664/Presion_cilindro!O665)^Presion_cilindro!$B$9+10*(Presion_cilindro!$B$9-1)*Presion_cilindro!$B$33*(IF(Presion_cilindro!N665&gt;(-L$4+Presion_cilindro!$B$34),1-EXP(-Presion_cilindro!$B$16*((Presion_cilindro!N665-(-L$4+Presion_cilindro!$B$34))/Presion_cilindro!$B$35)^(Presion_cilindro!$B$17+1)),0)-IF(Presion_cilindro!N664&gt;(-L$4+Presion_cilindro!$B$34),1-EXP(-Presion_cilindro!$B$16*((Presion_cilindro!N664-(-L$4+Presion_cilindro!$B$34))/Presion_cilindro!$B$35)^(Presion_cilindro!$B$17+1)),0))/((Presion_cilindro!O664+Presion_cilindro!O665)/2)</f>
        <v>2.4777378004478607</v>
      </c>
      <c r="M673" s="27">
        <f>M672*(Presion_cilindro!O664/Presion_cilindro!O665)^Presion_cilindro!$B$9+10*(Presion_cilindro!$B$9-1)*Presion_cilindro!$B$33*(IF(Presion_cilindro!N665&gt;(-M$4+Presion_cilindro!$B$34),1-EXP(-Presion_cilindro!$B$16*((Presion_cilindro!N665-(-M$4+Presion_cilindro!$B$34))/Presion_cilindro!$B$35)^(Presion_cilindro!$B$17+1)),0)-IF(Presion_cilindro!N664&gt;(-M$4+Presion_cilindro!$B$34),1-EXP(-Presion_cilindro!$B$16*((Presion_cilindro!N664-(-M$4+Presion_cilindro!$B$34))/Presion_cilindro!$B$35)^(Presion_cilindro!$B$17+1)),0))/((Presion_cilindro!O664+Presion_cilindro!O665)/2)</f>
        <v>2.5404408778825482</v>
      </c>
      <c r="N673" s="27">
        <f>N672*(Presion_cilindro!O664/Presion_cilindro!O665)^Presion_cilindro!$B$9+10*(Presion_cilindro!$B$9-1)*Presion_cilindro!$B$33*(IF(Presion_cilindro!N665&gt;(-N$4+Presion_cilindro!$B$34),1-EXP(-Presion_cilindro!$B$16*((Presion_cilindro!N665-(-N$4+Presion_cilindro!$B$34))/Presion_cilindro!$B$35)^(Presion_cilindro!$B$17+1)),0)-IF(Presion_cilindro!N664&gt;(-N$4+Presion_cilindro!$B$34),1-EXP(-Presion_cilindro!$B$16*((Presion_cilindro!N664-(-N$4+Presion_cilindro!$B$34))/Presion_cilindro!$B$35)^(Presion_cilindro!$B$17+1)),0))/((Presion_cilindro!O664+Presion_cilindro!O665)/2)</f>
        <v>2.613782136563692</v>
      </c>
    </row>
    <row r="674" spans="1:14" x14ac:dyDescent="0.25">
      <c r="A674" s="21">
        <f>Presion_cilindro!N666</f>
        <v>151</v>
      </c>
      <c r="B674" s="27">
        <f>B673*(Presion_cilindro!O665/Presion_cilindro!O666)^Presion_cilindro!$B$9+10*(Presion_cilindro!$B$9-1)*Presion_cilindro!$B$33*(IF(Presion_cilindro!N666&gt;(-B$4+Presion_cilindro!$B$34),1-EXP(-Presion_cilindro!$B$16*((Presion_cilindro!N666-(-B$4+Presion_cilindro!$B$34))/Presion_cilindro!$B$35)^(Presion_cilindro!$B$17+1)),0)-IF(Presion_cilindro!N665&gt;(-B$4+Presion_cilindro!$B$34),1-EXP(-Presion_cilindro!$B$16*((Presion_cilindro!N665-(-B$4+Presion_cilindro!$B$34))/Presion_cilindro!$B$35)^(Presion_cilindro!$B$17+1)),0))/((Presion_cilindro!O665+Presion_cilindro!O666)/2)</f>
        <v>2.7431891364077754</v>
      </c>
      <c r="C674" s="27">
        <f>C673*(Presion_cilindro!O665/Presion_cilindro!O666)^Presion_cilindro!$B$9+10*(Presion_cilindro!$B$9-1)*Presion_cilindro!$B$33*(IF(Presion_cilindro!N666&gt;(-C$4+Presion_cilindro!$B$34),1-EXP(-Presion_cilindro!$B$16*((Presion_cilindro!N666-(-C$4+Presion_cilindro!$B$34))/Presion_cilindro!$B$35)^(Presion_cilindro!$B$17+1)),0)-IF(Presion_cilindro!N665&gt;(-C$4+Presion_cilindro!$B$34),1-EXP(-Presion_cilindro!$B$16*((Presion_cilindro!N665-(-C$4+Presion_cilindro!$B$34))/Presion_cilindro!$B$35)^(Presion_cilindro!$B$17+1)),0))/((Presion_cilindro!O665+Presion_cilindro!O666)/2)</f>
        <v>2.6588531831744828</v>
      </c>
      <c r="D674" s="27">
        <f>D673*(Presion_cilindro!O665/Presion_cilindro!O666)^Presion_cilindro!$B$9+10*(Presion_cilindro!$B$9-1)*Presion_cilindro!$B$33*(IF(Presion_cilindro!N666&gt;(-D$4+Presion_cilindro!$B$34),1-EXP(-Presion_cilindro!$B$16*((Presion_cilindro!N666-(-D$4+Presion_cilindro!$B$34))/Presion_cilindro!$B$35)^(Presion_cilindro!$B$17+1)),0)-IF(Presion_cilindro!N665&gt;(-D$4+Presion_cilindro!$B$34),1-EXP(-Presion_cilindro!$B$16*((Presion_cilindro!N665-(-D$4+Presion_cilindro!$B$34))/Presion_cilindro!$B$35)^(Presion_cilindro!$B$17+1)),0))/((Presion_cilindro!O665+Presion_cilindro!O666)/2)</f>
        <v>2.5803065670424479</v>
      </c>
      <c r="E674" s="27">
        <f>E673*(Presion_cilindro!O665/Presion_cilindro!O666)^Presion_cilindro!$B$9+10*(Presion_cilindro!$B$9-1)*Presion_cilindro!$B$33*(IF(Presion_cilindro!N666&gt;(-E$4+Presion_cilindro!$B$34),1-EXP(-Presion_cilindro!$B$16*((Presion_cilindro!N666-(-E$4+Presion_cilindro!$B$34))/Presion_cilindro!$B$35)^(Presion_cilindro!$B$17+1)),0)-IF(Presion_cilindro!N665&gt;(-E$4+Presion_cilindro!$B$34),1-EXP(-Presion_cilindro!$B$16*((Presion_cilindro!N665-(-E$4+Presion_cilindro!$B$34))/Presion_cilindro!$B$35)^(Presion_cilindro!$B$17+1)),0))/((Presion_cilindro!O665+Presion_cilindro!O666)/2)</f>
        <v>2.5104713205098479</v>
      </c>
      <c r="F674" s="27">
        <f>F673*(Presion_cilindro!O665/Presion_cilindro!O666)^Presion_cilindro!$B$9+10*(Presion_cilindro!$B$9-1)*Presion_cilindro!$B$33*(IF(Presion_cilindro!N666&gt;(-F$4+Presion_cilindro!$B$34),1-EXP(-Presion_cilindro!$B$16*((Presion_cilindro!N666-(-F$4+Presion_cilindro!$B$34))/Presion_cilindro!$B$35)^(Presion_cilindro!$B$17+1)),0)-IF(Presion_cilindro!N665&gt;(-F$4+Presion_cilindro!$B$34),1-EXP(-Presion_cilindro!$B$16*((Presion_cilindro!N665-(-F$4+Presion_cilindro!$B$34))/Presion_cilindro!$B$35)^(Presion_cilindro!$B$17+1)),0))/((Presion_cilindro!O665+Presion_cilindro!O666)/2)</f>
        <v>2.4525306557765152</v>
      </c>
      <c r="G674" s="27">
        <f>G673*(Presion_cilindro!O665/Presion_cilindro!O666)^Presion_cilindro!$B$9+10*(Presion_cilindro!$B$9-1)*Presion_cilindro!$B$33*(IF(Presion_cilindro!N666&gt;(-G$4+Presion_cilindro!$B$34),1-EXP(-Presion_cilindro!$B$16*((Presion_cilindro!N666-(-G$4+Presion_cilindro!$B$34))/Presion_cilindro!$B$35)^(Presion_cilindro!$B$17+1)),0)-IF(Presion_cilindro!N665&gt;(-G$4+Presion_cilindro!$B$34),1-EXP(-Presion_cilindro!$B$16*((Presion_cilindro!N665-(-G$4+Presion_cilindro!$B$34))/Presion_cilindro!$B$35)^(Presion_cilindro!$B$17+1)),0))/((Presion_cilindro!O665+Presion_cilindro!O666)/2)</f>
        <v>2.4095973033757092</v>
      </c>
      <c r="H674" s="27">
        <f>H673*(Presion_cilindro!O665/Presion_cilindro!O666)^Presion_cilindro!$B$9+10*(Presion_cilindro!$B$9-1)*Presion_cilindro!$B$33*(IF(Presion_cilindro!N666&gt;(-H$4+Presion_cilindro!$B$34),1-EXP(-Presion_cilindro!$B$16*((Presion_cilindro!N666-(-H$4+Presion_cilindro!$B$34))/Presion_cilindro!$B$35)^(Presion_cilindro!$B$17+1)),0)-IF(Presion_cilindro!N665&gt;(-H$4+Presion_cilindro!$B$34),1-EXP(-Presion_cilindro!$B$16*((Presion_cilindro!N665-(-H$4+Presion_cilindro!$B$34))/Presion_cilindro!$B$35)^(Presion_cilindro!$B$17+1)),0))/((Presion_cilindro!O665+Presion_cilindro!O666)/2)</f>
        <v>2.3842714886798566</v>
      </c>
      <c r="I674" s="27">
        <f>I673*(Presion_cilindro!O665/Presion_cilindro!O666)^Presion_cilindro!$B$9+10*(Presion_cilindro!$B$9-1)*Presion_cilindro!$B$33*(IF(Presion_cilindro!N666&gt;(-I$4+Presion_cilindro!$B$34),1-EXP(-Presion_cilindro!$B$16*((Presion_cilindro!N666-(-I$4+Presion_cilindro!$B$34))/Presion_cilindro!$B$35)^(Presion_cilindro!$B$17+1)),0)-IF(Presion_cilindro!N665&gt;(-I$4+Presion_cilindro!$B$34),1-EXP(-Presion_cilindro!$B$16*((Presion_cilindro!N665-(-I$4+Presion_cilindro!$B$34))/Presion_cilindro!$B$35)^(Presion_cilindro!$B$17+1)),0))/((Presion_cilindro!O665+Presion_cilindro!O666)/2)</f>
        <v>2.3781965322739311</v>
      </c>
      <c r="J674" s="27">
        <f>J673*(Presion_cilindro!O665/Presion_cilindro!O666)^Presion_cilindro!$B$9+10*(Presion_cilindro!$B$9-1)*Presion_cilindro!$B$33*(IF(Presion_cilindro!N666&gt;(-J$4+Presion_cilindro!$B$34),1-EXP(-Presion_cilindro!$B$16*((Presion_cilindro!N666-(-J$4+Presion_cilindro!$B$34))/Presion_cilindro!$B$35)^(Presion_cilindro!$B$17+1)),0)-IF(Presion_cilindro!N665&gt;(-J$4+Presion_cilindro!$B$34),1-EXP(-Presion_cilindro!$B$16*((Presion_cilindro!N665-(-J$4+Presion_cilindro!$B$34))/Presion_cilindro!$B$35)^(Presion_cilindro!$B$17+1)),0))/((Presion_cilindro!O665+Presion_cilindro!O666)/2)</f>
        <v>2.3917507947805223</v>
      </c>
      <c r="K674" s="27">
        <f>K673*(Presion_cilindro!O665/Presion_cilindro!O666)^Presion_cilindro!$B$9+10*(Presion_cilindro!$B$9-1)*Presion_cilindro!$B$33*(IF(Presion_cilindro!N666&gt;(-K$4+Presion_cilindro!$B$34),1-EXP(-Presion_cilindro!$B$16*((Presion_cilindro!N666-(-K$4+Presion_cilindro!$B$34))/Presion_cilindro!$B$35)^(Presion_cilindro!$B$17+1)),0)-IF(Presion_cilindro!N665&gt;(-K$4+Presion_cilindro!$B$34),1-EXP(-Presion_cilindro!$B$16*((Presion_cilindro!N665-(-K$4+Presion_cilindro!$B$34))/Presion_cilindro!$B$35)^(Presion_cilindro!$B$17+1)),0))/((Presion_cilindro!O665+Presion_cilindro!O666)/2)</f>
        <v>2.4239820111311965</v>
      </c>
      <c r="L674" s="27">
        <f>L673*(Presion_cilindro!O665/Presion_cilindro!O666)^Presion_cilindro!$B$9+10*(Presion_cilindro!$B$9-1)*Presion_cilindro!$B$33*(IF(Presion_cilindro!N666&gt;(-L$4+Presion_cilindro!$B$34),1-EXP(-Presion_cilindro!$B$16*((Presion_cilindro!N666-(-L$4+Presion_cilindro!$B$34))/Presion_cilindro!$B$35)^(Presion_cilindro!$B$17+1)),0)-IF(Presion_cilindro!N665&gt;(-L$4+Presion_cilindro!$B$34),1-EXP(-Presion_cilindro!$B$16*((Presion_cilindro!N665-(-L$4+Presion_cilindro!$B$34))/Presion_cilindro!$B$35)^(Presion_cilindro!$B$17+1)),0))/((Presion_cilindro!O665+Presion_cilindro!O666)/2)</f>
        <v>2.4728041558835288</v>
      </c>
      <c r="M674" s="27">
        <f>M673*(Presion_cilindro!O665/Presion_cilindro!O666)^Presion_cilindro!$B$9+10*(Presion_cilindro!$B$9-1)*Presion_cilindro!$B$33*(IF(Presion_cilindro!N666&gt;(-M$4+Presion_cilindro!$B$34),1-EXP(-Presion_cilindro!$B$16*((Presion_cilindro!N666-(-M$4+Presion_cilindro!$B$34))/Presion_cilindro!$B$35)^(Presion_cilindro!$B$17+1)),0)-IF(Presion_cilindro!N665&gt;(-M$4+Presion_cilindro!$B$34),1-EXP(-Presion_cilindro!$B$16*((Presion_cilindro!N665-(-M$4+Presion_cilindro!$B$34))/Presion_cilindro!$B$35)^(Presion_cilindro!$B$17+1)),0))/((Presion_cilindro!O665+Presion_cilindro!O666)/2)</f>
        <v>2.5353823796322867</v>
      </c>
      <c r="N674" s="27">
        <f>N673*(Presion_cilindro!O665/Presion_cilindro!O666)^Presion_cilindro!$B$9+10*(Presion_cilindro!$B$9-1)*Presion_cilindro!$B$33*(IF(Presion_cilindro!N666&gt;(-N$4+Presion_cilindro!$B$34),1-EXP(-Presion_cilindro!$B$16*((Presion_cilindro!N666-(-N$4+Presion_cilindro!$B$34))/Presion_cilindro!$B$35)^(Presion_cilindro!$B$17+1)),0)-IF(Presion_cilindro!N665&gt;(-N$4+Presion_cilindro!$B$34),1-EXP(-Presion_cilindro!$B$16*((Presion_cilindro!N665-(-N$4+Presion_cilindro!$B$34))/Presion_cilindro!$B$35)^(Presion_cilindro!$B$17+1)),0))/((Presion_cilindro!O665+Presion_cilindro!O666)/2)</f>
        <v>2.6085776019966871</v>
      </c>
    </row>
    <row r="675" spans="1:14" x14ac:dyDescent="0.25">
      <c r="A675" s="21">
        <f>Presion_cilindro!N667</f>
        <v>151.5</v>
      </c>
      <c r="B675" s="27">
        <f>B674*(Presion_cilindro!O666/Presion_cilindro!O667)^Presion_cilindro!$B$9+10*(Presion_cilindro!$B$9-1)*Presion_cilindro!$B$33*(IF(Presion_cilindro!N667&gt;(-B$4+Presion_cilindro!$B$34),1-EXP(-Presion_cilindro!$B$16*((Presion_cilindro!N667-(-B$4+Presion_cilindro!$B$34))/Presion_cilindro!$B$35)^(Presion_cilindro!$B$17+1)),0)-IF(Presion_cilindro!N666&gt;(-B$4+Presion_cilindro!$B$34),1-EXP(-Presion_cilindro!$B$16*((Presion_cilindro!N666-(-B$4+Presion_cilindro!$B$34))/Presion_cilindro!$B$35)^(Presion_cilindro!$B$17+1)),0))/((Presion_cilindro!O666+Presion_cilindro!O667)/2)</f>
        <v>2.7378283281124025</v>
      </c>
      <c r="C675" s="27">
        <f>C674*(Presion_cilindro!O666/Presion_cilindro!O667)^Presion_cilindro!$B$9+10*(Presion_cilindro!$B$9-1)*Presion_cilindro!$B$33*(IF(Presion_cilindro!N667&gt;(-C$4+Presion_cilindro!$B$34),1-EXP(-Presion_cilindro!$B$16*((Presion_cilindro!N667-(-C$4+Presion_cilindro!$B$34))/Presion_cilindro!$B$35)^(Presion_cilindro!$B$17+1)),0)-IF(Presion_cilindro!N666&gt;(-C$4+Presion_cilindro!$B$34),1-EXP(-Presion_cilindro!$B$16*((Presion_cilindro!N666-(-C$4+Presion_cilindro!$B$34))/Presion_cilindro!$B$35)^(Presion_cilindro!$B$17+1)),0))/((Presion_cilindro!O666+Presion_cilindro!O667)/2)</f>
        <v>2.6536571862921075</v>
      </c>
      <c r="D675" s="27">
        <f>D674*(Presion_cilindro!O666/Presion_cilindro!O667)^Presion_cilindro!$B$9+10*(Presion_cilindro!$B$9-1)*Presion_cilindro!$B$33*(IF(Presion_cilindro!N667&gt;(-D$4+Presion_cilindro!$B$34),1-EXP(-Presion_cilindro!$B$16*((Presion_cilindro!N667-(-D$4+Presion_cilindro!$B$34))/Presion_cilindro!$B$35)^(Presion_cilindro!$B$17+1)),0)-IF(Presion_cilindro!N666&gt;(-D$4+Presion_cilindro!$B$34),1-EXP(-Presion_cilindro!$B$16*((Presion_cilindro!N666-(-D$4+Presion_cilindro!$B$34))/Presion_cilindro!$B$35)^(Presion_cilindro!$B$17+1)),0))/((Presion_cilindro!O666+Presion_cilindro!O667)/2)</f>
        <v>2.5752640679068177</v>
      </c>
      <c r="E675" s="27">
        <f>E674*(Presion_cilindro!O666/Presion_cilindro!O667)^Presion_cilindro!$B$9+10*(Presion_cilindro!$B$9-1)*Presion_cilindro!$B$33*(IF(Presion_cilindro!N667&gt;(-E$4+Presion_cilindro!$B$34),1-EXP(-Presion_cilindro!$B$16*((Presion_cilindro!N667-(-E$4+Presion_cilindro!$B$34))/Presion_cilindro!$B$35)^(Presion_cilindro!$B$17+1)),0)-IF(Presion_cilindro!N666&gt;(-E$4+Presion_cilindro!$B$34),1-EXP(-Presion_cilindro!$B$16*((Presion_cilindro!N666-(-E$4+Presion_cilindro!$B$34))/Presion_cilindro!$B$35)^(Presion_cilindro!$B$17+1)),0))/((Presion_cilindro!O666+Presion_cilindro!O667)/2)</f>
        <v>2.5055652951462783</v>
      </c>
      <c r="F675" s="27">
        <f>F674*(Presion_cilindro!O666/Presion_cilindro!O667)^Presion_cilindro!$B$9+10*(Presion_cilindro!$B$9-1)*Presion_cilindro!$B$33*(IF(Presion_cilindro!N667&gt;(-F$4+Presion_cilindro!$B$34),1-EXP(-Presion_cilindro!$B$16*((Presion_cilindro!N667-(-F$4+Presion_cilindro!$B$34))/Presion_cilindro!$B$35)^(Presion_cilindro!$B$17+1)),0)-IF(Presion_cilindro!N666&gt;(-F$4+Presion_cilindro!$B$34),1-EXP(-Presion_cilindro!$B$16*((Presion_cilindro!N666-(-F$4+Presion_cilindro!$B$34))/Presion_cilindro!$B$35)^(Presion_cilindro!$B$17+1)),0))/((Presion_cilindro!O666+Presion_cilindro!O667)/2)</f>
        <v>2.4477378594980346</v>
      </c>
      <c r="G675" s="27">
        <f>G674*(Presion_cilindro!O666/Presion_cilindro!O667)^Presion_cilindro!$B$9+10*(Presion_cilindro!$B$9-1)*Presion_cilindro!$B$33*(IF(Presion_cilindro!N667&gt;(-G$4+Presion_cilindro!$B$34),1-EXP(-Presion_cilindro!$B$16*((Presion_cilindro!N667-(-G$4+Presion_cilindro!$B$34))/Presion_cilindro!$B$35)^(Presion_cilindro!$B$17+1)),0)-IF(Presion_cilindro!N666&gt;(-G$4+Presion_cilindro!$B$34),1-EXP(-Presion_cilindro!$B$16*((Presion_cilindro!N666-(-G$4+Presion_cilindro!$B$34))/Presion_cilindro!$B$35)^(Presion_cilindro!$B$17+1)),0))/((Presion_cilindro!O666+Presion_cilindro!O667)/2)</f>
        <v>2.4048884085200815</v>
      </c>
      <c r="H675" s="27">
        <f>H674*(Presion_cilindro!O666/Presion_cilindro!O667)^Presion_cilindro!$B$9+10*(Presion_cilindro!$B$9-1)*Presion_cilindro!$B$33*(IF(Presion_cilindro!N667&gt;(-H$4+Presion_cilindro!$B$34),1-EXP(-Presion_cilindro!$B$16*((Presion_cilindro!N667-(-H$4+Presion_cilindro!$B$34))/Presion_cilindro!$B$35)^(Presion_cilindro!$B$17+1)),0)-IF(Presion_cilindro!N666&gt;(-H$4+Presion_cilindro!$B$34),1-EXP(-Presion_cilindro!$B$16*((Presion_cilindro!N666-(-H$4+Presion_cilindro!$B$34))/Presion_cilindro!$B$35)^(Presion_cilindro!$B$17+1)),0))/((Presion_cilindro!O666+Presion_cilindro!O667)/2)</f>
        <v>2.3796120861598853</v>
      </c>
      <c r="I675" s="27">
        <f>I674*(Presion_cilindro!O666/Presion_cilindro!O667)^Presion_cilindro!$B$9+10*(Presion_cilindro!$B$9-1)*Presion_cilindro!$B$33*(IF(Presion_cilindro!N667&gt;(-I$4+Presion_cilindro!$B$34),1-EXP(-Presion_cilindro!$B$16*((Presion_cilindro!N667-(-I$4+Presion_cilindro!$B$34))/Presion_cilindro!$B$35)^(Presion_cilindro!$B$17+1)),0)-IF(Presion_cilindro!N666&gt;(-I$4+Presion_cilindro!$B$34),1-EXP(-Presion_cilindro!$B$16*((Presion_cilindro!N666-(-I$4+Presion_cilindro!$B$34))/Presion_cilindro!$B$35)^(Presion_cilindro!$B$17+1)),0))/((Presion_cilindro!O666+Presion_cilindro!O667)/2)</f>
        <v>2.3735490015845464</v>
      </c>
      <c r="J675" s="27">
        <f>J674*(Presion_cilindro!O666/Presion_cilindro!O667)^Presion_cilindro!$B$9+10*(Presion_cilindro!$B$9-1)*Presion_cilindro!$B$33*(IF(Presion_cilindro!N667&gt;(-J$4+Presion_cilindro!$B$34),1-EXP(-Presion_cilindro!$B$16*((Presion_cilindro!N667-(-J$4+Presion_cilindro!$B$34))/Presion_cilindro!$B$35)^(Presion_cilindro!$B$17+1)),0)-IF(Presion_cilindro!N666&gt;(-J$4+Presion_cilindro!$B$34),1-EXP(-Presion_cilindro!$B$16*((Presion_cilindro!N666-(-J$4+Presion_cilindro!$B$34))/Presion_cilindro!$B$35)^(Presion_cilindro!$B$17+1)),0))/((Presion_cilindro!O666+Presion_cilindro!O667)/2)</f>
        <v>2.3870767760149354</v>
      </c>
      <c r="K675" s="27">
        <f>K674*(Presion_cilindro!O666/Presion_cilindro!O667)^Presion_cilindro!$B$9+10*(Presion_cilindro!$B$9-1)*Presion_cilindro!$B$33*(IF(Presion_cilindro!N667&gt;(-K$4+Presion_cilindro!$B$34),1-EXP(-Presion_cilindro!$B$16*((Presion_cilindro!N667-(-K$4+Presion_cilindro!$B$34))/Presion_cilindro!$B$35)^(Presion_cilindro!$B$17+1)),0)-IF(Presion_cilindro!N666&gt;(-K$4+Presion_cilindro!$B$34),1-EXP(-Presion_cilindro!$B$16*((Presion_cilindro!N666-(-K$4+Presion_cilindro!$B$34))/Presion_cilindro!$B$35)^(Presion_cilindro!$B$17+1)),0))/((Presion_cilindro!O666+Presion_cilindro!O667)/2)</f>
        <v>2.4192450053226495</v>
      </c>
      <c r="L675" s="27">
        <f>L674*(Presion_cilindro!O666/Presion_cilindro!O667)^Presion_cilindro!$B$9+10*(Presion_cilindro!$B$9-1)*Presion_cilindro!$B$33*(IF(Presion_cilindro!N667&gt;(-L$4+Presion_cilindro!$B$34),1-EXP(-Presion_cilindro!$B$16*((Presion_cilindro!N667-(-L$4+Presion_cilindro!$B$34))/Presion_cilindro!$B$35)^(Presion_cilindro!$B$17+1)),0)-IF(Presion_cilindro!N666&gt;(-L$4+Presion_cilindro!$B$34),1-EXP(-Presion_cilindro!$B$16*((Presion_cilindro!N666-(-L$4+Presion_cilindro!$B$34))/Presion_cilindro!$B$35)^(Presion_cilindro!$B$17+1)),0))/((Presion_cilindro!O666+Presion_cilindro!O667)/2)</f>
        <v>2.467971740627958</v>
      </c>
      <c r="M675" s="27">
        <f>M674*(Presion_cilindro!O666/Presion_cilindro!O667)^Presion_cilindro!$B$9+10*(Presion_cilindro!$B$9-1)*Presion_cilindro!$B$33*(IF(Presion_cilindro!N667&gt;(-M$4+Presion_cilindro!$B$34),1-EXP(-Presion_cilindro!$B$16*((Presion_cilindro!N667-(-M$4+Presion_cilindro!$B$34))/Presion_cilindro!$B$35)^(Presion_cilindro!$B$17+1)),0)-IF(Presion_cilindro!N666&gt;(-M$4+Presion_cilindro!$B$34),1-EXP(-Presion_cilindro!$B$16*((Presion_cilindro!N666-(-M$4+Presion_cilindro!$B$34))/Presion_cilindro!$B$35)^(Presion_cilindro!$B$17+1)),0))/((Presion_cilindro!O666+Presion_cilindro!O667)/2)</f>
        <v>2.5304276724586963</v>
      </c>
      <c r="N675" s="27">
        <f>N674*(Presion_cilindro!O666/Presion_cilindro!O667)^Presion_cilindro!$B$9+10*(Presion_cilindro!$B$9-1)*Presion_cilindro!$B$33*(IF(Presion_cilindro!N667&gt;(-N$4+Presion_cilindro!$B$34),1-EXP(-Presion_cilindro!$B$16*((Presion_cilindro!N667-(-N$4+Presion_cilindro!$B$34))/Presion_cilindro!$B$35)^(Presion_cilindro!$B$17+1)),0)-IF(Presion_cilindro!N666&gt;(-N$4+Presion_cilindro!$B$34),1-EXP(-Presion_cilindro!$B$16*((Presion_cilindro!N666-(-N$4+Presion_cilindro!$B$34))/Presion_cilindro!$B$35)^(Presion_cilindro!$B$17+1)),0))/((Presion_cilindro!O666+Presion_cilindro!O667)/2)</f>
        <v>2.6034798549028717</v>
      </c>
    </row>
    <row r="676" spans="1:14" x14ac:dyDescent="0.25">
      <c r="A676" s="21">
        <f>Presion_cilindro!N668</f>
        <v>152</v>
      </c>
      <c r="B676" s="27">
        <f>B675*(Presion_cilindro!O667/Presion_cilindro!O668)^Presion_cilindro!$B$9+10*(Presion_cilindro!$B$9-1)*Presion_cilindro!$B$33*(IF(Presion_cilindro!N668&gt;(-B$4+Presion_cilindro!$B$34),1-EXP(-Presion_cilindro!$B$16*((Presion_cilindro!N668-(-B$4+Presion_cilindro!$B$34))/Presion_cilindro!$B$35)^(Presion_cilindro!$B$17+1)),0)-IF(Presion_cilindro!N667&gt;(-B$4+Presion_cilindro!$B$34),1-EXP(-Presion_cilindro!$B$16*((Presion_cilindro!N667-(-B$4+Presion_cilindro!$B$34))/Presion_cilindro!$B$35)^(Presion_cilindro!$B$17+1)),0))/((Presion_cilindro!O667+Presion_cilindro!O668)/2)</f>
        <v>2.7325787803361803</v>
      </c>
      <c r="C676" s="27">
        <f>C675*(Presion_cilindro!O667/Presion_cilindro!O668)^Presion_cilindro!$B$9+10*(Presion_cilindro!$B$9-1)*Presion_cilindro!$B$33*(IF(Presion_cilindro!N668&gt;(-C$4+Presion_cilindro!$B$34),1-EXP(-Presion_cilindro!$B$16*((Presion_cilindro!N668-(-C$4+Presion_cilindro!$B$34))/Presion_cilindro!$B$35)^(Presion_cilindro!$B$17+1)),0)-IF(Presion_cilindro!N667&gt;(-C$4+Presion_cilindro!$B$34),1-EXP(-Presion_cilindro!$B$16*((Presion_cilindro!N667-(-C$4+Presion_cilindro!$B$34))/Presion_cilindro!$B$35)^(Presion_cilindro!$B$17+1)),0))/((Presion_cilindro!O667+Presion_cilindro!O668)/2)</f>
        <v>2.6485690293619908</v>
      </c>
      <c r="D676" s="27">
        <f>D675*(Presion_cilindro!O667/Presion_cilindro!O668)^Presion_cilindro!$B$9+10*(Presion_cilindro!$B$9-1)*Presion_cilindro!$B$33*(IF(Presion_cilindro!N668&gt;(-D$4+Presion_cilindro!$B$34),1-EXP(-Presion_cilindro!$B$16*((Presion_cilindro!N668-(-D$4+Presion_cilindro!$B$34))/Presion_cilindro!$B$35)^(Presion_cilindro!$B$17+1)),0)-IF(Presion_cilindro!N667&gt;(-D$4+Presion_cilindro!$B$34),1-EXP(-Presion_cilindro!$B$16*((Presion_cilindro!N667-(-D$4+Presion_cilindro!$B$34))/Presion_cilindro!$B$35)^(Presion_cilindro!$B$17+1)),0))/((Presion_cilindro!O667+Presion_cilindro!O668)/2)</f>
        <v>2.570326222965245</v>
      </c>
      <c r="E676" s="27">
        <f>E675*(Presion_cilindro!O667/Presion_cilindro!O668)^Presion_cilindro!$B$9+10*(Presion_cilindro!$B$9-1)*Presion_cilindro!$B$33*(IF(Presion_cilindro!N668&gt;(-E$4+Presion_cilindro!$B$34),1-EXP(-Presion_cilindro!$B$16*((Presion_cilindro!N668-(-E$4+Presion_cilindro!$B$34))/Presion_cilindro!$B$35)^(Presion_cilindro!$B$17+1)),0)-IF(Presion_cilindro!N667&gt;(-E$4+Presion_cilindro!$B$34),1-EXP(-Presion_cilindro!$B$16*((Presion_cilindro!N667-(-E$4+Presion_cilindro!$B$34))/Presion_cilindro!$B$35)^(Presion_cilindro!$B$17+1)),0))/((Presion_cilindro!O667+Presion_cilindro!O668)/2)</f>
        <v>2.5007610915414515</v>
      </c>
      <c r="F676" s="27">
        <f>F675*(Presion_cilindro!O667/Presion_cilindro!O668)^Presion_cilindro!$B$9+10*(Presion_cilindro!$B$9-1)*Presion_cilindro!$B$33*(IF(Presion_cilindro!N668&gt;(-F$4+Presion_cilindro!$B$34),1-EXP(-Presion_cilindro!$B$16*((Presion_cilindro!N668-(-F$4+Presion_cilindro!$B$34))/Presion_cilindro!$B$35)^(Presion_cilindro!$B$17+1)),0)-IF(Presion_cilindro!N667&gt;(-F$4+Presion_cilindro!$B$34),1-EXP(-Presion_cilindro!$B$16*((Presion_cilindro!N667-(-F$4+Presion_cilindro!$B$34))/Presion_cilindro!$B$35)^(Presion_cilindro!$B$17+1)),0))/((Presion_cilindro!O667+Presion_cilindro!O668)/2)</f>
        <v>2.4430445349732053</v>
      </c>
      <c r="G676" s="27">
        <f>G675*(Presion_cilindro!O667/Presion_cilindro!O668)^Presion_cilindro!$B$9+10*(Presion_cilindro!$B$9-1)*Presion_cilindro!$B$33*(IF(Presion_cilindro!N668&gt;(-G$4+Presion_cilindro!$B$34),1-EXP(-Presion_cilindro!$B$16*((Presion_cilindro!N668-(-G$4+Presion_cilindro!$B$34))/Presion_cilindro!$B$35)^(Presion_cilindro!$B$17+1)),0)-IF(Presion_cilindro!N667&gt;(-G$4+Presion_cilindro!$B$34),1-EXP(-Presion_cilindro!$B$16*((Presion_cilindro!N667-(-G$4+Presion_cilindro!$B$34))/Presion_cilindro!$B$35)^(Presion_cilindro!$B$17+1)),0))/((Presion_cilindro!O667+Presion_cilindro!O668)/2)</f>
        <v>2.4002772440919187</v>
      </c>
      <c r="H676" s="27">
        <f>H675*(Presion_cilindro!O667/Presion_cilindro!O668)^Presion_cilindro!$B$9+10*(Presion_cilindro!$B$9-1)*Presion_cilindro!$B$33*(IF(Presion_cilindro!N668&gt;(-H$4+Presion_cilindro!$B$34),1-EXP(-Presion_cilindro!$B$16*((Presion_cilindro!N668-(-H$4+Presion_cilindro!$B$34))/Presion_cilindro!$B$35)^(Presion_cilindro!$B$17+1)),0)-IF(Presion_cilindro!N667&gt;(-H$4+Presion_cilindro!$B$34),1-EXP(-Presion_cilindro!$B$16*((Presion_cilindro!N667-(-H$4+Presion_cilindro!$B$34))/Presion_cilindro!$B$35)^(Presion_cilindro!$B$17+1)),0))/((Presion_cilindro!O667+Presion_cilindro!O668)/2)</f>
        <v>2.3750493868821754</v>
      </c>
      <c r="I676" s="27">
        <f>I675*(Presion_cilindro!O667/Presion_cilindro!O668)^Presion_cilindro!$B$9+10*(Presion_cilindro!$B$9-1)*Presion_cilindro!$B$33*(IF(Presion_cilindro!N668&gt;(-I$4+Presion_cilindro!$B$34),1-EXP(-Presion_cilindro!$B$16*((Presion_cilindro!N668-(-I$4+Presion_cilindro!$B$34))/Presion_cilindro!$B$35)^(Presion_cilindro!$B$17+1)),0)-IF(Presion_cilindro!N667&gt;(-I$4+Presion_cilindro!$B$34),1-EXP(-Presion_cilindro!$B$16*((Presion_cilindro!N667-(-I$4+Presion_cilindro!$B$34))/Presion_cilindro!$B$35)^(Presion_cilindro!$B$17+1)),0))/((Presion_cilindro!O667+Presion_cilindro!O668)/2)</f>
        <v>2.3689979277443496</v>
      </c>
      <c r="J676" s="27">
        <f>J675*(Presion_cilindro!O667/Presion_cilindro!O668)^Presion_cilindro!$B$9+10*(Presion_cilindro!$B$9-1)*Presion_cilindro!$B$33*(IF(Presion_cilindro!N668&gt;(-J$4+Presion_cilindro!$B$34),1-EXP(-Presion_cilindro!$B$16*((Presion_cilindro!N668-(-J$4+Presion_cilindro!$B$34))/Presion_cilindro!$B$35)^(Presion_cilindro!$B$17+1)),0)-IF(Presion_cilindro!N667&gt;(-J$4+Presion_cilindro!$B$34),1-EXP(-Presion_cilindro!$B$16*((Presion_cilindro!N667-(-J$4+Presion_cilindro!$B$34))/Presion_cilindro!$B$35)^(Presion_cilindro!$B$17+1)),0))/((Presion_cilindro!O667+Presion_cilindro!O668)/2)</f>
        <v>2.3824997638434526</v>
      </c>
      <c r="K676" s="27">
        <f>K675*(Presion_cilindro!O667/Presion_cilindro!O668)^Presion_cilindro!$B$9+10*(Presion_cilindro!$B$9-1)*Presion_cilindro!$B$33*(IF(Presion_cilindro!N668&gt;(-K$4+Presion_cilindro!$B$34),1-EXP(-Presion_cilindro!$B$16*((Presion_cilindro!N668-(-K$4+Presion_cilindro!$B$34))/Presion_cilindro!$B$35)^(Presion_cilindro!$B$17+1)),0)-IF(Presion_cilindro!N667&gt;(-K$4+Presion_cilindro!$B$34),1-EXP(-Presion_cilindro!$B$16*((Presion_cilindro!N667-(-K$4+Presion_cilindro!$B$34))/Presion_cilindro!$B$35)^(Presion_cilindro!$B$17+1)),0))/((Presion_cilindro!O667+Presion_cilindro!O668)/2)</f>
        <v>2.4146063133683646</v>
      </c>
      <c r="L676" s="27">
        <f>L675*(Presion_cilindro!O667/Presion_cilindro!O668)^Presion_cilindro!$B$9+10*(Presion_cilindro!$B$9-1)*Presion_cilindro!$B$33*(IF(Presion_cilindro!N668&gt;(-L$4+Presion_cilindro!$B$34),1-EXP(-Presion_cilindro!$B$16*((Presion_cilindro!N668-(-L$4+Presion_cilindro!$B$34))/Presion_cilindro!$B$35)^(Presion_cilindro!$B$17+1)),0)-IF(Presion_cilindro!N667&gt;(-L$4+Presion_cilindro!$B$34),1-EXP(-Presion_cilindro!$B$16*((Presion_cilindro!N667-(-L$4+Presion_cilindro!$B$34))/Presion_cilindro!$B$35)^(Presion_cilindro!$B$17+1)),0))/((Presion_cilindro!O667+Presion_cilindro!O668)/2)</f>
        <v>2.4632396193953148</v>
      </c>
      <c r="M676" s="27">
        <f>M675*(Presion_cilindro!O667/Presion_cilindro!O668)^Presion_cilindro!$B$9+10*(Presion_cilindro!$B$9-1)*Presion_cilindro!$B$33*(IF(Presion_cilindro!N668&gt;(-M$4+Presion_cilindro!$B$34),1-EXP(-Presion_cilindro!$B$16*((Presion_cilindro!N668-(-M$4+Presion_cilindro!$B$34))/Presion_cilindro!$B$35)^(Presion_cilindro!$B$17+1)),0)-IF(Presion_cilindro!N667&gt;(-M$4+Presion_cilindro!$B$34),1-EXP(-Presion_cilindro!$B$16*((Presion_cilindro!N667-(-M$4+Presion_cilindro!$B$34))/Presion_cilindro!$B$35)^(Presion_cilindro!$B$17+1)),0))/((Presion_cilindro!O667+Presion_cilindro!O668)/2)</f>
        <v>2.5255757974070545</v>
      </c>
      <c r="N676" s="27">
        <f>N675*(Presion_cilindro!O667/Presion_cilindro!O668)^Presion_cilindro!$B$9+10*(Presion_cilindro!$B$9-1)*Presion_cilindro!$B$33*(IF(Presion_cilindro!N668&gt;(-N$4+Presion_cilindro!$B$34),1-EXP(-Presion_cilindro!$B$16*((Presion_cilindro!N668-(-N$4+Presion_cilindro!$B$34))/Presion_cilindro!$B$35)^(Presion_cilindro!$B$17+1)),0)-IF(Presion_cilindro!N667&gt;(-N$4+Presion_cilindro!$B$34),1-EXP(-Presion_cilindro!$B$16*((Presion_cilindro!N667-(-N$4+Presion_cilindro!$B$34))/Presion_cilindro!$B$35)^(Presion_cilindro!$B$17+1)),0))/((Presion_cilindro!O667+Presion_cilindro!O668)/2)</f>
        <v>2.5984879086429808</v>
      </c>
    </row>
    <row r="677" spans="1:14" x14ac:dyDescent="0.25">
      <c r="A677" s="21">
        <f>Presion_cilindro!N669</f>
        <v>152.5</v>
      </c>
      <c r="B677" s="27">
        <f>B676*(Presion_cilindro!O668/Presion_cilindro!O669)^Presion_cilindro!$B$9+10*(Presion_cilindro!$B$9-1)*Presion_cilindro!$B$33*(IF(Presion_cilindro!N669&gt;(-B$4+Presion_cilindro!$B$34),1-EXP(-Presion_cilindro!$B$16*((Presion_cilindro!N669-(-B$4+Presion_cilindro!$B$34))/Presion_cilindro!$B$35)^(Presion_cilindro!$B$17+1)),0)-IF(Presion_cilindro!N668&gt;(-B$4+Presion_cilindro!$B$34),1-EXP(-Presion_cilindro!$B$16*((Presion_cilindro!N668-(-B$4+Presion_cilindro!$B$34))/Presion_cilindro!$B$35)^(Presion_cilindro!$B$17+1)),0))/((Presion_cilindro!O668+Presion_cilindro!O669)/2)</f>
        <v>2.727439479769608</v>
      </c>
      <c r="C677" s="27">
        <f>C676*(Presion_cilindro!O668/Presion_cilindro!O669)^Presion_cilindro!$B$9+10*(Presion_cilindro!$B$9-1)*Presion_cilindro!$B$33*(IF(Presion_cilindro!N669&gt;(-C$4+Presion_cilindro!$B$34),1-EXP(-Presion_cilindro!$B$16*((Presion_cilindro!N669-(-C$4+Presion_cilindro!$B$34))/Presion_cilindro!$B$35)^(Presion_cilindro!$B$17+1)),0)-IF(Presion_cilindro!N668&gt;(-C$4+Presion_cilindro!$B$34),1-EXP(-Presion_cilindro!$B$16*((Presion_cilindro!N668-(-C$4+Presion_cilindro!$B$34))/Presion_cilindro!$B$35)^(Presion_cilindro!$B$17+1)),0))/((Presion_cilindro!O668+Presion_cilindro!O669)/2)</f>
        <v>2.6435877302275772</v>
      </c>
      <c r="D677" s="27">
        <f>D676*(Presion_cilindro!O668/Presion_cilindro!O669)^Presion_cilindro!$B$9+10*(Presion_cilindro!$B$9-1)*Presion_cilindro!$B$33*(IF(Presion_cilindro!N669&gt;(-D$4+Presion_cilindro!$B$34),1-EXP(-Presion_cilindro!$B$16*((Presion_cilindro!N669-(-D$4+Presion_cilindro!$B$34))/Presion_cilindro!$B$35)^(Presion_cilindro!$B$17+1)),0)-IF(Presion_cilindro!N668&gt;(-D$4+Presion_cilindro!$B$34),1-EXP(-Presion_cilindro!$B$16*((Presion_cilindro!N668-(-D$4+Presion_cilindro!$B$34))/Presion_cilindro!$B$35)^(Presion_cilindro!$B$17+1)),0))/((Presion_cilindro!O668+Presion_cilindro!O669)/2)</f>
        <v>2.5654920790755908</v>
      </c>
      <c r="E677" s="27">
        <f>E676*(Presion_cilindro!O668/Presion_cilindro!O669)^Presion_cilindro!$B$9+10*(Presion_cilindro!$B$9-1)*Presion_cilindro!$B$33*(IF(Presion_cilindro!N669&gt;(-E$4+Presion_cilindro!$B$34),1-EXP(-Presion_cilindro!$B$16*((Presion_cilindro!N669-(-E$4+Presion_cilindro!$B$34))/Presion_cilindro!$B$35)^(Presion_cilindro!$B$17+1)),0)-IF(Presion_cilindro!N668&gt;(-E$4+Presion_cilindro!$B$34),1-EXP(-Presion_cilindro!$B$16*((Presion_cilindro!N668-(-E$4+Presion_cilindro!$B$34))/Presion_cilindro!$B$35)^(Presion_cilindro!$B$17+1)),0))/((Presion_cilindro!O668+Presion_cilindro!O669)/2)</f>
        <v>2.4960577823497436</v>
      </c>
      <c r="F677" s="27">
        <f>F676*(Presion_cilindro!O668/Presion_cilindro!O669)^Presion_cilindro!$B$9+10*(Presion_cilindro!$B$9-1)*Presion_cilindro!$B$33*(IF(Presion_cilindro!N669&gt;(-F$4+Presion_cilindro!$B$34),1-EXP(-Presion_cilindro!$B$16*((Presion_cilindro!N669-(-F$4+Presion_cilindro!$B$34))/Presion_cilindro!$B$35)^(Presion_cilindro!$B$17+1)),0)-IF(Presion_cilindro!N668&gt;(-F$4+Presion_cilindro!$B$34),1-EXP(-Presion_cilindro!$B$16*((Presion_cilindro!N668-(-F$4+Presion_cilindro!$B$34))/Presion_cilindro!$B$35)^(Presion_cilindro!$B$17+1)),0))/((Presion_cilindro!O668+Presion_cilindro!O669)/2)</f>
        <v>2.4384497762591657</v>
      </c>
      <c r="G677" s="27">
        <f>G676*(Presion_cilindro!O668/Presion_cilindro!O669)^Presion_cilindro!$B$9+10*(Presion_cilindro!$B$9-1)*Presion_cilindro!$B$33*(IF(Presion_cilindro!N669&gt;(-G$4+Presion_cilindro!$B$34),1-EXP(-Presion_cilindro!$B$16*((Presion_cilindro!N669-(-G$4+Presion_cilindro!$B$34))/Presion_cilindro!$B$35)^(Presion_cilindro!$B$17+1)),0)-IF(Presion_cilindro!N668&gt;(-G$4+Presion_cilindro!$B$34),1-EXP(-Presion_cilindro!$B$16*((Presion_cilindro!N668-(-G$4+Presion_cilindro!$B$34))/Presion_cilindro!$B$35)^(Presion_cilindro!$B$17+1)),0))/((Presion_cilindro!O668+Presion_cilindro!O669)/2)</f>
        <v>2.395762920007555</v>
      </c>
      <c r="H677" s="27">
        <f>H676*(Presion_cilindro!O668/Presion_cilindro!O669)^Presion_cilindro!$B$9+10*(Presion_cilindro!$B$9-1)*Presion_cilindro!$B$33*(IF(Presion_cilindro!N669&gt;(-H$4+Presion_cilindro!$B$34),1-EXP(-Presion_cilindro!$B$16*((Presion_cilindro!N669-(-H$4+Presion_cilindro!$B$34))/Presion_cilindro!$B$35)^(Presion_cilindro!$B$17+1)),0)-IF(Presion_cilindro!N668&gt;(-H$4+Presion_cilindro!$B$34),1-EXP(-Presion_cilindro!$B$16*((Presion_cilindro!N668-(-H$4+Presion_cilindro!$B$34))/Presion_cilindro!$B$35)^(Presion_cilindro!$B$17+1)),0))/((Presion_cilindro!O668+Presion_cilindro!O669)/2)</f>
        <v>2.370582510118191</v>
      </c>
      <c r="I677" s="27">
        <f>I676*(Presion_cilindro!O668/Presion_cilindro!O669)^Presion_cilindro!$B$9+10*(Presion_cilindro!$B$9-1)*Presion_cilindro!$B$33*(IF(Presion_cilindro!N669&gt;(-I$4+Presion_cilindro!$B$34),1-EXP(-Presion_cilindro!$B$16*((Presion_cilindro!N669-(-I$4+Presion_cilindro!$B$34))/Presion_cilindro!$B$35)^(Presion_cilindro!$B$17+1)),0)-IF(Presion_cilindro!N668&gt;(-I$4+Presion_cilindro!$B$34),1-EXP(-Presion_cilindro!$B$16*((Presion_cilindro!N668-(-I$4+Presion_cilindro!$B$34))/Presion_cilindro!$B$35)^(Presion_cilindro!$B$17+1)),0))/((Presion_cilindro!O668+Presion_cilindro!O669)/2)</f>
        <v>2.3645424322688386</v>
      </c>
      <c r="J677" s="27">
        <f>J676*(Presion_cilindro!O668/Presion_cilindro!O669)^Presion_cilindro!$B$9+10*(Presion_cilindro!$B$9-1)*Presion_cilindro!$B$33*(IF(Presion_cilindro!N669&gt;(-J$4+Presion_cilindro!$B$34),1-EXP(-Presion_cilindro!$B$16*((Presion_cilindro!N669-(-J$4+Presion_cilindro!$B$34))/Presion_cilindro!$B$35)^(Presion_cilindro!$B$17+1)),0)-IF(Presion_cilindro!N668&gt;(-J$4+Presion_cilindro!$B$34),1-EXP(-Presion_cilindro!$B$16*((Presion_cilindro!N668-(-J$4+Presion_cilindro!$B$34))/Presion_cilindro!$B$35)^(Presion_cilindro!$B$17+1)),0))/((Presion_cilindro!O668+Presion_cilindro!O669)/2)</f>
        <v>2.3780188747747495</v>
      </c>
      <c r="K677" s="27">
        <f>K676*(Presion_cilindro!O668/Presion_cilindro!O669)^Presion_cilindro!$B$9+10*(Presion_cilindro!$B$9-1)*Presion_cilindro!$B$33*(IF(Presion_cilindro!N669&gt;(-K$4+Presion_cilindro!$B$34),1-EXP(-Presion_cilindro!$B$16*((Presion_cilindro!N669-(-K$4+Presion_cilindro!$B$34))/Presion_cilindro!$B$35)^(Presion_cilindro!$B$17+1)),0)-IF(Presion_cilindro!N668&gt;(-K$4+Presion_cilindro!$B$34),1-EXP(-Presion_cilindro!$B$16*((Presion_cilindro!N668-(-K$4+Presion_cilindro!$B$34))/Presion_cilindro!$B$35)^(Presion_cilindro!$B$17+1)),0))/((Presion_cilindro!O668+Presion_cilindro!O669)/2)</f>
        <v>2.4100650398710948</v>
      </c>
      <c r="L677" s="27">
        <f>L676*(Presion_cilindro!O668/Presion_cilindro!O669)^Presion_cilindro!$B$9+10*(Presion_cilindro!$B$9-1)*Presion_cilindro!$B$33*(IF(Presion_cilindro!N669&gt;(-L$4+Presion_cilindro!$B$34),1-EXP(-Presion_cilindro!$B$16*((Presion_cilindro!N669-(-L$4+Presion_cilindro!$B$34))/Presion_cilindro!$B$35)^(Presion_cilindro!$B$17+1)),0)-IF(Presion_cilindro!N668&gt;(-L$4+Presion_cilindro!$B$34),1-EXP(-Presion_cilindro!$B$16*((Presion_cilindro!N668-(-L$4+Presion_cilindro!$B$34))/Presion_cilindro!$B$35)^(Presion_cilindro!$B$17+1)),0))/((Presion_cilindro!O668+Presion_cilindro!O669)/2)</f>
        <v>2.4586068787538888</v>
      </c>
      <c r="M677" s="27">
        <f>M676*(Presion_cilindro!O668/Presion_cilindro!O669)^Presion_cilindro!$B$9+10*(Presion_cilindro!$B$9-1)*Presion_cilindro!$B$33*(IF(Presion_cilindro!N669&gt;(-M$4+Presion_cilindro!$B$34),1-EXP(-Presion_cilindro!$B$16*((Presion_cilindro!N669-(-M$4+Presion_cilindro!$B$34))/Presion_cilindro!$B$35)^(Presion_cilindro!$B$17+1)),0)-IF(Presion_cilindro!N668&gt;(-M$4+Presion_cilindro!$B$34),1-EXP(-Presion_cilindro!$B$16*((Presion_cilindro!N668-(-M$4+Presion_cilindro!$B$34))/Presion_cilindro!$B$35)^(Presion_cilindro!$B$17+1)),0))/((Presion_cilindro!O668+Presion_cilindro!O669)/2)</f>
        <v>2.5208258179298157</v>
      </c>
      <c r="N677" s="27">
        <f>N676*(Presion_cilindro!O668/Presion_cilindro!O669)^Presion_cilindro!$B$9+10*(Presion_cilindro!$B$9-1)*Presion_cilindro!$B$33*(IF(Presion_cilindro!N669&gt;(-N$4+Presion_cilindro!$B$34),1-EXP(-Presion_cilindro!$B$16*((Presion_cilindro!N669-(-N$4+Presion_cilindro!$B$34))/Presion_cilindro!$B$35)^(Presion_cilindro!$B$17+1)),0)-IF(Presion_cilindro!N668&gt;(-N$4+Presion_cilindro!$B$34),1-EXP(-Presion_cilindro!$B$16*((Presion_cilindro!N668-(-N$4+Presion_cilindro!$B$34))/Presion_cilindro!$B$35)^(Presion_cilindro!$B$17+1)),0))/((Presion_cilindro!O668+Presion_cilindro!O669)/2)</f>
        <v>2.5936007996318082</v>
      </c>
    </row>
    <row r="678" spans="1:14" x14ac:dyDescent="0.25">
      <c r="A678" s="21">
        <f>Presion_cilindro!N670</f>
        <v>153</v>
      </c>
      <c r="B678" s="27">
        <f>B677*(Presion_cilindro!O669/Presion_cilindro!O670)^Presion_cilindro!$B$9+10*(Presion_cilindro!$B$9-1)*Presion_cilindro!$B$33*(IF(Presion_cilindro!N670&gt;(-B$4+Presion_cilindro!$B$34),1-EXP(-Presion_cilindro!$B$16*((Presion_cilindro!N670-(-B$4+Presion_cilindro!$B$34))/Presion_cilindro!$B$35)^(Presion_cilindro!$B$17+1)),0)-IF(Presion_cilindro!N669&gt;(-B$4+Presion_cilindro!$B$34),1-EXP(-Presion_cilindro!$B$16*((Presion_cilindro!N669-(-B$4+Presion_cilindro!$B$34))/Presion_cilindro!$B$35)^(Presion_cilindro!$B$17+1)),0))/((Presion_cilindro!O669+Presion_cilindro!O670)/2)</f>
        <v>2.7224094369864988</v>
      </c>
      <c r="C678" s="27">
        <f>C677*(Presion_cilindro!O669/Presion_cilindro!O670)^Presion_cilindro!$B$9+10*(Presion_cilindro!$B$9-1)*Presion_cilindro!$B$33*(IF(Presion_cilindro!N670&gt;(-C$4+Presion_cilindro!$B$34),1-EXP(-Presion_cilindro!$B$16*((Presion_cilindro!N670-(-C$4+Presion_cilindro!$B$34))/Presion_cilindro!$B$35)^(Presion_cilindro!$B$17+1)),0)-IF(Presion_cilindro!N669&gt;(-C$4+Presion_cilindro!$B$34),1-EXP(-Presion_cilindro!$B$16*((Presion_cilindro!N669-(-C$4+Presion_cilindro!$B$34))/Presion_cilindro!$B$35)^(Presion_cilindro!$B$17+1)),0))/((Presion_cilindro!O669+Presion_cilindro!O670)/2)</f>
        <v>2.6387123298813631</v>
      </c>
      <c r="D678" s="27">
        <f>D677*(Presion_cilindro!O669/Presion_cilindro!O670)^Presion_cilindro!$B$9+10*(Presion_cilindro!$B$9-1)*Presion_cilindro!$B$33*(IF(Presion_cilindro!N670&gt;(-D$4+Presion_cilindro!$B$34),1-EXP(-Presion_cilindro!$B$16*((Presion_cilindro!N670-(-D$4+Presion_cilindro!$B$34))/Presion_cilindro!$B$35)^(Presion_cilindro!$B$17+1)),0)-IF(Presion_cilindro!N669&gt;(-D$4+Presion_cilindro!$B$34),1-EXP(-Presion_cilindro!$B$16*((Presion_cilindro!N669-(-D$4+Presion_cilindro!$B$34))/Presion_cilindro!$B$35)^(Presion_cilindro!$B$17+1)),0))/((Presion_cilindro!O669+Presion_cilindro!O670)/2)</f>
        <v>2.5607607055609098</v>
      </c>
      <c r="E678" s="27">
        <f>E677*(Presion_cilindro!O669/Presion_cilindro!O670)^Presion_cilindro!$B$9+10*(Presion_cilindro!$B$9-1)*Presion_cilindro!$B$33*(IF(Presion_cilindro!N670&gt;(-E$4+Presion_cilindro!$B$34),1-EXP(-Presion_cilindro!$B$16*((Presion_cilindro!N670-(-E$4+Presion_cilindro!$B$34))/Presion_cilindro!$B$35)^(Presion_cilindro!$B$17+1)),0)-IF(Presion_cilindro!N669&gt;(-E$4+Presion_cilindro!$B$34),1-EXP(-Presion_cilindro!$B$16*((Presion_cilindro!N669-(-E$4+Presion_cilindro!$B$34))/Presion_cilindro!$B$35)^(Presion_cilindro!$B$17+1)),0))/((Presion_cilindro!O669+Presion_cilindro!O670)/2)</f>
        <v>2.4914544620827099</v>
      </c>
      <c r="F678" s="27">
        <f>F677*(Presion_cilindro!O669/Presion_cilindro!O670)^Presion_cilindro!$B$9+10*(Presion_cilindro!$B$9-1)*Presion_cilindro!$B$33*(IF(Presion_cilindro!N670&gt;(-F$4+Presion_cilindro!$B$34),1-EXP(-Presion_cilindro!$B$16*((Presion_cilindro!N670-(-F$4+Presion_cilindro!$B$34))/Presion_cilindro!$B$35)^(Presion_cilindro!$B$17+1)),0)-IF(Presion_cilindro!N669&gt;(-F$4+Presion_cilindro!$B$34),1-EXP(-Presion_cilindro!$B$16*((Presion_cilindro!N669-(-F$4+Presion_cilindro!$B$34))/Presion_cilindro!$B$35)^(Presion_cilindro!$B$17+1)),0))/((Presion_cilindro!O669+Presion_cilindro!O670)/2)</f>
        <v>2.4339526987657791</v>
      </c>
      <c r="G678" s="27">
        <f>G677*(Presion_cilindro!O669/Presion_cilindro!O670)^Presion_cilindro!$B$9+10*(Presion_cilindro!$B$9-1)*Presion_cilindro!$B$33*(IF(Presion_cilindro!N670&gt;(-G$4+Presion_cilindro!$B$34),1-EXP(-Presion_cilindro!$B$16*((Presion_cilindro!N670-(-G$4+Presion_cilindro!$B$34))/Presion_cilindro!$B$35)^(Presion_cilindro!$B$17+1)),0)-IF(Presion_cilindro!N669&gt;(-G$4+Presion_cilindro!$B$34),1-EXP(-Presion_cilindro!$B$16*((Presion_cilindro!N669-(-G$4+Presion_cilindro!$B$34))/Presion_cilindro!$B$35)^(Presion_cilindro!$B$17+1)),0))/((Presion_cilindro!O669+Presion_cilindro!O670)/2)</f>
        <v>2.3913445671622546</v>
      </c>
      <c r="H678" s="27">
        <f>H677*(Presion_cilindro!O669/Presion_cilindro!O670)^Presion_cilindro!$B$9+10*(Presion_cilindro!$B$9-1)*Presion_cilindro!$B$33*(IF(Presion_cilindro!N670&gt;(-H$4+Presion_cilindro!$B$34),1-EXP(-Presion_cilindro!$B$16*((Presion_cilindro!N670-(-H$4+Presion_cilindro!$B$34))/Presion_cilindro!$B$35)^(Presion_cilindro!$B$17+1)),0)-IF(Presion_cilindro!N669&gt;(-H$4+Presion_cilindro!$B$34),1-EXP(-Presion_cilindro!$B$16*((Presion_cilindro!N669-(-H$4+Presion_cilindro!$B$34))/Presion_cilindro!$B$35)^(Presion_cilindro!$B$17+1)),0))/((Presion_cilindro!O669+Presion_cilindro!O670)/2)</f>
        <v>2.3662105958978281</v>
      </c>
      <c r="I678" s="27">
        <f>I677*(Presion_cilindro!O669/Presion_cilindro!O670)^Presion_cilindro!$B$9+10*(Presion_cilindro!$B$9-1)*Presion_cilindro!$B$33*(IF(Presion_cilindro!N670&gt;(-I$4+Presion_cilindro!$B$34),1-EXP(-Presion_cilindro!$B$16*((Presion_cilindro!N670-(-I$4+Presion_cilindro!$B$34))/Presion_cilindro!$B$35)^(Presion_cilindro!$B$17+1)),0)-IF(Presion_cilindro!N669&gt;(-I$4+Presion_cilindro!$B$34),1-EXP(-Presion_cilindro!$B$16*((Presion_cilindro!N669-(-I$4+Presion_cilindro!$B$34))/Presion_cilindro!$B$35)^(Presion_cilindro!$B$17+1)),0))/((Presion_cilindro!O669+Presion_cilindro!O670)/2)</f>
        <v>2.3601816573790533</v>
      </c>
      <c r="J678" s="27">
        <f>J677*(Presion_cilindro!O669/Presion_cilindro!O670)^Presion_cilindro!$B$9+10*(Presion_cilindro!$B$9-1)*Presion_cilindro!$B$33*(IF(Presion_cilindro!N670&gt;(-J$4+Presion_cilindro!$B$34),1-EXP(-Presion_cilindro!$B$16*((Presion_cilindro!N670-(-J$4+Presion_cilindro!$B$34))/Presion_cilindro!$B$35)^(Presion_cilindro!$B$17+1)),0)-IF(Presion_cilindro!N669&gt;(-J$4+Presion_cilindro!$B$34),1-EXP(-Presion_cilindro!$B$16*((Presion_cilindro!N669-(-J$4+Presion_cilindro!$B$34))/Presion_cilindro!$B$35)^(Presion_cilindro!$B$17+1)),0))/((Presion_cilindro!O669+Presion_cilindro!O670)/2)</f>
        <v>2.373633246141051</v>
      </c>
      <c r="K678" s="27">
        <f>K677*(Presion_cilindro!O669/Presion_cilindro!O670)^Presion_cilindro!$B$9+10*(Presion_cilindro!$B$9-1)*Presion_cilindro!$B$33*(IF(Presion_cilindro!N670&gt;(-K$4+Presion_cilindro!$B$34),1-EXP(-Presion_cilindro!$B$16*((Presion_cilindro!N670-(-K$4+Presion_cilindro!$B$34))/Presion_cilindro!$B$35)^(Presion_cilindro!$B$17+1)),0)-IF(Presion_cilindro!N669&gt;(-K$4+Presion_cilindro!$B$34),1-EXP(-Presion_cilindro!$B$16*((Presion_cilindro!N669-(-K$4+Presion_cilindro!$B$34))/Presion_cilindro!$B$35)^(Presion_cilindro!$B$17+1)),0))/((Presion_cilindro!O669+Presion_cilindro!O670)/2)</f>
        <v>2.4056203105377603</v>
      </c>
      <c r="L678" s="27">
        <f>L677*(Presion_cilindro!O669/Presion_cilindro!O670)^Presion_cilindro!$B$9+10*(Presion_cilindro!$B$9-1)*Presion_cilindro!$B$33*(IF(Presion_cilindro!N670&gt;(-L$4+Presion_cilindro!$B$34),1-EXP(-Presion_cilindro!$B$16*((Presion_cilindro!N670-(-L$4+Presion_cilindro!$B$34))/Presion_cilindro!$B$35)^(Presion_cilindro!$B$17+1)),0)-IF(Presion_cilindro!N669&gt;(-L$4+Presion_cilindro!$B$34),1-EXP(-Presion_cilindro!$B$16*((Presion_cilindro!N669-(-L$4+Presion_cilindro!$B$34))/Presion_cilindro!$B$35)^(Presion_cilindro!$B$17+1)),0))/((Presion_cilindro!O669+Presion_cilindro!O670)/2)</f>
        <v>2.454072626801203</v>
      </c>
      <c r="M678" s="27">
        <f>M677*(Presion_cilindro!O669/Presion_cilindro!O670)^Presion_cilindro!$B$9+10*(Presion_cilindro!$B$9-1)*Presion_cilindro!$B$33*(IF(Presion_cilindro!N670&gt;(-M$4+Presion_cilindro!$B$34),1-EXP(-Presion_cilindro!$B$16*((Presion_cilindro!N670-(-M$4+Presion_cilindro!$B$34))/Presion_cilindro!$B$35)^(Presion_cilindro!$B$17+1)),0)-IF(Presion_cilindro!N669&gt;(-M$4+Presion_cilindro!$B$34),1-EXP(-Presion_cilindro!$B$16*((Presion_cilindro!N669-(-M$4+Presion_cilindro!$B$34))/Presion_cilindro!$B$35)^(Presion_cilindro!$B$17+1)),0))/((Presion_cilindro!O669+Presion_cilindro!O670)/2)</f>
        <v>2.5161768195534986</v>
      </c>
      <c r="N678" s="27">
        <f>N677*(Presion_cilindro!O669/Presion_cilindro!O670)^Presion_cilindro!$B$9+10*(Presion_cilindro!$B$9-1)*Presion_cilindro!$B$33*(IF(Presion_cilindro!N670&gt;(-N$4+Presion_cilindro!$B$34),1-EXP(-Presion_cilindro!$B$16*((Presion_cilindro!N670-(-N$4+Presion_cilindro!$B$34))/Presion_cilindro!$B$35)^(Presion_cilindro!$B$17+1)),0)-IF(Presion_cilindro!N669&gt;(-N$4+Presion_cilindro!$B$34),1-EXP(-Presion_cilindro!$B$16*((Presion_cilindro!N669-(-N$4+Presion_cilindro!$B$34))/Presion_cilindro!$B$35)^(Presion_cilindro!$B$17+1)),0))/((Presion_cilindro!O669+Presion_cilindro!O670)/2)</f>
        <v>2.5888175869954804</v>
      </c>
    </row>
    <row r="679" spans="1:14" x14ac:dyDescent="0.25">
      <c r="A679" s="21">
        <f>Presion_cilindro!N671</f>
        <v>153.5</v>
      </c>
      <c r="B679" s="27">
        <f>B678*(Presion_cilindro!O670/Presion_cilindro!O671)^Presion_cilindro!$B$9+10*(Presion_cilindro!$B$9-1)*Presion_cilindro!$B$33*(IF(Presion_cilindro!N671&gt;(-B$4+Presion_cilindro!$B$34),1-EXP(-Presion_cilindro!$B$16*((Presion_cilindro!N671-(-B$4+Presion_cilindro!$B$34))/Presion_cilindro!$B$35)^(Presion_cilindro!$B$17+1)),0)-IF(Presion_cilindro!N670&gt;(-B$4+Presion_cilindro!$B$34),1-EXP(-Presion_cilindro!$B$16*((Presion_cilindro!N670-(-B$4+Presion_cilindro!$B$34))/Presion_cilindro!$B$35)^(Presion_cilindro!$B$17+1)),0))/((Presion_cilindro!O670+Presion_cilindro!O671)/2)</f>
        <v>2.7174876860931856</v>
      </c>
      <c r="C679" s="27">
        <f>C678*(Presion_cilindro!O670/Presion_cilindro!O671)^Presion_cilindro!$B$9+10*(Presion_cilindro!$B$9-1)*Presion_cilindro!$B$33*(IF(Presion_cilindro!N671&gt;(-C$4+Presion_cilindro!$B$34),1-EXP(-Presion_cilindro!$B$16*((Presion_cilindro!N671-(-C$4+Presion_cilindro!$B$34))/Presion_cilindro!$B$35)^(Presion_cilindro!$B$17+1)),0)-IF(Presion_cilindro!N670&gt;(-C$4+Presion_cilindro!$B$34),1-EXP(-Presion_cilindro!$B$16*((Presion_cilindro!N670-(-C$4+Presion_cilindro!$B$34))/Presion_cilindro!$B$35)^(Presion_cilindro!$B$17+1)),0))/((Presion_cilindro!O670+Presion_cilindro!O671)/2)</f>
        <v>2.6339418921248856</v>
      </c>
      <c r="D679" s="27">
        <f>D678*(Presion_cilindro!O670/Presion_cilindro!O671)^Presion_cilindro!$B$9+10*(Presion_cilindro!$B$9-1)*Presion_cilindro!$B$33*(IF(Presion_cilindro!N671&gt;(-D$4+Presion_cilindro!$B$34),1-EXP(-Presion_cilindro!$B$16*((Presion_cilindro!N671-(-D$4+Presion_cilindro!$B$34))/Presion_cilindro!$B$35)^(Presion_cilindro!$B$17+1)),0)-IF(Presion_cilindro!N670&gt;(-D$4+Presion_cilindro!$B$34),1-EXP(-Presion_cilindro!$B$16*((Presion_cilindro!N670-(-D$4+Presion_cilindro!$B$34))/Presion_cilindro!$B$35)^(Presion_cilindro!$B$17+1)),0))/((Presion_cilindro!O670+Presion_cilindro!O671)/2)</f>
        <v>2.5561311938794828</v>
      </c>
      <c r="E679" s="27">
        <f>E678*(Presion_cilindro!O670/Presion_cilindro!O671)^Presion_cilindro!$B$9+10*(Presion_cilindro!$B$9-1)*Presion_cilindro!$B$33*(IF(Presion_cilindro!N671&gt;(-E$4+Presion_cilindro!$B$34),1-EXP(-Presion_cilindro!$B$16*((Presion_cilindro!N671-(-E$4+Presion_cilindro!$B$34))/Presion_cilindro!$B$35)^(Presion_cilindro!$B$17+1)),0)-IF(Presion_cilindro!N670&gt;(-E$4+Presion_cilindro!$B$34),1-EXP(-Presion_cilindro!$B$16*((Presion_cilindro!N670-(-E$4+Presion_cilindro!$B$34))/Presion_cilindro!$B$35)^(Presion_cilindro!$B$17+1)),0))/((Presion_cilindro!O670+Presion_cilindro!O671)/2)</f>
        <v>2.4869502467880484</v>
      </c>
      <c r="F679" s="27">
        <f>F678*(Presion_cilindro!O670/Presion_cilindro!O671)^Presion_cilindro!$B$9+10*(Presion_cilindro!$B$9-1)*Presion_cilindro!$B$33*(IF(Presion_cilindro!N671&gt;(-F$4+Presion_cilindro!$B$34),1-EXP(-Presion_cilindro!$B$16*((Presion_cilindro!N671-(-F$4+Presion_cilindro!$B$34))/Presion_cilindro!$B$35)^(Presion_cilindro!$B$17+1)),0)-IF(Presion_cilindro!N670&gt;(-F$4+Presion_cilindro!$B$34),1-EXP(-Presion_cilindro!$B$16*((Presion_cilindro!N670-(-F$4+Presion_cilindro!$B$34))/Presion_cilindro!$B$35)^(Presion_cilindro!$B$17+1)),0))/((Presion_cilindro!O670+Presion_cilindro!O671)/2)</f>
        <v>2.429552438942006</v>
      </c>
      <c r="G679" s="27">
        <f>G678*(Presion_cilindro!O670/Presion_cilindro!O671)^Presion_cilindro!$B$9+10*(Presion_cilindro!$B$9-1)*Presion_cilindro!$B$33*(IF(Presion_cilindro!N671&gt;(-G$4+Presion_cilindro!$B$34),1-EXP(-Presion_cilindro!$B$16*((Presion_cilindro!N671-(-G$4+Presion_cilindro!$B$34))/Presion_cilindro!$B$35)^(Presion_cilindro!$B$17+1)),0)-IF(Presion_cilindro!N670&gt;(-G$4+Presion_cilindro!$B$34),1-EXP(-Presion_cilindro!$B$16*((Presion_cilindro!N670-(-G$4+Presion_cilindro!$B$34))/Presion_cilindro!$B$35)^(Presion_cilindro!$B$17+1)),0))/((Presion_cilindro!O670+Presion_cilindro!O671)/2)</f>
        <v>2.3870213371220741</v>
      </c>
      <c r="H679" s="27">
        <f>H678*(Presion_cilindro!O670/Presion_cilindro!O671)^Presion_cilindro!$B$9+10*(Presion_cilindro!$B$9-1)*Presion_cilindro!$B$33*(IF(Presion_cilindro!N671&gt;(-H$4+Presion_cilindro!$B$34),1-EXP(-Presion_cilindro!$B$16*((Presion_cilindro!N671-(-H$4+Presion_cilindro!$B$34))/Presion_cilindro!$B$35)^(Presion_cilindro!$B$17+1)),0)-IF(Presion_cilindro!N670&gt;(-H$4+Presion_cilindro!$B$34),1-EXP(-Presion_cilindro!$B$16*((Presion_cilindro!N670-(-H$4+Presion_cilindro!$B$34))/Presion_cilindro!$B$35)^(Presion_cilindro!$B$17+1)),0))/((Presion_cilindro!O670+Presion_cilindro!O671)/2)</f>
        <v>2.3619328047045172</v>
      </c>
      <c r="I679" s="27">
        <f>I678*(Presion_cilindro!O670/Presion_cilindro!O671)^Presion_cilindro!$B$9+10*(Presion_cilindro!$B$9-1)*Presion_cilindro!$B$33*(IF(Presion_cilindro!N671&gt;(-I$4+Presion_cilindro!$B$34),1-EXP(-Presion_cilindro!$B$16*((Presion_cilindro!N671-(-I$4+Presion_cilindro!$B$34))/Presion_cilindro!$B$35)^(Presion_cilindro!$B$17+1)),0)-IF(Presion_cilindro!N670&gt;(-I$4+Presion_cilindro!$B$34),1-EXP(-Presion_cilindro!$B$16*((Presion_cilindro!N670-(-I$4+Presion_cilindro!$B$34))/Presion_cilindro!$B$35)^(Presion_cilindro!$B$17+1)),0))/((Presion_cilindro!O670+Presion_cilindro!O671)/2)</f>
        <v>2.3559147656974533</v>
      </c>
      <c r="J679" s="27">
        <f>J678*(Presion_cilindro!O670/Presion_cilindro!O671)^Presion_cilindro!$B$9+10*(Presion_cilindro!$B$9-1)*Presion_cilindro!$B$33*(IF(Presion_cilindro!N671&gt;(-J$4+Presion_cilindro!$B$34),1-EXP(-Presion_cilindro!$B$16*((Presion_cilindro!N671-(-J$4+Presion_cilindro!$B$34))/Presion_cilindro!$B$35)^(Presion_cilindro!$B$17+1)),0)-IF(Presion_cilindro!N670&gt;(-J$4+Presion_cilindro!$B$34),1-EXP(-Presion_cilindro!$B$16*((Presion_cilindro!N670-(-J$4+Presion_cilindro!$B$34))/Presion_cilindro!$B$35)^(Presion_cilindro!$B$17+1)),0))/((Presion_cilindro!O670+Presion_cilindro!O671)/2)</f>
        <v>2.3693420357922781</v>
      </c>
      <c r="K679" s="27">
        <f>K678*(Presion_cilindro!O670/Presion_cilindro!O671)^Presion_cilindro!$B$9+10*(Presion_cilindro!$B$9-1)*Presion_cilindro!$B$33*(IF(Presion_cilindro!N671&gt;(-K$4+Presion_cilindro!$B$34),1-EXP(-Presion_cilindro!$B$16*((Presion_cilindro!N671-(-K$4+Presion_cilindro!$B$34))/Presion_cilindro!$B$35)^(Presion_cilindro!$B$17+1)),0)-IF(Presion_cilindro!N670&gt;(-K$4+Presion_cilindro!$B$34),1-EXP(-Presion_cilindro!$B$16*((Presion_cilindro!N670-(-K$4+Presion_cilindro!$B$34))/Presion_cilindro!$B$35)^(Presion_cilindro!$B$17+1)),0))/((Presion_cilindro!O670+Presion_cilindro!O671)/2)</f>
        <v>2.401271271869474</v>
      </c>
      <c r="L679" s="27">
        <f>L678*(Presion_cilindro!O670/Presion_cilindro!O671)^Presion_cilindro!$B$9+10*(Presion_cilindro!$B$9-1)*Presion_cilindro!$B$33*(IF(Presion_cilindro!N671&gt;(-L$4+Presion_cilindro!$B$34),1-EXP(-Presion_cilindro!$B$16*((Presion_cilindro!N671-(-L$4+Presion_cilindro!$B$34))/Presion_cilindro!$B$35)^(Presion_cilindro!$B$17+1)),0)-IF(Presion_cilindro!N670&gt;(-L$4+Presion_cilindro!$B$34),1-EXP(-Presion_cilindro!$B$16*((Presion_cilindro!N670-(-L$4+Presion_cilindro!$B$34))/Presion_cilindro!$B$35)^(Presion_cilindro!$B$17+1)),0))/((Presion_cilindro!O670+Presion_cilindro!O671)/2)</f>
        <v>2.4496359928477944</v>
      </c>
      <c r="M679" s="27">
        <f>M678*(Presion_cilindro!O670/Presion_cilindro!O671)^Presion_cilindro!$B$9+10*(Presion_cilindro!$B$9-1)*Presion_cilindro!$B$33*(IF(Presion_cilindro!N671&gt;(-M$4+Presion_cilindro!$B$34),1-EXP(-Presion_cilindro!$B$16*((Presion_cilindro!N671-(-M$4+Presion_cilindro!$B$34))/Presion_cilindro!$B$35)^(Presion_cilindro!$B$17+1)),0)-IF(Presion_cilindro!N670&gt;(-M$4+Presion_cilindro!$B$34),1-EXP(-Presion_cilindro!$B$16*((Presion_cilindro!N670-(-M$4+Presion_cilindro!$B$34))/Presion_cilindro!$B$35)^(Presion_cilindro!$B$17+1)),0))/((Presion_cilindro!O670+Presion_cilindro!O671)/2)</f>
        <v>2.5116279095544649</v>
      </c>
      <c r="N679" s="27">
        <f>N678*(Presion_cilindro!O670/Presion_cilindro!O671)^Presion_cilindro!$B$9+10*(Presion_cilindro!$B$9-1)*Presion_cilindro!$B$33*(IF(Presion_cilindro!N671&gt;(-N$4+Presion_cilindro!$B$34),1-EXP(-Presion_cilindro!$B$16*((Presion_cilindro!N671-(-N$4+Presion_cilindro!$B$34))/Presion_cilindro!$B$35)^(Presion_cilindro!$B$17+1)),0)-IF(Presion_cilindro!N670&gt;(-N$4+Presion_cilindro!$B$34),1-EXP(-Presion_cilindro!$B$16*((Presion_cilindro!N670-(-N$4+Presion_cilindro!$B$34))/Presion_cilindro!$B$35)^(Presion_cilindro!$B$17+1)),0))/((Presion_cilindro!O670+Presion_cilindro!O671)/2)</f>
        <v>2.5841373522378737</v>
      </c>
    </row>
    <row r="680" spans="1:14" x14ac:dyDescent="0.25">
      <c r="A680" s="21">
        <f>Presion_cilindro!N672</f>
        <v>154</v>
      </c>
      <c r="B680" s="27">
        <f>B679*(Presion_cilindro!O671/Presion_cilindro!O672)^Presion_cilindro!$B$9+10*(Presion_cilindro!$B$9-1)*Presion_cilindro!$B$33*(IF(Presion_cilindro!N672&gt;(-B$4+Presion_cilindro!$B$34),1-EXP(-Presion_cilindro!$B$16*((Presion_cilindro!N672-(-B$4+Presion_cilindro!$B$34))/Presion_cilindro!$B$35)^(Presion_cilindro!$B$17+1)),0)-IF(Presion_cilindro!N671&gt;(-B$4+Presion_cilindro!$B$34),1-EXP(-Presion_cilindro!$B$16*((Presion_cilindro!N671-(-B$4+Presion_cilindro!$B$34))/Presion_cilindro!$B$35)^(Presion_cilindro!$B$17+1)),0))/((Presion_cilindro!O671+Presion_cilindro!O672)/2)</f>
        <v>2.7126732843870927</v>
      </c>
      <c r="C680" s="27">
        <f>C679*(Presion_cilindro!O671/Presion_cilindro!O672)^Presion_cilindro!$B$9+10*(Presion_cilindro!$B$9-1)*Presion_cilindro!$B$33*(IF(Presion_cilindro!N672&gt;(-C$4+Presion_cilindro!$B$34),1-EXP(-Presion_cilindro!$B$16*((Presion_cilindro!N672-(-C$4+Presion_cilindro!$B$34))/Presion_cilindro!$B$35)^(Presion_cilindro!$B$17+1)),0)-IF(Presion_cilindro!N671&gt;(-C$4+Presion_cilindro!$B$34),1-EXP(-Presion_cilindro!$B$16*((Presion_cilindro!N671-(-C$4+Presion_cilindro!$B$34))/Presion_cilindro!$B$35)^(Presion_cilindro!$B$17+1)),0))/((Presion_cilindro!O671+Presion_cilindro!O672)/2)</f>
        <v>2.6292755032377935</v>
      </c>
      <c r="D680" s="27">
        <f>D679*(Presion_cilindro!O671/Presion_cilindro!O672)^Presion_cilindro!$B$9+10*(Presion_cilindro!$B$9-1)*Presion_cilindro!$B$33*(IF(Presion_cilindro!N672&gt;(-D$4+Presion_cilindro!$B$34),1-EXP(-Presion_cilindro!$B$16*((Presion_cilindro!N672-(-D$4+Presion_cilindro!$B$34))/Presion_cilindro!$B$35)^(Presion_cilindro!$B$17+1)),0)-IF(Presion_cilindro!N671&gt;(-D$4+Presion_cilindro!$B$34),1-EXP(-Presion_cilindro!$B$16*((Presion_cilindro!N671-(-D$4+Presion_cilindro!$B$34))/Presion_cilindro!$B$35)^(Presion_cilindro!$B$17+1)),0))/((Presion_cilindro!O671+Presion_cilindro!O672)/2)</f>
        <v>2.5516026573036639</v>
      </c>
      <c r="E680" s="27">
        <f>E679*(Presion_cilindro!O671/Presion_cilindro!O672)^Presion_cilindro!$B$9+10*(Presion_cilindro!$B$9-1)*Presion_cilindro!$B$33*(IF(Presion_cilindro!N672&gt;(-E$4+Presion_cilindro!$B$34),1-EXP(-Presion_cilindro!$B$16*((Presion_cilindro!N672-(-E$4+Presion_cilindro!$B$34))/Presion_cilindro!$B$35)^(Presion_cilindro!$B$17+1)),0)-IF(Presion_cilindro!N671&gt;(-E$4+Presion_cilindro!$B$34),1-EXP(-Presion_cilindro!$B$16*((Presion_cilindro!N671-(-E$4+Presion_cilindro!$B$34))/Presion_cilindro!$B$35)^(Presion_cilindro!$B$17+1)),0))/((Presion_cilindro!O671+Presion_cilindro!O672)/2)</f>
        <v>2.482544273737139</v>
      </c>
      <c r="F680" s="27">
        <f>F679*(Presion_cilindro!O671/Presion_cilindro!O672)^Presion_cilindro!$B$9+10*(Presion_cilindro!$B$9-1)*Presion_cilindro!$B$33*(IF(Presion_cilindro!N672&gt;(-F$4+Presion_cilindro!$B$34),1-EXP(-Presion_cilindro!$B$16*((Presion_cilindro!N672-(-F$4+Presion_cilindro!$B$34))/Presion_cilindro!$B$35)^(Presion_cilindro!$B$17+1)),0)-IF(Presion_cilindro!N671&gt;(-F$4+Presion_cilindro!$B$34),1-EXP(-Presion_cilindro!$B$16*((Presion_cilindro!N671-(-F$4+Presion_cilindro!$B$34))/Presion_cilindro!$B$35)^(Presion_cilindro!$B$17+1)),0))/((Presion_cilindro!O671+Presion_cilindro!O672)/2)</f>
        <v>2.4252481539706543</v>
      </c>
      <c r="G680" s="27">
        <f>G679*(Presion_cilindro!O671/Presion_cilindro!O672)^Presion_cilindro!$B$9+10*(Presion_cilindro!$B$9-1)*Presion_cilindro!$B$33*(IF(Presion_cilindro!N672&gt;(-G$4+Presion_cilindro!$B$34),1-EXP(-Presion_cilindro!$B$16*((Presion_cilindro!N672-(-G$4+Presion_cilindro!$B$34))/Presion_cilindro!$B$35)^(Presion_cilindro!$B$17+1)),0)-IF(Presion_cilindro!N671&gt;(-G$4+Presion_cilindro!$B$34),1-EXP(-Presion_cilindro!$B$16*((Presion_cilindro!N671-(-G$4+Presion_cilindro!$B$34))/Presion_cilindro!$B$35)^(Presion_cilindro!$B$17+1)),0))/((Presion_cilindro!O671+Presion_cilindro!O672)/2)</f>
        <v>2.3827924018239561</v>
      </c>
      <c r="H680" s="27">
        <f>H679*(Presion_cilindro!O671/Presion_cilindro!O672)^Presion_cilindro!$B$9+10*(Presion_cilindro!$B$9-1)*Presion_cilindro!$B$33*(IF(Presion_cilindro!N672&gt;(-H$4+Presion_cilindro!$B$34),1-EXP(-Presion_cilindro!$B$16*((Presion_cilindro!N672-(-H$4+Presion_cilindro!$B$34))/Presion_cilindro!$B$35)^(Presion_cilindro!$B$17+1)),0)-IF(Presion_cilindro!N671&gt;(-H$4+Presion_cilindro!$B$34),1-EXP(-Presion_cilindro!$B$16*((Presion_cilindro!N671-(-H$4+Presion_cilindro!$B$34))/Presion_cilindro!$B$35)^(Presion_cilindro!$B$17+1)),0))/((Presion_cilindro!O671+Presion_cilindro!O672)/2)</f>
        <v>2.3577483171784692</v>
      </c>
      <c r="I680" s="27">
        <f>I679*(Presion_cilindro!O671/Presion_cilindro!O672)^Presion_cilindro!$B$9+10*(Presion_cilindro!$B$9-1)*Presion_cilindro!$B$33*(IF(Presion_cilindro!N672&gt;(-I$4+Presion_cilindro!$B$34),1-EXP(-Presion_cilindro!$B$16*((Presion_cilindro!N672-(-I$4+Presion_cilindro!$B$34))/Presion_cilindro!$B$35)^(Presion_cilindro!$B$17+1)),0)-IF(Presion_cilindro!N671&gt;(-I$4+Presion_cilindro!$B$34),1-EXP(-Presion_cilindro!$B$16*((Presion_cilindro!N671-(-I$4+Presion_cilindro!$B$34))/Presion_cilindro!$B$35)^(Presion_cilindro!$B$17+1)),0))/((Presion_cilindro!O671+Presion_cilindro!O672)/2)</f>
        <v>2.3517409399519207</v>
      </c>
      <c r="J680" s="27">
        <f>J679*(Presion_cilindro!O671/Presion_cilindro!O672)^Presion_cilindro!$B$9+10*(Presion_cilindro!$B$9-1)*Presion_cilindro!$B$33*(IF(Presion_cilindro!N672&gt;(-J$4+Presion_cilindro!$B$34),1-EXP(-Presion_cilindro!$B$16*((Presion_cilindro!N672-(-J$4+Presion_cilindro!$B$34))/Presion_cilindro!$B$35)^(Presion_cilindro!$B$17+1)),0)-IF(Presion_cilindro!N671&gt;(-J$4+Presion_cilindro!$B$34),1-EXP(-Presion_cilindro!$B$16*((Presion_cilindro!N671-(-J$4+Presion_cilindro!$B$34))/Presion_cilindro!$B$35)^(Presion_cilindro!$B$17+1)),0))/((Presion_cilindro!O671+Presion_cilindro!O672)/2)</f>
        <v>2.3651444217983633</v>
      </c>
      <c r="K680" s="27">
        <f>K679*(Presion_cilindro!O671/Presion_cilindro!O672)^Presion_cilindro!$B$9+10*(Presion_cilindro!$B$9-1)*Presion_cilindro!$B$33*(IF(Presion_cilindro!N672&gt;(-K$4+Presion_cilindro!$B$34),1-EXP(-Presion_cilindro!$B$16*((Presion_cilindro!N672-(-K$4+Presion_cilindro!$B$34))/Presion_cilindro!$B$35)^(Presion_cilindro!$B$17+1)),0)-IF(Presion_cilindro!N671&gt;(-K$4+Presion_cilindro!$B$34),1-EXP(-Presion_cilindro!$B$16*((Presion_cilindro!N671-(-K$4+Presion_cilindro!$B$34))/Presion_cilindro!$B$35)^(Presion_cilindro!$B$17+1)),0))/((Presion_cilindro!O671+Presion_cilindro!O672)/2)</f>
        <v>2.3970170908598445</v>
      </c>
      <c r="L680" s="27">
        <f>L679*(Presion_cilindro!O671/Presion_cilindro!O672)^Presion_cilindro!$B$9+10*(Presion_cilindro!$B$9-1)*Presion_cilindro!$B$33*(IF(Presion_cilindro!N672&gt;(-L$4+Presion_cilindro!$B$34),1-EXP(-Presion_cilindro!$B$16*((Presion_cilindro!N672-(-L$4+Presion_cilindro!$B$34))/Presion_cilindro!$B$35)^(Presion_cilindro!$B$17+1)),0)-IF(Presion_cilindro!N671&gt;(-L$4+Presion_cilindro!$B$34),1-EXP(-Presion_cilindro!$B$16*((Presion_cilindro!N671-(-L$4+Presion_cilindro!$B$34))/Presion_cilindro!$B$35)^(Presion_cilindro!$B$17+1)),0))/((Presion_cilindro!O671+Presion_cilindro!O672)/2)</f>
        <v>2.4452961271094411</v>
      </c>
      <c r="M680" s="27">
        <f>M679*(Presion_cilindro!O671/Presion_cilindro!O672)^Presion_cilindro!$B$9+10*(Presion_cilindro!$B$9-1)*Presion_cilindro!$B$33*(IF(Presion_cilindro!N672&gt;(-M$4+Presion_cilindro!$B$34),1-EXP(-Presion_cilindro!$B$16*((Presion_cilindro!N672-(-M$4+Presion_cilindro!$B$34))/Presion_cilindro!$B$35)^(Presion_cilindro!$B$17+1)),0)-IF(Presion_cilindro!N671&gt;(-M$4+Presion_cilindro!$B$34),1-EXP(-Presion_cilindro!$B$16*((Presion_cilindro!N671-(-M$4+Presion_cilindro!$B$34))/Presion_cilindro!$B$35)^(Presion_cilindro!$B$17+1)),0))/((Presion_cilindro!O671+Presion_cilindro!O672)/2)</f>
        <v>2.507178216643358</v>
      </c>
      <c r="N680" s="27">
        <f>N679*(Presion_cilindro!O671/Presion_cilindro!O672)^Presion_cilindro!$B$9+10*(Presion_cilindro!$B$9-1)*Presion_cilindro!$B$33*(IF(Presion_cilindro!N672&gt;(-N$4+Presion_cilindro!$B$34),1-EXP(-Presion_cilindro!$B$16*((Presion_cilindro!N672-(-N$4+Presion_cilindro!$B$34))/Presion_cilindro!$B$35)^(Presion_cilindro!$B$17+1)),0)-IF(Presion_cilindro!N671&gt;(-N$4+Presion_cilindro!$B$34),1-EXP(-Presion_cilindro!$B$16*((Presion_cilindro!N671-(-N$4+Presion_cilindro!$B$34))/Presion_cilindro!$B$35)^(Presion_cilindro!$B$17+1)),0))/((Presion_cilindro!O671+Presion_cilindro!O672)/2)</f>
        <v>2.5795591989159434</v>
      </c>
    </row>
    <row r="681" spans="1:14" x14ac:dyDescent="0.25">
      <c r="A681" s="21">
        <f>Presion_cilindro!N673</f>
        <v>154.5</v>
      </c>
      <c r="B681" s="27">
        <f>B680*(Presion_cilindro!O672/Presion_cilindro!O673)^Presion_cilindro!$B$9+10*(Presion_cilindro!$B$9-1)*Presion_cilindro!$B$33*(IF(Presion_cilindro!N673&gt;(-B$4+Presion_cilindro!$B$34),1-EXP(-Presion_cilindro!$B$16*((Presion_cilindro!N673-(-B$4+Presion_cilindro!$B$34))/Presion_cilindro!$B$35)^(Presion_cilindro!$B$17+1)),0)-IF(Presion_cilindro!N672&gt;(-B$4+Presion_cilindro!$B$34),1-EXP(-Presion_cilindro!$B$16*((Presion_cilindro!N672-(-B$4+Presion_cilindro!$B$34))/Presion_cilindro!$B$35)^(Presion_cilindro!$B$17+1)),0))/((Presion_cilindro!O672+Presion_cilindro!O673)/2)</f>
        <v>2.7079653120245357</v>
      </c>
      <c r="C681" s="27">
        <f>C680*(Presion_cilindro!O672/Presion_cilindro!O673)^Presion_cilindro!$B$9+10*(Presion_cilindro!$B$9-1)*Presion_cilindro!$B$33*(IF(Presion_cilindro!N673&gt;(-C$4+Presion_cilindro!$B$34),1-EXP(-Presion_cilindro!$B$16*((Presion_cilindro!N673-(-C$4+Presion_cilindro!$B$34))/Presion_cilindro!$B$35)^(Presion_cilindro!$B$17+1)),0)-IF(Presion_cilindro!N672&gt;(-C$4+Presion_cilindro!$B$34),1-EXP(-Presion_cilindro!$B$16*((Presion_cilindro!N672-(-C$4+Presion_cilindro!$B$34))/Presion_cilindro!$B$35)^(Presion_cilindro!$B$17+1)),0))/((Presion_cilindro!O672+Presion_cilindro!O673)/2)</f>
        <v>2.6247122716558566</v>
      </c>
      <c r="D681" s="27">
        <f>D680*(Presion_cilindro!O672/Presion_cilindro!O673)^Presion_cilindro!$B$9+10*(Presion_cilindro!$B$9-1)*Presion_cilindro!$B$33*(IF(Presion_cilindro!N673&gt;(-D$4+Presion_cilindro!$B$34),1-EXP(-Presion_cilindro!$B$16*((Presion_cilindro!N673-(-D$4+Presion_cilindro!$B$34))/Presion_cilindro!$B$35)^(Presion_cilindro!$B$17+1)),0)-IF(Presion_cilindro!N672&gt;(-D$4+Presion_cilindro!$B$34),1-EXP(-Presion_cilindro!$B$16*((Presion_cilindro!N672-(-D$4+Presion_cilindro!$B$34))/Presion_cilindro!$B$35)^(Presion_cilindro!$B$17+1)),0))/((Presion_cilindro!O672+Presion_cilindro!O673)/2)</f>
        <v>2.547174230607403</v>
      </c>
      <c r="E681" s="27">
        <f>E680*(Presion_cilindro!O672/Presion_cilindro!O673)^Presion_cilindro!$B$9+10*(Presion_cilindro!$B$9-1)*Presion_cilindro!$B$33*(IF(Presion_cilindro!N673&gt;(-E$4+Presion_cilindro!$B$34),1-EXP(-Presion_cilindro!$B$16*((Presion_cilindro!N673-(-E$4+Presion_cilindro!$B$34))/Presion_cilindro!$B$35)^(Presion_cilindro!$B$17+1)),0)-IF(Presion_cilindro!N672&gt;(-E$4+Presion_cilindro!$B$34),1-EXP(-Presion_cilindro!$B$16*((Presion_cilindro!N672-(-E$4+Presion_cilindro!$B$34))/Presion_cilindro!$B$35)^(Presion_cilindro!$B$17+1)),0))/((Presion_cilindro!O672+Presion_cilindro!O673)/2)</f>
        <v>2.4782357011210232</v>
      </c>
      <c r="F681" s="27">
        <f>F680*(Presion_cilindro!O672/Presion_cilindro!O673)^Presion_cilindro!$B$9+10*(Presion_cilindro!$B$9-1)*Presion_cilindro!$B$33*(IF(Presion_cilindro!N673&gt;(-F$4+Presion_cilindro!$B$34),1-EXP(-Presion_cilindro!$B$16*((Presion_cilindro!N673-(-F$4+Presion_cilindro!$B$34))/Presion_cilindro!$B$35)^(Presion_cilindro!$B$17+1)),0)-IF(Presion_cilindro!N672&gt;(-F$4+Presion_cilindro!$B$34),1-EXP(-Presion_cilindro!$B$16*((Presion_cilindro!N672-(-F$4+Presion_cilindro!$B$34))/Presion_cilindro!$B$35)^(Presion_cilindro!$B$17+1)),0))/((Presion_cilindro!O672+Presion_cilindro!O673)/2)</f>
        <v>2.4210390214713766</v>
      </c>
      <c r="G681" s="27">
        <f>G680*(Presion_cilindro!O672/Presion_cilindro!O673)^Presion_cilindro!$B$9+10*(Presion_cilindro!$B$9-1)*Presion_cilindro!$B$33*(IF(Presion_cilindro!N673&gt;(-G$4+Presion_cilindro!$B$34),1-EXP(-Presion_cilindro!$B$16*((Presion_cilindro!N673-(-G$4+Presion_cilindro!$B$34))/Presion_cilindro!$B$35)^(Presion_cilindro!$B$17+1)),0)-IF(Presion_cilindro!N672&gt;(-G$4+Presion_cilindro!$B$34),1-EXP(-Presion_cilindro!$B$16*((Presion_cilindro!N672-(-G$4+Presion_cilindro!$B$34))/Presion_cilindro!$B$35)^(Presion_cilindro!$B$17+1)),0))/((Presion_cilindro!O672+Presion_cilindro!O673)/2)</f>
        <v>2.3786569532839255</v>
      </c>
      <c r="H681" s="27">
        <f>H680*(Presion_cilindro!O672/Presion_cilindro!O673)^Presion_cilindro!$B$9+10*(Presion_cilindro!$B$9-1)*Presion_cilindro!$B$33*(IF(Presion_cilindro!N673&gt;(-H$4+Presion_cilindro!$B$34),1-EXP(-Presion_cilindro!$B$16*((Presion_cilindro!N673-(-H$4+Presion_cilindro!$B$34))/Presion_cilindro!$B$35)^(Presion_cilindro!$B$17+1)),0)-IF(Presion_cilindro!N672&gt;(-H$4+Presion_cilindro!$B$34),1-EXP(-Presion_cilindro!$B$16*((Presion_cilindro!N672-(-H$4+Presion_cilindro!$B$34))/Presion_cilindro!$B$35)^(Presion_cilindro!$B$17+1)),0))/((Presion_cilindro!O672+Presion_cilindro!O673)/2)</f>
        <v>2.3536563338279382</v>
      </c>
      <c r="I681" s="27">
        <f>I680*(Presion_cilindro!O672/Presion_cilindro!O673)^Presion_cilindro!$B$9+10*(Presion_cilindro!$B$9-1)*Presion_cilindro!$B$33*(IF(Presion_cilindro!N673&gt;(-I$4+Presion_cilindro!$B$34),1-EXP(-Presion_cilindro!$B$16*((Presion_cilindro!N673-(-I$4+Presion_cilindro!$B$34))/Presion_cilindro!$B$35)^(Presion_cilindro!$B$17+1)),0)-IF(Presion_cilindro!N672&gt;(-I$4+Presion_cilindro!$B$34),1-EXP(-Presion_cilindro!$B$16*((Presion_cilindro!N672-(-I$4+Presion_cilindro!$B$34))/Presion_cilindro!$B$35)^(Presion_cilindro!$B$17+1)),0))/((Presion_cilindro!O672+Presion_cilindro!O673)/2)</f>
        <v>2.347659382687759</v>
      </c>
      <c r="J681" s="27">
        <f>J680*(Presion_cilindro!O672/Presion_cilindro!O673)^Presion_cilindro!$B$9+10*(Presion_cilindro!$B$9-1)*Presion_cilindro!$B$33*(IF(Presion_cilindro!N673&gt;(-J$4+Presion_cilindro!$B$34),1-EXP(-Presion_cilindro!$B$16*((Presion_cilindro!N673-(-J$4+Presion_cilindro!$B$34))/Presion_cilindro!$B$35)^(Presion_cilindro!$B$17+1)),0)-IF(Presion_cilindro!N672&gt;(-J$4+Presion_cilindro!$B$34),1-EXP(-Presion_cilindro!$B$16*((Presion_cilindro!N672-(-J$4+Presion_cilindro!$B$34))/Presion_cilindro!$B$35)^(Presion_cilindro!$B$17+1)),0))/((Presion_cilindro!O672+Presion_cilindro!O673)/2)</f>
        <v>2.3610396021596065</v>
      </c>
      <c r="K681" s="27">
        <f>K680*(Presion_cilindro!O672/Presion_cilindro!O673)^Presion_cilindro!$B$9+10*(Presion_cilindro!$B$9-1)*Presion_cilindro!$B$33*(IF(Presion_cilindro!N673&gt;(-K$4+Presion_cilindro!$B$34),1-EXP(-Presion_cilindro!$B$16*((Presion_cilindro!N673-(-K$4+Presion_cilindro!$B$34))/Presion_cilindro!$B$35)^(Presion_cilindro!$B$17+1)),0)-IF(Presion_cilindro!N672&gt;(-K$4+Presion_cilindro!$B$34),1-EXP(-Presion_cilindro!$B$16*((Presion_cilindro!N672-(-K$4+Presion_cilindro!$B$34))/Presion_cilindro!$B$35)^(Presion_cilindro!$B$17+1)),0))/((Presion_cilindro!O672+Presion_cilindro!O673)/2)</f>
        <v>2.3928569547014296</v>
      </c>
      <c r="L681" s="27">
        <f>L680*(Presion_cilindro!O672/Presion_cilindro!O673)^Presion_cilindro!$B$9+10*(Presion_cilindro!$B$9-1)*Presion_cilindro!$B$33*(IF(Presion_cilindro!N673&gt;(-L$4+Presion_cilindro!$B$34),1-EXP(-Presion_cilindro!$B$16*((Presion_cilindro!N673-(-L$4+Presion_cilindro!$B$34))/Presion_cilindro!$B$35)^(Presion_cilindro!$B$17+1)),0)-IF(Presion_cilindro!N672&gt;(-L$4+Presion_cilindro!$B$34),1-EXP(-Presion_cilindro!$B$16*((Presion_cilindro!N672-(-L$4+Presion_cilindro!$B$34))/Presion_cilindro!$B$35)^(Presion_cilindro!$B$17+1)),0))/((Presion_cilindro!O672+Presion_cilindro!O673)/2)</f>
        <v>2.4410522004077042</v>
      </c>
      <c r="M681" s="27">
        <f>M680*(Presion_cilindro!O672/Presion_cilindro!O673)^Presion_cilindro!$B$9+10*(Presion_cilindro!$B$9-1)*Presion_cilindro!$B$33*(IF(Presion_cilindro!N673&gt;(-M$4+Presion_cilindro!$B$34),1-EXP(-Presion_cilindro!$B$16*((Presion_cilindro!N673-(-M$4+Presion_cilindro!$B$34))/Presion_cilindro!$B$35)^(Presion_cilindro!$B$17+1)),0)-IF(Presion_cilindro!N672&gt;(-M$4+Presion_cilindro!$B$34),1-EXP(-Presion_cilindro!$B$16*((Presion_cilindro!N672-(-M$4+Presion_cilindro!$B$34))/Presion_cilindro!$B$35)^(Presion_cilindro!$B$17+1)),0))/((Presion_cilindro!O672+Presion_cilindro!O673)/2)</f>
        <v>2.5028268906580657</v>
      </c>
      <c r="N681" s="27">
        <f>N680*(Presion_cilindro!O672/Presion_cilindro!O673)^Presion_cilindro!$B$9+10*(Presion_cilindro!$B$9-1)*Presion_cilindro!$B$33*(IF(Presion_cilindro!N673&gt;(-N$4+Presion_cilindro!$B$34),1-EXP(-Presion_cilindro!$B$16*((Presion_cilindro!N673-(-N$4+Presion_cilindro!$B$34))/Presion_cilindro!$B$35)^(Presion_cilindro!$B$17+1)),0)-IF(Presion_cilindro!N672&gt;(-N$4+Presion_cilindro!$B$34),1-EXP(-Presion_cilindro!$B$16*((Presion_cilindro!N672-(-N$4+Presion_cilindro!$B$34))/Presion_cilindro!$B$35)^(Presion_cilindro!$B$17+1)),0))/((Presion_cilindro!O672+Presion_cilindro!O673)/2)</f>
        <v>2.5750822523238219</v>
      </c>
    </row>
    <row r="682" spans="1:14" x14ac:dyDescent="0.25">
      <c r="A682" s="21">
        <f>Presion_cilindro!N674</f>
        <v>155</v>
      </c>
      <c r="B682" s="27">
        <f>B681*(Presion_cilindro!O673/Presion_cilindro!O674)^Presion_cilindro!$B$9+10*(Presion_cilindro!$B$9-1)*Presion_cilindro!$B$33*(IF(Presion_cilindro!N674&gt;(-B$4+Presion_cilindro!$B$34),1-EXP(-Presion_cilindro!$B$16*((Presion_cilindro!N674-(-B$4+Presion_cilindro!$B$34))/Presion_cilindro!$B$35)^(Presion_cilindro!$B$17+1)),0)-IF(Presion_cilindro!N673&gt;(-B$4+Presion_cilindro!$B$34),1-EXP(-Presion_cilindro!$B$16*((Presion_cilindro!N673-(-B$4+Presion_cilindro!$B$34))/Presion_cilindro!$B$35)^(Presion_cilindro!$B$17+1)),0))/((Presion_cilindro!O673+Presion_cilindro!O674)/2)</f>
        <v>2.7033628716975153</v>
      </c>
      <c r="C682" s="27">
        <f>C681*(Presion_cilindro!O673/Presion_cilindro!O674)^Presion_cilindro!$B$9+10*(Presion_cilindro!$B$9-1)*Presion_cilindro!$B$33*(IF(Presion_cilindro!N674&gt;(-C$4+Presion_cilindro!$B$34),1-EXP(-Presion_cilindro!$B$16*((Presion_cilindro!N674-(-C$4+Presion_cilindro!$B$34))/Presion_cilindro!$B$35)^(Presion_cilindro!$B$17+1)),0)-IF(Presion_cilindro!N673&gt;(-C$4+Presion_cilindro!$B$34),1-EXP(-Presion_cilindro!$B$16*((Presion_cilindro!N673-(-C$4+Presion_cilindro!$B$34))/Presion_cilindro!$B$35)^(Presion_cilindro!$B$17+1)),0))/((Presion_cilindro!O673+Presion_cilindro!O674)/2)</f>
        <v>2.6202513276576989</v>
      </c>
      <c r="D682" s="27">
        <f>D681*(Presion_cilindro!O673/Presion_cilindro!O674)^Presion_cilindro!$B$9+10*(Presion_cilindro!$B$9-1)*Presion_cilindro!$B$33*(IF(Presion_cilindro!N674&gt;(-D$4+Presion_cilindro!$B$34),1-EXP(-Presion_cilindro!$B$16*((Presion_cilindro!N674-(-D$4+Presion_cilindro!$B$34))/Presion_cilindro!$B$35)^(Presion_cilindro!$B$17+1)),0)-IF(Presion_cilindro!N673&gt;(-D$4+Presion_cilindro!$B$34),1-EXP(-Presion_cilindro!$B$16*((Presion_cilindro!N673-(-D$4+Presion_cilindro!$B$34))/Presion_cilindro!$B$35)^(Presion_cilindro!$B$17+1)),0))/((Presion_cilindro!O673+Presion_cilindro!O674)/2)</f>
        <v>2.5428450697622331</v>
      </c>
      <c r="E682" s="27">
        <f>E681*(Presion_cilindro!O673/Presion_cilindro!O674)^Presion_cilindro!$B$9+10*(Presion_cilindro!$B$9-1)*Presion_cilindro!$B$33*(IF(Presion_cilindro!N674&gt;(-E$4+Presion_cilindro!$B$34),1-EXP(-Presion_cilindro!$B$16*((Presion_cilindro!N674-(-E$4+Presion_cilindro!$B$34))/Presion_cilindro!$B$35)^(Presion_cilindro!$B$17+1)),0)-IF(Presion_cilindro!N673&gt;(-E$4+Presion_cilindro!$B$34),1-EXP(-Presion_cilindro!$B$16*((Presion_cilindro!N673-(-E$4+Presion_cilindro!$B$34))/Presion_cilindro!$B$35)^(Presion_cilindro!$B$17+1)),0))/((Presion_cilindro!O673+Presion_cilindro!O674)/2)</f>
        <v>2.4740237077546183</v>
      </c>
      <c r="F682" s="27">
        <f>F681*(Presion_cilindro!O673/Presion_cilindro!O674)^Presion_cilindro!$B$9+10*(Presion_cilindro!$B$9-1)*Presion_cilindro!$B$33*(IF(Presion_cilindro!N674&gt;(-F$4+Presion_cilindro!$B$34),1-EXP(-Presion_cilindro!$B$16*((Presion_cilindro!N674-(-F$4+Presion_cilindro!$B$34))/Presion_cilindro!$B$35)^(Presion_cilindro!$B$17+1)),0)-IF(Presion_cilindro!N673&gt;(-F$4+Presion_cilindro!$B$34),1-EXP(-Presion_cilindro!$B$16*((Presion_cilindro!N673-(-F$4+Presion_cilindro!$B$34))/Presion_cilindro!$B$35)^(Presion_cilindro!$B$17+1)),0))/((Presion_cilindro!O673+Presion_cilindro!O674)/2)</f>
        <v>2.4169242392117103</v>
      </c>
      <c r="G682" s="27">
        <f>G681*(Presion_cilindro!O673/Presion_cilindro!O674)^Presion_cilindro!$B$9+10*(Presion_cilindro!$B$9-1)*Presion_cilindro!$B$33*(IF(Presion_cilindro!N674&gt;(-G$4+Presion_cilindro!$B$34),1-EXP(-Presion_cilindro!$B$16*((Presion_cilindro!N674-(-G$4+Presion_cilindro!$B$34))/Presion_cilindro!$B$35)^(Presion_cilindro!$B$17+1)),0)-IF(Presion_cilindro!N673&gt;(-G$4+Presion_cilindro!$B$34),1-EXP(-Presion_cilindro!$B$16*((Presion_cilindro!N673-(-G$4+Presion_cilindro!$B$34))/Presion_cilindro!$B$35)^(Presion_cilindro!$B$17+1)),0))/((Presion_cilindro!O673+Presion_cilindro!O674)/2)</f>
        <v>2.3746142033131892</v>
      </c>
      <c r="H682" s="27">
        <f>H681*(Presion_cilindro!O673/Presion_cilindro!O674)^Presion_cilindro!$B$9+10*(Presion_cilindro!$B$9-1)*Presion_cilindro!$B$33*(IF(Presion_cilindro!N674&gt;(-H$4+Presion_cilindro!$B$34),1-EXP(-Presion_cilindro!$B$16*((Presion_cilindro!N674-(-H$4+Presion_cilindro!$B$34))/Presion_cilindro!$B$35)^(Presion_cilindro!$B$17+1)),0)-IF(Presion_cilindro!N673&gt;(-H$4+Presion_cilindro!$B$34),1-EXP(-Presion_cilindro!$B$16*((Presion_cilindro!N673-(-H$4+Presion_cilindro!$B$34))/Presion_cilindro!$B$35)^(Presion_cilindro!$B$17+1)),0))/((Presion_cilindro!O673+Presion_cilindro!O674)/2)</f>
        <v>2.3496560747483053</v>
      </c>
      <c r="I682" s="27">
        <f>I681*(Presion_cilindro!O673/Presion_cilindro!O674)^Presion_cilindro!$B$9+10*(Presion_cilindro!$B$9-1)*Presion_cilindro!$B$33*(IF(Presion_cilindro!N674&gt;(-I$4+Presion_cilindro!$B$34),1-EXP(-Presion_cilindro!$B$16*((Presion_cilindro!N674-(-I$4+Presion_cilindro!$B$34))/Presion_cilindro!$B$35)^(Presion_cilindro!$B$17+1)),0)-IF(Presion_cilindro!N673&gt;(-I$4+Presion_cilindro!$B$34),1-EXP(-Presion_cilindro!$B$16*((Presion_cilindro!N673-(-I$4+Presion_cilindro!$B$34))/Presion_cilindro!$B$35)^(Presion_cilindro!$B$17+1)),0))/((Presion_cilindro!O673+Presion_cilindro!O674)/2)</f>
        <v>2.3436693159874906</v>
      </c>
      <c r="J682" s="27">
        <f>J681*(Presion_cilindro!O673/Presion_cilindro!O674)^Presion_cilindro!$B$9+10*(Presion_cilindro!$B$9-1)*Presion_cilindro!$B$33*(IF(Presion_cilindro!N674&gt;(-J$4+Presion_cilindro!$B$34),1-EXP(-Presion_cilindro!$B$16*((Presion_cilindro!N674-(-J$4+Presion_cilindro!$B$34))/Presion_cilindro!$B$35)^(Presion_cilindro!$B$17+1)),0)-IF(Presion_cilindro!N673&gt;(-J$4+Presion_cilindro!$B$34),1-EXP(-Presion_cilindro!$B$16*((Presion_cilindro!N673-(-J$4+Presion_cilindro!$B$34))/Presion_cilindro!$B$35)^(Presion_cilindro!$B$17+1)),0))/((Presion_cilindro!O673+Presion_cilindro!O674)/2)</f>
        <v>2.3570267945248782</v>
      </c>
      <c r="K682" s="27">
        <f>K681*(Presion_cilindro!O673/Presion_cilindro!O674)^Presion_cilindro!$B$9+10*(Presion_cilindro!$B$9-1)*Presion_cilindro!$B$33*(IF(Presion_cilindro!N674&gt;(-K$4+Presion_cilindro!$B$34),1-EXP(-Presion_cilindro!$B$16*((Presion_cilindro!N674-(-K$4+Presion_cilindro!$B$34))/Presion_cilindro!$B$35)^(Presion_cilindro!$B$17+1)),0)-IF(Presion_cilindro!N673&gt;(-K$4+Presion_cilindro!$B$34),1-EXP(-Presion_cilindro!$B$16*((Presion_cilindro!N673-(-K$4+Presion_cilindro!$B$34))/Presion_cilindro!$B$35)^(Presion_cilindro!$B$17+1)),0))/((Presion_cilindro!O673+Presion_cilindro!O674)/2)</f>
        <v>2.388790070500141</v>
      </c>
      <c r="L682" s="27">
        <f>L681*(Presion_cilindro!O673/Presion_cilindro!O674)^Presion_cilindro!$B$9+10*(Presion_cilindro!$B$9-1)*Presion_cilindro!$B$33*(IF(Presion_cilindro!N674&gt;(-L$4+Presion_cilindro!$B$34),1-EXP(-Presion_cilindro!$B$16*((Presion_cilindro!N674-(-L$4+Presion_cilindro!$B$34))/Presion_cilindro!$B$35)^(Presion_cilindro!$B$17+1)),0)-IF(Presion_cilindro!N673&gt;(-L$4+Presion_cilindro!$B$34),1-EXP(-Presion_cilindro!$B$16*((Presion_cilindro!N673-(-L$4+Presion_cilindro!$B$34))/Presion_cilindro!$B$35)^(Presion_cilindro!$B$17+1)),0))/((Presion_cilindro!O673+Presion_cilindro!O674)/2)</f>
        <v>2.4369034038785791</v>
      </c>
      <c r="M682" s="27">
        <f>M681*(Presion_cilindro!O673/Presion_cilindro!O674)^Presion_cilindro!$B$9+10*(Presion_cilindro!$B$9-1)*Presion_cilindro!$B$33*(IF(Presion_cilindro!N674&gt;(-M$4+Presion_cilindro!$B$34),1-EXP(-Presion_cilindro!$B$16*((Presion_cilindro!N674-(-M$4+Presion_cilindro!$B$34))/Presion_cilindro!$B$35)^(Presion_cilindro!$B$17+1)),0)-IF(Presion_cilindro!N673&gt;(-M$4+Presion_cilindro!$B$34),1-EXP(-Presion_cilindro!$B$16*((Presion_cilindro!N673-(-M$4+Presion_cilindro!$B$34))/Presion_cilindro!$B$35)^(Presion_cilindro!$B$17+1)),0))/((Presion_cilindro!O673+Presion_cilindro!O674)/2)</f>
        <v>2.4985731022649995</v>
      </c>
      <c r="N682" s="27">
        <f>N681*(Presion_cilindro!O673/Presion_cilindro!O674)^Presion_cilindro!$B$9+10*(Presion_cilindro!$B$9-1)*Presion_cilindro!$B$33*(IF(Presion_cilindro!N674&gt;(-N$4+Presion_cilindro!$B$34),1-EXP(-Presion_cilindro!$B$16*((Presion_cilindro!N674-(-N$4+Presion_cilindro!$B$34))/Presion_cilindro!$B$35)^(Presion_cilindro!$B$17+1)),0)-IF(Presion_cilindro!N673&gt;(-N$4+Presion_cilindro!$B$34),1-EXP(-Presion_cilindro!$B$16*((Presion_cilindro!N673-(-N$4+Presion_cilindro!$B$34))/Presion_cilindro!$B$35)^(Presion_cilindro!$B$17+1)),0))/((Presion_cilindro!O673+Presion_cilindro!O674)/2)</f>
        <v>2.5707056591854744</v>
      </c>
    </row>
    <row r="683" spans="1:14" x14ac:dyDescent="0.25">
      <c r="A683" s="21">
        <f>Presion_cilindro!N675</f>
        <v>155.5</v>
      </c>
      <c r="B683" s="27">
        <f>B682*(Presion_cilindro!O674/Presion_cilindro!O675)^Presion_cilindro!$B$9+10*(Presion_cilindro!$B$9-1)*Presion_cilindro!$B$33*(IF(Presion_cilindro!N675&gt;(-B$4+Presion_cilindro!$B$34),1-EXP(-Presion_cilindro!$B$16*((Presion_cilindro!N675-(-B$4+Presion_cilindro!$B$34))/Presion_cilindro!$B$35)^(Presion_cilindro!$B$17+1)),0)-IF(Presion_cilindro!N674&gt;(-B$4+Presion_cilindro!$B$34),1-EXP(-Presion_cilindro!$B$16*((Presion_cilindro!N674-(-B$4+Presion_cilindro!$B$34))/Presion_cilindro!$B$35)^(Presion_cilindro!$B$17+1)),0))/((Presion_cilindro!O674+Presion_cilindro!O675)/2)</f>
        <v>2.698865088319359</v>
      </c>
      <c r="C683" s="27">
        <f>C682*(Presion_cilindro!O674/Presion_cilindro!O675)^Presion_cilindro!$B$9+10*(Presion_cilindro!$B$9-1)*Presion_cilindro!$B$33*(IF(Presion_cilindro!N675&gt;(-C$4+Presion_cilindro!$B$34),1-EXP(-Presion_cilindro!$B$16*((Presion_cilindro!N675-(-C$4+Presion_cilindro!$B$34))/Presion_cilindro!$B$35)^(Presion_cilindro!$B$17+1)),0)-IF(Presion_cilindro!N674&gt;(-C$4+Presion_cilindro!$B$34),1-EXP(-Presion_cilindro!$B$16*((Presion_cilindro!N674-(-C$4+Presion_cilindro!$B$34))/Presion_cilindro!$B$35)^(Presion_cilindro!$B$17+1)),0))/((Presion_cilindro!O674+Presion_cilindro!O675)/2)</f>
        <v>2.6158918230601045</v>
      </c>
      <c r="D683" s="27">
        <f>D682*(Presion_cilindro!O674/Presion_cilindro!O675)^Presion_cilindro!$B$9+10*(Presion_cilindro!$B$9-1)*Presion_cilindro!$B$33*(IF(Presion_cilindro!N675&gt;(-D$4+Presion_cilindro!$B$34),1-EXP(-Presion_cilindro!$B$16*((Presion_cilindro!N675-(-D$4+Presion_cilindro!$B$34))/Presion_cilindro!$B$35)^(Presion_cilindro!$B$17+1)),0)-IF(Presion_cilindro!N674&gt;(-D$4+Presion_cilindro!$B$34),1-EXP(-Presion_cilindro!$B$16*((Presion_cilindro!N674-(-D$4+Presion_cilindro!$B$34))/Presion_cilindro!$B$35)^(Presion_cilindro!$B$17+1)),0))/((Presion_cilindro!O674+Presion_cilindro!O675)/2)</f>
        <v>2.5386143516415758</v>
      </c>
      <c r="E683" s="27">
        <f>E682*(Presion_cilindro!O674/Presion_cilindro!O675)^Presion_cilindro!$B$9+10*(Presion_cilindro!$B$9-1)*Presion_cilindro!$B$33*(IF(Presion_cilindro!N675&gt;(-E$4+Presion_cilindro!$B$34),1-EXP(-Presion_cilindro!$B$16*((Presion_cilindro!N675-(-E$4+Presion_cilindro!$B$34))/Presion_cilindro!$B$35)^(Presion_cilindro!$B$17+1)),0)-IF(Presion_cilindro!N674&gt;(-E$4+Presion_cilindro!$B$34),1-EXP(-Presion_cilindro!$B$16*((Presion_cilindro!N674-(-E$4+Presion_cilindro!$B$34))/Presion_cilindro!$B$35)^(Presion_cilindro!$B$17+1)),0))/((Presion_cilindro!O674+Presion_cilindro!O675)/2)</f>
        <v>2.4699074927890279</v>
      </c>
      <c r="F683" s="27">
        <f>F682*(Presion_cilindro!O674/Presion_cilindro!O675)^Presion_cilindro!$B$9+10*(Presion_cilindro!$B$9-1)*Presion_cilindro!$B$33*(IF(Presion_cilindro!N675&gt;(-F$4+Presion_cilindro!$B$34),1-EXP(-Presion_cilindro!$B$16*((Presion_cilindro!N675-(-F$4+Presion_cilindro!$B$34))/Presion_cilindro!$B$35)^(Presion_cilindro!$B$17+1)),0)-IF(Presion_cilindro!N674&gt;(-F$4+Presion_cilindro!$B$34),1-EXP(-Presion_cilindro!$B$16*((Presion_cilindro!N674-(-F$4+Presion_cilindro!$B$34))/Presion_cilindro!$B$35)^(Presion_cilindro!$B$17+1)),0))/((Presion_cilindro!O674+Presion_cilindro!O675)/2)</f>
        <v>2.4129030248260279</v>
      </c>
      <c r="G683" s="27">
        <f>G682*(Presion_cilindro!O674/Presion_cilindro!O675)^Presion_cilindro!$B$9+10*(Presion_cilindro!$B$9-1)*Presion_cilindro!$B$33*(IF(Presion_cilindro!N675&gt;(-G$4+Presion_cilindro!$B$34),1-EXP(-Presion_cilindro!$B$16*((Presion_cilindro!N675-(-G$4+Presion_cilindro!$B$34))/Presion_cilindro!$B$35)^(Presion_cilindro!$B$17+1)),0)-IF(Presion_cilindro!N674&gt;(-G$4+Presion_cilindro!$B$34),1-EXP(-Presion_cilindro!$B$16*((Presion_cilindro!N674-(-G$4+Presion_cilindro!$B$34))/Presion_cilindro!$B$35)^(Presion_cilindro!$B$17+1)),0))/((Presion_cilindro!O674+Presion_cilindro!O675)/2)</f>
        <v>2.3706633832420052</v>
      </c>
      <c r="H683" s="27">
        <f>H682*(Presion_cilindro!O674/Presion_cilindro!O675)^Presion_cilindro!$B$9+10*(Presion_cilindro!$B$9-1)*Presion_cilindro!$B$33*(IF(Presion_cilindro!N675&gt;(-H$4+Presion_cilindro!$B$34),1-EXP(-Presion_cilindro!$B$16*((Presion_cilindro!N675-(-H$4+Presion_cilindro!$B$34))/Presion_cilindro!$B$35)^(Presion_cilindro!$B$17+1)),0)-IF(Presion_cilindro!N674&gt;(-H$4+Presion_cilindro!$B$34),1-EXP(-Presion_cilindro!$B$16*((Presion_cilindro!N674-(-H$4+Presion_cilindro!$B$34))/Presion_cilindro!$B$35)^(Presion_cilindro!$B$17+1)),0))/((Presion_cilindro!O674+Presion_cilindro!O675)/2)</f>
        <v>2.3457467793488496</v>
      </c>
      <c r="I683" s="27">
        <f>I682*(Presion_cilindro!O674/Presion_cilindro!O675)^Presion_cilindro!$B$9+10*(Presion_cilindro!$B$9-1)*Presion_cilindro!$B$33*(IF(Presion_cilindro!N675&gt;(-I$4+Presion_cilindro!$B$34),1-EXP(-Presion_cilindro!$B$16*((Presion_cilindro!N675-(-I$4+Presion_cilindro!$B$34))/Presion_cilindro!$B$35)^(Presion_cilindro!$B$17+1)),0)-IF(Presion_cilindro!N674&gt;(-I$4+Presion_cilindro!$B$34),1-EXP(-Presion_cilindro!$B$16*((Presion_cilindro!N674-(-I$4+Presion_cilindro!$B$34))/Presion_cilindro!$B$35)^(Presion_cilindro!$B$17+1)),0))/((Presion_cilindro!O674+Presion_cilindro!O675)/2)</f>
        <v>2.339769981198327</v>
      </c>
      <c r="J683" s="27">
        <f>J682*(Presion_cilindro!O674/Presion_cilindro!O675)^Presion_cilindro!$B$9+10*(Presion_cilindro!$B$9-1)*Presion_cilindro!$B$33*(IF(Presion_cilindro!N675&gt;(-J$4+Presion_cilindro!$B$34),1-EXP(-Presion_cilindro!$B$16*((Presion_cilindro!N675-(-J$4+Presion_cilindro!$B$34))/Presion_cilindro!$B$35)^(Presion_cilindro!$B$17+1)),0)-IF(Presion_cilindro!N674&gt;(-J$4+Presion_cilindro!$B$34),1-EXP(-Presion_cilindro!$B$16*((Presion_cilindro!N674-(-J$4+Presion_cilindro!$B$34))/Presion_cilindro!$B$35)^(Presion_cilindro!$B$17+1)),0))/((Presion_cilindro!O674+Presion_cilindro!O675)/2)</f>
        <v>2.3531052359175328</v>
      </c>
      <c r="K683" s="27">
        <f>K682*(Presion_cilindro!O674/Presion_cilindro!O675)^Presion_cilindro!$B$9+10*(Presion_cilindro!$B$9-1)*Presion_cilindro!$B$33*(IF(Presion_cilindro!N675&gt;(-K$4+Presion_cilindro!$B$34),1-EXP(-Presion_cilindro!$B$16*((Presion_cilindro!N675-(-K$4+Presion_cilindro!$B$34))/Presion_cilindro!$B$35)^(Presion_cilindro!$B$17+1)),0)-IF(Presion_cilindro!N674&gt;(-K$4+Presion_cilindro!$B$34),1-EXP(-Presion_cilindro!$B$16*((Presion_cilindro!N674-(-K$4+Presion_cilindro!$B$34))/Presion_cilindro!$B$35)^(Presion_cilindro!$B$17+1)),0))/((Presion_cilindro!O674+Presion_cilindro!O675)/2)</f>
        <v>2.3848156649974666</v>
      </c>
      <c r="L683" s="27">
        <f>L682*(Presion_cilindro!O674/Presion_cilindro!O675)^Presion_cilindro!$B$9+10*(Presion_cilindro!$B$9-1)*Presion_cilindro!$B$33*(IF(Presion_cilindro!N675&gt;(-L$4+Presion_cilindro!$B$34),1-EXP(-Presion_cilindro!$B$16*((Presion_cilindro!N675-(-L$4+Presion_cilindro!$B$34))/Presion_cilindro!$B$35)^(Presion_cilindro!$B$17+1)),0)-IF(Presion_cilindro!N674&gt;(-L$4+Presion_cilindro!$B$34),1-EXP(-Presion_cilindro!$B$16*((Presion_cilindro!N674-(-L$4+Presion_cilindro!$B$34))/Presion_cilindro!$B$35)^(Presion_cilindro!$B$17+1)),0))/((Presion_cilindro!O674+Presion_cilindro!O675)/2)</f>
        <v>2.4328489486891227</v>
      </c>
      <c r="M683" s="27">
        <f>M682*(Presion_cilindro!O674/Presion_cilindro!O675)^Presion_cilindro!$B$9+10*(Presion_cilindro!$B$9-1)*Presion_cilindro!$B$33*(IF(Presion_cilindro!N675&gt;(-M$4+Presion_cilindro!$B$34),1-EXP(-Presion_cilindro!$B$16*((Presion_cilindro!N675-(-M$4+Presion_cilindro!$B$34))/Presion_cilindro!$B$35)^(Presion_cilindro!$B$17+1)),0)-IF(Presion_cilindro!N674&gt;(-M$4+Presion_cilindro!$B$34),1-EXP(-Presion_cilindro!$B$16*((Presion_cilindro!N674-(-M$4+Presion_cilindro!$B$34))/Presion_cilindro!$B$35)^(Presion_cilindro!$B$17+1)),0))/((Presion_cilindro!O674+Presion_cilindro!O675)/2)</f>
        <v>2.4944160426685498</v>
      </c>
      <c r="N683" s="27">
        <f>N682*(Presion_cilindro!O674/Presion_cilindro!O675)^Presion_cilindro!$B$9+10*(Presion_cilindro!$B$9-1)*Presion_cilindro!$B$33*(IF(Presion_cilindro!N675&gt;(-N$4+Presion_cilindro!$B$34),1-EXP(-Presion_cilindro!$B$16*((Presion_cilindro!N675-(-N$4+Presion_cilindro!$B$34))/Presion_cilindro!$B$35)^(Presion_cilindro!$B$17+1)),0)-IF(Presion_cilindro!N674&gt;(-N$4+Presion_cilindro!$B$34),1-EXP(-Presion_cilindro!$B$16*((Presion_cilindro!N674-(-N$4+Presion_cilindro!$B$34))/Presion_cilindro!$B$35)^(Presion_cilindro!$B$17+1)),0))/((Presion_cilindro!O674+Presion_cilindro!O675)/2)</f>
        <v>2.566428587355766</v>
      </c>
    </row>
    <row r="684" spans="1:14" x14ac:dyDescent="0.25">
      <c r="A684" s="21">
        <f>Presion_cilindro!N676</f>
        <v>156</v>
      </c>
      <c r="B684" s="27">
        <f>B683*(Presion_cilindro!O675/Presion_cilindro!O676)^Presion_cilindro!$B$9+10*(Presion_cilindro!$B$9-1)*Presion_cilindro!$B$33*(IF(Presion_cilindro!N676&gt;(-B$4+Presion_cilindro!$B$34),1-EXP(-Presion_cilindro!$B$16*((Presion_cilindro!N676-(-B$4+Presion_cilindro!$B$34))/Presion_cilindro!$B$35)^(Presion_cilindro!$B$17+1)),0)-IF(Presion_cilindro!N675&gt;(-B$4+Presion_cilindro!$B$34),1-EXP(-Presion_cilindro!$B$16*((Presion_cilindro!N675-(-B$4+Presion_cilindro!$B$34))/Presion_cilindro!$B$35)^(Presion_cilindro!$B$17+1)),0))/((Presion_cilindro!O675+Presion_cilindro!O676)/2)</f>
        <v>2.6944711087190281</v>
      </c>
      <c r="C684" s="27">
        <f>C683*(Presion_cilindro!O675/Presion_cilindro!O676)^Presion_cilindro!$B$9+10*(Presion_cilindro!$B$9-1)*Presion_cilindro!$B$33*(IF(Presion_cilindro!N676&gt;(-C$4+Presion_cilindro!$B$34),1-EXP(-Presion_cilindro!$B$16*((Presion_cilindro!N676-(-C$4+Presion_cilindro!$B$34))/Presion_cilindro!$B$35)^(Presion_cilindro!$B$17+1)),0)-IF(Presion_cilindro!N675&gt;(-C$4+Presion_cilindro!$B$34),1-EXP(-Presion_cilindro!$B$16*((Presion_cilindro!N675-(-C$4+Presion_cilindro!$B$34))/Presion_cilindro!$B$35)^(Presion_cilindro!$B$17+1)),0))/((Presion_cilindro!O675+Presion_cilindro!O676)/2)</f>
        <v>2.6116329309217221</v>
      </c>
      <c r="D684" s="27">
        <f>D683*(Presion_cilindro!O675/Presion_cilindro!O676)^Presion_cilindro!$B$9+10*(Presion_cilindro!$B$9-1)*Presion_cilindro!$B$33*(IF(Presion_cilindro!N676&gt;(-D$4+Presion_cilindro!$B$34),1-EXP(-Presion_cilindro!$B$16*((Presion_cilindro!N676-(-D$4+Presion_cilindro!$B$34))/Presion_cilindro!$B$35)^(Presion_cilindro!$B$17+1)),0)-IF(Presion_cilindro!N675&gt;(-D$4+Presion_cilindro!$B$34),1-EXP(-Presion_cilindro!$B$16*((Presion_cilindro!N675-(-D$4+Presion_cilindro!$B$34))/Presion_cilindro!$B$35)^(Presion_cilindro!$B$17+1)),0))/((Presion_cilindro!O675+Presion_cilindro!O676)/2)</f>
        <v>2.5344812737331996</v>
      </c>
      <c r="E684" s="27">
        <f>E683*(Presion_cilindro!O675/Presion_cilindro!O676)^Presion_cilindro!$B$9+10*(Presion_cilindro!$B$9-1)*Presion_cilindro!$B$33*(IF(Presion_cilindro!N676&gt;(-E$4+Presion_cilindro!$B$34),1-EXP(-Presion_cilindro!$B$16*((Presion_cilindro!N676-(-E$4+Presion_cilindro!$B$34))/Presion_cilindro!$B$35)^(Presion_cilindro!$B$17+1)),0)-IF(Presion_cilindro!N675&gt;(-E$4+Presion_cilindro!$B$34),1-EXP(-Presion_cilindro!$B$16*((Presion_cilindro!N675-(-E$4+Presion_cilindro!$B$34))/Presion_cilindro!$B$35)^(Presion_cilindro!$B$17+1)),0))/((Presion_cilindro!O675+Presion_cilindro!O676)/2)</f>
        <v>2.4658862754317803</v>
      </c>
      <c r="F684" s="27">
        <f>F683*(Presion_cilindro!O675/Presion_cilindro!O676)^Presion_cilindro!$B$9+10*(Presion_cilindro!$B$9-1)*Presion_cilindro!$B$33*(IF(Presion_cilindro!N676&gt;(-F$4+Presion_cilindro!$B$34),1-EXP(-Presion_cilindro!$B$16*((Presion_cilindro!N676-(-F$4+Presion_cilindro!$B$34))/Presion_cilindro!$B$35)^(Presion_cilindro!$B$17+1)),0)-IF(Presion_cilindro!N675&gt;(-F$4+Presion_cilindro!$B$34),1-EXP(-Presion_cilindro!$B$16*((Presion_cilindro!N675-(-F$4+Presion_cilindro!$B$34))/Presion_cilindro!$B$35)^(Presion_cilindro!$B$17+1)),0))/((Presion_cilindro!O675+Presion_cilindro!O676)/2)</f>
        <v>2.4089746155422334</v>
      </c>
      <c r="G684" s="27">
        <f>G683*(Presion_cilindro!O675/Presion_cilindro!O676)^Presion_cilindro!$B$9+10*(Presion_cilindro!$B$9-1)*Presion_cilindro!$B$33*(IF(Presion_cilindro!N676&gt;(-G$4+Presion_cilindro!$B$34),1-EXP(-Presion_cilindro!$B$16*((Presion_cilindro!N676-(-G$4+Presion_cilindro!$B$34))/Presion_cilindro!$B$35)^(Presion_cilindro!$B$17+1)),0)-IF(Presion_cilindro!N675&gt;(-G$4+Presion_cilindro!$B$34),1-EXP(-Presion_cilindro!$B$16*((Presion_cilindro!N675-(-G$4+Presion_cilindro!$B$34))/Presion_cilindro!$B$35)^(Presion_cilindro!$B$17+1)),0))/((Presion_cilindro!O675+Presion_cilindro!O676)/2)</f>
        <v>2.3668037436511637</v>
      </c>
      <c r="H684" s="27">
        <f>H683*(Presion_cilindro!O675/Presion_cilindro!O676)^Presion_cilindro!$B$9+10*(Presion_cilindro!$B$9-1)*Presion_cilindro!$B$33*(IF(Presion_cilindro!N676&gt;(-H$4+Presion_cilindro!$B$34),1-EXP(-Presion_cilindro!$B$16*((Presion_cilindro!N676-(-H$4+Presion_cilindro!$B$34))/Presion_cilindro!$B$35)^(Presion_cilindro!$B$17+1)),0)-IF(Presion_cilindro!N675&gt;(-H$4+Presion_cilindro!$B$34),1-EXP(-Presion_cilindro!$B$16*((Presion_cilindro!N675-(-H$4+Presion_cilindro!$B$34))/Presion_cilindro!$B$35)^(Presion_cilindro!$B$17+1)),0))/((Presion_cilindro!O675+Presion_cilindro!O676)/2)</f>
        <v>2.3419277060870516</v>
      </c>
      <c r="I684" s="27">
        <f>I683*(Presion_cilindro!O675/Presion_cilindro!O676)^Presion_cilindro!$B$9+10*(Presion_cilindro!$B$9-1)*Presion_cilindro!$B$33*(IF(Presion_cilindro!N676&gt;(-I$4+Presion_cilindro!$B$34),1-EXP(-Presion_cilindro!$B$16*((Presion_cilindro!N676-(-I$4+Presion_cilindro!$B$34))/Presion_cilindro!$B$35)^(Presion_cilindro!$B$17+1)),0)-IF(Presion_cilindro!N675&gt;(-I$4+Presion_cilindro!$B$34),1-EXP(-Presion_cilindro!$B$16*((Presion_cilindro!N675-(-I$4+Presion_cilindro!$B$34))/Presion_cilindro!$B$35)^(Presion_cilindro!$B$17+1)),0))/((Presion_cilindro!O675+Presion_cilindro!O676)/2)</f>
        <v>2.3359606386671468</v>
      </c>
      <c r="J684" s="27">
        <f>J683*(Presion_cilindro!O675/Presion_cilindro!O676)^Presion_cilindro!$B$9+10*(Presion_cilindro!$B$9-1)*Presion_cilindro!$B$33*(IF(Presion_cilindro!N676&gt;(-J$4+Presion_cilindro!$B$34),1-EXP(-Presion_cilindro!$B$16*((Presion_cilindro!N676-(-J$4+Presion_cilindro!$B$34))/Presion_cilindro!$B$35)^(Presion_cilindro!$B$17+1)),0)-IF(Presion_cilindro!N675&gt;(-J$4+Presion_cilindro!$B$34),1-EXP(-Presion_cilindro!$B$16*((Presion_cilindro!N675-(-J$4+Presion_cilindro!$B$34))/Presion_cilindro!$B$35)^(Presion_cilindro!$B$17+1)),0))/((Presion_cilindro!O675+Presion_cilindro!O676)/2)</f>
        <v>2.3492741824688803</v>
      </c>
      <c r="K684" s="27">
        <f>K683*(Presion_cilindro!O675/Presion_cilindro!O676)^Presion_cilindro!$B$9+10*(Presion_cilindro!$B$9-1)*Presion_cilindro!$B$33*(IF(Presion_cilindro!N676&gt;(-K$4+Presion_cilindro!$B$34),1-EXP(-Presion_cilindro!$B$16*((Presion_cilindro!N676-(-K$4+Presion_cilindro!$B$34))/Presion_cilindro!$B$35)^(Presion_cilindro!$B$17+1)),0)-IF(Presion_cilindro!N675&gt;(-K$4+Presion_cilindro!$B$34),1-EXP(-Presion_cilindro!$B$16*((Presion_cilindro!N675-(-K$4+Presion_cilindro!$B$34))/Presion_cilindro!$B$35)^(Presion_cilindro!$B$17+1)),0))/((Presion_cilindro!O675+Presion_cilindro!O676)/2)</f>
        <v>2.3809329843003466</v>
      </c>
      <c r="L684" s="27">
        <f>L683*(Presion_cilindro!O675/Presion_cilindro!O676)^Presion_cilindro!$B$9+10*(Presion_cilindro!$B$9-1)*Presion_cilindro!$B$33*(IF(Presion_cilindro!N676&gt;(-L$4+Presion_cilindro!$B$34),1-EXP(-Presion_cilindro!$B$16*((Presion_cilindro!N676-(-L$4+Presion_cilindro!$B$34))/Presion_cilindro!$B$35)^(Presion_cilindro!$B$17+1)),0)-IF(Presion_cilindro!N675&gt;(-L$4+Presion_cilindro!$B$34),1-EXP(-Presion_cilindro!$B$16*((Presion_cilindro!N675-(-L$4+Presion_cilindro!$B$34))/Presion_cilindro!$B$35)^(Presion_cilindro!$B$17+1)),0))/((Presion_cilindro!O675+Presion_cilindro!O676)/2)</f>
        <v>2.4288880657618908</v>
      </c>
      <c r="M684" s="27">
        <f>M683*(Presion_cilindro!O675/Presion_cilindro!O676)^Presion_cilindro!$B$9+10*(Presion_cilindro!$B$9-1)*Presion_cilindro!$B$33*(IF(Presion_cilindro!N676&gt;(-M$4+Presion_cilindro!$B$34),1-EXP(-Presion_cilindro!$B$16*((Presion_cilindro!N676-(-M$4+Presion_cilindro!$B$34))/Presion_cilindro!$B$35)^(Presion_cilindro!$B$17+1)),0)-IF(Presion_cilindro!N675&gt;(-M$4+Presion_cilindro!$B$34),1-EXP(-Presion_cilindro!$B$16*((Presion_cilindro!N675-(-M$4+Presion_cilindro!$B$34))/Presion_cilindro!$B$35)^(Presion_cilindro!$B$17+1)),0))/((Presion_cilindro!O675+Presion_cilindro!O676)/2)</f>
        <v>2.49035492332855</v>
      </c>
      <c r="N684" s="27">
        <f>N683*(Presion_cilindro!O675/Presion_cilindro!O676)^Presion_cilindro!$B$9+10*(Presion_cilindro!$B$9-1)*Presion_cilindro!$B$33*(IF(Presion_cilindro!N676&gt;(-N$4+Presion_cilindro!$B$34),1-EXP(-Presion_cilindro!$B$16*((Presion_cilindro!N676-(-N$4+Presion_cilindro!$B$34))/Presion_cilindro!$B$35)^(Presion_cilindro!$B$17+1)),0)-IF(Presion_cilindro!N675&gt;(-N$4+Presion_cilindro!$B$34),1-EXP(-Presion_cilindro!$B$16*((Presion_cilindro!N675-(-N$4+Presion_cilindro!$B$34))/Presion_cilindro!$B$35)^(Presion_cilindro!$B$17+1)),0))/((Presion_cilindro!O675+Presion_cilindro!O676)/2)</f>
        <v>2.5622502255297697</v>
      </c>
    </row>
    <row r="685" spans="1:14" x14ac:dyDescent="0.25">
      <c r="A685" s="21">
        <f>Presion_cilindro!N677</f>
        <v>156.5</v>
      </c>
      <c r="B685" s="27">
        <f>B684*(Presion_cilindro!O676/Presion_cilindro!O677)^Presion_cilindro!$B$9+10*(Presion_cilindro!$B$9-1)*Presion_cilindro!$B$33*(IF(Presion_cilindro!N677&gt;(-B$4+Presion_cilindro!$B$34),1-EXP(-Presion_cilindro!$B$16*((Presion_cilindro!N677-(-B$4+Presion_cilindro!$B$34))/Presion_cilindro!$B$35)^(Presion_cilindro!$B$17+1)),0)-IF(Presion_cilindro!N676&gt;(-B$4+Presion_cilindro!$B$34),1-EXP(-Presion_cilindro!$B$16*((Presion_cilindro!N676-(-B$4+Presion_cilindro!$B$34))/Presion_cilindro!$B$35)^(Presion_cilindro!$B$17+1)),0))/((Presion_cilindro!O676+Presion_cilindro!O677)/2)</f>
        <v>2.6901801013438984</v>
      </c>
      <c r="C685" s="27">
        <f>C684*(Presion_cilindro!O676/Presion_cilindro!O677)^Presion_cilindro!$B$9+10*(Presion_cilindro!$B$9-1)*Presion_cilindro!$B$33*(IF(Presion_cilindro!N677&gt;(-C$4+Presion_cilindro!$B$34),1-EXP(-Presion_cilindro!$B$16*((Presion_cilindro!N677-(-C$4+Presion_cilindro!$B$34))/Presion_cilindro!$B$35)^(Presion_cilindro!$B$17+1)),0)-IF(Presion_cilindro!N676&gt;(-C$4+Presion_cilindro!$B$34),1-EXP(-Presion_cilindro!$B$16*((Presion_cilindro!N676-(-C$4+Presion_cilindro!$B$34))/Presion_cilindro!$B$35)^(Presion_cilindro!$B$17+1)),0))/((Presion_cilindro!O676+Presion_cilindro!O677)/2)</f>
        <v>2.6074738452549826</v>
      </c>
      <c r="D685" s="27">
        <f>D684*(Presion_cilindro!O676/Presion_cilindro!O677)^Presion_cilindro!$B$9+10*(Presion_cilindro!$B$9-1)*Presion_cilindro!$B$33*(IF(Presion_cilindro!N677&gt;(-D$4+Presion_cilindro!$B$34),1-EXP(-Presion_cilindro!$B$16*((Presion_cilindro!N677-(-D$4+Presion_cilindro!$B$34))/Presion_cilindro!$B$35)^(Presion_cilindro!$B$17+1)),0)-IF(Presion_cilindro!N676&gt;(-D$4+Presion_cilindro!$B$34),1-EXP(-Presion_cilindro!$B$16*((Presion_cilindro!N676-(-D$4+Presion_cilindro!$B$34))/Presion_cilindro!$B$35)^(Presion_cilindro!$B$17+1)),0))/((Presion_cilindro!O676+Presion_cilindro!O677)/2)</f>
        <v>2.5304450538596499</v>
      </c>
      <c r="E685" s="27">
        <f>E684*(Presion_cilindro!O676/Presion_cilindro!O677)^Presion_cilindro!$B$9+10*(Presion_cilindro!$B$9-1)*Presion_cilindro!$B$33*(IF(Presion_cilindro!N677&gt;(-E$4+Presion_cilindro!$B$34),1-EXP(-Presion_cilindro!$B$16*((Presion_cilindro!N677-(-E$4+Presion_cilindro!$B$34))/Presion_cilindro!$B$35)^(Presion_cilindro!$B$17+1)),0)-IF(Presion_cilindro!N676&gt;(-E$4+Presion_cilindro!$B$34),1-EXP(-Presion_cilindro!$B$16*((Presion_cilindro!N676-(-E$4+Presion_cilindro!$B$34))/Presion_cilindro!$B$35)^(Presion_cilindro!$B$17+1)),0))/((Presion_cilindro!O676+Presion_cilindro!O677)/2)</f>
        <v>2.4619592946748261</v>
      </c>
      <c r="F685" s="27">
        <f>F684*(Presion_cilindro!O676/Presion_cilindro!O677)^Presion_cilindro!$B$9+10*(Presion_cilindro!$B$9-1)*Presion_cilindro!$B$33*(IF(Presion_cilindro!N677&gt;(-F$4+Presion_cilindro!$B$34),1-EXP(-Presion_cilindro!$B$16*((Presion_cilindro!N677-(-F$4+Presion_cilindro!$B$34))/Presion_cilindro!$B$35)^(Presion_cilindro!$B$17+1)),0)-IF(Presion_cilindro!N676&gt;(-F$4+Presion_cilindro!$B$34),1-EXP(-Presion_cilindro!$B$16*((Presion_cilindro!N676-(-F$4+Presion_cilindro!$B$34))/Presion_cilindro!$B$35)^(Presion_cilindro!$B$17+1)),0))/((Presion_cilindro!O676+Presion_cilindro!O677)/2)</f>
        <v>2.405138267916036</v>
      </c>
      <c r="G685" s="27">
        <f>G684*(Presion_cilindro!O676/Presion_cilindro!O677)^Presion_cilindro!$B$9+10*(Presion_cilindro!$B$9-1)*Presion_cilindro!$B$33*(IF(Presion_cilindro!N677&gt;(-G$4+Presion_cilindro!$B$34),1-EXP(-Presion_cilindro!$B$16*((Presion_cilindro!N677-(-G$4+Presion_cilindro!$B$34))/Presion_cilindro!$B$35)^(Presion_cilindro!$B$17+1)),0)-IF(Presion_cilindro!N676&gt;(-G$4+Presion_cilindro!$B$34),1-EXP(-Presion_cilindro!$B$16*((Presion_cilindro!N676-(-G$4+Presion_cilindro!$B$34))/Presion_cilindro!$B$35)^(Presion_cilindro!$B$17+1)),0))/((Presion_cilindro!O676+Presion_cilindro!O677)/2)</f>
        <v>2.363034554110913</v>
      </c>
      <c r="H685" s="27">
        <f>H684*(Presion_cilindro!O676/Presion_cilindro!O677)^Presion_cilindro!$B$9+10*(Presion_cilindro!$B$9-1)*Presion_cilindro!$B$33*(IF(Presion_cilindro!N677&gt;(-H$4+Presion_cilindro!$B$34),1-EXP(-Presion_cilindro!$B$16*((Presion_cilindro!N677-(-H$4+Presion_cilindro!$B$34))/Presion_cilindro!$B$35)^(Presion_cilindro!$B$17+1)),0)-IF(Presion_cilindro!N676&gt;(-H$4+Presion_cilindro!$B$34),1-EXP(-Presion_cilindro!$B$16*((Presion_cilindro!N676-(-H$4+Presion_cilindro!$B$34))/Presion_cilindro!$B$35)^(Presion_cilindro!$B$17+1)),0))/((Presion_cilindro!O676+Presion_cilindro!O677)/2)</f>
        <v>2.338198132210263</v>
      </c>
      <c r="I685" s="27">
        <f>I684*(Presion_cilindro!O676/Presion_cilindro!O677)^Presion_cilindro!$B$9+10*(Presion_cilindro!$B$9-1)*Presion_cilindro!$B$33*(IF(Presion_cilindro!N677&gt;(-I$4+Presion_cilindro!$B$34),1-EXP(-Presion_cilindro!$B$16*((Presion_cilindro!N677-(-I$4+Presion_cilindro!$B$34))/Presion_cilindro!$B$35)^(Presion_cilindro!$B$17+1)),0)-IF(Presion_cilindro!N676&gt;(-I$4+Presion_cilindro!$B$34),1-EXP(-Presion_cilindro!$B$16*((Presion_cilindro!N676-(-I$4+Presion_cilindro!$B$34))/Presion_cilindro!$B$35)^(Presion_cilindro!$B$17+1)),0))/((Presion_cilindro!O676+Presion_cilindro!O677)/2)</f>
        <v>2.3322405674828248</v>
      </c>
      <c r="J685" s="27">
        <f>J684*(Presion_cilindro!O676/Presion_cilindro!O677)^Presion_cilindro!$B$9+10*(Presion_cilindro!$B$9-1)*Presion_cilindro!$B$33*(IF(Presion_cilindro!N677&gt;(-J$4+Presion_cilindro!$B$34),1-EXP(-Presion_cilindro!$B$16*((Presion_cilindro!N677-(-J$4+Presion_cilindro!$B$34))/Presion_cilindro!$B$35)^(Presion_cilindro!$B$17+1)),0)-IF(Presion_cilindro!N676&gt;(-J$4+Presion_cilindro!$B$34),1-EXP(-Presion_cilindro!$B$16*((Presion_cilindro!N676-(-J$4+Presion_cilindro!$B$34))/Presion_cilindro!$B$35)^(Presion_cilindro!$B$17+1)),0))/((Presion_cilindro!O676+Presion_cilindro!O677)/2)</f>
        <v>2.345532909159044</v>
      </c>
      <c r="K685" s="27">
        <f>K684*(Presion_cilindro!O676/Presion_cilindro!O677)^Presion_cilindro!$B$9+10*(Presion_cilindro!$B$9-1)*Presion_cilindro!$B$33*(IF(Presion_cilindro!N677&gt;(-K$4+Presion_cilindro!$B$34),1-EXP(-Presion_cilindro!$B$16*((Presion_cilindro!N677-(-K$4+Presion_cilindro!$B$34))/Presion_cilindro!$B$35)^(Presion_cilindro!$B$17+1)),0)-IF(Presion_cilindro!N676&gt;(-K$4+Presion_cilindro!$B$34),1-EXP(-Presion_cilindro!$B$16*((Presion_cilindro!N676-(-K$4+Presion_cilindro!$B$34))/Presion_cilindro!$B$35)^(Presion_cilindro!$B$17+1)),0))/((Presion_cilindro!O676+Presion_cilindro!O677)/2)</f>
        <v>2.3771412936185419</v>
      </c>
      <c r="L685" s="27">
        <f>L684*(Presion_cilindro!O676/Presion_cilindro!O677)^Presion_cilindro!$B$9+10*(Presion_cilindro!$B$9-1)*Presion_cilindro!$B$33*(IF(Presion_cilindro!N677&gt;(-L$4+Presion_cilindro!$B$34),1-EXP(-Presion_cilindro!$B$16*((Presion_cilindro!N677-(-L$4+Presion_cilindro!$B$34))/Presion_cilindro!$B$35)^(Presion_cilindro!$B$17+1)),0)-IF(Presion_cilindro!N676&gt;(-L$4+Presion_cilindro!$B$34),1-EXP(-Presion_cilindro!$B$16*((Presion_cilindro!N676-(-L$4+Presion_cilindro!$B$34))/Presion_cilindro!$B$35)^(Presion_cilindro!$B$17+1)),0))/((Presion_cilindro!O676+Presion_cilindro!O677)/2)</f>
        <v>2.4250200055070144</v>
      </c>
      <c r="M685" s="27">
        <f>M684*(Presion_cilindro!O676/Presion_cilindro!O677)^Presion_cilindro!$B$9+10*(Presion_cilindro!$B$9-1)*Presion_cilindro!$B$33*(IF(Presion_cilindro!N677&gt;(-M$4+Presion_cilindro!$B$34),1-EXP(-Presion_cilindro!$B$16*((Presion_cilindro!N677-(-M$4+Presion_cilindro!$B$34))/Presion_cilindro!$B$35)^(Presion_cilindro!$B$17+1)),0)-IF(Presion_cilindro!N676&gt;(-M$4+Presion_cilindro!$B$34),1-EXP(-Presion_cilindro!$B$16*((Presion_cilindro!N676-(-M$4+Presion_cilindro!$B$34))/Presion_cilindro!$B$35)^(Presion_cilindro!$B$17+1)),0))/((Presion_cilindro!O676+Presion_cilindro!O677)/2)</f>
        <v>2.4863889756855735</v>
      </c>
      <c r="N685" s="27">
        <f>N684*(Presion_cilindro!O676/Presion_cilindro!O677)^Presion_cilindro!$B$9+10*(Presion_cilindro!$B$9-1)*Presion_cilindro!$B$33*(IF(Presion_cilindro!N677&gt;(-N$4+Presion_cilindro!$B$34),1-EXP(-Presion_cilindro!$B$16*((Presion_cilindro!N677-(-N$4+Presion_cilindro!$B$34))/Presion_cilindro!$B$35)^(Presion_cilindro!$B$17+1)),0)-IF(Presion_cilindro!N676&gt;(-N$4+Presion_cilindro!$B$34),1-EXP(-Presion_cilindro!$B$16*((Presion_cilindro!N676-(-N$4+Presion_cilindro!$B$34))/Presion_cilindro!$B$35)^(Presion_cilindro!$B$17+1)),0))/((Presion_cilindro!O676+Presion_cilindro!O677)/2)</f>
        <v>2.5581697829601322</v>
      </c>
    </row>
    <row r="686" spans="1:14" x14ac:dyDescent="0.25">
      <c r="A686" s="21">
        <f>Presion_cilindro!N678</f>
        <v>157</v>
      </c>
      <c r="B686" s="27">
        <f>B685*(Presion_cilindro!O677/Presion_cilindro!O678)^Presion_cilindro!$B$9+10*(Presion_cilindro!$B$9-1)*Presion_cilindro!$B$33*(IF(Presion_cilindro!N678&gt;(-B$4+Presion_cilindro!$B$34),1-EXP(-Presion_cilindro!$B$16*((Presion_cilindro!N678-(-B$4+Presion_cilindro!$B$34))/Presion_cilindro!$B$35)^(Presion_cilindro!$B$17+1)),0)-IF(Presion_cilindro!N677&gt;(-B$4+Presion_cilindro!$B$34),1-EXP(-Presion_cilindro!$B$16*((Presion_cilindro!N677-(-B$4+Presion_cilindro!$B$34))/Presion_cilindro!$B$35)^(Presion_cilindro!$B$17+1)),0))/((Presion_cilindro!O677+Presion_cilindro!O678)/2)</f>
        <v>2.6859912559709089</v>
      </c>
      <c r="C686" s="27">
        <f>C685*(Presion_cilindro!O677/Presion_cilindro!O678)^Presion_cilindro!$B$9+10*(Presion_cilindro!$B$9-1)*Presion_cilindro!$B$33*(IF(Presion_cilindro!N678&gt;(-C$4+Presion_cilindro!$B$34),1-EXP(-Presion_cilindro!$B$16*((Presion_cilindro!N678-(-C$4+Presion_cilindro!$B$34))/Presion_cilindro!$B$35)^(Presion_cilindro!$B$17+1)),0)-IF(Presion_cilindro!N677&gt;(-C$4+Presion_cilindro!$B$34),1-EXP(-Presion_cilindro!$B$16*((Presion_cilindro!N677-(-C$4+Presion_cilindro!$B$34))/Presion_cilindro!$B$35)^(Presion_cilindro!$B$17+1)),0))/((Presion_cilindro!O677+Presion_cilindro!O678)/2)</f>
        <v>2.6034137807461302</v>
      </c>
      <c r="D686" s="27">
        <f>D685*(Presion_cilindro!O677/Presion_cilindro!O678)^Presion_cilindro!$B$9+10*(Presion_cilindro!$B$9-1)*Presion_cilindro!$B$33*(IF(Presion_cilindro!N678&gt;(-D$4+Presion_cilindro!$B$34),1-EXP(-Presion_cilindro!$B$16*((Presion_cilindro!N678-(-D$4+Presion_cilindro!$B$34))/Presion_cilindro!$B$35)^(Presion_cilindro!$B$17+1)),0)-IF(Presion_cilindro!N677&gt;(-D$4+Presion_cilindro!$B$34),1-EXP(-Presion_cilindro!$B$16*((Presion_cilindro!N677-(-D$4+Presion_cilindro!$B$34))/Presion_cilindro!$B$35)^(Presion_cilindro!$B$17+1)),0))/((Presion_cilindro!O677+Presion_cilindro!O678)/2)</f>
        <v>2.5265049299065474</v>
      </c>
      <c r="E686" s="27">
        <f>E685*(Presion_cilindro!O677/Presion_cilindro!O678)^Presion_cilindro!$B$9+10*(Presion_cilindro!$B$9-1)*Presion_cilindro!$B$33*(IF(Presion_cilindro!N678&gt;(-E$4+Presion_cilindro!$B$34),1-EXP(-Presion_cilindro!$B$16*((Presion_cilindro!N678-(-E$4+Presion_cilindro!$B$34))/Presion_cilindro!$B$35)^(Presion_cilindro!$B$17+1)),0)-IF(Presion_cilindro!N677&gt;(-E$4+Presion_cilindro!$B$34),1-EXP(-Presion_cilindro!$B$16*((Presion_cilindro!N677-(-E$4+Presion_cilindro!$B$34))/Presion_cilindro!$B$35)^(Presion_cilindro!$B$17+1)),0))/((Presion_cilindro!O677+Presion_cilindro!O678)/2)</f>
        <v>2.4581258090301898</v>
      </c>
      <c r="F686" s="27">
        <f>F685*(Presion_cilindro!O677/Presion_cilindro!O678)^Presion_cilindro!$B$9+10*(Presion_cilindro!$B$9-1)*Presion_cilindro!$B$33*(IF(Presion_cilindro!N678&gt;(-F$4+Presion_cilindro!$B$34),1-EXP(-Presion_cilindro!$B$16*((Presion_cilindro!N678-(-F$4+Presion_cilindro!$B$34))/Presion_cilindro!$B$35)^(Presion_cilindro!$B$17+1)),0)-IF(Presion_cilindro!N677&gt;(-F$4+Presion_cilindro!$B$34),1-EXP(-Presion_cilindro!$B$16*((Presion_cilindro!N677-(-F$4+Presion_cilindro!$B$34))/Presion_cilindro!$B$35)^(Presion_cilindro!$B$17+1)),0))/((Presion_cilindro!O677+Presion_cilindro!O678)/2)</f>
        <v>2.4013932575727033</v>
      </c>
      <c r="G686" s="27">
        <f>G685*(Presion_cilindro!O677/Presion_cilindro!O678)^Presion_cilindro!$B$9+10*(Presion_cilindro!$B$9-1)*Presion_cilindro!$B$33*(IF(Presion_cilindro!N678&gt;(-G$4+Presion_cilindro!$B$34),1-EXP(-Presion_cilindro!$B$16*((Presion_cilindro!N678-(-G$4+Presion_cilindro!$B$34))/Presion_cilindro!$B$35)^(Presion_cilindro!$B$17+1)),0)-IF(Presion_cilindro!N677&gt;(-G$4+Presion_cilindro!$B$34),1-EXP(-Presion_cilindro!$B$16*((Presion_cilindro!N677-(-G$4+Presion_cilindro!$B$34))/Presion_cilindro!$B$35)^(Presion_cilindro!$B$17+1)),0))/((Presion_cilindro!O677+Presion_cilindro!O678)/2)</f>
        <v>2.3593551029272328</v>
      </c>
      <c r="H686" s="27">
        <f>H685*(Presion_cilindro!O677/Presion_cilindro!O678)^Presion_cilindro!$B$9+10*(Presion_cilindro!$B$9-1)*Presion_cilindro!$B$33*(IF(Presion_cilindro!N678&gt;(-H$4+Presion_cilindro!$B$34),1-EXP(-Presion_cilindro!$B$16*((Presion_cilindro!N678-(-H$4+Presion_cilindro!$B$34))/Presion_cilindro!$B$35)^(Presion_cilindro!$B$17+1)),0)-IF(Presion_cilindro!N677&gt;(-H$4+Presion_cilindro!$B$34),1-EXP(-Presion_cilindro!$B$16*((Presion_cilindro!N677-(-H$4+Presion_cilindro!$B$34))/Presion_cilindro!$B$35)^(Presion_cilindro!$B$17+1)),0))/((Presion_cilindro!O677+Presion_cilindro!O678)/2)</f>
        <v>2.334557353504648</v>
      </c>
      <c r="I686" s="27">
        <f>I685*(Presion_cilindro!O677/Presion_cilindro!O678)^Presion_cilindro!$B$9+10*(Presion_cilindro!$B$9-1)*Presion_cilindro!$B$33*(IF(Presion_cilindro!N678&gt;(-I$4+Presion_cilindro!$B$34),1-EXP(-Presion_cilindro!$B$16*((Presion_cilindro!N678-(-I$4+Presion_cilindro!$B$34))/Presion_cilindro!$B$35)^(Presion_cilindro!$B$17+1)),0)-IF(Presion_cilindro!N677&gt;(-I$4+Presion_cilindro!$B$34),1-EXP(-Presion_cilindro!$B$16*((Presion_cilindro!N677-(-I$4+Presion_cilindro!$B$34))/Presion_cilindro!$B$35)^(Presion_cilindro!$B$17+1)),0))/((Presion_cilindro!O677+Presion_cilindro!O678)/2)</f>
        <v>2.3286090652258129</v>
      </c>
      <c r="J686" s="27">
        <f>J685*(Presion_cilindro!O677/Presion_cilindro!O678)^Presion_cilindro!$B$9+10*(Presion_cilindro!$B$9-1)*Presion_cilindro!$B$33*(IF(Presion_cilindro!N678&gt;(-J$4+Presion_cilindro!$B$34),1-EXP(-Presion_cilindro!$B$16*((Presion_cilindro!N678-(-J$4+Presion_cilindro!$B$34))/Presion_cilindro!$B$35)^(Presion_cilindro!$B$17+1)),0)-IF(Presion_cilindro!N677&gt;(-J$4+Presion_cilindro!$B$34),1-EXP(-Presion_cilindro!$B$16*((Presion_cilindro!N677-(-J$4+Presion_cilindro!$B$34))/Presion_cilindro!$B$35)^(Presion_cilindro!$B$17+1)),0))/((Presion_cilindro!O677+Presion_cilindro!O678)/2)</f>
        <v>2.3418807095651144</v>
      </c>
      <c r="K686" s="27">
        <f>K685*(Presion_cilindro!O677/Presion_cilindro!O678)^Presion_cilindro!$B$9+10*(Presion_cilindro!$B$9-1)*Presion_cilindro!$B$33*(IF(Presion_cilindro!N678&gt;(-K$4+Presion_cilindro!$B$34),1-EXP(-Presion_cilindro!$B$16*((Presion_cilindro!N678-(-K$4+Presion_cilindro!$B$34))/Presion_cilindro!$B$35)^(Presion_cilindro!$B$17+1)),0)-IF(Presion_cilindro!N677&gt;(-K$4+Presion_cilindro!$B$34),1-EXP(-Presion_cilindro!$B$16*((Presion_cilindro!N677-(-K$4+Presion_cilindro!$B$34))/Presion_cilindro!$B$35)^(Presion_cilindro!$B$17+1)),0))/((Presion_cilindro!O677+Presion_cilindro!O678)/2)</f>
        <v>2.373439877009393</v>
      </c>
      <c r="L686" s="27">
        <f>L685*(Presion_cilindro!O677/Presion_cilindro!O678)^Presion_cilindro!$B$9+10*(Presion_cilindro!$B$9-1)*Presion_cilindro!$B$33*(IF(Presion_cilindro!N678&gt;(-L$4+Presion_cilindro!$B$34),1-EXP(-Presion_cilindro!$B$16*((Presion_cilindro!N678-(-L$4+Presion_cilindro!$B$34))/Presion_cilindro!$B$35)^(Presion_cilindro!$B$17+1)),0)-IF(Presion_cilindro!N677&gt;(-L$4+Presion_cilindro!$B$34),1-EXP(-Presion_cilindro!$B$16*((Presion_cilindro!N677-(-L$4+Presion_cilindro!$B$34))/Presion_cilindro!$B$35)^(Presion_cilindro!$B$17+1)),0))/((Presion_cilindro!O677+Presion_cilindro!O678)/2)</f>
        <v>2.4212440375618196</v>
      </c>
      <c r="M686" s="27">
        <f>M685*(Presion_cilindro!O677/Presion_cilindro!O678)^Presion_cilindro!$B$9+10*(Presion_cilindro!$B$9-1)*Presion_cilindro!$B$33*(IF(Presion_cilindro!N678&gt;(-M$4+Presion_cilindro!$B$34),1-EXP(-Presion_cilindro!$B$16*((Presion_cilindro!N678-(-M$4+Presion_cilindro!$B$34))/Presion_cilindro!$B$35)^(Presion_cilindro!$B$17+1)),0)-IF(Presion_cilindro!N677&gt;(-M$4+Presion_cilindro!$B$34),1-EXP(-Presion_cilindro!$B$16*((Presion_cilindro!N677-(-M$4+Presion_cilindro!$B$34))/Presion_cilindro!$B$35)^(Presion_cilindro!$B$17+1)),0))/((Presion_cilindro!O677+Presion_cilindro!O678)/2)</f>
        <v>2.4825174508939618</v>
      </c>
      <c r="N686" s="27">
        <f>N685*(Presion_cilindro!O677/Presion_cilindro!O678)^Presion_cilindro!$B$9+10*(Presion_cilindro!$B$9-1)*Presion_cilindro!$B$33*(IF(Presion_cilindro!N678&gt;(-N$4+Presion_cilindro!$B$34),1-EXP(-Presion_cilindro!$B$16*((Presion_cilindro!N678-(-N$4+Presion_cilindro!$B$34))/Presion_cilindro!$B$35)^(Presion_cilindro!$B$17+1)),0)-IF(Presion_cilindro!N677&gt;(-N$4+Presion_cilindro!$B$34),1-EXP(-Presion_cilindro!$B$16*((Presion_cilindro!N677-(-N$4+Presion_cilindro!$B$34))/Presion_cilindro!$B$35)^(Presion_cilindro!$B$17+1)),0))/((Presion_cilindro!O677+Presion_cilindro!O678)/2)</f>
        <v>2.5541864891823955</v>
      </c>
    </row>
    <row r="687" spans="1:14" x14ac:dyDescent="0.25">
      <c r="A687" s="21">
        <f>Presion_cilindro!N679</f>
        <v>157.5</v>
      </c>
      <c r="B687" s="27">
        <f>B686*(Presion_cilindro!O678/Presion_cilindro!O679)^Presion_cilindro!$B$9+10*(Presion_cilindro!$B$9-1)*Presion_cilindro!$B$33*(IF(Presion_cilindro!N679&gt;(-B$4+Presion_cilindro!$B$34),1-EXP(-Presion_cilindro!$B$16*((Presion_cilindro!N679-(-B$4+Presion_cilindro!$B$34))/Presion_cilindro!$B$35)^(Presion_cilindro!$B$17+1)),0)-IF(Presion_cilindro!N678&gt;(-B$4+Presion_cilindro!$B$34),1-EXP(-Presion_cilindro!$B$16*((Presion_cilindro!N678-(-B$4+Presion_cilindro!$B$34))/Presion_cilindro!$B$35)^(Presion_cilindro!$B$17+1)),0))/((Presion_cilindro!O678+Presion_cilindro!O679)/2)</f>
        <v>2.6819037834258412</v>
      </c>
      <c r="C687" s="27">
        <f>C686*(Presion_cilindro!O678/Presion_cilindro!O679)^Presion_cilindro!$B$9+10*(Presion_cilindro!$B$9-1)*Presion_cilindro!$B$33*(IF(Presion_cilindro!N679&gt;(-C$4+Presion_cilindro!$B$34),1-EXP(-Presion_cilindro!$B$16*((Presion_cilindro!N679-(-C$4+Presion_cilindro!$B$34))/Presion_cilindro!$B$35)^(Presion_cilindro!$B$17+1)),0)-IF(Presion_cilindro!N678&gt;(-C$4+Presion_cilindro!$B$34),1-EXP(-Presion_cilindro!$B$16*((Presion_cilindro!N678-(-C$4+Presion_cilindro!$B$34))/Presion_cilindro!$B$35)^(Presion_cilindro!$B$17+1)),0))/((Presion_cilindro!O678+Presion_cilindro!O679)/2)</f>
        <v>2.5994519724831302</v>
      </c>
      <c r="D687" s="27">
        <f>D686*(Presion_cilindro!O678/Presion_cilindro!O679)^Presion_cilindro!$B$9+10*(Presion_cilindro!$B$9-1)*Presion_cilindro!$B$33*(IF(Presion_cilindro!N679&gt;(-D$4+Presion_cilindro!$B$34),1-EXP(-Presion_cilindro!$B$16*((Presion_cilindro!N679-(-D$4+Presion_cilindro!$B$34))/Presion_cilindro!$B$35)^(Presion_cilindro!$B$17+1)),0)-IF(Presion_cilindro!N678&gt;(-D$4+Presion_cilindro!$B$34),1-EXP(-Presion_cilindro!$B$16*((Presion_cilindro!N678-(-D$4+Presion_cilindro!$B$34))/Presion_cilindro!$B$35)^(Presion_cilindro!$B$17+1)),0))/((Presion_cilindro!O678+Presion_cilindro!O679)/2)</f>
        <v>2.5226601595585372</v>
      </c>
      <c r="E687" s="27">
        <f>E686*(Presion_cilindro!O678/Presion_cilindro!O679)^Presion_cilindro!$B$9+10*(Presion_cilindro!$B$9-1)*Presion_cilindro!$B$33*(IF(Presion_cilindro!N679&gt;(-E$4+Presion_cilindro!$B$34),1-EXP(-Presion_cilindro!$B$16*((Presion_cilindro!N679-(-E$4+Presion_cilindro!$B$34))/Presion_cilindro!$B$35)^(Presion_cilindro!$B$17+1)),0)-IF(Presion_cilindro!N678&gt;(-E$4+Presion_cilindro!$B$34),1-EXP(-Presion_cilindro!$B$16*((Presion_cilindro!N678-(-E$4+Presion_cilindro!$B$34))/Presion_cilindro!$B$35)^(Presion_cilindro!$B$17+1)),0))/((Presion_cilindro!O678+Presion_cilindro!O679)/2)</f>
        <v>2.4543850962730658</v>
      </c>
      <c r="F687" s="27">
        <f>F686*(Presion_cilindro!O678/Presion_cilindro!O679)^Presion_cilindro!$B$9+10*(Presion_cilindro!$B$9-1)*Presion_cilindro!$B$33*(IF(Presion_cilindro!N679&gt;(-F$4+Presion_cilindro!$B$34),1-EXP(-Presion_cilindro!$B$16*((Presion_cilindro!N679-(-F$4+Presion_cilindro!$B$34))/Presion_cilindro!$B$35)^(Presion_cilindro!$B$17+1)),0)-IF(Presion_cilindro!N678&gt;(-F$4+Presion_cilindro!$B$34),1-EXP(-Presion_cilindro!$B$16*((Presion_cilindro!N678-(-F$4+Presion_cilindro!$B$34))/Presion_cilindro!$B$35)^(Presion_cilindro!$B$17+1)),0))/((Presion_cilindro!O678+Presion_cilindro!O679)/2)</f>
        <v>2.3977388789560865</v>
      </c>
      <c r="G687" s="27">
        <f>G686*(Presion_cilindro!O678/Presion_cilindro!O679)^Presion_cilindro!$B$9+10*(Presion_cilindro!$B$9-1)*Presion_cilindro!$B$33*(IF(Presion_cilindro!N679&gt;(-G$4+Presion_cilindro!$B$34),1-EXP(-Presion_cilindro!$B$16*((Presion_cilindro!N679-(-G$4+Presion_cilindro!$B$34))/Presion_cilindro!$B$35)^(Presion_cilindro!$B$17+1)),0)-IF(Presion_cilindro!N678&gt;(-G$4+Presion_cilindro!$B$34),1-EXP(-Presion_cilindro!$B$16*((Presion_cilindro!N678-(-G$4+Presion_cilindro!$B$34))/Presion_cilindro!$B$35)^(Presion_cilindro!$B$17+1)),0))/((Presion_cilindro!O678+Presion_cilindro!O679)/2)</f>
        <v>2.3557646968952537</v>
      </c>
      <c r="H687" s="27">
        <f>H686*(Presion_cilindro!O678/Presion_cilindro!O679)^Presion_cilindro!$B$9+10*(Presion_cilindro!$B$9-1)*Presion_cilindro!$B$33*(IF(Presion_cilindro!N679&gt;(-H$4+Presion_cilindro!$B$34),1-EXP(-Presion_cilindro!$B$16*((Presion_cilindro!N679-(-H$4+Presion_cilindro!$B$34))/Presion_cilindro!$B$35)^(Presion_cilindro!$B$17+1)),0)-IF(Presion_cilindro!N678&gt;(-H$4+Presion_cilindro!$B$34),1-EXP(-Presion_cilindro!$B$16*((Presion_cilindro!N678-(-H$4+Presion_cilindro!$B$34))/Presion_cilindro!$B$35)^(Presion_cilindro!$B$17+1)),0))/((Presion_cilindro!O678+Presion_cilindro!O679)/2)</f>
        <v>2.3310046840511922</v>
      </c>
      <c r="I687" s="27">
        <f>I686*(Presion_cilindro!O678/Presion_cilindro!O679)^Presion_cilindro!$B$9+10*(Presion_cilindro!$B$9-1)*Presion_cilindro!$B$33*(IF(Presion_cilindro!N679&gt;(-I$4+Presion_cilindro!$B$34),1-EXP(-Presion_cilindro!$B$16*((Presion_cilindro!N679-(-I$4+Presion_cilindro!$B$34))/Presion_cilindro!$B$35)^(Presion_cilindro!$B$17+1)),0)-IF(Presion_cilindro!N678&gt;(-I$4+Presion_cilindro!$B$34),1-EXP(-Presion_cilindro!$B$16*((Presion_cilindro!N678-(-I$4+Presion_cilindro!$B$34))/Presion_cilindro!$B$35)^(Presion_cilindro!$B$17+1)),0))/((Presion_cilindro!O678+Presion_cilindro!O679)/2)</f>
        <v>2.3250654477247701</v>
      </c>
      <c r="J687" s="27">
        <f>J686*(Presion_cilindro!O678/Presion_cilindro!O679)^Presion_cilindro!$B$9+10*(Presion_cilindro!$B$9-1)*Presion_cilindro!$B$33*(IF(Presion_cilindro!N679&gt;(-J$4+Presion_cilindro!$B$34),1-EXP(-Presion_cilindro!$B$16*((Presion_cilindro!N679-(-J$4+Presion_cilindro!$B$34))/Presion_cilindro!$B$35)^(Presion_cilindro!$B$17+1)),0)-IF(Presion_cilindro!N678&gt;(-J$4+Presion_cilindro!$B$34),1-EXP(-Presion_cilindro!$B$16*((Presion_cilindro!N678-(-J$4+Presion_cilindro!$B$34))/Presion_cilindro!$B$35)^(Presion_cilindro!$B$17+1)),0))/((Presion_cilindro!O678+Presion_cilindro!O679)/2)</f>
        <v>2.3383168956163933</v>
      </c>
      <c r="K687" s="27">
        <f>K686*(Presion_cilindro!O678/Presion_cilindro!O679)^Presion_cilindro!$B$9+10*(Presion_cilindro!$B$9-1)*Presion_cilindro!$B$33*(IF(Presion_cilindro!N679&gt;(-K$4+Presion_cilindro!$B$34),1-EXP(-Presion_cilindro!$B$16*((Presion_cilindro!N679-(-K$4+Presion_cilindro!$B$34))/Presion_cilindro!$B$35)^(Presion_cilindro!$B$17+1)),0)-IF(Presion_cilindro!N678&gt;(-K$4+Presion_cilindro!$B$34),1-EXP(-Presion_cilindro!$B$16*((Presion_cilindro!N678-(-K$4+Presion_cilindro!$B$34))/Presion_cilindro!$B$35)^(Presion_cilindro!$B$17+1)),0))/((Presion_cilindro!O678+Presion_cilindro!O679)/2)</f>
        <v>2.369828037129766</v>
      </c>
      <c r="L687" s="27">
        <f>L686*(Presion_cilindro!O678/Presion_cilindro!O679)^Presion_cilindro!$B$9+10*(Presion_cilindro!$B$9-1)*Presion_cilindro!$B$33*(IF(Presion_cilindro!N679&gt;(-L$4+Presion_cilindro!$B$34),1-EXP(-Presion_cilindro!$B$16*((Presion_cilindro!N679-(-L$4+Presion_cilindro!$B$34))/Presion_cilindro!$B$35)^(Presion_cilindro!$B$17+1)),0)-IF(Presion_cilindro!N678&gt;(-L$4+Presion_cilindro!$B$34),1-EXP(-Presion_cilindro!$B$16*((Presion_cilindro!N678-(-L$4+Presion_cilindro!$B$34))/Presion_cilindro!$B$35)^(Presion_cilindro!$B$17+1)),0))/((Presion_cilindro!O678+Presion_cilindro!O679)/2)</f>
        <v>2.4175594505377767</v>
      </c>
      <c r="M687" s="27">
        <f>M686*(Presion_cilindro!O678/Presion_cilindro!O679)^Presion_cilindro!$B$9+10*(Presion_cilindro!$B$9-1)*Presion_cilindro!$B$33*(IF(Presion_cilindro!N679&gt;(-M$4+Presion_cilindro!$B$34),1-EXP(-Presion_cilindro!$B$16*((Presion_cilindro!N679-(-M$4+Presion_cilindro!$B$34))/Presion_cilindro!$B$35)^(Presion_cilindro!$B$17+1)),0)-IF(Presion_cilindro!N678&gt;(-M$4+Presion_cilindro!$B$34),1-EXP(-Presion_cilindro!$B$16*((Presion_cilindro!N678-(-M$4+Presion_cilindro!$B$34))/Presion_cilindro!$B$35)^(Presion_cilindro!$B$17+1)),0))/((Presion_cilindro!O678+Presion_cilindro!O679)/2)</f>
        <v>2.478739619562373</v>
      </c>
      <c r="N687" s="27">
        <f>N686*(Presion_cilindro!O678/Presion_cilindro!O679)^Presion_cilindro!$B$9+10*(Presion_cilindro!$B$9-1)*Presion_cilindro!$B$33*(IF(Presion_cilindro!N679&gt;(-N$4+Presion_cilindro!$B$34),1-EXP(-Presion_cilindro!$B$16*((Presion_cilindro!N679-(-N$4+Presion_cilindro!$B$34))/Presion_cilindro!$B$35)^(Presion_cilindro!$B$17+1)),0)-IF(Presion_cilindro!N678&gt;(-N$4+Presion_cilindro!$B$34),1-EXP(-Presion_cilindro!$B$16*((Presion_cilindro!N678-(-N$4+Presion_cilindro!$B$34))/Presion_cilindro!$B$35)^(Presion_cilindro!$B$17+1)),0))/((Presion_cilindro!O678+Presion_cilindro!O679)/2)</f>
        <v>2.5502995937480533</v>
      </c>
    </row>
    <row r="688" spans="1:14" x14ac:dyDescent="0.25">
      <c r="A688" s="21">
        <f>Presion_cilindro!N680</f>
        <v>158</v>
      </c>
      <c r="B688" s="27">
        <f>B687*(Presion_cilindro!O679/Presion_cilindro!O680)^Presion_cilindro!$B$9+10*(Presion_cilindro!$B$9-1)*Presion_cilindro!$B$33*(IF(Presion_cilindro!N680&gt;(-B$4+Presion_cilindro!$B$34),1-EXP(-Presion_cilindro!$B$16*((Presion_cilindro!N680-(-B$4+Presion_cilindro!$B$34))/Presion_cilindro!$B$35)^(Presion_cilindro!$B$17+1)),0)-IF(Presion_cilindro!N679&gt;(-B$4+Presion_cilindro!$B$34),1-EXP(-Presion_cilindro!$B$16*((Presion_cilindro!N679-(-B$4+Presion_cilindro!$B$34))/Presion_cilindro!$B$35)^(Presion_cilindro!$B$17+1)),0))/((Presion_cilindro!O679+Presion_cilindro!O680)/2)</f>
        <v>2.6779169153106488</v>
      </c>
      <c r="C688" s="27">
        <f>C687*(Presion_cilindro!O679/Presion_cilindro!O680)^Presion_cilindro!$B$9+10*(Presion_cilindro!$B$9-1)*Presion_cilindro!$B$33*(IF(Presion_cilindro!N680&gt;(-C$4+Presion_cilindro!$B$34),1-EXP(-Presion_cilindro!$B$16*((Presion_cilindro!N680-(-C$4+Presion_cilindro!$B$34))/Presion_cilindro!$B$35)^(Presion_cilindro!$B$17+1)),0)-IF(Presion_cilindro!N679&gt;(-C$4+Presion_cilindro!$B$34),1-EXP(-Presion_cilindro!$B$16*((Presion_cilindro!N679-(-C$4+Presion_cilindro!$B$34))/Presion_cilindro!$B$35)^(Presion_cilindro!$B$17+1)),0))/((Presion_cilindro!O679+Presion_cilindro!O680)/2)</f>
        <v>2.5955876756913829</v>
      </c>
      <c r="D688" s="27">
        <f>D687*(Presion_cilindro!O679/Presion_cilindro!O680)^Presion_cilindro!$B$9+10*(Presion_cilindro!$B$9-1)*Presion_cilindro!$B$33*(IF(Presion_cilindro!N680&gt;(-D$4+Presion_cilindro!$B$34),1-EXP(-Presion_cilindro!$B$16*((Presion_cilindro!N680-(-D$4+Presion_cilindro!$B$34))/Presion_cilindro!$B$35)^(Presion_cilindro!$B$17+1)),0)-IF(Presion_cilindro!N679&gt;(-D$4+Presion_cilindro!$B$34),1-EXP(-Presion_cilindro!$B$16*((Presion_cilindro!N679-(-D$4+Presion_cilindro!$B$34))/Presion_cilindro!$B$35)^(Presion_cilindro!$B$17+1)),0))/((Presion_cilindro!O679+Presion_cilindro!O680)/2)</f>
        <v>2.5189100200428074</v>
      </c>
      <c r="E688" s="27">
        <f>E687*(Presion_cilindro!O679/Presion_cilindro!O680)^Presion_cilindro!$B$9+10*(Presion_cilindro!$B$9-1)*Presion_cilindro!$B$33*(IF(Presion_cilindro!N680&gt;(-E$4+Presion_cilindro!$B$34),1-EXP(-Presion_cilindro!$B$16*((Presion_cilindro!N680-(-E$4+Presion_cilindro!$B$34))/Presion_cilindro!$B$35)^(Presion_cilindro!$B$17+1)),0)-IF(Presion_cilindro!N679&gt;(-E$4+Presion_cilindro!$B$34),1-EXP(-Presion_cilindro!$B$16*((Presion_cilindro!N679-(-E$4+Presion_cilindro!$B$34))/Presion_cilindro!$B$35)^(Presion_cilindro!$B$17+1)),0))/((Presion_cilindro!O679+Presion_cilindro!O680)/2)</f>
        <v>2.4507364531922784</v>
      </c>
      <c r="F688" s="27">
        <f>F687*(Presion_cilindro!O679/Presion_cilindro!O680)^Presion_cilindro!$B$9+10*(Presion_cilindro!$B$9-1)*Presion_cilindro!$B$33*(IF(Presion_cilindro!N680&gt;(-F$4+Presion_cilindro!$B$34),1-EXP(-Presion_cilindro!$B$16*((Presion_cilindro!N680-(-F$4+Presion_cilindro!$B$34))/Presion_cilindro!$B$35)^(Presion_cilindro!$B$17+1)),0)-IF(Presion_cilindro!N679&gt;(-F$4+Presion_cilindro!$B$34),1-EXP(-Presion_cilindro!$B$16*((Presion_cilindro!N679-(-F$4+Presion_cilindro!$B$34))/Presion_cilindro!$B$35)^(Presion_cilindro!$B$17+1)),0))/((Presion_cilindro!O679+Presion_cilindro!O680)/2)</f>
        <v>2.3941744450848401</v>
      </c>
      <c r="G688" s="27">
        <f>G687*(Presion_cilindro!O679/Presion_cilindro!O680)^Presion_cilindro!$B$9+10*(Presion_cilindro!$B$9-1)*Presion_cilindro!$B$33*(IF(Presion_cilindro!N680&gt;(-G$4+Presion_cilindro!$B$34),1-EXP(-Presion_cilindro!$B$16*((Presion_cilindro!N680-(-G$4+Presion_cilindro!$B$34))/Presion_cilindro!$B$35)^(Presion_cilindro!$B$17+1)),0)-IF(Presion_cilindro!N679&gt;(-G$4+Presion_cilindro!$B$34),1-EXP(-Presion_cilindro!$B$16*((Presion_cilindro!N679-(-G$4+Presion_cilindro!$B$34))/Presion_cilindro!$B$35)^(Presion_cilindro!$B$17+1)),0))/((Presion_cilindro!O679+Presion_cilindro!O680)/2)</f>
        <v>2.3522626610597435</v>
      </c>
      <c r="H688" s="27">
        <f>H687*(Presion_cilindro!O679/Presion_cilindro!O680)^Presion_cilindro!$B$9+10*(Presion_cilindro!$B$9-1)*Presion_cilindro!$B$33*(IF(Presion_cilindro!N680&gt;(-H$4+Presion_cilindro!$B$34),1-EXP(-Presion_cilindro!$B$16*((Presion_cilindro!N680-(-H$4+Presion_cilindro!$B$34))/Presion_cilindro!$B$35)^(Presion_cilindro!$B$17+1)),0)-IF(Presion_cilindro!N679&gt;(-H$4+Presion_cilindro!$B$34),1-EXP(-Presion_cilindro!$B$16*((Presion_cilindro!N679-(-H$4+Presion_cilindro!$B$34))/Presion_cilindro!$B$35)^(Presion_cilindro!$B$17+1)),0))/((Presion_cilindro!O679+Presion_cilindro!O680)/2)</f>
        <v>2.3275394559887088</v>
      </c>
      <c r="I688" s="27">
        <f>I687*(Presion_cilindro!O679/Presion_cilindro!O680)^Presion_cilindro!$B$9+10*(Presion_cilindro!$B$9-1)*Presion_cilindro!$B$33*(IF(Presion_cilindro!N680&gt;(-I$4+Presion_cilindro!$B$34),1-EXP(-Presion_cilindro!$B$16*((Presion_cilindro!N680-(-I$4+Presion_cilindro!$B$34))/Presion_cilindro!$B$35)^(Presion_cilindro!$B$17+1)),0)-IF(Presion_cilindro!N679&gt;(-I$4+Presion_cilindro!$B$34),1-EXP(-Presion_cilindro!$B$16*((Presion_cilindro!N679-(-I$4+Presion_cilindro!$B$34))/Presion_cilindro!$B$35)^(Presion_cilindro!$B$17+1)),0))/((Presion_cilindro!O679+Presion_cilindro!O680)/2)</f>
        <v>2.3216090488201724</v>
      </c>
      <c r="J688" s="27">
        <f>J687*(Presion_cilindro!O679/Presion_cilindro!O680)^Presion_cilindro!$B$9+10*(Presion_cilindro!$B$9-1)*Presion_cilindro!$B$33*(IF(Presion_cilindro!N680&gt;(-J$4+Presion_cilindro!$B$34),1-EXP(-Presion_cilindro!$B$16*((Presion_cilindro!N680-(-J$4+Presion_cilindro!$B$34))/Presion_cilindro!$B$35)^(Presion_cilindro!$B$17+1)),0)-IF(Presion_cilindro!N679&gt;(-J$4+Presion_cilindro!$B$34),1-EXP(-Presion_cilindro!$B$16*((Presion_cilindro!N679-(-J$4+Presion_cilindro!$B$34))/Presion_cilindro!$B$35)^(Presion_cilindro!$B$17+1)),0))/((Presion_cilindro!O679+Presion_cilindro!O680)/2)</f>
        <v>2.3348407973566565</v>
      </c>
      <c r="K688" s="27">
        <f>K687*(Presion_cilindro!O679/Presion_cilindro!O680)^Presion_cilindro!$B$9+10*(Presion_cilindro!$B$9-1)*Presion_cilindro!$B$33*(IF(Presion_cilindro!N680&gt;(-K$4+Presion_cilindro!$B$34),1-EXP(-Presion_cilindro!$B$16*((Presion_cilindro!N680-(-K$4+Presion_cilindro!$B$34))/Presion_cilindro!$B$35)^(Presion_cilindro!$B$17+1)),0)-IF(Presion_cilindro!N679&gt;(-K$4+Presion_cilindro!$B$34),1-EXP(-Presion_cilindro!$B$16*((Presion_cilindro!N679-(-K$4+Presion_cilindro!$B$34))/Presion_cilindro!$B$35)^(Presion_cilindro!$B$17+1)),0))/((Presion_cilindro!O679+Presion_cilindro!O680)/2)</f>
        <v>2.366305094995111</v>
      </c>
      <c r="L688" s="27">
        <f>L687*(Presion_cilindro!O679/Presion_cilindro!O680)^Presion_cilindro!$B$9+10*(Presion_cilindro!$B$9-1)*Presion_cilindro!$B$33*(IF(Presion_cilindro!N680&gt;(-L$4+Presion_cilindro!$B$34),1-EXP(-Presion_cilindro!$B$16*((Presion_cilindro!N680-(-L$4+Presion_cilindro!$B$34))/Presion_cilindro!$B$35)^(Presion_cilindro!$B$17+1)),0)-IF(Presion_cilindro!N679&gt;(-L$4+Presion_cilindro!$B$34),1-EXP(-Presion_cilindro!$B$16*((Presion_cilindro!N679-(-L$4+Presion_cilindro!$B$34))/Presion_cilindro!$B$35)^(Presion_cilindro!$B$17+1)),0))/((Presion_cilindro!O679+Presion_cilindro!O680)/2)</f>
        <v>2.4139655517747052</v>
      </c>
      <c r="M688" s="27">
        <f>M687*(Presion_cilindro!O679/Presion_cilindro!O680)^Presion_cilindro!$B$9+10*(Presion_cilindro!$B$9-1)*Presion_cilindro!$B$33*(IF(Presion_cilindro!N680&gt;(-M$4+Presion_cilindro!$B$34),1-EXP(-Presion_cilindro!$B$16*((Presion_cilindro!N680-(-M$4+Presion_cilindro!$B$34))/Presion_cilindro!$B$35)^(Presion_cilindro!$B$17+1)),0)-IF(Presion_cilindro!N679&gt;(-M$4+Presion_cilindro!$B$34),1-EXP(-Presion_cilindro!$B$16*((Presion_cilindro!N679-(-M$4+Presion_cilindro!$B$34))/Presion_cilindro!$B$35)^(Presion_cilindro!$B$17+1)),0))/((Presion_cilindro!O679+Presion_cilindro!O680)/2)</f>
        <v>2.4750547715017639</v>
      </c>
      <c r="N688" s="27">
        <f>N687*(Presion_cilindro!O679/Presion_cilindro!O680)^Presion_cilindro!$B$9+10*(Presion_cilindro!$B$9-1)*Presion_cilindro!$B$33*(IF(Presion_cilindro!N680&gt;(-N$4+Presion_cilindro!$B$34),1-EXP(-Presion_cilindro!$B$16*((Presion_cilindro!N680-(-N$4+Presion_cilindro!$B$34))/Presion_cilindro!$B$35)^(Presion_cilindro!$B$17+1)),0)-IF(Presion_cilindro!N679&gt;(-N$4+Presion_cilindro!$B$34),1-EXP(-Presion_cilindro!$B$16*((Presion_cilindro!N679-(-N$4+Presion_cilindro!$B$34))/Presion_cilindro!$B$35)^(Presion_cilindro!$B$17+1)),0))/((Presion_cilindro!O679+Presion_cilindro!O680)/2)</f>
        <v>2.5465083659652601</v>
      </c>
    </row>
    <row r="689" spans="1:14" x14ac:dyDescent="0.25">
      <c r="A689" s="21">
        <f>Presion_cilindro!N681</f>
        <v>158.5</v>
      </c>
      <c r="B689" s="27">
        <f>B688*(Presion_cilindro!O680/Presion_cilindro!O681)^Presion_cilindro!$B$9+10*(Presion_cilindro!$B$9-1)*Presion_cilindro!$B$33*(IF(Presion_cilindro!N681&gt;(-B$4+Presion_cilindro!$B$34),1-EXP(-Presion_cilindro!$B$16*((Presion_cilindro!N681-(-B$4+Presion_cilindro!$B$34))/Presion_cilindro!$B$35)^(Presion_cilindro!$B$17+1)),0)-IF(Presion_cilindro!N680&gt;(-B$4+Presion_cilindro!$B$34),1-EXP(-Presion_cilindro!$B$16*((Presion_cilindro!N680-(-B$4+Presion_cilindro!$B$34))/Presion_cilindro!$B$35)^(Presion_cilindro!$B$17+1)),0))/((Presion_cilindro!O680+Presion_cilindro!O681)/2)</f>
        <v>2.6740299037386399</v>
      </c>
      <c r="C689" s="27">
        <f>C688*(Presion_cilindro!O680/Presion_cilindro!O681)^Presion_cilindro!$B$9+10*(Presion_cilindro!$B$9-1)*Presion_cilindro!$B$33*(IF(Presion_cilindro!N681&gt;(-C$4+Presion_cilindro!$B$34),1-EXP(-Presion_cilindro!$B$16*((Presion_cilindro!N681-(-C$4+Presion_cilindro!$B$34))/Presion_cilindro!$B$35)^(Presion_cilindro!$B$17+1)),0)-IF(Presion_cilindro!N680&gt;(-C$4+Presion_cilindro!$B$34),1-EXP(-Presion_cilindro!$B$16*((Presion_cilindro!N680-(-C$4+Presion_cilindro!$B$34))/Presion_cilindro!$B$35)^(Presion_cilindro!$B$17+1)),0))/((Presion_cilindro!O680+Presion_cilindro!O681)/2)</f>
        <v>2.591820165477047</v>
      </c>
      <c r="D689" s="27">
        <f>D688*(Presion_cilindro!O680/Presion_cilindro!O681)^Presion_cilindro!$B$9+10*(Presion_cilindro!$B$9-1)*Presion_cilindro!$B$33*(IF(Presion_cilindro!N681&gt;(-D$4+Presion_cilindro!$B$34),1-EXP(-Presion_cilindro!$B$16*((Presion_cilindro!N681-(-D$4+Presion_cilindro!$B$34))/Presion_cilindro!$B$35)^(Presion_cilindro!$B$17+1)),0)-IF(Presion_cilindro!N680&gt;(-D$4+Presion_cilindro!$B$34),1-EXP(-Presion_cilindro!$B$16*((Presion_cilindro!N680-(-D$4+Presion_cilindro!$B$34))/Presion_cilindro!$B$35)^(Presion_cilindro!$B$17+1)),0))/((Presion_cilindro!O680+Presion_cilindro!O681)/2)</f>
        <v>2.5152538078799966</v>
      </c>
      <c r="E689" s="27">
        <f>E688*(Presion_cilindro!O680/Presion_cilindro!O681)^Presion_cilindro!$B$9+10*(Presion_cilindro!$B$9-1)*Presion_cilindro!$B$33*(IF(Presion_cilindro!N681&gt;(-E$4+Presion_cilindro!$B$34),1-EXP(-Presion_cilindro!$B$16*((Presion_cilindro!N681-(-E$4+Presion_cilindro!$B$34))/Presion_cilindro!$B$35)^(Presion_cilindro!$B$17+1)),0)-IF(Presion_cilindro!N680&gt;(-E$4+Presion_cilindro!$B$34),1-EXP(-Presion_cilindro!$B$16*((Presion_cilindro!N680-(-E$4+Presion_cilindro!$B$34))/Presion_cilindro!$B$35)^(Presion_cilindro!$B$17+1)),0))/((Presion_cilindro!O680+Presion_cilindro!O681)/2)</f>
        <v>2.44717919534793</v>
      </c>
      <c r="F689" s="27">
        <f>F688*(Presion_cilindro!O680/Presion_cilindro!O681)^Presion_cilindro!$B$9+10*(Presion_cilindro!$B$9-1)*Presion_cilindro!$B$33*(IF(Presion_cilindro!N681&gt;(-F$4+Presion_cilindro!$B$34),1-EXP(-Presion_cilindro!$B$16*((Presion_cilindro!N681-(-F$4+Presion_cilindro!$B$34))/Presion_cilindro!$B$35)^(Presion_cilindro!$B$17+1)),0)-IF(Presion_cilindro!N680&gt;(-F$4+Presion_cilindro!$B$34),1-EXP(-Presion_cilindro!$B$16*((Presion_cilindro!N680-(-F$4+Presion_cilindro!$B$34))/Presion_cilindro!$B$35)^(Presion_cilindro!$B$17+1)),0))/((Presion_cilindro!O680+Presion_cilindro!O681)/2)</f>
        <v>2.3906992873156629</v>
      </c>
      <c r="G689" s="27">
        <f>G688*(Presion_cilindro!O680/Presion_cilindro!O681)^Presion_cilindro!$B$9+10*(Presion_cilindro!$B$9-1)*Presion_cilindro!$B$33*(IF(Presion_cilindro!N681&gt;(-G$4+Presion_cilindro!$B$34),1-EXP(-Presion_cilindro!$B$16*((Presion_cilindro!N681-(-G$4+Presion_cilindro!$B$34))/Presion_cilindro!$B$35)^(Presion_cilindro!$B$17+1)),0)-IF(Presion_cilindro!N680&gt;(-G$4+Presion_cilindro!$B$34),1-EXP(-Presion_cilindro!$B$16*((Presion_cilindro!N680-(-G$4+Presion_cilindro!$B$34))/Presion_cilindro!$B$35)^(Presion_cilindro!$B$17+1)),0))/((Presion_cilindro!O680+Presion_cilindro!O681)/2)</f>
        <v>2.3488483384824939</v>
      </c>
      <c r="H689" s="27">
        <f>H688*(Presion_cilindro!O680/Presion_cilindro!O681)^Presion_cilindro!$B$9+10*(Presion_cilindro!$B$9-1)*Presion_cilindro!$B$33*(IF(Presion_cilindro!N681&gt;(-H$4+Presion_cilindro!$B$34),1-EXP(-Presion_cilindro!$B$16*((Presion_cilindro!N681-(-H$4+Presion_cilindro!$B$34))/Presion_cilindro!$B$35)^(Presion_cilindro!$B$17+1)),0)-IF(Presion_cilindro!N680&gt;(-H$4+Presion_cilindro!$B$34),1-EXP(-Presion_cilindro!$B$16*((Presion_cilindro!N680-(-H$4+Presion_cilindro!$B$34))/Presion_cilindro!$B$35)^(Presion_cilindro!$B$17+1)),0))/((Presion_cilindro!O680+Presion_cilindro!O681)/2)</f>
        <v>2.3241610192836681</v>
      </c>
      <c r="I689" s="27">
        <f>I688*(Presion_cilindro!O680/Presion_cilindro!O681)^Presion_cilindro!$B$9+10*(Presion_cilindro!$B$9-1)*Presion_cilindro!$B$33*(IF(Presion_cilindro!N681&gt;(-I$4+Presion_cilindro!$B$34),1-EXP(-Presion_cilindro!$B$16*((Presion_cilindro!N681-(-I$4+Presion_cilindro!$B$34))/Presion_cilindro!$B$35)^(Presion_cilindro!$B$17+1)),0)-IF(Presion_cilindro!N680&gt;(-I$4+Presion_cilindro!$B$34),1-EXP(-Presion_cilindro!$B$16*((Presion_cilindro!N680-(-I$4+Presion_cilindro!$B$34))/Presion_cilindro!$B$35)^(Presion_cilindro!$B$17+1)),0))/((Presion_cilindro!O680+Presion_cilindro!O681)/2)</f>
        <v>2.3182392201347302</v>
      </c>
      <c r="J689" s="27">
        <f>J688*(Presion_cilindro!O680/Presion_cilindro!O681)^Presion_cilindro!$B$9+10*(Presion_cilindro!$B$9-1)*Presion_cilindro!$B$33*(IF(Presion_cilindro!N681&gt;(-J$4+Presion_cilindro!$B$34),1-EXP(-Presion_cilindro!$B$16*((Presion_cilindro!N681-(-J$4+Presion_cilindro!$B$34))/Presion_cilindro!$B$35)^(Presion_cilindro!$B$17+1)),0)-IF(Presion_cilindro!N680&gt;(-J$4+Presion_cilindro!$B$34),1-EXP(-Presion_cilindro!$B$16*((Presion_cilindro!N680-(-J$4+Presion_cilindro!$B$34))/Presion_cilindro!$B$35)^(Presion_cilindro!$B$17+1)),0))/((Presion_cilindro!O680+Presion_cilindro!O681)/2)</f>
        <v>2.3314517627132605</v>
      </c>
      <c r="K689" s="27">
        <f>K688*(Presion_cilindro!O680/Presion_cilindro!O681)^Presion_cilindro!$B$9+10*(Presion_cilindro!$B$9-1)*Presion_cilindro!$B$33*(IF(Presion_cilindro!N681&gt;(-K$4+Presion_cilindro!$B$34),1-EXP(-Presion_cilindro!$B$16*((Presion_cilindro!N681-(-K$4+Presion_cilindro!$B$34))/Presion_cilindro!$B$35)^(Presion_cilindro!$B$17+1)),0)-IF(Presion_cilindro!N680&gt;(-K$4+Presion_cilindro!$B$34),1-EXP(-Presion_cilindro!$B$16*((Presion_cilindro!N680-(-K$4+Presion_cilindro!$B$34))/Presion_cilindro!$B$35)^(Presion_cilindro!$B$17+1)),0))/((Presion_cilindro!O680+Presion_cilindro!O681)/2)</f>
        <v>2.362870389745459</v>
      </c>
      <c r="L689" s="27">
        <f>L688*(Presion_cilindro!O680/Presion_cilindro!O681)^Presion_cilindro!$B$9+10*(Presion_cilindro!$B$9-1)*Presion_cilindro!$B$33*(IF(Presion_cilindro!N681&gt;(-L$4+Presion_cilindro!$B$34),1-EXP(-Presion_cilindro!$B$16*((Presion_cilindro!N681-(-L$4+Presion_cilindro!$B$34))/Presion_cilindro!$B$35)^(Presion_cilindro!$B$17+1)),0)-IF(Presion_cilindro!N680&gt;(-L$4+Presion_cilindro!$B$34),1-EXP(-Presion_cilindro!$B$16*((Presion_cilindro!N680-(-L$4+Presion_cilindro!$B$34))/Presion_cilindro!$B$35)^(Presion_cilindro!$B$17+1)),0))/((Presion_cilindro!O680+Presion_cilindro!O681)/2)</f>
        <v>2.4104616671020582</v>
      </c>
      <c r="M689" s="27">
        <f>M688*(Presion_cilindro!O680/Presion_cilindro!O681)^Presion_cilindro!$B$9+10*(Presion_cilindro!$B$9-1)*Presion_cilindro!$B$33*(IF(Presion_cilindro!N681&gt;(-M$4+Presion_cilindro!$B$34),1-EXP(-Presion_cilindro!$B$16*((Presion_cilindro!N681-(-M$4+Presion_cilindro!$B$34))/Presion_cilindro!$B$35)^(Presion_cilindro!$B$17+1)),0)-IF(Presion_cilindro!N680&gt;(-M$4+Presion_cilindro!$B$34),1-EXP(-Presion_cilindro!$B$16*((Presion_cilindro!N680-(-M$4+Presion_cilindro!$B$34))/Presion_cilindro!$B$35)^(Presion_cilindro!$B$17+1)),0))/((Presion_cilindro!O680+Presion_cilindro!O681)/2)</f>
        <v>2.4714622154806349</v>
      </c>
      <c r="N689" s="27">
        <f>N688*(Presion_cilindro!O680/Presion_cilindro!O681)^Presion_cilindro!$B$9+10*(Presion_cilindro!$B$9-1)*Presion_cilindro!$B$33*(IF(Presion_cilindro!N681&gt;(-N$4+Presion_cilindro!$B$34),1-EXP(-Presion_cilindro!$B$16*((Presion_cilindro!N681-(-N$4+Presion_cilindro!$B$34))/Presion_cilindro!$B$35)^(Presion_cilindro!$B$17+1)),0)-IF(Presion_cilindro!N680&gt;(-N$4+Presion_cilindro!$B$34),1-EXP(-Presion_cilindro!$B$16*((Presion_cilindro!N680-(-N$4+Presion_cilindro!$B$34))/Presion_cilindro!$B$35)^(Presion_cilindro!$B$17+1)),0))/((Presion_cilindro!O680+Presion_cilindro!O681)/2)</f>
        <v>2.5428120946470081</v>
      </c>
    </row>
    <row r="690" spans="1:14" x14ac:dyDescent="0.25">
      <c r="A690" s="21">
        <f>Presion_cilindro!N682</f>
        <v>159</v>
      </c>
      <c r="B690" s="27">
        <f>B689*(Presion_cilindro!O681/Presion_cilindro!O682)^Presion_cilindro!$B$9+10*(Presion_cilindro!$B$9-1)*Presion_cilindro!$B$33*(IF(Presion_cilindro!N682&gt;(-B$4+Presion_cilindro!$B$34),1-EXP(-Presion_cilindro!$B$16*((Presion_cilindro!N682-(-B$4+Presion_cilindro!$B$34))/Presion_cilindro!$B$35)^(Presion_cilindro!$B$17+1)),0)-IF(Presion_cilindro!N681&gt;(-B$4+Presion_cilindro!$B$34),1-EXP(-Presion_cilindro!$B$16*((Presion_cilindro!N681-(-B$4+Presion_cilindro!$B$34))/Presion_cilindro!$B$35)^(Presion_cilindro!$B$17+1)),0))/((Presion_cilindro!O681+Presion_cilindro!O682)/2)</f>
        <v>2.6702420210773981</v>
      </c>
      <c r="C690" s="27">
        <f>C689*(Presion_cilindro!O681/Presion_cilindro!O682)^Presion_cilindro!$B$9+10*(Presion_cilindro!$B$9-1)*Presion_cilindro!$B$33*(IF(Presion_cilindro!N682&gt;(-C$4+Presion_cilindro!$B$34),1-EXP(-Presion_cilindro!$B$16*((Presion_cilindro!N682-(-C$4+Presion_cilindro!$B$34))/Presion_cilindro!$B$35)^(Presion_cilindro!$B$17+1)),0)-IF(Presion_cilindro!N681&gt;(-C$4+Presion_cilindro!$B$34),1-EXP(-Presion_cilindro!$B$16*((Presion_cilindro!N681-(-C$4+Presion_cilindro!$B$34))/Presion_cilindro!$B$35)^(Presion_cilindro!$B$17+1)),0))/((Presion_cilindro!O681+Presion_cilindro!O682)/2)</f>
        <v>2.5881487365778635</v>
      </c>
      <c r="D690" s="27">
        <f>D689*(Presion_cilindro!O681/Presion_cilindro!O682)^Presion_cilindro!$B$9+10*(Presion_cilindro!$B$9-1)*Presion_cilindro!$B$33*(IF(Presion_cilindro!N682&gt;(-D$4+Presion_cilindro!$B$34),1-EXP(-Presion_cilindro!$B$16*((Presion_cilindro!N682-(-D$4+Presion_cilindro!$B$34))/Presion_cilindro!$B$35)^(Presion_cilindro!$B$17+1)),0)-IF(Presion_cilindro!N681&gt;(-D$4+Presion_cilindro!$B$34),1-EXP(-Presion_cilindro!$B$16*((Presion_cilindro!N681-(-D$4+Presion_cilindro!$B$34))/Presion_cilindro!$B$35)^(Presion_cilindro!$B$17+1)),0))/((Presion_cilindro!O681+Presion_cilindro!O682)/2)</f>
        <v>2.5116908386423789</v>
      </c>
      <c r="E690" s="27">
        <f>E689*(Presion_cilindro!O681/Presion_cilindro!O682)^Presion_cilindro!$B$9+10*(Presion_cilindro!$B$9-1)*Presion_cilindro!$B$33*(IF(Presion_cilindro!N682&gt;(-E$4+Presion_cilindro!$B$34),1-EXP(-Presion_cilindro!$B$16*((Presion_cilindro!N682-(-E$4+Presion_cilindro!$B$34))/Presion_cilindro!$B$35)^(Presion_cilindro!$B$17+1)),0)-IF(Presion_cilindro!N681&gt;(-E$4+Presion_cilindro!$B$34),1-EXP(-Presion_cilindro!$B$16*((Presion_cilindro!N681-(-E$4+Presion_cilindro!$B$34))/Presion_cilindro!$B$35)^(Presion_cilindro!$B$17+1)),0))/((Presion_cilindro!O681+Presion_cilindro!O682)/2)</f>
        <v>2.4437126568361318</v>
      </c>
      <c r="F690" s="27">
        <f>F689*(Presion_cilindro!O681/Presion_cilindro!O682)^Presion_cilindro!$B$9+10*(Presion_cilindro!$B$9-1)*Presion_cilindro!$B$33*(IF(Presion_cilindro!N682&gt;(-F$4+Presion_cilindro!$B$34),1-EXP(-Presion_cilindro!$B$16*((Presion_cilindro!N682-(-F$4+Presion_cilindro!$B$34))/Presion_cilindro!$B$35)^(Presion_cilindro!$B$17+1)),0)-IF(Presion_cilindro!N681&gt;(-F$4+Presion_cilindro!$B$34),1-EXP(-Presion_cilindro!$B$16*((Presion_cilindro!N681-(-F$4+Presion_cilindro!$B$34))/Presion_cilindro!$B$35)^(Presion_cilindro!$B$17+1)),0))/((Presion_cilindro!O681+Presion_cilindro!O682)/2)</f>
        <v>2.3873127551134594</v>
      </c>
      <c r="G690" s="27">
        <f>G689*(Presion_cilindro!O681/Presion_cilindro!O682)^Presion_cilindro!$B$9+10*(Presion_cilindro!$B$9-1)*Presion_cilindro!$B$33*(IF(Presion_cilindro!N682&gt;(-G$4+Presion_cilindro!$B$34),1-EXP(-Presion_cilindro!$B$16*((Presion_cilindro!N682-(-G$4+Presion_cilindro!$B$34))/Presion_cilindro!$B$35)^(Presion_cilindro!$B$17+1)),0)-IF(Presion_cilindro!N681&gt;(-G$4+Presion_cilindro!$B$34),1-EXP(-Presion_cilindro!$B$16*((Presion_cilindro!N681-(-G$4+Presion_cilindro!$B$34))/Presion_cilindro!$B$35)^(Presion_cilindro!$B$17+1)),0))/((Presion_cilindro!O681+Presion_cilindro!O682)/2)</f>
        <v>2.3455210900165042</v>
      </c>
      <c r="H690" s="27">
        <f>H689*(Presion_cilindro!O681/Presion_cilindro!O682)^Presion_cilindro!$B$9+10*(Presion_cilindro!$B$9-1)*Presion_cilindro!$B$33*(IF(Presion_cilindro!N682&gt;(-H$4+Presion_cilindro!$B$34),1-EXP(-Presion_cilindro!$B$16*((Presion_cilindro!N682-(-H$4+Presion_cilindro!$B$34))/Presion_cilindro!$B$35)^(Presion_cilindro!$B$17+1)),0)-IF(Presion_cilindro!N681&gt;(-H$4+Presion_cilindro!$B$34),1-EXP(-Presion_cilindro!$B$16*((Presion_cilindro!N681-(-H$4+Presion_cilindro!$B$34))/Presion_cilindro!$B$35)^(Presion_cilindro!$B$17+1)),0))/((Presion_cilindro!O681+Presion_cilindro!O682)/2)</f>
        <v>2.3208687415067555</v>
      </c>
      <c r="I690" s="27">
        <f>I689*(Presion_cilindro!O681/Presion_cilindro!O682)^Presion_cilindro!$B$9+10*(Presion_cilindro!$B$9-1)*Presion_cilindro!$B$33*(IF(Presion_cilindro!N682&gt;(-I$4+Presion_cilindro!$B$34),1-EXP(-Presion_cilindro!$B$16*((Presion_cilindro!N682-(-I$4+Presion_cilindro!$B$34))/Presion_cilindro!$B$35)^(Presion_cilindro!$B$17+1)),0)-IF(Presion_cilindro!N681&gt;(-I$4+Presion_cilindro!$B$34),1-EXP(-Presion_cilindro!$B$16*((Presion_cilindro!N681-(-I$4+Presion_cilindro!$B$34))/Presion_cilindro!$B$35)^(Presion_cilindro!$B$17+1)),0))/((Presion_cilindro!O681+Presion_cilindro!O682)/2)</f>
        <v>2.3149553308505149</v>
      </c>
      <c r="J690" s="27">
        <f>J689*(Presion_cilindro!O681/Presion_cilindro!O682)^Presion_cilindro!$B$9+10*(Presion_cilindro!$B$9-1)*Presion_cilindro!$B$33*(IF(Presion_cilindro!N682&gt;(-J$4+Presion_cilindro!$B$34),1-EXP(-Presion_cilindro!$B$16*((Presion_cilindro!N682-(-J$4+Presion_cilindro!$B$34))/Presion_cilindro!$B$35)^(Presion_cilindro!$B$17+1)),0)-IF(Presion_cilindro!N681&gt;(-J$4+Presion_cilindro!$B$34),1-EXP(-Presion_cilindro!$B$16*((Presion_cilindro!N681-(-J$4+Presion_cilindro!$B$34))/Presion_cilindro!$B$35)^(Presion_cilindro!$B$17+1)),0))/((Presion_cilindro!O681+Presion_cilindro!O682)/2)</f>
        <v>2.3281491572730011</v>
      </c>
      <c r="K690" s="27">
        <f>K689*(Presion_cilindro!O681/Presion_cilindro!O682)^Presion_cilindro!$B$9+10*(Presion_cilindro!$B$9-1)*Presion_cilindro!$B$33*(IF(Presion_cilindro!N682&gt;(-K$4+Presion_cilindro!$B$34),1-EXP(-Presion_cilindro!$B$16*((Presion_cilindro!N682-(-K$4+Presion_cilindro!$B$34))/Presion_cilindro!$B$35)^(Presion_cilindro!$B$17+1)),0)-IF(Presion_cilindro!N681&gt;(-K$4+Presion_cilindro!$B$34),1-EXP(-Presion_cilindro!$B$16*((Presion_cilindro!N681-(-K$4+Presion_cilindro!$B$34))/Presion_cilindro!$B$35)^(Presion_cilindro!$B$17+1)),0))/((Presion_cilindro!O681+Presion_cilindro!O682)/2)</f>
        <v>2.3595232784182576</v>
      </c>
      <c r="L690" s="27">
        <f>L689*(Presion_cilindro!O681/Presion_cilindro!O682)^Presion_cilindro!$B$9+10*(Presion_cilindro!$B$9-1)*Presion_cilindro!$B$33*(IF(Presion_cilindro!N682&gt;(-L$4+Presion_cilindro!$B$34),1-EXP(-Presion_cilindro!$B$16*((Presion_cilindro!N682-(-L$4+Presion_cilindro!$B$34))/Presion_cilindro!$B$35)^(Presion_cilindro!$B$17+1)),0)-IF(Presion_cilindro!N681&gt;(-L$4+Presion_cilindro!$B$34),1-EXP(-Presion_cilindro!$B$16*((Presion_cilindro!N681-(-L$4+Presion_cilindro!$B$34))/Presion_cilindro!$B$35)^(Presion_cilindro!$B$17+1)),0))/((Presion_cilindro!O681+Presion_cilindro!O682)/2)</f>
        <v>2.4070471406071832</v>
      </c>
      <c r="M690" s="27">
        <f>M689*(Presion_cilindro!O681/Presion_cilindro!O682)^Presion_cilindro!$B$9+10*(Presion_cilindro!$B$9-1)*Presion_cilindro!$B$33*(IF(Presion_cilindro!N682&gt;(-M$4+Presion_cilindro!$B$34),1-EXP(-Presion_cilindro!$B$16*((Presion_cilindro!N682-(-M$4+Presion_cilindro!$B$34))/Presion_cilindro!$B$35)^(Presion_cilindro!$B$17+1)),0)-IF(Presion_cilindro!N681&gt;(-M$4+Presion_cilindro!$B$34),1-EXP(-Presion_cilindro!$B$16*((Presion_cilindro!N681-(-M$4+Presion_cilindro!$B$34))/Presion_cilindro!$B$35)^(Presion_cilindro!$B$17+1)),0))/((Presion_cilindro!O681+Presion_cilindro!O682)/2)</f>
        <v>2.467961278987425</v>
      </c>
      <c r="N690" s="27">
        <f>N689*(Presion_cilindro!O681/Presion_cilindro!O682)^Presion_cilindro!$B$9+10*(Presion_cilindro!$B$9-1)*Presion_cilindro!$B$33*(IF(Presion_cilindro!N682&gt;(-N$4+Presion_cilindro!$B$34),1-EXP(-Presion_cilindro!$B$16*((Presion_cilindro!N682-(-N$4+Presion_cilindro!$B$34))/Presion_cilindro!$B$35)^(Presion_cilindro!$B$17+1)),0)-IF(Presion_cilindro!N681&gt;(-N$4+Presion_cilindro!$B$34),1-EXP(-Presion_cilindro!$B$16*((Presion_cilindro!N681-(-N$4+Presion_cilindro!$B$34))/Presion_cilindro!$B$35)^(Presion_cilindro!$B$17+1)),0))/((Presion_cilindro!O681+Presion_cilindro!O682)/2)</f>
        <v>2.5392100878666639</v>
      </c>
    </row>
    <row r="691" spans="1:14" x14ac:dyDescent="0.25">
      <c r="A691" s="21">
        <f>Presion_cilindro!N683</f>
        <v>159.5</v>
      </c>
      <c r="B691" s="27">
        <f>B690*(Presion_cilindro!O682/Presion_cilindro!O683)^Presion_cilindro!$B$9+10*(Presion_cilindro!$B$9-1)*Presion_cilindro!$B$33*(IF(Presion_cilindro!N683&gt;(-B$4+Presion_cilindro!$B$34),1-EXP(-Presion_cilindro!$B$16*((Presion_cilindro!N683-(-B$4+Presion_cilindro!$B$34))/Presion_cilindro!$B$35)^(Presion_cilindro!$B$17+1)),0)-IF(Presion_cilindro!N682&gt;(-B$4+Presion_cilindro!$B$34),1-EXP(-Presion_cilindro!$B$16*((Presion_cilindro!N682-(-B$4+Presion_cilindro!$B$34))/Presion_cilindro!$B$35)^(Presion_cilindro!$B$17+1)),0))/((Presion_cilindro!O682+Presion_cilindro!O683)/2)</f>
        <v>2.6665525596992876</v>
      </c>
      <c r="C691" s="27">
        <f>C690*(Presion_cilindro!O682/Presion_cilindro!O683)^Presion_cilindro!$B$9+10*(Presion_cilindro!$B$9-1)*Presion_cilindro!$B$33*(IF(Presion_cilindro!N683&gt;(-C$4+Presion_cilindro!$B$34),1-EXP(-Presion_cilindro!$B$16*((Presion_cilindro!N683-(-C$4+Presion_cilindro!$B$34))/Presion_cilindro!$B$35)^(Presion_cilindro!$B$17+1)),0)-IF(Presion_cilindro!N682&gt;(-C$4+Presion_cilindro!$B$34),1-EXP(-Presion_cilindro!$B$16*((Presion_cilindro!N682-(-C$4+Presion_cilindro!$B$34))/Presion_cilindro!$B$35)^(Presion_cilindro!$B$17+1)),0))/((Presion_cilindro!O682+Presion_cilindro!O683)/2)</f>
        <v>2.5845727031213319</v>
      </c>
      <c r="D691" s="27">
        <f>D690*(Presion_cilindro!O682/Presion_cilindro!O683)^Presion_cilindro!$B$9+10*(Presion_cilindro!$B$9-1)*Presion_cilindro!$B$33*(IF(Presion_cilindro!N683&gt;(-D$4+Presion_cilindro!$B$34),1-EXP(-Presion_cilindro!$B$16*((Presion_cilindro!N683-(-D$4+Presion_cilindro!$B$34))/Presion_cilindro!$B$35)^(Presion_cilindro!$B$17+1)),0)-IF(Presion_cilindro!N682&gt;(-D$4+Presion_cilindro!$B$34),1-EXP(-Presion_cilindro!$B$16*((Presion_cilindro!N682-(-D$4+Presion_cilindro!$B$34))/Presion_cilindro!$B$35)^(Presion_cilindro!$B$17+1)),0))/((Presion_cilindro!O682+Presion_cilindro!O683)/2)</f>
        <v>2.5082204467191831</v>
      </c>
      <c r="E691" s="27">
        <f>E690*(Presion_cilindro!O682/Presion_cilindro!O683)^Presion_cilindro!$B$9+10*(Presion_cilindro!$B$9-1)*Presion_cilindro!$B$33*(IF(Presion_cilindro!N683&gt;(-E$4+Presion_cilindro!$B$34),1-EXP(-Presion_cilindro!$B$16*((Presion_cilindro!N683-(-E$4+Presion_cilindro!$B$34))/Presion_cilindro!$B$35)^(Presion_cilindro!$B$17+1)),0)-IF(Presion_cilindro!N682&gt;(-E$4+Presion_cilindro!$B$34),1-EXP(-Presion_cilindro!$B$16*((Presion_cilindro!N682-(-E$4+Presion_cilindro!$B$34))/Presion_cilindro!$B$35)^(Presion_cilindro!$B$17+1)),0))/((Presion_cilindro!O682+Presion_cilindro!O683)/2)</f>
        <v>2.440336190060675</v>
      </c>
      <c r="F691" s="27">
        <f>F690*(Presion_cilindro!O682/Presion_cilindro!O683)^Presion_cilindro!$B$9+10*(Presion_cilindro!$B$9-1)*Presion_cilindro!$B$33*(IF(Presion_cilindro!N683&gt;(-F$4+Presion_cilindro!$B$34),1-EXP(-Presion_cilindro!$B$16*((Presion_cilindro!N683-(-F$4+Presion_cilindro!$B$34))/Presion_cilindro!$B$35)^(Presion_cilindro!$B$17+1)),0)-IF(Presion_cilindro!N682&gt;(-F$4+Presion_cilindro!$B$34),1-EXP(-Presion_cilindro!$B$16*((Presion_cilindro!N682-(-F$4+Presion_cilindro!$B$34))/Presion_cilindro!$B$35)^(Presion_cilindro!$B$17+1)),0))/((Presion_cilindro!O682+Presion_cilindro!O683)/2)</f>
        <v>2.3840142158282798</v>
      </c>
      <c r="G691" s="27">
        <f>G690*(Presion_cilindro!O682/Presion_cilindro!O683)^Presion_cilindro!$B$9+10*(Presion_cilindro!$B$9-1)*Presion_cilindro!$B$33*(IF(Presion_cilindro!N683&gt;(-G$4+Presion_cilindro!$B$34),1-EXP(-Presion_cilindro!$B$16*((Presion_cilindro!N683-(-G$4+Presion_cilindro!$B$34))/Presion_cilindro!$B$35)^(Presion_cilindro!$B$17+1)),0)-IF(Presion_cilindro!N682&gt;(-G$4+Presion_cilindro!$B$34),1-EXP(-Presion_cilindro!$B$16*((Presion_cilindro!N682-(-G$4+Presion_cilindro!$B$34))/Presion_cilindro!$B$35)^(Presion_cilindro!$B$17+1)),0))/((Presion_cilindro!O682+Presion_cilindro!O683)/2)</f>
        <v>2.3422802940868275</v>
      </c>
      <c r="H691" s="27">
        <f>H690*(Presion_cilindro!O682/Presion_cilindro!O683)^Presion_cilindro!$B$9+10*(Presion_cilindro!$B$9-1)*Presion_cilindro!$B$33*(IF(Presion_cilindro!N683&gt;(-H$4+Presion_cilindro!$B$34),1-EXP(-Presion_cilindro!$B$16*((Presion_cilindro!N683-(-H$4+Presion_cilindro!$B$34))/Presion_cilindro!$B$35)^(Presion_cilindro!$B$17+1)),0)-IF(Presion_cilindro!N682&gt;(-H$4+Presion_cilindro!$B$34),1-EXP(-Presion_cilindro!$B$16*((Presion_cilindro!N682-(-H$4+Presion_cilindro!$B$34))/Presion_cilindro!$B$35)^(Presion_cilindro!$B$17+1)),0))/((Presion_cilindro!O682+Presion_cilindro!O683)/2)</f>
        <v>2.3176620076160206</v>
      </c>
      <c r="I691" s="27">
        <f>I690*(Presion_cilindro!O682/Presion_cilindro!O683)^Presion_cilindro!$B$9+10*(Presion_cilindro!$B$9-1)*Presion_cilindro!$B$33*(IF(Presion_cilindro!N683&gt;(-I$4+Presion_cilindro!$B$34),1-EXP(-Presion_cilindro!$B$16*((Presion_cilindro!N683-(-I$4+Presion_cilindro!$B$34))/Presion_cilindro!$B$35)^(Presion_cilindro!$B$17+1)),0)-IF(Presion_cilindro!N682&gt;(-I$4+Presion_cilindro!$B$34),1-EXP(-Presion_cilindro!$B$16*((Presion_cilindro!N682-(-I$4+Presion_cilindro!$B$34))/Presion_cilindro!$B$35)^(Presion_cilindro!$B$17+1)),0))/((Presion_cilindro!O682+Presion_cilindro!O683)/2)</f>
        <v>2.3117567674926596</v>
      </c>
      <c r="J691" s="27">
        <f>J690*(Presion_cilindro!O682/Presion_cilindro!O683)^Presion_cilindro!$B$9+10*(Presion_cilindro!$B$9-1)*Presion_cilindro!$B$33*(IF(Presion_cilindro!N683&gt;(-J$4+Presion_cilindro!$B$34),1-EXP(-Presion_cilindro!$B$16*((Presion_cilindro!N683-(-J$4+Presion_cilindro!$B$34))/Presion_cilindro!$B$35)^(Presion_cilindro!$B$17+1)),0)-IF(Presion_cilindro!N682&gt;(-J$4+Presion_cilindro!$B$34),1-EXP(-Presion_cilindro!$B$16*((Presion_cilindro!N682-(-J$4+Presion_cilindro!$B$34))/Presion_cilindro!$B$35)^(Presion_cilindro!$B$17+1)),0))/((Presion_cilindro!O682+Presion_cilindro!O683)/2)</f>
        <v>2.3249323640645811</v>
      </c>
      <c r="K691" s="27">
        <f>K690*(Presion_cilindro!O682/Presion_cilindro!O683)^Presion_cilindro!$B$9+10*(Presion_cilindro!$B$9-1)*Presion_cilindro!$B$33*(IF(Presion_cilindro!N683&gt;(-K$4+Presion_cilindro!$B$34),1-EXP(-Presion_cilindro!$B$16*((Presion_cilindro!N683-(-K$4+Presion_cilindro!$B$34))/Presion_cilindro!$B$35)^(Presion_cilindro!$B$17+1)),0)-IF(Presion_cilindro!N682&gt;(-K$4+Presion_cilindro!$B$34),1-EXP(-Presion_cilindro!$B$16*((Presion_cilindro!N682-(-K$4+Presion_cilindro!$B$34))/Presion_cilindro!$B$35)^(Presion_cilindro!$B$17+1)),0))/((Presion_cilindro!O682+Presion_cilindro!O683)/2)</f>
        <v>2.3562631357279091</v>
      </c>
      <c r="L691" s="27">
        <f>L690*(Presion_cilindro!O682/Presion_cilindro!O683)^Presion_cilindro!$B$9+10*(Presion_cilindro!$B$9-1)*Presion_cilindro!$B$33*(IF(Presion_cilindro!N683&gt;(-L$4+Presion_cilindro!$B$34),1-EXP(-Presion_cilindro!$B$16*((Presion_cilindro!N683-(-L$4+Presion_cilindro!$B$34))/Presion_cilindro!$B$35)^(Presion_cilindro!$B$17+1)),0)-IF(Presion_cilindro!N682&gt;(-L$4+Presion_cilindro!$B$34),1-EXP(-Presion_cilindro!$B$16*((Presion_cilindro!N682-(-L$4+Presion_cilindro!$B$34))/Presion_cilindro!$B$35)^(Presion_cilindro!$B$17+1)),0))/((Presion_cilindro!O682+Presion_cilindro!O683)/2)</f>
        <v>2.403721334410418</v>
      </c>
      <c r="M691" s="27">
        <f>M690*(Presion_cilindro!O682/Presion_cilindro!O683)^Presion_cilindro!$B$9+10*(Presion_cilindro!$B$9-1)*Presion_cilindro!$B$33*(IF(Presion_cilindro!N683&gt;(-M$4+Presion_cilindro!$B$34),1-EXP(-Presion_cilindro!$B$16*((Presion_cilindro!N683-(-M$4+Presion_cilindro!$B$34))/Presion_cilindro!$B$35)^(Presion_cilindro!$B$17+1)),0)-IF(Presion_cilindro!N682&gt;(-M$4+Presion_cilindro!$B$34),1-EXP(-Presion_cilindro!$B$16*((Presion_cilindro!N682-(-M$4+Presion_cilindro!$B$34))/Presion_cilindro!$B$35)^(Presion_cilindro!$B$17+1)),0))/((Presion_cilindro!O682+Presion_cilindro!O683)/2)</f>
        <v>2.4645513079999182</v>
      </c>
      <c r="N691" s="27">
        <f>N690*(Presion_cilindro!O682/Presion_cilindro!O683)^Presion_cilindro!$B$9+10*(Presion_cilindro!$B$9-1)*Presion_cilindro!$B$33*(IF(Presion_cilindro!N683&gt;(-N$4+Presion_cilindro!$B$34),1-EXP(-Presion_cilindro!$B$16*((Presion_cilindro!N683-(-N$4+Presion_cilindro!$B$34))/Presion_cilindro!$B$35)^(Presion_cilindro!$B$17+1)),0)-IF(Presion_cilindro!N682&gt;(-N$4+Presion_cilindro!$B$34),1-EXP(-Presion_cilindro!$B$16*((Presion_cilindro!N682-(-N$4+Presion_cilindro!$B$34))/Presion_cilindro!$B$35)^(Presion_cilindro!$B$17+1)),0))/((Presion_cilindro!O682+Presion_cilindro!O683)/2)</f>
        <v>2.5357016727207169</v>
      </c>
    </row>
    <row r="692" spans="1:14" x14ac:dyDescent="0.25">
      <c r="A692" s="21">
        <f>Presion_cilindro!N684</f>
        <v>160</v>
      </c>
      <c r="B692" s="27">
        <f>B691*(Presion_cilindro!O683/Presion_cilindro!O684)^Presion_cilindro!$B$9+10*(Presion_cilindro!$B$9-1)*Presion_cilindro!$B$33*(IF(Presion_cilindro!N684&gt;(-B$4+Presion_cilindro!$B$34),1-EXP(-Presion_cilindro!$B$16*((Presion_cilindro!N684-(-B$4+Presion_cilindro!$B$34))/Presion_cilindro!$B$35)^(Presion_cilindro!$B$17+1)),0)-IF(Presion_cilindro!N683&gt;(-B$4+Presion_cilindro!$B$34),1-EXP(-Presion_cilindro!$B$16*((Presion_cilindro!N683-(-B$4+Presion_cilindro!$B$34))/Presion_cilindro!$B$35)^(Presion_cilindro!$B$17+1)),0))/((Presion_cilindro!O683+Presion_cilindro!O684)/2)</f>
        <v>2.6629608317394053</v>
      </c>
      <c r="C692" s="27">
        <f>C691*(Presion_cilindro!O683/Presion_cilindro!O684)^Presion_cilindro!$B$9+10*(Presion_cilindro!$B$9-1)*Presion_cilindro!$B$33*(IF(Presion_cilindro!N684&gt;(-C$4+Presion_cilindro!$B$34),1-EXP(-Presion_cilindro!$B$16*((Presion_cilindro!N684-(-C$4+Presion_cilindro!$B$34))/Presion_cilindro!$B$35)^(Presion_cilindro!$B$17+1)),0)-IF(Presion_cilindro!N683&gt;(-C$4+Presion_cilindro!$B$34),1-EXP(-Presion_cilindro!$B$16*((Presion_cilindro!N683-(-C$4+Presion_cilindro!$B$34))/Presion_cilindro!$B$35)^(Presion_cilindro!$B$17+1)),0))/((Presion_cilindro!O683+Presion_cilindro!O684)/2)</f>
        <v>2.5810913983901038</v>
      </c>
      <c r="D692" s="27">
        <f>D691*(Presion_cilindro!O683/Presion_cilindro!O684)^Presion_cilindro!$B$9+10*(Presion_cilindro!$B$9-1)*Presion_cilindro!$B$33*(IF(Presion_cilindro!N684&gt;(-D$4+Presion_cilindro!$B$34),1-EXP(-Presion_cilindro!$B$16*((Presion_cilindro!N684-(-D$4+Presion_cilindro!$B$34))/Presion_cilindro!$B$35)^(Presion_cilindro!$B$17+1)),0)-IF(Presion_cilindro!N683&gt;(-D$4+Presion_cilindro!$B$34),1-EXP(-Presion_cilindro!$B$16*((Presion_cilindro!N683-(-D$4+Presion_cilindro!$B$34))/Presion_cilindro!$B$35)^(Presion_cilindro!$B$17+1)),0))/((Presion_cilindro!O683+Presion_cilindro!O684)/2)</f>
        <v>2.5048419850889179</v>
      </c>
      <c r="E692" s="27">
        <f>E691*(Presion_cilindro!O683/Presion_cilindro!O684)^Presion_cilindro!$B$9+10*(Presion_cilindro!$B$9-1)*Presion_cilindro!$B$33*(IF(Presion_cilindro!N684&gt;(-E$4+Presion_cilindro!$B$34),1-EXP(-Presion_cilindro!$B$16*((Presion_cilindro!N684-(-E$4+Presion_cilindro!$B$34))/Presion_cilindro!$B$35)^(Presion_cilindro!$B$17+1)),0)-IF(Presion_cilindro!N683&gt;(-E$4+Presion_cilindro!$B$34),1-EXP(-Presion_cilindro!$B$16*((Presion_cilindro!N683-(-E$4+Presion_cilindro!$B$34))/Presion_cilindro!$B$35)^(Presion_cilindro!$B$17+1)),0))/((Presion_cilindro!O683+Presion_cilindro!O684)/2)</f>
        <v>2.4370491655115165</v>
      </c>
      <c r="F692" s="27">
        <f>F691*(Presion_cilindro!O683/Presion_cilindro!O684)^Presion_cilindro!$B$9+10*(Presion_cilindro!$B$9-1)*Presion_cilindro!$B$33*(IF(Presion_cilindro!N684&gt;(-F$4+Presion_cilindro!$B$34),1-EXP(-Presion_cilindro!$B$16*((Presion_cilindro!N684-(-F$4+Presion_cilindro!$B$34))/Presion_cilindro!$B$35)^(Presion_cilindro!$B$17+1)),0)-IF(Presion_cilindro!N683&gt;(-F$4+Presion_cilindro!$B$34),1-EXP(-Presion_cilindro!$B$16*((Presion_cilindro!N683-(-F$4+Presion_cilindro!$B$34))/Presion_cilindro!$B$35)^(Presion_cilindro!$B$17+1)),0))/((Presion_cilindro!O683+Presion_cilindro!O684)/2)</f>
        <v>2.380803054478918</v>
      </c>
      <c r="G692" s="27">
        <f>G691*(Presion_cilindro!O683/Presion_cilindro!O684)^Presion_cilindro!$B$9+10*(Presion_cilindro!$B$9-1)*Presion_cilindro!$B$33*(IF(Presion_cilindro!N684&gt;(-G$4+Presion_cilindro!$B$34),1-EXP(-Presion_cilindro!$B$16*((Presion_cilindro!N684-(-G$4+Presion_cilindro!$B$34))/Presion_cilindro!$B$35)^(Presion_cilindro!$B$17+1)),0)-IF(Presion_cilindro!N683&gt;(-G$4+Presion_cilindro!$B$34),1-EXP(-Presion_cilindro!$B$16*((Presion_cilindro!N683-(-G$4+Presion_cilindro!$B$34))/Presion_cilindro!$B$35)^(Presion_cilindro!$B$17+1)),0))/((Presion_cilindro!O683+Presion_cilindro!O684)/2)</f>
        <v>2.3391253464779562</v>
      </c>
      <c r="H692" s="27">
        <f>H691*(Presion_cilindro!O683/Presion_cilindro!O684)^Presion_cilindro!$B$9+10*(Presion_cilindro!$B$9-1)*Presion_cilindro!$B$33*(IF(Presion_cilindro!N684&gt;(-H$4+Presion_cilindro!$B$34),1-EXP(-Presion_cilindro!$B$16*((Presion_cilindro!N684-(-H$4+Presion_cilindro!$B$34))/Presion_cilindro!$B$35)^(Presion_cilindro!$B$17+1)),0)-IF(Presion_cilindro!N683&gt;(-H$4+Presion_cilindro!$B$34),1-EXP(-Presion_cilindro!$B$16*((Presion_cilindro!N683-(-H$4+Presion_cilindro!$B$34))/Presion_cilindro!$B$35)^(Presion_cilindro!$B$17+1)),0))/((Presion_cilindro!O683+Presion_cilindro!O684)/2)</f>
        <v>2.3145402197464988</v>
      </c>
      <c r="I692" s="27">
        <f>I691*(Presion_cilindro!O683/Presion_cilindro!O684)^Presion_cilindro!$B$9+10*(Presion_cilindro!$B$9-1)*Presion_cilindro!$B$33*(IF(Presion_cilindro!N684&gt;(-I$4+Presion_cilindro!$B$34),1-EXP(-Presion_cilindro!$B$16*((Presion_cilindro!N684-(-I$4+Presion_cilindro!$B$34))/Presion_cilindro!$B$35)^(Presion_cilindro!$B$17+1)),0)-IF(Presion_cilindro!N683&gt;(-I$4+Presion_cilindro!$B$34),1-EXP(-Presion_cilindro!$B$16*((Presion_cilindro!N683-(-I$4+Presion_cilindro!$B$34))/Presion_cilindro!$B$35)^(Presion_cilindro!$B$17+1)),0))/((Presion_cilindro!O683+Presion_cilindro!O684)/2)</f>
        <v>2.3086429337195171</v>
      </c>
      <c r="J692" s="27">
        <f>J691*(Presion_cilindro!O683/Presion_cilindro!O684)^Presion_cilindro!$B$9+10*(Presion_cilindro!$B$9-1)*Presion_cilindro!$B$33*(IF(Presion_cilindro!N684&gt;(-J$4+Presion_cilindro!$B$34),1-EXP(-Presion_cilindro!$B$16*((Presion_cilindro!N684-(-J$4+Presion_cilindro!$B$34))/Presion_cilindro!$B$35)^(Presion_cilindro!$B$17+1)),0)-IF(Presion_cilindro!N683&gt;(-J$4+Presion_cilindro!$B$34),1-EXP(-Presion_cilindro!$B$16*((Presion_cilindro!N683-(-J$4+Presion_cilindro!$B$34))/Presion_cilindro!$B$35)^(Presion_cilindro!$B$17+1)),0))/((Presion_cilindro!O683+Presion_cilindro!O684)/2)</f>
        <v>2.3218007833475718</v>
      </c>
      <c r="K692" s="27">
        <f>K691*(Presion_cilindro!O683/Presion_cilindro!O684)^Presion_cilindro!$B$9+10*(Presion_cilindro!$B$9-1)*Presion_cilindro!$B$33*(IF(Presion_cilindro!N684&gt;(-K$4+Presion_cilindro!$B$34),1-EXP(-Presion_cilindro!$B$16*((Presion_cilindro!N684-(-K$4+Presion_cilindro!$B$34))/Presion_cilindro!$B$35)^(Presion_cilindro!$B$17+1)),0)-IF(Presion_cilindro!N683&gt;(-K$4+Presion_cilindro!$B$34),1-EXP(-Presion_cilindro!$B$16*((Presion_cilindro!N683-(-K$4+Presion_cilindro!$B$34))/Presion_cilindro!$B$35)^(Presion_cilindro!$B$17+1)),0))/((Presion_cilindro!O683+Presion_cilindro!O684)/2)</f>
        <v>2.3530893538518871</v>
      </c>
      <c r="L692" s="27">
        <f>L691*(Presion_cilindro!O683/Presion_cilindro!O684)^Presion_cilindro!$B$9+10*(Presion_cilindro!$B$9-1)*Presion_cilindro!$B$33*(IF(Presion_cilindro!N684&gt;(-L$4+Presion_cilindro!$B$34),1-EXP(-Presion_cilindro!$B$16*((Presion_cilindro!N684-(-L$4+Presion_cilindro!$B$34))/Presion_cilindro!$B$35)^(Presion_cilindro!$B$17+1)),0)-IF(Presion_cilindro!N683&gt;(-L$4+Presion_cilindro!$B$34),1-EXP(-Presion_cilindro!$B$16*((Presion_cilindro!N683-(-L$4+Presion_cilindro!$B$34))/Presion_cilindro!$B$35)^(Presion_cilindro!$B$17+1)),0))/((Presion_cilindro!O683+Presion_cilindro!O684)/2)</f>
        <v>2.400483628446902</v>
      </c>
      <c r="M692" s="27">
        <f>M691*(Presion_cilindro!O683/Presion_cilindro!O684)^Presion_cilindro!$B$9+10*(Presion_cilindro!$B$9-1)*Presion_cilindro!$B$33*(IF(Presion_cilindro!N684&gt;(-M$4+Presion_cilindro!$B$34),1-EXP(-Presion_cilindro!$B$16*((Presion_cilindro!N684-(-M$4+Presion_cilindro!$B$34))/Presion_cilindro!$B$35)^(Presion_cilindro!$B$17+1)),0)-IF(Presion_cilindro!N683&gt;(-M$4+Presion_cilindro!$B$34),1-EXP(-Presion_cilindro!$B$16*((Presion_cilindro!N683-(-M$4+Presion_cilindro!$B$34))/Presion_cilindro!$B$35)^(Presion_cilindro!$B$17+1)),0))/((Presion_cilindro!O683+Presion_cilindro!O684)/2)</f>
        <v>2.4612316667615297</v>
      </c>
      <c r="N692" s="27">
        <f>N691*(Presion_cilindro!O683/Presion_cilindro!O684)^Presion_cilindro!$B$9+10*(Presion_cilindro!$B$9-1)*Presion_cilindro!$B$33*(IF(Presion_cilindro!N684&gt;(-N$4+Presion_cilindro!$B$34),1-EXP(-Presion_cilindro!$B$16*((Presion_cilindro!N684-(-N$4+Presion_cilindro!$B$34))/Presion_cilindro!$B$35)^(Presion_cilindro!$B$17+1)),0)-IF(Presion_cilindro!N683&gt;(-N$4+Presion_cilindro!$B$34),1-EXP(-Presion_cilindro!$B$16*((Presion_cilindro!N683-(-N$4+Presion_cilindro!$B$34))/Presion_cilindro!$B$35)^(Presion_cilindro!$B$17+1)),0))/((Presion_cilindro!O683+Presion_cilindro!O684)/2)</f>
        <v>2.5322861950986075</v>
      </c>
    </row>
    <row r="693" spans="1:14" x14ac:dyDescent="0.25">
      <c r="A693" s="21">
        <f>Presion_cilindro!N685</f>
        <v>160.5</v>
      </c>
      <c r="B693" s="27">
        <f>B692*(Presion_cilindro!O684/Presion_cilindro!O685)^Presion_cilindro!$B$9+10*(Presion_cilindro!$B$9-1)*Presion_cilindro!$B$33*(IF(Presion_cilindro!N685&gt;(-B$4+Presion_cilindro!$B$34),1-EXP(-Presion_cilindro!$B$16*((Presion_cilindro!N685-(-B$4+Presion_cilindro!$B$34))/Presion_cilindro!$B$35)^(Presion_cilindro!$B$17+1)),0)-IF(Presion_cilindro!N684&gt;(-B$4+Presion_cilindro!$B$34),1-EXP(-Presion_cilindro!$B$16*((Presion_cilindro!N684-(-B$4+Presion_cilindro!$B$34))/Presion_cilindro!$B$35)^(Presion_cilindro!$B$17+1)),0))/((Presion_cilindro!O684+Presion_cilindro!O685)/2)</f>
        <v>2.6594661688608627</v>
      </c>
      <c r="C693" s="27">
        <f>C692*(Presion_cilindro!O684/Presion_cilindro!O685)^Presion_cilindro!$B$9+10*(Presion_cilindro!$B$9-1)*Presion_cilindro!$B$33*(IF(Presion_cilindro!N685&gt;(-C$4+Presion_cilindro!$B$34),1-EXP(-Presion_cilindro!$B$16*((Presion_cilindro!N685-(-C$4+Presion_cilindro!$B$34))/Presion_cilindro!$B$35)^(Presion_cilindro!$B$17+1)),0)-IF(Presion_cilindro!N684&gt;(-C$4+Presion_cilindro!$B$34),1-EXP(-Presion_cilindro!$B$16*((Presion_cilindro!N684-(-C$4+Presion_cilindro!$B$34))/Presion_cilindro!$B$35)^(Presion_cilindro!$B$17+1)),0))/((Presion_cilindro!O684+Presion_cilindro!O685)/2)</f>
        <v>2.5777041745944809</v>
      </c>
      <c r="D693" s="27">
        <f>D692*(Presion_cilindro!O684/Presion_cilindro!O685)^Presion_cilindro!$B$9+10*(Presion_cilindro!$B$9-1)*Presion_cilindro!$B$33*(IF(Presion_cilindro!N685&gt;(-D$4+Presion_cilindro!$B$34),1-EXP(-Presion_cilindro!$B$16*((Presion_cilindro!N685-(-D$4+Presion_cilindro!$B$34))/Presion_cilindro!$B$35)^(Presion_cilindro!$B$17+1)),0)-IF(Presion_cilindro!N684&gt;(-D$4+Presion_cilindro!$B$34),1-EXP(-Presion_cilindro!$B$16*((Presion_cilindro!N684-(-D$4+Presion_cilindro!$B$34))/Presion_cilindro!$B$35)^(Presion_cilindro!$B$17+1)),0))/((Presion_cilindro!O684+Presion_cilindro!O685)/2)</f>
        <v>2.5015548250985895</v>
      </c>
      <c r="E693" s="27">
        <f>E692*(Presion_cilindro!O684/Presion_cilindro!O685)^Presion_cilindro!$B$9+10*(Presion_cilindro!$B$9-1)*Presion_cilindro!$B$33*(IF(Presion_cilindro!N685&gt;(-E$4+Presion_cilindro!$B$34),1-EXP(-Presion_cilindro!$B$16*((Presion_cilindro!N685-(-E$4+Presion_cilindro!$B$34))/Presion_cilindro!$B$35)^(Presion_cilindro!$B$17+1)),0)-IF(Presion_cilindro!N684&gt;(-E$4+Presion_cilindro!$B$34),1-EXP(-Presion_cilindro!$B$16*((Presion_cilindro!N684-(-E$4+Presion_cilindro!$B$34))/Presion_cilindro!$B$35)^(Presion_cilindro!$B$17+1)),0))/((Presion_cilindro!O684+Presion_cilindro!O685)/2)</f>
        <v>2.4338509715499725</v>
      </c>
      <c r="F693" s="27">
        <f>F692*(Presion_cilindro!O684/Presion_cilindro!O685)^Presion_cilindro!$B$9+10*(Presion_cilindro!$B$9-1)*Presion_cilindro!$B$33*(IF(Presion_cilindro!N685&gt;(-F$4+Presion_cilindro!$B$34),1-EXP(-Presion_cilindro!$B$16*((Presion_cilindro!N685-(-F$4+Presion_cilindro!$B$34))/Presion_cilindro!$B$35)^(Presion_cilindro!$B$17+1)),0)-IF(Presion_cilindro!N684&gt;(-F$4+Presion_cilindro!$B$34),1-EXP(-Presion_cilindro!$B$16*((Presion_cilindro!N684-(-F$4+Presion_cilindro!$B$34))/Presion_cilindro!$B$35)^(Presion_cilindro!$B$17+1)),0))/((Presion_cilindro!O684+Presion_cilindro!O685)/2)</f>
        <v>2.3776786735430657</v>
      </c>
      <c r="G693" s="27">
        <f>G692*(Presion_cilindro!O684/Presion_cilindro!O685)^Presion_cilindro!$B$9+10*(Presion_cilindro!$B$9-1)*Presion_cilindro!$B$33*(IF(Presion_cilindro!N685&gt;(-G$4+Presion_cilindro!$B$34),1-EXP(-Presion_cilindro!$B$16*((Presion_cilindro!N685-(-G$4+Presion_cilindro!$B$34))/Presion_cilindro!$B$35)^(Presion_cilindro!$B$17+1)),0)-IF(Presion_cilindro!N684&gt;(-G$4+Presion_cilindro!$B$34),1-EXP(-Presion_cilindro!$B$16*((Presion_cilindro!N684-(-G$4+Presion_cilindro!$B$34))/Presion_cilindro!$B$35)^(Presion_cilindro!$B$17+1)),0))/((Presion_cilindro!O684+Presion_cilindro!O685)/2)</f>
        <v>2.3360556601276485</v>
      </c>
      <c r="H693" s="27">
        <f>H692*(Presion_cilindro!O684/Presion_cilindro!O685)^Presion_cilindro!$B$9+10*(Presion_cilindro!$B$9-1)*Presion_cilindro!$B$33*(IF(Presion_cilindro!N685&gt;(-H$4+Presion_cilindro!$B$34),1-EXP(-Presion_cilindro!$B$16*((Presion_cilindro!N685-(-H$4+Presion_cilindro!$B$34))/Presion_cilindro!$B$35)^(Presion_cilindro!$B$17+1)),0)-IF(Presion_cilindro!N684&gt;(-H$4+Presion_cilindro!$B$34),1-EXP(-Presion_cilindro!$B$16*((Presion_cilindro!N684-(-H$4+Presion_cilindro!$B$34))/Presion_cilindro!$B$35)^(Presion_cilindro!$B$17+1)),0))/((Presion_cilindro!O684+Presion_cilindro!O685)/2)</f>
        <v>2.3115027970062032</v>
      </c>
      <c r="I693" s="27">
        <f>I692*(Presion_cilindro!O684/Presion_cilindro!O685)^Presion_cilindro!$B$9+10*(Presion_cilindro!$B$9-1)*Presion_cilindro!$B$33*(IF(Presion_cilindro!N685&gt;(-I$4+Presion_cilindro!$B$34),1-EXP(-Presion_cilindro!$B$16*((Presion_cilindro!N685-(-I$4+Presion_cilindro!$B$34))/Presion_cilindro!$B$35)^(Presion_cilindro!$B$17+1)),0)-IF(Presion_cilindro!N684&gt;(-I$4+Presion_cilindro!$B$34),1-EXP(-Presion_cilindro!$B$16*((Presion_cilindro!N684-(-I$4+Presion_cilindro!$B$34))/Presion_cilindro!$B$35)^(Presion_cilindro!$B$17+1)),0))/((Presion_cilindro!O684+Presion_cilindro!O685)/2)</f>
        <v>2.3056132501191731</v>
      </c>
      <c r="J693" s="27">
        <f>J692*(Presion_cilindro!O684/Presion_cilindro!O685)^Presion_cilindro!$B$9+10*(Presion_cilindro!$B$9-1)*Presion_cilindro!$B$33*(IF(Presion_cilindro!N685&gt;(-J$4+Presion_cilindro!$B$34),1-EXP(-Presion_cilindro!$B$16*((Presion_cilindro!N685-(-J$4+Presion_cilindro!$B$34))/Presion_cilindro!$B$35)^(Presion_cilindro!$B$17+1)),0)-IF(Presion_cilindro!N684&gt;(-J$4+Presion_cilindro!$B$34),1-EXP(-Presion_cilindro!$B$16*((Presion_cilindro!N684-(-J$4+Presion_cilindro!$B$34))/Presion_cilindro!$B$35)^(Presion_cilindro!$B$17+1)),0))/((Presion_cilindro!O684+Presion_cilindro!O685)/2)</f>
        <v>2.3187538324077654</v>
      </c>
      <c r="K693" s="27">
        <f>K692*(Presion_cilindro!O684/Presion_cilindro!O685)^Presion_cilindro!$B$9+10*(Presion_cilindro!$B$9-1)*Presion_cilindro!$B$33*(IF(Presion_cilindro!N685&gt;(-K$4+Presion_cilindro!$B$34),1-EXP(-Presion_cilindro!$B$16*((Presion_cilindro!N685-(-K$4+Presion_cilindro!$B$34))/Presion_cilindro!$B$35)^(Presion_cilindro!$B$17+1)),0)-IF(Presion_cilindro!N684&gt;(-K$4+Presion_cilindro!$B$34),1-EXP(-Presion_cilindro!$B$16*((Presion_cilindro!N684-(-K$4+Presion_cilindro!$B$34))/Presion_cilindro!$B$35)^(Presion_cilindro!$B$17+1)),0))/((Presion_cilindro!O684+Presion_cilindro!O685)/2)</f>
        <v>2.3500013422233312</v>
      </c>
      <c r="L693" s="27">
        <f>L692*(Presion_cilindro!O684/Presion_cilindro!O685)^Presion_cilindro!$B$9+10*(Presion_cilindro!$B$9-1)*Presion_cilindro!$B$33*(IF(Presion_cilindro!N685&gt;(-L$4+Presion_cilindro!$B$34),1-EXP(-Presion_cilindro!$B$16*((Presion_cilindro!N685-(-L$4+Presion_cilindro!$B$34))/Presion_cilindro!$B$35)^(Presion_cilindro!$B$17+1)),0)-IF(Presion_cilindro!N684&gt;(-L$4+Presion_cilindro!$B$34),1-EXP(-Presion_cilindro!$B$16*((Presion_cilindro!N684-(-L$4+Presion_cilindro!$B$34))/Presion_cilindro!$B$35)^(Presion_cilindro!$B$17+1)),0))/((Presion_cilindro!O684+Presion_cilindro!O685)/2)</f>
        <v>2.3973334202549914</v>
      </c>
      <c r="M693" s="27">
        <f>M692*(Presion_cilindro!O684/Presion_cilindro!O685)^Presion_cilindro!$B$9+10*(Presion_cilindro!$B$9-1)*Presion_cilindro!$B$33*(IF(Presion_cilindro!N685&gt;(-M$4+Presion_cilindro!$B$34),1-EXP(-Presion_cilindro!$B$16*((Presion_cilindro!N685-(-M$4+Presion_cilindro!$B$34))/Presion_cilindro!$B$35)^(Presion_cilindro!$B$17+1)),0)-IF(Presion_cilindro!N684&gt;(-M$4+Presion_cilindro!$B$34),1-EXP(-Presion_cilindro!$B$16*((Presion_cilindro!N684-(-M$4+Presion_cilindro!$B$34))/Presion_cilindro!$B$35)^(Presion_cilindro!$B$17+1)),0))/((Presion_cilindro!O684+Presion_cilindro!O685)/2)</f>
        <v>2.4580017375643708</v>
      </c>
      <c r="N693" s="27">
        <f>N692*(Presion_cilindro!O684/Presion_cilindro!O685)^Presion_cilindro!$B$9+10*(Presion_cilindro!$B$9-1)*Presion_cilindro!$B$33*(IF(Presion_cilindro!N685&gt;(-N$4+Presion_cilindro!$B$34),1-EXP(-Presion_cilindro!$B$16*((Presion_cilindro!N685-(-N$4+Presion_cilindro!$B$34))/Presion_cilindro!$B$35)^(Presion_cilindro!$B$17+1)),0)-IF(Presion_cilindro!N684&gt;(-N$4+Presion_cilindro!$B$34),1-EXP(-Presion_cilindro!$B$16*((Presion_cilindro!N684-(-N$4+Presion_cilindro!$B$34))/Presion_cilindro!$B$35)^(Presion_cilindro!$B$17+1)),0))/((Presion_cilindro!O684+Presion_cilindro!O685)/2)</f>
        <v>2.5289630194595287</v>
      </c>
    </row>
    <row r="694" spans="1:14" x14ac:dyDescent="0.25">
      <c r="A694" s="21">
        <f>Presion_cilindro!N686</f>
        <v>161</v>
      </c>
      <c r="B694" s="27">
        <f>B693*(Presion_cilindro!O685/Presion_cilindro!O686)^Presion_cilindro!$B$9+10*(Presion_cilindro!$B$9-1)*Presion_cilindro!$B$33*(IF(Presion_cilindro!N686&gt;(-B$4+Presion_cilindro!$B$34),1-EXP(-Presion_cilindro!$B$16*((Presion_cilindro!N686-(-B$4+Presion_cilindro!$B$34))/Presion_cilindro!$B$35)^(Presion_cilindro!$B$17+1)),0)-IF(Presion_cilindro!N685&gt;(-B$4+Presion_cilindro!$B$34),1-EXP(-Presion_cilindro!$B$16*((Presion_cilindro!N685-(-B$4+Presion_cilindro!$B$34))/Presion_cilindro!$B$35)^(Presion_cilindro!$B$17+1)),0))/((Presion_cilindro!O685+Presion_cilindro!O686)/2)</f>
        <v>2.6560679220272769</v>
      </c>
      <c r="C694" s="27">
        <f>C693*(Presion_cilindro!O685/Presion_cilindro!O686)^Presion_cilindro!$B$9+10*(Presion_cilindro!$B$9-1)*Presion_cilindro!$B$33*(IF(Presion_cilindro!N686&gt;(-C$4+Presion_cilindro!$B$34),1-EXP(-Presion_cilindro!$B$16*((Presion_cilindro!N686-(-C$4+Presion_cilindro!$B$34))/Presion_cilindro!$B$35)^(Presion_cilindro!$B$17+1)),0)-IF(Presion_cilindro!N685&gt;(-C$4+Presion_cilindro!$B$34),1-EXP(-Presion_cilindro!$B$16*((Presion_cilindro!N685-(-C$4+Presion_cilindro!$B$34))/Presion_cilindro!$B$35)^(Presion_cilindro!$B$17+1)),0))/((Presion_cilindro!O685+Presion_cilindro!O686)/2)</f>
        <v>2.5744104026519001</v>
      </c>
      <c r="D694" s="27">
        <f>D693*(Presion_cilindro!O685/Presion_cilindro!O686)^Presion_cilindro!$B$9+10*(Presion_cilindro!$B$9-1)*Presion_cilindro!$B$33*(IF(Presion_cilindro!N686&gt;(-D$4+Presion_cilindro!$B$34),1-EXP(-Presion_cilindro!$B$16*((Presion_cilindro!N686-(-D$4+Presion_cilindro!$B$34))/Presion_cilindro!$B$35)^(Presion_cilindro!$B$17+1)),0)-IF(Presion_cilindro!N685&gt;(-D$4+Presion_cilindro!$B$34),1-EXP(-Presion_cilindro!$B$16*((Presion_cilindro!N685-(-D$4+Presion_cilindro!$B$34))/Presion_cilindro!$B$35)^(Presion_cilindro!$B$17+1)),0))/((Presion_cilindro!O685+Presion_cilindro!O686)/2)</f>
        <v>2.4983583562497027</v>
      </c>
      <c r="E694" s="27">
        <f>E693*(Presion_cilindro!O685/Presion_cilindro!O686)^Presion_cilindro!$B$9+10*(Presion_cilindro!$B$9-1)*Presion_cilindro!$B$33*(IF(Presion_cilindro!N686&gt;(-E$4+Presion_cilindro!$B$34),1-EXP(-Presion_cilindro!$B$16*((Presion_cilindro!N686-(-E$4+Presion_cilindro!$B$34))/Presion_cilindro!$B$35)^(Presion_cilindro!$B$17+1)),0)-IF(Presion_cilindro!N685&gt;(-E$4+Presion_cilindro!$B$34),1-EXP(-Presion_cilindro!$B$16*((Presion_cilindro!N685-(-E$4+Presion_cilindro!$B$34))/Presion_cilindro!$B$35)^(Presion_cilindro!$B$17+1)),0))/((Presion_cilindro!O685+Presion_cilindro!O686)/2)</f>
        <v>2.4307410142005126</v>
      </c>
      <c r="F694" s="27">
        <f>F693*(Presion_cilindro!O685/Presion_cilindro!O686)^Presion_cilindro!$B$9+10*(Presion_cilindro!$B$9-1)*Presion_cilindro!$B$33*(IF(Presion_cilindro!N686&gt;(-F$4+Presion_cilindro!$B$34),1-EXP(-Presion_cilindro!$B$16*((Presion_cilindro!N686-(-F$4+Presion_cilindro!$B$34))/Presion_cilindro!$B$35)^(Presion_cilindro!$B$17+1)),0)-IF(Presion_cilindro!N685&gt;(-F$4+Presion_cilindro!$B$34),1-EXP(-Presion_cilindro!$B$16*((Presion_cilindro!N685-(-F$4+Presion_cilindro!$B$34))/Presion_cilindro!$B$35)^(Presion_cilindro!$B$17+1)),0))/((Presion_cilindro!O685+Presion_cilindro!O686)/2)</f>
        <v>2.3746404927539064</v>
      </c>
      <c r="G694" s="27">
        <f>G693*(Presion_cilindro!O685/Presion_cilindro!O686)^Presion_cilindro!$B$9+10*(Presion_cilindro!$B$9-1)*Presion_cilindro!$B$33*(IF(Presion_cilindro!N686&gt;(-G$4+Presion_cilindro!$B$34),1-EXP(-Presion_cilindro!$B$16*((Presion_cilindro!N686-(-G$4+Presion_cilindro!$B$34))/Presion_cilindro!$B$35)^(Presion_cilindro!$B$17+1)),0)-IF(Presion_cilindro!N685&gt;(-G$4+Presion_cilindro!$B$34),1-EXP(-Presion_cilindro!$B$16*((Presion_cilindro!N685-(-G$4+Presion_cilindro!$B$34))/Presion_cilindro!$B$35)^(Presion_cilindro!$B$17+1)),0))/((Presion_cilindro!O685+Presion_cilindro!O686)/2)</f>
        <v>2.3330706649270856</v>
      </c>
      <c r="H694" s="27">
        <f>H693*(Presion_cilindro!O685/Presion_cilindro!O686)^Presion_cilindro!$B$9+10*(Presion_cilindro!$B$9-1)*Presion_cilindro!$B$33*(IF(Presion_cilindro!N686&gt;(-H$4+Presion_cilindro!$B$34),1-EXP(-Presion_cilindro!$B$16*((Presion_cilindro!N686-(-H$4+Presion_cilindro!$B$34))/Presion_cilindro!$B$35)^(Presion_cilindro!$B$17+1)),0)-IF(Presion_cilindro!N685&gt;(-H$4+Presion_cilindro!$B$34),1-EXP(-Presion_cilindro!$B$16*((Presion_cilindro!N685-(-H$4+Presion_cilindro!$B$34))/Presion_cilindro!$B$35)^(Presion_cilindro!$B$17+1)),0))/((Presion_cilindro!O685+Presion_cilindro!O686)/2)</f>
        <v>2.3085491752783827</v>
      </c>
      <c r="I694" s="27">
        <f>I693*(Presion_cilindro!O685/Presion_cilindro!O686)^Presion_cilindro!$B$9+10*(Presion_cilindro!$B$9-1)*Presion_cilindro!$B$33*(IF(Presion_cilindro!N686&gt;(-I$4+Presion_cilindro!$B$34),1-EXP(-Presion_cilindro!$B$16*((Presion_cilindro!N686-(-I$4+Presion_cilindro!$B$34))/Presion_cilindro!$B$35)^(Presion_cilindro!$B$17+1)),0)-IF(Presion_cilindro!N685&gt;(-I$4+Presion_cilindro!$B$34),1-EXP(-Presion_cilindro!$B$16*((Presion_cilindro!N685-(-I$4+Presion_cilindro!$B$34))/Presion_cilindro!$B$35)^(Presion_cilindro!$B$17+1)),0))/((Presion_cilindro!O685+Presion_cilindro!O686)/2)</f>
        <v>2.3026671540122061</v>
      </c>
      <c r="J694" s="27">
        <f>J693*(Presion_cilindro!O685/Presion_cilindro!O686)^Presion_cilindro!$B$9+10*(Presion_cilindro!$B$9-1)*Presion_cilindro!$B$33*(IF(Presion_cilindro!N686&gt;(-J$4+Presion_cilindro!$B$34),1-EXP(-Presion_cilindro!$B$16*((Presion_cilindro!N686-(-J$4+Presion_cilindro!$B$34))/Presion_cilindro!$B$35)^(Presion_cilindro!$B$17+1)),0)-IF(Presion_cilindro!N685&gt;(-J$4+Presion_cilindro!$B$34),1-EXP(-Presion_cilindro!$B$16*((Presion_cilindro!N685-(-J$4+Presion_cilindro!$B$34))/Presion_cilindro!$B$35)^(Presion_cilindro!$B$17+1)),0))/((Presion_cilindro!O685+Presion_cilindro!O686)/2)</f>
        <v>2.3157909453588132</v>
      </c>
      <c r="K694" s="27">
        <f>K693*(Presion_cilindro!O685/Presion_cilindro!O686)^Presion_cilindro!$B$9+10*(Presion_cilindro!$B$9-1)*Presion_cilindro!$B$33*(IF(Presion_cilindro!N686&gt;(-K$4+Presion_cilindro!$B$34),1-EXP(-Presion_cilindro!$B$16*((Presion_cilindro!N686-(-K$4+Presion_cilindro!$B$34))/Presion_cilindro!$B$35)^(Presion_cilindro!$B$17+1)),0)-IF(Presion_cilindro!N685&gt;(-K$4+Presion_cilindro!$B$34),1-EXP(-Presion_cilindro!$B$16*((Presion_cilindro!N685-(-K$4+Presion_cilindro!$B$34))/Presion_cilindro!$B$35)^(Presion_cilindro!$B$17+1)),0))/((Presion_cilindro!O685+Presion_cilindro!O686)/2)</f>
        <v>2.3469985273300127</v>
      </c>
      <c r="L694" s="27">
        <f>L693*(Presion_cilindro!O685/Presion_cilindro!O686)^Presion_cilindro!$B$9+10*(Presion_cilindro!$B$9-1)*Presion_cilindro!$B$33*(IF(Presion_cilindro!N686&gt;(-L$4+Presion_cilindro!$B$34),1-EXP(-Presion_cilindro!$B$16*((Presion_cilindro!N686-(-L$4+Presion_cilindro!$B$34))/Presion_cilindro!$B$35)^(Presion_cilindro!$B$17+1)),0)-IF(Presion_cilindro!N685&gt;(-L$4+Presion_cilindro!$B$34),1-EXP(-Presion_cilindro!$B$16*((Presion_cilindro!N685-(-L$4+Presion_cilindro!$B$34))/Presion_cilindro!$B$35)^(Presion_cilindro!$B$17+1)),0))/((Presion_cilindro!O685+Presion_cilindro!O686)/2)</f>
        <v>2.3942701247711762</v>
      </c>
      <c r="M694" s="27">
        <f>M693*(Presion_cilindro!O685/Presion_cilindro!O686)^Presion_cilindro!$B$9+10*(Presion_cilindro!$B$9-1)*Presion_cilindro!$B$33*(IF(Presion_cilindro!N686&gt;(-M$4+Presion_cilindro!$B$34),1-EXP(-Presion_cilindro!$B$16*((Presion_cilindro!N686-(-M$4+Presion_cilindro!$B$34))/Presion_cilindro!$B$35)^(Presion_cilindro!$B$17+1)),0)-IF(Presion_cilindro!N685&gt;(-M$4+Presion_cilindro!$B$34),1-EXP(-Presion_cilindro!$B$16*((Presion_cilindro!N685-(-M$4+Presion_cilindro!$B$34))/Presion_cilindro!$B$35)^(Presion_cilindro!$B$17+1)),0))/((Presion_cilindro!O685+Presion_cilindro!O686)/2)</f>
        <v>2.4548609205389735</v>
      </c>
      <c r="N694" s="27">
        <f>N693*(Presion_cilindro!O685/Presion_cilindro!O686)^Presion_cilindro!$B$9+10*(Presion_cilindro!$B$9-1)*Presion_cilindro!$B$33*(IF(Presion_cilindro!N686&gt;(-N$4+Presion_cilindro!$B$34),1-EXP(-Presion_cilindro!$B$16*((Presion_cilindro!N686-(-N$4+Presion_cilindro!$B$34))/Presion_cilindro!$B$35)^(Presion_cilindro!$B$17+1)),0)-IF(Presion_cilindro!N685&gt;(-N$4+Presion_cilindro!$B$34),1-EXP(-Presion_cilindro!$B$16*((Presion_cilindro!N685-(-N$4+Presion_cilindro!$B$34))/Presion_cilindro!$B$35)^(Presion_cilindro!$B$17+1)),0))/((Presion_cilindro!O685+Presion_cilindro!O686)/2)</f>
        <v>2.5257315286160806</v>
      </c>
    </row>
    <row r="695" spans="1:14" x14ac:dyDescent="0.25">
      <c r="A695" s="21">
        <f>Presion_cilindro!N687</f>
        <v>161.5</v>
      </c>
      <c r="B695" s="27">
        <f>B694*(Presion_cilindro!O686/Presion_cilindro!O687)^Presion_cilindro!$B$9+10*(Presion_cilindro!$B$9-1)*Presion_cilindro!$B$33*(IF(Presion_cilindro!N687&gt;(-B$4+Presion_cilindro!$B$34),1-EXP(-Presion_cilindro!$B$16*((Presion_cilindro!N687-(-B$4+Presion_cilindro!$B$34))/Presion_cilindro!$B$35)^(Presion_cilindro!$B$17+1)),0)-IF(Presion_cilindro!N686&gt;(-B$4+Presion_cilindro!$B$34),1-EXP(-Presion_cilindro!$B$16*((Presion_cilindro!N686-(-B$4+Presion_cilindro!$B$34))/Presion_cilindro!$B$35)^(Presion_cilindro!$B$17+1)),0))/((Presion_cilindro!O686+Presion_cilindro!O687)/2)</f>
        <v>2.6527654612823097</v>
      </c>
      <c r="C695" s="27">
        <f>C694*(Presion_cilindro!O686/Presion_cilindro!O687)^Presion_cilindro!$B$9+10*(Presion_cilindro!$B$9-1)*Presion_cilindro!$B$33*(IF(Presion_cilindro!N687&gt;(-C$4+Presion_cilindro!$B$34),1-EXP(-Presion_cilindro!$B$16*((Presion_cilindro!N687-(-C$4+Presion_cilindro!$B$34))/Presion_cilindro!$B$35)^(Presion_cilindro!$B$17+1)),0)-IF(Presion_cilindro!N686&gt;(-C$4+Presion_cilindro!$B$34),1-EXP(-Presion_cilindro!$B$16*((Presion_cilindro!N686-(-C$4+Presion_cilindro!$B$34))/Presion_cilindro!$B$35)^(Presion_cilindro!$B$17+1)),0))/((Presion_cilindro!O686+Presion_cilindro!O687)/2)</f>
        <v>2.5712094719732512</v>
      </c>
      <c r="D695" s="27">
        <f>D694*(Presion_cilindro!O686/Presion_cilindro!O687)^Presion_cilindro!$B$9+10*(Presion_cilindro!$B$9-1)*Presion_cilindro!$B$33*(IF(Presion_cilindro!N687&gt;(-D$4+Presion_cilindro!$B$34),1-EXP(-Presion_cilindro!$B$16*((Presion_cilindro!N687-(-D$4+Presion_cilindro!$B$34))/Presion_cilindro!$B$35)^(Presion_cilindro!$B$17+1)),0)-IF(Presion_cilindro!N686&gt;(-D$4+Presion_cilindro!$B$34),1-EXP(-Presion_cilindro!$B$16*((Presion_cilindro!N686-(-D$4+Presion_cilindro!$B$34))/Presion_cilindro!$B$35)^(Presion_cilindro!$B$17+1)),0))/((Presion_cilindro!O686+Presion_cilindro!O687)/2)</f>
        <v>2.495251985990889</v>
      </c>
      <c r="E695" s="27">
        <f>E694*(Presion_cilindro!O686/Presion_cilindro!O687)^Presion_cilindro!$B$9+10*(Presion_cilindro!$B$9-1)*Presion_cilindro!$B$33*(IF(Presion_cilindro!N687&gt;(-E$4+Presion_cilindro!$B$34),1-EXP(-Presion_cilindro!$B$16*((Presion_cilindro!N687-(-E$4+Presion_cilindro!$B$34))/Presion_cilindro!$B$35)^(Presion_cilindro!$B$17+1)),0)-IF(Presion_cilindro!N686&gt;(-E$4+Presion_cilindro!$B$34),1-EXP(-Presion_cilindro!$B$16*((Presion_cilindro!N686-(-E$4+Presion_cilindro!$B$34))/Presion_cilindro!$B$35)^(Presion_cilindro!$B$17+1)),0))/((Presion_cilindro!O686+Presion_cilindro!O687)/2)</f>
        <v>2.427718716948998</v>
      </c>
      <c r="F695" s="27">
        <f>F694*(Presion_cilindro!O686/Presion_cilindro!O687)^Presion_cilindro!$B$9+10*(Presion_cilindro!$B$9-1)*Presion_cilindro!$B$33*(IF(Presion_cilindro!N687&gt;(-F$4+Presion_cilindro!$B$34),1-EXP(-Presion_cilindro!$B$16*((Presion_cilindro!N687-(-F$4+Presion_cilindro!$B$34))/Presion_cilindro!$B$35)^(Presion_cilindro!$B$17+1)),0)-IF(Presion_cilindro!N686&gt;(-F$4+Presion_cilindro!$B$34),1-EXP(-Presion_cilindro!$B$16*((Presion_cilindro!N686-(-F$4+Presion_cilindro!$B$34))/Presion_cilindro!$B$35)^(Presion_cilindro!$B$17+1)),0))/((Presion_cilindro!O686+Presion_cilindro!O687)/2)</f>
        <v>2.3716879489030158</v>
      </c>
      <c r="G695" s="27">
        <f>G694*(Presion_cilindro!O686/Presion_cilindro!O687)^Presion_cilindro!$B$9+10*(Presion_cilindro!$B$9-1)*Presion_cilindro!$B$33*(IF(Presion_cilindro!N687&gt;(-G$4+Presion_cilindro!$B$34),1-EXP(-Presion_cilindro!$B$16*((Presion_cilindro!N687-(-G$4+Presion_cilindro!$B$34))/Presion_cilindro!$B$35)^(Presion_cilindro!$B$17+1)),0)-IF(Presion_cilindro!N686&gt;(-G$4+Presion_cilindro!$B$34),1-EXP(-Presion_cilindro!$B$16*((Presion_cilindro!N686-(-G$4+Presion_cilindro!$B$34))/Presion_cilindro!$B$35)^(Presion_cilindro!$B$17+1)),0))/((Presion_cilindro!O686+Presion_cilindro!O687)/2)</f>
        <v>2.3301698075272208</v>
      </c>
      <c r="H695" s="27">
        <f>H694*(Presion_cilindro!O686/Presion_cilindro!O687)^Presion_cilindro!$B$9+10*(Presion_cilindro!$B$9-1)*Presion_cilindro!$B$33*(IF(Presion_cilindro!N687&gt;(-H$4+Presion_cilindro!$B$34),1-EXP(-Presion_cilindro!$B$16*((Presion_cilindro!N687-(-H$4+Presion_cilindro!$B$34))/Presion_cilindro!$B$35)^(Presion_cilindro!$B$17+1)),0)-IF(Presion_cilindro!N686&gt;(-H$4+Presion_cilindro!$B$34),1-EXP(-Presion_cilindro!$B$16*((Presion_cilindro!N686-(-H$4+Presion_cilindro!$B$34))/Presion_cilindro!$B$35)^(Presion_cilindro!$B$17+1)),0))/((Presion_cilindro!O686+Presion_cilindro!O687)/2)</f>
        <v>2.3056788070299068</v>
      </c>
      <c r="I695" s="27">
        <f>I694*(Presion_cilindro!O686/Presion_cilindro!O687)^Presion_cilindro!$B$9+10*(Presion_cilindro!$B$9-1)*Presion_cilindro!$B$33*(IF(Presion_cilindro!N687&gt;(-I$4+Presion_cilindro!$B$34),1-EXP(-Presion_cilindro!$B$16*((Presion_cilindro!N687-(-I$4+Presion_cilindro!$B$34))/Presion_cilindro!$B$35)^(Presion_cilindro!$B$17+1)),0)-IF(Presion_cilindro!N686&gt;(-I$4+Presion_cilindro!$B$34),1-EXP(-Presion_cilindro!$B$16*((Presion_cilindro!N686-(-I$4+Presion_cilindro!$B$34))/Presion_cilindro!$B$35)^(Presion_cilindro!$B$17+1)),0))/((Presion_cilindro!O686+Presion_cilindro!O687)/2)</f>
        <v>2.299804099260562</v>
      </c>
      <c r="J695" s="27">
        <f>J694*(Presion_cilindro!O686/Presion_cilindro!O687)^Presion_cilindro!$B$9+10*(Presion_cilindro!$B$9-1)*Presion_cilindro!$B$33*(IF(Presion_cilindro!N687&gt;(-J$4+Presion_cilindro!$B$34),1-EXP(-Presion_cilindro!$B$16*((Presion_cilindro!N687-(-J$4+Presion_cilindro!$B$34))/Presion_cilindro!$B$35)^(Presion_cilindro!$B$17+1)),0)-IF(Presion_cilindro!N686&gt;(-J$4+Presion_cilindro!$B$34),1-EXP(-Presion_cilindro!$B$16*((Presion_cilindro!N686-(-J$4+Presion_cilindro!$B$34))/Presion_cilindro!$B$35)^(Presion_cilindro!$B$17+1)),0))/((Presion_cilindro!O686+Presion_cilindro!O687)/2)</f>
        <v>2.312911572950008</v>
      </c>
      <c r="K695" s="27">
        <f>K694*(Presion_cilindro!O686/Presion_cilindro!O687)^Presion_cilindro!$B$9+10*(Presion_cilindro!$B$9-1)*Presion_cilindro!$B$33*(IF(Presion_cilindro!N687&gt;(-K$4+Presion_cilindro!$B$34),1-EXP(-Presion_cilindro!$B$16*((Presion_cilindro!N687-(-K$4+Presion_cilindro!$B$34))/Presion_cilindro!$B$35)^(Presion_cilindro!$B$17+1)),0)-IF(Presion_cilindro!N686&gt;(-K$4+Presion_cilindro!$B$34),1-EXP(-Presion_cilindro!$B$16*((Presion_cilindro!N686-(-K$4+Presion_cilindro!$B$34))/Presion_cilindro!$B$35)^(Presion_cilindro!$B$17+1)),0))/((Presion_cilindro!O686+Presion_cilindro!O687)/2)</f>
        <v>2.3440803525195255</v>
      </c>
      <c r="L695" s="27">
        <f>L694*(Presion_cilindro!O686/Presion_cilindro!O687)^Presion_cilindro!$B$9+10*(Presion_cilindro!$B$9-1)*Presion_cilindro!$B$33*(IF(Presion_cilindro!N687&gt;(-L$4+Presion_cilindro!$B$34),1-EXP(-Presion_cilindro!$B$16*((Presion_cilindro!N687-(-L$4+Presion_cilindro!$B$34))/Presion_cilindro!$B$35)^(Presion_cilindro!$B$17+1)),0)-IF(Presion_cilindro!N686&gt;(-L$4+Presion_cilindro!$B$34),1-EXP(-Presion_cilindro!$B$16*((Presion_cilindro!N686-(-L$4+Presion_cilindro!$B$34))/Presion_cilindro!$B$35)^(Presion_cilindro!$B$17+1)),0))/((Presion_cilindro!O686+Presion_cilindro!O687)/2)</f>
        <v>2.3912931741313486</v>
      </c>
      <c r="M695" s="27">
        <f>M694*(Presion_cilindro!O686/Presion_cilindro!O687)^Presion_cilindro!$B$9+10*(Presion_cilindro!$B$9-1)*Presion_cilindro!$B$33*(IF(Presion_cilindro!N687&gt;(-M$4+Presion_cilindro!$B$34),1-EXP(-Presion_cilindro!$B$16*((Presion_cilindro!N687-(-M$4+Presion_cilindro!$B$34))/Presion_cilindro!$B$35)^(Presion_cilindro!$B$17+1)),0)-IF(Presion_cilindro!N686&gt;(-M$4+Presion_cilindro!$B$34),1-EXP(-Presion_cilindro!$B$16*((Presion_cilindro!N686-(-M$4+Presion_cilindro!$B$34))/Presion_cilindro!$B$35)^(Presion_cilindro!$B$17+1)),0))/((Presion_cilindro!O686+Presion_cilindro!O687)/2)</f>
        <v>2.4518086334505296</v>
      </c>
      <c r="N695" s="27">
        <f>N694*(Presion_cilindro!O686/Presion_cilindro!O687)^Presion_cilindro!$B$9+10*(Presion_cilindro!$B$9-1)*Presion_cilindro!$B$33*(IF(Presion_cilindro!N687&gt;(-N$4+Presion_cilindro!$B$34),1-EXP(-Presion_cilindro!$B$16*((Presion_cilindro!N687-(-N$4+Presion_cilindro!$B$34))/Presion_cilindro!$B$35)^(Presion_cilindro!$B$17+1)),0)-IF(Presion_cilindro!N686&gt;(-N$4+Presion_cilindro!$B$34),1-EXP(-Presion_cilindro!$B$16*((Presion_cilindro!N686-(-N$4+Presion_cilindro!$B$34))/Presion_cilindro!$B$35)^(Presion_cilindro!$B$17+1)),0))/((Presion_cilindro!O686+Presion_cilindro!O687)/2)</f>
        <v>2.5225911235246272</v>
      </c>
    </row>
    <row r="696" spans="1:14" x14ac:dyDescent="0.25">
      <c r="A696" s="21">
        <f>Presion_cilindro!N688</f>
        <v>162</v>
      </c>
      <c r="B696" s="27">
        <f>B695*(Presion_cilindro!O687/Presion_cilindro!O688)^Presion_cilindro!$B$9+10*(Presion_cilindro!$B$9-1)*Presion_cilindro!$B$33*(IF(Presion_cilindro!N688&gt;(-B$4+Presion_cilindro!$B$34),1-EXP(-Presion_cilindro!$B$16*((Presion_cilindro!N688-(-B$4+Presion_cilindro!$B$34))/Presion_cilindro!$B$35)^(Presion_cilindro!$B$17+1)),0)-IF(Presion_cilindro!N687&gt;(-B$4+Presion_cilindro!$B$34),1-EXP(-Presion_cilindro!$B$16*((Presion_cilindro!N687-(-B$4+Presion_cilindro!$B$34))/Presion_cilindro!$B$35)^(Presion_cilindro!$B$17+1)),0))/((Presion_cilindro!O687+Presion_cilindro!O688)/2)</f>
        <v>2.6495581755361917</v>
      </c>
      <c r="C696" s="27">
        <f>C695*(Presion_cilindro!O687/Presion_cilindro!O688)^Presion_cilindro!$B$9+10*(Presion_cilindro!$B$9-1)*Presion_cilindro!$B$33*(IF(Presion_cilindro!N688&gt;(-C$4+Presion_cilindro!$B$34),1-EXP(-Presion_cilindro!$B$16*((Presion_cilindro!N688-(-C$4+Presion_cilindro!$B$34))/Presion_cilindro!$B$35)^(Presion_cilindro!$B$17+1)),0)-IF(Presion_cilindro!N687&gt;(-C$4+Presion_cilindro!$B$34),1-EXP(-Presion_cilindro!$B$16*((Presion_cilindro!N687-(-C$4+Presion_cilindro!$B$34))/Presion_cilindro!$B$35)^(Presion_cilindro!$B$17+1)),0))/((Presion_cilindro!O687+Presion_cilindro!O688)/2)</f>
        <v>2.5681007902559623</v>
      </c>
      <c r="D696" s="27">
        <f>D695*(Presion_cilindro!O687/Presion_cilindro!O688)^Presion_cilindro!$B$9+10*(Presion_cilindro!$B$9-1)*Presion_cilindro!$B$33*(IF(Presion_cilindro!N688&gt;(-D$4+Presion_cilindro!$B$34),1-EXP(-Presion_cilindro!$B$16*((Presion_cilindro!N688-(-D$4+Presion_cilindro!$B$34))/Presion_cilindro!$B$35)^(Presion_cilindro!$B$17+1)),0)-IF(Presion_cilindro!N687&gt;(-D$4+Presion_cilindro!$B$34),1-EXP(-Presion_cilindro!$B$16*((Presion_cilindro!N687-(-D$4+Presion_cilindro!$B$34))/Presion_cilindro!$B$35)^(Presion_cilindro!$B$17+1)),0))/((Presion_cilindro!O687+Presion_cilindro!O688)/2)</f>
        <v>2.4922351395171067</v>
      </c>
      <c r="E696" s="27">
        <f>E695*(Presion_cilindro!O687/Presion_cilindro!O688)^Presion_cilindro!$B$9+10*(Presion_cilindro!$B$9-1)*Presion_cilindro!$B$33*(IF(Presion_cilindro!N688&gt;(-E$4+Presion_cilindro!$B$34),1-EXP(-Presion_cilindro!$B$16*((Presion_cilindro!N688-(-E$4+Presion_cilindro!$B$34))/Presion_cilindro!$B$35)^(Presion_cilindro!$B$17+1)),0)-IF(Presion_cilindro!N687&gt;(-E$4+Presion_cilindro!$B$34),1-EXP(-Presion_cilindro!$B$16*((Presion_cilindro!N687-(-E$4+Presion_cilindro!$B$34))/Presion_cilindro!$B$35)^(Presion_cilindro!$B$17+1)),0))/((Presion_cilindro!O687+Presion_cilindro!O688)/2)</f>
        <v>2.4247835205473187</v>
      </c>
      <c r="F696" s="27">
        <f>F695*(Presion_cilindro!O687/Presion_cilindro!O688)^Presion_cilindro!$B$9+10*(Presion_cilindro!$B$9-1)*Presion_cilindro!$B$33*(IF(Presion_cilindro!N688&gt;(-F$4+Presion_cilindro!$B$34),1-EXP(-Presion_cilindro!$B$16*((Presion_cilindro!N688-(-F$4+Presion_cilindro!$B$34))/Presion_cilindro!$B$35)^(Presion_cilindro!$B$17+1)),0)-IF(Presion_cilindro!N687&gt;(-F$4+Presion_cilindro!$B$34),1-EXP(-Presion_cilindro!$B$16*((Presion_cilindro!N687-(-F$4+Presion_cilindro!$B$34))/Presion_cilindro!$B$35)^(Presion_cilindro!$B$17+1)),0))/((Presion_cilindro!O687+Presion_cilindro!O688)/2)</f>
        <v>2.3688204956495045</v>
      </c>
      <c r="G696" s="27">
        <f>G695*(Presion_cilindro!O687/Presion_cilindro!O688)^Presion_cilindro!$B$9+10*(Presion_cilindro!$B$9-1)*Presion_cilindro!$B$33*(IF(Presion_cilindro!N688&gt;(-G$4+Presion_cilindro!$B$34),1-EXP(-Presion_cilindro!$B$16*((Presion_cilindro!N688-(-G$4+Presion_cilindro!$B$34))/Presion_cilindro!$B$35)^(Presion_cilindro!$B$17+1)),0)-IF(Presion_cilindro!N687&gt;(-G$4+Presion_cilindro!$B$34),1-EXP(-Presion_cilindro!$B$16*((Presion_cilindro!N687-(-G$4+Presion_cilindro!$B$34))/Presion_cilindro!$B$35)^(Presion_cilindro!$B$17+1)),0))/((Presion_cilindro!O687+Presion_cilindro!O688)/2)</f>
        <v>2.3273525511512636</v>
      </c>
      <c r="H696" s="27">
        <f>H695*(Presion_cilindro!O687/Presion_cilindro!O688)^Presion_cilindro!$B$9+10*(Presion_cilindro!$B$9-1)*Presion_cilindro!$B$33*(IF(Presion_cilindro!N688&gt;(-H$4+Presion_cilindro!$B$34),1-EXP(-Presion_cilindro!$B$16*((Presion_cilindro!N688-(-H$4+Presion_cilindro!$B$34))/Presion_cilindro!$B$35)^(Presion_cilindro!$B$17+1)),0)-IF(Presion_cilindro!N687&gt;(-H$4+Presion_cilindro!$B$34),1-EXP(-Presion_cilindro!$B$16*((Presion_cilindro!N687-(-H$4+Presion_cilindro!$B$34))/Presion_cilindro!$B$35)^(Presion_cilindro!$B$17+1)),0))/((Presion_cilindro!O687+Presion_cilindro!O688)/2)</f>
        <v>2.3028911611257192</v>
      </c>
      <c r="I696" s="27">
        <f>I695*(Presion_cilindro!O687/Presion_cilindro!O688)^Presion_cilindro!$B$9+10*(Presion_cilindro!$B$9-1)*Presion_cilindro!$B$33*(IF(Presion_cilindro!N688&gt;(-I$4+Presion_cilindro!$B$34),1-EXP(-Presion_cilindro!$B$16*((Presion_cilindro!N688-(-I$4+Presion_cilindro!$B$34))/Presion_cilindro!$B$35)^(Presion_cilindro!$B$17+1)),0)-IF(Presion_cilindro!N687&gt;(-I$4+Presion_cilindro!$B$34),1-EXP(-Presion_cilindro!$B$16*((Presion_cilindro!N687-(-I$4+Presion_cilindro!$B$34))/Presion_cilindro!$B$35)^(Presion_cilindro!$B$17+1)),0))/((Presion_cilindro!O687+Presion_cilindro!O688)/2)</f>
        <v>2.297023556082479</v>
      </c>
      <c r="J696" s="27">
        <f>J695*(Presion_cilindro!O687/Presion_cilindro!O688)^Presion_cilindro!$B$9+10*(Presion_cilindro!$B$9-1)*Presion_cilindro!$B$33*(IF(Presion_cilindro!N688&gt;(-J$4+Presion_cilindro!$B$34),1-EXP(-Presion_cilindro!$B$16*((Presion_cilindro!N688-(-J$4+Presion_cilindro!$B$34))/Presion_cilindro!$B$35)^(Presion_cilindro!$B$17+1)),0)-IF(Presion_cilindro!N687&gt;(-J$4+Presion_cilindro!$B$34),1-EXP(-Presion_cilindro!$B$16*((Presion_cilindro!N687-(-J$4+Presion_cilindro!$B$34))/Presion_cilindro!$B$35)^(Presion_cilindro!$B$17+1)),0))/((Presion_cilindro!O687+Presion_cilindro!O688)/2)</f>
        <v>2.3101151823801578</v>
      </c>
      <c r="K696" s="27">
        <f>K695*(Presion_cilindro!O687/Presion_cilindro!O688)^Presion_cilindro!$B$9+10*(Presion_cilindro!$B$9-1)*Presion_cilindro!$B$33*(IF(Presion_cilindro!N688&gt;(-K$4+Presion_cilindro!$B$34),1-EXP(-Presion_cilindro!$B$16*((Presion_cilindro!N688-(-K$4+Presion_cilindro!$B$34))/Presion_cilindro!$B$35)^(Presion_cilindro!$B$17+1)),0)-IF(Presion_cilindro!N687&gt;(-K$4+Presion_cilindro!$B$34),1-EXP(-Presion_cilindro!$B$16*((Presion_cilindro!N687-(-K$4+Presion_cilindro!$B$34))/Presion_cilindro!$B$35)^(Presion_cilindro!$B$17+1)),0))/((Presion_cilindro!O687+Presion_cilindro!O688)/2)</f>
        <v>2.3412462778106526</v>
      </c>
      <c r="L696" s="27">
        <f>L695*(Presion_cilindro!O687/Presion_cilindro!O688)^Presion_cilindro!$B$9+10*(Presion_cilindro!$B$9-1)*Presion_cilindro!$B$33*(IF(Presion_cilindro!N688&gt;(-L$4+Presion_cilindro!$B$34),1-EXP(-Presion_cilindro!$B$16*((Presion_cilindro!N688-(-L$4+Presion_cilindro!$B$34))/Presion_cilindro!$B$35)^(Presion_cilindro!$B$17+1)),0)-IF(Presion_cilindro!N687&gt;(-L$4+Presion_cilindro!$B$34),1-EXP(-Presion_cilindro!$B$16*((Presion_cilindro!N687-(-L$4+Presion_cilindro!$B$34))/Presion_cilindro!$B$35)^(Presion_cilindro!$B$17+1)),0))/((Presion_cilindro!O687+Presion_cilindro!O688)/2)</f>
        <v>2.3884020174783691</v>
      </c>
      <c r="M696" s="27">
        <f>M695*(Presion_cilindro!O687/Presion_cilindro!O688)^Presion_cilindro!$B$9+10*(Presion_cilindro!$B$9-1)*Presion_cilindro!$B$33*(IF(Presion_cilindro!N688&gt;(-M$4+Presion_cilindro!$B$34),1-EXP(-Presion_cilindro!$B$16*((Presion_cilindro!N688-(-M$4+Presion_cilindro!$B$34))/Presion_cilindro!$B$35)^(Presion_cilindro!$B$17+1)),0)-IF(Presion_cilindro!N687&gt;(-M$4+Presion_cilindro!$B$34),1-EXP(-Presion_cilindro!$B$16*((Presion_cilindro!N687-(-M$4+Presion_cilindro!$B$34))/Presion_cilindro!$B$35)^(Presion_cilindro!$B$17+1)),0))/((Presion_cilindro!O687+Presion_cilindro!O688)/2)</f>
        <v>2.4488443115015874</v>
      </c>
      <c r="N696" s="27">
        <f>N695*(Presion_cilindro!O687/Presion_cilindro!O688)^Presion_cilindro!$B$9+10*(Presion_cilindro!$B$9-1)*Presion_cilindro!$B$33*(IF(Presion_cilindro!N688&gt;(-N$4+Presion_cilindro!$B$34),1-EXP(-Presion_cilindro!$B$16*((Presion_cilindro!N688-(-N$4+Presion_cilindro!$B$34))/Presion_cilindro!$B$35)^(Presion_cilindro!$B$17+1)),0)-IF(Presion_cilindro!N687&gt;(-N$4+Presion_cilindro!$B$34),1-EXP(-Presion_cilindro!$B$16*((Presion_cilindro!N687-(-N$4+Presion_cilindro!$B$34))/Presion_cilindro!$B$35)^(Presion_cilindro!$B$17+1)),0))/((Presion_cilindro!O687+Presion_cilindro!O688)/2)</f>
        <v>2.5195412230822964</v>
      </c>
    </row>
    <row r="697" spans="1:14" x14ac:dyDescent="0.25">
      <c r="A697" s="21">
        <f>Presion_cilindro!N689</f>
        <v>162.5</v>
      </c>
      <c r="B697" s="27">
        <f>B696*(Presion_cilindro!O688/Presion_cilindro!O689)^Presion_cilindro!$B$9+10*(Presion_cilindro!$B$9-1)*Presion_cilindro!$B$33*(IF(Presion_cilindro!N689&gt;(-B$4+Presion_cilindro!$B$34),1-EXP(-Presion_cilindro!$B$16*((Presion_cilindro!N689-(-B$4+Presion_cilindro!$B$34))/Presion_cilindro!$B$35)^(Presion_cilindro!$B$17+1)),0)-IF(Presion_cilindro!N688&gt;(-B$4+Presion_cilindro!$B$34),1-EXP(-Presion_cilindro!$B$16*((Presion_cilindro!N688-(-B$4+Presion_cilindro!$B$34))/Presion_cilindro!$B$35)^(Presion_cilindro!$B$17+1)),0))/((Presion_cilindro!O688+Presion_cilindro!O689)/2)</f>
        <v>2.6464454723590851</v>
      </c>
      <c r="C697" s="27">
        <f>C696*(Presion_cilindro!O688/Presion_cilindro!O689)^Presion_cilindro!$B$9+10*(Presion_cilindro!$B$9-1)*Presion_cilindro!$B$33*(IF(Presion_cilindro!N689&gt;(-C$4+Presion_cilindro!$B$34),1-EXP(-Presion_cilindro!$B$16*((Presion_cilindro!N689-(-C$4+Presion_cilindro!$B$34))/Presion_cilindro!$B$35)^(Presion_cilindro!$B$17+1)),0)-IF(Presion_cilindro!N688&gt;(-C$4+Presion_cilindro!$B$34),1-EXP(-Presion_cilindro!$B$16*((Presion_cilindro!N688-(-C$4+Presion_cilindro!$B$34))/Presion_cilindro!$B$35)^(Presion_cilindro!$B$17+1)),0))/((Presion_cilindro!O688+Presion_cilindro!O689)/2)</f>
        <v>2.5650837832837179</v>
      </c>
      <c r="D697" s="27">
        <f>D696*(Presion_cilindro!O688/Presion_cilindro!O689)^Presion_cilindro!$B$9+10*(Presion_cilindro!$B$9-1)*Presion_cilindro!$B$33*(IF(Presion_cilindro!N689&gt;(-D$4+Presion_cilindro!$B$34),1-EXP(-Presion_cilindro!$B$16*((Presion_cilindro!N689-(-D$4+Presion_cilindro!$B$34))/Presion_cilindro!$B$35)^(Presion_cilindro!$B$17+1)),0)-IF(Presion_cilindro!N688&gt;(-D$4+Presion_cilindro!$B$34),1-EXP(-Presion_cilindro!$B$16*((Presion_cilindro!N688-(-D$4+Presion_cilindro!$B$34))/Presion_cilindro!$B$35)^(Presion_cilindro!$B$17+1)),0))/((Presion_cilindro!O688+Presion_cilindro!O689)/2)</f>
        <v>2.4893072595752739</v>
      </c>
      <c r="E697" s="27">
        <f>E696*(Presion_cilindro!O688/Presion_cilindro!O689)^Presion_cilindro!$B$9+10*(Presion_cilindro!$B$9-1)*Presion_cilindro!$B$33*(IF(Presion_cilindro!N689&gt;(-E$4+Presion_cilindro!$B$34),1-EXP(-Presion_cilindro!$B$16*((Presion_cilindro!N689-(-E$4+Presion_cilindro!$B$34))/Presion_cilindro!$B$35)^(Presion_cilindro!$B$17+1)),0)-IF(Presion_cilindro!N688&gt;(-E$4+Presion_cilindro!$B$34),1-EXP(-Presion_cilindro!$B$16*((Presion_cilindro!N688-(-E$4+Presion_cilindro!$B$34))/Presion_cilindro!$B$35)^(Presion_cilindro!$B$17+1)),0))/((Presion_cilindro!O688+Presion_cilindro!O689)/2)</f>
        <v>2.4219348828242855</v>
      </c>
      <c r="F697" s="27">
        <f>F696*(Presion_cilindro!O688/Presion_cilindro!O689)^Presion_cilindro!$B$9+10*(Presion_cilindro!$B$9-1)*Presion_cilindro!$B$33*(IF(Presion_cilindro!N689&gt;(-F$4+Presion_cilindro!$B$34),1-EXP(-Presion_cilindro!$B$16*((Presion_cilindro!N689-(-F$4+Presion_cilindro!$B$34))/Presion_cilindro!$B$35)^(Presion_cilindro!$B$17+1)),0)-IF(Presion_cilindro!N688&gt;(-F$4+Presion_cilindro!$B$34),1-EXP(-Presion_cilindro!$B$16*((Presion_cilindro!N688-(-F$4+Presion_cilindro!$B$34))/Presion_cilindro!$B$35)^(Presion_cilindro!$B$17+1)),0))/((Presion_cilindro!O688+Presion_cilindro!O689)/2)</f>
        <v>2.366037603335275</v>
      </c>
      <c r="G697" s="27">
        <f>G696*(Presion_cilindro!O688/Presion_cilindro!O689)^Presion_cilindro!$B$9+10*(Presion_cilindro!$B$9-1)*Presion_cilindro!$B$33*(IF(Presion_cilindro!N689&gt;(-G$4+Presion_cilindro!$B$34),1-EXP(-Presion_cilindro!$B$16*((Presion_cilindro!N689-(-G$4+Presion_cilindro!$B$34))/Presion_cilindro!$B$35)^(Presion_cilindro!$B$17+1)),0)-IF(Presion_cilindro!N688&gt;(-G$4+Presion_cilindro!$B$34),1-EXP(-Presion_cilindro!$B$16*((Presion_cilindro!N688-(-G$4+Presion_cilindro!$B$34))/Presion_cilindro!$B$35)^(Presion_cilindro!$B$17+1)),0))/((Presion_cilindro!O688+Presion_cilindro!O689)/2)</f>
        <v>2.3246183754131713</v>
      </c>
      <c r="H697" s="27">
        <f>H696*(Presion_cilindro!O688/Presion_cilindro!O689)^Presion_cilindro!$B$9+10*(Presion_cilindro!$B$9-1)*Presion_cilindro!$B$33*(IF(Presion_cilindro!N689&gt;(-H$4+Presion_cilindro!$B$34),1-EXP(-Presion_cilindro!$B$16*((Presion_cilindro!N689-(-H$4+Presion_cilindro!$B$34))/Presion_cilindro!$B$35)^(Presion_cilindro!$B$17+1)),0)-IF(Presion_cilindro!N688&gt;(-H$4+Presion_cilindro!$B$34),1-EXP(-Presion_cilindro!$B$16*((Presion_cilindro!N688-(-H$4+Presion_cilindro!$B$34))/Presion_cilindro!$B$35)^(Presion_cilindro!$B$17+1)),0))/((Presion_cilindro!O688+Presion_cilindro!O689)/2)</f>
        <v>2.3001857226492395</v>
      </c>
      <c r="I697" s="27">
        <f>I696*(Presion_cilindro!O688/Presion_cilindro!O689)^Presion_cilindro!$B$9+10*(Presion_cilindro!$B$9-1)*Presion_cilindro!$B$33*(IF(Presion_cilindro!N689&gt;(-I$4+Presion_cilindro!$B$34),1-EXP(-Presion_cilindro!$B$16*((Presion_cilindro!N689-(-I$4+Presion_cilindro!$B$34))/Presion_cilindro!$B$35)^(Presion_cilindro!$B$17+1)),0)-IF(Presion_cilindro!N688&gt;(-I$4+Presion_cilindro!$B$34),1-EXP(-Presion_cilindro!$B$16*((Presion_cilindro!N688-(-I$4+Presion_cilindro!$B$34))/Presion_cilindro!$B$35)^(Presion_cilindro!$B$17+1)),0))/((Presion_cilindro!O688+Presion_cilindro!O689)/2)</f>
        <v>2.2943250108733482</v>
      </c>
      <c r="J697" s="27">
        <f>J696*(Presion_cilindro!O688/Presion_cilindro!O689)^Presion_cilindro!$B$9+10*(Presion_cilindro!$B$9-1)*Presion_cilindro!$B$33*(IF(Presion_cilindro!N689&gt;(-J$4+Presion_cilindro!$B$34),1-EXP(-Presion_cilindro!$B$16*((Presion_cilindro!N689-(-J$4+Presion_cilindro!$B$34))/Presion_cilindro!$B$35)^(Presion_cilindro!$B$17+1)),0)-IF(Presion_cilindro!N688&gt;(-J$4+Presion_cilindro!$B$34),1-EXP(-Presion_cilindro!$B$16*((Presion_cilindro!N688-(-J$4+Presion_cilindro!$B$34))/Presion_cilindro!$B$35)^(Presion_cilindro!$B$17+1)),0))/((Presion_cilindro!O688+Presion_cilindro!O689)/2)</f>
        <v>2.3074012571174216</v>
      </c>
      <c r="K697" s="27">
        <f>K696*(Presion_cilindro!O688/Presion_cilindro!O689)^Presion_cilindro!$B$9+10*(Presion_cilindro!$B$9-1)*Presion_cilindro!$B$33*(IF(Presion_cilindro!N689&gt;(-K$4+Presion_cilindro!$B$34),1-EXP(-Presion_cilindro!$B$16*((Presion_cilindro!N689-(-K$4+Presion_cilindro!$B$34))/Presion_cilindro!$B$35)^(Presion_cilindro!$B$17+1)),0)-IF(Presion_cilindro!N688&gt;(-K$4+Presion_cilindro!$B$34),1-EXP(-Presion_cilindro!$B$16*((Presion_cilindro!N688-(-K$4+Presion_cilindro!$B$34))/Presion_cilindro!$B$35)^(Presion_cilindro!$B$17+1)),0))/((Presion_cilindro!O688+Presion_cilindro!O689)/2)</f>
        <v>2.3384957797107742</v>
      </c>
      <c r="L697" s="27">
        <f>L696*(Presion_cilindro!O688/Presion_cilindro!O689)^Presion_cilindro!$B$9+10*(Presion_cilindro!$B$9-1)*Presion_cilindro!$B$33*(IF(Presion_cilindro!N689&gt;(-L$4+Presion_cilindro!$B$34),1-EXP(-Presion_cilindro!$B$16*((Presion_cilindro!N689-(-L$4+Presion_cilindro!$B$34))/Presion_cilindro!$B$35)^(Presion_cilindro!$B$17+1)),0)-IF(Presion_cilindro!N688&gt;(-L$4+Presion_cilindro!$B$34),1-EXP(-Presion_cilindro!$B$16*((Presion_cilindro!N688-(-L$4+Presion_cilindro!$B$34))/Presion_cilindro!$B$35)^(Presion_cilindro!$B$17+1)),0))/((Presion_cilindro!O688+Presion_cilindro!O689)/2)</f>
        <v>2.3855961207757961</v>
      </c>
      <c r="M697" s="27">
        <f>M696*(Presion_cilindro!O688/Presion_cilindro!O689)^Presion_cilindro!$B$9+10*(Presion_cilindro!$B$9-1)*Presion_cilindro!$B$33*(IF(Presion_cilindro!N689&gt;(-M$4+Presion_cilindro!$B$34),1-EXP(-Presion_cilindro!$B$16*((Presion_cilindro!N689-(-M$4+Presion_cilindro!$B$34))/Presion_cilindro!$B$35)^(Presion_cilindro!$B$17+1)),0)-IF(Presion_cilindro!N688&gt;(-M$4+Presion_cilindro!$B$34),1-EXP(-Presion_cilindro!$B$16*((Presion_cilindro!N688-(-M$4+Presion_cilindro!$B$34))/Presion_cilindro!$B$35)^(Presion_cilindro!$B$17+1)),0))/((Presion_cilindro!O688+Presion_cilindro!O689)/2)</f>
        <v>2.445967407141068</v>
      </c>
      <c r="N697" s="27">
        <f>N696*(Presion_cilindro!O688/Presion_cilindro!O689)^Presion_cilindro!$B$9+10*(Presion_cilindro!$B$9-1)*Presion_cilindro!$B$33*(IF(Presion_cilindro!N689&gt;(-N$4+Presion_cilindro!$B$34),1-EXP(-Presion_cilindro!$B$16*((Presion_cilindro!N689-(-N$4+Presion_cilindro!$B$34))/Presion_cilindro!$B$35)^(Presion_cilindro!$B$17+1)),0)-IF(Presion_cilindro!N688&gt;(-N$4+Presion_cilindro!$B$34),1-EXP(-Presion_cilindro!$B$16*((Presion_cilindro!N688-(-N$4+Presion_cilindro!$B$34))/Presion_cilindro!$B$35)^(Presion_cilindro!$B$17+1)),0))/((Presion_cilindro!O688+Presion_cilindro!O689)/2)</f>
        <v>2.5165812639304836</v>
      </c>
    </row>
    <row r="698" spans="1:14" x14ac:dyDescent="0.25">
      <c r="A698" s="21">
        <f>Presion_cilindro!N690</f>
        <v>163</v>
      </c>
      <c r="B698" s="27">
        <f>B697*(Presion_cilindro!O689/Presion_cilindro!O690)^Presion_cilindro!$B$9+10*(Presion_cilindro!$B$9-1)*Presion_cilindro!$B$33*(IF(Presion_cilindro!N690&gt;(-B$4+Presion_cilindro!$B$34),1-EXP(-Presion_cilindro!$B$16*((Presion_cilindro!N690-(-B$4+Presion_cilindro!$B$34))/Presion_cilindro!$B$35)^(Presion_cilindro!$B$17+1)),0)-IF(Presion_cilindro!N689&gt;(-B$4+Presion_cilindro!$B$34),1-EXP(-Presion_cilindro!$B$16*((Presion_cilindro!N689-(-B$4+Presion_cilindro!$B$34))/Presion_cilindro!$B$35)^(Presion_cilindro!$B$17+1)),0))/((Presion_cilindro!O689+Presion_cilindro!O690)/2)</f>
        <v>2.6434267777811713</v>
      </c>
      <c r="C698" s="27">
        <f>C697*(Presion_cilindro!O689/Presion_cilindro!O690)^Presion_cilindro!$B$9+10*(Presion_cilindro!$B$9-1)*Presion_cilindro!$B$33*(IF(Presion_cilindro!N690&gt;(-C$4+Presion_cilindro!$B$34),1-EXP(-Presion_cilindro!$B$16*((Presion_cilindro!N690-(-C$4+Presion_cilindro!$B$34))/Presion_cilindro!$B$35)^(Presion_cilindro!$B$17+1)),0)-IF(Presion_cilindro!N689&gt;(-C$4+Presion_cilindro!$B$34),1-EXP(-Presion_cilindro!$B$16*((Presion_cilindro!N689-(-C$4+Presion_cilindro!$B$34))/Presion_cilindro!$B$35)^(Presion_cilindro!$B$17+1)),0))/((Presion_cilindro!O689+Presion_cilindro!O690)/2)</f>
        <v>2.5621578947326906</v>
      </c>
      <c r="D698" s="27">
        <f>D697*(Presion_cilindro!O689/Presion_cilindro!O690)^Presion_cilindro!$B$9+10*(Presion_cilindro!$B$9-1)*Presion_cilindro!$B$33*(IF(Presion_cilindro!N690&gt;(-D$4+Presion_cilindro!$B$34),1-EXP(-Presion_cilindro!$B$16*((Presion_cilindro!N690-(-D$4+Presion_cilindro!$B$34))/Presion_cilindro!$B$35)^(Presion_cilindro!$B$17+1)),0)-IF(Presion_cilindro!N689&gt;(-D$4+Presion_cilindro!$B$34),1-EXP(-Presion_cilindro!$B$16*((Presion_cilindro!N689-(-D$4+Presion_cilindro!$B$34))/Presion_cilindro!$B$35)^(Presion_cilindro!$B$17+1)),0))/((Presion_cilindro!O689+Presion_cilindro!O690)/2)</f>
        <v>2.4864678062762255</v>
      </c>
      <c r="E698" s="27">
        <f>E697*(Presion_cilindro!O689/Presion_cilindro!O690)^Presion_cilindro!$B$9+10*(Presion_cilindro!$B$9-1)*Presion_cilindro!$B$33*(IF(Presion_cilindro!N690&gt;(-E$4+Presion_cilindro!$B$34),1-EXP(-Presion_cilindro!$B$16*((Presion_cilindro!N690-(-E$4+Presion_cilindro!$B$34))/Presion_cilindro!$B$35)^(Presion_cilindro!$B$17+1)),0)-IF(Presion_cilindro!N689&gt;(-E$4+Presion_cilindro!$B$34),1-EXP(-Presion_cilindro!$B$16*((Presion_cilindro!N689-(-E$4+Presion_cilindro!$B$34))/Presion_cilindro!$B$35)^(Presion_cilindro!$B$17+1)),0))/((Presion_cilindro!O689+Presion_cilindro!O690)/2)</f>
        <v>2.4191722785026761</v>
      </c>
      <c r="F698" s="27">
        <f>F697*(Presion_cilindro!O689/Presion_cilindro!O690)^Presion_cilindro!$B$9+10*(Presion_cilindro!$B$9-1)*Presion_cilindro!$B$33*(IF(Presion_cilindro!N690&gt;(-F$4+Presion_cilindro!$B$34),1-EXP(-Presion_cilindro!$B$16*((Presion_cilindro!N690-(-F$4+Presion_cilindro!$B$34))/Presion_cilindro!$B$35)^(Presion_cilindro!$B$17+1)),0)-IF(Presion_cilindro!N689&gt;(-F$4+Presion_cilindro!$B$34),1-EXP(-Presion_cilindro!$B$16*((Presion_cilindro!N689-(-F$4+Presion_cilindro!$B$34))/Presion_cilindro!$B$35)^(Presion_cilindro!$B$17+1)),0))/((Presion_cilindro!O689+Presion_cilindro!O690)/2)</f>
        <v>2.3633387588062917</v>
      </c>
      <c r="G698" s="27">
        <f>G697*(Presion_cilindro!O689/Presion_cilindro!O690)^Presion_cilindro!$B$9+10*(Presion_cilindro!$B$9-1)*Presion_cilindro!$B$33*(IF(Presion_cilindro!N690&gt;(-G$4+Presion_cilindro!$B$34),1-EXP(-Presion_cilindro!$B$16*((Presion_cilindro!N690-(-G$4+Presion_cilindro!$B$34))/Presion_cilindro!$B$35)^(Presion_cilindro!$B$17+1)),0)-IF(Presion_cilindro!N689&gt;(-G$4+Presion_cilindro!$B$34),1-EXP(-Presion_cilindro!$B$16*((Presion_cilindro!N689-(-G$4+Presion_cilindro!$B$34))/Presion_cilindro!$B$35)^(Presion_cilindro!$B$17+1)),0))/((Presion_cilindro!O689+Presion_cilindro!O690)/2)</f>
        <v>2.3219667761420464</v>
      </c>
      <c r="H698" s="27">
        <f>H697*(Presion_cilindro!O689/Presion_cilindro!O690)^Presion_cilindro!$B$9+10*(Presion_cilindro!$B$9-1)*Presion_cilindro!$B$33*(IF(Presion_cilindro!N690&gt;(-H$4+Presion_cilindro!$B$34),1-EXP(-Presion_cilindro!$B$16*((Presion_cilindro!N690-(-H$4+Presion_cilindro!$B$34))/Presion_cilindro!$B$35)^(Presion_cilindro!$B$17+1)),0)-IF(Presion_cilindro!N689&gt;(-H$4+Presion_cilindro!$B$34),1-EXP(-Presion_cilindro!$B$16*((Presion_cilindro!N689-(-H$4+Presion_cilindro!$B$34))/Presion_cilindro!$B$35)^(Presion_cilindro!$B$17+1)),0))/((Presion_cilindro!O689+Presion_cilindro!O690)/2)</f>
        <v>2.2975619927286051</v>
      </c>
      <c r="I698" s="27">
        <f>I697*(Presion_cilindro!O689/Presion_cilindro!O690)^Presion_cilindro!$B$9+10*(Presion_cilindro!$B$9-1)*Presion_cilindro!$B$33*(IF(Presion_cilindro!N690&gt;(-I$4+Presion_cilindro!$B$34),1-EXP(-Presion_cilindro!$B$16*((Presion_cilindro!N690-(-I$4+Presion_cilindro!$B$34))/Presion_cilindro!$B$35)^(Presion_cilindro!$B$17+1)),0)-IF(Presion_cilindro!N689&gt;(-I$4+Presion_cilindro!$B$34),1-EXP(-Presion_cilindro!$B$16*((Presion_cilindro!N689-(-I$4+Presion_cilindro!$B$34))/Presion_cilindro!$B$35)^(Presion_cilindro!$B$17+1)),0))/((Presion_cilindro!O689+Presion_cilindro!O690)/2)</f>
        <v>2.2917079660323969</v>
      </c>
      <c r="J698" s="27">
        <f>J697*(Presion_cilindro!O689/Presion_cilindro!O690)^Presion_cilindro!$B$9+10*(Presion_cilindro!$B$9-1)*Presion_cilindro!$B$33*(IF(Presion_cilindro!N690&gt;(-J$4+Presion_cilindro!$B$34),1-EXP(-Presion_cilindro!$B$16*((Presion_cilindro!N690-(-J$4+Presion_cilindro!$B$34))/Presion_cilindro!$B$35)^(Presion_cilindro!$B$17+1)),0)-IF(Presion_cilindro!N689&gt;(-J$4+Presion_cilindro!$B$34),1-EXP(-Presion_cilindro!$B$16*((Presion_cilindro!N689-(-J$4+Presion_cilindro!$B$34))/Presion_cilindro!$B$35)^(Presion_cilindro!$B$17+1)),0))/((Presion_cilindro!O689+Presion_cilindro!O690)/2)</f>
        <v>2.304769296725008</v>
      </c>
      <c r="K698" s="27">
        <f>K697*(Presion_cilindro!O689/Presion_cilindro!O690)^Presion_cilindro!$B$9+10*(Presion_cilindro!$B$9-1)*Presion_cilindro!$B$33*(IF(Presion_cilindro!N690&gt;(-K$4+Presion_cilindro!$B$34),1-EXP(-Presion_cilindro!$B$16*((Presion_cilindro!N690-(-K$4+Presion_cilindro!$B$34))/Presion_cilindro!$B$35)^(Presion_cilindro!$B$17+1)),0)-IF(Presion_cilindro!N689&gt;(-K$4+Presion_cilindro!$B$34),1-EXP(-Presion_cilindro!$B$16*((Presion_cilindro!N689-(-K$4+Presion_cilindro!$B$34))/Presion_cilindro!$B$35)^(Presion_cilindro!$B$17+1)),0))/((Presion_cilindro!O689+Presion_cilindro!O690)/2)</f>
        <v>2.3358283510392153</v>
      </c>
      <c r="L698" s="27">
        <f>L697*(Presion_cilindro!O689/Presion_cilindro!O690)^Presion_cilindro!$B$9+10*(Presion_cilindro!$B$9-1)*Presion_cilindro!$B$33*(IF(Presion_cilindro!N690&gt;(-L$4+Presion_cilindro!$B$34),1-EXP(-Presion_cilindro!$B$16*((Presion_cilindro!N690-(-L$4+Presion_cilindro!$B$34))/Presion_cilindro!$B$35)^(Presion_cilindro!$B$17+1)),0)-IF(Presion_cilindro!N689&gt;(-L$4+Presion_cilindro!$B$34),1-EXP(-Presion_cilindro!$B$16*((Presion_cilindro!N689-(-L$4+Presion_cilindro!$B$34))/Presion_cilindro!$B$35)^(Presion_cilindro!$B$17+1)),0))/((Presion_cilindro!O689+Presion_cilindro!O690)/2)</f>
        <v>2.3828749666276781</v>
      </c>
      <c r="M698" s="27">
        <f>M697*(Presion_cilindro!O689/Presion_cilindro!O690)^Presion_cilindro!$B$9+10*(Presion_cilindro!$B$9-1)*Presion_cilindro!$B$33*(IF(Presion_cilindro!N690&gt;(-M$4+Presion_cilindro!$B$34),1-EXP(-Presion_cilindro!$B$16*((Presion_cilindro!N690-(-M$4+Presion_cilindro!$B$34))/Presion_cilindro!$B$35)^(Presion_cilindro!$B$17+1)),0)-IF(Presion_cilindro!N689&gt;(-M$4+Presion_cilindro!$B$34),1-EXP(-Presion_cilindro!$B$16*((Presion_cilindro!N689-(-M$4+Presion_cilindro!$B$34))/Presion_cilindro!$B$35)^(Presion_cilindro!$B$17+1)),0))/((Presion_cilindro!O689+Presion_cilindro!O690)/2)</f>
        <v>2.4431773898794962</v>
      </c>
      <c r="N698" s="27">
        <f>N697*(Presion_cilindro!O689/Presion_cilindro!O690)^Presion_cilindro!$B$9+10*(Presion_cilindro!$B$9-1)*Presion_cilindro!$B$33*(IF(Presion_cilindro!N690&gt;(-N$4+Presion_cilindro!$B$34),1-EXP(-Presion_cilindro!$B$16*((Presion_cilindro!N690-(-N$4+Presion_cilindro!$B$34))/Presion_cilindro!$B$35)^(Presion_cilindro!$B$17+1)),0)-IF(Presion_cilindro!N689&gt;(-N$4+Presion_cilindro!$B$34),1-EXP(-Presion_cilindro!$B$16*((Presion_cilindro!N689-(-N$4+Presion_cilindro!$B$34))/Presion_cilindro!$B$35)^(Presion_cilindro!$B$17+1)),0))/((Presion_cilindro!O689+Presion_cilindro!O690)/2)</f>
        <v>2.5137107002647472</v>
      </c>
    </row>
    <row r="699" spans="1:14" x14ac:dyDescent="0.25">
      <c r="A699" s="21">
        <f>Presion_cilindro!N691</f>
        <v>163.5</v>
      </c>
      <c r="B699" s="27">
        <f>B698*(Presion_cilindro!O690/Presion_cilindro!O691)^Presion_cilindro!$B$9+10*(Presion_cilindro!$B$9-1)*Presion_cilindro!$B$33*(IF(Presion_cilindro!N691&gt;(-B$4+Presion_cilindro!$B$34),1-EXP(-Presion_cilindro!$B$16*((Presion_cilindro!N691-(-B$4+Presion_cilindro!$B$34))/Presion_cilindro!$B$35)^(Presion_cilindro!$B$17+1)),0)-IF(Presion_cilindro!N690&gt;(-B$4+Presion_cilindro!$B$34),1-EXP(-Presion_cilindro!$B$16*((Presion_cilindro!N690-(-B$4+Presion_cilindro!$B$34))/Presion_cilindro!$B$35)^(Presion_cilindro!$B$17+1)),0))/((Presion_cilindro!O690+Presion_cilindro!O691)/2)</f>
        <v>2.6405015360993831</v>
      </c>
      <c r="C699" s="27">
        <f>C698*(Presion_cilindro!O690/Presion_cilindro!O691)^Presion_cilindro!$B$9+10*(Presion_cilindro!$B$9-1)*Presion_cilindro!$B$33*(IF(Presion_cilindro!N691&gt;(-C$4+Presion_cilindro!$B$34),1-EXP(-Presion_cilindro!$B$16*((Presion_cilindro!N691-(-C$4+Presion_cilindro!$B$34))/Presion_cilindro!$B$35)^(Presion_cilindro!$B$17+1)),0)-IF(Presion_cilindro!N690&gt;(-C$4+Presion_cilindro!$B$34),1-EXP(-Presion_cilindro!$B$16*((Presion_cilindro!N690-(-C$4+Presion_cilindro!$B$34))/Presion_cilindro!$B$35)^(Presion_cilindro!$B$17+1)),0))/((Presion_cilindro!O690+Presion_cilindro!O691)/2)</f>
        <v>2.5593225859842161</v>
      </c>
      <c r="D699" s="27">
        <f>D698*(Presion_cilindro!O690/Presion_cilindro!O691)^Presion_cilindro!$B$9+10*(Presion_cilindro!$B$9-1)*Presion_cilindro!$B$33*(IF(Presion_cilindro!N691&gt;(-D$4+Presion_cilindro!$B$34),1-EXP(-Presion_cilindro!$B$16*((Presion_cilindro!N691-(-D$4+Presion_cilindro!$B$34))/Presion_cilindro!$B$35)^(Presion_cilindro!$B$17+1)),0)-IF(Presion_cilindro!N690&gt;(-D$4+Presion_cilindro!$B$34),1-EXP(-Presion_cilindro!$B$16*((Presion_cilindro!N690-(-D$4+Presion_cilindro!$B$34))/Presion_cilindro!$B$35)^(Presion_cilindro!$B$17+1)),0))/((Presion_cilindro!O690+Presion_cilindro!O691)/2)</f>
        <v>2.4837162569129219</v>
      </c>
      <c r="E699" s="27">
        <f>E698*(Presion_cilindro!O690/Presion_cilindro!O691)^Presion_cilindro!$B$9+10*(Presion_cilindro!$B$9-1)*Presion_cilindro!$B$33*(IF(Presion_cilindro!N691&gt;(-E$4+Presion_cilindro!$B$34),1-EXP(-Presion_cilindro!$B$16*((Presion_cilindro!N691-(-E$4+Presion_cilindro!$B$34))/Presion_cilindro!$B$35)^(Presion_cilindro!$B$17+1)),0)-IF(Presion_cilindro!N690&gt;(-E$4+Presion_cilindro!$B$34),1-EXP(-Presion_cilindro!$B$16*((Presion_cilindro!N690-(-E$4+Presion_cilindro!$B$34))/Presion_cilindro!$B$35)^(Presion_cilindro!$B$17+1)),0))/((Presion_cilindro!O690+Presion_cilindro!O691)/2)</f>
        <v>2.4164951990223651</v>
      </c>
      <c r="F699" s="27">
        <f>F698*(Presion_cilindro!O690/Presion_cilindro!O691)^Presion_cilindro!$B$9+10*(Presion_cilindro!$B$9-1)*Presion_cilindro!$B$33*(IF(Presion_cilindro!N691&gt;(-F$4+Presion_cilindro!$B$34),1-EXP(-Presion_cilindro!$B$16*((Presion_cilindro!N691-(-F$4+Presion_cilindro!$B$34))/Presion_cilindro!$B$35)^(Presion_cilindro!$B$17+1)),0)-IF(Presion_cilindro!N690&gt;(-F$4+Presion_cilindro!$B$34),1-EXP(-Presion_cilindro!$B$16*((Presion_cilindro!N690-(-F$4+Presion_cilindro!$B$34))/Presion_cilindro!$B$35)^(Presion_cilindro!$B$17+1)),0))/((Presion_cilindro!O690+Presion_cilindro!O691)/2)</f>
        <v>2.3607234652397913</v>
      </c>
      <c r="G699" s="27">
        <f>G698*(Presion_cilindro!O690/Presion_cilindro!O691)^Presion_cilindro!$B$9+10*(Presion_cilindro!$B$9-1)*Presion_cilindro!$B$33*(IF(Presion_cilindro!N691&gt;(-G$4+Presion_cilindro!$B$34),1-EXP(-Presion_cilindro!$B$16*((Presion_cilindro!N691-(-G$4+Presion_cilindro!$B$34))/Presion_cilindro!$B$35)^(Presion_cilindro!$B$17+1)),0)-IF(Presion_cilindro!N690&gt;(-G$4+Presion_cilindro!$B$34),1-EXP(-Presion_cilindro!$B$16*((Presion_cilindro!N690-(-G$4+Presion_cilindro!$B$34))/Presion_cilindro!$B$35)^(Presion_cilindro!$B$17+1)),0))/((Presion_cilindro!O690+Presion_cilindro!O691)/2)</f>
        <v>2.3193972652123738</v>
      </c>
      <c r="H699" s="27">
        <f>H698*(Presion_cilindro!O690/Presion_cilindro!O691)^Presion_cilindro!$B$9+10*(Presion_cilindro!$B$9-1)*Presion_cilindro!$B$33*(IF(Presion_cilindro!N691&gt;(-H$4+Presion_cilindro!$B$34),1-EXP(-Presion_cilindro!$B$16*((Presion_cilindro!N691-(-H$4+Presion_cilindro!$B$34))/Presion_cilindro!$B$35)^(Presion_cilindro!$B$17+1)),0)-IF(Presion_cilindro!N690&gt;(-H$4+Presion_cilindro!$B$34),1-EXP(-Presion_cilindro!$B$16*((Presion_cilindro!N690-(-H$4+Presion_cilindro!$B$34))/Presion_cilindro!$B$35)^(Presion_cilindro!$B$17+1)),0))/((Presion_cilindro!O690+Presion_cilindro!O691)/2)</f>
        <v>2.2950194883686912</v>
      </c>
      <c r="I699" s="27">
        <f>I698*(Presion_cilindro!O690/Presion_cilindro!O691)^Presion_cilindro!$B$9+10*(Presion_cilindro!$B$9-1)*Presion_cilindro!$B$33*(IF(Presion_cilindro!N691&gt;(-I$4+Presion_cilindro!$B$34),1-EXP(-Presion_cilindro!$B$16*((Presion_cilindro!N691-(-I$4+Presion_cilindro!$B$34))/Presion_cilindro!$B$35)^(Presion_cilindro!$B$17+1)),0)-IF(Presion_cilindro!N690&gt;(-I$4+Presion_cilindro!$B$34),1-EXP(-Presion_cilindro!$B$16*((Presion_cilindro!N690-(-I$4+Presion_cilindro!$B$34))/Presion_cilindro!$B$35)^(Presion_cilindro!$B$17+1)),0))/((Presion_cilindro!O690+Presion_cilindro!O691)/2)</f>
        <v>2.2891719397951387</v>
      </c>
      <c r="J699" s="27">
        <f>J698*(Presion_cilindro!O690/Presion_cilindro!O691)^Presion_cilindro!$B$9+10*(Presion_cilindro!$B$9-1)*Presion_cilindro!$B$33*(IF(Presion_cilindro!N691&gt;(-J$4+Presion_cilindro!$B$34),1-EXP(-Presion_cilindro!$B$16*((Presion_cilindro!N691-(-J$4+Presion_cilindro!$B$34))/Presion_cilindro!$B$35)^(Presion_cilindro!$B$17+1)),0)-IF(Presion_cilindro!N690&gt;(-J$4+Presion_cilindro!$B$34),1-EXP(-Presion_cilindro!$B$16*((Presion_cilindro!N690-(-J$4+Presion_cilindro!$B$34))/Presion_cilindro!$B$35)^(Presion_cilindro!$B$17+1)),0))/((Presion_cilindro!O690+Presion_cilindro!O691)/2)</f>
        <v>2.3022188166926671</v>
      </c>
      <c r="K699" s="27">
        <f>K698*(Presion_cilindro!O690/Presion_cilindro!O691)^Presion_cilindro!$B$9+10*(Presion_cilindro!$B$9-1)*Presion_cilindro!$B$33*(IF(Presion_cilindro!N691&gt;(-K$4+Presion_cilindro!$B$34),1-EXP(-Presion_cilindro!$B$16*((Presion_cilindro!N691-(-K$4+Presion_cilindro!$B$34))/Presion_cilindro!$B$35)^(Presion_cilindro!$B$17+1)),0)-IF(Presion_cilindro!N690&gt;(-K$4+Presion_cilindro!$B$34),1-EXP(-Presion_cilindro!$B$16*((Presion_cilindro!N690-(-K$4+Presion_cilindro!$B$34))/Presion_cilindro!$B$35)^(Presion_cilindro!$B$17+1)),0))/((Presion_cilindro!O690+Presion_cilindro!O691)/2)</f>
        <v>2.3332435007564705</v>
      </c>
      <c r="L699" s="27">
        <f>L698*(Presion_cilindro!O690/Presion_cilindro!O691)^Presion_cilindro!$B$9+10*(Presion_cilindro!$B$9-1)*Presion_cilindro!$B$33*(IF(Presion_cilindro!N691&gt;(-L$4+Presion_cilindro!$B$34),1-EXP(-Presion_cilindro!$B$16*((Presion_cilindro!N691-(-L$4+Presion_cilindro!$B$34))/Presion_cilindro!$B$35)^(Presion_cilindro!$B$17+1)),0)-IF(Presion_cilindro!N690&gt;(-L$4+Presion_cilindro!$B$34),1-EXP(-Presion_cilindro!$B$16*((Presion_cilindro!N690-(-L$4+Presion_cilindro!$B$34))/Presion_cilindro!$B$35)^(Presion_cilindro!$B$17+1)),0))/((Presion_cilindro!O690+Presion_cilindro!O691)/2)</f>
        <v>2.380238054104336</v>
      </c>
      <c r="M699" s="27">
        <f>M698*(Presion_cilindro!O690/Presion_cilindro!O691)^Presion_cilindro!$B$9+10*(Presion_cilindro!$B$9-1)*Presion_cilindro!$B$33*(IF(Presion_cilindro!N691&gt;(-M$4+Presion_cilindro!$B$34),1-EXP(-Presion_cilindro!$B$16*((Presion_cilindro!N691-(-M$4+Presion_cilindro!$B$34))/Presion_cilindro!$B$35)^(Presion_cilindro!$B$17+1)),0)-IF(Presion_cilindro!N690&gt;(-M$4+Presion_cilindro!$B$34),1-EXP(-Presion_cilindro!$B$16*((Presion_cilindro!N690-(-M$4+Presion_cilindro!$B$34))/Presion_cilindro!$B$35)^(Presion_cilindro!$B$17+1)),0))/((Presion_cilindro!O690+Presion_cilindro!O691)/2)</f>
        <v>2.4404737461103743</v>
      </c>
      <c r="N699" s="27">
        <f>N698*(Presion_cilindro!O690/Presion_cilindro!O691)^Presion_cilindro!$B$9+10*(Presion_cilindro!$B$9-1)*Presion_cilindro!$B$33*(IF(Presion_cilindro!N691&gt;(-N$4+Presion_cilindro!$B$34),1-EXP(-Presion_cilindro!$B$16*((Presion_cilindro!N691-(-N$4+Presion_cilindro!$B$34))/Presion_cilindro!$B$35)^(Presion_cilindro!$B$17+1)),0)-IF(Presion_cilindro!N690&gt;(-N$4+Presion_cilindro!$B$34),1-EXP(-Presion_cilindro!$B$16*((Presion_cilindro!N690-(-N$4+Presion_cilindro!$B$34))/Presion_cilindro!$B$35)^(Presion_cilindro!$B$17+1)),0))/((Presion_cilindro!O690+Presion_cilindro!O691)/2)</f>
        <v>2.510929003651027</v>
      </c>
    </row>
    <row r="700" spans="1:14" x14ac:dyDescent="0.25">
      <c r="A700" s="21">
        <f>Presion_cilindro!N692</f>
        <v>164</v>
      </c>
      <c r="B700" s="27">
        <f>B699*(Presion_cilindro!O691/Presion_cilindro!O692)^Presion_cilindro!$B$9+10*(Presion_cilindro!$B$9-1)*Presion_cilindro!$B$33*(IF(Presion_cilindro!N692&gt;(-B$4+Presion_cilindro!$B$34),1-EXP(-Presion_cilindro!$B$16*((Presion_cilindro!N692-(-B$4+Presion_cilindro!$B$34))/Presion_cilindro!$B$35)^(Presion_cilindro!$B$17+1)),0)-IF(Presion_cilindro!N691&gt;(-B$4+Presion_cilindro!$B$34),1-EXP(-Presion_cilindro!$B$16*((Presion_cilindro!N691-(-B$4+Presion_cilindro!$B$34))/Presion_cilindro!$B$35)^(Presion_cilindro!$B$17+1)),0))/((Presion_cilindro!O691+Presion_cilindro!O692)/2)</f>
        <v>2.6376692096906567</v>
      </c>
      <c r="C700" s="27">
        <f>C699*(Presion_cilindro!O691/Presion_cilindro!O692)^Presion_cilindro!$B$9+10*(Presion_cilindro!$B$9-1)*Presion_cilindro!$B$33*(IF(Presion_cilindro!N692&gt;(-C$4+Presion_cilindro!$B$34),1-EXP(-Presion_cilindro!$B$16*((Presion_cilindro!N692-(-C$4+Presion_cilindro!$B$34))/Presion_cilindro!$B$35)^(Presion_cilindro!$B$17+1)),0)-IF(Presion_cilindro!N691&gt;(-C$4+Presion_cilindro!$B$34),1-EXP(-Presion_cilindro!$B$16*((Presion_cilindro!N691-(-C$4+Presion_cilindro!$B$34))/Presion_cilindro!$B$35)^(Presion_cilindro!$B$17+1)),0))/((Presion_cilindro!O691+Presion_cilindro!O692)/2)</f>
        <v>2.556577335943786</v>
      </c>
      <c r="D700" s="27">
        <f>D699*(Presion_cilindro!O691/Presion_cilindro!O692)^Presion_cilindro!$B$9+10*(Presion_cilindro!$B$9-1)*Presion_cilindro!$B$33*(IF(Presion_cilindro!N692&gt;(-D$4+Presion_cilindro!$B$34),1-EXP(-Presion_cilindro!$B$16*((Presion_cilindro!N692-(-D$4+Presion_cilindro!$B$34))/Presion_cilindro!$B$35)^(Presion_cilindro!$B$17+1)),0)-IF(Presion_cilindro!N691&gt;(-D$4+Presion_cilindro!$B$34),1-EXP(-Presion_cilindro!$B$16*((Presion_cilindro!N691-(-D$4+Presion_cilindro!$B$34))/Presion_cilindro!$B$35)^(Presion_cilindro!$B$17+1)),0))/((Presion_cilindro!O691+Presion_cilindro!O692)/2)</f>
        <v>2.4810521057847885</v>
      </c>
      <c r="E700" s="27">
        <f>E699*(Presion_cilindro!O691/Presion_cilindro!O692)^Presion_cilindro!$B$9+10*(Presion_cilindro!$B$9-1)*Presion_cilindro!$B$33*(IF(Presion_cilindro!N692&gt;(-E$4+Presion_cilindro!$B$34),1-EXP(-Presion_cilindro!$B$16*((Presion_cilindro!N692-(-E$4+Presion_cilindro!$B$34))/Presion_cilindro!$B$35)^(Presion_cilindro!$B$17+1)),0)-IF(Presion_cilindro!N691&gt;(-E$4+Presion_cilindro!$B$34),1-EXP(-Presion_cilindro!$B$16*((Presion_cilindro!N691-(-E$4+Presion_cilindro!$B$34))/Presion_cilindro!$B$35)^(Presion_cilindro!$B$17+1)),0))/((Presion_cilindro!O691+Presion_cilindro!O692)/2)</f>
        <v>2.4139031523694165</v>
      </c>
      <c r="F700" s="27">
        <f>F699*(Presion_cilindro!O691/Presion_cilindro!O692)^Presion_cilindro!$B$9+10*(Presion_cilindro!$B$9-1)*Presion_cilindro!$B$33*(IF(Presion_cilindro!N692&gt;(-F$4+Presion_cilindro!$B$34),1-EXP(-Presion_cilindro!$B$16*((Presion_cilindro!N692-(-F$4+Presion_cilindro!$B$34))/Presion_cilindro!$B$35)^(Presion_cilindro!$B$17+1)),0)-IF(Presion_cilindro!N691&gt;(-F$4+Presion_cilindro!$B$34),1-EXP(-Presion_cilindro!$B$16*((Presion_cilindro!N691-(-F$4+Presion_cilindro!$B$34))/Presion_cilindro!$B$35)^(Presion_cilindro!$B$17+1)),0))/((Presion_cilindro!O691+Presion_cilindro!O692)/2)</f>
        <v>2.3581912419773214</v>
      </c>
      <c r="G700" s="27">
        <f>G699*(Presion_cilindro!O691/Presion_cilindro!O692)^Presion_cilindro!$B$9+10*(Presion_cilindro!$B$9-1)*Presion_cilindro!$B$33*(IF(Presion_cilindro!N692&gt;(-G$4+Presion_cilindro!$B$34),1-EXP(-Presion_cilindro!$B$16*((Presion_cilindro!N692-(-G$4+Presion_cilindro!$B$34))/Presion_cilindro!$B$35)^(Presion_cilindro!$B$17+1)),0)-IF(Presion_cilindro!N691&gt;(-G$4+Presion_cilindro!$B$34),1-EXP(-Presion_cilindro!$B$16*((Presion_cilindro!N691-(-G$4+Presion_cilindro!$B$34))/Presion_cilindro!$B$35)^(Presion_cilindro!$B$17+1)),0))/((Presion_cilindro!O691+Presion_cilindro!O692)/2)</f>
        <v>2.3169093703799803</v>
      </c>
      <c r="H700" s="27">
        <f>H699*(Presion_cilindro!O691/Presion_cilindro!O692)^Presion_cilindro!$B$9+10*(Presion_cilindro!$B$9-1)*Presion_cilindro!$B$33*(IF(Presion_cilindro!N692&gt;(-H$4+Presion_cilindro!$B$34),1-EXP(-Presion_cilindro!$B$16*((Presion_cilindro!N692-(-H$4+Presion_cilindro!$B$34))/Presion_cilindro!$B$35)^(Presion_cilindro!$B$17+1)),0)-IF(Presion_cilindro!N691&gt;(-H$4+Presion_cilindro!$B$34),1-EXP(-Presion_cilindro!$B$16*((Presion_cilindro!N691-(-H$4+Presion_cilindro!$B$34))/Presion_cilindro!$B$35)^(Presion_cilindro!$B$17+1)),0))/((Presion_cilindro!O691+Presion_cilindro!O692)/2)</f>
        <v>2.2925577422887966</v>
      </c>
      <c r="I700" s="27">
        <f>I699*(Presion_cilindro!O691/Presion_cilindro!O692)^Presion_cilindro!$B$9+10*(Presion_cilindro!$B$9-1)*Presion_cilindro!$B$33*(IF(Presion_cilindro!N692&gt;(-I$4+Presion_cilindro!$B$34),1-EXP(-Presion_cilindro!$B$16*((Presion_cilindro!N692-(-I$4+Presion_cilindro!$B$34))/Presion_cilindro!$B$35)^(Presion_cilindro!$B$17+1)),0)-IF(Presion_cilindro!N691&gt;(-I$4+Presion_cilindro!$B$34),1-EXP(-Presion_cilindro!$B$16*((Presion_cilindro!N691-(-I$4+Presion_cilindro!$B$34))/Presion_cilindro!$B$35)^(Presion_cilindro!$B$17+1)),0))/((Presion_cilindro!O691+Presion_cilindro!O692)/2)</f>
        <v>2.2867164660714705</v>
      </c>
      <c r="J700" s="27">
        <f>J699*(Presion_cilindro!O691/Presion_cilindro!O692)^Presion_cilindro!$B$9+10*(Presion_cilindro!$B$9-1)*Presion_cilindro!$B$33*(IF(Presion_cilindro!N692&gt;(-J$4+Presion_cilindro!$B$34),1-EXP(-Presion_cilindro!$B$16*((Presion_cilindro!N692-(-J$4+Presion_cilindro!$B$34))/Presion_cilindro!$B$35)^(Presion_cilindro!$B$17+1)),0)-IF(Presion_cilindro!N691&gt;(-J$4+Presion_cilindro!$B$34),1-EXP(-Presion_cilindro!$B$16*((Presion_cilindro!N691-(-J$4+Presion_cilindro!$B$34))/Presion_cilindro!$B$35)^(Presion_cilindro!$B$17+1)),0))/((Presion_cilindro!O691+Presion_cilindro!O692)/2)</f>
        <v>2.2997493482738691</v>
      </c>
      <c r="K700" s="27">
        <f>K699*(Presion_cilindro!O691/Presion_cilindro!O692)^Presion_cilindro!$B$9+10*(Presion_cilindro!$B$9-1)*Presion_cilindro!$B$33*(IF(Presion_cilindro!N692&gt;(-K$4+Presion_cilindro!$B$34),1-EXP(-Presion_cilindro!$B$16*((Presion_cilindro!N692-(-K$4+Presion_cilindro!$B$34))/Presion_cilindro!$B$35)^(Presion_cilindro!$B$17+1)),0)-IF(Presion_cilindro!N691&gt;(-K$4+Presion_cilindro!$B$34),1-EXP(-Presion_cilindro!$B$16*((Presion_cilindro!N691-(-K$4+Presion_cilindro!$B$34))/Presion_cilindro!$B$35)^(Presion_cilindro!$B$17+1)),0))/((Presion_cilindro!O691+Presion_cilindro!O692)/2)</f>
        <v>2.3307407537991844</v>
      </c>
      <c r="L700" s="27">
        <f>L699*(Presion_cilindro!O691/Presion_cilindro!O692)^Presion_cilindro!$B$9+10*(Presion_cilindro!$B$9-1)*Presion_cilindro!$B$33*(IF(Presion_cilindro!N692&gt;(-L$4+Presion_cilindro!$B$34),1-EXP(-Presion_cilindro!$B$16*((Presion_cilindro!N692-(-L$4+Presion_cilindro!$B$34))/Presion_cilindro!$B$35)^(Presion_cilindro!$B$17+1)),0)-IF(Presion_cilindro!N691&gt;(-L$4+Presion_cilindro!$B$34),1-EXP(-Presion_cilindro!$B$16*((Presion_cilindro!N691-(-L$4+Presion_cilindro!$B$34))/Presion_cilindro!$B$35)^(Presion_cilindro!$B$17+1)),0))/((Presion_cilindro!O691+Presion_cilindro!O692)/2)</f>
        <v>2.3776848985740218</v>
      </c>
      <c r="M700" s="27">
        <f>M699*(Presion_cilindro!O691/Presion_cilindro!O692)^Presion_cilindro!$B$9+10*(Presion_cilindro!$B$9-1)*Presion_cilindro!$B$33*(IF(Presion_cilindro!N692&gt;(-M$4+Presion_cilindro!$B$34),1-EXP(-Presion_cilindro!$B$16*((Presion_cilindro!N692-(-M$4+Presion_cilindro!$B$34))/Presion_cilindro!$B$35)^(Presion_cilindro!$B$17+1)),0)-IF(Presion_cilindro!N691&gt;(-M$4+Presion_cilindro!$B$34),1-EXP(-Presion_cilindro!$B$16*((Presion_cilindro!N691-(-M$4+Presion_cilindro!$B$34))/Presion_cilindro!$B$35)^(Presion_cilindro!$B$17+1)),0))/((Presion_cilindro!O691+Presion_cilindro!O692)/2)</f>
        <v>2.4378559789375807</v>
      </c>
      <c r="N700" s="27">
        <f>N699*(Presion_cilindro!O691/Presion_cilindro!O692)^Presion_cilindro!$B$9+10*(Presion_cilindro!$B$9-1)*Presion_cilindro!$B$33*(IF(Presion_cilindro!N692&gt;(-N$4+Presion_cilindro!$B$34),1-EXP(-Presion_cilindro!$B$16*((Presion_cilindro!N692-(-N$4+Presion_cilindro!$B$34))/Presion_cilindro!$B$35)^(Presion_cilindro!$B$17+1)),0)-IF(Presion_cilindro!N691&gt;(-N$4+Presion_cilindro!$B$34),1-EXP(-Presion_cilindro!$B$16*((Presion_cilindro!N691-(-N$4+Presion_cilindro!$B$34))/Presion_cilindro!$B$35)^(Presion_cilindro!$B$17+1)),0))/((Presion_cilindro!O691+Presion_cilindro!O692)/2)</f>
        <v>2.5082356628480587</v>
      </c>
    </row>
    <row r="701" spans="1:14" x14ac:dyDescent="0.25">
      <c r="A701" s="21">
        <f>Presion_cilindro!N693</f>
        <v>164.5</v>
      </c>
      <c r="B701" s="27">
        <f>B700*(Presion_cilindro!O692/Presion_cilindro!O693)^Presion_cilindro!$B$9+10*(Presion_cilindro!$B$9-1)*Presion_cilindro!$B$33*(IF(Presion_cilindro!N693&gt;(-B$4+Presion_cilindro!$B$34),1-EXP(-Presion_cilindro!$B$16*((Presion_cilindro!N693-(-B$4+Presion_cilindro!$B$34))/Presion_cilindro!$B$35)^(Presion_cilindro!$B$17+1)),0)-IF(Presion_cilindro!N692&gt;(-B$4+Presion_cilindro!$B$34),1-EXP(-Presion_cilindro!$B$16*((Presion_cilindro!N692-(-B$4+Presion_cilindro!$B$34))/Presion_cilindro!$B$35)^(Presion_cilindro!$B$17+1)),0))/((Presion_cilindro!O692+Presion_cilindro!O693)/2)</f>
        <v>2.634929278831625</v>
      </c>
      <c r="C701" s="27">
        <f>C700*(Presion_cilindro!O692/Presion_cilindro!O693)^Presion_cilindro!$B$9+10*(Presion_cilindro!$B$9-1)*Presion_cilindro!$B$33*(IF(Presion_cilindro!N693&gt;(-C$4+Presion_cilindro!$B$34),1-EXP(-Presion_cilindro!$B$16*((Presion_cilindro!N693-(-C$4+Presion_cilindro!$B$34))/Presion_cilindro!$B$35)^(Presion_cilindro!$B$17+1)),0)-IF(Presion_cilindro!N692&gt;(-C$4+Presion_cilindro!$B$34),1-EXP(-Presion_cilindro!$B$16*((Presion_cilindro!N692-(-C$4+Presion_cilindro!$B$34))/Presion_cilindro!$B$35)^(Presion_cilindro!$B$17+1)),0))/((Presion_cilindro!O692+Presion_cilindro!O693)/2)</f>
        <v>2.5539216408662844</v>
      </c>
      <c r="D701" s="27">
        <f>D700*(Presion_cilindro!O692/Presion_cilindro!O693)^Presion_cilindro!$B$9+10*(Presion_cilindro!$B$9-1)*Presion_cilindro!$B$33*(IF(Presion_cilindro!N693&gt;(-D$4+Presion_cilindro!$B$34),1-EXP(-Presion_cilindro!$B$16*((Presion_cilindro!N693-(-D$4+Presion_cilindro!$B$34))/Presion_cilindro!$B$35)^(Presion_cilindro!$B$17+1)),0)-IF(Presion_cilindro!N692&gt;(-D$4+Presion_cilindro!$B$34),1-EXP(-Presion_cilindro!$B$16*((Presion_cilindro!N692-(-D$4+Presion_cilindro!$B$34))/Presion_cilindro!$B$35)^(Presion_cilindro!$B$17+1)),0))/((Presion_cilindro!O692+Presion_cilindro!O693)/2)</f>
        <v>2.4784748640281156</v>
      </c>
      <c r="E701" s="27">
        <f>E700*(Presion_cilindro!O692/Presion_cilindro!O693)^Presion_cilindro!$B$9+10*(Presion_cilindro!$B$9-1)*Presion_cilindro!$B$33*(IF(Presion_cilindro!N693&gt;(-E$4+Presion_cilindro!$B$34),1-EXP(-Presion_cilindro!$B$16*((Presion_cilindro!N693-(-E$4+Presion_cilindro!$B$34))/Presion_cilindro!$B$35)^(Presion_cilindro!$B$17+1)),0)-IF(Presion_cilindro!N692&gt;(-E$4+Presion_cilindro!$B$34),1-EXP(-Presion_cilindro!$B$16*((Presion_cilindro!N692-(-E$4+Presion_cilindro!$B$34))/Presion_cilindro!$B$35)^(Presion_cilindro!$B$17+1)),0))/((Presion_cilindro!O692+Presion_cilindro!O693)/2)</f>
        <v>2.4113956629110755</v>
      </c>
      <c r="F701" s="27">
        <f>F700*(Presion_cilindro!O692/Presion_cilindro!O693)^Presion_cilindro!$B$9+10*(Presion_cilindro!$B$9-1)*Presion_cilindro!$B$33*(IF(Presion_cilindro!N693&gt;(-F$4+Presion_cilindro!$B$34),1-EXP(-Presion_cilindro!$B$16*((Presion_cilindro!N693-(-F$4+Presion_cilindro!$B$34))/Presion_cilindro!$B$35)^(Presion_cilindro!$B$17+1)),0)-IF(Presion_cilindro!N692&gt;(-F$4+Presion_cilindro!$B$34),1-EXP(-Presion_cilindro!$B$16*((Presion_cilindro!N692-(-F$4+Presion_cilindro!$B$34))/Presion_cilindro!$B$35)^(Presion_cilindro!$B$17+1)),0))/((Presion_cilindro!O692+Presion_cilindro!O693)/2)</f>
        <v>2.3557416243635383</v>
      </c>
      <c r="G701" s="27">
        <f>G700*(Presion_cilindro!O692/Presion_cilindro!O693)^Presion_cilindro!$B$9+10*(Presion_cilindro!$B$9-1)*Presion_cilindro!$B$33*(IF(Presion_cilindro!N693&gt;(-G$4+Presion_cilindro!$B$34),1-EXP(-Presion_cilindro!$B$16*((Presion_cilindro!N693-(-G$4+Presion_cilindro!$B$34))/Presion_cilindro!$B$35)^(Presion_cilindro!$B$17+1)),0)-IF(Presion_cilindro!N692&gt;(-G$4+Presion_cilindro!$B$34),1-EXP(-Presion_cilindro!$B$16*((Presion_cilindro!N692-(-G$4+Presion_cilindro!$B$34))/Presion_cilindro!$B$35)^(Presion_cilindro!$B$17+1)),0))/((Presion_cilindro!O692+Presion_cilindro!O693)/2)</f>
        <v>2.3145026351236559</v>
      </c>
      <c r="H701" s="27">
        <f>H700*(Presion_cilindro!O692/Presion_cilindro!O693)^Presion_cilindro!$B$9+10*(Presion_cilindro!$B$9-1)*Presion_cilindro!$B$33*(IF(Presion_cilindro!N693&gt;(-H$4+Presion_cilindro!$B$34),1-EXP(-Presion_cilindro!$B$16*((Presion_cilindro!N693-(-H$4+Presion_cilindro!$B$34))/Presion_cilindro!$B$35)^(Presion_cilindro!$B$17+1)),0)-IF(Presion_cilindro!N692&gt;(-H$4+Presion_cilindro!$B$34),1-EXP(-Presion_cilindro!$B$16*((Presion_cilindro!N692-(-H$4+Presion_cilindro!$B$34))/Presion_cilindro!$B$35)^(Presion_cilindro!$B$17+1)),0))/((Presion_cilindro!O692+Presion_cilindro!O693)/2)</f>
        <v>2.290176302765929</v>
      </c>
      <c r="I701" s="27">
        <f>I700*(Presion_cilindro!O692/Presion_cilindro!O693)^Presion_cilindro!$B$9+10*(Presion_cilindro!$B$9-1)*Presion_cilindro!$B$33*(IF(Presion_cilindro!N693&gt;(-I$4+Presion_cilindro!$B$34),1-EXP(-Presion_cilindro!$B$16*((Presion_cilindro!N693-(-I$4+Presion_cilindro!$B$34))/Presion_cilindro!$B$35)^(Presion_cilindro!$B$17+1)),0)-IF(Presion_cilindro!N692&gt;(-I$4+Presion_cilindro!$B$34),1-EXP(-Presion_cilindro!$B$16*((Presion_cilindro!N692-(-I$4+Presion_cilindro!$B$34))/Presion_cilindro!$B$35)^(Presion_cilindro!$B$17+1)),0))/((Presion_cilindro!O692+Presion_cilindro!O693)/2)</f>
        <v>2.2843410942893585</v>
      </c>
      <c r="J701" s="27">
        <f>J700*(Presion_cilindro!O692/Presion_cilindro!O693)^Presion_cilindro!$B$9+10*(Presion_cilindro!$B$9-1)*Presion_cilindro!$B$33*(IF(Presion_cilindro!N693&gt;(-J$4+Presion_cilindro!$B$34),1-EXP(-Presion_cilindro!$B$16*((Presion_cilindro!N693-(-J$4+Presion_cilindro!$B$34))/Presion_cilindro!$B$35)^(Presion_cilindro!$B$17+1)),0)-IF(Presion_cilindro!N692&gt;(-J$4+Presion_cilindro!$B$34),1-EXP(-Presion_cilindro!$B$16*((Presion_cilindro!N692-(-J$4+Presion_cilindro!$B$34))/Presion_cilindro!$B$35)^(Presion_cilindro!$B$17+1)),0))/((Presion_cilindro!O692+Presion_cilindro!O693)/2)</f>
        <v>2.297360438328595</v>
      </c>
      <c r="K701" s="27">
        <f>K700*(Presion_cilindro!O692/Presion_cilindro!O693)^Presion_cilindro!$B$9+10*(Presion_cilindro!$B$9-1)*Presion_cilindro!$B$33*(IF(Presion_cilindro!N693&gt;(-K$4+Presion_cilindro!$B$34),1-EXP(-Presion_cilindro!$B$16*((Presion_cilindro!N693-(-K$4+Presion_cilindro!$B$34))/Presion_cilindro!$B$35)^(Presion_cilindro!$B$17+1)),0)-IF(Presion_cilindro!N692&gt;(-K$4+Presion_cilindro!$B$34),1-EXP(-Presion_cilindro!$B$16*((Presion_cilindro!N692-(-K$4+Presion_cilindro!$B$34))/Presion_cilindro!$B$35)^(Presion_cilindro!$B$17+1)),0))/((Presion_cilindro!O692+Presion_cilindro!O693)/2)</f>
        <v>2.328319650920827</v>
      </c>
      <c r="L701" s="27">
        <f>L700*(Presion_cilindro!O692/Presion_cilindro!O693)^Presion_cilindro!$B$9+10*(Presion_cilindro!$B$9-1)*Presion_cilindro!$B$33*(IF(Presion_cilindro!N693&gt;(-L$4+Presion_cilindro!$B$34),1-EXP(-Presion_cilindro!$B$16*((Presion_cilindro!N693-(-L$4+Presion_cilindro!$B$34))/Presion_cilindro!$B$35)^(Presion_cilindro!$B$17+1)),0)-IF(Presion_cilindro!N692&gt;(-L$4+Presion_cilindro!$B$34),1-EXP(-Presion_cilindro!$B$16*((Presion_cilindro!N692-(-L$4+Presion_cilindro!$B$34))/Presion_cilindro!$B$35)^(Presion_cilindro!$B$17+1)),0))/((Presion_cilindro!O692+Presion_cilindro!O693)/2)</f>
        <v>2.3752150315403839</v>
      </c>
      <c r="M701" s="27">
        <f>M700*(Presion_cilindro!O692/Presion_cilindro!O693)^Presion_cilindro!$B$9+10*(Presion_cilindro!$B$9-1)*Presion_cilindro!$B$33*(IF(Presion_cilindro!N693&gt;(-M$4+Presion_cilindro!$B$34),1-EXP(-Presion_cilindro!$B$16*((Presion_cilindro!N693-(-M$4+Presion_cilindro!$B$34))/Presion_cilindro!$B$35)^(Presion_cilindro!$B$17+1)),0)-IF(Presion_cilindro!N692&gt;(-M$4+Presion_cilindro!$B$34),1-EXP(-Presion_cilindro!$B$16*((Presion_cilindro!N692-(-M$4+Presion_cilindro!$B$34))/Presion_cilindro!$B$35)^(Presion_cilindro!$B$17+1)),0))/((Presion_cilindro!O692+Presion_cilindro!O693)/2)</f>
        <v>2.4353236080087224</v>
      </c>
      <c r="N701" s="27">
        <f>N700*(Presion_cilindro!O692/Presion_cilindro!O693)^Presion_cilindro!$B$9+10*(Presion_cilindro!$B$9-1)*Presion_cilindro!$B$33*(IF(Presion_cilindro!N693&gt;(-N$4+Presion_cilindro!$B$34),1-EXP(-Presion_cilindro!$B$16*((Presion_cilindro!N693-(-N$4+Presion_cilindro!$B$34))/Presion_cilindro!$B$35)^(Presion_cilindro!$B$17+1)),0)-IF(Presion_cilindro!N692&gt;(-N$4+Presion_cilindro!$B$34),1-EXP(-Presion_cilindro!$B$16*((Presion_cilindro!N692-(-N$4+Presion_cilindro!$B$34))/Presion_cilindro!$B$35)^(Presion_cilindro!$B$17+1)),0))/((Presion_cilindro!O692+Presion_cilindro!O693)/2)</f>
        <v>2.5056301836359149</v>
      </c>
    </row>
    <row r="702" spans="1:14" x14ac:dyDescent="0.25">
      <c r="A702" s="21">
        <f>Presion_cilindro!N694</f>
        <v>165</v>
      </c>
      <c r="B702" s="27">
        <f>B701*(Presion_cilindro!O693/Presion_cilindro!O694)^Presion_cilindro!$B$9+10*(Presion_cilindro!$B$9-1)*Presion_cilindro!$B$33*(IF(Presion_cilindro!N694&gt;(-B$4+Presion_cilindro!$B$34),1-EXP(-Presion_cilindro!$B$16*((Presion_cilindro!N694-(-B$4+Presion_cilindro!$B$34))/Presion_cilindro!$B$35)^(Presion_cilindro!$B$17+1)),0)-IF(Presion_cilindro!N693&gt;(-B$4+Presion_cilindro!$B$34),1-EXP(-Presion_cilindro!$B$16*((Presion_cilindro!N693-(-B$4+Presion_cilindro!$B$34))/Presion_cilindro!$B$35)^(Presion_cilindro!$B$17+1)),0))/((Presion_cilindro!O693+Presion_cilindro!O694)/2)</f>
        <v>2.6322812415246277</v>
      </c>
      <c r="C702" s="27">
        <f>C701*(Presion_cilindro!O693/Presion_cilindro!O694)^Presion_cilindro!$B$9+10*(Presion_cilindro!$B$9-1)*Presion_cilindro!$B$33*(IF(Presion_cilindro!N694&gt;(-C$4+Presion_cilindro!$B$34),1-EXP(-Presion_cilindro!$B$16*((Presion_cilindro!N694-(-C$4+Presion_cilindro!$B$34))/Presion_cilindro!$B$35)^(Presion_cilindro!$B$17+1)),0)-IF(Presion_cilindro!N693&gt;(-C$4+Presion_cilindro!$B$34),1-EXP(-Presion_cilindro!$B$16*((Presion_cilindro!N693-(-C$4+Presion_cilindro!$B$34))/Presion_cilindro!$B$35)^(Presion_cilindro!$B$17+1)),0))/((Presion_cilindro!O693+Presion_cilindro!O694)/2)</f>
        <v>2.5513550141873473</v>
      </c>
      <c r="D702" s="27">
        <f>D701*(Presion_cilindro!O693/Presion_cilindro!O694)^Presion_cilindro!$B$9+10*(Presion_cilindro!$B$9-1)*Presion_cilindro!$B$33*(IF(Presion_cilindro!N694&gt;(-D$4+Presion_cilindro!$B$34),1-EXP(-Presion_cilindro!$B$16*((Presion_cilindro!N694-(-D$4+Presion_cilindro!$B$34))/Presion_cilindro!$B$35)^(Presion_cilindro!$B$17+1)),0)-IF(Presion_cilindro!N693&gt;(-D$4+Presion_cilindro!$B$34),1-EXP(-Presion_cilindro!$B$16*((Presion_cilindro!N693-(-D$4+Presion_cilindro!$B$34))/Presion_cilindro!$B$35)^(Presion_cilindro!$B$17+1)),0))/((Presion_cilindro!O693+Presion_cilindro!O694)/2)</f>
        <v>2.4759840594523994</v>
      </c>
      <c r="E702" s="27">
        <f>E701*(Presion_cilindro!O693/Presion_cilindro!O694)^Presion_cilindro!$B$9+10*(Presion_cilindro!$B$9-1)*Presion_cilindro!$B$33*(IF(Presion_cilindro!N694&gt;(-E$4+Presion_cilindro!$B$34),1-EXP(-Presion_cilindro!$B$16*((Presion_cilindro!N694-(-E$4+Presion_cilindro!$B$34))/Presion_cilindro!$B$35)^(Presion_cilindro!$B$17+1)),0)-IF(Presion_cilindro!N693&gt;(-E$4+Presion_cilindro!$B$34),1-EXP(-Presion_cilindro!$B$16*((Presion_cilindro!N693-(-E$4+Presion_cilindro!$B$34))/Presion_cilindro!$B$35)^(Presion_cilindro!$B$17+1)),0))/((Presion_cilindro!O693+Presion_cilindro!O694)/2)</f>
        <v>2.4089722712365362</v>
      </c>
      <c r="F702" s="27">
        <f>F701*(Presion_cilindro!O693/Presion_cilindro!O694)^Presion_cilindro!$B$9+10*(Presion_cilindro!$B$9-1)*Presion_cilindro!$B$33*(IF(Presion_cilindro!N694&gt;(-F$4+Presion_cilindro!$B$34),1-EXP(-Presion_cilindro!$B$16*((Presion_cilindro!N694-(-F$4+Presion_cilindro!$B$34))/Presion_cilindro!$B$35)^(Presion_cilindro!$B$17+1)),0)-IF(Presion_cilindro!N693&gt;(-F$4+Presion_cilindro!$B$34),1-EXP(-Presion_cilindro!$B$16*((Presion_cilindro!N693-(-F$4+Presion_cilindro!$B$34))/Presion_cilindro!$B$35)^(Presion_cilindro!$B$17+1)),0))/((Presion_cilindro!O693+Presion_cilindro!O694)/2)</f>
        <v>2.3533741635906527</v>
      </c>
      <c r="G702" s="27">
        <f>G701*(Presion_cilindro!O693/Presion_cilindro!O694)^Presion_cilindro!$B$9+10*(Presion_cilindro!$B$9-1)*Presion_cilindro!$B$33*(IF(Presion_cilindro!N694&gt;(-G$4+Presion_cilindro!$B$34),1-EXP(-Presion_cilindro!$B$16*((Presion_cilindro!N694-(-G$4+Presion_cilindro!$B$34))/Presion_cilindro!$B$35)^(Presion_cilindro!$B$17+1)),0)-IF(Presion_cilindro!N693&gt;(-G$4+Presion_cilindro!$B$34),1-EXP(-Presion_cilindro!$B$16*((Presion_cilindro!N693-(-G$4+Presion_cilindro!$B$34))/Presion_cilindro!$B$35)^(Presion_cilindro!$B$17+1)),0))/((Presion_cilindro!O693+Presion_cilindro!O694)/2)</f>
        <v>2.3121766184923218</v>
      </c>
      <c r="H702" s="27">
        <f>H701*(Presion_cilindro!O693/Presion_cilindro!O694)^Presion_cilindro!$B$9+10*(Presion_cilindro!$B$9-1)*Presion_cilindro!$B$33*(IF(Presion_cilindro!N694&gt;(-H$4+Presion_cilindro!$B$34),1-EXP(-Presion_cilindro!$B$16*((Presion_cilindro!N694-(-H$4+Presion_cilindro!$B$34))/Presion_cilindro!$B$35)^(Presion_cilindro!$B$17+1)),0)-IF(Presion_cilindro!N693&gt;(-H$4+Presion_cilindro!$B$34),1-EXP(-Presion_cilindro!$B$16*((Presion_cilindro!N693-(-H$4+Presion_cilindro!$B$34))/Presion_cilindro!$B$35)^(Presion_cilindro!$B$17+1)),0))/((Presion_cilindro!O693+Presion_cilindro!O694)/2)</f>
        <v>2.2878747334835783</v>
      </c>
      <c r="I702" s="27">
        <f>I701*(Presion_cilindro!O693/Presion_cilindro!O694)^Presion_cilindro!$B$9+10*(Presion_cilindro!$B$9-1)*Presion_cilindro!$B$33*(IF(Presion_cilindro!N694&gt;(-I$4+Presion_cilindro!$B$34),1-EXP(-Presion_cilindro!$B$16*((Presion_cilindro!N694-(-I$4+Presion_cilindro!$B$34))/Presion_cilindro!$B$35)^(Presion_cilindro!$B$17+1)),0)-IF(Presion_cilindro!N693&gt;(-I$4+Presion_cilindro!$B$34),1-EXP(-Presion_cilindro!$B$16*((Presion_cilindro!N693-(-I$4+Presion_cilindro!$B$34))/Presion_cilindro!$B$35)^(Presion_cilindro!$B$17+1)),0))/((Presion_cilindro!O693+Presion_cilindro!O694)/2)</f>
        <v>2.2820453892439967</v>
      </c>
      <c r="J702" s="27">
        <f>J701*(Presion_cilindro!O693/Presion_cilindro!O694)^Presion_cilindro!$B$9+10*(Presion_cilindro!$B$9-1)*Presion_cilindro!$B$33*(IF(Presion_cilindro!N694&gt;(-J$4+Presion_cilindro!$B$34),1-EXP(-Presion_cilindro!$B$16*((Presion_cilindro!N694-(-J$4+Presion_cilindro!$B$34))/Presion_cilindro!$B$35)^(Presion_cilindro!$B$17+1)),0)-IF(Presion_cilindro!N693&gt;(-J$4+Presion_cilindro!$B$34),1-EXP(-Presion_cilindro!$B$16*((Presion_cilindro!N693-(-J$4+Presion_cilindro!$B$34))/Presion_cilindro!$B$35)^(Presion_cilindro!$B$17+1)),0))/((Presion_cilindro!O693+Presion_cilindro!O694)/2)</f>
        <v>2.2950516491716382</v>
      </c>
      <c r="K702" s="27">
        <f>K701*(Presion_cilindro!O693/Presion_cilindro!O694)^Presion_cilindro!$B$9+10*(Presion_cilindro!$B$9-1)*Presion_cilindro!$B$33*(IF(Presion_cilindro!N694&gt;(-K$4+Presion_cilindro!$B$34),1-EXP(-Presion_cilindro!$B$16*((Presion_cilindro!N694-(-K$4+Presion_cilindro!$B$34))/Presion_cilindro!$B$35)^(Presion_cilindro!$B$17+1)),0)-IF(Presion_cilindro!N693&gt;(-K$4+Presion_cilindro!$B$34),1-EXP(-Presion_cilindro!$B$16*((Presion_cilindro!N693-(-K$4+Presion_cilindro!$B$34))/Presion_cilindro!$B$35)^(Presion_cilindro!$B$17+1)),0))/((Presion_cilindro!O693+Presion_cilindro!O694)/2)</f>
        <v>2.3259797485379488</v>
      </c>
      <c r="L702" s="27">
        <f>L701*(Presion_cilindro!O693/Presion_cilindro!O694)^Presion_cilindro!$B$9+10*(Presion_cilindro!$B$9-1)*Presion_cilindro!$B$33*(IF(Presion_cilindro!N694&gt;(-L$4+Presion_cilindro!$B$34),1-EXP(-Presion_cilindro!$B$16*((Presion_cilindro!N694-(-L$4+Presion_cilindro!$B$34))/Presion_cilindro!$B$35)^(Presion_cilindro!$B$17+1)),0)-IF(Presion_cilindro!N693&gt;(-L$4+Presion_cilindro!$B$34),1-EXP(-Presion_cilindro!$B$16*((Presion_cilindro!N693-(-L$4+Presion_cilindro!$B$34))/Presion_cilindro!$B$35)^(Presion_cilindro!$B$17+1)),0))/((Presion_cilindro!O693+Presion_cilindro!O694)/2)</f>
        <v>2.3728280004856268</v>
      </c>
      <c r="M702" s="27">
        <f>M701*(Presion_cilindro!O693/Presion_cilindro!O694)^Presion_cilindro!$B$9+10*(Presion_cilindro!$B$9-1)*Presion_cilindro!$B$33*(IF(Presion_cilindro!N694&gt;(-M$4+Presion_cilindro!$B$34),1-EXP(-Presion_cilindro!$B$16*((Presion_cilindro!N694-(-M$4+Presion_cilindro!$B$34))/Presion_cilindro!$B$35)^(Presion_cilindro!$B$17+1)),0)-IF(Presion_cilindro!N693&gt;(-M$4+Presion_cilindro!$B$34),1-EXP(-Presion_cilindro!$B$16*((Presion_cilindro!N693-(-M$4+Presion_cilindro!$B$34))/Presion_cilindro!$B$35)^(Presion_cilindro!$B$17+1)),0))/((Presion_cilindro!O693+Presion_cilindro!O694)/2)</f>
        <v>2.4328761693543237</v>
      </c>
      <c r="N702" s="27">
        <f>N701*(Presion_cilindro!O693/Presion_cilindro!O694)^Presion_cilindro!$B$9+10*(Presion_cilindro!$B$9-1)*Presion_cilindro!$B$33*(IF(Presion_cilindro!N694&gt;(-N$4+Presion_cilindro!$B$34),1-EXP(-Presion_cilindro!$B$16*((Presion_cilindro!N694-(-N$4+Presion_cilindro!$B$34))/Presion_cilindro!$B$35)^(Presion_cilindro!$B$17+1)),0)-IF(Presion_cilindro!N693&gt;(-N$4+Presion_cilindro!$B$34),1-EXP(-Presion_cilindro!$B$16*((Presion_cilindro!N693-(-N$4+Presion_cilindro!$B$34))/Presion_cilindro!$B$35)^(Presion_cilindro!$B$17+1)),0))/((Presion_cilindro!O693+Presion_cilindro!O694)/2)</f>
        <v>2.5031120886505538</v>
      </c>
    </row>
    <row r="703" spans="1:14" x14ac:dyDescent="0.25">
      <c r="A703" s="21">
        <f>Presion_cilindro!N695</f>
        <v>165.5</v>
      </c>
      <c r="B703" s="27">
        <f>B702*(Presion_cilindro!O694/Presion_cilindro!O695)^Presion_cilindro!$B$9+10*(Presion_cilindro!$B$9-1)*Presion_cilindro!$B$33*(IF(Presion_cilindro!N695&gt;(-B$4+Presion_cilindro!$B$34),1-EXP(-Presion_cilindro!$B$16*((Presion_cilindro!N695-(-B$4+Presion_cilindro!$B$34))/Presion_cilindro!$B$35)^(Presion_cilindro!$B$17+1)),0)-IF(Presion_cilindro!N694&gt;(-B$4+Presion_cilindro!$B$34),1-EXP(-Presion_cilindro!$B$16*((Presion_cilindro!N694-(-B$4+Presion_cilindro!$B$34))/Presion_cilindro!$B$35)^(Presion_cilindro!$B$17+1)),0))/((Presion_cilindro!O694+Presion_cilindro!O695)/2)</f>
        <v>2.6297246133299854</v>
      </c>
      <c r="C703" s="27">
        <f>C702*(Presion_cilindro!O694/Presion_cilindro!O695)^Presion_cilindro!$B$9+10*(Presion_cilindro!$B$9-1)*Presion_cilindro!$B$33*(IF(Presion_cilindro!N695&gt;(-C$4+Presion_cilindro!$B$34),1-EXP(-Presion_cilindro!$B$16*((Presion_cilindro!N695-(-C$4+Presion_cilindro!$B$34))/Presion_cilindro!$B$35)^(Presion_cilindro!$B$17+1)),0)-IF(Presion_cilindro!N694&gt;(-C$4+Presion_cilindro!$B$34),1-EXP(-Presion_cilindro!$B$16*((Presion_cilindro!N694-(-C$4+Presion_cilindro!$B$34))/Presion_cilindro!$B$35)^(Presion_cilindro!$B$17+1)),0))/((Presion_cilindro!O694+Presion_cilindro!O695)/2)</f>
        <v>2.5488769863607939</v>
      </c>
      <c r="D703" s="27">
        <f>D702*(Presion_cilindro!O694/Presion_cilindro!O695)^Presion_cilindro!$B$9+10*(Presion_cilindro!$B$9-1)*Presion_cilindro!$B$33*(IF(Presion_cilindro!N695&gt;(-D$4+Presion_cilindro!$B$34),1-EXP(-Presion_cilindro!$B$16*((Presion_cilindro!N695-(-D$4+Presion_cilindro!$B$34))/Presion_cilindro!$B$35)^(Presion_cilindro!$B$17+1)),0)-IF(Presion_cilindro!N694&gt;(-D$4+Presion_cilindro!$B$34),1-EXP(-Presion_cilindro!$B$16*((Presion_cilindro!N694-(-D$4+Presion_cilindro!$B$34))/Presion_cilindro!$B$35)^(Presion_cilindro!$B$17+1)),0))/((Presion_cilindro!O694+Presion_cilindro!O695)/2)</f>
        <v>2.4735792363825766</v>
      </c>
      <c r="E703" s="27">
        <f>E702*(Presion_cilindro!O694/Presion_cilindro!O695)^Presion_cilindro!$B$9+10*(Presion_cilindro!$B$9-1)*Presion_cilindro!$B$33*(IF(Presion_cilindro!N695&gt;(-E$4+Presion_cilindro!$B$34),1-EXP(-Presion_cilindro!$B$16*((Presion_cilindro!N695-(-E$4+Presion_cilindro!$B$34))/Presion_cilindro!$B$35)^(Presion_cilindro!$B$17+1)),0)-IF(Presion_cilindro!N694&gt;(-E$4+Presion_cilindro!$B$34),1-EXP(-Presion_cilindro!$B$16*((Presion_cilindro!N694-(-E$4+Presion_cilindro!$B$34))/Presion_cilindro!$B$35)^(Presion_cilindro!$B$17+1)),0))/((Presion_cilindro!O694+Presion_cilindro!O695)/2)</f>
        <v>2.4066325340034482</v>
      </c>
      <c r="F703" s="27">
        <f>F702*(Presion_cilindro!O694/Presion_cilindro!O695)^Presion_cilindro!$B$9+10*(Presion_cilindro!$B$9-1)*Presion_cilindro!$B$33*(IF(Presion_cilindro!N695&gt;(-F$4+Presion_cilindro!$B$34),1-EXP(-Presion_cilindro!$B$16*((Presion_cilindro!N695-(-F$4+Presion_cilindro!$B$34))/Presion_cilindro!$B$35)^(Presion_cilindro!$B$17+1)),0)-IF(Presion_cilindro!N694&gt;(-F$4+Presion_cilindro!$B$34),1-EXP(-Presion_cilindro!$B$16*((Presion_cilindro!N694-(-F$4+Presion_cilindro!$B$34))/Presion_cilindro!$B$35)^(Presion_cilindro!$B$17+1)),0))/((Presion_cilindro!O694+Presion_cilindro!O695)/2)</f>
        <v>2.3510884265484764</v>
      </c>
      <c r="G703" s="27">
        <f>G702*(Presion_cilindro!O694/Presion_cilindro!O695)^Presion_cilindro!$B$9+10*(Presion_cilindro!$B$9-1)*Presion_cilindro!$B$33*(IF(Presion_cilindro!N695&gt;(-G$4+Presion_cilindro!$B$34),1-EXP(-Presion_cilindro!$B$16*((Presion_cilindro!N695-(-G$4+Presion_cilindro!$B$34))/Presion_cilindro!$B$35)^(Presion_cilindro!$B$17+1)),0)-IF(Presion_cilindro!N694&gt;(-G$4+Presion_cilindro!$B$34),1-EXP(-Presion_cilindro!$B$16*((Presion_cilindro!N694-(-G$4+Presion_cilindro!$B$34))/Presion_cilindro!$B$35)^(Presion_cilindro!$B$17+1)),0))/((Presion_cilindro!O694+Presion_cilindro!O695)/2)</f>
        <v>2.3099308949577022</v>
      </c>
      <c r="H703" s="27">
        <f>H702*(Presion_cilindro!O694/Presion_cilindro!O695)^Presion_cilindro!$B$9+10*(Presion_cilindro!$B$9-1)*Presion_cilindro!$B$33*(IF(Presion_cilindro!N695&gt;(-H$4+Presion_cilindro!$B$34),1-EXP(-Presion_cilindro!$B$16*((Presion_cilindro!N695-(-H$4+Presion_cilindro!$B$34))/Presion_cilindro!$B$35)^(Presion_cilindro!$B$17+1)),0)-IF(Presion_cilindro!N694&gt;(-H$4+Presion_cilindro!$B$34),1-EXP(-Presion_cilindro!$B$16*((Presion_cilindro!N694-(-H$4+Presion_cilindro!$B$34))/Presion_cilindro!$B$35)^(Presion_cilindro!$B$17+1)),0))/((Presion_cilindro!O694+Presion_cilindro!O695)/2)</f>
        <v>2.2856526133859378</v>
      </c>
      <c r="I703" s="27">
        <f>I702*(Presion_cilindro!O694/Presion_cilindro!O695)^Presion_cilindro!$B$9+10*(Presion_cilindro!$B$9-1)*Presion_cilindro!$B$33*(IF(Presion_cilindro!N695&gt;(-I$4+Presion_cilindro!$B$34),1-EXP(-Presion_cilindro!$B$16*((Presion_cilindro!N695-(-I$4+Presion_cilindro!$B$34))/Presion_cilindro!$B$35)^(Presion_cilindro!$B$17+1)),0)-IF(Presion_cilindro!N694&gt;(-I$4+Presion_cilindro!$B$34),1-EXP(-Presion_cilindro!$B$16*((Presion_cilindro!N694-(-I$4+Presion_cilindro!$B$34))/Presion_cilindro!$B$35)^(Presion_cilindro!$B$17+1)),0))/((Presion_cilindro!O694+Presion_cilindro!O695)/2)</f>
        <v>2.2798289309523989</v>
      </c>
      <c r="J703" s="27">
        <f>J702*(Presion_cilindro!O694/Presion_cilindro!O695)^Presion_cilindro!$B$9+10*(Presion_cilindro!$B$9-1)*Presion_cilindro!$B$33*(IF(Presion_cilindro!N695&gt;(-J$4+Presion_cilindro!$B$34),1-EXP(-Presion_cilindro!$B$16*((Presion_cilindro!N695-(-J$4+Presion_cilindro!$B$34))/Presion_cilindro!$B$35)^(Presion_cilindro!$B$17+1)),0)-IF(Presion_cilindro!N694&gt;(-J$4+Presion_cilindro!$B$34),1-EXP(-Presion_cilindro!$B$16*((Presion_cilindro!N694-(-J$4+Presion_cilindro!$B$34))/Presion_cilindro!$B$35)^(Presion_cilindro!$B$17+1)),0))/((Presion_cilindro!O694+Presion_cilindro!O695)/2)</f>
        <v>2.2928225584263675</v>
      </c>
      <c r="K703" s="27">
        <f>K702*(Presion_cilindro!O694/Presion_cilindro!O695)^Presion_cilindro!$B$9+10*(Presion_cilindro!$B$9-1)*Presion_cilindro!$B$33*(IF(Presion_cilindro!N695&gt;(-K$4+Presion_cilindro!$B$34),1-EXP(-Presion_cilindro!$B$16*((Presion_cilindro!N695-(-K$4+Presion_cilindro!$B$34))/Presion_cilindro!$B$35)^(Presion_cilindro!$B$17+1)),0)-IF(Presion_cilindro!N694&gt;(-K$4+Presion_cilindro!$B$34),1-EXP(-Presion_cilindro!$B$16*((Presion_cilindro!N694-(-K$4+Presion_cilindro!$B$34))/Presion_cilindro!$B$35)^(Presion_cilindro!$B$17+1)),0))/((Presion_cilindro!O694+Presion_cilindro!O695)/2)</f>
        <v>2.3237206185819739</v>
      </c>
      <c r="L703" s="27">
        <f>L702*(Presion_cilindro!O694/Presion_cilindro!O695)^Presion_cilindro!$B$9+10*(Presion_cilindro!$B$9-1)*Presion_cilindro!$B$33*(IF(Presion_cilindro!N695&gt;(-L$4+Presion_cilindro!$B$34),1-EXP(-Presion_cilindro!$B$16*((Presion_cilindro!N695-(-L$4+Presion_cilindro!$B$34))/Presion_cilindro!$B$35)^(Presion_cilindro!$B$17+1)),0)-IF(Presion_cilindro!N694&gt;(-L$4+Presion_cilindro!$B$34),1-EXP(-Presion_cilindro!$B$16*((Presion_cilindro!N694-(-L$4+Presion_cilindro!$B$34))/Presion_cilindro!$B$35)^(Presion_cilindro!$B$17+1)),0))/((Presion_cilindro!O694+Presion_cilindro!O695)/2)</f>
        <v>2.3705233687193172</v>
      </c>
      <c r="M703" s="27">
        <f>M702*(Presion_cilindro!O694/Presion_cilindro!O695)^Presion_cilindro!$B$9+10*(Presion_cilindro!$B$9-1)*Presion_cilindro!$B$33*(IF(Presion_cilindro!N695&gt;(-M$4+Presion_cilindro!$B$34),1-EXP(-Presion_cilindro!$B$16*((Presion_cilindro!N695-(-M$4+Presion_cilindro!$B$34))/Presion_cilindro!$B$35)^(Presion_cilindro!$B$17+1)),0)-IF(Presion_cilindro!N694&gt;(-M$4+Presion_cilindro!$B$34),1-EXP(-Presion_cilindro!$B$16*((Presion_cilindro!N694-(-M$4+Presion_cilindro!$B$34))/Presion_cilindro!$B$35)^(Presion_cilindro!$B$17+1)),0))/((Presion_cilindro!O694+Presion_cilindro!O695)/2)</f>
        <v>2.4305132152328097</v>
      </c>
      <c r="N703" s="27">
        <f>N702*(Presion_cilindro!O694/Presion_cilindro!O695)^Presion_cilindro!$B$9+10*(Presion_cilindro!$B$9-1)*Presion_cilindro!$B$33*(IF(Presion_cilindro!N695&gt;(-N$4+Presion_cilindro!$B$34),1-EXP(-Presion_cilindro!$B$16*((Presion_cilindro!N695-(-N$4+Presion_cilindro!$B$34))/Presion_cilindro!$B$35)^(Presion_cilindro!$B$17+1)),0)-IF(Presion_cilindro!N694&gt;(-N$4+Presion_cilindro!$B$34),1-EXP(-Presion_cilindro!$B$16*((Presion_cilindro!N694-(-N$4+Presion_cilindro!$B$34))/Presion_cilindro!$B$35)^(Presion_cilindro!$B$17+1)),0))/((Presion_cilindro!O694+Presion_cilindro!O695)/2)</f>
        <v>2.5006809172243245</v>
      </c>
    </row>
    <row r="704" spans="1:14" x14ac:dyDescent="0.25">
      <c r="A704" s="21">
        <f>Presion_cilindro!N696</f>
        <v>166</v>
      </c>
      <c r="B704" s="27">
        <f>B703*(Presion_cilindro!O695/Presion_cilindro!O696)^Presion_cilindro!$B$9+10*(Presion_cilindro!$B$9-1)*Presion_cilindro!$B$33*(IF(Presion_cilindro!N696&gt;(-B$4+Presion_cilindro!$B$34),1-EXP(-Presion_cilindro!$B$16*((Presion_cilindro!N696-(-B$4+Presion_cilindro!$B$34))/Presion_cilindro!$B$35)^(Presion_cilindro!$B$17+1)),0)-IF(Presion_cilindro!N695&gt;(-B$4+Presion_cilindro!$B$34),1-EXP(-Presion_cilindro!$B$16*((Presion_cilindro!N695-(-B$4+Presion_cilindro!$B$34))/Presion_cilindro!$B$35)^(Presion_cilindro!$B$17+1)),0))/((Presion_cilindro!O695+Presion_cilindro!O696)/2)</f>
        <v>2.6272589272044282</v>
      </c>
      <c r="C704" s="27">
        <f>C703*(Presion_cilindro!O695/Presion_cilindro!O696)^Presion_cilindro!$B$9+10*(Presion_cilindro!$B$9-1)*Presion_cilindro!$B$33*(IF(Presion_cilindro!N696&gt;(-C$4+Presion_cilindro!$B$34),1-EXP(-Presion_cilindro!$B$16*((Presion_cilindro!N696-(-C$4+Presion_cilindro!$B$34))/Presion_cilindro!$B$35)^(Presion_cilindro!$B$17+1)),0)-IF(Presion_cilindro!N695&gt;(-C$4+Presion_cilindro!$B$34),1-EXP(-Presion_cilindro!$B$16*((Presion_cilindro!N695-(-C$4+Presion_cilindro!$B$34))/Presion_cilindro!$B$35)^(Presion_cilindro!$B$17+1)),0))/((Presion_cilindro!O695+Presion_cilindro!O696)/2)</f>
        <v>2.5464871047020203</v>
      </c>
      <c r="D704" s="27">
        <f>D703*(Presion_cilindro!O695/Presion_cilindro!O696)^Presion_cilindro!$B$9+10*(Presion_cilindro!$B$9-1)*Presion_cilindro!$B$33*(IF(Presion_cilindro!N696&gt;(-D$4+Presion_cilindro!$B$34),1-EXP(-Presion_cilindro!$B$16*((Presion_cilindro!N696-(-D$4+Presion_cilindro!$B$34))/Presion_cilindro!$B$35)^(Presion_cilindro!$B$17+1)),0)-IF(Presion_cilindro!N695&gt;(-D$4+Presion_cilindro!$B$34),1-EXP(-Presion_cilindro!$B$16*((Presion_cilindro!N695-(-D$4+Presion_cilindro!$B$34))/Presion_cilindro!$B$35)^(Presion_cilindro!$B$17+1)),0))/((Presion_cilindro!O695+Presion_cilindro!O696)/2)</f>
        <v>2.4712599555070436</v>
      </c>
      <c r="E704" s="27">
        <f>E703*(Presion_cilindro!O695/Presion_cilindro!O696)^Presion_cilindro!$B$9+10*(Presion_cilindro!$B$9-1)*Presion_cilindro!$B$33*(IF(Presion_cilindro!N696&gt;(-E$4+Presion_cilindro!$B$34),1-EXP(-Presion_cilindro!$B$16*((Presion_cilindro!N696-(-E$4+Presion_cilindro!$B$34))/Presion_cilindro!$B$35)^(Presion_cilindro!$B$17+1)),0)-IF(Presion_cilindro!N695&gt;(-E$4+Presion_cilindro!$B$34),1-EXP(-Presion_cilindro!$B$16*((Presion_cilindro!N695-(-E$4+Presion_cilindro!$B$34))/Presion_cilindro!$B$35)^(Presion_cilindro!$B$17+1)),0))/((Presion_cilindro!O695+Presion_cilindro!O696)/2)</f>
        <v>2.4043760237900487</v>
      </c>
      <c r="F704" s="27">
        <f>F703*(Presion_cilindro!O695/Presion_cilindro!O696)^Presion_cilindro!$B$9+10*(Presion_cilindro!$B$9-1)*Presion_cilindro!$B$33*(IF(Presion_cilindro!N696&gt;(-F$4+Presion_cilindro!$B$34),1-EXP(-Presion_cilindro!$B$16*((Presion_cilindro!N696-(-F$4+Presion_cilindro!$B$34))/Presion_cilindro!$B$35)^(Presion_cilindro!$B$17+1)),0)-IF(Presion_cilindro!N695&gt;(-F$4+Presion_cilindro!$B$34),1-EXP(-Presion_cilindro!$B$16*((Presion_cilindro!N695-(-F$4+Presion_cilindro!$B$34))/Presion_cilindro!$B$35)^(Presion_cilindro!$B$17+1)),0))/((Presion_cilindro!O695+Presion_cilindro!O696)/2)</f>
        <v>2.3488839956799685</v>
      </c>
      <c r="G704" s="27">
        <f>G703*(Presion_cilindro!O695/Presion_cilindro!O696)^Presion_cilindro!$B$9+10*(Presion_cilindro!$B$9-1)*Presion_cilindro!$B$33*(IF(Presion_cilindro!N696&gt;(-G$4+Presion_cilindro!$B$34),1-EXP(-Presion_cilindro!$B$16*((Presion_cilindro!N696-(-G$4+Presion_cilindro!$B$34))/Presion_cilindro!$B$35)^(Presion_cilindro!$B$17+1)),0)-IF(Presion_cilindro!N695&gt;(-G$4+Presion_cilindro!$B$34),1-EXP(-Presion_cilindro!$B$16*((Presion_cilindro!N695-(-G$4+Presion_cilindro!$B$34))/Presion_cilindro!$B$35)^(Presion_cilindro!$B$17+1)),0))/((Presion_cilindro!O695+Presion_cilindro!O696)/2)</f>
        <v>2.3077650542723989</v>
      </c>
      <c r="H704" s="27">
        <f>H703*(Presion_cilindro!O695/Presion_cilindro!O696)^Presion_cilindro!$B$9+10*(Presion_cilindro!$B$9-1)*Presion_cilindro!$B$33*(IF(Presion_cilindro!N696&gt;(-H$4+Presion_cilindro!$B$34),1-EXP(-Presion_cilindro!$B$16*((Presion_cilindro!N696-(-H$4+Presion_cilindro!$B$34))/Presion_cilindro!$B$35)^(Presion_cilindro!$B$17+1)),0)-IF(Presion_cilindro!N695&gt;(-H$4+Presion_cilindro!$B$34),1-EXP(-Presion_cilindro!$B$16*((Presion_cilindro!N695-(-H$4+Presion_cilindro!$B$34))/Presion_cilindro!$B$35)^(Presion_cilindro!$B$17+1)),0))/((Presion_cilindro!O695+Presion_cilindro!O696)/2)</f>
        <v>2.2835095365374714</v>
      </c>
      <c r="I704" s="27">
        <f>I703*(Presion_cilindro!O695/Presion_cilindro!O696)^Presion_cilindro!$B$9+10*(Presion_cilindro!$B$9-1)*Presion_cilindro!$B$33*(IF(Presion_cilindro!N696&gt;(-I$4+Presion_cilindro!$B$34),1-EXP(-Presion_cilindro!$B$16*((Presion_cilindro!N696-(-I$4+Presion_cilindro!$B$34))/Presion_cilindro!$B$35)^(Presion_cilindro!$B$17+1)),0)-IF(Presion_cilindro!N695&gt;(-I$4+Presion_cilindro!$B$34),1-EXP(-Presion_cilindro!$B$16*((Presion_cilindro!N695-(-I$4+Presion_cilindro!$B$34))/Presion_cilindro!$B$35)^(Presion_cilindro!$B$17+1)),0))/((Presion_cilindro!O695+Presion_cilindro!O696)/2)</f>
        <v>2.2776913145133242</v>
      </c>
      <c r="J704" s="27">
        <f>J703*(Presion_cilindro!O695/Presion_cilindro!O696)^Presion_cilindro!$B$9+10*(Presion_cilindro!$B$9-1)*Presion_cilindro!$B$33*(IF(Presion_cilindro!N696&gt;(-J$4+Presion_cilindro!$B$34),1-EXP(-Presion_cilindro!$B$16*((Presion_cilindro!N696-(-J$4+Presion_cilindro!$B$34))/Presion_cilindro!$B$35)^(Presion_cilindro!$B$17+1)),0)-IF(Presion_cilindro!N695&gt;(-J$4+Presion_cilindro!$B$34),1-EXP(-Presion_cilindro!$B$16*((Presion_cilindro!N695-(-J$4+Presion_cilindro!$B$34))/Presion_cilindro!$B$35)^(Presion_cilindro!$B$17+1)),0))/((Presion_cilindro!O695+Presion_cilindro!O696)/2)</f>
        <v>2.2906727588838525</v>
      </c>
      <c r="K704" s="27">
        <f>K703*(Presion_cilindro!O695/Presion_cilindro!O696)^Presion_cilindro!$B$9+10*(Presion_cilindro!$B$9-1)*Presion_cilindro!$B$33*(IF(Presion_cilindro!N696&gt;(-K$4+Presion_cilindro!$B$34),1-EXP(-Presion_cilindro!$B$16*((Presion_cilindro!N696-(-K$4+Presion_cilindro!$B$34))/Presion_cilindro!$B$35)^(Presion_cilindro!$B$17+1)),0)-IF(Presion_cilindro!N695&gt;(-K$4+Presion_cilindro!$B$34),1-EXP(-Presion_cilindro!$B$16*((Presion_cilindro!N695-(-K$4+Presion_cilindro!$B$34))/Presion_cilindro!$B$35)^(Presion_cilindro!$B$17+1)),0))/((Presion_cilindro!O695+Presion_cilindro!O696)/2)</f>
        <v>2.3215418483564276</v>
      </c>
      <c r="L704" s="27">
        <f>L703*(Presion_cilindro!O695/Presion_cilindro!O696)^Presion_cilindro!$B$9+10*(Presion_cilindro!$B$9-1)*Presion_cilindro!$B$33*(IF(Presion_cilindro!N696&gt;(-L$4+Presion_cilindro!$B$34),1-EXP(-Presion_cilindro!$B$16*((Presion_cilindro!N696-(-L$4+Presion_cilindro!$B$34))/Presion_cilindro!$B$35)^(Presion_cilindro!$B$17+1)),0)-IF(Presion_cilindro!N695&gt;(-L$4+Presion_cilindro!$B$34),1-EXP(-Presion_cilindro!$B$16*((Presion_cilindro!N695-(-L$4+Presion_cilindro!$B$34))/Presion_cilindro!$B$35)^(Presion_cilindro!$B$17+1)),0))/((Presion_cilindro!O695+Presion_cilindro!O696)/2)</f>
        <v>2.368300715232738</v>
      </c>
      <c r="M704" s="27">
        <f>M703*(Presion_cilindro!O695/Presion_cilindro!O696)^Presion_cilindro!$B$9+10*(Presion_cilindro!$B$9-1)*Presion_cilindro!$B$33*(IF(Presion_cilindro!N696&gt;(-M$4+Presion_cilindro!$B$34),1-EXP(-Presion_cilindro!$B$16*((Presion_cilindro!N696-(-M$4+Presion_cilindro!$B$34))/Presion_cilindro!$B$35)^(Presion_cilindro!$B$17+1)),0)-IF(Presion_cilindro!N695&gt;(-M$4+Presion_cilindro!$B$34),1-EXP(-Presion_cilindro!$B$16*((Presion_cilindro!N695-(-M$4+Presion_cilindro!$B$34))/Presion_cilindro!$B$35)^(Presion_cilindro!$B$17+1)),0))/((Presion_cilindro!O695+Presion_cilindro!O696)/2)</f>
        <v>2.4282343139811706</v>
      </c>
      <c r="N704" s="27">
        <f>N703*(Presion_cilindro!O695/Presion_cilindro!O696)^Presion_cilindro!$B$9+10*(Presion_cilindro!$B$9-1)*Presion_cilindro!$B$33*(IF(Presion_cilindro!N696&gt;(-N$4+Presion_cilindro!$B$34),1-EXP(-Presion_cilindro!$B$16*((Presion_cilindro!N696-(-N$4+Presion_cilindro!$B$34))/Presion_cilindro!$B$35)^(Presion_cilindro!$B$17+1)),0)-IF(Presion_cilindro!N695&gt;(-N$4+Presion_cilindro!$B$34),1-EXP(-Presion_cilindro!$B$16*((Presion_cilindro!N695-(-N$4+Presion_cilindro!$B$34))/Presion_cilindro!$B$35)^(Presion_cilindro!$B$17+1)),0))/((Presion_cilindro!O695+Presion_cilindro!O696)/2)</f>
        <v>2.4983362252323222</v>
      </c>
    </row>
    <row r="705" spans="1:14" x14ac:dyDescent="0.25">
      <c r="A705" s="21">
        <f>Presion_cilindro!N697</f>
        <v>166.5</v>
      </c>
      <c r="B705" s="27">
        <f>B704*(Presion_cilindro!O696/Presion_cilindro!O697)^Presion_cilindro!$B$9+10*(Presion_cilindro!$B$9-1)*Presion_cilindro!$B$33*(IF(Presion_cilindro!N697&gt;(-B$4+Presion_cilindro!$B$34),1-EXP(-Presion_cilindro!$B$16*((Presion_cilindro!N697-(-B$4+Presion_cilindro!$B$34))/Presion_cilindro!$B$35)^(Presion_cilindro!$B$17+1)),0)-IF(Presion_cilindro!N696&gt;(-B$4+Presion_cilindro!$B$34),1-EXP(-Presion_cilindro!$B$16*((Presion_cilindro!N696-(-B$4+Presion_cilindro!$B$34))/Presion_cilindro!$B$35)^(Presion_cilindro!$B$17+1)),0))/((Presion_cilindro!O696+Presion_cilindro!O697)/2)</f>
        <v>2.6248837333455817</v>
      </c>
      <c r="C705" s="27">
        <f>C704*(Presion_cilindro!O696/Presion_cilindro!O697)^Presion_cilindro!$B$9+10*(Presion_cilindro!$B$9-1)*Presion_cilindro!$B$33*(IF(Presion_cilindro!N697&gt;(-C$4+Presion_cilindro!$B$34),1-EXP(-Presion_cilindro!$B$16*((Presion_cilindro!N697-(-C$4+Presion_cilindro!$B$34))/Presion_cilindro!$B$35)^(Presion_cilindro!$B$17+1)),0)-IF(Presion_cilindro!N696&gt;(-C$4+Presion_cilindro!$B$34),1-EXP(-Presion_cilindro!$B$16*((Presion_cilindro!N696-(-C$4+Presion_cilindro!$B$34))/Presion_cilindro!$B$35)^(Presion_cilindro!$B$17+1)),0))/((Presion_cilindro!O696+Presion_cilindro!O697)/2)</f>
        <v>2.5441849332372701</v>
      </c>
      <c r="D705" s="27">
        <f>D704*(Presion_cilindro!O696/Presion_cilindro!O697)^Presion_cilindro!$B$9+10*(Presion_cilindro!$B$9-1)*Presion_cilindro!$B$33*(IF(Presion_cilindro!N697&gt;(-D$4+Presion_cilindro!$B$34),1-EXP(-Presion_cilindro!$B$16*((Presion_cilindro!N697-(-D$4+Presion_cilindro!$B$34))/Presion_cilindro!$B$35)^(Presion_cilindro!$B$17+1)),0)-IF(Presion_cilindro!N696&gt;(-D$4+Presion_cilindro!$B$34),1-EXP(-Presion_cilindro!$B$16*((Presion_cilindro!N696-(-D$4+Presion_cilindro!$B$34))/Presion_cilindro!$B$35)^(Presion_cilindro!$B$17+1)),0))/((Presion_cilindro!O696+Presion_cilindro!O697)/2)</f>
        <v>2.4690257937313791</v>
      </c>
      <c r="E705" s="27">
        <f>E704*(Presion_cilindro!O696/Presion_cilindro!O697)^Presion_cilindro!$B$9+10*(Presion_cilindro!$B$9-1)*Presion_cilindro!$B$33*(IF(Presion_cilindro!N697&gt;(-E$4+Presion_cilindro!$B$34),1-EXP(-Presion_cilindro!$B$16*((Presion_cilindro!N697-(-E$4+Presion_cilindro!$B$34))/Presion_cilindro!$B$35)^(Presion_cilindro!$B$17+1)),0)-IF(Presion_cilindro!N696&gt;(-E$4+Presion_cilindro!$B$34),1-EXP(-Presion_cilindro!$B$16*((Presion_cilindro!N696-(-E$4+Presion_cilindro!$B$34))/Presion_cilindro!$B$35)^(Presion_cilindro!$B$17+1)),0))/((Presion_cilindro!O696+Presion_cilindro!O697)/2)</f>
        <v>2.402202328952844</v>
      </c>
      <c r="F705" s="27">
        <f>F704*(Presion_cilindro!O696/Presion_cilindro!O697)^Presion_cilindro!$B$9+10*(Presion_cilindro!$B$9-1)*Presion_cilindro!$B$33*(IF(Presion_cilindro!N697&gt;(-F$4+Presion_cilindro!$B$34),1-EXP(-Presion_cilindro!$B$16*((Presion_cilindro!N697-(-F$4+Presion_cilindro!$B$34))/Presion_cilindro!$B$35)^(Presion_cilindro!$B$17+1)),0)-IF(Presion_cilindro!N696&gt;(-F$4+Presion_cilindro!$B$34),1-EXP(-Presion_cilindro!$B$16*((Presion_cilindro!N696-(-F$4+Presion_cilindro!$B$34))/Presion_cilindro!$B$35)^(Presion_cilindro!$B$17+1)),0))/((Presion_cilindro!O696+Presion_cilindro!O697)/2)</f>
        <v>2.3467604688422012</v>
      </c>
      <c r="G705" s="27">
        <f>G704*(Presion_cilindro!O696/Presion_cilindro!O697)^Presion_cilindro!$B$9+10*(Presion_cilindro!$B$9-1)*Presion_cilindro!$B$33*(IF(Presion_cilindro!N697&gt;(-G$4+Presion_cilindro!$B$34),1-EXP(-Presion_cilindro!$B$16*((Presion_cilindro!N697-(-G$4+Presion_cilindro!$B$34))/Presion_cilindro!$B$35)^(Presion_cilindro!$B$17+1)),0)-IF(Presion_cilindro!N696&gt;(-G$4+Presion_cilindro!$B$34),1-EXP(-Presion_cilindro!$B$16*((Presion_cilindro!N696-(-G$4+Presion_cilindro!$B$34))/Presion_cilindro!$B$35)^(Presion_cilindro!$B$17+1)),0))/((Presion_cilindro!O696+Presion_cilindro!O697)/2)</f>
        <v>2.3056787013332918</v>
      </c>
      <c r="H705" s="27">
        <f>H704*(Presion_cilindro!O696/Presion_cilindro!O697)^Presion_cilindro!$B$9+10*(Presion_cilindro!$B$9-1)*Presion_cilindro!$B$33*(IF(Presion_cilindro!N697&gt;(-H$4+Presion_cilindro!$B$34),1-EXP(-Presion_cilindro!$B$16*((Presion_cilindro!N697-(-H$4+Presion_cilindro!$B$34))/Presion_cilindro!$B$35)^(Presion_cilindro!$B$17+1)),0)-IF(Presion_cilindro!N696&gt;(-H$4+Presion_cilindro!$B$34),1-EXP(-Presion_cilindro!$B$16*((Presion_cilindro!N696-(-H$4+Presion_cilindro!$B$34))/Presion_cilindro!$B$35)^(Presion_cilindro!$B$17+1)),0))/((Presion_cilindro!O696+Presion_cilindro!O697)/2)</f>
        <v>2.2814451119877477</v>
      </c>
      <c r="I705" s="27">
        <f>I704*(Presion_cilindro!O696/Presion_cilindro!O697)^Presion_cilindro!$B$9+10*(Presion_cilindro!$B$9-1)*Presion_cilindro!$B$33*(IF(Presion_cilindro!N697&gt;(-I$4+Presion_cilindro!$B$34),1-EXP(-Presion_cilindro!$B$16*((Presion_cilindro!N697-(-I$4+Presion_cilindro!$B$34))/Presion_cilindro!$B$35)^(Presion_cilindro!$B$17+1)),0)-IF(Presion_cilindro!N696&gt;(-I$4+Presion_cilindro!$B$34),1-EXP(-Presion_cilindro!$B$16*((Presion_cilindro!N696-(-I$4+Presion_cilindro!$B$34))/Presion_cilindro!$B$35)^(Presion_cilindro!$B$17+1)),0))/((Presion_cilindro!O696+Presion_cilindro!O697)/2)</f>
        <v>2.2756321499724557</v>
      </c>
      <c r="J705" s="27">
        <f>J704*(Presion_cilindro!O696/Presion_cilindro!O697)^Presion_cilindro!$B$9+10*(Presion_cilindro!$B$9-1)*Presion_cilindro!$B$33*(IF(Presion_cilindro!N697&gt;(-J$4+Presion_cilindro!$B$34),1-EXP(-Presion_cilindro!$B$16*((Presion_cilindro!N697-(-J$4+Presion_cilindro!$B$34))/Presion_cilindro!$B$35)^(Presion_cilindro!$B$17+1)),0)-IF(Presion_cilindro!N696&gt;(-J$4+Presion_cilindro!$B$34),1-EXP(-Presion_cilindro!$B$16*((Presion_cilindro!N696-(-J$4+Presion_cilindro!$B$34))/Presion_cilindro!$B$35)^(Presion_cilindro!$B$17+1)),0))/((Presion_cilindro!O696+Presion_cilindro!O697)/2)</f>
        <v>2.2886018583672758</v>
      </c>
      <c r="K705" s="27">
        <f>K704*(Presion_cilindro!O696/Presion_cilindro!O697)^Presion_cilindro!$B$9+10*(Presion_cilindro!$B$9-1)*Presion_cilindro!$B$33*(IF(Presion_cilindro!N697&gt;(-K$4+Presion_cilindro!$B$34),1-EXP(-Presion_cilindro!$B$16*((Presion_cilindro!N697-(-K$4+Presion_cilindro!$B$34))/Presion_cilindro!$B$35)^(Presion_cilindro!$B$17+1)),0)-IF(Presion_cilindro!N696&gt;(-K$4+Presion_cilindro!$B$34),1-EXP(-Presion_cilindro!$B$16*((Presion_cilindro!N696-(-K$4+Presion_cilindro!$B$34))/Presion_cilindro!$B$35)^(Presion_cilindro!$B$17+1)),0))/((Presion_cilindro!O696+Presion_cilindro!O697)/2)</f>
        <v>2.3194430403995208</v>
      </c>
      <c r="L705" s="27">
        <f>L704*(Presion_cilindro!O696/Presion_cilindro!O697)^Presion_cilindro!$B$9+10*(Presion_cilindro!$B$9-1)*Presion_cilindro!$B$33*(IF(Presion_cilindro!N697&gt;(-L$4+Presion_cilindro!$B$34),1-EXP(-Presion_cilindro!$B$16*((Presion_cilindro!N697-(-L$4+Presion_cilindro!$B$34))/Presion_cilindro!$B$35)^(Presion_cilindro!$B$17+1)),0)-IF(Presion_cilindro!N696&gt;(-L$4+Presion_cilindro!$B$34),1-EXP(-Presion_cilindro!$B$16*((Presion_cilindro!N696-(-L$4+Presion_cilindro!$B$34))/Presion_cilindro!$B$35)^(Presion_cilindro!$B$17+1)),0))/((Presion_cilindro!O696+Presion_cilindro!O697)/2)</f>
        <v>2.3661596345587035</v>
      </c>
      <c r="M705" s="27">
        <f>M704*(Presion_cilindro!O696/Presion_cilindro!O697)^Presion_cilindro!$B$9+10*(Presion_cilindro!$B$9-1)*Presion_cilindro!$B$33*(IF(Presion_cilindro!N697&gt;(-M$4+Presion_cilindro!$B$34),1-EXP(-Presion_cilindro!$B$16*((Presion_cilindro!N697-(-M$4+Presion_cilindro!$B$34))/Presion_cilindro!$B$35)^(Presion_cilindro!$B$17+1)),0)-IF(Presion_cilindro!N696&gt;(-M$4+Presion_cilindro!$B$34),1-EXP(-Presion_cilindro!$B$16*((Presion_cilindro!N696-(-M$4+Presion_cilindro!$B$34))/Presion_cilindro!$B$35)^(Presion_cilindro!$B$17+1)),0))/((Presion_cilindro!O696+Presion_cilindro!O697)/2)</f>
        <v>2.4260390498712319</v>
      </c>
      <c r="N705" s="27">
        <f>N704*(Presion_cilindro!O696/Presion_cilindro!O697)^Presion_cilindro!$B$9+10*(Presion_cilindro!$B$9-1)*Presion_cilindro!$B$33*(IF(Presion_cilindro!N697&gt;(-N$4+Presion_cilindro!$B$34),1-EXP(-Presion_cilindro!$B$16*((Presion_cilindro!N697-(-N$4+Presion_cilindro!$B$34))/Presion_cilindro!$B$35)^(Presion_cilindro!$B$17+1)),0)-IF(Presion_cilindro!N696&gt;(-N$4+Presion_cilindro!$B$34),1-EXP(-Presion_cilindro!$B$16*((Presion_cilindro!N696-(-N$4+Presion_cilindro!$B$34))/Presion_cilindro!$B$35)^(Presion_cilindro!$B$17+1)),0))/((Presion_cilindro!O696+Presion_cilindro!O697)/2)</f>
        <v>2.4960775849445072</v>
      </c>
    </row>
    <row r="706" spans="1:14" x14ac:dyDescent="0.25">
      <c r="A706" s="21">
        <f>Presion_cilindro!N698</f>
        <v>167</v>
      </c>
      <c r="B706" s="27">
        <f>B705*(Presion_cilindro!O697/Presion_cilindro!O698)^Presion_cilindro!$B$9+10*(Presion_cilindro!$B$9-1)*Presion_cilindro!$B$33*(IF(Presion_cilindro!N698&gt;(-B$4+Presion_cilindro!$B$34),1-EXP(-Presion_cilindro!$B$16*((Presion_cilindro!N698-(-B$4+Presion_cilindro!$B$34))/Presion_cilindro!$B$35)^(Presion_cilindro!$B$17+1)),0)-IF(Presion_cilindro!N697&gt;(-B$4+Presion_cilindro!$B$34),1-EXP(-Presion_cilindro!$B$16*((Presion_cilindro!N697-(-B$4+Presion_cilindro!$B$34))/Presion_cilindro!$B$35)^(Presion_cilindro!$B$17+1)),0))/((Presion_cilindro!O697+Presion_cilindro!O698)/2)</f>
        <v>2.6225985990424676</v>
      </c>
      <c r="C706" s="27">
        <f>C705*(Presion_cilindro!O697/Presion_cilindro!O698)^Presion_cilindro!$B$9+10*(Presion_cilindro!$B$9-1)*Presion_cilindro!$B$33*(IF(Presion_cilindro!N698&gt;(-C$4+Presion_cilindro!$B$34),1-EXP(-Presion_cilindro!$B$16*((Presion_cilindro!N698-(-C$4+Presion_cilindro!$B$34))/Presion_cilindro!$B$35)^(Presion_cilindro!$B$17+1)),0)-IF(Presion_cilindro!N697&gt;(-C$4+Presion_cilindro!$B$34),1-EXP(-Presion_cilindro!$B$16*((Presion_cilindro!N697-(-C$4+Presion_cilindro!$B$34))/Presion_cilindro!$B$35)^(Presion_cilindro!$B$17+1)),0))/((Presion_cilindro!O697+Presion_cilindro!O698)/2)</f>
        <v>2.5419700525587281</v>
      </c>
      <c r="D706" s="27">
        <f>D705*(Presion_cilindro!O697/Presion_cilindro!O698)^Presion_cilindro!$B$9+10*(Presion_cilindro!$B$9-1)*Presion_cilindro!$B$33*(IF(Presion_cilindro!N698&gt;(-D$4+Presion_cilindro!$B$34),1-EXP(-Presion_cilindro!$B$16*((Presion_cilindro!N698-(-D$4+Presion_cilindro!$B$34))/Presion_cilindro!$B$35)^(Presion_cilindro!$B$17+1)),0)-IF(Presion_cilindro!N697&gt;(-D$4+Presion_cilindro!$B$34),1-EXP(-Presion_cilindro!$B$16*((Presion_cilindro!N697-(-D$4+Presion_cilindro!$B$34))/Presion_cilindro!$B$35)^(Presion_cilindro!$B$17+1)),0))/((Presion_cilindro!O697+Presion_cilindro!O698)/2)</f>
        <v>2.4668763440377202</v>
      </c>
      <c r="E706" s="27">
        <f>E705*(Presion_cilindro!O697/Presion_cilindro!O698)^Presion_cilindro!$B$9+10*(Presion_cilindro!$B$9-1)*Presion_cilindro!$B$33*(IF(Presion_cilindro!N698&gt;(-E$4+Presion_cilindro!$B$34),1-EXP(-Presion_cilindro!$B$16*((Presion_cilindro!N698-(-E$4+Presion_cilindro!$B$34))/Presion_cilindro!$B$35)^(Presion_cilindro!$B$17+1)),0)-IF(Presion_cilindro!N697&gt;(-E$4+Presion_cilindro!$B$34),1-EXP(-Presion_cilindro!$B$16*((Presion_cilindro!N697-(-E$4+Presion_cilindro!$B$34))/Presion_cilindro!$B$35)^(Presion_cilindro!$B$17+1)),0))/((Presion_cilindro!O697+Presion_cilindro!O698)/2)</f>
        <v>2.4001110534897916</v>
      </c>
      <c r="F706" s="27">
        <f>F705*(Presion_cilindro!O697/Presion_cilindro!O698)^Presion_cilindro!$B$9+10*(Presion_cilindro!$B$9-1)*Presion_cilindro!$B$33*(IF(Presion_cilindro!N698&gt;(-F$4+Presion_cilindro!$B$34),1-EXP(-Presion_cilindro!$B$16*((Presion_cilindro!N698-(-F$4+Presion_cilindro!$B$34))/Presion_cilindro!$B$35)^(Presion_cilindro!$B$17+1)),0)-IF(Presion_cilindro!N697&gt;(-F$4+Presion_cilindro!$B$34),1-EXP(-Presion_cilindro!$B$16*((Presion_cilindro!N697-(-F$4+Presion_cilindro!$B$34))/Presion_cilindro!$B$35)^(Presion_cilindro!$B$17+1)),0))/((Presion_cilindro!O697+Presion_cilindro!O698)/2)</f>
        <v>2.3447174591726991</v>
      </c>
      <c r="G706" s="27">
        <f>G705*(Presion_cilindro!O697/Presion_cilindro!O698)^Presion_cilindro!$B$9+10*(Presion_cilindro!$B$9-1)*Presion_cilindro!$B$33*(IF(Presion_cilindro!N698&gt;(-G$4+Presion_cilindro!$B$34),1-EXP(-Presion_cilindro!$B$16*((Presion_cilindro!N698-(-G$4+Presion_cilindro!$B$34))/Presion_cilindro!$B$35)^(Presion_cilindro!$B$17+1)),0)-IF(Presion_cilindro!N697&gt;(-G$4+Presion_cilindro!$B$34),1-EXP(-Presion_cilindro!$B$16*((Presion_cilindro!N697-(-G$4+Presion_cilindro!$B$34))/Presion_cilindro!$B$35)^(Presion_cilindro!$B$17+1)),0))/((Presion_cilindro!O697+Presion_cilindro!O698)/2)</f>
        <v>2.3036714560502176</v>
      </c>
      <c r="H706" s="27">
        <f>H705*(Presion_cilindro!O697/Presion_cilindro!O698)^Presion_cilindro!$B$9+10*(Presion_cilindro!$B$9-1)*Presion_cilindro!$B$33*(IF(Presion_cilindro!N698&gt;(-H$4+Presion_cilindro!$B$34),1-EXP(-Presion_cilindro!$B$16*((Presion_cilindro!N698-(-H$4+Presion_cilindro!$B$34))/Presion_cilindro!$B$35)^(Presion_cilindro!$B$17+1)),0)-IF(Presion_cilindro!N697&gt;(-H$4+Presion_cilindro!$B$34),1-EXP(-Presion_cilindro!$B$16*((Presion_cilindro!N697-(-H$4+Presion_cilindro!$B$34))/Presion_cilindro!$B$35)^(Presion_cilindro!$B$17+1)),0))/((Presion_cilindro!O697+Presion_cilindro!O698)/2)</f>
        <v>2.2794589636415004</v>
      </c>
      <c r="I706" s="27">
        <f>I705*(Presion_cilindro!O697/Presion_cilindro!O698)^Presion_cilindro!$B$9+10*(Presion_cilindro!$B$9-1)*Presion_cilindro!$B$33*(IF(Presion_cilindro!N698&gt;(-I$4+Presion_cilindro!$B$34),1-EXP(-Presion_cilindro!$B$16*((Presion_cilindro!N698-(-I$4+Presion_cilindro!$B$34))/Presion_cilindro!$B$35)^(Presion_cilindro!$B$17+1)),0)-IF(Presion_cilindro!N697&gt;(-I$4+Presion_cilindro!$B$34),1-EXP(-Presion_cilindro!$B$16*((Presion_cilindro!N697-(-I$4+Presion_cilindro!$B$34))/Presion_cilindro!$B$35)^(Presion_cilindro!$B$17+1)),0))/((Presion_cilindro!O697+Presion_cilindro!O698)/2)</f>
        <v>2.273651062192791</v>
      </c>
      <c r="J706" s="27">
        <f>J705*(Presion_cilindro!O697/Presion_cilindro!O698)^Presion_cilindro!$B$9+10*(Presion_cilindro!$B$9-1)*Presion_cilindro!$B$33*(IF(Presion_cilindro!N698&gt;(-J$4+Presion_cilindro!$B$34),1-EXP(-Presion_cilindro!$B$16*((Presion_cilindro!N698-(-J$4+Presion_cilindro!$B$34))/Presion_cilindro!$B$35)^(Presion_cilindro!$B$17+1)),0)-IF(Presion_cilindro!N697&gt;(-J$4+Presion_cilindro!$B$34),1-EXP(-Presion_cilindro!$B$16*((Presion_cilindro!N697-(-J$4+Presion_cilindro!$B$34))/Presion_cilindro!$B$35)^(Presion_cilindro!$B$17+1)),0))/((Presion_cilindro!O697+Presion_cilindro!O698)/2)</f>
        <v>2.2866094796015846</v>
      </c>
      <c r="K706" s="27">
        <f>K705*(Presion_cilindro!O697/Presion_cilindro!O698)^Presion_cilindro!$B$9+10*(Presion_cilindro!$B$9-1)*Presion_cilindro!$B$33*(IF(Presion_cilindro!N698&gt;(-K$4+Presion_cilindro!$B$34),1-EXP(-Presion_cilindro!$B$16*((Presion_cilindro!N698-(-K$4+Presion_cilindro!$B$34))/Presion_cilindro!$B$35)^(Presion_cilindro!$B$17+1)),0)-IF(Presion_cilindro!N697&gt;(-K$4+Presion_cilindro!$B$34),1-EXP(-Presion_cilindro!$B$16*((Presion_cilindro!N697-(-K$4+Presion_cilindro!$B$34))/Presion_cilindro!$B$35)^(Presion_cilindro!$B$17+1)),0))/((Presion_cilindro!O697+Presion_cilindro!O698)/2)</f>
        <v>2.3174238123520441</v>
      </c>
      <c r="L706" s="27">
        <f>L705*(Presion_cilindro!O697/Presion_cilindro!O698)^Presion_cilindro!$B$9+10*(Presion_cilindro!$B$9-1)*Presion_cilindro!$B$33*(IF(Presion_cilindro!N698&gt;(-L$4+Presion_cilindro!$B$34),1-EXP(-Presion_cilindro!$B$16*((Presion_cilindro!N698-(-L$4+Presion_cilindro!$B$34))/Presion_cilindro!$B$35)^(Presion_cilindro!$B$17+1)),0)-IF(Presion_cilindro!N697&gt;(-L$4+Presion_cilindro!$B$34),1-EXP(-Presion_cilindro!$B$16*((Presion_cilindro!N697-(-L$4+Presion_cilindro!$B$34))/Presion_cilindro!$B$35)^(Presion_cilindro!$B$17+1)),0))/((Presion_cilindro!O697+Presion_cilindro!O698)/2)</f>
        <v>2.3640997366367933</v>
      </c>
      <c r="M706" s="27">
        <f>M705*(Presion_cilindro!O697/Presion_cilindro!O698)^Presion_cilindro!$B$9+10*(Presion_cilindro!$B$9-1)*Presion_cilindro!$B$33*(IF(Presion_cilindro!N698&gt;(-M$4+Presion_cilindro!$B$34),1-EXP(-Presion_cilindro!$B$16*((Presion_cilindro!N698-(-M$4+Presion_cilindro!$B$34))/Presion_cilindro!$B$35)^(Presion_cilindro!$B$17+1)),0)-IF(Presion_cilindro!N697&gt;(-M$4+Presion_cilindro!$B$34),1-EXP(-Presion_cilindro!$B$16*((Presion_cilindro!N697-(-M$4+Presion_cilindro!$B$34))/Presion_cilindro!$B$35)^(Presion_cilindro!$B$17+1)),0))/((Presion_cilindro!O697+Presion_cilindro!O698)/2)</f>
        <v>2.4239270229714767</v>
      </c>
      <c r="N706" s="27">
        <f>N705*(Presion_cilindro!O697/Presion_cilindro!O698)^Presion_cilindro!$B$9+10*(Presion_cilindro!$B$9-1)*Presion_cilindro!$B$33*(IF(Presion_cilindro!N698&gt;(-N$4+Presion_cilindro!$B$34),1-EXP(-Presion_cilindro!$B$16*((Presion_cilindro!N698-(-N$4+Presion_cilindro!$B$34))/Presion_cilindro!$B$35)^(Presion_cilindro!$B$17+1)),0)-IF(Presion_cilindro!N697&gt;(-N$4+Presion_cilindro!$B$34),1-EXP(-Presion_cilindro!$B$16*((Presion_cilindro!N697-(-N$4+Presion_cilindro!$B$34))/Presion_cilindro!$B$35)^(Presion_cilindro!$B$17+1)),0))/((Presion_cilindro!O697+Presion_cilindro!O698)/2)</f>
        <v>2.4939045848835404</v>
      </c>
    </row>
    <row r="707" spans="1:14" x14ac:dyDescent="0.25">
      <c r="A707" s="21">
        <f>Presion_cilindro!N699</f>
        <v>167.5</v>
      </c>
      <c r="B707" s="27">
        <f>B706*(Presion_cilindro!O698/Presion_cilindro!O699)^Presion_cilindro!$B$9+10*(Presion_cilindro!$B$9-1)*Presion_cilindro!$B$33*(IF(Presion_cilindro!N699&gt;(-B$4+Presion_cilindro!$B$34),1-EXP(-Presion_cilindro!$B$16*((Presion_cilindro!N699-(-B$4+Presion_cilindro!$B$34))/Presion_cilindro!$B$35)^(Presion_cilindro!$B$17+1)),0)-IF(Presion_cilindro!N698&gt;(-B$4+Presion_cilindro!$B$34),1-EXP(-Presion_cilindro!$B$16*((Presion_cilindro!N698-(-B$4+Presion_cilindro!$B$34))/Presion_cilindro!$B$35)^(Presion_cilindro!$B$17+1)),0))/((Presion_cilindro!O698+Presion_cilindro!O699)/2)</f>
        <v>2.6204031085319053</v>
      </c>
      <c r="C707" s="27">
        <f>C706*(Presion_cilindro!O698/Presion_cilindro!O699)^Presion_cilindro!$B$9+10*(Presion_cilindro!$B$9-1)*Presion_cilindro!$B$33*(IF(Presion_cilindro!N699&gt;(-C$4+Presion_cilindro!$B$34),1-EXP(-Presion_cilindro!$B$16*((Presion_cilindro!N699-(-C$4+Presion_cilindro!$B$34))/Presion_cilindro!$B$35)^(Presion_cilindro!$B$17+1)),0)-IF(Presion_cilindro!N698&gt;(-C$4+Presion_cilindro!$B$34),1-EXP(-Presion_cilindro!$B$16*((Presion_cilindro!N698-(-C$4+Presion_cilindro!$B$34))/Presion_cilindro!$B$35)^(Presion_cilindro!$B$17+1)),0))/((Presion_cilindro!O698+Presion_cilindro!O699)/2)</f>
        <v>2.5398420596853377</v>
      </c>
      <c r="D707" s="27">
        <f>D706*(Presion_cilindro!O698/Presion_cilindro!O699)^Presion_cilindro!$B$9+10*(Presion_cilindro!$B$9-1)*Presion_cilindro!$B$33*(IF(Presion_cilindro!N699&gt;(-D$4+Presion_cilindro!$B$34),1-EXP(-Presion_cilindro!$B$16*((Presion_cilindro!N699-(-D$4+Presion_cilindro!$B$34))/Presion_cilindro!$B$35)^(Presion_cilindro!$B$17+1)),0)-IF(Presion_cilindro!N698&gt;(-D$4+Presion_cilindro!$B$34),1-EXP(-Presion_cilindro!$B$16*((Presion_cilindro!N698-(-D$4+Presion_cilindro!$B$34))/Presion_cilindro!$B$35)^(Presion_cilindro!$B$17+1)),0))/((Presion_cilindro!O698+Presion_cilindro!O699)/2)</f>
        <v>2.4648112153496919</v>
      </c>
      <c r="E707" s="27">
        <f>E706*(Presion_cilindro!O698/Presion_cilindro!O699)^Presion_cilindro!$B$9+10*(Presion_cilindro!$B$9-1)*Presion_cilindro!$B$33*(IF(Presion_cilindro!N699&gt;(-E$4+Presion_cilindro!$B$34),1-EXP(-Presion_cilindro!$B$16*((Presion_cilindro!N699-(-E$4+Presion_cilindro!$B$34))/Presion_cilindro!$B$35)^(Presion_cilindro!$B$17+1)),0)-IF(Presion_cilindro!N698&gt;(-E$4+Presion_cilindro!$B$34),1-EXP(-Presion_cilindro!$B$16*((Presion_cilindro!N698-(-E$4+Presion_cilindro!$B$34))/Presion_cilindro!$B$35)^(Presion_cilindro!$B$17+1)),0))/((Presion_cilindro!O698+Presion_cilindro!O699)/2)</f>
        <v>2.3981018169088846</v>
      </c>
      <c r="F707" s="27">
        <f>F706*(Presion_cilindro!O698/Presion_cilindro!O699)^Presion_cilindro!$B$9+10*(Presion_cilindro!$B$9-1)*Presion_cilindro!$B$33*(IF(Presion_cilindro!N699&gt;(-F$4+Presion_cilindro!$B$34),1-EXP(-Presion_cilindro!$B$16*((Presion_cilindro!N699-(-F$4+Presion_cilindro!$B$34))/Presion_cilindro!$B$35)^(Presion_cilindro!$B$17+1)),0)-IF(Presion_cilindro!N698&gt;(-F$4+Presion_cilindro!$B$34),1-EXP(-Presion_cilindro!$B$16*((Presion_cilindro!N698-(-F$4+Presion_cilindro!$B$34))/Presion_cilindro!$B$35)^(Presion_cilindro!$B$17+1)),0))/((Presion_cilindro!O698+Presion_cilindro!O699)/2)</f>
        <v>2.3427545949610571</v>
      </c>
      <c r="G707" s="27">
        <f>G706*(Presion_cilindro!O698/Presion_cilindro!O699)^Presion_cilindro!$B$9+10*(Presion_cilindro!$B$9-1)*Presion_cilindro!$B$33*(IF(Presion_cilindro!N699&gt;(-G$4+Presion_cilindro!$B$34),1-EXP(-Presion_cilindro!$B$16*((Presion_cilindro!N699-(-G$4+Presion_cilindro!$B$34))/Presion_cilindro!$B$35)^(Presion_cilindro!$B$17+1)),0)-IF(Presion_cilindro!N698&gt;(-G$4+Presion_cilindro!$B$34),1-EXP(-Presion_cilindro!$B$16*((Presion_cilindro!N698-(-G$4+Presion_cilindro!$B$34))/Presion_cilindro!$B$35)^(Presion_cilindro!$B$17+1)),0))/((Presion_cilindro!O698+Presion_cilindro!O699)/2)</f>
        <v>2.301742953219835</v>
      </c>
      <c r="H707" s="27">
        <f>H706*(Presion_cilindro!O698/Presion_cilindro!O699)^Presion_cilindro!$B$9+10*(Presion_cilindro!$B$9-1)*Presion_cilindro!$B$33*(IF(Presion_cilindro!N699&gt;(-H$4+Presion_cilindro!$B$34),1-EXP(-Presion_cilindro!$B$16*((Presion_cilindro!N699-(-H$4+Presion_cilindro!$B$34))/Presion_cilindro!$B$35)^(Presion_cilindro!$B$17+1)),0)-IF(Presion_cilindro!N698&gt;(-H$4+Presion_cilindro!$B$34),1-EXP(-Presion_cilindro!$B$16*((Presion_cilindro!N698-(-H$4+Presion_cilindro!$B$34))/Presion_cilindro!$B$35)^(Presion_cilindro!$B$17+1)),0))/((Presion_cilindro!O698+Presion_cilindro!O699)/2)</f>
        <v>2.2775507301338189</v>
      </c>
      <c r="I707" s="27">
        <f>I706*(Presion_cilindro!O698/Presion_cilindro!O699)^Presion_cilindro!$B$9+10*(Presion_cilindro!$B$9-1)*Presion_cilindro!$B$33*(IF(Presion_cilindro!N699&gt;(-I$4+Presion_cilindro!$B$34),1-EXP(-Presion_cilindro!$B$16*((Presion_cilindro!N699-(-I$4+Presion_cilindro!$B$34))/Presion_cilindro!$B$35)^(Presion_cilindro!$B$17+1)),0)-IF(Presion_cilindro!N698&gt;(-I$4+Presion_cilindro!$B$34),1-EXP(-Presion_cilindro!$B$16*((Presion_cilindro!N698-(-I$4+Presion_cilindro!$B$34))/Presion_cilindro!$B$35)^(Presion_cilindro!$B$17+1)),0))/((Presion_cilindro!O698+Presion_cilindro!O699)/2)</f>
        <v>2.2717476907301521</v>
      </c>
      <c r="J707" s="27">
        <f>J706*(Presion_cilindro!O698/Presion_cilindro!O699)^Presion_cilindro!$B$9+10*(Presion_cilindro!$B$9-1)*Presion_cilindro!$B$33*(IF(Presion_cilindro!N699&gt;(-J$4+Presion_cilindro!$B$34),1-EXP(-Presion_cilindro!$B$16*((Presion_cilindro!N699-(-J$4+Presion_cilindro!$B$34))/Presion_cilindro!$B$35)^(Presion_cilindro!$B$17+1)),0)-IF(Presion_cilindro!N698&gt;(-J$4+Presion_cilindro!$B$34),1-EXP(-Presion_cilindro!$B$16*((Presion_cilindro!N698-(-J$4+Presion_cilindro!$B$34))/Presion_cilindro!$B$35)^(Presion_cilindro!$B$17+1)),0))/((Presion_cilindro!O698+Presion_cilindro!O699)/2)</f>
        <v>2.2846952600882897</v>
      </c>
      <c r="K707" s="27">
        <f>K706*(Presion_cilindro!O698/Presion_cilindro!O699)^Presion_cilindro!$B$9+10*(Presion_cilindro!$B$9-1)*Presion_cilindro!$B$33*(IF(Presion_cilindro!N699&gt;(-K$4+Presion_cilindro!$B$34),1-EXP(-Presion_cilindro!$B$16*((Presion_cilindro!N699-(-K$4+Presion_cilindro!$B$34))/Presion_cilindro!$B$35)^(Presion_cilindro!$B$17+1)),0)-IF(Presion_cilindro!N698&gt;(-K$4+Presion_cilindro!$B$34),1-EXP(-Presion_cilindro!$B$16*((Presion_cilindro!N698-(-K$4+Presion_cilindro!$B$34))/Presion_cilindro!$B$35)^(Presion_cilindro!$B$17+1)),0))/((Presion_cilindro!O698+Presion_cilindro!O699)/2)</f>
        <v>2.315483796830482</v>
      </c>
      <c r="L707" s="27">
        <f>L706*(Presion_cilindro!O698/Presion_cilindro!O699)^Presion_cilindro!$B$9+10*(Presion_cilindro!$B$9-1)*Presion_cilindro!$B$33*(IF(Presion_cilindro!N699&gt;(-L$4+Presion_cilindro!$B$34),1-EXP(-Presion_cilindro!$B$16*((Presion_cilindro!N699-(-L$4+Presion_cilindro!$B$34))/Presion_cilindro!$B$35)^(Presion_cilindro!$B$17+1)),0)-IF(Presion_cilindro!N698&gt;(-L$4+Presion_cilindro!$B$34),1-EXP(-Presion_cilindro!$B$16*((Presion_cilindro!N698-(-L$4+Presion_cilindro!$B$34))/Presion_cilindro!$B$35)^(Presion_cilindro!$B$17+1)),0))/((Presion_cilindro!O698+Presion_cilindro!O699)/2)</f>
        <v>2.3621206466839109</v>
      </c>
      <c r="M707" s="27">
        <f>M706*(Presion_cilindro!O698/Presion_cilindro!O699)^Presion_cilindro!$B$9+10*(Presion_cilindro!$B$9-1)*Presion_cilindro!$B$33*(IF(Presion_cilindro!N699&gt;(-M$4+Presion_cilindro!$B$34),1-EXP(-Presion_cilindro!$B$16*((Presion_cilindro!N699-(-M$4+Presion_cilindro!$B$34))/Presion_cilindro!$B$35)^(Presion_cilindro!$B$17+1)),0)-IF(Presion_cilindro!N698&gt;(-M$4+Presion_cilindro!$B$34),1-EXP(-Presion_cilindro!$B$16*((Presion_cilindro!N698-(-M$4+Presion_cilindro!$B$34))/Presion_cilindro!$B$35)^(Presion_cilindro!$B$17+1)),0))/((Presion_cilindro!O698+Presion_cilindro!O699)/2)</f>
        <v>2.421897849014329</v>
      </c>
      <c r="N707" s="27">
        <f>N706*(Presion_cilindro!O698/Presion_cilindro!O699)^Presion_cilindro!$B$9+10*(Presion_cilindro!$B$9-1)*Presion_cilindro!$B$33*(IF(Presion_cilindro!N699&gt;(-N$4+Presion_cilindro!$B$34),1-EXP(-Presion_cilindro!$B$16*((Presion_cilindro!N699-(-N$4+Presion_cilindro!$B$34))/Presion_cilindro!$B$35)^(Presion_cilindro!$B$17+1)),0)-IF(Presion_cilindro!N698&gt;(-N$4+Presion_cilindro!$B$34),1-EXP(-Presion_cilindro!$B$16*((Presion_cilindro!N698-(-N$4+Presion_cilindro!$B$34))/Presion_cilindro!$B$35)^(Presion_cilindro!$B$17+1)),0))/((Presion_cilindro!O698+Presion_cilindro!O699)/2)</f>
        <v>2.4918168296882319</v>
      </c>
    </row>
    <row r="708" spans="1:14" x14ac:dyDescent="0.25">
      <c r="A708" s="21">
        <f>Presion_cilindro!N700</f>
        <v>168</v>
      </c>
      <c r="B708" s="27">
        <f>B707*(Presion_cilindro!O699/Presion_cilindro!O700)^Presion_cilindro!$B$9+10*(Presion_cilindro!$B$9-1)*Presion_cilindro!$B$33*(IF(Presion_cilindro!N700&gt;(-B$4+Presion_cilindro!$B$34),1-EXP(-Presion_cilindro!$B$16*((Presion_cilindro!N700-(-B$4+Presion_cilindro!$B$34))/Presion_cilindro!$B$35)^(Presion_cilindro!$B$17+1)),0)-IF(Presion_cilindro!N699&gt;(-B$4+Presion_cilindro!$B$34),1-EXP(-Presion_cilindro!$B$16*((Presion_cilindro!N699-(-B$4+Presion_cilindro!$B$34))/Presion_cilindro!$B$35)^(Presion_cilindro!$B$17+1)),0))/((Presion_cilindro!O699+Presion_cilindro!O700)/2)</f>
        <v>2.6182968628607592</v>
      </c>
      <c r="C708" s="27">
        <f>C707*(Presion_cilindro!O699/Presion_cilindro!O700)^Presion_cilindro!$B$9+10*(Presion_cilindro!$B$9-1)*Presion_cilindro!$B$33*(IF(Presion_cilindro!N700&gt;(-C$4+Presion_cilindro!$B$34),1-EXP(-Presion_cilindro!$B$16*((Presion_cilindro!N700-(-C$4+Presion_cilindro!$B$34))/Presion_cilindro!$B$35)^(Presion_cilindro!$B$17+1)),0)-IF(Presion_cilindro!N699&gt;(-C$4+Presion_cilindro!$B$34),1-EXP(-Presion_cilindro!$B$16*((Presion_cilindro!N699-(-C$4+Presion_cilindro!$B$34))/Presion_cilindro!$B$35)^(Presion_cilindro!$B$17+1)),0))/((Presion_cilindro!O699+Presion_cilindro!O700)/2)</f>
        <v>2.5378005679292834</v>
      </c>
      <c r="D708" s="27">
        <f>D707*(Presion_cilindro!O699/Presion_cilindro!O700)^Presion_cilindro!$B$9+10*(Presion_cilindro!$B$9-1)*Presion_cilindro!$B$33*(IF(Presion_cilindro!N700&gt;(-D$4+Presion_cilindro!$B$34),1-EXP(-Presion_cilindro!$B$16*((Presion_cilindro!N700-(-D$4+Presion_cilindro!$B$34))/Presion_cilindro!$B$35)^(Presion_cilindro!$B$17+1)),0)-IF(Presion_cilindro!N699&gt;(-D$4+Presion_cilindro!$B$34),1-EXP(-Presion_cilindro!$B$16*((Presion_cilindro!N699-(-D$4+Presion_cilindro!$B$34))/Presion_cilindro!$B$35)^(Presion_cilindro!$B$17+1)),0))/((Presion_cilindro!O699+Presion_cilindro!O700)/2)</f>
        <v>2.4628300324028318</v>
      </c>
      <c r="E708" s="27">
        <f>E707*(Presion_cilindro!O699/Presion_cilindro!O700)^Presion_cilindro!$B$9+10*(Presion_cilindro!$B$9-1)*Presion_cilindro!$B$33*(IF(Presion_cilindro!N700&gt;(-E$4+Presion_cilindro!$B$34),1-EXP(-Presion_cilindro!$B$16*((Presion_cilindro!N700-(-E$4+Presion_cilindro!$B$34))/Presion_cilindro!$B$35)^(Presion_cilindro!$B$17+1)),0)-IF(Presion_cilindro!N699&gt;(-E$4+Presion_cilindro!$B$34),1-EXP(-Presion_cilindro!$B$16*((Presion_cilindro!N699-(-E$4+Presion_cilindro!$B$34))/Presion_cilindro!$B$35)^(Presion_cilindro!$B$17+1)),0))/((Presion_cilindro!O699+Presion_cilindro!O700)/2)</f>
        <v>2.3961742541020836</v>
      </c>
      <c r="F708" s="27">
        <f>F707*(Presion_cilindro!O699/Presion_cilindro!O700)^Presion_cilindro!$B$9+10*(Presion_cilindro!$B$9-1)*Presion_cilindro!$B$33*(IF(Presion_cilindro!N700&gt;(-F$4+Presion_cilindro!$B$34),1-EXP(-Presion_cilindro!$B$16*((Presion_cilindro!N700-(-F$4+Presion_cilindro!$B$34))/Presion_cilindro!$B$35)^(Presion_cilindro!$B$17+1)),0)-IF(Presion_cilindro!N699&gt;(-F$4+Presion_cilindro!$B$34),1-EXP(-Presion_cilindro!$B$16*((Presion_cilindro!N699-(-F$4+Presion_cilindro!$B$34))/Presion_cilindro!$B$35)^(Presion_cilindro!$B$17+1)),0))/((Presion_cilindro!O699+Presion_cilindro!O700)/2)</f>
        <v>2.3408715195257823</v>
      </c>
      <c r="G708" s="27">
        <f>G707*(Presion_cilindro!O699/Presion_cilindro!O700)^Presion_cilindro!$B$9+10*(Presion_cilindro!$B$9-1)*Presion_cilindro!$B$33*(IF(Presion_cilindro!N700&gt;(-G$4+Presion_cilindro!$B$34),1-EXP(-Presion_cilindro!$B$16*((Presion_cilindro!N700-(-G$4+Presion_cilindro!$B$34))/Presion_cilindro!$B$35)^(Presion_cilindro!$B$17+1)),0)-IF(Presion_cilindro!N699&gt;(-G$4+Presion_cilindro!$B$34),1-EXP(-Presion_cilindro!$B$16*((Presion_cilindro!N699-(-G$4+Presion_cilindro!$B$34))/Presion_cilindro!$B$35)^(Presion_cilindro!$B$17+1)),0))/((Presion_cilindro!O699+Presion_cilindro!O700)/2)</f>
        <v>2.2998928424046228</v>
      </c>
      <c r="H708" s="27">
        <f>H707*(Presion_cilindro!O699/Presion_cilindro!O700)^Presion_cilindro!$B$9+10*(Presion_cilindro!$B$9-1)*Presion_cilindro!$B$33*(IF(Presion_cilindro!N700&gt;(-H$4+Presion_cilindro!$B$34),1-EXP(-Presion_cilindro!$B$16*((Presion_cilindro!N700-(-H$4+Presion_cilindro!$B$34))/Presion_cilindro!$B$35)^(Presion_cilindro!$B$17+1)),0)-IF(Presion_cilindro!N699&gt;(-H$4+Presion_cilindro!$B$34),1-EXP(-Presion_cilindro!$B$16*((Presion_cilindro!N699-(-H$4+Presion_cilindro!$B$34))/Presion_cilindro!$B$35)^(Presion_cilindro!$B$17+1)),0))/((Presion_cilindro!O699+Presion_cilindro!O700)/2)</f>
        <v>2.2757200647104185</v>
      </c>
      <c r="I708" s="27">
        <f>I707*(Presion_cilindro!O699/Presion_cilindro!O700)^Presion_cilindro!$B$9+10*(Presion_cilindro!$B$9-1)*Presion_cilindro!$B$33*(IF(Presion_cilindro!N700&gt;(-I$4+Presion_cilindro!$B$34),1-EXP(-Presion_cilindro!$B$16*((Presion_cilindro!N700-(-I$4+Presion_cilindro!$B$34))/Presion_cilindro!$B$35)^(Presion_cilindro!$B$17+1)),0)-IF(Presion_cilindro!N699&gt;(-I$4+Presion_cilindro!$B$34),1-EXP(-Presion_cilindro!$B$16*((Presion_cilindro!N699-(-I$4+Presion_cilindro!$B$34))/Presion_cilindro!$B$35)^(Presion_cilindro!$B$17+1)),0))/((Presion_cilindro!O699+Presion_cilindro!O700)/2)</f>
        <v>2.26992168971376</v>
      </c>
      <c r="J708" s="27">
        <f>J707*(Presion_cilindro!O699/Presion_cilindro!O700)^Presion_cilindro!$B$9+10*(Presion_cilindro!$B$9-1)*Presion_cilindro!$B$33*(IF(Presion_cilindro!N700&gt;(-J$4+Presion_cilindro!$B$34),1-EXP(-Presion_cilindro!$B$16*((Presion_cilindro!N700-(-J$4+Presion_cilindro!$B$34))/Presion_cilindro!$B$35)^(Presion_cilindro!$B$17+1)),0)-IF(Presion_cilindro!N699&gt;(-J$4+Presion_cilindro!$B$34),1-EXP(-Presion_cilindro!$B$16*((Presion_cilindro!N699-(-J$4+Presion_cilindro!$B$34))/Presion_cilindro!$B$35)^(Presion_cilindro!$B$17+1)),0))/((Presion_cilindro!O699+Presion_cilindro!O700)/2)</f>
        <v>2.2828588519853605</v>
      </c>
      <c r="K708" s="27">
        <f>K707*(Presion_cilindro!O699/Presion_cilindro!O700)^Presion_cilindro!$B$9+10*(Presion_cilindro!$B$9-1)*Presion_cilindro!$B$33*(IF(Presion_cilindro!N700&gt;(-K$4+Presion_cilindro!$B$34),1-EXP(-Presion_cilindro!$B$16*((Presion_cilindro!N700-(-K$4+Presion_cilindro!$B$34))/Presion_cilindro!$B$35)^(Presion_cilindro!$B$17+1)),0)-IF(Presion_cilindro!N699&gt;(-K$4+Presion_cilindro!$B$34),1-EXP(-Presion_cilindro!$B$16*((Presion_cilindro!N699-(-K$4+Presion_cilindro!$B$34))/Presion_cilindro!$B$35)^(Presion_cilindro!$B$17+1)),0))/((Presion_cilindro!O699+Presion_cilindro!O700)/2)</f>
        <v>2.3136226413052867</v>
      </c>
      <c r="L708" s="27">
        <f>L707*(Presion_cilindro!O699/Presion_cilindro!O700)^Presion_cilindro!$B$9+10*(Presion_cilindro!$B$9-1)*Presion_cilindro!$B$33*(IF(Presion_cilindro!N700&gt;(-L$4+Presion_cilindro!$B$34),1-EXP(-Presion_cilindro!$B$16*((Presion_cilindro!N700-(-L$4+Presion_cilindro!$B$34))/Presion_cilindro!$B$35)^(Presion_cilindro!$B$17+1)),0)-IF(Presion_cilindro!N699&gt;(-L$4+Presion_cilindro!$B$34),1-EXP(-Presion_cilindro!$B$16*((Presion_cilindro!N699-(-L$4+Presion_cilindro!$B$34))/Presion_cilindro!$B$35)^(Presion_cilindro!$B$17+1)),0))/((Presion_cilindro!O699+Presion_cilindro!O700)/2)</f>
        <v>2.3602220050701059</v>
      </c>
      <c r="M708" s="27">
        <f>M707*(Presion_cilindro!O699/Presion_cilindro!O700)^Presion_cilindro!$B$9+10*(Presion_cilindro!$B$9-1)*Presion_cilindro!$B$33*(IF(Presion_cilindro!N700&gt;(-M$4+Presion_cilindro!$B$34),1-EXP(-Presion_cilindro!$B$16*((Presion_cilindro!N700-(-M$4+Presion_cilindro!$B$34))/Presion_cilindro!$B$35)^(Presion_cilindro!$B$17+1)),0)-IF(Presion_cilindro!N699&gt;(-M$4+Presion_cilindro!$B$34),1-EXP(-Presion_cilindro!$B$16*((Presion_cilindro!N699-(-M$4+Presion_cilindro!$B$34))/Presion_cilindro!$B$35)^(Presion_cilindro!$B$17+1)),0))/((Presion_cilindro!O699+Presion_cilindro!O700)/2)</f>
        <v>2.4199511592688334</v>
      </c>
      <c r="N708" s="27">
        <f>N707*(Presion_cilindro!O699/Presion_cilindro!O700)^Presion_cilindro!$B$9+10*(Presion_cilindro!$B$9-1)*Presion_cilindro!$B$33*(IF(Presion_cilindro!N700&gt;(-N$4+Presion_cilindro!$B$34),1-EXP(-Presion_cilindro!$B$16*((Presion_cilindro!N700-(-N$4+Presion_cilindro!$B$34))/Presion_cilindro!$B$35)^(Presion_cilindro!$B$17+1)),0)-IF(Presion_cilindro!N699&gt;(-N$4+Presion_cilindro!$B$34),1-EXP(-Presion_cilindro!$B$16*((Presion_cilindro!N699-(-N$4+Presion_cilindro!$B$34))/Presion_cilindro!$B$35)^(Presion_cilindro!$B$17+1)),0))/((Presion_cilindro!O699+Presion_cilindro!O700)/2)</f>
        <v>2.4898139399825485</v>
      </c>
    </row>
    <row r="709" spans="1:14" x14ac:dyDescent="0.25">
      <c r="A709" s="21">
        <f>Presion_cilindro!N701</f>
        <v>168.5</v>
      </c>
      <c r="B709" s="27">
        <f>B708*(Presion_cilindro!O700/Presion_cilindro!O701)^Presion_cilindro!$B$9+10*(Presion_cilindro!$B$9-1)*Presion_cilindro!$B$33*(IF(Presion_cilindro!N701&gt;(-B$4+Presion_cilindro!$B$34),1-EXP(-Presion_cilindro!$B$16*((Presion_cilindro!N701-(-B$4+Presion_cilindro!$B$34))/Presion_cilindro!$B$35)^(Presion_cilindro!$B$17+1)),0)-IF(Presion_cilindro!N700&gt;(-B$4+Presion_cilindro!$B$34),1-EXP(-Presion_cilindro!$B$16*((Presion_cilindro!N700-(-B$4+Presion_cilindro!$B$34))/Presion_cilindro!$B$35)^(Presion_cilindro!$B$17+1)),0))/((Presion_cilindro!O700+Presion_cilindro!O701)/2)</f>
        <v>2.6162794797539561</v>
      </c>
      <c r="C709" s="27">
        <f>C708*(Presion_cilindro!O700/Presion_cilindro!O701)^Presion_cilindro!$B$9+10*(Presion_cilindro!$B$9-1)*Presion_cilindro!$B$33*(IF(Presion_cilindro!N701&gt;(-C$4+Presion_cilindro!$B$34),1-EXP(-Presion_cilindro!$B$16*((Presion_cilindro!N701-(-C$4+Presion_cilindro!$B$34))/Presion_cilindro!$B$35)^(Presion_cilindro!$B$17+1)),0)-IF(Presion_cilindro!N700&gt;(-C$4+Presion_cilindro!$B$34),1-EXP(-Presion_cilindro!$B$16*((Presion_cilindro!N700-(-C$4+Presion_cilindro!$B$34))/Presion_cilindro!$B$35)^(Presion_cilindro!$B$17+1)),0))/((Presion_cilindro!O700+Presion_cilindro!O701)/2)</f>
        <v>2.5358452067680655</v>
      </c>
      <c r="D709" s="27">
        <f>D708*(Presion_cilindro!O700/Presion_cilindro!O701)^Presion_cilindro!$B$9+10*(Presion_cilindro!$B$9-1)*Presion_cilindro!$B$33*(IF(Presion_cilindro!N701&gt;(-D$4+Presion_cilindro!$B$34),1-EXP(-Presion_cilindro!$B$16*((Presion_cilindro!N701-(-D$4+Presion_cilindro!$B$34))/Presion_cilindro!$B$35)^(Presion_cilindro!$B$17+1)),0)-IF(Presion_cilindro!N700&gt;(-D$4+Presion_cilindro!$B$34),1-EXP(-Presion_cilindro!$B$16*((Presion_cilindro!N700-(-D$4+Presion_cilindro!$B$34))/Presion_cilindro!$B$35)^(Presion_cilindro!$B$17+1)),0))/((Presion_cilindro!O700+Presion_cilindro!O701)/2)</f>
        <v>2.4609324356204452</v>
      </c>
      <c r="E709" s="27">
        <f>E708*(Presion_cilindro!O700/Presion_cilindro!O701)^Presion_cilindro!$B$9+10*(Presion_cilindro!$B$9-1)*Presion_cilindro!$B$33*(IF(Presion_cilindro!N701&gt;(-E$4+Presion_cilindro!$B$34),1-EXP(-Presion_cilindro!$B$16*((Presion_cilindro!N701-(-E$4+Presion_cilindro!$B$34))/Presion_cilindro!$B$35)^(Presion_cilindro!$B$17+1)),0)-IF(Presion_cilindro!N700&gt;(-E$4+Presion_cilindro!$B$34),1-EXP(-Presion_cilindro!$B$16*((Presion_cilindro!N700-(-E$4+Presion_cilindro!$B$34))/Presion_cilindro!$B$35)^(Presion_cilindro!$B$17+1)),0))/((Presion_cilindro!O700+Presion_cilindro!O701)/2)</f>
        <v>2.394328015224533</v>
      </c>
      <c r="F709" s="27">
        <f>F708*(Presion_cilindro!O700/Presion_cilindro!O701)^Presion_cilindro!$B$9+10*(Presion_cilindro!$B$9-1)*Presion_cilindro!$B$33*(IF(Presion_cilindro!N701&gt;(-F$4+Presion_cilindro!$B$34),1-EXP(-Presion_cilindro!$B$16*((Presion_cilindro!N701-(-F$4+Presion_cilindro!$B$34))/Presion_cilindro!$B$35)^(Presion_cilindro!$B$17+1)),0)-IF(Presion_cilindro!N700&gt;(-F$4+Presion_cilindro!$B$34),1-EXP(-Presion_cilindro!$B$16*((Presion_cilindro!N700-(-F$4+Presion_cilindro!$B$34))/Presion_cilindro!$B$35)^(Presion_cilindro!$B$17+1)),0))/((Presion_cilindro!O700+Presion_cilindro!O701)/2)</f>
        <v>2.3390678910962968</v>
      </c>
      <c r="G709" s="27">
        <f>G708*(Presion_cilindro!O700/Presion_cilindro!O701)^Presion_cilindro!$B$9+10*(Presion_cilindro!$B$9-1)*Presion_cilindro!$B$33*(IF(Presion_cilindro!N701&gt;(-G$4+Presion_cilindro!$B$34),1-EXP(-Presion_cilindro!$B$16*((Presion_cilindro!N701-(-G$4+Presion_cilindro!$B$34))/Presion_cilindro!$B$35)^(Presion_cilindro!$B$17+1)),0)-IF(Presion_cilindro!N700&gt;(-G$4+Presion_cilindro!$B$34),1-EXP(-Presion_cilindro!$B$16*((Presion_cilindro!N700-(-G$4+Presion_cilindro!$B$34))/Presion_cilindro!$B$35)^(Presion_cilindro!$B$17+1)),0))/((Presion_cilindro!O700+Presion_cilindro!O701)/2)</f>
        <v>2.298120787816949</v>
      </c>
      <c r="H709" s="27">
        <f>H708*(Presion_cilindro!O700/Presion_cilindro!O701)^Presion_cilindro!$B$9+10*(Presion_cilindro!$B$9-1)*Presion_cilindro!$B$33*(IF(Presion_cilindro!N701&gt;(-H$4+Presion_cilindro!$B$34),1-EXP(-Presion_cilindro!$B$16*((Presion_cilindro!N701-(-H$4+Presion_cilindro!$B$34))/Presion_cilindro!$B$35)^(Presion_cilindro!$B$17+1)),0)-IF(Presion_cilindro!N700&gt;(-H$4+Presion_cilindro!$B$34),1-EXP(-Presion_cilindro!$B$16*((Presion_cilindro!N700-(-H$4+Presion_cilindro!$B$34))/Presion_cilindro!$B$35)^(Presion_cilindro!$B$17+1)),0))/((Presion_cilindro!O700+Presion_cilindro!O701)/2)</f>
        <v>2.2739666351129268</v>
      </c>
      <c r="I709" s="27">
        <f>I708*(Presion_cilindro!O700/Presion_cilindro!O701)^Presion_cilindro!$B$9+10*(Presion_cilindro!$B$9-1)*Presion_cilindro!$B$33*(IF(Presion_cilindro!N701&gt;(-I$4+Presion_cilindro!$B$34),1-EXP(-Presion_cilindro!$B$16*((Presion_cilindro!N701-(-I$4+Presion_cilindro!$B$34))/Presion_cilindro!$B$35)^(Presion_cilindro!$B$17+1)),0)-IF(Presion_cilindro!N700&gt;(-I$4+Presion_cilindro!$B$34),1-EXP(-Presion_cilindro!$B$16*((Presion_cilindro!N700-(-I$4+Presion_cilindro!$B$34))/Presion_cilindro!$B$35)^(Presion_cilindro!$B$17+1)),0))/((Presion_cilindro!O700+Presion_cilindro!O701)/2)</f>
        <v>2.2681727277318129</v>
      </c>
      <c r="J709" s="27">
        <f>J708*(Presion_cilindro!O700/Presion_cilindro!O701)^Presion_cilindro!$B$9+10*(Presion_cilindro!$B$9-1)*Presion_cilindro!$B$33*(IF(Presion_cilindro!N701&gt;(-J$4+Presion_cilindro!$B$34),1-EXP(-Presion_cilindro!$B$16*((Presion_cilindro!N701-(-J$4+Presion_cilindro!$B$34))/Presion_cilindro!$B$35)^(Presion_cilindro!$B$17+1)),0)-IF(Presion_cilindro!N700&gt;(-J$4+Presion_cilindro!$B$34),1-EXP(-Presion_cilindro!$B$16*((Presion_cilindro!N700-(-J$4+Presion_cilindro!$B$34))/Presion_cilindro!$B$35)^(Presion_cilindro!$B$17+1)),0))/((Presion_cilindro!O700+Presion_cilindro!O701)/2)</f>
        <v>2.2810999219921513</v>
      </c>
      <c r="K709" s="27">
        <f>K708*(Presion_cilindro!O700/Presion_cilindro!O701)^Presion_cilindro!$B$9+10*(Presion_cilindro!$B$9-1)*Presion_cilindro!$B$33*(IF(Presion_cilindro!N701&gt;(-K$4+Presion_cilindro!$B$34),1-EXP(-Presion_cilindro!$B$16*((Presion_cilindro!N701-(-K$4+Presion_cilindro!$B$34))/Presion_cilindro!$B$35)^(Presion_cilindro!$B$17+1)),0)-IF(Presion_cilindro!N700&gt;(-K$4+Presion_cilindro!$B$34),1-EXP(-Presion_cilindro!$B$16*((Presion_cilindro!N700-(-K$4+Presion_cilindro!$B$34))/Presion_cilindro!$B$35)^(Presion_cilindro!$B$17+1)),0))/((Presion_cilindro!O700+Presion_cilindro!O701)/2)</f>
        <v>2.3118400079842556</v>
      </c>
      <c r="L709" s="27">
        <f>L708*(Presion_cilindro!O700/Presion_cilindro!O701)^Presion_cilindro!$B$9+10*(Presion_cilindro!$B$9-1)*Presion_cilindro!$B$33*(IF(Presion_cilindro!N701&gt;(-L$4+Presion_cilindro!$B$34),1-EXP(-Presion_cilindro!$B$16*((Presion_cilindro!N701-(-L$4+Presion_cilindro!$B$34))/Presion_cilindro!$B$35)^(Presion_cilindro!$B$17+1)),0)-IF(Presion_cilindro!N700&gt;(-L$4+Presion_cilindro!$B$34),1-EXP(-Presion_cilindro!$B$16*((Presion_cilindro!N700-(-L$4+Presion_cilindro!$B$34))/Presion_cilindro!$B$35)^(Presion_cilindro!$B$17+1)),0))/((Presion_cilindro!O700+Presion_cilindro!O701)/2)</f>
        <v>2.3584034671996021</v>
      </c>
      <c r="M709" s="27">
        <f>M708*(Presion_cilindro!O700/Presion_cilindro!O701)^Presion_cilindro!$B$9+10*(Presion_cilindro!$B$9-1)*Presion_cilindro!$B$33*(IF(Presion_cilindro!N701&gt;(-M$4+Presion_cilindro!$B$34),1-EXP(-Presion_cilindro!$B$16*((Presion_cilindro!N701-(-M$4+Presion_cilindro!$B$34))/Presion_cilindro!$B$35)^(Presion_cilindro!$B$17+1)),0)-IF(Presion_cilindro!N700&gt;(-M$4+Presion_cilindro!$B$34),1-EXP(-Presion_cilindro!$B$16*((Presion_cilindro!N700-(-M$4+Presion_cilindro!$B$34))/Presion_cilindro!$B$35)^(Presion_cilindro!$B$17+1)),0))/((Presion_cilindro!O700+Presion_cilindro!O701)/2)</f>
        <v>2.4180866004186714</v>
      </c>
      <c r="N709" s="27">
        <f>N708*(Presion_cilindro!O700/Presion_cilindro!O701)^Presion_cilindro!$B$9+10*(Presion_cilindro!$B$9-1)*Presion_cilindro!$B$33*(IF(Presion_cilindro!N701&gt;(-N$4+Presion_cilindro!$B$34),1-EXP(-Presion_cilindro!$B$16*((Presion_cilindro!N701-(-N$4+Presion_cilindro!$B$34))/Presion_cilindro!$B$35)^(Presion_cilindro!$B$17+1)),0)-IF(Presion_cilindro!N700&gt;(-N$4+Presion_cilindro!$B$34),1-EXP(-Presion_cilindro!$B$16*((Presion_cilindro!N700-(-N$4+Presion_cilindro!$B$34))/Presion_cilindro!$B$35)^(Presion_cilindro!$B$17+1)),0))/((Presion_cilindro!O700+Presion_cilindro!O701)/2)</f>
        <v>2.4878955522501065</v>
      </c>
    </row>
    <row r="710" spans="1:14" x14ac:dyDescent="0.25">
      <c r="A710" s="21">
        <f>Presion_cilindro!N702</f>
        <v>169</v>
      </c>
      <c r="B710" s="27">
        <f>B709*(Presion_cilindro!O701/Presion_cilindro!O702)^Presion_cilindro!$B$9+10*(Presion_cilindro!$B$9-1)*Presion_cilindro!$B$33*(IF(Presion_cilindro!N702&gt;(-B$4+Presion_cilindro!$B$34),1-EXP(-Presion_cilindro!$B$16*((Presion_cilindro!N702-(-B$4+Presion_cilindro!$B$34))/Presion_cilindro!$B$35)^(Presion_cilindro!$B$17+1)),0)-IF(Presion_cilindro!N701&gt;(-B$4+Presion_cilindro!$B$34),1-EXP(-Presion_cilindro!$B$16*((Presion_cilindro!N701-(-B$4+Presion_cilindro!$B$34))/Presion_cilindro!$B$35)^(Presion_cilindro!$B$17+1)),0))/((Presion_cilindro!O701+Presion_cilindro!O702)/2)</f>
        <v>2.6143505934882065</v>
      </c>
      <c r="C710" s="27">
        <f>C709*(Presion_cilindro!O701/Presion_cilindro!O702)^Presion_cilindro!$B$9+10*(Presion_cilindro!$B$9-1)*Presion_cilindro!$B$33*(IF(Presion_cilindro!N702&gt;(-C$4+Presion_cilindro!$B$34),1-EXP(-Presion_cilindro!$B$16*((Presion_cilindro!N702-(-C$4+Presion_cilindro!$B$34))/Presion_cilindro!$B$35)^(Presion_cilindro!$B$17+1)),0)-IF(Presion_cilindro!N701&gt;(-C$4+Presion_cilindro!$B$34),1-EXP(-Presion_cilindro!$B$16*((Presion_cilindro!N701-(-C$4+Presion_cilindro!$B$34))/Presion_cilindro!$B$35)^(Presion_cilindro!$B$17+1)),0))/((Presion_cilindro!O701+Presion_cilindro!O702)/2)</f>
        <v>2.5339756217221048</v>
      </c>
      <c r="D710" s="27">
        <f>D709*(Presion_cilindro!O701/Presion_cilindro!O702)^Presion_cilindro!$B$9+10*(Presion_cilindro!$B$9-1)*Presion_cilindro!$B$33*(IF(Presion_cilindro!N702&gt;(-D$4+Presion_cilindro!$B$34),1-EXP(-Presion_cilindro!$B$16*((Presion_cilindro!N702-(-D$4+Presion_cilindro!$B$34))/Presion_cilindro!$B$35)^(Presion_cilindro!$B$17+1)),0)-IF(Presion_cilindro!N701&gt;(-D$4+Presion_cilindro!$B$34),1-EXP(-Presion_cilindro!$B$16*((Presion_cilindro!N701-(-D$4+Presion_cilindro!$B$34))/Presion_cilindro!$B$35)^(Presion_cilindro!$B$17+1)),0))/((Presion_cilindro!O701+Presion_cilindro!O702)/2)</f>
        <v>2.4591180809948252</v>
      </c>
      <c r="E710" s="27">
        <f>E709*(Presion_cilindro!O701/Presion_cilindro!O702)^Presion_cilindro!$B$9+10*(Presion_cilindro!$B$9-1)*Presion_cilindro!$B$33*(IF(Presion_cilindro!N702&gt;(-E$4+Presion_cilindro!$B$34),1-EXP(-Presion_cilindro!$B$16*((Presion_cilindro!N702-(-E$4+Presion_cilindro!$B$34))/Presion_cilindro!$B$35)^(Presion_cilindro!$B$17+1)),0)-IF(Presion_cilindro!N701&gt;(-E$4+Presion_cilindro!$B$34),1-EXP(-Presion_cilindro!$B$16*((Presion_cilindro!N701-(-E$4+Presion_cilindro!$B$34))/Presion_cilindro!$B$35)^(Presion_cilindro!$B$17+1)),0))/((Presion_cilindro!O701+Presion_cilindro!O702)/2)</f>
        <v>2.3925627655789943</v>
      </c>
      <c r="F710" s="27">
        <f>F709*(Presion_cilindro!O701/Presion_cilindro!O702)^Presion_cilindro!$B$9+10*(Presion_cilindro!$B$9-1)*Presion_cilindro!$B$33*(IF(Presion_cilindro!N702&gt;(-F$4+Presion_cilindro!$B$34),1-EXP(-Presion_cilindro!$B$16*((Presion_cilindro!N702-(-F$4+Presion_cilindro!$B$34))/Presion_cilindro!$B$35)^(Presion_cilindro!$B$17+1)),0)-IF(Presion_cilindro!N701&gt;(-F$4+Presion_cilindro!$B$34),1-EXP(-Presion_cilindro!$B$16*((Presion_cilindro!N701-(-F$4+Presion_cilindro!$B$34))/Presion_cilindro!$B$35)^(Presion_cilindro!$B$17+1)),0))/((Presion_cilindro!O701+Presion_cilindro!O702)/2)</f>
        <v>2.3373433827000394</v>
      </c>
      <c r="G710" s="27">
        <f>G709*(Presion_cilindro!O701/Presion_cilindro!O702)^Presion_cilindro!$B$9+10*(Presion_cilindro!$B$9-1)*Presion_cilindro!$B$33*(IF(Presion_cilindro!N702&gt;(-G$4+Presion_cilindro!$B$34),1-EXP(-Presion_cilindro!$B$16*((Presion_cilindro!N702-(-G$4+Presion_cilindro!$B$34))/Presion_cilindro!$B$35)^(Presion_cilindro!$B$17+1)),0)-IF(Presion_cilindro!N701&gt;(-G$4+Presion_cilindro!$B$34),1-EXP(-Presion_cilindro!$B$16*((Presion_cilindro!N701-(-G$4+Presion_cilindro!$B$34))/Presion_cilindro!$B$35)^(Presion_cilindro!$B$17+1)),0))/((Presion_cilindro!O701+Presion_cilindro!O702)/2)</f>
        <v>2.2964264682081468</v>
      </c>
      <c r="H710" s="27">
        <f>H709*(Presion_cilindro!O701/Presion_cilindro!O702)^Presion_cilindro!$B$9+10*(Presion_cilindro!$B$9-1)*Presion_cilindro!$B$33*(IF(Presion_cilindro!N702&gt;(-H$4+Presion_cilindro!$B$34),1-EXP(-Presion_cilindro!$B$16*((Presion_cilindro!N702-(-H$4+Presion_cilindro!$B$34))/Presion_cilindro!$B$35)^(Presion_cilindro!$B$17+1)),0)-IF(Presion_cilindro!N701&gt;(-H$4+Presion_cilindro!$B$34),1-EXP(-Presion_cilindro!$B$16*((Presion_cilindro!N701-(-H$4+Presion_cilindro!$B$34))/Presion_cilindro!$B$35)^(Presion_cilindro!$B$17+1)),0))/((Presion_cilindro!O701+Presion_cilindro!O702)/2)</f>
        <v>2.2722901234691273</v>
      </c>
      <c r="I710" s="27">
        <f>I709*(Presion_cilindro!O701/Presion_cilindro!O702)^Presion_cilindro!$B$9+10*(Presion_cilindro!$B$9-1)*Presion_cilindro!$B$33*(IF(Presion_cilindro!N702&gt;(-I$4+Presion_cilindro!$B$34),1-EXP(-Presion_cilindro!$B$16*((Presion_cilindro!N702-(-I$4+Presion_cilindro!$B$34))/Presion_cilindro!$B$35)^(Presion_cilindro!$B$17+1)),0)-IF(Presion_cilindro!N701&gt;(-I$4+Presion_cilindro!$B$34),1-EXP(-Presion_cilindro!$B$16*((Presion_cilindro!N701-(-I$4+Presion_cilindro!$B$34))/Presion_cilindro!$B$35)^(Presion_cilindro!$B$17+1)),0))/((Presion_cilindro!O701+Presion_cilindro!O702)/2)</f>
        <v>2.2665004877220105</v>
      </c>
      <c r="J710" s="27">
        <f>J709*(Presion_cilindro!O701/Presion_cilindro!O702)^Presion_cilindro!$B$9+10*(Presion_cilindro!$B$9-1)*Presion_cilindro!$B$33*(IF(Presion_cilindro!N702&gt;(-J$4+Presion_cilindro!$B$34),1-EXP(-Presion_cilindro!$B$16*((Presion_cilindro!N702-(-J$4+Presion_cilindro!$B$34))/Presion_cilindro!$B$35)^(Presion_cilindro!$B$17+1)),0)-IF(Presion_cilindro!N701&gt;(-J$4+Presion_cilindro!$B$34),1-EXP(-Presion_cilindro!$B$16*((Presion_cilindro!N701-(-J$4+Presion_cilindro!$B$34))/Presion_cilindro!$B$35)^(Presion_cilindro!$B$17+1)),0))/((Presion_cilindro!O701+Presion_cilindro!O702)/2)</f>
        <v>2.2794181512393008</v>
      </c>
      <c r="K710" s="27">
        <f>K709*(Presion_cilindro!O701/Presion_cilindro!O702)^Presion_cilindro!$B$9+10*(Presion_cilindro!$B$9-1)*Presion_cilindro!$B$33*(IF(Presion_cilindro!N702&gt;(-K$4+Presion_cilindro!$B$34),1-EXP(-Presion_cilindro!$B$16*((Presion_cilindro!N702-(-K$4+Presion_cilindro!$B$34))/Presion_cilindro!$B$35)^(Presion_cilindro!$B$17+1)),0)-IF(Presion_cilindro!N701&gt;(-K$4+Presion_cilindro!$B$34),1-EXP(-Presion_cilindro!$B$16*((Presion_cilindro!N701-(-K$4+Presion_cilindro!$B$34))/Presion_cilindro!$B$35)^(Presion_cilindro!$B$17+1)),0))/((Presion_cilindro!O701+Presion_cilindro!O702)/2)</f>
        <v>2.3101355737009466</v>
      </c>
      <c r="L710" s="27">
        <f>L709*(Presion_cilindro!O701/Presion_cilindro!O702)^Presion_cilindro!$B$9+10*(Presion_cilindro!$B$9-1)*Presion_cilindro!$B$33*(IF(Presion_cilindro!N702&gt;(-L$4+Presion_cilindro!$B$34),1-EXP(-Presion_cilindro!$B$16*((Presion_cilindro!N702-(-L$4+Presion_cilindro!$B$34))/Presion_cilindro!$B$35)^(Presion_cilindro!$B$17+1)),0)-IF(Presion_cilindro!N701&gt;(-L$4+Presion_cilindro!$B$34),1-EXP(-Presion_cilindro!$B$16*((Presion_cilindro!N701-(-L$4+Presion_cilindro!$B$34))/Presion_cilindro!$B$35)^(Presion_cilindro!$B$17+1)),0))/((Presion_cilindro!O701+Presion_cilindro!O702)/2)</f>
        <v>2.3566647033969654</v>
      </c>
      <c r="M710" s="27">
        <f>M709*(Presion_cilindro!O701/Presion_cilindro!O702)^Presion_cilindro!$B$9+10*(Presion_cilindro!$B$9-1)*Presion_cilindro!$B$33*(IF(Presion_cilindro!N702&gt;(-M$4+Presion_cilindro!$B$34),1-EXP(-Presion_cilindro!$B$16*((Presion_cilindro!N702-(-M$4+Presion_cilindro!$B$34))/Presion_cilindro!$B$35)^(Presion_cilindro!$B$17+1)),0)-IF(Presion_cilindro!N701&gt;(-M$4+Presion_cilindro!$B$34),1-EXP(-Presion_cilindro!$B$16*((Presion_cilindro!N701-(-M$4+Presion_cilindro!$B$34))/Presion_cilindro!$B$35)^(Presion_cilindro!$B$17+1)),0))/((Presion_cilindro!O701+Presion_cilindro!O702)/2)</f>
        <v>2.416303834445451</v>
      </c>
      <c r="N710" s="27">
        <f>N709*(Presion_cilindro!O701/Presion_cilindro!O702)^Presion_cilindro!$B$9+10*(Presion_cilindro!$B$9-1)*Presion_cilindro!$B$33*(IF(Presion_cilindro!N702&gt;(-N$4+Presion_cilindro!$B$34),1-EXP(-Presion_cilindro!$B$16*((Presion_cilindro!N702-(-N$4+Presion_cilindro!$B$34))/Presion_cilindro!$B$35)^(Presion_cilindro!$B$17+1)),0)-IF(Presion_cilindro!N701&gt;(-N$4+Presion_cilindro!$B$34),1-EXP(-Presion_cilindro!$B$16*((Presion_cilindro!N701-(-N$4+Presion_cilindro!$B$34))/Presion_cilindro!$B$35)^(Presion_cilindro!$B$17+1)),0))/((Presion_cilindro!O701+Presion_cilindro!O702)/2)</f>
        <v>2.486061318714091</v>
      </c>
    </row>
    <row r="711" spans="1:14" x14ac:dyDescent="0.25">
      <c r="A711" s="21">
        <f>Presion_cilindro!N703</f>
        <v>169.5</v>
      </c>
      <c r="B711" s="27">
        <f>B710*(Presion_cilindro!O702/Presion_cilindro!O703)^Presion_cilindro!$B$9+10*(Presion_cilindro!$B$9-1)*Presion_cilindro!$B$33*(IF(Presion_cilindro!N703&gt;(-B$4+Presion_cilindro!$B$34),1-EXP(-Presion_cilindro!$B$16*((Presion_cilindro!N703-(-B$4+Presion_cilindro!$B$34))/Presion_cilindro!$B$35)^(Presion_cilindro!$B$17+1)),0)-IF(Presion_cilindro!N702&gt;(-B$4+Presion_cilindro!$B$34),1-EXP(-Presion_cilindro!$B$16*((Presion_cilindro!N702-(-B$4+Presion_cilindro!$B$34))/Presion_cilindro!$B$35)^(Presion_cilindro!$B$17+1)),0))/((Presion_cilindro!O702+Presion_cilindro!O703)/2)</f>
        <v>2.6125098547713539</v>
      </c>
      <c r="C711" s="27">
        <f>C710*(Presion_cilindro!O702/Presion_cilindro!O703)^Presion_cilindro!$B$9+10*(Presion_cilindro!$B$9-1)*Presion_cilindro!$B$33*(IF(Presion_cilindro!N703&gt;(-C$4+Presion_cilindro!$B$34),1-EXP(-Presion_cilindro!$B$16*((Presion_cilindro!N703-(-C$4+Presion_cilindro!$B$34))/Presion_cilindro!$B$35)^(Presion_cilindro!$B$17+1)),0)-IF(Presion_cilindro!N702&gt;(-C$4+Presion_cilindro!$B$34),1-EXP(-Presion_cilindro!$B$16*((Presion_cilindro!N702-(-C$4+Presion_cilindro!$B$34))/Presion_cilindro!$B$35)^(Presion_cilindro!$B$17+1)),0))/((Presion_cilindro!O702+Presion_cilindro!O703)/2)</f>
        <v>2.5321914742377993</v>
      </c>
      <c r="D711" s="27">
        <f>D710*(Presion_cilindro!O702/Presion_cilindro!O703)^Presion_cilindro!$B$9+10*(Presion_cilindro!$B$9-1)*Presion_cilindro!$B$33*(IF(Presion_cilindro!N703&gt;(-D$4+Presion_cilindro!$B$34),1-EXP(-Presion_cilindro!$B$16*((Presion_cilindro!N703-(-D$4+Presion_cilindro!$B$34))/Presion_cilindro!$B$35)^(Presion_cilindro!$B$17+1)),0)-IF(Presion_cilindro!N702&gt;(-D$4+Presion_cilindro!$B$34),1-EXP(-Presion_cilindro!$B$16*((Presion_cilindro!N702-(-D$4+Presion_cilindro!$B$34))/Presion_cilindro!$B$35)^(Presion_cilindro!$B$17+1)),0))/((Presion_cilindro!O702+Presion_cilindro!O703)/2)</f>
        <v>2.4573866399737647</v>
      </c>
      <c r="E711" s="27">
        <f>E710*(Presion_cilindro!O702/Presion_cilindro!O703)^Presion_cilindro!$B$9+10*(Presion_cilindro!$B$9-1)*Presion_cilindro!$B$33*(IF(Presion_cilindro!N703&gt;(-E$4+Presion_cilindro!$B$34),1-EXP(-Presion_cilindro!$B$16*((Presion_cilindro!N703-(-E$4+Presion_cilindro!$B$34))/Presion_cilindro!$B$35)^(Presion_cilindro!$B$17+1)),0)-IF(Presion_cilindro!N702&gt;(-E$4+Presion_cilindro!$B$34),1-EXP(-Presion_cilindro!$B$16*((Presion_cilindro!N702-(-E$4+Presion_cilindro!$B$34))/Presion_cilindro!$B$35)^(Presion_cilindro!$B$17+1)),0))/((Presion_cilindro!O702+Presion_cilindro!O703)/2)</f>
        <v>2.39087818550543</v>
      </c>
      <c r="F711" s="27">
        <f>F710*(Presion_cilindro!O702/Presion_cilindro!O703)^Presion_cilindro!$B$9+10*(Presion_cilindro!$B$9-1)*Presion_cilindro!$B$33*(IF(Presion_cilindro!N703&gt;(-F$4+Presion_cilindro!$B$34),1-EXP(-Presion_cilindro!$B$16*((Presion_cilindro!N703-(-F$4+Presion_cilindro!$B$34))/Presion_cilindro!$B$35)^(Presion_cilindro!$B$17+1)),0)-IF(Presion_cilindro!N702&gt;(-F$4+Presion_cilindro!$B$34),1-EXP(-Presion_cilindro!$B$16*((Presion_cilindro!N702-(-F$4+Presion_cilindro!$B$34))/Presion_cilindro!$B$35)^(Presion_cilindro!$B$17+1)),0))/((Presion_cilindro!O702+Presion_cilindro!O703)/2)</f>
        <v>2.3356976820545974</v>
      </c>
      <c r="G711" s="27">
        <f>G710*(Presion_cilindro!O702/Presion_cilindro!O703)^Presion_cilindro!$B$9+10*(Presion_cilindro!$B$9-1)*Presion_cilindro!$B$33*(IF(Presion_cilindro!N703&gt;(-G$4+Presion_cilindro!$B$34),1-EXP(-Presion_cilindro!$B$16*((Presion_cilindro!N703-(-G$4+Presion_cilindro!$B$34))/Presion_cilindro!$B$35)^(Presion_cilindro!$B$17+1)),0)-IF(Presion_cilindro!N702&gt;(-G$4+Presion_cilindro!$B$34),1-EXP(-Presion_cilindro!$B$16*((Presion_cilindro!N702-(-G$4+Presion_cilindro!$B$34))/Presion_cilindro!$B$35)^(Presion_cilindro!$B$17+1)),0))/((Presion_cilindro!O702+Presion_cilindro!O703)/2)</f>
        <v>2.2948095767625372</v>
      </c>
      <c r="H711" s="27">
        <f>H710*(Presion_cilindro!O702/Presion_cilindro!O703)^Presion_cilindro!$B$9+10*(Presion_cilindro!$B$9-1)*Presion_cilindro!$B$33*(IF(Presion_cilindro!N703&gt;(-H$4+Presion_cilindro!$B$34),1-EXP(-Presion_cilindro!$B$16*((Presion_cilindro!N703-(-H$4+Presion_cilindro!$B$34))/Presion_cilindro!$B$35)^(Presion_cilindro!$B$17+1)),0)-IF(Presion_cilindro!N702&gt;(-H$4+Presion_cilindro!$B$34),1-EXP(-Presion_cilindro!$B$16*((Presion_cilindro!N702-(-H$4+Presion_cilindro!$B$34))/Presion_cilindro!$B$35)^(Presion_cilindro!$B$17+1)),0))/((Presion_cilindro!O702+Presion_cilindro!O703)/2)</f>
        <v>2.2706902261880932</v>
      </c>
      <c r="I711" s="27">
        <f>I710*(Presion_cilindro!O702/Presion_cilindro!O703)^Presion_cilindro!$B$9+10*(Presion_cilindro!$B$9-1)*Presion_cilindro!$B$33*(IF(Presion_cilindro!N703&gt;(-I$4+Presion_cilindro!$B$34),1-EXP(-Presion_cilindro!$B$16*((Presion_cilindro!N703-(-I$4+Presion_cilindro!$B$34))/Presion_cilindro!$B$35)^(Presion_cilindro!$B$17+1)),0)-IF(Presion_cilindro!N702&gt;(-I$4+Presion_cilindro!$B$34),1-EXP(-Presion_cilindro!$B$16*((Presion_cilindro!N702-(-I$4+Presion_cilindro!$B$34))/Presion_cilindro!$B$35)^(Presion_cilindro!$B$17+1)),0))/((Presion_cilindro!O702+Presion_cilindro!O703)/2)</f>
        <v>2.264904666866955</v>
      </c>
      <c r="J711" s="27">
        <f>J710*(Presion_cilindro!O702/Presion_cilindro!O703)^Presion_cilindro!$B$9+10*(Presion_cilindro!$B$9-1)*Presion_cilindro!$B$33*(IF(Presion_cilindro!N703&gt;(-J$4+Presion_cilindro!$B$34),1-EXP(-Presion_cilindro!$B$16*((Presion_cilindro!N703-(-J$4+Presion_cilindro!$B$34))/Presion_cilindro!$B$35)^(Presion_cilindro!$B$17+1)),0)-IF(Presion_cilindro!N702&gt;(-J$4+Presion_cilindro!$B$34),1-EXP(-Presion_cilindro!$B$16*((Presion_cilindro!N702-(-J$4+Presion_cilindro!$B$34))/Presion_cilindro!$B$35)^(Presion_cilindro!$B$17+1)),0))/((Presion_cilindro!O702+Presion_cilindro!O703)/2)</f>
        <v>2.2778132351835376</v>
      </c>
      <c r="K711" s="27">
        <f>K710*(Presion_cilindro!O702/Presion_cilindro!O703)^Presion_cilindro!$B$9+10*(Presion_cilindro!$B$9-1)*Presion_cilindro!$B$33*(IF(Presion_cilindro!N703&gt;(-K$4+Presion_cilindro!$B$34),1-EXP(-Presion_cilindro!$B$16*((Presion_cilindro!N703-(-K$4+Presion_cilindro!$B$34))/Presion_cilindro!$B$35)^(Presion_cilindro!$B$17+1)),0)-IF(Presion_cilindro!N702&gt;(-K$4+Presion_cilindro!$B$34),1-EXP(-Presion_cilindro!$B$16*((Presion_cilindro!N702-(-K$4+Presion_cilindro!$B$34))/Presion_cilindro!$B$35)^(Presion_cilindro!$B$17+1)),0))/((Presion_cilindro!O702+Presion_cilindro!O703)/2)</f>
        <v>2.3085090298080648</v>
      </c>
      <c r="L711" s="27">
        <f>L710*(Presion_cilindro!O702/Presion_cilindro!O703)^Presion_cilindro!$B$9+10*(Presion_cilindro!$B$9-1)*Presion_cilindro!$B$33*(IF(Presion_cilindro!N703&gt;(-L$4+Presion_cilindro!$B$34),1-EXP(-Presion_cilindro!$B$16*((Presion_cilindro!N703-(-L$4+Presion_cilindro!$B$34))/Presion_cilindro!$B$35)^(Presion_cilindro!$B$17+1)),0)-IF(Presion_cilindro!N702&gt;(-L$4+Presion_cilindro!$B$34),1-EXP(-Presion_cilindro!$B$16*((Presion_cilindro!N702-(-L$4+Presion_cilindro!$B$34))/Presion_cilindro!$B$35)^(Presion_cilindro!$B$17+1)),0))/((Presion_cilindro!O702+Presion_cilindro!O703)/2)</f>
        <v>2.3550053987983444</v>
      </c>
      <c r="M711" s="27">
        <f>M710*(Presion_cilindro!O702/Presion_cilindro!O703)^Presion_cilindro!$B$9+10*(Presion_cilindro!$B$9-1)*Presion_cilindro!$B$33*(IF(Presion_cilindro!N703&gt;(-M$4+Presion_cilindro!$B$34),1-EXP(-Presion_cilindro!$B$16*((Presion_cilindro!N703-(-M$4+Presion_cilindro!$B$34))/Presion_cilindro!$B$35)^(Presion_cilindro!$B$17+1)),0)-IF(Presion_cilindro!N702&gt;(-M$4+Presion_cilindro!$B$34),1-EXP(-Presion_cilindro!$B$16*((Presion_cilindro!N702-(-M$4+Presion_cilindro!$B$34))/Presion_cilindro!$B$35)^(Presion_cilindro!$B$17+1)),0))/((Presion_cilindro!O702+Presion_cilindro!O703)/2)</f>
        <v>2.4146025385171921</v>
      </c>
      <c r="N711" s="27">
        <f>N710*(Presion_cilindro!O702/Presion_cilindro!O703)^Presion_cilindro!$B$9+10*(Presion_cilindro!$B$9-1)*Presion_cilindro!$B$33*(IF(Presion_cilindro!N703&gt;(-N$4+Presion_cilindro!$B$34),1-EXP(-Presion_cilindro!$B$16*((Presion_cilindro!N703-(-N$4+Presion_cilindro!$B$34))/Presion_cilindro!$B$35)^(Presion_cilindro!$B$17+1)),0)-IF(Presion_cilindro!N702&gt;(-N$4+Presion_cilindro!$B$34),1-EXP(-Presion_cilindro!$B$16*((Presion_cilindro!N702-(-N$4+Presion_cilindro!$B$34))/Presion_cilindro!$B$35)^(Presion_cilindro!$B$17+1)),0))/((Presion_cilindro!O702+Presion_cilindro!O703)/2)</f>
        <v>2.484310907222524</v>
      </c>
    </row>
    <row r="712" spans="1:14" x14ac:dyDescent="0.25">
      <c r="A712" s="21">
        <f>Presion_cilindro!N704</f>
        <v>170</v>
      </c>
      <c r="B712" s="27">
        <f>B711*(Presion_cilindro!O703/Presion_cilindro!O704)^Presion_cilindro!$B$9+10*(Presion_cilindro!$B$9-1)*Presion_cilindro!$B$33*(IF(Presion_cilindro!N704&gt;(-B$4+Presion_cilindro!$B$34),1-EXP(-Presion_cilindro!$B$16*((Presion_cilindro!N704-(-B$4+Presion_cilindro!$B$34))/Presion_cilindro!$B$35)^(Presion_cilindro!$B$17+1)),0)-IF(Presion_cilindro!N703&gt;(-B$4+Presion_cilindro!$B$34),1-EXP(-Presion_cilindro!$B$16*((Presion_cilindro!N703-(-B$4+Presion_cilindro!$B$34))/Presion_cilindro!$B$35)^(Presion_cilindro!$B$17+1)),0))/((Presion_cilindro!O703+Presion_cilindro!O704)/2)</f>
        <v>2.6107569306273142</v>
      </c>
      <c r="C712" s="27">
        <f>C711*(Presion_cilindro!O703/Presion_cilindro!O704)^Presion_cilindro!$B$9+10*(Presion_cilindro!$B$9-1)*Presion_cilindro!$B$33*(IF(Presion_cilindro!N704&gt;(-C$4+Presion_cilindro!$B$34),1-EXP(-Presion_cilindro!$B$16*((Presion_cilindro!N704-(-C$4+Presion_cilindro!$B$34))/Presion_cilindro!$B$35)^(Presion_cilindro!$B$17+1)),0)-IF(Presion_cilindro!N703&gt;(-C$4+Presion_cilindro!$B$34),1-EXP(-Presion_cilindro!$B$16*((Presion_cilindro!N703-(-C$4+Presion_cilindro!$B$34))/Presion_cilindro!$B$35)^(Presion_cilindro!$B$17+1)),0))/((Presion_cilindro!O703+Presion_cilindro!O704)/2)</f>
        <v>2.5304924415760022</v>
      </c>
      <c r="D712" s="27">
        <f>D711*(Presion_cilindro!O703/Presion_cilindro!O704)^Presion_cilindro!$B$9+10*(Presion_cilindro!$B$9-1)*Presion_cilindro!$B$33*(IF(Presion_cilindro!N704&gt;(-D$4+Presion_cilindro!$B$34),1-EXP(-Presion_cilindro!$B$16*((Presion_cilindro!N704-(-D$4+Presion_cilindro!$B$34))/Presion_cilindro!$B$35)^(Presion_cilindro!$B$17+1)),0)-IF(Presion_cilindro!N703&gt;(-D$4+Presion_cilindro!$B$34),1-EXP(-Presion_cilindro!$B$16*((Presion_cilindro!N703-(-D$4+Presion_cilindro!$B$34))/Presion_cilindro!$B$35)^(Presion_cilindro!$B$17+1)),0))/((Presion_cilindro!O703+Presion_cilindro!O704)/2)</f>
        <v>2.4557377993523279</v>
      </c>
      <c r="E712" s="27">
        <f>E711*(Presion_cilindro!O703/Presion_cilindro!O704)^Presion_cilindro!$B$9+10*(Presion_cilindro!$B$9-1)*Presion_cilindro!$B$33*(IF(Presion_cilindro!N704&gt;(-E$4+Presion_cilindro!$B$34),1-EXP(-Presion_cilindro!$B$16*((Presion_cilindro!N704-(-E$4+Presion_cilindro!$B$34))/Presion_cilindro!$B$35)^(Presion_cilindro!$B$17+1)),0)-IF(Presion_cilindro!N703&gt;(-E$4+Presion_cilindro!$B$34),1-EXP(-Presion_cilindro!$B$16*((Presion_cilindro!N703-(-E$4+Presion_cilindro!$B$34))/Presion_cilindro!$B$35)^(Presion_cilindro!$B$17+1)),0))/((Presion_cilindro!O703+Presion_cilindro!O704)/2)</f>
        <v>2.3892739702757053</v>
      </c>
      <c r="F712" s="27">
        <f>F711*(Presion_cilindro!O703/Presion_cilindro!O704)^Presion_cilindro!$B$9+10*(Presion_cilindro!$B$9-1)*Presion_cilindro!$B$33*(IF(Presion_cilindro!N704&gt;(-F$4+Presion_cilindro!$B$34),1-EXP(-Presion_cilindro!$B$16*((Presion_cilindro!N704-(-F$4+Presion_cilindro!$B$34))/Presion_cilindro!$B$35)^(Presion_cilindro!$B$17+1)),0)-IF(Presion_cilindro!N703&gt;(-F$4+Presion_cilindro!$B$34),1-EXP(-Presion_cilindro!$B$16*((Presion_cilindro!N703-(-F$4+Presion_cilindro!$B$34))/Presion_cilindro!$B$35)^(Presion_cilindro!$B$17+1)),0))/((Presion_cilindro!O703+Presion_cilindro!O704)/2)</f>
        <v>2.3341304914648382</v>
      </c>
      <c r="G712" s="27">
        <f>G711*(Presion_cilindro!O703/Presion_cilindro!O704)^Presion_cilindro!$B$9+10*(Presion_cilindro!$B$9-1)*Presion_cilindro!$B$33*(IF(Presion_cilindro!N704&gt;(-G$4+Presion_cilindro!$B$34),1-EXP(-Presion_cilindro!$B$16*((Presion_cilindro!N704-(-G$4+Presion_cilindro!$B$34))/Presion_cilindro!$B$35)^(Presion_cilindro!$B$17+1)),0)-IF(Presion_cilindro!N703&gt;(-G$4+Presion_cilindro!$B$34),1-EXP(-Presion_cilindro!$B$16*((Presion_cilindro!N703-(-G$4+Presion_cilindro!$B$34))/Presion_cilindro!$B$35)^(Presion_cilindro!$B$17+1)),0))/((Presion_cilindro!O703+Presion_cilindro!O704)/2)</f>
        <v>2.2932698209963593</v>
      </c>
      <c r="H712" s="27">
        <f>H711*(Presion_cilindro!O703/Presion_cilindro!O704)^Presion_cilindro!$B$9+10*(Presion_cilindro!$B$9-1)*Presion_cilindro!$B$33*(IF(Presion_cilindro!N704&gt;(-H$4+Presion_cilindro!$B$34),1-EXP(-Presion_cilindro!$B$16*((Presion_cilindro!N704-(-H$4+Presion_cilindro!$B$34))/Presion_cilindro!$B$35)^(Presion_cilindro!$B$17+1)),0)-IF(Presion_cilindro!N703&gt;(-H$4+Presion_cilindro!$B$34),1-EXP(-Presion_cilindro!$B$16*((Presion_cilindro!N703-(-H$4+Presion_cilindro!$B$34))/Presion_cilindro!$B$35)^(Presion_cilindro!$B$17+1)),0))/((Presion_cilindro!O703+Presion_cilindro!O704)/2)</f>
        <v>2.269166653860184</v>
      </c>
      <c r="I712" s="27">
        <f>I711*(Presion_cilindro!O703/Presion_cilindro!O704)^Presion_cilindro!$B$9+10*(Presion_cilindro!$B$9-1)*Presion_cilindro!$B$33*(IF(Presion_cilindro!N704&gt;(-I$4+Presion_cilindro!$B$34),1-EXP(-Presion_cilindro!$B$16*((Presion_cilindro!N704-(-I$4+Presion_cilindro!$B$34))/Presion_cilindro!$B$35)^(Presion_cilindro!$B$17+1)),0)-IF(Presion_cilindro!N703&gt;(-I$4+Presion_cilindro!$B$34),1-EXP(-Presion_cilindro!$B$16*((Presion_cilindro!N703-(-I$4+Presion_cilindro!$B$34))/Presion_cilindro!$B$35)^(Presion_cilindro!$B$17+1)),0))/((Presion_cilindro!O703+Presion_cilindro!O704)/2)</f>
        <v>2.2633849764944007</v>
      </c>
      <c r="J712" s="27">
        <f>J711*(Presion_cilindro!O703/Presion_cilindro!O704)^Presion_cilindro!$B$9+10*(Presion_cilindro!$B$9-1)*Presion_cilindro!$B$33*(IF(Presion_cilindro!N704&gt;(-J$4+Presion_cilindro!$B$34),1-EXP(-Presion_cilindro!$B$16*((Presion_cilindro!N704-(-J$4+Presion_cilindro!$B$34))/Presion_cilindro!$B$35)^(Presion_cilindro!$B$17+1)),0)-IF(Presion_cilindro!N703&gt;(-J$4+Presion_cilindro!$B$34),1-EXP(-Presion_cilindro!$B$16*((Presion_cilindro!N703-(-J$4+Presion_cilindro!$B$34))/Presion_cilindro!$B$35)^(Presion_cilindro!$B$17+1)),0))/((Presion_cilindro!O703+Presion_cilindro!O704)/2)</f>
        <v>2.2762848835073615</v>
      </c>
      <c r="K712" s="27">
        <f>K711*(Presion_cilindro!O703/Presion_cilindro!O704)^Presion_cilindro!$B$9+10*(Presion_cilindro!$B$9-1)*Presion_cilindro!$B$33*(IF(Presion_cilindro!N704&gt;(-K$4+Presion_cilindro!$B$34),1-EXP(-Presion_cilindro!$B$16*((Presion_cilindro!N704-(-K$4+Presion_cilindro!$B$34))/Presion_cilindro!$B$35)^(Presion_cilindro!$B$17+1)),0)-IF(Presion_cilindro!N703&gt;(-K$4+Presion_cilindro!$B$34),1-EXP(-Presion_cilindro!$B$16*((Presion_cilindro!N703-(-K$4+Presion_cilindro!$B$34))/Presion_cilindro!$B$35)^(Presion_cilindro!$B$17+1)),0))/((Presion_cilindro!O703+Presion_cilindro!O704)/2)</f>
        <v>2.3069600820757934</v>
      </c>
      <c r="L712" s="27">
        <f>L711*(Presion_cilindro!O703/Presion_cilindro!O704)^Presion_cilindro!$B$9+10*(Presion_cilindro!$B$9-1)*Presion_cilindro!$B$33*(IF(Presion_cilindro!N704&gt;(-L$4+Presion_cilindro!$B$34),1-EXP(-Presion_cilindro!$B$16*((Presion_cilindro!N704-(-L$4+Presion_cilindro!$B$34))/Presion_cilindro!$B$35)^(Presion_cilindro!$B$17+1)),0)-IF(Presion_cilindro!N703&gt;(-L$4+Presion_cilindro!$B$34),1-EXP(-Presion_cilindro!$B$16*((Presion_cilindro!N703-(-L$4+Presion_cilindro!$B$34))/Presion_cilindro!$B$35)^(Presion_cilindro!$B$17+1)),0))/((Presion_cilindro!O703+Presion_cilindro!O704)/2)</f>
        <v>2.3534252532477513</v>
      </c>
      <c r="M712" s="27">
        <f>M711*(Presion_cilindro!O703/Presion_cilindro!O704)^Presion_cilindro!$B$9+10*(Presion_cilindro!$B$9-1)*Presion_cilindro!$B$33*(IF(Presion_cilindro!N704&gt;(-M$4+Presion_cilindro!$B$34),1-EXP(-Presion_cilindro!$B$16*((Presion_cilindro!N704-(-M$4+Presion_cilindro!$B$34))/Presion_cilindro!$B$35)^(Presion_cilindro!$B$17+1)),0)-IF(Presion_cilindro!N703&gt;(-M$4+Presion_cilindro!$B$34),1-EXP(-Presion_cilindro!$B$16*((Presion_cilindro!N703-(-M$4+Presion_cilindro!$B$34))/Presion_cilindro!$B$35)^(Presion_cilindro!$B$17+1)),0))/((Presion_cilindro!O703+Presion_cilindro!O704)/2)</f>
        <v>2.4129824048819843</v>
      </c>
      <c r="N712" s="27">
        <f>N711*(Presion_cilindro!O703/Presion_cilindro!O704)^Presion_cilindro!$B$9+10*(Presion_cilindro!$B$9-1)*Presion_cilindro!$B$33*(IF(Presion_cilindro!N704&gt;(-N$4+Presion_cilindro!$B$34),1-EXP(-Presion_cilindro!$B$16*((Presion_cilindro!N704-(-N$4+Presion_cilindro!$B$34))/Presion_cilindro!$B$35)^(Presion_cilindro!$B$17+1)),0)-IF(Presion_cilindro!N703&gt;(-N$4+Presion_cilindro!$B$34),1-EXP(-Presion_cilindro!$B$16*((Presion_cilindro!N703-(-N$4+Presion_cilindro!$B$34))/Presion_cilindro!$B$35)^(Presion_cilindro!$B$17+1)),0))/((Presion_cilindro!O703+Presion_cilindro!O704)/2)</f>
        <v>2.4826440011388518</v>
      </c>
    </row>
    <row r="713" spans="1:14" x14ac:dyDescent="0.25">
      <c r="A713" s="21">
        <f>Presion_cilindro!N705</f>
        <v>170.5</v>
      </c>
      <c r="B713" s="27">
        <f>B712*(Presion_cilindro!O704/Presion_cilindro!O705)^Presion_cilindro!$B$9+10*(Presion_cilindro!$B$9-1)*Presion_cilindro!$B$33*(IF(Presion_cilindro!N705&gt;(-B$4+Presion_cilindro!$B$34),1-EXP(-Presion_cilindro!$B$16*((Presion_cilindro!N705-(-B$4+Presion_cilindro!$B$34))/Presion_cilindro!$B$35)^(Presion_cilindro!$B$17+1)),0)-IF(Presion_cilindro!N704&gt;(-B$4+Presion_cilindro!$B$34),1-EXP(-Presion_cilindro!$B$16*((Presion_cilindro!N704-(-B$4+Presion_cilindro!$B$34))/Presion_cilindro!$B$35)^(Presion_cilindro!$B$17+1)),0))/((Presion_cilindro!O704+Presion_cilindro!O705)/2)</f>
        <v>2.609091504286519</v>
      </c>
      <c r="C713" s="27">
        <f>C712*(Presion_cilindro!O704/Presion_cilindro!O705)^Presion_cilindro!$B$9+10*(Presion_cilindro!$B$9-1)*Presion_cilindro!$B$33*(IF(Presion_cilindro!N705&gt;(-C$4+Presion_cilindro!$B$34),1-EXP(-Presion_cilindro!$B$16*((Presion_cilindro!N705-(-C$4+Presion_cilindro!$B$34))/Presion_cilindro!$B$35)^(Presion_cilindro!$B$17+1)),0)-IF(Presion_cilindro!N704&gt;(-C$4+Presion_cilindro!$B$34),1-EXP(-Presion_cilindro!$B$16*((Presion_cilindro!N704-(-C$4+Presion_cilindro!$B$34))/Presion_cilindro!$B$35)^(Presion_cilindro!$B$17+1)),0))/((Presion_cilindro!O704+Presion_cilindro!O705)/2)</f>
        <v>2.5288782167058335</v>
      </c>
      <c r="D713" s="27">
        <f>D712*(Presion_cilindro!O704/Presion_cilindro!O705)^Presion_cilindro!$B$9+10*(Presion_cilindro!$B$9-1)*Presion_cilindro!$B$33*(IF(Presion_cilindro!N705&gt;(-D$4+Presion_cilindro!$B$34),1-EXP(-Presion_cilindro!$B$16*((Presion_cilindro!N705-(-D$4+Presion_cilindro!$B$34))/Presion_cilindro!$B$35)^(Presion_cilindro!$B$17+1)),0)-IF(Presion_cilindro!N704&gt;(-D$4+Presion_cilindro!$B$34),1-EXP(-Presion_cilindro!$B$16*((Presion_cilindro!N704-(-D$4+Presion_cilindro!$B$34))/Presion_cilindro!$B$35)^(Presion_cilindro!$B$17+1)),0))/((Presion_cilindro!O704+Presion_cilindro!O705)/2)</f>
        <v>2.4541712611697997</v>
      </c>
      <c r="E713" s="27">
        <f>E712*(Presion_cilindro!O704/Presion_cilindro!O705)^Presion_cilindro!$B$9+10*(Presion_cilindro!$B$9-1)*Presion_cilindro!$B$33*(IF(Presion_cilindro!N705&gt;(-E$4+Presion_cilindro!$B$34),1-EXP(-Presion_cilindro!$B$16*((Presion_cilindro!N705-(-E$4+Presion_cilindro!$B$34))/Presion_cilindro!$B$35)^(Presion_cilindro!$B$17+1)),0)-IF(Presion_cilindro!N704&gt;(-E$4+Presion_cilindro!$B$34),1-EXP(-Presion_cilindro!$B$16*((Presion_cilindro!N704-(-E$4+Presion_cilindro!$B$34))/Presion_cilindro!$B$35)^(Presion_cilindro!$B$17+1)),0))/((Presion_cilindro!O704+Presion_cilindro!O705)/2)</f>
        <v>2.3877498299933246</v>
      </c>
      <c r="F713" s="27">
        <f>F712*(Presion_cilindro!O704/Presion_cilindro!O705)^Presion_cilindro!$B$9+10*(Presion_cilindro!$B$9-1)*Presion_cilindro!$B$33*(IF(Presion_cilindro!N705&gt;(-F$4+Presion_cilindro!$B$34),1-EXP(-Presion_cilindro!$B$16*((Presion_cilindro!N705-(-F$4+Presion_cilindro!$B$34))/Presion_cilindro!$B$35)^(Presion_cilindro!$B$17+1)),0)-IF(Presion_cilindro!N704&gt;(-F$4+Presion_cilindro!$B$34),1-EXP(-Presion_cilindro!$B$16*((Presion_cilindro!N704-(-F$4+Presion_cilindro!$B$34))/Presion_cilindro!$B$35)^(Presion_cilindro!$B$17+1)),0))/((Presion_cilindro!O704+Presion_cilindro!O705)/2)</f>
        <v>2.3326415277249604</v>
      </c>
      <c r="G713" s="27">
        <f>G712*(Presion_cilindro!O704/Presion_cilindro!O705)^Presion_cilindro!$B$9+10*(Presion_cilindro!$B$9-1)*Presion_cilindro!$B$33*(IF(Presion_cilindro!N705&gt;(-G$4+Presion_cilindro!$B$34),1-EXP(-Presion_cilindro!$B$16*((Presion_cilindro!N705-(-G$4+Presion_cilindro!$B$34))/Presion_cilindro!$B$35)^(Presion_cilindro!$B$17+1)),0)-IF(Presion_cilindro!N704&gt;(-G$4+Presion_cilindro!$B$34),1-EXP(-Presion_cilindro!$B$16*((Presion_cilindro!N704-(-G$4+Presion_cilindro!$B$34))/Presion_cilindro!$B$35)^(Presion_cilindro!$B$17+1)),0))/((Presion_cilindro!O704+Presion_cilindro!O705)/2)</f>
        <v>2.2918069226615381</v>
      </c>
      <c r="H713" s="27">
        <f>H712*(Presion_cilindro!O704/Presion_cilindro!O705)^Presion_cilindro!$B$9+10*(Presion_cilindro!$B$9-1)*Presion_cilindro!$B$33*(IF(Presion_cilindro!N705&gt;(-H$4+Presion_cilindro!$B$34),1-EXP(-Presion_cilindro!$B$16*((Presion_cilindro!N705-(-H$4+Presion_cilindro!$B$34))/Presion_cilindro!$B$35)^(Presion_cilindro!$B$17+1)),0)-IF(Presion_cilindro!N704&gt;(-H$4+Presion_cilindro!$B$34),1-EXP(-Presion_cilindro!$B$16*((Presion_cilindro!N704-(-H$4+Presion_cilindro!$B$34))/Presion_cilindro!$B$35)^(Presion_cilindro!$B$17+1)),0))/((Presion_cilindro!O704+Presion_cilindro!O705)/2)</f>
        <v>2.2677191311618206</v>
      </c>
      <c r="I713" s="27">
        <f>I712*(Presion_cilindro!O704/Presion_cilindro!O705)^Presion_cilindro!$B$9+10*(Presion_cilindro!$B$9-1)*Presion_cilindro!$B$33*(IF(Presion_cilindro!N705&gt;(-I$4+Presion_cilindro!$B$34),1-EXP(-Presion_cilindro!$B$16*((Presion_cilindro!N705-(-I$4+Presion_cilindro!$B$34))/Presion_cilindro!$B$35)^(Presion_cilindro!$B$17+1)),0)-IF(Presion_cilindro!N704&gt;(-I$4+Presion_cilindro!$B$34),1-EXP(-Presion_cilindro!$B$16*((Presion_cilindro!N704-(-I$4+Presion_cilindro!$B$34))/Presion_cilindro!$B$35)^(Presion_cilindro!$B$17+1)),0))/((Presion_cilindro!O704+Presion_cilindro!O705)/2)</f>
        <v>2.2619411419822741</v>
      </c>
      <c r="J713" s="27">
        <f>J712*(Presion_cilindro!O704/Presion_cilindro!O705)^Presion_cilindro!$B$9+10*(Presion_cilindro!$B$9-1)*Presion_cilindro!$B$33*(IF(Presion_cilindro!N705&gt;(-J$4+Presion_cilindro!$B$34),1-EXP(-Presion_cilindro!$B$16*((Presion_cilindro!N705-(-J$4+Presion_cilindro!$B$34))/Presion_cilindro!$B$35)^(Presion_cilindro!$B$17+1)),0)-IF(Presion_cilindro!N704&gt;(-J$4+Presion_cilindro!$B$34),1-EXP(-Presion_cilindro!$B$16*((Presion_cilindro!N704-(-J$4+Presion_cilindro!$B$34))/Presion_cilindro!$B$35)^(Presion_cilindro!$B$17+1)),0))/((Presion_cilindro!O704+Presion_cilindro!O705)/2)</f>
        <v>2.2748328200235211</v>
      </c>
      <c r="K713" s="27">
        <f>K712*(Presion_cilindro!O704/Presion_cilindro!O705)^Presion_cilindro!$B$9+10*(Presion_cilindro!$B$9-1)*Presion_cilindro!$B$33*(IF(Presion_cilindro!N705&gt;(-K$4+Presion_cilindro!$B$34),1-EXP(-Presion_cilindro!$B$16*((Presion_cilindro!N705-(-K$4+Presion_cilindro!$B$34))/Presion_cilindro!$B$35)^(Presion_cilindro!$B$17+1)),0)-IF(Presion_cilindro!N704&gt;(-K$4+Presion_cilindro!$B$34),1-EXP(-Presion_cilindro!$B$16*((Presion_cilindro!N704-(-K$4+Presion_cilindro!$B$34))/Presion_cilindro!$B$35)^(Presion_cilindro!$B$17+1)),0))/((Presion_cilindro!O704+Presion_cilindro!O705)/2)</f>
        <v>2.305488450594984</v>
      </c>
      <c r="L713" s="27">
        <f>L712*(Presion_cilindro!O704/Presion_cilindro!O705)^Presion_cilindro!$B$9+10*(Presion_cilindro!$B$9-1)*Presion_cilindro!$B$33*(IF(Presion_cilindro!N705&gt;(-L$4+Presion_cilindro!$B$34),1-EXP(-Presion_cilindro!$B$16*((Presion_cilindro!N705-(-L$4+Presion_cilindro!$B$34))/Presion_cilindro!$B$35)^(Presion_cilindro!$B$17+1)),0)-IF(Presion_cilindro!N704&gt;(-L$4+Presion_cilindro!$B$34),1-EXP(-Presion_cilindro!$B$16*((Presion_cilindro!N704-(-L$4+Presion_cilindro!$B$34))/Presion_cilindro!$B$35)^(Presion_cilindro!$B$17+1)),0))/((Presion_cilindro!O704+Presion_cilindro!O705)/2)</f>
        <v>2.3519239811983041</v>
      </c>
      <c r="M713" s="27">
        <f>M712*(Presion_cilindro!O704/Presion_cilindro!O705)^Presion_cilindro!$B$9+10*(Presion_cilindro!$B$9-1)*Presion_cilindro!$B$33*(IF(Presion_cilindro!N705&gt;(-M$4+Presion_cilindro!$B$34),1-EXP(-Presion_cilindro!$B$16*((Presion_cilindro!N705-(-M$4+Presion_cilindro!$B$34))/Presion_cilindro!$B$35)^(Presion_cilindro!$B$17+1)),0)-IF(Presion_cilindro!N704&gt;(-M$4+Presion_cilindro!$B$34),1-EXP(-Presion_cilindro!$B$16*((Presion_cilindro!N704-(-M$4+Presion_cilindro!$B$34))/Presion_cilindro!$B$35)^(Presion_cilindro!$B$17+1)),0))/((Presion_cilindro!O704+Presion_cilindro!O705)/2)</f>
        <v>2.4114431407667301</v>
      </c>
      <c r="N713" s="27">
        <f>N712*(Presion_cilindro!O704/Presion_cilindro!O705)^Presion_cilindro!$B$9+10*(Presion_cilindro!$B$9-1)*Presion_cilindro!$B$33*(IF(Presion_cilindro!N705&gt;(-N$4+Presion_cilindro!$B$34),1-EXP(-Presion_cilindro!$B$16*((Presion_cilindro!N705-(-N$4+Presion_cilindro!$B$34))/Presion_cilindro!$B$35)^(Presion_cilindro!$B$17+1)),0)-IF(Presion_cilindro!N704&gt;(-N$4+Presion_cilindro!$B$34),1-EXP(-Presion_cilindro!$B$16*((Presion_cilindro!N704-(-N$4+Presion_cilindro!$B$34))/Presion_cilindro!$B$35)^(Presion_cilindro!$B$17+1)),0))/((Presion_cilindro!O704+Presion_cilindro!O705)/2)</f>
        <v>2.4810602992377637</v>
      </c>
    </row>
    <row r="714" spans="1:14" x14ac:dyDescent="0.25">
      <c r="A714" s="21">
        <f>Presion_cilindro!N706</f>
        <v>171</v>
      </c>
      <c r="B714" s="27">
        <f>B713*(Presion_cilindro!O705/Presion_cilindro!O706)^Presion_cilindro!$B$9+10*(Presion_cilindro!$B$9-1)*Presion_cilindro!$B$33*(IF(Presion_cilindro!N706&gt;(-B$4+Presion_cilindro!$B$34),1-EXP(-Presion_cilindro!$B$16*((Presion_cilindro!N706-(-B$4+Presion_cilindro!$B$34))/Presion_cilindro!$B$35)^(Presion_cilindro!$B$17+1)),0)-IF(Presion_cilindro!N705&gt;(-B$4+Presion_cilindro!$B$34),1-EXP(-Presion_cilindro!$B$16*((Presion_cilindro!N705-(-B$4+Presion_cilindro!$B$34))/Presion_cilindro!$B$35)^(Presion_cilindro!$B$17+1)),0))/((Presion_cilindro!O705+Presion_cilindro!O706)/2)</f>
        <v>2.6075132750818217</v>
      </c>
      <c r="C714" s="27">
        <f>C713*(Presion_cilindro!O705/Presion_cilindro!O706)^Presion_cilindro!$B$9+10*(Presion_cilindro!$B$9-1)*Presion_cilindro!$B$33*(IF(Presion_cilindro!N706&gt;(-C$4+Presion_cilindro!$B$34),1-EXP(-Presion_cilindro!$B$16*((Presion_cilindro!N706-(-C$4+Presion_cilindro!$B$34))/Presion_cilindro!$B$35)^(Presion_cilindro!$B$17+1)),0)-IF(Presion_cilindro!N705&gt;(-C$4+Presion_cilindro!$B$34),1-EXP(-Presion_cilindro!$B$16*((Presion_cilindro!N705-(-C$4+Presion_cilindro!$B$34))/Presion_cilindro!$B$35)^(Presion_cilindro!$B$17+1)),0))/((Presion_cilindro!O705+Presion_cilindro!O706)/2)</f>
        <v>2.5273485082037856</v>
      </c>
      <c r="D714" s="27">
        <f>D713*(Presion_cilindro!O705/Presion_cilindro!O706)^Presion_cilindro!$B$9+10*(Presion_cilindro!$B$9-1)*Presion_cilindro!$B$33*(IF(Presion_cilindro!N706&gt;(-D$4+Presion_cilindro!$B$34),1-EXP(-Presion_cilindro!$B$16*((Presion_cilindro!N706-(-D$4+Presion_cilindro!$B$34))/Presion_cilindro!$B$35)^(Presion_cilindro!$B$17+1)),0)-IF(Presion_cilindro!N705&gt;(-D$4+Presion_cilindro!$B$34),1-EXP(-Presion_cilindro!$B$16*((Presion_cilindro!N705-(-D$4+Presion_cilindro!$B$34))/Presion_cilindro!$B$35)^(Presion_cilindro!$B$17+1)),0))/((Presion_cilindro!O705+Presion_cilindro!O706)/2)</f>
        <v>2.4526867426117716</v>
      </c>
      <c r="E714" s="27">
        <f>E713*(Presion_cilindro!O705/Presion_cilindro!O706)^Presion_cilindro!$B$9+10*(Presion_cilindro!$B$9-1)*Presion_cilindro!$B$33*(IF(Presion_cilindro!N706&gt;(-E$4+Presion_cilindro!$B$34),1-EXP(-Presion_cilindro!$B$16*((Presion_cilindro!N706-(-E$4+Presion_cilindro!$B$34))/Presion_cilindro!$B$35)^(Presion_cilindro!$B$17+1)),0)-IF(Presion_cilindro!N705&gt;(-E$4+Presion_cilindro!$B$34),1-EXP(-Presion_cilindro!$B$16*((Presion_cilindro!N705-(-E$4+Presion_cilindro!$B$34))/Presion_cilindro!$B$35)^(Presion_cilindro!$B$17+1)),0))/((Presion_cilindro!O705+Presion_cilindro!O706)/2)</f>
        <v>2.3863054894981697</v>
      </c>
      <c r="F714" s="27">
        <f>F713*(Presion_cilindro!O705/Presion_cilindro!O706)^Presion_cilindro!$B$9+10*(Presion_cilindro!$B$9-1)*Presion_cilindro!$B$33*(IF(Presion_cilindro!N706&gt;(-F$4+Presion_cilindro!$B$34),1-EXP(-Presion_cilindro!$B$16*((Presion_cilindro!N706-(-F$4+Presion_cilindro!$B$34))/Presion_cilindro!$B$35)^(Presion_cilindro!$B$17+1)),0)-IF(Presion_cilindro!N705&gt;(-F$4+Presion_cilindro!$B$34),1-EXP(-Presion_cilindro!$B$16*((Presion_cilindro!N705-(-F$4+Presion_cilindro!$B$34))/Presion_cilindro!$B$35)^(Presion_cilindro!$B$17+1)),0))/((Presion_cilindro!O705+Presion_cilindro!O706)/2)</f>
        <v>2.3312305220254297</v>
      </c>
      <c r="G714" s="27">
        <f>G713*(Presion_cilindro!O705/Presion_cilindro!O706)^Presion_cilindro!$B$9+10*(Presion_cilindro!$B$9-1)*Presion_cilindro!$B$33*(IF(Presion_cilindro!N706&gt;(-G$4+Presion_cilindro!$B$34),1-EXP(-Presion_cilindro!$B$16*((Presion_cilindro!N706-(-G$4+Presion_cilindro!$B$34))/Presion_cilindro!$B$35)^(Presion_cilindro!$B$17+1)),0)-IF(Presion_cilindro!N705&gt;(-G$4+Presion_cilindro!$B$34),1-EXP(-Presion_cilindro!$B$16*((Presion_cilindro!N705-(-G$4+Presion_cilindro!$B$34))/Presion_cilindro!$B$35)^(Presion_cilindro!$B$17+1)),0))/((Presion_cilindro!O705+Presion_cilindro!O706)/2)</f>
        <v>2.2904206176542474</v>
      </c>
      <c r="H714" s="27">
        <f>H713*(Presion_cilindro!O705/Presion_cilindro!O706)^Presion_cilindro!$B$9+10*(Presion_cilindro!$B$9-1)*Presion_cilindro!$B$33*(IF(Presion_cilindro!N706&gt;(-H$4+Presion_cilindro!$B$34),1-EXP(-Presion_cilindro!$B$16*((Presion_cilindro!N706-(-H$4+Presion_cilindro!$B$34))/Presion_cilindro!$B$35)^(Presion_cilindro!$B$17+1)),0)-IF(Presion_cilindro!N705&gt;(-H$4+Presion_cilindro!$B$34),1-EXP(-Presion_cilindro!$B$16*((Presion_cilindro!N705-(-H$4+Presion_cilindro!$B$34))/Presion_cilindro!$B$35)^(Presion_cilindro!$B$17+1)),0))/((Presion_cilindro!O705+Presion_cilindro!O706)/2)</f>
        <v>2.2663473967650121</v>
      </c>
      <c r="I714" s="27">
        <f>I713*(Presion_cilindro!O705/Presion_cilindro!O706)^Presion_cilindro!$B$9+10*(Presion_cilindro!$B$9-1)*Presion_cilindro!$B$33*(IF(Presion_cilindro!N706&gt;(-I$4+Presion_cilindro!$B$34),1-EXP(-Presion_cilindro!$B$16*((Presion_cilindro!N706-(-I$4+Presion_cilindro!$B$34))/Presion_cilindro!$B$35)^(Presion_cilindro!$B$17+1)),0)-IF(Presion_cilindro!N705&gt;(-I$4+Presion_cilindro!$B$34),1-EXP(-Presion_cilindro!$B$16*((Presion_cilindro!N705-(-I$4+Presion_cilindro!$B$34))/Presion_cilindro!$B$35)^(Presion_cilindro!$B$17+1)),0))/((Presion_cilindro!O705+Presion_cilindro!O706)/2)</f>
        <v>2.2605729026684296</v>
      </c>
      <c r="J714" s="27">
        <f>J713*(Presion_cilindro!O705/Presion_cilindro!O706)^Presion_cilindro!$B$9+10*(Presion_cilindro!$B$9-1)*Presion_cilindro!$B$33*(IF(Presion_cilindro!N706&gt;(-J$4+Presion_cilindro!$B$34),1-EXP(-Presion_cilindro!$B$16*((Presion_cilindro!N706-(-J$4+Presion_cilindro!$B$34))/Presion_cilindro!$B$35)^(Presion_cilindro!$B$17+1)),0)-IF(Presion_cilindro!N705&gt;(-J$4+Presion_cilindro!$B$34),1-EXP(-Presion_cilindro!$B$16*((Presion_cilindro!N705-(-J$4+Presion_cilindro!$B$34))/Presion_cilindro!$B$35)^(Presion_cilindro!$B$17+1)),0))/((Presion_cilindro!O705+Presion_cilindro!O706)/2)</f>
        <v>2.2734567825842569</v>
      </c>
      <c r="K714" s="27">
        <f>K713*(Presion_cilindro!O705/Presion_cilindro!O706)^Presion_cilindro!$B$9+10*(Presion_cilindro!$B$9-1)*Presion_cilindro!$B$33*(IF(Presion_cilindro!N706&gt;(-K$4+Presion_cilindro!$B$34),1-EXP(-Presion_cilindro!$B$16*((Presion_cilindro!N706-(-K$4+Presion_cilindro!$B$34))/Presion_cilindro!$B$35)^(Presion_cilindro!$B$17+1)),0)-IF(Presion_cilindro!N705&gt;(-K$4+Presion_cilindro!$B$34),1-EXP(-Presion_cilindro!$B$16*((Presion_cilindro!N705-(-K$4+Presion_cilindro!$B$34))/Presion_cilindro!$B$35)^(Presion_cilindro!$B$17+1)),0))/((Presion_cilindro!O705+Presion_cilindro!O706)/2)</f>
        <v>2.3040938696851758</v>
      </c>
      <c r="L714" s="27">
        <f>L713*(Presion_cilindro!O705/Presion_cilindro!O706)^Presion_cilindro!$B$9+10*(Presion_cilindro!$B$9-1)*Presion_cilindro!$B$33*(IF(Presion_cilindro!N706&gt;(-L$4+Presion_cilindro!$B$34),1-EXP(-Presion_cilindro!$B$16*((Presion_cilindro!N706-(-L$4+Presion_cilindro!$B$34))/Presion_cilindro!$B$35)^(Presion_cilindro!$B$17+1)),0)-IF(Presion_cilindro!N705&gt;(-L$4+Presion_cilindro!$B$34),1-EXP(-Presion_cilindro!$B$16*((Presion_cilindro!N705-(-L$4+Presion_cilindro!$B$34))/Presion_cilindro!$B$35)^(Presion_cilindro!$B$17+1)),0))/((Presion_cilindro!O705+Presion_cilindro!O706)/2)</f>
        <v>2.3505013116183924</v>
      </c>
      <c r="M714" s="27">
        <f>M713*(Presion_cilindro!O705/Presion_cilindro!O706)^Presion_cilindro!$B$9+10*(Presion_cilindro!$B$9-1)*Presion_cilindro!$B$33*(IF(Presion_cilindro!N706&gt;(-M$4+Presion_cilindro!$B$34),1-EXP(-Presion_cilindro!$B$16*((Presion_cilindro!N706-(-M$4+Presion_cilindro!$B$34))/Presion_cilindro!$B$35)^(Presion_cilindro!$B$17+1)),0)-IF(Presion_cilindro!N705&gt;(-M$4+Presion_cilindro!$B$34),1-EXP(-Presion_cilindro!$B$16*((Presion_cilindro!N705-(-M$4+Presion_cilindro!$B$34))/Presion_cilindro!$B$35)^(Presion_cilindro!$B$17+1)),0))/((Presion_cilindro!O705+Presion_cilindro!O706)/2)</f>
        <v>2.4099844682809346</v>
      </c>
      <c r="N714" s="27">
        <f>N713*(Presion_cilindro!O705/Presion_cilindro!O706)^Presion_cilindro!$B$9+10*(Presion_cilindro!$B$9-1)*Presion_cilindro!$B$33*(IF(Presion_cilindro!N706&gt;(-N$4+Presion_cilindro!$B$34),1-EXP(-Presion_cilindro!$B$16*((Presion_cilindro!N706-(-N$4+Presion_cilindro!$B$34))/Presion_cilindro!$B$35)^(Presion_cilindro!$B$17+1)),0)-IF(Presion_cilindro!N705&gt;(-N$4+Presion_cilindro!$B$34),1-EXP(-Presion_cilindro!$B$16*((Presion_cilindro!N705-(-N$4+Presion_cilindro!$B$34))/Presion_cilindro!$B$35)^(Presion_cilindro!$B$17+1)),0))/((Presion_cilindro!O705+Presion_cilindro!O706)/2)</f>
        <v>2.4795595156062049</v>
      </c>
    </row>
    <row r="715" spans="1:14" x14ac:dyDescent="0.25">
      <c r="A715" s="21">
        <f>Presion_cilindro!N707</f>
        <v>171.5</v>
      </c>
      <c r="B715" s="27">
        <f>B714*(Presion_cilindro!O706/Presion_cilindro!O707)^Presion_cilindro!$B$9+10*(Presion_cilindro!$B$9-1)*Presion_cilindro!$B$33*(IF(Presion_cilindro!N707&gt;(-B$4+Presion_cilindro!$B$34),1-EXP(-Presion_cilindro!$B$16*((Presion_cilindro!N707-(-B$4+Presion_cilindro!$B$34))/Presion_cilindro!$B$35)^(Presion_cilindro!$B$17+1)),0)-IF(Presion_cilindro!N706&gt;(-B$4+Presion_cilindro!$B$34),1-EXP(-Presion_cilindro!$B$16*((Presion_cilindro!N706-(-B$4+Presion_cilindro!$B$34))/Presion_cilindro!$B$35)^(Presion_cilindro!$B$17+1)),0))/((Presion_cilindro!O706+Presion_cilindro!O707)/2)</f>
        <v>2.606021958349817</v>
      </c>
      <c r="C715" s="27">
        <f>C714*(Presion_cilindro!O706/Presion_cilindro!O707)^Presion_cilindro!$B$9+10*(Presion_cilindro!$B$9-1)*Presion_cilindro!$B$33*(IF(Presion_cilindro!N707&gt;(-C$4+Presion_cilindro!$B$34),1-EXP(-Presion_cilindro!$B$16*((Presion_cilindro!N707-(-C$4+Presion_cilindro!$B$34))/Presion_cilindro!$B$35)^(Presion_cilindro!$B$17+1)),0)-IF(Presion_cilindro!N706&gt;(-C$4+Presion_cilindro!$B$34),1-EXP(-Presion_cilindro!$B$16*((Presion_cilindro!N706-(-C$4+Presion_cilindro!$B$34))/Presion_cilindro!$B$35)^(Presion_cilindro!$B$17+1)),0))/((Presion_cilindro!O706+Presion_cilindro!O707)/2)</f>
        <v>2.5259030401580769</v>
      </c>
      <c r="D715" s="27">
        <f>D714*(Presion_cilindro!O706/Presion_cilindro!O707)^Presion_cilindro!$B$9+10*(Presion_cilindro!$B$9-1)*Presion_cilindro!$B$33*(IF(Presion_cilindro!N707&gt;(-D$4+Presion_cilindro!$B$34),1-EXP(-Presion_cilindro!$B$16*((Presion_cilindro!N707-(-D$4+Presion_cilindro!$B$34))/Presion_cilindro!$B$35)^(Presion_cilindro!$B$17+1)),0)-IF(Presion_cilindro!N706&gt;(-D$4+Presion_cilindro!$B$34),1-EXP(-Presion_cilindro!$B$16*((Presion_cilindro!N706-(-D$4+Presion_cilindro!$B$34))/Presion_cilindro!$B$35)^(Presion_cilindro!$B$17+1)),0))/((Presion_cilindro!O706+Presion_cilindro!O707)/2)</f>
        <v>2.4512839759173208</v>
      </c>
      <c r="E715" s="27">
        <f>E714*(Presion_cilindro!O706/Presion_cilindro!O707)^Presion_cilindro!$B$9+10*(Presion_cilindro!$B$9-1)*Presion_cilindro!$B$33*(IF(Presion_cilindro!N707&gt;(-E$4+Presion_cilindro!$B$34),1-EXP(-Presion_cilindro!$B$16*((Presion_cilindro!N707-(-E$4+Presion_cilindro!$B$34))/Presion_cilindro!$B$35)^(Presion_cilindro!$B$17+1)),0)-IF(Presion_cilindro!N706&gt;(-E$4+Presion_cilindro!$B$34),1-EXP(-Presion_cilindro!$B$16*((Presion_cilindro!N706-(-E$4+Presion_cilindro!$B$34))/Presion_cilindro!$B$35)^(Presion_cilindro!$B$17+1)),0))/((Presion_cilindro!O706+Presion_cilindro!O707)/2)</f>
        <v>2.3849406882761888</v>
      </c>
      <c r="F715" s="27">
        <f>F714*(Presion_cilindro!O706/Presion_cilindro!O707)^Presion_cilindro!$B$9+10*(Presion_cilindro!$B$9-1)*Presion_cilindro!$B$33*(IF(Presion_cilindro!N707&gt;(-F$4+Presion_cilindro!$B$34),1-EXP(-Presion_cilindro!$B$16*((Presion_cilindro!N707-(-F$4+Presion_cilindro!$B$34))/Presion_cilindro!$B$35)^(Presion_cilindro!$B$17+1)),0)-IF(Presion_cilindro!N706&gt;(-F$4+Presion_cilindro!$B$34),1-EXP(-Presion_cilindro!$B$16*((Presion_cilindro!N706-(-F$4+Presion_cilindro!$B$34))/Presion_cilindro!$B$35)^(Presion_cilindro!$B$17+1)),0))/((Presion_cilindro!O706+Presion_cilindro!O707)/2)</f>
        <v>2.3298972198647543</v>
      </c>
      <c r="G715" s="27">
        <f>G714*(Presion_cilindro!O706/Presion_cilindro!O707)^Presion_cilindro!$B$9+10*(Presion_cilindro!$B$9-1)*Presion_cilindro!$B$33*(IF(Presion_cilindro!N707&gt;(-G$4+Presion_cilindro!$B$34),1-EXP(-Presion_cilindro!$B$16*((Presion_cilindro!N707-(-G$4+Presion_cilindro!$B$34))/Presion_cilindro!$B$35)^(Presion_cilindro!$B$17+1)),0)-IF(Presion_cilindro!N706&gt;(-G$4+Presion_cilindro!$B$34),1-EXP(-Presion_cilindro!$B$16*((Presion_cilindro!N706-(-G$4+Presion_cilindro!$B$34))/Presion_cilindro!$B$35)^(Presion_cilindro!$B$17+1)),0))/((Presion_cilindro!O706+Presion_cilindro!O707)/2)</f>
        <v>2.2891106559282313</v>
      </c>
      <c r="H715" s="27">
        <f>H714*(Presion_cilindro!O706/Presion_cilindro!O707)^Presion_cilindro!$B$9+10*(Presion_cilindro!$B$9-1)*Presion_cilindro!$B$33*(IF(Presion_cilindro!N707&gt;(-H$4+Presion_cilindro!$B$34),1-EXP(-Presion_cilindro!$B$16*((Presion_cilindro!N707-(-H$4+Presion_cilindro!$B$34))/Presion_cilindro!$B$35)^(Presion_cilindro!$B$17+1)),0)-IF(Presion_cilindro!N706&gt;(-H$4+Presion_cilindro!$B$34),1-EXP(-Presion_cilindro!$B$16*((Presion_cilindro!N706-(-H$4+Presion_cilindro!$B$34))/Presion_cilindro!$B$35)^(Presion_cilindro!$B$17+1)),0))/((Presion_cilindro!O706+Presion_cilindro!O707)/2)</f>
        <v>2.2650512032515868</v>
      </c>
      <c r="I715" s="27">
        <f>I714*(Presion_cilindro!O706/Presion_cilindro!O707)^Presion_cilindro!$B$9+10*(Presion_cilindro!$B$9-1)*Presion_cilindro!$B$33*(IF(Presion_cilindro!N707&gt;(-I$4+Presion_cilindro!$B$34),1-EXP(-Presion_cilindro!$B$16*((Presion_cilindro!N707-(-I$4+Presion_cilindro!$B$34))/Presion_cilindro!$B$35)^(Presion_cilindro!$B$17+1)),0)-IF(Presion_cilindro!N706&gt;(-I$4+Presion_cilindro!$B$34),1-EXP(-Presion_cilindro!$B$16*((Presion_cilindro!N706-(-I$4+Presion_cilindro!$B$34))/Presion_cilindro!$B$35)^(Presion_cilindro!$B$17+1)),0))/((Presion_cilindro!O706+Presion_cilindro!O707)/2)</f>
        <v>2.2592800117650995</v>
      </c>
      <c r="J715" s="27">
        <f>J714*(Presion_cilindro!O706/Presion_cilindro!O707)^Presion_cilindro!$B$9+10*(Presion_cilindro!$B$9-1)*Presion_cilindro!$B$33*(IF(Presion_cilindro!N707&gt;(-J$4+Presion_cilindro!$B$34),1-EXP(-Presion_cilindro!$B$16*((Presion_cilindro!N707-(-J$4+Presion_cilindro!$B$34))/Presion_cilindro!$B$35)^(Presion_cilindro!$B$17+1)),0)-IF(Presion_cilindro!N706&gt;(-J$4+Presion_cilindro!$B$34),1-EXP(-Presion_cilindro!$B$16*((Presion_cilindro!N706-(-J$4+Presion_cilindro!$B$34))/Presion_cilindro!$B$35)^(Presion_cilindro!$B$17+1)),0))/((Presion_cilindro!O706+Presion_cilindro!O707)/2)</f>
        <v>2.2721565229952616</v>
      </c>
      <c r="K715" s="27">
        <f>K714*(Presion_cilindro!O706/Presion_cilindro!O707)^Presion_cilindro!$B$9+10*(Presion_cilindro!$B$9-1)*Presion_cilindro!$B$33*(IF(Presion_cilindro!N707&gt;(-K$4+Presion_cilindro!$B$34),1-EXP(-Presion_cilindro!$B$16*((Presion_cilindro!N707-(-K$4+Presion_cilindro!$B$34))/Presion_cilindro!$B$35)^(Presion_cilindro!$B$17+1)),0)-IF(Presion_cilindro!N706&gt;(-K$4+Presion_cilindro!$B$34),1-EXP(-Presion_cilindro!$B$16*((Presion_cilindro!N706-(-K$4+Presion_cilindro!$B$34))/Presion_cilindro!$B$35)^(Presion_cilindro!$B$17+1)),0))/((Presion_cilindro!O706+Presion_cilindro!O707)/2)</f>
        <v>2.3027760878073966</v>
      </c>
      <c r="L715" s="27">
        <f>L714*(Presion_cilindro!O706/Presion_cilindro!O707)^Presion_cilindro!$B$9+10*(Presion_cilindro!$B$9-1)*Presion_cilindro!$B$33*(IF(Presion_cilindro!N707&gt;(-L$4+Presion_cilindro!$B$34),1-EXP(-Presion_cilindro!$B$16*((Presion_cilindro!N707-(-L$4+Presion_cilindro!$B$34))/Presion_cilindro!$B$35)^(Presion_cilindro!$B$17+1)),0)-IF(Presion_cilindro!N706&gt;(-L$4+Presion_cilindro!$B$34),1-EXP(-Presion_cilindro!$B$16*((Presion_cilindro!N706-(-L$4+Presion_cilindro!$B$34))/Presion_cilindro!$B$35)^(Presion_cilindro!$B$17+1)),0))/((Presion_cilindro!O706+Presion_cilindro!O707)/2)</f>
        <v>2.349156987902723</v>
      </c>
      <c r="M715" s="27">
        <f>M714*(Presion_cilindro!O706/Presion_cilindro!O707)^Presion_cilindro!$B$9+10*(Presion_cilindro!$B$9-1)*Presion_cilindro!$B$33*(IF(Presion_cilindro!N707&gt;(-M$4+Presion_cilindro!$B$34),1-EXP(-Presion_cilindro!$B$16*((Presion_cilindro!N707-(-M$4+Presion_cilindro!$B$34))/Presion_cilindro!$B$35)^(Presion_cilindro!$B$17+1)),0)-IF(Presion_cilindro!N706&gt;(-M$4+Presion_cilindro!$B$34),1-EXP(-Presion_cilindro!$B$16*((Presion_cilindro!N706-(-M$4+Presion_cilindro!$B$34))/Presion_cilindro!$B$35)^(Presion_cilindro!$B$17+1)),0))/((Presion_cilindro!O706+Presion_cilindro!O707)/2)</f>
        <v>2.4086061243255021</v>
      </c>
      <c r="N715" s="27">
        <f>N714*(Presion_cilindro!O706/Presion_cilindro!O707)^Presion_cilindro!$B$9+10*(Presion_cilindro!$B$9-1)*Presion_cilindro!$B$33*(IF(Presion_cilindro!N707&gt;(-N$4+Presion_cilindro!$B$34),1-EXP(-Presion_cilindro!$B$16*((Presion_cilindro!N707-(-N$4+Presion_cilindro!$B$34))/Presion_cilindro!$B$35)^(Presion_cilindro!$B$17+1)),0)-IF(Presion_cilindro!N706&gt;(-N$4+Presion_cilindro!$B$34),1-EXP(-Presion_cilindro!$B$16*((Presion_cilindro!N706-(-N$4+Presion_cilindro!$B$34))/Presion_cilindro!$B$35)^(Presion_cilindro!$B$17+1)),0))/((Presion_cilindro!O706+Presion_cilindro!O707)/2)</f>
        <v>2.4781413795495402</v>
      </c>
    </row>
    <row r="716" spans="1:14" x14ac:dyDescent="0.25">
      <c r="A716" s="21">
        <f>Presion_cilindro!N708</f>
        <v>172</v>
      </c>
      <c r="B716" s="27">
        <f>B715*(Presion_cilindro!O707/Presion_cilindro!O708)^Presion_cilindro!$B$9+10*(Presion_cilindro!$B$9-1)*Presion_cilindro!$B$33*(IF(Presion_cilindro!N708&gt;(-B$4+Presion_cilindro!$B$34),1-EXP(-Presion_cilindro!$B$16*((Presion_cilindro!N708-(-B$4+Presion_cilindro!$B$34))/Presion_cilindro!$B$35)^(Presion_cilindro!$B$17+1)),0)-IF(Presion_cilindro!N707&gt;(-B$4+Presion_cilindro!$B$34),1-EXP(-Presion_cilindro!$B$16*((Presion_cilindro!N707-(-B$4+Presion_cilindro!$B$34))/Presion_cilindro!$B$35)^(Presion_cilindro!$B$17+1)),0))/((Presion_cilindro!O707+Presion_cilindro!O708)/2)</f>
        <v>2.6046172853375125</v>
      </c>
      <c r="C716" s="27">
        <f>C715*(Presion_cilindro!O707/Presion_cilindro!O708)^Presion_cilindro!$B$9+10*(Presion_cilindro!$B$9-1)*Presion_cilindro!$B$33*(IF(Presion_cilindro!N708&gt;(-C$4+Presion_cilindro!$B$34),1-EXP(-Presion_cilindro!$B$16*((Presion_cilindro!N708-(-C$4+Presion_cilindro!$B$34))/Presion_cilindro!$B$35)^(Presion_cilindro!$B$17+1)),0)-IF(Presion_cilindro!N707&gt;(-C$4+Presion_cilindro!$B$34),1-EXP(-Presion_cilindro!$B$16*((Presion_cilindro!N707-(-C$4+Presion_cilindro!$B$34))/Presion_cilindro!$B$35)^(Presion_cilindro!$B$17+1)),0))/((Presion_cilindro!O707+Presion_cilindro!O708)/2)</f>
        <v>2.5245415520781935</v>
      </c>
      <c r="D716" s="27">
        <f>D715*(Presion_cilindro!O707/Presion_cilindro!O708)^Presion_cilindro!$B$9+10*(Presion_cilindro!$B$9-1)*Presion_cilindro!$B$33*(IF(Presion_cilindro!N708&gt;(-D$4+Presion_cilindro!$B$34),1-EXP(-Presion_cilindro!$B$16*((Presion_cilindro!N708-(-D$4+Presion_cilindro!$B$34))/Presion_cilindro!$B$35)^(Presion_cilindro!$B$17+1)),0)-IF(Presion_cilindro!N707&gt;(-D$4+Presion_cilindro!$B$34),1-EXP(-Presion_cilindro!$B$16*((Presion_cilindro!N707-(-D$4+Presion_cilindro!$B$34))/Presion_cilindro!$B$35)^(Presion_cilindro!$B$17+1)),0))/((Presion_cilindro!O707+Presion_cilindro!O708)/2)</f>
        <v>2.4499627082912236</v>
      </c>
      <c r="E716" s="27">
        <f>E715*(Presion_cilindro!O707/Presion_cilindro!O708)^Presion_cilindro!$B$9+10*(Presion_cilindro!$B$9-1)*Presion_cilindro!$B$33*(IF(Presion_cilindro!N708&gt;(-E$4+Presion_cilindro!$B$34),1-EXP(-Presion_cilindro!$B$16*((Presion_cilindro!N708-(-E$4+Presion_cilindro!$B$34))/Presion_cilindro!$B$35)^(Presion_cilindro!$B$17+1)),0)-IF(Presion_cilindro!N707&gt;(-E$4+Presion_cilindro!$B$34),1-EXP(-Presion_cilindro!$B$16*((Presion_cilindro!N707-(-E$4+Presion_cilindro!$B$34))/Presion_cilindro!$B$35)^(Presion_cilindro!$B$17+1)),0))/((Presion_cilindro!O707+Presion_cilindro!O708)/2)</f>
        <v>2.3836551803739878</v>
      </c>
      <c r="F716" s="27">
        <f>F715*(Presion_cilindro!O707/Presion_cilindro!O708)^Presion_cilindro!$B$9+10*(Presion_cilindro!$B$9-1)*Presion_cilindro!$B$33*(IF(Presion_cilindro!N708&gt;(-F$4+Presion_cilindro!$B$34),1-EXP(-Presion_cilindro!$B$16*((Presion_cilindro!N708-(-F$4+Presion_cilindro!$B$34))/Presion_cilindro!$B$35)^(Presion_cilindro!$B$17+1)),0)-IF(Presion_cilindro!N707&gt;(-F$4+Presion_cilindro!$B$34),1-EXP(-Presion_cilindro!$B$16*((Presion_cilindro!N707-(-F$4+Presion_cilindro!$B$34))/Presion_cilindro!$B$35)^(Presion_cilindro!$B$17+1)),0))/((Presion_cilindro!O707+Presion_cilindro!O708)/2)</f>
        <v>2.3286413809660447</v>
      </c>
      <c r="G716" s="27">
        <f>G715*(Presion_cilindro!O707/Presion_cilindro!O708)^Presion_cilindro!$B$9+10*(Presion_cilindro!$B$9-1)*Presion_cilindro!$B$33*(IF(Presion_cilindro!N708&gt;(-G$4+Presion_cilindro!$B$34),1-EXP(-Presion_cilindro!$B$16*((Presion_cilindro!N708-(-G$4+Presion_cilindro!$B$34))/Presion_cilindro!$B$35)^(Presion_cilindro!$B$17+1)),0)-IF(Presion_cilindro!N707&gt;(-G$4+Presion_cilindro!$B$34),1-EXP(-Presion_cilindro!$B$16*((Presion_cilindro!N707-(-G$4+Presion_cilindro!$B$34))/Presion_cilindro!$B$35)^(Presion_cilindro!$B$17+1)),0))/((Presion_cilindro!O707+Presion_cilindro!O708)/2)</f>
        <v>2.2878768014128239</v>
      </c>
      <c r="H716" s="27">
        <f>H715*(Presion_cilindro!O707/Presion_cilindro!O708)^Presion_cilindro!$B$9+10*(Presion_cilindro!$B$9-1)*Presion_cilindro!$B$33*(IF(Presion_cilindro!N708&gt;(-H$4+Presion_cilindro!$B$34),1-EXP(-Presion_cilindro!$B$16*((Presion_cilindro!N708-(-H$4+Presion_cilindro!$B$34))/Presion_cilindro!$B$35)^(Presion_cilindro!$B$17+1)),0)-IF(Presion_cilindro!N707&gt;(-H$4+Presion_cilindro!$B$34),1-EXP(-Presion_cilindro!$B$16*((Presion_cilindro!N707-(-H$4+Presion_cilindro!$B$34))/Presion_cilindro!$B$35)^(Presion_cilindro!$B$17+1)),0))/((Presion_cilindro!O707+Presion_cilindro!O708)/2)</f>
        <v>2.2638303170320748</v>
      </c>
      <c r="I716" s="27">
        <f>I715*(Presion_cilindro!O707/Presion_cilindro!O708)^Presion_cilindro!$B$9+10*(Presion_cilindro!$B$9-1)*Presion_cilindro!$B$33*(IF(Presion_cilindro!N708&gt;(-I$4+Presion_cilindro!$B$34),1-EXP(-Presion_cilindro!$B$16*((Presion_cilindro!N708-(-I$4+Presion_cilindro!$B$34))/Presion_cilindro!$B$35)^(Presion_cilindro!$B$17+1)),0)-IF(Presion_cilindro!N707&gt;(-I$4+Presion_cilindro!$B$34),1-EXP(-Presion_cilindro!$B$16*((Presion_cilindro!N707-(-I$4+Presion_cilindro!$B$34))/Presion_cilindro!$B$35)^(Presion_cilindro!$B$17+1)),0))/((Presion_cilindro!O707+Presion_cilindro!O708)/2)</f>
        <v>2.2580622362779832</v>
      </c>
      <c r="J716" s="27">
        <f>J715*(Presion_cilindro!O707/Presion_cilindro!O708)^Presion_cilindro!$B$9+10*(Presion_cilindro!$B$9-1)*Presion_cilindro!$B$33*(IF(Presion_cilindro!N708&gt;(-J$4+Presion_cilindro!$B$34),1-EXP(-Presion_cilindro!$B$16*((Presion_cilindro!N708-(-J$4+Presion_cilindro!$B$34))/Presion_cilindro!$B$35)^(Presion_cilindro!$B$17+1)),0)-IF(Presion_cilindro!N707&gt;(-J$4+Presion_cilindro!$B$34),1-EXP(-Presion_cilindro!$B$16*((Presion_cilindro!N707-(-J$4+Presion_cilindro!$B$34))/Presion_cilindro!$B$35)^(Presion_cilindro!$B$17+1)),0))/((Presion_cilindro!O707+Presion_cilindro!O708)/2)</f>
        <v>2.2709318069343101</v>
      </c>
      <c r="K716" s="27">
        <f>K715*(Presion_cilindro!O707/Presion_cilindro!O708)^Presion_cilindro!$B$9+10*(Presion_cilindro!$B$9-1)*Presion_cilindro!$B$33*(IF(Presion_cilindro!N708&gt;(-K$4+Presion_cilindro!$B$34),1-EXP(-Presion_cilindro!$B$16*((Presion_cilindro!N708-(-K$4+Presion_cilindro!$B$34))/Presion_cilindro!$B$35)^(Presion_cilindro!$B$17+1)),0)-IF(Presion_cilindro!N707&gt;(-K$4+Presion_cilindro!$B$34),1-EXP(-Presion_cilindro!$B$16*((Presion_cilindro!N707-(-K$4+Presion_cilindro!$B$34))/Presion_cilindro!$B$35)^(Presion_cilindro!$B$17+1)),0))/((Presion_cilindro!O707+Presion_cilindro!O708)/2)</f>
        <v>2.3015348674816969</v>
      </c>
      <c r="L716" s="27">
        <f>L715*(Presion_cilindro!O707/Presion_cilindro!O708)^Presion_cilindro!$B$9+10*(Presion_cilindro!$B$9-1)*Presion_cilindro!$B$33*(IF(Presion_cilindro!N708&gt;(-L$4+Presion_cilindro!$B$34),1-EXP(-Presion_cilindro!$B$16*((Presion_cilindro!N708-(-L$4+Presion_cilindro!$B$34))/Presion_cilindro!$B$35)^(Presion_cilindro!$B$17+1)),0)-IF(Presion_cilindro!N707&gt;(-L$4+Presion_cilindro!$B$34),1-EXP(-Presion_cilindro!$B$16*((Presion_cilindro!N707-(-L$4+Presion_cilindro!$B$34))/Presion_cilindro!$B$35)^(Presion_cilindro!$B$17+1)),0))/((Presion_cilindro!O707+Presion_cilindro!O708)/2)</f>
        <v>2.3478907677881913</v>
      </c>
      <c r="M716" s="27">
        <f>M715*(Presion_cilindro!O707/Presion_cilindro!O708)^Presion_cilindro!$B$9+10*(Presion_cilindro!$B$9-1)*Presion_cilindro!$B$33*(IF(Presion_cilindro!N708&gt;(-M$4+Presion_cilindro!$B$34),1-EXP(-Presion_cilindro!$B$16*((Presion_cilindro!N708-(-M$4+Presion_cilindro!$B$34))/Presion_cilindro!$B$35)^(Presion_cilindro!$B$17+1)),0)-IF(Presion_cilindro!N707&gt;(-M$4+Presion_cilindro!$B$34),1-EXP(-Presion_cilindro!$B$16*((Presion_cilindro!N707-(-M$4+Presion_cilindro!$B$34))/Presion_cilindro!$B$35)^(Presion_cilindro!$B$17+1)),0))/((Presion_cilindro!O707+Presion_cilindro!O708)/2)</f>
        <v>2.4073078605064766</v>
      </c>
      <c r="N716" s="27">
        <f>N715*(Presion_cilindro!O707/Presion_cilindro!O708)^Presion_cilindro!$B$9+10*(Presion_cilindro!$B$9-1)*Presion_cilindro!$B$33*(IF(Presion_cilindro!N708&gt;(-N$4+Presion_cilindro!$B$34),1-EXP(-Presion_cilindro!$B$16*((Presion_cilindro!N708-(-N$4+Presion_cilindro!$B$34))/Presion_cilindro!$B$35)^(Presion_cilindro!$B$17+1)),0)-IF(Presion_cilindro!N707&gt;(-N$4+Presion_cilindro!$B$34),1-EXP(-Presion_cilindro!$B$16*((Presion_cilindro!N707-(-N$4+Presion_cilindro!$B$34))/Presion_cilindro!$B$35)^(Presion_cilindro!$B$17+1)),0))/((Presion_cilindro!O707+Presion_cilindro!O708)/2)</f>
        <v>2.4768056355028043</v>
      </c>
    </row>
    <row r="717" spans="1:14" x14ac:dyDescent="0.25">
      <c r="A717" s="21">
        <f>Presion_cilindro!N709</f>
        <v>172.5</v>
      </c>
      <c r="B717" s="27">
        <f>B716*(Presion_cilindro!O708/Presion_cilindro!O709)^Presion_cilindro!$B$9+10*(Presion_cilindro!$B$9-1)*Presion_cilindro!$B$33*(IF(Presion_cilindro!N709&gt;(-B$4+Presion_cilindro!$B$34),1-EXP(-Presion_cilindro!$B$16*((Presion_cilindro!N709-(-B$4+Presion_cilindro!$B$34))/Presion_cilindro!$B$35)^(Presion_cilindro!$B$17+1)),0)-IF(Presion_cilindro!N708&gt;(-B$4+Presion_cilindro!$B$34),1-EXP(-Presion_cilindro!$B$16*((Presion_cilindro!N708-(-B$4+Presion_cilindro!$B$34))/Presion_cilindro!$B$35)^(Presion_cilindro!$B$17+1)),0))/((Presion_cilindro!O708+Presion_cilindro!O709)/2)</f>
        <v>2.6032990031143055</v>
      </c>
      <c r="C717" s="27">
        <f>C716*(Presion_cilindro!O708/Presion_cilindro!O709)^Presion_cilindro!$B$9+10*(Presion_cilindro!$B$9-1)*Presion_cilindro!$B$33*(IF(Presion_cilindro!N709&gt;(-C$4+Presion_cilindro!$B$34),1-EXP(-Presion_cilindro!$B$16*((Presion_cilindro!N709-(-C$4+Presion_cilindro!$B$34))/Presion_cilindro!$B$35)^(Presion_cilindro!$B$17+1)),0)-IF(Presion_cilindro!N708&gt;(-C$4+Presion_cilindro!$B$34),1-EXP(-Presion_cilindro!$B$16*((Presion_cilindro!N708-(-C$4+Presion_cilindro!$B$34))/Presion_cilindro!$B$35)^(Presion_cilindro!$B$17+1)),0))/((Presion_cilindro!O708+Presion_cilindro!O709)/2)</f>
        <v>2.5232637988095705</v>
      </c>
      <c r="D717" s="27">
        <f>D716*(Presion_cilindro!O708/Presion_cilindro!O709)^Presion_cilindro!$B$9+10*(Presion_cilindro!$B$9-1)*Presion_cilindro!$B$33*(IF(Presion_cilindro!N709&gt;(-D$4+Presion_cilindro!$B$34),1-EXP(-Presion_cilindro!$B$16*((Presion_cilindro!N709-(-D$4+Presion_cilindro!$B$34))/Presion_cilindro!$B$35)^(Presion_cilindro!$B$17+1)),0)-IF(Presion_cilindro!N708&gt;(-D$4+Presion_cilindro!$B$34),1-EXP(-Presion_cilindro!$B$16*((Presion_cilindro!N708-(-D$4+Presion_cilindro!$B$34))/Presion_cilindro!$B$35)^(Presion_cilindro!$B$17+1)),0))/((Presion_cilindro!O708+Presion_cilindro!O709)/2)</f>
        <v>2.4487227018211595</v>
      </c>
      <c r="E717" s="27">
        <f>E716*(Presion_cilindro!O708/Presion_cilindro!O709)^Presion_cilindro!$B$9+10*(Presion_cilindro!$B$9-1)*Presion_cilindro!$B$33*(IF(Presion_cilindro!N709&gt;(-E$4+Presion_cilindro!$B$34),1-EXP(-Presion_cilindro!$B$16*((Presion_cilindro!N709-(-E$4+Presion_cilindro!$B$34))/Presion_cilindro!$B$35)^(Presion_cilindro!$B$17+1)),0)-IF(Presion_cilindro!N708&gt;(-E$4+Presion_cilindro!$B$34),1-EXP(-Presion_cilindro!$B$16*((Presion_cilindro!N708-(-E$4+Presion_cilindro!$B$34))/Presion_cilindro!$B$35)^(Presion_cilindro!$B$17+1)),0))/((Presion_cilindro!O708+Presion_cilindro!O709)/2)</f>
        <v>2.382448734318273</v>
      </c>
      <c r="F717" s="27">
        <f>F716*(Presion_cilindro!O708/Presion_cilindro!O709)^Presion_cilindro!$B$9+10*(Presion_cilindro!$B$9-1)*Presion_cilindro!$B$33*(IF(Presion_cilindro!N709&gt;(-F$4+Presion_cilindro!$B$34),1-EXP(-Presion_cilindro!$B$16*((Presion_cilindro!N709-(-F$4+Presion_cilindro!$B$34))/Presion_cilindro!$B$35)^(Presion_cilindro!$B$17+1)),0)-IF(Presion_cilindro!N708&gt;(-F$4+Presion_cilindro!$B$34),1-EXP(-Presion_cilindro!$B$16*((Presion_cilindro!N708-(-F$4+Presion_cilindro!$B$34))/Presion_cilindro!$B$35)^(Presion_cilindro!$B$17+1)),0))/((Presion_cilindro!O708+Presion_cilindro!O709)/2)</f>
        <v>2.3274627791983176</v>
      </c>
      <c r="G717" s="27">
        <f>G716*(Presion_cilindro!O708/Presion_cilindro!O709)^Presion_cilindro!$B$9+10*(Presion_cilindro!$B$9-1)*Presion_cilindro!$B$33*(IF(Presion_cilindro!N709&gt;(-G$4+Presion_cilindro!$B$34),1-EXP(-Presion_cilindro!$B$16*((Presion_cilindro!N709-(-G$4+Presion_cilindro!$B$34))/Presion_cilindro!$B$35)^(Presion_cilindro!$B$17+1)),0)-IF(Presion_cilindro!N708&gt;(-G$4+Presion_cilindro!$B$34),1-EXP(-Presion_cilindro!$B$16*((Presion_cilindro!N708-(-G$4+Presion_cilindro!$B$34))/Presion_cilindro!$B$35)^(Presion_cilindro!$B$17+1)),0))/((Presion_cilindro!O708+Presion_cilindro!O709)/2)</f>
        <v>2.2867188319356311</v>
      </c>
      <c r="H717" s="27">
        <f>H716*(Presion_cilindro!O708/Presion_cilindro!O709)^Presion_cilindro!$B$9+10*(Presion_cilindro!$B$9-1)*Presion_cilindro!$B$33*(IF(Presion_cilindro!N709&gt;(-H$4+Presion_cilindro!$B$34),1-EXP(-Presion_cilindro!$B$16*((Presion_cilindro!N709-(-H$4+Presion_cilindro!$B$34))/Presion_cilindro!$B$35)^(Presion_cilindro!$B$17+1)),0)-IF(Presion_cilindro!N708&gt;(-H$4+Presion_cilindro!$B$34),1-EXP(-Presion_cilindro!$B$16*((Presion_cilindro!N708-(-H$4+Presion_cilindro!$B$34))/Presion_cilindro!$B$35)^(Presion_cilindro!$B$17+1)),0))/((Presion_cilindro!O708+Presion_cilindro!O709)/2)</f>
        <v>2.2626845182692006</v>
      </c>
      <c r="I717" s="27">
        <f>I716*(Presion_cilindro!O708/Presion_cilindro!O709)^Presion_cilindro!$B$9+10*(Presion_cilindro!$B$9-1)*Presion_cilindro!$B$33*(IF(Presion_cilindro!N709&gt;(-I$4+Presion_cilindro!$B$34),1-EXP(-Presion_cilindro!$B$16*((Presion_cilindro!N709-(-I$4+Presion_cilindro!$B$34))/Presion_cilindro!$B$35)^(Presion_cilindro!$B$17+1)),0)-IF(Presion_cilindro!N708&gt;(-I$4+Presion_cilindro!$B$34),1-EXP(-Presion_cilindro!$B$16*((Presion_cilindro!N708-(-I$4+Presion_cilindro!$B$34))/Presion_cilindro!$B$35)^(Presion_cilindro!$B$17+1)),0))/((Presion_cilindro!O708+Presion_cilindro!O709)/2)</f>
        <v>2.2569193569299357</v>
      </c>
      <c r="J717" s="27">
        <f>J716*(Presion_cilindro!O708/Presion_cilindro!O709)^Presion_cilindro!$B$9+10*(Presion_cilindro!$B$9-1)*Presion_cilindro!$B$33*(IF(Presion_cilindro!N709&gt;(-J$4+Presion_cilindro!$B$34),1-EXP(-Presion_cilindro!$B$16*((Presion_cilindro!N709-(-J$4+Presion_cilindro!$B$34))/Presion_cilindro!$B$35)^(Presion_cilindro!$B$17+1)),0)-IF(Presion_cilindro!N708&gt;(-J$4+Presion_cilindro!$B$34),1-EXP(-Presion_cilindro!$B$16*((Presion_cilindro!N708-(-J$4+Presion_cilindro!$B$34))/Presion_cilindro!$B$35)^(Presion_cilindro!$B$17+1)),0))/((Presion_cilindro!O708+Presion_cilindro!O709)/2)</f>
        <v>2.2697824138745122</v>
      </c>
      <c r="K717" s="27">
        <f>K716*(Presion_cilindro!O708/Presion_cilindro!O709)^Presion_cilindro!$B$9+10*(Presion_cilindro!$B$9-1)*Presion_cilindro!$B$33*(IF(Presion_cilindro!N709&gt;(-K$4+Presion_cilindro!$B$34),1-EXP(-Presion_cilindro!$B$16*((Presion_cilindro!N709-(-K$4+Presion_cilindro!$B$34))/Presion_cilindro!$B$35)^(Presion_cilindro!$B$17+1)),0)-IF(Presion_cilindro!N708&gt;(-K$4+Presion_cilindro!$B$34),1-EXP(-Presion_cilindro!$B$16*((Presion_cilindro!N708-(-K$4+Presion_cilindro!$B$34))/Presion_cilindro!$B$35)^(Presion_cilindro!$B$17+1)),0))/((Presion_cilindro!O708+Presion_cilindro!O709)/2)</f>
        <v>2.3003699852093678</v>
      </c>
      <c r="L717" s="27">
        <f>L716*(Presion_cilindro!O708/Presion_cilindro!O709)^Presion_cilindro!$B$9+10*(Presion_cilindro!$B$9-1)*Presion_cilindro!$B$33*(IF(Presion_cilindro!N709&gt;(-L$4+Presion_cilindro!$B$34),1-EXP(-Presion_cilindro!$B$16*((Presion_cilindro!N709-(-L$4+Presion_cilindro!$B$34))/Presion_cilindro!$B$35)^(Presion_cilindro!$B$17+1)),0)-IF(Presion_cilindro!N708&gt;(-L$4+Presion_cilindro!$B$34),1-EXP(-Presion_cilindro!$B$16*((Presion_cilindro!N708-(-L$4+Presion_cilindro!$B$34))/Presion_cilindro!$B$35)^(Presion_cilindro!$B$17+1)),0))/((Presion_cilindro!O708+Presion_cilindro!O709)/2)</f>
        <v>2.3467024232745346</v>
      </c>
      <c r="M717" s="27">
        <f>M716*(Presion_cilindro!O708/Presion_cilindro!O709)^Presion_cilindro!$B$9+10*(Presion_cilindro!$B$9-1)*Presion_cilindro!$B$33*(IF(Presion_cilindro!N709&gt;(-M$4+Presion_cilindro!$B$34),1-EXP(-Presion_cilindro!$B$16*((Presion_cilindro!N709-(-M$4+Presion_cilindro!$B$34))/Presion_cilindro!$B$35)^(Presion_cilindro!$B$17+1)),0)-IF(Presion_cilindro!N708&gt;(-M$4+Presion_cilindro!$B$34),1-EXP(-Presion_cilindro!$B$16*((Presion_cilindro!N708-(-M$4+Presion_cilindro!$B$34))/Presion_cilindro!$B$35)^(Presion_cilindro!$B$17+1)),0))/((Presion_cilindro!O708+Presion_cilindro!O709)/2)</f>
        <v>2.4060894430536872</v>
      </c>
      <c r="N717" s="27">
        <f>N716*(Presion_cilindro!O708/Presion_cilindro!O709)^Presion_cilindro!$B$9+10*(Presion_cilindro!$B$9-1)*Presion_cilindro!$B$33*(IF(Presion_cilindro!N709&gt;(-N$4+Presion_cilindro!$B$34),1-EXP(-Presion_cilindro!$B$16*((Presion_cilindro!N709-(-N$4+Presion_cilindro!$B$34))/Presion_cilindro!$B$35)^(Presion_cilindro!$B$17+1)),0)-IF(Presion_cilindro!N708&gt;(-N$4+Presion_cilindro!$B$34),1-EXP(-Presion_cilindro!$B$16*((Presion_cilindro!N708-(-N$4+Presion_cilindro!$B$34))/Presion_cilindro!$B$35)^(Presion_cilindro!$B$17+1)),0))/((Presion_cilindro!O708+Presion_cilindro!O709)/2)</f>
        <v>2.4755520429469988</v>
      </c>
    </row>
    <row r="718" spans="1:14" x14ac:dyDescent="0.25">
      <c r="A718" s="21">
        <f>Presion_cilindro!N710</f>
        <v>173</v>
      </c>
      <c r="B718" s="27">
        <f>B717*(Presion_cilindro!O709/Presion_cilindro!O710)^Presion_cilindro!$B$9+10*(Presion_cilindro!$B$9-1)*Presion_cilindro!$B$33*(IF(Presion_cilindro!N710&gt;(-B$4+Presion_cilindro!$B$34),1-EXP(-Presion_cilindro!$B$16*((Presion_cilindro!N710-(-B$4+Presion_cilindro!$B$34))/Presion_cilindro!$B$35)^(Presion_cilindro!$B$17+1)),0)-IF(Presion_cilindro!N709&gt;(-B$4+Presion_cilindro!$B$34),1-EXP(-Presion_cilindro!$B$16*((Presion_cilindro!N709-(-B$4+Presion_cilindro!$B$34))/Presion_cilindro!$B$35)^(Presion_cilindro!$B$17+1)),0))/((Presion_cilindro!O709+Presion_cilindro!O710)/2)</f>
        <v>2.6020668744892341</v>
      </c>
      <c r="C718" s="27">
        <f>C717*(Presion_cilindro!O709/Presion_cilindro!O710)^Presion_cilindro!$B$9+10*(Presion_cilindro!$B$9-1)*Presion_cilindro!$B$33*(IF(Presion_cilindro!N710&gt;(-C$4+Presion_cilindro!$B$34),1-EXP(-Presion_cilindro!$B$16*((Presion_cilindro!N710-(-C$4+Presion_cilindro!$B$34))/Presion_cilindro!$B$35)^(Presion_cilindro!$B$17+1)),0)-IF(Presion_cilindro!N709&gt;(-C$4+Presion_cilindro!$B$34),1-EXP(-Presion_cilindro!$B$16*((Presion_cilindro!N709-(-C$4+Presion_cilindro!$B$34))/Presion_cilindro!$B$35)^(Presion_cilindro!$B$17+1)),0))/((Presion_cilindro!O709+Presion_cilindro!O710)/2)</f>
        <v>2.5220695504533883</v>
      </c>
      <c r="D718" s="27">
        <f>D717*(Presion_cilindro!O709/Presion_cilindro!O710)^Presion_cilindro!$B$9+10*(Presion_cilindro!$B$9-1)*Presion_cilindro!$B$33*(IF(Presion_cilindro!N710&gt;(-D$4+Presion_cilindro!$B$34),1-EXP(-Presion_cilindro!$B$16*((Presion_cilindro!N710-(-D$4+Presion_cilindro!$B$34))/Presion_cilindro!$B$35)^(Presion_cilindro!$B$17+1)),0)-IF(Presion_cilindro!N709&gt;(-D$4+Presion_cilindro!$B$34),1-EXP(-Presion_cilindro!$B$16*((Presion_cilindro!N709-(-D$4+Presion_cilindro!$B$34))/Presion_cilindro!$B$35)^(Presion_cilindro!$B$17+1)),0))/((Presion_cilindro!O709+Presion_cilindro!O710)/2)</f>
        <v>2.447563733399873</v>
      </c>
      <c r="E718" s="27">
        <f>E717*(Presion_cilindro!O709/Presion_cilindro!O710)^Presion_cilindro!$B$9+10*(Presion_cilindro!$B$9-1)*Presion_cilindro!$B$33*(IF(Presion_cilindro!N710&gt;(-E$4+Presion_cilindro!$B$34),1-EXP(-Presion_cilindro!$B$16*((Presion_cilindro!N710-(-E$4+Presion_cilindro!$B$34))/Presion_cilindro!$B$35)^(Presion_cilindro!$B$17+1)),0)-IF(Presion_cilindro!N709&gt;(-E$4+Presion_cilindro!$B$34),1-EXP(-Presion_cilindro!$B$16*((Presion_cilindro!N709-(-E$4+Presion_cilindro!$B$34))/Presion_cilindro!$B$35)^(Presion_cilindro!$B$17+1)),0))/((Presion_cilindro!O709+Presion_cilindro!O710)/2)</f>
        <v>2.3813211330401227</v>
      </c>
      <c r="F718" s="27">
        <f>F717*(Presion_cilindro!O709/Presion_cilindro!O710)^Presion_cilindro!$B$9+10*(Presion_cilindro!$B$9-1)*Presion_cilindro!$B$33*(IF(Presion_cilindro!N710&gt;(-F$4+Presion_cilindro!$B$34),1-EXP(-Presion_cilindro!$B$16*((Presion_cilindro!N710-(-F$4+Presion_cilindro!$B$34))/Presion_cilindro!$B$35)^(Presion_cilindro!$B$17+1)),0)-IF(Presion_cilindro!N709&gt;(-F$4+Presion_cilindro!$B$34),1-EXP(-Presion_cilindro!$B$16*((Presion_cilindro!N709-(-F$4+Presion_cilindro!$B$34))/Presion_cilindro!$B$35)^(Presion_cilindro!$B$17+1)),0))/((Presion_cilindro!O709+Presion_cilindro!O710)/2)</f>
        <v>2.3263612025025142</v>
      </c>
      <c r="G718" s="27">
        <f>G717*(Presion_cilindro!O709/Presion_cilindro!O710)^Presion_cilindro!$B$9+10*(Presion_cilindro!$B$9-1)*Presion_cilindro!$B$33*(IF(Presion_cilindro!N710&gt;(-G$4+Presion_cilindro!$B$34),1-EXP(-Presion_cilindro!$B$16*((Presion_cilindro!N710-(-G$4+Presion_cilindro!$B$34))/Presion_cilindro!$B$35)^(Presion_cilindro!$B$17+1)),0)-IF(Presion_cilindro!N709&gt;(-G$4+Presion_cilindro!$B$34),1-EXP(-Presion_cilindro!$B$16*((Presion_cilindro!N709-(-G$4+Presion_cilindro!$B$34))/Presion_cilindro!$B$35)^(Presion_cilindro!$B$17+1)),0))/((Presion_cilindro!O709+Presion_cilindro!O710)/2)</f>
        <v>2.2856365391498437</v>
      </c>
      <c r="H718" s="27">
        <f>H717*(Presion_cilindro!O709/Presion_cilindro!O710)^Presion_cilindro!$B$9+10*(Presion_cilindro!$B$9-1)*Presion_cilindro!$B$33*(IF(Presion_cilindro!N710&gt;(-H$4+Presion_cilindro!$B$34),1-EXP(-Presion_cilindro!$B$16*((Presion_cilindro!N710-(-H$4+Presion_cilindro!$B$34))/Presion_cilindro!$B$35)^(Presion_cilindro!$B$17+1)),0)-IF(Presion_cilindro!N709&gt;(-H$4+Presion_cilindro!$B$34),1-EXP(-Presion_cilindro!$B$16*((Presion_cilindro!N709-(-H$4+Presion_cilindro!$B$34))/Presion_cilindro!$B$35)^(Presion_cilindro!$B$17+1)),0))/((Presion_cilindro!O709+Presion_cilindro!O710)/2)</f>
        <v>2.2616136008059624</v>
      </c>
      <c r="I718" s="27">
        <f>I717*(Presion_cilindro!O709/Presion_cilindro!O710)^Presion_cilindro!$B$9+10*(Presion_cilindro!$B$9-1)*Presion_cilindro!$B$33*(IF(Presion_cilindro!N710&gt;(-I$4+Presion_cilindro!$B$34),1-EXP(-Presion_cilindro!$B$16*((Presion_cilindro!N710-(-I$4+Presion_cilindro!$B$34))/Presion_cilindro!$B$35)^(Presion_cilindro!$B$17+1)),0)-IF(Presion_cilindro!N709&gt;(-I$4+Presion_cilindro!$B$34),1-EXP(-Presion_cilindro!$B$16*((Presion_cilindro!N709-(-I$4+Presion_cilindro!$B$34))/Presion_cilindro!$B$35)^(Presion_cilindro!$B$17+1)),0))/((Presion_cilindro!O709+Presion_cilindro!O710)/2)</f>
        <v>2.2558511680892286</v>
      </c>
      <c r="J718" s="27">
        <f>J717*(Presion_cilindro!O709/Presion_cilindro!O710)^Presion_cilindro!$B$9+10*(Presion_cilindro!$B$9-1)*Presion_cilindro!$B$33*(IF(Presion_cilindro!N710&gt;(-J$4+Presion_cilindro!$B$34),1-EXP(-Presion_cilindro!$B$16*((Presion_cilindro!N710-(-J$4+Presion_cilindro!$B$34))/Presion_cilindro!$B$35)^(Presion_cilindro!$B$17+1)),0)-IF(Presion_cilindro!N709&gt;(-J$4+Presion_cilindro!$B$34),1-EXP(-Presion_cilindro!$B$16*((Presion_cilindro!N709-(-J$4+Presion_cilindro!$B$34))/Presion_cilindro!$B$35)^(Presion_cilindro!$B$17+1)),0))/((Presion_cilindro!O709+Presion_cilindro!O710)/2)</f>
        <v>2.2687081370121644</v>
      </c>
      <c r="K718" s="27">
        <f>K717*(Presion_cilindro!O709/Presion_cilindro!O710)^Presion_cilindro!$B$9+10*(Presion_cilindro!$B$9-1)*Presion_cilindro!$B$33*(IF(Presion_cilindro!N710&gt;(-K$4+Presion_cilindro!$B$34),1-EXP(-Presion_cilindro!$B$16*((Presion_cilindro!N710-(-K$4+Presion_cilindro!$B$34))/Presion_cilindro!$B$35)^(Presion_cilindro!$B$17+1)),0)-IF(Presion_cilindro!N709&gt;(-K$4+Presion_cilindro!$B$34),1-EXP(-Presion_cilindro!$B$16*((Presion_cilindro!N709-(-K$4+Presion_cilindro!$B$34))/Presion_cilindro!$B$35)^(Presion_cilindro!$B$17+1)),0))/((Presion_cilindro!O709+Presion_cilindro!O710)/2)</f>
        <v>2.2992812313998203</v>
      </c>
      <c r="L718" s="27">
        <f>L717*(Presion_cilindro!O709/Presion_cilindro!O710)^Presion_cilindro!$B$9+10*(Presion_cilindro!$B$9-1)*Presion_cilindro!$B$33*(IF(Presion_cilindro!N710&gt;(-L$4+Presion_cilindro!$B$34),1-EXP(-Presion_cilindro!$B$16*((Presion_cilindro!N710-(-L$4+Presion_cilindro!$B$34))/Presion_cilindro!$B$35)^(Presion_cilindro!$B$17+1)),0)-IF(Presion_cilindro!N709&gt;(-L$4+Presion_cilindro!$B$34),1-EXP(-Presion_cilindro!$B$16*((Presion_cilindro!N709-(-L$4+Presion_cilindro!$B$34))/Presion_cilindro!$B$35)^(Presion_cilindro!$B$17+1)),0))/((Presion_cilindro!O709+Presion_cilindro!O710)/2)</f>
        <v>2.3455917405497373</v>
      </c>
      <c r="M718" s="27">
        <f>M717*(Presion_cilindro!O709/Presion_cilindro!O710)^Presion_cilindro!$B$9+10*(Presion_cilindro!$B$9-1)*Presion_cilindro!$B$33*(IF(Presion_cilindro!N710&gt;(-M$4+Presion_cilindro!$B$34),1-EXP(-Presion_cilindro!$B$16*((Presion_cilindro!N710-(-M$4+Presion_cilindro!$B$34))/Presion_cilindro!$B$35)^(Presion_cilindro!$B$17+1)),0)-IF(Presion_cilindro!N709&gt;(-M$4+Presion_cilindro!$B$34),1-EXP(-Presion_cilindro!$B$16*((Presion_cilindro!N709-(-M$4+Presion_cilindro!$B$34))/Presion_cilindro!$B$35)^(Presion_cilindro!$B$17+1)),0))/((Presion_cilindro!O709+Presion_cilindro!O710)/2)</f>
        <v>2.4049506527442674</v>
      </c>
      <c r="N718" s="27">
        <f>N717*(Presion_cilindro!O709/Presion_cilindro!O710)^Presion_cilindro!$B$9+10*(Presion_cilindro!$B$9-1)*Presion_cilindro!$B$33*(IF(Presion_cilindro!N710&gt;(-N$4+Presion_cilindro!$B$34),1-EXP(-Presion_cilindro!$B$16*((Presion_cilindro!N710-(-N$4+Presion_cilindro!$B$34))/Presion_cilindro!$B$35)^(Presion_cilindro!$B$17+1)),0)-IF(Presion_cilindro!N709&gt;(-N$4+Presion_cilindro!$B$34),1-EXP(-Presion_cilindro!$B$16*((Presion_cilindro!N709-(-N$4+Presion_cilindro!$B$34))/Presion_cilindro!$B$35)^(Presion_cilindro!$B$17+1)),0))/((Presion_cilindro!O709+Presion_cilindro!O710)/2)</f>
        <v>2.474380376330402</v>
      </c>
    </row>
    <row r="719" spans="1:14" x14ac:dyDescent="0.25">
      <c r="A719" s="21">
        <f>Presion_cilindro!N711</f>
        <v>173.5</v>
      </c>
      <c r="B719" s="27">
        <f>B718*(Presion_cilindro!O710/Presion_cilindro!O711)^Presion_cilindro!$B$9+10*(Presion_cilindro!$B$9-1)*Presion_cilindro!$B$33*(IF(Presion_cilindro!N711&gt;(-B$4+Presion_cilindro!$B$34),1-EXP(-Presion_cilindro!$B$16*((Presion_cilindro!N711-(-B$4+Presion_cilindro!$B$34))/Presion_cilindro!$B$35)^(Presion_cilindro!$B$17+1)),0)-IF(Presion_cilindro!N710&gt;(-B$4+Presion_cilindro!$B$34),1-EXP(-Presion_cilindro!$B$16*((Presion_cilindro!N710-(-B$4+Presion_cilindro!$B$34))/Presion_cilindro!$B$35)^(Presion_cilindro!$B$17+1)),0))/((Presion_cilindro!O710+Presion_cilindro!O711)/2)</f>
        <v>2.6009206779334431</v>
      </c>
      <c r="C719" s="27">
        <f>C718*(Presion_cilindro!O710/Presion_cilindro!O711)^Presion_cilindro!$B$9+10*(Presion_cilindro!$B$9-1)*Presion_cilindro!$B$33*(IF(Presion_cilindro!N711&gt;(-C$4+Presion_cilindro!$B$34),1-EXP(-Presion_cilindro!$B$16*((Presion_cilindro!N711-(-C$4+Presion_cilindro!$B$34))/Presion_cilindro!$B$35)^(Presion_cilindro!$B$17+1)),0)-IF(Presion_cilindro!N710&gt;(-C$4+Presion_cilindro!$B$34),1-EXP(-Presion_cilindro!$B$16*((Presion_cilindro!N710-(-C$4+Presion_cilindro!$B$34))/Presion_cilindro!$B$35)^(Presion_cilindro!$B$17+1)),0))/((Presion_cilindro!O710+Presion_cilindro!O711)/2)</f>
        <v>2.5209585922914224</v>
      </c>
      <c r="D719" s="27">
        <f>D718*(Presion_cilindro!O710/Presion_cilindro!O711)^Presion_cilindro!$B$9+10*(Presion_cilindro!$B$9-1)*Presion_cilindro!$B$33*(IF(Presion_cilindro!N711&gt;(-D$4+Presion_cilindro!$B$34),1-EXP(-Presion_cilindro!$B$16*((Presion_cilindro!N711-(-D$4+Presion_cilindro!$B$34))/Presion_cilindro!$B$35)^(Presion_cilindro!$B$17+1)),0)-IF(Presion_cilindro!N710&gt;(-D$4+Presion_cilindro!$B$34),1-EXP(-Presion_cilindro!$B$16*((Presion_cilindro!N710-(-D$4+Presion_cilindro!$B$34))/Presion_cilindro!$B$35)^(Presion_cilindro!$B$17+1)),0))/((Presion_cilindro!O710+Presion_cilindro!O711)/2)</f>
        <v>2.4464855946522466</v>
      </c>
      <c r="E719" s="27">
        <f>E718*(Presion_cilindro!O710/Presion_cilindro!O711)^Presion_cilindro!$B$9+10*(Presion_cilindro!$B$9-1)*Presion_cilindro!$B$33*(IF(Presion_cilindro!N711&gt;(-E$4+Presion_cilindro!$B$34),1-EXP(-Presion_cilindro!$B$16*((Presion_cilindro!N711-(-E$4+Presion_cilindro!$B$34))/Presion_cilindro!$B$35)^(Presion_cilindro!$B$17+1)),0)-IF(Presion_cilindro!N710&gt;(-E$4+Presion_cilindro!$B$34),1-EXP(-Presion_cilindro!$B$16*((Presion_cilindro!N710-(-E$4+Presion_cilindro!$B$34))/Presion_cilindro!$B$35)^(Presion_cilindro!$B$17+1)),0))/((Presion_cilindro!O710+Presion_cilindro!O711)/2)</f>
        <v>2.3802721738040313</v>
      </c>
      <c r="F719" s="27">
        <f>F718*(Presion_cilindro!O710/Presion_cilindro!O711)^Presion_cilindro!$B$9+10*(Presion_cilindro!$B$9-1)*Presion_cilindro!$B$33*(IF(Presion_cilindro!N711&gt;(-F$4+Presion_cilindro!$B$34),1-EXP(-Presion_cilindro!$B$16*((Presion_cilindro!N711-(-F$4+Presion_cilindro!$B$34))/Presion_cilindro!$B$35)^(Presion_cilindro!$B$17+1)),0)-IF(Presion_cilindro!N710&gt;(-F$4+Presion_cilindro!$B$34),1-EXP(-Presion_cilindro!$B$16*((Presion_cilindro!N710-(-F$4+Presion_cilindro!$B$34))/Presion_cilindro!$B$35)^(Presion_cilindro!$B$17+1)),0))/((Presion_cilindro!O710+Presion_cilindro!O711)/2)</f>
        <v>2.3253364528221825</v>
      </c>
      <c r="G719" s="27">
        <f>G718*(Presion_cilindro!O710/Presion_cilindro!O711)^Presion_cilindro!$B$9+10*(Presion_cilindro!$B$9-1)*Presion_cilindro!$B$33*(IF(Presion_cilindro!N711&gt;(-G$4+Presion_cilindro!$B$34),1-EXP(-Presion_cilindro!$B$16*((Presion_cilindro!N711-(-G$4+Presion_cilindro!$B$34))/Presion_cilindro!$B$35)^(Presion_cilindro!$B$17+1)),0)-IF(Presion_cilindro!N710&gt;(-G$4+Presion_cilindro!$B$34),1-EXP(-Presion_cilindro!$B$16*((Presion_cilindro!N710-(-G$4+Presion_cilindro!$B$34))/Presion_cilindro!$B$35)^(Presion_cilindro!$B$17+1)),0))/((Presion_cilindro!O710+Presion_cilindro!O711)/2)</f>
        <v>2.2846297284661334</v>
      </c>
      <c r="H719" s="27">
        <f>H718*(Presion_cilindro!O710/Presion_cilindro!O711)^Presion_cilindro!$B$9+10*(Presion_cilindro!$B$9-1)*Presion_cilindro!$B$33*(IF(Presion_cilindro!N711&gt;(-H$4+Presion_cilindro!$B$34),1-EXP(-Presion_cilindro!$B$16*((Presion_cilindro!N711-(-H$4+Presion_cilindro!$B$34))/Presion_cilindro!$B$35)^(Presion_cilindro!$B$17+1)),0)-IF(Presion_cilindro!N710&gt;(-H$4+Presion_cilindro!$B$34),1-EXP(-Presion_cilindro!$B$16*((Presion_cilindro!N710-(-H$4+Presion_cilindro!$B$34))/Presion_cilindro!$B$35)^(Presion_cilindro!$B$17+1)),0))/((Presion_cilindro!O710+Presion_cilindro!O711)/2)</f>
        <v>2.2606173720982423</v>
      </c>
      <c r="I719" s="27">
        <f>I718*(Presion_cilindro!O710/Presion_cilindro!O711)^Presion_cilindro!$B$9+10*(Presion_cilindro!$B$9-1)*Presion_cilindro!$B$33*(IF(Presion_cilindro!N711&gt;(-I$4+Presion_cilindro!$B$34),1-EXP(-Presion_cilindro!$B$16*((Presion_cilindro!N711-(-I$4+Presion_cilindro!$B$34))/Presion_cilindro!$B$35)^(Presion_cilindro!$B$17+1)),0)-IF(Presion_cilindro!N710&gt;(-I$4+Presion_cilindro!$B$34),1-EXP(-Presion_cilindro!$B$16*((Presion_cilindro!N710-(-I$4+Presion_cilindro!$B$34))/Presion_cilindro!$B$35)^(Presion_cilindro!$B$17+1)),0))/((Presion_cilindro!O710+Presion_cilindro!O711)/2)</f>
        <v>2.2548574777023322</v>
      </c>
      <c r="J719" s="27">
        <f>J718*(Presion_cilindro!O710/Presion_cilindro!O711)^Presion_cilindro!$B$9+10*(Presion_cilindro!$B$9-1)*Presion_cilindro!$B$33*(IF(Presion_cilindro!N711&gt;(-J$4+Presion_cilindro!$B$34),1-EXP(-Presion_cilindro!$B$16*((Presion_cilindro!N711-(-J$4+Presion_cilindro!$B$34))/Presion_cilindro!$B$35)^(Presion_cilindro!$B$17+1)),0)-IF(Presion_cilindro!N710&gt;(-J$4+Presion_cilindro!$B$34),1-EXP(-Presion_cilindro!$B$16*((Presion_cilindro!N710-(-J$4+Presion_cilindro!$B$34))/Presion_cilindro!$B$35)^(Presion_cilindro!$B$17+1)),0))/((Presion_cilindro!O710+Presion_cilindro!O711)/2)</f>
        <v>2.2677087831991503</v>
      </c>
      <c r="K719" s="27">
        <f>K718*(Presion_cilindro!O710/Presion_cilindro!O711)^Presion_cilindro!$B$9+10*(Presion_cilindro!$B$9-1)*Presion_cilindro!$B$33*(IF(Presion_cilindro!N711&gt;(-K$4+Presion_cilindro!$B$34),1-EXP(-Presion_cilindro!$B$16*((Presion_cilindro!N711-(-K$4+Presion_cilindro!$B$34))/Presion_cilindro!$B$35)^(Presion_cilindro!$B$17+1)),0)-IF(Presion_cilindro!N710&gt;(-K$4+Presion_cilindro!$B$34),1-EXP(-Presion_cilindro!$B$16*((Presion_cilindro!N710-(-K$4+Presion_cilindro!$B$34))/Presion_cilindro!$B$35)^(Presion_cilindro!$B$17+1)),0))/((Presion_cilindro!O710+Presion_cilindro!O711)/2)</f>
        <v>2.2982684103020756</v>
      </c>
      <c r="L719" s="27">
        <f>L718*(Presion_cilindro!O710/Presion_cilindro!O711)^Presion_cilindro!$B$9+10*(Presion_cilindro!$B$9-1)*Presion_cilindro!$B$33*(IF(Presion_cilindro!N711&gt;(-L$4+Presion_cilindro!$B$34),1-EXP(-Presion_cilindro!$B$16*((Presion_cilindro!N711-(-L$4+Presion_cilindro!$B$34))/Presion_cilindro!$B$35)^(Presion_cilindro!$B$17+1)),0)-IF(Presion_cilindro!N710&gt;(-L$4+Presion_cilindro!$B$34),1-EXP(-Presion_cilindro!$B$16*((Presion_cilindro!N710-(-L$4+Presion_cilindro!$B$34))/Presion_cilindro!$B$35)^(Presion_cilindro!$B$17+1)),0))/((Presion_cilindro!O710+Presion_cilindro!O711)/2)</f>
        <v>2.3445585199201417</v>
      </c>
      <c r="M719" s="27">
        <f>M718*(Presion_cilindro!O710/Presion_cilindro!O711)^Presion_cilindro!$B$9+10*(Presion_cilindro!$B$9-1)*Presion_cilindro!$B$33*(IF(Presion_cilindro!N711&gt;(-M$4+Presion_cilindro!$B$34),1-EXP(-Presion_cilindro!$B$16*((Presion_cilindro!N711-(-M$4+Presion_cilindro!$B$34))/Presion_cilindro!$B$35)^(Presion_cilindro!$B$17+1)),0)-IF(Presion_cilindro!N710&gt;(-M$4+Presion_cilindro!$B$34),1-EXP(-Presion_cilindro!$B$16*((Presion_cilindro!N710-(-M$4+Presion_cilindro!$B$34))/Presion_cilindro!$B$35)^(Presion_cilindro!$B$17+1)),0))/((Presion_cilindro!O710+Presion_cilindro!O711)/2)</f>
        <v>2.403891284830995</v>
      </c>
      <c r="N719" s="27">
        <f>N718*(Presion_cilindro!O710/Presion_cilindro!O711)^Presion_cilindro!$B$9+10*(Presion_cilindro!$B$9-1)*Presion_cilindro!$B$33*(IF(Presion_cilindro!N711&gt;(-N$4+Presion_cilindro!$B$34),1-EXP(-Presion_cilindro!$B$16*((Presion_cilindro!N711-(-N$4+Presion_cilindro!$B$34))/Presion_cilindro!$B$35)^(Presion_cilindro!$B$17+1)),0)-IF(Presion_cilindro!N710&gt;(-N$4+Presion_cilindro!$B$34),1-EXP(-Presion_cilindro!$B$16*((Presion_cilindro!N710-(-N$4+Presion_cilindro!$B$34))/Presion_cilindro!$B$35)^(Presion_cilindro!$B$17+1)),0))/((Presion_cilindro!O710+Presion_cilindro!O711)/2)</f>
        <v>2.4732904249948415</v>
      </c>
    </row>
    <row r="720" spans="1:14" x14ac:dyDescent="0.25">
      <c r="A720" s="21">
        <f>Presion_cilindro!N712</f>
        <v>174</v>
      </c>
      <c r="B720" s="27">
        <f>B719*(Presion_cilindro!O711/Presion_cilindro!O712)^Presion_cilindro!$B$9+10*(Presion_cilindro!$B$9-1)*Presion_cilindro!$B$33*(IF(Presion_cilindro!N712&gt;(-B$4+Presion_cilindro!$B$34),1-EXP(-Presion_cilindro!$B$16*((Presion_cilindro!N712-(-B$4+Presion_cilindro!$B$34))/Presion_cilindro!$B$35)^(Presion_cilindro!$B$17+1)),0)-IF(Presion_cilindro!N711&gt;(-B$4+Presion_cilindro!$B$34),1-EXP(-Presion_cilindro!$B$16*((Presion_cilindro!N711-(-B$4+Presion_cilindro!$B$34))/Presion_cilindro!$B$35)^(Presion_cilindro!$B$17+1)),0))/((Presion_cilindro!O711+Presion_cilindro!O712)/2)</f>
        <v>2.5998602075078403</v>
      </c>
      <c r="C720" s="27">
        <f>C719*(Presion_cilindro!O711/Presion_cilindro!O712)^Presion_cilindro!$B$9+10*(Presion_cilindro!$B$9-1)*Presion_cilindro!$B$33*(IF(Presion_cilindro!N712&gt;(-C$4+Presion_cilindro!$B$34),1-EXP(-Presion_cilindro!$B$16*((Presion_cilindro!N712-(-C$4+Presion_cilindro!$B$34))/Presion_cilindro!$B$35)^(Presion_cilindro!$B$17+1)),0)-IF(Presion_cilindro!N711&gt;(-C$4+Presion_cilindro!$B$34),1-EXP(-Presion_cilindro!$B$16*((Presion_cilindro!N711-(-C$4+Presion_cilindro!$B$34))/Presion_cilindro!$B$35)^(Presion_cilindro!$B$17+1)),0))/((Presion_cilindro!O711+Presion_cilindro!O712)/2)</f>
        <v>2.5199307247159228</v>
      </c>
      <c r="D720" s="27">
        <f>D719*(Presion_cilindro!O711/Presion_cilindro!O712)^Presion_cilindro!$B$9+10*(Presion_cilindro!$B$9-1)*Presion_cilindro!$B$33*(IF(Presion_cilindro!N712&gt;(-D$4+Presion_cilindro!$B$34),1-EXP(-Presion_cilindro!$B$16*((Presion_cilindro!N712-(-D$4+Presion_cilindro!$B$34))/Presion_cilindro!$B$35)^(Presion_cilindro!$B$17+1)),0)-IF(Presion_cilindro!N711&gt;(-D$4+Presion_cilindro!$B$34),1-EXP(-Presion_cilindro!$B$16*((Presion_cilindro!N711-(-D$4+Presion_cilindro!$B$34))/Presion_cilindro!$B$35)^(Presion_cilindro!$B$17+1)),0))/((Presion_cilindro!O711+Presion_cilindro!O712)/2)</f>
        <v>2.4454880918672508</v>
      </c>
      <c r="E720" s="27">
        <f>E719*(Presion_cilindro!O711/Presion_cilindro!O712)^Presion_cilindro!$B$9+10*(Presion_cilindro!$B$9-1)*Presion_cilindro!$B$33*(IF(Presion_cilindro!N712&gt;(-E$4+Presion_cilindro!$B$34),1-EXP(-Presion_cilindro!$B$16*((Presion_cilindro!N712-(-E$4+Presion_cilindro!$B$34))/Presion_cilindro!$B$35)^(Presion_cilindro!$B$17+1)),0)-IF(Presion_cilindro!N711&gt;(-E$4+Presion_cilindro!$B$34),1-EXP(-Presion_cilindro!$B$16*((Presion_cilindro!N711-(-E$4+Presion_cilindro!$B$34))/Presion_cilindro!$B$35)^(Presion_cilindro!$B$17+1)),0))/((Presion_cilindro!O711+Presion_cilindro!O712)/2)</f>
        <v>2.3793016681417019</v>
      </c>
      <c r="F720" s="27">
        <f>F719*(Presion_cilindro!O711/Presion_cilindro!O712)^Presion_cilindro!$B$9+10*(Presion_cilindro!$B$9-1)*Presion_cilindro!$B$33*(IF(Presion_cilindro!N712&gt;(-F$4+Presion_cilindro!$B$34),1-EXP(-Presion_cilindro!$B$16*((Presion_cilindro!N712-(-F$4+Presion_cilindro!$B$34))/Presion_cilindro!$B$35)^(Presion_cilindro!$B$17+1)),0)-IF(Presion_cilindro!N711&gt;(-F$4+Presion_cilindro!$B$34),1-EXP(-Presion_cilindro!$B$16*((Presion_cilindro!N711-(-F$4+Presion_cilindro!$B$34))/Presion_cilindro!$B$35)^(Presion_cilindro!$B$17+1)),0))/((Presion_cilindro!O711+Presion_cilindro!O712)/2)</f>
        <v>2.324388346038798</v>
      </c>
      <c r="G720" s="27">
        <f>G719*(Presion_cilindro!O711/Presion_cilindro!O712)^Presion_cilindro!$B$9+10*(Presion_cilindro!$B$9-1)*Presion_cilindro!$B$33*(IF(Presion_cilindro!N712&gt;(-G$4+Presion_cilindro!$B$34),1-EXP(-Presion_cilindro!$B$16*((Presion_cilindro!N712-(-G$4+Presion_cilindro!$B$34))/Presion_cilindro!$B$35)^(Presion_cilindro!$B$17+1)),0)-IF(Presion_cilindro!N711&gt;(-G$4+Presion_cilindro!$B$34),1-EXP(-Presion_cilindro!$B$16*((Presion_cilindro!N711-(-G$4+Presion_cilindro!$B$34))/Presion_cilindro!$B$35)^(Presion_cilindro!$B$17+1)),0))/((Presion_cilindro!O711+Presion_cilindro!O712)/2)</f>
        <v>2.2836982189891062</v>
      </c>
      <c r="H720" s="27">
        <f>H719*(Presion_cilindro!O711/Presion_cilindro!O712)^Presion_cilindro!$B$9+10*(Presion_cilindro!$B$9-1)*Presion_cilindro!$B$33*(IF(Presion_cilindro!N712&gt;(-H$4+Presion_cilindro!$B$34),1-EXP(-Presion_cilindro!$B$16*((Presion_cilindro!N712-(-H$4+Presion_cilindro!$B$34))/Presion_cilindro!$B$35)^(Presion_cilindro!$B$17+1)),0)-IF(Presion_cilindro!N711&gt;(-H$4+Presion_cilindro!$B$34),1-EXP(-Presion_cilindro!$B$16*((Presion_cilindro!N711-(-H$4+Presion_cilindro!$B$34))/Presion_cilindro!$B$35)^(Presion_cilindro!$B$17+1)),0))/((Presion_cilindro!O711+Presion_cilindro!O712)/2)</f>
        <v>2.259695653151927</v>
      </c>
      <c r="I720" s="27">
        <f>I719*(Presion_cilindro!O711/Presion_cilindro!O712)^Presion_cilindro!$B$9+10*(Presion_cilindro!$B$9-1)*Presion_cilindro!$B$33*(IF(Presion_cilindro!N712&gt;(-I$4+Presion_cilindro!$B$34),1-EXP(-Presion_cilindro!$B$16*((Presion_cilindro!N712-(-I$4+Presion_cilindro!$B$34))/Presion_cilindro!$B$35)^(Presion_cilindro!$B$17+1)),0)-IF(Presion_cilindro!N711&gt;(-I$4+Presion_cilindro!$B$34),1-EXP(-Presion_cilindro!$B$16*((Presion_cilindro!N711-(-I$4+Presion_cilindro!$B$34))/Presion_cilindro!$B$35)^(Presion_cilindro!$B$17+1)),0))/((Presion_cilindro!O711+Presion_cilindro!O712)/2)</f>
        <v>2.2539381072311988</v>
      </c>
      <c r="J720" s="27">
        <f>J719*(Presion_cilindro!O711/Presion_cilindro!O712)^Presion_cilindro!$B$9+10*(Presion_cilindro!$B$9-1)*Presion_cilindro!$B$33*(IF(Presion_cilindro!N712&gt;(-J$4+Presion_cilindro!$B$34),1-EXP(-Presion_cilindro!$B$16*((Presion_cilindro!N712-(-J$4+Presion_cilindro!$B$34))/Presion_cilindro!$B$35)^(Presion_cilindro!$B$17+1)),0)-IF(Presion_cilindro!N711&gt;(-J$4+Presion_cilindro!$B$34),1-EXP(-Presion_cilindro!$B$16*((Presion_cilindro!N711-(-J$4+Presion_cilindro!$B$34))/Presion_cilindro!$B$35)^(Presion_cilindro!$B$17+1)),0))/((Presion_cilindro!O711+Presion_cilindro!O712)/2)</f>
        <v>2.2667841728798641</v>
      </c>
      <c r="K720" s="27">
        <f>K719*(Presion_cilindro!O711/Presion_cilindro!O712)^Presion_cilindro!$B$9+10*(Presion_cilindro!$B$9-1)*Presion_cilindro!$B$33*(IF(Presion_cilindro!N712&gt;(-K$4+Presion_cilindro!$B$34),1-EXP(-Presion_cilindro!$B$16*((Presion_cilindro!N712-(-K$4+Presion_cilindro!$B$34))/Presion_cilindro!$B$35)^(Presion_cilindro!$B$17+1)),0)-IF(Presion_cilindro!N711&gt;(-K$4+Presion_cilindro!$B$34),1-EXP(-Presion_cilindro!$B$16*((Presion_cilindro!N711-(-K$4+Presion_cilindro!$B$34))/Presion_cilindro!$B$35)^(Presion_cilindro!$B$17+1)),0))/((Presion_cilindro!O711+Presion_cilindro!O712)/2)</f>
        <v>2.2973313399408375</v>
      </c>
      <c r="L720" s="27">
        <f>L719*(Presion_cilindro!O711/Presion_cilindro!O712)^Presion_cilindro!$B$9+10*(Presion_cilindro!$B$9-1)*Presion_cilindro!$B$33*(IF(Presion_cilindro!N712&gt;(-L$4+Presion_cilindro!$B$34),1-EXP(-Presion_cilindro!$B$16*((Presion_cilindro!N712-(-L$4+Presion_cilindro!$B$34))/Presion_cilindro!$B$35)^(Presion_cilindro!$B$17+1)),0)-IF(Presion_cilindro!N711&gt;(-L$4+Presion_cilindro!$B$34),1-EXP(-Presion_cilindro!$B$16*((Presion_cilindro!N711-(-L$4+Presion_cilindro!$B$34))/Presion_cilindro!$B$35)^(Presion_cilindro!$B$17+1)),0))/((Presion_cilindro!O711+Presion_cilindro!O712)/2)</f>
        <v>2.343602575745233</v>
      </c>
      <c r="M720" s="27">
        <f>M719*(Presion_cilindro!O711/Presion_cilindro!O712)^Presion_cilindro!$B$9+10*(Presion_cilindro!$B$9-1)*Presion_cilindro!$B$33*(IF(Presion_cilindro!N712&gt;(-M$4+Presion_cilindro!$B$34),1-EXP(-Presion_cilindro!$B$16*((Presion_cilindro!N712-(-M$4+Presion_cilindro!$B$34))/Presion_cilindro!$B$35)^(Presion_cilindro!$B$17+1)),0)-IF(Presion_cilindro!N711&gt;(-M$4+Presion_cilindro!$B$34),1-EXP(-Presion_cilindro!$B$16*((Presion_cilindro!N711-(-M$4+Presion_cilindro!$B$34))/Presion_cilindro!$B$35)^(Presion_cilindro!$B$17+1)),0))/((Presion_cilindro!O711+Presion_cilindro!O712)/2)</f>
        <v>2.4029111489754285</v>
      </c>
      <c r="N720" s="27">
        <f>N719*(Presion_cilindro!O711/Presion_cilindro!O712)^Presion_cilindro!$B$9+10*(Presion_cilindro!$B$9-1)*Presion_cilindro!$B$33*(IF(Presion_cilindro!N712&gt;(-N$4+Presion_cilindro!$B$34),1-EXP(-Presion_cilindro!$B$16*((Presion_cilindro!N712-(-N$4+Presion_cilindro!$B$34))/Presion_cilindro!$B$35)^(Presion_cilindro!$B$17+1)),0)-IF(Presion_cilindro!N711&gt;(-N$4+Presion_cilindro!$B$34),1-EXP(-Presion_cilindro!$B$16*((Presion_cilindro!N711-(-N$4+Presion_cilindro!$B$34))/Presion_cilindro!$B$35)^(Presion_cilindro!$B$17+1)),0))/((Presion_cilindro!O711+Presion_cilindro!O712)/2)</f>
        <v>2.4722819931069004</v>
      </c>
    </row>
    <row r="721" spans="1:14" x14ac:dyDescent="0.25">
      <c r="A721" s="21">
        <f>Presion_cilindro!N713</f>
        <v>174.5</v>
      </c>
      <c r="B721" s="27">
        <f>B720*(Presion_cilindro!O712/Presion_cilindro!O713)^Presion_cilindro!$B$9+10*(Presion_cilindro!$B$9-1)*Presion_cilindro!$B$33*(IF(Presion_cilindro!N713&gt;(-B$4+Presion_cilindro!$B$34),1-EXP(-Presion_cilindro!$B$16*((Presion_cilindro!N713-(-B$4+Presion_cilindro!$B$34))/Presion_cilindro!$B$35)^(Presion_cilindro!$B$17+1)),0)-IF(Presion_cilindro!N712&gt;(-B$4+Presion_cilindro!$B$34),1-EXP(-Presion_cilindro!$B$16*((Presion_cilindro!N712-(-B$4+Presion_cilindro!$B$34))/Presion_cilindro!$B$35)^(Presion_cilindro!$B$17+1)),0))/((Presion_cilindro!O712+Presion_cilindro!O713)/2)</f>
        <v>2.5988852727958904</v>
      </c>
      <c r="C721" s="27">
        <f>C720*(Presion_cilindro!O712/Presion_cilindro!O713)^Presion_cilindro!$B$9+10*(Presion_cilindro!$B$9-1)*Presion_cilindro!$B$33*(IF(Presion_cilindro!N713&gt;(-C$4+Presion_cilindro!$B$34),1-EXP(-Presion_cilindro!$B$16*((Presion_cilindro!N713-(-C$4+Presion_cilindro!$B$34))/Presion_cilindro!$B$35)^(Presion_cilindro!$B$17+1)),0)-IF(Presion_cilindro!N712&gt;(-C$4+Presion_cilindro!$B$34),1-EXP(-Presion_cilindro!$B$16*((Presion_cilindro!N712-(-C$4+Presion_cilindro!$B$34))/Presion_cilindro!$B$35)^(Presion_cilindro!$B$17+1)),0))/((Presion_cilindro!O712+Presion_cilindro!O713)/2)</f>
        <v>2.518985763164475</v>
      </c>
      <c r="D721" s="27">
        <f>D720*(Presion_cilindro!O712/Presion_cilindro!O713)^Presion_cilindro!$B$9+10*(Presion_cilindro!$B$9-1)*Presion_cilindro!$B$33*(IF(Presion_cilindro!N713&gt;(-D$4+Presion_cilindro!$B$34),1-EXP(-Presion_cilindro!$B$16*((Presion_cilindro!N713-(-D$4+Presion_cilindro!$B$34))/Presion_cilindro!$B$35)^(Presion_cilindro!$B$17+1)),0)-IF(Presion_cilindro!N712&gt;(-D$4+Presion_cilindro!$B$34),1-EXP(-Presion_cilindro!$B$16*((Presion_cilindro!N712-(-D$4+Presion_cilindro!$B$34))/Presion_cilindro!$B$35)^(Presion_cilindro!$B$17+1)),0))/((Presion_cilindro!O712+Presion_cilindro!O713)/2)</f>
        <v>2.4445710459347287</v>
      </c>
      <c r="E721" s="27">
        <f>E720*(Presion_cilindro!O712/Presion_cilindro!O713)^Presion_cilindro!$B$9+10*(Presion_cilindro!$B$9-1)*Presion_cilindro!$B$33*(IF(Presion_cilindro!N713&gt;(-E$4+Presion_cilindro!$B$34),1-EXP(-Presion_cilindro!$B$16*((Presion_cilindro!N713-(-E$4+Presion_cilindro!$B$34))/Presion_cilindro!$B$35)^(Presion_cilindro!$B$17+1)),0)-IF(Presion_cilindro!N712&gt;(-E$4+Presion_cilindro!$B$34),1-EXP(-Presion_cilindro!$B$16*((Presion_cilindro!N712-(-E$4+Presion_cilindro!$B$34))/Presion_cilindro!$B$35)^(Presion_cilindro!$B$17+1)),0))/((Presion_cilindro!O712+Presion_cilindro!O713)/2)</f>
        <v>2.3784094417905415</v>
      </c>
      <c r="F721" s="27">
        <f>F720*(Presion_cilindro!O712/Presion_cilindro!O713)^Presion_cilindro!$B$9+10*(Presion_cilindro!$B$9-1)*Presion_cilindro!$B$33*(IF(Presion_cilindro!N713&gt;(-F$4+Presion_cilindro!$B$34),1-EXP(-Presion_cilindro!$B$16*((Presion_cilindro!N713-(-F$4+Presion_cilindro!$B$34))/Presion_cilindro!$B$35)^(Presion_cilindro!$B$17+1)),0)-IF(Presion_cilindro!N712&gt;(-F$4+Presion_cilindro!$B$34),1-EXP(-Presion_cilindro!$B$16*((Presion_cilindro!N712-(-F$4+Presion_cilindro!$B$34))/Presion_cilindro!$B$35)^(Presion_cilindro!$B$17+1)),0))/((Presion_cilindro!O712+Presion_cilindro!O713)/2)</f>
        <v>2.3235167119116782</v>
      </c>
      <c r="G721" s="27">
        <f>G720*(Presion_cilindro!O712/Presion_cilindro!O713)^Presion_cilindro!$B$9+10*(Presion_cilindro!$B$9-1)*Presion_cilindro!$B$33*(IF(Presion_cilindro!N713&gt;(-G$4+Presion_cilindro!$B$34),1-EXP(-Presion_cilindro!$B$16*((Presion_cilindro!N713-(-G$4+Presion_cilindro!$B$34))/Presion_cilindro!$B$35)^(Presion_cilindro!$B$17+1)),0)-IF(Presion_cilindro!N712&gt;(-G$4+Presion_cilindro!$B$34),1-EXP(-Presion_cilindro!$B$16*((Presion_cilindro!N712-(-G$4+Presion_cilindro!$B$34))/Presion_cilindro!$B$35)^(Presion_cilindro!$B$17+1)),0))/((Presion_cilindro!O712+Presion_cilindro!O713)/2)</f>
        <v>2.2828418434582676</v>
      </c>
      <c r="H721" s="27">
        <f>H720*(Presion_cilindro!O712/Presion_cilindro!O713)^Presion_cilindro!$B$9+10*(Presion_cilindro!$B$9-1)*Presion_cilindro!$B$33*(IF(Presion_cilindro!N713&gt;(-H$4+Presion_cilindro!$B$34),1-EXP(-Presion_cilindro!$B$16*((Presion_cilindro!N713-(-H$4+Presion_cilindro!$B$34))/Presion_cilindro!$B$35)^(Presion_cilindro!$B$17+1)),0)-IF(Presion_cilindro!N712&gt;(-H$4+Presion_cilindro!$B$34),1-EXP(-Presion_cilindro!$B$16*((Presion_cilindro!N712-(-H$4+Presion_cilindro!$B$34))/Presion_cilindro!$B$35)^(Presion_cilindro!$B$17+1)),0))/((Presion_cilindro!O712+Presion_cilindro!O713)/2)</f>
        <v>2.2588482784644963</v>
      </c>
      <c r="I721" s="27">
        <f>I720*(Presion_cilindro!O712/Presion_cilindro!O713)^Presion_cilindro!$B$9+10*(Presion_cilindro!$B$9-1)*Presion_cilindro!$B$33*(IF(Presion_cilindro!N713&gt;(-I$4+Presion_cilindro!$B$34),1-EXP(-Presion_cilindro!$B$16*((Presion_cilindro!N713-(-I$4+Presion_cilindro!$B$34))/Presion_cilindro!$B$35)^(Presion_cilindro!$B$17+1)),0)-IF(Presion_cilindro!N712&gt;(-I$4+Presion_cilindro!$B$34),1-EXP(-Presion_cilindro!$B$16*((Presion_cilindro!N712-(-I$4+Presion_cilindro!$B$34))/Presion_cilindro!$B$35)^(Presion_cilindro!$B$17+1)),0))/((Presion_cilindro!O712+Presion_cilindro!O713)/2)</f>
        <v>2.2530928915949961</v>
      </c>
      <c r="J721" s="27">
        <f>J720*(Presion_cilindro!O712/Presion_cilindro!O713)^Presion_cilindro!$B$9+10*(Presion_cilindro!$B$9-1)*Presion_cilindro!$B$33*(IF(Presion_cilindro!N713&gt;(-J$4+Presion_cilindro!$B$34),1-EXP(-Presion_cilindro!$B$16*((Presion_cilindro!N713-(-J$4+Presion_cilindro!$B$34))/Presion_cilindro!$B$35)^(Presion_cilindro!$B$17+1)),0)-IF(Presion_cilindro!N712&gt;(-J$4+Presion_cilindro!$B$34),1-EXP(-Presion_cilindro!$B$16*((Presion_cilindro!N712-(-J$4+Presion_cilindro!$B$34))/Presion_cilindro!$B$35)^(Presion_cilindro!$B$17+1)),0))/((Presion_cilindro!O712+Presion_cilindro!O713)/2)</f>
        <v>2.2659341400326145</v>
      </c>
      <c r="K721" s="27">
        <f>K720*(Presion_cilindro!O712/Presion_cilindro!O713)^Presion_cilindro!$B$9+10*(Presion_cilindro!$B$9-1)*Presion_cilindro!$B$33*(IF(Presion_cilindro!N713&gt;(-K$4+Presion_cilindro!$B$34),1-EXP(-Presion_cilindro!$B$16*((Presion_cilindro!N713-(-K$4+Presion_cilindro!$B$34))/Presion_cilindro!$B$35)^(Presion_cilindro!$B$17+1)),0)-IF(Presion_cilindro!N712&gt;(-K$4+Presion_cilindro!$B$34),1-EXP(-Presion_cilindro!$B$16*((Presion_cilindro!N712-(-K$4+Presion_cilindro!$B$34))/Presion_cilindro!$B$35)^(Presion_cilindro!$B$17+1)),0))/((Presion_cilindro!O712+Presion_cilindro!O713)/2)</f>
        <v>2.2964698520571081</v>
      </c>
      <c r="L721" s="27">
        <f>L720*(Presion_cilindro!O712/Presion_cilindro!O713)^Presion_cilindro!$B$9+10*(Presion_cilindro!$B$9-1)*Presion_cilindro!$B$33*(IF(Presion_cilindro!N713&gt;(-L$4+Presion_cilindro!$B$34),1-EXP(-Presion_cilindro!$B$16*((Presion_cilindro!N713-(-L$4+Presion_cilindro!$B$34))/Presion_cilindro!$B$35)^(Presion_cilindro!$B$17+1)),0)-IF(Presion_cilindro!N712&gt;(-L$4+Presion_cilindro!$B$34),1-EXP(-Presion_cilindro!$B$16*((Presion_cilindro!N712-(-L$4+Presion_cilindro!$B$34))/Presion_cilindro!$B$35)^(Presion_cilindro!$B$17+1)),0))/((Presion_cilindro!O712+Presion_cilindro!O713)/2)</f>
        <v>2.3427237363770583</v>
      </c>
      <c r="M721" s="27">
        <f>M720*(Presion_cilindro!O712/Presion_cilindro!O713)^Presion_cilindro!$B$9+10*(Presion_cilindro!$B$9-1)*Presion_cilindro!$B$33*(IF(Presion_cilindro!N713&gt;(-M$4+Presion_cilindro!$B$34),1-EXP(-Presion_cilindro!$B$16*((Presion_cilindro!N713-(-M$4+Presion_cilindro!$B$34))/Presion_cilindro!$B$35)^(Presion_cilindro!$B$17+1)),0)-IF(Presion_cilindro!N712&gt;(-M$4+Presion_cilindro!$B$34),1-EXP(-Presion_cilindro!$B$16*((Presion_cilindro!N712-(-M$4+Presion_cilindro!$B$34))/Presion_cilindro!$B$35)^(Presion_cilindro!$B$17+1)),0))/((Presion_cilindro!O712+Presion_cilindro!O713)/2)</f>
        <v>2.4020100691857911</v>
      </c>
      <c r="N721" s="27">
        <f>N720*(Presion_cilindro!O712/Presion_cilindro!O713)^Presion_cilindro!$B$9+10*(Presion_cilindro!$B$9-1)*Presion_cilindro!$B$33*(IF(Presion_cilindro!N713&gt;(-N$4+Presion_cilindro!$B$34),1-EXP(-Presion_cilindro!$B$16*((Presion_cilindro!N713-(-N$4+Presion_cilindro!$B$34))/Presion_cilindro!$B$35)^(Presion_cilindro!$B$17+1)),0)-IF(Presion_cilindro!N712&gt;(-N$4+Presion_cilindro!$B$34),1-EXP(-Presion_cilindro!$B$16*((Presion_cilindro!N712-(-N$4+Presion_cilindro!$B$34))/Presion_cilindro!$B$35)^(Presion_cilindro!$B$17+1)),0))/((Presion_cilindro!O712+Presion_cilindro!O713)/2)</f>
        <v>2.4713548995940076</v>
      </c>
    </row>
    <row r="722" spans="1:14" x14ac:dyDescent="0.25">
      <c r="A722" s="21">
        <f>Presion_cilindro!N714</f>
        <v>175</v>
      </c>
      <c r="B722" s="27">
        <f>B721*(Presion_cilindro!O713/Presion_cilindro!O714)^Presion_cilindro!$B$9+10*(Presion_cilindro!$B$9-1)*Presion_cilindro!$B$33*(IF(Presion_cilindro!N714&gt;(-B$4+Presion_cilindro!$B$34),1-EXP(-Presion_cilindro!$B$16*((Presion_cilindro!N714-(-B$4+Presion_cilindro!$B$34))/Presion_cilindro!$B$35)^(Presion_cilindro!$B$17+1)),0)-IF(Presion_cilindro!N713&gt;(-B$4+Presion_cilindro!$B$34),1-EXP(-Presion_cilindro!$B$16*((Presion_cilindro!N713-(-B$4+Presion_cilindro!$B$34))/Presion_cilindro!$B$35)^(Presion_cilindro!$B$17+1)),0))/((Presion_cilindro!O713+Presion_cilindro!O714)/2)</f>
        <v>2.5979956988415314</v>
      </c>
      <c r="C722" s="27">
        <f>C721*(Presion_cilindro!O713/Presion_cilindro!O714)^Presion_cilindro!$B$9+10*(Presion_cilindro!$B$9-1)*Presion_cilindro!$B$33*(IF(Presion_cilindro!N714&gt;(-C$4+Presion_cilindro!$B$34),1-EXP(-Presion_cilindro!$B$16*((Presion_cilindro!N714-(-C$4+Presion_cilindro!$B$34))/Presion_cilindro!$B$35)^(Presion_cilindro!$B$17+1)),0)-IF(Presion_cilindro!N713&gt;(-C$4+Presion_cilindro!$B$34),1-EXP(-Presion_cilindro!$B$16*((Presion_cilindro!N713-(-C$4+Presion_cilindro!$B$34))/Presion_cilindro!$B$35)^(Presion_cilindro!$B$17+1)),0))/((Presion_cilindro!O713+Presion_cilindro!O714)/2)</f>
        <v>2.5181235380598239</v>
      </c>
      <c r="D722" s="27">
        <f>D721*(Presion_cilindro!O713/Presion_cilindro!O714)^Presion_cilindro!$B$9+10*(Presion_cilindro!$B$9-1)*Presion_cilindro!$B$33*(IF(Presion_cilindro!N714&gt;(-D$4+Presion_cilindro!$B$34),1-EXP(-Presion_cilindro!$B$16*((Presion_cilindro!N714-(-D$4+Presion_cilindro!$B$34))/Presion_cilindro!$B$35)^(Presion_cilindro!$B$17+1)),0)-IF(Presion_cilindro!N713&gt;(-D$4+Presion_cilindro!$B$34),1-EXP(-Presion_cilindro!$B$16*((Presion_cilindro!N713-(-D$4+Presion_cilindro!$B$34))/Presion_cilindro!$B$35)^(Presion_cilindro!$B$17+1)),0))/((Presion_cilindro!O713+Presion_cilindro!O714)/2)</f>
        <v>2.4437342922869987</v>
      </c>
      <c r="E722" s="27">
        <f>E721*(Presion_cilindro!O713/Presion_cilindro!O714)^Presion_cilindro!$B$9+10*(Presion_cilindro!$B$9-1)*Presion_cilindro!$B$33*(IF(Presion_cilindro!N714&gt;(-E$4+Presion_cilindro!$B$34),1-EXP(-Presion_cilindro!$B$16*((Presion_cilindro!N714-(-E$4+Presion_cilindro!$B$34))/Presion_cilindro!$B$35)^(Presion_cilindro!$B$17+1)),0)-IF(Presion_cilindro!N713&gt;(-E$4+Presion_cilindro!$B$34),1-EXP(-Presion_cilindro!$B$16*((Presion_cilindro!N713-(-E$4+Presion_cilindro!$B$34))/Presion_cilindro!$B$35)^(Presion_cilindro!$B$17+1)),0))/((Presion_cilindro!O713+Presion_cilindro!O714)/2)</f>
        <v>2.3775953346368452</v>
      </c>
      <c r="F722" s="27">
        <f>F721*(Presion_cilindro!O713/Presion_cilindro!O714)^Presion_cilindro!$B$9+10*(Presion_cilindro!$B$9-1)*Presion_cilindro!$B$33*(IF(Presion_cilindro!N714&gt;(-F$4+Presion_cilindro!$B$34),1-EXP(-Presion_cilindro!$B$16*((Presion_cilindro!N714-(-F$4+Presion_cilindro!$B$34))/Presion_cilindro!$B$35)^(Presion_cilindro!$B$17+1)),0)-IF(Presion_cilindro!N713&gt;(-F$4+Presion_cilindro!$B$34),1-EXP(-Presion_cilindro!$B$16*((Presion_cilindro!N713-(-F$4+Presion_cilindro!$B$34))/Presion_cilindro!$B$35)^(Presion_cilindro!$B$17+1)),0))/((Presion_cilindro!O713+Presion_cilindro!O714)/2)</f>
        <v>2.3227213940224778</v>
      </c>
      <c r="G722" s="27">
        <f>G721*(Presion_cilindro!O713/Presion_cilindro!O714)^Presion_cilindro!$B$9+10*(Presion_cilindro!$B$9-1)*Presion_cilindro!$B$33*(IF(Presion_cilindro!N714&gt;(-G$4+Presion_cilindro!$B$34),1-EXP(-Presion_cilindro!$B$16*((Presion_cilindro!N714-(-G$4+Presion_cilindro!$B$34))/Presion_cilindro!$B$35)^(Presion_cilindro!$B$17+1)),0)-IF(Presion_cilindro!N713&gt;(-G$4+Presion_cilindro!$B$34),1-EXP(-Presion_cilindro!$B$16*((Presion_cilindro!N713-(-G$4+Presion_cilindro!$B$34))/Presion_cilindro!$B$35)^(Presion_cilindro!$B$17+1)),0))/((Presion_cilindro!O713+Presion_cilindro!O714)/2)</f>
        <v>2.2820604481934907</v>
      </c>
      <c r="H722" s="27">
        <f>H721*(Presion_cilindro!O713/Presion_cilindro!O714)^Presion_cilindro!$B$9+10*(Presion_cilindro!$B$9-1)*Presion_cilindro!$B$33*(IF(Presion_cilindro!N714&gt;(-H$4+Presion_cilindro!$B$34),1-EXP(-Presion_cilindro!$B$16*((Presion_cilindro!N714-(-H$4+Presion_cilindro!$B$34))/Presion_cilindro!$B$35)^(Presion_cilindro!$B$17+1)),0)-IF(Presion_cilindro!N713&gt;(-H$4+Presion_cilindro!$B$34),1-EXP(-Presion_cilindro!$B$16*((Presion_cilindro!N713-(-H$4+Presion_cilindro!$B$34))/Presion_cilindro!$B$35)^(Presion_cilindro!$B$17+1)),0))/((Presion_cilindro!O713+Presion_cilindro!O714)/2)</f>
        <v>2.2580750959710616</v>
      </c>
      <c r="I722" s="27">
        <f>I721*(Presion_cilindro!O713/Presion_cilindro!O714)^Presion_cilindro!$B$9+10*(Presion_cilindro!$B$9-1)*Presion_cilindro!$B$33*(IF(Presion_cilindro!N714&gt;(-I$4+Presion_cilindro!$B$34),1-EXP(-Presion_cilindro!$B$16*((Presion_cilindro!N714-(-I$4+Presion_cilindro!$B$34))/Presion_cilindro!$B$35)^(Presion_cilindro!$B$17+1)),0)-IF(Presion_cilindro!N713&gt;(-I$4+Presion_cilindro!$B$34),1-EXP(-Presion_cilindro!$B$16*((Presion_cilindro!N713-(-I$4+Presion_cilindro!$B$34))/Presion_cilindro!$B$35)^(Presion_cilindro!$B$17+1)),0))/((Presion_cilindro!O713+Presion_cilindro!O714)/2)</f>
        <v>2.2523216791162866</v>
      </c>
      <c r="J722" s="27">
        <f>J721*(Presion_cilindro!O713/Presion_cilindro!O714)^Presion_cilindro!$B$9+10*(Presion_cilindro!$B$9-1)*Presion_cilindro!$B$33*(IF(Presion_cilindro!N714&gt;(-J$4+Presion_cilindro!$B$34),1-EXP(-Presion_cilindro!$B$16*((Presion_cilindro!N714-(-J$4+Presion_cilindro!$B$34))/Presion_cilindro!$B$35)^(Presion_cilindro!$B$17+1)),0)-IF(Presion_cilindro!N713&gt;(-J$4+Presion_cilindro!$B$34),1-EXP(-Presion_cilindro!$B$16*((Presion_cilindro!N713-(-J$4+Presion_cilindro!$B$34))/Presion_cilindro!$B$35)^(Presion_cilindro!$B$17+1)),0))/((Presion_cilindro!O713+Presion_cilindro!O714)/2)</f>
        <v>2.2651585321154948</v>
      </c>
      <c r="K722" s="27">
        <f>K721*(Presion_cilindro!O713/Presion_cilindro!O714)^Presion_cilindro!$B$9+10*(Presion_cilindro!$B$9-1)*Presion_cilindro!$B$33*(IF(Presion_cilindro!N714&gt;(-K$4+Presion_cilindro!$B$34),1-EXP(-Presion_cilindro!$B$16*((Presion_cilindro!N714-(-K$4+Presion_cilindro!$B$34))/Presion_cilindro!$B$35)^(Presion_cilindro!$B$17+1)),0)-IF(Presion_cilindro!N713&gt;(-K$4+Presion_cilindro!$B$34),1-EXP(-Presion_cilindro!$B$16*((Presion_cilindro!N713-(-K$4+Presion_cilindro!$B$34))/Presion_cilindro!$B$35)^(Presion_cilindro!$B$17+1)),0))/((Presion_cilindro!O713+Presion_cilindro!O714)/2)</f>
        <v>2.2956837920533268</v>
      </c>
      <c r="L722" s="27">
        <f>L721*(Presion_cilindro!O713/Presion_cilindro!O714)^Presion_cilindro!$B$9+10*(Presion_cilindro!$B$9-1)*Presion_cilindro!$B$33*(IF(Presion_cilindro!N714&gt;(-L$4+Presion_cilindro!$B$34),1-EXP(-Presion_cilindro!$B$16*((Presion_cilindro!N714-(-L$4+Presion_cilindro!$B$34))/Presion_cilindro!$B$35)^(Presion_cilindro!$B$17+1)),0)-IF(Presion_cilindro!N713&gt;(-L$4+Presion_cilindro!$B$34),1-EXP(-Presion_cilindro!$B$16*((Presion_cilindro!N713-(-L$4+Presion_cilindro!$B$34))/Presion_cilindro!$B$35)^(Presion_cilindro!$B$17+1)),0))/((Presion_cilindro!O713+Presion_cilindro!O714)/2)</f>
        <v>2.3419218441042617</v>
      </c>
      <c r="M722" s="27">
        <f>M721*(Presion_cilindro!O713/Presion_cilindro!O714)^Presion_cilindro!$B$9+10*(Presion_cilindro!$B$9-1)*Presion_cilindro!$B$33*(IF(Presion_cilindro!N714&gt;(-M$4+Presion_cilindro!$B$34),1-EXP(-Presion_cilindro!$B$16*((Presion_cilindro!N714-(-M$4+Presion_cilindro!$B$34))/Presion_cilindro!$B$35)^(Presion_cilindro!$B$17+1)),0)-IF(Presion_cilindro!N713&gt;(-M$4+Presion_cilindro!$B$34),1-EXP(-Presion_cilindro!$B$16*((Presion_cilindro!N713-(-M$4+Presion_cilindro!$B$34))/Presion_cilindro!$B$35)^(Presion_cilindro!$B$17+1)),0))/((Presion_cilindro!O713+Presion_cilindro!O714)/2)</f>
        <v>2.4011878837595924</v>
      </c>
      <c r="N722" s="27">
        <f>N721*(Presion_cilindro!O713/Presion_cilindro!O714)^Presion_cilindro!$B$9+10*(Presion_cilindro!$B$9-1)*Presion_cilindro!$B$33*(IF(Presion_cilindro!N714&gt;(-N$4+Presion_cilindro!$B$34),1-EXP(-Presion_cilindro!$B$16*((Presion_cilindro!N714-(-N$4+Presion_cilindro!$B$34))/Presion_cilindro!$B$35)^(Presion_cilindro!$B$17+1)),0)-IF(Presion_cilindro!N713&gt;(-N$4+Presion_cilindro!$B$34),1-EXP(-Presion_cilindro!$B$16*((Presion_cilindro!N713-(-N$4+Presion_cilindro!$B$34))/Presion_cilindro!$B$35)^(Presion_cilindro!$B$17+1)),0))/((Presion_cilindro!O713+Presion_cilindro!O714)/2)</f>
        <v>2.4705089780854022</v>
      </c>
    </row>
    <row r="723" spans="1:14" x14ac:dyDescent="0.25">
      <c r="A723" s="21">
        <f>Presion_cilindro!N715</f>
        <v>175.5</v>
      </c>
      <c r="B723" s="27">
        <f>B722*(Presion_cilindro!O714/Presion_cilindro!O715)^Presion_cilindro!$B$9+10*(Presion_cilindro!$B$9-1)*Presion_cilindro!$B$33*(IF(Presion_cilindro!N715&gt;(-B$4+Presion_cilindro!$B$34),1-EXP(-Presion_cilindro!$B$16*((Presion_cilindro!N715-(-B$4+Presion_cilindro!$B$34))/Presion_cilindro!$B$35)^(Presion_cilindro!$B$17+1)),0)-IF(Presion_cilindro!N714&gt;(-B$4+Presion_cilindro!$B$34),1-EXP(-Presion_cilindro!$B$16*((Presion_cilindro!N714-(-B$4+Presion_cilindro!$B$34))/Presion_cilindro!$B$35)^(Presion_cilindro!$B$17+1)),0))/((Presion_cilindro!O714+Presion_cilindro!O715)/2)</f>
        <v>2.5971913260921626</v>
      </c>
      <c r="C723" s="27">
        <f>C722*(Presion_cilindro!O714/Presion_cilindro!O715)^Presion_cilindro!$B$9+10*(Presion_cilindro!$B$9-1)*Presion_cilindro!$B$33*(IF(Presion_cilindro!N715&gt;(-C$4+Presion_cilindro!$B$34),1-EXP(-Presion_cilindro!$B$16*((Presion_cilindro!N715-(-C$4+Presion_cilindro!$B$34))/Presion_cilindro!$B$35)^(Presion_cilindro!$B$17+1)),0)-IF(Presion_cilindro!N714&gt;(-C$4+Presion_cilindro!$B$34),1-EXP(-Presion_cilindro!$B$16*((Presion_cilindro!N714-(-C$4+Presion_cilindro!$B$34))/Presion_cilindro!$B$35)^(Presion_cilindro!$B$17+1)),0))/((Presion_cilindro!O714+Presion_cilindro!O715)/2)</f>
        <v>2.5173438947546165</v>
      </c>
      <c r="D723" s="27">
        <f>D722*(Presion_cilindro!O714/Presion_cilindro!O715)^Presion_cilindro!$B$9+10*(Presion_cilindro!$B$9-1)*Presion_cilindro!$B$33*(IF(Presion_cilindro!N715&gt;(-D$4+Presion_cilindro!$B$34),1-EXP(-Presion_cilindro!$B$16*((Presion_cilindro!N715-(-D$4+Presion_cilindro!$B$34))/Presion_cilindro!$B$35)^(Presion_cilindro!$B$17+1)),0)-IF(Presion_cilindro!N714&gt;(-D$4+Presion_cilindro!$B$34),1-EXP(-Presion_cilindro!$B$16*((Presion_cilindro!N714-(-D$4+Presion_cilindro!$B$34))/Presion_cilindro!$B$35)^(Presion_cilindro!$B$17+1)),0))/((Presion_cilindro!O714+Presion_cilindro!O715)/2)</f>
        <v>2.4429776808452286</v>
      </c>
      <c r="E723" s="27">
        <f>E722*(Presion_cilindro!O714/Presion_cilindro!O715)^Presion_cilindro!$B$9+10*(Presion_cilindro!$B$9-1)*Presion_cilindro!$B$33*(IF(Presion_cilindro!N715&gt;(-E$4+Presion_cilindro!$B$34),1-EXP(-Presion_cilindro!$B$16*((Presion_cilindro!N715-(-E$4+Presion_cilindro!$B$34))/Presion_cilindro!$B$35)^(Presion_cilindro!$B$17+1)),0)-IF(Presion_cilindro!N714&gt;(-E$4+Presion_cilindro!$B$34),1-EXP(-Presion_cilindro!$B$16*((Presion_cilindro!N714-(-E$4+Presion_cilindro!$B$34))/Presion_cilindro!$B$35)^(Presion_cilindro!$B$17+1)),0))/((Presion_cilindro!O714+Presion_cilindro!O715)/2)</f>
        <v>2.3768592006636209</v>
      </c>
      <c r="F723" s="27">
        <f>F722*(Presion_cilindro!O714/Presion_cilindro!O715)^Presion_cilindro!$B$9+10*(Presion_cilindro!$B$9-1)*Presion_cilindro!$B$33*(IF(Presion_cilindro!N715&gt;(-F$4+Presion_cilindro!$B$34),1-EXP(-Presion_cilindro!$B$16*((Presion_cilindro!N715-(-F$4+Presion_cilindro!$B$34))/Presion_cilindro!$B$35)^(Presion_cilindro!$B$17+1)),0)-IF(Presion_cilindro!N714&gt;(-F$4+Presion_cilindro!$B$34),1-EXP(-Presion_cilindro!$B$16*((Presion_cilindro!N714-(-F$4+Presion_cilindro!$B$34))/Presion_cilindro!$B$35)^(Presion_cilindro!$B$17+1)),0))/((Presion_cilindro!O714+Presion_cilindro!O715)/2)</f>
        <v>2.3220022497242172</v>
      </c>
      <c r="G723" s="27">
        <f>G722*(Presion_cilindro!O714/Presion_cilindro!O715)^Presion_cilindro!$B$9+10*(Presion_cilindro!$B$9-1)*Presion_cilindro!$B$33*(IF(Presion_cilindro!N715&gt;(-G$4+Presion_cilindro!$B$34),1-EXP(-Presion_cilindro!$B$16*((Presion_cilindro!N715-(-G$4+Presion_cilindro!$B$34))/Presion_cilindro!$B$35)^(Presion_cilindro!$B$17+1)),0)-IF(Presion_cilindro!N714&gt;(-G$4+Presion_cilindro!$B$34),1-EXP(-Presion_cilindro!$B$16*((Presion_cilindro!N714-(-G$4+Presion_cilindro!$B$34))/Presion_cilindro!$B$35)^(Presion_cilindro!$B$17+1)),0))/((Presion_cilindro!O714+Presion_cilindro!O715)/2)</f>
        <v>2.2813538930449364</v>
      </c>
      <c r="H723" s="27">
        <f>H722*(Presion_cilindro!O714/Presion_cilindro!O715)^Presion_cilindro!$B$9+10*(Presion_cilindro!$B$9-1)*Presion_cilindro!$B$33*(IF(Presion_cilindro!N715&gt;(-H$4+Presion_cilindro!$B$34),1-EXP(-Presion_cilindro!$B$16*((Presion_cilindro!N715-(-H$4+Presion_cilindro!$B$34))/Presion_cilindro!$B$35)^(Presion_cilindro!$B$17+1)),0)-IF(Presion_cilindro!N714&gt;(-H$4+Presion_cilindro!$B$34),1-EXP(-Presion_cilindro!$B$16*((Presion_cilindro!N714-(-H$4+Presion_cilindro!$B$34))/Presion_cilindro!$B$35)^(Presion_cilindro!$B$17+1)),0))/((Presion_cilindro!O714+Presion_cilindro!O715)/2)</f>
        <v>2.2573759669948137</v>
      </c>
      <c r="I723" s="27">
        <f>I722*(Presion_cilindro!O714/Presion_cilindro!O715)^Presion_cilindro!$B$9+10*(Presion_cilindro!$B$9-1)*Presion_cilindro!$B$33*(IF(Presion_cilindro!N715&gt;(-I$4+Presion_cilindro!$B$34),1-EXP(-Presion_cilindro!$B$16*((Presion_cilindro!N715-(-I$4+Presion_cilindro!$B$34))/Presion_cilindro!$B$35)^(Presion_cilindro!$B$17+1)),0)-IF(Presion_cilindro!N714&gt;(-I$4+Presion_cilindro!$B$34),1-EXP(-Presion_cilindro!$B$16*((Presion_cilindro!N714-(-I$4+Presion_cilindro!$B$34))/Presion_cilindro!$B$35)^(Presion_cilindro!$B$17+1)),0))/((Presion_cilindro!O714+Presion_cilindro!O715)/2)</f>
        <v>2.2516243314716</v>
      </c>
      <c r="J723" s="27">
        <f>J722*(Presion_cilindro!O714/Presion_cilindro!O715)^Presion_cilindro!$B$9+10*(Presion_cilindro!$B$9-1)*Presion_cilindro!$B$33*(IF(Presion_cilindro!N715&gt;(-J$4+Presion_cilindro!$B$34),1-EXP(-Presion_cilindro!$B$16*((Presion_cilindro!N715-(-J$4+Presion_cilindro!$B$34))/Presion_cilindro!$B$35)^(Presion_cilindro!$B$17+1)),0)-IF(Presion_cilindro!N714&gt;(-J$4+Presion_cilindro!$B$34),1-EXP(-Presion_cilindro!$B$16*((Presion_cilindro!N714-(-J$4+Presion_cilindro!$B$34))/Presion_cilindro!$B$35)^(Presion_cilindro!$B$17+1)),0))/((Presion_cilindro!O714+Presion_cilindro!O715)/2)</f>
        <v>2.2644572100166762</v>
      </c>
      <c r="K723" s="27">
        <f>K722*(Presion_cilindro!O714/Presion_cilindro!O715)^Presion_cilindro!$B$9+10*(Presion_cilindro!$B$9-1)*Presion_cilindro!$B$33*(IF(Presion_cilindro!N715&gt;(-K$4+Presion_cilindro!$B$34),1-EXP(-Presion_cilindro!$B$16*((Presion_cilindro!N715-(-K$4+Presion_cilindro!$B$34))/Presion_cilindro!$B$35)^(Presion_cilindro!$B$17+1)),0)-IF(Presion_cilindro!N714&gt;(-K$4+Presion_cilindro!$B$34),1-EXP(-Presion_cilindro!$B$16*((Presion_cilindro!N714-(-K$4+Presion_cilindro!$B$34))/Presion_cilindro!$B$35)^(Presion_cilindro!$B$17+1)),0))/((Presion_cilindro!O714+Presion_cilindro!O715)/2)</f>
        <v>2.2949730189429949</v>
      </c>
      <c r="L723" s="27">
        <f>L722*(Presion_cilindro!O714/Presion_cilindro!O715)^Presion_cilindro!$B$9+10*(Presion_cilindro!$B$9-1)*Presion_cilindro!$B$33*(IF(Presion_cilindro!N715&gt;(-L$4+Presion_cilindro!$B$34),1-EXP(-Presion_cilindro!$B$16*((Presion_cilindro!N715-(-L$4+Presion_cilindro!$B$34))/Presion_cilindro!$B$35)^(Presion_cilindro!$B$17+1)),0)-IF(Presion_cilindro!N714&gt;(-L$4+Presion_cilindro!$B$34),1-EXP(-Presion_cilindro!$B$16*((Presion_cilindro!N714-(-L$4+Presion_cilindro!$B$34))/Presion_cilindro!$B$35)^(Presion_cilindro!$B$17+1)),0))/((Presion_cilindro!O714+Presion_cilindro!O715)/2)</f>
        <v>2.3411967551006931</v>
      </c>
      <c r="M723" s="27">
        <f>M722*(Presion_cilindro!O714/Presion_cilindro!O715)^Presion_cilindro!$B$9+10*(Presion_cilindro!$B$9-1)*Presion_cilindro!$B$33*(IF(Presion_cilindro!N715&gt;(-M$4+Presion_cilindro!$B$34),1-EXP(-Presion_cilindro!$B$16*((Presion_cilindro!N715-(-M$4+Presion_cilindro!$B$34))/Presion_cilindro!$B$35)^(Presion_cilindro!$B$17+1)),0)-IF(Presion_cilindro!N714&gt;(-M$4+Presion_cilindro!$B$34),1-EXP(-Presion_cilindro!$B$16*((Presion_cilindro!N714-(-M$4+Presion_cilindro!$B$34))/Presion_cilindro!$B$35)^(Presion_cilindro!$B$17+1)),0))/((Presion_cilindro!O714+Presion_cilindro!O715)/2)</f>
        <v>2.4004444452309328</v>
      </c>
      <c r="N723" s="27">
        <f>N722*(Presion_cilindro!O714/Presion_cilindro!O715)^Presion_cilindro!$B$9+10*(Presion_cilindro!$B$9-1)*Presion_cilindro!$B$33*(IF(Presion_cilindro!N715&gt;(-N$4+Presion_cilindro!$B$34),1-EXP(-Presion_cilindro!$B$16*((Presion_cilindro!N715-(-N$4+Presion_cilindro!$B$34))/Presion_cilindro!$B$35)^(Presion_cilindro!$B$17+1)),0)-IF(Presion_cilindro!N714&gt;(-N$4+Presion_cilindro!$B$34),1-EXP(-Presion_cilindro!$B$16*((Presion_cilindro!N714-(-N$4+Presion_cilindro!$B$34))/Presion_cilindro!$B$35)^(Presion_cilindro!$B$17+1)),0))/((Presion_cilindro!O714+Presion_cilindro!O715)/2)</f>
        <v>2.4697440768579182</v>
      </c>
    </row>
    <row r="724" spans="1:14" x14ac:dyDescent="0.25">
      <c r="A724" s="21">
        <f>Presion_cilindro!N716</f>
        <v>176</v>
      </c>
      <c r="B724" s="27">
        <f>B723*(Presion_cilindro!O715/Presion_cilindro!O716)^Presion_cilindro!$B$9+10*(Presion_cilindro!$B$9-1)*Presion_cilindro!$B$33*(IF(Presion_cilindro!N716&gt;(-B$4+Presion_cilindro!$B$34),1-EXP(-Presion_cilindro!$B$16*((Presion_cilindro!N716-(-B$4+Presion_cilindro!$B$34))/Presion_cilindro!$B$35)^(Presion_cilindro!$B$17+1)),0)-IF(Presion_cilindro!N715&gt;(-B$4+Presion_cilindro!$B$34),1-EXP(-Presion_cilindro!$B$16*((Presion_cilindro!N715-(-B$4+Presion_cilindro!$B$34))/Presion_cilindro!$B$35)^(Presion_cilindro!$B$17+1)),0))/((Presion_cilindro!O715+Presion_cilindro!O716)/2)</f>
        <v>2.5964720103466976</v>
      </c>
      <c r="C724" s="27">
        <f>C723*(Presion_cilindro!O715/Presion_cilindro!O716)^Presion_cilindro!$B$9+10*(Presion_cilindro!$B$9-1)*Presion_cilindro!$B$33*(IF(Presion_cilindro!N716&gt;(-C$4+Presion_cilindro!$B$34),1-EXP(-Presion_cilindro!$B$16*((Presion_cilindro!N716-(-C$4+Presion_cilindro!$B$34))/Presion_cilindro!$B$35)^(Presion_cilindro!$B$17+1)),0)-IF(Presion_cilindro!N715&gt;(-C$4+Presion_cilindro!$B$34),1-EXP(-Presion_cilindro!$B$16*((Presion_cilindro!N715-(-C$4+Presion_cilindro!$B$34))/Presion_cilindro!$B$35)^(Presion_cilindro!$B$17+1)),0))/((Presion_cilindro!O715+Presion_cilindro!O716)/2)</f>
        <v>2.5166466934810501</v>
      </c>
      <c r="D724" s="27">
        <f>D723*(Presion_cilindro!O715/Presion_cilindro!O716)^Presion_cilindro!$B$9+10*(Presion_cilindro!$B$9-1)*Presion_cilindro!$B$33*(IF(Presion_cilindro!N716&gt;(-D$4+Presion_cilindro!$B$34),1-EXP(-Presion_cilindro!$B$16*((Presion_cilindro!N716-(-D$4+Presion_cilindro!$B$34))/Presion_cilindro!$B$35)^(Presion_cilindro!$B$17+1)),0)-IF(Presion_cilindro!N715&gt;(-D$4+Presion_cilindro!$B$34),1-EXP(-Presion_cilindro!$B$16*((Presion_cilindro!N715-(-D$4+Presion_cilindro!$B$34))/Presion_cilindro!$B$35)^(Presion_cilindro!$B$17+1)),0))/((Presion_cilindro!O715+Presion_cilindro!O716)/2)</f>
        <v>2.4423010759705712</v>
      </c>
      <c r="E724" s="27">
        <f>E723*(Presion_cilindro!O715/Presion_cilindro!O716)^Presion_cilindro!$B$9+10*(Presion_cilindro!$B$9-1)*Presion_cilindro!$B$33*(IF(Presion_cilindro!N716&gt;(-E$4+Presion_cilindro!$B$34),1-EXP(-Presion_cilindro!$B$16*((Presion_cilindro!N716-(-E$4+Presion_cilindro!$B$34))/Presion_cilindro!$B$35)^(Presion_cilindro!$B$17+1)),0)-IF(Presion_cilindro!N715&gt;(-E$4+Presion_cilindro!$B$34),1-EXP(-Presion_cilindro!$B$16*((Presion_cilindro!N715-(-E$4+Presion_cilindro!$B$34))/Presion_cilindro!$B$35)^(Presion_cilindro!$B$17+1)),0))/((Presion_cilindro!O715+Presion_cilindro!O716)/2)</f>
        <v>2.3762009079030473</v>
      </c>
      <c r="F724" s="27">
        <f>F723*(Presion_cilindro!O715/Presion_cilindro!O716)^Presion_cilindro!$B$9+10*(Presion_cilindro!$B$9-1)*Presion_cilindro!$B$33*(IF(Presion_cilindro!N716&gt;(-F$4+Presion_cilindro!$B$34),1-EXP(-Presion_cilindro!$B$16*((Presion_cilindro!N716-(-F$4+Presion_cilindro!$B$34))/Presion_cilindro!$B$35)^(Presion_cilindro!$B$17+1)),0)-IF(Presion_cilindro!N715&gt;(-F$4+Presion_cilindro!$B$34),1-EXP(-Presion_cilindro!$B$16*((Presion_cilindro!N715-(-F$4+Presion_cilindro!$B$34))/Presion_cilindro!$B$35)^(Presion_cilindro!$B$17+1)),0))/((Presion_cilindro!O715+Presion_cilindro!O716)/2)</f>
        <v>2.3213591500948398</v>
      </c>
      <c r="G724" s="27">
        <f>G723*(Presion_cilindro!O715/Presion_cilindro!O716)^Presion_cilindro!$B$9+10*(Presion_cilindro!$B$9-1)*Presion_cilindro!$B$33*(IF(Presion_cilindro!N716&gt;(-G$4+Presion_cilindro!$B$34),1-EXP(-Presion_cilindro!$B$16*((Presion_cilindro!N716-(-G$4+Presion_cilindro!$B$34))/Presion_cilindro!$B$35)^(Presion_cilindro!$B$17+1)),0)-IF(Presion_cilindro!N715&gt;(-G$4+Presion_cilindro!$B$34),1-EXP(-Presion_cilindro!$B$16*((Presion_cilindro!N715-(-G$4+Presion_cilindro!$B$34))/Presion_cilindro!$B$35)^(Presion_cilindro!$B$17+1)),0))/((Presion_cilindro!O715+Presion_cilindro!O716)/2)</f>
        <v>2.2807220513474227</v>
      </c>
      <c r="H724" s="27">
        <f>H723*(Presion_cilindro!O715/Presion_cilindro!O716)^Presion_cilindro!$B$9+10*(Presion_cilindro!$B$9-1)*Presion_cilindro!$B$33*(IF(Presion_cilindro!N716&gt;(-H$4+Presion_cilindro!$B$34),1-EXP(-Presion_cilindro!$B$16*((Presion_cilindro!N716-(-H$4+Presion_cilindro!$B$34))/Presion_cilindro!$B$35)^(Presion_cilindro!$B$17+1)),0)-IF(Presion_cilindro!N715&gt;(-H$4+Presion_cilindro!$B$34),1-EXP(-Presion_cilindro!$B$16*((Presion_cilindro!N715-(-H$4+Presion_cilindro!$B$34))/Presion_cilindro!$B$35)^(Presion_cilindro!$B$17+1)),0))/((Presion_cilindro!O715+Presion_cilindro!O716)/2)</f>
        <v>2.256750766201872</v>
      </c>
      <c r="I724" s="27">
        <f>I723*(Presion_cilindro!O715/Presion_cilindro!O716)^Presion_cilindro!$B$9+10*(Presion_cilindro!$B$9-1)*Presion_cilindro!$B$33*(IF(Presion_cilindro!N716&gt;(-I$4+Presion_cilindro!$B$34),1-EXP(-Presion_cilindro!$B$16*((Presion_cilindro!N716-(-I$4+Presion_cilindro!$B$34))/Presion_cilindro!$B$35)^(Presion_cilindro!$B$17+1)),0)-IF(Presion_cilindro!N715&gt;(-I$4+Presion_cilindro!$B$34),1-EXP(-Presion_cilindro!$B$16*((Presion_cilindro!N715-(-I$4+Presion_cilindro!$B$34))/Presion_cilindro!$B$35)^(Presion_cilindro!$B$17+1)),0))/((Presion_cilindro!O715+Presion_cilindro!O716)/2)</f>
        <v>2.2510007236463974</v>
      </c>
      <c r="J724" s="27">
        <f>J723*(Presion_cilindro!O715/Presion_cilindro!O716)^Presion_cilindro!$B$9+10*(Presion_cilindro!$B$9-1)*Presion_cilindro!$B$33*(IF(Presion_cilindro!N716&gt;(-J$4+Presion_cilindro!$B$34),1-EXP(-Presion_cilindro!$B$16*((Presion_cilindro!N716-(-J$4+Presion_cilindro!$B$34))/Presion_cilindro!$B$35)^(Presion_cilindro!$B$17+1)),0)-IF(Presion_cilindro!N715&gt;(-J$4+Presion_cilindro!$B$34),1-EXP(-Presion_cilindro!$B$16*((Presion_cilindro!N715-(-J$4+Presion_cilindro!$B$34))/Presion_cilindro!$B$35)^(Presion_cilindro!$B$17+1)),0))/((Presion_cilindro!O715+Presion_cilindro!O716)/2)</f>
        <v>2.2638300480091131</v>
      </c>
      <c r="K724" s="27">
        <f>K723*(Presion_cilindro!O715/Presion_cilindro!O716)^Presion_cilindro!$B$9+10*(Presion_cilindro!$B$9-1)*Presion_cilindro!$B$33*(IF(Presion_cilindro!N716&gt;(-K$4+Presion_cilindro!$B$34),1-EXP(-Presion_cilindro!$B$16*((Presion_cilindro!N716-(-K$4+Presion_cilindro!$B$34))/Presion_cilindro!$B$35)^(Presion_cilindro!$B$17+1)),0)-IF(Presion_cilindro!N715&gt;(-K$4+Presion_cilindro!$B$34),1-EXP(-Presion_cilindro!$B$16*((Presion_cilindro!N715-(-K$4+Presion_cilindro!$B$34))/Presion_cilindro!$B$35)^(Presion_cilindro!$B$17+1)),0))/((Presion_cilindro!O715+Presion_cilindro!O716)/2)</f>
        <v>2.2943374053047698</v>
      </c>
      <c r="L724" s="27">
        <f>L723*(Presion_cilindro!O715/Presion_cilindro!O716)^Presion_cilindro!$B$9+10*(Presion_cilindro!$B$9-1)*Presion_cilindro!$B$33*(IF(Presion_cilindro!N716&gt;(-L$4+Presion_cilindro!$B$34),1-EXP(-Presion_cilindro!$B$16*((Presion_cilindro!N716-(-L$4+Presion_cilindro!$B$34))/Presion_cilindro!$B$35)^(Presion_cilindro!$B$17+1)),0)-IF(Presion_cilindro!N715&gt;(-L$4+Presion_cilindro!$B$34),1-EXP(-Presion_cilindro!$B$16*((Presion_cilindro!N715-(-L$4+Presion_cilindro!$B$34))/Presion_cilindro!$B$35)^(Presion_cilindro!$B$17+1)),0))/((Presion_cilindro!O715+Presion_cilindro!O716)/2)</f>
        <v>2.3405483393785791</v>
      </c>
      <c r="M724" s="27">
        <f>M723*(Presion_cilindro!O715/Presion_cilindro!O716)^Presion_cilindro!$B$9+10*(Presion_cilindro!$B$9-1)*Presion_cilindro!$B$33*(IF(Presion_cilindro!N716&gt;(-M$4+Presion_cilindro!$B$34),1-EXP(-Presion_cilindro!$B$16*((Presion_cilindro!N716-(-M$4+Presion_cilindro!$B$34))/Presion_cilindro!$B$35)^(Presion_cilindro!$B$17+1)),0)-IF(Presion_cilindro!N715&gt;(-M$4+Presion_cilindro!$B$34),1-EXP(-Presion_cilindro!$B$16*((Presion_cilindro!N715-(-M$4+Presion_cilindro!$B$34))/Presion_cilindro!$B$35)^(Presion_cilindro!$B$17+1)),0))/((Presion_cilindro!O715+Presion_cilindro!O716)/2)</f>
        <v>2.3997796203224935</v>
      </c>
      <c r="N724" s="27">
        <f>N723*(Presion_cilindro!O715/Presion_cilindro!O716)^Presion_cilindro!$B$9+10*(Presion_cilindro!$B$9-1)*Presion_cilindro!$B$33*(IF(Presion_cilindro!N716&gt;(-N$4+Presion_cilindro!$B$34),1-EXP(-Presion_cilindro!$B$16*((Presion_cilindro!N716-(-N$4+Presion_cilindro!$B$34))/Presion_cilindro!$B$35)^(Presion_cilindro!$B$17+1)),0)-IF(Presion_cilindro!N715&gt;(-N$4+Presion_cilindro!$B$34),1-EXP(-Presion_cilindro!$B$16*((Presion_cilindro!N715-(-N$4+Presion_cilindro!$B$34))/Presion_cilindro!$B$35)^(Presion_cilindro!$B$17+1)),0))/((Presion_cilindro!O715+Presion_cilindro!O716)/2)</f>
        <v>2.4690600587865865</v>
      </c>
    </row>
    <row r="725" spans="1:14" x14ac:dyDescent="0.25">
      <c r="A725" s="21">
        <f>Presion_cilindro!N717</f>
        <v>176.5</v>
      </c>
      <c r="B725" s="27">
        <f>B724*(Presion_cilindro!O716/Presion_cilindro!O717)^Presion_cilindro!$B$9+10*(Presion_cilindro!$B$9-1)*Presion_cilindro!$B$33*(IF(Presion_cilindro!N717&gt;(-B$4+Presion_cilindro!$B$34),1-EXP(-Presion_cilindro!$B$16*((Presion_cilindro!N717-(-B$4+Presion_cilindro!$B$34))/Presion_cilindro!$B$35)^(Presion_cilindro!$B$17+1)),0)-IF(Presion_cilindro!N716&gt;(-B$4+Presion_cilindro!$B$34),1-EXP(-Presion_cilindro!$B$16*((Presion_cilindro!N716-(-B$4+Presion_cilindro!$B$34))/Presion_cilindro!$B$35)^(Presion_cilindro!$B$17+1)),0))/((Presion_cilindro!O716+Presion_cilindro!O717)/2)</f>
        <v>2.5958376227086339</v>
      </c>
      <c r="C725" s="27">
        <f>C724*(Presion_cilindro!O716/Presion_cilindro!O717)^Presion_cilindro!$B$9+10*(Presion_cilindro!$B$9-1)*Presion_cilindro!$B$33*(IF(Presion_cilindro!N717&gt;(-C$4+Presion_cilindro!$B$34),1-EXP(-Presion_cilindro!$B$16*((Presion_cilindro!N717-(-C$4+Presion_cilindro!$B$34))/Presion_cilindro!$B$35)^(Presion_cilindro!$B$17+1)),0)-IF(Presion_cilindro!N716&gt;(-C$4+Presion_cilindro!$B$34),1-EXP(-Presion_cilindro!$B$16*((Presion_cilindro!N716-(-C$4+Presion_cilindro!$B$34))/Presion_cilindro!$B$35)^(Presion_cilindro!$B$17+1)),0))/((Presion_cilindro!O716+Presion_cilindro!O717)/2)</f>
        <v>2.5160318093053853</v>
      </c>
      <c r="D725" s="27">
        <f>D724*(Presion_cilindro!O716/Presion_cilindro!O717)^Presion_cilindro!$B$9+10*(Presion_cilindro!$B$9-1)*Presion_cilindro!$B$33*(IF(Presion_cilindro!N717&gt;(-D$4+Presion_cilindro!$B$34),1-EXP(-Presion_cilindro!$B$16*((Presion_cilindro!N717-(-D$4+Presion_cilindro!$B$34))/Presion_cilindro!$B$35)^(Presion_cilindro!$B$17+1)),0)-IF(Presion_cilindro!N716&gt;(-D$4+Presion_cilindro!$B$34),1-EXP(-Presion_cilindro!$B$16*((Presion_cilindro!N716-(-D$4+Presion_cilindro!$B$34))/Presion_cilindro!$B$35)^(Presion_cilindro!$B$17+1)),0))/((Presion_cilindro!O716+Presion_cilindro!O717)/2)</f>
        <v>2.4417043564200229</v>
      </c>
      <c r="E725" s="27">
        <f>E724*(Presion_cilindro!O716/Presion_cilindro!O717)^Presion_cilindro!$B$9+10*(Presion_cilindro!$B$9-1)*Presion_cilindro!$B$33*(IF(Presion_cilindro!N717&gt;(-E$4+Presion_cilindro!$B$34),1-EXP(-Presion_cilindro!$B$16*((Presion_cilindro!N717-(-E$4+Presion_cilindro!$B$34))/Presion_cilindro!$B$35)^(Presion_cilindro!$B$17+1)),0)-IF(Presion_cilindro!N716&gt;(-E$4+Presion_cilindro!$B$34),1-EXP(-Presion_cilindro!$B$16*((Presion_cilindro!N716-(-E$4+Presion_cilindro!$B$34))/Presion_cilindro!$B$35)^(Presion_cilindro!$B$17+1)),0))/((Presion_cilindro!O716+Presion_cilindro!O717)/2)</f>
        <v>2.375620338393527</v>
      </c>
      <c r="F725" s="27">
        <f>F724*(Presion_cilindro!O716/Presion_cilindro!O717)^Presion_cilindro!$B$9+10*(Presion_cilindro!$B$9-1)*Presion_cilindro!$B$33*(IF(Presion_cilindro!N717&gt;(-F$4+Presion_cilindro!$B$34),1-EXP(-Presion_cilindro!$B$16*((Presion_cilindro!N717-(-F$4+Presion_cilindro!$B$34))/Presion_cilindro!$B$35)^(Presion_cilindro!$B$17+1)),0)-IF(Presion_cilindro!N716&gt;(-F$4+Presion_cilindro!$B$34),1-EXP(-Presion_cilindro!$B$16*((Presion_cilindro!N716-(-F$4+Presion_cilindro!$B$34))/Presion_cilindro!$B$35)^(Presion_cilindro!$B$17+1)),0))/((Presion_cilindro!O716+Presion_cilindro!O717)/2)</f>
        <v>2.3207919798952545</v>
      </c>
      <c r="G725" s="27">
        <f>G724*(Presion_cilindro!O716/Presion_cilindro!O717)^Presion_cilindro!$B$9+10*(Presion_cilindro!$B$9-1)*Presion_cilindro!$B$33*(IF(Presion_cilindro!N717&gt;(-G$4+Presion_cilindro!$B$34),1-EXP(-Presion_cilindro!$B$16*((Presion_cilindro!N717-(-G$4+Presion_cilindro!$B$34))/Presion_cilindro!$B$35)^(Presion_cilindro!$B$17+1)),0)-IF(Presion_cilindro!N716&gt;(-G$4+Presion_cilindro!$B$34),1-EXP(-Presion_cilindro!$B$16*((Presion_cilindro!N716-(-G$4+Presion_cilindro!$B$34))/Presion_cilindro!$B$35)^(Presion_cilindro!$B$17+1)),0))/((Presion_cilindro!O716+Presion_cilindro!O717)/2)</f>
        <v>2.2801648098792042</v>
      </c>
      <c r="H725" s="27">
        <f>H724*(Presion_cilindro!O716/Presion_cilindro!O717)^Presion_cilindro!$B$9+10*(Presion_cilindro!$B$9-1)*Presion_cilindro!$B$33*(IF(Presion_cilindro!N717&gt;(-H$4+Presion_cilindro!$B$34),1-EXP(-Presion_cilindro!$B$16*((Presion_cilindro!N717-(-H$4+Presion_cilindro!$B$34))/Presion_cilindro!$B$35)^(Presion_cilindro!$B$17+1)),0)-IF(Presion_cilindro!N716&gt;(-H$4+Presion_cilindro!$B$34),1-EXP(-Presion_cilindro!$B$16*((Presion_cilindro!N716-(-H$4+Presion_cilindro!$B$34))/Presion_cilindro!$B$35)^(Presion_cilindro!$B$17+1)),0))/((Presion_cilindro!O716+Presion_cilindro!O717)/2)</f>
        <v>2.2561993815604953</v>
      </c>
      <c r="I725" s="27">
        <f>I724*(Presion_cilindro!O716/Presion_cilindro!O717)^Presion_cilindro!$B$9+10*(Presion_cilindro!$B$9-1)*Presion_cilindro!$B$33*(IF(Presion_cilindro!N717&gt;(-I$4+Presion_cilindro!$B$34),1-EXP(-Presion_cilindro!$B$16*((Presion_cilindro!N717-(-I$4+Presion_cilindro!$B$34))/Presion_cilindro!$B$35)^(Presion_cilindro!$B$17+1)),0)-IF(Presion_cilindro!N716&gt;(-I$4+Presion_cilindro!$B$34),1-EXP(-Presion_cilindro!$B$16*((Presion_cilindro!N716-(-I$4+Presion_cilindro!$B$34))/Presion_cilindro!$B$35)^(Presion_cilindro!$B$17+1)),0))/((Presion_cilindro!O716+Presion_cilindro!O717)/2)</f>
        <v>2.2504507438943864</v>
      </c>
      <c r="J725" s="27">
        <f>J724*(Presion_cilindro!O716/Presion_cilindro!O717)^Presion_cilindro!$B$9+10*(Presion_cilindro!$B$9-1)*Presion_cilindro!$B$33*(IF(Presion_cilindro!N717&gt;(-J$4+Presion_cilindro!$B$34),1-EXP(-Presion_cilindro!$B$16*((Presion_cilindro!N717-(-J$4+Presion_cilindro!$B$34))/Presion_cilindro!$B$35)^(Presion_cilindro!$B$17+1)),0)-IF(Presion_cilindro!N716&gt;(-J$4+Presion_cilindro!$B$34),1-EXP(-Presion_cilindro!$B$16*((Presion_cilindro!N716-(-J$4+Presion_cilindro!$B$34))/Presion_cilindro!$B$35)^(Presion_cilindro!$B$17+1)),0))/((Presion_cilindro!O716+Presion_cilindro!O717)/2)</f>
        <v>2.2632769337096286</v>
      </c>
      <c r="K725" s="27">
        <f>K724*(Presion_cilindro!O716/Presion_cilindro!O717)^Presion_cilindro!$B$9+10*(Presion_cilindro!$B$9-1)*Presion_cilindro!$B$33*(IF(Presion_cilindro!N717&gt;(-K$4+Presion_cilindro!$B$34),1-EXP(-Presion_cilindro!$B$16*((Presion_cilindro!N717-(-K$4+Presion_cilindro!$B$34))/Presion_cilindro!$B$35)^(Presion_cilindro!$B$17+1)),0)-IF(Presion_cilindro!N716&gt;(-K$4+Presion_cilindro!$B$34),1-EXP(-Presion_cilindro!$B$16*((Presion_cilindro!N716-(-K$4+Presion_cilindro!$B$34))/Presion_cilindro!$B$35)^(Presion_cilindro!$B$17+1)),0))/((Presion_cilindro!O716+Presion_cilindro!O717)/2)</f>
        <v>2.2937768372409999</v>
      </c>
      <c r="L725" s="27">
        <f>L724*(Presion_cilindro!O716/Presion_cilindro!O717)^Presion_cilindro!$B$9+10*(Presion_cilindro!$B$9-1)*Presion_cilindro!$B$33*(IF(Presion_cilindro!N717&gt;(-L$4+Presion_cilindro!$B$34),1-EXP(-Presion_cilindro!$B$16*((Presion_cilindro!N717-(-L$4+Presion_cilindro!$B$34))/Presion_cilindro!$B$35)^(Presion_cilindro!$B$17+1)),0)-IF(Presion_cilindro!N716&gt;(-L$4+Presion_cilindro!$B$34),1-EXP(-Presion_cilindro!$B$16*((Presion_cilindro!N716-(-L$4+Presion_cilindro!$B$34))/Presion_cilindro!$B$35)^(Presion_cilindro!$B$17+1)),0))/((Presion_cilindro!O716+Presion_cilindro!O717)/2)</f>
        <v>2.3399764807462211</v>
      </c>
      <c r="M725" s="27">
        <f>M724*(Presion_cilindro!O716/Presion_cilindro!O717)^Presion_cilindro!$B$9+10*(Presion_cilindro!$B$9-1)*Presion_cilindro!$B$33*(IF(Presion_cilindro!N717&gt;(-M$4+Presion_cilindro!$B$34),1-EXP(-Presion_cilindro!$B$16*((Presion_cilindro!N717-(-M$4+Presion_cilindro!$B$34))/Presion_cilindro!$B$35)^(Presion_cilindro!$B$17+1)),0)-IF(Presion_cilindro!N716&gt;(-M$4+Presion_cilindro!$B$34),1-EXP(-Presion_cilindro!$B$16*((Presion_cilindro!N716-(-M$4+Presion_cilindro!$B$34))/Presion_cilindro!$B$35)^(Presion_cilindro!$B$17+1)),0))/((Presion_cilindro!O716+Presion_cilindro!O717)/2)</f>
        <v>2.3991932899021604</v>
      </c>
      <c r="N725" s="27">
        <f>N724*(Presion_cilindro!O716/Presion_cilindro!O717)^Presion_cilindro!$B$9+10*(Presion_cilindro!$B$9-1)*Presion_cilindro!$B$33*(IF(Presion_cilindro!N717&gt;(-N$4+Presion_cilindro!$B$34),1-EXP(-Presion_cilindro!$B$16*((Presion_cilindro!N717-(-N$4+Presion_cilindro!$B$34))/Presion_cilindro!$B$35)^(Presion_cilindro!$B$17+1)),0)-IF(Presion_cilindro!N716&gt;(-N$4+Presion_cilindro!$B$34),1-EXP(-Presion_cilindro!$B$16*((Presion_cilindro!N716-(-N$4+Presion_cilindro!$B$34))/Presion_cilindro!$B$35)^(Presion_cilindro!$B$17+1)),0))/((Presion_cilindro!O716+Presion_cilindro!O717)/2)</f>
        <v>2.4684568013000088</v>
      </c>
    </row>
    <row r="726" spans="1:14" x14ac:dyDescent="0.25">
      <c r="A726" s="21">
        <f>Presion_cilindro!N718</f>
        <v>177</v>
      </c>
      <c r="B726" s="27">
        <f>B725*(Presion_cilindro!O717/Presion_cilindro!O718)^Presion_cilindro!$B$9+10*(Presion_cilindro!$B$9-1)*Presion_cilindro!$B$33*(IF(Presion_cilindro!N718&gt;(-B$4+Presion_cilindro!$B$34),1-EXP(-Presion_cilindro!$B$16*((Presion_cilindro!N718-(-B$4+Presion_cilindro!$B$34))/Presion_cilindro!$B$35)^(Presion_cilindro!$B$17+1)),0)-IF(Presion_cilindro!N717&gt;(-B$4+Presion_cilindro!$B$34),1-EXP(-Presion_cilindro!$B$16*((Presion_cilindro!N717-(-B$4+Presion_cilindro!$B$34))/Presion_cilindro!$B$35)^(Presion_cilindro!$B$17+1)),0))/((Presion_cilindro!O717+Presion_cilindro!O718)/2)</f>
        <v>2.595288049544124</v>
      </c>
      <c r="C726" s="27">
        <f>C725*(Presion_cilindro!O717/Presion_cilindro!O718)^Presion_cilindro!$B$9+10*(Presion_cilindro!$B$9-1)*Presion_cilindro!$B$33*(IF(Presion_cilindro!N718&gt;(-C$4+Presion_cilindro!$B$34),1-EXP(-Presion_cilindro!$B$16*((Presion_cilindro!N718-(-C$4+Presion_cilindro!$B$34))/Presion_cilindro!$B$35)^(Presion_cilindro!$B$17+1)),0)-IF(Presion_cilindro!N717&gt;(-C$4+Presion_cilindro!$B$34),1-EXP(-Presion_cilindro!$B$16*((Presion_cilindro!N717-(-C$4+Presion_cilindro!$B$34))/Presion_cilindro!$B$35)^(Presion_cilindro!$B$17+1)),0))/((Presion_cilindro!O717+Presion_cilindro!O718)/2)</f>
        <v>2.5154991320873066</v>
      </c>
      <c r="D726" s="27">
        <f>D725*(Presion_cilindro!O717/Presion_cilindro!O718)^Presion_cilindro!$B$9+10*(Presion_cilindro!$B$9-1)*Presion_cilindro!$B$33*(IF(Presion_cilindro!N718&gt;(-D$4+Presion_cilindro!$B$34),1-EXP(-Presion_cilindro!$B$16*((Presion_cilindro!N718-(-D$4+Presion_cilindro!$B$34))/Presion_cilindro!$B$35)^(Presion_cilindro!$B$17+1)),0)-IF(Presion_cilindro!N717&gt;(-D$4+Presion_cilindro!$B$34),1-EXP(-Presion_cilindro!$B$16*((Presion_cilindro!N717-(-D$4+Presion_cilindro!$B$34))/Presion_cilindro!$B$35)^(Presion_cilindro!$B$17+1)),0))/((Presion_cilindro!O717+Presion_cilindro!O718)/2)</f>
        <v>2.4411874153069824</v>
      </c>
      <c r="E726" s="27">
        <f>E725*(Presion_cilindro!O717/Presion_cilindro!O718)^Presion_cilindro!$B$9+10*(Presion_cilindro!$B$9-1)*Presion_cilindro!$B$33*(IF(Presion_cilindro!N718&gt;(-E$4+Presion_cilindro!$B$34),1-EXP(-Presion_cilindro!$B$16*((Presion_cilindro!N718-(-E$4+Presion_cilindro!$B$34))/Presion_cilindro!$B$35)^(Presion_cilindro!$B$17+1)),0)-IF(Presion_cilindro!N717&gt;(-E$4+Presion_cilindro!$B$34),1-EXP(-Presion_cilindro!$B$16*((Presion_cilindro!N717-(-E$4+Presion_cilindro!$B$34))/Presion_cilindro!$B$35)^(Presion_cilindro!$B$17+1)),0))/((Presion_cilindro!O717+Presion_cilindro!O718)/2)</f>
        <v>2.3751173881413141</v>
      </c>
      <c r="F726" s="27">
        <f>F725*(Presion_cilindro!O717/Presion_cilindro!O718)^Presion_cilindro!$B$9+10*(Presion_cilindro!$B$9-1)*Presion_cilindro!$B$33*(IF(Presion_cilindro!N718&gt;(-F$4+Presion_cilindro!$B$34),1-EXP(-Presion_cilindro!$B$16*((Presion_cilindro!N718-(-F$4+Presion_cilindro!$B$34))/Presion_cilindro!$B$35)^(Presion_cilindro!$B$17+1)),0)-IF(Presion_cilindro!N717&gt;(-F$4+Presion_cilindro!$B$34),1-EXP(-Presion_cilindro!$B$16*((Presion_cilindro!N717-(-F$4+Presion_cilindro!$B$34))/Presion_cilindro!$B$35)^(Presion_cilindro!$B$17+1)),0))/((Presion_cilindro!O717+Presion_cilindro!O718)/2)</f>
        <v>2.3203006375318482</v>
      </c>
      <c r="G726" s="27">
        <f>G725*(Presion_cilindro!O717/Presion_cilindro!O718)^Presion_cilindro!$B$9+10*(Presion_cilindro!$B$9-1)*Presion_cilindro!$B$33*(IF(Presion_cilindro!N718&gt;(-G$4+Presion_cilindro!$B$34),1-EXP(-Presion_cilindro!$B$16*((Presion_cilindro!N718-(-G$4+Presion_cilindro!$B$34))/Presion_cilindro!$B$35)^(Presion_cilindro!$B$17+1)),0)-IF(Presion_cilindro!N717&gt;(-G$4+Presion_cilindro!$B$34),1-EXP(-Presion_cilindro!$B$16*((Presion_cilindro!N717-(-G$4+Presion_cilindro!$B$34))/Presion_cilindro!$B$35)^(Presion_cilindro!$B$17+1)),0))/((Presion_cilindro!O717+Presion_cilindro!O718)/2)</f>
        <v>2.2796820688251387</v>
      </c>
      <c r="H726" s="27">
        <f>H725*(Presion_cilindro!O717/Presion_cilindro!O718)^Presion_cilindro!$B$9+10*(Presion_cilindro!$B$9-1)*Presion_cilindro!$B$33*(IF(Presion_cilindro!N718&gt;(-H$4+Presion_cilindro!$B$34),1-EXP(-Presion_cilindro!$B$16*((Presion_cilindro!N718-(-H$4+Presion_cilindro!$B$34))/Presion_cilindro!$B$35)^(Presion_cilindro!$B$17+1)),0)-IF(Presion_cilindro!N717&gt;(-H$4+Presion_cilindro!$B$34),1-EXP(-Presion_cilindro!$B$16*((Presion_cilindro!N717-(-H$4+Presion_cilindro!$B$34))/Presion_cilindro!$B$35)^(Presion_cilindro!$B$17+1)),0))/((Presion_cilindro!O717+Presion_cilindro!O718)/2)</f>
        <v>2.255721714304638</v>
      </c>
      <c r="I726" s="27">
        <f>I725*(Presion_cilindro!O717/Presion_cilindro!O718)^Presion_cilindro!$B$9+10*(Presion_cilindro!$B$9-1)*Presion_cilindro!$B$33*(IF(Presion_cilindro!N718&gt;(-I$4+Presion_cilindro!$B$34),1-EXP(-Presion_cilindro!$B$16*((Presion_cilindro!N718-(-I$4+Presion_cilindro!$B$34))/Presion_cilindro!$B$35)^(Presion_cilindro!$B$17+1)),0)-IF(Presion_cilindro!N717&gt;(-I$4+Presion_cilindro!$B$34),1-EXP(-Presion_cilindro!$B$16*((Presion_cilindro!N717-(-I$4+Presion_cilindro!$B$34))/Presion_cilindro!$B$35)^(Presion_cilindro!$B$17+1)),0))/((Presion_cilindro!O717+Presion_cilindro!O718)/2)</f>
        <v>2.2499742937011709</v>
      </c>
      <c r="J726" s="27">
        <f>J725*(Presion_cilindro!O717/Presion_cilindro!O718)^Presion_cilindro!$B$9+10*(Presion_cilindro!$B$9-1)*Presion_cilindro!$B$33*(IF(Presion_cilindro!N718&gt;(-J$4+Presion_cilindro!$B$34),1-EXP(-Presion_cilindro!$B$16*((Presion_cilindro!N718-(-J$4+Presion_cilindro!$B$34))/Presion_cilindro!$B$35)^(Presion_cilindro!$B$17+1)),0)-IF(Presion_cilindro!N717&gt;(-J$4+Presion_cilindro!$B$34),1-EXP(-Presion_cilindro!$B$16*((Presion_cilindro!N717-(-J$4+Presion_cilindro!$B$34))/Presion_cilindro!$B$35)^(Presion_cilindro!$B$17+1)),0))/((Presion_cilindro!O717+Presion_cilindro!O718)/2)</f>
        <v>2.2627977680423541</v>
      </c>
      <c r="K726" s="27">
        <f>K725*(Presion_cilindro!O717/Presion_cilindro!O718)^Presion_cilindro!$B$9+10*(Presion_cilindro!$B$9-1)*Presion_cilindro!$B$33*(IF(Presion_cilindro!N718&gt;(-K$4+Presion_cilindro!$B$34),1-EXP(-Presion_cilindro!$B$16*((Presion_cilindro!N718-(-K$4+Presion_cilindro!$B$34))/Presion_cilindro!$B$35)^(Presion_cilindro!$B$17+1)),0)-IF(Presion_cilindro!N717&gt;(-K$4+Presion_cilindro!$B$34),1-EXP(-Presion_cilindro!$B$16*((Presion_cilindro!N717-(-K$4+Presion_cilindro!$B$34))/Presion_cilindro!$B$35)^(Presion_cilindro!$B$17+1)),0))/((Presion_cilindro!O717+Presion_cilindro!O718)/2)</f>
        <v>2.293291214340671</v>
      </c>
      <c r="L726" s="27">
        <f>L725*(Presion_cilindro!O717/Presion_cilindro!O718)^Presion_cilindro!$B$9+10*(Presion_cilindro!$B$9-1)*Presion_cilindro!$B$33*(IF(Presion_cilindro!N718&gt;(-L$4+Presion_cilindro!$B$34),1-EXP(-Presion_cilindro!$B$16*((Presion_cilindro!N718-(-L$4+Presion_cilindro!$B$34))/Presion_cilindro!$B$35)^(Presion_cilindro!$B$17+1)),0)-IF(Presion_cilindro!N717&gt;(-L$4+Presion_cilindro!$B$34),1-EXP(-Presion_cilindro!$B$16*((Presion_cilindro!N717-(-L$4+Presion_cilindro!$B$34))/Presion_cilindro!$B$35)^(Presion_cilindro!$B$17+1)),0))/((Presion_cilindro!O717+Presion_cilindro!O718)/2)</f>
        <v>2.339481076770197</v>
      </c>
      <c r="M726" s="27">
        <f>M725*(Presion_cilindro!O717/Presion_cilindro!O718)^Presion_cilindro!$B$9+10*(Presion_cilindro!$B$9-1)*Presion_cilindro!$B$33*(IF(Presion_cilindro!N718&gt;(-M$4+Presion_cilindro!$B$34),1-EXP(-Presion_cilindro!$B$16*((Presion_cilindro!N718-(-M$4+Presion_cilindro!$B$34))/Presion_cilindro!$B$35)^(Presion_cilindro!$B$17+1)),0)-IF(Presion_cilindro!N717&gt;(-M$4+Presion_cilindro!$B$34),1-EXP(-Presion_cilindro!$B$16*((Presion_cilindro!N717-(-M$4+Presion_cilindro!$B$34))/Presion_cilindro!$B$35)^(Presion_cilindro!$B$17+1)),0))/((Presion_cilindro!O717+Presion_cilindro!O718)/2)</f>
        <v>2.3986853489442712</v>
      </c>
      <c r="N726" s="27">
        <f>N725*(Presion_cilindro!O717/Presion_cilindro!O718)^Presion_cilindro!$B$9+10*(Presion_cilindro!$B$9-1)*Presion_cilindro!$B$33*(IF(Presion_cilindro!N718&gt;(-N$4+Presion_cilindro!$B$34),1-EXP(-Presion_cilindro!$B$16*((Presion_cilindro!N718-(-N$4+Presion_cilindro!$B$34))/Presion_cilindro!$B$35)^(Presion_cilindro!$B$17+1)),0)-IF(Presion_cilindro!N717&gt;(-N$4+Presion_cilindro!$B$34),1-EXP(-Presion_cilindro!$B$16*((Presion_cilindro!N717-(-N$4+Presion_cilindro!$B$34))/Presion_cilindro!$B$35)^(Presion_cilindro!$B$17+1)),0))/((Presion_cilindro!O717+Presion_cilindro!O718)/2)</f>
        <v>2.4679341963404848</v>
      </c>
    </row>
    <row r="727" spans="1:14" x14ac:dyDescent="0.25">
      <c r="A727" s="21">
        <f>Presion_cilindro!N719</f>
        <v>177.5</v>
      </c>
      <c r="B727" s="27">
        <f>B726*(Presion_cilindro!O718/Presion_cilindro!O719)^Presion_cilindro!$B$9+10*(Presion_cilindro!$B$9-1)*Presion_cilindro!$B$33*(IF(Presion_cilindro!N719&gt;(-B$4+Presion_cilindro!$B$34),1-EXP(-Presion_cilindro!$B$16*((Presion_cilindro!N719-(-B$4+Presion_cilindro!$B$34))/Presion_cilindro!$B$35)^(Presion_cilindro!$B$17+1)),0)-IF(Presion_cilindro!N718&gt;(-B$4+Presion_cilindro!$B$34),1-EXP(-Presion_cilindro!$B$16*((Presion_cilindro!N718-(-B$4+Presion_cilindro!$B$34))/Presion_cilindro!$B$35)^(Presion_cilindro!$B$17+1)),0))/((Presion_cilindro!O718+Presion_cilindro!O719)/2)</f>
        <v>2.5948231924450407</v>
      </c>
      <c r="C727" s="27">
        <f>C726*(Presion_cilindro!O718/Presion_cilindro!O719)^Presion_cilindro!$B$9+10*(Presion_cilindro!$B$9-1)*Presion_cilindro!$B$33*(IF(Presion_cilindro!N719&gt;(-C$4+Presion_cilindro!$B$34),1-EXP(-Presion_cilindro!$B$16*((Presion_cilindro!N719-(-C$4+Presion_cilindro!$B$34))/Presion_cilindro!$B$35)^(Presion_cilindro!$B$17+1)),0)-IF(Presion_cilindro!N718&gt;(-C$4+Presion_cilindro!$B$34),1-EXP(-Presion_cilindro!$B$16*((Presion_cilindro!N718-(-C$4+Presion_cilindro!$B$34))/Presion_cilindro!$B$35)^(Presion_cilindro!$B$17+1)),0))/((Presion_cilindro!O718+Presion_cilindro!O719)/2)</f>
        <v>2.5150485664441233</v>
      </c>
      <c r="D727" s="27">
        <f>D726*(Presion_cilindro!O718/Presion_cilindro!O719)^Presion_cilindro!$B$9+10*(Presion_cilindro!$B$9-1)*Presion_cilindro!$B$33*(IF(Presion_cilindro!N719&gt;(-D$4+Presion_cilindro!$B$34),1-EXP(-Presion_cilindro!$B$16*((Presion_cilindro!N719-(-D$4+Presion_cilindro!$B$34))/Presion_cilindro!$B$35)^(Presion_cilindro!$B$17+1)),0)-IF(Presion_cilindro!N718&gt;(-D$4+Presion_cilindro!$B$34),1-EXP(-Presion_cilindro!$B$16*((Presion_cilindro!N718-(-D$4+Presion_cilindro!$B$34))/Presion_cilindro!$B$35)^(Presion_cilindro!$B$17+1)),0))/((Presion_cilindro!O718+Presion_cilindro!O719)/2)</f>
        <v>2.4407501600665098</v>
      </c>
      <c r="E727" s="27">
        <f>E726*(Presion_cilindro!O718/Presion_cilindro!O719)^Presion_cilindro!$B$9+10*(Presion_cilindro!$B$9-1)*Presion_cilindro!$B$33*(IF(Presion_cilindro!N719&gt;(-E$4+Presion_cilindro!$B$34),1-EXP(-Presion_cilindro!$B$16*((Presion_cilindro!N719-(-E$4+Presion_cilindro!$B$34))/Presion_cilindro!$B$35)^(Presion_cilindro!$B$17+1)),0)-IF(Presion_cilindro!N718&gt;(-E$4+Presion_cilindro!$B$34),1-EXP(-Presion_cilindro!$B$16*((Presion_cilindro!N718-(-E$4+Presion_cilindro!$B$34))/Presion_cilindro!$B$35)^(Presion_cilindro!$B$17+1)),0))/((Presion_cilindro!O718+Presion_cilindro!O719)/2)</f>
        <v>2.3746919670867119</v>
      </c>
      <c r="F727" s="27">
        <f>F726*(Presion_cilindro!O718/Presion_cilindro!O719)^Presion_cilindro!$B$9+10*(Presion_cilindro!$B$9-1)*Presion_cilindro!$B$33*(IF(Presion_cilindro!N719&gt;(-F$4+Presion_cilindro!$B$34),1-EXP(-Presion_cilindro!$B$16*((Presion_cilindro!N719-(-F$4+Presion_cilindro!$B$34))/Presion_cilindro!$B$35)^(Presion_cilindro!$B$17+1)),0)-IF(Presion_cilindro!N718&gt;(-F$4+Presion_cilindro!$B$34),1-EXP(-Presion_cilindro!$B$16*((Presion_cilindro!N718-(-F$4+Presion_cilindro!$B$34))/Presion_cilindro!$B$35)^(Presion_cilindro!$B$17+1)),0))/((Presion_cilindro!O718+Presion_cilindro!O719)/2)</f>
        <v>2.3198850350234661</v>
      </c>
      <c r="G727" s="27">
        <f>G726*(Presion_cilindro!O718/Presion_cilindro!O719)^Presion_cilindro!$B$9+10*(Presion_cilindro!$B$9-1)*Presion_cilindro!$B$33*(IF(Presion_cilindro!N719&gt;(-G$4+Presion_cilindro!$B$34),1-EXP(-Presion_cilindro!$B$16*((Presion_cilindro!N719-(-G$4+Presion_cilindro!$B$34))/Presion_cilindro!$B$35)^(Presion_cilindro!$B$17+1)),0)-IF(Presion_cilindro!N718&gt;(-G$4+Presion_cilindro!$B$34),1-EXP(-Presion_cilindro!$B$16*((Presion_cilindro!N718-(-G$4+Presion_cilindro!$B$34))/Presion_cilindro!$B$35)^(Presion_cilindro!$B$17+1)),0))/((Presion_cilindro!O718+Presion_cilindro!O719)/2)</f>
        <v>2.2792737417442459</v>
      </c>
      <c r="H727" s="27">
        <f>H726*(Presion_cilindro!O718/Presion_cilindro!O719)^Presion_cilindro!$B$9+10*(Presion_cilindro!$B$9-1)*Presion_cilindro!$B$33*(IF(Presion_cilindro!N719&gt;(-H$4+Presion_cilindro!$B$34),1-EXP(-Presion_cilindro!$B$16*((Presion_cilindro!N719-(-H$4+Presion_cilindro!$B$34))/Presion_cilindro!$B$35)^(Presion_cilindro!$B$17+1)),0)-IF(Presion_cilindro!N718&gt;(-H$4+Presion_cilindro!$B$34),1-EXP(-Presion_cilindro!$B$16*((Presion_cilindro!N718-(-H$4+Presion_cilindro!$B$34))/Presion_cilindro!$B$35)^(Presion_cilindro!$B$17+1)),0))/((Presion_cilindro!O718+Presion_cilindro!O719)/2)</f>
        <v>2.2553176789018488</v>
      </c>
      <c r="I727" s="27">
        <f>I726*(Presion_cilindro!O718/Presion_cilindro!O719)^Presion_cilindro!$B$9+10*(Presion_cilindro!$B$9-1)*Presion_cilindro!$B$33*(IF(Presion_cilindro!N719&gt;(-I$4+Presion_cilindro!$B$34),1-EXP(-Presion_cilindro!$B$16*((Presion_cilindro!N719-(-I$4+Presion_cilindro!$B$34))/Presion_cilindro!$B$35)^(Presion_cilindro!$B$17+1)),0)-IF(Presion_cilindro!N718&gt;(-I$4+Presion_cilindro!$B$34),1-EXP(-Presion_cilindro!$B$16*((Presion_cilindro!N718-(-I$4+Presion_cilindro!$B$34))/Presion_cilindro!$B$35)^(Presion_cilindro!$B$17+1)),0))/((Presion_cilindro!O718+Presion_cilindro!O719)/2)</f>
        <v>2.2495712877522296</v>
      </c>
      <c r="J727" s="27">
        <f>J726*(Presion_cilindro!O718/Presion_cilindro!O719)^Presion_cilindro!$B$9+10*(Presion_cilindro!$B$9-1)*Presion_cilindro!$B$33*(IF(Presion_cilindro!N719&gt;(-J$4+Presion_cilindro!$B$34),1-EXP(-Presion_cilindro!$B$16*((Presion_cilindro!N719-(-J$4+Presion_cilindro!$B$34))/Presion_cilindro!$B$35)^(Presion_cilindro!$B$17+1)),0)-IF(Presion_cilindro!N718&gt;(-J$4+Presion_cilindro!$B$34),1-EXP(-Presion_cilindro!$B$16*((Presion_cilindro!N718-(-J$4+Presion_cilindro!$B$34))/Presion_cilindro!$B$35)^(Presion_cilindro!$B$17+1)),0))/((Presion_cilindro!O718+Presion_cilindro!O719)/2)</f>
        <v>2.2623924652065286</v>
      </c>
      <c r="K727" s="27">
        <f>K726*(Presion_cilindro!O718/Presion_cilindro!O719)^Presion_cilindro!$B$9+10*(Presion_cilindro!$B$9-1)*Presion_cilindro!$B$33*(IF(Presion_cilindro!N719&gt;(-K$4+Presion_cilindro!$B$34),1-EXP(-Presion_cilindro!$B$16*((Presion_cilindro!N719-(-K$4+Presion_cilindro!$B$34))/Presion_cilindro!$B$35)^(Presion_cilindro!$B$17+1)),0)-IF(Presion_cilindro!N718&gt;(-K$4+Presion_cilindro!$B$34),1-EXP(-Presion_cilindro!$B$16*((Presion_cilindro!N718-(-K$4+Presion_cilindro!$B$34))/Presion_cilindro!$B$35)^(Presion_cilindro!$B$17+1)),0))/((Presion_cilindro!O718+Presion_cilindro!O719)/2)</f>
        <v>2.2928804496467716</v>
      </c>
      <c r="L727" s="27">
        <f>L726*(Presion_cilindro!O718/Presion_cilindro!O719)^Presion_cilindro!$B$9+10*(Presion_cilindro!$B$9-1)*Presion_cilindro!$B$33*(IF(Presion_cilindro!N719&gt;(-L$4+Presion_cilindro!$B$34),1-EXP(-Presion_cilindro!$B$16*((Presion_cilindro!N719-(-L$4+Presion_cilindro!$B$34))/Presion_cilindro!$B$35)^(Presion_cilindro!$B$17+1)),0)-IF(Presion_cilindro!N718&gt;(-L$4+Presion_cilindro!$B$34),1-EXP(-Presion_cilindro!$B$16*((Presion_cilindro!N718-(-L$4+Presion_cilindro!$B$34))/Presion_cilindro!$B$35)^(Presion_cilindro!$B$17+1)),0))/((Presion_cilindro!O718+Presion_cilindro!O719)/2)</f>
        <v>2.339062038742068</v>
      </c>
      <c r="M727" s="27">
        <f>M726*(Presion_cilindro!O718/Presion_cilindro!O719)^Presion_cilindro!$B$9+10*(Presion_cilindro!$B$9-1)*Presion_cilindro!$B$33*(IF(Presion_cilindro!N719&gt;(-M$4+Presion_cilindro!$B$34),1-EXP(-Presion_cilindro!$B$16*((Presion_cilindro!N719-(-M$4+Presion_cilindro!$B$34))/Presion_cilindro!$B$35)^(Presion_cilindro!$B$17+1)),0)-IF(Presion_cilindro!N718&gt;(-M$4+Presion_cilindro!$B$34),1-EXP(-Presion_cilindro!$B$16*((Presion_cilindro!N718-(-M$4+Presion_cilindro!$B$34))/Presion_cilindro!$B$35)^(Presion_cilindro!$B$17+1)),0))/((Presion_cilindro!O718+Presion_cilindro!O719)/2)</f>
        <v>2.3982557064954801</v>
      </c>
      <c r="N727" s="27">
        <f>N726*(Presion_cilindro!O718/Presion_cilindro!O719)^Presion_cilindro!$B$9+10*(Presion_cilindro!$B$9-1)*Presion_cilindro!$B$33*(IF(Presion_cilindro!N719&gt;(-N$4+Presion_cilindro!$B$34),1-EXP(-Presion_cilindro!$B$16*((Presion_cilindro!N719-(-N$4+Presion_cilindro!$B$34))/Presion_cilindro!$B$35)^(Presion_cilindro!$B$17+1)),0)-IF(Presion_cilindro!N718&gt;(-N$4+Presion_cilindro!$B$34),1-EXP(-Presion_cilindro!$B$16*((Presion_cilindro!N718-(-N$4+Presion_cilindro!$B$34))/Presion_cilindro!$B$35)^(Presion_cilindro!$B$17+1)),0))/((Presion_cilindro!O718+Presion_cilindro!O719)/2)</f>
        <v>2.4674921503288902</v>
      </c>
    </row>
    <row r="728" spans="1:14" x14ac:dyDescent="0.25">
      <c r="A728" s="21">
        <f>Presion_cilindro!N720</f>
        <v>178</v>
      </c>
      <c r="B728" s="27">
        <f>B727*(Presion_cilindro!O719/Presion_cilindro!O720)^Presion_cilindro!$B$9+10*(Presion_cilindro!$B$9-1)*Presion_cilindro!$B$33*(IF(Presion_cilindro!N720&gt;(-B$4+Presion_cilindro!$B$34),1-EXP(-Presion_cilindro!$B$16*((Presion_cilindro!N720-(-B$4+Presion_cilindro!$B$34))/Presion_cilindro!$B$35)^(Presion_cilindro!$B$17+1)),0)-IF(Presion_cilindro!N719&gt;(-B$4+Presion_cilindro!$B$34),1-EXP(-Presion_cilindro!$B$16*((Presion_cilindro!N719-(-B$4+Presion_cilindro!$B$34))/Presion_cilindro!$B$35)^(Presion_cilindro!$B$17+1)),0))/((Presion_cilindro!O719+Presion_cilindro!O720)/2)</f>
        <v>2.5944429681969905</v>
      </c>
      <c r="C728" s="27">
        <f>C727*(Presion_cilindro!O719/Presion_cilindro!O720)^Presion_cilindro!$B$9+10*(Presion_cilindro!$B$9-1)*Presion_cilindro!$B$33*(IF(Presion_cilindro!N720&gt;(-C$4+Presion_cilindro!$B$34),1-EXP(-Presion_cilindro!$B$16*((Presion_cilindro!N720-(-C$4+Presion_cilindro!$B$34))/Presion_cilindro!$B$35)^(Presion_cilindro!$B$17+1)),0)-IF(Presion_cilindro!N719&gt;(-C$4+Presion_cilindro!$B$34),1-EXP(-Presion_cilindro!$B$16*((Presion_cilindro!N719-(-C$4+Presion_cilindro!$B$34))/Presion_cilindro!$B$35)^(Presion_cilindro!$B$17+1)),0))/((Presion_cilindro!O719+Presion_cilindro!O720)/2)</f>
        <v>2.5146800317197653</v>
      </c>
      <c r="D728" s="27">
        <f>D727*(Presion_cilindro!O719/Presion_cilindro!O720)^Presion_cilindro!$B$9+10*(Presion_cilindro!$B$9-1)*Presion_cilindro!$B$33*(IF(Presion_cilindro!N720&gt;(-D$4+Presion_cilindro!$B$34),1-EXP(-Presion_cilindro!$B$16*((Presion_cilindro!N720-(-D$4+Presion_cilindro!$B$34))/Presion_cilindro!$B$35)^(Presion_cilindro!$B$17+1)),0)-IF(Presion_cilindro!N719&gt;(-D$4+Presion_cilindro!$B$34),1-EXP(-Presion_cilindro!$B$16*((Presion_cilindro!N719-(-D$4+Presion_cilindro!$B$34))/Presion_cilindro!$B$35)^(Presion_cilindro!$B$17+1)),0))/((Presion_cilindro!O719+Presion_cilindro!O720)/2)</f>
        <v>2.4403925124252401</v>
      </c>
      <c r="E728" s="27">
        <f>E727*(Presion_cilindro!O719/Presion_cilindro!O720)^Presion_cilindro!$B$9+10*(Presion_cilindro!$B$9-1)*Presion_cilindro!$B$33*(IF(Presion_cilindro!N720&gt;(-E$4+Presion_cilindro!$B$34),1-EXP(-Presion_cilindro!$B$16*((Presion_cilindro!N720-(-E$4+Presion_cilindro!$B$34))/Presion_cilindro!$B$35)^(Presion_cilindro!$B$17+1)),0)-IF(Presion_cilindro!N719&gt;(-E$4+Presion_cilindro!$B$34),1-EXP(-Presion_cilindro!$B$16*((Presion_cilindro!N719-(-E$4+Presion_cilindro!$B$34))/Presion_cilindro!$B$35)^(Presion_cilindro!$B$17+1)),0))/((Presion_cilindro!O719+Presion_cilindro!O720)/2)</f>
        <v>2.3743439990748008</v>
      </c>
      <c r="F728" s="27">
        <f>F727*(Presion_cilindro!O719/Presion_cilindro!O720)^Presion_cilindro!$B$9+10*(Presion_cilindro!$B$9-1)*Presion_cilindro!$B$33*(IF(Presion_cilindro!N720&gt;(-F$4+Presion_cilindro!$B$34),1-EXP(-Presion_cilindro!$B$16*((Presion_cilindro!N720-(-F$4+Presion_cilindro!$B$34))/Presion_cilindro!$B$35)^(Presion_cilindro!$B$17+1)),0)-IF(Presion_cilindro!N719&gt;(-F$4+Presion_cilindro!$B$34),1-EXP(-Presion_cilindro!$B$16*((Presion_cilindro!N719-(-F$4+Presion_cilindro!$B$34))/Presion_cilindro!$B$35)^(Presion_cilindro!$B$17+1)),0))/((Presion_cilindro!O719+Presion_cilindro!O720)/2)</f>
        <v>2.3195450979728136</v>
      </c>
      <c r="G728" s="27">
        <f>G727*(Presion_cilindro!O719/Presion_cilindro!O720)^Presion_cilindro!$B$9+10*(Presion_cilindro!$B$9-1)*Presion_cilindro!$B$33*(IF(Presion_cilindro!N720&gt;(-G$4+Presion_cilindro!$B$34),1-EXP(-Presion_cilindro!$B$16*((Presion_cilindro!N720-(-G$4+Presion_cilindro!$B$34))/Presion_cilindro!$B$35)^(Presion_cilindro!$B$17+1)),0)-IF(Presion_cilindro!N719&gt;(-G$4+Presion_cilindro!$B$34),1-EXP(-Presion_cilindro!$B$16*((Presion_cilindro!N719-(-G$4+Presion_cilindro!$B$34))/Presion_cilindro!$B$35)^(Presion_cilindro!$B$17+1)),0))/((Presion_cilindro!O719+Presion_cilindro!O720)/2)</f>
        <v>2.2789397555416104</v>
      </c>
      <c r="H728" s="27">
        <f>H727*(Presion_cilindro!O719/Presion_cilindro!O720)^Presion_cilindro!$B$9+10*(Presion_cilindro!$B$9-1)*Presion_cilindro!$B$33*(IF(Presion_cilindro!N720&gt;(-H$4+Presion_cilindro!$B$34),1-EXP(-Presion_cilindro!$B$16*((Presion_cilindro!N720-(-H$4+Presion_cilindro!$B$34))/Presion_cilindro!$B$35)^(Presion_cilindro!$B$17+1)),0)-IF(Presion_cilindro!N719&gt;(-H$4+Presion_cilindro!$B$34),1-EXP(-Presion_cilindro!$B$16*((Presion_cilindro!N719-(-H$4+Presion_cilindro!$B$34))/Presion_cilindro!$B$35)^(Presion_cilindro!$B$17+1)),0))/((Presion_cilindro!O719+Presion_cilindro!O720)/2)</f>
        <v>2.2549872030254687</v>
      </c>
      <c r="I728" s="27">
        <f>I727*(Presion_cilindro!O719/Presion_cilindro!O720)^Presion_cilindro!$B$9+10*(Presion_cilindro!$B$9-1)*Presion_cilindro!$B$33*(IF(Presion_cilindro!N720&gt;(-I$4+Presion_cilindro!$B$34),1-EXP(-Presion_cilindro!$B$16*((Presion_cilindro!N720-(-I$4+Presion_cilindro!$B$34))/Presion_cilindro!$B$35)^(Presion_cilindro!$B$17+1)),0)-IF(Presion_cilindro!N719&gt;(-I$4+Presion_cilindro!$B$34),1-EXP(-Presion_cilindro!$B$16*((Presion_cilindro!N719-(-I$4+Presion_cilindro!$B$34))/Presion_cilindro!$B$35)^(Presion_cilindro!$B$17+1)),0))/((Presion_cilindro!O719+Presion_cilindro!O720)/2)</f>
        <v>2.2492416539051869</v>
      </c>
      <c r="J728" s="27">
        <f>J727*(Presion_cilindro!O719/Presion_cilindro!O720)^Presion_cilindro!$B$9+10*(Presion_cilindro!$B$9-1)*Presion_cilindro!$B$33*(IF(Presion_cilindro!N720&gt;(-J$4+Presion_cilindro!$B$34),1-EXP(-Presion_cilindro!$B$16*((Presion_cilindro!N720-(-J$4+Presion_cilindro!$B$34))/Presion_cilindro!$B$35)^(Presion_cilindro!$B$17+1)),0)-IF(Presion_cilindro!N719&gt;(-J$4+Presion_cilindro!$B$34),1-EXP(-Presion_cilindro!$B$16*((Presion_cilindro!N719-(-J$4+Presion_cilindro!$B$34))/Presion_cilindro!$B$35)^(Presion_cilindro!$B$17+1)),0))/((Presion_cilindro!O719+Presion_cilindro!O720)/2)</f>
        <v>2.2620609526486088</v>
      </c>
      <c r="K728" s="27">
        <f>K727*(Presion_cilindro!O719/Presion_cilindro!O720)^Presion_cilindro!$B$9+10*(Presion_cilindro!$B$9-1)*Presion_cilindro!$B$33*(IF(Presion_cilindro!N720&gt;(-K$4+Presion_cilindro!$B$34),1-EXP(-Presion_cilindro!$B$16*((Presion_cilindro!N720-(-K$4+Presion_cilindro!$B$34))/Presion_cilindro!$B$35)^(Presion_cilindro!$B$17+1)),0)-IF(Presion_cilindro!N719&gt;(-K$4+Presion_cilindro!$B$34),1-EXP(-Presion_cilindro!$B$16*((Presion_cilindro!N719-(-K$4+Presion_cilindro!$B$34))/Presion_cilindro!$B$35)^(Presion_cilindro!$B$17+1)),0))/((Presion_cilindro!O719+Presion_cilindro!O720)/2)</f>
        <v>2.2925444696280275</v>
      </c>
      <c r="L728" s="27">
        <f>L727*(Presion_cilindro!O719/Presion_cilindro!O720)^Presion_cilindro!$B$9+10*(Presion_cilindro!$B$9-1)*Presion_cilindro!$B$33*(IF(Presion_cilindro!N720&gt;(-L$4+Presion_cilindro!$B$34),1-EXP(-Presion_cilindro!$B$16*((Presion_cilindro!N720-(-L$4+Presion_cilindro!$B$34))/Presion_cilindro!$B$35)^(Presion_cilindro!$B$17+1)),0)-IF(Presion_cilindro!N719&gt;(-L$4+Presion_cilindro!$B$34),1-EXP(-Presion_cilindro!$B$16*((Presion_cilindro!N719-(-L$4+Presion_cilindro!$B$34))/Presion_cilindro!$B$35)^(Presion_cilindro!$B$17+1)),0))/((Presion_cilindro!O719+Presion_cilindro!O720)/2)</f>
        <v>2.3387192916495443</v>
      </c>
      <c r="M728" s="27">
        <f>M727*(Presion_cilindro!O719/Presion_cilindro!O720)^Presion_cilindro!$B$9+10*(Presion_cilindro!$B$9-1)*Presion_cilindro!$B$33*(IF(Presion_cilindro!N720&gt;(-M$4+Presion_cilindro!$B$34),1-EXP(-Presion_cilindro!$B$16*((Presion_cilindro!N720-(-M$4+Presion_cilindro!$B$34))/Presion_cilindro!$B$35)^(Presion_cilindro!$B$17+1)),0)-IF(Presion_cilindro!N719&gt;(-M$4+Presion_cilindro!$B$34),1-EXP(-Presion_cilindro!$B$16*((Presion_cilindro!N719-(-M$4+Presion_cilindro!$B$34))/Presion_cilindro!$B$35)^(Presion_cilindro!$B$17+1)),0))/((Presion_cilindro!O719+Presion_cilindro!O720)/2)</f>
        <v>2.3979042856451929</v>
      </c>
      <c r="N728" s="27">
        <f>N727*(Presion_cilindro!O719/Presion_cilindro!O720)^Presion_cilindro!$B$9+10*(Presion_cilindro!$B$9-1)*Presion_cilindro!$B$33*(IF(Presion_cilindro!N720&gt;(-N$4+Presion_cilindro!$B$34),1-EXP(-Presion_cilindro!$B$16*((Presion_cilindro!N720-(-N$4+Presion_cilindro!$B$34))/Presion_cilindro!$B$35)^(Presion_cilindro!$B$17+1)),0)-IF(Presion_cilindro!N719&gt;(-N$4+Presion_cilindro!$B$34),1-EXP(-Presion_cilindro!$B$16*((Presion_cilindro!N719-(-N$4+Presion_cilindro!$B$34))/Presion_cilindro!$B$35)^(Presion_cilindro!$B$17+1)),0))/((Presion_cilindro!O719+Presion_cilindro!O720)/2)</f>
        <v>2.467130584134261</v>
      </c>
    </row>
    <row r="729" spans="1:14" x14ac:dyDescent="0.25">
      <c r="A729" s="21">
        <f>Presion_cilindro!N721</f>
        <v>178.5</v>
      </c>
      <c r="B729" s="27">
        <f>B728*(Presion_cilindro!O720/Presion_cilindro!O721)^Presion_cilindro!$B$9+10*(Presion_cilindro!$B$9-1)*Presion_cilindro!$B$33*(IF(Presion_cilindro!N721&gt;(-B$4+Presion_cilindro!$B$34),1-EXP(-Presion_cilindro!$B$16*((Presion_cilindro!N721-(-B$4+Presion_cilindro!$B$34))/Presion_cilindro!$B$35)^(Presion_cilindro!$B$17+1)),0)-IF(Presion_cilindro!N720&gt;(-B$4+Presion_cilindro!$B$34),1-EXP(-Presion_cilindro!$B$16*((Presion_cilindro!N720-(-B$4+Presion_cilindro!$B$34))/Presion_cilindro!$B$35)^(Presion_cilindro!$B$17+1)),0))/((Presion_cilindro!O720+Presion_cilindro!O721)/2)</f>
        <v>2.5941473087522855</v>
      </c>
      <c r="C729" s="27">
        <f>C728*(Presion_cilindro!O720/Presion_cilindro!O721)^Presion_cilindro!$B$9+10*(Presion_cilindro!$B$9-1)*Presion_cilindro!$B$33*(IF(Presion_cilindro!N721&gt;(-C$4+Presion_cilindro!$B$34),1-EXP(-Presion_cilindro!$B$16*((Presion_cilindro!N721-(-C$4+Presion_cilindro!$B$34))/Presion_cilindro!$B$35)^(Presion_cilindro!$B$17+1)),0)-IF(Presion_cilindro!N720&gt;(-C$4+Presion_cilindro!$B$34),1-EXP(-Presion_cilindro!$B$16*((Presion_cilindro!N720-(-C$4+Presion_cilindro!$B$34))/Presion_cilindro!$B$35)^(Presion_cilindro!$B$17+1)),0))/((Presion_cilindro!O720+Presion_cilindro!O721)/2)</f>
        <v>2.5143934619585866</v>
      </c>
      <c r="D729" s="27">
        <f>D728*(Presion_cilindro!O720/Presion_cilindro!O721)^Presion_cilindro!$B$9+10*(Presion_cilindro!$B$9-1)*Presion_cilindro!$B$33*(IF(Presion_cilindro!N721&gt;(-D$4+Presion_cilindro!$B$34),1-EXP(-Presion_cilindro!$B$16*((Presion_cilindro!N721-(-D$4+Presion_cilindro!$B$34))/Presion_cilindro!$B$35)^(Presion_cilindro!$B$17+1)),0)-IF(Presion_cilindro!N720&gt;(-D$4+Presion_cilindro!$B$34),1-EXP(-Presion_cilindro!$B$16*((Presion_cilindro!N720-(-D$4+Presion_cilindro!$B$34))/Presion_cilindro!$B$35)^(Presion_cilindro!$B$17+1)),0))/((Presion_cilindro!O720+Presion_cilindro!O721)/2)</f>
        <v>2.4401144083759587</v>
      </c>
      <c r="E729" s="27">
        <f>E728*(Presion_cilindro!O720/Presion_cilindro!O721)^Presion_cilindro!$B$9+10*(Presion_cilindro!$B$9-1)*Presion_cilindro!$B$33*(IF(Presion_cilindro!N721&gt;(-E$4+Presion_cilindro!$B$34),1-EXP(-Presion_cilindro!$B$16*((Presion_cilindro!N721-(-E$4+Presion_cilindro!$B$34))/Presion_cilindro!$B$35)^(Presion_cilindro!$B$17+1)),0)-IF(Presion_cilindro!N720&gt;(-E$4+Presion_cilindro!$B$34),1-EXP(-Presion_cilindro!$B$16*((Presion_cilindro!N720-(-E$4+Presion_cilindro!$B$34))/Presion_cilindro!$B$35)^(Presion_cilindro!$B$17+1)),0))/((Presion_cilindro!O720+Presion_cilindro!O721)/2)</f>
        <v>2.3740734218307025</v>
      </c>
      <c r="F729" s="27">
        <f>F728*(Presion_cilindro!O720/Presion_cilindro!O721)^Presion_cilindro!$B$9+10*(Presion_cilindro!$B$9-1)*Presion_cilindro!$B$33*(IF(Presion_cilindro!N721&gt;(-F$4+Presion_cilindro!$B$34),1-EXP(-Presion_cilindro!$B$16*((Presion_cilindro!N721-(-F$4+Presion_cilindro!$B$34))/Presion_cilindro!$B$35)^(Presion_cilindro!$B$17+1)),0)-IF(Presion_cilindro!N720&gt;(-F$4+Presion_cilindro!$B$34),1-EXP(-Presion_cilindro!$B$16*((Presion_cilindro!N720-(-F$4+Presion_cilindro!$B$34))/Presion_cilindro!$B$35)^(Presion_cilindro!$B$17+1)),0))/((Presion_cilindro!O720+Presion_cilindro!O721)/2)</f>
        <v>2.3192807655422913</v>
      </c>
      <c r="G729" s="27">
        <f>G728*(Presion_cilindro!O720/Presion_cilindro!O721)^Presion_cilindro!$B$9+10*(Presion_cilindro!$B$9-1)*Presion_cilindro!$B$33*(IF(Presion_cilindro!N721&gt;(-G$4+Presion_cilindro!$B$34),1-EXP(-Presion_cilindro!$B$16*((Presion_cilindro!N721-(-G$4+Presion_cilindro!$B$34))/Presion_cilindro!$B$35)^(Presion_cilindro!$B$17+1)),0)-IF(Presion_cilindro!N720&gt;(-G$4+Presion_cilindro!$B$34),1-EXP(-Presion_cilindro!$B$16*((Presion_cilindro!N720-(-G$4+Presion_cilindro!$B$34))/Presion_cilindro!$B$35)^(Presion_cilindro!$B$17+1)),0))/((Presion_cilindro!O720+Presion_cilindro!O721)/2)</f>
        <v>2.2786800504446405</v>
      </c>
      <c r="H729" s="27">
        <f>H728*(Presion_cilindro!O720/Presion_cilindro!O721)^Presion_cilindro!$B$9+10*(Presion_cilindro!$B$9-1)*Presion_cilindro!$B$33*(IF(Presion_cilindro!N721&gt;(-H$4+Presion_cilindro!$B$34),1-EXP(-Presion_cilindro!$B$16*((Presion_cilindro!N721-(-H$4+Presion_cilindro!$B$34))/Presion_cilindro!$B$35)^(Presion_cilindro!$B$17+1)),0)-IF(Presion_cilindro!N720&gt;(-H$4+Presion_cilindro!$B$34),1-EXP(-Presion_cilindro!$B$16*((Presion_cilindro!N720-(-H$4+Presion_cilindro!$B$34))/Presion_cilindro!$B$35)^(Presion_cilindro!$B$17+1)),0))/((Presion_cilindro!O720+Presion_cilindro!O721)/2)</f>
        <v>2.2547302275311387</v>
      </c>
      <c r="I729" s="27">
        <f>I728*(Presion_cilindro!O720/Presion_cilindro!O721)^Presion_cilindro!$B$9+10*(Presion_cilindro!$B$9-1)*Presion_cilindro!$B$33*(IF(Presion_cilindro!N721&gt;(-I$4+Presion_cilindro!$B$34),1-EXP(-Presion_cilindro!$B$16*((Presion_cilindro!N721-(-I$4+Presion_cilindro!$B$34))/Presion_cilindro!$B$35)^(Presion_cilindro!$B$17+1)),0)-IF(Presion_cilindro!N720&gt;(-I$4+Presion_cilindro!$B$34),1-EXP(-Presion_cilindro!$B$16*((Presion_cilindro!N720-(-I$4+Presion_cilindro!$B$34))/Presion_cilindro!$B$35)^(Presion_cilindro!$B$17+1)),0))/((Presion_cilindro!O720+Presion_cilindro!O721)/2)</f>
        <v>2.2489853331663801</v>
      </c>
      <c r="J729" s="27">
        <f>J728*(Presion_cilindro!O720/Presion_cilindro!O721)^Presion_cilindro!$B$9+10*(Presion_cilindro!$B$9-1)*Presion_cilindro!$B$33*(IF(Presion_cilindro!N721&gt;(-J$4+Presion_cilindro!$B$34),1-EXP(-Presion_cilindro!$B$16*((Presion_cilindro!N721-(-J$4+Presion_cilindro!$B$34))/Presion_cilindro!$B$35)^(Presion_cilindro!$B$17+1)),0)-IF(Presion_cilindro!N720&gt;(-J$4+Presion_cilindro!$B$34),1-EXP(-Presion_cilindro!$B$16*((Presion_cilindro!N720-(-J$4+Presion_cilindro!$B$34))/Presion_cilindro!$B$35)^(Presion_cilindro!$B$17+1)),0))/((Presion_cilindro!O720+Presion_cilindro!O721)/2)</f>
        <v>2.2618031710387037</v>
      </c>
      <c r="K729" s="27">
        <f>K728*(Presion_cilindro!O720/Presion_cilindro!O721)^Presion_cilindro!$B$9+10*(Presion_cilindro!$B$9-1)*Presion_cilindro!$B$33*(IF(Presion_cilindro!N721&gt;(-K$4+Presion_cilindro!$B$34),1-EXP(-Presion_cilindro!$B$16*((Presion_cilindro!N721-(-K$4+Presion_cilindro!$B$34))/Presion_cilindro!$B$35)^(Presion_cilindro!$B$17+1)),0)-IF(Presion_cilindro!N720&gt;(-K$4+Presion_cilindro!$B$34),1-EXP(-Presion_cilindro!$B$16*((Presion_cilindro!N720-(-K$4+Presion_cilindro!$B$34))/Presion_cilindro!$B$35)^(Presion_cilindro!$B$17+1)),0))/((Presion_cilindro!O720+Presion_cilindro!O721)/2)</f>
        <v>2.2922832141550185</v>
      </c>
      <c r="L729" s="27">
        <f>L728*(Presion_cilindro!O720/Presion_cilindro!O721)^Presion_cilindro!$B$9+10*(Presion_cilindro!$B$9-1)*Presion_cilindro!$B$33*(IF(Presion_cilindro!N721&gt;(-L$4+Presion_cilindro!$B$34),1-EXP(-Presion_cilindro!$B$16*((Presion_cilindro!N721-(-L$4+Presion_cilindro!$B$34))/Presion_cilindro!$B$35)^(Presion_cilindro!$B$17+1)),0)-IF(Presion_cilindro!N720&gt;(-L$4+Presion_cilindro!$B$34),1-EXP(-Presion_cilindro!$B$16*((Presion_cilindro!N720-(-L$4+Presion_cilindro!$B$34))/Presion_cilindro!$B$35)^(Presion_cilindro!$B$17+1)),0))/((Presion_cilindro!O720+Presion_cilindro!O721)/2)</f>
        <v>2.3384527741521217</v>
      </c>
      <c r="M729" s="27">
        <f>M728*(Presion_cilindro!O720/Presion_cilindro!O721)^Presion_cilindro!$B$9+10*(Presion_cilindro!$B$9-1)*Presion_cilindro!$B$33*(IF(Presion_cilindro!N721&gt;(-M$4+Presion_cilindro!$B$34),1-EXP(-Presion_cilindro!$B$16*((Presion_cilindro!N721-(-M$4+Presion_cilindro!$B$34))/Presion_cilindro!$B$35)^(Presion_cilindro!$B$17+1)),0)-IF(Presion_cilindro!N720&gt;(-M$4+Presion_cilindro!$B$34),1-EXP(-Presion_cilindro!$B$16*((Presion_cilindro!N720-(-M$4+Presion_cilindro!$B$34))/Presion_cilindro!$B$35)^(Presion_cilindro!$B$17+1)),0))/((Presion_cilindro!O720+Presion_cilindro!O721)/2)</f>
        <v>2.3976310235005864</v>
      </c>
      <c r="N729" s="27">
        <f>N728*(Presion_cilindro!O720/Presion_cilindro!O721)^Presion_cilindro!$B$9+10*(Presion_cilindro!$B$9-1)*Presion_cilindro!$B$33*(IF(Presion_cilindro!N721&gt;(-N$4+Presion_cilindro!$B$34),1-EXP(-Presion_cilindro!$B$16*((Presion_cilindro!N721-(-N$4+Presion_cilindro!$B$34))/Presion_cilindro!$B$35)^(Presion_cilindro!$B$17+1)),0)-IF(Presion_cilindro!N720&gt;(-N$4+Presion_cilindro!$B$34),1-EXP(-Presion_cilindro!$B$16*((Presion_cilindro!N720-(-N$4+Presion_cilindro!$B$34))/Presion_cilindro!$B$35)^(Presion_cilindro!$B$17+1)),0))/((Presion_cilindro!O720+Presion_cilindro!O721)/2)</f>
        <v>2.4668494330480892</v>
      </c>
    </row>
    <row r="730" spans="1:14" x14ac:dyDescent="0.25">
      <c r="A730" s="21">
        <f>Presion_cilindro!N722</f>
        <v>179</v>
      </c>
      <c r="B730" s="27">
        <f>B729*(Presion_cilindro!O721/Presion_cilindro!O722)^Presion_cilindro!$B$9+10*(Presion_cilindro!$B$9-1)*Presion_cilindro!$B$33*(IF(Presion_cilindro!N722&gt;(-B$4+Presion_cilindro!$B$34),1-EXP(-Presion_cilindro!$B$16*((Presion_cilindro!N722-(-B$4+Presion_cilindro!$B$34))/Presion_cilindro!$B$35)^(Presion_cilindro!$B$17+1)),0)-IF(Presion_cilindro!N721&gt;(-B$4+Presion_cilindro!$B$34),1-EXP(-Presion_cilindro!$B$16*((Presion_cilindro!N721-(-B$4+Presion_cilindro!$B$34))/Presion_cilindro!$B$35)^(Presion_cilindro!$B$17+1)),0))/((Presion_cilindro!O721+Presion_cilindro!O722)/2)</f>
        <v>2.5939361612078433</v>
      </c>
      <c r="C730" s="27">
        <f>C729*(Presion_cilindro!O721/Presion_cilindro!O722)^Presion_cilindro!$B$9+10*(Presion_cilindro!$B$9-1)*Presion_cilindro!$B$33*(IF(Presion_cilindro!N722&gt;(-C$4+Presion_cilindro!$B$34),1-EXP(-Presion_cilindro!$B$16*((Presion_cilindro!N722-(-C$4+Presion_cilindro!$B$34))/Presion_cilindro!$B$35)^(Presion_cilindro!$B$17+1)),0)-IF(Presion_cilindro!N721&gt;(-C$4+Presion_cilindro!$B$34),1-EXP(-Presion_cilindro!$B$16*((Presion_cilindro!N721-(-C$4+Presion_cilindro!$B$34))/Presion_cilindro!$B$35)^(Presion_cilindro!$B$17+1)),0))/((Presion_cilindro!O721+Presion_cilindro!O722)/2)</f>
        <v>2.5141888058839439</v>
      </c>
      <c r="D730" s="27">
        <f>D729*(Presion_cilindro!O721/Presion_cilindro!O722)^Presion_cilindro!$B$9+10*(Presion_cilindro!$B$9-1)*Presion_cilindro!$B$33*(IF(Presion_cilindro!N722&gt;(-D$4+Presion_cilindro!$B$34),1-EXP(-Presion_cilindro!$B$16*((Presion_cilindro!N722-(-D$4+Presion_cilindro!$B$34))/Presion_cilindro!$B$35)^(Presion_cilindro!$B$17+1)),0)-IF(Presion_cilindro!N721&gt;(-D$4+Presion_cilindro!$B$34),1-EXP(-Presion_cilindro!$B$16*((Presion_cilindro!N721-(-D$4+Presion_cilindro!$B$34))/Presion_cilindro!$B$35)^(Presion_cilindro!$B$17+1)),0))/((Presion_cilindro!O721+Presion_cilindro!O722)/2)</f>
        <v>2.4399157981568131</v>
      </c>
      <c r="E730" s="27">
        <f>E729*(Presion_cilindro!O721/Presion_cilindro!O722)^Presion_cilindro!$B$9+10*(Presion_cilindro!$B$9-1)*Presion_cilindro!$B$33*(IF(Presion_cilindro!N722&gt;(-E$4+Presion_cilindro!$B$34),1-EXP(-Presion_cilindro!$B$16*((Presion_cilindro!N722-(-E$4+Presion_cilindro!$B$34))/Presion_cilindro!$B$35)^(Presion_cilindro!$B$17+1)),0)-IF(Presion_cilindro!N721&gt;(-E$4+Presion_cilindro!$B$34),1-EXP(-Presion_cilindro!$B$16*((Presion_cilindro!N721-(-E$4+Presion_cilindro!$B$34))/Presion_cilindro!$B$35)^(Presion_cilindro!$B$17+1)),0))/((Presion_cilindro!O721+Presion_cilindro!O722)/2)</f>
        <v>2.3738801869393553</v>
      </c>
      <c r="F730" s="27">
        <f>F729*(Presion_cilindro!O721/Presion_cilindro!O722)^Presion_cilindro!$B$9+10*(Presion_cilindro!$B$9-1)*Presion_cilindro!$B$33*(IF(Presion_cilindro!N722&gt;(-F$4+Presion_cilindro!$B$34),1-EXP(-Presion_cilindro!$B$16*((Presion_cilindro!N722-(-F$4+Presion_cilindro!$B$34))/Presion_cilindro!$B$35)^(Presion_cilindro!$B$17+1)),0)-IF(Presion_cilindro!N721&gt;(-F$4+Presion_cilindro!$B$34),1-EXP(-Presion_cilindro!$B$16*((Presion_cilindro!N721-(-F$4+Presion_cilindro!$B$34))/Presion_cilindro!$B$35)^(Presion_cilindro!$B$17+1)),0))/((Presion_cilindro!O721+Presion_cilindro!O722)/2)</f>
        <v>2.319091990434238</v>
      </c>
      <c r="G730" s="27">
        <f>G729*(Presion_cilindro!O721/Presion_cilindro!O722)^Presion_cilindro!$B$9+10*(Presion_cilindro!$B$9-1)*Presion_cilindro!$B$33*(IF(Presion_cilindro!N722&gt;(-G$4+Presion_cilindro!$B$34),1-EXP(-Presion_cilindro!$B$16*((Presion_cilindro!N722-(-G$4+Presion_cilindro!$B$34))/Presion_cilindro!$B$35)^(Presion_cilindro!$B$17+1)),0)-IF(Presion_cilindro!N721&gt;(-G$4+Presion_cilindro!$B$34),1-EXP(-Presion_cilindro!$B$16*((Presion_cilindro!N721-(-G$4+Presion_cilindro!$B$34))/Presion_cilindro!$B$35)^(Presion_cilindro!$B$17+1)),0))/((Presion_cilindro!O721+Presion_cilindro!O722)/2)</f>
        <v>2.2784945799836542</v>
      </c>
      <c r="H730" s="27">
        <f>H729*(Presion_cilindro!O721/Presion_cilindro!O722)^Presion_cilindro!$B$9+10*(Presion_cilindro!$B$9-1)*Presion_cilindro!$B$33*(IF(Presion_cilindro!N722&gt;(-H$4+Presion_cilindro!$B$34),1-EXP(-Presion_cilindro!$B$16*((Presion_cilindro!N722-(-H$4+Presion_cilindro!$B$34))/Presion_cilindro!$B$35)^(Presion_cilindro!$B$17+1)),0)-IF(Presion_cilindro!N721&gt;(-H$4+Presion_cilindro!$B$34),1-EXP(-Presion_cilindro!$B$16*((Presion_cilindro!N721-(-H$4+Presion_cilindro!$B$34))/Presion_cilindro!$B$35)^(Presion_cilindro!$B$17+1)),0))/((Presion_cilindro!O721+Presion_cilindro!O722)/2)</f>
        <v>2.2545467064375924</v>
      </c>
      <c r="I730" s="27">
        <f>I729*(Presion_cilindro!O721/Presion_cilindro!O722)^Presion_cilindro!$B$9+10*(Presion_cilindro!$B$9-1)*Presion_cilindro!$B$33*(IF(Presion_cilindro!N722&gt;(-I$4+Presion_cilindro!$B$34),1-EXP(-Presion_cilindro!$B$16*((Presion_cilindro!N722-(-I$4+Presion_cilindro!$B$34))/Presion_cilindro!$B$35)^(Presion_cilindro!$B$17+1)),0)-IF(Presion_cilindro!N721&gt;(-I$4+Presion_cilindro!$B$34),1-EXP(-Presion_cilindro!$B$16*((Presion_cilindro!N721-(-I$4+Presion_cilindro!$B$34))/Presion_cilindro!$B$35)^(Presion_cilindro!$B$17+1)),0))/((Presion_cilindro!O721+Presion_cilindro!O722)/2)</f>
        <v>2.2488022796716991</v>
      </c>
      <c r="J730" s="27">
        <f>J729*(Presion_cilindro!O721/Presion_cilindro!O722)^Presion_cilindro!$B$9+10*(Presion_cilindro!$B$9-1)*Presion_cilindro!$B$33*(IF(Presion_cilindro!N722&gt;(-J$4+Presion_cilindro!$B$34),1-EXP(-Presion_cilindro!$B$16*((Presion_cilindro!N722-(-J$4+Presion_cilindro!$B$34))/Presion_cilindro!$B$35)^(Presion_cilindro!$B$17+1)),0)-IF(Presion_cilindro!N721&gt;(-J$4+Presion_cilindro!$B$34),1-EXP(-Presion_cilindro!$B$16*((Presion_cilindro!N721-(-J$4+Presion_cilindro!$B$34))/Presion_cilindro!$B$35)^(Presion_cilindro!$B$17+1)),0))/((Presion_cilindro!O721+Presion_cilindro!O722)/2)</f>
        <v>2.2616190742513065</v>
      </c>
      <c r="K730" s="27">
        <f>K729*(Presion_cilindro!O721/Presion_cilindro!O722)^Presion_cilindro!$B$9+10*(Presion_cilindro!$B$9-1)*Presion_cilindro!$B$33*(IF(Presion_cilindro!N722&gt;(-K$4+Presion_cilindro!$B$34),1-EXP(-Presion_cilindro!$B$16*((Presion_cilindro!N722-(-K$4+Presion_cilindro!$B$34))/Presion_cilindro!$B$35)^(Presion_cilindro!$B$17+1)),0)-IF(Presion_cilindro!N721&gt;(-K$4+Presion_cilindro!$B$34),1-EXP(-Presion_cilindro!$B$16*((Presion_cilindro!N721-(-K$4+Presion_cilindro!$B$34))/Presion_cilindro!$B$35)^(Presion_cilindro!$B$17+1)),0))/((Presion_cilindro!O721+Presion_cilindro!O722)/2)</f>
        <v>2.2920966364806503</v>
      </c>
      <c r="L730" s="27">
        <f>L729*(Presion_cilindro!O721/Presion_cilindro!O722)^Presion_cilindro!$B$9+10*(Presion_cilindro!$B$9-1)*Presion_cilindro!$B$33*(IF(Presion_cilindro!N722&gt;(-L$4+Presion_cilindro!$B$34),1-EXP(-Presion_cilindro!$B$16*((Presion_cilindro!N722-(-L$4+Presion_cilindro!$B$34))/Presion_cilindro!$B$35)^(Presion_cilindro!$B$17+1)),0)-IF(Presion_cilindro!N721&gt;(-L$4+Presion_cilindro!$B$34),1-EXP(-Presion_cilindro!$B$16*((Presion_cilindro!N721-(-L$4+Presion_cilindro!$B$34))/Presion_cilindro!$B$35)^(Presion_cilindro!$B$17+1)),0))/((Presion_cilindro!O721+Presion_cilindro!O722)/2)</f>
        <v>2.3382624385611588</v>
      </c>
      <c r="M730" s="27">
        <f>M729*(Presion_cilindro!O721/Presion_cilindro!O722)^Presion_cilindro!$B$9+10*(Presion_cilindro!$B$9-1)*Presion_cilindro!$B$33*(IF(Presion_cilindro!N722&gt;(-M$4+Presion_cilindro!$B$34),1-EXP(-Presion_cilindro!$B$16*((Presion_cilindro!N722-(-M$4+Presion_cilindro!$B$34))/Presion_cilindro!$B$35)^(Presion_cilindro!$B$17+1)),0)-IF(Presion_cilindro!N721&gt;(-M$4+Presion_cilindro!$B$34),1-EXP(-Presion_cilindro!$B$16*((Presion_cilindro!N721-(-M$4+Presion_cilindro!$B$34))/Presion_cilindro!$B$35)^(Presion_cilindro!$B$17+1)),0))/((Presion_cilindro!O721+Presion_cilindro!O722)/2)</f>
        <v>2.3974358711661825</v>
      </c>
      <c r="N730" s="27">
        <f>N729*(Presion_cilindro!O721/Presion_cilindro!O722)^Presion_cilindro!$B$9+10*(Presion_cilindro!$B$9-1)*Presion_cilindro!$B$33*(IF(Presion_cilindro!N722&gt;(-N$4+Presion_cilindro!$B$34),1-EXP(-Presion_cilindro!$B$16*((Presion_cilindro!N722-(-N$4+Presion_cilindro!$B$34))/Presion_cilindro!$B$35)^(Presion_cilindro!$B$17+1)),0)-IF(Presion_cilindro!N721&gt;(-N$4+Presion_cilindro!$B$34),1-EXP(-Presion_cilindro!$B$16*((Presion_cilindro!N721-(-N$4+Presion_cilindro!$B$34))/Presion_cilindro!$B$35)^(Presion_cilindro!$B$17+1)),0))/((Presion_cilindro!O721+Presion_cilindro!O722)/2)</f>
        <v>2.4666486467633089</v>
      </c>
    </row>
    <row r="731" spans="1:14" x14ac:dyDescent="0.25">
      <c r="A731" s="21">
        <f>Presion_cilindro!N723</f>
        <v>179.5</v>
      </c>
      <c r="B731" s="27">
        <f>B730*(Presion_cilindro!O722/Presion_cilindro!O723)^Presion_cilindro!$B$9+10*(Presion_cilindro!$B$9-1)*Presion_cilindro!$B$33*(IF(Presion_cilindro!N723&gt;(-B$4+Presion_cilindro!$B$34),1-EXP(-Presion_cilindro!$B$16*((Presion_cilindro!N723-(-B$4+Presion_cilindro!$B$34))/Presion_cilindro!$B$35)^(Presion_cilindro!$B$17+1)),0)-IF(Presion_cilindro!N722&gt;(-B$4+Presion_cilindro!$B$34),1-EXP(-Presion_cilindro!$B$16*((Presion_cilindro!N722-(-B$4+Presion_cilindro!$B$34))/Presion_cilindro!$B$35)^(Presion_cilindro!$B$17+1)),0))/((Presion_cilindro!O722+Presion_cilindro!O723)/2)</f>
        <v>2.5938094877880067</v>
      </c>
      <c r="C731" s="27">
        <f>C730*(Presion_cilindro!O722/Presion_cilindro!O723)^Presion_cilindro!$B$9+10*(Presion_cilindro!$B$9-1)*Presion_cilindro!$B$33*(IF(Presion_cilindro!N723&gt;(-C$4+Presion_cilindro!$B$34),1-EXP(-Presion_cilindro!$B$16*((Presion_cilindro!N723-(-C$4+Presion_cilindro!$B$34))/Presion_cilindro!$B$35)^(Presion_cilindro!$B$17+1)),0)-IF(Presion_cilindro!N722&gt;(-C$4+Presion_cilindro!$B$34),1-EXP(-Presion_cilindro!$B$16*((Presion_cilindro!N722-(-C$4+Presion_cilindro!$B$34))/Presion_cilindro!$B$35)^(Presion_cilindro!$B$17+1)),0))/((Presion_cilindro!O722+Presion_cilindro!O723)/2)</f>
        <v>2.514066026881546</v>
      </c>
      <c r="D731" s="27">
        <f>D730*(Presion_cilindro!O722/Presion_cilindro!O723)^Presion_cilindro!$B$9+10*(Presion_cilindro!$B$9-1)*Presion_cilindro!$B$33*(IF(Presion_cilindro!N723&gt;(-D$4+Presion_cilindro!$B$34),1-EXP(-Presion_cilindro!$B$16*((Presion_cilindro!N723-(-D$4+Presion_cilindro!$B$34))/Presion_cilindro!$B$35)^(Presion_cilindro!$B$17+1)),0)-IF(Presion_cilindro!N722&gt;(-D$4+Presion_cilindro!$B$34),1-EXP(-Presion_cilindro!$B$16*((Presion_cilindro!N722-(-D$4+Presion_cilindro!$B$34))/Presion_cilindro!$B$35)^(Presion_cilindro!$B$17+1)),0))/((Presion_cilindro!O722+Presion_cilindro!O723)/2)</f>
        <v>2.439796646235155</v>
      </c>
      <c r="E731" s="27">
        <f>E730*(Presion_cilindro!O722/Presion_cilindro!O723)^Presion_cilindro!$B$9+10*(Presion_cilindro!$B$9-1)*Presion_cilindro!$B$33*(IF(Presion_cilindro!N723&gt;(-E$4+Presion_cilindro!$B$34),1-EXP(-Presion_cilindro!$B$16*((Presion_cilindro!N723-(-E$4+Presion_cilindro!$B$34))/Presion_cilindro!$B$35)^(Presion_cilindro!$B$17+1)),0)-IF(Presion_cilindro!N722&gt;(-E$4+Presion_cilindro!$B$34),1-EXP(-Presion_cilindro!$B$16*((Presion_cilindro!N722-(-E$4+Presion_cilindro!$B$34))/Presion_cilindro!$B$35)^(Presion_cilindro!$B$17+1)),0))/((Presion_cilindro!O722+Presion_cilindro!O723)/2)</f>
        <v>2.3737642598297914</v>
      </c>
      <c r="F731" s="27">
        <f>F730*(Presion_cilindro!O722/Presion_cilindro!O723)^Presion_cilindro!$B$9+10*(Presion_cilindro!$B$9-1)*Presion_cilindro!$B$33*(IF(Presion_cilindro!N723&gt;(-F$4+Presion_cilindro!$B$34),1-EXP(-Presion_cilindro!$B$16*((Presion_cilindro!N723-(-F$4+Presion_cilindro!$B$34))/Presion_cilindro!$B$35)^(Presion_cilindro!$B$17+1)),0)-IF(Presion_cilindro!N722&gt;(-F$4+Presion_cilindro!$B$34),1-EXP(-Presion_cilindro!$B$16*((Presion_cilindro!N722-(-F$4+Presion_cilindro!$B$34))/Presion_cilindro!$B$35)^(Presion_cilindro!$B$17+1)),0))/((Presion_cilindro!O722+Presion_cilindro!O723)/2)</f>
        <v>2.3189787388755692</v>
      </c>
      <c r="G731" s="27">
        <f>G730*(Presion_cilindro!O722/Presion_cilindro!O723)^Presion_cilindro!$B$9+10*(Presion_cilindro!$B$9-1)*Presion_cilindro!$B$33*(IF(Presion_cilindro!N723&gt;(-G$4+Presion_cilindro!$B$34),1-EXP(-Presion_cilindro!$B$16*((Presion_cilindro!N723-(-G$4+Presion_cilindro!$B$34))/Presion_cilindro!$B$35)^(Presion_cilindro!$B$17+1)),0)-IF(Presion_cilindro!N722&gt;(-G$4+Presion_cilindro!$B$34),1-EXP(-Presion_cilindro!$B$16*((Presion_cilindro!N722-(-G$4+Presion_cilindro!$B$34))/Presion_cilindro!$B$35)^(Presion_cilindro!$B$17+1)),0))/((Presion_cilindro!O722+Presion_cilindro!O723)/2)</f>
        <v>2.2783833109767904</v>
      </c>
      <c r="H731" s="27">
        <f>H730*(Presion_cilindro!O722/Presion_cilindro!O723)^Presion_cilindro!$B$9+10*(Presion_cilindro!$B$9-1)*Presion_cilindro!$B$33*(IF(Presion_cilindro!N723&gt;(-H$4+Presion_cilindro!$B$34),1-EXP(-Presion_cilindro!$B$16*((Presion_cilindro!N723-(-H$4+Presion_cilindro!$B$34))/Presion_cilindro!$B$35)^(Presion_cilindro!$B$17+1)),0)-IF(Presion_cilindro!N722&gt;(-H$4+Presion_cilindro!$B$34),1-EXP(-Presion_cilindro!$B$16*((Presion_cilindro!N722-(-H$4+Presion_cilindro!$B$34))/Presion_cilindro!$B$35)^(Presion_cilindro!$B$17+1)),0))/((Presion_cilindro!O722+Presion_cilindro!O723)/2)</f>
        <v>2.2544366069117223</v>
      </c>
      <c r="I731" s="27">
        <f>I730*(Presion_cilindro!O722/Presion_cilindro!O723)^Presion_cilindro!$B$9+10*(Presion_cilindro!$B$9-1)*Presion_cilindro!$B$33*(IF(Presion_cilindro!N723&gt;(-I$4+Presion_cilindro!$B$34),1-EXP(-Presion_cilindro!$B$16*((Presion_cilindro!N723-(-I$4+Presion_cilindro!$B$34))/Presion_cilindro!$B$35)^(Presion_cilindro!$B$17+1)),0)-IF(Presion_cilindro!N722&gt;(-I$4+Presion_cilindro!$B$34),1-EXP(-Presion_cilindro!$B$16*((Presion_cilindro!N722-(-I$4+Presion_cilindro!$B$34))/Presion_cilindro!$B$35)^(Presion_cilindro!$B$17+1)),0))/((Presion_cilindro!O722+Presion_cilindro!O723)/2)</f>
        <v>2.2486924606716934</v>
      </c>
      <c r="J731" s="27">
        <f>J730*(Presion_cilindro!O722/Presion_cilindro!O723)^Presion_cilindro!$B$9+10*(Presion_cilindro!$B$9-1)*Presion_cilindro!$B$33*(IF(Presion_cilindro!N723&gt;(-J$4+Presion_cilindro!$B$34),1-EXP(-Presion_cilindro!$B$16*((Presion_cilindro!N723-(-J$4+Presion_cilindro!$B$34))/Presion_cilindro!$B$35)^(Presion_cilindro!$B$17+1)),0)-IF(Presion_cilindro!N722&gt;(-J$4+Presion_cilindro!$B$34),1-EXP(-Presion_cilindro!$B$16*((Presion_cilindro!N722-(-J$4+Presion_cilindro!$B$34))/Presion_cilindro!$B$35)^(Presion_cilindro!$B$17+1)),0))/((Presion_cilindro!O722+Presion_cilindro!O723)/2)</f>
        <v>2.2615086293503146</v>
      </c>
      <c r="K731" s="27">
        <f>K730*(Presion_cilindro!O722/Presion_cilindro!O723)^Presion_cilindro!$B$9+10*(Presion_cilindro!$B$9-1)*Presion_cilindro!$B$33*(IF(Presion_cilindro!N723&gt;(-K$4+Presion_cilindro!$B$34),1-EXP(-Presion_cilindro!$B$16*((Presion_cilindro!N723-(-K$4+Presion_cilindro!$B$34))/Presion_cilindro!$B$35)^(Presion_cilindro!$B$17+1)),0)-IF(Presion_cilindro!N722&gt;(-K$4+Presion_cilindro!$B$34),1-EXP(-Presion_cilindro!$B$16*((Presion_cilindro!N722-(-K$4+Presion_cilindro!$B$34))/Presion_cilindro!$B$35)^(Presion_cilindro!$B$17+1)),0))/((Presion_cilindro!O722+Presion_cilindro!O723)/2)</f>
        <v>2.2919847032249745</v>
      </c>
      <c r="L731" s="27">
        <f>L730*(Presion_cilindro!O722/Presion_cilindro!O723)^Presion_cilindro!$B$9+10*(Presion_cilindro!$B$9-1)*Presion_cilindro!$B$33*(IF(Presion_cilindro!N723&gt;(-L$4+Presion_cilindro!$B$34),1-EXP(-Presion_cilindro!$B$16*((Presion_cilindro!N723-(-L$4+Presion_cilindro!$B$34))/Presion_cilindro!$B$35)^(Presion_cilindro!$B$17+1)),0)-IF(Presion_cilindro!N722&gt;(-L$4+Presion_cilindro!$B$34),1-EXP(-Presion_cilindro!$B$16*((Presion_cilindro!N722-(-L$4+Presion_cilindro!$B$34))/Presion_cilindro!$B$35)^(Presion_cilindro!$B$17+1)),0))/((Presion_cilindro!O722+Presion_cilindro!O723)/2)</f>
        <v>2.3381482508243909</v>
      </c>
      <c r="M731" s="27">
        <f>M730*(Presion_cilindro!O722/Presion_cilindro!O723)^Presion_cilindro!$B$9+10*(Presion_cilindro!$B$9-1)*Presion_cilindro!$B$33*(IF(Presion_cilindro!N723&gt;(-M$4+Presion_cilindro!$B$34),1-EXP(-Presion_cilindro!$B$16*((Presion_cilindro!N723-(-M$4+Presion_cilindro!$B$34))/Presion_cilindro!$B$35)^(Presion_cilindro!$B$17+1)),0)-IF(Presion_cilindro!N722&gt;(-M$4+Presion_cilindro!$B$34),1-EXP(-Presion_cilindro!$B$16*((Presion_cilindro!N722-(-M$4+Presion_cilindro!$B$34))/Presion_cilindro!$B$35)^(Presion_cilindro!$B$17+1)),0))/((Presion_cilindro!O722+Presion_cilindro!O723)/2)</f>
        <v>2.3973187937279703</v>
      </c>
      <c r="N731" s="27">
        <f>N730*(Presion_cilindro!O722/Presion_cilindro!O723)^Presion_cilindro!$B$9+10*(Presion_cilindro!$B$9-1)*Presion_cilindro!$B$33*(IF(Presion_cilindro!N723&gt;(-N$4+Presion_cilindro!$B$34),1-EXP(-Presion_cilindro!$B$16*((Presion_cilindro!N723-(-N$4+Presion_cilindro!$B$34))/Presion_cilindro!$B$35)^(Presion_cilindro!$B$17+1)),0)-IF(Presion_cilindro!N722&gt;(-N$4+Presion_cilindro!$B$34),1-EXP(-Presion_cilindro!$B$16*((Presion_cilindro!N722-(-N$4+Presion_cilindro!$B$34))/Presion_cilindro!$B$35)^(Presion_cilindro!$B$17+1)),0))/((Presion_cilindro!O722+Presion_cilindro!O723)/2)</f>
        <v>2.4665281893579594</v>
      </c>
    </row>
    <row r="732" spans="1:14" x14ac:dyDescent="0.25">
      <c r="A732" s="21">
        <f>Presion_cilindro!N724</f>
        <v>180</v>
      </c>
      <c r="B732" s="27">
        <f>B731*(Presion_cilindro!O723/Presion_cilindro!O724)^Presion_cilindro!$B$9+10*(Presion_cilindro!$B$9-1)*Presion_cilindro!$B$33*(IF(Presion_cilindro!N724&gt;(-B$4+Presion_cilindro!$B$34),1-EXP(-Presion_cilindro!$B$16*((Presion_cilindro!N724-(-B$4+Presion_cilindro!$B$34))/Presion_cilindro!$B$35)^(Presion_cilindro!$B$17+1)),0)-IF(Presion_cilindro!N723&gt;(-B$4+Presion_cilindro!$B$34),1-EXP(-Presion_cilindro!$B$16*((Presion_cilindro!N723-(-B$4+Presion_cilindro!$B$34))/Presion_cilindro!$B$35)^(Presion_cilindro!$B$17+1)),0))/((Presion_cilindro!O723+Presion_cilindro!O724)/2)</f>
        <v>2.5937672658322883</v>
      </c>
      <c r="C732" s="27">
        <f>C731*(Presion_cilindro!O723/Presion_cilindro!O724)^Presion_cilindro!$B$9+10*(Presion_cilindro!$B$9-1)*Presion_cilindro!$B$33*(IF(Presion_cilindro!N724&gt;(-C$4+Presion_cilindro!$B$34),1-EXP(-Presion_cilindro!$B$16*((Presion_cilindro!N724-(-C$4+Presion_cilindro!$B$34))/Presion_cilindro!$B$35)^(Presion_cilindro!$B$17+1)),0)-IF(Presion_cilindro!N723&gt;(-C$4+Presion_cilindro!$B$34),1-EXP(-Presion_cilindro!$B$16*((Presion_cilindro!N723-(-C$4+Presion_cilindro!$B$34))/Presion_cilindro!$B$35)^(Presion_cilindro!$B$17+1)),0))/((Presion_cilindro!O723+Presion_cilindro!O724)/2)</f>
        <v>2.5140251029875746</v>
      </c>
      <c r="D732" s="27">
        <f>D731*(Presion_cilindro!O723/Presion_cilindro!O724)^Presion_cilindro!$B$9+10*(Presion_cilindro!$B$9-1)*Presion_cilindro!$B$33*(IF(Presion_cilindro!N724&gt;(-D$4+Presion_cilindro!$B$34),1-EXP(-Presion_cilindro!$B$16*((Presion_cilindro!N724-(-D$4+Presion_cilindro!$B$34))/Presion_cilindro!$B$35)^(Presion_cilindro!$B$17+1)),0)-IF(Presion_cilindro!N723&gt;(-D$4+Presion_cilindro!$B$34),1-EXP(-Presion_cilindro!$B$16*((Presion_cilindro!N723-(-D$4+Presion_cilindro!$B$34))/Presion_cilindro!$B$35)^(Presion_cilindro!$B$17+1)),0))/((Presion_cilindro!O723+Presion_cilindro!O724)/2)</f>
        <v>2.439756931296011</v>
      </c>
      <c r="E732" s="27">
        <f>E731*(Presion_cilindro!O723/Presion_cilindro!O724)^Presion_cilindro!$B$9+10*(Presion_cilindro!$B$9-1)*Presion_cilindro!$B$33*(IF(Presion_cilindro!N724&gt;(-E$4+Presion_cilindro!$B$34),1-EXP(-Presion_cilindro!$B$16*((Presion_cilindro!N724-(-E$4+Presion_cilindro!$B$34))/Presion_cilindro!$B$35)^(Presion_cilindro!$B$17+1)),0)-IF(Presion_cilindro!N723&gt;(-E$4+Presion_cilindro!$B$34),1-EXP(-Presion_cilindro!$B$16*((Presion_cilindro!N723-(-E$4+Presion_cilindro!$B$34))/Presion_cilindro!$B$35)^(Presion_cilindro!$B$17+1)),0))/((Presion_cilindro!O723+Presion_cilindro!O724)/2)</f>
        <v>2.3737256197639209</v>
      </c>
      <c r="F732" s="27">
        <f>F731*(Presion_cilindro!O723/Presion_cilindro!O724)^Presion_cilindro!$B$9+10*(Presion_cilindro!$B$9-1)*Presion_cilindro!$B$33*(IF(Presion_cilindro!N724&gt;(-F$4+Presion_cilindro!$B$34),1-EXP(-Presion_cilindro!$B$16*((Presion_cilindro!N724-(-F$4+Presion_cilindro!$B$34))/Presion_cilindro!$B$35)^(Presion_cilindro!$B$17+1)),0)-IF(Presion_cilindro!N723&gt;(-F$4+Presion_cilindro!$B$34),1-EXP(-Presion_cilindro!$B$16*((Presion_cilindro!N723-(-F$4+Presion_cilindro!$B$34))/Presion_cilindro!$B$35)^(Presion_cilindro!$B$17+1)),0))/((Presion_cilindro!O723+Presion_cilindro!O724)/2)</f>
        <v>2.3189409906068219</v>
      </c>
      <c r="G732" s="27">
        <f>G731*(Presion_cilindro!O723/Presion_cilindro!O724)^Presion_cilindro!$B$9+10*(Presion_cilindro!$B$9-1)*Presion_cilindro!$B$33*(IF(Presion_cilindro!N724&gt;(-G$4+Presion_cilindro!$B$34),1-EXP(-Presion_cilindro!$B$16*((Presion_cilindro!N724-(-G$4+Presion_cilindro!$B$34))/Presion_cilindro!$B$35)^(Presion_cilindro!$B$17+1)),0)-IF(Presion_cilindro!N723&gt;(-G$4+Presion_cilindro!$B$34),1-EXP(-Presion_cilindro!$B$16*((Presion_cilindro!N723-(-G$4+Presion_cilindro!$B$34))/Presion_cilindro!$B$35)^(Presion_cilindro!$B$17+1)),0))/((Presion_cilindro!O723+Presion_cilindro!O724)/2)</f>
        <v>2.2783462235192427</v>
      </c>
      <c r="H732" s="27">
        <f>H731*(Presion_cilindro!O723/Presion_cilindro!O724)^Presion_cilindro!$B$9+10*(Presion_cilindro!$B$9-1)*Presion_cilindro!$B$33*(IF(Presion_cilindro!N724&gt;(-H$4+Presion_cilindro!$B$34),1-EXP(-Presion_cilindro!$B$16*((Presion_cilindro!N724-(-H$4+Presion_cilindro!$B$34))/Presion_cilindro!$B$35)^(Presion_cilindro!$B$17+1)),0)-IF(Presion_cilindro!N723&gt;(-H$4+Presion_cilindro!$B$34),1-EXP(-Presion_cilindro!$B$16*((Presion_cilindro!N723-(-H$4+Presion_cilindro!$B$34))/Presion_cilindro!$B$35)^(Presion_cilindro!$B$17+1)),0))/((Presion_cilindro!O723+Presion_cilindro!O724)/2)</f>
        <v>2.2543999092579297</v>
      </c>
      <c r="I732" s="27">
        <f>I731*(Presion_cilindro!O723/Presion_cilindro!O724)^Presion_cilindro!$B$9+10*(Presion_cilindro!$B$9-1)*Presion_cilindro!$B$33*(IF(Presion_cilindro!N724&gt;(-I$4+Presion_cilindro!$B$34),1-EXP(-Presion_cilindro!$B$16*((Presion_cilindro!N724-(-I$4+Presion_cilindro!$B$34))/Presion_cilindro!$B$35)^(Presion_cilindro!$B$17+1)),0)-IF(Presion_cilindro!N723&gt;(-I$4+Presion_cilindro!$B$34),1-EXP(-Presion_cilindro!$B$16*((Presion_cilindro!N723-(-I$4+Presion_cilindro!$B$34))/Presion_cilindro!$B$35)^(Presion_cilindro!$B$17+1)),0))/((Presion_cilindro!O723+Presion_cilindro!O724)/2)</f>
        <v>2.2486558565209469</v>
      </c>
      <c r="J732" s="27">
        <f>J731*(Presion_cilindro!O723/Presion_cilindro!O724)^Presion_cilindro!$B$9+10*(Presion_cilindro!$B$9-1)*Presion_cilindro!$B$33*(IF(Presion_cilindro!N724&gt;(-J$4+Presion_cilindro!$B$34),1-EXP(-Presion_cilindro!$B$16*((Presion_cilindro!N724-(-J$4+Presion_cilindro!$B$34))/Presion_cilindro!$B$35)^(Presion_cilindro!$B$17+1)),0)-IF(Presion_cilindro!N723&gt;(-J$4+Presion_cilindro!$B$34),1-EXP(-Presion_cilindro!$B$16*((Presion_cilindro!N723-(-J$4+Presion_cilindro!$B$34))/Presion_cilindro!$B$35)^(Presion_cilindro!$B$17+1)),0))/((Presion_cilindro!O723+Presion_cilindro!O724)/2)</f>
        <v>2.2614718165783456</v>
      </c>
      <c r="K732" s="27">
        <f>K731*(Presion_cilindro!O723/Presion_cilindro!O724)^Presion_cilindro!$B$9+10*(Presion_cilindro!$B$9-1)*Presion_cilindro!$B$33*(IF(Presion_cilindro!N724&gt;(-K$4+Presion_cilindro!$B$34),1-EXP(-Presion_cilindro!$B$16*((Presion_cilindro!N724-(-K$4+Presion_cilindro!$B$34))/Presion_cilindro!$B$35)^(Presion_cilindro!$B$17+1)),0)-IF(Presion_cilindro!N723&gt;(-K$4+Presion_cilindro!$B$34),1-EXP(-Presion_cilindro!$B$16*((Presion_cilindro!N723-(-K$4+Presion_cilindro!$B$34))/Presion_cilindro!$B$35)^(Presion_cilindro!$B$17+1)),0))/((Presion_cilindro!O723+Presion_cilindro!O724)/2)</f>
        <v>2.2919473943643576</v>
      </c>
      <c r="L732" s="27">
        <f>L731*(Presion_cilindro!O723/Presion_cilindro!O724)^Presion_cilindro!$B$9+10*(Presion_cilindro!$B$9-1)*Presion_cilindro!$B$33*(IF(Presion_cilindro!N724&gt;(-L$4+Presion_cilindro!$B$34),1-EXP(-Presion_cilindro!$B$16*((Presion_cilindro!N724-(-L$4+Presion_cilindro!$B$34))/Presion_cilindro!$B$35)^(Presion_cilindro!$B$17+1)),0)-IF(Presion_cilindro!N723&gt;(-L$4+Presion_cilindro!$B$34),1-EXP(-Presion_cilindro!$B$16*((Presion_cilindro!N723-(-L$4+Presion_cilindro!$B$34))/Presion_cilindro!$B$35)^(Presion_cilindro!$B$17+1)),0))/((Presion_cilindro!O723+Presion_cilindro!O724)/2)</f>
        <v>2.3381101905148833</v>
      </c>
      <c r="M732" s="27">
        <f>M731*(Presion_cilindro!O723/Presion_cilindro!O724)^Presion_cilindro!$B$9+10*(Presion_cilindro!$B$9-1)*Presion_cilindro!$B$33*(IF(Presion_cilindro!N724&gt;(-M$4+Presion_cilindro!$B$34),1-EXP(-Presion_cilindro!$B$16*((Presion_cilindro!N724-(-M$4+Presion_cilindro!$B$34))/Presion_cilindro!$B$35)^(Presion_cilindro!$B$17+1)),0)-IF(Presion_cilindro!N723&gt;(-M$4+Presion_cilindro!$B$34),1-EXP(-Presion_cilindro!$B$16*((Presion_cilindro!N723-(-M$4+Presion_cilindro!$B$34))/Presion_cilindro!$B$35)^(Presion_cilindro!$B$17+1)),0))/((Presion_cilindro!O723+Presion_cilindro!O724)/2)</f>
        <v>2.3972797702420792</v>
      </c>
      <c r="N732" s="27">
        <f>N731*(Presion_cilindro!O723/Presion_cilindro!O724)^Presion_cilindro!$B$9+10*(Presion_cilindro!$B$9-1)*Presion_cilindro!$B$33*(IF(Presion_cilindro!N724&gt;(-N$4+Presion_cilindro!$B$34),1-EXP(-Presion_cilindro!$B$16*((Presion_cilindro!N724-(-N$4+Presion_cilindro!$B$34))/Presion_cilindro!$B$35)^(Presion_cilindro!$B$17+1)),0)-IF(Presion_cilindro!N723&gt;(-N$4+Presion_cilindro!$B$34),1-EXP(-Presion_cilindro!$B$16*((Presion_cilindro!N723-(-N$4+Presion_cilindro!$B$34))/Presion_cilindro!$B$35)^(Presion_cilindro!$B$17+1)),0))/((Presion_cilindro!O723+Presion_cilindro!O724)/2)</f>
        <v>2.4664880392835307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showGridLines="0" tabSelected="1" topLeftCell="A13" zoomScale="85" zoomScaleNormal="85" workbookViewId="0">
      <selection sqref="A1:J1"/>
    </sheetView>
  </sheetViews>
  <sheetFormatPr baseColWidth="10" defaultColWidth="8.7109375" defaultRowHeight="15" x14ac:dyDescent="0.25"/>
  <cols>
    <col min="1" max="1" width="30" customWidth="1"/>
  </cols>
  <sheetData>
    <row r="1" spans="1:10" ht="25.5" customHeight="1" x14ac:dyDescent="0.25">
      <c r="A1" s="4" t="s">
        <v>129</v>
      </c>
      <c r="B1" s="4"/>
      <c r="C1" s="4"/>
      <c r="D1" s="4"/>
      <c r="E1" s="4"/>
      <c r="F1" s="4"/>
      <c r="G1" s="4"/>
      <c r="H1" s="4"/>
      <c r="I1" s="4"/>
      <c r="J1" s="4"/>
    </row>
    <row r="2" spans="1:10" ht="57.75" customHeight="1" x14ac:dyDescent="0.25">
      <c r="A2" s="3" t="s">
        <v>130</v>
      </c>
      <c r="B2" s="3"/>
      <c r="C2" s="3"/>
      <c r="D2" s="3"/>
      <c r="E2" s="3"/>
      <c r="F2" s="3"/>
      <c r="G2" s="3"/>
      <c r="H2" s="3"/>
      <c r="I2" s="3"/>
      <c r="J2" s="3"/>
    </row>
    <row r="4" spans="1:10" x14ac:dyDescent="0.25">
      <c r="A4" s="11" t="s">
        <v>131</v>
      </c>
      <c r="B4" s="12">
        <v>8</v>
      </c>
      <c r="C4" s="11" t="s">
        <v>63</v>
      </c>
    </row>
    <row r="5" spans="1:10" x14ac:dyDescent="0.25">
      <c r="B5" s="5" t="s">
        <v>132</v>
      </c>
      <c r="C5" s="28">
        <v>0.25</v>
      </c>
      <c r="D5" s="28">
        <v>0.5</v>
      </c>
      <c r="E5" s="28">
        <v>0.75</v>
      </c>
      <c r="F5" s="28">
        <v>1</v>
      </c>
    </row>
    <row r="6" spans="1:10" ht="43.5" customHeight="1" x14ac:dyDescent="0.25">
      <c r="A6" s="6" t="s">
        <v>133</v>
      </c>
      <c r="B6" s="6" t="s">
        <v>134</v>
      </c>
      <c r="C6" s="6" t="s">
        <v>135</v>
      </c>
      <c r="D6" s="6" t="s">
        <v>136</v>
      </c>
      <c r="E6" s="6" t="s">
        <v>137</v>
      </c>
      <c r="F6" s="6" t="s">
        <v>138</v>
      </c>
    </row>
    <row r="7" spans="1:10" x14ac:dyDescent="0.25">
      <c r="A7">
        <v>800</v>
      </c>
      <c r="B7" s="21">
        <f>6*A7*Presion_cilindro!$B$14/1000</f>
        <v>2.88</v>
      </c>
      <c r="C7" s="21">
        <f>MAX(0,B7+Presion_cilindro!$B$15*(1+0.6*(1-C$5))*(LN(2)/Presion_cilindro!$B$16)^(1/(Presion_cilindro!$B$17+1))-$B$4)</f>
        <v>24.897865854071512</v>
      </c>
      <c r="D7" s="21">
        <f>MAX(0,B7+Presion_cilindro!$B$15*(1+0.6*(1-D$5))*(LN(2)/Presion_cilindro!$B$16)^(1/(Presion_cilindro!$B$17+1))-$B$4)</f>
        <v>21.792569386408939</v>
      </c>
      <c r="E7" s="21">
        <f>MAX(0,B7+Presion_cilindro!$B$15*(1+0.6*(1-E$5))*(LN(2)/Presion_cilindro!$B$16)^(1/(Presion_cilindro!$B$17+1))-$B$4)</f>
        <v>18.687272918746366</v>
      </c>
      <c r="F7" s="21">
        <f>MAX(0,B7+Presion_cilindro!$B$15*(1+0.6*(1-F$5))*(LN(2)/Presion_cilindro!$B$16)^(1/(Presion_cilindro!$B$17+1))-$B$4)</f>
        <v>15.581976451083797</v>
      </c>
    </row>
    <row r="8" spans="1:10" x14ac:dyDescent="0.25">
      <c r="A8">
        <v>1000</v>
      </c>
      <c r="B8" s="21">
        <f>6*A8*Presion_cilindro!$B$14/1000</f>
        <v>3.6</v>
      </c>
      <c r="C8" s="21">
        <f>MAX(0,B8+Presion_cilindro!$B$15*(1+0.6*(1-C$5))*(LN(2)/Presion_cilindro!$B$16)^(1/(Presion_cilindro!$B$17+1))-$B$4)</f>
        <v>25.617865854071511</v>
      </c>
      <c r="D8" s="21">
        <f>MAX(0,B8+Presion_cilindro!$B$15*(1+0.6*(1-D$5))*(LN(2)/Presion_cilindro!$B$16)^(1/(Presion_cilindro!$B$17+1))-$B$4)</f>
        <v>22.512569386408941</v>
      </c>
      <c r="E8" s="21">
        <f>MAX(0,B8+Presion_cilindro!$B$15*(1+0.6*(1-E$5))*(LN(2)/Presion_cilindro!$B$16)^(1/(Presion_cilindro!$B$17+1))-$B$4)</f>
        <v>19.407272918746369</v>
      </c>
      <c r="F8" s="21">
        <f>MAX(0,B8+Presion_cilindro!$B$15*(1+0.6*(1-F$5))*(LN(2)/Presion_cilindro!$B$16)^(1/(Presion_cilindro!$B$17+1))-$B$4)</f>
        <v>16.301976451083799</v>
      </c>
    </row>
    <row r="9" spans="1:10" x14ac:dyDescent="0.25">
      <c r="A9">
        <v>1200</v>
      </c>
      <c r="B9" s="21">
        <f>6*A9*Presion_cilindro!$B$14/1000</f>
        <v>4.32</v>
      </c>
      <c r="C9" s="21">
        <f>MAX(0,B9+Presion_cilindro!$B$15*(1+0.6*(1-C$5))*(LN(2)/Presion_cilindro!$B$16)^(1/(Presion_cilindro!$B$17+1))-$B$4)</f>
        <v>26.337865854071509</v>
      </c>
      <c r="D9" s="21">
        <f>MAX(0,B9+Presion_cilindro!$B$15*(1+0.6*(1-D$5))*(LN(2)/Presion_cilindro!$B$16)^(1/(Presion_cilindro!$B$17+1))-$B$4)</f>
        <v>23.23256938640894</v>
      </c>
      <c r="E9" s="21">
        <f>MAX(0,B9+Presion_cilindro!$B$15*(1+0.6*(1-E$5))*(LN(2)/Presion_cilindro!$B$16)^(1/(Presion_cilindro!$B$17+1))-$B$4)</f>
        <v>20.127272918746367</v>
      </c>
      <c r="F9" s="21">
        <f>MAX(0,B9+Presion_cilindro!$B$15*(1+0.6*(1-F$5))*(LN(2)/Presion_cilindro!$B$16)^(1/(Presion_cilindro!$B$17+1))-$B$4)</f>
        <v>17.021976451083798</v>
      </c>
    </row>
    <row r="10" spans="1:10" x14ac:dyDescent="0.25">
      <c r="A10">
        <v>1400</v>
      </c>
      <c r="B10" s="21">
        <f>6*A10*Presion_cilindro!$B$14/1000</f>
        <v>5.04</v>
      </c>
      <c r="C10" s="21">
        <f>MAX(0,B10+Presion_cilindro!$B$15*(1+0.6*(1-C$5))*(LN(2)/Presion_cilindro!$B$16)^(1/(Presion_cilindro!$B$17+1))-$B$4)</f>
        <v>27.057865854071508</v>
      </c>
      <c r="D10" s="21">
        <f>MAX(0,B10+Presion_cilindro!$B$15*(1+0.6*(1-D$5))*(LN(2)/Presion_cilindro!$B$16)^(1/(Presion_cilindro!$B$17+1))-$B$4)</f>
        <v>23.952569386408939</v>
      </c>
      <c r="E10" s="21">
        <f>MAX(0,B10+Presion_cilindro!$B$15*(1+0.6*(1-E$5))*(LN(2)/Presion_cilindro!$B$16)^(1/(Presion_cilindro!$B$17+1))-$B$4)</f>
        <v>20.847272918746366</v>
      </c>
      <c r="F10" s="21">
        <f>MAX(0,B10+Presion_cilindro!$B$15*(1+0.6*(1-F$5))*(LN(2)/Presion_cilindro!$B$16)^(1/(Presion_cilindro!$B$17+1))-$B$4)</f>
        <v>17.741976451083797</v>
      </c>
    </row>
    <row r="11" spans="1:10" x14ac:dyDescent="0.25">
      <c r="A11">
        <v>1600</v>
      </c>
      <c r="B11" s="21">
        <f>6*A11*Presion_cilindro!$B$14/1000</f>
        <v>5.76</v>
      </c>
      <c r="C11" s="21">
        <f>MAX(0,B11+Presion_cilindro!$B$15*(1+0.6*(1-C$5))*(LN(2)/Presion_cilindro!$B$16)^(1/(Presion_cilindro!$B$17+1))-$B$4)</f>
        <v>27.777865854071507</v>
      </c>
      <c r="D11" s="21">
        <f>MAX(0,B11+Presion_cilindro!$B$15*(1+0.6*(1-D$5))*(LN(2)/Presion_cilindro!$B$16)^(1/(Presion_cilindro!$B$17+1))-$B$4)</f>
        <v>24.672569386408938</v>
      </c>
      <c r="E11" s="21">
        <f>MAX(0,B11+Presion_cilindro!$B$15*(1+0.6*(1-E$5))*(LN(2)/Presion_cilindro!$B$16)^(1/(Presion_cilindro!$B$17+1))-$B$4)</f>
        <v>21.567272918746369</v>
      </c>
      <c r="F11" s="21">
        <f>MAX(0,B11+Presion_cilindro!$B$15*(1+0.6*(1-F$5))*(LN(2)/Presion_cilindro!$B$16)^(1/(Presion_cilindro!$B$17+1))-$B$4)</f>
        <v>18.4619764510838</v>
      </c>
    </row>
    <row r="12" spans="1:10" x14ac:dyDescent="0.25">
      <c r="A12">
        <v>1800</v>
      </c>
      <c r="B12" s="21">
        <f>6*A12*Presion_cilindro!$B$14/1000</f>
        <v>6.48</v>
      </c>
      <c r="C12" s="21">
        <f>MAX(0,B12+Presion_cilindro!$B$15*(1+0.6*(1-C$5))*(LN(2)/Presion_cilindro!$B$16)^(1/(Presion_cilindro!$B$17+1))-$B$4)</f>
        <v>28.497865854071506</v>
      </c>
      <c r="D12" s="21">
        <f>MAX(0,B12+Presion_cilindro!$B$15*(1+0.6*(1-D$5))*(LN(2)/Presion_cilindro!$B$16)^(1/(Presion_cilindro!$B$17+1))-$B$4)</f>
        <v>25.392569386408937</v>
      </c>
      <c r="E12" s="21">
        <f>MAX(0,B12+Presion_cilindro!$B$15*(1+0.6*(1-E$5))*(LN(2)/Presion_cilindro!$B$16)^(1/(Presion_cilindro!$B$17+1))-$B$4)</f>
        <v>22.287272918746368</v>
      </c>
      <c r="F12" s="21">
        <f>MAX(0,B12+Presion_cilindro!$B$15*(1+0.6*(1-F$5))*(LN(2)/Presion_cilindro!$B$16)^(1/(Presion_cilindro!$B$17+1))-$B$4)</f>
        <v>19.181976451083798</v>
      </c>
    </row>
    <row r="13" spans="1:10" x14ac:dyDescent="0.25">
      <c r="A13">
        <v>2000</v>
      </c>
      <c r="B13" s="21">
        <f>6*A13*Presion_cilindro!$B$14/1000</f>
        <v>7.2</v>
      </c>
      <c r="C13" s="21">
        <f>MAX(0,B13+Presion_cilindro!$B$15*(1+0.6*(1-C$5))*(LN(2)/Presion_cilindro!$B$16)^(1/(Presion_cilindro!$B$17+1))-$B$4)</f>
        <v>29.217865854071512</v>
      </c>
      <c r="D13" s="21">
        <f>MAX(0,B13+Presion_cilindro!$B$15*(1+0.6*(1-D$5))*(LN(2)/Presion_cilindro!$B$16)^(1/(Presion_cilindro!$B$17+1))-$B$4)</f>
        <v>26.112569386408943</v>
      </c>
      <c r="E13" s="21">
        <f>MAX(0,B13+Presion_cilindro!$B$15*(1+0.6*(1-E$5))*(LN(2)/Presion_cilindro!$B$16)^(1/(Presion_cilindro!$B$17+1))-$B$4)</f>
        <v>23.007272918746366</v>
      </c>
      <c r="F13" s="21">
        <f>MAX(0,B13+Presion_cilindro!$B$15*(1+0.6*(1-F$5))*(LN(2)/Presion_cilindro!$B$16)^(1/(Presion_cilindro!$B$17+1))-$B$4)</f>
        <v>19.901976451083797</v>
      </c>
    </row>
    <row r="14" spans="1:10" x14ac:dyDescent="0.25">
      <c r="A14">
        <v>2200</v>
      </c>
      <c r="B14" s="21">
        <f>6*A14*Presion_cilindro!$B$14/1000</f>
        <v>7.92</v>
      </c>
      <c r="C14" s="21">
        <f>MAX(0,B14+Presion_cilindro!$B$15*(1+0.6*(1-C$5))*(LN(2)/Presion_cilindro!$B$16)^(1/(Presion_cilindro!$B$17+1))-$B$4)</f>
        <v>29.937865854071511</v>
      </c>
      <c r="D14" s="21">
        <f>MAX(0,B14+Presion_cilindro!$B$15*(1+0.6*(1-D$5))*(LN(2)/Presion_cilindro!$B$16)^(1/(Presion_cilindro!$B$17+1))-$B$4)</f>
        <v>26.832569386408942</v>
      </c>
      <c r="E14" s="21">
        <f>MAX(0,B14+Presion_cilindro!$B$15*(1+0.6*(1-E$5))*(LN(2)/Presion_cilindro!$B$16)^(1/(Presion_cilindro!$B$17+1))-$B$4)</f>
        <v>23.727272918746365</v>
      </c>
      <c r="F14" s="21">
        <f>MAX(0,B14+Presion_cilindro!$B$15*(1+0.6*(1-F$5))*(LN(2)/Presion_cilindro!$B$16)^(1/(Presion_cilindro!$B$17+1))-$B$4)</f>
        <v>20.621976451083796</v>
      </c>
    </row>
    <row r="15" spans="1:10" x14ac:dyDescent="0.25">
      <c r="A15">
        <v>2400</v>
      </c>
      <c r="B15" s="21">
        <f>6*A15*Presion_cilindro!$B$14/1000</f>
        <v>8.64</v>
      </c>
      <c r="C15" s="21">
        <f>MAX(0,B15+Presion_cilindro!$B$15*(1+0.6*(1-C$5))*(LN(2)/Presion_cilindro!$B$16)^(1/(Presion_cilindro!$B$17+1))-$B$4)</f>
        <v>30.65786585407151</v>
      </c>
      <c r="D15" s="21">
        <f>MAX(0,B15+Presion_cilindro!$B$15*(1+0.6*(1-D$5))*(LN(2)/Presion_cilindro!$B$16)^(1/(Presion_cilindro!$B$17+1))-$B$4)</f>
        <v>27.55256938640894</v>
      </c>
      <c r="E15" s="21">
        <f>MAX(0,B15+Presion_cilindro!$B$15*(1+0.6*(1-E$5))*(LN(2)/Presion_cilindro!$B$16)^(1/(Presion_cilindro!$B$17+1))-$B$4)</f>
        <v>24.447272918746364</v>
      </c>
      <c r="F15" s="21">
        <f>MAX(0,B15+Presion_cilindro!$B$15*(1+0.6*(1-F$5))*(LN(2)/Presion_cilindro!$B$16)^(1/(Presion_cilindro!$B$17+1))-$B$4)</f>
        <v>21.341976451083799</v>
      </c>
    </row>
    <row r="16" spans="1:10" x14ac:dyDescent="0.25">
      <c r="A16">
        <v>2600</v>
      </c>
      <c r="B16" s="21">
        <f>6*A16*Presion_cilindro!$B$14/1000</f>
        <v>9.36</v>
      </c>
      <c r="C16" s="21">
        <f>MAX(0,B16+Presion_cilindro!$B$15*(1+0.6*(1-C$5))*(LN(2)/Presion_cilindro!$B$16)^(1/(Presion_cilindro!$B$17+1))-$B$4)</f>
        <v>31.377865854071509</v>
      </c>
      <c r="D16" s="21">
        <f>MAX(0,B16+Presion_cilindro!$B$15*(1+0.6*(1-D$5))*(LN(2)/Presion_cilindro!$B$16)^(1/(Presion_cilindro!$B$17+1))-$B$4)</f>
        <v>28.272569386408939</v>
      </c>
      <c r="E16" s="21">
        <f>MAX(0,B16+Presion_cilindro!$B$15*(1+0.6*(1-E$5))*(LN(2)/Presion_cilindro!$B$16)^(1/(Presion_cilindro!$B$17+1))-$B$4)</f>
        <v>25.167272918746363</v>
      </c>
      <c r="F16" s="21">
        <f>MAX(0,B16+Presion_cilindro!$B$15*(1+0.6*(1-F$5))*(LN(2)/Presion_cilindro!$B$16)^(1/(Presion_cilindro!$B$17+1))-$B$4)</f>
        <v>22.061976451083797</v>
      </c>
    </row>
    <row r="17" spans="1:6" x14ac:dyDescent="0.25">
      <c r="A17">
        <v>2800</v>
      </c>
      <c r="B17" s="21">
        <f>6*A17*Presion_cilindro!$B$14/1000</f>
        <v>10.08</v>
      </c>
      <c r="C17" s="21">
        <f>MAX(0,B17+Presion_cilindro!$B$15*(1+0.6*(1-C$5))*(LN(2)/Presion_cilindro!$B$16)^(1/(Presion_cilindro!$B$17+1))-$B$4)</f>
        <v>32.097865854071507</v>
      </c>
      <c r="D17" s="21">
        <f>MAX(0,B17+Presion_cilindro!$B$15*(1+0.6*(1-D$5))*(LN(2)/Presion_cilindro!$B$16)^(1/(Presion_cilindro!$B$17+1))-$B$4)</f>
        <v>28.992569386408938</v>
      </c>
      <c r="E17" s="21">
        <f>MAX(0,B17+Presion_cilindro!$B$15*(1+0.6*(1-E$5))*(LN(2)/Presion_cilindro!$B$16)^(1/(Presion_cilindro!$B$17+1))-$B$4)</f>
        <v>25.887272918746369</v>
      </c>
      <c r="F17" s="21">
        <f>MAX(0,B17+Presion_cilindro!$B$15*(1+0.6*(1-F$5))*(LN(2)/Presion_cilindro!$B$16)^(1/(Presion_cilindro!$B$17+1))-$B$4)</f>
        <v>22.7819764510838</v>
      </c>
    </row>
    <row r="18" spans="1:6" x14ac:dyDescent="0.25">
      <c r="A18">
        <v>3000</v>
      </c>
      <c r="B18" s="21">
        <f>6*A18*Presion_cilindro!$B$14/1000</f>
        <v>10.8</v>
      </c>
      <c r="C18" s="21">
        <f>MAX(0,B18+Presion_cilindro!$B$15*(1+0.6*(1-C$5))*(LN(2)/Presion_cilindro!$B$16)^(1/(Presion_cilindro!$B$17+1))-$B$4)</f>
        <v>32.817865854071513</v>
      </c>
      <c r="D18" s="21">
        <f>MAX(0,B18+Presion_cilindro!$B$15*(1+0.6*(1-D$5))*(LN(2)/Presion_cilindro!$B$16)^(1/(Presion_cilindro!$B$17+1))-$B$4)</f>
        <v>29.712569386408944</v>
      </c>
      <c r="E18" s="21">
        <f>MAX(0,B18+Presion_cilindro!$B$15*(1+0.6*(1-E$5))*(LN(2)/Presion_cilindro!$B$16)^(1/(Presion_cilindro!$B$17+1))-$B$4)</f>
        <v>26.607272918746368</v>
      </c>
      <c r="F18" s="21">
        <f>MAX(0,B18+Presion_cilindro!$B$15*(1+0.6*(1-F$5))*(LN(2)/Presion_cilindro!$B$16)^(1/(Presion_cilindro!$B$17+1))-$B$4)</f>
        <v>23.501976451083799</v>
      </c>
    </row>
    <row r="19" spans="1:6" x14ac:dyDescent="0.25">
      <c r="A19">
        <v>3200</v>
      </c>
      <c r="B19" s="21">
        <f>6*A19*Presion_cilindro!$B$14/1000</f>
        <v>11.52</v>
      </c>
      <c r="C19" s="21">
        <f>MAX(0,B19+Presion_cilindro!$B$15*(1+0.6*(1-C$5))*(LN(2)/Presion_cilindro!$B$16)^(1/(Presion_cilindro!$B$17+1))-$B$4)</f>
        <v>33.537865854071512</v>
      </c>
      <c r="D19" s="21">
        <f>MAX(0,B19+Presion_cilindro!$B$15*(1+0.6*(1-D$5))*(LN(2)/Presion_cilindro!$B$16)^(1/(Presion_cilindro!$B$17+1))-$B$4)</f>
        <v>30.432569386408943</v>
      </c>
      <c r="E19" s="21">
        <f>MAX(0,B19+Presion_cilindro!$B$15*(1+0.6*(1-E$5))*(LN(2)/Presion_cilindro!$B$16)^(1/(Presion_cilindro!$B$17+1))-$B$4)</f>
        <v>27.327272918746367</v>
      </c>
      <c r="F19" s="21">
        <f>MAX(0,B19+Presion_cilindro!$B$15*(1+0.6*(1-F$5))*(LN(2)/Presion_cilindro!$B$16)^(1/(Presion_cilindro!$B$17+1))-$B$4)</f>
        <v>24.221976451083798</v>
      </c>
    </row>
    <row r="20" spans="1:6" x14ac:dyDescent="0.25">
      <c r="A20">
        <v>3400</v>
      </c>
      <c r="B20" s="21">
        <f>6*A20*Presion_cilindro!$B$14/1000</f>
        <v>12.24</v>
      </c>
      <c r="C20" s="21">
        <f>MAX(0,B20+Presion_cilindro!$B$15*(1+0.6*(1-C$5))*(LN(2)/Presion_cilindro!$B$16)^(1/(Presion_cilindro!$B$17+1))-$B$4)</f>
        <v>34.257865854071511</v>
      </c>
      <c r="D20" s="21">
        <f>MAX(0,B20+Presion_cilindro!$B$15*(1+0.6*(1-D$5))*(LN(2)/Presion_cilindro!$B$16)^(1/(Presion_cilindro!$B$17+1))-$B$4)</f>
        <v>31.152569386408942</v>
      </c>
      <c r="E20" s="21">
        <f>MAX(0,B20+Presion_cilindro!$B$15*(1+0.6*(1-E$5))*(LN(2)/Presion_cilindro!$B$16)^(1/(Presion_cilindro!$B$17+1))-$B$4)</f>
        <v>28.047272918746366</v>
      </c>
      <c r="F20" s="21">
        <f>MAX(0,B20+Presion_cilindro!$B$15*(1+0.6*(1-F$5))*(LN(2)/Presion_cilindro!$B$16)^(1/(Presion_cilindro!$B$17+1))-$B$4)</f>
        <v>24.941976451083796</v>
      </c>
    </row>
    <row r="21" spans="1:6" x14ac:dyDescent="0.25">
      <c r="A21">
        <v>3600</v>
      </c>
      <c r="B21" s="21">
        <f>6*A21*Presion_cilindro!$B$14/1000</f>
        <v>12.96</v>
      </c>
      <c r="C21" s="21">
        <f>MAX(0,B21+Presion_cilindro!$B$15*(1+0.6*(1-C$5))*(LN(2)/Presion_cilindro!$B$16)^(1/(Presion_cilindro!$B$17+1))-$B$4)</f>
        <v>34.97786585407151</v>
      </c>
      <c r="D21" s="21">
        <f>MAX(0,B21+Presion_cilindro!$B$15*(1+0.6*(1-D$5))*(LN(2)/Presion_cilindro!$B$16)^(1/(Presion_cilindro!$B$17+1))-$B$4)</f>
        <v>31.872569386408941</v>
      </c>
      <c r="E21" s="21">
        <f>MAX(0,B21+Presion_cilindro!$B$15*(1+0.6*(1-E$5))*(LN(2)/Presion_cilindro!$B$16)^(1/(Presion_cilindro!$B$17+1))-$B$4)</f>
        <v>28.767272918746372</v>
      </c>
      <c r="F21" s="21">
        <f>MAX(0,B21+Presion_cilindro!$B$15*(1+0.6*(1-F$5))*(LN(2)/Presion_cilindro!$B$16)^(1/(Presion_cilindro!$B$17+1))-$B$4)</f>
        <v>25.661976451083802</v>
      </c>
    </row>
    <row r="22" spans="1:6" x14ac:dyDescent="0.25">
      <c r="A22">
        <v>3800</v>
      </c>
      <c r="B22" s="21">
        <f>6*A22*Presion_cilindro!$B$14/1000</f>
        <v>13.68</v>
      </c>
      <c r="C22" s="21">
        <f>MAX(0,B22+Presion_cilindro!$B$15*(1+0.6*(1-C$5))*(LN(2)/Presion_cilindro!$B$16)^(1/(Presion_cilindro!$B$17+1))-$B$4)</f>
        <v>35.697865854071509</v>
      </c>
      <c r="D22" s="21">
        <f>MAX(0,B22+Presion_cilindro!$B$15*(1+0.6*(1-D$5))*(LN(2)/Presion_cilindro!$B$16)^(1/(Presion_cilindro!$B$17+1))-$B$4)</f>
        <v>32.59256938640894</v>
      </c>
      <c r="E22" s="21">
        <f>MAX(0,B22+Presion_cilindro!$B$15*(1+0.6*(1-E$5))*(LN(2)/Presion_cilindro!$B$16)^(1/(Presion_cilindro!$B$17+1))-$B$4)</f>
        <v>29.48727291874637</v>
      </c>
      <c r="F22" s="21">
        <f>MAX(0,B22+Presion_cilindro!$B$15*(1+0.6*(1-F$5))*(LN(2)/Presion_cilindro!$B$16)^(1/(Presion_cilindro!$B$17+1))-$B$4)</f>
        <v>26.381976451083801</v>
      </c>
    </row>
    <row r="23" spans="1:6" x14ac:dyDescent="0.25">
      <c r="A23">
        <v>4000</v>
      </c>
      <c r="B23" s="21">
        <f>6*A23*Presion_cilindro!$B$14/1000</f>
        <v>14.4</v>
      </c>
      <c r="C23" s="21">
        <f>MAX(0,B23+Presion_cilindro!$B$15*(1+0.6*(1-C$5))*(LN(2)/Presion_cilindro!$B$16)^(1/(Presion_cilindro!$B$17+1))-$B$4)</f>
        <v>36.417865854071508</v>
      </c>
      <c r="D23" s="21">
        <f>MAX(0,B23+Presion_cilindro!$B$15*(1+0.6*(1-D$5))*(LN(2)/Presion_cilindro!$B$16)^(1/(Presion_cilindro!$B$17+1))-$B$4)</f>
        <v>33.312569386408938</v>
      </c>
      <c r="E23" s="21">
        <f>MAX(0,B23+Presion_cilindro!$B$15*(1+0.6*(1-E$5))*(LN(2)/Presion_cilindro!$B$16)^(1/(Presion_cilindro!$B$17+1))-$B$4)</f>
        <v>30.207272918746369</v>
      </c>
      <c r="F23" s="21">
        <f>MAX(0,B23+Presion_cilindro!$B$15*(1+0.6*(1-F$5))*(LN(2)/Presion_cilindro!$B$16)^(1/(Presion_cilindro!$B$17+1))-$B$4)</f>
        <v>27.1019764510838</v>
      </c>
    </row>
    <row r="24" spans="1:6" x14ac:dyDescent="0.25">
      <c r="A24">
        <v>4200</v>
      </c>
      <c r="B24" s="21">
        <f>6*A24*Presion_cilindro!$B$14/1000</f>
        <v>15.12</v>
      </c>
      <c r="C24" s="21">
        <f>MAX(0,B24+Presion_cilindro!$B$15*(1+0.6*(1-C$5))*(LN(2)/Presion_cilindro!$B$16)^(1/(Presion_cilindro!$B$17+1))-$B$4)</f>
        <v>37.137865854071507</v>
      </c>
      <c r="D24" s="21">
        <f>MAX(0,B24+Presion_cilindro!$B$15*(1+0.6*(1-D$5))*(LN(2)/Presion_cilindro!$B$16)^(1/(Presion_cilindro!$B$17+1))-$B$4)</f>
        <v>34.032569386408937</v>
      </c>
      <c r="E24" s="21">
        <f>MAX(0,B24+Presion_cilindro!$B$15*(1+0.6*(1-E$5))*(LN(2)/Presion_cilindro!$B$16)^(1/(Presion_cilindro!$B$17+1))-$B$4)</f>
        <v>30.927272918746368</v>
      </c>
      <c r="F24" s="21">
        <f>MAX(0,B24+Presion_cilindro!$B$15*(1+0.6*(1-F$5))*(LN(2)/Presion_cilindro!$B$16)^(1/(Presion_cilindro!$B$17+1))-$B$4)</f>
        <v>27.821976451083799</v>
      </c>
    </row>
    <row r="25" spans="1:6" x14ac:dyDescent="0.25">
      <c r="A25">
        <v>4400</v>
      </c>
      <c r="B25" s="21">
        <f>6*A25*Presion_cilindro!$B$14/1000</f>
        <v>15.84</v>
      </c>
      <c r="C25" s="21">
        <f>MAX(0,B25+Presion_cilindro!$B$15*(1+0.6*(1-C$5))*(LN(2)/Presion_cilindro!$B$16)^(1/(Presion_cilindro!$B$17+1))-$B$4)</f>
        <v>37.857865854071505</v>
      </c>
      <c r="D25" s="21">
        <f>MAX(0,B25+Presion_cilindro!$B$15*(1+0.6*(1-D$5))*(LN(2)/Presion_cilindro!$B$16)^(1/(Presion_cilindro!$B$17+1))-$B$4)</f>
        <v>34.752569386408936</v>
      </c>
      <c r="E25" s="21">
        <f>MAX(0,B25+Presion_cilindro!$B$15*(1+0.6*(1-E$5))*(LN(2)/Presion_cilindro!$B$16)^(1/(Presion_cilindro!$B$17+1))-$B$4)</f>
        <v>31.647272918746367</v>
      </c>
      <c r="F25" s="21">
        <f>MAX(0,B25+Presion_cilindro!$B$15*(1+0.6*(1-F$5))*(LN(2)/Presion_cilindro!$B$16)^(1/(Presion_cilindro!$B$17+1))-$B$4)</f>
        <v>28.541976451083798</v>
      </c>
    </row>
    <row r="26" spans="1:6" x14ac:dyDescent="0.25">
      <c r="A26">
        <v>4600</v>
      </c>
      <c r="B26" s="21">
        <f>6*A26*Presion_cilindro!$B$14/1000</f>
        <v>16.559999999999999</v>
      </c>
      <c r="C26" s="21">
        <f>MAX(0,B26+Presion_cilindro!$B$15*(1+0.6*(1-C$5))*(LN(2)/Presion_cilindro!$B$16)^(1/(Presion_cilindro!$B$17+1))-$B$4)</f>
        <v>38.577865854071504</v>
      </c>
      <c r="D26" s="21">
        <f>MAX(0,B26+Presion_cilindro!$B$15*(1+0.6*(1-D$5))*(LN(2)/Presion_cilindro!$B$16)^(1/(Presion_cilindro!$B$17+1))-$B$4)</f>
        <v>35.472569386408935</v>
      </c>
      <c r="E26" s="21">
        <f>MAX(0,B26+Presion_cilindro!$B$15*(1+0.6*(1-E$5))*(LN(2)/Presion_cilindro!$B$16)^(1/(Presion_cilindro!$B$17+1))-$B$4)</f>
        <v>32.367272918746366</v>
      </c>
      <c r="F26" s="21">
        <f>MAX(0,B26+Presion_cilindro!$B$15*(1+0.6*(1-F$5))*(LN(2)/Presion_cilindro!$B$16)^(1/(Presion_cilindro!$B$17+1))-$B$4)</f>
        <v>29.261976451083797</v>
      </c>
    </row>
    <row r="27" spans="1:6" x14ac:dyDescent="0.25">
      <c r="A27">
        <v>4800</v>
      </c>
      <c r="B27" s="21">
        <f>6*A27*Presion_cilindro!$B$14/1000</f>
        <v>17.28</v>
      </c>
      <c r="C27" s="21">
        <f>MAX(0,B27+Presion_cilindro!$B$15*(1+0.6*(1-C$5))*(LN(2)/Presion_cilindro!$B$16)^(1/(Presion_cilindro!$B$17+1))-$B$4)</f>
        <v>39.29786585407151</v>
      </c>
      <c r="D27" s="21">
        <f>MAX(0,B27+Presion_cilindro!$B$15*(1+0.6*(1-D$5))*(LN(2)/Presion_cilindro!$B$16)^(1/(Presion_cilindro!$B$17+1))-$B$4)</f>
        <v>36.192569386408941</v>
      </c>
      <c r="E27" s="21">
        <f>MAX(0,B27+Presion_cilindro!$B$15*(1+0.6*(1-E$5))*(LN(2)/Presion_cilindro!$B$16)^(1/(Presion_cilindro!$B$17+1))-$B$4)</f>
        <v>33.087272918746365</v>
      </c>
      <c r="F27" s="21">
        <f>MAX(0,B27+Presion_cilindro!$B$15*(1+0.6*(1-F$5))*(LN(2)/Presion_cilindro!$B$16)^(1/(Presion_cilindro!$B$17+1))-$B$4)</f>
        <v>29.981976451083796</v>
      </c>
    </row>
    <row r="28" spans="1:6" x14ac:dyDescent="0.25">
      <c r="A28">
        <v>5000</v>
      </c>
      <c r="B28" s="21">
        <f>6*A28*Presion_cilindro!$B$14/1000</f>
        <v>18</v>
      </c>
      <c r="C28" s="21">
        <f>MAX(0,B28+Presion_cilindro!$B$15*(1+0.6*(1-C$5))*(LN(2)/Presion_cilindro!$B$16)^(1/(Presion_cilindro!$B$17+1))-$B$4)</f>
        <v>40.017865854071509</v>
      </c>
      <c r="D28" s="21">
        <f>MAX(0,B28+Presion_cilindro!$B$15*(1+0.6*(1-D$5))*(LN(2)/Presion_cilindro!$B$16)^(1/(Presion_cilindro!$B$17+1))-$B$4)</f>
        <v>36.91256938640894</v>
      </c>
      <c r="E28" s="21">
        <f>MAX(0,B28+Presion_cilindro!$B$15*(1+0.6*(1-E$5))*(LN(2)/Presion_cilindro!$B$16)^(1/(Presion_cilindro!$B$17+1))-$B$4)</f>
        <v>33.807272918746364</v>
      </c>
      <c r="F28" s="21">
        <f>MAX(0,B28+Presion_cilindro!$B$15*(1+0.6*(1-F$5))*(LN(2)/Presion_cilindro!$B$16)^(1/(Presion_cilindro!$B$17+1))-$B$4)</f>
        <v>30.701976451083794</v>
      </c>
    </row>
    <row r="29" spans="1:6" x14ac:dyDescent="0.25">
      <c r="A29">
        <v>5200</v>
      </c>
      <c r="B29" s="21">
        <f>6*A29*Presion_cilindro!$B$14/1000</f>
        <v>18.72</v>
      </c>
      <c r="C29" s="21">
        <f>MAX(0,B29+Presion_cilindro!$B$15*(1+0.6*(1-C$5))*(LN(2)/Presion_cilindro!$B$16)^(1/(Presion_cilindro!$B$17+1))-$B$4)</f>
        <v>40.737865854071508</v>
      </c>
      <c r="D29" s="21">
        <f>MAX(0,B29+Presion_cilindro!$B$15*(1+0.6*(1-D$5))*(LN(2)/Presion_cilindro!$B$16)^(1/(Presion_cilindro!$B$17+1))-$B$4)</f>
        <v>37.632569386408939</v>
      </c>
      <c r="E29" s="21">
        <f>MAX(0,B29+Presion_cilindro!$B$15*(1+0.6*(1-E$5))*(LN(2)/Presion_cilindro!$B$16)^(1/(Presion_cilindro!$B$17+1))-$B$4)</f>
        <v>34.527272918746363</v>
      </c>
      <c r="F29" s="21">
        <f>MAX(0,B29+Presion_cilindro!$B$15*(1+0.6*(1-F$5))*(LN(2)/Presion_cilindro!$B$16)^(1/(Presion_cilindro!$B$17+1))-$B$4)</f>
        <v>31.421976451083793</v>
      </c>
    </row>
    <row r="30" spans="1:6" x14ac:dyDescent="0.25">
      <c r="A30">
        <v>5400</v>
      </c>
      <c r="B30" s="21">
        <f>6*A30*Presion_cilindro!$B$14/1000</f>
        <v>19.440000000000001</v>
      </c>
      <c r="C30" s="21">
        <f>MAX(0,B30+Presion_cilindro!$B$15*(1+0.6*(1-C$5))*(LN(2)/Presion_cilindro!$B$16)^(1/(Presion_cilindro!$B$17+1))-$B$4)</f>
        <v>41.457865854071514</v>
      </c>
      <c r="D30" s="21">
        <f>MAX(0,B30+Presion_cilindro!$B$15*(1+0.6*(1-D$5))*(LN(2)/Presion_cilindro!$B$16)^(1/(Presion_cilindro!$B$17+1))-$B$4)</f>
        <v>38.352569386408945</v>
      </c>
      <c r="E30" s="21">
        <f>MAX(0,B30+Presion_cilindro!$B$15*(1+0.6*(1-E$5))*(LN(2)/Presion_cilindro!$B$16)^(1/(Presion_cilindro!$B$17+1))-$B$4)</f>
        <v>35.247272918746368</v>
      </c>
      <c r="F30" s="21">
        <f>MAX(0,B30+Presion_cilindro!$B$15*(1+0.6*(1-F$5))*(LN(2)/Presion_cilindro!$B$16)^(1/(Presion_cilindro!$B$17+1))-$B$4)</f>
        <v>32.141976451083799</v>
      </c>
    </row>
    <row r="31" spans="1:6" x14ac:dyDescent="0.25">
      <c r="A31">
        <v>5600</v>
      </c>
      <c r="B31" s="21">
        <f>6*A31*Presion_cilindro!$B$14/1000</f>
        <v>20.16</v>
      </c>
      <c r="C31" s="21">
        <f>MAX(0,B31+Presion_cilindro!$B$15*(1+0.6*(1-C$5))*(LN(2)/Presion_cilindro!$B$16)^(1/(Presion_cilindro!$B$17+1))-$B$4)</f>
        <v>42.177865854071513</v>
      </c>
      <c r="D31" s="21">
        <f>MAX(0,B31+Presion_cilindro!$B$15*(1+0.6*(1-D$5))*(LN(2)/Presion_cilindro!$B$16)^(1/(Presion_cilindro!$B$17+1))-$B$4)</f>
        <v>39.072569386408944</v>
      </c>
      <c r="E31" s="21">
        <f>MAX(0,B31+Presion_cilindro!$B$15*(1+0.6*(1-E$5))*(LN(2)/Presion_cilindro!$B$16)^(1/(Presion_cilindro!$B$17+1))-$B$4)</f>
        <v>35.967272918746367</v>
      </c>
      <c r="F31" s="21">
        <f>MAX(0,B31+Presion_cilindro!$B$15*(1+0.6*(1-F$5))*(LN(2)/Presion_cilindro!$B$16)^(1/(Presion_cilindro!$B$17+1))-$B$4)</f>
        <v>32.861976451083798</v>
      </c>
    </row>
    <row r="32" spans="1:6" x14ac:dyDescent="0.25">
      <c r="A32">
        <v>5800</v>
      </c>
      <c r="B32" s="21">
        <f>6*A32*Presion_cilindro!$B$14/1000</f>
        <v>20.88</v>
      </c>
      <c r="C32" s="21">
        <f>MAX(0,B32+Presion_cilindro!$B$15*(1+0.6*(1-C$5))*(LN(2)/Presion_cilindro!$B$16)^(1/(Presion_cilindro!$B$17+1))-$B$4)</f>
        <v>42.897865854071512</v>
      </c>
      <c r="D32" s="21">
        <f>MAX(0,B32+Presion_cilindro!$B$15*(1+0.6*(1-D$5))*(LN(2)/Presion_cilindro!$B$16)^(1/(Presion_cilindro!$B$17+1))-$B$4)</f>
        <v>39.792569386408942</v>
      </c>
      <c r="E32" s="21">
        <f>MAX(0,B32+Presion_cilindro!$B$15*(1+0.6*(1-E$5))*(LN(2)/Presion_cilindro!$B$16)^(1/(Presion_cilindro!$B$17+1))-$B$4)</f>
        <v>36.687272918746366</v>
      </c>
      <c r="F32" s="21">
        <f>MAX(0,B32+Presion_cilindro!$B$15*(1+0.6*(1-F$5))*(LN(2)/Presion_cilindro!$B$16)^(1/(Presion_cilindro!$B$17+1))-$B$4)</f>
        <v>33.581976451083797</v>
      </c>
    </row>
    <row r="33" spans="1:6" x14ac:dyDescent="0.25">
      <c r="A33">
        <v>6000</v>
      </c>
      <c r="B33" s="21">
        <f>6*A33*Presion_cilindro!$B$14/1000</f>
        <v>21.6</v>
      </c>
      <c r="C33" s="21">
        <f>MAX(0,B33+Presion_cilindro!$B$15*(1+0.6*(1-C$5))*(LN(2)/Presion_cilindro!$B$16)^(1/(Presion_cilindro!$B$17+1))-$B$4)</f>
        <v>43.617865854071511</v>
      </c>
      <c r="D33" s="21">
        <f>MAX(0,B33+Presion_cilindro!$B$15*(1+0.6*(1-D$5))*(LN(2)/Presion_cilindro!$B$16)^(1/(Presion_cilindro!$B$17+1))-$B$4)</f>
        <v>40.512569386408941</v>
      </c>
      <c r="E33" s="21">
        <f>MAX(0,B33+Presion_cilindro!$B$15*(1+0.6*(1-E$5))*(LN(2)/Presion_cilindro!$B$16)^(1/(Presion_cilindro!$B$17+1))-$B$4)</f>
        <v>37.407272918746372</v>
      </c>
      <c r="F33" s="21">
        <f>MAX(0,B33+Presion_cilindro!$B$15*(1+0.6*(1-F$5))*(LN(2)/Presion_cilindro!$B$16)^(1/(Presion_cilindro!$B$17+1))-$B$4)</f>
        <v>34.301976451083803</v>
      </c>
    </row>
    <row r="35" spans="1:6" x14ac:dyDescent="0.25">
      <c r="A35" s="20" t="s">
        <v>139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Presion_cilindro</vt:lpstr>
      <vt:lpstr>Tres_avances</vt:lpstr>
      <vt:lpstr>Barrido_AE</vt:lpstr>
      <vt:lpstr>Avance_rpm_carga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Ing. Miguel Angel  Minga Gonzalez</cp:lastModifiedBy>
  <cp:revision>1</cp:revision>
  <dcterms:created xsi:type="dcterms:W3CDTF">2026-10-15T18:19:58Z</dcterms:created>
  <dcterms:modified xsi:type="dcterms:W3CDTF">2026-10-15T18:23:06Z</dcterms:modified>
  <dc:language>en-US</dc:language>
</cp:coreProperties>
</file>